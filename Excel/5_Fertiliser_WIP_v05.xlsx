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BD14812-C981-409E-811A-B79199590D27}" xr6:coauthVersionLast="47" xr6:coauthVersionMax="47" xr10:uidLastSave="{00000000-0000-0000-0000-000000000000}"/>
  <bookViews>
    <workbookView xWindow="390" yWindow="345" windowWidth="37920" windowHeight="20415" firstSheet="4" activeTab="10"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1"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3" i="116" l="1"/>
  <c r="F41" i="116" a="1"/>
  <c r="F41" i="116" s="1"/>
  <c r="E41" i="116"/>
  <c r="E79" i="115"/>
  <c r="E37" i="115"/>
  <c r="E78" i="74"/>
  <c r="E37" i="74" a="1"/>
  <c r="E37" i="74" s="1"/>
  <c r="G37" i="74" s="1" a="1"/>
  <c r="G37" i="74" s="1"/>
  <c r="E76" i="74" s="1" a="1"/>
  <c r="E76" i="74" s="1"/>
  <c r="E36" i="74" a="1"/>
  <c r="E36" i="74" s="1"/>
  <c r="E35" i="74"/>
  <c r="E35" i="74" a="1"/>
  <c r="E34" i="74" a="1"/>
  <c r="E34" i="74" s="1"/>
  <c r="E33" i="74" a="1"/>
  <c r="E33" i="74" s="1"/>
  <c r="E32" i="74" a="1"/>
  <c r="E32" i="74" s="1"/>
  <c r="E31" i="74" a="1"/>
  <c r="E31" i="74" s="1"/>
  <c r="E30" i="74" a="1"/>
  <c r="E30" i="74" s="1"/>
  <c r="E29" i="74" a="1"/>
  <c r="E29" i="74" s="1"/>
  <c r="E28" i="74" a="1"/>
  <c r="E28" i="74" s="1"/>
  <c r="E27" i="74" a="1"/>
  <c r="E27" i="74" s="1"/>
  <c r="E26" i="74" a="1"/>
  <c r="E26" i="74" s="1"/>
  <c r="E25" i="74" a="1"/>
  <c r="E25" i="74" s="1"/>
  <c r="E24" i="74" a="1"/>
  <c r="E24" i="74" s="1"/>
  <c r="E23" i="74" a="1"/>
  <c r="E23" i="74" s="1"/>
  <c r="E22" i="74" a="1"/>
  <c r="E22" i="74" s="1"/>
  <c r="E21" i="74" a="1"/>
  <c r="E21" i="74" s="1"/>
  <c r="E20" i="74" a="1"/>
  <c r="E20" i="74" s="1"/>
  <c r="E19" i="74" a="1"/>
  <c r="E19" i="74" s="1"/>
  <c r="F37" i="74" a="1"/>
  <c r="F37" i="74" s="1"/>
  <c r="E37" i="69" a="1"/>
  <c r="E37" i="69" s="1"/>
  <c r="E36" i="69" a="1"/>
  <c r="E36" i="69" s="1"/>
  <c r="E35" i="69" a="1"/>
  <c r="E35" i="69" s="1"/>
  <c r="E34" i="69" a="1"/>
  <c r="E34" i="69" s="1"/>
  <c r="E33" i="69" a="1"/>
  <c r="E33" i="69" s="1"/>
  <c r="E32" i="69" a="1"/>
  <c r="E32" i="69" s="1"/>
  <c r="E31" i="69" a="1"/>
  <c r="E31" i="69" s="1"/>
  <c r="E30" i="69" a="1"/>
  <c r="E30" i="69" s="1"/>
  <c r="E29" i="69" a="1"/>
  <c r="E29" i="69" s="1"/>
  <c r="E28" i="69" a="1"/>
  <c r="E28" i="69" s="1"/>
  <c r="E27" i="69" a="1"/>
  <c r="E27" i="69" s="1"/>
  <c r="E26" i="69" a="1"/>
  <c r="E26" i="69" s="1"/>
  <c r="E25" i="69" a="1"/>
  <c r="E25" i="69" s="1"/>
  <c r="E24" i="69" a="1"/>
  <c r="E24" i="69" s="1"/>
  <c r="E23" i="69" a="1"/>
  <c r="E23" i="69" s="1"/>
  <c r="E22" i="69" a="1"/>
  <c r="E22" i="69" s="1"/>
  <c r="E21" i="69" a="1"/>
  <c r="E21" i="69" s="1"/>
  <c r="E20" i="69" a="1"/>
  <c r="E20" i="69" s="1"/>
  <c r="E19" i="69" a="1"/>
  <c r="E19" i="69" s="1"/>
  <c r="F37" i="69" a="1"/>
  <c r="F37" i="69" s="1"/>
  <c r="D38" i="110" a="1"/>
  <c r="D38" i="110" s="1"/>
  <c r="E38" i="110" a="1"/>
  <c r="E38" i="110" s="1"/>
  <c r="F38" i="110" a="1"/>
  <c r="F38" i="110" s="1"/>
  <c r="G38" i="110" a="1"/>
  <c r="G38" i="110" s="1"/>
  <c r="H38" i="110" a="1"/>
  <c r="H38" i="110" s="1"/>
  <c r="I38" i="110" a="1"/>
  <c r="I38" i="110" s="1"/>
  <c r="F24" i="70"/>
  <c r="G24" i="70"/>
  <c r="H19" i="70"/>
  <c r="H18"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G97" i="116"/>
  <c r="D96" i="116" a="1"/>
  <c r="D96" i="116" s="1"/>
  <c r="F94" i="116"/>
  <c r="F77" i="116"/>
  <c r="J92"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D67" i="116"/>
  <c r="E75" i="116"/>
  <c r="E74" i="116"/>
  <c r="E73" i="116"/>
  <c r="E72" i="116"/>
  <c r="E71" i="116"/>
  <c r="E70" i="116"/>
  <c r="E69" i="116"/>
  <c r="E68" i="116"/>
  <c r="E67" i="116"/>
  <c r="G55" i="116" a="1"/>
  <c r="G55" i="116" s="1"/>
  <c r="D55" i="116" a="1"/>
  <c r="D55" i="116" s="1"/>
  <c r="E53" i="116" a="1"/>
  <c r="E53" i="116" s="1"/>
  <c r="E52" i="116" a="1"/>
  <c r="E52" i="116" s="1"/>
  <c r="D48" i="116" a="1"/>
  <c r="D48" i="116" s="1"/>
  <c r="D47" i="116" a="1"/>
  <c r="D47" i="116" s="1"/>
  <c r="I60" i="116"/>
  <c r="I59" i="116"/>
  <c r="I58" i="116"/>
  <c r="I56" i="116" a="1"/>
  <c r="I56" i="116" s="1"/>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a="1"/>
  <c r="I14" i="116" s="1"/>
  <c r="I16" i="116"/>
  <c r="E7" i="116" a="1"/>
  <c r="E49" i="116" a="1"/>
  <c r="E83" i="116" a="1"/>
  <c r="I57" i="116" l="1"/>
  <c r="F75" i="116" s="1" a="1"/>
  <c r="F75" i="116" s="1"/>
  <c r="E83" i="116"/>
  <c r="F67" i="116" a="1"/>
  <c r="F67" i="116" s="1"/>
  <c r="F71" i="116" a="1"/>
  <c r="F71" i="116" s="1"/>
  <c r="F72" i="116" a="1"/>
  <c r="F72" i="116" s="1"/>
  <c r="F73" i="116" a="1"/>
  <c r="F73" i="116" s="1"/>
  <c r="E49" i="116"/>
  <c r="F68" i="116" a="1"/>
  <c r="F68" i="116" s="1"/>
  <c r="F70" i="116" a="1"/>
  <c r="F70" i="116" s="1"/>
  <c r="F69" i="116" a="1"/>
  <c r="F69" i="116" s="1"/>
  <c r="F74" i="116" a="1"/>
  <c r="F74" i="116" s="1"/>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E111" i="115"/>
  <c r="E110" i="115"/>
  <c r="E109" i="115"/>
  <c r="E108" i="115"/>
  <c r="E107" i="115"/>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4" i="70"/>
  <c r="G34" i="70" s="1"/>
  <c r="F33"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E259" i="111" a="1"/>
  <c r="E259" i="111" s="1"/>
  <c r="D259" i="111" a="1"/>
  <c r="D259" i="111" s="1"/>
  <c r="E258" i="111" a="1"/>
  <c r="E258" i="111" s="1"/>
  <c r="D258" i="111" a="1"/>
  <c r="D258" i="111" s="1"/>
  <c r="D256" i="111" a="1"/>
  <c r="D256" i="111" s="1"/>
  <c r="D255" i="111" a="1"/>
  <c r="D255" i="111" s="1"/>
  <c r="D254" i="111" a="1"/>
  <c r="D254" i="111" s="1"/>
  <c r="D253" i="111" a="1"/>
  <c r="D253" i="111"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4" i="70"/>
  <c r="H44" i="70"/>
  <c r="I44" i="70" s="1"/>
  <c r="H43" i="70"/>
  <c r="G43" i="70"/>
  <c r="H20" i="113" a="1"/>
  <c r="H20" i="113" s="1"/>
  <c r="E20" i="113" a="1"/>
  <c r="E20" i="113" s="1"/>
  <c r="D20" i="113" a="1"/>
  <c r="I30" i="113" a="1"/>
  <c r="I30" i="113" s="1"/>
  <c r="E112" i="115" s="1"/>
  <c r="I29" i="113" a="1"/>
  <c r="I29" i="113" s="1"/>
  <c r="I28" i="113" a="1"/>
  <c r="I28" i="113" s="1"/>
  <c r="I27" i="113" a="1"/>
  <c r="I27" i="113" s="1"/>
  <c r="I26" i="113" a="1"/>
  <c r="I26" i="113" s="1"/>
  <c r="I25" i="113" a="1"/>
  <c r="I25" i="113" s="1"/>
  <c r="I24" i="113" a="1"/>
  <c r="I24" i="113" s="1"/>
  <c r="I23" i="113" a="1"/>
  <c r="I23" i="113" s="1"/>
  <c r="E105" i="115" s="1"/>
  <c r="I22" i="113" a="1"/>
  <c r="I22" i="113" s="1"/>
  <c r="E104" i="115" s="1"/>
  <c r="E7" i="115" a="1"/>
  <c r="E43" i="115" a="1"/>
  <c r="E90" i="115" a="1"/>
  <c r="E7" i="113" a="1"/>
  <c r="E118" i="115" a="1"/>
  <c r="E38" i="113" a="1"/>
  <c r="E7" i="114" a="1"/>
  <c r="F111" i="115" l="1" a="1"/>
  <c r="F111" i="115" s="1"/>
  <c r="E143" i="115" s="1"/>
  <c r="G20" i="113" a="1"/>
  <c r="G20" i="113" s="1"/>
  <c r="I20" i="113" s="1" a="1"/>
  <c r="I20" i="113" s="1"/>
  <c r="E65" i="116" s="1"/>
  <c r="F65" i="116" s="1" a="1"/>
  <c r="F65" i="116" s="1"/>
  <c r="D20" i="113"/>
  <c r="D65" i="116" s="1"/>
  <c r="D66" i="116"/>
  <c r="F43" i="116"/>
  <c r="F112" i="115" a="1"/>
  <c r="F112" i="115" s="1"/>
  <c r="E144" i="115" s="1"/>
  <c r="F104" i="115" a="1"/>
  <c r="F104" i="115" s="1"/>
  <c r="E136" i="115" s="1"/>
  <c r="F105" i="115" a="1"/>
  <c r="F105" i="115" s="1"/>
  <c r="E137" i="115" s="1"/>
  <c r="F107" i="115" a="1"/>
  <c r="F107" i="115" s="1"/>
  <c r="E139" i="115" s="1"/>
  <c r="F108" i="115" a="1"/>
  <c r="F108" i="115" s="1"/>
  <c r="E140" i="115" s="1"/>
  <c r="F109" i="115" a="1"/>
  <c r="F109" i="115" s="1"/>
  <c r="E141"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4" i="70"/>
  <c r="I21" i="113" l="1" a="1"/>
  <c r="I21" i="113" s="1"/>
  <c r="E66" i="116" s="1"/>
  <c r="F66" i="116" s="1" a="1"/>
  <c r="F66" i="116" s="1"/>
  <c r="E77" i="116" s="1"/>
  <c r="J90" i="116" s="1"/>
  <c r="E102" i="115"/>
  <c r="F102" i="115" s="1" a="1"/>
  <c r="F102" i="115" s="1"/>
  <c r="E134" i="115" s="1"/>
  <c r="E32" i="113"/>
  <c r="K44" i="113" s="1"/>
  <c r="E103" i="115" l="1"/>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AE99" i="110" a="1"/>
  <c r="AE99" i="110" s="1"/>
  <c r="AD99" i="110" a="1"/>
  <c r="AD99" i="110" s="1"/>
  <c r="AC99" i="110" a="1"/>
  <c r="AC99" i="110" s="1"/>
  <c r="AB99" i="110" a="1"/>
  <c r="AB99" i="110" s="1"/>
  <c r="AA99" i="110" a="1"/>
  <c r="AA99" i="110" s="1"/>
  <c r="Z99" i="110" a="1"/>
  <c r="Z99" i="110" s="1"/>
  <c r="Y99" i="110" a="1"/>
  <c r="Y99" i="110" s="1"/>
  <c r="X99" i="110" a="1"/>
  <c r="X99" i="110" s="1"/>
  <c r="AE98" i="110" a="1"/>
  <c r="AE98" i="110" s="1"/>
  <c r="AD98" i="110" a="1"/>
  <c r="AD98" i="110" s="1"/>
  <c r="AC98" i="110" a="1"/>
  <c r="AC98" i="110" s="1"/>
  <c r="AB98" i="110" a="1"/>
  <c r="AB98" i="110" s="1"/>
  <c r="AA98" i="110" a="1"/>
  <c r="AA98" i="110" s="1"/>
  <c r="Z98" i="110" a="1"/>
  <c r="Z98" i="110" s="1"/>
  <c r="Y98" i="110" a="1"/>
  <c r="Y98" i="110" s="1"/>
  <c r="X98" i="110" a="1"/>
  <c r="X98" i="110" s="1"/>
  <c r="AE97" i="110" a="1"/>
  <c r="AE97" i="110" s="1"/>
  <c r="AD97" i="110" a="1"/>
  <c r="AD97" i="110" s="1"/>
  <c r="AC97" i="110" a="1"/>
  <c r="AC97" i="110" s="1"/>
  <c r="AB97" i="110" a="1"/>
  <c r="AB97" i="110" s="1"/>
  <c r="AA97" i="110" a="1"/>
  <c r="AA97" i="110" s="1"/>
  <c r="Z97" i="110" a="1"/>
  <c r="Z97" i="110" s="1"/>
  <c r="Y97" i="110" a="1"/>
  <c r="Y97" i="110" s="1"/>
  <c r="X97" i="110" a="1"/>
  <c r="X97" i="110" s="1"/>
  <c r="AE96" i="110" a="1"/>
  <c r="AE96" i="110" s="1"/>
  <c r="AD96" i="110" a="1"/>
  <c r="AD96" i="110" s="1"/>
  <c r="AC96" i="110" a="1"/>
  <c r="AC96" i="110" s="1"/>
  <c r="AB96" i="110" a="1"/>
  <c r="AB96" i="110" s="1"/>
  <c r="AA96" i="110" a="1"/>
  <c r="AA96" i="110" s="1"/>
  <c r="Z96" i="110" a="1"/>
  <c r="Z96" i="110" s="1"/>
  <c r="Y96" i="110" a="1"/>
  <c r="Y96" i="110" s="1"/>
  <c r="X96" i="110" a="1"/>
  <c r="X96" i="110" s="1"/>
  <c r="AE95" i="110" a="1"/>
  <c r="AE95" i="110" s="1"/>
  <c r="AD95" i="110" a="1"/>
  <c r="AD95" i="110" s="1"/>
  <c r="AC95" i="110" a="1"/>
  <c r="AC95" i="110" s="1"/>
  <c r="AB95" i="110" a="1"/>
  <c r="AB95" i="110" s="1"/>
  <c r="AA95" i="110" a="1"/>
  <c r="AA95" i="110" s="1"/>
  <c r="Z95" i="110" a="1"/>
  <c r="Z95" i="110" s="1"/>
  <c r="Y95" i="110" a="1"/>
  <c r="Y95" i="110" s="1"/>
  <c r="X95" i="110" a="1"/>
  <c r="X95" i="110" s="1"/>
  <c r="AE94" i="110" a="1"/>
  <c r="AE94" i="110" s="1"/>
  <c r="AD94" i="110" a="1"/>
  <c r="AD94" i="110" s="1"/>
  <c r="AC94" i="110" a="1"/>
  <c r="AC94" i="110" s="1"/>
  <c r="AB94" i="110" a="1"/>
  <c r="AB94" i="110" s="1"/>
  <c r="AA94" i="110" a="1"/>
  <c r="AA94" i="110" s="1"/>
  <c r="Z94" i="110" a="1"/>
  <c r="Z94" i="110" s="1"/>
  <c r="Y94" i="110" a="1"/>
  <c r="Y94" i="110" s="1"/>
  <c r="X94" i="110" a="1"/>
  <c r="X94" i="110" s="1"/>
  <c r="AE93" i="110" a="1"/>
  <c r="AE93" i="110" s="1"/>
  <c r="AD93" i="110" a="1"/>
  <c r="AD93" i="110" s="1"/>
  <c r="AC93" i="110" a="1"/>
  <c r="AC93" i="110" s="1"/>
  <c r="AB93" i="110" a="1"/>
  <c r="AB93" i="110" s="1"/>
  <c r="AA93" i="110" a="1"/>
  <c r="AA93" i="110" s="1"/>
  <c r="Z93" i="110" a="1"/>
  <c r="Z93" i="110" s="1"/>
  <c r="Y93" i="110" a="1"/>
  <c r="Y93" i="110" s="1"/>
  <c r="X93" i="110" a="1"/>
  <c r="X93" i="110" s="1"/>
  <c r="AE92" i="110" a="1"/>
  <c r="AE92" i="110" s="1"/>
  <c r="AD92" i="110" a="1"/>
  <c r="AD92" i="110" s="1"/>
  <c r="AC92" i="110" a="1"/>
  <c r="AC92" i="110" s="1"/>
  <c r="AB92" i="110" a="1"/>
  <c r="AB92" i="110" s="1"/>
  <c r="AA92" i="110" a="1"/>
  <c r="AA92" i="110" s="1"/>
  <c r="Z92" i="110" a="1"/>
  <c r="Z92" i="110" s="1"/>
  <c r="Y92" i="110" a="1"/>
  <c r="Y92" i="110" s="1"/>
  <c r="X92" i="110" a="1"/>
  <c r="X92" i="110" s="1"/>
  <c r="AE91" i="110" a="1"/>
  <c r="AE91" i="110" s="1"/>
  <c r="AD91" i="110" a="1"/>
  <c r="AD91" i="110" s="1"/>
  <c r="AC91" i="110" a="1"/>
  <c r="AC91" i="110" s="1"/>
  <c r="AB91" i="110" a="1"/>
  <c r="AB91" i="110" s="1"/>
  <c r="AA91" i="110" a="1"/>
  <c r="AA91" i="110" s="1"/>
  <c r="Z91" i="110" a="1"/>
  <c r="Z91" i="110" s="1"/>
  <c r="Y91" i="110" a="1"/>
  <c r="Y91" i="110" s="1"/>
  <c r="X91" i="110" a="1"/>
  <c r="X91" i="110" s="1"/>
  <c r="AE90" i="110" a="1"/>
  <c r="AE90" i="110" s="1"/>
  <c r="AD90" i="110" a="1"/>
  <c r="AD90" i="110" s="1"/>
  <c r="AC90" i="110" a="1"/>
  <c r="AC90" i="110" s="1"/>
  <c r="AB90" i="110" a="1"/>
  <c r="AB90" i="110" s="1"/>
  <c r="AA90" i="110" a="1"/>
  <c r="AA90" i="110" s="1"/>
  <c r="Z90" i="110" a="1"/>
  <c r="Z90" i="110" s="1"/>
  <c r="Y90" i="110" a="1"/>
  <c r="Y90" i="110" s="1"/>
  <c r="X90" i="110" a="1"/>
  <c r="X90" i="110" s="1"/>
  <c r="U153" i="110" l="1"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J153" i="110" a="1"/>
  <c r="J153" i="110" s="1"/>
  <c r="I153" i="110" a="1"/>
  <c r="I153" i="110" s="1"/>
  <c r="H153" i="110" a="1"/>
  <c r="H153" i="110" s="1"/>
  <c r="G153" i="110" a="1"/>
  <c r="G153" i="110" s="1"/>
  <c r="F153" i="110" a="1"/>
  <c r="F153" i="110" s="1"/>
  <c r="E153" i="110" a="1"/>
  <c r="E153" i="110" s="1"/>
  <c r="D153" i="110" a="1"/>
  <c r="D153"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J152" i="110" a="1"/>
  <c r="J152" i="110" s="1"/>
  <c r="I152" i="110" a="1"/>
  <c r="I152" i="110" s="1"/>
  <c r="H152" i="110" a="1"/>
  <c r="H152" i="110" s="1"/>
  <c r="G152" i="110" a="1"/>
  <c r="G152" i="110" s="1"/>
  <c r="F152" i="110" a="1"/>
  <c r="F152" i="110" s="1"/>
  <c r="E152" i="110" a="1"/>
  <c r="E152" i="110" s="1"/>
  <c r="D152" i="110" a="1"/>
  <c r="D152"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J151" i="110" a="1"/>
  <c r="J151" i="110" s="1"/>
  <c r="I151" i="110" a="1"/>
  <c r="I151" i="110" s="1"/>
  <c r="H151" i="110" a="1"/>
  <c r="H151" i="110" s="1"/>
  <c r="G151" i="110" a="1"/>
  <c r="G151" i="110" s="1"/>
  <c r="F151" i="110" a="1"/>
  <c r="F151" i="110" s="1"/>
  <c r="E151" i="110" a="1"/>
  <c r="E151" i="110" s="1"/>
  <c r="D151" i="110" a="1"/>
  <c r="D151"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J150" i="110" a="1"/>
  <c r="J150" i="110" s="1"/>
  <c r="I150" i="110" a="1"/>
  <c r="I150" i="110" s="1"/>
  <c r="H150" i="110" a="1"/>
  <c r="H150" i="110" s="1"/>
  <c r="G150" i="110" a="1"/>
  <c r="G150" i="110" s="1"/>
  <c r="F150" i="110" a="1"/>
  <c r="F150" i="110" s="1"/>
  <c r="E150" i="110" a="1"/>
  <c r="E150" i="110" s="1"/>
  <c r="D150" i="110" a="1"/>
  <c r="D150"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J149" i="110" a="1"/>
  <c r="J149" i="110" s="1"/>
  <c r="I149" i="110" a="1"/>
  <c r="I149" i="110" s="1"/>
  <c r="H149" i="110" a="1"/>
  <c r="H149" i="110" s="1"/>
  <c r="G149" i="110" a="1"/>
  <c r="G149" i="110" s="1"/>
  <c r="F149" i="110" a="1"/>
  <c r="F149" i="110" s="1"/>
  <c r="E149" i="110" a="1"/>
  <c r="E149" i="110" s="1"/>
  <c r="D149" i="110" a="1"/>
  <c r="D149"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J148" i="110" a="1"/>
  <c r="J148" i="110" s="1"/>
  <c r="I148" i="110" a="1"/>
  <c r="I148" i="110" s="1"/>
  <c r="H148" i="110" a="1"/>
  <c r="H148" i="110" s="1"/>
  <c r="G148" i="110" a="1"/>
  <c r="G148" i="110" s="1"/>
  <c r="F148" i="110" a="1"/>
  <c r="F148" i="110" s="1"/>
  <c r="E148" i="110" a="1"/>
  <c r="E148" i="110" s="1"/>
  <c r="D148" i="110" a="1"/>
  <c r="D148"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J147" i="110" a="1"/>
  <c r="J147" i="110" s="1"/>
  <c r="I147" i="110" a="1"/>
  <c r="I147" i="110" s="1"/>
  <c r="H147" i="110" a="1"/>
  <c r="H147" i="110" s="1"/>
  <c r="G147" i="110" a="1"/>
  <c r="G147" i="110" s="1"/>
  <c r="F147" i="110" a="1"/>
  <c r="F147" i="110" s="1"/>
  <c r="E147" i="110" a="1"/>
  <c r="E147" i="110" s="1"/>
  <c r="D147" i="110" a="1"/>
  <c r="D147"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J146" i="110" a="1"/>
  <c r="J146" i="110" s="1"/>
  <c r="I146" i="110" a="1"/>
  <c r="I146" i="110" s="1"/>
  <c r="H146" i="110" a="1"/>
  <c r="H146" i="110" s="1"/>
  <c r="G146" i="110" a="1"/>
  <c r="G146" i="110" s="1"/>
  <c r="F146" i="110" a="1"/>
  <c r="F146" i="110" s="1"/>
  <c r="E146" i="110" a="1"/>
  <c r="E146" i="110" s="1"/>
  <c r="D146" i="110" a="1"/>
  <c r="D146"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J145" i="110" a="1"/>
  <c r="J145" i="110" s="1"/>
  <c r="I145" i="110" a="1"/>
  <c r="I145" i="110" s="1"/>
  <c r="H145" i="110" a="1"/>
  <c r="H145" i="110" s="1"/>
  <c r="G145" i="110" a="1"/>
  <c r="G145" i="110" s="1"/>
  <c r="F145" i="110" a="1"/>
  <c r="F145" i="110" s="1"/>
  <c r="E145" i="110" a="1"/>
  <c r="E145" i="110" s="1"/>
  <c r="D145" i="110" a="1"/>
  <c r="D145"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J144" i="110" a="1"/>
  <c r="J144" i="110" s="1"/>
  <c r="I144" i="110" a="1"/>
  <c r="I144" i="110" s="1"/>
  <c r="H144" i="110" a="1"/>
  <c r="H144" i="110" s="1"/>
  <c r="G144" i="110" a="1"/>
  <c r="G144" i="110" s="1"/>
  <c r="F144" i="110" a="1"/>
  <c r="F144" i="110" s="1"/>
  <c r="E144" i="110" a="1"/>
  <c r="E144" i="110" s="1"/>
  <c r="D144" i="110" a="1"/>
  <c r="D144"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J143" i="110" a="1"/>
  <c r="J143" i="110" s="1"/>
  <c r="I143" i="110" a="1"/>
  <c r="I143" i="110" s="1"/>
  <c r="H143" i="110" a="1"/>
  <c r="H143" i="110" s="1"/>
  <c r="G143" i="110" a="1"/>
  <c r="G143" i="110" s="1"/>
  <c r="F143" i="110" a="1"/>
  <c r="F143" i="110" s="1"/>
  <c r="E143" i="110" a="1"/>
  <c r="E143" i="110" s="1"/>
  <c r="D143" i="110" a="1"/>
  <c r="D143"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J142" i="110" a="1"/>
  <c r="J142" i="110" s="1"/>
  <c r="I142" i="110" a="1"/>
  <c r="I142" i="110" s="1"/>
  <c r="H142" i="110" a="1"/>
  <c r="H142" i="110" s="1"/>
  <c r="G142" i="110" a="1"/>
  <c r="G142" i="110" s="1"/>
  <c r="F142" i="110" a="1"/>
  <c r="F142" i="110" s="1"/>
  <c r="E142" i="110" a="1"/>
  <c r="E142" i="110" s="1"/>
  <c r="D142" i="110" a="1"/>
  <c r="D142"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J141" i="110" a="1"/>
  <c r="J141" i="110" s="1"/>
  <c r="I141" i="110" a="1"/>
  <c r="I141" i="110" s="1"/>
  <c r="H141" i="110" a="1"/>
  <c r="H141" i="110" s="1"/>
  <c r="G141" i="110" a="1"/>
  <c r="G141" i="110" s="1"/>
  <c r="F141" i="110" a="1"/>
  <c r="F141" i="110" s="1"/>
  <c r="E141" i="110" a="1"/>
  <c r="E141" i="110" s="1"/>
  <c r="D141" i="110" a="1"/>
  <c r="D141"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J140" i="110" a="1"/>
  <c r="J140" i="110" s="1"/>
  <c r="I140" i="110" a="1"/>
  <c r="I140" i="110" s="1"/>
  <c r="H140" i="110" a="1"/>
  <c r="H140" i="110" s="1"/>
  <c r="G140" i="110" a="1"/>
  <c r="G140" i="110" s="1"/>
  <c r="F140" i="110" a="1"/>
  <c r="F140" i="110" s="1"/>
  <c r="E140" i="110" a="1"/>
  <c r="E140" i="110" s="1"/>
  <c r="D140" i="110" a="1"/>
  <c r="D140"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J139" i="110" a="1"/>
  <c r="J139" i="110" s="1"/>
  <c r="I139" i="110" a="1"/>
  <c r="I139" i="110" s="1"/>
  <c r="H139" i="110" a="1"/>
  <c r="H139" i="110" s="1"/>
  <c r="G139" i="110" a="1"/>
  <c r="G139" i="110" s="1"/>
  <c r="F139" i="110" a="1"/>
  <c r="F139" i="110" s="1"/>
  <c r="E139" i="110" a="1"/>
  <c r="E139" i="110" s="1"/>
  <c r="D139" i="110" a="1"/>
  <c r="D139"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J138" i="110" a="1"/>
  <c r="J138" i="110" s="1"/>
  <c r="I138" i="110" a="1"/>
  <c r="I138" i="110" s="1"/>
  <c r="H138" i="110" a="1"/>
  <c r="H138" i="110" s="1"/>
  <c r="G138" i="110" a="1"/>
  <c r="G138" i="110" s="1"/>
  <c r="F138" i="110" a="1"/>
  <c r="F138" i="110" s="1"/>
  <c r="E138" i="110" a="1"/>
  <c r="E138" i="110" s="1"/>
  <c r="D138" i="110" a="1"/>
  <c r="D138"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J137" i="110" a="1"/>
  <c r="J137" i="110" s="1"/>
  <c r="I137" i="110" a="1"/>
  <c r="I137" i="110" s="1"/>
  <c r="H137" i="110" a="1"/>
  <c r="H137" i="110" s="1"/>
  <c r="G137" i="110" a="1"/>
  <c r="G137" i="110" s="1"/>
  <c r="F137" i="110" a="1"/>
  <c r="F137" i="110" s="1"/>
  <c r="E137" i="110" a="1"/>
  <c r="E137" i="110" s="1"/>
  <c r="D137" i="110" a="1"/>
  <c r="D137"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J136" i="110" a="1"/>
  <c r="J136" i="110" s="1"/>
  <c r="I136" i="110" a="1"/>
  <c r="I136" i="110" s="1"/>
  <c r="H136" i="110" a="1"/>
  <c r="H136" i="110" s="1"/>
  <c r="G136" i="110" a="1"/>
  <c r="G136" i="110" s="1"/>
  <c r="F136" i="110" a="1"/>
  <c r="F136" i="110" s="1"/>
  <c r="E136" i="110" a="1"/>
  <c r="E136" i="110" s="1"/>
  <c r="D136" i="110" a="1"/>
  <c r="D136"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J135" i="110" a="1"/>
  <c r="J135" i="110" s="1"/>
  <c r="I135" i="110" a="1"/>
  <c r="I135" i="110" s="1"/>
  <c r="H135" i="110" a="1"/>
  <c r="H135" i="110" s="1"/>
  <c r="G135" i="110" a="1"/>
  <c r="G135" i="110" s="1"/>
  <c r="F135" i="110" a="1"/>
  <c r="F135" i="110" s="1"/>
  <c r="E135" i="110" a="1"/>
  <c r="E135" i="110" s="1"/>
  <c r="D135" i="110" a="1"/>
  <c r="D135"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J134" i="110" a="1"/>
  <c r="J134" i="110" s="1"/>
  <c r="I134" i="110" a="1"/>
  <c r="I134" i="110" s="1"/>
  <c r="H134" i="110" a="1"/>
  <c r="H134" i="110" s="1"/>
  <c r="G134" i="110" a="1"/>
  <c r="G134" i="110" s="1"/>
  <c r="F134" i="110" a="1"/>
  <c r="F134" i="110" s="1"/>
  <c r="E134" i="110" a="1"/>
  <c r="E134" i="110" s="1"/>
  <c r="D134" i="110" a="1"/>
  <c r="D134"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J133" i="110" a="1"/>
  <c r="J133" i="110" s="1"/>
  <c r="I133" i="110" a="1"/>
  <c r="I133" i="110" s="1"/>
  <c r="H133" i="110" a="1"/>
  <c r="H133" i="110" s="1"/>
  <c r="G133" i="110" a="1"/>
  <c r="G133" i="110" s="1"/>
  <c r="F133" i="110" a="1"/>
  <c r="F133" i="110" s="1"/>
  <c r="E133" i="110" a="1"/>
  <c r="E133" i="110" s="1"/>
  <c r="D133" i="110" a="1"/>
  <c r="D133"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J132" i="110" a="1"/>
  <c r="J132" i="110" s="1"/>
  <c r="I132" i="110" a="1"/>
  <c r="I132" i="110" s="1"/>
  <c r="H132" i="110" a="1"/>
  <c r="H132" i="110" s="1"/>
  <c r="G132" i="110" a="1"/>
  <c r="G132" i="110" s="1"/>
  <c r="F132" i="110" a="1"/>
  <c r="F132" i="110" s="1"/>
  <c r="E132" i="110" a="1"/>
  <c r="E132" i="110" s="1"/>
  <c r="D132" i="110" a="1"/>
  <c r="D132"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J131" i="110" a="1"/>
  <c r="J131" i="110" s="1"/>
  <c r="I131" i="110" a="1"/>
  <c r="I131" i="110" s="1"/>
  <c r="H131" i="110" a="1"/>
  <c r="H131" i="110" s="1"/>
  <c r="G131" i="110" a="1"/>
  <c r="G131" i="110" s="1"/>
  <c r="F131" i="110" a="1"/>
  <c r="F131" i="110" s="1"/>
  <c r="E131" i="110" a="1"/>
  <c r="E131" i="110" s="1"/>
  <c r="D131" i="110" a="1"/>
  <c r="D131"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J130" i="110" a="1"/>
  <c r="J130" i="110" s="1"/>
  <c r="I130" i="110" a="1"/>
  <c r="I130" i="110" s="1"/>
  <c r="H130" i="110" a="1"/>
  <c r="H130" i="110" s="1"/>
  <c r="G130" i="110" a="1"/>
  <c r="G130" i="110" s="1"/>
  <c r="F130" i="110" a="1"/>
  <c r="F130" i="110" s="1"/>
  <c r="E130" i="110" a="1"/>
  <c r="E130" i="110" s="1"/>
  <c r="D130" i="110" a="1"/>
  <c r="D130"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J129" i="110" a="1"/>
  <c r="J129" i="110" s="1"/>
  <c r="I129" i="110" a="1"/>
  <c r="I129" i="110" s="1"/>
  <c r="H129" i="110" a="1"/>
  <c r="H129" i="110" s="1"/>
  <c r="G129" i="110" a="1"/>
  <c r="G129" i="110" s="1"/>
  <c r="F129" i="110" a="1"/>
  <c r="F129" i="110" s="1"/>
  <c r="E129" i="110" a="1"/>
  <c r="E129" i="110" s="1"/>
  <c r="D129" i="110" a="1"/>
  <c r="D129"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J128" i="110" a="1"/>
  <c r="J128" i="110" s="1"/>
  <c r="I128" i="110" a="1"/>
  <c r="I128" i="110" s="1"/>
  <c r="H128" i="110" a="1"/>
  <c r="H128" i="110" s="1"/>
  <c r="G128" i="110" a="1"/>
  <c r="G128" i="110" s="1"/>
  <c r="F128" i="110" a="1"/>
  <c r="F128" i="110" s="1"/>
  <c r="E128" i="110" a="1"/>
  <c r="E128" i="110" s="1"/>
  <c r="D128" i="110" a="1"/>
  <c r="D128"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J127" i="110" a="1"/>
  <c r="J127" i="110" s="1"/>
  <c r="I127" i="110" a="1"/>
  <c r="I127" i="110" s="1"/>
  <c r="H127" i="110" a="1"/>
  <c r="H127" i="110" s="1"/>
  <c r="G127" i="110" a="1"/>
  <c r="G127" i="110" s="1"/>
  <c r="F127" i="110" a="1"/>
  <c r="F127" i="110" s="1"/>
  <c r="E127" i="110" a="1"/>
  <c r="E127" i="110" s="1"/>
  <c r="D127" i="110" a="1"/>
  <c r="D127"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J126" i="110" a="1"/>
  <c r="J126" i="110" s="1"/>
  <c r="I126" i="110" a="1"/>
  <c r="I126" i="110" s="1"/>
  <c r="H126" i="110" a="1"/>
  <c r="H126" i="110" s="1"/>
  <c r="G126" i="110" a="1"/>
  <c r="G126" i="110" s="1"/>
  <c r="F126" i="110" a="1"/>
  <c r="F126" i="110" s="1"/>
  <c r="E126" i="110" a="1"/>
  <c r="E126" i="110" s="1"/>
  <c r="D126" i="110" a="1"/>
  <c r="D126"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J125" i="110" a="1"/>
  <c r="J125" i="110" s="1"/>
  <c r="I125" i="110" a="1"/>
  <c r="I125" i="110" s="1"/>
  <c r="H125" i="110" a="1"/>
  <c r="H125" i="110" s="1"/>
  <c r="G125" i="110" a="1"/>
  <c r="G125" i="110" s="1"/>
  <c r="F125" i="110" a="1"/>
  <c r="F125" i="110" s="1"/>
  <c r="E125" i="110" a="1"/>
  <c r="E125" i="110" s="1"/>
  <c r="D125" i="110" a="1"/>
  <c r="D125"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J124" i="110" a="1"/>
  <c r="J124" i="110" s="1"/>
  <c r="I124" i="110" a="1"/>
  <c r="I124" i="110" s="1"/>
  <c r="H124" i="110" a="1"/>
  <c r="H124" i="110" s="1"/>
  <c r="G124" i="110" a="1"/>
  <c r="G124" i="110" s="1"/>
  <c r="F124" i="110" a="1"/>
  <c r="F124" i="110" s="1"/>
  <c r="E124" i="110" a="1"/>
  <c r="E124" i="110" s="1"/>
  <c r="D124" i="110" a="1"/>
  <c r="D124"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J123" i="110" a="1"/>
  <c r="J123" i="110" s="1"/>
  <c r="I123" i="110" a="1"/>
  <c r="I123" i="110" s="1"/>
  <c r="H123" i="110" a="1"/>
  <c r="H123" i="110" s="1"/>
  <c r="G123" i="110" a="1"/>
  <c r="G123" i="110" s="1"/>
  <c r="F123" i="110" a="1"/>
  <c r="F123" i="110" s="1"/>
  <c r="E123" i="110" a="1"/>
  <c r="E123" i="110" s="1"/>
  <c r="D123" i="110" a="1"/>
  <c r="D123"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J122" i="110" a="1"/>
  <c r="J122" i="110" s="1"/>
  <c r="I122" i="110" a="1"/>
  <c r="I122" i="110" s="1"/>
  <c r="H122" i="110" a="1"/>
  <c r="H122" i="110" s="1"/>
  <c r="G122" i="110" a="1"/>
  <c r="G122" i="110" s="1"/>
  <c r="F122" i="110" a="1"/>
  <c r="F122" i="110" s="1"/>
  <c r="E122" i="110" a="1"/>
  <c r="E122" i="110" s="1"/>
  <c r="D122" i="110" a="1"/>
  <c r="D122"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J121" i="110" a="1"/>
  <c r="J121" i="110" s="1"/>
  <c r="I121" i="110" a="1"/>
  <c r="I121" i="110" s="1"/>
  <c r="H121" i="110" a="1"/>
  <c r="H121" i="110" s="1"/>
  <c r="G121" i="110" a="1"/>
  <c r="G121" i="110" s="1"/>
  <c r="F121" i="110" a="1"/>
  <c r="F121" i="110" s="1"/>
  <c r="E121" i="110" a="1"/>
  <c r="E121" i="110" s="1"/>
  <c r="D121" i="110" a="1"/>
  <c r="D121"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J120" i="110" a="1"/>
  <c r="J120" i="110" s="1"/>
  <c r="I120" i="110" a="1"/>
  <c r="I120" i="110" s="1"/>
  <c r="H120" i="110" a="1"/>
  <c r="H120" i="110" s="1"/>
  <c r="G120" i="110" a="1"/>
  <c r="G120" i="110" s="1"/>
  <c r="F120" i="110" a="1"/>
  <c r="F120" i="110" s="1"/>
  <c r="E120" i="110" a="1"/>
  <c r="E120" i="110" s="1"/>
  <c r="D120" i="110" a="1"/>
  <c r="D120"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J119" i="110" a="1"/>
  <c r="J119" i="110" s="1"/>
  <c r="I119" i="110" a="1"/>
  <c r="I119" i="110" s="1"/>
  <c r="H119" i="110" a="1"/>
  <c r="H119" i="110" s="1"/>
  <c r="G119" i="110" a="1"/>
  <c r="G119" i="110" s="1"/>
  <c r="F119" i="110" a="1"/>
  <c r="F119" i="110" s="1"/>
  <c r="E119" i="110" a="1"/>
  <c r="E119" i="110" s="1"/>
  <c r="D119" i="110" a="1"/>
  <c r="D119"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J118" i="110" a="1"/>
  <c r="J118" i="110" s="1"/>
  <c r="I118" i="110" a="1"/>
  <c r="I118" i="110" s="1"/>
  <c r="H118" i="110" a="1"/>
  <c r="H118" i="110" s="1"/>
  <c r="G118" i="110" a="1"/>
  <c r="G118" i="110" s="1"/>
  <c r="F118" i="110" a="1"/>
  <c r="F118" i="110" s="1"/>
  <c r="E118" i="110" a="1"/>
  <c r="E118" i="110" s="1"/>
  <c r="D118" i="110" a="1"/>
  <c r="D118"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J117" i="110" a="1"/>
  <c r="J117" i="110" s="1"/>
  <c r="I117" i="110" a="1"/>
  <c r="I117" i="110" s="1"/>
  <c r="H117" i="110" a="1"/>
  <c r="H117" i="110" s="1"/>
  <c r="G117" i="110" a="1"/>
  <c r="G117" i="110" s="1"/>
  <c r="F117" i="110" a="1"/>
  <c r="F117" i="110" s="1"/>
  <c r="E117" i="110" a="1"/>
  <c r="E117" i="110" s="1"/>
  <c r="D117" i="110" a="1"/>
  <c r="D117"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J116" i="110" a="1"/>
  <c r="J116" i="110" s="1"/>
  <c r="I116" i="110" a="1"/>
  <c r="I116" i="110" s="1"/>
  <c r="H116" i="110" a="1"/>
  <c r="H116" i="110" s="1"/>
  <c r="G116" i="110" a="1"/>
  <c r="G116" i="110" s="1"/>
  <c r="F116" i="110" a="1"/>
  <c r="F116" i="110" s="1"/>
  <c r="E116" i="110" a="1"/>
  <c r="E116" i="110" s="1"/>
  <c r="D116" i="110" a="1"/>
  <c r="D116"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J115" i="110" a="1"/>
  <c r="J115" i="110" s="1"/>
  <c r="I115" i="110" a="1"/>
  <c r="I115" i="110" s="1"/>
  <c r="H115" i="110" a="1"/>
  <c r="H115" i="110" s="1"/>
  <c r="G115" i="110" a="1"/>
  <c r="G115" i="110" s="1"/>
  <c r="F115" i="110" a="1"/>
  <c r="F115" i="110" s="1"/>
  <c r="E115" i="110" a="1"/>
  <c r="E115" i="110" s="1"/>
  <c r="D115" i="110" a="1"/>
  <c r="D115"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J114" i="110" a="1"/>
  <c r="J114" i="110" s="1"/>
  <c r="I114" i="110" a="1"/>
  <c r="I114" i="110" s="1"/>
  <c r="H114" i="110" a="1"/>
  <c r="H114" i="110" s="1"/>
  <c r="G114" i="110" a="1"/>
  <c r="G114" i="110" s="1"/>
  <c r="F114" i="110" a="1"/>
  <c r="F114" i="110" s="1"/>
  <c r="E114" i="110" a="1"/>
  <c r="E114" i="110" s="1"/>
  <c r="D114" i="110" a="1"/>
  <c r="D114"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J113" i="110" a="1"/>
  <c r="J113" i="110" s="1"/>
  <c r="I113" i="110" a="1"/>
  <c r="I113" i="110" s="1"/>
  <c r="H113" i="110" a="1"/>
  <c r="H113" i="110" s="1"/>
  <c r="G113" i="110" a="1"/>
  <c r="G113" i="110" s="1"/>
  <c r="F113" i="110" a="1"/>
  <c r="F113" i="110" s="1"/>
  <c r="E113" i="110" a="1"/>
  <c r="E113" i="110" s="1"/>
  <c r="D113" i="110" a="1"/>
  <c r="D113"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J112" i="110" a="1"/>
  <c r="J112" i="110" s="1"/>
  <c r="I112" i="110" a="1"/>
  <c r="I112" i="110" s="1"/>
  <c r="H112" i="110" a="1"/>
  <c r="H112" i="110" s="1"/>
  <c r="G112" i="110" a="1"/>
  <c r="G112" i="110" s="1"/>
  <c r="F112" i="110" a="1"/>
  <c r="F112" i="110" s="1"/>
  <c r="E112" i="110" a="1"/>
  <c r="E112" i="110" s="1"/>
  <c r="D112" i="110" a="1"/>
  <c r="D112"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J111" i="110" a="1"/>
  <c r="J111" i="110" s="1"/>
  <c r="I111" i="110" a="1"/>
  <c r="I111" i="110" s="1"/>
  <c r="H111" i="110" a="1"/>
  <c r="H111" i="110" s="1"/>
  <c r="G111" i="110" a="1"/>
  <c r="G111" i="110" s="1"/>
  <c r="F111" i="110" a="1"/>
  <c r="F111" i="110" s="1"/>
  <c r="E111" i="110" a="1"/>
  <c r="E111" i="110" s="1"/>
  <c r="D111" i="110" a="1"/>
  <c r="D111"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J110" i="110" a="1"/>
  <c r="J110" i="110" s="1"/>
  <c r="I110" i="110" a="1"/>
  <c r="I110" i="110" s="1"/>
  <c r="H110" i="110" a="1"/>
  <c r="H110" i="110" s="1"/>
  <c r="G110" i="110" a="1"/>
  <c r="G110" i="110" s="1"/>
  <c r="F110" i="110" a="1"/>
  <c r="F110" i="110" s="1"/>
  <c r="E110" i="110" a="1"/>
  <c r="E110" i="110" s="1"/>
  <c r="D110" i="110" a="1"/>
  <c r="D110"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J109" i="110" a="1"/>
  <c r="J109" i="110" s="1"/>
  <c r="I109" i="110" a="1"/>
  <c r="I109" i="110" s="1"/>
  <c r="H109" i="110" a="1"/>
  <c r="H109" i="110" s="1"/>
  <c r="G109" i="110" a="1"/>
  <c r="G109" i="110" s="1"/>
  <c r="F109" i="110" a="1"/>
  <c r="F109" i="110" s="1"/>
  <c r="E109" i="110" a="1"/>
  <c r="E109" i="110" s="1"/>
  <c r="D109" i="110" a="1"/>
  <c r="D109" i="110" s="1"/>
  <c r="W54" i="69"/>
  <c r="W53" i="69"/>
  <c r="W52" i="69"/>
  <c r="W49" i="69"/>
  <c r="W48" i="69"/>
  <c r="S250" i="111" a="1"/>
  <c r="S250" i="111" s="1"/>
  <c r="R250" i="111" a="1"/>
  <c r="R250" i="111" s="1"/>
  <c r="Q250" i="111" a="1"/>
  <c r="Q250" i="111" s="1"/>
  <c r="P250" i="111" a="1"/>
  <c r="P250" i="111" s="1"/>
  <c r="O250" i="111" a="1"/>
  <c r="O250" i="111" s="1"/>
  <c r="N250" i="111" a="1"/>
  <c r="N250" i="111" s="1"/>
  <c r="M250" i="111" a="1"/>
  <c r="M250" i="111" s="1"/>
  <c r="L250" i="111" a="1"/>
  <c r="L250" i="111" s="1"/>
  <c r="K250" i="111" a="1"/>
  <c r="K250" i="111" s="1"/>
  <c r="J250" i="111" a="1"/>
  <c r="J250" i="111" s="1"/>
  <c r="I250" i="111" a="1"/>
  <c r="I250" i="111" s="1"/>
  <c r="H250" i="111" a="1"/>
  <c r="H250" i="111" s="1"/>
  <c r="G250" i="111" a="1"/>
  <c r="G250" i="111" s="1"/>
  <c r="F250" i="111" a="1"/>
  <c r="F250" i="111" s="1"/>
  <c r="E250" i="111" a="1"/>
  <c r="E250" i="111" s="1"/>
  <c r="D250" i="111" a="1"/>
  <c r="D250" i="111" s="1"/>
  <c r="S249" i="111" a="1"/>
  <c r="S249" i="111" s="1"/>
  <c r="R249" i="111" a="1"/>
  <c r="R249" i="111" s="1"/>
  <c r="Q249" i="111" a="1"/>
  <c r="Q249" i="111" s="1"/>
  <c r="P249" i="111" a="1"/>
  <c r="P249" i="111" s="1"/>
  <c r="O249" i="111" a="1"/>
  <c r="O249" i="111" s="1"/>
  <c r="N249" i="111" a="1"/>
  <c r="N249" i="111" s="1"/>
  <c r="M249" i="111" a="1"/>
  <c r="M249" i="111" s="1"/>
  <c r="L249" i="111" a="1"/>
  <c r="L249" i="111" s="1"/>
  <c r="K249" i="111" a="1"/>
  <c r="K249" i="111" s="1"/>
  <c r="J249" i="111" a="1"/>
  <c r="J249" i="111" s="1"/>
  <c r="I249" i="111" a="1"/>
  <c r="I249" i="111" s="1"/>
  <c r="H249" i="111" a="1"/>
  <c r="H249" i="111" s="1"/>
  <c r="G249" i="111" a="1"/>
  <c r="G249" i="111" s="1"/>
  <c r="F249" i="111" a="1"/>
  <c r="F249" i="111" s="1"/>
  <c r="E249" i="111" a="1"/>
  <c r="E249" i="111" s="1"/>
  <c r="D249" i="111" a="1"/>
  <c r="D249" i="111" s="1"/>
  <c r="S248" i="111" a="1"/>
  <c r="S248" i="111" s="1"/>
  <c r="R248" i="111" a="1"/>
  <c r="R248" i="111" s="1"/>
  <c r="Q248" i="111" a="1"/>
  <c r="Q248" i="111" s="1"/>
  <c r="P248" i="111" a="1"/>
  <c r="P248" i="111" s="1"/>
  <c r="O248" i="111" a="1"/>
  <c r="O248" i="111" s="1"/>
  <c r="N248" i="111" a="1"/>
  <c r="N248" i="111" s="1"/>
  <c r="M248" i="111" a="1"/>
  <c r="M248" i="111" s="1"/>
  <c r="L248" i="111" a="1"/>
  <c r="L248" i="111" s="1"/>
  <c r="K248" i="111" a="1"/>
  <c r="K248" i="111" s="1"/>
  <c r="J248" i="111" a="1"/>
  <c r="J248" i="111" s="1"/>
  <c r="I248" i="111" a="1"/>
  <c r="I248" i="111" s="1"/>
  <c r="H248" i="111" a="1"/>
  <c r="H248" i="111" s="1"/>
  <c r="G248" i="111" a="1"/>
  <c r="G248" i="111" s="1"/>
  <c r="F248" i="111" a="1"/>
  <c r="F248" i="111" s="1"/>
  <c r="E248" i="111" a="1"/>
  <c r="E248" i="111" s="1"/>
  <c r="D248" i="111" a="1"/>
  <c r="D248" i="111" s="1"/>
  <c r="S247" i="111" a="1"/>
  <c r="S247" i="111" s="1"/>
  <c r="R247" i="111" a="1"/>
  <c r="R247" i="111" s="1"/>
  <c r="Q247" i="111" a="1"/>
  <c r="Q247" i="111" s="1"/>
  <c r="P247" i="111" a="1"/>
  <c r="P247" i="111" s="1"/>
  <c r="O247" i="111" a="1"/>
  <c r="O247" i="111" s="1"/>
  <c r="N247" i="111" a="1"/>
  <c r="N247" i="111" s="1"/>
  <c r="M247" i="111" a="1"/>
  <c r="M247" i="111" s="1"/>
  <c r="L247" i="111" a="1"/>
  <c r="L247" i="111" s="1"/>
  <c r="K247" i="111" a="1"/>
  <c r="K247" i="111" s="1"/>
  <c r="J247" i="111" a="1"/>
  <c r="J247" i="111" s="1"/>
  <c r="I247" i="111" a="1"/>
  <c r="I247" i="111" s="1"/>
  <c r="H247" i="111" a="1"/>
  <c r="H247" i="111" s="1"/>
  <c r="G247" i="111" a="1"/>
  <c r="G247" i="111" s="1"/>
  <c r="F247" i="111" a="1"/>
  <c r="F247" i="111" s="1"/>
  <c r="E247" i="111" a="1"/>
  <c r="E247" i="111" s="1"/>
  <c r="D247" i="111" a="1"/>
  <c r="D247" i="111" s="1"/>
  <c r="S246" i="111" a="1"/>
  <c r="S246" i="111" s="1"/>
  <c r="R246" i="111" a="1"/>
  <c r="R246" i="111" s="1"/>
  <c r="Q246" i="111" a="1"/>
  <c r="Q246" i="111" s="1"/>
  <c r="P246" i="111" a="1"/>
  <c r="P246" i="111" s="1"/>
  <c r="O246" i="111" a="1"/>
  <c r="O246" i="111" s="1"/>
  <c r="N246" i="111" a="1"/>
  <c r="N246" i="111" s="1"/>
  <c r="M246" i="111" a="1"/>
  <c r="M246" i="111" s="1"/>
  <c r="L246" i="111" a="1"/>
  <c r="L246" i="111" s="1"/>
  <c r="K246" i="111" a="1"/>
  <c r="K246" i="111" s="1"/>
  <c r="J246" i="111" a="1"/>
  <c r="J246" i="111" s="1"/>
  <c r="I246" i="111" a="1"/>
  <c r="I246" i="111" s="1"/>
  <c r="H246" i="111" a="1"/>
  <c r="H246" i="111" s="1"/>
  <c r="G246" i="111" a="1"/>
  <c r="G246" i="111" s="1"/>
  <c r="F246" i="111" a="1"/>
  <c r="F246" i="111" s="1"/>
  <c r="E246" i="111" a="1"/>
  <c r="E246" i="111" s="1"/>
  <c r="D246" i="111" a="1"/>
  <c r="D246" i="111" s="1"/>
  <c r="S245" i="111" a="1"/>
  <c r="S245" i="111" s="1"/>
  <c r="R245" i="111" a="1"/>
  <c r="R245" i="111" s="1"/>
  <c r="Q245" i="111" a="1"/>
  <c r="Q245" i="111" s="1"/>
  <c r="P245" i="111" a="1"/>
  <c r="P245" i="111" s="1"/>
  <c r="O245" i="111" a="1"/>
  <c r="O245" i="111" s="1"/>
  <c r="N245" i="111" a="1"/>
  <c r="N245" i="111" s="1"/>
  <c r="M245" i="111" a="1"/>
  <c r="M245" i="111" s="1"/>
  <c r="L245" i="111" a="1"/>
  <c r="L245" i="111" s="1"/>
  <c r="K245" i="111" a="1"/>
  <c r="K245" i="111" s="1"/>
  <c r="J245" i="111" a="1"/>
  <c r="J245" i="111" s="1"/>
  <c r="I245" i="111" a="1"/>
  <c r="I245" i="111" s="1"/>
  <c r="H245" i="111" a="1"/>
  <c r="H245" i="111" s="1"/>
  <c r="G245" i="111" a="1"/>
  <c r="G245" i="111" s="1"/>
  <c r="F245" i="111" a="1"/>
  <c r="F245" i="111" s="1"/>
  <c r="E245" i="111" a="1"/>
  <c r="E245" i="111" s="1"/>
  <c r="D245" i="111" a="1"/>
  <c r="D245" i="111" s="1"/>
  <c r="S244" i="111" a="1"/>
  <c r="S244" i="111" s="1"/>
  <c r="R244" i="111" a="1"/>
  <c r="R244" i="111" s="1"/>
  <c r="Q244" i="111" a="1"/>
  <c r="Q244" i="111" s="1"/>
  <c r="P244" i="111" a="1"/>
  <c r="P244" i="111" s="1"/>
  <c r="O244" i="111" a="1"/>
  <c r="O244" i="111" s="1"/>
  <c r="N244" i="111" a="1"/>
  <c r="N244" i="111" s="1"/>
  <c r="M244" i="111" a="1"/>
  <c r="M244" i="111" s="1"/>
  <c r="L244" i="111" a="1"/>
  <c r="L244" i="111" s="1"/>
  <c r="K244" i="111" a="1"/>
  <c r="K244" i="111" s="1"/>
  <c r="J244" i="111" a="1"/>
  <c r="J244" i="111" s="1"/>
  <c r="I244" i="111" a="1"/>
  <c r="I244" i="111" s="1"/>
  <c r="H244" i="111" a="1"/>
  <c r="H244" i="111" s="1"/>
  <c r="G244" i="111" a="1"/>
  <c r="G244" i="111" s="1"/>
  <c r="F244" i="111" a="1"/>
  <c r="F244" i="111" s="1"/>
  <c r="E244" i="111" a="1"/>
  <c r="E244" i="111" s="1"/>
  <c r="D244" i="111" a="1"/>
  <c r="D244" i="111" s="1"/>
  <c r="S243" i="111" a="1"/>
  <c r="S243" i="111" s="1"/>
  <c r="R243" i="111" a="1"/>
  <c r="R243" i="111" s="1"/>
  <c r="Q243" i="111" a="1"/>
  <c r="Q243" i="111" s="1"/>
  <c r="P243" i="111" a="1"/>
  <c r="P243" i="111" s="1"/>
  <c r="O243" i="111" a="1"/>
  <c r="O243" i="111" s="1"/>
  <c r="N243" i="111" a="1"/>
  <c r="N243" i="111" s="1"/>
  <c r="M243" i="111" a="1"/>
  <c r="M243" i="111" s="1"/>
  <c r="L243" i="111" a="1"/>
  <c r="L243" i="111" s="1"/>
  <c r="K243" i="111" a="1"/>
  <c r="K243" i="111" s="1"/>
  <c r="J243" i="111" a="1"/>
  <c r="J243" i="111" s="1"/>
  <c r="I243" i="111" a="1"/>
  <c r="I243" i="111" s="1"/>
  <c r="H243" i="111" a="1"/>
  <c r="H243" i="111" s="1"/>
  <c r="G243" i="111" a="1"/>
  <c r="G243" i="111" s="1"/>
  <c r="F243" i="111" a="1"/>
  <c r="F243" i="111" s="1"/>
  <c r="E243" i="111" a="1"/>
  <c r="E243" i="111" s="1"/>
  <c r="D243" i="111" a="1"/>
  <c r="D243" i="111" s="1"/>
  <c r="S242" i="111" a="1"/>
  <c r="S242" i="111" s="1"/>
  <c r="R242" i="111" a="1"/>
  <c r="R242" i="111" s="1"/>
  <c r="Q242" i="111" a="1"/>
  <c r="Q242" i="111" s="1"/>
  <c r="P242" i="111" a="1"/>
  <c r="P242" i="111" s="1"/>
  <c r="O242" i="111" a="1"/>
  <c r="O242" i="111" s="1"/>
  <c r="N242" i="111" a="1"/>
  <c r="N242" i="111" s="1"/>
  <c r="M242" i="111" a="1"/>
  <c r="M242" i="111" s="1"/>
  <c r="L242" i="111" a="1"/>
  <c r="L242" i="111" s="1"/>
  <c r="K242" i="111" a="1"/>
  <c r="K242" i="111" s="1"/>
  <c r="J242" i="111" a="1"/>
  <c r="J242" i="111" s="1"/>
  <c r="I242" i="111" a="1"/>
  <c r="I242" i="111" s="1"/>
  <c r="H242" i="111" a="1"/>
  <c r="H242" i="111" s="1"/>
  <c r="G242" i="111" a="1"/>
  <c r="G242" i="111" s="1"/>
  <c r="F242" i="111" a="1"/>
  <c r="F242" i="111" s="1"/>
  <c r="E242" i="111" a="1"/>
  <c r="E242" i="111" s="1"/>
  <c r="D242" i="111" a="1"/>
  <c r="D242" i="111" s="1"/>
  <c r="S241" i="111" a="1"/>
  <c r="S241" i="111" s="1"/>
  <c r="R241" i="111" a="1"/>
  <c r="R241" i="111" s="1"/>
  <c r="Q241" i="111" a="1"/>
  <c r="Q241" i="111" s="1"/>
  <c r="P241" i="111" a="1"/>
  <c r="P241" i="111" s="1"/>
  <c r="O241" i="111" a="1"/>
  <c r="O241" i="111" s="1"/>
  <c r="N241" i="111" a="1"/>
  <c r="N241" i="111" s="1"/>
  <c r="M241" i="111" a="1"/>
  <c r="M241" i="111" s="1"/>
  <c r="L241" i="111" a="1"/>
  <c r="L241" i="111" s="1"/>
  <c r="K241" i="111" a="1"/>
  <c r="K241" i="111" s="1"/>
  <c r="J241" i="111" a="1"/>
  <c r="J241" i="111" s="1"/>
  <c r="I241" i="111" a="1"/>
  <c r="I241" i="111" s="1"/>
  <c r="H241" i="111" a="1"/>
  <c r="H241" i="111" s="1"/>
  <c r="G241" i="111" a="1"/>
  <c r="G241" i="111" s="1"/>
  <c r="F241" i="111" a="1"/>
  <c r="F241" i="111" s="1"/>
  <c r="E241" i="111" a="1"/>
  <c r="E241" i="111" s="1"/>
  <c r="D241" i="111" a="1"/>
  <c r="D241" i="111" s="1"/>
  <c r="S240" i="111" a="1"/>
  <c r="S240" i="111" s="1"/>
  <c r="R240" i="111" a="1"/>
  <c r="R240" i="111" s="1"/>
  <c r="Q240" i="111" a="1"/>
  <c r="Q240" i="111" s="1"/>
  <c r="P240" i="111" a="1"/>
  <c r="P240" i="111" s="1"/>
  <c r="O240" i="111" a="1"/>
  <c r="O240" i="111" s="1"/>
  <c r="N240" i="111" a="1"/>
  <c r="N240" i="111" s="1"/>
  <c r="M240" i="111" a="1"/>
  <c r="M240" i="111" s="1"/>
  <c r="L240" i="111" a="1"/>
  <c r="L240" i="111" s="1"/>
  <c r="K240" i="111" a="1"/>
  <c r="K240" i="111" s="1"/>
  <c r="J240" i="111" a="1"/>
  <c r="J240" i="111" s="1"/>
  <c r="I240" i="111" a="1"/>
  <c r="I240" i="111" s="1"/>
  <c r="H240" i="111" a="1"/>
  <c r="H240" i="111" s="1"/>
  <c r="G240" i="111" a="1"/>
  <c r="G240" i="111" s="1"/>
  <c r="F240" i="111" a="1"/>
  <c r="F240" i="111" s="1"/>
  <c r="E240" i="111" a="1"/>
  <c r="E240" i="111" s="1"/>
  <c r="D240" i="111" a="1"/>
  <c r="D240" i="111" s="1"/>
  <c r="S239" i="111" a="1"/>
  <c r="S239" i="111" s="1"/>
  <c r="R239" i="111" a="1"/>
  <c r="R239" i="111" s="1"/>
  <c r="Q239" i="111" a="1"/>
  <c r="Q239" i="111" s="1"/>
  <c r="P239" i="111" a="1"/>
  <c r="P239" i="111" s="1"/>
  <c r="O239" i="111" a="1"/>
  <c r="O239" i="111" s="1"/>
  <c r="N239" i="111" a="1"/>
  <c r="N239" i="111" s="1"/>
  <c r="M239" i="111" a="1"/>
  <c r="M239" i="111" s="1"/>
  <c r="L239" i="111" a="1"/>
  <c r="L239" i="111" s="1"/>
  <c r="K239" i="111" a="1"/>
  <c r="K239" i="111" s="1"/>
  <c r="J239" i="111" a="1"/>
  <c r="J239" i="111" s="1"/>
  <c r="I239" i="111" a="1"/>
  <c r="I239" i="111" s="1"/>
  <c r="H239" i="111" a="1"/>
  <c r="H239" i="111" s="1"/>
  <c r="G239" i="111" a="1"/>
  <c r="G239" i="111" s="1"/>
  <c r="F239" i="111" a="1"/>
  <c r="F239" i="111" s="1"/>
  <c r="E239" i="111" a="1"/>
  <c r="E239" i="111" s="1"/>
  <c r="D239" i="111" a="1"/>
  <c r="D239" i="111" s="1"/>
  <c r="S238" i="111" a="1"/>
  <c r="S238" i="111" s="1"/>
  <c r="R238" i="111" a="1"/>
  <c r="R238" i="111" s="1"/>
  <c r="Q238" i="111" a="1"/>
  <c r="Q238" i="111" s="1"/>
  <c r="P238" i="111" a="1"/>
  <c r="P238" i="111" s="1"/>
  <c r="O238" i="111" a="1"/>
  <c r="O238" i="111" s="1"/>
  <c r="N238" i="111" a="1"/>
  <c r="N238" i="111" s="1"/>
  <c r="M238" i="111" a="1"/>
  <c r="M238" i="111" s="1"/>
  <c r="L238" i="111" a="1"/>
  <c r="L238" i="111" s="1"/>
  <c r="K238" i="111" a="1"/>
  <c r="K238" i="111" s="1"/>
  <c r="J238" i="111" a="1"/>
  <c r="J238" i="111" s="1"/>
  <c r="I238" i="111" a="1"/>
  <c r="I238" i="111" s="1"/>
  <c r="H238" i="111" a="1"/>
  <c r="H238" i="111" s="1"/>
  <c r="G238" i="111" a="1"/>
  <c r="G238" i="111" s="1"/>
  <c r="F238" i="111" a="1"/>
  <c r="F238" i="111" s="1"/>
  <c r="E238" i="111" a="1"/>
  <c r="E238" i="111" s="1"/>
  <c r="D238" i="111" a="1"/>
  <c r="D238" i="111" s="1"/>
  <c r="S237" i="111" a="1"/>
  <c r="S237" i="111" s="1"/>
  <c r="R237" i="111" a="1"/>
  <c r="R237" i="111" s="1"/>
  <c r="Q237" i="111" a="1"/>
  <c r="Q237" i="111" s="1"/>
  <c r="P237" i="111" a="1"/>
  <c r="P237" i="111" s="1"/>
  <c r="O237" i="111" a="1"/>
  <c r="O237" i="111" s="1"/>
  <c r="N237" i="111" a="1"/>
  <c r="N237" i="111" s="1"/>
  <c r="M237" i="111" a="1"/>
  <c r="M237" i="111" s="1"/>
  <c r="L237" i="111" a="1"/>
  <c r="L237" i="111" s="1"/>
  <c r="K237" i="111" a="1"/>
  <c r="K237" i="111" s="1"/>
  <c r="J237" i="111" a="1"/>
  <c r="J237" i="111" s="1"/>
  <c r="I237" i="111" a="1"/>
  <c r="I237" i="111" s="1"/>
  <c r="H237" i="111" a="1"/>
  <c r="H237" i="111" s="1"/>
  <c r="G237" i="111" a="1"/>
  <c r="G237" i="111" s="1"/>
  <c r="F237" i="111" a="1"/>
  <c r="F237" i="111" s="1"/>
  <c r="E237" i="111" a="1"/>
  <c r="E237" i="111" s="1"/>
  <c r="D237" i="111" a="1"/>
  <c r="D237" i="111" s="1"/>
  <c r="S236" i="111" a="1"/>
  <c r="S236" i="111" s="1"/>
  <c r="R236" i="111" a="1"/>
  <c r="R236" i="111" s="1"/>
  <c r="Q236" i="111" a="1"/>
  <c r="Q236" i="111" s="1"/>
  <c r="P236" i="111" a="1"/>
  <c r="P236" i="111" s="1"/>
  <c r="O236" i="111" a="1"/>
  <c r="O236" i="111" s="1"/>
  <c r="N236" i="111" a="1"/>
  <c r="N236" i="111" s="1"/>
  <c r="M236" i="111" a="1"/>
  <c r="M236" i="111" s="1"/>
  <c r="L236" i="111" a="1"/>
  <c r="L236" i="111" s="1"/>
  <c r="K236" i="111" a="1"/>
  <c r="K236" i="111" s="1"/>
  <c r="J236" i="111" a="1"/>
  <c r="J236" i="111" s="1"/>
  <c r="I236" i="111" a="1"/>
  <c r="I236" i="111" s="1"/>
  <c r="H236" i="111" a="1"/>
  <c r="H236" i="111" s="1"/>
  <c r="G236" i="111" a="1"/>
  <c r="G236" i="111" s="1"/>
  <c r="F236" i="111" a="1"/>
  <c r="F236" i="111" s="1"/>
  <c r="E236" i="111" a="1"/>
  <c r="E236" i="111" s="1"/>
  <c r="D236" i="111" a="1"/>
  <c r="D236" i="111" s="1"/>
  <c r="S235" i="111" a="1"/>
  <c r="S235" i="111" s="1"/>
  <c r="R235" i="111" a="1"/>
  <c r="R235" i="111" s="1"/>
  <c r="Q235" i="111" a="1"/>
  <c r="Q235" i="111" s="1"/>
  <c r="P235" i="111" a="1"/>
  <c r="P235" i="111" s="1"/>
  <c r="O235" i="111" a="1"/>
  <c r="O235" i="111" s="1"/>
  <c r="N235" i="111" a="1"/>
  <c r="N235" i="111" s="1"/>
  <c r="M235" i="111" a="1"/>
  <c r="M235" i="111" s="1"/>
  <c r="L235" i="111" a="1"/>
  <c r="L235" i="111" s="1"/>
  <c r="K235" i="111" a="1"/>
  <c r="K235" i="111" s="1"/>
  <c r="J235" i="111" a="1"/>
  <c r="J235" i="111" s="1"/>
  <c r="I235" i="111" a="1"/>
  <c r="I235" i="111" s="1"/>
  <c r="H235" i="111" a="1"/>
  <c r="H235" i="111" s="1"/>
  <c r="G235" i="111" a="1"/>
  <c r="G235" i="111" s="1"/>
  <c r="F235" i="111" a="1"/>
  <c r="F235" i="111" s="1"/>
  <c r="E235" i="111" a="1"/>
  <c r="E235" i="111" s="1"/>
  <c r="D235" i="111" a="1"/>
  <c r="D235" i="111" s="1"/>
  <c r="S234" i="111" a="1"/>
  <c r="S234" i="111" s="1"/>
  <c r="R234" i="111" a="1"/>
  <c r="R234" i="111" s="1"/>
  <c r="Q234" i="111" a="1"/>
  <c r="Q234" i="111" s="1"/>
  <c r="P234" i="111" a="1"/>
  <c r="P234" i="111" s="1"/>
  <c r="O234" i="111" a="1"/>
  <c r="O234" i="111" s="1"/>
  <c r="N234" i="111" a="1"/>
  <c r="N234" i="111" s="1"/>
  <c r="M234" i="111" a="1"/>
  <c r="M234" i="111" s="1"/>
  <c r="L234" i="111" a="1"/>
  <c r="L234" i="111" s="1"/>
  <c r="K234" i="111" a="1"/>
  <c r="K234" i="111" s="1"/>
  <c r="J234" i="111" a="1"/>
  <c r="J234" i="111" s="1"/>
  <c r="I234" i="111" a="1"/>
  <c r="I234" i="111" s="1"/>
  <c r="H234" i="111" a="1"/>
  <c r="H234" i="111" s="1"/>
  <c r="G234" i="111" a="1"/>
  <c r="G234" i="111" s="1"/>
  <c r="F234" i="111" a="1"/>
  <c r="F234" i="111" s="1"/>
  <c r="E234" i="111" a="1"/>
  <c r="E234" i="111" s="1"/>
  <c r="D234" i="111" a="1"/>
  <c r="D234" i="111" s="1"/>
  <c r="S233" i="111" a="1"/>
  <c r="S233" i="111" s="1"/>
  <c r="R233" i="111" a="1"/>
  <c r="R233" i="111" s="1"/>
  <c r="Q233" i="111" a="1"/>
  <c r="Q233" i="111" s="1"/>
  <c r="P233" i="111" a="1"/>
  <c r="P233" i="111" s="1"/>
  <c r="O233" i="111" a="1"/>
  <c r="O233" i="111" s="1"/>
  <c r="N233" i="111" a="1"/>
  <c r="N233" i="111" s="1"/>
  <c r="M233" i="111" a="1"/>
  <c r="M233" i="111" s="1"/>
  <c r="L233" i="111" a="1"/>
  <c r="L233" i="111" s="1"/>
  <c r="K233" i="111" a="1"/>
  <c r="K233" i="111" s="1"/>
  <c r="J233" i="111" a="1"/>
  <c r="J233" i="111" s="1"/>
  <c r="I233" i="111" a="1"/>
  <c r="I233" i="111" s="1"/>
  <c r="H233" i="111" a="1"/>
  <c r="H233" i="111" s="1"/>
  <c r="G233" i="111" a="1"/>
  <c r="G233" i="111" s="1"/>
  <c r="F233" i="111" a="1"/>
  <c r="F233" i="111" s="1"/>
  <c r="E233" i="111" a="1"/>
  <c r="E233" i="111" s="1"/>
  <c r="D233" i="111" a="1"/>
  <c r="D233" i="111" s="1"/>
  <c r="S232" i="111" a="1"/>
  <c r="S232" i="111" s="1"/>
  <c r="R232" i="111" a="1"/>
  <c r="R232" i="111" s="1"/>
  <c r="Q232" i="111" a="1"/>
  <c r="Q232" i="111" s="1"/>
  <c r="P232" i="111" a="1"/>
  <c r="P232" i="111" s="1"/>
  <c r="O232" i="111" a="1"/>
  <c r="O232" i="111" s="1"/>
  <c r="N232" i="111" a="1"/>
  <c r="N232" i="111" s="1"/>
  <c r="M232" i="111" a="1"/>
  <c r="M232" i="111" s="1"/>
  <c r="L232" i="111" a="1"/>
  <c r="L232" i="111" s="1"/>
  <c r="K232" i="111" a="1"/>
  <c r="K232" i="111" s="1"/>
  <c r="J232" i="111" a="1"/>
  <c r="J232" i="111" s="1"/>
  <c r="I232" i="111" a="1"/>
  <c r="I232" i="111" s="1"/>
  <c r="H232" i="111" a="1"/>
  <c r="H232" i="111" s="1"/>
  <c r="G232" i="111" a="1"/>
  <c r="G232" i="111" s="1"/>
  <c r="F232" i="111" a="1"/>
  <c r="F232" i="111" s="1"/>
  <c r="E232" i="111" a="1"/>
  <c r="E232" i="111" s="1"/>
  <c r="D232" i="111" a="1"/>
  <c r="D232" i="111" s="1"/>
  <c r="D229" i="111" a="1"/>
  <c r="D229" i="111" s="1"/>
  <c r="D228" i="111" a="1"/>
  <c r="D228" i="111" s="1"/>
  <c r="D227" i="111" a="1"/>
  <c r="D227" i="111" s="1"/>
  <c r="E224" i="111" a="1"/>
  <c r="E224" i="111" s="1"/>
  <c r="D224" i="111" a="1"/>
  <c r="D224" i="111" s="1"/>
  <c r="E223" i="111" a="1"/>
  <c r="E223" i="111" s="1"/>
  <c r="D223" i="111" a="1"/>
  <c r="D223" i="111" s="1"/>
  <c r="E222" i="111" a="1"/>
  <c r="E222" i="111" s="1"/>
  <c r="D222" i="111" a="1"/>
  <c r="D222" i="111" s="1"/>
  <c r="E221" i="111" a="1"/>
  <c r="E221" i="111" s="1"/>
  <c r="D221" i="111" a="1"/>
  <c r="D221" i="111" s="1"/>
  <c r="E220" i="111" a="1"/>
  <c r="E220" i="111" s="1"/>
  <c r="D220" i="111" a="1"/>
  <c r="D220" i="111" s="1"/>
  <c r="E219" i="111" a="1"/>
  <c r="E219" i="111" s="1"/>
  <c r="D219" i="111" a="1"/>
  <c r="D219" i="111" s="1"/>
  <c r="E218" i="111" a="1"/>
  <c r="E218" i="111" s="1"/>
  <c r="D218" i="111" a="1"/>
  <c r="D218" i="111" s="1"/>
  <c r="E217" i="111" a="1"/>
  <c r="E217" i="111" s="1"/>
  <c r="D217" i="111" a="1"/>
  <c r="D217" i="111" s="1"/>
  <c r="E216" i="111" a="1"/>
  <c r="E216" i="111" s="1"/>
  <c r="D216" i="111" a="1"/>
  <c r="D216" i="111" s="1"/>
  <c r="E215" i="111" a="1"/>
  <c r="E215" i="111" s="1"/>
  <c r="D215" i="111" a="1"/>
  <c r="D215" i="111" s="1"/>
  <c r="E214" i="111" a="1"/>
  <c r="E214" i="111" s="1"/>
  <c r="D214" i="111" a="1"/>
  <c r="D214" i="111" s="1"/>
  <c r="E213" i="111" a="1"/>
  <c r="E213" i="111" s="1"/>
  <c r="D213" i="111" a="1"/>
  <c r="D213" i="111" s="1"/>
  <c r="D211" i="111" a="1"/>
  <c r="D211" i="111" s="1"/>
  <c r="E208" i="111" a="1"/>
  <c r="E208" i="111" s="1"/>
  <c r="D208" i="111" a="1"/>
  <c r="D208" i="111" s="1"/>
  <c r="E207" i="111" a="1"/>
  <c r="E207" i="111" s="1"/>
  <c r="D207" i="111" a="1"/>
  <c r="D207" i="111" s="1"/>
  <c r="D205" i="111" a="1"/>
  <c r="D205" i="111" s="1"/>
  <c r="D204" i="111" a="1"/>
  <c r="D204" i="111" s="1"/>
  <c r="D203" i="111" a="1"/>
  <c r="D203" i="111" s="1"/>
  <c r="D202" i="111" a="1"/>
  <c r="D202" i="111" s="1"/>
  <c r="H199" i="111" a="1"/>
  <c r="H199" i="111" s="1"/>
  <c r="G199" i="111" a="1"/>
  <c r="G199" i="111" s="1"/>
  <c r="F199" i="111" a="1"/>
  <c r="F199" i="111" s="1"/>
  <c r="E199" i="111" a="1"/>
  <c r="E199" i="111" s="1"/>
  <c r="D199" i="111" a="1"/>
  <c r="D199" i="111" s="1"/>
  <c r="H198" i="111" a="1"/>
  <c r="H198" i="111" s="1"/>
  <c r="G198" i="111" a="1"/>
  <c r="G198" i="111" s="1"/>
  <c r="F198" i="111" a="1"/>
  <c r="F198" i="111" s="1"/>
  <c r="E198" i="111" a="1"/>
  <c r="E198" i="111" s="1"/>
  <c r="D198" i="111" a="1"/>
  <c r="D198" i="111" s="1"/>
  <c r="H197" i="111" a="1"/>
  <c r="H197" i="111" s="1"/>
  <c r="G197" i="111" a="1"/>
  <c r="G197" i="111" s="1"/>
  <c r="F197" i="111" a="1"/>
  <c r="F197" i="111" s="1"/>
  <c r="E197" i="111" a="1"/>
  <c r="E197" i="111" s="1"/>
  <c r="D197" i="111" a="1"/>
  <c r="D197" i="111" s="1"/>
  <c r="H196" i="111" a="1"/>
  <c r="H196" i="111" s="1"/>
  <c r="G196" i="111" a="1"/>
  <c r="G196" i="111" s="1"/>
  <c r="F196" i="111" a="1"/>
  <c r="F196" i="111" s="1"/>
  <c r="E196" i="111" a="1"/>
  <c r="E196" i="111" s="1"/>
  <c r="D196" i="111" a="1"/>
  <c r="D196" i="111" s="1"/>
  <c r="H195" i="111" a="1"/>
  <c r="H195" i="111" s="1"/>
  <c r="G195" i="111" a="1"/>
  <c r="G195" i="111" s="1"/>
  <c r="F195" i="111" a="1"/>
  <c r="F195" i="111" s="1"/>
  <c r="E195" i="111" a="1"/>
  <c r="E195" i="111" s="1"/>
  <c r="D195" i="111" a="1"/>
  <c r="D195" i="111" s="1"/>
  <c r="H194" i="111" a="1"/>
  <c r="H194" i="111" s="1"/>
  <c r="G194" i="111" a="1"/>
  <c r="G194" i="111" s="1"/>
  <c r="F194" i="111" a="1"/>
  <c r="F194" i="111" s="1"/>
  <c r="E194" i="111" a="1"/>
  <c r="E194" i="111" s="1"/>
  <c r="D194" i="111" a="1"/>
  <c r="D194" i="111" s="1"/>
  <c r="H193" i="111" a="1"/>
  <c r="H193" i="111" s="1"/>
  <c r="G193" i="111" a="1"/>
  <c r="G193" i="111" s="1"/>
  <c r="F193" i="111" a="1"/>
  <c r="F193" i="111" s="1"/>
  <c r="E193" i="111" a="1"/>
  <c r="E193" i="111" s="1"/>
  <c r="D193" i="111" a="1"/>
  <c r="D193" i="111" s="1"/>
  <c r="H192" i="111" a="1"/>
  <c r="H192" i="111" s="1"/>
  <c r="G192" i="111" a="1"/>
  <c r="G192" i="111" s="1"/>
  <c r="F192" i="111" a="1"/>
  <c r="F192" i="111" s="1"/>
  <c r="E192" i="111" a="1"/>
  <c r="E192" i="111" s="1"/>
  <c r="D192" i="111" a="1"/>
  <c r="D192" i="111" s="1"/>
  <c r="H191" i="111" a="1"/>
  <c r="H191" i="111" s="1"/>
  <c r="G191" i="111" a="1"/>
  <c r="G191" i="111" s="1"/>
  <c r="F191" i="111" a="1"/>
  <c r="F191" i="111" s="1"/>
  <c r="E191" i="111" a="1"/>
  <c r="E191" i="111" s="1"/>
  <c r="D191" i="111" a="1"/>
  <c r="D191" i="111" s="1"/>
  <c r="H190" i="111" a="1"/>
  <c r="H190" i="111" s="1"/>
  <c r="G190" i="111" a="1"/>
  <c r="G190" i="111" s="1"/>
  <c r="F190" i="111" a="1"/>
  <c r="F190" i="111" s="1"/>
  <c r="E190" i="111" a="1"/>
  <c r="E190" i="111" s="1"/>
  <c r="D190" i="111" a="1"/>
  <c r="D190" i="111" s="1"/>
  <c r="H189" i="111" a="1"/>
  <c r="H189" i="111" s="1"/>
  <c r="G189" i="111" a="1"/>
  <c r="G189" i="111" s="1"/>
  <c r="F189" i="111" a="1"/>
  <c r="F189" i="111" s="1"/>
  <c r="E189" i="111" a="1"/>
  <c r="E189" i="111" s="1"/>
  <c r="D189" i="111" a="1"/>
  <c r="D189" i="111" s="1"/>
  <c r="H188" i="111" a="1"/>
  <c r="H188" i="111" s="1"/>
  <c r="G188" i="111" a="1"/>
  <c r="G188" i="111" s="1"/>
  <c r="F188" i="111" a="1"/>
  <c r="F188" i="111" s="1"/>
  <c r="E188" i="111" a="1"/>
  <c r="E188" i="111" s="1"/>
  <c r="D188" i="111" a="1"/>
  <c r="D188" i="111" s="1"/>
  <c r="H187" i="111" a="1"/>
  <c r="H187" i="111" s="1"/>
  <c r="G187" i="111" a="1"/>
  <c r="G187" i="111" s="1"/>
  <c r="F187" i="111" a="1"/>
  <c r="F187" i="111" s="1"/>
  <c r="E187" i="111" a="1"/>
  <c r="E187" i="111" s="1"/>
  <c r="D187" i="111" a="1"/>
  <c r="D187" i="111" s="1"/>
  <c r="D181" i="111" a="1"/>
  <c r="D181" i="111" s="1"/>
  <c r="D180" i="111" a="1"/>
  <c r="D180" i="111" s="1"/>
  <c r="D179" i="111" a="1"/>
  <c r="D179" i="111" s="1"/>
  <c r="D178" i="111" a="1"/>
  <c r="D178" i="111" s="1"/>
  <c r="E175" i="111" a="1"/>
  <c r="E175" i="111" s="1"/>
  <c r="D175" i="111" a="1"/>
  <c r="D175" i="111" s="1"/>
  <c r="D174" i="111" a="1"/>
  <c r="D174" i="111" s="1"/>
  <c r="D173" i="111" a="1"/>
  <c r="D173" i="111" s="1"/>
  <c r="D170" i="111" a="1"/>
  <c r="D170" i="111" s="1"/>
  <c r="D169" i="111" a="1"/>
  <c r="D169" i="111" s="1"/>
  <c r="D168" i="111" a="1"/>
  <c r="D168" i="111" s="1"/>
  <c r="D167" i="111" a="1"/>
  <c r="D167" i="111" s="1"/>
  <c r="D164" i="111" a="1"/>
  <c r="D164" i="111" s="1"/>
  <c r="D163" i="111" a="1"/>
  <c r="D163" i="111" s="1"/>
  <c r="D162" i="111" a="1"/>
  <c r="D162" i="111" s="1"/>
  <c r="D161" i="111" a="1"/>
  <c r="D161" i="111" s="1"/>
  <c r="E158" i="111" a="1"/>
  <c r="E158" i="111" s="1"/>
  <c r="D158" i="111" a="1"/>
  <c r="D158" i="111" s="1"/>
  <c r="E157" i="111" a="1"/>
  <c r="E157" i="111" s="1"/>
  <c r="D157" i="111" a="1"/>
  <c r="D157" i="111" s="1"/>
  <c r="E156" i="111" a="1"/>
  <c r="E156" i="111" s="1"/>
  <c r="D156" i="111" a="1"/>
  <c r="D156" i="111" s="1"/>
  <c r="E155" i="111" a="1"/>
  <c r="E155" i="111" s="1"/>
  <c r="D155" i="111" a="1"/>
  <c r="D155" i="111" s="1"/>
  <c r="E154" i="111" a="1"/>
  <c r="E154" i="111" s="1"/>
  <c r="D154" i="111" a="1"/>
  <c r="D154" i="111" s="1"/>
  <c r="D151" i="111" a="1"/>
  <c r="D151" i="111" s="1"/>
  <c r="D150" i="111" a="1"/>
  <c r="D150" i="111" s="1"/>
  <c r="E147" i="111" a="1"/>
  <c r="E147" i="111" s="1"/>
  <c r="D147" i="111" a="1"/>
  <c r="D147" i="111" s="1"/>
  <c r="E146" i="111" a="1"/>
  <c r="E146" i="111" s="1"/>
  <c r="D146" i="111" a="1"/>
  <c r="D146" i="111" s="1"/>
  <c r="E145" i="111" a="1"/>
  <c r="E145" i="111" s="1"/>
  <c r="D145" i="111" a="1"/>
  <c r="D145" i="111" s="1"/>
  <c r="E144" i="111" a="1"/>
  <c r="E144" i="111" s="1"/>
  <c r="D144" i="111" a="1"/>
  <c r="D144" i="111" s="1"/>
  <c r="E143" i="111" a="1"/>
  <c r="E143" i="111" s="1"/>
  <c r="D143" i="111" a="1"/>
  <c r="D143" i="111" s="1"/>
  <c r="D141" i="111" a="1"/>
  <c r="D141" i="111" s="1"/>
  <c r="D140" i="111" a="1"/>
  <c r="D140" i="111" s="1"/>
  <c r="D139" i="111" a="1"/>
  <c r="D139" i="111" s="1"/>
  <c r="E136" i="111" a="1"/>
  <c r="E136" i="111" s="1"/>
  <c r="D136" i="111" a="1"/>
  <c r="D136" i="111" s="1"/>
  <c r="E135" i="111" a="1"/>
  <c r="E135" i="111" s="1"/>
  <c r="D135" i="111" a="1"/>
  <c r="D135" i="111" s="1"/>
  <c r="D133" i="111" a="1"/>
  <c r="D133" i="111" s="1"/>
  <c r="D132" i="111" a="1"/>
  <c r="D132" i="111" s="1"/>
  <c r="E129" i="111" a="1"/>
  <c r="E129" i="111" s="1"/>
  <c r="D129" i="111" a="1"/>
  <c r="D129" i="111" s="1"/>
  <c r="E128" i="111" a="1"/>
  <c r="E128" i="111" s="1"/>
  <c r="D128" i="111" a="1"/>
  <c r="D128" i="111" s="1"/>
  <c r="D125" i="111" a="1"/>
  <c r="D125" i="111" s="1"/>
  <c r="D124" i="111" a="1"/>
  <c r="D124" i="111" s="1"/>
  <c r="G121" i="111" a="1"/>
  <c r="G121" i="111" s="1"/>
  <c r="F121" i="111" a="1"/>
  <c r="F121" i="111" s="1"/>
  <c r="E121" i="111" a="1"/>
  <c r="E121" i="111" s="1"/>
  <c r="D121" i="111" a="1"/>
  <c r="D121" i="111" s="1"/>
  <c r="G120" i="111" a="1"/>
  <c r="G120" i="111" s="1"/>
  <c r="F120" i="111" a="1"/>
  <c r="F120" i="111" s="1"/>
  <c r="E120" i="111" a="1"/>
  <c r="E120" i="111" s="1"/>
  <c r="D120" i="111" a="1"/>
  <c r="D120" i="111" s="1"/>
  <c r="D117" i="111" a="1"/>
  <c r="D117" i="111" s="1"/>
  <c r="D116" i="111" a="1"/>
  <c r="D116" i="111" s="1"/>
  <c r="D115" i="111" a="1"/>
  <c r="D115" i="111" s="1"/>
  <c r="G112" i="111" a="1"/>
  <c r="G112" i="111" s="1"/>
  <c r="F112" i="111" a="1"/>
  <c r="F112" i="111" s="1"/>
  <c r="E112" i="111" a="1"/>
  <c r="E112" i="111" s="1"/>
  <c r="D112" i="111" a="1"/>
  <c r="D112" i="111" s="1"/>
  <c r="G111" i="111" a="1"/>
  <c r="G111" i="111" s="1"/>
  <c r="F111" i="111" a="1"/>
  <c r="F111" i="111" s="1"/>
  <c r="E111" i="111" a="1"/>
  <c r="E111" i="111" s="1"/>
  <c r="D111" i="111" a="1"/>
  <c r="D111" i="111" s="1"/>
  <c r="G110" i="111" a="1"/>
  <c r="G110" i="111" s="1"/>
  <c r="F110" i="111" a="1"/>
  <c r="F110" i="111" s="1"/>
  <c r="E110" i="111" a="1"/>
  <c r="E110" i="111" s="1"/>
  <c r="D110" i="111" a="1"/>
  <c r="D110" i="111" s="1"/>
  <c r="D107" i="111" a="1"/>
  <c r="D107" i="111" s="1"/>
  <c r="D106" i="111" a="1"/>
  <c r="D106" i="111" s="1"/>
  <c r="D105" i="111" a="1"/>
  <c r="D105" i="111" s="1"/>
  <c r="D98" i="111" a="1"/>
  <c r="D98" i="111" s="1"/>
  <c r="S97" i="111" a="1"/>
  <c r="S97" i="111" s="1"/>
  <c r="R97" i="111" a="1"/>
  <c r="R97" i="111" s="1"/>
  <c r="Q97" i="111" a="1"/>
  <c r="Q97" i="111" s="1"/>
  <c r="P97" i="111" a="1"/>
  <c r="P97" i="111" s="1"/>
  <c r="O97" i="111" a="1"/>
  <c r="O97" i="111" s="1"/>
  <c r="N97" i="111" a="1"/>
  <c r="N97" i="111" s="1"/>
  <c r="M97" i="111" a="1"/>
  <c r="M97" i="111" s="1"/>
  <c r="L97" i="111" a="1"/>
  <c r="L97" i="111" s="1"/>
  <c r="K97" i="111" a="1"/>
  <c r="K97" i="111" s="1"/>
  <c r="J97" i="111" a="1"/>
  <c r="J97" i="111" s="1"/>
  <c r="I97" i="111" a="1"/>
  <c r="I97" i="111" s="1"/>
  <c r="H97" i="111" a="1"/>
  <c r="H97" i="111" s="1"/>
  <c r="G97" i="111" a="1"/>
  <c r="G97" i="111" s="1"/>
  <c r="F97" i="111" a="1"/>
  <c r="F97" i="111" s="1"/>
  <c r="E97" i="111" a="1"/>
  <c r="E97" i="111" s="1"/>
  <c r="D97" i="111" a="1"/>
  <c r="D97" i="111" s="1"/>
  <c r="S96" i="111" a="1"/>
  <c r="S96" i="111" s="1"/>
  <c r="R96" i="111" a="1"/>
  <c r="R96" i="111" s="1"/>
  <c r="Q96" i="111" a="1"/>
  <c r="Q96" i="111" s="1"/>
  <c r="P96" i="111" a="1"/>
  <c r="P96" i="111" s="1"/>
  <c r="O96" i="111" a="1"/>
  <c r="O96" i="111" s="1"/>
  <c r="N96" i="111" a="1"/>
  <c r="N96" i="111" s="1"/>
  <c r="M96" i="111" a="1"/>
  <c r="M96" i="111" s="1"/>
  <c r="L96" i="111" a="1"/>
  <c r="L96" i="111" s="1"/>
  <c r="K96" i="111" a="1"/>
  <c r="K96" i="111" s="1"/>
  <c r="J96" i="111" a="1"/>
  <c r="J96" i="111" s="1"/>
  <c r="I96" i="111" a="1"/>
  <c r="I96" i="111" s="1"/>
  <c r="H96" i="111" a="1"/>
  <c r="H96" i="111" s="1"/>
  <c r="G96" i="111" a="1"/>
  <c r="G96" i="111" s="1"/>
  <c r="F96" i="111" a="1"/>
  <c r="F96" i="111" s="1"/>
  <c r="E96" i="111" a="1"/>
  <c r="E96" i="111" s="1"/>
  <c r="D96" i="111" a="1"/>
  <c r="D96" i="111" s="1"/>
  <c r="S95" i="111" a="1"/>
  <c r="S95" i="111" s="1"/>
  <c r="R95" i="111" a="1"/>
  <c r="R95" i="111" s="1"/>
  <c r="Q95" i="111" a="1"/>
  <c r="Q95" i="111" s="1"/>
  <c r="P95" i="111" a="1"/>
  <c r="P95" i="111" s="1"/>
  <c r="O95" i="111" a="1"/>
  <c r="O95" i="111" s="1"/>
  <c r="N95" i="111" a="1"/>
  <c r="N95" i="111" s="1"/>
  <c r="M95" i="111" a="1"/>
  <c r="M95" i="111" s="1"/>
  <c r="L95" i="111" a="1"/>
  <c r="L95" i="111" s="1"/>
  <c r="K95" i="111" a="1"/>
  <c r="K95" i="111" s="1"/>
  <c r="J95" i="111" a="1"/>
  <c r="J95" i="111" s="1"/>
  <c r="I95" i="111" a="1"/>
  <c r="I95" i="111" s="1"/>
  <c r="H95" i="111" a="1"/>
  <c r="H95" i="111" s="1"/>
  <c r="G95" i="111" a="1"/>
  <c r="G95" i="111" s="1"/>
  <c r="F95" i="111" a="1"/>
  <c r="F95" i="111" s="1"/>
  <c r="E95" i="111" a="1"/>
  <c r="E95" i="111" s="1"/>
  <c r="D95" i="111" a="1"/>
  <c r="D95" i="111" s="1"/>
  <c r="S94" i="111" a="1"/>
  <c r="S94" i="111" s="1"/>
  <c r="R94" i="111" a="1"/>
  <c r="R94" i="111" s="1"/>
  <c r="Q94" i="111" a="1"/>
  <c r="Q94" i="111" s="1"/>
  <c r="P94" i="111" a="1"/>
  <c r="P94" i="111" s="1"/>
  <c r="O94" i="111" a="1"/>
  <c r="O94" i="111" s="1"/>
  <c r="N94" i="111" a="1"/>
  <c r="N94" i="111" s="1"/>
  <c r="M94" i="111" a="1"/>
  <c r="M94" i="111" s="1"/>
  <c r="L94" i="111" a="1"/>
  <c r="L94" i="111" s="1"/>
  <c r="K94" i="111" a="1"/>
  <c r="K94" i="111" s="1"/>
  <c r="J94" i="111" a="1"/>
  <c r="J94" i="111" s="1"/>
  <c r="I94" i="111" a="1"/>
  <c r="I94" i="111" s="1"/>
  <c r="H94" i="111" a="1"/>
  <c r="H94" i="111" s="1"/>
  <c r="G94" i="111" a="1"/>
  <c r="G94" i="111" s="1"/>
  <c r="F94" i="111" a="1"/>
  <c r="F94" i="111" s="1"/>
  <c r="E94" i="111" a="1"/>
  <c r="E94" i="111" s="1"/>
  <c r="D94" i="111" a="1"/>
  <c r="D94" i="111" s="1"/>
  <c r="S93" i="111" a="1"/>
  <c r="S93" i="111" s="1"/>
  <c r="R93" i="111" a="1"/>
  <c r="R93" i="111" s="1"/>
  <c r="Q93" i="111" a="1"/>
  <c r="Q93" i="111" s="1"/>
  <c r="P93" i="111" a="1"/>
  <c r="P93" i="111" s="1"/>
  <c r="O93" i="111" a="1"/>
  <c r="O93" i="111" s="1"/>
  <c r="N93" i="111" a="1"/>
  <c r="N93" i="111" s="1"/>
  <c r="M93" i="111" a="1"/>
  <c r="M93" i="111" s="1"/>
  <c r="L93" i="111" a="1"/>
  <c r="L93" i="111" s="1"/>
  <c r="K93" i="111" a="1"/>
  <c r="K93" i="111" s="1"/>
  <c r="J93" i="111" a="1"/>
  <c r="J93" i="111" s="1"/>
  <c r="I93" i="111" a="1"/>
  <c r="I93" i="111" s="1"/>
  <c r="H93" i="111" a="1"/>
  <c r="H93" i="111" s="1"/>
  <c r="G93" i="111" a="1"/>
  <c r="G93" i="111" s="1"/>
  <c r="F93" i="111" a="1"/>
  <c r="F93" i="111" s="1"/>
  <c r="E93" i="111" a="1"/>
  <c r="E93" i="111" s="1"/>
  <c r="D93" i="111" a="1"/>
  <c r="D93" i="111" s="1"/>
  <c r="S92" i="111" a="1"/>
  <c r="S92" i="111" s="1"/>
  <c r="R92" i="111" a="1"/>
  <c r="R92" i="111" s="1"/>
  <c r="Q92" i="111" a="1"/>
  <c r="Q92" i="111" s="1"/>
  <c r="P92" i="111" a="1"/>
  <c r="P92" i="111" s="1"/>
  <c r="O92" i="111" a="1"/>
  <c r="O92" i="111" s="1"/>
  <c r="N92" i="111" a="1"/>
  <c r="N92" i="111" s="1"/>
  <c r="M92" i="111" a="1"/>
  <c r="M92" i="111" s="1"/>
  <c r="L92" i="111" a="1"/>
  <c r="L92" i="111" s="1"/>
  <c r="K92" i="111" a="1"/>
  <c r="K92" i="111" s="1"/>
  <c r="J92" i="111" a="1"/>
  <c r="J92" i="111" s="1"/>
  <c r="I92" i="111" a="1"/>
  <c r="I92" i="111" s="1"/>
  <c r="H92" i="111" a="1"/>
  <c r="H92" i="111" s="1"/>
  <c r="G92" i="111" a="1"/>
  <c r="G92" i="111" s="1"/>
  <c r="F92" i="111" a="1"/>
  <c r="F92" i="111" s="1"/>
  <c r="E92" i="111" a="1"/>
  <c r="E92" i="111" s="1"/>
  <c r="D92" i="111" a="1"/>
  <c r="D92" i="111" s="1"/>
  <c r="S91" i="111" a="1"/>
  <c r="S91" i="111" s="1"/>
  <c r="R91" i="111" a="1"/>
  <c r="R91" i="111" s="1"/>
  <c r="Q91" i="111" a="1"/>
  <c r="Q91" i="111" s="1"/>
  <c r="P91" i="111" a="1"/>
  <c r="P91" i="111" s="1"/>
  <c r="O91" i="111" a="1"/>
  <c r="O91" i="111" s="1"/>
  <c r="N91" i="111" a="1"/>
  <c r="N91" i="111" s="1"/>
  <c r="M91" i="111" a="1"/>
  <c r="M91" i="111" s="1"/>
  <c r="L91" i="111" a="1"/>
  <c r="L91" i="111" s="1"/>
  <c r="K91" i="111" a="1"/>
  <c r="K91" i="111" s="1"/>
  <c r="J91" i="111" a="1"/>
  <c r="J91" i="111" s="1"/>
  <c r="I91" i="111" a="1"/>
  <c r="I91" i="111" s="1"/>
  <c r="H91" i="111" a="1"/>
  <c r="H91" i="111" s="1"/>
  <c r="G91" i="111" a="1"/>
  <c r="G91" i="111" s="1"/>
  <c r="F91" i="111" a="1"/>
  <c r="F91" i="111" s="1"/>
  <c r="E91" i="111" a="1"/>
  <c r="E91" i="111" s="1"/>
  <c r="D91" i="111" a="1"/>
  <c r="D91" i="111" s="1"/>
  <c r="S90" i="111" a="1"/>
  <c r="S90" i="111" s="1"/>
  <c r="R90" i="111" a="1"/>
  <c r="R90" i="111" s="1"/>
  <c r="Q90" i="111" a="1"/>
  <c r="Q90" i="111" s="1"/>
  <c r="P90" i="111" a="1"/>
  <c r="P90" i="111" s="1"/>
  <c r="O90" i="111" a="1"/>
  <c r="O90" i="111" s="1"/>
  <c r="N90" i="111" a="1"/>
  <c r="N90" i="111" s="1"/>
  <c r="M90" i="111" a="1"/>
  <c r="M90" i="111" s="1"/>
  <c r="L90" i="111" a="1"/>
  <c r="L90" i="111" s="1"/>
  <c r="K90" i="111" a="1"/>
  <c r="K90" i="111" s="1"/>
  <c r="J90" i="111" a="1"/>
  <c r="J90" i="111" s="1"/>
  <c r="I90" i="111" a="1"/>
  <c r="I90" i="111" s="1"/>
  <c r="H90" i="111" a="1"/>
  <c r="H90" i="111" s="1"/>
  <c r="G90" i="111" a="1"/>
  <c r="G90" i="111" s="1"/>
  <c r="F90" i="111" a="1"/>
  <c r="F90" i="111" s="1"/>
  <c r="E90" i="111" a="1"/>
  <c r="E90" i="111" s="1"/>
  <c r="D90" i="111" a="1"/>
  <c r="D90" i="111" s="1"/>
  <c r="D83" i="111" a="1"/>
  <c r="D83" i="111" s="1"/>
  <c r="D82" i="111" a="1"/>
  <c r="D82" i="111" s="1"/>
  <c r="D81" i="111" a="1"/>
  <c r="D81" i="111" s="1"/>
  <c r="E77" i="111" a="1"/>
  <c r="E77" i="111" s="1"/>
  <c r="D77" i="111" a="1"/>
  <c r="D77" i="111" s="1"/>
  <c r="E76" i="111" a="1"/>
  <c r="E76" i="111" s="1"/>
  <c r="D76" i="111" a="1"/>
  <c r="D76" i="111" s="1"/>
  <c r="E75" i="111" a="1"/>
  <c r="E75" i="111" s="1"/>
  <c r="D75" i="111" a="1"/>
  <c r="D75" i="111" s="1"/>
  <c r="E74" i="111" a="1"/>
  <c r="E74" i="111" s="1"/>
  <c r="D74" i="111" a="1"/>
  <c r="D74" i="111" s="1"/>
  <c r="E73" i="111" a="1"/>
  <c r="E73" i="111" s="1"/>
  <c r="D73" i="111" a="1"/>
  <c r="D73" i="111" s="1"/>
  <c r="E72" i="111" a="1"/>
  <c r="E72" i="111" s="1"/>
  <c r="D72" i="111" a="1"/>
  <c r="D72" i="111" s="1"/>
  <c r="E71" i="111" a="1"/>
  <c r="E71" i="111" s="1"/>
  <c r="D71" i="111" a="1"/>
  <c r="D71" i="111" s="1"/>
  <c r="E70" i="111" a="1"/>
  <c r="E70" i="111" s="1"/>
  <c r="D70" i="111" a="1"/>
  <c r="D70" i="111" s="1"/>
  <c r="E69" i="111" a="1"/>
  <c r="E69" i="111" s="1"/>
  <c r="D69" i="111" a="1"/>
  <c r="D69" i="111" s="1"/>
  <c r="E68" i="111" a="1"/>
  <c r="E68" i="111" s="1"/>
  <c r="D68" i="111" a="1"/>
  <c r="D68" i="111" s="1"/>
  <c r="E67" i="111" a="1"/>
  <c r="E67" i="111" s="1"/>
  <c r="D67" i="111" a="1"/>
  <c r="D67" i="111" s="1"/>
  <c r="E66" i="111" a="1"/>
  <c r="E66" i="111" s="1"/>
  <c r="D66" i="111" a="1"/>
  <c r="D66" i="111" s="1"/>
  <c r="E65" i="111" a="1"/>
  <c r="E65" i="111" s="1"/>
  <c r="D65" i="111" a="1"/>
  <c r="D65" i="111" s="1"/>
  <c r="E64" i="111" a="1"/>
  <c r="E64" i="111" s="1"/>
  <c r="D64" i="111" a="1"/>
  <c r="D64" i="111" s="1"/>
  <c r="D59" i="111" a="1"/>
  <c r="D59" i="111" s="1"/>
  <c r="D58" i="111" a="1"/>
  <c r="D58" i="111" s="1"/>
  <c r="D57" i="111" a="1"/>
  <c r="D57" i="111" s="1"/>
  <c r="G54" i="111" a="1"/>
  <c r="G54" i="111" s="1"/>
  <c r="F54" i="111" a="1"/>
  <c r="F54" i="111" s="1"/>
  <c r="E54" i="111" a="1"/>
  <c r="E54" i="111" s="1"/>
  <c r="D54" i="111" a="1"/>
  <c r="D54" i="111" s="1"/>
  <c r="G53" i="111" a="1"/>
  <c r="G53" i="111" s="1"/>
  <c r="F53" i="111" a="1"/>
  <c r="F53" i="111" s="1"/>
  <c r="E53" i="111" a="1"/>
  <c r="E53" i="111" s="1"/>
  <c r="D53" i="111" a="1"/>
  <c r="D53" i="111" s="1"/>
  <c r="G52" i="111" a="1"/>
  <c r="G52" i="111" s="1"/>
  <c r="F52" i="111" a="1"/>
  <c r="F52" i="111" s="1"/>
  <c r="E52" i="111" a="1"/>
  <c r="E52" i="111" s="1"/>
  <c r="D52" i="111" a="1"/>
  <c r="D52" i="111" s="1"/>
  <c r="G51" i="111" a="1"/>
  <c r="G51" i="111" s="1"/>
  <c r="F51" i="111" a="1"/>
  <c r="F51" i="111" s="1"/>
  <c r="E51" i="111" a="1"/>
  <c r="E51" i="111" s="1"/>
  <c r="D51" i="111" a="1"/>
  <c r="D51" i="111" s="1"/>
  <c r="G50" i="111" a="1"/>
  <c r="G50" i="111" s="1"/>
  <c r="F50" i="111" a="1"/>
  <c r="F50" i="111" s="1"/>
  <c r="E50" i="111" a="1"/>
  <c r="E50" i="111" s="1"/>
  <c r="D50" i="111" a="1"/>
  <c r="D50" i="111" s="1"/>
  <c r="G49" i="111" a="1"/>
  <c r="G49" i="111" s="1"/>
  <c r="F49" i="111" a="1"/>
  <c r="F49" i="111" s="1"/>
  <c r="E49" i="111" a="1"/>
  <c r="E49" i="111" s="1"/>
  <c r="D49" i="111" a="1"/>
  <c r="D49" i="111" s="1"/>
  <c r="G48" i="111" a="1"/>
  <c r="G48" i="111" s="1"/>
  <c r="F48" i="111" a="1"/>
  <c r="F48" i="111" s="1"/>
  <c r="E48" i="111" a="1"/>
  <c r="E48" i="111" s="1"/>
  <c r="D48" i="111" a="1"/>
  <c r="D48" i="111" s="1"/>
  <c r="D46" i="111" a="1"/>
  <c r="D46" i="111" s="1"/>
  <c r="D45" i="111" a="1"/>
  <c r="D45" i="111" s="1"/>
  <c r="E43" i="111" a="1"/>
  <c r="E43" i="111" s="1"/>
  <c r="D43" i="111" a="1"/>
  <c r="D43" i="111" s="1"/>
  <c r="E42" i="111" a="1"/>
  <c r="E42" i="111" s="1"/>
  <c r="D42" i="111" a="1"/>
  <c r="D42" i="111" s="1"/>
  <c r="E41" i="111" a="1"/>
  <c r="E41" i="111" s="1"/>
  <c r="D41" i="111" a="1"/>
  <c r="D41" i="111" s="1"/>
  <c r="E40" i="111" a="1"/>
  <c r="E40" i="111" s="1"/>
  <c r="D40" i="111" a="1"/>
  <c r="D40" i="111" s="1"/>
  <c r="E39" i="111" a="1"/>
  <c r="E39" i="111" s="1"/>
  <c r="D39" i="111" a="1"/>
  <c r="D39" i="111" s="1"/>
  <c r="E38" i="111" a="1"/>
  <c r="E38" i="111" s="1"/>
  <c r="D38" i="111" a="1"/>
  <c r="D38" i="111" s="1"/>
  <c r="E37" i="111" a="1"/>
  <c r="E37" i="111" s="1"/>
  <c r="D37" i="111" a="1"/>
  <c r="D37" i="111" s="1"/>
  <c r="D35" i="111" a="1"/>
  <c r="D35" i="111" s="1"/>
  <c r="D34" i="111" a="1"/>
  <c r="D34" i="111" s="1"/>
  <c r="D30" i="111" a="1"/>
  <c r="D30" i="111" s="1"/>
  <c r="D29" i="111" a="1"/>
  <c r="D29" i="111" s="1"/>
  <c r="D28" i="111" a="1"/>
  <c r="D28" i="111" s="1"/>
  <c r="D27" i="111" a="1"/>
  <c r="D27" i="111" s="1"/>
  <c r="D26" i="111" a="1"/>
  <c r="D26" i="111" s="1"/>
  <c r="D25" i="111" a="1"/>
  <c r="D25" i="111" s="1"/>
  <c r="D24" i="111" a="1"/>
  <c r="D24" i="111" s="1"/>
  <c r="D23" i="111" a="1"/>
  <c r="D23" i="111" s="1"/>
  <c r="D22" i="111" a="1"/>
  <c r="D22" i="111" s="1"/>
  <c r="D21" i="111" a="1"/>
  <c r="D21" i="111" s="1"/>
  <c r="D19" i="111" a="1"/>
  <c r="D19" i="111" s="1"/>
  <c r="D18" i="111" a="1"/>
  <c r="D18" i="111" s="1"/>
  <c r="F14" i="111" a="1"/>
  <c r="F14" i="111" s="1"/>
  <c r="E14" i="111" a="1"/>
  <c r="E14" i="111" s="1"/>
  <c r="D14" i="111" a="1"/>
  <c r="D14" i="111" s="1"/>
  <c r="F13" i="111" a="1"/>
  <c r="F13" i="111" s="1"/>
  <c r="E13" i="111" a="1"/>
  <c r="E13" i="111" s="1"/>
  <c r="D13" i="111" a="1"/>
  <c r="D13" i="111" s="1"/>
  <c r="F12" i="111" a="1"/>
  <c r="F12" i="111" s="1"/>
  <c r="E12" i="111" a="1"/>
  <c r="E12" i="111" s="1"/>
  <c r="D12" i="111" a="1"/>
  <c r="D12" i="111" s="1"/>
  <c r="F11" i="111" a="1"/>
  <c r="F11" i="111" s="1"/>
  <c r="E11" i="111" a="1"/>
  <c r="E11" i="111" s="1"/>
  <c r="D11" i="111" a="1"/>
  <c r="D11" i="111" s="1"/>
  <c r="F10" i="111" a="1"/>
  <c r="F10" i="111" s="1"/>
  <c r="E10" i="111" a="1"/>
  <c r="E10" i="111" s="1"/>
  <c r="D10" i="111" a="1"/>
  <c r="D10" i="111" s="1"/>
  <c r="F9" i="111" a="1"/>
  <c r="F9" i="111" s="1"/>
  <c r="E9" i="111" a="1"/>
  <c r="E9" i="111" s="1"/>
  <c r="D9" i="111" a="1"/>
  <c r="D9" i="111" s="1"/>
  <c r="F8" i="111" a="1"/>
  <c r="F8" i="111" s="1"/>
  <c r="E8" i="111" a="1"/>
  <c r="E8" i="111" s="1"/>
  <c r="D8" i="111" a="1"/>
  <c r="D8" i="111" s="1"/>
  <c r="F7" i="111" a="1"/>
  <c r="F7" i="111" s="1"/>
  <c r="E7" i="111" a="1"/>
  <c r="E7" i="111" s="1"/>
  <c r="D7" i="111" a="1"/>
  <c r="D7" i="111" s="1"/>
  <c r="D5" i="111" a="1"/>
  <c r="D5" i="111" s="1"/>
  <c r="I53" i="69"/>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V52" i="69" a="1"/>
  <c r="V52" i="69" s="1"/>
  <c r="S52" i="69" a="1"/>
  <c r="S52" i="69" s="1"/>
  <c r="R52" i="69" a="1"/>
  <c r="R52" i="69" s="1"/>
  <c r="E47" i="69" a="1"/>
  <c r="E47" i="69" s="1"/>
  <c r="F60" i="69" s="1"/>
  <c r="E46" i="69" a="1"/>
  <c r="E46" i="69" s="1"/>
  <c r="V49" i="69" a="1"/>
  <c r="V49" i="69" s="1"/>
  <c r="S49" i="69" a="1"/>
  <c r="S49" i="69" s="1"/>
  <c r="R49" i="69" a="1"/>
  <c r="R49" i="69" s="1"/>
  <c r="V48" i="69" a="1"/>
  <c r="V48" i="69" s="1"/>
  <c r="S48" i="69" a="1"/>
  <c r="S48" i="69" s="1"/>
  <c r="R48" i="69" a="1"/>
  <c r="R48"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3" i="70"/>
  <c r="G33" i="70"/>
  <c r="E25" i="114" s="1" a="1"/>
  <c r="Q54" i="69"/>
  <c r="Q53" i="69"/>
  <c r="Q52" i="69"/>
  <c r="Q49" i="69"/>
  <c r="Q48" i="69"/>
  <c r="F23" i="70"/>
  <c r="O93" i="69" a="1"/>
  <c r="O93" i="69" s="1"/>
  <c r="M90" i="69" a="1"/>
  <c r="M90" i="69" s="1"/>
  <c r="N82" i="69" a="1"/>
  <c r="N82" i="69" s="1"/>
  <c r="N77" i="69" a="1"/>
  <c r="N77" i="69" s="1"/>
  <c r="S71" i="69"/>
  <c r="T54" i="69"/>
  <c r="T53" i="69"/>
  <c r="T52" i="69"/>
  <c r="U52" i="69" s="1"/>
  <c r="T49" i="69"/>
  <c r="U49" i="69" s="1"/>
  <c r="T48" i="69"/>
  <c r="U48" i="69" s="1"/>
  <c r="N50" i="69" a="1"/>
  <c r="N50" i="69" s="1"/>
  <c r="N45" i="69" a="1"/>
  <c r="N45" i="69" s="1"/>
  <c r="S73" i="69"/>
  <c r="S70" i="69"/>
  <c r="F85" i="69" a="1"/>
  <c r="F85" i="69" s="1"/>
  <c r="D82" i="69" a="1"/>
  <c r="D82" i="69" s="1"/>
  <c r="E7" i="74" a="1"/>
  <c r="N60" i="69" a="1"/>
  <c r="E42" i="69" a="1"/>
  <c r="G149" i="115" l="1"/>
  <c r="G82" i="115"/>
  <c r="E25" i="114"/>
  <c r="G53" i="113"/>
  <c r="E33" i="15"/>
  <c r="E30" i="15"/>
  <c r="F58" i="74"/>
  <c r="F78" i="74"/>
  <c r="P91" i="69"/>
  <c r="G83" i="69"/>
  <c r="H50" i="111"/>
  <c r="I51" i="69" s="1"/>
  <c r="H51" i="111"/>
  <c r="H49" i="111"/>
  <c r="H53" i="111"/>
  <c r="H48" i="111"/>
  <c r="I51" i="74" s="1"/>
  <c r="H54" i="111"/>
  <c r="H52" i="111"/>
  <c r="J43" i="70"/>
  <c r="E7" i="74"/>
  <c r="N60" i="69"/>
  <c r="E42" i="69"/>
  <c r="U53" i="69"/>
  <c r="U54" i="69"/>
  <c r="I126" i="115" l="1"/>
  <c r="J51" i="115"/>
  <c r="J54" i="115"/>
  <c r="I129" i="115"/>
  <c r="I20" i="114"/>
  <c r="K46" i="113"/>
  <c r="S69" i="69"/>
  <c r="O88" i="69"/>
  <c r="E7" i="69" a="1"/>
  <c r="F144" i="115" l="1"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3" i="70"/>
  <c r="P50" i="69" a="1"/>
  <c r="P50" i="69" s="1"/>
  <c r="F80" i="69"/>
  <c r="E7" i="69"/>
  <c r="E146" i="115" l="1"/>
  <c r="G148" i="115" s="1"/>
  <c r="E151" i="115" s="1" a="1"/>
  <c r="E151" i="115" s="1"/>
  <c r="H13" i="13" s="1"/>
  <c r="I13" i="13" s="1"/>
  <c r="E31" i="114"/>
  <c r="P45" i="69"/>
  <c r="E13" i="13" l="1"/>
  <c r="F13" i="13" s="1"/>
  <c r="H12" i="13"/>
  <c r="I12" i="13" s="1"/>
  <c r="E12" i="13"/>
  <c r="F12" i="13" s="1"/>
  <c r="I52" i="69"/>
  <c r="I54" i="69"/>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W108" i="110" l="1"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J108" i="110" a="1"/>
  <c r="J108" i="110" s="1"/>
  <c r="I108" i="110" a="1"/>
  <c r="I108" i="110" s="1"/>
  <c r="H108" i="110" a="1"/>
  <c r="H108" i="110" s="1"/>
  <c r="G108" i="110" a="1"/>
  <c r="G108" i="110" s="1"/>
  <c r="F108" i="110" a="1"/>
  <c r="F108" i="110" s="1"/>
  <c r="E108" i="110" a="1"/>
  <c r="E108" i="110" s="1"/>
  <c r="D108" i="110" a="1"/>
  <c r="D108"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J107" i="110" a="1"/>
  <c r="J107" i="110" s="1"/>
  <c r="I107" i="110" a="1"/>
  <c r="I107" i="110" s="1"/>
  <c r="H107" i="110" a="1"/>
  <c r="H107" i="110" s="1"/>
  <c r="G107" i="110" a="1"/>
  <c r="G107" i="110" s="1"/>
  <c r="F107" i="110" a="1"/>
  <c r="F107" i="110" s="1"/>
  <c r="E107" i="110" a="1"/>
  <c r="E107" i="110" s="1"/>
  <c r="D107" i="110" a="1"/>
  <c r="D107"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J106" i="110" a="1"/>
  <c r="J106" i="110" s="1"/>
  <c r="I106" i="110" a="1"/>
  <c r="I106" i="110" s="1"/>
  <c r="H106" i="110" a="1"/>
  <c r="H106" i="110" s="1"/>
  <c r="G106" i="110" a="1"/>
  <c r="G106" i="110" s="1"/>
  <c r="F106" i="110" a="1"/>
  <c r="F106" i="110" s="1"/>
  <c r="E106" i="110" a="1"/>
  <c r="E106" i="110" s="1"/>
  <c r="D106" i="110" a="1"/>
  <c r="D106"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J105" i="110" a="1"/>
  <c r="J105" i="110" s="1"/>
  <c r="I105" i="110" a="1"/>
  <c r="I105" i="110" s="1"/>
  <c r="H105" i="110" a="1"/>
  <c r="H105" i="110" s="1"/>
  <c r="G105" i="110" a="1"/>
  <c r="G105" i="110" s="1"/>
  <c r="F105" i="110" a="1"/>
  <c r="F105" i="110" s="1"/>
  <c r="E105" i="110" a="1"/>
  <c r="E105" i="110" s="1"/>
  <c r="D105" i="110" a="1"/>
  <c r="D105"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J104" i="110" a="1"/>
  <c r="J104" i="110" s="1"/>
  <c r="I104" i="110" a="1"/>
  <c r="I104" i="110" s="1"/>
  <c r="H104" i="110" a="1"/>
  <c r="H104" i="110" s="1"/>
  <c r="G104" i="110" a="1"/>
  <c r="G104" i="110" s="1"/>
  <c r="F104" i="110" a="1"/>
  <c r="F104" i="110" s="1"/>
  <c r="E104" i="110" a="1"/>
  <c r="E104" i="110" s="1"/>
  <c r="D104" i="110" a="1"/>
  <c r="D104"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J103" i="110" a="1"/>
  <c r="J103" i="110" s="1"/>
  <c r="I103" i="110" a="1"/>
  <c r="I103" i="110" s="1"/>
  <c r="H103" i="110" a="1"/>
  <c r="H103" i="110" s="1"/>
  <c r="G103" i="110" a="1"/>
  <c r="G103" i="110" s="1"/>
  <c r="F103" i="110" a="1"/>
  <c r="F103" i="110" s="1"/>
  <c r="E103" i="110" a="1"/>
  <c r="E103" i="110" s="1"/>
  <c r="D103" i="110" a="1"/>
  <c r="D103"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J102" i="110" a="1"/>
  <c r="J102" i="110" s="1"/>
  <c r="I102" i="110" a="1"/>
  <c r="I102" i="110" s="1"/>
  <c r="H102" i="110" a="1"/>
  <c r="H102" i="110" s="1"/>
  <c r="G102" i="110" a="1"/>
  <c r="G102" i="110" s="1"/>
  <c r="F102" i="110" a="1"/>
  <c r="F102" i="110" s="1"/>
  <c r="E102" i="110" a="1"/>
  <c r="E102" i="110" s="1"/>
  <c r="D102" i="110" a="1"/>
  <c r="D102"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J101" i="110" a="1"/>
  <c r="J101" i="110" s="1"/>
  <c r="I101" i="110" a="1"/>
  <c r="I101" i="110" s="1"/>
  <c r="H101" i="110" a="1"/>
  <c r="H101" i="110" s="1"/>
  <c r="G101" i="110" a="1"/>
  <c r="G101" i="110" s="1"/>
  <c r="F101" i="110" a="1"/>
  <c r="F101" i="110" s="1"/>
  <c r="E101" i="110" a="1"/>
  <c r="E101" i="110" s="1"/>
  <c r="D101" i="110" a="1"/>
  <c r="D101"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J100" i="110" a="1"/>
  <c r="J100" i="110" s="1"/>
  <c r="I100" i="110" a="1"/>
  <c r="I100" i="110" s="1"/>
  <c r="H100" i="110" a="1"/>
  <c r="H100" i="110" s="1"/>
  <c r="G100" i="110" a="1"/>
  <c r="G100" i="110" s="1"/>
  <c r="F100" i="110" a="1"/>
  <c r="F100" i="110" s="1"/>
  <c r="E100" i="110" a="1"/>
  <c r="E100" i="110" s="1"/>
  <c r="D100" i="110" a="1"/>
  <c r="D100"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J99" i="110" a="1"/>
  <c r="J99" i="110" s="1"/>
  <c r="I99" i="110" a="1"/>
  <c r="I99" i="110" s="1"/>
  <c r="H99" i="110" a="1"/>
  <c r="H99" i="110" s="1"/>
  <c r="G99" i="110" a="1"/>
  <c r="G99" i="110" s="1"/>
  <c r="F99" i="110" a="1"/>
  <c r="F99" i="110" s="1"/>
  <c r="E99" i="110" a="1"/>
  <c r="E99" i="110" s="1"/>
  <c r="D99" i="110" a="1"/>
  <c r="D99"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J98" i="110" a="1"/>
  <c r="J98" i="110" s="1"/>
  <c r="I98" i="110" a="1"/>
  <c r="I98" i="110" s="1"/>
  <c r="H98" i="110" a="1"/>
  <c r="H98" i="110" s="1"/>
  <c r="G98" i="110" a="1"/>
  <c r="G98" i="110" s="1"/>
  <c r="F98" i="110" a="1"/>
  <c r="F98" i="110" s="1"/>
  <c r="E98" i="110" a="1"/>
  <c r="E98" i="110" s="1"/>
  <c r="D98" i="110" a="1"/>
  <c r="D98"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R19" i="70" l="1" a="1"/>
  <c r="R19" i="70" s="1"/>
  <c r="S19" i="70" a="1"/>
  <c r="S19" i="70" s="1"/>
  <c r="T19" i="70" a="1"/>
  <c r="T19" i="70" s="1"/>
  <c r="U19" i="70" a="1"/>
  <c r="U19" i="70" s="1"/>
  <c r="G18" i="70"/>
  <c r="I18" i="70" s="1"/>
  <c r="F18" i="70"/>
  <c r="J19" i="70" a="1"/>
  <c r="J19" i="70" s="1"/>
  <c r="K18" i="70" a="1"/>
  <c r="K18" i="70" s="1"/>
  <c r="K19" i="70" a="1"/>
  <c r="K19" i="70" s="1"/>
  <c r="J18" i="70" a="1"/>
  <c r="J18" i="70" s="1"/>
  <c r="L19" i="70" a="1"/>
  <c r="L19" i="70" s="1"/>
  <c r="M19" i="70" a="1"/>
  <c r="M19" i="70" s="1"/>
  <c r="X18" i="70"/>
  <c r="N19" i="70" a="1"/>
  <c r="N19" i="70" s="1"/>
  <c r="W18" i="70"/>
  <c r="O19" i="70" a="1"/>
  <c r="O19" i="70" s="1"/>
  <c r="P19" i="70" a="1"/>
  <c r="P19" i="70" s="1"/>
  <c r="Q19" i="70" a="1"/>
  <c r="Q19" i="70" s="1"/>
  <c r="F19" i="70"/>
  <c r="G19" i="70"/>
  <c r="P24" i="70"/>
  <c r="L18" i="70" a="1"/>
  <c r="L18" i="70" s="1"/>
  <c r="D23" i="116" a="1"/>
  <c r="D23" i="116" s="1"/>
  <c r="D59" i="115" a="1"/>
  <c r="D59" i="115" s="1"/>
  <c r="D19" i="115" a="1"/>
  <c r="F37" i="115" s="1" a="1"/>
  <c r="F37" i="115" s="1"/>
  <c r="G37" i="115" s="1" a="1"/>
  <c r="G37" i="115" s="1"/>
  <c r="H37" i="115" s="1" a="1"/>
  <c r="H37" i="115" s="1"/>
  <c r="E77" i="115" s="1"/>
  <c r="F77" i="115" s="1" a="1"/>
  <c r="F77" i="115" s="1"/>
  <c r="P18" i="70" a="1"/>
  <c r="P18" i="70" s="1"/>
  <c r="O18" i="70" a="1"/>
  <c r="O18" i="70" s="1"/>
  <c r="N18" i="70" a="1"/>
  <c r="N18" i="70" s="1"/>
  <c r="M18" i="70" a="1"/>
  <c r="M18" i="70" s="1"/>
  <c r="U18" i="70" a="1"/>
  <c r="U18" i="70" s="1"/>
  <c r="T18" i="70" a="1"/>
  <c r="T18" i="70" s="1"/>
  <c r="S18" i="70" a="1"/>
  <c r="S18" i="70" s="1"/>
  <c r="R18" i="70" a="1"/>
  <c r="R18" i="70" s="1"/>
  <c r="Q18" i="70" a="1"/>
  <c r="Q18" i="70" s="1"/>
  <c r="P23" i="70"/>
  <c r="D58" i="74" a="1"/>
  <c r="D58" i="74" s="1"/>
  <c r="D60" i="69" a="1"/>
  <c r="D60" i="69" s="1"/>
  <c r="D19" i="74" a="1"/>
  <c r="D19" i="69" a="1"/>
  <c r="A21" i="13"/>
  <c r="G37" i="69" l="1" a="1"/>
  <c r="G37" i="69" s="1"/>
  <c r="E78" i="69" s="1" a="1"/>
  <c r="E78" i="69" s="1"/>
  <c r="V19" i="70"/>
  <c r="I19" i="70"/>
  <c r="V18" i="70"/>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O50" i="69" l="1"/>
  <c r="T50" i="69" s="1"/>
  <c r="U50" i="69" s="1"/>
  <c r="Q51" i="69"/>
  <c r="W51" i="69"/>
  <c r="T51" i="69"/>
  <c r="U51" i="69" s="1"/>
  <c r="S51" i="69" a="1"/>
  <c r="S51" i="69" s="1"/>
  <c r="R51" i="69" a="1"/>
  <c r="R51" i="69" s="1"/>
  <c r="O45" i="69" a="1"/>
  <c r="S47" i="69" s="1" a="1"/>
  <c r="S47" i="69" s="1"/>
  <c r="G20" i="69" a="1"/>
  <c r="G20" i="69" s="1"/>
  <c r="E24" i="116" s="1"/>
  <c r="F24" i="116" s="1" a="1"/>
  <c r="F24" i="116" s="1"/>
  <c r="G24" i="74" a="1"/>
  <c r="G24" i="74" s="1"/>
  <c r="E63" i="74" s="1" a="1"/>
  <c r="E63" i="74" s="1"/>
  <c r="G27" i="69" a="1"/>
  <c r="G27" i="69" s="1"/>
  <c r="E31" i="116" s="1"/>
  <c r="F31" i="116" s="1" a="1"/>
  <c r="F31" i="116" s="1"/>
  <c r="G20" i="74" a="1"/>
  <c r="G20" i="74" s="1"/>
  <c r="E59" i="74" s="1" a="1"/>
  <c r="E59" i="74" s="1"/>
  <c r="G24" i="69" a="1"/>
  <c r="G24" i="69" s="1"/>
  <c r="E28" i="116" s="1"/>
  <c r="F28" i="116" s="1" a="1"/>
  <c r="F28" i="116" s="1"/>
  <c r="G32" i="69" a="1"/>
  <c r="G32" i="69" s="1"/>
  <c r="E36" i="116" s="1"/>
  <c r="F36" i="116" s="1" a="1"/>
  <c r="F36" i="116" s="1"/>
  <c r="G28" i="74" a="1"/>
  <c r="G28" i="74" s="1"/>
  <c r="E67" i="74" s="1" a="1"/>
  <c r="E67" i="74" s="1"/>
  <c r="G26" i="69" a="1"/>
  <c r="G26" i="69" s="1"/>
  <c r="E30" i="116" s="1"/>
  <c r="F30" i="116" s="1" a="1"/>
  <c r="F30" i="116" s="1"/>
  <c r="G34" i="69" a="1"/>
  <c r="G34" i="69" s="1"/>
  <c r="E38" i="116" s="1"/>
  <c r="F38" i="116" s="1" a="1"/>
  <c r="F38" i="116" s="1"/>
  <c r="G22" i="69" a="1"/>
  <c r="G22" i="69" s="1"/>
  <c r="E26" i="116" s="1"/>
  <c r="F26" i="116" s="1" a="1"/>
  <c r="F26" i="116" s="1"/>
  <c r="G34" i="74" a="1"/>
  <c r="G34" i="74" s="1"/>
  <c r="E73" i="74" s="1" a="1"/>
  <c r="E73" i="74" s="1"/>
  <c r="G32" i="74" a="1"/>
  <c r="G32" i="74" s="1"/>
  <c r="E71" i="74" s="1" a="1"/>
  <c r="E71" i="74" s="1"/>
  <c r="G29" i="69" a="1"/>
  <c r="G29" i="69" s="1"/>
  <c r="E33" i="116" s="1"/>
  <c r="F33" i="116" s="1" a="1"/>
  <c r="F33" i="116" s="1"/>
  <c r="G30" i="74" a="1"/>
  <c r="G30" i="74" s="1"/>
  <c r="E69" i="74" s="1" a="1"/>
  <c r="E69" i="74" s="1"/>
  <c r="G33" i="74" a="1"/>
  <c r="G33" i="74" s="1"/>
  <c r="E72" i="74" s="1" a="1"/>
  <c r="E72" i="74" s="1"/>
  <c r="G28" i="69" a="1"/>
  <c r="G28" i="69" s="1"/>
  <c r="E32" i="116" s="1"/>
  <c r="F32" i="116" s="1" a="1"/>
  <c r="F32" i="116" s="1"/>
  <c r="G19" i="69" a="1"/>
  <c r="G19" i="69" s="1"/>
  <c r="E23" i="116" s="1"/>
  <c r="F23" i="116" s="1" a="1"/>
  <c r="F23" i="116" s="1"/>
  <c r="G21" i="69" a="1"/>
  <c r="G21" i="69" s="1"/>
  <c r="E25" i="116" s="1"/>
  <c r="F25" i="116" s="1" a="1"/>
  <c r="F25" i="116" s="1"/>
  <c r="G23" i="74" a="1"/>
  <c r="G23" i="74" s="1"/>
  <c r="E62" i="74" s="1" a="1"/>
  <c r="E62" i="74" s="1"/>
  <c r="G23" i="69" a="1"/>
  <c r="G23" i="69" s="1"/>
  <c r="E27" i="116" s="1"/>
  <c r="F27" i="116" s="1" a="1"/>
  <c r="F27" i="116" s="1"/>
  <c r="G35" i="69" a="1"/>
  <c r="G35" i="69" s="1"/>
  <c r="E39" i="116" s="1"/>
  <c r="F39" i="116" s="1" a="1"/>
  <c r="F39" i="116" s="1"/>
  <c r="G35" i="74" a="1"/>
  <c r="G35" i="74" s="1"/>
  <c r="E74" i="74" s="1" a="1"/>
  <c r="E74" i="74" s="1"/>
  <c r="G25" i="69" a="1"/>
  <c r="G25" i="69" s="1"/>
  <c r="E29" i="116" s="1"/>
  <c r="F29" i="116" s="1" a="1"/>
  <c r="F29" i="116" s="1"/>
  <c r="G25" i="74" a="1"/>
  <c r="G25" i="74" s="1"/>
  <c r="E64" i="74" s="1" a="1"/>
  <c r="E64" i="74" s="1"/>
  <c r="G27" i="74" a="1"/>
  <c r="G27" i="74" s="1"/>
  <c r="E66" i="74" s="1" a="1"/>
  <c r="E66" i="74" s="1"/>
  <c r="G29" i="74" a="1"/>
  <c r="G29" i="74" s="1"/>
  <c r="E68" i="74" s="1" a="1"/>
  <c r="E68" i="74" s="1"/>
  <c r="G36" i="74" a="1"/>
  <c r="G36" i="74" s="1"/>
  <c r="E75" i="74" s="1" a="1"/>
  <c r="E75" i="74" s="1"/>
  <c r="G21" i="74" a="1"/>
  <c r="G21" i="74" s="1"/>
  <c r="E60" i="74" s="1" a="1"/>
  <c r="E60" i="74" s="1"/>
  <c r="G36" i="69" a="1"/>
  <c r="G36" i="69" s="1"/>
  <c r="E40" i="116" s="1"/>
  <c r="F40" i="116" s="1" a="1"/>
  <c r="F40" i="116" s="1"/>
  <c r="G30" i="69" a="1"/>
  <c r="G30" i="69" s="1"/>
  <c r="E34" i="116" s="1"/>
  <c r="F34" i="116" s="1" a="1"/>
  <c r="F34" i="116" s="1"/>
  <c r="G31" i="74" a="1"/>
  <c r="G31" i="74" s="1"/>
  <c r="E70" i="74" s="1" a="1"/>
  <c r="E70" i="74" s="1"/>
  <c r="G26" i="74" a="1"/>
  <c r="G26" i="74" s="1"/>
  <c r="E65" i="74" s="1" a="1"/>
  <c r="E65" i="74" s="1"/>
  <c r="G31" i="69" a="1"/>
  <c r="G31" i="69" s="1"/>
  <c r="E35" i="116" s="1"/>
  <c r="F35" i="116" s="1" a="1"/>
  <c r="F35" i="116" s="1"/>
  <c r="G19" i="74" a="1"/>
  <c r="G19" i="74" s="1"/>
  <c r="E58" i="74" s="1" a="1"/>
  <c r="E58" i="74" s="1"/>
  <c r="G33" i="69" a="1"/>
  <c r="G33" i="69" s="1"/>
  <c r="E37" i="116" s="1"/>
  <c r="F37" i="116" s="1" a="1"/>
  <c r="F37" i="116" s="1"/>
  <c r="G22" i="74" a="1"/>
  <c r="G22" i="74" s="1"/>
  <c r="E61" i="74" s="1" a="1"/>
  <c r="E61" i="74" s="1"/>
  <c r="S50" i="69" l="1" a="1"/>
  <c r="S50" i="69" s="1"/>
  <c r="R50" i="69" a="1"/>
  <c r="R50" i="69" s="1"/>
  <c r="Q50" i="69"/>
  <c r="V50" i="69" a="1"/>
  <c r="V50" i="69" s="1"/>
  <c r="V51" i="69" a="1"/>
  <c r="V51" i="69" s="1"/>
  <c r="J89" i="116"/>
  <c r="E94" i="116" s="1" a="1"/>
  <c r="E94" i="116"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S45" i="69" s="1" a="1"/>
  <c r="S45" i="69" s="1"/>
  <c r="R47" i="69" a="1"/>
  <c r="R47" i="69" s="1"/>
  <c r="Q47" i="69"/>
  <c r="T45" i="69" l="1"/>
  <c r="U45" i="69" s="1"/>
  <c r="H10" i="13"/>
  <c r="I10" i="13" s="1"/>
  <c r="E10" i="13"/>
  <c r="F10" i="13" s="1"/>
  <c r="E14" i="13"/>
  <c r="F14" i="13" s="1"/>
  <c r="G96" i="116"/>
  <c r="E99" i="116" s="1" a="1"/>
  <c r="E99" i="116" s="1"/>
  <c r="H14" i="13" s="1"/>
  <c r="I14" i="13" s="1"/>
  <c r="Q45" i="69"/>
  <c r="R45" i="69" a="1"/>
  <c r="R45" i="69" s="1"/>
  <c r="V46" i="69" a="1"/>
  <c r="V46" i="69" s="1"/>
  <c r="G81" i="115"/>
  <c r="E84" i="115" s="1" a="1"/>
  <c r="E84" i="115" s="1"/>
  <c r="V47" i="69" a="1"/>
  <c r="V47" i="69" s="1"/>
  <c r="S74" i="69"/>
  <c r="I55" i="69"/>
  <c r="I50" i="69" s="1"/>
  <c r="V45" i="69" l="1" a="1"/>
  <c r="V45" i="69" s="1"/>
  <c r="W50" i="69"/>
  <c r="W46" i="69"/>
  <c r="W47" i="69"/>
  <c r="W45" i="69"/>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s="1"/>
  <c r="E32" i="15" s="1"/>
  <c r="K48" i="113" s="1"/>
  <c r="K45" i="113" s="1" a="1"/>
  <c r="K45" i="113" s="1"/>
  <c r="E50" i="113" s="1" a="1"/>
  <c r="E50" i="113" s="1"/>
  <c r="E80" i="69" l="1"/>
  <c r="G52" i="113"/>
  <c r="E55" i="113" s="1" a="1"/>
  <c r="E55" i="113" s="1"/>
  <c r="H11" i="13" s="1"/>
  <c r="I11" i="13" s="1"/>
  <c r="E11" i="13"/>
  <c r="F11" i="13" s="1"/>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2" i="69" l="1"/>
  <c r="E85" i="69" s="1" a="1"/>
  <c r="E85" i="69" s="1"/>
  <c r="H9" i="13" s="1"/>
  <c r="H15" i="13" s="1"/>
  <c r="E9" i="13"/>
  <c r="N88" i="69"/>
  <c r="P90" i="69" l="1"/>
  <c r="N93" i="69" s="1" a="1"/>
  <c r="N93" i="69" s="1"/>
  <c r="I9" i="13" s="1"/>
  <c r="I15" i="13" s="1"/>
  <c r="F9" i="13"/>
  <c r="L34" i="70" l="1"/>
  <c r="L33" i="70"/>
  <c r="D31" i="70"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<sst xmlns="http://schemas.openxmlformats.org/spreadsheetml/2006/main" count="539" uniqueCount="322">
  <si>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</si>
  <si>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</si>
  <si>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</si>
  <si>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</si>
  <si>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</si>
  <si>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</si>
  <si>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</si>
  <si>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</si>
  <si>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</si>
  <si>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</si>
  <si>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</si>
  <si>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</si>
  <si>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</si>
  <si>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</si>
  <si>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</si>
  <si>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</si>
  <si>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</si>
  <si>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</si>
  <si>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</si>
  <si>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</si>
  <si>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</si>
  <si>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</si>
  <si>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</si>
  <si>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</si>
  <si>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</si>
  <si>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</si>
  <si>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</si>
  <si>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</si>
  <si>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</si>
  <si>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</si>
  <si>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</si>
  <si>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</si>
  <si>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</si>
  <si>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</si>
  <si>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</si>
  <si>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</si>
  <si>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</si>
  <si>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</si>
  <si>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</si>
  <si>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</si>
  <si>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</si>
  <si>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</si>
  <si>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</si>
  <si>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</si>
  <si>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</si>
  <si>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</si>
  <si>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</si>
  <si>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</si>
  <si>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</si>
  <si>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</si>
  <si>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</si>
  <si>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</si>
  <si>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</si>
  <si>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</si>
  <si>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</si>
  <si>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</si>
  <si>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</si>
  <si>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</si>
  <si>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</si>
  <si>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</si>
  <si>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</si>
  <si>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</si>
  <si>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</si>
  <si>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</si>
  <si>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</si>
  <si>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</si>
  <si>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</si>
  <si>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</si>
  <si>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</si>
  <si>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</si>
  <si>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</si>
  <si>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</si>
  <si>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</si>
  <si>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</si>
  <si>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</si>
  <si>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</si>
  <si>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</si>
  <si>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</si>
  <si>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</si>
  <si>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</si>
  <si>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</si>
  <si>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</si>
  <si>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</si>
  <si>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</si>
  <si>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</si>
  <si>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</si>
  <si>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</si>
  <si>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</si>
  <si>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</si>
  <si>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</si>
  <si>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</si>
  <si>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</si>
  <si>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</si>
  <si>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</si>
  <si>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</si>
  <si>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</si>
  <si>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</si>
  <si>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</si>
  <si>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</si>
  <si>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</si>
  <si>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</si>
  <si>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</si>
  <si>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</si>
  <si>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</si>
  <si>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</si>
  <si>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</si>
  <si>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</si>
  <si>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</si>
  <si>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</si>
  <si>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</si>
  <si>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</si>
  <si>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</si>
  <si>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</si>
  <si>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</si>
  <si>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</si>
  <si>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</si>
  <si>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</si>
  <si>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</si>
  <si>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</si>
  <si>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</si>
  <si>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</si>
  <si>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</si>
  <si>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</si>
  <si>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</si>
  <si>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</si>
  <si>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</si>
  <si>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</si>
  <si>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</si>
  <si>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</si>
  <si>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</si>
  <si>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</si>
  <si>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</si>
  <si>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</si>
  <si>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</si>
  <si>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</si>
  <si>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</si>
  <si>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</si>
  <si>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</si>
  <si>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</si>
  <si>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</si>
  <si>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</si>
  <si>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</si>
  <si>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</si>
  <si>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</si>
  <si>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</si>
  <si>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</si>
  <si>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</si>
  <si>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</si>
  <si>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</si>
  <si>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</si>
  <si>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</si>
  <si>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</si>
  <si>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</si>
  <si>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</si>
  <si>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</si>
  <si>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</si>
  <si>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</si>
  <si>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</si>
  <si>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</si>
  <si>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</si>
  <si>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</si>
  <si>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</si>
  <si>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</si>
  <si>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</si>
  <si>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</si>
  <si>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</si>
  <si>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</si>
  <si>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</si>
  <si>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</si>
  <si>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</si>
  <si>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</si>
  <si>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</si>
  <si>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</si>
  <si>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</si>
  <si>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</si>
  <si>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</si>
  <si>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</si>
  <si>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</si>
  <si>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</si>
  <si>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</si>
  <si>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</si>
  <si>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</si>
  <si>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</si>
  <si>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</si>
  <si>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</si>
  <si>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</si>
  <si>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</si>
  <si>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Soil amendments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</si>
  <si>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</si>
  <si>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</si>
  <si>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</si>
  <si>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</si>
  <si>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</si>
  <si>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</si>
  <si>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</si>
  <si>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Percent Potash</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</si>
  <si>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</si>
  <si>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</si>
  <si>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</si>
  <si>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</si>
  <si>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</si>
  <si>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</si>
  <si>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</si>
  <si>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</si>
  <si>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</si>
  <si>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</si>
  <si>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</si>
  <si>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</si>
  <si>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</si>
  <si>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</si>
  <si>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</si>
  <si>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</si>
  <si>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</si>
  <si>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</si>
  <si>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</si>
  <si>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</si>
  <si>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</si>
  <si>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</si>
  <si>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</si>
  <si>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</si>
  <si>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</si>
  <si>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</si>
  <si>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</si>
  <si>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</si>
  <si>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</si>
  <si>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</si>
  <si>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</si>
  <si>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</si>
  <si>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</si>
  <si>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</si>
  <si>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</si>
  <si>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</si>
  <si>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</si>
  <si>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</si>
  <si>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</si>
  <si>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</si>
  <si>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</si>
  <si>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</si>
  <si>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</si>
  <si>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</si>
  <si>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</si>
  <si>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</si>
  <si>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</si>
  <si>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</si>
  <si>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</si>
  <si>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</si>
  <si>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</si>
  <si>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</si>
  <si>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</si>
  <si>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</si>
  <si>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</si>
  <si>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</si>
  <si>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</si>
  <si>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</si>
  <si>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</si>
  <si>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</si>
  <si>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</si>
  <si>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</si>
  <si>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</si>
  <si>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</si>
  <si>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</si>
  <si>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</si>
  <si>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</si>
  <si>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</si>
  <si>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</si>
  <si>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</si>
  <si>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</si>
  <si>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</si>
  <si>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</si>
  <si>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</si>
  <si>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</si>
  <si>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</si>
  <si>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</si>
  <si>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</si>
  <si>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</si>
  <si>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</si>
  <si>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</si>
  <si>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</si>
  <si>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</si>
  <si>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</si>
  <si>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</si>
  <si>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</si>
  <si>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</si>
  <si>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</si>
  <si>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</si>
  <si>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</si>
  <si>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</si>
  <si>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</si>
  <si>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</si>
  <si>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</si>
  <si>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</si>
  <si>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</si>
  <si>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</si>
  <si>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</si>
  <si>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</si>
  <si>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</si>
  <si>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</si>
  <si>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</si>
  <si>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</si>
  <si>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</si>
  <si>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</si>
  <si>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</si>
  <si>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</si>
  <si>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</si>
  <si>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</si>
  <si>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</si>
  <si>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</si>
  <si>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</si>
  <si>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</si>
  <si>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</si>
  <si>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</si>
  <si>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</si>
  <si>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</si>
  <si>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</si>
  <si>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</si>
  <si>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Boost-It</t>
  </si>
  <si>
    <t>Urea source (Select)</t>
  </si>
  <si>
    <t>Ammonia source (select)</t>
  </si>
  <si>
    <t>Canada</t>
  </si>
  <si>
    <t>Global</t>
  </si>
  <si>
    <t>Calcium nitrate</t>
  </si>
  <si>
    <t>Zinc - Generic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</si>
</sst>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177">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76"/>
      <tableStyleElement type="headerRow" dxfId="175"/>
      <tableStyleElement type="totalRow" dxfId="174"/>
      <tableStyleElement type="firstColumn" dxfId="173"/>
      <tableStyleElement type="firstRowStripe" dxfId="172"/>
      <tableStyleElement type="secondRowStripe" dxfId="171"/>
    </tableStyle>
    <tableStyle name="Equation table" pivot="0" count="6" xr9:uid="{B247698E-E41D-4CCD-AA0A-C14817E9DE65}">
      <tableStyleElement type="wholeTable" dxfId="170"/>
      <tableStyleElement type="headerRow" dxfId="169"/>
      <tableStyleElement type="totalRow" dxfId="168"/>
      <tableStyleElement type="firstColumn" dxfId="167"/>
      <tableStyleElement type="firstRowStripe" dxfId="166"/>
      <tableStyleElement type="secondRowStripe" dxfId="165"/>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14287</xdr:colOff>
      <xdr:row>116</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B19C412-E2E6-4055-A365-CFF691573B37}"/>
                </a:ext>
              </a:extLst>
            </xdr:cNvPr>
            <xdr:cNvSpPr txBox="1"/>
          </xdr:nvSpPr>
          <xdr:spPr>
            <a:xfrm>
              <a:off x="2690812" y="289179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𝐸_(𝑎𝑑,𝑜𝑟𝑔𝑎𝑛𝑖𝑐)=∑10_𝑗▒∑10_𝑓▒((𝑀_(𝑣𝑜𝑙,𝑜𝑟𝑔𝑎𝑛𝑖𝑐,𝑗𝑓)×𝐸𝐹_(𝑁2𝑂,𝑗) )×𝐶_𝑁2𝑂×10^(−3) ) </a:t>
              </a:r>
              <a:endParaRPr lang="en-AU" sz="1100"/>
            </a:p>
          </xdr:txBody>
        </xdr:sp>
      </mc:Fallback>
    </mc:AlternateContent>
    <xdr:clientData/>
  </xdr:oneCellAnchor>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19" headerRowDxfId="164" dataDxfId="163" totalsRowDxfId="162">
  <autoFilter ref="D17:X19"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61" totalsRowDxfId="160" dataCellStyle="Input select"/>
    <tableColumn id="23" xr3:uid="{59B08BC3-EF27-48EB-BCEA-84F2987787EF}" name="Amount applied (kg / ha)" totalsRowFunction="custom" dataDxfId="159" totalsRowDxfId="158">
      <totalsRowFormula>SUM(Table_Input_InorganicFertiliser_Brands[[#Headers],[#Data],[Amount applied (kg / ha)]])</totalsRowFormula>
    </tableColumn>
    <tableColumn id="12" xr3:uid="{80233E62-DDAA-41E2-908D-8BF8A861A382}" name="Application unit" dataDxfId="157" totalsRowDxfId="156"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55" totalsRowDxfId="154"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53" totalsRowDxfId="152">
      <calculatedColumnFormula>$E$9</calculatedColumnFormula>
    </tableColumn>
    <tableColumn id="1" xr3:uid="{3BF774D0-ADA2-40B3-9242-8DFBBB9443B7}" name="Total applied (kg)" dataDxfId="151" totalsRowDxfId="150" dataCellStyle="Input number general calculated">
      <calculatedColumnFormula>(Table_Input_InorganicFertiliser_Brands[[#This Row],[Amount applied (kg / ha)]]*Table_Input_InorganicFertiliser_Brands[[#This Row],[Density]])*Table_Input_InorganicFertiliser_Brands[[#This Row],[Application area (ha)]]</calculatedColumnFormula>
    </tableColumn>
    <tableColumn id="3" xr3:uid="{F58E0D71-91B7-42EC-AE70-0662CA20A4A0}" name="Ingredient 1" dataDxfId="149" totalsRowDxfId="148"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47" totalsRowDxfId="146"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45"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44" totalsRowDxfId="143"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42" totalsRowDxfId="141"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40" totalsRowDxfId="139"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38" totalsRowDxfId="137"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36"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35"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34"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33"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32"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31" totalsRowDxfId="130" dataCellStyle="Input number general calculated">
      <calculatedColumnFormula>(Table_Input_InorganicFertiliser_Brands[[#This Row],[Amount applied (kg / ha)]]*Table_Input_InorganicFertiliser_Brands[[#This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29" totalsRowDxfId="128" dataCellStyle="Input number general calculated"/>
    <tableColumn id="18" xr3:uid="{9BDAF438-9ABD-4279-A4F5-8BE0B2E60216}" name="Ammonia source" dataDxfId="127" totalsRowDxfId="126"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2:R24" totalsRowShown="0" headerRowDxfId="125" dataDxfId="124">
  <autoFilter ref="D22:R2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23"/>
    <tableColumn id="3" xr3:uid="{7EF8A17B-D965-4D18-A7A2-D90F9F680015}" name="Application area (ha)" dataDxfId="122" dataCellStyle="Input number 2 decimal places">
      <calculatedColumnFormula>$E$9</calculatedColumnFormula>
    </tableColumn>
    <tableColumn id="4" xr3:uid="{B5004E38-6D68-4E13-BED4-CB556D548532}" name="Total applied (kg)" dataDxfId="121"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20" dataCellStyle="Input select"/>
    <tableColumn id="6" xr3:uid="{E4FC8E72-0059-40E6-A5E8-C29893BBF371}" name="Ingredient 1 percent" dataDxfId="119"/>
    <tableColumn id="8" xr3:uid="{3568E299-41D5-4DA4-822C-91EFC2C68B68}" name="Ingredient 2" dataDxfId="118" dataCellStyle="Input select"/>
    <tableColumn id="9" xr3:uid="{9DFD8E7A-8101-4927-89BF-3E994EB31F96}" name="Ingredient 2 percent" dataDxfId="117"/>
    <tableColumn id="11" xr3:uid="{A7F2C8C6-1FC3-42D4-A36B-254F6E195571}" name="Ingredient 3" dataDxfId="116" dataCellStyle="Input select"/>
    <tableColumn id="12" xr3:uid="{43F6AA9D-3E97-4BA6-8E27-81AE530E1428}" name="Ingredient 3 percent" dataDxfId="115"/>
    <tableColumn id="14" xr3:uid="{AAE79728-DB2A-45E8-B9AB-496D82682D02}" name="Ingredient 4" dataDxfId="114" dataCellStyle="Input select"/>
    <tableColumn id="15" xr3:uid="{48BA5E25-4596-49E4-8F81-BC0D52974ECA}" name="Ingredient 4 percent" dataCellStyle="Input percent"/>
    <tableColumn id="7" xr3:uid="{8A68B805-7FB6-49A9-B9BB-58ADF30E43B7}" name="N application rate (kg/ha)" dataDxfId="113"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2:L34" totalsRowShown="0" headerRowDxfId="112" dataDxfId="111" headerRowCellStyle="Input table column header">
  <autoFilter ref="D32:L3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2EBE8C9-DDAA-458C-A7AA-DCB847581DFF}" name="Product" dataDxfId="110"/>
    <tableColumn id="2" xr3:uid="{B4EAD8A0-4563-4BA4-8C32-F444D747B623}" name="Amount applied (t/hectare)" dataDxfId="109"/>
    <tableColumn id="4" xr3:uid="{AEB6AB68-6478-4B2B-9B85-2B6FAFAF4B19}" name="Application area (ha)" dataDxfId="108">
      <calculatedColumnFormula>$E$9</calculatedColumnFormula>
    </tableColumn>
    <tableColumn id="3" xr3:uid="{CB52F796-ECF9-4D56-B08E-72C1A090ECED}" name="Total amount applied (t)" dataDxfId="107"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06"/>
    <tableColumn id="8" xr3:uid="{E6AC5B83-E41F-4CA3-8CB5-DAE2C8D31386}" name="Percent Dolomite CaMg(CO3)2" dataDxfId="105"/>
    <tableColumn id="7" xr3:uid="{C2FA7C98-73DF-4B0B-9D0B-AF335608BA35}" name="Percent Gypsum" dataDxfId="104"/>
    <tableColumn id="9" xr3:uid="{B7176A02-8377-4825-B7A1-ECCC697302EA}" name="Percent Potash" dataDxfId="103"/>
    <tableColumn id="10" xr3:uid="{4BF71EEB-80F3-4DB1-B0D1-D4D93983D919}" name="Total" dataDxfId="102" dataCellStyle="Percent">
      <calculatedColumnFormula>SUM(Table_Input_Lime[[#This Row],[Percent Lime CaCO3]:[Percent Potash]])</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2:J44" totalsRowShown="0" headerRowDxfId="101" dataDxfId="100" headerRowCellStyle="Input table column header">
  <autoFilter ref="D42: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99" dataCellStyle="Input select"/>
    <tableColumn id="5" xr3:uid="{A4835DDC-D01F-4121-BA81-061BD582AD81}" name="Percentage of N in fertiliser" dataDxfId="98"/>
    <tableColumn id="2" xr3:uid="{78F23607-4221-4C96-AE58-1738D148B281}" name="Amount applied (kg/hectare)" dataDxfId="97"/>
    <tableColumn id="11" xr3:uid="{743E34BE-5366-4C2E-A066-60503FC1C110}" name="Amount N applied (kg/hectare)" dataDxfId="96"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95">
      <calculatedColumnFormula>$E$9</calculatedColumnFormula>
    </tableColumn>
    <tableColumn id="7" xr3:uid="{7CBB769C-0807-447F-BE25-34DAD65EC446}" name="Total organic fertliser applied" dataDxfId="94"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93"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totalsRowDxfId="92"/>
    <tableColumn id="2" xr3:uid="{A1127254-05BE-4396-ABB5-A675D872078F}" name="Notes" totalsRowDxfId="91"/>
    <tableColumn id="3" xr3:uid="{38D957B7-EEA5-463D-BDB3-85B9FFD5BAA7}" name="Company" totalsRowDxfId="90"/>
    <tableColumn id="4" xr3:uid="{B66302A1-05EA-480E-AA2A-DA54BBD38A46}" name="Product name" totalsRowDxfId="89"/>
    <tableColumn id="5" xr3:uid="{1DD9CD43-0FC6-467F-B81B-17F2B18D92A6}" name="Unit" totalsRowDxfId="88"/>
    <tableColumn id="6" xr3:uid="{2726F29B-265E-4968-9BDB-0822F320EC19}" name="Density / gravity" totalsRowDxfId="87"/>
    <tableColumn id="7" xr3:uid="{BF1AF56A-2845-4920-860F-B10A736587C1}" name="Urea source" totalsRowDxfId="86"/>
    <tableColumn id="8" xr3:uid="{E2EDC11B-C8E4-42A8-A90F-976309289390}" name="Ammonia source" totalsRowDxfId="85"/>
    <tableColumn id="9" xr3:uid="{24252A97-7709-44EA-ABC3-5F607CC0348F}" name="Ingredient 1" totalsRowDxfId="84"/>
    <tableColumn id="10" xr3:uid="{11AF6B47-3A72-4D46-9A4D-BBF30EC4193E}" name="Ingredient 1 percent" totalsRowDxfId="83"/>
    <tableColumn id="11" xr3:uid="{0AAFCB45-5C80-4123-8736-D764334BFDB4}" name="Ingredient 2" totalsRowDxfId="82"/>
    <tableColumn id="12" xr3:uid="{1191C429-7048-41F0-B9F1-7F3F733CF190}" name="Ingredient 2 percent" totalsRowDxfId="81"/>
    <tableColumn id="13" xr3:uid="{FA476FFC-F776-4F53-9E0E-72EDBA1D1AE9}" name="Ingredient 3" totalsRowDxfId="80"/>
    <tableColumn id="14" xr3:uid="{659EB097-21AA-48F2-ABBA-84390DA814E8}" name="Ingredient 3 percent" totalsRowDxfId="79"/>
    <tableColumn id="15" xr3:uid="{41225C63-628E-47D6-9916-54724FB26AA0}" name="Ingredient 4" totalsRowDxfId="78"/>
    <tableColumn id="16" xr3:uid="{5CC4BD9F-F4DC-4AFB-B330-906140042C26}" name="Ingredient 4 percent" totalsRowDxfId="77"/>
    <tableColumn id="17" xr3:uid="{C8419B25-8A41-4C9D-9C06-4A39DBA4FAEA}" name="Ingredient 5" totalsRowDxfId="76"/>
    <tableColumn id="18" xr3:uid="{E02EF3B5-039F-4565-B2D4-9A23C40746B9}" name="Ingredient 5 percent" totalsRowDxfId="75"/>
    <tableColumn id="19" xr3:uid="{AC8B170D-2E32-4FB7-BD07-9CD91A23BA09}" name="Ingredient 6" totalsRowDxfId="74"/>
    <tableColumn id="37" xr3:uid="{D87106C6-8480-4F48-8501-41D31D7A5FF8}" name="Ingredient 6 percent" totalsRowDxfId="73"/>
    <tableColumn id="20" xr3:uid="{BA505D28-522B-43EB-A12C-7C8BE25DD8C7}" name="Ingredient 7"/>
    <tableColumn id="24" xr3:uid="{3C80D87A-0310-479A-B767-6AACE3B3E29B}" name="Ingredient 7 percent"/>
    <tableColumn id="23" xr3:uid="{CD58DC3E-C0F2-43B2-A1B0-76B51355BEA1}" name="Ingredient 8"/>
    <tableColumn id="26" xr3:uid="{42E03324-7FDE-410D-A6C4-4B89738E9819}" name="Ingredient 8 percent"/>
    <tableColumn id="25" xr3:uid="{84EB4292-6D04-4B8E-8047-079CEB05EA1D}" name="Ingredient 9"/>
    <tableColumn id="30" xr3:uid="{EC662245-DC04-4101-9534-1830E772B6D9}" name="Ingredient 9 percent"/>
    <tableColumn id="29" xr3:uid="{1CC52630-7C0B-476C-B2D2-4186BA938468}" name="Imngredient 10"/>
    <tableColumn id="28" xr3:uid="{50F2BD5C-4FB9-4A6E-843C-95FB18A62F65}" name="Ingredient 10 percent"/>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E6144E-A1E7-4518-B032-EF188F35C42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67EF497-7B1B-4776-9D83-A8AD1BEAF517}" name="State/Territory">
      <calculatedColumnFormula array="1">Common_InputFunctions.Utility_DisplayArrayInTable(Common_SourceData.Common_SourceData_AustralianStatesTerritories_Data(),Table_AustralianStates[[#Headers],[State/Territory]],0)</calculatedColumnFormula>
    </tableColumn>
    <tableColumn id="2" xr3:uid="{6E9614A8-2F7E-4491-9C0D-E14664D3CBD5}" name="Common Name">
      <calculatedColumnFormula array="1">Common_InputFunctions.Utility_DisplayArrayInTable(Common_SourceData.Common_SourceData_AustralianStatesTerritories_Data(),Table_AustralianStates[[#Headers],[State/Territory]],0)</calculatedColumnFormula>
    </tableColumn>
    <tableColumn id="3" xr3:uid="{48FCC7EC-93CF-4022-930C-DFF884BE9C3A}"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98080EA-F2FB-4179-A336-59EF5AF50E8F}" name="Table_WASA4Areas" displayName="Table_WASA4Areas" ref="D20:D30" totalsRowShown="0">
  <autoFilter ref="D20:D30" xr:uid="{5FA81339-C6C8-4D36-BEEA-6C4AEDD9E676}">
    <filterColumn colId="0" hiddenButton="1"/>
  </autoFilter>
  <tableColumns count="1">
    <tableColumn id="1" xr3:uid="{8E44BE92-8969-4CB0-B814-3C00C2C18F3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B270221-00F4-4B48-BE2F-1F9DCAB7874A}" name="Table_GWPData" displayName="Table_GWPData" ref="D36:E43" totalsRowShown="0">
  <autoFilter ref="D36:E43" xr:uid="{B8E87A66-3E41-4AD3-925D-01EE21B43D7A}">
    <filterColumn colId="0" hiddenButton="1"/>
    <filterColumn colId="1" hiddenButton="1"/>
  </autoFilter>
  <tableColumns count="2">
    <tableColumn id="1" xr3:uid="{D82C5D5A-F88F-46E7-868F-025402490369}" name="Gas">
      <calculatedColumnFormula array="1">Common_InputFunctions.Utility_DisplayArrayInTable(Common_SourceData.Common_SourceData_GWP_Data(), Table_GWPData[[#Headers],[Gas]], 0)</calculatedColumnFormula>
    </tableColumn>
    <tableColumn id="2" xr3:uid="{6DC661F8-0615-4FB7-8AE2-83962657C55A}"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9E591EE-C4BF-4FA2-8F75-39DA84C2560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BC03E3-165B-407A-BF04-28738E72D28A}" name="Gas">
      <calculatedColumnFormula array="1">Common_InputFunctions.Utility_DisplayArrayInTable(Common_SourceData.Common_SourceData_ConvertGasElementalToMolecular_Data(),Table_GasToMolecularConversionFactor[[#Headers],[Gas]], 0)</calculatedColumnFormula>
    </tableColumn>
    <tableColumn id="5" xr3:uid="{CF0196FE-D2CF-4F66-8847-9CE3DB549E9B}" name="Conversion factor">
      <calculatedColumnFormula array="1">Common_InputFunctions.Utility_DisplayArrayInTable(Common_SourceData.Common_SourceData_ConvertGasElementalToMolecular_Data(),Table_GasToMolecularConversionFactor[[#Headers],[Gas]], 0)</calculatedColumnFormula>
    </tableColumn>
    <tableColumn id="2" xr3:uid="{71C50FB6-28B8-4C5F-B7F7-F9E98423215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E60D175-C714-4272-922B-6384C81A6A4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77C6E5B1-2CB1-4714-9B60-3FC1F2C784D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EB24DAD-7938-4A28-8102-A92DD62327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C646E3D-156E-438B-9E75-102B5E96E25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3F6652C3-1BDE-4F33-9D5E-1BA7F24CFE1E}"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68D3A033-0C56-472E-A3CF-B482905871CF}"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18D7CFC5-1F89-47C0-AF12-0FD6A80AD2C8}"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694DED4D-19CA-49A7-A7A4-ED3CD36E0BA2}"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BE47AD00-59A1-4916-A3FF-4E905492D142}"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8CD0BB0E-B9A0-4065-920B-F859089361EB}"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9AD474F5-6F0E-4F15-87EA-A3E86BD8CD8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4132B96D-08DF-47B8-9134-F88DA6CBA26A}"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99D2CC4-68A8-4F6B-B5E8-BA9B134CD629}"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FF3C7CFE-CC8F-4407-9CD2-DB7BCF73582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9CB12B6D-F283-41CE-A0AC-7DA70F3FEA35}"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DE6B8D57-DEA5-4CDB-BEA5-6794B3B8B4C1}"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F1C5507D-FFFD-4456-AAE0-9309987F0339}"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B91B1DF-4B57-426B-BF6A-71715747D3B2}"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7674CAA3-6E67-48AA-BF62-AECA84F01CB9}"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FAC77B2-7BB0-4B78-B387-3E2D5CA6721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DF69629-1C76-40A4-BBA1-FB28BF754268}"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9A9C0E3-7924-426C-A581-5C219452362E}"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E4202F8-BB52-48CE-B368-8D0A44A67525}"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BD1B715-E9FF-4B2E-A162-3DD06FA33AAE}" name="Temperature Zone">
      <calculatedColumnFormula array="1">Common_InputFunctions.Utility_DisplayArrayInTable(Common_SourceData.Common_SourceData_TemperatureZones_Data(),Table_SourceData_TemperatureZones[[#Headers],[Temperature Zone]],0)</calculatedColumnFormula>
    </tableColumn>
    <tableColumn id="2" xr3:uid="{3FDEC609-65F3-40EC-B489-B99CC8E44680}" name="MAT">
      <calculatedColumnFormula array="1">Common_InputFunctions.Utility_DisplayArrayInTable(Common_SourceData.Common_SourceData_TemperatureZones_Data(),Table_SourceData_TemperatureZones[[#Headers],[Temperature Zone]],0)</calculatedColumnFormula>
    </tableColumn>
    <tableColumn id="3" xr3:uid="{25C140A7-4F53-46DB-A6E5-3FFA5FE81DD6}" name="Min MAT">
      <calculatedColumnFormula array="1">Common_InputFunctions.Utility_DisplayArrayInTable(Common_SourceData.Common_SourceData_TemperatureZones_Data(),Table_SourceData_TemperatureZones[[#Headers],[Temperature Zone]],0)</calculatedColumnFormula>
    </tableColumn>
    <tableColumn id="4" xr3:uid="{C2D4126F-3B56-4A19-AD7E-FA0C2ECA0D8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066D7D-5B7A-4C2D-96C5-0B642AEDBDD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FC2CD32-0D6A-477F-9AB9-8CC735000875}" name="Rainfall Zone">
      <calculatedColumnFormula array="1">Common_InputFunctions.Utility_DisplayArrayInTable(Common_SourceData.Common_SourceData_RainfallZones_Data(),Table_SourceData_RainfallZones[[#Headers],[Rainfall Zone]],0)</calculatedColumnFormula>
    </tableColumn>
    <tableColumn id="2" xr3:uid="{66F05498-A494-40EC-A370-E31F9319F6E9}" name="Annual rainfall">
      <calculatedColumnFormula array="1">Common_InputFunctions.Utility_DisplayArrayInTable(Common_SourceData.Common_SourceData_RainfallZones_Data(),Table_SourceData_RainfallZones[[#Headers],[Rainfall Zone]],0)</calculatedColumnFormula>
    </tableColumn>
    <tableColumn id="3" xr3:uid="{0FEB24E7-52AA-4E09-8CAD-E3593BA1850C}" name="Min rainfall">
      <calculatedColumnFormula array="1">Common_InputFunctions.Utility_DisplayArrayInTable(Common_SourceData.Common_SourceData_RainfallZones_Data(),Table_SourceData_RainfallZones[[#Headers],[Rainfall Zone]],0)</calculatedColumnFormula>
    </tableColumn>
    <tableColumn id="4" xr3:uid="{B9588CB4-A6E3-43EF-86F2-28512F6C0466}"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71EB3B0-E5DE-49F4-9F8F-370B9594177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EC0469C-3AAC-4C25-8B45-E899791ECD1F}" name="Leaching Zone">
      <calculatedColumnFormula array="1">Common_InputFunctions.Utility_DisplayArrayInTable(Common_SourceData.Common_SourceData_LeachingZones_Data(), Table_SourceData_LeachingZones[[#Headers],[Leaching Zone]], 0)</calculatedColumnFormula>
    </tableColumn>
    <tableColumn id="2" xr3:uid="{D8738CB7-C0A6-466E-AD54-75590BF18BA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8320C659-C167-4CAA-9C06-854A612436E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2CBE0C09-88F8-4FC0-91F9-37AD76A1AEAA}" name="Data source">
      <calculatedColumnFormula array="1">Common_InputFunctions.Utility_DisplayArrayInTable(Common_SourceData.Common_SourceData_DataScores_Scope3_Data(), Table_SourceData_DataScores_Scope3[[#Headers],[Data source]], 0)</calculatedColumnFormula>
    </tableColumn>
    <tableColumn id="2" xr3:uid="{390BA082-D34B-4509-BBAD-72ABE42C4B3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D7EAD11A-DC1E-416A-A0F3-2127BEE727A4}" name="Table_SourceData_FracWET" displayName="Table_SourceData_FracWET" ref="D134:E136" totalsRowShown="0">
  <autoFilter ref="D134:E136" xr:uid="{308E99BE-FE1F-47A4-B2CA-97217277C4E9}">
    <filterColumn colId="0" hiddenButton="1"/>
    <filterColumn colId="1" hiddenButton="1"/>
  </autoFilter>
  <tableColumns count="2">
    <tableColumn id="1" xr3:uid="{D0B2F492-E516-47ED-A029-67FEF667A678}" name="Is in leaching zone">
      <calculatedColumnFormula array="1">Common_InputFunctions.Utility_DisplayArrayInTable(Common_SourceData.Common_SourceData_FracWET_Data(),Table_SourceData_FracWET[[#Headers],[Is in leaching zone]],0)</calculatedColumnFormula>
    </tableColumn>
    <tableColumn id="2" xr3:uid="{51E6CA6F-68DC-47AB-A1BB-C75D3CA8FA3B}"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2E746E-A542-4963-9138-4CB3534F69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0155645-FDE5-446A-BDDD-C71CD77DD825}" name="Production system j">
      <calculatedColumnFormula array="1">Common_InputFunctions.Utility_DisplayArrayInTable(Common_SourceData.Common_SourceData_EFN2O_Data(), Table_SourceData_Common_EFN2O[[#Headers],[Production system j]], 0)</calculatedColumnFormula>
    </tableColumn>
    <tableColumn id="2" xr3:uid="{A33C56B8-DAE9-434B-8228-CD6E219067F7}" name="EFN2O">
      <calculatedColumnFormula array="1">Common_InputFunctions.Utility_DisplayArrayInTable(Common_SourceData.Common_SourceData_EFN2O_Data(), Table_SourceData_Common_EFN2O[[#Headers],[Production system j]], 0)</calculatedColumnFormula>
    </tableColumn>
    <tableColumn id="3" xr3:uid="{415F2F98-1C0C-4F1B-A357-E4F0898F9DA1}" name="Production system only">
      <calculatedColumnFormula array="1">Common_InputFunctions.Utility_DisplayArrayInTable(Common_SourceData.Common_SourceData_EFN2O_Data(), Table_SourceData_Common_EFN2O[[#Headers],[Production system j]], 0)</calculatedColumnFormula>
    </tableColumn>
    <tableColumn id="4" xr3:uid="{364F973B-700F-4051-9AE8-A5B5A5144B24}" name="Irrigation method">
      <calculatedColumnFormula array="1">Common_InputFunctions.Utility_DisplayArrayInTable(Common_SourceData.Common_SourceData_EFN2O_Data(), Table_SourceData_Common_EFN2O[[#Headers],[Production system j]], 0)</calculatedColumnFormula>
    </tableColumn>
    <tableColumn id="5" xr3:uid="{6B401083-C682-49B6-9293-290F6E0CCE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2CB8BB6-7664-477A-B6EF-EAA92A00C8A0}"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0CAEDF1E-5A86-4C59-ADB4-2A63E7ABD4DD}" name="Irrigation type i">
      <calculatedColumnFormula array="1">Common_InputFunctions.Utility_DisplayArrayInTable(Common_SourceData.Common_SourceData_FracWETIrrigation_Data(), Table_SourceData_FracWETIrrigation[[#Headers],[Irrigation type i]], 0)</calculatedColumnFormula>
    </tableColumn>
    <tableColumn id="2" xr3:uid="{57851871-7E08-4269-B67C-A96E5A947487}"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FE0DDAE-EACA-4433-A3E7-753CE50EADF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E57D99-757F-4374-BB84-42339A5C308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2543612-DE1F-4C45-B1F2-46B34452C30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E1F417-A09B-41DA-9456-3458FDF0426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5C54F0C5-3505-4964-A85B-6C95900D28A5}" name="Month">
      <calculatedColumnFormula array="1">Common_InputFunctions.Utility_DisplayArrayInTable(Common_SourceData.Common_SourceData_MonthsToSeasons_Data(), Table_SourceData_Common_MonthToSeason[[#Headers],[Month]], 0)</calculatedColumnFormula>
    </tableColumn>
    <tableColumn id="2" xr3:uid="{DE5E22FE-C43A-4172-9EDB-6FE00B1DF854}"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70AA04-1AD5-4DF8-9CC4-5F92B5EE2A0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D606263-AC8F-4B13-96E2-C9CA0ECFC2B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328E4735-CE75-4070-9C88-AE6AC281FA52}"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AAA9F18-86A5-4F62-9B13-8EC468FD3268}"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6CDDAC7-40E8-4B7E-A5A7-534574EF996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BE7531C-242C-4F06-B612-2455D4071B48}"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AA6EA91-67D5-4225-8E66-D79949E45C79}"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A682CC91-6B5E-45D1-857C-0228079BCC7C}"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16A42DC-F452-4685-9EE1-8DB5323E888F}"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E59565B-237D-4BF7-8514-8C00EE69787F}"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94C989A-1174-49BC-8E63-5C88C372C92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E416B5A-6B9A-4444-8C96-0603C11DC870}"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302252A-7FB0-4046-9B12-B1CD2F1BBED4}"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0CED419-50AF-49B3-8F42-E496D5B781AB}"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ACDE6F8-8A2F-4040-8D12-2E35D0831482}"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134A83A-1EB7-471E-ADAA-05ADE14C7593}"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C3199CA-00F6-4D2D-9A1A-14E5576B6B3A}"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061C8D-6288-498A-A3C6-A58C7CA98367}" name="Table_SourceData_Common_EFOrganicFertCropResidues" displayName="Table_SourceData_Common_EFOrganicFertCropResidues" ref="D257:E259" totalsRowShown="0">
  <autoFilter ref="D257:E259" xr:uid="{1F061C8D-6288-498A-A3C6-A58C7CA98367}">
    <filterColumn colId="0" hiddenButton="1"/>
    <filterColumn colId="1" hiddenButton="1"/>
  </autoFilter>
  <tableColumns count="2">
    <tableColumn id="1" xr3:uid="{6441941C-5801-414B-9EFC-BFCD02E9AAB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FF76A7-AEC2-426D-9FB9-7DCEAE399701}"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9"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3.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308</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310</v>
      </c>
      <c r="E5" s="85"/>
      <c r="F5" s="85"/>
      <c r="G5" s="85"/>
      <c r="H5" s="85"/>
      <c r="I5" s="85"/>
      <c r="J5" s="85"/>
      <c r="K5" s="85"/>
      <c r="L5" s="85"/>
      <c r="M5" s="85"/>
      <c r="N5" s="85"/>
      <c r="O5" s="81"/>
    </row>
    <row r="6" spans="1:42" ht="20.100000000000001" customHeight="1" x14ac:dyDescent="0.25">
      <c r="A6" s="16"/>
      <c r="D6" s="175" t="s">
        <v>311</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305</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12" sqref="E12"/>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309</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304</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82</v>
      </c>
      <c r="E8" s="104" t="s">
        <v>95</v>
      </c>
      <c r="F8" s="104" t="s">
        <v>96</v>
      </c>
      <c r="G8" s="104" t="s">
        <v>89</v>
      </c>
      <c r="H8" s="104" t="s">
        <v>97</v>
      </c>
      <c r="I8" s="104" t="s">
        <v>98</v>
      </c>
      <c r="J8" s="104" t="s">
        <v>90</v>
      </c>
      <c r="K8" s="22"/>
    </row>
    <row r="9" spans="1:11" ht="20.100000000000001" customHeight="1" x14ac:dyDescent="0.25">
      <c r="A9" s="17" t="str">
        <f>HYPERLINK("#'Input - Fertiliser'!A1", "Fertiliser")</f>
        <v>Fertiliser</v>
      </c>
      <c r="C9" s="22"/>
      <c r="D9" s="1" t="s">
        <v>297</v>
      </c>
      <c r="E9" s="170">
        <f>'5.1.1.1-2 Inorganic fert N2O'!$E$80</f>
        <v>2.8771071997800001E-2</v>
      </c>
      <c r="F9" s="170">
        <f>'5.1.1.1-2 Inorganic fert N2O'!$N$88</f>
        <v>2.6897199997799999E-2</v>
      </c>
      <c r="G9" s="52" t="s">
        <v>101</v>
      </c>
      <c r="H9" s="102">
        <f>'5.1.1.1-2 Inorganic fert N2O'!E85</f>
        <v>7.6243340794170003</v>
      </c>
      <c r="I9" s="102">
        <f>'5.1.1.1-2 Inorganic fert N2O'!N93</f>
        <v>7.1277579994169997</v>
      </c>
      <c r="J9" s="52" t="s">
        <v>93</v>
      </c>
      <c r="K9" s="22"/>
    </row>
    <row r="10" spans="1:11" ht="20.100000000000001" customHeight="1" x14ac:dyDescent="0.25">
      <c r="A10" s="17"/>
      <c r="C10" s="22"/>
      <c r="D10" s="1" t="s">
        <v>298</v>
      </c>
      <c r="E10" s="170">
        <f>'5.1.1.3-4 Inorganic fert CO2'!$E$78</f>
        <v>0.38260869533333336</v>
      </c>
      <c r="F10" s="170">
        <f>E10</f>
        <v>0.38260869533333336</v>
      </c>
      <c r="G10" s="52" t="s">
        <v>262</v>
      </c>
      <c r="H10" s="102">
        <f>'5.1.1.3-4 Inorganic fert CO2'!$E$78</f>
        <v>0.38260869533333336</v>
      </c>
      <c r="I10" s="102">
        <f>H10</f>
        <v>0.38260869533333336</v>
      </c>
      <c r="J10" s="52" t="s">
        <v>93</v>
      </c>
      <c r="K10" s="22"/>
    </row>
    <row r="11" spans="1:11" ht="20.100000000000001" customHeight="1" x14ac:dyDescent="0.25">
      <c r="A11" s="19" t="s">
        <v>69</v>
      </c>
      <c r="C11" s="22"/>
      <c r="D11" s="1" t="s">
        <v>299</v>
      </c>
      <c r="E11" s="170">
        <f>'5.2.1.1-2 Organic Fert N2O'!$E$50</f>
        <v>4.3214285714285715E-3</v>
      </c>
      <c r="F11" s="170">
        <f>E11</f>
        <v>4.3214285714285715E-3</v>
      </c>
      <c r="G11" s="52" t="s">
        <v>101</v>
      </c>
      <c r="H11" s="102">
        <f>'5.2.1.1-2 Organic Fert N2O'!$E$55</f>
        <v>1.1451785714285714</v>
      </c>
      <c r="I11" s="102">
        <f>H11</f>
        <v>1.1451785714285714</v>
      </c>
      <c r="J11" s="52" t="s">
        <v>93</v>
      </c>
      <c r="K11" s="22"/>
    </row>
    <row r="12" spans="1:11" ht="20.100000000000001" customHeight="1" x14ac:dyDescent="0.25">
      <c r="A12" s="17" t="str">
        <f>HYPERLINK("#'5.1.1.1-2 Inorganic Fert N2O'!A1", "5.1.1.1-2 Inorganic Fert N2O")</f>
        <v>5.1.1.1-2 Inorganic Fert N2O</v>
      </c>
      <c r="C12" s="22"/>
      <c r="D12" s="1" t="s">
        <v>300</v>
      </c>
      <c r="E12" s="170">
        <f>'5.3.1.1-2 Lime CO2'!$E$31</f>
        <v>7.4708333333333332</v>
      </c>
      <c r="F12" s="170">
        <f>E12</f>
        <v>7.4708333333333332</v>
      </c>
      <c r="G12" s="52" t="s">
        <v>262</v>
      </c>
      <c r="H12" s="102">
        <f>'5.3.1.1-2 Lime CO2'!$E$31</f>
        <v>7.4708333333333332</v>
      </c>
      <c r="I12" s="102">
        <f>H12</f>
        <v>7.4708333333333332</v>
      </c>
      <c r="J12" s="52" t="s">
        <v>93</v>
      </c>
      <c r="K12" s="22"/>
    </row>
    <row r="13" spans="1:11" ht="20.100000000000001" customHeight="1" x14ac:dyDescent="0.25">
      <c r="A13" s="17" t="str">
        <f>HYPERLINK("#'5.1.1.3-4 Inorganic fert CO2'!A1", "5.1.1.3-4 Inorganic fert CO2")</f>
        <v>5.1.1.3-4 Inorganic fert CO2</v>
      </c>
      <c r="C13" s="22"/>
      <c r="D13" s="1" t="s">
        <v>301</v>
      </c>
      <c r="E13" s="170">
        <f>'5.4.1.1-4 Atmos deposition'!$E$146</f>
        <v>1.2704999999999999E-3</v>
      </c>
      <c r="F13" s="170">
        <f>E13</f>
        <v>1.2704999999999999E-3</v>
      </c>
      <c r="G13" s="52" t="s">
        <v>101</v>
      </c>
      <c r="H13" s="102">
        <f>'5.4.1.1-4 Atmos deposition'!$E$151</f>
        <v>0.3366825</v>
      </c>
      <c r="I13" s="102">
        <f>H13</f>
        <v>0.3366825</v>
      </c>
      <c r="J13" s="52" t="s">
        <v>93</v>
      </c>
      <c r="K13" s="22"/>
    </row>
    <row r="14" spans="1:11" ht="20.100000000000001" customHeight="1" x14ac:dyDescent="0.25">
      <c r="A14" s="17" t="str">
        <f>HYPERLINK("#'5.2.1.1-2 Organic Fert N2O'!A1", "5.2.1.1-2 Organic Fert N2O")</f>
        <v>5.2.1.1-2 Organic Fert N2O</v>
      </c>
      <c r="C14" s="22"/>
      <c r="D14" s="1" t="s">
        <v>302</v>
      </c>
      <c r="E14" s="170">
        <f>'5.5.1.1-2 Leaching and runoff'!$E$94</f>
        <v>0</v>
      </c>
      <c r="F14" s="170">
        <f>E14</f>
        <v>0</v>
      </c>
      <c r="G14" s="52" t="s">
        <v>101</v>
      </c>
      <c r="H14" s="102">
        <f>'5.5.1.1-2 Leaching and runoff'!$E$99</f>
        <v>0</v>
      </c>
      <c r="I14" s="102">
        <f>H14</f>
        <v>0</v>
      </c>
      <c r="J14" s="52" t="s">
        <v>93</v>
      </c>
      <c r="K14" s="22"/>
    </row>
    <row r="15" spans="1:11" ht="20.100000000000001" customHeight="1" x14ac:dyDescent="0.3">
      <c r="A15" s="17" t="str">
        <f>HYPERLINK("#'5.3.1.1-2 Lime CO2'!A1", "5.3.1.1-2 Lime CO2")</f>
        <v>5.3.1.1-2 Lime CO2</v>
      </c>
      <c r="C15" s="22"/>
      <c r="D15" s="29" t="s">
        <v>88</v>
      </c>
      <c r="E15" s="23"/>
      <c r="F15" s="23"/>
      <c r="G15" s="29"/>
      <c r="H15" s="103">
        <f>SUM(H9:H14)</f>
        <v>16.959637179512239</v>
      </c>
      <c r="I15" s="103">
        <f>SUM(I9:I14)</f>
        <v>16.463061099512235</v>
      </c>
      <c r="J15" s="98" t="s">
        <v>93</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4" sqref="A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100</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0"/>
  <sheetViews>
    <sheetView showGridLines="0" topLeftCell="D9" zoomScale="85" zoomScaleNormal="85" workbookViewId="0">
      <selection activeCell="V18" sqref="V18"/>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307</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87</v>
      </c>
      <c r="E6" s="39" t="s">
        <v>131</v>
      </c>
      <c r="F6" s="2" t="s">
        <v>9</v>
      </c>
    </row>
    <row r="7" spans="1:25" ht="20.100000000000001" customHeight="1" x14ac:dyDescent="0.25">
      <c r="A7" s="20" t="s">
        <v>1</v>
      </c>
      <c r="D7" s="1" t="s">
        <v>164</v>
      </c>
      <c r="E7" s="39" t="s">
        <v>141</v>
      </c>
      <c r="F7" s="2" t="s">
        <v>9</v>
      </c>
    </row>
    <row r="8" spans="1:25" ht="20.100000000000001" customHeight="1" x14ac:dyDescent="0.25">
      <c r="A8" s="17" t="str">
        <f>HYPERLINK("#'Input - Site'!A1", "Site")</f>
        <v>Site</v>
      </c>
      <c r="D8" s="1" t="s">
        <v>86</v>
      </c>
      <c r="E8" s="39" t="s">
        <v>136</v>
      </c>
      <c r="F8" s="2" t="s">
        <v>9</v>
      </c>
    </row>
    <row r="9" spans="1:25" ht="20.100000000000001" customHeight="1" x14ac:dyDescent="0.25">
      <c r="A9" s="108" t="str">
        <f>HYPERLINK("#'Input - Fertiliser'!A1", "Fertiliser")</f>
        <v>Fertiliser</v>
      </c>
      <c r="D9" s="1" t="s">
        <v>186</v>
      </c>
      <c r="E9" s="136">
        <v>100</v>
      </c>
      <c r="F9" s="2" t="s">
        <v>178</v>
      </c>
    </row>
    <row r="10" spans="1:25" ht="20.100000000000001" customHeight="1" x14ac:dyDescent="0.25">
      <c r="A10" s="17"/>
    </row>
    <row r="11" spans="1:25" ht="20.100000000000001" customHeight="1" x14ac:dyDescent="0.25">
      <c r="A11" s="19" t="s">
        <v>69</v>
      </c>
      <c r="D11" s="6" t="s">
        <v>146</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147</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148</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149</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150</v>
      </c>
      <c r="E17" s="117" t="s">
        <v>159</v>
      </c>
      <c r="F17" s="179" t="s">
        <v>313</v>
      </c>
      <c r="G17" s="179" t="s">
        <v>314</v>
      </c>
      <c r="H17" s="117" t="s">
        <v>151</v>
      </c>
      <c r="I17" s="117" t="s">
        <v>152</v>
      </c>
      <c r="J17" s="116" t="s">
        <v>115</v>
      </c>
      <c r="K17" s="116" t="s">
        <v>116</v>
      </c>
      <c r="L17" s="116" t="s">
        <v>117</v>
      </c>
      <c r="M17" s="116" t="s">
        <v>118</v>
      </c>
      <c r="N17" s="116" t="s">
        <v>119</v>
      </c>
      <c r="O17" s="116" t="s">
        <v>120</v>
      </c>
      <c r="P17" s="116" t="s">
        <v>121</v>
      </c>
      <c r="Q17" s="116" t="s">
        <v>122</v>
      </c>
      <c r="R17" s="116" t="s">
        <v>123</v>
      </c>
      <c r="S17" s="116" t="s">
        <v>124</v>
      </c>
      <c r="T17" s="116" t="s">
        <v>125</v>
      </c>
      <c r="U17" s="116" t="s">
        <v>126</v>
      </c>
      <c r="V17" s="116" t="s">
        <v>165</v>
      </c>
      <c r="W17" s="178" t="s">
        <v>233</v>
      </c>
      <c r="X17" s="178" t="s">
        <v>234</v>
      </c>
    </row>
    <row r="18" spans="1:24" ht="36" customHeight="1" x14ac:dyDescent="0.25">
      <c r="D18" s="122" t="s">
        <v>303</v>
      </c>
      <c r="E18" s="123">
        <v>200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(kg / ha)]]*Table_Input_InorganicFertiliser_Brands[[#This Row],[Density]])*Table_Input_InorganicFertiliser_Brands[[#This Row],[Application area (ha)]]</f>
        <v>25200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(kg / ha)]]*Table_Input_InorganicFertiliser_Brands[[#This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6.5519999999999996</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18" t="s">
        <v>2</v>
      </c>
      <c r="D19" s="122" t="s">
        <v>315</v>
      </c>
      <c r="E19" s="123">
        <v>10</v>
      </c>
      <c r="F19" s="50" t="str">
        <f>_xlfn.XLOOKUP(Table_Input_InorganicFertiliser_Brands[[#This Row],[Product (select)]],FertiliserProducts[Product name],FertiliserProducts[Unit])</f>
        <v>kg</v>
      </c>
      <c r="G19" s="50">
        <f>_xlfn.XLOOKUP(Table_Input_InorganicFertiliser_Brands[[#This Row],[Product (select)]],FertiliserProducts[Product name],FertiliserProducts[Density / gravity])</f>
        <v>1</v>
      </c>
      <c r="H19" s="123">
        <f>$E$9</f>
        <v>100</v>
      </c>
      <c r="I19" s="124">
        <f>(Table_Input_InorganicFertiliser_Brands[[#This Row],[Amount applied (kg / ha)]]*Table_Input_InorganicFertiliser_Brands[[#This Row],[Density]])*Table_Input_InorganicFertiliser_Brands[[#This Row],[Application area (ha)]]</f>
        <v>1000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Urea</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0.52173913000000005</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Potassium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0.08</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Sulfur - Generic</v>
      </c>
      <c r="O19" s="124"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5.2999999999999999E-2</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Phosphorus - Generic</v>
      </c>
      <c r="Q19" s="124"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5.1999999999999998E-2</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Magnesium</v>
      </c>
      <c r="S19" s="124"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1.2999999999999999E-2</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Zinc</v>
      </c>
      <c r="U19" s="124"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2E-3</v>
      </c>
      <c r="V19" s="124">
        <f>(Table_Input_InorganicFertiliser_Brands[[#This Row],[Amount applied (kg / ha)]]*Table_Input_InorganicFertiliser_Brands[[#This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2.3999999980000002</v>
      </c>
      <c r="W19" s="124"/>
      <c r="X19" s="124"/>
    </row>
    <row r="20" spans="1:24" ht="36" customHeight="1" x14ac:dyDescent="0.25">
      <c r="A20" s="17" t="str">
        <f>HYPERLINK("#'Constants - Fertiliser'!A1", "Constants - Fertiliser")</f>
        <v>Constants - Fertiliser</v>
      </c>
      <c r="D20" s="125"/>
      <c r="E20" s="126"/>
      <c r="F20" s="127"/>
      <c r="G20" s="127"/>
      <c r="H20" s="127"/>
      <c r="I20" s="127"/>
      <c r="J20" s="128"/>
      <c r="K20" s="128"/>
      <c r="L20" s="129"/>
      <c r="M20" s="129"/>
      <c r="N20" s="130"/>
      <c r="O20" s="130"/>
      <c r="P20" s="130"/>
      <c r="Q20" s="130"/>
      <c r="R20" s="130"/>
      <c r="S20" s="130"/>
      <c r="T20" s="130"/>
      <c r="U20" s="130"/>
      <c r="V20" s="130"/>
      <c r="W20" s="130"/>
      <c r="X20" s="130"/>
    </row>
    <row r="21" spans="1:24" ht="36" customHeight="1" x14ac:dyDescent="0.25">
      <c r="A21" s="17" t="str">
        <f>HYPERLINK("#'Constants - Common'!A1", "Constants - Common")</f>
        <v>Constants - Common</v>
      </c>
      <c r="D21" s="131" t="s">
        <v>153</v>
      </c>
      <c r="E21" s="132"/>
      <c r="F21" s="132"/>
      <c r="G21" s="132"/>
      <c r="H21" s="132"/>
      <c r="I21" s="132"/>
      <c r="J21" s="132"/>
      <c r="K21" s="132"/>
      <c r="L21" s="132"/>
      <c r="M21" s="132"/>
      <c r="N21" s="130"/>
      <c r="O21" s="130"/>
      <c r="P21" s="130"/>
      <c r="Q21" s="130"/>
      <c r="R21" s="130"/>
      <c r="S21" s="130"/>
      <c r="T21" s="130"/>
      <c r="U21" s="130"/>
      <c r="V21" s="130"/>
      <c r="W21" s="130"/>
      <c r="X21" s="130"/>
    </row>
    <row r="22" spans="1:24" ht="36" customHeight="1" x14ac:dyDescent="0.25">
      <c r="D22" s="117" t="s">
        <v>154</v>
      </c>
      <c r="E22" s="117" t="s">
        <v>159</v>
      </c>
      <c r="F22" s="117" t="s">
        <v>151</v>
      </c>
      <c r="G22" s="117" t="s">
        <v>152</v>
      </c>
      <c r="H22" s="117" t="s">
        <v>155</v>
      </c>
      <c r="I22" s="117" t="s">
        <v>116</v>
      </c>
      <c r="J22" s="117" t="s">
        <v>117</v>
      </c>
      <c r="K22" s="117" t="s">
        <v>118</v>
      </c>
      <c r="L22" s="117" t="s">
        <v>119</v>
      </c>
      <c r="M22" s="117" t="s">
        <v>120</v>
      </c>
      <c r="N22" s="117" t="s">
        <v>121</v>
      </c>
      <c r="O22" s="117" t="s">
        <v>122</v>
      </c>
      <c r="P22" s="117" t="s">
        <v>165</v>
      </c>
      <c r="Q22" s="178" t="s">
        <v>316</v>
      </c>
      <c r="R22" s="178" t="s">
        <v>317</v>
      </c>
      <c r="S22" s="130"/>
      <c r="T22" s="130"/>
      <c r="U22" s="130"/>
      <c r="V22" s="130"/>
      <c r="W22" s="130"/>
      <c r="X22" s="130"/>
    </row>
    <row r="23" spans="1:24" ht="36" customHeight="1" x14ac:dyDescent="0.25">
      <c r="A23" s="17"/>
      <c r="D23" s="33" t="s">
        <v>156</v>
      </c>
      <c r="E23" s="117">
        <v>100</v>
      </c>
      <c r="F23" s="123">
        <f>$E$9</f>
        <v>100</v>
      </c>
      <c r="G23" s="124">
        <f>Table_Input_InorganicFertiliser_Custom[[#This Row],[Amount applied (kg / ha)]]*Table_Input_InorganicFertiliser_Custom[[#This Row],[Application area (ha)]]</f>
        <v>10000</v>
      </c>
      <c r="H23" s="134" t="s">
        <v>320</v>
      </c>
      <c r="I23" s="137">
        <v>1</v>
      </c>
      <c r="J23" s="134" t="s">
        <v>321</v>
      </c>
      <c r="K23" s="137">
        <v>0</v>
      </c>
      <c r="L23" s="134" t="s">
        <v>157</v>
      </c>
      <c r="M23" s="137">
        <v>0</v>
      </c>
      <c r="N23" s="135" t="s">
        <v>158</v>
      </c>
      <c r="O23" s="168">
        <v>0</v>
      </c>
      <c r="P23"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15.5</v>
      </c>
      <c r="Q23" s="39" t="s">
        <v>318</v>
      </c>
      <c r="R23" s="39" t="s">
        <v>319</v>
      </c>
    </row>
    <row r="24" spans="1:24" ht="36" customHeight="1" x14ac:dyDescent="0.25">
      <c r="D24" s="33"/>
      <c r="E24" s="117"/>
      <c r="F24" s="180">
        <f>$E$9</f>
        <v>100</v>
      </c>
      <c r="G24" s="124">
        <f>Table_Input_InorganicFertiliser_Custom[[#This Row],[Amount applied (kg / ha)]]*Table_Input_InorganicFertiliser_Custom[[#This Row],[Application area (ha)]]</f>
        <v>0</v>
      </c>
      <c r="H24" s="134"/>
      <c r="I24" s="169"/>
      <c r="J24" s="134"/>
      <c r="K24" s="169"/>
      <c r="L24" s="134"/>
      <c r="M24" s="169"/>
      <c r="N24" s="135"/>
      <c r="O24" s="168"/>
      <c r="P24"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4" s="39"/>
      <c r="R24" s="39"/>
    </row>
    <row r="25" spans="1:24" ht="36" customHeight="1" x14ac:dyDescent="0.25"/>
    <row r="26" spans="1:24" ht="36" customHeight="1" x14ac:dyDescent="0.25">
      <c r="D26" s="6" t="s">
        <v>187</v>
      </c>
      <c r="E26" s="3"/>
      <c r="F26" s="3"/>
      <c r="G26" s="3"/>
      <c r="H26" s="3"/>
      <c r="I26" s="3"/>
      <c r="J26" s="3"/>
      <c r="K26" s="22"/>
      <c r="L26" s="22"/>
      <c r="M26" s="22"/>
    </row>
    <row r="27" spans="1:24" ht="20.100000000000001" customHeight="1" x14ac:dyDescent="0.25">
      <c r="D27" s="22"/>
      <c r="E27" s="22"/>
      <c r="F27" s="22"/>
      <c r="G27" s="22"/>
      <c r="H27" s="22"/>
      <c r="I27" s="22"/>
      <c r="J27" s="22"/>
      <c r="K27" s="22"/>
      <c r="L27" s="22"/>
      <c r="M27" s="3"/>
    </row>
    <row r="28" spans="1:24" ht="20.100000000000001" customHeight="1" x14ac:dyDescent="0.25">
      <c r="D28" s="106" t="s">
        <v>188</v>
      </c>
      <c r="E28" s="85"/>
      <c r="F28" s="81"/>
      <c r="G28" s="106"/>
      <c r="H28" s="81"/>
      <c r="I28" s="3"/>
      <c r="J28" s="3"/>
      <c r="K28" s="22"/>
      <c r="L28" s="22"/>
      <c r="M28" s="22"/>
    </row>
    <row r="29" spans="1:24" ht="20.100000000000001" customHeight="1" x14ac:dyDescent="0.25">
      <c r="A29" s="17"/>
      <c r="D29" s="161" t="s">
        <v>189</v>
      </c>
      <c r="E29" s="162"/>
      <c r="F29" s="163"/>
      <c r="G29" s="161"/>
      <c r="H29" s="163"/>
      <c r="I29" s="22"/>
      <c r="J29" s="22"/>
      <c r="K29" s="22"/>
      <c r="L29" s="22"/>
      <c r="M29" s="3"/>
    </row>
    <row r="30" spans="1:24" ht="20.100000000000001" customHeight="1" x14ac:dyDescent="0.25">
      <c r="A30" s="17"/>
      <c r="D30" s="87" t="s">
        <v>148</v>
      </c>
      <c r="E30" s="84"/>
      <c r="F30" s="84"/>
      <c r="G30" s="84"/>
      <c r="H30" s="82"/>
      <c r="I30" s="22"/>
      <c r="J30" s="22"/>
      <c r="K30" s="22"/>
      <c r="L30" s="22"/>
      <c r="M30" s="3"/>
    </row>
    <row r="31" spans="1:24" ht="20.100000000000001" customHeight="1" x14ac:dyDescent="0.25">
      <c r="A31" s="61"/>
      <c r="D31" s="99" t="str">
        <f>IF(MAX(Table_Input_Lime[Total]) &gt; 1, "There can not be more than 100% ingredients in a product. Check the table below.", "")</f>
        <v/>
      </c>
    </row>
    <row r="32" spans="1:24" ht="20.100000000000001" customHeight="1" x14ac:dyDescent="0.25">
      <c r="A32" s="61"/>
      <c r="D32" s="140" t="s">
        <v>114</v>
      </c>
      <c r="E32" s="140" t="s">
        <v>190</v>
      </c>
      <c r="F32" s="140" t="s">
        <v>151</v>
      </c>
      <c r="G32" s="140" t="s">
        <v>191</v>
      </c>
      <c r="H32" s="140" t="s">
        <v>192</v>
      </c>
      <c r="I32" s="140" t="s">
        <v>193</v>
      </c>
      <c r="J32" s="140" t="s">
        <v>194</v>
      </c>
      <c r="K32" s="140" t="s">
        <v>195</v>
      </c>
      <c r="L32" s="140" t="s">
        <v>88</v>
      </c>
    </row>
    <row r="33" spans="1:25" ht="36" customHeight="1" x14ac:dyDescent="0.25">
      <c r="A33" s="17"/>
      <c r="D33" s="141" t="s">
        <v>266</v>
      </c>
      <c r="E33" s="123">
        <v>100</v>
      </c>
      <c r="F33" s="123">
        <f>$E$9</f>
        <v>100</v>
      </c>
      <c r="G33" s="124">
        <f>IFERROR(Table_Input_Lime[[#This Row],[Amount applied (t/hectare)]]*Table_Input_Lime[[#This Row],[Application area (ha)]], 0)</f>
        <v>10000</v>
      </c>
      <c r="H33" s="142">
        <v>0.4</v>
      </c>
      <c r="I33" s="142">
        <v>0.3</v>
      </c>
      <c r="J33" s="142">
        <v>0.25</v>
      </c>
      <c r="K33" s="142">
        <v>0.05</v>
      </c>
      <c r="L33" s="164">
        <f>SUM(Table_Input_Lime[[#This Row],[Percent Lime CaCO3]:[Percent Potash]])</f>
        <v>1</v>
      </c>
    </row>
    <row r="34" spans="1:25" ht="36" customHeight="1" x14ac:dyDescent="0.25">
      <c r="D34" s="141" t="s">
        <v>267</v>
      </c>
      <c r="E34" s="123">
        <v>100</v>
      </c>
      <c r="F34" s="123">
        <f>$E$9</f>
        <v>100</v>
      </c>
      <c r="G34" s="124">
        <f>IFERROR(Table_Input_Lime[[#This Row],[Amount applied (t/hectare)]]*Table_Input_Lime[[#This Row],[Application area (ha)]], 0)</f>
        <v>10000</v>
      </c>
      <c r="H34" s="142"/>
      <c r="I34" s="142">
        <v>1</v>
      </c>
      <c r="J34" s="142"/>
      <c r="K34" s="142"/>
      <c r="L34" s="164">
        <f>SUM(Table_Input_Lime[[#This Row],[Percent Lime CaCO3]:[Percent Potash]])</f>
        <v>1</v>
      </c>
    </row>
    <row r="35" spans="1:25" ht="36" customHeight="1" x14ac:dyDescent="0.25">
      <c r="D35" s="22"/>
      <c r="E35" s="22"/>
      <c r="F35" s="22"/>
      <c r="G35" s="22"/>
      <c r="H35" s="22"/>
      <c r="I35" s="22"/>
      <c r="J35" s="22"/>
      <c r="L35" s="3"/>
      <c r="M35" s="3"/>
    </row>
    <row r="36" spans="1:25" ht="36" customHeight="1" x14ac:dyDescent="0.25">
      <c r="D36" s="22"/>
      <c r="E36" s="22"/>
      <c r="F36" s="22"/>
      <c r="G36" s="22"/>
      <c r="H36" s="22"/>
      <c r="I36" s="22"/>
      <c r="J36" s="139"/>
      <c r="K36" s="3"/>
      <c r="L36" s="3"/>
      <c r="M36" s="3"/>
    </row>
    <row r="37" spans="1:25" ht="20.100000000000001" customHeight="1" x14ac:dyDescent="0.25">
      <c r="D37" s="6" t="s">
        <v>196</v>
      </c>
      <c r="E37" s="3"/>
      <c r="F37" s="3"/>
      <c r="G37" s="3"/>
      <c r="H37" s="22"/>
      <c r="I37" s="22"/>
      <c r="J37" s="22"/>
      <c r="K37" s="22"/>
      <c r="L37" s="22"/>
      <c r="M37" s="22"/>
    </row>
    <row r="38" spans="1:25" ht="20.100000000000001" customHeight="1" x14ac:dyDescent="0.25">
      <c r="C38" s="130"/>
      <c r="D38" s="22"/>
      <c r="E38" s="22"/>
      <c r="F38" s="22"/>
      <c r="G38" s="22"/>
      <c r="H38" s="22"/>
      <c r="I38" s="22"/>
      <c r="J38" s="22"/>
      <c r="K38" s="22"/>
      <c r="L38" s="22"/>
      <c r="M38" s="22"/>
    </row>
    <row r="39" spans="1:25" ht="20.100000000000001" customHeight="1" x14ac:dyDescent="0.25">
      <c r="A39" s="17"/>
      <c r="C39" s="130"/>
      <c r="D39" s="106" t="s">
        <v>188</v>
      </c>
      <c r="E39" s="85"/>
      <c r="F39" s="85"/>
      <c r="G39" s="85"/>
      <c r="H39" s="81"/>
      <c r="I39" s="22"/>
      <c r="J39" s="22"/>
      <c r="K39" s="22"/>
      <c r="L39" s="22"/>
      <c r="M39" s="22"/>
      <c r="Q39" s="130"/>
      <c r="R39" s="130"/>
      <c r="S39" s="130"/>
    </row>
    <row r="40" spans="1:25" s="133" customFormat="1" ht="20.100000000000001" customHeight="1" x14ac:dyDescent="0.25">
      <c r="C40" s="1"/>
      <c r="D40" s="87" t="s">
        <v>148</v>
      </c>
      <c r="E40" s="84"/>
      <c r="F40" s="84"/>
      <c r="G40" s="84"/>
      <c r="H40" s="82"/>
      <c r="I40" s="22"/>
      <c r="J40" s="22"/>
      <c r="K40" s="22"/>
      <c r="L40" s="22"/>
      <c r="M40" s="22"/>
      <c r="N40" s="1"/>
      <c r="O40" s="130"/>
      <c r="P40" s="130"/>
      <c r="Q40" s="130"/>
      <c r="R40" s="130"/>
      <c r="S40" s="130"/>
      <c r="T40" s="1"/>
      <c r="U40" s="1"/>
      <c r="V40" s="1"/>
      <c r="W40" s="1"/>
      <c r="X40" s="1"/>
      <c r="Y40" s="1"/>
    </row>
    <row r="41" spans="1:25" s="133" customFormat="1" ht="20.100000000000001" customHeight="1" x14ac:dyDescent="0.25">
      <c r="A41" s="143"/>
      <c r="C41" s="1"/>
      <c r="D41" s="22"/>
      <c r="E41" s="22"/>
      <c r="F41" s="22"/>
      <c r="G41" s="22"/>
      <c r="H41" s="22"/>
      <c r="I41" s="22"/>
      <c r="J41" s="22"/>
      <c r="K41" s="22"/>
      <c r="L41" s="22"/>
      <c r="M41" s="130"/>
      <c r="N41" s="130"/>
      <c r="O41" s="130"/>
      <c r="P41" s="130"/>
      <c r="Q41" s="1"/>
      <c r="R41" s="1"/>
      <c r="S41" s="1"/>
      <c r="T41" s="1"/>
      <c r="U41" s="1"/>
      <c r="V41" s="1"/>
      <c r="W41" s="1"/>
      <c r="X41" s="1"/>
      <c r="Y41" s="1"/>
    </row>
    <row r="42" spans="1:25" ht="20.100000000000001" customHeight="1" x14ac:dyDescent="0.25">
      <c r="D42" s="140" t="s">
        <v>197</v>
      </c>
      <c r="E42" s="140" t="s">
        <v>198</v>
      </c>
      <c r="F42" s="140" t="s">
        <v>199</v>
      </c>
      <c r="G42" s="140" t="s">
        <v>200</v>
      </c>
      <c r="H42" s="140" t="s">
        <v>151</v>
      </c>
      <c r="I42" s="140" t="s">
        <v>201</v>
      </c>
      <c r="J42" s="140" t="s">
        <v>202</v>
      </c>
      <c r="K42" s="132"/>
      <c r="L42" s="132"/>
      <c r="M42" s="130"/>
      <c r="N42" s="130"/>
    </row>
    <row r="43" spans="1:25" ht="36" customHeight="1" x14ac:dyDescent="0.25">
      <c r="D43" s="122" t="s">
        <v>243</v>
      </c>
      <c r="E43" s="142">
        <v>0.3</v>
      </c>
      <c r="F43" s="123">
        <v>10</v>
      </c>
      <c r="G43" s="124">
        <f>Table_Input_OrganicFertiliser[[#This Row],[Amount applied (kg/hectare)]]*Table_Input_OrganicFertiliser[[#This Row],[Percentage of N in fertiliser]]</f>
        <v>3</v>
      </c>
      <c r="H43" s="123">
        <f>$E$9</f>
        <v>100</v>
      </c>
      <c r="I43" s="124">
        <f>Table_Input_OrganicFertiliser[[#This Row],[Amount applied (kg/hectare)]]*Table_Input_OrganicFertiliser[[#This Row],[Application area (ha)]]</f>
        <v>1000</v>
      </c>
      <c r="J43" s="124">
        <f>IFERROR(Table_Input_OrganicFertiliser[[#This Row],[Amount N applied (kg/hectare)]]*Table_Input_OrganicFertiliser[[#This Row],[Application area (ha)]], 0)</f>
        <v>300</v>
      </c>
      <c r="K43" s="132"/>
      <c r="L43" s="132"/>
    </row>
    <row r="44" spans="1:25" ht="36" customHeight="1" x14ac:dyDescent="0.25">
      <c r="A44" s="157" t="str">
        <f>HYPERLINK("#A1", "▲ Back to top")</f>
        <v>▲ Back to top</v>
      </c>
      <c r="D44" s="122" t="s">
        <v>241</v>
      </c>
      <c r="E44" s="142">
        <v>0.25</v>
      </c>
      <c r="F44" s="123">
        <v>10</v>
      </c>
      <c r="G44" s="124">
        <f>Table_Input_OrganicFertiliser[[#This Row],[Amount applied (kg/hectare)]]*Table_Input_OrganicFertiliser[[#This Row],[Percentage of N in fertiliser]]</f>
        <v>2.5</v>
      </c>
      <c r="H44" s="123">
        <f>$E$9</f>
        <v>100</v>
      </c>
      <c r="I44" s="124">
        <f>Table_Input_OrganicFertiliser[[#This Row],[Amount applied (kg/hectare)]]*Table_Input_OrganicFertiliser[[#This Row],[Application area (ha)]]</f>
        <v>1000</v>
      </c>
      <c r="J44" s="124">
        <f>IFERROR(Table_Input_OrganicFertiliser[[#This Row],[Amount N applied (kg/hectare)]]*Table_Input_OrganicFertiliser[[#This Row],[Application area (ha)]], 0)</f>
        <v>250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3:13" ht="20.100000000000001" customHeight="1" x14ac:dyDescent="0.25"/>
    <row r="98" spans="13:13" ht="20.100000000000001" customHeight="1" x14ac:dyDescent="0.25"/>
    <row r="99" spans="13:13" ht="20.100000000000001" customHeight="1" x14ac:dyDescent="0.25"/>
    <row r="100" spans="13:13" ht="20.100000000000001" customHeight="1" x14ac:dyDescent="0.25"/>
    <row r="101" spans="13:13" ht="20.100000000000001" customHeight="1" x14ac:dyDescent="0.25"/>
    <row r="102" spans="13:13" ht="20.100000000000001" customHeight="1" x14ac:dyDescent="0.25"/>
    <row r="103" spans="13:13" ht="20.100000000000001" customHeight="1" x14ac:dyDescent="0.25"/>
    <row r="104" spans="13:13" ht="20.100000000000001" customHeight="1" x14ac:dyDescent="0.25"/>
    <row r="105" spans="13:13" ht="20.100000000000001" customHeight="1" x14ac:dyDescent="0.25"/>
    <row r="106" spans="13:13" ht="20.100000000000001" customHeight="1" x14ac:dyDescent="0.25"/>
    <row r="107" spans="13:13" ht="20.100000000000001" customHeight="1" x14ac:dyDescent="0.25"/>
    <row r="108" spans="13:13" ht="20.100000000000001" customHeight="1" x14ac:dyDescent="0.25"/>
    <row r="109" spans="13:13" ht="20.100000000000001" customHeight="1" x14ac:dyDescent="0.25"/>
    <row r="110" spans="13:13" ht="20.100000000000001" customHeight="1" x14ac:dyDescent="0.25">
      <c r="M110" s="3"/>
    </row>
    <row r="111" spans="13:13" ht="20.100000000000001" customHeight="1" x14ac:dyDescent="0.25">
      <c r="M111" s="3"/>
    </row>
    <row r="112" spans="13:13" ht="20.100000000000001" customHeight="1" x14ac:dyDescent="0.25">
      <c r="M112" s="3"/>
    </row>
    <row r="113" spans="13:13" ht="20.100000000000001" customHeight="1" x14ac:dyDescent="0.25">
      <c r="M113" s="3"/>
    </row>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row r="133" spans="13:13" ht="20.100000000000001" customHeight="1" x14ac:dyDescent="0.25"/>
    <row r="134" spans="13:13" ht="20.100000000000001" customHeight="1" x14ac:dyDescent="0.25"/>
    <row r="135" spans="13:13" ht="20.100000000000001" customHeight="1" x14ac:dyDescent="0.25"/>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9" spans="12:12" x14ac:dyDescent="0.25">
      <c r="L209" s="2"/>
    </row>
    <row r="210" spans="12:12" x14ac:dyDescent="0.25">
      <c r="L210" s="2"/>
    </row>
    <row r="211" spans="12:12" x14ac:dyDescent="0.25">
      <c r="L211" s="2"/>
    </row>
    <row r="212" spans="12:12" x14ac:dyDescent="0.25">
      <c r="L212" s="2"/>
    </row>
    <row r="213" spans="12:12" x14ac:dyDescent="0.25">
      <c r="L213" s="2"/>
    </row>
    <row r="215" spans="12:12" x14ac:dyDescent="0.25">
      <c r="L215" s="2"/>
    </row>
    <row r="217" spans="12:12" x14ac:dyDescent="0.25">
      <c r="L217" s="2"/>
    </row>
    <row r="218" spans="12:12" x14ac:dyDescent="0.25">
      <c r="L218" s="2"/>
    </row>
    <row r="219" spans="12:12" x14ac:dyDescent="0.25">
      <c r="L219" s="2"/>
    </row>
    <row r="220" spans="12:12" x14ac:dyDescent="0.25">
      <c r="L220" s="2"/>
    </row>
    <row r="222" spans="12:12" x14ac:dyDescent="0.25">
      <c r="L222" s="2"/>
    </row>
    <row r="230" spans="12:12" x14ac:dyDescent="0.25">
      <c r="L230" s="2"/>
    </row>
    <row r="231" spans="12:12" x14ac:dyDescent="0.25">
      <c r="L231" s="2"/>
    </row>
    <row r="232" spans="12:12" x14ac:dyDescent="0.25">
      <c r="L232" s="2"/>
    </row>
    <row r="235" spans="12:12" x14ac:dyDescent="0.25">
      <c r="L235" s="2"/>
    </row>
    <row r="236" spans="12:12" x14ac:dyDescent="0.25">
      <c r="L236" s="2"/>
    </row>
    <row r="237" spans="12:12" x14ac:dyDescent="0.25">
      <c r="L237" s="2"/>
    </row>
    <row r="240" spans="12:12" x14ac:dyDescent="0.25">
      <c r="L240" s="2"/>
    </row>
    <row r="241" spans="11:12" x14ac:dyDescent="0.25">
      <c r="L241" s="2"/>
    </row>
    <row r="242" spans="11:12" x14ac:dyDescent="0.25">
      <c r="L242" s="2"/>
    </row>
    <row r="245" spans="11:12" x14ac:dyDescent="0.25">
      <c r="L245" s="2"/>
    </row>
    <row r="246" spans="11:12" x14ac:dyDescent="0.25">
      <c r="K246" s="2"/>
      <c r="L246" s="2"/>
    </row>
    <row r="247" spans="11:12" x14ac:dyDescent="0.25">
      <c r="L247" s="2"/>
    </row>
    <row r="251" spans="11:12" x14ac:dyDescent="0.25">
      <c r="K251" s="2"/>
    </row>
    <row r="254" spans="11:12" x14ac:dyDescent="0.25">
      <c r="L254" s="2"/>
    </row>
    <row r="255" spans="11:12" x14ac:dyDescent="0.25">
      <c r="L255" s="2"/>
    </row>
    <row r="256" spans="11:12" x14ac:dyDescent="0.25">
      <c r="K256" s="2"/>
      <c r="L256" s="2"/>
    </row>
    <row r="259" spans="11:12" x14ac:dyDescent="0.25">
      <c r="L259" s="2"/>
    </row>
    <row r="260" spans="11:12" x14ac:dyDescent="0.25">
      <c r="L260" s="2"/>
    </row>
    <row r="261" spans="11:12" x14ac:dyDescent="0.25">
      <c r="K261" s="2"/>
      <c r="L261" s="2"/>
    </row>
    <row r="262" spans="11:12" x14ac:dyDescent="0.25">
      <c r="K262" s="2"/>
    </row>
    <row r="263" spans="11:12" x14ac:dyDescent="0.25">
      <c r="K263" s="2"/>
    </row>
    <row r="264" spans="11:12" x14ac:dyDescent="0.25">
      <c r="K264" s="2"/>
      <c r="L264" s="2"/>
    </row>
    <row r="265" spans="11:12" x14ac:dyDescent="0.25">
      <c r="K265" s="2"/>
      <c r="L265" s="2"/>
    </row>
    <row r="266" spans="11:12" x14ac:dyDescent="0.25">
      <c r="L266" s="2"/>
    </row>
    <row r="267" spans="11:12" x14ac:dyDescent="0.25">
      <c r="K267" s="2"/>
    </row>
    <row r="269" spans="11:12" x14ac:dyDescent="0.25">
      <c r="K269" s="2"/>
      <c r="L269" s="2"/>
    </row>
    <row r="270" spans="11:12" x14ac:dyDescent="0.25">
      <c r="K270" s="2"/>
      <c r="L270" s="2"/>
    </row>
    <row r="271" spans="11:12" x14ac:dyDescent="0.25">
      <c r="K271" s="2"/>
      <c r="L271" s="2"/>
    </row>
    <row r="272" spans="11:12" x14ac:dyDescent="0.25">
      <c r="K272" s="2"/>
    </row>
    <row r="274" spans="11:11" x14ac:dyDescent="0.25">
      <c r="K274" s="2"/>
    </row>
    <row r="280" spans="11:11" x14ac:dyDescent="0.25">
      <c r="K280" s="2"/>
    </row>
    <row r="285" spans="11:11" x14ac:dyDescent="0.25">
      <c r="K285" s="2"/>
    </row>
    <row r="290" spans="11:11" x14ac:dyDescent="0.25">
      <c r="K290" s="2"/>
    </row>
    <row r="295" spans="11:11" x14ac:dyDescent="0.25">
      <c r="K295" s="2"/>
    </row>
    <row r="296" spans="11:11" x14ac:dyDescent="0.25">
      <c r="K296" s="2"/>
    </row>
    <row r="297" spans="11:11" x14ac:dyDescent="0.25">
      <c r="K297" s="2"/>
    </row>
    <row r="298" spans="11:11" x14ac:dyDescent="0.25">
      <c r="K298" s="2"/>
    </row>
    <row r="299" spans="11:11" x14ac:dyDescent="0.25">
      <c r="K299" s="2"/>
    </row>
    <row r="301" spans="11:11" x14ac:dyDescent="0.25">
      <c r="K301" s="2"/>
    </row>
    <row r="303" spans="11:11" x14ac:dyDescent="0.25">
      <c r="K303" s="2"/>
    </row>
    <row r="304" spans="11:11" x14ac:dyDescent="0.25">
      <c r="K304" s="2"/>
    </row>
    <row r="305" spans="11:11" x14ac:dyDescent="0.25">
      <c r="K305" s="2"/>
    </row>
    <row r="306" spans="11:11" x14ac:dyDescent="0.25">
      <c r="K306" s="2"/>
    </row>
    <row r="308" spans="11:11" x14ac:dyDescent="0.25">
      <c r="K308" s="2"/>
    </row>
    <row r="316" spans="11:11" x14ac:dyDescent="0.25">
      <c r="K316" s="2"/>
    </row>
    <row r="317" spans="11:11" x14ac:dyDescent="0.25">
      <c r="K317" s="2"/>
    </row>
    <row r="318" spans="11:11" x14ac:dyDescent="0.25">
      <c r="K318"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40" spans="11:11" x14ac:dyDescent="0.25">
      <c r="K340" s="2"/>
    </row>
    <row r="341" spans="11:11" x14ac:dyDescent="0.25">
      <c r="K341" s="2"/>
    </row>
    <row r="342" spans="11:11" x14ac:dyDescent="0.25">
      <c r="K342"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D360" s="99"/>
    </row>
  </sheetData>
  <conditionalFormatting sqref="F46">
    <cfRule type="cellIs" dxfId="27" priority="62" operator="lessThan">
      <formula>0</formula>
    </cfRule>
  </conditionalFormatting>
  <conditionalFormatting sqref="F125:F126">
    <cfRule type="cellIs" dxfId="26" priority="21" operator="lessThan">
      <formula>0</formula>
    </cfRule>
  </conditionalFormatting>
  <conditionalFormatting sqref="F137:F138">
    <cfRule type="cellIs" dxfId="25" priority="20" operator="lessThan">
      <formula>0</formula>
    </cfRule>
  </conditionalFormatting>
  <conditionalFormatting sqref="F149:F150">
    <cfRule type="cellIs" dxfId="24" priority="19" operator="lessThan">
      <formula>0</formula>
    </cfRule>
  </conditionalFormatting>
  <conditionalFormatting sqref="F161:F162">
    <cfRule type="cellIs" dxfId="23" priority="18" operator="lessThan">
      <formula>0</formula>
    </cfRule>
  </conditionalFormatting>
  <conditionalFormatting sqref="F249:F250">
    <cfRule type="cellIs" dxfId="22" priority="93" operator="lessThan">
      <formula>0</formula>
    </cfRule>
  </conditionalFormatting>
  <conditionalFormatting sqref="F254:F255">
    <cfRule type="cellIs" dxfId="21" priority="92" operator="lessThan">
      <formula>0</formula>
    </cfRule>
  </conditionalFormatting>
  <conditionalFormatting sqref="F259:F260">
    <cfRule type="cellIs" dxfId="20" priority="91" operator="lessThan">
      <formula>0</formula>
    </cfRule>
  </conditionalFormatting>
  <conditionalFormatting sqref="F283:F284">
    <cfRule type="cellIs" dxfId="19" priority="85" operator="lessThan">
      <formula>0</formula>
    </cfRule>
  </conditionalFormatting>
  <conditionalFormatting sqref="F288:F289">
    <cfRule type="cellIs" dxfId="18" priority="84" operator="lessThan">
      <formula>0</formula>
    </cfRule>
  </conditionalFormatting>
  <conditionalFormatting sqref="F293:F294">
    <cfRule type="cellIs" dxfId="17" priority="83" operator="lessThan">
      <formula>0</formula>
    </cfRule>
  </conditionalFormatting>
  <conditionalFormatting sqref="I30 I32:I36 I40:I41 H42:H44 O43 N44 I45 I47:I49 I51:I52 I203:J203 K208:L208 E209:G209 I209:J209 K246 J247 K251 J252 K256 J257 K261:K265 J262:J266 K267 J268 K269:K272 J270:J273 K274 J275 K280 J281 K285 J286 K290 J291 K295:K299 J296:J300 K301 J302 K303:K306 J304:J307 K308 J309">
    <cfRule type="cellIs" dxfId="16" priority="79" operator="lessThan">
      <formula>0</formula>
    </cfRule>
  </conditionalFormatting>
  <conditionalFormatting sqref="I56:I60">
    <cfRule type="cellIs" dxfId="15" priority="5" operator="lessThan">
      <formula>0</formula>
    </cfRule>
  </conditionalFormatting>
  <conditionalFormatting sqref="I64 M103 I123:J123 K183:L183 K187:L188 K191:L192 K197:L198 K201:L202">
    <cfRule type="cellIs" dxfId="14" priority="74" operator="lessThan">
      <formula>0</formula>
    </cfRule>
  </conditionalFormatting>
  <conditionalFormatting sqref="I75:I77">
    <cfRule type="cellIs" dxfId="13" priority="4" operator="lessThan">
      <formula>0</formula>
    </cfRule>
  </conditionalFormatting>
  <conditionalFormatting sqref="I81:I84">
    <cfRule type="cellIs" dxfId="12" priority="3" operator="lessThan">
      <formula>0</formula>
    </cfRule>
  </conditionalFormatting>
  <conditionalFormatting sqref="I88:I92">
    <cfRule type="cellIs" dxfId="11" priority="1" operator="lessThan">
      <formula>0</formula>
    </cfRule>
  </conditionalFormatting>
  <conditionalFormatting sqref="J151">
    <cfRule type="cellIs" dxfId="10" priority="24" operator="lessThan">
      <formula>0</formula>
    </cfRule>
  </conditionalFormatting>
  <conditionalFormatting sqref="L116:L119">
    <cfRule type="cellIs" dxfId="9" priority="11" operator="lessThan">
      <formula>0</formula>
    </cfRule>
  </conditionalFormatting>
  <conditionalFormatting sqref="L122">
    <cfRule type="cellIs" dxfId="8" priority="17" operator="lessThan">
      <formula>0</formula>
    </cfRule>
  </conditionalFormatting>
  <conditionalFormatting sqref="L128:L131">
    <cfRule type="cellIs" dxfId="7" priority="10" operator="lessThan">
      <formula>0</formula>
    </cfRule>
  </conditionalFormatting>
  <conditionalFormatting sqref="L134">
    <cfRule type="cellIs" dxfId="6" priority="16" operator="lessThan">
      <formula>0</formula>
    </cfRule>
  </conditionalFormatting>
  <conditionalFormatting sqref="L140:L143">
    <cfRule type="cellIs" dxfId="5" priority="9" operator="lessThan">
      <formula>0</formula>
    </cfRule>
  </conditionalFormatting>
  <conditionalFormatting sqref="L146">
    <cfRule type="cellIs" dxfId="4" priority="15" operator="lessThan">
      <formula>0</formula>
    </cfRule>
  </conditionalFormatting>
  <conditionalFormatting sqref="L152:L155">
    <cfRule type="cellIs" dxfId="3" priority="8" operator="lessThan">
      <formula>0</formula>
    </cfRule>
  </conditionalFormatting>
  <conditionalFormatting sqref="L158">
    <cfRule type="cellIs" dxfId="2" priority="14" operator="lessThan">
      <formula>0</formula>
    </cfRule>
  </conditionalFormatting>
  <conditionalFormatting sqref="L162:L163">
    <cfRule type="cellIs" dxfId="1" priority="12" operator="lessThan">
      <formula>0</formula>
    </cfRule>
  </conditionalFormatting>
  <conditionalFormatting sqref="L209:L213 L215 L217:L220 L222 J227:J229 J232:J234">
    <cfRule type="cellIs" dxfId="0" priority="102" operator="lessThan">
      <formula>0</formula>
    </cfRule>
  </conditionalFormatting>
  <dataValidations count="12">
    <dataValidation type="list" allowBlank="1" showInputMessage="1" showErrorMessage="1" sqref="D276" xr:uid="{4E913AB3-F90B-4C35-BCE1-5DBB8FC05107}">
      <formula1>INDIRECT("Table_SourceData_PoultryMMSStage1[MMS]")</formula1>
    </dataValidation>
    <dataValidation type="list" allowBlank="1" showInputMessage="1" showErrorMessage="1" sqref="E224" xr:uid="{9FB53635-991F-44AA-A123-E8ABEF9EE0A6}">
      <formula1>INDIRECT("Table_SourceData_Dairy_ProductionSystemTemplates[Area]")</formula1>
    </dataValidation>
    <dataValidation type="list" allowBlank="1" showInputMessage="1" showErrorMessage="1" sqref="E248 E253 E258 E292 E287 E282 E160 E148 E124 E136" xr:uid="{00A4EA4C-90D3-4150-979D-4D71C7F37A31}">
      <formula1>"Yes, No"</formula1>
    </dataValidation>
    <dataValidation type="list" allowBlank="1" showInputMessage="1" showErrorMessage="1" sqref="E64" xr:uid="{DBA884B0-B52E-420E-8FD2-21B082EB75E2}">
      <formula1>INDIRECT("Table_SourceData_Swine_IrrigationMethods[Irrigation method]")</formula1>
    </dataValidation>
    <dataValidation type="list" allowBlank="1" showInputMessage="1" showErrorMessage="1" sqref="E63"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3:H24 J23:J24 L23:L24 N23:N24" xr:uid="{4A7ED0FB-DC6D-4B9E-B043-37B0C0BD600A}">
      <formula1>INDIRECT("Table_Fertiliser_ChemicalCompounds[Fertiliser type f]")</formula1>
    </dataValidation>
    <dataValidation type="list" allowBlank="1" showInputMessage="1" showErrorMessage="1" sqref="D43:D44" xr:uid="{23F8C720-A764-46DD-9B01-B7EA3D86E5AB}">
      <formula1>INDIRECT("Table_SourceData_OrganicFertiliserTypes[Organic fertiliser type]")</formula1>
    </dataValidation>
    <dataValidation type="list" allowBlank="1" showInputMessage="1" showErrorMessage="1" sqref="D18:D19" xr:uid="{B23B57EC-703F-4AE4-9B1D-0AF66025057C}">
      <formula1>INDIRECT("FertiliserProducts[Product Name]")</formula1>
    </dataValidation>
    <dataValidation type="list" allowBlank="1" showInputMessage="1" showErrorMessage="1" sqref="Q23:R24"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15" zoomScaleNormal="100" workbookViewId="0">
      <selection activeCell="E37" sqref="E3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204</v>
      </c>
      <c r="K1"/>
    </row>
    <row r="2" spans="1:24" s="9" customFormat="1" ht="20.100000000000001" customHeight="1" x14ac:dyDescent="0.25">
      <c r="K2"/>
    </row>
    <row r="3" spans="1:24" ht="20.100000000000001" customHeight="1" x14ac:dyDescent="0.25">
      <c r="A3" s="17" t="str">
        <f>HYPERLINK("#'Home'!A1", "Home")</f>
        <v>Home</v>
      </c>
      <c r="C3" s="4"/>
      <c r="D3" s="4" t="s">
        <v>80</v>
      </c>
      <c r="E3" s="4"/>
      <c r="F3" s="4"/>
      <c r="G3" s="4"/>
      <c r="H3" s="4"/>
      <c r="I3" s="4"/>
      <c r="J3" s="4"/>
      <c r="L3" s="4"/>
      <c r="M3" s="4" t="s">
        <v>81</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22</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25</v>
      </c>
      <c r="N9" s="1" t="str" cm="1">
        <f t="array" ref="N9">Fertiliser_Equations_InorganicN2O.VEERG_5_1_1_2__1_EmissionFactorIrrigatedMaize_Variable()</f>
        <v>EF_fjIrrigatedMaizeN2O</v>
      </c>
    </row>
    <row r="10" spans="1:24" ht="20.100000000000001" customHeight="1" x14ac:dyDescent="0.25">
      <c r="A10" s="17"/>
      <c r="D10" s="51" t="s">
        <v>25</v>
      </c>
      <c r="E10" s="1" t="str" cm="1">
        <f t="array" ref="E10">Fertiliser_Equations_InorganicN2O.VEERG_5_1_1_1__2_MassOfNitrogenInInorganicFertiliser_Variable()</f>
        <v>MN_jf</v>
      </c>
      <c r="M10" s="51" t="s">
        <v>16</v>
      </c>
      <c r="N10" s="52" t="str" cm="1">
        <f t="array" ref="N10">Fertiliser_Equations_InorganicN2O.VEERG_5_1_1_2__1_EmissionFactorIrrigatedMaize_Unit()</f>
        <v>kg N2O-N/kg N applied</v>
      </c>
    </row>
    <row r="11" spans="1:24" ht="20.100000000000001" customHeight="1" x14ac:dyDescent="0.25">
      <c r="A11" s="19" t="s">
        <v>69</v>
      </c>
      <c r="D11" s="51" t="s">
        <v>16</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173</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145</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161</v>
      </c>
      <c r="M17" s="5" t="str" cm="1">
        <f t="array" ref="M17">Fertiliser_Equations_InorganicN2O.VEERG_5_1_1_2__2_EmissionFactorNonIrrigatedGrainsHighRainfall_Source()</f>
        <v>VEERG 2026: 5.1.1.2, Equation (2)</v>
      </c>
    </row>
    <row r="18" spans="1:19" ht="20.100000000000001" customHeight="1" x14ac:dyDescent="0.25">
      <c r="D18" s="49" t="s">
        <v>112</v>
      </c>
      <c r="E18" s="112" t="s">
        <v>144</v>
      </c>
      <c r="F18" s="49" t="s">
        <v>143</v>
      </c>
      <c r="G18" s="49" t="s">
        <v>160</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25</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521.73913000000005</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239.99999980000004</v>
      </c>
      <c r="M21" s="51" t="s">
        <v>16</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173</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825.55199999999991</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825.55199999999991</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1270.08</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7224.2</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53</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25</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16</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0</v>
      </c>
      <c r="I36" s="2"/>
      <c r="M36" s="54" t="str">
        <v>f</v>
      </c>
      <c r="N36" s="55" t="str">
        <v>Inorganic fertiliser type</v>
      </c>
      <c r="O36" s="93"/>
      <c r="P36" s="55" t="str">
        <v/>
      </c>
      <c r="Q36" s="119" t="str">
        <v>Constant</v>
      </c>
      <c r="R36" s="55" t="s">
        <v>173</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1550</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182</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174</v>
      </c>
      <c r="T41" s="100" t="s">
        <v>203</v>
      </c>
    </row>
    <row r="42" spans="1:23" ht="20.100000000000001" customHeight="1" x14ac:dyDescent="0.25">
      <c r="D42" s="13" t="s">
        <v>22</v>
      </c>
      <c r="E42" s="13" t="str" cm="1">
        <f t="array" aca="1" ref="E42" ca="1">Common_InputFunctions.Utility_DisplayFunctionName($E$60)</f>
        <v>=Fertiliser_Equations_InorganicN2O.VEERG_5_1_1_1__1_InorganicFertiliserApplicationN2OEmissions</v>
      </c>
      <c r="F42" s="2"/>
      <c r="M42" s="91" t="s">
        <v>172</v>
      </c>
    </row>
    <row r="43" spans="1:23" ht="20.100000000000001" customHeight="1" x14ac:dyDescent="0.25">
      <c r="F43" s="2"/>
      <c r="O43" s="118" t="s">
        <v>179</v>
      </c>
      <c r="P43" s="118" t="s">
        <v>178</v>
      </c>
      <c r="Q43" s="118" t="s">
        <v>142</v>
      </c>
      <c r="R43" s="118" t="str">
        <f>$N$10</f>
        <v>kg N2O-N/kg N applied</v>
      </c>
      <c r="S43" s="118" t="str">
        <f>$N$21</f>
        <v>kg N2O-N/kg N applied</v>
      </c>
      <c r="T43" s="118" t="s">
        <v>179</v>
      </c>
      <c r="U43" s="118" t="s">
        <v>142</v>
      </c>
      <c r="V43" s="118" t="str">
        <f>$N$33</f>
        <v>kg N2O-N/kg N applied</v>
      </c>
      <c r="W43" s="118" t="s">
        <v>180</v>
      </c>
    </row>
    <row r="44" spans="1:23" ht="20.100000000000001" customHeight="1" x14ac:dyDescent="0.25">
      <c r="F44" s="2"/>
      <c r="M44" s="49" t="s">
        <v>171</v>
      </c>
      <c r="N44" s="112" t="s">
        <v>171</v>
      </c>
      <c r="O44" s="112" t="s">
        <v>166</v>
      </c>
      <c r="P44" s="112" t="s">
        <v>167</v>
      </c>
      <c r="Q44" s="49" t="s">
        <v>168</v>
      </c>
      <c r="R44" s="49" t="str">
        <f>N9</f>
        <v>EF_fjIrrigatedMaizeN2O</v>
      </c>
      <c r="S44" s="49" t="str">
        <f>N20</f>
        <v>EF_fjNonIrrigatedGrainsN2O</v>
      </c>
      <c r="T44" s="49" t="s">
        <v>181</v>
      </c>
      <c r="U44" s="49" t="s">
        <v>177</v>
      </c>
      <c r="V44" s="49" t="str">
        <f>N32</f>
        <v>EF_fjCottonN2O</v>
      </c>
      <c r="W44" s="49" t="s">
        <v>235</v>
      </c>
    </row>
    <row r="45" spans="1:23" ht="20.100000000000001" customHeight="1" x14ac:dyDescent="0.25">
      <c r="F45" s="2"/>
      <c r="M45" s="50" t="s">
        <v>176</v>
      </c>
      <c r="N45" s="50" t="str" cm="1">
        <f t="array" ref="N45:N46">Table_Input_InorganicFertiliser_Brands[Product (select)]</f>
        <v>Aqua Finish</v>
      </c>
      <c r="O45" s="50" cm="1">
        <f t="array" ref="O45:O46">Table_Input_InorganicFertiliser_Brands[N application rate (kg/ha)]</f>
        <v>6.5519999999999996</v>
      </c>
      <c r="P45" s="50" cm="1">
        <f t="array" ref="P45:P46">Table_Input_InorganicFertiliser_Brands[Application area (ha)]</f>
        <v>100</v>
      </c>
      <c r="Q45" s="50">
        <f>O45*P45</f>
        <v>655.19999999999993</v>
      </c>
      <c r="R45" s="50" cm="1">
        <f t="array" ref="R45">IF(O45&gt;0, Fertiliser_Equations_InorganicN2O.VEERG_5_1_1_2__1_EmissionFactorIrrigatedMaize(O45), 0)</f>
        <v>-1.074328E-3</v>
      </c>
      <c r="S45" s="50" cm="1">
        <f t="array" ref="S45">IF(O45&gt;0, Fertiliser_Equations_InorganicN2O.VEERG_5_1_1_2__2_EmissionFactorNonIrrigatedGrainsHighRainfall(O45), 0)</f>
        <v>1.2723999999999999E-3</v>
      </c>
      <c r="T45" s="50">
        <f>IF(O45&gt;0, MIN(300, O45), 0)</f>
        <v>6.5519999999999996</v>
      </c>
      <c r="U45" s="50">
        <f>P45*T45</f>
        <v>655.19999999999993</v>
      </c>
      <c r="V45" s="50" cm="1">
        <f t="array" ref="V45">IF(O45&gt;0, Fertiliser_Equations_InorganicN2O.VEERG_5_1_1_2__3_EmissionFactorCotton(T45), 0)</f>
        <v>2.9029309230349243E-5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25</v>
      </c>
      <c r="E46" s="1" t="str" cm="1">
        <f t="array" ref="E46">Fertiliser_Equations_InorganicN2O.VEERG_5_1_1_1__1_InorganicFertiliserApplicationN2OEmissions_Variable()</f>
        <v>E_N2O</v>
      </c>
      <c r="F46" s="2"/>
      <c r="M46" s="50" t="s">
        <v>176</v>
      </c>
      <c r="N46" s="50" t="str">
        <v>Boost-It</v>
      </c>
      <c r="O46" s="50">
        <v>2.3999999980000002</v>
      </c>
      <c r="P46" s="50">
        <v>100</v>
      </c>
      <c r="Q46" s="50">
        <f>O46*P46</f>
        <v>239.99999980000001</v>
      </c>
      <c r="R46" s="50" cm="1">
        <f t="array" ref="R46">IF(O46&gt;0, Fertiliser_Equations_InorganicN2O.VEERG_5_1_1_2__1_EmissionFactorIrrigatedMaize(O46), 0)</f>
        <v>-1.327600000122E-3</v>
      </c>
      <c r="S46" s="50" cm="1">
        <f t="array" ref="S46">IF(O46&gt;0, Fertiliser_Equations_InorganicN2O.VEERG_5_1_1_2__2_EmissionFactorNonIrrigatedGrainsHighRainfall(O46), 0)</f>
        <v>9.6099999985000003E-4</v>
      </c>
      <c r="T46" s="50">
        <f t="shared" ref="T46:T54" si="0">IF(O46&gt;0, MIN(300, O46), 0)</f>
        <v>2.3999999980000002</v>
      </c>
      <c r="U46" s="50">
        <f t="shared" ref="U46:U54" si="1">P46*T46</f>
        <v>239.99999980000001</v>
      </c>
      <c r="V46" s="50" cm="1">
        <f t="array" ref="V46">IF(O46&gt;0, Fertiliser_Equations_InorganicN2O.VEERG_5_1_1_2__3_EmissionFactorCotton(T46), 0)</f>
        <v>2.9027084768098419E-5</v>
      </c>
      <c r="W46" s="50">
        <f>IF(O46&gt;0,Common_InputFunctions.Utility_LookupN2OEFFromProdIrrigationRainfall($S$70,$S$73,$S$74,Table_SourceData_Common_EFN2O[Production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7" spans="1:23" ht="20.100000000000001" customHeight="1" x14ac:dyDescent="0.25">
      <c r="D47" s="51" t="s">
        <v>16</v>
      </c>
      <c r="E47" s="52" t="str" cm="1">
        <f t="array" ref="E47">Fertiliser_Equations_InorganicN2O.VEERG_5_1_1_1__1_InorganicFertiliserApplicationN2OEmissions_Unit()</f>
        <v>t N2O</v>
      </c>
      <c r="F47" s="2"/>
      <c r="M47" s="50" t="s">
        <v>176</v>
      </c>
      <c r="N47" s="50"/>
      <c r="O47" s="50"/>
      <c r="P47" s="50"/>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176</v>
      </c>
      <c r="N48" s="50"/>
      <c r="O48" s="50"/>
      <c r="P48" s="50"/>
      <c r="Q48" s="50">
        <f t="shared" si="2"/>
        <v>0</v>
      </c>
      <c r="R48" s="50" cm="1">
        <f t="array" ref="R48">IF(O48&gt;0, Fertiliser_Equations_InorganicN2O.VEERG_5_1_1_2__1_EmissionFactorIrrigatedMaize(O48), 0)</f>
        <v>0</v>
      </c>
      <c r="S48" s="50" cm="1">
        <f t="array" ref="S48">IF(O48&gt;0, Fertiliser_Equations_InorganicN2O.VEERG_5_1_1_2__2_EmissionFactorNonIrrigatedGrainsHighRainfall(O48), 0)</f>
        <v>0</v>
      </c>
      <c r="T48" s="50">
        <f t="shared" si="0"/>
        <v>0</v>
      </c>
      <c r="U48" s="50">
        <f t="shared" si="1"/>
        <v>0</v>
      </c>
      <c r="V48" s="50" cm="1">
        <f t="array" ref="V48">IF(O48&gt;0, Fertiliser_Equations_InorganicN2O.VEERG_5_1_1_2__3_EmissionFactorCotton(T48), 0)</f>
        <v>0</v>
      </c>
      <c r="W48" s="50">
        <f>IF(O48&gt;0,Common_InputFunctions.Utility_LookupN2OEFFromProdIrrigationRainfall($S$70,$S$73,$S$74,Table_SourceData_Common_EFN2O[Production system only],Table_SourceData_Common_EFN2O[Irrigation method],Table_SourceData_Common_EFN2O[Rainfall zone],Table_SourceData_Common_EFN2O[EFN2O]), 0)</f>
        <v>0</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176</v>
      </c>
      <c r="N49" s="50"/>
      <c r="O49" s="50"/>
      <c r="P49" s="50"/>
      <c r="Q49" s="50">
        <f t="shared" si="2"/>
        <v>0</v>
      </c>
      <c r="R49" s="50" cm="1">
        <f t="array" ref="R49">IF(O49&gt;0, Fertiliser_Equations_InorganicN2O.VEERG_5_1_1_2__1_EmissionFactorIrrigatedMaize(O49), 0)</f>
        <v>0</v>
      </c>
      <c r="S49" s="50" cm="1">
        <f t="array" ref="S49">IF(O49&gt;0, Fertiliser_Equations_InorganicN2O.VEERG_5_1_1_2__2_EmissionFactorNonIrrigatedGrainsHighRainfall(O49), 0)</f>
        <v>0</v>
      </c>
      <c r="T49" s="50">
        <f t="shared" si="0"/>
        <v>0</v>
      </c>
      <c r="U49" s="50">
        <f t="shared" si="1"/>
        <v>0</v>
      </c>
      <c r="V49" s="50" cm="1">
        <f t="array" ref="V49">IF(O49&gt;0, Fertiliser_Equations_InorganicN2O.VEERG_5_1_1_2__3_EmissionFactorCotton(T49), 0)</f>
        <v>0</v>
      </c>
      <c r="W49" s="50">
        <f>IF(O49&gt;0,Common_InputFunctions.Utility_LookupN2OEFFromProdIrrigationRainfall($S$70,$S$73,$S$74,Table_SourceData_Common_EFN2O[Production system only],Table_SourceData_Common_EFN2O[Irrigation method],Table_SourceData_Common_EFN2O[Rainfall zone],Table_SourceData_Common_EFN2O[EFN2O]), 0)</f>
        <v>0</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175</v>
      </c>
      <c r="N50" s="50" t="str" cm="1">
        <f t="array" ref="N50:N51">Table_Input_InorganicFertiliser_Custom[Custom blend name]</f>
        <v>My first custom blend</v>
      </c>
      <c r="O50" s="50" cm="1">
        <f t="array" ref="O50:O51">Table_Input_InorganicFertiliser_Custom[N application rate (kg/ha)]</f>
        <v>15.5</v>
      </c>
      <c r="P50" s="50" cm="1">
        <f t="array" ref="P50:P51">Table_Input_InorganicFertiliser_Custom[Application area (ha)]</f>
        <v>100</v>
      </c>
      <c r="Q50" s="50">
        <f t="shared" si="2"/>
        <v>1550</v>
      </c>
      <c r="R50" s="50" cm="1">
        <f t="array" ref="R50">IF(O50&gt;0, Fertiliser_Equations_InorganicN2O.VEERG_5_1_1_2__1_EmissionFactorIrrigatedMaize(O50), 0)</f>
        <v>-5.285E-4</v>
      </c>
      <c r="S50" s="50" cm="1">
        <f t="array" ref="S50">IF(O50&gt;0, Fertiliser_Equations_InorganicN2O.VEERG_5_1_1_2__2_EmissionFactorNonIrrigatedGrainsHighRainfall(O50), 0)</f>
        <v>1.9434999999999999E-3</v>
      </c>
      <c r="T50" s="50">
        <f t="shared" si="0"/>
        <v>15.5</v>
      </c>
      <c r="U50" s="50">
        <f t="shared" si="1"/>
        <v>1550</v>
      </c>
      <c r="V50" s="50" cm="1">
        <f t="array" ref="V50">IF(O50&gt;0, Fertiliser_Equations_InorganicN2O.VEERG_5_1_1_2__3_EmissionFactorCotton(T50), 0)</f>
        <v>2.903497592132757E-5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175</v>
      </c>
      <c r="N51" s="50">
        <v>0</v>
      </c>
      <c r="O51" s="50">
        <v>0</v>
      </c>
      <c r="P51" s="50">
        <v>100</v>
      </c>
      <c r="Q51" s="50">
        <f t="shared" si="2"/>
        <v>0</v>
      </c>
      <c r="R51" s="50" cm="1">
        <f t="array" ref="R51">IF(O51&gt;0, Fertiliser_Equations_InorganicN2O.VEERG_5_1_1_2__1_EmissionFactorIrrigatedMaize(O51), 0)</f>
        <v>0</v>
      </c>
      <c r="S51" s="50" cm="1">
        <f t="array" ref="S51">IF(O51&gt;0, Fertiliser_Equations_InorganicN2O.VEERG_5_1_1_2__2_EmissionFactorNonIrrigatedGrainsHighRainfall(O51), 0)</f>
        <v>0</v>
      </c>
      <c r="T51" s="50">
        <f t="shared" si="0"/>
        <v>0</v>
      </c>
      <c r="U51" s="50">
        <f t="shared" si="1"/>
        <v>0</v>
      </c>
      <c r="V51" s="50" cm="1">
        <f t="array" ref="V51">IF(O51&gt;0, Fertiliser_Equations_InorganicN2O.VEERG_5_1_1_2__3_EmissionFactorCotton(T51), 0)</f>
        <v>0</v>
      </c>
      <c r="W51" s="50">
        <f>IF(O51&gt;0,Common_InputFunctions.Utility_LookupN2OEFFromProdIrrigationRainfall($S$70,$S$73,$S$74,Table_SourceData_Common_EFN2O[Production system only],Table_SourceData_Common_EFN2O[Irrigation method],Table_SourceData_Common_EFN2O[Rainfall zone],Table_SourceData_Common_EFN2O[EFN2O]), 0)</f>
        <v>0</v>
      </c>
    </row>
    <row r="52" spans="4:24" ht="20.100000000000001" customHeight="1" x14ac:dyDescent="0.25">
      <c r="D52" s="54" t="str">
        <v>j</v>
      </c>
      <c r="E52" s="55" t="str">
        <v>Production system</v>
      </c>
      <c r="F52" s="93"/>
      <c r="G52" s="54" t="str">
        <v/>
      </c>
      <c r="H52" s="120" t="str">
        <v>Input</v>
      </c>
      <c r="I52" s="54" t="str">
        <f>'Input - Fertiliser'!$E$6</f>
        <v>Crop</v>
      </c>
      <c r="M52" s="50" t="s">
        <v>175</v>
      </c>
      <c r="N52" s="50"/>
      <c r="O52" s="50"/>
      <c r="P52" s="50"/>
      <c r="Q52" s="50">
        <f t="shared" si="2"/>
        <v>0</v>
      </c>
      <c r="R52" s="50" cm="1">
        <f t="array" ref="R52">IF(O52&gt;0, Fertiliser_Equations_InorganicN2O.VEERG_5_1_1_2__1_EmissionFactorIrrigatedMaize(O52), 0)</f>
        <v>0</v>
      </c>
      <c r="S52" s="50" cm="1">
        <f t="array" ref="S52">IF(O52&gt;0, Fertiliser_Equations_InorganicN2O.VEERG_5_1_1_2__2_EmissionFactorNonIrrigatedGrainsHighRainfall(O52), 0)</f>
        <v>0</v>
      </c>
      <c r="T52" s="50">
        <f t="shared" si="0"/>
        <v>0</v>
      </c>
      <c r="U52" s="50">
        <f t="shared" si="1"/>
        <v>0</v>
      </c>
      <c r="V52" s="50" cm="1">
        <f t="array" ref="V52">IF(O52&gt;0, Fertiliser_Equations_InorganicN2O.VEERG_5_1_1_2__3_EmissionFactorCotton(T52), 0)</f>
        <v>0</v>
      </c>
      <c r="W52" s="50">
        <f>IF(O52&gt;0,Common_InputFunctions.Utility_LookupN2OEFFromProdIrrigationRainfall($S$70,$S$73,$S$74,Table_SourceData_Common_EFN2O[Production system only],Table_SourceData_Common_EFN2O[Irrigation method],Table_SourceData_Common_EFN2O[Rainfall zone],Table_SourceData_Common_EFN2O[EFN2O]), 0)</f>
        <v>0</v>
      </c>
    </row>
    <row r="53" spans="4:24" ht="20.100000000000001" customHeight="1" x14ac:dyDescent="0.25">
      <c r="D53" s="54" t="str">
        <v>f</v>
      </c>
      <c r="E53" s="55" t="str">
        <v>Inorganic fertiliser type</v>
      </c>
      <c r="F53" s="93"/>
      <c r="G53" s="54" t="str">
        <v/>
      </c>
      <c r="H53" s="119" t="str">
        <v>Constant</v>
      </c>
      <c r="I53" s="54" t="str">
        <f>"See " &amp; D57</f>
        <v>See M1_Table_E_N2O</v>
      </c>
      <c r="M53" s="50" t="s">
        <v>175</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Drip irrigation</v>
      </c>
      <c r="M54" s="50" t="s">
        <v>175</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Low rainfall</v>
      </c>
    </row>
    <row r="56" spans="4:24" ht="20.100000000000001" customHeight="1" x14ac:dyDescent="0.25">
      <c r="F56" s="2"/>
    </row>
    <row r="57" spans="4:24" ht="20.100000000000001" customHeight="1" x14ac:dyDescent="0.25">
      <c r="D57" s="92" t="s">
        <v>169</v>
      </c>
      <c r="F57" s="2"/>
      <c r="L57" s="44"/>
      <c r="M57" s="44"/>
      <c r="N57" s="44"/>
      <c r="O57" s="44"/>
      <c r="P57" s="44"/>
      <c r="Q57" s="44"/>
      <c r="R57" s="44"/>
      <c r="S57" s="44"/>
      <c r="T57" s="44"/>
      <c r="U57" s="44"/>
      <c r="V57" s="44"/>
      <c r="W57" s="44"/>
      <c r="X57" s="44"/>
    </row>
    <row r="58" spans="4:24" ht="20.100000000000001" customHeight="1" x14ac:dyDescent="0.25">
      <c r="D58" s="91" t="s">
        <v>170</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112</v>
      </c>
      <c r="E59" s="49" t="s">
        <v>183</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22</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2.6399999978000003E-3</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25</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16</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0</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9.0810719999999991E-3</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185</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Drip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Low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171</v>
      </c>
      <c r="N76" s="49" t="s">
        <v>171</v>
      </c>
      <c r="O76" s="49" t="s">
        <v>184</v>
      </c>
      <c r="P76" s="49" t="s">
        <v>183</v>
      </c>
    </row>
    <row r="77" spans="4:19" ht="20.100000000000001" customHeight="1" x14ac:dyDescent="0.25">
      <c r="D77" s="50" t="str">
        <v>Ammonia</v>
      </c>
      <c r="E77" s="50" cm="1">
        <f t="array" ref="E77">Fertiliser_Equations_InorganicN2O.VEERG_5_1_1_1__1_InorganicFertiliserApplicationN2OEmissions(G36,$I$50,$I$51)</f>
        <v>0</v>
      </c>
      <c r="M77" s="50" t="s">
        <v>176</v>
      </c>
      <c r="N77" s="50" t="str" cm="1">
        <f t="array" ref="N77:N78">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7.2071999999999987E-3</v>
      </c>
    </row>
    <row r="78" spans="4:19" ht="20.100000000000001" customHeight="1" x14ac:dyDescent="0.25">
      <c r="D78" s="50" t="str">
        <v>Calcium nitrate</v>
      </c>
      <c r="E78" s="50" cm="1">
        <f t="array" ref="E78">Fertiliser_Equations_InorganicN2O.VEERG_5_1_1_1__1_InorganicFertiliserApplicationN2OEmissions(G37,$I$50,$I$51)</f>
        <v>1.7050000000000003E-2</v>
      </c>
      <c r="M78" s="50" t="s">
        <v>176</v>
      </c>
      <c r="N78" s="50" t="str">
        <v>Boost-It</v>
      </c>
      <c r="O78" s="50" cm="1">
        <f t="array" ref="O78">_xlfn.XLOOKUP(N78,$N$45:$N$54,_xlfn.XLOOKUP($S$68,$R$44:$W$44,$R$45:$W$54), FALSE)</f>
        <v>7.0000000000000001E-3</v>
      </c>
      <c r="P78" s="50" cm="1">
        <f t="array" ref="P78">Fertiliser_Equations_InorganicN2O.VEERG_5_1_1_1__1_InorganicFertiliserApplicationN2OEmissions(Q46,O78,$S$69)</f>
        <v>2.6399999977999998E-3</v>
      </c>
    </row>
    <row r="79" spans="4:19" ht="20.100000000000001" customHeight="1" x14ac:dyDescent="0.25">
      <c r="M79" s="50" t="s">
        <v>176</v>
      </c>
      <c r="N79" s="50"/>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162</v>
      </c>
      <c r="E80" s="95">
        <f>SUM(E60:E78)</f>
        <v>2.8771071997800001E-2</v>
      </c>
      <c r="F80" s="96" t="str">
        <f>$E$47</f>
        <v>t N2O</v>
      </c>
      <c r="M80" s="50" t="s">
        <v>176</v>
      </c>
      <c r="N80" s="50"/>
      <c r="O80" s="50" cm="1">
        <f t="array" ref="O80">_xlfn.XLOOKUP(N80,$N$45:$N$54,_xlfn.XLOOKUP($S$68,$R$44:$W$44,$R$45:$W$54))</f>
        <v>0</v>
      </c>
      <c r="P80" s="50" cm="1">
        <f t="array" ref="P80">Fertiliser_Equations_InorganicN2O.VEERG_5_1_1_1__1_InorganicFertiliserApplicationN2OEmissions(Q48,O80,$S$69)</f>
        <v>0</v>
      </c>
    </row>
    <row r="81" spans="1:16" ht="20.100000000000001" customHeight="1" x14ac:dyDescent="0.25">
      <c r="M81" s="50" t="s">
        <v>176</v>
      </c>
      <c r="N81" s="50"/>
      <c r="O81" s="50" cm="1">
        <f t="array" ref="O81">_xlfn.XLOOKUP(N81,$N$45:$N$54,_xlfn.XLOOKUP($S$68,$R$44:$W$44,$R$45:$W$54))</f>
        <v>0</v>
      </c>
      <c r="P81" s="50" cm="1">
        <f t="array" ref="P81">Fertiliser_Equations_InorganicN2O.VEERG_5_1_1_1__1_InorganicFertiliserApplicationN2OEmissions(Q49,O81,$S$69)</f>
        <v>0</v>
      </c>
    </row>
    <row r="82" spans="1:16" ht="20.100000000000001" customHeight="1" x14ac:dyDescent="0.25">
      <c r="D82" s="54" t="str" cm="1">
        <f t="array" ref="D82:E83">Common_Equations.Common_ConvertN2OToCO2e_Arguments()</f>
        <v>EN2O</v>
      </c>
      <c r="E82" s="55" t="str">
        <v>Nitrous oxide emissions (t N2O)</v>
      </c>
      <c r="F82" s="97"/>
      <c r="G82" s="50">
        <f>E80</f>
        <v>2.8771071997800001E-2</v>
      </c>
      <c r="M82" s="50" t="s">
        <v>175</v>
      </c>
      <c r="N82" s="50" t="str" cm="1">
        <f t="array" ref="N82:N83">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1.7050000000000003E-2</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175</v>
      </c>
      <c r="N83" s="50">
        <v>0</v>
      </c>
      <c r="O83" s="50" cm="1">
        <f t="array" ref="O83">_xlfn.XLOOKUP(N83,$N$45:$N$54,_xlfn.XLOOKUP($S$68,$R$44:$W$44,$R$45:$W$54))</f>
        <v>0</v>
      </c>
      <c r="P83" s="50" cm="1">
        <f t="array" ref="P83">Fertiliser_Equations_InorganicN2O.VEERG_5_1_1_1__1_InorganicFertiliserApplicationN2OEmissions(Q51,O83,$S$69)</f>
        <v>0</v>
      </c>
    </row>
    <row r="84" spans="1:16" ht="20.100000000000001" customHeight="1" x14ac:dyDescent="0.25">
      <c r="M84" s="50" t="s">
        <v>175</v>
      </c>
      <c r="N84" s="50"/>
      <c r="O84" s="50" cm="1">
        <f t="array" ref="O84">_xlfn.XLOOKUP(N84,$N$45:$N$54,_xlfn.XLOOKUP($S$68,$R$44:$W$44,$R$45:$W$54))</f>
        <v>0</v>
      </c>
      <c r="P84" s="50" cm="1">
        <f t="array" ref="P84">Fertiliser_Equations_InorganicN2O.VEERG_5_1_1_1__1_InorganicFertiliserApplicationN2OEmissions(Q52,O84,$S$69)</f>
        <v>0</v>
      </c>
    </row>
    <row r="85" spans="1:16" ht="20.100000000000001" customHeight="1" x14ac:dyDescent="0.25">
      <c r="D85" s="44" t="s">
        <v>79</v>
      </c>
      <c r="E85" s="44" cm="1">
        <f t="array" ref="E85">Common_Equations.Common_ConvertN2OToCO2e(G82,G83)</f>
        <v>7.6243340794170003</v>
      </c>
      <c r="F85" s="98" t="str" cm="1">
        <f t="array" ref="F85">Common_Equations.Common_ConvertN2OToCO2e_Unit()</f>
        <v>t CO2e</v>
      </c>
      <c r="M85" s="50" t="s">
        <v>175</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175</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162</v>
      </c>
      <c r="N88" s="95">
        <f>SUM(P77:P86)</f>
        <v>2.6897199997799999E-2</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2.6897199997799999E-2</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79</v>
      </c>
      <c r="N93" s="44" cm="1">
        <f t="array" ref="N93">Common_Equations.Common_ConvertN2OToCO2e(P90,P91)</f>
        <v>7.1277579994169997</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6" workbookViewId="0">
      <selection activeCell="E79" sqref="E7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205</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22</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Fertiliser_Equations_InorganicCO2.VEERG_5_1_1_3__2_MassOfUreaInInorganicFertiliser_Variable()</f>
        <v>MU_jf</v>
      </c>
    </row>
    <row r="11" spans="1:21" ht="20.100000000000001" customHeight="1" x14ac:dyDescent="0.25">
      <c r="A11" s="19" t="s">
        <v>69</v>
      </c>
      <c r="D11" s="51" t="s">
        <v>16</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206</v>
      </c>
    </row>
    <row r="17" spans="1:7" ht="20.100000000000001" customHeight="1" x14ac:dyDescent="0.25">
      <c r="A17" s="17" t="str">
        <f>HYPERLINK("#'5.5.1.1-2 Leaching and runoff'!A1", "5.5.1.1-2 Leaching and runoff")</f>
        <v>5.5.1.1-2 Leaching and runoff</v>
      </c>
      <c r="D17" s="91" t="s">
        <v>207</v>
      </c>
    </row>
    <row r="18" spans="1:7" ht="20.100000000000001" customHeight="1" x14ac:dyDescent="0.25">
      <c r="D18" s="49" t="s">
        <v>112</v>
      </c>
      <c r="E18" s="112" t="s">
        <v>144</v>
      </c>
      <c r="F18" s="49" t="s">
        <v>208</v>
      </c>
      <c r="G18" s="49" t="s">
        <v>211</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521.73913000000005</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521.73913000000005</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825.55199999999991</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1270.08</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7224.2</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53</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22</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Fertiliser_Equations_InorganicCO2.VEERG_5_1_1_3__1_InorganicFertiliserApplicationCO2Emissions_Variable()</f>
        <v>E_CO2</v>
      </c>
    </row>
    <row r="47" spans="1:12" ht="20.100000000000001" customHeight="1" x14ac:dyDescent="0.25">
      <c r="D47" s="51" t="s">
        <v>16</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209</v>
      </c>
    </row>
    <row r="56" spans="4:9" ht="20.100000000000001" customHeight="1" x14ac:dyDescent="0.25">
      <c r="D56" s="91" t="s">
        <v>210</v>
      </c>
    </row>
    <row r="57" spans="4:9" ht="20.100000000000001" customHeight="1" x14ac:dyDescent="0.25">
      <c r="D57" s="49" t="s">
        <v>112</v>
      </c>
      <c r="E57" s="49" t="s">
        <v>183</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0.38260869533333336</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236</v>
      </c>
      <c r="E78" s="95">
        <f>SUM(E58:E76)</f>
        <v>0.38260869533333336</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4" workbookViewId="0">
      <selection activeCell="A15" sqref="A1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237</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245</v>
      </c>
    </row>
    <row r="18" spans="1:10" ht="20.100000000000001" customHeight="1" x14ac:dyDescent="0.25">
      <c r="D18" s="91" t="s">
        <v>252</v>
      </c>
    </row>
    <row r="19" spans="1:10" ht="20.100000000000001" customHeight="1" x14ac:dyDescent="0.25">
      <c r="A19" s="18" t="s">
        <v>2</v>
      </c>
      <c r="D19" s="112" t="s">
        <v>246</v>
      </c>
      <c r="E19" s="112" t="s">
        <v>247</v>
      </c>
      <c r="F19" s="112" t="s">
        <v>151</v>
      </c>
      <c r="G19" s="148" t="s">
        <v>248</v>
      </c>
      <c r="H19" s="148" t="s">
        <v>249</v>
      </c>
      <c r="I19" s="148" t="s">
        <v>250</v>
      </c>
    </row>
    <row r="20" spans="1:10" ht="20.100000000000001" customHeight="1" x14ac:dyDescent="0.25">
      <c r="A20" s="17" t="str">
        <f>HYPERLINK("#'Constants - Fertiliser'!A1", "Constants - Fertiliser")</f>
        <v>Constants - Fertiliser</v>
      </c>
      <c r="D20" s="50" t="str" cm="1">
        <f t="array" ref="D20:D21">Table_Input_OrganicFertiliser[Organic fertiliser type (select)]</f>
        <v>Manure - Other</v>
      </c>
      <c r="E20" s="151" cm="1">
        <f t="array" ref="E20:E21">Table_Input_OrganicFertiliser[Amount applied (kg/hectare)]</f>
        <v>10</v>
      </c>
      <c r="F20" s="151" cm="1">
        <f t="array" ref="F20:F21">Table_Input_OrganicFertiliser[Application area (ha)]</f>
        <v>100</v>
      </c>
      <c r="G20" s="50" cm="1">
        <f t="array" ref="G20:G21">Table_Input_OrganicFertiliser[Amount applied (kg/hectare)]*Table_Input_OrganicFertiliser[Application area (ha)]</f>
        <v>1000</v>
      </c>
      <c r="H20" s="152" cm="1">
        <f t="array" ref="H20:H21">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c r="E22" s="50"/>
      <c r="F22" s="50"/>
      <c r="G22" s="50"/>
      <c r="H22" s="50"/>
      <c r="I22" s="50" cm="1">
        <f t="array" ref="I22">Fertiliser_Equations_Organic.VEERG_5_2_1_1__2_MassOfNitrogenInOrganicFertiliser(G22,H22)</f>
        <v>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251</v>
      </c>
      <c r="E32" s="149">
        <f>SUM(I20:I30)</f>
        <v>550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550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cm="1">
        <f t="array" ref="K45">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162</v>
      </c>
      <c r="E50" s="95" cm="1">
        <f t="array" ref="E50">Fertiliser_Equations_OrganicN2O.VEERG_5_2_1_1__1_OrganicFertiliserApplicationN2OEmissions(K44,K45,K46)</f>
        <v>4.3214285714285715E-3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4.3214285714285715E-3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79</v>
      </c>
      <c r="E55" s="44" cm="1">
        <f t="array" ref="E55">Common_Equations.Common_ConvertN2OToCO2e(G52,G53)</f>
        <v>1.1451785714285714</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5" workbookViewId="0">
      <selection activeCell="A20" sqref="A2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255</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263</v>
      </c>
    </row>
    <row r="23" spans="1:9" ht="20.100000000000001" customHeight="1" x14ac:dyDescent="0.25">
      <c r="A23" s="17"/>
      <c r="D23" s="91" t="s">
        <v>268</v>
      </c>
    </row>
    <row r="24" spans="1:9" ht="20.100000000000001" customHeight="1" x14ac:dyDescent="0.25">
      <c r="D24" s="148" t="s">
        <v>256</v>
      </c>
      <c r="E24" s="49" t="s">
        <v>257</v>
      </c>
      <c r="F24" s="49" t="s">
        <v>258</v>
      </c>
      <c r="G24" s="49" t="s">
        <v>259</v>
      </c>
      <c r="H24" s="49" t="s">
        <v>260</v>
      </c>
    </row>
    <row r="25" spans="1:9" ht="20.100000000000001" customHeight="1" x14ac:dyDescent="0.25">
      <c r="D25" s="50" t="str" cm="1">
        <f t="array" ref="D25:D26">Table_Input_Lime[Product]</f>
        <v>Lime product 1</v>
      </c>
      <c r="E25" s="158" cm="1">
        <f t="array" ref="E25:E26">Table_Input_Lime[Total amount applied (t)]</f>
        <v>10000</v>
      </c>
      <c r="F25" s="159" cm="1">
        <f t="array" ref="F25:F26">Table_Input_Lime[Percent Lime CaCO3]</f>
        <v>0.4</v>
      </c>
      <c r="G25" s="159" cm="1">
        <f t="array" ref="G25:G26">Table_Input_Lime[Percent Dolomite CaMg(CO3)2]</f>
        <v>0.3</v>
      </c>
      <c r="H25" s="50" cm="1">
        <f t="array" ref="H25">Fertiliser_Equations_Lime.VEERG_5_3_1_1__1_LimeApplicationCO2Emissions(E25,F25,$I$15,$I$16,G25,$I$18,$I$19,$I$20)</f>
        <v>2.9424999999999999</v>
      </c>
    </row>
    <row r="26" spans="1:9" ht="20.100000000000001" customHeight="1" x14ac:dyDescent="0.25">
      <c r="D26" s="50" t="str">
        <v>Lime product 2</v>
      </c>
      <c r="E26" s="50">
        <v>10000</v>
      </c>
      <c r="F26" s="50">
        <v>0</v>
      </c>
      <c r="G26" s="50">
        <v>1</v>
      </c>
      <c r="H26" s="50" cm="1">
        <f t="array" ref="H26">Fertiliser_Equations_Lime.VEERG_5_3_1_1__1_LimeApplicationCO2Emissions(E26,F26,$I$15,$I$16,G26,$I$18,$I$19,$I$20)</f>
        <v>4.5283333333333333</v>
      </c>
    </row>
    <row r="27" spans="1:9" ht="20.100000000000001" customHeight="1" x14ac:dyDescent="0.25">
      <c r="D27" s="50"/>
      <c r="E27" s="50"/>
      <c r="F27" s="50"/>
      <c r="G27" s="50"/>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261</v>
      </c>
      <c r="E31" s="94">
        <f>SUM(H25:H29)</f>
        <v>7.4708333333333332</v>
      </c>
      <c r="F31" s="160" t="s">
        <v>262</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63" workbookViewId="0">
      <selection activeCell="E84" sqref="E8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286</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273</v>
      </c>
    </row>
    <row r="17" spans="1:8" ht="20.100000000000001" customHeight="1" x14ac:dyDescent="0.25">
      <c r="A17" s="17" t="str">
        <f>HYPERLINK("#'5.5.1.1-2 Leaching and runoff'!A1", "5.5.1.1-2 Leaching and runoff")</f>
        <v>5.5.1.1-2 Leaching and runoff</v>
      </c>
      <c r="D17" s="91" t="s">
        <v>274</v>
      </c>
    </row>
    <row r="18" spans="1:8" ht="20.100000000000001" customHeight="1" x14ac:dyDescent="0.25">
      <c r="D18" s="49" t="s">
        <v>269</v>
      </c>
      <c r="E18" s="49" t="s">
        <v>270</v>
      </c>
      <c r="F18" s="49" t="s">
        <v>110</v>
      </c>
      <c r="G18" s="165" t="s">
        <v>271</v>
      </c>
      <c r="H18" s="165" t="s">
        <v>272</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239.99999980000004</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35.999999970000005</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0</v>
      </c>
    </row>
    <row r="28" spans="1:8" ht="20.100000000000001" customHeight="1" x14ac:dyDescent="0.25">
      <c r="D28" s="50" t="str">
        <v>Nitrogen - Generic</v>
      </c>
      <c r="E28" s="50">
        <f>'5.1.1.1-2 Inorganic fert N2O'!G28</f>
        <v>825.55199999999991</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123.83279999999998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0</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0</v>
      </c>
    </row>
    <row r="37" spans="1:12" ht="20.100000000000001" customHeight="1" x14ac:dyDescent="0.25">
      <c r="D37" s="50" t="str">
        <v>Calcium nitrate</v>
      </c>
      <c r="E37" s="50">
        <f>'5.1.1.1-2 Inorganic fert N2O'!G37</f>
        <v>1550</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15.5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22</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Fertiliser_Equations_AtmosphericDeposition.VEERG_5_4_1_1__1_InorganicFertiliserAtmosphericDepositionN2OEmissions_Variable()</f>
        <v>E_adinorganic</v>
      </c>
    </row>
    <row r="47" spans="1:12" ht="20.100000000000001" customHeight="1" x14ac:dyDescent="0.25">
      <c r="D47" s="51" t="s">
        <v>16</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Drip irrigation</v>
      </c>
    </row>
    <row r="54" spans="1:10" ht="20.100000000000001" customHeight="1" x14ac:dyDescent="0.25">
      <c r="D54" s="147" t="str">
        <v>r</v>
      </c>
      <c r="E54" s="154" t="str">
        <v>rainfall region</v>
      </c>
      <c r="F54" s="155"/>
      <c r="G54" s="153"/>
      <c r="H54" s="147" t="str">
        <v/>
      </c>
      <c r="I54" s="120" t="str">
        <v>Input</v>
      </c>
      <c r="J54" s="147" t="str">
        <f>'Input - Site'!$E$30</f>
        <v>Low rainfall</v>
      </c>
    </row>
    <row r="55" spans="1:10" ht="20.100000000000001" customHeight="1" x14ac:dyDescent="0.25">
      <c r="A55" s="157" t="str">
        <f>HYPERLINK("#A1", "▲ Back to top")</f>
        <v>▲ Back to top</v>
      </c>
    </row>
    <row r="56" spans="1:10" ht="20.100000000000001" customHeight="1" x14ac:dyDescent="0.25">
      <c r="D56" s="92" t="s">
        <v>282</v>
      </c>
    </row>
    <row r="57" spans="1:10" ht="20.100000000000001" customHeight="1" x14ac:dyDescent="0.25">
      <c r="D57" s="91" t="s">
        <v>283</v>
      </c>
    </row>
    <row r="58" spans="1:10" ht="20.100000000000001" customHeight="1" x14ac:dyDescent="0.25">
      <c r="D58" s="49" t="s">
        <v>269</v>
      </c>
      <c r="E58" s="165" t="s">
        <v>272</v>
      </c>
      <c r="F58" s="165" t="s">
        <v>275</v>
      </c>
    </row>
    <row r="59" spans="1:10" ht="20.100000000000001" customHeight="1" x14ac:dyDescent="0.25">
      <c r="D59" s="50" t="str" cm="1">
        <f t="array" ref="D59:D77">Table_Fertiliser_ChemicalCompounds[Fertiliser type f]</f>
        <v>Monoammonium phosphate (MAP)</v>
      </c>
      <c r="E59" s="50">
        <f>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H20</f>
        <v>0</v>
      </c>
      <c r="F60" s="50" cm="1">
        <f t="array" ref="F60">Fertiliser_Equations_AtmosphericDeposition.VEERG_5_4_1_1__1_InorganicFertiliserAtmosphericDepositionN2OEmissions(E60,$J$50,$J$51)</f>
        <v>0</v>
      </c>
    </row>
    <row r="61" spans="1:10" ht="20.100000000000001" customHeight="1" x14ac:dyDescent="0.25">
      <c r="D61" s="50" t="str">
        <v>Urea</v>
      </c>
      <c r="E61" s="50">
        <f>H21</f>
        <v>35.999999970000005</v>
      </c>
      <c r="F61" s="50" cm="1">
        <f t="array" ref="F61">Fertiliser_Equations_AtmosphericDeposition.VEERG_5_4_1_1__1_InorganicFertiliserAtmosphericDepositionN2OEmissions(E61,$J$50,$J$51)</f>
        <v>3.9599999967000006E-4</v>
      </c>
    </row>
    <row r="62" spans="1:10" ht="20.100000000000001" customHeight="1" x14ac:dyDescent="0.25">
      <c r="D62" s="50" t="str">
        <v>Sulphate of ammonia (SOA)</v>
      </c>
      <c r="E62" s="50">
        <f>H22</f>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H23</f>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H24</f>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H25</f>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H26</f>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H27</f>
        <v>0</v>
      </c>
      <c r="F67" s="50" cm="1">
        <f t="array" ref="F67">Fertiliser_Equations_AtmosphericDeposition.VEERG_5_4_1_1__1_InorganicFertiliserAtmosphericDepositionN2OEmissions(E67,$J$50,$J$51)</f>
        <v>0</v>
      </c>
    </row>
    <row r="68" spans="4:6" ht="20.100000000000001" customHeight="1" x14ac:dyDescent="0.25">
      <c r="D68" s="50" t="str">
        <v>Nitrogen - Generic</v>
      </c>
      <c r="E68" s="50">
        <f>H28</f>
        <v>123.83279999999998</v>
      </c>
      <c r="F68" s="50" cm="1">
        <f t="array" ref="F68">Fertiliser_Equations_AtmosphericDeposition.VEERG_5_4_1_1__1_InorganicFertiliserAtmosphericDepositionN2OEmissions(E68,$J$50,$J$51)</f>
        <v>1.3621607999999999E-3</v>
      </c>
    </row>
    <row r="69" spans="4:6" ht="20.100000000000001" customHeight="1" x14ac:dyDescent="0.25">
      <c r="D69" s="50" t="str">
        <v>Phosphorus - Generic</v>
      </c>
      <c r="E69" s="50">
        <f>H29</f>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H30</f>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H31</f>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H32</f>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H33</f>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H34</f>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H35</f>
        <v>0</v>
      </c>
      <c r="F75" s="50" cm="1">
        <f t="array" ref="F75">Fertiliser_Equations_AtmosphericDeposition.VEERG_5_4_1_1__1_InorganicFertiliserAtmosphericDepositionN2OEmissions(E75,$J$50,$J$51)</f>
        <v>0</v>
      </c>
    </row>
    <row r="76" spans="4:6" ht="20.100000000000001" customHeight="1" x14ac:dyDescent="0.25">
      <c r="D76" s="50" t="str">
        <v>Ammonia</v>
      </c>
      <c r="E76" s="50">
        <f>H36</f>
        <v>0</v>
      </c>
      <c r="F76" s="50" cm="1">
        <f t="array" ref="F76">Fertiliser_Equations_AtmosphericDeposition.VEERG_5_4_1_1__1_InorganicFertiliserAtmosphericDepositionN2OEmissions(E76,$J$50,$J$51)</f>
        <v>0</v>
      </c>
    </row>
    <row r="77" spans="4:6" ht="20.100000000000001" customHeight="1" x14ac:dyDescent="0.25">
      <c r="D77" s="50" t="str">
        <v>Calcium nitrate</v>
      </c>
      <c r="E77" s="50">
        <f>H37</f>
        <v>15.5</v>
      </c>
      <c r="F77" s="50" cm="1">
        <f t="array" ref="F77">Fertiliser_Equations_AtmosphericDeposition.VEERG_5_4_1_1__1_InorganicFertiliserAtmosphericDepositionN2OEmissions(E77,$J$50,$J$51)</f>
        <v>1.705E-4</v>
      </c>
    </row>
    <row r="78" spans="4:6" ht="20.100000000000001" customHeight="1" x14ac:dyDescent="0.25"/>
    <row r="79" spans="4:6" ht="20.100000000000001" customHeight="1" x14ac:dyDescent="0.25">
      <c r="D79" s="94" t="s">
        <v>280</v>
      </c>
      <c r="E79" s="95">
        <f>SUM(F59:F77)</f>
        <v>1.9286607996699999E-3</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1.9286607996699999E-3</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79</v>
      </c>
      <c r="E84" s="44" cm="1">
        <f t="array" ref="E84">Common_Equations.Common_ConvertN2OToCO2e(G81,G82)</f>
        <v>0.51109511191254997</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22</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25</v>
      </c>
      <c r="E93" s="1" t="str" cm="1">
        <f t="array" ref="E93">Fertiliser_Equations_AtmosphericDeposition.VEERG_5_4_1_3__2_MassOfNitrogenVolatilisedFromOrganicFertiliser_Variable()</f>
        <v>M_volorganicjf</v>
      </c>
    </row>
    <row r="94" spans="3:12" ht="20.100000000000001" customHeight="1" x14ac:dyDescent="0.25">
      <c r="D94" s="51" t="s">
        <v>16</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276</v>
      </c>
    </row>
    <row r="100" spans="4:9" ht="20.100000000000001" customHeight="1" x14ac:dyDescent="0.25">
      <c r="D100" s="91" t="s">
        <v>277</v>
      </c>
    </row>
    <row r="101" spans="4:9" ht="20.100000000000001" customHeight="1" x14ac:dyDescent="0.25">
      <c r="D101" s="112" t="s">
        <v>246</v>
      </c>
      <c r="E101" s="148" t="s">
        <v>250</v>
      </c>
      <c r="F101" s="148" t="s">
        <v>279</v>
      </c>
    </row>
    <row r="102" spans="4:9" ht="20.100000000000001" customHeight="1" x14ac:dyDescent="0.25">
      <c r="D102" s="50" t="str" cm="1">
        <f t="array" ref="D102:D103">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c r="E104" s="50">
        <f>'5.2.1.1-2 Organic Fert N2O'!I22</f>
        <v>0</v>
      </c>
      <c r="F104" s="50" cm="1">
        <f t="array" ref="F104">Fertiliser_Equations_AtmosphericDeposition.VEERG_5_4_1_3__2_MassOfNitrogenVolatilisedFromOrganicFertiliser(E104,$I$97)</f>
        <v>0</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22</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25</v>
      </c>
      <c r="E121" s="1" t="str" cm="1">
        <f t="array" ref="E121">Fertiliser_Equations_AtmosphericDeposition.VEERG_5_4_1_3__1_OrganicFertiliserAtmosphericDepositionN2OEmissions_Variable()</f>
        <v>E_adorganic</v>
      </c>
    </row>
    <row r="122" spans="3:12" ht="20.100000000000001" customHeight="1" x14ac:dyDescent="0.25">
      <c r="D122" s="51" t="s">
        <v>16</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Drip irrigation</v>
      </c>
    </row>
    <row r="129" spans="4:9" ht="20.100000000000001" customHeight="1" x14ac:dyDescent="0.25">
      <c r="D129" s="147" t="str">
        <v>r</v>
      </c>
      <c r="E129" s="154" t="str">
        <v>rainfall region</v>
      </c>
      <c r="F129" s="153"/>
      <c r="G129" s="147" t="str">
        <v/>
      </c>
      <c r="H129" s="120" t="str">
        <v>Input</v>
      </c>
      <c r="I129" s="147" t="str">
        <f>'Input - Site'!$E$30</f>
        <v>Low rainfall</v>
      </c>
    </row>
    <row r="130" spans="4:9" ht="20.100000000000001" customHeight="1" x14ac:dyDescent="0.25"/>
    <row r="131" spans="4:9" ht="20.100000000000001" customHeight="1" x14ac:dyDescent="0.25">
      <c r="D131" s="92" t="s">
        <v>284</v>
      </c>
    </row>
    <row r="132" spans="4:9" ht="20.100000000000001" customHeight="1" x14ac:dyDescent="0.25">
      <c r="D132" s="91" t="s">
        <v>285</v>
      </c>
    </row>
    <row r="133" spans="4:9" ht="20.100000000000001" customHeight="1" x14ac:dyDescent="0.25">
      <c r="D133" s="112" t="s">
        <v>246</v>
      </c>
      <c r="E133" s="148" t="s">
        <v>279</v>
      </c>
      <c r="F133" s="148" t="s">
        <v>278</v>
      </c>
    </row>
    <row r="134" spans="4:9" ht="20.100000000000001" customHeight="1" x14ac:dyDescent="0.25">
      <c r="D134" s="50" t="str" cm="1">
        <f t="array" ref="D134:D135">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0">F103</f>
        <v>52.5</v>
      </c>
      <c r="F135" s="50" cm="1">
        <f t="array" ref="F135">Fertiliser_Equations_AtmosphericDeposition.VEERG_5_4_1_3__1_OrganicFertiliserAtmosphericDepositionN2OEmissions(E135,$I$125,$I$126)</f>
        <v>5.775E-4</v>
      </c>
    </row>
    <row r="136" spans="4:9" ht="20.100000000000001" customHeight="1" x14ac:dyDescent="0.25">
      <c r="D136" s="50"/>
      <c r="E136" s="50">
        <f t="shared" si="0"/>
        <v>0</v>
      </c>
      <c r="F136" s="50" cm="1">
        <f t="array" ref="F136">Fertiliser_Equations_AtmosphericDeposition.VEERG_5_4_1_3__1_OrganicFertiliserAtmosphericDepositionN2OEmissions(E136,$I$125,$I$126)</f>
        <v>0</v>
      </c>
    </row>
    <row r="137" spans="4:9" ht="20.100000000000001" customHeight="1" x14ac:dyDescent="0.25">
      <c r="D137" s="50"/>
      <c r="E137" s="50">
        <f t="shared" si="0"/>
        <v>0</v>
      </c>
      <c r="F137" s="50" cm="1">
        <f t="array" ref="F137">Fertiliser_Equations_AtmosphericDeposition.VEERG_5_4_1_3__1_OrganicFertiliserAtmosphericDepositionN2OEmissions(E137,$I$125,$I$126)</f>
        <v>0</v>
      </c>
    </row>
    <row r="138" spans="4:9" ht="20.100000000000001" customHeight="1" x14ac:dyDescent="0.25">
      <c r="D138" s="50"/>
      <c r="E138" s="50">
        <f t="shared" si="0"/>
        <v>0</v>
      </c>
      <c r="F138" s="50" cm="1">
        <f t="array" ref="F138">Fertiliser_Equations_AtmosphericDeposition.VEERG_5_4_1_3__1_OrganicFertiliserAtmosphericDepositionN2OEmissions(E138,$I$125,$I$126)</f>
        <v>0</v>
      </c>
    </row>
    <row r="139" spans="4:9" ht="20.100000000000001" customHeight="1" x14ac:dyDescent="0.25">
      <c r="D139" s="50"/>
      <c r="E139" s="50">
        <f t="shared" si="0"/>
        <v>0</v>
      </c>
      <c r="F139" s="50" cm="1">
        <f t="array" ref="F139">Fertiliser_Equations_AtmosphericDeposition.VEERG_5_4_1_3__1_OrganicFertiliserAtmosphericDepositionN2OEmissions(E139,$I$125,$I$126)</f>
        <v>0</v>
      </c>
    </row>
    <row r="140" spans="4:9" ht="20.100000000000001" customHeight="1" x14ac:dyDescent="0.25">
      <c r="D140" s="50"/>
      <c r="E140" s="50">
        <f t="shared" si="0"/>
        <v>0</v>
      </c>
      <c r="F140" s="50" cm="1">
        <f t="array" ref="F140">Fertiliser_Equations_AtmosphericDeposition.VEERG_5_4_1_3__1_OrganicFertiliserAtmosphericDepositionN2OEmissions(E140,$I$125,$I$126)</f>
        <v>0</v>
      </c>
    </row>
    <row r="141" spans="4:9" ht="20.100000000000001" customHeight="1" x14ac:dyDescent="0.25">
      <c r="D141" s="50"/>
      <c r="E141" s="50">
        <f t="shared" si="0"/>
        <v>0</v>
      </c>
      <c r="F141" s="50" cm="1">
        <f t="array" ref="F141">Fertiliser_Equations_AtmosphericDeposition.VEERG_5_4_1_3__1_OrganicFertiliserAtmosphericDepositionN2OEmissions(E141,$I$125,$I$126)</f>
        <v>0</v>
      </c>
    </row>
    <row r="142" spans="4:9" ht="20.100000000000001" customHeight="1" x14ac:dyDescent="0.25">
      <c r="D142" s="50"/>
      <c r="E142" s="50">
        <f t="shared" si="0"/>
        <v>0</v>
      </c>
      <c r="F142" s="50" cm="1">
        <f t="array" ref="F142">Fertiliser_Equations_AtmosphericDeposition.VEERG_5_4_1_3__1_OrganicFertiliserAtmosphericDepositionN2OEmissions(E142,$I$125,$I$126)</f>
        <v>0</v>
      </c>
    </row>
    <row r="143" spans="4:9" ht="20.100000000000001" customHeight="1" x14ac:dyDescent="0.25">
      <c r="D143" s="50"/>
      <c r="E143" s="50">
        <f t="shared" si="0"/>
        <v>0</v>
      </c>
      <c r="F143" s="50" cm="1">
        <f t="array" ref="F143">Fertiliser_Equations_AtmosphericDeposition.VEERG_5_4_1_3__1_OrganicFertiliserAtmosphericDepositionN2OEmissions(E143,$I$125,$I$126)</f>
        <v>0</v>
      </c>
    </row>
    <row r="144" spans="4:9" ht="20.100000000000001" customHeight="1" x14ac:dyDescent="0.25">
      <c r="D144" s="50"/>
      <c r="E144" s="50">
        <f t="shared" si="0"/>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281</v>
      </c>
      <c r="E146" s="95">
        <f>SUM(F134:F144)</f>
        <v>1.2704999999999999E-3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1.2704999999999999E-3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79</v>
      </c>
      <c r="E151" s="44" cm="1">
        <f t="array" ref="E151">Common_Equations.Common_ConvertN2OToCO2e(G148,G149)</f>
        <v>0.3366825</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abSelected="1" topLeftCell="A84" zoomScaleNormal="100" workbookViewId="0">
      <selection activeCell="E44" sqref="E4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287</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cm="1">
        <f t="array" ref="I14">Common_InputFunctions.CommonCropping_GetFracWET(I16,I18,Table_SourceData_FracWET[Is in leaching zone],Table_SourceData_FracWET[FracWET],Table_SourceData_FracWETIrrigation[Irrigation type i],Table_SourceData_FracWETIrrigation[FracWET])</f>
        <v>0</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Drip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289</v>
      </c>
    </row>
    <row r="21" spans="1:9" ht="20.100000000000001" customHeight="1" x14ac:dyDescent="0.25">
      <c r="A21" s="17" t="str">
        <f>HYPERLINK("#'Constants - Common'!A1", "Constants - Common")</f>
        <v>Constants - Common</v>
      </c>
      <c r="D21" s="91" t="s">
        <v>292</v>
      </c>
    </row>
    <row r="22" spans="1:9" ht="20.100000000000001" customHeight="1" x14ac:dyDescent="0.25">
      <c r="D22" s="49" t="s">
        <v>112</v>
      </c>
      <c r="E22" s="49" t="s">
        <v>270</v>
      </c>
      <c r="F22" s="49" t="s">
        <v>288</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239.99999980000004</v>
      </c>
      <c r="F25" s="50" cm="1">
        <f t="array" ref="F25">Fertiliser_Equations_LeachingAndRunoff.VEERG_5_5_1_1__2_MassOfNitrogenLeachedFromInorganicFertiliser(E25, $I$14, $I$15)</f>
        <v>0</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0</v>
      </c>
      <c r="F31" s="50" cm="1">
        <f t="array" ref="F31">Fertiliser_Equations_LeachingAndRunoff.VEERG_5_5_1_1__2_MassOfNitrogenLeachedFromInorganicFertiliser(E31, $I$14, $I$15)</f>
        <v>0</v>
      </c>
    </row>
    <row r="32" spans="1:9" ht="20.100000000000001" customHeight="1" x14ac:dyDescent="0.25">
      <c r="D32" s="50" t="str">
        <v>Nitrogen - Generic</v>
      </c>
      <c r="E32" s="50">
        <f>'5.1.1.1-2 Inorganic fert N2O'!G28</f>
        <v>825.55199999999991</v>
      </c>
      <c r="F32" s="50" cm="1">
        <f t="array" ref="F32">Fertiliser_Equations_LeachingAndRunoff.VEERG_5_5_1_1__2_MassOfNitrogenLeachedFromInorganicFertiliser(E32, $I$14, $I$15)</f>
        <v>0</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0</v>
      </c>
      <c r="F40" s="50" cm="1">
        <f t="array" ref="F40">Fertiliser_Equations_LeachingAndRunoff.VEERG_5_5_1_1__2_MassOfNitrogenLeachedFromInorganicFertiliser(E40, $I$14, $I$15)</f>
        <v>0</v>
      </c>
    </row>
    <row r="41" spans="1:11" ht="20.100000000000001" customHeight="1" x14ac:dyDescent="0.25">
      <c r="D41" s="50" t="str">
        <v>Calcium nitrate</v>
      </c>
      <c r="E41" s="50">
        <f>'5.1.1.1-2 Inorganic fert N2O'!G37</f>
        <v>1550</v>
      </c>
      <c r="F41" s="50" cm="1">
        <f t="array" ref="F41">Fertiliser_Equations_LeachingAndRunoff.VEERG_5_5_1_1__2_MassOfNitrogenLeachedFromInorganicFertiliser(E41, $I$14, $I$15)</f>
        <v>0</v>
      </c>
    </row>
    <row r="42" spans="1:11" ht="20.100000000000001" customHeight="1" x14ac:dyDescent="0.25"/>
    <row r="43" spans="1:11" ht="20.100000000000001" customHeight="1" x14ac:dyDescent="0.25">
      <c r="D43" s="149" t="s">
        <v>290</v>
      </c>
      <c r="E43" s="44">
        <f>SUM(F23:F41)</f>
        <v>0</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22</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25</v>
      </c>
      <c r="E52" s="1" t="str" cm="1">
        <f t="array" ref="E52">Fertiliser_Equations_LeachingAndRunoff.VEERG_5_5_1_1__3_MassOfNitrogenLeachedFromOrganicFertiliser_Variable()</f>
        <v>M_leachorganicj</v>
      </c>
    </row>
    <row r="53" spans="4:9" ht="20.100000000000001" customHeight="1" x14ac:dyDescent="0.25">
      <c r="D53" s="51" t="s">
        <v>16</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cm="1">
        <f t="array" ref="I56">Common_InputFunctions.CommonCropping_GetFracWET(I58,I60,Table_SourceData_FracWET[Is in leaching zone],Table_SourceData_FracWET[FracWET],Table_SourceData_FracWETIrrigation[Irrigation type i],Table_SourceData_FracWETIrrigation[FracWET])</f>
        <v>0</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Drip irrigation</v>
      </c>
    </row>
    <row r="61" spans="4:9" ht="20.100000000000001" customHeight="1" x14ac:dyDescent="0.25"/>
    <row r="62" spans="4:9" ht="20.100000000000001" customHeight="1" x14ac:dyDescent="0.25">
      <c r="D62" s="92" t="s">
        <v>291</v>
      </c>
    </row>
    <row r="63" spans="4:9" ht="20.100000000000001" customHeight="1" x14ac:dyDescent="0.25">
      <c r="D63" s="91" t="s">
        <v>293</v>
      </c>
    </row>
    <row r="64" spans="4:9" ht="20.100000000000001" customHeight="1" x14ac:dyDescent="0.25">
      <c r="D64" s="112" t="s">
        <v>246</v>
      </c>
      <c r="E64" s="167" t="s">
        <v>250</v>
      </c>
      <c r="F64" s="49" t="s">
        <v>294</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0</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0</v>
      </c>
    </row>
    <row r="67" spans="1:11" ht="20.100000000000001" customHeight="1" x14ac:dyDescent="0.25">
      <c r="D67" s="50">
        <f>'5.2.1.1-2 Organic Fert N2O'!D22</f>
        <v>0</v>
      </c>
      <c r="E67" s="50">
        <f>'5.2.1.1-2 Organic Fert N2O'!I22</f>
        <v>0</v>
      </c>
      <c r="F67" s="50" cm="1">
        <f t="array" ref="F67">Fertiliser_Equations_LeachingAndRunoff.VEERG_5_5_1_1__3_MassOfNitrogenLeachedFromOrganicFertiliser(E67,$I$56, $I$57)</f>
        <v>0</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295</v>
      </c>
      <c r="E77" s="44">
        <f>SUM(F65:F75)</f>
        <v>0</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22</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25</v>
      </c>
      <c r="E86" s="1" t="str" cm="1">
        <f t="array" ref="E86">Fertiliser_Equations_LeachingAndRunoff.VEERG_5_5_1_1__1_FertiliserLeachingAndRunoffN2OEmissions_Variable()</f>
        <v>E_fertleach</v>
      </c>
    </row>
    <row r="87" spans="4:10" ht="20.100000000000001" customHeight="1" x14ac:dyDescent="0.25">
      <c r="D87" s="51" t="s">
        <v>16</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0</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0</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296</v>
      </c>
      <c r="E94" s="95" cm="1">
        <f t="array" ref="E94">Fertiliser_Equations_LeachingAndRunoff.VEERG_5_5_1_1__1_FertiliserLeachingAndRunoffN2OEmissions(J89,J90,J91,J92)</f>
        <v>0</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0</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79</v>
      </c>
      <c r="E99" s="44" cm="1">
        <f t="array" ref="E99">Common_Equations.Common_ConvertN2OToCO2e(G96,G97)</f>
        <v>0</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7" zoomScaleNormal="100" workbookViewId="0">
      <selection activeCell="F38" sqref="F38"/>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69</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112</v>
      </c>
      <c r="E19" t="s">
        <v>128</v>
      </c>
      <c r="F19" t="s">
        <v>127</v>
      </c>
      <c r="G19" t="s">
        <v>110</v>
      </c>
      <c r="H19" t="s">
        <v>129</v>
      </c>
      <c r="I19" t="s">
        <v>111</v>
      </c>
      <c r="K19" s="37" t="s">
        <v>112</v>
      </c>
      <c r="L19" s="37" t="s">
        <v>128</v>
      </c>
      <c r="Q19" s="37" t="s">
        <v>112</v>
      </c>
      <c r="R19" s="37" t="s">
        <v>128</v>
      </c>
      <c r="V19" s="37" t="s">
        <v>111</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312</v>
      </c>
      <c r="F40" s="6" t="s">
        <v>163</v>
      </c>
      <c r="H40" s="6" t="s">
        <v>133</v>
      </c>
      <c r="J40" s="6" t="s">
        <v>238</v>
      </c>
    </row>
    <row r="41" spans="4:10" ht="20.100000000000001" customHeight="1" x14ac:dyDescent="0.25">
      <c r="D41" s="37" t="s">
        <v>87</v>
      </c>
      <c r="F41" s="37" t="s">
        <v>87</v>
      </c>
      <c r="H41" s="37" t="s">
        <v>86</v>
      </c>
      <c r="J41" s="37" t="s">
        <v>239</v>
      </c>
    </row>
    <row r="42" spans="4:10" ht="20.100000000000001" customHeight="1" x14ac:dyDescent="0.25">
      <c r="D42" s="37" t="s">
        <v>134</v>
      </c>
      <c r="F42" s="37" t="s">
        <v>134</v>
      </c>
      <c r="H42" s="37" t="s">
        <v>135</v>
      </c>
      <c r="J42" s="37" t="s">
        <v>240</v>
      </c>
    </row>
    <row r="43" spans="4:10" ht="20.100000000000001" customHeight="1" x14ac:dyDescent="0.25">
      <c r="D43" s="1" t="s">
        <v>131</v>
      </c>
      <c r="F43" s="1" t="s">
        <v>141</v>
      </c>
      <c r="H43" s="37" t="s">
        <v>136</v>
      </c>
      <c r="J43" s="1" t="s">
        <v>241</v>
      </c>
    </row>
    <row r="44" spans="4:10" ht="20.100000000000001" customHeight="1" x14ac:dyDescent="0.25">
      <c r="F44" s="1" t="s">
        <v>139</v>
      </c>
      <c r="H44" s="1" t="s">
        <v>132</v>
      </c>
      <c r="J44" s="1" t="s">
        <v>242</v>
      </c>
    </row>
    <row r="45" spans="4:10" ht="20.100000000000001" customHeight="1" x14ac:dyDescent="0.25">
      <c r="F45" s="1" t="s">
        <v>140</v>
      </c>
      <c r="H45" s="1" t="s">
        <v>137</v>
      </c>
      <c r="J45" s="1" t="s">
        <v>243</v>
      </c>
    </row>
    <row r="46" spans="4:10" ht="20.100000000000001" customHeight="1" x14ac:dyDescent="0.25">
      <c r="H46" s="1" t="s">
        <v>138</v>
      </c>
      <c r="J46" s="1" t="s">
        <v>244</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NH3–N + NOx–N)/kg N) (FracGASFf)</v>
      </c>
      <c r="G49" s="110"/>
    </row>
    <row r="50" spans="4:8" ht="20.100000000000001" customHeight="1" x14ac:dyDescent="0.25">
      <c r="D50" s="37" t="s">
        <v>112</v>
      </c>
      <c r="E50" s="37" t="s">
        <v>130</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256</v>
      </c>
      <c r="E65" s="37" t="s">
        <v>264</v>
      </c>
      <c r="F65" s="37" t="s">
        <v>265</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row r="87" spans="4:31" ht="20.100000000000001" customHeight="1" x14ac:dyDescent="0.25">
      <c r="D87" s="6" t="s">
        <v>113</v>
      </c>
      <c r="E87" s="110"/>
      <c r="F87" s="110"/>
      <c r="G87" s="110"/>
      <c r="H87" s="110"/>
      <c r="I87" s="110"/>
      <c r="J87" s="110"/>
      <c r="K87" s="110"/>
      <c r="L87" s="110"/>
      <c r="N87" s="110"/>
      <c r="O87" s="110"/>
      <c r="P87" s="110"/>
      <c r="Q87" s="110"/>
      <c r="R87" s="110"/>
      <c r="S87" s="110"/>
      <c r="T87" s="110"/>
      <c r="U87" s="110"/>
    </row>
    <row r="88" spans="4:31" ht="20.100000000000001" customHeight="1" x14ac:dyDescent="0.25">
      <c r="D88" s="110"/>
    </row>
    <row r="89" spans="4:31" ht="20.100000000000001" customHeight="1" x14ac:dyDescent="0.25">
      <c r="D89" s="144" t="s">
        <v>228</v>
      </c>
      <c r="E89" s="37" t="s">
        <v>229</v>
      </c>
      <c r="F89" s="37" t="s">
        <v>230</v>
      </c>
      <c r="G89" s="117" t="s">
        <v>231</v>
      </c>
      <c r="H89" s="117" t="s">
        <v>16</v>
      </c>
      <c r="I89" s="117" t="s">
        <v>232</v>
      </c>
      <c r="J89" s="117" t="s">
        <v>233</v>
      </c>
      <c r="K89" s="117" t="s">
        <v>234</v>
      </c>
      <c r="L89" s="117" t="s">
        <v>115</v>
      </c>
      <c r="M89" s="117" t="s">
        <v>116</v>
      </c>
      <c r="N89" s="117" t="s">
        <v>117</v>
      </c>
      <c r="O89" s="37" t="s">
        <v>118</v>
      </c>
      <c r="P89" s="37" t="s">
        <v>119</v>
      </c>
      <c r="Q89" s="37" t="s">
        <v>120</v>
      </c>
      <c r="R89" s="117" t="s">
        <v>121</v>
      </c>
      <c r="S89" s="117" t="s">
        <v>122</v>
      </c>
      <c r="T89" s="37" t="s">
        <v>123</v>
      </c>
      <c r="U89" s="117" t="s">
        <v>124</v>
      </c>
      <c r="V89" s="117" t="s">
        <v>125</v>
      </c>
      <c r="W89" s="117" t="s">
        <v>126</v>
      </c>
      <c r="X89" s="117" t="s">
        <v>220</v>
      </c>
      <c r="Y89" s="117" t="s">
        <v>221</v>
      </c>
      <c r="Z89" s="37" t="s">
        <v>222</v>
      </c>
      <c r="AA89" s="37" t="s">
        <v>223</v>
      </c>
      <c r="AB89" s="37" t="s">
        <v>224</v>
      </c>
      <c r="AC89" s="37" t="s">
        <v>225</v>
      </c>
      <c r="AD89" s="37" t="s">
        <v>226</v>
      </c>
      <c r="AE89" s="37" t="s">
        <v>227</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f>
        <v>L</v>
      </c>
      <c r="I90" s="111" cm="1">
        <f t="array" ref="I90">Common_InputFunctions.Utility_DisplayArrayInTable(Fertiliser_SourceData.Fertiliser_Products_Data1(),FertiliserProducts[[#Headers],[Include or Exclude]], 0)</f>
        <v>1.26</v>
      </c>
      <c r="J90" s="111" t="str" cm="1">
        <f t="array" ref="J90">Common_InputFunctions.Utility_DisplayArrayInTable(Fertiliser_SourceData.Fertiliser_Products_Data1(),FertiliserProducts[[#Headers],[Include or Exclude]], 0)</f>
        <v/>
      </c>
      <c r="K90" s="111" t="str" cm="1">
        <f t="array" ref="K90">Common_InputFunctions.Utility_DisplayArrayInTable(Fertiliser_SourceData.Fertiliser_Products_Data1(),FertiliserProducts[[#Headers],[Include or Exclude]], 0)</f>
        <v/>
      </c>
      <c r="L90" s="111" t="str" cm="1">
        <f t="array" ref="L90">Common_InputFunctions.Utility_DisplayArrayInTable(Fertiliser_SourceData.Fertiliser_Products_Data1(),FertiliserProducts[[#Headers],[Include or Exclude]], 0)</f>
        <v>Potassium - Generic</v>
      </c>
      <c r="M90" s="37" cm="1">
        <f t="array" ref="M90">Common_InputFunctions.Utility_DisplayArrayInTable(Fertiliser_SourceData.Fertiliser_Products_Data1(),FertiliserProducts[[#Headers],[Include or Exclude]], 0)</f>
        <v>0.22500000000000001</v>
      </c>
      <c r="N90" s="111" t="str" cm="1">
        <f t="array" ref="N90">Common_InputFunctions.Utility_DisplayArrayInTable(Fertiliser_SourceData.Fertiliser_Products_Data1(),FertiliserProducts[[#Headers],[Include or Exclude]], 0)</f>
        <v>Phosphorus - Generic</v>
      </c>
      <c r="O90" s="111" cm="1">
        <f t="array" ref="O90">Common_InputFunctions.Utility_DisplayArrayInTable(Fertiliser_SourceData.Fertiliser_Products_Data1(),FertiliserProducts[[#Headers],[Include or Exclude]], 0)</f>
        <v>0.04</v>
      </c>
      <c r="P90" s="111" t="str" cm="1">
        <f t="array" ref="P90">Common_InputFunctions.Utility_DisplayArrayInTable(Fertiliser_SourceData.Fertiliser_Products_Data1(),FertiliserProducts[[#Headers],[Include or Exclude]], 0)</f>
        <v>Nitrogen - Generic</v>
      </c>
      <c r="Q90" s="111" cm="1">
        <f t="array" ref="Q90">Common_InputFunctions.Utility_DisplayArrayInTable(Fertiliser_SourceData.Fertiliser_Products_Data1(),FertiliserProducts[[#Headers],[Include or Exclude]], 0)</f>
        <v>2.5999999999999999E-2</v>
      </c>
      <c r="R90" s="111" t="str" cm="1">
        <f t="array" ref="R90">Common_InputFunctions.Utility_DisplayArrayInTable(Fertiliser_SourceData.Fertiliser_Products_Data1(),FertiliserProducts[[#Headers],[Include or Exclude]], 0)</f>
        <v/>
      </c>
      <c r="S90" s="111" t="str" cm="1">
        <f t="array" ref="S90">Common_InputFunctions.Utility_DisplayArrayInTable(Fertiliser_SourceData.Fertiliser_Products_Data1(),FertiliserProducts[[#Headers],[Include or Exclude]], 0)</f>
        <v/>
      </c>
      <c r="T90" s="111" t="str" cm="1">
        <f t="array" ref="T90">Common_InputFunctions.Utility_DisplayArrayInTable(Fertiliser_SourceData.Fertiliser_Products_Data1(),FertiliserProducts[[#Headers],[Include or Exclude]], 0)</f>
        <v/>
      </c>
      <c r="U90" s="111" t="str" cm="1">
        <f t="array" ref="U90">Common_InputFunctions.Utility_DisplayArrayInTable(Fertiliser_SourceData.Fertiliser_Products_Data1(),FertiliserProducts[[#Headers],[Include or Exclude]], 0)</f>
        <v/>
      </c>
      <c r="V90" s="37" t="str" cm="1">
        <f t="array" ref="V90">Common_InputFunctions.Utility_DisplayArrayInTable(Fertiliser_SourceData.Fertiliser_Products_Data1(),FertiliserProducts[[#Headers],[Include or Exclude]], 0)</f>
        <v/>
      </c>
      <c r="W90" s="37" t="str" cm="1">
        <f t="array" ref="W90">Common_InputFunctions.Utility_DisplayArrayInTable(Fertiliser_SourceData.Fertiliser_Products_Data1(),FertiliserProducts[[#Headers],[Include or Exclude]], 0)</f>
        <v/>
      </c>
      <c r="X90" s="37" t="str" cm="1">
        <f t="array" ref="X90">Common_InputFunctions.Utility_DisplayArrayInTable(Fertiliser_SourceData.Fertiliser_Products_Data1(),FertiliserProducts[[#Headers],[Include or Exclude]], 0)</f>
        <v/>
      </c>
      <c r="Y90" s="37" t="str" cm="1">
        <f t="array" ref="Y90">Common_InputFunctions.Utility_DisplayArrayInTable(Fertiliser_SourceData.Fertiliser_Products_Data1(),FertiliserProducts[[#Headers],[Include or Exclude]], 0)</f>
        <v/>
      </c>
      <c r="Z90" s="37" t="str" cm="1">
        <f t="array" ref="Z90">Common_InputFunctions.Utility_DisplayArrayInTable(Fertiliser_SourceData.Fertiliser_Products_Data1(),FertiliserProducts[[#Headers],[Include or Exclude]], 0)</f>
        <v/>
      </c>
      <c r="AA90" s="37" t="str" cm="1">
        <f t="array" ref="AA90">Common_InputFunctions.Utility_DisplayArrayInTable(Fertiliser_SourceData.Fertiliser_Products_Data1(),FertiliserProducts[[#Headers],[Include or Exclude]], 0)</f>
        <v/>
      </c>
      <c r="AB90" s="37" t="str" cm="1">
        <f t="array" ref="AB90">Common_InputFunctions.Utility_DisplayArrayInTable(Fertiliser_SourceData.Fertiliser_Products_Data1(),FertiliserProducts[[#Headers],[Include or Exclude]], 0)</f>
        <v/>
      </c>
      <c r="AC90" s="37" t="str" cm="1">
        <f t="array" ref="AC90">Common_InputFunctions.Utility_DisplayArrayInTable(Fertiliser_SourceData.Fertiliser_Products_Data1(),FertiliserProducts[[#Headers],[Include or Exclude]], 0)</f>
        <v/>
      </c>
      <c r="AD90" s="37" t="str" cm="1">
        <f t="array" ref="AD90">Common_InputFunctions.Utility_DisplayArrayInTable(Fertiliser_SourceData.Fertiliser_Products_Data1(),FertiliserProducts[[#Headers],[Include or Exclude]], 0)</f>
        <v/>
      </c>
      <c r="AE90" s="37" t="str" cm="1">
        <f t="array" ref="AE90">Common_InputFunctions.Utility_DisplayArrayInTable(Fertiliser_SourceData.Fertiliser_Products_Data1(),FertiliserProducts[[#Headers],[Include or Exclude]], 0)</f>
        <v/>
      </c>
    </row>
    <row r="91" spans="4:31" ht="20.100000000000001" customHeight="1" x14ac:dyDescent="0.25">
      <c r="D91" s="111" t="str" cm="1">
        <f t="array" ref="D91">Common_InputFunctions.Utility_DisplayArrayInTable(Fertiliser_SourceData.Fertiliser_Products_Data1(),FertiliserProducts[[#Headers],[Include or Exclude]], 0)</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f>
        <v>L</v>
      </c>
      <c r="I91" s="111" cm="1">
        <f t="array" ref="I91">Common_InputFunctions.Utility_DisplayArrayInTable(Fertiliser_SourceData.Fertiliser_Products_Data1(),FertiliserProducts[[#Headers],[Include or Exclude]], 0)</f>
        <v>1.26</v>
      </c>
      <c r="J91" s="111" t="str" cm="1">
        <f t="array" ref="J91">Common_InputFunctions.Utility_DisplayArrayInTable(Fertiliser_SourceData.Fertiliser_Products_Data1(),FertiliserProducts[[#Headers],[Include or Exclude]], 0)</f>
        <v/>
      </c>
      <c r="K91" s="111" t="str" cm="1">
        <f t="array" ref="K91">Common_InputFunctions.Utility_DisplayArrayInTable(Fertiliser_SourceData.Fertiliser_Products_Data1(),FertiliserProducts[[#Headers],[Include or Exclude]], 0)</f>
        <v/>
      </c>
      <c r="L91" s="111" t="str" cm="1">
        <f t="array" ref="L91">Common_InputFunctions.Utility_DisplayArrayInTable(Fertiliser_SourceData.Fertiliser_Products_Data1(),FertiliserProducts[[#Headers],[Include or Exclude]], 0)</f>
        <v>Potassium - Generic</v>
      </c>
      <c r="M91" s="37" cm="1">
        <f t="array" ref="M91">Common_InputFunctions.Utility_DisplayArrayInTable(Fertiliser_SourceData.Fertiliser_Products_Data1(),FertiliserProducts[[#Headers],[Include or Exclude]], 0)</f>
        <v>0.105</v>
      </c>
      <c r="N91" s="111" t="str" cm="1">
        <f t="array" ref="N91">Common_InputFunctions.Utility_DisplayArrayInTable(Fertiliser_SourceData.Fertiliser_Products_Data1(),FertiliserProducts[[#Headers],[Include or Exclude]], 0)</f>
        <v>Nitrogen - Generic</v>
      </c>
      <c r="O91" s="111" cm="1">
        <f t="array" ref="O91">Common_InputFunctions.Utility_DisplayArrayInTable(Fertiliser_SourceData.Fertiliser_Products_Data1(),FertiliserProducts[[#Headers],[Include or Exclude]], 0)</f>
        <v>9.6000000000000002E-2</v>
      </c>
      <c r="P91" s="111" t="str" cm="1">
        <f t="array" ref="P91">Common_InputFunctions.Utility_DisplayArrayInTable(Fertiliser_SourceData.Fertiliser_Products_Data1(),FertiliserProducts[[#Headers],[Include or Exclude]], 0)</f>
        <v>Phosphorus - Generic</v>
      </c>
      <c r="Q91" s="111" cm="1">
        <f t="array" ref="Q91">Common_InputFunctions.Utility_DisplayArrayInTable(Fertiliser_SourceData.Fertiliser_Products_Data1(),FertiliserProducts[[#Headers],[Include or Exclude]], 0)</f>
        <v>0.05</v>
      </c>
      <c r="R91" s="111" t="str" cm="1">
        <f t="array" ref="R91">Common_InputFunctions.Utility_DisplayArrayInTable(Fertiliser_SourceData.Fertiliser_Products_Data1(),FertiliserProducts[[#Headers],[Include or Exclude]], 0)</f>
        <v/>
      </c>
      <c r="S91" s="111" t="str" cm="1">
        <f t="array" ref="S91">Common_InputFunctions.Utility_DisplayArrayInTable(Fertiliser_SourceData.Fertiliser_Products_Data1(),FertiliserProducts[[#Headers],[Include or Exclude]], 0)</f>
        <v/>
      </c>
      <c r="T91" s="111" t="str" cm="1">
        <f t="array" ref="T91">Common_InputFunctions.Utility_DisplayArrayInTable(Fertiliser_SourceData.Fertiliser_Products_Data1(),FertiliserProducts[[#Headers],[Include or Exclude]], 0)</f>
        <v/>
      </c>
      <c r="U91" s="111" t="str" cm="1">
        <f t="array" ref="U91">Common_InputFunctions.Utility_DisplayArrayInTable(Fertiliser_SourceData.Fertiliser_Products_Data1(),FertiliserProducts[[#Headers],[Include or Exclude]], 0)</f>
        <v/>
      </c>
      <c r="V91" s="37" t="str" cm="1">
        <f t="array" ref="V91">Common_InputFunctions.Utility_DisplayArrayInTable(Fertiliser_SourceData.Fertiliser_Products_Data1(),FertiliserProducts[[#Headers],[Include or Exclude]], 0)</f>
        <v/>
      </c>
      <c r="W91" s="37" t="str" cm="1">
        <f t="array" ref="W91">Common_InputFunctions.Utility_DisplayArrayInTable(Fertiliser_SourceData.Fertiliser_Products_Data1(),FertiliserProducts[[#Headers],[Include or Exclude]], 0)</f>
        <v/>
      </c>
      <c r="X91" s="37" t="str" cm="1">
        <f t="array" ref="X91">Common_InputFunctions.Utility_DisplayArrayInTable(Fertiliser_SourceData.Fertiliser_Products_Data1(),FertiliserProducts[[#Headers],[Include or Exclude]], 0)</f>
        <v/>
      </c>
      <c r="Y91" s="37" t="str" cm="1">
        <f t="array" ref="Y91">Common_InputFunctions.Utility_DisplayArrayInTable(Fertiliser_SourceData.Fertiliser_Products_Data1(),FertiliserProducts[[#Headers],[Include or Exclude]], 0)</f>
        <v/>
      </c>
      <c r="Z91" s="37" t="str" cm="1">
        <f t="array" ref="Z91">Common_InputFunctions.Utility_DisplayArrayInTable(Fertiliser_SourceData.Fertiliser_Products_Data1(),FertiliserProducts[[#Headers],[Include or Exclude]], 0)</f>
        <v/>
      </c>
      <c r="AA91" s="37" t="str" cm="1">
        <f t="array" ref="AA91">Common_InputFunctions.Utility_DisplayArrayInTable(Fertiliser_SourceData.Fertiliser_Products_Data1(),FertiliserProducts[[#Headers],[Include or Exclude]], 0)</f>
        <v/>
      </c>
      <c r="AB91" s="37" t="str" cm="1">
        <f t="array" ref="AB91">Common_InputFunctions.Utility_DisplayArrayInTable(Fertiliser_SourceData.Fertiliser_Products_Data1(),FertiliserProducts[[#Headers],[Include or Exclude]], 0)</f>
        <v/>
      </c>
      <c r="AC91" s="37" t="str" cm="1">
        <f t="array" ref="AC91">Common_InputFunctions.Utility_DisplayArrayInTable(Fertiliser_SourceData.Fertiliser_Products_Data1(),FertiliserProducts[[#Headers],[Include or Exclude]], 0)</f>
        <v/>
      </c>
      <c r="AD91" s="37" t="str" cm="1">
        <f t="array" ref="AD91">Common_InputFunctions.Utility_DisplayArrayInTable(Fertiliser_SourceData.Fertiliser_Products_Data1(),FertiliserProducts[[#Headers],[Include or Exclude]], 0)</f>
        <v/>
      </c>
      <c r="AE91" s="37" t="str" cm="1">
        <f t="array" ref="AE91">Common_InputFunctions.Utility_DisplayArrayInTable(Fertiliser_SourceData.Fertiliser_Products_Data1(),FertiliserProducts[[#Headers],[Include or Exclude]], 0)</f>
        <v/>
      </c>
    </row>
    <row r="92" spans="4:31" ht="20.100000000000001" customHeight="1" x14ac:dyDescent="0.25">
      <c r="D92" s="111" t="str" cm="1">
        <f t="array" ref="D92">Common_InputFunctions.Utility_DisplayArrayInTable(Fertiliser_SourceData.Fertiliser_Products_Data1(),FertiliserProducts[[#Headers],[Include or Exclude]], 0)</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f>
        <v>L</v>
      </c>
      <c r="I92" s="111" cm="1">
        <f t="array" ref="I92">Common_InputFunctions.Utility_DisplayArrayInTable(Fertiliser_SourceData.Fertiliser_Products_Data1(),FertiliserProducts[[#Headers],[Include or Exclude]], 0)</f>
        <v>1.24</v>
      </c>
      <c r="J92" s="111" t="str" cm="1">
        <f t="array" ref="J92">Common_InputFunctions.Utility_DisplayArrayInTable(Fertiliser_SourceData.Fertiliser_Products_Data1(),FertiliserProducts[[#Headers],[Include or Exclude]], 0)</f>
        <v/>
      </c>
      <c r="K92" s="111" t="str" cm="1">
        <f t="array" ref="K92">Common_InputFunctions.Utility_DisplayArrayInTable(Fertiliser_SourceData.Fertiliser_Products_Data1(),FertiliserProducts[[#Headers],[Include or Exclude]], 0)</f>
        <v/>
      </c>
      <c r="L92" s="111" t="str" cm="1">
        <f t="array" ref="L92">Common_InputFunctions.Utility_DisplayArrayInTable(Fertiliser_SourceData.Fertiliser_Products_Data1(),FertiliserProducts[[#Headers],[Include or Exclude]], 0)</f>
        <v>Nitrogen - Ammoniacal</v>
      </c>
      <c r="M92" s="37" cm="1">
        <f t="array" ref="M92">Common_InputFunctions.Utility_DisplayArrayInTable(Fertiliser_SourceData.Fertiliser_Products_Data1(),FertiliserProducts[[#Headers],[Include or Exclude]], 0)</f>
        <v>0.223</v>
      </c>
      <c r="N92" s="111" t="str" cm="1">
        <f t="array" ref="N92">Common_InputFunctions.Utility_DisplayArrayInTable(Fertiliser_SourceData.Fertiliser_Products_Data1(),FertiliserProducts[[#Headers],[Include or Exclude]], 0)</f>
        <v/>
      </c>
      <c r="O92" s="111" t="str" cm="1">
        <f t="array" ref="O92">Common_InputFunctions.Utility_DisplayArrayInTable(Fertiliser_SourceData.Fertiliser_Products_Data1(),FertiliserProducts[[#Headers],[Include or Exclude]], 0)</f>
        <v/>
      </c>
      <c r="P92" s="111" t="str" cm="1">
        <f t="array" ref="P92">Common_InputFunctions.Utility_DisplayArrayInTable(Fertiliser_SourceData.Fertiliser_Products_Data1(),FertiliserProducts[[#Headers],[Include or Exclude]], 0)</f>
        <v/>
      </c>
      <c r="Q92" s="111" t="str" cm="1">
        <f t="array" ref="Q92">Common_InputFunctions.Utility_DisplayArrayInTable(Fertiliser_SourceData.Fertiliser_Products_Data1(),FertiliserProducts[[#Headers],[Include or Exclude]], 0)</f>
        <v/>
      </c>
      <c r="R92" s="111" t="str" cm="1">
        <f t="array" ref="R92">Common_InputFunctions.Utility_DisplayArrayInTable(Fertiliser_SourceData.Fertiliser_Products_Data1(),FertiliserProducts[[#Headers],[Include or Exclude]], 0)</f>
        <v/>
      </c>
      <c r="S92" s="111" t="str" cm="1">
        <f t="array" ref="S92">Common_InputFunctions.Utility_DisplayArrayInTable(Fertiliser_SourceData.Fertiliser_Products_Data1(),FertiliserProducts[[#Headers],[Include or Exclude]], 0)</f>
        <v/>
      </c>
      <c r="T92" s="111" t="str" cm="1">
        <f t="array" ref="T92">Common_InputFunctions.Utility_DisplayArrayInTable(Fertiliser_SourceData.Fertiliser_Products_Data1(),FertiliserProducts[[#Headers],[Include or Exclude]], 0)</f>
        <v/>
      </c>
      <c r="U92" s="111" t="str" cm="1">
        <f t="array" ref="U92">Common_InputFunctions.Utility_DisplayArrayInTable(Fertiliser_SourceData.Fertiliser_Products_Data1(),FertiliserProducts[[#Headers],[Include or Exclude]], 0)</f>
        <v/>
      </c>
      <c r="V92" s="37" t="str" cm="1">
        <f t="array" ref="V92">Common_InputFunctions.Utility_DisplayArrayInTable(Fertiliser_SourceData.Fertiliser_Products_Data1(),FertiliserProducts[[#Headers],[Include or Exclude]], 0)</f>
        <v/>
      </c>
      <c r="W92" s="37" t="str" cm="1">
        <f t="array" ref="W92">Common_InputFunctions.Utility_DisplayArrayInTable(Fertiliser_SourceData.Fertiliser_Products_Data1(),FertiliserProducts[[#Headers],[Include or Exclude]], 0)</f>
        <v/>
      </c>
      <c r="X92" s="37" t="str" cm="1">
        <f t="array" ref="X92">Common_InputFunctions.Utility_DisplayArrayInTable(Fertiliser_SourceData.Fertiliser_Products_Data1(),FertiliserProducts[[#Headers],[Include or Exclude]], 0)</f>
        <v/>
      </c>
      <c r="Y92" s="37" t="str" cm="1">
        <f t="array" ref="Y92">Common_InputFunctions.Utility_DisplayArrayInTable(Fertiliser_SourceData.Fertiliser_Products_Data1(),FertiliserProducts[[#Headers],[Include or Exclude]], 0)</f>
        <v/>
      </c>
      <c r="Z92" s="37" t="str" cm="1">
        <f t="array" ref="Z92">Common_InputFunctions.Utility_DisplayArrayInTable(Fertiliser_SourceData.Fertiliser_Products_Data1(),FertiliserProducts[[#Headers],[Include or Exclude]], 0)</f>
        <v/>
      </c>
      <c r="AA92" s="37" t="str" cm="1">
        <f t="array" ref="AA92">Common_InputFunctions.Utility_DisplayArrayInTable(Fertiliser_SourceData.Fertiliser_Products_Data1(),FertiliserProducts[[#Headers],[Include or Exclude]], 0)</f>
        <v/>
      </c>
      <c r="AB92" s="37" t="str" cm="1">
        <f t="array" ref="AB92">Common_InputFunctions.Utility_DisplayArrayInTable(Fertiliser_SourceData.Fertiliser_Products_Data1(),FertiliserProducts[[#Headers],[Include or Exclude]], 0)</f>
        <v/>
      </c>
      <c r="AC92" s="37" t="str" cm="1">
        <f t="array" ref="AC92">Common_InputFunctions.Utility_DisplayArrayInTable(Fertiliser_SourceData.Fertiliser_Products_Data1(),FertiliserProducts[[#Headers],[Include or Exclude]], 0)</f>
        <v/>
      </c>
      <c r="AD92" s="37" t="str" cm="1">
        <f t="array" ref="AD92">Common_InputFunctions.Utility_DisplayArrayInTable(Fertiliser_SourceData.Fertiliser_Products_Data1(),FertiliserProducts[[#Headers],[Include or Exclude]], 0)</f>
        <v/>
      </c>
      <c r="AE92" s="37" t="str" cm="1">
        <f t="array" ref="AE92">Common_InputFunctions.Utility_DisplayArrayInTable(Fertiliser_SourceData.Fertiliser_Products_Data1(),FertiliserProducts[[#Headers],[Include or Exclude]], 0)</f>
        <v/>
      </c>
    </row>
    <row r="93" spans="4:31" ht="20.100000000000001" customHeight="1" x14ac:dyDescent="0.25">
      <c r="D93" s="111" t="str" cm="1">
        <f t="array" ref="D93">Common_InputFunctions.Utility_DisplayArrayInTable(Fertiliser_SourceData.Fertiliser_Products_Data1(),FertiliserProducts[[#Headers],[Include or Exclude]], 0)</f>
        <v>Include</v>
      </c>
      <c r="E93" s="111" t="str" cm="1">
        <f t="array" ref="E93">Common_InputFunctions.Utility_DisplayArrayInTable(Fertiliser_SourceData.Fertiliser_Products_Data1(),FertiliserProducts[[#Headers],[Include or Exclude]], 0)</f>
        <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Start</v>
      </c>
      <c r="H93" s="111" t="str" cm="1">
        <f t="array" ref="H93">Common_InputFunctions.Utility_DisplayArrayInTable(Fertiliser_SourceData.Fertiliser_Products_Data1(),FertiliserProducts[[#Headers],[Include or Exclude]], 0)</f>
        <v>L</v>
      </c>
      <c r="I93" s="111" cm="1">
        <f t="array" ref="I93">Common_InputFunctions.Utility_DisplayArrayInTable(Fertiliser_SourceData.Fertiliser_Products_Data1(),FertiliserProducts[[#Headers],[Include or Exclude]], 0)</f>
        <v>1.25</v>
      </c>
      <c r="J93" s="111" t="str" cm="1">
        <f t="array" ref="J93">Common_InputFunctions.Utility_DisplayArrayInTable(Fertiliser_SourceData.Fertiliser_Products_Data1(),FertiliserProducts[[#Headers],[Include or Exclude]], 0)</f>
        <v/>
      </c>
      <c r="K93" s="111" t="str" cm="1">
        <f t="array" ref="K93">Common_InputFunctions.Utility_DisplayArrayInTable(Fertiliser_SourceData.Fertiliser_Products_Data1(),FertiliserProducts[[#Headers],[Include or Exclude]], 0)</f>
        <v/>
      </c>
      <c r="L93" s="111" t="str" cm="1">
        <f t="array" ref="L93">Common_InputFunctions.Utility_DisplayArrayInTable(Fertiliser_SourceData.Fertiliser_Products_Data1(),FertiliserProducts[[#Headers],[Include or Exclude]], 0)</f>
        <v>Nitrogen - Generic</v>
      </c>
      <c r="M93" s="37" cm="1">
        <f t="array" ref="M93">Common_InputFunctions.Utility_DisplayArrayInTable(Fertiliser_SourceData.Fertiliser_Products_Data1(),FertiliserProducts[[#Headers],[Include or Exclude]], 0)</f>
        <v>0.10299999999999999</v>
      </c>
      <c r="N93" s="111" t="str" cm="1">
        <f t="array" ref="N93">Common_InputFunctions.Utility_DisplayArrayInTable(Fertiliser_SourceData.Fertiliser_Products_Data1(),FertiliserProducts[[#Headers],[Include or Exclude]], 0)</f>
        <v>Phosphorus - Generic</v>
      </c>
      <c r="O93" s="111" cm="1">
        <f t="array" ref="O93">Common_InputFunctions.Utility_DisplayArrayInTable(Fertiliser_SourceData.Fertiliser_Products_Data1(),FertiliserProducts[[#Headers],[Include or Exclude]], 0)</f>
        <v>0.1</v>
      </c>
      <c r="P93" s="111" t="str" cm="1">
        <f t="array" ref="P93">Common_InputFunctions.Utility_DisplayArrayInTable(Fertiliser_SourceData.Fertiliser_Products_Data1(),FertiliserProducts[[#Headers],[Include or Exclude]], 0)</f>
        <v>Potassium - Generic</v>
      </c>
      <c r="Q93" s="111" cm="1">
        <f t="array" ref="Q93">Common_InputFunctions.Utility_DisplayArrayInTable(Fertiliser_SourceData.Fertiliser_Products_Data1(),FertiliserProducts[[#Headers],[Include or Exclude]], 0)</f>
        <v>3.4000000000000002E-2</v>
      </c>
      <c r="R93" s="111" t="str" cm="1">
        <f t="array" ref="R93">Common_InputFunctions.Utility_DisplayArrayInTable(Fertiliser_SourceData.Fertiliser_Products_Data1(),FertiliserProducts[[#Headers],[Include or Exclude]], 0)</f>
        <v/>
      </c>
      <c r="S93" s="111" t="str" cm="1">
        <f t="array" ref="S93">Common_InputFunctions.Utility_DisplayArrayInTable(Fertiliser_SourceData.Fertiliser_Products_Data1(),FertiliserProducts[[#Headers],[Include or Exclude]], 0)</f>
        <v/>
      </c>
      <c r="T93" s="111" t="str" cm="1">
        <f t="array" ref="T93">Common_InputFunctions.Utility_DisplayArrayInTable(Fertiliser_SourceData.Fertiliser_Products_Data1(),FertiliserProducts[[#Headers],[Include or Exclude]], 0)</f>
        <v/>
      </c>
      <c r="U93" s="111" t="str" cm="1">
        <f t="array" ref="U93">Common_InputFunctions.Utility_DisplayArrayInTable(Fertiliser_SourceData.Fertiliser_Products_Data1(),FertiliserProducts[[#Headers],[Include or Exclude]], 0)</f>
        <v/>
      </c>
      <c r="V93" s="37" t="str" cm="1">
        <f t="array" ref="V93">Common_InputFunctions.Utility_DisplayArrayInTable(Fertiliser_SourceData.Fertiliser_Products_Data1(),FertiliserProducts[[#Headers],[Include or Exclude]], 0)</f>
        <v/>
      </c>
      <c r="W93" s="37" t="str" cm="1">
        <f t="array" ref="W93">Common_InputFunctions.Utility_DisplayArrayInTable(Fertiliser_SourceData.Fertiliser_Products_Data1(),FertiliserProducts[[#Headers],[Include or Exclude]], 0)</f>
        <v/>
      </c>
      <c r="X93" s="37" t="str" cm="1">
        <f t="array" ref="X93">Common_InputFunctions.Utility_DisplayArrayInTable(Fertiliser_SourceData.Fertiliser_Products_Data1(),FertiliserProducts[[#Headers],[Include or Exclude]], 0)</f>
        <v/>
      </c>
      <c r="Y93" s="37" t="str" cm="1">
        <f t="array" ref="Y93">Common_InputFunctions.Utility_DisplayArrayInTable(Fertiliser_SourceData.Fertiliser_Products_Data1(),FertiliserProducts[[#Headers],[Include or Exclude]], 0)</f>
        <v/>
      </c>
      <c r="Z93" s="37" t="str" cm="1">
        <f t="array" ref="Z93">Common_InputFunctions.Utility_DisplayArrayInTable(Fertiliser_SourceData.Fertiliser_Products_Data1(),FertiliserProducts[[#Headers],[Include or Exclude]], 0)</f>
        <v/>
      </c>
      <c r="AA93" s="37" t="str" cm="1">
        <f t="array" ref="AA93">Common_InputFunctions.Utility_DisplayArrayInTable(Fertiliser_SourceData.Fertiliser_Products_Data1(),FertiliserProducts[[#Headers],[Include or Exclude]], 0)</f>
        <v/>
      </c>
      <c r="AB93" s="37" t="str" cm="1">
        <f t="array" ref="AB93">Common_InputFunctions.Utility_DisplayArrayInTable(Fertiliser_SourceData.Fertiliser_Products_Data1(),FertiliserProducts[[#Headers],[Include or Exclude]], 0)</f>
        <v/>
      </c>
      <c r="AC93" s="37" t="str" cm="1">
        <f t="array" ref="AC93">Common_InputFunctions.Utility_DisplayArrayInTable(Fertiliser_SourceData.Fertiliser_Products_Data1(),FertiliserProducts[[#Headers],[Include or Exclude]], 0)</f>
        <v/>
      </c>
      <c r="AD93" s="37" t="str" cm="1">
        <f t="array" ref="AD93">Common_InputFunctions.Utility_DisplayArrayInTable(Fertiliser_SourceData.Fertiliser_Products_Data1(),FertiliserProducts[[#Headers],[Include or Exclude]], 0)</f>
        <v/>
      </c>
      <c r="AE93" s="37" t="str" cm="1">
        <f t="array" ref="AE93">Common_InputFunctions.Utility_DisplayArrayInTable(Fertiliser_SourceData.Fertiliser_Products_Data1(),FertiliserProducts[[#Headers],[Include or Exclude]], 0)</f>
        <v/>
      </c>
    </row>
    <row r="94" spans="4:31" ht="20.100000000000001" customHeight="1" x14ac:dyDescent="0.25">
      <c r="D94" s="111" t="str" cm="1">
        <f t="array" ref="D94">Common_InputFunctions.Utility_DisplayArrayInTable(Fertiliser_SourceData.Fertiliser_Products_Data1(),FertiliserProducts[[#Headers],[Include or Exclude]], 0)</f>
        <v>Include</v>
      </c>
      <c r="E94" s="111" t="str" cm="1">
        <f t="array" ref="E94">Common_InputFunctions.Utility_DisplayArrayInTable(Fertiliser_SourceData.Fertiliser_Products_Data1(),FertiliserProducts[[#Headers],[Include or Exclude]], 0)</f>
        <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Thio-Complete</v>
      </c>
      <c r="H94" s="111" t="str" cm="1">
        <f t="array" ref="H94">Common_InputFunctions.Utility_DisplayArrayInTable(Fertiliser_SourceData.Fertiliser_Products_Data1(),FertiliserProducts[[#Headers],[Include or Exclude]], 0)</f>
        <v>L</v>
      </c>
      <c r="I94" s="111" cm="1">
        <f t="array" ref="I94">Common_InputFunctions.Utility_DisplayArrayInTable(Fertiliser_SourceData.Fertiliser_Products_Data1(),FertiliserProducts[[#Headers],[Include or Exclude]], 0)</f>
        <v>1.43</v>
      </c>
      <c r="J94" s="111" t="str" cm="1">
        <f t="array" ref="J94">Common_InputFunctions.Utility_DisplayArrayInTable(Fertiliser_SourceData.Fertiliser_Products_Data1(),FertiliserProducts[[#Headers],[Include or Exclude]], 0)</f>
        <v/>
      </c>
      <c r="K94" s="111" t="str" cm="1">
        <f t="array" ref="K94">Common_InputFunctions.Utility_DisplayArrayInTable(Fertiliser_SourceData.Fertiliser_Products_Data1(),FertiliserProducts[[#Headers],[Include or Exclude]], 0)</f>
        <v/>
      </c>
      <c r="L94" s="111" t="str" cm="1">
        <f t="array" ref="L94">Common_InputFunctions.Utility_DisplayArrayInTable(Fertiliser_SourceData.Fertiliser_Products_Data1(),FertiliserProducts[[#Headers],[Include or Exclude]], 0)</f>
        <v>Potassium - Generic</v>
      </c>
      <c r="M94" s="37" cm="1">
        <f t="array" ref="M94">Common_InputFunctions.Utility_DisplayArrayInTable(Fertiliser_SourceData.Fertiliser_Products_Data1(),FertiliserProducts[[#Headers],[Include or Exclude]], 0)</f>
        <v>0.22500000000000001</v>
      </c>
      <c r="N94" s="111" t="str" cm="1">
        <f t="array" ref="N94">Common_InputFunctions.Utility_DisplayArrayInTable(Fertiliser_SourceData.Fertiliser_Products_Data1(),FertiliserProducts[[#Headers],[Include or Exclude]], 0)</f>
        <v>Phosphorus - Generic</v>
      </c>
      <c r="O94" s="111" cm="1">
        <f t="array" ref="O94">Common_InputFunctions.Utility_DisplayArrayInTable(Fertiliser_SourceData.Fertiliser_Products_Data1(),FertiliserProducts[[#Headers],[Include or Exclude]], 0)</f>
        <v>3.7999999999999999E-2</v>
      </c>
      <c r="P94" s="111" t="str" cm="1">
        <f t="array" ref="P94">Common_InputFunctions.Utility_DisplayArrayInTable(Fertiliser_SourceData.Fertiliser_Products_Data1(),FertiliserProducts[[#Headers],[Include or Exclude]], 0)</f>
        <v>Nitrogen - Generic</v>
      </c>
      <c r="Q94" s="111" cm="1">
        <f t="array" ref="Q94">Common_InputFunctions.Utility_DisplayArrayInTable(Fertiliser_SourceData.Fertiliser_Products_Data1(),FertiliserProducts[[#Headers],[Include or Exclude]], 0)</f>
        <v>2.5000000000000001E-2</v>
      </c>
      <c r="R94" s="111" t="str" cm="1">
        <f t="array" ref="R94">Common_InputFunctions.Utility_DisplayArrayInTable(Fertiliser_SourceData.Fertiliser_Products_Data1(),FertiliserProducts[[#Headers],[Include or Exclude]], 0)</f>
        <v/>
      </c>
      <c r="S94" s="111" t="str" cm="1">
        <f t="array" ref="S94">Common_InputFunctions.Utility_DisplayArrayInTable(Fertiliser_SourceData.Fertiliser_Products_Data1(),FertiliserProducts[[#Headers],[Include or Exclude]], 0)</f>
        <v/>
      </c>
      <c r="T94" s="111" t="str" cm="1">
        <f t="array" ref="T94">Common_InputFunctions.Utility_DisplayArrayInTable(Fertiliser_SourceData.Fertiliser_Products_Data1(),FertiliserProducts[[#Headers],[Include or Exclude]], 0)</f>
        <v/>
      </c>
      <c r="U94" s="111" t="str" cm="1">
        <f t="array" ref="U94">Common_InputFunctions.Utility_DisplayArrayInTable(Fertiliser_SourceData.Fertiliser_Products_Data1(),FertiliserProducts[[#Headers],[Include or Exclude]], 0)</f>
        <v/>
      </c>
      <c r="V94" s="37" t="str" cm="1">
        <f t="array" ref="V94">Common_InputFunctions.Utility_DisplayArrayInTable(Fertiliser_SourceData.Fertiliser_Products_Data1(),FertiliserProducts[[#Headers],[Include or Exclude]], 0)</f>
        <v/>
      </c>
      <c r="W94" s="37" t="str" cm="1">
        <f t="array" ref="W94">Common_InputFunctions.Utility_DisplayArrayInTable(Fertiliser_SourceData.Fertiliser_Products_Data1(),FertiliserProducts[[#Headers],[Include or Exclude]], 0)</f>
        <v/>
      </c>
      <c r="X94" s="37" t="str" cm="1">
        <f t="array" ref="X94">Common_InputFunctions.Utility_DisplayArrayInTable(Fertiliser_SourceData.Fertiliser_Products_Data1(),FertiliserProducts[[#Headers],[Include or Exclude]], 0)</f>
        <v/>
      </c>
      <c r="Y94" s="37" t="str" cm="1">
        <f t="array" ref="Y94">Common_InputFunctions.Utility_DisplayArrayInTable(Fertiliser_SourceData.Fertiliser_Products_Data1(),FertiliserProducts[[#Headers],[Include or Exclude]], 0)</f>
        <v/>
      </c>
      <c r="Z94" s="37" t="str" cm="1">
        <f t="array" ref="Z94">Common_InputFunctions.Utility_DisplayArrayInTable(Fertiliser_SourceData.Fertiliser_Products_Data1(),FertiliserProducts[[#Headers],[Include or Exclude]], 0)</f>
        <v/>
      </c>
      <c r="AA94" s="37" t="str" cm="1">
        <f t="array" ref="AA94">Common_InputFunctions.Utility_DisplayArrayInTable(Fertiliser_SourceData.Fertiliser_Products_Data1(),FertiliserProducts[[#Headers],[Include or Exclude]], 0)</f>
        <v/>
      </c>
      <c r="AB94" s="37" t="str" cm="1">
        <f t="array" ref="AB94">Common_InputFunctions.Utility_DisplayArrayInTable(Fertiliser_SourceData.Fertiliser_Products_Data1(),FertiliserProducts[[#Headers],[Include or Exclude]], 0)</f>
        <v/>
      </c>
      <c r="AC94" s="37" t="str" cm="1">
        <f t="array" ref="AC94">Common_InputFunctions.Utility_DisplayArrayInTable(Fertiliser_SourceData.Fertiliser_Products_Data1(),FertiliserProducts[[#Headers],[Include or Exclude]], 0)</f>
        <v/>
      </c>
      <c r="AD94" s="37" t="str" cm="1">
        <f t="array" ref="AD94">Common_InputFunctions.Utility_DisplayArrayInTable(Fertiliser_SourceData.Fertiliser_Products_Data1(),FertiliserProducts[[#Headers],[Include or Exclude]], 0)</f>
        <v/>
      </c>
      <c r="AE94" s="37" t="str" cm="1">
        <f t="array" ref="AE94">Common_InputFunctions.Utility_DisplayArrayInTable(Fertiliser_SourceData.Fertiliser_Products_Data1(),FertiliserProducts[[#Headers],[Include or Exclude]], 0)</f>
        <v/>
      </c>
    </row>
    <row r="95" spans="4:31" ht="20.100000000000001" customHeight="1" x14ac:dyDescent="0.25">
      <c r="D95" s="111" t="str" cm="1">
        <f t="array" ref="D95">Common_InputFunctions.Utility_DisplayArrayInTable(Fertiliser_SourceData.Fertiliser_Products_Data1(),FertiliserProducts[[#Headers],[Include or Exclude]], 0)</f>
        <v>Include</v>
      </c>
      <c r="E95" s="111" t="str" cm="1">
        <f t="array" ref="E95">Common_InputFunctions.Utility_DisplayArrayInTable(Fertiliser_SourceData.Fertiliser_Products_Data1(),FertiliserProducts[[#Headers],[Include or Exclude]], 0)</f>
        <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Thio-Emerge</v>
      </c>
      <c r="H95" s="111" t="str" cm="1">
        <f t="array" ref="H95">Common_InputFunctions.Utility_DisplayArrayInTable(Fertiliser_SourceData.Fertiliser_Products_Data1(),FertiliserProducts[[#Headers],[Include or Exclude]], 0)</f>
        <v>L</v>
      </c>
      <c r="I95" s="111" cm="1">
        <f t="array" ref="I95">Common_InputFunctions.Utility_DisplayArrayInTable(Fertiliser_SourceData.Fertiliser_Products_Data1(),FertiliserProducts[[#Headers],[Include or Exclude]], 0)</f>
        <v>1.29</v>
      </c>
      <c r="J95" s="111" t="str" cm="1">
        <f t="array" ref="J95">Common_InputFunctions.Utility_DisplayArrayInTable(Fertiliser_SourceData.Fertiliser_Products_Data1(),FertiliserProducts[[#Headers],[Include or Exclude]], 0)</f>
        <v/>
      </c>
      <c r="K95" s="111" t="str" cm="1">
        <f t="array" ref="K95">Common_InputFunctions.Utility_DisplayArrayInTable(Fertiliser_SourceData.Fertiliser_Products_Data1(),FertiliserProducts[[#Headers],[Include or Exclude]], 0)</f>
        <v/>
      </c>
      <c r="L95" s="111" t="str" cm="1">
        <f t="array" ref="L95">Common_InputFunctions.Utility_DisplayArrayInTable(Fertiliser_SourceData.Fertiliser_Products_Data1(),FertiliserProducts[[#Headers],[Include or Exclude]], 0)</f>
        <v>Nitrogen - Generic</v>
      </c>
      <c r="M95" s="37" cm="1">
        <f t="array" ref="M95">Common_InputFunctions.Utility_DisplayArrayInTable(Fertiliser_SourceData.Fertiliser_Products_Data1(),FertiliserProducts[[#Headers],[Include or Exclude]], 0)</f>
        <v>0.105</v>
      </c>
      <c r="N95" s="111" t="str" cm="1">
        <f t="array" ref="N95">Common_InputFunctions.Utility_DisplayArrayInTable(Fertiliser_SourceData.Fertiliser_Products_Data1(),FertiliserProducts[[#Headers],[Include or Exclude]], 0)</f>
        <v>Phosphorus - Generic</v>
      </c>
      <c r="O95" s="111" cm="1">
        <f t="array" ref="O95">Common_InputFunctions.Utility_DisplayArrayInTable(Fertiliser_SourceData.Fertiliser_Products_Data1(),FertiliserProducts[[#Headers],[Include or Exclude]], 0)</f>
        <v>9.4E-2</v>
      </c>
      <c r="P95" s="111" t="str" cm="1">
        <f t="array" ref="P95">Common_InputFunctions.Utility_DisplayArrayInTable(Fertiliser_SourceData.Fertiliser_Products_Data1(),FertiliserProducts[[#Headers],[Include or Exclude]], 0)</f>
        <v>Potassium - Generic</v>
      </c>
      <c r="Q95" s="111" cm="1">
        <f t="array" ref="Q95">Common_InputFunctions.Utility_DisplayArrayInTable(Fertiliser_SourceData.Fertiliser_Products_Data1(),FertiliserProducts[[#Headers],[Include or Exclude]], 0)</f>
        <v>0.04</v>
      </c>
      <c r="R95" s="111" t="str" cm="1">
        <f t="array" ref="R95">Common_InputFunctions.Utility_DisplayArrayInTable(Fertiliser_SourceData.Fertiliser_Products_Data1(),FertiliserProducts[[#Headers],[Include or Exclude]], 0)</f>
        <v>Sulfur - Generic</v>
      </c>
      <c r="S95" s="111" cm="1">
        <f t="array" ref="S95">Common_InputFunctions.Utility_DisplayArrayInTable(Fertiliser_SourceData.Fertiliser_Products_Data1(),FertiliserProducts[[#Headers],[Include or Exclude]], 0)</f>
        <v>0.03</v>
      </c>
      <c r="T95" s="111" t="str" cm="1">
        <f t="array" ref="T95">Common_InputFunctions.Utility_DisplayArrayInTable(Fertiliser_SourceData.Fertiliser_Products_Data1(),FertiliserProducts[[#Headers],[Include or Exclude]], 0)</f>
        <v/>
      </c>
      <c r="U95" s="111" t="str" cm="1">
        <f t="array" ref="U95">Common_InputFunctions.Utility_DisplayArrayInTable(Fertiliser_SourceData.Fertiliser_Products_Data1(),FertiliserProducts[[#Headers],[Include or Exclude]], 0)</f>
        <v/>
      </c>
      <c r="V95" s="37" t="str" cm="1">
        <f t="array" ref="V95">Common_InputFunctions.Utility_DisplayArrayInTable(Fertiliser_SourceData.Fertiliser_Products_Data1(),FertiliserProducts[[#Headers],[Include or Exclude]], 0)</f>
        <v/>
      </c>
      <c r="W95" s="37" t="str" cm="1">
        <f t="array" ref="W95">Common_InputFunctions.Utility_DisplayArrayInTable(Fertiliser_SourceData.Fertiliser_Products_Data1(),FertiliserProducts[[#Headers],[Include or Exclude]], 0)</f>
        <v/>
      </c>
      <c r="X95" s="37" t="str" cm="1">
        <f t="array" ref="X95">Common_InputFunctions.Utility_DisplayArrayInTable(Fertiliser_SourceData.Fertiliser_Products_Data1(),FertiliserProducts[[#Headers],[Include or Exclude]], 0)</f>
        <v/>
      </c>
      <c r="Y95" s="37" t="str" cm="1">
        <f t="array" ref="Y95">Common_InputFunctions.Utility_DisplayArrayInTable(Fertiliser_SourceData.Fertiliser_Products_Data1(),FertiliserProducts[[#Headers],[Include or Exclude]], 0)</f>
        <v/>
      </c>
      <c r="Z95" s="37" t="str" cm="1">
        <f t="array" ref="Z95">Common_InputFunctions.Utility_DisplayArrayInTable(Fertiliser_SourceData.Fertiliser_Products_Data1(),FertiliserProducts[[#Headers],[Include or Exclude]], 0)</f>
        <v/>
      </c>
      <c r="AA95" s="37" t="str" cm="1">
        <f t="array" ref="AA95">Common_InputFunctions.Utility_DisplayArrayInTable(Fertiliser_SourceData.Fertiliser_Products_Data1(),FertiliserProducts[[#Headers],[Include or Exclude]], 0)</f>
        <v/>
      </c>
      <c r="AB95" s="37" t="str" cm="1">
        <f t="array" ref="AB95">Common_InputFunctions.Utility_DisplayArrayInTable(Fertiliser_SourceData.Fertiliser_Products_Data1(),FertiliserProducts[[#Headers],[Include or Exclude]], 0)</f>
        <v/>
      </c>
      <c r="AC95" s="37" t="str" cm="1">
        <f t="array" ref="AC95">Common_InputFunctions.Utility_DisplayArrayInTable(Fertiliser_SourceData.Fertiliser_Products_Data1(),FertiliserProducts[[#Headers],[Include or Exclude]], 0)</f>
        <v/>
      </c>
      <c r="AD95" s="37" t="str" cm="1">
        <f t="array" ref="AD95">Common_InputFunctions.Utility_DisplayArrayInTable(Fertiliser_SourceData.Fertiliser_Products_Data1(),FertiliserProducts[[#Headers],[Include or Exclude]], 0)</f>
        <v/>
      </c>
      <c r="AE95" s="37" t="str" cm="1">
        <f t="array" ref="AE95">Common_InputFunctions.Utility_DisplayArrayInTable(Fertiliser_SourceData.Fertiliser_Products_Data1(),FertiliserProducts[[#Headers],[Include or Exclude]], 0)</f>
        <v/>
      </c>
    </row>
    <row r="96" spans="4:31" ht="20.100000000000001" customHeight="1" x14ac:dyDescent="0.25">
      <c r="D96" s="111" t="str" cm="1">
        <f t="array" ref="D96">Common_InputFunctions.Utility_DisplayArrayInTable(Fertiliser_SourceData.Fertiliser_Products_Data1(),FertiliserProducts[[#Headers],[Include or Exclude]], 0)</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Thio-Flourish</v>
      </c>
      <c r="H96" s="111" t="str" cm="1">
        <f t="array" ref="H96">Common_InputFunctions.Utility_DisplayArrayInTable(Fertiliser_SourceData.Fertiliser_Products_Data1(),FertiliserProducts[[#Headers],[Include or Exclude]], 0)</f>
        <v>L</v>
      </c>
      <c r="I96" s="111" cm="1">
        <f t="array" ref="I96">Common_InputFunctions.Utility_DisplayArrayInTable(Fertiliser_SourceData.Fertiliser_Products_Data1(),FertiliserProducts[[#Headers],[Include or Exclude]], 0)</f>
        <v>1.32</v>
      </c>
      <c r="J96" s="111" t="str" cm="1">
        <f t="array" ref="J96">Common_InputFunctions.Utility_DisplayArrayInTable(Fertiliser_SourceData.Fertiliser_Products_Data1(),FertiliserProducts[[#Headers],[Include or Exclude]], 0)</f>
        <v/>
      </c>
      <c r="K96" s="111" t="str" cm="1">
        <f t="array" ref="K96">Common_InputFunctions.Utility_DisplayArrayInTable(Fertiliser_SourceData.Fertiliser_Products_Data1(),FertiliserProducts[[#Headers],[Include or Exclude]], 0)</f>
        <v/>
      </c>
      <c r="L96" s="111" t="str" cm="1">
        <f t="array" ref="L96">Common_InputFunctions.Utility_DisplayArrayInTable(Fertiliser_SourceData.Fertiliser_Products_Data1(),FertiliserProducts[[#Headers],[Include or Exclude]], 0)</f>
        <v>Potassium - Generic</v>
      </c>
      <c r="M96" s="37" cm="1">
        <f t="array" ref="M96">Common_InputFunctions.Utility_DisplayArrayInTable(Fertiliser_SourceData.Fertiliser_Products_Data1(),FertiliserProducts[[#Headers],[Include or Exclude]], 0)</f>
        <v>0.108</v>
      </c>
      <c r="N96" s="111" t="str" cm="1">
        <f t="array" ref="N96">Common_InputFunctions.Utility_DisplayArrayInTable(Fertiliser_SourceData.Fertiliser_Products_Data1(),FertiliserProducts[[#Headers],[Include or Exclude]], 0)</f>
        <v>Nitrogen - Generic</v>
      </c>
      <c r="O96" s="111" cm="1">
        <f t="array" ref="O96">Common_InputFunctions.Utility_DisplayArrayInTable(Fertiliser_SourceData.Fertiliser_Products_Data1(),FertiliserProducts[[#Headers],[Include or Exclude]], 0)</f>
        <v>9.5000000000000001E-2</v>
      </c>
      <c r="P96" s="111" t="str" cm="1">
        <f t="array" ref="P96">Common_InputFunctions.Utility_DisplayArrayInTable(Fertiliser_SourceData.Fertiliser_Products_Data1(),FertiliserProducts[[#Headers],[Include or Exclude]], 0)</f>
        <v>Sulfur - Generic</v>
      </c>
      <c r="Q96" s="111" cm="1">
        <f t="array" ref="Q96">Common_InputFunctions.Utility_DisplayArrayInTable(Fertiliser_SourceData.Fertiliser_Products_Data1(),FertiliserProducts[[#Headers],[Include or Exclude]], 0)</f>
        <v>8.1000000000000003E-2</v>
      </c>
      <c r="R96" s="111" t="str" cm="1">
        <f t="array" ref="R96">Common_InputFunctions.Utility_DisplayArrayInTable(Fertiliser_SourceData.Fertiliser_Products_Data1(),FertiliserProducts[[#Headers],[Include or Exclude]], 0)</f>
        <v>Phosphorus - Generic</v>
      </c>
      <c r="S96" s="111" cm="1">
        <f t="array" ref="S96">Common_InputFunctions.Utility_DisplayArrayInTable(Fertiliser_SourceData.Fertiliser_Products_Data1(),FertiliserProducts[[#Headers],[Include or Exclude]], 0)</f>
        <v>4.7E-2</v>
      </c>
      <c r="T96" s="111" t="str" cm="1">
        <f t="array" ref="T96">Common_InputFunctions.Utility_DisplayArrayInTable(Fertiliser_SourceData.Fertiliser_Products_Data1(),FertiliserProducts[[#Headers],[Include or Exclude]], 0)</f>
        <v/>
      </c>
      <c r="U96" s="111" t="str" cm="1">
        <f t="array" ref="U96">Common_InputFunctions.Utility_DisplayArrayInTable(Fertiliser_SourceData.Fertiliser_Products_Data1(),FertiliserProducts[[#Headers],[Include or Exclude]], 0)</f>
        <v/>
      </c>
      <c r="V96" s="37" t="str" cm="1">
        <f t="array" ref="V96">Common_InputFunctions.Utility_DisplayArrayInTable(Fertiliser_SourceData.Fertiliser_Products_Data1(),FertiliserProducts[[#Headers],[Include or Exclude]], 0)</f>
        <v/>
      </c>
      <c r="W96" s="37" t="str" cm="1">
        <f t="array" ref="W96">Common_InputFunctions.Utility_DisplayArrayInTable(Fertiliser_SourceData.Fertiliser_Products_Data1(),FertiliserProducts[[#Headers],[Include or Exclude]], 0)</f>
        <v/>
      </c>
      <c r="X96" s="37" t="str" cm="1">
        <f t="array" ref="X96">Common_InputFunctions.Utility_DisplayArrayInTable(Fertiliser_SourceData.Fertiliser_Products_Data1(),FertiliserProducts[[#Headers],[Include or Exclude]], 0)</f>
        <v/>
      </c>
      <c r="Y96" s="37" t="str" cm="1">
        <f t="array" ref="Y96">Common_InputFunctions.Utility_DisplayArrayInTable(Fertiliser_SourceData.Fertiliser_Products_Data1(),FertiliserProducts[[#Headers],[Include or Exclude]], 0)</f>
        <v/>
      </c>
      <c r="Z96" s="37" t="str" cm="1">
        <f t="array" ref="Z96">Common_InputFunctions.Utility_DisplayArrayInTable(Fertiliser_SourceData.Fertiliser_Products_Data1(),FertiliserProducts[[#Headers],[Include or Exclude]], 0)</f>
        <v/>
      </c>
      <c r="AA96" s="37" t="str" cm="1">
        <f t="array" ref="AA96">Common_InputFunctions.Utility_DisplayArrayInTable(Fertiliser_SourceData.Fertiliser_Products_Data1(),FertiliserProducts[[#Headers],[Include or Exclude]], 0)</f>
        <v/>
      </c>
      <c r="AB96" s="37" t="str" cm="1">
        <f t="array" ref="AB96">Common_InputFunctions.Utility_DisplayArrayInTable(Fertiliser_SourceData.Fertiliser_Products_Data1(),FertiliserProducts[[#Headers],[Include or Exclude]], 0)</f>
        <v/>
      </c>
      <c r="AC96" s="37" t="str" cm="1">
        <f t="array" ref="AC96">Common_InputFunctions.Utility_DisplayArrayInTable(Fertiliser_SourceData.Fertiliser_Products_Data1(),FertiliserProducts[[#Headers],[Include or Exclude]], 0)</f>
        <v/>
      </c>
      <c r="AD96" s="37" t="str" cm="1">
        <f t="array" ref="AD96">Common_InputFunctions.Utility_DisplayArrayInTable(Fertiliser_SourceData.Fertiliser_Products_Data1(),FertiliserProducts[[#Headers],[Include or Exclude]], 0)</f>
        <v/>
      </c>
      <c r="AE96" s="37" t="str" cm="1">
        <f t="array" ref="AE96">Common_InputFunctions.Utility_DisplayArrayInTable(Fertiliser_SourceData.Fertiliser_Products_Data1(),FertiliserProducts[[#Headers],[Include or Exclude]], 0)</f>
        <v/>
      </c>
    </row>
    <row r="97" spans="4:31" ht="20.100000000000001" customHeight="1" x14ac:dyDescent="0.25">
      <c r="D97" s="111" t="str" cm="1">
        <f t="array" ref="D97">Common_InputFunctions.Utility_DisplayArrayInTable(Fertiliser_SourceData.Fertiliser_Products_Data1(),FertiliserProducts[[#Headers],[Include or Exclude]], 0)</f>
        <v>Include - Absent ingredients &lt; 2%</v>
      </c>
      <c r="E97" s="111" t="str" cm="1">
        <f t="array" ref="E97">Common_InputFunctions.Utility_DisplayArrayInTable(Fertiliser_SourceData.Fertiliser_Products_Data1(),FertiliserProducts[[#Headers],[Include or Exclude]], 0)</f>
        <v>Amount of urea calculated from urea nitrogen amount</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Boost-It</v>
      </c>
      <c r="H97" s="111" t="str" cm="1">
        <f t="array" ref="H97">Common_InputFunctions.Utility_DisplayArrayInTable(Fertiliser_SourceData.Fertiliser_Products_Data1(),FertiliserProducts[[#Headers],[Include or Exclude]], 0)</f>
        <v>kg</v>
      </c>
      <c r="I97" s="111" cm="1">
        <f t="array" ref="I97">Common_InputFunctions.Utility_DisplayArrayInTable(Fertiliser_SourceData.Fertiliser_Products_Data1(),FertiliserProducts[[#Headers],[Include or Exclude]], 0)</f>
        <v>1</v>
      </c>
      <c r="J97" s="111" t="str" cm="1">
        <f t="array" ref="J97">Common_InputFunctions.Utility_DisplayArrayInTable(Fertiliser_SourceData.Fertiliser_Products_Data1(),FertiliserProducts[[#Headers],[Include or Exclude]], 0)</f>
        <v/>
      </c>
      <c r="K97" s="111" t="str" cm="1">
        <f t="array" ref="K97">Common_InputFunctions.Utility_DisplayArrayInTable(Fertiliser_SourceData.Fertiliser_Products_Data1(),FertiliserProducts[[#Headers],[Include or Exclude]], 0)</f>
        <v/>
      </c>
      <c r="L97" s="111" t="str" cm="1">
        <f t="array" ref="L97">Common_InputFunctions.Utility_DisplayArrayInTable(Fertiliser_SourceData.Fertiliser_Products_Data1(),FertiliserProducts[[#Headers],[Include or Exclude]], 0)</f>
        <v>Urea</v>
      </c>
      <c r="M97" s="37" cm="1">
        <f t="array" ref="M97">Common_InputFunctions.Utility_DisplayArrayInTable(Fertiliser_SourceData.Fertiliser_Products_Data1(),FertiliserProducts[[#Headers],[Include or Exclude]], 0)</f>
        <v>0.52173913000000005</v>
      </c>
      <c r="N97" s="111" t="str" cm="1">
        <f t="array" ref="N97">Common_InputFunctions.Utility_DisplayArrayInTable(Fertiliser_SourceData.Fertiliser_Products_Data1(),FertiliserProducts[[#Headers],[Include or Exclude]], 0)</f>
        <v>Potassium - Generic</v>
      </c>
      <c r="O97" s="111" cm="1">
        <f t="array" ref="O97">Common_InputFunctions.Utility_DisplayArrayInTable(Fertiliser_SourceData.Fertiliser_Products_Data1(),FertiliserProducts[[#Headers],[Include or Exclude]], 0)</f>
        <v>0.08</v>
      </c>
      <c r="P97" s="111" t="str" cm="1">
        <f t="array" ref="P97">Common_InputFunctions.Utility_DisplayArrayInTable(Fertiliser_SourceData.Fertiliser_Products_Data1(),FertiliserProducts[[#Headers],[Include or Exclude]], 0)</f>
        <v>Sulfur - Generic</v>
      </c>
      <c r="Q97" s="111" cm="1">
        <f t="array" ref="Q97">Common_InputFunctions.Utility_DisplayArrayInTable(Fertiliser_SourceData.Fertiliser_Products_Data1(),FertiliserProducts[[#Headers],[Include or Exclude]], 0)</f>
        <v>5.2999999999999999E-2</v>
      </c>
      <c r="R97" s="111" t="str" cm="1">
        <f t="array" ref="R97">Common_InputFunctions.Utility_DisplayArrayInTable(Fertiliser_SourceData.Fertiliser_Products_Data1(),FertiliserProducts[[#Headers],[Include or Exclude]], 0)</f>
        <v>Phosphorus - Generic</v>
      </c>
      <c r="S97" s="111" cm="1">
        <f t="array" ref="S97">Common_InputFunctions.Utility_DisplayArrayInTable(Fertiliser_SourceData.Fertiliser_Products_Data1(),FertiliserProducts[[#Headers],[Include or Exclude]], 0)</f>
        <v>5.1999999999999998E-2</v>
      </c>
      <c r="T97" s="111" t="str" cm="1">
        <f t="array" ref="T97">Common_InputFunctions.Utility_DisplayArrayInTable(Fertiliser_SourceData.Fertiliser_Products_Data1(),FertiliserProducts[[#Headers],[Include or Exclude]], 0)</f>
        <v>Magnesium</v>
      </c>
      <c r="U97" s="111" cm="1">
        <f t="array" ref="U97">Common_InputFunctions.Utility_DisplayArrayInTable(Fertiliser_SourceData.Fertiliser_Products_Data1(),FertiliserProducts[[#Headers],[Include or Exclude]], 0)</f>
        <v>1.2999999999999999E-2</v>
      </c>
      <c r="V97" s="37" t="str" cm="1">
        <f t="array" ref="V97">Common_InputFunctions.Utility_DisplayArrayInTable(Fertiliser_SourceData.Fertiliser_Products_Data1(),FertiliserProducts[[#Headers],[Include or Exclude]], 0)</f>
        <v>Zinc</v>
      </c>
      <c r="W97" s="37" cm="1">
        <f t="array" ref="W97">Common_InputFunctions.Utility_DisplayArrayInTable(Fertiliser_SourceData.Fertiliser_Products_Data1(),FertiliserProducts[[#Headers],[Include or Exclude]], 0)</f>
        <v>2E-3</v>
      </c>
      <c r="X97" s="37" t="str" cm="1">
        <f t="array" ref="X97">Common_InputFunctions.Utility_DisplayArrayInTable(Fertiliser_SourceData.Fertiliser_Products_Data1(),FertiliserProducts[[#Headers],[Include or Exclude]], 0)</f>
        <v>Manganese</v>
      </c>
      <c r="Y97" s="37" cm="1">
        <f t="array" ref="Y97">Common_InputFunctions.Utility_DisplayArrayInTable(Fertiliser_SourceData.Fertiliser_Products_Data1(),FertiliserProducts[[#Headers],[Include or Exclude]], 0)</f>
        <v>3.5000000000000001E-3</v>
      </c>
      <c r="Z97" s="37" t="str" cm="1">
        <f t="array" ref="Z97">Common_InputFunctions.Utility_DisplayArrayInTable(Fertiliser_SourceData.Fertiliser_Products_Data1(),FertiliserProducts[[#Headers],[Include or Exclude]], 0)</f>
        <v>Iron</v>
      </c>
      <c r="AA97" s="37" cm="1">
        <f t="array" ref="AA97">Common_InputFunctions.Utility_DisplayArrayInTable(Fertiliser_SourceData.Fertiliser_Products_Data1(),FertiliserProducts[[#Headers],[Include or Exclude]], 0)</f>
        <v>1.2999999999999999E-3</v>
      </c>
      <c r="AB97" s="37" t="str" cm="1">
        <f t="array" ref="AB97">Common_InputFunctions.Utility_DisplayArrayInTable(Fertiliser_SourceData.Fertiliser_Products_Data1(),FertiliserProducts[[#Headers],[Include or Exclude]], 0)</f>
        <v>Copper</v>
      </c>
      <c r="AC97" s="37" cm="1">
        <f t="array" ref="AC97">Common_InputFunctions.Utility_DisplayArrayInTable(Fertiliser_SourceData.Fertiliser_Products_Data1(),FertiliserProducts[[#Headers],[Include or Exclude]], 0)</f>
        <v>6.9999999999999999E-4</v>
      </c>
      <c r="AD97" s="37" t="str" cm="1">
        <f t="array" ref="AD97">Common_InputFunctions.Utility_DisplayArrayInTable(Fertiliser_SourceData.Fertiliser_Products_Data1(),FertiliserProducts[[#Headers],[Include or Exclude]], 0)</f>
        <v>Boron</v>
      </c>
      <c r="AE97" s="37" cm="1">
        <f t="array" ref="AE97">Common_InputFunctions.Utility_DisplayArrayInTable(Fertiliser_SourceData.Fertiliser_Products_Data1(),FertiliserProducts[[#Headers],[Include or Exclude]], 0)</f>
        <v>6.9999999999999999E-4</v>
      </c>
    </row>
    <row r="98" spans="4:31" ht="20.100000000000001" customHeight="1" x14ac:dyDescent="0.25">
      <c r="D98" s="111" t="str" cm="1">
        <f t="array" ref="D98">Common_InputFunctions.Utility_DisplayArrayInTable(Fertiliser_SourceData.Fertiliser_Products_Data1(),FertiliserProducts[[#Headers],[Include or Exclude]], 0)</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Bronze</v>
      </c>
      <c r="H98" s="111" t="str" cm="1">
        <f t="array" ref="H98">Common_InputFunctions.Utility_DisplayArrayInTable(Fertiliser_SourceData.Fertiliser_Products_Data1(),FertiliserProducts[[#Headers],[Include or Exclude]], 0)</f>
        <v>kg</v>
      </c>
      <c r="I98" s="111" cm="1">
        <f t="array" ref="I98">Common_InputFunctions.Utility_DisplayArrayInTable(Fertiliser_SourceData.Fertiliser_Products_Data1(),FertiliserProducts[[#Headers],[Include or Exclude]], 0)</f>
        <v>1</v>
      </c>
      <c r="J98" s="111" t="str" cm="1">
        <f t="array" ref="J98">Common_InputFunctions.Utility_DisplayArrayInTable(Fertiliser_SourceData.Fertiliser_Products_Data1(),FertiliserProducts[[#Headers],[Include or Exclude]], 0)</f>
        <v/>
      </c>
      <c r="K98" s="111" t="str" cm="1">
        <f t="array" ref="K98">Common_InputFunctions.Utility_DisplayArrayInTable(Fertiliser_SourceData.Fertiliser_Products_Data1(),FertiliserProducts[[#Headers],[Include or Exclude]], 0)</f>
        <v/>
      </c>
      <c r="L98" s="111" t="str" cm="1">
        <f t="array" ref="L98">Common_InputFunctions.Utility_DisplayArrayInTable(Fertiliser_SourceData.Fertiliser_Products_Data1(),FertiliserProducts[[#Headers],[Include or Exclude]], 0)</f>
        <v>Muriate of Potash (MOP)</v>
      </c>
      <c r="M98" s="37" cm="1">
        <f t="array" ref="M98">Common_InputFunctions.Utility_DisplayArrayInTable(Fertiliser_SourceData.Fertiliser_Products_Data1(),FertiliserProducts[[#Headers],[Include or Exclude]], 0)</f>
        <v>0.23200000000000001</v>
      </c>
      <c r="N98" s="111" t="str" cm="1">
        <f t="array" ref="N98">Common_InputFunctions.Utility_DisplayArrayInTable(Fertiliser_SourceData.Fertiliser_Products_Data1(),FertiliserProducts[[#Headers],[Include or Exclude]], 0)</f>
        <v>Nitrogen - Generic</v>
      </c>
      <c r="O98" s="111" cm="1">
        <f t="array" ref="O98">Common_InputFunctions.Utility_DisplayArrayInTable(Fertiliser_SourceData.Fertiliser_Products_Data1(),FertiliserProducts[[#Headers],[Include or Exclude]], 0)</f>
        <v>0.17</v>
      </c>
      <c r="P98" s="111" t="str" cm="1">
        <f t="array" ref="P98">Common_InputFunctions.Utility_DisplayArrayInTable(Fertiliser_SourceData.Fertiliser_Products_Data1(),FertiliserProducts[[#Headers],[Include or Exclude]], 0)</f>
        <v>Sulfur - Generic</v>
      </c>
      <c r="Q98" s="111" cm="1">
        <f t="array" ref="Q98">Common_InputFunctions.Utility_DisplayArrayInTable(Fertiliser_SourceData.Fertiliser_Products_Data1(),FertiliserProducts[[#Headers],[Include or Exclude]], 0)</f>
        <v>5.0000000000000001E-3</v>
      </c>
      <c r="R98" s="111" t="str" cm="1">
        <f t="array" ref="R98">Common_InputFunctions.Utility_DisplayArrayInTable(Fertiliser_SourceData.Fertiliser_Products_Data1(),FertiliserProducts[[#Headers],[Include or Exclude]], 0)</f>
        <v>Magnesium</v>
      </c>
      <c r="S98" s="111" cm="1">
        <f t="array" ref="S98">Common_InputFunctions.Utility_DisplayArrayInTable(Fertiliser_SourceData.Fertiliser_Products_Data1(),FertiliserProducts[[#Headers],[Include or Exclude]], 0)</f>
        <v>2.3999999999999998E-3</v>
      </c>
      <c r="T98" s="111" t="str" cm="1">
        <f t="array" ref="T98">Common_InputFunctions.Utility_DisplayArrayInTable(Fertiliser_SourceData.Fertiliser_Products_Data1(),FertiliserProducts[[#Headers],[Include or Exclude]], 0)</f>
        <v>Phosphorus - Generic</v>
      </c>
      <c r="U98" s="111" cm="1">
        <f t="array" ref="U98">Common_InputFunctions.Utility_DisplayArrayInTable(Fertiliser_SourceData.Fertiliser_Products_Data1(),FertiliserProducts[[#Headers],[Include or Exclude]], 0)</f>
        <v>4.0000000000000002E-4</v>
      </c>
      <c r="V98" s="37" t="str" cm="1">
        <f t="array" ref="V98">Common_InputFunctions.Utility_DisplayArrayInTable(Fertiliser_SourceData.Fertiliser_Products_Data1(),FertiliserProducts[[#Headers],[Include or Exclude]], 0)</f>
        <v/>
      </c>
      <c r="W98" s="37" t="str" cm="1">
        <f t="array" ref="W98">Common_InputFunctions.Utility_DisplayArrayInTable(Fertiliser_SourceData.Fertiliser_Products_Data1(),FertiliserProducts[[#Headers],[Include or Exclude]], 0)</f>
        <v/>
      </c>
      <c r="X98" s="37" t="str" cm="1">
        <f t="array" ref="X98">Common_InputFunctions.Utility_DisplayArrayInTable(Fertiliser_SourceData.Fertiliser_Products_Data1(),FertiliserProducts[[#Headers],[Include or Exclude]], 0)</f>
        <v/>
      </c>
      <c r="Y98" s="37" t="str" cm="1">
        <f t="array" ref="Y98">Common_InputFunctions.Utility_DisplayArrayInTable(Fertiliser_SourceData.Fertiliser_Products_Data1(),FertiliserProducts[[#Headers],[Include or Exclude]], 0)</f>
        <v/>
      </c>
      <c r="Z98" s="37" t="str" cm="1">
        <f t="array" ref="Z98">Common_InputFunctions.Utility_DisplayArrayInTable(Fertiliser_SourceData.Fertiliser_Products_Data1(),FertiliserProducts[[#Headers],[Include or Exclude]], 0)</f>
        <v/>
      </c>
      <c r="AA98" s="37" t="str" cm="1">
        <f t="array" ref="AA98">Common_InputFunctions.Utility_DisplayArrayInTable(Fertiliser_SourceData.Fertiliser_Products_Data1(),FertiliserProducts[[#Headers],[Include or Exclude]], 0)</f>
        <v/>
      </c>
      <c r="AB98" s="37" t="str" cm="1">
        <f t="array" ref="AB98">Common_InputFunctions.Utility_DisplayArrayInTable(Fertiliser_SourceData.Fertiliser_Products_Data1(),FertiliserProducts[[#Headers],[Include or Exclude]], 0)</f>
        <v/>
      </c>
      <c r="AC98" s="37" t="str" cm="1">
        <f t="array" ref="AC98">Common_InputFunctions.Utility_DisplayArrayInTable(Fertiliser_SourceData.Fertiliser_Products_Data1(),FertiliserProducts[[#Headers],[Include or Exclude]], 0)</f>
        <v/>
      </c>
      <c r="AD98" s="37" t="str" cm="1">
        <f t="array" ref="AD98">Common_InputFunctions.Utility_DisplayArrayInTable(Fertiliser_SourceData.Fertiliser_Products_Data1(),FertiliserProducts[[#Headers],[Include or Exclude]], 0)</f>
        <v/>
      </c>
      <c r="AE98" s="37" t="str" cm="1">
        <f t="array" ref="AE98">Common_InputFunctions.Utility_DisplayArrayInTable(Fertiliser_SourceData.Fertiliser_Products_Data1(),FertiliserProducts[[#Headers],[Include or Exclude]], 0)</f>
        <v/>
      </c>
    </row>
    <row r="99" spans="4:31" ht="20.100000000000001" customHeight="1" x14ac:dyDescent="0.25">
      <c r="D99" s="111" t="str" cm="1">
        <f t="array" ref="D99">Common_InputFunctions.Utility_DisplayArrayInTable(Fertiliser_SourceData.Fertiliser_Products_Data1(),FertiliserProducts[[#Headers],[Include or Exclude]], 0)</f>
        <v>Include</v>
      </c>
      <c r="E99" s="111" t="str" cm="1">
        <f t="array" ref="E99">Common_InputFunctions.Utility_DisplayArrayInTable(Fertiliser_SourceData.Fertiliser_Products_Data1(),FertiliserProducts[[#Headers],[Include or Exclude]], 0)</f>
        <v>50/50 nitrate and ammoniacal nitrogen (ammonium nitrate)</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Compass</v>
      </c>
      <c r="H99" s="111" t="str" cm="1">
        <f t="array" ref="H99">Common_InputFunctions.Utility_DisplayArrayInTable(Fertiliser_SourceData.Fertiliser_Products_Data1(),FertiliserProducts[[#Headers],[Include or Exclude]], 0)</f>
        <v>kg</v>
      </c>
      <c r="I99" s="111" cm="1">
        <f t="array" ref="I99">Common_InputFunctions.Utility_DisplayArrayInTable(Fertiliser_SourceData.Fertiliser_Products_Data1(),FertiliserProducts[[#Headers],[Include or Exclude]], 0)</f>
        <v>1</v>
      </c>
      <c r="J99" s="111" t="str" cm="1">
        <f t="array" ref="J99">Common_InputFunctions.Utility_DisplayArrayInTable(Fertiliser_SourceData.Fertiliser_Products_Data1(),FertiliserProducts[[#Headers],[Include or Exclude]], 0)</f>
        <v/>
      </c>
      <c r="K99" s="111" t="str" cm="1">
        <f t="array" ref="K99">Common_InputFunctions.Utility_DisplayArrayInTable(Fertiliser_SourceData.Fertiliser_Products_Data1(),FertiliserProducts[[#Headers],[Include or Exclude]], 0)</f>
        <v/>
      </c>
      <c r="L99" s="111" t="str" cm="1">
        <f t="array" ref="L99">Common_InputFunctions.Utility_DisplayArrayInTable(Fertiliser_SourceData.Fertiliser_Products_Data1(),FertiliserProducts[[#Headers],[Include or Exclude]], 0)</f>
        <v>Nitrogen - Ammoniacal</v>
      </c>
      <c r="M99" s="37" cm="1">
        <f t="array" ref="M99">Common_InputFunctions.Utility_DisplayArrayInTable(Fertiliser_SourceData.Fertiliser_Products_Data1(),FertiliserProducts[[#Headers],[Include or Exclude]], 0)</f>
        <v>7.4999999999999997E-2</v>
      </c>
      <c r="N99" s="111" t="str" cm="1">
        <f t="array" ref="N99">Common_InputFunctions.Utility_DisplayArrayInTable(Fertiliser_SourceData.Fertiliser_Products_Data1(),FertiliserProducts[[#Headers],[Include or Exclude]], 0)</f>
        <v>Nitrogen - Nitrate</v>
      </c>
      <c r="O99" s="111" cm="1">
        <f t="array" ref="O99">Common_InputFunctions.Utility_DisplayArrayInTable(Fertiliser_SourceData.Fertiliser_Products_Data1(),FertiliserProducts[[#Headers],[Include or Exclude]], 0)</f>
        <v>7.4999999999999997E-2</v>
      </c>
      <c r="P99" s="111" t="str" cm="1">
        <f t="array" ref="P99">Common_InputFunctions.Utility_DisplayArrayInTable(Fertiliser_SourceData.Fertiliser_Products_Data1(),FertiliserProducts[[#Headers],[Include or Exclude]], 0)</f>
        <v>Potassium - Generic</v>
      </c>
      <c r="Q99" s="111" cm="1">
        <f t="array" ref="Q99">Common_InputFunctions.Utility_DisplayArrayInTable(Fertiliser_SourceData.Fertiliser_Products_Data1(),FertiliserProducts[[#Headers],[Include or Exclude]], 0)</f>
        <v>0.125</v>
      </c>
      <c r="R99" s="111" t="str" cm="1">
        <f t="array" ref="R99">Common_InputFunctions.Utility_DisplayArrayInTable(Fertiliser_SourceData.Fertiliser_Products_Data1(),FertiliserProducts[[#Headers],[Include or Exclude]], 0)</f>
        <v>Phosphorus-Generic</v>
      </c>
      <c r="S99" s="111" cm="1">
        <f t="array" ref="S99">Common_InputFunctions.Utility_DisplayArrayInTable(Fertiliser_SourceData.Fertiliser_Products_Data1(),FertiliserProducts[[#Headers],[Include or Exclude]], 0)</f>
        <v>6.5000000000000002E-2</v>
      </c>
      <c r="T99" s="111" t="str" cm="1">
        <f t="array" ref="T99">Common_InputFunctions.Utility_DisplayArrayInTable(Fertiliser_SourceData.Fertiliser_Products_Data1(),FertiliserProducts[[#Headers],[Include or Exclude]], 0)</f>
        <v>Sulfur - Generic</v>
      </c>
      <c r="U99" s="111" cm="1">
        <f t="array" ref="U99">Common_InputFunctions.Utility_DisplayArrayInTable(Fertiliser_SourceData.Fertiliser_Products_Data1(),FertiliserProducts[[#Headers],[Include or Exclude]], 0)</f>
        <v>0.06</v>
      </c>
      <c r="V99" s="37" t="str" cm="1">
        <f t="array" ref="V99">Common_InputFunctions.Utility_DisplayArrayInTable(Fertiliser_SourceData.Fertiliser_Products_Data1(),FertiliserProducts[[#Headers],[Include or Exclude]], 0)</f>
        <v/>
      </c>
      <c r="W99" s="37" t="str" cm="1">
        <f t="array" ref="W99">Common_InputFunctions.Utility_DisplayArrayInTable(Fertiliser_SourceData.Fertiliser_Products_Data1(),FertiliserProducts[[#Headers],[Include or Exclude]], 0)</f>
        <v/>
      </c>
      <c r="X99" s="37" t="str" cm="1">
        <f t="array" ref="X99">Common_InputFunctions.Utility_DisplayArrayInTable(Fertiliser_SourceData.Fertiliser_Products_Data1(),FertiliserProducts[[#Headers],[Include or Exclude]], 0)</f>
        <v/>
      </c>
      <c r="Y99" s="37" t="str" cm="1">
        <f t="array" ref="Y99">Common_InputFunctions.Utility_DisplayArrayInTable(Fertiliser_SourceData.Fertiliser_Products_Data1(),FertiliserProducts[[#Headers],[Include or Exclude]], 0)</f>
        <v/>
      </c>
      <c r="Z99" s="37" t="str" cm="1">
        <f t="array" ref="Z99">Common_InputFunctions.Utility_DisplayArrayInTable(Fertiliser_SourceData.Fertiliser_Products_Data1(),FertiliserProducts[[#Headers],[Include or Exclude]], 0)</f>
        <v/>
      </c>
      <c r="AA99" s="37" t="str" cm="1">
        <f t="array" ref="AA99">Common_InputFunctions.Utility_DisplayArrayInTable(Fertiliser_SourceData.Fertiliser_Products_Data1(),FertiliserProducts[[#Headers],[Include or Exclude]], 0)</f>
        <v/>
      </c>
      <c r="AB99" s="37" t="str" cm="1">
        <f t="array" ref="AB99">Common_InputFunctions.Utility_DisplayArrayInTable(Fertiliser_SourceData.Fertiliser_Products_Data1(),FertiliserProducts[[#Headers],[Include or Exclude]], 0)</f>
        <v/>
      </c>
      <c r="AC99" s="37" t="str" cm="1">
        <f t="array" ref="AC99">Common_InputFunctions.Utility_DisplayArrayInTable(Fertiliser_SourceData.Fertiliser_Products_Data1(),FertiliserProducts[[#Headers],[Include or Exclude]], 0)</f>
        <v/>
      </c>
      <c r="AD99" s="37" t="str" cm="1">
        <f t="array" ref="AD99">Common_InputFunctions.Utility_DisplayArrayInTable(Fertiliser_SourceData.Fertiliser_Products_Data1(),FertiliserProducts[[#Headers],[Include or Exclude]], 0)</f>
        <v/>
      </c>
      <c r="AE99" s="37" t="str" cm="1">
        <f t="array" ref="AE99">Common_InputFunctions.Utility_DisplayArrayInTable(Fertiliser_SourceData.Fertiliser_Products_Data1(),FertiliserProducts[[#Headers],[Include or Exclude]], 0)</f>
        <v/>
      </c>
    </row>
    <row r="100" spans="4:31" ht="20.100000000000001" customHeight="1" x14ac:dyDescent="0.25">
      <c r="D100" s="111" t="str" cm="1">
        <f t="array" ref="D100">Common_InputFunctions.Utility_DisplayArrayInTable(Fertiliser_SourceData.Fertiliser_Products_Data1(),FertiliserProducts[[#Headers],[Include or Exclude]], 0)</f>
        <v>Include - Absent ingredients &lt; 2%</v>
      </c>
      <c r="E100" s="111" t="str" cm="1">
        <f t="array" ref="E100">Common_InputFunctions.Utility_DisplayArrayInTable(Fertiliser_SourceData.Fertiliser_Products_Data1(),FertiliserProducts[[#Headers],[Include or Exclude]], 0)</f>
        <v>Controlled release N treated as generic, Amount of urea calculated from urea nitrogen amount</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CoRoN 12-0-10</v>
      </c>
      <c r="H100" s="111" t="str" cm="1">
        <f t="array" ref="H100">Common_InputFunctions.Utility_DisplayArrayInTable(Fertiliser_SourceData.Fertiliser_Products_Data1(),FertiliserProducts[[#Headers],[Include or Exclude]], 0)</f>
        <v>L</v>
      </c>
      <c r="I100" s="111" cm="1">
        <f t="array" ref="I100">Common_InputFunctions.Utility_DisplayArrayInTable(Fertiliser_SourceData.Fertiliser_Products_Data1(),FertiliserProducts[[#Headers],[Include or Exclude]], 0)</f>
        <v>1.2150000000000001</v>
      </c>
      <c r="J100" s="111" t="str" cm="1">
        <f t="array" ref="J100">Common_InputFunctions.Utility_DisplayArrayInTable(Fertiliser_SourceData.Fertiliser_Products_Data1(),FertiliserProducts[[#Headers],[Include or Exclude]], 0)</f>
        <v/>
      </c>
      <c r="K100" s="111" t="str" cm="1">
        <f t="array" ref="K100">Common_InputFunctions.Utility_DisplayArrayInTable(Fertiliser_SourceData.Fertiliser_Products_Data1(),FertiliserProducts[[#Headers],[Include or Exclude]], 0)</f>
        <v/>
      </c>
      <c r="L100" s="111" t="str" cm="1">
        <f t="array" ref="L100">Common_InputFunctions.Utility_DisplayArrayInTable(Fertiliser_SourceData.Fertiliser_Products_Data1(),FertiliserProducts[[#Headers],[Include or Exclude]], 0)</f>
        <v>Urea</v>
      </c>
      <c r="M100" s="37" cm="1">
        <f t="array" ref="M100">Common_InputFunctions.Utility_DisplayArrayInTable(Fertiliser_SourceData.Fertiliser_Products_Data1(),FertiliserProducts[[#Headers],[Include or Exclude]], 0)</f>
        <v>0.19565217400000001</v>
      </c>
      <c r="N100" s="111" t="str" cm="1">
        <f t="array" ref="N100">Common_InputFunctions.Utility_DisplayArrayInTable(Fertiliser_SourceData.Fertiliser_Products_Data1(),FertiliserProducts[[#Headers],[Include or Exclude]], 0)</f>
        <v>Potassium - Generic</v>
      </c>
      <c r="O100" s="111" cm="1">
        <f t="array" ref="O100">Common_InputFunctions.Utility_DisplayArrayInTable(Fertiliser_SourceData.Fertiliser_Products_Data1(),FertiliserProducts[[#Headers],[Include or Exclude]], 0)</f>
        <v>0.1</v>
      </c>
      <c r="P100" s="111" t="str" cm="1">
        <f t="array" ref="P100">Common_InputFunctions.Utility_DisplayArrayInTable(Fertiliser_SourceData.Fertiliser_Products_Data1(),FertiliserProducts[[#Headers],[Include or Exclude]], 0)</f>
        <v>Nitrogen - Generic</v>
      </c>
      <c r="Q100" s="111" cm="1">
        <f t="array" ref="Q100">Common_InputFunctions.Utility_DisplayArrayInTable(Fertiliser_SourceData.Fertiliser_Products_Data1(),FertiliserProducts[[#Headers],[Include or Exclude]], 0)</f>
        <v>0.03</v>
      </c>
      <c r="R100" s="111" t="str" cm="1">
        <f t="array" ref="R100">Common_InputFunctions.Utility_DisplayArrayInTable(Fertiliser_SourceData.Fertiliser_Products_Data1(),FertiliserProducts[[#Headers],[Include or Exclude]], 0)</f>
        <v>Boron</v>
      </c>
      <c r="S100" s="111" cm="1">
        <f t="array" ref="S100">Common_InputFunctions.Utility_DisplayArrayInTable(Fertiliser_SourceData.Fertiliser_Products_Data1(),FertiliserProducts[[#Headers],[Include or Exclude]], 0)</f>
        <v>5.0000000000000001E-3</v>
      </c>
      <c r="T100" s="111" t="str" cm="1">
        <f t="array" ref="T100">Common_InputFunctions.Utility_DisplayArrayInTable(Fertiliser_SourceData.Fertiliser_Products_Data1(),FertiliserProducts[[#Headers],[Include or Exclude]], 0)</f>
        <v/>
      </c>
      <c r="U100" s="111" t="str" cm="1">
        <f t="array" ref="U100">Common_InputFunctions.Utility_DisplayArrayInTable(Fertiliser_SourceData.Fertiliser_Products_Data1(),FertiliserProducts[[#Headers],[Include or Exclude]], 0)</f>
        <v/>
      </c>
      <c r="V100" s="37" t="str" cm="1">
        <f t="array" ref="V100">Common_InputFunctions.Utility_DisplayArrayInTable(Fertiliser_SourceData.Fertiliser_Products_Data1(),FertiliserProducts[[#Headers],[Include or Exclude]], 0)</f>
        <v/>
      </c>
      <c r="W100" s="37" t="str" cm="1">
        <f t="array" ref="W100">Common_InputFunctions.Utility_DisplayArrayInTable(Fertiliser_SourceData.Fertiliser_Products_Data1(),FertiliserProducts[[#Headers],[Include or Exclude]], 0)</f>
        <v/>
      </c>
      <c r="X100" s="37" t="str" cm="1">
        <f t="array" ref="X100">Common_InputFunctions.Utility_DisplayArrayInTable(Fertiliser_SourceData.Fertiliser_Products_Data1(),FertiliserProducts[[#Headers],[Include or Exclude]], 0)</f>
        <v/>
      </c>
      <c r="Y100" s="37" t="str" cm="1">
        <f t="array" ref="Y100">Common_InputFunctions.Utility_DisplayArrayInTable(Fertiliser_SourceData.Fertiliser_Products_Data1(),FertiliserProducts[[#Headers],[Include or Exclude]], 0)</f>
        <v/>
      </c>
      <c r="Z100" s="37" t="str" cm="1">
        <f t="array" ref="Z100">Common_InputFunctions.Utility_DisplayArrayInTable(Fertiliser_SourceData.Fertiliser_Products_Data1(),FertiliserProducts[[#Headers],[Include or Exclude]], 0)</f>
        <v/>
      </c>
      <c r="AA100" s="37" t="str" cm="1">
        <f t="array" ref="AA100">Common_InputFunctions.Utility_DisplayArrayInTable(Fertiliser_SourceData.Fertiliser_Products_Data1(),FertiliserProducts[[#Headers],[Include or Exclude]], 0)</f>
        <v/>
      </c>
      <c r="AB100" s="37" t="str" cm="1">
        <f t="array" ref="AB100">Common_InputFunctions.Utility_DisplayArrayInTable(Fertiliser_SourceData.Fertiliser_Products_Data1(),FertiliserProducts[[#Headers],[Include or Exclude]], 0)</f>
        <v/>
      </c>
      <c r="AC100" s="37" t="str" cm="1">
        <f t="array" ref="AC100">Common_InputFunctions.Utility_DisplayArrayInTable(Fertiliser_SourceData.Fertiliser_Products_Data1(),FertiliserProducts[[#Headers],[Include or Exclude]], 0)</f>
        <v/>
      </c>
      <c r="AD100" s="37" t="str" cm="1">
        <f t="array" ref="AD100">Common_InputFunctions.Utility_DisplayArrayInTable(Fertiliser_SourceData.Fertiliser_Products_Data1(),FertiliserProducts[[#Headers],[Include or Exclude]], 0)</f>
        <v/>
      </c>
      <c r="AE100" s="37" t="str" cm="1">
        <f t="array" ref="AE100">Common_InputFunctions.Utility_DisplayArrayInTable(Fertiliser_SourceData.Fertiliser_Products_Data1(),FertiliserProducts[[#Headers],[Include or Exclude]], 0)</f>
        <v/>
      </c>
    </row>
    <row r="101" spans="4:31" ht="20.100000000000001" customHeight="1" x14ac:dyDescent="0.25">
      <c r="D101" s="111" t="str" cm="1">
        <f t="array" ref="D101">Common_InputFunctions.Utility_DisplayArrayInTable(Fertiliser_SourceData.Fertiliser_Products_Data1(),FertiliserProducts[[#Headers],[Include or Exclude]], 0)</f>
        <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
      </c>
      <c r="G101" s="111" t="str" cm="1">
        <f t="array" ref="G101">Common_InputFunctions.Utility_DisplayArrayInTable(Fertiliser_SourceData.Fertiliser_Products_Data1(),FertiliserProducts[[#Headers],[Include or Exclude]], 0)</f>
        <v/>
      </c>
      <c r="H101" s="111" t="str" cm="1">
        <f t="array" ref="H101">Common_InputFunctions.Utility_DisplayArrayInTable(Fertiliser_SourceData.Fertiliser_Products_Data1(),FertiliserProducts[[#Headers],[Include or Exclude]], 0)</f>
        <v/>
      </c>
      <c r="I101" s="111" t="str" cm="1">
        <f t="array" ref="I101">Common_InputFunctions.Utility_DisplayArrayInTable(Fertiliser_SourceData.Fertiliser_Products_Data1(),FertiliserProducts[[#Headers],[Include or Exclude]], 0)</f>
        <v/>
      </c>
      <c r="J101" s="111" t="str" cm="1">
        <f t="array" ref="J101">Common_InputFunctions.Utility_DisplayArrayInTable(Fertiliser_SourceData.Fertiliser_Products_Data1(),FertiliserProducts[[#Headers],[Include or Exclude]], 0)</f>
        <v/>
      </c>
      <c r="K101" s="111" t="str" cm="1">
        <f t="array" ref="K101">Common_InputFunctions.Utility_DisplayArrayInTable(Fertiliser_SourceData.Fertiliser_Products_Data1(),FertiliserProducts[[#Headers],[Include or Exclude]], 0)</f>
        <v/>
      </c>
      <c r="L101" s="111" t="str" cm="1">
        <f t="array" ref="L101">Common_InputFunctions.Utility_DisplayArrayInTable(Fertiliser_SourceData.Fertiliser_Products_Data1(),FertiliserProducts[[#Headers],[Include or Exclude]], 0)</f>
        <v/>
      </c>
      <c r="M101" s="37" t="str" cm="1">
        <f t="array" ref="M101">Common_InputFunctions.Utility_DisplayArrayInTable(Fertiliser_SourceData.Fertiliser_Products_Data1(),FertiliserProducts[[#Headers],[Include or Exclude]], 0)</f>
        <v/>
      </c>
      <c r="N101" s="111" t="str" cm="1">
        <f t="array" ref="N101">Common_InputFunctions.Utility_DisplayArrayInTable(Fertiliser_SourceData.Fertiliser_Products_Data1(),FertiliserProducts[[#Headers],[Include or Exclude]], 0)</f>
        <v/>
      </c>
      <c r="O101" s="111" t="str" cm="1">
        <f t="array" ref="O101">Common_InputFunctions.Utility_DisplayArrayInTable(Fertiliser_SourceData.Fertiliser_Products_Data1(),FertiliserProducts[[#Headers],[Include or Exclude]], 0)</f>
        <v/>
      </c>
      <c r="P101" s="111" t="str" cm="1">
        <f t="array" ref="P101">Common_InputFunctions.Utility_DisplayArrayInTable(Fertiliser_SourceData.Fertiliser_Products_Data1(),FertiliserProducts[[#Headers],[Include or Exclude]], 0)</f>
        <v/>
      </c>
      <c r="Q101" s="111" t="str" cm="1">
        <f t="array" ref="Q101">Common_InputFunctions.Utility_DisplayArrayInTable(Fertiliser_SourceData.Fertiliser_Products_Data1(),FertiliserProducts[[#Headers],[Include or Exclude]], 0)</f>
        <v/>
      </c>
      <c r="R101" s="111" t="str" cm="1">
        <f t="array" ref="R101">Common_InputFunctions.Utility_DisplayArrayInTable(Fertiliser_SourceData.Fertiliser_Products_Data1(),FertiliserProducts[[#Headers],[Include or Exclude]], 0)</f>
        <v/>
      </c>
      <c r="S101" s="111" t="str" cm="1">
        <f t="array" ref="S101">Common_InputFunctions.Utility_DisplayArrayInTable(Fertiliser_SourceData.Fertiliser_Products_Data1(),FertiliserProducts[[#Headers],[Include or Exclude]], 0)</f>
        <v/>
      </c>
      <c r="T101" s="111" t="str" cm="1">
        <f t="array" ref="T101">Common_InputFunctions.Utility_DisplayArrayInTable(Fertiliser_SourceData.Fertiliser_Products_Data1(),FertiliserProducts[[#Headers],[Include or Exclude]], 0)</f>
        <v/>
      </c>
      <c r="U101" s="111" t="str" cm="1">
        <f t="array" ref="U101">Common_InputFunctions.Utility_DisplayArrayInTable(Fertiliser_SourceData.Fertiliser_Products_Data1(),FertiliserProducts[[#Headers],[Include or Exclude]], 0)</f>
        <v/>
      </c>
      <c r="V101" s="37" t="str" cm="1">
        <f t="array" ref="V101">Common_InputFunctions.Utility_DisplayArrayInTable(Fertiliser_SourceData.Fertiliser_Products_Data1(),FertiliserProducts[[#Headers],[Include or Exclude]], 0)</f>
        <v/>
      </c>
      <c r="W101" s="37" t="str" cm="1">
        <f t="array" ref="W101">Common_InputFunctions.Utility_DisplayArrayInTable(Fertiliser_SourceData.Fertiliser_Products_Data1(),FertiliserProducts[[#Headers],[Include or Exclude]], 0)</f>
        <v/>
      </c>
      <c r="X101" s="37" t="str" cm="1">
        <f t="array" ref="X101">Common_InputFunctions.Utility_DisplayArrayInTable(Fertiliser_SourceData.Fertiliser_Products_Data1(),FertiliserProducts[[#Headers],[Include or Exclude]], 0)</f>
        <v/>
      </c>
      <c r="Y101" s="37" t="str" cm="1">
        <f t="array" ref="Y101">Common_InputFunctions.Utility_DisplayArrayInTable(Fertiliser_SourceData.Fertiliser_Products_Data1(),FertiliserProducts[[#Headers],[Include or Exclude]], 0)</f>
        <v/>
      </c>
      <c r="Z101" s="37" t="str" cm="1">
        <f t="array" ref="Z101">Common_InputFunctions.Utility_DisplayArrayInTable(Fertiliser_SourceData.Fertiliser_Products_Data1(),FertiliserProducts[[#Headers],[Include or Exclude]], 0)</f>
        <v/>
      </c>
      <c r="AA101" s="37" t="str" cm="1">
        <f t="array" ref="AA101">Common_InputFunctions.Utility_DisplayArrayInTable(Fertiliser_SourceData.Fertiliser_Products_Data1(),FertiliserProducts[[#Headers],[Include or Exclude]], 0)</f>
        <v/>
      </c>
      <c r="AB101" s="37" t="str" cm="1">
        <f t="array" ref="AB101">Common_InputFunctions.Utility_DisplayArrayInTable(Fertiliser_SourceData.Fertiliser_Products_Data1(),FertiliserProducts[[#Headers],[Include or Exclude]], 0)</f>
        <v/>
      </c>
      <c r="AC101" s="37" t="str" cm="1">
        <f t="array" ref="AC101">Common_InputFunctions.Utility_DisplayArrayInTable(Fertiliser_SourceData.Fertiliser_Products_Data1(),FertiliserProducts[[#Headers],[Include or Exclude]], 0)</f>
        <v/>
      </c>
      <c r="AD101" s="37" t="str" cm="1">
        <f t="array" ref="AD101">Common_InputFunctions.Utility_DisplayArrayInTable(Fertiliser_SourceData.Fertiliser_Products_Data1(),FertiliserProducts[[#Headers],[Include or Exclude]], 0)</f>
        <v/>
      </c>
      <c r="AE101" s="37" t="str" cm="1">
        <f t="array" ref="AE101">Common_InputFunctions.Utility_DisplayArrayInTable(Fertiliser_SourceData.Fertiliser_Products_Data1(),FertiliserProducts[[#Headers],[Include or Exclude]], 0)</f>
        <v/>
      </c>
    </row>
    <row r="102" spans="4:31" ht="20.100000000000001" customHeight="1" x14ac:dyDescent="0.25">
      <c r="D102" s="111" t="str" cm="1">
        <f t="array" ref="D102">Common_InputFunctions.Utility_DisplayArrayInTable(Fertiliser_SourceData.Fertiliser_Products_Data1(),FertiliserProducts[[#Headers],[Include or Exclude]], 0)</f>
        <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
      </c>
      <c r="G102" s="111" t="str" cm="1">
        <f t="array" ref="G102">Common_InputFunctions.Utility_DisplayArrayInTable(Fertiliser_SourceData.Fertiliser_Products_Data1(),FertiliserProducts[[#Headers],[Include or Exclude]], 0)</f>
        <v/>
      </c>
      <c r="H102" s="111" t="str" cm="1">
        <f t="array" ref="H102">Common_InputFunctions.Utility_DisplayArrayInTable(Fertiliser_SourceData.Fertiliser_Products_Data1(),FertiliserProducts[[#Headers],[Include or Exclude]], 0)</f>
        <v/>
      </c>
      <c r="I102" s="111" t="str" cm="1">
        <f t="array" ref="I102">Common_InputFunctions.Utility_DisplayArrayInTable(Fertiliser_SourceData.Fertiliser_Products_Data1(),FertiliserProducts[[#Headers],[Include or Exclude]], 0)</f>
        <v/>
      </c>
      <c r="J102" s="111" t="str" cm="1">
        <f t="array" ref="J102">Common_InputFunctions.Utility_DisplayArrayInTable(Fertiliser_SourceData.Fertiliser_Products_Data1(),FertiliserProducts[[#Headers],[Include or Exclude]], 0)</f>
        <v/>
      </c>
      <c r="K102" s="111" t="str" cm="1">
        <f t="array" ref="K102">Common_InputFunctions.Utility_DisplayArrayInTable(Fertiliser_SourceData.Fertiliser_Products_Data1(),FertiliserProducts[[#Headers],[Include or Exclude]], 0)</f>
        <v/>
      </c>
      <c r="L102" s="111" t="str" cm="1">
        <f t="array" ref="L102">Common_InputFunctions.Utility_DisplayArrayInTable(Fertiliser_SourceData.Fertiliser_Products_Data1(),FertiliserProducts[[#Headers],[Include or Exclude]], 0)</f>
        <v/>
      </c>
      <c r="M102" s="37" t="str" cm="1">
        <f t="array" ref="M102">Common_InputFunctions.Utility_DisplayArrayInTable(Fertiliser_SourceData.Fertiliser_Products_Data1(),FertiliserProducts[[#Headers],[Include or Exclude]], 0)</f>
        <v/>
      </c>
      <c r="N102" s="111" t="str" cm="1">
        <f t="array" ref="N102">Common_InputFunctions.Utility_DisplayArrayInTable(Fertiliser_SourceData.Fertiliser_Products_Data1(),FertiliserProducts[[#Headers],[Include or Exclude]], 0)</f>
        <v/>
      </c>
      <c r="O102" s="111" t="str" cm="1">
        <f t="array" ref="O102">Common_InputFunctions.Utility_DisplayArrayInTable(Fertiliser_SourceData.Fertiliser_Products_Data1(),FertiliserProducts[[#Headers],[Include or Exclude]], 0)</f>
        <v/>
      </c>
      <c r="P102" s="111" t="str" cm="1">
        <f t="array" ref="P102">Common_InputFunctions.Utility_DisplayArrayInTable(Fertiliser_SourceData.Fertiliser_Products_Data1(),FertiliserProducts[[#Headers],[Include or Exclude]], 0)</f>
        <v/>
      </c>
      <c r="Q102" s="111" t="str" cm="1">
        <f t="array" ref="Q102">Common_InputFunctions.Utility_DisplayArrayInTable(Fertiliser_SourceData.Fertiliser_Products_Data1(),FertiliserProducts[[#Headers],[Include or Exclude]], 0)</f>
        <v/>
      </c>
      <c r="R102" s="111" t="str" cm="1">
        <f t="array" ref="R102">Common_InputFunctions.Utility_DisplayArrayInTable(Fertiliser_SourceData.Fertiliser_Products_Data1(),FertiliserProducts[[#Headers],[Include or Exclude]], 0)</f>
        <v/>
      </c>
      <c r="S102" s="111" t="str" cm="1">
        <f t="array" ref="S102">Common_InputFunctions.Utility_DisplayArrayInTable(Fertiliser_SourceData.Fertiliser_Products_Data1(),FertiliserProducts[[#Headers],[Include or Exclude]], 0)</f>
        <v/>
      </c>
      <c r="T102" s="111" t="str" cm="1">
        <f t="array" ref="T102">Common_InputFunctions.Utility_DisplayArrayInTable(Fertiliser_SourceData.Fertiliser_Products_Data1(),FertiliserProducts[[#Headers],[Include or Exclude]], 0)</f>
        <v/>
      </c>
      <c r="U102" s="111" t="str" cm="1">
        <f t="array" ref="U102">Common_InputFunctions.Utility_DisplayArrayInTable(Fertiliser_SourceData.Fertiliser_Products_Data1(),FertiliserProducts[[#Headers],[Include or Exclude]], 0)</f>
        <v/>
      </c>
      <c r="V102" s="37" t="str" cm="1">
        <f t="array" ref="V102">Common_InputFunctions.Utility_DisplayArrayInTable(Fertiliser_SourceData.Fertiliser_Products_Data1(),FertiliserProducts[[#Headers],[Include or Exclude]], 0)</f>
        <v/>
      </c>
      <c r="W102" s="37" t="str" cm="1">
        <f t="array" ref="W102">Common_InputFunctions.Utility_DisplayArrayInTable(Fertiliser_SourceData.Fertiliser_Products_Data1(),FertiliserProducts[[#Headers],[Include or Exclude]], 0)</f>
        <v/>
      </c>
      <c r="X102" s="37" t="str" cm="1">
        <f t="array" ref="X102">Common_InputFunctions.Utility_DisplayArrayInTable(Fertiliser_SourceData.Fertiliser_Products_Data1(),FertiliserProducts[[#Headers],[Include or Exclude]], 0)</f>
        <v/>
      </c>
      <c r="Y102" s="37" t="str" cm="1">
        <f t="array" ref="Y102">Common_InputFunctions.Utility_DisplayArrayInTable(Fertiliser_SourceData.Fertiliser_Products_Data1(),FertiliserProducts[[#Headers],[Include or Exclude]], 0)</f>
        <v/>
      </c>
      <c r="Z102" s="37" t="str" cm="1">
        <f t="array" ref="Z102">Common_InputFunctions.Utility_DisplayArrayInTable(Fertiliser_SourceData.Fertiliser_Products_Data1(),FertiliserProducts[[#Headers],[Include or Exclude]], 0)</f>
        <v/>
      </c>
      <c r="AA102" s="37" t="str" cm="1">
        <f t="array" ref="AA102">Common_InputFunctions.Utility_DisplayArrayInTable(Fertiliser_SourceData.Fertiliser_Products_Data1(),FertiliserProducts[[#Headers],[Include or Exclude]], 0)</f>
        <v/>
      </c>
      <c r="AB102" s="37" t="str" cm="1">
        <f t="array" ref="AB102">Common_InputFunctions.Utility_DisplayArrayInTable(Fertiliser_SourceData.Fertiliser_Products_Data1(),FertiliserProducts[[#Headers],[Include or Exclude]], 0)</f>
        <v/>
      </c>
      <c r="AC102" s="37" t="str" cm="1">
        <f t="array" ref="AC102">Common_InputFunctions.Utility_DisplayArrayInTable(Fertiliser_SourceData.Fertiliser_Products_Data1(),FertiliserProducts[[#Headers],[Include or Exclude]], 0)</f>
        <v/>
      </c>
      <c r="AD102" s="37" t="str" cm="1">
        <f t="array" ref="AD102">Common_InputFunctions.Utility_DisplayArrayInTable(Fertiliser_SourceData.Fertiliser_Products_Data1(),FertiliserProducts[[#Headers],[Include or Exclude]], 0)</f>
        <v/>
      </c>
      <c r="AE102" s="37" t="str" cm="1">
        <f t="array" ref="AE102">Common_InputFunctions.Utility_DisplayArrayInTable(Fertiliser_SourceData.Fertiliser_Products_Data1(),FertiliserProducts[[#Headers],[Include or Exclude]], 0)</f>
        <v/>
      </c>
    </row>
    <row r="103" spans="4:31" ht="20.100000000000001" customHeight="1" x14ac:dyDescent="0.25">
      <c r="D103" s="111" t="str" cm="1">
        <f t="array" ref="D103">Common_InputFunctions.Utility_DisplayArrayInTable(Fertiliser_SourceData.Fertiliser_Products_Data1(),FertiliserProducts[[#Headers],[Include or Exclude]], 0)</f>
        <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
      </c>
      <c r="G103" s="111" t="str" cm="1">
        <f t="array" ref="G103">Common_InputFunctions.Utility_DisplayArrayInTable(Fertiliser_SourceData.Fertiliser_Products_Data1(),FertiliserProducts[[#Headers],[Include or Exclude]], 0)</f>
        <v/>
      </c>
      <c r="H103" s="111" t="str" cm="1">
        <f t="array" ref="H103">Common_InputFunctions.Utility_DisplayArrayInTable(Fertiliser_SourceData.Fertiliser_Products_Data1(),FertiliserProducts[[#Headers],[Include or Exclude]], 0)</f>
        <v/>
      </c>
      <c r="I103" s="111" t="str" cm="1">
        <f t="array" ref="I103">Common_InputFunctions.Utility_DisplayArrayInTable(Fertiliser_SourceData.Fertiliser_Products_Data1(),FertiliserProducts[[#Headers],[Include or Exclude]], 0)</f>
        <v/>
      </c>
      <c r="J103" s="111" t="str" cm="1">
        <f t="array" ref="J103">Common_InputFunctions.Utility_DisplayArrayInTable(Fertiliser_SourceData.Fertiliser_Products_Data1(),FertiliserProducts[[#Headers],[Include or Exclude]], 0)</f>
        <v/>
      </c>
      <c r="K103" s="111" t="str" cm="1">
        <f t="array" ref="K103">Common_InputFunctions.Utility_DisplayArrayInTable(Fertiliser_SourceData.Fertiliser_Products_Data1(),FertiliserProducts[[#Headers],[Include or Exclude]], 0)</f>
        <v/>
      </c>
      <c r="L103" s="111" t="str" cm="1">
        <f t="array" ref="L103">Common_InputFunctions.Utility_DisplayArrayInTable(Fertiliser_SourceData.Fertiliser_Products_Data1(),FertiliserProducts[[#Headers],[Include or Exclude]], 0)</f>
        <v/>
      </c>
      <c r="M103" s="37" t="str" cm="1">
        <f t="array" ref="M103">Common_InputFunctions.Utility_DisplayArrayInTable(Fertiliser_SourceData.Fertiliser_Products_Data1(),FertiliserProducts[[#Headers],[Include or Exclude]], 0)</f>
        <v/>
      </c>
      <c r="N103" s="111" t="str" cm="1">
        <f t="array" ref="N103">Common_InputFunctions.Utility_DisplayArrayInTable(Fertiliser_SourceData.Fertiliser_Products_Data1(),FertiliserProducts[[#Headers],[Include or Exclude]], 0)</f>
        <v/>
      </c>
      <c r="O103" s="111" t="str" cm="1">
        <f t="array" ref="O103">Common_InputFunctions.Utility_DisplayArrayInTable(Fertiliser_SourceData.Fertiliser_Products_Data1(),FertiliserProducts[[#Headers],[Include or Exclude]], 0)</f>
        <v/>
      </c>
      <c r="P103" s="111" t="str" cm="1">
        <f t="array" ref="P103">Common_InputFunctions.Utility_DisplayArrayInTable(Fertiliser_SourceData.Fertiliser_Products_Data1(),FertiliserProducts[[#Headers],[Include or Exclude]], 0)</f>
        <v/>
      </c>
      <c r="Q103" s="111" t="str" cm="1">
        <f t="array" ref="Q103">Common_InputFunctions.Utility_DisplayArrayInTable(Fertiliser_SourceData.Fertiliser_Products_Data1(),FertiliserProducts[[#Headers],[Include or Exclude]], 0)</f>
        <v/>
      </c>
      <c r="R103" s="111" t="str" cm="1">
        <f t="array" ref="R103">Common_InputFunctions.Utility_DisplayArrayInTable(Fertiliser_SourceData.Fertiliser_Products_Data1(),FertiliserProducts[[#Headers],[Include or Exclude]], 0)</f>
        <v/>
      </c>
      <c r="S103" s="111" t="str" cm="1">
        <f t="array" ref="S103">Common_InputFunctions.Utility_DisplayArrayInTable(Fertiliser_SourceData.Fertiliser_Products_Data1(),FertiliserProducts[[#Headers],[Include or Exclude]], 0)</f>
        <v/>
      </c>
      <c r="T103" s="111" t="str" cm="1">
        <f t="array" ref="T103">Common_InputFunctions.Utility_DisplayArrayInTable(Fertiliser_SourceData.Fertiliser_Products_Data1(),FertiliserProducts[[#Headers],[Include or Exclude]], 0)</f>
        <v/>
      </c>
      <c r="U103" s="111" t="str" cm="1">
        <f t="array" ref="U103">Common_InputFunctions.Utility_DisplayArrayInTable(Fertiliser_SourceData.Fertiliser_Products_Data1(),FertiliserProducts[[#Headers],[Include or Exclude]], 0)</f>
        <v/>
      </c>
      <c r="V103" s="37" t="str" cm="1">
        <f t="array" ref="V103">Common_InputFunctions.Utility_DisplayArrayInTable(Fertiliser_SourceData.Fertiliser_Products_Data1(),FertiliserProducts[[#Headers],[Include or Exclude]], 0)</f>
        <v/>
      </c>
      <c r="W103" s="37" t="str" cm="1">
        <f t="array" ref="W103">Common_InputFunctions.Utility_DisplayArrayInTable(Fertiliser_SourceData.Fertiliser_Products_Data1(),FertiliserProducts[[#Headers],[Include or Exclude]], 0)</f>
        <v/>
      </c>
      <c r="X103" s="37" t="str" cm="1">
        <f t="array" ref="X103">Common_InputFunctions.Utility_DisplayArrayInTable(Fertiliser_SourceData.Fertiliser_Products_Data1(),FertiliserProducts[[#Headers],[Include or Exclude]], 0)</f>
        <v/>
      </c>
      <c r="Y103" s="37" t="str" cm="1">
        <f t="array" ref="Y103">Common_InputFunctions.Utility_DisplayArrayInTable(Fertiliser_SourceData.Fertiliser_Products_Data1(),FertiliserProducts[[#Headers],[Include or Exclude]], 0)</f>
        <v/>
      </c>
      <c r="Z103" s="37" t="str" cm="1">
        <f t="array" ref="Z103">Common_InputFunctions.Utility_DisplayArrayInTable(Fertiliser_SourceData.Fertiliser_Products_Data1(),FertiliserProducts[[#Headers],[Include or Exclude]], 0)</f>
        <v/>
      </c>
      <c r="AA103" s="37" t="str" cm="1">
        <f t="array" ref="AA103">Common_InputFunctions.Utility_DisplayArrayInTable(Fertiliser_SourceData.Fertiliser_Products_Data1(),FertiliserProducts[[#Headers],[Include or Exclude]], 0)</f>
        <v/>
      </c>
      <c r="AB103" s="37" t="str" cm="1">
        <f t="array" ref="AB103">Common_InputFunctions.Utility_DisplayArrayInTable(Fertiliser_SourceData.Fertiliser_Products_Data1(),FertiliserProducts[[#Headers],[Include or Exclude]], 0)</f>
        <v/>
      </c>
      <c r="AC103" s="37" t="str" cm="1">
        <f t="array" ref="AC103">Common_InputFunctions.Utility_DisplayArrayInTable(Fertiliser_SourceData.Fertiliser_Products_Data1(),FertiliserProducts[[#Headers],[Include or Exclude]], 0)</f>
        <v/>
      </c>
      <c r="AD103" s="37" t="str" cm="1">
        <f t="array" ref="AD103">Common_InputFunctions.Utility_DisplayArrayInTable(Fertiliser_SourceData.Fertiliser_Products_Data1(),FertiliserProducts[[#Headers],[Include or Exclude]], 0)</f>
        <v/>
      </c>
      <c r="AE103" s="37" t="str" cm="1">
        <f t="array" ref="AE103">Common_InputFunctions.Utility_DisplayArrayInTable(Fertiliser_SourceData.Fertiliser_Products_Data1(),FertiliserProducts[[#Headers],[Include or Exclude]], 0)</f>
        <v/>
      </c>
    </row>
    <row r="104" spans="4:31" ht="20.100000000000001" customHeight="1" x14ac:dyDescent="0.25">
      <c r="D104" s="111" t="str" cm="1">
        <f t="array" ref="D104">Common_InputFunctions.Utility_DisplayArrayInTable(Fertiliser_SourceData.Fertiliser_Products_Data1(),FertiliserProducts[[#Headers],[Include or Exclude]], 0)</f>
        <v/>
      </c>
      <c r="E104" s="111" t="str" cm="1">
        <f t="array" ref="E104">Common_InputFunctions.Utility_DisplayArrayInTable(Fertiliser_SourceData.Fertiliser_Products_Data1(),FertiliserProducts[[#Headers],[Include or Exclude]], 0)</f>
        <v/>
      </c>
      <c r="F104" s="111" t="str" cm="1">
        <f t="array" ref="F104">Common_InputFunctions.Utility_DisplayArrayInTable(Fertiliser_SourceData.Fertiliser_Products_Data1(),FertiliserProducts[[#Headers],[Include or Exclude]], 0)</f>
        <v/>
      </c>
      <c r="G104" s="111" t="str" cm="1">
        <f t="array" ref="G104">Common_InputFunctions.Utility_DisplayArrayInTable(Fertiliser_SourceData.Fertiliser_Products_Data1(),FertiliserProducts[[#Headers],[Include or Exclude]], 0)</f>
        <v/>
      </c>
      <c r="H104" s="111" t="str" cm="1">
        <f t="array" ref="H104">Common_InputFunctions.Utility_DisplayArrayInTable(Fertiliser_SourceData.Fertiliser_Products_Data1(),FertiliserProducts[[#Headers],[Include or Exclude]], 0)</f>
        <v/>
      </c>
      <c r="I104" s="111" t="str" cm="1">
        <f t="array" ref="I104">Common_InputFunctions.Utility_DisplayArrayInTable(Fertiliser_SourceData.Fertiliser_Products_Data1(),FertiliserProducts[[#Headers],[Include or Exclude]], 0)</f>
        <v/>
      </c>
      <c r="J104" s="111" t="str" cm="1">
        <f t="array" ref="J104">Common_InputFunctions.Utility_DisplayArrayInTable(Fertiliser_SourceData.Fertiliser_Products_Data1(),FertiliserProducts[[#Headers],[Include or Exclude]], 0)</f>
        <v/>
      </c>
      <c r="K104" s="111" t="str" cm="1">
        <f t="array" ref="K104">Common_InputFunctions.Utility_DisplayArrayInTable(Fertiliser_SourceData.Fertiliser_Products_Data1(),FertiliserProducts[[#Headers],[Include or Exclude]], 0)</f>
        <v/>
      </c>
      <c r="L104" s="111" t="str" cm="1">
        <f t="array" ref="L104">Common_InputFunctions.Utility_DisplayArrayInTable(Fertiliser_SourceData.Fertiliser_Products_Data1(),FertiliserProducts[[#Headers],[Include or Exclude]], 0)</f>
        <v/>
      </c>
      <c r="M104" s="37" t="str" cm="1">
        <f t="array" ref="M104">Common_InputFunctions.Utility_DisplayArrayInTable(Fertiliser_SourceData.Fertiliser_Products_Data1(),FertiliserProducts[[#Headers],[Include or Exclude]], 0)</f>
        <v/>
      </c>
      <c r="N104" s="111" t="str" cm="1">
        <f t="array" ref="N104">Common_InputFunctions.Utility_DisplayArrayInTable(Fertiliser_SourceData.Fertiliser_Products_Data1(),FertiliserProducts[[#Headers],[Include or Exclude]], 0)</f>
        <v/>
      </c>
      <c r="O104" s="111" t="str" cm="1">
        <f t="array" ref="O104">Common_InputFunctions.Utility_DisplayArrayInTable(Fertiliser_SourceData.Fertiliser_Products_Data1(),FertiliserProducts[[#Headers],[Include or Exclude]], 0)</f>
        <v/>
      </c>
      <c r="P104" s="111" t="str" cm="1">
        <f t="array" ref="P104">Common_InputFunctions.Utility_DisplayArrayInTable(Fertiliser_SourceData.Fertiliser_Products_Data1(),FertiliserProducts[[#Headers],[Include or Exclude]], 0)</f>
        <v/>
      </c>
      <c r="Q104" s="111" t="str" cm="1">
        <f t="array" ref="Q104">Common_InputFunctions.Utility_DisplayArrayInTable(Fertiliser_SourceData.Fertiliser_Products_Data1(),FertiliserProducts[[#Headers],[Include or Exclude]], 0)</f>
        <v/>
      </c>
      <c r="R104" s="111" t="str" cm="1">
        <f t="array" ref="R104">Common_InputFunctions.Utility_DisplayArrayInTable(Fertiliser_SourceData.Fertiliser_Products_Data1(),FertiliserProducts[[#Headers],[Include or Exclude]], 0)</f>
        <v/>
      </c>
      <c r="S104" s="111" t="str" cm="1">
        <f t="array" ref="S104">Common_InputFunctions.Utility_DisplayArrayInTable(Fertiliser_SourceData.Fertiliser_Products_Data1(),FertiliserProducts[[#Headers],[Include or Exclude]], 0)</f>
        <v/>
      </c>
      <c r="T104" s="111" t="str" cm="1">
        <f t="array" ref="T104">Common_InputFunctions.Utility_DisplayArrayInTable(Fertiliser_SourceData.Fertiliser_Products_Data1(),FertiliserProducts[[#Headers],[Include or Exclude]], 0)</f>
        <v/>
      </c>
      <c r="U104" s="111" t="str" cm="1">
        <f t="array" ref="U104">Common_InputFunctions.Utility_DisplayArrayInTable(Fertiliser_SourceData.Fertiliser_Products_Data1(),FertiliserProducts[[#Headers],[Include or Exclude]], 0)</f>
        <v/>
      </c>
      <c r="V104" s="37" t="str" cm="1">
        <f t="array" ref="V104">Common_InputFunctions.Utility_DisplayArrayInTable(Fertiliser_SourceData.Fertiliser_Products_Data1(),FertiliserProducts[[#Headers],[Include or Exclude]], 0)</f>
        <v/>
      </c>
      <c r="W104" s="37" t="str" cm="1">
        <f t="array" ref="W104">Common_InputFunctions.Utility_DisplayArrayInTable(Fertiliser_SourceData.Fertiliser_Products_Data1(),FertiliserProducts[[#Headers],[Include or Exclude]], 0)</f>
        <v/>
      </c>
      <c r="X104" s="37" t="str" cm="1">
        <f t="array" ref="X104">Common_InputFunctions.Utility_DisplayArrayInTable(Fertiliser_SourceData.Fertiliser_Products_Data1(),FertiliserProducts[[#Headers],[Include or Exclude]], 0)</f>
        <v/>
      </c>
      <c r="Y104" s="37" t="str" cm="1">
        <f t="array" ref="Y104">Common_InputFunctions.Utility_DisplayArrayInTable(Fertiliser_SourceData.Fertiliser_Products_Data1(),FertiliserProducts[[#Headers],[Include or Exclude]], 0)</f>
        <v/>
      </c>
      <c r="Z104" s="37" t="str" cm="1">
        <f t="array" ref="Z104">Common_InputFunctions.Utility_DisplayArrayInTable(Fertiliser_SourceData.Fertiliser_Products_Data1(),FertiliserProducts[[#Headers],[Include or Exclude]], 0)</f>
        <v/>
      </c>
      <c r="AA104" s="37" t="str" cm="1">
        <f t="array" ref="AA104">Common_InputFunctions.Utility_DisplayArrayInTable(Fertiliser_SourceData.Fertiliser_Products_Data1(),FertiliserProducts[[#Headers],[Include or Exclude]], 0)</f>
        <v/>
      </c>
      <c r="AB104" s="37" t="str" cm="1">
        <f t="array" ref="AB104">Common_InputFunctions.Utility_DisplayArrayInTable(Fertiliser_SourceData.Fertiliser_Products_Data1(),FertiliserProducts[[#Headers],[Include or Exclude]], 0)</f>
        <v/>
      </c>
      <c r="AC104" s="37" t="str" cm="1">
        <f t="array" ref="AC104">Common_InputFunctions.Utility_DisplayArrayInTable(Fertiliser_SourceData.Fertiliser_Products_Data1(),FertiliserProducts[[#Headers],[Include or Exclude]], 0)</f>
        <v/>
      </c>
      <c r="AD104" s="37" t="str" cm="1">
        <f t="array" ref="AD104">Common_InputFunctions.Utility_DisplayArrayInTable(Fertiliser_SourceData.Fertiliser_Products_Data1(),FertiliserProducts[[#Headers],[Include or Exclude]], 0)</f>
        <v/>
      </c>
      <c r="AE104" s="37" t="str" cm="1">
        <f t="array" ref="AE104">Common_InputFunctions.Utility_DisplayArrayInTable(Fertiliser_SourceData.Fertiliser_Products_Data1(),FertiliserProducts[[#Headers],[Include or Exclude]], 0)</f>
        <v/>
      </c>
    </row>
    <row r="105" spans="4:31" ht="20.100000000000001" customHeight="1" x14ac:dyDescent="0.25">
      <c r="D105" s="111" t="str" cm="1">
        <f t="array" ref="D105">Common_InputFunctions.Utility_DisplayArrayInTable(Fertiliser_SourceData.Fertiliser_Products_Data1(),FertiliserProducts[[#Headers],[Include or Exclude]], 0)</f>
        <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
      </c>
      <c r="G105" s="111" t="str" cm="1">
        <f t="array" ref="G105">Common_InputFunctions.Utility_DisplayArrayInTable(Fertiliser_SourceData.Fertiliser_Products_Data1(),FertiliserProducts[[#Headers],[Include or Exclude]], 0)</f>
        <v/>
      </c>
      <c r="H105" s="111" t="str" cm="1">
        <f t="array" ref="H105">Common_InputFunctions.Utility_DisplayArrayInTable(Fertiliser_SourceData.Fertiliser_Products_Data1(),FertiliserProducts[[#Headers],[Include or Exclude]], 0)</f>
        <v/>
      </c>
      <c r="I105" s="111" t="str" cm="1">
        <f t="array" ref="I105">Common_InputFunctions.Utility_DisplayArrayInTable(Fertiliser_SourceData.Fertiliser_Products_Data1(),FertiliserProducts[[#Headers],[Include or Exclude]], 0)</f>
        <v/>
      </c>
      <c r="J105" s="111" t="str" cm="1">
        <f t="array" ref="J105">Common_InputFunctions.Utility_DisplayArrayInTable(Fertiliser_SourceData.Fertiliser_Products_Data1(),FertiliserProducts[[#Headers],[Include or Exclude]], 0)</f>
        <v/>
      </c>
      <c r="K105" s="111" t="str" cm="1">
        <f t="array" ref="K105">Common_InputFunctions.Utility_DisplayArrayInTable(Fertiliser_SourceData.Fertiliser_Products_Data1(),FertiliserProducts[[#Headers],[Include or Exclude]], 0)</f>
        <v/>
      </c>
      <c r="L105" s="111" t="str" cm="1">
        <f t="array" ref="L105">Common_InputFunctions.Utility_DisplayArrayInTable(Fertiliser_SourceData.Fertiliser_Products_Data1(),FertiliserProducts[[#Headers],[Include or Exclude]], 0)</f>
        <v/>
      </c>
      <c r="M105" s="37" t="str" cm="1">
        <f t="array" ref="M105">Common_InputFunctions.Utility_DisplayArrayInTable(Fertiliser_SourceData.Fertiliser_Products_Data1(),FertiliserProducts[[#Headers],[Include or Exclude]], 0)</f>
        <v/>
      </c>
      <c r="N105" s="111" t="str" cm="1">
        <f t="array" ref="N105">Common_InputFunctions.Utility_DisplayArrayInTable(Fertiliser_SourceData.Fertiliser_Products_Data1(),FertiliserProducts[[#Headers],[Include or Exclude]], 0)</f>
        <v/>
      </c>
      <c r="O105" s="111" t="str" cm="1">
        <f t="array" ref="O105">Common_InputFunctions.Utility_DisplayArrayInTable(Fertiliser_SourceData.Fertiliser_Products_Data1(),FertiliserProducts[[#Headers],[Include or Exclude]], 0)</f>
        <v/>
      </c>
      <c r="P105" s="111" t="str" cm="1">
        <f t="array" ref="P105">Common_InputFunctions.Utility_DisplayArrayInTable(Fertiliser_SourceData.Fertiliser_Products_Data1(),FertiliserProducts[[#Headers],[Include or Exclude]], 0)</f>
        <v/>
      </c>
      <c r="Q105" s="111" t="str" cm="1">
        <f t="array" ref="Q105">Common_InputFunctions.Utility_DisplayArrayInTable(Fertiliser_SourceData.Fertiliser_Products_Data1(),FertiliserProducts[[#Headers],[Include or Exclude]], 0)</f>
        <v/>
      </c>
      <c r="R105" s="111" t="str" cm="1">
        <f t="array" ref="R105">Common_InputFunctions.Utility_DisplayArrayInTable(Fertiliser_SourceData.Fertiliser_Products_Data1(),FertiliserProducts[[#Headers],[Include or Exclude]], 0)</f>
        <v/>
      </c>
      <c r="S105" s="111" t="str" cm="1">
        <f t="array" ref="S105">Common_InputFunctions.Utility_DisplayArrayInTable(Fertiliser_SourceData.Fertiliser_Products_Data1(),FertiliserProducts[[#Headers],[Include or Exclude]], 0)</f>
        <v/>
      </c>
      <c r="T105" s="111" t="str" cm="1">
        <f t="array" ref="T105">Common_InputFunctions.Utility_DisplayArrayInTable(Fertiliser_SourceData.Fertiliser_Products_Data1(),FertiliserProducts[[#Headers],[Include or Exclude]], 0)</f>
        <v/>
      </c>
      <c r="U105" s="111" t="str" cm="1">
        <f t="array" ref="U105">Common_InputFunctions.Utility_DisplayArrayInTable(Fertiliser_SourceData.Fertiliser_Products_Data1(),FertiliserProducts[[#Headers],[Include or Exclude]], 0)</f>
        <v/>
      </c>
      <c r="V105" s="37" t="str" cm="1">
        <f t="array" ref="V105">Common_InputFunctions.Utility_DisplayArrayInTable(Fertiliser_SourceData.Fertiliser_Products_Data1(),FertiliserProducts[[#Headers],[Include or Exclude]], 0)</f>
        <v/>
      </c>
      <c r="W105" s="37" t="str" cm="1">
        <f t="array" ref="W105">Common_InputFunctions.Utility_DisplayArrayInTable(Fertiliser_SourceData.Fertiliser_Products_Data1(),FertiliserProducts[[#Headers],[Include or Exclude]], 0)</f>
        <v/>
      </c>
      <c r="X105" s="37" t="str" cm="1">
        <f t="array" ref="X105">Common_InputFunctions.Utility_DisplayArrayInTable(Fertiliser_SourceData.Fertiliser_Products_Data1(),FertiliserProducts[[#Headers],[Include or Exclude]], 0)</f>
        <v/>
      </c>
      <c r="Y105" s="37" t="str" cm="1">
        <f t="array" ref="Y105">Common_InputFunctions.Utility_DisplayArrayInTable(Fertiliser_SourceData.Fertiliser_Products_Data1(),FertiliserProducts[[#Headers],[Include or Exclude]], 0)</f>
        <v/>
      </c>
      <c r="Z105" s="37" t="str" cm="1">
        <f t="array" ref="Z105">Common_InputFunctions.Utility_DisplayArrayInTable(Fertiliser_SourceData.Fertiliser_Products_Data1(),FertiliserProducts[[#Headers],[Include or Exclude]], 0)</f>
        <v/>
      </c>
      <c r="AA105" s="37" t="str" cm="1">
        <f t="array" ref="AA105">Common_InputFunctions.Utility_DisplayArrayInTable(Fertiliser_SourceData.Fertiliser_Products_Data1(),FertiliserProducts[[#Headers],[Include or Exclude]], 0)</f>
        <v/>
      </c>
      <c r="AB105" s="37" t="str" cm="1">
        <f t="array" ref="AB105">Common_InputFunctions.Utility_DisplayArrayInTable(Fertiliser_SourceData.Fertiliser_Products_Data1(),FertiliserProducts[[#Headers],[Include or Exclude]], 0)</f>
        <v/>
      </c>
      <c r="AC105" s="37" t="str" cm="1">
        <f t="array" ref="AC105">Common_InputFunctions.Utility_DisplayArrayInTable(Fertiliser_SourceData.Fertiliser_Products_Data1(),FertiliserProducts[[#Headers],[Include or Exclude]], 0)</f>
        <v/>
      </c>
      <c r="AD105" s="37" t="str" cm="1">
        <f t="array" ref="AD105">Common_InputFunctions.Utility_DisplayArrayInTable(Fertiliser_SourceData.Fertiliser_Products_Data1(),FertiliserProducts[[#Headers],[Include or Exclude]], 0)</f>
        <v/>
      </c>
      <c r="AE105" s="37" t="str" cm="1">
        <f t="array" ref="AE105">Common_InputFunctions.Utility_DisplayArrayInTable(Fertiliser_SourceData.Fertiliser_Products_Data1(),FertiliserProducts[[#Headers],[Include or Exclude]], 0)</f>
        <v/>
      </c>
    </row>
    <row r="106" spans="4:31" ht="20.100000000000001" customHeight="1" x14ac:dyDescent="0.25">
      <c r="D106" s="111" t="str" cm="1">
        <f t="array" ref="D106">Common_InputFunctions.Utility_DisplayArrayInTable(Fertiliser_SourceData.Fertiliser_Products_Data1(),FertiliserProducts[[#Headers],[Include or Exclude]], 0)</f>
        <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
      </c>
      <c r="G106" s="111" t="str" cm="1">
        <f t="array" ref="G106">Common_InputFunctions.Utility_DisplayArrayInTable(Fertiliser_SourceData.Fertiliser_Products_Data1(),FertiliserProducts[[#Headers],[Include or Exclude]], 0)</f>
        <v/>
      </c>
      <c r="H106" s="111" t="str" cm="1">
        <f t="array" ref="H106">Common_InputFunctions.Utility_DisplayArrayInTable(Fertiliser_SourceData.Fertiliser_Products_Data1(),FertiliserProducts[[#Headers],[Include or Exclude]], 0)</f>
        <v/>
      </c>
      <c r="I106" s="111" t="str" cm="1">
        <f t="array" ref="I106">Common_InputFunctions.Utility_DisplayArrayInTable(Fertiliser_SourceData.Fertiliser_Products_Data1(),FertiliserProducts[[#Headers],[Include or Exclude]], 0)</f>
        <v/>
      </c>
      <c r="J106" s="111" t="str" cm="1">
        <f t="array" ref="J106">Common_InputFunctions.Utility_DisplayArrayInTable(Fertiliser_SourceData.Fertiliser_Products_Data1(),FertiliserProducts[[#Headers],[Include or Exclude]], 0)</f>
        <v/>
      </c>
      <c r="K106" s="111" t="str" cm="1">
        <f t="array" ref="K106">Common_InputFunctions.Utility_DisplayArrayInTable(Fertiliser_SourceData.Fertiliser_Products_Data1(),FertiliserProducts[[#Headers],[Include or Exclude]], 0)</f>
        <v/>
      </c>
      <c r="L106" s="111" t="str" cm="1">
        <f t="array" ref="L106">Common_InputFunctions.Utility_DisplayArrayInTable(Fertiliser_SourceData.Fertiliser_Products_Data1(),FertiliserProducts[[#Headers],[Include or Exclude]], 0)</f>
        <v/>
      </c>
      <c r="M106" s="37" t="str" cm="1">
        <f t="array" ref="M106">Common_InputFunctions.Utility_DisplayArrayInTable(Fertiliser_SourceData.Fertiliser_Products_Data1(),FertiliserProducts[[#Headers],[Include or Exclude]], 0)</f>
        <v/>
      </c>
      <c r="N106" s="111" t="str" cm="1">
        <f t="array" ref="N106">Common_InputFunctions.Utility_DisplayArrayInTable(Fertiliser_SourceData.Fertiliser_Products_Data1(),FertiliserProducts[[#Headers],[Include or Exclude]], 0)</f>
        <v/>
      </c>
      <c r="O106" s="111" t="str" cm="1">
        <f t="array" ref="O106">Common_InputFunctions.Utility_DisplayArrayInTable(Fertiliser_SourceData.Fertiliser_Products_Data1(),FertiliserProducts[[#Headers],[Include or Exclude]], 0)</f>
        <v/>
      </c>
      <c r="P106" s="111" t="str" cm="1">
        <f t="array" ref="P106">Common_InputFunctions.Utility_DisplayArrayInTable(Fertiliser_SourceData.Fertiliser_Products_Data1(),FertiliserProducts[[#Headers],[Include or Exclude]], 0)</f>
        <v/>
      </c>
      <c r="Q106" s="111" t="str" cm="1">
        <f t="array" ref="Q106">Common_InputFunctions.Utility_DisplayArrayInTable(Fertiliser_SourceData.Fertiliser_Products_Data1(),FertiliserProducts[[#Headers],[Include or Exclude]], 0)</f>
        <v/>
      </c>
      <c r="R106" s="111" t="str" cm="1">
        <f t="array" ref="R106">Common_InputFunctions.Utility_DisplayArrayInTable(Fertiliser_SourceData.Fertiliser_Products_Data1(),FertiliserProducts[[#Headers],[Include or Exclude]], 0)</f>
        <v/>
      </c>
      <c r="S106" s="111" t="str" cm="1">
        <f t="array" ref="S106">Common_InputFunctions.Utility_DisplayArrayInTable(Fertiliser_SourceData.Fertiliser_Products_Data1(),FertiliserProducts[[#Headers],[Include or Exclude]], 0)</f>
        <v/>
      </c>
      <c r="T106" s="111" t="str" cm="1">
        <f t="array" ref="T106">Common_InputFunctions.Utility_DisplayArrayInTable(Fertiliser_SourceData.Fertiliser_Products_Data1(),FertiliserProducts[[#Headers],[Include or Exclude]], 0)</f>
        <v/>
      </c>
      <c r="U106" s="111" t="str" cm="1">
        <f t="array" ref="U106">Common_InputFunctions.Utility_DisplayArrayInTable(Fertiliser_SourceData.Fertiliser_Products_Data1(),FertiliserProducts[[#Headers],[Include or Exclude]], 0)</f>
        <v/>
      </c>
      <c r="V106" s="37" t="str" cm="1">
        <f t="array" ref="V106">Common_InputFunctions.Utility_DisplayArrayInTable(Fertiliser_SourceData.Fertiliser_Products_Data1(),FertiliserProducts[[#Headers],[Include or Exclude]], 0)</f>
        <v/>
      </c>
      <c r="W106" s="37" t="str" cm="1">
        <f t="array" ref="W106">Common_InputFunctions.Utility_DisplayArrayInTable(Fertiliser_SourceData.Fertiliser_Products_Data1(),FertiliserProducts[[#Headers],[Include or Exclude]], 0)</f>
        <v/>
      </c>
      <c r="X106" s="37" t="str" cm="1">
        <f t="array" ref="X106">Common_InputFunctions.Utility_DisplayArrayInTable(Fertiliser_SourceData.Fertiliser_Products_Data1(),FertiliserProducts[[#Headers],[Include or Exclude]], 0)</f>
        <v/>
      </c>
      <c r="Y106" s="37" t="str" cm="1">
        <f t="array" ref="Y106">Common_InputFunctions.Utility_DisplayArrayInTable(Fertiliser_SourceData.Fertiliser_Products_Data1(),FertiliserProducts[[#Headers],[Include or Exclude]], 0)</f>
        <v/>
      </c>
      <c r="Z106" s="37" t="str" cm="1">
        <f t="array" ref="Z106">Common_InputFunctions.Utility_DisplayArrayInTable(Fertiliser_SourceData.Fertiliser_Products_Data1(),FertiliserProducts[[#Headers],[Include or Exclude]], 0)</f>
        <v/>
      </c>
      <c r="AA106" s="37" t="str" cm="1">
        <f t="array" ref="AA106">Common_InputFunctions.Utility_DisplayArrayInTable(Fertiliser_SourceData.Fertiliser_Products_Data1(),FertiliserProducts[[#Headers],[Include or Exclude]], 0)</f>
        <v/>
      </c>
      <c r="AB106" s="37" t="str" cm="1">
        <f t="array" ref="AB106">Common_InputFunctions.Utility_DisplayArrayInTable(Fertiliser_SourceData.Fertiliser_Products_Data1(),FertiliserProducts[[#Headers],[Include or Exclude]], 0)</f>
        <v/>
      </c>
      <c r="AC106" s="37" t="str" cm="1">
        <f t="array" ref="AC106">Common_InputFunctions.Utility_DisplayArrayInTable(Fertiliser_SourceData.Fertiliser_Products_Data1(),FertiliserProducts[[#Headers],[Include or Exclude]], 0)</f>
        <v/>
      </c>
      <c r="AD106" s="37" t="str" cm="1">
        <f t="array" ref="AD106">Common_InputFunctions.Utility_DisplayArrayInTable(Fertiliser_SourceData.Fertiliser_Products_Data1(),FertiliserProducts[[#Headers],[Include or Exclude]], 0)</f>
        <v/>
      </c>
      <c r="AE106" s="37" t="str" cm="1">
        <f t="array" ref="AE106">Common_InputFunctions.Utility_DisplayArrayInTable(Fertiliser_SourceData.Fertiliser_Products_Data1(),FertiliserProducts[[#Headers],[Include or Exclude]], 0)</f>
        <v/>
      </c>
    </row>
    <row r="107" spans="4:31" ht="20.100000000000001" customHeight="1" x14ac:dyDescent="0.25">
      <c r="D107" s="111" t="str" cm="1">
        <f t="array" ref="D107">Common_InputFunctions.Utility_DisplayArrayInTable(Fertiliser_SourceData.Fertiliser_Products_Data1(),FertiliserProducts[[#Headers],[Include or Exclude]], 0)</f>
        <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
      </c>
      <c r="G107" s="111" t="str" cm="1">
        <f t="array" ref="G107">Common_InputFunctions.Utility_DisplayArrayInTable(Fertiliser_SourceData.Fertiliser_Products_Data1(),FertiliserProducts[[#Headers],[Include or Exclude]], 0)</f>
        <v/>
      </c>
      <c r="H107" s="111" t="str" cm="1">
        <f t="array" ref="H107">Common_InputFunctions.Utility_DisplayArrayInTable(Fertiliser_SourceData.Fertiliser_Products_Data1(),FertiliserProducts[[#Headers],[Include or Exclude]], 0)</f>
        <v/>
      </c>
      <c r="I107" s="111" t="str" cm="1">
        <f t="array" ref="I107">Common_InputFunctions.Utility_DisplayArrayInTable(Fertiliser_SourceData.Fertiliser_Products_Data1(),FertiliserProducts[[#Headers],[Include or Exclude]], 0)</f>
        <v/>
      </c>
      <c r="J107" s="111" t="str" cm="1">
        <f t="array" ref="J107">Common_InputFunctions.Utility_DisplayArrayInTable(Fertiliser_SourceData.Fertiliser_Products_Data1(),FertiliserProducts[[#Headers],[Include or Exclude]], 0)</f>
        <v/>
      </c>
      <c r="K107" s="111" t="str" cm="1">
        <f t="array" ref="K107">Common_InputFunctions.Utility_DisplayArrayInTable(Fertiliser_SourceData.Fertiliser_Products_Data1(),FertiliserProducts[[#Headers],[Include or Exclude]], 0)</f>
        <v/>
      </c>
      <c r="L107" s="111" t="str" cm="1">
        <f t="array" ref="L107">Common_InputFunctions.Utility_DisplayArrayInTable(Fertiliser_SourceData.Fertiliser_Products_Data1(),FertiliserProducts[[#Headers],[Include or Exclude]], 0)</f>
        <v/>
      </c>
      <c r="M107" s="37" t="str" cm="1">
        <f t="array" ref="M107">Common_InputFunctions.Utility_DisplayArrayInTable(Fertiliser_SourceData.Fertiliser_Products_Data1(),FertiliserProducts[[#Headers],[Include or Exclude]], 0)</f>
        <v/>
      </c>
      <c r="N107" s="111" t="str" cm="1">
        <f t="array" ref="N107">Common_InputFunctions.Utility_DisplayArrayInTable(Fertiliser_SourceData.Fertiliser_Products_Data1(),FertiliserProducts[[#Headers],[Include or Exclude]], 0)</f>
        <v/>
      </c>
      <c r="O107" s="111" t="str" cm="1">
        <f t="array" ref="O107">Common_InputFunctions.Utility_DisplayArrayInTable(Fertiliser_SourceData.Fertiliser_Products_Data1(),FertiliserProducts[[#Headers],[Include or Exclude]], 0)</f>
        <v/>
      </c>
      <c r="P107" s="111" t="str" cm="1">
        <f t="array" ref="P107">Common_InputFunctions.Utility_DisplayArrayInTable(Fertiliser_SourceData.Fertiliser_Products_Data1(),FertiliserProducts[[#Headers],[Include or Exclude]], 0)</f>
        <v/>
      </c>
      <c r="Q107" s="111" t="str" cm="1">
        <f t="array" ref="Q107">Common_InputFunctions.Utility_DisplayArrayInTable(Fertiliser_SourceData.Fertiliser_Products_Data1(),FertiliserProducts[[#Headers],[Include or Exclude]], 0)</f>
        <v/>
      </c>
      <c r="R107" s="111" t="str" cm="1">
        <f t="array" ref="R107">Common_InputFunctions.Utility_DisplayArrayInTable(Fertiliser_SourceData.Fertiliser_Products_Data1(),FertiliserProducts[[#Headers],[Include or Exclude]], 0)</f>
        <v/>
      </c>
      <c r="S107" s="111" t="str" cm="1">
        <f t="array" ref="S107">Common_InputFunctions.Utility_DisplayArrayInTable(Fertiliser_SourceData.Fertiliser_Products_Data1(),FertiliserProducts[[#Headers],[Include or Exclude]], 0)</f>
        <v/>
      </c>
      <c r="T107" s="111" t="str" cm="1">
        <f t="array" ref="T107">Common_InputFunctions.Utility_DisplayArrayInTable(Fertiliser_SourceData.Fertiliser_Products_Data1(),FertiliserProducts[[#Headers],[Include or Exclude]], 0)</f>
        <v/>
      </c>
      <c r="U107" s="111" t="str" cm="1">
        <f t="array" ref="U107">Common_InputFunctions.Utility_DisplayArrayInTable(Fertiliser_SourceData.Fertiliser_Products_Data1(),FertiliserProducts[[#Headers],[Include or Exclude]], 0)</f>
        <v/>
      </c>
      <c r="V107" s="37" t="str" cm="1">
        <f t="array" ref="V107">Common_InputFunctions.Utility_DisplayArrayInTable(Fertiliser_SourceData.Fertiliser_Products_Data1(),FertiliserProducts[[#Headers],[Include or Exclude]], 0)</f>
        <v/>
      </c>
      <c r="W107" s="37" t="str" cm="1">
        <f t="array" ref="W107">Common_InputFunctions.Utility_DisplayArrayInTable(Fertiliser_SourceData.Fertiliser_Products_Data1(),FertiliserProducts[[#Headers],[Include or Exclude]], 0)</f>
        <v/>
      </c>
      <c r="X107" s="37" t="str" cm="1">
        <f t="array" ref="X107">Common_InputFunctions.Utility_DisplayArrayInTable(Fertiliser_SourceData.Fertiliser_Products_Data1(),FertiliserProducts[[#Headers],[Include or Exclude]], 0)</f>
        <v/>
      </c>
      <c r="Y107" s="37" t="str" cm="1">
        <f t="array" ref="Y107">Common_InputFunctions.Utility_DisplayArrayInTable(Fertiliser_SourceData.Fertiliser_Products_Data1(),FertiliserProducts[[#Headers],[Include or Exclude]], 0)</f>
        <v/>
      </c>
      <c r="Z107" s="37" t="str" cm="1">
        <f t="array" ref="Z107">Common_InputFunctions.Utility_DisplayArrayInTable(Fertiliser_SourceData.Fertiliser_Products_Data1(),FertiliserProducts[[#Headers],[Include or Exclude]], 0)</f>
        <v/>
      </c>
      <c r="AA107" s="37" t="str" cm="1">
        <f t="array" ref="AA107">Common_InputFunctions.Utility_DisplayArrayInTable(Fertiliser_SourceData.Fertiliser_Products_Data1(),FertiliserProducts[[#Headers],[Include or Exclude]], 0)</f>
        <v/>
      </c>
      <c r="AB107" s="37" t="str" cm="1">
        <f t="array" ref="AB107">Common_InputFunctions.Utility_DisplayArrayInTable(Fertiliser_SourceData.Fertiliser_Products_Data1(),FertiliserProducts[[#Headers],[Include or Exclude]], 0)</f>
        <v/>
      </c>
      <c r="AC107" s="37" t="str" cm="1">
        <f t="array" ref="AC107">Common_InputFunctions.Utility_DisplayArrayInTable(Fertiliser_SourceData.Fertiliser_Products_Data1(),FertiliserProducts[[#Headers],[Include or Exclude]], 0)</f>
        <v/>
      </c>
      <c r="AD107" s="37" t="str" cm="1">
        <f t="array" ref="AD107">Common_InputFunctions.Utility_DisplayArrayInTable(Fertiliser_SourceData.Fertiliser_Products_Data1(),FertiliserProducts[[#Headers],[Include or Exclude]], 0)</f>
        <v/>
      </c>
      <c r="AE107" s="37" t="str" cm="1">
        <f t="array" ref="AE107">Common_InputFunctions.Utility_DisplayArrayInTable(Fertiliser_SourceData.Fertiliser_Products_Data1(),FertiliserProducts[[#Headers],[Include or Exclude]], 0)</f>
        <v/>
      </c>
    </row>
    <row r="108" spans="4:31" ht="20.100000000000001" customHeight="1" x14ac:dyDescent="0.25">
      <c r="D108" s="111" t="str" cm="1">
        <f t="array" ref="D108">Common_InputFunctions.Utility_DisplayArrayInTable(Fertiliser_SourceData.Fertiliser_Products_Data1(),FertiliserProducts[[#Headers],[Include or Exclude]], 0)</f>
        <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
      </c>
      <c r="G108" s="111" t="str" cm="1">
        <f t="array" ref="G108">Common_InputFunctions.Utility_DisplayArrayInTable(Fertiliser_SourceData.Fertiliser_Products_Data1(),FertiliserProducts[[#Headers],[Include or Exclude]], 0)</f>
        <v/>
      </c>
      <c r="H108" s="111" t="str" cm="1">
        <f t="array" ref="H108">Common_InputFunctions.Utility_DisplayArrayInTable(Fertiliser_SourceData.Fertiliser_Products_Data1(),FertiliserProducts[[#Headers],[Include or Exclude]], 0)</f>
        <v/>
      </c>
      <c r="I108" s="111" t="str" cm="1">
        <f t="array" ref="I108">Common_InputFunctions.Utility_DisplayArrayInTable(Fertiliser_SourceData.Fertiliser_Products_Data1(),FertiliserProducts[[#Headers],[Include or Exclude]], 0)</f>
        <v/>
      </c>
      <c r="J108" s="111" t="str" cm="1">
        <f t="array" ref="J108">Common_InputFunctions.Utility_DisplayArrayInTable(Fertiliser_SourceData.Fertiliser_Products_Data1(),FertiliserProducts[[#Headers],[Include or Exclude]], 0)</f>
        <v/>
      </c>
      <c r="K108" s="111" t="str" cm="1">
        <f t="array" ref="K108">Common_InputFunctions.Utility_DisplayArrayInTable(Fertiliser_SourceData.Fertiliser_Products_Data1(),FertiliserProducts[[#Headers],[Include or Exclude]], 0)</f>
        <v/>
      </c>
      <c r="L108" s="111" t="str" cm="1">
        <f t="array" ref="L108">Common_InputFunctions.Utility_DisplayArrayInTable(Fertiliser_SourceData.Fertiliser_Products_Data1(),FertiliserProducts[[#Headers],[Include or Exclude]], 0)</f>
        <v/>
      </c>
      <c r="M108" s="37" t="str" cm="1">
        <f t="array" ref="M108">Common_InputFunctions.Utility_DisplayArrayInTable(Fertiliser_SourceData.Fertiliser_Products_Data1(),FertiliserProducts[[#Headers],[Include or Exclude]], 0)</f>
        <v/>
      </c>
      <c r="N108" s="111" t="str" cm="1">
        <f t="array" ref="N108">Common_InputFunctions.Utility_DisplayArrayInTable(Fertiliser_SourceData.Fertiliser_Products_Data1(),FertiliserProducts[[#Headers],[Include or Exclude]], 0)</f>
        <v/>
      </c>
      <c r="O108" s="111" t="str" cm="1">
        <f t="array" ref="O108">Common_InputFunctions.Utility_DisplayArrayInTable(Fertiliser_SourceData.Fertiliser_Products_Data1(),FertiliserProducts[[#Headers],[Include or Exclude]], 0)</f>
        <v/>
      </c>
      <c r="P108" s="111" t="str" cm="1">
        <f t="array" ref="P108">Common_InputFunctions.Utility_DisplayArrayInTable(Fertiliser_SourceData.Fertiliser_Products_Data1(),FertiliserProducts[[#Headers],[Include or Exclude]], 0)</f>
        <v/>
      </c>
      <c r="Q108" s="111" t="str" cm="1">
        <f t="array" ref="Q108">Common_InputFunctions.Utility_DisplayArrayInTable(Fertiliser_SourceData.Fertiliser_Products_Data1(),FertiliserProducts[[#Headers],[Include or Exclude]], 0)</f>
        <v/>
      </c>
      <c r="R108" s="111" t="str" cm="1">
        <f t="array" ref="R108">Common_InputFunctions.Utility_DisplayArrayInTable(Fertiliser_SourceData.Fertiliser_Products_Data1(),FertiliserProducts[[#Headers],[Include or Exclude]], 0)</f>
        <v/>
      </c>
      <c r="S108" s="111" t="str" cm="1">
        <f t="array" ref="S108">Common_InputFunctions.Utility_DisplayArrayInTable(Fertiliser_SourceData.Fertiliser_Products_Data1(),FertiliserProducts[[#Headers],[Include or Exclude]], 0)</f>
        <v/>
      </c>
      <c r="T108" s="111" t="str" cm="1">
        <f t="array" ref="T108">Common_InputFunctions.Utility_DisplayArrayInTable(Fertiliser_SourceData.Fertiliser_Products_Data1(),FertiliserProducts[[#Headers],[Include or Exclude]], 0)</f>
        <v/>
      </c>
      <c r="U108" s="111" t="str" cm="1">
        <f t="array" ref="U108">Common_InputFunctions.Utility_DisplayArrayInTable(Fertiliser_SourceData.Fertiliser_Products_Data1(),FertiliserProducts[[#Headers],[Include or Exclude]], 0)</f>
        <v/>
      </c>
      <c r="V108" s="37" t="str" cm="1">
        <f t="array" ref="V108">Common_InputFunctions.Utility_DisplayArrayInTable(Fertiliser_SourceData.Fertiliser_Products_Data1(),FertiliserProducts[[#Headers],[Include or Exclude]], 0)</f>
        <v/>
      </c>
      <c r="W108" s="37" t="str" cm="1">
        <f t="array" ref="W108">Common_InputFunctions.Utility_DisplayArrayInTable(Fertiliser_SourceData.Fertiliser_Products_Data1(),FertiliserProducts[[#Headers],[Include or Exclude]], 0)</f>
        <v/>
      </c>
      <c r="X108" s="37" t="str" cm="1">
        <f t="array" ref="X108">Common_InputFunctions.Utility_DisplayArrayInTable(Fertiliser_SourceData.Fertiliser_Products_Data1(),FertiliserProducts[[#Headers],[Include or Exclude]], 0)</f>
        <v/>
      </c>
      <c r="Y108" s="37" t="str" cm="1">
        <f t="array" ref="Y108">Common_InputFunctions.Utility_DisplayArrayInTable(Fertiliser_SourceData.Fertiliser_Products_Data1(),FertiliserProducts[[#Headers],[Include or Exclude]], 0)</f>
        <v/>
      </c>
      <c r="Z108" s="37" t="str" cm="1">
        <f t="array" ref="Z108">Common_InputFunctions.Utility_DisplayArrayInTable(Fertiliser_SourceData.Fertiliser_Products_Data1(),FertiliserProducts[[#Headers],[Include or Exclude]], 0)</f>
        <v/>
      </c>
      <c r="AA108" s="37" t="str" cm="1">
        <f t="array" ref="AA108">Common_InputFunctions.Utility_DisplayArrayInTable(Fertiliser_SourceData.Fertiliser_Products_Data1(),FertiliserProducts[[#Headers],[Include or Exclude]], 0)</f>
        <v/>
      </c>
      <c r="AB108" s="37" t="str" cm="1">
        <f t="array" ref="AB108">Common_InputFunctions.Utility_DisplayArrayInTable(Fertiliser_SourceData.Fertiliser_Products_Data1(),FertiliserProducts[[#Headers],[Include or Exclude]], 0)</f>
        <v/>
      </c>
      <c r="AC108" s="37" t="str" cm="1">
        <f t="array" ref="AC108">Common_InputFunctions.Utility_DisplayArrayInTable(Fertiliser_SourceData.Fertiliser_Products_Data1(),FertiliserProducts[[#Headers],[Include or Exclude]], 0)</f>
        <v/>
      </c>
      <c r="AD108" s="37" t="str" cm="1">
        <f t="array" ref="AD108">Common_InputFunctions.Utility_DisplayArrayInTable(Fertiliser_SourceData.Fertiliser_Products_Data1(),FertiliserProducts[[#Headers],[Include or Exclude]], 0)</f>
        <v/>
      </c>
      <c r="AE108" s="37" t="str" cm="1">
        <f t="array" ref="AE108">Common_InputFunctions.Utility_DisplayArrayInTable(Fertiliser_SourceData.Fertiliser_Products_Data1(),FertiliserProducts[[#Headers],[Include or Exclude]], 0)</f>
        <v/>
      </c>
    </row>
    <row r="109" spans="4:31" ht="20.100000000000001" customHeight="1" x14ac:dyDescent="0.25">
      <c r="D109" s="111" t="str" cm="1">
        <f t="array" aca="1" ref="D109" ca="1">Common_InputFunctions.Utility_DisplayArrayInTable(Fertiliser_SourceData.Fertiliser_Products_Data2(),FertiliserProducts[[#Headers],[Include or Exclude]], 20)</f>
        <v/>
      </c>
      <c r="E109" s="111" t="str" cm="1">
        <f t="array" aca="1" ref="E109" ca="1">Common_InputFunctions.Utility_DisplayArrayInTable(Fertiliser_SourceData.Fertiliser_Products_Data2(),FertiliserProducts[[#Headers],[Include or Exclude]], 20)</f>
        <v/>
      </c>
      <c r="F109" s="111" t="str" cm="1">
        <f t="array" aca="1" ref="F109" ca="1">Common_InputFunctions.Utility_DisplayArrayInTable(Fertiliser_SourceData.Fertiliser_Products_Data2(),FertiliserProducts[[#Headers],[Include or Exclude]], 20)</f>
        <v/>
      </c>
      <c r="G109" s="111" t="str" cm="1">
        <f t="array" aca="1" ref="G109" ca="1">Common_InputFunctions.Utility_DisplayArrayInTable(Fertiliser_SourceData.Fertiliser_Products_Data2(),FertiliserProducts[[#Headers],[Include or Exclude]], 20)</f>
        <v/>
      </c>
      <c r="H109" s="111" t="str" cm="1">
        <f t="array" aca="1" ref="H109" ca="1">Common_InputFunctions.Utility_DisplayArrayInTable(Fertiliser_SourceData.Fertiliser_Products_Data2(),FertiliserProducts[[#Headers],[Include or Exclude]], 20)</f>
        <v/>
      </c>
      <c r="I109" s="111" t="str" cm="1">
        <f t="array" aca="1" ref="I109" ca="1">Common_InputFunctions.Utility_DisplayArrayInTable(Fertiliser_SourceData.Fertiliser_Products_Data2(),FertiliserProducts[[#Headers],[Include or Exclude]], 20)</f>
        <v/>
      </c>
      <c r="J109" s="111" t="str" cm="1">
        <f t="array" aca="1" ref="J109" ca="1">Common_InputFunctions.Utility_DisplayArrayInTable(Fertiliser_SourceData.Fertiliser_Products_Data2(),FertiliserProducts[[#Headers],[Include or Exclude]], 20)</f>
        <v/>
      </c>
      <c r="K109" s="111" t="str" cm="1">
        <f t="array" aca="1" ref="K109" ca="1">Common_InputFunctions.Utility_DisplayArrayInTable(Fertiliser_SourceData.Fertiliser_Products_Data2(),FertiliserProducts[[#Headers],[Include or Exclude]], 20)</f>
        <v/>
      </c>
      <c r="L109" s="111" t="str" cm="1">
        <f t="array" aca="1" ref="L109" ca="1">Common_InputFunctions.Utility_DisplayArrayInTable(Fertiliser_SourceData.Fertiliser_Products_Data2(),FertiliserProducts[[#Headers],[Include or Exclude]], 20)</f>
        <v/>
      </c>
      <c r="M109" s="111" t="str" cm="1">
        <f t="array" aca="1" ref="M109" ca="1">Common_InputFunctions.Utility_DisplayArrayInTable(Fertiliser_SourceData.Fertiliser_Products_Data2(),FertiliserProducts[[#Headers],[Include or Exclude]], 20)</f>
        <v/>
      </c>
      <c r="N109" s="111" t="str" cm="1">
        <f t="array" aca="1" ref="N109" ca="1">Common_InputFunctions.Utility_DisplayArrayInTable(Fertiliser_SourceData.Fertiliser_Products_Data2(),FertiliserProducts[[#Headers],[Include or Exclude]], 20)</f>
        <v/>
      </c>
      <c r="O109" s="111" t="str" cm="1">
        <f t="array" aca="1" ref="O109" ca="1">Common_InputFunctions.Utility_DisplayArrayInTable(Fertiliser_SourceData.Fertiliser_Products_Data2(),FertiliserProducts[[#Headers],[Include or Exclude]], 20)</f>
        <v/>
      </c>
      <c r="P109" s="111" t="str" cm="1">
        <f t="array" aca="1" ref="P109" ca="1">Common_InputFunctions.Utility_DisplayArrayInTable(Fertiliser_SourceData.Fertiliser_Products_Data2(),FertiliserProducts[[#Headers],[Include or Exclude]], 20)</f>
        <v/>
      </c>
      <c r="Q109" s="111" t="str" cm="1">
        <f t="array" aca="1" ref="Q109" ca="1">Common_InputFunctions.Utility_DisplayArrayInTable(Fertiliser_SourceData.Fertiliser_Products_Data2(),FertiliserProducts[[#Headers],[Include or Exclude]], 20)</f>
        <v/>
      </c>
      <c r="R109" s="111" t="str" cm="1">
        <f t="array" aca="1" ref="R109" ca="1">Common_InputFunctions.Utility_DisplayArrayInTable(Fertiliser_SourceData.Fertiliser_Products_Data2(),FertiliserProducts[[#Headers],[Include or Exclude]], 20)</f>
        <v/>
      </c>
      <c r="S109" s="111" t="str" cm="1">
        <f t="array" aca="1" ref="S109" ca="1">Common_InputFunctions.Utility_DisplayArrayInTable(Fertiliser_SourceData.Fertiliser_Products_Data2(),FertiliserProducts[[#Headers],[Include or Exclude]], 20)</f>
        <v/>
      </c>
      <c r="T109" s="111" t="str" cm="1">
        <f t="array" aca="1" ref="T109" ca="1">Common_InputFunctions.Utility_DisplayArrayInTable(Fertiliser_SourceData.Fertiliser_Products_Data2(),FertiliserProducts[[#Headers],[Include or Exclude]], 20)</f>
        <v/>
      </c>
      <c r="U109" s="111" t="str" cm="1">
        <f t="array" aca="1" ref="U109" ca="1">Common_InputFunctions.Utility_DisplayArrayInTable(Fertiliser_SourceData.Fertiliser_Products_Data2(),FertiliserProducts[[#Headers],[Include or Exclude]], 20)</f>
        <v/>
      </c>
      <c r="V109" s="111" t="str" cm="1">
        <f t="array" aca="1" ref="V109" ca="1">Common_InputFunctions.Utility_DisplayArrayInTable(Fertiliser_SourceData.Fertiliser_Products_Data2(),FertiliserProducts[[#Headers],[Include or Exclude]], 20)</f>
        <v/>
      </c>
      <c r="W109" s="111" t="str" cm="1">
        <f t="array" aca="1" ref="W109" ca="1">Common_InputFunctions.Utility_DisplayArrayInTable(Fertiliser_SourceData.Fertiliser_Products_Data2(),FertiliserProducts[[#Headers],[Include or Exclude]], 20)</f>
        <v/>
      </c>
      <c r="X109" s="111" t="str" cm="1">
        <f t="array" aca="1" ref="X109" ca="1">Common_InputFunctions.Utility_DisplayArrayInTable(Fertiliser_SourceData.Fertiliser_Products_Data2(),FertiliserProducts[[#Headers],[Include or Exclude]], 20)</f>
        <v/>
      </c>
      <c r="Y109" s="111" t="str" cm="1">
        <f t="array" aca="1" ref="Y109" ca="1">Common_InputFunctions.Utility_DisplayArrayInTable(Fertiliser_SourceData.Fertiliser_Products_Data2(),FertiliserProducts[[#Headers],[Include or Exclude]], 20)</f>
        <v/>
      </c>
      <c r="Z109" s="111" t="str" cm="1">
        <f t="array" aca="1" ref="Z109" ca="1">Common_InputFunctions.Utility_DisplayArrayInTable(Fertiliser_SourceData.Fertiliser_Products_Data2(),FertiliserProducts[[#Headers],[Include or Exclude]], 20)</f>
        <v/>
      </c>
      <c r="AA109" s="37" t="str" cm="1">
        <f t="array" aca="1" ref="AA109" ca="1">Common_InputFunctions.Utility_DisplayArrayInTable(Fertiliser_SourceData.Fertiliser_Products_Data2(),FertiliserProducts[[#Headers],[Include or Exclude]], 20)</f>
        <v/>
      </c>
      <c r="AB109" s="37" t="str" cm="1">
        <f t="array" aca="1" ref="AB109" ca="1">Common_InputFunctions.Utility_DisplayArrayInTable(Fertiliser_SourceData.Fertiliser_Products_Data2(),FertiliserProducts[[#Headers],[Include or Exclude]], 20)</f>
        <v/>
      </c>
      <c r="AC109" s="37" t="str" cm="1">
        <f t="array" aca="1" ref="AC109" ca="1">Common_InputFunctions.Utility_DisplayArrayInTable(Fertiliser_SourceData.Fertiliser_Products_Data2(),FertiliserProducts[[#Headers],[Include or Exclude]], 20)</f>
        <v/>
      </c>
      <c r="AD109" s="37" t="str" cm="1">
        <f t="array" aca="1" ref="AD109" ca="1">Common_InputFunctions.Utility_DisplayArrayInTable(Fertiliser_SourceData.Fertiliser_Products_Data2(),FertiliserProducts[[#Headers],[Include or Exclude]], 20)</f>
        <v/>
      </c>
      <c r="AE109" s="37" t="str" cm="1">
        <f t="array" aca="1" ref="AE109" ca="1">Common_InputFunctions.Utility_DisplayArrayInTable(Fertiliser_SourceData.Fertiliser_Products_Data2(),FertiliserProducts[[#Headers],[Include or Exclude]], 20)</f>
        <v/>
      </c>
    </row>
    <row r="110" spans="4:31" ht="20.100000000000001" customHeight="1" x14ac:dyDescent="0.25">
      <c r="D110" s="111" t="str" cm="1">
        <f t="array" aca="1" ref="D110" ca="1">Common_InputFunctions.Utility_DisplayArrayInTable(Fertiliser_SourceData.Fertiliser_Products_Data2(),FertiliserProducts[[#Headers],[Include or Exclude]], 20)</f>
        <v/>
      </c>
      <c r="E110" s="111" t="str" cm="1">
        <f t="array" aca="1" ref="E110" ca="1">Common_InputFunctions.Utility_DisplayArrayInTable(Fertiliser_SourceData.Fertiliser_Products_Data2(),FertiliserProducts[[#Headers],[Include or Exclude]], 20)</f>
        <v/>
      </c>
      <c r="F110" s="111" t="str" cm="1">
        <f t="array" aca="1" ref="F110" ca="1">Common_InputFunctions.Utility_DisplayArrayInTable(Fertiliser_SourceData.Fertiliser_Products_Data2(),FertiliserProducts[[#Headers],[Include or Exclude]], 20)</f>
        <v/>
      </c>
      <c r="G110" s="111" t="str" cm="1">
        <f t="array" aca="1" ref="G110" ca="1">Common_InputFunctions.Utility_DisplayArrayInTable(Fertiliser_SourceData.Fertiliser_Products_Data2(),FertiliserProducts[[#Headers],[Include or Exclude]], 20)</f>
        <v/>
      </c>
      <c r="H110" s="111" t="str" cm="1">
        <f t="array" aca="1" ref="H110" ca="1">Common_InputFunctions.Utility_DisplayArrayInTable(Fertiliser_SourceData.Fertiliser_Products_Data2(),FertiliserProducts[[#Headers],[Include or Exclude]], 20)</f>
        <v/>
      </c>
      <c r="I110" s="111" t="str" cm="1">
        <f t="array" aca="1" ref="I110" ca="1">Common_InputFunctions.Utility_DisplayArrayInTable(Fertiliser_SourceData.Fertiliser_Products_Data2(),FertiliserProducts[[#Headers],[Include or Exclude]], 20)</f>
        <v/>
      </c>
      <c r="J110" s="111" t="str" cm="1">
        <f t="array" aca="1" ref="J110" ca="1">Common_InputFunctions.Utility_DisplayArrayInTable(Fertiliser_SourceData.Fertiliser_Products_Data2(),FertiliserProducts[[#Headers],[Include or Exclude]], 20)</f>
        <v/>
      </c>
      <c r="K110" s="111" t="str" cm="1">
        <f t="array" aca="1" ref="K110" ca="1">Common_InputFunctions.Utility_DisplayArrayInTable(Fertiliser_SourceData.Fertiliser_Products_Data2(),FertiliserProducts[[#Headers],[Include or Exclude]], 20)</f>
        <v/>
      </c>
      <c r="L110" s="111" t="str" cm="1">
        <f t="array" aca="1" ref="L110" ca="1">Common_InputFunctions.Utility_DisplayArrayInTable(Fertiliser_SourceData.Fertiliser_Products_Data2(),FertiliserProducts[[#Headers],[Include or Exclude]], 20)</f>
        <v/>
      </c>
      <c r="M110" s="111" t="str" cm="1">
        <f t="array" aca="1" ref="M110" ca="1">Common_InputFunctions.Utility_DisplayArrayInTable(Fertiliser_SourceData.Fertiliser_Products_Data2(),FertiliserProducts[[#Headers],[Include or Exclude]], 20)</f>
        <v/>
      </c>
      <c r="N110" s="111" t="str" cm="1">
        <f t="array" aca="1" ref="N110" ca="1">Common_InputFunctions.Utility_DisplayArrayInTable(Fertiliser_SourceData.Fertiliser_Products_Data2(),FertiliserProducts[[#Headers],[Include or Exclude]], 20)</f>
        <v/>
      </c>
      <c r="O110" s="111" t="str" cm="1">
        <f t="array" aca="1" ref="O110" ca="1">Common_InputFunctions.Utility_DisplayArrayInTable(Fertiliser_SourceData.Fertiliser_Products_Data2(),FertiliserProducts[[#Headers],[Include or Exclude]], 20)</f>
        <v/>
      </c>
      <c r="P110" s="111" t="str" cm="1">
        <f t="array" aca="1" ref="P110" ca="1">Common_InputFunctions.Utility_DisplayArrayInTable(Fertiliser_SourceData.Fertiliser_Products_Data2(),FertiliserProducts[[#Headers],[Include or Exclude]], 20)</f>
        <v/>
      </c>
      <c r="Q110" s="111" t="str" cm="1">
        <f t="array" aca="1" ref="Q110" ca="1">Common_InputFunctions.Utility_DisplayArrayInTable(Fertiliser_SourceData.Fertiliser_Products_Data2(),FertiliserProducts[[#Headers],[Include or Exclude]], 20)</f>
        <v/>
      </c>
      <c r="R110" s="111" t="str" cm="1">
        <f t="array" aca="1" ref="R110" ca="1">Common_InputFunctions.Utility_DisplayArrayInTable(Fertiliser_SourceData.Fertiliser_Products_Data2(),FertiliserProducts[[#Headers],[Include or Exclude]], 20)</f>
        <v/>
      </c>
      <c r="S110" s="111" t="str" cm="1">
        <f t="array" aca="1" ref="S110" ca="1">Common_InputFunctions.Utility_DisplayArrayInTable(Fertiliser_SourceData.Fertiliser_Products_Data2(),FertiliserProducts[[#Headers],[Include or Exclude]], 20)</f>
        <v/>
      </c>
      <c r="T110" s="111" t="str" cm="1">
        <f t="array" aca="1" ref="T110" ca="1">Common_InputFunctions.Utility_DisplayArrayInTable(Fertiliser_SourceData.Fertiliser_Products_Data2(),FertiliserProducts[[#Headers],[Include or Exclude]], 20)</f>
        <v/>
      </c>
      <c r="U110" s="111" t="str" cm="1">
        <f t="array" aca="1" ref="U110" ca="1">Common_InputFunctions.Utility_DisplayArrayInTable(Fertiliser_SourceData.Fertiliser_Products_Data2(),FertiliserProducts[[#Headers],[Include or Exclude]], 20)</f>
        <v/>
      </c>
      <c r="V110" s="111" t="str" cm="1">
        <f t="array" aca="1" ref="V110" ca="1">Common_InputFunctions.Utility_DisplayArrayInTable(Fertiliser_SourceData.Fertiliser_Products_Data2(),FertiliserProducts[[#Headers],[Include or Exclude]], 20)</f>
        <v/>
      </c>
      <c r="W110" s="111" t="str" cm="1">
        <f t="array" aca="1" ref="W110" ca="1">Common_InputFunctions.Utility_DisplayArrayInTable(Fertiliser_SourceData.Fertiliser_Products_Data2(),FertiliserProducts[[#Headers],[Include or Exclude]], 20)</f>
        <v/>
      </c>
      <c r="X110" s="111" t="str" cm="1">
        <f t="array" aca="1" ref="X110" ca="1">Common_InputFunctions.Utility_DisplayArrayInTable(Fertiliser_SourceData.Fertiliser_Products_Data2(),FertiliserProducts[[#Headers],[Include or Exclude]], 20)</f>
        <v/>
      </c>
      <c r="Y110" s="111" t="str" cm="1">
        <f t="array" aca="1" ref="Y110" ca="1">Common_InputFunctions.Utility_DisplayArrayInTable(Fertiliser_SourceData.Fertiliser_Products_Data2(),FertiliserProducts[[#Headers],[Include or Exclude]], 20)</f>
        <v/>
      </c>
      <c r="Z110" s="111" t="str" cm="1">
        <f t="array" aca="1" ref="Z110" ca="1">Common_InputFunctions.Utility_DisplayArrayInTable(Fertiliser_SourceData.Fertiliser_Products_Data2(),FertiliserProducts[[#Headers],[Include or Exclude]], 20)</f>
        <v/>
      </c>
      <c r="AA110" s="37" t="str" cm="1">
        <f t="array" aca="1" ref="AA110" ca="1">Common_InputFunctions.Utility_DisplayArrayInTable(Fertiliser_SourceData.Fertiliser_Products_Data2(),FertiliserProducts[[#Headers],[Include or Exclude]], 20)</f>
        <v/>
      </c>
      <c r="AB110" s="37" t="str" cm="1">
        <f t="array" aca="1" ref="AB110" ca="1">Common_InputFunctions.Utility_DisplayArrayInTable(Fertiliser_SourceData.Fertiliser_Products_Data2(),FertiliserProducts[[#Headers],[Include or Exclude]], 20)</f>
        <v/>
      </c>
      <c r="AC110" s="37" t="str" cm="1">
        <f t="array" aca="1" ref="AC110" ca="1">Common_InputFunctions.Utility_DisplayArrayInTable(Fertiliser_SourceData.Fertiliser_Products_Data2(),FertiliserProducts[[#Headers],[Include or Exclude]], 20)</f>
        <v/>
      </c>
      <c r="AD110" s="37" t="str" cm="1">
        <f t="array" aca="1" ref="AD110" ca="1">Common_InputFunctions.Utility_DisplayArrayInTable(Fertiliser_SourceData.Fertiliser_Products_Data2(),FertiliserProducts[[#Headers],[Include or Exclude]], 20)</f>
        <v/>
      </c>
      <c r="AE110" s="37" t="str" cm="1">
        <f t="array" aca="1" ref="AE110" ca="1">Common_InputFunctions.Utility_DisplayArrayInTable(Fertiliser_SourceData.Fertiliser_Products_Data2(),FertiliserProducts[[#Headers],[Include or Exclude]], 20)</f>
        <v/>
      </c>
    </row>
    <row r="111" spans="4:31" ht="20.100000000000001" customHeight="1" x14ac:dyDescent="0.25">
      <c r="D111" s="111" t="str" cm="1">
        <f t="array" aca="1" ref="D111" ca="1">Common_InputFunctions.Utility_DisplayArrayInTable(Fertiliser_SourceData.Fertiliser_Products_Data2(),FertiliserProducts[[#Headers],[Include or Exclude]], 20)</f>
        <v/>
      </c>
      <c r="E111" s="111" t="str" cm="1">
        <f t="array" aca="1" ref="E111" ca="1">Common_InputFunctions.Utility_DisplayArrayInTable(Fertiliser_SourceData.Fertiliser_Products_Data2(),FertiliserProducts[[#Headers],[Include or Exclude]], 20)</f>
        <v/>
      </c>
      <c r="F111" s="111" t="str" cm="1">
        <f t="array" aca="1" ref="F111" ca="1">Common_InputFunctions.Utility_DisplayArrayInTable(Fertiliser_SourceData.Fertiliser_Products_Data2(),FertiliserProducts[[#Headers],[Include or Exclude]], 20)</f>
        <v/>
      </c>
      <c r="G111" s="111" t="str" cm="1">
        <f t="array" aca="1" ref="G111" ca="1">Common_InputFunctions.Utility_DisplayArrayInTable(Fertiliser_SourceData.Fertiliser_Products_Data2(),FertiliserProducts[[#Headers],[Include or Exclude]], 20)</f>
        <v/>
      </c>
      <c r="H111" s="111" t="str" cm="1">
        <f t="array" aca="1" ref="H111" ca="1">Common_InputFunctions.Utility_DisplayArrayInTable(Fertiliser_SourceData.Fertiliser_Products_Data2(),FertiliserProducts[[#Headers],[Include or Exclude]], 20)</f>
        <v/>
      </c>
      <c r="I111" s="111" t="str" cm="1">
        <f t="array" aca="1" ref="I111" ca="1">Common_InputFunctions.Utility_DisplayArrayInTable(Fertiliser_SourceData.Fertiliser_Products_Data2(),FertiliserProducts[[#Headers],[Include or Exclude]], 20)</f>
        <v/>
      </c>
      <c r="J111" s="111" t="str" cm="1">
        <f t="array" aca="1" ref="J111" ca="1">Common_InputFunctions.Utility_DisplayArrayInTable(Fertiliser_SourceData.Fertiliser_Products_Data2(),FertiliserProducts[[#Headers],[Include or Exclude]], 20)</f>
        <v/>
      </c>
      <c r="K111" s="111" t="str" cm="1">
        <f t="array" aca="1" ref="K111" ca="1">Common_InputFunctions.Utility_DisplayArrayInTable(Fertiliser_SourceData.Fertiliser_Products_Data2(),FertiliserProducts[[#Headers],[Include or Exclude]], 20)</f>
        <v/>
      </c>
      <c r="L111" s="111" t="str" cm="1">
        <f t="array" aca="1" ref="L111" ca="1">Common_InputFunctions.Utility_DisplayArrayInTable(Fertiliser_SourceData.Fertiliser_Products_Data2(),FertiliserProducts[[#Headers],[Include or Exclude]], 20)</f>
        <v/>
      </c>
      <c r="M111" s="111" t="str" cm="1">
        <f t="array" aca="1" ref="M111" ca="1">Common_InputFunctions.Utility_DisplayArrayInTable(Fertiliser_SourceData.Fertiliser_Products_Data2(),FertiliserProducts[[#Headers],[Include or Exclude]], 20)</f>
        <v/>
      </c>
      <c r="N111" s="111" t="str" cm="1">
        <f t="array" aca="1" ref="N111" ca="1">Common_InputFunctions.Utility_DisplayArrayInTable(Fertiliser_SourceData.Fertiliser_Products_Data2(),FertiliserProducts[[#Headers],[Include or Exclude]], 20)</f>
        <v/>
      </c>
      <c r="O111" s="111" t="str" cm="1">
        <f t="array" aca="1" ref="O111" ca="1">Common_InputFunctions.Utility_DisplayArrayInTable(Fertiliser_SourceData.Fertiliser_Products_Data2(),FertiliserProducts[[#Headers],[Include or Exclude]], 20)</f>
        <v/>
      </c>
      <c r="P111" s="111" t="str" cm="1">
        <f t="array" aca="1" ref="P111" ca="1">Common_InputFunctions.Utility_DisplayArrayInTable(Fertiliser_SourceData.Fertiliser_Products_Data2(),FertiliserProducts[[#Headers],[Include or Exclude]], 20)</f>
        <v/>
      </c>
      <c r="Q111" s="111" t="str" cm="1">
        <f t="array" aca="1" ref="Q111" ca="1">Common_InputFunctions.Utility_DisplayArrayInTable(Fertiliser_SourceData.Fertiliser_Products_Data2(),FertiliserProducts[[#Headers],[Include or Exclude]], 20)</f>
        <v/>
      </c>
      <c r="R111" s="111" t="str" cm="1">
        <f t="array" aca="1" ref="R111" ca="1">Common_InputFunctions.Utility_DisplayArrayInTable(Fertiliser_SourceData.Fertiliser_Products_Data2(),FertiliserProducts[[#Headers],[Include or Exclude]], 20)</f>
        <v/>
      </c>
      <c r="S111" s="111" t="str" cm="1">
        <f t="array" aca="1" ref="S111" ca="1">Common_InputFunctions.Utility_DisplayArrayInTable(Fertiliser_SourceData.Fertiliser_Products_Data2(),FertiliserProducts[[#Headers],[Include or Exclude]], 20)</f>
        <v/>
      </c>
      <c r="T111" s="111" t="str" cm="1">
        <f t="array" aca="1" ref="T111" ca="1">Common_InputFunctions.Utility_DisplayArrayInTable(Fertiliser_SourceData.Fertiliser_Products_Data2(),FertiliserProducts[[#Headers],[Include or Exclude]], 20)</f>
        <v/>
      </c>
      <c r="U111" s="111" t="str" cm="1">
        <f t="array" aca="1" ref="U111" ca="1">Common_InputFunctions.Utility_DisplayArrayInTable(Fertiliser_SourceData.Fertiliser_Products_Data2(),FertiliserProducts[[#Headers],[Include or Exclude]], 20)</f>
        <v/>
      </c>
      <c r="V111" s="111" t="str" cm="1">
        <f t="array" aca="1" ref="V111" ca="1">Common_InputFunctions.Utility_DisplayArrayInTable(Fertiliser_SourceData.Fertiliser_Products_Data2(),FertiliserProducts[[#Headers],[Include or Exclude]], 20)</f>
        <v/>
      </c>
      <c r="W111" s="111" t="str" cm="1">
        <f t="array" aca="1" ref="W111" ca="1">Common_InputFunctions.Utility_DisplayArrayInTable(Fertiliser_SourceData.Fertiliser_Products_Data2(),FertiliserProducts[[#Headers],[Include or Exclude]], 20)</f>
        <v/>
      </c>
      <c r="X111" s="111" t="str" cm="1">
        <f t="array" aca="1" ref="X111" ca="1">Common_InputFunctions.Utility_DisplayArrayInTable(Fertiliser_SourceData.Fertiliser_Products_Data2(),FertiliserProducts[[#Headers],[Include or Exclude]], 20)</f>
        <v/>
      </c>
      <c r="Y111" s="111" t="str" cm="1">
        <f t="array" aca="1" ref="Y111" ca="1">Common_InputFunctions.Utility_DisplayArrayInTable(Fertiliser_SourceData.Fertiliser_Products_Data2(),FertiliserProducts[[#Headers],[Include or Exclude]], 20)</f>
        <v/>
      </c>
      <c r="Z111" s="111" t="str" cm="1">
        <f t="array" aca="1" ref="Z111" ca="1">Common_InputFunctions.Utility_DisplayArrayInTable(Fertiliser_SourceData.Fertiliser_Products_Data2(),FertiliserProducts[[#Headers],[Include or Exclude]], 20)</f>
        <v/>
      </c>
      <c r="AA111" s="37" t="str" cm="1">
        <f t="array" aca="1" ref="AA111" ca="1">Common_InputFunctions.Utility_DisplayArrayInTable(Fertiliser_SourceData.Fertiliser_Products_Data2(),FertiliserProducts[[#Headers],[Include or Exclude]], 20)</f>
        <v/>
      </c>
      <c r="AB111" s="37" t="str" cm="1">
        <f t="array" aca="1" ref="AB111" ca="1">Common_InputFunctions.Utility_DisplayArrayInTable(Fertiliser_SourceData.Fertiliser_Products_Data2(),FertiliserProducts[[#Headers],[Include or Exclude]], 20)</f>
        <v/>
      </c>
      <c r="AC111" s="37" t="str" cm="1">
        <f t="array" aca="1" ref="AC111" ca="1">Common_InputFunctions.Utility_DisplayArrayInTable(Fertiliser_SourceData.Fertiliser_Products_Data2(),FertiliserProducts[[#Headers],[Include or Exclude]], 20)</f>
        <v/>
      </c>
      <c r="AD111" s="37" t="str" cm="1">
        <f t="array" aca="1" ref="AD111" ca="1">Common_InputFunctions.Utility_DisplayArrayInTable(Fertiliser_SourceData.Fertiliser_Products_Data2(),FertiliserProducts[[#Headers],[Include or Exclude]], 20)</f>
        <v/>
      </c>
      <c r="AE111" s="37" t="str" cm="1">
        <f t="array" aca="1" ref="AE111" ca="1">Common_InputFunctions.Utility_DisplayArrayInTable(Fertiliser_SourceData.Fertiliser_Products_Data2(),FertiliserProducts[[#Headers],[Include or Exclude]], 20)</f>
        <v/>
      </c>
    </row>
    <row r="112" spans="4:31" ht="20.100000000000001" customHeight="1" x14ac:dyDescent="0.25">
      <c r="D112" s="111" t="str" cm="1">
        <f t="array" aca="1" ref="D112" ca="1">Common_InputFunctions.Utility_DisplayArrayInTable(Fertiliser_SourceData.Fertiliser_Products_Data2(),FertiliserProducts[[#Headers],[Include or Exclude]], 20)</f>
        <v/>
      </c>
      <c r="E112" s="111" t="str" cm="1">
        <f t="array" aca="1" ref="E112" ca="1">Common_InputFunctions.Utility_DisplayArrayInTable(Fertiliser_SourceData.Fertiliser_Products_Data2(),FertiliserProducts[[#Headers],[Include or Exclude]], 20)</f>
        <v/>
      </c>
      <c r="F112" s="111" t="str" cm="1">
        <f t="array" aca="1" ref="F112" ca="1">Common_InputFunctions.Utility_DisplayArrayInTable(Fertiliser_SourceData.Fertiliser_Products_Data2(),FertiliserProducts[[#Headers],[Include or Exclude]], 20)</f>
        <v/>
      </c>
      <c r="G112" s="111" t="str" cm="1">
        <f t="array" aca="1" ref="G112" ca="1">Common_InputFunctions.Utility_DisplayArrayInTable(Fertiliser_SourceData.Fertiliser_Products_Data2(),FertiliserProducts[[#Headers],[Include or Exclude]], 20)</f>
        <v/>
      </c>
      <c r="H112" s="111" t="str" cm="1">
        <f t="array" aca="1" ref="H112" ca="1">Common_InputFunctions.Utility_DisplayArrayInTable(Fertiliser_SourceData.Fertiliser_Products_Data2(),FertiliserProducts[[#Headers],[Include or Exclude]], 20)</f>
        <v/>
      </c>
      <c r="I112" s="111" t="str" cm="1">
        <f t="array" aca="1" ref="I112" ca="1">Common_InputFunctions.Utility_DisplayArrayInTable(Fertiliser_SourceData.Fertiliser_Products_Data2(),FertiliserProducts[[#Headers],[Include or Exclude]], 20)</f>
        <v/>
      </c>
      <c r="J112" s="111" t="str" cm="1">
        <f t="array" aca="1" ref="J112" ca="1">Common_InputFunctions.Utility_DisplayArrayInTable(Fertiliser_SourceData.Fertiliser_Products_Data2(),FertiliserProducts[[#Headers],[Include or Exclude]], 20)</f>
        <v/>
      </c>
      <c r="K112" s="111" t="str" cm="1">
        <f t="array" aca="1" ref="K112" ca="1">Common_InputFunctions.Utility_DisplayArrayInTable(Fertiliser_SourceData.Fertiliser_Products_Data2(),FertiliserProducts[[#Headers],[Include or Exclude]], 20)</f>
        <v/>
      </c>
      <c r="L112" s="111" t="str" cm="1">
        <f t="array" aca="1" ref="L112" ca="1">Common_InputFunctions.Utility_DisplayArrayInTable(Fertiliser_SourceData.Fertiliser_Products_Data2(),FertiliserProducts[[#Headers],[Include or Exclude]], 20)</f>
        <v/>
      </c>
      <c r="M112" s="111" t="str" cm="1">
        <f t="array" aca="1" ref="M112" ca="1">Common_InputFunctions.Utility_DisplayArrayInTable(Fertiliser_SourceData.Fertiliser_Products_Data2(),FertiliserProducts[[#Headers],[Include or Exclude]], 20)</f>
        <v/>
      </c>
      <c r="N112" s="111" t="str" cm="1">
        <f t="array" aca="1" ref="N112" ca="1">Common_InputFunctions.Utility_DisplayArrayInTable(Fertiliser_SourceData.Fertiliser_Products_Data2(),FertiliserProducts[[#Headers],[Include or Exclude]], 20)</f>
        <v/>
      </c>
      <c r="O112" s="111" t="str" cm="1">
        <f t="array" aca="1" ref="O112" ca="1">Common_InputFunctions.Utility_DisplayArrayInTable(Fertiliser_SourceData.Fertiliser_Products_Data2(),FertiliserProducts[[#Headers],[Include or Exclude]], 20)</f>
        <v/>
      </c>
      <c r="P112" s="111" t="str" cm="1">
        <f t="array" aca="1" ref="P112" ca="1">Common_InputFunctions.Utility_DisplayArrayInTable(Fertiliser_SourceData.Fertiliser_Products_Data2(),FertiliserProducts[[#Headers],[Include or Exclude]], 20)</f>
        <v/>
      </c>
      <c r="Q112" s="111" t="str" cm="1">
        <f t="array" aca="1" ref="Q112" ca="1">Common_InputFunctions.Utility_DisplayArrayInTable(Fertiliser_SourceData.Fertiliser_Products_Data2(),FertiliserProducts[[#Headers],[Include or Exclude]], 20)</f>
        <v/>
      </c>
      <c r="R112" s="111" t="str" cm="1">
        <f t="array" aca="1" ref="R112" ca="1">Common_InputFunctions.Utility_DisplayArrayInTable(Fertiliser_SourceData.Fertiliser_Products_Data2(),FertiliserProducts[[#Headers],[Include or Exclude]], 20)</f>
        <v/>
      </c>
      <c r="S112" s="111" t="str" cm="1">
        <f t="array" aca="1" ref="S112" ca="1">Common_InputFunctions.Utility_DisplayArrayInTable(Fertiliser_SourceData.Fertiliser_Products_Data2(),FertiliserProducts[[#Headers],[Include or Exclude]], 20)</f>
        <v/>
      </c>
      <c r="T112" s="111" t="str" cm="1">
        <f t="array" aca="1" ref="T112" ca="1">Common_InputFunctions.Utility_DisplayArrayInTable(Fertiliser_SourceData.Fertiliser_Products_Data2(),FertiliserProducts[[#Headers],[Include or Exclude]], 20)</f>
        <v/>
      </c>
      <c r="U112" s="111" t="str" cm="1">
        <f t="array" aca="1" ref="U112" ca="1">Common_InputFunctions.Utility_DisplayArrayInTable(Fertiliser_SourceData.Fertiliser_Products_Data2(),FertiliserProducts[[#Headers],[Include or Exclude]], 20)</f>
        <v/>
      </c>
      <c r="V112" s="111" t="str" cm="1">
        <f t="array" aca="1" ref="V112" ca="1">Common_InputFunctions.Utility_DisplayArrayInTable(Fertiliser_SourceData.Fertiliser_Products_Data2(),FertiliserProducts[[#Headers],[Include or Exclude]], 20)</f>
        <v/>
      </c>
      <c r="W112" s="111" t="str" cm="1">
        <f t="array" aca="1" ref="W112" ca="1">Common_InputFunctions.Utility_DisplayArrayInTable(Fertiliser_SourceData.Fertiliser_Products_Data2(),FertiliserProducts[[#Headers],[Include or Exclude]], 20)</f>
        <v/>
      </c>
      <c r="X112" s="111" t="str" cm="1">
        <f t="array" aca="1" ref="X112" ca="1">Common_InputFunctions.Utility_DisplayArrayInTable(Fertiliser_SourceData.Fertiliser_Products_Data2(),FertiliserProducts[[#Headers],[Include or Exclude]], 20)</f>
        <v/>
      </c>
      <c r="Y112" s="111" t="str" cm="1">
        <f t="array" aca="1" ref="Y112" ca="1">Common_InputFunctions.Utility_DisplayArrayInTable(Fertiliser_SourceData.Fertiliser_Products_Data2(),FertiliserProducts[[#Headers],[Include or Exclude]], 20)</f>
        <v/>
      </c>
      <c r="Z112" s="111" t="str" cm="1">
        <f t="array" aca="1" ref="Z112" ca="1">Common_InputFunctions.Utility_DisplayArrayInTable(Fertiliser_SourceData.Fertiliser_Products_Data2(),FertiliserProducts[[#Headers],[Include or Exclude]], 20)</f>
        <v/>
      </c>
      <c r="AA112" s="37" t="str" cm="1">
        <f t="array" aca="1" ref="AA112" ca="1">Common_InputFunctions.Utility_DisplayArrayInTable(Fertiliser_SourceData.Fertiliser_Products_Data2(),FertiliserProducts[[#Headers],[Include or Exclude]], 20)</f>
        <v/>
      </c>
      <c r="AB112" s="37" t="str" cm="1">
        <f t="array" aca="1" ref="AB112" ca="1">Common_InputFunctions.Utility_DisplayArrayInTable(Fertiliser_SourceData.Fertiliser_Products_Data2(),FertiliserProducts[[#Headers],[Include or Exclude]], 20)</f>
        <v/>
      </c>
      <c r="AC112" s="37" t="str" cm="1">
        <f t="array" aca="1" ref="AC112" ca="1">Common_InputFunctions.Utility_DisplayArrayInTable(Fertiliser_SourceData.Fertiliser_Products_Data2(),FertiliserProducts[[#Headers],[Include or Exclude]], 20)</f>
        <v/>
      </c>
      <c r="AD112" s="37" t="str" cm="1">
        <f t="array" aca="1" ref="AD112" ca="1">Common_InputFunctions.Utility_DisplayArrayInTable(Fertiliser_SourceData.Fertiliser_Products_Data2(),FertiliserProducts[[#Headers],[Include or Exclude]], 20)</f>
        <v/>
      </c>
      <c r="AE112" s="37" t="str" cm="1">
        <f t="array" aca="1" ref="AE112" ca="1">Common_InputFunctions.Utility_DisplayArrayInTable(Fertiliser_SourceData.Fertiliser_Products_Data2(),FertiliserProducts[[#Headers],[Include or Exclude]], 20)</f>
        <v/>
      </c>
    </row>
    <row r="113" spans="4:31" ht="20.100000000000001" customHeight="1" x14ac:dyDescent="0.25">
      <c r="D113" s="111" t="str" cm="1">
        <f t="array" aca="1" ref="D113" ca="1">Common_InputFunctions.Utility_DisplayArrayInTable(Fertiliser_SourceData.Fertiliser_Products_Data2(),FertiliserProducts[[#Headers],[Include or Exclude]], 20)</f>
        <v/>
      </c>
      <c r="E113" s="111" t="str" cm="1">
        <f t="array" aca="1" ref="E113" ca="1">Common_InputFunctions.Utility_DisplayArrayInTable(Fertiliser_SourceData.Fertiliser_Products_Data2(),FertiliserProducts[[#Headers],[Include or Exclude]], 20)</f>
        <v/>
      </c>
      <c r="F113" s="111" t="str" cm="1">
        <f t="array" aca="1" ref="F113" ca="1">Common_InputFunctions.Utility_DisplayArrayInTable(Fertiliser_SourceData.Fertiliser_Products_Data2(),FertiliserProducts[[#Headers],[Include or Exclude]], 20)</f>
        <v/>
      </c>
      <c r="G113" s="111" t="str" cm="1">
        <f t="array" aca="1" ref="G113" ca="1">Common_InputFunctions.Utility_DisplayArrayInTable(Fertiliser_SourceData.Fertiliser_Products_Data2(),FertiliserProducts[[#Headers],[Include or Exclude]], 20)</f>
        <v/>
      </c>
      <c r="H113" s="111" t="str" cm="1">
        <f t="array" aca="1" ref="H113" ca="1">Common_InputFunctions.Utility_DisplayArrayInTable(Fertiliser_SourceData.Fertiliser_Products_Data2(),FertiliserProducts[[#Headers],[Include or Exclude]], 20)</f>
        <v/>
      </c>
      <c r="I113" s="111" t="str" cm="1">
        <f t="array" aca="1" ref="I113" ca="1">Common_InputFunctions.Utility_DisplayArrayInTable(Fertiliser_SourceData.Fertiliser_Products_Data2(),FertiliserProducts[[#Headers],[Include or Exclude]], 20)</f>
        <v/>
      </c>
      <c r="J113" s="111" t="str" cm="1">
        <f t="array" aca="1" ref="J113" ca="1">Common_InputFunctions.Utility_DisplayArrayInTable(Fertiliser_SourceData.Fertiliser_Products_Data2(),FertiliserProducts[[#Headers],[Include or Exclude]], 20)</f>
        <v/>
      </c>
      <c r="K113" s="111" t="str" cm="1">
        <f t="array" aca="1" ref="K113" ca="1">Common_InputFunctions.Utility_DisplayArrayInTable(Fertiliser_SourceData.Fertiliser_Products_Data2(),FertiliserProducts[[#Headers],[Include or Exclude]], 20)</f>
        <v/>
      </c>
      <c r="L113" s="111" t="str" cm="1">
        <f t="array" aca="1" ref="L113" ca="1">Common_InputFunctions.Utility_DisplayArrayInTable(Fertiliser_SourceData.Fertiliser_Products_Data2(),FertiliserProducts[[#Headers],[Include or Exclude]], 20)</f>
        <v/>
      </c>
      <c r="M113" s="111" t="str" cm="1">
        <f t="array" aca="1" ref="M113" ca="1">Common_InputFunctions.Utility_DisplayArrayInTable(Fertiliser_SourceData.Fertiliser_Products_Data2(),FertiliserProducts[[#Headers],[Include or Exclude]], 20)</f>
        <v/>
      </c>
      <c r="N113" s="111" t="str" cm="1">
        <f t="array" aca="1" ref="N113" ca="1">Common_InputFunctions.Utility_DisplayArrayInTable(Fertiliser_SourceData.Fertiliser_Products_Data2(),FertiliserProducts[[#Headers],[Include or Exclude]], 20)</f>
        <v/>
      </c>
      <c r="O113" s="111" t="str" cm="1">
        <f t="array" aca="1" ref="O113" ca="1">Common_InputFunctions.Utility_DisplayArrayInTable(Fertiliser_SourceData.Fertiliser_Products_Data2(),FertiliserProducts[[#Headers],[Include or Exclude]], 20)</f>
        <v/>
      </c>
      <c r="P113" s="111" t="str" cm="1">
        <f t="array" aca="1" ref="P113" ca="1">Common_InputFunctions.Utility_DisplayArrayInTable(Fertiliser_SourceData.Fertiliser_Products_Data2(),FertiliserProducts[[#Headers],[Include or Exclude]], 20)</f>
        <v/>
      </c>
      <c r="Q113" s="111" t="str" cm="1">
        <f t="array" aca="1" ref="Q113" ca="1">Common_InputFunctions.Utility_DisplayArrayInTable(Fertiliser_SourceData.Fertiliser_Products_Data2(),FertiliserProducts[[#Headers],[Include or Exclude]], 20)</f>
        <v/>
      </c>
      <c r="R113" s="111" t="str" cm="1">
        <f t="array" aca="1" ref="R113" ca="1">Common_InputFunctions.Utility_DisplayArrayInTable(Fertiliser_SourceData.Fertiliser_Products_Data2(),FertiliserProducts[[#Headers],[Include or Exclude]], 20)</f>
        <v/>
      </c>
      <c r="S113" s="111" t="str" cm="1">
        <f t="array" aca="1" ref="S113" ca="1">Common_InputFunctions.Utility_DisplayArrayInTable(Fertiliser_SourceData.Fertiliser_Products_Data2(),FertiliserProducts[[#Headers],[Include or Exclude]], 20)</f>
        <v/>
      </c>
      <c r="T113" s="111" t="str" cm="1">
        <f t="array" aca="1" ref="T113" ca="1">Common_InputFunctions.Utility_DisplayArrayInTable(Fertiliser_SourceData.Fertiliser_Products_Data2(),FertiliserProducts[[#Headers],[Include or Exclude]], 20)</f>
        <v/>
      </c>
      <c r="U113" s="111" t="str" cm="1">
        <f t="array" aca="1" ref="U113" ca="1">Common_InputFunctions.Utility_DisplayArrayInTable(Fertiliser_SourceData.Fertiliser_Products_Data2(),FertiliserProducts[[#Headers],[Include or Exclude]], 20)</f>
        <v/>
      </c>
      <c r="V113" s="111" t="str" cm="1">
        <f t="array" aca="1" ref="V113" ca="1">Common_InputFunctions.Utility_DisplayArrayInTable(Fertiliser_SourceData.Fertiliser_Products_Data2(),FertiliserProducts[[#Headers],[Include or Exclude]], 20)</f>
        <v/>
      </c>
      <c r="W113" s="111" t="str" cm="1">
        <f t="array" aca="1" ref="W113" ca="1">Common_InputFunctions.Utility_DisplayArrayInTable(Fertiliser_SourceData.Fertiliser_Products_Data2(),FertiliserProducts[[#Headers],[Include or Exclude]], 20)</f>
        <v/>
      </c>
      <c r="X113" s="111" t="str" cm="1">
        <f t="array" aca="1" ref="X113" ca="1">Common_InputFunctions.Utility_DisplayArrayInTable(Fertiliser_SourceData.Fertiliser_Products_Data2(),FertiliserProducts[[#Headers],[Include or Exclude]], 20)</f>
        <v/>
      </c>
      <c r="Y113" s="111" t="str" cm="1">
        <f t="array" aca="1" ref="Y113" ca="1">Common_InputFunctions.Utility_DisplayArrayInTable(Fertiliser_SourceData.Fertiliser_Products_Data2(),FertiliserProducts[[#Headers],[Include or Exclude]], 20)</f>
        <v/>
      </c>
      <c r="Z113" s="111" t="str" cm="1">
        <f t="array" aca="1" ref="Z113" ca="1">Common_InputFunctions.Utility_DisplayArrayInTable(Fertiliser_SourceData.Fertiliser_Products_Data2(),FertiliserProducts[[#Headers],[Include or Exclude]], 20)</f>
        <v/>
      </c>
      <c r="AA113" s="37" t="str" cm="1">
        <f t="array" aca="1" ref="AA113" ca="1">Common_InputFunctions.Utility_DisplayArrayInTable(Fertiliser_SourceData.Fertiliser_Products_Data2(),FertiliserProducts[[#Headers],[Include or Exclude]], 20)</f>
        <v/>
      </c>
      <c r="AB113" s="37" t="str" cm="1">
        <f t="array" aca="1" ref="AB113" ca="1">Common_InputFunctions.Utility_DisplayArrayInTable(Fertiliser_SourceData.Fertiliser_Products_Data2(),FertiliserProducts[[#Headers],[Include or Exclude]], 20)</f>
        <v/>
      </c>
      <c r="AC113" s="37" t="str" cm="1">
        <f t="array" aca="1" ref="AC113" ca="1">Common_InputFunctions.Utility_DisplayArrayInTable(Fertiliser_SourceData.Fertiliser_Products_Data2(),FertiliserProducts[[#Headers],[Include or Exclude]], 20)</f>
        <v/>
      </c>
      <c r="AD113" s="37" t="str" cm="1">
        <f t="array" aca="1" ref="AD113" ca="1">Common_InputFunctions.Utility_DisplayArrayInTable(Fertiliser_SourceData.Fertiliser_Products_Data2(),FertiliserProducts[[#Headers],[Include or Exclude]], 20)</f>
        <v/>
      </c>
      <c r="AE113" s="37" t="str" cm="1">
        <f t="array" aca="1" ref="AE113" ca="1">Common_InputFunctions.Utility_DisplayArrayInTable(Fertiliser_SourceData.Fertiliser_Products_Data2(),FertiliserProducts[[#Headers],[Include or Exclude]], 20)</f>
        <v/>
      </c>
    </row>
    <row r="114" spans="4:31" ht="20.100000000000001" customHeight="1" x14ac:dyDescent="0.25">
      <c r="D114" s="111" t="str" cm="1">
        <f t="array" aca="1" ref="D114" ca="1">Common_InputFunctions.Utility_DisplayArrayInTable(Fertiliser_SourceData.Fertiliser_Products_Data2(),FertiliserProducts[[#Headers],[Include or Exclude]], 20)</f>
        <v/>
      </c>
      <c r="E114" s="111" t="str" cm="1">
        <f t="array" aca="1" ref="E114" ca="1">Common_InputFunctions.Utility_DisplayArrayInTable(Fertiliser_SourceData.Fertiliser_Products_Data2(),FertiliserProducts[[#Headers],[Include or Exclude]], 20)</f>
        <v/>
      </c>
      <c r="F114" s="111" t="str" cm="1">
        <f t="array" aca="1" ref="F114" ca="1">Common_InputFunctions.Utility_DisplayArrayInTable(Fertiliser_SourceData.Fertiliser_Products_Data2(),FertiliserProducts[[#Headers],[Include or Exclude]], 20)</f>
        <v/>
      </c>
      <c r="G114" s="111" t="str" cm="1">
        <f t="array" aca="1" ref="G114" ca="1">Common_InputFunctions.Utility_DisplayArrayInTable(Fertiliser_SourceData.Fertiliser_Products_Data2(),FertiliserProducts[[#Headers],[Include or Exclude]], 20)</f>
        <v/>
      </c>
      <c r="H114" s="111" t="str" cm="1">
        <f t="array" aca="1" ref="H114" ca="1">Common_InputFunctions.Utility_DisplayArrayInTable(Fertiliser_SourceData.Fertiliser_Products_Data2(),FertiliserProducts[[#Headers],[Include or Exclude]], 20)</f>
        <v/>
      </c>
      <c r="I114" s="111" t="str" cm="1">
        <f t="array" aca="1" ref="I114" ca="1">Common_InputFunctions.Utility_DisplayArrayInTable(Fertiliser_SourceData.Fertiliser_Products_Data2(),FertiliserProducts[[#Headers],[Include or Exclude]], 20)</f>
        <v/>
      </c>
      <c r="J114" s="111" t="str" cm="1">
        <f t="array" aca="1" ref="J114" ca="1">Common_InputFunctions.Utility_DisplayArrayInTable(Fertiliser_SourceData.Fertiliser_Products_Data2(),FertiliserProducts[[#Headers],[Include or Exclude]], 20)</f>
        <v/>
      </c>
      <c r="K114" s="111" t="str" cm="1">
        <f t="array" aca="1" ref="K114" ca="1">Common_InputFunctions.Utility_DisplayArrayInTable(Fertiliser_SourceData.Fertiliser_Products_Data2(),FertiliserProducts[[#Headers],[Include or Exclude]], 20)</f>
        <v/>
      </c>
      <c r="L114" s="111" t="str" cm="1">
        <f t="array" aca="1" ref="L114" ca="1">Common_InputFunctions.Utility_DisplayArrayInTable(Fertiliser_SourceData.Fertiliser_Products_Data2(),FertiliserProducts[[#Headers],[Include or Exclude]], 20)</f>
        <v/>
      </c>
      <c r="M114" s="111" t="str" cm="1">
        <f t="array" aca="1" ref="M114" ca="1">Common_InputFunctions.Utility_DisplayArrayInTable(Fertiliser_SourceData.Fertiliser_Products_Data2(),FertiliserProducts[[#Headers],[Include or Exclude]], 20)</f>
        <v/>
      </c>
      <c r="N114" s="111" t="str" cm="1">
        <f t="array" aca="1" ref="N114" ca="1">Common_InputFunctions.Utility_DisplayArrayInTable(Fertiliser_SourceData.Fertiliser_Products_Data2(),FertiliserProducts[[#Headers],[Include or Exclude]], 20)</f>
        <v/>
      </c>
      <c r="O114" s="111" t="str" cm="1">
        <f t="array" aca="1" ref="O114" ca="1">Common_InputFunctions.Utility_DisplayArrayInTable(Fertiliser_SourceData.Fertiliser_Products_Data2(),FertiliserProducts[[#Headers],[Include or Exclude]], 20)</f>
        <v/>
      </c>
      <c r="P114" s="111" t="str" cm="1">
        <f t="array" aca="1" ref="P114" ca="1">Common_InputFunctions.Utility_DisplayArrayInTable(Fertiliser_SourceData.Fertiliser_Products_Data2(),FertiliserProducts[[#Headers],[Include or Exclude]], 20)</f>
        <v/>
      </c>
      <c r="Q114" s="111" t="str" cm="1">
        <f t="array" aca="1" ref="Q114" ca="1">Common_InputFunctions.Utility_DisplayArrayInTable(Fertiliser_SourceData.Fertiliser_Products_Data2(),FertiliserProducts[[#Headers],[Include or Exclude]], 20)</f>
        <v/>
      </c>
      <c r="R114" s="111" t="str" cm="1">
        <f t="array" aca="1" ref="R114" ca="1">Common_InputFunctions.Utility_DisplayArrayInTable(Fertiliser_SourceData.Fertiliser_Products_Data2(),FertiliserProducts[[#Headers],[Include or Exclude]], 20)</f>
        <v/>
      </c>
      <c r="S114" s="111" t="str" cm="1">
        <f t="array" aca="1" ref="S114" ca="1">Common_InputFunctions.Utility_DisplayArrayInTable(Fertiliser_SourceData.Fertiliser_Products_Data2(),FertiliserProducts[[#Headers],[Include or Exclude]], 20)</f>
        <v/>
      </c>
      <c r="T114" s="111" t="str" cm="1">
        <f t="array" aca="1" ref="T114" ca="1">Common_InputFunctions.Utility_DisplayArrayInTable(Fertiliser_SourceData.Fertiliser_Products_Data2(),FertiliserProducts[[#Headers],[Include or Exclude]], 20)</f>
        <v/>
      </c>
      <c r="U114" s="111" t="str" cm="1">
        <f t="array" aca="1" ref="U114" ca="1">Common_InputFunctions.Utility_DisplayArrayInTable(Fertiliser_SourceData.Fertiliser_Products_Data2(),FertiliserProducts[[#Headers],[Include or Exclude]], 20)</f>
        <v/>
      </c>
      <c r="V114" s="111" t="str" cm="1">
        <f t="array" aca="1" ref="V114" ca="1">Common_InputFunctions.Utility_DisplayArrayInTable(Fertiliser_SourceData.Fertiliser_Products_Data2(),FertiliserProducts[[#Headers],[Include or Exclude]], 20)</f>
        <v/>
      </c>
      <c r="W114" s="111" t="str" cm="1">
        <f t="array" aca="1" ref="W114" ca="1">Common_InputFunctions.Utility_DisplayArrayInTable(Fertiliser_SourceData.Fertiliser_Products_Data2(),FertiliserProducts[[#Headers],[Include or Exclude]], 20)</f>
        <v/>
      </c>
      <c r="X114" s="111" t="str" cm="1">
        <f t="array" aca="1" ref="X114" ca="1">Common_InputFunctions.Utility_DisplayArrayInTable(Fertiliser_SourceData.Fertiliser_Products_Data2(),FertiliserProducts[[#Headers],[Include or Exclude]], 20)</f>
        <v/>
      </c>
      <c r="Y114" s="111" t="str" cm="1">
        <f t="array" aca="1" ref="Y114" ca="1">Common_InputFunctions.Utility_DisplayArrayInTable(Fertiliser_SourceData.Fertiliser_Products_Data2(),FertiliserProducts[[#Headers],[Include or Exclude]], 20)</f>
        <v/>
      </c>
      <c r="Z114" s="111" t="str" cm="1">
        <f t="array" aca="1" ref="Z114" ca="1">Common_InputFunctions.Utility_DisplayArrayInTable(Fertiliser_SourceData.Fertiliser_Products_Data2(),FertiliserProducts[[#Headers],[Include or Exclude]], 20)</f>
        <v/>
      </c>
      <c r="AA114" s="37" t="str" cm="1">
        <f t="array" aca="1" ref="AA114" ca="1">Common_InputFunctions.Utility_DisplayArrayInTable(Fertiliser_SourceData.Fertiliser_Products_Data2(),FertiliserProducts[[#Headers],[Include or Exclude]], 20)</f>
        <v/>
      </c>
      <c r="AB114" s="37" t="str" cm="1">
        <f t="array" aca="1" ref="AB114" ca="1">Common_InputFunctions.Utility_DisplayArrayInTable(Fertiliser_SourceData.Fertiliser_Products_Data2(),FertiliserProducts[[#Headers],[Include or Exclude]], 20)</f>
        <v/>
      </c>
      <c r="AC114" s="37" t="str" cm="1">
        <f t="array" aca="1" ref="AC114" ca="1">Common_InputFunctions.Utility_DisplayArrayInTable(Fertiliser_SourceData.Fertiliser_Products_Data2(),FertiliserProducts[[#Headers],[Include or Exclude]], 20)</f>
        <v/>
      </c>
      <c r="AD114" s="37" t="str" cm="1">
        <f t="array" aca="1" ref="AD114" ca="1">Common_InputFunctions.Utility_DisplayArrayInTable(Fertiliser_SourceData.Fertiliser_Products_Data2(),FertiliserProducts[[#Headers],[Include or Exclude]], 20)</f>
        <v/>
      </c>
      <c r="AE114" s="37" t="str" cm="1">
        <f t="array" aca="1" ref="AE114" ca="1">Common_InputFunctions.Utility_DisplayArrayInTable(Fertiliser_SourceData.Fertiliser_Products_Data2(),FertiliserProducts[[#Headers],[Include or Exclude]], 20)</f>
        <v/>
      </c>
    </row>
    <row r="115" spans="4:31" ht="20.100000000000001" customHeight="1" x14ac:dyDescent="0.25">
      <c r="D115" s="111" t="str" cm="1">
        <f t="array" aca="1" ref="D115" ca="1">Common_InputFunctions.Utility_DisplayArrayInTable(Fertiliser_SourceData.Fertiliser_Products_Data2(),FertiliserProducts[[#Headers],[Include or Exclude]], 20)</f>
        <v/>
      </c>
      <c r="E115" s="111" t="str" cm="1">
        <f t="array" aca="1" ref="E115" ca="1">Common_InputFunctions.Utility_DisplayArrayInTable(Fertiliser_SourceData.Fertiliser_Products_Data2(),FertiliserProducts[[#Headers],[Include or Exclude]], 20)</f>
        <v/>
      </c>
      <c r="F115" s="111" t="str" cm="1">
        <f t="array" aca="1" ref="F115" ca="1">Common_InputFunctions.Utility_DisplayArrayInTable(Fertiliser_SourceData.Fertiliser_Products_Data2(),FertiliserProducts[[#Headers],[Include or Exclude]], 20)</f>
        <v/>
      </c>
      <c r="G115" s="111" t="str" cm="1">
        <f t="array" aca="1" ref="G115" ca="1">Common_InputFunctions.Utility_DisplayArrayInTable(Fertiliser_SourceData.Fertiliser_Products_Data2(),FertiliserProducts[[#Headers],[Include or Exclude]], 20)</f>
        <v/>
      </c>
      <c r="H115" s="111" t="str" cm="1">
        <f t="array" aca="1" ref="H115" ca="1">Common_InputFunctions.Utility_DisplayArrayInTable(Fertiliser_SourceData.Fertiliser_Products_Data2(),FertiliserProducts[[#Headers],[Include or Exclude]], 20)</f>
        <v/>
      </c>
      <c r="I115" s="111" t="str" cm="1">
        <f t="array" aca="1" ref="I115" ca="1">Common_InputFunctions.Utility_DisplayArrayInTable(Fertiliser_SourceData.Fertiliser_Products_Data2(),FertiliserProducts[[#Headers],[Include or Exclude]], 20)</f>
        <v/>
      </c>
      <c r="J115" s="111" t="str" cm="1">
        <f t="array" aca="1" ref="J115" ca="1">Common_InputFunctions.Utility_DisplayArrayInTable(Fertiliser_SourceData.Fertiliser_Products_Data2(),FertiliserProducts[[#Headers],[Include or Exclude]], 20)</f>
        <v/>
      </c>
      <c r="K115" s="111" t="str" cm="1">
        <f t="array" aca="1" ref="K115" ca="1">Common_InputFunctions.Utility_DisplayArrayInTable(Fertiliser_SourceData.Fertiliser_Products_Data2(),FertiliserProducts[[#Headers],[Include or Exclude]], 20)</f>
        <v/>
      </c>
      <c r="L115" s="111" t="str" cm="1">
        <f t="array" aca="1" ref="L115" ca="1">Common_InputFunctions.Utility_DisplayArrayInTable(Fertiliser_SourceData.Fertiliser_Products_Data2(),FertiliserProducts[[#Headers],[Include or Exclude]], 20)</f>
        <v/>
      </c>
      <c r="M115" s="111" t="str" cm="1">
        <f t="array" aca="1" ref="M115" ca="1">Common_InputFunctions.Utility_DisplayArrayInTable(Fertiliser_SourceData.Fertiliser_Products_Data2(),FertiliserProducts[[#Headers],[Include or Exclude]], 20)</f>
        <v/>
      </c>
      <c r="N115" s="111" t="str" cm="1">
        <f t="array" aca="1" ref="N115" ca="1">Common_InputFunctions.Utility_DisplayArrayInTable(Fertiliser_SourceData.Fertiliser_Products_Data2(),FertiliserProducts[[#Headers],[Include or Exclude]], 20)</f>
        <v/>
      </c>
      <c r="O115" s="111" t="str" cm="1">
        <f t="array" aca="1" ref="O115" ca="1">Common_InputFunctions.Utility_DisplayArrayInTable(Fertiliser_SourceData.Fertiliser_Products_Data2(),FertiliserProducts[[#Headers],[Include or Exclude]], 20)</f>
        <v/>
      </c>
      <c r="P115" s="111" t="str" cm="1">
        <f t="array" aca="1" ref="P115" ca="1">Common_InputFunctions.Utility_DisplayArrayInTable(Fertiliser_SourceData.Fertiliser_Products_Data2(),FertiliserProducts[[#Headers],[Include or Exclude]], 20)</f>
        <v/>
      </c>
      <c r="Q115" s="111" t="str" cm="1">
        <f t="array" aca="1" ref="Q115" ca="1">Common_InputFunctions.Utility_DisplayArrayInTable(Fertiliser_SourceData.Fertiliser_Products_Data2(),FertiliserProducts[[#Headers],[Include or Exclude]], 20)</f>
        <v/>
      </c>
      <c r="R115" s="111" t="str" cm="1">
        <f t="array" aca="1" ref="R115" ca="1">Common_InputFunctions.Utility_DisplayArrayInTable(Fertiliser_SourceData.Fertiliser_Products_Data2(),FertiliserProducts[[#Headers],[Include or Exclude]], 20)</f>
        <v/>
      </c>
      <c r="S115" s="111" t="str" cm="1">
        <f t="array" aca="1" ref="S115" ca="1">Common_InputFunctions.Utility_DisplayArrayInTable(Fertiliser_SourceData.Fertiliser_Products_Data2(),FertiliserProducts[[#Headers],[Include or Exclude]], 20)</f>
        <v/>
      </c>
      <c r="T115" s="111" t="str" cm="1">
        <f t="array" aca="1" ref="T115" ca="1">Common_InputFunctions.Utility_DisplayArrayInTable(Fertiliser_SourceData.Fertiliser_Products_Data2(),FertiliserProducts[[#Headers],[Include or Exclude]], 20)</f>
        <v/>
      </c>
      <c r="U115" s="111" t="str" cm="1">
        <f t="array" aca="1" ref="U115" ca="1">Common_InputFunctions.Utility_DisplayArrayInTable(Fertiliser_SourceData.Fertiliser_Products_Data2(),FertiliserProducts[[#Headers],[Include or Exclude]], 20)</f>
        <v/>
      </c>
      <c r="V115" s="111" t="str" cm="1">
        <f t="array" aca="1" ref="V115" ca="1">Common_InputFunctions.Utility_DisplayArrayInTable(Fertiliser_SourceData.Fertiliser_Products_Data2(),FertiliserProducts[[#Headers],[Include or Exclude]], 20)</f>
        <v/>
      </c>
      <c r="W115" s="111" t="str" cm="1">
        <f t="array" aca="1" ref="W115" ca="1">Common_InputFunctions.Utility_DisplayArrayInTable(Fertiliser_SourceData.Fertiliser_Products_Data2(),FertiliserProducts[[#Headers],[Include or Exclude]], 20)</f>
        <v/>
      </c>
      <c r="X115" s="111" t="str" cm="1">
        <f t="array" aca="1" ref="X115" ca="1">Common_InputFunctions.Utility_DisplayArrayInTable(Fertiliser_SourceData.Fertiliser_Products_Data2(),FertiliserProducts[[#Headers],[Include or Exclude]], 20)</f>
        <v/>
      </c>
      <c r="Y115" s="111" t="str" cm="1">
        <f t="array" aca="1" ref="Y115" ca="1">Common_InputFunctions.Utility_DisplayArrayInTable(Fertiliser_SourceData.Fertiliser_Products_Data2(),FertiliserProducts[[#Headers],[Include or Exclude]], 20)</f>
        <v/>
      </c>
      <c r="Z115" s="111" t="str" cm="1">
        <f t="array" aca="1" ref="Z115" ca="1">Common_InputFunctions.Utility_DisplayArrayInTable(Fertiliser_SourceData.Fertiliser_Products_Data2(),FertiliserProducts[[#Headers],[Include or Exclude]], 20)</f>
        <v/>
      </c>
      <c r="AA115" s="37" t="str" cm="1">
        <f t="array" aca="1" ref="AA115" ca="1">Common_InputFunctions.Utility_DisplayArrayInTable(Fertiliser_SourceData.Fertiliser_Products_Data2(),FertiliserProducts[[#Headers],[Include or Exclude]], 20)</f>
        <v/>
      </c>
      <c r="AB115" s="37" t="str" cm="1">
        <f t="array" aca="1" ref="AB115" ca="1">Common_InputFunctions.Utility_DisplayArrayInTable(Fertiliser_SourceData.Fertiliser_Products_Data2(),FertiliserProducts[[#Headers],[Include or Exclude]], 20)</f>
        <v/>
      </c>
      <c r="AC115" s="37" t="str" cm="1">
        <f t="array" aca="1" ref="AC115" ca="1">Common_InputFunctions.Utility_DisplayArrayInTable(Fertiliser_SourceData.Fertiliser_Products_Data2(),FertiliserProducts[[#Headers],[Include or Exclude]], 20)</f>
        <v/>
      </c>
      <c r="AD115" s="37" t="str" cm="1">
        <f t="array" aca="1" ref="AD115" ca="1">Common_InputFunctions.Utility_DisplayArrayInTable(Fertiliser_SourceData.Fertiliser_Products_Data2(),FertiliserProducts[[#Headers],[Include or Exclude]], 20)</f>
        <v/>
      </c>
      <c r="AE115" s="37" t="str" cm="1">
        <f t="array" aca="1" ref="AE115" ca="1">Common_InputFunctions.Utility_DisplayArrayInTable(Fertiliser_SourceData.Fertiliser_Products_Data2(),FertiliserProducts[[#Headers],[Include or Exclude]], 20)</f>
        <v/>
      </c>
    </row>
    <row r="116" spans="4:31" ht="20.100000000000001" customHeight="1" x14ac:dyDescent="0.25">
      <c r="D116" s="111" t="str" cm="1">
        <f t="array" aca="1" ref="D116" ca="1">Common_InputFunctions.Utility_DisplayArrayInTable(Fertiliser_SourceData.Fertiliser_Products_Data2(),FertiliserProducts[[#Headers],[Include or Exclude]], 20)</f>
        <v/>
      </c>
      <c r="E116" s="111" t="str" cm="1">
        <f t="array" aca="1" ref="E116" ca="1">Common_InputFunctions.Utility_DisplayArrayInTable(Fertiliser_SourceData.Fertiliser_Products_Data2(),FertiliserProducts[[#Headers],[Include or Exclude]], 20)</f>
        <v/>
      </c>
      <c r="F116" s="111" t="str" cm="1">
        <f t="array" aca="1" ref="F116" ca="1">Common_InputFunctions.Utility_DisplayArrayInTable(Fertiliser_SourceData.Fertiliser_Products_Data2(),FertiliserProducts[[#Headers],[Include or Exclude]], 20)</f>
        <v/>
      </c>
      <c r="G116" s="111" t="str" cm="1">
        <f t="array" aca="1" ref="G116" ca="1">Common_InputFunctions.Utility_DisplayArrayInTable(Fertiliser_SourceData.Fertiliser_Products_Data2(),FertiliserProducts[[#Headers],[Include or Exclude]], 20)</f>
        <v/>
      </c>
      <c r="H116" s="111" t="str" cm="1">
        <f t="array" aca="1" ref="H116" ca="1">Common_InputFunctions.Utility_DisplayArrayInTable(Fertiliser_SourceData.Fertiliser_Products_Data2(),FertiliserProducts[[#Headers],[Include or Exclude]], 20)</f>
        <v/>
      </c>
      <c r="I116" s="111" t="str" cm="1">
        <f t="array" aca="1" ref="I116" ca="1">Common_InputFunctions.Utility_DisplayArrayInTable(Fertiliser_SourceData.Fertiliser_Products_Data2(),FertiliserProducts[[#Headers],[Include or Exclude]], 20)</f>
        <v/>
      </c>
      <c r="J116" s="111" t="str" cm="1">
        <f t="array" aca="1" ref="J116" ca="1">Common_InputFunctions.Utility_DisplayArrayInTable(Fertiliser_SourceData.Fertiliser_Products_Data2(),FertiliserProducts[[#Headers],[Include or Exclude]], 20)</f>
        <v/>
      </c>
      <c r="K116" s="111" t="str" cm="1">
        <f t="array" aca="1" ref="K116" ca="1">Common_InputFunctions.Utility_DisplayArrayInTable(Fertiliser_SourceData.Fertiliser_Products_Data2(),FertiliserProducts[[#Headers],[Include or Exclude]], 20)</f>
        <v/>
      </c>
      <c r="L116" s="111" t="str" cm="1">
        <f t="array" aca="1" ref="L116" ca="1">Common_InputFunctions.Utility_DisplayArrayInTable(Fertiliser_SourceData.Fertiliser_Products_Data2(),FertiliserProducts[[#Headers],[Include or Exclude]], 20)</f>
        <v/>
      </c>
      <c r="M116" s="111" t="str" cm="1">
        <f t="array" aca="1" ref="M116" ca="1">Common_InputFunctions.Utility_DisplayArrayInTable(Fertiliser_SourceData.Fertiliser_Products_Data2(),FertiliserProducts[[#Headers],[Include or Exclude]], 20)</f>
        <v/>
      </c>
      <c r="N116" s="111" t="str" cm="1">
        <f t="array" aca="1" ref="N116" ca="1">Common_InputFunctions.Utility_DisplayArrayInTable(Fertiliser_SourceData.Fertiliser_Products_Data2(),FertiliserProducts[[#Headers],[Include or Exclude]], 20)</f>
        <v/>
      </c>
      <c r="O116" s="111" t="str" cm="1">
        <f t="array" aca="1" ref="O116" ca="1">Common_InputFunctions.Utility_DisplayArrayInTable(Fertiliser_SourceData.Fertiliser_Products_Data2(),FertiliserProducts[[#Headers],[Include or Exclude]], 20)</f>
        <v/>
      </c>
      <c r="P116" s="111" t="str" cm="1">
        <f t="array" aca="1" ref="P116" ca="1">Common_InputFunctions.Utility_DisplayArrayInTable(Fertiliser_SourceData.Fertiliser_Products_Data2(),FertiliserProducts[[#Headers],[Include or Exclude]], 20)</f>
        <v/>
      </c>
      <c r="Q116" s="111" t="str" cm="1">
        <f t="array" aca="1" ref="Q116" ca="1">Common_InputFunctions.Utility_DisplayArrayInTable(Fertiliser_SourceData.Fertiliser_Products_Data2(),FertiliserProducts[[#Headers],[Include or Exclude]], 20)</f>
        <v/>
      </c>
      <c r="R116" s="111" t="str" cm="1">
        <f t="array" aca="1" ref="R116" ca="1">Common_InputFunctions.Utility_DisplayArrayInTable(Fertiliser_SourceData.Fertiliser_Products_Data2(),FertiliserProducts[[#Headers],[Include or Exclude]], 20)</f>
        <v/>
      </c>
      <c r="S116" s="111" t="str" cm="1">
        <f t="array" aca="1" ref="S116" ca="1">Common_InputFunctions.Utility_DisplayArrayInTable(Fertiliser_SourceData.Fertiliser_Products_Data2(),FertiliserProducts[[#Headers],[Include or Exclude]], 20)</f>
        <v/>
      </c>
      <c r="T116" s="111" t="str" cm="1">
        <f t="array" aca="1" ref="T116" ca="1">Common_InputFunctions.Utility_DisplayArrayInTable(Fertiliser_SourceData.Fertiliser_Products_Data2(),FertiliserProducts[[#Headers],[Include or Exclude]], 20)</f>
        <v/>
      </c>
      <c r="U116" s="111" t="str" cm="1">
        <f t="array" aca="1" ref="U116" ca="1">Common_InputFunctions.Utility_DisplayArrayInTable(Fertiliser_SourceData.Fertiliser_Products_Data2(),FertiliserProducts[[#Headers],[Include or Exclude]], 20)</f>
        <v/>
      </c>
      <c r="V116" s="111" t="str" cm="1">
        <f t="array" aca="1" ref="V116" ca="1">Common_InputFunctions.Utility_DisplayArrayInTable(Fertiliser_SourceData.Fertiliser_Products_Data2(),FertiliserProducts[[#Headers],[Include or Exclude]], 20)</f>
        <v/>
      </c>
      <c r="W116" s="111" t="str" cm="1">
        <f t="array" aca="1" ref="W116" ca="1">Common_InputFunctions.Utility_DisplayArrayInTable(Fertiliser_SourceData.Fertiliser_Products_Data2(),FertiliserProducts[[#Headers],[Include or Exclude]], 20)</f>
        <v/>
      </c>
      <c r="X116" s="111" t="str" cm="1">
        <f t="array" aca="1" ref="X116" ca="1">Common_InputFunctions.Utility_DisplayArrayInTable(Fertiliser_SourceData.Fertiliser_Products_Data2(),FertiliserProducts[[#Headers],[Include or Exclude]], 20)</f>
        <v/>
      </c>
      <c r="Y116" s="111" t="str" cm="1">
        <f t="array" aca="1" ref="Y116" ca="1">Common_InputFunctions.Utility_DisplayArrayInTable(Fertiliser_SourceData.Fertiliser_Products_Data2(),FertiliserProducts[[#Headers],[Include or Exclude]], 20)</f>
        <v/>
      </c>
      <c r="Z116" s="111" t="str" cm="1">
        <f t="array" aca="1" ref="Z116" ca="1">Common_InputFunctions.Utility_DisplayArrayInTable(Fertiliser_SourceData.Fertiliser_Products_Data2(),FertiliserProducts[[#Headers],[Include or Exclude]], 20)</f>
        <v/>
      </c>
      <c r="AA116" s="37" t="str" cm="1">
        <f t="array" aca="1" ref="AA116" ca="1">Common_InputFunctions.Utility_DisplayArrayInTable(Fertiliser_SourceData.Fertiliser_Products_Data2(),FertiliserProducts[[#Headers],[Include or Exclude]], 20)</f>
        <v/>
      </c>
      <c r="AB116" s="37" t="str" cm="1">
        <f t="array" aca="1" ref="AB116" ca="1">Common_InputFunctions.Utility_DisplayArrayInTable(Fertiliser_SourceData.Fertiliser_Products_Data2(),FertiliserProducts[[#Headers],[Include or Exclude]], 20)</f>
        <v/>
      </c>
      <c r="AC116" s="37" t="str" cm="1">
        <f t="array" aca="1" ref="AC116" ca="1">Common_InputFunctions.Utility_DisplayArrayInTable(Fertiliser_SourceData.Fertiliser_Products_Data2(),FertiliserProducts[[#Headers],[Include or Exclude]], 20)</f>
        <v/>
      </c>
      <c r="AD116" s="37" t="str" cm="1">
        <f t="array" aca="1" ref="AD116" ca="1">Common_InputFunctions.Utility_DisplayArrayInTable(Fertiliser_SourceData.Fertiliser_Products_Data2(),FertiliserProducts[[#Headers],[Include or Exclude]], 20)</f>
        <v/>
      </c>
      <c r="AE116" s="37" t="str" cm="1">
        <f t="array" aca="1" ref="AE116" ca="1">Common_InputFunctions.Utility_DisplayArrayInTable(Fertiliser_SourceData.Fertiliser_Products_Data2(),FertiliserProducts[[#Headers],[Include or Exclude]], 20)</f>
        <v/>
      </c>
    </row>
    <row r="117" spans="4:31" ht="20.100000000000001" customHeight="1" x14ac:dyDescent="0.25">
      <c r="D117" s="111" t="str" cm="1">
        <f t="array" aca="1" ref="D117" ca="1">Common_InputFunctions.Utility_DisplayArrayInTable(Fertiliser_SourceData.Fertiliser_Products_Data2(),FertiliserProducts[[#Headers],[Include or Exclude]], 20)</f>
        <v/>
      </c>
      <c r="E117" s="111" t="str" cm="1">
        <f t="array" aca="1" ref="E117" ca="1">Common_InputFunctions.Utility_DisplayArrayInTable(Fertiliser_SourceData.Fertiliser_Products_Data2(),FertiliserProducts[[#Headers],[Include or Exclude]], 20)</f>
        <v/>
      </c>
      <c r="F117" s="111" t="str" cm="1">
        <f t="array" aca="1" ref="F117" ca="1">Common_InputFunctions.Utility_DisplayArrayInTable(Fertiliser_SourceData.Fertiliser_Products_Data2(),FertiliserProducts[[#Headers],[Include or Exclude]], 20)</f>
        <v/>
      </c>
      <c r="G117" s="111" t="str" cm="1">
        <f t="array" aca="1" ref="G117" ca="1">Common_InputFunctions.Utility_DisplayArrayInTable(Fertiliser_SourceData.Fertiliser_Products_Data2(),FertiliserProducts[[#Headers],[Include or Exclude]], 20)</f>
        <v/>
      </c>
      <c r="H117" s="111" t="str" cm="1">
        <f t="array" aca="1" ref="H117" ca="1">Common_InputFunctions.Utility_DisplayArrayInTable(Fertiliser_SourceData.Fertiliser_Products_Data2(),FertiliserProducts[[#Headers],[Include or Exclude]], 20)</f>
        <v/>
      </c>
      <c r="I117" s="111" t="str" cm="1">
        <f t="array" aca="1" ref="I117" ca="1">Common_InputFunctions.Utility_DisplayArrayInTable(Fertiliser_SourceData.Fertiliser_Products_Data2(),FertiliserProducts[[#Headers],[Include or Exclude]], 20)</f>
        <v/>
      </c>
      <c r="J117" s="111" t="str" cm="1">
        <f t="array" aca="1" ref="J117" ca="1">Common_InputFunctions.Utility_DisplayArrayInTable(Fertiliser_SourceData.Fertiliser_Products_Data2(),FertiliserProducts[[#Headers],[Include or Exclude]], 20)</f>
        <v/>
      </c>
      <c r="K117" s="111" t="str" cm="1">
        <f t="array" aca="1" ref="K117" ca="1">Common_InputFunctions.Utility_DisplayArrayInTable(Fertiliser_SourceData.Fertiliser_Products_Data2(),FertiliserProducts[[#Headers],[Include or Exclude]], 20)</f>
        <v/>
      </c>
      <c r="L117" s="111" t="str" cm="1">
        <f t="array" aca="1" ref="L117" ca="1">Common_InputFunctions.Utility_DisplayArrayInTable(Fertiliser_SourceData.Fertiliser_Products_Data2(),FertiliserProducts[[#Headers],[Include or Exclude]], 20)</f>
        <v/>
      </c>
      <c r="M117" s="111" t="str" cm="1">
        <f t="array" aca="1" ref="M117" ca="1">Common_InputFunctions.Utility_DisplayArrayInTable(Fertiliser_SourceData.Fertiliser_Products_Data2(),FertiliserProducts[[#Headers],[Include or Exclude]], 20)</f>
        <v/>
      </c>
      <c r="N117" s="111" t="str" cm="1">
        <f t="array" aca="1" ref="N117" ca="1">Common_InputFunctions.Utility_DisplayArrayInTable(Fertiliser_SourceData.Fertiliser_Products_Data2(),FertiliserProducts[[#Headers],[Include or Exclude]], 20)</f>
        <v/>
      </c>
      <c r="O117" s="111" t="str" cm="1">
        <f t="array" aca="1" ref="O117" ca="1">Common_InputFunctions.Utility_DisplayArrayInTable(Fertiliser_SourceData.Fertiliser_Products_Data2(),FertiliserProducts[[#Headers],[Include or Exclude]], 20)</f>
        <v/>
      </c>
      <c r="P117" s="111" t="str" cm="1">
        <f t="array" aca="1" ref="P117" ca="1">Common_InputFunctions.Utility_DisplayArrayInTable(Fertiliser_SourceData.Fertiliser_Products_Data2(),FertiliserProducts[[#Headers],[Include or Exclude]], 20)</f>
        <v/>
      </c>
      <c r="Q117" s="111" t="str" cm="1">
        <f t="array" aca="1" ref="Q117" ca="1">Common_InputFunctions.Utility_DisplayArrayInTable(Fertiliser_SourceData.Fertiliser_Products_Data2(),FertiliserProducts[[#Headers],[Include or Exclude]], 20)</f>
        <v/>
      </c>
      <c r="R117" s="111" t="str" cm="1">
        <f t="array" aca="1" ref="R117" ca="1">Common_InputFunctions.Utility_DisplayArrayInTable(Fertiliser_SourceData.Fertiliser_Products_Data2(),FertiliserProducts[[#Headers],[Include or Exclude]], 20)</f>
        <v/>
      </c>
      <c r="S117" s="111" t="str" cm="1">
        <f t="array" aca="1" ref="S117" ca="1">Common_InputFunctions.Utility_DisplayArrayInTable(Fertiliser_SourceData.Fertiliser_Products_Data2(),FertiliserProducts[[#Headers],[Include or Exclude]], 20)</f>
        <v/>
      </c>
      <c r="T117" s="111" t="str" cm="1">
        <f t="array" aca="1" ref="T117" ca="1">Common_InputFunctions.Utility_DisplayArrayInTable(Fertiliser_SourceData.Fertiliser_Products_Data2(),FertiliserProducts[[#Headers],[Include or Exclude]], 20)</f>
        <v/>
      </c>
      <c r="U117" s="111" t="str" cm="1">
        <f t="array" aca="1" ref="U117" ca="1">Common_InputFunctions.Utility_DisplayArrayInTable(Fertiliser_SourceData.Fertiliser_Products_Data2(),FertiliserProducts[[#Headers],[Include or Exclude]], 20)</f>
        <v/>
      </c>
      <c r="V117" s="111" t="str" cm="1">
        <f t="array" aca="1" ref="V117" ca="1">Common_InputFunctions.Utility_DisplayArrayInTable(Fertiliser_SourceData.Fertiliser_Products_Data2(),FertiliserProducts[[#Headers],[Include or Exclude]], 20)</f>
        <v/>
      </c>
      <c r="W117" s="111" t="str" cm="1">
        <f t="array" aca="1" ref="W117" ca="1">Common_InputFunctions.Utility_DisplayArrayInTable(Fertiliser_SourceData.Fertiliser_Products_Data2(),FertiliserProducts[[#Headers],[Include or Exclude]], 20)</f>
        <v/>
      </c>
      <c r="X117" s="111" t="str" cm="1">
        <f t="array" aca="1" ref="X117" ca="1">Common_InputFunctions.Utility_DisplayArrayInTable(Fertiliser_SourceData.Fertiliser_Products_Data2(),FertiliserProducts[[#Headers],[Include or Exclude]], 20)</f>
        <v/>
      </c>
      <c r="Y117" s="111" t="str" cm="1">
        <f t="array" aca="1" ref="Y117" ca="1">Common_InputFunctions.Utility_DisplayArrayInTable(Fertiliser_SourceData.Fertiliser_Products_Data2(),FertiliserProducts[[#Headers],[Include or Exclude]], 20)</f>
        <v/>
      </c>
      <c r="Z117" s="111" t="str" cm="1">
        <f t="array" aca="1" ref="Z117" ca="1">Common_InputFunctions.Utility_DisplayArrayInTable(Fertiliser_SourceData.Fertiliser_Products_Data2(),FertiliserProducts[[#Headers],[Include or Exclude]], 20)</f>
        <v/>
      </c>
      <c r="AA117" s="37" t="str" cm="1">
        <f t="array" aca="1" ref="AA117" ca="1">Common_InputFunctions.Utility_DisplayArrayInTable(Fertiliser_SourceData.Fertiliser_Products_Data2(),FertiliserProducts[[#Headers],[Include or Exclude]], 20)</f>
        <v/>
      </c>
      <c r="AB117" s="37" t="str" cm="1">
        <f t="array" aca="1" ref="AB117" ca="1">Common_InputFunctions.Utility_DisplayArrayInTable(Fertiliser_SourceData.Fertiliser_Products_Data2(),FertiliserProducts[[#Headers],[Include or Exclude]], 20)</f>
        <v/>
      </c>
      <c r="AC117" s="37" t="str" cm="1">
        <f t="array" aca="1" ref="AC117" ca="1">Common_InputFunctions.Utility_DisplayArrayInTable(Fertiliser_SourceData.Fertiliser_Products_Data2(),FertiliserProducts[[#Headers],[Include or Exclude]], 20)</f>
        <v/>
      </c>
      <c r="AD117" s="37" t="str" cm="1">
        <f t="array" aca="1" ref="AD117" ca="1">Common_InputFunctions.Utility_DisplayArrayInTable(Fertiliser_SourceData.Fertiliser_Products_Data2(),FertiliserProducts[[#Headers],[Include or Exclude]], 20)</f>
        <v/>
      </c>
      <c r="AE117" s="37" t="str" cm="1">
        <f t="array" aca="1" ref="AE117" ca="1">Common_InputFunctions.Utility_DisplayArrayInTable(Fertiliser_SourceData.Fertiliser_Products_Data2(),FertiliserProducts[[#Headers],[Include or Exclude]], 20)</f>
        <v/>
      </c>
    </row>
    <row r="118" spans="4:31" ht="20.100000000000001" customHeight="1" x14ac:dyDescent="0.25">
      <c r="D118" s="111" t="str" cm="1">
        <f t="array" aca="1" ref="D118" ca="1">Common_InputFunctions.Utility_DisplayArrayInTable(Fertiliser_SourceData.Fertiliser_Products_Data2(),FertiliserProducts[[#Headers],[Include or Exclude]], 20)</f>
        <v/>
      </c>
      <c r="E118" s="111" t="str" cm="1">
        <f t="array" aca="1" ref="E118" ca="1">Common_InputFunctions.Utility_DisplayArrayInTable(Fertiliser_SourceData.Fertiliser_Products_Data2(),FertiliserProducts[[#Headers],[Include or Exclude]], 20)</f>
        <v/>
      </c>
      <c r="F118" s="111" t="str" cm="1">
        <f t="array" aca="1" ref="F118" ca="1">Common_InputFunctions.Utility_DisplayArrayInTable(Fertiliser_SourceData.Fertiliser_Products_Data2(),FertiliserProducts[[#Headers],[Include or Exclude]], 20)</f>
        <v/>
      </c>
      <c r="G118" s="111" t="str" cm="1">
        <f t="array" aca="1" ref="G118" ca="1">Common_InputFunctions.Utility_DisplayArrayInTable(Fertiliser_SourceData.Fertiliser_Products_Data2(),FertiliserProducts[[#Headers],[Include or Exclude]], 20)</f>
        <v/>
      </c>
      <c r="H118" s="111" t="str" cm="1">
        <f t="array" aca="1" ref="H118" ca="1">Common_InputFunctions.Utility_DisplayArrayInTable(Fertiliser_SourceData.Fertiliser_Products_Data2(),FertiliserProducts[[#Headers],[Include or Exclude]], 20)</f>
        <v/>
      </c>
      <c r="I118" s="111" t="str" cm="1">
        <f t="array" aca="1" ref="I118" ca="1">Common_InputFunctions.Utility_DisplayArrayInTable(Fertiliser_SourceData.Fertiliser_Products_Data2(),FertiliserProducts[[#Headers],[Include or Exclude]], 20)</f>
        <v/>
      </c>
      <c r="J118" s="111" t="str" cm="1">
        <f t="array" aca="1" ref="J118" ca="1">Common_InputFunctions.Utility_DisplayArrayInTable(Fertiliser_SourceData.Fertiliser_Products_Data2(),FertiliserProducts[[#Headers],[Include or Exclude]], 20)</f>
        <v/>
      </c>
      <c r="K118" s="111" t="str" cm="1">
        <f t="array" aca="1" ref="K118" ca="1">Common_InputFunctions.Utility_DisplayArrayInTable(Fertiliser_SourceData.Fertiliser_Products_Data2(),FertiliserProducts[[#Headers],[Include or Exclude]], 20)</f>
        <v/>
      </c>
      <c r="L118" s="111" t="str" cm="1">
        <f t="array" aca="1" ref="L118" ca="1">Common_InputFunctions.Utility_DisplayArrayInTable(Fertiliser_SourceData.Fertiliser_Products_Data2(),FertiliserProducts[[#Headers],[Include or Exclude]], 20)</f>
        <v/>
      </c>
      <c r="M118" s="111" t="str" cm="1">
        <f t="array" aca="1" ref="M118" ca="1">Common_InputFunctions.Utility_DisplayArrayInTable(Fertiliser_SourceData.Fertiliser_Products_Data2(),FertiliserProducts[[#Headers],[Include or Exclude]], 20)</f>
        <v/>
      </c>
      <c r="N118" s="111" t="str" cm="1">
        <f t="array" aca="1" ref="N118" ca="1">Common_InputFunctions.Utility_DisplayArrayInTable(Fertiliser_SourceData.Fertiliser_Products_Data2(),FertiliserProducts[[#Headers],[Include or Exclude]], 20)</f>
        <v/>
      </c>
      <c r="O118" s="111" t="str" cm="1">
        <f t="array" aca="1" ref="O118" ca="1">Common_InputFunctions.Utility_DisplayArrayInTable(Fertiliser_SourceData.Fertiliser_Products_Data2(),FertiliserProducts[[#Headers],[Include or Exclude]], 20)</f>
        <v/>
      </c>
      <c r="P118" s="111" t="str" cm="1">
        <f t="array" aca="1" ref="P118" ca="1">Common_InputFunctions.Utility_DisplayArrayInTable(Fertiliser_SourceData.Fertiliser_Products_Data2(),FertiliserProducts[[#Headers],[Include or Exclude]], 20)</f>
        <v/>
      </c>
      <c r="Q118" s="111" t="str" cm="1">
        <f t="array" aca="1" ref="Q118" ca="1">Common_InputFunctions.Utility_DisplayArrayInTable(Fertiliser_SourceData.Fertiliser_Products_Data2(),FertiliserProducts[[#Headers],[Include or Exclude]], 20)</f>
        <v/>
      </c>
      <c r="R118" s="111" t="str" cm="1">
        <f t="array" aca="1" ref="R118" ca="1">Common_InputFunctions.Utility_DisplayArrayInTable(Fertiliser_SourceData.Fertiliser_Products_Data2(),FertiliserProducts[[#Headers],[Include or Exclude]], 20)</f>
        <v/>
      </c>
      <c r="S118" s="111" t="str" cm="1">
        <f t="array" aca="1" ref="S118" ca="1">Common_InputFunctions.Utility_DisplayArrayInTable(Fertiliser_SourceData.Fertiliser_Products_Data2(),FertiliserProducts[[#Headers],[Include or Exclude]], 20)</f>
        <v/>
      </c>
      <c r="T118" s="111" t="str" cm="1">
        <f t="array" aca="1" ref="T118" ca="1">Common_InputFunctions.Utility_DisplayArrayInTable(Fertiliser_SourceData.Fertiliser_Products_Data2(),FertiliserProducts[[#Headers],[Include or Exclude]], 20)</f>
        <v/>
      </c>
      <c r="U118" s="111" t="str" cm="1">
        <f t="array" aca="1" ref="U118" ca="1">Common_InputFunctions.Utility_DisplayArrayInTable(Fertiliser_SourceData.Fertiliser_Products_Data2(),FertiliserProducts[[#Headers],[Include or Exclude]], 20)</f>
        <v/>
      </c>
      <c r="V118" s="111" t="str" cm="1">
        <f t="array" aca="1" ref="V118" ca="1">Common_InputFunctions.Utility_DisplayArrayInTable(Fertiliser_SourceData.Fertiliser_Products_Data2(),FertiliserProducts[[#Headers],[Include or Exclude]], 20)</f>
        <v/>
      </c>
      <c r="W118" s="111" t="str" cm="1">
        <f t="array" aca="1" ref="W118" ca="1">Common_InputFunctions.Utility_DisplayArrayInTable(Fertiliser_SourceData.Fertiliser_Products_Data2(),FertiliserProducts[[#Headers],[Include or Exclude]], 20)</f>
        <v/>
      </c>
      <c r="X118" s="111" t="str" cm="1">
        <f t="array" aca="1" ref="X118" ca="1">Common_InputFunctions.Utility_DisplayArrayInTable(Fertiliser_SourceData.Fertiliser_Products_Data2(),FertiliserProducts[[#Headers],[Include or Exclude]], 20)</f>
        <v/>
      </c>
      <c r="Y118" s="111" t="str" cm="1">
        <f t="array" aca="1" ref="Y118" ca="1">Common_InputFunctions.Utility_DisplayArrayInTable(Fertiliser_SourceData.Fertiliser_Products_Data2(),FertiliserProducts[[#Headers],[Include or Exclude]], 20)</f>
        <v/>
      </c>
      <c r="Z118" s="111" t="str" cm="1">
        <f t="array" aca="1" ref="Z118" ca="1">Common_InputFunctions.Utility_DisplayArrayInTable(Fertiliser_SourceData.Fertiliser_Products_Data2(),FertiliserProducts[[#Headers],[Include or Exclude]], 20)</f>
        <v/>
      </c>
      <c r="AA118" s="37" t="str" cm="1">
        <f t="array" aca="1" ref="AA118" ca="1">Common_InputFunctions.Utility_DisplayArrayInTable(Fertiliser_SourceData.Fertiliser_Products_Data2(),FertiliserProducts[[#Headers],[Include or Exclude]], 20)</f>
        <v/>
      </c>
      <c r="AB118" s="37" t="str" cm="1">
        <f t="array" aca="1" ref="AB118" ca="1">Common_InputFunctions.Utility_DisplayArrayInTable(Fertiliser_SourceData.Fertiliser_Products_Data2(),FertiliserProducts[[#Headers],[Include or Exclude]], 20)</f>
        <v/>
      </c>
      <c r="AC118" s="37" t="str" cm="1">
        <f t="array" aca="1" ref="AC118" ca="1">Common_InputFunctions.Utility_DisplayArrayInTable(Fertiliser_SourceData.Fertiliser_Products_Data2(),FertiliserProducts[[#Headers],[Include or Exclude]], 20)</f>
        <v/>
      </c>
      <c r="AD118" s="37" t="str" cm="1">
        <f t="array" aca="1" ref="AD118" ca="1">Common_InputFunctions.Utility_DisplayArrayInTable(Fertiliser_SourceData.Fertiliser_Products_Data2(),FertiliserProducts[[#Headers],[Include or Exclude]], 20)</f>
        <v/>
      </c>
      <c r="AE118" s="37" t="str" cm="1">
        <f t="array" aca="1" ref="AE118" ca="1">Common_InputFunctions.Utility_DisplayArrayInTable(Fertiliser_SourceData.Fertiliser_Products_Data2(),FertiliserProducts[[#Headers],[Include or Exclude]], 20)</f>
        <v/>
      </c>
    </row>
    <row r="119" spans="4:31" ht="20.100000000000001" customHeight="1" x14ac:dyDescent="0.25">
      <c r="D119" s="111" t="str" cm="1">
        <f t="array" aca="1" ref="D119" ca="1">Common_InputFunctions.Utility_DisplayArrayInTable(Fertiliser_SourceData.Fertiliser_Products_Data2(),FertiliserProducts[[#Headers],[Include or Exclude]], 20)</f>
        <v/>
      </c>
      <c r="E119" s="111" t="str" cm="1">
        <f t="array" aca="1" ref="E119" ca="1">Common_InputFunctions.Utility_DisplayArrayInTable(Fertiliser_SourceData.Fertiliser_Products_Data2(),FertiliserProducts[[#Headers],[Include or Exclude]], 20)</f>
        <v/>
      </c>
      <c r="F119" s="111" t="str" cm="1">
        <f t="array" aca="1" ref="F119" ca="1">Common_InputFunctions.Utility_DisplayArrayInTable(Fertiliser_SourceData.Fertiliser_Products_Data2(),FertiliserProducts[[#Headers],[Include or Exclude]], 20)</f>
        <v/>
      </c>
      <c r="G119" s="111" t="str" cm="1">
        <f t="array" aca="1" ref="G119" ca="1">Common_InputFunctions.Utility_DisplayArrayInTable(Fertiliser_SourceData.Fertiliser_Products_Data2(),FertiliserProducts[[#Headers],[Include or Exclude]], 20)</f>
        <v/>
      </c>
      <c r="H119" s="111" t="str" cm="1">
        <f t="array" aca="1" ref="H119" ca="1">Common_InputFunctions.Utility_DisplayArrayInTable(Fertiliser_SourceData.Fertiliser_Products_Data2(),FertiliserProducts[[#Headers],[Include or Exclude]], 20)</f>
        <v/>
      </c>
      <c r="I119" s="111" t="str" cm="1">
        <f t="array" aca="1" ref="I119" ca="1">Common_InputFunctions.Utility_DisplayArrayInTable(Fertiliser_SourceData.Fertiliser_Products_Data2(),FertiliserProducts[[#Headers],[Include or Exclude]], 20)</f>
        <v/>
      </c>
      <c r="J119" s="111" t="str" cm="1">
        <f t="array" aca="1" ref="J119" ca="1">Common_InputFunctions.Utility_DisplayArrayInTable(Fertiliser_SourceData.Fertiliser_Products_Data2(),FertiliserProducts[[#Headers],[Include or Exclude]], 20)</f>
        <v/>
      </c>
      <c r="K119" s="111" t="str" cm="1">
        <f t="array" aca="1" ref="K119" ca="1">Common_InputFunctions.Utility_DisplayArrayInTable(Fertiliser_SourceData.Fertiliser_Products_Data2(),FertiliserProducts[[#Headers],[Include or Exclude]], 20)</f>
        <v/>
      </c>
      <c r="L119" s="111" t="str" cm="1">
        <f t="array" aca="1" ref="L119" ca="1">Common_InputFunctions.Utility_DisplayArrayInTable(Fertiliser_SourceData.Fertiliser_Products_Data2(),FertiliserProducts[[#Headers],[Include or Exclude]], 20)</f>
        <v/>
      </c>
      <c r="M119" s="111" t="str" cm="1">
        <f t="array" aca="1" ref="M119" ca="1">Common_InputFunctions.Utility_DisplayArrayInTable(Fertiliser_SourceData.Fertiliser_Products_Data2(),FertiliserProducts[[#Headers],[Include or Exclude]], 20)</f>
        <v/>
      </c>
      <c r="N119" s="111" t="str" cm="1">
        <f t="array" aca="1" ref="N119" ca="1">Common_InputFunctions.Utility_DisplayArrayInTable(Fertiliser_SourceData.Fertiliser_Products_Data2(),FertiliserProducts[[#Headers],[Include or Exclude]], 20)</f>
        <v/>
      </c>
      <c r="O119" s="111" t="str" cm="1">
        <f t="array" aca="1" ref="O119" ca="1">Common_InputFunctions.Utility_DisplayArrayInTable(Fertiliser_SourceData.Fertiliser_Products_Data2(),FertiliserProducts[[#Headers],[Include or Exclude]], 20)</f>
        <v/>
      </c>
      <c r="P119" s="111" t="str" cm="1">
        <f t="array" aca="1" ref="P119" ca="1">Common_InputFunctions.Utility_DisplayArrayInTable(Fertiliser_SourceData.Fertiliser_Products_Data2(),FertiliserProducts[[#Headers],[Include or Exclude]], 20)</f>
        <v/>
      </c>
      <c r="Q119" s="111" t="str" cm="1">
        <f t="array" aca="1" ref="Q119" ca="1">Common_InputFunctions.Utility_DisplayArrayInTable(Fertiliser_SourceData.Fertiliser_Products_Data2(),FertiliserProducts[[#Headers],[Include or Exclude]], 20)</f>
        <v/>
      </c>
      <c r="R119" s="111" t="str" cm="1">
        <f t="array" aca="1" ref="R119" ca="1">Common_InputFunctions.Utility_DisplayArrayInTable(Fertiliser_SourceData.Fertiliser_Products_Data2(),FertiliserProducts[[#Headers],[Include or Exclude]], 20)</f>
        <v/>
      </c>
      <c r="S119" s="111" t="str" cm="1">
        <f t="array" aca="1" ref="S119" ca="1">Common_InputFunctions.Utility_DisplayArrayInTable(Fertiliser_SourceData.Fertiliser_Products_Data2(),FertiliserProducts[[#Headers],[Include or Exclude]], 20)</f>
        <v/>
      </c>
      <c r="T119" s="111" t="str" cm="1">
        <f t="array" aca="1" ref="T119" ca="1">Common_InputFunctions.Utility_DisplayArrayInTable(Fertiliser_SourceData.Fertiliser_Products_Data2(),FertiliserProducts[[#Headers],[Include or Exclude]], 20)</f>
        <v/>
      </c>
      <c r="U119" s="111" t="str" cm="1">
        <f t="array" aca="1" ref="U119" ca="1">Common_InputFunctions.Utility_DisplayArrayInTable(Fertiliser_SourceData.Fertiliser_Products_Data2(),FertiliserProducts[[#Headers],[Include or Exclude]], 20)</f>
        <v/>
      </c>
      <c r="V119" s="111" t="str" cm="1">
        <f t="array" aca="1" ref="V119" ca="1">Common_InputFunctions.Utility_DisplayArrayInTable(Fertiliser_SourceData.Fertiliser_Products_Data2(),FertiliserProducts[[#Headers],[Include or Exclude]], 20)</f>
        <v/>
      </c>
      <c r="W119" s="111" t="str" cm="1">
        <f t="array" aca="1" ref="W119" ca="1">Common_InputFunctions.Utility_DisplayArrayInTable(Fertiliser_SourceData.Fertiliser_Products_Data2(),FertiliserProducts[[#Headers],[Include or Exclude]], 20)</f>
        <v/>
      </c>
      <c r="X119" s="111" t="str" cm="1">
        <f t="array" aca="1" ref="X119" ca="1">Common_InputFunctions.Utility_DisplayArrayInTable(Fertiliser_SourceData.Fertiliser_Products_Data2(),FertiliserProducts[[#Headers],[Include or Exclude]], 20)</f>
        <v/>
      </c>
      <c r="Y119" s="111" t="str" cm="1">
        <f t="array" aca="1" ref="Y119" ca="1">Common_InputFunctions.Utility_DisplayArrayInTable(Fertiliser_SourceData.Fertiliser_Products_Data2(),FertiliserProducts[[#Headers],[Include or Exclude]], 20)</f>
        <v/>
      </c>
      <c r="Z119" s="111" t="str" cm="1">
        <f t="array" aca="1" ref="Z119" ca="1">Common_InputFunctions.Utility_DisplayArrayInTable(Fertiliser_SourceData.Fertiliser_Products_Data2(),FertiliserProducts[[#Headers],[Include or Exclude]], 20)</f>
        <v/>
      </c>
      <c r="AA119" s="37" t="str" cm="1">
        <f t="array" aca="1" ref="AA119" ca="1">Common_InputFunctions.Utility_DisplayArrayInTable(Fertiliser_SourceData.Fertiliser_Products_Data2(),FertiliserProducts[[#Headers],[Include or Exclude]], 20)</f>
        <v/>
      </c>
      <c r="AB119" s="37" t="str" cm="1">
        <f t="array" aca="1" ref="AB119" ca="1">Common_InputFunctions.Utility_DisplayArrayInTable(Fertiliser_SourceData.Fertiliser_Products_Data2(),FertiliserProducts[[#Headers],[Include or Exclude]], 20)</f>
        <v/>
      </c>
      <c r="AC119" s="37" t="str" cm="1">
        <f t="array" aca="1" ref="AC119" ca="1">Common_InputFunctions.Utility_DisplayArrayInTable(Fertiliser_SourceData.Fertiliser_Products_Data2(),FertiliserProducts[[#Headers],[Include or Exclude]], 20)</f>
        <v/>
      </c>
      <c r="AD119" s="37" t="str" cm="1">
        <f t="array" aca="1" ref="AD119" ca="1">Common_InputFunctions.Utility_DisplayArrayInTable(Fertiliser_SourceData.Fertiliser_Products_Data2(),FertiliserProducts[[#Headers],[Include or Exclude]], 20)</f>
        <v/>
      </c>
      <c r="AE119" s="37" t="str" cm="1">
        <f t="array" aca="1" ref="AE119" ca="1">Common_InputFunctions.Utility_DisplayArrayInTable(Fertiliser_SourceData.Fertiliser_Products_Data2(),FertiliserProducts[[#Headers],[Include or Exclude]], 20)</f>
        <v/>
      </c>
    </row>
    <row r="120" spans="4:31" ht="20.100000000000001" customHeight="1" x14ac:dyDescent="0.25">
      <c r="D120" s="111" t="str" cm="1">
        <f t="array" aca="1" ref="D120" ca="1">Common_InputFunctions.Utility_DisplayArrayInTable(Fertiliser_SourceData.Fertiliser_Products_Data2(),FertiliserProducts[[#Headers],[Include or Exclude]], 20)</f>
        <v/>
      </c>
      <c r="E120" s="111" t="str" cm="1">
        <f t="array" aca="1" ref="E120" ca="1">Common_InputFunctions.Utility_DisplayArrayInTable(Fertiliser_SourceData.Fertiliser_Products_Data2(),FertiliserProducts[[#Headers],[Include or Exclude]], 20)</f>
        <v/>
      </c>
      <c r="F120" s="111" t="str" cm="1">
        <f t="array" aca="1" ref="F120" ca="1">Common_InputFunctions.Utility_DisplayArrayInTable(Fertiliser_SourceData.Fertiliser_Products_Data2(),FertiliserProducts[[#Headers],[Include or Exclude]], 20)</f>
        <v/>
      </c>
      <c r="G120" s="111" t="str" cm="1">
        <f t="array" aca="1" ref="G120" ca="1">Common_InputFunctions.Utility_DisplayArrayInTable(Fertiliser_SourceData.Fertiliser_Products_Data2(),FertiliserProducts[[#Headers],[Include or Exclude]], 20)</f>
        <v/>
      </c>
      <c r="H120" s="111" t="str" cm="1">
        <f t="array" aca="1" ref="H120" ca="1">Common_InputFunctions.Utility_DisplayArrayInTable(Fertiliser_SourceData.Fertiliser_Products_Data2(),FertiliserProducts[[#Headers],[Include or Exclude]], 20)</f>
        <v/>
      </c>
      <c r="I120" s="111" t="str" cm="1">
        <f t="array" aca="1" ref="I120" ca="1">Common_InputFunctions.Utility_DisplayArrayInTable(Fertiliser_SourceData.Fertiliser_Products_Data2(),FertiliserProducts[[#Headers],[Include or Exclude]], 20)</f>
        <v/>
      </c>
      <c r="J120" s="111" t="str" cm="1">
        <f t="array" aca="1" ref="J120" ca="1">Common_InputFunctions.Utility_DisplayArrayInTable(Fertiliser_SourceData.Fertiliser_Products_Data2(),FertiliserProducts[[#Headers],[Include or Exclude]], 20)</f>
        <v/>
      </c>
      <c r="K120" s="111" t="str" cm="1">
        <f t="array" aca="1" ref="K120" ca="1">Common_InputFunctions.Utility_DisplayArrayInTable(Fertiliser_SourceData.Fertiliser_Products_Data2(),FertiliserProducts[[#Headers],[Include or Exclude]], 20)</f>
        <v/>
      </c>
      <c r="L120" s="111" t="str" cm="1">
        <f t="array" aca="1" ref="L120" ca="1">Common_InputFunctions.Utility_DisplayArrayInTable(Fertiliser_SourceData.Fertiliser_Products_Data2(),FertiliserProducts[[#Headers],[Include or Exclude]], 20)</f>
        <v/>
      </c>
      <c r="M120" s="111" t="str" cm="1">
        <f t="array" aca="1" ref="M120" ca="1">Common_InputFunctions.Utility_DisplayArrayInTable(Fertiliser_SourceData.Fertiliser_Products_Data2(),FertiliserProducts[[#Headers],[Include or Exclude]], 20)</f>
        <v/>
      </c>
      <c r="N120" s="111" t="str" cm="1">
        <f t="array" aca="1" ref="N120" ca="1">Common_InputFunctions.Utility_DisplayArrayInTable(Fertiliser_SourceData.Fertiliser_Products_Data2(),FertiliserProducts[[#Headers],[Include or Exclude]], 20)</f>
        <v/>
      </c>
      <c r="O120" s="111" t="str" cm="1">
        <f t="array" aca="1" ref="O120" ca="1">Common_InputFunctions.Utility_DisplayArrayInTable(Fertiliser_SourceData.Fertiliser_Products_Data2(),FertiliserProducts[[#Headers],[Include or Exclude]], 20)</f>
        <v/>
      </c>
      <c r="P120" s="111" t="str" cm="1">
        <f t="array" aca="1" ref="P120" ca="1">Common_InputFunctions.Utility_DisplayArrayInTable(Fertiliser_SourceData.Fertiliser_Products_Data2(),FertiliserProducts[[#Headers],[Include or Exclude]], 20)</f>
        <v/>
      </c>
      <c r="Q120" s="111" t="str" cm="1">
        <f t="array" aca="1" ref="Q120" ca="1">Common_InputFunctions.Utility_DisplayArrayInTable(Fertiliser_SourceData.Fertiliser_Products_Data2(),FertiliserProducts[[#Headers],[Include or Exclude]], 20)</f>
        <v/>
      </c>
      <c r="R120" s="111" t="str" cm="1">
        <f t="array" aca="1" ref="R120" ca="1">Common_InputFunctions.Utility_DisplayArrayInTable(Fertiliser_SourceData.Fertiliser_Products_Data2(),FertiliserProducts[[#Headers],[Include or Exclude]], 20)</f>
        <v/>
      </c>
      <c r="S120" s="111" t="str" cm="1">
        <f t="array" aca="1" ref="S120" ca="1">Common_InputFunctions.Utility_DisplayArrayInTable(Fertiliser_SourceData.Fertiliser_Products_Data2(),FertiliserProducts[[#Headers],[Include or Exclude]], 20)</f>
        <v/>
      </c>
      <c r="T120" s="111" t="str" cm="1">
        <f t="array" aca="1" ref="T120" ca="1">Common_InputFunctions.Utility_DisplayArrayInTable(Fertiliser_SourceData.Fertiliser_Products_Data2(),FertiliserProducts[[#Headers],[Include or Exclude]], 20)</f>
        <v/>
      </c>
      <c r="U120" s="111" t="str" cm="1">
        <f t="array" aca="1" ref="U120" ca="1">Common_InputFunctions.Utility_DisplayArrayInTable(Fertiliser_SourceData.Fertiliser_Products_Data2(),FertiliserProducts[[#Headers],[Include or Exclude]], 20)</f>
        <v/>
      </c>
      <c r="V120" s="111" t="str" cm="1">
        <f t="array" aca="1" ref="V120" ca="1">Common_InputFunctions.Utility_DisplayArrayInTable(Fertiliser_SourceData.Fertiliser_Products_Data2(),FertiliserProducts[[#Headers],[Include or Exclude]], 20)</f>
        <v/>
      </c>
      <c r="W120" s="111" t="str" cm="1">
        <f t="array" aca="1" ref="W120" ca="1">Common_InputFunctions.Utility_DisplayArrayInTable(Fertiliser_SourceData.Fertiliser_Products_Data2(),FertiliserProducts[[#Headers],[Include or Exclude]], 20)</f>
        <v/>
      </c>
      <c r="X120" s="111" t="str" cm="1">
        <f t="array" aca="1" ref="X120" ca="1">Common_InputFunctions.Utility_DisplayArrayInTable(Fertiliser_SourceData.Fertiliser_Products_Data2(),FertiliserProducts[[#Headers],[Include or Exclude]], 20)</f>
        <v/>
      </c>
      <c r="Y120" s="111" t="str" cm="1">
        <f t="array" aca="1" ref="Y120" ca="1">Common_InputFunctions.Utility_DisplayArrayInTable(Fertiliser_SourceData.Fertiliser_Products_Data2(),FertiliserProducts[[#Headers],[Include or Exclude]], 20)</f>
        <v/>
      </c>
      <c r="Z120" s="111" t="str" cm="1">
        <f t="array" aca="1" ref="Z120" ca="1">Common_InputFunctions.Utility_DisplayArrayInTable(Fertiliser_SourceData.Fertiliser_Products_Data2(),FertiliserProducts[[#Headers],[Include or Exclude]], 20)</f>
        <v/>
      </c>
      <c r="AA120" s="37" t="str" cm="1">
        <f t="array" aca="1" ref="AA120" ca="1">Common_InputFunctions.Utility_DisplayArrayInTable(Fertiliser_SourceData.Fertiliser_Products_Data2(),FertiliserProducts[[#Headers],[Include or Exclude]], 20)</f>
        <v/>
      </c>
      <c r="AB120" s="37" t="str" cm="1">
        <f t="array" aca="1" ref="AB120" ca="1">Common_InputFunctions.Utility_DisplayArrayInTable(Fertiliser_SourceData.Fertiliser_Products_Data2(),FertiliserProducts[[#Headers],[Include or Exclude]], 20)</f>
        <v/>
      </c>
      <c r="AC120" s="37" t="str" cm="1">
        <f t="array" aca="1" ref="AC120" ca="1">Common_InputFunctions.Utility_DisplayArrayInTable(Fertiliser_SourceData.Fertiliser_Products_Data2(),FertiliserProducts[[#Headers],[Include or Exclude]], 20)</f>
        <v/>
      </c>
      <c r="AD120" s="37" t="str" cm="1">
        <f t="array" aca="1" ref="AD120" ca="1">Common_InputFunctions.Utility_DisplayArrayInTable(Fertiliser_SourceData.Fertiliser_Products_Data2(),FertiliserProducts[[#Headers],[Include or Exclude]], 20)</f>
        <v/>
      </c>
      <c r="AE120" s="37" t="str" cm="1">
        <f t="array" aca="1" ref="AE120" ca="1">Common_InputFunctions.Utility_DisplayArrayInTable(Fertiliser_SourceData.Fertiliser_Products_Data2(),FertiliserProducts[[#Headers],[Include or Exclude]], 20)</f>
        <v/>
      </c>
    </row>
    <row r="121" spans="4:31" ht="20.100000000000001" customHeight="1" x14ac:dyDescent="0.25">
      <c r="D121" s="111" t="str" cm="1">
        <f t="array" aca="1" ref="D121" ca="1">Common_InputFunctions.Utility_DisplayArrayInTable(Fertiliser_SourceData.Fertiliser_Products_Data2(),FertiliserProducts[[#Headers],[Include or Exclude]], 20)</f>
        <v/>
      </c>
      <c r="E121" s="111" t="str" cm="1">
        <f t="array" aca="1" ref="E121" ca="1">Common_InputFunctions.Utility_DisplayArrayInTable(Fertiliser_SourceData.Fertiliser_Products_Data2(),FertiliserProducts[[#Headers],[Include or Exclude]], 20)</f>
        <v/>
      </c>
      <c r="F121" s="111" t="str" cm="1">
        <f t="array" aca="1" ref="F121" ca="1">Common_InputFunctions.Utility_DisplayArrayInTable(Fertiliser_SourceData.Fertiliser_Products_Data2(),FertiliserProducts[[#Headers],[Include or Exclude]], 20)</f>
        <v/>
      </c>
      <c r="G121" s="111" t="str" cm="1">
        <f t="array" aca="1" ref="G121" ca="1">Common_InputFunctions.Utility_DisplayArrayInTable(Fertiliser_SourceData.Fertiliser_Products_Data2(),FertiliserProducts[[#Headers],[Include or Exclude]], 20)</f>
        <v/>
      </c>
      <c r="H121" s="111" t="str" cm="1">
        <f t="array" aca="1" ref="H121" ca="1">Common_InputFunctions.Utility_DisplayArrayInTable(Fertiliser_SourceData.Fertiliser_Products_Data2(),FertiliserProducts[[#Headers],[Include or Exclude]], 20)</f>
        <v/>
      </c>
      <c r="I121" s="111" t="str" cm="1">
        <f t="array" aca="1" ref="I121" ca="1">Common_InputFunctions.Utility_DisplayArrayInTable(Fertiliser_SourceData.Fertiliser_Products_Data2(),FertiliserProducts[[#Headers],[Include or Exclude]], 20)</f>
        <v/>
      </c>
      <c r="J121" s="111" t="str" cm="1">
        <f t="array" aca="1" ref="J121" ca="1">Common_InputFunctions.Utility_DisplayArrayInTable(Fertiliser_SourceData.Fertiliser_Products_Data2(),FertiliserProducts[[#Headers],[Include or Exclude]], 20)</f>
        <v/>
      </c>
      <c r="K121" s="111" t="str" cm="1">
        <f t="array" aca="1" ref="K121" ca="1">Common_InputFunctions.Utility_DisplayArrayInTable(Fertiliser_SourceData.Fertiliser_Products_Data2(),FertiliserProducts[[#Headers],[Include or Exclude]], 20)</f>
        <v/>
      </c>
      <c r="L121" s="111" t="str" cm="1">
        <f t="array" aca="1" ref="L121" ca="1">Common_InputFunctions.Utility_DisplayArrayInTable(Fertiliser_SourceData.Fertiliser_Products_Data2(),FertiliserProducts[[#Headers],[Include or Exclude]], 20)</f>
        <v/>
      </c>
      <c r="M121" s="111" t="str" cm="1">
        <f t="array" aca="1" ref="M121" ca="1">Common_InputFunctions.Utility_DisplayArrayInTable(Fertiliser_SourceData.Fertiliser_Products_Data2(),FertiliserProducts[[#Headers],[Include or Exclude]], 20)</f>
        <v/>
      </c>
      <c r="N121" s="111" t="str" cm="1">
        <f t="array" aca="1" ref="N121" ca="1">Common_InputFunctions.Utility_DisplayArrayInTable(Fertiliser_SourceData.Fertiliser_Products_Data2(),FertiliserProducts[[#Headers],[Include or Exclude]], 20)</f>
        <v/>
      </c>
      <c r="O121" s="111" t="str" cm="1">
        <f t="array" aca="1" ref="O121" ca="1">Common_InputFunctions.Utility_DisplayArrayInTable(Fertiliser_SourceData.Fertiliser_Products_Data2(),FertiliserProducts[[#Headers],[Include or Exclude]], 20)</f>
        <v/>
      </c>
      <c r="P121" s="111" t="str" cm="1">
        <f t="array" aca="1" ref="P121" ca="1">Common_InputFunctions.Utility_DisplayArrayInTable(Fertiliser_SourceData.Fertiliser_Products_Data2(),FertiliserProducts[[#Headers],[Include or Exclude]], 20)</f>
        <v/>
      </c>
      <c r="Q121" s="111" t="str" cm="1">
        <f t="array" aca="1" ref="Q121" ca="1">Common_InputFunctions.Utility_DisplayArrayInTable(Fertiliser_SourceData.Fertiliser_Products_Data2(),FertiliserProducts[[#Headers],[Include or Exclude]], 20)</f>
        <v/>
      </c>
      <c r="R121" s="111" t="str" cm="1">
        <f t="array" aca="1" ref="R121" ca="1">Common_InputFunctions.Utility_DisplayArrayInTable(Fertiliser_SourceData.Fertiliser_Products_Data2(),FertiliserProducts[[#Headers],[Include or Exclude]], 20)</f>
        <v/>
      </c>
      <c r="S121" s="111" t="str" cm="1">
        <f t="array" aca="1" ref="S121" ca="1">Common_InputFunctions.Utility_DisplayArrayInTable(Fertiliser_SourceData.Fertiliser_Products_Data2(),FertiliserProducts[[#Headers],[Include or Exclude]], 20)</f>
        <v/>
      </c>
      <c r="T121" s="111" t="str" cm="1">
        <f t="array" aca="1" ref="T121" ca="1">Common_InputFunctions.Utility_DisplayArrayInTable(Fertiliser_SourceData.Fertiliser_Products_Data2(),FertiliserProducts[[#Headers],[Include or Exclude]], 20)</f>
        <v/>
      </c>
      <c r="U121" s="111" t="str" cm="1">
        <f t="array" aca="1" ref="U121" ca="1">Common_InputFunctions.Utility_DisplayArrayInTable(Fertiliser_SourceData.Fertiliser_Products_Data2(),FertiliserProducts[[#Headers],[Include or Exclude]], 20)</f>
        <v/>
      </c>
      <c r="V121" s="111" t="str" cm="1">
        <f t="array" aca="1" ref="V121" ca="1">Common_InputFunctions.Utility_DisplayArrayInTable(Fertiliser_SourceData.Fertiliser_Products_Data2(),FertiliserProducts[[#Headers],[Include or Exclude]], 20)</f>
        <v/>
      </c>
      <c r="W121" s="111" t="str" cm="1">
        <f t="array" aca="1" ref="W121" ca="1">Common_InputFunctions.Utility_DisplayArrayInTable(Fertiliser_SourceData.Fertiliser_Products_Data2(),FertiliserProducts[[#Headers],[Include or Exclude]], 20)</f>
        <v/>
      </c>
      <c r="X121" s="111" t="str" cm="1">
        <f t="array" aca="1" ref="X121" ca="1">Common_InputFunctions.Utility_DisplayArrayInTable(Fertiliser_SourceData.Fertiliser_Products_Data2(),FertiliserProducts[[#Headers],[Include or Exclude]], 20)</f>
        <v/>
      </c>
      <c r="Y121" s="111" t="str" cm="1">
        <f t="array" aca="1" ref="Y121" ca="1">Common_InputFunctions.Utility_DisplayArrayInTable(Fertiliser_SourceData.Fertiliser_Products_Data2(),FertiliserProducts[[#Headers],[Include or Exclude]], 20)</f>
        <v/>
      </c>
      <c r="Z121" s="111" t="str" cm="1">
        <f t="array" aca="1" ref="Z121" ca="1">Common_InputFunctions.Utility_DisplayArrayInTable(Fertiliser_SourceData.Fertiliser_Products_Data2(),FertiliserProducts[[#Headers],[Include or Exclude]], 20)</f>
        <v/>
      </c>
      <c r="AA121" s="37" t="str" cm="1">
        <f t="array" aca="1" ref="AA121" ca="1">Common_InputFunctions.Utility_DisplayArrayInTable(Fertiliser_SourceData.Fertiliser_Products_Data2(),FertiliserProducts[[#Headers],[Include or Exclude]], 20)</f>
        <v/>
      </c>
      <c r="AB121" s="37" t="str" cm="1">
        <f t="array" aca="1" ref="AB121" ca="1">Common_InputFunctions.Utility_DisplayArrayInTable(Fertiliser_SourceData.Fertiliser_Products_Data2(),FertiliserProducts[[#Headers],[Include or Exclude]], 20)</f>
        <v/>
      </c>
      <c r="AC121" s="37" t="str" cm="1">
        <f t="array" aca="1" ref="AC121" ca="1">Common_InputFunctions.Utility_DisplayArrayInTable(Fertiliser_SourceData.Fertiliser_Products_Data2(),FertiliserProducts[[#Headers],[Include or Exclude]], 20)</f>
        <v/>
      </c>
      <c r="AD121" s="37" t="str" cm="1">
        <f t="array" aca="1" ref="AD121" ca="1">Common_InputFunctions.Utility_DisplayArrayInTable(Fertiliser_SourceData.Fertiliser_Products_Data2(),FertiliserProducts[[#Headers],[Include or Exclude]], 20)</f>
        <v/>
      </c>
      <c r="AE121" s="37" t="str" cm="1">
        <f t="array" aca="1" ref="AE121" ca="1">Common_InputFunctions.Utility_DisplayArrayInTable(Fertiliser_SourceData.Fertiliser_Products_Data2(),FertiliserProducts[[#Headers],[Include or Exclude]], 20)</f>
        <v/>
      </c>
    </row>
    <row r="122" spans="4:31" ht="20.100000000000001" customHeight="1" x14ac:dyDescent="0.25">
      <c r="D122" s="111" t="str" cm="1">
        <f t="array" aca="1" ref="D122" ca="1">Common_InputFunctions.Utility_DisplayArrayInTable(Fertiliser_SourceData.Fertiliser_Products_Data2(),FertiliserProducts[[#Headers],[Include or Exclude]], 20)</f>
        <v/>
      </c>
      <c r="E122" s="111" t="str" cm="1">
        <f t="array" aca="1" ref="E122" ca="1">Common_InputFunctions.Utility_DisplayArrayInTable(Fertiliser_SourceData.Fertiliser_Products_Data2(),FertiliserProducts[[#Headers],[Include or Exclude]], 20)</f>
        <v/>
      </c>
      <c r="F122" s="111" t="str" cm="1">
        <f t="array" aca="1" ref="F122" ca="1">Common_InputFunctions.Utility_DisplayArrayInTable(Fertiliser_SourceData.Fertiliser_Products_Data2(),FertiliserProducts[[#Headers],[Include or Exclude]], 20)</f>
        <v/>
      </c>
      <c r="G122" s="111" t="str" cm="1">
        <f t="array" aca="1" ref="G122" ca="1">Common_InputFunctions.Utility_DisplayArrayInTable(Fertiliser_SourceData.Fertiliser_Products_Data2(),FertiliserProducts[[#Headers],[Include or Exclude]], 20)</f>
        <v/>
      </c>
      <c r="H122" s="111" t="str" cm="1">
        <f t="array" aca="1" ref="H122" ca="1">Common_InputFunctions.Utility_DisplayArrayInTable(Fertiliser_SourceData.Fertiliser_Products_Data2(),FertiliserProducts[[#Headers],[Include or Exclude]], 20)</f>
        <v/>
      </c>
      <c r="I122" s="111" t="str" cm="1">
        <f t="array" aca="1" ref="I122" ca="1">Common_InputFunctions.Utility_DisplayArrayInTable(Fertiliser_SourceData.Fertiliser_Products_Data2(),FertiliserProducts[[#Headers],[Include or Exclude]], 20)</f>
        <v/>
      </c>
      <c r="J122" s="111" t="str" cm="1">
        <f t="array" aca="1" ref="J122" ca="1">Common_InputFunctions.Utility_DisplayArrayInTable(Fertiliser_SourceData.Fertiliser_Products_Data2(),FertiliserProducts[[#Headers],[Include or Exclude]], 20)</f>
        <v/>
      </c>
      <c r="K122" s="111" t="str" cm="1">
        <f t="array" aca="1" ref="K122" ca="1">Common_InputFunctions.Utility_DisplayArrayInTable(Fertiliser_SourceData.Fertiliser_Products_Data2(),FertiliserProducts[[#Headers],[Include or Exclude]], 20)</f>
        <v/>
      </c>
      <c r="L122" s="111" t="str" cm="1">
        <f t="array" aca="1" ref="L122" ca="1">Common_InputFunctions.Utility_DisplayArrayInTable(Fertiliser_SourceData.Fertiliser_Products_Data2(),FertiliserProducts[[#Headers],[Include or Exclude]], 20)</f>
        <v/>
      </c>
      <c r="M122" s="111" t="str" cm="1">
        <f t="array" aca="1" ref="M122" ca="1">Common_InputFunctions.Utility_DisplayArrayInTable(Fertiliser_SourceData.Fertiliser_Products_Data2(),FertiliserProducts[[#Headers],[Include or Exclude]], 20)</f>
        <v/>
      </c>
      <c r="N122" s="111" t="str" cm="1">
        <f t="array" aca="1" ref="N122" ca="1">Common_InputFunctions.Utility_DisplayArrayInTable(Fertiliser_SourceData.Fertiliser_Products_Data2(),FertiliserProducts[[#Headers],[Include or Exclude]], 20)</f>
        <v/>
      </c>
      <c r="O122" s="111" t="str" cm="1">
        <f t="array" aca="1" ref="O122" ca="1">Common_InputFunctions.Utility_DisplayArrayInTable(Fertiliser_SourceData.Fertiliser_Products_Data2(),FertiliserProducts[[#Headers],[Include or Exclude]], 20)</f>
        <v/>
      </c>
      <c r="P122" s="111" t="str" cm="1">
        <f t="array" aca="1" ref="P122" ca="1">Common_InputFunctions.Utility_DisplayArrayInTable(Fertiliser_SourceData.Fertiliser_Products_Data2(),FertiliserProducts[[#Headers],[Include or Exclude]], 20)</f>
        <v/>
      </c>
      <c r="Q122" s="111" t="str" cm="1">
        <f t="array" aca="1" ref="Q122" ca="1">Common_InputFunctions.Utility_DisplayArrayInTable(Fertiliser_SourceData.Fertiliser_Products_Data2(),FertiliserProducts[[#Headers],[Include or Exclude]], 20)</f>
        <v/>
      </c>
      <c r="R122" s="111" t="str" cm="1">
        <f t="array" aca="1" ref="R122" ca="1">Common_InputFunctions.Utility_DisplayArrayInTable(Fertiliser_SourceData.Fertiliser_Products_Data2(),FertiliserProducts[[#Headers],[Include or Exclude]], 20)</f>
        <v/>
      </c>
      <c r="S122" s="111" t="str" cm="1">
        <f t="array" aca="1" ref="S122" ca="1">Common_InputFunctions.Utility_DisplayArrayInTable(Fertiliser_SourceData.Fertiliser_Products_Data2(),FertiliserProducts[[#Headers],[Include or Exclude]], 20)</f>
        <v/>
      </c>
      <c r="T122" s="111" t="str" cm="1">
        <f t="array" aca="1" ref="T122" ca="1">Common_InputFunctions.Utility_DisplayArrayInTable(Fertiliser_SourceData.Fertiliser_Products_Data2(),FertiliserProducts[[#Headers],[Include or Exclude]], 20)</f>
        <v/>
      </c>
      <c r="U122" s="111" t="str" cm="1">
        <f t="array" aca="1" ref="U122" ca="1">Common_InputFunctions.Utility_DisplayArrayInTable(Fertiliser_SourceData.Fertiliser_Products_Data2(),FertiliserProducts[[#Headers],[Include or Exclude]], 20)</f>
        <v/>
      </c>
      <c r="V122" s="111" t="str" cm="1">
        <f t="array" aca="1" ref="V122" ca="1">Common_InputFunctions.Utility_DisplayArrayInTable(Fertiliser_SourceData.Fertiliser_Products_Data2(),FertiliserProducts[[#Headers],[Include or Exclude]], 20)</f>
        <v/>
      </c>
      <c r="W122" s="111" t="str" cm="1">
        <f t="array" aca="1" ref="W122" ca="1">Common_InputFunctions.Utility_DisplayArrayInTable(Fertiliser_SourceData.Fertiliser_Products_Data2(),FertiliserProducts[[#Headers],[Include or Exclude]], 20)</f>
        <v/>
      </c>
      <c r="X122" s="111" t="str" cm="1">
        <f t="array" aca="1" ref="X122" ca="1">Common_InputFunctions.Utility_DisplayArrayInTable(Fertiliser_SourceData.Fertiliser_Products_Data2(),FertiliserProducts[[#Headers],[Include or Exclude]], 20)</f>
        <v/>
      </c>
      <c r="Y122" s="111" t="str" cm="1">
        <f t="array" aca="1" ref="Y122" ca="1">Common_InputFunctions.Utility_DisplayArrayInTable(Fertiliser_SourceData.Fertiliser_Products_Data2(),FertiliserProducts[[#Headers],[Include or Exclude]], 20)</f>
        <v/>
      </c>
      <c r="Z122" s="111" t="str" cm="1">
        <f t="array" aca="1" ref="Z122" ca="1">Common_InputFunctions.Utility_DisplayArrayInTable(Fertiliser_SourceData.Fertiliser_Products_Data2(),FertiliserProducts[[#Headers],[Include or Exclude]], 20)</f>
        <v/>
      </c>
      <c r="AA122" s="37" t="str" cm="1">
        <f t="array" aca="1" ref="AA122" ca="1">Common_InputFunctions.Utility_DisplayArrayInTable(Fertiliser_SourceData.Fertiliser_Products_Data2(),FertiliserProducts[[#Headers],[Include or Exclude]], 20)</f>
        <v/>
      </c>
      <c r="AB122" s="37" t="str" cm="1">
        <f t="array" aca="1" ref="AB122" ca="1">Common_InputFunctions.Utility_DisplayArrayInTable(Fertiliser_SourceData.Fertiliser_Products_Data2(),FertiliserProducts[[#Headers],[Include or Exclude]], 20)</f>
        <v/>
      </c>
      <c r="AC122" s="37" t="str" cm="1">
        <f t="array" aca="1" ref="AC122" ca="1">Common_InputFunctions.Utility_DisplayArrayInTable(Fertiliser_SourceData.Fertiliser_Products_Data2(),FertiliserProducts[[#Headers],[Include or Exclude]], 20)</f>
        <v/>
      </c>
      <c r="AD122" s="37" t="str" cm="1">
        <f t="array" aca="1" ref="AD122" ca="1">Common_InputFunctions.Utility_DisplayArrayInTable(Fertiliser_SourceData.Fertiliser_Products_Data2(),FertiliserProducts[[#Headers],[Include or Exclude]], 20)</f>
        <v/>
      </c>
      <c r="AE122" s="37" t="str" cm="1">
        <f t="array" aca="1" ref="AE122" ca="1">Common_InputFunctions.Utility_DisplayArrayInTable(Fertiliser_SourceData.Fertiliser_Products_Data2(),FertiliserProducts[[#Headers],[Include or Exclude]], 20)</f>
        <v/>
      </c>
    </row>
    <row r="123" spans="4:31" ht="20.100000000000001" customHeight="1" x14ac:dyDescent="0.25">
      <c r="D123" s="111" t="str" cm="1">
        <f t="array" aca="1" ref="D123" ca="1">Common_InputFunctions.Utility_DisplayArrayInTable(Fertiliser_SourceData.Fertiliser_Products_Data2(),FertiliserProducts[[#Headers],[Include or Exclude]], 20)</f>
        <v/>
      </c>
      <c r="E123" s="111" t="str" cm="1">
        <f t="array" aca="1" ref="E123" ca="1">Common_InputFunctions.Utility_DisplayArrayInTable(Fertiliser_SourceData.Fertiliser_Products_Data2(),FertiliserProducts[[#Headers],[Include or Exclude]], 20)</f>
        <v/>
      </c>
      <c r="F123" s="111" t="str" cm="1">
        <f t="array" aca="1" ref="F123" ca="1">Common_InputFunctions.Utility_DisplayArrayInTable(Fertiliser_SourceData.Fertiliser_Products_Data2(),FertiliserProducts[[#Headers],[Include or Exclude]], 20)</f>
        <v/>
      </c>
      <c r="G123" s="111" t="str" cm="1">
        <f t="array" aca="1" ref="G123" ca="1">Common_InputFunctions.Utility_DisplayArrayInTable(Fertiliser_SourceData.Fertiliser_Products_Data2(),FertiliserProducts[[#Headers],[Include or Exclude]], 20)</f>
        <v/>
      </c>
      <c r="H123" s="111" t="str" cm="1">
        <f t="array" aca="1" ref="H123" ca="1">Common_InputFunctions.Utility_DisplayArrayInTable(Fertiliser_SourceData.Fertiliser_Products_Data2(),FertiliserProducts[[#Headers],[Include or Exclude]], 20)</f>
        <v/>
      </c>
      <c r="I123" s="111" t="str" cm="1">
        <f t="array" aca="1" ref="I123" ca="1">Common_InputFunctions.Utility_DisplayArrayInTable(Fertiliser_SourceData.Fertiliser_Products_Data2(),FertiliserProducts[[#Headers],[Include or Exclude]], 20)</f>
        <v/>
      </c>
      <c r="J123" s="111" t="str" cm="1">
        <f t="array" aca="1" ref="J123" ca="1">Common_InputFunctions.Utility_DisplayArrayInTable(Fertiliser_SourceData.Fertiliser_Products_Data2(),FertiliserProducts[[#Headers],[Include or Exclude]], 20)</f>
        <v/>
      </c>
      <c r="K123" s="111" t="str" cm="1">
        <f t="array" aca="1" ref="K123" ca="1">Common_InputFunctions.Utility_DisplayArrayInTable(Fertiliser_SourceData.Fertiliser_Products_Data2(),FertiliserProducts[[#Headers],[Include or Exclude]], 20)</f>
        <v/>
      </c>
      <c r="L123" s="111" t="str" cm="1">
        <f t="array" aca="1" ref="L123" ca="1">Common_InputFunctions.Utility_DisplayArrayInTable(Fertiliser_SourceData.Fertiliser_Products_Data2(),FertiliserProducts[[#Headers],[Include or Exclude]], 20)</f>
        <v/>
      </c>
      <c r="M123" s="111" t="str" cm="1">
        <f t="array" aca="1" ref="M123" ca="1">Common_InputFunctions.Utility_DisplayArrayInTable(Fertiliser_SourceData.Fertiliser_Products_Data2(),FertiliserProducts[[#Headers],[Include or Exclude]], 20)</f>
        <v/>
      </c>
      <c r="N123" s="111" t="str" cm="1">
        <f t="array" aca="1" ref="N123" ca="1">Common_InputFunctions.Utility_DisplayArrayInTable(Fertiliser_SourceData.Fertiliser_Products_Data2(),FertiliserProducts[[#Headers],[Include or Exclude]], 20)</f>
        <v/>
      </c>
      <c r="O123" s="111" t="str" cm="1">
        <f t="array" aca="1" ref="O123" ca="1">Common_InputFunctions.Utility_DisplayArrayInTable(Fertiliser_SourceData.Fertiliser_Products_Data2(),FertiliserProducts[[#Headers],[Include or Exclude]], 20)</f>
        <v/>
      </c>
      <c r="P123" s="111" t="str" cm="1">
        <f t="array" aca="1" ref="P123" ca="1">Common_InputFunctions.Utility_DisplayArrayInTable(Fertiliser_SourceData.Fertiliser_Products_Data2(),FertiliserProducts[[#Headers],[Include or Exclude]], 20)</f>
        <v/>
      </c>
      <c r="Q123" s="111" t="str" cm="1">
        <f t="array" aca="1" ref="Q123" ca="1">Common_InputFunctions.Utility_DisplayArrayInTable(Fertiliser_SourceData.Fertiliser_Products_Data2(),FertiliserProducts[[#Headers],[Include or Exclude]], 20)</f>
        <v/>
      </c>
      <c r="R123" s="111" t="str" cm="1">
        <f t="array" aca="1" ref="R123" ca="1">Common_InputFunctions.Utility_DisplayArrayInTable(Fertiliser_SourceData.Fertiliser_Products_Data2(),FertiliserProducts[[#Headers],[Include or Exclude]], 20)</f>
        <v/>
      </c>
      <c r="S123" s="111" t="str" cm="1">
        <f t="array" aca="1" ref="S123" ca="1">Common_InputFunctions.Utility_DisplayArrayInTable(Fertiliser_SourceData.Fertiliser_Products_Data2(),FertiliserProducts[[#Headers],[Include or Exclude]], 20)</f>
        <v/>
      </c>
      <c r="T123" s="111" t="str" cm="1">
        <f t="array" aca="1" ref="T123" ca="1">Common_InputFunctions.Utility_DisplayArrayInTable(Fertiliser_SourceData.Fertiliser_Products_Data2(),FertiliserProducts[[#Headers],[Include or Exclude]], 20)</f>
        <v/>
      </c>
      <c r="U123" s="111" t="str" cm="1">
        <f t="array" aca="1" ref="U123" ca="1">Common_InputFunctions.Utility_DisplayArrayInTable(Fertiliser_SourceData.Fertiliser_Products_Data2(),FertiliserProducts[[#Headers],[Include or Exclude]], 20)</f>
        <v/>
      </c>
      <c r="V123" s="111" t="str" cm="1">
        <f t="array" aca="1" ref="V123" ca="1">Common_InputFunctions.Utility_DisplayArrayInTable(Fertiliser_SourceData.Fertiliser_Products_Data2(),FertiliserProducts[[#Headers],[Include or Exclude]], 20)</f>
        <v/>
      </c>
      <c r="W123" s="111" t="str" cm="1">
        <f t="array" aca="1" ref="W123" ca="1">Common_InputFunctions.Utility_DisplayArrayInTable(Fertiliser_SourceData.Fertiliser_Products_Data2(),FertiliserProducts[[#Headers],[Include or Exclude]], 20)</f>
        <v/>
      </c>
      <c r="X123" s="111" t="str" cm="1">
        <f t="array" aca="1" ref="X123" ca="1">Common_InputFunctions.Utility_DisplayArrayInTable(Fertiliser_SourceData.Fertiliser_Products_Data2(),FertiliserProducts[[#Headers],[Include or Exclude]], 20)</f>
        <v/>
      </c>
      <c r="Y123" s="111" t="str" cm="1">
        <f t="array" aca="1" ref="Y123" ca="1">Common_InputFunctions.Utility_DisplayArrayInTable(Fertiliser_SourceData.Fertiliser_Products_Data2(),FertiliserProducts[[#Headers],[Include or Exclude]], 20)</f>
        <v/>
      </c>
      <c r="Z123" s="111" t="str" cm="1">
        <f t="array" aca="1" ref="Z123" ca="1">Common_InputFunctions.Utility_DisplayArrayInTable(Fertiliser_SourceData.Fertiliser_Products_Data2(),FertiliserProducts[[#Headers],[Include or Exclude]], 20)</f>
        <v/>
      </c>
      <c r="AA123" s="37" t="str" cm="1">
        <f t="array" aca="1" ref="AA123" ca="1">Common_InputFunctions.Utility_DisplayArrayInTable(Fertiliser_SourceData.Fertiliser_Products_Data2(),FertiliserProducts[[#Headers],[Include or Exclude]], 20)</f>
        <v/>
      </c>
      <c r="AB123" s="37" t="str" cm="1">
        <f t="array" aca="1" ref="AB123" ca="1">Common_InputFunctions.Utility_DisplayArrayInTable(Fertiliser_SourceData.Fertiliser_Products_Data2(),FertiliserProducts[[#Headers],[Include or Exclude]], 20)</f>
        <v/>
      </c>
      <c r="AC123" s="37" t="str" cm="1">
        <f t="array" aca="1" ref="AC123" ca="1">Common_InputFunctions.Utility_DisplayArrayInTable(Fertiliser_SourceData.Fertiliser_Products_Data2(),FertiliserProducts[[#Headers],[Include or Exclude]], 20)</f>
        <v/>
      </c>
      <c r="AD123" s="37" t="str" cm="1">
        <f t="array" aca="1" ref="AD123" ca="1">Common_InputFunctions.Utility_DisplayArrayInTable(Fertiliser_SourceData.Fertiliser_Products_Data2(),FertiliserProducts[[#Headers],[Include or Exclude]], 20)</f>
        <v/>
      </c>
      <c r="AE123" s="37" t="str" cm="1">
        <f t="array" aca="1" ref="AE123" ca="1">Common_InputFunctions.Utility_DisplayArrayInTable(Fertiliser_SourceData.Fertiliser_Products_Data2(),FertiliserProducts[[#Headers],[Include or Exclude]], 20)</f>
        <v/>
      </c>
    </row>
    <row r="124" spans="4:31" ht="20.100000000000001" customHeight="1" x14ac:dyDescent="0.25">
      <c r="D124" s="111" t="str" cm="1">
        <f t="array" aca="1" ref="D124" ca="1">Common_InputFunctions.Utility_DisplayArrayInTable(Fertiliser_SourceData.Fertiliser_Products_Data2(),FertiliserProducts[[#Headers],[Include or Exclude]], 20)</f>
        <v/>
      </c>
      <c r="E124" s="111" t="str" cm="1">
        <f t="array" aca="1" ref="E124" ca="1">Common_InputFunctions.Utility_DisplayArrayInTable(Fertiliser_SourceData.Fertiliser_Products_Data2(),FertiliserProducts[[#Headers],[Include or Exclude]], 20)</f>
        <v/>
      </c>
      <c r="F124" s="111" t="str" cm="1">
        <f t="array" aca="1" ref="F124" ca="1">Common_InputFunctions.Utility_DisplayArrayInTable(Fertiliser_SourceData.Fertiliser_Products_Data2(),FertiliserProducts[[#Headers],[Include or Exclude]], 20)</f>
        <v/>
      </c>
      <c r="G124" s="111" t="str" cm="1">
        <f t="array" aca="1" ref="G124" ca="1">Common_InputFunctions.Utility_DisplayArrayInTable(Fertiliser_SourceData.Fertiliser_Products_Data2(),FertiliserProducts[[#Headers],[Include or Exclude]], 20)</f>
        <v/>
      </c>
      <c r="H124" s="111" t="str" cm="1">
        <f t="array" aca="1" ref="H124" ca="1">Common_InputFunctions.Utility_DisplayArrayInTable(Fertiliser_SourceData.Fertiliser_Products_Data2(),FertiliserProducts[[#Headers],[Include or Exclude]], 20)</f>
        <v/>
      </c>
      <c r="I124" s="111" t="str" cm="1">
        <f t="array" aca="1" ref="I124" ca="1">Common_InputFunctions.Utility_DisplayArrayInTable(Fertiliser_SourceData.Fertiliser_Products_Data2(),FertiliserProducts[[#Headers],[Include or Exclude]], 20)</f>
        <v/>
      </c>
      <c r="J124" s="111" t="str" cm="1">
        <f t="array" aca="1" ref="J124" ca="1">Common_InputFunctions.Utility_DisplayArrayInTable(Fertiliser_SourceData.Fertiliser_Products_Data2(),FertiliserProducts[[#Headers],[Include or Exclude]], 20)</f>
        <v/>
      </c>
      <c r="K124" s="111" t="str" cm="1">
        <f t="array" aca="1" ref="K124" ca="1">Common_InputFunctions.Utility_DisplayArrayInTable(Fertiliser_SourceData.Fertiliser_Products_Data2(),FertiliserProducts[[#Headers],[Include or Exclude]], 20)</f>
        <v/>
      </c>
      <c r="L124" s="111" t="str" cm="1">
        <f t="array" aca="1" ref="L124" ca="1">Common_InputFunctions.Utility_DisplayArrayInTable(Fertiliser_SourceData.Fertiliser_Products_Data2(),FertiliserProducts[[#Headers],[Include or Exclude]], 20)</f>
        <v/>
      </c>
      <c r="M124" s="111" t="str" cm="1">
        <f t="array" aca="1" ref="M124" ca="1">Common_InputFunctions.Utility_DisplayArrayInTable(Fertiliser_SourceData.Fertiliser_Products_Data2(),FertiliserProducts[[#Headers],[Include or Exclude]], 20)</f>
        <v/>
      </c>
      <c r="N124" s="111" t="str" cm="1">
        <f t="array" aca="1" ref="N124" ca="1">Common_InputFunctions.Utility_DisplayArrayInTable(Fertiliser_SourceData.Fertiliser_Products_Data2(),FertiliserProducts[[#Headers],[Include or Exclude]], 20)</f>
        <v/>
      </c>
      <c r="O124" s="111" t="str" cm="1">
        <f t="array" aca="1" ref="O124" ca="1">Common_InputFunctions.Utility_DisplayArrayInTable(Fertiliser_SourceData.Fertiliser_Products_Data2(),FertiliserProducts[[#Headers],[Include or Exclude]], 20)</f>
        <v/>
      </c>
      <c r="P124" s="111" t="str" cm="1">
        <f t="array" aca="1" ref="P124" ca="1">Common_InputFunctions.Utility_DisplayArrayInTable(Fertiliser_SourceData.Fertiliser_Products_Data2(),FertiliserProducts[[#Headers],[Include or Exclude]], 20)</f>
        <v/>
      </c>
      <c r="Q124" s="111" t="str" cm="1">
        <f t="array" aca="1" ref="Q124" ca="1">Common_InputFunctions.Utility_DisplayArrayInTable(Fertiliser_SourceData.Fertiliser_Products_Data2(),FertiliserProducts[[#Headers],[Include or Exclude]], 20)</f>
        <v/>
      </c>
      <c r="R124" s="111" t="str" cm="1">
        <f t="array" aca="1" ref="R124" ca="1">Common_InputFunctions.Utility_DisplayArrayInTable(Fertiliser_SourceData.Fertiliser_Products_Data2(),FertiliserProducts[[#Headers],[Include or Exclude]], 20)</f>
        <v/>
      </c>
      <c r="S124" s="111" t="str" cm="1">
        <f t="array" aca="1" ref="S124" ca="1">Common_InputFunctions.Utility_DisplayArrayInTable(Fertiliser_SourceData.Fertiliser_Products_Data2(),FertiliserProducts[[#Headers],[Include or Exclude]], 20)</f>
        <v/>
      </c>
      <c r="T124" s="111" t="str" cm="1">
        <f t="array" aca="1" ref="T124" ca="1">Common_InputFunctions.Utility_DisplayArrayInTable(Fertiliser_SourceData.Fertiliser_Products_Data2(),FertiliserProducts[[#Headers],[Include or Exclude]], 20)</f>
        <v/>
      </c>
      <c r="U124" s="111" t="str" cm="1">
        <f t="array" aca="1" ref="U124" ca="1">Common_InputFunctions.Utility_DisplayArrayInTable(Fertiliser_SourceData.Fertiliser_Products_Data2(),FertiliserProducts[[#Headers],[Include or Exclude]], 20)</f>
        <v/>
      </c>
      <c r="V124" s="111" t="str" cm="1">
        <f t="array" aca="1" ref="V124" ca="1">Common_InputFunctions.Utility_DisplayArrayInTable(Fertiliser_SourceData.Fertiliser_Products_Data2(),FertiliserProducts[[#Headers],[Include or Exclude]], 20)</f>
        <v/>
      </c>
      <c r="W124" s="111" t="str" cm="1">
        <f t="array" aca="1" ref="W124" ca="1">Common_InputFunctions.Utility_DisplayArrayInTable(Fertiliser_SourceData.Fertiliser_Products_Data2(),FertiliserProducts[[#Headers],[Include or Exclude]], 20)</f>
        <v/>
      </c>
      <c r="X124" s="111" t="str" cm="1">
        <f t="array" aca="1" ref="X124" ca="1">Common_InputFunctions.Utility_DisplayArrayInTable(Fertiliser_SourceData.Fertiliser_Products_Data2(),FertiliserProducts[[#Headers],[Include or Exclude]], 20)</f>
        <v/>
      </c>
      <c r="Y124" s="111" t="str" cm="1">
        <f t="array" aca="1" ref="Y124" ca="1">Common_InputFunctions.Utility_DisplayArrayInTable(Fertiliser_SourceData.Fertiliser_Products_Data2(),FertiliserProducts[[#Headers],[Include or Exclude]], 20)</f>
        <v/>
      </c>
      <c r="Z124" s="111" t="str" cm="1">
        <f t="array" aca="1" ref="Z124" ca="1">Common_InputFunctions.Utility_DisplayArrayInTable(Fertiliser_SourceData.Fertiliser_Products_Data2(),FertiliserProducts[[#Headers],[Include or Exclude]], 20)</f>
        <v/>
      </c>
      <c r="AA124" s="37" t="str" cm="1">
        <f t="array" aca="1" ref="AA124" ca="1">Common_InputFunctions.Utility_DisplayArrayInTable(Fertiliser_SourceData.Fertiliser_Products_Data2(),FertiliserProducts[[#Headers],[Include or Exclude]], 20)</f>
        <v/>
      </c>
      <c r="AB124" s="37" t="str" cm="1">
        <f t="array" aca="1" ref="AB124" ca="1">Common_InputFunctions.Utility_DisplayArrayInTable(Fertiliser_SourceData.Fertiliser_Products_Data2(),FertiliserProducts[[#Headers],[Include or Exclude]], 20)</f>
        <v/>
      </c>
      <c r="AC124" s="37" t="str" cm="1">
        <f t="array" aca="1" ref="AC124" ca="1">Common_InputFunctions.Utility_DisplayArrayInTable(Fertiliser_SourceData.Fertiliser_Products_Data2(),FertiliserProducts[[#Headers],[Include or Exclude]], 20)</f>
        <v/>
      </c>
      <c r="AD124" s="37" t="str" cm="1">
        <f t="array" aca="1" ref="AD124" ca="1">Common_InputFunctions.Utility_DisplayArrayInTable(Fertiliser_SourceData.Fertiliser_Products_Data2(),FertiliserProducts[[#Headers],[Include or Exclude]], 20)</f>
        <v/>
      </c>
      <c r="AE124" s="37" t="str" cm="1">
        <f t="array" aca="1" ref="AE124" ca="1">Common_InputFunctions.Utility_DisplayArrayInTable(Fertiliser_SourceData.Fertiliser_Products_Data2(),FertiliserProducts[[#Headers],[Include or Exclude]], 20)</f>
        <v/>
      </c>
    </row>
    <row r="125" spans="4:31" ht="20.100000000000001" customHeight="1" x14ac:dyDescent="0.25">
      <c r="D125" s="111" t="str" cm="1">
        <f t="array" aca="1" ref="D125" ca="1">Common_InputFunctions.Utility_DisplayArrayInTable(Fertiliser_SourceData.Fertiliser_Products_Data2(),FertiliserProducts[[#Headers],[Include or Exclude]], 20)</f>
        <v/>
      </c>
      <c r="E125" s="111" t="str" cm="1">
        <f t="array" aca="1" ref="E125" ca="1">Common_InputFunctions.Utility_DisplayArrayInTable(Fertiliser_SourceData.Fertiliser_Products_Data2(),FertiliserProducts[[#Headers],[Include or Exclude]], 20)</f>
        <v/>
      </c>
      <c r="F125" s="111" t="str" cm="1">
        <f t="array" aca="1" ref="F125" ca="1">Common_InputFunctions.Utility_DisplayArrayInTable(Fertiliser_SourceData.Fertiliser_Products_Data2(),FertiliserProducts[[#Headers],[Include or Exclude]], 20)</f>
        <v/>
      </c>
      <c r="G125" s="111" t="str" cm="1">
        <f t="array" aca="1" ref="G125" ca="1">Common_InputFunctions.Utility_DisplayArrayInTable(Fertiliser_SourceData.Fertiliser_Products_Data2(),FertiliserProducts[[#Headers],[Include or Exclude]], 20)</f>
        <v/>
      </c>
      <c r="H125" s="111" t="str" cm="1">
        <f t="array" aca="1" ref="H125" ca="1">Common_InputFunctions.Utility_DisplayArrayInTable(Fertiliser_SourceData.Fertiliser_Products_Data2(),FertiliserProducts[[#Headers],[Include or Exclude]], 20)</f>
        <v/>
      </c>
      <c r="I125" s="111" t="str" cm="1">
        <f t="array" aca="1" ref="I125" ca="1">Common_InputFunctions.Utility_DisplayArrayInTable(Fertiliser_SourceData.Fertiliser_Products_Data2(),FertiliserProducts[[#Headers],[Include or Exclude]], 20)</f>
        <v/>
      </c>
      <c r="J125" s="111" t="str" cm="1">
        <f t="array" aca="1" ref="J125" ca="1">Common_InputFunctions.Utility_DisplayArrayInTable(Fertiliser_SourceData.Fertiliser_Products_Data2(),FertiliserProducts[[#Headers],[Include or Exclude]], 20)</f>
        <v/>
      </c>
      <c r="K125" s="111" t="str" cm="1">
        <f t="array" aca="1" ref="K125" ca="1">Common_InputFunctions.Utility_DisplayArrayInTable(Fertiliser_SourceData.Fertiliser_Products_Data2(),FertiliserProducts[[#Headers],[Include or Exclude]], 20)</f>
        <v/>
      </c>
      <c r="L125" s="111" t="str" cm="1">
        <f t="array" aca="1" ref="L125" ca="1">Common_InputFunctions.Utility_DisplayArrayInTable(Fertiliser_SourceData.Fertiliser_Products_Data2(),FertiliserProducts[[#Headers],[Include or Exclude]], 20)</f>
        <v/>
      </c>
      <c r="M125" s="111" t="str" cm="1">
        <f t="array" aca="1" ref="M125" ca="1">Common_InputFunctions.Utility_DisplayArrayInTable(Fertiliser_SourceData.Fertiliser_Products_Data2(),FertiliserProducts[[#Headers],[Include or Exclude]], 20)</f>
        <v/>
      </c>
      <c r="N125" s="111" t="str" cm="1">
        <f t="array" aca="1" ref="N125" ca="1">Common_InputFunctions.Utility_DisplayArrayInTable(Fertiliser_SourceData.Fertiliser_Products_Data2(),FertiliserProducts[[#Headers],[Include or Exclude]], 20)</f>
        <v/>
      </c>
      <c r="O125" s="111" t="str" cm="1">
        <f t="array" aca="1" ref="O125" ca="1">Common_InputFunctions.Utility_DisplayArrayInTable(Fertiliser_SourceData.Fertiliser_Products_Data2(),FertiliserProducts[[#Headers],[Include or Exclude]], 20)</f>
        <v/>
      </c>
      <c r="P125" s="111" t="str" cm="1">
        <f t="array" aca="1" ref="P125" ca="1">Common_InputFunctions.Utility_DisplayArrayInTable(Fertiliser_SourceData.Fertiliser_Products_Data2(),FertiliserProducts[[#Headers],[Include or Exclude]], 20)</f>
        <v/>
      </c>
      <c r="Q125" s="111" t="str" cm="1">
        <f t="array" aca="1" ref="Q125" ca="1">Common_InputFunctions.Utility_DisplayArrayInTable(Fertiliser_SourceData.Fertiliser_Products_Data2(),FertiliserProducts[[#Headers],[Include or Exclude]], 20)</f>
        <v/>
      </c>
      <c r="R125" s="111" t="str" cm="1">
        <f t="array" aca="1" ref="R125" ca="1">Common_InputFunctions.Utility_DisplayArrayInTable(Fertiliser_SourceData.Fertiliser_Products_Data2(),FertiliserProducts[[#Headers],[Include or Exclude]], 20)</f>
        <v/>
      </c>
      <c r="S125" s="111" t="str" cm="1">
        <f t="array" aca="1" ref="S125" ca="1">Common_InputFunctions.Utility_DisplayArrayInTable(Fertiliser_SourceData.Fertiliser_Products_Data2(),FertiliserProducts[[#Headers],[Include or Exclude]], 20)</f>
        <v/>
      </c>
      <c r="T125" s="111" t="str" cm="1">
        <f t="array" aca="1" ref="T125" ca="1">Common_InputFunctions.Utility_DisplayArrayInTable(Fertiliser_SourceData.Fertiliser_Products_Data2(),FertiliserProducts[[#Headers],[Include or Exclude]], 20)</f>
        <v/>
      </c>
      <c r="U125" s="111" t="str" cm="1">
        <f t="array" aca="1" ref="U125" ca="1">Common_InputFunctions.Utility_DisplayArrayInTable(Fertiliser_SourceData.Fertiliser_Products_Data2(),FertiliserProducts[[#Headers],[Include or Exclude]], 20)</f>
        <v/>
      </c>
      <c r="V125" s="111" t="str" cm="1">
        <f t="array" aca="1" ref="V125" ca="1">Common_InputFunctions.Utility_DisplayArrayInTable(Fertiliser_SourceData.Fertiliser_Products_Data2(),FertiliserProducts[[#Headers],[Include or Exclude]], 20)</f>
        <v/>
      </c>
      <c r="W125" s="111" t="str" cm="1">
        <f t="array" aca="1" ref="W125" ca="1">Common_InputFunctions.Utility_DisplayArrayInTable(Fertiliser_SourceData.Fertiliser_Products_Data2(),FertiliserProducts[[#Headers],[Include or Exclude]], 20)</f>
        <v/>
      </c>
      <c r="X125" s="111" t="str" cm="1">
        <f t="array" aca="1" ref="X125" ca="1">Common_InputFunctions.Utility_DisplayArrayInTable(Fertiliser_SourceData.Fertiliser_Products_Data2(),FertiliserProducts[[#Headers],[Include or Exclude]], 20)</f>
        <v/>
      </c>
      <c r="Y125" s="111" t="str" cm="1">
        <f t="array" aca="1" ref="Y125" ca="1">Common_InputFunctions.Utility_DisplayArrayInTable(Fertiliser_SourceData.Fertiliser_Products_Data2(),FertiliserProducts[[#Headers],[Include or Exclude]], 20)</f>
        <v/>
      </c>
      <c r="Z125" s="111" t="str" cm="1">
        <f t="array" aca="1" ref="Z125" ca="1">Common_InputFunctions.Utility_DisplayArrayInTable(Fertiliser_SourceData.Fertiliser_Products_Data2(),FertiliserProducts[[#Headers],[Include or Exclude]], 20)</f>
        <v/>
      </c>
      <c r="AA125" s="37" t="str" cm="1">
        <f t="array" aca="1" ref="AA125" ca="1">Common_InputFunctions.Utility_DisplayArrayInTable(Fertiliser_SourceData.Fertiliser_Products_Data2(),FertiliserProducts[[#Headers],[Include or Exclude]], 20)</f>
        <v/>
      </c>
      <c r="AB125" s="37" t="str" cm="1">
        <f t="array" aca="1" ref="AB125" ca="1">Common_InputFunctions.Utility_DisplayArrayInTable(Fertiliser_SourceData.Fertiliser_Products_Data2(),FertiliserProducts[[#Headers],[Include or Exclude]], 20)</f>
        <v/>
      </c>
      <c r="AC125" s="37" t="str" cm="1">
        <f t="array" aca="1" ref="AC125" ca="1">Common_InputFunctions.Utility_DisplayArrayInTable(Fertiliser_SourceData.Fertiliser_Products_Data2(),FertiliserProducts[[#Headers],[Include or Exclude]], 20)</f>
        <v/>
      </c>
      <c r="AD125" s="37" t="str" cm="1">
        <f t="array" aca="1" ref="AD125" ca="1">Common_InputFunctions.Utility_DisplayArrayInTable(Fertiliser_SourceData.Fertiliser_Products_Data2(),FertiliserProducts[[#Headers],[Include or Exclude]], 20)</f>
        <v/>
      </c>
      <c r="AE125" s="37" t="str" cm="1">
        <f t="array" aca="1" ref="AE125" ca="1">Common_InputFunctions.Utility_DisplayArrayInTable(Fertiliser_SourceData.Fertiliser_Products_Data2(),FertiliserProducts[[#Headers],[Include or Exclude]], 20)</f>
        <v/>
      </c>
    </row>
    <row r="126" spans="4:31" ht="20.100000000000001" customHeight="1" x14ac:dyDescent="0.25">
      <c r="D126" s="111" t="str" cm="1">
        <f t="array" aca="1" ref="D126" ca="1">Common_InputFunctions.Utility_DisplayArrayInTable(Fertiliser_SourceData.Fertiliser_Products_Data2(),FertiliserProducts[[#Headers],[Include or Exclude]], 20)</f>
        <v/>
      </c>
      <c r="E126" s="111" t="str" cm="1">
        <f t="array" aca="1" ref="E126" ca="1">Common_InputFunctions.Utility_DisplayArrayInTable(Fertiliser_SourceData.Fertiliser_Products_Data2(),FertiliserProducts[[#Headers],[Include or Exclude]], 20)</f>
        <v/>
      </c>
      <c r="F126" s="111" t="str" cm="1">
        <f t="array" aca="1" ref="F126" ca="1">Common_InputFunctions.Utility_DisplayArrayInTable(Fertiliser_SourceData.Fertiliser_Products_Data2(),FertiliserProducts[[#Headers],[Include or Exclude]], 20)</f>
        <v/>
      </c>
      <c r="G126" s="111" t="str" cm="1">
        <f t="array" aca="1" ref="G126" ca="1">Common_InputFunctions.Utility_DisplayArrayInTable(Fertiliser_SourceData.Fertiliser_Products_Data2(),FertiliserProducts[[#Headers],[Include or Exclude]], 20)</f>
        <v/>
      </c>
      <c r="H126" s="111" t="str" cm="1">
        <f t="array" aca="1" ref="H126" ca="1">Common_InputFunctions.Utility_DisplayArrayInTable(Fertiliser_SourceData.Fertiliser_Products_Data2(),FertiliserProducts[[#Headers],[Include or Exclude]], 20)</f>
        <v/>
      </c>
      <c r="I126" s="111" t="str" cm="1">
        <f t="array" aca="1" ref="I126" ca="1">Common_InputFunctions.Utility_DisplayArrayInTable(Fertiliser_SourceData.Fertiliser_Products_Data2(),FertiliserProducts[[#Headers],[Include or Exclude]], 20)</f>
        <v/>
      </c>
      <c r="J126" s="111" t="str" cm="1">
        <f t="array" aca="1" ref="J126" ca="1">Common_InputFunctions.Utility_DisplayArrayInTable(Fertiliser_SourceData.Fertiliser_Products_Data2(),FertiliserProducts[[#Headers],[Include or Exclude]], 20)</f>
        <v/>
      </c>
      <c r="K126" s="111" t="str" cm="1">
        <f t="array" aca="1" ref="K126" ca="1">Common_InputFunctions.Utility_DisplayArrayInTable(Fertiliser_SourceData.Fertiliser_Products_Data2(),FertiliserProducts[[#Headers],[Include or Exclude]], 20)</f>
        <v/>
      </c>
      <c r="L126" s="111" t="str" cm="1">
        <f t="array" aca="1" ref="L126" ca="1">Common_InputFunctions.Utility_DisplayArrayInTable(Fertiliser_SourceData.Fertiliser_Products_Data2(),FertiliserProducts[[#Headers],[Include or Exclude]], 20)</f>
        <v/>
      </c>
      <c r="M126" s="111" t="str" cm="1">
        <f t="array" aca="1" ref="M126" ca="1">Common_InputFunctions.Utility_DisplayArrayInTable(Fertiliser_SourceData.Fertiliser_Products_Data2(),FertiliserProducts[[#Headers],[Include or Exclude]], 20)</f>
        <v/>
      </c>
      <c r="N126" s="111" t="str" cm="1">
        <f t="array" aca="1" ref="N126" ca="1">Common_InputFunctions.Utility_DisplayArrayInTable(Fertiliser_SourceData.Fertiliser_Products_Data2(),FertiliserProducts[[#Headers],[Include or Exclude]], 20)</f>
        <v/>
      </c>
      <c r="O126" s="111" t="str" cm="1">
        <f t="array" aca="1" ref="O126" ca="1">Common_InputFunctions.Utility_DisplayArrayInTable(Fertiliser_SourceData.Fertiliser_Products_Data2(),FertiliserProducts[[#Headers],[Include or Exclude]], 20)</f>
        <v/>
      </c>
      <c r="P126" s="111" t="str" cm="1">
        <f t="array" aca="1" ref="P126" ca="1">Common_InputFunctions.Utility_DisplayArrayInTable(Fertiliser_SourceData.Fertiliser_Products_Data2(),FertiliserProducts[[#Headers],[Include or Exclude]], 20)</f>
        <v/>
      </c>
      <c r="Q126" s="111" t="str" cm="1">
        <f t="array" aca="1" ref="Q126" ca="1">Common_InputFunctions.Utility_DisplayArrayInTable(Fertiliser_SourceData.Fertiliser_Products_Data2(),FertiliserProducts[[#Headers],[Include or Exclude]], 20)</f>
        <v/>
      </c>
      <c r="R126" s="111" t="str" cm="1">
        <f t="array" aca="1" ref="R126" ca="1">Common_InputFunctions.Utility_DisplayArrayInTable(Fertiliser_SourceData.Fertiliser_Products_Data2(),FertiliserProducts[[#Headers],[Include or Exclude]], 20)</f>
        <v/>
      </c>
      <c r="S126" s="111" t="str" cm="1">
        <f t="array" aca="1" ref="S126" ca="1">Common_InputFunctions.Utility_DisplayArrayInTable(Fertiliser_SourceData.Fertiliser_Products_Data2(),FertiliserProducts[[#Headers],[Include or Exclude]], 20)</f>
        <v/>
      </c>
      <c r="T126" s="111" t="str" cm="1">
        <f t="array" aca="1" ref="T126" ca="1">Common_InputFunctions.Utility_DisplayArrayInTable(Fertiliser_SourceData.Fertiliser_Products_Data2(),FertiliserProducts[[#Headers],[Include or Exclude]], 20)</f>
        <v/>
      </c>
      <c r="U126" s="111" t="str" cm="1">
        <f t="array" aca="1" ref="U126" ca="1">Common_InputFunctions.Utility_DisplayArrayInTable(Fertiliser_SourceData.Fertiliser_Products_Data2(),FertiliserProducts[[#Headers],[Include or Exclude]], 20)</f>
        <v/>
      </c>
      <c r="V126" s="111" t="str" cm="1">
        <f t="array" aca="1" ref="V126" ca="1">Common_InputFunctions.Utility_DisplayArrayInTable(Fertiliser_SourceData.Fertiliser_Products_Data2(),FertiliserProducts[[#Headers],[Include or Exclude]], 20)</f>
        <v/>
      </c>
      <c r="W126" s="111" t="str" cm="1">
        <f t="array" aca="1" ref="W126" ca="1">Common_InputFunctions.Utility_DisplayArrayInTable(Fertiliser_SourceData.Fertiliser_Products_Data2(),FertiliserProducts[[#Headers],[Include or Exclude]], 20)</f>
        <v/>
      </c>
      <c r="X126" s="111" t="str" cm="1">
        <f t="array" aca="1" ref="X126" ca="1">Common_InputFunctions.Utility_DisplayArrayInTable(Fertiliser_SourceData.Fertiliser_Products_Data2(),FertiliserProducts[[#Headers],[Include or Exclude]], 20)</f>
        <v/>
      </c>
      <c r="Y126" s="111" t="str" cm="1">
        <f t="array" aca="1" ref="Y126" ca="1">Common_InputFunctions.Utility_DisplayArrayInTable(Fertiliser_SourceData.Fertiliser_Products_Data2(),FertiliserProducts[[#Headers],[Include or Exclude]], 20)</f>
        <v/>
      </c>
      <c r="Z126" s="111" t="str" cm="1">
        <f t="array" aca="1" ref="Z126" ca="1">Common_InputFunctions.Utility_DisplayArrayInTable(Fertiliser_SourceData.Fertiliser_Products_Data2(),FertiliserProducts[[#Headers],[Include or Exclude]], 20)</f>
        <v/>
      </c>
      <c r="AA126" s="37" t="str" cm="1">
        <f t="array" aca="1" ref="AA126" ca="1">Common_InputFunctions.Utility_DisplayArrayInTable(Fertiliser_SourceData.Fertiliser_Products_Data2(),FertiliserProducts[[#Headers],[Include or Exclude]], 20)</f>
        <v/>
      </c>
      <c r="AB126" s="37" t="str" cm="1">
        <f t="array" aca="1" ref="AB126" ca="1">Common_InputFunctions.Utility_DisplayArrayInTable(Fertiliser_SourceData.Fertiliser_Products_Data2(),FertiliserProducts[[#Headers],[Include or Exclude]], 20)</f>
        <v/>
      </c>
      <c r="AC126" s="37" t="str" cm="1">
        <f t="array" aca="1" ref="AC126" ca="1">Common_InputFunctions.Utility_DisplayArrayInTable(Fertiliser_SourceData.Fertiliser_Products_Data2(),FertiliserProducts[[#Headers],[Include or Exclude]], 20)</f>
        <v/>
      </c>
      <c r="AD126" s="37" t="str" cm="1">
        <f t="array" aca="1" ref="AD126" ca="1">Common_InputFunctions.Utility_DisplayArrayInTable(Fertiliser_SourceData.Fertiliser_Products_Data2(),FertiliserProducts[[#Headers],[Include or Exclude]], 20)</f>
        <v/>
      </c>
      <c r="AE126" s="37" t="str" cm="1">
        <f t="array" aca="1" ref="AE126" ca="1">Common_InputFunctions.Utility_DisplayArrayInTable(Fertiliser_SourceData.Fertiliser_Products_Data2(),FertiliserProducts[[#Headers],[Include or Exclude]], 20)</f>
        <v/>
      </c>
    </row>
    <row r="127" spans="4:31" ht="20.100000000000001" customHeight="1" x14ac:dyDescent="0.25">
      <c r="D127" s="111" t="str" cm="1">
        <f t="array" aca="1" ref="D127" ca="1">Common_InputFunctions.Utility_DisplayArrayInTable(Fertiliser_SourceData.Fertiliser_Products_Data2(),FertiliserProducts[[#Headers],[Include or Exclude]], 20)</f>
        <v/>
      </c>
      <c r="E127" s="111" t="str" cm="1">
        <f t="array" aca="1" ref="E127" ca="1">Common_InputFunctions.Utility_DisplayArrayInTable(Fertiliser_SourceData.Fertiliser_Products_Data2(),FertiliserProducts[[#Headers],[Include or Exclude]], 20)</f>
        <v/>
      </c>
      <c r="F127" s="111" t="str" cm="1">
        <f t="array" aca="1" ref="F127" ca="1">Common_InputFunctions.Utility_DisplayArrayInTable(Fertiliser_SourceData.Fertiliser_Products_Data2(),FertiliserProducts[[#Headers],[Include or Exclude]], 20)</f>
        <v/>
      </c>
      <c r="G127" s="111" t="str" cm="1">
        <f t="array" aca="1" ref="G127" ca="1">Common_InputFunctions.Utility_DisplayArrayInTable(Fertiliser_SourceData.Fertiliser_Products_Data2(),FertiliserProducts[[#Headers],[Include or Exclude]], 20)</f>
        <v/>
      </c>
      <c r="H127" s="111" t="str" cm="1">
        <f t="array" aca="1" ref="H127" ca="1">Common_InputFunctions.Utility_DisplayArrayInTable(Fertiliser_SourceData.Fertiliser_Products_Data2(),FertiliserProducts[[#Headers],[Include or Exclude]], 20)</f>
        <v/>
      </c>
      <c r="I127" s="111" t="str" cm="1">
        <f t="array" aca="1" ref="I127" ca="1">Common_InputFunctions.Utility_DisplayArrayInTable(Fertiliser_SourceData.Fertiliser_Products_Data2(),FertiliserProducts[[#Headers],[Include or Exclude]], 20)</f>
        <v/>
      </c>
      <c r="J127" s="111" t="str" cm="1">
        <f t="array" aca="1" ref="J127" ca="1">Common_InputFunctions.Utility_DisplayArrayInTable(Fertiliser_SourceData.Fertiliser_Products_Data2(),FertiliserProducts[[#Headers],[Include or Exclude]], 20)</f>
        <v/>
      </c>
      <c r="K127" s="111" t="str" cm="1">
        <f t="array" aca="1" ref="K127" ca="1">Common_InputFunctions.Utility_DisplayArrayInTable(Fertiliser_SourceData.Fertiliser_Products_Data2(),FertiliserProducts[[#Headers],[Include or Exclude]], 20)</f>
        <v/>
      </c>
      <c r="L127" s="111" t="str" cm="1">
        <f t="array" aca="1" ref="L127" ca="1">Common_InputFunctions.Utility_DisplayArrayInTable(Fertiliser_SourceData.Fertiliser_Products_Data2(),FertiliserProducts[[#Headers],[Include or Exclude]], 20)</f>
        <v/>
      </c>
      <c r="M127" s="111" t="str" cm="1">
        <f t="array" aca="1" ref="M127" ca="1">Common_InputFunctions.Utility_DisplayArrayInTable(Fertiliser_SourceData.Fertiliser_Products_Data2(),FertiliserProducts[[#Headers],[Include or Exclude]], 20)</f>
        <v/>
      </c>
      <c r="N127" s="111" t="str" cm="1">
        <f t="array" aca="1" ref="N127" ca="1">Common_InputFunctions.Utility_DisplayArrayInTable(Fertiliser_SourceData.Fertiliser_Products_Data2(),FertiliserProducts[[#Headers],[Include or Exclude]], 20)</f>
        <v/>
      </c>
      <c r="O127" s="111" t="str" cm="1">
        <f t="array" aca="1" ref="O127" ca="1">Common_InputFunctions.Utility_DisplayArrayInTable(Fertiliser_SourceData.Fertiliser_Products_Data2(),FertiliserProducts[[#Headers],[Include or Exclude]], 20)</f>
        <v/>
      </c>
      <c r="P127" s="111" t="str" cm="1">
        <f t="array" aca="1" ref="P127" ca="1">Common_InputFunctions.Utility_DisplayArrayInTable(Fertiliser_SourceData.Fertiliser_Products_Data2(),FertiliserProducts[[#Headers],[Include or Exclude]], 20)</f>
        <v/>
      </c>
      <c r="Q127" s="111" t="str" cm="1">
        <f t="array" aca="1" ref="Q127" ca="1">Common_InputFunctions.Utility_DisplayArrayInTable(Fertiliser_SourceData.Fertiliser_Products_Data2(),FertiliserProducts[[#Headers],[Include or Exclude]], 20)</f>
        <v/>
      </c>
      <c r="R127" s="111" t="str" cm="1">
        <f t="array" aca="1" ref="R127" ca="1">Common_InputFunctions.Utility_DisplayArrayInTable(Fertiliser_SourceData.Fertiliser_Products_Data2(),FertiliserProducts[[#Headers],[Include or Exclude]], 20)</f>
        <v/>
      </c>
      <c r="S127" s="111" t="str" cm="1">
        <f t="array" aca="1" ref="S127" ca="1">Common_InputFunctions.Utility_DisplayArrayInTable(Fertiliser_SourceData.Fertiliser_Products_Data2(),FertiliserProducts[[#Headers],[Include or Exclude]], 20)</f>
        <v/>
      </c>
      <c r="T127" s="111" t="str" cm="1">
        <f t="array" aca="1" ref="T127" ca="1">Common_InputFunctions.Utility_DisplayArrayInTable(Fertiliser_SourceData.Fertiliser_Products_Data2(),FertiliserProducts[[#Headers],[Include or Exclude]], 20)</f>
        <v/>
      </c>
      <c r="U127" s="111" t="str" cm="1">
        <f t="array" aca="1" ref="U127" ca="1">Common_InputFunctions.Utility_DisplayArrayInTable(Fertiliser_SourceData.Fertiliser_Products_Data2(),FertiliserProducts[[#Headers],[Include or Exclude]], 20)</f>
        <v/>
      </c>
      <c r="V127" s="111" t="str" cm="1">
        <f t="array" aca="1" ref="V127" ca="1">Common_InputFunctions.Utility_DisplayArrayInTable(Fertiliser_SourceData.Fertiliser_Products_Data2(),FertiliserProducts[[#Headers],[Include or Exclude]], 20)</f>
        <v/>
      </c>
      <c r="W127" s="111" t="str" cm="1">
        <f t="array" aca="1" ref="W127" ca="1">Common_InputFunctions.Utility_DisplayArrayInTable(Fertiliser_SourceData.Fertiliser_Products_Data2(),FertiliserProducts[[#Headers],[Include or Exclude]], 20)</f>
        <v/>
      </c>
      <c r="X127" s="111" t="str" cm="1">
        <f t="array" aca="1" ref="X127" ca="1">Common_InputFunctions.Utility_DisplayArrayInTable(Fertiliser_SourceData.Fertiliser_Products_Data2(),FertiliserProducts[[#Headers],[Include or Exclude]], 20)</f>
        <v/>
      </c>
      <c r="Y127" s="111" t="str" cm="1">
        <f t="array" aca="1" ref="Y127" ca="1">Common_InputFunctions.Utility_DisplayArrayInTable(Fertiliser_SourceData.Fertiliser_Products_Data2(),FertiliserProducts[[#Headers],[Include or Exclude]], 20)</f>
        <v/>
      </c>
      <c r="Z127" s="111" t="str" cm="1">
        <f t="array" aca="1" ref="Z127" ca="1">Common_InputFunctions.Utility_DisplayArrayInTable(Fertiliser_SourceData.Fertiliser_Products_Data2(),FertiliserProducts[[#Headers],[Include or Exclude]], 20)</f>
        <v/>
      </c>
      <c r="AA127" s="37" t="str" cm="1">
        <f t="array" aca="1" ref="AA127" ca="1">Common_InputFunctions.Utility_DisplayArrayInTable(Fertiliser_SourceData.Fertiliser_Products_Data2(),FertiliserProducts[[#Headers],[Include or Exclude]], 20)</f>
        <v/>
      </c>
      <c r="AB127" s="37" t="str" cm="1">
        <f t="array" aca="1" ref="AB127" ca="1">Common_InputFunctions.Utility_DisplayArrayInTable(Fertiliser_SourceData.Fertiliser_Products_Data2(),FertiliserProducts[[#Headers],[Include or Exclude]], 20)</f>
        <v/>
      </c>
      <c r="AC127" s="37" t="str" cm="1">
        <f t="array" aca="1" ref="AC127" ca="1">Common_InputFunctions.Utility_DisplayArrayInTable(Fertiliser_SourceData.Fertiliser_Products_Data2(),FertiliserProducts[[#Headers],[Include or Exclude]], 20)</f>
        <v/>
      </c>
      <c r="AD127" s="37" t="str" cm="1">
        <f t="array" aca="1" ref="AD127" ca="1">Common_InputFunctions.Utility_DisplayArrayInTable(Fertiliser_SourceData.Fertiliser_Products_Data2(),FertiliserProducts[[#Headers],[Include or Exclude]], 20)</f>
        <v/>
      </c>
      <c r="AE127" s="37" t="str" cm="1">
        <f t="array" aca="1" ref="AE127" ca="1">Common_InputFunctions.Utility_DisplayArrayInTable(Fertiliser_SourceData.Fertiliser_Products_Data2(),FertiliserProducts[[#Headers],[Include or Exclude]], 20)</f>
        <v/>
      </c>
    </row>
    <row r="128" spans="4:31" ht="20.100000000000001" customHeight="1" x14ac:dyDescent="0.25">
      <c r="D128" s="111" t="str" cm="1">
        <f t="array" aca="1" ref="D128" ca="1">Common_InputFunctions.Utility_DisplayArrayInTable(Fertiliser_SourceData.Fertiliser_Products_Data2(),FertiliserProducts[[#Headers],[Include or Exclude]], 20)</f>
        <v/>
      </c>
      <c r="E128" s="111" t="str" cm="1">
        <f t="array" aca="1" ref="E128" ca="1">Common_InputFunctions.Utility_DisplayArrayInTable(Fertiliser_SourceData.Fertiliser_Products_Data2(),FertiliserProducts[[#Headers],[Include or Exclude]], 20)</f>
        <v/>
      </c>
      <c r="F128" s="111" t="str" cm="1">
        <f t="array" aca="1" ref="F128" ca="1">Common_InputFunctions.Utility_DisplayArrayInTable(Fertiliser_SourceData.Fertiliser_Products_Data2(),FertiliserProducts[[#Headers],[Include or Exclude]], 20)</f>
        <v/>
      </c>
      <c r="G128" s="111" t="str" cm="1">
        <f t="array" aca="1" ref="G128" ca="1">Common_InputFunctions.Utility_DisplayArrayInTable(Fertiliser_SourceData.Fertiliser_Products_Data2(),FertiliserProducts[[#Headers],[Include or Exclude]], 20)</f>
        <v/>
      </c>
      <c r="H128" s="111" t="str" cm="1">
        <f t="array" aca="1" ref="H128" ca="1">Common_InputFunctions.Utility_DisplayArrayInTable(Fertiliser_SourceData.Fertiliser_Products_Data2(),FertiliserProducts[[#Headers],[Include or Exclude]], 20)</f>
        <v/>
      </c>
      <c r="I128" s="111" t="str" cm="1">
        <f t="array" aca="1" ref="I128" ca="1">Common_InputFunctions.Utility_DisplayArrayInTable(Fertiliser_SourceData.Fertiliser_Products_Data2(),FertiliserProducts[[#Headers],[Include or Exclude]], 20)</f>
        <v/>
      </c>
      <c r="J128" s="111" t="str" cm="1">
        <f t="array" aca="1" ref="J128" ca="1">Common_InputFunctions.Utility_DisplayArrayInTable(Fertiliser_SourceData.Fertiliser_Products_Data2(),FertiliserProducts[[#Headers],[Include or Exclude]], 20)</f>
        <v/>
      </c>
      <c r="K128" s="111" t="str" cm="1">
        <f t="array" aca="1" ref="K128" ca="1">Common_InputFunctions.Utility_DisplayArrayInTable(Fertiliser_SourceData.Fertiliser_Products_Data2(),FertiliserProducts[[#Headers],[Include or Exclude]], 20)</f>
        <v/>
      </c>
      <c r="L128" s="111" t="str" cm="1">
        <f t="array" aca="1" ref="L128" ca="1">Common_InputFunctions.Utility_DisplayArrayInTable(Fertiliser_SourceData.Fertiliser_Products_Data2(),FertiliserProducts[[#Headers],[Include or Exclude]], 20)</f>
        <v/>
      </c>
      <c r="M128" s="111" t="str" cm="1">
        <f t="array" aca="1" ref="M128" ca="1">Common_InputFunctions.Utility_DisplayArrayInTable(Fertiliser_SourceData.Fertiliser_Products_Data2(),FertiliserProducts[[#Headers],[Include or Exclude]], 20)</f>
        <v/>
      </c>
      <c r="N128" s="111" t="str" cm="1">
        <f t="array" aca="1" ref="N128" ca="1">Common_InputFunctions.Utility_DisplayArrayInTable(Fertiliser_SourceData.Fertiliser_Products_Data2(),FertiliserProducts[[#Headers],[Include or Exclude]], 20)</f>
        <v/>
      </c>
      <c r="O128" s="111" t="str" cm="1">
        <f t="array" aca="1" ref="O128" ca="1">Common_InputFunctions.Utility_DisplayArrayInTable(Fertiliser_SourceData.Fertiliser_Products_Data2(),FertiliserProducts[[#Headers],[Include or Exclude]], 20)</f>
        <v/>
      </c>
      <c r="P128" s="111" t="str" cm="1">
        <f t="array" aca="1" ref="P128" ca="1">Common_InputFunctions.Utility_DisplayArrayInTable(Fertiliser_SourceData.Fertiliser_Products_Data2(),FertiliserProducts[[#Headers],[Include or Exclude]], 20)</f>
        <v/>
      </c>
      <c r="Q128" s="111" t="str" cm="1">
        <f t="array" aca="1" ref="Q128" ca="1">Common_InputFunctions.Utility_DisplayArrayInTable(Fertiliser_SourceData.Fertiliser_Products_Data2(),FertiliserProducts[[#Headers],[Include or Exclude]], 20)</f>
        <v/>
      </c>
      <c r="R128" s="111" t="str" cm="1">
        <f t="array" aca="1" ref="R128" ca="1">Common_InputFunctions.Utility_DisplayArrayInTable(Fertiliser_SourceData.Fertiliser_Products_Data2(),FertiliserProducts[[#Headers],[Include or Exclude]], 20)</f>
        <v/>
      </c>
      <c r="S128" s="111" t="str" cm="1">
        <f t="array" aca="1" ref="S128" ca="1">Common_InputFunctions.Utility_DisplayArrayInTable(Fertiliser_SourceData.Fertiliser_Products_Data2(),FertiliserProducts[[#Headers],[Include or Exclude]], 20)</f>
        <v/>
      </c>
      <c r="T128" s="111" t="str" cm="1">
        <f t="array" aca="1" ref="T128" ca="1">Common_InputFunctions.Utility_DisplayArrayInTable(Fertiliser_SourceData.Fertiliser_Products_Data2(),FertiliserProducts[[#Headers],[Include or Exclude]], 20)</f>
        <v/>
      </c>
      <c r="U128" s="111" t="str" cm="1">
        <f t="array" aca="1" ref="U128" ca="1">Common_InputFunctions.Utility_DisplayArrayInTable(Fertiliser_SourceData.Fertiliser_Products_Data2(),FertiliserProducts[[#Headers],[Include or Exclude]], 20)</f>
        <v/>
      </c>
      <c r="V128" s="111" t="str" cm="1">
        <f t="array" aca="1" ref="V128" ca="1">Common_InputFunctions.Utility_DisplayArrayInTable(Fertiliser_SourceData.Fertiliser_Products_Data2(),FertiliserProducts[[#Headers],[Include or Exclude]], 20)</f>
        <v/>
      </c>
      <c r="W128" s="111" t="str" cm="1">
        <f t="array" aca="1" ref="W128" ca="1">Common_InputFunctions.Utility_DisplayArrayInTable(Fertiliser_SourceData.Fertiliser_Products_Data2(),FertiliserProducts[[#Headers],[Include or Exclude]], 20)</f>
        <v/>
      </c>
      <c r="X128" s="111" t="str" cm="1">
        <f t="array" aca="1" ref="X128" ca="1">Common_InputFunctions.Utility_DisplayArrayInTable(Fertiliser_SourceData.Fertiliser_Products_Data2(),FertiliserProducts[[#Headers],[Include or Exclude]], 20)</f>
        <v/>
      </c>
      <c r="Y128" s="111" t="str" cm="1">
        <f t="array" aca="1" ref="Y128" ca="1">Common_InputFunctions.Utility_DisplayArrayInTable(Fertiliser_SourceData.Fertiliser_Products_Data2(),FertiliserProducts[[#Headers],[Include or Exclude]], 20)</f>
        <v/>
      </c>
      <c r="Z128" s="111" t="str" cm="1">
        <f t="array" aca="1" ref="Z128" ca="1">Common_InputFunctions.Utility_DisplayArrayInTable(Fertiliser_SourceData.Fertiliser_Products_Data2(),FertiliserProducts[[#Headers],[Include or Exclude]], 20)</f>
        <v/>
      </c>
      <c r="AA128" s="37" t="str" cm="1">
        <f t="array" aca="1" ref="AA128" ca="1">Common_InputFunctions.Utility_DisplayArrayInTable(Fertiliser_SourceData.Fertiliser_Products_Data2(),FertiliserProducts[[#Headers],[Include or Exclude]], 20)</f>
        <v/>
      </c>
      <c r="AB128" s="37" t="str" cm="1">
        <f t="array" aca="1" ref="AB128" ca="1">Common_InputFunctions.Utility_DisplayArrayInTable(Fertiliser_SourceData.Fertiliser_Products_Data2(),FertiliserProducts[[#Headers],[Include or Exclude]], 20)</f>
        <v/>
      </c>
      <c r="AC128" s="37" t="str" cm="1">
        <f t="array" aca="1" ref="AC128" ca="1">Common_InputFunctions.Utility_DisplayArrayInTable(Fertiliser_SourceData.Fertiliser_Products_Data2(),FertiliserProducts[[#Headers],[Include or Exclude]], 20)</f>
        <v/>
      </c>
      <c r="AD128" s="37" t="str" cm="1">
        <f t="array" aca="1" ref="AD128" ca="1">Common_InputFunctions.Utility_DisplayArrayInTable(Fertiliser_SourceData.Fertiliser_Products_Data2(),FertiliserProducts[[#Headers],[Include or Exclude]], 20)</f>
        <v/>
      </c>
      <c r="AE128" s="37" t="str" cm="1">
        <f t="array" aca="1" ref="AE128" ca="1">Common_InputFunctions.Utility_DisplayArrayInTable(Fertiliser_SourceData.Fertiliser_Products_Data2(),FertiliserProducts[[#Headers],[Include or Exclude]], 20)</f>
        <v/>
      </c>
    </row>
    <row r="129" spans="4:31" ht="20.100000000000001" customHeight="1" x14ac:dyDescent="0.25">
      <c r="D129" s="111" t="str" cm="1">
        <f t="array" aca="1" ref="D129" ca="1">Common_InputFunctions.Utility_DisplayArrayInTable(Fertiliser_SourceData.Fertiliser_Products_Data3(),FertiliserProducts[[#Headers],[Include or Exclude]], 40)</f>
        <v/>
      </c>
      <c r="E129" s="111" t="str" cm="1">
        <f t="array" aca="1" ref="E129" ca="1">Common_InputFunctions.Utility_DisplayArrayInTable(Fertiliser_SourceData.Fertiliser_Products_Data3(),FertiliserProducts[[#Headers],[Include or Exclude]], 40)</f>
        <v/>
      </c>
      <c r="F129" s="111" t="str" cm="1">
        <f t="array" aca="1" ref="F129" ca="1">Common_InputFunctions.Utility_DisplayArrayInTable(Fertiliser_SourceData.Fertiliser_Products_Data3(),FertiliserProducts[[#Headers],[Include or Exclude]], 40)</f>
        <v/>
      </c>
      <c r="G129" s="111" t="str" cm="1">
        <f t="array" aca="1" ref="G129" ca="1">Common_InputFunctions.Utility_DisplayArrayInTable(Fertiliser_SourceData.Fertiliser_Products_Data3(),FertiliserProducts[[#Headers],[Include or Exclude]], 40)</f>
        <v/>
      </c>
      <c r="H129" s="111" t="str" cm="1">
        <f t="array" aca="1" ref="H129" ca="1">Common_InputFunctions.Utility_DisplayArrayInTable(Fertiliser_SourceData.Fertiliser_Products_Data3(),FertiliserProducts[[#Headers],[Include or Exclude]], 40)</f>
        <v/>
      </c>
      <c r="I129" s="111" t="str" cm="1">
        <f t="array" aca="1" ref="I129" ca="1">Common_InputFunctions.Utility_DisplayArrayInTable(Fertiliser_SourceData.Fertiliser_Products_Data3(),FertiliserProducts[[#Headers],[Include or Exclude]], 40)</f>
        <v/>
      </c>
      <c r="J129" s="111" t="str" cm="1">
        <f t="array" aca="1" ref="J129" ca="1">Common_InputFunctions.Utility_DisplayArrayInTable(Fertiliser_SourceData.Fertiliser_Products_Data3(),FertiliserProducts[[#Headers],[Include or Exclude]], 40)</f>
        <v/>
      </c>
      <c r="K129" s="111" t="str" cm="1">
        <f t="array" aca="1" ref="K129" ca="1">Common_InputFunctions.Utility_DisplayArrayInTable(Fertiliser_SourceData.Fertiliser_Products_Data3(),FertiliserProducts[[#Headers],[Include or Exclude]], 40)</f>
        <v/>
      </c>
      <c r="L129" s="111" t="str" cm="1">
        <f t="array" aca="1" ref="L129" ca="1">Common_InputFunctions.Utility_DisplayArrayInTable(Fertiliser_SourceData.Fertiliser_Products_Data3(),FertiliserProducts[[#Headers],[Include or Exclude]], 40)</f>
        <v/>
      </c>
      <c r="M129" s="111" t="str" cm="1">
        <f t="array" aca="1" ref="M129" ca="1">Common_InputFunctions.Utility_DisplayArrayInTable(Fertiliser_SourceData.Fertiliser_Products_Data3(),FertiliserProducts[[#Headers],[Include or Exclude]], 40)</f>
        <v/>
      </c>
      <c r="N129" s="111" t="str" cm="1">
        <f t="array" aca="1" ref="N129" ca="1">Common_InputFunctions.Utility_DisplayArrayInTable(Fertiliser_SourceData.Fertiliser_Products_Data3(),FertiliserProducts[[#Headers],[Include or Exclude]], 40)</f>
        <v/>
      </c>
      <c r="O129" s="111" t="str" cm="1">
        <f t="array" aca="1" ref="O129" ca="1">Common_InputFunctions.Utility_DisplayArrayInTable(Fertiliser_SourceData.Fertiliser_Products_Data3(),FertiliserProducts[[#Headers],[Include or Exclude]], 40)</f>
        <v/>
      </c>
      <c r="P129" s="111" t="str" cm="1">
        <f t="array" aca="1" ref="P129" ca="1">Common_InputFunctions.Utility_DisplayArrayInTable(Fertiliser_SourceData.Fertiliser_Products_Data3(),FertiliserProducts[[#Headers],[Include or Exclude]], 40)</f>
        <v/>
      </c>
      <c r="Q129" s="111" t="str" cm="1">
        <f t="array" aca="1" ref="Q129" ca="1">Common_InputFunctions.Utility_DisplayArrayInTable(Fertiliser_SourceData.Fertiliser_Products_Data3(),FertiliserProducts[[#Headers],[Include or Exclude]], 40)</f>
        <v/>
      </c>
      <c r="R129" s="111" t="str" cm="1">
        <f t="array" aca="1" ref="R129" ca="1">Common_InputFunctions.Utility_DisplayArrayInTable(Fertiliser_SourceData.Fertiliser_Products_Data3(),FertiliserProducts[[#Headers],[Include or Exclude]], 40)</f>
        <v/>
      </c>
      <c r="S129" s="111" t="str" cm="1">
        <f t="array" aca="1" ref="S129" ca="1">Common_InputFunctions.Utility_DisplayArrayInTable(Fertiliser_SourceData.Fertiliser_Products_Data3(),FertiliserProducts[[#Headers],[Include or Exclude]], 40)</f>
        <v/>
      </c>
      <c r="T129" s="111" t="str" cm="1">
        <f t="array" aca="1" ref="T129" ca="1">Common_InputFunctions.Utility_DisplayArrayInTable(Fertiliser_SourceData.Fertiliser_Products_Data3(),FertiliserProducts[[#Headers],[Include or Exclude]], 40)</f>
        <v/>
      </c>
      <c r="U129" s="111" t="str" cm="1">
        <f t="array" aca="1" ref="U129" ca="1">Common_InputFunctions.Utility_DisplayArrayInTable(Fertiliser_SourceData.Fertiliser_Products_Data3(),FertiliserProducts[[#Headers],[Include or Exclude]], 40)</f>
        <v/>
      </c>
      <c r="V129" s="111" t="str" cm="1">
        <f t="array" aca="1" ref="V129" ca="1">Common_InputFunctions.Utility_DisplayArrayInTable(Fertiliser_SourceData.Fertiliser_Products_Data3(),FertiliserProducts[[#Headers],[Include or Exclude]], 40)</f>
        <v/>
      </c>
      <c r="W129" s="111" t="str" cm="1">
        <f t="array" aca="1" ref="W129" ca="1">Common_InputFunctions.Utility_DisplayArrayInTable(Fertiliser_SourceData.Fertiliser_Products_Data3(),FertiliserProducts[[#Headers],[Include or Exclude]], 40)</f>
        <v/>
      </c>
      <c r="X129" s="111" t="str" cm="1">
        <f t="array" aca="1" ref="X129" ca="1">Common_InputFunctions.Utility_DisplayArrayInTable(Fertiliser_SourceData.Fertiliser_Products_Data3(),FertiliserProducts[[#Headers],[Include or Exclude]], 40)</f>
        <v/>
      </c>
      <c r="Y129" s="111" t="str" cm="1">
        <f t="array" aca="1" ref="Y129" ca="1">Common_InputFunctions.Utility_DisplayArrayInTable(Fertiliser_SourceData.Fertiliser_Products_Data3(),FertiliserProducts[[#Headers],[Include or Exclude]], 40)</f>
        <v/>
      </c>
      <c r="Z129" s="111" t="str" cm="1">
        <f t="array" aca="1" ref="Z129" ca="1">Common_InputFunctions.Utility_DisplayArrayInTable(Fertiliser_SourceData.Fertiliser_Products_Data3(),FertiliserProducts[[#Headers],[Include or Exclude]], 40)</f>
        <v/>
      </c>
      <c r="AA129" s="37" t="str" cm="1">
        <f t="array" aca="1" ref="AA129" ca="1">Common_InputFunctions.Utility_DisplayArrayInTable(Fertiliser_SourceData.Fertiliser_Products_Data3(),FertiliserProducts[[#Headers],[Include or Exclude]], 40)</f>
        <v/>
      </c>
      <c r="AB129" s="37" t="str" cm="1">
        <f t="array" aca="1" ref="AB129" ca="1">Common_InputFunctions.Utility_DisplayArrayInTable(Fertiliser_SourceData.Fertiliser_Products_Data3(),FertiliserProducts[[#Headers],[Include or Exclude]], 40)</f>
        <v/>
      </c>
      <c r="AC129" s="37" t="str" cm="1">
        <f t="array" aca="1" ref="AC129" ca="1">Common_InputFunctions.Utility_DisplayArrayInTable(Fertiliser_SourceData.Fertiliser_Products_Data3(),FertiliserProducts[[#Headers],[Include or Exclude]], 40)</f>
        <v/>
      </c>
      <c r="AD129" s="37" t="str" cm="1">
        <f t="array" aca="1" ref="AD129" ca="1">Common_InputFunctions.Utility_DisplayArrayInTable(Fertiliser_SourceData.Fertiliser_Products_Data3(),FertiliserProducts[[#Headers],[Include or Exclude]], 40)</f>
        <v/>
      </c>
      <c r="AE129" s="37" t="str" cm="1">
        <f t="array" aca="1" ref="AE129" ca="1">Common_InputFunctions.Utility_DisplayArrayInTable(Fertiliser_SourceData.Fertiliser_Products_Data3(),FertiliserProducts[[#Headers],[Include or Exclude]], 40)</f>
        <v/>
      </c>
    </row>
    <row r="130" spans="4:31" ht="20.100000000000001" customHeight="1" x14ac:dyDescent="0.25">
      <c r="D130" s="111" t="str" cm="1">
        <f t="array" aca="1" ref="D130" ca="1">Common_InputFunctions.Utility_DisplayArrayInTable(Fertiliser_SourceData.Fertiliser_Products_Data3(),FertiliserProducts[[#Headers],[Include or Exclude]], 40)</f>
        <v/>
      </c>
      <c r="E130" s="111" t="str" cm="1">
        <f t="array" aca="1" ref="E130" ca="1">Common_InputFunctions.Utility_DisplayArrayInTable(Fertiliser_SourceData.Fertiliser_Products_Data3(),FertiliserProducts[[#Headers],[Include or Exclude]], 40)</f>
        <v/>
      </c>
      <c r="F130" s="111" t="str" cm="1">
        <f t="array" aca="1" ref="F130" ca="1">Common_InputFunctions.Utility_DisplayArrayInTable(Fertiliser_SourceData.Fertiliser_Products_Data3(),FertiliserProducts[[#Headers],[Include or Exclude]], 40)</f>
        <v/>
      </c>
      <c r="G130" s="111" t="str" cm="1">
        <f t="array" aca="1" ref="G130" ca="1">Common_InputFunctions.Utility_DisplayArrayInTable(Fertiliser_SourceData.Fertiliser_Products_Data3(),FertiliserProducts[[#Headers],[Include or Exclude]], 40)</f>
        <v/>
      </c>
      <c r="H130" s="111" t="str" cm="1">
        <f t="array" aca="1" ref="H130" ca="1">Common_InputFunctions.Utility_DisplayArrayInTable(Fertiliser_SourceData.Fertiliser_Products_Data3(),FertiliserProducts[[#Headers],[Include or Exclude]], 40)</f>
        <v/>
      </c>
      <c r="I130" s="111" t="str" cm="1">
        <f t="array" aca="1" ref="I130" ca="1">Common_InputFunctions.Utility_DisplayArrayInTable(Fertiliser_SourceData.Fertiliser_Products_Data3(),FertiliserProducts[[#Headers],[Include or Exclude]], 40)</f>
        <v/>
      </c>
      <c r="J130" s="111" t="str" cm="1">
        <f t="array" aca="1" ref="J130" ca="1">Common_InputFunctions.Utility_DisplayArrayInTable(Fertiliser_SourceData.Fertiliser_Products_Data3(),FertiliserProducts[[#Headers],[Include or Exclude]], 40)</f>
        <v/>
      </c>
      <c r="K130" s="111" t="str" cm="1">
        <f t="array" aca="1" ref="K130" ca="1">Common_InputFunctions.Utility_DisplayArrayInTable(Fertiliser_SourceData.Fertiliser_Products_Data3(),FertiliserProducts[[#Headers],[Include or Exclude]], 40)</f>
        <v/>
      </c>
      <c r="L130" s="111" t="str" cm="1">
        <f t="array" aca="1" ref="L130" ca="1">Common_InputFunctions.Utility_DisplayArrayInTable(Fertiliser_SourceData.Fertiliser_Products_Data3(),FertiliserProducts[[#Headers],[Include or Exclude]], 40)</f>
        <v/>
      </c>
      <c r="M130" s="111" t="str" cm="1">
        <f t="array" aca="1" ref="M130" ca="1">Common_InputFunctions.Utility_DisplayArrayInTable(Fertiliser_SourceData.Fertiliser_Products_Data3(),FertiliserProducts[[#Headers],[Include or Exclude]], 40)</f>
        <v/>
      </c>
      <c r="N130" s="111" t="str" cm="1">
        <f t="array" aca="1" ref="N130" ca="1">Common_InputFunctions.Utility_DisplayArrayInTable(Fertiliser_SourceData.Fertiliser_Products_Data3(),FertiliserProducts[[#Headers],[Include or Exclude]], 40)</f>
        <v/>
      </c>
      <c r="O130" s="111" t="str" cm="1">
        <f t="array" aca="1" ref="O130" ca="1">Common_InputFunctions.Utility_DisplayArrayInTable(Fertiliser_SourceData.Fertiliser_Products_Data3(),FertiliserProducts[[#Headers],[Include or Exclude]], 40)</f>
        <v/>
      </c>
      <c r="P130" s="111" t="str" cm="1">
        <f t="array" aca="1" ref="P130" ca="1">Common_InputFunctions.Utility_DisplayArrayInTable(Fertiliser_SourceData.Fertiliser_Products_Data3(),FertiliserProducts[[#Headers],[Include or Exclude]], 40)</f>
        <v/>
      </c>
      <c r="Q130" s="111" t="str" cm="1">
        <f t="array" aca="1" ref="Q130" ca="1">Common_InputFunctions.Utility_DisplayArrayInTable(Fertiliser_SourceData.Fertiliser_Products_Data3(),FertiliserProducts[[#Headers],[Include or Exclude]], 40)</f>
        <v/>
      </c>
      <c r="R130" s="111" t="str" cm="1">
        <f t="array" aca="1" ref="R130" ca="1">Common_InputFunctions.Utility_DisplayArrayInTable(Fertiliser_SourceData.Fertiliser_Products_Data3(),FertiliserProducts[[#Headers],[Include or Exclude]], 40)</f>
        <v/>
      </c>
      <c r="S130" s="111" t="str" cm="1">
        <f t="array" aca="1" ref="S130" ca="1">Common_InputFunctions.Utility_DisplayArrayInTable(Fertiliser_SourceData.Fertiliser_Products_Data3(),FertiliserProducts[[#Headers],[Include or Exclude]], 40)</f>
        <v/>
      </c>
      <c r="T130" s="111" t="str" cm="1">
        <f t="array" aca="1" ref="T130" ca="1">Common_InputFunctions.Utility_DisplayArrayInTable(Fertiliser_SourceData.Fertiliser_Products_Data3(),FertiliserProducts[[#Headers],[Include or Exclude]], 40)</f>
        <v/>
      </c>
      <c r="U130" s="111" t="str" cm="1">
        <f t="array" aca="1" ref="U130" ca="1">Common_InputFunctions.Utility_DisplayArrayInTable(Fertiliser_SourceData.Fertiliser_Products_Data3(),FertiliserProducts[[#Headers],[Include or Exclude]], 40)</f>
        <v/>
      </c>
      <c r="V130" s="111" t="str" cm="1">
        <f t="array" aca="1" ref="V130" ca="1">Common_InputFunctions.Utility_DisplayArrayInTable(Fertiliser_SourceData.Fertiliser_Products_Data3(),FertiliserProducts[[#Headers],[Include or Exclude]], 40)</f>
        <v/>
      </c>
      <c r="W130" s="111" t="str" cm="1">
        <f t="array" aca="1" ref="W130" ca="1">Common_InputFunctions.Utility_DisplayArrayInTable(Fertiliser_SourceData.Fertiliser_Products_Data3(),FertiliserProducts[[#Headers],[Include or Exclude]], 40)</f>
        <v/>
      </c>
      <c r="X130" s="111" t="str" cm="1">
        <f t="array" aca="1" ref="X130" ca="1">Common_InputFunctions.Utility_DisplayArrayInTable(Fertiliser_SourceData.Fertiliser_Products_Data3(),FertiliserProducts[[#Headers],[Include or Exclude]], 40)</f>
        <v/>
      </c>
      <c r="Y130" s="111" t="str" cm="1">
        <f t="array" aca="1" ref="Y130" ca="1">Common_InputFunctions.Utility_DisplayArrayInTable(Fertiliser_SourceData.Fertiliser_Products_Data3(),FertiliserProducts[[#Headers],[Include or Exclude]], 40)</f>
        <v/>
      </c>
      <c r="Z130" s="111" t="str" cm="1">
        <f t="array" aca="1" ref="Z130" ca="1">Common_InputFunctions.Utility_DisplayArrayInTable(Fertiliser_SourceData.Fertiliser_Products_Data3(),FertiliserProducts[[#Headers],[Include or Exclude]], 40)</f>
        <v/>
      </c>
      <c r="AA130" s="37" t="str" cm="1">
        <f t="array" aca="1" ref="AA130" ca="1">Common_InputFunctions.Utility_DisplayArrayInTable(Fertiliser_SourceData.Fertiliser_Products_Data3(),FertiliserProducts[[#Headers],[Include or Exclude]], 40)</f>
        <v/>
      </c>
      <c r="AB130" s="37" t="str" cm="1">
        <f t="array" aca="1" ref="AB130" ca="1">Common_InputFunctions.Utility_DisplayArrayInTable(Fertiliser_SourceData.Fertiliser_Products_Data3(),FertiliserProducts[[#Headers],[Include or Exclude]], 40)</f>
        <v/>
      </c>
      <c r="AC130" s="37" t="str" cm="1">
        <f t="array" aca="1" ref="AC130" ca="1">Common_InputFunctions.Utility_DisplayArrayInTable(Fertiliser_SourceData.Fertiliser_Products_Data3(),FertiliserProducts[[#Headers],[Include or Exclude]], 40)</f>
        <v/>
      </c>
      <c r="AD130" s="37" t="str" cm="1">
        <f t="array" aca="1" ref="AD130" ca="1">Common_InputFunctions.Utility_DisplayArrayInTable(Fertiliser_SourceData.Fertiliser_Products_Data3(),FertiliserProducts[[#Headers],[Include or Exclude]], 40)</f>
        <v/>
      </c>
      <c r="AE130" s="37" t="str" cm="1">
        <f t="array" aca="1" ref="AE130" ca="1">Common_InputFunctions.Utility_DisplayArrayInTable(Fertiliser_SourceData.Fertiliser_Products_Data3(),FertiliserProducts[[#Headers],[Include or Exclude]], 40)</f>
        <v/>
      </c>
    </row>
    <row r="131" spans="4:31" ht="20.100000000000001" customHeight="1" x14ac:dyDescent="0.25">
      <c r="D131" s="111" t="str" cm="1">
        <f t="array" aca="1" ref="D131" ca="1">Common_InputFunctions.Utility_DisplayArrayInTable(Fertiliser_SourceData.Fertiliser_Products_Data3(),FertiliserProducts[[#Headers],[Include or Exclude]], 40)</f>
        <v/>
      </c>
      <c r="E131" s="111" t="str" cm="1">
        <f t="array" aca="1" ref="E131" ca="1">Common_InputFunctions.Utility_DisplayArrayInTable(Fertiliser_SourceData.Fertiliser_Products_Data3(),FertiliserProducts[[#Headers],[Include or Exclude]], 40)</f>
        <v/>
      </c>
      <c r="F131" s="111" t="str" cm="1">
        <f t="array" aca="1" ref="F131" ca="1">Common_InputFunctions.Utility_DisplayArrayInTable(Fertiliser_SourceData.Fertiliser_Products_Data3(),FertiliserProducts[[#Headers],[Include or Exclude]], 40)</f>
        <v/>
      </c>
      <c r="G131" s="111" t="str" cm="1">
        <f t="array" aca="1" ref="G131" ca="1">Common_InputFunctions.Utility_DisplayArrayInTable(Fertiliser_SourceData.Fertiliser_Products_Data3(),FertiliserProducts[[#Headers],[Include or Exclude]], 40)</f>
        <v/>
      </c>
      <c r="H131" s="111" t="str" cm="1">
        <f t="array" aca="1" ref="H131" ca="1">Common_InputFunctions.Utility_DisplayArrayInTable(Fertiliser_SourceData.Fertiliser_Products_Data3(),FertiliserProducts[[#Headers],[Include or Exclude]], 40)</f>
        <v/>
      </c>
      <c r="I131" s="111" t="str" cm="1">
        <f t="array" aca="1" ref="I131" ca="1">Common_InputFunctions.Utility_DisplayArrayInTable(Fertiliser_SourceData.Fertiliser_Products_Data3(),FertiliserProducts[[#Headers],[Include or Exclude]], 40)</f>
        <v/>
      </c>
      <c r="J131" s="111" t="str" cm="1">
        <f t="array" aca="1" ref="J131" ca="1">Common_InputFunctions.Utility_DisplayArrayInTable(Fertiliser_SourceData.Fertiliser_Products_Data3(),FertiliserProducts[[#Headers],[Include or Exclude]], 40)</f>
        <v/>
      </c>
      <c r="K131" s="111" t="str" cm="1">
        <f t="array" aca="1" ref="K131" ca="1">Common_InputFunctions.Utility_DisplayArrayInTable(Fertiliser_SourceData.Fertiliser_Products_Data3(),FertiliserProducts[[#Headers],[Include or Exclude]], 40)</f>
        <v/>
      </c>
      <c r="L131" s="111" t="str" cm="1">
        <f t="array" aca="1" ref="L131" ca="1">Common_InputFunctions.Utility_DisplayArrayInTable(Fertiliser_SourceData.Fertiliser_Products_Data3(),FertiliserProducts[[#Headers],[Include or Exclude]], 40)</f>
        <v/>
      </c>
      <c r="M131" s="111" t="str" cm="1">
        <f t="array" aca="1" ref="M131" ca="1">Common_InputFunctions.Utility_DisplayArrayInTable(Fertiliser_SourceData.Fertiliser_Products_Data3(),FertiliserProducts[[#Headers],[Include or Exclude]], 40)</f>
        <v/>
      </c>
      <c r="N131" s="111" t="str" cm="1">
        <f t="array" aca="1" ref="N131" ca="1">Common_InputFunctions.Utility_DisplayArrayInTable(Fertiliser_SourceData.Fertiliser_Products_Data3(),FertiliserProducts[[#Headers],[Include or Exclude]], 40)</f>
        <v/>
      </c>
      <c r="O131" s="111" t="str" cm="1">
        <f t="array" aca="1" ref="O131" ca="1">Common_InputFunctions.Utility_DisplayArrayInTable(Fertiliser_SourceData.Fertiliser_Products_Data3(),FertiliserProducts[[#Headers],[Include or Exclude]], 40)</f>
        <v/>
      </c>
      <c r="P131" s="111" t="str" cm="1">
        <f t="array" aca="1" ref="P131" ca="1">Common_InputFunctions.Utility_DisplayArrayInTable(Fertiliser_SourceData.Fertiliser_Products_Data3(),FertiliserProducts[[#Headers],[Include or Exclude]], 40)</f>
        <v/>
      </c>
      <c r="Q131" s="111" t="str" cm="1">
        <f t="array" aca="1" ref="Q131" ca="1">Common_InputFunctions.Utility_DisplayArrayInTable(Fertiliser_SourceData.Fertiliser_Products_Data3(),FertiliserProducts[[#Headers],[Include or Exclude]], 40)</f>
        <v/>
      </c>
      <c r="R131" s="111" t="str" cm="1">
        <f t="array" aca="1" ref="R131" ca="1">Common_InputFunctions.Utility_DisplayArrayInTable(Fertiliser_SourceData.Fertiliser_Products_Data3(),FertiliserProducts[[#Headers],[Include or Exclude]], 40)</f>
        <v/>
      </c>
      <c r="S131" s="111" t="str" cm="1">
        <f t="array" aca="1" ref="S131" ca="1">Common_InputFunctions.Utility_DisplayArrayInTable(Fertiliser_SourceData.Fertiliser_Products_Data3(),FertiliserProducts[[#Headers],[Include or Exclude]], 40)</f>
        <v/>
      </c>
      <c r="T131" s="111" t="str" cm="1">
        <f t="array" aca="1" ref="T131" ca="1">Common_InputFunctions.Utility_DisplayArrayInTable(Fertiliser_SourceData.Fertiliser_Products_Data3(),FertiliserProducts[[#Headers],[Include or Exclude]], 40)</f>
        <v/>
      </c>
      <c r="U131" s="111" t="str" cm="1">
        <f t="array" aca="1" ref="U131" ca="1">Common_InputFunctions.Utility_DisplayArrayInTable(Fertiliser_SourceData.Fertiliser_Products_Data3(),FertiliserProducts[[#Headers],[Include or Exclude]], 40)</f>
        <v/>
      </c>
      <c r="V131" s="111" t="str" cm="1">
        <f t="array" aca="1" ref="V131" ca="1">Common_InputFunctions.Utility_DisplayArrayInTable(Fertiliser_SourceData.Fertiliser_Products_Data3(),FertiliserProducts[[#Headers],[Include or Exclude]], 40)</f>
        <v/>
      </c>
      <c r="W131" s="111" t="str" cm="1">
        <f t="array" aca="1" ref="W131" ca="1">Common_InputFunctions.Utility_DisplayArrayInTable(Fertiliser_SourceData.Fertiliser_Products_Data3(),FertiliserProducts[[#Headers],[Include or Exclude]], 40)</f>
        <v/>
      </c>
      <c r="X131" s="111" t="str" cm="1">
        <f t="array" aca="1" ref="X131" ca="1">Common_InputFunctions.Utility_DisplayArrayInTable(Fertiliser_SourceData.Fertiliser_Products_Data3(),FertiliserProducts[[#Headers],[Include or Exclude]], 40)</f>
        <v/>
      </c>
      <c r="Y131" s="111" t="str" cm="1">
        <f t="array" aca="1" ref="Y131" ca="1">Common_InputFunctions.Utility_DisplayArrayInTable(Fertiliser_SourceData.Fertiliser_Products_Data3(),FertiliserProducts[[#Headers],[Include or Exclude]], 40)</f>
        <v/>
      </c>
      <c r="Z131" s="111" t="str" cm="1">
        <f t="array" aca="1" ref="Z131" ca="1">Common_InputFunctions.Utility_DisplayArrayInTable(Fertiliser_SourceData.Fertiliser_Products_Data3(),FertiliserProducts[[#Headers],[Include or Exclude]], 40)</f>
        <v/>
      </c>
      <c r="AA131" s="37" t="str" cm="1">
        <f t="array" aca="1" ref="AA131" ca="1">Common_InputFunctions.Utility_DisplayArrayInTable(Fertiliser_SourceData.Fertiliser_Products_Data3(),FertiliserProducts[[#Headers],[Include or Exclude]], 40)</f>
        <v/>
      </c>
      <c r="AB131" s="37" t="str" cm="1">
        <f t="array" aca="1" ref="AB131" ca="1">Common_InputFunctions.Utility_DisplayArrayInTable(Fertiliser_SourceData.Fertiliser_Products_Data3(),FertiliserProducts[[#Headers],[Include or Exclude]], 40)</f>
        <v/>
      </c>
      <c r="AC131" s="37" t="str" cm="1">
        <f t="array" aca="1" ref="AC131" ca="1">Common_InputFunctions.Utility_DisplayArrayInTable(Fertiliser_SourceData.Fertiliser_Products_Data3(),FertiliserProducts[[#Headers],[Include or Exclude]], 40)</f>
        <v/>
      </c>
      <c r="AD131" s="37" t="str" cm="1">
        <f t="array" aca="1" ref="AD131" ca="1">Common_InputFunctions.Utility_DisplayArrayInTable(Fertiliser_SourceData.Fertiliser_Products_Data3(),FertiliserProducts[[#Headers],[Include or Exclude]], 40)</f>
        <v/>
      </c>
      <c r="AE131" s="37" t="str" cm="1">
        <f t="array" aca="1" ref="AE131" ca="1">Common_InputFunctions.Utility_DisplayArrayInTable(Fertiliser_SourceData.Fertiliser_Products_Data3(),FertiliserProducts[[#Headers],[Include or Exclude]], 40)</f>
        <v/>
      </c>
    </row>
    <row r="132" spans="4:31" ht="20.100000000000001" customHeight="1" x14ac:dyDescent="0.25">
      <c r="D132" s="111" t="str" cm="1">
        <f t="array" aca="1" ref="D132" ca="1">Common_InputFunctions.Utility_DisplayArrayInTable(Fertiliser_SourceData.Fertiliser_Products_Data3(),FertiliserProducts[[#Headers],[Include or Exclude]], 40)</f>
        <v/>
      </c>
      <c r="E132" s="111" t="str" cm="1">
        <f t="array" aca="1" ref="E132" ca="1">Common_InputFunctions.Utility_DisplayArrayInTable(Fertiliser_SourceData.Fertiliser_Products_Data3(),FertiliserProducts[[#Headers],[Include or Exclude]], 40)</f>
        <v/>
      </c>
      <c r="F132" s="111" t="str" cm="1">
        <f t="array" aca="1" ref="F132" ca="1">Common_InputFunctions.Utility_DisplayArrayInTable(Fertiliser_SourceData.Fertiliser_Products_Data3(),FertiliserProducts[[#Headers],[Include or Exclude]], 40)</f>
        <v/>
      </c>
      <c r="G132" s="111" t="str" cm="1">
        <f t="array" aca="1" ref="G132" ca="1">Common_InputFunctions.Utility_DisplayArrayInTable(Fertiliser_SourceData.Fertiliser_Products_Data3(),FertiliserProducts[[#Headers],[Include or Exclude]], 40)</f>
        <v/>
      </c>
      <c r="H132" s="111" t="str" cm="1">
        <f t="array" aca="1" ref="H132" ca="1">Common_InputFunctions.Utility_DisplayArrayInTable(Fertiliser_SourceData.Fertiliser_Products_Data3(),FertiliserProducts[[#Headers],[Include or Exclude]], 40)</f>
        <v/>
      </c>
      <c r="I132" s="111" t="str" cm="1">
        <f t="array" aca="1" ref="I132" ca="1">Common_InputFunctions.Utility_DisplayArrayInTable(Fertiliser_SourceData.Fertiliser_Products_Data3(),FertiliserProducts[[#Headers],[Include or Exclude]], 40)</f>
        <v/>
      </c>
      <c r="J132" s="111" t="str" cm="1">
        <f t="array" aca="1" ref="J132" ca="1">Common_InputFunctions.Utility_DisplayArrayInTable(Fertiliser_SourceData.Fertiliser_Products_Data3(),FertiliserProducts[[#Headers],[Include or Exclude]], 40)</f>
        <v/>
      </c>
      <c r="K132" s="111" t="str" cm="1">
        <f t="array" aca="1" ref="K132" ca="1">Common_InputFunctions.Utility_DisplayArrayInTable(Fertiliser_SourceData.Fertiliser_Products_Data3(),FertiliserProducts[[#Headers],[Include or Exclude]], 40)</f>
        <v/>
      </c>
      <c r="L132" s="111" t="str" cm="1">
        <f t="array" aca="1" ref="L132" ca="1">Common_InputFunctions.Utility_DisplayArrayInTable(Fertiliser_SourceData.Fertiliser_Products_Data3(),FertiliserProducts[[#Headers],[Include or Exclude]], 40)</f>
        <v/>
      </c>
      <c r="M132" s="111" t="str" cm="1">
        <f t="array" aca="1" ref="M132" ca="1">Common_InputFunctions.Utility_DisplayArrayInTable(Fertiliser_SourceData.Fertiliser_Products_Data3(),FertiliserProducts[[#Headers],[Include or Exclude]], 40)</f>
        <v/>
      </c>
      <c r="N132" s="111" t="str" cm="1">
        <f t="array" aca="1" ref="N132" ca="1">Common_InputFunctions.Utility_DisplayArrayInTable(Fertiliser_SourceData.Fertiliser_Products_Data3(),FertiliserProducts[[#Headers],[Include or Exclude]], 40)</f>
        <v/>
      </c>
      <c r="O132" s="111" t="str" cm="1">
        <f t="array" aca="1" ref="O132" ca="1">Common_InputFunctions.Utility_DisplayArrayInTable(Fertiliser_SourceData.Fertiliser_Products_Data3(),FertiliserProducts[[#Headers],[Include or Exclude]], 40)</f>
        <v/>
      </c>
      <c r="P132" s="111" t="str" cm="1">
        <f t="array" aca="1" ref="P132" ca="1">Common_InputFunctions.Utility_DisplayArrayInTable(Fertiliser_SourceData.Fertiliser_Products_Data3(),FertiliserProducts[[#Headers],[Include or Exclude]], 40)</f>
        <v/>
      </c>
      <c r="Q132" s="111" t="str" cm="1">
        <f t="array" aca="1" ref="Q132" ca="1">Common_InputFunctions.Utility_DisplayArrayInTable(Fertiliser_SourceData.Fertiliser_Products_Data3(),FertiliserProducts[[#Headers],[Include or Exclude]], 40)</f>
        <v/>
      </c>
      <c r="R132" s="111" t="str" cm="1">
        <f t="array" aca="1" ref="R132" ca="1">Common_InputFunctions.Utility_DisplayArrayInTable(Fertiliser_SourceData.Fertiliser_Products_Data3(),FertiliserProducts[[#Headers],[Include or Exclude]], 40)</f>
        <v/>
      </c>
      <c r="S132" s="111" t="str" cm="1">
        <f t="array" aca="1" ref="S132" ca="1">Common_InputFunctions.Utility_DisplayArrayInTable(Fertiliser_SourceData.Fertiliser_Products_Data3(),FertiliserProducts[[#Headers],[Include or Exclude]], 40)</f>
        <v/>
      </c>
      <c r="T132" s="111" t="str" cm="1">
        <f t="array" aca="1" ref="T132" ca="1">Common_InputFunctions.Utility_DisplayArrayInTable(Fertiliser_SourceData.Fertiliser_Products_Data3(),FertiliserProducts[[#Headers],[Include or Exclude]], 40)</f>
        <v/>
      </c>
      <c r="U132" s="111" t="str" cm="1">
        <f t="array" aca="1" ref="U132" ca="1">Common_InputFunctions.Utility_DisplayArrayInTable(Fertiliser_SourceData.Fertiliser_Products_Data3(),FertiliserProducts[[#Headers],[Include or Exclude]], 40)</f>
        <v/>
      </c>
      <c r="V132" s="111" t="str" cm="1">
        <f t="array" aca="1" ref="V132" ca="1">Common_InputFunctions.Utility_DisplayArrayInTable(Fertiliser_SourceData.Fertiliser_Products_Data3(),FertiliserProducts[[#Headers],[Include or Exclude]], 40)</f>
        <v/>
      </c>
      <c r="W132" s="111" t="str" cm="1">
        <f t="array" aca="1" ref="W132" ca="1">Common_InputFunctions.Utility_DisplayArrayInTable(Fertiliser_SourceData.Fertiliser_Products_Data3(),FertiliserProducts[[#Headers],[Include or Exclude]], 40)</f>
        <v/>
      </c>
      <c r="X132" s="111" t="str" cm="1">
        <f t="array" aca="1" ref="X132" ca="1">Common_InputFunctions.Utility_DisplayArrayInTable(Fertiliser_SourceData.Fertiliser_Products_Data3(),FertiliserProducts[[#Headers],[Include or Exclude]], 40)</f>
        <v/>
      </c>
      <c r="Y132" s="111" t="str" cm="1">
        <f t="array" aca="1" ref="Y132" ca="1">Common_InputFunctions.Utility_DisplayArrayInTable(Fertiliser_SourceData.Fertiliser_Products_Data3(),FertiliserProducts[[#Headers],[Include or Exclude]], 40)</f>
        <v/>
      </c>
      <c r="Z132" s="111" t="str" cm="1">
        <f t="array" aca="1" ref="Z132" ca="1">Common_InputFunctions.Utility_DisplayArrayInTable(Fertiliser_SourceData.Fertiliser_Products_Data3(),FertiliserProducts[[#Headers],[Include or Exclude]], 40)</f>
        <v/>
      </c>
      <c r="AA132" s="37" t="str" cm="1">
        <f t="array" aca="1" ref="AA132" ca="1">Common_InputFunctions.Utility_DisplayArrayInTable(Fertiliser_SourceData.Fertiliser_Products_Data3(),FertiliserProducts[[#Headers],[Include or Exclude]], 40)</f>
        <v/>
      </c>
      <c r="AB132" s="37" t="str" cm="1">
        <f t="array" aca="1" ref="AB132" ca="1">Common_InputFunctions.Utility_DisplayArrayInTable(Fertiliser_SourceData.Fertiliser_Products_Data3(),FertiliserProducts[[#Headers],[Include or Exclude]], 40)</f>
        <v/>
      </c>
      <c r="AC132" s="37" t="str" cm="1">
        <f t="array" aca="1" ref="AC132" ca="1">Common_InputFunctions.Utility_DisplayArrayInTable(Fertiliser_SourceData.Fertiliser_Products_Data3(),FertiliserProducts[[#Headers],[Include or Exclude]], 40)</f>
        <v/>
      </c>
      <c r="AD132" s="37" t="str" cm="1">
        <f t="array" aca="1" ref="AD132" ca="1">Common_InputFunctions.Utility_DisplayArrayInTable(Fertiliser_SourceData.Fertiliser_Products_Data3(),FertiliserProducts[[#Headers],[Include or Exclude]], 40)</f>
        <v/>
      </c>
      <c r="AE132" s="37" t="str" cm="1">
        <f t="array" aca="1" ref="AE132" ca="1">Common_InputFunctions.Utility_DisplayArrayInTable(Fertiliser_SourceData.Fertiliser_Products_Data3(),FertiliserProducts[[#Headers],[Include or Exclude]], 40)</f>
        <v/>
      </c>
    </row>
    <row r="133" spans="4:31" ht="20.100000000000001" customHeight="1" x14ac:dyDescent="0.25">
      <c r="D133" s="111" t="str" cm="1">
        <f t="array" aca="1" ref="D133" ca="1">Common_InputFunctions.Utility_DisplayArrayInTable(Fertiliser_SourceData.Fertiliser_Products_Data3(),FertiliserProducts[[#Headers],[Include or Exclude]], 40)</f>
        <v/>
      </c>
      <c r="E133" s="111" t="str" cm="1">
        <f t="array" aca="1" ref="E133" ca="1">Common_InputFunctions.Utility_DisplayArrayInTable(Fertiliser_SourceData.Fertiliser_Products_Data3(),FertiliserProducts[[#Headers],[Include or Exclude]], 40)</f>
        <v/>
      </c>
      <c r="F133" s="111" t="str" cm="1">
        <f t="array" aca="1" ref="F133" ca="1">Common_InputFunctions.Utility_DisplayArrayInTable(Fertiliser_SourceData.Fertiliser_Products_Data3(),FertiliserProducts[[#Headers],[Include or Exclude]], 40)</f>
        <v/>
      </c>
      <c r="G133" s="111" t="str" cm="1">
        <f t="array" aca="1" ref="G133" ca="1">Common_InputFunctions.Utility_DisplayArrayInTable(Fertiliser_SourceData.Fertiliser_Products_Data3(),FertiliserProducts[[#Headers],[Include or Exclude]], 40)</f>
        <v/>
      </c>
      <c r="H133" s="111" t="str" cm="1">
        <f t="array" aca="1" ref="H133" ca="1">Common_InputFunctions.Utility_DisplayArrayInTable(Fertiliser_SourceData.Fertiliser_Products_Data3(),FertiliserProducts[[#Headers],[Include or Exclude]], 40)</f>
        <v/>
      </c>
      <c r="I133" s="111" t="str" cm="1">
        <f t="array" aca="1" ref="I133" ca="1">Common_InputFunctions.Utility_DisplayArrayInTable(Fertiliser_SourceData.Fertiliser_Products_Data3(),FertiliserProducts[[#Headers],[Include or Exclude]], 40)</f>
        <v/>
      </c>
      <c r="J133" s="111" t="str" cm="1">
        <f t="array" aca="1" ref="J133" ca="1">Common_InputFunctions.Utility_DisplayArrayInTable(Fertiliser_SourceData.Fertiliser_Products_Data3(),FertiliserProducts[[#Headers],[Include or Exclude]], 40)</f>
        <v/>
      </c>
      <c r="K133" s="111" t="str" cm="1">
        <f t="array" aca="1" ref="K133" ca="1">Common_InputFunctions.Utility_DisplayArrayInTable(Fertiliser_SourceData.Fertiliser_Products_Data3(),FertiliserProducts[[#Headers],[Include or Exclude]], 40)</f>
        <v/>
      </c>
      <c r="L133" s="111" t="str" cm="1">
        <f t="array" aca="1" ref="L133" ca="1">Common_InputFunctions.Utility_DisplayArrayInTable(Fertiliser_SourceData.Fertiliser_Products_Data3(),FertiliserProducts[[#Headers],[Include or Exclude]], 40)</f>
        <v/>
      </c>
      <c r="M133" s="111" t="str" cm="1">
        <f t="array" aca="1" ref="M133" ca="1">Common_InputFunctions.Utility_DisplayArrayInTable(Fertiliser_SourceData.Fertiliser_Products_Data3(),FertiliserProducts[[#Headers],[Include or Exclude]], 40)</f>
        <v/>
      </c>
      <c r="N133" s="111" t="str" cm="1">
        <f t="array" aca="1" ref="N133" ca="1">Common_InputFunctions.Utility_DisplayArrayInTable(Fertiliser_SourceData.Fertiliser_Products_Data3(),FertiliserProducts[[#Headers],[Include or Exclude]], 40)</f>
        <v/>
      </c>
      <c r="O133" s="111" t="str" cm="1">
        <f t="array" aca="1" ref="O133" ca="1">Common_InputFunctions.Utility_DisplayArrayInTable(Fertiliser_SourceData.Fertiliser_Products_Data3(),FertiliserProducts[[#Headers],[Include or Exclude]], 40)</f>
        <v/>
      </c>
      <c r="P133" s="111" t="str" cm="1">
        <f t="array" aca="1" ref="P133" ca="1">Common_InputFunctions.Utility_DisplayArrayInTable(Fertiliser_SourceData.Fertiliser_Products_Data3(),FertiliserProducts[[#Headers],[Include or Exclude]], 40)</f>
        <v/>
      </c>
      <c r="Q133" s="111" t="str" cm="1">
        <f t="array" aca="1" ref="Q133" ca="1">Common_InputFunctions.Utility_DisplayArrayInTable(Fertiliser_SourceData.Fertiliser_Products_Data3(),FertiliserProducts[[#Headers],[Include or Exclude]], 40)</f>
        <v/>
      </c>
      <c r="R133" s="111" t="str" cm="1">
        <f t="array" aca="1" ref="R133" ca="1">Common_InputFunctions.Utility_DisplayArrayInTable(Fertiliser_SourceData.Fertiliser_Products_Data3(),FertiliserProducts[[#Headers],[Include or Exclude]], 40)</f>
        <v/>
      </c>
      <c r="S133" s="111" t="str" cm="1">
        <f t="array" aca="1" ref="S133" ca="1">Common_InputFunctions.Utility_DisplayArrayInTable(Fertiliser_SourceData.Fertiliser_Products_Data3(),FertiliserProducts[[#Headers],[Include or Exclude]], 40)</f>
        <v/>
      </c>
      <c r="T133" s="111" t="str" cm="1">
        <f t="array" aca="1" ref="T133" ca="1">Common_InputFunctions.Utility_DisplayArrayInTable(Fertiliser_SourceData.Fertiliser_Products_Data3(),FertiliserProducts[[#Headers],[Include or Exclude]], 40)</f>
        <v/>
      </c>
      <c r="U133" s="111" t="str" cm="1">
        <f t="array" aca="1" ref="U133" ca="1">Common_InputFunctions.Utility_DisplayArrayInTable(Fertiliser_SourceData.Fertiliser_Products_Data3(),FertiliserProducts[[#Headers],[Include or Exclude]], 40)</f>
        <v/>
      </c>
      <c r="V133" s="111" t="str" cm="1">
        <f t="array" aca="1" ref="V133" ca="1">Common_InputFunctions.Utility_DisplayArrayInTable(Fertiliser_SourceData.Fertiliser_Products_Data3(),FertiliserProducts[[#Headers],[Include or Exclude]], 40)</f>
        <v/>
      </c>
      <c r="W133" s="111" t="str" cm="1">
        <f t="array" aca="1" ref="W133" ca="1">Common_InputFunctions.Utility_DisplayArrayInTable(Fertiliser_SourceData.Fertiliser_Products_Data3(),FertiliserProducts[[#Headers],[Include or Exclude]], 40)</f>
        <v/>
      </c>
      <c r="X133" s="111" t="str" cm="1">
        <f t="array" aca="1" ref="X133" ca="1">Common_InputFunctions.Utility_DisplayArrayInTable(Fertiliser_SourceData.Fertiliser_Products_Data3(),FertiliserProducts[[#Headers],[Include or Exclude]], 40)</f>
        <v/>
      </c>
      <c r="Y133" s="111" t="str" cm="1">
        <f t="array" aca="1" ref="Y133" ca="1">Common_InputFunctions.Utility_DisplayArrayInTable(Fertiliser_SourceData.Fertiliser_Products_Data3(),FertiliserProducts[[#Headers],[Include or Exclude]], 40)</f>
        <v/>
      </c>
      <c r="Z133" s="111" t="str" cm="1">
        <f t="array" aca="1" ref="Z133" ca="1">Common_InputFunctions.Utility_DisplayArrayInTable(Fertiliser_SourceData.Fertiliser_Products_Data3(),FertiliserProducts[[#Headers],[Include or Exclude]], 40)</f>
        <v/>
      </c>
      <c r="AA133" s="37" t="str" cm="1">
        <f t="array" aca="1" ref="AA133" ca="1">Common_InputFunctions.Utility_DisplayArrayInTable(Fertiliser_SourceData.Fertiliser_Products_Data3(),FertiliserProducts[[#Headers],[Include or Exclude]], 40)</f>
        <v/>
      </c>
      <c r="AB133" s="37" t="str" cm="1">
        <f t="array" aca="1" ref="AB133" ca="1">Common_InputFunctions.Utility_DisplayArrayInTable(Fertiliser_SourceData.Fertiliser_Products_Data3(),FertiliserProducts[[#Headers],[Include or Exclude]], 40)</f>
        <v/>
      </c>
      <c r="AC133" s="37" t="str" cm="1">
        <f t="array" aca="1" ref="AC133" ca="1">Common_InputFunctions.Utility_DisplayArrayInTable(Fertiliser_SourceData.Fertiliser_Products_Data3(),FertiliserProducts[[#Headers],[Include or Exclude]], 40)</f>
        <v/>
      </c>
      <c r="AD133" s="37" t="str" cm="1">
        <f t="array" aca="1" ref="AD133" ca="1">Common_InputFunctions.Utility_DisplayArrayInTable(Fertiliser_SourceData.Fertiliser_Products_Data3(),FertiliserProducts[[#Headers],[Include or Exclude]], 40)</f>
        <v/>
      </c>
      <c r="AE133" s="37" t="str" cm="1">
        <f t="array" aca="1" ref="AE133" ca="1">Common_InputFunctions.Utility_DisplayArrayInTable(Fertiliser_SourceData.Fertiliser_Products_Data3(),FertiliserProducts[[#Headers],[Include or Exclude]], 40)</f>
        <v/>
      </c>
    </row>
    <row r="134" spans="4:31" ht="20.100000000000001" customHeight="1" x14ac:dyDescent="0.25">
      <c r="D134" s="111" t="str" cm="1">
        <f t="array" aca="1" ref="D134" ca="1">Common_InputFunctions.Utility_DisplayArrayInTable(Fertiliser_SourceData.Fertiliser_Products_Data3(),FertiliserProducts[[#Headers],[Include or Exclude]], 40)</f>
        <v/>
      </c>
      <c r="E134" s="111" t="str" cm="1">
        <f t="array" aca="1" ref="E134" ca="1">Common_InputFunctions.Utility_DisplayArrayInTable(Fertiliser_SourceData.Fertiliser_Products_Data3(),FertiliserProducts[[#Headers],[Include or Exclude]], 40)</f>
        <v/>
      </c>
      <c r="F134" s="111" t="str" cm="1">
        <f t="array" aca="1" ref="F134" ca="1">Common_InputFunctions.Utility_DisplayArrayInTable(Fertiliser_SourceData.Fertiliser_Products_Data3(),FertiliserProducts[[#Headers],[Include or Exclude]], 40)</f>
        <v/>
      </c>
      <c r="G134" s="111" t="str" cm="1">
        <f t="array" aca="1" ref="G134" ca="1">Common_InputFunctions.Utility_DisplayArrayInTable(Fertiliser_SourceData.Fertiliser_Products_Data3(),FertiliserProducts[[#Headers],[Include or Exclude]], 40)</f>
        <v/>
      </c>
      <c r="H134" s="111" t="str" cm="1">
        <f t="array" aca="1" ref="H134" ca="1">Common_InputFunctions.Utility_DisplayArrayInTable(Fertiliser_SourceData.Fertiliser_Products_Data3(),FertiliserProducts[[#Headers],[Include or Exclude]], 40)</f>
        <v/>
      </c>
      <c r="I134" s="111" t="str" cm="1">
        <f t="array" aca="1" ref="I134" ca="1">Common_InputFunctions.Utility_DisplayArrayInTable(Fertiliser_SourceData.Fertiliser_Products_Data3(),FertiliserProducts[[#Headers],[Include or Exclude]], 40)</f>
        <v/>
      </c>
      <c r="J134" s="111" t="str" cm="1">
        <f t="array" aca="1" ref="J134" ca="1">Common_InputFunctions.Utility_DisplayArrayInTable(Fertiliser_SourceData.Fertiliser_Products_Data3(),FertiliserProducts[[#Headers],[Include or Exclude]], 40)</f>
        <v/>
      </c>
      <c r="K134" s="111" t="str" cm="1">
        <f t="array" aca="1" ref="K134" ca="1">Common_InputFunctions.Utility_DisplayArrayInTable(Fertiliser_SourceData.Fertiliser_Products_Data3(),FertiliserProducts[[#Headers],[Include or Exclude]], 40)</f>
        <v/>
      </c>
      <c r="L134" s="111" t="str" cm="1">
        <f t="array" aca="1" ref="L134" ca="1">Common_InputFunctions.Utility_DisplayArrayInTable(Fertiliser_SourceData.Fertiliser_Products_Data3(),FertiliserProducts[[#Headers],[Include or Exclude]], 40)</f>
        <v/>
      </c>
      <c r="M134" s="111" t="str" cm="1">
        <f t="array" aca="1" ref="M134" ca="1">Common_InputFunctions.Utility_DisplayArrayInTable(Fertiliser_SourceData.Fertiliser_Products_Data3(),FertiliserProducts[[#Headers],[Include or Exclude]], 40)</f>
        <v/>
      </c>
      <c r="N134" s="111" t="str" cm="1">
        <f t="array" aca="1" ref="N134" ca="1">Common_InputFunctions.Utility_DisplayArrayInTable(Fertiliser_SourceData.Fertiliser_Products_Data3(),FertiliserProducts[[#Headers],[Include or Exclude]], 40)</f>
        <v/>
      </c>
      <c r="O134" s="111" t="str" cm="1">
        <f t="array" aca="1" ref="O134" ca="1">Common_InputFunctions.Utility_DisplayArrayInTable(Fertiliser_SourceData.Fertiliser_Products_Data3(),FertiliserProducts[[#Headers],[Include or Exclude]], 40)</f>
        <v/>
      </c>
      <c r="P134" s="111" t="str" cm="1">
        <f t="array" aca="1" ref="P134" ca="1">Common_InputFunctions.Utility_DisplayArrayInTable(Fertiliser_SourceData.Fertiliser_Products_Data3(),FertiliserProducts[[#Headers],[Include or Exclude]], 40)</f>
        <v/>
      </c>
      <c r="Q134" s="111" t="str" cm="1">
        <f t="array" aca="1" ref="Q134" ca="1">Common_InputFunctions.Utility_DisplayArrayInTable(Fertiliser_SourceData.Fertiliser_Products_Data3(),FertiliserProducts[[#Headers],[Include or Exclude]], 40)</f>
        <v/>
      </c>
      <c r="R134" s="111" t="str" cm="1">
        <f t="array" aca="1" ref="R134" ca="1">Common_InputFunctions.Utility_DisplayArrayInTable(Fertiliser_SourceData.Fertiliser_Products_Data3(),FertiliserProducts[[#Headers],[Include or Exclude]], 40)</f>
        <v/>
      </c>
      <c r="S134" s="111" t="str" cm="1">
        <f t="array" aca="1" ref="S134" ca="1">Common_InputFunctions.Utility_DisplayArrayInTable(Fertiliser_SourceData.Fertiliser_Products_Data3(),FertiliserProducts[[#Headers],[Include or Exclude]], 40)</f>
        <v/>
      </c>
      <c r="T134" s="111" t="str" cm="1">
        <f t="array" aca="1" ref="T134" ca="1">Common_InputFunctions.Utility_DisplayArrayInTable(Fertiliser_SourceData.Fertiliser_Products_Data3(),FertiliserProducts[[#Headers],[Include or Exclude]], 40)</f>
        <v/>
      </c>
      <c r="U134" s="111" t="str" cm="1">
        <f t="array" aca="1" ref="U134" ca="1">Common_InputFunctions.Utility_DisplayArrayInTable(Fertiliser_SourceData.Fertiliser_Products_Data3(),FertiliserProducts[[#Headers],[Include or Exclude]], 40)</f>
        <v/>
      </c>
      <c r="V134" s="111" t="str" cm="1">
        <f t="array" aca="1" ref="V134" ca="1">Common_InputFunctions.Utility_DisplayArrayInTable(Fertiliser_SourceData.Fertiliser_Products_Data3(),FertiliserProducts[[#Headers],[Include or Exclude]], 40)</f>
        <v/>
      </c>
      <c r="W134" s="111" t="str" cm="1">
        <f t="array" aca="1" ref="W134" ca="1">Common_InputFunctions.Utility_DisplayArrayInTable(Fertiliser_SourceData.Fertiliser_Products_Data3(),FertiliserProducts[[#Headers],[Include or Exclude]], 40)</f>
        <v/>
      </c>
      <c r="X134" s="111" t="str" cm="1">
        <f t="array" aca="1" ref="X134" ca="1">Common_InputFunctions.Utility_DisplayArrayInTable(Fertiliser_SourceData.Fertiliser_Products_Data3(),FertiliserProducts[[#Headers],[Include or Exclude]], 40)</f>
        <v/>
      </c>
      <c r="Y134" s="111" t="str" cm="1">
        <f t="array" aca="1" ref="Y134" ca="1">Common_InputFunctions.Utility_DisplayArrayInTable(Fertiliser_SourceData.Fertiliser_Products_Data3(),FertiliserProducts[[#Headers],[Include or Exclude]], 40)</f>
        <v/>
      </c>
      <c r="Z134" s="111" t="str" cm="1">
        <f t="array" aca="1" ref="Z134" ca="1">Common_InputFunctions.Utility_DisplayArrayInTable(Fertiliser_SourceData.Fertiliser_Products_Data3(),FertiliserProducts[[#Headers],[Include or Exclude]], 40)</f>
        <v/>
      </c>
      <c r="AA134" s="37" t="str" cm="1">
        <f t="array" aca="1" ref="AA134" ca="1">Common_InputFunctions.Utility_DisplayArrayInTable(Fertiliser_SourceData.Fertiliser_Products_Data3(),FertiliserProducts[[#Headers],[Include or Exclude]], 40)</f>
        <v/>
      </c>
      <c r="AB134" s="37" t="str" cm="1">
        <f t="array" aca="1" ref="AB134" ca="1">Common_InputFunctions.Utility_DisplayArrayInTable(Fertiliser_SourceData.Fertiliser_Products_Data3(),FertiliserProducts[[#Headers],[Include or Exclude]], 40)</f>
        <v/>
      </c>
      <c r="AC134" s="37" t="str" cm="1">
        <f t="array" aca="1" ref="AC134" ca="1">Common_InputFunctions.Utility_DisplayArrayInTable(Fertiliser_SourceData.Fertiliser_Products_Data3(),FertiliserProducts[[#Headers],[Include or Exclude]], 40)</f>
        <v/>
      </c>
      <c r="AD134" s="37" t="str" cm="1">
        <f t="array" aca="1" ref="AD134" ca="1">Common_InputFunctions.Utility_DisplayArrayInTable(Fertiliser_SourceData.Fertiliser_Products_Data3(),FertiliserProducts[[#Headers],[Include or Exclude]], 40)</f>
        <v/>
      </c>
      <c r="AE134" s="37" t="str" cm="1">
        <f t="array" aca="1" ref="AE134" ca="1">Common_InputFunctions.Utility_DisplayArrayInTable(Fertiliser_SourceData.Fertiliser_Products_Data3(),FertiliserProducts[[#Headers],[Include or Exclude]], 40)</f>
        <v/>
      </c>
    </row>
    <row r="135" spans="4:31" ht="20.100000000000001" customHeight="1" x14ac:dyDescent="0.25">
      <c r="D135" s="111" t="str" cm="1">
        <f t="array" aca="1" ref="D135" ca="1">Common_InputFunctions.Utility_DisplayArrayInTable(Fertiliser_SourceData.Fertiliser_Products_Data3(),FertiliserProducts[[#Headers],[Include or Exclude]], 40)</f>
        <v/>
      </c>
      <c r="E135" s="111" t="str" cm="1">
        <f t="array" aca="1" ref="E135" ca="1">Common_InputFunctions.Utility_DisplayArrayInTable(Fertiliser_SourceData.Fertiliser_Products_Data3(),FertiliserProducts[[#Headers],[Include or Exclude]], 40)</f>
        <v/>
      </c>
      <c r="F135" s="111" t="str" cm="1">
        <f t="array" aca="1" ref="F135" ca="1">Common_InputFunctions.Utility_DisplayArrayInTable(Fertiliser_SourceData.Fertiliser_Products_Data3(),FertiliserProducts[[#Headers],[Include or Exclude]], 40)</f>
        <v/>
      </c>
      <c r="G135" s="111" t="str" cm="1">
        <f t="array" aca="1" ref="G135" ca="1">Common_InputFunctions.Utility_DisplayArrayInTable(Fertiliser_SourceData.Fertiliser_Products_Data3(),FertiliserProducts[[#Headers],[Include or Exclude]], 40)</f>
        <v/>
      </c>
      <c r="H135" s="111" t="str" cm="1">
        <f t="array" aca="1" ref="H135" ca="1">Common_InputFunctions.Utility_DisplayArrayInTable(Fertiliser_SourceData.Fertiliser_Products_Data3(),FertiliserProducts[[#Headers],[Include or Exclude]], 40)</f>
        <v/>
      </c>
      <c r="I135" s="111" t="str" cm="1">
        <f t="array" aca="1" ref="I135" ca="1">Common_InputFunctions.Utility_DisplayArrayInTable(Fertiliser_SourceData.Fertiliser_Products_Data3(),FertiliserProducts[[#Headers],[Include or Exclude]], 40)</f>
        <v/>
      </c>
      <c r="J135" s="111" t="str" cm="1">
        <f t="array" aca="1" ref="J135" ca="1">Common_InputFunctions.Utility_DisplayArrayInTable(Fertiliser_SourceData.Fertiliser_Products_Data3(),FertiliserProducts[[#Headers],[Include or Exclude]], 40)</f>
        <v/>
      </c>
      <c r="K135" s="111" t="str" cm="1">
        <f t="array" aca="1" ref="K135" ca="1">Common_InputFunctions.Utility_DisplayArrayInTable(Fertiliser_SourceData.Fertiliser_Products_Data3(),FertiliserProducts[[#Headers],[Include or Exclude]], 40)</f>
        <v/>
      </c>
      <c r="L135" s="111" t="str" cm="1">
        <f t="array" aca="1" ref="L135" ca="1">Common_InputFunctions.Utility_DisplayArrayInTable(Fertiliser_SourceData.Fertiliser_Products_Data3(),FertiliserProducts[[#Headers],[Include or Exclude]], 40)</f>
        <v/>
      </c>
      <c r="M135" s="111" t="str" cm="1">
        <f t="array" aca="1" ref="M135" ca="1">Common_InputFunctions.Utility_DisplayArrayInTable(Fertiliser_SourceData.Fertiliser_Products_Data3(),FertiliserProducts[[#Headers],[Include or Exclude]], 40)</f>
        <v/>
      </c>
      <c r="N135" s="111" t="str" cm="1">
        <f t="array" aca="1" ref="N135" ca="1">Common_InputFunctions.Utility_DisplayArrayInTable(Fertiliser_SourceData.Fertiliser_Products_Data3(),FertiliserProducts[[#Headers],[Include or Exclude]], 40)</f>
        <v/>
      </c>
      <c r="O135" s="111" t="str" cm="1">
        <f t="array" aca="1" ref="O135" ca="1">Common_InputFunctions.Utility_DisplayArrayInTable(Fertiliser_SourceData.Fertiliser_Products_Data3(),FertiliserProducts[[#Headers],[Include or Exclude]], 40)</f>
        <v/>
      </c>
      <c r="P135" s="111" t="str" cm="1">
        <f t="array" aca="1" ref="P135" ca="1">Common_InputFunctions.Utility_DisplayArrayInTable(Fertiliser_SourceData.Fertiliser_Products_Data3(),FertiliserProducts[[#Headers],[Include or Exclude]], 40)</f>
        <v/>
      </c>
      <c r="Q135" s="111" t="str" cm="1">
        <f t="array" aca="1" ref="Q135" ca="1">Common_InputFunctions.Utility_DisplayArrayInTable(Fertiliser_SourceData.Fertiliser_Products_Data3(),FertiliserProducts[[#Headers],[Include or Exclude]], 40)</f>
        <v/>
      </c>
      <c r="R135" s="111" t="str" cm="1">
        <f t="array" aca="1" ref="R135" ca="1">Common_InputFunctions.Utility_DisplayArrayInTable(Fertiliser_SourceData.Fertiliser_Products_Data3(),FertiliserProducts[[#Headers],[Include or Exclude]], 40)</f>
        <v/>
      </c>
      <c r="S135" s="111" t="str" cm="1">
        <f t="array" aca="1" ref="S135" ca="1">Common_InputFunctions.Utility_DisplayArrayInTable(Fertiliser_SourceData.Fertiliser_Products_Data3(),FertiliserProducts[[#Headers],[Include or Exclude]], 40)</f>
        <v/>
      </c>
      <c r="T135" s="111" t="str" cm="1">
        <f t="array" aca="1" ref="T135" ca="1">Common_InputFunctions.Utility_DisplayArrayInTable(Fertiliser_SourceData.Fertiliser_Products_Data3(),FertiliserProducts[[#Headers],[Include or Exclude]], 40)</f>
        <v/>
      </c>
      <c r="U135" s="111" t="str" cm="1">
        <f t="array" aca="1" ref="U135" ca="1">Common_InputFunctions.Utility_DisplayArrayInTable(Fertiliser_SourceData.Fertiliser_Products_Data3(),FertiliserProducts[[#Headers],[Include or Exclude]], 40)</f>
        <v/>
      </c>
      <c r="V135" s="111" t="str" cm="1">
        <f t="array" aca="1" ref="V135" ca="1">Common_InputFunctions.Utility_DisplayArrayInTable(Fertiliser_SourceData.Fertiliser_Products_Data3(),FertiliserProducts[[#Headers],[Include or Exclude]], 40)</f>
        <v/>
      </c>
      <c r="W135" s="111" t="str" cm="1">
        <f t="array" aca="1" ref="W135" ca="1">Common_InputFunctions.Utility_DisplayArrayInTable(Fertiliser_SourceData.Fertiliser_Products_Data3(),FertiliserProducts[[#Headers],[Include or Exclude]], 40)</f>
        <v/>
      </c>
      <c r="X135" s="111" t="str" cm="1">
        <f t="array" aca="1" ref="X135" ca="1">Common_InputFunctions.Utility_DisplayArrayInTable(Fertiliser_SourceData.Fertiliser_Products_Data3(),FertiliserProducts[[#Headers],[Include or Exclude]], 40)</f>
        <v/>
      </c>
      <c r="Y135" s="111" t="str" cm="1">
        <f t="array" aca="1" ref="Y135" ca="1">Common_InputFunctions.Utility_DisplayArrayInTable(Fertiliser_SourceData.Fertiliser_Products_Data3(),FertiliserProducts[[#Headers],[Include or Exclude]], 40)</f>
        <v/>
      </c>
      <c r="Z135" s="111" t="str" cm="1">
        <f t="array" aca="1" ref="Z135" ca="1">Common_InputFunctions.Utility_DisplayArrayInTable(Fertiliser_SourceData.Fertiliser_Products_Data3(),FertiliserProducts[[#Headers],[Include or Exclude]], 40)</f>
        <v/>
      </c>
      <c r="AA135" s="37" t="str" cm="1">
        <f t="array" aca="1" ref="AA135" ca="1">Common_InputFunctions.Utility_DisplayArrayInTable(Fertiliser_SourceData.Fertiliser_Products_Data3(),FertiliserProducts[[#Headers],[Include or Exclude]], 40)</f>
        <v/>
      </c>
      <c r="AB135" s="37" t="str" cm="1">
        <f t="array" aca="1" ref="AB135" ca="1">Common_InputFunctions.Utility_DisplayArrayInTable(Fertiliser_SourceData.Fertiliser_Products_Data3(),FertiliserProducts[[#Headers],[Include or Exclude]], 40)</f>
        <v/>
      </c>
      <c r="AC135" s="37" t="str" cm="1">
        <f t="array" aca="1" ref="AC135" ca="1">Common_InputFunctions.Utility_DisplayArrayInTable(Fertiliser_SourceData.Fertiliser_Products_Data3(),FertiliserProducts[[#Headers],[Include or Exclude]], 40)</f>
        <v/>
      </c>
      <c r="AD135" s="37" t="str" cm="1">
        <f t="array" aca="1" ref="AD135" ca="1">Common_InputFunctions.Utility_DisplayArrayInTable(Fertiliser_SourceData.Fertiliser_Products_Data3(),FertiliserProducts[[#Headers],[Include or Exclude]], 40)</f>
        <v/>
      </c>
      <c r="AE135" s="37" t="str" cm="1">
        <f t="array" aca="1" ref="AE135" ca="1">Common_InputFunctions.Utility_DisplayArrayInTable(Fertiliser_SourceData.Fertiliser_Products_Data3(),FertiliserProducts[[#Headers],[Include or Exclude]], 40)</f>
        <v/>
      </c>
    </row>
    <row r="136" spans="4:31" ht="20.100000000000001" customHeight="1" x14ac:dyDescent="0.25">
      <c r="D136" s="111" t="str" cm="1">
        <f t="array" aca="1" ref="D136" ca="1">Common_InputFunctions.Utility_DisplayArrayInTable(Fertiliser_SourceData.Fertiliser_Products_Data3(),FertiliserProducts[[#Headers],[Include or Exclude]], 40)</f>
        <v/>
      </c>
      <c r="E136" s="111" t="str" cm="1">
        <f t="array" aca="1" ref="E136" ca="1">Common_InputFunctions.Utility_DisplayArrayInTable(Fertiliser_SourceData.Fertiliser_Products_Data3(),FertiliserProducts[[#Headers],[Include or Exclude]], 40)</f>
        <v/>
      </c>
      <c r="F136" s="111" t="str" cm="1">
        <f t="array" aca="1" ref="F136" ca="1">Common_InputFunctions.Utility_DisplayArrayInTable(Fertiliser_SourceData.Fertiliser_Products_Data3(),FertiliserProducts[[#Headers],[Include or Exclude]], 40)</f>
        <v/>
      </c>
      <c r="G136" s="111" t="str" cm="1">
        <f t="array" aca="1" ref="G136" ca="1">Common_InputFunctions.Utility_DisplayArrayInTable(Fertiliser_SourceData.Fertiliser_Products_Data3(),FertiliserProducts[[#Headers],[Include or Exclude]], 40)</f>
        <v/>
      </c>
      <c r="H136" s="111" t="str" cm="1">
        <f t="array" aca="1" ref="H136" ca="1">Common_InputFunctions.Utility_DisplayArrayInTable(Fertiliser_SourceData.Fertiliser_Products_Data3(),FertiliserProducts[[#Headers],[Include or Exclude]], 40)</f>
        <v/>
      </c>
      <c r="I136" s="111" t="str" cm="1">
        <f t="array" aca="1" ref="I136" ca="1">Common_InputFunctions.Utility_DisplayArrayInTable(Fertiliser_SourceData.Fertiliser_Products_Data3(),FertiliserProducts[[#Headers],[Include or Exclude]], 40)</f>
        <v/>
      </c>
      <c r="J136" s="111" t="str" cm="1">
        <f t="array" aca="1" ref="J136" ca="1">Common_InputFunctions.Utility_DisplayArrayInTable(Fertiliser_SourceData.Fertiliser_Products_Data3(),FertiliserProducts[[#Headers],[Include or Exclude]], 40)</f>
        <v/>
      </c>
      <c r="K136" s="111" t="str" cm="1">
        <f t="array" aca="1" ref="K136" ca="1">Common_InputFunctions.Utility_DisplayArrayInTable(Fertiliser_SourceData.Fertiliser_Products_Data3(),FertiliserProducts[[#Headers],[Include or Exclude]], 40)</f>
        <v/>
      </c>
      <c r="L136" s="111" t="str" cm="1">
        <f t="array" aca="1" ref="L136" ca="1">Common_InputFunctions.Utility_DisplayArrayInTable(Fertiliser_SourceData.Fertiliser_Products_Data3(),FertiliserProducts[[#Headers],[Include or Exclude]], 40)</f>
        <v/>
      </c>
      <c r="M136" s="111" t="str" cm="1">
        <f t="array" aca="1" ref="M136" ca="1">Common_InputFunctions.Utility_DisplayArrayInTable(Fertiliser_SourceData.Fertiliser_Products_Data3(),FertiliserProducts[[#Headers],[Include or Exclude]], 40)</f>
        <v/>
      </c>
      <c r="N136" s="111" t="str" cm="1">
        <f t="array" aca="1" ref="N136" ca="1">Common_InputFunctions.Utility_DisplayArrayInTable(Fertiliser_SourceData.Fertiliser_Products_Data3(),FertiliserProducts[[#Headers],[Include or Exclude]], 40)</f>
        <v/>
      </c>
      <c r="O136" s="111" t="str" cm="1">
        <f t="array" aca="1" ref="O136" ca="1">Common_InputFunctions.Utility_DisplayArrayInTable(Fertiliser_SourceData.Fertiliser_Products_Data3(),FertiliserProducts[[#Headers],[Include or Exclude]], 40)</f>
        <v/>
      </c>
      <c r="P136" s="111" t="str" cm="1">
        <f t="array" aca="1" ref="P136" ca="1">Common_InputFunctions.Utility_DisplayArrayInTable(Fertiliser_SourceData.Fertiliser_Products_Data3(),FertiliserProducts[[#Headers],[Include or Exclude]], 40)</f>
        <v/>
      </c>
      <c r="Q136" s="111" t="str" cm="1">
        <f t="array" aca="1" ref="Q136" ca="1">Common_InputFunctions.Utility_DisplayArrayInTable(Fertiliser_SourceData.Fertiliser_Products_Data3(),FertiliserProducts[[#Headers],[Include or Exclude]], 40)</f>
        <v/>
      </c>
      <c r="R136" s="111" t="str" cm="1">
        <f t="array" aca="1" ref="R136" ca="1">Common_InputFunctions.Utility_DisplayArrayInTable(Fertiliser_SourceData.Fertiliser_Products_Data3(),FertiliserProducts[[#Headers],[Include or Exclude]], 40)</f>
        <v/>
      </c>
      <c r="S136" s="111" t="str" cm="1">
        <f t="array" aca="1" ref="S136" ca="1">Common_InputFunctions.Utility_DisplayArrayInTable(Fertiliser_SourceData.Fertiliser_Products_Data3(),FertiliserProducts[[#Headers],[Include or Exclude]], 40)</f>
        <v/>
      </c>
      <c r="T136" s="111" t="str" cm="1">
        <f t="array" aca="1" ref="T136" ca="1">Common_InputFunctions.Utility_DisplayArrayInTable(Fertiliser_SourceData.Fertiliser_Products_Data3(),FertiliserProducts[[#Headers],[Include or Exclude]], 40)</f>
        <v/>
      </c>
      <c r="U136" s="111" t="str" cm="1">
        <f t="array" aca="1" ref="U136" ca="1">Common_InputFunctions.Utility_DisplayArrayInTable(Fertiliser_SourceData.Fertiliser_Products_Data3(),FertiliserProducts[[#Headers],[Include or Exclude]], 40)</f>
        <v/>
      </c>
      <c r="V136" s="111" t="str" cm="1">
        <f t="array" aca="1" ref="V136" ca="1">Common_InputFunctions.Utility_DisplayArrayInTable(Fertiliser_SourceData.Fertiliser_Products_Data3(),FertiliserProducts[[#Headers],[Include or Exclude]], 40)</f>
        <v/>
      </c>
      <c r="W136" s="111" t="str" cm="1">
        <f t="array" aca="1" ref="W136" ca="1">Common_InputFunctions.Utility_DisplayArrayInTable(Fertiliser_SourceData.Fertiliser_Products_Data3(),FertiliserProducts[[#Headers],[Include or Exclude]], 40)</f>
        <v/>
      </c>
      <c r="X136" s="111" t="str" cm="1">
        <f t="array" aca="1" ref="X136" ca="1">Common_InputFunctions.Utility_DisplayArrayInTable(Fertiliser_SourceData.Fertiliser_Products_Data3(),FertiliserProducts[[#Headers],[Include or Exclude]], 40)</f>
        <v/>
      </c>
      <c r="Y136" s="111" t="str" cm="1">
        <f t="array" aca="1" ref="Y136" ca="1">Common_InputFunctions.Utility_DisplayArrayInTable(Fertiliser_SourceData.Fertiliser_Products_Data3(),FertiliserProducts[[#Headers],[Include or Exclude]], 40)</f>
        <v/>
      </c>
      <c r="Z136" s="111" t="str" cm="1">
        <f t="array" aca="1" ref="Z136" ca="1">Common_InputFunctions.Utility_DisplayArrayInTable(Fertiliser_SourceData.Fertiliser_Products_Data3(),FertiliserProducts[[#Headers],[Include or Exclude]], 40)</f>
        <v/>
      </c>
      <c r="AA136" s="37" t="str" cm="1">
        <f t="array" aca="1" ref="AA136" ca="1">Common_InputFunctions.Utility_DisplayArrayInTable(Fertiliser_SourceData.Fertiliser_Products_Data3(),FertiliserProducts[[#Headers],[Include or Exclude]], 40)</f>
        <v/>
      </c>
      <c r="AB136" s="37" t="str" cm="1">
        <f t="array" aca="1" ref="AB136" ca="1">Common_InputFunctions.Utility_DisplayArrayInTable(Fertiliser_SourceData.Fertiliser_Products_Data3(),FertiliserProducts[[#Headers],[Include or Exclude]], 40)</f>
        <v/>
      </c>
      <c r="AC136" s="37" t="str" cm="1">
        <f t="array" aca="1" ref="AC136" ca="1">Common_InputFunctions.Utility_DisplayArrayInTable(Fertiliser_SourceData.Fertiliser_Products_Data3(),FertiliserProducts[[#Headers],[Include or Exclude]], 40)</f>
        <v/>
      </c>
      <c r="AD136" s="37" t="str" cm="1">
        <f t="array" aca="1" ref="AD136" ca="1">Common_InputFunctions.Utility_DisplayArrayInTable(Fertiliser_SourceData.Fertiliser_Products_Data3(),FertiliserProducts[[#Headers],[Include or Exclude]], 40)</f>
        <v/>
      </c>
      <c r="AE136" s="37" t="str" cm="1">
        <f t="array" aca="1" ref="AE136" ca="1">Common_InputFunctions.Utility_DisplayArrayInTable(Fertiliser_SourceData.Fertiliser_Products_Data3(),FertiliserProducts[[#Headers],[Include or Exclude]], 40)</f>
        <v/>
      </c>
    </row>
    <row r="137" spans="4:31" ht="20.100000000000001" customHeight="1" x14ac:dyDescent="0.25">
      <c r="D137" s="111" t="str" cm="1">
        <f t="array" aca="1" ref="D137" ca="1">Common_InputFunctions.Utility_DisplayArrayInTable(Fertiliser_SourceData.Fertiliser_Products_Data3(),FertiliserProducts[[#Headers],[Include or Exclude]], 40)</f>
        <v/>
      </c>
      <c r="E137" s="111" t="str" cm="1">
        <f t="array" aca="1" ref="E137" ca="1">Common_InputFunctions.Utility_DisplayArrayInTable(Fertiliser_SourceData.Fertiliser_Products_Data3(),FertiliserProducts[[#Headers],[Include or Exclude]], 40)</f>
        <v/>
      </c>
      <c r="F137" s="111" t="str" cm="1">
        <f t="array" aca="1" ref="F137" ca="1">Common_InputFunctions.Utility_DisplayArrayInTable(Fertiliser_SourceData.Fertiliser_Products_Data3(),FertiliserProducts[[#Headers],[Include or Exclude]], 40)</f>
        <v/>
      </c>
      <c r="G137" s="111" t="str" cm="1">
        <f t="array" aca="1" ref="G137" ca="1">Common_InputFunctions.Utility_DisplayArrayInTable(Fertiliser_SourceData.Fertiliser_Products_Data3(),FertiliserProducts[[#Headers],[Include or Exclude]], 40)</f>
        <v/>
      </c>
      <c r="H137" s="111" t="str" cm="1">
        <f t="array" aca="1" ref="H137" ca="1">Common_InputFunctions.Utility_DisplayArrayInTable(Fertiliser_SourceData.Fertiliser_Products_Data3(),FertiliserProducts[[#Headers],[Include or Exclude]], 40)</f>
        <v/>
      </c>
      <c r="I137" s="111" t="str" cm="1">
        <f t="array" aca="1" ref="I137" ca="1">Common_InputFunctions.Utility_DisplayArrayInTable(Fertiliser_SourceData.Fertiliser_Products_Data3(),FertiliserProducts[[#Headers],[Include or Exclude]], 40)</f>
        <v/>
      </c>
      <c r="J137" s="111" t="str" cm="1">
        <f t="array" aca="1" ref="J137" ca="1">Common_InputFunctions.Utility_DisplayArrayInTable(Fertiliser_SourceData.Fertiliser_Products_Data3(),FertiliserProducts[[#Headers],[Include or Exclude]], 40)</f>
        <v/>
      </c>
      <c r="K137" s="111" t="str" cm="1">
        <f t="array" aca="1" ref="K137" ca="1">Common_InputFunctions.Utility_DisplayArrayInTable(Fertiliser_SourceData.Fertiliser_Products_Data3(),FertiliserProducts[[#Headers],[Include or Exclude]], 40)</f>
        <v/>
      </c>
      <c r="L137" s="111" t="str" cm="1">
        <f t="array" aca="1" ref="L137" ca="1">Common_InputFunctions.Utility_DisplayArrayInTable(Fertiliser_SourceData.Fertiliser_Products_Data3(),FertiliserProducts[[#Headers],[Include or Exclude]], 40)</f>
        <v/>
      </c>
      <c r="M137" s="111" t="str" cm="1">
        <f t="array" aca="1" ref="M137" ca="1">Common_InputFunctions.Utility_DisplayArrayInTable(Fertiliser_SourceData.Fertiliser_Products_Data3(),FertiliserProducts[[#Headers],[Include or Exclude]], 40)</f>
        <v/>
      </c>
      <c r="N137" s="111" t="str" cm="1">
        <f t="array" aca="1" ref="N137" ca="1">Common_InputFunctions.Utility_DisplayArrayInTable(Fertiliser_SourceData.Fertiliser_Products_Data3(),FertiliserProducts[[#Headers],[Include or Exclude]], 40)</f>
        <v/>
      </c>
      <c r="O137" s="111" t="str" cm="1">
        <f t="array" aca="1" ref="O137" ca="1">Common_InputFunctions.Utility_DisplayArrayInTable(Fertiliser_SourceData.Fertiliser_Products_Data3(),FertiliserProducts[[#Headers],[Include or Exclude]], 40)</f>
        <v/>
      </c>
      <c r="P137" s="111" t="str" cm="1">
        <f t="array" aca="1" ref="P137" ca="1">Common_InputFunctions.Utility_DisplayArrayInTable(Fertiliser_SourceData.Fertiliser_Products_Data3(),FertiliserProducts[[#Headers],[Include or Exclude]], 40)</f>
        <v/>
      </c>
      <c r="Q137" s="111" t="str" cm="1">
        <f t="array" aca="1" ref="Q137" ca="1">Common_InputFunctions.Utility_DisplayArrayInTable(Fertiliser_SourceData.Fertiliser_Products_Data3(),FertiliserProducts[[#Headers],[Include or Exclude]], 40)</f>
        <v/>
      </c>
      <c r="R137" s="111" t="str" cm="1">
        <f t="array" aca="1" ref="R137" ca="1">Common_InputFunctions.Utility_DisplayArrayInTable(Fertiliser_SourceData.Fertiliser_Products_Data3(),FertiliserProducts[[#Headers],[Include or Exclude]], 40)</f>
        <v/>
      </c>
      <c r="S137" s="111" t="str" cm="1">
        <f t="array" aca="1" ref="S137" ca="1">Common_InputFunctions.Utility_DisplayArrayInTable(Fertiliser_SourceData.Fertiliser_Products_Data3(),FertiliserProducts[[#Headers],[Include or Exclude]], 40)</f>
        <v/>
      </c>
      <c r="T137" s="111" t="str" cm="1">
        <f t="array" aca="1" ref="T137" ca="1">Common_InputFunctions.Utility_DisplayArrayInTable(Fertiliser_SourceData.Fertiliser_Products_Data3(),FertiliserProducts[[#Headers],[Include or Exclude]], 40)</f>
        <v/>
      </c>
      <c r="U137" s="111" t="str" cm="1">
        <f t="array" aca="1" ref="U137" ca="1">Common_InputFunctions.Utility_DisplayArrayInTable(Fertiliser_SourceData.Fertiliser_Products_Data3(),FertiliserProducts[[#Headers],[Include or Exclude]], 40)</f>
        <v/>
      </c>
      <c r="V137" s="111" t="str" cm="1">
        <f t="array" aca="1" ref="V137" ca="1">Common_InputFunctions.Utility_DisplayArrayInTable(Fertiliser_SourceData.Fertiliser_Products_Data3(),FertiliserProducts[[#Headers],[Include or Exclude]], 40)</f>
        <v/>
      </c>
      <c r="W137" s="111" t="str" cm="1">
        <f t="array" aca="1" ref="W137" ca="1">Common_InputFunctions.Utility_DisplayArrayInTable(Fertiliser_SourceData.Fertiliser_Products_Data3(),FertiliserProducts[[#Headers],[Include or Exclude]], 40)</f>
        <v/>
      </c>
      <c r="X137" s="111" t="str" cm="1">
        <f t="array" aca="1" ref="X137" ca="1">Common_InputFunctions.Utility_DisplayArrayInTable(Fertiliser_SourceData.Fertiliser_Products_Data3(),FertiliserProducts[[#Headers],[Include or Exclude]], 40)</f>
        <v/>
      </c>
      <c r="Y137" s="111" t="str" cm="1">
        <f t="array" aca="1" ref="Y137" ca="1">Common_InputFunctions.Utility_DisplayArrayInTable(Fertiliser_SourceData.Fertiliser_Products_Data3(),FertiliserProducts[[#Headers],[Include or Exclude]], 40)</f>
        <v/>
      </c>
      <c r="Z137" s="111" t="str" cm="1">
        <f t="array" aca="1" ref="Z137" ca="1">Common_InputFunctions.Utility_DisplayArrayInTable(Fertiliser_SourceData.Fertiliser_Products_Data3(),FertiliserProducts[[#Headers],[Include or Exclude]], 40)</f>
        <v/>
      </c>
      <c r="AA137" s="37" t="str" cm="1">
        <f t="array" aca="1" ref="AA137" ca="1">Common_InputFunctions.Utility_DisplayArrayInTable(Fertiliser_SourceData.Fertiliser_Products_Data3(),FertiliserProducts[[#Headers],[Include or Exclude]], 40)</f>
        <v/>
      </c>
      <c r="AB137" s="37" t="str" cm="1">
        <f t="array" aca="1" ref="AB137" ca="1">Common_InputFunctions.Utility_DisplayArrayInTable(Fertiliser_SourceData.Fertiliser_Products_Data3(),FertiliserProducts[[#Headers],[Include or Exclude]], 40)</f>
        <v/>
      </c>
      <c r="AC137" s="37" t="str" cm="1">
        <f t="array" aca="1" ref="AC137" ca="1">Common_InputFunctions.Utility_DisplayArrayInTable(Fertiliser_SourceData.Fertiliser_Products_Data3(),FertiliserProducts[[#Headers],[Include or Exclude]], 40)</f>
        <v/>
      </c>
      <c r="AD137" s="37" t="str" cm="1">
        <f t="array" aca="1" ref="AD137" ca="1">Common_InputFunctions.Utility_DisplayArrayInTable(Fertiliser_SourceData.Fertiliser_Products_Data3(),FertiliserProducts[[#Headers],[Include or Exclude]], 40)</f>
        <v/>
      </c>
      <c r="AE137" s="37" t="str" cm="1">
        <f t="array" aca="1" ref="AE137" ca="1">Common_InputFunctions.Utility_DisplayArrayInTable(Fertiliser_SourceData.Fertiliser_Products_Data3(),FertiliserProducts[[#Headers],[Include or Exclude]], 40)</f>
        <v/>
      </c>
    </row>
    <row r="138" spans="4:31" ht="20.100000000000001" customHeight="1" x14ac:dyDescent="0.25">
      <c r="D138" s="111" t="str" cm="1">
        <f t="array" aca="1" ref="D138" ca="1">Common_InputFunctions.Utility_DisplayArrayInTable(Fertiliser_SourceData.Fertiliser_Products_Data3(),FertiliserProducts[[#Headers],[Include or Exclude]], 40)</f>
        <v/>
      </c>
      <c r="E138" s="111" t="str" cm="1">
        <f t="array" aca="1" ref="E138" ca="1">Common_InputFunctions.Utility_DisplayArrayInTable(Fertiliser_SourceData.Fertiliser_Products_Data3(),FertiliserProducts[[#Headers],[Include or Exclude]], 40)</f>
        <v/>
      </c>
      <c r="F138" s="111" t="str" cm="1">
        <f t="array" aca="1" ref="F138" ca="1">Common_InputFunctions.Utility_DisplayArrayInTable(Fertiliser_SourceData.Fertiliser_Products_Data3(),FertiliserProducts[[#Headers],[Include or Exclude]], 40)</f>
        <v/>
      </c>
      <c r="G138" s="111" t="str" cm="1">
        <f t="array" aca="1" ref="G138" ca="1">Common_InputFunctions.Utility_DisplayArrayInTable(Fertiliser_SourceData.Fertiliser_Products_Data3(),FertiliserProducts[[#Headers],[Include or Exclude]], 40)</f>
        <v/>
      </c>
      <c r="H138" s="111" t="str" cm="1">
        <f t="array" aca="1" ref="H138" ca="1">Common_InputFunctions.Utility_DisplayArrayInTable(Fertiliser_SourceData.Fertiliser_Products_Data3(),FertiliserProducts[[#Headers],[Include or Exclude]], 40)</f>
        <v/>
      </c>
      <c r="I138" s="111" t="str" cm="1">
        <f t="array" aca="1" ref="I138" ca="1">Common_InputFunctions.Utility_DisplayArrayInTable(Fertiliser_SourceData.Fertiliser_Products_Data3(),FertiliserProducts[[#Headers],[Include or Exclude]], 40)</f>
        <v/>
      </c>
      <c r="J138" s="111" t="str" cm="1">
        <f t="array" aca="1" ref="J138" ca="1">Common_InputFunctions.Utility_DisplayArrayInTable(Fertiliser_SourceData.Fertiliser_Products_Data3(),FertiliserProducts[[#Headers],[Include or Exclude]], 40)</f>
        <v/>
      </c>
      <c r="K138" s="111" t="str" cm="1">
        <f t="array" aca="1" ref="K138" ca="1">Common_InputFunctions.Utility_DisplayArrayInTable(Fertiliser_SourceData.Fertiliser_Products_Data3(),FertiliserProducts[[#Headers],[Include or Exclude]], 40)</f>
        <v/>
      </c>
      <c r="L138" s="111" t="str" cm="1">
        <f t="array" aca="1" ref="L138" ca="1">Common_InputFunctions.Utility_DisplayArrayInTable(Fertiliser_SourceData.Fertiliser_Products_Data3(),FertiliserProducts[[#Headers],[Include or Exclude]], 40)</f>
        <v/>
      </c>
      <c r="M138" s="111" t="str" cm="1">
        <f t="array" aca="1" ref="M138" ca="1">Common_InputFunctions.Utility_DisplayArrayInTable(Fertiliser_SourceData.Fertiliser_Products_Data3(),FertiliserProducts[[#Headers],[Include or Exclude]], 40)</f>
        <v/>
      </c>
      <c r="N138" s="111" t="str" cm="1">
        <f t="array" aca="1" ref="N138" ca="1">Common_InputFunctions.Utility_DisplayArrayInTable(Fertiliser_SourceData.Fertiliser_Products_Data3(),FertiliserProducts[[#Headers],[Include or Exclude]], 40)</f>
        <v/>
      </c>
      <c r="O138" s="111" t="str" cm="1">
        <f t="array" aca="1" ref="O138" ca="1">Common_InputFunctions.Utility_DisplayArrayInTable(Fertiliser_SourceData.Fertiliser_Products_Data3(),FertiliserProducts[[#Headers],[Include or Exclude]], 40)</f>
        <v/>
      </c>
      <c r="P138" s="111" t="str" cm="1">
        <f t="array" aca="1" ref="P138" ca="1">Common_InputFunctions.Utility_DisplayArrayInTable(Fertiliser_SourceData.Fertiliser_Products_Data3(),FertiliserProducts[[#Headers],[Include or Exclude]], 40)</f>
        <v/>
      </c>
      <c r="Q138" s="111" t="str" cm="1">
        <f t="array" aca="1" ref="Q138" ca="1">Common_InputFunctions.Utility_DisplayArrayInTable(Fertiliser_SourceData.Fertiliser_Products_Data3(),FertiliserProducts[[#Headers],[Include or Exclude]], 40)</f>
        <v/>
      </c>
      <c r="R138" s="111" t="str" cm="1">
        <f t="array" aca="1" ref="R138" ca="1">Common_InputFunctions.Utility_DisplayArrayInTable(Fertiliser_SourceData.Fertiliser_Products_Data3(),FertiliserProducts[[#Headers],[Include or Exclude]], 40)</f>
        <v/>
      </c>
      <c r="S138" s="111" t="str" cm="1">
        <f t="array" aca="1" ref="S138" ca="1">Common_InputFunctions.Utility_DisplayArrayInTable(Fertiliser_SourceData.Fertiliser_Products_Data3(),FertiliserProducts[[#Headers],[Include or Exclude]], 40)</f>
        <v/>
      </c>
      <c r="T138" s="111" t="str" cm="1">
        <f t="array" aca="1" ref="T138" ca="1">Common_InputFunctions.Utility_DisplayArrayInTable(Fertiliser_SourceData.Fertiliser_Products_Data3(),FertiliserProducts[[#Headers],[Include or Exclude]], 40)</f>
        <v/>
      </c>
      <c r="U138" s="111" t="str" cm="1">
        <f t="array" aca="1" ref="U138" ca="1">Common_InputFunctions.Utility_DisplayArrayInTable(Fertiliser_SourceData.Fertiliser_Products_Data3(),FertiliserProducts[[#Headers],[Include or Exclude]], 40)</f>
        <v/>
      </c>
      <c r="V138" s="111" t="str" cm="1">
        <f t="array" aca="1" ref="V138" ca="1">Common_InputFunctions.Utility_DisplayArrayInTable(Fertiliser_SourceData.Fertiliser_Products_Data3(),FertiliserProducts[[#Headers],[Include or Exclude]], 40)</f>
        <v/>
      </c>
      <c r="W138" s="111" t="str" cm="1">
        <f t="array" aca="1" ref="W138" ca="1">Common_InputFunctions.Utility_DisplayArrayInTable(Fertiliser_SourceData.Fertiliser_Products_Data3(),FertiliserProducts[[#Headers],[Include or Exclude]], 40)</f>
        <v/>
      </c>
      <c r="X138" s="111" t="str" cm="1">
        <f t="array" aca="1" ref="X138" ca="1">Common_InputFunctions.Utility_DisplayArrayInTable(Fertiliser_SourceData.Fertiliser_Products_Data3(),FertiliserProducts[[#Headers],[Include or Exclude]], 40)</f>
        <v/>
      </c>
      <c r="Y138" s="111" t="str" cm="1">
        <f t="array" aca="1" ref="Y138" ca="1">Common_InputFunctions.Utility_DisplayArrayInTable(Fertiliser_SourceData.Fertiliser_Products_Data3(),FertiliserProducts[[#Headers],[Include or Exclude]], 40)</f>
        <v/>
      </c>
      <c r="Z138" s="111" t="str" cm="1">
        <f t="array" aca="1" ref="Z138" ca="1">Common_InputFunctions.Utility_DisplayArrayInTable(Fertiliser_SourceData.Fertiliser_Products_Data3(),FertiliserProducts[[#Headers],[Include or Exclude]], 40)</f>
        <v/>
      </c>
      <c r="AA138" s="37" t="str" cm="1">
        <f t="array" aca="1" ref="AA138" ca="1">Common_InputFunctions.Utility_DisplayArrayInTable(Fertiliser_SourceData.Fertiliser_Products_Data3(),FertiliserProducts[[#Headers],[Include or Exclude]], 40)</f>
        <v/>
      </c>
      <c r="AB138" s="37" t="str" cm="1">
        <f t="array" aca="1" ref="AB138" ca="1">Common_InputFunctions.Utility_DisplayArrayInTable(Fertiliser_SourceData.Fertiliser_Products_Data3(),FertiliserProducts[[#Headers],[Include or Exclude]], 40)</f>
        <v/>
      </c>
      <c r="AC138" s="37" t="str" cm="1">
        <f t="array" aca="1" ref="AC138" ca="1">Common_InputFunctions.Utility_DisplayArrayInTable(Fertiliser_SourceData.Fertiliser_Products_Data3(),FertiliserProducts[[#Headers],[Include or Exclude]], 40)</f>
        <v/>
      </c>
      <c r="AD138" s="37" t="str" cm="1">
        <f t="array" aca="1" ref="AD138" ca="1">Common_InputFunctions.Utility_DisplayArrayInTable(Fertiliser_SourceData.Fertiliser_Products_Data3(),FertiliserProducts[[#Headers],[Include or Exclude]], 40)</f>
        <v/>
      </c>
      <c r="AE138" s="37" t="str" cm="1">
        <f t="array" aca="1" ref="AE138" ca="1">Common_InputFunctions.Utility_DisplayArrayInTable(Fertiliser_SourceData.Fertiliser_Products_Data3(),FertiliserProducts[[#Headers],[Include or Exclude]], 40)</f>
        <v/>
      </c>
    </row>
    <row r="139" spans="4:31" ht="20.100000000000001" customHeight="1" x14ac:dyDescent="0.25">
      <c r="D139" s="111" t="str" cm="1">
        <f t="array" aca="1" ref="D139" ca="1">Common_InputFunctions.Utility_DisplayArrayInTable(Fertiliser_SourceData.Fertiliser_Products_Data3(),FertiliserProducts[[#Headers],[Include or Exclude]], 40)</f>
        <v/>
      </c>
      <c r="E139" s="111" t="str" cm="1">
        <f t="array" aca="1" ref="E139" ca="1">Common_InputFunctions.Utility_DisplayArrayInTable(Fertiliser_SourceData.Fertiliser_Products_Data3(),FertiliserProducts[[#Headers],[Include or Exclude]], 40)</f>
        <v/>
      </c>
      <c r="F139" s="111" t="str" cm="1">
        <f t="array" aca="1" ref="F139" ca="1">Common_InputFunctions.Utility_DisplayArrayInTable(Fertiliser_SourceData.Fertiliser_Products_Data3(),FertiliserProducts[[#Headers],[Include or Exclude]], 40)</f>
        <v/>
      </c>
      <c r="G139" s="111" t="str" cm="1">
        <f t="array" aca="1" ref="G139" ca="1">Common_InputFunctions.Utility_DisplayArrayInTable(Fertiliser_SourceData.Fertiliser_Products_Data3(),FertiliserProducts[[#Headers],[Include or Exclude]], 40)</f>
        <v/>
      </c>
      <c r="H139" s="111" t="str" cm="1">
        <f t="array" aca="1" ref="H139" ca="1">Common_InputFunctions.Utility_DisplayArrayInTable(Fertiliser_SourceData.Fertiliser_Products_Data3(),FertiliserProducts[[#Headers],[Include or Exclude]], 40)</f>
        <v/>
      </c>
      <c r="I139" s="111" t="str" cm="1">
        <f t="array" aca="1" ref="I139" ca="1">Common_InputFunctions.Utility_DisplayArrayInTable(Fertiliser_SourceData.Fertiliser_Products_Data3(),FertiliserProducts[[#Headers],[Include or Exclude]], 40)</f>
        <v/>
      </c>
      <c r="J139" s="111" t="str" cm="1">
        <f t="array" aca="1" ref="J139" ca="1">Common_InputFunctions.Utility_DisplayArrayInTable(Fertiliser_SourceData.Fertiliser_Products_Data3(),FertiliserProducts[[#Headers],[Include or Exclude]], 40)</f>
        <v/>
      </c>
      <c r="K139" s="111" t="str" cm="1">
        <f t="array" aca="1" ref="K139" ca="1">Common_InputFunctions.Utility_DisplayArrayInTable(Fertiliser_SourceData.Fertiliser_Products_Data3(),FertiliserProducts[[#Headers],[Include or Exclude]], 40)</f>
        <v/>
      </c>
      <c r="L139" s="111" t="str" cm="1">
        <f t="array" aca="1" ref="L139" ca="1">Common_InputFunctions.Utility_DisplayArrayInTable(Fertiliser_SourceData.Fertiliser_Products_Data3(),FertiliserProducts[[#Headers],[Include or Exclude]], 40)</f>
        <v/>
      </c>
      <c r="M139" s="111" t="str" cm="1">
        <f t="array" aca="1" ref="M139" ca="1">Common_InputFunctions.Utility_DisplayArrayInTable(Fertiliser_SourceData.Fertiliser_Products_Data3(),FertiliserProducts[[#Headers],[Include or Exclude]], 40)</f>
        <v/>
      </c>
      <c r="N139" s="111" t="str" cm="1">
        <f t="array" aca="1" ref="N139" ca="1">Common_InputFunctions.Utility_DisplayArrayInTable(Fertiliser_SourceData.Fertiliser_Products_Data3(),FertiliserProducts[[#Headers],[Include or Exclude]], 40)</f>
        <v/>
      </c>
      <c r="O139" s="111" t="str" cm="1">
        <f t="array" aca="1" ref="O139" ca="1">Common_InputFunctions.Utility_DisplayArrayInTable(Fertiliser_SourceData.Fertiliser_Products_Data3(),FertiliserProducts[[#Headers],[Include or Exclude]], 40)</f>
        <v/>
      </c>
      <c r="P139" s="111" t="str" cm="1">
        <f t="array" aca="1" ref="P139" ca="1">Common_InputFunctions.Utility_DisplayArrayInTable(Fertiliser_SourceData.Fertiliser_Products_Data3(),FertiliserProducts[[#Headers],[Include or Exclude]], 40)</f>
        <v/>
      </c>
      <c r="Q139" s="111" t="str" cm="1">
        <f t="array" aca="1" ref="Q139" ca="1">Common_InputFunctions.Utility_DisplayArrayInTable(Fertiliser_SourceData.Fertiliser_Products_Data3(),FertiliserProducts[[#Headers],[Include or Exclude]], 40)</f>
        <v/>
      </c>
      <c r="R139" s="111" t="str" cm="1">
        <f t="array" aca="1" ref="R139" ca="1">Common_InputFunctions.Utility_DisplayArrayInTable(Fertiliser_SourceData.Fertiliser_Products_Data3(),FertiliserProducts[[#Headers],[Include or Exclude]], 40)</f>
        <v/>
      </c>
      <c r="S139" s="111" t="str" cm="1">
        <f t="array" aca="1" ref="S139" ca="1">Common_InputFunctions.Utility_DisplayArrayInTable(Fertiliser_SourceData.Fertiliser_Products_Data3(),FertiliserProducts[[#Headers],[Include or Exclude]], 40)</f>
        <v/>
      </c>
      <c r="T139" s="111" t="str" cm="1">
        <f t="array" aca="1" ref="T139" ca="1">Common_InputFunctions.Utility_DisplayArrayInTable(Fertiliser_SourceData.Fertiliser_Products_Data3(),FertiliserProducts[[#Headers],[Include or Exclude]], 40)</f>
        <v/>
      </c>
      <c r="U139" s="111" t="str" cm="1">
        <f t="array" aca="1" ref="U139" ca="1">Common_InputFunctions.Utility_DisplayArrayInTable(Fertiliser_SourceData.Fertiliser_Products_Data3(),FertiliserProducts[[#Headers],[Include or Exclude]], 40)</f>
        <v/>
      </c>
      <c r="V139" s="111" t="str" cm="1">
        <f t="array" aca="1" ref="V139" ca="1">Common_InputFunctions.Utility_DisplayArrayInTable(Fertiliser_SourceData.Fertiliser_Products_Data3(),FertiliserProducts[[#Headers],[Include or Exclude]], 40)</f>
        <v/>
      </c>
      <c r="W139" s="111" t="str" cm="1">
        <f t="array" aca="1" ref="W139" ca="1">Common_InputFunctions.Utility_DisplayArrayInTable(Fertiliser_SourceData.Fertiliser_Products_Data3(),FertiliserProducts[[#Headers],[Include or Exclude]], 40)</f>
        <v/>
      </c>
      <c r="X139" s="111" t="str" cm="1">
        <f t="array" aca="1" ref="X139" ca="1">Common_InputFunctions.Utility_DisplayArrayInTable(Fertiliser_SourceData.Fertiliser_Products_Data3(),FertiliserProducts[[#Headers],[Include or Exclude]], 40)</f>
        <v/>
      </c>
      <c r="Y139" s="111" t="str" cm="1">
        <f t="array" aca="1" ref="Y139" ca="1">Common_InputFunctions.Utility_DisplayArrayInTable(Fertiliser_SourceData.Fertiliser_Products_Data3(),FertiliserProducts[[#Headers],[Include or Exclude]], 40)</f>
        <v/>
      </c>
      <c r="Z139" s="111" t="str" cm="1">
        <f t="array" aca="1" ref="Z139" ca="1">Common_InputFunctions.Utility_DisplayArrayInTable(Fertiliser_SourceData.Fertiliser_Products_Data3(),FertiliserProducts[[#Headers],[Include or Exclude]], 40)</f>
        <v/>
      </c>
      <c r="AA139" s="37" t="str" cm="1">
        <f t="array" aca="1" ref="AA139" ca="1">Common_InputFunctions.Utility_DisplayArrayInTable(Fertiliser_SourceData.Fertiliser_Products_Data3(),FertiliserProducts[[#Headers],[Include or Exclude]], 40)</f>
        <v/>
      </c>
      <c r="AB139" s="37" t="str" cm="1">
        <f t="array" aca="1" ref="AB139" ca="1">Common_InputFunctions.Utility_DisplayArrayInTable(Fertiliser_SourceData.Fertiliser_Products_Data3(),FertiliserProducts[[#Headers],[Include or Exclude]], 40)</f>
        <v/>
      </c>
      <c r="AC139" s="37" t="str" cm="1">
        <f t="array" aca="1" ref="AC139" ca="1">Common_InputFunctions.Utility_DisplayArrayInTable(Fertiliser_SourceData.Fertiliser_Products_Data3(),FertiliserProducts[[#Headers],[Include or Exclude]], 40)</f>
        <v/>
      </c>
      <c r="AD139" s="37" t="str" cm="1">
        <f t="array" aca="1" ref="AD139" ca="1">Common_InputFunctions.Utility_DisplayArrayInTable(Fertiliser_SourceData.Fertiliser_Products_Data3(),FertiliserProducts[[#Headers],[Include or Exclude]], 40)</f>
        <v/>
      </c>
      <c r="AE139" s="37" t="str" cm="1">
        <f t="array" aca="1" ref="AE139" ca="1">Common_InputFunctions.Utility_DisplayArrayInTable(Fertiliser_SourceData.Fertiliser_Products_Data3(),FertiliserProducts[[#Headers],[Include or Exclude]], 40)</f>
        <v/>
      </c>
    </row>
    <row r="140" spans="4:31" ht="20.100000000000001" customHeight="1" x14ac:dyDescent="0.25">
      <c r="D140" s="111" t="str" cm="1">
        <f t="array" aca="1" ref="D140" ca="1">Common_InputFunctions.Utility_DisplayArrayInTable(Fertiliser_SourceData.Fertiliser_Products_Data3(),FertiliserProducts[[#Headers],[Include or Exclude]], 40)</f>
        <v/>
      </c>
      <c r="E140" s="111" t="str" cm="1">
        <f t="array" aca="1" ref="E140" ca="1">Common_InputFunctions.Utility_DisplayArrayInTable(Fertiliser_SourceData.Fertiliser_Products_Data3(),FertiliserProducts[[#Headers],[Include or Exclude]], 40)</f>
        <v/>
      </c>
      <c r="F140" s="111" t="str" cm="1">
        <f t="array" aca="1" ref="F140" ca="1">Common_InputFunctions.Utility_DisplayArrayInTable(Fertiliser_SourceData.Fertiliser_Products_Data3(),FertiliserProducts[[#Headers],[Include or Exclude]], 40)</f>
        <v/>
      </c>
      <c r="G140" s="111" t="str" cm="1">
        <f t="array" aca="1" ref="G140" ca="1">Common_InputFunctions.Utility_DisplayArrayInTable(Fertiliser_SourceData.Fertiliser_Products_Data3(),FertiliserProducts[[#Headers],[Include or Exclude]], 40)</f>
        <v/>
      </c>
      <c r="H140" s="111" t="str" cm="1">
        <f t="array" aca="1" ref="H140" ca="1">Common_InputFunctions.Utility_DisplayArrayInTable(Fertiliser_SourceData.Fertiliser_Products_Data3(),FertiliserProducts[[#Headers],[Include or Exclude]], 40)</f>
        <v/>
      </c>
      <c r="I140" s="111" t="str" cm="1">
        <f t="array" aca="1" ref="I140" ca="1">Common_InputFunctions.Utility_DisplayArrayInTable(Fertiliser_SourceData.Fertiliser_Products_Data3(),FertiliserProducts[[#Headers],[Include or Exclude]], 40)</f>
        <v/>
      </c>
      <c r="J140" s="111" t="str" cm="1">
        <f t="array" aca="1" ref="J140" ca="1">Common_InputFunctions.Utility_DisplayArrayInTable(Fertiliser_SourceData.Fertiliser_Products_Data3(),FertiliserProducts[[#Headers],[Include or Exclude]], 40)</f>
        <v/>
      </c>
      <c r="K140" s="111" t="str" cm="1">
        <f t="array" aca="1" ref="K140" ca="1">Common_InputFunctions.Utility_DisplayArrayInTable(Fertiliser_SourceData.Fertiliser_Products_Data3(),FertiliserProducts[[#Headers],[Include or Exclude]], 40)</f>
        <v/>
      </c>
      <c r="L140" s="111" t="str" cm="1">
        <f t="array" aca="1" ref="L140" ca="1">Common_InputFunctions.Utility_DisplayArrayInTable(Fertiliser_SourceData.Fertiliser_Products_Data3(),FertiliserProducts[[#Headers],[Include or Exclude]], 40)</f>
        <v/>
      </c>
      <c r="M140" s="111" t="str" cm="1">
        <f t="array" aca="1" ref="M140" ca="1">Common_InputFunctions.Utility_DisplayArrayInTable(Fertiliser_SourceData.Fertiliser_Products_Data3(),FertiliserProducts[[#Headers],[Include or Exclude]], 40)</f>
        <v/>
      </c>
      <c r="N140" s="111" t="str" cm="1">
        <f t="array" aca="1" ref="N140" ca="1">Common_InputFunctions.Utility_DisplayArrayInTable(Fertiliser_SourceData.Fertiliser_Products_Data3(),FertiliserProducts[[#Headers],[Include or Exclude]], 40)</f>
        <v/>
      </c>
      <c r="O140" s="111" t="str" cm="1">
        <f t="array" aca="1" ref="O140" ca="1">Common_InputFunctions.Utility_DisplayArrayInTable(Fertiliser_SourceData.Fertiliser_Products_Data3(),FertiliserProducts[[#Headers],[Include or Exclude]], 40)</f>
        <v/>
      </c>
      <c r="P140" s="111" t="str" cm="1">
        <f t="array" aca="1" ref="P140" ca="1">Common_InputFunctions.Utility_DisplayArrayInTable(Fertiliser_SourceData.Fertiliser_Products_Data3(),FertiliserProducts[[#Headers],[Include or Exclude]], 40)</f>
        <v/>
      </c>
      <c r="Q140" s="111" t="str" cm="1">
        <f t="array" aca="1" ref="Q140" ca="1">Common_InputFunctions.Utility_DisplayArrayInTable(Fertiliser_SourceData.Fertiliser_Products_Data3(),FertiliserProducts[[#Headers],[Include or Exclude]], 40)</f>
        <v/>
      </c>
      <c r="R140" s="111" t="str" cm="1">
        <f t="array" aca="1" ref="R140" ca="1">Common_InputFunctions.Utility_DisplayArrayInTable(Fertiliser_SourceData.Fertiliser_Products_Data3(),FertiliserProducts[[#Headers],[Include or Exclude]], 40)</f>
        <v/>
      </c>
      <c r="S140" s="111" t="str" cm="1">
        <f t="array" aca="1" ref="S140" ca="1">Common_InputFunctions.Utility_DisplayArrayInTable(Fertiliser_SourceData.Fertiliser_Products_Data3(),FertiliserProducts[[#Headers],[Include or Exclude]], 40)</f>
        <v/>
      </c>
      <c r="T140" s="111" t="str" cm="1">
        <f t="array" aca="1" ref="T140" ca="1">Common_InputFunctions.Utility_DisplayArrayInTable(Fertiliser_SourceData.Fertiliser_Products_Data3(),FertiliserProducts[[#Headers],[Include or Exclude]], 40)</f>
        <v/>
      </c>
      <c r="U140" s="111" t="str" cm="1">
        <f t="array" aca="1" ref="U140" ca="1">Common_InputFunctions.Utility_DisplayArrayInTable(Fertiliser_SourceData.Fertiliser_Products_Data3(),FertiliserProducts[[#Headers],[Include or Exclude]], 40)</f>
        <v/>
      </c>
      <c r="V140" s="111" t="str" cm="1">
        <f t="array" aca="1" ref="V140" ca="1">Common_InputFunctions.Utility_DisplayArrayInTable(Fertiliser_SourceData.Fertiliser_Products_Data3(),FertiliserProducts[[#Headers],[Include or Exclude]], 40)</f>
        <v/>
      </c>
      <c r="W140" s="111" t="str" cm="1">
        <f t="array" aca="1" ref="W140" ca="1">Common_InputFunctions.Utility_DisplayArrayInTable(Fertiliser_SourceData.Fertiliser_Products_Data3(),FertiliserProducts[[#Headers],[Include or Exclude]], 40)</f>
        <v/>
      </c>
      <c r="X140" s="111" t="str" cm="1">
        <f t="array" aca="1" ref="X140" ca="1">Common_InputFunctions.Utility_DisplayArrayInTable(Fertiliser_SourceData.Fertiliser_Products_Data3(),FertiliserProducts[[#Headers],[Include or Exclude]], 40)</f>
        <v/>
      </c>
      <c r="Y140" s="111" t="str" cm="1">
        <f t="array" aca="1" ref="Y140" ca="1">Common_InputFunctions.Utility_DisplayArrayInTable(Fertiliser_SourceData.Fertiliser_Products_Data3(),FertiliserProducts[[#Headers],[Include or Exclude]], 40)</f>
        <v/>
      </c>
      <c r="Z140" s="111" t="str" cm="1">
        <f t="array" aca="1" ref="Z140" ca="1">Common_InputFunctions.Utility_DisplayArrayInTable(Fertiliser_SourceData.Fertiliser_Products_Data3(),FertiliserProducts[[#Headers],[Include or Exclude]], 40)</f>
        <v/>
      </c>
      <c r="AA140" s="37" t="str" cm="1">
        <f t="array" aca="1" ref="AA140" ca="1">Common_InputFunctions.Utility_DisplayArrayInTable(Fertiliser_SourceData.Fertiliser_Products_Data3(),FertiliserProducts[[#Headers],[Include or Exclude]], 40)</f>
        <v/>
      </c>
      <c r="AB140" s="37" t="str" cm="1">
        <f t="array" aca="1" ref="AB140" ca="1">Common_InputFunctions.Utility_DisplayArrayInTable(Fertiliser_SourceData.Fertiliser_Products_Data3(),FertiliserProducts[[#Headers],[Include or Exclude]], 40)</f>
        <v/>
      </c>
      <c r="AC140" s="37" t="str" cm="1">
        <f t="array" aca="1" ref="AC140" ca="1">Common_InputFunctions.Utility_DisplayArrayInTable(Fertiliser_SourceData.Fertiliser_Products_Data3(),FertiliserProducts[[#Headers],[Include or Exclude]], 40)</f>
        <v/>
      </c>
      <c r="AD140" s="37" t="str" cm="1">
        <f t="array" aca="1" ref="AD140" ca="1">Common_InputFunctions.Utility_DisplayArrayInTable(Fertiliser_SourceData.Fertiliser_Products_Data3(),FertiliserProducts[[#Headers],[Include or Exclude]], 40)</f>
        <v/>
      </c>
      <c r="AE140" s="37" t="str" cm="1">
        <f t="array" aca="1" ref="AE140" ca="1">Common_InputFunctions.Utility_DisplayArrayInTable(Fertiliser_SourceData.Fertiliser_Products_Data3(),FertiliserProducts[[#Headers],[Include or Exclude]], 40)</f>
        <v/>
      </c>
    </row>
    <row r="141" spans="4:31" ht="20.100000000000001" customHeight="1" x14ac:dyDescent="0.25">
      <c r="D141" s="111" t="str" cm="1">
        <f t="array" aca="1" ref="D141" ca="1">Common_InputFunctions.Utility_DisplayArrayInTable(Fertiliser_SourceData.Fertiliser_Products_Data3(),FertiliserProducts[[#Headers],[Include or Exclude]], 40)</f>
        <v/>
      </c>
      <c r="E141" s="111" t="str" cm="1">
        <f t="array" aca="1" ref="E141" ca="1">Common_InputFunctions.Utility_DisplayArrayInTable(Fertiliser_SourceData.Fertiliser_Products_Data3(),FertiliserProducts[[#Headers],[Include or Exclude]], 40)</f>
        <v/>
      </c>
      <c r="F141" s="111" t="str" cm="1">
        <f t="array" aca="1" ref="F141" ca="1">Common_InputFunctions.Utility_DisplayArrayInTable(Fertiliser_SourceData.Fertiliser_Products_Data3(),FertiliserProducts[[#Headers],[Include or Exclude]], 40)</f>
        <v/>
      </c>
      <c r="G141" s="111" t="str" cm="1">
        <f t="array" aca="1" ref="G141" ca="1">Common_InputFunctions.Utility_DisplayArrayInTable(Fertiliser_SourceData.Fertiliser_Products_Data3(),FertiliserProducts[[#Headers],[Include or Exclude]], 40)</f>
        <v/>
      </c>
      <c r="H141" s="111" t="str" cm="1">
        <f t="array" aca="1" ref="H141" ca="1">Common_InputFunctions.Utility_DisplayArrayInTable(Fertiliser_SourceData.Fertiliser_Products_Data3(),FertiliserProducts[[#Headers],[Include or Exclude]], 40)</f>
        <v/>
      </c>
      <c r="I141" s="111" t="str" cm="1">
        <f t="array" aca="1" ref="I141" ca="1">Common_InputFunctions.Utility_DisplayArrayInTable(Fertiliser_SourceData.Fertiliser_Products_Data3(),FertiliserProducts[[#Headers],[Include or Exclude]], 40)</f>
        <v/>
      </c>
      <c r="J141" s="111" t="str" cm="1">
        <f t="array" aca="1" ref="J141" ca="1">Common_InputFunctions.Utility_DisplayArrayInTable(Fertiliser_SourceData.Fertiliser_Products_Data3(),FertiliserProducts[[#Headers],[Include or Exclude]], 40)</f>
        <v/>
      </c>
      <c r="K141" s="111" t="str" cm="1">
        <f t="array" aca="1" ref="K141" ca="1">Common_InputFunctions.Utility_DisplayArrayInTable(Fertiliser_SourceData.Fertiliser_Products_Data3(),FertiliserProducts[[#Headers],[Include or Exclude]], 40)</f>
        <v/>
      </c>
      <c r="L141" s="111" t="str" cm="1">
        <f t="array" aca="1" ref="L141" ca="1">Common_InputFunctions.Utility_DisplayArrayInTable(Fertiliser_SourceData.Fertiliser_Products_Data3(),FertiliserProducts[[#Headers],[Include or Exclude]], 40)</f>
        <v/>
      </c>
      <c r="M141" s="111" t="str" cm="1">
        <f t="array" aca="1" ref="M141" ca="1">Common_InputFunctions.Utility_DisplayArrayInTable(Fertiliser_SourceData.Fertiliser_Products_Data3(),FertiliserProducts[[#Headers],[Include or Exclude]], 40)</f>
        <v/>
      </c>
      <c r="N141" s="111" t="str" cm="1">
        <f t="array" aca="1" ref="N141" ca="1">Common_InputFunctions.Utility_DisplayArrayInTable(Fertiliser_SourceData.Fertiliser_Products_Data3(),FertiliserProducts[[#Headers],[Include or Exclude]], 40)</f>
        <v/>
      </c>
      <c r="O141" s="111" t="str" cm="1">
        <f t="array" aca="1" ref="O141" ca="1">Common_InputFunctions.Utility_DisplayArrayInTable(Fertiliser_SourceData.Fertiliser_Products_Data3(),FertiliserProducts[[#Headers],[Include or Exclude]], 40)</f>
        <v/>
      </c>
      <c r="P141" s="111" t="str" cm="1">
        <f t="array" aca="1" ref="P141" ca="1">Common_InputFunctions.Utility_DisplayArrayInTable(Fertiliser_SourceData.Fertiliser_Products_Data3(),FertiliserProducts[[#Headers],[Include or Exclude]], 40)</f>
        <v/>
      </c>
      <c r="Q141" s="111" t="str" cm="1">
        <f t="array" aca="1" ref="Q141" ca="1">Common_InputFunctions.Utility_DisplayArrayInTable(Fertiliser_SourceData.Fertiliser_Products_Data3(),FertiliserProducts[[#Headers],[Include or Exclude]], 40)</f>
        <v/>
      </c>
      <c r="R141" s="111" t="str" cm="1">
        <f t="array" aca="1" ref="R141" ca="1">Common_InputFunctions.Utility_DisplayArrayInTable(Fertiliser_SourceData.Fertiliser_Products_Data3(),FertiliserProducts[[#Headers],[Include or Exclude]], 40)</f>
        <v/>
      </c>
      <c r="S141" s="111" t="str" cm="1">
        <f t="array" aca="1" ref="S141" ca="1">Common_InputFunctions.Utility_DisplayArrayInTable(Fertiliser_SourceData.Fertiliser_Products_Data3(),FertiliserProducts[[#Headers],[Include or Exclude]], 40)</f>
        <v/>
      </c>
      <c r="T141" s="111" t="str" cm="1">
        <f t="array" aca="1" ref="T141" ca="1">Common_InputFunctions.Utility_DisplayArrayInTable(Fertiliser_SourceData.Fertiliser_Products_Data3(),FertiliserProducts[[#Headers],[Include or Exclude]], 40)</f>
        <v/>
      </c>
      <c r="U141" s="111" t="str" cm="1">
        <f t="array" aca="1" ref="U141" ca="1">Common_InputFunctions.Utility_DisplayArrayInTable(Fertiliser_SourceData.Fertiliser_Products_Data3(),FertiliserProducts[[#Headers],[Include or Exclude]], 40)</f>
        <v/>
      </c>
      <c r="V141" s="111" t="str" cm="1">
        <f t="array" aca="1" ref="V141" ca="1">Common_InputFunctions.Utility_DisplayArrayInTable(Fertiliser_SourceData.Fertiliser_Products_Data3(),FertiliserProducts[[#Headers],[Include or Exclude]], 40)</f>
        <v/>
      </c>
      <c r="W141" s="111" t="str" cm="1">
        <f t="array" aca="1" ref="W141" ca="1">Common_InputFunctions.Utility_DisplayArrayInTable(Fertiliser_SourceData.Fertiliser_Products_Data3(),FertiliserProducts[[#Headers],[Include or Exclude]], 40)</f>
        <v/>
      </c>
      <c r="X141" s="111" t="str" cm="1">
        <f t="array" aca="1" ref="X141" ca="1">Common_InputFunctions.Utility_DisplayArrayInTable(Fertiliser_SourceData.Fertiliser_Products_Data3(),FertiliserProducts[[#Headers],[Include or Exclude]], 40)</f>
        <v/>
      </c>
      <c r="Y141" s="111" t="str" cm="1">
        <f t="array" aca="1" ref="Y141" ca="1">Common_InputFunctions.Utility_DisplayArrayInTable(Fertiliser_SourceData.Fertiliser_Products_Data3(),FertiliserProducts[[#Headers],[Include or Exclude]], 40)</f>
        <v/>
      </c>
      <c r="Z141" s="111" t="str" cm="1">
        <f t="array" aca="1" ref="Z141" ca="1">Common_InputFunctions.Utility_DisplayArrayInTable(Fertiliser_SourceData.Fertiliser_Products_Data3(),FertiliserProducts[[#Headers],[Include or Exclude]], 40)</f>
        <v/>
      </c>
      <c r="AA141" s="37" t="str" cm="1">
        <f t="array" aca="1" ref="AA141" ca="1">Common_InputFunctions.Utility_DisplayArrayInTable(Fertiliser_SourceData.Fertiliser_Products_Data3(),FertiliserProducts[[#Headers],[Include or Exclude]], 40)</f>
        <v/>
      </c>
      <c r="AB141" s="37" t="str" cm="1">
        <f t="array" aca="1" ref="AB141" ca="1">Common_InputFunctions.Utility_DisplayArrayInTable(Fertiliser_SourceData.Fertiliser_Products_Data3(),FertiliserProducts[[#Headers],[Include or Exclude]], 40)</f>
        <v/>
      </c>
      <c r="AC141" s="37" t="str" cm="1">
        <f t="array" aca="1" ref="AC141" ca="1">Common_InputFunctions.Utility_DisplayArrayInTable(Fertiliser_SourceData.Fertiliser_Products_Data3(),FertiliserProducts[[#Headers],[Include or Exclude]], 40)</f>
        <v/>
      </c>
      <c r="AD141" s="37" t="str" cm="1">
        <f t="array" aca="1" ref="AD141" ca="1">Common_InputFunctions.Utility_DisplayArrayInTable(Fertiliser_SourceData.Fertiliser_Products_Data3(),FertiliserProducts[[#Headers],[Include or Exclude]], 40)</f>
        <v/>
      </c>
      <c r="AE141" s="37" t="str" cm="1">
        <f t="array" aca="1" ref="AE141" ca="1">Common_InputFunctions.Utility_DisplayArrayInTable(Fertiliser_SourceData.Fertiliser_Products_Data3(),FertiliserProducts[[#Headers],[Include or Exclude]], 40)</f>
        <v/>
      </c>
    </row>
    <row r="142" spans="4:31" ht="20.100000000000001" customHeight="1" x14ac:dyDescent="0.25">
      <c r="D142" s="111" t="str" cm="1">
        <f t="array" aca="1" ref="D142" ca="1">Common_InputFunctions.Utility_DisplayArrayInTable(Fertiliser_SourceData.Fertiliser_Products_Data3(),FertiliserProducts[[#Headers],[Include or Exclude]], 40)</f>
        <v/>
      </c>
      <c r="E142" s="111" t="str" cm="1">
        <f t="array" aca="1" ref="E142" ca="1">Common_InputFunctions.Utility_DisplayArrayInTable(Fertiliser_SourceData.Fertiliser_Products_Data3(),FertiliserProducts[[#Headers],[Include or Exclude]], 40)</f>
        <v/>
      </c>
      <c r="F142" s="111" t="str" cm="1">
        <f t="array" aca="1" ref="F142" ca="1">Common_InputFunctions.Utility_DisplayArrayInTable(Fertiliser_SourceData.Fertiliser_Products_Data3(),FertiliserProducts[[#Headers],[Include or Exclude]], 40)</f>
        <v/>
      </c>
      <c r="G142" s="111" t="str" cm="1">
        <f t="array" aca="1" ref="G142" ca="1">Common_InputFunctions.Utility_DisplayArrayInTable(Fertiliser_SourceData.Fertiliser_Products_Data3(),FertiliserProducts[[#Headers],[Include or Exclude]], 40)</f>
        <v/>
      </c>
      <c r="H142" s="111" t="str" cm="1">
        <f t="array" aca="1" ref="H142" ca="1">Common_InputFunctions.Utility_DisplayArrayInTable(Fertiliser_SourceData.Fertiliser_Products_Data3(),FertiliserProducts[[#Headers],[Include or Exclude]], 40)</f>
        <v/>
      </c>
      <c r="I142" s="111" t="str" cm="1">
        <f t="array" aca="1" ref="I142" ca="1">Common_InputFunctions.Utility_DisplayArrayInTable(Fertiliser_SourceData.Fertiliser_Products_Data3(),FertiliserProducts[[#Headers],[Include or Exclude]], 40)</f>
        <v/>
      </c>
      <c r="J142" s="111" t="str" cm="1">
        <f t="array" aca="1" ref="J142" ca="1">Common_InputFunctions.Utility_DisplayArrayInTable(Fertiliser_SourceData.Fertiliser_Products_Data3(),FertiliserProducts[[#Headers],[Include or Exclude]], 40)</f>
        <v/>
      </c>
      <c r="K142" s="111" t="str" cm="1">
        <f t="array" aca="1" ref="K142" ca="1">Common_InputFunctions.Utility_DisplayArrayInTable(Fertiliser_SourceData.Fertiliser_Products_Data3(),FertiliserProducts[[#Headers],[Include or Exclude]], 40)</f>
        <v/>
      </c>
      <c r="L142" s="111" t="str" cm="1">
        <f t="array" aca="1" ref="L142" ca="1">Common_InputFunctions.Utility_DisplayArrayInTable(Fertiliser_SourceData.Fertiliser_Products_Data3(),FertiliserProducts[[#Headers],[Include or Exclude]], 40)</f>
        <v/>
      </c>
      <c r="M142" s="111" t="str" cm="1">
        <f t="array" aca="1" ref="M142" ca="1">Common_InputFunctions.Utility_DisplayArrayInTable(Fertiliser_SourceData.Fertiliser_Products_Data3(),FertiliserProducts[[#Headers],[Include or Exclude]], 40)</f>
        <v/>
      </c>
      <c r="N142" s="111" t="str" cm="1">
        <f t="array" aca="1" ref="N142" ca="1">Common_InputFunctions.Utility_DisplayArrayInTable(Fertiliser_SourceData.Fertiliser_Products_Data3(),FertiliserProducts[[#Headers],[Include or Exclude]], 40)</f>
        <v/>
      </c>
      <c r="O142" s="111" t="str" cm="1">
        <f t="array" aca="1" ref="O142" ca="1">Common_InputFunctions.Utility_DisplayArrayInTable(Fertiliser_SourceData.Fertiliser_Products_Data3(),FertiliserProducts[[#Headers],[Include or Exclude]], 40)</f>
        <v/>
      </c>
      <c r="P142" s="111" t="str" cm="1">
        <f t="array" aca="1" ref="P142" ca="1">Common_InputFunctions.Utility_DisplayArrayInTable(Fertiliser_SourceData.Fertiliser_Products_Data3(),FertiliserProducts[[#Headers],[Include or Exclude]], 40)</f>
        <v/>
      </c>
      <c r="Q142" s="111" t="str" cm="1">
        <f t="array" aca="1" ref="Q142" ca="1">Common_InputFunctions.Utility_DisplayArrayInTable(Fertiliser_SourceData.Fertiliser_Products_Data3(),FertiliserProducts[[#Headers],[Include or Exclude]], 40)</f>
        <v/>
      </c>
      <c r="R142" s="111" t="str" cm="1">
        <f t="array" aca="1" ref="R142" ca="1">Common_InputFunctions.Utility_DisplayArrayInTable(Fertiliser_SourceData.Fertiliser_Products_Data3(),FertiliserProducts[[#Headers],[Include or Exclude]], 40)</f>
        <v/>
      </c>
      <c r="S142" s="111" t="str" cm="1">
        <f t="array" aca="1" ref="S142" ca="1">Common_InputFunctions.Utility_DisplayArrayInTable(Fertiliser_SourceData.Fertiliser_Products_Data3(),FertiliserProducts[[#Headers],[Include or Exclude]], 40)</f>
        <v/>
      </c>
      <c r="T142" s="111" t="str" cm="1">
        <f t="array" aca="1" ref="T142" ca="1">Common_InputFunctions.Utility_DisplayArrayInTable(Fertiliser_SourceData.Fertiliser_Products_Data3(),FertiliserProducts[[#Headers],[Include or Exclude]], 40)</f>
        <v/>
      </c>
      <c r="U142" s="111" t="str" cm="1">
        <f t="array" aca="1" ref="U142" ca="1">Common_InputFunctions.Utility_DisplayArrayInTable(Fertiliser_SourceData.Fertiliser_Products_Data3(),FertiliserProducts[[#Headers],[Include or Exclude]], 40)</f>
        <v/>
      </c>
      <c r="V142" s="111" t="str" cm="1">
        <f t="array" aca="1" ref="V142" ca="1">Common_InputFunctions.Utility_DisplayArrayInTable(Fertiliser_SourceData.Fertiliser_Products_Data3(),FertiliserProducts[[#Headers],[Include or Exclude]], 40)</f>
        <v/>
      </c>
      <c r="W142" s="111" t="str" cm="1">
        <f t="array" aca="1" ref="W142" ca="1">Common_InputFunctions.Utility_DisplayArrayInTable(Fertiliser_SourceData.Fertiliser_Products_Data3(),FertiliserProducts[[#Headers],[Include or Exclude]], 40)</f>
        <v/>
      </c>
      <c r="X142" s="111" t="str" cm="1">
        <f t="array" aca="1" ref="X142" ca="1">Common_InputFunctions.Utility_DisplayArrayInTable(Fertiliser_SourceData.Fertiliser_Products_Data3(),FertiliserProducts[[#Headers],[Include or Exclude]], 40)</f>
        <v/>
      </c>
      <c r="Y142" s="111" t="str" cm="1">
        <f t="array" aca="1" ref="Y142" ca="1">Common_InputFunctions.Utility_DisplayArrayInTable(Fertiliser_SourceData.Fertiliser_Products_Data3(),FertiliserProducts[[#Headers],[Include or Exclude]], 40)</f>
        <v/>
      </c>
      <c r="Z142" s="111" t="str" cm="1">
        <f t="array" aca="1" ref="Z142" ca="1">Common_InputFunctions.Utility_DisplayArrayInTable(Fertiliser_SourceData.Fertiliser_Products_Data3(),FertiliserProducts[[#Headers],[Include or Exclude]], 40)</f>
        <v/>
      </c>
      <c r="AA142" s="37" t="str" cm="1">
        <f t="array" aca="1" ref="AA142" ca="1">Common_InputFunctions.Utility_DisplayArrayInTable(Fertiliser_SourceData.Fertiliser_Products_Data3(),FertiliserProducts[[#Headers],[Include or Exclude]], 40)</f>
        <v/>
      </c>
      <c r="AB142" s="37" t="str" cm="1">
        <f t="array" aca="1" ref="AB142" ca="1">Common_InputFunctions.Utility_DisplayArrayInTable(Fertiliser_SourceData.Fertiliser_Products_Data3(),FertiliserProducts[[#Headers],[Include or Exclude]], 40)</f>
        <v/>
      </c>
      <c r="AC142" s="37" t="str" cm="1">
        <f t="array" aca="1" ref="AC142" ca="1">Common_InputFunctions.Utility_DisplayArrayInTable(Fertiliser_SourceData.Fertiliser_Products_Data3(),FertiliserProducts[[#Headers],[Include or Exclude]], 40)</f>
        <v/>
      </c>
      <c r="AD142" s="37" t="str" cm="1">
        <f t="array" aca="1" ref="AD142" ca="1">Common_InputFunctions.Utility_DisplayArrayInTable(Fertiliser_SourceData.Fertiliser_Products_Data3(),FertiliserProducts[[#Headers],[Include or Exclude]], 40)</f>
        <v/>
      </c>
      <c r="AE142" s="37" t="str" cm="1">
        <f t="array" aca="1" ref="AE142" ca="1">Common_InputFunctions.Utility_DisplayArrayInTable(Fertiliser_SourceData.Fertiliser_Products_Data3(),FertiliserProducts[[#Headers],[Include or Exclude]], 40)</f>
        <v/>
      </c>
    </row>
    <row r="143" spans="4:31" ht="20.100000000000001" customHeight="1" x14ac:dyDescent="0.25">
      <c r="D143" s="111" t="str" cm="1">
        <f t="array" aca="1" ref="D143" ca="1">Common_InputFunctions.Utility_DisplayArrayInTable(Fertiliser_SourceData.Fertiliser_Products_Data3(),FertiliserProducts[[#Headers],[Include or Exclude]], 40)</f>
        <v/>
      </c>
      <c r="E143" s="111" t="str" cm="1">
        <f t="array" aca="1" ref="E143" ca="1">Common_InputFunctions.Utility_DisplayArrayInTable(Fertiliser_SourceData.Fertiliser_Products_Data3(),FertiliserProducts[[#Headers],[Include or Exclude]], 40)</f>
        <v/>
      </c>
      <c r="F143" s="111" t="str" cm="1">
        <f t="array" aca="1" ref="F143" ca="1">Common_InputFunctions.Utility_DisplayArrayInTable(Fertiliser_SourceData.Fertiliser_Products_Data3(),FertiliserProducts[[#Headers],[Include or Exclude]], 40)</f>
        <v/>
      </c>
      <c r="G143" s="111" t="str" cm="1">
        <f t="array" aca="1" ref="G143" ca="1">Common_InputFunctions.Utility_DisplayArrayInTable(Fertiliser_SourceData.Fertiliser_Products_Data3(),FertiliserProducts[[#Headers],[Include or Exclude]], 40)</f>
        <v/>
      </c>
      <c r="H143" s="111" t="str" cm="1">
        <f t="array" aca="1" ref="H143" ca="1">Common_InputFunctions.Utility_DisplayArrayInTable(Fertiliser_SourceData.Fertiliser_Products_Data3(),FertiliserProducts[[#Headers],[Include or Exclude]], 40)</f>
        <v/>
      </c>
      <c r="I143" s="111" t="str" cm="1">
        <f t="array" aca="1" ref="I143" ca="1">Common_InputFunctions.Utility_DisplayArrayInTable(Fertiliser_SourceData.Fertiliser_Products_Data3(),FertiliserProducts[[#Headers],[Include or Exclude]], 40)</f>
        <v/>
      </c>
      <c r="J143" s="111" t="str" cm="1">
        <f t="array" aca="1" ref="J143" ca="1">Common_InputFunctions.Utility_DisplayArrayInTable(Fertiliser_SourceData.Fertiliser_Products_Data3(),FertiliserProducts[[#Headers],[Include or Exclude]], 40)</f>
        <v/>
      </c>
      <c r="K143" s="111" t="str" cm="1">
        <f t="array" aca="1" ref="K143" ca="1">Common_InputFunctions.Utility_DisplayArrayInTable(Fertiliser_SourceData.Fertiliser_Products_Data3(),FertiliserProducts[[#Headers],[Include or Exclude]], 40)</f>
        <v/>
      </c>
      <c r="L143" s="111" t="str" cm="1">
        <f t="array" aca="1" ref="L143" ca="1">Common_InputFunctions.Utility_DisplayArrayInTable(Fertiliser_SourceData.Fertiliser_Products_Data3(),FertiliserProducts[[#Headers],[Include or Exclude]], 40)</f>
        <v/>
      </c>
      <c r="M143" s="111" t="str" cm="1">
        <f t="array" aca="1" ref="M143" ca="1">Common_InputFunctions.Utility_DisplayArrayInTable(Fertiliser_SourceData.Fertiliser_Products_Data3(),FertiliserProducts[[#Headers],[Include or Exclude]], 40)</f>
        <v/>
      </c>
      <c r="N143" s="111" t="str" cm="1">
        <f t="array" aca="1" ref="N143" ca="1">Common_InputFunctions.Utility_DisplayArrayInTable(Fertiliser_SourceData.Fertiliser_Products_Data3(),FertiliserProducts[[#Headers],[Include or Exclude]], 40)</f>
        <v/>
      </c>
      <c r="O143" s="111" t="str" cm="1">
        <f t="array" aca="1" ref="O143" ca="1">Common_InputFunctions.Utility_DisplayArrayInTable(Fertiliser_SourceData.Fertiliser_Products_Data3(),FertiliserProducts[[#Headers],[Include or Exclude]], 40)</f>
        <v/>
      </c>
      <c r="P143" s="111" t="str" cm="1">
        <f t="array" aca="1" ref="P143" ca="1">Common_InputFunctions.Utility_DisplayArrayInTable(Fertiliser_SourceData.Fertiliser_Products_Data3(),FertiliserProducts[[#Headers],[Include or Exclude]], 40)</f>
        <v/>
      </c>
      <c r="Q143" s="111" t="str" cm="1">
        <f t="array" aca="1" ref="Q143" ca="1">Common_InputFunctions.Utility_DisplayArrayInTable(Fertiliser_SourceData.Fertiliser_Products_Data3(),FertiliserProducts[[#Headers],[Include or Exclude]], 40)</f>
        <v/>
      </c>
      <c r="R143" s="111" t="str" cm="1">
        <f t="array" aca="1" ref="R143" ca="1">Common_InputFunctions.Utility_DisplayArrayInTable(Fertiliser_SourceData.Fertiliser_Products_Data3(),FertiliserProducts[[#Headers],[Include or Exclude]], 40)</f>
        <v/>
      </c>
      <c r="S143" s="111" t="str" cm="1">
        <f t="array" aca="1" ref="S143" ca="1">Common_InputFunctions.Utility_DisplayArrayInTable(Fertiliser_SourceData.Fertiliser_Products_Data3(),FertiliserProducts[[#Headers],[Include or Exclude]], 40)</f>
        <v/>
      </c>
      <c r="T143" s="111" t="str" cm="1">
        <f t="array" aca="1" ref="T143" ca="1">Common_InputFunctions.Utility_DisplayArrayInTable(Fertiliser_SourceData.Fertiliser_Products_Data3(),FertiliserProducts[[#Headers],[Include or Exclude]], 40)</f>
        <v/>
      </c>
      <c r="U143" s="111" t="str" cm="1">
        <f t="array" aca="1" ref="U143" ca="1">Common_InputFunctions.Utility_DisplayArrayInTable(Fertiliser_SourceData.Fertiliser_Products_Data3(),FertiliserProducts[[#Headers],[Include or Exclude]], 40)</f>
        <v/>
      </c>
      <c r="V143" s="111" t="str" cm="1">
        <f t="array" aca="1" ref="V143" ca="1">Common_InputFunctions.Utility_DisplayArrayInTable(Fertiliser_SourceData.Fertiliser_Products_Data3(),FertiliserProducts[[#Headers],[Include or Exclude]], 40)</f>
        <v/>
      </c>
      <c r="W143" s="111" t="str" cm="1">
        <f t="array" aca="1" ref="W143" ca="1">Common_InputFunctions.Utility_DisplayArrayInTable(Fertiliser_SourceData.Fertiliser_Products_Data3(),FertiliserProducts[[#Headers],[Include or Exclude]], 40)</f>
        <v/>
      </c>
      <c r="X143" s="111" t="str" cm="1">
        <f t="array" aca="1" ref="X143" ca="1">Common_InputFunctions.Utility_DisplayArrayInTable(Fertiliser_SourceData.Fertiliser_Products_Data3(),FertiliserProducts[[#Headers],[Include or Exclude]], 40)</f>
        <v/>
      </c>
      <c r="Y143" s="111" t="str" cm="1">
        <f t="array" aca="1" ref="Y143" ca="1">Common_InputFunctions.Utility_DisplayArrayInTable(Fertiliser_SourceData.Fertiliser_Products_Data3(),FertiliserProducts[[#Headers],[Include or Exclude]], 40)</f>
        <v/>
      </c>
      <c r="Z143" s="111" t="str" cm="1">
        <f t="array" aca="1" ref="Z143" ca="1">Common_InputFunctions.Utility_DisplayArrayInTable(Fertiliser_SourceData.Fertiliser_Products_Data3(),FertiliserProducts[[#Headers],[Include or Exclude]], 40)</f>
        <v/>
      </c>
      <c r="AA143" s="37" t="str" cm="1">
        <f t="array" aca="1" ref="AA143" ca="1">Common_InputFunctions.Utility_DisplayArrayInTable(Fertiliser_SourceData.Fertiliser_Products_Data3(),FertiliserProducts[[#Headers],[Include or Exclude]], 40)</f>
        <v/>
      </c>
      <c r="AB143" s="37" t="str" cm="1">
        <f t="array" aca="1" ref="AB143" ca="1">Common_InputFunctions.Utility_DisplayArrayInTable(Fertiliser_SourceData.Fertiliser_Products_Data3(),FertiliserProducts[[#Headers],[Include or Exclude]], 40)</f>
        <v/>
      </c>
      <c r="AC143" s="37" t="str" cm="1">
        <f t="array" aca="1" ref="AC143" ca="1">Common_InputFunctions.Utility_DisplayArrayInTable(Fertiliser_SourceData.Fertiliser_Products_Data3(),FertiliserProducts[[#Headers],[Include or Exclude]], 40)</f>
        <v/>
      </c>
      <c r="AD143" s="37" t="str" cm="1">
        <f t="array" aca="1" ref="AD143" ca="1">Common_InputFunctions.Utility_DisplayArrayInTable(Fertiliser_SourceData.Fertiliser_Products_Data3(),FertiliserProducts[[#Headers],[Include or Exclude]], 40)</f>
        <v/>
      </c>
      <c r="AE143" s="37" t="str" cm="1">
        <f t="array" aca="1" ref="AE143" ca="1">Common_InputFunctions.Utility_DisplayArrayInTable(Fertiliser_SourceData.Fertiliser_Products_Data3(),FertiliserProducts[[#Headers],[Include or Exclude]], 40)</f>
        <v/>
      </c>
    </row>
    <row r="144" spans="4:31" ht="20.100000000000001" customHeight="1" x14ac:dyDescent="0.25">
      <c r="D144" s="111" t="str" cm="1">
        <f t="array" aca="1" ref="D144" ca="1">Common_InputFunctions.Utility_DisplayArrayInTable(Fertiliser_SourceData.Fertiliser_Products_Data3(),FertiliserProducts[[#Headers],[Include or Exclude]], 40)</f>
        <v/>
      </c>
      <c r="E144" s="111" t="str" cm="1">
        <f t="array" aca="1" ref="E144" ca="1">Common_InputFunctions.Utility_DisplayArrayInTable(Fertiliser_SourceData.Fertiliser_Products_Data3(),FertiliserProducts[[#Headers],[Include or Exclude]], 40)</f>
        <v/>
      </c>
      <c r="F144" s="111" t="str" cm="1">
        <f t="array" aca="1" ref="F144" ca="1">Common_InputFunctions.Utility_DisplayArrayInTable(Fertiliser_SourceData.Fertiliser_Products_Data3(),FertiliserProducts[[#Headers],[Include or Exclude]], 40)</f>
        <v/>
      </c>
      <c r="G144" s="111" t="str" cm="1">
        <f t="array" aca="1" ref="G144" ca="1">Common_InputFunctions.Utility_DisplayArrayInTable(Fertiliser_SourceData.Fertiliser_Products_Data3(),FertiliserProducts[[#Headers],[Include or Exclude]], 40)</f>
        <v/>
      </c>
      <c r="H144" s="111" t="str" cm="1">
        <f t="array" aca="1" ref="H144" ca="1">Common_InputFunctions.Utility_DisplayArrayInTable(Fertiliser_SourceData.Fertiliser_Products_Data3(),FertiliserProducts[[#Headers],[Include or Exclude]], 40)</f>
        <v/>
      </c>
      <c r="I144" s="111" t="str" cm="1">
        <f t="array" aca="1" ref="I144" ca="1">Common_InputFunctions.Utility_DisplayArrayInTable(Fertiliser_SourceData.Fertiliser_Products_Data3(),FertiliserProducts[[#Headers],[Include or Exclude]], 40)</f>
        <v/>
      </c>
      <c r="J144" s="111" t="str" cm="1">
        <f t="array" aca="1" ref="J144" ca="1">Common_InputFunctions.Utility_DisplayArrayInTable(Fertiliser_SourceData.Fertiliser_Products_Data3(),FertiliserProducts[[#Headers],[Include or Exclude]], 40)</f>
        <v/>
      </c>
      <c r="K144" s="111" t="str" cm="1">
        <f t="array" aca="1" ref="K144" ca="1">Common_InputFunctions.Utility_DisplayArrayInTable(Fertiliser_SourceData.Fertiliser_Products_Data3(),FertiliserProducts[[#Headers],[Include or Exclude]], 40)</f>
        <v/>
      </c>
      <c r="L144" s="111" t="str" cm="1">
        <f t="array" aca="1" ref="L144" ca="1">Common_InputFunctions.Utility_DisplayArrayInTable(Fertiliser_SourceData.Fertiliser_Products_Data3(),FertiliserProducts[[#Headers],[Include or Exclude]], 40)</f>
        <v/>
      </c>
      <c r="M144" s="111" t="str" cm="1">
        <f t="array" aca="1" ref="M144" ca="1">Common_InputFunctions.Utility_DisplayArrayInTable(Fertiliser_SourceData.Fertiliser_Products_Data3(),FertiliserProducts[[#Headers],[Include or Exclude]], 40)</f>
        <v/>
      </c>
      <c r="N144" s="111" t="str" cm="1">
        <f t="array" aca="1" ref="N144" ca="1">Common_InputFunctions.Utility_DisplayArrayInTable(Fertiliser_SourceData.Fertiliser_Products_Data3(),FertiliserProducts[[#Headers],[Include or Exclude]], 40)</f>
        <v/>
      </c>
      <c r="O144" s="111" t="str" cm="1">
        <f t="array" aca="1" ref="O144" ca="1">Common_InputFunctions.Utility_DisplayArrayInTable(Fertiliser_SourceData.Fertiliser_Products_Data3(),FertiliserProducts[[#Headers],[Include or Exclude]], 40)</f>
        <v/>
      </c>
      <c r="P144" s="111" t="str" cm="1">
        <f t="array" aca="1" ref="P144" ca="1">Common_InputFunctions.Utility_DisplayArrayInTable(Fertiliser_SourceData.Fertiliser_Products_Data3(),FertiliserProducts[[#Headers],[Include or Exclude]], 40)</f>
        <v/>
      </c>
      <c r="Q144" s="111" t="str" cm="1">
        <f t="array" aca="1" ref="Q144" ca="1">Common_InputFunctions.Utility_DisplayArrayInTable(Fertiliser_SourceData.Fertiliser_Products_Data3(),FertiliserProducts[[#Headers],[Include or Exclude]], 40)</f>
        <v/>
      </c>
      <c r="R144" s="111" t="str" cm="1">
        <f t="array" aca="1" ref="R144" ca="1">Common_InputFunctions.Utility_DisplayArrayInTable(Fertiliser_SourceData.Fertiliser_Products_Data3(),FertiliserProducts[[#Headers],[Include or Exclude]], 40)</f>
        <v/>
      </c>
      <c r="S144" s="111" t="str" cm="1">
        <f t="array" aca="1" ref="S144" ca="1">Common_InputFunctions.Utility_DisplayArrayInTable(Fertiliser_SourceData.Fertiliser_Products_Data3(),FertiliserProducts[[#Headers],[Include or Exclude]], 40)</f>
        <v/>
      </c>
      <c r="T144" s="111" t="str" cm="1">
        <f t="array" aca="1" ref="T144" ca="1">Common_InputFunctions.Utility_DisplayArrayInTable(Fertiliser_SourceData.Fertiliser_Products_Data3(),FertiliserProducts[[#Headers],[Include or Exclude]], 40)</f>
        <v/>
      </c>
      <c r="U144" s="111" t="str" cm="1">
        <f t="array" aca="1" ref="U144" ca="1">Common_InputFunctions.Utility_DisplayArrayInTable(Fertiliser_SourceData.Fertiliser_Products_Data3(),FertiliserProducts[[#Headers],[Include or Exclude]], 40)</f>
        <v/>
      </c>
      <c r="V144" s="111" t="str" cm="1">
        <f t="array" aca="1" ref="V144" ca="1">Common_InputFunctions.Utility_DisplayArrayInTable(Fertiliser_SourceData.Fertiliser_Products_Data3(),FertiliserProducts[[#Headers],[Include or Exclude]], 40)</f>
        <v/>
      </c>
      <c r="W144" s="111" t="str" cm="1">
        <f t="array" aca="1" ref="W144" ca="1">Common_InputFunctions.Utility_DisplayArrayInTable(Fertiliser_SourceData.Fertiliser_Products_Data3(),FertiliserProducts[[#Headers],[Include or Exclude]], 40)</f>
        <v/>
      </c>
      <c r="X144" s="111" t="str" cm="1">
        <f t="array" aca="1" ref="X144" ca="1">Common_InputFunctions.Utility_DisplayArrayInTable(Fertiliser_SourceData.Fertiliser_Products_Data3(),FertiliserProducts[[#Headers],[Include or Exclude]], 40)</f>
        <v/>
      </c>
      <c r="Y144" s="111" t="str" cm="1">
        <f t="array" aca="1" ref="Y144" ca="1">Common_InputFunctions.Utility_DisplayArrayInTable(Fertiliser_SourceData.Fertiliser_Products_Data3(),FertiliserProducts[[#Headers],[Include or Exclude]], 40)</f>
        <v/>
      </c>
      <c r="Z144" s="111" t="str" cm="1">
        <f t="array" aca="1" ref="Z144" ca="1">Common_InputFunctions.Utility_DisplayArrayInTable(Fertiliser_SourceData.Fertiliser_Products_Data3(),FertiliserProducts[[#Headers],[Include or Exclude]], 40)</f>
        <v/>
      </c>
      <c r="AA144" s="37" t="str" cm="1">
        <f t="array" aca="1" ref="AA144" ca="1">Common_InputFunctions.Utility_DisplayArrayInTable(Fertiliser_SourceData.Fertiliser_Products_Data3(),FertiliserProducts[[#Headers],[Include or Exclude]], 40)</f>
        <v/>
      </c>
      <c r="AB144" s="37" t="str" cm="1">
        <f t="array" aca="1" ref="AB144" ca="1">Common_InputFunctions.Utility_DisplayArrayInTable(Fertiliser_SourceData.Fertiliser_Products_Data3(),FertiliserProducts[[#Headers],[Include or Exclude]], 40)</f>
        <v/>
      </c>
      <c r="AC144" s="37" t="str" cm="1">
        <f t="array" aca="1" ref="AC144" ca="1">Common_InputFunctions.Utility_DisplayArrayInTable(Fertiliser_SourceData.Fertiliser_Products_Data3(),FertiliserProducts[[#Headers],[Include or Exclude]], 40)</f>
        <v/>
      </c>
      <c r="AD144" s="37" t="str" cm="1">
        <f t="array" aca="1" ref="AD144" ca="1">Common_InputFunctions.Utility_DisplayArrayInTable(Fertiliser_SourceData.Fertiliser_Products_Data3(),FertiliserProducts[[#Headers],[Include or Exclude]], 40)</f>
        <v/>
      </c>
      <c r="AE144" s="37" t="str" cm="1">
        <f t="array" aca="1" ref="AE144" ca="1">Common_InputFunctions.Utility_DisplayArrayInTable(Fertiliser_SourceData.Fertiliser_Products_Data3(),FertiliserProducts[[#Headers],[Include or Exclude]], 40)</f>
        <v/>
      </c>
    </row>
    <row r="145" spans="4:31" ht="20.100000000000001" customHeight="1" x14ac:dyDescent="0.25">
      <c r="D145" s="111" t="str" cm="1">
        <f t="array" aca="1" ref="D145" ca="1">Common_InputFunctions.Utility_DisplayArrayInTable(Fertiliser_SourceData.Fertiliser_Products_Data3(),FertiliserProducts[[#Headers],[Include or Exclude]], 40)</f>
        <v/>
      </c>
      <c r="E145" s="111" t="str" cm="1">
        <f t="array" aca="1" ref="E145" ca="1">Common_InputFunctions.Utility_DisplayArrayInTable(Fertiliser_SourceData.Fertiliser_Products_Data3(),FertiliserProducts[[#Headers],[Include or Exclude]], 40)</f>
        <v/>
      </c>
      <c r="F145" s="111" t="str" cm="1">
        <f t="array" aca="1" ref="F145" ca="1">Common_InputFunctions.Utility_DisplayArrayInTable(Fertiliser_SourceData.Fertiliser_Products_Data3(),FertiliserProducts[[#Headers],[Include or Exclude]], 40)</f>
        <v/>
      </c>
      <c r="G145" s="111" t="str" cm="1">
        <f t="array" aca="1" ref="G145" ca="1">Common_InputFunctions.Utility_DisplayArrayInTable(Fertiliser_SourceData.Fertiliser_Products_Data3(),FertiliserProducts[[#Headers],[Include or Exclude]], 40)</f>
        <v/>
      </c>
      <c r="H145" s="111" t="str" cm="1">
        <f t="array" aca="1" ref="H145" ca="1">Common_InputFunctions.Utility_DisplayArrayInTable(Fertiliser_SourceData.Fertiliser_Products_Data3(),FertiliserProducts[[#Headers],[Include or Exclude]], 40)</f>
        <v/>
      </c>
      <c r="I145" s="111" t="str" cm="1">
        <f t="array" aca="1" ref="I145" ca="1">Common_InputFunctions.Utility_DisplayArrayInTable(Fertiliser_SourceData.Fertiliser_Products_Data3(),FertiliserProducts[[#Headers],[Include or Exclude]], 40)</f>
        <v/>
      </c>
      <c r="J145" s="111" t="str" cm="1">
        <f t="array" aca="1" ref="J145" ca="1">Common_InputFunctions.Utility_DisplayArrayInTable(Fertiliser_SourceData.Fertiliser_Products_Data3(),FertiliserProducts[[#Headers],[Include or Exclude]], 40)</f>
        <v/>
      </c>
      <c r="K145" s="111" t="str" cm="1">
        <f t="array" aca="1" ref="K145" ca="1">Common_InputFunctions.Utility_DisplayArrayInTable(Fertiliser_SourceData.Fertiliser_Products_Data3(),FertiliserProducts[[#Headers],[Include or Exclude]], 40)</f>
        <v/>
      </c>
      <c r="L145" s="111" t="str" cm="1">
        <f t="array" aca="1" ref="L145" ca="1">Common_InputFunctions.Utility_DisplayArrayInTable(Fertiliser_SourceData.Fertiliser_Products_Data3(),FertiliserProducts[[#Headers],[Include or Exclude]], 40)</f>
        <v/>
      </c>
      <c r="M145" s="111" t="str" cm="1">
        <f t="array" aca="1" ref="M145" ca="1">Common_InputFunctions.Utility_DisplayArrayInTable(Fertiliser_SourceData.Fertiliser_Products_Data3(),FertiliserProducts[[#Headers],[Include or Exclude]], 40)</f>
        <v/>
      </c>
      <c r="N145" s="111" t="str" cm="1">
        <f t="array" aca="1" ref="N145" ca="1">Common_InputFunctions.Utility_DisplayArrayInTable(Fertiliser_SourceData.Fertiliser_Products_Data3(),FertiliserProducts[[#Headers],[Include or Exclude]], 40)</f>
        <v/>
      </c>
      <c r="O145" s="111" t="str" cm="1">
        <f t="array" aca="1" ref="O145" ca="1">Common_InputFunctions.Utility_DisplayArrayInTable(Fertiliser_SourceData.Fertiliser_Products_Data3(),FertiliserProducts[[#Headers],[Include or Exclude]], 40)</f>
        <v/>
      </c>
      <c r="P145" s="111" t="str" cm="1">
        <f t="array" aca="1" ref="P145" ca="1">Common_InputFunctions.Utility_DisplayArrayInTable(Fertiliser_SourceData.Fertiliser_Products_Data3(),FertiliserProducts[[#Headers],[Include or Exclude]], 40)</f>
        <v/>
      </c>
      <c r="Q145" s="111" t="str" cm="1">
        <f t="array" aca="1" ref="Q145" ca="1">Common_InputFunctions.Utility_DisplayArrayInTable(Fertiliser_SourceData.Fertiliser_Products_Data3(),FertiliserProducts[[#Headers],[Include or Exclude]], 40)</f>
        <v/>
      </c>
      <c r="R145" s="111" t="str" cm="1">
        <f t="array" aca="1" ref="R145" ca="1">Common_InputFunctions.Utility_DisplayArrayInTable(Fertiliser_SourceData.Fertiliser_Products_Data3(),FertiliserProducts[[#Headers],[Include or Exclude]], 40)</f>
        <v/>
      </c>
      <c r="S145" s="111" t="str" cm="1">
        <f t="array" aca="1" ref="S145" ca="1">Common_InputFunctions.Utility_DisplayArrayInTable(Fertiliser_SourceData.Fertiliser_Products_Data3(),FertiliserProducts[[#Headers],[Include or Exclude]], 40)</f>
        <v/>
      </c>
      <c r="T145" s="111" t="str" cm="1">
        <f t="array" aca="1" ref="T145" ca="1">Common_InputFunctions.Utility_DisplayArrayInTable(Fertiliser_SourceData.Fertiliser_Products_Data3(),FertiliserProducts[[#Headers],[Include or Exclude]], 40)</f>
        <v/>
      </c>
      <c r="U145" s="111" t="str" cm="1">
        <f t="array" aca="1" ref="U145" ca="1">Common_InputFunctions.Utility_DisplayArrayInTable(Fertiliser_SourceData.Fertiliser_Products_Data3(),FertiliserProducts[[#Headers],[Include or Exclude]], 40)</f>
        <v/>
      </c>
      <c r="V145" s="111" t="str" cm="1">
        <f t="array" aca="1" ref="V145" ca="1">Common_InputFunctions.Utility_DisplayArrayInTable(Fertiliser_SourceData.Fertiliser_Products_Data3(),FertiliserProducts[[#Headers],[Include or Exclude]], 40)</f>
        <v/>
      </c>
      <c r="W145" s="111" t="str" cm="1">
        <f t="array" aca="1" ref="W145" ca="1">Common_InputFunctions.Utility_DisplayArrayInTable(Fertiliser_SourceData.Fertiliser_Products_Data3(),FertiliserProducts[[#Headers],[Include or Exclude]], 40)</f>
        <v/>
      </c>
      <c r="X145" s="111" t="str" cm="1">
        <f t="array" aca="1" ref="X145" ca="1">Common_InputFunctions.Utility_DisplayArrayInTable(Fertiliser_SourceData.Fertiliser_Products_Data3(),FertiliserProducts[[#Headers],[Include or Exclude]], 40)</f>
        <v/>
      </c>
      <c r="Y145" s="111" t="str" cm="1">
        <f t="array" aca="1" ref="Y145" ca="1">Common_InputFunctions.Utility_DisplayArrayInTable(Fertiliser_SourceData.Fertiliser_Products_Data3(),FertiliserProducts[[#Headers],[Include or Exclude]], 40)</f>
        <v/>
      </c>
      <c r="Z145" s="111" t="str" cm="1">
        <f t="array" aca="1" ref="Z145" ca="1">Common_InputFunctions.Utility_DisplayArrayInTable(Fertiliser_SourceData.Fertiliser_Products_Data3(),FertiliserProducts[[#Headers],[Include or Exclude]], 40)</f>
        <v/>
      </c>
      <c r="AA145" s="37" t="str" cm="1">
        <f t="array" aca="1" ref="AA145" ca="1">Common_InputFunctions.Utility_DisplayArrayInTable(Fertiliser_SourceData.Fertiliser_Products_Data3(),FertiliserProducts[[#Headers],[Include or Exclude]], 40)</f>
        <v/>
      </c>
      <c r="AB145" s="37" t="str" cm="1">
        <f t="array" aca="1" ref="AB145" ca="1">Common_InputFunctions.Utility_DisplayArrayInTable(Fertiliser_SourceData.Fertiliser_Products_Data3(),FertiliserProducts[[#Headers],[Include or Exclude]], 40)</f>
        <v/>
      </c>
      <c r="AC145" s="37" t="str" cm="1">
        <f t="array" aca="1" ref="AC145" ca="1">Common_InputFunctions.Utility_DisplayArrayInTable(Fertiliser_SourceData.Fertiliser_Products_Data3(),FertiliserProducts[[#Headers],[Include or Exclude]], 40)</f>
        <v/>
      </c>
      <c r="AD145" s="37" t="str" cm="1">
        <f t="array" aca="1" ref="AD145" ca="1">Common_InputFunctions.Utility_DisplayArrayInTable(Fertiliser_SourceData.Fertiliser_Products_Data3(),FertiliserProducts[[#Headers],[Include or Exclude]], 40)</f>
        <v/>
      </c>
      <c r="AE145" s="37" t="str" cm="1">
        <f t="array" aca="1" ref="AE145" ca="1">Common_InputFunctions.Utility_DisplayArrayInTable(Fertiliser_SourceData.Fertiliser_Products_Data3(),FertiliserProducts[[#Headers],[Include or Exclude]], 40)</f>
        <v/>
      </c>
    </row>
    <row r="146" spans="4:31" ht="20.100000000000001" customHeight="1" x14ac:dyDescent="0.25">
      <c r="D146" s="111" t="str" cm="1">
        <f t="array" aca="1" ref="D146" ca="1">Common_InputFunctions.Utility_DisplayArrayInTable(Fertiliser_SourceData.Fertiliser_Products_Data3(),FertiliserProducts[[#Headers],[Include or Exclude]], 40)</f>
        <v/>
      </c>
      <c r="E146" s="111" t="str" cm="1">
        <f t="array" aca="1" ref="E146" ca="1">Common_InputFunctions.Utility_DisplayArrayInTable(Fertiliser_SourceData.Fertiliser_Products_Data3(),FertiliserProducts[[#Headers],[Include or Exclude]], 40)</f>
        <v/>
      </c>
      <c r="F146" s="111" t="str" cm="1">
        <f t="array" aca="1" ref="F146" ca="1">Common_InputFunctions.Utility_DisplayArrayInTable(Fertiliser_SourceData.Fertiliser_Products_Data3(),FertiliserProducts[[#Headers],[Include or Exclude]], 40)</f>
        <v/>
      </c>
      <c r="G146" s="111" t="str" cm="1">
        <f t="array" aca="1" ref="G146" ca="1">Common_InputFunctions.Utility_DisplayArrayInTable(Fertiliser_SourceData.Fertiliser_Products_Data3(),FertiliserProducts[[#Headers],[Include or Exclude]], 40)</f>
        <v/>
      </c>
      <c r="H146" s="111" t="str" cm="1">
        <f t="array" aca="1" ref="H146" ca="1">Common_InputFunctions.Utility_DisplayArrayInTable(Fertiliser_SourceData.Fertiliser_Products_Data3(),FertiliserProducts[[#Headers],[Include or Exclude]], 40)</f>
        <v/>
      </c>
      <c r="I146" s="111" t="str" cm="1">
        <f t="array" aca="1" ref="I146" ca="1">Common_InputFunctions.Utility_DisplayArrayInTable(Fertiliser_SourceData.Fertiliser_Products_Data3(),FertiliserProducts[[#Headers],[Include or Exclude]], 40)</f>
        <v/>
      </c>
      <c r="J146" s="111" t="str" cm="1">
        <f t="array" aca="1" ref="J146" ca="1">Common_InputFunctions.Utility_DisplayArrayInTable(Fertiliser_SourceData.Fertiliser_Products_Data3(),FertiliserProducts[[#Headers],[Include or Exclude]], 40)</f>
        <v/>
      </c>
      <c r="K146" s="111" t="str" cm="1">
        <f t="array" aca="1" ref="K146" ca="1">Common_InputFunctions.Utility_DisplayArrayInTable(Fertiliser_SourceData.Fertiliser_Products_Data3(),FertiliserProducts[[#Headers],[Include or Exclude]], 40)</f>
        <v/>
      </c>
      <c r="L146" s="111" t="str" cm="1">
        <f t="array" aca="1" ref="L146" ca="1">Common_InputFunctions.Utility_DisplayArrayInTable(Fertiliser_SourceData.Fertiliser_Products_Data3(),FertiliserProducts[[#Headers],[Include or Exclude]], 40)</f>
        <v/>
      </c>
      <c r="M146" s="111" t="str" cm="1">
        <f t="array" aca="1" ref="M146" ca="1">Common_InputFunctions.Utility_DisplayArrayInTable(Fertiliser_SourceData.Fertiliser_Products_Data3(),FertiliserProducts[[#Headers],[Include or Exclude]], 40)</f>
        <v/>
      </c>
      <c r="N146" s="111" t="str" cm="1">
        <f t="array" aca="1" ref="N146" ca="1">Common_InputFunctions.Utility_DisplayArrayInTable(Fertiliser_SourceData.Fertiliser_Products_Data3(),FertiliserProducts[[#Headers],[Include or Exclude]], 40)</f>
        <v/>
      </c>
      <c r="O146" s="111" t="str" cm="1">
        <f t="array" aca="1" ref="O146" ca="1">Common_InputFunctions.Utility_DisplayArrayInTable(Fertiliser_SourceData.Fertiliser_Products_Data3(),FertiliserProducts[[#Headers],[Include or Exclude]], 40)</f>
        <v/>
      </c>
      <c r="P146" s="111" t="str" cm="1">
        <f t="array" aca="1" ref="P146" ca="1">Common_InputFunctions.Utility_DisplayArrayInTable(Fertiliser_SourceData.Fertiliser_Products_Data3(),FertiliserProducts[[#Headers],[Include or Exclude]], 40)</f>
        <v/>
      </c>
      <c r="Q146" s="111" t="str" cm="1">
        <f t="array" aca="1" ref="Q146" ca="1">Common_InputFunctions.Utility_DisplayArrayInTable(Fertiliser_SourceData.Fertiliser_Products_Data3(),FertiliserProducts[[#Headers],[Include or Exclude]], 40)</f>
        <v/>
      </c>
      <c r="R146" s="111" t="str" cm="1">
        <f t="array" aca="1" ref="R146" ca="1">Common_InputFunctions.Utility_DisplayArrayInTable(Fertiliser_SourceData.Fertiliser_Products_Data3(),FertiliserProducts[[#Headers],[Include or Exclude]], 40)</f>
        <v/>
      </c>
      <c r="S146" s="111" t="str" cm="1">
        <f t="array" aca="1" ref="S146" ca="1">Common_InputFunctions.Utility_DisplayArrayInTable(Fertiliser_SourceData.Fertiliser_Products_Data3(),FertiliserProducts[[#Headers],[Include or Exclude]], 40)</f>
        <v/>
      </c>
      <c r="T146" s="111" t="str" cm="1">
        <f t="array" aca="1" ref="T146" ca="1">Common_InputFunctions.Utility_DisplayArrayInTable(Fertiliser_SourceData.Fertiliser_Products_Data3(),FertiliserProducts[[#Headers],[Include or Exclude]], 40)</f>
        <v/>
      </c>
      <c r="U146" s="111" t="str" cm="1">
        <f t="array" aca="1" ref="U146" ca="1">Common_InputFunctions.Utility_DisplayArrayInTable(Fertiliser_SourceData.Fertiliser_Products_Data3(),FertiliserProducts[[#Headers],[Include or Exclude]], 40)</f>
        <v/>
      </c>
      <c r="V146" s="111" t="str" cm="1">
        <f t="array" aca="1" ref="V146" ca="1">Common_InputFunctions.Utility_DisplayArrayInTable(Fertiliser_SourceData.Fertiliser_Products_Data3(),FertiliserProducts[[#Headers],[Include or Exclude]], 40)</f>
        <v/>
      </c>
      <c r="W146" s="111" t="str" cm="1">
        <f t="array" aca="1" ref="W146" ca="1">Common_InputFunctions.Utility_DisplayArrayInTable(Fertiliser_SourceData.Fertiliser_Products_Data3(),FertiliserProducts[[#Headers],[Include or Exclude]], 40)</f>
        <v/>
      </c>
      <c r="X146" s="111" t="str" cm="1">
        <f t="array" aca="1" ref="X146" ca="1">Common_InputFunctions.Utility_DisplayArrayInTable(Fertiliser_SourceData.Fertiliser_Products_Data3(),FertiliserProducts[[#Headers],[Include or Exclude]], 40)</f>
        <v/>
      </c>
      <c r="Y146" s="111" t="str" cm="1">
        <f t="array" aca="1" ref="Y146" ca="1">Common_InputFunctions.Utility_DisplayArrayInTable(Fertiliser_SourceData.Fertiliser_Products_Data3(),FertiliserProducts[[#Headers],[Include or Exclude]], 40)</f>
        <v/>
      </c>
      <c r="Z146" s="111" t="str" cm="1">
        <f t="array" aca="1" ref="Z146" ca="1">Common_InputFunctions.Utility_DisplayArrayInTable(Fertiliser_SourceData.Fertiliser_Products_Data3(),FertiliserProducts[[#Headers],[Include or Exclude]], 40)</f>
        <v/>
      </c>
      <c r="AA146" s="37" t="str" cm="1">
        <f t="array" aca="1" ref="AA146" ca="1">Common_InputFunctions.Utility_DisplayArrayInTable(Fertiliser_SourceData.Fertiliser_Products_Data3(),FertiliserProducts[[#Headers],[Include or Exclude]], 40)</f>
        <v/>
      </c>
      <c r="AB146" s="37" t="str" cm="1">
        <f t="array" aca="1" ref="AB146" ca="1">Common_InputFunctions.Utility_DisplayArrayInTable(Fertiliser_SourceData.Fertiliser_Products_Data3(),FertiliserProducts[[#Headers],[Include or Exclude]], 40)</f>
        <v/>
      </c>
      <c r="AC146" s="37" t="str" cm="1">
        <f t="array" aca="1" ref="AC146" ca="1">Common_InputFunctions.Utility_DisplayArrayInTable(Fertiliser_SourceData.Fertiliser_Products_Data3(),FertiliserProducts[[#Headers],[Include or Exclude]], 40)</f>
        <v/>
      </c>
      <c r="AD146" s="37" t="str" cm="1">
        <f t="array" aca="1" ref="AD146" ca="1">Common_InputFunctions.Utility_DisplayArrayInTable(Fertiliser_SourceData.Fertiliser_Products_Data3(),FertiliserProducts[[#Headers],[Include or Exclude]], 40)</f>
        <v/>
      </c>
      <c r="AE146" s="37" t="str" cm="1">
        <f t="array" aca="1" ref="AE146" ca="1">Common_InputFunctions.Utility_DisplayArrayInTable(Fertiliser_SourceData.Fertiliser_Products_Data3(),FertiliserProducts[[#Headers],[Include or Exclude]], 40)</f>
        <v/>
      </c>
    </row>
    <row r="147" spans="4:31" ht="20.100000000000001" customHeight="1" x14ac:dyDescent="0.25">
      <c r="D147" s="111" t="str" cm="1">
        <f t="array" aca="1" ref="D147" ca="1">Common_InputFunctions.Utility_DisplayArrayInTable(Fertiliser_SourceData.Fertiliser_Products_Data3(),FertiliserProducts[[#Headers],[Include or Exclude]], 40)</f>
        <v/>
      </c>
      <c r="E147" s="111" t="str" cm="1">
        <f t="array" aca="1" ref="E147" ca="1">Common_InputFunctions.Utility_DisplayArrayInTable(Fertiliser_SourceData.Fertiliser_Products_Data3(),FertiliserProducts[[#Headers],[Include or Exclude]], 40)</f>
        <v/>
      </c>
      <c r="F147" s="111" t="str" cm="1">
        <f t="array" aca="1" ref="F147" ca="1">Common_InputFunctions.Utility_DisplayArrayInTable(Fertiliser_SourceData.Fertiliser_Products_Data3(),FertiliserProducts[[#Headers],[Include or Exclude]], 40)</f>
        <v/>
      </c>
      <c r="G147" s="111" t="str" cm="1">
        <f t="array" aca="1" ref="G147" ca="1">Common_InputFunctions.Utility_DisplayArrayInTable(Fertiliser_SourceData.Fertiliser_Products_Data3(),FertiliserProducts[[#Headers],[Include or Exclude]], 40)</f>
        <v/>
      </c>
      <c r="H147" s="111" t="str" cm="1">
        <f t="array" aca="1" ref="H147" ca="1">Common_InputFunctions.Utility_DisplayArrayInTable(Fertiliser_SourceData.Fertiliser_Products_Data3(),FertiliserProducts[[#Headers],[Include or Exclude]], 40)</f>
        <v/>
      </c>
      <c r="I147" s="111" t="str" cm="1">
        <f t="array" aca="1" ref="I147" ca="1">Common_InputFunctions.Utility_DisplayArrayInTable(Fertiliser_SourceData.Fertiliser_Products_Data3(),FertiliserProducts[[#Headers],[Include or Exclude]], 40)</f>
        <v/>
      </c>
      <c r="J147" s="111" t="str" cm="1">
        <f t="array" aca="1" ref="J147" ca="1">Common_InputFunctions.Utility_DisplayArrayInTable(Fertiliser_SourceData.Fertiliser_Products_Data3(),FertiliserProducts[[#Headers],[Include or Exclude]], 40)</f>
        <v/>
      </c>
      <c r="K147" s="111" t="str" cm="1">
        <f t="array" aca="1" ref="K147" ca="1">Common_InputFunctions.Utility_DisplayArrayInTable(Fertiliser_SourceData.Fertiliser_Products_Data3(),FertiliserProducts[[#Headers],[Include or Exclude]], 40)</f>
        <v/>
      </c>
      <c r="L147" s="111" t="str" cm="1">
        <f t="array" aca="1" ref="L147" ca="1">Common_InputFunctions.Utility_DisplayArrayInTable(Fertiliser_SourceData.Fertiliser_Products_Data3(),FertiliserProducts[[#Headers],[Include or Exclude]], 40)</f>
        <v/>
      </c>
      <c r="M147" s="111" t="str" cm="1">
        <f t="array" aca="1" ref="M147" ca="1">Common_InputFunctions.Utility_DisplayArrayInTable(Fertiliser_SourceData.Fertiliser_Products_Data3(),FertiliserProducts[[#Headers],[Include or Exclude]], 40)</f>
        <v/>
      </c>
      <c r="N147" s="111" t="str" cm="1">
        <f t="array" aca="1" ref="N147" ca="1">Common_InputFunctions.Utility_DisplayArrayInTable(Fertiliser_SourceData.Fertiliser_Products_Data3(),FertiliserProducts[[#Headers],[Include or Exclude]], 40)</f>
        <v/>
      </c>
      <c r="O147" s="111" t="str" cm="1">
        <f t="array" aca="1" ref="O147" ca="1">Common_InputFunctions.Utility_DisplayArrayInTable(Fertiliser_SourceData.Fertiliser_Products_Data3(),FertiliserProducts[[#Headers],[Include or Exclude]], 40)</f>
        <v/>
      </c>
      <c r="P147" s="111" t="str" cm="1">
        <f t="array" aca="1" ref="P147" ca="1">Common_InputFunctions.Utility_DisplayArrayInTable(Fertiliser_SourceData.Fertiliser_Products_Data3(),FertiliserProducts[[#Headers],[Include or Exclude]], 40)</f>
        <v/>
      </c>
      <c r="Q147" s="111" t="str" cm="1">
        <f t="array" aca="1" ref="Q147" ca="1">Common_InputFunctions.Utility_DisplayArrayInTable(Fertiliser_SourceData.Fertiliser_Products_Data3(),FertiliserProducts[[#Headers],[Include or Exclude]], 40)</f>
        <v/>
      </c>
      <c r="R147" s="111" t="str" cm="1">
        <f t="array" aca="1" ref="R147" ca="1">Common_InputFunctions.Utility_DisplayArrayInTable(Fertiliser_SourceData.Fertiliser_Products_Data3(),FertiliserProducts[[#Headers],[Include or Exclude]], 40)</f>
        <v/>
      </c>
      <c r="S147" s="111" t="str" cm="1">
        <f t="array" aca="1" ref="S147" ca="1">Common_InputFunctions.Utility_DisplayArrayInTable(Fertiliser_SourceData.Fertiliser_Products_Data3(),FertiliserProducts[[#Headers],[Include or Exclude]], 40)</f>
        <v/>
      </c>
      <c r="T147" s="111" t="str" cm="1">
        <f t="array" aca="1" ref="T147" ca="1">Common_InputFunctions.Utility_DisplayArrayInTable(Fertiliser_SourceData.Fertiliser_Products_Data3(),FertiliserProducts[[#Headers],[Include or Exclude]], 40)</f>
        <v/>
      </c>
      <c r="U147" s="111" t="str" cm="1">
        <f t="array" aca="1" ref="U147" ca="1">Common_InputFunctions.Utility_DisplayArrayInTable(Fertiliser_SourceData.Fertiliser_Products_Data3(),FertiliserProducts[[#Headers],[Include or Exclude]], 40)</f>
        <v/>
      </c>
      <c r="V147" s="111" t="str" cm="1">
        <f t="array" aca="1" ref="V147" ca="1">Common_InputFunctions.Utility_DisplayArrayInTable(Fertiliser_SourceData.Fertiliser_Products_Data3(),FertiliserProducts[[#Headers],[Include or Exclude]], 40)</f>
        <v/>
      </c>
      <c r="W147" s="111" t="str" cm="1">
        <f t="array" aca="1" ref="W147" ca="1">Common_InputFunctions.Utility_DisplayArrayInTable(Fertiliser_SourceData.Fertiliser_Products_Data3(),FertiliserProducts[[#Headers],[Include or Exclude]], 40)</f>
        <v/>
      </c>
      <c r="X147" s="111" t="str" cm="1">
        <f t="array" aca="1" ref="X147" ca="1">Common_InputFunctions.Utility_DisplayArrayInTable(Fertiliser_SourceData.Fertiliser_Products_Data3(),FertiliserProducts[[#Headers],[Include or Exclude]], 40)</f>
        <v/>
      </c>
      <c r="Y147" s="111" t="str" cm="1">
        <f t="array" aca="1" ref="Y147" ca="1">Common_InputFunctions.Utility_DisplayArrayInTable(Fertiliser_SourceData.Fertiliser_Products_Data3(),FertiliserProducts[[#Headers],[Include or Exclude]], 40)</f>
        <v/>
      </c>
      <c r="Z147" s="111" t="str" cm="1">
        <f t="array" aca="1" ref="Z147" ca="1">Common_InputFunctions.Utility_DisplayArrayInTable(Fertiliser_SourceData.Fertiliser_Products_Data3(),FertiliserProducts[[#Headers],[Include or Exclude]], 40)</f>
        <v/>
      </c>
      <c r="AA147" s="37" t="str" cm="1">
        <f t="array" aca="1" ref="AA147" ca="1">Common_InputFunctions.Utility_DisplayArrayInTable(Fertiliser_SourceData.Fertiliser_Products_Data3(),FertiliserProducts[[#Headers],[Include or Exclude]], 40)</f>
        <v/>
      </c>
      <c r="AB147" s="37" t="str" cm="1">
        <f t="array" aca="1" ref="AB147" ca="1">Common_InputFunctions.Utility_DisplayArrayInTable(Fertiliser_SourceData.Fertiliser_Products_Data3(),FertiliserProducts[[#Headers],[Include or Exclude]], 40)</f>
        <v/>
      </c>
      <c r="AC147" s="37" t="str" cm="1">
        <f t="array" aca="1" ref="AC147" ca="1">Common_InputFunctions.Utility_DisplayArrayInTable(Fertiliser_SourceData.Fertiliser_Products_Data3(),FertiliserProducts[[#Headers],[Include or Exclude]], 40)</f>
        <v/>
      </c>
      <c r="AD147" s="37" t="str" cm="1">
        <f t="array" aca="1" ref="AD147" ca="1">Common_InputFunctions.Utility_DisplayArrayInTable(Fertiliser_SourceData.Fertiliser_Products_Data3(),FertiliserProducts[[#Headers],[Include or Exclude]], 40)</f>
        <v/>
      </c>
      <c r="AE147" s="37" t="str" cm="1">
        <f t="array" aca="1" ref="AE147" ca="1">Common_InputFunctions.Utility_DisplayArrayInTable(Fertiliser_SourceData.Fertiliser_Products_Data3(),FertiliserProducts[[#Headers],[Include or Exclude]], 40)</f>
        <v/>
      </c>
    </row>
    <row r="148" spans="4:31" ht="20.100000000000001" customHeight="1" x14ac:dyDescent="0.25">
      <c r="D148" s="111" t="str" cm="1">
        <f t="array" aca="1" ref="D148" ca="1">Common_InputFunctions.Utility_DisplayArrayInTable(Fertiliser_SourceData.Fertiliser_Products_Data3(),FertiliserProducts[[#Headers],[Include or Exclude]], 40)</f>
        <v/>
      </c>
      <c r="E148" s="111" t="str" cm="1">
        <f t="array" aca="1" ref="E148" ca="1">Common_InputFunctions.Utility_DisplayArrayInTable(Fertiliser_SourceData.Fertiliser_Products_Data3(),FertiliserProducts[[#Headers],[Include or Exclude]], 40)</f>
        <v/>
      </c>
      <c r="F148" s="111" t="str" cm="1">
        <f t="array" aca="1" ref="F148" ca="1">Common_InputFunctions.Utility_DisplayArrayInTable(Fertiliser_SourceData.Fertiliser_Products_Data3(),FertiliserProducts[[#Headers],[Include or Exclude]], 40)</f>
        <v/>
      </c>
      <c r="G148" s="111" t="str" cm="1">
        <f t="array" aca="1" ref="G148" ca="1">Common_InputFunctions.Utility_DisplayArrayInTable(Fertiliser_SourceData.Fertiliser_Products_Data3(),FertiliserProducts[[#Headers],[Include or Exclude]], 40)</f>
        <v/>
      </c>
      <c r="H148" s="111" t="str" cm="1">
        <f t="array" aca="1" ref="H148" ca="1">Common_InputFunctions.Utility_DisplayArrayInTable(Fertiliser_SourceData.Fertiliser_Products_Data3(),FertiliserProducts[[#Headers],[Include or Exclude]], 40)</f>
        <v/>
      </c>
      <c r="I148" s="111" t="str" cm="1">
        <f t="array" aca="1" ref="I148" ca="1">Common_InputFunctions.Utility_DisplayArrayInTable(Fertiliser_SourceData.Fertiliser_Products_Data3(),FertiliserProducts[[#Headers],[Include or Exclude]], 40)</f>
        <v/>
      </c>
      <c r="J148" s="111" t="str" cm="1">
        <f t="array" aca="1" ref="J148" ca="1">Common_InputFunctions.Utility_DisplayArrayInTable(Fertiliser_SourceData.Fertiliser_Products_Data3(),FertiliserProducts[[#Headers],[Include or Exclude]], 40)</f>
        <v/>
      </c>
      <c r="K148" s="111" t="str" cm="1">
        <f t="array" aca="1" ref="K148" ca="1">Common_InputFunctions.Utility_DisplayArrayInTable(Fertiliser_SourceData.Fertiliser_Products_Data3(),FertiliserProducts[[#Headers],[Include or Exclude]], 40)</f>
        <v/>
      </c>
      <c r="L148" s="111" t="str" cm="1">
        <f t="array" aca="1" ref="L148" ca="1">Common_InputFunctions.Utility_DisplayArrayInTable(Fertiliser_SourceData.Fertiliser_Products_Data3(),FertiliserProducts[[#Headers],[Include or Exclude]], 40)</f>
        <v/>
      </c>
      <c r="M148" s="111" t="str" cm="1">
        <f t="array" aca="1" ref="M148" ca="1">Common_InputFunctions.Utility_DisplayArrayInTable(Fertiliser_SourceData.Fertiliser_Products_Data3(),FertiliserProducts[[#Headers],[Include or Exclude]], 40)</f>
        <v/>
      </c>
      <c r="N148" s="111" t="str" cm="1">
        <f t="array" aca="1" ref="N148" ca="1">Common_InputFunctions.Utility_DisplayArrayInTable(Fertiliser_SourceData.Fertiliser_Products_Data3(),FertiliserProducts[[#Headers],[Include or Exclude]], 40)</f>
        <v/>
      </c>
      <c r="O148" s="111" t="str" cm="1">
        <f t="array" aca="1" ref="O148" ca="1">Common_InputFunctions.Utility_DisplayArrayInTable(Fertiliser_SourceData.Fertiliser_Products_Data3(),FertiliserProducts[[#Headers],[Include or Exclude]], 40)</f>
        <v/>
      </c>
      <c r="P148" s="111" t="str" cm="1">
        <f t="array" aca="1" ref="P148" ca="1">Common_InputFunctions.Utility_DisplayArrayInTable(Fertiliser_SourceData.Fertiliser_Products_Data3(),FertiliserProducts[[#Headers],[Include or Exclude]], 40)</f>
        <v/>
      </c>
      <c r="Q148" s="111" t="str" cm="1">
        <f t="array" aca="1" ref="Q148" ca="1">Common_InputFunctions.Utility_DisplayArrayInTable(Fertiliser_SourceData.Fertiliser_Products_Data3(),FertiliserProducts[[#Headers],[Include or Exclude]], 40)</f>
        <v/>
      </c>
      <c r="R148" s="111" t="str" cm="1">
        <f t="array" aca="1" ref="R148" ca="1">Common_InputFunctions.Utility_DisplayArrayInTable(Fertiliser_SourceData.Fertiliser_Products_Data3(),FertiliserProducts[[#Headers],[Include or Exclude]], 40)</f>
        <v/>
      </c>
      <c r="S148" s="111" t="str" cm="1">
        <f t="array" aca="1" ref="S148" ca="1">Common_InputFunctions.Utility_DisplayArrayInTable(Fertiliser_SourceData.Fertiliser_Products_Data3(),FertiliserProducts[[#Headers],[Include or Exclude]], 40)</f>
        <v/>
      </c>
      <c r="T148" s="111" t="str" cm="1">
        <f t="array" aca="1" ref="T148" ca="1">Common_InputFunctions.Utility_DisplayArrayInTable(Fertiliser_SourceData.Fertiliser_Products_Data3(),FertiliserProducts[[#Headers],[Include or Exclude]], 40)</f>
        <v/>
      </c>
      <c r="U148" s="111" t="str" cm="1">
        <f t="array" aca="1" ref="U148" ca="1">Common_InputFunctions.Utility_DisplayArrayInTable(Fertiliser_SourceData.Fertiliser_Products_Data3(),FertiliserProducts[[#Headers],[Include or Exclude]], 40)</f>
        <v/>
      </c>
      <c r="V148" s="111" t="str" cm="1">
        <f t="array" aca="1" ref="V148" ca="1">Common_InputFunctions.Utility_DisplayArrayInTable(Fertiliser_SourceData.Fertiliser_Products_Data3(),FertiliserProducts[[#Headers],[Include or Exclude]], 40)</f>
        <v/>
      </c>
      <c r="W148" s="111" t="str" cm="1">
        <f t="array" aca="1" ref="W148" ca="1">Common_InputFunctions.Utility_DisplayArrayInTable(Fertiliser_SourceData.Fertiliser_Products_Data3(),FertiliserProducts[[#Headers],[Include or Exclude]], 40)</f>
        <v/>
      </c>
      <c r="X148" s="111" t="str" cm="1">
        <f t="array" aca="1" ref="X148" ca="1">Common_InputFunctions.Utility_DisplayArrayInTable(Fertiliser_SourceData.Fertiliser_Products_Data3(),FertiliserProducts[[#Headers],[Include or Exclude]], 40)</f>
        <v/>
      </c>
      <c r="Y148" s="111" t="str" cm="1">
        <f t="array" aca="1" ref="Y148" ca="1">Common_InputFunctions.Utility_DisplayArrayInTable(Fertiliser_SourceData.Fertiliser_Products_Data3(),FertiliserProducts[[#Headers],[Include or Exclude]], 40)</f>
        <v/>
      </c>
      <c r="Z148" s="111" t="str" cm="1">
        <f t="array" aca="1" ref="Z148" ca="1">Common_InputFunctions.Utility_DisplayArrayInTable(Fertiliser_SourceData.Fertiliser_Products_Data3(),FertiliserProducts[[#Headers],[Include or Exclude]], 40)</f>
        <v/>
      </c>
      <c r="AA148" s="37" t="str" cm="1">
        <f t="array" aca="1" ref="AA148" ca="1">Common_InputFunctions.Utility_DisplayArrayInTable(Fertiliser_SourceData.Fertiliser_Products_Data3(),FertiliserProducts[[#Headers],[Include or Exclude]], 40)</f>
        <v/>
      </c>
      <c r="AB148" s="37" t="str" cm="1">
        <f t="array" aca="1" ref="AB148" ca="1">Common_InputFunctions.Utility_DisplayArrayInTable(Fertiliser_SourceData.Fertiliser_Products_Data3(),FertiliserProducts[[#Headers],[Include or Exclude]], 40)</f>
        <v/>
      </c>
      <c r="AC148" s="37" t="str" cm="1">
        <f t="array" aca="1" ref="AC148" ca="1">Common_InputFunctions.Utility_DisplayArrayInTable(Fertiliser_SourceData.Fertiliser_Products_Data3(),FertiliserProducts[[#Headers],[Include or Exclude]], 40)</f>
        <v/>
      </c>
      <c r="AD148" s="37" t="str" cm="1">
        <f t="array" aca="1" ref="AD148" ca="1">Common_InputFunctions.Utility_DisplayArrayInTable(Fertiliser_SourceData.Fertiliser_Products_Data3(),FertiliserProducts[[#Headers],[Include or Exclude]], 40)</f>
        <v/>
      </c>
      <c r="AE148" s="37" t="str" cm="1">
        <f t="array" aca="1" ref="AE148" ca="1">Common_InputFunctions.Utility_DisplayArrayInTable(Fertiliser_SourceData.Fertiliser_Products_Data3(),FertiliserProducts[[#Headers],[Include or Exclude]], 40)</f>
        <v/>
      </c>
    </row>
    <row r="149" spans="4:31" ht="20.100000000000001" customHeight="1" x14ac:dyDescent="0.25">
      <c r="D149" s="111" t="str" cm="1">
        <f t="array" aca="1" ref="D149" ca="1">Common_InputFunctions.Utility_DisplayArrayInTable(Fertiliser_SourceData.Fertiliser_Products_Data4(),FertiliserProducts[[#Headers],[Include or Exclude]], 60)</f>
        <v/>
      </c>
      <c r="E149" s="111" t="str" cm="1">
        <f t="array" aca="1" ref="E149" ca="1">Common_InputFunctions.Utility_DisplayArrayInTable(Fertiliser_SourceData.Fertiliser_Products_Data4(),FertiliserProducts[[#Headers],[Include or Exclude]], 60)</f>
        <v/>
      </c>
      <c r="F149" s="111" t="str" cm="1">
        <f t="array" aca="1" ref="F149" ca="1">Common_InputFunctions.Utility_DisplayArrayInTable(Fertiliser_SourceData.Fertiliser_Products_Data4(),FertiliserProducts[[#Headers],[Include or Exclude]], 60)</f>
        <v/>
      </c>
      <c r="G149" s="111" t="str" cm="1">
        <f t="array" aca="1" ref="G149" ca="1">Common_InputFunctions.Utility_DisplayArrayInTable(Fertiliser_SourceData.Fertiliser_Products_Data4(),FertiliserProducts[[#Headers],[Include or Exclude]], 60)</f>
        <v/>
      </c>
      <c r="H149" s="111" t="str" cm="1">
        <f t="array" aca="1" ref="H149" ca="1">Common_InputFunctions.Utility_DisplayArrayInTable(Fertiliser_SourceData.Fertiliser_Products_Data4(),FertiliserProducts[[#Headers],[Include or Exclude]], 60)</f>
        <v/>
      </c>
      <c r="I149" s="111" t="str" cm="1">
        <f t="array" aca="1" ref="I149" ca="1">Common_InputFunctions.Utility_DisplayArrayInTable(Fertiliser_SourceData.Fertiliser_Products_Data4(),FertiliserProducts[[#Headers],[Include or Exclude]], 60)</f>
        <v/>
      </c>
      <c r="J149" s="111" t="str" cm="1">
        <f t="array" aca="1" ref="J149" ca="1">Common_InputFunctions.Utility_DisplayArrayInTable(Fertiliser_SourceData.Fertiliser_Products_Data4(),FertiliserProducts[[#Headers],[Include or Exclude]], 60)</f>
        <v/>
      </c>
      <c r="K149" s="111" t="str" cm="1">
        <f t="array" aca="1" ref="K149" ca="1">Common_InputFunctions.Utility_DisplayArrayInTable(Fertiliser_SourceData.Fertiliser_Products_Data4(),FertiliserProducts[[#Headers],[Include or Exclude]], 60)</f>
        <v/>
      </c>
      <c r="L149" s="111" t="str" cm="1">
        <f t="array" aca="1" ref="L149" ca="1">Common_InputFunctions.Utility_DisplayArrayInTable(Fertiliser_SourceData.Fertiliser_Products_Data4(),FertiliserProducts[[#Headers],[Include or Exclude]], 60)</f>
        <v/>
      </c>
      <c r="M149" s="111" t="str" cm="1">
        <f t="array" aca="1" ref="M149" ca="1">Common_InputFunctions.Utility_DisplayArrayInTable(Fertiliser_SourceData.Fertiliser_Products_Data4(),FertiliserProducts[[#Headers],[Include or Exclude]], 60)</f>
        <v/>
      </c>
      <c r="N149" s="111" t="str" cm="1">
        <f t="array" aca="1" ref="N149" ca="1">Common_InputFunctions.Utility_DisplayArrayInTable(Fertiliser_SourceData.Fertiliser_Products_Data4(),FertiliserProducts[[#Headers],[Include or Exclude]], 60)</f>
        <v/>
      </c>
      <c r="O149" s="111" t="str" cm="1">
        <f t="array" aca="1" ref="O149" ca="1">Common_InputFunctions.Utility_DisplayArrayInTable(Fertiliser_SourceData.Fertiliser_Products_Data4(),FertiliserProducts[[#Headers],[Include or Exclude]], 60)</f>
        <v/>
      </c>
      <c r="P149" s="111" t="str" cm="1">
        <f t="array" aca="1" ref="P149" ca="1">Common_InputFunctions.Utility_DisplayArrayInTable(Fertiliser_SourceData.Fertiliser_Products_Data4(),FertiliserProducts[[#Headers],[Include or Exclude]], 60)</f>
        <v/>
      </c>
      <c r="Q149" s="111" t="str" cm="1">
        <f t="array" aca="1" ref="Q149" ca="1">Common_InputFunctions.Utility_DisplayArrayInTable(Fertiliser_SourceData.Fertiliser_Products_Data4(),FertiliserProducts[[#Headers],[Include or Exclude]], 60)</f>
        <v/>
      </c>
      <c r="R149" s="111" t="str" cm="1">
        <f t="array" aca="1" ref="R149" ca="1">Common_InputFunctions.Utility_DisplayArrayInTable(Fertiliser_SourceData.Fertiliser_Products_Data4(),FertiliserProducts[[#Headers],[Include or Exclude]], 60)</f>
        <v/>
      </c>
      <c r="S149" s="111" t="str" cm="1">
        <f t="array" aca="1" ref="S149" ca="1">Common_InputFunctions.Utility_DisplayArrayInTable(Fertiliser_SourceData.Fertiliser_Products_Data4(),FertiliserProducts[[#Headers],[Include or Exclude]], 60)</f>
        <v/>
      </c>
      <c r="T149" s="111" t="str" cm="1">
        <f t="array" aca="1" ref="T149" ca="1">Common_InputFunctions.Utility_DisplayArrayInTable(Fertiliser_SourceData.Fertiliser_Products_Data4(),FertiliserProducts[[#Headers],[Include or Exclude]], 60)</f>
        <v/>
      </c>
      <c r="U149" s="111" t="str" cm="1">
        <f t="array" aca="1" ref="U149" ca="1">Common_InputFunctions.Utility_DisplayArrayInTable(Fertiliser_SourceData.Fertiliser_Products_Data4(),FertiliserProducts[[#Headers],[Include or Exclude]], 60)</f>
        <v/>
      </c>
      <c r="V149" s="111" t="str" cm="1">
        <f t="array" aca="1" ref="V149" ca="1">Common_InputFunctions.Utility_DisplayArrayInTable(Fertiliser_SourceData.Fertiliser_Products_Data4(),FertiliserProducts[[#Headers],[Include or Exclude]], 60)</f>
        <v/>
      </c>
      <c r="W149" s="111" t="str" cm="1">
        <f t="array" aca="1" ref="W149" ca="1">Common_InputFunctions.Utility_DisplayArrayInTable(Fertiliser_SourceData.Fertiliser_Products_Data4(),FertiliserProducts[[#Headers],[Include or Exclude]], 60)</f>
        <v/>
      </c>
      <c r="X149" s="111" t="str" cm="1">
        <f t="array" aca="1" ref="X149" ca="1">Common_InputFunctions.Utility_DisplayArrayInTable(Fertiliser_SourceData.Fertiliser_Products_Data4(),FertiliserProducts[[#Headers],[Include or Exclude]], 60)</f>
        <v/>
      </c>
      <c r="Y149" s="111" t="str" cm="1">
        <f t="array" aca="1" ref="Y149" ca="1">Common_InputFunctions.Utility_DisplayArrayInTable(Fertiliser_SourceData.Fertiliser_Products_Data4(),FertiliserProducts[[#Headers],[Include or Exclude]], 60)</f>
        <v/>
      </c>
      <c r="Z149" s="111" t="str" cm="1">
        <f t="array" aca="1" ref="Z149" ca="1">Common_InputFunctions.Utility_DisplayArrayInTable(Fertiliser_SourceData.Fertiliser_Products_Data4(),FertiliserProducts[[#Headers],[Include or Exclude]], 60)</f>
        <v/>
      </c>
      <c r="AA149" s="37" t="str" cm="1">
        <f t="array" aca="1" ref="AA149" ca="1">Common_InputFunctions.Utility_DisplayArrayInTable(Fertiliser_SourceData.Fertiliser_Products_Data4(),FertiliserProducts[[#Headers],[Include or Exclude]], 60)</f>
        <v/>
      </c>
      <c r="AB149" s="37" t="str" cm="1">
        <f t="array" aca="1" ref="AB149" ca="1">Common_InputFunctions.Utility_DisplayArrayInTable(Fertiliser_SourceData.Fertiliser_Products_Data4(),FertiliserProducts[[#Headers],[Include or Exclude]], 60)</f>
        <v/>
      </c>
      <c r="AC149" s="37" t="str" cm="1">
        <f t="array" aca="1" ref="AC149" ca="1">Common_InputFunctions.Utility_DisplayArrayInTable(Fertiliser_SourceData.Fertiliser_Products_Data4(),FertiliserProducts[[#Headers],[Include or Exclude]], 60)</f>
        <v/>
      </c>
      <c r="AD149" s="37" t="str" cm="1">
        <f t="array" aca="1" ref="AD149" ca="1">Common_InputFunctions.Utility_DisplayArrayInTable(Fertiliser_SourceData.Fertiliser_Products_Data4(),FertiliserProducts[[#Headers],[Include or Exclude]], 60)</f>
        <v/>
      </c>
      <c r="AE149" s="37" t="str" cm="1">
        <f t="array" aca="1" ref="AE149" ca="1">Common_InputFunctions.Utility_DisplayArrayInTable(Fertiliser_SourceData.Fertiliser_Products_Data4(),FertiliserProducts[[#Headers],[Include or Exclude]], 60)</f>
        <v/>
      </c>
    </row>
    <row r="150" spans="4:31" ht="20.100000000000001" customHeight="1" x14ac:dyDescent="0.25">
      <c r="D150" s="111" t="str" cm="1">
        <f t="array" aca="1" ref="D150" ca="1">Common_InputFunctions.Utility_DisplayArrayInTable(Fertiliser_SourceData.Fertiliser_Products_Data4(),FertiliserProducts[[#Headers],[Include or Exclude]], 60)</f>
        <v/>
      </c>
      <c r="E150" s="111" t="str" cm="1">
        <f t="array" aca="1" ref="E150" ca="1">Common_InputFunctions.Utility_DisplayArrayInTable(Fertiliser_SourceData.Fertiliser_Products_Data4(),FertiliserProducts[[#Headers],[Include or Exclude]], 60)</f>
        <v/>
      </c>
      <c r="F150" s="111" t="str" cm="1">
        <f t="array" aca="1" ref="F150" ca="1">Common_InputFunctions.Utility_DisplayArrayInTable(Fertiliser_SourceData.Fertiliser_Products_Data4(),FertiliserProducts[[#Headers],[Include or Exclude]], 60)</f>
        <v/>
      </c>
      <c r="G150" s="111" t="str" cm="1">
        <f t="array" aca="1" ref="G150" ca="1">Common_InputFunctions.Utility_DisplayArrayInTable(Fertiliser_SourceData.Fertiliser_Products_Data4(),FertiliserProducts[[#Headers],[Include or Exclude]], 60)</f>
        <v/>
      </c>
      <c r="H150" s="111" t="str" cm="1">
        <f t="array" aca="1" ref="H150" ca="1">Common_InputFunctions.Utility_DisplayArrayInTable(Fertiliser_SourceData.Fertiliser_Products_Data4(),FertiliserProducts[[#Headers],[Include or Exclude]], 60)</f>
        <v/>
      </c>
      <c r="I150" s="111" t="str" cm="1">
        <f t="array" aca="1" ref="I150" ca="1">Common_InputFunctions.Utility_DisplayArrayInTable(Fertiliser_SourceData.Fertiliser_Products_Data4(),FertiliserProducts[[#Headers],[Include or Exclude]], 60)</f>
        <v/>
      </c>
      <c r="J150" s="111" t="str" cm="1">
        <f t="array" aca="1" ref="J150" ca="1">Common_InputFunctions.Utility_DisplayArrayInTable(Fertiliser_SourceData.Fertiliser_Products_Data4(),FertiliserProducts[[#Headers],[Include or Exclude]], 60)</f>
        <v/>
      </c>
      <c r="K150" s="111" t="str" cm="1">
        <f t="array" aca="1" ref="K150" ca="1">Common_InputFunctions.Utility_DisplayArrayInTable(Fertiliser_SourceData.Fertiliser_Products_Data4(),FertiliserProducts[[#Headers],[Include or Exclude]], 60)</f>
        <v/>
      </c>
      <c r="L150" s="111" t="str" cm="1">
        <f t="array" aca="1" ref="L150" ca="1">Common_InputFunctions.Utility_DisplayArrayInTable(Fertiliser_SourceData.Fertiliser_Products_Data4(),FertiliserProducts[[#Headers],[Include or Exclude]], 60)</f>
        <v/>
      </c>
      <c r="M150" s="111" t="str" cm="1">
        <f t="array" aca="1" ref="M150" ca="1">Common_InputFunctions.Utility_DisplayArrayInTable(Fertiliser_SourceData.Fertiliser_Products_Data4(),FertiliserProducts[[#Headers],[Include or Exclude]], 60)</f>
        <v/>
      </c>
      <c r="N150" s="111" t="str" cm="1">
        <f t="array" aca="1" ref="N150" ca="1">Common_InputFunctions.Utility_DisplayArrayInTable(Fertiliser_SourceData.Fertiliser_Products_Data4(),FertiliserProducts[[#Headers],[Include or Exclude]], 60)</f>
        <v/>
      </c>
      <c r="O150" s="111" t="str" cm="1">
        <f t="array" aca="1" ref="O150" ca="1">Common_InputFunctions.Utility_DisplayArrayInTable(Fertiliser_SourceData.Fertiliser_Products_Data4(),FertiliserProducts[[#Headers],[Include or Exclude]], 60)</f>
        <v/>
      </c>
      <c r="P150" s="111" t="str" cm="1">
        <f t="array" aca="1" ref="P150" ca="1">Common_InputFunctions.Utility_DisplayArrayInTable(Fertiliser_SourceData.Fertiliser_Products_Data4(),FertiliserProducts[[#Headers],[Include or Exclude]], 60)</f>
        <v/>
      </c>
      <c r="Q150" s="111" t="str" cm="1">
        <f t="array" aca="1" ref="Q150" ca="1">Common_InputFunctions.Utility_DisplayArrayInTable(Fertiliser_SourceData.Fertiliser_Products_Data4(),FertiliserProducts[[#Headers],[Include or Exclude]], 60)</f>
        <v/>
      </c>
      <c r="R150" s="111" t="str" cm="1">
        <f t="array" aca="1" ref="R150" ca="1">Common_InputFunctions.Utility_DisplayArrayInTable(Fertiliser_SourceData.Fertiliser_Products_Data4(),FertiliserProducts[[#Headers],[Include or Exclude]], 60)</f>
        <v/>
      </c>
      <c r="S150" s="111" t="str" cm="1">
        <f t="array" aca="1" ref="S150" ca="1">Common_InputFunctions.Utility_DisplayArrayInTable(Fertiliser_SourceData.Fertiliser_Products_Data4(),FertiliserProducts[[#Headers],[Include or Exclude]], 60)</f>
        <v/>
      </c>
      <c r="T150" s="111" t="str" cm="1">
        <f t="array" aca="1" ref="T150" ca="1">Common_InputFunctions.Utility_DisplayArrayInTable(Fertiliser_SourceData.Fertiliser_Products_Data4(),FertiliserProducts[[#Headers],[Include or Exclude]], 60)</f>
        <v/>
      </c>
      <c r="U150" s="111" t="str" cm="1">
        <f t="array" aca="1" ref="U150" ca="1">Common_InputFunctions.Utility_DisplayArrayInTable(Fertiliser_SourceData.Fertiliser_Products_Data4(),FertiliserProducts[[#Headers],[Include or Exclude]], 60)</f>
        <v/>
      </c>
      <c r="V150" s="111" t="str" cm="1">
        <f t="array" aca="1" ref="V150" ca="1">Common_InputFunctions.Utility_DisplayArrayInTable(Fertiliser_SourceData.Fertiliser_Products_Data4(),FertiliserProducts[[#Headers],[Include or Exclude]], 60)</f>
        <v/>
      </c>
      <c r="W150" s="111" t="str" cm="1">
        <f t="array" aca="1" ref="W150" ca="1">Common_InputFunctions.Utility_DisplayArrayInTable(Fertiliser_SourceData.Fertiliser_Products_Data4(),FertiliserProducts[[#Headers],[Include or Exclude]], 60)</f>
        <v/>
      </c>
      <c r="X150" s="111" t="str" cm="1">
        <f t="array" aca="1" ref="X150" ca="1">Common_InputFunctions.Utility_DisplayArrayInTable(Fertiliser_SourceData.Fertiliser_Products_Data4(),FertiliserProducts[[#Headers],[Include or Exclude]], 60)</f>
        <v/>
      </c>
      <c r="Y150" s="111" t="str" cm="1">
        <f t="array" aca="1" ref="Y150" ca="1">Common_InputFunctions.Utility_DisplayArrayInTable(Fertiliser_SourceData.Fertiliser_Products_Data4(),FertiliserProducts[[#Headers],[Include or Exclude]], 60)</f>
        <v/>
      </c>
      <c r="Z150" s="111" t="str" cm="1">
        <f t="array" aca="1" ref="Z150" ca="1">Common_InputFunctions.Utility_DisplayArrayInTable(Fertiliser_SourceData.Fertiliser_Products_Data4(),FertiliserProducts[[#Headers],[Include or Exclude]], 60)</f>
        <v/>
      </c>
      <c r="AA150" s="37" t="str" cm="1">
        <f t="array" aca="1" ref="AA150" ca="1">Common_InputFunctions.Utility_DisplayArrayInTable(Fertiliser_SourceData.Fertiliser_Products_Data4(),FertiliserProducts[[#Headers],[Include or Exclude]], 60)</f>
        <v/>
      </c>
      <c r="AB150" s="37" t="str" cm="1">
        <f t="array" aca="1" ref="AB150" ca="1">Common_InputFunctions.Utility_DisplayArrayInTable(Fertiliser_SourceData.Fertiliser_Products_Data4(),FertiliserProducts[[#Headers],[Include or Exclude]], 60)</f>
        <v/>
      </c>
      <c r="AC150" s="37" t="str" cm="1">
        <f t="array" aca="1" ref="AC150" ca="1">Common_InputFunctions.Utility_DisplayArrayInTable(Fertiliser_SourceData.Fertiliser_Products_Data4(),FertiliserProducts[[#Headers],[Include or Exclude]], 60)</f>
        <v/>
      </c>
      <c r="AD150" s="37" t="str" cm="1">
        <f t="array" aca="1" ref="AD150" ca="1">Common_InputFunctions.Utility_DisplayArrayInTable(Fertiliser_SourceData.Fertiliser_Products_Data4(),FertiliserProducts[[#Headers],[Include or Exclude]], 60)</f>
        <v/>
      </c>
      <c r="AE150" s="37" t="str" cm="1">
        <f t="array" aca="1" ref="AE150" ca="1">Common_InputFunctions.Utility_DisplayArrayInTable(Fertiliser_SourceData.Fertiliser_Products_Data4(),FertiliserProducts[[#Headers],[Include or Exclude]], 60)</f>
        <v/>
      </c>
    </row>
    <row r="151" spans="4:31" ht="20.100000000000001" customHeight="1" x14ac:dyDescent="0.25">
      <c r="D151" s="111" t="str" cm="1">
        <f t="array" aca="1" ref="D151" ca="1">Common_InputFunctions.Utility_DisplayArrayInTable(Fertiliser_SourceData.Fertiliser_Products_Data4(),FertiliserProducts[[#Headers],[Include or Exclude]], 60)</f>
        <v/>
      </c>
      <c r="E151" s="111" t="str" cm="1">
        <f t="array" aca="1" ref="E151" ca="1">Common_InputFunctions.Utility_DisplayArrayInTable(Fertiliser_SourceData.Fertiliser_Products_Data4(),FertiliserProducts[[#Headers],[Include or Exclude]], 60)</f>
        <v/>
      </c>
      <c r="F151" s="111" t="str" cm="1">
        <f t="array" aca="1" ref="F151" ca="1">Common_InputFunctions.Utility_DisplayArrayInTable(Fertiliser_SourceData.Fertiliser_Products_Data4(),FertiliserProducts[[#Headers],[Include or Exclude]], 60)</f>
        <v/>
      </c>
      <c r="G151" s="111" t="str" cm="1">
        <f t="array" aca="1" ref="G151" ca="1">Common_InputFunctions.Utility_DisplayArrayInTable(Fertiliser_SourceData.Fertiliser_Products_Data4(),FertiliserProducts[[#Headers],[Include or Exclude]], 60)</f>
        <v/>
      </c>
      <c r="H151" s="111" t="str" cm="1">
        <f t="array" aca="1" ref="H151" ca="1">Common_InputFunctions.Utility_DisplayArrayInTable(Fertiliser_SourceData.Fertiliser_Products_Data4(),FertiliserProducts[[#Headers],[Include or Exclude]], 60)</f>
        <v/>
      </c>
      <c r="I151" s="111" t="str" cm="1">
        <f t="array" aca="1" ref="I151" ca="1">Common_InputFunctions.Utility_DisplayArrayInTable(Fertiliser_SourceData.Fertiliser_Products_Data4(),FertiliserProducts[[#Headers],[Include or Exclude]], 60)</f>
        <v/>
      </c>
      <c r="J151" s="111" t="str" cm="1">
        <f t="array" aca="1" ref="J151" ca="1">Common_InputFunctions.Utility_DisplayArrayInTable(Fertiliser_SourceData.Fertiliser_Products_Data4(),FertiliserProducts[[#Headers],[Include or Exclude]], 60)</f>
        <v/>
      </c>
      <c r="K151" s="111" t="str" cm="1">
        <f t="array" aca="1" ref="K151" ca="1">Common_InputFunctions.Utility_DisplayArrayInTable(Fertiliser_SourceData.Fertiliser_Products_Data4(),FertiliserProducts[[#Headers],[Include or Exclude]], 60)</f>
        <v/>
      </c>
      <c r="L151" s="111" t="str" cm="1">
        <f t="array" aca="1" ref="L151" ca="1">Common_InputFunctions.Utility_DisplayArrayInTable(Fertiliser_SourceData.Fertiliser_Products_Data4(),FertiliserProducts[[#Headers],[Include or Exclude]], 60)</f>
        <v/>
      </c>
      <c r="M151" s="111" t="str" cm="1">
        <f t="array" aca="1" ref="M151" ca="1">Common_InputFunctions.Utility_DisplayArrayInTable(Fertiliser_SourceData.Fertiliser_Products_Data4(),FertiliserProducts[[#Headers],[Include or Exclude]], 60)</f>
        <v/>
      </c>
      <c r="N151" s="111" t="str" cm="1">
        <f t="array" aca="1" ref="N151" ca="1">Common_InputFunctions.Utility_DisplayArrayInTable(Fertiliser_SourceData.Fertiliser_Products_Data4(),FertiliserProducts[[#Headers],[Include or Exclude]], 60)</f>
        <v/>
      </c>
      <c r="O151" s="111" t="str" cm="1">
        <f t="array" aca="1" ref="O151" ca="1">Common_InputFunctions.Utility_DisplayArrayInTable(Fertiliser_SourceData.Fertiliser_Products_Data4(),FertiliserProducts[[#Headers],[Include or Exclude]], 60)</f>
        <v/>
      </c>
      <c r="P151" s="111" t="str" cm="1">
        <f t="array" aca="1" ref="P151" ca="1">Common_InputFunctions.Utility_DisplayArrayInTable(Fertiliser_SourceData.Fertiliser_Products_Data4(),FertiliserProducts[[#Headers],[Include or Exclude]], 60)</f>
        <v/>
      </c>
      <c r="Q151" s="111" t="str" cm="1">
        <f t="array" aca="1" ref="Q151" ca="1">Common_InputFunctions.Utility_DisplayArrayInTable(Fertiliser_SourceData.Fertiliser_Products_Data4(),FertiliserProducts[[#Headers],[Include or Exclude]], 60)</f>
        <v/>
      </c>
      <c r="R151" s="111" t="str" cm="1">
        <f t="array" aca="1" ref="R151" ca="1">Common_InputFunctions.Utility_DisplayArrayInTable(Fertiliser_SourceData.Fertiliser_Products_Data4(),FertiliserProducts[[#Headers],[Include or Exclude]], 60)</f>
        <v/>
      </c>
      <c r="S151" s="111" t="str" cm="1">
        <f t="array" aca="1" ref="S151" ca="1">Common_InputFunctions.Utility_DisplayArrayInTable(Fertiliser_SourceData.Fertiliser_Products_Data4(),FertiliserProducts[[#Headers],[Include or Exclude]], 60)</f>
        <v/>
      </c>
      <c r="T151" s="111" t="str" cm="1">
        <f t="array" aca="1" ref="T151" ca="1">Common_InputFunctions.Utility_DisplayArrayInTable(Fertiliser_SourceData.Fertiliser_Products_Data4(),FertiliserProducts[[#Headers],[Include or Exclude]], 60)</f>
        <v/>
      </c>
      <c r="U151" s="111" t="str" cm="1">
        <f t="array" aca="1" ref="U151" ca="1">Common_InputFunctions.Utility_DisplayArrayInTable(Fertiliser_SourceData.Fertiliser_Products_Data4(),FertiliserProducts[[#Headers],[Include or Exclude]], 60)</f>
        <v/>
      </c>
      <c r="V151" s="111" t="str" cm="1">
        <f t="array" aca="1" ref="V151" ca="1">Common_InputFunctions.Utility_DisplayArrayInTable(Fertiliser_SourceData.Fertiliser_Products_Data4(),FertiliserProducts[[#Headers],[Include or Exclude]], 60)</f>
        <v/>
      </c>
      <c r="W151" s="111" t="str" cm="1">
        <f t="array" aca="1" ref="W151" ca="1">Common_InputFunctions.Utility_DisplayArrayInTable(Fertiliser_SourceData.Fertiliser_Products_Data4(),FertiliserProducts[[#Headers],[Include or Exclude]], 60)</f>
        <v/>
      </c>
      <c r="X151" s="111" t="str" cm="1">
        <f t="array" aca="1" ref="X151" ca="1">Common_InputFunctions.Utility_DisplayArrayInTable(Fertiliser_SourceData.Fertiliser_Products_Data4(),FertiliserProducts[[#Headers],[Include or Exclude]], 60)</f>
        <v/>
      </c>
      <c r="Y151" s="111" t="str" cm="1">
        <f t="array" aca="1" ref="Y151" ca="1">Common_InputFunctions.Utility_DisplayArrayInTable(Fertiliser_SourceData.Fertiliser_Products_Data4(),FertiliserProducts[[#Headers],[Include or Exclude]], 60)</f>
        <v/>
      </c>
      <c r="Z151" s="111" t="str" cm="1">
        <f t="array" aca="1" ref="Z151" ca="1">Common_InputFunctions.Utility_DisplayArrayInTable(Fertiliser_SourceData.Fertiliser_Products_Data4(),FertiliserProducts[[#Headers],[Include or Exclude]], 60)</f>
        <v/>
      </c>
      <c r="AA151" s="37" t="str" cm="1">
        <f t="array" aca="1" ref="AA151" ca="1">Common_InputFunctions.Utility_DisplayArrayInTable(Fertiliser_SourceData.Fertiliser_Products_Data4(),FertiliserProducts[[#Headers],[Include or Exclude]], 60)</f>
        <v/>
      </c>
      <c r="AB151" s="37" t="str" cm="1">
        <f t="array" aca="1" ref="AB151" ca="1">Common_InputFunctions.Utility_DisplayArrayInTable(Fertiliser_SourceData.Fertiliser_Products_Data4(),FertiliserProducts[[#Headers],[Include or Exclude]], 60)</f>
        <v/>
      </c>
      <c r="AC151" s="37" t="str" cm="1">
        <f t="array" aca="1" ref="AC151" ca="1">Common_InputFunctions.Utility_DisplayArrayInTable(Fertiliser_SourceData.Fertiliser_Products_Data4(),FertiliserProducts[[#Headers],[Include or Exclude]], 60)</f>
        <v/>
      </c>
      <c r="AD151" s="37" t="str" cm="1">
        <f t="array" aca="1" ref="AD151" ca="1">Common_InputFunctions.Utility_DisplayArrayInTable(Fertiliser_SourceData.Fertiliser_Products_Data4(),FertiliserProducts[[#Headers],[Include or Exclude]], 60)</f>
        <v/>
      </c>
      <c r="AE151" s="37" t="str" cm="1">
        <f t="array" aca="1" ref="AE151" ca="1">Common_InputFunctions.Utility_DisplayArrayInTable(Fertiliser_SourceData.Fertiliser_Products_Data4(),FertiliserProducts[[#Headers],[Include or Exclude]], 60)</f>
        <v/>
      </c>
    </row>
    <row r="152" spans="4:31" ht="20.100000000000001" customHeight="1" x14ac:dyDescent="0.25">
      <c r="D152" s="111" t="str" cm="1">
        <f t="array" aca="1" ref="D152" ca="1">Common_InputFunctions.Utility_DisplayArrayInTable(Fertiliser_SourceData.Fertiliser_Products_Data4(),FertiliserProducts[[#Headers],[Include or Exclude]], 60)</f>
        <v/>
      </c>
      <c r="E152" s="111" t="str" cm="1">
        <f t="array" aca="1" ref="E152" ca="1">Common_InputFunctions.Utility_DisplayArrayInTable(Fertiliser_SourceData.Fertiliser_Products_Data4(),FertiliserProducts[[#Headers],[Include or Exclude]], 60)</f>
        <v/>
      </c>
      <c r="F152" s="111" t="str" cm="1">
        <f t="array" aca="1" ref="F152" ca="1">Common_InputFunctions.Utility_DisplayArrayInTable(Fertiliser_SourceData.Fertiliser_Products_Data4(),FertiliserProducts[[#Headers],[Include or Exclude]], 60)</f>
        <v/>
      </c>
      <c r="G152" s="111" t="str" cm="1">
        <f t="array" aca="1" ref="G152" ca="1">Common_InputFunctions.Utility_DisplayArrayInTable(Fertiliser_SourceData.Fertiliser_Products_Data4(),FertiliserProducts[[#Headers],[Include or Exclude]], 60)</f>
        <v/>
      </c>
      <c r="H152" s="111" t="str" cm="1">
        <f t="array" aca="1" ref="H152" ca="1">Common_InputFunctions.Utility_DisplayArrayInTable(Fertiliser_SourceData.Fertiliser_Products_Data4(),FertiliserProducts[[#Headers],[Include or Exclude]], 60)</f>
        <v/>
      </c>
      <c r="I152" s="111" t="str" cm="1">
        <f t="array" aca="1" ref="I152" ca="1">Common_InputFunctions.Utility_DisplayArrayInTable(Fertiliser_SourceData.Fertiliser_Products_Data4(),FertiliserProducts[[#Headers],[Include or Exclude]], 60)</f>
        <v/>
      </c>
      <c r="J152" s="111" t="str" cm="1">
        <f t="array" aca="1" ref="J152" ca="1">Common_InputFunctions.Utility_DisplayArrayInTable(Fertiliser_SourceData.Fertiliser_Products_Data4(),FertiliserProducts[[#Headers],[Include or Exclude]], 60)</f>
        <v/>
      </c>
      <c r="K152" s="111" t="str" cm="1">
        <f t="array" aca="1" ref="K152" ca="1">Common_InputFunctions.Utility_DisplayArrayInTable(Fertiliser_SourceData.Fertiliser_Products_Data4(),FertiliserProducts[[#Headers],[Include or Exclude]], 60)</f>
        <v/>
      </c>
      <c r="L152" s="111" t="str" cm="1">
        <f t="array" aca="1" ref="L152" ca="1">Common_InputFunctions.Utility_DisplayArrayInTable(Fertiliser_SourceData.Fertiliser_Products_Data4(),FertiliserProducts[[#Headers],[Include or Exclude]], 60)</f>
        <v/>
      </c>
      <c r="M152" s="111" t="str" cm="1">
        <f t="array" aca="1" ref="M152" ca="1">Common_InputFunctions.Utility_DisplayArrayInTable(Fertiliser_SourceData.Fertiliser_Products_Data4(),FertiliserProducts[[#Headers],[Include or Exclude]], 60)</f>
        <v/>
      </c>
      <c r="N152" s="111" t="str" cm="1">
        <f t="array" aca="1" ref="N152" ca="1">Common_InputFunctions.Utility_DisplayArrayInTable(Fertiliser_SourceData.Fertiliser_Products_Data4(),FertiliserProducts[[#Headers],[Include or Exclude]], 60)</f>
        <v/>
      </c>
      <c r="O152" s="111" t="str" cm="1">
        <f t="array" aca="1" ref="O152" ca="1">Common_InputFunctions.Utility_DisplayArrayInTable(Fertiliser_SourceData.Fertiliser_Products_Data4(),FertiliserProducts[[#Headers],[Include or Exclude]], 60)</f>
        <v/>
      </c>
      <c r="P152" s="111" t="str" cm="1">
        <f t="array" aca="1" ref="P152" ca="1">Common_InputFunctions.Utility_DisplayArrayInTable(Fertiliser_SourceData.Fertiliser_Products_Data4(),FertiliserProducts[[#Headers],[Include or Exclude]], 60)</f>
        <v/>
      </c>
      <c r="Q152" s="111" t="str" cm="1">
        <f t="array" aca="1" ref="Q152" ca="1">Common_InputFunctions.Utility_DisplayArrayInTable(Fertiliser_SourceData.Fertiliser_Products_Data4(),FertiliserProducts[[#Headers],[Include or Exclude]], 60)</f>
        <v/>
      </c>
      <c r="R152" s="111" t="str" cm="1">
        <f t="array" aca="1" ref="R152" ca="1">Common_InputFunctions.Utility_DisplayArrayInTable(Fertiliser_SourceData.Fertiliser_Products_Data4(),FertiliserProducts[[#Headers],[Include or Exclude]], 60)</f>
        <v/>
      </c>
      <c r="S152" s="111" t="str" cm="1">
        <f t="array" aca="1" ref="S152" ca="1">Common_InputFunctions.Utility_DisplayArrayInTable(Fertiliser_SourceData.Fertiliser_Products_Data4(),FertiliserProducts[[#Headers],[Include or Exclude]], 60)</f>
        <v/>
      </c>
      <c r="T152" s="111" t="str" cm="1">
        <f t="array" aca="1" ref="T152" ca="1">Common_InputFunctions.Utility_DisplayArrayInTable(Fertiliser_SourceData.Fertiliser_Products_Data4(),FertiliserProducts[[#Headers],[Include or Exclude]], 60)</f>
        <v/>
      </c>
      <c r="U152" s="111" t="str" cm="1">
        <f t="array" aca="1" ref="U152" ca="1">Common_InputFunctions.Utility_DisplayArrayInTable(Fertiliser_SourceData.Fertiliser_Products_Data4(),FertiliserProducts[[#Headers],[Include or Exclude]], 60)</f>
        <v/>
      </c>
      <c r="V152" s="111" t="str" cm="1">
        <f t="array" aca="1" ref="V152" ca="1">Common_InputFunctions.Utility_DisplayArrayInTable(Fertiliser_SourceData.Fertiliser_Products_Data4(),FertiliserProducts[[#Headers],[Include or Exclude]], 60)</f>
        <v/>
      </c>
      <c r="W152" s="111" t="str" cm="1">
        <f t="array" aca="1" ref="W152" ca="1">Common_InputFunctions.Utility_DisplayArrayInTable(Fertiliser_SourceData.Fertiliser_Products_Data4(),FertiliserProducts[[#Headers],[Include or Exclude]], 60)</f>
        <v/>
      </c>
      <c r="X152" s="111" t="str" cm="1">
        <f t="array" aca="1" ref="X152" ca="1">Common_InputFunctions.Utility_DisplayArrayInTable(Fertiliser_SourceData.Fertiliser_Products_Data4(),FertiliserProducts[[#Headers],[Include or Exclude]], 60)</f>
        <v/>
      </c>
      <c r="Y152" s="111" t="str" cm="1">
        <f t="array" aca="1" ref="Y152" ca="1">Common_InputFunctions.Utility_DisplayArrayInTable(Fertiliser_SourceData.Fertiliser_Products_Data4(),FertiliserProducts[[#Headers],[Include or Exclude]], 60)</f>
        <v/>
      </c>
      <c r="Z152" s="111" t="str" cm="1">
        <f t="array" aca="1" ref="Z152" ca="1">Common_InputFunctions.Utility_DisplayArrayInTable(Fertiliser_SourceData.Fertiliser_Products_Data4(),FertiliserProducts[[#Headers],[Include or Exclude]], 60)</f>
        <v/>
      </c>
      <c r="AA152" s="37" t="str" cm="1">
        <f t="array" aca="1" ref="AA152" ca="1">Common_InputFunctions.Utility_DisplayArrayInTable(Fertiliser_SourceData.Fertiliser_Products_Data4(),FertiliserProducts[[#Headers],[Include or Exclude]], 60)</f>
        <v/>
      </c>
      <c r="AB152" s="37" t="str" cm="1">
        <f t="array" aca="1" ref="AB152" ca="1">Common_InputFunctions.Utility_DisplayArrayInTable(Fertiliser_SourceData.Fertiliser_Products_Data4(),FertiliserProducts[[#Headers],[Include or Exclude]], 60)</f>
        <v/>
      </c>
      <c r="AC152" s="37" t="str" cm="1">
        <f t="array" aca="1" ref="AC152" ca="1">Common_InputFunctions.Utility_DisplayArrayInTable(Fertiliser_SourceData.Fertiliser_Products_Data4(),FertiliserProducts[[#Headers],[Include or Exclude]], 60)</f>
        <v/>
      </c>
      <c r="AD152" s="37" t="str" cm="1">
        <f t="array" aca="1" ref="AD152" ca="1">Common_InputFunctions.Utility_DisplayArrayInTable(Fertiliser_SourceData.Fertiliser_Products_Data4(),FertiliserProducts[[#Headers],[Include or Exclude]], 60)</f>
        <v/>
      </c>
      <c r="AE152" s="37" t="str" cm="1">
        <f t="array" aca="1" ref="AE152" ca="1">Common_InputFunctions.Utility_DisplayArrayInTable(Fertiliser_SourceData.Fertiliser_Products_Data4(),FertiliserProducts[[#Headers],[Include or Exclude]], 60)</f>
        <v/>
      </c>
    </row>
    <row r="153" spans="4:31" ht="20.100000000000001" customHeight="1" x14ac:dyDescent="0.25">
      <c r="D153" s="111" t="str" cm="1">
        <f t="array" aca="1" ref="D153" ca="1">Common_InputFunctions.Utility_DisplayArrayInTable(Fertiliser_SourceData.Fertiliser_Products_Data4(),FertiliserProducts[[#Headers],[Include or Exclude]], 60)</f>
        <v/>
      </c>
      <c r="E153" s="111" t="str" cm="1">
        <f t="array" aca="1" ref="E153" ca="1">Common_InputFunctions.Utility_DisplayArrayInTable(Fertiliser_SourceData.Fertiliser_Products_Data4(),FertiliserProducts[[#Headers],[Include or Exclude]], 60)</f>
        <v/>
      </c>
      <c r="F153" s="111" t="str" cm="1">
        <f t="array" aca="1" ref="F153" ca="1">Common_InputFunctions.Utility_DisplayArrayInTable(Fertiliser_SourceData.Fertiliser_Products_Data4(),FertiliserProducts[[#Headers],[Include or Exclude]], 60)</f>
        <v/>
      </c>
      <c r="G153" s="111" t="str" cm="1">
        <f t="array" aca="1" ref="G153" ca="1">Common_InputFunctions.Utility_DisplayArrayInTable(Fertiliser_SourceData.Fertiliser_Products_Data4(),FertiliserProducts[[#Headers],[Include or Exclude]], 60)</f>
        <v/>
      </c>
      <c r="H153" s="111" t="str" cm="1">
        <f t="array" aca="1" ref="H153" ca="1">Common_InputFunctions.Utility_DisplayArrayInTable(Fertiliser_SourceData.Fertiliser_Products_Data4(),FertiliserProducts[[#Headers],[Include or Exclude]], 60)</f>
        <v/>
      </c>
      <c r="I153" s="111" t="str" cm="1">
        <f t="array" aca="1" ref="I153" ca="1">Common_InputFunctions.Utility_DisplayArrayInTable(Fertiliser_SourceData.Fertiliser_Products_Data4(),FertiliserProducts[[#Headers],[Include or Exclude]], 60)</f>
        <v/>
      </c>
      <c r="J153" s="111" t="str" cm="1">
        <f t="array" aca="1" ref="J153" ca="1">Common_InputFunctions.Utility_DisplayArrayInTable(Fertiliser_SourceData.Fertiliser_Products_Data4(),FertiliserProducts[[#Headers],[Include or Exclude]], 60)</f>
        <v/>
      </c>
      <c r="K153" s="111" t="str" cm="1">
        <f t="array" aca="1" ref="K153" ca="1">Common_InputFunctions.Utility_DisplayArrayInTable(Fertiliser_SourceData.Fertiliser_Products_Data4(),FertiliserProducts[[#Headers],[Include or Exclude]], 60)</f>
        <v/>
      </c>
      <c r="L153" s="111" t="str" cm="1">
        <f t="array" aca="1" ref="L153" ca="1">Common_InputFunctions.Utility_DisplayArrayInTable(Fertiliser_SourceData.Fertiliser_Products_Data4(),FertiliserProducts[[#Headers],[Include or Exclude]], 60)</f>
        <v/>
      </c>
      <c r="M153" s="111" t="str" cm="1">
        <f t="array" aca="1" ref="M153" ca="1">Common_InputFunctions.Utility_DisplayArrayInTable(Fertiliser_SourceData.Fertiliser_Products_Data4(),FertiliserProducts[[#Headers],[Include or Exclude]], 60)</f>
        <v/>
      </c>
      <c r="N153" s="111" t="str" cm="1">
        <f t="array" aca="1" ref="N153" ca="1">Common_InputFunctions.Utility_DisplayArrayInTable(Fertiliser_SourceData.Fertiliser_Products_Data4(),FertiliserProducts[[#Headers],[Include or Exclude]], 60)</f>
        <v/>
      </c>
      <c r="O153" s="111" t="str" cm="1">
        <f t="array" aca="1" ref="O153" ca="1">Common_InputFunctions.Utility_DisplayArrayInTable(Fertiliser_SourceData.Fertiliser_Products_Data4(),FertiliserProducts[[#Headers],[Include or Exclude]], 60)</f>
        <v/>
      </c>
      <c r="P153" s="111" t="str" cm="1">
        <f t="array" aca="1" ref="P153" ca="1">Common_InputFunctions.Utility_DisplayArrayInTable(Fertiliser_SourceData.Fertiliser_Products_Data4(),FertiliserProducts[[#Headers],[Include or Exclude]], 60)</f>
        <v/>
      </c>
      <c r="Q153" s="111" t="str" cm="1">
        <f t="array" aca="1" ref="Q153" ca="1">Common_InputFunctions.Utility_DisplayArrayInTable(Fertiliser_SourceData.Fertiliser_Products_Data4(),FertiliserProducts[[#Headers],[Include or Exclude]], 60)</f>
        <v/>
      </c>
      <c r="R153" s="111" t="str" cm="1">
        <f t="array" aca="1" ref="R153" ca="1">Common_InputFunctions.Utility_DisplayArrayInTable(Fertiliser_SourceData.Fertiliser_Products_Data4(),FertiliserProducts[[#Headers],[Include or Exclude]], 60)</f>
        <v/>
      </c>
      <c r="S153" s="111" t="str" cm="1">
        <f t="array" aca="1" ref="S153" ca="1">Common_InputFunctions.Utility_DisplayArrayInTable(Fertiliser_SourceData.Fertiliser_Products_Data4(),FertiliserProducts[[#Headers],[Include or Exclude]], 60)</f>
        <v/>
      </c>
      <c r="T153" s="111" t="str" cm="1">
        <f t="array" aca="1" ref="T153" ca="1">Common_InputFunctions.Utility_DisplayArrayInTable(Fertiliser_SourceData.Fertiliser_Products_Data4(),FertiliserProducts[[#Headers],[Include or Exclude]], 60)</f>
        <v/>
      </c>
      <c r="U153" s="111" t="str" cm="1">
        <f t="array" aca="1" ref="U153" ca="1">Common_InputFunctions.Utility_DisplayArrayInTable(Fertiliser_SourceData.Fertiliser_Products_Data4(),FertiliserProducts[[#Headers],[Include or Exclude]], 60)</f>
        <v/>
      </c>
      <c r="V153" s="111" t="str" cm="1">
        <f t="array" aca="1" ref="V153" ca="1">Common_InputFunctions.Utility_DisplayArrayInTable(Fertiliser_SourceData.Fertiliser_Products_Data4(),FertiliserProducts[[#Headers],[Include or Exclude]], 60)</f>
        <v/>
      </c>
      <c r="W153" s="111" t="str" cm="1">
        <f t="array" aca="1" ref="W153" ca="1">Common_InputFunctions.Utility_DisplayArrayInTable(Fertiliser_SourceData.Fertiliser_Products_Data4(),FertiliserProducts[[#Headers],[Include or Exclude]], 60)</f>
        <v/>
      </c>
      <c r="X153" s="111" t="str" cm="1">
        <f t="array" aca="1" ref="X153" ca="1">Common_InputFunctions.Utility_DisplayArrayInTable(Fertiliser_SourceData.Fertiliser_Products_Data4(),FertiliserProducts[[#Headers],[Include or Exclude]], 60)</f>
        <v/>
      </c>
      <c r="Y153" s="111" t="str" cm="1">
        <f t="array" aca="1" ref="Y153" ca="1">Common_InputFunctions.Utility_DisplayArrayInTable(Fertiliser_SourceData.Fertiliser_Products_Data4(),FertiliserProducts[[#Headers],[Include or Exclude]], 60)</f>
        <v/>
      </c>
      <c r="Z153" s="111" t="str" cm="1">
        <f t="array" aca="1" ref="Z153" ca="1">Common_InputFunctions.Utility_DisplayArrayInTable(Fertiliser_SourceData.Fertiliser_Products_Data4(),FertiliserProducts[[#Headers],[Include or Exclude]], 60)</f>
        <v/>
      </c>
      <c r="AA153" s="37" t="str" cm="1">
        <f t="array" aca="1" ref="AA153" ca="1">Common_InputFunctions.Utility_DisplayArrayInTable(Fertiliser_SourceData.Fertiliser_Products_Data4(),FertiliserProducts[[#Headers],[Include or Exclude]], 60)</f>
        <v/>
      </c>
      <c r="AB153" s="37" t="str" cm="1">
        <f t="array" aca="1" ref="AB153" ca="1">Common_InputFunctions.Utility_DisplayArrayInTable(Fertiliser_SourceData.Fertiliser_Products_Data4(),FertiliserProducts[[#Headers],[Include or Exclude]], 60)</f>
        <v/>
      </c>
      <c r="AC153" s="37" t="str" cm="1">
        <f t="array" aca="1" ref="AC153" ca="1">Common_InputFunctions.Utility_DisplayArrayInTable(Fertiliser_SourceData.Fertiliser_Products_Data4(),FertiliserProducts[[#Headers],[Include or Exclude]], 60)</f>
        <v/>
      </c>
      <c r="AD153" s="37" t="str" cm="1">
        <f t="array" aca="1" ref="AD153" ca="1">Common_InputFunctions.Utility_DisplayArrayInTable(Fertiliser_SourceData.Fertiliser_Products_Data4(),FertiliserProducts[[#Headers],[Include or Exclude]], 60)</f>
        <v/>
      </c>
      <c r="AE153" s="37" t="str" cm="1">
        <f t="array" aca="1" ref="AE153" ca="1">Common_InputFunctions.Utility_DisplayArrayInTable(Fertiliser_SourceData.Fertiliser_Products_Data4(),FertiliserProducts[[#Headers],[Include or Exclude]], 60)</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6C07E-3BBC-40AD-9550-B73B24462357}">
  <dimension ref="A1:BY259"/>
  <sheetViews>
    <sheetView showGridLines="0" zoomScale="85" zoomScaleNormal="85" workbookViewId="0">
      <selection activeCell="E191" sqref="E191"/>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c r="D98" s="52" t="str" cm="1">
        <f t="array" ref="D98:D101">Common_SourceData.Common_SourceData_ClimateZones_Appendices()</f>
        <v>Note:</v>
      </c>
    </row>
    <row r="99" spans="4:20" ht="20.100000000000001" customHeight="1" x14ac:dyDescent="0.25">
      <c r="D99" s="52" t="str">
        <v>MAT = mean annual temperature</v>
      </c>
    </row>
    <row r="100" spans="4:20" ht="20.100000000000001" customHeight="1" x14ac:dyDescent="0.25">
      <c r="D100" s="52" t="str">
        <v>MAP = mean annual precipitation</v>
      </c>
    </row>
    <row r="101" spans="4:20" ht="20.100000000000001" customHeight="1" x14ac:dyDescent="0.25">
      <c r="D101" s="52" t="str">
        <v>PET = potential evapotranspiration</v>
      </c>
    </row>
    <row r="102" spans="4:20" ht="20.100000000000001" customHeight="1" x14ac:dyDescent="0.25">
      <c r="D102" s="52"/>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91</v>
      </c>
      <c r="E212" s="37" t="s">
        <v>99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212</v>
      </c>
      <c r="F231" s="36" t="s">
        <v>213</v>
      </c>
      <c r="G231" s="37" t="s">
        <v>105</v>
      </c>
      <c r="H231" s="37" t="s">
        <v>214</v>
      </c>
      <c r="I231" s="37" t="s">
        <v>215</v>
      </c>
      <c r="J231" s="37" t="s">
        <v>104</v>
      </c>
      <c r="K231" s="37" t="s">
        <v>103</v>
      </c>
      <c r="L231" s="37" t="s">
        <v>216</v>
      </c>
      <c r="M231" s="37" t="s">
        <v>217</v>
      </c>
      <c r="N231" s="37" t="s">
        <v>102</v>
      </c>
      <c r="O231" s="37" t="s">
        <v>218</v>
      </c>
      <c r="P231" s="37" t="s">
        <v>107</v>
      </c>
      <c r="Q231" s="37" t="s">
        <v>108</v>
      </c>
      <c r="R231" s="37" t="s">
        <v>106</v>
      </c>
      <c r="S231" s="37" t="s">
        <v>219</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253</v>
      </c>
      <c r="E257" s="37" t="s">
        <v>254</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BMgTgAgACsAIABOAE8AeAAT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EAMgAsACAAMgA4ACwAXABuACAATABBAE0AQgBEAEEAKAByACwAYwAsAFwAbgAgACAASQBOAEQARQBYACgAewBcAG4AXAAiAEkAbgBjAGwAdQBkAGUAIABvAHIAIABlAHgAYwBsAHUAZABlAFwAIgAsAFwAIgBOAG8AdABlAHMAXAAiACwAXAAiAEMAbwBtAHAAYQBuAHkAXAAiACwAXAAiAFAAcgBvAGQAdQBjAHQAIABOAGEAbQBlAFwAIgAsAFwAIgBVAG4AaQB0AFwAIgAsAFwAIgBEAGUAbgBzAGkAdAB5AFwAIgAsAFwAIgBVAHIAZQBhACAAcwBvAHUAcgBjAGUAXAAiACwAXAAiAEEAbQBtAG8AbgBpAGEAIABzAG8AdQByAGMAZQBcACIALABcACIASQBuAGcAcgBlAGQAaQBlAG4AdAAgADEAXAAiACwAXAAiAEkAbgBnAHIAZQBkAGkAZQBuAHQAIAAxACAAcABlAHIAYwBlAG4AdABcACIALABcACIASQBuAGcAcgBlAGQAaQBlAG4AdAAgADIAXAAiACwAXAAiAEkAbgBnAHIAZQBkAGkAZQBuAHQAIAAyACAAcABlAHIAYwBlAG4AdABcACIALABcACIASQBuAGcAcgBlAGQAaQBlAG4AdAAgADMAXAAiACwAXAAiAEkAbgBnAHIAZQBkAGkAZQBuAHQAIAAzACAAcABlAHIAYwBlAG4AdABcACIALABcACIASQBuAGcAcgBlAGQAaQBlAG4AdAAgADQAXAAiACwAXAAiAEkAbgBnAHIAZQBkAGkAZQBuAHQAIAA0ACAAcABlAHIAYwBlAG4AdABcACIALABcACIASQBuAGcAcgBlAGQAaQBlAG4AdAAgADUAXAAiACwAXAAiAEkAbgBnAHIAZQBkAGkAZQBuAHQAIAA1ACAAcABlAHIAYwBlAG4AdABcACIALABcACIASQBuAGcAcgBlAGQAaQBlAG4AdAAgADYAXAAiACwAXAAiAEkAbgBnAHIAZQBkAGkAZQBuAHQAIAA2ACAAcABlAHIAYwBlAG4AdABcACIALABcACIASQBuAGcAcgBlAGQAaQBlAG4AdAAgADcAXAAiACwAXAAiAEkAbgBnAHIAZQBkAGkAZQBuAHQAIAA3ACAAcABlAHIAYwBlAG4AdABcACIALABcACIASQBuAGcAcgBlAGQAaQBlAG4AdAAgADgAXAAiACwAXAAiAEkAbgBnAHIAZQBkAGkAZQBuAHQAIAA4ACAAcABlAHIAYwBlAG4AdABcACIALABcACIASQBuAGcAcgBlAGQAaQBlAG4AdAAgADkAXAAiACwAXAAiAEkAbgBnAHIAZQBkAGkAZQBuAHQAIAA5ACAAcABlAHIAYwBlAG4AdABcACIALABcACIASQBuAGcAcgBlAGQAaQBlAG4AdAAgADEAMABcACIALABcACIASQBuAGcAcgBlAGQAaQBlAG4AdAAgADEAMAAgAHAAZQByAGMAZQBuAHQAXAAiADsAXABuAFwAIgBJAG4AYwBsAHUAZABlAFwAIgAsAFwAIgBcACIALABcACIAQwBhAG0AcABiAGUAbABsAHMAIABmAGUAcgB0AGkAbABpAHMAZQByAHMAIABBAHUAcwB0AHIAYQBsAGkAYQBcACIALABcACIAQQBxAHUAYQAgAEYAaQBuAGkAcwBoAFwAIgAsAFwAIgBMAFwAIgAsADEALgAyADYALABcACIAXAAi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HAHIAbwB3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OAGkAdAByAG8AIABBAE4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TAHQAYQByAHQAXAAiACwAXAAiAEwAXAAiACwAMQAuADIANQAsAFwAIgBcACI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QwBvAG0AcABsAGUAdABl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JAG4AYwBsAHUAZABlAFwAIgAsAFwAIgBcACIALABcACIAQwBhAG0AcABiAGUAbABsAHMAIABmAGUAcgB0AGkAbABpAHMAZQByAHMAIABBAHUAcwB0AHIAYQBsAGkAYQBcACIALABcACIAQQBxAHUAYQAgAFQAaABpAG8ALQBFAG0AZQByAGcAZQ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7AFwAbgBcACIASQBuAGMAbAB1AGQAZQBcACIALABcACIAXAAiACwAXAAiAEMAYQBtAHAAYgBlAGwAbABzACAAZgBlAHIAdABpAGwAaQBzAGUAcgBzACAAQQB1AHMAdAByAGEAbABpAGEAXAAiACwAXAAiAEEAcQB1AGEAIABUAGgAaQBvAC0ARgBsAG8AdQByAGkAcwBo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SQBuAGMAbAB1AGQAZQBcACIALABcACIAXAAiACwAXAAiAEMAYQBtAHAAYgBlAGwAbABzACAAZgBlAHIAdABpAGwAaQBzAGUAcgBzACAAQQB1AHMAdAByAGEAbABpAGEAXAAiACwAXAAiAEIAcgBvAG4AegBlAFwAIgAsAFwAIgBrAGcAXAAiACwAMQAsAFwAIgBcACIALABcACIAXAAiACwAXAAiAE0AdQByAGkAYQB0AGUAIABvAGYAIABQ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Cw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BcAG4AfQAsACAAcgAsACAAYwApAFwAbgApACkAKQA7AFwAbgBcAG4ALwAqAFwAbgBGAGUAcgB0AGkAbABpAHMAZQByAF8AUAByAG8AZAB1AGMAdABzAF8ARABhAHQAYQAyAFwAbgA9AEwAQQBNAEIARABBACgAXABuACAATQBBAEsARQBBAFIAUgBBAFkAKAA2ACwAIAAyADgALABcAG4AIABMAEEATQBCAEQAQQAoAHIALABjACwAXABuACAAIABJAE4ARABFAFgAKAB7AFwAbg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YwByAGkAdABlAHIAaQBhADEAIAAqACAAYwByAGkAdABlAHIAaQBhADIAIAAqACAAQQBtAG8AdQBuAHQAQQBwAHAAbABpAGUAZA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vt:i4>
      </vt:variant>
    </vt:vector>
  </HeadingPairs>
  <TitlesOfParts>
    <vt:vector size="15"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2026-05-26T02:01:56Z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