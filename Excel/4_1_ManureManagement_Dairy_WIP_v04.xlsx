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externalLinks/externalLink1.xml" ContentType="application/vnd.openxmlformats-officedocument.spreadsheetml.externalLink+xml"/>
  <Override PartName="/xl/externalLinks/externalLink2.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richData/richValueRel.xml" ContentType="application/vnd.ms-excel.richvaluerel+xml"/>
  <Override PartName="/xl/richData/rdrichvalue.xml" ContentType="application/vnd.ms-excel.rdrichvalue+xml"/>
  <Override PartName="/xl/richData/rdrichvaluestructure.xml" ContentType="application/vnd.ms-excel.rdrichvaluestructure+xml"/>
  <Override PartName="/xl/richData/rdRichValueTypes.xml" ContentType="application/vnd.ms-excel.rdrichvaluetypes+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drawings/drawing2.xml" ContentType="application/vnd.openxmlformats-officedocument.drawing+xml"/>
  <Override PartName="/xl/drawings/drawing3.xml" ContentType="application/vnd.openxmlformats-officedocument.drawing+xml"/>
  <Override PartName="/xl/drawings/drawing4.xml" ContentType="application/vnd.openxmlformats-officedocument.drawing+xml"/>
  <Override PartName="/xl/drawings/drawing5.xml" ContentType="application/vnd.openxmlformats-officedocument.drawing+xml"/>
  <Override PartName="/xl/drawings/drawing6.xml" ContentType="application/vnd.openxmlformats-officedocument.drawing+xml"/>
  <Override PartName="/xl/drawings/drawing7.xml" ContentType="application/vnd.openxmlformats-officedocument.drawing+xml"/>
  <Override PartName="/xl/drawings/drawing8.xml" ContentType="application/vnd.openxmlformats-officedocument.drawing+xml"/>
  <Override PartName="/xl/drawings/drawing9.xml" ContentType="application/vnd.openxmlformats-officedocument.drawing+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tables/table8.xml" ContentType="application/vnd.openxmlformats-officedocument.spreadsheetml.table+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tables/table12.xml" ContentType="application/vnd.openxmlformats-officedocument.spreadsheetml.table+xml"/>
  <Override PartName="/xl/tables/table13.xml" ContentType="application/vnd.openxmlformats-officedocument.spreadsheetml.table+xml"/>
  <Override PartName="/xl/tables/table14.xml" ContentType="application/vnd.openxmlformats-officedocument.spreadsheetml.table+xml"/>
  <Override PartName="/xl/tables/table15.xml" ContentType="application/vnd.openxmlformats-officedocument.spreadsheetml.table+xml"/>
  <Override PartName="/xl/tables/table16.xml" ContentType="application/vnd.openxmlformats-officedocument.spreadsheetml.table+xml"/>
  <Override PartName="/xl/tables/table17.xml" ContentType="application/vnd.openxmlformats-officedocument.spreadsheetml.table+xml"/>
  <Override PartName="/xl/tables/table18.xml" ContentType="application/vnd.openxmlformats-officedocument.spreadsheetml.table+xml"/>
  <Override PartName="/xl/tables/table19.xml" ContentType="application/vnd.openxmlformats-officedocument.spreadsheetml.table+xml"/>
  <Override PartName="/xl/tables/table20.xml" ContentType="application/vnd.openxmlformats-officedocument.spreadsheetml.table+xml"/>
  <Override PartName="/xl/tables/table21.xml" ContentType="application/vnd.openxmlformats-officedocument.spreadsheetml.table+xml"/>
  <Override PartName="/xl/tables/table22.xml" ContentType="application/vnd.openxmlformats-officedocument.spreadsheetml.table+xml"/>
  <Override PartName="/xl/tables/table23.xml" ContentType="application/vnd.openxmlformats-officedocument.spreadsheetml.table+xml"/>
  <Override PartName="/xl/tables/table24.xml" ContentType="application/vnd.openxmlformats-officedocument.spreadsheetml.table+xml"/>
  <Override PartName="/xl/tables/table25.xml" ContentType="application/vnd.openxmlformats-officedocument.spreadsheetml.table+xml"/>
  <Override PartName="/xl/tables/table26.xml" ContentType="application/vnd.openxmlformats-officedocument.spreadsheetml.table+xml"/>
  <Override PartName="/xl/tables/table27.xml" ContentType="application/vnd.openxmlformats-officedocument.spreadsheetml.table+xml"/>
  <Override PartName="/xl/tables/table28.xml" ContentType="application/vnd.openxmlformats-officedocument.spreadsheetml.table+xml"/>
  <Override PartName="/xl/tables/table29.xml" ContentType="application/vnd.openxmlformats-officedocument.spreadsheetml.table+xml"/>
  <Override PartName="/xl/tables/table30.xml" ContentType="application/vnd.openxmlformats-officedocument.spreadsheetml.table+xml"/>
  <Override PartName="/xl/tables/table31.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customXml/itemProps4.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package/2006/relationships/metadata/core-properties" Target="docProps/core.xml"/><Relationship Id="rId2" Type="http://schemas.microsoft.com/office/2011/relationships/webextensiontaskpanes" Target="xl/webextensions/taskpanes.xml"/><Relationship Id="rId1" Type="http://schemas.openxmlformats.org/officeDocument/2006/relationships/officeDocument" Target="xl/workbook.xml"/><Relationship Id="rId5" Type="http://schemas.openxmlformats.org/officeDocument/2006/relationships/custom-properties" Target="docProps/custom.xml"/><Relationship Id="rId4"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822"/>
  <workbookPr codeName="ThisWorkbook"/>
  <mc:AlternateContent xmlns:mc="http://schemas.openxmlformats.org/markup-compatibility/2006">
    <mc:Choice Requires="x15">
      <x15ac:absPath xmlns:x15ac="http://schemas.microsoft.com/office/spreadsheetml/2010/11/ac" url="C:\htdocs\zneagcrc\GAF-VEERG-Functions\Excel\"/>
    </mc:Choice>
  </mc:AlternateContent>
  <xr:revisionPtr revIDLastSave="0" documentId="13_ncr:1_{53EBCF3B-B8BC-4A91-9592-F7C89863B900}" xr6:coauthVersionLast="47" xr6:coauthVersionMax="47" xr10:uidLastSave="{00000000-0000-0000-0000-000000000000}"/>
  <bookViews>
    <workbookView xWindow="780" yWindow="780" windowWidth="28800" windowHeight="15345" firstSheet="13" activeTab="13" xr2:uid="{992023F3-CAB7-4E5B-A348-08D563A0EF40}"/>
  </bookViews>
  <sheets>
    <sheet name="Home" sheetId="71" r:id="rId1"/>
    <sheet name="Results" sheetId="13" r:id="rId2"/>
    <sheet name="Input - Site" sheetId="15" r:id="rId3"/>
    <sheet name="Input - Dairy" sheetId="70" r:id="rId4"/>
    <sheet name="4.3.1.1-2 Methane" sheetId="69" r:id="rId5"/>
    <sheet name="4.3.1.3-4 Direct N20" sheetId="76" r:id="rId6"/>
    <sheet name="4.3.1.5 Atmos deposition" sheetId="82" r:id="rId7"/>
    <sheet name="4.3.1.6-7 Leaching and runoff" sheetId="95" r:id="rId8"/>
    <sheet name="4.3.1.8 Manure applied to soils" sheetId="81" r:id="rId9"/>
    <sheet name="4.3.1.9 Soil direct N2O" sheetId="96" r:id="rId10"/>
    <sheet name="4.3.1.10-11 Soil Atmos Dep" sheetId="97" r:id="rId11"/>
    <sheet name="4.3.1.12-13 Soil leach runoff" sheetId="98" r:id="rId12"/>
    <sheet name="Constants - Dairy" sheetId="79" r:id="rId13"/>
    <sheet name="Constants - Common" sheetId="103" r:id="rId14"/>
    <sheet name="Constants - Livestock" sheetId="43" r:id="rId15"/>
    <sheet name="Acknowledgements" sheetId="72" r:id="rId16"/>
    <sheet name="Tab template" sheetId="74" r:id="rId17"/>
  </sheets>
  <externalReferences>
    <externalReference r:id="rId18"/>
    <externalReference r:id="rId19"/>
  </externalReferences>
  <definedNames>
    <definedName name="Common_Equations.Common_ConvertCH4ToCO2e">_xlfn.LAMBDA(_xlpm.E_CH4,_xlpm.GWP_CH4, _xlpm.E_CH4 * _xlpm.GWP_CH4)</definedName>
    <definedName name="Common_Equations.Common_ConvertCH4ToCO2e_Arguments">_xlfn.LAMBDA(_xlfn.MAKEARRAY(2, 2, _xlfn.LAMBDA(_xlpm.r,_xlpm.c, INDEX({"ECH4","Methane emissions (t CH4)";"GWPCH4","Global warming potential for methane (t CO2-e / t CH4)"}, _xlpm.r, _xlpm.c))))</definedName>
    <definedName name="Common_Equations.Common_ConvertCH4ToCO2e_LatexEquation">_xlfn.LAMBDA("CO2_e = E_{CH4} \times GWP_{CH4}")</definedName>
    <definedName name="Common_Equations.Common_ConvertCH4ToCO2e_NIRReference">_xlfn.LAMBDA("")</definedName>
    <definedName name="Common_Equations.Common_ConvertCH4ToCO2e_Title">_xlfn.LAMBDA("Convert methane emissions to carbon dioxide equivalent emissions")</definedName>
    <definedName name="Common_Equations.Common_ConvertCH4ToCO2e_Unit">_xlfn.LAMBDA("t CO2e")</definedName>
    <definedName name="Common_Equations.Common_ConvertCH4ToCO2e_Variable">_xlfn.LAMBDA("ECH4 CO2e")</definedName>
    <definedName name="Common_Equations.Common_ConvertN2OToCO2e">_xlfn.LAMBDA(_xlpm.E_N2O,_xlpm.GWP_N2O, _xlpm.E_N2O * _xlpm.GWP_N2O)</definedName>
    <definedName name="Common_Equations.Common_ConvertN2OToCO2e_Arguments">_xlfn.LAMBDA(_xlfn.MAKEARRAY(2, 2, _xlfn.LAMBDA(_xlpm.r,_xlpm.c, INDEX({"EN2O","Nitrous oxide emissions (t N2O)";"GWPN2O","Global warming potential for nitrous oxide (t CO2-e / t N2O)"}, _xlpm.r, _xlpm.c))))</definedName>
    <definedName name="Common_Equations.Common_ConvertN2OToCO2e_LatexEquation">_xlfn.LAMBDA("CO2_e = E_{N2O} \times GWP_{N2O}")</definedName>
    <definedName name="Common_Equations.Common_ConvertN2OToCO2e_NIRReference">_xlfn.LAMBDA("")</definedName>
    <definedName name="Common_Equations.Common_ConvertN2OToCO2e_Title">_xlfn.LAMBDA("Convert nitrous oxide emissions to carbon dioxide equivalent emissions")</definedName>
    <definedName name="Common_Equations.Common_ConvertN2OToCO2e_Unit">_xlfn.LAMBDA("t CO2e")</definedName>
    <definedName name="Common_Equations.Common_ConvertN2OToCO2e_Variable">_xlfn.LAMBDA("EN2O CO2e")</definedName>
    <definedName name="Common_InputFunctions.CommonCropping_GetFracWET">_xlfn.LAMBDA(_xlpm.LeachingZone,_xlpm.ProductionSystem,_xlpm.LeachingZoneLookup,_xlpm.LeachingZoneFracWETLookup,_xlpm.ProductionSystemLookup,_xlpm.ProductionSystemFracWETLookup, _xlfn.LET(_xlpm.LeachingZoneFracWET, Common_InputFunctions.Utility_LookupValueInTableNumber(_xlpm.LeachingZone, _xlpm.LeachingZoneLookup, _xlpm.LeachingZoneFracWETLookup), _xlpm.ProductionSystemFracWET, Common_InputFunctions.Utility_LookupValueInTableNumber(_xlpm.ProductionSystem, _xlpm.ProductionSystemLookup, _xlpm.ProductionSystemFracWETLookup), IF(_xlpm.LeachingZoneFracWET + _xlpm.ProductionSystemFracWET &gt; 0, 1, 0)))</definedName>
    <definedName name="Common_InputFunctions.getOverlappingReportingCycles">_xlfn.LAMBDA(_xlpm.ProductionCycleStart,_xlpm.ProductionCycleEnd,_xlpm.ReportingCycleStart, _xlfn.LET(_xlpm.S, _xlpm.ProductionCycleStart, _xlpm.E, _xlpm.ProductionCycleEnd, _xlpm.m, MONTH(_xlpm.ReportingCycleStart), _xlpm.d, DAY(_xlpm.ReportingCycleStart), _xlpm.PeriodEnd, _xlfn.LAMBDA(_xlpm.st, EDATE(_xlpm.st, 12) - 1), _xlpm.A, _xlpm.S - 365, _xlpm.ya, YEAR(_xlpm.A), _xlpm.yb, YEAR(_xlpm.E), _xlpm.firstYear, _xlpm.ya + (_xlpm.PeriodEnd(DATE(_xlpm.ya, _xlpm.m, _xlpm.d)) &lt; _xlpm.S), _xlpm.lastYear, _xlpm.yb - (DATE(_xlpm.yb, _xlpm.m, _xlpm.d) &gt; _xlpm.E), MAX(0, _xlpm.lastYear - _xlpm.firstYear + 1)))</definedName>
    <definedName name="Common_InputFunctions.getOverlappingReportingPeriods">_xlfn.LAMBDA(_xlpm.ProductionCycleStart,_xlpm.ProductionCycleEnd,_xlpm.ReportingCycleStart, _xlfn.LET(_xlpm.S, _xlpm.ProductionCycleStart, _xlpm.E, _xlpm.ProductionCycleEnd, _xlpm.m, MONTH(_xlpm.ReportingCycleStart), _xlpm.d, DAY(_xlpm.ReportingCycleStart), _xlpm.PeriodEnd, _xlfn.LAMBDA(_xlpm.st, EDATE(_xlpm.st, 12) - 1), _xlpm.A, _xlpm.S - 365, _xlpm.ya, YEAR(_xlpm.A), _xlpm.yb, YEAR(_xlpm.E), _xlpm.firstYear, _xlpm.ya + (_xlpm.PeriodEnd(DATE(_xlpm.ya, _xlpm.m, _xlpm.d)) &lt; _xlpm.S), _xlpm.lastYear, _xlpm.yb - (DATE(_xlpm.yb, _xlpm.m, _xlpm.d) &gt; _xlpm.E), _xlpm.n, MAX(0, _xlpm.lastYear - _xlpm.firstYear + 1), _xlpm.yrs, _xlfn.SEQUENCE(_xlpm.n, 1, _xlpm.firstYear, 1), _xlpm.starts, DATE(_xlpm.yrs, _xlpm.m, _xlpm.d), _xlpm.ends, _xlfn.MAP(_xlpm.starts, _xlpm.PeriodEnd), _xlpm.tag, IF(_xlpm.starts = _xlpm.ReportingCycleStart, " (This reporting cycle)", ""), _xlpm.startsText, TEXT(_xlpm.starts, "dd mmm yyyy"), _xlpm.endsText, TEXT(_xlpm.ends, "dd mmm yyyy"), IF(_xlpm.n = 0, "", _xlfn.HSTACK(_xlpm.startsText &amp; " to " &amp; _xlpm.endsText &amp; _xlpm.tag))))</definedName>
    <definedName name="Common_InputFunctions.Utility_DisplayArrayInTable">_xlfn.LAMBDA(_xlpm.ArrayData,_xlpm.TableheaderCell,_xlpm.RowsBetweenHeaderandArray,_xlop.ColumnsBetweenHeaderAndArray, IFERROR(INDEX(_xlfn.UNIQUE(_xlpm.ArrayData), ROW() - Common_InputFunctions.Utility_GetArrayTableRowStartNumber(_xlpm.TableheaderCell, _xlpm.RowsBetweenHeaderandArray), COLUMN() - Common_InputFunctions.Utility_GetArrayTableColumnStartNumber(_xlpm.TableheaderCell) + IF(_xlfn.ISOMITTED(_xlpm.ColumnsBetweenHeaderAndArray), 1, _xlpm.ColumnsBetweenHeaderAndArray)), ""))</definedName>
    <definedName name="Common_InputFunctions.Utility_DisplayFunctionName">_xlfn.LAMBDA(_xlpm.Function, _xlfn.TEXTBEFORE(_xlfn.FORMULATEXT(_xlpm.Function), "("))</definedName>
    <definedName name="Common_InputFunctions.Utility_GetArrayTableColumnStartNumber">_xlfn.LAMBDA(_xlpm.TableHeaderCell, COLUMN(_xlpm.TableHeaderCell))</definedName>
    <definedName name="Common_InputFunctions.Utility_GetArrayTableRowStartNumber">_xlfn.LAMBDA(_xlpm.TableheaderCell,_xlpm.RowsBetweenHeaderandArray, ROW(_xlpm.TableheaderCell) + _xlpm.RowsBetweenHeaderandArray - 1)</definedName>
    <definedName name="Common_InputFunctions.Utility_GetClimateZone">_xlfn.LAMBDA(_xlpm.avgTemp,_xlpm.avgRain,_xlpm.frostDays,_xlpm.elev,_xlpm.map_pet,_xlpm.minTempArray,_xlpm.maxTempArray,_xlpm.minRainfallArray,_xlpm.maxRainfallArray,_xlpm.minFrostArray,_xlpm.maxFrostArray,_xlpm.minElevationArray,_xlpm.maxElevationArray,_xlpm.minPETArray,_xlpm.maxPETArray,_xlpm.climateZoneArray, _xlfn.LET(_xlpm.mask, (VALUE(_xlpm.minTempArray) &lt;= _xlpm.avgTemp) * (VALUE(_xlpm.maxTempArray) &gt;= _xlpm.avgTemp) * (VALUE(_xlpm.minRainfallArray) &lt;= _xlpm.avgRain) * (VALUE(_xlpm.maxRainfallArray) &gt;= _xlpm.avgRain) * (VALUE(_xlpm.minFrostArray) &lt;= _xlpm.frostDays) * (VALUE(_xlpm.maxFrostArray) &gt;= _xlpm.frostDays) * (VALUE(_xlpm.minElevationArray) &lt;= _xlpm.elev) * (VALUE(_xlpm.maxElevationArray) &gt;= _xlpm.elev) * (VALUE(_xlpm.minPETArray) &lt;= _xlpm.map_pet) * (VALUE(_xlpm.maxPETArray) &gt;= _xlpm.map_pet), _xlfn.TAKE(_xlfn._xlws.FILTER(_xlpm.climateZoneArray, _xlpm.mask, "No match"), 1)))</definedName>
    <definedName name="Common_InputFunctions.Utility_LookupItemFromMinMax">_xlfn.LAMBDA(_xlpm.LookupValue,_xlpm.MinArray,_xlpm.MaxArray,_xlpm.ItemArray, _xlfn.LET(_xlpm.mask, (VALUE(_xlpm.MinArray) &lt;= _xlpm.LookupValue) * (VALUE(_xlpm.MaxArray) &gt;= _xlpm.LookupValue), _xlfn._xlws.FILTER(_xlpm.ItemArray, _xlpm.mask, "No match")))</definedName>
    <definedName name="Common_InputFunctions.Utility_LookupN2OEFFromProdIrrigationRainfall">_xlfn.LAMBDA(_xlpm.ProductionSystem,_xlpm.IrrigationMethod,_xlpm.RainfallZone,_xlpm.ProductionSystemArray,_xlpm.IrrigationMethodArray,_xlpm.RainfallZoneArray,_xlpm.ReturnArray, _xlfn.LET(_xlpm.IrrigationMethod, IF(_xlpm.IrrigationMethod = "Not irrigated", "Not irrigated", "Any"), _xlpm.RainfallZone, IF(_xlpm.IrrigationMethod = "Not irrigated", _xlpm.RainfallZone, "Any"), _xlfn.XLOOKUP(1, (_xlpm.ProductionSystemArray = _xlpm.ProductionSystem) * (_xlpm.IrrigationMethodArray = _xlpm.IrrigationMethod) * (_xlpm.RainfallZoneArray = _xlpm.RainfallZone), _xlpm.ReturnArray)))</definedName>
    <definedName name="Common_InputFunctions.Utility_LookupValueInTable">_xlfn.LAMBDA(_xlpm.LookupValue,_xlpm.LookupArray,_xlpm.ReturnArray, _xlfn.XLOOKUP(_xlpm.LookupValue, _xlpm.LookupArray, _xlpm.ReturnArray, ""))</definedName>
    <definedName name="Common_InputFunctions.Utility_LookupValueInTableNumber">_xlfn.LAMBDA(_xlpm.LookupValue,_xlpm.LookupArray,_xlpm.ReturnArray, IF(ISNUMBER(_xlfn.XLOOKUP(_xlpm.LookupValue, _xlpm.LookupArray, _xlpm.ReturnArray, "")), _xlfn.XLOOKUP(_xlpm.LookupValue, _xlpm.LookupArray, _xlpm.ReturnArray, ""), 0))</definedName>
    <definedName name="Common_InputFunctions.Utility_SplitStringIntoArray">_xlfn.LAMBDA(_xlpm.Cell,_xlpm.Delimiter,_xlop.CharacterToRemove1,_xlop.CharacterToRemove2, _xlfn.FILTERXML("&lt;t&gt;&lt;s&gt;" &amp; SUBSTITUTE(SUBSTITUTE(SUBSTITUTE(_xlpm.Cell, _xlpm.CharacterToRemove1, ""), _xlpm.CharacterToRemove2, ""), _xlpm.Delimiter, "&lt;/s&gt;&lt;s&gt;") &amp; "&lt;/s&gt;&lt;/t&gt;", "//s"))</definedName>
    <definedName name="Common_InputFunctions.Utility_SumQuantityFromCriteria">_xlfn.LAMBDA(_xlpm.Criteria1,_xlpm.Criteria1TypeArray,_xlpm.Quantity,_xlop.Multiplier,_xlop.Criteria2,_xlop.Criteria2Array, _xlfn.LET(_xlpm.multiplier, IF(_xlfn.ISOMITTED(_xlpm.Multiplier), 1, _xlpm.Multiplier), _xlpm.quantity, _xlpm.Quantity * _xlpm.multiplier, _xlpm.criteria1, --(_xlpm.Criteria1TypeArray = _xlpm.Criteria1), _xlpm.criteria2, IF(_xlfn.ISOMITTED(_xlpm.Criteria2), 1, --(_xlpm.Criteria2Array = _xlpm.Criteria2)), SUMPRODUCT(_xlpm.criteria1 * _xlpm.criteria2 * _xlpm.quantity)))</definedName>
    <definedName name="Common_SourceData.Common_SourceData_AustralianStatesTerritories_Data">_xlfn.LAMBDA(_xlfn.MAKEARRAY(9, 3, _xlfn.LAMBDA(_xlpm.r,_xlpm.c, INDEX({"State/Territory","Common Name","Abbreviation";"New South Wales","New South Wales","NSW";"Australian Capital Territory","ACT","ACT";"Victoria","Victoria","VIC";"Queensland","Queensland","QLD";"South Australia","South Australia","SA";"Western Australia","Western Australia","WA";"Tasmania","Tasmania","TAS";"Northern Territory","Northern Territory","NT"}, _xlpm.r, _xlpm.c))))</definedName>
    <definedName name="Common_SourceData.Common_SourceData_AustralianStatesTerritories_Source">_xlfn.LAMBDA("")</definedName>
    <definedName name="Common_SourceData.Common_SourceData_AustralianStatesTerritories_Title">_xlfn.LAMBDA("Australian states and territories")</definedName>
    <definedName name="Common_SourceData.Common_SourceData_AustralianStatesTerritories_Unit">_xlfn.LAMBDA("")</definedName>
    <definedName name="Common_SourceData.Common_SourceData_AustralianStatesTerritories_Variable">_xlfn.LAMBDA("")</definedName>
    <definedName name="Common_SourceData.Common_SourceData_ClimateZones_Appendices">_xlfn.LAMBDA(_xlfn.MAKEARRAY(4, 1, _xlfn.LAMBDA(_xlpm.r,_xlpm.c, INDEX({"Note:";"MAT = mean annual temperature";"MAP = mean annual precipitation";"PET = potential evapotranspiration"}, _xlpm.r, _xlpm.c))))</definedName>
    <definedName name="Common_SourceData.Common_SourceData_ClimateZones_Data">_xlfn.LAMBDA(_xlfn.MAKEARRAY(9, 16, _xlfn.LAMBDA(_xlpm.r,_xlpm.c, INDEX({"Climate Zone","MAT","MAP","Frost days per year","Elevation","MAP:PET","Min temp","Max temp","Min rainfall","Max rainfall","Min frost days","Max frost days","Min elevation","Max elevation","Min MAP:PET","Min MAP:PET";"Tropical montane","&gt; 18 C","Any","≤ 7","&gt; 1000 m","Any",18.001,999999,-999999,999999,-999999,7,1000,999999,-999999,999999;"Tropical wet","&gt; 18 C","&gt; 2000 mm","≤ 7","≤ 1000 m","Any",18.001,999999,2000.001,999999,-999999,7,-999999,999.999,-999999,999999;"Tropical moist","&gt; 18 C","&gt; 1000 mm - ≤ 2000 mm","≤ 7","≤ 1000 m","Any",18.001,999999,1000.001,2000,-999999,7,-999999,999.999,-999999,999999;"Tropical dry","&gt; 18 C","≤ 1000 mm","≤ 7","≤ 1000 m","Any",18.001,999999,-999999,1000,-999999,7,-999999,999.999,-999999,999999;"Warm temperate moist","&gt; 10 C","Any","Any","Any","&gt; 1",10.001,999999,-999999,999999,-999999,999999,-999999,999999,1.001,999999;"Warm temperate dry","&gt; 10 C","Any","Any","Any","≤ 1",10.001,999999,-999999,999999,-999999,999999,-999999,999999,-999999,1;"Cool temperate moist","&gt; 0 C - ≤ 10 C","Any","Any","Any","&gt; 1",-999999,10,-999999,999999,-999999,999999,-999999,999999,1.001,999999;"Cool temperate dry","&gt; 0 C - ≤ 10 C","Any","Any","Any","≤ 1",-999999,10,-999999,999999,-999999,999999,-999999,999999,-999999,1}, _xlpm.r, _xlpm.c))))</definedName>
    <definedName name="Common_SourceData.Common_SourceData_ClimateZones_Source">_xlfn.LAMBDA("VEERG 2026: Table 1.3: Climate and Rainfall zone classifications and definitions")</definedName>
    <definedName name="Common_SourceData.Common_SourceData_ClimateZones_Title">_xlfn.LAMBDA("VEERG Australian climate zones")</definedName>
    <definedName name="Common_SourceData.Common_SourceData_ClimateZones_Unit">_xlfn.LAMBDA("")</definedName>
    <definedName name="Common_SourceData.Common_SourceData_ClimateZones_Variable">_xlfn.LAMBDA("")</definedName>
    <definedName name="Common_SourceData.Common_SourceData_ClimateZones_Variation">_xlfn.LAMBDA(_xlfn.MAKEARRAY(5, 1, _xlfn.LAMBDA(_xlpm.r,_xlpm.c, INDEX({"VARIATION OF SOURCE DATA:";"Added warm / cool temperate moist / dry - low frost and high temp classes to accommodate climate scenarios excluded by VEERG criteria.";"Fixed typo in MAT value for warm temperate dry - changed 10 to 11.";"Added min and max columns for MAT, MAP, frost days per year, elevation, MAP:PET to calculate zones from real climate data.";"GAF accepts rainfall as a proxy for precipitation."}, _xlpm.r, _xlpm.c))))</definedName>
    <definedName name="Common_SourceData.Common_SourceData_ConvertGasElementalToMolecular_Data">_xlfn.LAMBDA(_xlfn.MAKEARRAY(8, 4, _xlfn.LAMBDA(_xlpm.r,_xlpm.c, INDEX({"Gas","Conversion factor","Conversion factor 1","Conversion factor 2";"CO2","44/12",44,12;"CH4","16/12",16,12;"N2O","44/28",44,28;"Nox","46/14",46,14;"CO","28/12",28,12;"CO2 Lime","44/12",44,12;"NMVOC","14/12",14,12}, _xlpm.r, _xlpm.c))))</definedName>
    <definedName name="Common_SourceData.Common_SourceData_ConvertGasElementalToMolecular_Source">_xlfn.LAMBDA("XXXXXXX")</definedName>
    <definedName name="Common_SourceData.Common_SourceData_ConvertGasElementalToMolecular_Title">_xlfn.LAMBDA("Factor to convert elemental mass of gas to molecular mass")</definedName>
    <definedName name="Common_SourceData.Common_SourceData_ConvertGasElementalToMolecular_Unit">_xlfn.LAMBDA("factor")</definedName>
    <definedName name="Common_SourceData.Common_SourceData_ConvertGasElementalToMolecular_Variable">_xlfn.LAMBDA("Cg")</definedName>
    <definedName name="Common_SourceData.Common_SourceData_ConvertN2oElementalToMolecularCg_Data">_xlfn.LAMBDA(44 / 28)</definedName>
    <definedName name="Common_SourceData.Common_SourceData_ConvertN2oElementalToMolecularCg_Source">_xlfn.LAMBDA("National Inventory Report 2023 Volume 1")</definedName>
    <definedName name="Common_SourceData.Common_SourceData_ConvertN2oElementalToMolecularCg_Title">_xlfn.LAMBDA("Factor to convert elemental mass of N2O to molecular mass")</definedName>
    <definedName name="Common_SourceData.Common_SourceData_ConvertN2oElementalToMolecularCg_Unit">_xlfn.LAMBDA("factor")</definedName>
    <definedName name="Common_SourceData.Common_SourceData_ConvertN2oElementalToMolecularCg_Variable">_xlfn.LAMBDA("CgN2O")</definedName>
    <definedName name="Common_SourceData.Common_SourceData_DataScores_Scope3_Data">_xlfn.LAMBDA(_xlfn.MAKEARRAY(6, 2, _xlfn.LAMBDA(_xlpm.r,_xlpm.c, INDEX({"Data source","Data score";"International scope 3 database",1;"Australian scope 3 database",2;"State or regional scope 3 database",3;"Emissions intensity calculated from approved method",4;"Verified credential matching ISO14067",5}, _xlpm.r, _xlpm.c))))</definedName>
    <definedName name="Common_SourceData.Common_SourceData_DataScores_Scope3_Source">_xlfn.LAMBDA("VEERG 2026: XXXXXXXX")</definedName>
    <definedName name="Common_SourceData.Common_SourceData_DataScores_Scope3_Title">_xlfn.LAMBDA("Australian data scores for scope 3")</definedName>
    <definedName name="Common_SourceData.Common_SourceData_DataScores_Scope3_Unit">_xlfn.LAMBDA("")</definedName>
    <definedName name="Common_SourceData.Common_SourceData_DataScores_Scope3_Variable">_xlfn.LAMBDA("")</definedName>
    <definedName name="Common_SourceData.Common_SourceData_DataScores_Scope3_Variation">_xlfn.LAMBDA("")</definedName>
    <definedName name="Common_SourceData.Common_SourceData_DensityOfMethane_Data">_xlfn.LAMBDA(0.6784)</definedName>
    <definedName name="Common_SourceData.Common_SourceData_DensityOfMethane_Source">_xlfn.LAMBDA("National Inventory Report 2023 Volume 1: Equations 3.B.1a_2, 3.B.1c_2, 3.B.3_1, 3.B.4g_2")</definedName>
    <definedName name="Common_SourceData.Common_SourceData_DensityOfMethane_Title">_xlfn.LAMBDA("p = density of methane")</definedName>
    <definedName name="Common_SourceData.Common_SourceData_DensityOfMethane_Unit">_xlfn.LAMBDA("kg/m3")</definedName>
    <definedName name="Common_SourceData.Common_SourceData_EFleach_Data">_xlfn.LAMBDA(_xlfn.MAKEARRAY(1, 2, _xlfn.LAMBDA(_xlpm.r,_xlpm.c, INDEX({"EFleach",0.011}, _xlpm.r, _xlpm.c))))</definedName>
    <definedName name="Common_SourceData.Common_SourceData_EFleach_NIRReference">_xlfn.LAMBDA("National Inventory Report Volume 1: Equation 3.D.B_10")</definedName>
    <definedName name="Common_SourceData.Common_SourceData_EFleach_Source">_xlfn.LAMBDA("VEERG 2026:5.5.2.3 Constant Parameters")</definedName>
    <definedName name="Common_SourceData.Common_SourceData_EFleach_Title">_xlfn.LAMBDA("Emission factor for nitrogen leaching and runoff")</definedName>
    <definedName name="Common_SourceData.Common_SourceData_EFleach_Unit">_xlfn.LAMBDA("(kg N2O-N / kg N")</definedName>
    <definedName name="Common_SourceData.Common_SourceData_EFleach_Variation">_xlfn.LAMBDA((""))</definedName>
    <definedName name="Common_SourceData.Common_SourceData_EFN2O_Data">_xlfn.LAMBDA(_xlfn.MAKEARRAY(15, 5, _xlfn.LAMBDA(_xlpm.r,_xlpm.c, INDEX({"Production system j","EFN2O","Production system only","Irrigation method","Rainfall zone";"Irrigated pasture",0.0059,"Pasture","Any","Any";"Irrigated crop",0.007,"Crop","Any","Any";"Non-irrigated pasture",0.0018,"Pasture","Not irrigated","Low rainfall";"Non-irrigated pasture",0.0018,"Pasture","Not irrigated","High rainfall";"Non-irrigated crop (low rainfall)",0.0029,"Crop","Not irrigated","Low rainfall";"Non-irrigated crop (high rainfall)",0.008,"Crop","Not irrigated","High rainfall";"Sugar",0.0199,"Sugar","Any","Any";"Cotton",0.0053,"Cotton","Any","Any";"Horticultural crops",0.0064,"Horticultural crops","Any","Any";"Rice (continuous flooding)",0.003,"Rice","Continuous flooding","Any";"Rice (single and multiple drainage, or alternate wetting and drying)",0.005,"Rice","Single and multiple drainage, or alternate wetting and drying","Any";"Aquaculture",0.0026,"Aquaculture","Any","Any";"Forestry",0.0018,"Forestry","Any","Any"}, _xlpm.r, _xlpm.c))))</definedName>
    <definedName name="Common_SourceData.Common_SourceData_EFN2O_NIRReference">_xlfn.LAMBDA("")</definedName>
    <definedName name="Common_SourceData.Common_SourceData_EFN2O_Source">_xlfn.LAMBDA("VEERG 2026: Table A.2.2.1")</definedName>
    <definedName name="Common_SourceData.Common_SourceData_EFN2O_Title">_xlfn.LAMBDA("Nitrous oxide emission factors for inorganic fertiliser application")</definedName>
    <definedName name="Common_SourceData.Common_SourceData_EFN2O_Unit">_xlfn.LAMBDA("(kg N2O-N / kg N")</definedName>
    <definedName name="Common_SourceData.Common_SourceData_EFN2O_Variation">_xlfn.LAMBDA(_xlfn.MAKEARRAY(5, 1, _xlfn.LAMBDA(_xlpm.r,_xlpm.c, INDEX({"VARIATION OF SOURCE DATA:";"Removed duplicate 'Aquaculture' row.";"Removed asterisks to aid lookup.";"Added 'production system only', 'rainfall zone' and 'irrigation method' columns to aid lookup.";"Duplicated 'non-irrigated pasture' row with same EF for low and high rainfall zones to aid lookup."}, _xlpm.r, _xlpm.c))))</definedName>
    <definedName name="Common_SourceData.Common_SourceData_EFPastureRangeAndPaddock_Data">_xlfn.LAMBDA(_xlfn.MAKEARRAY(3, 2, _xlfn.LAMBDA(_xlpm.r,_xlpm.c, INDEX({"Climate zone","EFPRP";"Wet climate zone",0.006;"Dry climate zone",0.002}, _xlpm.r, _xlpm.c))))</definedName>
    <definedName name="Common_SourceData.Common_SourceData_EFPastureRangeAndPaddock_NIRReference">_xlfn.LAMBDA("")</definedName>
    <definedName name="Common_SourceData.Common_SourceData_EFPastureRangeAndPaddock_Source">_xlfn.LAMBDA("VEERG 2026: Table A.2.2.2")</definedName>
    <definedName name="Common_SourceData.Common_SourceData_EFPastureRangeAndPaddock_Title">_xlfn.LAMBDA("Emission factor for urine and dung deposited on pasture, range or paddock")</definedName>
    <definedName name="Common_SourceData.Common_SourceData_EFPastureRangeAndPaddock_Unit">_xlfn.LAMBDA("kg N2O - N / kg N")</definedName>
    <definedName name="Common_SourceData.Common_SourceData_EFPastureRangeAndPaddock_Variation">_xlfn.LAMBDA("VARIATION FROM SOURCE DATA: Changed 'Dry climate zones' to singular 'Dry climate zone' to aid lookup.")</definedName>
    <definedName name="Common_SourceData.Common_SourceData_FracLEACH_Data">_xlfn.LAMBDA(_xlfn.MAKEARRAY(1, 2, _xlfn.LAMBDA(_xlpm.r,_xlpm.c, INDEX({"FracLEACH",0.24}, _xlpm.r, _xlpm.c))))</definedName>
    <definedName name="Common_SourceData.Common_SourceData_FracLEACH_NIRReference">_xlfn.LAMBDA("National Inventory Report Volume 1: Leaching and runoff (3.D.b.2)")</definedName>
    <definedName name="Common_SourceData.Common_SourceData_FracLEACH_Source">_xlfn.LAMBDA("VEERG 2026:5.5.2.3 Constant Parameters")</definedName>
    <definedName name="Common_SourceData.Common_SourceData_FracLEACH_Title">_xlfn.LAMBDA("Fraction of N that is available for leaching and runoff")</definedName>
    <definedName name="Common_SourceData.Common_SourceData_FracLEACH_Unit">_xlfn.LAMBDA("(Dimensionless")</definedName>
    <definedName name="Common_SourceData.Common_SourceData_FracLEACH_Variation">_xlfn.LAMBDA((""))</definedName>
    <definedName name="Common_SourceData.Common_SourceData_FracWET_Data">_xlfn.LAMBDA(_xlfn.MAKEARRAY(3, 2, _xlfn.LAMBDA(_xlpm.r,_xlpm.c, INDEX({"Is in leaching zone","FracWET";"Yes - in leaching zone",1;"No - not in leaching zone",0}, _xlpm.r, _xlpm.c))))</definedName>
    <definedName name="Common_SourceData.Common_SourceData_FracWET_NIRReference">_xlfn.LAMBDA("")</definedName>
    <definedName name="Common_SourceData.Common_SourceData_FracWET_Source">_xlfn.LAMBDA("VEERG 2026:5.5.2.3 Constant Parameters")</definedName>
    <definedName name="Common_SourceData.Common_SourceData_FracWET_Title">_xlfn.LAMBDA("Fraction of N that is available for leaching and runoff")</definedName>
    <definedName name="Common_SourceData.Common_SourceData_FracWET_Unit">_xlfn.LAMBDA("(Dimensionless")</definedName>
    <definedName name="Common_SourceData.Common_SourceData_FracWET_Variation">_xlfn.LAMBDA((""))</definedName>
    <definedName name="Common_SourceData.Common_SourceData_FracWETIrrigation_Data">_xlfn.LAMBDA(_xlfn.MAKEARRAY(6, 2, _xlfn.LAMBDA(_xlpm.r,_xlpm.c, INDEX({"Irrigation type ir","FracWET";"Not irrigated",0;"Drip irrigation",0;"Sprinkler irrigation",1;"Surface irrigation",1;"Other irrigation",1}, _xlpm.r, _xlpm.c))))</definedName>
    <definedName name="Common_SourceData.Common_SourceData_FracWETIrrigation_NIRReference">_xlfn.LAMBDA("IPCC 2019 Refinement Volume 4: Chapter 11: N2O Emissions from Managed Soils, and CO2 Emissions from Lime and Urea Application")</definedName>
    <definedName name="Common_SourceData.Common_SourceData_FracWETIrrigation_Source">_xlfn.LAMBDA("VEERG 2026: Chapter 1, section 1.8.2 Leaching, climate and rainfall zones")</definedName>
    <definedName name="Common_SourceData.Common_SourceData_FracWETIrrigation_Title">_xlfn.LAMBDA("FracWET for irrigation types")</definedName>
    <definedName name="Common_SourceData.Common_SourceData_FracWETIrrigation_Unit">_xlfn.LAMBDA("dimensionless")</definedName>
    <definedName name="Common_SourceData.Common_SourceData_FracWETIrrigation_Variation">_xlfn.LAMBDA("VARIATION FROM SOURCE DATA: Table created based on VEERG text 'Areas are subject to leaching (i.e., in the leaching zone) when... the land is irrigated (except drip irrigation).'")</definedName>
    <definedName name="Common_SourceData.Common_SourceData_GWP_Data">_xlfn.LAMBDA(_xlfn.MAKEARRAY(8, 2, _xlfn.LAMBDA(_xlpm.r,_xlpm.c, INDEX({"Gas","CO2-e factor";"CO2",1;"CH4",28;"N2O",265;"CF4",6630;"C2F6",12200;"SF6",22800;"NF3",17200}, _xlpm.r, _xlpm.c))))</definedName>
    <definedName name="Common_SourceData.Common_SourceData_GWP_Source">_xlfn.LAMBDA("XXXXXXX")</definedName>
    <definedName name="Common_SourceData.Common_SourceData_GWP_Title">_xlfn.LAMBDA("Global warming potential for greenhouse gases")</definedName>
    <definedName name="Common_SourceData.Common_SourceData_GWP_Unit">_xlfn.LAMBDA("factor")</definedName>
    <definedName name="Common_SourceData.Common_SourceData_GWP_Variable">_xlfn.LAMBDA("GWPN2O")</definedName>
    <definedName name="Common_SourceData.Common_SourceData_LeachingZones_Data">_xlfn.LAMBDA(_xlfn.MAKEARRAY(4, 2, _xlfn.LAMBDA(_xlpm.r,_xlpm.c, INDEX({"Leaching Zone","Leaching criteria";"Leaching occurs","Σ(𝑟𝑎𝑖𝑛)&gt;Σ(𝐸𝑇0)+𝑠𝑜𝑖𝑙 𝑤𝑎𝑡𝑒𝑟 ℎ𝑜𝑙𝑑𝑖𝑛𝑔 𝑐𝑎𝑝𝑎𝑐𝑖𝑡𝑦";"Leaching does not occur","Σ(𝑟𝑎𝑖𝑛)≤Σ(𝐸𝑇0)+𝑠𝑜𝑖𝑙 𝑤𝑎𝑡𝑒𝑟 ℎ𝑜𝑙𝑑𝑖𝑛𝑔 𝑐𝑎𝑝𝑎𝑐𝑖𝑡𝑦"}, _xlpm.r, _xlpm.c))))</definedName>
    <definedName name="Common_SourceData.Common_SourceData_LeachingZones_Source">_xlfn.LAMBDA("VEERG 2026: Table 1.3: Climate and Rainfall zone classifications and definitions")</definedName>
    <definedName name="Common_SourceData.Common_SourceData_LeachingZones_Title">_xlfn.LAMBDA("VEERG Australian leaching zones")</definedName>
    <definedName name="Common_SourceData.Common_SourceData_LeachingZones_Unit">_xlfn.LAMBDA("")</definedName>
    <definedName name="Common_SourceData.Common_SourceData_LeachingZones_Variable">_xlfn.LAMBDA("")</definedName>
    <definedName name="Common_SourceData.Common_SourceData_LeachingZones_Variation">_xlfn.LAMBDA("")</definedName>
    <definedName name="Common_SourceData.Common_SourceData_MonthsToSeasons_Data">_xlfn.LAMBDA(_xlfn.MAKEARRAY(13, 2, _xlfn.LAMBDA(_xlpm.r,_xlpm.c, INDEX({"Month","Season";"January","Summer";"February","Summer";"March","Autumn";"April","Autumn";"May","Autumn";"June","Winter";"July","Winter";"August","Winter";"September","Spring";"October","Spring";"November","Spring";"December","Summer"}, _xlpm.r, _xlpm.c))))</definedName>
    <definedName name="Common_SourceData.Common_SourceData_MonthsToSeasons_NIRReference">_xlfn.LAMBDA("")</definedName>
    <definedName name="Common_SourceData.Common_SourceData_MonthsToSeasons_Source">_xlfn.LAMBDA("")</definedName>
    <definedName name="Common_SourceData.Common_SourceData_MonthsToSeasons_Title">_xlfn.LAMBDA("Months to Seasons Mapping")</definedName>
    <definedName name="Common_SourceData.Common_SourceData_MonthsToSeasons_Unit">_xlfn.LAMBDA("")</definedName>
    <definedName name="Common_SourceData.Common_SourceData_MonthsToSeasons_Variation">_xlfn.LAMBDA("")</definedName>
    <definedName name="Common_SourceData.Common_SourceData_RainfallZones_Data">_xlfn.LAMBDA(_xlfn.MAKEARRAY(3, 4, _xlfn.LAMBDA(_xlpm.r,_xlpm.c, INDEX({"Rainfall Zone","Annual rainfall","Rainfall min","Rainfall max";"High rainfall","Annual rainfall &gt; 600mm",600.001,999999;"Low rainfall","Annual rainfall ≤ 600mm",-999999,600}, _xlpm.r, _xlpm.c))))</definedName>
    <definedName name="Common_SourceData.Common_SourceData_RainfallZones_Source">_xlfn.LAMBDA("VEERG 2026: Table 1.3: Climate and Rainfall zone classifications and definitions")</definedName>
    <definedName name="Common_SourceData.Common_SourceData_RainfallZones_Title">_xlfn.LAMBDA("VEERG Australian rainfall zones")</definedName>
    <definedName name="Common_SourceData.Common_SourceData_RainfallZones_Unit">_xlfn.LAMBDA("")</definedName>
    <definedName name="Common_SourceData.Common_SourceData_RainfallZones_Variable">_xlfn.LAMBDA("")</definedName>
    <definedName name="Common_SourceData.Common_SourceData_RainfallZones_Variation">_xlfn.LAMBDA("VARIATION OF SOURCE DATA: Added extra Rainfall min and Rainfall max columns to calculate zone from real rainfall data.")</definedName>
    <definedName name="Common_SourceData.Common_SourceData_TemperatureZones_Data">_xlfn.LAMBDA(_xlfn.MAKEARRAY(4, 4, _xlfn.LAMBDA(_xlpm.r,_xlpm.c, INDEX({"Temperature Zone","Median Annual Temperature (MAT)","Min MAT","Max MAT";"Warm","≥ 26 C",26,999999;"Temperate","15 - 25 C",15,25.999;"Cool","≤ 14 C",-999999,14.999}, _xlpm.r, _xlpm.c))))</definedName>
    <definedName name="Common_SourceData.Common_SourceData_TemperatureZones_Source">_xlfn.LAMBDA("VEERG 2026: Table 1.3: Climate and Rainfall zone classifications and definitions")</definedName>
    <definedName name="Common_SourceData.Common_SourceData_TemperatureZones_Title">_xlfn.LAMBDA("VEERG Australian temperature zones")</definedName>
    <definedName name="Common_SourceData.Common_SourceData_TemperatureZones_Unit">_xlfn.LAMBDA("")</definedName>
    <definedName name="Common_SourceData.Common_SourceData_TemperatureZones_Variable">_xlfn.LAMBDA("")</definedName>
    <definedName name="Common_SourceData.Common_SourceData_TemperatureZones_Variation">_xlfn.LAMBDA("VARIATION OF SOURCE DATA: Added extra MAT min and MAT max columns to calculate zone from real temperature data.")</definedName>
    <definedName name="Common_SourceData.Common_SourceData_WASA4Areas_Data">_xlfn.LAMBDA(_xlfn.MAKEARRAY(11, 1, _xlfn.LAMBDA(_xlpm.r,_xlpm.c, INDEX({"SA 4 Name";"Bunbury";"Mandurah";"Perth - Inner";"Perth - North East";"Perth - North West";"Perth - South East";"Perth - South West";"Western Australia - Wheat Belt";"Western Australia - Outback (North)";"Western Australia - Outback (South)"}, _xlpm.r, _xlpm.c))))</definedName>
    <definedName name="Common_SourceData.Common_SourceData_WASA4Areas_Source">_xlfn.LAMBDA("Australian Bureau of Statistics (ABS) - Statistical Areas Level 2 - 2021 - Shapefile")</definedName>
    <definedName name="Common_SourceData.Common_SourceData_WASA4Areas_Title">_xlfn.LAMBDA("ABS Statistcal Areas Level 4 - Western Australia")</definedName>
    <definedName name="Common_SourceData.Common_SourceData_WASA4Areas_Unit">_xlfn.LAMBDA("")</definedName>
    <definedName name="Common_SourceData.Common_SourceData_WASA4Areas_Variable">_xlfn.LAMBDA("")</definedName>
    <definedName name="Common_SourceData.Common_SourceData_WetAndDryZones_Data">_xlfn.LAMBDA(_xlfn.MAKEARRAY(15, 2, _xlfn.LAMBDA(_xlpm.r,_xlpm.c, INDEX({"Climate Zone","Wet or Dry Zone";"Tropical montane","Wet climate zone";"Tropical wet","Wet climate zone";"Tropical moist","Wet climate zone";"Tropical dry","Dry climate zone";"Warm temperate moist","Wet climate zone";"Warm temperate dry","Dry climate zone";"Cool temperate moist","Wet climate zone";"Cool temperate dry","Dry climate zone";"Warm temperate moist - low frost","Wet climate zone";"Warm temperate dry - low frost","Dry climate zone";"Warm temperate moist - high temp","Wet climate zone";"Warm temperate dry - high temp","Dry climate zone";"Cool temperate moist - low frost","Wet climate zone";"Cool temperate dry - low frost","Dry climate zone"}, _xlpm.r, _xlpm.c))))</definedName>
    <definedName name="Common_SourceData.Common_SourceData_WetAndDryZones_Source">_xlfn.LAMBDA("VEERG 2026: Table 1.2: Translating climate zones to wet and dry zones")</definedName>
    <definedName name="Common_SourceData.Common_SourceData_WetAndDryZones_Title">_xlfn.LAMBDA("VEERG Australian wet and dry zones")</definedName>
    <definedName name="Common_SourceData.Common_SourceData_WetAndDryZones_Unit">_xlfn.LAMBDA("")</definedName>
    <definedName name="Common_SourceData.Common_SourceData_WetAndDryZones_Variable">_xlfn.LAMBDA("")</definedName>
    <definedName name="Common_SourceData.Common_SourceData_WetAndDryZones_Variation">_xlfn.LAMBDA(_xlfn.MAKEARRAY(3, 1, _xlfn.LAMBDA(_xlpm.r,_xlpm.c, INDEX({"VARIATION OF SOURCE DATA:";"Added warm / cool temperate moist / dry - low frost and high temp classes to accommodate climate scenarios excluded by VEERG criteria.";"Fixed typo - Changed 'Fry' to 'Dry'."}, _xlpm.r, _xlpm.c))))</definedName>
    <definedName name="CommonCropping_InputFunctions.CommonCropping_CalculateFractionResidueRemoved">_xlfn.LAMBDA(_xlpm.TotalResidue,_xlpm.AmountRemoved, (_xlpm.AmountRemoved * 10 ^ 3) / (_xlpm.TotalResidue * 10 ^ 3))</definedName>
    <definedName name="CommonCropping_InputFunctions.CommonCropping_CalculateHarvestIndex">_xlfn.LAMBDA(_xlpm.CropType,_xlpm.CropTypeArray,_xlpm.ResidueCropRatioArray, 1 / (1 + Common_InputFunctions.Utility_LookupValueInTableNumber(_xlpm.CropType, _xlpm.CropTypeArray, _xlpm.ResidueCropRatioArray)))</definedName>
    <definedName name="CommonCropping_InputFunctions.CommonCropping_CalculateResidueCropRatio">_xlfn.LAMBDA(_xlpm.HarvestIndex, (1 - _xlpm.HarvestIndex) / _xlpm.HarvestIndex)</definedName>
    <definedName name="CommonCropping_InputFunctions.CommonCropping_GetFracWET">_xlfn.LAMBDA(_xlpm.LeachingZone,_xlpm.ProductionSystem,_xlpm.LeachingZoneLookup,_xlpm.LeachingZoneFracWETLookup,_xlpm.ProductionSystemLookup,_xlpm.ProductionSystemFracWETLookup, _xlfn.LET(_xlpm.LeachingZoneFracWET, Common_InputFunctions.Utility_LookupValueInTableNumber(_xlpm.LeachingZone, _xlpm.LeachingZoneLookup, _xlpm.LeachingZoneFracWETLookup), _xlpm.ProductionSystemFracWET, Common_InputFunctions.Utility_LookupValueInTableNumber(_xlpm.ProductionSystem, _xlpm.ProductionSystemLookup, _xlpm.ProductionSystemFracWETLookup), IF(_xlpm.LeachingZoneFracWET + _xlpm.ProductionSystemFracWET &gt; 0, 1, 0)))</definedName>
    <definedName name="CommonLivestock_InputFunctions.AverageLiveweightEndOfMonth">_xlfn.LAMBDA(_xlpm.Month,_xlpm.LivestockClass,_xlpm.HeadAtStart,_xlpm.LiveweightAtStart,_xlpm.LiveweightGain, [0]!CommonLivestock_InputFunctions.LivestockMovement_ProportionalAverageLiveweightAddedDuringMonth(_xlpm.Month, _xlpm.LivestockClass, _xlpm.HeadAtStart) + [0]!CommonLivestock_InputFunctions.LivestockMovement_ProportionalAverageLiveweightRemainingAtEndOfMonth(_xlpm.Month, _xlpm.LivestockClass, _xlpm.HeadAtStart, _xlpm.LiveweightAtStart, _xlpm.LiveweightGain))</definedName>
    <definedName name="CommonLivestock_InputFunctions.Livestock_LookupMCFState">_xlfn.LAMBDA(_xlpm.MMS,_xlpm.MMSArray,_xlpm.State,_xlpm.StateArray,_xlpm.ReturnArray, _xlfn.XLOOKUP(_xlpm.MMS, _xlpm.MMSArray, _xlfn.XLOOKUP(_xlpm.State, _xlpm.StateArray, _xlpm.ReturnArray)))</definedName>
    <definedName name="CommonLivestock_InputFunctions.LivestockMovement_AverageLiveweightAddedDuringMonth">_xlfn.LAMBDA(_xlpm.Month,_xlpm.LivestockClass, IFERROR([0]!CommonLivestock_InputFunctions.LivestockMovement_TotalLiveweightAddedDuringMonth(_xlpm.Month, _xlpm.LivestockClass) / [0]!CommonLivestock_InputFunctions.LivestockMovement_HeadAddedDuringMonth(_xlpm.Month, _xlpm.LivestockClass), 0))</definedName>
    <definedName name="CommonLivestock_InputFunctions.LivestockMovement_GetMovementLiveweightGain" localSheetId="13">_xlfn.LAMBDA(_xlpm.LivestockClass,_xlpm.MovementDate, _xlfn.LET(_xlpm.ym, TEXT(_xlpm.MovementDate, "yyyymm"), IFERROR(INDEX(_xlfn._xlws.FILTER(#REF!, (TEXT(#REF!, "yyyymm") = _xlpm.ym) * (#REF! = _xlpm.LivestockClass)), 1), "")))</definedName>
    <definedName name="CommonLivestock_InputFunctions.LivestockMovement_GetMovementLiveweightGain">_xlfn.LAMBDA(_xlpm.LivestockClass,_xlpm.MovementDate, _xlfn.LET(_xlpm.ym, TEXT(_xlpm.MovementDate, "yyyymm"), IFERROR(INDEX(_xlfn._xlws.FILTER(#REF!, (TEXT(#REF!, "yyyymm") = _xlpm.ym) * (#REF! = _xlpm.LivestockClass)), 1), "")))</definedName>
    <definedName name="CommonLivestock_InputFunctions.LivestockMovement_HeadAddedDuringMonth" localSheetId="13">_xlfn.LAMBDA(_xlpm.Month,_xlpm.LivestockClass, IFERROR(SUM(_xlfn._xlws.FILTER(#REF!, (#REF! &gt;= EOMONTH(_xlpm.Month, -1) + 1) * (#REF! &lt;= EOMONTH(_xlpm.Month, 0)) * (#REF! = _xlpm.LivestockClass))), 0))</definedName>
    <definedName name="CommonLivestock_InputFunctions.LivestockMovement_HeadAddedDuringMonth">_xlfn.LAMBDA(_xlpm.Month,_xlpm.LivestockClass, IFERROR(SUM(_xlfn._xlws.FILTER(#REF!, (#REF! &gt;= EOMONTH(_xlpm.Month, -1) + 1) * (#REF! &lt;= EOMONTH(_xlpm.Month, 0)) * (#REF! = _xlpm.LivestockClass))), 0))</definedName>
    <definedName name="CommonLivestock_InputFunctions.LivestockMovement_HeadAtEndOfMonth">_xlfn.LAMBDA(_xlpm.HeadAtStart,_xlpm.Month,_xlpm.LivestockClass, _xlpm.HeadAtStart + [0]!CommonLivestock_InputFunctions.LivestockMovement_HeadAddedDuringMonth(_xlpm.Month, _xlpm.LivestockClass) - [0]!CommonLivestock_InputFunctions.LivestockMovement_HeadLostDuringMonth(_xlpm.Month, _xlpm.LivestockClass))</definedName>
    <definedName name="CommonLivestock_InputFunctions.LivestockMovement_HeadLostDuringMonth" localSheetId="13">_xlfn.LAMBDA(_xlpm.Month,_xlpm.LivestockClass, IFERROR(SUM(_xlfn._xlws.FILTER(#REF!, (#REF! &gt;= EOMONTH(_xlpm.Month, -1) + 1) * (#REF! &lt;= EOMONTH(_xlpm.Month, 0)) * (#REF! = _xlpm.LivestockClass))), 0))</definedName>
    <definedName name="CommonLivestock_InputFunctions.LivestockMovement_HeadLostDuringMonth">_xlfn.LAMBDA(_xlpm.Month,_xlpm.LivestockClass, IFERROR(SUM(_xlfn._xlws.FILTER(#REF!, (#REF! &gt;= EOMONTH(_xlpm.Month, -1) + 1) * (#REF! &lt;= EOMONTH(_xlpm.Month, 0)) * (#REF! = _xlpm.LivestockClass))), 0))</definedName>
    <definedName name="CommonLivestock_InputFunctions.LivestockMovement_HeadRemainingAtMonthEnd">_xlfn.LAMBDA(_xlpm.Month,_xlpm.LivestockClass,_xlpm.HeadAtStartOfMonth, MAX(_xlpm.HeadAtStartOfMonth - [0]!CommonLivestock_InputFunctions.LivestockMovement_HeadLostDuringMonth(_xlpm.Month, _xlpm.LivestockClass), 0))</definedName>
    <definedName name="CommonLivestock_InputFunctions.LivestockMovement_LiveweightAddedDuringMonth">_xlfn.LAMBDA(_xlpm.LivestockClass,_xlpm.MovementDate,_xlpm.WeightAtMovementDate,_xlpm.Head, IFERROR(_xlpm.Head * (_xlpm.WeightAtMovementDate + [0]!CommonLivestock_InputFunctions.LivestockMovement_LiveweightGrownDuringMonthPerHead(_xlpm.LivestockClass, _xlpm.MovementDate)), 0))</definedName>
    <definedName name="CommonLivestock_InputFunctions.LivestockMovement_LiveweightGrownDuringMonthPerHead">_xlfn.LAMBDA(_xlpm.LivestockClass,_xlpm.MovementDate, IFERROR([0]!CommonLivestock_InputFunctions.LivestockMovement_GetMovementLiveweightGain(_xlpm.LivestockClass, _xlpm.MovementDate) * CommonLivestock_InputFunctions.LivestockMovement_DaysMovementToMonthEnd(_xlpm.MovementDate), 0))</definedName>
    <definedName name="CommonLivestock_InputFunctions.LivestockMovement_LiveweightGrownFromMonthStartPerHead">_xlfn.LAMBDA(_xlpm.LivestockClass,_xlpm.Month, [0]!CommonLivestock_InputFunctions.LivestockMovement_LiveweightGrownDuringMonthPerHead(_xlpm.LivestockClass, EOMONTH(_xlpm.Month, -1) + 1))</definedName>
    <definedName name="CommonLivestock_InputFunctions.LivestockMovement_LiveweightGrownFromMonthStartTotal">_xlfn.LAMBDA(_xlpm.LivestockClass,_xlpm.Month,_xlpm.HeadAtStartOfMonth, [0]!CommonLivestock_InputFunctions.LivestockMovement_HeadRemainingAtMonthEnd(_xlpm.Month, _xlpm.LivestockClass, _xlpm.HeadAtStartOfMonth) * [0]!CommonLivestock_InputFunctions.LivestockMovement_LiveweightGrownFromMonthStartPerHead(_xlpm.LivestockClass, _xlpm.Month))</definedName>
    <definedName name="CommonLivestock_InputFunctions.LivestockMovement_LiveweightGrownFromMovementDateTotal">_xlfn.LAMBDA(_xlpm.LivestockClass,_xlpm.MovementDate,_xlpm.Head, [0]!CommonLivestock_InputFunctions.LivestockMovement_LiveweightGrownDuringMonthPerHead(_xlpm.LivestockClass, _xlpm.MovementDate) * _xlpm.Head)</definedName>
    <definedName name="CommonLivestock_InputFunctions.LivestockMovement_ProportionalAverageLiveweightAddedDuringMonth">_xlfn.LAMBDA(_xlpm.Month,_xlpm.LivestockClass,_xlpm.HeadAtStart, [0]!CommonLivestock_InputFunctions.LivestockMovement_ProportionHeadAddedDuringMonth(_xlpm.Month, _xlpm.LivestockClass, _xlpm.HeadAtStart) * [0]!CommonLivestock_InputFunctions.LivestockMovement_AverageLiveweightAddedDuringMonth(_xlpm.Month, _xlpm.LivestockClass))</definedName>
    <definedName name="CommonLivestock_InputFunctions.LivestockMovement_ProportionalAverageLiveweightRemainingAtEndOfMonth">_xlfn.LAMBDA(_xlpm.Month,_xlpm.LivestockClass,_xlpm.HeadAtStart,_xlpm.LiveweightAtStart,_xlpm.LiveweightGain, [0]!CommonLivestock_InputFunctions.LivestockMovement_ProportionHeadRemainingAtEndOfMonth(_xlpm.Month, _xlpm.LivestockClass, _xlpm.HeadAtStart) * CommonLivestock_InputFunctions.LivestockMovement_AverageLiveweightRemainingHead(_xlpm.Month, _xlpm.LiveweightAtStart, _xlpm.LiveweightGain))</definedName>
    <definedName name="CommonLivestock_InputFunctions.LivestockMovement_ProportionHeadAddedDuringMonth">_xlfn.LAMBDA(_xlpm.Month,_xlpm.LivestockClass,_xlpm.HeadAtStart, IFERROR(MIN(1, [0]!CommonLivestock_InputFunctions.LivestockMovement_HeadAddedDuringMonth(_xlpm.Month, _xlpm.LivestockClass) / [0]!CommonLivestock_InputFunctions.LivestockMovement_HeadAtEndOfMonth(_xlpm.HeadAtStart, _xlpm.Month, _xlpm.LivestockClass)), 0))</definedName>
    <definedName name="CommonLivestock_InputFunctions.LivestockMovement_ProportionHeadRemainingAtEndOfMonth">_xlfn.LAMBDA(_xlpm.Month,_xlpm.LivestockClass,_xlpm.HeadAtStart, IFERROR(MIN(1, [0]!CommonLivestock_InputFunctions.LivestockMovement_HeadRemainingAtMonthEnd(_xlpm.Month, _xlpm.LivestockClass, _xlpm.HeadAtStart) / [0]!CommonLivestock_InputFunctions.LivestockMovement_HeadAtEndOfMonth(_xlpm.HeadAtStart, _xlpm.Month, _xlpm.LivestockClass)), 0))</definedName>
    <definedName name="CommonLivestock_InputFunctions.LivestockMovement_TotalLiveweightAddedDuringMonth" localSheetId="13">_xlfn.LAMBDA(_xlpm.Month,_xlpm.LivestockClass, IFERROR(SUM(_xlfn._xlws.FILTER(#REF!, (#REF! &gt;= EOMONTH(_xlpm.Month, -1) + 1) * (#REF! &lt;= EOMONTH(_xlpm.Month, 0)) * (#REF! = _xlpm.LivestockClass))), 0))</definedName>
    <definedName name="CommonLivestock_InputFunctions.LivestockMovement_TotalLiveweightAddedDuringMonth">_xlfn.LAMBDA(_xlpm.Month,_xlpm.LivestockClass, IFERROR(SUM(_xlfn._xlws.FILTER(#REF!, (#REF! &gt;= EOMONTH(_xlpm.Month, -1) + 1) * (#REF! &lt;= EOMONTH(_xlpm.Month, 0)) * (#REF! = _xlpm.LivestockClass))), 0))</definedName>
    <definedName name="CommonLivestock_InputFunctions.LivestockMovement_TotalLiveweightGrownDuringMonth" localSheetId="13">_xlfn.LAMBDA(_xlpm.Month,_xlpm.LivestockClass, IFERROR(SUM(_xlfn._xlws.FILTER(#REF!, (#REF! &gt;= EOMONTH(_xlpm.Month, -1) + 1) * (#REF! &lt;= EOMONTH(_xlpm.Month, 0)) * (#REF! = _xlpm.LivestockClass))), 0))</definedName>
    <definedName name="CommonLivestock_InputFunctions.LivestockMovement_TotalLiveweightGrownDuringMonth">_xlfn.LAMBDA(_xlpm.Month,_xlpm.LivestockClass, IFERROR(SUM(_xlfn._xlws.FILTER(#REF!, (#REF! &gt;= EOMONTH(_xlpm.Month, -1) + 1) * (#REF! &lt;= EOMONTH(_xlpm.Month, 0)) * (#REF! = _xlpm.LivestockClass))), 0))</definedName>
    <definedName name="CommonLivestock_InputFunctions.LivestockMovement_TotalLiveweightGrownDuringMonthAddedAndRemaining">_xlfn.LAMBDA(_xlpm.Month,_xlpm.LivestockClass,_xlpm.HeadAtStart, [0]!CommonLivestock_InputFunctions.LivestockMovement_LiveweightGrownFromMonthStartTotal(_xlpm.LivestockClass, _xlpm.Month, _xlpm.HeadAtStart) + [0]!CommonLivestock_InputFunctions.LivestockMovement_TotalLiveweightGrownDuringMonth(_xlpm.Month, _xlpm.LivestockClass))</definedName>
    <definedName name="CommonLivestock_SourceData.SourceData_Livestock_Common_FracLEACH_MS_Data">_xlfn.LAMBDA(_xlfn.MAKEARRAY(8, 2, _xlfn.LAMBDA(_xlpm.r,_xlpm.c, INDEX({"Production system","Emission factor";"Irrigated pasture",0.0059;"Irrigated crop",0.007;"Non-irrigated pasture",0.0018;"Non-irrigated crop",0.0041;"Sugar cane",0.0199;"Cotton",0.0053;"Horticulture",0.0064}, _xlpm.r, _xlpm.c))))</definedName>
    <definedName name="CommonLivestock_SourceData.SourceData_Livestock_Common_FracLEACH_MS_Source">_xlfn.LAMBDA("National Inventory Report 2023 Volume 1: Equations 3.B.5a_3, 3.B.5c_3, 3.B.5d_3")</definedName>
    <definedName name="CommonLivestock_SourceData.SourceData_Livestock_Common_FracLEACH_MS_Title">_xlfn.LAMBDA("Fraction of N lost through leaching and runoff")</definedName>
    <definedName name="CommonLivestock_SourceData.SourceData_Livestock_Common_FracLEACH_MS_Unit">_xlfn.LAMBDA("Fraction")</definedName>
    <definedName name="CommonLivestock_SourceData.SourceData_Livestock_Common_FracWETMMS_Data">_xlfn.LAMBDA(1)</definedName>
    <definedName name="CommonLivestock_SourceData.SourceData_Livestock_Common_FracWETMMS_Source">_xlfn.LAMBDA("National Inventory Report 2023 Volume 1: Equations 3.B.5a_3, 3.B.5c_3, 3.B.5d_3")</definedName>
    <definedName name="CommonLivestock_SourceData.SourceData_Livestock_Common_FracWETMMS_Title">_xlfn.LAMBDA("Fraction of N available for leaching and runoff")</definedName>
    <definedName name="CommonLivestock_SourceData.SourceData_Livestock_Common_FracWETMMS_Unit">_xlfn.LAMBDA("Fraction")</definedName>
    <definedName name="CommonLivestock_SourceData.SourceData_Livestock_Common_SymbolsMMS_Data">_xlfn.LAMBDA(_xlfn.MAKEARRAY(19, 3, _xlfn.LAMBDA(_xlpm.r,_xlpm.c, INDEX({"Symbol","Manure management system","";"1","Anaerobic lagoon","Anaerobic lagoon (m=1)";"2","Liquid systems","Liquid systems (m=2)";"3","Daily spread","Daily spread (m=3)";"3a","Sump and dispersal system","Sump and dispersal system (m=3a)";"3b","Drains to paddock","Drains to paddock (m=3b)";"4","Solid storage","Solid storage (m=4)";"5","Drylot (feed pad)","Drylot (feed pad) (m=5)";"6","Composting (passive windrow)","Composting (passive windrow) (m=6)";"7","Digester / covered lagoons","Digester / covered lagoons (m=7)";"8","Deep litter","Deep litter (m=8)";"9","Pit storage","Pit storage (m=9)";"10","Poultry manure with bedding","Poultry manure with bedding (m=10)";"11","Poultry manure without bedding","Poultry manure without bedding (m=11)";"11a","Belt manure removal","Belt manure removal (m=11a)";"11b","Manure stored in house","Manure stored in house (m=11b)";"12","Direct processing","Direct processing (m=12)";"13","Direct application","Direct application (m=13)";"14","Pasture range and paddock","Pasture range and paddock (m=14)"}, _xlpm.r, _xlpm.c))))</definedName>
    <definedName name="CommonLivestock_SourceData.SourceData_Livestock_Common_SymbolsMMS_Source">_xlfn.LAMBDA("National Inventory Report 2023 Volume 1: Table 5.12")</definedName>
    <definedName name="CommonLivestock_SourceData.SourceData_Livestock_Common_SymbolsMMS_Title">_xlfn.LAMBDA("Table 5.12 Additional symbols used in algorithms for manure related emissions")</definedName>
    <definedName name="CommonLivestock_SourceData.SourceData_Livestock_Common_SymbolsMMS_Unit">_xlfn.LAMBDA("")</definedName>
    <definedName name="CommonLivestock_SourceData.SourceData_Livestock_Common_SymbolsMMS_Vairable">_xlfn.LAMBDA("MMS")</definedName>
    <definedName name="EntericMethane_Dairy_Equations.VEERG_3_3_1_1__1_TotalAnnualMethaneFromEntericFermentation">_xlfn.LAMBDA(_xlpm.N_j124,_xlpm.M_j124,_xlpm.D_j124,_xlpm.N_j35,_xlpm.M_j35,_xlpm.D_j35,_xlpm.MPW_ENTERIC_j35, ((_xlpm.N_j124 * _xlpm.M_j124 * _xlpm.D_j124) + (_xlpm.N_j35 * _xlpm.M_j35 * _xlpm.D_j35) + (_xlpm.N_j35 * _xlpm.MPW_ENTERIC_j35 * _xlpm.D_j35)) * 10 ^ -3)</definedName>
    <definedName name="EntericMethane_Dairy_Equations.VEERG_3_3_1_1__1_TotalAnnualMethaneFromEntericFermentation_Arguments">_xlfn.LAMBDA(_xlfn.MAKEARRAY(7, 2, _xlfn.LAMBDA(_xlpm.r,_xlpm.c, INDEX({"N_j124","number of dairy cattle in classes j=1,2,4 (head)";"M_j124","daily enteric methane production for classes j=1,2,4 (kg CH4/head/day)";"D_j124","duration of stay on the farm for classes j=1,2,4 (days)";"N_j35","number of dairy cattle in classes j=3,5 (head)";"M_j35","daily enteric methane production for classes j=3,5 (kg CH4/head/day)";"D_j35","duration of stay on the farm for classes j=3,5 (days)";"MPW_ENTERIC_j35","daily methane production for pre-weaned heifer and bull calves (kg CH4/head/day)"}, _xlpm.r, _xlpm.c))))</definedName>
    <definedName name="EntericMethane_Dairy_Equations.VEERG_3_3_1_1__1_TotalAnnualMethaneFromEntericFermentation_LatexEquation">_xlfn.LAMBDA("E_{enteric}=((N_{j=1,2,4}\times M_{j=1,2,4}\times D_{j=1,2,4})+(N_{j=3,5}\times M_{j=3,5}\times D_{j=3,5})+(N_{j=3,5}\times MPW_{ENTERIC,j=3,5}\times D_{j=3,5}))\times 10^{-3}")</definedName>
    <definedName name="EntericMethane_Dairy_Equations.VEERG_3_3_1_1__1_TotalAnnualMethaneFromEntericFermentation_NIRReference">_xlfn.LAMBDA("")</definedName>
    <definedName name="EntericMethane_Dairy_Equations.VEERG_3_3_1_1__1_TotalAnnualMethaneFromEntericFermentation_Source">_xlfn.LAMBDA("VEERG 2026: 3.3.1.1, Equation (1)")</definedName>
    <definedName name="EntericMethane_Dairy_Equations.VEERG_3_3_1_1__1_TotalAnnualMethaneFromEntericFermentation_Title">_xlfn.LAMBDA("Total annual methane production from enteric fermentation in dairy cattle")</definedName>
    <definedName name="EntericMethane_Dairy_Equations.VEERG_3_3_1_1__1_TotalAnnualMethaneFromEntericFermentation_Unit">_xlfn.LAMBDA("t CH4")</definedName>
    <definedName name="EntericMethane_Dairy_Equations.VEERG_3_3_1_1__1_TotalAnnualMethaneFromEntericFermentation_Variable">_xlfn.LAMBDA("E_enteric")</definedName>
    <definedName name="EntericMethane_Dairy_Equations.VEERG_3_3_1_1__2_DailyEntericMethaneProduction">_xlfn.LAMBDA(_xlpm.I_j, 20.7 * _xlpm.I_j * 10 ^ -3)</definedName>
    <definedName name="EntericMethane_Dairy_Equations.VEERG_3_3_1_1__2_DailyEntericMethaneProduction_Arguments">_xlfn.LAMBDA(_xlfn.MAKEARRAY(1, 2, _xlfn.LAMBDA(_xlpm.r,_xlpm.c, INDEX({"I_j","dry matter feed intake (kg DM/head/day)"}, _xlpm.r, _xlpm.c))))</definedName>
    <definedName name="EntericMethane_Dairy_Equations.VEERG_3_3_1_1__2_DailyEntericMethaneProduction_LatexEquation">_xlfn.LAMBDA("M_j=20.7\times I_j\times 10^{-3}")</definedName>
    <definedName name="EntericMethane_Dairy_Equations.VEERG_3_3_1_1__2_DailyEntericMethaneProduction_NIRReference">_xlfn.LAMBDA("Charmley et al. (2015)")</definedName>
    <definedName name="EntericMethane_Dairy_Equations.VEERG_3_3_1_1__2_DailyEntericMethaneProduction_Source">_xlfn.LAMBDA("VEERG 2026: 3.3.1.1, Equation (2)")</definedName>
    <definedName name="EntericMethane_Dairy_Equations.VEERG_3_3_1_1__2_DailyEntericMethaneProduction_Title">_xlfn.LAMBDA("Daily production of enteric methane")</definedName>
    <definedName name="EntericMethane_Dairy_Equations.VEERG_3_3_1_1__2_DailyEntericMethaneProduction_Unit">_xlfn.LAMBDA("kg CH4/head/day")</definedName>
    <definedName name="EntericMethane_Dairy_Equations.VEERG_3_3_1_1__2_DailyEntericMethaneProduction_Variable">_xlfn.LAMBDA("M_j")</definedName>
    <definedName name="EntericMethane_Dairy_Equations.VEERG_3_3_1_1__3_DryMatterFeedIntake">_xlfn.LAMBDA(_xlpm.W_j,_xlpm.LWG_j,_xlpm.MR_j,_xlpm.MI_j, (1.185 + 0.00454 * _xlpm.W_j - 0.0000026 * _xlpm.W_j ^ 2 + 0.315 * _xlpm.LWG_j) ^ 2 * _xlpm.MR_j + _xlpm.MI_j)</definedName>
    <definedName name="EntericMethane_Dairy_Equations.VEERG_3_3_1_1__3_DryMatterFeedIntake_Arguments">_xlfn.LAMBDA(_xlfn.MAKEARRAY(4, 2, _xlfn.LAMBDA(_xlpm.r,_xlpm.c, INDEX({"W_j","liveweight (kg)";"LWG_j","liveweight gain (kg/head/day)";"MR_j","increase in metabolic rate when producing milk (fraction)";"MI_j","additional intake required for milk production (kg DM/head/day)"}, _xlpm.r, _xlpm.c))))</definedName>
    <definedName name="EntericMethane_Dairy_Equations.VEERG_3_3_1_1__3_DryMatterFeedIntake_LatexEquation">_xlfn.LAMBDA("I_j=(1.185+0.00454\times W_j-0.0000026\times W_j^2+0.315\times LWG_j)^2\times MR_j+MI_j")</definedName>
    <definedName name="EntericMethane_Dairy_Equations.VEERG_3_3_1_1__3_DryMatterFeedIntake_NIRReference">_xlfn.LAMBDA("Minson and McDonald (1987)")</definedName>
    <definedName name="EntericMethane_Dairy_Equations.VEERG_3_3_1_1__3_DryMatterFeedIntake_Source">_xlfn.LAMBDA("VEERG 2026: 3.3.1.1, Equation (3)")</definedName>
    <definedName name="EntericMethane_Dairy_Equations.VEERG_3_3_1_1__3_DryMatterFeedIntake_Title">_xlfn.LAMBDA("Feed intake based on Minson and McDonald (1987)")</definedName>
    <definedName name="EntericMethane_Dairy_Equations.VEERG_3_3_1_1__3_DryMatterFeedIntake_Unit">_xlfn.LAMBDA("kg DM/head/day")</definedName>
    <definedName name="EntericMethane_Dairy_Equations.VEERG_3_3_1_1__3_DryMatterFeedIntake_Variable">_xlfn.LAMBDA("I_j")</definedName>
    <definedName name="EntericMethane_Dairy_Equations.VEERG_3_3_1_1__4_AdditionalIntakeForMilkProduction">_xlfn.LAMBDA(_xlpm.MP_j,_xlpm.NE,_xlpm.GEC,_xlpm.k,_xlpm.qm_j, (_xlpm.MP_j * 1.03 * _xlpm.NE) / (_xlpm.GEC * _xlpm.k * _xlpm.qm_j))</definedName>
    <definedName name="EntericMethane_Dairy_Equations.VEERG_3_3_1_1__4_AdditionalIntakeForMilkProduction_Arguments">_xlfn.LAMBDA(_xlfn.MAKEARRAY(5, 2, _xlfn.LAMBDA(_xlpm.r,_xlpm.c, INDEX({"MP_j","milk production (L/head/day)";"NE","net energy (MJ net energy/kg milk)";"GEC","gross energy content (MJ/kgDM)";"k","efficiency of metabolizable energy use for milk production (fraction)";"qm_j","metabolisability of the diet (fraction)"}, _xlpm.r, _xlpm.c))))</definedName>
    <definedName name="EntericMethane_Dairy_Equations.VEERG_3_3_1_1__4_AdditionalIntakeForMilkProduction_LatexEquation">_xlfn.LAMBDA("MI_j=\frac{MP_j\times 1.03\times NE}{GEC\times k\times qm_j}")</definedName>
    <definedName name="EntericMethane_Dairy_Equations.VEERG_3_3_1_1__4_AdditionalIntakeForMilkProduction_NIRReference">_xlfn.LAMBDA("")</definedName>
    <definedName name="EntericMethane_Dairy_Equations.VEERG_3_3_1_1__4_AdditionalIntakeForMilkProduction_Source">_xlfn.LAMBDA("VEERG 2026: 3.3.1.1, Equation (4)")</definedName>
    <definedName name="EntericMethane_Dairy_Equations.VEERG_3_3_1_1__4_AdditionalIntakeForMilkProduction_Title">_xlfn.LAMBDA("Additional intake required for milk production")</definedName>
    <definedName name="EntericMethane_Dairy_Equations.VEERG_3_3_1_1__4_AdditionalIntakeForMilkProduction_Unit">_xlfn.LAMBDA("kg DM/head/day")</definedName>
    <definedName name="EntericMethane_Dairy_Equations.VEERG_3_3_1_1__4_AdditionalIntakeForMilkProduction_Variable">_xlfn.LAMBDA("MI_j")</definedName>
    <definedName name="EntericMethane_Dairy_Equations.VEERG_3_3_1_1__5_MilkProductionFromMilkSolids">_xlfn.LAMBDA(_xlpm.MS_j,_xlpm.FC_j,_xlpm.PC_j, _xlpm.MS_j / (0.01 * (_xlpm.FC_j + _xlpm.PC_j)))</definedName>
    <definedName name="EntericMethane_Dairy_Equations.VEERG_3_3_1_1__5_MilkProductionFromMilkSolids_Arguments">_xlfn.LAMBDA(_xlfn.MAKEARRAY(3, 2, _xlfn.LAMBDA(_xlpm.r,_xlpm.c, INDEX({"MS_j","daily production of milk solids (kg MS/head/day)";"FC_j","fat content in fat and protein corrected milk (per cent)";"PC_j","protein content in fat and protein corrected milk (per cent)"}, _xlpm.r, _xlpm.c))))</definedName>
    <definedName name="EntericMethane_Dairy_Equations.VEERG_3_3_1_1__5_MilkProductionFromMilkSolids_LatexEquation">_xlfn.LAMBDA("MP_j=MS_j/(0.01\times (FC_j+PC_j))")</definedName>
    <definedName name="EntericMethane_Dairy_Equations.VEERG_3_3_1_1__5_MilkProductionFromMilkSolids_NIRReference">_xlfn.LAMBDA("")</definedName>
    <definedName name="EntericMethane_Dairy_Equations.VEERG_3_3_1_1__5_MilkProductionFromMilkSolids_Source">_xlfn.LAMBDA("VEERG 2026: 3.3.1.1, Equation (5)")</definedName>
    <definedName name="EntericMethane_Dairy_Equations.VEERG_3_3_1_1__5_MilkProductionFromMilkSolids_Title">_xlfn.LAMBDA("Milk production converted from milk solids")</definedName>
    <definedName name="EntericMethane_Dairy_Equations.VEERG_3_3_1_1__5_MilkProductionFromMilkSolids_Unit">_xlfn.LAMBDA("L/head/day")</definedName>
    <definedName name="EntericMethane_Dairy_Equations.VEERG_3_3_1_1__5_MilkProductionFromMilkSolids_Variable">_xlfn.LAMBDA("MP_j")</definedName>
    <definedName name="EntericMethane_Dairy_Equations.VEERG_3_3_1_1__6_MetabolisabilityOfDiet">_xlfn.LAMBDA(_xlpm.DMD_j, 0.795 * (_xlpm.DMD_j * 100) - 0.0014)</definedName>
    <definedName name="EntericMethane_Dairy_Equations.VEERG_3_3_1_1__6_MetabolisabilityOfDiet_Arguments">_xlfn.LAMBDA(_xlfn.MAKEARRAY(1, 2, _xlfn.LAMBDA(_xlpm.r,_xlpm.c, INDEX({"DMD_j","dry matter digestibility expressed as a fraction"}, _xlpm.r, _xlpm.c))))</definedName>
    <definedName name="EntericMethane_Dairy_Equations.VEERG_3_3_1_1__6_MetabolisabilityOfDiet_LatexEquation">_xlfn.LAMBDA("qm_j=0.795\times (DMD_j\times 100)-0.0014")</definedName>
    <definedName name="EntericMethane_Dairy_Equations.VEERG_3_3_1_1__6_MetabolisabilityOfDiet_NIRReference">_xlfn.LAMBDA("Minson and McDonald (1987)")</definedName>
    <definedName name="EntericMethane_Dairy_Equations.VEERG_3_3_1_1__6_MetabolisabilityOfDiet_Source">_xlfn.LAMBDA("VEERG 2026: 3.3.1.1, Equation (6)")</definedName>
    <definedName name="EntericMethane_Dairy_Equations.VEERG_3_3_1_1__6_MetabolisabilityOfDiet_Title">_xlfn.LAMBDA("Metabolisability of the diet based on Minson and McDonald (1987)")</definedName>
    <definedName name="EntericMethane_Dairy_Equations.VEERG_3_3_1_1__6_MetabolisabilityOfDiet_Unit">_xlfn.LAMBDA("fraction")</definedName>
    <definedName name="EntericMethane_Dairy_Equations.VEERG_3_3_1_1__6_MetabolisabilityOfDiet_Variable">_xlfn.LAMBDA("qm_j")</definedName>
    <definedName name="getOverlappingReportingCycles">_xlfn.LAMBDA(_xlpm.ProductionCycleStart,_xlpm.ProductionCycleEnd,_xlpm.ReportingStartMonth,_xlpm.ReportingStartDay, _xlfn.LET(_xlpm.S, _xlpm.ProductionCycleStart, _xlpm.E, _xlpm.ProductionCycleEnd, _xlpm.m, _xlpm.ReportingStartMonth, _xlpm.d, _xlpm.ReportingStartDay, _xlpm.A, _xlpm.S - 364, _xlpm.ya, YEAR(_xlpm.A), _xlpm.yb, YEAR(_xlpm.E), _xlpm.firstYear, _xlpm.ya + (DATE(_xlpm.ya, _xlpm.m, _xlpm.d) &lt; _xlpm.A), _xlpm.lastYear, _xlpm.yb - (DATE(_xlpm.yb, _xlpm.m, _xlpm.d) &gt; _xlpm.E), MAX(0, _xlpm.lastYear - _xlpm.firstYear + 1)))</definedName>
    <definedName name="Inoput_Cell_Livestock_antibiotics">#REF!</definedName>
    <definedName name="Inoput_Cell_Livestockantibiotics">#REF!</definedName>
    <definedName name="Input_Cell_CO2_for_carbonation">#REF!</definedName>
    <definedName name="Input_Cell_CO2forcarbonation">#REF!</definedName>
    <definedName name="Input_Cell_Livestock_antibiotics">#REF!</definedName>
    <definedName name="Input_Cell_Livestock_tags">#REF!</definedName>
    <definedName name="Input_Cell_LivestockAntibiotics">#REF!</definedName>
    <definedName name="Input_Cell_Nylon_netting_for_horticulture">#REF!</definedName>
    <definedName name="Input_Cell_Nylonnettingforhorticulture">#REF!</definedName>
    <definedName name="Input_Cell_Pallets__Plastic">#REF!</definedName>
    <definedName name="Input_Cell_Pallets__Wood">#REF!</definedName>
    <definedName name="Input_Cell_Pallets_Plastic">#REF!</definedName>
    <definedName name="Input_Cell_Pallets_Wood">#REF!</definedName>
    <definedName name="InputFunctions_Dairy.CalculateFractionInMMSAfterSolidSeparation">_xlfn.LAMBDA(_xlpm.ProductionSystem,_xlpm.MMSFraction,_xlpm.FractionSeparated, _xlpm.ProductionSystem * (_xlpm.MMSFraction - (_xlpm.MMSFraction * _xlpm.FractionSeparated)))</definedName>
    <definedName name="InputFunctions_Dairy.CalculateFractionInSolidStorage">_xlfn.LAMBDA(_xlpm.ProductionSystem,_xlpm.InitalSolidStorageFraction,_xlpm.MMS1Fraction,_xlpm.MMS1Separated,_xlpm.MMS2Fraction,_xlpm.MMS2Separated,_xlpm.MMS3Fraction,_xlpm.MMS3Separated, _xlpm.ProductionSystem * (_xlpm.InitalSolidStorageFraction + (_xlpm.MMS1Fraction * _xlpm.MMS1Separated) + (_xlpm.MMS2Fraction * _xlpm.MMS2Separated) + (_xlpm.MMS3Fraction * _xlpm.MMS3Separated)))</definedName>
    <definedName name="MMS_Dairy_AtmosphericDeposition_Equations.VEERG_4_3_1_5__1_AnnualAtmosphericDepositionEmissionsFromMMS">_xlfn.LAMBDA(_xlpm.MN_ATMOS,_xlpm.EF_N2O,_xlpm.C_N2O, _xlpm.MN_ATMOS * _xlpm.EF_N2O * _xlpm.C_N2O * 10 ^ -3)</definedName>
    <definedName name="MMS_Dairy_AtmosphericDeposition_Equations.VEERG_4_3_1_5__1_AnnualAtmosphericDepositionEmissionsFromMMS_Arguments">_xlfn.LAMBDA(_xlfn.MAKEARRAY(6, 2, _xlfn.LAMBDA(_xlpm.r,_xlpm.c, INDEX({"MN_ATMOS","mass of N volatilised from MMS (kg N)";"EF_N2O","nitrous oxide emission factor for atmospheric deposition (kg N2O-N/kg N)";"C_N2O","factor to convert elemental mass of N2O to molecular mass";"j","production system";"ir","irrigation method";"r","rainfall region"}, _xlpm.r, _xlpm.c))))</definedName>
    <definedName name="MMS_Dairy_AtmosphericDeposition_Equations.VEERG_4_3_1_5__1_AnnualAtmosphericDepositionEmissionsFromMMS_LatexEquation">_xlfn.LAMBDA("E_{N2O,MMS,ad}=MN_{ATMOS}\times EF_{N2O}\times C_{N2O}\times 10^{-3}")</definedName>
    <definedName name="MMS_Dairy_AtmosphericDeposition_Equations.VEERG_4_3_1_5__1_AnnualAtmosphericDepositionEmissionsFromMMS_NIRReference">_xlfn.LAMBDA("")</definedName>
    <definedName name="MMS_Dairy_AtmosphericDeposition_Equations.VEERG_4_3_1_5__1_AnnualAtmosphericDepositionEmissionsFromMMS_Source">_xlfn.LAMBDA("VEERG 2026: 4.3.1.5, Equation (1)")</definedName>
    <definedName name="MMS_Dairy_AtmosphericDeposition_Equations.VEERG_4_3_1_5__1_AnnualAtmosphericDepositionEmissionsFromMMS_Title">_xlfn.LAMBDA("Annual atmospheric deposition emissions from MMS")</definedName>
    <definedName name="MMS_Dairy_AtmosphericDeposition_Equations.VEERG_4_3_1_5__1_AnnualAtmosphericDepositionEmissionsFromMMS_Unit">_xlfn.LAMBDA("t N2O")</definedName>
    <definedName name="MMS_Dairy_AtmosphericDeposition_Equations.VEERG_4_3_1_5__1_AnnualAtmosphericDepositionEmissionsFromMMS_Variable">_xlfn.LAMBDA("E_N2OMMSad")</definedName>
    <definedName name="MMS_Dairy_AtmosphericDeposition_Equations.VEERG_4_3_1_5__2_TotalNitrogenVolatilisedFromMMS">_xlfn.LAMBDA(_xlpm.MN_jm,_xlpm.FracGASM_m, _xlpm.MN_jm * _xlpm.FracGASM_m)</definedName>
    <definedName name="MMS_Dairy_AtmosphericDeposition_Equations.VEERG_4_3_1_5__2_TotalNitrogenVolatilisedFromMMS_Arguments">_xlfn.LAMBDA(_xlfn.MAKEARRAY(2, 2, _xlfn.LAMBDA(_xlpm.r,_xlpm.c, INDEX({"MN_jm","total nitrogen in each MMS for dairy cattle classes (kg N)";"FracGASM_m","fraction of N volatilised from MMS (fraction)"}, _xlpm.r, _xlpm.c))))</definedName>
    <definedName name="MMS_Dairy_AtmosphericDeposition_Equations.VEERG_4_3_1_5__2_TotalNitrogenVolatilisedFromMMS_LatexEquation">_xlfn.LAMBDA("MN_{ATMOS}=\sum\nolimits_{j}\sum\nolimits_{m}(MN_{jm}\times FracGASM_m)")</definedName>
    <definedName name="MMS_Dairy_AtmosphericDeposition_Equations.VEERG_4_3_1_5__2_TotalNitrogenVolatilisedFromMMS_NIRReference">_xlfn.LAMBDA("")</definedName>
    <definedName name="MMS_Dairy_AtmosphericDeposition_Equations.VEERG_4_3_1_5__2_TotalNitrogenVolatilisedFromMMS_Source">_xlfn.LAMBDA("VEERG 2026: 4.3.1.5, Equation (2)")</definedName>
    <definedName name="MMS_Dairy_AtmosphericDeposition_Equations.VEERG_4_3_1_5__2_TotalNitrogenVolatilisedFromMMS_Title">_xlfn.LAMBDA("Total nitrogen volatilised from MMS")</definedName>
    <definedName name="MMS_Dairy_AtmosphericDeposition_Equations.VEERG_4_3_1_5__2_TotalNitrogenVolatilisedFromMMS_Unit">_xlfn.LAMBDA("kg N")</definedName>
    <definedName name="MMS_Dairy_AtmosphericDeposition_Equations.VEERG_4_3_1_5__2_TotalNitrogenVolatilisedFromMMS_Variable">_xlfn.LAMBDA("MN_ATMOS")</definedName>
    <definedName name="MMS_Dairy_LeachingAndRunoff_Equations.VEERG_4_3_1_6__1_AnnualEmissionsFromLeachingAndRunoffFromMMS">_xlfn.LAMBDA(_xlpm.MNLeach_jm,_xlpm.EF_leach,_xlpm.C_N2O, (_xlpm.MNLeach_jm * _xlpm.EF_leach * _xlpm.C_N2O) * 10 ^ -3)</definedName>
    <definedName name="MMS_Dairy_LeachingAndRunoff_Equations.VEERG_4_3_1_6__1_AnnualEmissionsFromLeachingAndRunoffFromMMS_Arguments">_xlfn.LAMBDA(_xlfn.MAKEARRAY(3, 2, _xlfn.LAMBDA(_xlpm.r,_xlpm.c, INDEX({"MNLeach_jm","mass of N lost through leaching and runoff";"EF_leach","nitrous oxide emission factor for leaching and runoff (kg N2O-N/kg N)";"C_N2O","factor to convert elemental mass of N2O to molecular mass"}, _xlpm.r, _xlpm.c))))</definedName>
    <definedName name="MMS_Dairy_LeachingAndRunoff_Equations.VEERG_4_3_1_6__1_AnnualEmissionsFromLeachingAndRunoffFromMMS_LatexEquation">_xlfn.LAMBDA("E_{N2O,leach}=\sum\nolimits_{j}\sum\nolimits_{m=1-13}(MNLeach_{jm}\times EF_{leach}\times C_{N2O})\times 10^{-3}")</definedName>
    <definedName name="MMS_Dairy_LeachingAndRunoff_Equations.VEERG_4_3_1_6__1_AnnualEmissionsFromLeachingAndRunoffFromMMS_NIRReference">_xlfn.LAMBDA("")</definedName>
    <definedName name="MMS_Dairy_LeachingAndRunoff_Equations.VEERG_4_3_1_6__1_AnnualEmissionsFromLeachingAndRunoffFromMMS_Source">_xlfn.LAMBDA("VEERG 2026: 4.3.1.6, Equation (1)")</definedName>
    <definedName name="MMS_Dairy_LeachingAndRunoff_Equations.VEERG_4_3_1_6__1_AnnualEmissionsFromLeachingAndRunoffFromMMS_Title">_xlfn.LAMBDA("Annual emissions from leaching and runoff from each MMS")</definedName>
    <definedName name="MMS_Dairy_LeachingAndRunoff_Equations.VEERG_4_3_1_6__1_AnnualEmissionsFromLeachingAndRunoffFromMMS_Unit">_xlfn.LAMBDA("t N2O")</definedName>
    <definedName name="MMS_Dairy_LeachingAndRunoff_Equations.VEERG_4_3_1_6__1_AnnualEmissionsFromLeachingAndRunoffFromMMS_Variable">_xlfn.LAMBDA("E_N2Oleach")</definedName>
    <definedName name="MMS_Dairy_LeachingAndRunoff_Equations.VEERG_4_3_1_6__2_MassOfNitrogenLostToLeachingAndRunoffFromSolidStorage">_xlfn.LAMBDA(_xlpm.MN_jm4,_xlpm.FracWET_i,_xlpm.FracLEACH_MS, _xlpm.MN_jm4 * _xlpm.FracWET_i * _xlpm.FracLEACH_MS)</definedName>
    <definedName name="MMS_Dairy_LeachingAndRunoff_Equations.VEERG_4_3_1_6__2_MassOfNitrogenLostToLeachingAndRunoffFromSolidStorage_Arguments">_xlfn.LAMBDA(_xlfn.MAKEARRAY(6, 2, _xlfn.LAMBDA(_xlpm.r,_xlpm.c, INDEX({"MN_jm4","total nitrogen in solid storage system m=4 (kg N)";"FracWET_i","fraction of N that is available for leaching and runoff from the leaching zone z and irrigation type ir (dimensionless)";"FracLEACH_MS","fraction of N that is lost through leaching and runoff (dimensionless)";"z","location in leaching zone";"j","production system";"ir","irrigation method"}, _xlpm.r, _xlpm.c))))</definedName>
    <definedName name="MMS_Dairy_LeachingAndRunoff_Equations.VEERG_4_3_1_6__2_MassOfNitrogenLostToLeachingAndRunoffFromSolidStorage_LatexEquation">_xlfn.LAMBDA("MNLeach_{jm=4}=MN_{jm=4}\times FracWET_i\times FracLEACH_{MS}")</definedName>
    <definedName name="MMS_Dairy_LeachingAndRunoff_Equations.VEERG_4_3_1_6__2_MassOfNitrogenLostToLeachingAndRunoffFromSolidStorage_NIRReference">_xlfn.LAMBDA("")</definedName>
    <definedName name="MMS_Dairy_LeachingAndRunoff_Equations.VEERG_4_3_1_6__2_MassOfNitrogenLostToLeachingAndRunoffFromSolidStorage_Source">_xlfn.LAMBDA("VEERG 2026: 4.3.1.6, Equation (2)")</definedName>
    <definedName name="MMS_Dairy_LeachingAndRunoff_Equations.VEERG_4_3_1_6__2_MassOfNitrogenLostToLeachingAndRunoffFromSolidStorage_Title">_xlfn.LAMBDA("Mass of nitrogen lost to leaching and runoff from solid storage systems")</definedName>
    <definedName name="MMS_Dairy_LeachingAndRunoff_Equations.VEERG_4_3_1_6__2_MassOfNitrogenLostToLeachingAndRunoffFromSolidStorage_Unit">_xlfn.LAMBDA("kg N")</definedName>
    <definedName name="MMS_Dairy_LeachingAndRunoff_Equations.VEERG_4_3_1_6__2_MassOfNitrogenLostToLeachingAndRunoffFromSolidStorage_Variable">_xlfn.LAMBDA("MNLeach_jm4")</definedName>
    <definedName name="MMS_Dairy_ManureAppliedToSoils_Equations.VEERG_4_3_1_8__1_MassOfNitrogenAppliedToSoilsScope1">_xlfn.LAMBDA(_xlpm.MN_jm,_xlpm.EF_m,_xlpm.FracGASM_m,_xlpm.MNLeach_jm,_xlpm.PF_scope, (_xlpm.MN_jm * (1 - _xlpm.EF_m - _xlpm.FracGASM_m) - _xlpm.MNLeach_jm) * _xlpm.PF_scope)</definedName>
    <definedName name="MMS_Dairy_ManureAppliedToSoils_Equations.VEERG_4_3_1_8__1_MassOfNitrogenAppliedToSoilsScope1_Arguments">_xlfn.LAMBDA(_xlfn.MAKEARRAY(5, 2, _xlfn.LAMBDA(_xlpm.r,_xlpm.c, INDEX({"MN_jm","total nitrogen in each MMS for dairy cattle classes (kg N)";"EF_m","emission factor for nitrous oxide emissions per MMS (kg N2O-N/kg N)";"FracGASM_m","fraction of N volatilised from MMS";"MNLeach_jm","mass of N lost through leaching and runoff from each MMS (kg N)";"PF_scope","fraction of manure applied to soil within farm boundary"}, _xlpm.r, _xlpm.c))))</definedName>
    <definedName name="MMS_Dairy_ManureAppliedToSoils_Equations.VEERG_4_3_1_8__1_MassOfNitrogenAppliedToSoilsScope1_LatexEquation">_xlfn.LAMBDA("MNSoil_{scope1}=\sum\nolimits_{j}\sum\nolimits_{m}(MN_{jm=1-13}\times (1-EF_{m=1-13}-FracGASM_{m=1-13})-MNLeach_{jm})\times PF")</definedName>
    <definedName name="MMS_Dairy_ManureAppliedToSoils_Equations.VEERG_4_3_1_8__1_MassOfNitrogenAppliedToSoilsScope1_NIRReference">_xlfn.LAMBDA("")</definedName>
    <definedName name="MMS_Dairy_ManureAppliedToSoils_Equations.VEERG_4_3_1_8__1_MassOfNitrogenAppliedToSoilsScope1_Source">_xlfn.LAMBDA("VEERG 2026: 4.3.1.8, Equation (1)")</definedName>
    <definedName name="MMS_Dairy_ManureAppliedToSoils_Equations.VEERG_4_3_1_8__1_MassOfNitrogenAppliedToSoilsScope1_Title">_xlfn.LAMBDA("Mass of nitrogen from manure applied to soils for scope 1 emissions")</definedName>
    <definedName name="MMS_Dairy_ManureAppliedToSoils_Equations.VEERG_4_3_1_8__1_MassOfNitrogenAppliedToSoilsScope1_Unit">_xlfn.LAMBDA("kg N")</definedName>
    <definedName name="MMS_Dairy_ManureAppliedToSoils_Equations.VEERG_4_3_1_8__1_MassOfNitrogenAppliedToSoilsScope1_Variable">_xlfn.LAMBDA("MNSoil_scope1")</definedName>
    <definedName name="MMS_Dairy_ManureAppliedToSoils_Equations.VEERG_4_3_1_8__2_MassOfNitrogenAppliedToSoilsScope3">_xlfn.LAMBDA(_xlpm.MN_jm,_xlpm.EF_m,_xlpm.FracGASM_m,_xlpm.MNLeach_jm,_xlpm.PF, (_xlpm.MN_jm * (1 - _xlpm.EF_m - _xlpm.FracGASM_m) - _xlpm.MNLeach_jm) * (1 - _xlpm.PF))</definedName>
    <definedName name="MMS_Dairy_ManureAppliedToSoils_Equations.VEERG_4_3_1_8__2_MassOfNitrogenAppliedToSoilsScope3_Arguments">_xlfn.LAMBDA(_xlfn.MAKEARRAY(5, 2, _xlfn.LAMBDA(_xlpm.r,_xlpm.c, INDEX({"MN_jm","total nitrogen in each MMS for dairy cattle classes (kg N)";"EF_m","emission factor for nitrous oxide emissions per MMS (kg N2O-N/kg N)";"FracGASM_m","fraction of N volatilised from MMS";"MNLeach_jm","mass of N lost through leaching and runoff from each MMS (kg N)";"PF","fraction of manure applied to soil within farm boundary"}, _xlpm.r, _xlpm.c))))</definedName>
    <definedName name="MMS_Dairy_ManureAppliedToSoils_Equations.VEERG_4_3_1_8__2_MassOfNitrogenAppliedToSoilsScope3_LatexEquation">_xlfn.LAMBDA("MNSoil_{scope3}=\sum\nolimits_{j}\sum\nolimits_{m}(MN_{jm=1-13}\times (1-EF_{m=1-13}-FracGASM_{m=1-13})-MNLeach_{jm})\times (1-PF)")</definedName>
    <definedName name="MMS_Dairy_ManureAppliedToSoils_Equations.VEERG_4_3_1_8__2_MassOfNitrogenAppliedToSoilsScope3_NIRReference">_xlfn.LAMBDA("")</definedName>
    <definedName name="MMS_Dairy_ManureAppliedToSoils_Equations.VEERG_4_3_1_8__2_MassOfNitrogenAppliedToSoilsScope3_Source">_xlfn.LAMBDA("VEERG 2026: 4.3.1.8, Equation (2)")</definedName>
    <definedName name="MMS_Dairy_ManureAppliedToSoils_Equations.VEERG_4_3_1_8__2_MassOfNitrogenAppliedToSoilsScope3_Title">_xlfn.LAMBDA("Mass of nitrogen from manure applied to soils for scope 3 emissions")</definedName>
    <definedName name="MMS_Dairy_ManureAppliedToSoils_Equations.VEERG_4_3_1_8__2_MassOfNitrogenAppliedToSoilsScope3_Unit">_xlfn.LAMBDA("kg N")</definedName>
    <definedName name="MMS_Dairy_ManureAppliedToSoils_Equations.VEERG_4_3_1_8__2_MassOfNitrogenAppliedToSoilsScope3_Variable">_xlfn.LAMBDA("MNSoil_scope3")</definedName>
    <definedName name="MMS_Dairy_Methane_Equations.VEERG_4_3_1_1__1_TotalAnnualMethaneFromManureManagement">_xlfn.LAMBDA(_xlpm.N_j124,_xlpm.M_j124m,_xlpm.D_j124,_xlpm.N_j35,_xlpm.M_j35m,_xlpm.D_j35,_xlpm.MPW_manure_j35, ((_xlpm.N_j124 * _xlpm.M_j124m * _xlpm.D_j124) + (_xlpm.N_j35 * _xlpm.M_j35m * _xlpm.D_j35) + (_xlpm.N_j35 * _xlpm.MPW_manure_j35 * _xlpm.D_j35)) * 10 ^ -3)</definedName>
    <definedName name="MMS_Dairy_Methane_Equations.VEERG_4_3_1_1__1_TotalAnnualMethaneFromManureManagement_Arguments">_xlfn.LAMBDA(_xlfn.MAKEARRAY(8, 2, _xlfn.LAMBDA(_xlpm.r,_xlpm.c, INDEX({"N_j124","number of dairy cattle in classes j=1,2,4";"M_j124m","methane production from manure of weaned dairy cattle in classes j=1,2,4 in MMS m (kg CH4/head/day)";"D_j124","duration of stay on farm for classes j=1,2,4 (days)";"N_j35","number of dairy cattle in classes j=3,5";"M_j35m","methane production from manure of weaned dairy cattle in classes j=3,5 in MMS m (kg CH4/head/day)";"D_j35","duration of stay on farm for classes j=3,5 (days)";"MPW_manure_j35","methane production from manure of pre-weaned heifer and bull calves (kg CH4/head/day)";"DPW_j35","duration of stay on farm for pre-weaned heifer and bull calves (days)"}, _xlpm.r, _xlpm.c))))</definedName>
    <definedName name="MMS_Dairy_Methane_Equations.VEERG_4_3_1_1__1_TotalAnnualMethaneFromManureManagement_LatexEquation">_xlfn.LAMBDA("E_{CH4}=\sum\nolimits_{j}\sum\nolimits_{m}((N_{j=1,2,4}\times M_{j=1,2,4,m}\times D_{j=1,2,4})+(N_{j=3,5}\times M_{j=3,5,m}\times D_{j=3,5})+(N_{j=3,5}\times MPW_{manure,j=3,5}\times D_{j=3,5}))\times 10^{-3}")</definedName>
    <definedName name="MMS_Dairy_Methane_Equations.VEERG_4_3_1_1__1_TotalAnnualMethaneFromManureManagement_LatexEquationVariation">_xlfn.LAMBDA("E_{CH4}=\sum\nolimits_{j}\sum\nolimits_{m}((N_{j=1,2,4}\times M_{j=1,2,4,m}\times D_{j=1,2,4})+(N_{j=3,5}\times M_{j=3,5,m}\times D_{j=3,5})+(N_{j=3,5}\times MPW_{manure,j=3,5}\times DPW_{j=3,5}))\times 10^{-3}")</definedName>
    <definedName name="MMS_Dairy_Methane_Equations.VEERG_4_3_1_1__1_TotalAnnualMethaneFromManureManagement_NIRReference">_xlfn.LAMBDA("")</definedName>
    <definedName name="MMS_Dairy_Methane_Equations.VEERG_4_3_1_1__1_TotalAnnualMethaneFromManureManagement_Source">_xlfn.LAMBDA("VEERG 2026: 4.3.1.1, Equation (1)")</definedName>
    <definedName name="MMS_Dairy_Methane_Equations.VEERG_4_3_1_1__1_TotalAnnualMethaneFromManureManagement_Title">_xlfn.LAMBDA("Total annual methane production from manure management")</definedName>
    <definedName name="MMS_Dairy_Methane_Equations.VEERG_4_3_1_1__1_TotalAnnualMethaneFromManureManagement_Unit">_xlfn.LAMBDA("t CH4")</definedName>
    <definedName name="MMS_Dairy_Methane_Equations.VEERG_4_3_1_1__1_TotalAnnualMethaneFromManureManagement_Variable">_xlfn.LAMBDA("E_CH4")</definedName>
    <definedName name="MMS_Dairy_Methane_Equations.VEERG_4_3_1_1__1_TotalAnnualMethaneFromManureManagement_Variation">_xlfn.LAMBDA("VARIATION: Used separate variable for duration of stay on farm for pre-weaned heifer and bull calves.")</definedName>
    <definedName name="MMS_Dairy_Methane_Equations.VEERG_4_3_1_1__1_TotalAnnualMethaneFromManureManagementVariation">_xlfn.LAMBDA(_xlpm.N_j124,_xlpm.M_j124m,_xlpm.D_j124,_xlpm.N_j35,_xlpm.M_j35m,_xlpm.D_j35,_xlpm.MPW_manure_j35,_xlpm.DPW_j35, ((_xlpm.N_j124 * _xlpm.M_j124m * _xlpm.D_j124) + (_xlpm.N_j35 * _xlpm.M_j35m * _xlpm.D_j35) + (_xlpm.N_j35 * _xlpm.MPW_manure_j35 * _xlpm.DPW_j35)) * 10 ^ -3)</definedName>
    <definedName name="MMS_Dairy_Methane_Equations.VEERG_4_3_1_1__2_MethaneFromManureProduction">_xlfn.LAMBDA(_xlpm.VS_j,_xlpm.FVS_jmT1,_xlpm.MCF_im,_xlpm.B_o,_xlpm.rho, _xlpm.VS_j * _xlpm.FVS_jmT1 * _xlpm.MCF_im * _xlpm.B_o * _xlpm.rho)</definedName>
    <definedName name="MMS_Dairy_Methane_Equations.VEERG_4_3_1_1__2_MethaneFromManureProduction_Arguments">_xlfn.LAMBDA(_xlfn.MAKEARRAY(6, 2, _xlfn.LAMBDA(_xlpm.r,_xlpm.c, INDEX({"VS_j","daily volatile solids production per head for dairy cattle (kg/head/day)";"FVS_jmT1","fraction of waste from each class in each management system";"MCF_im","methane conversion factor for temperature zone and MMS";"B_o","emissions potential (m3 CH4/kgVS)";"rho","density of methane (kg/m3)";"i","state"}, _xlpm.r, _xlpm.c))))</definedName>
    <definedName name="MMS_Dairy_Methane_Equations.VEERG_4_3_1_1__2_MethaneFromManureProduction_LatexEquation">_xlfn.LAMBDA("M_{jm}=VS_j\times FVS_{jm,T=1}\times MCF_{im}\times B_o\times \rho")</definedName>
    <definedName name="MMS_Dairy_Methane_Equations.VEERG_4_3_1_1__2_MethaneFromManureProduction_NIRReference">_xlfn.LAMBDA("")</definedName>
    <definedName name="MMS_Dairy_Methane_Equations.VEERG_4_3_1_1__2_MethaneFromManureProduction_Source">_xlfn.LAMBDA("VEERG 2026: 4.3.1.1, Equation (2)")</definedName>
    <definedName name="MMS_Dairy_Methane_Equations.VEERG_4_3_1_1__2_MethaneFromManureProduction_Title">_xlfn.LAMBDA("Methane from manure production from weaned dairy cattle")</definedName>
    <definedName name="MMS_Dairy_Methane_Equations.VEERG_4_3_1_1__2_MethaneFromManureProduction_Unit">_xlfn.LAMBDA("kg CH4/head/day")</definedName>
    <definedName name="MMS_Dairy_Methane_Equations.VEERG_4_3_1_1__2_MethaneFromManureProduction_Variable">_xlfn.LAMBDA("M_jm")</definedName>
    <definedName name="MMS_Dairy_Methane_Equations.VEERG_4_3_1_1__3_VolatileSolidsForWeanedDairyCattle">_xlfn.LAMBDA(_xlpm.I_j,_xlpm.DMD_j,_xlpm.A, (_xlpm.I_j * (1 - _xlpm.DMD_j) + (0.04 * _xlpm.I_j)) * (1 - _xlpm.A))</definedName>
    <definedName name="MMS_Dairy_Methane_Equations.VEERG_4_3_1_1__3_VolatileSolidsForWeanedDairyCattle_Arguments">_xlfn.LAMBDA(_xlfn.MAKEARRAY(3, 2, _xlfn.LAMBDA(_xlpm.r,_xlpm.c, INDEX({"I_j","dry matter feed intake (kgDM/head/day)";"DMD_j","dry matter digestibility";"A","ash content of feed intake"}, _xlpm.r, _xlpm.c))))</definedName>
    <definedName name="MMS_Dairy_Methane_Equations.VEERG_4_3_1_1__3_VolatileSolidsForWeanedDairyCattle_LatexEquation">_xlfn.LAMBDA("VS_j=(I_j\times (1-DMD_j)+(0.04\times I_j))\times (1-A)")</definedName>
    <definedName name="MMS_Dairy_Methane_Equations.VEERG_4_3_1_1__3_VolatileSolidsForWeanedDairyCattle_NIRReference">_xlfn.LAMBDA("")</definedName>
    <definedName name="MMS_Dairy_Methane_Equations.VEERG_4_3_1_1__3_VolatileSolidsForWeanedDairyCattle_Source">_xlfn.LAMBDA("VEERG 2026: 4.3.1.1, Equation (3)")</definedName>
    <definedName name="MMS_Dairy_Methane_Equations.VEERG_4_3_1_1__3_VolatileSolidsForWeanedDairyCattle_Title">_xlfn.LAMBDA("Volatile solids for weaned dairy cattle")</definedName>
    <definedName name="MMS_Dairy_Methane_Equations.VEERG_4_3_1_1__3_VolatileSolidsForWeanedDairyCattle_Unit">_xlfn.LAMBDA("kg/head/day")</definedName>
    <definedName name="MMS_Dairy_Methane_Equations.VEERG_4_3_1_1__3_VolatileSolidsForWeanedDairyCattle_Variable">_xlfn.LAMBDA("VS_j")</definedName>
    <definedName name="MMS_Dairy_Methane_Equations.VEERG_4_3_1_1__4_FractionVolatileSolidsNotSolidStorage">_xlfn.LAMBDA(_xlpm.MMS_jm,_xlpm.SS_m, _xlpm.MMS_jm * (1 - _xlpm.SS_m))</definedName>
    <definedName name="MMS_Dairy_Methane_Equations.VEERG_4_3_1_1__4_FractionVolatileSolidsNotSolidStorage_Arguments">_xlfn.LAMBDA(_xlfn.MAKEARRAY(2, 2, _xlfn.LAMBDA(_xlpm.r,_xlpm.c, INDEX({"MMS_jm","fraction of manure to each primary MMS for each class prior to solid separation";"SS_m","fraction of volatile solids separated to solid storage for each MMS"}, _xlpm.r, _xlpm.c))))</definedName>
    <definedName name="MMS_Dairy_Methane_Equations.VEERG_4_3_1_1__4_FractionVolatileSolidsNotSolidStorage_LatexEquation">_xlfn.LAMBDA("FVS_{jm}=MMS_{jm}\times (1-SS_m)")</definedName>
    <definedName name="MMS_Dairy_Methane_Equations.VEERG_4_3_1_1__4_FractionVolatileSolidsNotSolidStorage_NIRReference">_xlfn.LAMBDA("")</definedName>
    <definedName name="MMS_Dairy_Methane_Equations.VEERG_4_3_1_1__4_FractionVolatileSolidsNotSolidStorage_Source">_xlfn.LAMBDA("VEERG 2026: 4.3.1.1, Equation (4)")</definedName>
    <definedName name="MMS_Dairy_Methane_Equations.VEERG_4_3_1_1__4_FractionVolatileSolidsNotSolidStorage_Title">_xlfn.LAMBDA("Fraction of volatile solids in each system other than solid storage")</definedName>
    <definedName name="MMS_Dairy_Methane_Equations.VEERG_4_3_1_1__4_FractionVolatileSolidsNotSolidStorage_Unit">_xlfn.LAMBDA("fraction")</definedName>
    <definedName name="MMS_Dairy_Methane_Equations.VEERG_4_3_1_1__4_FractionVolatileSolidsNotSolidStorage_Variable">_xlfn.LAMBDA("FVS_jm")</definedName>
    <definedName name="MMS_Dairy_Methane_Equations.VEERG_4_3_1_1__5_FractionVolatileSolidsSolidStorage">_xlfn.LAMBDA(_xlpm.MMS_jm4,_xlpm.MMS_jm179,_xlpm.SS_m, _xlpm.MMS_jm4 + (_xlpm.MMS_jm179 * _xlpm.SS_m))</definedName>
    <definedName name="MMS_Dairy_Methane_Equations.VEERG_4_3_1_1__5_FractionVolatileSolidsSolidStorage_Arguments">_xlfn.LAMBDA(_xlfn.MAKEARRAY(3, 2, _xlfn.LAMBDA(_xlpm.r,_xlpm.c, INDEX({"MMS_jm4","fraction of volatile solids in solid storage before transfer";"MMS_jm179","fraction of volatile solids in MMS m=1,7,9 before transfer";"SS_m","fraction of volatile solids separated to solid storage for each MMS"}, _xlpm.r, _xlpm.c))))</definedName>
    <definedName name="MMS_Dairy_Methane_Equations.VEERG_4_3_1_1__5_FractionVolatileSolidsSolidStorage_LatexEquation">_xlfn.LAMBDA("FVS_{jm=4}=MMS_{jm=4}+(MMS_{jm=1,7,9}\times SS_m)")</definedName>
    <definedName name="MMS_Dairy_Methane_Equations.VEERG_4_3_1_1__5_FractionVolatileSolidsSolidStorage_LatexEquationVariation">_xlfn.LAMBDA("FVS_{jm=4}=MMS_{jm=4}+(MMS_{jm=1}\times SS_{m=1})+(MMS_{jm=7}\times SS_{m=7})+(MMS_{jm=9}\times SS_{m=9})")</definedName>
    <definedName name="MMS_Dairy_Methane_Equations.VEERG_4_3_1_1__5_FractionVolatileSolidsSolidStorage_NIRReference">_xlfn.LAMBDA("")</definedName>
    <definedName name="MMS_Dairy_Methane_Equations.VEERG_4_3_1_1__5_FractionVolatileSolidsSolidStorage_Source">_xlfn.LAMBDA("VEERG 2026: 4.3.1.1, Equation (5)")</definedName>
    <definedName name="MMS_Dairy_Methane_Equations.VEERG_4_3_1_1__5_FractionVolatileSolidsSolidStorage_Title">_xlfn.LAMBDA("Fraction of volatile solids in solid storage")</definedName>
    <definedName name="MMS_Dairy_Methane_Equations.VEERG_4_3_1_1__5_FractionVolatileSolidsSolidStorage_Unit">_xlfn.LAMBDA("fraction")</definedName>
    <definedName name="MMS_Dairy_Methane_Equations.VEERG_4_3_1_1__5_FractionVolatileSolidsSolidStorage_Variable">_xlfn.LAMBDA("FVS_jm4")</definedName>
    <definedName name="MMS_Dairy_Methane_Equations.VEERG_4_3_1_1__5_FractionVolatileSolidsSolidStorage_Variation">_xlfn.LAMBDA("Used separate variables for MMS and SS m 1, 7 and 9.")</definedName>
    <definedName name="MMS_Dairy_Methane_Equations.VEERG_4_3_1_1__5_FractionVolatileSolidsSolidStorageVariation">_xlfn.LAMBDA(_xlpm.MMS_jm4,_xlpm.MMS_jm1,_xlpm.MMS_jm7,_xlpm.MMS_jm9,_xlpm.SS_m1,_xlpm.SS_m7,_xlpm.SS_m9, _xlpm.MMS_jm4 + (_xlpm.MMS_jm1 * _xlpm.SS_m1) + (_xlpm.MMS_jm7 * _xlpm.SS_m7) + (_xlpm.MMS_jm9 * _xlpm.SS_m9))</definedName>
    <definedName name="MMS_Dairy_N2ODirect_Equations.VEERG_4_3_1_3__1_TotalAnnualDirectNitrousOxideEmissionsFromMMS">_xlfn.LAMBDA(_xlpm.MN_jm,_xlpm.EF_m,_xlpm.C_N2O, _xlpm.MN_jm * _xlpm.EF_m * _xlpm.C_N2O * 10 ^ -3)</definedName>
    <definedName name="MMS_Dairy_N2ODirect_Equations.VEERG_4_3_1_3__1_TotalAnnualDirectNitrousOxideEmissionsFromMMS_Arguments">_xlfn.LAMBDA(_xlfn.MAKEARRAY(3, 2, _xlfn.LAMBDA(_xlpm.r,_xlpm.c, INDEX({"MN_jm","total nitrogen in each MMS for dairy cattle classes (kg N)";"EF_m","nitrous oxide emission factor for each MMS (kg N2O-N/kg N deposited)";"C_N2O","factor to convert elemental mass of N2O to molecular mass"}, _xlpm.r, _xlpm.c))))</definedName>
    <definedName name="MMS_Dairy_N2ODirect_Equations.VEERG_4_3_1_3__1_TotalAnnualDirectNitrousOxideEmissionsFromMMS_LatexEquation">_xlfn.LAMBDA("E_{N2O,dir}=\sum\nolimits_{j}\sum\nolimits_{m}(MN_{jm}\times EF_m\times C_{N2O}\times 10^{-3})")</definedName>
    <definedName name="MMS_Dairy_N2ODirect_Equations.VEERG_4_3_1_3__1_TotalAnnualDirectNitrousOxideEmissionsFromMMS_NIRReference">_xlfn.LAMBDA("")</definedName>
    <definedName name="MMS_Dairy_N2ODirect_Equations.VEERG_4_3_1_3__1_TotalAnnualDirectNitrousOxideEmissionsFromMMS_Source">_xlfn.LAMBDA("VEERG 2026: 4.3.1.3, Equation (1)")</definedName>
    <definedName name="MMS_Dairy_N2ODirect_Equations.VEERG_4_3_1_3__1_TotalAnnualDirectNitrousOxideEmissionsFromMMS_Title">_xlfn.LAMBDA("Total annual direct nitrous oxide emissions from manure management systems")</definedName>
    <definedName name="MMS_Dairy_N2ODirect_Equations.VEERG_4_3_1_3__1_TotalAnnualDirectNitrousOxideEmissionsFromMMS_Unit">_xlfn.LAMBDA("t N2O")</definedName>
    <definedName name="MMS_Dairy_N2ODirect_Equations.VEERG_4_3_1_3__1_TotalAnnualDirectNitrousOxideEmissionsFromMMS_Variable">_xlfn.LAMBDA("E_N2Odir")</definedName>
    <definedName name="MMS_Dairy_N2ODirect_Equations.VEERG_4_3_1_3__2_TotalNitrogenInEachMMS">_xlfn.LAMBDA(_xlpm.AE_j,_xlpm.MMS_jm, _xlpm.AE_j * _xlpm.MMS_jm)</definedName>
    <definedName name="MMS_Dairy_N2ODirect_Equations.VEERG_4_3_1_3__2_TotalNitrogenInEachMMS_Arguments">_xlfn.LAMBDA(_xlfn.MAKEARRAY(2, 2, _xlfn.LAMBDA(_xlpm.r,_xlpm.c, INDEX({"AE_j","total nitrogen excreted by each dairy class (kg N)";"MMS_jm","manure management system fraction for class j and system m"}, _xlpm.r, _xlpm.c))))</definedName>
    <definedName name="MMS_Dairy_N2ODirect_Equations.VEERG_4_3_1_3__2_TotalNitrogenInEachMMS_LatexEquation">_xlfn.LAMBDA("MN_{jm}=AE_j\times MMS_{jm}")</definedName>
    <definedName name="MMS_Dairy_N2ODirect_Equations.VEERG_4_3_1_3__2_TotalNitrogenInEachMMS_NIRReference">_xlfn.LAMBDA("")</definedName>
    <definedName name="MMS_Dairy_N2ODirect_Equations.VEERG_4_3_1_3__2_TotalNitrogenInEachMMS_Source">_xlfn.LAMBDA("VEERG 2026: 4.3.1.3, Equation (2)")</definedName>
    <definedName name="MMS_Dairy_N2ODirect_Equations.VEERG_4_3_1_3__2_TotalNitrogenInEachMMS_Title">_xlfn.LAMBDA("Total nitrogen in each MMS")</definedName>
    <definedName name="MMS_Dairy_N2ODirect_Equations.VEERG_4_3_1_3__2_TotalNitrogenInEachMMS_Unit">_xlfn.LAMBDA("kg N")</definedName>
    <definedName name="MMS_Dairy_N2ODirect_Equations.VEERG_4_3_1_3__2_TotalNitrogenInEachMMS_Variable">_xlfn.LAMBDA("MN_jm")</definedName>
    <definedName name="MMS_Dairy_N2ODirect_Equations.VEERG_4_3_1_3__3a_TotalAnnualNitrogenExcretedGreaterThanOneYear">_xlfn.LAMBDA(_xlpm.N_j124,_xlpm.NE_j124, _xlpm.N_j124 * _xlpm.NE_j124 * 365)</definedName>
    <definedName name="MMS_Dairy_N2ODirect_Equations.VEERG_4_3_1_3__3a_TotalAnnualNitrogenExcretedGreaterThanOneYear_Arguments">_xlfn.LAMBDA(_xlfn.MAKEARRAY(3, 2, _xlfn.LAMBDA(_xlpm.r,_xlpm.c, INDEX({"N_j124","number of dairy cattle in classes j=1,2,4";"NE_j124","nitrogen excreted by dairy cattle greater than one year old (kg N/head/day)";"D_j124","duration of stay on farm for classes j=1,2,4 (days)"}, _xlpm.r, _xlpm.c))))</definedName>
    <definedName name="MMS_Dairy_N2ODirect_Equations.VEERG_4_3_1_3__3a_TotalAnnualNitrogenExcretedGreaterThanOneYear_LatexEquation">_xlfn.LAMBDA("AE_{j=1,2,4}=N_{j=1,2,4}\times NE_{j=1,2,4}\times 365")</definedName>
    <definedName name="MMS_Dairy_N2ODirect_Equations.VEERG_4_3_1_3__3a_TotalAnnualNitrogenExcretedGreaterThanOneYear_LatexEquationVariation">_xlfn.LAMBDA("AE_{j=1,2,4}=N_{j=1,2,4}\times NE_{j=1,2,4}\times D_{j=1,2,4}")</definedName>
    <definedName name="MMS_Dairy_N2ODirect_Equations.VEERG_4_3_1_3__3a_TotalAnnualNitrogenExcretedGreaterThanOneYear_NIRReference">_xlfn.LAMBDA("")</definedName>
    <definedName name="MMS_Dairy_N2ODirect_Equations.VEERG_4_3_1_3__3a_TotalAnnualNitrogenExcretedGreaterThanOneYear_Source">_xlfn.LAMBDA("VEERG 2026: 4.3.1.3, Equation (3a)")</definedName>
    <definedName name="MMS_Dairy_N2ODirect_Equations.VEERG_4_3_1_3__3a_TotalAnnualNitrogenExcretedGreaterThanOneYear_Title">_xlfn.LAMBDA("Total annual nitrogen excreted by dairy cattle greater than one year old")</definedName>
    <definedName name="MMS_Dairy_N2ODirect_Equations.VEERG_4_3_1_3__3a_TotalAnnualNitrogenExcretedGreaterThanOneYear_Unit">_xlfn.LAMBDA("kg N")</definedName>
    <definedName name="MMS_Dairy_N2ODirect_Equations.VEERG_4_3_1_3__3a_TotalAnnualNitrogenExcretedGreaterThanOneYear_Variable">_xlfn.LAMBDA("AE_j124")</definedName>
    <definedName name="MMS_Dairy_N2ODirect_Equations.VEERG_4_3_1_3__3a_TotalAnnualNitrogenExcretedGreaterThanOneYear_Variation">_xlfn.LAMBDA("VARIATION: Used Duration variables instead of hard-coded 365 value.")</definedName>
    <definedName name="MMS_Dairy_N2ODirect_Equations.VEERG_4_3_1_3__3a_TotalAnnualNitrogenExcretedGreaterThanOneYearVariation">_xlfn.LAMBDA(_xlpm.N_j124,_xlpm.NE_j124,_xlpm.D_j124, _xlpm.N_j124 * _xlpm.NE_j124 * _xlpm.D_j124)</definedName>
    <definedName name="MMS_Dairy_N2ODirect_Equations.VEERG_4_3_1_3__3b_TotalAnnualNitrogenExcretedLessThanOneYear">_xlfn.LAMBDA(_xlpm.N_j35,_xlpm.NE_j35,_xlpm.NPW_j35, (_xlpm.N_j35 * _xlpm.NE_j35 * 281) + (_xlpm.N_j35 * _xlpm.NPW_j35 * 84))</definedName>
    <definedName name="MMS_Dairy_N2ODirect_Equations.VEERG_4_3_1_3__3b_TotalAnnualNitrogenExcretedLessThanOneYear_Arguments">_xlfn.LAMBDA(_xlfn.MAKEARRAY(5, 2, _xlfn.LAMBDA(_xlpm.r,_xlpm.c, INDEX({"N_j35","number of dairy cattle in classes j=3,5";"NE_j35","nitrogen excreted by weaned dairy cattle less than one year old (kg N/head/day)";"NPW_j35","nitrogen excreted by pre-weaned calves (kg N/head/day)";"D_j35","duration of stay on farm for weaned dairy cattle less than one year old (days)";"DPW_j35","duration of stay on farm for pre-weaned calves (days)"}, _xlpm.r, _xlpm.c))))</definedName>
    <definedName name="MMS_Dairy_N2ODirect_Equations.VEERG_4_3_1_3__3b_TotalAnnualNitrogenExcretedLessThanOneYear_LatexEquation">_xlfn.LAMBDA("AE_{j=3,5}=(N_{j=3,5}\times NE_{j=3,5}\times 281)+(N_{j=3,5}\times NPW_{j=3,5}\times 84)")</definedName>
    <definedName name="MMS_Dairy_N2ODirect_Equations.VEERG_4_3_1_3__3b_TotalAnnualNitrogenExcretedLessThanOneYear_LatexEquationVariation">_xlfn.LAMBDA("AE_{j=3,5}=(N_{j=3,5}\times NE_{j=3,5}\times D_{j=3,5})+(N_{j=3,5}\times NPW_{j=3,5}\times DPW_{j=3,5})")</definedName>
    <definedName name="MMS_Dairy_N2ODirect_Equations.VEERG_4_3_1_3__3b_TotalAnnualNitrogenExcretedLessThanOneYear_NIRReference">_xlfn.LAMBDA("")</definedName>
    <definedName name="MMS_Dairy_N2ODirect_Equations.VEERG_4_3_1_3__3b_TotalAnnualNitrogenExcretedLessThanOneYear_Source">_xlfn.LAMBDA("VEERG 2026: 4.3.1.3, Equation (3b)")</definedName>
    <definedName name="MMS_Dairy_N2ODirect_Equations.VEERG_4_3_1_3__3b_TotalAnnualNitrogenExcretedLessThanOneYear_Title">_xlfn.LAMBDA("Total annual nitrogen excreted by dairy cattle less than one year old")</definedName>
    <definedName name="MMS_Dairy_N2ODirect_Equations.VEERG_4_3_1_3__3b_TotalAnnualNitrogenExcretedLessThanOneYear_Unit">_xlfn.LAMBDA("kg N")</definedName>
    <definedName name="MMS_Dairy_N2ODirect_Equations.VEERG_4_3_1_3__3b_TotalAnnualNitrogenExcretedLessThanOneYear_Variable">_xlfn.LAMBDA("AE_j35")</definedName>
    <definedName name="MMS_Dairy_N2ODirect_Equations.VEERG_4_3_1_3__3b_TotalAnnualNitrogenExcretedLessThanOneYear_Variation">_xlfn.LAMBDA("VARIATION: Used Duration variables instead of hard-coded 281 and 84 values.")</definedName>
    <definedName name="MMS_Dairy_N2ODirect_Equations.VEERG_4_3_1_3__3b_TotalAnnualNitrogenExcretedLessThanOneYearVariation">_xlfn.LAMBDA(_xlpm.N_j35,_xlpm.NE_j35,_xlpm.NPW_j35,_xlpm.D_j35,_xlpm.DPW_j35, (_xlpm.N_j35 * _xlpm.NE_j35 * _xlpm.D_j35) + (_xlpm.N_j35 * _xlpm.NPW_j35 * _xlpm.DPW_j35))</definedName>
    <definedName name="MMS_Dairy_N2ODirect_Equations.VEERG_4_3_1_3__4_NitrogenExcretedByDairyCattleGreaterThanOneYear">_xlfn.LAMBDA(_xlpm.CPI_j,_xlpm.NR_j,_xlpm.W_j, (_xlpm.CPI_j / 6.25) - _xlpm.NR_j - ((1.1 * 10 ^ -4 * _xlpm.W_j ^ 0.75) / 6.25))</definedName>
    <definedName name="MMS_Dairy_N2ODirect_Equations.VEERG_4_3_1_3__4_NitrogenExcretedByDairyCattleGreaterThanOneYear_Arguments">_xlfn.LAMBDA(_xlfn.MAKEARRAY(3, 2, _xlfn.LAMBDA(_xlpm.r,_xlpm.c, INDEX({"CPI_j","crude protein intake (kg/head/day)";"NR_j","amount of nitrogen retained by the body (kg N/head/day)";"W_j","liveweight (kg)"}, _xlpm.r, _xlpm.c))))</definedName>
    <definedName name="MMS_Dairy_N2ODirect_Equations.VEERG_4_3_1_3__4_NitrogenExcretedByDairyCattleGreaterThanOneYear_LatexEquation">_xlfn.LAMBDA("NE_j=(\frac{CPI_j}{6.25})-NR_j-\left[\frac{1.1\times10^{-4} \times W_j^{0.75}}{6.25}\right]")</definedName>
    <definedName name="MMS_Dairy_N2ODirect_Equations.VEERG_4_3_1_3__4_NitrogenExcretedByDairyCattleGreaterThanOneYear_NIRReference">_xlfn.LAMBDA("")</definedName>
    <definedName name="MMS_Dairy_N2ODirect_Equations.VEERG_4_3_1_3__4_NitrogenExcretedByDairyCattleGreaterThanOneYear_Source">_xlfn.LAMBDA("VEERG 2026: 4.3.1.3, Equation (4)")</definedName>
    <definedName name="MMS_Dairy_N2ODirect_Equations.VEERG_4_3_1_3__4_NitrogenExcretedByDairyCattleGreaterThanOneYear_Title">_xlfn.LAMBDA("Nitrogen excreted by dairy cattle greater than one year old")</definedName>
    <definedName name="MMS_Dairy_N2ODirect_Equations.VEERG_4_3_1_3__4_NitrogenExcretedByDairyCattleGreaterThanOneYear_Unit">_xlfn.LAMBDA("kg N/head/day")</definedName>
    <definedName name="MMS_Dairy_N2ODirect_Equations.VEERG_4_3_1_3__4_NitrogenExcretedByDairyCattleGreaterThanOneYear_Variable">_xlfn.LAMBDA("NE_j")</definedName>
    <definedName name="MMS_Dairy_N2ODirect_Equations.VEERG_4_3_1_3__5_CrudeProteinIntakeOfDairyCattle">_xlfn.LAMBDA(_xlpm.I_j,_xlpm.CP_j, _xlpm.I_j * _xlpm.CP_j)</definedName>
    <definedName name="MMS_Dairy_N2ODirect_Equations.VEERG_4_3_1_3__5_CrudeProteinIntakeOfDairyCattle_Arguments">_xlfn.LAMBDA(_xlfn.MAKEARRAY(2, 2, _xlfn.LAMBDA(_xlpm.r,_xlpm.c, INDEX({"I_j","dry matter intake (kgDM/head/day)";"CP_j","crude protein content of feed intake (fraction)"}, _xlpm.r, _xlpm.c))))</definedName>
    <definedName name="MMS_Dairy_N2ODirect_Equations.VEERG_4_3_1_3__5_CrudeProteinIntakeOfDairyCattle_LatexEquation">_xlfn.LAMBDA("CPI_j=I_j\times CP_j")</definedName>
    <definedName name="MMS_Dairy_N2ODirect_Equations.VEERG_4_3_1_3__5_CrudeProteinIntakeOfDairyCattle_NIRReference">_xlfn.LAMBDA("")</definedName>
    <definedName name="MMS_Dairy_N2ODirect_Equations.VEERG_4_3_1_3__5_CrudeProteinIntakeOfDairyCattle_Source">_xlfn.LAMBDA("VEERG 2026: 4.3.1.3, Equation (5)")</definedName>
    <definedName name="MMS_Dairy_N2ODirect_Equations.VEERG_4_3_1_3__5_CrudeProteinIntakeOfDairyCattle_Title">_xlfn.LAMBDA("Crude protein intake of dairy cattle")</definedName>
    <definedName name="MMS_Dairy_N2ODirect_Equations.VEERG_4_3_1_3__5_CrudeProteinIntakeOfDairyCattle_Unit">_xlfn.LAMBDA("kg/head/day")</definedName>
    <definedName name="MMS_Dairy_N2ODirect_Equations.VEERG_4_3_1_3__5_CrudeProteinIntakeOfDairyCattle_Variable">_xlfn.LAMBDA("CPI_j")</definedName>
    <definedName name="MMS_Dairy_N2ODirect_Equations.VEERG_4_3_1_3__6_NitrogenRetainedByBody">_xlfn.LAMBDA(_xlpm.MP_j,_xlpm.L_j,_xlpm.Z_j,_xlpm.LWG_j, (((0.032 * _xlpm.MP_j * 1.03) / 6.38) + ((0.212 - 0.008 * (_xlpm.L_j - 2) - ((0.14 - 0.008 * (_xlpm.L_j - 2)) / (1 + EXP(-6 * (_xlpm.Z_j - 0.4))))) * (_xlpm.LWG_j * 0.92))) * (1 / 6.25))</definedName>
    <definedName name="MMS_Dairy_N2ODirect_Equations.VEERG_4_3_1_3__6_NitrogenRetainedByBody_Arguments">_xlfn.LAMBDA(_xlfn.MAKEARRAY(4, 2, _xlfn.LAMBDA(_xlpm.r,_xlpm.c, INDEX({"MP_j","milk production (L/head/day)";"L_j","intake relative to maintenance";"Z_j","relative size";"LWG_j","liveweight gain (kg/day)"}, _xlpm.r, _xlpm.c))))</definedName>
    <definedName name="MMS_Dairy_N2ODirect_Equations.VEERG_4_3_1_3__6_NitrogenRetainedByBody_LatexEquation">_xlfn.LAMBDA("NR_j=\left(\frac{0.032 \times MP_j \times 1.03}{6.38}\right) + \left\{\left(0.212-0.008 \times (L_j - 2) - \left[\frac{0.140-0.008\times(L_j-2)}{1+e^{-6\times(Z_j-0.4)}}\right]\right) \times (LWG_j \times 0.92)\right\} \times \frac{1}{6.25}")</definedName>
    <definedName name="MMS_Dairy_N2ODirect_Equations.VEERG_4_3_1_3__6_NitrogenRetainedByBody_NIRReference">_xlfn.LAMBDA("")</definedName>
    <definedName name="MMS_Dairy_N2ODirect_Equations.VEERG_4_3_1_3__6_NitrogenRetainedByBody_Source">_xlfn.LAMBDA("VEERG 2026: 4.3.1.3, Equation (6)")</definedName>
    <definedName name="MMS_Dairy_N2ODirect_Equations.VEERG_4_3_1_3__6_NitrogenRetainedByBody_Title">_xlfn.LAMBDA("Amount of nitrogen retained by the body")</definedName>
    <definedName name="MMS_Dairy_N2ODirect_Equations.VEERG_4_3_1_3__6_NitrogenRetainedByBody_Unit">_xlfn.LAMBDA("kg N/head/day")</definedName>
    <definedName name="MMS_Dairy_N2ODirect_Equations.VEERG_4_3_1_3__6_NitrogenRetainedByBody_Variable">_xlfn.LAMBDA("NR_j")</definedName>
    <definedName name="MMS_Dairy_N2ODirect_Equations.VEERG_4_3_1_3__7_IntakeRelativeToMaintenance">_xlfn.LAMBDA(_xlpm.I_j,_xlpm.W_j,_xlpm.MR_j,_xlpm.MI_j, _xlpm.I_j / (((1.185 + 0.00454 * _xlpm.W_j - 0.0000026 * _xlpm.W_j ^ 2) ^ 2 * _xlpm.MR_j) + _xlpm.MI_j))</definedName>
    <definedName name="MMS_Dairy_N2ODirect_Equations.VEERG_4_3_1_3__7_IntakeRelativeToMaintenance_Arguments">_xlfn.LAMBDA(_xlfn.MAKEARRAY(4, 2, _xlfn.LAMBDA(_xlpm.r,_xlpm.c, INDEX({"I_j","dry matter intake (kgDM/head/day)";"W_j","liveweight (kg)";"MR_j","increase in metabolic rate when producing milk";"MI_j","additional intake required for milk production (kgDM/head/day)"}, _xlpm.r, _xlpm.c))))</definedName>
    <definedName name="MMS_Dairy_N2ODirect_Equations.VEERG_4_3_1_3__7_IntakeRelativeToMaintenance_LatexEquation">_xlfn.LAMBDA("L_j=\frac{I_j}{(1.185+0.00454\times W_j-0.0000026\times W_j^2)^2\times MR_j+MI_j}")</definedName>
    <definedName name="MMS_Dairy_N2ODirect_Equations.VEERG_4_3_1_3__7_IntakeRelativeToMaintenance_NIRReference">_xlfn.LAMBDA("")</definedName>
    <definedName name="MMS_Dairy_N2ODirect_Equations.VEERG_4_3_1_3__7_IntakeRelativeToMaintenance_Source">_xlfn.LAMBDA("VEERG 2026: 4.3.1.3, Equation (7)")</definedName>
    <definedName name="MMS_Dairy_N2ODirect_Equations.VEERG_4_3_1_3__7_IntakeRelativeToMaintenance_Title">_xlfn.LAMBDA("Intake relative to maintenance")</definedName>
    <definedName name="MMS_Dairy_N2ODirect_Equations.VEERG_4_3_1_3__7_IntakeRelativeToMaintenance_Unit">_xlfn.LAMBDA("ratio")</definedName>
    <definedName name="MMS_Dairy_N2ODirect_Equations.VEERG_4_3_1_3__7_IntakeRelativeToMaintenance_Variable">_xlfn.LAMBDA("L_j")</definedName>
    <definedName name="MMS_Dairy_N2ODirect_Equations.VEERG_4_3_1_3__8_RelativeSize">_xlfn.LAMBDA(_xlpm.W_j,_xlpm.WR_j, _xlpm.W_j / _xlpm.WR_j)</definedName>
    <definedName name="MMS_Dairy_N2ODirect_Equations.VEERG_4_3_1_3__8_RelativeSize_Arguments">_xlfn.LAMBDA(_xlfn.MAKEARRAY(2, 2, _xlfn.LAMBDA(_xlpm.r,_xlpm.c, INDEX({"W_j","liveweight (kg)";"WR_j","reference weight (kg)"}, _xlpm.r, _xlpm.c))))</definedName>
    <definedName name="MMS_Dairy_N2ODirect_Equations.VEERG_4_3_1_3__8_RelativeSize_LatexEquation">_xlfn.LAMBDA("Z_j=\frac{W_j}{WR_j}")</definedName>
    <definedName name="MMS_Dairy_N2ODirect_Equations.VEERG_4_3_1_3__8_RelativeSize_NIRReference">_xlfn.LAMBDA("")</definedName>
    <definedName name="MMS_Dairy_N2ODirect_Equations.VEERG_4_3_1_3__8_RelativeSize_Source">_xlfn.LAMBDA("VEERG 2026: 4.3.1.3, Equation (8)")</definedName>
    <definedName name="MMS_Dairy_N2ODirect_Equations.VEERG_4_3_1_3__8_RelativeSize_Title">_xlfn.LAMBDA("Relative size")</definedName>
    <definedName name="MMS_Dairy_N2ODirect_Equations.VEERG_4_3_1_3__8_RelativeSize_Unit">_xlfn.LAMBDA("ratio")</definedName>
    <definedName name="MMS_Dairy_N2ODirect_Equations.VEERG_4_3_1_3__8_RelativeSize_Variable">_xlfn.LAMBDA("Z_j")</definedName>
    <definedName name="MMS_Dairy_Soil_AtmosphericDeposition_Equations.VEERG_4_3_1_10__1_AtmosphericDepositionEmissionsFromUrineAndDungOnPasture">_xlfn.LAMBDA(_xlpm.M_vol_m14,_xlpm.EF_N2O,_xlpm.C_N2O, _xlpm.M_vol_m14 * _xlpm.EF_N2O * _xlpm.C_N2O * 10 ^ -3)</definedName>
    <definedName name="MMS_Dairy_Soil_AtmosphericDeposition_Equations.VEERG_4_3_1_10__1_AtmosphericDepositionEmissionsFromUrineAndDungOnPasture_Arguments">_xlfn.LAMBDA(_xlfn.MAKEARRAY(6, 2, _xlfn.LAMBDA(_xlpm.r,_xlpm.c, INDEX({"M_vol_m14","mass of nitrogen volatilised from urine and faeces deposited on pasture (kg N)";"EF_N2O","nitrous oxide emission factor for atmospheric deposition (kg N2O-N/kg N)";"C_N2O","factor to convert elemental mass of N2O to molecular mass";"j","production system";"ir","irrigation method";"r","rainfall region"}, _xlpm.r, _xlpm.c))))</definedName>
    <definedName name="MMS_Dairy_Soil_AtmosphericDeposition_Equations.VEERG_4_3_1_10__1_AtmosphericDepositionEmissionsFromUrineAndDungOnPasture_LatexEquation">_xlfn.LAMBDA("E_{N2O,ad}=M_{vol,m=14}\times EF_{N2O}\times C_{N2O}\times 10^{-3}")</definedName>
    <definedName name="MMS_Dairy_Soil_AtmosphericDeposition_Equations.VEERG_4_3_1_10__1_AtmosphericDepositionEmissionsFromUrineAndDungOnPasture_NIRReference">_xlfn.LAMBDA("")</definedName>
    <definedName name="MMS_Dairy_Soil_AtmosphericDeposition_Equations.VEERG_4_3_1_10__1_AtmosphericDepositionEmissionsFromUrineAndDungOnPasture_Source">_xlfn.LAMBDA("VEERG 2026: 4.3.1.10, Equation (1)")</definedName>
    <definedName name="MMS_Dairy_Soil_AtmosphericDeposition_Equations.VEERG_4_3_1_10__1_AtmosphericDepositionEmissionsFromUrineAndDungOnPasture_Title">_xlfn.LAMBDA("Atmospheric deposition emissions from urine and dung deposited on pasture")</definedName>
    <definedName name="MMS_Dairy_Soil_AtmosphericDeposition_Equations.VEERG_4_3_1_10__1_AtmosphericDepositionEmissionsFromUrineAndDungOnPasture_Unit">_xlfn.LAMBDA("t N2O")</definedName>
    <definedName name="MMS_Dairy_Soil_AtmosphericDeposition_Equations.VEERG_4_3_1_10__1_AtmosphericDepositionEmissionsFromUrineAndDungOnPasture_Variable">_xlfn.LAMBDA("E_N2Oad")</definedName>
    <definedName name="MMS_Dairy_Soil_AtmosphericDeposition_Equations.VEERG_4_3_1_10__2_MassOfNitrogenVolatilisedOnPasture">_xlfn.LAMBDA(_xlpm.MN_jm14,_xlpm.FracGASMsoil, _xlpm.MN_jm14 * _xlpm.FracGASMsoil)</definedName>
    <definedName name="MMS_Dairy_Soil_AtmosphericDeposition_Equations.VEERG_4_3_1_10__2_MassOfNitrogenVolatilisedOnPasture_Arguments">_xlfn.LAMBDA(_xlfn.MAKEARRAY(2, 2, _xlfn.LAMBDA(_xlpm.r,_xlpm.c, INDEX({"MN_jm14","mass of nitrogen excreted on pasture, range and paddock for each dairy class (kg N)";"FracGASMsoil","fraction of nitrogen volatilised from urine and faeces deposited on pasture ((kg NH3-N + NOx-N)/kg N)"}, _xlpm.r, _xlpm.c))))</definedName>
    <definedName name="MMS_Dairy_Soil_AtmosphericDeposition_Equations.VEERG_4_3_1_10__2_MassOfNitrogenVolatilisedOnPasture_LatexEquation">_xlfn.LAMBDA("M_{vol,m=14}=\sum\nolimits_{j}(MN_{jm=14}\times FracGASMsoil)")</definedName>
    <definedName name="MMS_Dairy_Soil_AtmosphericDeposition_Equations.VEERG_4_3_1_10__2_MassOfNitrogenVolatilisedOnPasture_NIRReference">_xlfn.LAMBDA("")</definedName>
    <definedName name="MMS_Dairy_Soil_AtmosphericDeposition_Equations.VEERG_4_3_1_10__2_MassOfNitrogenVolatilisedOnPasture_Source">_xlfn.LAMBDA("VEERG 2026: 4.3.1.10, Equation (2)")</definedName>
    <definedName name="MMS_Dairy_Soil_AtmosphericDeposition_Equations.VEERG_4_3_1_10__2_MassOfNitrogenVolatilisedOnPasture_Title">_xlfn.LAMBDA("Mass of nitrogen volatilised from urine and faeces deposited on pasture")</definedName>
    <definedName name="MMS_Dairy_Soil_AtmosphericDeposition_Equations.VEERG_4_3_1_10__2_MassOfNitrogenVolatilisedOnPasture_Unit">_xlfn.LAMBDA("kg N")</definedName>
    <definedName name="MMS_Dairy_Soil_AtmosphericDeposition_Equations.VEERG_4_3_1_10__2_MassOfNitrogenVolatilisedOnPasture_Variable">_xlfn.LAMBDA("M_vol_m14")</definedName>
    <definedName name="MMS_Dairy_Soil_LeachingAndRunoff.VEERG_4_3_1_12__1_LeachingAndRunoffEmissionsFromUrineAndDungOnPasture">_xlfn.LAMBDA(_xlpm.M_leach_m14,_xlpm.EF_leach,_xlpm.C_N2O, _xlpm.M_leach_m14 * _xlpm.EF_leach * _xlpm.C_N2O * 10 ^ -3)</definedName>
    <definedName name="MMS_Dairy_Soil_LeachingAndRunoff.VEERG_4_3_1_12__1_LeachingAndRunoffEmissionsFromUrineAndDungOnPasture_Arguments">_xlfn.LAMBDA(_xlfn.MAKEARRAY(3, 2, _xlfn.LAMBDA(_xlpm.r,_xlpm.c, INDEX({"M_leach_m14","mass of nitrogen lost to leaching and runoff from urine and faeces deposited on pasture (kg N)";"EF_leach","nitrous oxide emission factor for leaching and runoff (kg N2O-N/kg N)";"C_N2O","factor to convert elemental mass of N2O to molecular mass"}, _xlpm.r, _xlpm.c))))</definedName>
    <definedName name="MMS_Dairy_Soil_LeachingAndRunoff.VEERG_4_3_1_12__1_LeachingAndRunoffEmissionsFromUrineAndDungOnPasture_LatexEquation">_xlfn.LAMBDA("E_{N2O,leach}=M_{leach,m=14}\times EF_{leach}\times C_{N2O}\times 10^{-3}")</definedName>
    <definedName name="MMS_Dairy_Soil_LeachingAndRunoff.VEERG_4_3_1_12__1_LeachingAndRunoffEmissionsFromUrineAndDungOnPasture_NIRReference">_xlfn.LAMBDA("")</definedName>
    <definedName name="MMS_Dairy_Soil_LeachingAndRunoff.VEERG_4_3_1_12__1_LeachingAndRunoffEmissionsFromUrineAndDungOnPasture_Source">_xlfn.LAMBDA("VEERG 2026: 4.3.1.12, Equation (1)")</definedName>
    <definedName name="MMS_Dairy_Soil_LeachingAndRunoff.VEERG_4_3_1_12__1_LeachingAndRunoffEmissionsFromUrineAndDungOnPasture_Title">_xlfn.LAMBDA("Leaching and runoff emissions from urine and dung deposited on pasture")</definedName>
    <definedName name="MMS_Dairy_Soil_LeachingAndRunoff.VEERG_4_3_1_12__1_LeachingAndRunoffEmissionsFromUrineAndDungOnPasture_Unit">_xlfn.LAMBDA("t N2O")</definedName>
    <definedName name="MMS_Dairy_Soil_LeachingAndRunoff.VEERG_4_3_1_12__1_LeachingAndRunoffEmissionsFromUrineAndDungOnPasture_Variable">_xlfn.LAMBDA("E_N2Oleach")</definedName>
    <definedName name="MMS_Dairy_Soil_LeachingAndRunoff.VEERG_4_3_1_12__2_MassOfNitrogenLostToLeachingAndRunoffOnPasture">_xlfn.LAMBDA(_xlpm.MN_jm14,_xlpm.FracWet,_xlpm.FracLEACH, _xlpm.MN_jm14 * _xlpm.FracWet * _xlpm.FracLEACH)</definedName>
    <definedName name="MMS_Dairy_Soil_LeachingAndRunoff.VEERG_4_3_1_12__2_MassOfNitrogenLostToLeachingAndRunoffOnPasture_Arguments">_xlfn.LAMBDA(_xlfn.MAKEARRAY(6, 2, _xlfn.LAMBDA(_xlpm.r,_xlpm.c, INDEX({"MN_jm14","mass of nitrogen excreted on pasture, range and paddock for each dairy class (kg N)";"FracWet","fraction of N available for leaching and runoff";"FracLEACH","fraction of N lost through leaching and runoff";"z","location in leaching zone";"j","production system";"ir","irrigation method"}, _xlpm.r, _xlpm.c))))</definedName>
    <definedName name="MMS_Dairy_Soil_LeachingAndRunoff.VEERG_4_3_1_12__2_MassOfNitrogenLostToLeachingAndRunoffOnPasture_LatexEquation">_xlfn.LAMBDA("M_{leach,m=14}=\sum\nolimits_{j}(MN_{jm=14}\times FracWet\times FracLEACH)")</definedName>
    <definedName name="MMS_Dairy_Soil_LeachingAndRunoff.VEERG_4_3_1_12__2_MassOfNitrogenLostToLeachingAndRunoffOnPasture_NIRReference">_xlfn.LAMBDA("")</definedName>
    <definedName name="MMS_Dairy_Soil_LeachingAndRunoff.VEERG_4_3_1_12__2_MassOfNitrogenLostToLeachingAndRunoffOnPasture_Source">_xlfn.LAMBDA("VEERG 2026: 4.3.1.12, Equation (2)")</definedName>
    <definedName name="MMS_Dairy_Soil_LeachingAndRunoff.VEERG_4_3_1_12__2_MassOfNitrogenLostToLeachingAndRunoffOnPasture_Title">_xlfn.LAMBDA("Mass of nitrogen lost to leaching and runoff from urine and faeces on pasture")</definedName>
    <definedName name="MMS_Dairy_Soil_LeachingAndRunoff.VEERG_4_3_1_12__2_MassOfNitrogenLostToLeachingAndRunoffOnPasture_Unit">_xlfn.LAMBDA("kg N")</definedName>
    <definedName name="MMS_Dairy_Soil_LeachingAndRunoff.VEERG_4_3_1_12__2_MassOfNitrogenLostToLeachingAndRunoffOnPasture_Variable">_xlfn.LAMBDA("M_leach_m14")</definedName>
    <definedName name="MMS_Dairy_Soil_N2ODirect_Equations.VEERG_4_3_1_9__1_DirectNitrousOxideEmissionsOnPasture">_xlfn.LAMBDA(_xlpm.MN_jm14,_xlpm.EF_PRP,_xlpm.C_N2O, _xlpm.MN_jm14 * _xlpm.EF_PRP * _xlpm.C_N2O * 10 ^ -3)</definedName>
    <definedName name="MMS_Dairy_Soil_N2ODirect_Equations.VEERG_4_3_1_9__1_DirectNitrousOxideEmissionsOnPasture_Arguments">_xlfn.LAMBDA(_xlfn.MAKEARRAY(4, 2, _xlfn.LAMBDA(_xlpm.r,_xlpm.c, INDEX({"MN_jm14","mass of nitrogen excreted on pasture, range, and paddock for each dairy cattle class (kg N)";"EF_PRP","emission factor for nitrous oxide emissions for urine and dung deposited on PRP (kg N2O-N/kg N deposited)";"C_N2O","factor to convert elemental mass of N2O to molecular mass";"z","Wet or dry climate zone"}, _xlpm.r, _xlpm.c))))</definedName>
    <definedName name="MMS_Dairy_Soil_N2ODirect_Equations.VEERG_4_3_1_9__1_DirectNitrousOxideEmissionsOnPasture_LatexEquation">_xlfn.LAMBDA("E_{N2O,dir}=\sum\nolimits_{j}(MN_{jm=14}\times EF_{PRP}\times C_{N2O}\times 10^{-3})")</definedName>
    <definedName name="MMS_Dairy_Soil_N2ODirect_Equations.VEERG_4_3_1_9__1_DirectNitrousOxideEmissionsOnPasture_NIRReference">_xlfn.LAMBDA("")</definedName>
    <definedName name="MMS_Dairy_Soil_N2ODirect_Equations.VEERG_4_3_1_9__1_DirectNitrousOxideEmissionsOnPasture_Source">_xlfn.LAMBDA("VEERG 2026: 4.3.1.9, Equation (1)")</definedName>
    <definedName name="MMS_Dairy_Soil_N2ODirect_Equations.VEERG_4_3_1_9__1_DirectNitrousOxideEmissionsOnPasture_Title">_xlfn.LAMBDA("Direct nitrous oxide emissions on pasture")</definedName>
    <definedName name="MMS_Dairy_Soil_N2ODirect_Equations.VEERG_4_3_1_9__1_DirectNitrousOxideEmissionsOnPasture_Unit">_xlfn.LAMBDA("t N2O")</definedName>
    <definedName name="MMS_Dairy_Soil_N2ODirect_Equations.VEERG_4_3_1_9__1_DirectNitrousOxideEmissionsOnPasture_Variable">_xlfn.LAMBDA("E_N2Odir")</definedName>
    <definedName name="Range_LivestockStartingValues">#REF!</definedName>
    <definedName name="SourceData_Dairy.SourceData_Dairy_AshContent_Data">_xlfn.LAMBDA(0.08)</definedName>
    <definedName name="SourceData_Dairy.SourceData_Dairy_AshContent_Source">_xlfn.LAMBDA("VEERG 2026: 4.3.2.3 CONSTANTS")</definedName>
    <definedName name="SourceData_Dairy.SourceData_Dairy_AshContent_Title">_xlfn.LAMBDA("Ash content of manure")</definedName>
    <definedName name="SourceData_Dairy.SourceData_Dairy_AshContent_Unit">_xlfn.LAMBDA("fraction")</definedName>
    <definedName name="SourceData_Dairy.SourceData_Dairy_AshContent_Variable">_xlfn.LAMBDA("A")</definedName>
    <definedName name="SourceData_Dairy.SourceData_Dairy_AshContent_Variation">_xlfn.LAMBDA("")</definedName>
    <definedName name="SourceData_Dairy.SourceData_Dairy_CrudeProtein_Data">_xlfn.LAMBDA(0.2)</definedName>
    <definedName name="SourceData_Dairy.SourceData_Dairy_CrudeProtein_Source">_xlfn.LAMBDA("VEERG 2026: 4.3.2.2	DATA (METHOD 1 AND 2 OPTIONS)")</definedName>
    <definedName name="SourceData_Dairy.SourceData_Dairy_CrudeProtein_Title">_xlfn.LAMBDA("Crude protein content of feed intake")</definedName>
    <definedName name="SourceData_Dairy.SourceData_Dairy_CrudeProtein_Unit">_xlfn.LAMBDA("fraction")</definedName>
    <definedName name="SourceData_Dairy.SourceData_Dairy_CrudeProtein_Variable">_xlfn.LAMBDA("CP")</definedName>
    <definedName name="SourceData_Dairy.SourceData_Dairy_CrudeProtein_Variation">_xlfn.LAMBDA("")</definedName>
    <definedName name="SourceData_Dairy.SourceData_Dairy_DryMatterDigestibility_Data">_xlfn.LAMBDA(0.75)</definedName>
    <definedName name="SourceData_Dairy.SourceData_Dairy_DryMatterDigestibility_Source">_xlfn.LAMBDA("VEERG 2026: 3.3.2.2	DATA (METHOD 1 AND 2 OPTIONS)")</definedName>
    <definedName name="SourceData_Dairy.SourceData_Dairy_DryMatterDigestibility_Title">_xlfn.LAMBDA("Dry matter digestibility")</definedName>
    <definedName name="SourceData_Dairy.SourceData_Dairy_DryMatterDigestibility_Unit">_xlfn.LAMBDA("fraction")</definedName>
    <definedName name="SourceData_Dairy.SourceData_Dairy_DryMatterDigestibility_Variable">_xlfn.LAMBDA("DMD")</definedName>
    <definedName name="SourceData_Dairy.SourceData_Dairy_DryMatterDigestibility_Variation">_xlfn.LAMBDA("")</definedName>
    <definedName name="SourceData_Dairy.SourceData_Dairy_DurationOfStay_Data">_xlfn.LAMBDA(_xlfn.MAKEARRAY(6, 3, _xlfn.LAMBDA(_xlpm.r,_xlpm.c, INDEX({"Animal class j","Duration (weaned)","Duration (pre-weaned)";"Milking cows",365,0;"Heifers &gt; 1 year",365,0;"Heifers &lt; 1 year",281,84;"Bulls &gt; 1 year",365,0;"Bulls &lt; 1 year",281,84}, _xlpm.r, _xlpm.c))))</definedName>
    <definedName name="SourceData_Dairy.SourceData_Dairy_DurationOfStay_Source">_xlfn.LAMBDA("VEERG 2026: 4.3.2.2	DATA (METHOD 1 AND 2 OPTIONS)")</definedName>
    <definedName name="SourceData_Dairy.SourceData_Dairy_DurationOfStay_Title">_xlfn.LAMBDA("Duration of stay for each dairy cattle input class")</definedName>
    <definedName name="SourceData_Dairy.SourceData_Dairy_DurationOfStay_Unit">_xlfn.LAMBDA("days")</definedName>
    <definedName name="SourceData_Dairy.SourceData_Dairy_DurationOfStay_Variable">_xlfn.LAMBDA("D")</definedName>
    <definedName name="SourceData_Dairy.SourceData_Dairy_DurationOfStay_Variation">_xlfn.LAMBDA("VARIATION OF SOURCE: Converted free text in document to table, matching livestock class names.")</definedName>
    <definedName name="SourceData_Dairy.SourceData_Dairy_EfficiencyOfUseOfMetabolizableEnergy_Data">_xlfn.LAMBDA(0.6)</definedName>
    <definedName name="SourceData_Dairy.SourceData_Dairy_EfficiencyOfUseOfMetabolizableEnergy_Source">_xlfn.LAMBDA("VEERG 2026: 3.3.2.3 CONSTANTS")</definedName>
    <definedName name="SourceData_Dairy.SourceData_Dairy_EfficiencyOfUseOfMetabolizableEnergy_Title">_xlfn.LAMBDA("Efficiency of use of metabolizable energy for milk production")</definedName>
    <definedName name="SourceData_Dairy.SourceData_Dairy_EfficiencyOfUseOfMetabolizableEnergy_Unit">_xlfn.LAMBDA("fraction")</definedName>
    <definedName name="SourceData_Dairy.SourceData_Dairy_EfficiencyOfUseOfMetabolizableEnergy_Variable">_xlfn.LAMBDA("k")</definedName>
    <definedName name="SourceData_Dairy.SourceData_Dairy_EfficiencyOfUseOfMetabolizableEnergy_Variation">_xlfn.LAMBDA("")</definedName>
    <definedName name="SourceData_Dairy.SourceData_Dairy_EFNitrousOxidePerMMS_Data">_xlfn.LAMBDA(_xlfn.MAKEARRAY(6, 3, _xlfn.LAMBDA(_xlpm.r,_xlpm.c, INDEX({"MMS m","EFm","NIR reference";"m=14 Pasture",0,"Pasture range and paddock";"m=1 Anerobic Lagoon",0,"Anaerobic lagoon";"m=2 Daily Spread: Sump and dispersal",0,"Sump and dispersal system";"m=3 Daily Spread: Drains to paddocks",0,"Drains to paddock";"m=4 Solid Storage",0.005,"Solid storage"}, _xlpm.r, _xlpm.c))))</definedName>
    <definedName name="SourceData_Dairy.SourceData_Dairy_EFNitrousOxidePerMMS_Source">_xlfn.LAMBDA("VEERG 2026: Table A.1.3.11")</definedName>
    <definedName name="SourceData_Dairy.SourceData_Dairy_EFNitrousOxidePerMMS_Title">_xlfn.LAMBDA("Table A.1.3.11: Dairy cattle - EF for nitrous oxide per MMS (kg N2O-N/kg N) (EFm)")</definedName>
    <definedName name="SourceData_Dairy.SourceData_Dairy_EFNitrousOxidePerMMS_Unit">_xlfn.LAMBDA("kg N2O-N/kg N")</definedName>
    <definedName name="SourceData_Dairy.SourceData_Dairy_EFNitrousOxidePerMMS_Variable">_xlfn.LAMBDA("EFm")</definedName>
    <definedName name="SourceData_Dairy.SourceData_Dairy_EFNitrousOxidePerMMS_Variation">_xlfn.LAMBDA("VARIATION OF SOURCE: Added 'NIR reference' column to aid lookup")</definedName>
    <definedName name="SourceData_Dairy.SourceData_Dairy_EmissionFactorForLeachingAndRunoff_Data">_xlfn.LAMBDA(0.011)</definedName>
    <definedName name="SourceData_Dairy.SourceData_Dairy_EmissionFactorForLeachingAndRunoff_Source">_xlfn.LAMBDA("VEERG 2026: 4.3.2.3 CONSTANTS")</definedName>
    <definedName name="SourceData_Dairy.SourceData_Dairy_EmissionFactorForLeachingAndRunoff_Title">_xlfn.LAMBDA("Emission factor for leaching and runoff")</definedName>
    <definedName name="SourceData_Dairy.SourceData_Dairy_EmissionFactorForLeachingAndRunoff_Unit">_xlfn.LAMBDA("kg N2O-N/kg N")</definedName>
    <definedName name="SourceData_Dairy.SourceData_Dairy_EmissionFactorForLeachingAndRunoff_Variable">_xlfn.LAMBDA("EF_leach")</definedName>
    <definedName name="SourceData_Dairy.SourceData_Dairy_EmissionFactorForLeachingAndRunoff_Variation">_xlfn.LAMBDA("")</definedName>
    <definedName name="SourceData_Dairy.SourceData_Dairy_FracGASMSoil_Data">_xlfn.LAMBDA(0.21)</definedName>
    <definedName name="SourceData_Dairy.SourceData_Dairy_FracGASMSoil_Source">_xlfn.LAMBDA("VEERG 2026: 4.3.2.3 CONSTANTS")</definedName>
    <definedName name="SourceData_Dairy.SourceData_Dairy_FracGASMSoil_Title">_xlfn.LAMBDA("Fraction of nitrogen volatilized from urine and faeces deposited on pasture")</definedName>
    <definedName name="SourceData_Dairy.SourceData_Dairy_FracGASMSoil_Unit">_xlfn.LAMBDA("(kg NH3-N + NOx-N)/kg N")</definedName>
    <definedName name="SourceData_Dairy.SourceData_Dairy_FracGASMSoil_Variable">_xlfn.LAMBDA("FracGASMsoil")</definedName>
    <definedName name="SourceData_Dairy.SourceData_Dairy_FracGASMSoil_Variation">_xlfn.LAMBDA("")</definedName>
    <definedName name="SourceData_Dairy.SourceData_Dairy_FractionOfNitrogenLostThroughLeachingAndRunoff_Data">_xlfn.LAMBDA(0.02)</definedName>
    <definedName name="SourceData_Dairy.SourceData_Dairy_FractionOfNitrogenLostThroughLeachingAndRunoff_Source">_xlfn.LAMBDA("VEERG 2026: 4.3.2.3 CONSTANTS")</definedName>
    <definedName name="SourceData_Dairy.SourceData_Dairy_FractionOfNitrogenLostThroughLeachingAndRunoff_Title">_xlfn.LAMBDA("Fraction of N that is lost through leaching and runoff")</definedName>
    <definedName name="SourceData_Dairy.SourceData_Dairy_FractionOfNitrogenLostThroughLeachingAndRunoff_Unit">_xlfn.LAMBDA("Dimensionless")</definedName>
    <definedName name="SourceData_Dairy.SourceData_Dairy_FractionOfNitrogenLostThroughLeachingAndRunoff_Variable">_xlfn.LAMBDA("Frac_LEACH_MS")</definedName>
    <definedName name="SourceData_Dairy.SourceData_Dairy_FractionOfNitrogenLostThroughLeachingAndRunoff_Variation">_xlfn.LAMBDA("")</definedName>
    <definedName name="SourceData_Dairy.SourceData_Dairy_FractionVolatileSolidsVoidedMMS_Data">_xlfn.LAMBDA(_xlfn.MAKEARRAY(5, 4, _xlfn.LAMBDA(_xlpm.r,_xlpm.c, INDEX({"Area","Pasture","Milking Shed","Feedpad";"System 1: Grazed Only",0.89,0.11,0;"System 2: On feedpad for &lt;10 hr/day for &lt;3 months/year",0.79,0.11,0.1;"System 3: Pasture-grazed 3-9 months/year",0.534,0.11,0.356;"System 4: Zero grazing",0,0.11,0.89}, _xlpm.r, _xlpm.c))))</definedName>
    <definedName name="SourceData_Dairy.SourceData_Dairy_FractionVolatileSolidsVoidedMMS_Source">_xlfn.LAMBDA("VEERG 2026: Table A.1.3.10")</definedName>
    <definedName name="SourceData_Dairy.SourceData_Dairy_FractionVolatileSolidsVoidedMMS_Title">_xlfn.LAMBDA("Table A.1.3.10: Dairy cattle - Fraction of volatile solids voided to each manure management system (fraction) (MMSjm)")</definedName>
    <definedName name="SourceData_Dairy.SourceData_Dairy_FractionVolatileSolidsVoidedMMS_Unit">_xlfn.LAMBDA("fraction")</definedName>
    <definedName name="SourceData_Dairy.SourceData_Dairy_FractionVolatileSolidsVoidedMMS_Variable">_xlfn.LAMBDA("MMSjm")</definedName>
    <definedName name="SourceData_Dairy.SourceData_Dairy_FractionVolatileSolidsVoidedMMS_Variation">_xlfn.LAMBDA("VARIATION OF SOURCE: Excluded 'Annual fraction of time spent per area' row as this information is in the table title.")</definedName>
    <definedName name="SourceData_Dairy.SourceData_Dairy_GrossEnergyContent_Data">_xlfn.LAMBDA(18.4)</definedName>
    <definedName name="SourceData_Dairy.SourceData_Dairy_GrossEnergyContent_Source">_xlfn.LAMBDA("VEERG 2026: 3.3.2.3 CONSTANTS")</definedName>
    <definedName name="SourceData_Dairy.SourceData_Dairy_GrossEnergyContent_Title">_xlfn.LAMBDA("Gross energy content of feed dry matter")</definedName>
    <definedName name="SourceData_Dairy.SourceData_Dairy_GrossEnergyContent_Unit">_xlfn.LAMBDA("MJ / kgDM")</definedName>
    <definedName name="SourceData_Dairy.SourceData_Dairy_GrossEnergyContent_Variable">_xlfn.LAMBDA("GEC")</definedName>
    <definedName name="SourceData_Dairy.SourceData_Dairy_GrossEnergyContent_Variation">_xlfn.LAMBDA("")</definedName>
    <definedName name="SourceData_Dairy.SourceData_Dairy_IncreasedMetabolicRateMilk_Data">_xlfn.LAMBDA(_xlfn.MAKEARRAY(3, 2, _xlfn.LAMBDA(_xlpm.r,_xlpm.c, INDEX({"Animal Class j","MRj";"Milking cows, and house cows",1.1;"All other cattle classes",1}, _xlpm.r, _xlpm.c))))</definedName>
    <definedName name="SourceData_Dairy.SourceData_Dairy_IncreasedMetabolicRateMilk_Source">_xlfn.LAMBDA("VEERG 2026: Table A.1.3.9")</definedName>
    <definedName name="SourceData_Dairy.SourceData_Dairy_IncreasedMetabolicRateMilk_Title">_xlfn.LAMBDA("Table A.1.3.9: Dairy cattle - Increased metabolic rate when producing milk (kg DM/head/day) (MRj)")</definedName>
    <definedName name="SourceData_Dairy.SourceData_Dairy_IncreasedMetabolicRateMilk_Unit">_xlfn.LAMBDA("kg DM/head/day")</definedName>
    <definedName name="SourceData_Dairy.SourceData_Dairy_IncreasedMetabolicRateMilk_Variable">_xlfn.LAMBDA("MRj")</definedName>
    <definedName name="SourceData_Dairy.SourceData_Dairy_IncreasedMetabolicRateMilk_Variation">_xlfn.LAMBDA("")</definedName>
    <definedName name="SourceData_Dairy.SourceData_Dairy_LiveweightBulls_Data">_xlfn.LAMBDA(_xlfn.MAKEARRAY(2, 3, _xlfn.LAMBDA(_xlpm.r,_xlpm.c, INDEX({"Breed","Bulls &gt;1","Bulls &lt;1 (weaned)";"All breeds",600,225}, _xlpm.r, _xlpm.c))))</definedName>
    <definedName name="SourceData_Dairy.SourceData_Dairy_LiveweightBulls_Source">_xlfn.LAMBDA("VEERG 2026: Table A.1.3.2")</definedName>
    <definedName name="SourceData_Dairy.SourceData_Dairy_LiveweightBulls_Title">_xlfn.LAMBDA("Table A.1.3.2: Dairy cattle - Liveweight (kg) - Bulls (Wj)")</definedName>
    <definedName name="SourceData_Dairy.SourceData_Dairy_LiveweightBulls_Unit">_xlfn.LAMBDA("kg")</definedName>
    <definedName name="SourceData_Dairy.SourceData_Dairy_LiveweightBulls_Variable">_xlfn.LAMBDA("Wj")</definedName>
    <definedName name="SourceData_Dairy.SourceData_Dairy_LiveweightBulls_Variation">_xlfn.LAMBDA("")</definedName>
    <definedName name="SourceData_Dairy.SourceData_Dairy_LiveweightCowsAndHeifers_Data">_xlfn.LAMBDA(_xlfn.MAKEARRAY(11, 4, _xlfn.LAMBDA(_xlpm.r,_xlpm.c, INDEX({"Breed","Milking Cows","Heifers &gt;1","Heifers &lt;1 (weaned)";"Medium Friesian",550,380,155;"Large Friesian",600,415,170;"Holstein-Friesian",650,450,185;"Friesian crossbred",500,350,145;"Jersey",400,275,115;"Jersey crossbred",450,315,130;"Ayrshire",540,375,150;"Guernsey",480,335,140;"Brown Swiss",600,415,170;"Illawarra/Aussie Red",550,375,150}, _xlpm.r, _xlpm.c))))</definedName>
    <definedName name="SourceData_Dairy.SourceData_Dairy_LiveweightCowsAndHeifers_Source">_xlfn.LAMBDA("VEERG 2026: Table A.1.3.1")</definedName>
    <definedName name="SourceData_Dairy.SourceData_Dairy_LiveweightCowsAndHeifers_Title">_xlfn.LAMBDA("Table A.1.3.1: Dairy cattle - Liveweight (kg) - Cows and Heifers (Wj)")</definedName>
    <definedName name="SourceData_Dairy.SourceData_Dairy_LiveweightCowsAndHeifers_Unit">_xlfn.LAMBDA("kg")</definedName>
    <definedName name="SourceData_Dairy.SourceData_Dairy_LiveweightCowsAndHeifers_Variable">_xlfn.LAMBDA("Wj")</definedName>
    <definedName name="SourceData_Dairy.SourceData_Dairy_LiveweightCowsAndHeifers_Variation">_xlfn.LAMBDA("VARIATION OF SOURCE: Excluded 'Reference', as the value is consistently 'Dairy Australia [1]' and is not used in calculation.")</definedName>
    <definedName name="SourceData_Dairy.SourceData_Dairy_LiveweightGain_Data">_xlfn.LAMBDA(_xlfn.MAKEARRAY(2, 5, _xlfn.LAMBDA(_xlpm.r,_xlpm.c, INDEX({"Milking Cows","Heifers &gt;1","Heifers &lt;1 (weaned)","Bulls &gt;1","Bulls &lt;1 (weaned)";0.016,0.6,0.57,0.1,0.8}, _xlpm.r, _xlpm.c))))</definedName>
    <definedName name="SourceData_Dairy.SourceData_Dairy_LiveweightGain_Source">_xlfn.LAMBDA("VEERG 2026: Table A.1.3.3")</definedName>
    <definedName name="SourceData_Dairy.SourceData_Dairy_LiveweightGain_Title">_xlfn.LAMBDA("Table A.1.3.3: Dairy cattle - Liveweight gain (kg) (LWGj)")</definedName>
    <definedName name="SourceData_Dairy.SourceData_Dairy_LiveweightGain_Unit">_xlfn.LAMBDA("kg")</definedName>
    <definedName name="SourceData_Dairy.SourceData_Dairy_LiveweightGain_Variable">_xlfn.LAMBDA("LWGj")</definedName>
    <definedName name="SourceData_Dairy.SourceData_Dairy_LiveweightGain_Variation">_xlfn.LAMBDA("")</definedName>
    <definedName name="SourceData_Dairy.SourceData_Dairy_MCF_Data">_xlfn.LAMBDA(_xlfn.MAKEARRAY(7, 10, _xlfn.LAMBDA(_xlpm.r,_xlpm.c, INDEX({"MMS m","ACT","NSW","NT","QLD","SA","TAS","VIC","WA","NIR reference";"Pasture",0.01,0.01,0.02,0.01,0.01,0.01,0.01,0.01,"Pasture range and paddock";"Anaerobic lagoon",0.72,0.76,0.8,0.78,0.74,0.69,0.73,0.76,"Anaerobic lagoon";"Daily spread - Sump and dispersal systems",0.005,0.005,0.01,0.005,0.005,0.001,0.005,0.005,"Sump and dispersal system";"Daily spread - Drains to paddocks (a)",0.15,0.18,0.5,0.24,0.17,0.13,0.17,0.18,"Drains to paddock";"Solid Storage",0.02,0.02,0.02,0.02,0.02,0.02,0.02,0.02,"Solid storage";"Direct Application to soil",0,0,0,0,0,0,0,0,"Direct application"}, _xlpm.r, _xlpm.c))))</definedName>
    <definedName name="SourceData_Dairy.SourceData_Dairy_MCF_Source">_xlfn.LAMBDA("VEERG 2026: Table A.1.3.6")</definedName>
    <definedName name="SourceData_Dairy.SourceData_Dairy_MCF_Title">_xlfn.LAMBDA("Table A.1.3.6: Dairy cattle - Dairy cattle - MCFs (fraction) (MCFjm)")</definedName>
    <definedName name="SourceData_Dairy.SourceData_Dairy_MCF_Unit">_xlfn.LAMBDA("fraction")</definedName>
    <definedName name="SourceData_Dairy.SourceData_Dairy_MCF_Variable">_xlfn.LAMBDA("MCFjm")</definedName>
    <definedName name="SourceData_Dairy.SourceData_Dairy_MCF_Variation">_xlfn.LAMBDA("VARIATION OF SOURCE: Added 'NIR reference' column to aid lookup")</definedName>
    <definedName name="SourceData_Dairy.SourceData_Dairy_MethaneEmissionsPotential_Data">_xlfn.LAMBDA(0.24)</definedName>
    <definedName name="SourceData_Dairy.SourceData_Dairy_MethaneEmissionsPotential_Source">_xlfn.LAMBDA("VEERG 2026: 4.3.2.3 CONSTANTS")</definedName>
    <definedName name="SourceData_Dairy.SourceData_Dairy_MethaneEmissionsPotential_Title">_xlfn.LAMBDA("Methane emissions potential")</definedName>
    <definedName name="SourceData_Dairy.SourceData_Dairy_MethaneEmissionsPotential_Unit">_xlfn.LAMBDA("m3 CH4/kgVS")</definedName>
    <definedName name="SourceData_Dairy.SourceData_Dairy_MethaneEmissionsPotential_Variable">_xlfn.LAMBDA("B_o")</definedName>
    <definedName name="SourceData_Dairy.SourceData_Dairy_MethaneEmissionsPotential_Variation">_xlfn.LAMBDA("")</definedName>
    <definedName name="SourceData_Dairy.SourceData_Dairy_MethaneProductionPreWeanedCalves_Data">_xlfn.LAMBDA(_xlfn.MAKEARRAY(3, 2, _xlfn.LAMBDA(_xlpm.r,_xlpm.c, INDEX({"Animal Class j","MPWENTERIC";"Heifers &lt; 1 year",0.0176;"Bulls &lt; 1 year",0.0204}, _xlpm.r, _xlpm.c))))</definedName>
    <definedName name="SourceData_Dairy.SourceData_Dairy_MethaneProductionPreWeanedCalves_Source">_xlfn.LAMBDA("VEERG 2026: Table A.1.3.8")</definedName>
    <definedName name="SourceData_Dairy.SourceData_Dairy_MethaneProductionPreWeanedCalves_Title">_xlfn.LAMBDA("Table A.1.3.8: Dairy cattle - Methane production for pre-weaned heifer and bull calves (kg CH4/head/day) (MPWENTERIC,j=3,5)")</definedName>
    <definedName name="SourceData_Dairy.SourceData_Dairy_MethaneProductionPreWeanedCalves_Unit">_xlfn.LAMBDA("kg CH4/head/day")</definedName>
    <definedName name="SourceData_Dairy.SourceData_Dairy_MethaneProductionPreWeanedCalves_Variable">_xlfn.LAMBDA("MPWENTERIC,j=3,5")</definedName>
    <definedName name="SourceData_Dairy.SourceData_Dairy_MethaneProductionPreWeanedCalves_Variation">_xlfn.LAMBDA("")</definedName>
    <definedName name="SourceData_Dairy.SourceData_Dairy_NetEnergy_Data">_xlfn.LAMBDA(3.054)</definedName>
    <definedName name="SourceData_Dairy.SourceData_Dairy_NetEnergy_Source">_xlfn.LAMBDA("VEERG 2026: 3.3.2.3 CONSTANTS")</definedName>
    <definedName name="SourceData_Dairy.SourceData_Dairy_NetEnergy_Title">_xlfn.LAMBDA("Net energy required for milk production")</definedName>
    <definedName name="SourceData_Dairy.SourceData_Dairy_NetEnergy_Unit">_xlfn.LAMBDA("MJ net energy / kg milk")</definedName>
    <definedName name="SourceData_Dairy.SourceData_Dairy_NetEnergy_Variable">_xlfn.LAMBDA("NE")</definedName>
    <definedName name="SourceData_Dairy.SourceData_Dairy_NetEnergy_Variation">_xlfn.LAMBDA("")</definedName>
    <definedName name="SourceData_Dairy.SourceData_Dairy_NitrousOxideEFsAndFracGASM_Data">_xlfn.LAMBDA(_xlfn.MAKEARRAY(6, 4, _xlfn.LAMBDA(_xlpm.r,_xlpm.c, INDEX({"MMS m","EFm (kg N2O-N/kg N excreted)","FracGASMm (kg N2O-N/kg N excreted)","NIR reference";"M=14 Pasture",0,0,"Pasture range and paddock";"M=1 Anaerobic lagoon",0,0.35,"Anaerobic lagoon";"M=2 Daily Spread - Sump and Dispersal",0,0.07,"Sump and dispersal system";"M=3 Daily Spread - Drains to Paddock",0,0.2,"Drains to paddock";"M=3 Solid Storage",0.005,0.3,"Solid storage"}, _xlpm.r, _xlpm.c))))</definedName>
    <definedName name="SourceData_Dairy.SourceData_Dairy_NitrousOxideEFsAndFracGASM_Source">_xlfn.LAMBDA("VEERG 2026: Table A.1.3.7")</definedName>
    <definedName name="SourceData_Dairy.SourceData_Dairy_NitrousOxideEFsAndFracGASM_Title">_xlfn.LAMBDA("Table A.1.3.7: Dairy cattle - Nitrous oxide EFs and fraction of N volatilised by MMS")</definedName>
    <definedName name="SourceData_Dairy.SourceData_Dairy_NitrousOxideEFsAndFracGASM_Unit">_xlfn.LAMBDA("kg N2O-N/kg N excreted")</definedName>
    <definedName name="SourceData_Dairy.SourceData_Dairy_NitrousOxideEFsAndFracGASM_Variable">_xlfn.LAMBDA("EFm; FracGASMm")</definedName>
    <definedName name="SourceData_Dairy.SourceData_Dairy_NitrousOxideEFsAndFracGASM_Variation">_xlfn.LAMBDA("VARIATION OF SOURCE: Added 'NIR reference' column to aid lookup")</definedName>
    <definedName name="SourceData_Dairy.SourceData_Dairy_PreWeanedCalves_Data">_xlfn.LAMBDA(_xlfn.MAKEARRAY(4, 4, _xlfn.LAMBDA(_xlpm.r,_xlpm.c, INDEX({"Animal class j","CH4 production","Volatile solids (VSj=3,5)","Nitrogen Excreted (NPWj=3,5)";"","(kg/day)","(kg/day)","(kg/day)";"Heifers&lt;1",0.0176,0.2685,0.0137;"Bulls&lt;1",0.0204,0.3003,0.0092}, _xlpm.r, _xlpm.c))))</definedName>
    <definedName name="SourceData_Dairy.SourceData_Dairy_PreWeanedCalves_Source">_xlfn.LAMBDA("VEERG 2026: Table A.1.3.5")</definedName>
    <definedName name="SourceData_Dairy.SourceData_Dairy_PreWeanedCalves_Title">_xlfn.LAMBDA("Table A.1.3.5: Dairy cattle - Data for pre - weaned calves")</definedName>
    <definedName name="SourceData_Dairy.SourceData_Dairy_PreWeanedCalves_Unit">_xlfn.LAMBDA("kg/day")</definedName>
    <definedName name="SourceData_Dairy.SourceData_Dairy_PreWeanedCalves_Variable">_xlfn.LAMBDA("VSj=3,5; NPWj=3,5")</definedName>
    <definedName name="SourceData_Dairy.SourceData_Dairy_PreWeanedCalves_Variation">_xlfn.LAMBDA("VARIATION OF SOURCE: Added 'Animal class j' column header")</definedName>
    <definedName name="SourceData_Dairy.SourceData_Dairy_ReferenceWeights_Data">_xlfn.LAMBDA(_xlfn.MAKEARRAY(2, 5, _xlfn.LAMBDA(_xlpm.r,_xlpm.c, INDEX({"Milking Cows","Heifers &gt;1","Heifers &lt;1 (weaned)","Bulls &gt;1","Bulls &lt;1 (weaned)";590,590,590,770,770}, _xlpm.r, _xlpm.c))))</definedName>
    <definedName name="SourceData_Dairy.SourceData_Dairy_ReferenceWeights_Source">_xlfn.LAMBDA("VEERG 2026: Table A.1.3.4")</definedName>
    <definedName name="SourceData_Dairy.SourceData_Dairy_ReferenceWeights_Title">_xlfn.LAMBDA("Table A.1.3.4: Dairy cattle - Reference weights (kg) (WRj)")</definedName>
    <definedName name="SourceData_Dairy.SourceData_Dairy_ReferenceWeights_Unit">_xlfn.LAMBDA("kg")</definedName>
    <definedName name="SourceData_Dairy.SourceData_Dairy_ReferenceWeights_Variable">_xlfn.LAMBDA("WRj")</definedName>
    <definedName name="SourceData_Dairy.SourceData_Dairy_ReferenceWeights_Variation">_xlfn.LAMBDA("")</definedName>
    <definedName name="Step1">#REF!</definedName>
    <definedName name="Step2">#REF!</definedName>
    <definedName name="Step3">#REF!</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G9" i="79" l="1"/>
  <c r="G8" i="79"/>
  <c r="R190" i="69"/>
  <c r="G189" i="69"/>
  <c r="H44" i="96"/>
  <c r="H14" i="98"/>
  <c r="H14" i="81"/>
  <c r="H14" i="95"/>
  <c r="H39" i="97"/>
  <c r="G62" i="82"/>
  <c r="E30" i="15"/>
  <c r="E33" i="15"/>
  <c r="E32" i="15"/>
  <c r="E31" i="15"/>
  <c r="H45" i="98"/>
  <c r="H40" i="97"/>
  <c r="H45" i="96"/>
  <c r="G44" i="95"/>
  <c r="G63" i="82"/>
  <c r="G257" i="76"/>
  <c r="R50" i="98"/>
  <c r="G50" i="98"/>
  <c r="R48" i="97"/>
  <c r="G48" i="97"/>
  <c r="R56" i="96"/>
  <c r="G56" i="96"/>
  <c r="R55" i="95"/>
  <c r="G55" i="95"/>
  <c r="R71" i="82"/>
  <c r="G71" i="82"/>
  <c r="Q283" i="76"/>
  <c r="G283" i="76"/>
  <c r="R267" i="69"/>
  <c r="G267" i="69"/>
  <c r="R191" i="69"/>
  <c r="G190" i="69"/>
  <c r="E224" i="103" a="1"/>
  <c r="E224" i="103" s="1"/>
  <c r="D224" i="103" a="1"/>
  <c r="D224" i="103" s="1"/>
  <c r="E223" i="103" a="1"/>
  <c r="E223" i="103" s="1"/>
  <c r="D223" i="103" a="1"/>
  <c r="D223" i="103" s="1"/>
  <c r="E222" i="103" a="1"/>
  <c r="E222" i="103" s="1"/>
  <c r="D222" i="103" a="1"/>
  <c r="D222" i="103" s="1"/>
  <c r="E221" i="103" a="1"/>
  <c r="E221" i="103" s="1"/>
  <c r="D221" i="103" a="1"/>
  <c r="D221" i="103" s="1"/>
  <c r="E220" i="103" a="1"/>
  <c r="E220" i="103" s="1"/>
  <c r="D220" i="103" a="1"/>
  <c r="D220" i="103" s="1"/>
  <c r="E219" i="103" a="1"/>
  <c r="E219" i="103" s="1"/>
  <c r="D219" i="103" a="1"/>
  <c r="D219" i="103" s="1"/>
  <c r="E218" i="103" a="1"/>
  <c r="E218" i="103" s="1"/>
  <c r="D218" i="103" a="1"/>
  <c r="D218" i="103" s="1"/>
  <c r="E217" i="103" a="1"/>
  <c r="E217" i="103" s="1"/>
  <c r="D217" i="103" a="1"/>
  <c r="D217" i="103" s="1"/>
  <c r="E216" i="103" a="1"/>
  <c r="E216" i="103" s="1"/>
  <c r="D216" i="103" a="1"/>
  <c r="D216" i="103" s="1"/>
  <c r="E215" i="103" a="1"/>
  <c r="E215" i="103" s="1"/>
  <c r="D215" i="103" a="1"/>
  <c r="D215" i="103" s="1"/>
  <c r="E214" i="103" a="1"/>
  <c r="E214" i="103" s="1"/>
  <c r="D214" i="103" a="1"/>
  <c r="D214" i="103" s="1"/>
  <c r="E213" i="103" a="1"/>
  <c r="E213" i="103" s="1"/>
  <c r="D213" i="103" a="1"/>
  <c r="D213" i="103" s="1"/>
  <c r="D211" i="103" a="1"/>
  <c r="D211" i="103" s="1"/>
  <c r="E208" i="103" a="1"/>
  <c r="E208" i="103" s="1"/>
  <c r="D208" i="103" a="1"/>
  <c r="D208" i="103" s="1"/>
  <c r="E207" i="103" a="1"/>
  <c r="E207" i="103" s="1"/>
  <c r="D207" i="103" a="1"/>
  <c r="D207" i="103" s="1"/>
  <c r="D205" i="103" a="1"/>
  <c r="D205" i="103" s="1"/>
  <c r="D204" i="103" a="1"/>
  <c r="D204" i="103" s="1"/>
  <c r="D203" i="103" a="1"/>
  <c r="D203" i="103" s="1"/>
  <c r="D202" i="103" a="1"/>
  <c r="D202" i="103" s="1"/>
  <c r="H199" i="103" a="1"/>
  <c r="H199" i="103" s="1"/>
  <c r="G199" i="103" a="1"/>
  <c r="G199" i="103" s="1"/>
  <c r="F199" i="103" a="1"/>
  <c r="F199" i="103" s="1"/>
  <c r="E199" i="103" a="1"/>
  <c r="E199" i="103" s="1"/>
  <c r="D199" i="103" a="1"/>
  <c r="D199" i="103" s="1"/>
  <c r="H198" i="103" a="1"/>
  <c r="H198" i="103" s="1"/>
  <c r="G198" i="103" a="1"/>
  <c r="G198" i="103" s="1"/>
  <c r="F198" i="103" a="1"/>
  <c r="F198" i="103" s="1"/>
  <c r="E198" i="103" a="1"/>
  <c r="E198" i="103" s="1"/>
  <c r="D198" i="103" a="1"/>
  <c r="D198" i="103" s="1"/>
  <c r="H197" i="103" a="1"/>
  <c r="H197" i="103" s="1"/>
  <c r="G197" i="103" a="1"/>
  <c r="G197" i="103" s="1"/>
  <c r="F197" i="103" a="1"/>
  <c r="F197" i="103" s="1"/>
  <c r="E197" i="103" a="1"/>
  <c r="E197" i="103" s="1"/>
  <c r="D197" i="103" a="1"/>
  <c r="D197" i="103" s="1"/>
  <c r="H196" i="103" a="1"/>
  <c r="H196" i="103" s="1"/>
  <c r="G196" i="103" a="1"/>
  <c r="G196" i="103" s="1"/>
  <c r="F196" i="103" a="1"/>
  <c r="F196" i="103" s="1"/>
  <c r="E196" i="103" a="1"/>
  <c r="E196" i="103" s="1"/>
  <c r="D196" i="103" a="1"/>
  <c r="D196" i="103" s="1"/>
  <c r="H195" i="103" a="1"/>
  <c r="H195" i="103" s="1"/>
  <c r="G195" i="103" a="1"/>
  <c r="G195" i="103" s="1"/>
  <c r="F195" i="103" a="1"/>
  <c r="F195" i="103" s="1"/>
  <c r="E195" i="103" a="1"/>
  <c r="E195" i="103" s="1"/>
  <c r="D195" i="103" a="1"/>
  <c r="D195" i="103" s="1"/>
  <c r="H194" i="103" a="1"/>
  <c r="H194" i="103" s="1"/>
  <c r="G194" i="103" a="1"/>
  <c r="G194" i="103" s="1"/>
  <c r="F194" i="103" a="1"/>
  <c r="F194" i="103" s="1"/>
  <c r="E194" i="103" a="1"/>
  <c r="E194" i="103" s="1"/>
  <c r="D194" i="103" a="1"/>
  <c r="D194" i="103" s="1"/>
  <c r="H193" i="103" a="1"/>
  <c r="H193" i="103" s="1"/>
  <c r="G193" i="103" a="1"/>
  <c r="G193" i="103" s="1"/>
  <c r="F193" i="103" a="1"/>
  <c r="F193" i="103" s="1"/>
  <c r="E193" i="103" a="1"/>
  <c r="E193" i="103" s="1"/>
  <c r="D193" i="103" a="1"/>
  <c r="D193" i="103" s="1"/>
  <c r="H192" i="103" a="1"/>
  <c r="H192" i="103" s="1"/>
  <c r="G192" i="103" a="1"/>
  <c r="G192" i="103" s="1"/>
  <c r="F192" i="103" a="1"/>
  <c r="F192" i="103" s="1"/>
  <c r="E192" i="103" a="1"/>
  <c r="E192" i="103" s="1"/>
  <c r="D192" i="103" a="1"/>
  <c r="D192" i="103" s="1"/>
  <c r="H191" i="103" a="1"/>
  <c r="H191" i="103" s="1"/>
  <c r="G191" i="103" a="1"/>
  <c r="G191" i="103" s="1"/>
  <c r="F191" i="103" a="1"/>
  <c r="F191" i="103" s="1"/>
  <c r="E191" i="103" a="1"/>
  <c r="E191" i="103" s="1"/>
  <c r="D191" i="103" a="1"/>
  <c r="D191" i="103" s="1"/>
  <c r="H190" i="103" a="1"/>
  <c r="H190" i="103" s="1"/>
  <c r="G190" i="103" a="1"/>
  <c r="G190" i="103" s="1"/>
  <c r="F190" i="103" a="1"/>
  <c r="F190" i="103" s="1"/>
  <c r="E190" i="103" a="1"/>
  <c r="E190" i="103" s="1"/>
  <c r="D190" i="103" a="1"/>
  <c r="D190" i="103" s="1"/>
  <c r="H189" i="103" a="1"/>
  <c r="H189" i="103" s="1"/>
  <c r="G189" i="103" a="1"/>
  <c r="G189" i="103" s="1"/>
  <c r="F189" i="103" a="1"/>
  <c r="F189" i="103" s="1"/>
  <c r="E189" i="103" a="1"/>
  <c r="E189" i="103" s="1"/>
  <c r="D189" i="103" a="1"/>
  <c r="D189" i="103" s="1"/>
  <c r="H188" i="103" a="1"/>
  <c r="H188" i="103" s="1"/>
  <c r="G188" i="103" a="1"/>
  <c r="G188" i="103" s="1"/>
  <c r="F188" i="103" a="1"/>
  <c r="F188" i="103" s="1"/>
  <c r="E188" i="103" a="1"/>
  <c r="E188" i="103" s="1"/>
  <c r="D188" i="103" a="1"/>
  <c r="D188" i="103" s="1"/>
  <c r="H187" i="103" a="1"/>
  <c r="H187" i="103" s="1"/>
  <c r="G187" i="103" a="1"/>
  <c r="G187" i="103" s="1"/>
  <c r="F187" i="103" a="1"/>
  <c r="F187" i="103" s="1"/>
  <c r="E187" i="103" a="1"/>
  <c r="E187" i="103" s="1"/>
  <c r="D187" i="103" a="1"/>
  <c r="D187" i="103" s="1"/>
  <c r="D181" i="103" a="1"/>
  <c r="D181" i="103" s="1"/>
  <c r="D180" i="103" a="1"/>
  <c r="D180" i="103" s="1"/>
  <c r="D179" i="103" a="1"/>
  <c r="D179" i="103" s="1"/>
  <c r="D178" i="103" a="1"/>
  <c r="D178" i="103" s="1"/>
  <c r="E175" i="103" a="1"/>
  <c r="E175" i="103" s="1"/>
  <c r="D175" i="103" a="1"/>
  <c r="D175" i="103" s="1"/>
  <c r="D174" i="103" a="1"/>
  <c r="D174" i="103" s="1"/>
  <c r="D173" i="103" a="1"/>
  <c r="D173" i="103" s="1"/>
  <c r="D170" i="103" a="1"/>
  <c r="D170" i="103" s="1"/>
  <c r="D169" i="103" a="1"/>
  <c r="D169" i="103" s="1"/>
  <c r="D168" i="103" a="1"/>
  <c r="D168" i="103" s="1"/>
  <c r="D167" i="103" a="1"/>
  <c r="D167" i="103" s="1"/>
  <c r="D164" i="103" a="1"/>
  <c r="D164" i="103" s="1"/>
  <c r="D163" i="103" a="1"/>
  <c r="D163" i="103" s="1"/>
  <c r="D162" i="103" a="1"/>
  <c r="D162" i="103" s="1"/>
  <c r="D161" i="103" a="1"/>
  <c r="D161" i="103" s="1"/>
  <c r="E158" i="103" a="1"/>
  <c r="E158" i="103" s="1"/>
  <c r="D158" i="103" a="1"/>
  <c r="D158" i="103" s="1"/>
  <c r="E157" i="103" a="1"/>
  <c r="E157" i="103" s="1"/>
  <c r="D157" i="103" a="1"/>
  <c r="D157" i="103" s="1"/>
  <c r="E156" i="103" a="1"/>
  <c r="E156" i="103" s="1"/>
  <c r="D156" i="103" a="1"/>
  <c r="D156" i="103" s="1"/>
  <c r="E155" i="103" a="1"/>
  <c r="E155" i="103" s="1"/>
  <c r="D155" i="103" a="1"/>
  <c r="D155" i="103" s="1"/>
  <c r="E154" i="103" a="1"/>
  <c r="E154" i="103" s="1"/>
  <c r="D154" i="103" a="1"/>
  <c r="D154" i="103" s="1"/>
  <c r="D151" i="103" a="1"/>
  <c r="D151" i="103" s="1"/>
  <c r="D150" i="103" a="1"/>
  <c r="D150" i="103" s="1"/>
  <c r="E147" i="103" a="1"/>
  <c r="E147" i="103" s="1"/>
  <c r="D147" i="103" a="1"/>
  <c r="D147" i="103" s="1"/>
  <c r="E146" i="103" a="1"/>
  <c r="E146" i="103" s="1"/>
  <c r="D146" i="103" a="1"/>
  <c r="D146" i="103" s="1"/>
  <c r="E145" i="103" a="1"/>
  <c r="E145" i="103" s="1"/>
  <c r="D145" i="103" a="1"/>
  <c r="D145" i="103" s="1"/>
  <c r="E144" i="103" a="1"/>
  <c r="E144" i="103" s="1"/>
  <c r="D144" i="103" a="1"/>
  <c r="D144" i="103" s="1"/>
  <c r="E143" i="103" a="1"/>
  <c r="E143" i="103" s="1"/>
  <c r="D143" i="103" a="1"/>
  <c r="D143" i="103" s="1"/>
  <c r="D141" i="103" a="1"/>
  <c r="D141" i="103" s="1"/>
  <c r="D140" i="103" a="1"/>
  <c r="D140" i="103" s="1"/>
  <c r="D139" i="103" a="1"/>
  <c r="D139" i="103" s="1"/>
  <c r="E136" i="103" a="1"/>
  <c r="E136" i="103" s="1"/>
  <c r="D136" i="103" a="1"/>
  <c r="D136" i="103" s="1"/>
  <c r="E135" i="103" a="1"/>
  <c r="E135" i="103" s="1"/>
  <c r="D135" i="103" a="1"/>
  <c r="D135" i="103" s="1"/>
  <c r="D133" i="103" a="1"/>
  <c r="D133" i="103" s="1"/>
  <c r="D132" i="103" a="1"/>
  <c r="D132" i="103" s="1"/>
  <c r="E129" i="103" a="1"/>
  <c r="E129" i="103" s="1"/>
  <c r="D129" i="103" a="1"/>
  <c r="D129" i="103" s="1"/>
  <c r="E128" i="103" a="1"/>
  <c r="E128" i="103" s="1"/>
  <c r="D128" i="103" a="1"/>
  <c r="D128" i="103" s="1"/>
  <c r="D125" i="103" a="1"/>
  <c r="D125" i="103" s="1"/>
  <c r="D124" i="103" a="1"/>
  <c r="D124" i="103" s="1"/>
  <c r="G121" i="103" a="1"/>
  <c r="G121" i="103" s="1"/>
  <c r="F121" i="103" a="1"/>
  <c r="F121" i="103" s="1"/>
  <c r="E121" i="103" a="1"/>
  <c r="E121" i="103" s="1"/>
  <c r="D121" i="103" a="1"/>
  <c r="D121" i="103" s="1"/>
  <c r="G120" i="103" a="1"/>
  <c r="G120" i="103" s="1"/>
  <c r="F120" i="103" a="1"/>
  <c r="F120" i="103" s="1"/>
  <c r="E120" i="103" a="1"/>
  <c r="E120" i="103" s="1"/>
  <c r="D120" i="103" a="1"/>
  <c r="D120" i="103" s="1"/>
  <c r="D117" i="103" a="1"/>
  <c r="D117" i="103" s="1"/>
  <c r="D116" i="103" a="1"/>
  <c r="D116" i="103" s="1"/>
  <c r="D115" i="103" a="1"/>
  <c r="D115" i="103" s="1"/>
  <c r="G112" i="103" a="1"/>
  <c r="G112" i="103" s="1"/>
  <c r="F112" i="103" a="1"/>
  <c r="F112" i="103" s="1"/>
  <c r="E112" i="103" a="1"/>
  <c r="E112" i="103" s="1"/>
  <c r="D112" i="103" a="1"/>
  <c r="D112" i="103" s="1"/>
  <c r="G111" i="103" a="1"/>
  <c r="G111" i="103" s="1"/>
  <c r="F111" i="103" a="1"/>
  <c r="F111" i="103" s="1"/>
  <c r="E111" i="103" a="1"/>
  <c r="E111" i="103" s="1"/>
  <c r="D111" i="103" a="1"/>
  <c r="D111" i="103" s="1"/>
  <c r="G110" i="103" a="1"/>
  <c r="G110" i="103" s="1"/>
  <c r="F110" i="103" a="1"/>
  <c r="F110" i="103" s="1"/>
  <c r="E110" i="103" a="1"/>
  <c r="E110" i="103" s="1"/>
  <c r="D110" i="103" a="1"/>
  <c r="D110" i="103" s="1"/>
  <c r="D107" i="103" a="1"/>
  <c r="D107" i="103" s="1"/>
  <c r="D106" i="103" a="1"/>
  <c r="D106" i="103" s="1"/>
  <c r="D105" i="103" a="1"/>
  <c r="D105" i="103" s="1"/>
  <c r="D98" i="103" a="1"/>
  <c r="D98" i="103" s="1"/>
  <c r="S97" i="103" a="1"/>
  <c r="S97" i="103" s="1"/>
  <c r="R97" i="103" a="1"/>
  <c r="R97" i="103" s="1"/>
  <c r="Q97" i="103" a="1"/>
  <c r="Q97" i="103" s="1"/>
  <c r="P97" i="103" a="1"/>
  <c r="P97" i="103" s="1"/>
  <c r="O97" i="103" a="1"/>
  <c r="O97" i="103" s="1"/>
  <c r="N97" i="103" a="1"/>
  <c r="N97" i="103" s="1"/>
  <c r="M97" i="103" a="1"/>
  <c r="M97" i="103" s="1"/>
  <c r="L97" i="103" a="1"/>
  <c r="L97" i="103" s="1"/>
  <c r="K97" i="103" a="1"/>
  <c r="K97" i="103" s="1"/>
  <c r="J97" i="103" a="1"/>
  <c r="J97" i="103" s="1"/>
  <c r="I97" i="103" a="1"/>
  <c r="I97" i="103" s="1"/>
  <c r="H97" i="103" a="1"/>
  <c r="H97" i="103" s="1"/>
  <c r="G97" i="103" a="1"/>
  <c r="G97" i="103" s="1"/>
  <c r="F97" i="103" a="1"/>
  <c r="F97" i="103" s="1"/>
  <c r="E97" i="103" a="1"/>
  <c r="E97" i="103" s="1"/>
  <c r="D97" i="103" a="1"/>
  <c r="D97" i="103" s="1"/>
  <c r="S96" i="103" a="1"/>
  <c r="S96" i="103" s="1"/>
  <c r="R96" i="103" a="1"/>
  <c r="R96" i="103" s="1"/>
  <c r="Q96" i="103" a="1"/>
  <c r="Q96" i="103" s="1"/>
  <c r="P96" i="103" a="1"/>
  <c r="P96" i="103" s="1"/>
  <c r="O96" i="103" a="1"/>
  <c r="O96" i="103" s="1"/>
  <c r="N96" i="103" a="1"/>
  <c r="N96" i="103" s="1"/>
  <c r="M96" i="103" a="1"/>
  <c r="M96" i="103" s="1"/>
  <c r="L96" i="103" a="1"/>
  <c r="L96" i="103" s="1"/>
  <c r="K96" i="103" a="1"/>
  <c r="K96" i="103" s="1"/>
  <c r="J96" i="103" a="1"/>
  <c r="J96" i="103" s="1"/>
  <c r="I96" i="103" a="1"/>
  <c r="I96" i="103" s="1"/>
  <c r="H96" i="103" a="1"/>
  <c r="H96" i="103" s="1"/>
  <c r="G96" i="103" a="1"/>
  <c r="G96" i="103" s="1"/>
  <c r="F96" i="103" a="1"/>
  <c r="F96" i="103" s="1"/>
  <c r="E96" i="103" a="1"/>
  <c r="E96" i="103" s="1"/>
  <c r="D96" i="103" a="1"/>
  <c r="D96" i="103" s="1"/>
  <c r="S95" i="103" a="1"/>
  <c r="S95" i="103" s="1"/>
  <c r="R95" i="103" a="1"/>
  <c r="R95" i="103" s="1"/>
  <c r="Q95" i="103" a="1"/>
  <c r="Q95" i="103" s="1"/>
  <c r="P95" i="103" a="1"/>
  <c r="P95" i="103" s="1"/>
  <c r="O95" i="103" a="1"/>
  <c r="O95" i="103" s="1"/>
  <c r="N95" i="103" a="1"/>
  <c r="N95" i="103" s="1"/>
  <c r="M95" i="103" a="1"/>
  <c r="M95" i="103" s="1"/>
  <c r="L95" i="103" a="1"/>
  <c r="L95" i="103" s="1"/>
  <c r="K95" i="103" a="1"/>
  <c r="K95" i="103" s="1"/>
  <c r="J95" i="103" a="1"/>
  <c r="J95" i="103" s="1"/>
  <c r="I95" i="103" a="1"/>
  <c r="I95" i="103" s="1"/>
  <c r="H95" i="103" a="1"/>
  <c r="H95" i="103" s="1"/>
  <c r="G95" i="103" a="1"/>
  <c r="G95" i="103" s="1"/>
  <c r="F95" i="103" a="1"/>
  <c r="F95" i="103" s="1"/>
  <c r="E95" i="103" a="1"/>
  <c r="E95" i="103" s="1"/>
  <c r="D95" i="103" a="1"/>
  <c r="D95" i="103" s="1"/>
  <c r="S94" i="103" a="1"/>
  <c r="S94" i="103" s="1"/>
  <c r="R94" i="103" a="1"/>
  <c r="R94" i="103" s="1"/>
  <c r="Q94" i="103" a="1"/>
  <c r="Q94" i="103" s="1"/>
  <c r="P94" i="103" a="1"/>
  <c r="P94" i="103" s="1"/>
  <c r="O94" i="103" a="1"/>
  <c r="O94" i="103" s="1"/>
  <c r="N94" i="103" a="1"/>
  <c r="N94" i="103" s="1"/>
  <c r="M94" i="103" a="1"/>
  <c r="M94" i="103" s="1"/>
  <c r="L94" i="103" a="1"/>
  <c r="L94" i="103" s="1"/>
  <c r="K94" i="103" a="1"/>
  <c r="K94" i="103" s="1"/>
  <c r="J94" i="103" a="1"/>
  <c r="J94" i="103" s="1"/>
  <c r="I94" i="103" a="1"/>
  <c r="I94" i="103" s="1"/>
  <c r="H94" i="103" a="1"/>
  <c r="H94" i="103" s="1"/>
  <c r="G94" i="103" a="1"/>
  <c r="G94" i="103" s="1"/>
  <c r="F94" i="103" a="1"/>
  <c r="F94" i="103" s="1"/>
  <c r="E94" i="103" a="1"/>
  <c r="E94" i="103" s="1"/>
  <c r="D94" i="103" a="1"/>
  <c r="D94" i="103" s="1"/>
  <c r="S93" i="103" a="1"/>
  <c r="S93" i="103" s="1"/>
  <c r="R93" i="103" a="1"/>
  <c r="R93" i="103" s="1"/>
  <c r="Q93" i="103" a="1"/>
  <c r="Q93" i="103" s="1"/>
  <c r="P93" i="103" a="1"/>
  <c r="P93" i="103" s="1"/>
  <c r="O93" i="103" a="1"/>
  <c r="O93" i="103" s="1"/>
  <c r="N93" i="103" a="1"/>
  <c r="N93" i="103" s="1"/>
  <c r="M93" i="103" a="1"/>
  <c r="M93" i="103" s="1"/>
  <c r="L93" i="103" a="1"/>
  <c r="L93" i="103" s="1"/>
  <c r="K93" i="103" a="1"/>
  <c r="K93" i="103" s="1"/>
  <c r="J93" i="103" a="1"/>
  <c r="J93" i="103" s="1"/>
  <c r="I93" i="103" a="1"/>
  <c r="I93" i="103" s="1"/>
  <c r="H93" i="103" a="1"/>
  <c r="H93" i="103" s="1"/>
  <c r="G93" i="103" a="1"/>
  <c r="G93" i="103" s="1"/>
  <c r="F93" i="103" a="1"/>
  <c r="F93" i="103" s="1"/>
  <c r="E93" i="103" a="1"/>
  <c r="E93" i="103" s="1"/>
  <c r="D93" i="103" a="1"/>
  <c r="D93" i="103" s="1"/>
  <c r="S92" i="103" a="1"/>
  <c r="S92" i="103" s="1"/>
  <c r="R92" i="103" a="1"/>
  <c r="R92" i="103" s="1"/>
  <c r="Q92" i="103" a="1"/>
  <c r="Q92" i="103" s="1"/>
  <c r="P92" i="103" a="1"/>
  <c r="P92" i="103" s="1"/>
  <c r="O92" i="103" a="1"/>
  <c r="O92" i="103" s="1"/>
  <c r="N92" i="103" a="1"/>
  <c r="N92" i="103" s="1"/>
  <c r="M92" i="103" a="1"/>
  <c r="M92" i="103" s="1"/>
  <c r="L92" i="103" a="1"/>
  <c r="L92" i="103" s="1"/>
  <c r="K92" i="103" a="1"/>
  <c r="K92" i="103" s="1"/>
  <c r="J92" i="103" a="1"/>
  <c r="J92" i="103" s="1"/>
  <c r="I92" i="103" a="1"/>
  <c r="I92" i="103" s="1"/>
  <c r="H92" i="103" a="1"/>
  <c r="H92" i="103" s="1"/>
  <c r="G92" i="103" a="1"/>
  <c r="G92" i="103" s="1"/>
  <c r="F92" i="103" a="1"/>
  <c r="F92" i="103" s="1"/>
  <c r="E92" i="103" a="1"/>
  <c r="E92" i="103" s="1"/>
  <c r="D92" i="103" a="1"/>
  <c r="D92" i="103" s="1"/>
  <c r="S91" i="103" a="1"/>
  <c r="S91" i="103" s="1"/>
  <c r="R91" i="103" a="1"/>
  <c r="R91" i="103" s="1"/>
  <c r="Q91" i="103" a="1"/>
  <c r="Q91" i="103" s="1"/>
  <c r="P91" i="103" a="1"/>
  <c r="P91" i="103" s="1"/>
  <c r="O91" i="103" a="1"/>
  <c r="O91" i="103" s="1"/>
  <c r="N91" i="103" a="1"/>
  <c r="N91" i="103" s="1"/>
  <c r="M91" i="103" a="1"/>
  <c r="M91" i="103" s="1"/>
  <c r="L91" i="103" a="1"/>
  <c r="L91" i="103" s="1"/>
  <c r="K91" i="103" a="1"/>
  <c r="K91" i="103" s="1"/>
  <c r="J91" i="103" a="1"/>
  <c r="J91" i="103" s="1"/>
  <c r="I91" i="103" a="1"/>
  <c r="I91" i="103" s="1"/>
  <c r="H91" i="103" a="1"/>
  <c r="H91" i="103" s="1"/>
  <c r="G91" i="103" a="1"/>
  <c r="G91" i="103" s="1"/>
  <c r="F91" i="103" a="1"/>
  <c r="F91" i="103" s="1"/>
  <c r="E91" i="103" a="1"/>
  <c r="E91" i="103" s="1"/>
  <c r="D91" i="103" a="1"/>
  <c r="D91" i="103" s="1"/>
  <c r="S90" i="103" a="1"/>
  <c r="S90" i="103" s="1"/>
  <c r="R90" i="103" a="1"/>
  <c r="R90" i="103" s="1"/>
  <c r="Q90" i="103" a="1"/>
  <c r="Q90" i="103" s="1"/>
  <c r="P90" i="103" a="1"/>
  <c r="P90" i="103" s="1"/>
  <c r="O90" i="103" a="1"/>
  <c r="O90" i="103" s="1"/>
  <c r="N90" i="103" a="1"/>
  <c r="N90" i="103" s="1"/>
  <c r="M90" i="103" a="1"/>
  <c r="M90" i="103" s="1"/>
  <c r="L90" i="103" a="1"/>
  <c r="L90" i="103" s="1"/>
  <c r="K90" i="103" a="1"/>
  <c r="K90" i="103" s="1"/>
  <c r="J90" i="103" a="1"/>
  <c r="J90" i="103" s="1"/>
  <c r="I90" i="103" a="1"/>
  <c r="I90" i="103" s="1"/>
  <c r="H90" i="103" a="1"/>
  <c r="H90" i="103" s="1"/>
  <c r="G90" i="103" a="1"/>
  <c r="G90" i="103" s="1"/>
  <c r="F90" i="103" a="1"/>
  <c r="F90" i="103" s="1"/>
  <c r="E90" i="103" a="1"/>
  <c r="E90" i="103" s="1"/>
  <c r="D90" i="103" a="1"/>
  <c r="D90" i="103" s="1"/>
  <c r="D83" i="103" a="1"/>
  <c r="D83" i="103" s="1"/>
  <c r="D82" i="103" a="1"/>
  <c r="D82" i="103" s="1"/>
  <c r="D81" i="103" a="1"/>
  <c r="D81" i="103" s="1"/>
  <c r="E77" i="103" a="1"/>
  <c r="E77" i="103" s="1"/>
  <c r="D77" i="103" a="1"/>
  <c r="D77" i="103" s="1"/>
  <c r="E76" i="103" a="1"/>
  <c r="E76" i="103" s="1"/>
  <c r="D76" i="103" a="1"/>
  <c r="D76" i="103" s="1"/>
  <c r="E75" i="103" a="1"/>
  <c r="E75" i="103" s="1"/>
  <c r="D75" i="103" a="1"/>
  <c r="D75" i="103" s="1"/>
  <c r="E74" i="103" a="1"/>
  <c r="E74" i="103" s="1"/>
  <c r="D74" i="103" a="1"/>
  <c r="D74" i="103" s="1"/>
  <c r="E73" i="103" a="1"/>
  <c r="E73" i="103" s="1"/>
  <c r="D73" i="103" a="1"/>
  <c r="D73" i="103" s="1"/>
  <c r="E72" i="103" a="1"/>
  <c r="E72" i="103" s="1"/>
  <c r="D72" i="103" a="1"/>
  <c r="D72" i="103" s="1"/>
  <c r="E71" i="103" a="1"/>
  <c r="E71" i="103" s="1"/>
  <c r="D71" i="103" a="1"/>
  <c r="D71" i="103" s="1"/>
  <c r="E70" i="103" a="1"/>
  <c r="E70" i="103" s="1"/>
  <c r="D70" i="103" a="1"/>
  <c r="D70" i="103" s="1"/>
  <c r="E69" i="103" a="1"/>
  <c r="E69" i="103" s="1"/>
  <c r="D69" i="103" a="1"/>
  <c r="D69" i="103" s="1"/>
  <c r="E68" i="103" a="1"/>
  <c r="E68" i="103" s="1"/>
  <c r="D68" i="103" a="1"/>
  <c r="D68" i="103" s="1"/>
  <c r="E67" i="103" a="1"/>
  <c r="E67" i="103" s="1"/>
  <c r="D67" i="103" a="1"/>
  <c r="D67" i="103" s="1"/>
  <c r="E66" i="103" a="1"/>
  <c r="E66" i="103" s="1"/>
  <c r="D66" i="103" a="1"/>
  <c r="D66" i="103" s="1"/>
  <c r="E65" i="103" a="1"/>
  <c r="E65" i="103" s="1"/>
  <c r="D65" i="103" a="1"/>
  <c r="D65" i="103" s="1"/>
  <c r="E64" i="103" a="1"/>
  <c r="E64" i="103" s="1"/>
  <c r="D64" i="103" a="1"/>
  <c r="D64" i="103" s="1"/>
  <c r="D59" i="103" a="1"/>
  <c r="D59" i="103" s="1"/>
  <c r="D58" i="103" a="1"/>
  <c r="D58" i="103" s="1"/>
  <c r="D57" i="103" a="1"/>
  <c r="D57" i="103" s="1"/>
  <c r="G54" i="103" a="1"/>
  <c r="G54" i="103" s="1"/>
  <c r="F54" i="103" a="1"/>
  <c r="F54" i="103" s="1"/>
  <c r="E54" i="103" a="1"/>
  <c r="E54" i="103" s="1"/>
  <c r="D54" i="103" a="1"/>
  <c r="D54" i="103" s="1"/>
  <c r="G53" i="103" a="1"/>
  <c r="G53" i="103" s="1"/>
  <c r="F53" i="103" a="1"/>
  <c r="F53" i="103" s="1"/>
  <c r="E53" i="103" a="1"/>
  <c r="E53" i="103" s="1"/>
  <c r="D53" i="103" a="1"/>
  <c r="D53" i="103" s="1"/>
  <c r="G52" i="103" a="1"/>
  <c r="G52" i="103" s="1"/>
  <c r="F52" i="103" a="1"/>
  <c r="F52" i="103" s="1"/>
  <c r="E52" i="103" a="1"/>
  <c r="E52" i="103" s="1"/>
  <c r="D52" i="103" a="1"/>
  <c r="D52" i="103" s="1"/>
  <c r="G51" i="103" a="1"/>
  <c r="G51" i="103" s="1"/>
  <c r="F51" i="103" a="1"/>
  <c r="F51" i="103" s="1"/>
  <c r="E51" i="103" a="1"/>
  <c r="E51" i="103" s="1"/>
  <c r="D51" i="103" a="1"/>
  <c r="D51" i="103" s="1"/>
  <c r="G50" i="103" a="1"/>
  <c r="G50" i="103" s="1"/>
  <c r="F50" i="103" a="1"/>
  <c r="F50" i="103" s="1"/>
  <c r="E50" i="103" a="1"/>
  <c r="E50" i="103" s="1"/>
  <c r="D50" i="103" a="1"/>
  <c r="D50" i="103" s="1"/>
  <c r="G49" i="103" a="1"/>
  <c r="G49" i="103" s="1"/>
  <c r="F49" i="103" a="1"/>
  <c r="F49" i="103" s="1"/>
  <c r="E49" i="103" a="1"/>
  <c r="E49" i="103" s="1"/>
  <c r="D49" i="103" a="1"/>
  <c r="D49" i="103" s="1"/>
  <c r="G48" i="103" a="1"/>
  <c r="G48" i="103" s="1"/>
  <c r="F48" i="103" a="1"/>
  <c r="F48" i="103" s="1"/>
  <c r="E48" i="103" a="1"/>
  <c r="E48" i="103" s="1"/>
  <c r="D48" i="103" a="1"/>
  <c r="D48" i="103" s="1"/>
  <c r="D46" i="103" a="1"/>
  <c r="D46" i="103" s="1"/>
  <c r="D45" i="103"/>
  <c r="D45" i="103" a="1"/>
  <c r="E43" i="103" a="1"/>
  <c r="E43" i="103" s="1"/>
  <c r="D43" i="103" a="1"/>
  <c r="D43" i="103" s="1"/>
  <c r="E42" i="103" a="1"/>
  <c r="E42" i="103" s="1"/>
  <c r="D42" i="103" a="1"/>
  <c r="D42" i="103" s="1"/>
  <c r="E41" i="103" a="1"/>
  <c r="E41" i="103" s="1"/>
  <c r="D41" i="103" a="1"/>
  <c r="D41" i="103" s="1"/>
  <c r="E40" i="103" a="1"/>
  <c r="E40" i="103" s="1"/>
  <c r="D40" i="103" a="1"/>
  <c r="D40" i="103" s="1"/>
  <c r="E39" i="103" a="1"/>
  <c r="E39" i="103" s="1"/>
  <c r="D39" i="103" a="1"/>
  <c r="D39" i="103" s="1"/>
  <c r="E38" i="103" a="1"/>
  <c r="E38" i="103" s="1"/>
  <c r="D38" i="103" a="1"/>
  <c r="D38" i="103" s="1"/>
  <c r="E37" i="103" a="1"/>
  <c r="E37" i="103" s="1"/>
  <c r="D37" i="103" a="1"/>
  <c r="D37" i="103" s="1"/>
  <c r="D35" i="103"/>
  <c r="D35" i="103" a="1"/>
  <c r="D34" i="103"/>
  <c r="D34" i="103" a="1"/>
  <c r="D30" i="103" a="1"/>
  <c r="D30" i="103" s="1"/>
  <c r="D29" i="103" a="1"/>
  <c r="D29" i="103" s="1"/>
  <c r="D28" i="103" a="1"/>
  <c r="D28" i="103" s="1"/>
  <c r="D27" i="103" a="1"/>
  <c r="D27" i="103" s="1"/>
  <c r="D26" i="103" a="1"/>
  <c r="D26" i="103" s="1"/>
  <c r="D25" i="103" a="1"/>
  <c r="D25" i="103" s="1"/>
  <c r="D24" i="103" a="1"/>
  <c r="D24" i="103" s="1"/>
  <c r="D23" i="103" a="1"/>
  <c r="D23" i="103" s="1"/>
  <c r="D22" i="103" a="1"/>
  <c r="D22" i="103" s="1"/>
  <c r="D21" i="103" a="1"/>
  <c r="D21" i="103" s="1"/>
  <c r="D19" i="103" a="1"/>
  <c r="D19" i="103" s="1"/>
  <c r="D18" i="103"/>
  <c r="D18" i="103" a="1"/>
  <c r="F14" i="103" a="1"/>
  <c r="F14" i="103" s="1"/>
  <c r="E14" i="103" a="1"/>
  <c r="E14" i="103" s="1"/>
  <c r="D14" i="103" a="1"/>
  <c r="D14" i="103" s="1"/>
  <c r="F13" i="103" a="1"/>
  <c r="F13" i="103" s="1"/>
  <c r="E13" i="103" a="1"/>
  <c r="E13" i="103" s="1"/>
  <c r="D13" i="103" a="1"/>
  <c r="D13" i="103" s="1"/>
  <c r="F12" i="103" a="1"/>
  <c r="F12" i="103" s="1"/>
  <c r="E12" i="103" a="1"/>
  <c r="E12" i="103" s="1"/>
  <c r="D12" i="103" a="1"/>
  <c r="D12" i="103" s="1"/>
  <c r="F11" i="103" a="1"/>
  <c r="F11" i="103" s="1"/>
  <c r="E11" i="103" a="1"/>
  <c r="E11" i="103" s="1"/>
  <c r="D11" i="103" a="1"/>
  <c r="D11" i="103" s="1"/>
  <c r="F10" i="103" a="1"/>
  <c r="F10" i="103" s="1"/>
  <c r="E10" i="103" a="1"/>
  <c r="E10" i="103" s="1"/>
  <c r="D10" i="103" a="1"/>
  <c r="D10" i="103" s="1"/>
  <c r="F9" i="103" a="1"/>
  <c r="F9" i="103" s="1"/>
  <c r="E9" i="103" a="1"/>
  <c r="E9" i="103" s="1"/>
  <c r="D9" i="103" a="1"/>
  <c r="D9" i="103" s="1"/>
  <c r="F8" i="103" a="1"/>
  <c r="F8" i="103" s="1"/>
  <c r="E8" i="103" a="1"/>
  <c r="E8" i="103" s="1"/>
  <c r="D8" i="103" a="1"/>
  <c r="D8" i="103" s="1"/>
  <c r="F7" i="103" a="1"/>
  <c r="F7" i="103" s="1"/>
  <c r="E7" i="103" a="1"/>
  <c r="E7" i="103" s="1"/>
  <c r="D7" i="103" a="1"/>
  <c r="D7" i="103" s="1"/>
  <c r="D5" i="103" a="1"/>
  <c r="D5" i="103" s="1"/>
  <c r="R188" i="69"/>
  <c r="R187" i="69"/>
  <c r="R186" i="69"/>
  <c r="O186" i="69" a="1"/>
  <c r="O186" i="69" s="1"/>
  <c r="A24" i="43"/>
  <c r="A23" i="43"/>
  <c r="A22" i="43"/>
  <c r="A21" i="43"/>
  <c r="A18" i="43"/>
  <c r="A17" i="43"/>
  <c r="A16" i="43"/>
  <c r="A15" i="43"/>
  <c r="A14" i="43"/>
  <c r="A13" i="43"/>
  <c r="A12" i="43"/>
  <c r="A11" i="43"/>
  <c r="A8" i="43"/>
  <c r="A7" i="43"/>
  <c r="A4" i="43"/>
  <c r="A3" i="43"/>
  <c r="A24" i="79"/>
  <c r="A23" i="79"/>
  <c r="A22" i="79"/>
  <c r="A21" i="79"/>
  <c r="A18" i="79"/>
  <c r="A17" i="79"/>
  <c r="A16" i="79"/>
  <c r="A15" i="79"/>
  <c r="A14" i="79"/>
  <c r="A13" i="79"/>
  <c r="A12" i="79"/>
  <c r="A11" i="79"/>
  <c r="A8" i="79"/>
  <c r="A7" i="79"/>
  <c r="A4" i="79"/>
  <c r="A3" i="79"/>
  <c r="A24" i="98"/>
  <c r="A23" i="98"/>
  <c r="A22" i="98"/>
  <c r="A21" i="98"/>
  <c r="A18" i="98"/>
  <c r="A17" i="98"/>
  <c r="A16" i="98"/>
  <c r="A15" i="98"/>
  <c r="A14" i="98"/>
  <c r="A13" i="98"/>
  <c r="A12" i="98"/>
  <c r="A11" i="98"/>
  <c r="A8" i="98"/>
  <c r="A7" i="98"/>
  <c r="A4" i="98"/>
  <c r="A3" i="98"/>
  <c r="A24" i="97"/>
  <c r="A23" i="97"/>
  <c r="A22" i="97"/>
  <c r="A21" i="97"/>
  <c r="A18" i="97"/>
  <c r="A17" i="97"/>
  <c r="A16" i="97"/>
  <c r="A15" i="97"/>
  <c r="A14" i="97"/>
  <c r="A13" i="97"/>
  <c r="A12" i="97"/>
  <c r="A11" i="97"/>
  <c r="A8" i="97"/>
  <c r="A7" i="97"/>
  <c r="A4" i="97"/>
  <c r="A3" i="97"/>
  <c r="A24" i="96"/>
  <c r="A23" i="96"/>
  <c r="A22" i="96"/>
  <c r="A21" i="96"/>
  <c r="A18" i="96"/>
  <c r="A17" i="96"/>
  <c r="A16" i="96"/>
  <c r="A15" i="96"/>
  <c r="A14" i="96"/>
  <c r="A13" i="96"/>
  <c r="A12" i="96"/>
  <c r="A11" i="96"/>
  <c r="A8" i="96"/>
  <c r="A7" i="96"/>
  <c r="A4" i="96"/>
  <c r="A3" i="96"/>
  <c r="A24" i="81"/>
  <c r="A23" i="81"/>
  <c r="A22" i="81"/>
  <c r="A21" i="81"/>
  <c r="A18" i="81"/>
  <c r="A17" i="81"/>
  <c r="A16" i="81"/>
  <c r="A15" i="81"/>
  <c r="A14" i="81"/>
  <c r="A13" i="81"/>
  <c r="A12" i="81"/>
  <c r="A11" i="81"/>
  <c r="A8" i="81"/>
  <c r="A7" i="81"/>
  <c r="A4" i="81"/>
  <c r="A3" i="81"/>
  <c r="A24" i="95"/>
  <c r="A23" i="95"/>
  <c r="A22" i="95"/>
  <c r="A21" i="95"/>
  <c r="A18" i="95"/>
  <c r="A17" i="95"/>
  <c r="A16" i="95"/>
  <c r="A15" i="95"/>
  <c r="A14" i="95"/>
  <c r="A13" i="95"/>
  <c r="A12" i="95"/>
  <c r="A11" i="95"/>
  <c r="A8" i="95"/>
  <c r="A7" i="95"/>
  <c r="A4" i="95"/>
  <c r="A3" i="95"/>
  <c r="A24" i="82"/>
  <c r="A23" i="82"/>
  <c r="A22" i="82"/>
  <c r="A21" i="82"/>
  <c r="A18" i="82"/>
  <c r="A17" i="82"/>
  <c r="A16" i="82"/>
  <c r="A15" i="82"/>
  <c r="A14" i="82"/>
  <c r="A13" i="82"/>
  <c r="A12" i="82"/>
  <c r="A11" i="82"/>
  <c r="A8" i="82"/>
  <c r="A7" i="82"/>
  <c r="A4" i="82"/>
  <c r="A3" i="82"/>
  <c r="A24" i="76"/>
  <c r="A23" i="76"/>
  <c r="A22" i="76"/>
  <c r="A21" i="76"/>
  <c r="A18" i="76"/>
  <c r="A17" i="76"/>
  <c r="A16" i="76"/>
  <c r="A15" i="76"/>
  <c r="A14" i="76"/>
  <c r="A13" i="76"/>
  <c r="A12" i="76"/>
  <c r="A11" i="76"/>
  <c r="A8" i="76"/>
  <c r="A7" i="76"/>
  <c r="A4" i="76"/>
  <c r="A3" i="76"/>
  <c r="A24" i="69"/>
  <c r="A23" i="69"/>
  <c r="A22" i="69"/>
  <c r="A21" i="69"/>
  <c r="A18" i="69"/>
  <c r="A17" i="69"/>
  <c r="A16" i="69"/>
  <c r="A15" i="69"/>
  <c r="A14" i="69"/>
  <c r="A13" i="69"/>
  <c r="A12" i="69"/>
  <c r="A11" i="69"/>
  <c r="A8" i="69"/>
  <c r="A7" i="69"/>
  <c r="A4" i="69"/>
  <c r="A3" i="69"/>
  <c r="A24" i="70"/>
  <c r="A23" i="70"/>
  <c r="A22" i="70"/>
  <c r="A21" i="70"/>
  <c r="A18" i="70"/>
  <c r="A17" i="70"/>
  <c r="A16" i="70"/>
  <c r="A15" i="70"/>
  <c r="A14" i="70"/>
  <c r="A13" i="70"/>
  <c r="A12" i="70"/>
  <c r="A11" i="70"/>
  <c r="A8" i="70"/>
  <c r="A7" i="70"/>
  <c r="A4" i="70"/>
  <c r="A3" i="70"/>
  <c r="A24" i="15"/>
  <c r="A23" i="15"/>
  <c r="A22" i="15"/>
  <c r="A21" i="15"/>
  <c r="A18" i="15"/>
  <c r="A17" i="15"/>
  <c r="A16" i="15"/>
  <c r="A15" i="15"/>
  <c r="A14" i="15"/>
  <c r="A13" i="15"/>
  <c r="A12" i="15"/>
  <c r="A11" i="15"/>
  <c r="A8" i="15"/>
  <c r="A7" i="15"/>
  <c r="A4" i="15"/>
  <c r="A3" i="15"/>
  <c r="A18" i="13"/>
  <c r="A17" i="13"/>
  <c r="A21" i="13"/>
  <c r="A16" i="13"/>
  <c r="A14" i="13"/>
  <c r="A15" i="13"/>
  <c r="A13" i="13"/>
  <c r="A12" i="13"/>
  <c r="A8" i="13"/>
  <c r="A11" i="13"/>
  <c r="D214" i="69" a="1"/>
  <c r="D214" i="69" s="1"/>
  <c r="Q52" i="98" a="1"/>
  <c r="Q52" i="98" s="1"/>
  <c r="O49" i="98" a="1"/>
  <c r="O49" i="98" s="1"/>
  <c r="F52" i="98" a="1"/>
  <c r="F52" i="98" s="1"/>
  <c r="J14" i="13" s="1"/>
  <c r="D49" i="98" a="1"/>
  <c r="D49" i="98" s="1"/>
  <c r="D35" i="98" a="1"/>
  <c r="D35" i="98" s="1"/>
  <c r="D43" i="98" a="1"/>
  <c r="D43" i="98" s="1"/>
  <c r="O43" i="98" s="1"/>
  <c r="E41" i="98" a="1"/>
  <c r="E41" i="98" s="1"/>
  <c r="F47" i="98" s="1"/>
  <c r="G14" i="13" s="1"/>
  <c r="E40" i="98" a="1"/>
  <c r="E40" i="98"/>
  <c r="D36" i="98" a="1"/>
  <c r="D36" i="98" s="1"/>
  <c r="O28" i="98"/>
  <c r="D28" i="98"/>
  <c r="H18" i="98"/>
  <c r="H17" i="98"/>
  <c r="H16" i="98"/>
  <c r="H13" i="98"/>
  <c r="O23" i="98"/>
  <c r="D23" i="98"/>
  <c r="D13" i="98" a="1"/>
  <c r="D13" i="98" s="1"/>
  <c r="E11" i="98" a="1"/>
  <c r="E11" i="98" s="1"/>
  <c r="V23" i="98" s="1"/>
  <c r="E10" i="98" a="1"/>
  <c r="E10" i="98" s="1"/>
  <c r="D6" i="98" a="1"/>
  <c r="D6" i="98" s="1"/>
  <c r="D5" i="98" a="1"/>
  <c r="D5" i="98" s="1"/>
  <c r="Q50" i="97" a="1"/>
  <c r="Q50" i="97" s="1"/>
  <c r="O47" i="97" a="1"/>
  <c r="O47" i="97" s="1"/>
  <c r="F50" i="97" a="1"/>
  <c r="F50" i="97" s="1"/>
  <c r="J13" i="13" s="1"/>
  <c r="D47" i="97" a="1"/>
  <c r="D47" i="97" s="1"/>
  <c r="H42" i="97"/>
  <c r="H41" i="97"/>
  <c r="D38" i="97" a="1"/>
  <c r="D38" i="97" s="1"/>
  <c r="O38" i="97" s="1"/>
  <c r="E36" i="97" a="1"/>
  <c r="E36" i="97" s="1"/>
  <c r="F45" i="97" s="1"/>
  <c r="G13" i="13" s="1"/>
  <c r="E35" i="97" a="1"/>
  <c r="E35" i="97" s="1"/>
  <c r="D31" i="97" a="1"/>
  <c r="D31" i="97" s="1"/>
  <c r="D30" i="97" a="1"/>
  <c r="D30" i="97" s="1"/>
  <c r="O24" i="97"/>
  <c r="D24" i="97"/>
  <c r="D215" i="79" a="1"/>
  <c r="D215" i="79" s="1"/>
  <c r="H14" i="97" s="1"/>
  <c r="D214" i="79" a="1"/>
  <c r="D214" i="79" s="1"/>
  <c r="D213" i="79" a="1"/>
  <c r="D213" i="79" s="1"/>
  <c r="D212" i="79" a="1"/>
  <c r="D212" i="79" s="1"/>
  <c r="D211" i="79" a="1"/>
  <c r="D211" i="79" s="1"/>
  <c r="H13" i="97"/>
  <c r="O19" i="97"/>
  <c r="D19" i="97"/>
  <c r="D13" i="97" a="1"/>
  <c r="D13" i="97" s="1"/>
  <c r="E11" i="97" a="1"/>
  <c r="E11" i="97" s="1"/>
  <c r="V19" i="97" s="1"/>
  <c r="E10" i="97" a="1"/>
  <c r="E10" i="97" s="1"/>
  <c r="D6" i="97" a="1"/>
  <c r="D6" i="97" s="1"/>
  <c r="D5" i="97" a="1"/>
  <c r="D5" i="97" s="1"/>
  <c r="Q58" i="96" a="1"/>
  <c r="Q58" i="96" s="1"/>
  <c r="O55" i="96" a="1"/>
  <c r="O55" i="96" s="1"/>
  <c r="F58" i="96" a="1"/>
  <c r="F58" i="96" s="1"/>
  <c r="J12" i="13" s="1"/>
  <c r="D55" i="96" a="1"/>
  <c r="D55" i="96" s="1"/>
  <c r="O51" i="96"/>
  <c r="D51" i="96"/>
  <c r="D35" i="96" a="1"/>
  <c r="D35" i="96" s="1"/>
  <c r="D36" i="96" a="1"/>
  <c r="D36" i="96" s="1"/>
  <c r="H43" i="96"/>
  <c r="G13" i="96"/>
  <c r="O31" i="96"/>
  <c r="D31" i="96"/>
  <c r="O25" i="96"/>
  <c r="D25" i="96"/>
  <c r="G14" i="96"/>
  <c r="D13" i="96" a="1"/>
  <c r="D13" i="96" s="1"/>
  <c r="E11" i="96" a="1"/>
  <c r="E11" i="96" s="1"/>
  <c r="K31" i="96" s="1"/>
  <c r="E10" i="96" a="1"/>
  <c r="E10" i="96" s="1"/>
  <c r="D6" i="96" a="1"/>
  <c r="D6" i="96" s="1"/>
  <c r="D5" i="96" a="1"/>
  <c r="D5" i="96" s="1"/>
  <c r="D43" i="96" a="1"/>
  <c r="D43" i="96" s="1"/>
  <c r="E41" i="96" a="1"/>
  <c r="E41" i="96" s="1"/>
  <c r="Q53" i="96" s="1"/>
  <c r="E40" i="96" a="1"/>
  <c r="E40" i="96" s="1"/>
  <c r="O194" i="81"/>
  <c r="O193" i="81"/>
  <c r="O192" i="81"/>
  <c r="O191" i="81"/>
  <c r="O190" i="81"/>
  <c r="O189" i="81"/>
  <c r="O188" i="81"/>
  <c r="O187" i="81"/>
  <c r="D194" i="81"/>
  <c r="D193" i="81"/>
  <c r="D192" i="81"/>
  <c r="D191" i="81"/>
  <c r="D190" i="81"/>
  <c r="D189" i="81"/>
  <c r="D188" i="81"/>
  <c r="D187" i="81"/>
  <c r="J182" i="81"/>
  <c r="I182" i="81"/>
  <c r="H182" i="81"/>
  <c r="G182" i="81"/>
  <c r="F182" i="81"/>
  <c r="J181" i="81"/>
  <c r="I181" i="81"/>
  <c r="H181" i="81"/>
  <c r="G181" i="81"/>
  <c r="F181" i="81"/>
  <c r="J180" i="81"/>
  <c r="I180" i="81"/>
  <c r="H180" i="81"/>
  <c r="G180" i="81"/>
  <c r="F180" i="81"/>
  <c r="J179" i="81"/>
  <c r="I179" i="81"/>
  <c r="H179" i="81"/>
  <c r="G179" i="81"/>
  <c r="F179" i="81"/>
  <c r="J178" i="81"/>
  <c r="I178" i="81"/>
  <c r="H178" i="81"/>
  <c r="G178" i="81"/>
  <c r="F178" i="81"/>
  <c r="J177" i="81"/>
  <c r="I177" i="81"/>
  <c r="H177" i="81"/>
  <c r="G177" i="81"/>
  <c r="F177" i="81"/>
  <c r="J176" i="81"/>
  <c r="I176" i="81"/>
  <c r="H176" i="81"/>
  <c r="G176" i="81"/>
  <c r="F176" i="81"/>
  <c r="J175" i="81"/>
  <c r="I175" i="81"/>
  <c r="H175" i="81"/>
  <c r="G175" i="81"/>
  <c r="F175" i="81"/>
  <c r="D182" i="81"/>
  <c r="D181" i="81"/>
  <c r="D180" i="81"/>
  <c r="D179" i="81"/>
  <c r="D178" i="81"/>
  <c r="D177" i="81"/>
  <c r="D176" i="81"/>
  <c r="D175" i="81"/>
  <c r="O164" i="81"/>
  <c r="O163" i="81"/>
  <c r="O162" i="81"/>
  <c r="O161" i="81"/>
  <c r="O160" i="81"/>
  <c r="O159" i="81"/>
  <c r="O158" i="81"/>
  <c r="O157" i="81"/>
  <c r="J151" i="81"/>
  <c r="I151" i="81"/>
  <c r="H151" i="81"/>
  <c r="G151" i="81"/>
  <c r="D164" i="81"/>
  <c r="D163" i="81"/>
  <c r="D162" i="81"/>
  <c r="D161" i="81"/>
  <c r="D160" i="81"/>
  <c r="D159" i="81"/>
  <c r="D158" i="81"/>
  <c r="D157" i="81"/>
  <c r="J152" i="81"/>
  <c r="I152" i="81"/>
  <c r="H152" i="81"/>
  <c r="G152" i="81"/>
  <c r="F152" i="81"/>
  <c r="D133" i="70"/>
  <c r="D157" i="70"/>
  <c r="F151" i="81"/>
  <c r="J150" i="81"/>
  <c r="I150" i="81"/>
  <c r="H150" i="81"/>
  <c r="G150" i="81"/>
  <c r="F150" i="81"/>
  <c r="J149" i="81"/>
  <c r="I149" i="81"/>
  <c r="H149" i="81"/>
  <c r="G149" i="81"/>
  <c r="F149" i="81"/>
  <c r="J148" i="81"/>
  <c r="I148" i="81"/>
  <c r="H148" i="81"/>
  <c r="G148" i="81"/>
  <c r="F148" i="81"/>
  <c r="J147" i="81"/>
  <c r="I147" i="81"/>
  <c r="H147" i="81"/>
  <c r="G147" i="81"/>
  <c r="F147" i="81"/>
  <c r="J146" i="81"/>
  <c r="I146" i="81"/>
  <c r="H146" i="81"/>
  <c r="G146" i="81"/>
  <c r="F146" i="81"/>
  <c r="J145" i="81"/>
  <c r="I145" i="81"/>
  <c r="H145" i="81"/>
  <c r="G145" i="81"/>
  <c r="F145" i="81"/>
  <c r="D152" i="81"/>
  <c r="D151" i="81"/>
  <c r="D150" i="81"/>
  <c r="D149" i="81"/>
  <c r="D148" i="81"/>
  <c r="D147" i="81"/>
  <c r="D146" i="81"/>
  <c r="D145" i="81"/>
  <c r="D136" i="81"/>
  <c r="O130" i="81"/>
  <c r="O129" i="81"/>
  <c r="O128" i="81"/>
  <c r="O127" i="81"/>
  <c r="O126" i="81"/>
  <c r="O125" i="81"/>
  <c r="O124" i="81"/>
  <c r="O123" i="81"/>
  <c r="D130" i="81"/>
  <c r="D129" i="81"/>
  <c r="D128" i="81"/>
  <c r="D127" i="81"/>
  <c r="D126" i="81"/>
  <c r="D125" i="81"/>
  <c r="D124" i="81"/>
  <c r="D123" i="81"/>
  <c r="H118" i="81"/>
  <c r="H117" i="81"/>
  <c r="H116" i="81"/>
  <c r="H115" i="81"/>
  <c r="H114" i="81"/>
  <c r="D114" i="81" a="1"/>
  <c r="D114" i="81" s="1"/>
  <c r="E112" i="81" a="1"/>
  <c r="E112" i="81" s="1"/>
  <c r="V163" i="81" s="1"/>
  <c r="E111" i="81" a="1"/>
  <c r="E111" i="81" s="1"/>
  <c r="D107" i="81" a="1"/>
  <c r="D107" i="81" s="1"/>
  <c r="D106" i="81" a="1"/>
  <c r="D106" i="81" s="1"/>
  <c r="O100" i="81"/>
  <c r="O99" i="81"/>
  <c r="O98" i="81"/>
  <c r="O97" i="81"/>
  <c r="O96" i="81"/>
  <c r="O95" i="81"/>
  <c r="O94" i="81"/>
  <c r="O93" i="81"/>
  <c r="D100" i="81"/>
  <c r="D99" i="81"/>
  <c r="D98" i="81"/>
  <c r="D97" i="81"/>
  <c r="D96" i="81"/>
  <c r="D95" i="81"/>
  <c r="D94" i="81"/>
  <c r="D93" i="81"/>
  <c r="G58" i="81"/>
  <c r="J88" i="81"/>
  <c r="I88" i="81"/>
  <c r="H88" i="81"/>
  <c r="G88" i="81"/>
  <c r="F88" i="81"/>
  <c r="J87" i="81"/>
  <c r="I87" i="81"/>
  <c r="H87" i="81"/>
  <c r="G87" i="81"/>
  <c r="F87" i="81"/>
  <c r="J86" i="81"/>
  <c r="I86" i="81"/>
  <c r="H86" i="81"/>
  <c r="G86" i="81"/>
  <c r="F86" i="81"/>
  <c r="J85" i="81"/>
  <c r="I85" i="81"/>
  <c r="H85" i="81"/>
  <c r="G85" i="81"/>
  <c r="F85" i="81"/>
  <c r="J84" i="81"/>
  <c r="I84" i="81"/>
  <c r="H84" i="81"/>
  <c r="G84" i="81"/>
  <c r="F84" i="81"/>
  <c r="J83" i="81"/>
  <c r="I83" i="81"/>
  <c r="H83" i="81"/>
  <c r="G83" i="81"/>
  <c r="F83" i="81"/>
  <c r="J82" i="81"/>
  <c r="I82" i="81"/>
  <c r="H82" i="81"/>
  <c r="G82" i="81"/>
  <c r="F82" i="81"/>
  <c r="J81" i="81"/>
  <c r="I81" i="81"/>
  <c r="H81" i="81"/>
  <c r="G81" i="81"/>
  <c r="F81" i="81"/>
  <c r="D88" i="81"/>
  <c r="D87" i="81"/>
  <c r="D86" i="81"/>
  <c r="D85" i="81"/>
  <c r="D84" i="81"/>
  <c r="D83" i="81"/>
  <c r="D82" i="81"/>
  <c r="D81" i="81"/>
  <c r="G56" i="81"/>
  <c r="G57" i="81"/>
  <c r="G55" i="81"/>
  <c r="G54" i="81"/>
  <c r="O42" i="81"/>
  <c r="O41" i="81"/>
  <c r="O40" i="81"/>
  <c r="O39" i="81"/>
  <c r="O38" i="81"/>
  <c r="O37" i="81"/>
  <c r="O36" i="81"/>
  <c r="O35" i="81"/>
  <c r="D6" i="81" a="1"/>
  <c r="D6" i="81" s="1"/>
  <c r="D42" i="81"/>
  <c r="D41" i="81"/>
  <c r="D40" i="81"/>
  <c r="D39" i="81"/>
  <c r="D38" i="81"/>
  <c r="D37" i="81"/>
  <c r="D36" i="81"/>
  <c r="D35" i="81"/>
  <c r="H13" i="81"/>
  <c r="H18" i="81"/>
  <c r="H17" i="81"/>
  <c r="H16" i="81"/>
  <c r="D13" i="81" a="1"/>
  <c r="D13" i="81" s="1"/>
  <c r="E11" i="81" a="1"/>
  <c r="E11" i="81" s="1"/>
  <c r="K86" i="81" s="1"/>
  <c r="E10" i="81" a="1"/>
  <c r="E10" i="81" s="1"/>
  <c r="D5" i="81" a="1"/>
  <c r="D5" i="81" s="1"/>
  <c r="O30" i="81"/>
  <c r="D30" i="81"/>
  <c r="O29" i="81"/>
  <c r="D29" i="81"/>
  <c r="O28" i="81"/>
  <c r="D28" i="81"/>
  <c r="O27" i="81"/>
  <c r="D27" i="81"/>
  <c r="O26" i="81"/>
  <c r="D26" i="81"/>
  <c r="O25" i="81"/>
  <c r="D25" i="81"/>
  <c r="O24" i="81"/>
  <c r="D24" i="81"/>
  <c r="O23" i="81"/>
  <c r="D23" i="81"/>
  <c r="D54" i="81" a="1"/>
  <c r="D54" i="81" s="1"/>
  <c r="E52" i="81" a="1"/>
  <c r="E52" i="81" s="1"/>
  <c r="V95" i="81" s="1"/>
  <c r="E51" i="81" a="1"/>
  <c r="E51" i="81" s="1"/>
  <c r="D47" i="81" a="1"/>
  <c r="D47" i="81" s="1"/>
  <c r="D46" i="81" a="1"/>
  <c r="D46" i="81" s="1"/>
  <c r="D209" i="79" a="1"/>
  <c r="D209" i="79" s="1"/>
  <c r="H15" i="95" s="1"/>
  <c r="D208" i="79" a="1"/>
  <c r="D208" i="79" s="1"/>
  <c r="D207" i="79" a="1"/>
  <c r="D207" i="79" s="1"/>
  <c r="D206" i="79" a="1"/>
  <c r="D206" i="79" s="1"/>
  <c r="D205" i="79" a="1"/>
  <c r="D205" i="79" s="1"/>
  <c r="D202" i="79" a="1"/>
  <c r="D202" i="79" s="1"/>
  <c r="G43" i="95" s="1"/>
  <c r="D201" i="79" a="1"/>
  <c r="D201" i="79" s="1"/>
  <c r="D200" i="79" a="1"/>
  <c r="D200" i="79" s="1"/>
  <c r="D199" i="79" a="1"/>
  <c r="D199" i="79" s="1"/>
  <c r="D198" i="79" a="1"/>
  <c r="D198" i="79" s="1"/>
  <c r="Q57" i="95" a="1"/>
  <c r="Q57" i="95" s="1"/>
  <c r="O54" i="95" a="1"/>
  <c r="O54" i="95" s="1"/>
  <c r="F57" i="95" a="1"/>
  <c r="F57" i="95" s="1"/>
  <c r="J10" i="13" s="1"/>
  <c r="D54" i="95" a="1"/>
  <c r="D54" i="95" s="1"/>
  <c r="O50" i="95"/>
  <c r="O49" i="95"/>
  <c r="D50" i="95"/>
  <c r="D49" i="95"/>
  <c r="G42" i="95"/>
  <c r="E40" i="95" a="1"/>
  <c r="E40" i="95" s="1"/>
  <c r="K49" i="95" s="1"/>
  <c r="E39" i="95" a="1"/>
  <c r="E39" i="95" s="1"/>
  <c r="D35" i="95" a="1"/>
  <c r="D35" i="95" s="1"/>
  <c r="D42" i="95" a="1"/>
  <c r="D42" i="95" s="1"/>
  <c r="D34" i="95" a="1"/>
  <c r="D34" i="95" s="1"/>
  <c r="O30" i="95"/>
  <c r="O29" i="95"/>
  <c r="O24" i="95"/>
  <c r="O23" i="95"/>
  <c r="D30" i="95"/>
  <c r="D29" i="95"/>
  <c r="D24" i="95"/>
  <c r="D23" i="95"/>
  <c r="E7" i="97" a="1"/>
  <c r="E37" i="98" a="1"/>
  <c r="E7" i="81" a="1"/>
  <c r="E55" i="82" a="1"/>
  <c r="E37" i="96" a="1"/>
  <c r="E32" i="97" a="1"/>
  <c r="E48" i="81" a="1"/>
  <c r="E7" i="95" a="1"/>
  <c r="E7" i="96" a="1"/>
  <c r="E36" i="95" a="1"/>
  <c r="E7" i="98" a="1"/>
  <c r="E108" i="81" a="1"/>
  <c r="H54" i="103" l="1"/>
  <c r="H52" i="103"/>
  <c r="H48" i="103"/>
  <c r="H51" i="103"/>
  <c r="H49" i="103"/>
  <c r="H50" i="103"/>
  <c r="H53" i="103"/>
  <c r="P43" i="98"/>
  <c r="Q47" i="98"/>
  <c r="P38" i="97"/>
  <c r="H15" i="98"/>
  <c r="K28" i="98"/>
  <c r="K128" i="81"/>
  <c r="V28" i="98"/>
  <c r="H44" i="98"/>
  <c r="F30" i="98"/>
  <c r="F26" i="97"/>
  <c r="Q45" i="97"/>
  <c r="Q30" i="98"/>
  <c r="V50" i="95"/>
  <c r="Q26" i="97"/>
  <c r="K163" i="81"/>
  <c r="E55" i="82"/>
  <c r="K188" i="81"/>
  <c r="V160" i="81"/>
  <c r="E37" i="98"/>
  <c r="E32" i="97"/>
  <c r="E7" i="98"/>
  <c r="K23" i="98"/>
  <c r="V191" i="81"/>
  <c r="V24" i="97"/>
  <c r="H15" i="81"/>
  <c r="K51" i="96"/>
  <c r="K127" i="81"/>
  <c r="V51" i="96"/>
  <c r="K24" i="97"/>
  <c r="E7" i="97"/>
  <c r="K19" i="97"/>
  <c r="V38" i="81"/>
  <c r="K38" i="81"/>
  <c r="V39" i="81"/>
  <c r="V123" i="81"/>
  <c r="V125" i="81"/>
  <c r="K189" i="81"/>
  <c r="V31" i="96"/>
  <c r="K40" i="81"/>
  <c r="V40" i="81"/>
  <c r="V126" i="81"/>
  <c r="V162" i="81"/>
  <c r="V193" i="81"/>
  <c r="K42" i="81"/>
  <c r="K84" i="81"/>
  <c r="V127" i="81"/>
  <c r="F196" i="81"/>
  <c r="F23" i="13" s="1"/>
  <c r="K82" i="81"/>
  <c r="V42" i="81"/>
  <c r="Q196" i="81"/>
  <c r="V35" i="81"/>
  <c r="F53" i="96"/>
  <c r="G12" i="13" s="1"/>
  <c r="K87" i="81"/>
  <c r="K194" i="81"/>
  <c r="K36" i="81"/>
  <c r="K37" i="81"/>
  <c r="K39" i="81"/>
  <c r="K83" i="81"/>
  <c r="V36" i="81"/>
  <c r="K159" i="81"/>
  <c r="K88" i="81"/>
  <c r="K161" i="81"/>
  <c r="V37" i="81"/>
  <c r="K162" i="81"/>
  <c r="V158" i="81"/>
  <c r="K81" i="81"/>
  <c r="E37" i="96"/>
  <c r="E7" i="96"/>
  <c r="V49" i="95"/>
  <c r="K50" i="95"/>
  <c r="Q52" i="95"/>
  <c r="F52" i="95"/>
  <c r="G10" i="13" s="1"/>
  <c r="K99" i="81"/>
  <c r="V96" i="81"/>
  <c r="V94" i="81"/>
  <c r="Q132" i="81"/>
  <c r="F102" i="81"/>
  <c r="F21" i="13" s="1"/>
  <c r="V93" i="81"/>
  <c r="F132" i="81"/>
  <c r="K100" i="81"/>
  <c r="K98" i="81"/>
  <c r="K97" i="81"/>
  <c r="K96" i="81"/>
  <c r="K95" i="81"/>
  <c r="V100" i="81"/>
  <c r="K94" i="81"/>
  <c r="V99" i="81"/>
  <c r="K93" i="81"/>
  <c r="V98" i="81"/>
  <c r="V97" i="81"/>
  <c r="K41" i="81"/>
  <c r="V41" i="81"/>
  <c r="K85" i="81"/>
  <c r="K123" i="81"/>
  <c r="V129" i="81"/>
  <c r="K190" i="81"/>
  <c r="V187" i="81"/>
  <c r="K124" i="81"/>
  <c r="V130" i="81"/>
  <c r="V159" i="81"/>
  <c r="V192" i="81"/>
  <c r="K125" i="81"/>
  <c r="V164" i="81"/>
  <c r="K126" i="81"/>
  <c r="K191" i="81"/>
  <c r="V188" i="81"/>
  <c r="K187" i="81"/>
  <c r="K157" i="81"/>
  <c r="K129" i="81"/>
  <c r="K192" i="81"/>
  <c r="V189" i="81"/>
  <c r="K158" i="81"/>
  <c r="K130" i="81"/>
  <c r="V161" i="81"/>
  <c r="V194" i="81"/>
  <c r="F166" i="81"/>
  <c r="F22" i="13" s="1"/>
  <c r="K160" i="81"/>
  <c r="V124" i="81"/>
  <c r="V157" i="81"/>
  <c r="K193" i="81"/>
  <c r="V190" i="81"/>
  <c r="Q166" i="81"/>
  <c r="K164" i="81"/>
  <c r="V128" i="81"/>
  <c r="E108" i="81"/>
  <c r="E48" i="81"/>
  <c r="E7" i="81"/>
  <c r="K35" i="81"/>
  <c r="E36" i="95"/>
  <c r="E7" i="95"/>
  <c r="H18" i="95" l="1"/>
  <c r="H17" i="95"/>
  <c r="G64" i="82"/>
  <c r="G65" i="82"/>
  <c r="H16" i="95"/>
  <c r="H13" i="95"/>
  <c r="D6" i="95" a="1"/>
  <c r="D6" i="95" s="1"/>
  <c r="E11" i="95" a="1"/>
  <c r="E11" i="95" s="1"/>
  <c r="E10" i="95" a="1"/>
  <c r="E10" i="95" s="1"/>
  <c r="D13" i="95" a="1"/>
  <c r="D13" i="95" s="1"/>
  <c r="D5" i="95" a="1"/>
  <c r="D5" i="95" s="1"/>
  <c r="Q73" i="82" a="1"/>
  <c r="Q73" i="82" s="1"/>
  <c r="O70" i="82" a="1"/>
  <c r="O70" i="82" s="1"/>
  <c r="F73" i="82" a="1"/>
  <c r="F73" i="82" s="1"/>
  <c r="J9" i="13" s="1"/>
  <c r="D70" i="82" a="1"/>
  <c r="D70" i="82" s="1"/>
  <c r="E59" i="82" a="1"/>
  <c r="E59" i="82" s="1"/>
  <c r="F68" i="82" s="1"/>
  <c r="G9" i="13" s="1"/>
  <c r="E58" i="82" a="1"/>
  <c r="E58" i="82" s="1"/>
  <c r="D54" i="82" a="1"/>
  <c r="D54" i="82" s="1"/>
  <c r="D61" i="82" a="1"/>
  <c r="D53" i="82" a="1"/>
  <c r="D53" i="82" s="1"/>
  <c r="O47" i="82"/>
  <c r="O46" i="82"/>
  <c r="O45" i="82"/>
  <c r="O44" i="82"/>
  <c r="O43" i="82"/>
  <c r="O42" i="82"/>
  <c r="O41" i="82"/>
  <c r="O40" i="82"/>
  <c r="D47" i="82"/>
  <c r="D46" i="82"/>
  <c r="D45" i="82"/>
  <c r="D44" i="82"/>
  <c r="D43" i="82"/>
  <c r="D42" i="82"/>
  <c r="D41" i="82"/>
  <c r="D40" i="82"/>
  <c r="O26" i="82"/>
  <c r="O25" i="82"/>
  <c r="O24" i="82"/>
  <c r="O23" i="82"/>
  <c r="O22" i="82"/>
  <c r="O21" i="82"/>
  <c r="O20" i="82"/>
  <c r="O19" i="82"/>
  <c r="G14" i="82"/>
  <c r="G13" i="82"/>
  <c r="D26" i="82"/>
  <c r="D25" i="82"/>
  <c r="D24" i="82"/>
  <c r="D23" i="82"/>
  <c r="D22" i="82"/>
  <c r="D21" i="82"/>
  <c r="D20" i="82"/>
  <c r="D19" i="82"/>
  <c r="D6" i="82" a="1"/>
  <c r="D6" i="82" s="1"/>
  <c r="E11" i="82" a="1"/>
  <c r="E11" i="82" s="1"/>
  <c r="E10" i="82" a="1"/>
  <c r="E10" i="82" s="1"/>
  <c r="D13" i="82" a="1"/>
  <c r="D13" i="82" s="1"/>
  <c r="D5" i="82" a="1"/>
  <c r="D5" i="82" s="1"/>
  <c r="P285" i="76" a="1"/>
  <c r="P285" i="76" s="1"/>
  <c r="N282" i="76" a="1"/>
  <c r="N282" i="76" s="1"/>
  <c r="N278" i="76"/>
  <c r="N277" i="76"/>
  <c r="N276" i="76"/>
  <c r="N275" i="76"/>
  <c r="N274" i="76"/>
  <c r="N273" i="76"/>
  <c r="N272" i="76"/>
  <c r="N271" i="76"/>
  <c r="F285" i="76" a="1"/>
  <c r="F285" i="76" s="1"/>
  <c r="D282" i="76" a="1"/>
  <c r="D282" i="76" s="1"/>
  <c r="D278" i="76"/>
  <c r="D277" i="76"/>
  <c r="D276" i="76"/>
  <c r="D275" i="76"/>
  <c r="D274" i="76"/>
  <c r="D273" i="76"/>
  <c r="D272" i="76"/>
  <c r="D271" i="76"/>
  <c r="G256" i="76"/>
  <c r="G255" i="76"/>
  <c r="E253" i="76" a="1"/>
  <c r="E253" i="76" s="1"/>
  <c r="P280" i="76" s="1"/>
  <c r="E252" i="76" a="1"/>
  <c r="E252" i="76" s="1"/>
  <c r="D248" i="76" a="1"/>
  <c r="D248" i="76" s="1"/>
  <c r="D255" i="76" a="1"/>
  <c r="D255" i="76" s="1"/>
  <c r="D247" i="76" a="1"/>
  <c r="D247" i="76" s="1"/>
  <c r="N243" i="76"/>
  <c r="N242" i="76"/>
  <c r="N241" i="76"/>
  <c r="N240" i="76"/>
  <c r="N239" i="76"/>
  <c r="N238" i="76"/>
  <c r="N237" i="76"/>
  <c r="N236" i="76"/>
  <c r="D243" i="76"/>
  <c r="D242" i="76"/>
  <c r="D241" i="76"/>
  <c r="D240" i="76"/>
  <c r="D239" i="76"/>
  <c r="D238" i="76"/>
  <c r="D237" i="76"/>
  <c r="D236" i="76"/>
  <c r="N231" i="76"/>
  <c r="N230" i="76"/>
  <c r="N229" i="76"/>
  <c r="N228" i="76"/>
  <c r="N227" i="76"/>
  <c r="N226" i="76"/>
  <c r="N225" i="76"/>
  <c r="N224" i="76"/>
  <c r="G219" i="76"/>
  <c r="D231" i="76"/>
  <c r="D230" i="76"/>
  <c r="D229" i="76"/>
  <c r="D228" i="76"/>
  <c r="D227" i="76"/>
  <c r="D226" i="76"/>
  <c r="D225" i="76"/>
  <c r="D224" i="76"/>
  <c r="G218" i="76"/>
  <c r="D218" i="76" a="1"/>
  <c r="D218" i="76" s="1"/>
  <c r="E216" i="76" a="1"/>
  <c r="E216" i="76" s="1"/>
  <c r="E215" i="76" a="1"/>
  <c r="E215" i="76" s="1"/>
  <c r="D211" i="76" a="1"/>
  <c r="D211" i="76" s="1"/>
  <c r="D210" i="76" a="1"/>
  <c r="D210" i="76" s="1"/>
  <c r="G184" i="76"/>
  <c r="G186" i="76"/>
  <c r="G185" i="76"/>
  <c r="G183" i="76"/>
  <c r="G182" i="76"/>
  <c r="D175" i="76" a="1"/>
  <c r="D175" i="76" s="1"/>
  <c r="E180" i="76" a="1"/>
  <c r="E180" i="76" s="1"/>
  <c r="E179" i="76" a="1"/>
  <c r="E179" i="76" s="1"/>
  <c r="D174" i="76" a="1"/>
  <c r="D174" i="76" s="1"/>
  <c r="D182" i="76" a="1"/>
  <c r="D182" i="76" s="1"/>
  <c r="D173" i="76" a="1"/>
  <c r="D173" i="76" s="1"/>
  <c r="G154" i="76"/>
  <c r="G152" i="76"/>
  <c r="H159" i="76"/>
  <c r="G159" i="76"/>
  <c r="F159" i="76"/>
  <c r="E159" i="76"/>
  <c r="D159" i="76"/>
  <c r="H235" i="69"/>
  <c r="G235" i="69"/>
  <c r="F235" i="69"/>
  <c r="E235" i="69"/>
  <c r="D235" i="69"/>
  <c r="G153" i="76"/>
  <c r="D145" i="76" a="1"/>
  <c r="D145" i="76" s="1"/>
  <c r="D152" i="76" a="1"/>
  <c r="D152" i="76" s="1"/>
  <c r="E150" i="76" a="1"/>
  <c r="E150" i="76" s="1"/>
  <c r="S169" i="76" s="1"/>
  <c r="E149" i="76" a="1"/>
  <c r="E149" i="76" s="1"/>
  <c r="D144" i="76" a="1"/>
  <c r="D144" i="76" s="1"/>
  <c r="D143" i="76" a="1"/>
  <c r="D143" i="76" s="1"/>
  <c r="G134" i="76"/>
  <c r="G133" i="76"/>
  <c r="G132" i="76"/>
  <c r="D132" i="76" a="1"/>
  <c r="D132" i="76" s="1"/>
  <c r="E130" i="76" a="1"/>
  <c r="E130" i="76" s="1"/>
  <c r="I139" i="76" s="1"/>
  <c r="E129" i="76" a="1"/>
  <c r="E129" i="76" s="1"/>
  <c r="D124" i="76" a="1"/>
  <c r="D124" i="76" s="1"/>
  <c r="D123" i="76" a="1"/>
  <c r="D123" i="76" s="1"/>
  <c r="R114" i="76"/>
  <c r="Q114" i="76"/>
  <c r="P114" i="76"/>
  <c r="O114" i="76"/>
  <c r="N114" i="76"/>
  <c r="G109" i="76"/>
  <c r="G108" i="76"/>
  <c r="D108" i="76" a="1"/>
  <c r="D108" i="76" s="1"/>
  <c r="E106" i="76" a="1"/>
  <c r="E106" i="76" s="1"/>
  <c r="S119" i="76" s="1"/>
  <c r="E105" i="76" a="1"/>
  <c r="E105" i="76" s="1"/>
  <c r="D101" i="76" a="1"/>
  <c r="D101" i="76" s="1"/>
  <c r="D100" i="76" a="1"/>
  <c r="D100" i="76" s="1"/>
  <c r="G81" i="76"/>
  <c r="G80" i="76"/>
  <c r="G79" i="76"/>
  <c r="G78" i="76"/>
  <c r="D86" i="76"/>
  <c r="D78" i="76" a="1"/>
  <c r="D78" i="76" s="1"/>
  <c r="E76" i="76" a="1"/>
  <c r="E76" i="76" s="1"/>
  <c r="I96" i="76" s="1"/>
  <c r="E75" i="76" a="1"/>
  <c r="E75" i="76" s="1"/>
  <c r="D70" i="76" a="1"/>
  <c r="D70" i="76" s="1"/>
  <c r="D69" i="76" a="1"/>
  <c r="D69" i="76" s="1"/>
  <c r="G45" i="76"/>
  <c r="G44" i="76"/>
  <c r="G42" i="76"/>
  <c r="G43" i="76"/>
  <c r="E40" i="76" a="1"/>
  <c r="E40" i="76" s="1"/>
  <c r="S65" i="76" s="1"/>
  <c r="E39" i="76" a="1"/>
  <c r="E39" i="76" s="1"/>
  <c r="D34" i="76" a="1"/>
  <c r="D34" i="76" s="1"/>
  <c r="D42" i="76" a="1"/>
  <c r="D42" i="76" s="1"/>
  <c r="D33" i="76" a="1"/>
  <c r="D33" i="76" s="1"/>
  <c r="F14" i="76"/>
  <c r="F13" i="76"/>
  <c r="D13" i="76" a="1"/>
  <c r="D13" i="76" s="1"/>
  <c r="E11" i="76" a="1"/>
  <c r="E11" i="76" s="1"/>
  <c r="I29" i="76" s="1"/>
  <c r="E10" i="76" a="1"/>
  <c r="E10" i="76" s="1"/>
  <c r="D6" i="76" a="1"/>
  <c r="D6" i="76" s="1"/>
  <c r="D5" i="76" a="1"/>
  <c r="D5" i="76" s="1"/>
  <c r="Q269" i="69" a="1"/>
  <c r="Q269" i="69" s="1"/>
  <c r="O266" i="69" a="1"/>
  <c r="O266" i="69" s="1"/>
  <c r="O262" i="69"/>
  <c r="O261" i="69"/>
  <c r="O260" i="69"/>
  <c r="O259" i="69"/>
  <c r="O258" i="69"/>
  <c r="O257" i="69"/>
  <c r="O256" i="69"/>
  <c r="O255" i="69"/>
  <c r="O210" i="69"/>
  <c r="O209" i="69"/>
  <c r="O208" i="69"/>
  <c r="O207" i="69"/>
  <c r="O206" i="69"/>
  <c r="O205" i="69"/>
  <c r="O204" i="69"/>
  <c r="O203" i="69"/>
  <c r="F269" i="69" a="1"/>
  <c r="F269" i="69" s="1"/>
  <c r="J7" i="13" s="1"/>
  <c r="D266" i="69" a="1"/>
  <c r="D266" i="69" s="1"/>
  <c r="D262" i="69"/>
  <c r="D261" i="69"/>
  <c r="D260" i="69"/>
  <c r="D259" i="69"/>
  <c r="D258" i="69"/>
  <c r="D257" i="69"/>
  <c r="D256" i="69"/>
  <c r="D255" i="69"/>
  <c r="H230" i="69"/>
  <c r="H229" i="69"/>
  <c r="H226" i="69"/>
  <c r="H227" i="69"/>
  <c r="H223" i="69"/>
  <c r="H224" i="69"/>
  <c r="H228" i="69"/>
  <c r="H225" i="69"/>
  <c r="D223" i="69" a="1"/>
  <c r="D223" i="69" s="1"/>
  <c r="E221" i="69" a="1"/>
  <c r="E221" i="69" s="1"/>
  <c r="Q264" i="69" s="1"/>
  <c r="E220" i="69" a="1"/>
  <c r="E220" i="69" s="1"/>
  <c r="D216" i="69" a="1"/>
  <c r="D216" i="69" s="1"/>
  <c r="D215" i="69" a="1"/>
  <c r="D215" i="69" s="1"/>
  <c r="G186" i="69"/>
  <c r="D210" i="69"/>
  <c r="D209" i="69"/>
  <c r="D208" i="69"/>
  <c r="D207" i="69"/>
  <c r="D206" i="69"/>
  <c r="D205" i="69"/>
  <c r="D204" i="69"/>
  <c r="D203" i="69"/>
  <c r="G187" i="69"/>
  <c r="D195" i="79" a="1"/>
  <c r="D195" i="79" s="1"/>
  <c r="D194" i="79" a="1"/>
  <c r="D194" i="79" s="1"/>
  <c r="D193" i="79" a="1"/>
  <c r="D193" i="79" s="1"/>
  <c r="D192" i="79" a="1"/>
  <c r="D192" i="79" s="1"/>
  <c r="D191" i="79" a="1"/>
  <c r="D191" i="79" s="1"/>
  <c r="G185" i="69"/>
  <c r="E182" i="69" a="1"/>
  <c r="E182" i="69" s="1"/>
  <c r="D178" i="69" a="1"/>
  <c r="D178" i="69" s="1"/>
  <c r="E183" i="69" a="1"/>
  <c r="E183" i="69" s="1"/>
  <c r="V210" i="69" s="1"/>
  <c r="D185" i="69" a="1"/>
  <c r="D185" i="69" s="1"/>
  <c r="D177" i="69" a="1"/>
  <c r="D177" i="69" s="1"/>
  <c r="O173" i="69"/>
  <c r="O172" i="69"/>
  <c r="O167" i="69"/>
  <c r="O166" i="69"/>
  <c r="D152" i="69" a="1"/>
  <c r="D152" i="69" s="1"/>
  <c r="D173" i="69"/>
  <c r="D172" i="69"/>
  <c r="G161" i="69"/>
  <c r="G159" i="69"/>
  <c r="D167" i="69"/>
  <c r="D166" i="69"/>
  <c r="G160" i="69"/>
  <c r="E157" i="69" a="1"/>
  <c r="E157" i="69" s="1"/>
  <c r="V173" i="69" s="1"/>
  <c r="E156" i="69" a="1"/>
  <c r="E156" i="69" s="1"/>
  <c r="D151" i="69" a="1"/>
  <c r="D151" i="69" s="1"/>
  <c r="D159" i="69" a="1"/>
  <c r="D159" i="69" s="1"/>
  <c r="D150" i="69" a="1"/>
  <c r="D150" i="69" s="1"/>
  <c r="O146" i="69"/>
  <c r="O145" i="69"/>
  <c r="O144" i="69"/>
  <c r="O143" i="69"/>
  <c r="O142" i="69"/>
  <c r="O141" i="69"/>
  <c r="D108" i="69" a="1"/>
  <c r="D108" i="69" s="1"/>
  <c r="D146" i="69"/>
  <c r="D145" i="69"/>
  <c r="D144" i="69"/>
  <c r="D143" i="69"/>
  <c r="D142" i="69"/>
  <c r="D141" i="69"/>
  <c r="Q136" i="69"/>
  <c r="Q135" i="69"/>
  <c r="Q134" i="69"/>
  <c r="Q133" i="69"/>
  <c r="Q132" i="69"/>
  <c r="Q131" i="69"/>
  <c r="O136" i="69"/>
  <c r="O135" i="69"/>
  <c r="O134" i="69"/>
  <c r="O133" i="69"/>
  <c r="O132" i="69"/>
  <c r="O131" i="69"/>
  <c r="O126" i="69"/>
  <c r="O125" i="69"/>
  <c r="O124" i="69"/>
  <c r="O123" i="69"/>
  <c r="O122" i="69"/>
  <c r="O121" i="69"/>
  <c r="G116" i="69"/>
  <c r="F136" i="69"/>
  <c r="F135" i="69"/>
  <c r="F134" i="69"/>
  <c r="F133" i="69"/>
  <c r="F132" i="69"/>
  <c r="F131" i="69"/>
  <c r="D136" i="69"/>
  <c r="D135" i="69"/>
  <c r="D134" i="69"/>
  <c r="D133" i="69"/>
  <c r="D132" i="69"/>
  <c r="D131" i="69"/>
  <c r="G115" i="69"/>
  <c r="D126" i="69"/>
  <c r="D125" i="69"/>
  <c r="D124" i="69"/>
  <c r="D123" i="69"/>
  <c r="D122" i="69"/>
  <c r="D121" i="69"/>
  <c r="E112" i="69" a="1"/>
  <c r="E112" i="69" s="1"/>
  <c r="E113" i="69" a="1"/>
  <c r="E113" i="69" s="1"/>
  <c r="K142" i="69" s="1"/>
  <c r="D115" i="69" a="1"/>
  <c r="D115" i="69" s="1"/>
  <c r="D107" i="69" a="1"/>
  <c r="D107" i="69" s="1"/>
  <c r="D188" i="79" a="1"/>
  <c r="D188" i="79" s="1"/>
  <c r="G98" i="69" s="1"/>
  <c r="D187" i="79" a="1"/>
  <c r="D187" i="79" s="1"/>
  <c r="D186" i="79" a="1"/>
  <c r="D186" i="79" s="1"/>
  <c r="D185" i="79" a="1"/>
  <c r="D185" i="79" s="1"/>
  <c r="D184" i="79" a="1"/>
  <c r="D184" i="79" s="1"/>
  <c r="G97" i="69"/>
  <c r="G96" i="69"/>
  <c r="G64" i="69"/>
  <c r="G63" i="69"/>
  <c r="G35" i="69"/>
  <c r="D44" i="69"/>
  <c r="D27" i="69" a="1"/>
  <c r="D27" i="69" s="1"/>
  <c r="G39" i="69"/>
  <c r="S18" i="69"/>
  <c r="S23" i="69" s="1" a="1"/>
  <c r="S23" i="69" s="1"/>
  <c r="R18" i="69"/>
  <c r="R23" i="69" s="1" a="1"/>
  <c r="R23" i="69" s="1"/>
  <c r="Q18" i="69"/>
  <c r="Q23" i="69" s="1" a="1"/>
  <c r="Q23" i="69" s="1"/>
  <c r="P18" i="69"/>
  <c r="P23" i="69" s="1" a="1"/>
  <c r="P23" i="69" s="1"/>
  <c r="O18" i="69"/>
  <c r="O23" i="69" s="1" a="1"/>
  <c r="O23" i="69" s="1"/>
  <c r="G13" i="69"/>
  <c r="D6" i="69" a="1"/>
  <c r="D6" i="69" s="1"/>
  <c r="E10" i="69" a="1"/>
  <c r="E10" i="69" s="1"/>
  <c r="E11" i="69" a="1"/>
  <c r="E11" i="69" s="1"/>
  <c r="D13" i="69" a="1"/>
  <c r="D13" i="69" s="1"/>
  <c r="D5" i="69" a="1"/>
  <c r="D5" i="69" s="1"/>
  <c r="D28" i="69" a="1"/>
  <c r="D28" i="69" s="1"/>
  <c r="D181" i="79" a="1"/>
  <c r="D181" i="79" s="1"/>
  <c r="G38" i="69" s="1"/>
  <c r="D180" i="79" a="1"/>
  <c r="D180" i="79" s="1"/>
  <c r="D179" i="79" a="1"/>
  <c r="D179" i="79" s="1"/>
  <c r="D178" i="79" a="1"/>
  <c r="D178" i="79" s="1"/>
  <c r="D177" i="79" a="1"/>
  <c r="D177" i="79" s="1"/>
  <c r="D174" i="79" a="1"/>
  <c r="D174" i="79" s="1"/>
  <c r="G37" i="69" s="1"/>
  <c r="D173" i="79" a="1"/>
  <c r="D173" i="79" s="1"/>
  <c r="D172" i="79" a="1"/>
  <c r="D172" i="79" s="1"/>
  <c r="D171" i="79" a="1"/>
  <c r="D171" i="79" s="1"/>
  <c r="D170" i="79" a="1"/>
  <c r="D170" i="79" s="1"/>
  <c r="D167" i="79" a="1"/>
  <c r="D167" i="79" s="1"/>
  <c r="G36" i="69" s="1"/>
  <c r="D166" i="79" a="1"/>
  <c r="D166" i="79" s="1"/>
  <c r="D165" i="79" a="1"/>
  <c r="D165" i="79" s="1"/>
  <c r="D164" i="79" a="1"/>
  <c r="D164" i="79" s="1"/>
  <c r="D163" i="79" a="1"/>
  <c r="D163" i="79" s="1"/>
  <c r="E32" i="69" a="1"/>
  <c r="E32" i="69" s="1"/>
  <c r="E33" i="69" a="1"/>
  <c r="E33" i="69" s="1"/>
  <c r="T49" i="69" s="1"/>
  <c r="D35" i="69" a="1"/>
  <c r="D35" i="69" s="1"/>
  <c r="G62" i="69"/>
  <c r="G61" i="69"/>
  <c r="D54" i="69" a="1"/>
  <c r="D54" i="69" s="1"/>
  <c r="E58" i="69" a="1"/>
  <c r="E58" i="69" s="1"/>
  <c r="E59" i="69" a="1"/>
  <c r="E59" i="69" s="1"/>
  <c r="I84" i="69" s="1"/>
  <c r="I50" i="76" s="1"/>
  <c r="D61" i="69" a="1"/>
  <c r="D61" i="69" s="1"/>
  <c r="D53" i="69" a="1"/>
  <c r="D53" i="69" s="1"/>
  <c r="D160" i="79" a="1"/>
  <c r="D160" i="79" s="1"/>
  <c r="E36" i="70" s="1"/>
  <c r="D18" i="69" s="1"/>
  <c r="D23" i="69" s="1" a="1"/>
  <c r="D23" i="69" s="1"/>
  <c r="D159" i="79" a="1"/>
  <c r="D159" i="79" s="1"/>
  <c r="D158" i="79" a="1"/>
  <c r="D158" i="79" s="1"/>
  <c r="D157" i="79" a="1"/>
  <c r="D157" i="79" s="1"/>
  <c r="D156" i="79" a="1"/>
  <c r="D156" i="79" s="1"/>
  <c r="D150" i="79" a="1"/>
  <c r="D150" i="79" s="1"/>
  <c r="D151" i="79" a="1"/>
  <c r="D151" i="79" s="1"/>
  <c r="D152" i="79" a="1"/>
  <c r="D152" i="79" s="1"/>
  <c r="D153" i="79" a="1"/>
  <c r="D153" i="79" s="1"/>
  <c r="F37" i="70" s="1"/>
  <c r="E114" i="76" s="1"/>
  <c r="D149" i="79" a="1"/>
  <c r="D149" i="79" s="1"/>
  <c r="D89" i="69" a="1"/>
  <c r="D89" i="69" s="1"/>
  <c r="E93" i="69" a="1"/>
  <c r="E93" i="69" s="1"/>
  <c r="E94" i="69" a="1"/>
  <c r="E94" i="69" s="1"/>
  <c r="I103" i="69" s="1"/>
  <c r="D96" i="69" a="1"/>
  <c r="D96" i="69" s="1"/>
  <c r="D88" i="69" a="1"/>
  <c r="D88" i="69" s="1"/>
  <c r="I178" i="70"/>
  <c r="H178" i="70"/>
  <c r="G178" i="70"/>
  <c r="F178" i="70"/>
  <c r="E178" i="70"/>
  <c r="I173" i="70"/>
  <c r="H173" i="70"/>
  <c r="G173" i="70"/>
  <c r="F173" i="70"/>
  <c r="E173" i="70"/>
  <c r="I168" i="70"/>
  <c r="H168" i="70"/>
  <c r="G168" i="70"/>
  <c r="F168" i="70"/>
  <c r="E168" i="70"/>
  <c r="I163" i="70"/>
  <c r="H163" i="70"/>
  <c r="G163" i="70"/>
  <c r="F163" i="70"/>
  <c r="E163" i="70"/>
  <c r="E114" i="70"/>
  <c r="I126" i="70" s="1"/>
  <c r="E113" i="70"/>
  <c r="H119" i="70" s="1"/>
  <c r="E109" i="70"/>
  <c r="F125" i="70" s="1"/>
  <c r="E108" i="70"/>
  <c r="H118" i="70" s="1"/>
  <c r="E104" i="70"/>
  <c r="H124" i="70" s="1"/>
  <c r="E103" i="70"/>
  <c r="G117" i="70" s="1"/>
  <c r="D64" i="70"/>
  <c r="D98" i="70"/>
  <c r="I154" i="70"/>
  <c r="H154" i="70"/>
  <c r="G154" i="70"/>
  <c r="F154" i="70"/>
  <c r="E154" i="70"/>
  <c r="I92" i="70"/>
  <c r="H92" i="70"/>
  <c r="G92" i="70"/>
  <c r="F92" i="70"/>
  <c r="E92" i="70"/>
  <c r="I91" i="70"/>
  <c r="H91" i="70"/>
  <c r="G91" i="70"/>
  <c r="F91" i="70"/>
  <c r="E91" i="70"/>
  <c r="I90" i="70"/>
  <c r="H90" i="70"/>
  <c r="G90" i="70"/>
  <c r="F90" i="70"/>
  <c r="E90" i="70"/>
  <c r="I85" i="70"/>
  <c r="H85" i="70"/>
  <c r="G85" i="70"/>
  <c r="F85" i="70"/>
  <c r="E85" i="70"/>
  <c r="I84" i="70"/>
  <c r="H84" i="70"/>
  <c r="G84" i="70"/>
  <c r="F84" i="70"/>
  <c r="E84" i="70"/>
  <c r="I83" i="70"/>
  <c r="H83" i="70"/>
  <c r="G83" i="70"/>
  <c r="F83" i="70"/>
  <c r="E83" i="70"/>
  <c r="E153" i="69" a="1"/>
  <c r="E249" i="76" a="1"/>
  <c r="E217" i="69" a="1"/>
  <c r="E102" i="76" a="1"/>
  <c r="E90" i="69" a="1"/>
  <c r="E7" i="69" a="1"/>
  <c r="E29" i="69" a="1"/>
  <c r="E212" i="76" a="1"/>
  <c r="E109" i="69" a="1"/>
  <c r="E35" i="76" a="1"/>
  <c r="E176" i="76" a="1"/>
  <c r="E55" i="69" a="1"/>
  <c r="E179" i="69" a="1"/>
  <c r="E7" i="82" a="1"/>
  <c r="E71" i="76" a="1"/>
  <c r="E146" i="76" a="1"/>
  <c r="E7" i="76" a="1"/>
  <c r="E125" i="76" a="1"/>
  <c r="S139" i="76" l="1"/>
  <c r="F49" i="82"/>
  <c r="Q49" i="82"/>
  <c r="D61" i="82"/>
  <c r="O61" i="82" s="1"/>
  <c r="P61" i="82"/>
  <c r="G188" i="69"/>
  <c r="R189" i="69"/>
  <c r="K207" i="69"/>
  <c r="V206" i="69"/>
  <c r="S29" i="76"/>
  <c r="S206" i="76"/>
  <c r="I206" i="76"/>
  <c r="I169" i="76"/>
  <c r="K208" i="69"/>
  <c r="K209" i="69"/>
  <c r="K143" i="69"/>
  <c r="K210" i="69"/>
  <c r="V29" i="95"/>
  <c r="K30" i="95"/>
  <c r="K29" i="95"/>
  <c r="V30" i="95"/>
  <c r="K144" i="69"/>
  <c r="K145" i="69"/>
  <c r="S96" i="76"/>
  <c r="K146" i="69"/>
  <c r="I119" i="76"/>
  <c r="F280" i="76"/>
  <c r="G8" i="13" s="1"/>
  <c r="T84" i="69"/>
  <c r="S50" i="76" s="1"/>
  <c r="T103" i="69"/>
  <c r="I65" i="76"/>
  <c r="V143" i="69"/>
  <c r="F36" i="70"/>
  <c r="E18" i="69" s="1"/>
  <c r="E23" i="69" s="1" a="1"/>
  <c r="E23" i="69" s="1"/>
  <c r="E49" i="69" s="1" a="1"/>
  <c r="E49" i="69" s="1"/>
  <c r="E60" i="76" s="1"/>
  <c r="V172" i="69"/>
  <c r="K173" i="69"/>
  <c r="K172" i="69"/>
  <c r="G36" i="70"/>
  <c r="F18" i="69" s="1"/>
  <c r="F23" i="69" s="1" a="1"/>
  <c r="F23" i="69" s="1"/>
  <c r="F49" i="69" s="1" a="1"/>
  <c r="F49" i="69" s="1"/>
  <c r="F60" i="76" s="1"/>
  <c r="H36" i="70"/>
  <c r="G18" i="69" s="1"/>
  <c r="G23" i="69" s="1" a="1"/>
  <c r="G23" i="69" s="1"/>
  <c r="G49" i="69" s="1" a="1"/>
  <c r="G49" i="69" s="1"/>
  <c r="G60" i="76" s="1"/>
  <c r="G37" i="70"/>
  <c r="F114" i="76" s="1"/>
  <c r="I37" i="70"/>
  <c r="H114" i="76" s="1"/>
  <c r="H37" i="70"/>
  <c r="G114" i="76" s="1"/>
  <c r="E37" i="70"/>
  <c r="D114" i="76" s="1"/>
  <c r="I36" i="70"/>
  <c r="H18" i="69" s="1"/>
  <c r="H23" i="69" s="1" a="1"/>
  <c r="H23" i="69" s="1"/>
  <c r="H49" i="69" s="1" a="1"/>
  <c r="H49" i="69" s="1"/>
  <c r="H60" i="76" s="1"/>
  <c r="F264" i="69"/>
  <c r="G7" i="13" s="1"/>
  <c r="I23" i="69"/>
  <c r="T23" i="69"/>
  <c r="Q68" i="82"/>
  <c r="V207" i="69"/>
  <c r="V141" i="69"/>
  <c r="V203" i="69"/>
  <c r="V142" i="69"/>
  <c r="V208" i="69"/>
  <c r="V144" i="69"/>
  <c r="K203" i="69"/>
  <c r="V204" i="69"/>
  <c r="J8" i="13"/>
  <c r="V145" i="69"/>
  <c r="K204" i="69"/>
  <c r="V209" i="69"/>
  <c r="K141" i="69"/>
  <c r="V146" i="69"/>
  <c r="K205" i="69"/>
  <c r="K206" i="69"/>
  <c r="V205" i="69"/>
  <c r="E7" i="82"/>
  <c r="E249" i="76"/>
  <c r="E212" i="76"/>
  <c r="E176" i="76"/>
  <c r="E146" i="76"/>
  <c r="E125" i="76"/>
  <c r="E102" i="76"/>
  <c r="E71" i="76"/>
  <c r="E35" i="76"/>
  <c r="E7" i="76"/>
  <c r="E217" i="69"/>
  <c r="E179" i="69"/>
  <c r="E153" i="69"/>
  <c r="E109" i="69"/>
  <c r="E55" i="69"/>
  <c r="E90" i="69"/>
  <c r="R49" i="69" a="1"/>
  <c r="R49" i="69" s="1"/>
  <c r="P49" i="69" a="1"/>
  <c r="P49" i="69" s="1"/>
  <c r="S49" i="69" a="1"/>
  <c r="S49" i="69" s="1"/>
  <c r="I49" i="69"/>
  <c r="I60" i="76" s="1"/>
  <c r="D49" i="69" a="1"/>
  <c r="D49" i="69" s="1"/>
  <c r="D60" i="76" s="1"/>
  <c r="O49" i="69" a="1"/>
  <c r="O49" i="69" s="1"/>
  <c r="Q49" i="69" a="1"/>
  <c r="Q49" i="69" s="1"/>
  <c r="E29" i="69"/>
  <c r="E7" i="69"/>
  <c r="F93" i="70"/>
  <c r="F95" i="70" s="1"/>
  <c r="I93" i="70"/>
  <c r="I95" i="70" s="1"/>
  <c r="E93" i="70"/>
  <c r="E95" i="70" s="1"/>
  <c r="G93" i="70"/>
  <c r="G95" i="70" s="1"/>
  <c r="I86" i="70"/>
  <c r="I88" i="70" s="1"/>
  <c r="H93" i="70"/>
  <c r="H95" i="70" s="1"/>
  <c r="H117" i="70"/>
  <c r="H120" i="70" s="1"/>
  <c r="H122" i="70" s="1"/>
  <c r="I118" i="70"/>
  <c r="F119" i="70"/>
  <c r="I119" i="70"/>
  <c r="E126" i="70"/>
  <c r="F126" i="70"/>
  <c r="G126" i="70"/>
  <c r="F86" i="70"/>
  <c r="F88" i="70" s="1"/>
  <c r="E117" i="70"/>
  <c r="G86" i="70"/>
  <c r="G88" i="70" s="1"/>
  <c r="F117" i="70"/>
  <c r="E86" i="70"/>
  <c r="H86" i="70"/>
  <c r="H88" i="70" s="1"/>
  <c r="E88" i="70"/>
  <c r="E119" i="70"/>
  <c r="E125" i="70"/>
  <c r="G119" i="70"/>
  <c r="G125" i="70"/>
  <c r="H125" i="70"/>
  <c r="I117" i="70"/>
  <c r="H126" i="70"/>
  <c r="I125" i="70"/>
  <c r="E118" i="70"/>
  <c r="E124" i="70"/>
  <c r="I124" i="70"/>
  <c r="F118" i="70"/>
  <c r="F124" i="70"/>
  <c r="F127" i="70" s="1"/>
  <c r="F129" i="70" s="1"/>
  <c r="G118" i="70"/>
  <c r="G124" i="70"/>
  <c r="I120" i="70" l="1"/>
  <c r="I122" i="70" s="1"/>
  <c r="F120" i="70"/>
  <c r="F122" i="70" s="1"/>
  <c r="G120" i="70"/>
  <c r="G122" i="70" s="1"/>
  <c r="E127" i="70"/>
  <c r="E129" i="70" s="1"/>
  <c r="H127" i="70"/>
  <c r="H129" i="70" s="1"/>
  <c r="E120" i="70"/>
  <c r="E122" i="70" s="1"/>
  <c r="I127" i="70"/>
  <c r="I129" i="70" s="1"/>
  <c r="G127" i="70"/>
  <c r="G129" i="70" s="1"/>
  <c r="D146" i="79" l="1" a="1"/>
  <c r="D146" i="79" s="1"/>
  <c r="E146" i="79" a="1"/>
  <c r="E146" i="79" s="1"/>
  <c r="F146" i="79" a="1"/>
  <c r="F146" i="79" s="1"/>
  <c r="D145" i="79" a="1"/>
  <c r="D145" i="79" s="1"/>
  <c r="E145" i="79" a="1"/>
  <c r="E145" i="79" s="1"/>
  <c r="F145" i="79" a="1"/>
  <c r="F145" i="79" s="1"/>
  <c r="D144" i="79" a="1"/>
  <c r="D144" i="79" s="1"/>
  <c r="E144" i="79" a="1"/>
  <c r="E144" i="79" s="1"/>
  <c r="F144" i="79" a="1"/>
  <c r="F144" i="79" s="1"/>
  <c r="D143" i="79" a="1"/>
  <c r="D143" i="79" s="1"/>
  <c r="E143" i="79" a="1"/>
  <c r="E143" i="79" s="1"/>
  <c r="F143" i="79" a="1"/>
  <c r="F143" i="79" s="1"/>
  <c r="F142" i="79" a="1"/>
  <c r="F142" i="79" s="1"/>
  <c r="E142" i="79" a="1"/>
  <c r="E142" i="79" s="1"/>
  <c r="D142" i="79" a="1"/>
  <c r="D142" i="79" s="1"/>
  <c r="D137" i="79" a="1"/>
  <c r="D137" i="79" s="1"/>
  <c r="D138" i="79" a="1"/>
  <c r="D138" i="79" s="1"/>
  <c r="D139" i="79" a="1"/>
  <c r="D139" i="79" s="1"/>
  <c r="D140" i="79" a="1"/>
  <c r="D140" i="79" s="1"/>
  <c r="D136" i="79" a="1"/>
  <c r="D136" i="79" s="1"/>
  <c r="D29" i="70"/>
  <c r="D28" i="70"/>
  <c r="D24" i="70"/>
  <c r="D25" i="70"/>
  <c r="D10" i="70"/>
  <c r="E28" i="70" l="1" a="1"/>
  <c r="E28" i="70" s="1"/>
  <c r="F35" i="70" a="1"/>
  <c r="F35" i="70" s="1"/>
  <c r="I40" i="70" a="1"/>
  <c r="I40" i="70" s="1"/>
  <c r="E35" i="70" a="1"/>
  <c r="E35" i="70" s="1"/>
  <c r="H40" i="70" a="1"/>
  <c r="H40" i="70" s="1"/>
  <c r="G40" i="70" a="1"/>
  <c r="G40" i="70" s="1"/>
  <c r="F40" i="70" a="1"/>
  <c r="F40" i="70" s="1"/>
  <c r="E40" i="70" a="1"/>
  <c r="E40" i="70" s="1"/>
  <c r="I35" i="70" a="1"/>
  <c r="I35" i="70" s="1"/>
  <c r="H35" i="70" a="1"/>
  <c r="H35" i="70" s="1"/>
  <c r="G35" i="70" a="1"/>
  <c r="G35" i="70" s="1"/>
  <c r="G25" i="70" a="1"/>
  <c r="G25" i="70" s="1"/>
  <c r="G28" i="70" a="1"/>
  <c r="G28" i="70" s="1"/>
  <c r="H25" i="70" a="1"/>
  <c r="H25" i="70" s="1"/>
  <c r="H28" i="70" a="1"/>
  <c r="H28" i="70" s="1"/>
  <c r="I25" i="70" a="1"/>
  <c r="I25" i="70" s="1"/>
  <c r="F25" i="70" a="1"/>
  <c r="F25" i="70" s="1"/>
  <c r="F28" i="70" a="1"/>
  <c r="F28" i="70" s="1"/>
  <c r="E24" i="70" a="1"/>
  <c r="E24" i="70" s="1"/>
  <c r="I28" i="70" a="1"/>
  <c r="I28" i="70" s="1"/>
  <c r="F24" i="70" a="1"/>
  <c r="F24" i="70" s="1"/>
  <c r="G24" i="70" a="1"/>
  <c r="G24" i="70" s="1"/>
  <c r="H24" i="70" a="1"/>
  <c r="H24" i="70" s="1"/>
  <c r="I24" i="70" a="1"/>
  <c r="I24" i="70" s="1"/>
  <c r="E25" i="70" a="1"/>
  <c r="E25" i="70" s="1"/>
  <c r="G201" i="76" l="1"/>
  <c r="Q201" i="76"/>
  <c r="G250" i="69"/>
  <c r="P196" i="76"/>
  <c r="Q240" i="69"/>
  <c r="G29" i="70"/>
  <c r="H240" i="69"/>
  <c r="H196" i="76"/>
  <c r="F201" i="76"/>
  <c r="F250" i="69"/>
  <c r="F240" i="69"/>
  <c r="F196" i="76"/>
  <c r="E164" i="76"/>
  <c r="E240" i="69"/>
  <c r="R196" i="76"/>
  <c r="S240" i="69"/>
  <c r="I29" i="70"/>
  <c r="D240" i="69"/>
  <c r="D164" i="76"/>
  <c r="D201" i="76"/>
  <c r="N201" i="76"/>
  <c r="D250" i="69"/>
  <c r="P240" i="69"/>
  <c r="F29" i="70"/>
  <c r="P250" i="69" s="1"/>
  <c r="O164" i="76"/>
  <c r="H201" i="76"/>
  <c r="H250" i="69"/>
  <c r="G240" i="69"/>
  <c r="G164" i="76"/>
  <c r="E201" i="76"/>
  <c r="E250" i="69"/>
  <c r="O201" i="76"/>
  <c r="Q164" i="76"/>
  <c r="R240" i="69"/>
  <c r="H29" i="70"/>
  <c r="R250" i="69" s="1"/>
  <c r="N164" i="76"/>
  <c r="O240" i="69"/>
  <c r="E29" i="70"/>
  <c r="O250" i="69" s="1"/>
  <c r="P201" i="76" l="1"/>
  <c r="Q250" i="69"/>
  <c r="S250" i="69"/>
  <c r="R201" i="76"/>
  <c r="I144" i="70" l="1"/>
  <c r="H144" i="70"/>
  <c r="I149" i="70"/>
  <c r="H149" i="70"/>
  <c r="I139" i="70"/>
  <c r="H139" i="70"/>
  <c r="D71" i="79" a="1"/>
  <c r="D71" i="79" s="1"/>
  <c r="M78" i="79" a="1"/>
  <c r="M78" i="79" s="1"/>
  <c r="M77" i="79" a="1"/>
  <c r="M77" i="79" s="1"/>
  <c r="M76" i="79" a="1"/>
  <c r="M76" i="79" s="1"/>
  <c r="M75" i="79" a="1"/>
  <c r="M75" i="79" s="1"/>
  <c r="M74" i="79" a="1"/>
  <c r="M74" i="79" s="1"/>
  <c r="M73" i="79" a="1"/>
  <c r="M73" i="79" s="1"/>
  <c r="G91" i="79" a="1"/>
  <c r="G91" i="79" s="1"/>
  <c r="G90" i="79" a="1"/>
  <c r="G90" i="79" s="1"/>
  <c r="G89" i="79" a="1"/>
  <c r="G89" i="79" s="1"/>
  <c r="G88" i="79" a="1"/>
  <c r="G88" i="79" s="1"/>
  <c r="G87" i="79" a="1"/>
  <c r="G87" i="79" s="1"/>
  <c r="D85" i="79" a="1"/>
  <c r="D85" i="79" s="1"/>
  <c r="D127" i="79" a="1"/>
  <c r="D127" i="79" s="1"/>
  <c r="F133" i="79" a="1"/>
  <c r="F133" i="79" s="1"/>
  <c r="F132" i="79" a="1"/>
  <c r="F132" i="79" s="1"/>
  <c r="F131" i="79" a="1"/>
  <c r="F131" i="79" s="1"/>
  <c r="F130" i="79" a="1"/>
  <c r="F130" i="79" s="1"/>
  <c r="F129" i="79" a="1"/>
  <c r="F129" i="79" s="1"/>
  <c r="D124" i="79" a="1"/>
  <c r="D124" i="79" s="1"/>
  <c r="D125" i="79" a="1"/>
  <c r="D125" i="79" s="1"/>
  <c r="D126" i="79" a="1"/>
  <c r="D126" i="79" s="1"/>
  <c r="D133" i="79" a="1"/>
  <c r="D133" i="79" s="1"/>
  <c r="E133" i="79" a="1"/>
  <c r="E133" i="79" s="1"/>
  <c r="D132" i="79" a="1"/>
  <c r="D132" i="79" s="1"/>
  <c r="E132" i="79" a="1"/>
  <c r="E132" i="79" s="1"/>
  <c r="D131" i="79" a="1"/>
  <c r="D131" i="79" s="1"/>
  <c r="E131" i="79" a="1"/>
  <c r="E131" i="79" s="1"/>
  <c r="D130" i="79" a="1"/>
  <c r="D130" i="79" s="1"/>
  <c r="E130" i="79" a="1"/>
  <c r="E130" i="79" s="1"/>
  <c r="E129" i="79" a="1"/>
  <c r="E129" i="79" s="1"/>
  <c r="D129" i="79" a="1"/>
  <c r="D129" i="79" s="1"/>
  <c r="D123" i="79" a="1"/>
  <c r="D123" i="79" s="1"/>
  <c r="D113" i="79" a="1"/>
  <c r="D113" i="79" s="1"/>
  <c r="D114" i="79" a="1"/>
  <c r="D114" i="79" s="1"/>
  <c r="D115" i="79" a="1"/>
  <c r="D115" i="79" s="1"/>
  <c r="D120" i="79" a="1"/>
  <c r="D120" i="79" s="1"/>
  <c r="E120" i="79" a="1"/>
  <c r="E120" i="79" s="1"/>
  <c r="F120" i="79" a="1"/>
  <c r="F120" i="79" s="1"/>
  <c r="G120" i="79" a="1"/>
  <c r="G120" i="79" s="1"/>
  <c r="D119" i="79" a="1"/>
  <c r="D119" i="79" s="1"/>
  <c r="E119" i="79" a="1"/>
  <c r="E119" i="79" s="1"/>
  <c r="F119" i="79" a="1"/>
  <c r="F119" i="79" s="1"/>
  <c r="G119" i="79" a="1"/>
  <c r="G119" i="79" s="1"/>
  <c r="D118" i="79" a="1"/>
  <c r="D118" i="79" s="1"/>
  <c r="E118" i="79" a="1"/>
  <c r="E118" i="79" s="1"/>
  <c r="F118" i="79" a="1"/>
  <c r="F118" i="79" s="1"/>
  <c r="G118" i="79" a="1"/>
  <c r="G118" i="79" s="1"/>
  <c r="G117" i="79" a="1"/>
  <c r="G117" i="79" s="1"/>
  <c r="F117" i="79" a="1"/>
  <c r="F117" i="79" s="1"/>
  <c r="E117" i="79" a="1"/>
  <c r="E117" i="79" s="1"/>
  <c r="D117" i="79" a="1"/>
  <c r="D117" i="79" s="1"/>
  <c r="D112" i="79" a="1"/>
  <c r="D112" i="79" s="1"/>
  <c r="D104" i="79" a="1"/>
  <c r="D104" i="79" s="1"/>
  <c r="D105" i="79" a="1"/>
  <c r="D105" i="79" s="1"/>
  <c r="D106" i="79" a="1"/>
  <c r="D106" i="79" s="1"/>
  <c r="D109" i="79" a="1"/>
  <c r="D109" i="79" s="1"/>
  <c r="E109" i="79" a="1"/>
  <c r="E109" i="79" s="1"/>
  <c r="E108" i="79" a="1"/>
  <c r="E108" i="79" s="1"/>
  <c r="D55" i="76" s="1"/>
  <c r="D108" i="79" a="1"/>
  <c r="D108" i="79" s="1"/>
  <c r="D103" i="79" a="1"/>
  <c r="D103" i="79" s="1"/>
  <c r="D95" i="79" a="1"/>
  <c r="D95" i="79" s="1"/>
  <c r="D96" i="79" a="1"/>
  <c r="D96" i="79" s="1"/>
  <c r="D97" i="79" a="1"/>
  <c r="D97" i="79" s="1"/>
  <c r="D100" i="79" a="1"/>
  <c r="D100" i="79" s="1"/>
  <c r="E100" i="79" a="1"/>
  <c r="E100" i="79" s="1"/>
  <c r="E99" i="79" a="1"/>
  <c r="E99" i="79" s="1"/>
  <c r="D99" i="79" a="1"/>
  <c r="D99" i="79" s="1"/>
  <c r="D94" i="79" a="1"/>
  <c r="D94" i="79" s="1"/>
  <c r="D91" i="79" a="1"/>
  <c r="D91" i="79" s="1"/>
  <c r="E91" i="79" a="1"/>
  <c r="E91" i="79" s="1"/>
  <c r="F91" i="79" a="1"/>
  <c r="F91" i="79" s="1"/>
  <c r="D90" i="79" a="1"/>
  <c r="D90" i="79" s="1"/>
  <c r="E90" i="79" a="1"/>
  <c r="E90" i="79" s="1"/>
  <c r="F90" i="79" a="1"/>
  <c r="F90" i="79" s="1"/>
  <c r="D89" i="79" a="1"/>
  <c r="D89" i="79" s="1"/>
  <c r="E89" i="79" a="1"/>
  <c r="E89" i="79" s="1"/>
  <c r="F89" i="79" a="1"/>
  <c r="F89" i="79" s="1"/>
  <c r="D88" i="79" a="1"/>
  <c r="D88" i="79" s="1"/>
  <c r="E88" i="79" a="1"/>
  <c r="E88" i="79" s="1"/>
  <c r="F88" i="79" a="1"/>
  <c r="F88" i="79" s="1"/>
  <c r="F87" i="79" a="1"/>
  <c r="F87" i="79" s="1"/>
  <c r="E87" i="79" a="1"/>
  <c r="E87" i="79" s="1"/>
  <c r="D87" i="79" a="1"/>
  <c r="D87" i="79" s="1"/>
  <c r="D82" i="79" a="1"/>
  <c r="D82" i="79" s="1"/>
  <c r="D83" i="79" a="1"/>
  <c r="D83" i="79" s="1"/>
  <c r="D84" i="79" a="1"/>
  <c r="D84" i="79" s="1"/>
  <c r="D81" i="79" a="1"/>
  <c r="D81" i="79" s="1"/>
  <c r="D68" i="79" a="1"/>
  <c r="D68" i="79" s="1"/>
  <c r="D69" i="79" a="1"/>
  <c r="D69" i="79" s="1"/>
  <c r="D70" i="79" a="1"/>
  <c r="D70" i="79" s="1"/>
  <c r="D78" i="79" a="1"/>
  <c r="D78" i="79" s="1"/>
  <c r="E78" i="79" a="1"/>
  <c r="E78" i="79" s="1"/>
  <c r="F78" i="79" a="1"/>
  <c r="F78" i="79" s="1"/>
  <c r="G78" i="79" a="1"/>
  <c r="G78" i="79" s="1"/>
  <c r="H78" i="79" a="1"/>
  <c r="H78" i="79" s="1"/>
  <c r="I78" i="79" a="1"/>
  <c r="I78" i="79" s="1"/>
  <c r="J78" i="79" a="1"/>
  <c r="J78" i="79" s="1"/>
  <c r="K78" i="79" a="1"/>
  <c r="K78" i="79" s="1"/>
  <c r="L78" i="79" a="1"/>
  <c r="L78" i="79" s="1"/>
  <c r="D77" i="79" a="1"/>
  <c r="D77" i="79" s="1"/>
  <c r="E77" i="79" a="1"/>
  <c r="E77" i="79" s="1"/>
  <c r="F77" i="79" a="1"/>
  <c r="F77" i="79" s="1"/>
  <c r="G77" i="79" a="1"/>
  <c r="G77" i="79" s="1"/>
  <c r="H77" i="79" a="1"/>
  <c r="H77" i="79" s="1"/>
  <c r="I77" i="79" a="1"/>
  <c r="I77" i="79" s="1"/>
  <c r="J77" i="79" a="1"/>
  <c r="J77" i="79" s="1"/>
  <c r="K77" i="79" a="1"/>
  <c r="K77" i="79" s="1"/>
  <c r="L77" i="79" a="1"/>
  <c r="L77" i="79" s="1"/>
  <c r="D76" i="79" a="1"/>
  <c r="D76" i="79" s="1"/>
  <c r="E76" i="79" a="1"/>
  <c r="E76" i="79" s="1"/>
  <c r="F76" i="79" a="1"/>
  <c r="F76" i="79" s="1"/>
  <c r="G76" i="79" a="1"/>
  <c r="G76" i="79" s="1"/>
  <c r="H76" i="79" a="1"/>
  <c r="H76" i="79" s="1"/>
  <c r="I76" i="79" a="1"/>
  <c r="I76" i="79" s="1"/>
  <c r="J76" i="79" a="1"/>
  <c r="J76" i="79" s="1"/>
  <c r="K76" i="79" a="1"/>
  <c r="K76" i="79" s="1"/>
  <c r="L76" i="79" a="1"/>
  <c r="L76" i="79" s="1"/>
  <c r="D75" i="79" a="1"/>
  <c r="D75" i="79" s="1"/>
  <c r="E75" i="79" a="1"/>
  <c r="E75" i="79" s="1"/>
  <c r="F75" i="79" a="1"/>
  <c r="F75" i="79" s="1"/>
  <c r="G75" i="79" a="1"/>
  <c r="G75" i="79" s="1"/>
  <c r="H75" i="79" a="1"/>
  <c r="H75" i="79" s="1"/>
  <c r="I75" i="79" a="1"/>
  <c r="I75" i="79" s="1"/>
  <c r="J75" i="79" a="1"/>
  <c r="J75" i="79" s="1"/>
  <c r="K75" i="79" a="1"/>
  <c r="K75" i="79" s="1"/>
  <c r="L75" i="79" a="1"/>
  <c r="L75" i="79" s="1"/>
  <c r="D74" i="79" a="1"/>
  <c r="D74" i="79" s="1"/>
  <c r="E74" i="79" a="1"/>
  <c r="E74" i="79" s="1"/>
  <c r="F74" i="79" a="1"/>
  <c r="F74" i="79" s="1"/>
  <c r="G74" i="79" a="1"/>
  <c r="G74" i="79" s="1"/>
  <c r="H74" i="79" a="1"/>
  <c r="H74" i="79" s="1"/>
  <c r="I74" i="79" a="1"/>
  <c r="I74" i="79" s="1"/>
  <c r="J74" i="79" a="1"/>
  <c r="J74" i="79" s="1"/>
  <c r="K74" i="79" a="1"/>
  <c r="K74" i="79" s="1"/>
  <c r="L74" i="79" a="1"/>
  <c r="L74" i="79" s="1"/>
  <c r="L73" i="79" a="1"/>
  <c r="L73" i="79" s="1"/>
  <c r="K73" i="79" a="1"/>
  <c r="K73" i="79" s="1"/>
  <c r="J73" i="79" a="1"/>
  <c r="J73" i="79" s="1"/>
  <c r="I73" i="79" a="1"/>
  <c r="I73" i="79" s="1"/>
  <c r="H73" i="79" a="1"/>
  <c r="H73" i="79" s="1"/>
  <c r="G73" i="79" a="1"/>
  <c r="G73" i="79" s="1"/>
  <c r="F73" i="79" a="1"/>
  <c r="F73" i="79" s="1"/>
  <c r="E73" i="79" a="1"/>
  <c r="E73" i="79" s="1"/>
  <c r="D73" i="79" a="1"/>
  <c r="D73" i="79" s="1"/>
  <c r="D67" i="79" a="1"/>
  <c r="D67" i="79" s="1"/>
  <c r="G64" i="79" a="1"/>
  <c r="G64" i="79" s="1"/>
  <c r="H191" i="76" s="1"/>
  <c r="F64" i="79" a="1"/>
  <c r="F64" i="79" s="1"/>
  <c r="E64" i="79" a="1"/>
  <c r="E64" i="79" s="1"/>
  <c r="H245" i="69" s="1"/>
  <c r="D64" i="79" a="1"/>
  <c r="D64" i="79" s="1"/>
  <c r="G63" i="79" a="1"/>
  <c r="G63" i="79" s="1"/>
  <c r="F191" i="76" s="1"/>
  <c r="F63" i="79" a="1"/>
  <c r="F63" i="79" s="1"/>
  <c r="E63" i="79" a="1"/>
  <c r="E63" i="79" s="1"/>
  <c r="F245" i="69" s="1"/>
  <c r="D63" i="79" a="1"/>
  <c r="D63" i="79" s="1"/>
  <c r="D59" i="79" a="1"/>
  <c r="D59" i="79" s="1"/>
  <c r="D60" i="79" a="1"/>
  <c r="D60" i="79" s="1"/>
  <c r="D61" i="79" a="1"/>
  <c r="D61" i="79" s="1"/>
  <c r="D58" i="79" a="1"/>
  <c r="D58" i="79" s="1"/>
  <c r="H55" i="79" a="1"/>
  <c r="H55" i="79" s="1"/>
  <c r="H24" i="76" s="1" a="1"/>
  <c r="H24" i="76" s="1"/>
  <c r="G55" i="79" a="1"/>
  <c r="G55" i="79" s="1"/>
  <c r="G24" i="76" s="1" a="1"/>
  <c r="G24" i="76" s="1"/>
  <c r="F55" i="79" a="1"/>
  <c r="F55" i="79" s="1"/>
  <c r="F24" i="76" s="1" a="1"/>
  <c r="F24" i="76" s="1"/>
  <c r="E55" i="79" a="1"/>
  <c r="E55" i="79" s="1"/>
  <c r="E24" i="76" s="1" a="1"/>
  <c r="E24" i="76" s="1"/>
  <c r="D55" i="79" a="1"/>
  <c r="D55" i="79" s="1"/>
  <c r="D24" i="76" s="1" a="1"/>
  <c r="D24" i="76" s="1"/>
  <c r="D51" i="79" a="1"/>
  <c r="D51" i="79" s="1"/>
  <c r="D52" i="79" a="1"/>
  <c r="D52" i="79" s="1"/>
  <c r="D53" i="79" a="1"/>
  <c r="D53" i="79" s="1"/>
  <c r="D50" i="79" a="1"/>
  <c r="D50" i="79" s="1"/>
  <c r="D43" i="79" a="1"/>
  <c r="D43" i="79" s="1"/>
  <c r="D44" i="79" a="1"/>
  <c r="D44" i="79" s="1"/>
  <c r="D45" i="79" a="1"/>
  <c r="D45" i="79" s="1"/>
  <c r="H47" i="79" a="1"/>
  <c r="H47" i="79" s="1"/>
  <c r="G47" i="79" a="1"/>
  <c r="G47" i="79" s="1"/>
  <c r="F47" i="79" a="1"/>
  <c r="F47" i="79" s="1"/>
  <c r="E47" i="79" a="1"/>
  <c r="E47" i="79" s="1"/>
  <c r="D47" i="79" a="1"/>
  <c r="D47" i="79" s="1"/>
  <c r="D42" i="79" a="1"/>
  <c r="D42" i="79" s="1"/>
  <c r="F39" i="79" a="1"/>
  <c r="F39" i="79" s="1"/>
  <c r="E39" i="79" a="1"/>
  <c r="E39" i="79" s="1"/>
  <c r="D39" i="79" a="1"/>
  <c r="D39" i="79" s="1"/>
  <c r="D35" i="79" a="1"/>
  <c r="D35" i="79" s="1"/>
  <c r="D36" i="79" a="1"/>
  <c r="D36" i="79" s="1"/>
  <c r="D37" i="79" a="1"/>
  <c r="D37" i="79" s="1"/>
  <c r="D34" i="79" a="1"/>
  <c r="D34" i="79" s="1"/>
  <c r="D20" i="79" a="1"/>
  <c r="D20" i="79" s="1"/>
  <c r="D31" i="79" a="1"/>
  <c r="D31" i="79" s="1"/>
  <c r="E31" i="79" a="1"/>
  <c r="E31" i="79" s="1"/>
  <c r="F31" i="79" a="1"/>
  <c r="F31" i="79" s="1"/>
  <c r="G31" i="79" a="1"/>
  <c r="G31" i="79" s="1"/>
  <c r="D30" i="79" a="1"/>
  <c r="D30" i="79" s="1"/>
  <c r="E30" i="79" a="1"/>
  <c r="E30" i="79" s="1"/>
  <c r="F30" i="79" a="1"/>
  <c r="F30" i="79" s="1"/>
  <c r="G30" i="79" a="1"/>
  <c r="G30" i="79" s="1"/>
  <c r="D29" i="79" a="1"/>
  <c r="D29" i="79" s="1"/>
  <c r="E29" i="79" a="1"/>
  <c r="E29" i="79" s="1"/>
  <c r="F29" i="79" a="1"/>
  <c r="F29" i="79" s="1"/>
  <c r="G29" i="79" a="1"/>
  <c r="G29" i="79" s="1"/>
  <c r="D28" i="79" a="1"/>
  <c r="D28" i="79" s="1"/>
  <c r="E28" i="79" a="1"/>
  <c r="E28" i="79" s="1"/>
  <c r="F28" i="79" a="1"/>
  <c r="F28" i="79" s="1"/>
  <c r="G28" i="79" a="1"/>
  <c r="G28" i="79" s="1"/>
  <c r="D27" i="79" a="1"/>
  <c r="D27" i="79" s="1"/>
  <c r="E27" i="79" a="1"/>
  <c r="E27" i="79" s="1"/>
  <c r="F27" i="79" a="1"/>
  <c r="F27" i="79" s="1"/>
  <c r="G27" i="79" a="1"/>
  <c r="G27" i="79" s="1"/>
  <c r="D26" i="79" a="1"/>
  <c r="D26" i="79" s="1"/>
  <c r="E26" i="79" a="1"/>
  <c r="E26" i="79" s="1"/>
  <c r="F26" i="79" a="1"/>
  <c r="F26" i="79" s="1"/>
  <c r="G26" i="79" a="1"/>
  <c r="G26" i="79" s="1"/>
  <c r="D25" i="79" a="1"/>
  <c r="D25" i="79" s="1"/>
  <c r="E25" i="79" a="1"/>
  <c r="E25" i="79" s="1"/>
  <c r="F25" i="79" a="1"/>
  <c r="F25" i="79" s="1"/>
  <c r="G25" i="79" a="1"/>
  <c r="G25" i="79" s="1"/>
  <c r="D24" i="79" a="1"/>
  <c r="D24" i="79" s="1"/>
  <c r="E24" i="79" a="1"/>
  <c r="E24" i="79" s="1"/>
  <c r="F24" i="79" a="1"/>
  <c r="F24" i="79" s="1"/>
  <c r="G24" i="79" a="1"/>
  <c r="G24" i="79" s="1"/>
  <c r="D23" i="79" a="1"/>
  <c r="D23" i="79" s="1"/>
  <c r="E23" i="79" a="1"/>
  <c r="E23" i="79" s="1"/>
  <c r="F23" i="79" a="1"/>
  <c r="F23" i="79" s="1"/>
  <c r="G23" i="79" a="1"/>
  <c r="G23" i="79" s="1"/>
  <c r="G22" i="79" a="1"/>
  <c r="G22" i="79" s="1"/>
  <c r="F22" i="79" a="1"/>
  <c r="F22" i="79" s="1"/>
  <c r="E22" i="79" a="1"/>
  <c r="E22" i="79" s="1"/>
  <c r="D22" i="79" a="1"/>
  <c r="D22" i="79" s="1"/>
  <c r="D19" i="79" a="1"/>
  <c r="D19" i="79" s="1"/>
  <c r="D18" i="79" a="1"/>
  <c r="D18" i="79" s="1"/>
  <c r="D17" i="79" a="1"/>
  <c r="D17" i="79" s="1"/>
  <c r="D16" i="79" a="1"/>
  <c r="D16" i="79" s="1"/>
  <c r="F76" i="81" l="1"/>
  <c r="F75" i="81"/>
  <c r="F73" i="81"/>
  <c r="F72" i="81"/>
  <c r="F74" i="81"/>
  <c r="E63" i="81" a="1"/>
  <c r="E63" i="81" s="1"/>
  <c r="E72" i="81" a="1"/>
  <c r="E72" i="81" s="1"/>
  <c r="D72" i="81" a="1"/>
  <c r="D72" i="81" s="1"/>
  <c r="D63" i="81" a="1"/>
  <c r="D63" i="81" s="1"/>
  <c r="E262" i="76" a="1"/>
  <c r="E262" i="76" s="1"/>
  <c r="E31" i="82" a="1"/>
  <c r="E31" i="82" s="1"/>
  <c r="D262" i="76" a="1"/>
  <c r="D262" i="76" s="1"/>
  <c r="D31" i="82" a="1"/>
  <c r="D31" i="82" s="1"/>
  <c r="F35" i="82"/>
  <c r="F34" i="82"/>
  <c r="F33" i="82"/>
  <c r="F32" i="82"/>
  <c r="F31" i="82"/>
  <c r="H55" i="76"/>
  <c r="G55" i="76"/>
  <c r="E55" i="76"/>
  <c r="F55" i="76"/>
  <c r="F79" i="69"/>
  <c r="E79" i="69"/>
  <c r="G79" i="69"/>
  <c r="H79" i="69"/>
  <c r="D79" i="69"/>
  <c r="E14" i="70" a="1"/>
  <c r="E14" i="70" s="1"/>
  <c r="E18" i="70" a="1"/>
  <c r="E18" i="70" s="1"/>
  <c r="G14" i="70" a="1"/>
  <c r="G14" i="70" s="1"/>
  <c r="G18" i="70" a="1"/>
  <c r="G18" i="70" s="1"/>
  <c r="F14" i="70" a="1"/>
  <c r="F14" i="70" s="1"/>
  <c r="F18" i="70" a="1"/>
  <c r="F18" i="70" s="1"/>
  <c r="G19" i="70" a="1"/>
  <c r="G19" i="70" s="1"/>
  <c r="G15" i="70" a="1"/>
  <c r="G15" i="70" s="1"/>
  <c r="H15" i="70" a="1"/>
  <c r="H15" i="70" s="1"/>
  <c r="H19" i="70" a="1"/>
  <c r="H19" i="70" s="1"/>
  <c r="I19" i="70" a="1"/>
  <c r="I19" i="70" s="1"/>
  <c r="I15" i="70" a="1"/>
  <c r="I15" i="70" s="1"/>
  <c r="H18" i="70" a="1"/>
  <c r="H18" i="70" s="1"/>
  <c r="H14" i="70" a="1"/>
  <c r="H14" i="70" s="1"/>
  <c r="I18" i="70" a="1"/>
  <c r="I18" i="70" s="1"/>
  <c r="I14" i="70" a="1"/>
  <c r="I14" i="70" s="1"/>
  <c r="E15" i="70" a="1"/>
  <c r="E15" i="70" s="1"/>
  <c r="E19" i="70" a="1"/>
  <c r="E19" i="70" s="1"/>
  <c r="F19" i="70" a="1"/>
  <c r="F19" i="70" s="1"/>
  <c r="F15" i="70" a="1"/>
  <c r="F15" i="70" s="1"/>
  <c r="G60" i="70" a="1"/>
  <c r="G60" i="70" s="1"/>
  <c r="H55" i="70" a="1"/>
  <c r="H55" i="70" s="1"/>
  <c r="E60" i="70" a="1"/>
  <c r="E60" i="70" s="1"/>
  <c r="I59" i="70" a="1"/>
  <c r="I59" i="70" s="1"/>
  <c r="I53" i="70" a="1"/>
  <c r="I53" i="70" s="1"/>
  <c r="G58" i="70" a="1"/>
  <c r="G58" i="70" s="1"/>
  <c r="S25" i="96" s="1"/>
  <c r="H60" i="70" a="1"/>
  <c r="H60" i="70" s="1"/>
  <c r="F60" i="70" a="1"/>
  <c r="F60" i="70" s="1"/>
  <c r="G55" i="70" a="1"/>
  <c r="G55" i="70" s="1"/>
  <c r="F55" i="70" a="1"/>
  <c r="F55" i="70" s="1"/>
  <c r="E55" i="70" a="1"/>
  <c r="E55" i="70" s="1"/>
  <c r="E53" i="70" a="1"/>
  <c r="E53" i="70" s="1"/>
  <c r="F25" i="96" s="1"/>
  <c r="H59" i="70" a="1"/>
  <c r="H59" i="70" s="1"/>
  <c r="I54" i="70" a="1"/>
  <c r="I54" i="70" s="1"/>
  <c r="E59" i="70" a="1"/>
  <c r="E59" i="70" s="1"/>
  <c r="E54" i="70" a="1"/>
  <c r="E54" i="70" s="1"/>
  <c r="I55" i="70" a="1"/>
  <c r="I55" i="70" s="1"/>
  <c r="G59" i="70" a="1"/>
  <c r="G59" i="70" s="1"/>
  <c r="H54" i="70" a="1"/>
  <c r="H54" i="70" s="1"/>
  <c r="F54" i="70" a="1"/>
  <c r="F54" i="70" s="1"/>
  <c r="H58" i="70" a="1"/>
  <c r="H58" i="70" s="1"/>
  <c r="T25" i="96" s="1"/>
  <c r="F59" i="70" a="1"/>
  <c r="F59" i="70" s="1"/>
  <c r="G54" i="70" a="1"/>
  <c r="G54" i="70" s="1"/>
  <c r="I58" i="70" a="1"/>
  <c r="I58" i="70" s="1"/>
  <c r="U25" i="96" s="1"/>
  <c r="H53" i="70" a="1"/>
  <c r="H53" i="70" s="1"/>
  <c r="F58" i="70" a="1"/>
  <c r="F58" i="70" s="1"/>
  <c r="R25" i="96" s="1"/>
  <c r="G53" i="70" a="1"/>
  <c r="G53" i="70" s="1"/>
  <c r="I60" i="70" a="1"/>
  <c r="I60" i="70" s="1"/>
  <c r="E58" i="70" a="1"/>
  <c r="E58" i="70" s="1"/>
  <c r="Q25" i="96" s="1"/>
  <c r="F53" i="70" a="1"/>
  <c r="F53" i="70" s="1"/>
  <c r="J166" i="69" l="1"/>
  <c r="J25" i="96"/>
  <c r="G166" i="69"/>
  <c r="G25" i="96"/>
  <c r="H166" i="69"/>
  <c r="H25" i="96"/>
  <c r="I166" i="69"/>
  <c r="I25" i="96"/>
  <c r="R224" i="76" a="1"/>
  <c r="R224" i="76" s="1"/>
  <c r="R226" i="76" a="1"/>
  <c r="R226" i="76" s="1"/>
  <c r="R227" i="76" a="1"/>
  <c r="R227" i="76" s="1"/>
  <c r="R225" i="76" a="1"/>
  <c r="R225" i="76" s="1"/>
  <c r="T226" i="76" a="1"/>
  <c r="T226" i="76" s="1"/>
  <c r="T224" i="76" a="1"/>
  <c r="T224" i="76" s="1"/>
  <c r="T225" i="76" a="1"/>
  <c r="T225" i="76" s="1"/>
  <c r="T227" i="76" a="1"/>
  <c r="T227" i="76" s="1"/>
  <c r="R74" i="69"/>
  <c r="Q91" i="76"/>
  <c r="J229" i="76" a="1"/>
  <c r="J229" i="76" s="1"/>
  <c r="J230" i="76" a="1"/>
  <c r="J230" i="76" s="1"/>
  <c r="J231" i="76" a="1"/>
  <c r="J231" i="76" s="1"/>
  <c r="J228" i="76" a="1"/>
  <c r="J228" i="76" s="1"/>
  <c r="P231" i="76" a="1"/>
  <c r="P231" i="76" s="1"/>
  <c r="P229" i="76" a="1"/>
  <c r="P229" i="76" s="1"/>
  <c r="P228" i="76" a="1"/>
  <c r="P228" i="76" s="1"/>
  <c r="P230" i="76" a="1"/>
  <c r="P230" i="76" s="1"/>
  <c r="G74" i="69"/>
  <c r="G91" i="76"/>
  <c r="F225" i="76" a="1"/>
  <c r="F225" i="76" s="1"/>
  <c r="F227" i="76" a="1"/>
  <c r="F227" i="76" s="1"/>
  <c r="F226" i="76" a="1"/>
  <c r="F226" i="76" s="1"/>
  <c r="F224" i="76" a="1"/>
  <c r="F224" i="76" s="1"/>
  <c r="I230" i="76" a="1"/>
  <c r="I230" i="76" s="1"/>
  <c r="I229" i="76" a="1"/>
  <c r="I229" i="76" s="1"/>
  <c r="I231" i="76" a="1"/>
  <c r="I231" i="76" s="1"/>
  <c r="I228" i="76" a="1"/>
  <c r="I228" i="76" s="1"/>
  <c r="F74" i="69"/>
  <c r="F91" i="76"/>
  <c r="P227" i="76" a="1"/>
  <c r="P227" i="76" s="1"/>
  <c r="P224" i="76" a="1"/>
  <c r="P224" i="76" s="1"/>
  <c r="P226" i="76" a="1"/>
  <c r="P226" i="76" s="1"/>
  <c r="P225" i="76" a="1"/>
  <c r="P225" i="76" s="1"/>
  <c r="R229" i="76" a="1"/>
  <c r="R229" i="76" s="1"/>
  <c r="R231" i="76" a="1"/>
  <c r="R231" i="76" s="1"/>
  <c r="R228" i="76" a="1"/>
  <c r="R228" i="76" s="1"/>
  <c r="R230" i="76" a="1"/>
  <c r="R230" i="76" s="1"/>
  <c r="Q74" i="69"/>
  <c r="P91" i="76"/>
  <c r="T231" i="76" a="1"/>
  <c r="T231" i="76" s="1"/>
  <c r="T228" i="76" a="1"/>
  <c r="T228" i="76" s="1"/>
  <c r="T230" i="76" a="1"/>
  <c r="T230" i="76" s="1"/>
  <c r="T229" i="76" a="1"/>
  <c r="T229" i="76" s="1"/>
  <c r="J227" i="76" a="1"/>
  <c r="J227" i="76" s="1"/>
  <c r="J224" i="76" a="1"/>
  <c r="J224" i="76" s="1"/>
  <c r="J226" i="76" a="1"/>
  <c r="J226" i="76" s="1"/>
  <c r="J225" i="76" a="1"/>
  <c r="J225" i="76" s="1"/>
  <c r="E74" i="69"/>
  <c r="E91" i="76"/>
  <c r="P69" i="69"/>
  <c r="O19" i="76"/>
  <c r="O29" i="76" s="1" a="1"/>
  <c r="O29" i="76" s="1"/>
  <c r="S224" i="76" a="1"/>
  <c r="S224" i="76" s="1"/>
  <c r="S226" i="76" a="1"/>
  <c r="S226" i="76" s="1"/>
  <c r="S225" i="76" a="1"/>
  <c r="S225" i="76" s="1"/>
  <c r="S227" i="76" a="1"/>
  <c r="S227" i="76" s="1"/>
  <c r="P74" i="69"/>
  <c r="O91" i="76"/>
  <c r="E69" i="69"/>
  <c r="E19" i="76"/>
  <c r="E29" i="76" s="1" a="1"/>
  <c r="E29" i="76" s="1"/>
  <c r="O74" i="69"/>
  <c r="N91" i="76"/>
  <c r="Q69" i="69"/>
  <c r="P19" i="76"/>
  <c r="P29" i="76" s="1" a="1"/>
  <c r="P29" i="76" s="1"/>
  <c r="F228" i="76" a="1"/>
  <c r="F228" i="76" s="1"/>
  <c r="F230" i="76" a="1"/>
  <c r="F230" i="76" s="1"/>
  <c r="F229" i="76" a="1"/>
  <c r="F229" i="76" s="1"/>
  <c r="F231" i="76" a="1"/>
  <c r="F231" i="76" s="1"/>
  <c r="D74" i="69"/>
  <c r="D91" i="76"/>
  <c r="F69" i="69"/>
  <c r="F19" i="76"/>
  <c r="F29" i="76" s="1" a="1"/>
  <c r="F29" i="76" s="1"/>
  <c r="G228" i="76" a="1"/>
  <c r="G228" i="76" s="1"/>
  <c r="G230" i="76" a="1"/>
  <c r="G230" i="76" s="1"/>
  <c r="G231" i="76" a="1"/>
  <c r="G231" i="76" s="1"/>
  <c r="G229" i="76" a="1"/>
  <c r="G229" i="76" s="1"/>
  <c r="H69" i="69"/>
  <c r="H19" i="76"/>
  <c r="H29" i="76" s="1" a="1"/>
  <c r="H29" i="76" s="1"/>
  <c r="O69" i="69"/>
  <c r="N19" i="76"/>
  <c r="N29" i="76" s="1" a="1"/>
  <c r="N29" i="76" s="1"/>
  <c r="H225" i="76" a="1"/>
  <c r="H225" i="76" s="1"/>
  <c r="H227" i="76" a="1"/>
  <c r="H227" i="76" s="1"/>
  <c r="H224" i="76" a="1"/>
  <c r="H224" i="76" s="1"/>
  <c r="H226" i="76" a="1"/>
  <c r="H226" i="76" s="1"/>
  <c r="H230" i="76" a="1"/>
  <c r="H230" i="76" s="1"/>
  <c r="H229" i="76" a="1"/>
  <c r="H229" i="76" s="1"/>
  <c r="H228" i="76" a="1"/>
  <c r="H228" i="76" s="1"/>
  <c r="H231" i="76" a="1"/>
  <c r="H231" i="76" s="1"/>
  <c r="S69" i="69"/>
  <c r="R19" i="76"/>
  <c r="R29" i="76" s="1" a="1"/>
  <c r="R29" i="76" s="1"/>
  <c r="D69" i="69"/>
  <c r="D19" i="76"/>
  <c r="D29" i="76" s="1" a="1"/>
  <c r="D29" i="76" s="1"/>
  <c r="Q224" i="76" a="1"/>
  <c r="Q224" i="76" s="1"/>
  <c r="Q226" i="76" a="1"/>
  <c r="Q226" i="76" s="1"/>
  <c r="Q227" i="76" a="1"/>
  <c r="Q227" i="76" s="1"/>
  <c r="Q225" i="76" a="1"/>
  <c r="Q225" i="76" s="1"/>
  <c r="Q229" i="76" a="1"/>
  <c r="Q229" i="76" s="1"/>
  <c r="Q231" i="76" a="1"/>
  <c r="Q231" i="76" s="1"/>
  <c r="Q228" i="76" a="1"/>
  <c r="Q228" i="76" s="1"/>
  <c r="Q230" i="76" a="1"/>
  <c r="Q230" i="76" s="1"/>
  <c r="G69" i="69"/>
  <c r="G19" i="76"/>
  <c r="G29" i="76" s="1" a="1"/>
  <c r="G29" i="76" s="1"/>
  <c r="S229" i="76" a="1"/>
  <c r="S229" i="76" s="1"/>
  <c r="S231" i="76" a="1"/>
  <c r="S231" i="76" s="1"/>
  <c r="S228" i="76" a="1"/>
  <c r="S228" i="76" s="1"/>
  <c r="S230" i="76" a="1"/>
  <c r="S230" i="76" s="1"/>
  <c r="R69" i="69"/>
  <c r="R84" i="69" s="1" a="1"/>
  <c r="R84" i="69" s="1"/>
  <c r="Q19" i="76"/>
  <c r="Q29" i="76" s="1" a="1"/>
  <c r="Q29" i="76" s="1"/>
  <c r="G225" i="76" a="1"/>
  <c r="G225" i="76" s="1"/>
  <c r="G227" i="76" a="1"/>
  <c r="G227" i="76" s="1"/>
  <c r="G224" i="76" a="1"/>
  <c r="G224" i="76" s="1"/>
  <c r="G226" i="76" a="1"/>
  <c r="G226" i="76" s="1"/>
  <c r="H74" i="69"/>
  <c r="H91" i="76"/>
  <c r="I225" i="76" a="1"/>
  <c r="I225" i="76" s="1"/>
  <c r="I227" i="76" a="1"/>
  <c r="I227" i="76" s="1"/>
  <c r="I224" i="76" a="1"/>
  <c r="I224" i="76" s="1"/>
  <c r="I226" i="76" a="1"/>
  <c r="I226" i="76" s="1"/>
  <c r="S74" i="69"/>
  <c r="R91" i="76"/>
  <c r="J124" i="69"/>
  <c r="J144" i="69" s="1" a="1"/>
  <c r="J144" i="69" s="1"/>
  <c r="J126" i="69"/>
  <c r="J146" i="69" s="1" a="1"/>
  <c r="J146" i="69" s="1"/>
  <c r="J125" i="69"/>
  <c r="J145" i="69" s="1" a="1"/>
  <c r="J145" i="69" s="1"/>
  <c r="J167" i="69"/>
  <c r="Q124" i="69"/>
  <c r="Q144" i="69" s="1" a="1"/>
  <c r="Q144" i="69" s="1"/>
  <c r="Q125" i="69"/>
  <c r="Q145" i="69" s="1" a="1"/>
  <c r="Q145" i="69" s="1"/>
  <c r="Q126" i="69"/>
  <c r="Q146" i="69" s="1" a="1"/>
  <c r="Q146" i="69" s="1"/>
  <c r="Q167" i="69"/>
  <c r="S126" i="69"/>
  <c r="S146" i="69" s="1" a="1"/>
  <c r="S146" i="69" s="1"/>
  <c r="S125" i="69"/>
  <c r="S145" i="69" s="1" a="1"/>
  <c r="S145" i="69" s="1"/>
  <c r="S124" i="69"/>
  <c r="S144" i="69" s="1" a="1"/>
  <c r="S144" i="69" s="1"/>
  <c r="S167" i="69"/>
  <c r="T166" i="69"/>
  <c r="T123" i="69"/>
  <c r="T143" i="69" s="1" a="1"/>
  <c r="T143" i="69" s="1"/>
  <c r="T122" i="69"/>
  <c r="T142" i="69" s="1" a="1"/>
  <c r="T142" i="69" s="1"/>
  <c r="T121" i="69"/>
  <c r="T141" i="69" s="1" a="1"/>
  <c r="T141" i="69" s="1"/>
  <c r="F166" i="69"/>
  <c r="F123" i="69"/>
  <c r="F143" i="69" s="1" a="1"/>
  <c r="F143" i="69" s="1"/>
  <c r="F122" i="69"/>
  <c r="F142" i="69" s="1" a="1"/>
  <c r="F142" i="69" s="1"/>
  <c r="F121" i="69"/>
  <c r="F141" i="69" s="1" a="1"/>
  <c r="F141" i="69" s="1"/>
  <c r="U126" i="69"/>
  <c r="U146" i="69" s="1" a="1"/>
  <c r="U146" i="69" s="1"/>
  <c r="U125" i="69"/>
  <c r="U145" i="69" s="1" a="1"/>
  <c r="U145" i="69" s="1"/>
  <c r="U124" i="69"/>
  <c r="U144" i="69" s="1" a="1"/>
  <c r="U144" i="69" s="1"/>
  <c r="U167" i="69"/>
  <c r="F125" i="69"/>
  <c r="F145" i="69" s="1" a="1"/>
  <c r="F145" i="69" s="1"/>
  <c r="F167" i="69"/>
  <c r="F124" i="69"/>
  <c r="F144" i="69" s="1" a="1"/>
  <c r="F144" i="69" s="1"/>
  <c r="F126" i="69"/>
  <c r="F146" i="69" s="1" a="1"/>
  <c r="F146" i="69" s="1"/>
  <c r="H124" i="69"/>
  <c r="H144" i="69" s="1" a="1"/>
  <c r="H144" i="69" s="1"/>
  <c r="H167" i="69"/>
  <c r="H126" i="69"/>
  <c r="H146" i="69" s="1" a="1"/>
  <c r="H146" i="69" s="1"/>
  <c r="H125" i="69"/>
  <c r="H145" i="69" s="1" a="1"/>
  <c r="H145" i="69" s="1"/>
  <c r="J123" i="69"/>
  <c r="J143" i="69" s="1" a="1"/>
  <c r="J143" i="69" s="1"/>
  <c r="J122" i="69"/>
  <c r="J142" i="69" s="1" a="1"/>
  <c r="J142" i="69" s="1"/>
  <c r="J121" i="69"/>
  <c r="J141" i="69" s="1" a="1"/>
  <c r="J141" i="69" s="1"/>
  <c r="G124" i="69"/>
  <c r="G144" i="69" s="1" a="1"/>
  <c r="G144" i="69" s="1"/>
  <c r="G167" i="69"/>
  <c r="G126" i="69"/>
  <c r="G146" i="69" s="1" a="1"/>
  <c r="G146" i="69" s="1"/>
  <c r="G125" i="69"/>
  <c r="G145" i="69" s="1" a="1"/>
  <c r="G145" i="69" s="1"/>
  <c r="H121" i="69"/>
  <c r="H141" i="69" s="1" a="1"/>
  <c r="H141" i="69" s="1"/>
  <c r="H123" i="69"/>
  <c r="H143" i="69" s="1" a="1"/>
  <c r="H143" i="69" s="1"/>
  <c r="H122" i="69"/>
  <c r="H142" i="69" s="1" a="1"/>
  <c r="H142" i="69" s="1"/>
  <c r="R121" i="69"/>
  <c r="R141" i="69" s="1" a="1"/>
  <c r="R141" i="69" s="1"/>
  <c r="R166" i="69"/>
  <c r="R123" i="69"/>
  <c r="R143" i="69" s="1" a="1"/>
  <c r="R143" i="69" s="1"/>
  <c r="R122" i="69"/>
  <c r="R142" i="69" s="1" a="1"/>
  <c r="R142" i="69" s="1"/>
  <c r="T167" i="69"/>
  <c r="T125" i="69"/>
  <c r="T145" i="69" s="1" a="1"/>
  <c r="T145" i="69" s="1"/>
  <c r="T124" i="69"/>
  <c r="T144" i="69" s="1" a="1"/>
  <c r="T144" i="69" s="1"/>
  <c r="T126" i="69"/>
  <c r="T146" i="69" s="1" a="1"/>
  <c r="T146" i="69" s="1"/>
  <c r="I167" i="69"/>
  <c r="I126" i="69"/>
  <c r="I146" i="69" s="1" a="1"/>
  <c r="I146" i="69" s="1"/>
  <c r="I125" i="69"/>
  <c r="I145" i="69" s="1" a="1"/>
  <c r="I145" i="69" s="1"/>
  <c r="I124" i="69"/>
  <c r="I144" i="69" s="1" a="1"/>
  <c r="I144" i="69" s="1"/>
  <c r="G123" i="69"/>
  <c r="G143" i="69" s="1" a="1"/>
  <c r="G143" i="69" s="1"/>
  <c r="G122" i="69"/>
  <c r="G142" i="69" s="1" a="1"/>
  <c r="G142" i="69" s="1"/>
  <c r="G121" i="69"/>
  <c r="G141" i="69" s="1" a="1"/>
  <c r="G141" i="69" s="1"/>
  <c r="Q166" i="69"/>
  <c r="Q122" i="69"/>
  <c r="Q142" i="69" s="1" a="1"/>
  <c r="Q142" i="69" s="1"/>
  <c r="Q123" i="69"/>
  <c r="Q143" i="69" s="1" a="1"/>
  <c r="Q143" i="69" s="1"/>
  <c r="Q121" i="69"/>
  <c r="Q141" i="69" s="1" a="1"/>
  <c r="Q141" i="69" s="1"/>
  <c r="R124" i="69"/>
  <c r="R144" i="69" s="1" a="1"/>
  <c r="R144" i="69" s="1"/>
  <c r="R126" i="69"/>
  <c r="R146" i="69" s="1" a="1"/>
  <c r="R146" i="69" s="1"/>
  <c r="R125" i="69"/>
  <c r="R145" i="69" s="1" a="1"/>
  <c r="R145" i="69" s="1"/>
  <c r="R167" i="69"/>
  <c r="I121" i="69"/>
  <c r="I141" i="69" s="1" a="1"/>
  <c r="I141" i="69" s="1"/>
  <c r="I123" i="69"/>
  <c r="I143" i="69" s="1" a="1"/>
  <c r="I143" i="69" s="1"/>
  <c r="I122" i="69"/>
  <c r="I142" i="69" s="1" a="1"/>
  <c r="I142" i="69" s="1"/>
  <c r="S121" i="69"/>
  <c r="S141" i="69" s="1" a="1"/>
  <c r="S141" i="69" s="1"/>
  <c r="S166" i="69"/>
  <c r="S123" i="69"/>
  <c r="S143" i="69" s="1" a="1"/>
  <c r="S143" i="69" s="1"/>
  <c r="S122" i="69"/>
  <c r="S142" i="69" s="1" a="1"/>
  <c r="S142" i="69" s="1"/>
  <c r="U166" i="69"/>
  <c r="U122" i="69"/>
  <c r="U142" i="69" s="1" a="1"/>
  <c r="U142" i="69" s="1"/>
  <c r="U121" i="69"/>
  <c r="U141" i="69" s="1" a="1"/>
  <c r="U141" i="69" s="1"/>
  <c r="U123" i="69"/>
  <c r="U143" i="69" s="1" a="1"/>
  <c r="U143" i="69" s="1"/>
  <c r="H46" i="96"/>
  <c r="G149" i="70"/>
  <c r="F149" i="70"/>
  <c r="E149" i="70"/>
  <c r="D84" i="69" l="1" a="1"/>
  <c r="D84" i="69" s="1"/>
  <c r="D103" i="69" s="1" a="1"/>
  <c r="D103" i="69" s="1"/>
  <c r="G84" i="69" a="1"/>
  <c r="G84" i="69" s="1"/>
  <c r="G50" i="76" s="1"/>
  <c r="F84" i="69" a="1"/>
  <c r="F84" i="69" s="1"/>
  <c r="F103" i="69" s="1" a="1"/>
  <c r="F103" i="69" s="1"/>
  <c r="E84" i="69" a="1"/>
  <c r="E84" i="69" s="1"/>
  <c r="E103" i="69" s="1" a="1"/>
  <c r="E103" i="69" s="1"/>
  <c r="H84" i="69" a="1"/>
  <c r="H84" i="69" s="1"/>
  <c r="H103" i="69" s="1" a="1"/>
  <c r="H103" i="69" s="1"/>
  <c r="H43" i="97"/>
  <c r="G66" i="82"/>
  <c r="Q84" i="69" a="1"/>
  <c r="Q84" i="69" s="1"/>
  <c r="P50" i="76" s="1"/>
  <c r="P84" i="69" a="1"/>
  <c r="P84" i="69" s="1"/>
  <c r="O50" i="76" s="1"/>
  <c r="S84" i="69" a="1"/>
  <c r="S84" i="69" s="1"/>
  <c r="S103" i="69" s="1" a="1"/>
  <c r="S103" i="69" s="1"/>
  <c r="O84" i="69" a="1"/>
  <c r="O84" i="69" s="1"/>
  <c r="O103" i="69" s="1" a="1"/>
  <c r="O103" i="69" s="1"/>
  <c r="R173" i="69" a="1"/>
  <c r="R173" i="69" s="1"/>
  <c r="G173" i="69" a="1"/>
  <c r="G173" i="69" s="1"/>
  <c r="Q173" i="69" a="1"/>
  <c r="Q173" i="69" s="1"/>
  <c r="J173" i="69" a="1"/>
  <c r="J173" i="69" s="1"/>
  <c r="S172" i="69" a="1"/>
  <c r="S172" i="69" s="1"/>
  <c r="F173" i="69" a="1"/>
  <c r="F173" i="69" s="1"/>
  <c r="U173" i="69" a="1"/>
  <c r="U173" i="69" s="1"/>
  <c r="I173" i="69" a="1"/>
  <c r="I173" i="69" s="1"/>
  <c r="R103" i="69" a="1"/>
  <c r="R103" i="69" s="1"/>
  <c r="Q50" i="76"/>
  <c r="T173" i="69" a="1"/>
  <c r="T173" i="69" s="1"/>
  <c r="G172" i="69" a="1"/>
  <c r="G172" i="69" s="1"/>
  <c r="S173" i="69" a="1"/>
  <c r="S173" i="69" s="1"/>
  <c r="H172" i="69" a="1"/>
  <c r="H172" i="69" s="1"/>
  <c r="U172" i="69" a="1"/>
  <c r="U172" i="69" s="1"/>
  <c r="Q172" i="69" a="1"/>
  <c r="Q172" i="69" s="1"/>
  <c r="R172" i="69" a="1"/>
  <c r="R172" i="69" s="1"/>
  <c r="H173" i="69" a="1"/>
  <c r="H173" i="69" s="1"/>
  <c r="F172" i="69" a="1"/>
  <c r="F172" i="69" s="1"/>
  <c r="J172" i="69" a="1"/>
  <c r="J172" i="69" s="1"/>
  <c r="T172" i="69" a="1"/>
  <c r="T172" i="69" s="1"/>
  <c r="I172" i="69" a="1"/>
  <c r="I172" i="69" s="1"/>
  <c r="F50" i="76" l="1"/>
  <c r="G103" i="69" a="1"/>
  <c r="G103" i="69" s="1"/>
  <c r="D50" i="76"/>
  <c r="D119" i="76" s="1" a="1"/>
  <c r="D119" i="76" s="1"/>
  <c r="H50" i="76"/>
  <c r="H65" i="76" s="1" a="1"/>
  <c r="H65" i="76" s="1"/>
  <c r="H96" i="76" s="1" a="1"/>
  <c r="H96" i="76" s="1"/>
  <c r="R50" i="76"/>
  <c r="R119" i="76" s="1" a="1"/>
  <c r="R119" i="76" s="1"/>
  <c r="Q103" i="69" a="1"/>
  <c r="Q103" i="69" s="1"/>
  <c r="E50" i="76"/>
  <c r="E65" i="76" s="1" a="1"/>
  <c r="E65" i="76" s="1"/>
  <c r="E96" i="76" s="1" a="1"/>
  <c r="E96" i="76" s="1"/>
  <c r="P103" i="69" a="1"/>
  <c r="P103" i="69" s="1"/>
  <c r="N50" i="76"/>
  <c r="P65" i="76" a="1"/>
  <c r="P65" i="76" s="1"/>
  <c r="P96" i="76" s="1" a="1"/>
  <c r="P96" i="76" s="1"/>
  <c r="P119" i="76" a="1"/>
  <c r="P119" i="76" s="1"/>
  <c r="N65" i="76" a="1"/>
  <c r="N65" i="76" s="1"/>
  <c r="N96" i="76" s="1" a="1"/>
  <c r="N96" i="76" s="1"/>
  <c r="N119" i="76" a="1"/>
  <c r="N119" i="76" s="1"/>
  <c r="Q65" i="76" a="1"/>
  <c r="Q65" i="76" s="1"/>
  <c r="Q96" i="76" s="1" a="1"/>
  <c r="Q96" i="76" s="1"/>
  <c r="Q119" i="76" a="1"/>
  <c r="Q119" i="76" s="1"/>
  <c r="D65" i="76" a="1"/>
  <c r="D65" i="76" s="1"/>
  <c r="D96" i="76" s="1" a="1"/>
  <c r="D96" i="76" s="1"/>
  <c r="G119" i="76" a="1"/>
  <c r="G119" i="76" s="1"/>
  <c r="G65" i="76" a="1"/>
  <c r="G65" i="76" s="1"/>
  <c r="G96" i="76" s="1" a="1"/>
  <c r="G96" i="76" s="1"/>
  <c r="O65" i="76" a="1"/>
  <c r="O65" i="76" s="1"/>
  <c r="O96" i="76" s="1" a="1"/>
  <c r="O96" i="76" s="1"/>
  <c r="O119" i="76" a="1"/>
  <c r="O119" i="76" s="1"/>
  <c r="F119" i="76" a="1"/>
  <c r="F119" i="76" s="1"/>
  <c r="F65" i="76" a="1"/>
  <c r="F65" i="76" s="1"/>
  <c r="F96" i="76" s="1" a="1"/>
  <c r="F96" i="76" s="1"/>
  <c r="A39" i="74"/>
  <c r="A38" i="74"/>
  <c r="A37" i="74"/>
  <c r="A36" i="74"/>
  <c r="A33" i="74"/>
  <c r="A30" i="74"/>
  <c r="A29" i="74"/>
  <c r="A28" i="74"/>
  <c r="A27" i="74"/>
  <c r="A26" i="74"/>
  <c r="A25" i="74"/>
  <c r="A24" i="74"/>
  <c r="A19" i="74"/>
  <c r="A18" i="74"/>
  <c r="A15" i="74"/>
  <c r="A14" i="74"/>
  <c r="A13" i="74"/>
  <c r="A12" i="74"/>
  <c r="A11" i="74"/>
  <c r="A10" i="74"/>
  <c r="A9" i="74"/>
  <c r="A8" i="74"/>
  <c r="A7" i="74"/>
  <c r="A4" i="74"/>
  <c r="E119" i="76" l="1" a="1"/>
  <c r="E119" i="76" s="1"/>
  <c r="H119" i="76" a="1"/>
  <c r="H119" i="76" s="1"/>
  <c r="H139" i="76" s="1" a="1"/>
  <c r="H139" i="76" s="1"/>
  <c r="F139" i="76" a="1"/>
  <c r="F139" i="76" s="1"/>
  <c r="F206" i="76" s="1" a="1"/>
  <c r="F206" i="76" s="1"/>
  <c r="F19" i="96" s="1"/>
  <c r="R65" i="76" a="1"/>
  <c r="R65" i="76" s="1"/>
  <c r="R96" i="76" s="1" a="1"/>
  <c r="R96" i="76" s="1"/>
  <c r="R139" i="76" s="1" a="1"/>
  <c r="R139" i="76" s="1"/>
  <c r="R169" i="76" s="1" a="1"/>
  <c r="R169" i="76" s="1"/>
  <c r="Q139" i="76" a="1"/>
  <c r="Q139" i="76" s="1"/>
  <c r="Q169" i="76" s="1" a="1"/>
  <c r="Q169" i="76" s="1"/>
  <c r="D139" i="76" a="1"/>
  <c r="D139" i="76" s="1"/>
  <c r="D206" i="76" s="1" a="1"/>
  <c r="D206" i="76" s="1"/>
  <c r="G139" i="76" a="1"/>
  <c r="G139" i="76" s="1"/>
  <c r="G206" i="76" s="1" a="1"/>
  <c r="G206" i="76" s="1"/>
  <c r="E139" i="76" a="1"/>
  <c r="E139" i="76" s="1"/>
  <c r="N139" i="76" a="1"/>
  <c r="N139" i="76" s="1"/>
  <c r="O139" i="76" a="1"/>
  <c r="O139" i="76" s="1"/>
  <c r="P139" i="76" a="1"/>
  <c r="P139" i="76" s="1"/>
  <c r="G139" i="70"/>
  <c r="F139" i="70"/>
  <c r="E139" i="70"/>
  <c r="G144" i="70"/>
  <c r="F144" i="70"/>
  <c r="E144" i="70"/>
  <c r="G169" i="76" l="1" a="1"/>
  <c r="G169" i="76" s="1"/>
  <c r="G19" i="96" s="1"/>
  <c r="H169" i="76" a="1"/>
  <c r="H169" i="76" s="1"/>
  <c r="H206" i="76" a="1"/>
  <c r="H206" i="76" s="1"/>
  <c r="H19" i="96" s="1"/>
  <c r="U31" i="96" s="1" a="1"/>
  <c r="U31" i="96" s="1"/>
  <c r="F169" i="76" a="1"/>
  <c r="F169" i="76" s="1"/>
  <c r="D169" i="76" a="1"/>
  <c r="D169" i="76" s="1"/>
  <c r="D19" i="96" s="1"/>
  <c r="Q31" i="96" s="1" a="1"/>
  <c r="Q31" i="96" s="1"/>
  <c r="R206" i="76" a="1"/>
  <c r="R206" i="76" s="1"/>
  <c r="T236" i="76" s="1" a="1"/>
  <c r="T236" i="76" s="1"/>
  <c r="T31" i="96" a="1"/>
  <c r="T31" i="96" s="1"/>
  <c r="I31" i="96" a="1"/>
  <c r="I31" i="96" s="1"/>
  <c r="S31" i="96" a="1"/>
  <c r="S31" i="96" s="1"/>
  <c r="H31" i="96" a="1"/>
  <c r="H31" i="96" s="1"/>
  <c r="Q206" i="76" a="1"/>
  <c r="Q206" i="76" s="1"/>
  <c r="J239" i="76" a="1"/>
  <c r="J239" i="76" s="1"/>
  <c r="J241" i="76" a="1"/>
  <c r="J241" i="76" s="1"/>
  <c r="F243" i="76" a="1"/>
  <c r="F243" i="76" s="1"/>
  <c r="F239" i="76" a="1"/>
  <c r="F239" i="76" s="1"/>
  <c r="F237" i="76" a="1"/>
  <c r="F237" i="76" s="1"/>
  <c r="H243" i="76" a="1"/>
  <c r="H243" i="76" s="1"/>
  <c r="H242" i="76" a="1"/>
  <c r="H242" i="76" s="1"/>
  <c r="H241" i="76" a="1"/>
  <c r="H241" i="76" s="1"/>
  <c r="H239" i="76" a="1"/>
  <c r="H239" i="76" s="1"/>
  <c r="H237" i="76" a="1"/>
  <c r="H237" i="76" s="1"/>
  <c r="H236" i="76" a="1"/>
  <c r="H236" i="76" s="1"/>
  <c r="H240" i="76" a="1"/>
  <c r="H240" i="76" s="1"/>
  <c r="H238" i="76" a="1"/>
  <c r="H238" i="76" s="1"/>
  <c r="S243" i="76" a="1"/>
  <c r="S243" i="76" s="1"/>
  <c r="S241" i="76" a="1"/>
  <c r="S241" i="76" s="1"/>
  <c r="S236" i="76" a="1"/>
  <c r="S236" i="76" s="1"/>
  <c r="S239" i="76" a="1"/>
  <c r="S239" i="76" s="1"/>
  <c r="S238" i="76" a="1"/>
  <c r="S238" i="76" s="1"/>
  <c r="S240" i="76" a="1"/>
  <c r="S240" i="76" s="1"/>
  <c r="S237" i="76" a="1"/>
  <c r="S237" i="76" s="1"/>
  <c r="S242" i="76" a="1"/>
  <c r="S242" i="76" s="1"/>
  <c r="I243" i="76" a="1"/>
  <c r="I243" i="76" s="1"/>
  <c r="I242" i="76" a="1"/>
  <c r="I242" i="76" s="1"/>
  <c r="I241" i="76" a="1"/>
  <c r="I241" i="76" s="1"/>
  <c r="I240" i="76" a="1"/>
  <c r="I240" i="76" s="1"/>
  <c r="I239" i="76" a="1"/>
  <c r="I239" i="76" s="1"/>
  <c r="I238" i="76" a="1"/>
  <c r="I238" i="76" s="1"/>
  <c r="I237" i="76" a="1"/>
  <c r="I237" i="76" s="1"/>
  <c r="I236" i="76" a="1"/>
  <c r="I236" i="76" s="1"/>
  <c r="O169" i="76" a="1"/>
  <c r="O169" i="76" s="1"/>
  <c r="O206" i="76" a="1"/>
  <c r="O206" i="76" s="1"/>
  <c r="E169" i="76" a="1"/>
  <c r="E169" i="76" s="1"/>
  <c r="E19" i="96" s="1"/>
  <c r="E206" i="76" a="1"/>
  <c r="E206" i="76" s="1"/>
  <c r="N169" i="76" a="1"/>
  <c r="N169" i="76" s="1"/>
  <c r="N206" i="76" a="1"/>
  <c r="N206" i="76" s="1"/>
  <c r="P169" i="76" a="1"/>
  <c r="P169" i="76" s="1"/>
  <c r="P206" i="76" a="1"/>
  <c r="P206" i="76" s="1"/>
  <c r="T239" i="76" l="1" a="1"/>
  <c r="T239" i="76" s="1"/>
  <c r="F238" i="76" a="1"/>
  <c r="F238" i="76" s="1"/>
  <c r="T240" i="76" a="1"/>
  <c r="T240" i="76" s="1"/>
  <c r="T238" i="76" a="1"/>
  <c r="T238" i="76" s="1"/>
  <c r="T243" i="76" a="1"/>
  <c r="T243" i="76" s="1"/>
  <c r="J236" i="76" a="1"/>
  <c r="J236" i="76" s="1"/>
  <c r="J19" i="82" s="1"/>
  <c r="J40" i="82" s="1" a="1"/>
  <c r="J40" i="82" s="1"/>
  <c r="F31" i="96" a="1"/>
  <c r="F31" i="96" s="1"/>
  <c r="F23" i="98" s="1"/>
  <c r="F28" i="98" s="1" a="1"/>
  <c r="F28" i="98" s="1"/>
  <c r="J242" i="76" a="1"/>
  <c r="J242" i="76" s="1"/>
  <c r="J277" i="76" s="1" a="1"/>
  <c r="J277" i="76" s="1"/>
  <c r="T242" i="76" a="1"/>
  <c r="T242" i="76" s="1"/>
  <c r="J31" i="96" a="1"/>
  <c r="J31" i="96" s="1"/>
  <c r="J51" i="96" s="1" a="1"/>
  <c r="J51" i="96" s="1"/>
  <c r="T241" i="76" a="1"/>
  <c r="T241" i="76" s="1"/>
  <c r="U24" i="82" s="1"/>
  <c r="U45" i="82" s="1" a="1"/>
  <c r="U45" i="82" s="1"/>
  <c r="J243" i="76" a="1"/>
  <c r="J243" i="76" s="1"/>
  <c r="J24" i="95" s="1"/>
  <c r="J30" i="95" s="1" a="1"/>
  <c r="J30" i="95" s="1"/>
  <c r="J50" i="95" s="1" a="1"/>
  <c r="J50" i="95" s="1"/>
  <c r="J240" i="76" a="1"/>
  <c r="J240" i="76" s="1"/>
  <c r="J23" i="82" s="1"/>
  <c r="J44" i="82" s="1" a="1"/>
  <c r="J44" i="82" s="1"/>
  <c r="J238" i="76" a="1"/>
  <c r="J238" i="76" s="1"/>
  <c r="J21" i="82" s="1"/>
  <c r="J42" i="82" s="1" a="1"/>
  <c r="J42" i="82" s="1"/>
  <c r="F236" i="76" a="1"/>
  <c r="F236" i="76" s="1"/>
  <c r="F271" i="76" s="1" a="1"/>
  <c r="F271" i="76" s="1"/>
  <c r="J237" i="76" a="1"/>
  <c r="J237" i="76" s="1"/>
  <c r="J24" i="81" s="1"/>
  <c r="F240" i="76" a="1"/>
  <c r="F240" i="76" s="1"/>
  <c r="F275" i="76" s="1" a="1"/>
  <c r="F275" i="76" s="1"/>
  <c r="F241" i="76" a="1"/>
  <c r="F241" i="76" s="1"/>
  <c r="F28" i="81" s="1"/>
  <c r="F242" i="76" a="1"/>
  <c r="F242" i="76" s="1"/>
  <c r="F25" i="82" s="1"/>
  <c r="F46" i="82" s="1" a="1"/>
  <c r="F46" i="82" s="1"/>
  <c r="T237" i="76" a="1"/>
  <c r="T237" i="76" s="1"/>
  <c r="U24" i="81" s="1"/>
  <c r="H23" i="98"/>
  <c r="H28" i="98" s="1" a="1"/>
  <c r="H28" i="98" s="1"/>
  <c r="H19" i="97"/>
  <c r="H24" i="97" s="1" a="1"/>
  <c r="H24" i="97" s="1"/>
  <c r="S23" i="98"/>
  <c r="S28" i="98" s="1" a="1"/>
  <c r="S28" i="98" s="1"/>
  <c r="S19" i="97"/>
  <c r="S24" i="97" s="1" a="1"/>
  <c r="S24" i="97" s="1"/>
  <c r="Q23" i="98"/>
  <c r="Q28" i="98" s="1" a="1"/>
  <c r="Q28" i="98" s="1"/>
  <c r="Q19" i="97"/>
  <c r="Q24" i="97" s="1" a="1"/>
  <c r="Q24" i="97" s="1"/>
  <c r="U23" i="98"/>
  <c r="U28" i="98" s="1" a="1"/>
  <c r="U28" i="98" s="1"/>
  <c r="U19" i="97"/>
  <c r="U24" i="97" s="1" a="1"/>
  <c r="U24" i="97" s="1"/>
  <c r="I19" i="97"/>
  <c r="I24" i="97" s="1" a="1"/>
  <c r="I24" i="97" s="1"/>
  <c r="I23" i="98"/>
  <c r="I28" i="98" s="1" a="1"/>
  <c r="I28" i="98" s="1"/>
  <c r="T23" i="98"/>
  <c r="T28" i="98" s="1" a="1"/>
  <c r="T28" i="98" s="1"/>
  <c r="T19" i="97"/>
  <c r="T24" i="97" s="1" a="1"/>
  <c r="T24" i="97" s="1"/>
  <c r="H51" i="96" a="1"/>
  <c r="H51" i="96" s="1"/>
  <c r="S51" i="96" a="1"/>
  <c r="S51" i="96" s="1"/>
  <c r="Q51" i="96" a="1"/>
  <c r="Q51" i="96" s="1"/>
  <c r="U51" i="96" a="1"/>
  <c r="U51" i="96" s="1"/>
  <c r="I51" i="96" a="1"/>
  <c r="I51" i="96" s="1"/>
  <c r="T51" i="96" a="1"/>
  <c r="T51" i="96" s="1"/>
  <c r="R31" i="96" a="1"/>
  <c r="R31" i="96" s="1"/>
  <c r="G31" i="96" a="1"/>
  <c r="G31" i="96" s="1"/>
  <c r="H24" i="82"/>
  <c r="H45" i="82" s="1" a="1"/>
  <c r="H45" i="82" s="1"/>
  <c r="H28" i="81"/>
  <c r="T25" i="82"/>
  <c r="T46" i="82" s="1" a="1"/>
  <c r="T46" i="82" s="1"/>
  <c r="T29" i="81"/>
  <c r="H29" i="81"/>
  <c r="H25" i="82"/>
  <c r="H46" i="82" s="1" a="1"/>
  <c r="H46" i="82" s="1"/>
  <c r="U25" i="82"/>
  <c r="U46" i="82" s="1" a="1"/>
  <c r="U46" i="82" s="1"/>
  <c r="U29" i="81"/>
  <c r="H24" i="95"/>
  <c r="H30" i="95" s="1" a="1"/>
  <c r="H30" i="95" s="1"/>
  <c r="H50" i="95" s="1" a="1"/>
  <c r="H50" i="95" s="1"/>
  <c r="H30" i="81"/>
  <c r="H26" i="82"/>
  <c r="H47" i="82" s="1" a="1"/>
  <c r="H47" i="82" s="1"/>
  <c r="T24" i="81"/>
  <c r="T20" i="82"/>
  <c r="T41" i="82" s="1" a="1"/>
  <c r="T41" i="82" s="1"/>
  <c r="U23" i="95"/>
  <c r="U29" i="95" s="1" a="1"/>
  <c r="U29" i="95" s="1"/>
  <c r="U49" i="95" s="1" a="1"/>
  <c r="U49" i="95" s="1"/>
  <c r="U26" i="81"/>
  <c r="U22" i="82"/>
  <c r="U43" i="82" s="1" a="1"/>
  <c r="U43" i="82" s="1"/>
  <c r="T27" i="81"/>
  <c r="T23" i="82"/>
  <c r="T44" i="82" s="1" a="1"/>
  <c r="T44" i="82" s="1"/>
  <c r="F20" i="82"/>
  <c r="F41" i="82" s="1" a="1"/>
  <c r="F41" i="82" s="1"/>
  <c r="F24" i="81"/>
  <c r="U23" i="81"/>
  <c r="U19" i="82"/>
  <c r="U40" i="82" s="1" a="1"/>
  <c r="U40" i="82" s="1"/>
  <c r="U28" i="81"/>
  <c r="J29" i="81"/>
  <c r="J25" i="82"/>
  <c r="J46" i="82" s="1" a="1"/>
  <c r="J46" i="82" s="1"/>
  <c r="T23" i="81"/>
  <c r="T19" i="82"/>
  <c r="T40" i="82" s="1" a="1"/>
  <c r="T40" i="82" s="1"/>
  <c r="F25" i="81"/>
  <c r="F21" i="82"/>
  <c r="F42" i="82" s="1" a="1"/>
  <c r="F42" i="82" s="1"/>
  <c r="I24" i="95"/>
  <c r="I30" i="95" s="1" a="1"/>
  <c r="I30" i="95" s="1"/>
  <c r="I50" i="95" s="1" a="1"/>
  <c r="I50" i="95" s="1"/>
  <c r="I26" i="82"/>
  <c r="I47" i="82" s="1" a="1"/>
  <c r="I47" i="82" s="1"/>
  <c r="I30" i="81"/>
  <c r="F23" i="95"/>
  <c r="F29" i="95" s="1" a="1"/>
  <c r="F29" i="95" s="1"/>
  <c r="F49" i="95" s="1" a="1"/>
  <c r="F49" i="95" s="1"/>
  <c r="F22" i="82"/>
  <c r="F43" i="82" s="1" a="1"/>
  <c r="F43" i="82" s="1"/>
  <c r="F26" i="81"/>
  <c r="I24" i="81"/>
  <c r="I20" i="82"/>
  <c r="I41" i="82" s="1" a="1"/>
  <c r="I41" i="82" s="1"/>
  <c r="T24" i="95"/>
  <c r="T30" i="95" s="1" a="1"/>
  <c r="T30" i="95" s="1"/>
  <c r="T50" i="95" s="1" a="1"/>
  <c r="T50" i="95" s="1"/>
  <c r="T26" i="82"/>
  <c r="T47" i="82" s="1" a="1"/>
  <c r="T47" i="82" s="1"/>
  <c r="T30" i="81"/>
  <c r="J28" i="81"/>
  <c r="J24" i="82"/>
  <c r="J45" i="82" s="1" a="1"/>
  <c r="J45" i="82" s="1"/>
  <c r="I25" i="81"/>
  <c r="I21" i="82"/>
  <c r="I42" i="82" s="1" a="1"/>
  <c r="I42" i="82" s="1"/>
  <c r="H21" i="82"/>
  <c r="H42" i="82" s="1" a="1"/>
  <c r="H42" i="82" s="1"/>
  <c r="H25" i="81"/>
  <c r="F29" i="81"/>
  <c r="J23" i="81"/>
  <c r="T25" i="81"/>
  <c r="T21" i="82"/>
  <c r="T42" i="82" s="1" a="1"/>
  <c r="T42" i="82" s="1"/>
  <c r="T24" i="82"/>
  <c r="T45" i="82" s="1" a="1"/>
  <c r="T45" i="82" s="1"/>
  <c r="T28" i="81"/>
  <c r="I23" i="95"/>
  <c r="I29" i="95" s="1" a="1"/>
  <c r="I29" i="95" s="1"/>
  <c r="I49" i="95" s="1" a="1"/>
  <c r="I49" i="95" s="1"/>
  <c r="I26" i="81"/>
  <c r="I22" i="82"/>
  <c r="I43" i="82" s="1" a="1"/>
  <c r="I43" i="82" s="1"/>
  <c r="H27" i="81"/>
  <c r="H23" i="82"/>
  <c r="H44" i="82" s="1" a="1"/>
  <c r="H44" i="82" s="1"/>
  <c r="F24" i="95"/>
  <c r="F30" i="95" s="1" a="1"/>
  <c r="F30" i="95" s="1"/>
  <c r="F50" i="95" s="1" a="1"/>
  <c r="F50" i="95" s="1"/>
  <c r="F26" i="82"/>
  <c r="F47" i="82" s="1" a="1"/>
  <c r="F47" i="82" s="1"/>
  <c r="F30" i="81"/>
  <c r="H23" i="81"/>
  <c r="H19" i="82"/>
  <c r="H40" i="82" s="1" a="1"/>
  <c r="H40" i="82" s="1"/>
  <c r="U27" i="81"/>
  <c r="U23" i="82"/>
  <c r="U44" i="82" s="1" a="1"/>
  <c r="U44" i="82" s="1"/>
  <c r="I23" i="81"/>
  <c r="I19" i="82"/>
  <c r="I40" i="82" s="1" a="1"/>
  <c r="I40" i="82" s="1"/>
  <c r="I27" i="81"/>
  <c r="I23" i="82"/>
  <c r="I44" i="82" s="1" a="1"/>
  <c r="I44" i="82" s="1"/>
  <c r="I28" i="81"/>
  <c r="I24" i="82"/>
  <c r="I45" i="82" s="1" a="1"/>
  <c r="I45" i="82" s="1"/>
  <c r="H20" i="82"/>
  <c r="H41" i="82" s="1" a="1"/>
  <c r="H41" i="82" s="1"/>
  <c r="H24" i="81"/>
  <c r="U21" i="82"/>
  <c r="U42" i="82" s="1" a="1"/>
  <c r="U42" i="82" s="1"/>
  <c r="U25" i="81"/>
  <c r="J23" i="95"/>
  <c r="J29" i="95" s="1" a="1"/>
  <c r="J29" i="95" s="1"/>
  <c r="J49" i="95" s="1" a="1"/>
  <c r="J49" i="95" s="1"/>
  <c r="J22" i="82"/>
  <c r="J43" i="82" s="1" a="1"/>
  <c r="J43" i="82" s="1"/>
  <c r="J26" i="81"/>
  <c r="T23" i="95"/>
  <c r="T29" i="95" s="1" a="1"/>
  <c r="T29" i="95" s="1"/>
  <c r="T49" i="95" s="1" a="1"/>
  <c r="T49" i="95" s="1"/>
  <c r="T22" i="82"/>
  <c r="T43" i="82" s="1" a="1"/>
  <c r="T43" i="82" s="1"/>
  <c r="T26" i="81"/>
  <c r="I29" i="81"/>
  <c r="I25" i="82"/>
  <c r="I46" i="82" s="1" a="1"/>
  <c r="I46" i="82" s="1"/>
  <c r="H23" i="95"/>
  <c r="H29" i="95" s="1" a="1"/>
  <c r="H29" i="95" s="1"/>
  <c r="H49" i="95" s="1" a="1"/>
  <c r="H49" i="95" s="1"/>
  <c r="H26" i="81"/>
  <c r="H22" i="82"/>
  <c r="H43" i="82" s="1" a="1"/>
  <c r="H43" i="82" s="1"/>
  <c r="U24" i="95"/>
  <c r="U30" i="95" s="1" a="1"/>
  <c r="U30" i="95" s="1"/>
  <c r="U50" i="95" s="1" a="1"/>
  <c r="U50" i="95" s="1"/>
  <c r="U30" i="81"/>
  <c r="U26" i="82"/>
  <c r="U47" i="82" s="1" a="1"/>
  <c r="U47" i="82" s="1"/>
  <c r="I277" i="76" a="1"/>
  <c r="I277" i="76" s="1"/>
  <c r="H274" i="76" a="1"/>
  <c r="H274" i="76" s="1"/>
  <c r="T278" i="76" a="1"/>
  <c r="T278" i="76" s="1"/>
  <c r="I278" i="76" a="1"/>
  <c r="I278" i="76" s="1"/>
  <c r="H276" i="76" a="1"/>
  <c r="H276" i="76" s="1"/>
  <c r="F274" i="76" a="1"/>
  <c r="F274" i="76" s="1"/>
  <c r="T276" i="76" a="1"/>
  <c r="T276" i="76" s="1"/>
  <c r="H277" i="76" a="1"/>
  <c r="H277" i="76" s="1"/>
  <c r="P240" i="76" a="1"/>
  <c r="P240" i="76" s="1"/>
  <c r="P238" i="76" a="1"/>
  <c r="P238" i="76" s="1"/>
  <c r="P243" i="76" a="1"/>
  <c r="P243" i="76" s="1"/>
  <c r="P241" i="76" a="1"/>
  <c r="P241" i="76" s="1"/>
  <c r="P236" i="76" a="1"/>
  <c r="P236" i="76" s="1"/>
  <c r="P239" i="76" a="1"/>
  <c r="P239" i="76" s="1"/>
  <c r="P242" i="76" a="1"/>
  <c r="P242" i="76" s="1"/>
  <c r="P237" i="76" a="1"/>
  <c r="P237" i="76" s="1"/>
  <c r="S275" i="76" a="1"/>
  <c r="S275" i="76" s="1"/>
  <c r="F272" i="76" a="1"/>
  <c r="F272" i="76" s="1"/>
  <c r="F273" i="76" a="1"/>
  <c r="F273" i="76" s="1"/>
  <c r="S276" i="76" a="1"/>
  <c r="S276" i="76" s="1"/>
  <c r="S277" i="76" a="1"/>
  <c r="S277" i="76" s="1"/>
  <c r="T277" i="76" a="1"/>
  <c r="T277" i="76" s="1"/>
  <c r="H278" i="76" a="1"/>
  <c r="H278" i="76" s="1"/>
  <c r="S278" i="76" a="1"/>
  <c r="S278" i="76" s="1"/>
  <c r="J276" i="76" a="1"/>
  <c r="J276" i="76" s="1"/>
  <c r="I273" i="76" a="1"/>
  <c r="I273" i="76" s="1"/>
  <c r="H273" i="76" a="1"/>
  <c r="H273" i="76" s="1"/>
  <c r="F277" i="76" a="1"/>
  <c r="F277" i="76" s="1"/>
  <c r="J271" i="76" a="1"/>
  <c r="J271" i="76" s="1"/>
  <c r="S273" i="76" a="1"/>
  <c r="S273" i="76" s="1"/>
  <c r="S271" i="76" a="1"/>
  <c r="S271" i="76" s="1"/>
  <c r="I272" i="76" a="1"/>
  <c r="I272" i="76" s="1"/>
  <c r="F278" i="76" a="1"/>
  <c r="F278" i="76" s="1"/>
  <c r="G238" i="76" a="1"/>
  <c r="G238" i="76" s="1"/>
  <c r="G237" i="76" a="1"/>
  <c r="G237" i="76" s="1"/>
  <c r="G236" i="76" a="1"/>
  <c r="G236" i="76" s="1"/>
  <c r="G243" i="76" a="1"/>
  <c r="G243" i="76" s="1"/>
  <c r="G240" i="76" a="1"/>
  <c r="G240" i="76" s="1"/>
  <c r="G239" i="76" a="1"/>
  <c r="G239" i="76" s="1"/>
  <c r="G241" i="76" a="1"/>
  <c r="G241" i="76" s="1"/>
  <c r="G242" i="76" a="1"/>
  <c r="G242" i="76" s="1"/>
  <c r="I271" i="76" a="1"/>
  <c r="I271" i="76" s="1"/>
  <c r="I274" i="76" a="1"/>
  <c r="I274" i="76" s="1"/>
  <c r="I275" i="76" a="1"/>
  <c r="I275" i="76" s="1"/>
  <c r="T275" i="76" a="1"/>
  <c r="T275" i="76" s="1"/>
  <c r="J273" i="76" a="1"/>
  <c r="J273" i="76" s="1"/>
  <c r="S272" i="76" a="1"/>
  <c r="S272" i="76" s="1"/>
  <c r="T274" i="76" a="1"/>
  <c r="T274" i="76" s="1"/>
  <c r="T271" i="76" a="1"/>
  <c r="T271" i="76" s="1"/>
  <c r="S274" i="76" a="1"/>
  <c r="S274" i="76" s="1"/>
  <c r="Q243" i="76" a="1"/>
  <c r="Q243" i="76" s="1"/>
  <c r="Q238" i="76" a="1"/>
  <c r="Q238" i="76" s="1"/>
  <c r="Q241" i="76" a="1"/>
  <c r="Q241" i="76" s="1"/>
  <c r="Q236" i="76" a="1"/>
  <c r="Q236" i="76" s="1"/>
  <c r="Q240" i="76" a="1"/>
  <c r="Q240" i="76" s="1"/>
  <c r="Q242" i="76" a="1"/>
  <c r="Q242" i="76" s="1"/>
  <c r="Q239" i="76" a="1"/>
  <c r="Q239" i="76" s="1"/>
  <c r="Q237" i="76" a="1"/>
  <c r="Q237" i="76" s="1"/>
  <c r="H275" i="76" a="1"/>
  <c r="H275" i="76" s="1"/>
  <c r="R243" i="76" a="1"/>
  <c r="R243" i="76" s="1"/>
  <c r="R238" i="76" a="1"/>
  <c r="R238" i="76" s="1"/>
  <c r="R241" i="76" a="1"/>
  <c r="R241" i="76" s="1"/>
  <c r="R236" i="76" a="1"/>
  <c r="R236" i="76" s="1"/>
  <c r="R239" i="76" a="1"/>
  <c r="R239" i="76" s="1"/>
  <c r="R237" i="76" a="1"/>
  <c r="R237" i="76" s="1"/>
  <c r="R240" i="76" a="1"/>
  <c r="R240" i="76" s="1"/>
  <c r="R242" i="76" a="1"/>
  <c r="R242" i="76" s="1"/>
  <c r="H271" i="76" a="1"/>
  <c r="H271" i="76" s="1"/>
  <c r="I276" i="76" a="1"/>
  <c r="I276" i="76" s="1"/>
  <c r="H272" i="76" a="1"/>
  <c r="H272" i="76" s="1"/>
  <c r="T273" i="76" a="1"/>
  <c r="T273" i="76" s="1"/>
  <c r="J274" i="76" a="1"/>
  <c r="J274" i="76" s="1"/>
  <c r="A24" i="13"/>
  <c r="A22" i="13"/>
  <c r="A23" i="13"/>
  <c r="A7" i="13"/>
  <c r="A4" i="13"/>
  <c r="A3" i="13"/>
  <c r="J23" i="98" l="1"/>
  <c r="J28" i="98" s="1" a="1"/>
  <c r="J28" i="98" s="1"/>
  <c r="U20" i="82"/>
  <c r="U41" i="82" s="1" a="1"/>
  <c r="U41" i="82" s="1"/>
  <c r="J19" i="97"/>
  <c r="J24" i="97" s="1" a="1"/>
  <c r="J24" i="97" s="1"/>
  <c r="J25" i="81"/>
  <c r="F23" i="81"/>
  <c r="J278" i="76" a="1"/>
  <c r="J278" i="76" s="1"/>
  <c r="F19" i="82"/>
  <c r="F40" i="82" s="1" a="1"/>
  <c r="F40" i="82" s="1"/>
  <c r="J275" i="76" a="1"/>
  <c r="J275" i="76" s="1"/>
  <c r="F51" i="96" a="1"/>
  <c r="F51" i="96" s="1"/>
  <c r="F19" i="97"/>
  <c r="F24" i="97" s="1" a="1"/>
  <c r="F24" i="97" s="1"/>
  <c r="T272" i="76" a="1"/>
  <c r="T272" i="76" s="1"/>
  <c r="J27" i="81"/>
  <c r="J39" i="81" s="1" a="1"/>
  <c r="J39" i="81" s="1"/>
  <c r="J127" i="81" s="1" a="1"/>
  <c r="J127" i="81" s="1"/>
  <c r="F276" i="76" a="1"/>
  <c r="F276" i="76" s="1"/>
  <c r="F24" i="82"/>
  <c r="F45" i="82" s="1" a="1"/>
  <c r="F45" i="82" s="1"/>
  <c r="J272" i="76" a="1"/>
  <c r="J272" i="76" s="1"/>
  <c r="F27" i="81"/>
  <c r="F39" i="81" s="1" a="1"/>
  <c r="F39" i="81" s="1"/>
  <c r="F127" i="81" s="1" a="1"/>
  <c r="F127" i="81" s="1"/>
  <c r="F23" i="82"/>
  <c r="F44" i="82" s="1" a="1"/>
  <c r="F44" i="82" s="1"/>
  <c r="J30" i="81"/>
  <c r="J20" i="82"/>
  <c r="J41" i="82" s="1" a="1"/>
  <c r="J41" i="82" s="1"/>
  <c r="J26" i="82"/>
  <c r="J47" i="82" s="1" a="1"/>
  <c r="J47" i="82" s="1"/>
  <c r="G23" i="98"/>
  <c r="G28" i="98" s="1" a="1"/>
  <c r="G28" i="98" s="1"/>
  <c r="G19" i="97"/>
  <c r="G24" i="97" s="1" a="1"/>
  <c r="G24" i="97" s="1"/>
  <c r="R23" i="98"/>
  <c r="R28" i="98" s="1" a="1"/>
  <c r="R28" i="98" s="1"/>
  <c r="P30" i="98" s="1"/>
  <c r="S43" i="98" s="1"/>
  <c r="P47" i="98" s="1" a="1"/>
  <c r="P47" i="98" s="1"/>
  <c r="R19" i="97"/>
  <c r="R24" i="97" s="1" a="1"/>
  <c r="R24" i="97" s="1"/>
  <c r="P26" i="97" s="1"/>
  <c r="S38" i="97" s="1"/>
  <c r="P45" i="97" s="1" a="1"/>
  <c r="P45" i="97" s="1"/>
  <c r="G51" i="96" a="1"/>
  <c r="G51" i="96" s="1"/>
  <c r="R51" i="96" a="1"/>
  <c r="R51" i="96" s="1"/>
  <c r="P53" i="96" s="1"/>
  <c r="R23" i="81"/>
  <c r="R19" i="82"/>
  <c r="R40" i="82" s="1" a="1"/>
  <c r="R40" i="82" s="1"/>
  <c r="G24" i="95"/>
  <c r="G30" i="95" s="1" a="1"/>
  <c r="G30" i="95" s="1"/>
  <c r="G50" i="95" s="1" a="1"/>
  <c r="G50" i="95" s="1"/>
  <c r="G26" i="82"/>
  <c r="G47" i="82" s="1" a="1"/>
  <c r="G47" i="82" s="1"/>
  <c r="G30" i="81"/>
  <c r="Q21" i="82"/>
  <c r="Q42" i="82" s="1" a="1"/>
  <c r="Q42" i="82" s="1"/>
  <c r="Q25" i="81"/>
  <c r="T38" i="81" a="1"/>
  <c r="T38" i="81" s="1"/>
  <c r="T160" i="81" s="1" a="1"/>
  <c r="T160" i="81" s="1"/>
  <c r="S27" i="81"/>
  <c r="S23" i="82"/>
  <c r="S44" i="82" s="1" a="1"/>
  <c r="S44" i="82" s="1"/>
  <c r="S24" i="81"/>
  <c r="S20" i="82"/>
  <c r="S41" i="82" s="1" a="1"/>
  <c r="S41" i="82" s="1"/>
  <c r="R21" i="82"/>
  <c r="R42" i="82" s="1" a="1"/>
  <c r="R42" i="82" s="1"/>
  <c r="R25" i="81"/>
  <c r="G24" i="81"/>
  <c r="G20" i="82"/>
  <c r="G41" i="82" s="1" a="1"/>
  <c r="G41" i="82" s="1"/>
  <c r="H39" i="81" a="1"/>
  <c r="H39" i="81" s="1"/>
  <c r="H191" i="81" s="1" a="1"/>
  <c r="H191" i="81" s="1"/>
  <c r="I42" i="81" a="1"/>
  <c r="I42" i="81" s="1"/>
  <c r="I164" i="81" s="1" a="1"/>
  <c r="I164" i="81" s="1"/>
  <c r="T36" i="81" a="1"/>
  <c r="T36" i="81" s="1"/>
  <c r="T158" i="81" s="1" a="1"/>
  <c r="T158" i="81" s="1"/>
  <c r="J38" i="81" a="1"/>
  <c r="J38" i="81" s="1"/>
  <c r="J160" i="81" s="1" a="1"/>
  <c r="J160" i="81" s="1"/>
  <c r="J37" i="81" a="1"/>
  <c r="J37" i="81" s="1"/>
  <c r="J189" i="81" s="1" a="1"/>
  <c r="J189" i="81" s="1"/>
  <c r="I37" i="81" a="1"/>
  <c r="I37" i="81" s="1"/>
  <c r="I125" i="81" s="1" a="1"/>
  <c r="I125" i="81" s="1"/>
  <c r="J41" i="81" a="1"/>
  <c r="J41" i="81" s="1"/>
  <c r="J163" i="81" s="1" a="1"/>
  <c r="J163" i="81" s="1"/>
  <c r="S29" i="81"/>
  <c r="S25" i="82"/>
  <c r="S46" i="82" s="1" a="1"/>
  <c r="S46" i="82" s="1"/>
  <c r="S23" i="95"/>
  <c r="S29" i="95" s="1" a="1"/>
  <c r="S29" i="95" s="1"/>
  <c r="S49" i="95" s="1" a="1"/>
  <c r="S49" i="95" s="1"/>
  <c r="S26" i="81"/>
  <c r="S22" i="82"/>
  <c r="S43" i="82" s="1" a="1"/>
  <c r="S43" i="82" s="1"/>
  <c r="R24" i="95"/>
  <c r="R30" i="95" s="1" a="1"/>
  <c r="R30" i="95" s="1"/>
  <c r="R50" i="95" s="1" a="1"/>
  <c r="R50" i="95" s="1"/>
  <c r="R26" i="82"/>
  <c r="R47" i="82" s="1" a="1"/>
  <c r="R47" i="82" s="1"/>
  <c r="R30" i="81"/>
  <c r="G25" i="81"/>
  <c r="G21" i="82"/>
  <c r="G42" i="82" s="1" a="1"/>
  <c r="G42" i="82" s="1"/>
  <c r="S23" i="81"/>
  <c r="S19" i="82"/>
  <c r="S40" i="82" s="1" a="1"/>
  <c r="S40" i="82" s="1"/>
  <c r="I38" i="81" a="1"/>
  <c r="I38" i="81" s="1"/>
  <c r="I96" i="81" s="1" a="1"/>
  <c r="I96" i="81" s="1"/>
  <c r="U40" i="81" a="1"/>
  <c r="U40" i="81" s="1"/>
  <c r="U192" i="81" s="1" a="1"/>
  <c r="U192" i="81" s="1"/>
  <c r="H42" i="81" a="1"/>
  <c r="H42" i="81" s="1"/>
  <c r="H194" i="81" s="1" a="1"/>
  <c r="H194" i="81" s="1"/>
  <c r="U39" i="81" a="1"/>
  <c r="U39" i="81" s="1"/>
  <c r="U191" i="81" s="1" a="1"/>
  <c r="U191" i="81" s="1"/>
  <c r="J40" i="81" a="1"/>
  <c r="J40" i="81" s="1"/>
  <c r="J98" i="81" s="1" a="1"/>
  <c r="J98" i="81" s="1"/>
  <c r="U37" i="81" a="1"/>
  <c r="U37" i="81" s="1"/>
  <c r="U189" i="81" s="1" a="1"/>
  <c r="U189" i="81" s="1"/>
  <c r="T40" i="81" a="1"/>
  <c r="T40" i="81" s="1"/>
  <c r="T162" i="81" s="1" a="1"/>
  <c r="T162" i="81" s="1"/>
  <c r="U41" i="81" a="1"/>
  <c r="U41" i="81" s="1"/>
  <c r="U99" i="81" s="1" a="1"/>
  <c r="U99" i="81" s="1"/>
  <c r="S24" i="95"/>
  <c r="S30" i="95" s="1" a="1"/>
  <c r="S30" i="95" s="1"/>
  <c r="S50" i="95" s="1" a="1"/>
  <c r="S50" i="95" s="1"/>
  <c r="S30" i="81"/>
  <c r="S26" i="82"/>
  <c r="S47" i="82" s="1" a="1"/>
  <c r="S47" i="82" s="1"/>
  <c r="U42" i="81" a="1"/>
  <c r="U42" i="81" s="1"/>
  <c r="U100" i="81" s="1" a="1"/>
  <c r="U100" i="81" s="1"/>
  <c r="H35" i="81" a="1"/>
  <c r="H35" i="81" s="1"/>
  <c r="H187" i="81" s="1" a="1"/>
  <c r="H187" i="81" s="1"/>
  <c r="F40" i="81" a="1"/>
  <c r="F40" i="81" s="1"/>
  <c r="F98" i="81" s="1" a="1"/>
  <c r="F98" i="81" s="1"/>
  <c r="U35" i="81" a="1"/>
  <c r="U35" i="81" s="1"/>
  <c r="U157" i="81" s="1" a="1"/>
  <c r="U157" i="81" s="1"/>
  <c r="S25" i="81"/>
  <c r="S21" i="82"/>
  <c r="S42" i="82" s="1" a="1"/>
  <c r="S42" i="82" s="1"/>
  <c r="Q20" i="82"/>
  <c r="Q41" i="82" s="1" a="1"/>
  <c r="Q41" i="82" s="1"/>
  <c r="Q24" i="81"/>
  <c r="H36" i="81" a="1"/>
  <c r="H36" i="81" s="1"/>
  <c r="H124" i="81" s="1" a="1"/>
  <c r="H124" i="81" s="1"/>
  <c r="F35" i="81" a="1"/>
  <c r="F35" i="81" s="1"/>
  <c r="F187" i="81" s="1" a="1"/>
  <c r="F187" i="81" s="1"/>
  <c r="T42" i="81" a="1"/>
  <c r="T42" i="81" s="1"/>
  <c r="T194" i="81" s="1" a="1"/>
  <c r="T194" i="81" s="1"/>
  <c r="F36" i="81" a="1"/>
  <c r="F36" i="81" s="1"/>
  <c r="F158" i="81" s="1" a="1"/>
  <c r="F158" i="81" s="1"/>
  <c r="T37" i="81" a="1"/>
  <c r="T37" i="81" s="1"/>
  <c r="T125" i="81" s="1" a="1"/>
  <c r="T125" i="81" s="1"/>
  <c r="J42" i="81" a="1"/>
  <c r="J42" i="81" s="1"/>
  <c r="J194" i="81" s="1" a="1"/>
  <c r="J194" i="81" s="1"/>
  <c r="H41" i="81" a="1"/>
  <c r="H41" i="81" s="1"/>
  <c r="H163" i="81" s="1" a="1"/>
  <c r="H163" i="81" s="1"/>
  <c r="Q25" i="82"/>
  <c r="Q46" i="82" s="1" a="1"/>
  <c r="Q46" i="82" s="1"/>
  <c r="Q29" i="81"/>
  <c r="G25" i="82"/>
  <c r="G46" i="82" s="1" a="1"/>
  <c r="G46" i="82" s="1"/>
  <c r="G29" i="81"/>
  <c r="Q23" i="95"/>
  <c r="Q29" i="95" s="1" a="1"/>
  <c r="Q29" i="95" s="1"/>
  <c r="Q49" i="95" s="1" a="1"/>
  <c r="Q49" i="95" s="1"/>
  <c r="Q22" i="82"/>
  <c r="Q43" i="82" s="1" a="1"/>
  <c r="Q43" i="82" s="1"/>
  <c r="Q26" i="81"/>
  <c r="H38" i="81" a="1"/>
  <c r="H38" i="81" s="1"/>
  <c r="H160" i="81" s="1" a="1"/>
  <c r="H160" i="81" s="1"/>
  <c r="J35" i="81" a="1"/>
  <c r="J35" i="81" s="1"/>
  <c r="J187" i="81" s="1" a="1"/>
  <c r="J187" i="81" s="1"/>
  <c r="T41" i="81" a="1"/>
  <c r="T41" i="81" s="1"/>
  <c r="T193" i="81" s="1" a="1"/>
  <c r="T193" i="81" s="1"/>
  <c r="I40" i="81" a="1"/>
  <c r="I40" i="81" s="1"/>
  <c r="I128" i="81" s="1" a="1"/>
  <c r="I128" i="81" s="1"/>
  <c r="J36" i="81" a="1"/>
  <c r="J36" i="81" s="1"/>
  <c r="J188" i="81" s="1" a="1"/>
  <c r="J188" i="81" s="1"/>
  <c r="T39" i="81" a="1"/>
  <c r="T39" i="81" s="1"/>
  <c r="T191" i="81" s="1" a="1"/>
  <c r="T191" i="81" s="1"/>
  <c r="R20" i="82"/>
  <c r="R41" i="82" s="1" a="1"/>
  <c r="R41" i="82" s="1"/>
  <c r="R24" i="81"/>
  <c r="G28" i="81"/>
  <c r="G24" i="82"/>
  <c r="G45" i="82" s="1" a="1"/>
  <c r="G45" i="82" s="1"/>
  <c r="Q23" i="81"/>
  <c r="Q19" i="82"/>
  <c r="Q40" i="82" s="1" a="1"/>
  <c r="Q40" i="82" s="1"/>
  <c r="R29" i="81"/>
  <c r="R25" i="82"/>
  <c r="R46" i="82" s="1" a="1"/>
  <c r="R46" i="82" s="1"/>
  <c r="G23" i="95"/>
  <c r="G29" i="95" s="1" a="1"/>
  <c r="G29" i="95" s="1"/>
  <c r="G49" i="95" s="1" a="1"/>
  <c r="G49" i="95" s="1"/>
  <c r="G26" i="81"/>
  <c r="G22" i="82"/>
  <c r="G43" i="82" s="1" a="1"/>
  <c r="G43" i="82" s="1"/>
  <c r="Q24" i="82"/>
  <c r="Q45" i="82" s="1" a="1"/>
  <c r="Q45" i="82" s="1"/>
  <c r="Q28" i="81"/>
  <c r="F42" i="81" a="1"/>
  <c r="F42" i="81" s="1"/>
  <c r="F130" i="81" s="1" a="1"/>
  <c r="F130" i="81" s="1"/>
  <c r="I36" i="81" a="1"/>
  <c r="I36" i="81" s="1"/>
  <c r="I158" i="81" s="1" a="1"/>
  <c r="I158" i="81" s="1"/>
  <c r="U36" i="81" a="1"/>
  <c r="U36" i="81" s="1"/>
  <c r="U94" i="81" s="1" a="1"/>
  <c r="U94" i="81" s="1"/>
  <c r="R27" i="81"/>
  <c r="R23" i="82"/>
  <c r="R44" i="82" s="1" a="1"/>
  <c r="R44" i="82" s="1"/>
  <c r="G27" i="81"/>
  <c r="G23" i="82"/>
  <c r="G44" i="82" s="1" a="1"/>
  <c r="G44" i="82" s="1"/>
  <c r="Q24" i="95"/>
  <c r="Q30" i="95" s="1" a="1"/>
  <c r="Q30" i="95" s="1"/>
  <c r="Q50" i="95" s="1" a="1"/>
  <c r="Q50" i="95" s="1"/>
  <c r="Q26" i="82"/>
  <c r="Q47" i="82" s="1" a="1"/>
  <c r="Q47" i="82" s="1"/>
  <c r="Q30" i="81"/>
  <c r="I41" i="81" a="1"/>
  <c r="I41" i="81" s="1"/>
  <c r="I193" i="81" s="1" a="1"/>
  <c r="I193" i="81" s="1"/>
  <c r="I39" i="81" a="1"/>
  <c r="I39" i="81" s="1"/>
  <c r="I161" i="81" s="1" a="1"/>
  <c r="I161" i="81" s="1"/>
  <c r="F41" i="81" a="1"/>
  <c r="F41" i="81" s="1"/>
  <c r="F193" i="81" s="1" a="1"/>
  <c r="F193" i="81" s="1"/>
  <c r="F38" i="81" a="1"/>
  <c r="F38" i="81" s="1"/>
  <c r="F126" i="81" s="1" a="1"/>
  <c r="F126" i="81" s="1"/>
  <c r="F37" i="81" a="1"/>
  <c r="F37" i="81" s="1"/>
  <c r="F189" i="81" s="1" a="1"/>
  <c r="F189" i="81" s="1"/>
  <c r="U38" i="81" a="1"/>
  <c r="U38" i="81" s="1"/>
  <c r="U160" i="81" s="1" a="1"/>
  <c r="U160" i="81" s="1"/>
  <c r="S28" i="81"/>
  <c r="S24" i="82"/>
  <c r="S45" i="82" s="1" a="1"/>
  <c r="S45" i="82" s="1"/>
  <c r="H37" i="81" a="1"/>
  <c r="H37" i="81" s="1"/>
  <c r="H189" i="81" s="1" a="1"/>
  <c r="H189" i="81" s="1"/>
  <c r="H40" i="81" a="1"/>
  <c r="H40" i="81" s="1"/>
  <c r="H192" i="81" s="1" a="1"/>
  <c r="H192" i="81" s="1"/>
  <c r="R23" i="95"/>
  <c r="R29" i="95" s="1" a="1"/>
  <c r="R29" i="95" s="1"/>
  <c r="R49" i="95" s="1" a="1"/>
  <c r="R49" i="95" s="1"/>
  <c r="R22" i="82"/>
  <c r="R43" i="82" s="1" a="1"/>
  <c r="R43" i="82" s="1"/>
  <c r="R26" i="81"/>
  <c r="R24" i="82"/>
  <c r="R45" i="82" s="1" a="1"/>
  <c r="R45" i="82" s="1"/>
  <c r="R28" i="81"/>
  <c r="G23" i="81"/>
  <c r="G19" i="82"/>
  <c r="G40" i="82" s="1" a="1"/>
  <c r="G40" i="82" s="1"/>
  <c r="Q27" i="81"/>
  <c r="Q23" i="82"/>
  <c r="Q44" i="82" s="1" a="1"/>
  <c r="Q44" i="82" s="1"/>
  <c r="I35" i="81" a="1"/>
  <c r="I35" i="81" s="1"/>
  <c r="I157" i="81" s="1" a="1"/>
  <c r="I157" i="81" s="1"/>
  <c r="T35" i="81" a="1"/>
  <c r="T35" i="81" s="1"/>
  <c r="T157" i="81" s="1" a="1"/>
  <c r="T157" i="81" s="1"/>
  <c r="G277" i="76" a="1"/>
  <c r="G277" i="76" s="1"/>
  <c r="R273" i="76" a="1"/>
  <c r="R273" i="76" s="1"/>
  <c r="P272" i="76" a="1"/>
  <c r="P272" i="76" s="1"/>
  <c r="P277" i="76" a="1"/>
  <c r="P277" i="76" s="1"/>
  <c r="P274" i="76" a="1"/>
  <c r="P274" i="76" s="1"/>
  <c r="R278" i="76" a="1"/>
  <c r="R278" i="76" s="1"/>
  <c r="P271" i="76" a="1"/>
  <c r="P271" i="76" s="1"/>
  <c r="Q277" i="76" a="1"/>
  <c r="Q277" i="76" s="1"/>
  <c r="G274" i="76" a="1"/>
  <c r="G274" i="76" s="1"/>
  <c r="P276" i="76" a="1"/>
  <c r="P276" i="76" s="1"/>
  <c r="P278" i="76" a="1"/>
  <c r="P278" i="76" s="1"/>
  <c r="P273" i="76" a="1"/>
  <c r="P273" i="76" s="1"/>
  <c r="Q272" i="76" a="1"/>
  <c r="Q272" i="76" s="1"/>
  <c r="Q274" i="76" a="1"/>
  <c r="Q274" i="76" s="1"/>
  <c r="G276" i="76" a="1"/>
  <c r="G276" i="76" s="1"/>
  <c r="G275" i="76" a="1"/>
  <c r="G275" i="76" s="1"/>
  <c r="R277" i="76" a="1"/>
  <c r="R277" i="76" s="1"/>
  <c r="Q271" i="76" a="1"/>
  <c r="Q271" i="76" s="1"/>
  <c r="G278" i="76" a="1"/>
  <c r="G278" i="76" s="1"/>
  <c r="R275" i="76" a="1"/>
  <c r="R275" i="76" s="1"/>
  <c r="Q276" i="76" a="1"/>
  <c r="Q276" i="76" s="1"/>
  <c r="G271" i="76" a="1"/>
  <c r="G271" i="76" s="1"/>
  <c r="P275" i="76" a="1"/>
  <c r="P275" i="76" s="1"/>
  <c r="Q275" i="76" a="1"/>
  <c r="Q275" i="76" s="1"/>
  <c r="R272" i="76" a="1"/>
  <c r="R272" i="76" s="1"/>
  <c r="R274" i="76" a="1"/>
  <c r="R274" i="76" s="1"/>
  <c r="G273" i="76" a="1"/>
  <c r="G273" i="76" s="1"/>
  <c r="R271" i="76" a="1"/>
  <c r="R271" i="76" s="1"/>
  <c r="Q273" i="76" a="1"/>
  <c r="Q273" i="76" s="1"/>
  <c r="G272" i="76" a="1"/>
  <c r="G272" i="76" s="1"/>
  <c r="Q278" i="76" a="1"/>
  <c r="Q278" i="76" s="1"/>
  <c r="R276" i="76" a="1"/>
  <c r="R276" i="76" s="1"/>
  <c r="F27" i="43" a="1"/>
  <c r="F27" i="43" s="1"/>
  <c r="E27" i="43" a="1"/>
  <c r="E27" i="43" s="1"/>
  <c r="D27" i="43" a="1"/>
  <c r="D27" i="43" s="1"/>
  <c r="F26" i="43" a="1"/>
  <c r="F26" i="43" s="1"/>
  <c r="E26" i="43" a="1"/>
  <c r="E26" i="43" s="1"/>
  <c r="D26" i="43" a="1"/>
  <c r="D26" i="43" s="1"/>
  <c r="F25" i="43" a="1"/>
  <c r="F25" i="43" s="1"/>
  <c r="E25" i="43" a="1"/>
  <c r="E25" i="43" s="1"/>
  <c r="D25" i="43" a="1"/>
  <c r="D25" i="43" s="1"/>
  <c r="F24" i="43" a="1"/>
  <c r="F24" i="43" s="1"/>
  <c r="E24" i="43" a="1"/>
  <c r="E24" i="43" s="1"/>
  <c r="D24" i="43" a="1"/>
  <c r="D24" i="43" s="1"/>
  <c r="F23" i="43" a="1"/>
  <c r="F23" i="43" s="1"/>
  <c r="E23" i="43" a="1"/>
  <c r="E23" i="43" s="1"/>
  <c r="D23" i="43" a="1"/>
  <c r="D23" i="43" s="1"/>
  <c r="F22" i="43" a="1"/>
  <c r="F22" i="43" s="1"/>
  <c r="E22" i="43" a="1"/>
  <c r="E22" i="43" s="1"/>
  <c r="D22" i="43" a="1"/>
  <c r="D22" i="43" s="1"/>
  <c r="F21" i="43" a="1"/>
  <c r="F21" i="43" s="1"/>
  <c r="E21" i="43" a="1"/>
  <c r="E21" i="43" s="1"/>
  <c r="D21" i="43" a="1"/>
  <c r="D21" i="43" s="1"/>
  <c r="F20" i="43" a="1"/>
  <c r="F20" i="43" s="1"/>
  <c r="E20" i="43" a="1"/>
  <c r="E20" i="43" s="1"/>
  <c r="D20" i="43" a="1"/>
  <c r="D20" i="43" s="1"/>
  <c r="F19" i="43" a="1"/>
  <c r="F19" i="43" s="1"/>
  <c r="E19" i="43" a="1"/>
  <c r="E19" i="43" s="1"/>
  <c r="D19" i="43" a="1"/>
  <c r="D19" i="43" s="1"/>
  <c r="F18" i="43" a="1"/>
  <c r="F18" i="43" s="1"/>
  <c r="E18" i="43" a="1"/>
  <c r="E18" i="43" s="1"/>
  <c r="D18" i="43" a="1"/>
  <c r="D18" i="43" s="1"/>
  <c r="F17" i="43" a="1"/>
  <c r="F17" i="43" s="1"/>
  <c r="E17" i="43" a="1"/>
  <c r="E17" i="43" s="1"/>
  <c r="D17" i="43" a="1"/>
  <c r="D17" i="43" s="1"/>
  <c r="F16" i="43" a="1"/>
  <c r="F16" i="43" s="1"/>
  <c r="E16" i="43" a="1"/>
  <c r="E16" i="43" s="1"/>
  <c r="D16" i="43" a="1"/>
  <c r="D16" i="43" s="1"/>
  <c r="F15" i="43" a="1"/>
  <c r="F15" i="43" s="1"/>
  <c r="E11" i="79" s="1"/>
  <c r="E15" i="43" a="1"/>
  <c r="E15" i="43" s="1"/>
  <c r="D11" i="79" s="1"/>
  <c r="D15" i="43" a="1"/>
  <c r="D15" i="43" s="1"/>
  <c r="F14" i="43" a="1"/>
  <c r="F14" i="43" s="1"/>
  <c r="E10" i="79" s="1"/>
  <c r="E14" i="43" a="1"/>
  <c r="E14" i="43" s="1"/>
  <c r="D10" i="79" s="1"/>
  <c r="D14" i="43" a="1"/>
  <c r="D14" i="43" s="1"/>
  <c r="F13" i="43" a="1"/>
  <c r="F13" i="43" s="1"/>
  <c r="E9" i="79" s="1"/>
  <c r="E13" i="43" a="1"/>
  <c r="E13" i="43" s="1"/>
  <c r="D9" i="79" s="1"/>
  <c r="D13" i="43" a="1"/>
  <c r="D13" i="43" s="1"/>
  <c r="F12" i="43" a="1"/>
  <c r="F12" i="43" s="1"/>
  <c r="E12" i="43" a="1"/>
  <c r="E12" i="43" s="1"/>
  <c r="D12" i="43" a="1"/>
  <c r="D12" i="43" s="1"/>
  <c r="F11" i="43" a="1"/>
  <c r="F11" i="43" s="1"/>
  <c r="E11" i="43" a="1"/>
  <c r="E11" i="43" s="1"/>
  <c r="D11" i="43" a="1"/>
  <c r="D11" i="43" s="1"/>
  <c r="F10" i="43" a="1"/>
  <c r="F10" i="43" s="1"/>
  <c r="E8" i="79" s="1"/>
  <c r="E10" i="43" a="1"/>
  <c r="E10" i="43" s="1"/>
  <c r="D8" i="79" s="1"/>
  <c r="D10" i="43" a="1"/>
  <c r="D10" i="43" s="1"/>
  <c r="D8" i="43" a="1"/>
  <c r="D8" i="43" s="1"/>
  <c r="D7" i="43" a="1"/>
  <c r="D7" i="43" s="1"/>
  <c r="D6" i="43" a="1"/>
  <c r="D6" i="43" s="1"/>
  <c r="E30" i="98" l="1"/>
  <c r="H43" i="98" s="1"/>
  <c r="E47" i="98" s="1" a="1"/>
  <c r="E47" i="98" s="1"/>
  <c r="G49" i="98" s="1"/>
  <c r="E52" i="98" s="1" a="1"/>
  <c r="E52" i="98" s="1"/>
  <c r="H14" i="13" s="1"/>
  <c r="E26" i="97"/>
  <c r="H38" i="97" s="1"/>
  <c r="E45" i="97" s="1" a="1"/>
  <c r="E45" i="97" s="1"/>
  <c r="E13" i="13" s="1"/>
  <c r="E53" i="96"/>
  <c r="G55" i="96" s="1"/>
  <c r="E58" i="96" s="1" a="1"/>
  <c r="E58" i="96" s="1"/>
  <c r="H12" i="13" s="1"/>
  <c r="E28" i="98"/>
  <c r="P28" i="98"/>
  <c r="E23" i="98"/>
  <c r="P23" i="98"/>
  <c r="E49" i="82"/>
  <c r="R61" i="82" s="1"/>
  <c r="P68" i="82" s="1" a="1"/>
  <c r="P68" i="82" s="1"/>
  <c r="F9" i="13" s="1"/>
  <c r="H99" i="81" a="1"/>
  <c r="H99" i="81" s="1"/>
  <c r="F14" i="13"/>
  <c r="R49" i="98"/>
  <c r="P52" i="98" s="1" a="1"/>
  <c r="P52" i="98" s="1"/>
  <c r="I14" i="13" s="1"/>
  <c r="P49" i="82"/>
  <c r="H125" i="81" a="1"/>
  <c r="H125" i="81" s="1"/>
  <c r="E52" i="95"/>
  <c r="G54" i="95" s="1"/>
  <c r="E57" i="95" s="1" a="1"/>
  <c r="E57" i="95" s="1"/>
  <c r="H10" i="13" s="1"/>
  <c r="U130" i="81" a="1"/>
  <c r="U130" i="81" s="1"/>
  <c r="R55" i="96"/>
  <c r="P58" i="96" s="1" a="1"/>
  <c r="P58" i="96" s="1"/>
  <c r="I12" i="13" s="1"/>
  <c r="F12" i="13"/>
  <c r="R47" i="97"/>
  <c r="P50" i="97" s="1" a="1"/>
  <c r="P50" i="97" s="1"/>
  <c r="I13" i="13" s="1"/>
  <c r="F13" i="13"/>
  <c r="I163" i="81" a="1"/>
  <c r="I163" i="81" s="1"/>
  <c r="T128" i="81" a="1"/>
  <c r="T128" i="81" s="1"/>
  <c r="H193" i="81" a="1"/>
  <c r="H193" i="81" s="1"/>
  <c r="I129" i="81" a="1"/>
  <c r="I129" i="81" s="1"/>
  <c r="P19" i="97"/>
  <c r="E19" i="97"/>
  <c r="P24" i="97"/>
  <c r="E24" i="97"/>
  <c r="T127" i="81" a="1"/>
  <c r="T127" i="81" s="1"/>
  <c r="I99" i="81" a="1"/>
  <c r="I99" i="81" s="1"/>
  <c r="U98" i="81" a="1"/>
  <c r="U98" i="81" s="1"/>
  <c r="F125" i="81" a="1"/>
  <c r="F125" i="81" s="1"/>
  <c r="F95" i="81" a="1"/>
  <c r="F95" i="81" s="1"/>
  <c r="T96" i="81" a="1"/>
  <c r="T96" i="81" s="1"/>
  <c r="F159" i="81" a="1"/>
  <c r="F159" i="81" s="1"/>
  <c r="U190" i="81" a="1"/>
  <c r="U190" i="81" s="1"/>
  <c r="H159" i="81" a="1"/>
  <c r="H159" i="81" s="1"/>
  <c r="I192" i="81" a="1"/>
  <c r="I192" i="81" s="1"/>
  <c r="F100" i="81" a="1"/>
  <c r="F100" i="81" s="1"/>
  <c r="H157" i="81" a="1"/>
  <c r="H157" i="81" s="1"/>
  <c r="F194" i="81" a="1"/>
  <c r="F194" i="81" s="1"/>
  <c r="H94" i="81" a="1"/>
  <c r="H94" i="81" s="1"/>
  <c r="H188" i="81" a="1"/>
  <c r="H188" i="81" s="1"/>
  <c r="T190" i="81" a="1"/>
  <c r="T190" i="81" s="1"/>
  <c r="J94" i="81" a="1"/>
  <c r="J94" i="81" s="1"/>
  <c r="H158" i="81" a="1"/>
  <c r="H158" i="81" s="1"/>
  <c r="T126" i="81" a="1"/>
  <c r="T126" i="81" s="1"/>
  <c r="J158" i="81" a="1"/>
  <c r="J158" i="81" s="1"/>
  <c r="I98" i="81" a="1"/>
  <c r="I98" i="81" s="1"/>
  <c r="H97" i="81" a="1"/>
  <c r="H97" i="81" s="1"/>
  <c r="I162" i="81" a="1"/>
  <c r="I162" i="81" s="1"/>
  <c r="T163" i="81" a="1"/>
  <c r="T163" i="81" s="1"/>
  <c r="P51" i="96"/>
  <c r="P25" i="96"/>
  <c r="E25" i="96"/>
  <c r="P31" i="96"/>
  <c r="E51" i="96"/>
  <c r="E31" i="96"/>
  <c r="P52" i="95"/>
  <c r="R54" i="95" s="1"/>
  <c r="P57" i="95" s="1" a="1"/>
  <c r="P57" i="95" s="1"/>
  <c r="I10" i="13" s="1"/>
  <c r="T100" i="81" a="1"/>
  <c r="T100" i="81" s="1"/>
  <c r="F129" i="81" a="1"/>
  <c r="F129" i="81" s="1"/>
  <c r="T164" i="81" a="1"/>
  <c r="T164" i="81" s="1"/>
  <c r="F164" i="81" a="1"/>
  <c r="F164" i="81" s="1"/>
  <c r="T130" i="81" a="1"/>
  <c r="T130" i="81" s="1"/>
  <c r="U97" i="81" a="1"/>
  <c r="U97" i="81" s="1"/>
  <c r="J126" i="81" a="1"/>
  <c r="J126" i="81" s="1"/>
  <c r="T93" i="81" a="1"/>
  <c r="T93" i="81" s="1"/>
  <c r="T187" i="81" a="1"/>
  <c r="T187" i="81" s="1"/>
  <c r="F163" i="81" a="1"/>
  <c r="F163" i="81" s="1"/>
  <c r="J190" i="81" a="1"/>
  <c r="J190" i="81" s="1"/>
  <c r="H129" i="81" a="1"/>
  <c r="H129" i="81" s="1"/>
  <c r="F123" i="81" a="1"/>
  <c r="F123" i="81" s="1"/>
  <c r="U193" i="81" a="1"/>
  <c r="U193" i="81" s="1"/>
  <c r="H164" i="81" a="1"/>
  <c r="H164" i="81" s="1"/>
  <c r="F97" i="81" a="1"/>
  <c r="F97" i="81" s="1"/>
  <c r="U129" i="81" a="1"/>
  <c r="U129" i="81" s="1"/>
  <c r="H130" i="81" a="1"/>
  <c r="H130" i="81" s="1"/>
  <c r="T97" i="81" a="1"/>
  <c r="T97" i="81" s="1"/>
  <c r="H96" i="81" a="1"/>
  <c r="H96" i="81" s="1"/>
  <c r="F157" i="81" a="1"/>
  <c r="F157" i="81" s="1"/>
  <c r="U163" i="81" a="1"/>
  <c r="U163" i="81" s="1"/>
  <c r="H100" i="81" a="1"/>
  <c r="H100" i="81" s="1"/>
  <c r="H126" i="81" a="1"/>
  <c r="H126" i="81" s="1"/>
  <c r="F93" i="81" a="1"/>
  <c r="F93" i="81" s="1"/>
  <c r="T98" i="81" a="1"/>
  <c r="T98" i="81" s="1"/>
  <c r="H162" i="81" a="1"/>
  <c r="H162" i="81" s="1"/>
  <c r="T123" i="81" a="1"/>
  <c r="T123" i="81" s="1"/>
  <c r="H128" i="81" a="1"/>
  <c r="H128" i="81" s="1"/>
  <c r="H190" i="81" a="1"/>
  <c r="H190" i="81" s="1"/>
  <c r="H98" i="81" a="1"/>
  <c r="H98" i="81" s="1"/>
  <c r="F160" i="81" a="1"/>
  <c r="F160" i="81" s="1"/>
  <c r="J124" i="81" a="1"/>
  <c r="J124" i="81" s="1"/>
  <c r="J100" i="81" a="1"/>
  <c r="J100" i="81" s="1"/>
  <c r="H93" i="81" a="1"/>
  <c r="H93" i="81" s="1"/>
  <c r="T192" i="81" a="1"/>
  <c r="T192" i="81" s="1"/>
  <c r="I189" i="81" a="1"/>
  <c r="I189" i="81" s="1"/>
  <c r="F96" i="81" a="1"/>
  <c r="F96" i="81" s="1"/>
  <c r="J95" i="81" a="1"/>
  <c r="J95" i="81" s="1"/>
  <c r="U164" i="81" a="1"/>
  <c r="U164" i="81" s="1"/>
  <c r="J191" i="81" a="1"/>
  <c r="J191" i="81" s="1"/>
  <c r="J125" i="81" a="1"/>
  <c r="J125" i="81" s="1"/>
  <c r="U96" i="81" a="1"/>
  <c r="U96" i="81" s="1"/>
  <c r="F99" i="81" a="1"/>
  <c r="F99" i="81" s="1"/>
  <c r="I94" i="81" a="1"/>
  <c r="I94" i="81" s="1"/>
  <c r="J157" i="81" a="1"/>
  <c r="J157" i="81" s="1"/>
  <c r="T159" i="81" a="1"/>
  <c r="T159" i="81" s="1"/>
  <c r="U187" i="81" a="1"/>
  <c r="U187" i="81" s="1"/>
  <c r="F192" i="81" a="1"/>
  <c r="F192" i="81" s="1"/>
  <c r="U125" i="81" a="1"/>
  <c r="U125" i="81" s="1"/>
  <c r="U127" i="81" a="1"/>
  <c r="U127" i="81" s="1"/>
  <c r="I126" i="81" a="1"/>
  <c r="I126" i="81" s="1"/>
  <c r="S41" i="81" a="1"/>
  <c r="S41" i="81" s="1"/>
  <c r="S99" i="81" s="1" a="1"/>
  <c r="S99" i="81" s="1"/>
  <c r="I130" i="81" a="1"/>
  <c r="I130" i="81" s="1"/>
  <c r="I93" i="81" a="1"/>
  <c r="I93" i="81" s="1"/>
  <c r="U126" i="81" a="1"/>
  <c r="U126" i="81" s="1"/>
  <c r="Q42" i="81" a="1"/>
  <c r="Q42" i="81" s="1"/>
  <c r="Q100" i="81" s="1" a="1"/>
  <c r="Q100" i="81" s="1"/>
  <c r="I124" i="81" a="1"/>
  <c r="I124" i="81" s="1"/>
  <c r="R41" i="81" a="1"/>
  <c r="R41" i="81" s="1"/>
  <c r="R129" i="81" s="1" a="1"/>
  <c r="R129" i="81" s="1"/>
  <c r="J93" i="81" a="1"/>
  <c r="J93" i="81" s="1"/>
  <c r="Q41" i="81" a="1"/>
  <c r="Q41" i="81" s="1"/>
  <c r="Q193" i="81" s="1" a="1"/>
  <c r="Q193" i="81" s="1"/>
  <c r="T189" i="81" a="1"/>
  <c r="T189" i="81" s="1"/>
  <c r="U93" i="81" a="1"/>
  <c r="U93" i="81" s="1"/>
  <c r="H123" i="81" a="1"/>
  <c r="H123" i="81" s="1"/>
  <c r="J97" i="81" a="1"/>
  <c r="J97" i="81" s="1"/>
  <c r="U161" i="81" a="1"/>
  <c r="U161" i="81" s="1"/>
  <c r="I190" i="81" a="1"/>
  <c r="I190" i="81" s="1"/>
  <c r="J99" i="81" a="1"/>
  <c r="J99" i="81" s="1"/>
  <c r="J159" i="81" a="1"/>
  <c r="J159" i="81" s="1"/>
  <c r="I194" i="81" a="1"/>
  <c r="I194" i="81" s="1"/>
  <c r="S39" i="81" a="1"/>
  <c r="S39" i="81" s="1"/>
  <c r="S161" i="81" s="1" a="1"/>
  <c r="S161" i="81" s="1"/>
  <c r="I123" i="81" a="1"/>
  <c r="I123" i="81" s="1"/>
  <c r="I188" i="81" a="1"/>
  <c r="I188" i="81" s="1"/>
  <c r="J123" i="81" a="1"/>
  <c r="J123" i="81" s="1"/>
  <c r="T95" i="81" a="1"/>
  <c r="T95" i="81" s="1"/>
  <c r="U123" i="81" a="1"/>
  <c r="U123" i="81" s="1"/>
  <c r="J161" i="81" a="1"/>
  <c r="J161" i="81" s="1"/>
  <c r="J129" i="81" a="1"/>
  <c r="J129" i="81" s="1"/>
  <c r="I187" i="81" a="1"/>
  <c r="I187" i="81" s="1"/>
  <c r="Q35" i="81" a="1"/>
  <c r="Q35" i="81" s="1"/>
  <c r="Q187" i="81" s="1" a="1"/>
  <c r="Q187" i="81" s="1"/>
  <c r="J193" i="81" a="1"/>
  <c r="J193" i="81" s="1"/>
  <c r="J96" i="81" a="1"/>
  <c r="J96" i="81" s="1"/>
  <c r="H161" i="81" a="1"/>
  <c r="H161" i="81" s="1"/>
  <c r="S35" i="81" a="1"/>
  <c r="S35" i="81" s="1"/>
  <c r="S157" i="81" s="1" a="1"/>
  <c r="S157" i="81" s="1"/>
  <c r="H127" i="81" a="1"/>
  <c r="H127" i="81" s="1"/>
  <c r="F94" i="81" a="1"/>
  <c r="F94" i="81" s="1"/>
  <c r="G39" i="81" a="1"/>
  <c r="G39" i="81" s="1"/>
  <c r="G161" i="81" s="1" a="1"/>
  <c r="G161" i="81" s="1"/>
  <c r="G40" i="81" a="1"/>
  <c r="G40" i="81" s="1"/>
  <c r="G128" i="81" s="1" a="1"/>
  <c r="G128" i="81" s="1"/>
  <c r="I127" i="81" a="1"/>
  <c r="I127" i="81" s="1"/>
  <c r="R36" i="81" a="1"/>
  <c r="R36" i="81" s="1"/>
  <c r="R188" i="81" s="1" a="1"/>
  <c r="R188" i="81" s="1"/>
  <c r="F124" i="81" a="1"/>
  <c r="F124" i="81" s="1"/>
  <c r="F191" i="81" a="1"/>
  <c r="F191" i="81" s="1"/>
  <c r="J128" i="81" a="1"/>
  <c r="J128" i="81" s="1"/>
  <c r="G37" i="81" a="1"/>
  <c r="G37" i="81" s="1"/>
  <c r="G125" i="81" s="1" a="1"/>
  <c r="G125" i="81" s="1"/>
  <c r="Q39" i="81" a="1"/>
  <c r="Q39" i="81" s="1"/>
  <c r="Q127" i="81" s="1" a="1"/>
  <c r="Q127" i="81" s="1"/>
  <c r="I97" i="81" a="1"/>
  <c r="I97" i="81" s="1"/>
  <c r="R39" i="81" a="1"/>
  <c r="R39" i="81" s="1"/>
  <c r="R191" i="81" s="1" a="1"/>
  <c r="R191" i="81" s="1"/>
  <c r="F188" i="81" a="1"/>
  <c r="F188" i="81" s="1"/>
  <c r="R42" i="81" a="1"/>
  <c r="R42" i="81" s="1"/>
  <c r="R130" i="81" s="1" a="1"/>
  <c r="R130" i="81" s="1"/>
  <c r="Q37" i="81" a="1"/>
  <c r="Q37" i="81" s="1"/>
  <c r="Q159" i="81" s="1" a="1"/>
  <c r="Q159" i="81" s="1"/>
  <c r="H95" i="81" a="1"/>
  <c r="H95" i="81" s="1"/>
  <c r="I191" i="81" a="1"/>
  <c r="I191" i="81" s="1"/>
  <c r="U158" i="81" a="1"/>
  <c r="U158" i="81" s="1"/>
  <c r="T161" i="81" a="1"/>
  <c r="T161" i="81" s="1"/>
  <c r="J130" i="81" a="1"/>
  <c r="J130" i="81" s="1"/>
  <c r="F161" i="81" a="1"/>
  <c r="F161" i="81" s="1"/>
  <c r="U194" i="81" a="1"/>
  <c r="U194" i="81" s="1"/>
  <c r="J192" i="81" a="1"/>
  <c r="J192" i="81" s="1"/>
  <c r="U128" i="81" a="1"/>
  <c r="U128" i="81" s="1"/>
  <c r="I159" i="81" a="1"/>
  <c r="I159" i="81" s="1"/>
  <c r="T188" i="81" a="1"/>
  <c r="T188" i="81" s="1"/>
  <c r="G35" i="81" a="1"/>
  <c r="G35" i="81" s="1"/>
  <c r="G157" i="81" s="1" a="1"/>
  <c r="G157" i="81" s="1"/>
  <c r="U124" i="81" a="1"/>
  <c r="U124" i="81" s="1"/>
  <c r="Q40" i="81" a="1"/>
  <c r="Q40" i="81" s="1"/>
  <c r="Q98" i="81" s="1" a="1"/>
  <c r="Q98" i="81" s="1"/>
  <c r="T99" i="81" a="1"/>
  <c r="T99" i="81" s="1"/>
  <c r="J162" i="81" a="1"/>
  <c r="J162" i="81" s="1"/>
  <c r="U162" i="81" a="1"/>
  <c r="U162" i="81" s="1"/>
  <c r="I95" i="81" a="1"/>
  <c r="I95" i="81" s="1"/>
  <c r="T94" i="81" a="1"/>
  <c r="T94" i="81" s="1"/>
  <c r="G36" i="81" a="1"/>
  <c r="G36" i="81" s="1"/>
  <c r="G94" i="81" s="1" a="1"/>
  <c r="G94" i="81" s="1"/>
  <c r="G42" i="81" a="1"/>
  <c r="G42" i="81" s="1"/>
  <c r="G164" i="81" s="1" a="1"/>
  <c r="G164" i="81" s="1"/>
  <c r="R40" i="81" a="1"/>
  <c r="R40" i="81" s="1"/>
  <c r="R128" i="81" s="1" a="1"/>
  <c r="R128" i="81" s="1"/>
  <c r="F190" i="81" a="1"/>
  <c r="F190" i="81" s="1"/>
  <c r="U188" i="81" a="1"/>
  <c r="U188" i="81" s="1"/>
  <c r="T129" i="81" a="1"/>
  <c r="T129" i="81" s="1"/>
  <c r="Q38" i="81" a="1"/>
  <c r="Q38" i="81" s="1"/>
  <c r="Q160" i="81" s="1" a="1"/>
  <c r="Q160" i="81" s="1"/>
  <c r="J164" i="81" a="1"/>
  <c r="J164" i="81" s="1"/>
  <c r="Q36" i="81" a="1"/>
  <c r="Q36" i="81" s="1"/>
  <c r="Q188" i="81" s="1" a="1"/>
  <c r="Q188" i="81" s="1"/>
  <c r="F128" i="81" a="1"/>
  <c r="F128" i="81" s="1"/>
  <c r="U95" i="81" a="1"/>
  <c r="U95" i="81" s="1"/>
  <c r="T124" i="81" a="1"/>
  <c r="T124" i="81" s="1"/>
  <c r="R37" i="81" a="1"/>
  <c r="R37" i="81" s="1"/>
  <c r="R95" i="81" s="1" a="1"/>
  <c r="R95" i="81" s="1"/>
  <c r="S38" i="81" a="1"/>
  <c r="S38" i="81" s="1"/>
  <c r="S126" i="81" s="1" a="1"/>
  <c r="S126" i="81" s="1"/>
  <c r="R38" i="81" a="1"/>
  <c r="R38" i="81" s="1"/>
  <c r="R126" i="81" s="1" a="1"/>
  <c r="R126" i="81" s="1"/>
  <c r="S40" i="81" a="1"/>
  <c r="S40" i="81" s="1"/>
  <c r="S98" i="81" s="1" a="1"/>
  <c r="S98" i="81" s="1"/>
  <c r="G38" i="81" a="1"/>
  <c r="G38" i="81" s="1"/>
  <c r="G160" i="81" s="1" a="1"/>
  <c r="G160" i="81" s="1"/>
  <c r="F162" i="81" a="1"/>
  <c r="F162" i="81" s="1"/>
  <c r="S42" i="81" a="1"/>
  <c r="S42" i="81" s="1"/>
  <c r="S130" i="81" s="1" a="1"/>
  <c r="S130" i="81" s="1"/>
  <c r="U159" i="81" a="1"/>
  <c r="U159" i="81" s="1"/>
  <c r="I160" i="81" a="1"/>
  <c r="I160" i="81" s="1"/>
  <c r="I100" i="81" a="1"/>
  <c r="I100" i="81" s="1"/>
  <c r="G41" i="81" a="1"/>
  <c r="G41" i="81" s="1"/>
  <c r="G129" i="81" s="1" a="1"/>
  <c r="G129" i="81" s="1"/>
  <c r="S37" i="81" a="1"/>
  <c r="S37" i="81" s="1"/>
  <c r="S95" i="81" s="1" a="1"/>
  <c r="S95" i="81" s="1"/>
  <c r="S36" i="81" a="1"/>
  <c r="S36" i="81" s="1"/>
  <c r="S158" i="81" s="1" a="1"/>
  <c r="S158" i="81" s="1"/>
  <c r="R35" i="81" a="1"/>
  <c r="R35" i="81" s="1"/>
  <c r="R123" i="81" s="1" a="1"/>
  <c r="R123" i="81" s="1"/>
  <c r="D196" i="69"/>
  <c r="E196" i="69" s="1" a="1"/>
  <c r="E196" i="69" s="1"/>
  <c r="D72" i="70"/>
  <c r="D106" i="70"/>
  <c r="D197" i="69"/>
  <c r="E197" i="69" s="1" a="1"/>
  <c r="E197" i="69" s="1"/>
  <c r="D77" i="70"/>
  <c r="D111" i="70"/>
  <c r="D195" i="69"/>
  <c r="E195" i="69" s="1" a="1"/>
  <c r="E195" i="69" s="1"/>
  <c r="D67" i="70"/>
  <c r="D101" i="70"/>
  <c r="D198" i="69"/>
  <c r="E198" i="69" s="1" a="1"/>
  <c r="E198" i="69" s="1"/>
  <c r="D82" i="70"/>
  <c r="D116" i="70"/>
  <c r="E29" i="15"/>
  <c r="E14" i="13" l="1"/>
  <c r="G47" i="97"/>
  <c r="E50" i="97" s="1" a="1"/>
  <c r="E50" i="97" s="1"/>
  <c r="H13" i="13" s="1"/>
  <c r="E12" i="13"/>
  <c r="G61" i="82"/>
  <c r="E68" i="82" s="1" a="1"/>
  <c r="E68" i="82" s="1"/>
  <c r="E9" i="13" s="1"/>
  <c r="E10" i="13"/>
  <c r="G163" i="81" a="1"/>
  <c r="G163" i="81" s="1"/>
  <c r="G99" i="81" a="1"/>
  <c r="G99" i="81" s="1"/>
  <c r="Q158" i="81" a="1"/>
  <c r="Q158" i="81" s="1"/>
  <c r="S190" i="81" a="1"/>
  <c r="S190" i="81" s="1"/>
  <c r="R159" i="81" a="1"/>
  <c r="R159" i="81" s="1"/>
  <c r="G127" i="81" a="1"/>
  <c r="G127" i="81" s="1"/>
  <c r="R164" i="81" a="1"/>
  <c r="R164" i="81" s="1"/>
  <c r="R193" i="81" a="1"/>
  <c r="R193" i="81" s="1"/>
  <c r="F10" i="13"/>
  <c r="S160" i="81" a="1"/>
  <c r="S160" i="81" s="1"/>
  <c r="G190" i="81" a="1"/>
  <c r="G190" i="81" s="1"/>
  <c r="R127" i="81" a="1"/>
  <c r="R127" i="81" s="1"/>
  <c r="R99" i="81" a="1"/>
  <c r="R99" i="81" s="1"/>
  <c r="R163" i="81" a="1"/>
  <c r="R163" i="81" s="1"/>
  <c r="Q97" i="81" a="1"/>
  <c r="Q97" i="81" s="1"/>
  <c r="G193" i="81" a="1"/>
  <c r="G193" i="81" s="1"/>
  <c r="Q93" i="81" a="1"/>
  <c r="Q93" i="81" s="1"/>
  <c r="Q123" i="81" a="1"/>
  <c r="Q123" i="81" s="1"/>
  <c r="S194" i="81" a="1"/>
  <c r="S194" i="81" s="1"/>
  <c r="S189" i="81" a="1"/>
  <c r="S189" i="81" s="1"/>
  <c r="Q164" i="81" a="1"/>
  <c r="Q164" i="81" s="1"/>
  <c r="R160" i="81" a="1"/>
  <c r="R160" i="81" s="1"/>
  <c r="S96" i="81" a="1"/>
  <c r="S96" i="81" s="1"/>
  <c r="G130" i="81" a="1"/>
  <c r="G130" i="81" s="1"/>
  <c r="S164" i="81" a="1"/>
  <c r="S164" i="81" s="1"/>
  <c r="S191" i="81" a="1"/>
  <c r="S191" i="81" s="1"/>
  <c r="G162" i="81" a="1"/>
  <c r="G162" i="81" s="1"/>
  <c r="Q157" i="81" a="1"/>
  <c r="Q157" i="81" s="1"/>
  <c r="S100" i="81" a="1"/>
  <c r="S100" i="81" s="1"/>
  <c r="Q128" i="81" a="1"/>
  <c r="Q128" i="81" s="1"/>
  <c r="G159" i="81" a="1"/>
  <c r="G159" i="81" s="1"/>
  <c r="R192" i="81" a="1"/>
  <c r="R192" i="81" s="1"/>
  <c r="G95" i="81" a="1"/>
  <c r="G95" i="81" s="1"/>
  <c r="R93" i="81" a="1"/>
  <c r="R93" i="81" s="1"/>
  <c r="G189" i="81" a="1"/>
  <c r="G189" i="81" s="1"/>
  <c r="R124" i="81" a="1"/>
  <c r="R124" i="81" s="1"/>
  <c r="Q96" i="81" a="1"/>
  <c r="Q96" i="81" s="1"/>
  <c r="Q94" i="81" a="1"/>
  <c r="Q94" i="81" s="1"/>
  <c r="G100" i="81" a="1"/>
  <c r="G100" i="81" s="1"/>
  <c r="G93" i="81" a="1"/>
  <c r="G93" i="81" s="1"/>
  <c r="Q194" i="81" a="1"/>
  <c r="Q194" i="81" s="1"/>
  <c r="S127" i="81" a="1"/>
  <c r="S127" i="81" s="1"/>
  <c r="Q161" i="81" a="1"/>
  <c r="Q161" i="81" s="1"/>
  <c r="Q124" i="81" a="1"/>
  <c r="Q124" i="81" s="1"/>
  <c r="G194" i="81" a="1"/>
  <c r="G194" i="81" s="1"/>
  <c r="G123" i="81" a="1"/>
  <c r="G123" i="81" s="1"/>
  <c r="Q190" i="81" a="1"/>
  <c r="Q190" i="81" s="1"/>
  <c r="R94" i="81" a="1"/>
  <c r="R94" i="81" s="1"/>
  <c r="S187" i="81" a="1"/>
  <c r="S187" i="81" s="1"/>
  <c r="R158" i="81" a="1"/>
  <c r="R158" i="81" s="1"/>
  <c r="R125" i="81" a="1"/>
  <c r="R125" i="81" s="1"/>
  <c r="S97" i="81" a="1"/>
  <c r="S97" i="81" s="1"/>
  <c r="G98" i="81" a="1"/>
  <c r="G98" i="81" s="1"/>
  <c r="Q126" i="81" a="1"/>
  <c r="Q126" i="81" s="1"/>
  <c r="R97" i="81" a="1"/>
  <c r="R97" i="81" s="1"/>
  <c r="Q99" i="81" a="1"/>
  <c r="Q99" i="81" s="1"/>
  <c r="G188" i="81" a="1"/>
  <c r="G188" i="81" s="1"/>
  <c r="G97" i="81" a="1"/>
  <c r="G97" i="81" s="1"/>
  <c r="S125" i="81" a="1"/>
  <c r="S125" i="81" s="1"/>
  <c r="E190" i="81"/>
  <c r="E148" i="81"/>
  <c r="E160" i="81"/>
  <c r="E178" i="81"/>
  <c r="E84" i="81"/>
  <c r="P26" i="81"/>
  <c r="P190" i="81"/>
  <c r="E23" i="95"/>
  <c r="E49" i="95"/>
  <c r="P29" i="95"/>
  <c r="P160" i="81"/>
  <c r="P96" i="81"/>
  <c r="E26" i="81"/>
  <c r="P126" i="81"/>
  <c r="E96" i="81"/>
  <c r="E126" i="81"/>
  <c r="E38" i="81"/>
  <c r="P23" i="95"/>
  <c r="P38" i="81"/>
  <c r="E29" i="95"/>
  <c r="P49" i="95"/>
  <c r="R157" i="81" a="1"/>
  <c r="R157" i="81" s="1"/>
  <c r="G96" i="81" a="1"/>
  <c r="G96" i="81" s="1"/>
  <c r="R190" i="81" a="1"/>
  <c r="R190" i="81" s="1"/>
  <c r="G158" i="81" a="1"/>
  <c r="G158" i="81" s="1"/>
  <c r="G187" i="81" a="1"/>
  <c r="G187" i="81" s="1"/>
  <c r="Q95" i="81" a="1"/>
  <c r="Q95" i="81" s="1"/>
  <c r="R187" i="81" a="1"/>
  <c r="R187" i="81" s="1"/>
  <c r="G126" i="81" a="1"/>
  <c r="G126" i="81" s="1"/>
  <c r="R162" i="81" a="1"/>
  <c r="R162" i="81" s="1"/>
  <c r="Q189" i="81" a="1"/>
  <c r="Q189" i="81" s="1"/>
  <c r="R161" i="81" a="1"/>
  <c r="R161" i="81" s="1"/>
  <c r="G191" i="81" a="1"/>
  <c r="G191" i="81" s="1"/>
  <c r="Q130" i="81" a="1"/>
  <c r="Q130" i="81" s="1"/>
  <c r="E161" i="81"/>
  <c r="E85" i="81"/>
  <c r="P191" i="81"/>
  <c r="P27" i="81"/>
  <c r="P127" i="81"/>
  <c r="P161" i="81"/>
  <c r="P97" i="81"/>
  <c r="E127" i="81"/>
  <c r="E27" i="81"/>
  <c r="E191" i="81"/>
  <c r="E149" i="81"/>
  <c r="P39" i="81"/>
  <c r="E39" i="81"/>
  <c r="E97" i="81"/>
  <c r="E179" i="81"/>
  <c r="E30" i="95"/>
  <c r="E194" i="81"/>
  <c r="P100" i="81"/>
  <c r="P130" i="81"/>
  <c r="E100" i="81"/>
  <c r="P30" i="81"/>
  <c r="E130" i="81"/>
  <c r="E152" i="81"/>
  <c r="P30" i="95"/>
  <c r="E182" i="81"/>
  <c r="P194" i="81"/>
  <c r="E164" i="81"/>
  <c r="E30" i="81"/>
  <c r="P42" i="81"/>
  <c r="P164" i="81"/>
  <c r="E50" i="95"/>
  <c r="P24" i="95"/>
  <c r="E24" i="95"/>
  <c r="E42" i="81"/>
  <c r="P50" i="95"/>
  <c r="E88" i="81"/>
  <c r="R98" i="81" a="1"/>
  <c r="R98" i="81" s="1"/>
  <c r="Q125" i="81" a="1"/>
  <c r="Q125" i="81" s="1"/>
  <c r="Q129" i="81" a="1"/>
  <c r="Q129" i="81" s="1"/>
  <c r="Q191" i="81" a="1"/>
  <c r="Q191" i="81" s="1"/>
  <c r="Q163" i="81" a="1"/>
  <c r="Q163" i="81" s="1"/>
  <c r="P187" i="81"/>
  <c r="P93" i="81"/>
  <c r="P123" i="81"/>
  <c r="E93" i="81"/>
  <c r="P23" i="81"/>
  <c r="E123" i="81"/>
  <c r="E145" i="81"/>
  <c r="E187" i="81"/>
  <c r="E157" i="81"/>
  <c r="E175" i="81"/>
  <c r="E23" i="81"/>
  <c r="E81" i="81"/>
  <c r="P35" i="81"/>
  <c r="P157" i="81"/>
  <c r="E35" i="81"/>
  <c r="S188" i="81" a="1"/>
  <c r="S188" i="81" s="1"/>
  <c r="R194" i="81" a="1"/>
  <c r="R194" i="81" s="1"/>
  <c r="S93" i="81" a="1"/>
  <c r="S93" i="81" s="1"/>
  <c r="S128" i="81" a="1"/>
  <c r="S128" i="81" s="1"/>
  <c r="S124" i="81" a="1"/>
  <c r="S124" i="81" s="1"/>
  <c r="S162" i="81" a="1"/>
  <c r="S162" i="81" s="1"/>
  <c r="R189" i="81" a="1"/>
  <c r="R189" i="81" s="1"/>
  <c r="Q162" i="81" a="1"/>
  <c r="Q162" i="81" s="1"/>
  <c r="R100" i="81" a="1"/>
  <c r="R100" i="81" s="1"/>
  <c r="S123" i="81" a="1"/>
  <c r="S123" i="81" s="1"/>
  <c r="S94" i="81" a="1"/>
  <c r="S94" i="81" s="1"/>
  <c r="P40" i="81"/>
  <c r="P28" i="81"/>
  <c r="P162" i="81"/>
  <c r="P98" i="81"/>
  <c r="P128" i="81"/>
  <c r="E98" i="81"/>
  <c r="E192" i="81"/>
  <c r="E128" i="81"/>
  <c r="E150" i="81"/>
  <c r="E28" i="81"/>
  <c r="E86" i="81"/>
  <c r="E162" i="81"/>
  <c r="P192" i="81"/>
  <c r="E180" i="81"/>
  <c r="E40" i="81"/>
  <c r="S192" i="81" a="1"/>
  <c r="S192" i="81" s="1"/>
  <c r="Q192" i="81" a="1"/>
  <c r="Q192" i="81" s="1"/>
  <c r="G192" i="81" a="1"/>
  <c r="G192" i="81" s="1"/>
  <c r="S193" i="81" a="1"/>
  <c r="S193" i="81" s="1"/>
  <c r="P29" i="81"/>
  <c r="P99" i="81"/>
  <c r="E193" i="81"/>
  <c r="E129" i="81"/>
  <c r="P41" i="81"/>
  <c r="E41" i="81"/>
  <c r="E151" i="81"/>
  <c r="E87" i="81"/>
  <c r="P193" i="81"/>
  <c r="E163" i="81"/>
  <c r="E29" i="81"/>
  <c r="E181" i="81"/>
  <c r="E99" i="81"/>
  <c r="P129" i="81"/>
  <c r="P163" i="81"/>
  <c r="E125" i="81"/>
  <c r="E147" i="81"/>
  <c r="E189" i="81"/>
  <c r="P25" i="81"/>
  <c r="E159" i="81"/>
  <c r="E177" i="81"/>
  <c r="E83" i="81"/>
  <c r="P189" i="81"/>
  <c r="E25" i="81"/>
  <c r="P95" i="81"/>
  <c r="P159" i="81"/>
  <c r="P125" i="81"/>
  <c r="E95" i="81"/>
  <c r="E37" i="81"/>
  <c r="P37" i="81"/>
  <c r="P94" i="81"/>
  <c r="P36" i="81"/>
  <c r="P158" i="81"/>
  <c r="E124" i="81"/>
  <c r="E36" i="81"/>
  <c r="P24" i="81"/>
  <c r="E146" i="81"/>
  <c r="E188" i="81"/>
  <c r="E158" i="81"/>
  <c r="E176" i="81"/>
  <c r="E24" i="81"/>
  <c r="P188" i="81"/>
  <c r="P124" i="81"/>
  <c r="E94" i="81"/>
  <c r="E82" i="81"/>
  <c r="S159" i="81" a="1"/>
  <c r="S159" i="81" s="1"/>
  <c r="S163" i="81" a="1"/>
  <c r="S163" i="81" s="1"/>
  <c r="R96" i="81" a="1"/>
  <c r="R96" i="81" s="1"/>
  <c r="G124" i="81" a="1"/>
  <c r="G124" i="81" s="1"/>
  <c r="S129" i="81" a="1"/>
  <c r="S129" i="81" s="1"/>
  <c r="R70" i="82"/>
  <c r="P73" i="82" s="1" a="1"/>
  <c r="P73" i="82" s="1"/>
  <c r="I9" i="13" s="1"/>
  <c r="P261" i="69"/>
  <c r="E242" i="76"/>
  <c r="E46" i="82"/>
  <c r="P25" i="82"/>
  <c r="O277" i="76"/>
  <c r="E277" i="76"/>
  <c r="E261" i="69"/>
  <c r="P146" i="69"/>
  <c r="P209" i="69"/>
  <c r="E146" i="69"/>
  <c r="E209" i="69"/>
  <c r="O230" i="76"/>
  <c r="P46" i="82"/>
  <c r="E25" i="82"/>
  <c r="O242" i="76"/>
  <c r="E230" i="76"/>
  <c r="P126" i="69"/>
  <c r="E126" i="69"/>
  <c r="P136" i="69"/>
  <c r="E136" i="69"/>
  <c r="H205" i="69" a="1"/>
  <c r="H205" i="69" s="1"/>
  <c r="H257" i="69" s="1" a="1"/>
  <c r="H257" i="69" s="1"/>
  <c r="F209" i="69" a="1"/>
  <c r="F209" i="69" s="1"/>
  <c r="F261" i="69" s="1" a="1"/>
  <c r="F261" i="69" s="1"/>
  <c r="I205" i="69" a="1"/>
  <c r="I205" i="69" s="1"/>
  <c r="I257" i="69" s="1" a="1"/>
  <c r="I257" i="69" s="1"/>
  <c r="J209" i="69" a="1"/>
  <c r="J209" i="69" s="1"/>
  <c r="J261" i="69" s="1" a="1"/>
  <c r="J261" i="69" s="1"/>
  <c r="I209" i="69" a="1"/>
  <c r="I209" i="69" s="1"/>
  <c r="I261" i="69" s="1" a="1"/>
  <c r="I261" i="69" s="1"/>
  <c r="G209" i="69" a="1"/>
  <c r="G209" i="69" s="1"/>
  <c r="G261" i="69" s="1" a="1"/>
  <c r="G261" i="69" s="1"/>
  <c r="U209" i="69" a="1"/>
  <c r="U209" i="69" s="1"/>
  <c r="U261" i="69" s="1" a="1"/>
  <c r="U261" i="69" s="1"/>
  <c r="T205" i="69" a="1"/>
  <c r="T205" i="69" s="1"/>
  <c r="T257" i="69" s="1" a="1"/>
  <c r="T257" i="69" s="1"/>
  <c r="Q205" i="69" a="1"/>
  <c r="Q205" i="69" s="1"/>
  <c r="Q257" i="69" s="1" a="1"/>
  <c r="Q257" i="69" s="1"/>
  <c r="G205" i="69" a="1"/>
  <c r="G205" i="69" s="1"/>
  <c r="G257" i="69" s="1" a="1"/>
  <c r="G257" i="69" s="1"/>
  <c r="F205" i="69" a="1"/>
  <c r="F205" i="69" s="1"/>
  <c r="F257" i="69" s="1" a="1"/>
  <c r="F257" i="69" s="1"/>
  <c r="S205" i="69" a="1"/>
  <c r="S205" i="69" s="1"/>
  <c r="S257" i="69" s="1" a="1"/>
  <c r="S257" i="69" s="1"/>
  <c r="Q209" i="69" a="1"/>
  <c r="Q209" i="69" s="1"/>
  <c r="Q261" i="69" s="1" a="1"/>
  <c r="Q261" i="69" s="1"/>
  <c r="R209" i="69" a="1"/>
  <c r="R209" i="69" s="1"/>
  <c r="R261" i="69" s="1" a="1"/>
  <c r="R261" i="69" s="1"/>
  <c r="U205" i="69" a="1"/>
  <c r="U205" i="69" s="1"/>
  <c r="U257" i="69" s="1" a="1"/>
  <c r="U257" i="69" s="1"/>
  <c r="J205" i="69" a="1"/>
  <c r="J205" i="69" s="1"/>
  <c r="J257" i="69" s="1" a="1"/>
  <c r="J257" i="69" s="1"/>
  <c r="S209" i="69" a="1"/>
  <c r="S209" i="69" s="1"/>
  <c r="S261" i="69" s="1" a="1"/>
  <c r="S261" i="69" s="1"/>
  <c r="R205" i="69" a="1"/>
  <c r="R205" i="69" s="1"/>
  <c r="R257" i="69" s="1" a="1"/>
  <c r="R257" i="69" s="1"/>
  <c r="T209" i="69" a="1"/>
  <c r="T209" i="69" s="1"/>
  <c r="T261" i="69" s="1" a="1"/>
  <c r="T261" i="69" s="1"/>
  <c r="H209" i="69" a="1"/>
  <c r="H209" i="69" s="1"/>
  <c r="H261" i="69" s="1" a="1"/>
  <c r="H261" i="69" s="1"/>
  <c r="F207" i="69" a="1"/>
  <c r="F207" i="69" s="1"/>
  <c r="F259" i="69" s="1" a="1"/>
  <c r="F259" i="69" s="1"/>
  <c r="I203" i="69" a="1"/>
  <c r="I203" i="69" s="1"/>
  <c r="I255" i="69" s="1" a="1"/>
  <c r="I255" i="69" s="1"/>
  <c r="I207" i="69" a="1"/>
  <c r="I207" i="69" s="1"/>
  <c r="I259" i="69" s="1" a="1"/>
  <c r="I259" i="69" s="1"/>
  <c r="F203" i="69" a="1"/>
  <c r="F203" i="69" s="1"/>
  <c r="F255" i="69" s="1" a="1"/>
  <c r="F255" i="69" s="1"/>
  <c r="R203" i="69" a="1"/>
  <c r="R203" i="69" s="1"/>
  <c r="R255" i="69" s="1" a="1"/>
  <c r="R255" i="69" s="1"/>
  <c r="J207" i="69" a="1"/>
  <c r="J207" i="69" s="1"/>
  <c r="J259" i="69" s="1" a="1"/>
  <c r="J259" i="69" s="1"/>
  <c r="J203" i="69" a="1"/>
  <c r="J203" i="69" s="1"/>
  <c r="J255" i="69" s="1" a="1"/>
  <c r="J255" i="69" s="1"/>
  <c r="T207" i="69" a="1"/>
  <c r="T207" i="69" s="1"/>
  <c r="T259" i="69" s="1" a="1"/>
  <c r="T259" i="69" s="1"/>
  <c r="H207" i="69" a="1"/>
  <c r="H207" i="69" s="1"/>
  <c r="H259" i="69" s="1" a="1"/>
  <c r="H259" i="69" s="1"/>
  <c r="Q203" i="69" a="1"/>
  <c r="Q203" i="69" s="1"/>
  <c r="Q255" i="69" s="1" a="1"/>
  <c r="Q255" i="69" s="1"/>
  <c r="U207" i="69" a="1"/>
  <c r="U207" i="69" s="1"/>
  <c r="U259" i="69" s="1" a="1"/>
  <c r="U259" i="69" s="1"/>
  <c r="G207" i="69" a="1"/>
  <c r="G207" i="69" s="1"/>
  <c r="G259" i="69" s="1" a="1"/>
  <c r="G259" i="69" s="1"/>
  <c r="S207" i="69" a="1"/>
  <c r="S207" i="69" s="1"/>
  <c r="S259" i="69" s="1" a="1"/>
  <c r="S259" i="69" s="1"/>
  <c r="S203" i="69" a="1"/>
  <c r="S203" i="69" s="1"/>
  <c r="S255" i="69" s="1" a="1"/>
  <c r="S255" i="69" s="1"/>
  <c r="H203" i="69" a="1"/>
  <c r="H203" i="69" s="1"/>
  <c r="H255" i="69" s="1" a="1"/>
  <c r="H255" i="69" s="1"/>
  <c r="T203" i="69" a="1"/>
  <c r="T203" i="69" s="1"/>
  <c r="T255" i="69" s="1" a="1"/>
  <c r="T255" i="69" s="1"/>
  <c r="G203" i="69" a="1"/>
  <c r="G203" i="69" s="1"/>
  <c r="G255" i="69" s="1" a="1"/>
  <c r="G255" i="69" s="1"/>
  <c r="U203" i="69" a="1"/>
  <c r="U203" i="69" s="1"/>
  <c r="U255" i="69" s="1" a="1"/>
  <c r="U255" i="69" s="1"/>
  <c r="R207" i="69" a="1"/>
  <c r="R207" i="69" s="1"/>
  <c r="R259" i="69" s="1" a="1"/>
  <c r="R259" i="69" s="1"/>
  <c r="Q207" i="69" a="1"/>
  <c r="Q207" i="69" s="1"/>
  <c r="Q259" i="69" s="1" a="1"/>
  <c r="Q259" i="69" s="1"/>
  <c r="P45" i="82"/>
  <c r="E260" i="69"/>
  <c r="P260" i="69"/>
  <c r="E241" i="76"/>
  <c r="E45" i="82"/>
  <c r="P24" i="82"/>
  <c r="E276" i="76"/>
  <c r="O241" i="76"/>
  <c r="P208" i="69"/>
  <c r="E208" i="69"/>
  <c r="P145" i="69"/>
  <c r="O229" i="76"/>
  <c r="O276" i="76"/>
  <c r="E24" i="82"/>
  <c r="E229" i="76"/>
  <c r="P135" i="69"/>
  <c r="E135" i="69"/>
  <c r="E145" i="69"/>
  <c r="P125" i="69"/>
  <c r="E125" i="69"/>
  <c r="J208" i="69" a="1"/>
  <c r="J208" i="69" s="1"/>
  <c r="J260" i="69" s="1" a="1"/>
  <c r="J260" i="69" s="1"/>
  <c r="F204" i="69" a="1"/>
  <c r="F204" i="69" s="1"/>
  <c r="F256" i="69" s="1" a="1"/>
  <c r="F256" i="69" s="1"/>
  <c r="F208" i="69" a="1"/>
  <c r="F208" i="69" s="1"/>
  <c r="F260" i="69" s="1" a="1"/>
  <c r="F260" i="69" s="1"/>
  <c r="H208" i="69" a="1"/>
  <c r="H208" i="69" s="1"/>
  <c r="H260" i="69" s="1" a="1"/>
  <c r="H260" i="69" s="1"/>
  <c r="J204" i="69" a="1"/>
  <c r="J204" i="69" s="1"/>
  <c r="J256" i="69" s="1" a="1"/>
  <c r="J256" i="69" s="1"/>
  <c r="I208" i="69" a="1"/>
  <c r="I208" i="69" s="1"/>
  <c r="I260" i="69" s="1" a="1"/>
  <c r="I260" i="69" s="1"/>
  <c r="Q208" i="69" a="1"/>
  <c r="Q208" i="69" s="1"/>
  <c r="Q260" i="69" s="1" a="1"/>
  <c r="Q260" i="69" s="1"/>
  <c r="Q204" i="69" a="1"/>
  <c r="Q204" i="69" s="1"/>
  <c r="Q256" i="69" s="1" a="1"/>
  <c r="Q256" i="69" s="1"/>
  <c r="G208" i="69" a="1"/>
  <c r="G208" i="69" s="1"/>
  <c r="G260" i="69" s="1" a="1"/>
  <c r="G260" i="69" s="1"/>
  <c r="I204" i="69" a="1"/>
  <c r="I204" i="69" s="1"/>
  <c r="I256" i="69" s="1" a="1"/>
  <c r="I256" i="69" s="1"/>
  <c r="S208" i="69" a="1"/>
  <c r="S208" i="69" s="1"/>
  <c r="S260" i="69" s="1" a="1"/>
  <c r="S260" i="69" s="1"/>
  <c r="U204" i="69" a="1"/>
  <c r="U204" i="69" s="1"/>
  <c r="U256" i="69" s="1" a="1"/>
  <c r="U256" i="69" s="1"/>
  <c r="G204" i="69" a="1"/>
  <c r="G204" i="69" s="1"/>
  <c r="G256" i="69" s="1" a="1"/>
  <c r="G256" i="69" s="1"/>
  <c r="R204" i="69" a="1"/>
  <c r="R204" i="69" s="1"/>
  <c r="R256" i="69" s="1" a="1"/>
  <c r="R256" i="69" s="1"/>
  <c r="R208" i="69" a="1"/>
  <c r="R208" i="69" s="1"/>
  <c r="R260" i="69" s="1" a="1"/>
  <c r="R260" i="69" s="1"/>
  <c r="S204" i="69" a="1"/>
  <c r="S204" i="69" s="1"/>
  <c r="S256" i="69" s="1" a="1"/>
  <c r="S256" i="69" s="1"/>
  <c r="H204" i="69" a="1"/>
  <c r="H204" i="69" s="1"/>
  <c r="H256" i="69" s="1" a="1"/>
  <c r="H256" i="69" s="1"/>
  <c r="T204" i="69" a="1"/>
  <c r="T204" i="69" s="1"/>
  <c r="T256" i="69" s="1" a="1"/>
  <c r="T256" i="69" s="1"/>
  <c r="T208" i="69" a="1"/>
  <c r="T208" i="69" s="1"/>
  <c r="T260" i="69" s="1" a="1"/>
  <c r="T260" i="69" s="1"/>
  <c r="U208" i="69" a="1"/>
  <c r="U208" i="69" s="1"/>
  <c r="U260" i="69" s="1" a="1"/>
  <c r="U260" i="69" s="1"/>
  <c r="D109" i="70"/>
  <c r="P204" i="69"/>
  <c r="P132" i="69"/>
  <c r="P41" i="82"/>
  <c r="O225" i="76"/>
  <c r="E132" i="69"/>
  <c r="E122" i="69"/>
  <c r="E20" i="82"/>
  <c r="E225" i="76"/>
  <c r="O272" i="76"/>
  <c r="E41" i="82"/>
  <c r="P20" i="82"/>
  <c r="E272" i="76"/>
  <c r="O237" i="76"/>
  <c r="E256" i="69"/>
  <c r="E142" i="69"/>
  <c r="P122" i="69"/>
  <c r="E237" i="76"/>
  <c r="P142" i="69"/>
  <c r="E204" i="69"/>
  <c r="P256" i="69"/>
  <c r="D108" i="70"/>
  <c r="D84" i="70"/>
  <c r="D74" i="70"/>
  <c r="D165" i="70"/>
  <c r="D118" i="70"/>
  <c r="D91" i="70"/>
  <c r="D141" i="70"/>
  <c r="D125" i="70"/>
  <c r="D73" i="70"/>
  <c r="D107" i="70"/>
  <c r="D75" i="70"/>
  <c r="J210" i="69" a="1"/>
  <c r="J210" i="69" s="1"/>
  <c r="J262" i="69" s="1" a="1"/>
  <c r="J262" i="69" s="1"/>
  <c r="I206" i="69" a="1"/>
  <c r="I206" i="69" s="1"/>
  <c r="I258" i="69" s="1" a="1"/>
  <c r="I258" i="69" s="1"/>
  <c r="Q210" i="69" a="1"/>
  <c r="Q210" i="69" s="1"/>
  <c r="Q262" i="69" s="1" a="1"/>
  <c r="Q262" i="69" s="1"/>
  <c r="T206" i="69" a="1"/>
  <c r="T206" i="69" s="1"/>
  <c r="T258" i="69" s="1" a="1"/>
  <c r="T258" i="69" s="1"/>
  <c r="R206" i="69" a="1"/>
  <c r="R206" i="69" s="1"/>
  <c r="R258" i="69" s="1" a="1"/>
  <c r="R258" i="69" s="1"/>
  <c r="F210" i="69" a="1"/>
  <c r="F210" i="69" s="1"/>
  <c r="F262" i="69" s="1" a="1"/>
  <c r="F262" i="69" s="1"/>
  <c r="Q206" i="69" a="1"/>
  <c r="Q206" i="69" s="1"/>
  <c r="Q258" i="69" s="1" a="1"/>
  <c r="Q258" i="69" s="1"/>
  <c r="H206" i="69" a="1"/>
  <c r="H206" i="69" s="1"/>
  <c r="H258" i="69" s="1" a="1"/>
  <c r="H258" i="69" s="1"/>
  <c r="U206" i="69" a="1"/>
  <c r="U206" i="69" s="1"/>
  <c r="U258" i="69" s="1" a="1"/>
  <c r="U258" i="69" s="1"/>
  <c r="I210" i="69" a="1"/>
  <c r="I210" i="69" s="1"/>
  <c r="I262" i="69" s="1" a="1"/>
  <c r="I262" i="69" s="1"/>
  <c r="U210" i="69" a="1"/>
  <c r="U210" i="69" s="1"/>
  <c r="U262" i="69" s="1" a="1"/>
  <c r="U262" i="69" s="1"/>
  <c r="J206" i="69" a="1"/>
  <c r="J206" i="69" s="1"/>
  <c r="J258" i="69" s="1" a="1"/>
  <c r="J258" i="69" s="1"/>
  <c r="S210" i="69" a="1"/>
  <c r="S210" i="69" s="1"/>
  <c r="S262" i="69" s="1" a="1"/>
  <c r="S262" i="69" s="1"/>
  <c r="H210" i="69" a="1"/>
  <c r="H210" i="69" s="1"/>
  <c r="H262" i="69" s="1" a="1"/>
  <c r="H262" i="69" s="1"/>
  <c r="G210" i="69" a="1"/>
  <c r="G210" i="69" s="1"/>
  <c r="G262" i="69" s="1" a="1"/>
  <c r="G262" i="69" s="1"/>
  <c r="S206" i="69" a="1"/>
  <c r="S206" i="69" s="1"/>
  <c r="S258" i="69" s="1" a="1"/>
  <c r="S258" i="69" s="1"/>
  <c r="R210" i="69" a="1"/>
  <c r="R210" i="69" s="1"/>
  <c r="R262" i="69" s="1" a="1"/>
  <c r="R262" i="69" s="1"/>
  <c r="G206" i="69" a="1"/>
  <c r="G206" i="69" s="1"/>
  <c r="G258" i="69" s="1" a="1"/>
  <c r="G258" i="69" s="1"/>
  <c r="T210" i="69" a="1"/>
  <c r="T210" i="69" s="1"/>
  <c r="T262" i="69" s="1" a="1"/>
  <c r="T262" i="69" s="1"/>
  <c r="F206" i="69" a="1"/>
  <c r="F206" i="69" s="1"/>
  <c r="F258" i="69" s="1" a="1"/>
  <c r="F258" i="69" s="1"/>
  <c r="D160" i="70"/>
  <c r="E40" i="82"/>
  <c r="P19" i="82"/>
  <c r="E271" i="76"/>
  <c r="E255" i="69"/>
  <c r="P141" i="69"/>
  <c r="P121" i="69"/>
  <c r="P131" i="69"/>
  <c r="E121" i="69"/>
  <c r="O271" i="76"/>
  <c r="O224" i="76"/>
  <c r="E131" i="69"/>
  <c r="E19" i="82"/>
  <c r="E224" i="76"/>
  <c r="P40" i="82"/>
  <c r="E236" i="76"/>
  <c r="O236" i="76"/>
  <c r="E141" i="69"/>
  <c r="P203" i="69"/>
  <c r="P255" i="69"/>
  <c r="E203" i="69"/>
  <c r="D103" i="70"/>
  <c r="D102" i="70"/>
  <c r="D90" i="70"/>
  <c r="D117" i="70"/>
  <c r="D136" i="70"/>
  <c r="D70" i="70"/>
  <c r="D124" i="70"/>
  <c r="D104" i="70"/>
  <c r="D83" i="70"/>
  <c r="D69" i="70"/>
  <c r="D68" i="70"/>
  <c r="D78" i="70"/>
  <c r="O226" i="76"/>
  <c r="P205" i="69"/>
  <c r="O273" i="76"/>
  <c r="E133" i="69"/>
  <c r="E123" i="69"/>
  <c r="O238" i="76"/>
  <c r="E21" i="82"/>
  <c r="E226" i="76"/>
  <c r="P42" i="82"/>
  <c r="E238" i="76"/>
  <c r="E205" i="69"/>
  <c r="E42" i="82"/>
  <c r="P21" i="82"/>
  <c r="E273" i="76"/>
  <c r="E143" i="69"/>
  <c r="P123" i="69"/>
  <c r="P143" i="69"/>
  <c r="P133" i="69"/>
  <c r="P257" i="69"/>
  <c r="E257" i="69"/>
  <c r="D113" i="70"/>
  <c r="D146" i="70"/>
  <c r="D80" i="70"/>
  <c r="D85" i="70"/>
  <c r="D114" i="70"/>
  <c r="D126" i="70"/>
  <c r="D92" i="70"/>
  <c r="D119" i="70"/>
  <c r="D112" i="70"/>
  <c r="D79" i="70"/>
  <c r="D170" i="70"/>
  <c r="E23" i="82"/>
  <c r="E228" i="76"/>
  <c r="E134" i="69"/>
  <c r="O240" i="76"/>
  <c r="O275" i="76"/>
  <c r="P259" i="69"/>
  <c r="E240" i="76"/>
  <c r="E44" i="82"/>
  <c r="P23" i="82"/>
  <c r="E275" i="76"/>
  <c r="E259" i="69"/>
  <c r="P44" i="82"/>
  <c r="P144" i="69"/>
  <c r="P207" i="69"/>
  <c r="P134" i="69"/>
  <c r="O228" i="76"/>
  <c r="E207" i="69"/>
  <c r="E144" i="69"/>
  <c r="P124" i="69"/>
  <c r="E124" i="69"/>
  <c r="E47" i="82"/>
  <c r="P26" i="82"/>
  <c r="E278" i="76"/>
  <c r="P47" i="82"/>
  <c r="P210" i="69"/>
  <c r="E262" i="69"/>
  <c r="E173" i="69"/>
  <c r="O243" i="76"/>
  <c r="O231" i="76"/>
  <c r="E26" i="82"/>
  <c r="E231" i="76"/>
  <c r="E167" i="69"/>
  <c r="E243" i="76"/>
  <c r="P262" i="69"/>
  <c r="O278" i="76"/>
  <c r="P167" i="69"/>
  <c r="P173" i="69"/>
  <c r="E210" i="69"/>
  <c r="D151" i="70"/>
  <c r="P43" i="82"/>
  <c r="E22" i="82"/>
  <c r="E227" i="76"/>
  <c r="E172" i="69"/>
  <c r="P258" i="69"/>
  <c r="E239" i="76"/>
  <c r="E43" i="82"/>
  <c r="P22" i="82"/>
  <c r="E258" i="69"/>
  <c r="O274" i="76"/>
  <c r="O227" i="76"/>
  <c r="E274" i="76"/>
  <c r="E206" i="69"/>
  <c r="P206" i="69"/>
  <c r="E166" i="69"/>
  <c r="O239" i="76"/>
  <c r="P172" i="69"/>
  <c r="P166" i="69"/>
  <c r="D175" i="70"/>
  <c r="E13" i="15"/>
  <c r="G70" i="82" l="1"/>
  <c r="E73" i="82" s="1" a="1"/>
  <c r="E73" i="82" s="1"/>
  <c r="H9" i="13" s="1"/>
  <c r="E132" i="81"/>
  <c r="P132" i="81"/>
  <c r="P196" i="81"/>
  <c r="P166" i="81"/>
  <c r="E166" i="81"/>
  <c r="E22" i="13" s="1"/>
  <c r="E102" i="81"/>
  <c r="E21" i="13" s="1"/>
  <c r="E196" i="81"/>
  <c r="E23" i="13" s="1"/>
  <c r="E280" i="76"/>
  <c r="P264" i="69"/>
  <c r="O280" i="76"/>
  <c r="F8" i="13" s="1"/>
  <c r="E264" i="69"/>
  <c r="E7" i="13" l="1"/>
  <c r="G266" i="69"/>
  <c r="E269" i="69" s="1" a="1"/>
  <c r="E269" i="69" s="1"/>
  <c r="H7" i="13" s="1"/>
  <c r="R266" i="69"/>
  <c r="P269" i="69" s="1" a="1"/>
  <c r="P269" i="69" s="1"/>
  <c r="I7" i="13" s="1"/>
  <c r="F7" i="13"/>
  <c r="Q282" i="76"/>
  <c r="O285" i="76" s="1" a="1"/>
  <c r="O285" i="76" s="1"/>
  <c r="I8" i="13" s="1"/>
  <c r="G282" i="76"/>
  <c r="E285" i="76" s="1" a="1"/>
  <c r="E285" i="76" s="1"/>
  <c r="H8" i="13" s="1"/>
  <c r="E8" i="13"/>
  <c r="I15" i="13" l="1"/>
  <c r="H15" i="13"/>
</calcChain>
</file>

<file path=xl/metadata.xml><?xml version="1.0" encoding="utf-8"?>
<metadata xmlns="http://schemas.openxmlformats.org/spreadsheetml/2006/main" xmlns:xlrd="http://schemas.microsoft.com/office/spreadsheetml/2017/richdata" xmlns:xda="http://schemas.microsoft.com/office/spreadsheetml/2017/dynamicarray">
  <metadataTypes count="2">
    <metadataType name="XLDAPR" minSupportedVersion="120000" copy="1" pasteAll="1" pasteValues="1" merge="1" splitFirst="1" rowColShift="1" clearFormats="1" clearComments="1" assign="1" coerce="1" cellMeta="1"/>
    <metadataType name="XLRICHVALUE" minSupportedVersion="120000" copy="1" pasteAll="1" pasteValues="1" merge="1" splitFirst="1" rowColShift="1" clearFormats="1" clearComments="1" assign="1" coerce="1"/>
  </metadataTypes>
  <futureMetadata name="XLDAPR" count="1">
    <bk>
      <extLst>
        <ext uri="{bdbb8cdc-fa1e-496e-a857-3c3f30c029c3}">
          <xda:dynamicArrayProperties fDynamic="1" fCollapsed="0"/>
        </ext>
      </extLst>
    </bk>
  </futureMetadata>
  <futureMetadata name="XLRICHVALUE" count="1">
    <bk>
      <extLst>
        <ext uri="{3e2802c4-a4d2-4d8b-9148-e3be6c30e623}">
          <xlrd:rvb i="0"/>
        </ext>
      </extLst>
    </bk>
  </futureMetadata>
  <cellMetadata count="1">
    <bk>
      <rc t="1" v="0"/>
    </bk>
  </cellMetadata>
  <valueMetadata count="1">
    <bk>
      <rc t="2" v="0"/>
    </bk>
  </valueMetadata>
</metadata>
</file>

<file path=xl/sharedStrings.xml><?xml version="1.0" encoding="utf-8"?>
<sst xmlns="http://schemas.openxmlformats.org/spreadsheetml/2006/main" count="1736" uniqueCount="433">
  <si>
    <t>Home</t>
  </si>
  <si>
    <t>N2O MMS</t>
  </si>
  <si>
    <t>Sources &amp; acknowledgements</t>
  </si>
  <si>
    <t>INPUTS</t>
  </si>
  <si>
    <t>APPENDICES</t>
  </si>
  <si>
    <t>Emissions breakdown</t>
  </si>
  <si>
    <t>Test Farms</t>
  </si>
  <si>
    <t>Farm name</t>
  </si>
  <si>
    <t>State</t>
  </si>
  <si>
    <t>Leaching zone</t>
  </si>
  <si>
    <t>Climate zone</t>
  </si>
  <si>
    <r>
      <rPr>
        <sz val="12"/>
        <color theme="1" tint="0.34998626667073579"/>
        <rFont val="Times New Roman"/>
        <family val="1"/>
      </rPr>
      <t xml:space="preserve">← </t>
    </r>
    <r>
      <rPr>
        <i/>
        <sz val="12"/>
        <color theme="1" tint="0.34998626667073579"/>
        <rFont val="Times New Roman"/>
        <family val="1"/>
      </rPr>
      <t>Please select</t>
    </r>
  </si>
  <si>
    <t>Degrees celsius</t>
  </si>
  <si>
    <t>Millimetres</t>
  </si>
  <si>
    <t>Location and climate</t>
  </si>
  <si>
    <t>Your business</t>
  </si>
  <si>
    <t>Location information is used to reference some region and climate-specific emission factors</t>
  </si>
  <si>
    <r>
      <rPr>
        <sz val="12"/>
        <color theme="1" tint="0.34998626667073579"/>
        <rFont val="Times New Roman"/>
        <family val="1"/>
      </rPr>
      <t xml:space="preserve">← </t>
    </r>
    <r>
      <rPr>
        <i/>
        <sz val="12"/>
        <color theme="1" tint="0.34998626667073579"/>
        <rFont val="Times New Roman"/>
        <family val="1"/>
      </rPr>
      <t>Automatically calculated, 12 months after start date</t>
    </r>
  </si>
  <si>
    <t xml:space="preserve"> </t>
  </si>
  <si>
    <t>Dry matter digestibility</t>
  </si>
  <si>
    <t>Percent</t>
  </si>
  <si>
    <t>Unit</t>
  </si>
  <si>
    <t>Manure management system</t>
  </si>
  <si>
    <t>State/Territory</t>
  </si>
  <si>
    <t>Common Name</t>
  </si>
  <si>
    <t>Abbreviation</t>
  </si>
  <si>
    <t>SA 4 Name</t>
  </si>
  <si>
    <t>Region (ABS Statistical area level 4) if state is WA</t>
  </si>
  <si>
    <t>Function name</t>
  </si>
  <si>
    <t>Gas</t>
  </si>
  <si>
    <t>CO2-e factor</t>
  </si>
  <si>
    <t>Variable</t>
  </si>
  <si>
    <t>Conversion factor</t>
  </si>
  <si>
    <t>Conversion factor 1</t>
  </si>
  <si>
    <t>Conversion factor 2</t>
  </si>
  <si>
    <t>Conversion factor combined</t>
  </si>
  <si>
    <t>Western Australia - Outback (South)</t>
  </si>
  <si>
    <t>Rainfall zone</t>
  </si>
  <si>
    <t>MAT</t>
  </si>
  <si>
    <t>MAP</t>
  </si>
  <si>
    <t>Frost days per year</t>
  </si>
  <si>
    <t>Elevation</t>
  </si>
  <si>
    <t>MAP:PET</t>
  </si>
  <si>
    <t>Min temp</t>
  </si>
  <si>
    <t>Max temp</t>
  </si>
  <si>
    <t>Min rainfall</t>
  </si>
  <si>
    <t>Max rainfall</t>
  </si>
  <si>
    <t>Min frost days</t>
  </si>
  <si>
    <t>Min elevation</t>
  </si>
  <si>
    <t>Min MAP:PET</t>
  </si>
  <si>
    <t>Wet or Dry Zone</t>
  </si>
  <si>
    <t>Max frost days</t>
  </si>
  <si>
    <t>Max elevation</t>
  </si>
  <si>
    <t>Max MAP:PET</t>
  </si>
  <si>
    <t>Temperature zone</t>
  </si>
  <si>
    <t>Meters</t>
  </si>
  <si>
    <t>Days</t>
  </si>
  <si>
    <t>Temperature Zone</t>
  </si>
  <si>
    <t>Min MAT</t>
  </si>
  <si>
    <t>Max MAT</t>
  </si>
  <si>
    <t>Rainfall Zone</t>
  </si>
  <si>
    <t>Annual rainfall</t>
  </si>
  <si>
    <t>MAP:PET ratio</t>
  </si>
  <si>
    <t>Average temperature for reporting period</t>
  </si>
  <si>
    <t>Total rainfall for reporting period</t>
  </si>
  <si>
    <t>Potential evapotranspiration for reporting period</t>
  </si>
  <si>
    <t>Number of frost days for reporting period</t>
  </si>
  <si>
    <t>Leaching Zone</t>
  </si>
  <si>
    <t>Leaching criteria</t>
  </si>
  <si>
    <t>MMS</t>
  </si>
  <si>
    <t>Data source</t>
  </si>
  <si>
    <t>Data score</t>
  </si>
  <si>
    <r>
      <rPr>
        <sz val="12"/>
        <color theme="1" tint="0.34998626667073579"/>
        <rFont val="Times New Roman"/>
        <family val="1"/>
      </rPr>
      <t xml:space="preserve">← </t>
    </r>
    <r>
      <rPr>
        <i/>
        <sz val="12"/>
        <color theme="1" tint="0.34998626667073579"/>
        <rFont val="Times New Roman"/>
        <family val="1"/>
      </rPr>
      <t>DD/MM/YYYY or DD Month YYYY</t>
    </r>
  </si>
  <si>
    <t>Tip: Use the web-based GAF Location Helper tool to easily get region and climate information. You will need an internet connection to use the GAF Location Helper.</t>
  </si>
  <si>
    <t>Reporting entity name</t>
  </si>
  <si>
    <t>Test Farms Pty Ltd</t>
  </si>
  <si>
    <t>Freight and transport</t>
  </si>
  <si>
    <t>Enteric methane</t>
  </si>
  <si>
    <t>CALCULATIONS</t>
  </si>
  <si>
    <t>Constants - Common</t>
  </si>
  <si>
    <t>Waste</t>
  </si>
  <si>
    <t>Constants - Livestock</t>
  </si>
  <si>
    <t>Symbol</t>
  </si>
  <si>
    <t>Symbol and MMS</t>
  </si>
  <si>
    <t>ACT</t>
  </si>
  <si>
    <t>NSW</t>
  </si>
  <si>
    <t>NT</t>
  </si>
  <si>
    <t>QLD</t>
  </si>
  <si>
    <t>SA</t>
  </si>
  <si>
    <t>TAS</t>
  </si>
  <si>
    <t>VIC</t>
  </si>
  <si>
    <t>WA</t>
  </si>
  <si>
    <t>💡An 'Emissions accounting period' is a 12 month period where the business can report on the emissions, and is typically the same as the business' financial accounting period.</t>
  </si>
  <si>
    <t>Input - Site</t>
  </si>
  <si>
    <t>Wet or dry climate zone</t>
  </si>
  <si>
    <t>Is in leaching zone</t>
  </si>
  <si>
    <t>FracWET</t>
  </si>
  <si>
    <t>NO - Not in leaching zone</t>
  </si>
  <si>
    <t>Emissions calculation period start date</t>
  </si>
  <si>
    <t>Emissions calculation period end date</t>
  </si>
  <si>
    <r>
      <t>MCF</t>
    </r>
    <r>
      <rPr>
        <b/>
        <vertAlign val="subscript"/>
        <sz val="11"/>
        <color rgb="FF183C1B"/>
        <rFont val="Times New Roman"/>
        <family val="1"/>
      </rPr>
      <t>im</t>
    </r>
  </si>
  <si>
    <t>Fraction</t>
  </si>
  <si>
    <t>MMS m</t>
  </si>
  <si>
    <t>Stage 1 MMS</t>
  </si>
  <si>
    <t>Manure management systems</t>
  </si>
  <si>
    <t>New South Wales</t>
  </si>
  <si>
    <t>Herd movement</t>
  </si>
  <si>
    <t>Duration of stay</t>
  </si>
  <si>
    <t>head</t>
  </si>
  <si>
    <t>Table_N_j</t>
  </si>
  <si>
    <t>Head</t>
  </si>
  <si>
    <r>
      <t>E</t>
    </r>
    <r>
      <rPr>
        <vertAlign val="subscript"/>
        <sz val="12"/>
        <color theme="1" tint="0.24994659260841701"/>
        <rFont val="Times New Roman"/>
        <family val="1"/>
      </rPr>
      <t>CO2e</t>
    </r>
  </si>
  <si>
    <t>Sold as fertiliser</t>
  </si>
  <si>
    <t>Formula name</t>
  </si>
  <si>
    <t>Crude protein</t>
  </si>
  <si>
    <t>Source Data - Feedlot</t>
  </si>
  <si>
    <t>M1_Table_I_j</t>
  </si>
  <si>
    <t>M1_Table_CP_j</t>
  </si>
  <si>
    <t>M2_Table_I_j</t>
  </si>
  <si>
    <t>M1_Table_NR_j</t>
  </si>
  <si>
    <t>M2_Table_NR_j</t>
  </si>
  <si>
    <t>M1_Table_NE_j</t>
  </si>
  <si>
    <t>M2_Table_NE_j</t>
  </si>
  <si>
    <t>Method 1</t>
  </si>
  <si>
    <t>Method 2</t>
  </si>
  <si>
    <t>M1_Table_AE_j</t>
  </si>
  <si>
    <r>
      <t>E</t>
    </r>
    <r>
      <rPr>
        <b/>
        <vertAlign val="subscript"/>
        <sz val="16"/>
        <color theme="1" tint="0.24994659260841701"/>
        <rFont val="Times New Roman"/>
        <family val="1"/>
      </rPr>
      <t>N2O,dir</t>
    </r>
  </si>
  <si>
    <t>M1_Table_E_N2O_dir</t>
  </si>
  <si>
    <t>M1_Table_DMD_j</t>
  </si>
  <si>
    <t>M1_Table_VS_j</t>
  </si>
  <si>
    <t>Dry matter digestibility (Method 1)</t>
  </si>
  <si>
    <t>M2_Table_DMD_j</t>
  </si>
  <si>
    <t>M2_Table_VS_j</t>
  </si>
  <si>
    <t>ECH4 (Method 1)</t>
  </si>
  <si>
    <r>
      <t>E</t>
    </r>
    <r>
      <rPr>
        <vertAlign val="subscript"/>
        <sz val="12"/>
        <color theme="1" tint="0.24994659260841701"/>
        <rFont val="Times New Roman"/>
        <family val="1"/>
      </rPr>
      <t>CO2e</t>
    </r>
    <r>
      <rPr>
        <sz val="12"/>
        <color theme="1" tint="0.24994659260841701"/>
        <rFont val="Times New Roman"/>
        <family val="1"/>
      </rPr>
      <t xml:space="preserve"> (Method 1)</t>
    </r>
  </si>
  <si>
    <t>kg N</t>
  </si>
  <si>
    <r>
      <t>MNSoil</t>
    </r>
    <r>
      <rPr>
        <b/>
        <vertAlign val="subscript"/>
        <sz val="16"/>
        <color theme="1" tint="0.24994659260841701"/>
        <rFont val="Times New Roman"/>
        <family val="1"/>
      </rPr>
      <t>scope1</t>
    </r>
  </si>
  <si>
    <t>Deposited on farm soils as waste (Direct application MMS)</t>
  </si>
  <si>
    <t>Table_PF_fert</t>
  </si>
  <si>
    <t>Fraction of manure applied to as fertiliser on own farm from MMS</t>
  </si>
  <si>
    <t>M1_Table_MNSoil_scope3_fert</t>
  </si>
  <si>
    <t>M2_Table_MNSoil_scope3_fert</t>
  </si>
  <si>
    <t>Mass of N applied to own farm as fertiliser (Method 2)</t>
  </si>
  <si>
    <t>Mass of N applied to own farm as fertiliser (Method 1)</t>
  </si>
  <si>
    <t>Table_PF_sold</t>
  </si>
  <si>
    <t>Fraction of manure sold</t>
  </si>
  <si>
    <t>M1_Table_MNSoil_scope3_sold</t>
  </si>
  <si>
    <t>M2_Table_MNSoil_scope3_sold</t>
  </si>
  <si>
    <t>Mass of nitrogen applied as fertiliser on own farm</t>
  </si>
  <si>
    <t>Mass of nitrogen sold</t>
  </si>
  <si>
    <r>
      <t>MNSoil</t>
    </r>
    <r>
      <rPr>
        <b/>
        <vertAlign val="subscript"/>
        <sz val="16"/>
        <color theme="1" tint="0.24994659260841701"/>
        <rFont val="Times New Roman"/>
        <family val="1"/>
      </rPr>
      <t>scope3,sold</t>
    </r>
  </si>
  <si>
    <r>
      <t>MNSoil</t>
    </r>
    <r>
      <rPr>
        <b/>
        <vertAlign val="subscript"/>
        <sz val="16"/>
        <color theme="1" tint="0.24994659260841701"/>
        <rFont val="Times New Roman"/>
        <family val="1"/>
      </rPr>
      <t>scope3,fert</t>
    </r>
  </si>
  <si>
    <t>Scope 1 source</t>
  </si>
  <si>
    <t>Where deposited on farm soils as waste, what is the closest match?</t>
  </si>
  <si>
    <t>Production system j</t>
  </si>
  <si>
    <t>EFN2O</t>
  </si>
  <si>
    <t>Production system only</t>
  </si>
  <si>
    <t>Irrigation method</t>
  </si>
  <si>
    <t>Pasture</t>
  </si>
  <si>
    <t>Production system</t>
  </si>
  <si>
    <t>Irrigation methods</t>
  </si>
  <si>
    <t>Not irrigated</t>
  </si>
  <si>
    <t>Drip irrigation</t>
  </si>
  <si>
    <t>Sprinkler irrigation</t>
  </si>
  <si>
    <t>Surface irrigation</t>
  </si>
  <si>
    <t>Other irrigation</t>
  </si>
  <si>
    <r>
      <t>E</t>
    </r>
    <r>
      <rPr>
        <b/>
        <vertAlign val="subscript"/>
        <sz val="16"/>
        <color theme="1" tint="0.24994659260841701"/>
        <rFont val="Times New Roman"/>
        <family val="1"/>
      </rPr>
      <t>N2O,ad</t>
    </r>
  </si>
  <si>
    <t>Total</t>
  </si>
  <si>
    <t>Emissions allocated to</t>
  </si>
  <si>
    <t>GHG Unit</t>
  </si>
  <si>
    <t>CO2-e unit</t>
  </si>
  <si>
    <t>Manure nitrogen sold</t>
  </si>
  <si>
    <t>Scope 3 (downstream)</t>
  </si>
  <si>
    <t>Amount of N in manure</t>
  </si>
  <si>
    <t>N unit</t>
  </si>
  <si>
    <t>WARNING: Manure nitrogen that was applied to soils must be accounted for</t>
  </si>
  <si>
    <t>Manure nitrogen use</t>
  </si>
  <si>
    <t>Manure nitrogen deposited on farm soils as fertiliser for other farm enterpsies (eg crops)</t>
  </si>
  <si>
    <t>15.13.1.1 (1), 5.2.2.1 (1), 5.4.1.3 (1, 2), 5.5.1.1 (1, 3)</t>
  </si>
  <si>
    <t>5.2.2.1 (1), 5.4.1.3 (1, 2), 5.5.1.1 (1, 3)</t>
  </si>
  <si>
    <t>VEERG Calculation method</t>
  </si>
  <si>
    <t>See the table below for how to account for manure applied to soils for scope 1 and 3.</t>
  </si>
  <si>
    <t>N/A</t>
  </si>
  <si>
    <t>Dairy manure management systems</t>
  </si>
  <si>
    <t>Dairy crop or pasture production systems</t>
  </si>
  <si>
    <t>Breed</t>
  </si>
  <si>
    <t>Milking cows</t>
  </si>
  <si>
    <t>Heifers &gt; 1</t>
  </si>
  <si>
    <t>Heifers &lt; 1 (weaned)</t>
  </si>
  <si>
    <t>Bulls &lt; 1 (weaned)</t>
  </si>
  <si>
    <t>Bulls &gt; 1</t>
  </si>
  <si>
    <t>Animal class j</t>
  </si>
  <si>
    <t>CH4 production</t>
  </si>
  <si>
    <t>Volatile solids (VSj=3,5)</t>
  </si>
  <si>
    <t>Nitrogen Excreted (NPWj=3,5)</t>
  </si>
  <si>
    <t>EFm</t>
  </si>
  <si>
    <t>FracGASMm</t>
  </si>
  <si>
    <t>MPW ENTERIC</t>
  </si>
  <si>
    <t>MRj</t>
  </si>
  <si>
    <t>Area</t>
  </si>
  <si>
    <t>Milking shed</t>
  </si>
  <si>
    <t>Feedpad</t>
  </si>
  <si>
    <t>NIR reference</t>
  </si>
  <si>
    <t>Heifers &gt; 1 year</t>
  </si>
  <si>
    <t>Heifers &lt; 1 year</t>
  </si>
  <si>
    <t>Bulls &gt; 1 year</t>
  </si>
  <si>
    <t>Bulls &lt; 1 year</t>
  </si>
  <si>
    <t>Input -Dairy</t>
  </si>
  <si>
    <t>kg/head</t>
  </si>
  <si>
    <t>kg/head/day</t>
  </si>
  <si>
    <t>Milk production</t>
  </si>
  <si>
    <t>Average daily milk production</t>
  </si>
  <si>
    <t>litres/head/day</t>
  </si>
  <si>
    <t>Duration (weaned)</t>
  </si>
  <si>
    <t>Duration (pre-weaned)</t>
  </si>
  <si>
    <t>Time spent in production systems</t>
  </si>
  <si>
    <t>Feed pad</t>
  </si>
  <si>
    <t>Production system template</t>
  </si>
  <si>
    <t>Duplicate of data in table 1.3.7</t>
  </si>
  <si>
    <t>Method 2 custom values (Edit if known)</t>
  </si>
  <si>
    <t>Method 1 default values (Do not edit)</t>
  </si>
  <si>
    <t>Yes</t>
  </si>
  <si>
    <t>Total manure sent to MMS (Must equal 100%)  (Method 1)</t>
  </si>
  <si>
    <t>Total percent sent to solid storage (Method 1)</t>
  </si>
  <si>
    <t>Total percent sent to solid storage (Method 2)</t>
  </si>
  <si>
    <t>Total manure sent to MMS (Must equal 100%)  (Method 2)</t>
  </si>
  <si>
    <t>Post treatment destinations</t>
  </si>
  <si>
    <t>Production systems</t>
  </si>
  <si>
    <t>No</t>
  </si>
  <si>
    <t>System 3: Pasture-grazed 3-9 months/year</t>
  </si>
  <si>
    <t>Applied to farm soils as fertiliser</t>
  </si>
  <si>
    <t>Dry matter intake</t>
  </si>
  <si>
    <t>Diet</t>
  </si>
  <si>
    <t>kgDM/head/day</t>
  </si>
  <si>
    <t>Liveweight</t>
  </si>
  <si>
    <t>Average liveweight</t>
  </si>
  <si>
    <t>Average liveweight gain</t>
  </si>
  <si>
    <t>Medium Friesian</t>
  </si>
  <si>
    <t>M1_Table_W_j</t>
  </si>
  <si>
    <t>Liveweight for each animal class j (Method 1)</t>
  </si>
  <si>
    <t>M2_Table_W_j</t>
  </si>
  <si>
    <t>Liveweight for each animal class j (Method 2)</t>
  </si>
  <si>
    <t>M1_Table_LWG_j</t>
  </si>
  <si>
    <t>Liveweight gain for each animal class j (Method 1)</t>
  </si>
  <si>
    <t>M2_Table_LWG_j</t>
  </si>
  <si>
    <t>Liveweight gain for each animal class j (Method 2)</t>
  </si>
  <si>
    <t>Table_MR_j</t>
  </si>
  <si>
    <t>Increase in metabolic rate when producing milk</t>
  </si>
  <si>
    <t>fraction</t>
  </si>
  <si>
    <t>M1_Table_qm_j</t>
  </si>
  <si>
    <t>Metabolisability of diet (Method 1)</t>
  </si>
  <si>
    <t>M2_Table_qm_j</t>
  </si>
  <si>
    <t>Metabolisability of diet (Method 2)</t>
  </si>
  <si>
    <t>M1_Table_MI_j</t>
  </si>
  <si>
    <t>Additional intake for milk production (Method 1)</t>
  </si>
  <si>
    <t>L/head/day</t>
  </si>
  <si>
    <t>M2_Table_MI_j</t>
  </si>
  <si>
    <t>Additional intake for milk production (Method 2)</t>
  </si>
  <si>
    <t>Table_MP_j</t>
  </si>
  <si>
    <t>Dry matter digestibility (Method 2)</t>
  </si>
  <si>
    <t>Feed intake (Method 2)</t>
  </si>
  <si>
    <t>Feed intake (Method 1)</t>
  </si>
  <si>
    <t>Volatile solids for weaned cattle (Method 1)</t>
  </si>
  <si>
    <t>Volatile solids for weaned cattle (Method 2)</t>
  </si>
  <si>
    <t>Fraction volatile solids to MMS other than solid storage (Method 1)</t>
  </si>
  <si>
    <t>M1_Table_FVS_j_m</t>
  </si>
  <si>
    <t>M1_Table_SS_m</t>
  </si>
  <si>
    <t>SS</t>
  </si>
  <si>
    <t>M1_Table_MMS_j_m</t>
  </si>
  <si>
    <t>Fraction of manure in each MMS prior to solid separation (Method 1)</t>
  </si>
  <si>
    <t>M2_Table_MMS_j_m</t>
  </si>
  <si>
    <t>Fraction of manure in each MMS prior to solid separation (Method 2)</t>
  </si>
  <si>
    <t>M2_Table_SS_m</t>
  </si>
  <si>
    <t>M1_Table_MMS_j_m-4</t>
  </si>
  <si>
    <t>Fraction volatile solids to in solid storage before transfer (Method 1)</t>
  </si>
  <si>
    <t>Fraction volatile solids separated to solid storage (Method 1)</t>
  </si>
  <si>
    <t>Fraction volatile solids separated to solid storage (Method 2)</t>
  </si>
  <si>
    <t>M1_Table_FVS_j_m-4</t>
  </si>
  <si>
    <t>Fraction volatile solids to in solid storage (Method 1)</t>
  </si>
  <si>
    <t>M2_Table_MMS_j_m-4</t>
  </si>
  <si>
    <t>Fraction volatile solids to in solid storage before transfer (Method 2)</t>
  </si>
  <si>
    <t>M2_Table_FVS_j_m-4</t>
  </si>
  <si>
    <t>Fraction volatile solids to in solid storage (Method 2)</t>
  </si>
  <si>
    <t>T subscript is redundant?</t>
  </si>
  <si>
    <t>M1_Table_MCF_i_m</t>
  </si>
  <si>
    <t>Methane conversion factor for state (Method 1)</t>
  </si>
  <si>
    <t>M1_M_j_m</t>
  </si>
  <si>
    <t>Number of dairy cattle in all classes</t>
  </si>
  <si>
    <t>M1_Table_D_j</t>
  </si>
  <si>
    <t>M1_Table_DPW_j</t>
  </si>
  <si>
    <t>Table_MPW_manure_j-3-5</t>
  </si>
  <si>
    <t>Methane production of pre-weaned cattle</t>
  </si>
  <si>
    <t>M1_Table_E_CH4</t>
  </si>
  <si>
    <t>CH4/head/day</t>
  </si>
  <si>
    <t>M1_Table_D_j-1-2-4</t>
  </si>
  <si>
    <t>t CH4</t>
  </si>
  <si>
    <t>Duration of stay of weaned dairy cattle in all classes (Method 1)</t>
  </si>
  <si>
    <t>Duration of stay of of pre-weaned dairy cattle in all classes (Method 1)</t>
  </si>
  <si>
    <t>M2_Table_D_j</t>
  </si>
  <si>
    <t>Duration of stay of weaned dairy cattle in all classes (Method 2)</t>
  </si>
  <si>
    <t>M2_M_j_m</t>
  </si>
  <si>
    <t>Methane from manure production of weaned cattle (Method 2)</t>
  </si>
  <si>
    <t>Methane from manure production of weaned cattle (Method 1)</t>
  </si>
  <si>
    <t>Equation 5 includes MMS subscripts, this should too</t>
  </si>
  <si>
    <t>Methane production from manure management (Method 1)</t>
  </si>
  <si>
    <t>4.3.1.1-2 Manure Methane</t>
  </si>
  <si>
    <t>4.3.1.3-4 Manure Direct N2O</t>
  </si>
  <si>
    <t>Make method 2 MCF table and use</t>
  </si>
  <si>
    <t>Table_WR_j</t>
  </si>
  <si>
    <t>Reference weight for each animal class</t>
  </si>
  <si>
    <t>M1_Table_Z_j</t>
  </si>
  <si>
    <t>Relative size for each animal class (Method 1)</t>
  </si>
  <si>
    <t>M1_Table_L_j</t>
  </si>
  <si>
    <t>Intake relative to maintenance (Method 1)</t>
  </si>
  <si>
    <t>M2_Table_L_j</t>
  </si>
  <si>
    <t>Intake relative to maintenance (Method 2)</t>
  </si>
  <si>
    <t>Nitrogen retained in the body for each animal class j (Method 1)</t>
  </si>
  <si>
    <t>Nitrogen retained in the body for each animal class j (Method 2)</t>
  </si>
  <si>
    <t>Crude protein content of feed intake for each animal class j (Method 1)</t>
  </si>
  <si>
    <t>M1_Table_CPI_j</t>
  </si>
  <si>
    <t>Crude protein intake for each animal class j (Method 1)</t>
  </si>
  <si>
    <t>Nitrogen excreted for each animal class j (Method 1)</t>
  </si>
  <si>
    <t>Nitrogen excreted for each animal class j (Method 2)</t>
  </si>
  <si>
    <t>M1_Table_AE_j-1-2-4</t>
  </si>
  <si>
    <t>Total annual nitrogen excreted cattle &gt; 1 year old</t>
  </si>
  <si>
    <t>Duration of stay of cattle &gt; 1 year (Method 1)</t>
  </si>
  <si>
    <t>Duration of stay of cattle &gt; 1 year (Method 2)</t>
  </si>
  <si>
    <t>M1_Table_D_j-3-5</t>
  </si>
  <si>
    <t>Duration of stay of weaned cattle &lt; 1 year (Method 1)</t>
  </si>
  <si>
    <t>Table_NPW_j-3-5</t>
  </si>
  <si>
    <t>Nitrogen excretion of pre-weaned cattle</t>
  </si>
  <si>
    <t>Total annual nitrogen excreted cattle &lt; 1 year old (Method 1)</t>
  </si>
  <si>
    <t>Total annual nitrogen excreted cattle &gt; 1 year old (Method 1)</t>
  </si>
  <si>
    <t>Fraction of manure sent to each MMS (Method 1)</t>
  </si>
  <si>
    <t>Fraction of manure sent to each MMS (Method 2)</t>
  </si>
  <si>
    <t>M1_Table_MN_j_m</t>
  </si>
  <si>
    <t>Total nitrogen in each MMS (Method 1)</t>
  </si>
  <si>
    <t>Total nitrogen in each MMS (Method 2)</t>
  </si>
  <si>
    <t>M2_Table_MN_j_m</t>
  </si>
  <si>
    <t>Table_EF_m</t>
  </si>
  <si>
    <t>Nitrous oxide EF for each MMS</t>
  </si>
  <si>
    <r>
      <t>EF</t>
    </r>
    <r>
      <rPr>
        <b/>
        <vertAlign val="subscript"/>
        <sz val="11"/>
        <color rgb="FF183C1B"/>
        <rFont val="Times New Roman"/>
        <family val="1"/>
      </rPr>
      <t>m</t>
    </r>
  </si>
  <si>
    <t>Total annual direct N2O emissions from each MMS (Method 1)</t>
  </si>
  <si>
    <t>4.3 Manure management: Dairy: Results</t>
  </si>
  <si>
    <t>4.3.1.5 Manure Atmospheric Deposition</t>
  </si>
  <si>
    <t>Table_FracGASM_m</t>
  </si>
  <si>
    <r>
      <t>FracGASM</t>
    </r>
    <r>
      <rPr>
        <b/>
        <vertAlign val="subscript"/>
        <sz val="11"/>
        <color rgb="FF183C1B"/>
        <rFont val="Times New Roman"/>
        <family val="1"/>
      </rPr>
      <t>m</t>
    </r>
  </si>
  <si>
    <t>Fraction N volatilised from each MS</t>
  </si>
  <si>
    <t>M1_Table_MN_atmos</t>
  </si>
  <si>
    <t>Total nitrogen volatilised from each MMS (Method 1)</t>
  </si>
  <si>
    <t>M2_Table_MN_atmos</t>
  </si>
  <si>
    <t>Total nitrogen volatilised from each MMS (Method 2)</t>
  </si>
  <si>
    <r>
      <t>E</t>
    </r>
    <r>
      <rPr>
        <b/>
        <vertAlign val="subscript"/>
        <sz val="16"/>
        <color theme="1" tint="0.24994659260841701"/>
        <rFont val="Times New Roman"/>
        <family val="1"/>
      </rPr>
      <t>N2O,MMS,ad</t>
    </r>
  </si>
  <si>
    <t>There is no method 2 in VEERG doc, but there are method 2 flow-ons from direct N2O</t>
  </si>
  <si>
    <t>Irrigation type i</t>
  </si>
  <si>
    <t>M1_Table_MN_j_m-4</t>
  </si>
  <si>
    <t>Total nitrogen in solid storage MMS (Method 1)</t>
  </si>
  <si>
    <t>M2_Table_MN_j_m-4</t>
  </si>
  <si>
    <t>Total nitrogen in solid storage MMS (Method 2)</t>
  </si>
  <si>
    <t>Mass of N lost to leaching and runoff from solid storage (Method 1)</t>
  </si>
  <si>
    <t>M1_Table_MN_leach_j_m-4</t>
  </si>
  <si>
    <t>M2_Table_MN_leach_j_m-4</t>
  </si>
  <si>
    <t>Mass of N lost to leaching and runoff from solid storage (Method 2)</t>
  </si>
  <si>
    <t>M1_Table_EF_N2O_leach</t>
  </si>
  <si>
    <t>Emissions from leaching and runoff (Method 1)</t>
  </si>
  <si>
    <t>M2_Table_EF_N2O_leach</t>
  </si>
  <si>
    <t>Emissions from leaching and runoff (Method 2)</t>
  </si>
  <si>
    <t>4.3.1.8 Manure applied to soils</t>
  </si>
  <si>
    <t>Should have 1-13 subscript</t>
  </si>
  <si>
    <t>M1_Table_MN_leach_j_m-1-13</t>
  </si>
  <si>
    <t>M2_Table_MN_leach_j_m-1-13</t>
  </si>
  <si>
    <t>Mass of N lost to leaching and runoff from all MMS (Method 2)</t>
  </si>
  <si>
    <t>Mass of N lost to leaching and runoff from all MMS (Method 1)</t>
  </si>
  <si>
    <t>Guidance should reference MNLeach equation for MMS 1-13</t>
  </si>
  <si>
    <t>Table_PF_scope</t>
  </si>
  <si>
    <t>Fraction of manure applied to soils within farm boundary</t>
  </si>
  <si>
    <t>Needs subscripts 1-13</t>
  </si>
  <si>
    <t>M1_Table_MN_soil_scope1</t>
  </si>
  <si>
    <t>has 'scope' subscript in arguments definition but not equation</t>
  </si>
  <si>
    <t>M1_Table_MN_soil_scope3</t>
  </si>
  <si>
    <t>Mass of nitrogen from manure applied to soils for scope 3 emissions (Method 1)</t>
  </si>
  <si>
    <t>Mass of nitrogen from manure applied to soils for scope 1 emissions (Method 1)</t>
  </si>
  <si>
    <t>M2_Table_MN_soil_scope1</t>
  </si>
  <si>
    <t>Mass of nitrogen from manure applied to soils for scope 1 emissions (Method 2)</t>
  </si>
  <si>
    <r>
      <t>MNSoil</t>
    </r>
    <r>
      <rPr>
        <b/>
        <vertAlign val="subscript"/>
        <sz val="16"/>
        <color theme="1" tint="0.24994659260841701"/>
        <rFont val="Times New Roman"/>
        <family val="1"/>
      </rPr>
      <t>scope3</t>
    </r>
  </si>
  <si>
    <t>M2_Table_MN_soil_scope3</t>
  </si>
  <si>
    <t>Mass of nitrogen from manure applied to soils for scope 3 emissions (Method 2)</t>
  </si>
  <si>
    <t>* Manure that is removed from MMS and used as fertiliser on the farm, for other enterprises (eg crops)</t>
  </si>
  <si>
    <t>* Manure that is removed from MMS that is sold</t>
  </si>
  <si>
    <t>t CO2e</t>
  </si>
  <si>
    <t>4.1.1.6-7 Manure leaching and runoff</t>
  </si>
  <si>
    <t>4.3.1.9 Soil direct N2O</t>
  </si>
  <si>
    <t>M1_Table_MMS_j_m-14</t>
  </si>
  <si>
    <t>Fraction of manure deposited on pasture range and paddock (Method 1)</t>
  </si>
  <si>
    <t>Total annual nitrogen excreted all cattle (Method 1)</t>
  </si>
  <si>
    <t>M1_Table_MN_j_m-14</t>
  </si>
  <si>
    <t>Total nitrogen deposited on pasture range and paddock (Method 1)</t>
  </si>
  <si>
    <t>M2_Table_MN_j_m-14</t>
  </si>
  <si>
    <t>Total nitrogen deposited on pasture range and paddock (Method 2)</t>
  </si>
  <si>
    <t>EFPRP</t>
  </si>
  <si>
    <t>Direct nitrous oxide emissions from urine and dung deposited on pasture (Method 1)</t>
  </si>
  <si>
    <t>M2_Table_E_N2O_dir</t>
  </si>
  <si>
    <t>Direct nitrous oxide emissions from urine and dung deposited on pasture (Method 2)</t>
  </si>
  <si>
    <t>M1_Table_M_vol_m-14</t>
  </si>
  <si>
    <t>Mass of N volatilised from urine and dung on pasture (Method 1)</t>
  </si>
  <si>
    <t>M2_Table_M_vol_m-14</t>
  </si>
  <si>
    <t>Mass of N volatilised from urine and dung on pasture (Method 2)</t>
  </si>
  <si>
    <t>4.3.1.10-11 Soil atmospheric deposition</t>
  </si>
  <si>
    <t>4.3.1.12-13 Soil leaching and runoff</t>
  </si>
  <si>
    <t>4.3.1.12-13 Soil leaching and runoff N2O</t>
  </si>
  <si>
    <t>4.3.1.10-11 Soil atmospheric deposition N2O</t>
  </si>
  <si>
    <t>M1_Table_M_leach_M-14</t>
  </si>
  <si>
    <t>Mass of N lost to leaching and runoff urine and faeces on pasture (Method 1)</t>
  </si>
  <si>
    <t>M2_Table_M_leach_M-14</t>
  </si>
  <si>
    <t>Mass of N lost to leaching and runoff urine and faeces on pasture (Method 2)</t>
  </si>
  <si>
    <r>
      <t>E</t>
    </r>
    <r>
      <rPr>
        <b/>
        <vertAlign val="subscript"/>
        <sz val="16"/>
        <color theme="1" tint="0.24994659260841701"/>
        <rFont val="Times New Roman"/>
        <family val="1"/>
      </rPr>
      <t>N2O,leach</t>
    </r>
  </si>
  <si>
    <r>
      <t>M</t>
    </r>
    <r>
      <rPr>
        <b/>
        <vertAlign val="subscript"/>
        <sz val="12"/>
        <color theme="1" tint="0.24994659260841701"/>
        <rFont val="Times New Roman"/>
        <family val="1"/>
      </rPr>
      <t>leach,m=14</t>
    </r>
  </si>
  <si>
    <r>
      <t>M</t>
    </r>
    <r>
      <rPr>
        <b/>
        <vertAlign val="subscript"/>
        <sz val="12"/>
        <color theme="1" tint="0.24994659260841701"/>
        <rFont val="Times New Roman"/>
        <family val="1"/>
      </rPr>
      <t>vol,m=14</t>
    </r>
  </si>
  <si>
    <t>equation in document has FracGASMm-1-13, should be m=1-13</t>
  </si>
  <si>
    <r>
      <t>MN</t>
    </r>
    <r>
      <rPr>
        <b/>
        <vertAlign val="subscript"/>
        <sz val="12"/>
        <color theme="1" tint="0.24994659260841701"/>
        <rFont val="Times New Roman"/>
        <family val="1"/>
      </rPr>
      <t>ATMOS</t>
    </r>
  </si>
  <si>
    <t>GHG emissions method 1</t>
  </si>
  <si>
    <t>GHG emissions method 2</t>
  </si>
  <si>
    <t>4.3.1.1-2 Manure methane</t>
  </si>
  <si>
    <t>4.3.1.3-4 Manure direct N2O</t>
  </si>
  <si>
    <t>4.3.1.5 Manure atmospheric deposition</t>
  </si>
  <si>
    <t>4.3.1.6-7 Manure leaching and runoff</t>
  </si>
  <si>
    <t>CO2-e emissions method 1</t>
  </si>
  <si>
    <t>CO2-e emissions method 2</t>
  </si>
  <si>
    <t>Manure nitrogen deposited on farm soils (excluding farm fertiliser use)</t>
  </si>
  <si>
    <t>Scope 1 - This dairy</t>
  </si>
  <si>
    <t>Month</t>
  </si>
  <si>
    <t>Season</t>
  </si>
  <si>
    <t>Acknowledgements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</si>
</sst>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10">
    <numFmt numFmtId="43" formatCode="_-* #,##0.00_-;\-* #,##0.00_-;_-* &quot;-&quot;??_-;_-@_-"/>
    <numFmt numFmtId="164" formatCode="0.000"/>
    <numFmt numFmtId="165" formatCode="#,##0.000"/>
    <numFmt numFmtId="166" formatCode="d/mm/yyyy;@"/>
    <numFmt numFmtId="167" formatCode="_-* #,##0_-;\-* #,##0_-;_-* &quot;-&quot;??_-;_-@_-"/>
    <numFmt numFmtId="168" formatCode="[$-C09]dd\-mmmm\-yyyy;@"/>
    <numFmt numFmtId="169" formatCode="#,##0.000000"/>
    <numFmt numFmtId="170" formatCode="0.0000%"/>
    <numFmt numFmtId="171" formatCode="0.000%"/>
    <numFmt numFmtId="172" formatCode="0.0%"/>
  </numFmts>
  <fonts count="64" x14ac:knownFonts="1">
    <font>
      <sz val="11"/>
      <color theme="1"/>
      <name val="Times New Roman"/>
      <family val="2"/>
      <scheme val="minor"/>
    </font>
    <font>
      <i/>
      <sz val="12"/>
      <color theme="1" tint="0.499984740745262"/>
      <name val="Times New Roman"/>
      <family val="1"/>
    </font>
    <font>
      <sz val="12"/>
      <color theme="1" tint="0.14999847407452621"/>
      <name val="Times New Roman"/>
      <family val="1"/>
    </font>
    <font>
      <b/>
      <sz val="12"/>
      <color theme="1" tint="0.14999847407452621"/>
      <name val="Times New Roman"/>
      <family val="1"/>
    </font>
    <font>
      <b/>
      <sz val="20"/>
      <color rgb="FF183C1B"/>
      <name val="Times New Roman"/>
      <family val="1"/>
    </font>
    <font>
      <b/>
      <sz val="11"/>
      <color rgb="FF183C1B"/>
      <name val="Times New Roman"/>
      <family val="1"/>
    </font>
    <font>
      <i/>
      <sz val="12"/>
      <color theme="1" tint="0.34998626667073579"/>
      <name val="Times New Roman"/>
      <family val="1"/>
    </font>
    <font>
      <sz val="12"/>
      <color theme="1" tint="0.34998626667073579"/>
      <name val="Times New Roman"/>
      <family val="1"/>
    </font>
    <font>
      <sz val="12"/>
      <color theme="1" tint="0.14996795556505021"/>
      <name val="Times New Roman"/>
      <family val="1"/>
    </font>
    <font>
      <i/>
      <sz val="10"/>
      <color theme="1" tint="0.34998626667073579"/>
      <name val="Times New Roman"/>
      <family val="1"/>
    </font>
    <font>
      <sz val="11"/>
      <color theme="1"/>
      <name val="Times New Roman"/>
      <family val="2"/>
      <scheme val="minor"/>
    </font>
    <font>
      <b/>
      <sz val="20"/>
      <color rgb="FFCC6600"/>
      <name val="Times New Roman"/>
      <family val="1"/>
    </font>
    <font>
      <i/>
      <sz val="12"/>
      <color rgb="FFCC6600"/>
      <name val="Times New Roman"/>
      <family val="1"/>
    </font>
    <font>
      <b/>
      <sz val="11"/>
      <color rgb="FF533001"/>
      <name val="Times New Roman"/>
      <family val="1"/>
    </font>
    <font>
      <i/>
      <strike/>
      <sz val="12"/>
      <color theme="1" tint="0.499984740745262"/>
      <name val="Times New Roman"/>
      <family val="1"/>
    </font>
    <font>
      <b/>
      <i/>
      <strike/>
      <sz val="12"/>
      <color theme="1" tint="0.499984740745262"/>
      <name val="Times New Roman"/>
      <family val="1"/>
    </font>
    <font>
      <sz val="9"/>
      <color theme="1" tint="0.499984740745262"/>
      <name val="Courier New"/>
      <family val="3"/>
    </font>
    <font>
      <b/>
      <sz val="16"/>
      <color theme="0"/>
      <name val="Times New Roman"/>
      <family val="1"/>
    </font>
    <font>
      <u/>
      <sz val="11"/>
      <color theme="10"/>
      <name val="Times New Roman"/>
      <family val="2"/>
      <scheme val="minor"/>
    </font>
    <font>
      <sz val="9"/>
      <color theme="1" tint="0.249977111117893"/>
      <name val="Times New Roman"/>
      <family val="1"/>
    </font>
    <font>
      <sz val="9"/>
      <color rgb="FF008000"/>
      <name val="Times New Roman"/>
      <family val="1"/>
    </font>
    <font>
      <sz val="9"/>
      <color rgb="FFCC6600"/>
      <name val="Times New Roman"/>
      <family val="1"/>
    </font>
    <font>
      <sz val="12"/>
      <color theme="0"/>
      <name val="Times New Roman"/>
      <family val="1"/>
    </font>
    <font>
      <sz val="8"/>
      <name val="Times New Roman"/>
      <family val="2"/>
      <scheme val="minor"/>
    </font>
    <font>
      <sz val="11"/>
      <color theme="1" tint="0.499984740745262"/>
      <name val="Times New Roman"/>
      <family val="1"/>
    </font>
    <font>
      <sz val="11"/>
      <color theme="1"/>
      <name val="Times New Roman"/>
      <family val="1"/>
    </font>
    <font>
      <sz val="12"/>
      <color theme="1"/>
      <name val="Times New Roman"/>
      <family val="1"/>
    </font>
    <font>
      <b/>
      <sz val="12"/>
      <color theme="1"/>
      <name val="Times New Roman"/>
      <family val="1"/>
    </font>
    <font>
      <b/>
      <sz val="11"/>
      <color theme="1" tint="0.249977111117893"/>
      <name val="Times New Roman"/>
      <family val="1"/>
    </font>
    <font>
      <sz val="12"/>
      <color theme="1" tint="0.249977111117893"/>
      <name val="Times New Roman"/>
      <family val="1"/>
    </font>
    <font>
      <b/>
      <sz val="12"/>
      <color theme="1" tint="0.249977111117893"/>
      <name val="Times New Roman"/>
      <family val="1"/>
    </font>
    <font>
      <b/>
      <sz val="11"/>
      <color theme="1"/>
      <name val="Times New Roman"/>
      <family val="1"/>
      <scheme val="minor"/>
    </font>
    <font>
      <b/>
      <sz val="14"/>
      <color theme="1"/>
      <name val="Times New Roman"/>
      <family val="1"/>
      <scheme val="minor"/>
    </font>
    <font>
      <sz val="11"/>
      <color rgb="FF242424"/>
      <name val="Consolas"/>
      <family val="3"/>
    </font>
    <font>
      <sz val="12"/>
      <color theme="0" tint="-4.9989318521683403E-2"/>
      <name val="Times New Roman"/>
      <family val="1"/>
    </font>
    <font>
      <sz val="10"/>
      <color theme="1" tint="0.34998626667073579"/>
      <name val="Times New Roman"/>
      <family val="1"/>
    </font>
    <font>
      <sz val="10"/>
      <name val="Arial"/>
      <family val="2"/>
    </font>
    <font>
      <sz val="9"/>
      <name val="Times New Roman"/>
      <family val="1"/>
    </font>
    <font>
      <sz val="18"/>
      <color theme="1" tint="0.14996795556505021"/>
      <name val="Times New Roman"/>
      <family val="1"/>
    </font>
    <font>
      <sz val="10"/>
      <color theme="1" tint="0.34998626667073579"/>
      <name val="Times New Roman"/>
      <family val="2"/>
      <scheme val="minor"/>
    </font>
    <font>
      <sz val="12"/>
      <color theme="1" tint="0.24994659260841701"/>
      <name val="Times New Roman"/>
      <family val="1"/>
    </font>
    <font>
      <b/>
      <vertAlign val="subscript"/>
      <sz val="11"/>
      <color rgb="FF183C1B"/>
      <name val="Times New Roman"/>
      <family val="1"/>
    </font>
    <font>
      <b/>
      <sz val="12"/>
      <color theme="1" tint="0.24994659260841701"/>
      <name val="Times New Roman"/>
      <family val="1"/>
    </font>
    <font>
      <sz val="12"/>
      <color rgb="FFC44340"/>
      <name val="Times New Roman"/>
      <family val="1"/>
    </font>
    <font>
      <sz val="12"/>
      <color rgb="FF008000"/>
      <name val="Times New Roman"/>
      <family val="1"/>
    </font>
    <font>
      <i/>
      <sz val="12"/>
      <color theme="1" tint="0.14999847407452621"/>
      <name val="Times New Roman"/>
      <family val="1"/>
    </font>
    <font>
      <sz val="12"/>
      <color rgb="FF0070C0"/>
      <name val="Times New Roman"/>
      <family val="1"/>
    </font>
    <font>
      <b/>
      <sz val="12"/>
      <color rgb="FF0070C0"/>
      <name val="Times New Roman"/>
      <family val="1"/>
    </font>
    <font>
      <b/>
      <sz val="12"/>
      <color theme="0"/>
      <name val="Times New Roman"/>
      <family val="1"/>
    </font>
    <font>
      <b/>
      <sz val="12"/>
      <color theme="0" tint="-0.499984740745262"/>
      <name val="Times New Roman"/>
      <family val="1"/>
    </font>
    <font>
      <sz val="10"/>
      <color theme="0" tint="-0.499984740745262"/>
      <name val="Times New Roman"/>
      <family val="1"/>
    </font>
    <font>
      <b/>
      <sz val="16"/>
      <color theme="1" tint="0.24994659260841701"/>
      <name val="Times New Roman"/>
      <family val="1"/>
    </font>
    <font>
      <sz val="16"/>
      <color theme="1" tint="0.24994659260841701"/>
      <name val="Times New Roman"/>
      <family val="1"/>
    </font>
    <font>
      <i/>
      <sz val="16"/>
      <color theme="1" tint="0.34998626667073579"/>
      <name val="Times New Roman"/>
      <family val="1"/>
    </font>
    <font>
      <vertAlign val="subscript"/>
      <sz val="12"/>
      <color theme="1" tint="0.24994659260841701"/>
      <name val="Times New Roman"/>
      <family val="1"/>
    </font>
    <font>
      <sz val="14"/>
      <color theme="1" tint="0.34998626667073579"/>
      <name val="Times New Roman"/>
      <family val="1"/>
    </font>
    <font>
      <b/>
      <sz val="12"/>
      <color rgb="FFCC6600"/>
      <name val="Times New Roman"/>
      <family val="1"/>
    </font>
    <font>
      <b/>
      <sz val="11"/>
      <color theme="1"/>
      <name val="Times New Roman"/>
      <family val="2"/>
      <scheme val="minor"/>
    </font>
    <font>
      <b/>
      <vertAlign val="subscript"/>
      <sz val="16"/>
      <color theme="1" tint="0.24994659260841701"/>
      <name val="Times New Roman"/>
      <family val="1"/>
    </font>
    <font>
      <b/>
      <vertAlign val="subscript"/>
      <sz val="12"/>
      <color theme="1" tint="0.24994659260841701"/>
      <name val="Times New Roman"/>
      <family val="1"/>
    </font>
    <font>
      <sz val="12"/>
      <color rgb="FFCC6600"/>
      <name val="Times New Roman"/>
      <family val="1"/>
    </font>
    <font>
      <b/>
      <sz val="20"/>
      <color theme="4" tint="-0.249977111117893"/>
      <name val="Times New Roman"/>
      <family val="1"/>
    </font>
    <font>
      <b/>
      <sz val="12"/>
      <color theme="1" tint="0.499984740745262"/>
      <name val="Times New Roman"/>
      <family val="1"/>
    </font>
    <font>
      <sz val="10"/>
      <color theme="1" tint="0.499984740745262"/>
      <name val="Times New Roman"/>
      <family val="1"/>
    </font>
  </fonts>
  <fills count="15">
    <fill>
      <patternFill patternType="none"/>
    </fill>
    <fill>
      <patternFill patternType="gray125"/>
    </fill>
    <fill>
      <patternFill patternType="solid">
        <fgColor rgb="FFB2D498"/>
        <bgColor indexed="64"/>
      </patternFill>
    </fill>
    <fill>
      <patternFill patternType="solid">
        <fgColor rgb="FF183C1B"/>
        <bgColor indexed="64"/>
      </patternFill>
    </fill>
    <fill>
      <patternFill patternType="solid">
        <fgColor theme="0" tint="-4.9989318521683403E-2"/>
        <bgColor indexed="64"/>
      </patternFill>
    </fill>
    <fill>
      <patternFill patternType="solid">
        <fgColor rgb="FFCC6600"/>
        <bgColor indexed="64"/>
      </patternFill>
    </fill>
    <fill>
      <patternFill patternType="solid">
        <fgColor rgb="FFFFCC66"/>
        <bgColor indexed="64"/>
      </patternFill>
    </fill>
    <fill>
      <patternFill patternType="solid">
        <fgColor rgb="FF533001"/>
        <bgColor indexed="64"/>
      </patternFill>
    </fill>
    <fill>
      <patternFill patternType="solid">
        <fgColor rgb="FF008000"/>
        <bgColor indexed="64"/>
      </patternFill>
    </fill>
    <fill>
      <patternFill patternType="solid">
        <fgColor theme="0"/>
        <bgColor indexed="64"/>
      </patternFill>
    </fill>
    <fill>
      <patternFill patternType="solid">
        <fgColor theme="1" tint="0.499984740745262"/>
        <bgColor indexed="64"/>
      </patternFill>
    </fill>
    <fill>
      <patternFill patternType="solid">
        <fgColor theme="4" tint="-0.249977111117893"/>
        <bgColor indexed="64"/>
      </patternFill>
    </fill>
    <fill>
      <gradientFill degree="90">
        <stop position="0">
          <color theme="0"/>
        </stop>
        <stop position="1">
          <color theme="0" tint="-5.0965910824915313E-2"/>
        </stop>
      </gradientFill>
    </fill>
    <fill>
      <patternFill patternType="solid">
        <fgColor theme="3" tint="0.89996032593768116"/>
        <bgColor indexed="64"/>
      </patternFill>
    </fill>
    <fill>
      <patternFill patternType="solid">
        <fgColor rgb="FFFFFF00"/>
        <bgColor indexed="64"/>
      </patternFill>
    </fill>
  </fills>
  <borders count="22">
    <border>
      <left/>
      <right/>
      <top/>
      <bottom/>
      <diagonal/>
    </border>
    <border>
      <left/>
      <right/>
      <top style="thin">
        <color indexed="64"/>
      </top>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right/>
      <top style="thin">
        <color theme="1" tint="0.249977111117893"/>
      </top>
      <bottom/>
      <diagonal/>
    </border>
    <border>
      <left/>
      <right/>
      <top style="thin">
        <color theme="1" tint="0.499984740745262"/>
      </top>
      <bottom/>
      <diagonal/>
    </border>
    <border>
      <left/>
      <right/>
      <top/>
      <bottom style="thin">
        <color theme="0" tint="-0.34998626667073579"/>
      </bottom>
      <diagonal/>
    </border>
    <border>
      <left/>
      <right style="thin">
        <color theme="0" tint="-0.34998626667073579"/>
      </right>
      <top style="thin">
        <color theme="0" tint="-0.34998626667073579"/>
      </top>
      <bottom style="thin">
        <color theme="0" tint="-0.34998626667073579"/>
      </bottom>
      <diagonal/>
    </border>
    <border>
      <left style="thin">
        <color theme="0" tint="-0.34998626667073579"/>
      </left>
      <right/>
      <top style="thin">
        <color theme="0" tint="-0.34998626667073579"/>
      </top>
      <bottom style="thin">
        <color theme="0" tint="-0.34998626667073579"/>
      </bottom>
      <diagonal/>
    </border>
    <border>
      <left style="thin">
        <color theme="3" tint="0.749961851863155"/>
      </left>
      <right style="thin">
        <color theme="3" tint="0.749961851863155"/>
      </right>
      <top style="thin">
        <color theme="3" tint="0.749961851863155"/>
      </top>
      <bottom style="thin">
        <color theme="3" tint="0.749961851863155"/>
      </bottom>
      <diagonal/>
    </border>
    <border>
      <left style="thin">
        <color theme="3" tint="0.749961851863155"/>
      </left>
      <right/>
      <top style="thin">
        <color theme="3" tint="0.749961851863155"/>
      </top>
      <bottom/>
      <diagonal/>
    </border>
    <border>
      <left/>
      <right style="thin">
        <color theme="3" tint="0.749961851863155"/>
      </right>
      <top style="thin">
        <color theme="3" tint="0.749961851863155"/>
      </top>
      <bottom/>
      <diagonal/>
    </border>
    <border>
      <left style="thin">
        <color theme="3" tint="0.749961851863155"/>
      </left>
      <right/>
      <top/>
      <bottom style="thin">
        <color theme="3" tint="0.749961851863155"/>
      </bottom>
      <diagonal/>
    </border>
    <border>
      <left/>
      <right style="thin">
        <color theme="3" tint="0.749961851863155"/>
      </right>
      <top/>
      <bottom style="thin">
        <color theme="3" tint="0.749961851863155"/>
      </bottom>
      <diagonal/>
    </border>
    <border>
      <left/>
      <right/>
      <top/>
      <bottom style="thin">
        <color theme="3" tint="0.749961851863155"/>
      </bottom>
      <diagonal/>
    </border>
    <border>
      <left/>
      <right style="thin">
        <color theme="3" tint="0.749961851863155"/>
      </right>
      <top style="thin">
        <color theme="3" tint="0.749961851863155"/>
      </top>
      <bottom style="thin">
        <color theme="3" tint="0.749961851863155"/>
      </bottom>
      <diagonal/>
    </border>
    <border>
      <left/>
      <right/>
      <top style="thin">
        <color theme="3" tint="0.749961851863155"/>
      </top>
      <bottom/>
      <diagonal/>
    </border>
    <border>
      <left style="thin">
        <color theme="3" tint="0.749961851863155"/>
      </left>
      <right/>
      <top style="thin">
        <color theme="3" tint="0.749961851863155"/>
      </top>
      <bottom style="thin">
        <color theme="3" tint="0.749961851863155"/>
      </bottom>
      <diagonal/>
    </border>
    <border>
      <left/>
      <right/>
      <top style="thin">
        <color theme="3" tint="0.749961851863155"/>
      </top>
      <bottom style="thin">
        <color theme="0" tint="-0.34998626667073579"/>
      </bottom>
      <diagonal/>
    </border>
    <border>
      <left/>
      <right/>
      <top style="thin">
        <color theme="3" tint="0.749961851863155"/>
      </top>
      <bottom style="thin">
        <color theme="3" tint="0.749961851863155"/>
      </bottom>
      <diagonal/>
    </border>
    <border>
      <left/>
      <right/>
      <top style="thin">
        <color theme="0" tint="-0.34998626667073579"/>
      </top>
      <bottom style="thin">
        <color theme="0" tint="-0.34998626667073579"/>
      </bottom>
      <diagonal/>
    </border>
    <border>
      <left style="thin">
        <color theme="3" tint="0.749961851863155"/>
      </left>
      <right/>
      <top/>
      <bottom/>
      <diagonal/>
    </border>
    <border>
      <left/>
      <right style="thin">
        <color theme="3" tint="0.749961851863155"/>
      </right>
      <top/>
      <bottom/>
      <diagonal/>
    </border>
  </borders>
  <cellStyleXfs count="65">
    <xf numFmtId="0" fontId="0" fillId="0" borderId="0"/>
    <xf numFmtId="0" fontId="5" fillId="2" borderId="0">
      <alignment horizontal="left" vertical="center" indent="1"/>
      <protection locked="0"/>
    </xf>
    <xf numFmtId="0" fontId="4" fillId="0" borderId="0"/>
    <xf numFmtId="0" fontId="1" fillId="0" borderId="0">
      <alignment vertical="center"/>
    </xf>
    <xf numFmtId="0" fontId="17" fillId="3" borderId="0">
      <alignment vertical="center"/>
    </xf>
    <xf numFmtId="0" fontId="38" fillId="4" borderId="0">
      <alignment horizontal="left" vertical="center"/>
    </xf>
    <xf numFmtId="0" fontId="44" fillId="4" borderId="0">
      <alignment vertical="center"/>
    </xf>
    <xf numFmtId="0" fontId="3" fillId="4" borderId="0">
      <alignment horizontal="left" vertical="center"/>
    </xf>
    <xf numFmtId="0" fontId="40" fillId="4" borderId="0">
      <alignment horizontal="left" vertical="center"/>
    </xf>
    <xf numFmtId="0" fontId="5" fillId="2" borderId="0">
      <alignment horizontal="center" vertical="center"/>
    </xf>
    <xf numFmtId="164" fontId="8" fillId="4" borderId="0">
      <alignment horizontal="center" vertical="center"/>
    </xf>
    <xf numFmtId="9" fontId="8" fillId="4" borderId="0">
      <alignment horizontal="center" vertical="center"/>
    </xf>
    <xf numFmtId="0" fontId="6" fillId="4" borderId="0">
      <alignment horizontal="left" vertical="center" indent="1"/>
    </xf>
    <xf numFmtId="0" fontId="7" fillId="4" borderId="0">
      <alignment horizontal="right" vertical="center"/>
    </xf>
    <xf numFmtId="9" fontId="10" fillId="0" borderId="0" applyFont="0" applyFill="0" applyBorder="0" applyAlignment="0" applyProtection="0"/>
    <xf numFmtId="0" fontId="2" fillId="0" borderId="2">
      <alignment horizontal="center" vertical="center"/>
    </xf>
    <xf numFmtId="0" fontId="3" fillId="12" borderId="2">
      <alignment horizontal="center" vertical="center"/>
    </xf>
    <xf numFmtId="9" fontId="2" fillId="0" borderId="2">
      <alignment horizontal="center" vertical="center"/>
    </xf>
    <xf numFmtId="4" fontId="2" fillId="0" borderId="2">
      <alignment horizontal="center" vertical="center"/>
    </xf>
    <xf numFmtId="3" fontId="2" fillId="0" borderId="2">
      <alignment horizontal="center" vertical="center"/>
    </xf>
    <xf numFmtId="0" fontId="14" fillId="0" borderId="2">
      <alignment horizontal="center" vertical="center"/>
    </xf>
    <xf numFmtId="0" fontId="15" fillId="0" borderId="2">
      <alignment horizontal="center" vertical="center"/>
    </xf>
    <xf numFmtId="9" fontId="14" fillId="0" borderId="2">
      <alignment horizontal="center" vertical="center"/>
    </xf>
    <xf numFmtId="165" fontId="14" fillId="0" borderId="2">
      <alignment horizontal="center" vertical="center"/>
    </xf>
    <xf numFmtId="3" fontId="14" fillId="0" borderId="2">
      <alignment horizontal="center" vertical="center"/>
    </xf>
    <xf numFmtId="0" fontId="16" fillId="4" borderId="0">
      <alignment horizontal="left" vertical="center"/>
    </xf>
    <xf numFmtId="0" fontId="6" fillId="4" borderId="4">
      <alignment horizontal="left" vertical="center" indent="1"/>
    </xf>
    <xf numFmtId="164" fontId="8" fillId="4" borderId="4">
      <alignment horizontal="center" vertical="center"/>
    </xf>
    <xf numFmtId="0" fontId="3" fillId="4" borderId="4">
      <alignment horizontal="left" vertical="center"/>
    </xf>
    <xf numFmtId="0" fontId="13" fillId="6" borderId="0">
      <alignment horizontal="left" vertical="center" indent="1"/>
    </xf>
    <xf numFmtId="0" fontId="13" fillId="6" borderId="0">
      <alignment horizontal="center" vertical="center"/>
      <protection locked="0"/>
    </xf>
    <xf numFmtId="0" fontId="12" fillId="4" borderId="0">
      <alignment vertical="center"/>
    </xf>
    <xf numFmtId="0" fontId="17" fillId="7" borderId="0">
      <alignment vertical="center"/>
    </xf>
    <xf numFmtId="0" fontId="11" fillId="0" borderId="0"/>
    <xf numFmtId="0" fontId="18" fillId="0" borderId="0" applyNumberFormat="0" applyFill="0" applyBorder="0" applyAlignment="0" applyProtection="0"/>
    <xf numFmtId="0" fontId="2" fillId="0" borderId="0">
      <alignment horizontal="left" vertical="center" indent="1"/>
    </xf>
    <xf numFmtId="0" fontId="19" fillId="9" borderId="5">
      <alignment horizontal="left" vertical="center" indent="1"/>
    </xf>
    <xf numFmtId="0" fontId="22" fillId="10" borderId="0">
      <alignment horizontal="left" vertical="center" indent="1"/>
    </xf>
    <xf numFmtId="0" fontId="22" fillId="5" borderId="0">
      <alignment horizontal="left" vertical="center" indent="1"/>
    </xf>
    <xf numFmtId="0" fontId="22" fillId="8" borderId="0">
      <alignment horizontal="left" vertical="center" indent="1"/>
    </xf>
    <xf numFmtId="0" fontId="24" fillId="0" borderId="0">
      <alignment horizontal="left" vertical="center" indent="2"/>
    </xf>
    <xf numFmtId="0" fontId="46" fillId="13" borderId="8">
      <alignment horizontal="left" vertical="center"/>
    </xf>
    <xf numFmtId="43" fontId="10" fillId="0" borderId="0" applyFont="0" applyFill="0" applyBorder="0" applyAlignment="0" applyProtection="0"/>
    <xf numFmtId="3" fontId="35" fillId="4" borderId="2">
      <alignment horizontal="center" vertical="center"/>
    </xf>
    <xf numFmtId="168" fontId="2" fillId="0" borderId="2">
      <alignment horizontal="center" vertical="center"/>
    </xf>
    <xf numFmtId="0" fontId="36" fillId="0" borderId="0"/>
    <xf numFmtId="0" fontId="10" fillId="0" borderId="0"/>
    <xf numFmtId="0" fontId="36" fillId="0" borderId="0"/>
    <xf numFmtId="166" fontId="35" fillId="4" borderId="2">
      <alignment horizontal="center" vertical="center"/>
    </xf>
    <xf numFmtId="4" fontId="35" fillId="4" borderId="2">
      <alignment horizontal="center" vertical="center"/>
    </xf>
    <xf numFmtId="0" fontId="55" fillId="4" borderId="0">
      <alignment horizontal="left" vertical="center"/>
    </xf>
    <xf numFmtId="0" fontId="39" fillId="4" borderId="0" applyNumberFormat="0">
      <alignment horizontal="center" vertical="center"/>
    </xf>
    <xf numFmtId="165" fontId="35" fillId="4" borderId="2">
      <alignment horizontal="center" vertical="center"/>
    </xf>
    <xf numFmtId="0" fontId="34" fillId="4" borderId="0">
      <alignment horizontal="left" vertical="center"/>
    </xf>
    <xf numFmtId="169" fontId="35" fillId="4" borderId="2">
      <alignment horizontal="center" vertical="center"/>
    </xf>
    <xf numFmtId="0" fontId="35" fillId="4" borderId="2">
      <alignment horizontal="center" vertical="center"/>
    </xf>
    <xf numFmtId="0" fontId="6" fillId="4" borderId="0">
      <alignment horizontal="left" vertical="center"/>
    </xf>
    <xf numFmtId="0" fontId="43" fillId="4" borderId="0">
      <alignment horizontal="left" vertical="center"/>
    </xf>
    <xf numFmtId="0" fontId="10" fillId="0" borderId="0"/>
    <xf numFmtId="0" fontId="2" fillId="0" borderId="2">
      <alignment horizontal="center" vertical="center"/>
    </xf>
    <xf numFmtId="0" fontId="49" fillId="4" borderId="0">
      <alignment horizontal="left" vertical="center"/>
    </xf>
    <xf numFmtId="0" fontId="50" fillId="4" borderId="0">
      <alignment horizontal="left" vertical="center"/>
    </xf>
    <xf numFmtId="0" fontId="56" fillId="4" borderId="0">
      <alignment horizontal="left" vertical="center"/>
    </xf>
    <xf numFmtId="0" fontId="48" fillId="11" borderId="0">
      <alignment horizontal="center" vertical="center"/>
    </xf>
    <xf numFmtId="0" fontId="22" fillId="11" borderId="0">
      <alignment horizontal="left" vertical="center" indent="1"/>
    </xf>
  </cellStyleXfs>
  <cellXfs count="147">
    <xf numFmtId="0" fontId="0" fillId="0" borderId="0" xfId="0"/>
    <xf numFmtId="0" fontId="40" fillId="4" borderId="0" xfId="8">
      <alignment horizontal="left" vertical="center"/>
    </xf>
    <xf numFmtId="0" fontId="6" fillId="4" borderId="0" xfId="12">
      <alignment horizontal="left" vertical="center" indent="1"/>
    </xf>
    <xf numFmtId="0" fontId="3" fillId="4" borderId="0" xfId="7">
      <alignment horizontal="left" vertical="center"/>
    </xf>
    <xf numFmtId="0" fontId="17" fillId="3" borderId="0" xfId="4">
      <alignment vertical="center"/>
    </xf>
    <xf numFmtId="0" fontId="44" fillId="4" borderId="0" xfId="6">
      <alignment vertical="center"/>
    </xf>
    <xf numFmtId="0" fontId="38" fillId="4" borderId="0" xfId="5">
      <alignment horizontal="left" vertical="center"/>
    </xf>
    <xf numFmtId="0" fontId="3" fillId="0" borderId="0" xfId="7" applyFill="1">
      <alignment horizontal="left" vertical="center"/>
    </xf>
    <xf numFmtId="0" fontId="4" fillId="0" borderId="0" xfId="2"/>
    <xf numFmtId="0" fontId="1" fillId="0" borderId="0" xfId="3">
      <alignment vertical="center"/>
    </xf>
    <xf numFmtId="0" fontId="2" fillId="4" borderId="0" xfId="7" applyFont="1">
      <alignment horizontal="left" vertical="center"/>
    </xf>
    <xf numFmtId="0" fontId="17" fillId="0" borderId="0" xfId="4" applyFill="1">
      <alignment vertical="center"/>
    </xf>
    <xf numFmtId="0" fontId="11" fillId="0" borderId="0" xfId="2" applyFont="1"/>
    <xf numFmtId="0" fontId="16" fillId="4" borderId="0" xfId="25">
      <alignment horizontal="left" vertical="center"/>
    </xf>
    <xf numFmtId="0" fontId="12" fillId="4" borderId="0" xfId="31">
      <alignment vertical="center"/>
    </xf>
    <xf numFmtId="0" fontId="17" fillId="7" borderId="0" xfId="32">
      <alignment vertical="center"/>
    </xf>
    <xf numFmtId="0" fontId="2" fillId="9" borderId="0" xfId="7" applyFont="1" applyFill="1" applyAlignment="1">
      <alignment horizontal="left" vertical="center" indent="1"/>
    </xf>
    <xf numFmtId="0" fontId="2" fillId="0" borderId="0" xfId="35">
      <alignment horizontal="left" vertical="center" indent="1"/>
    </xf>
    <xf numFmtId="0" fontId="19" fillId="9" borderId="5" xfId="36">
      <alignment horizontal="left" vertical="center" indent="1"/>
    </xf>
    <xf numFmtId="0" fontId="20" fillId="9" borderId="5" xfId="36" applyFont="1">
      <alignment horizontal="left" vertical="center" indent="1"/>
    </xf>
    <xf numFmtId="0" fontId="21" fillId="9" borderId="5" xfId="36" applyFont="1">
      <alignment horizontal="left" vertical="center" indent="1"/>
    </xf>
    <xf numFmtId="0" fontId="22" fillId="5" borderId="0" xfId="38">
      <alignment horizontal="left" vertical="center" indent="1"/>
    </xf>
    <xf numFmtId="0" fontId="22" fillId="8" borderId="0" xfId="39">
      <alignment horizontal="left" vertical="center" indent="1"/>
    </xf>
    <xf numFmtId="0" fontId="46" fillId="13" borderId="8" xfId="41">
      <alignment horizontal="left" vertical="center"/>
    </xf>
    <xf numFmtId="0" fontId="0" fillId="4" borderId="0" xfId="0" applyFill="1"/>
    <xf numFmtId="2" fontId="32" fillId="4" borderId="1" xfId="0" applyNumberFormat="1" applyFont="1" applyFill="1" applyBorder="1"/>
    <xf numFmtId="2" fontId="0" fillId="4" borderId="0" xfId="0" applyNumberFormat="1" applyFill="1" applyAlignment="1">
      <alignment vertical="center"/>
    </xf>
    <xf numFmtId="0" fontId="17" fillId="4" borderId="0" xfId="4" applyFill="1">
      <alignment vertical="center"/>
    </xf>
    <xf numFmtId="0" fontId="31" fillId="4" borderId="0" xfId="0" applyFont="1" applyFill="1"/>
    <xf numFmtId="2" fontId="32" fillId="4" borderId="0" xfId="0" applyNumberFormat="1" applyFont="1" applyFill="1"/>
    <xf numFmtId="0" fontId="6" fillId="4" borderId="0" xfId="12" applyAlignment="1">
      <alignment horizontal="left" indent="1"/>
    </xf>
    <xf numFmtId="0" fontId="32" fillId="4" borderId="1" xfId="0" applyFont="1" applyFill="1" applyBorder="1"/>
    <xf numFmtId="0" fontId="40" fillId="4" borderId="0" xfId="8" applyAlignment="1">
      <alignment horizontal="right" vertical="center"/>
    </xf>
    <xf numFmtId="4" fontId="2" fillId="4" borderId="0" xfId="18" applyFill="1" applyBorder="1">
      <alignment horizontal="center" vertical="center"/>
    </xf>
    <xf numFmtId="0" fontId="13" fillId="4" borderId="0" xfId="30" applyFill="1">
      <alignment horizontal="center" vertical="center"/>
      <protection locked="0"/>
    </xf>
    <xf numFmtId="0" fontId="2" fillId="0" borderId="2" xfId="15">
      <alignment horizontal="center" vertical="center"/>
    </xf>
    <xf numFmtId="0" fontId="29" fillId="4" borderId="0" xfId="7" applyFont="1" applyAlignment="1">
      <alignment horizontal="center" vertical="center"/>
    </xf>
    <xf numFmtId="166" fontId="29" fillId="4" borderId="0" xfId="7" applyNumberFormat="1" applyFont="1" applyAlignment="1">
      <alignment horizontal="center" vertical="center"/>
    </xf>
    <xf numFmtId="0" fontId="0" fillId="0" borderId="0" xfId="7" applyFont="1" applyFill="1">
      <alignment horizontal="left" vertical="center"/>
    </xf>
    <xf numFmtId="0" fontId="0" fillId="0" borderId="0" xfId="8" applyFont="1" applyFill="1">
      <alignment horizontal="left" vertical="center"/>
    </xf>
    <xf numFmtId="0" fontId="2" fillId="0" borderId="0" xfId="7" applyFont="1" applyFill="1">
      <alignment horizontal="left" vertical="center"/>
    </xf>
    <xf numFmtId="0" fontId="13" fillId="6" borderId="0" xfId="30">
      <alignment horizontal="center" vertical="center"/>
      <protection locked="0"/>
    </xf>
    <xf numFmtId="0" fontId="3" fillId="12" borderId="2" xfId="16">
      <alignment horizontal="center" vertical="center"/>
    </xf>
    <xf numFmtId="0" fontId="38" fillId="0" borderId="0" xfId="5" applyFill="1">
      <alignment horizontal="left" vertical="center"/>
    </xf>
    <xf numFmtId="0" fontId="44" fillId="0" borderId="0" xfId="6" applyFill="1">
      <alignment vertical="center"/>
    </xf>
    <xf numFmtId="0" fontId="40" fillId="0" borderId="0" xfId="8" applyFill="1">
      <alignment horizontal="left" vertical="center"/>
    </xf>
    <xf numFmtId="0" fontId="9" fillId="0" borderId="0" xfId="12" applyFont="1" applyFill="1" applyAlignment="1">
      <alignment horizontal="left" vertical="center"/>
    </xf>
    <xf numFmtId="0" fontId="37" fillId="0" borderId="0" xfId="0" applyFont="1"/>
    <xf numFmtId="0" fontId="40" fillId="4" borderId="1" xfId="8" applyBorder="1">
      <alignment horizontal="left" vertical="center"/>
    </xf>
    <xf numFmtId="9" fontId="2" fillId="0" borderId="2" xfId="17">
      <alignment horizontal="center" vertical="center"/>
    </xf>
    <xf numFmtId="4" fontId="26" fillId="0" borderId="0" xfId="18" applyFont="1" applyBorder="1">
      <alignment horizontal="center" vertical="center"/>
    </xf>
    <xf numFmtId="0" fontId="55" fillId="4" borderId="0" xfId="50">
      <alignment horizontal="left" vertical="center"/>
    </xf>
    <xf numFmtId="0" fontId="25" fillId="0" borderId="0" xfId="0" applyFont="1" applyAlignment="1" applyProtection="1">
      <alignment horizontal="center" vertical="center"/>
      <protection locked="0"/>
    </xf>
    <xf numFmtId="0" fontId="26" fillId="0" borderId="0" xfId="0" applyFont="1"/>
    <xf numFmtId="0" fontId="5" fillId="2" borderId="0" xfId="9">
      <alignment horizontal="center" vertical="center"/>
    </xf>
    <xf numFmtId="0" fontId="35" fillId="4" borderId="2" xfId="55">
      <alignment horizontal="center" vertical="center"/>
    </xf>
    <xf numFmtId="0" fontId="42" fillId="4" borderId="0" xfId="8" applyFont="1">
      <alignment horizontal="left" vertical="center"/>
    </xf>
    <xf numFmtId="0" fontId="6" fillId="4" borderId="0" xfId="56">
      <alignment horizontal="left" vertical="center"/>
    </xf>
    <xf numFmtId="0" fontId="43" fillId="4" borderId="0" xfId="57">
      <alignment horizontal="left" vertical="center"/>
    </xf>
    <xf numFmtId="0" fontId="10" fillId="0" borderId="0" xfId="58"/>
    <xf numFmtId="0" fontId="35" fillId="4" borderId="2" xfId="55" applyAlignment="1">
      <alignment horizontal="left" vertical="center"/>
    </xf>
    <xf numFmtId="0" fontId="35" fillId="4" borderId="7" xfId="55" applyBorder="1" applyAlignment="1">
      <alignment horizontal="left" vertical="center"/>
    </xf>
    <xf numFmtId="0" fontId="35" fillId="4" borderId="6" xfId="55" applyBorder="1" applyAlignment="1">
      <alignment horizontal="left" vertical="center"/>
    </xf>
    <xf numFmtId="0" fontId="0" fillId="4" borderId="0" xfId="7" applyFont="1">
      <alignment horizontal="left" vertical="center"/>
    </xf>
    <xf numFmtId="4" fontId="26" fillId="4" borderId="0" xfId="18" applyFont="1" applyFill="1" applyBorder="1">
      <alignment horizontal="center" vertical="center"/>
    </xf>
    <xf numFmtId="9" fontId="26" fillId="4" borderId="0" xfId="14" applyFont="1" applyFill="1" applyBorder="1" applyAlignment="1">
      <alignment horizontal="center" vertical="center"/>
    </xf>
    <xf numFmtId="0" fontId="13" fillId="6" borderId="0" xfId="29">
      <alignment horizontal="left" vertical="center" indent="1"/>
    </xf>
    <xf numFmtId="168" fontId="2" fillId="0" borderId="2" xfId="44">
      <alignment horizontal="center" vertical="center"/>
    </xf>
    <xf numFmtId="0" fontId="2" fillId="0" borderId="0" xfId="7" applyFont="1" applyFill="1" applyAlignment="1">
      <alignment horizontal="left" vertical="center" indent="1"/>
    </xf>
    <xf numFmtId="0" fontId="2" fillId="0" borderId="2" xfId="59">
      <alignment horizontal="center" vertical="center"/>
    </xf>
    <xf numFmtId="0" fontId="45" fillId="0" borderId="0" xfId="35" applyFont="1">
      <alignment horizontal="left" vertical="center" indent="1"/>
    </xf>
    <xf numFmtId="0" fontId="11" fillId="0" borderId="0" xfId="33"/>
    <xf numFmtId="0" fontId="22" fillId="10" borderId="0" xfId="37">
      <alignment horizontal="left" vertical="center" indent="1"/>
    </xf>
    <xf numFmtId="0" fontId="3" fillId="4" borderId="3" xfId="7" applyBorder="1">
      <alignment horizontal="left" vertical="center"/>
    </xf>
    <xf numFmtId="166" fontId="35" fillId="4" borderId="2" xfId="43" applyNumberFormat="1">
      <alignment horizontal="center" vertical="center"/>
    </xf>
    <xf numFmtId="164" fontId="8" fillId="4" borderId="0" xfId="27" applyBorder="1">
      <alignment horizontal="center" vertical="center"/>
    </xf>
    <xf numFmtId="0" fontId="26" fillId="4" borderId="0" xfId="8" applyFont="1" applyAlignment="1">
      <alignment horizontal="center" vertical="center"/>
    </xf>
    <xf numFmtId="166" fontId="26" fillId="4" borderId="0" xfId="8" applyNumberFormat="1" applyFont="1" applyAlignment="1">
      <alignment horizontal="center" vertical="center"/>
    </xf>
    <xf numFmtId="0" fontId="26" fillId="4" borderId="0" xfId="12" applyFont="1" applyAlignment="1">
      <alignment horizontal="center" vertical="center"/>
    </xf>
    <xf numFmtId="0" fontId="27" fillId="4" borderId="0" xfId="0" applyFont="1" applyFill="1" applyAlignment="1">
      <alignment horizontal="center" vertical="center"/>
    </xf>
    <xf numFmtId="0" fontId="27" fillId="4" borderId="0" xfId="0" applyFont="1" applyFill="1"/>
    <xf numFmtId="0" fontId="26" fillId="4" borderId="0" xfId="0" applyFont="1" applyFill="1"/>
    <xf numFmtId="0" fontId="28" fillId="4" borderId="0" xfId="7" applyFont="1" applyAlignment="1">
      <alignment horizontal="center" vertical="center"/>
    </xf>
    <xf numFmtId="0" fontId="29" fillId="4" borderId="0" xfId="0" applyFont="1" applyFill="1" applyAlignment="1">
      <alignment horizontal="center" vertical="center"/>
    </xf>
    <xf numFmtId="0" fontId="30" fillId="4" borderId="0" xfId="0" applyFont="1" applyFill="1" applyAlignment="1">
      <alignment horizontal="center" vertical="center"/>
    </xf>
    <xf numFmtId="0" fontId="30" fillId="4" borderId="0" xfId="0" applyFont="1" applyFill="1" applyAlignment="1">
      <alignment horizontal="left" vertical="center"/>
    </xf>
    <xf numFmtId="14" fontId="3" fillId="4" borderId="0" xfId="7" applyNumberFormat="1">
      <alignment horizontal="left" vertical="center"/>
    </xf>
    <xf numFmtId="0" fontId="18" fillId="4" borderId="0" xfId="34" applyFill="1" applyBorder="1"/>
    <xf numFmtId="166" fontId="2" fillId="4" borderId="0" xfId="19" applyNumberFormat="1" applyFill="1" applyBorder="1">
      <alignment horizontal="center" vertical="center"/>
    </xf>
    <xf numFmtId="167" fontId="3" fillId="4" borderId="0" xfId="42" applyNumberFormat="1" applyFont="1" applyFill="1" applyBorder="1" applyAlignment="1">
      <alignment horizontal="center" vertical="center"/>
    </xf>
    <xf numFmtId="0" fontId="33" fillId="4" borderId="0" xfId="0" applyFont="1" applyFill="1"/>
    <xf numFmtId="0" fontId="46" fillId="13" borderId="10" xfId="41" applyBorder="1">
      <alignment horizontal="left" vertical="center"/>
    </xf>
    <xf numFmtId="0" fontId="46" fillId="13" borderId="12" xfId="41" applyBorder="1">
      <alignment horizontal="left" vertical="center"/>
    </xf>
    <xf numFmtId="0" fontId="46" fillId="13" borderId="14" xfId="41" applyBorder="1">
      <alignment horizontal="left" vertical="center"/>
    </xf>
    <xf numFmtId="0" fontId="46" fillId="13" borderId="13" xfId="41" applyBorder="1">
      <alignment horizontal="left" vertical="center"/>
    </xf>
    <xf numFmtId="0" fontId="46" fillId="13" borderId="15" xfId="41" applyBorder="1">
      <alignment horizontal="left" vertical="center"/>
    </xf>
    <xf numFmtId="0" fontId="46" fillId="13" borderId="17" xfId="41" applyBorder="1">
      <alignment horizontal="left" vertical="center"/>
    </xf>
    <xf numFmtId="0" fontId="46" fillId="13" borderId="11" xfId="41" applyBorder="1">
      <alignment horizontal="left" vertical="center"/>
    </xf>
    <xf numFmtId="0" fontId="46" fillId="13" borderId="16" xfId="41" applyBorder="1">
      <alignment horizontal="left" vertical="center"/>
    </xf>
    <xf numFmtId="0" fontId="46" fillId="13" borderId="18" xfId="41" applyBorder="1">
      <alignment horizontal="left" vertical="center"/>
    </xf>
    <xf numFmtId="0" fontId="47" fillId="13" borderId="9" xfId="41" applyFont="1" applyBorder="1">
      <alignment horizontal="left" vertical="center"/>
    </xf>
    <xf numFmtId="9" fontId="35" fillId="4" borderId="2" xfId="14" applyFont="1" applyFill="1" applyBorder="1" applyAlignment="1">
      <alignment horizontal="center" vertical="center"/>
    </xf>
    <xf numFmtId="0" fontId="0" fillId="0" borderId="0" xfId="1" applyFont="1" applyFill="1">
      <alignment horizontal="left" vertical="center" indent="1"/>
      <protection locked="0"/>
    </xf>
    <xf numFmtId="0" fontId="50" fillId="4" borderId="0" xfId="61">
      <alignment horizontal="left" vertical="center"/>
    </xf>
    <xf numFmtId="0" fontId="49" fillId="4" borderId="0" xfId="60">
      <alignment horizontal="left" vertical="center"/>
    </xf>
    <xf numFmtId="0" fontId="35" fillId="4" borderId="19" xfId="55" applyBorder="1" applyAlignment="1">
      <alignment horizontal="left" vertical="center"/>
    </xf>
    <xf numFmtId="3" fontId="2" fillId="0" borderId="2" xfId="19">
      <alignment horizontal="center" vertical="center"/>
    </xf>
    <xf numFmtId="3" fontId="35" fillId="4" borderId="2" xfId="55" applyNumberFormat="1">
      <alignment horizontal="center" vertical="center"/>
    </xf>
    <xf numFmtId="0" fontId="51" fillId="4" borderId="1" xfId="8" applyFont="1" applyBorder="1">
      <alignment horizontal="left" vertical="center"/>
    </xf>
    <xf numFmtId="0" fontId="52" fillId="4" borderId="1" xfId="8" applyFont="1" applyBorder="1">
      <alignment horizontal="left" vertical="center"/>
    </xf>
    <xf numFmtId="0" fontId="53" fillId="4" borderId="1" xfId="56" applyFont="1" applyBorder="1">
      <alignment horizontal="left" vertical="center"/>
    </xf>
    <xf numFmtId="0" fontId="35" fillId="4" borderId="19" xfId="55" applyBorder="1">
      <alignment horizontal="center" vertical="center"/>
    </xf>
    <xf numFmtId="0" fontId="6" fillId="4" borderId="1" xfId="56" applyBorder="1">
      <alignment horizontal="left" vertical="center"/>
    </xf>
    <xf numFmtId="0" fontId="56" fillId="4" borderId="0" xfId="62">
      <alignment horizontal="left" vertical="center"/>
    </xf>
    <xf numFmtId="0" fontId="40" fillId="14" borderId="0" xfId="8" applyFill="1">
      <alignment horizontal="left" vertical="center"/>
    </xf>
    <xf numFmtId="0" fontId="35" fillId="4" borderId="2" xfId="55" applyAlignment="1">
      <alignment vertical="center"/>
    </xf>
    <xf numFmtId="0" fontId="35" fillId="4" borderId="6" xfId="55" applyBorder="1" applyAlignment="1">
      <alignment vertical="center"/>
    </xf>
    <xf numFmtId="0" fontId="35" fillId="4" borderId="7" xfId="55" applyBorder="1" applyAlignment="1">
      <alignment vertical="center"/>
    </xf>
    <xf numFmtId="0" fontId="46" fillId="13" borderId="0" xfId="41" applyBorder="1">
      <alignment horizontal="left" vertical="center"/>
    </xf>
    <xf numFmtId="0" fontId="46" fillId="13" borderId="9" xfId="41" applyBorder="1">
      <alignment horizontal="left" vertical="center"/>
    </xf>
    <xf numFmtId="0" fontId="46" fillId="13" borderId="20" xfId="41" applyBorder="1">
      <alignment horizontal="left" vertical="center"/>
    </xf>
    <xf numFmtId="0" fontId="46" fillId="13" borderId="21" xfId="41" applyBorder="1">
      <alignment horizontal="left" vertical="center"/>
    </xf>
    <xf numFmtId="9" fontId="8" fillId="4" borderId="0" xfId="11">
      <alignment horizontal="center" vertical="center"/>
    </xf>
    <xf numFmtId="164" fontId="8" fillId="4" borderId="0" xfId="10">
      <alignment horizontal="center" vertical="center"/>
    </xf>
    <xf numFmtId="0" fontId="42" fillId="4" borderId="1" xfId="8" applyFont="1" applyBorder="1">
      <alignment horizontal="left" vertical="center"/>
    </xf>
    <xf numFmtId="2" fontId="32" fillId="4" borderId="1" xfId="0" applyNumberFormat="1" applyFont="1" applyFill="1" applyBorder="1" applyAlignment="1">
      <alignment horizontal="center"/>
    </xf>
    <xf numFmtId="0" fontId="60" fillId="4" borderId="0" xfId="62" applyFont="1">
      <alignment horizontal="left" vertical="center"/>
    </xf>
    <xf numFmtId="0" fontId="40" fillId="4" borderId="0" xfId="8" applyAlignment="1">
      <alignment horizontal="center" vertical="center"/>
    </xf>
    <xf numFmtId="0" fontId="48" fillId="11" borderId="0" xfId="63">
      <alignment horizontal="center" vertical="center"/>
    </xf>
    <xf numFmtId="0" fontId="22" fillId="11" borderId="0" xfId="64">
      <alignment horizontal="left" vertical="center" indent="1"/>
    </xf>
    <xf numFmtId="0" fontId="61" fillId="0" borderId="0" xfId="2" applyFont="1"/>
    <xf numFmtId="0" fontId="57" fillId="2" borderId="0" xfId="8" applyFont="1" applyFill="1">
      <alignment horizontal="left" vertical="center"/>
    </xf>
    <xf numFmtId="0" fontId="17" fillId="4" borderId="0" xfId="32" applyFill="1">
      <alignment vertical="center"/>
    </xf>
    <xf numFmtId="9" fontId="2" fillId="0" borderId="2" xfId="14" applyFont="1" applyBorder="1" applyAlignment="1">
      <alignment horizontal="center" vertical="center"/>
    </xf>
    <xf numFmtId="0" fontId="38" fillId="14" borderId="0" xfId="5" applyFill="1">
      <alignment horizontal="left" vertical="center"/>
    </xf>
    <xf numFmtId="170" fontId="40" fillId="4" borderId="0" xfId="8" applyNumberFormat="1">
      <alignment horizontal="left" vertical="center"/>
    </xf>
    <xf numFmtId="9" fontId="35" fillId="4" borderId="2" xfId="55" applyNumberFormat="1">
      <alignment horizontal="center" vertical="center"/>
    </xf>
    <xf numFmtId="170" fontId="35" fillId="4" borderId="2" xfId="55" applyNumberFormat="1">
      <alignment horizontal="center" vertical="center"/>
    </xf>
    <xf numFmtId="171" fontId="35" fillId="4" borderId="2" xfId="55" applyNumberFormat="1">
      <alignment horizontal="center" vertical="center"/>
    </xf>
    <xf numFmtId="0" fontId="62" fillId="4" borderId="0" xfId="8" applyFont="1">
      <alignment horizontal="left" vertical="center"/>
    </xf>
    <xf numFmtId="0" fontId="63" fillId="4" borderId="0" xfId="8" applyFont="1">
      <alignment horizontal="left" vertical="center"/>
    </xf>
    <xf numFmtId="172" fontId="40" fillId="4" borderId="0" xfId="8" applyNumberFormat="1">
      <alignment horizontal="left" vertical="center"/>
    </xf>
    <xf numFmtId="43" fontId="40" fillId="4" borderId="0" xfId="42" applyFont="1" applyFill="1" applyAlignment="1">
      <alignment horizontal="left" vertical="center"/>
    </xf>
    <xf numFmtId="0" fontId="35" fillId="14" borderId="2" xfId="55" applyFill="1" applyAlignment="1">
      <alignment horizontal="left" vertical="center"/>
    </xf>
    <xf numFmtId="0" fontId="35" fillId="4" borderId="19" xfId="55" applyBorder="1" applyAlignment="1">
      <alignment vertical="center"/>
    </xf>
    <xf numFmtId="0" fontId="35" fillId="14" borderId="7" xfId="55" applyFill="1" applyBorder="1" applyAlignment="1">
      <alignment horizontal="left" vertical="center"/>
    </xf>
    <xf numFmtId="0" fontId="35" fillId="14" borderId="6" xfId="55" applyFill="1" applyBorder="1" applyAlignment="1">
      <alignment horizontal="left" vertical="center"/>
    </xf>
  </cellXfs>
  <cellStyles count="65">
    <cellStyle name="Alert" xfId="62" xr:uid="{34EFE908-8095-4010-8F93-8CFE88055637}"/>
    <cellStyle name="Block heading" xfId="5" xr:uid="{74527274-3B4A-494A-B37C-EA50686E114C}"/>
    <cellStyle name="Block subheading" xfId="50" xr:uid="{34E62905-A3E0-4883-B81A-BDB58FC88DA7}"/>
    <cellStyle name="Code" xfId="25" xr:uid="{99B3520F-01DD-4F8E-A8D0-24EAA04E90EB}"/>
    <cellStyle name="Comma" xfId="42" builtinId="3"/>
    <cellStyle name="Content bold" xfId="7" xr:uid="{468A1381-682E-4BF1-945B-DF2E2BCA4419}"/>
    <cellStyle name="Content bold total" xfId="28" xr:uid="{17159E75-EF9F-42B8-8195-E83583796F67}"/>
    <cellStyle name="Content hidden" xfId="53" xr:uid="{8E56D08F-467A-4F3D-ADA8-ECA27B2FFCD3}"/>
    <cellStyle name="Content normal" xfId="8" xr:uid="{55F96DE2-2B61-4529-A3B8-2B8B8AA0D350}"/>
    <cellStyle name="Equation column header" xfId="9" xr:uid="{B705D3A4-E195-47DF-A4D1-BA1FDC70C701}"/>
    <cellStyle name="Equation source" xfId="6" xr:uid="{348FC12D-3392-478F-B0B3-D4FA4BBA59E4}"/>
    <cellStyle name="Equation table header" xfId="1" xr:uid="{11780056-D3CA-48D4-90AF-8DF1A50E1B13}"/>
    <cellStyle name="Euqation table row 2" xfId="13" xr:uid="{2CAEAB93-BC87-4606-B5A1-3C2F7B5C52A1}"/>
    <cellStyle name="Hyperlink" xfId="34" builtinId="8"/>
    <cellStyle name="Information tip" xfId="41" xr:uid="{7D200D09-32E3-4546-9822-1B93AD118A74}"/>
    <cellStyle name="Information variation" xfId="57" xr:uid="{205494A3-14DD-4E6A-BDD3-5C5A864D6FA7}"/>
    <cellStyle name="Input block subheading" xfId="31" xr:uid="{A9FEBDB0-0992-4E30-96E5-9F9CAE92E3FB}"/>
    <cellStyle name="Input date" xfId="44" xr:uid="{A1D72D5E-DCF3-445F-8FC0-A147E105D774}"/>
    <cellStyle name="Input date calculated" xfId="48" xr:uid="{5A42AD0E-F665-46A9-9757-6B6A4BE7013E}"/>
    <cellStyle name="Input number 2 decimal places" xfId="18" xr:uid="{F9671E40-5700-4055-A6D2-272CF9DB620E}"/>
    <cellStyle name="Input number 2 decimal places calculated" xfId="49" xr:uid="{C04BA53C-14E1-48A5-99A3-C9FD44741A2A}"/>
    <cellStyle name="Input number 3 decimal places calculated" xfId="52" xr:uid="{637E6039-0A01-48EF-8C15-C29A497EF449}"/>
    <cellStyle name="Input number 3 decimal places disabled" xfId="23" xr:uid="{6B1B6177-B1C0-4190-858F-6E4C823402C3}"/>
    <cellStyle name="Input number 6 decimal places calculated" xfId="54" xr:uid="{CE70A7A2-3CEE-4689-8FF6-8EB6FCE0A94C}"/>
    <cellStyle name="Input number general" xfId="59" xr:uid="{D8583F7D-F13A-4EA8-BAA6-B42739FDBDDB}"/>
    <cellStyle name="Input number general calculated" xfId="55" xr:uid="{34755FEB-6E4E-4BD7-A478-DF7299A7A914}"/>
    <cellStyle name="Input number no decimals" xfId="19" xr:uid="{B33B4FB5-F3F4-4036-B2DD-663B694E2A90}"/>
    <cellStyle name="Input number no decimals calculated" xfId="43" xr:uid="{5A48F48F-03B2-410E-887B-2A9297006BAF}"/>
    <cellStyle name="Input number no decimals disabled" xfId="24" xr:uid="{7ABDCB2D-7703-4392-9553-5620789B1E19}"/>
    <cellStyle name="Input number percent disabled" xfId="22" xr:uid="{D0E8B42E-13A8-477C-99CB-5FF73C5BBAA4}"/>
    <cellStyle name="Input page heading" xfId="33" xr:uid="{74FB9B3B-4B5B-4B7F-A54C-22E0724783C8}"/>
    <cellStyle name="Input page section heading" xfId="32" xr:uid="{1A05B367-BE5D-4E2B-9831-A28D5CFAC8EC}"/>
    <cellStyle name="Input percent" xfId="17" xr:uid="{923E56A7-7902-46CD-9AA8-0D69F2E1ECA1}"/>
    <cellStyle name="Input select" xfId="16" xr:uid="{3CF2E653-7F22-4996-ABB9-95CA16698B1F}"/>
    <cellStyle name="Input select disabled" xfId="21" xr:uid="{5CE680CC-504C-444D-8337-CF97D9BB5A78}"/>
    <cellStyle name="Input table column header" xfId="30" xr:uid="{EF98B018-1246-451D-91C2-97FCD443EDC9}"/>
    <cellStyle name="Input table header" xfId="29" xr:uid="{04872377-9FDD-4D5A-91FC-B9D8DA1E8E91}"/>
    <cellStyle name="Input text" xfId="15" xr:uid="{4C71A4C5-ADD8-4A09-A7FE-940DA96821F6}"/>
    <cellStyle name="Input text calculated" xfId="51" xr:uid="{43DCF082-1F0D-4E07-9785-CAF41B37CFCC}"/>
    <cellStyle name="Input text disabled" xfId="20" xr:uid="{79E76B35-E5FF-43A1-B0D0-016F346F8B97}"/>
    <cellStyle name="Menu link child" xfId="40" xr:uid="{609090D3-DE1E-48FE-A8AA-233CE9B146E0}"/>
    <cellStyle name="Menu link default" xfId="35" xr:uid="{11B84453-1DD4-492A-B241-FE6AD4CB25FA}"/>
    <cellStyle name="Menu link selected" xfId="37" xr:uid="{B16EBA6F-62C4-483F-8E15-B20D06ABF61F}"/>
    <cellStyle name="Menu link selected equations" xfId="39" xr:uid="{7AFCC545-C221-4BAC-933E-19109D0FB654}"/>
    <cellStyle name="Menu link selected input" xfId="38" xr:uid="{17D327F4-9149-4DAC-85BB-811698090830}"/>
    <cellStyle name="Menu link selected results" xfId="64" xr:uid="{0DC56464-F1A3-42A3-BF89-514E2163E7F0}"/>
    <cellStyle name="Menu section title" xfId="36" xr:uid="{E2117B15-AE58-4F76-B13B-671D455A4107}"/>
    <cellStyle name="Normal" xfId="0" builtinId="0"/>
    <cellStyle name="Normal 2" xfId="58" xr:uid="{FE64FEFB-54C6-42B4-AA7F-D49670F5ED19}"/>
    <cellStyle name="Normal 2 2" xfId="47" xr:uid="{B8803ACE-513D-4EEF-BBE0-0BB76AE7D7F4}"/>
    <cellStyle name="Normal 4" xfId="45" xr:uid="{99CD1B63-5040-4067-BBD7-470030C57E5D}"/>
    <cellStyle name="Normal 5" xfId="46" xr:uid="{C95BEC9B-545D-4D75-A129-77179ED2BD99}"/>
    <cellStyle name="Number diplsay percent" xfId="11" xr:uid="{2A2547EE-93B6-4F82-A56A-1A45D8712142}"/>
    <cellStyle name="Number display decimal" xfId="10" xr:uid="{D6C655C7-D21F-4B70-8143-4C163C43FE08}"/>
    <cellStyle name="Number display decimal total" xfId="27" xr:uid="{A9378C0C-CCAE-43D1-BC2C-BD4A9766DA0D}"/>
    <cellStyle name="Page heading" xfId="2" xr:uid="{255E304E-A5AB-40F0-8E3A-91C132147F10}"/>
    <cellStyle name="Page section heading" xfId="4" xr:uid="{B654AFF3-28A2-43B8-AE91-E7D2C159A294}"/>
    <cellStyle name="Page source" xfId="3" xr:uid="{35DF92BD-4909-4EA7-B1E6-C0EDAAEB1713}"/>
    <cellStyle name="Percent" xfId="14" builtinId="5"/>
    <cellStyle name="Results table column header" xfId="63" xr:uid="{A846043F-10AE-4BED-BAA6-90407C977915}"/>
    <cellStyle name="Table description" xfId="61" xr:uid="{8BD2F353-2E3C-42FF-89E9-616E85DC18C5}"/>
    <cellStyle name="Table name" xfId="60" xr:uid="{D56F17A4-9740-44B6-BDDB-150E2C950B8B}"/>
    <cellStyle name="Unit" xfId="12" xr:uid="{90B9E191-F5E0-43AB-A245-D6CA23D4ADFC}"/>
    <cellStyle name="Unit no indent" xfId="56" xr:uid="{2829D020-DAD8-4B7D-9262-450720E27D2B}"/>
    <cellStyle name="Unit total" xfId="26" xr:uid="{65428923-3DAD-47B6-8DDF-0EBD05E7C55B}"/>
  </cellStyles>
  <dxfs count="90">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i val="0"/>
        <strike val="0"/>
        <condense val="0"/>
        <extend val="0"/>
        <outline val="0"/>
        <shadow val="0"/>
        <u val="none"/>
        <vertAlign val="baseline"/>
        <sz val="11"/>
        <color theme="1"/>
        <name val="Times New Roman"/>
        <family val="2"/>
        <scheme val="minor"/>
      </font>
      <numFmt numFmtId="0" formatCode="General"/>
      <fill>
        <patternFill patternType="solid">
          <fgColor indexed="64"/>
          <bgColor rgb="FFB2D498"/>
        </patternFill>
      </fill>
      <alignment horizontal="left" vertical="center" textRotation="0" wrapText="0" indent="0" justifyLastLine="0" shrinkToFit="0" readingOrder="0"/>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color theme="1" tint="0.24994659260841701"/>
      </font>
      <fill>
        <patternFill patternType="solid">
          <fgColor indexed="64"/>
          <bgColor theme="0" tint="-4.9989318521683403E-2"/>
        </patternFill>
      </fill>
      <border>
        <left style="thin">
          <color theme="0" tint="-0.34998626667073579"/>
        </left>
        <right style="thin">
          <color theme="0" tint="-0.34998626667073579"/>
        </right>
        <top style="thin">
          <color theme="0" tint="-0.34998626667073579"/>
        </top>
        <bottom style="thin">
          <color theme="0" tint="-0.34998626667073579"/>
        </bottom>
        <vertical style="thin">
          <color theme="0" tint="-0.34998626667073579"/>
        </vertical>
        <horizontal style="thin">
          <color theme="0" tint="-0.34998626667073579"/>
        </horizontal>
      </border>
    </dxf>
    <dxf>
      <font>
        <color theme="1" tint="0.24994659260841701"/>
      </font>
      <fill>
        <patternFill>
          <bgColor theme="0" tint="-4.9989318521683403E-2"/>
        </patternFill>
      </fill>
      <border>
        <left style="thin">
          <color theme="0" tint="-0.34998626667073579"/>
        </left>
        <right style="thin">
          <color theme="0" tint="-0.34998626667073579"/>
        </right>
        <top style="thin">
          <color theme="0" tint="-0.34998626667073579"/>
        </top>
        <bottom style="thin">
          <color theme="0" tint="-0.34998626667073579"/>
        </bottom>
        <vertical style="thin">
          <color theme="0" tint="-0.34998626667073579"/>
        </vertical>
        <horizontal style="thin">
          <color theme="0" tint="-0.34998626667073579"/>
        </horizontal>
      </border>
    </dxf>
    <dxf>
      <fill>
        <patternFill>
          <fgColor theme="0"/>
          <bgColor theme="0" tint="-4.9989318521683403E-2"/>
        </patternFill>
      </fill>
    </dxf>
    <dxf>
      <fill>
        <patternFill>
          <bgColor theme="0" tint="-0.14996795556505021"/>
        </patternFill>
      </fill>
    </dxf>
    <dxf>
      <font>
        <b/>
        <i val="0"/>
        <color rgb="FF183C1B"/>
      </font>
      <fill>
        <patternFill patternType="solid">
          <fgColor indexed="64"/>
          <bgColor rgb="FFB2D498"/>
        </patternFill>
      </fill>
    </dxf>
    <dxf>
      <font>
        <color theme="1" tint="0.24994659260841701"/>
      </font>
      <border>
        <left/>
        <right/>
        <top/>
        <bottom/>
        <vertical/>
        <horizontal/>
      </border>
    </dxf>
    <dxf>
      <font>
        <color theme="1" tint="0.24994659260841701"/>
      </font>
      <fill>
        <patternFill patternType="none">
          <fgColor indexed="64"/>
          <bgColor auto="1"/>
        </patternFill>
      </fill>
      <border>
        <left style="thin">
          <color theme="0" tint="-0.34998626667073579"/>
        </left>
        <right style="thin">
          <color theme="0" tint="-0.34998626667073579"/>
        </right>
        <top style="thin">
          <color theme="0" tint="-0.34998626667073579"/>
        </top>
        <bottom style="thin">
          <color theme="0" tint="-0.34998626667073579"/>
        </bottom>
        <vertical style="thin">
          <color theme="0" tint="-0.34998626667073579"/>
        </vertical>
        <horizontal style="thin">
          <color theme="0" tint="-0.34998626667073579"/>
        </horizontal>
      </border>
    </dxf>
    <dxf>
      <font>
        <color theme="1" tint="0.24994659260841701"/>
      </font>
      <border>
        <left style="thin">
          <color theme="0" tint="-0.34998626667073579"/>
        </left>
        <right style="thin">
          <color theme="0" tint="-0.34998626667073579"/>
        </right>
        <top style="thin">
          <color theme="0" tint="-0.34998626667073579"/>
        </top>
        <bottom style="thin">
          <color theme="0" tint="-0.34998626667073579"/>
        </bottom>
        <vertical style="thin">
          <color theme="0" tint="-0.34998626667073579"/>
        </vertical>
        <horizontal style="thin">
          <color theme="0" tint="-0.34998626667073579"/>
        </horizontal>
      </border>
    </dxf>
    <dxf>
      <fill>
        <patternFill>
          <fgColor theme="0"/>
          <bgColor theme="0" tint="-4.9989318521683403E-2"/>
        </patternFill>
      </fill>
    </dxf>
    <dxf>
      <fill>
        <patternFill>
          <bgColor theme="0" tint="-0.14996795556505021"/>
        </patternFill>
      </fill>
    </dxf>
    <dxf>
      <font>
        <b/>
        <i val="0"/>
        <color rgb="FF533001"/>
      </font>
      <fill>
        <patternFill patternType="solid">
          <fgColor indexed="64"/>
          <bgColor rgb="FFFFCC66"/>
        </patternFill>
      </fill>
    </dxf>
    <dxf>
      <font>
        <color theme="1" tint="0.24994659260841701"/>
      </font>
      <border>
        <left/>
        <right/>
        <top/>
        <bottom/>
        <vertical/>
        <horizontal/>
      </border>
    </dxf>
  </dxfs>
  <tableStyles count="3" defaultTableStyle="Equation table" defaultPivotStyle="PivotStyleLight16">
    <tableStyle name="Editable table" pivot="0" count="6" xr9:uid="{8C498A1C-5864-4BF8-8739-A3055FE117E0}">
      <tableStyleElement type="wholeTable" dxfId="89"/>
      <tableStyleElement type="headerRow" dxfId="88"/>
      <tableStyleElement type="totalRow" dxfId="87"/>
      <tableStyleElement type="firstColumn" dxfId="86"/>
      <tableStyleElement type="firstRowStripe" dxfId="85"/>
      <tableStyleElement type="secondRowStripe" dxfId="84"/>
    </tableStyle>
    <tableStyle name="Equation table" pivot="0" count="6" xr9:uid="{B247698E-E41D-4CCD-AA0A-C14817E9DE65}">
      <tableStyleElement type="wholeTable" dxfId="83"/>
      <tableStyleElement type="headerRow" dxfId="82"/>
      <tableStyleElement type="totalRow" dxfId="81"/>
      <tableStyleElement type="firstColumn" dxfId="80"/>
      <tableStyleElement type="firstRowStripe" dxfId="79"/>
      <tableStyleElement type="secondRowStripe" dxfId="78"/>
    </tableStyle>
    <tableStyle name="Table Style 1" pivot="0" count="0" xr9:uid="{97B370DB-5463-4A31-9160-5A96BD6A559D}"/>
  </tableStyles>
  <colors>
    <mruColors>
      <color rgb="FFC44340"/>
      <color rgb="FF0C769E"/>
      <color rgb="FF008000"/>
      <color rgb="FFFFCCCC"/>
      <color rgb="FFC4433F"/>
      <color rgb="FFE9F2FB"/>
      <color rgb="FF183C1B"/>
      <color rgb="FFB2D498"/>
      <color rgb="FFCC6600"/>
      <color rgb="FF4F4789"/>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externalLink" Target="externalLinks/externalLink1.xml"/><Relationship Id="rId26" Type="http://schemas.microsoft.com/office/2017/06/relationships/rdRichValueStructure" Target="richData/rdrichvaluestructure.xml"/><Relationship Id="rId3" Type="http://schemas.openxmlformats.org/officeDocument/2006/relationships/worksheet" Target="worksheets/sheet3.xml"/><Relationship Id="rId21" Type="http://schemas.openxmlformats.org/officeDocument/2006/relationships/styles" Target="styles.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worksheet" Target="worksheets/sheet17.xml"/><Relationship Id="rId25" Type="http://schemas.microsoft.com/office/2017/06/relationships/rdRichValue" Target="richData/rdrichvalue.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theme" Target="theme/theme1.xml"/><Relationship Id="rId29" Type="http://schemas.openxmlformats.org/officeDocument/2006/relationships/customXml" Target="../customXml/item1.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microsoft.com/office/2022/10/relationships/richValueRel" Target="richData/richValueRel.xml"/><Relationship Id="rId32" Type="http://schemas.openxmlformats.org/officeDocument/2006/relationships/customXml" Target="../customXml/item4.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sheetMetadata" Target="metadata.xml"/><Relationship Id="rId28" Type="http://schemas.openxmlformats.org/officeDocument/2006/relationships/calcChain" Target="calcChain.xml"/><Relationship Id="rId10" Type="http://schemas.openxmlformats.org/officeDocument/2006/relationships/worksheet" Target="worksheets/sheet10.xml"/><Relationship Id="rId19" Type="http://schemas.openxmlformats.org/officeDocument/2006/relationships/externalLink" Target="externalLinks/externalLink2.xml"/><Relationship Id="rId31" Type="http://schemas.openxmlformats.org/officeDocument/2006/relationships/customXml" Target="../customXml/item3.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sharedStrings" Target="sharedStrings.xml"/><Relationship Id="rId27" Type="http://schemas.microsoft.com/office/2017/06/relationships/rdRichValueTypes" Target="richData/rdRichValueTypes.xml"/><Relationship Id="rId30" Type="http://schemas.openxmlformats.org/officeDocument/2006/relationships/customXml" Target="../customXml/item2.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doughnutChart>
        <c:varyColors val="1"/>
        <c:dLbls>
          <c:showLegendKey val="0"/>
          <c:showVal val="0"/>
          <c:showCatName val="0"/>
          <c:showSerName val="0"/>
          <c:showPercent val="0"/>
          <c:showBubbleSize val="0"/>
          <c:showLeaderLines val="0"/>
        </c:dLbls>
        <c:firstSliceAng val="0"/>
        <c:holeSize val="75"/>
      </c:doughnutChart>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noFill/>
    <a:ln w="9525" cap="flat" cmpd="sng" algn="ctr">
      <a:no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1" Type="http://schemas.openxmlformats.org/officeDocument/2006/relationships/chart" Target="../charts/chart1.xml"/></Relationships>
</file>

<file path=xl/drawings/_rels/drawing6.xml.rels><?xml version="1.0" encoding="UTF-8" standalone="yes"?>
<Relationships xmlns="http://schemas.openxmlformats.org/package/2006/relationships"><Relationship Id="rId1" Type="http://schemas.openxmlformats.org/officeDocument/2006/relationships/image" Target="../media/image2.png"/></Relationships>
</file>

<file path=xl/drawings/drawing1.xml><?xml version="1.0" encoding="utf-8"?>
<xdr:wsDr xmlns:xdr="http://schemas.openxmlformats.org/drawingml/2006/spreadsheetDrawing" xmlns:a="http://schemas.openxmlformats.org/drawingml/2006/main">
  <xdr:twoCellAnchor>
    <xdr:from>
      <xdr:col>8</xdr:col>
      <xdr:colOff>938212</xdr:colOff>
      <xdr:row>65</xdr:row>
      <xdr:rowOff>200025</xdr:rowOff>
    </xdr:from>
    <xdr:to>
      <xdr:col>9</xdr:col>
      <xdr:colOff>1443037</xdr:colOff>
      <xdr:row>77</xdr:row>
      <xdr:rowOff>85725</xdr:rowOff>
    </xdr:to>
    <xdr:graphicFrame macro="">
      <xdr:nvGraphicFramePr>
        <xdr:cNvPr id="6" name="Chart 5">
          <a:extLst>
            <a:ext uri="{FF2B5EF4-FFF2-40B4-BE49-F238E27FC236}">
              <a16:creationId xmlns:a16="http://schemas.microsoft.com/office/drawing/2014/main" id="{0DEA1AD2-453E-4F97-8BC2-DE4AF27985BA}"/>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2.xml><?xml version="1.0" encoding="utf-8"?>
<xdr:wsDr xmlns:xdr="http://schemas.openxmlformats.org/drawingml/2006/spreadsheetDrawing" xmlns:a="http://schemas.openxmlformats.org/drawingml/2006/main">
  <xdr:oneCellAnchor>
    <xdr:from>
      <xdr:col>3</xdr:col>
      <xdr:colOff>14287</xdr:colOff>
      <xdr:row>90</xdr:row>
      <xdr:rowOff>90487</xdr:rowOff>
    </xdr:from>
    <xdr:ext cx="2975751" cy="253339"/>
    <mc:AlternateContent xmlns:mc="http://schemas.openxmlformats.org/markup-compatibility/2006" xmlns:a14="http://schemas.microsoft.com/office/drawing/2010/main">
      <mc:Choice Requires="a14">
        <xdr:sp macro="" textlink="">
          <xdr:nvSpPr>
            <xdr:cNvPr id="6" name="TextBox 5">
              <a:extLst>
                <a:ext uri="{FF2B5EF4-FFF2-40B4-BE49-F238E27FC236}">
                  <a16:creationId xmlns:a16="http://schemas.microsoft.com/office/drawing/2014/main" id="{73179BBD-EF70-3AA3-409E-878BDA2E566F}"/>
                </a:ext>
              </a:extLst>
            </xdr:cNvPr>
            <xdr:cNvSpPr txBox="1"/>
          </xdr:nvSpPr>
          <xdr:spPr>
            <a:xfrm>
              <a:off x="2690812" y="1957387"/>
              <a:ext cx="2975751" cy="25333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r>
                      <a:rPr lang="en-AU" sz="1100" i="1">
                        <a:latin typeface="Cambria Math" panose="02040503050406030204" pitchFamily="18" charset="0"/>
                      </a:rPr>
                      <m:t>𝑉</m:t>
                    </m:r>
                    <m:sSub>
                      <m:sSubPr>
                        <m:ctrlPr>
                          <a:rPr lang="en-AU" sz="1100" i="1">
                            <a:latin typeface="Cambria Math" panose="02040503050406030204" pitchFamily="18" charset="0"/>
                          </a:rPr>
                        </m:ctrlPr>
                      </m:sSubPr>
                      <m:e>
                        <m:r>
                          <a:rPr lang="en-AU" sz="1100" i="1">
                            <a:latin typeface="Cambria Math" panose="02040503050406030204" pitchFamily="18" charset="0"/>
                          </a:rPr>
                          <m:t>𝑆</m:t>
                        </m:r>
                      </m:e>
                      <m:sub>
                        <m:r>
                          <a:rPr lang="en-AU" sz="1100" i="1">
                            <a:latin typeface="Cambria Math" panose="02040503050406030204" pitchFamily="18" charset="0"/>
                          </a:rPr>
                          <m:t>𝑗</m:t>
                        </m:r>
                      </m:sub>
                    </m:sSub>
                    <m:r>
                      <a:rPr lang="en-AU" sz="1100" i="1">
                        <a:latin typeface="Cambria Math" panose="02040503050406030204" pitchFamily="18" charset="0"/>
                      </a:rPr>
                      <m:t>=</m:t>
                    </m:r>
                    <m:d>
                      <m:dPr>
                        <m:ctrlPr>
                          <a:rPr lang="en-AU" sz="1100" i="1">
                            <a:latin typeface="Cambria Math" panose="02040503050406030204" pitchFamily="18" charset="0"/>
                          </a:rPr>
                        </m:ctrlPr>
                      </m:dPr>
                      <m:e>
                        <m:sSub>
                          <m:sSubPr>
                            <m:ctrlPr>
                              <a:rPr lang="en-AU" sz="1100" i="1">
                                <a:latin typeface="Cambria Math" panose="02040503050406030204" pitchFamily="18" charset="0"/>
                              </a:rPr>
                            </m:ctrlPr>
                          </m:sSubPr>
                          <m:e>
                            <m:r>
                              <a:rPr lang="en-AU" sz="1100" i="1">
                                <a:latin typeface="Cambria Math" panose="02040503050406030204" pitchFamily="18" charset="0"/>
                              </a:rPr>
                              <m:t>𝐼</m:t>
                            </m:r>
                          </m:e>
                          <m:sub>
                            <m:r>
                              <a:rPr lang="en-AU" sz="1100" i="1">
                                <a:latin typeface="Cambria Math" panose="02040503050406030204" pitchFamily="18" charset="0"/>
                              </a:rPr>
                              <m:t>𝑗</m:t>
                            </m:r>
                          </m:sub>
                        </m:sSub>
                        <m:r>
                          <a:rPr lang="en-AU" sz="1100" i="1">
                            <a:latin typeface="Cambria Math" panose="02040503050406030204" pitchFamily="18" charset="0"/>
                          </a:rPr>
                          <m:t>×</m:t>
                        </m:r>
                        <m:d>
                          <m:dPr>
                            <m:ctrlPr>
                              <a:rPr lang="en-AU" sz="1100" i="1">
                                <a:latin typeface="Cambria Math" panose="02040503050406030204" pitchFamily="18" charset="0"/>
                              </a:rPr>
                            </m:ctrlPr>
                          </m:dPr>
                          <m:e>
                            <m:r>
                              <a:rPr lang="en-AU" sz="1100" i="1">
                                <a:latin typeface="Cambria Math" panose="02040503050406030204" pitchFamily="18" charset="0"/>
                              </a:rPr>
                              <m:t>1−</m:t>
                            </m:r>
                            <m:r>
                              <a:rPr lang="en-AU" sz="1100" i="1">
                                <a:latin typeface="Cambria Math" panose="02040503050406030204" pitchFamily="18" charset="0"/>
                              </a:rPr>
                              <m:t>𝐷𝑀</m:t>
                            </m:r>
                            <m:sSub>
                              <m:sSubPr>
                                <m:ctrlPr>
                                  <a:rPr lang="en-AU" sz="1100" i="1">
                                    <a:latin typeface="Cambria Math" panose="02040503050406030204" pitchFamily="18" charset="0"/>
                                  </a:rPr>
                                </m:ctrlPr>
                              </m:sSubPr>
                              <m:e>
                                <m:r>
                                  <a:rPr lang="en-AU" sz="1100" i="1">
                                    <a:latin typeface="Cambria Math" panose="02040503050406030204" pitchFamily="18" charset="0"/>
                                  </a:rPr>
                                  <m:t>𝐷</m:t>
                                </m:r>
                              </m:e>
                              <m:sub>
                                <m:r>
                                  <a:rPr lang="en-AU" sz="1100" i="1">
                                    <a:latin typeface="Cambria Math" panose="02040503050406030204" pitchFamily="18" charset="0"/>
                                  </a:rPr>
                                  <m:t>𝑗</m:t>
                                </m:r>
                              </m:sub>
                            </m:sSub>
                          </m:e>
                        </m:d>
                        <m:r>
                          <a:rPr lang="en-AU" sz="1100" i="1">
                            <a:latin typeface="Cambria Math" panose="02040503050406030204" pitchFamily="18" charset="0"/>
                          </a:rPr>
                          <m:t>+</m:t>
                        </m:r>
                        <m:d>
                          <m:dPr>
                            <m:ctrlPr>
                              <a:rPr lang="en-AU" sz="1100" i="1">
                                <a:latin typeface="Cambria Math" panose="02040503050406030204" pitchFamily="18" charset="0"/>
                              </a:rPr>
                            </m:ctrlPr>
                          </m:dPr>
                          <m:e>
                            <m:r>
                              <a:rPr lang="en-AU" sz="1100" i="1">
                                <a:latin typeface="Cambria Math" panose="02040503050406030204" pitchFamily="18" charset="0"/>
                              </a:rPr>
                              <m:t>0.04×</m:t>
                            </m:r>
                            <m:sSub>
                              <m:sSubPr>
                                <m:ctrlPr>
                                  <a:rPr lang="en-AU" sz="1100" i="1">
                                    <a:latin typeface="Cambria Math" panose="02040503050406030204" pitchFamily="18" charset="0"/>
                                  </a:rPr>
                                </m:ctrlPr>
                              </m:sSubPr>
                              <m:e>
                                <m:r>
                                  <a:rPr lang="en-AU" sz="1100" i="1">
                                    <a:latin typeface="Cambria Math" panose="02040503050406030204" pitchFamily="18" charset="0"/>
                                  </a:rPr>
                                  <m:t>𝐼</m:t>
                                </m:r>
                              </m:e>
                              <m:sub>
                                <m:r>
                                  <a:rPr lang="en-AU" sz="1100" i="1">
                                    <a:latin typeface="Cambria Math" panose="02040503050406030204" pitchFamily="18" charset="0"/>
                                  </a:rPr>
                                  <m:t>𝑗</m:t>
                                </m:r>
                              </m:sub>
                            </m:sSub>
                          </m:e>
                        </m:d>
                      </m:e>
                    </m:d>
                    <m:r>
                      <a:rPr lang="en-AU" sz="1100" i="1">
                        <a:latin typeface="Cambria Math" panose="02040503050406030204" pitchFamily="18" charset="0"/>
                      </a:rPr>
                      <m:t>×</m:t>
                    </m:r>
                    <m:d>
                      <m:dPr>
                        <m:ctrlPr>
                          <a:rPr lang="en-AU" sz="1100" i="1">
                            <a:latin typeface="Cambria Math" panose="02040503050406030204" pitchFamily="18" charset="0"/>
                          </a:rPr>
                        </m:ctrlPr>
                      </m:dPr>
                      <m:e>
                        <m:r>
                          <a:rPr lang="en-AU" sz="1100" i="1">
                            <a:latin typeface="Cambria Math" panose="02040503050406030204" pitchFamily="18" charset="0"/>
                          </a:rPr>
                          <m:t>1−</m:t>
                        </m:r>
                        <m:r>
                          <a:rPr lang="en-AU" sz="1100" i="1">
                            <a:latin typeface="Cambria Math" panose="02040503050406030204" pitchFamily="18" charset="0"/>
                          </a:rPr>
                          <m:t>𝐴</m:t>
                        </m:r>
                      </m:e>
                    </m:d>
                  </m:oMath>
                </m:oMathPara>
              </a14:m>
              <a:endParaRPr lang="en-AU" sz="1100"/>
            </a:p>
          </xdr:txBody>
        </xdr:sp>
      </mc:Choice>
      <mc:Fallback xmlns="">
        <xdr:sp macro="" textlink="">
          <xdr:nvSpPr>
            <xdr:cNvPr id="6" name="TextBox 5">
              <a:extLst>
                <a:ext uri="{FF2B5EF4-FFF2-40B4-BE49-F238E27FC236}">
                  <a16:creationId xmlns:a16="http://schemas.microsoft.com/office/drawing/2014/main" id="{73179BBD-EF70-3AA3-409E-878BDA2E566F}"/>
                </a:ext>
              </a:extLst>
            </xdr:cNvPr>
            <xdr:cNvSpPr txBox="1"/>
          </xdr:nvSpPr>
          <xdr:spPr>
            <a:xfrm>
              <a:off x="2690812" y="1957387"/>
              <a:ext cx="2975751" cy="25333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r>
                <a:rPr lang="en-AU" sz="1100" i="0">
                  <a:latin typeface="Cambria Math" panose="02040503050406030204" pitchFamily="18" charset="0"/>
                </a:rPr>
                <a:t>𝑉𝑆_𝑗=(𝐼_𝑗×(1−𝐷𝑀𝐷_𝑗 )+(0.04×𝐼_𝑗 ))×(1−𝐴)</a:t>
              </a:r>
              <a:endParaRPr lang="en-AU" sz="1100"/>
            </a:p>
          </xdr:txBody>
        </xdr:sp>
      </mc:Fallback>
    </mc:AlternateContent>
    <xdr:clientData/>
  </xdr:oneCellAnchor>
  <xdr:oneCellAnchor>
    <xdr:from>
      <xdr:col>2</xdr:col>
      <xdr:colOff>309562</xdr:colOff>
      <xdr:row>55</xdr:row>
      <xdr:rowOff>52387</xdr:rowOff>
    </xdr:from>
    <xdr:ext cx="4845044" cy="234103"/>
    <mc:AlternateContent xmlns:mc="http://schemas.openxmlformats.org/markup-compatibility/2006" xmlns:a14="http://schemas.microsoft.com/office/drawing/2010/main">
      <mc:Choice Requires="a14">
        <xdr:sp macro="" textlink="">
          <xdr:nvSpPr>
            <xdr:cNvPr id="9" name="TextBox 8">
              <a:extLst>
                <a:ext uri="{FF2B5EF4-FFF2-40B4-BE49-F238E27FC236}">
                  <a16:creationId xmlns:a16="http://schemas.microsoft.com/office/drawing/2014/main" id="{92BDE28D-28D0-62B3-DE0C-2DFB92441FA4}"/>
                </a:ext>
              </a:extLst>
            </xdr:cNvPr>
            <xdr:cNvSpPr txBox="1"/>
          </xdr:nvSpPr>
          <xdr:spPr>
            <a:xfrm>
              <a:off x="2671762" y="1919287"/>
              <a:ext cx="4845044" cy="234103"/>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sSub>
                      <m:sSubPr>
                        <m:ctrlPr>
                          <a:rPr lang="en-AU" sz="1100" i="1">
                            <a:latin typeface="Cambria Math" panose="02040503050406030204" pitchFamily="18" charset="0"/>
                          </a:rPr>
                        </m:ctrlPr>
                      </m:sSubPr>
                      <m:e>
                        <m:r>
                          <a:rPr lang="en-AU" sz="1100" i="1">
                            <a:latin typeface="Cambria Math" panose="02040503050406030204" pitchFamily="18" charset="0"/>
                          </a:rPr>
                          <m:t>𝐼</m:t>
                        </m:r>
                      </m:e>
                      <m:sub>
                        <m:r>
                          <a:rPr lang="en-AU" sz="1100" i="1">
                            <a:latin typeface="Cambria Math" panose="02040503050406030204" pitchFamily="18" charset="0"/>
                          </a:rPr>
                          <m:t>𝑗</m:t>
                        </m:r>
                      </m:sub>
                    </m:sSub>
                    <m:r>
                      <a:rPr lang="en-AU" sz="1100" i="1">
                        <a:latin typeface="Cambria Math" panose="02040503050406030204" pitchFamily="18" charset="0"/>
                      </a:rPr>
                      <m:t>=</m:t>
                    </m:r>
                    <m:sSup>
                      <m:sSupPr>
                        <m:ctrlPr>
                          <a:rPr lang="en-AU" sz="1100" i="1">
                            <a:latin typeface="Cambria Math" panose="02040503050406030204" pitchFamily="18" charset="0"/>
                          </a:rPr>
                        </m:ctrlPr>
                      </m:sSupPr>
                      <m:e>
                        <m:d>
                          <m:dPr>
                            <m:ctrlPr>
                              <a:rPr lang="en-AU" sz="1100" i="1">
                                <a:latin typeface="Cambria Math" panose="02040503050406030204" pitchFamily="18" charset="0"/>
                              </a:rPr>
                            </m:ctrlPr>
                          </m:dPr>
                          <m:e>
                            <m:r>
                              <a:rPr lang="en-AU" sz="1100" i="1">
                                <a:latin typeface="Cambria Math" panose="02040503050406030204" pitchFamily="18" charset="0"/>
                              </a:rPr>
                              <m:t>1.185+0.00454×</m:t>
                            </m:r>
                            <m:sSub>
                              <m:sSubPr>
                                <m:ctrlPr>
                                  <a:rPr lang="en-AU" sz="1100" i="1">
                                    <a:latin typeface="Cambria Math" panose="02040503050406030204" pitchFamily="18" charset="0"/>
                                  </a:rPr>
                                </m:ctrlPr>
                              </m:sSubPr>
                              <m:e>
                                <m:r>
                                  <a:rPr lang="en-AU" sz="1100" i="1">
                                    <a:latin typeface="Cambria Math" panose="02040503050406030204" pitchFamily="18" charset="0"/>
                                  </a:rPr>
                                  <m:t>𝑊</m:t>
                                </m:r>
                              </m:e>
                              <m:sub>
                                <m:r>
                                  <a:rPr lang="en-AU" sz="1100" i="1">
                                    <a:latin typeface="Cambria Math" panose="02040503050406030204" pitchFamily="18" charset="0"/>
                                  </a:rPr>
                                  <m:t>𝑗</m:t>
                                </m:r>
                              </m:sub>
                            </m:sSub>
                            <m:r>
                              <a:rPr lang="en-AU" sz="1100" i="1">
                                <a:latin typeface="Cambria Math" panose="02040503050406030204" pitchFamily="18" charset="0"/>
                              </a:rPr>
                              <m:t>−0.0000026×</m:t>
                            </m:r>
                            <m:sSubSup>
                              <m:sSubSupPr>
                                <m:ctrlPr>
                                  <a:rPr lang="en-AU" sz="1100" i="1">
                                    <a:latin typeface="Cambria Math" panose="02040503050406030204" pitchFamily="18" charset="0"/>
                                  </a:rPr>
                                </m:ctrlPr>
                              </m:sSubSupPr>
                              <m:e>
                                <m:r>
                                  <a:rPr lang="en-AU" sz="1100" i="1">
                                    <a:latin typeface="Cambria Math" panose="02040503050406030204" pitchFamily="18" charset="0"/>
                                  </a:rPr>
                                  <m:t>𝑊</m:t>
                                </m:r>
                              </m:e>
                              <m:sub>
                                <m:r>
                                  <a:rPr lang="en-AU" sz="1100" i="1">
                                    <a:latin typeface="Cambria Math" panose="02040503050406030204" pitchFamily="18" charset="0"/>
                                  </a:rPr>
                                  <m:t>𝑗</m:t>
                                </m:r>
                              </m:sub>
                              <m:sup>
                                <m:r>
                                  <a:rPr lang="en-AU" sz="1100" i="1">
                                    <a:latin typeface="Cambria Math" panose="02040503050406030204" pitchFamily="18" charset="0"/>
                                  </a:rPr>
                                  <m:t>2</m:t>
                                </m:r>
                              </m:sup>
                            </m:sSubSup>
                            <m:r>
                              <a:rPr lang="en-AU" sz="1100" i="1">
                                <a:latin typeface="Cambria Math" panose="02040503050406030204" pitchFamily="18" charset="0"/>
                              </a:rPr>
                              <m:t>+0.315×</m:t>
                            </m:r>
                            <m:r>
                              <a:rPr lang="en-AU" sz="1100" i="1">
                                <a:latin typeface="Cambria Math" panose="02040503050406030204" pitchFamily="18" charset="0"/>
                              </a:rPr>
                              <m:t>𝐿𝑊</m:t>
                            </m:r>
                            <m:sSub>
                              <m:sSubPr>
                                <m:ctrlPr>
                                  <a:rPr lang="en-AU" sz="1100" i="1">
                                    <a:latin typeface="Cambria Math" panose="02040503050406030204" pitchFamily="18" charset="0"/>
                                  </a:rPr>
                                </m:ctrlPr>
                              </m:sSubPr>
                              <m:e>
                                <m:r>
                                  <a:rPr lang="en-AU" sz="1100" i="1">
                                    <a:latin typeface="Cambria Math" panose="02040503050406030204" pitchFamily="18" charset="0"/>
                                  </a:rPr>
                                  <m:t>𝐺</m:t>
                                </m:r>
                              </m:e>
                              <m:sub>
                                <m:r>
                                  <a:rPr lang="en-AU" sz="1100" i="1">
                                    <a:latin typeface="Cambria Math" panose="02040503050406030204" pitchFamily="18" charset="0"/>
                                  </a:rPr>
                                  <m:t>𝑗</m:t>
                                </m:r>
                              </m:sub>
                            </m:sSub>
                          </m:e>
                        </m:d>
                      </m:e>
                      <m:sup>
                        <m:r>
                          <a:rPr lang="en-AU" sz="1100" i="1">
                            <a:latin typeface="Cambria Math" panose="02040503050406030204" pitchFamily="18" charset="0"/>
                          </a:rPr>
                          <m:t>2</m:t>
                        </m:r>
                      </m:sup>
                    </m:sSup>
                    <m:r>
                      <a:rPr lang="en-AU" sz="1100" i="1">
                        <a:latin typeface="Cambria Math" panose="02040503050406030204" pitchFamily="18" charset="0"/>
                      </a:rPr>
                      <m:t>×</m:t>
                    </m:r>
                    <m:r>
                      <a:rPr lang="en-AU" sz="1100" i="1">
                        <a:latin typeface="Cambria Math" panose="02040503050406030204" pitchFamily="18" charset="0"/>
                      </a:rPr>
                      <m:t>𝑀</m:t>
                    </m:r>
                    <m:sSub>
                      <m:sSubPr>
                        <m:ctrlPr>
                          <a:rPr lang="en-AU" sz="1100" i="1">
                            <a:latin typeface="Cambria Math" panose="02040503050406030204" pitchFamily="18" charset="0"/>
                          </a:rPr>
                        </m:ctrlPr>
                      </m:sSubPr>
                      <m:e>
                        <m:r>
                          <a:rPr lang="en-AU" sz="1100" i="1">
                            <a:latin typeface="Cambria Math" panose="02040503050406030204" pitchFamily="18" charset="0"/>
                          </a:rPr>
                          <m:t>𝑅</m:t>
                        </m:r>
                      </m:e>
                      <m:sub>
                        <m:r>
                          <a:rPr lang="en-AU" sz="1100" i="1">
                            <a:latin typeface="Cambria Math" panose="02040503050406030204" pitchFamily="18" charset="0"/>
                          </a:rPr>
                          <m:t>𝑗</m:t>
                        </m:r>
                      </m:sub>
                    </m:sSub>
                    <m:r>
                      <a:rPr lang="en-AU" sz="1100" i="1">
                        <a:latin typeface="Cambria Math" panose="02040503050406030204" pitchFamily="18" charset="0"/>
                      </a:rPr>
                      <m:t>+</m:t>
                    </m:r>
                    <m:r>
                      <a:rPr lang="en-AU" sz="1100" i="1">
                        <a:latin typeface="Cambria Math" panose="02040503050406030204" pitchFamily="18" charset="0"/>
                      </a:rPr>
                      <m:t>𝑀</m:t>
                    </m:r>
                    <m:sSub>
                      <m:sSubPr>
                        <m:ctrlPr>
                          <a:rPr lang="en-AU" sz="1100" i="1">
                            <a:latin typeface="Cambria Math" panose="02040503050406030204" pitchFamily="18" charset="0"/>
                          </a:rPr>
                        </m:ctrlPr>
                      </m:sSubPr>
                      <m:e>
                        <m:r>
                          <a:rPr lang="en-AU" sz="1100" i="1">
                            <a:latin typeface="Cambria Math" panose="02040503050406030204" pitchFamily="18" charset="0"/>
                          </a:rPr>
                          <m:t>𝐼</m:t>
                        </m:r>
                      </m:e>
                      <m:sub>
                        <m:r>
                          <a:rPr lang="en-AU" sz="1100" i="1">
                            <a:latin typeface="Cambria Math" panose="02040503050406030204" pitchFamily="18" charset="0"/>
                          </a:rPr>
                          <m:t>𝑗</m:t>
                        </m:r>
                      </m:sub>
                    </m:sSub>
                  </m:oMath>
                </m:oMathPara>
              </a14:m>
              <a:endParaRPr lang="en-AU" sz="1100"/>
            </a:p>
          </xdr:txBody>
        </xdr:sp>
      </mc:Choice>
      <mc:Fallback xmlns="">
        <xdr:sp macro="" textlink="">
          <xdr:nvSpPr>
            <xdr:cNvPr id="9" name="TextBox 8">
              <a:extLst>
                <a:ext uri="{FF2B5EF4-FFF2-40B4-BE49-F238E27FC236}">
                  <a16:creationId xmlns:a16="http://schemas.microsoft.com/office/drawing/2014/main" id="{92BDE28D-28D0-62B3-DE0C-2DFB92441FA4}"/>
                </a:ext>
              </a:extLst>
            </xdr:cNvPr>
            <xdr:cNvSpPr txBox="1"/>
          </xdr:nvSpPr>
          <xdr:spPr>
            <a:xfrm>
              <a:off x="2671762" y="1919287"/>
              <a:ext cx="4845044" cy="234103"/>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r>
                <a:rPr lang="en-AU" sz="1100" i="0">
                  <a:latin typeface="Cambria Math" panose="02040503050406030204" pitchFamily="18" charset="0"/>
                </a:rPr>
                <a:t>𝐼_𝑗=(1.185+0.00454×𝑊_𝑗−0.0000026×𝑊_𝑗^2+0.315×𝐿𝑊𝐺_𝑗 )^2×𝑀𝑅_𝑗+𝑀𝐼_𝑗</a:t>
              </a:r>
              <a:endParaRPr lang="en-AU" sz="1100"/>
            </a:p>
          </xdr:txBody>
        </xdr:sp>
      </mc:Fallback>
    </mc:AlternateContent>
    <xdr:clientData/>
  </xdr:oneCellAnchor>
  <xdr:oneCellAnchor>
    <xdr:from>
      <xdr:col>3</xdr:col>
      <xdr:colOff>14287</xdr:colOff>
      <xdr:row>29</xdr:row>
      <xdr:rowOff>42862</xdr:rowOff>
    </xdr:from>
    <xdr:ext cx="1461105" cy="370551"/>
    <mc:AlternateContent xmlns:mc="http://schemas.openxmlformats.org/markup-compatibility/2006" xmlns:a14="http://schemas.microsoft.com/office/drawing/2010/main">
      <mc:Choice Requires="a14">
        <xdr:sp macro="" textlink="">
          <xdr:nvSpPr>
            <xdr:cNvPr id="11" name="TextBox 10">
              <a:extLst>
                <a:ext uri="{FF2B5EF4-FFF2-40B4-BE49-F238E27FC236}">
                  <a16:creationId xmlns:a16="http://schemas.microsoft.com/office/drawing/2014/main" id="{013F75C9-EF18-E456-1E1C-8FB164826A2C}"/>
                </a:ext>
              </a:extLst>
            </xdr:cNvPr>
            <xdr:cNvSpPr txBox="1"/>
          </xdr:nvSpPr>
          <xdr:spPr>
            <a:xfrm>
              <a:off x="2690812" y="1909762"/>
              <a:ext cx="1461105" cy="37055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r>
                      <a:rPr lang="en-AU" sz="1100" i="1">
                        <a:latin typeface="Cambria Math" panose="02040503050406030204" pitchFamily="18" charset="0"/>
                      </a:rPr>
                      <m:t>𝑀</m:t>
                    </m:r>
                    <m:sSub>
                      <m:sSubPr>
                        <m:ctrlPr>
                          <a:rPr lang="en-AU" sz="1100" i="1">
                            <a:latin typeface="Cambria Math" panose="02040503050406030204" pitchFamily="18" charset="0"/>
                          </a:rPr>
                        </m:ctrlPr>
                      </m:sSubPr>
                      <m:e>
                        <m:r>
                          <a:rPr lang="en-AU" sz="1100" i="1">
                            <a:latin typeface="Cambria Math" panose="02040503050406030204" pitchFamily="18" charset="0"/>
                          </a:rPr>
                          <m:t>𝐼</m:t>
                        </m:r>
                      </m:e>
                      <m:sub>
                        <m:r>
                          <a:rPr lang="en-AU" sz="1100" i="1">
                            <a:latin typeface="Cambria Math" panose="02040503050406030204" pitchFamily="18" charset="0"/>
                          </a:rPr>
                          <m:t>𝑗</m:t>
                        </m:r>
                      </m:sub>
                    </m:sSub>
                    <m:r>
                      <a:rPr lang="en-AU" sz="1100" i="1">
                        <a:latin typeface="Cambria Math" panose="02040503050406030204" pitchFamily="18" charset="0"/>
                      </a:rPr>
                      <m:t>=</m:t>
                    </m:r>
                    <m:f>
                      <m:fPr>
                        <m:ctrlPr>
                          <a:rPr lang="en-AU" sz="1100" i="1">
                            <a:latin typeface="Cambria Math" panose="02040503050406030204" pitchFamily="18" charset="0"/>
                          </a:rPr>
                        </m:ctrlPr>
                      </m:fPr>
                      <m:num>
                        <m:r>
                          <a:rPr lang="en-AU" sz="1100" i="1">
                            <a:latin typeface="Cambria Math" panose="02040503050406030204" pitchFamily="18" charset="0"/>
                          </a:rPr>
                          <m:t>𝑀</m:t>
                        </m:r>
                        <m:sSub>
                          <m:sSubPr>
                            <m:ctrlPr>
                              <a:rPr lang="en-AU" sz="1100" i="1">
                                <a:latin typeface="Cambria Math" panose="02040503050406030204" pitchFamily="18" charset="0"/>
                              </a:rPr>
                            </m:ctrlPr>
                          </m:sSubPr>
                          <m:e>
                            <m:r>
                              <a:rPr lang="en-AU" sz="1100" i="1">
                                <a:latin typeface="Cambria Math" panose="02040503050406030204" pitchFamily="18" charset="0"/>
                              </a:rPr>
                              <m:t>𝑃</m:t>
                            </m:r>
                          </m:e>
                          <m:sub>
                            <m:r>
                              <a:rPr lang="en-AU" sz="1100" i="1">
                                <a:latin typeface="Cambria Math" panose="02040503050406030204" pitchFamily="18" charset="0"/>
                              </a:rPr>
                              <m:t>𝑗</m:t>
                            </m:r>
                          </m:sub>
                        </m:sSub>
                        <m:r>
                          <a:rPr lang="en-AU" sz="1100" i="1">
                            <a:latin typeface="Cambria Math" panose="02040503050406030204" pitchFamily="18" charset="0"/>
                          </a:rPr>
                          <m:t>×1.03×</m:t>
                        </m:r>
                        <m:r>
                          <a:rPr lang="en-AU" sz="1100" i="1">
                            <a:latin typeface="Cambria Math" panose="02040503050406030204" pitchFamily="18" charset="0"/>
                          </a:rPr>
                          <m:t>𝑁𝐸</m:t>
                        </m:r>
                      </m:num>
                      <m:den>
                        <m:r>
                          <a:rPr lang="en-AU" sz="1100" i="1">
                            <a:latin typeface="Cambria Math" panose="02040503050406030204" pitchFamily="18" charset="0"/>
                          </a:rPr>
                          <m:t>𝐺𝐸𝐶</m:t>
                        </m:r>
                        <m:r>
                          <a:rPr lang="en-AU" sz="1100" i="1">
                            <a:latin typeface="Cambria Math" panose="02040503050406030204" pitchFamily="18" charset="0"/>
                          </a:rPr>
                          <m:t>×</m:t>
                        </m:r>
                        <m:r>
                          <a:rPr lang="en-AU" sz="1100" i="1">
                            <a:latin typeface="Cambria Math" panose="02040503050406030204" pitchFamily="18" charset="0"/>
                          </a:rPr>
                          <m:t>𝑘</m:t>
                        </m:r>
                        <m:r>
                          <a:rPr lang="en-AU" sz="1100" i="1">
                            <a:latin typeface="Cambria Math" panose="02040503050406030204" pitchFamily="18" charset="0"/>
                          </a:rPr>
                          <m:t>×</m:t>
                        </m:r>
                        <m:r>
                          <a:rPr lang="en-AU" sz="1100" i="1">
                            <a:latin typeface="Cambria Math" panose="02040503050406030204" pitchFamily="18" charset="0"/>
                          </a:rPr>
                          <m:t>𝑞</m:t>
                        </m:r>
                        <m:sSub>
                          <m:sSubPr>
                            <m:ctrlPr>
                              <a:rPr lang="en-AU" sz="1100" i="1">
                                <a:latin typeface="Cambria Math" panose="02040503050406030204" pitchFamily="18" charset="0"/>
                              </a:rPr>
                            </m:ctrlPr>
                          </m:sSubPr>
                          <m:e>
                            <m:r>
                              <a:rPr lang="en-AU" sz="1100" i="1">
                                <a:latin typeface="Cambria Math" panose="02040503050406030204" pitchFamily="18" charset="0"/>
                              </a:rPr>
                              <m:t>𝑚</m:t>
                            </m:r>
                          </m:e>
                          <m:sub>
                            <m:r>
                              <a:rPr lang="en-AU" sz="1100" i="1">
                                <a:latin typeface="Cambria Math" panose="02040503050406030204" pitchFamily="18" charset="0"/>
                              </a:rPr>
                              <m:t>𝑗</m:t>
                            </m:r>
                          </m:sub>
                        </m:sSub>
                      </m:den>
                    </m:f>
                  </m:oMath>
                </m:oMathPara>
              </a14:m>
              <a:endParaRPr lang="en-AU" sz="1100"/>
            </a:p>
          </xdr:txBody>
        </xdr:sp>
      </mc:Choice>
      <mc:Fallback xmlns="">
        <xdr:sp macro="" textlink="">
          <xdr:nvSpPr>
            <xdr:cNvPr id="11" name="TextBox 10">
              <a:extLst>
                <a:ext uri="{FF2B5EF4-FFF2-40B4-BE49-F238E27FC236}">
                  <a16:creationId xmlns:a16="http://schemas.microsoft.com/office/drawing/2014/main" id="{013F75C9-EF18-E456-1E1C-8FB164826A2C}"/>
                </a:ext>
              </a:extLst>
            </xdr:cNvPr>
            <xdr:cNvSpPr txBox="1"/>
          </xdr:nvSpPr>
          <xdr:spPr>
            <a:xfrm>
              <a:off x="2690812" y="1909762"/>
              <a:ext cx="1461105" cy="37055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r>
                <a:rPr lang="en-AU" sz="1100" i="0">
                  <a:latin typeface="Cambria Math" panose="02040503050406030204" pitchFamily="18" charset="0"/>
                </a:rPr>
                <a:t>𝑀𝐼_𝑗=(𝑀𝑃_𝑗×1.03×𝑁𝐸)/(𝐺𝐸𝐶×𝑘×𝑞𝑚_𝑗 )</a:t>
              </a:r>
              <a:endParaRPr lang="en-AU" sz="1100"/>
            </a:p>
          </xdr:txBody>
        </xdr:sp>
      </mc:Fallback>
    </mc:AlternateContent>
    <xdr:clientData/>
  </xdr:oneCellAnchor>
  <xdr:oneCellAnchor>
    <xdr:from>
      <xdr:col>3</xdr:col>
      <xdr:colOff>23812</xdr:colOff>
      <xdr:row>7</xdr:row>
      <xdr:rowOff>128587</xdr:rowOff>
    </xdr:from>
    <xdr:ext cx="2435346" cy="194990"/>
    <mc:AlternateContent xmlns:mc="http://schemas.openxmlformats.org/markup-compatibility/2006" xmlns:a14="http://schemas.microsoft.com/office/drawing/2010/main">
      <mc:Choice Requires="a14">
        <xdr:sp macro="" textlink="">
          <xdr:nvSpPr>
            <xdr:cNvPr id="13" name="TextBox 12">
              <a:extLst>
                <a:ext uri="{FF2B5EF4-FFF2-40B4-BE49-F238E27FC236}">
                  <a16:creationId xmlns:a16="http://schemas.microsoft.com/office/drawing/2014/main" id="{5AF19414-E247-C759-A016-BB7AB8A39AAC}"/>
                </a:ext>
              </a:extLst>
            </xdr:cNvPr>
            <xdr:cNvSpPr txBox="1"/>
          </xdr:nvSpPr>
          <xdr:spPr>
            <a:xfrm>
              <a:off x="2700337" y="1995487"/>
              <a:ext cx="2435346" cy="19499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r>
                      <a:rPr lang="en-AU" sz="1100" i="1">
                        <a:latin typeface="Cambria Math" panose="02040503050406030204" pitchFamily="18" charset="0"/>
                      </a:rPr>
                      <m:t>𝑞</m:t>
                    </m:r>
                    <m:sSub>
                      <m:sSubPr>
                        <m:ctrlPr>
                          <a:rPr lang="en-AU" sz="1100" i="1">
                            <a:latin typeface="Cambria Math" panose="02040503050406030204" pitchFamily="18" charset="0"/>
                          </a:rPr>
                        </m:ctrlPr>
                      </m:sSubPr>
                      <m:e>
                        <m:r>
                          <a:rPr lang="en-AU" sz="1100" i="1">
                            <a:latin typeface="Cambria Math" panose="02040503050406030204" pitchFamily="18" charset="0"/>
                          </a:rPr>
                          <m:t>𝑚</m:t>
                        </m:r>
                      </m:e>
                      <m:sub>
                        <m:r>
                          <a:rPr lang="en-AU" sz="1100" i="1">
                            <a:latin typeface="Cambria Math" panose="02040503050406030204" pitchFamily="18" charset="0"/>
                          </a:rPr>
                          <m:t>𝑗</m:t>
                        </m:r>
                      </m:sub>
                    </m:sSub>
                    <m:r>
                      <a:rPr lang="en-AU" sz="1100" i="1">
                        <a:latin typeface="Cambria Math" panose="02040503050406030204" pitchFamily="18" charset="0"/>
                      </a:rPr>
                      <m:t>=0.795×</m:t>
                    </m:r>
                    <m:d>
                      <m:dPr>
                        <m:ctrlPr>
                          <a:rPr lang="en-AU" sz="1100" i="1">
                            <a:latin typeface="Cambria Math" panose="02040503050406030204" pitchFamily="18" charset="0"/>
                          </a:rPr>
                        </m:ctrlPr>
                      </m:dPr>
                      <m:e>
                        <m:r>
                          <a:rPr lang="en-AU" sz="1100" i="1">
                            <a:latin typeface="Cambria Math" panose="02040503050406030204" pitchFamily="18" charset="0"/>
                          </a:rPr>
                          <m:t>𝐷𝑀</m:t>
                        </m:r>
                        <m:sSub>
                          <m:sSubPr>
                            <m:ctrlPr>
                              <a:rPr lang="en-AU" sz="1100" i="1">
                                <a:latin typeface="Cambria Math" panose="02040503050406030204" pitchFamily="18" charset="0"/>
                              </a:rPr>
                            </m:ctrlPr>
                          </m:sSubPr>
                          <m:e>
                            <m:r>
                              <a:rPr lang="en-AU" sz="1100" i="1">
                                <a:latin typeface="Cambria Math" panose="02040503050406030204" pitchFamily="18" charset="0"/>
                              </a:rPr>
                              <m:t>𝐷</m:t>
                            </m:r>
                          </m:e>
                          <m:sub>
                            <m:r>
                              <a:rPr lang="en-AU" sz="1100" i="1">
                                <a:latin typeface="Cambria Math" panose="02040503050406030204" pitchFamily="18" charset="0"/>
                              </a:rPr>
                              <m:t>𝑗</m:t>
                            </m:r>
                          </m:sub>
                        </m:sSub>
                        <m:r>
                          <a:rPr lang="en-AU" sz="1100" i="1">
                            <a:latin typeface="Cambria Math" panose="02040503050406030204" pitchFamily="18" charset="0"/>
                          </a:rPr>
                          <m:t>×100</m:t>
                        </m:r>
                      </m:e>
                    </m:d>
                    <m:r>
                      <a:rPr lang="en-AU" sz="1100" i="1">
                        <a:latin typeface="Cambria Math" panose="02040503050406030204" pitchFamily="18" charset="0"/>
                      </a:rPr>
                      <m:t>−0.0014</m:t>
                    </m:r>
                  </m:oMath>
                </m:oMathPara>
              </a14:m>
              <a:endParaRPr lang="en-AU" sz="1100"/>
            </a:p>
          </xdr:txBody>
        </xdr:sp>
      </mc:Choice>
      <mc:Fallback xmlns="">
        <xdr:sp macro="" textlink="">
          <xdr:nvSpPr>
            <xdr:cNvPr id="13" name="TextBox 12">
              <a:extLst>
                <a:ext uri="{FF2B5EF4-FFF2-40B4-BE49-F238E27FC236}">
                  <a16:creationId xmlns:a16="http://schemas.microsoft.com/office/drawing/2014/main" id="{5AF19414-E247-C759-A016-BB7AB8A39AAC}"/>
                </a:ext>
              </a:extLst>
            </xdr:cNvPr>
            <xdr:cNvSpPr txBox="1"/>
          </xdr:nvSpPr>
          <xdr:spPr>
            <a:xfrm>
              <a:off x="2700337" y="1995487"/>
              <a:ext cx="2435346" cy="19499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r>
                <a:rPr lang="en-AU" sz="1100" i="0">
                  <a:latin typeface="Cambria Math" panose="02040503050406030204" pitchFamily="18" charset="0"/>
                </a:rPr>
                <a:t>𝑞𝑚_𝑗=0.795×(𝐷𝑀𝐷_𝑗×100)−0.0014</a:t>
              </a:r>
              <a:endParaRPr lang="en-AU" sz="1100"/>
            </a:p>
          </xdr:txBody>
        </xdr:sp>
      </mc:Fallback>
    </mc:AlternateContent>
    <xdr:clientData/>
  </xdr:oneCellAnchor>
  <xdr:oneCellAnchor>
    <xdr:from>
      <xdr:col>3</xdr:col>
      <xdr:colOff>14287</xdr:colOff>
      <xdr:row>109</xdr:row>
      <xdr:rowOff>128587</xdr:rowOff>
    </xdr:from>
    <xdr:ext cx="1834220" cy="182871"/>
    <mc:AlternateContent xmlns:mc="http://schemas.openxmlformats.org/markup-compatibility/2006" xmlns:a14="http://schemas.microsoft.com/office/drawing/2010/main">
      <mc:Choice Requires="a14">
        <xdr:sp macro="" textlink="">
          <xdr:nvSpPr>
            <xdr:cNvPr id="14" name="TextBox 13">
              <a:extLst>
                <a:ext uri="{FF2B5EF4-FFF2-40B4-BE49-F238E27FC236}">
                  <a16:creationId xmlns:a16="http://schemas.microsoft.com/office/drawing/2014/main" id="{FE428F22-1198-DB5D-F222-30923EBCE0F1}"/>
                </a:ext>
              </a:extLst>
            </xdr:cNvPr>
            <xdr:cNvSpPr txBox="1"/>
          </xdr:nvSpPr>
          <xdr:spPr>
            <a:xfrm>
              <a:off x="2690812" y="27255787"/>
              <a:ext cx="1834220" cy="18287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r>
                      <a:rPr lang="en-AU" sz="1100" i="1">
                        <a:latin typeface="Cambria Math" panose="02040503050406030204" pitchFamily="18" charset="0"/>
                      </a:rPr>
                      <m:t>𝐹𝑉</m:t>
                    </m:r>
                    <m:sSub>
                      <m:sSubPr>
                        <m:ctrlPr>
                          <a:rPr lang="en-AU" sz="1100" i="1">
                            <a:latin typeface="Cambria Math" panose="02040503050406030204" pitchFamily="18" charset="0"/>
                          </a:rPr>
                        </m:ctrlPr>
                      </m:sSubPr>
                      <m:e>
                        <m:r>
                          <a:rPr lang="en-AU" sz="1100" i="1">
                            <a:latin typeface="Cambria Math" panose="02040503050406030204" pitchFamily="18" charset="0"/>
                          </a:rPr>
                          <m:t>𝑆</m:t>
                        </m:r>
                      </m:e>
                      <m:sub>
                        <m:r>
                          <a:rPr lang="en-AU" sz="1100" i="1">
                            <a:latin typeface="Cambria Math" panose="02040503050406030204" pitchFamily="18" charset="0"/>
                          </a:rPr>
                          <m:t>𝑗𝑚</m:t>
                        </m:r>
                      </m:sub>
                    </m:sSub>
                    <m:r>
                      <a:rPr lang="en-AU" sz="1100" i="1">
                        <a:latin typeface="Cambria Math" panose="02040503050406030204" pitchFamily="18" charset="0"/>
                      </a:rPr>
                      <m:t>=</m:t>
                    </m:r>
                    <m:r>
                      <a:rPr lang="en-AU" sz="1100" i="1">
                        <a:latin typeface="Cambria Math" panose="02040503050406030204" pitchFamily="18" charset="0"/>
                      </a:rPr>
                      <m:t>𝑀𝑀</m:t>
                    </m:r>
                    <m:sSub>
                      <m:sSubPr>
                        <m:ctrlPr>
                          <a:rPr lang="en-AU" sz="1100" i="1">
                            <a:latin typeface="Cambria Math" panose="02040503050406030204" pitchFamily="18" charset="0"/>
                          </a:rPr>
                        </m:ctrlPr>
                      </m:sSubPr>
                      <m:e>
                        <m:r>
                          <a:rPr lang="en-AU" sz="1100" i="1">
                            <a:latin typeface="Cambria Math" panose="02040503050406030204" pitchFamily="18" charset="0"/>
                          </a:rPr>
                          <m:t>𝑆</m:t>
                        </m:r>
                      </m:e>
                      <m:sub>
                        <m:r>
                          <a:rPr lang="en-AU" sz="1100" i="1">
                            <a:latin typeface="Cambria Math" panose="02040503050406030204" pitchFamily="18" charset="0"/>
                          </a:rPr>
                          <m:t>𝑗𝑚</m:t>
                        </m:r>
                      </m:sub>
                    </m:sSub>
                    <m:r>
                      <a:rPr lang="en-AU" sz="1100" i="1">
                        <a:latin typeface="Cambria Math" panose="02040503050406030204" pitchFamily="18" charset="0"/>
                      </a:rPr>
                      <m:t>×</m:t>
                    </m:r>
                    <m:d>
                      <m:dPr>
                        <m:ctrlPr>
                          <a:rPr lang="en-AU" sz="1100" i="1">
                            <a:latin typeface="Cambria Math" panose="02040503050406030204" pitchFamily="18" charset="0"/>
                          </a:rPr>
                        </m:ctrlPr>
                      </m:dPr>
                      <m:e>
                        <m:r>
                          <a:rPr lang="en-AU" sz="1100" i="1">
                            <a:latin typeface="Cambria Math" panose="02040503050406030204" pitchFamily="18" charset="0"/>
                          </a:rPr>
                          <m:t>1−</m:t>
                        </m:r>
                        <m:r>
                          <a:rPr lang="en-AU" sz="1100" i="1">
                            <a:latin typeface="Cambria Math" panose="02040503050406030204" pitchFamily="18" charset="0"/>
                          </a:rPr>
                          <m:t>𝑆</m:t>
                        </m:r>
                        <m:sSub>
                          <m:sSubPr>
                            <m:ctrlPr>
                              <a:rPr lang="en-AU" sz="1100" i="1">
                                <a:latin typeface="Cambria Math" panose="02040503050406030204" pitchFamily="18" charset="0"/>
                              </a:rPr>
                            </m:ctrlPr>
                          </m:sSubPr>
                          <m:e>
                            <m:r>
                              <a:rPr lang="en-AU" sz="1100" i="1">
                                <a:latin typeface="Cambria Math" panose="02040503050406030204" pitchFamily="18" charset="0"/>
                              </a:rPr>
                              <m:t>𝑆</m:t>
                            </m:r>
                          </m:e>
                          <m:sub>
                            <m:r>
                              <a:rPr lang="en-AU" sz="1100" i="1">
                                <a:latin typeface="Cambria Math" panose="02040503050406030204" pitchFamily="18" charset="0"/>
                              </a:rPr>
                              <m:t>𝑚</m:t>
                            </m:r>
                          </m:sub>
                        </m:sSub>
                      </m:e>
                    </m:d>
                  </m:oMath>
                </m:oMathPara>
              </a14:m>
              <a:endParaRPr lang="en-AU" sz="1100"/>
            </a:p>
          </xdr:txBody>
        </xdr:sp>
      </mc:Choice>
      <mc:Fallback xmlns="">
        <xdr:sp macro="" textlink="">
          <xdr:nvSpPr>
            <xdr:cNvPr id="14" name="TextBox 13">
              <a:extLst>
                <a:ext uri="{FF2B5EF4-FFF2-40B4-BE49-F238E27FC236}">
                  <a16:creationId xmlns:a16="http://schemas.microsoft.com/office/drawing/2014/main" id="{FE428F22-1198-DB5D-F222-30923EBCE0F1}"/>
                </a:ext>
              </a:extLst>
            </xdr:cNvPr>
            <xdr:cNvSpPr txBox="1"/>
          </xdr:nvSpPr>
          <xdr:spPr>
            <a:xfrm>
              <a:off x="2690812" y="27255787"/>
              <a:ext cx="1834220" cy="18287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r>
                <a:rPr lang="en-AU" sz="1100" i="0">
                  <a:latin typeface="Cambria Math" panose="02040503050406030204" pitchFamily="18" charset="0"/>
                </a:rPr>
                <a:t>𝐹𝑉𝑆_𝑗𝑚=𝑀𝑀𝑆_𝑗𝑚×(1−𝑆𝑆_𝑚 )</a:t>
              </a:r>
              <a:endParaRPr lang="en-AU" sz="1100"/>
            </a:p>
          </xdr:txBody>
        </xdr:sp>
      </mc:Fallback>
    </mc:AlternateContent>
    <xdr:clientData/>
  </xdr:oneCellAnchor>
  <xdr:oneCellAnchor>
    <xdr:from>
      <xdr:col>6</xdr:col>
      <xdr:colOff>1604962</xdr:colOff>
      <xdr:row>153</xdr:row>
      <xdr:rowOff>157162</xdr:rowOff>
    </xdr:from>
    <xdr:ext cx="3888692" cy="194990"/>
    <mc:AlternateContent xmlns:mc="http://schemas.openxmlformats.org/markup-compatibility/2006" xmlns:a14="http://schemas.microsoft.com/office/drawing/2010/main">
      <mc:Choice Requires="a14">
        <xdr:sp macro="" textlink="">
          <xdr:nvSpPr>
            <xdr:cNvPr id="15" name="TextBox 14">
              <a:extLst>
                <a:ext uri="{FF2B5EF4-FFF2-40B4-BE49-F238E27FC236}">
                  <a16:creationId xmlns:a16="http://schemas.microsoft.com/office/drawing/2014/main" id="{3EE9869D-6FA8-8099-9C36-BD26AA525E1F}"/>
                </a:ext>
              </a:extLst>
            </xdr:cNvPr>
            <xdr:cNvSpPr txBox="1"/>
          </xdr:nvSpPr>
          <xdr:spPr>
            <a:xfrm>
              <a:off x="10425112" y="38180962"/>
              <a:ext cx="3888692" cy="19499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r>
                      <m:rPr>
                        <m:sty m:val="p"/>
                      </m:rPr>
                      <a:rPr lang="en-AU" sz="1100" b="0" i="1">
                        <a:solidFill>
                          <a:srgbClr val="C44340"/>
                        </a:solidFill>
                        <a:latin typeface="Cambria Math" panose="02040503050406030204" pitchFamily="18" charset="0"/>
                      </a:rPr>
                      <m:t>Original</m:t>
                    </m:r>
                    <m:r>
                      <a:rPr lang="en-AU" sz="1100" b="0" i="1">
                        <a:solidFill>
                          <a:srgbClr val="C44340"/>
                        </a:solidFill>
                        <a:latin typeface="Cambria Math" panose="02040503050406030204" pitchFamily="18" charset="0"/>
                      </a:rPr>
                      <m:t> </m:t>
                    </m:r>
                    <m:r>
                      <m:rPr>
                        <m:sty m:val="p"/>
                      </m:rPr>
                      <a:rPr lang="en-AU" sz="1100" b="0" i="1">
                        <a:solidFill>
                          <a:srgbClr val="C44340"/>
                        </a:solidFill>
                        <a:latin typeface="Cambria Math" panose="02040503050406030204" pitchFamily="18" charset="0"/>
                      </a:rPr>
                      <m:t>equation</m:t>
                    </m:r>
                    <m:r>
                      <a:rPr lang="en-AU" sz="1100" b="0" i="1">
                        <a:solidFill>
                          <a:srgbClr val="C44340"/>
                        </a:solidFill>
                        <a:latin typeface="Cambria Math" panose="02040503050406030204" pitchFamily="18" charset="0"/>
                      </a:rPr>
                      <m:t>: </m:t>
                    </m:r>
                    <m:r>
                      <a:rPr lang="en-AU" sz="1100" i="1">
                        <a:latin typeface="Cambria Math" panose="02040503050406030204" pitchFamily="18" charset="0"/>
                      </a:rPr>
                      <m:t>𝐹𝑉</m:t>
                    </m:r>
                    <m:sSub>
                      <m:sSubPr>
                        <m:ctrlPr>
                          <a:rPr lang="en-AU" sz="1100" i="1">
                            <a:latin typeface="Cambria Math" panose="02040503050406030204" pitchFamily="18" charset="0"/>
                          </a:rPr>
                        </m:ctrlPr>
                      </m:sSubPr>
                      <m:e>
                        <m:r>
                          <a:rPr lang="en-AU" sz="1100" i="1">
                            <a:latin typeface="Cambria Math" panose="02040503050406030204" pitchFamily="18" charset="0"/>
                          </a:rPr>
                          <m:t>𝑆</m:t>
                        </m:r>
                      </m:e>
                      <m:sub>
                        <m:r>
                          <a:rPr lang="en-AU" sz="1100" i="1">
                            <a:latin typeface="Cambria Math" panose="02040503050406030204" pitchFamily="18" charset="0"/>
                          </a:rPr>
                          <m:t>𝑗𝑚</m:t>
                        </m:r>
                        <m:r>
                          <a:rPr lang="en-AU" sz="1100" i="1">
                            <a:latin typeface="Cambria Math" panose="02040503050406030204" pitchFamily="18" charset="0"/>
                          </a:rPr>
                          <m:t>=4</m:t>
                        </m:r>
                      </m:sub>
                    </m:sSub>
                    <m:r>
                      <a:rPr lang="en-AU" sz="1100" i="1">
                        <a:latin typeface="Cambria Math" panose="02040503050406030204" pitchFamily="18" charset="0"/>
                      </a:rPr>
                      <m:t>=</m:t>
                    </m:r>
                    <m:r>
                      <a:rPr lang="en-AU" sz="1100" i="1">
                        <a:latin typeface="Cambria Math" panose="02040503050406030204" pitchFamily="18" charset="0"/>
                      </a:rPr>
                      <m:t>𝑀𝑀</m:t>
                    </m:r>
                    <m:sSub>
                      <m:sSubPr>
                        <m:ctrlPr>
                          <a:rPr lang="en-AU" sz="1100" i="1">
                            <a:latin typeface="Cambria Math" panose="02040503050406030204" pitchFamily="18" charset="0"/>
                          </a:rPr>
                        </m:ctrlPr>
                      </m:sSubPr>
                      <m:e>
                        <m:r>
                          <a:rPr lang="en-AU" sz="1100" i="1">
                            <a:latin typeface="Cambria Math" panose="02040503050406030204" pitchFamily="18" charset="0"/>
                          </a:rPr>
                          <m:t>𝑆</m:t>
                        </m:r>
                      </m:e>
                      <m:sub>
                        <m:r>
                          <a:rPr lang="en-AU" sz="1100" i="1">
                            <a:latin typeface="Cambria Math" panose="02040503050406030204" pitchFamily="18" charset="0"/>
                          </a:rPr>
                          <m:t>𝑗𝑚</m:t>
                        </m:r>
                        <m:r>
                          <a:rPr lang="en-AU" sz="1100" i="1">
                            <a:latin typeface="Cambria Math" panose="02040503050406030204" pitchFamily="18" charset="0"/>
                          </a:rPr>
                          <m:t>=4</m:t>
                        </m:r>
                      </m:sub>
                    </m:sSub>
                    <m:r>
                      <a:rPr lang="en-AU" sz="1100" i="1">
                        <a:latin typeface="Cambria Math" panose="02040503050406030204" pitchFamily="18" charset="0"/>
                      </a:rPr>
                      <m:t>+</m:t>
                    </m:r>
                    <m:d>
                      <m:dPr>
                        <m:ctrlPr>
                          <a:rPr lang="en-AU" sz="1100" i="1">
                            <a:latin typeface="Cambria Math" panose="02040503050406030204" pitchFamily="18" charset="0"/>
                          </a:rPr>
                        </m:ctrlPr>
                      </m:dPr>
                      <m:e>
                        <m:r>
                          <a:rPr lang="en-AU" sz="1100" i="1">
                            <a:latin typeface="Cambria Math" panose="02040503050406030204" pitchFamily="18" charset="0"/>
                          </a:rPr>
                          <m:t>𝑀𝑀</m:t>
                        </m:r>
                        <m:sSub>
                          <m:sSubPr>
                            <m:ctrlPr>
                              <a:rPr lang="en-AU" sz="1100" i="1">
                                <a:latin typeface="Cambria Math" panose="02040503050406030204" pitchFamily="18" charset="0"/>
                              </a:rPr>
                            </m:ctrlPr>
                          </m:sSubPr>
                          <m:e>
                            <m:r>
                              <a:rPr lang="en-AU" sz="1100" i="1">
                                <a:latin typeface="Cambria Math" panose="02040503050406030204" pitchFamily="18" charset="0"/>
                              </a:rPr>
                              <m:t>𝑆</m:t>
                            </m:r>
                          </m:e>
                          <m:sub>
                            <m:r>
                              <a:rPr lang="en-AU" sz="1100" i="1">
                                <a:latin typeface="Cambria Math" panose="02040503050406030204" pitchFamily="18" charset="0"/>
                              </a:rPr>
                              <m:t>𝑗𝑚</m:t>
                            </m:r>
                            <m:r>
                              <a:rPr lang="en-AU" sz="1100" i="1">
                                <a:latin typeface="Cambria Math" panose="02040503050406030204" pitchFamily="18" charset="0"/>
                              </a:rPr>
                              <m:t>=1,7,9</m:t>
                            </m:r>
                          </m:sub>
                        </m:sSub>
                        <m:r>
                          <a:rPr lang="en-AU" sz="1100" i="1">
                            <a:latin typeface="Cambria Math" panose="02040503050406030204" pitchFamily="18" charset="0"/>
                          </a:rPr>
                          <m:t>×</m:t>
                        </m:r>
                        <m:r>
                          <a:rPr lang="en-AU" sz="1100" i="1">
                            <a:latin typeface="Cambria Math" panose="02040503050406030204" pitchFamily="18" charset="0"/>
                          </a:rPr>
                          <m:t>𝑆</m:t>
                        </m:r>
                        <m:sSub>
                          <m:sSubPr>
                            <m:ctrlPr>
                              <a:rPr lang="en-AU" sz="1100" i="1">
                                <a:latin typeface="Cambria Math" panose="02040503050406030204" pitchFamily="18" charset="0"/>
                              </a:rPr>
                            </m:ctrlPr>
                          </m:sSubPr>
                          <m:e>
                            <m:r>
                              <a:rPr lang="en-AU" sz="1100" i="1">
                                <a:latin typeface="Cambria Math" panose="02040503050406030204" pitchFamily="18" charset="0"/>
                              </a:rPr>
                              <m:t>𝑆</m:t>
                            </m:r>
                          </m:e>
                          <m:sub>
                            <m:r>
                              <a:rPr lang="en-AU" sz="1100" i="1">
                                <a:latin typeface="Cambria Math" panose="02040503050406030204" pitchFamily="18" charset="0"/>
                              </a:rPr>
                              <m:t>𝑚</m:t>
                            </m:r>
                          </m:sub>
                        </m:sSub>
                      </m:e>
                    </m:d>
                  </m:oMath>
                </m:oMathPara>
              </a14:m>
              <a:endParaRPr lang="en-AU" sz="1100"/>
            </a:p>
          </xdr:txBody>
        </xdr:sp>
      </mc:Choice>
      <mc:Fallback xmlns="">
        <xdr:sp macro="" textlink="">
          <xdr:nvSpPr>
            <xdr:cNvPr id="15" name="TextBox 14">
              <a:extLst>
                <a:ext uri="{FF2B5EF4-FFF2-40B4-BE49-F238E27FC236}">
                  <a16:creationId xmlns:a16="http://schemas.microsoft.com/office/drawing/2014/main" id="{3EE9869D-6FA8-8099-9C36-BD26AA525E1F}"/>
                </a:ext>
              </a:extLst>
            </xdr:cNvPr>
            <xdr:cNvSpPr txBox="1"/>
          </xdr:nvSpPr>
          <xdr:spPr>
            <a:xfrm>
              <a:off x="10425112" y="38180962"/>
              <a:ext cx="3888692" cy="19499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r>
                <a:rPr lang="en-AU" sz="1100" b="0" i="0">
                  <a:solidFill>
                    <a:srgbClr val="C44340"/>
                  </a:solidFill>
                  <a:latin typeface="Cambria Math" panose="02040503050406030204" pitchFamily="18" charset="0"/>
                </a:rPr>
                <a:t>Original equation:</a:t>
              </a:r>
              <a:r>
                <a:rPr lang="en-AU" sz="1100" b="0" i="0">
                  <a:latin typeface="Cambria Math" panose="02040503050406030204" pitchFamily="18" charset="0"/>
                </a:rPr>
                <a:t> </a:t>
              </a:r>
              <a:r>
                <a:rPr lang="en-AU" sz="1100" i="0">
                  <a:latin typeface="Cambria Math" panose="02040503050406030204" pitchFamily="18" charset="0"/>
                </a:rPr>
                <a:t>𝐹𝑉𝑆_(𝑗𝑚=4)=𝑀𝑀𝑆_(𝑗𝑚=4)+(𝑀𝑀𝑆_(𝑗𝑚=1,7,9)×𝑆𝑆_𝑚 )</a:t>
              </a:r>
              <a:endParaRPr lang="en-AU" sz="1100"/>
            </a:p>
          </xdr:txBody>
        </xdr:sp>
      </mc:Fallback>
    </mc:AlternateContent>
    <xdr:clientData/>
  </xdr:oneCellAnchor>
  <xdr:oneCellAnchor>
    <xdr:from>
      <xdr:col>2</xdr:col>
      <xdr:colOff>276225</xdr:colOff>
      <xdr:row>153</xdr:row>
      <xdr:rowOff>128587</xdr:rowOff>
    </xdr:from>
    <xdr:ext cx="5606791" cy="194990"/>
    <mc:AlternateContent xmlns:mc="http://schemas.openxmlformats.org/markup-compatibility/2006" xmlns:a14="http://schemas.microsoft.com/office/drawing/2010/main">
      <mc:Choice Requires="a14">
        <xdr:sp macro="" textlink="">
          <xdr:nvSpPr>
            <xdr:cNvPr id="16" name="TextBox 15">
              <a:extLst>
                <a:ext uri="{FF2B5EF4-FFF2-40B4-BE49-F238E27FC236}">
                  <a16:creationId xmlns:a16="http://schemas.microsoft.com/office/drawing/2014/main" id="{B783E7C7-628E-ED4E-B009-8738147D5CD4}"/>
                </a:ext>
              </a:extLst>
            </xdr:cNvPr>
            <xdr:cNvSpPr txBox="1"/>
          </xdr:nvSpPr>
          <xdr:spPr>
            <a:xfrm>
              <a:off x="2638425" y="37904737"/>
              <a:ext cx="5606791" cy="19499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r>
                      <a:rPr lang="en-AU" sz="1100" i="1">
                        <a:latin typeface="Cambria Math" panose="02040503050406030204" pitchFamily="18" charset="0"/>
                      </a:rPr>
                      <m:t>𝐹𝑉</m:t>
                    </m:r>
                    <m:sSub>
                      <m:sSubPr>
                        <m:ctrlPr>
                          <a:rPr lang="en-AU" sz="1100" i="1">
                            <a:latin typeface="Cambria Math" panose="02040503050406030204" pitchFamily="18" charset="0"/>
                          </a:rPr>
                        </m:ctrlPr>
                      </m:sSubPr>
                      <m:e>
                        <m:r>
                          <a:rPr lang="en-AU" sz="1100" i="1">
                            <a:latin typeface="Cambria Math" panose="02040503050406030204" pitchFamily="18" charset="0"/>
                          </a:rPr>
                          <m:t>𝑆</m:t>
                        </m:r>
                      </m:e>
                      <m:sub>
                        <m:r>
                          <a:rPr lang="en-AU" sz="1100" i="1">
                            <a:latin typeface="Cambria Math" panose="02040503050406030204" pitchFamily="18" charset="0"/>
                          </a:rPr>
                          <m:t>𝑗𝑚</m:t>
                        </m:r>
                        <m:r>
                          <a:rPr lang="en-AU" sz="1100" i="1">
                            <a:latin typeface="Cambria Math" panose="02040503050406030204" pitchFamily="18" charset="0"/>
                          </a:rPr>
                          <m:t>=4</m:t>
                        </m:r>
                      </m:sub>
                    </m:sSub>
                    <m:r>
                      <a:rPr lang="en-AU" sz="1100" i="1">
                        <a:latin typeface="Cambria Math" panose="02040503050406030204" pitchFamily="18" charset="0"/>
                      </a:rPr>
                      <m:t>=</m:t>
                    </m:r>
                    <m:r>
                      <a:rPr lang="en-AU" sz="1100" i="1">
                        <a:latin typeface="Cambria Math" panose="02040503050406030204" pitchFamily="18" charset="0"/>
                      </a:rPr>
                      <m:t>𝑀𝑀</m:t>
                    </m:r>
                    <m:sSub>
                      <m:sSubPr>
                        <m:ctrlPr>
                          <a:rPr lang="en-AU" sz="1100" i="1">
                            <a:latin typeface="Cambria Math" panose="02040503050406030204" pitchFamily="18" charset="0"/>
                          </a:rPr>
                        </m:ctrlPr>
                      </m:sSubPr>
                      <m:e>
                        <m:r>
                          <a:rPr lang="en-AU" sz="1100" i="1">
                            <a:latin typeface="Cambria Math" panose="02040503050406030204" pitchFamily="18" charset="0"/>
                          </a:rPr>
                          <m:t>𝑆</m:t>
                        </m:r>
                      </m:e>
                      <m:sub>
                        <m:r>
                          <a:rPr lang="en-AU" sz="1100" i="1">
                            <a:latin typeface="Cambria Math" panose="02040503050406030204" pitchFamily="18" charset="0"/>
                          </a:rPr>
                          <m:t>𝑗𝑚</m:t>
                        </m:r>
                        <m:r>
                          <a:rPr lang="en-AU" sz="1100" i="1">
                            <a:latin typeface="Cambria Math" panose="02040503050406030204" pitchFamily="18" charset="0"/>
                          </a:rPr>
                          <m:t>=4</m:t>
                        </m:r>
                      </m:sub>
                    </m:sSub>
                    <m:r>
                      <a:rPr lang="en-AU" sz="1100" i="1">
                        <a:latin typeface="Cambria Math" panose="02040503050406030204" pitchFamily="18" charset="0"/>
                      </a:rPr>
                      <m:t>+</m:t>
                    </m:r>
                    <m:d>
                      <m:dPr>
                        <m:ctrlPr>
                          <a:rPr lang="en-AU" sz="1100" i="1">
                            <a:latin typeface="Cambria Math" panose="02040503050406030204" pitchFamily="18" charset="0"/>
                          </a:rPr>
                        </m:ctrlPr>
                      </m:dPr>
                      <m:e>
                        <m:r>
                          <a:rPr lang="en-AU" sz="1100" i="1">
                            <a:latin typeface="Cambria Math" panose="02040503050406030204" pitchFamily="18" charset="0"/>
                          </a:rPr>
                          <m:t>𝑀𝑀</m:t>
                        </m:r>
                        <m:sSub>
                          <m:sSubPr>
                            <m:ctrlPr>
                              <a:rPr lang="en-AU" sz="1100" i="1">
                                <a:latin typeface="Cambria Math" panose="02040503050406030204" pitchFamily="18" charset="0"/>
                              </a:rPr>
                            </m:ctrlPr>
                          </m:sSubPr>
                          <m:e>
                            <m:r>
                              <a:rPr lang="en-AU" sz="1100" i="1">
                                <a:latin typeface="Cambria Math" panose="02040503050406030204" pitchFamily="18" charset="0"/>
                              </a:rPr>
                              <m:t>𝑆</m:t>
                            </m:r>
                          </m:e>
                          <m:sub>
                            <m:r>
                              <a:rPr lang="en-AU" sz="1100" i="1">
                                <a:latin typeface="Cambria Math" panose="02040503050406030204" pitchFamily="18" charset="0"/>
                              </a:rPr>
                              <m:t>𝑗𝑚</m:t>
                            </m:r>
                            <m:r>
                              <a:rPr lang="en-AU" sz="1100" i="1">
                                <a:latin typeface="Cambria Math" panose="02040503050406030204" pitchFamily="18" charset="0"/>
                              </a:rPr>
                              <m:t>=1</m:t>
                            </m:r>
                          </m:sub>
                        </m:sSub>
                        <m:r>
                          <a:rPr lang="en-AU" sz="1100" i="1">
                            <a:latin typeface="Cambria Math" panose="02040503050406030204" pitchFamily="18" charset="0"/>
                          </a:rPr>
                          <m:t>×</m:t>
                        </m:r>
                        <m:r>
                          <a:rPr lang="en-AU" sz="1100" i="1">
                            <a:latin typeface="Cambria Math" panose="02040503050406030204" pitchFamily="18" charset="0"/>
                          </a:rPr>
                          <m:t>𝑆</m:t>
                        </m:r>
                        <m:sSub>
                          <m:sSubPr>
                            <m:ctrlPr>
                              <a:rPr lang="en-AU" sz="1100" i="1">
                                <a:latin typeface="Cambria Math" panose="02040503050406030204" pitchFamily="18" charset="0"/>
                              </a:rPr>
                            </m:ctrlPr>
                          </m:sSubPr>
                          <m:e>
                            <m:r>
                              <a:rPr lang="en-AU" sz="1100" i="1">
                                <a:latin typeface="Cambria Math" panose="02040503050406030204" pitchFamily="18" charset="0"/>
                              </a:rPr>
                              <m:t>𝑆</m:t>
                            </m:r>
                          </m:e>
                          <m:sub>
                            <m:r>
                              <a:rPr lang="en-AU" sz="1100" i="1">
                                <a:latin typeface="Cambria Math" panose="02040503050406030204" pitchFamily="18" charset="0"/>
                              </a:rPr>
                              <m:t>𝑚</m:t>
                            </m:r>
                            <m:r>
                              <a:rPr lang="en-AU" sz="1100" i="1">
                                <a:latin typeface="Cambria Math" panose="02040503050406030204" pitchFamily="18" charset="0"/>
                              </a:rPr>
                              <m:t>=1</m:t>
                            </m:r>
                          </m:sub>
                        </m:sSub>
                      </m:e>
                    </m:d>
                    <m:r>
                      <a:rPr lang="en-AU" sz="1100" i="1">
                        <a:latin typeface="Cambria Math" panose="02040503050406030204" pitchFamily="18" charset="0"/>
                      </a:rPr>
                      <m:t>+</m:t>
                    </m:r>
                    <m:d>
                      <m:dPr>
                        <m:ctrlPr>
                          <a:rPr lang="en-AU" sz="1100" i="1">
                            <a:latin typeface="Cambria Math" panose="02040503050406030204" pitchFamily="18" charset="0"/>
                          </a:rPr>
                        </m:ctrlPr>
                      </m:dPr>
                      <m:e>
                        <m:r>
                          <a:rPr lang="en-AU" sz="1100" i="1">
                            <a:latin typeface="Cambria Math" panose="02040503050406030204" pitchFamily="18" charset="0"/>
                          </a:rPr>
                          <m:t>𝑀𝑀</m:t>
                        </m:r>
                        <m:sSub>
                          <m:sSubPr>
                            <m:ctrlPr>
                              <a:rPr lang="en-AU" sz="1100" i="1">
                                <a:latin typeface="Cambria Math" panose="02040503050406030204" pitchFamily="18" charset="0"/>
                              </a:rPr>
                            </m:ctrlPr>
                          </m:sSubPr>
                          <m:e>
                            <m:r>
                              <a:rPr lang="en-AU" sz="1100" i="1">
                                <a:latin typeface="Cambria Math" panose="02040503050406030204" pitchFamily="18" charset="0"/>
                              </a:rPr>
                              <m:t>𝑆</m:t>
                            </m:r>
                          </m:e>
                          <m:sub>
                            <m:r>
                              <a:rPr lang="en-AU" sz="1100" i="1">
                                <a:latin typeface="Cambria Math" panose="02040503050406030204" pitchFamily="18" charset="0"/>
                              </a:rPr>
                              <m:t>𝑗𝑚</m:t>
                            </m:r>
                            <m:r>
                              <a:rPr lang="en-AU" sz="1100" i="1">
                                <a:latin typeface="Cambria Math" panose="02040503050406030204" pitchFamily="18" charset="0"/>
                              </a:rPr>
                              <m:t>=7</m:t>
                            </m:r>
                          </m:sub>
                        </m:sSub>
                        <m:r>
                          <a:rPr lang="en-AU" sz="1100" i="1">
                            <a:latin typeface="Cambria Math" panose="02040503050406030204" pitchFamily="18" charset="0"/>
                          </a:rPr>
                          <m:t>×</m:t>
                        </m:r>
                        <m:r>
                          <a:rPr lang="en-AU" sz="1100" i="1">
                            <a:latin typeface="Cambria Math" panose="02040503050406030204" pitchFamily="18" charset="0"/>
                          </a:rPr>
                          <m:t>𝑆</m:t>
                        </m:r>
                        <m:sSub>
                          <m:sSubPr>
                            <m:ctrlPr>
                              <a:rPr lang="en-AU" sz="1100" i="1">
                                <a:latin typeface="Cambria Math" panose="02040503050406030204" pitchFamily="18" charset="0"/>
                              </a:rPr>
                            </m:ctrlPr>
                          </m:sSubPr>
                          <m:e>
                            <m:r>
                              <a:rPr lang="en-AU" sz="1100" i="1">
                                <a:latin typeface="Cambria Math" panose="02040503050406030204" pitchFamily="18" charset="0"/>
                              </a:rPr>
                              <m:t>𝑆</m:t>
                            </m:r>
                          </m:e>
                          <m:sub>
                            <m:r>
                              <a:rPr lang="en-AU" sz="1100" i="1">
                                <a:latin typeface="Cambria Math" panose="02040503050406030204" pitchFamily="18" charset="0"/>
                              </a:rPr>
                              <m:t>𝑚</m:t>
                            </m:r>
                            <m:r>
                              <a:rPr lang="en-AU" sz="1100" i="1">
                                <a:latin typeface="Cambria Math" panose="02040503050406030204" pitchFamily="18" charset="0"/>
                              </a:rPr>
                              <m:t>=7</m:t>
                            </m:r>
                          </m:sub>
                        </m:sSub>
                      </m:e>
                    </m:d>
                    <m:r>
                      <a:rPr lang="en-AU" sz="1100" i="1">
                        <a:latin typeface="Cambria Math" panose="02040503050406030204" pitchFamily="18" charset="0"/>
                      </a:rPr>
                      <m:t>+</m:t>
                    </m:r>
                    <m:d>
                      <m:dPr>
                        <m:ctrlPr>
                          <a:rPr lang="en-AU" sz="1100" i="1">
                            <a:latin typeface="Cambria Math" panose="02040503050406030204" pitchFamily="18" charset="0"/>
                          </a:rPr>
                        </m:ctrlPr>
                      </m:dPr>
                      <m:e>
                        <m:r>
                          <a:rPr lang="en-AU" sz="1100" i="1">
                            <a:latin typeface="Cambria Math" panose="02040503050406030204" pitchFamily="18" charset="0"/>
                          </a:rPr>
                          <m:t>𝑀𝑀</m:t>
                        </m:r>
                        <m:sSub>
                          <m:sSubPr>
                            <m:ctrlPr>
                              <a:rPr lang="en-AU" sz="1100" i="1">
                                <a:latin typeface="Cambria Math" panose="02040503050406030204" pitchFamily="18" charset="0"/>
                              </a:rPr>
                            </m:ctrlPr>
                          </m:sSubPr>
                          <m:e>
                            <m:r>
                              <a:rPr lang="en-AU" sz="1100" i="1">
                                <a:latin typeface="Cambria Math" panose="02040503050406030204" pitchFamily="18" charset="0"/>
                              </a:rPr>
                              <m:t>𝑆</m:t>
                            </m:r>
                          </m:e>
                          <m:sub>
                            <m:r>
                              <a:rPr lang="en-AU" sz="1100" i="1">
                                <a:latin typeface="Cambria Math" panose="02040503050406030204" pitchFamily="18" charset="0"/>
                              </a:rPr>
                              <m:t>𝑗𝑚</m:t>
                            </m:r>
                            <m:r>
                              <a:rPr lang="en-AU" sz="1100" i="1">
                                <a:latin typeface="Cambria Math" panose="02040503050406030204" pitchFamily="18" charset="0"/>
                              </a:rPr>
                              <m:t>=9</m:t>
                            </m:r>
                          </m:sub>
                        </m:sSub>
                        <m:r>
                          <a:rPr lang="en-AU" sz="1100" i="1">
                            <a:latin typeface="Cambria Math" panose="02040503050406030204" pitchFamily="18" charset="0"/>
                          </a:rPr>
                          <m:t>×</m:t>
                        </m:r>
                        <m:r>
                          <a:rPr lang="en-AU" sz="1100" i="1">
                            <a:latin typeface="Cambria Math" panose="02040503050406030204" pitchFamily="18" charset="0"/>
                          </a:rPr>
                          <m:t>𝑆</m:t>
                        </m:r>
                        <m:sSub>
                          <m:sSubPr>
                            <m:ctrlPr>
                              <a:rPr lang="en-AU" sz="1100" i="1">
                                <a:latin typeface="Cambria Math" panose="02040503050406030204" pitchFamily="18" charset="0"/>
                              </a:rPr>
                            </m:ctrlPr>
                          </m:sSubPr>
                          <m:e>
                            <m:r>
                              <a:rPr lang="en-AU" sz="1100" i="1">
                                <a:latin typeface="Cambria Math" panose="02040503050406030204" pitchFamily="18" charset="0"/>
                              </a:rPr>
                              <m:t>𝑆</m:t>
                            </m:r>
                          </m:e>
                          <m:sub>
                            <m:r>
                              <a:rPr lang="en-AU" sz="1100" i="1">
                                <a:latin typeface="Cambria Math" panose="02040503050406030204" pitchFamily="18" charset="0"/>
                              </a:rPr>
                              <m:t>𝑚</m:t>
                            </m:r>
                            <m:r>
                              <a:rPr lang="en-AU" sz="1100" i="1">
                                <a:latin typeface="Cambria Math" panose="02040503050406030204" pitchFamily="18" charset="0"/>
                              </a:rPr>
                              <m:t>=9</m:t>
                            </m:r>
                          </m:sub>
                        </m:sSub>
                      </m:e>
                    </m:d>
                  </m:oMath>
                </m:oMathPara>
              </a14:m>
              <a:endParaRPr lang="en-AU" sz="1100"/>
            </a:p>
          </xdr:txBody>
        </xdr:sp>
      </mc:Choice>
      <mc:Fallback xmlns="">
        <xdr:sp macro="" textlink="">
          <xdr:nvSpPr>
            <xdr:cNvPr id="16" name="TextBox 15">
              <a:extLst>
                <a:ext uri="{FF2B5EF4-FFF2-40B4-BE49-F238E27FC236}">
                  <a16:creationId xmlns:a16="http://schemas.microsoft.com/office/drawing/2014/main" id="{B783E7C7-628E-ED4E-B009-8738147D5CD4}"/>
                </a:ext>
              </a:extLst>
            </xdr:cNvPr>
            <xdr:cNvSpPr txBox="1"/>
          </xdr:nvSpPr>
          <xdr:spPr>
            <a:xfrm>
              <a:off x="2638425" y="37904737"/>
              <a:ext cx="5606791" cy="19499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r>
                <a:rPr lang="en-AU" sz="1100" i="0">
                  <a:latin typeface="Cambria Math" panose="02040503050406030204" pitchFamily="18" charset="0"/>
                </a:rPr>
                <a:t>𝐹𝑉𝑆_(𝑗𝑚=4)=𝑀𝑀𝑆_(𝑗𝑚=4)+(𝑀𝑀𝑆_(𝑗𝑚=1)×𝑆𝑆_(𝑚=1) )+(𝑀𝑀𝑆_(𝑗𝑚=7)×𝑆𝑆_(𝑚=7) )+(𝑀𝑀𝑆_(𝑗𝑚=9)×𝑆𝑆_(𝑚=9) )</a:t>
              </a:r>
              <a:endParaRPr lang="en-AU" sz="1100"/>
            </a:p>
          </xdr:txBody>
        </xdr:sp>
      </mc:Fallback>
    </mc:AlternateContent>
    <xdr:clientData/>
  </xdr:oneCellAnchor>
  <xdr:oneCellAnchor>
    <xdr:from>
      <xdr:col>3</xdr:col>
      <xdr:colOff>4762</xdr:colOff>
      <xdr:row>179</xdr:row>
      <xdr:rowOff>157162</xdr:rowOff>
    </xdr:from>
    <xdr:ext cx="2591222" cy="182871"/>
    <mc:AlternateContent xmlns:mc="http://schemas.openxmlformats.org/markup-compatibility/2006" xmlns:a14="http://schemas.microsoft.com/office/drawing/2010/main">
      <mc:Choice Requires="a14">
        <xdr:sp macro="" textlink="">
          <xdr:nvSpPr>
            <xdr:cNvPr id="17" name="TextBox 16">
              <a:extLst>
                <a:ext uri="{FF2B5EF4-FFF2-40B4-BE49-F238E27FC236}">
                  <a16:creationId xmlns:a16="http://schemas.microsoft.com/office/drawing/2014/main" id="{18E21375-9427-CC3D-EA08-BABBDC2A099B}"/>
                </a:ext>
              </a:extLst>
            </xdr:cNvPr>
            <xdr:cNvSpPr txBox="1"/>
          </xdr:nvSpPr>
          <xdr:spPr>
            <a:xfrm>
              <a:off x="2681287" y="44048362"/>
              <a:ext cx="2591222" cy="18287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sSub>
                      <m:sSubPr>
                        <m:ctrlPr>
                          <a:rPr lang="en-AU" sz="1100" i="1">
                            <a:latin typeface="Cambria Math" panose="02040503050406030204" pitchFamily="18" charset="0"/>
                          </a:rPr>
                        </m:ctrlPr>
                      </m:sSubPr>
                      <m:e>
                        <m:r>
                          <a:rPr lang="en-AU" sz="1100" i="1">
                            <a:latin typeface="Cambria Math" panose="02040503050406030204" pitchFamily="18" charset="0"/>
                          </a:rPr>
                          <m:t>𝑀</m:t>
                        </m:r>
                      </m:e>
                      <m:sub>
                        <m:r>
                          <a:rPr lang="en-AU" sz="1100" i="1">
                            <a:latin typeface="Cambria Math" panose="02040503050406030204" pitchFamily="18" charset="0"/>
                          </a:rPr>
                          <m:t>𝑗𝑚</m:t>
                        </m:r>
                      </m:sub>
                    </m:sSub>
                    <m:r>
                      <a:rPr lang="en-AU" sz="1100" i="1">
                        <a:latin typeface="Cambria Math" panose="02040503050406030204" pitchFamily="18" charset="0"/>
                      </a:rPr>
                      <m:t>=</m:t>
                    </m:r>
                    <m:r>
                      <a:rPr lang="en-AU" sz="1100" i="1">
                        <a:latin typeface="Cambria Math" panose="02040503050406030204" pitchFamily="18" charset="0"/>
                      </a:rPr>
                      <m:t>𝑉</m:t>
                    </m:r>
                    <m:sSub>
                      <m:sSubPr>
                        <m:ctrlPr>
                          <a:rPr lang="en-AU" sz="1100" i="1">
                            <a:latin typeface="Cambria Math" panose="02040503050406030204" pitchFamily="18" charset="0"/>
                          </a:rPr>
                        </m:ctrlPr>
                      </m:sSubPr>
                      <m:e>
                        <m:r>
                          <a:rPr lang="en-AU" sz="1100" i="1">
                            <a:latin typeface="Cambria Math" panose="02040503050406030204" pitchFamily="18" charset="0"/>
                          </a:rPr>
                          <m:t>𝑆</m:t>
                        </m:r>
                      </m:e>
                      <m:sub>
                        <m:r>
                          <a:rPr lang="en-AU" sz="1100" i="1">
                            <a:latin typeface="Cambria Math" panose="02040503050406030204" pitchFamily="18" charset="0"/>
                          </a:rPr>
                          <m:t>𝑗</m:t>
                        </m:r>
                      </m:sub>
                    </m:sSub>
                    <m:r>
                      <a:rPr lang="en-AU" sz="1100" i="1">
                        <a:latin typeface="Cambria Math" panose="02040503050406030204" pitchFamily="18" charset="0"/>
                      </a:rPr>
                      <m:t>×</m:t>
                    </m:r>
                    <m:r>
                      <a:rPr lang="en-AU" sz="1100" i="1">
                        <a:latin typeface="Cambria Math" panose="02040503050406030204" pitchFamily="18" charset="0"/>
                      </a:rPr>
                      <m:t>𝐹𝑉</m:t>
                    </m:r>
                    <m:sSub>
                      <m:sSubPr>
                        <m:ctrlPr>
                          <a:rPr lang="en-AU" sz="1100" i="1">
                            <a:latin typeface="Cambria Math" panose="02040503050406030204" pitchFamily="18" charset="0"/>
                          </a:rPr>
                        </m:ctrlPr>
                      </m:sSubPr>
                      <m:e>
                        <m:r>
                          <a:rPr lang="en-AU" sz="1100" i="1">
                            <a:latin typeface="Cambria Math" panose="02040503050406030204" pitchFamily="18" charset="0"/>
                          </a:rPr>
                          <m:t>𝑆</m:t>
                        </m:r>
                      </m:e>
                      <m:sub>
                        <m:r>
                          <a:rPr lang="en-AU" sz="1100" i="1">
                            <a:latin typeface="Cambria Math" panose="02040503050406030204" pitchFamily="18" charset="0"/>
                          </a:rPr>
                          <m:t>𝑗𝑚</m:t>
                        </m:r>
                        <m:r>
                          <a:rPr lang="en-AU" sz="1100" i="1">
                            <a:latin typeface="Cambria Math" panose="02040503050406030204" pitchFamily="18" charset="0"/>
                          </a:rPr>
                          <m:t>,</m:t>
                        </m:r>
                        <m:r>
                          <a:rPr lang="en-AU" sz="1100" i="1">
                            <a:latin typeface="Cambria Math" panose="02040503050406030204" pitchFamily="18" charset="0"/>
                          </a:rPr>
                          <m:t>𝑇</m:t>
                        </m:r>
                        <m:r>
                          <a:rPr lang="en-AU" sz="1100" i="1">
                            <a:latin typeface="Cambria Math" panose="02040503050406030204" pitchFamily="18" charset="0"/>
                          </a:rPr>
                          <m:t>=1</m:t>
                        </m:r>
                      </m:sub>
                    </m:sSub>
                    <m:r>
                      <a:rPr lang="en-AU" sz="1100" i="1">
                        <a:latin typeface="Cambria Math" panose="02040503050406030204" pitchFamily="18" charset="0"/>
                      </a:rPr>
                      <m:t>×</m:t>
                    </m:r>
                    <m:r>
                      <a:rPr lang="en-AU" sz="1100" i="1">
                        <a:latin typeface="Cambria Math" panose="02040503050406030204" pitchFamily="18" charset="0"/>
                      </a:rPr>
                      <m:t>𝑀𝐶</m:t>
                    </m:r>
                    <m:sSub>
                      <m:sSubPr>
                        <m:ctrlPr>
                          <a:rPr lang="en-AU" sz="1100" i="1">
                            <a:latin typeface="Cambria Math" panose="02040503050406030204" pitchFamily="18" charset="0"/>
                          </a:rPr>
                        </m:ctrlPr>
                      </m:sSubPr>
                      <m:e>
                        <m:r>
                          <a:rPr lang="en-AU" sz="1100" i="1">
                            <a:latin typeface="Cambria Math" panose="02040503050406030204" pitchFamily="18" charset="0"/>
                          </a:rPr>
                          <m:t>𝐹</m:t>
                        </m:r>
                      </m:e>
                      <m:sub>
                        <m:r>
                          <a:rPr lang="en-AU" sz="1100" i="1">
                            <a:latin typeface="Cambria Math" panose="02040503050406030204" pitchFamily="18" charset="0"/>
                          </a:rPr>
                          <m:t>𝑖𝑚</m:t>
                        </m:r>
                      </m:sub>
                    </m:sSub>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𝐵</m:t>
                        </m:r>
                      </m:e>
                      <m:sub>
                        <m:r>
                          <a:rPr lang="en-AU" sz="1100" i="1">
                            <a:latin typeface="Cambria Math" panose="02040503050406030204" pitchFamily="18" charset="0"/>
                          </a:rPr>
                          <m:t>𝑜</m:t>
                        </m:r>
                      </m:sub>
                    </m:sSub>
                    <m:r>
                      <a:rPr lang="en-AU" sz="1100" i="1">
                        <a:latin typeface="Cambria Math" panose="02040503050406030204" pitchFamily="18" charset="0"/>
                      </a:rPr>
                      <m:t>×</m:t>
                    </m:r>
                    <m:r>
                      <a:rPr lang="en-AU" sz="1100" i="1">
                        <a:latin typeface="Cambria Math" panose="02040503050406030204" pitchFamily="18" charset="0"/>
                      </a:rPr>
                      <m:t>𝜌</m:t>
                    </m:r>
                  </m:oMath>
                </m:oMathPara>
              </a14:m>
              <a:endParaRPr lang="en-AU" sz="1100"/>
            </a:p>
          </xdr:txBody>
        </xdr:sp>
      </mc:Choice>
      <mc:Fallback xmlns="">
        <xdr:sp macro="" textlink="">
          <xdr:nvSpPr>
            <xdr:cNvPr id="17" name="TextBox 16">
              <a:extLst>
                <a:ext uri="{FF2B5EF4-FFF2-40B4-BE49-F238E27FC236}">
                  <a16:creationId xmlns:a16="http://schemas.microsoft.com/office/drawing/2014/main" id="{18E21375-9427-CC3D-EA08-BABBDC2A099B}"/>
                </a:ext>
              </a:extLst>
            </xdr:cNvPr>
            <xdr:cNvSpPr txBox="1"/>
          </xdr:nvSpPr>
          <xdr:spPr>
            <a:xfrm>
              <a:off x="2681287" y="44048362"/>
              <a:ext cx="2591222" cy="18287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r>
                <a:rPr lang="en-AU" sz="1100" i="0">
                  <a:latin typeface="Cambria Math" panose="02040503050406030204" pitchFamily="18" charset="0"/>
                </a:rPr>
                <a:t>𝑀_𝑗𝑚=𝑉𝑆_𝑗×𝐹𝑉𝑆_(𝑗𝑚,𝑇=1)×𝑀𝐶𝐹_𝑖𝑚×𝐵_𝑜×𝜌</a:t>
              </a:r>
              <a:endParaRPr lang="en-AU" sz="1100"/>
            </a:p>
          </xdr:txBody>
        </xdr:sp>
      </mc:Fallback>
    </mc:AlternateContent>
    <xdr:clientData/>
  </xdr:oneCellAnchor>
  <xdr:oneCellAnchor>
    <xdr:from>
      <xdr:col>3</xdr:col>
      <xdr:colOff>14287</xdr:colOff>
      <xdr:row>217</xdr:row>
      <xdr:rowOff>166687</xdr:rowOff>
    </xdr:from>
    <xdr:ext cx="7943200" cy="332079"/>
    <mc:AlternateContent xmlns:mc="http://schemas.openxmlformats.org/markup-compatibility/2006" xmlns:a14="http://schemas.microsoft.com/office/drawing/2010/main">
      <mc:Choice Requires="a14">
        <xdr:sp macro="" textlink="">
          <xdr:nvSpPr>
            <xdr:cNvPr id="18" name="TextBox 17">
              <a:extLst>
                <a:ext uri="{FF2B5EF4-FFF2-40B4-BE49-F238E27FC236}">
                  <a16:creationId xmlns:a16="http://schemas.microsoft.com/office/drawing/2014/main" id="{016DD997-BB8E-716E-6CC6-AEDE1997F35D}"/>
                </a:ext>
              </a:extLst>
            </xdr:cNvPr>
            <xdr:cNvSpPr txBox="1"/>
          </xdr:nvSpPr>
          <xdr:spPr>
            <a:xfrm>
              <a:off x="2690812" y="54040087"/>
              <a:ext cx="7943200" cy="33207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sSub>
                      <m:sSubPr>
                        <m:ctrlPr>
                          <a:rPr lang="en-AU" sz="1100" i="1">
                            <a:latin typeface="Cambria Math" panose="02040503050406030204" pitchFamily="18" charset="0"/>
                          </a:rPr>
                        </m:ctrlPr>
                      </m:sSubPr>
                      <m:e>
                        <m:r>
                          <a:rPr lang="en-AU" sz="1100" i="1">
                            <a:latin typeface="Cambria Math" panose="02040503050406030204" pitchFamily="18" charset="0"/>
                          </a:rPr>
                          <m:t>𝐸</m:t>
                        </m:r>
                      </m:e>
                      <m:sub>
                        <m:r>
                          <a:rPr lang="en-AU" sz="1100" i="1">
                            <a:latin typeface="Cambria Math" panose="02040503050406030204" pitchFamily="18" charset="0"/>
                          </a:rPr>
                          <m:t>𝐶𝐻</m:t>
                        </m:r>
                        <m:r>
                          <a:rPr lang="en-AU" sz="1100" i="1">
                            <a:latin typeface="Cambria Math" panose="02040503050406030204" pitchFamily="18" charset="0"/>
                          </a:rPr>
                          <m:t>4</m:t>
                        </m:r>
                      </m:sub>
                    </m:sSub>
                    <m:r>
                      <a:rPr lang="en-AU" sz="1100" i="1">
                        <a:latin typeface="Cambria Math" panose="02040503050406030204" pitchFamily="18" charset="0"/>
                      </a:rPr>
                      <m:t>=</m:t>
                    </m:r>
                    <m:nary>
                      <m:naryPr>
                        <m:chr m:val="∑"/>
                        <m:limLoc m:val="subSup"/>
                        <m:supHide m:val="on"/>
                        <m:ctrlPr>
                          <a:rPr lang="en-AU" sz="1100" i="1">
                            <a:latin typeface="Cambria Math" panose="02040503050406030204" pitchFamily="18" charset="0"/>
                          </a:rPr>
                        </m:ctrlPr>
                      </m:naryPr>
                      <m:sub>
                        <m:r>
                          <a:rPr lang="en-AU" sz="1100" i="1">
                            <a:latin typeface="Cambria Math" panose="02040503050406030204" pitchFamily="18" charset="0"/>
                          </a:rPr>
                          <m:t>𝑗</m:t>
                        </m:r>
                      </m:sub>
                      <m:sup/>
                      <m:e>
                        <m:nary>
                          <m:naryPr>
                            <m:chr m:val="∑"/>
                            <m:limLoc m:val="subSup"/>
                            <m:supHide m:val="on"/>
                            <m:ctrlPr>
                              <a:rPr lang="en-AU" sz="1100" i="1">
                                <a:latin typeface="Cambria Math" panose="02040503050406030204" pitchFamily="18" charset="0"/>
                              </a:rPr>
                            </m:ctrlPr>
                          </m:naryPr>
                          <m:sub>
                            <m:r>
                              <a:rPr lang="en-AU" sz="1100" i="1">
                                <a:latin typeface="Cambria Math" panose="02040503050406030204" pitchFamily="18" charset="0"/>
                              </a:rPr>
                              <m:t>𝑚</m:t>
                            </m:r>
                          </m:sub>
                          <m:sup/>
                          <m:e>
                            <m:d>
                              <m:dPr>
                                <m:ctrlPr>
                                  <a:rPr lang="en-AU" sz="1100" i="1">
                                    <a:latin typeface="Cambria Math" panose="02040503050406030204" pitchFamily="18" charset="0"/>
                                  </a:rPr>
                                </m:ctrlPr>
                              </m:dPr>
                              <m:e>
                                <m:d>
                                  <m:dPr>
                                    <m:ctrlPr>
                                      <a:rPr lang="en-AU" sz="1100" i="1">
                                        <a:latin typeface="Cambria Math" panose="02040503050406030204" pitchFamily="18" charset="0"/>
                                      </a:rPr>
                                    </m:ctrlPr>
                                  </m:dPr>
                                  <m:e>
                                    <m:sSub>
                                      <m:sSubPr>
                                        <m:ctrlPr>
                                          <a:rPr lang="en-AU" sz="1100" i="1">
                                            <a:latin typeface="Cambria Math" panose="02040503050406030204" pitchFamily="18" charset="0"/>
                                          </a:rPr>
                                        </m:ctrlPr>
                                      </m:sSubPr>
                                      <m:e>
                                        <m:r>
                                          <a:rPr lang="en-AU" sz="1100" i="1">
                                            <a:latin typeface="Cambria Math" panose="02040503050406030204" pitchFamily="18" charset="0"/>
                                          </a:rPr>
                                          <m:t>𝑁</m:t>
                                        </m:r>
                                      </m:e>
                                      <m:sub>
                                        <m:r>
                                          <a:rPr lang="en-AU" sz="1100" i="1">
                                            <a:latin typeface="Cambria Math" panose="02040503050406030204" pitchFamily="18" charset="0"/>
                                          </a:rPr>
                                          <m:t>𝑗</m:t>
                                        </m:r>
                                        <m:r>
                                          <a:rPr lang="en-AU" sz="1100" i="1">
                                            <a:latin typeface="Cambria Math" panose="02040503050406030204" pitchFamily="18" charset="0"/>
                                          </a:rPr>
                                          <m:t>=1,2,4</m:t>
                                        </m:r>
                                      </m:sub>
                                    </m:sSub>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𝑀</m:t>
                                        </m:r>
                                      </m:e>
                                      <m:sub>
                                        <m:r>
                                          <a:rPr lang="en-AU" sz="1100" i="1">
                                            <a:latin typeface="Cambria Math" panose="02040503050406030204" pitchFamily="18" charset="0"/>
                                          </a:rPr>
                                          <m:t>𝑗</m:t>
                                        </m:r>
                                        <m:r>
                                          <a:rPr lang="en-AU" sz="1100" i="1">
                                            <a:latin typeface="Cambria Math" panose="02040503050406030204" pitchFamily="18" charset="0"/>
                                          </a:rPr>
                                          <m:t>=1,2,4,</m:t>
                                        </m:r>
                                        <m:r>
                                          <a:rPr lang="en-AU" sz="1100" i="1">
                                            <a:latin typeface="Cambria Math" panose="02040503050406030204" pitchFamily="18" charset="0"/>
                                          </a:rPr>
                                          <m:t>𝑚</m:t>
                                        </m:r>
                                      </m:sub>
                                    </m:sSub>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𝐷</m:t>
                                        </m:r>
                                      </m:e>
                                      <m:sub>
                                        <m:r>
                                          <a:rPr lang="en-AU" sz="1100" i="1">
                                            <a:latin typeface="Cambria Math" panose="02040503050406030204" pitchFamily="18" charset="0"/>
                                          </a:rPr>
                                          <m:t>𝑗</m:t>
                                        </m:r>
                                        <m:r>
                                          <a:rPr lang="en-AU" sz="1100" i="1">
                                            <a:latin typeface="Cambria Math" panose="02040503050406030204" pitchFamily="18" charset="0"/>
                                          </a:rPr>
                                          <m:t>=1,2,4</m:t>
                                        </m:r>
                                      </m:sub>
                                    </m:sSub>
                                  </m:e>
                                </m:d>
                                <m:r>
                                  <a:rPr lang="en-AU" sz="1100" i="1">
                                    <a:latin typeface="Cambria Math" panose="02040503050406030204" pitchFamily="18" charset="0"/>
                                  </a:rPr>
                                  <m:t>+</m:t>
                                </m:r>
                                <m:d>
                                  <m:dPr>
                                    <m:ctrlPr>
                                      <a:rPr lang="en-AU" sz="1100" i="1">
                                        <a:latin typeface="Cambria Math" panose="02040503050406030204" pitchFamily="18" charset="0"/>
                                      </a:rPr>
                                    </m:ctrlPr>
                                  </m:dPr>
                                  <m:e>
                                    <m:sSub>
                                      <m:sSubPr>
                                        <m:ctrlPr>
                                          <a:rPr lang="en-AU" sz="1100" i="1">
                                            <a:latin typeface="Cambria Math" panose="02040503050406030204" pitchFamily="18" charset="0"/>
                                          </a:rPr>
                                        </m:ctrlPr>
                                      </m:sSubPr>
                                      <m:e>
                                        <m:r>
                                          <a:rPr lang="en-AU" sz="1100" i="1">
                                            <a:latin typeface="Cambria Math" panose="02040503050406030204" pitchFamily="18" charset="0"/>
                                          </a:rPr>
                                          <m:t>𝑁</m:t>
                                        </m:r>
                                      </m:e>
                                      <m:sub>
                                        <m:r>
                                          <a:rPr lang="en-AU" sz="1100" i="1">
                                            <a:latin typeface="Cambria Math" panose="02040503050406030204" pitchFamily="18" charset="0"/>
                                          </a:rPr>
                                          <m:t>𝑗</m:t>
                                        </m:r>
                                        <m:r>
                                          <a:rPr lang="en-AU" sz="1100" i="1">
                                            <a:latin typeface="Cambria Math" panose="02040503050406030204" pitchFamily="18" charset="0"/>
                                          </a:rPr>
                                          <m:t>=3,5</m:t>
                                        </m:r>
                                      </m:sub>
                                    </m:sSub>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𝑀</m:t>
                                        </m:r>
                                      </m:e>
                                      <m:sub>
                                        <m:r>
                                          <a:rPr lang="en-AU" sz="1100" i="1">
                                            <a:latin typeface="Cambria Math" panose="02040503050406030204" pitchFamily="18" charset="0"/>
                                          </a:rPr>
                                          <m:t>𝑗</m:t>
                                        </m:r>
                                        <m:r>
                                          <a:rPr lang="en-AU" sz="1100" i="1">
                                            <a:latin typeface="Cambria Math" panose="02040503050406030204" pitchFamily="18" charset="0"/>
                                          </a:rPr>
                                          <m:t>=3,5,</m:t>
                                        </m:r>
                                        <m:r>
                                          <a:rPr lang="en-AU" sz="1100" i="1">
                                            <a:latin typeface="Cambria Math" panose="02040503050406030204" pitchFamily="18" charset="0"/>
                                          </a:rPr>
                                          <m:t>𝑚</m:t>
                                        </m:r>
                                      </m:sub>
                                    </m:sSub>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𝐷</m:t>
                                        </m:r>
                                      </m:e>
                                      <m:sub>
                                        <m:r>
                                          <a:rPr lang="en-AU" sz="1100" i="1">
                                            <a:latin typeface="Cambria Math" panose="02040503050406030204" pitchFamily="18" charset="0"/>
                                          </a:rPr>
                                          <m:t>𝑗</m:t>
                                        </m:r>
                                        <m:r>
                                          <a:rPr lang="en-AU" sz="1100" i="1">
                                            <a:latin typeface="Cambria Math" panose="02040503050406030204" pitchFamily="18" charset="0"/>
                                          </a:rPr>
                                          <m:t>=3,5</m:t>
                                        </m:r>
                                      </m:sub>
                                    </m:sSub>
                                  </m:e>
                                </m:d>
                                <m:r>
                                  <a:rPr lang="en-AU" sz="1100" i="1">
                                    <a:latin typeface="Cambria Math" panose="02040503050406030204" pitchFamily="18" charset="0"/>
                                  </a:rPr>
                                  <m:t>+</m:t>
                                </m:r>
                                <m:d>
                                  <m:dPr>
                                    <m:ctrlPr>
                                      <a:rPr lang="en-AU" sz="1100" i="1">
                                        <a:latin typeface="Cambria Math" panose="02040503050406030204" pitchFamily="18" charset="0"/>
                                      </a:rPr>
                                    </m:ctrlPr>
                                  </m:dPr>
                                  <m:e>
                                    <m:sSub>
                                      <m:sSubPr>
                                        <m:ctrlPr>
                                          <a:rPr lang="en-AU" sz="1100" i="1">
                                            <a:latin typeface="Cambria Math" panose="02040503050406030204" pitchFamily="18" charset="0"/>
                                          </a:rPr>
                                        </m:ctrlPr>
                                      </m:sSubPr>
                                      <m:e>
                                        <m:r>
                                          <a:rPr lang="en-AU" sz="1100" i="1">
                                            <a:latin typeface="Cambria Math" panose="02040503050406030204" pitchFamily="18" charset="0"/>
                                          </a:rPr>
                                          <m:t>𝑁</m:t>
                                        </m:r>
                                      </m:e>
                                      <m:sub>
                                        <m:r>
                                          <a:rPr lang="en-AU" sz="1100" i="1">
                                            <a:latin typeface="Cambria Math" panose="02040503050406030204" pitchFamily="18" charset="0"/>
                                          </a:rPr>
                                          <m:t>𝑗</m:t>
                                        </m:r>
                                        <m:r>
                                          <a:rPr lang="en-AU" sz="1100" i="1">
                                            <a:latin typeface="Cambria Math" panose="02040503050406030204" pitchFamily="18" charset="0"/>
                                          </a:rPr>
                                          <m:t>=3,5</m:t>
                                        </m:r>
                                      </m:sub>
                                    </m:sSub>
                                    <m:r>
                                      <a:rPr lang="en-AU" sz="1100" i="1">
                                        <a:latin typeface="Cambria Math" panose="02040503050406030204" pitchFamily="18" charset="0"/>
                                      </a:rPr>
                                      <m:t>×</m:t>
                                    </m:r>
                                    <m:r>
                                      <a:rPr lang="en-AU" sz="1100" i="1">
                                        <a:latin typeface="Cambria Math" panose="02040503050406030204" pitchFamily="18" charset="0"/>
                                      </a:rPr>
                                      <m:t>𝑀𝑃</m:t>
                                    </m:r>
                                    <m:sSub>
                                      <m:sSubPr>
                                        <m:ctrlPr>
                                          <a:rPr lang="en-AU" sz="1100" i="1">
                                            <a:latin typeface="Cambria Math" panose="02040503050406030204" pitchFamily="18" charset="0"/>
                                          </a:rPr>
                                        </m:ctrlPr>
                                      </m:sSubPr>
                                      <m:e>
                                        <m:r>
                                          <a:rPr lang="en-AU" sz="1100" i="1">
                                            <a:latin typeface="Cambria Math" panose="02040503050406030204" pitchFamily="18" charset="0"/>
                                          </a:rPr>
                                          <m:t>𝑊</m:t>
                                        </m:r>
                                      </m:e>
                                      <m:sub>
                                        <m:r>
                                          <a:rPr lang="en-AU" sz="1100" i="1">
                                            <a:latin typeface="Cambria Math" panose="02040503050406030204" pitchFamily="18" charset="0"/>
                                          </a:rPr>
                                          <m:t>𝑚𝑎𝑛𝑢𝑟𝑒</m:t>
                                        </m:r>
                                        <m:r>
                                          <a:rPr lang="en-AU" sz="1100" i="1">
                                            <a:latin typeface="Cambria Math" panose="02040503050406030204" pitchFamily="18" charset="0"/>
                                          </a:rPr>
                                          <m:t>,</m:t>
                                        </m:r>
                                        <m:r>
                                          <a:rPr lang="en-AU" sz="1100" i="1">
                                            <a:latin typeface="Cambria Math" panose="02040503050406030204" pitchFamily="18" charset="0"/>
                                          </a:rPr>
                                          <m:t>𝑗</m:t>
                                        </m:r>
                                        <m:r>
                                          <a:rPr lang="en-AU" sz="1100" i="1">
                                            <a:latin typeface="Cambria Math" panose="02040503050406030204" pitchFamily="18" charset="0"/>
                                          </a:rPr>
                                          <m:t>=3,5</m:t>
                                        </m:r>
                                      </m:sub>
                                    </m:sSub>
                                    <m:r>
                                      <a:rPr lang="en-AU" sz="1100" i="1">
                                        <a:latin typeface="Cambria Math" panose="02040503050406030204" pitchFamily="18" charset="0"/>
                                      </a:rPr>
                                      <m:t>×</m:t>
                                    </m:r>
                                    <m:r>
                                      <a:rPr lang="en-AU" sz="1100" i="1">
                                        <a:latin typeface="Cambria Math" panose="02040503050406030204" pitchFamily="18" charset="0"/>
                                      </a:rPr>
                                      <m:t>𝐷𝑃</m:t>
                                    </m:r>
                                    <m:sSub>
                                      <m:sSubPr>
                                        <m:ctrlPr>
                                          <a:rPr lang="en-AU" sz="1100" i="1">
                                            <a:latin typeface="Cambria Math" panose="02040503050406030204" pitchFamily="18" charset="0"/>
                                          </a:rPr>
                                        </m:ctrlPr>
                                      </m:sSubPr>
                                      <m:e>
                                        <m:r>
                                          <a:rPr lang="en-AU" sz="1100" i="1">
                                            <a:latin typeface="Cambria Math" panose="02040503050406030204" pitchFamily="18" charset="0"/>
                                          </a:rPr>
                                          <m:t>𝑊</m:t>
                                        </m:r>
                                      </m:e>
                                      <m:sub>
                                        <m:r>
                                          <a:rPr lang="en-AU" sz="1100" i="1">
                                            <a:latin typeface="Cambria Math" panose="02040503050406030204" pitchFamily="18" charset="0"/>
                                          </a:rPr>
                                          <m:t>𝑗</m:t>
                                        </m:r>
                                        <m:r>
                                          <a:rPr lang="en-AU" sz="1100" i="1">
                                            <a:latin typeface="Cambria Math" panose="02040503050406030204" pitchFamily="18" charset="0"/>
                                          </a:rPr>
                                          <m:t>=3,5</m:t>
                                        </m:r>
                                      </m:sub>
                                    </m:sSub>
                                  </m:e>
                                </m:d>
                              </m:e>
                            </m:d>
                          </m:e>
                        </m:nary>
                      </m:e>
                    </m:nary>
                    <m:r>
                      <a:rPr lang="en-AU" sz="1100" i="1">
                        <a:latin typeface="Cambria Math" panose="02040503050406030204" pitchFamily="18" charset="0"/>
                      </a:rPr>
                      <m:t>×</m:t>
                    </m:r>
                    <m:sSup>
                      <m:sSupPr>
                        <m:ctrlPr>
                          <a:rPr lang="en-AU" sz="1100" i="1">
                            <a:latin typeface="Cambria Math" panose="02040503050406030204" pitchFamily="18" charset="0"/>
                          </a:rPr>
                        </m:ctrlPr>
                      </m:sSupPr>
                      <m:e>
                        <m:r>
                          <a:rPr lang="en-AU" sz="1100" i="1">
                            <a:latin typeface="Cambria Math" panose="02040503050406030204" pitchFamily="18" charset="0"/>
                          </a:rPr>
                          <m:t>10</m:t>
                        </m:r>
                      </m:e>
                      <m:sup>
                        <m:r>
                          <a:rPr lang="en-AU" sz="1100" i="1">
                            <a:latin typeface="Cambria Math" panose="02040503050406030204" pitchFamily="18" charset="0"/>
                          </a:rPr>
                          <m:t>−3</m:t>
                        </m:r>
                      </m:sup>
                    </m:sSup>
                  </m:oMath>
                </m:oMathPara>
              </a14:m>
              <a:endParaRPr lang="en-AU" sz="1100"/>
            </a:p>
          </xdr:txBody>
        </xdr:sp>
      </mc:Choice>
      <mc:Fallback xmlns="">
        <xdr:sp macro="" textlink="">
          <xdr:nvSpPr>
            <xdr:cNvPr id="18" name="TextBox 17">
              <a:extLst>
                <a:ext uri="{FF2B5EF4-FFF2-40B4-BE49-F238E27FC236}">
                  <a16:creationId xmlns:a16="http://schemas.microsoft.com/office/drawing/2014/main" id="{016DD997-BB8E-716E-6CC6-AEDE1997F35D}"/>
                </a:ext>
              </a:extLst>
            </xdr:cNvPr>
            <xdr:cNvSpPr txBox="1"/>
          </xdr:nvSpPr>
          <xdr:spPr>
            <a:xfrm>
              <a:off x="2690812" y="54040087"/>
              <a:ext cx="7943200" cy="33207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r>
                <a:rPr lang="en-AU" sz="1100" i="0">
                  <a:latin typeface="Cambria Math" panose="02040503050406030204" pitchFamily="18" charset="0"/>
                </a:rPr>
                <a:t>𝐸_𝐶𝐻4=∑10_𝑗▒∑10_𝑚▒((𝑁_(𝑗=1,2,4)×𝑀_(𝑗=1,2,4,𝑚)×𝐷_(𝑗=1,2,4) )+(𝑁_(𝑗=3,5)×𝑀_(𝑗=3,5,𝑚)×𝐷_(𝑗=3,5) )+(𝑁_(𝑗=3,5)×𝑀𝑃𝑊_(𝑚𝑎𝑛𝑢𝑟𝑒,𝑗=3,5)×𝐷𝑃𝑊_(𝑗=3,5) )) ×10^(−3)</a:t>
              </a:r>
              <a:endParaRPr lang="en-AU" sz="1100"/>
            </a:p>
          </xdr:txBody>
        </xdr:sp>
      </mc:Fallback>
    </mc:AlternateContent>
    <xdr:clientData/>
  </xdr:oneCellAnchor>
  <xdr:oneCellAnchor>
    <xdr:from>
      <xdr:col>7</xdr:col>
      <xdr:colOff>4762</xdr:colOff>
      <xdr:row>217</xdr:row>
      <xdr:rowOff>147637</xdr:rowOff>
    </xdr:from>
    <xdr:ext cx="8406468" cy="332079"/>
    <mc:AlternateContent xmlns:mc="http://schemas.openxmlformats.org/markup-compatibility/2006" xmlns:a14="http://schemas.microsoft.com/office/drawing/2010/main">
      <mc:Choice Requires="a14">
        <xdr:sp macro="" textlink="">
          <xdr:nvSpPr>
            <xdr:cNvPr id="19" name="TextBox 18">
              <a:extLst>
                <a:ext uri="{FF2B5EF4-FFF2-40B4-BE49-F238E27FC236}">
                  <a16:creationId xmlns:a16="http://schemas.microsoft.com/office/drawing/2014/main" id="{334A6A40-C561-1982-B5AC-9BE72AF47198}"/>
                </a:ext>
              </a:extLst>
            </xdr:cNvPr>
            <xdr:cNvSpPr txBox="1"/>
          </xdr:nvSpPr>
          <xdr:spPr>
            <a:xfrm>
              <a:off x="10872787" y="54021037"/>
              <a:ext cx="8406468" cy="33207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sSub>
                      <m:sSubPr>
                        <m:ctrlPr>
                          <a:rPr lang="en-AU" sz="1100" i="1">
                            <a:latin typeface="Cambria Math" panose="02040503050406030204" pitchFamily="18" charset="0"/>
                          </a:rPr>
                        </m:ctrlPr>
                      </m:sSubPr>
                      <m:e>
                        <m:r>
                          <m:rPr>
                            <m:sty m:val="p"/>
                          </m:rPr>
                          <a:rPr lang="en-AU" sz="1100" b="0" i="1">
                            <a:solidFill>
                              <a:srgbClr val="C44340"/>
                            </a:solidFill>
                            <a:latin typeface="Cambria Math" panose="02040503050406030204" pitchFamily="18" charset="0"/>
                          </a:rPr>
                          <m:t>ORIGINAL</m:t>
                        </m:r>
                        <m:r>
                          <a:rPr lang="en-AU" sz="1100" b="0" i="1">
                            <a:solidFill>
                              <a:srgbClr val="C44340"/>
                            </a:solidFill>
                            <a:latin typeface="Cambria Math" panose="02040503050406030204" pitchFamily="18" charset="0"/>
                          </a:rPr>
                          <m:t>: </m:t>
                        </m:r>
                        <m:r>
                          <a:rPr lang="en-AU" sz="1100" i="1">
                            <a:latin typeface="Cambria Math" panose="02040503050406030204" pitchFamily="18" charset="0"/>
                          </a:rPr>
                          <m:t>𝐸</m:t>
                        </m:r>
                      </m:e>
                      <m:sub>
                        <m:r>
                          <a:rPr lang="en-AU" sz="1100" i="1">
                            <a:latin typeface="Cambria Math" panose="02040503050406030204" pitchFamily="18" charset="0"/>
                          </a:rPr>
                          <m:t>𝐶𝐻</m:t>
                        </m:r>
                        <m:r>
                          <a:rPr lang="en-AU" sz="1100" i="1">
                            <a:latin typeface="Cambria Math" panose="02040503050406030204" pitchFamily="18" charset="0"/>
                          </a:rPr>
                          <m:t>4</m:t>
                        </m:r>
                      </m:sub>
                    </m:sSub>
                    <m:r>
                      <a:rPr lang="en-AU" sz="1100" i="1">
                        <a:latin typeface="Cambria Math" panose="02040503050406030204" pitchFamily="18" charset="0"/>
                      </a:rPr>
                      <m:t>=</m:t>
                    </m:r>
                    <m:nary>
                      <m:naryPr>
                        <m:chr m:val="∑"/>
                        <m:limLoc m:val="subSup"/>
                        <m:supHide m:val="on"/>
                        <m:ctrlPr>
                          <a:rPr lang="en-AU" sz="1100" i="1">
                            <a:latin typeface="Cambria Math" panose="02040503050406030204" pitchFamily="18" charset="0"/>
                          </a:rPr>
                        </m:ctrlPr>
                      </m:naryPr>
                      <m:sub>
                        <m:r>
                          <a:rPr lang="en-AU" sz="1100" i="1">
                            <a:latin typeface="Cambria Math" panose="02040503050406030204" pitchFamily="18" charset="0"/>
                          </a:rPr>
                          <m:t>𝑗</m:t>
                        </m:r>
                      </m:sub>
                      <m:sup/>
                      <m:e>
                        <m:nary>
                          <m:naryPr>
                            <m:chr m:val="∑"/>
                            <m:limLoc m:val="subSup"/>
                            <m:supHide m:val="on"/>
                            <m:ctrlPr>
                              <a:rPr lang="en-AU" sz="1100" i="1">
                                <a:latin typeface="Cambria Math" panose="02040503050406030204" pitchFamily="18" charset="0"/>
                              </a:rPr>
                            </m:ctrlPr>
                          </m:naryPr>
                          <m:sub>
                            <m:r>
                              <a:rPr lang="en-AU" sz="1100" i="1">
                                <a:latin typeface="Cambria Math" panose="02040503050406030204" pitchFamily="18" charset="0"/>
                              </a:rPr>
                              <m:t>𝑚</m:t>
                            </m:r>
                          </m:sub>
                          <m:sup/>
                          <m:e>
                            <m:d>
                              <m:dPr>
                                <m:ctrlPr>
                                  <a:rPr lang="en-AU" sz="1100" i="1">
                                    <a:latin typeface="Cambria Math" panose="02040503050406030204" pitchFamily="18" charset="0"/>
                                  </a:rPr>
                                </m:ctrlPr>
                              </m:dPr>
                              <m:e>
                                <m:d>
                                  <m:dPr>
                                    <m:ctrlPr>
                                      <a:rPr lang="en-AU" sz="1100" i="1">
                                        <a:latin typeface="Cambria Math" panose="02040503050406030204" pitchFamily="18" charset="0"/>
                                      </a:rPr>
                                    </m:ctrlPr>
                                  </m:dPr>
                                  <m:e>
                                    <m:sSub>
                                      <m:sSubPr>
                                        <m:ctrlPr>
                                          <a:rPr lang="en-AU" sz="1100" i="1">
                                            <a:latin typeface="Cambria Math" panose="02040503050406030204" pitchFamily="18" charset="0"/>
                                          </a:rPr>
                                        </m:ctrlPr>
                                      </m:sSubPr>
                                      <m:e>
                                        <m:r>
                                          <a:rPr lang="en-AU" sz="1100" i="1">
                                            <a:latin typeface="Cambria Math" panose="02040503050406030204" pitchFamily="18" charset="0"/>
                                          </a:rPr>
                                          <m:t>𝑁</m:t>
                                        </m:r>
                                      </m:e>
                                      <m:sub>
                                        <m:r>
                                          <a:rPr lang="en-AU" sz="1100" i="1">
                                            <a:latin typeface="Cambria Math" panose="02040503050406030204" pitchFamily="18" charset="0"/>
                                          </a:rPr>
                                          <m:t>𝑗</m:t>
                                        </m:r>
                                        <m:r>
                                          <a:rPr lang="en-AU" sz="1100" i="1">
                                            <a:latin typeface="Cambria Math" panose="02040503050406030204" pitchFamily="18" charset="0"/>
                                          </a:rPr>
                                          <m:t>=1,2,4</m:t>
                                        </m:r>
                                      </m:sub>
                                    </m:sSub>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𝑀</m:t>
                                        </m:r>
                                      </m:e>
                                      <m:sub>
                                        <m:r>
                                          <a:rPr lang="en-AU" sz="1100" i="1">
                                            <a:latin typeface="Cambria Math" panose="02040503050406030204" pitchFamily="18" charset="0"/>
                                          </a:rPr>
                                          <m:t>𝑗</m:t>
                                        </m:r>
                                        <m:r>
                                          <a:rPr lang="en-AU" sz="1100" i="1">
                                            <a:latin typeface="Cambria Math" panose="02040503050406030204" pitchFamily="18" charset="0"/>
                                          </a:rPr>
                                          <m:t>=1,2,4,</m:t>
                                        </m:r>
                                        <m:r>
                                          <a:rPr lang="en-AU" sz="1100" i="1">
                                            <a:latin typeface="Cambria Math" panose="02040503050406030204" pitchFamily="18" charset="0"/>
                                          </a:rPr>
                                          <m:t>𝑚</m:t>
                                        </m:r>
                                      </m:sub>
                                    </m:sSub>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𝐷</m:t>
                                        </m:r>
                                      </m:e>
                                      <m:sub>
                                        <m:r>
                                          <a:rPr lang="en-AU" sz="1100" i="1">
                                            <a:latin typeface="Cambria Math" panose="02040503050406030204" pitchFamily="18" charset="0"/>
                                          </a:rPr>
                                          <m:t>𝑗</m:t>
                                        </m:r>
                                        <m:r>
                                          <a:rPr lang="en-AU" sz="1100" i="1">
                                            <a:latin typeface="Cambria Math" panose="02040503050406030204" pitchFamily="18" charset="0"/>
                                          </a:rPr>
                                          <m:t>=1,2,4</m:t>
                                        </m:r>
                                      </m:sub>
                                    </m:sSub>
                                  </m:e>
                                </m:d>
                                <m:r>
                                  <a:rPr lang="en-AU" sz="1100" i="1">
                                    <a:latin typeface="Cambria Math" panose="02040503050406030204" pitchFamily="18" charset="0"/>
                                  </a:rPr>
                                  <m:t>+</m:t>
                                </m:r>
                                <m:d>
                                  <m:dPr>
                                    <m:ctrlPr>
                                      <a:rPr lang="en-AU" sz="1100" i="1">
                                        <a:latin typeface="Cambria Math" panose="02040503050406030204" pitchFamily="18" charset="0"/>
                                      </a:rPr>
                                    </m:ctrlPr>
                                  </m:dPr>
                                  <m:e>
                                    <m:sSub>
                                      <m:sSubPr>
                                        <m:ctrlPr>
                                          <a:rPr lang="en-AU" sz="1100" i="1">
                                            <a:latin typeface="Cambria Math" panose="02040503050406030204" pitchFamily="18" charset="0"/>
                                          </a:rPr>
                                        </m:ctrlPr>
                                      </m:sSubPr>
                                      <m:e>
                                        <m:r>
                                          <a:rPr lang="en-AU" sz="1100" i="1">
                                            <a:latin typeface="Cambria Math" panose="02040503050406030204" pitchFamily="18" charset="0"/>
                                          </a:rPr>
                                          <m:t>𝑁</m:t>
                                        </m:r>
                                      </m:e>
                                      <m:sub>
                                        <m:r>
                                          <a:rPr lang="en-AU" sz="1100" i="1">
                                            <a:latin typeface="Cambria Math" panose="02040503050406030204" pitchFamily="18" charset="0"/>
                                          </a:rPr>
                                          <m:t>𝑗</m:t>
                                        </m:r>
                                        <m:r>
                                          <a:rPr lang="en-AU" sz="1100" i="1">
                                            <a:latin typeface="Cambria Math" panose="02040503050406030204" pitchFamily="18" charset="0"/>
                                          </a:rPr>
                                          <m:t>=3,5</m:t>
                                        </m:r>
                                      </m:sub>
                                    </m:sSub>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𝑀</m:t>
                                        </m:r>
                                      </m:e>
                                      <m:sub>
                                        <m:r>
                                          <a:rPr lang="en-AU" sz="1100" i="1">
                                            <a:latin typeface="Cambria Math" panose="02040503050406030204" pitchFamily="18" charset="0"/>
                                          </a:rPr>
                                          <m:t>𝑗</m:t>
                                        </m:r>
                                        <m:r>
                                          <a:rPr lang="en-AU" sz="1100" i="1">
                                            <a:latin typeface="Cambria Math" panose="02040503050406030204" pitchFamily="18" charset="0"/>
                                          </a:rPr>
                                          <m:t>=3,5,</m:t>
                                        </m:r>
                                        <m:r>
                                          <a:rPr lang="en-AU" sz="1100" i="1">
                                            <a:latin typeface="Cambria Math" panose="02040503050406030204" pitchFamily="18" charset="0"/>
                                          </a:rPr>
                                          <m:t>𝑚</m:t>
                                        </m:r>
                                      </m:sub>
                                    </m:sSub>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𝐷</m:t>
                                        </m:r>
                                      </m:e>
                                      <m:sub>
                                        <m:r>
                                          <a:rPr lang="en-AU" sz="1100" i="1">
                                            <a:latin typeface="Cambria Math" panose="02040503050406030204" pitchFamily="18" charset="0"/>
                                          </a:rPr>
                                          <m:t>𝑗</m:t>
                                        </m:r>
                                        <m:r>
                                          <a:rPr lang="en-AU" sz="1100" i="1">
                                            <a:latin typeface="Cambria Math" panose="02040503050406030204" pitchFamily="18" charset="0"/>
                                          </a:rPr>
                                          <m:t>=3,5</m:t>
                                        </m:r>
                                      </m:sub>
                                    </m:sSub>
                                  </m:e>
                                </m:d>
                                <m:r>
                                  <a:rPr lang="en-AU" sz="1100" i="1">
                                    <a:latin typeface="Cambria Math" panose="02040503050406030204" pitchFamily="18" charset="0"/>
                                  </a:rPr>
                                  <m:t>+</m:t>
                                </m:r>
                                <m:d>
                                  <m:dPr>
                                    <m:ctrlPr>
                                      <a:rPr lang="en-AU" sz="1100" i="1">
                                        <a:latin typeface="Cambria Math" panose="02040503050406030204" pitchFamily="18" charset="0"/>
                                      </a:rPr>
                                    </m:ctrlPr>
                                  </m:dPr>
                                  <m:e>
                                    <m:sSub>
                                      <m:sSubPr>
                                        <m:ctrlPr>
                                          <a:rPr lang="en-AU" sz="1100" i="1">
                                            <a:latin typeface="Cambria Math" panose="02040503050406030204" pitchFamily="18" charset="0"/>
                                          </a:rPr>
                                        </m:ctrlPr>
                                      </m:sSubPr>
                                      <m:e>
                                        <m:r>
                                          <a:rPr lang="en-AU" sz="1100" i="1">
                                            <a:latin typeface="Cambria Math" panose="02040503050406030204" pitchFamily="18" charset="0"/>
                                          </a:rPr>
                                          <m:t>𝑁</m:t>
                                        </m:r>
                                      </m:e>
                                      <m:sub>
                                        <m:r>
                                          <a:rPr lang="en-AU" sz="1100" i="1">
                                            <a:latin typeface="Cambria Math" panose="02040503050406030204" pitchFamily="18" charset="0"/>
                                          </a:rPr>
                                          <m:t>𝑗</m:t>
                                        </m:r>
                                        <m:r>
                                          <a:rPr lang="en-AU" sz="1100" i="1">
                                            <a:latin typeface="Cambria Math" panose="02040503050406030204" pitchFamily="18" charset="0"/>
                                          </a:rPr>
                                          <m:t>=3,5</m:t>
                                        </m:r>
                                      </m:sub>
                                    </m:sSub>
                                    <m:r>
                                      <a:rPr lang="en-AU" sz="1100" i="1">
                                        <a:latin typeface="Cambria Math" panose="02040503050406030204" pitchFamily="18" charset="0"/>
                                      </a:rPr>
                                      <m:t>×</m:t>
                                    </m:r>
                                    <m:r>
                                      <a:rPr lang="en-AU" sz="1100" i="1">
                                        <a:latin typeface="Cambria Math" panose="02040503050406030204" pitchFamily="18" charset="0"/>
                                      </a:rPr>
                                      <m:t>𝑀𝑃</m:t>
                                    </m:r>
                                    <m:sSub>
                                      <m:sSubPr>
                                        <m:ctrlPr>
                                          <a:rPr lang="en-AU" sz="1100" i="1">
                                            <a:latin typeface="Cambria Math" panose="02040503050406030204" pitchFamily="18" charset="0"/>
                                          </a:rPr>
                                        </m:ctrlPr>
                                      </m:sSubPr>
                                      <m:e>
                                        <m:r>
                                          <a:rPr lang="en-AU" sz="1100" i="1">
                                            <a:latin typeface="Cambria Math" panose="02040503050406030204" pitchFamily="18" charset="0"/>
                                          </a:rPr>
                                          <m:t>𝑊</m:t>
                                        </m:r>
                                      </m:e>
                                      <m:sub>
                                        <m:r>
                                          <a:rPr lang="en-AU" sz="1100" i="1">
                                            <a:latin typeface="Cambria Math" panose="02040503050406030204" pitchFamily="18" charset="0"/>
                                          </a:rPr>
                                          <m:t>𝑚𝑎𝑛𝑢𝑟𝑒</m:t>
                                        </m:r>
                                        <m:r>
                                          <a:rPr lang="en-AU" sz="1100" i="1">
                                            <a:latin typeface="Cambria Math" panose="02040503050406030204" pitchFamily="18" charset="0"/>
                                          </a:rPr>
                                          <m:t>,</m:t>
                                        </m:r>
                                        <m:r>
                                          <a:rPr lang="en-AU" sz="1100" i="1">
                                            <a:latin typeface="Cambria Math" panose="02040503050406030204" pitchFamily="18" charset="0"/>
                                          </a:rPr>
                                          <m:t>𝑗</m:t>
                                        </m:r>
                                        <m:r>
                                          <a:rPr lang="en-AU" sz="1100" i="1">
                                            <a:latin typeface="Cambria Math" panose="02040503050406030204" pitchFamily="18" charset="0"/>
                                          </a:rPr>
                                          <m:t>=3,5</m:t>
                                        </m:r>
                                      </m:sub>
                                    </m:sSub>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𝐷</m:t>
                                        </m:r>
                                      </m:e>
                                      <m:sub>
                                        <m:r>
                                          <a:rPr lang="en-AU" sz="1100" i="1">
                                            <a:latin typeface="Cambria Math" panose="02040503050406030204" pitchFamily="18" charset="0"/>
                                          </a:rPr>
                                          <m:t>𝑗</m:t>
                                        </m:r>
                                        <m:r>
                                          <a:rPr lang="en-AU" sz="1100" i="1">
                                            <a:latin typeface="Cambria Math" panose="02040503050406030204" pitchFamily="18" charset="0"/>
                                          </a:rPr>
                                          <m:t>=3,5</m:t>
                                        </m:r>
                                      </m:sub>
                                    </m:sSub>
                                  </m:e>
                                </m:d>
                              </m:e>
                            </m:d>
                          </m:e>
                        </m:nary>
                      </m:e>
                    </m:nary>
                    <m:r>
                      <a:rPr lang="en-AU" sz="1100" i="1">
                        <a:latin typeface="Cambria Math" panose="02040503050406030204" pitchFamily="18" charset="0"/>
                      </a:rPr>
                      <m:t>×</m:t>
                    </m:r>
                    <m:sSup>
                      <m:sSupPr>
                        <m:ctrlPr>
                          <a:rPr lang="en-AU" sz="1100" i="1">
                            <a:latin typeface="Cambria Math" panose="02040503050406030204" pitchFamily="18" charset="0"/>
                          </a:rPr>
                        </m:ctrlPr>
                      </m:sSupPr>
                      <m:e>
                        <m:r>
                          <a:rPr lang="en-AU" sz="1100" i="1">
                            <a:latin typeface="Cambria Math" panose="02040503050406030204" pitchFamily="18" charset="0"/>
                          </a:rPr>
                          <m:t>10</m:t>
                        </m:r>
                      </m:e>
                      <m:sup>
                        <m:r>
                          <a:rPr lang="en-AU" sz="1100" i="1">
                            <a:latin typeface="Cambria Math" panose="02040503050406030204" pitchFamily="18" charset="0"/>
                          </a:rPr>
                          <m:t>−3</m:t>
                        </m:r>
                      </m:sup>
                    </m:sSup>
                  </m:oMath>
                </m:oMathPara>
              </a14:m>
              <a:endParaRPr lang="en-AU" sz="1100"/>
            </a:p>
          </xdr:txBody>
        </xdr:sp>
      </mc:Choice>
      <mc:Fallback xmlns="">
        <xdr:sp macro="" textlink="">
          <xdr:nvSpPr>
            <xdr:cNvPr id="19" name="TextBox 18">
              <a:extLst>
                <a:ext uri="{FF2B5EF4-FFF2-40B4-BE49-F238E27FC236}">
                  <a16:creationId xmlns:a16="http://schemas.microsoft.com/office/drawing/2014/main" id="{334A6A40-C561-1982-B5AC-9BE72AF47198}"/>
                </a:ext>
              </a:extLst>
            </xdr:cNvPr>
            <xdr:cNvSpPr txBox="1"/>
          </xdr:nvSpPr>
          <xdr:spPr>
            <a:xfrm>
              <a:off x="10872787" y="54021037"/>
              <a:ext cx="8406468" cy="33207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r>
                <a:rPr lang="en-AU" sz="1100" i="0">
                  <a:latin typeface="Cambria Math" panose="02040503050406030204" pitchFamily="18" charset="0"/>
                </a:rPr>
                <a:t>〖</a:t>
              </a:r>
              <a:r>
                <a:rPr lang="en-AU" sz="1100" b="0" i="0">
                  <a:solidFill>
                    <a:srgbClr val="C44340"/>
                  </a:solidFill>
                  <a:latin typeface="Cambria Math" panose="02040503050406030204" pitchFamily="18" charset="0"/>
                </a:rPr>
                <a:t>ORIGINAL: </a:t>
              </a:r>
              <a:r>
                <a:rPr lang="en-AU" sz="1100" i="0">
                  <a:latin typeface="Cambria Math" panose="02040503050406030204" pitchFamily="18" charset="0"/>
                </a:rPr>
                <a:t>𝐸〗_𝐶𝐻4=∑10_𝑗▒∑10_𝑚▒((𝑁_(𝑗=1,2,4)×𝑀_(𝑗=1,2,4,𝑚)×𝐷_(𝑗=1,2,4) )+(𝑁_(𝑗=3,5)×𝑀_(𝑗=3,5,𝑚)×𝐷_(𝑗=3,5) )+(𝑁_(𝑗=3,5)×𝑀𝑃𝑊_(𝑚𝑎𝑛𝑢𝑟𝑒,𝑗=3,5)×𝐷_(𝑗=3,5) )) ×10^(−3)</a:t>
              </a:r>
              <a:endParaRPr lang="en-AU" sz="1100"/>
            </a:p>
          </xdr:txBody>
        </xdr:sp>
      </mc:Fallback>
    </mc:AlternateContent>
    <xdr:clientData/>
  </xdr:oneCellAnchor>
</xdr:wsDr>
</file>

<file path=xl/drawings/drawing3.xml><?xml version="1.0" encoding="utf-8"?>
<xdr:wsDr xmlns:xdr="http://schemas.openxmlformats.org/drawingml/2006/spreadsheetDrawing" xmlns:a="http://schemas.openxmlformats.org/drawingml/2006/main">
  <xdr:oneCellAnchor>
    <xdr:from>
      <xdr:col>3</xdr:col>
      <xdr:colOff>57150</xdr:colOff>
      <xdr:row>7</xdr:row>
      <xdr:rowOff>52387</xdr:rowOff>
    </xdr:from>
    <xdr:ext cx="615810" cy="369460"/>
    <mc:AlternateContent xmlns:mc="http://schemas.openxmlformats.org/markup-compatibility/2006" xmlns:a14="http://schemas.microsoft.com/office/drawing/2010/main">
      <mc:Choice Requires="a14">
        <xdr:sp macro="" textlink="">
          <xdr:nvSpPr>
            <xdr:cNvPr id="6" name="TextBox 5">
              <a:extLst>
                <a:ext uri="{FF2B5EF4-FFF2-40B4-BE49-F238E27FC236}">
                  <a16:creationId xmlns:a16="http://schemas.microsoft.com/office/drawing/2014/main" id="{ADC1AC29-4554-D3F7-3394-68026F9F736D}"/>
                </a:ext>
              </a:extLst>
            </xdr:cNvPr>
            <xdr:cNvSpPr txBox="1"/>
          </xdr:nvSpPr>
          <xdr:spPr>
            <a:xfrm>
              <a:off x="2733675" y="1919287"/>
              <a:ext cx="615810" cy="3694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sSub>
                      <m:sSubPr>
                        <m:ctrlPr>
                          <a:rPr lang="en-AU" sz="1100" i="1">
                            <a:latin typeface="Cambria Math" panose="02040503050406030204" pitchFamily="18" charset="0"/>
                          </a:rPr>
                        </m:ctrlPr>
                      </m:sSubPr>
                      <m:e>
                        <m:r>
                          <a:rPr lang="en-AU" sz="1100" i="1">
                            <a:latin typeface="Cambria Math" panose="02040503050406030204" pitchFamily="18" charset="0"/>
                          </a:rPr>
                          <m:t>𝑍</m:t>
                        </m:r>
                      </m:e>
                      <m:sub>
                        <m:r>
                          <a:rPr lang="en-AU" sz="1100" i="1">
                            <a:latin typeface="Cambria Math" panose="02040503050406030204" pitchFamily="18" charset="0"/>
                          </a:rPr>
                          <m:t>𝑗</m:t>
                        </m:r>
                      </m:sub>
                    </m:sSub>
                    <m:r>
                      <a:rPr lang="en-AU" sz="1100" i="1">
                        <a:latin typeface="Cambria Math" panose="02040503050406030204" pitchFamily="18" charset="0"/>
                      </a:rPr>
                      <m:t>=</m:t>
                    </m:r>
                    <m:f>
                      <m:fPr>
                        <m:ctrlPr>
                          <a:rPr lang="en-AU" sz="1100" i="1">
                            <a:latin typeface="Cambria Math" panose="02040503050406030204" pitchFamily="18" charset="0"/>
                          </a:rPr>
                        </m:ctrlPr>
                      </m:fPr>
                      <m:num>
                        <m:sSub>
                          <m:sSubPr>
                            <m:ctrlPr>
                              <a:rPr lang="en-AU" sz="1100" i="1">
                                <a:latin typeface="Cambria Math" panose="02040503050406030204" pitchFamily="18" charset="0"/>
                              </a:rPr>
                            </m:ctrlPr>
                          </m:sSubPr>
                          <m:e>
                            <m:r>
                              <a:rPr lang="en-AU" sz="1100" i="1">
                                <a:latin typeface="Cambria Math" panose="02040503050406030204" pitchFamily="18" charset="0"/>
                              </a:rPr>
                              <m:t>𝑊</m:t>
                            </m:r>
                          </m:e>
                          <m:sub>
                            <m:r>
                              <a:rPr lang="en-AU" sz="1100" i="1">
                                <a:latin typeface="Cambria Math" panose="02040503050406030204" pitchFamily="18" charset="0"/>
                              </a:rPr>
                              <m:t>𝑗</m:t>
                            </m:r>
                          </m:sub>
                        </m:sSub>
                      </m:num>
                      <m:den>
                        <m:r>
                          <a:rPr lang="en-AU" sz="1100" i="1">
                            <a:latin typeface="Cambria Math" panose="02040503050406030204" pitchFamily="18" charset="0"/>
                          </a:rPr>
                          <m:t>𝑊</m:t>
                        </m:r>
                        <m:sSub>
                          <m:sSubPr>
                            <m:ctrlPr>
                              <a:rPr lang="en-AU" sz="1100" i="1">
                                <a:latin typeface="Cambria Math" panose="02040503050406030204" pitchFamily="18" charset="0"/>
                              </a:rPr>
                            </m:ctrlPr>
                          </m:sSubPr>
                          <m:e>
                            <m:r>
                              <a:rPr lang="en-AU" sz="1100" i="1">
                                <a:latin typeface="Cambria Math" panose="02040503050406030204" pitchFamily="18" charset="0"/>
                              </a:rPr>
                              <m:t>𝑅</m:t>
                            </m:r>
                          </m:e>
                          <m:sub>
                            <m:r>
                              <a:rPr lang="en-AU" sz="1100" i="1">
                                <a:latin typeface="Cambria Math" panose="02040503050406030204" pitchFamily="18" charset="0"/>
                              </a:rPr>
                              <m:t>𝑗</m:t>
                            </m:r>
                          </m:sub>
                        </m:sSub>
                      </m:den>
                    </m:f>
                  </m:oMath>
                </m:oMathPara>
              </a14:m>
              <a:endParaRPr lang="en-AU" sz="1100"/>
            </a:p>
          </xdr:txBody>
        </xdr:sp>
      </mc:Choice>
      <mc:Fallback xmlns="">
        <xdr:sp macro="" textlink="">
          <xdr:nvSpPr>
            <xdr:cNvPr id="6" name="TextBox 5">
              <a:extLst>
                <a:ext uri="{FF2B5EF4-FFF2-40B4-BE49-F238E27FC236}">
                  <a16:creationId xmlns:a16="http://schemas.microsoft.com/office/drawing/2014/main" id="{ADC1AC29-4554-D3F7-3394-68026F9F736D}"/>
                </a:ext>
              </a:extLst>
            </xdr:cNvPr>
            <xdr:cNvSpPr txBox="1"/>
          </xdr:nvSpPr>
          <xdr:spPr>
            <a:xfrm>
              <a:off x="2733675" y="1919287"/>
              <a:ext cx="615810" cy="3694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r>
                <a:rPr lang="en-AU" sz="1100" i="0">
                  <a:latin typeface="Cambria Math" panose="02040503050406030204" pitchFamily="18" charset="0"/>
                </a:rPr>
                <a:t>𝑍_𝑗=𝑊_𝑗/(𝑊𝑅_𝑗 )</a:t>
              </a:r>
              <a:endParaRPr lang="en-AU" sz="1100"/>
            </a:p>
          </xdr:txBody>
        </xdr:sp>
      </mc:Fallback>
    </mc:AlternateContent>
    <xdr:clientData/>
  </xdr:oneCellAnchor>
  <xdr:oneCellAnchor>
    <xdr:from>
      <xdr:col>3</xdr:col>
      <xdr:colOff>19050</xdr:colOff>
      <xdr:row>35</xdr:row>
      <xdr:rowOff>157162</xdr:rowOff>
    </xdr:from>
    <xdr:ext cx="3857466" cy="426592"/>
    <mc:AlternateContent xmlns:mc="http://schemas.openxmlformats.org/markup-compatibility/2006" xmlns:a14="http://schemas.microsoft.com/office/drawing/2010/main">
      <mc:Choice Requires="a14">
        <xdr:sp macro="" textlink="">
          <xdr:nvSpPr>
            <xdr:cNvPr id="11" name="TextBox 10">
              <a:extLst>
                <a:ext uri="{FF2B5EF4-FFF2-40B4-BE49-F238E27FC236}">
                  <a16:creationId xmlns:a16="http://schemas.microsoft.com/office/drawing/2014/main" id="{CEB8026E-DC74-F16A-425F-99C91A2791F4}"/>
                </a:ext>
              </a:extLst>
            </xdr:cNvPr>
            <xdr:cNvSpPr txBox="1"/>
          </xdr:nvSpPr>
          <xdr:spPr>
            <a:xfrm>
              <a:off x="2695575" y="8958262"/>
              <a:ext cx="3857466" cy="426592"/>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sSub>
                      <m:sSubPr>
                        <m:ctrlPr>
                          <a:rPr lang="en-AU" sz="1100" i="1">
                            <a:latin typeface="Cambria Math" panose="02040503050406030204" pitchFamily="18" charset="0"/>
                          </a:rPr>
                        </m:ctrlPr>
                      </m:sSubPr>
                      <m:e>
                        <m:r>
                          <a:rPr lang="en-AU" sz="1100" i="1">
                            <a:latin typeface="Cambria Math" panose="02040503050406030204" pitchFamily="18" charset="0"/>
                          </a:rPr>
                          <m:t>𝐿</m:t>
                        </m:r>
                      </m:e>
                      <m:sub>
                        <m:r>
                          <a:rPr lang="en-AU" sz="1100" i="1">
                            <a:latin typeface="Cambria Math" panose="02040503050406030204" pitchFamily="18" charset="0"/>
                          </a:rPr>
                          <m:t>𝑗</m:t>
                        </m:r>
                      </m:sub>
                    </m:sSub>
                    <m:r>
                      <a:rPr lang="en-AU" sz="1100" i="1">
                        <a:latin typeface="Cambria Math" panose="02040503050406030204" pitchFamily="18" charset="0"/>
                      </a:rPr>
                      <m:t>=</m:t>
                    </m:r>
                    <m:f>
                      <m:fPr>
                        <m:ctrlPr>
                          <a:rPr lang="en-AU" sz="1100" i="1">
                            <a:latin typeface="Cambria Math" panose="02040503050406030204" pitchFamily="18" charset="0"/>
                          </a:rPr>
                        </m:ctrlPr>
                      </m:fPr>
                      <m:num>
                        <m:sSub>
                          <m:sSubPr>
                            <m:ctrlPr>
                              <a:rPr lang="en-AU" sz="1100" i="1">
                                <a:latin typeface="Cambria Math" panose="02040503050406030204" pitchFamily="18" charset="0"/>
                              </a:rPr>
                            </m:ctrlPr>
                          </m:sSubPr>
                          <m:e>
                            <m:r>
                              <a:rPr lang="en-AU" sz="1100" i="1">
                                <a:latin typeface="Cambria Math" panose="02040503050406030204" pitchFamily="18" charset="0"/>
                              </a:rPr>
                              <m:t>𝐼</m:t>
                            </m:r>
                          </m:e>
                          <m:sub>
                            <m:r>
                              <a:rPr lang="en-AU" sz="1100" i="1">
                                <a:latin typeface="Cambria Math" panose="02040503050406030204" pitchFamily="18" charset="0"/>
                              </a:rPr>
                              <m:t>𝑗</m:t>
                            </m:r>
                          </m:sub>
                        </m:sSub>
                      </m:num>
                      <m:den>
                        <m:sSup>
                          <m:sSupPr>
                            <m:ctrlPr>
                              <a:rPr lang="en-AU" sz="1100" i="1">
                                <a:latin typeface="Cambria Math" panose="02040503050406030204" pitchFamily="18" charset="0"/>
                              </a:rPr>
                            </m:ctrlPr>
                          </m:sSupPr>
                          <m:e>
                            <m:d>
                              <m:dPr>
                                <m:ctrlPr>
                                  <a:rPr lang="en-AU" sz="1100" i="1">
                                    <a:latin typeface="Cambria Math" panose="02040503050406030204" pitchFamily="18" charset="0"/>
                                  </a:rPr>
                                </m:ctrlPr>
                              </m:dPr>
                              <m:e>
                                <m:r>
                                  <a:rPr lang="en-AU" sz="1100" i="1">
                                    <a:latin typeface="Cambria Math" panose="02040503050406030204" pitchFamily="18" charset="0"/>
                                  </a:rPr>
                                  <m:t>1.185+0.00454×</m:t>
                                </m:r>
                                <m:sSub>
                                  <m:sSubPr>
                                    <m:ctrlPr>
                                      <a:rPr lang="en-AU" sz="1100" i="1">
                                        <a:latin typeface="Cambria Math" panose="02040503050406030204" pitchFamily="18" charset="0"/>
                                      </a:rPr>
                                    </m:ctrlPr>
                                  </m:sSubPr>
                                  <m:e>
                                    <m:r>
                                      <a:rPr lang="en-AU" sz="1100" i="1">
                                        <a:latin typeface="Cambria Math" panose="02040503050406030204" pitchFamily="18" charset="0"/>
                                      </a:rPr>
                                      <m:t>𝑊</m:t>
                                    </m:r>
                                  </m:e>
                                  <m:sub>
                                    <m:r>
                                      <a:rPr lang="en-AU" sz="1100" i="1">
                                        <a:latin typeface="Cambria Math" panose="02040503050406030204" pitchFamily="18" charset="0"/>
                                      </a:rPr>
                                      <m:t>𝑗</m:t>
                                    </m:r>
                                  </m:sub>
                                </m:sSub>
                                <m:r>
                                  <a:rPr lang="en-AU" sz="1100" i="1">
                                    <a:latin typeface="Cambria Math" panose="02040503050406030204" pitchFamily="18" charset="0"/>
                                  </a:rPr>
                                  <m:t>−0.0000026×</m:t>
                                </m:r>
                                <m:sSubSup>
                                  <m:sSubSupPr>
                                    <m:ctrlPr>
                                      <a:rPr lang="en-AU" sz="1100" i="1">
                                        <a:latin typeface="Cambria Math" panose="02040503050406030204" pitchFamily="18" charset="0"/>
                                      </a:rPr>
                                    </m:ctrlPr>
                                  </m:sSubSupPr>
                                  <m:e>
                                    <m:r>
                                      <a:rPr lang="en-AU" sz="1100" i="1">
                                        <a:latin typeface="Cambria Math" panose="02040503050406030204" pitchFamily="18" charset="0"/>
                                      </a:rPr>
                                      <m:t>𝑊</m:t>
                                    </m:r>
                                  </m:e>
                                  <m:sub>
                                    <m:r>
                                      <a:rPr lang="en-AU" sz="1100" i="1">
                                        <a:latin typeface="Cambria Math" panose="02040503050406030204" pitchFamily="18" charset="0"/>
                                      </a:rPr>
                                      <m:t>𝑗</m:t>
                                    </m:r>
                                  </m:sub>
                                  <m:sup>
                                    <m:r>
                                      <a:rPr lang="en-AU" sz="1100" i="1">
                                        <a:latin typeface="Cambria Math" panose="02040503050406030204" pitchFamily="18" charset="0"/>
                                      </a:rPr>
                                      <m:t>2</m:t>
                                    </m:r>
                                  </m:sup>
                                </m:sSubSup>
                              </m:e>
                            </m:d>
                          </m:e>
                          <m:sup>
                            <m:r>
                              <a:rPr lang="en-AU" sz="1100" i="1">
                                <a:latin typeface="Cambria Math" panose="02040503050406030204" pitchFamily="18" charset="0"/>
                              </a:rPr>
                              <m:t>2</m:t>
                            </m:r>
                          </m:sup>
                        </m:sSup>
                        <m:r>
                          <a:rPr lang="en-AU" sz="1100" i="1">
                            <a:latin typeface="Cambria Math" panose="02040503050406030204" pitchFamily="18" charset="0"/>
                          </a:rPr>
                          <m:t>×</m:t>
                        </m:r>
                        <m:r>
                          <a:rPr lang="en-AU" sz="1100" i="1">
                            <a:latin typeface="Cambria Math" panose="02040503050406030204" pitchFamily="18" charset="0"/>
                          </a:rPr>
                          <m:t>𝑀</m:t>
                        </m:r>
                        <m:sSub>
                          <m:sSubPr>
                            <m:ctrlPr>
                              <a:rPr lang="en-AU" sz="1100" i="1">
                                <a:latin typeface="Cambria Math" panose="02040503050406030204" pitchFamily="18" charset="0"/>
                              </a:rPr>
                            </m:ctrlPr>
                          </m:sSubPr>
                          <m:e>
                            <m:r>
                              <a:rPr lang="en-AU" sz="1100" i="1">
                                <a:latin typeface="Cambria Math" panose="02040503050406030204" pitchFamily="18" charset="0"/>
                              </a:rPr>
                              <m:t>𝑅</m:t>
                            </m:r>
                          </m:e>
                          <m:sub>
                            <m:r>
                              <a:rPr lang="en-AU" sz="1100" i="1">
                                <a:latin typeface="Cambria Math" panose="02040503050406030204" pitchFamily="18" charset="0"/>
                              </a:rPr>
                              <m:t>𝑗</m:t>
                            </m:r>
                          </m:sub>
                        </m:sSub>
                        <m:r>
                          <a:rPr lang="en-AU" sz="1100" i="1">
                            <a:latin typeface="Cambria Math" panose="02040503050406030204" pitchFamily="18" charset="0"/>
                          </a:rPr>
                          <m:t>+</m:t>
                        </m:r>
                        <m:r>
                          <a:rPr lang="en-AU" sz="1100" i="1">
                            <a:latin typeface="Cambria Math" panose="02040503050406030204" pitchFamily="18" charset="0"/>
                          </a:rPr>
                          <m:t>𝑀</m:t>
                        </m:r>
                        <m:sSub>
                          <m:sSubPr>
                            <m:ctrlPr>
                              <a:rPr lang="en-AU" sz="1100" i="1">
                                <a:latin typeface="Cambria Math" panose="02040503050406030204" pitchFamily="18" charset="0"/>
                              </a:rPr>
                            </m:ctrlPr>
                          </m:sSubPr>
                          <m:e>
                            <m:r>
                              <a:rPr lang="en-AU" sz="1100" i="1">
                                <a:latin typeface="Cambria Math" panose="02040503050406030204" pitchFamily="18" charset="0"/>
                              </a:rPr>
                              <m:t>𝐼</m:t>
                            </m:r>
                          </m:e>
                          <m:sub>
                            <m:r>
                              <a:rPr lang="en-AU" sz="1100" i="1">
                                <a:latin typeface="Cambria Math" panose="02040503050406030204" pitchFamily="18" charset="0"/>
                              </a:rPr>
                              <m:t>𝑗</m:t>
                            </m:r>
                          </m:sub>
                        </m:sSub>
                      </m:den>
                    </m:f>
                  </m:oMath>
                </m:oMathPara>
              </a14:m>
              <a:endParaRPr lang="en-AU" sz="1100"/>
            </a:p>
          </xdr:txBody>
        </xdr:sp>
      </mc:Choice>
      <mc:Fallback xmlns="">
        <xdr:sp macro="" textlink="">
          <xdr:nvSpPr>
            <xdr:cNvPr id="11" name="TextBox 10">
              <a:extLst>
                <a:ext uri="{FF2B5EF4-FFF2-40B4-BE49-F238E27FC236}">
                  <a16:creationId xmlns:a16="http://schemas.microsoft.com/office/drawing/2014/main" id="{CEB8026E-DC74-F16A-425F-99C91A2791F4}"/>
                </a:ext>
              </a:extLst>
            </xdr:cNvPr>
            <xdr:cNvSpPr txBox="1"/>
          </xdr:nvSpPr>
          <xdr:spPr>
            <a:xfrm>
              <a:off x="2695575" y="8958262"/>
              <a:ext cx="3857466" cy="426592"/>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r>
                <a:rPr lang="en-AU" sz="1100" i="0">
                  <a:latin typeface="Cambria Math" panose="02040503050406030204" pitchFamily="18" charset="0"/>
                </a:rPr>
                <a:t>𝐿_𝑗=𝐼_𝑗/((1.185+0.00454×𝑊_𝑗−0.0000026×𝑊_𝑗^2 )^2×𝑀𝑅_𝑗+𝑀𝐼_𝑗 )</a:t>
              </a:r>
              <a:endParaRPr lang="en-AU" sz="1100"/>
            </a:p>
          </xdr:txBody>
        </xdr:sp>
      </mc:Fallback>
    </mc:AlternateContent>
    <xdr:clientData/>
  </xdr:oneCellAnchor>
  <xdr:oneCellAnchor>
    <xdr:from>
      <xdr:col>3</xdr:col>
      <xdr:colOff>9525</xdr:colOff>
      <xdr:row>71</xdr:row>
      <xdr:rowOff>90487</xdr:rowOff>
    </xdr:from>
    <xdr:ext cx="7038402" cy="397288"/>
    <mc:AlternateContent xmlns:mc="http://schemas.openxmlformats.org/markup-compatibility/2006" xmlns:a14="http://schemas.microsoft.com/office/drawing/2010/main">
      <mc:Choice Requires="a14">
        <xdr:sp macro="" textlink="">
          <xdr:nvSpPr>
            <xdr:cNvPr id="18" name="TextBox 17">
              <a:extLst>
                <a:ext uri="{FF2B5EF4-FFF2-40B4-BE49-F238E27FC236}">
                  <a16:creationId xmlns:a16="http://schemas.microsoft.com/office/drawing/2014/main" id="{4551B19B-D856-1382-65D0-2C898FCEC22A}"/>
                </a:ext>
              </a:extLst>
            </xdr:cNvPr>
            <xdr:cNvSpPr txBox="1"/>
          </xdr:nvSpPr>
          <xdr:spPr>
            <a:xfrm>
              <a:off x="2686050" y="17806987"/>
              <a:ext cx="7038402" cy="397288"/>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r>
                      <a:rPr lang="en-AU" sz="1100" i="1">
                        <a:latin typeface="Cambria Math" panose="02040503050406030204" pitchFamily="18" charset="0"/>
                      </a:rPr>
                      <m:t>𝑁</m:t>
                    </m:r>
                    <m:sSub>
                      <m:sSubPr>
                        <m:ctrlPr>
                          <a:rPr lang="en-AU" sz="1100" i="1">
                            <a:latin typeface="Cambria Math" panose="02040503050406030204" pitchFamily="18" charset="0"/>
                          </a:rPr>
                        </m:ctrlPr>
                      </m:sSubPr>
                      <m:e>
                        <m:r>
                          <a:rPr lang="en-AU" sz="1100" i="1">
                            <a:latin typeface="Cambria Math" panose="02040503050406030204" pitchFamily="18" charset="0"/>
                          </a:rPr>
                          <m:t>𝑅</m:t>
                        </m:r>
                      </m:e>
                      <m:sub>
                        <m:r>
                          <a:rPr lang="en-AU" sz="1100" i="1">
                            <a:latin typeface="Cambria Math" panose="02040503050406030204" pitchFamily="18" charset="0"/>
                          </a:rPr>
                          <m:t>𝑗</m:t>
                        </m:r>
                      </m:sub>
                    </m:sSub>
                    <m:r>
                      <a:rPr lang="en-AU" sz="1100" i="1">
                        <a:latin typeface="Cambria Math" panose="02040503050406030204" pitchFamily="18" charset="0"/>
                      </a:rPr>
                      <m:t>=</m:t>
                    </m:r>
                    <m:d>
                      <m:dPr>
                        <m:ctrlPr>
                          <a:rPr lang="en-AU" sz="1100" i="1">
                            <a:latin typeface="Cambria Math" panose="02040503050406030204" pitchFamily="18" charset="0"/>
                          </a:rPr>
                        </m:ctrlPr>
                      </m:dPr>
                      <m:e>
                        <m:f>
                          <m:fPr>
                            <m:ctrlPr>
                              <a:rPr lang="en-AU" sz="1100" i="1">
                                <a:latin typeface="Cambria Math" panose="02040503050406030204" pitchFamily="18" charset="0"/>
                              </a:rPr>
                            </m:ctrlPr>
                          </m:fPr>
                          <m:num>
                            <m:r>
                              <a:rPr lang="en-AU" sz="1100" i="1">
                                <a:latin typeface="Cambria Math" panose="02040503050406030204" pitchFamily="18" charset="0"/>
                              </a:rPr>
                              <m:t>0.032×</m:t>
                            </m:r>
                            <m:r>
                              <a:rPr lang="en-AU" sz="1100" i="1">
                                <a:latin typeface="Cambria Math" panose="02040503050406030204" pitchFamily="18" charset="0"/>
                              </a:rPr>
                              <m:t>𝑀</m:t>
                            </m:r>
                            <m:sSub>
                              <m:sSubPr>
                                <m:ctrlPr>
                                  <a:rPr lang="en-AU" sz="1100" i="1">
                                    <a:latin typeface="Cambria Math" panose="02040503050406030204" pitchFamily="18" charset="0"/>
                                  </a:rPr>
                                </m:ctrlPr>
                              </m:sSubPr>
                              <m:e>
                                <m:r>
                                  <a:rPr lang="en-AU" sz="1100" i="1">
                                    <a:latin typeface="Cambria Math" panose="02040503050406030204" pitchFamily="18" charset="0"/>
                                  </a:rPr>
                                  <m:t>𝑃</m:t>
                                </m:r>
                              </m:e>
                              <m:sub>
                                <m:r>
                                  <a:rPr lang="en-AU" sz="1100" i="1">
                                    <a:latin typeface="Cambria Math" panose="02040503050406030204" pitchFamily="18" charset="0"/>
                                  </a:rPr>
                                  <m:t>𝑗</m:t>
                                </m:r>
                              </m:sub>
                            </m:sSub>
                            <m:r>
                              <a:rPr lang="en-AU" sz="1100" i="1">
                                <a:latin typeface="Cambria Math" panose="02040503050406030204" pitchFamily="18" charset="0"/>
                              </a:rPr>
                              <m:t>×1.03</m:t>
                            </m:r>
                          </m:num>
                          <m:den>
                            <m:r>
                              <a:rPr lang="en-AU" sz="1100" i="1">
                                <a:latin typeface="Cambria Math" panose="02040503050406030204" pitchFamily="18" charset="0"/>
                              </a:rPr>
                              <m:t>6.38</m:t>
                            </m:r>
                          </m:den>
                        </m:f>
                      </m:e>
                    </m:d>
                    <m:r>
                      <a:rPr lang="en-AU" sz="1100" i="1">
                        <a:latin typeface="Cambria Math" panose="02040503050406030204" pitchFamily="18" charset="0"/>
                      </a:rPr>
                      <m:t>+</m:t>
                    </m:r>
                    <m:d>
                      <m:dPr>
                        <m:begChr m:val="{"/>
                        <m:endChr m:val="}"/>
                        <m:ctrlPr>
                          <a:rPr lang="en-AU" sz="1100" i="1">
                            <a:latin typeface="Cambria Math" panose="02040503050406030204" pitchFamily="18" charset="0"/>
                          </a:rPr>
                        </m:ctrlPr>
                      </m:dPr>
                      <m:e>
                        <m:d>
                          <m:dPr>
                            <m:ctrlPr>
                              <a:rPr lang="en-AU" sz="1100" i="1">
                                <a:latin typeface="Cambria Math" panose="02040503050406030204" pitchFamily="18" charset="0"/>
                              </a:rPr>
                            </m:ctrlPr>
                          </m:dPr>
                          <m:e>
                            <m:r>
                              <a:rPr lang="en-AU" sz="1100" i="1">
                                <a:latin typeface="Cambria Math" panose="02040503050406030204" pitchFamily="18" charset="0"/>
                              </a:rPr>
                              <m:t>0.212−0.008×</m:t>
                            </m:r>
                            <m:d>
                              <m:dPr>
                                <m:ctrlPr>
                                  <a:rPr lang="en-AU" sz="1100" i="1">
                                    <a:latin typeface="Cambria Math" panose="02040503050406030204" pitchFamily="18" charset="0"/>
                                  </a:rPr>
                                </m:ctrlPr>
                              </m:dPr>
                              <m:e>
                                <m:sSub>
                                  <m:sSubPr>
                                    <m:ctrlPr>
                                      <a:rPr lang="en-AU" sz="1100" i="1">
                                        <a:latin typeface="Cambria Math" panose="02040503050406030204" pitchFamily="18" charset="0"/>
                                      </a:rPr>
                                    </m:ctrlPr>
                                  </m:sSubPr>
                                  <m:e>
                                    <m:r>
                                      <a:rPr lang="en-AU" sz="1100" i="1">
                                        <a:latin typeface="Cambria Math" panose="02040503050406030204" pitchFamily="18" charset="0"/>
                                      </a:rPr>
                                      <m:t>𝐿</m:t>
                                    </m:r>
                                  </m:e>
                                  <m:sub>
                                    <m:r>
                                      <a:rPr lang="en-AU" sz="1100" i="1">
                                        <a:latin typeface="Cambria Math" panose="02040503050406030204" pitchFamily="18" charset="0"/>
                                      </a:rPr>
                                      <m:t>𝑗</m:t>
                                    </m:r>
                                  </m:sub>
                                </m:sSub>
                                <m:r>
                                  <a:rPr lang="en-AU" sz="1100" i="1">
                                    <a:latin typeface="Cambria Math" panose="02040503050406030204" pitchFamily="18" charset="0"/>
                                  </a:rPr>
                                  <m:t>−2</m:t>
                                </m:r>
                              </m:e>
                            </m:d>
                            <m:r>
                              <a:rPr lang="en-AU" sz="1100" i="1">
                                <a:latin typeface="Cambria Math" panose="02040503050406030204" pitchFamily="18" charset="0"/>
                              </a:rPr>
                              <m:t>−</m:t>
                            </m:r>
                            <m:d>
                              <m:dPr>
                                <m:begChr m:val="["/>
                                <m:endChr m:val="]"/>
                                <m:ctrlPr>
                                  <a:rPr lang="en-AU" sz="1100" i="1">
                                    <a:latin typeface="Cambria Math" panose="02040503050406030204" pitchFamily="18" charset="0"/>
                                  </a:rPr>
                                </m:ctrlPr>
                              </m:dPr>
                              <m:e>
                                <m:f>
                                  <m:fPr>
                                    <m:ctrlPr>
                                      <a:rPr lang="en-AU" sz="1100" i="1">
                                        <a:latin typeface="Cambria Math" panose="02040503050406030204" pitchFamily="18" charset="0"/>
                                      </a:rPr>
                                    </m:ctrlPr>
                                  </m:fPr>
                                  <m:num>
                                    <m:r>
                                      <a:rPr lang="en-AU" sz="1100" i="1">
                                        <a:latin typeface="Cambria Math" panose="02040503050406030204" pitchFamily="18" charset="0"/>
                                      </a:rPr>
                                      <m:t>0.140−0.008×</m:t>
                                    </m:r>
                                    <m:d>
                                      <m:dPr>
                                        <m:ctrlPr>
                                          <a:rPr lang="en-AU" sz="1100" i="1">
                                            <a:latin typeface="Cambria Math" panose="02040503050406030204" pitchFamily="18" charset="0"/>
                                          </a:rPr>
                                        </m:ctrlPr>
                                      </m:dPr>
                                      <m:e>
                                        <m:sSub>
                                          <m:sSubPr>
                                            <m:ctrlPr>
                                              <a:rPr lang="en-AU" sz="1100" i="1">
                                                <a:latin typeface="Cambria Math" panose="02040503050406030204" pitchFamily="18" charset="0"/>
                                              </a:rPr>
                                            </m:ctrlPr>
                                          </m:sSubPr>
                                          <m:e>
                                            <m:r>
                                              <a:rPr lang="en-AU" sz="1100" i="1">
                                                <a:latin typeface="Cambria Math" panose="02040503050406030204" pitchFamily="18" charset="0"/>
                                              </a:rPr>
                                              <m:t>𝐿</m:t>
                                            </m:r>
                                          </m:e>
                                          <m:sub>
                                            <m:r>
                                              <a:rPr lang="en-AU" sz="1100" i="1">
                                                <a:latin typeface="Cambria Math" panose="02040503050406030204" pitchFamily="18" charset="0"/>
                                              </a:rPr>
                                              <m:t>𝑗</m:t>
                                            </m:r>
                                          </m:sub>
                                        </m:sSub>
                                        <m:r>
                                          <a:rPr lang="en-AU" sz="1100" i="1">
                                            <a:latin typeface="Cambria Math" panose="02040503050406030204" pitchFamily="18" charset="0"/>
                                          </a:rPr>
                                          <m:t>−2</m:t>
                                        </m:r>
                                      </m:e>
                                    </m:d>
                                  </m:num>
                                  <m:den>
                                    <m:r>
                                      <a:rPr lang="en-AU" sz="1100" i="1">
                                        <a:latin typeface="Cambria Math" panose="02040503050406030204" pitchFamily="18" charset="0"/>
                                      </a:rPr>
                                      <m:t>1+</m:t>
                                    </m:r>
                                    <m:sSup>
                                      <m:sSupPr>
                                        <m:ctrlPr>
                                          <a:rPr lang="en-AU" sz="1100" i="1">
                                            <a:latin typeface="Cambria Math" panose="02040503050406030204" pitchFamily="18" charset="0"/>
                                          </a:rPr>
                                        </m:ctrlPr>
                                      </m:sSupPr>
                                      <m:e>
                                        <m:r>
                                          <a:rPr lang="en-AU" sz="1100" i="1">
                                            <a:latin typeface="Cambria Math" panose="02040503050406030204" pitchFamily="18" charset="0"/>
                                          </a:rPr>
                                          <m:t>𝑒</m:t>
                                        </m:r>
                                      </m:e>
                                      <m:sup>
                                        <m:r>
                                          <a:rPr lang="en-AU" sz="1100" i="1">
                                            <a:latin typeface="Cambria Math" panose="02040503050406030204" pitchFamily="18" charset="0"/>
                                          </a:rPr>
                                          <m:t>−6×</m:t>
                                        </m:r>
                                        <m:d>
                                          <m:dPr>
                                            <m:ctrlPr>
                                              <a:rPr lang="en-AU" sz="1100" i="1">
                                                <a:latin typeface="Cambria Math" panose="02040503050406030204" pitchFamily="18" charset="0"/>
                                              </a:rPr>
                                            </m:ctrlPr>
                                          </m:dPr>
                                          <m:e>
                                            <m:sSub>
                                              <m:sSubPr>
                                                <m:ctrlPr>
                                                  <a:rPr lang="en-AU" sz="1100" i="1">
                                                    <a:latin typeface="Cambria Math" panose="02040503050406030204" pitchFamily="18" charset="0"/>
                                                  </a:rPr>
                                                </m:ctrlPr>
                                              </m:sSubPr>
                                              <m:e>
                                                <m:r>
                                                  <a:rPr lang="en-AU" sz="1100" i="1">
                                                    <a:latin typeface="Cambria Math" panose="02040503050406030204" pitchFamily="18" charset="0"/>
                                                  </a:rPr>
                                                  <m:t>𝑍</m:t>
                                                </m:r>
                                              </m:e>
                                              <m:sub>
                                                <m:r>
                                                  <a:rPr lang="en-AU" sz="1100" i="1">
                                                    <a:latin typeface="Cambria Math" panose="02040503050406030204" pitchFamily="18" charset="0"/>
                                                  </a:rPr>
                                                  <m:t>𝑗</m:t>
                                                </m:r>
                                              </m:sub>
                                            </m:sSub>
                                            <m:r>
                                              <a:rPr lang="en-AU" sz="1100" i="1">
                                                <a:latin typeface="Cambria Math" panose="02040503050406030204" pitchFamily="18" charset="0"/>
                                              </a:rPr>
                                              <m:t>−0.4</m:t>
                                            </m:r>
                                          </m:e>
                                        </m:d>
                                      </m:sup>
                                    </m:sSup>
                                  </m:den>
                                </m:f>
                              </m:e>
                            </m:d>
                          </m:e>
                        </m:d>
                        <m:r>
                          <a:rPr lang="en-AU" sz="1100" i="1">
                            <a:latin typeface="Cambria Math" panose="02040503050406030204" pitchFamily="18" charset="0"/>
                          </a:rPr>
                          <m:t>×</m:t>
                        </m:r>
                        <m:d>
                          <m:dPr>
                            <m:ctrlPr>
                              <a:rPr lang="en-AU" sz="1100" i="1">
                                <a:latin typeface="Cambria Math" panose="02040503050406030204" pitchFamily="18" charset="0"/>
                              </a:rPr>
                            </m:ctrlPr>
                          </m:dPr>
                          <m:e>
                            <m:r>
                              <a:rPr lang="en-AU" sz="1100" i="1">
                                <a:latin typeface="Cambria Math" panose="02040503050406030204" pitchFamily="18" charset="0"/>
                              </a:rPr>
                              <m:t>𝐿𝑊</m:t>
                            </m:r>
                            <m:sSub>
                              <m:sSubPr>
                                <m:ctrlPr>
                                  <a:rPr lang="en-AU" sz="1100" i="1">
                                    <a:latin typeface="Cambria Math" panose="02040503050406030204" pitchFamily="18" charset="0"/>
                                  </a:rPr>
                                </m:ctrlPr>
                              </m:sSubPr>
                              <m:e>
                                <m:r>
                                  <a:rPr lang="en-AU" sz="1100" i="1">
                                    <a:latin typeface="Cambria Math" panose="02040503050406030204" pitchFamily="18" charset="0"/>
                                  </a:rPr>
                                  <m:t>𝐺</m:t>
                                </m:r>
                              </m:e>
                              <m:sub>
                                <m:r>
                                  <a:rPr lang="en-AU" sz="1100" i="1">
                                    <a:latin typeface="Cambria Math" panose="02040503050406030204" pitchFamily="18" charset="0"/>
                                  </a:rPr>
                                  <m:t>𝑗</m:t>
                                </m:r>
                              </m:sub>
                            </m:sSub>
                            <m:r>
                              <a:rPr lang="en-AU" sz="1100" i="1">
                                <a:latin typeface="Cambria Math" panose="02040503050406030204" pitchFamily="18" charset="0"/>
                              </a:rPr>
                              <m:t>×0.92</m:t>
                            </m:r>
                          </m:e>
                        </m:d>
                      </m:e>
                    </m:d>
                    <m:r>
                      <a:rPr lang="en-AU" sz="1100" i="1">
                        <a:latin typeface="Cambria Math" panose="02040503050406030204" pitchFamily="18" charset="0"/>
                      </a:rPr>
                      <m:t>×</m:t>
                    </m:r>
                    <m:f>
                      <m:fPr>
                        <m:ctrlPr>
                          <a:rPr lang="en-AU" sz="1100" i="1">
                            <a:latin typeface="Cambria Math" panose="02040503050406030204" pitchFamily="18" charset="0"/>
                          </a:rPr>
                        </m:ctrlPr>
                      </m:fPr>
                      <m:num>
                        <m:r>
                          <a:rPr lang="en-AU" sz="1100" i="1">
                            <a:latin typeface="Cambria Math" panose="02040503050406030204" pitchFamily="18" charset="0"/>
                          </a:rPr>
                          <m:t>1</m:t>
                        </m:r>
                      </m:num>
                      <m:den>
                        <m:r>
                          <a:rPr lang="en-AU" sz="1100" i="1">
                            <a:latin typeface="Cambria Math" panose="02040503050406030204" pitchFamily="18" charset="0"/>
                          </a:rPr>
                          <m:t>6.25</m:t>
                        </m:r>
                      </m:den>
                    </m:f>
                  </m:oMath>
                </m:oMathPara>
              </a14:m>
              <a:endParaRPr lang="en-AU" sz="1100"/>
            </a:p>
          </xdr:txBody>
        </xdr:sp>
      </mc:Choice>
      <mc:Fallback xmlns="">
        <xdr:sp macro="" textlink="">
          <xdr:nvSpPr>
            <xdr:cNvPr id="18" name="TextBox 17">
              <a:extLst>
                <a:ext uri="{FF2B5EF4-FFF2-40B4-BE49-F238E27FC236}">
                  <a16:creationId xmlns:a16="http://schemas.microsoft.com/office/drawing/2014/main" id="{4551B19B-D856-1382-65D0-2C898FCEC22A}"/>
                </a:ext>
              </a:extLst>
            </xdr:cNvPr>
            <xdr:cNvSpPr txBox="1"/>
          </xdr:nvSpPr>
          <xdr:spPr>
            <a:xfrm>
              <a:off x="2686050" y="17806987"/>
              <a:ext cx="7038402" cy="397288"/>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r>
                <a:rPr lang="en-AU" sz="1100" i="0">
                  <a:latin typeface="Cambria Math" panose="02040503050406030204" pitchFamily="18" charset="0"/>
                </a:rPr>
                <a:t>𝑁𝑅_𝑗=((0.032×𝑀𝑃_𝑗×1.03)/6.38)+{(0.212−0.008×(𝐿_𝑗−2)−[(0.140−0.008×(𝐿_𝑗−2))/(1+𝑒^(−6×(𝑍_𝑗−0.4) ) )])×(𝐿𝑊𝐺_𝑗×0.92)}×1/6.25</a:t>
              </a:r>
            </a:p>
          </xdr:txBody>
        </xdr:sp>
      </mc:Fallback>
    </mc:AlternateContent>
    <xdr:clientData/>
  </xdr:oneCellAnchor>
  <xdr:oneCellAnchor>
    <xdr:from>
      <xdr:col>3</xdr:col>
      <xdr:colOff>85725</xdr:colOff>
      <xdr:row>102</xdr:row>
      <xdr:rowOff>147637</xdr:rowOff>
    </xdr:from>
    <xdr:ext cx="946413" cy="182871"/>
    <mc:AlternateContent xmlns:mc="http://schemas.openxmlformats.org/markup-compatibility/2006" xmlns:a14="http://schemas.microsoft.com/office/drawing/2010/main">
      <mc:Choice Requires="a14">
        <xdr:sp macro="" textlink="">
          <xdr:nvSpPr>
            <xdr:cNvPr id="22" name="TextBox 21">
              <a:extLst>
                <a:ext uri="{FF2B5EF4-FFF2-40B4-BE49-F238E27FC236}">
                  <a16:creationId xmlns:a16="http://schemas.microsoft.com/office/drawing/2014/main" id="{D25A724A-12E6-5DED-7CD9-F1182C7BC417}"/>
                </a:ext>
              </a:extLst>
            </xdr:cNvPr>
            <xdr:cNvSpPr txBox="1"/>
          </xdr:nvSpPr>
          <xdr:spPr>
            <a:xfrm>
              <a:off x="2762250" y="25541287"/>
              <a:ext cx="946413" cy="18287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r>
                      <a:rPr lang="en-AU" sz="1100" i="1">
                        <a:latin typeface="Cambria Math" panose="02040503050406030204" pitchFamily="18" charset="0"/>
                      </a:rPr>
                      <m:t>𝐶𝑃</m:t>
                    </m:r>
                    <m:sSub>
                      <m:sSubPr>
                        <m:ctrlPr>
                          <a:rPr lang="en-AU" sz="1100" i="1">
                            <a:latin typeface="Cambria Math" panose="02040503050406030204" pitchFamily="18" charset="0"/>
                          </a:rPr>
                        </m:ctrlPr>
                      </m:sSubPr>
                      <m:e>
                        <m:r>
                          <a:rPr lang="en-AU" sz="1100" i="1">
                            <a:latin typeface="Cambria Math" panose="02040503050406030204" pitchFamily="18" charset="0"/>
                          </a:rPr>
                          <m:t>𝐼</m:t>
                        </m:r>
                      </m:e>
                      <m:sub>
                        <m:r>
                          <a:rPr lang="en-AU" sz="1100" i="1">
                            <a:latin typeface="Cambria Math" panose="02040503050406030204" pitchFamily="18" charset="0"/>
                          </a:rPr>
                          <m:t>𝑗</m:t>
                        </m:r>
                      </m:sub>
                    </m:sSub>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𝐼</m:t>
                        </m:r>
                      </m:e>
                      <m:sub>
                        <m:r>
                          <a:rPr lang="en-AU" sz="1100" i="1">
                            <a:latin typeface="Cambria Math" panose="02040503050406030204" pitchFamily="18" charset="0"/>
                          </a:rPr>
                          <m:t>𝑗</m:t>
                        </m:r>
                      </m:sub>
                    </m:sSub>
                    <m:r>
                      <a:rPr lang="en-AU" sz="1100" i="1">
                        <a:latin typeface="Cambria Math" panose="02040503050406030204" pitchFamily="18" charset="0"/>
                      </a:rPr>
                      <m:t>×</m:t>
                    </m:r>
                    <m:r>
                      <a:rPr lang="en-AU" sz="1100" i="1">
                        <a:latin typeface="Cambria Math" panose="02040503050406030204" pitchFamily="18" charset="0"/>
                      </a:rPr>
                      <m:t>𝐶</m:t>
                    </m:r>
                    <m:sSub>
                      <m:sSubPr>
                        <m:ctrlPr>
                          <a:rPr lang="en-AU" sz="1100" i="1">
                            <a:latin typeface="Cambria Math" panose="02040503050406030204" pitchFamily="18" charset="0"/>
                          </a:rPr>
                        </m:ctrlPr>
                      </m:sSubPr>
                      <m:e>
                        <m:r>
                          <a:rPr lang="en-AU" sz="1100" i="1">
                            <a:latin typeface="Cambria Math" panose="02040503050406030204" pitchFamily="18" charset="0"/>
                          </a:rPr>
                          <m:t>𝑃</m:t>
                        </m:r>
                      </m:e>
                      <m:sub>
                        <m:r>
                          <a:rPr lang="en-AU" sz="1100" i="1">
                            <a:latin typeface="Cambria Math" panose="02040503050406030204" pitchFamily="18" charset="0"/>
                          </a:rPr>
                          <m:t>𝑗</m:t>
                        </m:r>
                      </m:sub>
                    </m:sSub>
                  </m:oMath>
                </m:oMathPara>
              </a14:m>
              <a:endParaRPr lang="en-AU" sz="1100"/>
            </a:p>
          </xdr:txBody>
        </xdr:sp>
      </mc:Choice>
      <mc:Fallback xmlns="">
        <xdr:sp macro="" textlink="">
          <xdr:nvSpPr>
            <xdr:cNvPr id="22" name="TextBox 21">
              <a:extLst>
                <a:ext uri="{FF2B5EF4-FFF2-40B4-BE49-F238E27FC236}">
                  <a16:creationId xmlns:a16="http://schemas.microsoft.com/office/drawing/2014/main" id="{D25A724A-12E6-5DED-7CD9-F1182C7BC417}"/>
                </a:ext>
              </a:extLst>
            </xdr:cNvPr>
            <xdr:cNvSpPr txBox="1"/>
          </xdr:nvSpPr>
          <xdr:spPr>
            <a:xfrm>
              <a:off x="2762250" y="25541287"/>
              <a:ext cx="946413" cy="18287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r>
                <a:rPr lang="en-AU" sz="1100" i="0">
                  <a:latin typeface="Cambria Math" panose="02040503050406030204" pitchFamily="18" charset="0"/>
                </a:rPr>
                <a:t>𝐶𝑃𝐼_𝑗=𝐼_𝑗×𝐶𝑃_𝑗</a:t>
              </a:r>
              <a:endParaRPr lang="en-AU" sz="1100"/>
            </a:p>
          </xdr:txBody>
        </xdr:sp>
      </mc:Fallback>
    </mc:AlternateContent>
    <xdr:clientData/>
  </xdr:oneCellAnchor>
  <xdr:oneCellAnchor>
    <xdr:from>
      <xdr:col>3</xdr:col>
      <xdr:colOff>28575</xdr:colOff>
      <xdr:row>125</xdr:row>
      <xdr:rowOff>119062</xdr:rowOff>
    </xdr:from>
    <xdr:ext cx="2719847" cy="413768"/>
    <mc:AlternateContent xmlns:mc="http://schemas.openxmlformats.org/markup-compatibility/2006" xmlns:a14="http://schemas.microsoft.com/office/drawing/2010/main">
      <mc:Choice Requires="a14">
        <xdr:sp macro="" textlink="">
          <xdr:nvSpPr>
            <xdr:cNvPr id="24" name="TextBox 23">
              <a:extLst>
                <a:ext uri="{FF2B5EF4-FFF2-40B4-BE49-F238E27FC236}">
                  <a16:creationId xmlns:a16="http://schemas.microsoft.com/office/drawing/2014/main" id="{C070E054-0365-2149-1F86-465BAFC26EBF}"/>
                </a:ext>
              </a:extLst>
            </xdr:cNvPr>
            <xdr:cNvSpPr txBox="1"/>
          </xdr:nvSpPr>
          <xdr:spPr>
            <a:xfrm>
              <a:off x="2705100" y="31208662"/>
              <a:ext cx="2719847" cy="413768"/>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r>
                      <a:rPr lang="en-AU" sz="1100" i="1">
                        <a:latin typeface="Cambria Math" panose="02040503050406030204" pitchFamily="18" charset="0"/>
                      </a:rPr>
                      <m:t>𝑁</m:t>
                    </m:r>
                    <m:sSub>
                      <m:sSubPr>
                        <m:ctrlPr>
                          <a:rPr lang="en-AU" sz="1100" i="1">
                            <a:latin typeface="Cambria Math" panose="02040503050406030204" pitchFamily="18" charset="0"/>
                          </a:rPr>
                        </m:ctrlPr>
                      </m:sSubPr>
                      <m:e>
                        <m:r>
                          <a:rPr lang="en-AU" sz="1100" i="1">
                            <a:latin typeface="Cambria Math" panose="02040503050406030204" pitchFamily="18" charset="0"/>
                          </a:rPr>
                          <m:t>𝐸</m:t>
                        </m:r>
                      </m:e>
                      <m:sub>
                        <m:r>
                          <a:rPr lang="en-AU" sz="1100" i="1">
                            <a:latin typeface="Cambria Math" panose="02040503050406030204" pitchFamily="18" charset="0"/>
                          </a:rPr>
                          <m:t>𝑗</m:t>
                        </m:r>
                      </m:sub>
                    </m:sSub>
                    <m:r>
                      <a:rPr lang="en-AU" sz="1100" i="1">
                        <a:latin typeface="Cambria Math" panose="02040503050406030204" pitchFamily="18" charset="0"/>
                      </a:rPr>
                      <m:t>=</m:t>
                    </m:r>
                    <m:d>
                      <m:dPr>
                        <m:ctrlPr>
                          <a:rPr lang="en-AU" sz="1100" i="1">
                            <a:latin typeface="Cambria Math" panose="02040503050406030204" pitchFamily="18" charset="0"/>
                          </a:rPr>
                        </m:ctrlPr>
                      </m:dPr>
                      <m:e>
                        <m:f>
                          <m:fPr>
                            <m:ctrlPr>
                              <a:rPr lang="en-AU" sz="1100" i="1">
                                <a:latin typeface="Cambria Math" panose="02040503050406030204" pitchFamily="18" charset="0"/>
                              </a:rPr>
                            </m:ctrlPr>
                          </m:fPr>
                          <m:num>
                            <m:r>
                              <a:rPr lang="en-AU" sz="1100" i="1">
                                <a:latin typeface="Cambria Math" panose="02040503050406030204" pitchFamily="18" charset="0"/>
                              </a:rPr>
                              <m:t>𝐶𝑃</m:t>
                            </m:r>
                            <m:sSub>
                              <m:sSubPr>
                                <m:ctrlPr>
                                  <a:rPr lang="en-AU" sz="1100" i="1">
                                    <a:latin typeface="Cambria Math" panose="02040503050406030204" pitchFamily="18" charset="0"/>
                                  </a:rPr>
                                </m:ctrlPr>
                              </m:sSubPr>
                              <m:e>
                                <m:r>
                                  <a:rPr lang="en-AU" sz="1100" i="1">
                                    <a:latin typeface="Cambria Math" panose="02040503050406030204" pitchFamily="18" charset="0"/>
                                  </a:rPr>
                                  <m:t>𝐼</m:t>
                                </m:r>
                              </m:e>
                              <m:sub>
                                <m:r>
                                  <a:rPr lang="en-AU" sz="1100" i="1">
                                    <a:latin typeface="Cambria Math" panose="02040503050406030204" pitchFamily="18" charset="0"/>
                                  </a:rPr>
                                  <m:t>𝑗</m:t>
                                </m:r>
                              </m:sub>
                            </m:sSub>
                          </m:num>
                          <m:den>
                            <m:r>
                              <a:rPr lang="en-AU" sz="1100" i="1">
                                <a:latin typeface="Cambria Math" panose="02040503050406030204" pitchFamily="18" charset="0"/>
                              </a:rPr>
                              <m:t>6.25</m:t>
                            </m:r>
                          </m:den>
                        </m:f>
                      </m:e>
                    </m:d>
                    <m:r>
                      <a:rPr lang="en-AU" sz="1100" i="1">
                        <a:latin typeface="Cambria Math" panose="02040503050406030204" pitchFamily="18" charset="0"/>
                      </a:rPr>
                      <m:t>−</m:t>
                    </m:r>
                    <m:r>
                      <a:rPr lang="en-AU" sz="1100" i="1">
                        <a:latin typeface="Cambria Math" panose="02040503050406030204" pitchFamily="18" charset="0"/>
                      </a:rPr>
                      <m:t>𝑁</m:t>
                    </m:r>
                    <m:sSub>
                      <m:sSubPr>
                        <m:ctrlPr>
                          <a:rPr lang="en-AU" sz="1100" i="1">
                            <a:latin typeface="Cambria Math" panose="02040503050406030204" pitchFamily="18" charset="0"/>
                          </a:rPr>
                        </m:ctrlPr>
                      </m:sSubPr>
                      <m:e>
                        <m:r>
                          <a:rPr lang="en-AU" sz="1100" i="1">
                            <a:latin typeface="Cambria Math" panose="02040503050406030204" pitchFamily="18" charset="0"/>
                          </a:rPr>
                          <m:t>𝑅</m:t>
                        </m:r>
                      </m:e>
                      <m:sub>
                        <m:r>
                          <a:rPr lang="en-AU" sz="1100" i="1">
                            <a:latin typeface="Cambria Math" panose="02040503050406030204" pitchFamily="18" charset="0"/>
                          </a:rPr>
                          <m:t>𝑗</m:t>
                        </m:r>
                      </m:sub>
                    </m:sSub>
                    <m:r>
                      <a:rPr lang="en-AU" sz="1100" i="1">
                        <a:latin typeface="Cambria Math" panose="02040503050406030204" pitchFamily="18" charset="0"/>
                      </a:rPr>
                      <m:t>−</m:t>
                    </m:r>
                    <m:d>
                      <m:dPr>
                        <m:begChr m:val="["/>
                        <m:endChr m:val="]"/>
                        <m:ctrlPr>
                          <a:rPr lang="en-AU" sz="1100" i="1">
                            <a:latin typeface="Cambria Math" panose="02040503050406030204" pitchFamily="18" charset="0"/>
                          </a:rPr>
                        </m:ctrlPr>
                      </m:dPr>
                      <m:e>
                        <m:f>
                          <m:fPr>
                            <m:ctrlPr>
                              <a:rPr lang="en-AU" sz="1100" i="1">
                                <a:latin typeface="Cambria Math" panose="02040503050406030204" pitchFamily="18" charset="0"/>
                              </a:rPr>
                            </m:ctrlPr>
                          </m:fPr>
                          <m:num>
                            <m:r>
                              <a:rPr lang="en-AU" sz="1100" i="1">
                                <a:latin typeface="Cambria Math" panose="02040503050406030204" pitchFamily="18" charset="0"/>
                              </a:rPr>
                              <m:t>1.1×</m:t>
                            </m:r>
                            <m:sSup>
                              <m:sSupPr>
                                <m:ctrlPr>
                                  <a:rPr lang="en-AU" sz="1100" i="1">
                                    <a:latin typeface="Cambria Math" panose="02040503050406030204" pitchFamily="18" charset="0"/>
                                  </a:rPr>
                                </m:ctrlPr>
                              </m:sSupPr>
                              <m:e>
                                <m:r>
                                  <a:rPr lang="en-AU" sz="1100" i="1">
                                    <a:latin typeface="Cambria Math" panose="02040503050406030204" pitchFamily="18" charset="0"/>
                                  </a:rPr>
                                  <m:t>10</m:t>
                                </m:r>
                              </m:e>
                              <m:sup>
                                <m:r>
                                  <a:rPr lang="en-AU" sz="1100" i="1">
                                    <a:latin typeface="Cambria Math" panose="02040503050406030204" pitchFamily="18" charset="0"/>
                                  </a:rPr>
                                  <m:t>−4</m:t>
                                </m:r>
                              </m:sup>
                            </m:sSup>
                            <m:r>
                              <a:rPr lang="en-AU" sz="1100" i="1">
                                <a:latin typeface="Cambria Math" panose="02040503050406030204" pitchFamily="18" charset="0"/>
                              </a:rPr>
                              <m:t>×</m:t>
                            </m:r>
                            <m:sSubSup>
                              <m:sSubSupPr>
                                <m:ctrlPr>
                                  <a:rPr lang="en-AU" sz="1100" i="1">
                                    <a:latin typeface="Cambria Math" panose="02040503050406030204" pitchFamily="18" charset="0"/>
                                  </a:rPr>
                                </m:ctrlPr>
                              </m:sSubSupPr>
                              <m:e>
                                <m:r>
                                  <a:rPr lang="en-AU" sz="1100" i="1">
                                    <a:latin typeface="Cambria Math" panose="02040503050406030204" pitchFamily="18" charset="0"/>
                                  </a:rPr>
                                  <m:t>𝑊</m:t>
                                </m:r>
                              </m:e>
                              <m:sub>
                                <m:r>
                                  <a:rPr lang="en-AU" sz="1100" i="1">
                                    <a:latin typeface="Cambria Math" panose="02040503050406030204" pitchFamily="18" charset="0"/>
                                  </a:rPr>
                                  <m:t>𝑗</m:t>
                                </m:r>
                              </m:sub>
                              <m:sup>
                                <m:r>
                                  <a:rPr lang="en-AU" sz="1100" i="1">
                                    <a:latin typeface="Cambria Math" panose="02040503050406030204" pitchFamily="18" charset="0"/>
                                  </a:rPr>
                                  <m:t>0.75</m:t>
                                </m:r>
                              </m:sup>
                            </m:sSubSup>
                          </m:num>
                          <m:den>
                            <m:r>
                              <a:rPr lang="en-AU" sz="1100" i="1">
                                <a:latin typeface="Cambria Math" panose="02040503050406030204" pitchFamily="18" charset="0"/>
                              </a:rPr>
                              <m:t>6.25</m:t>
                            </m:r>
                          </m:den>
                        </m:f>
                      </m:e>
                    </m:d>
                  </m:oMath>
                </m:oMathPara>
              </a14:m>
              <a:endParaRPr lang="en-AU" sz="1100"/>
            </a:p>
          </xdr:txBody>
        </xdr:sp>
      </mc:Choice>
      <mc:Fallback xmlns="">
        <xdr:sp macro="" textlink="">
          <xdr:nvSpPr>
            <xdr:cNvPr id="24" name="TextBox 23">
              <a:extLst>
                <a:ext uri="{FF2B5EF4-FFF2-40B4-BE49-F238E27FC236}">
                  <a16:creationId xmlns:a16="http://schemas.microsoft.com/office/drawing/2014/main" id="{C070E054-0365-2149-1F86-465BAFC26EBF}"/>
                </a:ext>
              </a:extLst>
            </xdr:cNvPr>
            <xdr:cNvSpPr txBox="1"/>
          </xdr:nvSpPr>
          <xdr:spPr>
            <a:xfrm>
              <a:off x="2705100" y="31208662"/>
              <a:ext cx="2719847" cy="413768"/>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r>
                <a:rPr lang="en-AU" sz="1100" i="0">
                  <a:latin typeface="Cambria Math" panose="02040503050406030204" pitchFamily="18" charset="0"/>
                </a:rPr>
                <a:t>𝑁𝐸_𝑗=((𝐶𝑃𝐼_𝑗)/6.25)−𝑁𝑅_𝑗−[(1.1×10^(−4)×𝑊_𝑗^0.75)/6.25]</a:t>
              </a:r>
              <a:endParaRPr lang="en-AU" sz="1100"/>
            </a:p>
          </xdr:txBody>
        </xdr:sp>
      </mc:Fallback>
    </mc:AlternateContent>
    <xdr:clientData/>
  </xdr:oneCellAnchor>
  <xdr:oneCellAnchor>
    <xdr:from>
      <xdr:col>5</xdr:col>
      <xdr:colOff>1733550</xdr:colOff>
      <xdr:row>146</xdr:row>
      <xdr:rowOff>119062</xdr:rowOff>
    </xdr:from>
    <xdr:ext cx="3283528" cy="182871"/>
    <mc:AlternateContent xmlns:mc="http://schemas.openxmlformats.org/markup-compatibility/2006" xmlns:a14="http://schemas.microsoft.com/office/drawing/2010/main">
      <mc:Choice Requires="a14">
        <xdr:sp macro="" textlink="">
          <xdr:nvSpPr>
            <xdr:cNvPr id="25" name="TextBox 24">
              <a:extLst>
                <a:ext uri="{FF2B5EF4-FFF2-40B4-BE49-F238E27FC236}">
                  <a16:creationId xmlns:a16="http://schemas.microsoft.com/office/drawing/2014/main" id="{881600BC-97E9-11A9-0397-9DA995559046}"/>
                </a:ext>
              </a:extLst>
            </xdr:cNvPr>
            <xdr:cNvSpPr txBox="1"/>
          </xdr:nvSpPr>
          <xdr:spPr>
            <a:xfrm>
              <a:off x="8505825" y="36161662"/>
              <a:ext cx="3283528" cy="18287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r>
                <a:rPr lang="en-AU" sz="1100">
                  <a:solidFill>
                    <a:srgbClr val="C44340"/>
                  </a:solidFill>
                </a:rPr>
                <a:t>Original equation</a:t>
              </a:r>
              <a:r>
                <a:rPr lang="en-AU" sz="1100"/>
                <a:t>: </a:t>
              </a:r>
              <a14:m>
                <m:oMath xmlns:m="http://schemas.openxmlformats.org/officeDocument/2006/math">
                  <m:r>
                    <a:rPr lang="en-AU" sz="1100" i="1">
                      <a:latin typeface="Cambria Math" panose="02040503050406030204" pitchFamily="18" charset="0"/>
                    </a:rPr>
                    <m:t>𝐴</m:t>
                  </m:r>
                  <m:sSub>
                    <m:sSubPr>
                      <m:ctrlPr>
                        <a:rPr lang="en-AU" sz="1100" i="1">
                          <a:latin typeface="Cambria Math" panose="02040503050406030204" pitchFamily="18" charset="0"/>
                        </a:rPr>
                      </m:ctrlPr>
                    </m:sSubPr>
                    <m:e>
                      <m:r>
                        <a:rPr lang="en-AU" sz="1100" i="1">
                          <a:latin typeface="Cambria Math" panose="02040503050406030204" pitchFamily="18" charset="0"/>
                        </a:rPr>
                        <m:t>𝐸</m:t>
                      </m:r>
                    </m:e>
                    <m:sub>
                      <m:r>
                        <a:rPr lang="en-AU" sz="1100" i="1">
                          <a:latin typeface="Cambria Math" panose="02040503050406030204" pitchFamily="18" charset="0"/>
                        </a:rPr>
                        <m:t>𝑗</m:t>
                      </m:r>
                      <m:r>
                        <a:rPr lang="en-AU" sz="1100" i="1">
                          <a:latin typeface="Cambria Math" panose="02040503050406030204" pitchFamily="18" charset="0"/>
                        </a:rPr>
                        <m:t>=1,2,4</m:t>
                      </m:r>
                    </m:sub>
                  </m:sSub>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𝑁</m:t>
                      </m:r>
                    </m:e>
                    <m:sub>
                      <m:r>
                        <a:rPr lang="en-AU" sz="1100" i="1">
                          <a:latin typeface="Cambria Math" panose="02040503050406030204" pitchFamily="18" charset="0"/>
                        </a:rPr>
                        <m:t>𝑗</m:t>
                      </m:r>
                      <m:r>
                        <a:rPr lang="en-AU" sz="1100" i="1">
                          <a:latin typeface="Cambria Math" panose="02040503050406030204" pitchFamily="18" charset="0"/>
                        </a:rPr>
                        <m:t>=1,2,4</m:t>
                      </m:r>
                    </m:sub>
                  </m:sSub>
                  <m:r>
                    <a:rPr lang="en-AU" sz="1100" i="1">
                      <a:latin typeface="Cambria Math" panose="02040503050406030204" pitchFamily="18" charset="0"/>
                    </a:rPr>
                    <m:t>×</m:t>
                  </m:r>
                  <m:r>
                    <a:rPr lang="en-AU" sz="1100" i="1">
                      <a:latin typeface="Cambria Math" panose="02040503050406030204" pitchFamily="18" charset="0"/>
                    </a:rPr>
                    <m:t>𝑁</m:t>
                  </m:r>
                  <m:sSub>
                    <m:sSubPr>
                      <m:ctrlPr>
                        <a:rPr lang="en-AU" sz="1100" i="1">
                          <a:latin typeface="Cambria Math" panose="02040503050406030204" pitchFamily="18" charset="0"/>
                        </a:rPr>
                      </m:ctrlPr>
                    </m:sSubPr>
                    <m:e>
                      <m:r>
                        <a:rPr lang="en-AU" sz="1100" i="1">
                          <a:latin typeface="Cambria Math" panose="02040503050406030204" pitchFamily="18" charset="0"/>
                        </a:rPr>
                        <m:t>𝐸</m:t>
                      </m:r>
                    </m:e>
                    <m:sub>
                      <m:r>
                        <a:rPr lang="en-AU" sz="1100" i="1">
                          <a:latin typeface="Cambria Math" panose="02040503050406030204" pitchFamily="18" charset="0"/>
                        </a:rPr>
                        <m:t>𝑗</m:t>
                      </m:r>
                      <m:r>
                        <a:rPr lang="en-AU" sz="1100" i="1">
                          <a:latin typeface="Cambria Math" panose="02040503050406030204" pitchFamily="18" charset="0"/>
                        </a:rPr>
                        <m:t>=1,2,4</m:t>
                      </m:r>
                    </m:sub>
                  </m:sSub>
                  <m:r>
                    <a:rPr lang="en-AU" sz="1100" i="1">
                      <a:latin typeface="Cambria Math" panose="02040503050406030204" pitchFamily="18" charset="0"/>
                    </a:rPr>
                    <m:t>×365</m:t>
                  </m:r>
                </m:oMath>
              </a14:m>
              <a:endParaRPr lang="en-AU" sz="1100"/>
            </a:p>
          </xdr:txBody>
        </xdr:sp>
      </mc:Choice>
      <mc:Fallback xmlns="">
        <xdr:sp macro="" textlink="">
          <xdr:nvSpPr>
            <xdr:cNvPr id="25" name="TextBox 24">
              <a:extLst>
                <a:ext uri="{FF2B5EF4-FFF2-40B4-BE49-F238E27FC236}">
                  <a16:creationId xmlns:a16="http://schemas.microsoft.com/office/drawing/2014/main" id="{881600BC-97E9-11A9-0397-9DA995559046}"/>
                </a:ext>
              </a:extLst>
            </xdr:cNvPr>
            <xdr:cNvSpPr txBox="1"/>
          </xdr:nvSpPr>
          <xdr:spPr>
            <a:xfrm>
              <a:off x="8505825" y="36161662"/>
              <a:ext cx="3283528" cy="18287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r>
                <a:rPr lang="en-AU" sz="1100">
                  <a:solidFill>
                    <a:srgbClr val="C44340"/>
                  </a:solidFill>
                </a:rPr>
                <a:t>Original equation</a:t>
              </a:r>
              <a:r>
                <a:rPr lang="en-AU" sz="1100"/>
                <a:t>: </a:t>
              </a:r>
              <a:r>
                <a:rPr lang="en-AU" sz="1100" i="0">
                  <a:latin typeface="Cambria Math" panose="02040503050406030204" pitchFamily="18" charset="0"/>
                </a:rPr>
                <a:t>𝐴𝐸_(𝑗=1,2,4)=𝑁_(𝑗=1,2,4)×𝑁𝐸_(𝑗=1,2,4)×365</a:t>
              </a:r>
              <a:endParaRPr lang="en-AU" sz="1100"/>
            </a:p>
          </xdr:txBody>
        </xdr:sp>
      </mc:Fallback>
    </mc:AlternateContent>
    <xdr:clientData/>
  </xdr:oneCellAnchor>
  <xdr:oneCellAnchor>
    <xdr:from>
      <xdr:col>3</xdr:col>
      <xdr:colOff>28575</xdr:colOff>
      <xdr:row>146</xdr:row>
      <xdr:rowOff>138112</xdr:rowOff>
    </xdr:from>
    <xdr:ext cx="2449453" cy="182871"/>
    <mc:AlternateContent xmlns:mc="http://schemas.openxmlformats.org/markup-compatibility/2006" xmlns:a14="http://schemas.microsoft.com/office/drawing/2010/main">
      <mc:Choice Requires="a14">
        <xdr:sp macro="" textlink="">
          <xdr:nvSpPr>
            <xdr:cNvPr id="26" name="TextBox 25">
              <a:extLst>
                <a:ext uri="{FF2B5EF4-FFF2-40B4-BE49-F238E27FC236}">
                  <a16:creationId xmlns:a16="http://schemas.microsoft.com/office/drawing/2014/main" id="{3E8CF4A6-B0EE-3ADF-4E58-4EE3ACB7BB52}"/>
                </a:ext>
              </a:extLst>
            </xdr:cNvPr>
            <xdr:cNvSpPr txBox="1"/>
          </xdr:nvSpPr>
          <xdr:spPr>
            <a:xfrm>
              <a:off x="2705100" y="36180712"/>
              <a:ext cx="2449453" cy="18287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r>
                      <a:rPr lang="en-AU" sz="1100" i="1">
                        <a:latin typeface="Cambria Math" panose="02040503050406030204" pitchFamily="18" charset="0"/>
                      </a:rPr>
                      <m:t>𝐴</m:t>
                    </m:r>
                    <m:sSub>
                      <m:sSubPr>
                        <m:ctrlPr>
                          <a:rPr lang="en-AU" sz="1100" i="1">
                            <a:latin typeface="Cambria Math" panose="02040503050406030204" pitchFamily="18" charset="0"/>
                          </a:rPr>
                        </m:ctrlPr>
                      </m:sSubPr>
                      <m:e>
                        <m:r>
                          <a:rPr lang="en-AU" sz="1100" i="1">
                            <a:latin typeface="Cambria Math" panose="02040503050406030204" pitchFamily="18" charset="0"/>
                          </a:rPr>
                          <m:t>𝐸</m:t>
                        </m:r>
                      </m:e>
                      <m:sub>
                        <m:r>
                          <a:rPr lang="en-AU" sz="1100" i="1">
                            <a:latin typeface="Cambria Math" panose="02040503050406030204" pitchFamily="18" charset="0"/>
                          </a:rPr>
                          <m:t>𝑗</m:t>
                        </m:r>
                        <m:r>
                          <a:rPr lang="en-AU" sz="1100" i="1">
                            <a:latin typeface="Cambria Math" panose="02040503050406030204" pitchFamily="18" charset="0"/>
                          </a:rPr>
                          <m:t>=1,2,4</m:t>
                        </m:r>
                      </m:sub>
                    </m:sSub>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𝑁</m:t>
                        </m:r>
                      </m:e>
                      <m:sub>
                        <m:r>
                          <a:rPr lang="en-AU" sz="1100" i="1">
                            <a:latin typeface="Cambria Math" panose="02040503050406030204" pitchFamily="18" charset="0"/>
                          </a:rPr>
                          <m:t>𝑗</m:t>
                        </m:r>
                        <m:r>
                          <a:rPr lang="en-AU" sz="1100" i="1">
                            <a:latin typeface="Cambria Math" panose="02040503050406030204" pitchFamily="18" charset="0"/>
                          </a:rPr>
                          <m:t>=1,2,4</m:t>
                        </m:r>
                      </m:sub>
                    </m:sSub>
                    <m:r>
                      <a:rPr lang="en-AU" sz="1100" i="1">
                        <a:latin typeface="Cambria Math" panose="02040503050406030204" pitchFamily="18" charset="0"/>
                      </a:rPr>
                      <m:t>×</m:t>
                    </m:r>
                    <m:r>
                      <a:rPr lang="en-AU" sz="1100" i="1">
                        <a:latin typeface="Cambria Math" panose="02040503050406030204" pitchFamily="18" charset="0"/>
                      </a:rPr>
                      <m:t>𝑁</m:t>
                    </m:r>
                    <m:sSub>
                      <m:sSubPr>
                        <m:ctrlPr>
                          <a:rPr lang="en-AU" sz="1100" i="1">
                            <a:latin typeface="Cambria Math" panose="02040503050406030204" pitchFamily="18" charset="0"/>
                          </a:rPr>
                        </m:ctrlPr>
                      </m:sSubPr>
                      <m:e>
                        <m:r>
                          <a:rPr lang="en-AU" sz="1100" i="1">
                            <a:latin typeface="Cambria Math" panose="02040503050406030204" pitchFamily="18" charset="0"/>
                          </a:rPr>
                          <m:t>𝐸</m:t>
                        </m:r>
                      </m:e>
                      <m:sub>
                        <m:r>
                          <a:rPr lang="en-AU" sz="1100" i="1">
                            <a:latin typeface="Cambria Math" panose="02040503050406030204" pitchFamily="18" charset="0"/>
                          </a:rPr>
                          <m:t>𝑗</m:t>
                        </m:r>
                        <m:r>
                          <a:rPr lang="en-AU" sz="1100" i="1">
                            <a:latin typeface="Cambria Math" panose="02040503050406030204" pitchFamily="18" charset="0"/>
                          </a:rPr>
                          <m:t>=1,2,4</m:t>
                        </m:r>
                      </m:sub>
                    </m:sSub>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𝐷</m:t>
                        </m:r>
                      </m:e>
                      <m:sub>
                        <m:r>
                          <a:rPr lang="en-AU" sz="1100" i="1">
                            <a:latin typeface="Cambria Math" panose="02040503050406030204" pitchFamily="18" charset="0"/>
                          </a:rPr>
                          <m:t>𝑗</m:t>
                        </m:r>
                        <m:r>
                          <a:rPr lang="en-AU" sz="1100" i="1">
                            <a:latin typeface="Cambria Math" panose="02040503050406030204" pitchFamily="18" charset="0"/>
                          </a:rPr>
                          <m:t>=1,2,4</m:t>
                        </m:r>
                      </m:sub>
                    </m:sSub>
                  </m:oMath>
                </m:oMathPara>
              </a14:m>
              <a:endParaRPr lang="en-AU" sz="1100"/>
            </a:p>
          </xdr:txBody>
        </xdr:sp>
      </mc:Choice>
      <mc:Fallback xmlns="">
        <xdr:sp macro="" textlink="">
          <xdr:nvSpPr>
            <xdr:cNvPr id="26" name="TextBox 25">
              <a:extLst>
                <a:ext uri="{FF2B5EF4-FFF2-40B4-BE49-F238E27FC236}">
                  <a16:creationId xmlns:a16="http://schemas.microsoft.com/office/drawing/2014/main" id="{3E8CF4A6-B0EE-3ADF-4E58-4EE3ACB7BB52}"/>
                </a:ext>
              </a:extLst>
            </xdr:cNvPr>
            <xdr:cNvSpPr txBox="1"/>
          </xdr:nvSpPr>
          <xdr:spPr>
            <a:xfrm>
              <a:off x="2705100" y="36180712"/>
              <a:ext cx="2449453" cy="18287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r>
                <a:rPr lang="en-AU" sz="1100" i="0">
                  <a:latin typeface="Cambria Math" panose="02040503050406030204" pitchFamily="18" charset="0"/>
                </a:rPr>
                <a:t>𝐴𝐸_(𝑗=1,2,4)=𝑁_(𝑗=1,2,4)×𝑁𝐸_(𝑗=1,2,4)×𝐷_(𝑗=1,2,4)</a:t>
              </a:r>
              <a:endParaRPr lang="en-AU" sz="1100"/>
            </a:p>
          </xdr:txBody>
        </xdr:sp>
      </mc:Fallback>
    </mc:AlternateContent>
    <xdr:clientData/>
  </xdr:oneCellAnchor>
  <xdr:oneCellAnchor>
    <xdr:from>
      <xdr:col>5</xdr:col>
      <xdr:colOff>1485900</xdr:colOff>
      <xdr:row>176</xdr:row>
      <xdr:rowOff>128587</xdr:rowOff>
    </xdr:from>
    <xdr:ext cx="4867936" cy="194990"/>
    <mc:AlternateContent xmlns:mc="http://schemas.openxmlformats.org/markup-compatibility/2006" xmlns:a14="http://schemas.microsoft.com/office/drawing/2010/main">
      <mc:Choice Requires="a14">
        <xdr:sp macro="" textlink="">
          <xdr:nvSpPr>
            <xdr:cNvPr id="27" name="TextBox 26">
              <a:extLst>
                <a:ext uri="{FF2B5EF4-FFF2-40B4-BE49-F238E27FC236}">
                  <a16:creationId xmlns:a16="http://schemas.microsoft.com/office/drawing/2014/main" id="{8D1BBEBF-A436-DDDF-F2D4-F5BF51FB4DDD}"/>
                </a:ext>
              </a:extLst>
            </xdr:cNvPr>
            <xdr:cNvSpPr txBox="1"/>
          </xdr:nvSpPr>
          <xdr:spPr>
            <a:xfrm>
              <a:off x="8258175" y="43848337"/>
              <a:ext cx="4867936" cy="19499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r>
                <a:rPr lang="en-AU" sz="1100">
                  <a:solidFill>
                    <a:srgbClr val="C44340"/>
                  </a:solidFill>
                </a:rPr>
                <a:t>Original equation: </a:t>
              </a:r>
              <a14:m>
                <m:oMath xmlns:m="http://schemas.openxmlformats.org/officeDocument/2006/math">
                  <m:r>
                    <a:rPr lang="en-AU" sz="1100" i="1">
                      <a:latin typeface="Cambria Math" panose="02040503050406030204" pitchFamily="18" charset="0"/>
                    </a:rPr>
                    <m:t>𝐴</m:t>
                  </m:r>
                  <m:sSub>
                    <m:sSubPr>
                      <m:ctrlPr>
                        <a:rPr lang="en-AU" sz="1100" i="1">
                          <a:latin typeface="Cambria Math" panose="02040503050406030204" pitchFamily="18" charset="0"/>
                        </a:rPr>
                      </m:ctrlPr>
                    </m:sSubPr>
                    <m:e>
                      <m:r>
                        <a:rPr lang="en-AU" sz="1100" i="1">
                          <a:latin typeface="Cambria Math" panose="02040503050406030204" pitchFamily="18" charset="0"/>
                        </a:rPr>
                        <m:t>𝐸</m:t>
                      </m:r>
                    </m:e>
                    <m:sub>
                      <m:r>
                        <a:rPr lang="en-AU" sz="1100" i="1">
                          <a:latin typeface="Cambria Math" panose="02040503050406030204" pitchFamily="18" charset="0"/>
                        </a:rPr>
                        <m:t>𝑗</m:t>
                      </m:r>
                      <m:r>
                        <a:rPr lang="en-AU" sz="1100" i="1">
                          <a:latin typeface="Cambria Math" panose="02040503050406030204" pitchFamily="18" charset="0"/>
                        </a:rPr>
                        <m:t>=3,5</m:t>
                      </m:r>
                    </m:sub>
                  </m:sSub>
                  <m:r>
                    <a:rPr lang="en-AU" sz="1100" i="1">
                      <a:latin typeface="Cambria Math" panose="02040503050406030204" pitchFamily="18" charset="0"/>
                    </a:rPr>
                    <m:t>=</m:t>
                  </m:r>
                  <m:d>
                    <m:dPr>
                      <m:ctrlPr>
                        <a:rPr lang="en-AU" sz="1100" i="1">
                          <a:latin typeface="Cambria Math" panose="02040503050406030204" pitchFamily="18" charset="0"/>
                        </a:rPr>
                      </m:ctrlPr>
                    </m:dPr>
                    <m:e>
                      <m:sSub>
                        <m:sSubPr>
                          <m:ctrlPr>
                            <a:rPr lang="en-AU" sz="1100" i="1">
                              <a:latin typeface="Cambria Math" panose="02040503050406030204" pitchFamily="18" charset="0"/>
                            </a:rPr>
                          </m:ctrlPr>
                        </m:sSubPr>
                        <m:e>
                          <m:r>
                            <a:rPr lang="en-AU" sz="1100" i="1">
                              <a:latin typeface="Cambria Math" panose="02040503050406030204" pitchFamily="18" charset="0"/>
                            </a:rPr>
                            <m:t>𝑁</m:t>
                          </m:r>
                        </m:e>
                        <m:sub>
                          <m:r>
                            <a:rPr lang="en-AU" sz="1100" i="1">
                              <a:latin typeface="Cambria Math" panose="02040503050406030204" pitchFamily="18" charset="0"/>
                            </a:rPr>
                            <m:t>𝑗</m:t>
                          </m:r>
                          <m:r>
                            <a:rPr lang="en-AU" sz="1100" i="1">
                              <a:latin typeface="Cambria Math" panose="02040503050406030204" pitchFamily="18" charset="0"/>
                            </a:rPr>
                            <m:t>=3,5</m:t>
                          </m:r>
                        </m:sub>
                      </m:sSub>
                      <m:r>
                        <a:rPr lang="en-AU" sz="1100" i="1">
                          <a:latin typeface="Cambria Math" panose="02040503050406030204" pitchFamily="18" charset="0"/>
                        </a:rPr>
                        <m:t>×</m:t>
                      </m:r>
                      <m:r>
                        <a:rPr lang="en-AU" sz="1100" i="1">
                          <a:latin typeface="Cambria Math" panose="02040503050406030204" pitchFamily="18" charset="0"/>
                        </a:rPr>
                        <m:t>𝑁</m:t>
                      </m:r>
                      <m:sSub>
                        <m:sSubPr>
                          <m:ctrlPr>
                            <a:rPr lang="en-AU" sz="1100" i="1">
                              <a:latin typeface="Cambria Math" panose="02040503050406030204" pitchFamily="18" charset="0"/>
                            </a:rPr>
                          </m:ctrlPr>
                        </m:sSubPr>
                        <m:e>
                          <m:r>
                            <a:rPr lang="en-AU" sz="1100" i="1">
                              <a:latin typeface="Cambria Math" panose="02040503050406030204" pitchFamily="18" charset="0"/>
                            </a:rPr>
                            <m:t>𝐸</m:t>
                          </m:r>
                        </m:e>
                        <m:sub>
                          <m:r>
                            <a:rPr lang="en-AU" sz="1100" i="1">
                              <a:latin typeface="Cambria Math" panose="02040503050406030204" pitchFamily="18" charset="0"/>
                            </a:rPr>
                            <m:t>𝑗</m:t>
                          </m:r>
                          <m:r>
                            <a:rPr lang="en-AU" sz="1100" i="1">
                              <a:latin typeface="Cambria Math" panose="02040503050406030204" pitchFamily="18" charset="0"/>
                            </a:rPr>
                            <m:t>=3,5</m:t>
                          </m:r>
                        </m:sub>
                      </m:sSub>
                      <m:r>
                        <a:rPr lang="en-AU" sz="1100" i="1">
                          <a:latin typeface="Cambria Math" panose="02040503050406030204" pitchFamily="18" charset="0"/>
                        </a:rPr>
                        <m:t>×281</m:t>
                      </m:r>
                    </m:e>
                  </m:d>
                  <m:r>
                    <a:rPr lang="en-AU" sz="1100" i="1">
                      <a:latin typeface="Cambria Math" panose="02040503050406030204" pitchFamily="18" charset="0"/>
                    </a:rPr>
                    <m:t>+</m:t>
                  </m:r>
                  <m:d>
                    <m:dPr>
                      <m:ctrlPr>
                        <a:rPr lang="en-AU" sz="1100" i="1">
                          <a:latin typeface="Cambria Math" panose="02040503050406030204" pitchFamily="18" charset="0"/>
                        </a:rPr>
                      </m:ctrlPr>
                    </m:dPr>
                    <m:e>
                      <m:sSub>
                        <m:sSubPr>
                          <m:ctrlPr>
                            <a:rPr lang="en-AU" sz="1100" i="1">
                              <a:latin typeface="Cambria Math" panose="02040503050406030204" pitchFamily="18" charset="0"/>
                            </a:rPr>
                          </m:ctrlPr>
                        </m:sSubPr>
                        <m:e>
                          <m:r>
                            <a:rPr lang="en-AU" sz="1100" i="1">
                              <a:latin typeface="Cambria Math" panose="02040503050406030204" pitchFamily="18" charset="0"/>
                            </a:rPr>
                            <m:t>𝑁</m:t>
                          </m:r>
                        </m:e>
                        <m:sub>
                          <m:r>
                            <a:rPr lang="en-AU" sz="1100" i="1">
                              <a:latin typeface="Cambria Math" panose="02040503050406030204" pitchFamily="18" charset="0"/>
                            </a:rPr>
                            <m:t>𝑗</m:t>
                          </m:r>
                          <m:r>
                            <a:rPr lang="en-AU" sz="1100" i="1">
                              <a:latin typeface="Cambria Math" panose="02040503050406030204" pitchFamily="18" charset="0"/>
                            </a:rPr>
                            <m:t>=3,5</m:t>
                          </m:r>
                        </m:sub>
                      </m:sSub>
                      <m:r>
                        <a:rPr lang="en-AU" sz="1100" i="1">
                          <a:latin typeface="Cambria Math" panose="02040503050406030204" pitchFamily="18" charset="0"/>
                        </a:rPr>
                        <m:t>×</m:t>
                      </m:r>
                      <m:r>
                        <a:rPr lang="en-AU" sz="1100" i="1">
                          <a:latin typeface="Cambria Math" panose="02040503050406030204" pitchFamily="18" charset="0"/>
                        </a:rPr>
                        <m:t>𝑁𝑃</m:t>
                      </m:r>
                      <m:sSub>
                        <m:sSubPr>
                          <m:ctrlPr>
                            <a:rPr lang="en-AU" sz="1100" i="1">
                              <a:latin typeface="Cambria Math" panose="02040503050406030204" pitchFamily="18" charset="0"/>
                            </a:rPr>
                          </m:ctrlPr>
                        </m:sSubPr>
                        <m:e>
                          <m:r>
                            <a:rPr lang="en-AU" sz="1100" i="1">
                              <a:latin typeface="Cambria Math" panose="02040503050406030204" pitchFamily="18" charset="0"/>
                            </a:rPr>
                            <m:t>𝑊</m:t>
                          </m:r>
                        </m:e>
                        <m:sub>
                          <m:r>
                            <a:rPr lang="en-AU" sz="1100" i="1">
                              <a:latin typeface="Cambria Math" panose="02040503050406030204" pitchFamily="18" charset="0"/>
                            </a:rPr>
                            <m:t>𝑗</m:t>
                          </m:r>
                          <m:r>
                            <a:rPr lang="en-AU" sz="1100" i="1">
                              <a:latin typeface="Cambria Math" panose="02040503050406030204" pitchFamily="18" charset="0"/>
                            </a:rPr>
                            <m:t>=3,5</m:t>
                          </m:r>
                        </m:sub>
                      </m:sSub>
                      <m:r>
                        <a:rPr lang="en-AU" sz="1100" i="1">
                          <a:latin typeface="Cambria Math" panose="02040503050406030204" pitchFamily="18" charset="0"/>
                        </a:rPr>
                        <m:t>×84</m:t>
                      </m:r>
                    </m:e>
                  </m:d>
                </m:oMath>
              </a14:m>
              <a:endParaRPr lang="en-AU" sz="1100"/>
            </a:p>
          </xdr:txBody>
        </xdr:sp>
      </mc:Choice>
      <mc:Fallback xmlns="">
        <xdr:sp macro="" textlink="">
          <xdr:nvSpPr>
            <xdr:cNvPr id="27" name="TextBox 26">
              <a:extLst>
                <a:ext uri="{FF2B5EF4-FFF2-40B4-BE49-F238E27FC236}">
                  <a16:creationId xmlns:a16="http://schemas.microsoft.com/office/drawing/2014/main" id="{8D1BBEBF-A436-DDDF-F2D4-F5BF51FB4DDD}"/>
                </a:ext>
              </a:extLst>
            </xdr:cNvPr>
            <xdr:cNvSpPr txBox="1"/>
          </xdr:nvSpPr>
          <xdr:spPr>
            <a:xfrm>
              <a:off x="8258175" y="43848337"/>
              <a:ext cx="4867936" cy="19499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r>
                <a:rPr lang="en-AU" sz="1100">
                  <a:solidFill>
                    <a:srgbClr val="C44340"/>
                  </a:solidFill>
                </a:rPr>
                <a:t>Original equation: </a:t>
              </a:r>
              <a:r>
                <a:rPr lang="en-AU" sz="1100" i="0">
                  <a:latin typeface="Cambria Math" panose="02040503050406030204" pitchFamily="18" charset="0"/>
                </a:rPr>
                <a:t>𝐴𝐸_(𝑗=3,5)=(𝑁_(𝑗=3,5)×𝑁𝐸_(𝑗=3,5)×281)+(𝑁_(𝑗=3,5)×𝑁𝑃𝑊_(𝑗=3,5)×84)</a:t>
              </a:r>
              <a:endParaRPr lang="en-AU" sz="1100"/>
            </a:p>
          </xdr:txBody>
        </xdr:sp>
      </mc:Fallback>
    </mc:AlternateContent>
    <xdr:clientData/>
  </xdr:oneCellAnchor>
  <xdr:oneCellAnchor>
    <xdr:from>
      <xdr:col>3</xdr:col>
      <xdr:colOff>0</xdr:colOff>
      <xdr:row>176</xdr:row>
      <xdr:rowOff>138112</xdr:rowOff>
    </xdr:from>
    <xdr:ext cx="4361129" cy="194990"/>
    <mc:AlternateContent xmlns:mc="http://schemas.openxmlformats.org/markup-compatibility/2006" xmlns:a14="http://schemas.microsoft.com/office/drawing/2010/main">
      <mc:Choice Requires="a14">
        <xdr:sp macro="" textlink="">
          <xdr:nvSpPr>
            <xdr:cNvPr id="28" name="TextBox 27">
              <a:extLst>
                <a:ext uri="{FF2B5EF4-FFF2-40B4-BE49-F238E27FC236}">
                  <a16:creationId xmlns:a16="http://schemas.microsoft.com/office/drawing/2014/main" id="{906D419A-7447-EBE5-57D6-00449E021FDC}"/>
                </a:ext>
              </a:extLst>
            </xdr:cNvPr>
            <xdr:cNvSpPr txBox="1"/>
          </xdr:nvSpPr>
          <xdr:spPr>
            <a:xfrm>
              <a:off x="2676525" y="43857862"/>
              <a:ext cx="4361129" cy="19499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r>
                      <a:rPr lang="en-AU" sz="1100" i="1">
                        <a:latin typeface="Cambria Math" panose="02040503050406030204" pitchFamily="18" charset="0"/>
                      </a:rPr>
                      <m:t>𝐴</m:t>
                    </m:r>
                    <m:sSub>
                      <m:sSubPr>
                        <m:ctrlPr>
                          <a:rPr lang="en-AU" sz="1100" i="1">
                            <a:latin typeface="Cambria Math" panose="02040503050406030204" pitchFamily="18" charset="0"/>
                          </a:rPr>
                        </m:ctrlPr>
                      </m:sSubPr>
                      <m:e>
                        <m:r>
                          <a:rPr lang="en-AU" sz="1100" i="1">
                            <a:latin typeface="Cambria Math" panose="02040503050406030204" pitchFamily="18" charset="0"/>
                          </a:rPr>
                          <m:t>𝐸</m:t>
                        </m:r>
                      </m:e>
                      <m:sub>
                        <m:r>
                          <a:rPr lang="en-AU" sz="1100" i="1">
                            <a:latin typeface="Cambria Math" panose="02040503050406030204" pitchFamily="18" charset="0"/>
                          </a:rPr>
                          <m:t>𝑗</m:t>
                        </m:r>
                        <m:r>
                          <a:rPr lang="en-AU" sz="1100" i="1">
                            <a:latin typeface="Cambria Math" panose="02040503050406030204" pitchFamily="18" charset="0"/>
                          </a:rPr>
                          <m:t>=3,5</m:t>
                        </m:r>
                      </m:sub>
                    </m:sSub>
                    <m:r>
                      <a:rPr lang="en-AU" sz="1100" i="1">
                        <a:latin typeface="Cambria Math" panose="02040503050406030204" pitchFamily="18" charset="0"/>
                      </a:rPr>
                      <m:t>=</m:t>
                    </m:r>
                    <m:d>
                      <m:dPr>
                        <m:ctrlPr>
                          <a:rPr lang="en-AU" sz="1100" i="1">
                            <a:latin typeface="Cambria Math" panose="02040503050406030204" pitchFamily="18" charset="0"/>
                          </a:rPr>
                        </m:ctrlPr>
                      </m:dPr>
                      <m:e>
                        <m:sSub>
                          <m:sSubPr>
                            <m:ctrlPr>
                              <a:rPr lang="en-AU" sz="1100" i="1">
                                <a:latin typeface="Cambria Math" panose="02040503050406030204" pitchFamily="18" charset="0"/>
                              </a:rPr>
                            </m:ctrlPr>
                          </m:sSubPr>
                          <m:e>
                            <m:r>
                              <a:rPr lang="en-AU" sz="1100" i="1">
                                <a:latin typeface="Cambria Math" panose="02040503050406030204" pitchFamily="18" charset="0"/>
                              </a:rPr>
                              <m:t>𝑁</m:t>
                            </m:r>
                          </m:e>
                          <m:sub>
                            <m:r>
                              <a:rPr lang="en-AU" sz="1100" i="1">
                                <a:latin typeface="Cambria Math" panose="02040503050406030204" pitchFamily="18" charset="0"/>
                              </a:rPr>
                              <m:t>𝑗</m:t>
                            </m:r>
                            <m:r>
                              <a:rPr lang="en-AU" sz="1100" i="1">
                                <a:latin typeface="Cambria Math" panose="02040503050406030204" pitchFamily="18" charset="0"/>
                              </a:rPr>
                              <m:t>=3,5</m:t>
                            </m:r>
                          </m:sub>
                        </m:sSub>
                        <m:r>
                          <a:rPr lang="en-AU" sz="1100" i="1">
                            <a:latin typeface="Cambria Math" panose="02040503050406030204" pitchFamily="18" charset="0"/>
                          </a:rPr>
                          <m:t>×</m:t>
                        </m:r>
                        <m:r>
                          <a:rPr lang="en-AU" sz="1100" i="1">
                            <a:latin typeface="Cambria Math" panose="02040503050406030204" pitchFamily="18" charset="0"/>
                          </a:rPr>
                          <m:t>𝑁</m:t>
                        </m:r>
                        <m:sSub>
                          <m:sSubPr>
                            <m:ctrlPr>
                              <a:rPr lang="en-AU" sz="1100" i="1">
                                <a:latin typeface="Cambria Math" panose="02040503050406030204" pitchFamily="18" charset="0"/>
                              </a:rPr>
                            </m:ctrlPr>
                          </m:sSubPr>
                          <m:e>
                            <m:r>
                              <a:rPr lang="en-AU" sz="1100" i="1">
                                <a:latin typeface="Cambria Math" panose="02040503050406030204" pitchFamily="18" charset="0"/>
                              </a:rPr>
                              <m:t>𝐸</m:t>
                            </m:r>
                          </m:e>
                          <m:sub>
                            <m:r>
                              <a:rPr lang="en-AU" sz="1100" i="1">
                                <a:latin typeface="Cambria Math" panose="02040503050406030204" pitchFamily="18" charset="0"/>
                              </a:rPr>
                              <m:t>𝑗</m:t>
                            </m:r>
                            <m:r>
                              <a:rPr lang="en-AU" sz="1100" i="1">
                                <a:latin typeface="Cambria Math" panose="02040503050406030204" pitchFamily="18" charset="0"/>
                              </a:rPr>
                              <m:t>=3,5</m:t>
                            </m:r>
                          </m:sub>
                        </m:sSub>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𝐷</m:t>
                            </m:r>
                          </m:e>
                          <m:sub>
                            <m:r>
                              <a:rPr lang="en-AU" sz="1100" i="1">
                                <a:latin typeface="Cambria Math" panose="02040503050406030204" pitchFamily="18" charset="0"/>
                              </a:rPr>
                              <m:t>𝑗</m:t>
                            </m:r>
                            <m:r>
                              <a:rPr lang="en-AU" sz="1100" i="1">
                                <a:latin typeface="Cambria Math" panose="02040503050406030204" pitchFamily="18" charset="0"/>
                              </a:rPr>
                              <m:t>=3,5</m:t>
                            </m:r>
                          </m:sub>
                        </m:sSub>
                      </m:e>
                    </m:d>
                    <m:r>
                      <a:rPr lang="en-AU" sz="1100" i="1">
                        <a:latin typeface="Cambria Math" panose="02040503050406030204" pitchFamily="18" charset="0"/>
                      </a:rPr>
                      <m:t>+</m:t>
                    </m:r>
                    <m:d>
                      <m:dPr>
                        <m:ctrlPr>
                          <a:rPr lang="en-AU" sz="1100" i="1">
                            <a:latin typeface="Cambria Math" panose="02040503050406030204" pitchFamily="18" charset="0"/>
                          </a:rPr>
                        </m:ctrlPr>
                      </m:dPr>
                      <m:e>
                        <m:sSub>
                          <m:sSubPr>
                            <m:ctrlPr>
                              <a:rPr lang="en-AU" sz="1100" i="1">
                                <a:latin typeface="Cambria Math" panose="02040503050406030204" pitchFamily="18" charset="0"/>
                              </a:rPr>
                            </m:ctrlPr>
                          </m:sSubPr>
                          <m:e>
                            <m:r>
                              <a:rPr lang="en-AU" sz="1100" i="1">
                                <a:latin typeface="Cambria Math" panose="02040503050406030204" pitchFamily="18" charset="0"/>
                              </a:rPr>
                              <m:t>𝑁</m:t>
                            </m:r>
                          </m:e>
                          <m:sub>
                            <m:r>
                              <a:rPr lang="en-AU" sz="1100" i="1">
                                <a:latin typeface="Cambria Math" panose="02040503050406030204" pitchFamily="18" charset="0"/>
                              </a:rPr>
                              <m:t>𝑗</m:t>
                            </m:r>
                            <m:r>
                              <a:rPr lang="en-AU" sz="1100" i="1">
                                <a:latin typeface="Cambria Math" panose="02040503050406030204" pitchFamily="18" charset="0"/>
                              </a:rPr>
                              <m:t>=3,5</m:t>
                            </m:r>
                          </m:sub>
                        </m:sSub>
                        <m:r>
                          <a:rPr lang="en-AU" sz="1100" i="1">
                            <a:latin typeface="Cambria Math" panose="02040503050406030204" pitchFamily="18" charset="0"/>
                          </a:rPr>
                          <m:t>×</m:t>
                        </m:r>
                        <m:r>
                          <a:rPr lang="en-AU" sz="1100" i="1">
                            <a:latin typeface="Cambria Math" panose="02040503050406030204" pitchFamily="18" charset="0"/>
                          </a:rPr>
                          <m:t>𝑁𝑃</m:t>
                        </m:r>
                        <m:sSub>
                          <m:sSubPr>
                            <m:ctrlPr>
                              <a:rPr lang="en-AU" sz="1100" i="1">
                                <a:latin typeface="Cambria Math" panose="02040503050406030204" pitchFamily="18" charset="0"/>
                              </a:rPr>
                            </m:ctrlPr>
                          </m:sSubPr>
                          <m:e>
                            <m:r>
                              <a:rPr lang="en-AU" sz="1100" i="1">
                                <a:latin typeface="Cambria Math" panose="02040503050406030204" pitchFamily="18" charset="0"/>
                              </a:rPr>
                              <m:t>𝑊</m:t>
                            </m:r>
                          </m:e>
                          <m:sub>
                            <m:r>
                              <a:rPr lang="en-AU" sz="1100" i="1">
                                <a:latin typeface="Cambria Math" panose="02040503050406030204" pitchFamily="18" charset="0"/>
                              </a:rPr>
                              <m:t>𝑗</m:t>
                            </m:r>
                            <m:r>
                              <a:rPr lang="en-AU" sz="1100" i="1">
                                <a:latin typeface="Cambria Math" panose="02040503050406030204" pitchFamily="18" charset="0"/>
                              </a:rPr>
                              <m:t>=3,5</m:t>
                            </m:r>
                          </m:sub>
                        </m:sSub>
                        <m:r>
                          <a:rPr lang="en-AU" sz="1100" i="1">
                            <a:latin typeface="Cambria Math" panose="02040503050406030204" pitchFamily="18" charset="0"/>
                          </a:rPr>
                          <m:t>×</m:t>
                        </m:r>
                        <m:r>
                          <a:rPr lang="en-AU" sz="1100" i="1">
                            <a:latin typeface="Cambria Math" panose="02040503050406030204" pitchFamily="18" charset="0"/>
                          </a:rPr>
                          <m:t>𝐷𝑃</m:t>
                        </m:r>
                        <m:sSub>
                          <m:sSubPr>
                            <m:ctrlPr>
                              <a:rPr lang="en-AU" sz="1100" i="1">
                                <a:latin typeface="Cambria Math" panose="02040503050406030204" pitchFamily="18" charset="0"/>
                              </a:rPr>
                            </m:ctrlPr>
                          </m:sSubPr>
                          <m:e>
                            <m:r>
                              <a:rPr lang="en-AU" sz="1100" i="1">
                                <a:latin typeface="Cambria Math" panose="02040503050406030204" pitchFamily="18" charset="0"/>
                              </a:rPr>
                              <m:t>𝑊</m:t>
                            </m:r>
                          </m:e>
                          <m:sub>
                            <m:r>
                              <a:rPr lang="en-AU" sz="1100" i="1">
                                <a:latin typeface="Cambria Math" panose="02040503050406030204" pitchFamily="18" charset="0"/>
                              </a:rPr>
                              <m:t>𝑗</m:t>
                            </m:r>
                            <m:r>
                              <a:rPr lang="en-AU" sz="1100" i="1">
                                <a:latin typeface="Cambria Math" panose="02040503050406030204" pitchFamily="18" charset="0"/>
                              </a:rPr>
                              <m:t>=3,5</m:t>
                            </m:r>
                          </m:sub>
                        </m:sSub>
                      </m:e>
                    </m:d>
                  </m:oMath>
                </m:oMathPara>
              </a14:m>
              <a:endParaRPr lang="en-AU" sz="1100"/>
            </a:p>
          </xdr:txBody>
        </xdr:sp>
      </mc:Choice>
      <mc:Fallback xmlns="">
        <xdr:sp macro="" textlink="">
          <xdr:nvSpPr>
            <xdr:cNvPr id="28" name="TextBox 27">
              <a:extLst>
                <a:ext uri="{FF2B5EF4-FFF2-40B4-BE49-F238E27FC236}">
                  <a16:creationId xmlns:a16="http://schemas.microsoft.com/office/drawing/2014/main" id="{906D419A-7447-EBE5-57D6-00449E021FDC}"/>
                </a:ext>
              </a:extLst>
            </xdr:cNvPr>
            <xdr:cNvSpPr txBox="1"/>
          </xdr:nvSpPr>
          <xdr:spPr>
            <a:xfrm>
              <a:off x="2676525" y="43857862"/>
              <a:ext cx="4361129" cy="19499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r>
                <a:rPr lang="en-AU" sz="1100" i="0">
                  <a:latin typeface="Cambria Math" panose="02040503050406030204" pitchFamily="18" charset="0"/>
                </a:rPr>
                <a:t>𝐴𝐸_(𝑗=3,5)=(𝑁_(𝑗=3,5)×𝑁𝐸_(𝑗=3,5)×𝐷_(𝑗=3,5) )+(𝑁_(𝑗=3,5)×𝑁𝑃𝑊_(𝑗=3,5)×𝐷𝑃𝑊_(𝑗=3,5) )</a:t>
              </a:r>
              <a:endParaRPr lang="en-AU" sz="1100"/>
            </a:p>
          </xdr:txBody>
        </xdr:sp>
      </mc:Fallback>
    </mc:AlternateContent>
    <xdr:clientData/>
  </xdr:oneCellAnchor>
  <xdr:oneCellAnchor>
    <xdr:from>
      <xdr:col>3</xdr:col>
      <xdr:colOff>27332</xdr:colOff>
      <xdr:row>212</xdr:row>
      <xdr:rowOff>118440</xdr:rowOff>
    </xdr:from>
    <xdr:ext cx="1405385" cy="182871"/>
    <mc:AlternateContent xmlns:mc="http://schemas.openxmlformats.org/markup-compatibility/2006" xmlns:a14="http://schemas.microsoft.com/office/drawing/2010/main">
      <mc:Choice Requires="a14">
        <xdr:sp macro="" textlink="">
          <xdr:nvSpPr>
            <xdr:cNvPr id="29" name="TextBox 28">
              <a:extLst>
                <a:ext uri="{FF2B5EF4-FFF2-40B4-BE49-F238E27FC236}">
                  <a16:creationId xmlns:a16="http://schemas.microsoft.com/office/drawing/2014/main" id="{62ADE2A4-EEC3-DAC5-1821-0C69D2A297BC}"/>
                </a:ext>
              </a:extLst>
            </xdr:cNvPr>
            <xdr:cNvSpPr txBox="1"/>
          </xdr:nvSpPr>
          <xdr:spPr>
            <a:xfrm>
              <a:off x="2702615" y="52928353"/>
              <a:ext cx="1405385" cy="18287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r>
                      <a:rPr lang="en-AU" sz="1100" i="1">
                        <a:latin typeface="Cambria Math" panose="02040503050406030204" pitchFamily="18" charset="0"/>
                      </a:rPr>
                      <m:t>𝑀</m:t>
                    </m:r>
                    <m:sSub>
                      <m:sSubPr>
                        <m:ctrlPr>
                          <a:rPr lang="en-AU" sz="1100" i="1">
                            <a:latin typeface="Cambria Math" panose="02040503050406030204" pitchFamily="18" charset="0"/>
                          </a:rPr>
                        </m:ctrlPr>
                      </m:sSubPr>
                      <m:e>
                        <m:r>
                          <a:rPr lang="en-AU" sz="1100" i="1">
                            <a:latin typeface="Cambria Math" panose="02040503050406030204" pitchFamily="18" charset="0"/>
                          </a:rPr>
                          <m:t>𝑁</m:t>
                        </m:r>
                      </m:e>
                      <m:sub>
                        <m:r>
                          <a:rPr lang="en-AU" sz="1100" i="1">
                            <a:latin typeface="Cambria Math" panose="02040503050406030204" pitchFamily="18" charset="0"/>
                          </a:rPr>
                          <m:t>𝑗𝑚</m:t>
                        </m:r>
                      </m:sub>
                    </m:sSub>
                    <m:r>
                      <a:rPr lang="en-AU" sz="1100" i="1">
                        <a:latin typeface="Cambria Math" panose="02040503050406030204" pitchFamily="18" charset="0"/>
                      </a:rPr>
                      <m:t>=</m:t>
                    </m:r>
                    <m:r>
                      <a:rPr lang="en-AU" sz="1100" i="1">
                        <a:latin typeface="Cambria Math" panose="02040503050406030204" pitchFamily="18" charset="0"/>
                      </a:rPr>
                      <m:t>𝐴</m:t>
                    </m:r>
                    <m:sSub>
                      <m:sSubPr>
                        <m:ctrlPr>
                          <a:rPr lang="en-AU" sz="1100" i="1">
                            <a:latin typeface="Cambria Math" panose="02040503050406030204" pitchFamily="18" charset="0"/>
                          </a:rPr>
                        </m:ctrlPr>
                      </m:sSubPr>
                      <m:e>
                        <m:r>
                          <a:rPr lang="en-AU" sz="1100" i="1">
                            <a:latin typeface="Cambria Math" panose="02040503050406030204" pitchFamily="18" charset="0"/>
                          </a:rPr>
                          <m:t>𝐸</m:t>
                        </m:r>
                      </m:e>
                      <m:sub>
                        <m:r>
                          <a:rPr lang="en-AU" sz="1100" i="1">
                            <a:latin typeface="Cambria Math" panose="02040503050406030204" pitchFamily="18" charset="0"/>
                          </a:rPr>
                          <m:t>𝑗</m:t>
                        </m:r>
                      </m:sub>
                    </m:sSub>
                    <m:r>
                      <a:rPr lang="en-AU" sz="1100" i="1">
                        <a:latin typeface="Cambria Math" panose="02040503050406030204" pitchFamily="18" charset="0"/>
                      </a:rPr>
                      <m:t>×</m:t>
                    </m:r>
                    <m:r>
                      <a:rPr lang="en-AU" sz="1100" i="1">
                        <a:latin typeface="Cambria Math" panose="02040503050406030204" pitchFamily="18" charset="0"/>
                      </a:rPr>
                      <m:t>𝑀𝑀</m:t>
                    </m:r>
                    <m:sSub>
                      <m:sSubPr>
                        <m:ctrlPr>
                          <a:rPr lang="en-AU" sz="1100" i="1">
                            <a:latin typeface="Cambria Math" panose="02040503050406030204" pitchFamily="18" charset="0"/>
                          </a:rPr>
                        </m:ctrlPr>
                      </m:sSubPr>
                      <m:e>
                        <m:r>
                          <a:rPr lang="en-AU" sz="1100" i="1">
                            <a:latin typeface="Cambria Math" panose="02040503050406030204" pitchFamily="18" charset="0"/>
                          </a:rPr>
                          <m:t>𝑆</m:t>
                        </m:r>
                      </m:e>
                      <m:sub>
                        <m:r>
                          <a:rPr lang="en-AU" sz="1100" i="1">
                            <a:latin typeface="Cambria Math" panose="02040503050406030204" pitchFamily="18" charset="0"/>
                          </a:rPr>
                          <m:t>𝑗𝑚</m:t>
                        </m:r>
                      </m:sub>
                    </m:sSub>
                  </m:oMath>
                </m:oMathPara>
              </a14:m>
              <a:endParaRPr lang="en-AU" sz="1100"/>
            </a:p>
          </xdr:txBody>
        </xdr:sp>
      </mc:Choice>
      <mc:Fallback xmlns="">
        <xdr:sp macro="" textlink="">
          <xdr:nvSpPr>
            <xdr:cNvPr id="29" name="TextBox 28">
              <a:extLst>
                <a:ext uri="{FF2B5EF4-FFF2-40B4-BE49-F238E27FC236}">
                  <a16:creationId xmlns:a16="http://schemas.microsoft.com/office/drawing/2014/main" id="{62ADE2A4-EEC3-DAC5-1821-0C69D2A297BC}"/>
                </a:ext>
              </a:extLst>
            </xdr:cNvPr>
            <xdr:cNvSpPr txBox="1"/>
          </xdr:nvSpPr>
          <xdr:spPr>
            <a:xfrm>
              <a:off x="2702615" y="52928353"/>
              <a:ext cx="1405385" cy="18287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r>
                <a:rPr lang="en-AU" sz="1100" i="0">
                  <a:latin typeface="Cambria Math" panose="02040503050406030204" pitchFamily="18" charset="0"/>
                </a:rPr>
                <a:t>𝑀𝑁_𝑗𝑚=𝐴𝐸_𝑗×𝑀𝑀𝑆_𝑗𝑚</a:t>
              </a:r>
              <a:endParaRPr lang="en-AU" sz="1100"/>
            </a:p>
          </xdr:txBody>
        </xdr:sp>
      </mc:Fallback>
    </mc:AlternateContent>
    <xdr:clientData/>
  </xdr:oneCellAnchor>
  <xdr:oneCellAnchor>
    <xdr:from>
      <xdr:col>3</xdr:col>
      <xdr:colOff>10766</xdr:colOff>
      <xdr:row>249</xdr:row>
      <xdr:rowOff>126723</xdr:rowOff>
    </xdr:from>
    <xdr:ext cx="3059363" cy="332079"/>
    <mc:AlternateContent xmlns:mc="http://schemas.openxmlformats.org/markup-compatibility/2006" xmlns:a14="http://schemas.microsoft.com/office/drawing/2010/main">
      <mc:Choice Requires="a14">
        <xdr:sp macro="" textlink="">
          <xdr:nvSpPr>
            <xdr:cNvPr id="30" name="TextBox 29">
              <a:extLst>
                <a:ext uri="{FF2B5EF4-FFF2-40B4-BE49-F238E27FC236}">
                  <a16:creationId xmlns:a16="http://schemas.microsoft.com/office/drawing/2014/main" id="{9A52C0E0-63D1-F42F-F297-DEB574BE3508}"/>
                </a:ext>
              </a:extLst>
            </xdr:cNvPr>
            <xdr:cNvSpPr txBox="1"/>
          </xdr:nvSpPr>
          <xdr:spPr>
            <a:xfrm>
              <a:off x="2686049" y="62130332"/>
              <a:ext cx="3059363" cy="33207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sSub>
                      <m:sSubPr>
                        <m:ctrlPr>
                          <a:rPr lang="en-AU" sz="1100" i="1">
                            <a:latin typeface="Cambria Math" panose="02040503050406030204" pitchFamily="18" charset="0"/>
                          </a:rPr>
                        </m:ctrlPr>
                      </m:sSubPr>
                      <m:e>
                        <m:r>
                          <a:rPr lang="en-AU" sz="1100" i="1">
                            <a:latin typeface="Cambria Math" panose="02040503050406030204" pitchFamily="18" charset="0"/>
                          </a:rPr>
                          <m:t>𝐸</m:t>
                        </m:r>
                      </m:e>
                      <m:sub>
                        <m:r>
                          <a:rPr lang="en-AU" sz="1100" i="1">
                            <a:latin typeface="Cambria Math" panose="02040503050406030204" pitchFamily="18" charset="0"/>
                          </a:rPr>
                          <m:t>𝑁</m:t>
                        </m:r>
                        <m:r>
                          <a:rPr lang="en-AU" sz="1100" i="1">
                            <a:latin typeface="Cambria Math" panose="02040503050406030204" pitchFamily="18" charset="0"/>
                          </a:rPr>
                          <m:t>2</m:t>
                        </m:r>
                        <m:r>
                          <a:rPr lang="en-AU" sz="1100" i="1">
                            <a:latin typeface="Cambria Math" panose="02040503050406030204" pitchFamily="18" charset="0"/>
                          </a:rPr>
                          <m:t>𝑂</m:t>
                        </m:r>
                        <m:r>
                          <a:rPr lang="en-AU" sz="1100" i="1">
                            <a:latin typeface="Cambria Math" panose="02040503050406030204" pitchFamily="18" charset="0"/>
                          </a:rPr>
                          <m:t>,</m:t>
                        </m:r>
                        <m:r>
                          <a:rPr lang="en-AU" sz="1100" i="1">
                            <a:latin typeface="Cambria Math" panose="02040503050406030204" pitchFamily="18" charset="0"/>
                          </a:rPr>
                          <m:t>𝑑𝑖𝑟</m:t>
                        </m:r>
                      </m:sub>
                    </m:sSub>
                    <m:r>
                      <a:rPr lang="en-AU" sz="1100" i="1">
                        <a:latin typeface="Cambria Math" panose="02040503050406030204" pitchFamily="18" charset="0"/>
                      </a:rPr>
                      <m:t>=</m:t>
                    </m:r>
                    <m:nary>
                      <m:naryPr>
                        <m:chr m:val="∑"/>
                        <m:limLoc m:val="subSup"/>
                        <m:supHide m:val="on"/>
                        <m:ctrlPr>
                          <a:rPr lang="en-AU" sz="1100" i="1">
                            <a:latin typeface="Cambria Math" panose="02040503050406030204" pitchFamily="18" charset="0"/>
                          </a:rPr>
                        </m:ctrlPr>
                      </m:naryPr>
                      <m:sub>
                        <m:r>
                          <a:rPr lang="en-AU" sz="1100" i="1">
                            <a:latin typeface="Cambria Math" panose="02040503050406030204" pitchFamily="18" charset="0"/>
                          </a:rPr>
                          <m:t>𝑗</m:t>
                        </m:r>
                      </m:sub>
                      <m:sup/>
                      <m:e>
                        <m:nary>
                          <m:naryPr>
                            <m:chr m:val="∑"/>
                            <m:limLoc m:val="subSup"/>
                            <m:supHide m:val="on"/>
                            <m:ctrlPr>
                              <a:rPr lang="en-AU" sz="1100" i="1">
                                <a:latin typeface="Cambria Math" panose="02040503050406030204" pitchFamily="18" charset="0"/>
                              </a:rPr>
                            </m:ctrlPr>
                          </m:naryPr>
                          <m:sub>
                            <m:r>
                              <a:rPr lang="en-AU" sz="1100" i="1">
                                <a:latin typeface="Cambria Math" panose="02040503050406030204" pitchFamily="18" charset="0"/>
                              </a:rPr>
                              <m:t>𝑚</m:t>
                            </m:r>
                          </m:sub>
                          <m:sup/>
                          <m:e>
                            <m:d>
                              <m:dPr>
                                <m:ctrlPr>
                                  <a:rPr lang="en-AU" sz="1100" i="1">
                                    <a:latin typeface="Cambria Math" panose="02040503050406030204" pitchFamily="18" charset="0"/>
                                  </a:rPr>
                                </m:ctrlPr>
                              </m:dPr>
                              <m:e>
                                <m:r>
                                  <a:rPr lang="en-AU" sz="1100" i="1">
                                    <a:latin typeface="Cambria Math" panose="02040503050406030204" pitchFamily="18" charset="0"/>
                                  </a:rPr>
                                  <m:t>𝑀</m:t>
                                </m:r>
                                <m:sSub>
                                  <m:sSubPr>
                                    <m:ctrlPr>
                                      <a:rPr lang="en-AU" sz="1100" i="1">
                                        <a:latin typeface="Cambria Math" panose="02040503050406030204" pitchFamily="18" charset="0"/>
                                      </a:rPr>
                                    </m:ctrlPr>
                                  </m:sSubPr>
                                  <m:e>
                                    <m:r>
                                      <a:rPr lang="en-AU" sz="1100" i="1">
                                        <a:latin typeface="Cambria Math" panose="02040503050406030204" pitchFamily="18" charset="0"/>
                                      </a:rPr>
                                      <m:t>𝑁</m:t>
                                    </m:r>
                                  </m:e>
                                  <m:sub>
                                    <m:r>
                                      <a:rPr lang="en-AU" sz="1100" i="1">
                                        <a:latin typeface="Cambria Math" panose="02040503050406030204" pitchFamily="18" charset="0"/>
                                      </a:rPr>
                                      <m:t>𝑗𝑚</m:t>
                                    </m:r>
                                  </m:sub>
                                </m:sSub>
                                <m:r>
                                  <a:rPr lang="en-AU" sz="1100" i="1">
                                    <a:latin typeface="Cambria Math" panose="02040503050406030204" pitchFamily="18" charset="0"/>
                                  </a:rPr>
                                  <m:t>×</m:t>
                                </m:r>
                                <m:r>
                                  <a:rPr lang="en-AU" sz="1100" i="1">
                                    <a:latin typeface="Cambria Math" panose="02040503050406030204" pitchFamily="18" charset="0"/>
                                  </a:rPr>
                                  <m:t>𝐸</m:t>
                                </m:r>
                                <m:sSub>
                                  <m:sSubPr>
                                    <m:ctrlPr>
                                      <a:rPr lang="en-AU" sz="1100" i="1">
                                        <a:latin typeface="Cambria Math" panose="02040503050406030204" pitchFamily="18" charset="0"/>
                                      </a:rPr>
                                    </m:ctrlPr>
                                  </m:sSubPr>
                                  <m:e>
                                    <m:r>
                                      <a:rPr lang="en-AU" sz="1100" i="1">
                                        <a:latin typeface="Cambria Math" panose="02040503050406030204" pitchFamily="18" charset="0"/>
                                      </a:rPr>
                                      <m:t>𝐹</m:t>
                                    </m:r>
                                  </m:e>
                                  <m:sub>
                                    <m:r>
                                      <a:rPr lang="en-AU" sz="1100" i="1">
                                        <a:latin typeface="Cambria Math" panose="02040503050406030204" pitchFamily="18" charset="0"/>
                                      </a:rPr>
                                      <m:t>𝑚</m:t>
                                    </m:r>
                                  </m:sub>
                                </m:sSub>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𝐶</m:t>
                                    </m:r>
                                  </m:e>
                                  <m:sub>
                                    <m:r>
                                      <a:rPr lang="en-AU" sz="1100" i="1">
                                        <a:latin typeface="Cambria Math" panose="02040503050406030204" pitchFamily="18" charset="0"/>
                                      </a:rPr>
                                      <m:t>𝑁</m:t>
                                    </m:r>
                                    <m:r>
                                      <a:rPr lang="en-AU" sz="1100" i="1">
                                        <a:latin typeface="Cambria Math" panose="02040503050406030204" pitchFamily="18" charset="0"/>
                                      </a:rPr>
                                      <m:t>2</m:t>
                                    </m:r>
                                    <m:r>
                                      <a:rPr lang="en-AU" sz="1100" i="1">
                                        <a:latin typeface="Cambria Math" panose="02040503050406030204" pitchFamily="18" charset="0"/>
                                      </a:rPr>
                                      <m:t>𝑂</m:t>
                                    </m:r>
                                  </m:sub>
                                </m:sSub>
                                <m:r>
                                  <a:rPr lang="en-AU" sz="1100" i="1">
                                    <a:latin typeface="Cambria Math" panose="02040503050406030204" pitchFamily="18" charset="0"/>
                                  </a:rPr>
                                  <m:t>×</m:t>
                                </m:r>
                                <m:sSup>
                                  <m:sSupPr>
                                    <m:ctrlPr>
                                      <a:rPr lang="en-AU" sz="1100" i="1">
                                        <a:latin typeface="Cambria Math" panose="02040503050406030204" pitchFamily="18" charset="0"/>
                                      </a:rPr>
                                    </m:ctrlPr>
                                  </m:sSupPr>
                                  <m:e>
                                    <m:r>
                                      <a:rPr lang="en-AU" sz="1100" i="1">
                                        <a:latin typeface="Cambria Math" panose="02040503050406030204" pitchFamily="18" charset="0"/>
                                      </a:rPr>
                                      <m:t>10</m:t>
                                    </m:r>
                                  </m:e>
                                  <m:sup>
                                    <m:r>
                                      <a:rPr lang="en-AU" sz="1100" i="1">
                                        <a:latin typeface="Cambria Math" panose="02040503050406030204" pitchFamily="18" charset="0"/>
                                      </a:rPr>
                                      <m:t>−3</m:t>
                                    </m:r>
                                  </m:sup>
                                </m:sSup>
                              </m:e>
                            </m:d>
                          </m:e>
                        </m:nary>
                      </m:e>
                    </m:nary>
                  </m:oMath>
                </m:oMathPara>
              </a14:m>
              <a:endParaRPr lang="en-AU" sz="1100"/>
            </a:p>
          </xdr:txBody>
        </xdr:sp>
      </mc:Choice>
      <mc:Fallback xmlns="">
        <xdr:sp macro="" textlink="">
          <xdr:nvSpPr>
            <xdr:cNvPr id="30" name="TextBox 29">
              <a:extLst>
                <a:ext uri="{FF2B5EF4-FFF2-40B4-BE49-F238E27FC236}">
                  <a16:creationId xmlns:a16="http://schemas.microsoft.com/office/drawing/2014/main" id="{9A52C0E0-63D1-F42F-F297-DEB574BE3508}"/>
                </a:ext>
              </a:extLst>
            </xdr:cNvPr>
            <xdr:cNvSpPr txBox="1"/>
          </xdr:nvSpPr>
          <xdr:spPr>
            <a:xfrm>
              <a:off x="2686049" y="62130332"/>
              <a:ext cx="3059363" cy="33207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r>
                <a:rPr lang="en-AU" sz="1100" i="0">
                  <a:latin typeface="Cambria Math" panose="02040503050406030204" pitchFamily="18" charset="0"/>
                </a:rPr>
                <a:t>𝐸_(𝑁2𝑂,𝑑𝑖𝑟)=∑10_𝑗▒∑10_𝑚▒(𝑀𝑁_𝑗𝑚×𝐸𝐹_𝑚×𝐶_𝑁2𝑂×10^(−3) ) </a:t>
              </a:r>
            </a:p>
          </xdr:txBody>
        </xdr:sp>
      </mc:Fallback>
    </mc:AlternateContent>
    <xdr:clientData/>
  </xdr:oneCellAnchor>
</xdr:wsDr>
</file>

<file path=xl/drawings/drawing4.xml><?xml version="1.0" encoding="utf-8"?>
<xdr:wsDr xmlns:xdr="http://schemas.openxmlformats.org/drawingml/2006/spreadsheetDrawing" xmlns:a="http://schemas.openxmlformats.org/drawingml/2006/main">
  <xdr:oneCellAnchor>
    <xdr:from>
      <xdr:col>3</xdr:col>
      <xdr:colOff>0</xdr:colOff>
      <xdr:row>7</xdr:row>
      <xdr:rowOff>119062</xdr:rowOff>
    </xdr:from>
    <xdr:ext cx="2746200" cy="332079"/>
    <mc:AlternateContent xmlns:mc="http://schemas.openxmlformats.org/markup-compatibility/2006" xmlns:a14="http://schemas.microsoft.com/office/drawing/2010/main">
      <mc:Choice Requires="a14">
        <xdr:sp macro="" textlink="">
          <xdr:nvSpPr>
            <xdr:cNvPr id="4" name="TextBox 3">
              <a:extLst>
                <a:ext uri="{FF2B5EF4-FFF2-40B4-BE49-F238E27FC236}">
                  <a16:creationId xmlns:a16="http://schemas.microsoft.com/office/drawing/2014/main" id="{605AF6FB-7AF1-FCCA-DC0C-55473FC6CFC2}"/>
                </a:ext>
              </a:extLst>
            </xdr:cNvPr>
            <xdr:cNvSpPr txBox="1"/>
          </xdr:nvSpPr>
          <xdr:spPr>
            <a:xfrm>
              <a:off x="2676525" y="1985962"/>
              <a:ext cx="2746200" cy="33207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r>
                      <a:rPr lang="en-AU" sz="1100" i="1">
                        <a:latin typeface="Cambria Math" panose="02040503050406030204" pitchFamily="18" charset="0"/>
                      </a:rPr>
                      <m:t>𝑀</m:t>
                    </m:r>
                    <m:sSub>
                      <m:sSubPr>
                        <m:ctrlPr>
                          <a:rPr lang="en-AU" sz="1100" i="1">
                            <a:latin typeface="Cambria Math" panose="02040503050406030204" pitchFamily="18" charset="0"/>
                          </a:rPr>
                        </m:ctrlPr>
                      </m:sSubPr>
                      <m:e>
                        <m:r>
                          <a:rPr lang="en-AU" sz="1100" i="1">
                            <a:latin typeface="Cambria Math" panose="02040503050406030204" pitchFamily="18" charset="0"/>
                          </a:rPr>
                          <m:t>𝑁</m:t>
                        </m:r>
                      </m:e>
                      <m:sub>
                        <m:r>
                          <a:rPr lang="en-AU" sz="1100" i="1">
                            <a:latin typeface="Cambria Math" panose="02040503050406030204" pitchFamily="18" charset="0"/>
                          </a:rPr>
                          <m:t>𝐴𝑇𝑀𝑂𝑆</m:t>
                        </m:r>
                      </m:sub>
                    </m:sSub>
                    <m:r>
                      <a:rPr lang="en-AU" sz="1100" i="1">
                        <a:latin typeface="Cambria Math" panose="02040503050406030204" pitchFamily="18" charset="0"/>
                      </a:rPr>
                      <m:t>=</m:t>
                    </m:r>
                    <m:nary>
                      <m:naryPr>
                        <m:chr m:val="∑"/>
                        <m:limLoc m:val="subSup"/>
                        <m:supHide m:val="on"/>
                        <m:ctrlPr>
                          <a:rPr lang="en-AU" sz="1100" i="1">
                            <a:latin typeface="Cambria Math" panose="02040503050406030204" pitchFamily="18" charset="0"/>
                          </a:rPr>
                        </m:ctrlPr>
                      </m:naryPr>
                      <m:sub>
                        <m:r>
                          <a:rPr lang="en-AU" sz="1100" i="1">
                            <a:latin typeface="Cambria Math" panose="02040503050406030204" pitchFamily="18" charset="0"/>
                          </a:rPr>
                          <m:t>𝑗</m:t>
                        </m:r>
                      </m:sub>
                      <m:sup/>
                      <m:e>
                        <m:nary>
                          <m:naryPr>
                            <m:chr m:val="∑"/>
                            <m:limLoc m:val="subSup"/>
                            <m:supHide m:val="on"/>
                            <m:ctrlPr>
                              <a:rPr lang="en-AU" sz="1100" i="1">
                                <a:latin typeface="Cambria Math" panose="02040503050406030204" pitchFamily="18" charset="0"/>
                              </a:rPr>
                            </m:ctrlPr>
                          </m:naryPr>
                          <m:sub>
                            <m:r>
                              <a:rPr lang="en-AU" sz="1100" i="1">
                                <a:latin typeface="Cambria Math" panose="02040503050406030204" pitchFamily="18" charset="0"/>
                              </a:rPr>
                              <m:t>𝑚</m:t>
                            </m:r>
                          </m:sub>
                          <m:sup/>
                          <m:e>
                            <m:d>
                              <m:dPr>
                                <m:ctrlPr>
                                  <a:rPr lang="en-AU" sz="1100" i="1">
                                    <a:latin typeface="Cambria Math" panose="02040503050406030204" pitchFamily="18" charset="0"/>
                                  </a:rPr>
                                </m:ctrlPr>
                              </m:dPr>
                              <m:e>
                                <m:r>
                                  <a:rPr lang="en-AU" sz="1100" i="1">
                                    <a:latin typeface="Cambria Math" panose="02040503050406030204" pitchFamily="18" charset="0"/>
                                  </a:rPr>
                                  <m:t>𝑀</m:t>
                                </m:r>
                                <m:sSub>
                                  <m:sSubPr>
                                    <m:ctrlPr>
                                      <a:rPr lang="en-AU" sz="1100" i="1">
                                        <a:latin typeface="Cambria Math" panose="02040503050406030204" pitchFamily="18" charset="0"/>
                                      </a:rPr>
                                    </m:ctrlPr>
                                  </m:sSubPr>
                                  <m:e>
                                    <m:r>
                                      <a:rPr lang="en-AU" sz="1100" i="1">
                                        <a:latin typeface="Cambria Math" panose="02040503050406030204" pitchFamily="18" charset="0"/>
                                      </a:rPr>
                                      <m:t>𝑁</m:t>
                                    </m:r>
                                  </m:e>
                                  <m:sub>
                                    <m:r>
                                      <a:rPr lang="en-AU" sz="1100" i="1">
                                        <a:latin typeface="Cambria Math" panose="02040503050406030204" pitchFamily="18" charset="0"/>
                                      </a:rPr>
                                      <m:t>𝑗𝑚</m:t>
                                    </m:r>
                                  </m:sub>
                                </m:sSub>
                                <m:r>
                                  <a:rPr lang="en-AU" sz="1100" i="1">
                                    <a:latin typeface="Cambria Math" panose="02040503050406030204" pitchFamily="18" charset="0"/>
                                  </a:rPr>
                                  <m:t>×</m:t>
                                </m:r>
                                <m:r>
                                  <a:rPr lang="en-AU" sz="1100" i="1">
                                    <a:latin typeface="Cambria Math" panose="02040503050406030204" pitchFamily="18" charset="0"/>
                                  </a:rPr>
                                  <m:t>𝐹𝑟𝑎𝑐𝐺𝐴𝑆</m:t>
                                </m:r>
                                <m:sSub>
                                  <m:sSubPr>
                                    <m:ctrlPr>
                                      <a:rPr lang="en-AU" sz="1100" i="1">
                                        <a:latin typeface="Cambria Math" panose="02040503050406030204" pitchFamily="18" charset="0"/>
                                      </a:rPr>
                                    </m:ctrlPr>
                                  </m:sSubPr>
                                  <m:e>
                                    <m:r>
                                      <a:rPr lang="en-AU" sz="1100" i="1">
                                        <a:latin typeface="Cambria Math" panose="02040503050406030204" pitchFamily="18" charset="0"/>
                                      </a:rPr>
                                      <m:t>𝑀</m:t>
                                    </m:r>
                                  </m:e>
                                  <m:sub>
                                    <m:r>
                                      <a:rPr lang="en-AU" sz="1100" i="1">
                                        <a:latin typeface="Cambria Math" panose="02040503050406030204" pitchFamily="18" charset="0"/>
                                      </a:rPr>
                                      <m:t>𝑚</m:t>
                                    </m:r>
                                  </m:sub>
                                </m:sSub>
                              </m:e>
                            </m:d>
                          </m:e>
                        </m:nary>
                      </m:e>
                    </m:nary>
                  </m:oMath>
                </m:oMathPara>
              </a14:m>
              <a:endParaRPr lang="en-AU" sz="1100"/>
            </a:p>
          </xdr:txBody>
        </xdr:sp>
      </mc:Choice>
      <mc:Fallback xmlns="">
        <xdr:sp macro="" textlink="">
          <xdr:nvSpPr>
            <xdr:cNvPr id="4" name="TextBox 3">
              <a:extLst>
                <a:ext uri="{FF2B5EF4-FFF2-40B4-BE49-F238E27FC236}">
                  <a16:creationId xmlns:a16="http://schemas.microsoft.com/office/drawing/2014/main" id="{605AF6FB-7AF1-FCCA-DC0C-55473FC6CFC2}"/>
                </a:ext>
              </a:extLst>
            </xdr:cNvPr>
            <xdr:cNvSpPr txBox="1"/>
          </xdr:nvSpPr>
          <xdr:spPr>
            <a:xfrm>
              <a:off x="2676525" y="1985962"/>
              <a:ext cx="2746200" cy="33207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r>
                <a:rPr lang="en-AU" sz="1100" i="0">
                  <a:latin typeface="Cambria Math" panose="02040503050406030204" pitchFamily="18" charset="0"/>
                </a:rPr>
                <a:t>𝑀𝑁_𝐴𝑇𝑀𝑂𝑆=∑10_𝑗▒∑10_𝑚▒(𝑀𝑁_𝑗𝑚×𝐹𝑟𝑎𝑐𝐺𝐴𝑆𝑀_𝑚 ) </a:t>
              </a:r>
              <a:endParaRPr lang="en-AU" sz="1100"/>
            </a:p>
          </xdr:txBody>
        </xdr:sp>
      </mc:Fallback>
    </mc:AlternateContent>
    <xdr:clientData/>
  </xdr:oneCellAnchor>
  <xdr:oneCellAnchor>
    <xdr:from>
      <xdr:col>2</xdr:col>
      <xdr:colOff>309562</xdr:colOff>
      <xdr:row>55</xdr:row>
      <xdr:rowOff>128587</xdr:rowOff>
    </xdr:from>
    <xdr:ext cx="2962093" cy="180114"/>
    <mc:AlternateContent xmlns:mc="http://schemas.openxmlformats.org/markup-compatibility/2006" xmlns:a14="http://schemas.microsoft.com/office/drawing/2010/main">
      <mc:Choice Requires="a14">
        <xdr:sp macro="" textlink="">
          <xdr:nvSpPr>
            <xdr:cNvPr id="5" name="TextBox 4">
              <a:extLst>
                <a:ext uri="{FF2B5EF4-FFF2-40B4-BE49-F238E27FC236}">
                  <a16:creationId xmlns:a16="http://schemas.microsoft.com/office/drawing/2014/main" id="{FA3CFBE6-70BE-30B0-69AE-00B861A23008}"/>
                </a:ext>
              </a:extLst>
            </xdr:cNvPr>
            <xdr:cNvSpPr txBox="1"/>
          </xdr:nvSpPr>
          <xdr:spPr>
            <a:xfrm>
              <a:off x="2671762" y="13387387"/>
              <a:ext cx="2962093" cy="180114"/>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sSub>
                      <m:sSubPr>
                        <m:ctrlPr>
                          <a:rPr lang="en-AU" sz="1100" i="1">
                            <a:latin typeface="Cambria Math" panose="02040503050406030204" pitchFamily="18" charset="0"/>
                          </a:rPr>
                        </m:ctrlPr>
                      </m:sSubPr>
                      <m:e>
                        <m:r>
                          <a:rPr lang="en-AU" sz="1100" i="1">
                            <a:latin typeface="Cambria Math" panose="02040503050406030204" pitchFamily="18" charset="0"/>
                          </a:rPr>
                          <m:t>𝐸</m:t>
                        </m:r>
                      </m:e>
                      <m:sub>
                        <m:r>
                          <a:rPr lang="en-AU" sz="1100" i="1">
                            <a:latin typeface="Cambria Math" panose="02040503050406030204" pitchFamily="18" charset="0"/>
                          </a:rPr>
                          <m:t>𝑁</m:t>
                        </m:r>
                        <m:r>
                          <a:rPr lang="en-AU" sz="1100" i="1">
                            <a:latin typeface="Cambria Math" panose="02040503050406030204" pitchFamily="18" charset="0"/>
                          </a:rPr>
                          <m:t>2</m:t>
                        </m:r>
                        <m:r>
                          <a:rPr lang="en-AU" sz="1100" i="1">
                            <a:latin typeface="Cambria Math" panose="02040503050406030204" pitchFamily="18" charset="0"/>
                          </a:rPr>
                          <m:t>𝑂</m:t>
                        </m:r>
                        <m:r>
                          <a:rPr lang="en-AU" sz="1100" i="1">
                            <a:latin typeface="Cambria Math" panose="02040503050406030204" pitchFamily="18" charset="0"/>
                          </a:rPr>
                          <m:t>,</m:t>
                        </m:r>
                        <m:r>
                          <a:rPr lang="en-AU" sz="1100" i="1">
                            <a:latin typeface="Cambria Math" panose="02040503050406030204" pitchFamily="18" charset="0"/>
                          </a:rPr>
                          <m:t>𝑀𝑀𝑆</m:t>
                        </m:r>
                        <m:r>
                          <a:rPr lang="en-AU" sz="1100" i="1">
                            <a:latin typeface="Cambria Math" panose="02040503050406030204" pitchFamily="18" charset="0"/>
                          </a:rPr>
                          <m:t>,</m:t>
                        </m:r>
                        <m:r>
                          <a:rPr lang="en-AU" sz="1100" i="1">
                            <a:latin typeface="Cambria Math" panose="02040503050406030204" pitchFamily="18" charset="0"/>
                          </a:rPr>
                          <m:t>𝑎𝑑</m:t>
                        </m:r>
                      </m:sub>
                    </m:sSub>
                    <m:r>
                      <a:rPr lang="en-AU" sz="1100" i="1">
                        <a:latin typeface="Cambria Math" panose="02040503050406030204" pitchFamily="18" charset="0"/>
                      </a:rPr>
                      <m:t>=</m:t>
                    </m:r>
                    <m:r>
                      <a:rPr lang="en-AU" sz="1100" i="1">
                        <a:latin typeface="Cambria Math" panose="02040503050406030204" pitchFamily="18" charset="0"/>
                      </a:rPr>
                      <m:t>𝑀</m:t>
                    </m:r>
                    <m:sSub>
                      <m:sSubPr>
                        <m:ctrlPr>
                          <a:rPr lang="en-AU" sz="1100" i="1">
                            <a:latin typeface="Cambria Math" panose="02040503050406030204" pitchFamily="18" charset="0"/>
                          </a:rPr>
                        </m:ctrlPr>
                      </m:sSubPr>
                      <m:e>
                        <m:r>
                          <a:rPr lang="en-AU" sz="1100" i="1">
                            <a:latin typeface="Cambria Math" panose="02040503050406030204" pitchFamily="18" charset="0"/>
                          </a:rPr>
                          <m:t>𝑁</m:t>
                        </m:r>
                      </m:e>
                      <m:sub>
                        <m:r>
                          <a:rPr lang="en-AU" sz="1100" i="1">
                            <a:latin typeface="Cambria Math" panose="02040503050406030204" pitchFamily="18" charset="0"/>
                          </a:rPr>
                          <m:t>𝐴𝑇𝑀𝑂𝑆</m:t>
                        </m:r>
                      </m:sub>
                    </m:sSub>
                    <m:r>
                      <a:rPr lang="en-AU" sz="1100" i="1">
                        <a:latin typeface="Cambria Math" panose="02040503050406030204" pitchFamily="18" charset="0"/>
                      </a:rPr>
                      <m:t>×</m:t>
                    </m:r>
                    <m:r>
                      <a:rPr lang="en-AU" sz="1100" i="1">
                        <a:latin typeface="Cambria Math" panose="02040503050406030204" pitchFamily="18" charset="0"/>
                      </a:rPr>
                      <m:t>𝐸</m:t>
                    </m:r>
                    <m:sSub>
                      <m:sSubPr>
                        <m:ctrlPr>
                          <a:rPr lang="en-AU" sz="1100" i="1">
                            <a:latin typeface="Cambria Math" panose="02040503050406030204" pitchFamily="18" charset="0"/>
                          </a:rPr>
                        </m:ctrlPr>
                      </m:sSubPr>
                      <m:e>
                        <m:r>
                          <a:rPr lang="en-AU" sz="1100" i="1">
                            <a:latin typeface="Cambria Math" panose="02040503050406030204" pitchFamily="18" charset="0"/>
                          </a:rPr>
                          <m:t>𝐹</m:t>
                        </m:r>
                      </m:e>
                      <m:sub>
                        <m:r>
                          <a:rPr lang="en-AU" sz="1100" i="1">
                            <a:latin typeface="Cambria Math" panose="02040503050406030204" pitchFamily="18" charset="0"/>
                          </a:rPr>
                          <m:t>𝑁</m:t>
                        </m:r>
                        <m:r>
                          <a:rPr lang="en-AU" sz="1100" i="1">
                            <a:latin typeface="Cambria Math" panose="02040503050406030204" pitchFamily="18" charset="0"/>
                          </a:rPr>
                          <m:t>2</m:t>
                        </m:r>
                        <m:r>
                          <a:rPr lang="en-AU" sz="1100" i="1">
                            <a:latin typeface="Cambria Math" panose="02040503050406030204" pitchFamily="18" charset="0"/>
                          </a:rPr>
                          <m:t>𝑂</m:t>
                        </m:r>
                      </m:sub>
                    </m:sSub>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𝐶</m:t>
                        </m:r>
                      </m:e>
                      <m:sub>
                        <m:r>
                          <a:rPr lang="en-AU" sz="1100" i="1">
                            <a:latin typeface="Cambria Math" panose="02040503050406030204" pitchFamily="18" charset="0"/>
                          </a:rPr>
                          <m:t>𝑁</m:t>
                        </m:r>
                        <m:r>
                          <a:rPr lang="en-AU" sz="1100" i="1">
                            <a:latin typeface="Cambria Math" panose="02040503050406030204" pitchFamily="18" charset="0"/>
                          </a:rPr>
                          <m:t>2</m:t>
                        </m:r>
                        <m:r>
                          <a:rPr lang="en-AU" sz="1100" i="1">
                            <a:latin typeface="Cambria Math" panose="02040503050406030204" pitchFamily="18" charset="0"/>
                          </a:rPr>
                          <m:t>𝑂</m:t>
                        </m:r>
                      </m:sub>
                    </m:sSub>
                    <m:r>
                      <a:rPr lang="en-AU" sz="1100" i="1">
                        <a:latin typeface="Cambria Math" panose="02040503050406030204" pitchFamily="18" charset="0"/>
                      </a:rPr>
                      <m:t>×</m:t>
                    </m:r>
                    <m:sSup>
                      <m:sSupPr>
                        <m:ctrlPr>
                          <a:rPr lang="en-AU" sz="1100" i="1">
                            <a:latin typeface="Cambria Math" panose="02040503050406030204" pitchFamily="18" charset="0"/>
                          </a:rPr>
                        </m:ctrlPr>
                      </m:sSupPr>
                      <m:e>
                        <m:r>
                          <a:rPr lang="en-AU" sz="1100" i="1">
                            <a:latin typeface="Cambria Math" panose="02040503050406030204" pitchFamily="18" charset="0"/>
                          </a:rPr>
                          <m:t>10</m:t>
                        </m:r>
                      </m:e>
                      <m:sup>
                        <m:r>
                          <a:rPr lang="en-AU" sz="1100" i="1">
                            <a:latin typeface="Cambria Math" panose="02040503050406030204" pitchFamily="18" charset="0"/>
                          </a:rPr>
                          <m:t>−3</m:t>
                        </m:r>
                      </m:sup>
                    </m:sSup>
                  </m:oMath>
                </m:oMathPara>
              </a14:m>
              <a:endParaRPr lang="en-AU" sz="1100"/>
            </a:p>
          </xdr:txBody>
        </xdr:sp>
      </mc:Choice>
      <mc:Fallback xmlns="">
        <xdr:sp macro="" textlink="">
          <xdr:nvSpPr>
            <xdr:cNvPr id="5" name="TextBox 4">
              <a:extLst>
                <a:ext uri="{FF2B5EF4-FFF2-40B4-BE49-F238E27FC236}">
                  <a16:creationId xmlns:a16="http://schemas.microsoft.com/office/drawing/2014/main" id="{FA3CFBE6-70BE-30B0-69AE-00B861A23008}"/>
                </a:ext>
              </a:extLst>
            </xdr:cNvPr>
            <xdr:cNvSpPr txBox="1"/>
          </xdr:nvSpPr>
          <xdr:spPr>
            <a:xfrm>
              <a:off x="2671762" y="13387387"/>
              <a:ext cx="2962093" cy="180114"/>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r>
                <a:rPr lang="en-AU" sz="1100" i="0">
                  <a:latin typeface="Cambria Math" panose="02040503050406030204" pitchFamily="18" charset="0"/>
                </a:rPr>
                <a:t>𝐸_(𝑁2𝑂,𝑀𝑀𝑆,𝑎𝑑)=𝑀𝑁_𝐴𝑇𝑀𝑂𝑆×𝐸𝐹_𝑁2𝑂×𝐶_𝑁2𝑂×10^(−3)</a:t>
              </a:r>
              <a:endParaRPr lang="en-AU" sz="1100"/>
            </a:p>
          </xdr:txBody>
        </xdr:sp>
      </mc:Fallback>
    </mc:AlternateContent>
    <xdr:clientData/>
  </xdr:oneCellAnchor>
</xdr:wsDr>
</file>

<file path=xl/drawings/drawing5.xml><?xml version="1.0" encoding="utf-8"?>
<xdr:wsDr xmlns:xdr="http://schemas.openxmlformats.org/drawingml/2006/spreadsheetDrawing" xmlns:a="http://schemas.openxmlformats.org/drawingml/2006/main">
  <xdr:oneCellAnchor>
    <xdr:from>
      <xdr:col>3</xdr:col>
      <xdr:colOff>19050</xdr:colOff>
      <xdr:row>7</xdr:row>
      <xdr:rowOff>128587</xdr:rowOff>
    </xdr:from>
    <xdr:ext cx="3431965" cy="182871"/>
    <mc:AlternateContent xmlns:mc="http://schemas.openxmlformats.org/markup-compatibility/2006" xmlns:a14="http://schemas.microsoft.com/office/drawing/2010/main">
      <mc:Choice Requires="a14">
        <xdr:sp macro="" textlink="">
          <xdr:nvSpPr>
            <xdr:cNvPr id="2" name="TextBox 1">
              <a:extLst>
                <a:ext uri="{FF2B5EF4-FFF2-40B4-BE49-F238E27FC236}">
                  <a16:creationId xmlns:a16="http://schemas.microsoft.com/office/drawing/2014/main" id="{A968A4CC-38E1-F028-2290-9DEF85E3089C}"/>
                </a:ext>
              </a:extLst>
            </xdr:cNvPr>
            <xdr:cNvSpPr txBox="1"/>
          </xdr:nvSpPr>
          <xdr:spPr>
            <a:xfrm>
              <a:off x="2695575" y="1995487"/>
              <a:ext cx="3431965" cy="18287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r>
                      <a:rPr lang="en-AU" sz="1100" i="1">
                        <a:latin typeface="Cambria Math" panose="02040503050406030204" pitchFamily="18" charset="0"/>
                      </a:rPr>
                      <m:t>𝑀𝑁𝐿𝑒𝑎𝑐</m:t>
                    </m:r>
                    <m:sSub>
                      <m:sSubPr>
                        <m:ctrlPr>
                          <a:rPr lang="en-AU" sz="1100" i="1">
                            <a:latin typeface="Cambria Math" panose="02040503050406030204" pitchFamily="18" charset="0"/>
                          </a:rPr>
                        </m:ctrlPr>
                      </m:sSubPr>
                      <m:e>
                        <m:r>
                          <a:rPr lang="en-AU" sz="1100" i="1">
                            <a:latin typeface="Cambria Math" panose="02040503050406030204" pitchFamily="18" charset="0"/>
                          </a:rPr>
                          <m:t>h</m:t>
                        </m:r>
                      </m:e>
                      <m:sub>
                        <m:r>
                          <a:rPr lang="en-AU" sz="1100" i="1">
                            <a:latin typeface="Cambria Math" panose="02040503050406030204" pitchFamily="18" charset="0"/>
                          </a:rPr>
                          <m:t>𝑗𝑚</m:t>
                        </m:r>
                        <m:r>
                          <a:rPr lang="en-AU" sz="1100" i="1">
                            <a:latin typeface="Cambria Math" panose="02040503050406030204" pitchFamily="18" charset="0"/>
                          </a:rPr>
                          <m:t>=4</m:t>
                        </m:r>
                      </m:sub>
                    </m:sSub>
                    <m:r>
                      <a:rPr lang="en-AU" sz="1100" i="1">
                        <a:latin typeface="Cambria Math" panose="02040503050406030204" pitchFamily="18" charset="0"/>
                      </a:rPr>
                      <m:t>=</m:t>
                    </m:r>
                    <m:r>
                      <a:rPr lang="en-AU" sz="1100" i="1">
                        <a:latin typeface="Cambria Math" panose="02040503050406030204" pitchFamily="18" charset="0"/>
                      </a:rPr>
                      <m:t>𝑀</m:t>
                    </m:r>
                    <m:sSub>
                      <m:sSubPr>
                        <m:ctrlPr>
                          <a:rPr lang="en-AU" sz="1100" i="1">
                            <a:latin typeface="Cambria Math" panose="02040503050406030204" pitchFamily="18" charset="0"/>
                          </a:rPr>
                        </m:ctrlPr>
                      </m:sSubPr>
                      <m:e>
                        <m:r>
                          <a:rPr lang="en-AU" sz="1100" i="1">
                            <a:latin typeface="Cambria Math" panose="02040503050406030204" pitchFamily="18" charset="0"/>
                          </a:rPr>
                          <m:t>𝑁</m:t>
                        </m:r>
                      </m:e>
                      <m:sub>
                        <m:r>
                          <a:rPr lang="en-AU" sz="1100" i="1">
                            <a:latin typeface="Cambria Math" panose="02040503050406030204" pitchFamily="18" charset="0"/>
                          </a:rPr>
                          <m:t>𝑗𝑚</m:t>
                        </m:r>
                        <m:r>
                          <a:rPr lang="en-AU" sz="1100" i="1">
                            <a:latin typeface="Cambria Math" panose="02040503050406030204" pitchFamily="18" charset="0"/>
                          </a:rPr>
                          <m:t>=4</m:t>
                        </m:r>
                      </m:sub>
                    </m:sSub>
                    <m:r>
                      <a:rPr lang="en-AU" sz="1100" i="1">
                        <a:latin typeface="Cambria Math" panose="02040503050406030204" pitchFamily="18" charset="0"/>
                      </a:rPr>
                      <m:t>×</m:t>
                    </m:r>
                    <m:r>
                      <a:rPr lang="en-AU" sz="1100" i="1">
                        <a:latin typeface="Cambria Math" panose="02040503050406030204" pitchFamily="18" charset="0"/>
                      </a:rPr>
                      <m:t>𝐹𝑟𝑎𝑐𝑊𝐸</m:t>
                    </m:r>
                    <m:sSub>
                      <m:sSubPr>
                        <m:ctrlPr>
                          <a:rPr lang="en-AU" sz="1100" i="1">
                            <a:latin typeface="Cambria Math" panose="02040503050406030204" pitchFamily="18" charset="0"/>
                          </a:rPr>
                        </m:ctrlPr>
                      </m:sSubPr>
                      <m:e>
                        <m:r>
                          <a:rPr lang="en-AU" sz="1100" i="1">
                            <a:latin typeface="Cambria Math" panose="02040503050406030204" pitchFamily="18" charset="0"/>
                          </a:rPr>
                          <m:t>𝑇</m:t>
                        </m:r>
                      </m:e>
                      <m:sub>
                        <m:r>
                          <a:rPr lang="en-AU" sz="1100" i="1">
                            <a:latin typeface="Cambria Math" panose="02040503050406030204" pitchFamily="18" charset="0"/>
                          </a:rPr>
                          <m:t>𝑖</m:t>
                        </m:r>
                      </m:sub>
                    </m:sSub>
                    <m:r>
                      <a:rPr lang="en-AU" sz="1100" i="1">
                        <a:latin typeface="Cambria Math" panose="02040503050406030204" pitchFamily="18" charset="0"/>
                      </a:rPr>
                      <m:t>×</m:t>
                    </m:r>
                    <m:r>
                      <a:rPr lang="en-AU" sz="1100" i="1">
                        <a:latin typeface="Cambria Math" panose="02040503050406030204" pitchFamily="18" charset="0"/>
                      </a:rPr>
                      <m:t>𝐹𝑟𝑎𝑐𝐿𝐸𝐴𝐶</m:t>
                    </m:r>
                    <m:sSub>
                      <m:sSubPr>
                        <m:ctrlPr>
                          <a:rPr lang="en-AU" sz="1100" i="1">
                            <a:latin typeface="Cambria Math" panose="02040503050406030204" pitchFamily="18" charset="0"/>
                          </a:rPr>
                        </m:ctrlPr>
                      </m:sSubPr>
                      <m:e>
                        <m:r>
                          <a:rPr lang="en-AU" sz="1100" i="1">
                            <a:latin typeface="Cambria Math" panose="02040503050406030204" pitchFamily="18" charset="0"/>
                          </a:rPr>
                          <m:t>𝐻</m:t>
                        </m:r>
                      </m:e>
                      <m:sub>
                        <m:r>
                          <a:rPr lang="en-AU" sz="1100" i="1">
                            <a:latin typeface="Cambria Math" panose="02040503050406030204" pitchFamily="18" charset="0"/>
                          </a:rPr>
                          <m:t>𝑀𝑆</m:t>
                        </m:r>
                      </m:sub>
                    </m:sSub>
                  </m:oMath>
                </m:oMathPara>
              </a14:m>
              <a:endParaRPr lang="en-AU" sz="1100"/>
            </a:p>
          </xdr:txBody>
        </xdr:sp>
      </mc:Choice>
      <mc:Fallback xmlns="">
        <xdr:sp macro="" textlink="">
          <xdr:nvSpPr>
            <xdr:cNvPr id="2" name="TextBox 1">
              <a:extLst>
                <a:ext uri="{FF2B5EF4-FFF2-40B4-BE49-F238E27FC236}">
                  <a16:creationId xmlns:a16="http://schemas.microsoft.com/office/drawing/2014/main" id="{A968A4CC-38E1-F028-2290-9DEF85E3089C}"/>
                </a:ext>
              </a:extLst>
            </xdr:cNvPr>
            <xdr:cNvSpPr txBox="1"/>
          </xdr:nvSpPr>
          <xdr:spPr>
            <a:xfrm>
              <a:off x="2695575" y="1995487"/>
              <a:ext cx="3431965" cy="18287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r>
                <a:rPr lang="en-AU" sz="1100" i="0">
                  <a:latin typeface="Cambria Math" panose="02040503050406030204" pitchFamily="18" charset="0"/>
                </a:rPr>
                <a:t>𝑀𝑁𝐿𝑒𝑎𝑐ℎ_(𝑗𝑚=4)=𝑀𝑁_(𝑗𝑚=4)×𝐹𝑟𝑎𝑐𝑊𝐸𝑇_𝑖×𝐹𝑟𝑎𝑐𝐿𝐸𝐴𝐶𝐻_𝑀𝑆</a:t>
              </a:r>
              <a:endParaRPr lang="en-AU" sz="1100"/>
            </a:p>
          </xdr:txBody>
        </xdr:sp>
      </mc:Fallback>
    </mc:AlternateContent>
    <xdr:clientData/>
  </xdr:oneCellAnchor>
  <xdr:oneCellAnchor>
    <xdr:from>
      <xdr:col>3</xdr:col>
      <xdr:colOff>14287</xdr:colOff>
      <xdr:row>36</xdr:row>
      <xdr:rowOff>128587</xdr:rowOff>
    </xdr:from>
    <xdr:ext cx="4071884" cy="332079"/>
    <mc:AlternateContent xmlns:mc="http://schemas.openxmlformats.org/markup-compatibility/2006" xmlns:a14="http://schemas.microsoft.com/office/drawing/2010/main">
      <mc:Choice Requires="a14">
        <xdr:sp macro="" textlink="">
          <xdr:nvSpPr>
            <xdr:cNvPr id="3" name="TextBox 2">
              <a:extLst>
                <a:ext uri="{FF2B5EF4-FFF2-40B4-BE49-F238E27FC236}">
                  <a16:creationId xmlns:a16="http://schemas.microsoft.com/office/drawing/2014/main" id="{72A0C7D8-9DAA-59BB-EAE8-CDDDC6E84314}"/>
                </a:ext>
              </a:extLst>
            </xdr:cNvPr>
            <xdr:cNvSpPr txBox="1"/>
          </xdr:nvSpPr>
          <xdr:spPr>
            <a:xfrm>
              <a:off x="2690812" y="9177337"/>
              <a:ext cx="4071884" cy="33207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sSub>
                      <m:sSubPr>
                        <m:ctrlPr>
                          <a:rPr lang="en-AU" sz="1100" i="1">
                            <a:latin typeface="Cambria Math" panose="02040503050406030204" pitchFamily="18" charset="0"/>
                          </a:rPr>
                        </m:ctrlPr>
                      </m:sSubPr>
                      <m:e>
                        <m:r>
                          <a:rPr lang="en-AU" sz="1100" i="1">
                            <a:latin typeface="Cambria Math" panose="02040503050406030204" pitchFamily="18" charset="0"/>
                          </a:rPr>
                          <m:t>𝐸</m:t>
                        </m:r>
                      </m:e>
                      <m:sub>
                        <m:r>
                          <a:rPr lang="en-AU" sz="1100" i="1">
                            <a:latin typeface="Cambria Math" panose="02040503050406030204" pitchFamily="18" charset="0"/>
                          </a:rPr>
                          <m:t>𝑁</m:t>
                        </m:r>
                        <m:r>
                          <a:rPr lang="en-AU" sz="1100" i="1">
                            <a:latin typeface="Cambria Math" panose="02040503050406030204" pitchFamily="18" charset="0"/>
                          </a:rPr>
                          <m:t>2</m:t>
                        </m:r>
                        <m:r>
                          <a:rPr lang="en-AU" sz="1100" i="1">
                            <a:latin typeface="Cambria Math" panose="02040503050406030204" pitchFamily="18" charset="0"/>
                          </a:rPr>
                          <m:t>𝑂</m:t>
                        </m:r>
                        <m:r>
                          <a:rPr lang="en-AU" sz="1100" i="1">
                            <a:latin typeface="Cambria Math" panose="02040503050406030204" pitchFamily="18" charset="0"/>
                          </a:rPr>
                          <m:t>,</m:t>
                        </m:r>
                        <m:r>
                          <a:rPr lang="en-AU" sz="1100" i="1">
                            <a:latin typeface="Cambria Math" panose="02040503050406030204" pitchFamily="18" charset="0"/>
                          </a:rPr>
                          <m:t>𝑙𝑒𝑎𝑐h</m:t>
                        </m:r>
                      </m:sub>
                    </m:sSub>
                    <m:r>
                      <a:rPr lang="en-AU" sz="1100" i="1">
                        <a:latin typeface="Cambria Math" panose="02040503050406030204" pitchFamily="18" charset="0"/>
                      </a:rPr>
                      <m:t>=</m:t>
                    </m:r>
                    <m:nary>
                      <m:naryPr>
                        <m:chr m:val="∑"/>
                        <m:limLoc m:val="subSup"/>
                        <m:supHide m:val="on"/>
                        <m:ctrlPr>
                          <a:rPr lang="en-AU" sz="1100" i="1">
                            <a:latin typeface="Cambria Math" panose="02040503050406030204" pitchFamily="18" charset="0"/>
                          </a:rPr>
                        </m:ctrlPr>
                      </m:naryPr>
                      <m:sub>
                        <m:r>
                          <a:rPr lang="en-AU" sz="1100" i="1">
                            <a:latin typeface="Cambria Math" panose="02040503050406030204" pitchFamily="18" charset="0"/>
                          </a:rPr>
                          <m:t>𝑗</m:t>
                        </m:r>
                      </m:sub>
                      <m:sup/>
                      <m:e>
                        <m:nary>
                          <m:naryPr>
                            <m:chr m:val="∑"/>
                            <m:limLoc m:val="subSup"/>
                            <m:supHide m:val="on"/>
                            <m:ctrlPr>
                              <a:rPr lang="en-AU" sz="1100" i="1">
                                <a:latin typeface="Cambria Math" panose="02040503050406030204" pitchFamily="18" charset="0"/>
                              </a:rPr>
                            </m:ctrlPr>
                          </m:naryPr>
                          <m:sub>
                            <m:r>
                              <a:rPr lang="en-AU" sz="1100" i="1">
                                <a:latin typeface="Cambria Math" panose="02040503050406030204" pitchFamily="18" charset="0"/>
                              </a:rPr>
                              <m:t>𝑚</m:t>
                            </m:r>
                            <m:r>
                              <a:rPr lang="en-AU" sz="1100" i="1">
                                <a:latin typeface="Cambria Math" panose="02040503050406030204" pitchFamily="18" charset="0"/>
                              </a:rPr>
                              <m:t>=1−13</m:t>
                            </m:r>
                          </m:sub>
                          <m:sup/>
                          <m:e>
                            <m:d>
                              <m:dPr>
                                <m:ctrlPr>
                                  <a:rPr lang="en-AU" sz="1100" i="1">
                                    <a:latin typeface="Cambria Math" panose="02040503050406030204" pitchFamily="18" charset="0"/>
                                  </a:rPr>
                                </m:ctrlPr>
                              </m:dPr>
                              <m:e>
                                <m:r>
                                  <a:rPr lang="en-AU" sz="1100" i="1">
                                    <a:latin typeface="Cambria Math" panose="02040503050406030204" pitchFamily="18" charset="0"/>
                                  </a:rPr>
                                  <m:t>𝑀𝑁𝐿𝑒𝑎𝑐</m:t>
                                </m:r>
                                <m:sSub>
                                  <m:sSubPr>
                                    <m:ctrlPr>
                                      <a:rPr lang="en-AU" sz="1100" i="1">
                                        <a:latin typeface="Cambria Math" panose="02040503050406030204" pitchFamily="18" charset="0"/>
                                      </a:rPr>
                                    </m:ctrlPr>
                                  </m:sSubPr>
                                  <m:e>
                                    <m:r>
                                      <a:rPr lang="en-AU" sz="1100" i="1">
                                        <a:latin typeface="Cambria Math" panose="02040503050406030204" pitchFamily="18" charset="0"/>
                                      </a:rPr>
                                      <m:t>h</m:t>
                                    </m:r>
                                  </m:e>
                                  <m:sub>
                                    <m:r>
                                      <a:rPr lang="en-AU" sz="1100" i="1">
                                        <a:latin typeface="Cambria Math" panose="02040503050406030204" pitchFamily="18" charset="0"/>
                                      </a:rPr>
                                      <m:t>𝑗𝑚</m:t>
                                    </m:r>
                                  </m:sub>
                                </m:sSub>
                                <m:r>
                                  <a:rPr lang="en-AU" sz="1100" i="1">
                                    <a:latin typeface="Cambria Math" panose="02040503050406030204" pitchFamily="18" charset="0"/>
                                  </a:rPr>
                                  <m:t>×</m:t>
                                </m:r>
                                <m:r>
                                  <a:rPr lang="en-AU" sz="1100" i="1">
                                    <a:latin typeface="Cambria Math" panose="02040503050406030204" pitchFamily="18" charset="0"/>
                                  </a:rPr>
                                  <m:t>𝐸</m:t>
                                </m:r>
                                <m:sSub>
                                  <m:sSubPr>
                                    <m:ctrlPr>
                                      <a:rPr lang="en-AU" sz="1100" i="1">
                                        <a:latin typeface="Cambria Math" panose="02040503050406030204" pitchFamily="18" charset="0"/>
                                      </a:rPr>
                                    </m:ctrlPr>
                                  </m:sSubPr>
                                  <m:e>
                                    <m:r>
                                      <a:rPr lang="en-AU" sz="1100" i="1">
                                        <a:latin typeface="Cambria Math" panose="02040503050406030204" pitchFamily="18" charset="0"/>
                                      </a:rPr>
                                      <m:t>𝐹</m:t>
                                    </m:r>
                                  </m:e>
                                  <m:sub>
                                    <m:r>
                                      <a:rPr lang="en-AU" sz="1100" i="1">
                                        <a:latin typeface="Cambria Math" panose="02040503050406030204" pitchFamily="18" charset="0"/>
                                      </a:rPr>
                                      <m:t>𝑙𝑒𝑎𝑐h</m:t>
                                    </m:r>
                                  </m:sub>
                                </m:sSub>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𝐶</m:t>
                                    </m:r>
                                  </m:e>
                                  <m:sub>
                                    <m:r>
                                      <a:rPr lang="en-AU" sz="1100" i="1">
                                        <a:latin typeface="Cambria Math" panose="02040503050406030204" pitchFamily="18" charset="0"/>
                                      </a:rPr>
                                      <m:t>𝑁</m:t>
                                    </m:r>
                                    <m:r>
                                      <a:rPr lang="en-AU" sz="1100" i="1">
                                        <a:latin typeface="Cambria Math" panose="02040503050406030204" pitchFamily="18" charset="0"/>
                                      </a:rPr>
                                      <m:t>2</m:t>
                                    </m:r>
                                    <m:r>
                                      <a:rPr lang="en-AU" sz="1100" i="1">
                                        <a:latin typeface="Cambria Math" panose="02040503050406030204" pitchFamily="18" charset="0"/>
                                      </a:rPr>
                                      <m:t>𝑂</m:t>
                                    </m:r>
                                  </m:sub>
                                </m:sSub>
                              </m:e>
                            </m:d>
                          </m:e>
                        </m:nary>
                      </m:e>
                    </m:nary>
                    <m:r>
                      <a:rPr lang="en-AU" sz="1100" i="1">
                        <a:latin typeface="Cambria Math" panose="02040503050406030204" pitchFamily="18" charset="0"/>
                      </a:rPr>
                      <m:t>×</m:t>
                    </m:r>
                    <m:sSup>
                      <m:sSupPr>
                        <m:ctrlPr>
                          <a:rPr lang="en-AU" sz="1100" i="1">
                            <a:latin typeface="Cambria Math" panose="02040503050406030204" pitchFamily="18" charset="0"/>
                          </a:rPr>
                        </m:ctrlPr>
                      </m:sSupPr>
                      <m:e>
                        <m:r>
                          <a:rPr lang="en-AU" sz="1100" i="1">
                            <a:latin typeface="Cambria Math" panose="02040503050406030204" pitchFamily="18" charset="0"/>
                          </a:rPr>
                          <m:t>10</m:t>
                        </m:r>
                      </m:e>
                      <m:sup>
                        <m:r>
                          <a:rPr lang="en-AU" sz="1100" i="1">
                            <a:latin typeface="Cambria Math" panose="02040503050406030204" pitchFamily="18" charset="0"/>
                          </a:rPr>
                          <m:t>−3</m:t>
                        </m:r>
                      </m:sup>
                    </m:sSup>
                  </m:oMath>
                </m:oMathPara>
              </a14:m>
              <a:endParaRPr lang="en-AU" sz="1100"/>
            </a:p>
          </xdr:txBody>
        </xdr:sp>
      </mc:Choice>
      <mc:Fallback xmlns="">
        <xdr:sp macro="" textlink="">
          <xdr:nvSpPr>
            <xdr:cNvPr id="3" name="TextBox 2">
              <a:extLst>
                <a:ext uri="{FF2B5EF4-FFF2-40B4-BE49-F238E27FC236}">
                  <a16:creationId xmlns:a16="http://schemas.microsoft.com/office/drawing/2014/main" id="{72A0C7D8-9DAA-59BB-EAE8-CDDDC6E84314}"/>
                </a:ext>
              </a:extLst>
            </xdr:cNvPr>
            <xdr:cNvSpPr txBox="1"/>
          </xdr:nvSpPr>
          <xdr:spPr>
            <a:xfrm>
              <a:off x="2690812" y="9177337"/>
              <a:ext cx="4071884" cy="33207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r>
                <a:rPr lang="en-AU" sz="1100" i="0">
                  <a:latin typeface="Cambria Math" panose="02040503050406030204" pitchFamily="18" charset="0"/>
                </a:rPr>
                <a:t>𝐸_(𝑁2𝑂,𝑙𝑒𝑎𝑐ℎ)=∑10_𝑗▒∑10_(𝑚=1−13)▒(𝑀𝑁𝐿𝑒𝑎𝑐ℎ_𝑗𝑚×𝐸𝐹_𝑙𝑒𝑎𝑐ℎ×𝐶_𝑁2𝑂 ) ×10^(−3)</a:t>
              </a:r>
              <a14:m xmlns:a14="http://schemas.microsoft.com/office/drawing/2010/main"/>
            </a:p>
          </xdr:txBody>
        </xdr:sp>
      </mc:Fallback>
    </mc:AlternateContent>
    <xdr:clientData/>
  </xdr:oneCellAnchor>
</xdr:wsDr>
</file>

<file path=xl/drawings/drawing6.xml><?xml version="1.0" encoding="utf-8"?>
<xdr:wsDr xmlns:xdr="http://schemas.openxmlformats.org/drawingml/2006/spreadsheetDrawing" xmlns:a="http://schemas.openxmlformats.org/drawingml/2006/main">
  <xdr:oneCellAnchor>
    <xdr:from>
      <xdr:col>2</xdr:col>
      <xdr:colOff>295275</xdr:colOff>
      <xdr:row>48</xdr:row>
      <xdr:rowOff>93289</xdr:rowOff>
    </xdr:from>
    <xdr:ext cx="6020815" cy="332079"/>
    <mc:AlternateContent xmlns:mc="http://schemas.openxmlformats.org/markup-compatibility/2006" xmlns:a14="http://schemas.microsoft.com/office/drawing/2010/main">
      <mc:Choice Requires="a14">
        <xdr:sp macro="" textlink="">
          <xdr:nvSpPr>
            <xdr:cNvPr id="4" name="TextBox 3">
              <a:extLst>
                <a:ext uri="{FF2B5EF4-FFF2-40B4-BE49-F238E27FC236}">
                  <a16:creationId xmlns:a16="http://schemas.microsoft.com/office/drawing/2014/main" id="{A726328E-340A-1113-AB49-75A92C825931}"/>
                </a:ext>
              </a:extLst>
            </xdr:cNvPr>
            <xdr:cNvSpPr txBox="1"/>
          </xdr:nvSpPr>
          <xdr:spPr>
            <a:xfrm>
              <a:off x="2659716" y="12061171"/>
              <a:ext cx="6020815" cy="33207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r>
                      <a:rPr lang="en-AU" sz="1100" i="1">
                        <a:latin typeface="Cambria Math" panose="02040503050406030204" pitchFamily="18" charset="0"/>
                      </a:rPr>
                      <m:t>𝑀𝑁𝑆𝑜𝑖</m:t>
                    </m:r>
                    <m:sSub>
                      <m:sSubPr>
                        <m:ctrlPr>
                          <a:rPr lang="en-AU" sz="1100" i="1">
                            <a:latin typeface="Cambria Math" panose="02040503050406030204" pitchFamily="18" charset="0"/>
                          </a:rPr>
                        </m:ctrlPr>
                      </m:sSubPr>
                      <m:e>
                        <m:r>
                          <a:rPr lang="en-AU" sz="1100" i="1">
                            <a:latin typeface="Cambria Math" panose="02040503050406030204" pitchFamily="18" charset="0"/>
                          </a:rPr>
                          <m:t>𝑙</m:t>
                        </m:r>
                      </m:e>
                      <m:sub>
                        <m:r>
                          <a:rPr lang="en-AU" sz="1100" i="1">
                            <a:latin typeface="Cambria Math" panose="02040503050406030204" pitchFamily="18" charset="0"/>
                          </a:rPr>
                          <m:t>𝑠𝑐𝑜𝑝𝑒</m:t>
                        </m:r>
                        <m:r>
                          <a:rPr lang="en-AU" sz="1100" i="1">
                            <a:latin typeface="Cambria Math" panose="02040503050406030204" pitchFamily="18" charset="0"/>
                          </a:rPr>
                          <m:t>1</m:t>
                        </m:r>
                      </m:sub>
                    </m:sSub>
                    <m:r>
                      <a:rPr lang="en-AU" sz="1100" i="1">
                        <a:latin typeface="Cambria Math" panose="02040503050406030204" pitchFamily="18" charset="0"/>
                      </a:rPr>
                      <m:t>=</m:t>
                    </m:r>
                    <m:nary>
                      <m:naryPr>
                        <m:chr m:val="∑"/>
                        <m:limLoc m:val="subSup"/>
                        <m:supHide m:val="on"/>
                        <m:ctrlPr>
                          <a:rPr lang="en-AU" sz="1100" i="1">
                            <a:latin typeface="Cambria Math" panose="02040503050406030204" pitchFamily="18" charset="0"/>
                          </a:rPr>
                        </m:ctrlPr>
                      </m:naryPr>
                      <m:sub>
                        <m:r>
                          <a:rPr lang="en-AU" sz="1100" i="1">
                            <a:latin typeface="Cambria Math" panose="02040503050406030204" pitchFamily="18" charset="0"/>
                          </a:rPr>
                          <m:t>𝑗</m:t>
                        </m:r>
                      </m:sub>
                      <m:sup/>
                      <m:e>
                        <m:nary>
                          <m:naryPr>
                            <m:chr m:val="∑"/>
                            <m:limLoc m:val="subSup"/>
                            <m:supHide m:val="on"/>
                            <m:ctrlPr>
                              <a:rPr lang="en-AU" sz="1100" i="1">
                                <a:latin typeface="Cambria Math" panose="02040503050406030204" pitchFamily="18" charset="0"/>
                              </a:rPr>
                            </m:ctrlPr>
                          </m:naryPr>
                          <m:sub>
                            <m:r>
                              <a:rPr lang="en-AU" sz="1100" i="1">
                                <a:latin typeface="Cambria Math" panose="02040503050406030204" pitchFamily="18" charset="0"/>
                              </a:rPr>
                              <m:t>𝑚</m:t>
                            </m:r>
                          </m:sub>
                          <m:sup/>
                          <m:e>
                            <m:d>
                              <m:dPr>
                                <m:ctrlPr>
                                  <a:rPr lang="en-AU" sz="1100" i="1">
                                    <a:latin typeface="Cambria Math" panose="02040503050406030204" pitchFamily="18" charset="0"/>
                                  </a:rPr>
                                </m:ctrlPr>
                              </m:dPr>
                              <m:e>
                                <m:r>
                                  <a:rPr lang="en-AU" sz="1100" i="1">
                                    <a:latin typeface="Cambria Math" panose="02040503050406030204" pitchFamily="18" charset="0"/>
                                  </a:rPr>
                                  <m:t>𝑀</m:t>
                                </m:r>
                                <m:sSub>
                                  <m:sSubPr>
                                    <m:ctrlPr>
                                      <a:rPr lang="en-AU" sz="1100" i="1">
                                        <a:latin typeface="Cambria Math" panose="02040503050406030204" pitchFamily="18" charset="0"/>
                                      </a:rPr>
                                    </m:ctrlPr>
                                  </m:sSubPr>
                                  <m:e>
                                    <m:r>
                                      <a:rPr lang="en-AU" sz="1100" i="1">
                                        <a:latin typeface="Cambria Math" panose="02040503050406030204" pitchFamily="18" charset="0"/>
                                      </a:rPr>
                                      <m:t>𝑁</m:t>
                                    </m:r>
                                  </m:e>
                                  <m:sub>
                                    <m:r>
                                      <a:rPr lang="en-AU" sz="1100" i="1">
                                        <a:latin typeface="Cambria Math" panose="02040503050406030204" pitchFamily="18" charset="0"/>
                                      </a:rPr>
                                      <m:t>𝑗𝑚</m:t>
                                    </m:r>
                                    <m:r>
                                      <a:rPr lang="en-AU" sz="1100" i="1">
                                        <a:latin typeface="Cambria Math" panose="02040503050406030204" pitchFamily="18" charset="0"/>
                                      </a:rPr>
                                      <m:t>=1−13</m:t>
                                    </m:r>
                                  </m:sub>
                                </m:sSub>
                                <m:r>
                                  <a:rPr lang="en-AU" sz="1100" i="1">
                                    <a:latin typeface="Cambria Math" panose="02040503050406030204" pitchFamily="18" charset="0"/>
                                  </a:rPr>
                                  <m:t>×</m:t>
                                </m:r>
                                <m:d>
                                  <m:dPr>
                                    <m:ctrlPr>
                                      <a:rPr lang="en-AU" sz="1100" i="1">
                                        <a:latin typeface="Cambria Math" panose="02040503050406030204" pitchFamily="18" charset="0"/>
                                      </a:rPr>
                                    </m:ctrlPr>
                                  </m:dPr>
                                  <m:e>
                                    <m:r>
                                      <a:rPr lang="en-AU" sz="1100" i="1">
                                        <a:latin typeface="Cambria Math" panose="02040503050406030204" pitchFamily="18" charset="0"/>
                                      </a:rPr>
                                      <m:t>1−</m:t>
                                    </m:r>
                                    <m:r>
                                      <a:rPr lang="en-AU" sz="1100" i="1">
                                        <a:latin typeface="Cambria Math" panose="02040503050406030204" pitchFamily="18" charset="0"/>
                                      </a:rPr>
                                      <m:t>𝐸</m:t>
                                    </m:r>
                                    <m:sSub>
                                      <m:sSubPr>
                                        <m:ctrlPr>
                                          <a:rPr lang="en-AU" sz="1100" i="1">
                                            <a:latin typeface="Cambria Math" panose="02040503050406030204" pitchFamily="18" charset="0"/>
                                          </a:rPr>
                                        </m:ctrlPr>
                                      </m:sSubPr>
                                      <m:e>
                                        <m:r>
                                          <a:rPr lang="en-AU" sz="1100" i="1">
                                            <a:latin typeface="Cambria Math" panose="02040503050406030204" pitchFamily="18" charset="0"/>
                                          </a:rPr>
                                          <m:t>𝐹</m:t>
                                        </m:r>
                                      </m:e>
                                      <m:sub>
                                        <m:r>
                                          <a:rPr lang="en-AU" sz="1100" i="1">
                                            <a:latin typeface="Cambria Math" panose="02040503050406030204" pitchFamily="18" charset="0"/>
                                          </a:rPr>
                                          <m:t>𝑚</m:t>
                                        </m:r>
                                        <m:r>
                                          <a:rPr lang="en-AU" sz="1100" i="1">
                                            <a:latin typeface="Cambria Math" panose="02040503050406030204" pitchFamily="18" charset="0"/>
                                          </a:rPr>
                                          <m:t>=1−13</m:t>
                                        </m:r>
                                      </m:sub>
                                    </m:sSub>
                                    <m:r>
                                      <a:rPr lang="en-AU" sz="1100" i="1">
                                        <a:latin typeface="Cambria Math" panose="02040503050406030204" pitchFamily="18" charset="0"/>
                                      </a:rPr>
                                      <m:t>−</m:t>
                                    </m:r>
                                    <m:r>
                                      <a:rPr lang="en-AU" sz="1100" i="1">
                                        <a:latin typeface="Cambria Math" panose="02040503050406030204" pitchFamily="18" charset="0"/>
                                      </a:rPr>
                                      <m:t>𝐹𝑟𝑎𝑐𝐺𝐴𝑆</m:t>
                                    </m:r>
                                    <m:sSub>
                                      <m:sSubPr>
                                        <m:ctrlPr>
                                          <a:rPr lang="en-AU" sz="1100" i="1">
                                            <a:latin typeface="Cambria Math" panose="02040503050406030204" pitchFamily="18" charset="0"/>
                                          </a:rPr>
                                        </m:ctrlPr>
                                      </m:sSubPr>
                                      <m:e>
                                        <m:r>
                                          <a:rPr lang="en-AU" sz="1100" i="1">
                                            <a:latin typeface="Cambria Math" panose="02040503050406030204" pitchFamily="18" charset="0"/>
                                          </a:rPr>
                                          <m:t>𝑀</m:t>
                                        </m:r>
                                      </m:e>
                                      <m:sub>
                                        <m:r>
                                          <a:rPr lang="en-AU" sz="1100" i="1">
                                            <a:latin typeface="Cambria Math" panose="02040503050406030204" pitchFamily="18" charset="0"/>
                                          </a:rPr>
                                          <m:t>𝑚</m:t>
                                        </m:r>
                                        <m:r>
                                          <a:rPr lang="en-AU" sz="1100" i="1">
                                            <a:latin typeface="Cambria Math" panose="02040503050406030204" pitchFamily="18" charset="0"/>
                                          </a:rPr>
                                          <m:t>=1−13</m:t>
                                        </m:r>
                                      </m:sub>
                                    </m:sSub>
                                  </m:e>
                                </m:d>
                                <m:r>
                                  <a:rPr lang="en-AU" sz="1100" i="1">
                                    <a:latin typeface="Cambria Math" panose="02040503050406030204" pitchFamily="18" charset="0"/>
                                  </a:rPr>
                                  <m:t>−</m:t>
                                </m:r>
                                <m:r>
                                  <a:rPr lang="en-AU" sz="1100" i="1">
                                    <a:latin typeface="Cambria Math" panose="02040503050406030204" pitchFamily="18" charset="0"/>
                                  </a:rPr>
                                  <m:t>𝑀𝑁𝐿𝑒𝑎𝑐</m:t>
                                </m:r>
                                <m:sSub>
                                  <m:sSubPr>
                                    <m:ctrlPr>
                                      <a:rPr lang="en-AU" sz="1100" i="1">
                                        <a:latin typeface="Cambria Math" panose="02040503050406030204" pitchFamily="18" charset="0"/>
                                      </a:rPr>
                                    </m:ctrlPr>
                                  </m:sSubPr>
                                  <m:e>
                                    <m:r>
                                      <a:rPr lang="en-AU" sz="1100" i="1">
                                        <a:latin typeface="Cambria Math" panose="02040503050406030204" pitchFamily="18" charset="0"/>
                                      </a:rPr>
                                      <m:t>h</m:t>
                                    </m:r>
                                  </m:e>
                                  <m:sub>
                                    <m:r>
                                      <a:rPr lang="en-AU" sz="1100" i="1">
                                        <a:latin typeface="Cambria Math" panose="02040503050406030204" pitchFamily="18" charset="0"/>
                                      </a:rPr>
                                      <m:t>𝑗𝑚</m:t>
                                    </m:r>
                                  </m:sub>
                                </m:sSub>
                              </m:e>
                            </m:d>
                          </m:e>
                        </m:nary>
                      </m:e>
                    </m:nary>
                    <m:r>
                      <a:rPr lang="en-AU" sz="1100" i="1">
                        <a:latin typeface="Cambria Math" panose="02040503050406030204" pitchFamily="18" charset="0"/>
                      </a:rPr>
                      <m:t>×</m:t>
                    </m:r>
                    <m:r>
                      <a:rPr lang="en-AU" sz="1100" i="1">
                        <a:latin typeface="Cambria Math" panose="02040503050406030204" pitchFamily="18" charset="0"/>
                      </a:rPr>
                      <m:t>𝑃𝐹</m:t>
                    </m:r>
                  </m:oMath>
                </m:oMathPara>
              </a14:m>
              <a:endParaRPr lang="en-AU" sz="1100"/>
            </a:p>
          </xdr:txBody>
        </xdr:sp>
      </mc:Choice>
      <mc:Fallback xmlns="">
        <xdr:sp macro="" textlink="">
          <xdr:nvSpPr>
            <xdr:cNvPr id="4" name="TextBox 3">
              <a:extLst>
                <a:ext uri="{FF2B5EF4-FFF2-40B4-BE49-F238E27FC236}">
                  <a16:creationId xmlns:a16="http://schemas.microsoft.com/office/drawing/2014/main" id="{A726328E-340A-1113-AB49-75A92C825931}"/>
                </a:ext>
              </a:extLst>
            </xdr:cNvPr>
            <xdr:cNvSpPr txBox="1"/>
          </xdr:nvSpPr>
          <xdr:spPr>
            <a:xfrm>
              <a:off x="2659716" y="12061171"/>
              <a:ext cx="6020815" cy="33207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r>
                <a:rPr lang="en-AU" sz="1100" i="0">
                  <a:latin typeface="Cambria Math" panose="02040503050406030204" pitchFamily="18" charset="0"/>
                </a:rPr>
                <a:t>𝑀𝑁𝑆𝑜𝑖𝑙_𝑠𝑐𝑜𝑝𝑒1=∑10_𝑗▒∑10_𝑚▒(𝑀𝑁_(𝑗𝑚=1−13)×(1−𝐸𝐹_(𝑚=1−13)−𝐹𝑟𝑎𝑐𝐺𝐴𝑆𝑀_(𝑚=1−13) )−𝑀𝑁𝐿𝑒𝑎𝑐ℎ_𝑗𝑚 ) ×𝑃</a:t>
              </a:r>
              <a14:m xmlns:a14="http://schemas.microsoft.com/office/drawing/2010/main"/>
            </a:p>
          </xdr:txBody>
        </xdr:sp>
      </mc:Fallback>
    </mc:AlternateContent>
    <xdr:clientData/>
  </xdr:oneCellAnchor>
  <xdr:oneCellAnchor>
    <xdr:from>
      <xdr:col>3</xdr:col>
      <xdr:colOff>19050</xdr:colOff>
      <xdr:row>7</xdr:row>
      <xdr:rowOff>128587</xdr:rowOff>
    </xdr:from>
    <xdr:ext cx="3431965" cy="182871"/>
    <mc:AlternateContent xmlns:mc="http://schemas.openxmlformats.org/markup-compatibility/2006" xmlns:a14="http://schemas.microsoft.com/office/drawing/2010/main">
      <mc:Choice Requires="a14">
        <xdr:sp macro="" textlink="">
          <xdr:nvSpPr>
            <xdr:cNvPr id="5" name="TextBox 4">
              <a:extLst>
                <a:ext uri="{FF2B5EF4-FFF2-40B4-BE49-F238E27FC236}">
                  <a16:creationId xmlns:a16="http://schemas.microsoft.com/office/drawing/2014/main" id="{28D387F4-AB9D-4CF0-A1AB-CBF0155F7D7D}"/>
                </a:ext>
              </a:extLst>
            </xdr:cNvPr>
            <xdr:cNvSpPr txBox="1"/>
          </xdr:nvSpPr>
          <xdr:spPr>
            <a:xfrm>
              <a:off x="2695575" y="1995487"/>
              <a:ext cx="3431965" cy="18287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r>
                      <a:rPr lang="en-AU" sz="1100" i="1">
                        <a:latin typeface="Cambria Math" panose="02040503050406030204" pitchFamily="18" charset="0"/>
                      </a:rPr>
                      <m:t>𝑀𝑁𝐿𝑒𝑎𝑐</m:t>
                    </m:r>
                    <m:sSub>
                      <m:sSubPr>
                        <m:ctrlPr>
                          <a:rPr lang="en-AU" sz="1100" i="1">
                            <a:latin typeface="Cambria Math" panose="02040503050406030204" pitchFamily="18" charset="0"/>
                          </a:rPr>
                        </m:ctrlPr>
                      </m:sSubPr>
                      <m:e>
                        <m:r>
                          <a:rPr lang="en-AU" sz="1100" i="1">
                            <a:latin typeface="Cambria Math" panose="02040503050406030204" pitchFamily="18" charset="0"/>
                          </a:rPr>
                          <m:t>h</m:t>
                        </m:r>
                      </m:e>
                      <m:sub>
                        <m:r>
                          <a:rPr lang="en-AU" sz="1100" i="1">
                            <a:latin typeface="Cambria Math" panose="02040503050406030204" pitchFamily="18" charset="0"/>
                          </a:rPr>
                          <m:t>𝑗𝑚</m:t>
                        </m:r>
                        <m:r>
                          <a:rPr lang="en-AU" sz="1100" i="1">
                            <a:latin typeface="Cambria Math" panose="02040503050406030204" pitchFamily="18" charset="0"/>
                          </a:rPr>
                          <m:t>=4</m:t>
                        </m:r>
                      </m:sub>
                    </m:sSub>
                    <m:r>
                      <a:rPr lang="en-AU" sz="1100" i="1">
                        <a:latin typeface="Cambria Math" panose="02040503050406030204" pitchFamily="18" charset="0"/>
                      </a:rPr>
                      <m:t>=</m:t>
                    </m:r>
                    <m:r>
                      <a:rPr lang="en-AU" sz="1100" i="1">
                        <a:latin typeface="Cambria Math" panose="02040503050406030204" pitchFamily="18" charset="0"/>
                      </a:rPr>
                      <m:t>𝑀</m:t>
                    </m:r>
                    <m:sSub>
                      <m:sSubPr>
                        <m:ctrlPr>
                          <a:rPr lang="en-AU" sz="1100" i="1">
                            <a:latin typeface="Cambria Math" panose="02040503050406030204" pitchFamily="18" charset="0"/>
                          </a:rPr>
                        </m:ctrlPr>
                      </m:sSubPr>
                      <m:e>
                        <m:r>
                          <a:rPr lang="en-AU" sz="1100" i="1">
                            <a:latin typeface="Cambria Math" panose="02040503050406030204" pitchFamily="18" charset="0"/>
                          </a:rPr>
                          <m:t>𝑁</m:t>
                        </m:r>
                      </m:e>
                      <m:sub>
                        <m:r>
                          <a:rPr lang="en-AU" sz="1100" i="1">
                            <a:latin typeface="Cambria Math" panose="02040503050406030204" pitchFamily="18" charset="0"/>
                          </a:rPr>
                          <m:t>𝑗𝑚</m:t>
                        </m:r>
                        <m:r>
                          <a:rPr lang="en-AU" sz="1100" i="1">
                            <a:latin typeface="Cambria Math" panose="02040503050406030204" pitchFamily="18" charset="0"/>
                          </a:rPr>
                          <m:t>=4</m:t>
                        </m:r>
                      </m:sub>
                    </m:sSub>
                    <m:r>
                      <a:rPr lang="en-AU" sz="1100" i="1">
                        <a:latin typeface="Cambria Math" panose="02040503050406030204" pitchFamily="18" charset="0"/>
                      </a:rPr>
                      <m:t>×</m:t>
                    </m:r>
                    <m:r>
                      <a:rPr lang="en-AU" sz="1100" i="1">
                        <a:latin typeface="Cambria Math" panose="02040503050406030204" pitchFamily="18" charset="0"/>
                      </a:rPr>
                      <m:t>𝐹𝑟𝑎𝑐𝑊𝐸</m:t>
                    </m:r>
                    <m:sSub>
                      <m:sSubPr>
                        <m:ctrlPr>
                          <a:rPr lang="en-AU" sz="1100" i="1">
                            <a:latin typeface="Cambria Math" panose="02040503050406030204" pitchFamily="18" charset="0"/>
                          </a:rPr>
                        </m:ctrlPr>
                      </m:sSubPr>
                      <m:e>
                        <m:r>
                          <a:rPr lang="en-AU" sz="1100" i="1">
                            <a:latin typeface="Cambria Math" panose="02040503050406030204" pitchFamily="18" charset="0"/>
                          </a:rPr>
                          <m:t>𝑇</m:t>
                        </m:r>
                      </m:e>
                      <m:sub>
                        <m:r>
                          <a:rPr lang="en-AU" sz="1100" i="1">
                            <a:latin typeface="Cambria Math" panose="02040503050406030204" pitchFamily="18" charset="0"/>
                          </a:rPr>
                          <m:t>𝑖</m:t>
                        </m:r>
                      </m:sub>
                    </m:sSub>
                    <m:r>
                      <a:rPr lang="en-AU" sz="1100" i="1">
                        <a:latin typeface="Cambria Math" panose="02040503050406030204" pitchFamily="18" charset="0"/>
                      </a:rPr>
                      <m:t>×</m:t>
                    </m:r>
                    <m:r>
                      <a:rPr lang="en-AU" sz="1100" i="1">
                        <a:latin typeface="Cambria Math" panose="02040503050406030204" pitchFamily="18" charset="0"/>
                      </a:rPr>
                      <m:t>𝐹𝑟𝑎𝑐𝐿𝐸𝐴𝐶</m:t>
                    </m:r>
                    <m:sSub>
                      <m:sSubPr>
                        <m:ctrlPr>
                          <a:rPr lang="en-AU" sz="1100" i="1">
                            <a:latin typeface="Cambria Math" panose="02040503050406030204" pitchFamily="18" charset="0"/>
                          </a:rPr>
                        </m:ctrlPr>
                      </m:sSubPr>
                      <m:e>
                        <m:r>
                          <a:rPr lang="en-AU" sz="1100" i="1">
                            <a:latin typeface="Cambria Math" panose="02040503050406030204" pitchFamily="18" charset="0"/>
                          </a:rPr>
                          <m:t>𝐻</m:t>
                        </m:r>
                      </m:e>
                      <m:sub>
                        <m:r>
                          <a:rPr lang="en-AU" sz="1100" i="1">
                            <a:latin typeface="Cambria Math" panose="02040503050406030204" pitchFamily="18" charset="0"/>
                          </a:rPr>
                          <m:t>𝑀𝑆</m:t>
                        </m:r>
                      </m:sub>
                    </m:sSub>
                  </m:oMath>
                </m:oMathPara>
              </a14:m>
              <a:endParaRPr lang="en-AU" sz="1100"/>
            </a:p>
          </xdr:txBody>
        </xdr:sp>
      </mc:Choice>
      <mc:Fallback xmlns="">
        <xdr:sp macro="" textlink="">
          <xdr:nvSpPr>
            <xdr:cNvPr id="5" name="TextBox 4">
              <a:extLst>
                <a:ext uri="{FF2B5EF4-FFF2-40B4-BE49-F238E27FC236}">
                  <a16:creationId xmlns:a16="http://schemas.microsoft.com/office/drawing/2014/main" id="{28D387F4-AB9D-4CF0-A1AB-CBF0155F7D7D}"/>
                </a:ext>
              </a:extLst>
            </xdr:cNvPr>
            <xdr:cNvSpPr txBox="1"/>
          </xdr:nvSpPr>
          <xdr:spPr>
            <a:xfrm>
              <a:off x="2695575" y="1995487"/>
              <a:ext cx="3431965" cy="18287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r>
                <a:rPr lang="en-AU" sz="1100" i="0">
                  <a:latin typeface="Cambria Math" panose="02040503050406030204" pitchFamily="18" charset="0"/>
                </a:rPr>
                <a:t>𝑀𝑁𝐿𝑒𝑎𝑐ℎ_(𝑗𝑚=4)=𝑀𝑁_(𝑗𝑚=4)×𝐹𝑟𝑎𝑐𝑊𝐸𝑇_𝑖×𝐹𝑟𝑎𝑐𝐿𝐸𝐴𝐶𝐻_𝑀𝑆</a:t>
              </a:r>
              <a:endParaRPr lang="en-AU" sz="1100"/>
            </a:p>
          </xdr:txBody>
        </xdr:sp>
      </mc:Fallback>
    </mc:AlternateContent>
    <xdr:clientData/>
  </xdr:oneCellAnchor>
  <xdr:oneCellAnchor>
    <xdr:from>
      <xdr:col>3</xdr:col>
      <xdr:colOff>13445</xdr:colOff>
      <xdr:row>108</xdr:row>
      <xdr:rowOff>108696</xdr:rowOff>
    </xdr:from>
    <xdr:ext cx="6384120" cy="332079"/>
    <mc:AlternateContent xmlns:mc="http://schemas.openxmlformats.org/markup-compatibility/2006" xmlns:a14="http://schemas.microsoft.com/office/drawing/2010/main">
      <mc:Choice Requires="a14">
        <xdr:sp macro="" textlink="">
          <xdr:nvSpPr>
            <xdr:cNvPr id="6" name="TextBox 5">
              <a:extLst>
                <a:ext uri="{FF2B5EF4-FFF2-40B4-BE49-F238E27FC236}">
                  <a16:creationId xmlns:a16="http://schemas.microsoft.com/office/drawing/2014/main" id="{D1D84F8D-E857-934D-8CCF-DE7C29BCD497}"/>
                </a:ext>
              </a:extLst>
            </xdr:cNvPr>
            <xdr:cNvSpPr txBox="1"/>
          </xdr:nvSpPr>
          <xdr:spPr>
            <a:xfrm>
              <a:off x="2691651" y="26868343"/>
              <a:ext cx="6384120" cy="33207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r>
                      <a:rPr lang="en-AU" sz="1100" i="1">
                        <a:latin typeface="Cambria Math" panose="02040503050406030204" pitchFamily="18" charset="0"/>
                      </a:rPr>
                      <m:t>𝑀𝑁𝑆𝑜𝑖</m:t>
                    </m:r>
                    <m:sSub>
                      <m:sSubPr>
                        <m:ctrlPr>
                          <a:rPr lang="en-AU" sz="1100" i="1">
                            <a:latin typeface="Cambria Math" panose="02040503050406030204" pitchFamily="18" charset="0"/>
                          </a:rPr>
                        </m:ctrlPr>
                      </m:sSubPr>
                      <m:e>
                        <m:r>
                          <a:rPr lang="en-AU" sz="1100" i="1">
                            <a:latin typeface="Cambria Math" panose="02040503050406030204" pitchFamily="18" charset="0"/>
                          </a:rPr>
                          <m:t>𝑙</m:t>
                        </m:r>
                      </m:e>
                      <m:sub>
                        <m:r>
                          <a:rPr lang="en-AU" sz="1100" i="1">
                            <a:latin typeface="Cambria Math" panose="02040503050406030204" pitchFamily="18" charset="0"/>
                          </a:rPr>
                          <m:t>𝑠𝑐𝑜𝑝𝑒</m:t>
                        </m:r>
                        <m:r>
                          <a:rPr lang="en-AU" sz="1100" i="1">
                            <a:latin typeface="Cambria Math" panose="02040503050406030204" pitchFamily="18" charset="0"/>
                          </a:rPr>
                          <m:t>3</m:t>
                        </m:r>
                      </m:sub>
                    </m:sSub>
                    <m:r>
                      <a:rPr lang="en-AU" sz="1100" i="1">
                        <a:latin typeface="Cambria Math" panose="02040503050406030204" pitchFamily="18" charset="0"/>
                      </a:rPr>
                      <m:t>=</m:t>
                    </m:r>
                    <m:nary>
                      <m:naryPr>
                        <m:chr m:val="∑"/>
                        <m:limLoc m:val="subSup"/>
                        <m:supHide m:val="on"/>
                        <m:ctrlPr>
                          <a:rPr lang="en-AU" sz="1100" i="1">
                            <a:latin typeface="Cambria Math" panose="02040503050406030204" pitchFamily="18" charset="0"/>
                          </a:rPr>
                        </m:ctrlPr>
                      </m:naryPr>
                      <m:sub>
                        <m:r>
                          <a:rPr lang="en-AU" sz="1100" i="1">
                            <a:latin typeface="Cambria Math" panose="02040503050406030204" pitchFamily="18" charset="0"/>
                          </a:rPr>
                          <m:t>𝑗</m:t>
                        </m:r>
                      </m:sub>
                      <m:sup/>
                      <m:e>
                        <m:nary>
                          <m:naryPr>
                            <m:chr m:val="∑"/>
                            <m:limLoc m:val="subSup"/>
                            <m:supHide m:val="on"/>
                            <m:ctrlPr>
                              <a:rPr lang="en-AU" sz="1100" i="1">
                                <a:latin typeface="Cambria Math" panose="02040503050406030204" pitchFamily="18" charset="0"/>
                              </a:rPr>
                            </m:ctrlPr>
                          </m:naryPr>
                          <m:sub>
                            <m:r>
                              <a:rPr lang="en-AU" sz="1100" i="1">
                                <a:latin typeface="Cambria Math" panose="02040503050406030204" pitchFamily="18" charset="0"/>
                              </a:rPr>
                              <m:t>𝑚</m:t>
                            </m:r>
                          </m:sub>
                          <m:sup/>
                          <m:e>
                            <m:d>
                              <m:dPr>
                                <m:ctrlPr>
                                  <a:rPr lang="en-AU" sz="1100" i="1">
                                    <a:latin typeface="Cambria Math" panose="02040503050406030204" pitchFamily="18" charset="0"/>
                                  </a:rPr>
                                </m:ctrlPr>
                              </m:dPr>
                              <m:e>
                                <m:r>
                                  <a:rPr lang="en-AU" sz="1100" i="1">
                                    <a:latin typeface="Cambria Math" panose="02040503050406030204" pitchFamily="18" charset="0"/>
                                  </a:rPr>
                                  <m:t>𝑀</m:t>
                                </m:r>
                                <m:sSub>
                                  <m:sSubPr>
                                    <m:ctrlPr>
                                      <a:rPr lang="en-AU" sz="1100" i="1">
                                        <a:latin typeface="Cambria Math" panose="02040503050406030204" pitchFamily="18" charset="0"/>
                                      </a:rPr>
                                    </m:ctrlPr>
                                  </m:sSubPr>
                                  <m:e>
                                    <m:r>
                                      <a:rPr lang="en-AU" sz="1100" i="1">
                                        <a:latin typeface="Cambria Math" panose="02040503050406030204" pitchFamily="18" charset="0"/>
                                      </a:rPr>
                                      <m:t>𝑁</m:t>
                                    </m:r>
                                  </m:e>
                                  <m:sub>
                                    <m:r>
                                      <a:rPr lang="en-AU" sz="1100" i="1">
                                        <a:latin typeface="Cambria Math" panose="02040503050406030204" pitchFamily="18" charset="0"/>
                                      </a:rPr>
                                      <m:t>𝑗𝑚</m:t>
                                    </m:r>
                                    <m:r>
                                      <a:rPr lang="en-AU" sz="1100" i="1">
                                        <a:latin typeface="Cambria Math" panose="02040503050406030204" pitchFamily="18" charset="0"/>
                                      </a:rPr>
                                      <m:t>=1−13</m:t>
                                    </m:r>
                                  </m:sub>
                                </m:sSub>
                                <m:r>
                                  <a:rPr lang="en-AU" sz="1100" i="1">
                                    <a:latin typeface="Cambria Math" panose="02040503050406030204" pitchFamily="18" charset="0"/>
                                  </a:rPr>
                                  <m:t>×</m:t>
                                </m:r>
                                <m:d>
                                  <m:dPr>
                                    <m:ctrlPr>
                                      <a:rPr lang="en-AU" sz="1100" i="1">
                                        <a:latin typeface="Cambria Math" panose="02040503050406030204" pitchFamily="18" charset="0"/>
                                      </a:rPr>
                                    </m:ctrlPr>
                                  </m:dPr>
                                  <m:e>
                                    <m:r>
                                      <a:rPr lang="en-AU" sz="1100" i="1">
                                        <a:latin typeface="Cambria Math" panose="02040503050406030204" pitchFamily="18" charset="0"/>
                                      </a:rPr>
                                      <m:t>1−</m:t>
                                    </m:r>
                                    <m:r>
                                      <a:rPr lang="en-AU" sz="1100" i="1">
                                        <a:latin typeface="Cambria Math" panose="02040503050406030204" pitchFamily="18" charset="0"/>
                                      </a:rPr>
                                      <m:t>𝐸</m:t>
                                    </m:r>
                                    <m:sSub>
                                      <m:sSubPr>
                                        <m:ctrlPr>
                                          <a:rPr lang="en-AU" sz="1100" i="1">
                                            <a:latin typeface="Cambria Math" panose="02040503050406030204" pitchFamily="18" charset="0"/>
                                          </a:rPr>
                                        </m:ctrlPr>
                                      </m:sSubPr>
                                      <m:e>
                                        <m:r>
                                          <a:rPr lang="en-AU" sz="1100" i="1">
                                            <a:latin typeface="Cambria Math" panose="02040503050406030204" pitchFamily="18" charset="0"/>
                                          </a:rPr>
                                          <m:t>𝐹</m:t>
                                        </m:r>
                                      </m:e>
                                      <m:sub>
                                        <m:r>
                                          <a:rPr lang="en-AU" sz="1100" i="1">
                                            <a:latin typeface="Cambria Math" panose="02040503050406030204" pitchFamily="18" charset="0"/>
                                          </a:rPr>
                                          <m:t>𝑚</m:t>
                                        </m:r>
                                        <m:r>
                                          <a:rPr lang="en-AU" sz="1100" i="1">
                                            <a:latin typeface="Cambria Math" panose="02040503050406030204" pitchFamily="18" charset="0"/>
                                          </a:rPr>
                                          <m:t>=1−13</m:t>
                                        </m:r>
                                      </m:sub>
                                    </m:sSub>
                                    <m:r>
                                      <a:rPr lang="en-AU" sz="1100" i="1">
                                        <a:latin typeface="Cambria Math" panose="02040503050406030204" pitchFamily="18" charset="0"/>
                                      </a:rPr>
                                      <m:t>−</m:t>
                                    </m:r>
                                    <m:r>
                                      <a:rPr lang="en-AU" sz="1100" i="1">
                                        <a:latin typeface="Cambria Math" panose="02040503050406030204" pitchFamily="18" charset="0"/>
                                      </a:rPr>
                                      <m:t>𝐹𝑟𝑎𝑐𝐺𝐴𝑆</m:t>
                                    </m:r>
                                    <m:sSub>
                                      <m:sSubPr>
                                        <m:ctrlPr>
                                          <a:rPr lang="en-AU" sz="1100" i="1">
                                            <a:latin typeface="Cambria Math" panose="02040503050406030204" pitchFamily="18" charset="0"/>
                                          </a:rPr>
                                        </m:ctrlPr>
                                      </m:sSubPr>
                                      <m:e>
                                        <m:r>
                                          <a:rPr lang="en-AU" sz="1100" i="1">
                                            <a:latin typeface="Cambria Math" panose="02040503050406030204" pitchFamily="18" charset="0"/>
                                          </a:rPr>
                                          <m:t>𝑀</m:t>
                                        </m:r>
                                      </m:e>
                                      <m:sub>
                                        <m:r>
                                          <a:rPr lang="en-AU" sz="1100" i="1">
                                            <a:latin typeface="Cambria Math" panose="02040503050406030204" pitchFamily="18" charset="0"/>
                                          </a:rPr>
                                          <m:t>𝑚</m:t>
                                        </m:r>
                                        <m:r>
                                          <a:rPr lang="en-AU" sz="1100" i="1">
                                            <a:latin typeface="Cambria Math" panose="02040503050406030204" pitchFamily="18" charset="0"/>
                                          </a:rPr>
                                          <m:t>=1−13</m:t>
                                        </m:r>
                                      </m:sub>
                                    </m:sSub>
                                  </m:e>
                                </m:d>
                                <m:r>
                                  <a:rPr lang="en-AU" sz="1100" i="1">
                                    <a:latin typeface="Cambria Math" panose="02040503050406030204" pitchFamily="18" charset="0"/>
                                  </a:rPr>
                                  <m:t>−</m:t>
                                </m:r>
                                <m:r>
                                  <a:rPr lang="en-AU" sz="1100" i="1">
                                    <a:latin typeface="Cambria Math" panose="02040503050406030204" pitchFamily="18" charset="0"/>
                                  </a:rPr>
                                  <m:t>𝑀𝑁𝐿𝑒𝑎𝑐</m:t>
                                </m:r>
                                <m:sSub>
                                  <m:sSubPr>
                                    <m:ctrlPr>
                                      <a:rPr lang="en-AU" sz="1100" i="1">
                                        <a:latin typeface="Cambria Math" panose="02040503050406030204" pitchFamily="18" charset="0"/>
                                      </a:rPr>
                                    </m:ctrlPr>
                                  </m:sSubPr>
                                  <m:e>
                                    <m:r>
                                      <a:rPr lang="en-AU" sz="1100" i="1">
                                        <a:latin typeface="Cambria Math" panose="02040503050406030204" pitchFamily="18" charset="0"/>
                                      </a:rPr>
                                      <m:t>h</m:t>
                                    </m:r>
                                  </m:e>
                                  <m:sub>
                                    <m:r>
                                      <a:rPr lang="en-AU" sz="1100" i="1">
                                        <a:latin typeface="Cambria Math" panose="02040503050406030204" pitchFamily="18" charset="0"/>
                                      </a:rPr>
                                      <m:t>𝑗𝑚</m:t>
                                    </m:r>
                                  </m:sub>
                                </m:sSub>
                              </m:e>
                            </m:d>
                          </m:e>
                        </m:nary>
                      </m:e>
                    </m:nary>
                    <m:r>
                      <a:rPr lang="en-AU" sz="1100" i="1">
                        <a:latin typeface="Cambria Math" panose="02040503050406030204" pitchFamily="18" charset="0"/>
                      </a:rPr>
                      <m:t>×</m:t>
                    </m:r>
                    <m:d>
                      <m:dPr>
                        <m:ctrlPr>
                          <a:rPr lang="en-AU" sz="1100" i="1">
                            <a:latin typeface="Cambria Math" panose="02040503050406030204" pitchFamily="18" charset="0"/>
                          </a:rPr>
                        </m:ctrlPr>
                      </m:dPr>
                      <m:e>
                        <m:r>
                          <a:rPr lang="en-AU" sz="1100" i="1">
                            <a:latin typeface="Cambria Math" panose="02040503050406030204" pitchFamily="18" charset="0"/>
                          </a:rPr>
                          <m:t>1−</m:t>
                        </m:r>
                        <m:r>
                          <a:rPr lang="en-AU" sz="1100" i="1">
                            <a:latin typeface="Cambria Math" panose="02040503050406030204" pitchFamily="18" charset="0"/>
                          </a:rPr>
                          <m:t>𝑃𝐹</m:t>
                        </m:r>
                      </m:e>
                    </m:d>
                  </m:oMath>
                </m:oMathPara>
              </a14:m>
              <a:endParaRPr lang="en-AU" sz="1100"/>
            </a:p>
          </xdr:txBody>
        </xdr:sp>
      </mc:Choice>
      <mc:Fallback xmlns="">
        <xdr:sp macro="" textlink="">
          <xdr:nvSpPr>
            <xdr:cNvPr id="6" name="TextBox 5">
              <a:extLst>
                <a:ext uri="{FF2B5EF4-FFF2-40B4-BE49-F238E27FC236}">
                  <a16:creationId xmlns:a16="http://schemas.microsoft.com/office/drawing/2014/main" id="{D1D84F8D-E857-934D-8CCF-DE7C29BCD497}"/>
                </a:ext>
              </a:extLst>
            </xdr:cNvPr>
            <xdr:cNvSpPr txBox="1"/>
          </xdr:nvSpPr>
          <xdr:spPr>
            <a:xfrm>
              <a:off x="2691651" y="26868343"/>
              <a:ext cx="6384120" cy="33207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r>
                <a:rPr lang="en-AU" sz="1100" i="0">
                  <a:latin typeface="Cambria Math" panose="02040503050406030204" pitchFamily="18" charset="0"/>
                </a:rPr>
                <a:t>𝑀𝑁𝑆𝑜𝑖𝑙_𝑠𝑐𝑜𝑝𝑒3=∑10_𝑗▒∑10_𝑚▒(𝑀𝑁_(𝑗𝑚=1−13)×(1−𝐸𝐹_(𝑚=1−13)−𝐹𝑟𝑎𝑐𝐺𝐴𝑆𝑀_(𝑚=1−13) )−𝑀𝑁𝐿𝑒𝑎𝑐ℎ_𝑗𝑚 ) ×(1−𝑃𝐹</a:t>
              </a:r>
              <a14:m xmlns:a14="http://schemas.microsoft.com/office/drawing/2010/main"/>
            </a:p>
          </xdr:txBody>
        </xdr:sp>
      </mc:Fallback>
    </mc:AlternateContent>
    <xdr:clientData/>
  </xdr:oneCellAnchor>
  <xdr:twoCellAnchor editAs="oneCell">
    <xdr:from>
      <xdr:col>6</xdr:col>
      <xdr:colOff>1983442</xdr:colOff>
      <xdr:row>110</xdr:row>
      <xdr:rowOff>44824</xdr:rowOff>
    </xdr:from>
    <xdr:to>
      <xdr:col>9</xdr:col>
      <xdr:colOff>1728210</xdr:colOff>
      <xdr:row>112</xdr:row>
      <xdr:rowOff>94766</xdr:rowOff>
    </xdr:to>
    <xdr:pic>
      <xdr:nvPicPr>
        <xdr:cNvPr id="9" name="Picture 8">
          <a:extLst>
            <a:ext uri="{FF2B5EF4-FFF2-40B4-BE49-F238E27FC236}">
              <a16:creationId xmlns:a16="http://schemas.microsoft.com/office/drawing/2014/main" id="{5C60F29D-4670-9430-0E3C-2B84B76E7BF1}"/>
            </a:ext>
          </a:extLst>
        </xdr:cNvPr>
        <xdr:cNvPicPr>
          <a:picLocks noChangeAspect="1"/>
        </xdr:cNvPicPr>
      </xdr:nvPicPr>
      <xdr:blipFill>
        <a:blip xmlns:r="http://schemas.openxmlformats.org/officeDocument/2006/relationships" r:embed="rId1"/>
        <a:stretch>
          <a:fillRect/>
        </a:stretch>
      </xdr:blipFill>
      <xdr:spPr>
        <a:xfrm>
          <a:off x="10813677" y="27297530"/>
          <a:ext cx="5896798" cy="543001"/>
        </a:xfrm>
        <a:prstGeom prst="rect">
          <a:avLst/>
        </a:prstGeom>
      </xdr:spPr>
    </xdr:pic>
    <xdr:clientData/>
  </xdr:twoCellAnchor>
</xdr:wsDr>
</file>

<file path=xl/drawings/drawing7.xml><?xml version="1.0" encoding="utf-8"?>
<xdr:wsDr xmlns:xdr="http://schemas.openxmlformats.org/drawingml/2006/spreadsheetDrawing" xmlns:a="http://schemas.openxmlformats.org/drawingml/2006/main">
  <xdr:oneCellAnchor>
    <xdr:from>
      <xdr:col>3</xdr:col>
      <xdr:colOff>0</xdr:colOff>
      <xdr:row>37</xdr:row>
      <xdr:rowOff>90487</xdr:rowOff>
    </xdr:from>
    <xdr:ext cx="3066352" cy="332079"/>
    <mc:AlternateContent xmlns:mc="http://schemas.openxmlformats.org/markup-compatibility/2006" xmlns:a14="http://schemas.microsoft.com/office/drawing/2010/main">
      <mc:Choice Requires="a14">
        <xdr:sp macro="" textlink="">
          <xdr:nvSpPr>
            <xdr:cNvPr id="2" name="TextBox 1">
              <a:extLst>
                <a:ext uri="{FF2B5EF4-FFF2-40B4-BE49-F238E27FC236}">
                  <a16:creationId xmlns:a16="http://schemas.microsoft.com/office/drawing/2014/main" id="{ADF194B7-FEFD-04AE-8133-8DF4365FDE6D}"/>
                </a:ext>
              </a:extLst>
            </xdr:cNvPr>
            <xdr:cNvSpPr txBox="1"/>
          </xdr:nvSpPr>
          <xdr:spPr>
            <a:xfrm>
              <a:off x="2676525" y="9386887"/>
              <a:ext cx="3066352" cy="33207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sSub>
                      <m:sSubPr>
                        <m:ctrlPr>
                          <a:rPr lang="en-AU" sz="1100" i="1">
                            <a:latin typeface="Cambria Math" panose="02040503050406030204" pitchFamily="18" charset="0"/>
                          </a:rPr>
                        </m:ctrlPr>
                      </m:sSubPr>
                      <m:e>
                        <m:r>
                          <a:rPr lang="en-AU" sz="1100" i="1">
                            <a:latin typeface="Cambria Math" panose="02040503050406030204" pitchFamily="18" charset="0"/>
                          </a:rPr>
                          <m:t>𝐸</m:t>
                        </m:r>
                      </m:e>
                      <m:sub>
                        <m:r>
                          <a:rPr lang="en-AU" sz="1100" i="1">
                            <a:latin typeface="Cambria Math" panose="02040503050406030204" pitchFamily="18" charset="0"/>
                          </a:rPr>
                          <m:t>𝑁</m:t>
                        </m:r>
                        <m:r>
                          <a:rPr lang="en-AU" sz="1100" i="1">
                            <a:latin typeface="Cambria Math" panose="02040503050406030204" pitchFamily="18" charset="0"/>
                          </a:rPr>
                          <m:t>2</m:t>
                        </m:r>
                        <m:r>
                          <a:rPr lang="en-AU" sz="1100" i="1">
                            <a:latin typeface="Cambria Math" panose="02040503050406030204" pitchFamily="18" charset="0"/>
                          </a:rPr>
                          <m:t>𝑂</m:t>
                        </m:r>
                        <m:r>
                          <a:rPr lang="en-AU" sz="1100" i="1">
                            <a:latin typeface="Cambria Math" panose="02040503050406030204" pitchFamily="18" charset="0"/>
                          </a:rPr>
                          <m:t>,</m:t>
                        </m:r>
                        <m:r>
                          <a:rPr lang="en-AU" sz="1100" i="1">
                            <a:latin typeface="Cambria Math" panose="02040503050406030204" pitchFamily="18" charset="0"/>
                          </a:rPr>
                          <m:t>𝑑𝑖𝑟</m:t>
                        </m:r>
                      </m:sub>
                    </m:sSub>
                    <m:r>
                      <a:rPr lang="en-AU" sz="1100" i="1">
                        <a:latin typeface="Cambria Math" panose="02040503050406030204" pitchFamily="18" charset="0"/>
                      </a:rPr>
                      <m:t>=</m:t>
                    </m:r>
                    <m:nary>
                      <m:naryPr>
                        <m:chr m:val="∑"/>
                        <m:limLoc m:val="subSup"/>
                        <m:supHide m:val="on"/>
                        <m:ctrlPr>
                          <a:rPr lang="en-AU" sz="1100" i="1">
                            <a:latin typeface="Cambria Math" panose="02040503050406030204" pitchFamily="18" charset="0"/>
                          </a:rPr>
                        </m:ctrlPr>
                      </m:naryPr>
                      <m:sub>
                        <m:r>
                          <a:rPr lang="en-AU" sz="1100" i="1">
                            <a:latin typeface="Cambria Math" panose="02040503050406030204" pitchFamily="18" charset="0"/>
                          </a:rPr>
                          <m:t>𝑗</m:t>
                        </m:r>
                      </m:sub>
                      <m:sup/>
                      <m:e>
                        <m:d>
                          <m:dPr>
                            <m:ctrlPr>
                              <a:rPr lang="en-AU" sz="1100" i="1">
                                <a:latin typeface="Cambria Math" panose="02040503050406030204" pitchFamily="18" charset="0"/>
                              </a:rPr>
                            </m:ctrlPr>
                          </m:dPr>
                          <m:e>
                            <m:r>
                              <a:rPr lang="en-AU" sz="1100" i="1">
                                <a:latin typeface="Cambria Math" panose="02040503050406030204" pitchFamily="18" charset="0"/>
                              </a:rPr>
                              <m:t>𝑀</m:t>
                            </m:r>
                            <m:sSub>
                              <m:sSubPr>
                                <m:ctrlPr>
                                  <a:rPr lang="en-AU" sz="1100" i="1">
                                    <a:latin typeface="Cambria Math" panose="02040503050406030204" pitchFamily="18" charset="0"/>
                                  </a:rPr>
                                </m:ctrlPr>
                              </m:sSubPr>
                              <m:e>
                                <m:r>
                                  <a:rPr lang="en-AU" sz="1100" i="1">
                                    <a:latin typeface="Cambria Math" panose="02040503050406030204" pitchFamily="18" charset="0"/>
                                  </a:rPr>
                                  <m:t>𝑁</m:t>
                                </m:r>
                              </m:e>
                              <m:sub>
                                <m:r>
                                  <a:rPr lang="en-AU" sz="1100" i="1">
                                    <a:latin typeface="Cambria Math" panose="02040503050406030204" pitchFamily="18" charset="0"/>
                                  </a:rPr>
                                  <m:t>𝑗𝑚</m:t>
                                </m:r>
                                <m:r>
                                  <a:rPr lang="en-AU" sz="1100" i="1">
                                    <a:latin typeface="Cambria Math" panose="02040503050406030204" pitchFamily="18" charset="0"/>
                                  </a:rPr>
                                  <m:t>=14</m:t>
                                </m:r>
                              </m:sub>
                            </m:sSub>
                            <m:r>
                              <a:rPr lang="en-AU" sz="1100" i="1">
                                <a:latin typeface="Cambria Math" panose="02040503050406030204" pitchFamily="18" charset="0"/>
                              </a:rPr>
                              <m:t>×</m:t>
                            </m:r>
                            <m:r>
                              <a:rPr lang="en-AU" sz="1100" i="1">
                                <a:latin typeface="Cambria Math" panose="02040503050406030204" pitchFamily="18" charset="0"/>
                              </a:rPr>
                              <m:t>𝐸</m:t>
                            </m:r>
                            <m:sSub>
                              <m:sSubPr>
                                <m:ctrlPr>
                                  <a:rPr lang="en-AU" sz="1100" i="1">
                                    <a:latin typeface="Cambria Math" panose="02040503050406030204" pitchFamily="18" charset="0"/>
                                  </a:rPr>
                                </m:ctrlPr>
                              </m:sSubPr>
                              <m:e>
                                <m:r>
                                  <a:rPr lang="en-AU" sz="1100" i="1">
                                    <a:latin typeface="Cambria Math" panose="02040503050406030204" pitchFamily="18" charset="0"/>
                                  </a:rPr>
                                  <m:t>𝐹</m:t>
                                </m:r>
                              </m:e>
                              <m:sub>
                                <m:r>
                                  <a:rPr lang="en-AU" sz="1100" i="1">
                                    <a:latin typeface="Cambria Math" panose="02040503050406030204" pitchFamily="18" charset="0"/>
                                  </a:rPr>
                                  <m:t>𝑃𝑅𝑃</m:t>
                                </m:r>
                              </m:sub>
                            </m:sSub>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𝐶</m:t>
                                </m:r>
                              </m:e>
                              <m:sub>
                                <m:r>
                                  <a:rPr lang="en-AU" sz="1100" i="1">
                                    <a:latin typeface="Cambria Math" panose="02040503050406030204" pitchFamily="18" charset="0"/>
                                  </a:rPr>
                                  <m:t>𝑁</m:t>
                                </m:r>
                                <m:r>
                                  <a:rPr lang="en-AU" sz="1100" i="1">
                                    <a:latin typeface="Cambria Math" panose="02040503050406030204" pitchFamily="18" charset="0"/>
                                  </a:rPr>
                                  <m:t>2</m:t>
                                </m:r>
                                <m:r>
                                  <a:rPr lang="en-AU" sz="1100" i="1">
                                    <a:latin typeface="Cambria Math" panose="02040503050406030204" pitchFamily="18" charset="0"/>
                                  </a:rPr>
                                  <m:t>𝑂</m:t>
                                </m:r>
                              </m:sub>
                            </m:sSub>
                            <m:r>
                              <a:rPr lang="en-AU" sz="1100" i="1">
                                <a:latin typeface="Cambria Math" panose="02040503050406030204" pitchFamily="18" charset="0"/>
                              </a:rPr>
                              <m:t>×</m:t>
                            </m:r>
                            <m:sSup>
                              <m:sSupPr>
                                <m:ctrlPr>
                                  <a:rPr lang="en-AU" sz="1100" i="1">
                                    <a:latin typeface="Cambria Math" panose="02040503050406030204" pitchFamily="18" charset="0"/>
                                  </a:rPr>
                                </m:ctrlPr>
                              </m:sSupPr>
                              <m:e>
                                <m:r>
                                  <a:rPr lang="en-AU" sz="1100" i="1">
                                    <a:latin typeface="Cambria Math" panose="02040503050406030204" pitchFamily="18" charset="0"/>
                                  </a:rPr>
                                  <m:t>10</m:t>
                                </m:r>
                              </m:e>
                              <m:sup>
                                <m:r>
                                  <a:rPr lang="en-AU" sz="1100" i="1">
                                    <a:latin typeface="Cambria Math" panose="02040503050406030204" pitchFamily="18" charset="0"/>
                                  </a:rPr>
                                  <m:t>−3</m:t>
                                </m:r>
                              </m:sup>
                            </m:sSup>
                          </m:e>
                        </m:d>
                      </m:e>
                    </m:nary>
                  </m:oMath>
                </m:oMathPara>
              </a14:m>
              <a:endParaRPr lang="en-AU" sz="1100"/>
            </a:p>
          </xdr:txBody>
        </xdr:sp>
      </mc:Choice>
      <mc:Fallback xmlns="">
        <xdr:sp macro="" textlink="">
          <xdr:nvSpPr>
            <xdr:cNvPr id="2" name="TextBox 1">
              <a:extLst>
                <a:ext uri="{FF2B5EF4-FFF2-40B4-BE49-F238E27FC236}">
                  <a16:creationId xmlns:a16="http://schemas.microsoft.com/office/drawing/2014/main" id="{ADF194B7-FEFD-04AE-8133-8DF4365FDE6D}"/>
                </a:ext>
              </a:extLst>
            </xdr:cNvPr>
            <xdr:cNvSpPr txBox="1"/>
          </xdr:nvSpPr>
          <xdr:spPr>
            <a:xfrm>
              <a:off x="2676525" y="9386887"/>
              <a:ext cx="3066352" cy="33207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r>
                <a:rPr lang="en-AU" sz="1100" i="0">
                  <a:latin typeface="Cambria Math" panose="02040503050406030204" pitchFamily="18" charset="0"/>
                </a:rPr>
                <a:t>𝐸_(𝑁2𝑂,𝑑𝑖𝑟)=∑10_𝑗▒(𝑀𝑁_(𝑗𝑚=14)×𝐸𝐹_𝑃𝑅𝑃×𝐶_𝑁2𝑂×10^(−3) ) </a:t>
              </a:r>
              <a:endParaRPr lang="en-AU" sz="1100"/>
            </a:p>
          </xdr:txBody>
        </xdr:sp>
      </mc:Fallback>
    </mc:AlternateContent>
    <xdr:clientData/>
  </xdr:oneCellAnchor>
  <xdr:oneCellAnchor>
    <xdr:from>
      <xdr:col>3</xdr:col>
      <xdr:colOff>27332</xdr:colOff>
      <xdr:row>7</xdr:row>
      <xdr:rowOff>118440</xdr:rowOff>
    </xdr:from>
    <xdr:ext cx="1405385" cy="182871"/>
    <mc:AlternateContent xmlns:mc="http://schemas.openxmlformats.org/markup-compatibility/2006" xmlns:a14="http://schemas.microsoft.com/office/drawing/2010/main">
      <mc:Choice Requires="a14">
        <xdr:sp macro="" textlink="">
          <xdr:nvSpPr>
            <xdr:cNvPr id="3" name="TextBox 2">
              <a:extLst>
                <a:ext uri="{FF2B5EF4-FFF2-40B4-BE49-F238E27FC236}">
                  <a16:creationId xmlns:a16="http://schemas.microsoft.com/office/drawing/2014/main" id="{FCE4692A-99FC-4A4D-A2C1-8A8FA6D1A6D6}"/>
                </a:ext>
              </a:extLst>
            </xdr:cNvPr>
            <xdr:cNvSpPr txBox="1"/>
          </xdr:nvSpPr>
          <xdr:spPr>
            <a:xfrm>
              <a:off x="2703857" y="52753590"/>
              <a:ext cx="1405385" cy="18287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r>
                      <a:rPr lang="en-AU" sz="1100" i="1">
                        <a:latin typeface="Cambria Math" panose="02040503050406030204" pitchFamily="18" charset="0"/>
                      </a:rPr>
                      <m:t>𝑀</m:t>
                    </m:r>
                    <m:sSub>
                      <m:sSubPr>
                        <m:ctrlPr>
                          <a:rPr lang="en-AU" sz="1100" i="1">
                            <a:latin typeface="Cambria Math" panose="02040503050406030204" pitchFamily="18" charset="0"/>
                          </a:rPr>
                        </m:ctrlPr>
                      </m:sSubPr>
                      <m:e>
                        <m:r>
                          <a:rPr lang="en-AU" sz="1100" i="1">
                            <a:latin typeface="Cambria Math" panose="02040503050406030204" pitchFamily="18" charset="0"/>
                          </a:rPr>
                          <m:t>𝑁</m:t>
                        </m:r>
                      </m:e>
                      <m:sub>
                        <m:r>
                          <a:rPr lang="en-AU" sz="1100" i="1">
                            <a:latin typeface="Cambria Math" panose="02040503050406030204" pitchFamily="18" charset="0"/>
                          </a:rPr>
                          <m:t>𝑗𝑚</m:t>
                        </m:r>
                      </m:sub>
                    </m:sSub>
                    <m:r>
                      <a:rPr lang="en-AU" sz="1100" i="1">
                        <a:latin typeface="Cambria Math" panose="02040503050406030204" pitchFamily="18" charset="0"/>
                      </a:rPr>
                      <m:t>=</m:t>
                    </m:r>
                    <m:r>
                      <a:rPr lang="en-AU" sz="1100" i="1">
                        <a:latin typeface="Cambria Math" panose="02040503050406030204" pitchFamily="18" charset="0"/>
                      </a:rPr>
                      <m:t>𝐴</m:t>
                    </m:r>
                    <m:sSub>
                      <m:sSubPr>
                        <m:ctrlPr>
                          <a:rPr lang="en-AU" sz="1100" i="1">
                            <a:latin typeface="Cambria Math" panose="02040503050406030204" pitchFamily="18" charset="0"/>
                          </a:rPr>
                        </m:ctrlPr>
                      </m:sSubPr>
                      <m:e>
                        <m:r>
                          <a:rPr lang="en-AU" sz="1100" i="1">
                            <a:latin typeface="Cambria Math" panose="02040503050406030204" pitchFamily="18" charset="0"/>
                          </a:rPr>
                          <m:t>𝐸</m:t>
                        </m:r>
                      </m:e>
                      <m:sub>
                        <m:r>
                          <a:rPr lang="en-AU" sz="1100" i="1">
                            <a:latin typeface="Cambria Math" panose="02040503050406030204" pitchFamily="18" charset="0"/>
                          </a:rPr>
                          <m:t>𝑗</m:t>
                        </m:r>
                      </m:sub>
                    </m:sSub>
                    <m:r>
                      <a:rPr lang="en-AU" sz="1100" i="1">
                        <a:latin typeface="Cambria Math" panose="02040503050406030204" pitchFamily="18" charset="0"/>
                      </a:rPr>
                      <m:t>×</m:t>
                    </m:r>
                    <m:r>
                      <a:rPr lang="en-AU" sz="1100" i="1">
                        <a:latin typeface="Cambria Math" panose="02040503050406030204" pitchFamily="18" charset="0"/>
                      </a:rPr>
                      <m:t>𝑀𝑀</m:t>
                    </m:r>
                    <m:sSub>
                      <m:sSubPr>
                        <m:ctrlPr>
                          <a:rPr lang="en-AU" sz="1100" i="1">
                            <a:latin typeface="Cambria Math" panose="02040503050406030204" pitchFamily="18" charset="0"/>
                          </a:rPr>
                        </m:ctrlPr>
                      </m:sSubPr>
                      <m:e>
                        <m:r>
                          <a:rPr lang="en-AU" sz="1100" i="1">
                            <a:latin typeface="Cambria Math" panose="02040503050406030204" pitchFamily="18" charset="0"/>
                          </a:rPr>
                          <m:t>𝑆</m:t>
                        </m:r>
                      </m:e>
                      <m:sub>
                        <m:r>
                          <a:rPr lang="en-AU" sz="1100" i="1">
                            <a:latin typeface="Cambria Math" panose="02040503050406030204" pitchFamily="18" charset="0"/>
                          </a:rPr>
                          <m:t>𝑗𝑚</m:t>
                        </m:r>
                      </m:sub>
                    </m:sSub>
                  </m:oMath>
                </m:oMathPara>
              </a14:m>
              <a:endParaRPr lang="en-AU" sz="1100"/>
            </a:p>
          </xdr:txBody>
        </xdr:sp>
      </mc:Choice>
      <mc:Fallback xmlns="">
        <xdr:sp macro="" textlink="">
          <xdr:nvSpPr>
            <xdr:cNvPr id="3" name="TextBox 2">
              <a:extLst>
                <a:ext uri="{FF2B5EF4-FFF2-40B4-BE49-F238E27FC236}">
                  <a16:creationId xmlns:a16="http://schemas.microsoft.com/office/drawing/2014/main" id="{FCE4692A-99FC-4A4D-A2C1-8A8FA6D1A6D6}"/>
                </a:ext>
              </a:extLst>
            </xdr:cNvPr>
            <xdr:cNvSpPr txBox="1"/>
          </xdr:nvSpPr>
          <xdr:spPr>
            <a:xfrm>
              <a:off x="2703857" y="52753590"/>
              <a:ext cx="1405385" cy="18287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r>
                <a:rPr lang="en-AU" sz="1100" i="0">
                  <a:latin typeface="Cambria Math" panose="02040503050406030204" pitchFamily="18" charset="0"/>
                </a:rPr>
                <a:t>𝑀𝑁_𝑗𝑚=𝐴𝐸_𝑗×𝑀𝑀𝑆_𝑗𝑚</a:t>
              </a:r>
              <a:endParaRPr lang="en-AU" sz="1100"/>
            </a:p>
          </xdr:txBody>
        </xdr:sp>
      </mc:Fallback>
    </mc:AlternateContent>
    <xdr:clientData/>
  </xdr:oneCellAnchor>
</xdr:wsDr>
</file>

<file path=xl/drawings/drawing8.xml><?xml version="1.0" encoding="utf-8"?>
<xdr:wsDr xmlns:xdr="http://schemas.openxmlformats.org/drawingml/2006/spreadsheetDrawing" xmlns:a="http://schemas.openxmlformats.org/drawingml/2006/main">
  <xdr:oneCellAnchor>
    <xdr:from>
      <xdr:col>2</xdr:col>
      <xdr:colOff>304800</xdr:colOff>
      <xdr:row>7</xdr:row>
      <xdr:rowOff>109537</xdr:rowOff>
    </xdr:from>
    <xdr:ext cx="2790058" cy="332079"/>
    <mc:AlternateContent xmlns:mc="http://schemas.openxmlformats.org/markup-compatibility/2006" xmlns:a14="http://schemas.microsoft.com/office/drawing/2010/main">
      <mc:Choice Requires="a14">
        <xdr:sp macro="" textlink="">
          <xdr:nvSpPr>
            <xdr:cNvPr id="2" name="TextBox 1">
              <a:extLst>
                <a:ext uri="{FF2B5EF4-FFF2-40B4-BE49-F238E27FC236}">
                  <a16:creationId xmlns:a16="http://schemas.microsoft.com/office/drawing/2014/main" id="{3B6391E0-FCC4-69B3-A285-38EEF2AFD673}"/>
                </a:ext>
              </a:extLst>
            </xdr:cNvPr>
            <xdr:cNvSpPr txBox="1"/>
          </xdr:nvSpPr>
          <xdr:spPr>
            <a:xfrm>
              <a:off x="2667000" y="1976437"/>
              <a:ext cx="2790058" cy="33207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sSub>
                      <m:sSubPr>
                        <m:ctrlPr>
                          <a:rPr lang="en-AU" sz="1100" i="1">
                            <a:latin typeface="Cambria Math" panose="02040503050406030204" pitchFamily="18" charset="0"/>
                          </a:rPr>
                        </m:ctrlPr>
                      </m:sSubPr>
                      <m:e>
                        <m:r>
                          <a:rPr lang="en-AU" sz="1100" i="1">
                            <a:latin typeface="Cambria Math" panose="02040503050406030204" pitchFamily="18" charset="0"/>
                          </a:rPr>
                          <m:t>𝑀</m:t>
                        </m:r>
                      </m:e>
                      <m:sub>
                        <m:r>
                          <a:rPr lang="en-AU" sz="1100" i="1">
                            <a:latin typeface="Cambria Math" panose="02040503050406030204" pitchFamily="18" charset="0"/>
                          </a:rPr>
                          <m:t>𝑣𝑜𝑙</m:t>
                        </m:r>
                        <m:r>
                          <a:rPr lang="en-AU" sz="1100" i="1">
                            <a:latin typeface="Cambria Math" panose="02040503050406030204" pitchFamily="18" charset="0"/>
                          </a:rPr>
                          <m:t>,</m:t>
                        </m:r>
                        <m:r>
                          <a:rPr lang="en-AU" sz="1100" i="1">
                            <a:latin typeface="Cambria Math" panose="02040503050406030204" pitchFamily="18" charset="0"/>
                          </a:rPr>
                          <m:t>𝑚</m:t>
                        </m:r>
                        <m:r>
                          <a:rPr lang="en-AU" sz="1100" i="1">
                            <a:latin typeface="Cambria Math" panose="02040503050406030204" pitchFamily="18" charset="0"/>
                          </a:rPr>
                          <m:t>=14</m:t>
                        </m:r>
                      </m:sub>
                    </m:sSub>
                    <m:r>
                      <a:rPr lang="en-AU" sz="1100" i="1">
                        <a:latin typeface="Cambria Math" panose="02040503050406030204" pitchFamily="18" charset="0"/>
                      </a:rPr>
                      <m:t>=</m:t>
                    </m:r>
                    <m:nary>
                      <m:naryPr>
                        <m:chr m:val="∑"/>
                        <m:limLoc m:val="subSup"/>
                        <m:supHide m:val="on"/>
                        <m:ctrlPr>
                          <a:rPr lang="en-AU" sz="1100" i="1">
                            <a:latin typeface="Cambria Math" panose="02040503050406030204" pitchFamily="18" charset="0"/>
                          </a:rPr>
                        </m:ctrlPr>
                      </m:naryPr>
                      <m:sub>
                        <m:r>
                          <a:rPr lang="en-AU" sz="1100" i="1">
                            <a:latin typeface="Cambria Math" panose="02040503050406030204" pitchFamily="18" charset="0"/>
                          </a:rPr>
                          <m:t>𝑗</m:t>
                        </m:r>
                      </m:sub>
                      <m:sup/>
                      <m:e>
                        <m:d>
                          <m:dPr>
                            <m:ctrlPr>
                              <a:rPr lang="en-AU" sz="1100" i="1">
                                <a:latin typeface="Cambria Math" panose="02040503050406030204" pitchFamily="18" charset="0"/>
                              </a:rPr>
                            </m:ctrlPr>
                          </m:dPr>
                          <m:e>
                            <m:r>
                              <a:rPr lang="en-AU" sz="1100" i="1">
                                <a:latin typeface="Cambria Math" panose="02040503050406030204" pitchFamily="18" charset="0"/>
                              </a:rPr>
                              <m:t>𝑀</m:t>
                            </m:r>
                            <m:sSub>
                              <m:sSubPr>
                                <m:ctrlPr>
                                  <a:rPr lang="en-AU" sz="1100" i="1">
                                    <a:latin typeface="Cambria Math" panose="02040503050406030204" pitchFamily="18" charset="0"/>
                                  </a:rPr>
                                </m:ctrlPr>
                              </m:sSubPr>
                              <m:e>
                                <m:r>
                                  <a:rPr lang="en-AU" sz="1100" i="1">
                                    <a:latin typeface="Cambria Math" panose="02040503050406030204" pitchFamily="18" charset="0"/>
                                  </a:rPr>
                                  <m:t>𝑁</m:t>
                                </m:r>
                              </m:e>
                              <m:sub>
                                <m:r>
                                  <a:rPr lang="en-AU" sz="1100" i="1">
                                    <a:latin typeface="Cambria Math" panose="02040503050406030204" pitchFamily="18" charset="0"/>
                                  </a:rPr>
                                  <m:t>𝑗𝑚</m:t>
                                </m:r>
                                <m:r>
                                  <a:rPr lang="en-AU" sz="1100" i="1">
                                    <a:latin typeface="Cambria Math" panose="02040503050406030204" pitchFamily="18" charset="0"/>
                                  </a:rPr>
                                  <m:t>=14</m:t>
                                </m:r>
                              </m:sub>
                            </m:sSub>
                            <m:r>
                              <a:rPr lang="en-AU" sz="1100" i="1">
                                <a:latin typeface="Cambria Math" panose="02040503050406030204" pitchFamily="18" charset="0"/>
                              </a:rPr>
                              <m:t>×</m:t>
                            </m:r>
                            <m:r>
                              <a:rPr lang="en-AU" sz="1100" i="1">
                                <a:latin typeface="Cambria Math" panose="02040503050406030204" pitchFamily="18" charset="0"/>
                              </a:rPr>
                              <m:t>𝐹𝑟𝑎𝑐𝐺𝐴𝑆𝑀𝑠𝑜𝑖𝑙</m:t>
                            </m:r>
                          </m:e>
                        </m:d>
                      </m:e>
                    </m:nary>
                  </m:oMath>
                </m:oMathPara>
              </a14:m>
              <a:endParaRPr lang="en-AU" sz="1100"/>
            </a:p>
          </xdr:txBody>
        </xdr:sp>
      </mc:Choice>
      <mc:Fallback xmlns="">
        <xdr:sp macro="" textlink="">
          <xdr:nvSpPr>
            <xdr:cNvPr id="2" name="TextBox 1">
              <a:extLst>
                <a:ext uri="{FF2B5EF4-FFF2-40B4-BE49-F238E27FC236}">
                  <a16:creationId xmlns:a16="http://schemas.microsoft.com/office/drawing/2014/main" id="{3B6391E0-FCC4-69B3-A285-38EEF2AFD673}"/>
                </a:ext>
              </a:extLst>
            </xdr:cNvPr>
            <xdr:cNvSpPr txBox="1"/>
          </xdr:nvSpPr>
          <xdr:spPr>
            <a:xfrm>
              <a:off x="2667000" y="1976437"/>
              <a:ext cx="2790058" cy="33207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r>
                <a:rPr lang="en-AU" sz="1100" i="0">
                  <a:latin typeface="Cambria Math" panose="02040503050406030204" pitchFamily="18" charset="0"/>
                </a:rPr>
                <a:t>𝑀_(𝑣𝑜𝑙,𝑚=14)=∑10_𝑗▒(𝑀𝑁_(𝑗𝑚=14)×𝐹𝑟𝑎𝑐𝐺𝐴𝑆𝑀𝑠𝑜𝑖𝑙) </a:t>
              </a:r>
              <a:endParaRPr lang="en-AU" sz="1100"/>
            </a:p>
          </xdr:txBody>
        </xdr:sp>
      </mc:Fallback>
    </mc:AlternateContent>
    <xdr:clientData/>
  </xdr:oneCellAnchor>
  <xdr:oneCellAnchor>
    <xdr:from>
      <xdr:col>3</xdr:col>
      <xdr:colOff>4762</xdr:colOff>
      <xdr:row>32</xdr:row>
      <xdr:rowOff>119062</xdr:rowOff>
    </xdr:from>
    <xdr:ext cx="2723630" cy="180114"/>
    <mc:AlternateContent xmlns:mc="http://schemas.openxmlformats.org/markup-compatibility/2006" xmlns:a14="http://schemas.microsoft.com/office/drawing/2010/main">
      <mc:Choice Requires="a14">
        <xdr:sp macro="" textlink="">
          <xdr:nvSpPr>
            <xdr:cNvPr id="3" name="TextBox 2">
              <a:extLst>
                <a:ext uri="{FF2B5EF4-FFF2-40B4-BE49-F238E27FC236}">
                  <a16:creationId xmlns:a16="http://schemas.microsoft.com/office/drawing/2014/main" id="{E94096BB-B3AC-C657-F074-4108B97A6AB3}"/>
                </a:ext>
              </a:extLst>
            </xdr:cNvPr>
            <xdr:cNvSpPr txBox="1"/>
          </xdr:nvSpPr>
          <xdr:spPr>
            <a:xfrm>
              <a:off x="2681287" y="7681912"/>
              <a:ext cx="2723630" cy="180114"/>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sSub>
                      <m:sSubPr>
                        <m:ctrlPr>
                          <a:rPr lang="en-AU" sz="1100" i="1">
                            <a:latin typeface="Cambria Math" panose="02040503050406030204" pitchFamily="18" charset="0"/>
                          </a:rPr>
                        </m:ctrlPr>
                      </m:sSubPr>
                      <m:e>
                        <m:r>
                          <a:rPr lang="en-AU" sz="1100" i="1">
                            <a:latin typeface="Cambria Math" panose="02040503050406030204" pitchFamily="18" charset="0"/>
                          </a:rPr>
                          <m:t>𝐸</m:t>
                        </m:r>
                      </m:e>
                      <m:sub>
                        <m:r>
                          <a:rPr lang="en-AU" sz="1100" i="1">
                            <a:latin typeface="Cambria Math" panose="02040503050406030204" pitchFamily="18" charset="0"/>
                          </a:rPr>
                          <m:t>𝑁</m:t>
                        </m:r>
                        <m:r>
                          <a:rPr lang="en-AU" sz="1100" i="1">
                            <a:latin typeface="Cambria Math" panose="02040503050406030204" pitchFamily="18" charset="0"/>
                          </a:rPr>
                          <m:t>2</m:t>
                        </m:r>
                        <m:r>
                          <a:rPr lang="en-AU" sz="1100" i="1">
                            <a:latin typeface="Cambria Math" panose="02040503050406030204" pitchFamily="18" charset="0"/>
                          </a:rPr>
                          <m:t>𝑂</m:t>
                        </m:r>
                        <m:r>
                          <a:rPr lang="en-AU" sz="1100" i="1">
                            <a:latin typeface="Cambria Math" panose="02040503050406030204" pitchFamily="18" charset="0"/>
                          </a:rPr>
                          <m:t>,</m:t>
                        </m:r>
                        <m:r>
                          <a:rPr lang="en-AU" sz="1100" i="1">
                            <a:latin typeface="Cambria Math" panose="02040503050406030204" pitchFamily="18" charset="0"/>
                          </a:rPr>
                          <m:t>𝑎𝑑</m:t>
                        </m:r>
                      </m:sub>
                    </m:sSub>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𝑀</m:t>
                        </m:r>
                      </m:e>
                      <m:sub>
                        <m:r>
                          <a:rPr lang="en-AU" sz="1100" i="1">
                            <a:latin typeface="Cambria Math" panose="02040503050406030204" pitchFamily="18" charset="0"/>
                          </a:rPr>
                          <m:t>𝑣𝑜𝑙</m:t>
                        </m:r>
                        <m:r>
                          <a:rPr lang="en-AU" sz="1100" i="1">
                            <a:latin typeface="Cambria Math" panose="02040503050406030204" pitchFamily="18" charset="0"/>
                          </a:rPr>
                          <m:t>,</m:t>
                        </m:r>
                        <m:r>
                          <a:rPr lang="en-AU" sz="1100" i="1">
                            <a:latin typeface="Cambria Math" panose="02040503050406030204" pitchFamily="18" charset="0"/>
                          </a:rPr>
                          <m:t>𝑚</m:t>
                        </m:r>
                        <m:r>
                          <a:rPr lang="en-AU" sz="1100" i="1">
                            <a:latin typeface="Cambria Math" panose="02040503050406030204" pitchFamily="18" charset="0"/>
                          </a:rPr>
                          <m:t>=14</m:t>
                        </m:r>
                      </m:sub>
                    </m:sSub>
                    <m:r>
                      <a:rPr lang="en-AU" sz="1100" i="1">
                        <a:latin typeface="Cambria Math" panose="02040503050406030204" pitchFamily="18" charset="0"/>
                      </a:rPr>
                      <m:t>×</m:t>
                    </m:r>
                    <m:r>
                      <a:rPr lang="en-AU" sz="1100" i="1">
                        <a:latin typeface="Cambria Math" panose="02040503050406030204" pitchFamily="18" charset="0"/>
                      </a:rPr>
                      <m:t>𝐸</m:t>
                    </m:r>
                    <m:sSub>
                      <m:sSubPr>
                        <m:ctrlPr>
                          <a:rPr lang="en-AU" sz="1100" i="1">
                            <a:latin typeface="Cambria Math" panose="02040503050406030204" pitchFamily="18" charset="0"/>
                          </a:rPr>
                        </m:ctrlPr>
                      </m:sSubPr>
                      <m:e>
                        <m:r>
                          <a:rPr lang="en-AU" sz="1100" i="1">
                            <a:latin typeface="Cambria Math" panose="02040503050406030204" pitchFamily="18" charset="0"/>
                          </a:rPr>
                          <m:t>𝐹</m:t>
                        </m:r>
                      </m:e>
                      <m:sub>
                        <m:r>
                          <a:rPr lang="en-AU" sz="1100" i="1">
                            <a:latin typeface="Cambria Math" panose="02040503050406030204" pitchFamily="18" charset="0"/>
                          </a:rPr>
                          <m:t>𝑁</m:t>
                        </m:r>
                        <m:r>
                          <a:rPr lang="en-AU" sz="1100" i="1">
                            <a:latin typeface="Cambria Math" panose="02040503050406030204" pitchFamily="18" charset="0"/>
                          </a:rPr>
                          <m:t>2</m:t>
                        </m:r>
                        <m:r>
                          <a:rPr lang="en-AU" sz="1100" i="1">
                            <a:latin typeface="Cambria Math" panose="02040503050406030204" pitchFamily="18" charset="0"/>
                          </a:rPr>
                          <m:t>𝑂</m:t>
                        </m:r>
                      </m:sub>
                    </m:sSub>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𝐶</m:t>
                        </m:r>
                      </m:e>
                      <m:sub>
                        <m:r>
                          <a:rPr lang="en-AU" sz="1100" i="1">
                            <a:latin typeface="Cambria Math" panose="02040503050406030204" pitchFamily="18" charset="0"/>
                          </a:rPr>
                          <m:t>𝑁</m:t>
                        </m:r>
                        <m:r>
                          <a:rPr lang="en-AU" sz="1100" i="1">
                            <a:latin typeface="Cambria Math" panose="02040503050406030204" pitchFamily="18" charset="0"/>
                          </a:rPr>
                          <m:t>2</m:t>
                        </m:r>
                        <m:r>
                          <a:rPr lang="en-AU" sz="1100" i="1">
                            <a:latin typeface="Cambria Math" panose="02040503050406030204" pitchFamily="18" charset="0"/>
                          </a:rPr>
                          <m:t>𝑂</m:t>
                        </m:r>
                      </m:sub>
                    </m:sSub>
                    <m:r>
                      <a:rPr lang="en-AU" sz="1100" i="1">
                        <a:latin typeface="Cambria Math" panose="02040503050406030204" pitchFamily="18" charset="0"/>
                      </a:rPr>
                      <m:t>×</m:t>
                    </m:r>
                    <m:sSup>
                      <m:sSupPr>
                        <m:ctrlPr>
                          <a:rPr lang="en-AU" sz="1100" i="1">
                            <a:latin typeface="Cambria Math" panose="02040503050406030204" pitchFamily="18" charset="0"/>
                          </a:rPr>
                        </m:ctrlPr>
                      </m:sSupPr>
                      <m:e>
                        <m:r>
                          <a:rPr lang="en-AU" sz="1100" i="1">
                            <a:latin typeface="Cambria Math" panose="02040503050406030204" pitchFamily="18" charset="0"/>
                          </a:rPr>
                          <m:t>10</m:t>
                        </m:r>
                      </m:e>
                      <m:sup>
                        <m:r>
                          <a:rPr lang="en-AU" sz="1100" i="1">
                            <a:latin typeface="Cambria Math" panose="02040503050406030204" pitchFamily="18" charset="0"/>
                          </a:rPr>
                          <m:t>−3</m:t>
                        </m:r>
                      </m:sup>
                    </m:sSup>
                  </m:oMath>
                </m:oMathPara>
              </a14:m>
              <a:endParaRPr lang="en-AU" sz="1100"/>
            </a:p>
          </xdr:txBody>
        </xdr:sp>
      </mc:Choice>
      <mc:Fallback xmlns="">
        <xdr:sp macro="" textlink="">
          <xdr:nvSpPr>
            <xdr:cNvPr id="3" name="TextBox 2">
              <a:extLst>
                <a:ext uri="{FF2B5EF4-FFF2-40B4-BE49-F238E27FC236}">
                  <a16:creationId xmlns:a16="http://schemas.microsoft.com/office/drawing/2014/main" id="{E94096BB-B3AC-C657-F074-4108B97A6AB3}"/>
                </a:ext>
              </a:extLst>
            </xdr:cNvPr>
            <xdr:cNvSpPr txBox="1"/>
          </xdr:nvSpPr>
          <xdr:spPr>
            <a:xfrm>
              <a:off x="2681287" y="7681912"/>
              <a:ext cx="2723630" cy="180114"/>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r>
                <a:rPr lang="en-AU" sz="1100" i="0">
                  <a:latin typeface="Cambria Math" panose="02040503050406030204" pitchFamily="18" charset="0"/>
                </a:rPr>
                <a:t>𝐸_(𝑁2𝑂,𝑎𝑑)=𝑀_(𝑣𝑜𝑙,𝑚=14)×𝐸𝐹_𝑁2𝑂×𝐶_𝑁2𝑂×10^(−3)</a:t>
              </a:r>
              <a:endParaRPr lang="en-AU" sz="1100"/>
            </a:p>
          </xdr:txBody>
        </xdr:sp>
      </mc:Fallback>
    </mc:AlternateContent>
    <xdr:clientData/>
  </xdr:oneCellAnchor>
</xdr:wsDr>
</file>

<file path=xl/drawings/drawing9.xml><?xml version="1.0" encoding="utf-8"?>
<xdr:wsDr xmlns:xdr="http://schemas.openxmlformats.org/drawingml/2006/spreadsheetDrawing" xmlns:a="http://schemas.openxmlformats.org/drawingml/2006/main">
  <xdr:oneCellAnchor>
    <xdr:from>
      <xdr:col>3</xdr:col>
      <xdr:colOff>9525</xdr:colOff>
      <xdr:row>7</xdr:row>
      <xdr:rowOff>52387</xdr:rowOff>
    </xdr:from>
    <xdr:ext cx="3462037" cy="332079"/>
    <mc:AlternateContent xmlns:mc="http://schemas.openxmlformats.org/markup-compatibility/2006" xmlns:a14="http://schemas.microsoft.com/office/drawing/2010/main">
      <mc:Choice Requires="a14">
        <xdr:sp macro="" textlink="">
          <xdr:nvSpPr>
            <xdr:cNvPr id="2" name="TextBox 1">
              <a:extLst>
                <a:ext uri="{FF2B5EF4-FFF2-40B4-BE49-F238E27FC236}">
                  <a16:creationId xmlns:a16="http://schemas.microsoft.com/office/drawing/2014/main" id="{D10DFE55-4154-79C9-A905-876895805C5B}"/>
                </a:ext>
              </a:extLst>
            </xdr:cNvPr>
            <xdr:cNvSpPr txBox="1"/>
          </xdr:nvSpPr>
          <xdr:spPr>
            <a:xfrm>
              <a:off x="2686050" y="1919287"/>
              <a:ext cx="3462037" cy="33207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sSub>
                      <m:sSubPr>
                        <m:ctrlPr>
                          <a:rPr lang="en-AU" sz="1100" i="1">
                            <a:latin typeface="Cambria Math" panose="02040503050406030204" pitchFamily="18" charset="0"/>
                          </a:rPr>
                        </m:ctrlPr>
                      </m:sSubPr>
                      <m:e>
                        <m:r>
                          <a:rPr lang="en-AU" sz="1100" i="1">
                            <a:latin typeface="Cambria Math" panose="02040503050406030204" pitchFamily="18" charset="0"/>
                          </a:rPr>
                          <m:t>𝑀</m:t>
                        </m:r>
                      </m:e>
                      <m:sub>
                        <m:r>
                          <a:rPr lang="en-AU" sz="1100" i="1">
                            <a:latin typeface="Cambria Math" panose="02040503050406030204" pitchFamily="18" charset="0"/>
                          </a:rPr>
                          <m:t>𝑙𝑒𝑎𝑐h</m:t>
                        </m:r>
                        <m:r>
                          <a:rPr lang="en-AU" sz="1100" i="1">
                            <a:latin typeface="Cambria Math" panose="02040503050406030204" pitchFamily="18" charset="0"/>
                          </a:rPr>
                          <m:t>,</m:t>
                        </m:r>
                        <m:r>
                          <a:rPr lang="en-AU" sz="1100" i="1">
                            <a:latin typeface="Cambria Math" panose="02040503050406030204" pitchFamily="18" charset="0"/>
                          </a:rPr>
                          <m:t>𝑚</m:t>
                        </m:r>
                        <m:r>
                          <a:rPr lang="en-AU" sz="1100" i="1">
                            <a:latin typeface="Cambria Math" panose="02040503050406030204" pitchFamily="18" charset="0"/>
                          </a:rPr>
                          <m:t>=14</m:t>
                        </m:r>
                      </m:sub>
                    </m:sSub>
                    <m:r>
                      <a:rPr lang="en-AU" sz="1100" i="1">
                        <a:latin typeface="Cambria Math" panose="02040503050406030204" pitchFamily="18" charset="0"/>
                      </a:rPr>
                      <m:t>=</m:t>
                    </m:r>
                    <m:nary>
                      <m:naryPr>
                        <m:chr m:val="∑"/>
                        <m:limLoc m:val="subSup"/>
                        <m:supHide m:val="on"/>
                        <m:ctrlPr>
                          <a:rPr lang="en-AU" sz="1100" i="1">
                            <a:latin typeface="Cambria Math" panose="02040503050406030204" pitchFamily="18" charset="0"/>
                          </a:rPr>
                        </m:ctrlPr>
                      </m:naryPr>
                      <m:sub>
                        <m:r>
                          <a:rPr lang="en-AU" sz="1100" i="1">
                            <a:latin typeface="Cambria Math" panose="02040503050406030204" pitchFamily="18" charset="0"/>
                          </a:rPr>
                          <m:t>𝑗</m:t>
                        </m:r>
                      </m:sub>
                      <m:sup/>
                      <m:e>
                        <m:d>
                          <m:dPr>
                            <m:ctrlPr>
                              <a:rPr lang="en-AU" sz="1100" i="1">
                                <a:latin typeface="Cambria Math" panose="02040503050406030204" pitchFamily="18" charset="0"/>
                              </a:rPr>
                            </m:ctrlPr>
                          </m:dPr>
                          <m:e>
                            <m:r>
                              <a:rPr lang="en-AU" sz="1100" i="1">
                                <a:latin typeface="Cambria Math" panose="02040503050406030204" pitchFamily="18" charset="0"/>
                              </a:rPr>
                              <m:t>𝑀</m:t>
                            </m:r>
                            <m:sSub>
                              <m:sSubPr>
                                <m:ctrlPr>
                                  <a:rPr lang="en-AU" sz="1100" i="1">
                                    <a:latin typeface="Cambria Math" panose="02040503050406030204" pitchFamily="18" charset="0"/>
                                  </a:rPr>
                                </m:ctrlPr>
                              </m:sSubPr>
                              <m:e>
                                <m:r>
                                  <a:rPr lang="en-AU" sz="1100" i="1">
                                    <a:latin typeface="Cambria Math" panose="02040503050406030204" pitchFamily="18" charset="0"/>
                                  </a:rPr>
                                  <m:t>𝑁</m:t>
                                </m:r>
                              </m:e>
                              <m:sub>
                                <m:r>
                                  <a:rPr lang="en-AU" sz="1100" i="1">
                                    <a:latin typeface="Cambria Math" panose="02040503050406030204" pitchFamily="18" charset="0"/>
                                  </a:rPr>
                                  <m:t>𝑗𝑚</m:t>
                                </m:r>
                                <m:r>
                                  <a:rPr lang="en-AU" sz="1100" i="1">
                                    <a:latin typeface="Cambria Math" panose="02040503050406030204" pitchFamily="18" charset="0"/>
                                  </a:rPr>
                                  <m:t>=14</m:t>
                                </m:r>
                              </m:sub>
                            </m:sSub>
                            <m:r>
                              <a:rPr lang="en-AU" sz="1100" i="1">
                                <a:latin typeface="Cambria Math" panose="02040503050406030204" pitchFamily="18" charset="0"/>
                              </a:rPr>
                              <m:t>×</m:t>
                            </m:r>
                            <m:r>
                              <a:rPr lang="en-AU" sz="1100" i="1">
                                <a:latin typeface="Cambria Math" panose="02040503050406030204" pitchFamily="18" charset="0"/>
                              </a:rPr>
                              <m:t>𝐹𝑟𝑎𝑐𝑊𝑒𝑡</m:t>
                            </m:r>
                            <m:r>
                              <a:rPr lang="en-AU" sz="1100" i="1">
                                <a:latin typeface="Cambria Math" panose="02040503050406030204" pitchFamily="18" charset="0"/>
                              </a:rPr>
                              <m:t>×</m:t>
                            </m:r>
                            <m:r>
                              <a:rPr lang="en-AU" sz="1100" i="1">
                                <a:latin typeface="Cambria Math" panose="02040503050406030204" pitchFamily="18" charset="0"/>
                              </a:rPr>
                              <m:t>𝐹𝑟𝑎𝑐𝐿𝐸𝐴𝐶𝐻</m:t>
                            </m:r>
                          </m:e>
                        </m:d>
                      </m:e>
                    </m:nary>
                  </m:oMath>
                </m:oMathPara>
              </a14:m>
              <a:endParaRPr lang="en-AU" sz="1100"/>
            </a:p>
          </xdr:txBody>
        </xdr:sp>
      </mc:Choice>
      <mc:Fallback xmlns="">
        <xdr:sp macro="" textlink="">
          <xdr:nvSpPr>
            <xdr:cNvPr id="2" name="TextBox 1">
              <a:extLst>
                <a:ext uri="{FF2B5EF4-FFF2-40B4-BE49-F238E27FC236}">
                  <a16:creationId xmlns:a16="http://schemas.microsoft.com/office/drawing/2014/main" id="{D10DFE55-4154-79C9-A905-876895805C5B}"/>
                </a:ext>
              </a:extLst>
            </xdr:cNvPr>
            <xdr:cNvSpPr txBox="1"/>
          </xdr:nvSpPr>
          <xdr:spPr>
            <a:xfrm>
              <a:off x="2686050" y="1919287"/>
              <a:ext cx="3462037" cy="33207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r>
                <a:rPr lang="en-AU" sz="1100" i="0">
                  <a:latin typeface="Cambria Math" panose="02040503050406030204" pitchFamily="18" charset="0"/>
                </a:rPr>
                <a:t>𝑀_(𝑙𝑒𝑎𝑐ℎ,𝑚=14)=∑10_𝑗▒(𝑀𝑁_(𝑗𝑚=14)×𝐹𝑟𝑎𝑐𝑊𝑒𝑡×𝐹𝑟𝑎𝑐𝐿𝐸𝐴𝐶𝐻</a:t>
              </a:r>
              <a14:m xmlns:a14="http://schemas.microsoft.com/office/drawing/2010/main"/>
            </a:p>
          </xdr:txBody>
        </xdr:sp>
      </mc:Fallback>
    </mc:AlternateContent>
    <xdr:clientData/>
  </xdr:oneCellAnchor>
  <xdr:oneCellAnchor>
    <xdr:from>
      <xdr:col>3</xdr:col>
      <xdr:colOff>19050</xdr:colOff>
      <xdr:row>37</xdr:row>
      <xdr:rowOff>109537</xdr:rowOff>
    </xdr:from>
    <xdr:ext cx="3045001" cy="180114"/>
    <mc:AlternateContent xmlns:mc="http://schemas.openxmlformats.org/markup-compatibility/2006" xmlns:a14="http://schemas.microsoft.com/office/drawing/2010/main">
      <mc:Choice Requires="a14">
        <xdr:sp macro="" textlink="">
          <xdr:nvSpPr>
            <xdr:cNvPr id="3" name="TextBox 2">
              <a:extLst>
                <a:ext uri="{FF2B5EF4-FFF2-40B4-BE49-F238E27FC236}">
                  <a16:creationId xmlns:a16="http://schemas.microsoft.com/office/drawing/2014/main" id="{4C304F3D-5707-9227-DCF1-C193757E1DBE}"/>
                </a:ext>
              </a:extLst>
            </xdr:cNvPr>
            <xdr:cNvSpPr txBox="1"/>
          </xdr:nvSpPr>
          <xdr:spPr>
            <a:xfrm>
              <a:off x="2695575" y="8662987"/>
              <a:ext cx="3045001" cy="180114"/>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sSub>
                      <m:sSubPr>
                        <m:ctrlPr>
                          <a:rPr lang="en-AU" sz="1100" i="1">
                            <a:latin typeface="Cambria Math" panose="02040503050406030204" pitchFamily="18" charset="0"/>
                          </a:rPr>
                        </m:ctrlPr>
                      </m:sSubPr>
                      <m:e>
                        <m:r>
                          <a:rPr lang="en-AU" sz="1100" i="1">
                            <a:latin typeface="Cambria Math" panose="02040503050406030204" pitchFamily="18" charset="0"/>
                          </a:rPr>
                          <m:t>𝐸</m:t>
                        </m:r>
                      </m:e>
                      <m:sub>
                        <m:r>
                          <a:rPr lang="en-AU" sz="1100" i="1">
                            <a:latin typeface="Cambria Math" panose="02040503050406030204" pitchFamily="18" charset="0"/>
                          </a:rPr>
                          <m:t>𝑁</m:t>
                        </m:r>
                        <m:r>
                          <a:rPr lang="en-AU" sz="1100" i="1">
                            <a:latin typeface="Cambria Math" panose="02040503050406030204" pitchFamily="18" charset="0"/>
                          </a:rPr>
                          <m:t>2</m:t>
                        </m:r>
                        <m:r>
                          <a:rPr lang="en-AU" sz="1100" i="1">
                            <a:latin typeface="Cambria Math" panose="02040503050406030204" pitchFamily="18" charset="0"/>
                          </a:rPr>
                          <m:t>𝑂</m:t>
                        </m:r>
                        <m:r>
                          <a:rPr lang="en-AU" sz="1100" i="1">
                            <a:latin typeface="Cambria Math" panose="02040503050406030204" pitchFamily="18" charset="0"/>
                          </a:rPr>
                          <m:t>,</m:t>
                        </m:r>
                        <m:r>
                          <a:rPr lang="en-AU" sz="1100" i="1">
                            <a:latin typeface="Cambria Math" panose="02040503050406030204" pitchFamily="18" charset="0"/>
                          </a:rPr>
                          <m:t>𝑙𝑒𝑎𝑐h</m:t>
                        </m:r>
                      </m:sub>
                    </m:sSub>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𝑀</m:t>
                        </m:r>
                      </m:e>
                      <m:sub>
                        <m:r>
                          <a:rPr lang="en-AU" sz="1100" i="1">
                            <a:latin typeface="Cambria Math" panose="02040503050406030204" pitchFamily="18" charset="0"/>
                          </a:rPr>
                          <m:t>𝑙𝑒𝑎𝑐h</m:t>
                        </m:r>
                        <m:r>
                          <a:rPr lang="en-AU" sz="1100" i="1">
                            <a:latin typeface="Cambria Math" panose="02040503050406030204" pitchFamily="18" charset="0"/>
                          </a:rPr>
                          <m:t>,</m:t>
                        </m:r>
                        <m:r>
                          <a:rPr lang="en-AU" sz="1100" i="1">
                            <a:latin typeface="Cambria Math" panose="02040503050406030204" pitchFamily="18" charset="0"/>
                          </a:rPr>
                          <m:t>𝑚</m:t>
                        </m:r>
                        <m:r>
                          <a:rPr lang="en-AU" sz="1100" i="1">
                            <a:latin typeface="Cambria Math" panose="02040503050406030204" pitchFamily="18" charset="0"/>
                          </a:rPr>
                          <m:t>=14</m:t>
                        </m:r>
                      </m:sub>
                    </m:sSub>
                    <m:r>
                      <a:rPr lang="en-AU" sz="1100" i="1">
                        <a:latin typeface="Cambria Math" panose="02040503050406030204" pitchFamily="18" charset="0"/>
                      </a:rPr>
                      <m:t>×</m:t>
                    </m:r>
                    <m:r>
                      <a:rPr lang="en-AU" sz="1100" i="1">
                        <a:latin typeface="Cambria Math" panose="02040503050406030204" pitchFamily="18" charset="0"/>
                      </a:rPr>
                      <m:t>𝐸</m:t>
                    </m:r>
                    <m:sSub>
                      <m:sSubPr>
                        <m:ctrlPr>
                          <a:rPr lang="en-AU" sz="1100" i="1">
                            <a:latin typeface="Cambria Math" panose="02040503050406030204" pitchFamily="18" charset="0"/>
                          </a:rPr>
                        </m:ctrlPr>
                      </m:sSubPr>
                      <m:e>
                        <m:r>
                          <a:rPr lang="en-AU" sz="1100" i="1">
                            <a:latin typeface="Cambria Math" panose="02040503050406030204" pitchFamily="18" charset="0"/>
                          </a:rPr>
                          <m:t>𝐹</m:t>
                        </m:r>
                      </m:e>
                      <m:sub>
                        <m:r>
                          <a:rPr lang="en-AU" sz="1100" i="1">
                            <a:latin typeface="Cambria Math" panose="02040503050406030204" pitchFamily="18" charset="0"/>
                          </a:rPr>
                          <m:t>𝑙𝑒𝑎𝑐h</m:t>
                        </m:r>
                      </m:sub>
                    </m:sSub>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𝐶</m:t>
                        </m:r>
                      </m:e>
                      <m:sub>
                        <m:r>
                          <a:rPr lang="en-AU" sz="1100" i="1">
                            <a:latin typeface="Cambria Math" panose="02040503050406030204" pitchFamily="18" charset="0"/>
                          </a:rPr>
                          <m:t>𝑁</m:t>
                        </m:r>
                        <m:r>
                          <a:rPr lang="en-AU" sz="1100" i="1">
                            <a:latin typeface="Cambria Math" panose="02040503050406030204" pitchFamily="18" charset="0"/>
                          </a:rPr>
                          <m:t>2</m:t>
                        </m:r>
                        <m:r>
                          <a:rPr lang="en-AU" sz="1100" i="1">
                            <a:latin typeface="Cambria Math" panose="02040503050406030204" pitchFamily="18" charset="0"/>
                          </a:rPr>
                          <m:t>𝑂</m:t>
                        </m:r>
                      </m:sub>
                    </m:sSub>
                    <m:r>
                      <a:rPr lang="en-AU" sz="1100" i="1">
                        <a:latin typeface="Cambria Math" panose="02040503050406030204" pitchFamily="18" charset="0"/>
                      </a:rPr>
                      <m:t>×</m:t>
                    </m:r>
                    <m:sSup>
                      <m:sSupPr>
                        <m:ctrlPr>
                          <a:rPr lang="en-AU" sz="1100" i="1">
                            <a:latin typeface="Cambria Math" panose="02040503050406030204" pitchFamily="18" charset="0"/>
                          </a:rPr>
                        </m:ctrlPr>
                      </m:sSupPr>
                      <m:e>
                        <m:r>
                          <a:rPr lang="en-AU" sz="1100" i="1">
                            <a:latin typeface="Cambria Math" panose="02040503050406030204" pitchFamily="18" charset="0"/>
                          </a:rPr>
                          <m:t>10</m:t>
                        </m:r>
                      </m:e>
                      <m:sup>
                        <m:r>
                          <a:rPr lang="en-AU" sz="1100" i="1">
                            <a:latin typeface="Cambria Math" panose="02040503050406030204" pitchFamily="18" charset="0"/>
                          </a:rPr>
                          <m:t>−3</m:t>
                        </m:r>
                      </m:sup>
                    </m:sSup>
                  </m:oMath>
                </m:oMathPara>
              </a14:m>
              <a:endParaRPr lang="en-AU" sz="1100"/>
            </a:p>
          </xdr:txBody>
        </xdr:sp>
      </mc:Choice>
      <mc:Fallback xmlns="">
        <xdr:sp macro="" textlink="">
          <xdr:nvSpPr>
            <xdr:cNvPr id="3" name="TextBox 2">
              <a:extLst>
                <a:ext uri="{FF2B5EF4-FFF2-40B4-BE49-F238E27FC236}">
                  <a16:creationId xmlns:a16="http://schemas.microsoft.com/office/drawing/2014/main" id="{4C304F3D-5707-9227-DCF1-C193757E1DBE}"/>
                </a:ext>
              </a:extLst>
            </xdr:cNvPr>
            <xdr:cNvSpPr txBox="1"/>
          </xdr:nvSpPr>
          <xdr:spPr>
            <a:xfrm>
              <a:off x="2695575" y="8662987"/>
              <a:ext cx="3045001" cy="180114"/>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r>
                <a:rPr lang="en-AU" sz="1100" i="0">
                  <a:latin typeface="Cambria Math" panose="02040503050406030204" pitchFamily="18" charset="0"/>
                </a:rPr>
                <a:t>𝐸_(𝑁2𝑂,𝑙𝑒𝑎𝑐ℎ)=𝑀_(𝑙𝑒𝑎𝑐ℎ,𝑚=14)×𝐸𝐹_𝑙𝑒𝑎𝑐ℎ×𝐶_𝑁2𝑂×10^(−3)</a:t>
              </a:r>
              <a:endParaRPr lang="en-AU" sz="1100"/>
            </a:p>
          </xdr:txBody>
        </xdr:sp>
      </mc:Fallback>
    </mc:AlternateContent>
    <xdr:clientData/>
  </xdr:oneCellAnchor>
</xdr:wsDr>
</file>

<file path=xl/externalLinks/_rels/externalLink1.xml.rels><?xml version="1.0" encoding="UTF-8" standalone="yes"?>
<Relationships xmlns="http://schemas.openxmlformats.org/package/2006/relationships"><Relationship Id="rId2" Type="http://schemas.openxmlformats.org/officeDocument/2006/relationships/externalLinkPath" Target="file:///C:\htdocs\zneagcrc\GAF-VEERG-Functions\Excel\4_1_ManureManagement_Feedlot_WIP_v04.xlsx" TargetMode="External"/><Relationship Id="rId1" Type="http://schemas.openxmlformats.org/officeDocument/2006/relationships/externalLinkPath" Target="4_1_ManureManagement_Feedlot_WIP_v04.xlsx" TargetMode="External"/></Relationships>
</file>

<file path=xl/externalLinks/_rels/externalLink2.xml.rels><?xml version="1.0" encoding="UTF-8" standalone="yes"?>
<Relationships xmlns="http://schemas.openxmlformats.org/package/2006/relationships"><Relationship Id="rId2" Type="http://schemas.openxmlformats.org/officeDocument/2006/relationships/externalLinkPath" Target="file:///C:\htdocs\zneagcrc\GAF-VEERG-Functions\Excel\Common_v02.xlsx" TargetMode="External"/><Relationship Id="rId1" Type="http://schemas.openxmlformats.org/officeDocument/2006/relationships/externalLinkPath" Target="Common_v02.xlsx"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alternateUrls>
    <sheetNames>
      <sheetName val="Home"/>
      <sheetName val="Results"/>
      <sheetName val="Input - Site"/>
      <sheetName val="Input - Feedlot"/>
      <sheetName val="4.1.1.1-2 Methane"/>
      <sheetName val="4.1.1.3-4 Direct N20"/>
      <sheetName val="4.1.1.5-6 Atmos Deposition"/>
      <sheetName val="4.1.1.9 Manure applied to soils"/>
      <sheetName val="Constants - Feedlot"/>
      <sheetName val="Constants - Common"/>
      <sheetName val="Constants - Livestock"/>
      <sheetName val="Acknowledgements"/>
      <sheetName val="Tab template"/>
      <sheetName val="4_1_ManureManagement_Feedlot_WI"/>
    </sheetNames>
    <sheetDataSet>
      <sheetData sheetId="0" refreshError="1"/>
      <sheetData sheetId="1" refreshError="1"/>
      <sheetData sheetId="2"/>
      <sheetData sheetId="3" refreshError="1"/>
      <sheetData sheetId="4" refreshError="1"/>
      <sheetData sheetId="5" refreshError="1"/>
      <sheetData sheetId="6" refreshError="1"/>
      <sheetData sheetId="7" refreshError="1"/>
      <sheetData sheetId="8" refreshError="1"/>
      <sheetData sheetId="9"/>
      <sheetData sheetId="10" refreshError="1"/>
      <sheetData sheetId="11" refreshError="1"/>
      <sheetData sheetId="12" refreshError="1"/>
      <sheetData sheetId="13" refreshError="1"/>
    </sheetDataSet>
  </externalBook>
</externalLink>
</file>

<file path=xl/externalLinks/externalLink2.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alternateUrls>
    <sheetNames>
      <sheetName val="Home"/>
      <sheetName val="Constants - Common"/>
      <sheetName val="Acknowledgements"/>
    </sheetNames>
    <sheetDataSet>
      <sheetData sheetId="0"/>
      <sheetData sheetId="1"/>
      <sheetData sheetId="2"/>
    </sheetDataSet>
  </externalBook>
</externalLink>
</file>

<file path=xl/richData/_rels/richValueRel.xml.rels><?xml version="1.0" encoding="UTF-8" standalone="yes"?>
<Relationships xmlns="http://schemas.openxmlformats.org/package/2006/relationships"><Relationship Id="rId1" Type="http://schemas.openxmlformats.org/officeDocument/2006/relationships/image" Target="../media/image1.png"/></Relationships>
</file>

<file path=xl/richData/rdRichValueTypes.xml><?xml version="1.0" encoding="utf-8"?>
<rvTypesInfo xmlns="http://schemas.microsoft.com/office/spreadsheetml/2017/richdata2" xmlns:mc="http://schemas.openxmlformats.org/markup-compatibility/2006" xmlns:x="http://schemas.openxmlformats.org/spreadsheetml/2006/main" mc:Ignorable="x">
  <global>
    <keyFlags>
      <key name="_Self">
        <flag name="ExcludeFromFile" value="1"/>
        <flag name="ExcludeFromCalcComparison" value="1"/>
      </key>
      <key name="_DisplayString">
        <flag name="ExcludeFromCalcComparison" value="1"/>
      </key>
      <key name="_Flags">
        <flag name="ExcludeFromCalcComparison" value="1"/>
      </key>
      <key name="_Format">
        <flag name="ExcludeFromCalcComparison" value="1"/>
      </key>
      <key name="_SubLabel">
        <flag name="ExcludeFromCalcComparison" value="1"/>
      </key>
      <key name="_Attribution">
        <flag name="ExcludeFromCalcComparison" value="1"/>
      </key>
      <key name="_Icon">
        <flag name="ExcludeFromCalcComparison" value="1"/>
      </key>
      <key name="_Display">
        <flag name="ExcludeFromCalcComparison" value="1"/>
      </key>
      <key name="_CanonicalPropertyNames">
        <flag name="ExcludeFromCalcComparison" value="1"/>
      </key>
      <key name="_ClassificationId">
        <flag name="ExcludeFromCalcComparison" value="1"/>
      </key>
    </keyFlags>
  </global>
</rvTypesInfo>
</file>

<file path=xl/richData/rdrichvalue.xml><?xml version="1.0" encoding="utf-8"?>
<rvData xmlns="http://schemas.microsoft.com/office/spreadsheetml/2017/richdata" count="1">
  <rv s="0">
    <v>0</v>
    <v>5</v>
  </rv>
</rvData>
</file>

<file path=xl/richData/rdrichvaluestructure.xml><?xml version="1.0" encoding="utf-8"?>
<rvStructures xmlns="http://schemas.microsoft.com/office/spreadsheetml/2017/richdata" count="1">
  <s t="_localImage">
    <k n="_rvRel:LocalImageIdentifier" t="i"/>
    <k n="CalcOrigin" t="i"/>
  </s>
</rvStructures>
</file>

<file path=xl/richData/richValueRel.xml><?xml version="1.0" encoding="utf-8"?>
<richValueRels xmlns="http://schemas.microsoft.com/office/spreadsheetml/2022/richvaluerel" xmlns:r="http://schemas.openxmlformats.org/officeDocument/2006/relationships">
  <rel r:id="rId1"/>
</richValueRel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8" xr:uid="{D5C443B2-EDE2-4250-B2EE-016878D19AD9}" name="Table_SourceData_Dairy_MMS" displayName="Table_SourceData_Dairy_MMS" ref="D7:E11" totalsRowShown="0">
  <autoFilter ref="D7:E11" xr:uid="{D5C443B2-EDE2-4250-B2EE-016878D19AD9}">
    <filterColumn colId="0" hiddenButton="1"/>
    <filterColumn colId="1" hiddenButton="1"/>
  </autoFilter>
  <tableColumns count="2">
    <tableColumn id="1" xr3:uid="{F2B173A3-CADE-4DCA-988D-39EE2392D8DB}" name="MMS"/>
    <tableColumn id="2" xr3:uid="{67006656-167A-4452-9820-88D798B88ADD}" name="Symbol and MMS" dataDxfId="77" dataCellStyle="Content normal"/>
  </tableColumns>
  <tableStyleInfo name="Equation table"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B6F3FE3A-A0B5-47E7-85B2-8426FB75A7C8}" name="Table_SourceData_Dairy_CropProdSystems" displayName="Table_SourceData_Dairy_CropProdSystems" ref="G7:G9" totalsRowShown="0">
  <autoFilter ref="G7:G9" xr:uid="{B6F3FE3A-A0B5-47E7-85B2-8426FB75A7C8}">
    <filterColumn colId="0" hiddenButton="1"/>
  </autoFilter>
  <tableColumns count="1">
    <tableColumn id="1" xr3:uid="{488F257E-D7D8-4266-96A1-1EA0C5DDDD42}" name="Production system">
      <calculatedColumnFormula>#REF!</calculatedColumnFormula>
    </tableColumn>
  </tableColumns>
  <tableStyleInfo name="Equation table"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FE172B77-CEA3-430C-84BC-392A64D0B8FF}" name="Table_SourceData_Dairy_IrrigationMethods" displayName="Table_SourceData_Dairy_IrrigationMethods" ref="J7:J12" totalsRowShown="0">
  <autoFilter ref="J7:J12" xr:uid="{FE172B77-CEA3-430C-84BC-392A64D0B8FF}">
    <filterColumn colId="0" hiddenButton="1"/>
  </autoFilter>
  <tableColumns count="1">
    <tableColumn id="1" xr3:uid="{A9C33016-6229-4481-B099-D67C87E2584C}" name="Irrigation method"/>
  </tableColumns>
  <tableStyleInfo name="Equation table"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967AC8BB-7677-48EA-BDB5-2C0BC5B0F947}" name="Table_SourceData_Dairy_WjCowsHeifers" displayName="Table_SourceData_Dairy_WjCowsHeifers" ref="D21:G31" totalsRowShown="0">
  <autoFilter ref="D21:G31" xr:uid="{967AC8BB-7677-48EA-BDB5-2C0BC5B0F947}">
    <filterColumn colId="0" hiddenButton="1"/>
    <filterColumn colId="1" hiddenButton="1"/>
    <filterColumn colId="2" hiddenButton="1"/>
    <filterColumn colId="3" hiddenButton="1"/>
  </autoFilter>
  <tableColumns count="4">
    <tableColumn id="1" xr3:uid="{CAC4C566-E7DF-44B3-BDB4-4B1785D5F9F0}" name="Breed">
      <calculatedColumnFormula array="1">Common_InputFunctions.Utility_DisplayArrayInTable(SourceData_Dairy.SourceData_Dairy_LiveweightCowsAndHeifers_Data(), Table_SourceData_Dairy_WjCowsHeifers[[#Headers],[Breed]], 0)</calculatedColumnFormula>
    </tableColumn>
    <tableColumn id="2" xr3:uid="{4C5541D8-40C3-436A-815B-7A3D9D154BB6}" name="Milking cows" dataDxfId="76" dataCellStyle="Content normal">
      <calculatedColumnFormula array="1">Common_InputFunctions.Utility_DisplayArrayInTable(SourceData_Dairy.SourceData_Dairy_LiveweightCowsAndHeifers_Data(), Table_SourceData_Dairy_WjCowsHeifers[[#Headers],[Breed]], 0)</calculatedColumnFormula>
    </tableColumn>
    <tableColumn id="3" xr3:uid="{A8A468F3-E260-4E60-AC14-8F50FD33B46B}" name="Heifers &gt; 1" dataDxfId="75" dataCellStyle="Content normal">
      <calculatedColumnFormula array="1">Common_InputFunctions.Utility_DisplayArrayInTable(SourceData_Dairy.SourceData_Dairy_LiveweightCowsAndHeifers_Data(), Table_SourceData_Dairy_WjCowsHeifers[[#Headers],[Breed]], 0)</calculatedColumnFormula>
    </tableColumn>
    <tableColumn id="4" xr3:uid="{2081FE2E-69DF-48BF-9561-91AC655332BC}" name="Heifers &lt; 1 (weaned)" dataDxfId="74" dataCellStyle="Content normal">
      <calculatedColumnFormula array="1">Common_InputFunctions.Utility_DisplayArrayInTable(SourceData_Dairy.SourceData_Dairy_LiveweightCowsAndHeifers_Data(), Table_SourceData_Dairy_WjCowsHeifers[[#Headers],[Breed]], 0)</calculatedColumnFormula>
    </tableColumn>
  </tableColumns>
  <tableStyleInfo name="Equation table"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AF7576A8-349F-4CC0-92AE-D91A1F2F1417}" name="Table_SourceData_Dairy_WjBulls" displayName="Table_SourceData_Dairy_WjBulls" ref="D38:F39" totalsRowShown="0">
  <autoFilter ref="D38:F39" xr:uid="{AF7576A8-349F-4CC0-92AE-D91A1F2F1417}">
    <filterColumn colId="0" hiddenButton="1"/>
    <filterColumn colId="1" hiddenButton="1"/>
    <filterColumn colId="2" hiddenButton="1"/>
  </autoFilter>
  <tableColumns count="3">
    <tableColumn id="1" xr3:uid="{40374F5E-9BC3-4080-A28F-8B1F65DE1774}" name="Breed">
      <calculatedColumnFormula array="1">Common_InputFunctions.Utility_DisplayArrayInTable(SourceData_Dairy.SourceData_Dairy_LiveweightBulls_Data(), Table_SourceData_Dairy_WjBulls[[#Headers],[Breed]], 0)</calculatedColumnFormula>
    </tableColumn>
    <tableColumn id="2" xr3:uid="{C20ABB8A-524B-457C-86CD-D1ADCBCD6339}" name="Bulls &gt; 1" dataDxfId="73" dataCellStyle="Content normal">
      <calculatedColumnFormula array="1">Common_InputFunctions.Utility_DisplayArrayInTable(SourceData_Dairy.SourceData_Dairy_LiveweightBulls_Data(), Table_SourceData_Dairy_WjBulls[[#Headers],[Breed]], 0)</calculatedColumnFormula>
    </tableColumn>
    <tableColumn id="3" xr3:uid="{7E843FE2-40FC-4270-88C9-9204E6D4AFBC}" name="Bulls &lt; 1 (weaned)" dataDxfId="72" dataCellStyle="Content normal">
      <calculatedColumnFormula array="1">Common_InputFunctions.Utility_DisplayArrayInTable(SourceData_Dairy.SourceData_Dairy_LiveweightBulls_Data(), Table_SourceData_Dairy_WjBulls[[#Headers],[Breed]], 0)</calculatedColumnFormula>
    </tableColumn>
  </tableColumns>
  <tableStyleInfo name="Equation table"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8FCFB773-B7EE-42F8-AC7C-31621B260645}" name="Table_SourceData_Dairy_LWGj" displayName="Table_SourceData_Dairy_LWGj" ref="D46:H47" totalsRowShown="0">
  <autoFilter ref="D46:H47" xr:uid="{8FCFB773-B7EE-42F8-AC7C-31621B260645}">
    <filterColumn colId="0" hiddenButton="1"/>
    <filterColumn colId="1" hiddenButton="1"/>
    <filterColumn colId="2" hiddenButton="1"/>
    <filterColumn colId="3" hiddenButton="1"/>
    <filterColumn colId="4" hiddenButton="1"/>
  </autoFilter>
  <tableColumns count="5">
    <tableColumn id="1" xr3:uid="{69C0AC05-6C13-494A-8124-C36C4B6D01B6}" name="Milking cows">
      <calculatedColumnFormula array="1">Common_InputFunctions.Utility_DisplayArrayInTable(SourceData_Dairy.SourceData_Dairy_LiveweightGain_Data(), Table_SourceData_Dairy_LWGj[[#Headers],[Milking cows]], 0)</calculatedColumnFormula>
    </tableColumn>
    <tableColumn id="2" xr3:uid="{6F9B3B56-C4EB-4BB7-8805-05635494D786}" name="Heifers &gt; 1" dataDxfId="71" dataCellStyle="Content normal">
      <calculatedColumnFormula array="1">Common_InputFunctions.Utility_DisplayArrayInTable(SourceData_Dairy.SourceData_Dairy_LiveweightGain_Data(), Table_SourceData_Dairy_LWGj[[#Headers],[Milking cows]], 0)</calculatedColumnFormula>
    </tableColumn>
    <tableColumn id="3" xr3:uid="{9CCB5E7F-697E-47C8-A2FC-07B0CCA18EF6}" name="Heifers &lt; 1 (weaned)" dataDxfId="70" dataCellStyle="Content normal">
      <calculatedColumnFormula array="1">Common_InputFunctions.Utility_DisplayArrayInTable(SourceData_Dairy.SourceData_Dairy_LiveweightGain_Data(), Table_SourceData_Dairy_LWGj[[#Headers],[Milking cows]], 0)</calculatedColumnFormula>
    </tableColumn>
    <tableColumn id="4" xr3:uid="{E2F3229F-1A83-4902-9C97-123E692B43D6}" name="Bulls &gt; 1" dataDxfId="69" dataCellStyle="Content normal">
      <calculatedColumnFormula array="1">Common_InputFunctions.Utility_DisplayArrayInTable(SourceData_Dairy.SourceData_Dairy_LiveweightGain_Data(), Table_SourceData_Dairy_LWGj[[#Headers],[Milking cows]], 0)</calculatedColumnFormula>
    </tableColumn>
    <tableColumn id="5" xr3:uid="{409BDD9D-D084-43BF-B34D-A29B0DFF00E7}" name="Bulls &lt; 1 (weaned)" dataDxfId="68" dataCellStyle="Content normal">
      <calculatedColumnFormula array="1">Common_InputFunctions.Utility_DisplayArrayInTable(SourceData_Dairy.SourceData_Dairy_LiveweightGain_Data(), Table_SourceData_Dairy_LWGj[[#Headers],[Milking cows]], 0)</calculatedColumnFormula>
    </tableColumn>
  </tableColumns>
  <tableStyleInfo name="Equation table"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296C6784-8B86-412A-92D3-E911DE28757C}" name="Table_SourceData_Dairy_WRj" displayName="Table_SourceData_Dairy_WRj" ref="D54:H55" totalsRowShown="0" headerRowDxfId="67" headerRowCellStyle="Content normal" dataCellStyle="Content normal">
  <autoFilter ref="D54:H55" xr:uid="{296C6784-8B86-412A-92D3-E911DE28757C}">
    <filterColumn colId="0" hiddenButton="1"/>
    <filterColumn colId="1" hiddenButton="1"/>
    <filterColumn colId="2" hiddenButton="1"/>
    <filterColumn colId="3" hiddenButton="1"/>
    <filterColumn colId="4" hiddenButton="1"/>
  </autoFilter>
  <tableColumns count="5">
    <tableColumn id="1" xr3:uid="{3AC95D93-D298-4573-B050-1788F492B878}" name="Milking cows" dataCellStyle="Content normal">
      <calculatedColumnFormula array="1">Common_InputFunctions.Utility_DisplayArrayInTable(SourceData_Dairy.SourceData_Dairy_ReferenceWeights_Data(), Table_SourceData_Dairy_WRj[[#Headers],[Milking cows]], 0)</calculatedColumnFormula>
    </tableColumn>
    <tableColumn id="2" xr3:uid="{991629E4-B0F0-475C-93F7-4A12ED668A18}" name="Heifers &gt; 1" dataCellStyle="Content normal">
      <calculatedColumnFormula array="1">Common_InputFunctions.Utility_DisplayArrayInTable(SourceData_Dairy.SourceData_Dairy_ReferenceWeights_Data(), Table_SourceData_Dairy_WRj[[#Headers],[Milking cows]], 0)</calculatedColumnFormula>
    </tableColumn>
    <tableColumn id="3" xr3:uid="{6C94EF39-6711-4487-81B0-B42EDB4594D8}" name="Heifers &lt; 1 (weaned)" dataCellStyle="Content normal">
      <calculatedColumnFormula array="1">Common_InputFunctions.Utility_DisplayArrayInTable(SourceData_Dairy.SourceData_Dairy_ReferenceWeights_Data(), Table_SourceData_Dairy_WRj[[#Headers],[Milking cows]], 0)</calculatedColumnFormula>
    </tableColumn>
    <tableColumn id="4" xr3:uid="{C3DD81A6-AACD-494F-AF05-233BBF18C20E}" name="Bulls &gt; 1" dataCellStyle="Content normal">
      <calculatedColumnFormula array="1">Common_InputFunctions.Utility_DisplayArrayInTable(SourceData_Dairy.SourceData_Dairy_ReferenceWeights_Data(), Table_SourceData_Dairy_WRj[[#Headers],[Milking cows]], 0)</calculatedColumnFormula>
    </tableColumn>
    <tableColumn id="5" xr3:uid="{094C9E2A-1500-4255-BA17-5A613FBA8EBC}" name="Bulls &lt; 1 (weaned)" dataCellStyle="Content normal">
      <calculatedColumnFormula array="1">Common_InputFunctions.Utility_DisplayArrayInTable(SourceData_Dairy.SourceData_Dairy_ReferenceWeights_Data(), Table_SourceData_Dairy_WRj[[#Headers],[Milking cows]], 0)</calculatedColumnFormula>
    </tableColumn>
  </tableColumns>
  <tableStyleInfo name="Equation table" showFirstColumn="0" showLastColumn="0" showRowStripes="1"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968BB314-DB2C-4CA2-BAA9-E66557777E59}" name="Table_SourceData_Dairy_DataPreWeaned" displayName="Table_SourceData_Dairy_DataPreWeaned" ref="D62:G64" totalsRowShown="0" dataDxfId="66" dataCellStyle="Content normal">
  <autoFilter ref="D62:G64" xr:uid="{968BB314-DB2C-4CA2-BAA9-E66557777E59}">
    <filterColumn colId="0" hiddenButton="1"/>
    <filterColumn colId="1" hiddenButton="1"/>
    <filterColumn colId="2" hiddenButton="1"/>
    <filterColumn colId="3" hiddenButton="1"/>
  </autoFilter>
  <tableColumns count="4">
    <tableColumn id="1" xr3:uid="{598A8529-B449-4014-BE34-ECB667ED42D5}" name="Animal class j" dataDxfId="65" dataCellStyle="Content normal">
      <calculatedColumnFormula array="1">Common_InputFunctions.Utility_DisplayArrayInTable(SourceData_Dairy.SourceData_Dairy_PreWeanedCalves_Data(), Table_SourceData_Dairy_DataPreWeaned[[#Headers],[Animal class j]], 0)</calculatedColumnFormula>
    </tableColumn>
    <tableColumn id="2" xr3:uid="{5C0E8AAB-9E7B-4D2E-B948-D2A0CC665284}" name="CH4 production" dataDxfId="64" dataCellStyle="Content normal">
      <calculatedColumnFormula array="1">Common_InputFunctions.Utility_DisplayArrayInTable(SourceData_Dairy.SourceData_Dairy_PreWeanedCalves_Data(), Table_SourceData_Dairy_DataPreWeaned[[#Headers],[Animal class j]], 0)</calculatedColumnFormula>
    </tableColumn>
    <tableColumn id="3" xr3:uid="{945A18DE-556C-4BC4-A6F6-B0601941462E}" name="Volatile solids (VSj=3,5)" dataDxfId="63" dataCellStyle="Content normal">
      <calculatedColumnFormula array="1">Common_InputFunctions.Utility_DisplayArrayInTable(SourceData_Dairy.SourceData_Dairy_PreWeanedCalves_Data(), Table_SourceData_Dairy_DataPreWeaned[[#Headers],[Animal class j]], 0)</calculatedColumnFormula>
    </tableColumn>
    <tableColumn id="4" xr3:uid="{8FC08B28-B758-4413-861D-9585CC484979}" name="Nitrogen Excreted (NPWj=3,5)" dataDxfId="62" dataCellStyle="Content normal">
      <calculatedColumnFormula array="1">Common_InputFunctions.Utility_DisplayArrayInTable(SourceData_Dairy.SourceData_Dairy_PreWeanedCalves_Data(), Table_SourceData_Dairy_DataPreWeaned[[#Headers],[Animal class j]], 0)</calculatedColumnFormula>
    </tableColumn>
  </tableColumns>
  <tableStyleInfo name="Equation table" showFirstColumn="0" showLastColumn="0" showRowStripes="1"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AFB1D80F-8BB0-4A20-AF5A-A288BBED76EB}" name="Table_SourceData_Dairy_MCFjm" displayName="Table_SourceData_Dairy_MCFjm" ref="D72:M78" totalsRowShown="0">
  <autoFilter ref="D72:M78" xr:uid="{AFB1D80F-8BB0-4A20-AF5A-A288BBED76E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autoFilter>
  <tableColumns count="10">
    <tableColumn id="1" xr3:uid="{A54F6170-CD83-454D-874A-2A78490F2BD1}" name="MMS m">
      <calculatedColumnFormula array="1">Common_InputFunctions.Utility_DisplayArrayInTable(SourceData_Dairy.SourceData_Dairy_MCF_Data(), Table_SourceData_Dairy_MCFjm[[#Headers],[MMS m]], 0)</calculatedColumnFormula>
    </tableColumn>
    <tableColumn id="2" xr3:uid="{B29E40EC-DE00-4962-8467-1C7A786C3DE4}" name="ACT" dataDxfId="61" dataCellStyle="Content normal">
      <calculatedColumnFormula array="1">Common_InputFunctions.Utility_DisplayArrayInTable(SourceData_Dairy.SourceData_Dairy_MCF_Data(), Table_SourceData_Dairy_MCFjm[[#Headers],[MMS m]], 0)</calculatedColumnFormula>
    </tableColumn>
    <tableColumn id="3" xr3:uid="{1ABF48E7-6948-4398-A069-F461406208B9}" name="NSW" dataDxfId="60" dataCellStyle="Content normal">
      <calculatedColumnFormula array="1">Common_InputFunctions.Utility_DisplayArrayInTable(SourceData_Dairy.SourceData_Dairy_MCF_Data(), Table_SourceData_Dairy_MCFjm[[#Headers],[MMS m]], 0)</calculatedColumnFormula>
    </tableColumn>
    <tableColumn id="4" xr3:uid="{A3DDB858-97C5-4EC8-955B-D48536431CC8}" name="NT" dataDxfId="59" dataCellStyle="Content normal">
      <calculatedColumnFormula array="1">Common_InputFunctions.Utility_DisplayArrayInTable(SourceData_Dairy.SourceData_Dairy_MCF_Data(), Table_SourceData_Dairy_MCFjm[[#Headers],[MMS m]], 0)</calculatedColumnFormula>
    </tableColumn>
    <tableColumn id="5" xr3:uid="{64B146B6-1E4C-4E4E-A22B-B3F33B7F2C8D}" name="QLD" dataDxfId="58" dataCellStyle="Content normal">
      <calculatedColumnFormula array="1">Common_InputFunctions.Utility_DisplayArrayInTable(SourceData_Dairy.SourceData_Dairy_MCF_Data(), Table_SourceData_Dairy_MCFjm[[#Headers],[MMS m]], 0)</calculatedColumnFormula>
    </tableColumn>
    <tableColumn id="6" xr3:uid="{4AC061FD-3D5D-4347-80B4-437EEDDA407C}" name="SA" dataDxfId="57" dataCellStyle="Content normal">
      <calculatedColumnFormula array="1">Common_InputFunctions.Utility_DisplayArrayInTable(SourceData_Dairy.SourceData_Dairy_MCF_Data(), Table_SourceData_Dairy_MCFjm[[#Headers],[MMS m]], 0)</calculatedColumnFormula>
    </tableColumn>
    <tableColumn id="7" xr3:uid="{58DE1EF2-ABA1-4507-A5A2-10DBB72C5360}" name="TAS" dataDxfId="56" dataCellStyle="Content normal">
      <calculatedColumnFormula array="1">Common_InputFunctions.Utility_DisplayArrayInTable(SourceData_Dairy.SourceData_Dairy_MCF_Data(), Table_SourceData_Dairy_MCFjm[[#Headers],[MMS m]], 0)</calculatedColumnFormula>
    </tableColumn>
    <tableColumn id="8" xr3:uid="{BA557B69-47EC-4B41-B9CC-12F16489EFF2}" name="VIC" dataDxfId="55" dataCellStyle="Content normal">
      <calculatedColumnFormula array="1">Common_InputFunctions.Utility_DisplayArrayInTable(SourceData_Dairy.SourceData_Dairy_MCF_Data(), Table_SourceData_Dairy_MCFjm[[#Headers],[MMS m]], 0)</calculatedColumnFormula>
    </tableColumn>
    <tableColumn id="9" xr3:uid="{1830500E-FEC6-4240-A1B1-EB7C6052507D}" name="WA" dataDxfId="54" dataCellStyle="Content normal">
      <calculatedColumnFormula array="1">Common_InputFunctions.Utility_DisplayArrayInTable(SourceData_Dairy.SourceData_Dairy_MCF_Data(), Table_SourceData_Dairy_MCFjm[[#Headers],[MMS m]], 0)</calculatedColumnFormula>
    </tableColumn>
    <tableColumn id="10" xr3:uid="{32D3BCE1-C338-4B12-B792-DFD9C2DF0EAC}" name="NIR reference" dataDxfId="53" dataCellStyle="Content normal">
      <calculatedColumnFormula array="1">Common_InputFunctions.Utility_DisplayArrayInTable(SourceData_Dairy.SourceData_Dairy_MCF_Data(), Table_SourceData_Dairy_MCFjm[[#Headers],[MMS m]], 0)</calculatedColumnFormula>
    </tableColumn>
  </tableColumns>
  <tableStyleInfo name="Equation table" showFirstColumn="0" showLastColumn="0" showRowStripes="1"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9FA92AE0-614A-46D8-9E98-33BA2B8E3C1D}" name="Table_SourceData_Dairy_EFmFracGASM" displayName="Table_SourceData_Dairy_EFmFracGASM" ref="D86:G91" totalsRowShown="0">
  <autoFilter ref="D86:G91" xr:uid="{9FA92AE0-614A-46D8-9E98-33BA2B8E3C1D}">
    <filterColumn colId="0" hiddenButton="1"/>
    <filterColumn colId="1" hiddenButton="1"/>
    <filterColumn colId="2" hiddenButton="1"/>
    <filterColumn colId="3" hiddenButton="1"/>
  </autoFilter>
  <tableColumns count="4">
    <tableColumn id="1" xr3:uid="{8ACEF380-8A1A-411E-A23A-665A769E20C7}" name="MMS m">
      <calculatedColumnFormula array="1">Common_InputFunctions.Utility_DisplayArrayInTable(SourceData_Dairy.SourceData_Dairy_NitrousOxideEFsAndFracGASM_Data(), Table_SourceData_Dairy_EFmFracGASM[[#Headers],[MMS m]], 0)</calculatedColumnFormula>
    </tableColumn>
    <tableColumn id="2" xr3:uid="{1898B440-928B-49CE-BE96-215FD9903B4D}" name="EFm" dataDxfId="52" dataCellStyle="Content normal">
      <calculatedColumnFormula array="1">Common_InputFunctions.Utility_DisplayArrayInTable(SourceData_Dairy.SourceData_Dairy_NitrousOxideEFsAndFracGASM_Data(), Table_SourceData_Dairy_EFmFracGASM[[#Headers],[MMS m]], 0)</calculatedColumnFormula>
    </tableColumn>
    <tableColumn id="3" xr3:uid="{E38469E4-0572-4872-BE43-36C7BBE75007}" name="FracGASMm" dataDxfId="51" dataCellStyle="Content normal">
      <calculatedColumnFormula array="1">Common_InputFunctions.Utility_DisplayArrayInTable(SourceData_Dairy.SourceData_Dairy_NitrousOxideEFsAndFracGASM_Data(), Table_SourceData_Dairy_EFmFracGASM[[#Headers],[MMS m]], 0)</calculatedColumnFormula>
    </tableColumn>
    <tableColumn id="4" xr3:uid="{2136786A-A3D3-4E62-B5A7-46AAC51855AD}" name="NIR reference" dataDxfId="50" dataCellStyle="Content normal">
      <calculatedColumnFormula array="1">Common_InputFunctions.Utility_DisplayArrayInTable(SourceData_Dairy.SourceData_Dairy_NitrousOxideEFsAndFracGASM_Data(), Table_SourceData_Dairy_EFmFracGASM[[#Headers],[MMS m]], 0)</calculatedColumnFormula>
    </tableColumn>
  </tableColumns>
  <tableStyleInfo name="Equation table" showFirstColumn="0" showLastColumn="0" showRowStripes="1"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1" xr:uid="{486563E6-CB80-4A05-BFA1-062176052592}" name="Table_SourceData_Dairy_MPWENTERIC" displayName="Table_SourceData_Dairy_MPWENTERIC" ref="D98:E100" totalsRowShown="0">
  <autoFilter ref="D98:E100" xr:uid="{486563E6-CB80-4A05-BFA1-062176052592}">
    <filterColumn colId="0" hiddenButton="1"/>
    <filterColumn colId="1" hiddenButton="1"/>
  </autoFilter>
  <tableColumns count="2">
    <tableColumn id="1" xr3:uid="{34872B36-E9B0-443E-A8EC-EC35C2572085}" name="Animal class j">
      <calculatedColumnFormula array="1">Common_InputFunctions.Utility_DisplayArrayInTable(SourceData_Dairy.SourceData_Dairy_MethaneProductionPreWeanedCalves_Data(), Table_SourceData_Dairy_MPWENTERIC[[#Headers],[Animal class j]], 0)</calculatedColumnFormula>
    </tableColumn>
    <tableColumn id="2" xr3:uid="{5BF46DC3-A57C-4E83-B386-D48BB1DB64E1}" name="MPW ENTERIC" dataDxfId="49" dataCellStyle="Content normal">
      <calculatedColumnFormula array="1">Common_InputFunctions.Utility_DisplayArrayInTable(SourceData_Dairy.SourceData_Dairy_MethaneProductionPreWeanedCalves_Data(), Table_SourceData_Dairy_MPWENTERIC[[#Headers],[Animal class j]], 0)</calculatedColumnFormula>
    </tableColumn>
  </tableColumns>
  <tableStyleInfo name="Equation table" showFirstColumn="0" showLastColumn="0" showRowStripes="1" showColumnStripes="0"/>
</table>
</file>

<file path=xl/tables/table1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 xr:uid="{2C28AB58-EB72-448B-B56E-C8B9764D38F9}" name="Table_SourceData_Dairy_MRj" displayName="Table_SourceData_Dairy_MRj" ref="D107:E109" totalsRowShown="0">
  <autoFilter ref="D107:E109" xr:uid="{2C28AB58-EB72-448B-B56E-C8B9764D38F9}">
    <filterColumn colId="0" hiddenButton="1"/>
    <filterColumn colId="1" hiddenButton="1"/>
  </autoFilter>
  <tableColumns count="2">
    <tableColumn id="1" xr3:uid="{B2383F7B-29D1-4559-9E34-4E2C127CFB5C}" name="Animal class j">
      <calculatedColumnFormula array="1">Common_InputFunctions.Utility_DisplayArrayInTable(SourceData_Dairy.SourceData_Dairy_IncreasedMetabolicRateMilk_Data(), Table_SourceData_Dairy_MRj[[#Headers],[Animal class j]], 0)</calculatedColumnFormula>
    </tableColumn>
    <tableColumn id="2" xr3:uid="{D1C6DB76-173B-4192-987A-A32F6D0D0E1A}" name="MRj" dataDxfId="48" dataCellStyle="Content normal">
      <calculatedColumnFormula array="1">Common_InputFunctions.Utility_DisplayArrayInTable(SourceData_Dairy.SourceData_Dairy_IncreasedMetabolicRateMilk_Data(), Table_SourceData_Dairy_MRj[[#Headers],[Animal class j]], 0)</calculatedColumnFormula>
    </tableColumn>
  </tableColumns>
  <tableStyleInfo name="Equation table" showFirstColumn="0" showLastColumn="0" showRowStripes="1" showColumnStripes="0"/>
</table>
</file>

<file path=xl/tables/table1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3" xr:uid="{1FB5F0D9-A87E-4E79-A32C-4BDDD47665B0}" name="Table_SourceData_Dairy_ProductionSystemTemplates" displayName="Table_SourceData_Dairy_ProductionSystemTemplates" ref="D116:G120" totalsRowShown="0">
  <autoFilter ref="D116:G120" xr:uid="{1FB5F0D9-A87E-4E79-A32C-4BDDD47665B0}">
    <filterColumn colId="0" hiddenButton="1"/>
    <filterColumn colId="1" hiddenButton="1"/>
    <filterColumn colId="2" hiddenButton="1"/>
    <filterColumn colId="3" hiddenButton="1"/>
  </autoFilter>
  <tableColumns count="4">
    <tableColumn id="1" xr3:uid="{A4A196FD-DBDB-46C0-83CE-7C77F2C477B3}" name="Area">
      <calculatedColumnFormula array="1">Common_InputFunctions.Utility_DisplayArrayInTable(SourceData_Dairy.SourceData_Dairy_FractionVolatileSolidsVoidedMMS_Data(), Table_SourceData_Dairy_ProductionSystemTemplates[[#Headers],[Area]], 0)</calculatedColumnFormula>
    </tableColumn>
    <tableColumn id="2" xr3:uid="{53A25CAD-C5FE-4619-A71E-7D4EE15E4A88}" name="Pasture" dataDxfId="47" dataCellStyle="Content normal">
      <calculatedColumnFormula array="1">Common_InputFunctions.Utility_DisplayArrayInTable(SourceData_Dairy.SourceData_Dairy_FractionVolatileSolidsVoidedMMS_Data(), Table_SourceData_Dairy_ProductionSystemTemplates[[#Headers],[Area]], 0)</calculatedColumnFormula>
    </tableColumn>
    <tableColumn id="3" xr3:uid="{9DFD752F-089A-45B1-A1B3-329B65BC5650}" name="Milking shed" dataDxfId="46" dataCellStyle="Content normal">
      <calculatedColumnFormula array="1">Common_InputFunctions.Utility_DisplayArrayInTable(SourceData_Dairy.SourceData_Dairy_FractionVolatileSolidsVoidedMMS_Data(), Table_SourceData_Dairy_ProductionSystemTemplates[[#Headers],[Area]], 0)</calculatedColumnFormula>
    </tableColumn>
    <tableColumn id="4" xr3:uid="{37872FA9-DEFB-4D6F-848C-F92D7B048A75}" name="Feedpad" dataDxfId="45" dataCellStyle="Content normal">
      <calculatedColumnFormula array="1">Common_InputFunctions.Utility_DisplayArrayInTable(SourceData_Dairy.SourceData_Dairy_FractionVolatileSolidsVoidedMMS_Data(), Table_SourceData_Dairy_ProductionSystemTemplates[[#Headers],[Area]], 0)</calculatedColumnFormula>
    </tableColumn>
  </tableColumns>
  <tableStyleInfo name="Equation table" showFirstColumn="0" showLastColumn="0" showRowStripes="1" showColumnStripes="0"/>
</table>
</file>

<file path=xl/tables/table1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4" xr:uid="{9FB5B8DA-9F8D-4436-A441-EA112190025D}" name="Table_SourceData_Dairy_EFm" displayName="Table_SourceData_Dairy_EFm" ref="D128:F133" totalsRowShown="0">
  <autoFilter ref="D128:F133" xr:uid="{9FB5B8DA-9F8D-4436-A441-EA112190025D}">
    <filterColumn colId="0" hiddenButton="1"/>
    <filterColumn colId="1" hiddenButton="1"/>
    <filterColumn colId="2" hiddenButton="1"/>
  </autoFilter>
  <tableColumns count="3">
    <tableColumn id="1" xr3:uid="{D85FDEBC-2FC0-45F1-BCD6-4464E2C22E94}" name="MMS m">
      <calculatedColumnFormula array="1">Common_InputFunctions.Utility_DisplayArrayInTable(SourceData_Dairy.SourceData_Dairy_EFNitrousOxidePerMMS_Data(), Table_SourceData_Dairy_EFm[[#Headers],[MMS m]], 0)</calculatedColumnFormula>
    </tableColumn>
    <tableColumn id="2" xr3:uid="{A21A17E4-5CBE-457C-83F6-E66794AB20C1}" name="EFm" dataDxfId="44" dataCellStyle="Content normal">
      <calculatedColumnFormula array="1">Common_InputFunctions.Utility_DisplayArrayInTable(SourceData_Dairy.SourceData_Dairy_EFNitrousOxidePerMMS_Data(), Table_SourceData_Dairy_EFm[[#Headers],[MMS m]], 0)</calculatedColumnFormula>
    </tableColumn>
    <tableColumn id="3" xr3:uid="{0552581B-C2BB-481C-87D1-7C1129F487A9}" name="NIR reference" dataDxfId="43" dataCellStyle="Content normal">
      <calculatedColumnFormula array="1">Common_InputFunctions.Utility_DisplayArrayInTable(SourceData_Dairy.SourceData_Dairy_EFNitrousOxidePerMMS_Data(), Table_SourceData_Dairy_EFm[[#Headers],[MMS m]], 0)</calculatedColumnFormula>
    </tableColumn>
  </tableColumns>
  <tableStyleInfo name="Equation table" showFirstColumn="0" showLastColumn="0" showRowStripes="1" showColumnStripes="0"/>
</table>
</file>

<file path=xl/tables/table1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3" xr:uid="{BB1ACE7A-AFF1-4870-9774-9D68332837FF}" name="Table_SourceData_Dairy_Duration" displayName="Table_SourceData_Dairy_Duration" ref="D141:F146" totalsRowShown="0">
  <autoFilter ref="D141:F146" xr:uid="{BB1ACE7A-AFF1-4870-9774-9D68332837FF}">
    <filterColumn colId="0" hiddenButton="1"/>
    <filterColumn colId="1" hiddenButton="1"/>
    <filterColumn colId="2" hiddenButton="1"/>
  </autoFilter>
  <tableColumns count="3">
    <tableColumn id="1" xr3:uid="{C1D0CE9E-4549-48D9-9C0F-1310FC73ABC5}" name="Animal class j">
      <calculatedColumnFormula array="1">Common_InputFunctions.Utility_DisplayArrayInTable(SourceData_Dairy.SourceData_Dairy_DurationOfStay_Data(), Table_SourceData_Dairy_Duration[[#Headers],[Animal class j]], 0)</calculatedColumnFormula>
    </tableColumn>
    <tableColumn id="2" xr3:uid="{1396CED3-63B3-4B3F-8629-5350DAE232F8}" name="Duration (weaned)" dataDxfId="42" dataCellStyle="Content normal">
      <calculatedColumnFormula array="1">Common_InputFunctions.Utility_DisplayArrayInTable(SourceData_Dairy.SourceData_Dairy_DurationOfStay_Data(), Table_SourceData_Dairy_Duration[[#Headers],[Animal class j]], 0)</calculatedColumnFormula>
    </tableColumn>
    <tableColumn id="3" xr3:uid="{9A35A34C-C373-43B3-B087-AB054A306734}" name="Duration (pre-weaned)" dataDxfId="41" dataCellStyle="Content normal">
      <calculatedColumnFormula array="1">Common_InputFunctions.Utility_DisplayArrayInTable(SourceData_Dairy.SourceData_Dairy_DurationOfStay_Data(), Table_SourceData_Dairy_Duration[[#Headers],[Animal class j]], 0)</calculatedColumnFormula>
    </tableColumn>
  </tableColumns>
  <tableStyleInfo name="Equation table" showFirstColumn="0" showLastColumn="0" showRowStripes="1" showColumnStripes="0"/>
</table>
</file>

<file path=xl/tables/table1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5" xr:uid="{19FE264D-5669-484E-8D21-A42C8CE3D3CD}" name="Table_AustralianStates" displayName="Table_AustralianStates" ref="D6:F14" totalsRowShown="0">
  <autoFilter ref="D6:F14" xr:uid="{E0906749-7FC7-47DE-82F6-F796C4463018}">
    <filterColumn colId="0" hiddenButton="1"/>
    <filterColumn colId="1" hiddenButton="1"/>
    <filterColumn colId="2" hiddenButton="1"/>
  </autoFilter>
  <tableColumns count="3">
    <tableColumn id="1" xr3:uid="{5D681247-29D9-4C49-AD01-F98EAA3D9055}" name="State/Territory">
      <calculatedColumnFormula array="1">Common_InputFunctions.Utility_DisplayArrayInTable(Common_SourceData.Common_SourceData_AustralianStatesTerritories_Data(),Table_AustralianStates[[#Headers],[State/Territory]],0)</calculatedColumnFormula>
    </tableColumn>
    <tableColumn id="2" xr3:uid="{41D1629D-34AA-4317-BBD5-2683437D746B}" name="Common Name">
      <calculatedColumnFormula array="1">Common_InputFunctions.Utility_DisplayArrayInTable(Common_SourceData.Common_SourceData_AustralianStatesTerritories_Data(),Table_AustralianStates[[#Headers],[State/Territory]],0)</calculatedColumnFormula>
    </tableColumn>
    <tableColumn id="3" xr3:uid="{D281D5FF-23BD-44B0-9177-78BB80426172}" name="Abbreviation">
      <calculatedColumnFormula array="1">Common_InputFunctions.Utility_DisplayArrayInTable(Common_SourceData.Common_SourceData_AustralianStatesTerritories_Data(),Table_AustralianStates[[#Headers],[State/Territory]],0)</calculatedColumnFormula>
    </tableColumn>
  </tableColumns>
  <tableStyleInfo name="Equation table" showFirstColumn="0" showLastColumn="0" showRowStripes="1" showColumnStripes="0"/>
</table>
</file>

<file path=xl/tables/table1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6" xr:uid="{F2F748C1-F027-47B6-963B-F5E8C52FBC46}" name="Table_WASA4Areas" displayName="Table_WASA4Areas" ref="D20:D30" totalsRowShown="0">
  <autoFilter ref="D20:D30" xr:uid="{5FA81339-C6C8-4D36-BEEA-6C4AEDD9E676}">
    <filterColumn colId="0" hiddenButton="1"/>
  </autoFilter>
  <tableColumns count="1">
    <tableColumn id="1" xr3:uid="{298081FC-37A6-4FBE-B069-316854981F41}" name="SA 4 Name">
      <calculatedColumnFormula array="1">Common_InputFunctions.Utility_DisplayArrayInTable(Common_SourceData.Common_SourceData_WASA4Areas_Data(), Table_WASA4Areas[[#Headers],[SA 4 Name]], 0)</calculatedColumnFormula>
    </tableColumn>
  </tableColumns>
  <tableStyleInfo name="Equation table" showFirstColumn="0" showLastColumn="0" showRowStripes="1" showColumnStripes="0"/>
</table>
</file>

<file path=xl/tables/table1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7" xr:uid="{8EBF51B0-4902-4F2F-9C39-F75B55DEAC1C}" name="Table_GWPData" displayName="Table_GWPData" ref="D36:E43" totalsRowShown="0">
  <autoFilter ref="D36:E43" xr:uid="{B8E87A66-3E41-4AD3-925D-01EE21B43D7A}">
    <filterColumn colId="0" hiddenButton="1"/>
    <filterColumn colId="1" hiddenButton="1"/>
  </autoFilter>
  <tableColumns count="2">
    <tableColumn id="1" xr3:uid="{BD305402-D314-4F28-9C3C-CE73E0F6F158}" name="Gas">
      <calculatedColumnFormula array="1">Common_InputFunctions.Utility_DisplayArrayInTable(Common_SourceData.Common_SourceData_GWP_Data(), Table_GWPData[[#Headers],[Gas]], 0)</calculatedColumnFormula>
    </tableColumn>
    <tableColumn id="2" xr3:uid="{46EA678C-2534-4FF9-B753-79232C1629F1}" name="CO2-e factor">
      <calculatedColumnFormula array="1">Common_InputFunctions.Utility_DisplayArrayInTable(Common_SourceData.Common_SourceData_GWP_Data(), Table_GWPData[[#Headers],[Gas]], 0)</calculatedColumnFormula>
    </tableColumn>
  </tableColumns>
  <tableStyleInfo name="Equation table" showFirstColumn="0" showLastColumn="0" showRowStripes="1" showColumnStripes="0"/>
</table>
</file>

<file path=xl/tables/table1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8" xr:uid="{6C7B0031-E2EF-49DA-9206-61C50BB7ED64}" name="Table_GasToMolecularConversionFactor" displayName="Table_GasToMolecularConversionFactor" ref="D47:H54" totalsRowShown="0">
  <autoFilter ref="D47:H54" xr:uid="{C1F562BB-DAA6-45BB-951A-7BAFA5B64B45}">
    <filterColumn colId="0" hiddenButton="1"/>
    <filterColumn colId="1" hiddenButton="1"/>
    <filterColumn colId="2" hiddenButton="1"/>
    <filterColumn colId="3" hiddenButton="1"/>
    <filterColumn colId="4" hiddenButton="1"/>
  </autoFilter>
  <tableColumns count="5">
    <tableColumn id="1" xr3:uid="{BB791520-1FCF-4639-895F-556BA08D601C}" name="Gas">
      <calculatedColumnFormula array="1">Common_InputFunctions.Utility_DisplayArrayInTable(Common_SourceData.Common_SourceData_ConvertGasElementalToMolecular_Data(),Table_GasToMolecularConversionFactor[[#Headers],[Gas]], 0)</calculatedColumnFormula>
    </tableColumn>
    <tableColumn id="5" xr3:uid="{24AD9AC8-352D-4A82-919C-933E8A14AF9B}" name="Conversion factor">
      <calculatedColumnFormula array="1">Common_InputFunctions.Utility_DisplayArrayInTable(Common_SourceData.Common_SourceData_ConvertGasElementalToMolecular_Data(),Table_GasToMolecularConversionFactor[[#Headers],[Gas]], 0)</calculatedColumnFormula>
    </tableColumn>
    <tableColumn id="2" xr3:uid="{509165BF-9899-44BF-932A-E39ADE14ECD2}" name="Conversion factor 1">
      <calculatedColumnFormula array="1">Common_InputFunctions.Utility_DisplayArrayInTable(Common_SourceData.Common_SourceData_ConvertGasElementalToMolecular_Data(),Table_GasToMolecularConversionFactor[[#Headers],[Gas]], 0)</calculatedColumnFormula>
    </tableColumn>
    <tableColumn id="3" xr3:uid="{A50FFA48-397B-44F8-BD49-0CC39EB2DEDE}" name="Conversion factor 2">
      <calculatedColumnFormula array="1">Common_InputFunctions.Utility_DisplayArrayInTable(Common_SourceData.Common_SourceData_ConvertGasElementalToMolecular_Data(),Table_GasToMolecularConversionFactor[[#Headers],[Gas]], 0)</calculatedColumnFormula>
    </tableColumn>
    <tableColumn id="4" xr3:uid="{A6FAB577-00AD-46FA-AA05-17477AB97EF8}" name="Conversion factor combined">
      <calculatedColumnFormula>Table_GasToMolecularConversionFactor[[#This Row],[Conversion factor 1]]/Table_GasToMolecularConversionFactor[[#This Row],[Conversion factor 2]]</calculatedColumnFormula>
    </tableColumn>
  </tableColumns>
  <tableStyleInfo name="Equation table" showFirstColumn="0" showLastColumn="0" showRowStripes="1" showColumnStripes="0"/>
</table>
</file>

<file path=xl/tables/table2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1" xr:uid="{FC60FDB8-3B37-4100-9808-42F5C56904EE}" name="Table_SourceData_ClimateZones" displayName="Table_SourceData_ClimateZones" ref="D89:S97" totalsRowShown="0">
  <autoFilter ref="D89:S97" xr:uid="{5A437AE9-7724-4CF2-ACCF-291078682F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autoFilter>
  <tableColumns count="16">
    <tableColumn id="1" xr3:uid="{2D90A32F-3552-4F5B-A7E5-D567E63AF5A3}" name="Climate zone" totalsRowCellStyle="Content bold">
      <calculatedColumnFormula array="1">Common_InputFunctions.Utility_DisplayArrayInTable(Common_SourceData.Common_SourceData_ClimateZones_Data(), Table_SourceData_ClimateZones[[#Headers],[Climate zone]], 0)</calculatedColumnFormula>
    </tableColumn>
    <tableColumn id="2" xr3:uid="{6B0C8963-E976-464C-A6FA-EB8FE6DDC413}" name="MAT" totalsRowDxfId="19" totalsRowCellStyle="Content bold">
      <calculatedColumnFormula array="1">Common_InputFunctions.Utility_DisplayArrayInTable(Common_SourceData.Common_SourceData_ClimateZones_Data(), Table_SourceData_ClimateZones[[#Headers],[Climate zone]], 0)</calculatedColumnFormula>
    </tableColumn>
    <tableColumn id="3" xr3:uid="{1C01563E-75AD-40BA-BD24-694B62FE0046}" name="MAP" totalsRowDxfId="18" totalsRowCellStyle="Content bold">
      <calculatedColumnFormula array="1">Common_InputFunctions.Utility_DisplayArrayInTable(Common_SourceData.Common_SourceData_ClimateZones_Data(), Table_SourceData_ClimateZones[[#Headers],[Climate zone]], 0)</calculatedColumnFormula>
    </tableColumn>
    <tableColumn id="4" xr3:uid="{899DBE93-7F9F-4AB3-B6D3-CB1CEA735FD0}" name="Frost days per year" totalsRowDxfId="17" totalsRowCellStyle="Content bold">
      <calculatedColumnFormula array="1">Common_InputFunctions.Utility_DisplayArrayInTable(Common_SourceData.Common_SourceData_ClimateZones_Data(), Table_SourceData_ClimateZones[[#Headers],[Climate zone]], 0)</calculatedColumnFormula>
    </tableColumn>
    <tableColumn id="5" xr3:uid="{E20DB067-71BB-4B04-860A-1EBCD695EB7B}" name="Elevation" totalsRowDxfId="16" totalsRowCellStyle="Content bold">
      <calculatedColumnFormula array="1">Common_InputFunctions.Utility_DisplayArrayInTable(Common_SourceData.Common_SourceData_ClimateZones_Data(), Table_SourceData_ClimateZones[[#Headers],[Climate zone]], 0)</calculatedColumnFormula>
    </tableColumn>
    <tableColumn id="6" xr3:uid="{E769D514-56C8-438A-B8EF-3B8D803F70AA}" name="MAP:PET" totalsRowDxfId="15" totalsRowCellStyle="Content bold">
      <calculatedColumnFormula array="1">Common_InputFunctions.Utility_DisplayArrayInTable(Common_SourceData.Common_SourceData_ClimateZones_Data(), Table_SourceData_ClimateZones[[#Headers],[Climate zone]], 0)</calculatedColumnFormula>
    </tableColumn>
    <tableColumn id="7" xr3:uid="{53563B9F-4252-4F08-8C1D-C4AF59F87312}" name="Min temp" totalsRowDxfId="14" totalsRowCellStyle="Content bold">
      <calculatedColumnFormula array="1">Common_InputFunctions.Utility_DisplayArrayInTable(Common_SourceData.Common_SourceData_ClimateZones_Data(), Table_SourceData_ClimateZones[[#Headers],[Climate zone]], 0)</calculatedColumnFormula>
    </tableColumn>
    <tableColumn id="8" xr3:uid="{8B00C01F-1B98-4A0A-8DBC-AA88EE08C0D5}" name="Max temp" totalsRowDxfId="13" totalsRowCellStyle="Content bold">
      <calculatedColumnFormula array="1">Common_InputFunctions.Utility_DisplayArrayInTable(Common_SourceData.Common_SourceData_ClimateZones_Data(), Table_SourceData_ClimateZones[[#Headers],[Climate zone]], 0)</calculatedColumnFormula>
    </tableColumn>
    <tableColumn id="9" xr3:uid="{1FF87CFA-8C30-46D0-9E35-03C2346C254E}" name="Min rainfall" totalsRowDxfId="12" totalsRowCellStyle="Content bold">
      <calculatedColumnFormula array="1">Common_InputFunctions.Utility_DisplayArrayInTable(Common_SourceData.Common_SourceData_ClimateZones_Data(), Table_SourceData_ClimateZones[[#Headers],[Climate zone]], 0)</calculatedColumnFormula>
    </tableColumn>
    <tableColumn id="10" xr3:uid="{8287202F-DC2F-4C8F-B857-D504730EE476}" name="Max rainfall" totalsRowDxfId="11" totalsRowCellStyle="Content bold">
      <calculatedColumnFormula array="1">Common_InputFunctions.Utility_DisplayArrayInTable(Common_SourceData.Common_SourceData_ClimateZones_Data(), Table_SourceData_ClimateZones[[#Headers],[Climate zone]], 0)</calculatedColumnFormula>
    </tableColumn>
    <tableColumn id="11" xr3:uid="{7B77180D-5BE1-4F6C-96E6-158D4E25B93F}" name="Min frost days" totalsRowDxfId="10" totalsRowCellStyle="Content bold">
      <calculatedColumnFormula array="1">Common_InputFunctions.Utility_DisplayArrayInTable(Common_SourceData.Common_SourceData_ClimateZones_Data(), Table_SourceData_ClimateZones[[#Headers],[Climate zone]], 0)</calculatedColumnFormula>
    </tableColumn>
    <tableColumn id="15" xr3:uid="{DDA59061-0192-4F4C-AF6E-295CA9830DF9}" name="Max frost days" totalsRowDxfId="9" totalsRowCellStyle="Content bold">
      <calculatedColumnFormula array="1">Common_InputFunctions.Utility_DisplayArrayInTable(Common_SourceData.Common_SourceData_ClimateZones_Data(), Table_SourceData_ClimateZones[[#Headers],[Climate zone]], 0)</calculatedColumnFormula>
    </tableColumn>
    <tableColumn id="12" xr3:uid="{CE29E192-B33C-493D-BBBF-EA30BCF94FF6}" name="Min elevation" totalsRowDxfId="8" totalsRowCellStyle="Content bold">
      <calculatedColumnFormula array="1">Common_InputFunctions.Utility_DisplayArrayInTable(Common_SourceData.Common_SourceData_ClimateZones_Data(), Table_SourceData_ClimateZones[[#Headers],[Climate zone]], 0)</calculatedColumnFormula>
    </tableColumn>
    <tableColumn id="16" xr3:uid="{3F2F73CB-5E64-4AA8-90ED-A4FC28BA97E2}" name="Max elevation" totalsRowDxfId="7" totalsRowCellStyle="Content bold">
      <calculatedColumnFormula array="1">Common_InputFunctions.Utility_DisplayArrayInTable(Common_SourceData.Common_SourceData_ClimateZones_Data(), Table_SourceData_ClimateZones[[#Headers],[Climate zone]], 0)</calculatedColumnFormula>
    </tableColumn>
    <tableColumn id="13" xr3:uid="{82458481-554E-4330-A102-227467236B24}" name="Min MAP:PET" totalsRowDxfId="6" totalsRowCellStyle="Content bold">
      <calculatedColumnFormula array="1">Common_InputFunctions.Utility_DisplayArrayInTable(Common_SourceData.Common_SourceData_ClimateZones_Data(), Table_SourceData_ClimateZones[[#Headers],[Climate zone]], 0)</calculatedColumnFormula>
    </tableColumn>
    <tableColumn id="17" xr3:uid="{1D6B931F-284C-44C1-A433-CC240ECD8F4D}" name="Max MAP:PET" totalsRowDxfId="5" totalsRowCellStyle="Content bold">
      <calculatedColumnFormula array="1">Common_InputFunctions.Utility_DisplayArrayInTable(Common_SourceData.Common_SourceData_ClimateZones_Data(), Table_SourceData_ClimateZones[[#Headers],[Climate zone]], 0)</calculatedColumnFormula>
    </tableColumn>
  </tableColumns>
  <tableStyleInfo name="Equation table" showFirstColumn="0" showLastColumn="0" showRowStripes="1" showColumnStripes="0"/>
</table>
</file>

<file path=xl/tables/table2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2" xr:uid="{906E5F95-5D74-42BC-8838-700DF565F8A0}" name="Table_SourceData_WetDryZones" displayName="Table_SourceData_WetDryZones" ref="D63:E77" totalsRowShown="0">
  <autoFilter ref="D63:E77" xr:uid="{3597E019-B21E-4B76-BCC8-D02D497BCFA9}">
    <filterColumn colId="0" hiddenButton="1"/>
    <filterColumn colId="1" hiddenButton="1"/>
  </autoFilter>
  <tableColumns count="2">
    <tableColumn id="1" xr3:uid="{AAAD3B08-8833-4E3F-A747-9963A1FC9037}" name="Climate zone" totalsRowCellStyle="Content bold">
      <calculatedColumnFormula array="1">Common_InputFunctions.Utility_DisplayArrayInTable(Common_SourceData.Common_SourceData_WetAndDryZones_Data(), Table_SourceData_WetDryZones[[#Headers],[Climate zone]], 0)</calculatedColumnFormula>
    </tableColumn>
    <tableColumn id="2" xr3:uid="{9662392A-3ABD-4BCD-BDEE-4F34F5B884AB}" name="Wet or Dry Zone" totalsRowDxfId="4" totalsRowCellStyle="Content bold">
      <calculatedColumnFormula array="1">Common_InputFunctions.Utility_DisplayArrayInTable(Common_SourceData.Common_SourceData_WetAndDryZones_Data(), Table_SourceData_WetDryZones[[#Headers],[Climate zone]], 0)</calculatedColumnFormula>
    </tableColumn>
  </tableColumns>
  <tableStyleInfo name="Equation table" showFirstColumn="0" showLastColumn="0" showRowStripes="1" showColumnStripes="0"/>
</table>
</file>

<file path=xl/tables/table2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6" xr:uid="{FF7A1D65-E72B-4CBE-BFC2-D73C823AE385}" name="Table_SourceData_TemperatureZones" displayName="Table_SourceData_TemperatureZones" ref="D109:G112" totalsRowShown="0">
  <autoFilter ref="D109:G112" xr:uid="{AB16FEAB-AB03-45E1-BBD4-66D29CD412DF}">
    <filterColumn colId="0" hiddenButton="1"/>
    <filterColumn colId="1" hiddenButton="1"/>
    <filterColumn colId="2" hiddenButton="1"/>
    <filterColumn colId="3" hiddenButton="1"/>
  </autoFilter>
  <tableColumns count="4">
    <tableColumn id="1" xr3:uid="{C12C0287-8B6C-46C8-B863-A11C600BE9E9}" name="Temperature Zone">
      <calculatedColumnFormula array="1">Common_InputFunctions.Utility_DisplayArrayInTable(Common_SourceData.Common_SourceData_TemperatureZones_Data(),Table_SourceData_TemperatureZones[[#Headers],[Temperature Zone]],0)</calculatedColumnFormula>
    </tableColumn>
    <tableColumn id="2" xr3:uid="{6447A8E3-F2D9-4EC7-905D-D0CA6F202511}" name="MAT">
      <calculatedColumnFormula array="1">Common_InputFunctions.Utility_DisplayArrayInTable(Common_SourceData.Common_SourceData_TemperatureZones_Data(),Table_SourceData_TemperatureZones[[#Headers],[Temperature Zone]],0)</calculatedColumnFormula>
    </tableColumn>
    <tableColumn id="3" xr3:uid="{65AD448E-6DB8-47B5-B67E-9AE6A8BBDA7A}" name="Min MAT">
      <calculatedColumnFormula array="1">Common_InputFunctions.Utility_DisplayArrayInTable(Common_SourceData.Common_SourceData_TemperatureZones_Data(),Table_SourceData_TemperatureZones[[#Headers],[Temperature Zone]],0)</calculatedColumnFormula>
    </tableColumn>
    <tableColumn id="4" xr3:uid="{94402793-2EB7-4088-8C98-1401640B66D9}" name="Max MAT">
      <calculatedColumnFormula array="1">Common_InputFunctions.Utility_DisplayArrayInTable(Common_SourceData.Common_SourceData_TemperatureZones_Data(),Table_SourceData_TemperatureZones[[#Headers],[Temperature Zone]],0)</calculatedColumnFormula>
    </tableColumn>
  </tableColumns>
  <tableStyleInfo name="Equation table" showFirstColumn="0" showLastColumn="0" showRowStripes="1" showColumnStripes="0"/>
</table>
</file>

<file path=xl/tables/table2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7" xr:uid="{E7AA6F03-7C2B-41E9-B9D5-90406FB1159E}" name="Table_SourceData_RainfallZones" displayName="Table_SourceData_RainfallZones" ref="D119:G121" totalsRowShown="0">
  <autoFilter ref="D119:G121" xr:uid="{E08772F3-2E8C-40A8-B755-08A5BBDF4130}">
    <filterColumn colId="0" hiddenButton="1"/>
    <filterColumn colId="1" hiddenButton="1"/>
    <filterColumn colId="2" hiddenButton="1"/>
    <filterColumn colId="3" hiddenButton="1"/>
  </autoFilter>
  <tableColumns count="4">
    <tableColumn id="1" xr3:uid="{B363142E-B089-4CCE-BF59-4227321ACE2B}" name="Rainfall Zone">
      <calculatedColumnFormula array="1">Common_InputFunctions.Utility_DisplayArrayInTable(Common_SourceData.Common_SourceData_RainfallZones_Data(),Table_SourceData_RainfallZones[[#Headers],[Rainfall Zone]],0)</calculatedColumnFormula>
    </tableColumn>
    <tableColumn id="2" xr3:uid="{3CD5DBB1-8868-4EF8-9394-D74720CBB46C}" name="Annual rainfall">
      <calculatedColumnFormula array="1">Common_InputFunctions.Utility_DisplayArrayInTable(Common_SourceData.Common_SourceData_RainfallZones_Data(),Table_SourceData_RainfallZones[[#Headers],[Rainfall Zone]],0)</calculatedColumnFormula>
    </tableColumn>
    <tableColumn id="3" xr3:uid="{868F5EC7-C648-482E-8D7D-6344C59D7200}" name="Min rainfall">
      <calculatedColumnFormula array="1">Common_InputFunctions.Utility_DisplayArrayInTable(Common_SourceData.Common_SourceData_RainfallZones_Data(),Table_SourceData_RainfallZones[[#Headers],[Rainfall Zone]],0)</calculatedColumnFormula>
    </tableColumn>
    <tableColumn id="4" xr3:uid="{81931D16-E146-43BE-900D-662F8F6CB5A1}" name="Max rainfall">
      <calculatedColumnFormula array="1">Common_InputFunctions.Utility_DisplayArrayInTable(Common_SourceData.Common_SourceData_RainfallZones_Data(),Table_SourceData_RainfallZones[[#Headers],[Rainfall Zone]],0)</calculatedColumnFormula>
    </tableColumn>
  </tableColumns>
  <tableStyleInfo name="Equation table" showFirstColumn="0" showLastColumn="0" showRowStripes="1" showColumnStripes="0"/>
</table>
</file>

<file path=xl/tables/table2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8" xr:uid="{2B37C901-98A7-47A4-BDD5-2B5587A3AD0C}" name="Table_SourceData_LeachingZones" displayName="Table_SourceData_LeachingZones" ref="D127:E129" totalsRowShown="0">
  <autoFilter ref="D127:E129" xr:uid="{A159E140-02ED-4547-B6E1-6695D8B16A11}">
    <filterColumn colId="0" hiddenButton="1"/>
    <filterColumn colId="1" hiddenButton="1"/>
  </autoFilter>
  <tableColumns count="2">
    <tableColumn id="1" xr3:uid="{50F6DAD2-0832-4348-A87C-6E7A1E849643}" name="Leaching Zone">
      <calculatedColumnFormula array="1">Common_InputFunctions.Utility_DisplayArrayInTable(Common_SourceData.Common_SourceData_LeachingZones_Data(), Table_SourceData_LeachingZones[[#Headers],[Leaching Zone]], 0)</calculatedColumnFormula>
    </tableColumn>
    <tableColumn id="2" xr3:uid="{80CEAF86-DC1D-4780-99E6-61AFC6C4571D}" name="Leaching criteria">
      <calculatedColumnFormula array="1">Common_InputFunctions.Utility_DisplayArrayInTable(Common_SourceData.Common_SourceData_LeachingZones_Data(), Table_SourceData_LeachingZones[[#Headers],[Leaching Zone]], 0)</calculatedColumnFormula>
    </tableColumn>
  </tableColumns>
  <tableStyleInfo name="Equation table" showFirstColumn="0" showLastColumn="0" showRowStripes="1" showColumnStripes="0"/>
</table>
</file>

<file path=xl/tables/table2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9" xr:uid="{CBFAD446-3373-4DCC-BB16-5B6F3DC79F4B}" name="Table_SourceData_DataScores_Scope3" displayName="Table_SourceData_DataScores_Scope3" ref="D153:E158" totalsRowShown="0">
  <autoFilter ref="D153:E158" xr:uid="{133D42B0-F6D2-470A-858A-37E6A7F5EC2B}">
    <filterColumn colId="0" hiddenButton="1"/>
    <filterColumn colId="1" hiddenButton="1"/>
  </autoFilter>
  <tableColumns count="2">
    <tableColumn id="1" xr3:uid="{85D503B1-73D8-411F-9CAD-DBB0D0F94912}" name="Data source">
      <calculatedColumnFormula array="1">Common_InputFunctions.Utility_DisplayArrayInTable(Common_SourceData.Common_SourceData_DataScores_Scope3_Data(), Table_SourceData_DataScores_Scope3[[#Headers],[Data source]], 0)</calculatedColumnFormula>
    </tableColumn>
    <tableColumn id="2" xr3:uid="{1D0F139B-98F1-4DE9-B45F-20612A2E2D73}" name="Data score">
      <calculatedColumnFormula array="1">Common_InputFunctions.Utility_DisplayArrayInTable(Common_SourceData.Common_SourceData_DataScores_Scope3_Data(), Table_SourceData_DataScores_Scope3[[#Headers],[Data source]], 0)</calculatedColumnFormula>
    </tableColumn>
  </tableColumns>
  <tableStyleInfo name="Equation table" showFirstColumn="0" showLastColumn="0" showRowStripes="1" showColumnStripes="0"/>
</table>
</file>

<file path=xl/tables/table2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0" xr:uid="{1BAA5795-6621-42CE-8153-111A54CC8622}" name="Table_SourceData_FracWET" displayName="Table_SourceData_FracWET" ref="D134:E136" totalsRowShown="0">
  <autoFilter ref="D134:E136" xr:uid="{308E99BE-FE1F-47A4-B2CA-97217277C4E9}">
    <filterColumn colId="0" hiddenButton="1"/>
    <filterColumn colId="1" hiddenButton="1"/>
  </autoFilter>
  <tableColumns count="2">
    <tableColumn id="1" xr3:uid="{FEAB49E6-7DD8-46ED-90A0-B7EB3075E1BF}" name="Is in leaching zone">
      <calculatedColumnFormula array="1">Common_InputFunctions.Utility_DisplayArrayInTable(Common_SourceData.Common_SourceData_FracWET_Data(),Table_SourceData_FracWET[[#Headers],[Is in leaching zone]],0)</calculatedColumnFormula>
    </tableColumn>
    <tableColumn id="2" xr3:uid="{84EBCE84-A233-42E5-890F-49663B21EFD5}" name="FracWET" dataDxfId="3">
      <calculatedColumnFormula array="1">Common_InputFunctions.Utility_DisplayArrayInTable(Common_SourceData.Common_SourceData_FracWET_Data(),Table_SourceData_FracWET[[#Headers],[Is in leaching zone]],0)</calculatedColumnFormula>
    </tableColumn>
  </tableColumns>
  <tableStyleInfo name="Equation table" showFirstColumn="0" showLastColumn="0" showRowStripes="1" showColumnStripes="0"/>
</table>
</file>

<file path=xl/tables/table2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1" xr:uid="{25CCB2EB-7131-4C9D-9E69-124C45763EA8}" name="Table_SourceData_Common_EFN2O" displayName="Table_SourceData_Common_EFN2O" ref="D186:H199" totalsRowShown="0">
  <autoFilter ref="D186:H199" xr:uid="{D41FBEA4-8379-4DF7-A068-BF94D364F1A2}">
    <filterColumn colId="0" hiddenButton="1"/>
    <filterColumn colId="1" hiddenButton="1"/>
    <filterColumn colId="2" hiddenButton="1"/>
    <filterColumn colId="3" hiddenButton="1"/>
    <filterColumn colId="4" hiddenButton="1"/>
  </autoFilter>
  <tableColumns count="5">
    <tableColumn id="1" xr3:uid="{808FBE86-8CD2-4FD0-B05B-E695E78CFFA0}" name="Production system j">
      <calculatedColumnFormula array="1">Common_InputFunctions.Utility_DisplayArrayInTable(Common_SourceData.Common_SourceData_EFN2O_Data(), Table_SourceData_Common_EFN2O[[#Headers],[Production system j]], 0)</calculatedColumnFormula>
    </tableColumn>
    <tableColumn id="2" xr3:uid="{658794EF-25BF-4D8F-924E-F7386193BFE9}" name="EFN2O">
      <calculatedColumnFormula array="1">Common_InputFunctions.Utility_DisplayArrayInTable(Common_SourceData.Common_SourceData_EFN2O_Data(), Table_SourceData_Common_EFN2O[[#Headers],[Production system j]], 0)</calculatedColumnFormula>
    </tableColumn>
    <tableColumn id="3" xr3:uid="{5F8C023D-28F8-40F5-9676-E21EB28C0DD9}" name="Production system only">
      <calculatedColumnFormula array="1">Common_InputFunctions.Utility_DisplayArrayInTable(Common_SourceData.Common_SourceData_EFN2O_Data(), Table_SourceData_Common_EFN2O[[#Headers],[Production system j]], 0)</calculatedColumnFormula>
    </tableColumn>
    <tableColumn id="4" xr3:uid="{34B0ADA3-2B11-4E3E-BD65-CA9D10913522}" name="Irrigation method">
      <calculatedColumnFormula array="1">Common_InputFunctions.Utility_DisplayArrayInTable(Common_SourceData.Common_SourceData_EFN2O_Data(), Table_SourceData_Common_EFN2O[[#Headers],[Production system j]], 0)</calculatedColumnFormula>
    </tableColumn>
    <tableColumn id="5" xr3:uid="{C7C7C4CC-A289-46C8-AF10-AD288E5219FC}" name="Rainfall zone">
      <calculatedColumnFormula array="1">Common_InputFunctions.Utility_DisplayArrayInTable(Common_SourceData.Common_SourceData_EFN2O_Data(), Table_SourceData_Common_EFN2O[[#Headers],[Production system j]], 0)</calculatedColumnFormula>
    </tableColumn>
  </tableColumns>
  <tableStyleInfo name="Equation table" showFirstColumn="0" showLastColumn="0" showRowStripes="1" showColumnStripes="0"/>
</table>
</file>

<file path=xl/tables/table2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2" xr:uid="{16E5CFB6-6D90-42BA-9FBD-9BCE1E9E342B}" name="Table_SourceData_FracWETIrrigation" displayName="Table_SourceData_FracWETIrrigation" ref="D142:E147" totalsRowShown="0">
  <autoFilter ref="D142:E147" xr:uid="{1F48CA34-50DE-46D5-B32A-BB3A1E818E37}">
    <filterColumn colId="0" hiddenButton="1"/>
    <filterColumn colId="1" hiddenButton="1"/>
  </autoFilter>
  <tableColumns count="2">
    <tableColumn id="1" xr3:uid="{CF7C6950-6C14-48ED-B91E-2D01B576296F}" name="Irrigation type i">
      <calculatedColumnFormula array="1">Common_InputFunctions.Utility_DisplayArrayInTable(Common_SourceData.Common_SourceData_FracWETIrrigation_Data(), Table_SourceData_FracWETIrrigation[[#Headers],[Irrigation type i]], 0)</calculatedColumnFormula>
    </tableColumn>
    <tableColumn id="2" xr3:uid="{ED30A3BE-3AE8-41AB-A5A0-6B1C0A957DDD}" name="FracWET" dataDxfId="2" dataCellStyle="Content normal">
      <calculatedColumnFormula array="1">Common_InputFunctions.Utility_DisplayArrayInTable(Common_SourceData.Common_SourceData_FracWETIrrigation_Data(), Table_SourceData_FracWETIrrigation[[#Headers],[Irrigation type i]], 0)</calculatedColumnFormula>
    </tableColumn>
  </tableColumns>
  <tableStyleInfo name="Equation table" showFirstColumn="0" showLastColumn="0" showRowStripes="1" showColumnStripes="0"/>
</table>
</file>

<file path=xl/tables/table2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3" xr:uid="{D00A1B03-F240-4218-A4D0-BD1661524411}" name="Table_SourceData_EFPastureRangeAndPaddock" displayName="Table_SourceData_EFPastureRangeAndPaddock" ref="D206:E208" totalsRowShown="0">
  <autoFilter ref="D206:E208" xr:uid="{D5BE3F89-D70E-4C53-A71C-E756622DEF38}">
    <filterColumn colId="0" hiddenButton="1"/>
    <filterColumn colId="1" hiddenButton="1"/>
  </autoFilter>
  <tableColumns count="2">
    <tableColumn id="1" xr3:uid="{9F31ED6A-CC9D-431A-9C19-43BB3FB38AE0}" name="Climate zone">
      <calculatedColumnFormula array="1">Common_InputFunctions.Utility_DisplayArrayInTable(Common_SourceData.Common_SourceData_EFPastureRangeAndPaddock_Data(), Table_SourceData_EFPastureRangeAndPaddock[[#Headers],[Climate zone]], 0)</calculatedColumnFormula>
    </tableColumn>
    <tableColumn id="2" xr3:uid="{ED193FF1-2EF8-42EF-A35E-7E1EC05480A7}" name="EFPRP" dataDxfId="1" dataCellStyle="Content normal">
      <calculatedColumnFormula array="1">Common_InputFunctions.Utility_DisplayArrayInTable(Common_SourceData.Common_SourceData_EFPastureRangeAndPaddock_Data(), Table_SourceData_EFPastureRangeAndPaddock[[#Headers],[Climate zone]], 0)</calculatedColumnFormula>
    </tableColumn>
  </tableColumns>
  <tableStyleInfo name="Equation table" showFirstColumn="0" showLastColumn="0" showRowStripes="1" showColumnStripes="0"/>
</table>
</file>

<file path=xl/tables/table3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4" xr:uid="{6B292A74-5221-4EFC-B232-A500640B3234}" name="Table_SourceData_Common_MonthToSeason" displayName="Table_SourceData_Common_MonthToSeason" ref="D212:E224" totalsRowShown="0">
  <autoFilter ref="D212:E224" xr:uid="{97796C3A-D95E-4077-AA20-A8FE4145DAAD}">
    <filterColumn colId="0" hiddenButton="1"/>
    <filterColumn colId="1" hiddenButton="1"/>
  </autoFilter>
  <tableColumns count="2">
    <tableColumn id="1" xr3:uid="{8FC84DDE-FE6A-49B6-A3A8-F899F220B799}" name="Month">
      <calculatedColumnFormula array="1">Common_InputFunctions.Utility_DisplayArrayInTable(Common_SourceData.Common_SourceData_MonthsToSeasons_Data(), Table_SourceData_Common_MonthToSeason[[#Headers],[Month]], 0)</calculatedColumnFormula>
    </tableColumn>
    <tableColumn id="2" xr3:uid="{855EC323-F289-4A59-9FDC-118536852E20}" name="Season" dataDxfId="0" dataCellStyle="Content normal">
      <calculatedColumnFormula array="1">Common_InputFunctions.Utility_DisplayArrayInTable(Common_SourceData.Common_SourceData_MonthsToSeasons_Data(), Table_SourceData_Common_MonthToSeason[[#Headers],[Month]], 0)</calculatedColumnFormula>
    </tableColumn>
  </tableColumns>
  <tableStyleInfo name="Equation table" showFirstColumn="0" showLastColumn="0" showRowStripes="1" showColumnStripes="0"/>
</table>
</file>

<file path=xl/tables/table3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757CC28B-CF78-4195-86CA-5AEBBA7FA04E}" name="Table_Data_MMSSymbols" displayName="Table_Data_MMSSymbols" ref="D9:F27" totalsRowShown="0">
  <autoFilter ref="D9:F27" xr:uid="{757CC28B-CF78-4195-86CA-5AEBBA7FA04E}">
    <filterColumn colId="0" hiddenButton="1"/>
    <filterColumn colId="1" hiddenButton="1"/>
    <filterColumn colId="2" hiddenButton="1"/>
  </autoFilter>
  <tableColumns count="3">
    <tableColumn id="1" xr3:uid="{FA4B4DF7-A993-40F2-870A-87A35A1D1CD3}" name="Symbol">
      <calculatedColumnFormula array="1">InputFunctions_Utilities.Utility_DisplayArrayInTable(CommonLivestock_SourceData.SourceData_Livestock_Common_SymbolsMMS_Data(), Table_Data_MMSSymbols[[#Headers],[Symbol]], 0)</calculatedColumnFormula>
    </tableColumn>
    <tableColumn id="2" xr3:uid="{8A23F85B-E11F-43B7-AF58-1032F42D9585}" name="Manure management system">
      <calculatedColumnFormula array="1">InputFunctions_Utilities.Utility_DisplayArrayInTable(CommonLivestock_SourceData.SourceData_Livestock_Common_SymbolsMMS_Data(), Table_Data_MMSSymbols[[#Headers],[Symbol]], 0)</calculatedColumnFormula>
    </tableColumn>
    <tableColumn id="3" xr3:uid="{58D0574C-2490-473B-A8E1-317E3A493B21}" name="Symbol and MMS">
      <calculatedColumnFormula array="1">InputFunctions_Utilities.Utility_DisplayArrayInTable(CommonLivestock_SourceData.SourceData_Livestock_Common_SymbolsMMS_Data(), Table_Data_MMSSymbols[[#Headers],[Symbol]], 0)</calculatedColumnFormula>
    </tableColumn>
  </tableColumns>
  <tableStyleInfo name="Equation table" showFirstColumn="0" showLastColumn="0" showRowStripes="1" showColumnStripes="0"/>
</table>
</file>

<file path=xl/theme/theme1.xml><?xml version="1.0" encoding="utf-8"?>
<a:theme xmlns:a="http://schemas.openxmlformats.org/drawingml/2006/main" name="Office Theme">
  <a:themeElements>
    <a:clrScheme name="ZNE-Ag">
      <a:dk1>
        <a:sysClr val="windowText" lastClr="000000"/>
      </a:dk1>
      <a:lt1>
        <a:sysClr val="window" lastClr="FFFFFF"/>
      </a:lt1>
      <a:dk2>
        <a:srgbClr val="0E2841"/>
      </a:dk2>
      <a:lt2>
        <a:srgbClr val="E8E8E8"/>
      </a:lt2>
      <a:accent1>
        <a:srgbClr val="0B769F"/>
      </a:accent1>
      <a:accent2>
        <a:srgbClr val="CC6600"/>
      </a:accent2>
      <a:accent3>
        <a:srgbClr val="008000"/>
      </a:accent3>
      <a:accent4>
        <a:srgbClr val="C4433F"/>
      </a:accent4>
      <a:accent5>
        <a:srgbClr val="4F4789"/>
      </a:accent5>
      <a:accent6>
        <a:srgbClr val="FFCC66"/>
      </a:accent6>
      <a:hlink>
        <a:srgbClr val="467886"/>
      </a:hlink>
      <a:folHlink>
        <a:srgbClr val="894763"/>
      </a:folHlink>
    </a:clrScheme>
    <a:fontScheme name="Custom 1">
      <a:majorFont>
        <a:latin typeface="Times New Roman"/>
        <a:ea typeface=""/>
        <a:cs typeface=""/>
      </a:majorFont>
      <a:minorFont>
        <a:latin typeface="Times New Roman"/>
        <a:ea typeface=""/>
        <a:cs typeface=""/>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0" width="350" row="3">
    <wetp:webextensionref xmlns:r="http://schemas.openxmlformats.org/officeDocument/2006/relationships" r:id="rId1"/>
  </wetp:taskpane>
</wetp:taskpanes>
</file>

<file path=xl/webextensions/webextension1.xml><?xml version="1.0" encoding="utf-8"?>
<we:webextension xmlns:we="http://schemas.microsoft.com/office/webextensions/webextension/2010/11" id="{B102233F-B6A7-4C5C-980A-848E7A11A33D}">
  <we:reference id="wa200003696" version="1.3.0.0" store="en-US" storeType="OMEX"/>
  <we:alternateReferences>
    <we:reference id="WA200003696" version="1.3.0.0" store="WA200003696" storeType="OMEX"/>
  </we:alternateReferences>
  <we:properties>
    <we:property name="projectV0_1-56c6e055-265e-4713-816e-a646dbb708de" value="{&quot;kind&quot;:&quot;AFEJSONBlobNode&quot;,&quot;id&quot;:&quot;{B6BE249C-20B1-4A62-BBCD-F2A46D88BCAB}&quot;}"/>
  </we:properties>
  <we:bindings/>
  <we:snapshot xmlns:r="http://schemas.openxmlformats.org/officeDocument/2006/relationships"/>
  <we:extLst>
    <a:ext xmlns:a="http://schemas.openxmlformats.org/drawingml/2006/main" uri="{D87F86FE-615C-45B5-9D79-34F1136793EB}">
      <we:containsCustomFunctions/>
    </a:ext>
    <a:ext xmlns:a="http://schemas.openxmlformats.org/drawingml/2006/main" uri="{7C84B067-C214-45C3-A712-C9D94CD141B2}">
      <we:customFunctionIdList>
        <we:customFunctionIds>_xldudf_LABS_GENERATIVEAI</we:customFunctionIds>
      </we:customFunctionIdList>
    </a:ext>
  </we:extLst>
</we:webextension>
</file>

<file path=xl/worksheets/_rels/sheet2.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5.xml.rels><?xml version="1.0" encoding="UTF-8" standalone="yes"?>
<Relationships xmlns="http://schemas.openxmlformats.org/package/2006/relationships"><Relationship Id="rId2" Type="http://schemas.openxmlformats.org/officeDocument/2006/relationships/drawing" Target="../drawings/drawing2.xml"/><Relationship Id="rId1" Type="http://schemas.openxmlformats.org/officeDocument/2006/relationships/printerSettings" Target="../printerSettings/printerSettings2.bin"/></Relationships>
</file>

<file path=xl/worksheets/_rels/sheet6.xml.rels><?xml version="1.0" encoding="UTF-8" standalone="yes"?>
<Relationships xmlns="http://schemas.openxmlformats.org/package/2006/relationships"><Relationship Id="rId2" Type="http://schemas.openxmlformats.org/officeDocument/2006/relationships/drawing" Target="../drawings/drawing3.xml"/><Relationship Id="rId1" Type="http://schemas.openxmlformats.org/officeDocument/2006/relationships/printerSettings" Target="../printerSettings/printerSettings3.bin"/></Relationships>
</file>

<file path=xl/worksheets/_rels/sheet7.xml.rels><?xml version="1.0" encoding="UTF-8" standalone="yes"?>
<Relationships xmlns="http://schemas.openxmlformats.org/package/2006/relationships"><Relationship Id="rId1" Type="http://schemas.openxmlformats.org/officeDocument/2006/relationships/drawing" Target="../drawings/drawing4.xml"/></Relationships>
</file>

<file path=xl/worksheets/_rels/sheet8.xml.rels><?xml version="1.0" encoding="UTF-8" standalone="yes"?>
<Relationships xmlns="http://schemas.openxmlformats.org/package/2006/relationships"><Relationship Id="rId2" Type="http://schemas.openxmlformats.org/officeDocument/2006/relationships/drawing" Target="../drawings/drawing5.xml"/><Relationship Id="rId1" Type="http://schemas.openxmlformats.org/officeDocument/2006/relationships/printerSettings" Target="../printerSettings/printerSettings4.bin"/></Relationships>
</file>

<file path=xl/worksheets/_rels/sheet9.xml.rels><?xml version="1.0" encoding="UTF-8" standalone="yes"?>
<Relationships xmlns="http://schemas.openxmlformats.org/package/2006/relationships"><Relationship Id="rId1" Type="http://schemas.openxmlformats.org/officeDocument/2006/relationships/drawing" Target="../drawings/drawing6.xml"/></Relationships>
</file>

<file path=xl/worksheets/_rels/sheet10.xml.rels><?xml version="1.0" encoding="UTF-8" standalone="yes"?>
<Relationships xmlns="http://schemas.openxmlformats.org/package/2006/relationships"><Relationship Id="rId1" Type="http://schemas.openxmlformats.org/officeDocument/2006/relationships/drawing" Target="../drawings/drawing7.xml"/></Relationships>
</file>

<file path=xl/worksheets/_rels/sheet11.xml.rels><?xml version="1.0" encoding="UTF-8" standalone="yes"?>
<Relationships xmlns="http://schemas.openxmlformats.org/package/2006/relationships"><Relationship Id="rId1" Type="http://schemas.openxmlformats.org/officeDocument/2006/relationships/drawing" Target="../drawings/drawing8.xml"/></Relationships>
</file>

<file path=xl/worksheets/_rels/sheet12.xml.rels><?xml version="1.0" encoding="UTF-8" standalone="yes"?>
<Relationships xmlns="http://schemas.openxmlformats.org/package/2006/relationships"><Relationship Id="rId2" Type="http://schemas.openxmlformats.org/officeDocument/2006/relationships/drawing" Target="../drawings/drawing9.xml"/><Relationship Id="rId1" Type="http://schemas.openxmlformats.org/officeDocument/2006/relationships/printerSettings" Target="../printerSettings/printerSettings5.bin"/></Relationships>
</file>

<file path=xl/worksheets/_rels/sheet13.xml.rels><?xml version="1.0" encoding="UTF-8" standalone="yes"?>
<Relationships xmlns="http://schemas.openxmlformats.org/package/2006/relationships"><Relationship Id="rId8" Type="http://schemas.openxmlformats.org/officeDocument/2006/relationships/table" Target="../tables/table8.xml"/><Relationship Id="rId13" Type="http://schemas.openxmlformats.org/officeDocument/2006/relationships/table" Target="../tables/table13.xml"/><Relationship Id="rId3" Type="http://schemas.openxmlformats.org/officeDocument/2006/relationships/table" Target="../tables/table3.xml"/><Relationship Id="rId7" Type="http://schemas.openxmlformats.org/officeDocument/2006/relationships/table" Target="../tables/table7.xml"/><Relationship Id="rId12" Type="http://schemas.openxmlformats.org/officeDocument/2006/relationships/table" Target="../tables/table12.xml"/><Relationship Id="rId2" Type="http://schemas.openxmlformats.org/officeDocument/2006/relationships/table" Target="../tables/table2.xml"/><Relationship Id="rId1" Type="http://schemas.openxmlformats.org/officeDocument/2006/relationships/table" Target="../tables/table1.xml"/><Relationship Id="rId6" Type="http://schemas.openxmlformats.org/officeDocument/2006/relationships/table" Target="../tables/table6.xml"/><Relationship Id="rId11" Type="http://schemas.openxmlformats.org/officeDocument/2006/relationships/table" Target="../tables/table11.xml"/><Relationship Id="rId5" Type="http://schemas.openxmlformats.org/officeDocument/2006/relationships/table" Target="../tables/table5.xml"/><Relationship Id="rId15" Type="http://schemas.openxmlformats.org/officeDocument/2006/relationships/table" Target="../tables/table15.xml"/><Relationship Id="rId10" Type="http://schemas.openxmlformats.org/officeDocument/2006/relationships/table" Target="../tables/table10.xml"/><Relationship Id="rId4" Type="http://schemas.openxmlformats.org/officeDocument/2006/relationships/table" Target="../tables/table4.xml"/><Relationship Id="rId9" Type="http://schemas.openxmlformats.org/officeDocument/2006/relationships/table" Target="../tables/table9.xml"/><Relationship Id="rId14" Type="http://schemas.openxmlformats.org/officeDocument/2006/relationships/table" Target="../tables/table14.xml"/></Relationships>
</file>

<file path=xl/worksheets/_rels/sheet14.xml.rels><?xml version="1.0" encoding="UTF-8" standalone="yes"?>
<Relationships xmlns="http://schemas.openxmlformats.org/package/2006/relationships"><Relationship Id="rId8" Type="http://schemas.openxmlformats.org/officeDocument/2006/relationships/table" Target="../tables/table23.xml"/><Relationship Id="rId13" Type="http://schemas.openxmlformats.org/officeDocument/2006/relationships/table" Target="../tables/table28.xml"/><Relationship Id="rId3" Type="http://schemas.openxmlformats.org/officeDocument/2006/relationships/table" Target="../tables/table18.xml"/><Relationship Id="rId7" Type="http://schemas.openxmlformats.org/officeDocument/2006/relationships/table" Target="../tables/table22.xml"/><Relationship Id="rId12" Type="http://schemas.openxmlformats.org/officeDocument/2006/relationships/table" Target="../tables/table27.xml"/><Relationship Id="rId2" Type="http://schemas.openxmlformats.org/officeDocument/2006/relationships/table" Target="../tables/table17.xml"/><Relationship Id="rId1" Type="http://schemas.openxmlformats.org/officeDocument/2006/relationships/table" Target="../tables/table16.xml"/><Relationship Id="rId6" Type="http://schemas.openxmlformats.org/officeDocument/2006/relationships/table" Target="../tables/table21.xml"/><Relationship Id="rId11" Type="http://schemas.openxmlformats.org/officeDocument/2006/relationships/table" Target="../tables/table26.xml"/><Relationship Id="rId5" Type="http://schemas.openxmlformats.org/officeDocument/2006/relationships/table" Target="../tables/table20.xml"/><Relationship Id="rId15" Type="http://schemas.openxmlformats.org/officeDocument/2006/relationships/table" Target="../tables/table30.xml"/><Relationship Id="rId10" Type="http://schemas.openxmlformats.org/officeDocument/2006/relationships/table" Target="../tables/table25.xml"/><Relationship Id="rId4" Type="http://schemas.openxmlformats.org/officeDocument/2006/relationships/table" Target="../tables/table19.xml"/><Relationship Id="rId9" Type="http://schemas.openxmlformats.org/officeDocument/2006/relationships/table" Target="../tables/table24.xml"/><Relationship Id="rId14" Type="http://schemas.openxmlformats.org/officeDocument/2006/relationships/table" Target="../tables/table29.xml"/></Relationships>
</file>

<file path=xl/worksheets/_rels/sheet15.xml.rels><?xml version="1.0" encoding="UTF-8" standalone="yes"?>
<Relationships xmlns="http://schemas.openxmlformats.org/package/2006/relationships"><Relationship Id="rId2" Type="http://schemas.openxmlformats.org/officeDocument/2006/relationships/table" Target="../tables/table31.xml"/><Relationship Id="rId1" Type="http://schemas.openxmlformats.org/officeDocument/2006/relationships/printerSettings" Target="../printerSettings/printerSettings6.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3CF26AA-F4FA-460F-9B3A-C19960195F0B}">
  <dimension ref="A1"/>
  <sheetViews>
    <sheetView workbookViewId="0"/>
  </sheetViews>
  <sheetFormatPr defaultRowHeight="15" x14ac:dyDescent="0.25"/>
  <sheetData>
    <row r="1" spans="1:1" x14ac:dyDescent="0.25">
      <c r="A1" t="s">
        <v>0</v>
      </c>
    </row>
  </sheetData>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DE30AE0-5101-4331-B8DF-043DE9AAFBA8}">
  <sheetPr>
    <pageSetUpPr autoPageBreaks="0"/>
  </sheetPr>
  <dimension ref="A1:K87"/>
  <sheetViews>
    <sheetView showGridLines="0" zoomScaleNormal="100" workbookViewId="0">
      <selection activeCell="E31" sqref="E31"/>
    </sheetView>
  </sheetViews>
  <sheetFormatPr defaultRowHeight="15" x14ac:dyDescent="0.25"/>
  <cols>
    <col min="1" max="1" width="30.7109375" customWidth="1"/>
    <col min="2" max="3" width="2.7109375" customWidth="1"/>
    <col min="4" max="4" width="78.42578125" customWidth="1"/>
    <col min="5" max="10" width="30.7109375" customWidth="1"/>
    <col min="11" max="11" width="7.42578125" customWidth="1"/>
    <col min="12" max="26" width="28.7109375" customWidth="1"/>
  </cols>
  <sheetData>
    <row r="1" spans="1:11" ht="30" customHeight="1" x14ac:dyDescent="0.35">
      <c r="A1" s="71" t="e" vm="1">
        <v>#VALUE!</v>
      </c>
      <c r="C1" s="130" t="s">
        <v>343</v>
      </c>
    </row>
    <row r="2" spans="1:11" ht="20.100000000000001" customHeight="1" x14ac:dyDescent="0.25">
      <c r="A2" s="9"/>
      <c r="C2" s="9"/>
    </row>
    <row r="3" spans="1:11" ht="20.100000000000001" customHeight="1" x14ac:dyDescent="0.25">
      <c r="A3" s="17" t="str">
        <f>HYPERLINK("#'Home'!A1", "Home")</f>
        <v>Home</v>
      </c>
      <c r="C3" s="24"/>
      <c r="D3" s="24"/>
      <c r="E3" s="24"/>
      <c r="F3" s="24"/>
      <c r="G3" s="24"/>
      <c r="H3" s="24"/>
      <c r="I3" s="24"/>
      <c r="J3" s="24"/>
      <c r="K3" s="24"/>
    </row>
    <row r="4" spans="1:11" ht="20.100000000000001" customHeight="1" x14ac:dyDescent="0.25">
      <c r="A4" s="129" t="str">
        <f>HYPERLINK("#'Results'!A1", "Results")</f>
        <v>Results</v>
      </c>
      <c r="C4" s="24"/>
      <c r="D4" s="6" t="s">
        <v>5</v>
      </c>
      <c r="E4" s="26"/>
      <c r="F4" s="26"/>
      <c r="G4" s="26"/>
      <c r="H4" s="6"/>
      <c r="I4" s="6"/>
      <c r="J4" s="6"/>
      <c r="K4" s="27"/>
    </row>
    <row r="5" spans="1:11" ht="20.100000000000001" customHeight="1" x14ac:dyDescent="0.3">
      <c r="A5" s="16"/>
      <c r="C5" s="24"/>
      <c r="D5" s="28"/>
      <c r="E5" s="29"/>
      <c r="F5" s="29"/>
      <c r="G5" s="29"/>
      <c r="H5" s="26"/>
      <c r="I5" s="24"/>
      <c r="J5" s="24"/>
      <c r="K5" s="24"/>
    </row>
    <row r="6" spans="1:11" ht="20.100000000000001" customHeight="1" x14ac:dyDescent="0.25">
      <c r="A6" s="20" t="s">
        <v>3</v>
      </c>
      <c r="C6" s="24"/>
      <c r="D6" s="128" t="s">
        <v>152</v>
      </c>
      <c r="E6" s="128" t="s">
        <v>420</v>
      </c>
      <c r="F6" s="128" t="s">
        <v>421</v>
      </c>
      <c r="G6" s="128" t="s">
        <v>169</v>
      </c>
      <c r="H6" s="128" t="s">
        <v>426</v>
      </c>
      <c r="I6" s="128" t="s">
        <v>427</v>
      </c>
      <c r="J6" s="128" t="s">
        <v>170</v>
      </c>
      <c r="K6" s="24"/>
    </row>
    <row r="7" spans="1:11" ht="20.100000000000001" customHeight="1" x14ac:dyDescent="0.25">
      <c r="A7" s="17" t="str">
        <f>HYPERLINK("#'Input - Site'!A1", "Site")</f>
        <v>Site</v>
      </c>
      <c r="C7" s="24"/>
      <c r="D7" s="1" t="s">
        <v>422</v>
      </c>
      <c r="E7" s="123">
        <f>'4.3.1.1-2 Methane'!$E$264</f>
        <v>8.1869605415711497</v>
      </c>
      <c r="F7" s="123">
        <f>'4.3.1.1-2 Methane'!$P$264</f>
        <v>8.0754442628988556</v>
      </c>
      <c r="G7" s="57" t="str">
        <f>'4.3.1.1-2 Methane'!$F$264</f>
        <v>t CH4</v>
      </c>
      <c r="H7" s="123">
        <f>'4.3.1.1-2 Methane'!$E$269</f>
        <v>0</v>
      </c>
      <c r="I7" s="123">
        <f>'4.3.1.1-2 Methane'!$P$269</f>
        <v>0</v>
      </c>
      <c r="J7" s="57" t="str">
        <f>'4.3.1.1-2 Methane'!$F$269</f>
        <v>t CO2e</v>
      </c>
      <c r="K7" s="24"/>
    </row>
    <row r="8" spans="1:11" ht="20.100000000000001" customHeight="1" x14ac:dyDescent="0.25">
      <c r="A8" s="17" t="str">
        <f>HYPERLINK("#'Input - Dairy'!A1", "Dairy")</f>
        <v>Dairy</v>
      </c>
      <c r="C8" s="24"/>
      <c r="D8" s="1" t="s">
        <v>423</v>
      </c>
      <c r="E8" s="123">
        <f>'4.3.1.3-4 Direct N20'!$E$280</f>
        <v>1.7559968594126556E-2</v>
      </c>
      <c r="F8" s="123">
        <f>'4.3.1.3-4 Direct N20'!$O$280</f>
        <v>1.7559968594126556E-2</v>
      </c>
      <c r="G8" s="57" t="str">
        <f>'4.3.1.3-4 Direct N20'!$F$280</f>
        <v>t N2O</v>
      </c>
      <c r="H8" s="123">
        <f>'4.3.1.3-4 Direct N20'!$E$285</f>
        <v>4.6533916774435369</v>
      </c>
      <c r="I8" s="123">
        <f>'4.3.1.3-4 Direct N20'!$O$285</f>
        <v>4.6533916774435369</v>
      </c>
      <c r="J8" s="57" t="str">
        <f>'4.3.1.3-4 Direct N20'!$F$285</f>
        <v>t CO2e</v>
      </c>
      <c r="K8" s="24"/>
    </row>
    <row r="9" spans="1:11" ht="20.100000000000001" customHeight="1" x14ac:dyDescent="0.25">
      <c r="A9" s="17"/>
      <c r="C9" s="24"/>
      <c r="D9" s="1" t="s">
        <v>424</v>
      </c>
      <c r="E9" s="123">
        <f>'4.3.1.5 Atmos deposition'!$E$68</f>
        <v>3.8269027723897175E-2</v>
      </c>
      <c r="F9" s="123">
        <f>'4.3.1.5 Atmos deposition'!$P$68</f>
        <v>3.8269027723897175E-2</v>
      </c>
      <c r="G9" s="57" t="str">
        <f>'4.3.1.5 Atmos deposition'!$F$68</f>
        <v>t N2O</v>
      </c>
      <c r="H9" s="123">
        <f>'4.3.1.5 Atmos deposition'!$E$73</f>
        <v>10.141292346832751</v>
      </c>
      <c r="I9" s="123">
        <f>'4.3.1.5 Atmos deposition'!$P$73</f>
        <v>10.141292346832751</v>
      </c>
      <c r="J9" s="57" t="str">
        <f>'4.3.1.5 Atmos deposition'!$F$73</f>
        <v>t CO2e</v>
      </c>
      <c r="K9" s="24"/>
    </row>
    <row r="10" spans="1:11" ht="20.100000000000001" customHeight="1" x14ac:dyDescent="0.25">
      <c r="A10" s="19" t="s">
        <v>78</v>
      </c>
      <c r="C10" s="24"/>
      <c r="D10" s="1" t="s">
        <v>425</v>
      </c>
      <c r="E10" s="123">
        <f>'4.3.1.6-7 Leaching and runoff'!$E$52</f>
        <v>2.0994898959935987E-3</v>
      </c>
      <c r="F10" s="123">
        <f>'4.3.1.6-7 Leaching and runoff'!$P$52</f>
        <v>2.0994898959935987E-3</v>
      </c>
      <c r="G10" s="57" t="str">
        <f>'4.3.1.6-7 Leaching and runoff'!$F$52</f>
        <v>t N2O</v>
      </c>
      <c r="H10" s="123">
        <f>'4.3.1.6-7 Leaching and runoff'!$E$57</f>
        <v>0.55636482243830365</v>
      </c>
      <c r="I10" s="123">
        <f>'4.3.1.6-7 Leaching and runoff'!$P$57</f>
        <v>0.55636482243830365</v>
      </c>
      <c r="J10" s="57" t="str">
        <f>'4.3.1.6-7 Leaching and runoff'!$F$57</f>
        <v>t CO2e</v>
      </c>
      <c r="K10" s="24"/>
    </row>
    <row r="11" spans="1:11" ht="20.100000000000001" customHeight="1" x14ac:dyDescent="0.25">
      <c r="A11" s="17" t="str">
        <f>HYPERLINK("#'4.3.1.1-2 Methane'!A1", "4.3.1.1-2 Methane")</f>
        <v>4.3.1.1-2 Methane</v>
      </c>
      <c r="C11" s="24"/>
      <c r="D11" s="1" t="s">
        <v>367</v>
      </c>
      <c r="E11" s="123" t="s">
        <v>182</v>
      </c>
      <c r="F11" s="123" t="s">
        <v>182</v>
      </c>
      <c r="G11" s="57"/>
      <c r="H11" s="123" t="s">
        <v>182</v>
      </c>
      <c r="I11" s="123" t="s">
        <v>182</v>
      </c>
      <c r="J11" s="57"/>
      <c r="K11" s="24"/>
    </row>
    <row r="12" spans="1:11" ht="20.100000000000001" customHeight="1" x14ac:dyDescent="0.25">
      <c r="A12" s="17" t="str">
        <f>HYPERLINK("#'4.3.1.3-4 Direct N20'!A1", "4.3.1.3-4 Direct N2O")</f>
        <v>4.3.1.3-4 Direct N2O</v>
      </c>
      <c r="C12" s="24"/>
      <c r="D12" s="1" t="s">
        <v>391</v>
      </c>
      <c r="E12" s="123">
        <f>'4.3.1.9 Soil direct N2O'!$E$53</f>
        <v>6.045118108813663E-2</v>
      </c>
      <c r="F12" s="123">
        <f>'4.3.1.9 Soil direct N2O'!$P$53</f>
        <v>6.045118108813663E-2</v>
      </c>
      <c r="G12" s="57" t="str">
        <f>'4.3.1.9 Soil direct N2O'!$F$53</f>
        <v>t N2O</v>
      </c>
      <c r="H12" s="123">
        <f>'4.3.1.9 Soil direct N2O'!$E$58</f>
        <v>16.019562988356206</v>
      </c>
      <c r="I12" s="123">
        <f>'4.3.1.9 Soil direct N2O'!$P$58</f>
        <v>16.019562988356206</v>
      </c>
      <c r="J12" s="57" t="str">
        <f>'4.3.1.9 Soil direct N2O'!$F$58</f>
        <v>t CO2e</v>
      </c>
      <c r="K12" s="24"/>
    </row>
    <row r="13" spans="1:11" ht="20.100000000000001" customHeight="1" x14ac:dyDescent="0.25">
      <c r="A13" s="17" t="str">
        <f>HYPERLINK("#'4.3.1.5 Atmos Deposition'!A1", "4.3.1.5 Atmospheric deposition")</f>
        <v>4.3.1.5 Atmospheric deposition</v>
      </c>
      <c r="C13" s="24"/>
      <c r="D13" s="1" t="s">
        <v>407</v>
      </c>
      <c r="E13" s="123">
        <f>'4.3.1.10-11 Soil Atmos Dep'!$E$45</f>
        <v>3.7449506684100645E-2</v>
      </c>
      <c r="F13" s="123">
        <f>'4.3.1.10-11 Soil Atmos Dep'!$P$45</f>
        <v>3.7449506684100645E-2</v>
      </c>
      <c r="G13" s="57" t="str">
        <f>'4.3.1.10-11 Soil Atmos Dep'!$F$45</f>
        <v>t N2O</v>
      </c>
      <c r="H13" s="123">
        <f>'4.3.1.10-11 Soil Atmos Dep'!$E$50</f>
        <v>9.9241192712866706</v>
      </c>
      <c r="I13" s="123">
        <f>'4.3.1.10-11 Soil Atmos Dep'!$P$50</f>
        <v>9.9241192712866706</v>
      </c>
      <c r="J13" s="57" t="str">
        <f>'4.3.1.10-11 Soil Atmos Dep'!$F$50</f>
        <v>t CO2e</v>
      </c>
      <c r="K13" s="24"/>
    </row>
    <row r="14" spans="1:11" ht="20.100000000000001" customHeight="1" x14ac:dyDescent="0.25">
      <c r="A14" s="17" t="str">
        <f>HYPERLINK("#'4.3.1.6-7 Leaching and runoff'!A1", "4.3.1.6-7 Leaching and runoff")</f>
        <v>4.3.1.6-7 Leaching and runoff</v>
      </c>
      <c r="C14" s="24"/>
      <c r="D14" s="1" t="s">
        <v>408</v>
      </c>
      <c r="E14" s="123">
        <f>'4.3.1.12-13 Soil leach runoff'!$E$47</f>
        <v>6.64962991969503E-3</v>
      </c>
      <c r="F14" s="123">
        <f>'4.3.1.12-13 Soil leach runoff'!$P$47</f>
        <v>6.64962991969503E-3</v>
      </c>
      <c r="G14" s="57" t="str">
        <f>'4.3.1.12-13 Soil leach runoff'!$F$47</f>
        <v>t N2O</v>
      </c>
      <c r="H14" s="123">
        <f>'4.3.1.12-13 Soil leach runoff'!$E$52</f>
        <v>1.7621519287191829</v>
      </c>
      <c r="I14" s="123">
        <f>'4.3.1.12-13 Soil leach runoff'!$P$52</f>
        <v>1.7621519287191829</v>
      </c>
      <c r="J14" s="57" t="str">
        <f>'4.3.1.12-13 Soil leach runoff'!$F$52</f>
        <v>t CO2e</v>
      </c>
      <c r="K14" s="24"/>
    </row>
    <row r="15" spans="1:11" ht="20.100000000000001" customHeight="1" x14ac:dyDescent="0.3">
      <c r="A15" s="17" t="str">
        <f>HYPERLINK("#'4.3.1.8 Manure applied to soils'!A1", "4.3.1.8 Manure applied to soils")</f>
        <v>4.3.1.8 Manure applied to soils</v>
      </c>
      <c r="C15" s="24"/>
      <c r="D15" s="31" t="s">
        <v>167</v>
      </c>
      <c r="E15" s="25"/>
      <c r="F15" s="25"/>
      <c r="G15" s="31"/>
      <c r="H15" s="125">
        <f ca="1">SUM(H7:H15)</f>
        <v>272.2917781990688</v>
      </c>
      <c r="I15" s="125">
        <f ca="1">SUM(I7:I15)</f>
        <v>269.16932239624458</v>
      </c>
      <c r="J15" s="112" t="s">
        <v>389</v>
      </c>
      <c r="K15" s="24"/>
    </row>
    <row r="16" spans="1:11" ht="20.100000000000001" customHeight="1" x14ac:dyDescent="0.25">
      <c r="A16" s="17" t="str">
        <f>HYPERLINK("#'4.3.1.9 Soil direct N2O'!A1", "4.3.1.9 Soil direct N2O")</f>
        <v>4.3.1.9 Soil direct N2O</v>
      </c>
      <c r="C16" s="24"/>
      <c r="D16" s="1"/>
      <c r="E16" s="1"/>
      <c r="F16" s="1"/>
      <c r="G16" s="26"/>
      <c r="H16" s="24"/>
      <c r="I16" s="1"/>
      <c r="J16" s="1"/>
      <c r="K16" s="24"/>
    </row>
    <row r="17" spans="1:11" ht="20.100000000000001" customHeight="1" x14ac:dyDescent="0.25">
      <c r="A17" s="17" t="str">
        <f>HYPERLINK("#'4.3.1.10-11 Soil Atmos Dep'!A1", "4.3.1.10-11 Soil atm. deposition")</f>
        <v>4.3.1.10-11 Soil atm. deposition</v>
      </c>
      <c r="C17" s="24"/>
      <c r="D17" s="113" t="s">
        <v>175</v>
      </c>
      <c r="E17" s="1"/>
      <c r="F17" s="1"/>
      <c r="G17" s="1"/>
      <c r="H17" s="26"/>
      <c r="I17" s="1"/>
      <c r="J17" s="1"/>
      <c r="K17" s="24"/>
    </row>
    <row r="18" spans="1:11" ht="20.100000000000001" customHeight="1" x14ac:dyDescent="0.25">
      <c r="A18" s="17" t="str">
        <f>HYPERLINK("#'4.3.1.12-13 Soil leach runoff'!A1", "4.3.1.12-13 Soil leach &amp; runoff")</f>
        <v>4.3.1.12-13 Soil leach &amp; runoff</v>
      </c>
      <c r="C18" s="24"/>
      <c r="D18" s="126" t="s">
        <v>181</v>
      </c>
      <c r="E18" s="1"/>
      <c r="F18" s="1"/>
      <c r="G18" s="1"/>
      <c r="H18" s="1"/>
      <c r="I18" s="1"/>
      <c r="J18" s="1"/>
      <c r="K18" s="24"/>
    </row>
    <row r="19" spans="1:11" ht="20.100000000000001" customHeight="1" x14ac:dyDescent="0.25">
      <c r="A19" s="17"/>
      <c r="C19" s="24"/>
      <c r="D19" s="113"/>
      <c r="E19" s="1"/>
      <c r="F19" s="1"/>
      <c r="G19" s="1"/>
      <c r="H19" s="1"/>
      <c r="I19" s="1"/>
      <c r="J19" s="1"/>
      <c r="K19" s="24"/>
    </row>
    <row r="20" spans="1:11" ht="20.100000000000001" customHeight="1" x14ac:dyDescent="0.25">
      <c r="A20" s="18" t="s">
        <v>4</v>
      </c>
      <c r="C20" s="24"/>
      <c r="D20" s="128" t="s">
        <v>176</v>
      </c>
      <c r="E20" s="128" t="s">
        <v>173</v>
      </c>
      <c r="F20" s="128" t="s">
        <v>174</v>
      </c>
      <c r="G20" s="128" t="s">
        <v>168</v>
      </c>
      <c r="H20" s="128" t="s">
        <v>180</v>
      </c>
      <c r="I20" s="1"/>
      <c r="J20" s="1"/>
      <c r="K20" s="24"/>
    </row>
    <row r="21" spans="1:11" ht="20.100000000000001" customHeight="1" x14ac:dyDescent="0.25">
      <c r="A21" s="17" t="str">
        <f>HYPERLINK("#'Constants - Dairy'!A1", "Constants - Dairy")</f>
        <v>Constants - Dairy</v>
      </c>
      <c r="C21" s="24"/>
      <c r="D21" s="1" t="s">
        <v>428</v>
      </c>
      <c r="E21" s="127">
        <f>'4.3.1.8 Manure applied to soils'!$E$102</f>
        <v>6145.7182804057311</v>
      </c>
      <c r="F21" s="57" t="str">
        <f>'4.3.1.8 Manure applied to soils'!$F$102</f>
        <v>kg N</v>
      </c>
      <c r="G21" s="1" t="s">
        <v>429</v>
      </c>
      <c r="H21" s="1" t="s">
        <v>179</v>
      </c>
      <c r="I21" s="1"/>
      <c r="J21" s="1"/>
      <c r="K21" s="24"/>
    </row>
    <row r="22" spans="1:11" ht="20.100000000000001" customHeight="1" x14ac:dyDescent="0.25">
      <c r="A22" s="17" t="str">
        <f>HYPERLINK("#'Constants - Livestock'!A1", "Constants - Livestock")</f>
        <v>Constants - Livestock</v>
      </c>
      <c r="C22" s="24"/>
      <c r="D22" s="1" t="s">
        <v>177</v>
      </c>
      <c r="E22" s="127">
        <f>'4.3.1.8 Manure applied to soils'!$E$166</f>
        <v>3072.8591402028655</v>
      </c>
      <c r="F22" s="57" t="str">
        <f>'4.3.1.8 Manure applied to soils'!$F$166</f>
        <v>kg N</v>
      </c>
      <c r="G22" s="1" t="s">
        <v>429</v>
      </c>
      <c r="H22" s="1" t="s">
        <v>179</v>
      </c>
      <c r="I22" s="24"/>
      <c r="J22" s="1"/>
      <c r="K22" s="24"/>
    </row>
    <row r="23" spans="1:11" ht="20.100000000000001" customHeight="1" x14ac:dyDescent="0.25">
      <c r="A23" s="17" t="str">
        <f>HYPERLINK("#'Constants - Common'!A1", "Constants - Common")</f>
        <v>Constants - Common</v>
      </c>
      <c r="C23" s="24"/>
      <c r="D23" s="1" t="s">
        <v>171</v>
      </c>
      <c r="E23" s="127">
        <f>'4.3.1.8 Manure applied to soils'!$E$196</f>
        <v>3072.8591402028655</v>
      </c>
      <c r="F23" s="57" t="str">
        <f>'4.3.1.8 Manure applied to soils'!$F$196</f>
        <v>kg N</v>
      </c>
      <c r="G23" s="1" t="s">
        <v>172</v>
      </c>
      <c r="H23" s="1" t="s">
        <v>178</v>
      </c>
      <c r="I23" s="24"/>
      <c r="J23" s="24"/>
      <c r="K23" s="24"/>
    </row>
    <row r="24" spans="1:11" ht="20.100000000000001" customHeight="1" x14ac:dyDescent="0.25">
      <c r="A24" s="17" t="str">
        <f>HYPERLINK("#'Acknowledgements'!A1", "Acknowledgements")</f>
        <v>Acknowledgements</v>
      </c>
      <c r="C24" s="24"/>
      <c r="D24" s="1"/>
      <c r="E24" s="1"/>
      <c r="F24" s="1"/>
      <c r="G24" s="1"/>
      <c r="H24" s="1"/>
      <c r="I24" s="24"/>
      <c r="J24" s="24"/>
      <c r="K24" s="24"/>
    </row>
    <row r="25" spans="1:11" ht="20.100000000000001" customHeight="1" x14ac:dyDescent="0.25">
      <c r="C25" s="24"/>
      <c r="D25" s="1"/>
      <c r="E25" s="1"/>
      <c r="F25" s="1"/>
      <c r="G25" s="1"/>
      <c r="H25" s="26"/>
      <c r="I25" s="24"/>
      <c r="J25" s="24"/>
      <c r="K25" s="24"/>
    </row>
    <row r="26" spans="1:11" ht="20.100000000000001" customHeight="1" x14ac:dyDescent="0.3">
      <c r="C26" s="24"/>
      <c r="D26" s="1"/>
      <c r="E26" s="1"/>
      <c r="F26" s="1"/>
      <c r="G26" s="1"/>
      <c r="H26" s="29"/>
      <c r="I26" s="24"/>
      <c r="J26" s="24"/>
      <c r="K26" s="24"/>
    </row>
    <row r="27" spans="1:11" ht="20.100000000000001" customHeight="1" x14ac:dyDescent="0.25">
      <c r="C27" s="24"/>
      <c r="D27" s="1"/>
      <c r="E27" s="1"/>
      <c r="F27" s="1"/>
      <c r="G27" s="1"/>
      <c r="H27" s="1"/>
      <c r="I27" s="1"/>
      <c r="J27" s="24"/>
      <c r="K27" s="24"/>
    </row>
    <row r="28" spans="1:11" ht="20.100000000000001" customHeight="1" x14ac:dyDescent="0.25">
      <c r="C28" s="24"/>
      <c r="D28" s="1"/>
      <c r="E28" s="1"/>
      <c r="F28" s="1"/>
      <c r="G28" s="1"/>
      <c r="H28" s="1"/>
      <c r="I28" s="1"/>
      <c r="J28" s="24"/>
      <c r="K28" s="24"/>
    </row>
    <row r="29" spans="1:11" ht="20.100000000000001" customHeight="1" x14ac:dyDescent="0.25">
      <c r="C29" s="24"/>
      <c r="D29" s="1"/>
      <c r="E29" s="1"/>
      <c r="F29" s="1"/>
      <c r="G29" s="1"/>
      <c r="H29" s="1"/>
      <c r="I29" s="1"/>
      <c r="J29" s="24"/>
      <c r="K29" s="24"/>
    </row>
    <row r="30" spans="1:11" ht="20.100000000000001" customHeight="1" x14ac:dyDescent="0.25">
      <c r="C30" s="24"/>
      <c r="D30" s="1"/>
      <c r="E30" s="1"/>
      <c r="F30" s="1"/>
      <c r="G30" s="1"/>
      <c r="H30" s="1"/>
      <c r="I30" s="1"/>
      <c r="J30" s="24"/>
      <c r="K30" s="24"/>
    </row>
    <row r="31" spans="1:11" ht="20.100000000000001" customHeight="1" x14ac:dyDescent="0.25">
      <c r="C31" s="24"/>
      <c r="D31" s="1"/>
      <c r="E31" s="1"/>
      <c r="F31" s="1"/>
      <c r="G31" s="1"/>
      <c r="H31" s="1"/>
      <c r="I31" s="1"/>
      <c r="J31" s="24"/>
      <c r="K31" s="24"/>
    </row>
    <row r="32" spans="1:11" ht="20.100000000000001" customHeight="1" x14ac:dyDescent="0.25">
      <c r="C32" s="24"/>
      <c r="D32" s="1"/>
      <c r="E32" s="1"/>
      <c r="F32" s="1"/>
      <c r="G32" s="1"/>
      <c r="H32" s="1"/>
      <c r="I32" s="1"/>
      <c r="J32" s="24"/>
      <c r="K32" s="24"/>
    </row>
    <row r="33" spans="3:11" ht="20.100000000000001" customHeight="1" x14ac:dyDescent="0.25">
      <c r="C33" s="24"/>
      <c r="D33" s="1"/>
      <c r="E33" s="1"/>
      <c r="F33" s="1"/>
      <c r="G33" s="1"/>
      <c r="H33" s="1"/>
      <c r="I33" s="1"/>
      <c r="J33" s="24"/>
      <c r="K33" s="24"/>
    </row>
    <row r="34" spans="3:11" ht="20.100000000000001" customHeight="1" x14ac:dyDescent="0.25">
      <c r="C34" s="24"/>
      <c r="D34" s="1"/>
      <c r="E34" s="1"/>
      <c r="F34" s="1"/>
      <c r="G34" s="1"/>
      <c r="H34" s="1"/>
      <c r="I34" s="24"/>
      <c r="J34" s="24"/>
      <c r="K34" s="24"/>
    </row>
    <row r="35" spans="3:11" ht="20.100000000000001" customHeight="1" x14ac:dyDescent="0.25">
      <c r="C35" s="24"/>
      <c r="D35" s="1"/>
      <c r="E35" s="1"/>
      <c r="F35" s="1"/>
      <c r="G35" s="1"/>
      <c r="H35" s="1"/>
      <c r="I35" s="24"/>
      <c r="J35" s="24"/>
      <c r="K35" s="24"/>
    </row>
    <row r="36" spans="3:11" ht="20.100000000000001" customHeight="1" x14ac:dyDescent="0.25">
      <c r="C36" s="24"/>
      <c r="D36" s="1"/>
      <c r="E36" s="1"/>
      <c r="F36" s="1"/>
      <c r="G36" s="1"/>
      <c r="H36" s="1"/>
      <c r="I36" s="24"/>
      <c r="J36" s="24"/>
      <c r="K36" s="24"/>
    </row>
    <row r="37" spans="3:11" ht="20.100000000000001" customHeight="1" x14ac:dyDescent="0.25">
      <c r="C37" s="24"/>
      <c r="D37" s="1"/>
      <c r="E37" s="1"/>
      <c r="F37" s="1"/>
      <c r="G37" s="1"/>
      <c r="H37" s="1"/>
      <c r="I37" s="24"/>
      <c r="J37" s="24"/>
      <c r="K37" s="24"/>
    </row>
    <row r="38" spans="3:11" ht="20.100000000000001" customHeight="1" x14ac:dyDescent="0.25">
      <c r="C38" s="24"/>
      <c r="D38" s="1"/>
      <c r="E38" s="1"/>
      <c r="F38" s="1"/>
      <c r="G38" s="1"/>
      <c r="H38" s="1"/>
      <c r="I38" s="122"/>
      <c r="J38" s="122"/>
      <c r="K38" s="24"/>
    </row>
    <row r="39" spans="3:11" ht="20.100000000000001" customHeight="1" x14ac:dyDescent="0.25">
      <c r="C39" s="24"/>
      <c r="D39" s="1"/>
      <c r="E39" s="1"/>
      <c r="F39" s="1"/>
      <c r="G39" s="1"/>
      <c r="H39" s="1"/>
      <c r="I39" s="122"/>
      <c r="J39" s="122"/>
      <c r="K39" s="24"/>
    </row>
    <row r="40" spans="3:11" ht="20.100000000000001" customHeight="1" x14ac:dyDescent="0.25">
      <c r="C40" s="24"/>
      <c r="D40" s="1"/>
      <c r="E40" s="1"/>
      <c r="F40" s="1"/>
      <c r="G40" s="1"/>
      <c r="H40" s="1"/>
      <c r="I40" s="122"/>
      <c r="J40" s="122"/>
      <c r="K40" s="24"/>
    </row>
    <row r="41" spans="3:11" ht="20.100000000000001" customHeight="1" x14ac:dyDescent="0.25">
      <c r="C41" s="24"/>
      <c r="D41" s="1"/>
      <c r="E41" s="1"/>
      <c r="F41" s="1"/>
      <c r="G41" s="1"/>
      <c r="H41" s="1"/>
      <c r="I41" s="122"/>
      <c r="J41" s="122"/>
      <c r="K41" s="24"/>
    </row>
    <row r="42" spans="3:11" ht="20.100000000000001" customHeight="1" x14ac:dyDescent="0.25">
      <c r="C42" s="24"/>
      <c r="D42" s="1"/>
      <c r="E42" s="1"/>
      <c r="F42" s="1"/>
      <c r="G42" s="1"/>
      <c r="H42" s="1"/>
      <c r="I42" s="122"/>
      <c r="J42" s="122"/>
      <c r="K42" s="24"/>
    </row>
    <row r="43" spans="3:11" ht="20.100000000000001" customHeight="1" x14ac:dyDescent="0.25">
      <c r="C43" s="24"/>
      <c r="D43" s="1"/>
      <c r="E43" s="1"/>
      <c r="F43" s="1"/>
      <c r="G43" s="1"/>
      <c r="H43" s="1"/>
      <c r="I43" s="122"/>
      <c r="J43" s="122"/>
      <c r="K43" s="24"/>
    </row>
    <row r="44" spans="3:11" ht="20.100000000000001" customHeight="1" x14ac:dyDescent="0.25">
      <c r="C44" s="24"/>
      <c r="D44" s="1"/>
      <c r="E44" s="1"/>
      <c r="F44" s="1"/>
      <c r="G44" s="1"/>
      <c r="H44" s="1"/>
      <c r="I44" s="122"/>
      <c r="J44" s="122"/>
      <c r="K44" s="24"/>
    </row>
    <row r="45" spans="3:11" ht="20.100000000000001" customHeight="1" x14ac:dyDescent="0.25">
      <c r="C45" s="24"/>
      <c r="D45" s="1"/>
      <c r="E45" s="1"/>
      <c r="F45" s="1"/>
      <c r="G45" s="1"/>
      <c r="H45" s="1"/>
      <c r="I45" s="122"/>
      <c r="J45" s="122"/>
      <c r="K45" s="24"/>
    </row>
    <row r="46" spans="3:11" ht="20.100000000000001" customHeight="1" x14ac:dyDescent="0.25">
      <c r="C46" s="24"/>
      <c r="D46" s="1"/>
      <c r="E46" s="1"/>
      <c r="F46" s="1"/>
      <c r="G46" s="1"/>
      <c r="H46" s="1"/>
      <c r="I46" s="122"/>
      <c r="J46" s="122"/>
      <c r="K46" s="24"/>
    </row>
    <row r="47" spans="3:11" ht="20.100000000000001" customHeight="1" x14ac:dyDescent="0.25">
      <c r="C47" s="24"/>
      <c r="D47" s="1"/>
      <c r="E47" s="1"/>
      <c r="F47" s="1"/>
      <c r="G47" s="1"/>
      <c r="H47" s="1"/>
      <c r="I47" s="122"/>
      <c r="J47" s="122"/>
      <c r="K47" s="24"/>
    </row>
    <row r="48" spans="3:11" ht="20.100000000000001" customHeight="1" x14ac:dyDescent="0.25">
      <c r="C48" s="24"/>
      <c r="D48" s="1"/>
      <c r="E48" s="1"/>
      <c r="F48" s="1"/>
      <c r="G48" s="1"/>
      <c r="H48" s="1"/>
      <c r="I48" s="122"/>
      <c r="J48" s="122"/>
      <c r="K48" s="24"/>
    </row>
    <row r="49" spans="3:11" ht="20.100000000000001" customHeight="1" x14ac:dyDescent="0.25">
      <c r="C49" s="24"/>
      <c r="D49" s="1"/>
      <c r="E49" s="1"/>
      <c r="F49" s="1"/>
      <c r="G49" s="1"/>
      <c r="H49" s="122"/>
      <c r="I49" s="122"/>
      <c r="J49" s="122"/>
      <c r="K49" s="24"/>
    </row>
    <row r="50" spans="3:11" ht="20.100000000000001" customHeight="1" x14ac:dyDescent="0.25">
      <c r="C50" s="24"/>
      <c r="D50" s="1"/>
      <c r="E50" s="1"/>
      <c r="F50" s="1"/>
      <c r="G50" s="1"/>
      <c r="H50" s="122"/>
      <c r="I50" s="122"/>
      <c r="J50" s="122"/>
      <c r="K50" s="24"/>
    </row>
    <row r="51" spans="3:11" ht="20.100000000000001" customHeight="1" x14ac:dyDescent="0.25">
      <c r="C51" s="24"/>
      <c r="D51" s="1"/>
      <c r="E51" s="1"/>
      <c r="F51" s="1"/>
      <c r="G51" s="1"/>
      <c r="H51" s="122"/>
      <c r="I51" s="122"/>
      <c r="J51" s="122"/>
      <c r="K51" s="24"/>
    </row>
    <row r="52" spans="3:11" ht="20.100000000000001" customHeight="1" x14ac:dyDescent="0.25">
      <c r="C52" s="24"/>
      <c r="D52" s="1"/>
      <c r="E52" s="1"/>
      <c r="F52" s="1"/>
      <c r="G52" s="1"/>
      <c r="H52" s="122"/>
      <c r="I52" s="122"/>
      <c r="J52" s="122"/>
      <c r="K52" s="24"/>
    </row>
    <row r="53" spans="3:11" ht="20.100000000000001" customHeight="1" x14ac:dyDescent="0.25">
      <c r="C53" s="24"/>
      <c r="D53" s="1"/>
      <c r="E53" s="1"/>
      <c r="F53" s="1"/>
      <c r="G53" s="1"/>
      <c r="H53" s="122"/>
      <c r="I53" s="122"/>
      <c r="J53" s="122"/>
      <c r="K53" s="24"/>
    </row>
    <row r="54" spans="3:11" ht="20.100000000000001" customHeight="1" x14ac:dyDescent="0.25">
      <c r="C54" s="24"/>
      <c r="D54" s="1"/>
      <c r="E54" s="1"/>
      <c r="F54" s="1"/>
      <c r="G54" s="1"/>
      <c r="H54" s="24"/>
      <c r="I54" s="24"/>
      <c r="J54" s="24"/>
      <c r="K54" s="24"/>
    </row>
    <row r="55" spans="3:11" ht="20.100000000000001" customHeight="1" x14ac:dyDescent="0.25">
      <c r="C55" s="24"/>
      <c r="D55" s="1"/>
      <c r="E55" s="1"/>
      <c r="F55" s="1"/>
      <c r="G55" s="1"/>
      <c r="H55" s="24"/>
      <c r="I55" s="24"/>
      <c r="J55" s="24"/>
      <c r="K55" s="24"/>
    </row>
    <row r="56" spans="3:11" ht="20.100000000000001" customHeight="1" x14ac:dyDescent="0.25">
      <c r="C56" s="24"/>
      <c r="D56" s="1"/>
      <c r="E56" s="1"/>
      <c r="F56" s="1"/>
      <c r="G56" s="1"/>
      <c r="H56" s="24"/>
      <c r="I56" s="24"/>
      <c r="J56" s="24"/>
      <c r="K56" s="24"/>
    </row>
    <row r="57" spans="3:11" ht="20.100000000000001" customHeight="1" x14ac:dyDescent="0.25">
      <c r="C57" s="24"/>
      <c r="D57" s="1"/>
      <c r="E57" s="1"/>
      <c r="F57" s="1"/>
      <c r="G57" s="1"/>
      <c r="H57" s="24"/>
      <c r="I57" s="24"/>
      <c r="J57" s="24"/>
      <c r="K57" s="24"/>
    </row>
    <row r="58" spans="3:11" ht="20.100000000000001" customHeight="1" x14ac:dyDescent="0.25">
      <c r="C58" s="24"/>
      <c r="D58" s="1"/>
      <c r="E58" s="32"/>
      <c r="F58" s="30"/>
      <c r="G58" s="24"/>
      <c r="H58" s="24"/>
      <c r="I58" s="24"/>
      <c r="J58" s="24"/>
      <c r="K58" s="24"/>
    </row>
    <row r="59" spans="3:11" ht="20.100000000000001" customHeight="1" x14ac:dyDescent="0.25">
      <c r="C59" s="24"/>
      <c r="D59" s="1"/>
      <c r="E59" s="1"/>
      <c r="F59" s="1"/>
      <c r="G59" s="1"/>
      <c r="H59" s="1"/>
      <c r="I59" s="1"/>
      <c r="J59" s="1"/>
      <c r="K59" s="24"/>
    </row>
    <row r="60" spans="3:11" ht="20.100000000000001" customHeight="1" x14ac:dyDescent="0.25">
      <c r="C60" s="24"/>
      <c r="D60" s="1"/>
      <c r="E60" s="1"/>
      <c r="F60" s="1"/>
      <c r="G60" s="1"/>
      <c r="H60" s="1"/>
      <c r="I60" s="1"/>
      <c r="J60" s="1"/>
      <c r="K60" s="24"/>
    </row>
    <row r="61" spans="3:11" ht="20.100000000000001" customHeight="1" x14ac:dyDescent="0.25">
      <c r="C61" s="24"/>
      <c r="D61" s="1"/>
      <c r="E61" s="1"/>
      <c r="F61" s="1"/>
      <c r="G61" s="1"/>
      <c r="H61" s="1"/>
      <c r="I61" s="1"/>
      <c r="J61" s="1"/>
      <c r="K61" s="24"/>
    </row>
    <row r="62" spans="3:11" ht="20.100000000000001" customHeight="1" x14ac:dyDescent="0.25">
      <c r="C62" s="24"/>
      <c r="D62" s="1"/>
      <c r="E62" s="1"/>
      <c r="F62" s="1"/>
      <c r="G62" s="1"/>
      <c r="H62" s="1"/>
      <c r="I62" s="1"/>
      <c r="J62" s="1"/>
      <c r="K62" s="24"/>
    </row>
    <row r="63" spans="3:11" ht="20.100000000000001" customHeight="1" x14ac:dyDescent="0.25">
      <c r="C63" s="24"/>
      <c r="D63" s="1"/>
      <c r="E63" s="1"/>
      <c r="F63" s="1"/>
      <c r="G63" s="1"/>
      <c r="H63" s="1"/>
      <c r="I63" s="1"/>
      <c r="J63" s="1"/>
      <c r="K63" s="24"/>
    </row>
    <row r="64" spans="3:11" ht="20.100000000000001" customHeight="1" x14ac:dyDescent="0.25">
      <c r="C64" s="24"/>
      <c r="D64" s="1"/>
      <c r="E64" s="1"/>
      <c r="F64" s="1"/>
      <c r="G64" s="1"/>
      <c r="H64" s="1"/>
      <c r="I64" s="1"/>
      <c r="J64" s="1"/>
      <c r="K64" s="24"/>
    </row>
    <row r="65" spans="3:11" ht="20.100000000000001" customHeight="1" x14ac:dyDescent="0.25">
      <c r="C65" s="24"/>
      <c r="D65" s="1"/>
      <c r="E65" s="1"/>
      <c r="F65" s="1"/>
      <c r="G65" s="1"/>
      <c r="H65" s="1"/>
      <c r="I65" s="1"/>
      <c r="J65" s="1"/>
      <c r="K65" s="24"/>
    </row>
    <row r="66" spans="3:11" ht="20.100000000000001" customHeight="1" x14ac:dyDescent="0.25">
      <c r="C66" s="24"/>
      <c r="D66" s="1"/>
      <c r="E66" s="1"/>
      <c r="F66" s="1"/>
      <c r="G66" s="1"/>
      <c r="H66" s="1"/>
      <c r="I66" s="1"/>
      <c r="J66" s="1"/>
      <c r="K66" s="24"/>
    </row>
    <row r="67" spans="3:11" ht="20.100000000000001" customHeight="1" x14ac:dyDescent="0.25">
      <c r="C67" s="24"/>
      <c r="D67" s="1"/>
      <c r="E67" s="1"/>
      <c r="F67" s="1"/>
      <c r="G67" s="1"/>
      <c r="H67" s="1"/>
      <c r="I67" s="1"/>
      <c r="J67" s="1"/>
      <c r="K67" s="24"/>
    </row>
    <row r="68" spans="3:11" ht="20.100000000000001" customHeight="1" x14ac:dyDescent="0.25">
      <c r="C68" s="24"/>
      <c r="D68" s="1"/>
      <c r="E68" s="1"/>
      <c r="F68" s="1"/>
      <c r="G68" s="1"/>
      <c r="H68" s="1"/>
      <c r="I68" s="1"/>
      <c r="J68" s="1"/>
      <c r="K68" s="24"/>
    </row>
    <row r="69" spans="3:11" ht="20.100000000000001" customHeight="1" x14ac:dyDescent="0.25">
      <c r="C69" s="24"/>
      <c r="D69" s="1"/>
      <c r="E69" s="1"/>
      <c r="F69" s="1"/>
      <c r="G69" s="1"/>
      <c r="H69" s="1"/>
      <c r="I69" s="1"/>
      <c r="J69" s="1"/>
      <c r="K69" s="24"/>
    </row>
    <row r="70" spans="3:11" ht="20.100000000000001" customHeight="1" x14ac:dyDescent="0.25">
      <c r="C70" s="24"/>
      <c r="D70" s="1"/>
      <c r="E70" s="1"/>
      <c r="F70" s="1"/>
      <c r="G70" s="1"/>
      <c r="H70" s="1"/>
      <c r="I70" s="1"/>
      <c r="J70" s="1"/>
      <c r="K70" s="24"/>
    </row>
    <row r="71" spans="3:11" ht="20.100000000000001" customHeight="1" x14ac:dyDescent="0.25">
      <c r="C71" s="24"/>
      <c r="D71" s="1"/>
      <c r="E71" s="1"/>
      <c r="F71" s="1"/>
      <c r="G71" s="1"/>
      <c r="H71" s="1"/>
      <c r="I71" s="1"/>
      <c r="J71" s="1"/>
      <c r="K71" s="24"/>
    </row>
    <row r="72" spans="3:11" ht="20.100000000000001" customHeight="1" x14ac:dyDescent="0.25">
      <c r="C72" s="24"/>
      <c r="D72" s="1"/>
      <c r="E72" s="1"/>
      <c r="F72" s="1"/>
      <c r="G72" s="1"/>
      <c r="H72" s="1"/>
      <c r="I72" s="1"/>
      <c r="J72" s="1"/>
      <c r="K72" s="24"/>
    </row>
    <row r="73" spans="3:11" ht="20.100000000000001" customHeight="1" x14ac:dyDescent="0.25">
      <c r="C73" s="24"/>
      <c r="D73" s="1"/>
      <c r="E73" s="1"/>
      <c r="F73" s="1"/>
      <c r="G73" s="1"/>
      <c r="H73" s="1"/>
      <c r="I73" s="1"/>
      <c r="J73" s="1"/>
      <c r="K73" s="24"/>
    </row>
    <row r="74" spans="3:11" ht="20.100000000000001" customHeight="1" x14ac:dyDescent="0.25">
      <c r="C74" s="24"/>
      <c r="D74" s="1"/>
      <c r="E74" s="1"/>
      <c r="F74" s="1"/>
      <c r="G74" s="1"/>
      <c r="H74" s="1"/>
      <c r="I74" s="1"/>
      <c r="J74" s="1"/>
      <c r="K74" s="24"/>
    </row>
    <row r="75" spans="3:11" ht="20.100000000000001" customHeight="1" x14ac:dyDescent="0.25">
      <c r="C75" s="24"/>
      <c r="D75" s="1"/>
      <c r="E75" s="1"/>
      <c r="F75" s="1"/>
      <c r="G75" s="1"/>
      <c r="H75" s="1"/>
      <c r="I75" s="1"/>
      <c r="J75" s="1"/>
      <c r="K75" s="24"/>
    </row>
    <row r="76" spans="3:11" ht="15.75" x14ac:dyDescent="0.25">
      <c r="C76" s="24"/>
      <c r="D76" s="1"/>
      <c r="E76" s="1"/>
      <c r="F76" s="1"/>
      <c r="G76" s="1"/>
      <c r="H76" s="1"/>
      <c r="I76" s="1"/>
      <c r="J76" s="1"/>
      <c r="K76" s="24"/>
    </row>
    <row r="77" spans="3:11" ht="15.75" x14ac:dyDescent="0.25">
      <c r="C77" s="24"/>
      <c r="D77" s="1"/>
      <c r="E77" s="1"/>
      <c r="F77" s="1"/>
      <c r="G77" s="1"/>
      <c r="H77" s="1"/>
      <c r="I77" s="1"/>
      <c r="J77" s="1"/>
      <c r="K77" s="24"/>
    </row>
    <row r="78" spans="3:11" ht="15.75" x14ac:dyDescent="0.25">
      <c r="C78" s="24"/>
      <c r="D78" s="1"/>
      <c r="E78" s="1"/>
      <c r="F78" s="1"/>
      <c r="G78" s="1"/>
      <c r="H78" s="1"/>
      <c r="I78" s="1"/>
      <c r="J78" s="1"/>
      <c r="K78" s="24"/>
    </row>
    <row r="79" spans="3:11" ht="15.75" x14ac:dyDescent="0.25">
      <c r="C79" s="24"/>
      <c r="D79" s="1"/>
      <c r="E79" s="1"/>
      <c r="F79" s="1"/>
      <c r="G79" s="1"/>
      <c r="H79" s="1"/>
      <c r="I79" s="1"/>
      <c r="J79" s="1"/>
      <c r="K79" s="24"/>
    </row>
    <row r="80" spans="3:11" ht="15.75" x14ac:dyDescent="0.25">
      <c r="C80" s="24"/>
      <c r="D80" s="1"/>
      <c r="E80" s="1"/>
      <c r="F80" s="1"/>
      <c r="G80" s="1"/>
      <c r="H80" s="1"/>
      <c r="I80" s="1"/>
      <c r="J80" s="1"/>
      <c r="K80" s="24"/>
    </row>
    <row r="81" spans="3:11" ht="15.75" x14ac:dyDescent="0.25">
      <c r="C81" s="24"/>
      <c r="D81" s="1"/>
      <c r="E81" s="1"/>
      <c r="F81" s="1"/>
      <c r="G81" s="1"/>
      <c r="H81" s="1"/>
      <c r="I81" s="1"/>
      <c r="J81" s="1"/>
      <c r="K81" s="24"/>
    </row>
    <row r="82" spans="3:11" ht="15.75" x14ac:dyDescent="0.25">
      <c r="C82" s="24"/>
      <c r="D82" s="1"/>
      <c r="E82" s="1"/>
      <c r="F82" s="1"/>
      <c r="G82" s="1"/>
      <c r="H82" s="1"/>
      <c r="I82" s="1"/>
      <c r="J82" s="1"/>
      <c r="K82" s="24"/>
    </row>
    <row r="83" spans="3:11" ht="15.75" x14ac:dyDescent="0.25">
      <c r="C83" s="24"/>
      <c r="D83" s="1"/>
      <c r="E83" s="1"/>
      <c r="F83" s="1"/>
      <c r="G83" s="1"/>
      <c r="H83" s="1"/>
      <c r="I83" s="1"/>
      <c r="J83" s="1"/>
      <c r="K83" s="24"/>
    </row>
    <row r="84" spans="3:11" ht="15.75" x14ac:dyDescent="0.25">
      <c r="C84" s="24"/>
      <c r="D84" s="1"/>
      <c r="E84" s="1"/>
      <c r="F84" s="1"/>
      <c r="G84" s="1"/>
      <c r="H84" s="1"/>
      <c r="I84" s="1"/>
      <c r="J84" s="1"/>
      <c r="K84" s="24"/>
    </row>
    <row r="85" spans="3:11" ht="15.75" x14ac:dyDescent="0.25">
      <c r="C85" s="24"/>
      <c r="D85" s="1"/>
      <c r="E85" s="1"/>
      <c r="F85" s="1"/>
      <c r="G85" s="1"/>
      <c r="H85" s="1"/>
      <c r="I85" s="1"/>
      <c r="J85" s="1"/>
      <c r="K85" s="24"/>
    </row>
    <row r="86" spans="3:11" x14ac:dyDescent="0.25">
      <c r="C86" s="24"/>
      <c r="D86" s="24"/>
      <c r="E86" s="24"/>
      <c r="F86" s="24"/>
      <c r="G86" s="24"/>
      <c r="H86" s="24"/>
      <c r="I86" s="24"/>
      <c r="J86" s="24"/>
      <c r="K86" s="24"/>
    </row>
    <row r="87" spans="3:11" x14ac:dyDescent="0.25">
      <c r="C87" s="24"/>
      <c r="D87" s="24"/>
      <c r="E87" s="24"/>
      <c r="F87" s="24"/>
      <c r="G87" s="24"/>
      <c r="H87" s="24"/>
      <c r="I87" s="24"/>
      <c r="J87" s="24"/>
      <c r="K87" s="24"/>
    </row>
  </sheetData>
  <pageMargins left="0.7" right="0.7" top="0.75" bottom="0.75" header="0.3" footer="0.3"/>
  <drawing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31A5447-7172-48EB-B2CF-AFAC4A9AE8CE}">
  <sheetPr>
    <pageSetUpPr autoPageBreaks="0"/>
  </sheetPr>
  <dimension ref="A1:AA115"/>
  <sheetViews>
    <sheetView showGridLines="0" zoomScaleNormal="100" workbookViewId="0">
      <selection activeCell="A4" sqref="A4"/>
    </sheetView>
  </sheetViews>
  <sheetFormatPr defaultColWidth="9.140625" defaultRowHeight="15.75" x14ac:dyDescent="0.25"/>
  <cols>
    <col min="1" max="1" width="30.7109375" style="16" customWidth="1"/>
    <col min="2" max="2" width="4.7109375" style="7" customWidth="1"/>
    <col min="3" max="3" width="4.7109375" style="3" customWidth="1"/>
    <col min="4" max="4" width="60.7109375" style="3" customWidth="1"/>
    <col min="5" max="5" width="50.7109375" style="3" customWidth="1"/>
    <col min="6" max="11" width="28.7109375" style="3" customWidth="1"/>
    <col min="12" max="25" width="28.7109375" style="7" customWidth="1"/>
    <col min="26" max="27" width="9.140625" style="7"/>
    <col min="28" max="16384" width="9.140625" style="3"/>
  </cols>
  <sheetData>
    <row r="1" spans="1:24" s="7" customFormat="1" ht="30" customHeight="1" x14ac:dyDescent="0.35">
      <c r="A1" s="71" t="e" vm="1">
        <v>#VALUE!</v>
      </c>
      <c r="C1" s="12" t="s">
        <v>93</v>
      </c>
    </row>
    <row r="2" spans="1:24" s="7" customFormat="1" ht="20.100000000000001" customHeight="1" x14ac:dyDescent="0.25">
      <c r="A2" s="9"/>
      <c r="C2" s="9"/>
      <c r="D2" s="9"/>
      <c r="E2" s="9"/>
      <c r="F2" s="9"/>
      <c r="G2" s="9"/>
      <c r="H2" s="9"/>
      <c r="I2" s="9"/>
      <c r="J2" s="9"/>
    </row>
    <row r="3" spans="1:24" ht="20.100000000000001" customHeight="1" x14ac:dyDescent="0.25">
      <c r="A3" s="17" t="str">
        <f>HYPERLINK("#'Home'!A1", "Home")</f>
        <v>Home</v>
      </c>
      <c r="C3" s="15"/>
      <c r="D3" s="15"/>
      <c r="E3" s="15"/>
      <c r="F3" s="15"/>
      <c r="G3" s="15"/>
      <c r="H3" s="15"/>
      <c r="I3" s="15"/>
      <c r="J3" s="15"/>
      <c r="K3" s="15"/>
      <c r="M3" s="11"/>
      <c r="N3" s="11"/>
      <c r="O3" s="11"/>
      <c r="P3" s="11"/>
      <c r="Q3" s="11"/>
      <c r="R3" s="11"/>
      <c r="S3" s="11"/>
      <c r="T3" s="11"/>
      <c r="U3" s="11"/>
      <c r="V3" s="11"/>
      <c r="W3" s="11"/>
      <c r="X3" s="11"/>
    </row>
    <row r="4" spans="1:24" ht="20.100000000000001" customHeight="1" x14ac:dyDescent="0.25">
      <c r="A4" s="17" t="str">
        <f>HYPERLINK("#'Results'!A1", "Results")</f>
        <v>Results</v>
      </c>
      <c r="C4" s="73"/>
      <c r="D4" s="73"/>
      <c r="E4" s="73"/>
      <c r="F4" s="73"/>
      <c r="G4" s="73"/>
      <c r="H4" s="73"/>
      <c r="I4" s="73"/>
      <c r="J4" s="73"/>
      <c r="K4" s="73"/>
    </row>
    <row r="5" spans="1:24" ht="20.100000000000001" customHeight="1" x14ac:dyDescent="0.25">
      <c r="D5" s="6" t="s">
        <v>15</v>
      </c>
      <c r="N5" s="43"/>
    </row>
    <row r="6" spans="1:24" ht="20.100000000000001" customHeight="1" x14ac:dyDescent="0.25">
      <c r="A6" s="20" t="s">
        <v>3</v>
      </c>
      <c r="D6" s="14"/>
      <c r="N6" s="44"/>
    </row>
    <row r="7" spans="1:24" ht="20.100000000000001" customHeight="1" x14ac:dyDescent="0.25">
      <c r="A7" s="21" t="str">
        <f>HYPERLINK("#'Input - Site'!A1", "Site")</f>
        <v>Site</v>
      </c>
      <c r="D7" s="1" t="s">
        <v>7</v>
      </c>
      <c r="E7" s="35" t="s">
        <v>6</v>
      </c>
      <c r="F7" s="2"/>
    </row>
    <row r="8" spans="1:24" ht="20.100000000000001" customHeight="1" x14ac:dyDescent="0.25">
      <c r="A8" s="17" t="str">
        <f>HYPERLINK("#'Input - Dairy'!A1", "Dairy")</f>
        <v>Dairy</v>
      </c>
      <c r="D8" s="10" t="s">
        <v>74</v>
      </c>
      <c r="E8" s="35" t="s">
        <v>75</v>
      </c>
    </row>
    <row r="9" spans="1:24" ht="20.100000000000001" customHeight="1" x14ac:dyDescent="0.25">
      <c r="A9" s="17"/>
      <c r="N9" s="45"/>
    </row>
    <row r="10" spans="1:24" ht="20.100000000000001" customHeight="1" x14ac:dyDescent="0.25">
      <c r="A10" s="19" t="s">
        <v>78</v>
      </c>
      <c r="D10" s="98" t="s">
        <v>92</v>
      </c>
      <c r="E10" s="96"/>
      <c r="F10" s="99"/>
      <c r="G10" s="93"/>
      <c r="N10" s="45"/>
    </row>
    <row r="11" spans="1:24" ht="20.100000000000001" customHeight="1" x14ac:dyDescent="0.25">
      <c r="A11" s="17" t="str">
        <f>HYPERLINK("#'4.3.1.1-2 Methane'!A1", "4.3.1.1-2 Methane")</f>
        <v>4.3.1.1-2 Methane</v>
      </c>
      <c r="N11" s="46"/>
    </row>
    <row r="12" spans="1:24" ht="20.100000000000001" customHeight="1" x14ac:dyDescent="0.25">
      <c r="A12" s="17" t="str">
        <f>HYPERLINK("#'4.3.1.3-4 Direct N20'!A1", "4.3.1.3-4 Direct N2O")</f>
        <v>4.3.1.3-4 Direct N2O</v>
      </c>
      <c r="D12" s="10" t="s">
        <v>98</v>
      </c>
      <c r="E12" s="67">
        <v>45292</v>
      </c>
      <c r="F12" s="2" t="s">
        <v>72</v>
      </c>
    </row>
    <row r="13" spans="1:24" ht="20.100000000000001" customHeight="1" x14ac:dyDescent="0.25">
      <c r="A13" s="17" t="str">
        <f>HYPERLINK("#'4.3.1.5 Atmos Deposition'!A1", "4.3.1.5 Atmospheric deposition")</f>
        <v>4.3.1.5 Atmospheric deposition</v>
      </c>
      <c r="D13" s="10" t="s">
        <v>99</v>
      </c>
      <c r="E13" s="74">
        <f>DATE(YEAR(E12)+1,MONTH(E12),DAY(E12))-1</f>
        <v>45657</v>
      </c>
      <c r="F13" s="2" t="s">
        <v>17</v>
      </c>
      <c r="N13" s="40"/>
      <c r="O13" s="40"/>
    </row>
    <row r="14" spans="1:24" ht="20.100000000000001" customHeight="1" x14ac:dyDescent="0.25">
      <c r="A14" s="17" t="str">
        <f>HYPERLINK("#'4.3.1.6-7 Leaching and runoff'!A1", "4.3.1.6-7 Leaching and runoff")</f>
        <v>4.3.1.6-7 Leaching and runoff</v>
      </c>
      <c r="N14" s="40"/>
      <c r="O14" s="40"/>
    </row>
    <row r="15" spans="1:24" ht="20.100000000000001" customHeight="1" x14ac:dyDescent="0.25">
      <c r="A15" s="17" t="str">
        <f>HYPERLINK("#'4.3.1.8 Manure applied to soils'!A1", "4.3.1.8 Manure applied to soils")</f>
        <v>4.3.1.8 Manure applied to soils</v>
      </c>
      <c r="N15" s="40"/>
      <c r="O15" s="40"/>
    </row>
    <row r="16" spans="1:24" ht="20.100000000000001" customHeight="1" x14ac:dyDescent="0.25">
      <c r="A16" s="17" t="str">
        <f>HYPERLINK("#'4.3.1.9 Soil direct N2O'!A1", "4.3.1.9 Soil direct N2O")</f>
        <v>4.3.1.9 Soil direct N2O</v>
      </c>
      <c r="D16" s="6" t="s">
        <v>14</v>
      </c>
      <c r="N16" s="40"/>
      <c r="O16" s="40"/>
    </row>
    <row r="17" spans="1:25" ht="20.100000000000001" customHeight="1" x14ac:dyDescent="0.25">
      <c r="A17" s="17" t="str">
        <f>HYPERLINK("#'4.3.1.10-11 Soil Atmos Dep'!A1", "4.3.1.10-11 Soil atm. deposition")</f>
        <v>4.3.1.10-11 Soil atm. deposition</v>
      </c>
    </row>
    <row r="18" spans="1:25" ht="20.100000000000001" customHeight="1" x14ac:dyDescent="0.25">
      <c r="A18" s="17" t="str">
        <f>HYPERLINK("#'4.3.1.12-13 Soil leach runoff'!A1", "4.3.1.12-13 Soil leach &amp; runoff")</f>
        <v>4.3.1.12-13 Soil leach &amp; runoff</v>
      </c>
      <c r="D18" s="100" t="s">
        <v>16</v>
      </c>
      <c r="E18" s="95"/>
      <c r="F18" s="95"/>
      <c r="G18" s="91"/>
    </row>
    <row r="19" spans="1:25" ht="20.100000000000001" customHeight="1" x14ac:dyDescent="0.25">
      <c r="A19" s="17"/>
      <c r="D19" s="97" t="s">
        <v>73</v>
      </c>
      <c r="E19" s="94"/>
      <c r="F19" s="94"/>
      <c r="G19" s="92"/>
      <c r="N19" s="43"/>
    </row>
    <row r="20" spans="1:25" ht="20.100000000000001" customHeight="1" x14ac:dyDescent="0.25">
      <c r="A20" s="18" t="s">
        <v>4</v>
      </c>
      <c r="D20" s="1"/>
      <c r="E20" s="33"/>
      <c r="F20" s="2"/>
      <c r="N20" s="44"/>
    </row>
    <row r="21" spans="1:25" ht="20.100000000000001" customHeight="1" x14ac:dyDescent="0.25">
      <c r="A21" s="17" t="str">
        <f>HYPERLINK("#'Constants - Dairy'!A1", "Constants - Dairy")</f>
        <v>Constants - Dairy</v>
      </c>
      <c r="D21" s="1" t="s">
        <v>8</v>
      </c>
      <c r="E21" s="42" t="s">
        <v>105</v>
      </c>
      <c r="F21" s="2" t="s">
        <v>11</v>
      </c>
    </row>
    <row r="22" spans="1:25" ht="20.100000000000001" customHeight="1" x14ac:dyDescent="0.25">
      <c r="A22" s="17" t="str">
        <f>HYPERLINK("#'Constants - Livestock'!A1", "Constants - Livestock")</f>
        <v>Constants - Livestock</v>
      </c>
      <c r="D22" s="1" t="s">
        <v>27</v>
      </c>
      <c r="E22" s="42" t="s">
        <v>36</v>
      </c>
      <c r="F22" s="2" t="s">
        <v>11</v>
      </c>
      <c r="G22" s="1"/>
    </row>
    <row r="23" spans="1:25" ht="20.100000000000001" customHeight="1" x14ac:dyDescent="0.25">
      <c r="A23" s="17" t="str">
        <f>HYPERLINK("#'Constants - Common'!A1", "Constants - Common")</f>
        <v>Constants - Common</v>
      </c>
      <c r="D23" s="1" t="s">
        <v>9</v>
      </c>
      <c r="E23" s="42" t="s">
        <v>97</v>
      </c>
      <c r="F23" s="2" t="s">
        <v>11</v>
      </c>
    </row>
    <row r="24" spans="1:25" ht="20.100000000000001" customHeight="1" x14ac:dyDescent="0.25">
      <c r="A24" s="17" t="str">
        <f>HYPERLINK("#'Acknowledgements'!A1", "Acknowledgements")</f>
        <v>Acknowledgements</v>
      </c>
      <c r="D24" s="1" t="s">
        <v>41</v>
      </c>
      <c r="E24" s="35">
        <v>307.7</v>
      </c>
      <c r="F24" s="2" t="s">
        <v>55</v>
      </c>
    </row>
    <row r="25" spans="1:25" ht="20.100000000000001" customHeight="1" x14ac:dyDescent="0.25">
      <c r="A25"/>
      <c r="D25" s="1" t="s">
        <v>63</v>
      </c>
      <c r="E25" s="35">
        <v>18</v>
      </c>
      <c r="F25" s="2" t="s">
        <v>12</v>
      </c>
      <c r="N25" s="44"/>
    </row>
    <row r="26" spans="1:25" ht="20.100000000000001" customHeight="1" x14ac:dyDescent="0.25">
      <c r="A26"/>
      <c r="D26" s="1" t="s">
        <v>64</v>
      </c>
      <c r="E26" s="35">
        <v>601</v>
      </c>
      <c r="F26" s="2" t="s">
        <v>13</v>
      </c>
    </row>
    <row r="27" spans="1:25" ht="20.100000000000001" customHeight="1" x14ac:dyDescent="0.25">
      <c r="A27"/>
      <c r="D27" s="10" t="s">
        <v>65</v>
      </c>
      <c r="E27" s="35">
        <v>1326</v>
      </c>
      <c r="F27" s="2" t="s">
        <v>13</v>
      </c>
    </row>
    <row r="28" spans="1:25" ht="20.100000000000001" customHeight="1" x14ac:dyDescent="0.25">
      <c r="A28"/>
      <c r="D28" s="1" t="s">
        <v>66</v>
      </c>
      <c r="E28" s="35">
        <v>7</v>
      </c>
      <c r="F28" s="2" t="s">
        <v>56</v>
      </c>
    </row>
    <row r="29" spans="1:25" ht="20.100000000000001" customHeight="1" x14ac:dyDescent="0.25">
      <c r="A29"/>
      <c r="D29" s="10" t="s">
        <v>62</v>
      </c>
      <c r="E29" s="55">
        <f>E26/E27</f>
        <v>0.45324283559577677</v>
      </c>
      <c r="F29" s="2"/>
    </row>
    <row r="30" spans="1:25" ht="20.100000000000001" customHeight="1" x14ac:dyDescent="0.25">
      <c r="A30"/>
      <c r="D30" s="10" t="s">
        <v>37</v>
      </c>
      <c r="E30" s="55" t="str">
        <f>Common_InputFunctions.Utility_LookupItemFromMinMax(E26,Table_SourceData_RainfallZones[Min rainfall],Table_SourceData_RainfallZones[Max rainfall],Table_SourceData_RainfallZones[Rainfall Zone])</f>
        <v>High rainfall</v>
      </c>
      <c r="G30" s="34"/>
      <c r="L30" s="52"/>
      <c r="M30" s="52"/>
      <c r="N30" s="52"/>
      <c r="O30" s="52"/>
      <c r="P30" s="52"/>
      <c r="Q30" s="52"/>
      <c r="R30" s="52"/>
      <c r="S30" s="52"/>
      <c r="T30" s="52"/>
      <c r="U30" s="52"/>
      <c r="V30" s="52"/>
      <c r="W30" s="52"/>
      <c r="X30" s="52"/>
      <c r="Y30" s="52"/>
    </row>
    <row r="31" spans="1:25" ht="20.100000000000001" customHeight="1" x14ac:dyDescent="0.25">
      <c r="A31"/>
      <c r="D31" s="1" t="s">
        <v>10</v>
      </c>
      <c r="E31" s="55" t="str">
        <f>Common_InputFunctions.Utility_GetClimateZone(E25,E26,E28,E24,E29,Table_SourceData_ClimateZones[Min temp],Table_SourceData_ClimateZones[Max temp],Table_SourceData_ClimateZones[Min rainfall],Table_SourceData_ClimateZones[Max rainfall],Table_SourceData_ClimateZones[Min frost days],Table_SourceData_ClimateZones[Max frost days],Table_SourceData_ClimateZones[Min elevation],Table_SourceData_ClimateZones[Max elevation],Table_SourceData_ClimateZones[Min MAP:PET],Table_SourceData_ClimateZones[Max MAP:PET],Table_SourceData_ClimateZones[Climate zone])</f>
        <v>Warm temperate dry</v>
      </c>
      <c r="F31" s="1"/>
      <c r="G31" s="33"/>
      <c r="L31" s="50"/>
      <c r="M31" s="50"/>
      <c r="N31" s="50"/>
      <c r="O31" s="50"/>
      <c r="P31" s="50"/>
      <c r="Q31" s="50"/>
      <c r="R31" s="50"/>
      <c r="S31" s="50"/>
      <c r="T31" s="50"/>
      <c r="U31" s="50"/>
      <c r="V31" s="50"/>
      <c r="W31" s="50"/>
      <c r="X31" s="50"/>
      <c r="Y31" s="50"/>
    </row>
    <row r="32" spans="1:25" ht="20.100000000000001" customHeight="1" x14ac:dyDescent="0.25">
      <c r="A32"/>
      <c r="D32" s="1" t="s">
        <v>94</v>
      </c>
      <c r="E32" s="55" t="str">
        <f>Common_InputFunctions.Utility_LookupValueInTable($E$31,Table_SourceData_WetDryZones[Climate zone],Table_SourceData_WetDryZones[Wet or Dry Zone])</f>
        <v>Dry climate zone</v>
      </c>
      <c r="F32" s="1"/>
      <c r="G32" s="33"/>
      <c r="L32" s="50"/>
      <c r="M32" s="50"/>
      <c r="N32" s="50"/>
      <c r="O32" s="50"/>
      <c r="P32" s="50"/>
      <c r="Q32" s="50"/>
      <c r="R32" s="50"/>
      <c r="S32" s="50"/>
      <c r="T32" s="50"/>
      <c r="U32" s="50"/>
      <c r="V32" s="50"/>
      <c r="W32" s="50"/>
      <c r="X32" s="50"/>
      <c r="Y32" s="50"/>
    </row>
    <row r="33" spans="1:25" ht="20.100000000000001" customHeight="1" x14ac:dyDescent="0.25">
      <c r="A33"/>
      <c r="D33" s="1" t="s">
        <v>54</v>
      </c>
      <c r="E33" s="55" t="str">
        <f>Common_InputFunctions.Utility_LookupItemFromMinMax(E25,Table_SourceData_TemperatureZones[Min MAT],Table_SourceData_TemperatureZones[Max MAT],Table_SourceData_TemperatureZones[Temperature Zone])</f>
        <v>Temperate</v>
      </c>
      <c r="G33" s="75"/>
      <c r="L33" s="50"/>
      <c r="M33" s="50"/>
      <c r="N33" s="50"/>
      <c r="O33" s="50"/>
      <c r="P33" s="50"/>
      <c r="Q33" s="50"/>
      <c r="R33" s="50"/>
      <c r="S33" s="50"/>
      <c r="T33" s="50"/>
      <c r="U33" s="50"/>
      <c r="V33" s="50"/>
      <c r="W33" s="50"/>
      <c r="X33" s="50"/>
      <c r="Y33" s="50"/>
    </row>
    <row r="34" spans="1:25" ht="20.100000000000001" customHeight="1" x14ac:dyDescent="0.25">
      <c r="A34"/>
      <c r="J34" s="64"/>
      <c r="K34" s="78"/>
      <c r="L34" s="50"/>
      <c r="M34" s="50"/>
      <c r="N34" s="50"/>
      <c r="O34" s="50"/>
      <c r="P34" s="50"/>
      <c r="Q34" s="50"/>
      <c r="R34" s="50"/>
      <c r="S34" s="50"/>
      <c r="T34" s="50"/>
      <c r="U34" s="50"/>
      <c r="V34" s="50"/>
      <c r="W34" s="50"/>
      <c r="X34" s="50"/>
      <c r="Y34" s="50"/>
    </row>
    <row r="35" spans="1:25" ht="20.100000000000001" customHeight="1" x14ac:dyDescent="0.25">
      <c r="A35"/>
      <c r="J35" s="64"/>
      <c r="K35" s="78"/>
      <c r="L35" s="50"/>
      <c r="M35" s="50"/>
      <c r="N35" s="50"/>
      <c r="O35" s="50"/>
      <c r="P35" s="50"/>
      <c r="Q35" s="50"/>
      <c r="R35" s="50"/>
      <c r="S35" s="50"/>
      <c r="T35" s="50"/>
      <c r="U35" s="50"/>
      <c r="V35" s="50"/>
      <c r="W35" s="50"/>
      <c r="X35" s="50"/>
      <c r="Y35" s="50"/>
    </row>
    <row r="36" spans="1:25" ht="20.100000000000001" customHeight="1" x14ac:dyDescent="0.25">
      <c r="A36"/>
      <c r="D36" s="76"/>
      <c r="E36" s="76"/>
      <c r="F36" s="77"/>
      <c r="G36" s="64"/>
      <c r="H36" s="64"/>
      <c r="I36" s="65"/>
      <c r="J36" s="64"/>
      <c r="K36" s="78"/>
      <c r="L36" s="50"/>
      <c r="M36" s="50"/>
      <c r="N36" s="50"/>
      <c r="O36" s="50"/>
      <c r="P36" s="50"/>
      <c r="Q36" s="50"/>
      <c r="R36" s="50"/>
      <c r="S36" s="50"/>
      <c r="T36" s="50"/>
      <c r="U36" s="50"/>
      <c r="V36" s="50"/>
      <c r="W36" s="50"/>
      <c r="X36" s="50"/>
      <c r="Y36" s="50"/>
    </row>
    <row r="37" spans="1:25" ht="20.100000000000001" customHeight="1" x14ac:dyDescent="0.25">
      <c r="A37"/>
      <c r="D37" s="76"/>
      <c r="E37" s="76"/>
      <c r="F37" s="77"/>
      <c r="G37" s="64"/>
      <c r="H37" s="64"/>
      <c r="I37" s="65"/>
      <c r="J37" s="64"/>
      <c r="K37" s="78"/>
      <c r="L37" s="50"/>
      <c r="M37" s="50"/>
      <c r="N37" s="50"/>
      <c r="O37" s="50"/>
      <c r="P37" s="50"/>
      <c r="Q37" s="50"/>
      <c r="R37" s="50"/>
      <c r="S37" s="50"/>
      <c r="T37" s="50"/>
      <c r="U37" s="50"/>
      <c r="V37" s="50"/>
      <c r="W37" s="50"/>
      <c r="X37" s="50"/>
      <c r="Y37" s="50"/>
    </row>
    <row r="38" spans="1:25" ht="20.100000000000001" customHeight="1" x14ac:dyDescent="0.25">
      <c r="A38"/>
      <c r="D38" s="76"/>
      <c r="E38" s="76"/>
      <c r="F38" s="77"/>
      <c r="G38" s="64"/>
      <c r="H38" s="64"/>
      <c r="I38" s="65"/>
      <c r="J38" s="64"/>
      <c r="K38" s="78"/>
      <c r="L38" s="50"/>
      <c r="M38" s="50"/>
      <c r="N38" s="50"/>
      <c r="O38" s="50"/>
      <c r="P38" s="50"/>
      <c r="Q38" s="50"/>
      <c r="R38" s="50"/>
      <c r="S38" s="50"/>
      <c r="T38" s="50"/>
      <c r="U38" s="50"/>
      <c r="V38" s="50"/>
      <c r="W38" s="50"/>
      <c r="X38" s="50"/>
      <c r="Y38" s="50"/>
    </row>
    <row r="39" spans="1:25" ht="20.100000000000001" customHeight="1" x14ac:dyDescent="0.25">
      <c r="A39"/>
      <c r="D39" s="76"/>
      <c r="E39" s="76"/>
      <c r="F39" s="77"/>
      <c r="G39" s="64"/>
      <c r="H39" s="64"/>
      <c r="I39" s="65"/>
      <c r="J39" s="64"/>
      <c r="K39" s="78"/>
      <c r="L39" s="50"/>
      <c r="M39" s="50"/>
      <c r="N39" s="50"/>
      <c r="O39" s="50"/>
      <c r="P39" s="50"/>
      <c r="Q39" s="50"/>
      <c r="R39" s="50"/>
      <c r="S39" s="50"/>
      <c r="T39" s="50"/>
      <c r="U39" s="50"/>
      <c r="V39" s="50"/>
      <c r="W39" s="50"/>
      <c r="X39" s="50"/>
      <c r="Y39" s="50"/>
    </row>
    <row r="40" spans="1:25" ht="20.100000000000001" customHeight="1" x14ac:dyDescent="0.25">
      <c r="A40"/>
      <c r="D40" s="79"/>
      <c r="E40" s="79"/>
      <c r="F40" s="79"/>
      <c r="G40" s="80"/>
      <c r="H40" s="81"/>
      <c r="I40" s="81"/>
      <c r="J40" s="81"/>
      <c r="K40" s="81"/>
      <c r="L40" s="53"/>
      <c r="M40" s="53"/>
      <c r="N40" s="53"/>
      <c r="O40" s="53"/>
      <c r="P40" s="53"/>
      <c r="Q40" s="53"/>
      <c r="R40" s="53"/>
      <c r="S40" s="53"/>
      <c r="T40" s="53"/>
      <c r="U40" s="53"/>
      <c r="V40" s="53"/>
      <c r="W40" s="53"/>
      <c r="X40" s="53"/>
      <c r="Y40" s="53"/>
    </row>
    <row r="41" spans="1:25" ht="20.100000000000001" customHeight="1" x14ac:dyDescent="0.25">
      <c r="A41"/>
    </row>
    <row r="42" spans="1:25" ht="20.100000000000001" customHeight="1" x14ac:dyDescent="0.25">
      <c r="A42"/>
    </row>
    <row r="43" spans="1:25" ht="20.100000000000001" customHeight="1" x14ac:dyDescent="0.25">
      <c r="A43"/>
    </row>
    <row r="44" spans="1:25" ht="20.100000000000001" customHeight="1" x14ac:dyDescent="0.25"/>
    <row r="45" spans="1:25" ht="20.100000000000001" customHeight="1" x14ac:dyDescent="0.25">
      <c r="D45" s="6"/>
    </row>
    <row r="46" spans="1:25" ht="20.100000000000001" customHeight="1" x14ac:dyDescent="0.25">
      <c r="D46" s="23"/>
    </row>
    <row r="47" spans="1:25" ht="20.100000000000001" customHeight="1" x14ac:dyDescent="0.25">
      <c r="D47" s="82"/>
      <c r="E47" s="82"/>
      <c r="F47" s="82"/>
      <c r="G47" s="82"/>
      <c r="H47" s="82"/>
    </row>
    <row r="48" spans="1:25" ht="20.100000000000001" customHeight="1" x14ac:dyDescent="0.25">
      <c r="D48" s="36"/>
      <c r="E48" s="36"/>
      <c r="F48" s="37"/>
      <c r="G48" s="37"/>
      <c r="H48" s="36"/>
    </row>
    <row r="49" spans="4:8" ht="20.100000000000001" customHeight="1" x14ac:dyDescent="0.25">
      <c r="D49" s="36"/>
      <c r="E49" s="36"/>
      <c r="F49" s="37"/>
      <c r="G49" s="37"/>
      <c r="H49" s="36"/>
    </row>
    <row r="50" spans="4:8" ht="20.100000000000001" customHeight="1" x14ac:dyDescent="0.25">
      <c r="D50" s="36"/>
      <c r="E50" s="36"/>
      <c r="F50" s="37"/>
      <c r="G50" s="37"/>
      <c r="H50" s="36"/>
    </row>
    <row r="51" spans="4:8" ht="20.100000000000001" customHeight="1" x14ac:dyDescent="0.25">
      <c r="D51" s="83"/>
      <c r="E51" s="84"/>
      <c r="F51" s="84"/>
      <c r="G51" s="84"/>
      <c r="H51" s="85"/>
    </row>
    <row r="52" spans="4:8" ht="20.100000000000001" customHeight="1" x14ac:dyDescent="0.25"/>
    <row r="53" spans="4:8" ht="20.100000000000001" customHeight="1" x14ac:dyDescent="0.25"/>
    <row r="54" spans="4:8" ht="20.100000000000001" customHeight="1" x14ac:dyDescent="0.25">
      <c r="G54" s="86"/>
    </row>
    <row r="55" spans="4:8" ht="20.100000000000001" customHeight="1" x14ac:dyDescent="0.25">
      <c r="D55" s="6"/>
    </row>
    <row r="56" spans="4:8" ht="20.100000000000001" customHeight="1" x14ac:dyDescent="0.25"/>
    <row r="57" spans="4:8" ht="20.100000000000001" customHeight="1" x14ac:dyDescent="0.25">
      <c r="D57" s="23"/>
      <c r="F57" s="87"/>
    </row>
    <row r="58" spans="4:8" ht="20.100000000000001" customHeight="1" x14ac:dyDescent="0.25">
      <c r="D58" s="1"/>
      <c r="E58" s="88"/>
    </row>
    <row r="59" spans="4:8" ht="20.100000000000001" customHeight="1" x14ac:dyDescent="0.25">
      <c r="D59" s="1"/>
      <c r="E59" s="88"/>
    </row>
    <row r="60" spans="4:8" ht="20.100000000000001" customHeight="1" x14ac:dyDescent="0.25">
      <c r="D60" s="1"/>
      <c r="E60" s="89"/>
    </row>
    <row r="61" spans="4:8" ht="20.100000000000001" customHeight="1" x14ac:dyDescent="0.25">
      <c r="D61" s="1"/>
    </row>
    <row r="62" spans="4:8" ht="20.100000000000001" customHeight="1" x14ac:dyDescent="0.25"/>
    <row r="63" spans="4:8" ht="20.100000000000001" customHeight="1" x14ac:dyDescent="0.25">
      <c r="D63" s="23"/>
    </row>
    <row r="64" spans="4:8" ht="20.100000000000001" customHeight="1" x14ac:dyDescent="0.25">
      <c r="D64" s="1"/>
      <c r="E64" s="88"/>
    </row>
    <row r="65" spans="4:9" ht="20.100000000000001" customHeight="1" x14ac:dyDescent="0.25">
      <c r="D65" s="1"/>
      <c r="E65" s="88"/>
    </row>
    <row r="66" spans="4:9" ht="20.100000000000001" customHeight="1" x14ac:dyDescent="0.25">
      <c r="D66" s="1"/>
      <c r="E66" s="89"/>
    </row>
    <row r="67" spans="4:9" ht="20.100000000000001" customHeight="1" x14ac:dyDescent="0.25"/>
    <row r="68" spans="4:9" ht="20.100000000000001" customHeight="1" x14ac:dyDescent="0.25"/>
    <row r="69" spans="4:9" ht="20.100000000000001" customHeight="1" x14ac:dyDescent="0.25">
      <c r="D69" s="63"/>
      <c r="E69" s="63"/>
      <c r="F69" s="63"/>
      <c r="G69" s="63"/>
      <c r="H69" s="63"/>
      <c r="I69" s="63"/>
    </row>
    <row r="70" spans="4:9" ht="20.100000000000001" customHeight="1" x14ac:dyDescent="0.25">
      <c r="D70" s="63"/>
      <c r="E70" s="63"/>
      <c r="F70" s="63"/>
      <c r="G70" s="63"/>
      <c r="H70" s="63"/>
      <c r="I70" s="63"/>
    </row>
    <row r="71" spans="4:9" ht="20.100000000000001" customHeight="1" x14ac:dyDescent="0.25">
      <c r="D71" s="63"/>
      <c r="E71" s="63"/>
      <c r="F71" s="63"/>
      <c r="G71" s="63"/>
      <c r="H71" s="63"/>
      <c r="I71" s="63"/>
    </row>
    <row r="72" spans="4:9" ht="20.100000000000001" customHeight="1" x14ac:dyDescent="0.25">
      <c r="D72" s="63"/>
      <c r="E72" s="63"/>
      <c r="F72" s="63"/>
      <c r="G72" s="63"/>
      <c r="H72" s="63"/>
      <c r="I72" s="63"/>
    </row>
    <row r="73" spans="4:9" ht="20.100000000000001" customHeight="1" x14ac:dyDescent="0.25"/>
    <row r="74" spans="4:9" ht="20.100000000000001" customHeight="1" x14ac:dyDescent="0.25"/>
    <row r="75" spans="4:9" ht="20.100000000000001" customHeight="1" x14ac:dyDescent="0.25"/>
    <row r="76" spans="4:9" ht="20.100000000000001" customHeight="1" x14ac:dyDescent="0.25"/>
    <row r="77" spans="4:9" ht="20.100000000000001" customHeight="1" x14ac:dyDescent="0.25"/>
    <row r="78" spans="4:9" ht="20.100000000000001" customHeight="1" x14ac:dyDescent="0.25">
      <c r="D78" s="90"/>
    </row>
    <row r="79" spans="4:9" ht="20.100000000000001" customHeight="1" x14ac:dyDescent="0.25">
      <c r="D79" s="90"/>
    </row>
    <row r="80" spans="4:9" ht="20.100000000000001" customHeight="1" x14ac:dyDescent="0.25">
      <c r="D80" s="90"/>
    </row>
    <row r="81" spans="4:4" ht="20.100000000000001" customHeight="1" x14ac:dyDescent="0.25">
      <c r="D81" s="90"/>
    </row>
    <row r="82" spans="4:4" ht="20.100000000000001" customHeight="1" x14ac:dyDescent="0.25">
      <c r="D82" s="90"/>
    </row>
    <row r="83" spans="4:4" ht="20.100000000000001" customHeight="1" x14ac:dyDescent="0.25"/>
    <row r="84" spans="4:4" ht="20.100000000000001" customHeight="1" x14ac:dyDescent="0.25"/>
    <row r="85" spans="4:4" ht="20.100000000000001" customHeight="1" x14ac:dyDescent="0.25"/>
    <row r="86" spans="4:4" ht="20.100000000000001" customHeight="1" x14ac:dyDescent="0.25"/>
    <row r="87" spans="4:4" ht="20.100000000000001" customHeight="1" x14ac:dyDescent="0.25"/>
    <row r="88" spans="4:4" ht="20.100000000000001" customHeight="1" x14ac:dyDescent="0.25"/>
    <row r="89" spans="4:4" ht="20.100000000000001" customHeight="1" x14ac:dyDescent="0.25"/>
    <row r="90" spans="4:4" ht="20.100000000000001" customHeight="1" x14ac:dyDescent="0.25"/>
    <row r="91" spans="4:4" ht="20.100000000000001" customHeight="1" x14ac:dyDescent="0.25"/>
    <row r="92" spans="4:4" ht="20.100000000000001" customHeight="1" x14ac:dyDescent="0.25"/>
    <row r="93" spans="4:4" ht="20.100000000000001" customHeight="1" x14ac:dyDescent="0.25"/>
    <row r="94" spans="4:4" ht="20.100000000000001" customHeight="1" x14ac:dyDescent="0.25"/>
    <row r="95" spans="4:4" ht="20.100000000000001" customHeight="1" x14ac:dyDescent="0.25"/>
    <row r="96" spans="4:4" ht="20.100000000000001" customHeight="1" x14ac:dyDescent="0.25"/>
    <row r="97" ht="20.100000000000001" customHeight="1" x14ac:dyDescent="0.25"/>
    <row r="98" ht="20.100000000000001" customHeight="1" x14ac:dyDescent="0.25"/>
    <row r="99" ht="20.100000000000001" customHeight="1" x14ac:dyDescent="0.25"/>
    <row r="100" ht="20.100000000000001" customHeight="1" x14ac:dyDescent="0.25"/>
    <row r="101" ht="20.100000000000001" customHeight="1" x14ac:dyDescent="0.25"/>
    <row r="102" ht="20.100000000000001" customHeight="1" x14ac:dyDescent="0.25"/>
    <row r="103" ht="20.100000000000001" customHeight="1" x14ac:dyDescent="0.25"/>
    <row r="104" ht="20.100000000000001" customHeight="1" x14ac:dyDescent="0.25"/>
    <row r="105" ht="20.100000000000001" customHeight="1" x14ac:dyDescent="0.25"/>
    <row r="106" ht="20.100000000000001" customHeight="1" x14ac:dyDescent="0.25"/>
    <row r="107" ht="20.100000000000001" customHeight="1" x14ac:dyDescent="0.25"/>
    <row r="108" ht="20.100000000000001" customHeight="1" x14ac:dyDescent="0.25"/>
    <row r="109" ht="20.100000000000001" customHeight="1" x14ac:dyDescent="0.25"/>
    <row r="110" ht="20.100000000000001" customHeight="1" x14ac:dyDescent="0.25"/>
    <row r="111" ht="20.100000000000001" customHeight="1" x14ac:dyDescent="0.25"/>
    <row r="112" ht="20.100000000000001" customHeight="1" x14ac:dyDescent="0.25"/>
    <row r="113" ht="20.100000000000001" customHeight="1" x14ac:dyDescent="0.25"/>
    <row r="114" ht="20.100000000000001" customHeight="1" x14ac:dyDescent="0.25"/>
    <row r="115" ht="20.100000000000001" customHeight="1" x14ac:dyDescent="0.25"/>
  </sheetData>
  <phoneticPr fontId="23" type="noConversion"/>
  <dataValidations count="4">
    <dataValidation type="list" allowBlank="1" showInputMessage="1" showErrorMessage="1" sqref="E21" xr:uid="{EEB98A76-93AC-411B-869F-680047BF5E1B}">
      <formula1>INDIRECT("Table_AustralianStates[Common Name]")</formula1>
    </dataValidation>
    <dataValidation type="list" allowBlank="1" showInputMessage="1" showErrorMessage="1" sqref="E22" xr:uid="{FEE229DB-9316-4962-B647-60038C54E99D}">
      <formula1>INDIRECT("Table_WASA4Areas[SA 4 Name]")</formula1>
    </dataValidation>
    <dataValidation type="list" allowBlank="1" showInputMessage="1" showErrorMessage="1" sqref="G36:G39" xr:uid="{1FAF98F1-BA66-4A46-872C-02D4419DFE3B}">
      <formula1>$D$41:$D$43</formula1>
    </dataValidation>
    <dataValidation type="list" allowBlank="1" showInputMessage="1" showErrorMessage="1" sqref="E23" xr:uid="{43B32D4A-5C2C-46E9-876B-6F8FA150486E}">
      <formula1>"YES - In leaching zone, NO - Not in leaching zone"</formula1>
    </dataValidation>
  </dataValidations>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AC610A2-02A7-4F78-A2BB-B4DFE856D1FB}">
  <dimension ref="A1:T184"/>
  <sheetViews>
    <sheetView showGridLines="0" topLeftCell="A61" workbookViewId="0">
      <selection activeCell="D84" sqref="D84:J86"/>
    </sheetView>
  </sheetViews>
  <sheetFormatPr defaultRowHeight="15.75" x14ac:dyDescent="0.25"/>
  <cols>
    <col min="1" max="1" width="30.7109375" customWidth="1"/>
    <col min="2" max="2" width="4.7109375" customWidth="1"/>
    <col min="3" max="3" width="4.7109375" style="1" customWidth="1"/>
    <col min="4" max="4" width="79" style="1" customWidth="1"/>
    <col min="5" max="10" width="30.7109375" style="1" customWidth="1"/>
    <col min="11" max="11" width="4.7109375" style="1" customWidth="1"/>
    <col min="12" max="13" width="4.7109375" style="59" customWidth="1"/>
    <col min="14" max="19" width="30.7109375" style="59" customWidth="1"/>
    <col min="20" max="20" width="4.7109375" style="59" customWidth="1"/>
  </cols>
  <sheetData>
    <row r="1" spans="1:20" s="71" customFormat="1" ht="30" customHeight="1" x14ac:dyDescent="0.35">
      <c r="A1" s="71" t="e" vm="1">
        <v>#VALUE!</v>
      </c>
      <c r="C1" s="71" t="s">
        <v>207</v>
      </c>
      <c r="L1" s="59"/>
      <c r="M1" s="59"/>
      <c r="N1" s="59"/>
      <c r="O1" s="59"/>
      <c r="P1" s="59"/>
      <c r="Q1" s="59"/>
      <c r="R1" s="59"/>
      <c r="S1" s="59"/>
      <c r="T1" s="59"/>
    </row>
    <row r="2" spans="1:20" s="9" customFormat="1" ht="20.100000000000001" customHeight="1" x14ac:dyDescent="0.25">
      <c r="L2" s="59"/>
      <c r="M2" s="59"/>
      <c r="N2" s="59"/>
      <c r="O2" s="59"/>
      <c r="P2" s="59"/>
      <c r="Q2" s="59"/>
      <c r="R2" s="59"/>
      <c r="S2" s="59"/>
      <c r="T2" s="59"/>
    </row>
    <row r="3" spans="1:20" ht="20.100000000000001" customHeight="1" x14ac:dyDescent="0.25">
      <c r="A3" s="17" t="str">
        <f>HYPERLINK("#'Home'!A1", "Home")</f>
        <v>Home</v>
      </c>
      <c r="C3" s="15"/>
      <c r="D3" s="15"/>
      <c r="E3" s="15"/>
      <c r="F3" s="15"/>
      <c r="G3" s="15"/>
      <c r="H3" s="15"/>
      <c r="I3" s="15"/>
      <c r="J3" s="15"/>
      <c r="K3" s="15"/>
    </row>
    <row r="4" spans="1:20" ht="20.100000000000001" customHeight="1" x14ac:dyDescent="0.25">
      <c r="A4" s="17" t="str">
        <f>HYPERLINK("#'Results'!A1", "Results")</f>
        <v>Results</v>
      </c>
    </row>
    <row r="5" spans="1:20" ht="20.100000000000001" customHeight="1" x14ac:dyDescent="0.25">
      <c r="A5" s="16"/>
      <c r="D5" s="6" t="s">
        <v>106</v>
      </c>
      <c r="K5" s="3"/>
      <c r="O5" s="7"/>
    </row>
    <row r="6" spans="1:20" ht="20.100000000000001" customHeight="1" x14ac:dyDescent="0.25">
      <c r="A6" s="20" t="s">
        <v>3</v>
      </c>
      <c r="K6" s="3"/>
      <c r="O6" s="7"/>
    </row>
    <row r="7" spans="1:20" ht="20.100000000000001" customHeight="1" x14ac:dyDescent="0.25">
      <c r="A7" s="17" t="str">
        <f>HYPERLINK("#'Input - Site'!A1", "Site")</f>
        <v>Site</v>
      </c>
      <c r="D7" s="1" t="s">
        <v>185</v>
      </c>
      <c r="E7" s="42" t="s">
        <v>237</v>
      </c>
      <c r="F7" s="2" t="s">
        <v>11</v>
      </c>
      <c r="K7" s="3"/>
      <c r="O7" s="7"/>
    </row>
    <row r="8" spans="1:20" ht="20.100000000000001" customHeight="1" x14ac:dyDescent="0.25">
      <c r="A8" s="21" t="str">
        <f>HYPERLINK("#'Input - Dairy'!A1", "Dairy")</f>
        <v>Dairy</v>
      </c>
      <c r="K8" s="3"/>
      <c r="O8" s="7"/>
    </row>
    <row r="9" spans="1:20" ht="20.100000000000001" customHeight="1" x14ac:dyDescent="0.25">
      <c r="A9" s="17"/>
      <c r="D9" s="66"/>
      <c r="E9" s="41" t="s">
        <v>186</v>
      </c>
      <c r="F9" s="41" t="s">
        <v>203</v>
      </c>
      <c r="G9" s="41" t="s">
        <v>204</v>
      </c>
      <c r="H9" s="41" t="s">
        <v>205</v>
      </c>
      <c r="I9" s="41" t="s">
        <v>206</v>
      </c>
      <c r="O9" s="7"/>
    </row>
    <row r="10" spans="1:20" ht="20.100000000000001" customHeight="1" x14ac:dyDescent="0.25">
      <c r="A10" s="19" t="s">
        <v>78</v>
      </c>
      <c r="D10" s="1" t="str">
        <f>"Average number of head between " &amp; TEXT('Input - Site'!$E$12, "dd mmm yy") &amp; " and " &amp; TEXT('Input - Site'!$E$13, "dd mmm yy")</f>
        <v>Average number of head between 01 Jan 24 and 31 Dec 24</v>
      </c>
      <c r="E10" s="106">
        <v>100</v>
      </c>
      <c r="F10" s="106">
        <v>100</v>
      </c>
      <c r="G10" s="106">
        <v>100</v>
      </c>
      <c r="H10" s="106">
        <v>100</v>
      </c>
      <c r="I10" s="106">
        <v>100</v>
      </c>
      <c r="J10" s="2" t="s">
        <v>108</v>
      </c>
      <c r="O10" s="7"/>
    </row>
    <row r="11" spans="1:20" ht="20.100000000000001" customHeight="1" x14ac:dyDescent="0.25">
      <c r="A11" s="17" t="str">
        <f>HYPERLINK("#'4.3.1.1-2 Methane'!A1", "4.3.1.1-2 Methane")</f>
        <v>4.3.1.1-2 Methane</v>
      </c>
      <c r="O11" s="7"/>
    </row>
    <row r="12" spans="1:20" ht="20.100000000000001" customHeight="1" x14ac:dyDescent="0.25">
      <c r="A12" s="17" t="str">
        <f>HYPERLINK("#'4.3.1.3-4 Direct N20'!A1", "4.3.1.3-4 Direct N2O")</f>
        <v>4.3.1.3-4 Direct N2O</v>
      </c>
      <c r="D12" s="51" t="s">
        <v>234</v>
      </c>
      <c r="O12" s="7"/>
    </row>
    <row r="13" spans="1:20" ht="20.100000000000001" customHeight="1" x14ac:dyDescent="0.25">
      <c r="A13" s="17" t="str">
        <f>HYPERLINK("#'4.3.1.5 Atmos Deposition'!A1", "4.3.1.5 Atmospheric deposition")</f>
        <v>4.3.1.5 Atmospheric deposition</v>
      </c>
      <c r="D13" s="66" t="s">
        <v>220</v>
      </c>
      <c r="E13" s="41" t="s">
        <v>186</v>
      </c>
      <c r="F13" s="41" t="s">
        <v>203</v>
      </c>
      <c r="G13" s="41" t="s">
        <v>204</v>
      </c>
      <c r="H13" s="41" t="s">
        <v>205</v>
      </c>
      <c r="I13" s="41" t="s">
        <v>206</v>
      </c>
      <c r="O13" s="40"/>
    </row>
    <row r="14" spans="1:20" ht="20.100000000000001" customHeight="1" x14ac:dyDescent="0.25">
      <c r="A14" s="17" t="str">
        <f>HYPERLINK("#'4.3.1.6-7 Leaching and runoff'!A1", "4.3.1.6-7 Leaching and runoff")</f>
        <v>4.3.1.6-7 Leaching and runoff</v>
      </c>
      <c r="D14" s="1" t="s">
        <v>235</v>
      </c>
      <c r="E14" s="55" cm="1">
        <f t="array" ref="E14">Common_InputFunctions.Utility_LookupValueInTableNumber($E$7, Table_SourceData_Dairy_WjCowsHeifers[Breed],Table_SourceData_Dairy_WjCowsHeifers[Milking cows])</f>
        <v>550</v>
      </c>
      <c r="F14" s="55" cm="1">
        <f t="array" ref="F14">Common_InputFunctions.Utility_LookupValueInTableNumber($E$7, Table_SourceData_Dairy_WjCowsHeifers[Breed],Table_SourceData_Dairy_WjCowsHeifers[Heifers &gt; 1])</f>
        <v>380</v>
      </c>
      <c r="G14" s="55" cm="1">
        <f t="array" ref="G14">Common_InputFunctions.Utility_LookupValueInTableNumber($E$7, Table_SourceData_Dairy_WjCowsHeifers[Breed],Table_SourceData_Dairy_WjCowsHeifers[Heifers &lt; 1 (weaned)])</f>
        <v>155</v>
      </c>
      <c r="H14" s="55" cm="1">
        <f t="array" ref="H14">Table_SourceData_Dairy_WjBulls[Bulls &gt; 1]</f>
        <v>600</v>
      </c>
      <c r="I14" s="55" cm="1">
        <f t="array" ref="I14">Table_SourceData_Dairy_WjBulls[Bulls &lt; 1 (weaned)]</f>
        <v>225</v>
      </c>
      <c r="J14" s="2" t="s">
        <v>208</v>
      </c>
      <c r="O14" s="40"/>
    </row>
    <row r="15" spans="1:20" ht="20.100000000000001" customHeight="1" x14ac:dyDescent="0.25">
      <c r="A15" s="17" t="str">
        <f>HYPERLINK("#'4.3.1.8 Manure applied to soils'!A1", "4.3.1.8 Manure applied to soils")</f>
        <v>4.3.1.8 Manure applied to soils</v>
      </c>
      <c r="D15" s="1" t="s">
        <v>236</v>
      </c>
      <c r="E15" s="55" cm="1">
        <f t="array" ref="E15">Table_SourceData_Dairy_LWGj[Milking cows]</f>
        <v>1.6E-2</v>
      </c>
      <c r="F15" s="55" cm="1">
        <f t="array" ref="F15">Table_SourceData_Dairy_LWGj[Heifers &gt; 1]</f>
        <v>0.6</v>
      </c>
      <c r="G15" s="55" cm="1">
        <f t="array" ref="G15">Table_SourceData_Dairy_LWGj[Heifers &lt; 1 (weaned)]</f>
        <v>0.56999999999999995</v>
      </c>
      <c r="H15" s="55" cm="1">
        <f t="array" ref="H15">Table_SourceData_Dairy_LWGj[Bulls &gt; 1]</f>
        <v>0.1</v>
      </c>
      <c r="I15" s="55" cm="1">
        <f t="array" ref="I15">Table_SourceData_Dairy_LWGj[Bulls &lt; 1 (weaned)]</f>
        <v>0.8</v>
      </c>
      <c r="J15" s="2" t="s">
        <v>209</v>
      </c>
      <c r="O15" s="40"/>
    </row>
    <row r="16" spans="1:20" ht="20.100000000000001" customHeight="1" x14ac:dyDescent="0.25">
      <c r="A16" s="17" t="str">
        <f>HYPERLINK("#'4.3.1.9 Soil direct N2O'!A1", "4.3.1.9 Soil direct N2O")</f>
        <v>4.3.1.9 Soil direct N2O</v>
      </c>
      <c r="O16" s="40"/>
    </row>
    <row r="17" spans="1:15" ht="20.100000000000001" customHeight="1" x14ac:dyDescent="0.25">
      <c r="A17" s="17" t="str">
        <f>HYPERLINK("#'4.3.1.10-11 Soil Atmos Dep'!A1", "4.3.1.10-11 Soil atm. deposition")</f>
        <v>4.3.1.10-11 Soil atm. deposition</v>
      </c>
      <c r="D17" s="66" t="s">
        <v>219</v>
      </c>
      <c r="E17" s="41" t="s">
        <v>186</v>
      </c>
      <c r="F17" s="41" t="s">
        <v>203</v>
      </c>
      <c r="G17" s="41" t="s">
        <v>204</v>
      </c>
      <c r="H17" s="41" t="s">
        <v>205</v>
      </c>
      <c r="I17" s="41" t="s">
        <v>206</v>
      </c>
      <c r="O17" s="7"/>
    </row>
    <row r="18" spans="1:15" ht="20.100000000000001" customHeight="1" x14ac:dyDescent="0.25">
      <c r="A18" s="17" t="str">
        <f>HYPERLINK("#'4.3.1.12-13 Soil leach runoff'!A1", "4.3.1.12-13 Soil leach &amp; runoff")</f>
        <v>4.3.1.12-13 Soil leach &amp; runoff</v>
      </c>
      <c r="D18" s="1" t="s">
        <v>235</v>
      </c>
      <c r="E18" s="69" cm="1">
        <f t="array" ref="E18">Common_InputFunctions.Utility_LookupValueInTableNumber($E$7, Table_SourceData_Dairy_WjCowsHeifers[Breed],Table_SourceData_Dairy_WjCowsHeifers[Milking cows])</f>
        <v>550</v>
      </c>
      <c r="F18" s="69" cm="1">
        <f t="array" ref="F18">Common_InputFunctions.Utility_LookupValueInTableNumber($E$7, Table_SourceData_Dairy_WjCowsHeifers[Breed],Table_SourceData_Dairy_WjCowsHeifers[Heifers &gt; 1])</f>
        <v>380</v>
      </c>
      <c r="G18" s="69" cm="1">
        <f t="array" ref="G18">Common_InputFunctions.Utility_LookupValueInTableNumber($E$7, Table_SourceData_Dairy_WjCowsHeifers[Breed],Table_SourceData_Dairy_WjCowsHeifers[Heifers &lt; 1 (weaned)])</f>
        <v>155</v>
      </c>
      <c r="H18" s="69" cm="1">
        <f t="array" ref="H18">Table_SourceData_Dairy_WjBulls[Bulls &gt; 1]</f>
        <v>600</v>
      </c>
      <c r="I18" s="69" cm="1">
        <f t="array" ref="I18">Table_SourceData_Dairy_WjBulls[Bulls &lt; 1 (weaned)]</f>
        <v>225</v>
      </c>
      <c r="J18" s="2" t="s">
        <v>208</v>
      </c>
      <c r="O18" s="7"/>
    </row>
    <row r="19" spans="1:15" ht="20.100000000000001" customHeight="1" x14ac:dyDescent="0.25">
      <c r="A19" s="17"/>
      <c r="D19" s="1" t="s">
        <v>236</v>
      </c>
      <c r="E19" s="69" cm="1">
        <f t="array" ref="E19">Table_SourceData_Dairy_LWGj[Milking cows]</f>
        <v>1.6E-2</v>
      </c>
      <c r="F19" s="69" cm="1">
        <f t="array" ref="F19">Table_SourceData_Dairy_LWGj[Heifers &gt; 1]</f>
        <v>0.6</v>
      </c>
      <c r="G19" s="69" cm="1">
        <f t="array" ref="G19">Table_SourceData_Dairy_LWGj[Heifers &lt; 1 (weaned)]</f>
        <v>0.56999999999999995</v>
      </c>
      <c r="H19" s="69" cm="1">
        <f t="array" ref="H19">Table_SourceData_Dairy_LWGj[Bulls &gt; 1]</f>
        <v>0.1</v>
      </c>
      <c r="I19" s="69" cm="1">
        <f t="array" ref="I19">Table_SourceData_Dairy_LWGj[Bulls &lt; 1 (weaned)]</f>
        <v>0.8</v>
      </c>
      <c r="J19" s="2" t="s">
        <v>209</v>
      </c>
      <c r="O19" s="7"/>
    </row>
    <row r="20" spans="1:15" ht="20.100000000000001" customHeight="1" x14ac:dyDescent="0.25">
      <c r="A20" s="18" t="s">
        <v>4</v>
      </c>
      <c r="O20" s="7"/>
    </row>
    <row r="21" spans="1:15" ht="20.100000000000001" customHeight="1" x14ac:dyDescent="0.25">
      <c r="A21" s="17" t="str">
        <f>HYPERLINK("#'Constants - Dairy'!A1", "Constants - Dairy")</f>
        <v>Constants - Dairy</v>
      </c>
      <c r="D21" s="51" t="s">
        <v>107</v>
      </c>
      <c r="O21" s="7"/>
    </row>
    <row r="22" spans="1:15" ht="20.100000000000001" customHeight="1" x14ac:dyDescent="0.25">
      <c r="A22" s="17" t="str">
        <f>HYPERLINK("#'Constants - Livestock'!A1", "Constants - Livestock")</f>
        <v>Constants - Livestock</v>
      </c>
      <c r="O22" s="7"/>
    </row>
    <row r="23" spans="1:15" ht="20.100000000000001" customHeight="1" x14ac:dyDescent="0.25">
      <c r="A23" s="17" t="str">
        <f>HYPERLINK("#'Constants - Common'!A1", "Constants - Common")</f>
        <v>Constants - Common</v>
      </c>
      <c r="D23" s="66" t="s">
        <v>220</v>
      </c>
      <c r="E23" s="41" t="s">
        <v>186</v>
      </c>
      <c r="F23" s="41" t="s">
        <v>203</v>
      </c>
      <c r="G23" s="41" t="s">
        <v>204</v>
      </c>
      <c r="H23" s="41" t="s">
        <v>205</v>
      </c>
      <c r="I23" s="41" t="s">
        <v>206</v>
      </c>
      <c r="O23" s="7"/>
    </row>
    <row r="24" spans="1:15" ht="20.100000000000001" customHeight="1" x14ac:dyDescent="0.25">
      <c r="A24" s="17" t="str">
        <f>HYPERLINK("#'Acknowledgements'!A1", "Acknowledgements")</f>
        <v>Acknowledgements</v>
      </c>
      <c r="D24" s="1" t="str">
        <f>"Average duration of stay between " &amp; TEXT('Input - Site'!$E$12, "dd mmm yy") &amp; " and " &amp; TEXT('Input - Site'!$E$13, "dd mmm yy") &amp; " weaned livestock"</f>
        <v>Average duration of stay between 01 Jan 24 and 31 Dec 24 weaned livestock</v>
      </c>
      <c r="E24" s="55" cm="1">
        <f t="array" ref="E24">Common_InputFunctions.Utility_LookupValueInTableNumber(E23,Table_SourceData_Dairy_Duration[Animal class j],Table_SourceData_Dairy_Duration[Duration (weaned)])</f>
        <v>365</v>
      </c>
      <c r="F24" s="55" cm="1">
        <f t="array" ref="F24">Common_InputFunctions.Utility_LookupValueInTableNumber(F23,Table_SourceData_Dairy_Duration[Animal class j],Table_SourceData_Dairy_Duration[Duration (weaned)])</f>
        <v>365</v>
      </c>
      <c r="G24" s="55" cm="1">
        <f t="array" ref="G24">Common_InputFunctions.Utility_LookupValueInTableNumber(G23,Table_SourceData_Dairy_Duration[Animal class j],Table_SourceData_Dairy_Duration[Duration (weaned)])</f>
        <v>281</v>
      </c>
      <c r="H24" s="55" cm="1">
        <f t="array" ref="H24">Common_InputFunctions.Utility_LookupValueInTableNumber(H23,Table_SourceData_Dairy_Duration[Animal class j],Table_SourceData_Dairy_Duration[Duration (weaned)])</f>
        <v>365</v>
      </c>
      <c r="I24" s="55" cm="1">
        <f t="array" ref="I24">Common_InputFunctions.Utility_LookupValueInTableNumber(I23,Table_SourceData_Dairy_Duration[Animal class j],Table_SourceData_Dairy_Duration[Duration (weaned)])</f>
        <v>281</v>
      </c>
      <c r="J24" s="2" t="s">
        <v>56</v>
      </c>
      <c r="O24" s="7"/>
    </row>
    <row r="25" spans="1:15" ht="20.100000000000001" customHeight="1" x14ac:dyDescent="0.25">
      <c r="D25" s="1" t="str">
        <f>"Average duration of stay between " &amp; TEXT('Input - Site'!$E$12, "dd mmm yy") &amp; " and " &amp; TEXT('Input - Site'!$E$13, "dd mmm yy") &amp; " pre-weaned livestock"</f>
        <v>Average duration of stay between 01 Jan 24 and 31 Dec 24 pre-weaned livestock</v>
      </c>
      <c r="E25" s="55" cm="1">
        <f t="array" ref="E25">Common_InputFunctions.Utility_LookupValueInTableNumber(E23,Table_SourceData_Dairy_Duration[Animal class j],Table_SourceData_Dairy_Duration[Duration (pre-weaned)])</f>
        <v>0</v>
      </c>
      <c r="F25" s="55" cm="1">
        <f t="array" ref="F25">Common_InputFunctions.Utility_LookupValueInTableNumber(F23,Table_SourceData_Dairy_Duration[Animal class j],Table_SourceData_Dairy_Duration[Duration (pre-weaned)])</f>
        <v>0</v>
      </c>
      <c r="G25" s="55" cm="1">
        <f t="array" ref="G25">Common_InputFunctions.Utility_LookupValueInTableNumber(G23,Table_SourceData_Dairy_Duration[Animal class j],Table_SourceData_Dairy_Duration[Duration (pre-weaned)])</f>
        <v>84</v>
      </c>
      <c r="H25" s="55" cm="1">
        <f t="array" ref="H25">Common_InputFunctions.Utility_LookupValueInTableNumber(H23,Table_SourceData_Dairy_Duration[Animal class j],Table_SourceData_Dairy_Duration[Duration (pre-weaned)])</f>
        <v>0</v>
      </c>
      <c r="I25" s="55" cm="1">
        <f t="array" ref="I25">Common_InputFunctions.Utility_LookupValueInTableNumber(I23,Table_SourceData_Dairy_Duration[Animal class j],Table_SourceData_Dairy_Duration[Duration (pre-weaned)])</f>
        <v>84</v>
      </c>
      <c r="J25" s="2" t="s">
        <v>56</v>
      </c>
      <c r="O25" s="7"/>
    </row>
    <row r="26" spans="1:15" ht="20.100000000000001" customHeight="1" x14ac:dyDescent="0.25">
      <c r="A26" s="17"/>
      <c r="O26" s="7"/>
    </row>
    <row r="27" spans="1:15" ht="20.100000000000001" customHeight="1" x14ac:dyDescent="0.25">
      <c r="A27" s="17"/>
      <c r="D27" s="66" t="s">
        <v>219</v>
      </c>
      <c r="E27" s="41" t="s">
        <v>186</v>
      </c>
      <c r="F27" s="41" t="s">
        <v>203</v>
      </c>
      <c r="G27" s="41" t="s">
        <v>204</v>
      </c>
      <c r="H27" s="41" t="s">
        <v>205</v>
      </c>
      <c r="I27" s="41" t="s">
        <v>206</v>
      </c>
      <c r="O27" s="7"/>
    </row>
    <row r="28" spans="1:15" ht="20.100000000000001" customHeight="1" x14ac:dyDescent="0.25">
      <c r="A28" s="17"/>
      <c r="D28" s="1" t="str">
        <f>"Average duration of stay between " &amp; TEXT('Input - Site'!$E$12, "dd mmm yy") &amp; " and " &amp; TEXT('Input - Site'!$E$13, "dd mmm yy") &amp; " weaned livestock"</f>
        <v>Average duration of stay between 01 Jan 24 and 31 Dec 24 weaned livestock</v>
      </c>
      <c r="E28" s="69" cm="1">
        <f t="array" ref="E28">Common_InputFunctions.Utility_LookupValueInTableNumber(E27,Table_SourceData_Dairy_Duration[Animal class j],Table_SourceData_Dairy_Duration[Duration (weaned)])</f>
        <v>365</v>
      </c>
      <c r="F28" s="69" cm="1">
        <f t="array" ref="F28">Common_InputFunctions.Utility_LookupValueInTableNumber(F27,Table_SourceData_Dairy_Duration[Animal class j],Table_SourceData_Dairy_Duration[Duration (weaned)])</f>
        <v>365</v>
      </c>
      <c r="G28" s="69" cm="1">
        <f t="array" ref="G28">Common_InputFunctions.Utility_LookupValueInTableNumber(G27,Table_SourceData_Dairy_Duration[Animal class j],Table_SourceData_Dairy_Duration[Duration (weaned)])</f>
        <v>281</v>
      </c>
      <c r="H28" s="69" cm="1">
        <f t="array" ref="H28">Common_InputFunctions.Utility_LookupValueInTableNumber(H27,Table_SourceData_Dairy_Duration[Animal class j],Table_SourceData_Dairy_Duration[Duration (weaned)])</f>
        <v>365</v>
      </c>
      <c r="I28" s="69" cm="1">
        <f t="array" ref="I28">Common_InputFunctions.Utility_LookupValueInTableNumber(I27,Table_SourceData_Dairy_Duration[Animal class j],Table_SourceData_Dairy_Duration[Duration (weaned)])</f>
        <v>281</v>
      </c>
      <c r="J28" s="2" t="s">
        <v>56</v>
      </c>
      <c r="O28" s="7"/>
    </row>
    <row r="29" spans="1:15" ht="20.100000000000001" customHeight="1" x14ac:dyDescent="0.25">
      <c r="A29" s="17"/>
      <c r="D29" s="1" t="str">
        <f>"Average duration of stay between " &amp; TEXT('Input - Site'!$E$12, "dd mmm yy") &amp; " and " &amp; TEXT('Input - Site'!$E$13, "dd mmm yy") &amp; " pre-weaned livestock"</f>
        <v>Average duration of stay between 01 Jan 24 and 31 Dec 24 pre-weaned livestock</v>
      </c>
      <c r="E29" s="55">
        <f>365-E28</f>
        <v>0</v>
      </c>
      <c r="F29" s="55">
        <f t="shared" ref="F29:I29" si="0">365-F28</f>
        <v>0</v>
      </c>
      <c r="G29" s="55">
        <f t="shared" si="0"/>
        <v>84</v>
      </c>
      <c r="H29" s="55">
        <f t="shared" si="0"/>
        <v>0</v>
      </c>
      <c r="I29" s="55">
        <f t="shared" si="0"/>
        <v>84</v>
      </c>
      <c r="J29" s="2" t="s">
        <v>56</v>
      </c>
      <c r="O29" s="7"/>
    </row>
    <row r="30" spans="1:15" ht="20.100000000000001" customHeight="1" x14ac:dyDescent="0.25">
      <c r="A30" s="17"/>
      <c r="O30" s="7"/>
    </row>
    <row r="31" spans="1:15" ht="20.100000000000001" customHeight="1" x14ac:dyDescent="0.25">
      <c r="A31" s="70"/>
      <c r="O31" s="7"/>
    </row>
    <row r="32" spans="1:15" ht="20.100000000000001" customHeight="1" x14ac:dyDescent="0.25">
      <c r="A32" s="70"/>
      <c r="D32" s="6" t="s">
        <v>232</v>
      </c>
      <c r="O32" s="7"/>
    </row>
    <row r="33" spans="1:15" ht="20.100000000000001" customHeight="1" x14ac:dyDescent="0.25">
      <c r="A33" s="17"/>
      <c r="D33" s="51"/>
      <c r="O33" s="7"/>
    </row>
    <row r="34" spans="1:15" ht="20.100000000000001" customHeight="1" x14ac:dyDescent="0.25">
      <c r="D34" s="66" t="s">
        <v>220</v>
      </c>
      <c r="E34" s="41" t="s">
        <v>186</v>
      </c>
      <c r="F34" s="41" t="s">
        <v>203</v>
      </c>
      <c r="G34" s="41" t="s">
        <v>204</v>
      </c>
      <c r="H34" s="41" t="s">
        <v>205</v>
      </c>
      <c r="I34" s="41" t="s">
        <v>206</v>
      </c>
      <c r="O34" s="7"/>
    </row>
    <row r="35" spans="1:15" ht="20.100000000000001" customHeight="1" x14ac:dyDescent="0.25">
      <c r="D35" s="1" t="s">
        <v>231</v>
      </c>
      <c r="E35" s="55" cm="1">
        <f t="array" ref="E35">Common_InputFunctions.Utility_LookupValueInTableNumber(E34,Table_SourceData_Dairy_Duration[Animal class j],Table_SourceData_Dairy_Duration[Duration (weaned)])</f>
        <v>365</v>
      </c>
      <c r="F35" s="55" cm="1">
        <f t="array" ref="F35">Common_InputFunctions.Utility_LookupValueInTableNumber(F34,Table_SourceData_Dairy_Duration[Animal class j],Table_SourceData_Dairy_Duration[Duration (weaned)])</f>
        <v>365</v>
      </c>
      <c r="G35" s="55" cm="1">
        <f t="array" ref="G35">Common_InputFunctions.Utility_LookupValueInTableNumber(G34,Table_SourceData_Dairy_Duration[Animal class j],Table_SourceData_Dairy_Duration[Duration (weaned)])</f>
        <v>281</v>
      </c>
      <c r="H35" s="55" cm="1">
        <f t="array" ref="H35">Common_InputFunctions.Utility_LookupValueInTableNumber(H34,Table_SourceData_Dairy_Duration[Animal class j],Table_SourceData_Dairy_Duration[Duration (weaned)])</f>
        <v>365</v>
      </c>
      <c r="I35" s="55" cm="1">
        <f t="array" ref="I35">Common_InputFunctions.Utility_LookupValueInTableNumber(I34,Table_SourceData_Dairy_Duration[Animal class j],Table_SourceData_Dairy_Duration[Duration (weaned)])</f>
        <v>281</v>
      </c>
      <c r="J35" s="2" t="s">
        <v>233</v>
      </c>
      <c r="O35" s="7"/>
    </row>
    <row r="36" spans="1:15" ht="20.100000000000001" customHeight="1" x14ac:dyDescent="0.25">
      <c r="D36" s="1" t="s">
        <v>19</v>
      </c>
      <c r="E36" s="55">
        <f>'Constants - Dairy'!$D$160</f>
        <v>0.75</v>
      </c>
      <c r="F36" s="55">
        <f>'Constants - Dairy'!$D$160</f>
        <v>0.75</v>
      </c>
      <c r="G36" s="55">
        <f>'Constants - Dairy'!$D$160</f>
        <v>0.75</v>
      </c>
      <c r="H36" s="55">
        <f>'Constants - Dairy'!$D$160</f>
        <v>0.75</v>
      </c>
      <c r="I36" s="55">
        <f>'Constants - Dairy'!$D$160</f>
        <v>0.75</v>
      </c>
      <c r="J36" s="2" t="s">
        <v>101</v>
      </c>
      <c r="O36" s="7"/>
    </row>
    <row r="37" spans="1:15" ht="20.100000000000001" customHeight="1" x14ac:dyDescent="0.25">
      <c r="D37" s="1" t="s">
        <v>114</v>
      </c>
      <c r="E37" s="55">
        <f>'Constants - Dairy'!$D$153</f>
        <v>0.2</v>
      </c>
      <c r="F37" s="55">
        <f>'Constants - Dairy'!$D$153</f>
        <v>0.2</v>
      </c>
      <c r="G37" s="55">
        <f>'Constants - Dairy'!$D$153</f>
        <v>0.2</v>
      </c>
      <c r="H37" s="55">
        <f>'Constants - Dairy'!$D$153</f>
        <v>0.2</v>
      </c>
      <c r="I37" s="55">
        <f>'Constants - Dairy'!$D$153</f>
        <v>0.2</v>
      </c>
      <c r="J37" s="2" t="s">
        <v>101</v>
      </c>
      <c r="O37" s="7"/>
    </row>
    <row r="38" spans="1:15" ht="20.100000000000001" customHeight="1" x14ac:dyDescent="0.25">
      <c r="O38" s="7"/>
    </row>
    <row r="39" spans="1:15" ht="20.100000000000001" customHeight="1" x14ac:dyDescent="0.25">
      <c r="A39" s="17"/>
      <c r="D39" s="66" t="s">
        <v>219</v>
      </c>
      <c r="E39" s="41" t="s">
        <v>186</v>
      </c>
      <c r="F39" s="41" t="s">
        <v>203</v>
      </c>
      <c r="G39" s="41" t="s">
        <v>204</v>
      </c>
      <c r="H39" s="41" t="s">
        <v>205</v>
      </c>
      <c r="I39" s="41" t="s">
        <v>206</v>
      </c>
      <c r="O39" s="7"/>
    </row>
    <row r="40" spans="1:15" ht="20.100000000000001" customHeight="1" x14ac:dyDescent="0.25">
      <c r="D40" s="1" t="s">
        <v>231</v>
      </c>
      <c r="E40" s="69" cm="1">
        <f t="array" ref="E40">Common_InputFunctions.Utility_LookupValueInTableNumber(E39,Table_SourceData_Dairy_Duration[Animal class j],Table_SourceData_Dairy_Duration[Duration (weaned)])</f>
        <v>365</v>
      </c>
      <c r="F40" s="69" cm="1">
        <f t="array" ref="F40">Common_InputFunctions.Utility_LookupValueInTableNumber(F39,Table_SourceData_Dairy_Duration[Animal class j],Table_SourceData_Dairy_Duration[Duration (weaned)])</f>
        <v>365</v>
      </c>
      <c r="G40" s="69" cm="1">
        <f t="array" ref="G40">Common_InputFunctions.Utility_LookupValueInTableNumber(G39,Table_SourceData_Dairy_Duration[Animal class j],Table_SourceData_Dairy_Duration[Duration (weaned)])</f>
        <v>281</v>
      </c>
      <c r="H40" s="69" cm="1">
        <f t="array" ref="H40">Common_InputFunctions.Utility_LookupValueInTableNumber(H39,Table_SourceData_Dairy_Duration[Animal class j],Table_SourceData_Dairy_Duration[Duration (weaned)])</f>
        <v>365</v>
      </c>
      <c r="I40" s="69" cm="1">
        <f t="array" ref="I40">Common_InputFunctions.Utility_LookupValueInTableNumber(I39,Table_SourceData_Dairy_Duration[Animal class j],Table_SourceData_Dairy_Duration[Duration (weaned)])</f>
        <v>281</v>
      </c>
      <c r="J40" s="2" t="s">
        <v>233</v>
      </c>
      <c r="O40" s="7"/>
    </row>
    <row r="41" spans="1:15" ht="20.100000000000001" customHeight="1" x14ac:dyDescent="0.25">
      <c r="A41" s="47"/>
      <c r="D41" s="1" t="s">
        <v>19</v>
      </c>
      <c r="E41" s="69">
        <v>0.75</v>
      </c>
      <c r="F41" s="69">
        <v>0.75</v>
      </c>
      <c r="G41" s="69">
        <v>0.75</v>
      </c>
      <c r="H41" s="69">
        <v>0.75</v>
      </c>
      <c r="I41" s="69">
        <v>0.75</v>
      </c>
      <c r="J41" s="2" t="s">
        <v>101</v>
      </c>
      <c r="O41" s="7"/>
    </row>
    <row r="42" spans="1:15" ht="20.100000000000001" customHeight="1" x14ac:dyDescent="0.25">
      <c r="D42" s="1" t="s">
        <v>114</v>
      </c>
      <c r="E42" s="69">
        <v>0.2</v>
      </c>
      <c r="F42" s="69">
        <v>0.2</v>
      </c>
      <c r="G42" s="69">
        <v>0.2</v>
      </c>
      <c r="H42" s="69">
        <v>0.2</v>
      </c>
      <c r="I42" s="69">
        <v>0.2</v>
      </c>
      <c r="J42" s="2" t="s">
        <v>101</v>
      </c>
      <c r="O42" s="7"/>
    </row>
    <row r="43" spans="1:15" ht="20.100000000000001" customHeight="1" x14ac:dyDescent="0.25">
      <c r="O43" s="7"/>
    </row>
    <row r="44" spans="1:15" ht="20.100000000000001" customHeight="1" x14ac:dyDescent="0.25">
      <c r="D44" s="6" t="s">
        <v>210</v>
      </c>
      <c r="E44" s="3"/>
      <c r="F44" s="3"/>
      <c r="G44" s="3"/>
      <c r="H44" s="3"/>
      <c r="I44" s="3"/>
      <c r="J44" s="3"/>
      <c r="O44" s="7"/>
    </row>
    <row r="45" spans="1:15" ht="20.100000000000001" customHeight="1" x14ac:dyDescent="0.25">
      <c r="E45" s="41" t="s">
        <v>186</v>
      </c>
      <c r="F45" s="6"/>
      <c r="G45" s="6"/>
      <c r="H45" s="6"/>
      <c r="I45" s="6"/>
      <c r="J45" s="132"/>
      <c r="O45" s="7"/>
    </row>
    <row r="46" spans="1:15" ht="20.100000000000001" customHeight="1" x14ac:dyDescent="0.25">
      <c r="D46" s="1" t="s">
        <v>211</v>
      </c>
      <c r="E46" s="69">
        <v>44</v>
      </c>
      <c r="F46" s="2" t="s">
        <v>212</v>
      </c>
      <c r="H46" s="3"/>
      <c r="I46" s="3"/>
      <c r="J46" s="3"/>
      <c r="O46" s="7"/>
    </row>
    <row r="47" spans="1:15" ht="20.100000000000001" customHeight="1" x14ac:dyDescent="0.25">
      <c r="O47" s="7"/>
    </row>
    <row r="48" spans="1:15" ht="20.100000000000001" customHeight="1" x14ac:dyDescent="0.25">
      <c r="D48" s="6" t="s">
        <v>227</v>
      </c>
      <c r="O48" s="7"/>
    </row>
    <row r="49" spans="4:15" ht="20.100000000000001" customHeight="1" x14ac:dyDescent="0.25">
      <c r="D49" s="51" t="s">
        <v>215</v>
      </c>
      <c r="O49" s="7"/>
    </row>
    <row r="50" spans="4:15" ht="20.100000000000001" customHeight="1" x14ac:dyDescent="0.25">
      <c r="D50" s="1" t="s">
        <v>217</v>
      </c>
      <c r="E50" s="42" t="s">
        <v>229</v>
      </c>
      <c r="F50" s="2" t="s">
        <v>11</v>
      </c>
      <c r="K50" s="3"/>
      <c r="O50" s="7"/>
    </row>
    <row r="51" spans="4:15" ht="20.100000000000001" customHeight="1" x14ac:dyDescent="0.25">
      <c r="K51" s="3"/>
      <c r="O51" s="7"/>
    </row>
    <row r="52" spans="4:15" ht="20.100000000000001" customHeight="1" x14ac:dyDescent="0.25">
      <c r="D52" s="66" t="s">
        <v>220</v>
      </c>
      <c r="E52" s="41" t="s">
        <v>186</v>
      </c>
      <c r="F52" s="41" t="s">
        <v>203</v>
      </c>
      <c r="G52" s="41" t="s">
        <v>204</v>
      </c>
      <c r="H52" s="41" t="s">
        <v>205</v>
      </c>
      <c r="I52" s="41" t="s">
        <v>206</v>
      </c>
      <c r="K52" s="3"/>
      <c r="O52" s="7"/>
    </row>
    <row r="53" spans="4:15" ht="20.100000000000001" customHeight="1" x14ac:dyDescent="0.25">
      <c r="D53" s="1" t="s">
        <v>158</v>
      </c>
      <c r="E53" s="101" cm="1">
        <f t="array" ref="E53">Common_InputFunctions.Utility_LookupValueInTableNumber($E$50, Table_SourceData_Dairy_ProductionSystemTemplates[Area],Table_SourceData_Dairy_ProductionSystemTemplates[Pasture])</f>
        <v>0.53400000000000003</v>
      </c>
      <c r="F53" s="101" cm="1">
        <f t="array" ref="F53">Common_InputFunctions.Utility_LookupValueInTableNumber($E$50, Table_SourceData_Dairy_ProductionSystemTemplates[Area],Table_SourceData_Dairy_ProductionSystemTemplates[Pasture])</f>
        <v>0.53400000000000003</v>
      </c>
      <c r="G53" s="101" cm="1">
        <f t="array" ref="G53">Common_InputFunctions.Utility_LookupValueInTableNumber($E$50, Table_SourceData_Dairy_ProductionSystemTemplates[Area],Table_SourceData_Dairy_ProductionSystemTemplates[Pasture])</f>
        <v>0.53400000000000003</v>
      </c>
      <c r="H53" s="101" cm="1">
        <f t="array" ref="H53">Common_InputFunctions.Utility_LookupValueInTableNumber($E$50, Table_SourceData_Dairy_ProductionSystemTemplates[Area],Table_SourceData_Dairy_ProductionSystemTemplates[Pasture])</f>
        <v>0.53400000000000003</v>
      </c>
      <c r="I53" s="101" cm="1">
        <f t="array" ref="I53">Common_InputFunctions.Utility_LookupValueInTableNumber($E$50, Table_SourceData_Dairy_ProductionSystemTemplates[Area],Table_SourceData_Dairy_ProductionSystemTemplates[Pasture])</f>
        <v>0.53400000000000003</v>
      </c>
      <c r="J53" s="2" t="s">
        <v>20</v>
      </c>
      <c r="K53" s="3"/>
      <c r="O53" s="7"/>
    </row>
    <row r="54" spans="4:15" ht="20.100000000000001" customHeight="1" x14ac:dyDescent="0.25">
      <c r="D54" s="1" t="s">
        <v>200</v>
      </c>
      <c r="E54" s="101" cm="1">
        <f t="array" ref="E54">Common_InputFunctions.Utility_LookupValueInTableNumber($E$50, Table_SourceData_Dairy_ProductionSystemTemplates[Area],Table_SourceData_Dairy_ProductionSystemTemplates[Milking shed])</f>
        <v>0.11</v>
      </c>
      <c r="F54" s="101" cm="1">
        <f t="array" ref="F54">Common_InputFunctions.Utility_LookupValueInTableNumber($E$50, Table_SourceData_Dairy_ProductionSystemTemplates[Area],Table_SourceData_Dairy_ProductionSystemTemplates[Milking shed])</f>
        <v>0.11</v>
      </c>
      <c r="G54" s="101" cm="1">
        <f t="array" ref="G54">Common_InputFunctions.Utility_LookupValueInTableNumber($E$50, Table_SourceData_Dairy_ProductionSystemTemplates[Area],Table_SourceData_Dairy_ProductionSystemTemplates[Milking shed])</f>
        <v>0.11</v>
      </c>
      <c r="H54" s="101" cm="1">
        <f t="array" ref="H54">Common_InputFunctions.Utility_LookupValueInTableNumber($E$50, Table_SourceData_Dairy_ProductionSystemTemplates[Area],Table_SourceData_Dairy_ProductionSystemTemplates[Milking shed])</f>
        <v>0.11</v>
      </c>
      <c r="I54" s="101" cm="1">
        <f t="array" ref="I54">Common_InputFunctions.Utility_LookupValueInTableNumber($E$50, Table_SourceData_Dairy_ProductionSystemTemplates[Area],Table_SourceData_Dairy_ProductionSystemTemplates[Milking shed])</f>
        <v>0.11</v>
      </c>
      <c r="J54" s="2" t="s">
        <v>20</v>
      </c>
      <c r="K54" s="3"/>
      <c r="O54" s="7"/>
    </row>
    <row r="55" spans="4:15" ht="20.100000000000001" customHeight="1" x14ac:dyDescent="0.25">
      <c r="D55" s="1" t="s">
        <v>216</v>
      </c>
      <c r="E55" s="101" cm="1">
        <f t="array" ref="E55">Common_InputFunctions.Utility_LookupValueInTableNumber($E$50, Table_SourceData_Dairy_ProductionSystemTemplates[Area],Table_SourceData_Dairy_ProductionSystemTemplates[Feedpad])</f>
        <v>0.35599999999999998</v>
      </c>
      <c r="F55" s="101" cm="1">
        <f t="array" ref="F55">Common_InputFunctions.Utility_LookupValueInTableNumber($E$50, Table_SourceData_Dairy_ProductionSystemTemplates[Area],Table_SourceData_Dairy_ProductionSystemTemplates[Feedpad])</f>
        <v>0.35599999999999998</v>
      </c>
      <c r="G55" s="101" cm="1">
        <f t="array" ref="G55">Common_InputFunctions.Utility_LookupValueInTableNumber($E$50, Table_SourceData_Dairy_ProductionSystemTemplates[Area],Table_SourceData_Dairy_ProductionSystemTemplates[Feedpad])</f>
        <v>0.35599999999999998</v>
      </c>
      <c r="H55" s="101" cm="1">
        <f t="array" ref="H55">Common_InputFunctions.Utility_LookupValueInTableNumber($E$50, Table_SourceData_Dairy_ProductionSystemTemplates[Area],Table_SourceData_Dairy_ProductionSystemTemplates[Feedpad])</f>
        <v>0.35599999999999998</v>
      </c>
      <c r="I55" s="101" cm="1">
        <f t="array" ref="I55">Common_InputFunctions.Utility_LookupValueInTableNumber($E$50, Table_SourceData_Dairy_ProductionSystemTemplates[Area],Table_SourceData_Dairy_ProductionSystemTemplates[Feedpad])</f>
        <v>0.35599999999999998</v>
      </c>
      <c r="J55" s="2" t="s">
        <v>20</v>
      </c>
      <c r="K55" s="3"/>
      <c r="O55" s="7"/>
    </row>
    <row r="56" spans="4:15" ht="20.100000000000001" customHeight="1" x14ac:dyDescent="0.25">
      <c r="K56" s="3"/>
      <c r="O56" s="7"/>
    </row>
    <row r="57" spans="4:15" ht="20.100000000000001" customHeight="1" x14ac:dyDescent="0.25">
      <c r="D57" s="66" t="s">
        <v>219</v>
      </c>
      <c r="E57" s="41" t="s">
        <v>186</v>
      </c>
      <c r="F57" s="41" t="s">
        <v>203</v>
      </c>
      <c r="G57" s="41" t="s">
        <v>204</v>
      </c>
      <c r="H57" s="41" t="s">
        <v>205</v>
      </c>
      <c r="I57" s="41" t="s">
        <v>206</v>
      </c>
      <c r="K57" s="3"/>
      <c r="O57" s="7"/>
    </row>
    <row r="58" spans="4:15" ht="20.100000000000001" customHeight="1" x14ac:dyDescent="0.25">
      <c r="D58" s="1" t="s">
        <v>158</v>
      </c>
      <c r="E58" s="133" cm="1">
        <f t="array" ref="E58">Common_InputFunctions.Utility_LookupValueInTableNumber($E$50, Table_SourceData_Dairy_ProductionSystemTemplates[Area],Table_SourceData_Dairy_ProductionSystemTemplates[Pasture])</f>
        <v>0.53400000000000003</v>
      </c>
      <c r="F58" s="133" cm="1">
        <f t="array" ref="F58">Common_InputFunctions.Utility_LookupValueInTableNumber($E$50, Table_SourceData_Dairy_ProductionSystemTemplates[Area],Table_SourceData_Dairy_ProductionSystemTemplates[Pasture])</f>
        <v>0.53400000000000003</v>
      </c>
      <c r="G58" s="133" cm="1">
        <f t="array" ref="G58">Common_InputFunctions.Utility_LookupValueInTableNumber($E$50, Table_SourceData_Dairy_ProductionSystemTemplates[Area],Table_SourceData_Dairy_ProductionSystemTemplates[Pasture])</f>
        <v>0.53400000000000003</v>
      </c>
      <c r="H58" s="133" cm="1">
        <f t="array" ref="H58">Common_InputFunctions.Utility_LookupValueInTableNumber($E$50, Table_SourceData_Dairy_ProductionSystemTemplates[Area],Table_SourceData_Dairy_ProductionSystemTemplates[Pasture])</f>
        <v>0.53400000000000003</v>
      </c>
      <c r="I58" s="133" cm="1">
        <f t="array" ref="I58">Common_InputFunctions.Utility_LookupValueInTableNumber($E$50, Table_SourceData_Dairy_ProductionSystemTemplates[Area],Table_SourceData_Dairy_ProductionSystemTemplates[Pasture])</f>
        <v>0.53400000000000003</v>
      </c>
      <c r="J58" s="2" t="s">
        <v>20</v>
      </c>
      <c r="K58" s="3"/>
      <c r="O58" s="7"/>
    </row>
    <row r="59" spans="4:15" ht="20.100000000000001" customHeight="1" x14ac:dyDescent="0.25">
      <c r="D59" s="1" t="s">
        <v>200</v>
      </c>
      <c r="E59" s="133" cm="1">
        <f t="array" ref="E59">Common_InputFunctions.Utility_LookupValueInTableNumber($E$50, Table_SourceData_Dairy_ProductionSystemTemplates[Area],Table_SourceData_Dairy_ProductionSystemTemplates[Milking shed])</f>
        <v>0.11</v>
      </c>
      <c r="F59" s="133" cm="1">
        <f t="array" ref="F59">Common_InputFunctions.Utility_LookupValueInTableNumber($E$50, Table_SourceData_Dairy_ProductionSystemTemplates[Area],Table_SourceData_Dairy_ProductionSystemTemplates[Milking shed])</f>
        <v>0.11</v>
      </c>
      <c r="G59" s="133" cm="1">
        <f t="array" ref="G59">Common_InputFunctions.Utility_LookupValueInTableNumber($E$50, Table_SourceData_Dairy_ProductionSystemTemplates[Area],Table_SourceData_Dairy_ProductionSystemTemplates[Milking shed])</f>
        <v>0.11</v>
      </c>
      <c r="H59" s="133" cm="1">
        <f t="array" ref="H59">Common_InputFunctions.Utility_LookupValueInTableNumber($E$50, Table_SourceData_Dairy_ProductionSystemTemplates[Area],Table_SourceData_Dairy_ProductionSystemTemplates[Milking shed])</f>
        <v>0.11</v>
      </c>
      <c r="I59" s="133" cm="1">
        <f t="array" ref="I59">Common_InputFunctions.Utility_LookupValueInTableNumber($E$50, Table_SourceData_Dairy_ProductionSystemTemplates[Area],Table_SourceData_Dairy_ProductionSystemTemplates[Milking shed])</f>
        <v>0.11</v>
      </c>
      <c r="J59" s="2" t="s">
        <v>20</v>
      </c>
      <c r="K59" s="3"/>
      <c r="O59" s="7"/>
    </row>
    <row r="60" spans="4:15" ht="20.100000000000001" customHeight="1" x14ac:dyDescent="0.25">
      <c r="D60" s="1" t="s">
        <v>216</v>
      </c>
      <c r="E60" s="133" cm="1">
        <f t="array" ref="E60">Common_InputFunctions.Utility_LookupValueInTableNumber($E$50, Table_SourceData_Dairy_ProductionSystemTemplates[Area],Table_SourceData_Dairy_ProductionSystemTemplates[Feedpad])</f>
        <v>0.35599999999999998</v>
      </c>
      <c r="F60" s="133" cm="1">
        <f t="array" ref="F60">Common_InputFunctions.Utility_LookupValueInTableNumber($E$50, Table_SourceData_Dairy_ProductionSystemTemplates[Area],Table_SourceData_Dairy_ProductionSystemTemplates[Feedpad])</f>
        <v>0.35599999999999998</v>
      </c>
      <c r="G60" s="133" cm="1">
        <f t="array" ref="G60">Common_InputFunctions.Utility_LookupValueInTableNumber($E$50, Table_SourceData_Dairy_ProductionSystemTemplates[Area],Table_SourceData_Dairy_ProductionSystemTemplates[Feedpad])</f>
        <v>0.35599999999999998</v>
      </c>
      <c r="H60" s="133" cm="1">
        <f t="array" ref="H60">Common_InputFunctions.Utility_LookupValueInTableNumber($E$50, Table_SourceData_Dairy_ProductionSystemTemplates[Area],Table_SourceData_Dairy_ProductionSystemTemplates[Feedpad])</f>
        <v>0.35599999999999998</v>
      </c>
      <c r="I60" s="133" cm="1">
        <f t="array" ref="I60">Common_InputFunctions.Utility_LookupValueInTableNumber($E$50, Table_SourceData_Dairy_ProductionSystemTemplates[Area],Table_SourceData_Dairy_ProductionSystemTemplates[Feedpad])</f>
        <v>0.35599999999999998</v>
      </c>
      <c r="J60" s="2" t="s">
        <v>20</v>
      </c>
      <c r="K60" s="3"/>
      <c r="O60" s="7"/>
    </row>
    <row r="61" spans="4:15" ht="20.100000000000001" customHeight="1" x14ac:dyDescent="0.25">
      <c r="E61" s="141"/>
      <c r="K61" s="3"/>
      <c r="O61" s="7"/>
    </row>
    <row r="62" spans="4:15" ht="20.100000000000001" customHeight="1" x14ac:dyDescent="0.25">
      <c r="K62" s="3"/>
      <c r="O62" s="7"/>
    </row>
    <row r="63" spans="4:15" ht="20.100000000000001" customHeight="1" x14ac:dyDescent="0.25">
      <c r="D63" s="6" t="s">
        <v>104</v>
      </c>
      <c r="F63" s="135"/>
      <c r="K63" s="3"/>
      <c r="O63" s="7"/>
    </row>
    <row r="64" spans="4:15" ht="20.100000000000001" customHeight="1" x14ac:dyDescent="0.25">
      <c r="D64" s="51" t="str">
        <f>"From " &amp; $D$54</f>
        <v>From Milking shed</v>
      </c>
      <c r="K64" s="3"/>
      <c r="O64" s="7"/>
    </row>
    <row r="65" spans="4:15" ht="20.100000000000001" customHeight="1" x14ac:dyDescent="0.25">
      <c r="K65" s="3"/>
      <c r="O65" s="7"/>
    </row>
    <row r="66" spans="4:15" ht="20.100000000000001" customHeight="1" x14ac:dyDescent="0.25">
      <c r="D66" s="66" t="s">
        <v>103</v>
      </c>
      <c r="E66" s="41" t="s">
        <v>186</v>
      </c>
      <c r="F66" s="41" t="s">
        <v>203</v>
      </c>
      <c r="G66" s="41" t="s">
        <v>204</v>
      </c>
      <c r="H66" s="41" t="s">
        <v>205</v>
      </c>
      <c r="I66" s="41" t="s">
        <v>206</v>
      </c>
      <c r="K66" s="3"/>
      <c r="O66" s="7"/>
    </row>
    <row r="67" spans="4:15" ht="20.100000000000001" customHeight="1" x14ac:dyDescent="0.25">
      <c r="D67" s="56" t="str">
        <f>'Constants - Dairy'!$D$8</f>
        <v>Anaerobic lagoon</v>
      </c>
      <c r="E67" s="49">
        <v>0.25</v>
      </c>
      <c r="F67" s="49">
        <v>0.25</v>
      </c>
      <c r="G67" s="49">
        <v>0.25</v>
      </c>
      <c r="H67" s="49">
        <v>0.25</v>
      </c>
      <c r="I67" s="49">
        <v>0.25</v>
      </c>
      <c r="J67" s="2" t="s">
        <v>20</v>
      </c>
      <c r="K67" s="3"/>
      <c r="O67" s="7"/>
    </row>
    <row r="68" spans="4:15" ht="20.100000000000001" customHeight="1" x14ac:dyDescent="0.25">
      <c r="D68" s="1" t="str">
        <f>"Were solids separated from " &amp; $D$67 &amp; "?"</f>
        <v>Were solids separated from Anaerobic lagoon?</v>
      </c>
      <c r="E68" s="42" t="s">
        <v>221</v>
      </c>
      <c r="F68" s="2" t="s">
        <v>11</v>
      </c>
      <c r="K68" s="3"/>
      <c r="O68" s="7"/>
    </row>
    <row r="69" spans="4:15" ht="20.100000000000001" customHeight="1" x14ac:dyDescent="0.25">
      <c r="D69" s="1" t="str">
        <f>"Percent solids separated from " &amp; $D$67 &amp; " (Method 1 - Do not edit)"</f>
        <v>Percent solids separated from Anaerobic lagoon (Method 1 - Do not edit)</v>
      </c>
      <c r="E69" s="101">
        <v>0.2</v>
      </c>
      <c r="F69" s="2" t="s">
        <v>20</v>
      </c>
      <c r="K69" s="3"/>
      <c r="O69" s="7"/>
    </row>
    <row r="70" spans="4:15" ht="20.100000000000001" customHeight="1" x14ac:dyDescent="0.25">
      <c r="D70" s="1" t="str">
        <f>"Percent solids separated from " &amp; $D$67 &amp; " (Method 2 - Edit if known)"</f>
        <v>Percent solids separated from Anaerobic lagoon (Method 2 - Edit if known)</v>
      </c>
      <c r="E70" s="49">
        <v>0.2</v>
      </c>
      <c r="F70" s="2" t="s">
        <v>20</v>
      </c>
      <c r="K70" s="3"/>
      <c r="O70" s="7"/>
    </row>
    <row r="71" spans="4:15" ht="20.100000000000001" customHeight="1" x14ac:dyDescent="0.25">
      <c r="K71" s="3"/>
      <c r="O71" s="7"/>
    </row>
    <row r="72" spans="4:15" ht="20.100000000000001" customHeight="1" x14ac:dyDescent="0.25">
      <c r="D72" s="56" t="str">
        <f>'Constants - Dairy'!$D$9</f>
        <v>Sump and dispersal system</v>
      </c>
      <c r="E72" s="49">
        <v>0.25</v>
      </c>
      <c r="F72" s="49">
        <v>0.25</v>
      </c>
      <c r="G72" s="49">
        <v>0.25</v>
      </c>
      <c r="H72" s="49">
        <v>0.25</v>
      </c>
      <c r="I72" s="49">
        <v>0.25</v>
      </c>
      <c r="J72" s="2" t="s">
        <v>20</v>
      </c>
      <c r="O72" s="7"/>
    </row>
    <row r="73" spans="4:15" ht="20.100000000000001" customHeight="1" x14ac:dyDescent="0.25">
      <c r="D73" s="1" t="str">
        <f>"Were solids separated from " &amp; $D$72 &amp; "?"</f>
        <v>Were solids separated from Sump and dispersal system?</v>
      </c>
      <c r="E73" s="42" t="s">
        <v>221</v>
      </c>
      <c r="F73" s="2" t="s">
        <v>11</v>
      </c>
      <c r="O73" s="7"/>
    </row>
    <row r="74" spans="4:15" ht="20.100000000000001" customHeight="1" x14ac:dyDescent="0.25">
      <c r="D74" s="1" t="str">
        <f>"Percent solids separated from " &amp; $D$72 &amp; " (Method 1 - Do not edit)"</f>
        <v>Percent solids separated from Sump and dispersal system (Method 1 - Do not edit)</v>
      </c>
      <c r="E74" s="101">
        <v>0.2</v>
      </c>
      <c r="F74" s="2" t="s">
        <v>20</v>
      </c>
      <c r="O74" s="7"/>
    </row>
    <row r="75" spans="4:15" ht="20.100000000000001" customHeight="1" x14ac:dyDescent="0.25">
      <c r="D75" s="1" t="str">
        <f>"Percent solids separated from " &amp; $D$72 &amp; " (Method 2 - Edit if known)"</f>
        <v>Percent solids separated from Sump and dispersal system (Method 2 - Edit if known)</v>
      </c>
      <c r="E75" s="49">
        <v>0.2</v>
      </c>
      <c r="F75" s="2" t="s">
        <v>20</v>
      </c>
      <c r="O75" s="7"/>
    </row>
    <row r="76" spans="4:15" ht="20.100000000000001" customHeight="1" x14ac:dyDescent="0.25">
      <c r="O76" s="7"/>
    </row>
    <row r="77" spans="4:15" ht="20.100000000000001" customHeight="1" x14ac:dyDescent="0.25">
      <c r="D77" s="56" t="str">
        <f>'Constants - Dairy'!$D$10</f>
        <v>Drains to paddock</v>
      </c>
      <c r="E77" s="49">
        <v>0.25</v>
      </c>
      <c r="F77" s="49">
        <v>0.25</v>
      </c>
      <c r="G77" s="49">
        <v>0.25</v>
      </c>
      <c r="H77" s="49">
        <v>0.25</v>
      </c>
      <c r="I77" s="49">
        <v>0.25</v>
      </c>
      <c r="J77" s="2" t="s">
        <v>20</v>
      </c>
      <c r="O77" s="7"/>
    </row>
    <row r="78" spans="4:15" ht="20.100000000000001" customHeight="1" x14ac:dyDescent="0.25">
      <c r="D78" s="1" t="str">
        <f>"Were solids separated from " &amp; $D$77 &amp; "?"</f>
        <v>Were solids separated from Drains to paddock?</v>
      </c>
      <c r="E78" s="42" t="s">
        <v>221</v>
      </c>
      <c r="F78" s="2" t="s">
        <v>11</v>
      </c>
      <c r="O78" s="7"/>
    </row>
    <row r="79" spans="4:15" ht="20.100000000000001" customHeight="1" x14ac:dyDescent="0.25">
      <c r="D79" s="1" t="str">
        <f>"Percent solids separated from " &amp; $D$77 &amp; " (Method 1 - Do not edit)"</f>
        <v>Percent solids separated from Drains to paddock (Method 1 - Do not edit)</v>
      </c>
      <c r="E79" s="101">
        <v>0.2</v>
      </c>
      <c r="F79" s="2" t="s">
        <v>20</v>
      </c>
      <c r="O79" s="7"/>
    </row>
    <row r="80" spans="4:15" ht="20.100000000000001" customHeight="1" x14ac:dyDescent="0.25">
      <c r="D80" s="1" t="str">
        <f>"Percent solids separated from " &amp; $D$77 &amp; " (Method 2 - Edit if known)"</f>
        <v>Percent solids separated from Drains to paddock (Method 2 - Edit if known)</v>
      </c>
      <c r="E80" s="49">
        <v>0.2</v>
      </c>
      <c r="F80" s="2" t="s">
        <v>20</v>
      </c>
      <c r="O80" s="7"/>
    </row>
    <row r="81" spans="4:15" ht="20.100000000000001" customHeight="1" x14ac:dyDescent="0.25">
      <c r="O81" s="7"/>
    </row>
    <row r="82" spans="4:15" ht="20.100000000000001" customHeight="1" x14ac:dyDescent="0.25">
      <c r="D82" s="56" t="str">
        <f>'Constants - Dairy'!$D$11</f>
        <v>Solid storage</v>
      </c>
      <c r="E82" s="49">
        <v>0.25</v>
      </c>
      <c r="F82" s="49">
        <v>0.25</v>
      </c>
      <c r="G82" s="49">
        <v>0.25</v>
      </c>
      <c r="H82" s="49">
        <v>0.25</v>
      </c>
      <c r="I82" s="49">
        <v>0.25</v>
      </c>
      <c r="J82" s="2" t="s">
        <v>20</v>
      </c>
      <c r="O82" s="7"/>
    </row>
    <row r="83" spans="4:15" ht="20.100000000000001" customHeight="1" x14ac:dyDescent="0.25">
      <c r="D83" s="1" t="str">
        <f>"Perecnt separated from " &amp; $D$67 &amp; " (Method 1)"</f>
        <v>Perecnt separated from Anaerobic lagoon (Method 1)</v>
      </c>
      <c r="E83" s="101">
        <f>E67*$E$69</f>
        <v>0.05</v>
      </c>
      <c r="F83" s="101">
        <f>F67*$E$69</f>
        <v>0.05</v>
      </c>
      <c r="G83" s="101">
        <f>G67*$E$69</f>
        <v>0.05</v>
      </c>
      <c r="H83" s="101">
        <f>H67*$E$69</f>
        <v>0.05</v>
      </c>
      <c r="I83" s="101">
        <f>I67*$E$69</f>
        <v>0.05</v>
      </c>
      <c r="J83" s="2" t="s">
        <v>20</v>
      </c>
      <c r="O83" s="7"/>
    </row>
    <row r="84" spans="4:15" ht="20.100000000000001" customHeight="1" x14ac:dyDescent="0.25">
      <c r="D84" s="1" t="str">
        <f>"Perecnt separated from " &amp; $D$72 &amp; " (Method 1)"</f>
        <v>Perecnt separated from Sump and dispersal system (Method 1)</v>
      </c>
      <c r="E84" s="101">
        <f>E72*$E$74</f>
        <v>0.05</v>
      </c>
      <c r="F84" s="101">
        <f>F72*$E$74</f>
        <v>0.05</v>
      </c>
      <c r="G84" s="101">
        <f>G72*$E$74</f>
        <v>0.05</v>
      </c>
      <c r="H84" s="101">
        <f>H72*$E$74</f>
        <v>0.05</v>
      </c>
      <c r="I84" s="101">
        <f>I72*$E$74</f>
        <v>0.05</v>
      </c>
      <c r="J84" s="2" t="s">
        <v>20</v>
      </c>
      <c r="O84" s="7"/>
    </row>
    <row r="85" spans="4:15" ht="20.100000000000001" customHeight="1" x14ac:dyDescent="0.25">
      <c r="D85" s="1" t="str">
        <f>"Perecnt separated from " &amp; $D$77 &amp; " (Method 1)"</f>
        <v>Perecnt separated from Drains to paddock (Method 1)</v>
      </c>
      <c r="E85" s="101">
        <f>E77*$E$79</f>
        <v>0.05</v>
      </c>
      <c r="F85" s="101">
        <f>F77*$E$79</f>
        <v>0.05</v>
      </c>
      <c r="G85" s="101">
        <f>G77*$E$79</f>
        <v>0.05</v>
      </c>
      <c r="H85" s="101">
        <f>H77*$E$79</f>
        <v>0.05</v>
      </c>
      <c r="I85" s="101">
        <f>I77*$E$79</f>
        <v>0.05</v>
      </c>
      <c r="J85" s="2" t="s">
        <v>20</v>
      </c>
      <c r="O85" s="7"/>
    </row>
    <row r="86" spans="4:15" ht="20.100000000000001" customHeight="1" x14ac:dyDescent="0.25">
      <c r="D86" s="1" t="s">
        <v>223</v>
      </c>
      <c r="E86" s="101">
        <f>E$82+SUM(E83:E85)</f>
        <v>0.4</v>
      </c>
      <c r="F86" s="101">
        <f>F$82+SUM(F83:F85)</f>
        <v>0.4</v>
      </c>
      <c r="G86" s="101">
        <f>G$82+SUM(G83:G85)</f>
        <v>0.4</v>
      </c>
      <c r="H86" s="101">
        <f>H$82+SUM(H83:H85)</f>
        <v>0.4</v>
      </c>
      <c r="I86" s="101">
        <f>I$82+SUM(I83:I85)</f>
        <v>0.4</v>
      </c>
      <c r="J86" s="2" t="s">
        <v>20</v>
      </c>
      <c r="O86" s="7"/>
    </row>
    <row r="87" spans="4:15" ht="20.100000000000001" customHeight="1" x14ac:dyDescent="0.25">
      <c r="O87" s="7"/>
    </row>
    <row r="88" spans="4:15" ht="20.100000000000001" customHeight="1" x14ac:dyDescent="0.25">
      <c r="D88" s="1" t="s">
        <v>222</v>
      </c>
      <c r="E88" s="101">
        <f>(E67-(E67*$E$69))+(E72-(E72*$E$74))+(E77-(E77*$E$79))+E86</f>
        <v>1</v>
      </c>
      <c r="F88" s="101">
        <f>(F67-(F67*$E$69))+(F72-(F72*$E$74))+(F77-(F77*$E$79))+F86</f>
        <v>1</v>
      </c>
      <c r="G88" s="101">
        <f>(G67-(G67*$E$69))+(G72-(G72*$E$74))+(G77-(G77*$E$79))+G86</f>
        <v>1</v>
      </c>
      <c r="H88" s="101">
        <f>(H67-(H67*$E$69))+(H72-(H72*$E$74))+(H77-(H77*$E$79))+H86</f>
        <v>1</v>
      </c>
      <c r="I88" s="101">
        <f>(I67-(I67*$E$69))+(I72-(I72*$E$74))+(I77-(I77*$E$79))+I86</f>
        <v>1</v>
      </c>
      <c r="J88" s="2" t="s">
        <v>20</v>
      </c>
      <c r="O88" s="7"/>
    </row>
    <row r="89" spans="4:15" ht="20.100000000000001" customHeight="1" x14ac:dyDescent="0.25">
      <c r="O89" s="7"/>
    </row>
    <row r="90" spans="4:15" ht="20.100000000000001" customHeight="1" x14ac:dyDescent="0.25">
      <c r="D90" s="1" t="str">
        <f>"Perecnt separated from " &amp; $D$67 &amp; " (Method 2)"</f>
        <v>Perecnt separated from Anaerobic lagoon (Method 2)</v>
      </c>
      <c r="E90" s="101">
        <f>E67*$E$70</f>
        <v>0.05</v>
      </c>
      <c r="F90" s="101">
        <f>F67*$E$70</f>
        <v>0.05</v>
      </c>
      <c r="G90" s="101">
        <f>G67*$E$70</f>
        <v>0.05</v>
      </c>
      <c r="H90" s="101">
        <f>H67*$E$70</f>
        <v>0.05</v>
      </c>
      <c r="I90" s="101">
        <f>I67*$E$70</f>
        <v>0.05</v>
      </c>
      <c r="J90" s="2" t="s">
        <v>20</v>
      </c>
      <c r="O90" s="7"/>
    </row>
    <row r="91" spans="4:15" ht="20.100000000000001" customHeight="1" x14ac:dyDescent="0.25">
      <c r="D91" s="1" t="str">
        <f>"Perecnt separated from " &amp; $D$72 &amp; " (Method 2)"</f>
        <v>Perecnt separated from Sump and dispersal system (Method 2)</v>
      </c>
      <c r="E91" s="101">
        <f>E72*$E$75</f>
        <v>0.05</v>
      </c>
      <c r="F91" s="101">
        <f>F72*$E$75</f>
        <v>0.05</v>
      </c>
      <c r="G91" s="101">
        <f>G72*$E$75</f>
        <v>0.05</v>
      </c>
      <c r="H91" s="101">
        <f>H72*$E$75</f>
        <v>0.05</v>
      </c>
      <c r="I91" s="101">
        <f>I72*$E$75</f>
        <v>0.05</v>
      </c>
      <c r="J91" s="2" t="s">
        <v>20</v>
      </c>
      <c r="O91" s="7"/>
    </row>
    <row r="92" spans="4:15" ht="20.100000000000001" customHeight="1" x14ac:dyDescent="0.25">
      <c r="D92" s="1" t="str">
        <f>"Perecnt separated from " &amp; $D$77 &amp; " (Method 2)"</f>
        <v>Perecnt separated from Drains to paddock (Method 2)</v>
      </c>
      <c r="E92" s="101">
        <f>E77*$E$80</f>
        <v>0.05</v>
      </c>
      <c r="F92" s="101">
        <f>F77*$E$80</f>
        <v>0.05</v>
      </c>
      <c r="G92" s="101">
        <f>G77*$E$80</f>
        <v>0.05</v>
      </c>
      <c r="H92" s="101">
        <f>H77*$E$80</f>
        <v>0.05</v>
      </c>
      <c r="I92" s="101">
        <f>I77*$E$80</f>
        <v>0.05</v>
      </c>
      <c r="J92" s="2" t="s">
        <v>20</v>
      </c>
      <c r="O92" s="7"/>
    </row>
    <row r="93" spans="4:15" ht="20.100000000000001" customHeight="1" x14ac:dyDescent="0.25">
      <c r="D93" s="1" t="s">
        <v>224</v>
      </c>
      <c r="E93" s="101">
        <f>E$82+SUM(E90:E92)</f>
        <v>0.4</v>
      </c>
      <c r="F93" s="101">
        <f>F$82+SUM(F90:F92)</f>
        <v>0.4</v>
      </c>
      <c r="G93" s="101">
        <f>G$82+SUM(G90:G92)</f>
        <v>0.4</v>
      </c>
      <c r="H93" s="101">
        <f>H$82+SUM(H90:H92)</f>
        <v>0.4</v>
      </c>
      <c r="I93" s="101">
        <f>I$82+SUM(I90:I92)</f>
        <v>0.4</v>
      </c>
      <c r="J93" s="2" t="s">
        <v>20</v>
      </c>
      <c r="O93" s="7"/>
    </row>
    <row r="94" spans="4:15" ht="20.100000000000001" customHeight="1" x14ac:dyDescent="0.25">
      <c r="O94" s="7"/>
    </row>
    <row r="95" spans="4:15" ht="20.100000000000001" customHeight="1" x14ac:dyDescent="0.25">
      <c r="D95" s="1" t="s">
        <v>225</v>
      </c>
      <c r="E95" s="101">
        <f>(E67-(E67*$E$70))+(E72-(E72*$E$75))+(E77-(E77*$E$80))+E93</f>
        <v>1</v>
      </c>
      <c r="F95" s="101">
        <f>(F67-(F67*$E$70))+(F72-(F72*$E$75))+(F77-(F77*$E$80))+F93</f>
        <v>1</v>
      </c>
      <c r="G95" s="101">
        <f>(G67-(G67*$E$70))+(G72-(G72*$E$75))+(G77-(G77*$E$80))+G93</f>
        <v>1</v>
      </c>
      <c r="H95" s="101">
        <f>(H67-(H67*$E$70))+(H72-(H72*$E$75))+(H77-(H77*$E$80))+H93</f>
        <v>1</v>
      </c>
      <c r="I95" s="101">
        <f>(I67-(I67*$E$70))+(I72-(I72*$E$75))+(I77-(I77*$E$80))+I93</f>
        <v>1</v>
      </c>
      <c r="J95" s="2" t="s">
        <v>20</v>
      </c>
      <c r="O95" s="7"/>
    </row>
    <row r="96" spans="4:15" ht="20.100000000000001" customHeight="1" x14ac:dyDescent="0.25">
      <c r="O96" s="7"/>
    </row>
    <row r="97" spans="4:15" ht="20.100000000000001" customHeight="1" x14ac:dyDescent="0.25">
      <c r="O97" s="7"/>
    </row>
    <row r="98" spans="4:15" ht="20.100000000000001" customHeight="1" x14ac:dyDescent="0.25">
      <c r="D98" s="51" t="str">
        <f>"From " &amp; $D$55</f>
        <v>From Feed pad</v>
      </c>
      <c r="O98" s="7"/>
    </row>
    <row r="99" spans="4:15" ht="20.100000000000001" customHeight="1" x14ac:dyDescent="0.25">
      <c r="O99" s="7"/>
    </row>
    <row r="100" spans="4:15" ht="20.100000000000001" customHeight="1" x14ac:dyDescent="0.25">
      <c r="D100" s="66" t="s">
        <v>103</v>
      </c>
      <c r="E100" s="41" t="s">
        <v>186</v>
      </c>
      <c r="F100" s="41" t="s">
        <v>203</v>
      </c>
      <c r="G100" s="41" t="s">
        <v>204</v>
      </c>
      <c r="H100" s="41" t="s">
        <v>205</v>
      </c>
      <c r="I100" s="41" t="s">
        <v>206</v>
      </c>
      <c r="O100" s="7"/>
    </row>
    <row r="101" spans="4:15" ht="20.100000000000001" customHeight="1" x14ac:dyDescent="0.25">
      <c r="D101" s="56" t="str">
        <f>'Constants - Dairy'!$D$8</f>
        <v>Anaerobic lagoon</v>
      </c>
      <c r="E101" s="49">
        <v>0.25</v>
      </c>
      <c r="F101" s="49">
        <v>0.25</v>
      </c>
      <c r="G101" s="49">
        <v>0.25</v>
      </c>
      <c r="H101" s="49">
        <v>0.25</v>
      </c>
      <c r="I101" s="49">
        <v>0.25</v>
      </c>
      <c r="J101" s="2" t="s">
        <v>20</v>
      </c>
      <c r="O101" s="7"/>
    </row>
    <row r="102" spans="4:15" ht="20.100000000000001" customHeight="1" x14ac:dyDescent="0.25">
      <c r="D102" s="1" t="str">
        <f>"Were solids separated from " &amp; $D$67 &amp; "?"</f>
        <v>Were solids separated from Anaerobic lagoon?</v>
      </c>
      <c r="E102" s="42" t="s">
        <v>228</v>
      </c>
      <c r="F102" s="2" t="s">
        <v>11</v>
      </c>
      <c r="O102" s="7"/>
    </row>
    <row r="103" spans="4:15" ht="20.100000000000001" customHeight="1" x14ac:dyDescent="0.25">
      <c r="D103" s="1" t="str">
        <f>"Percent solids separated from " &amp; $D$67 &amp; " (Method 1 - Do not edit)"</f>
        <v>Percent solids separated from Anaerobic lagoon (Method 1 - Do not edit)</v>
      </c>
      <c r="E103" s="101">
        <f>IF(E102="Yes", 20%, 0)</f>
        <v>0</v>
      </c>
      <c r="F103" s="2" t="s">
        <v>20</v>
      </c>
      <c r="O103" s="7"/>
    </row>
    <row r="104" spans="4:15" ht="20.100000000000001" customHeight="1" x14ac:dyDescent="0.25">
      <c r="D104" s="1" t="str">
        <f>"Percent solids separated from " &amp; $D$67 &amp; " (Method 2 - Edit if known)"</f>
        <v>Percent solids separated from Anaerobic lagoon (Method 2 - Edit if known)</v>
      </c>
      <c r="E104" s="49">
        <f>IF(E102="Yes", 20%, 0)</f>
        <v>0</v>
      </c>
      <c r="F104" s="2" t="s">
        <v>20</v>
      </c>
      <c r="O104" s="7"/>
    </row>
    <row r="105" spans="4:15" ht="20.100000000000001" customHeight="1" x14ac:dyDescent="0.25">
      <c r="O105" s="7"/>
    </row>
    <row r="106" spans="4:15" ht="20.100000000000001" customHeight="1" x14ac:dyDescent="0.25">
      <c r="D106" s="56" t="str">
        <f>'Constants - Dairy'!$D$9</f>
        <v>Sump and dispersal system</v>
      </c>
      <c r="E106" s="49">
        <v>0.25</v>
      </c>
      <c r="F106" s="49">
        <v>0.25</v>
      </c>
      <c r="G106" s="49">
        <v>0.25</v>
      </c>
      <c r="H106" s="49">
        <v>0.25</v>
      </c>
      <c r="I106" s="49">
        <v>0.25</v>
      </c>
      <c r="J106" s="2" t="s">
        <v>20</v>
      </c>
      <c r="O106" s="7"/>
    </row>
    <row r="107" spans="4:15" ht="20.100000000000001" customHeight="1" x14ac:dyDescent="0.25">
      <c r="D107" s="1" t="str">
        <f>"Were solids separated from " &amp; $D$72 &amp; "?"</f>
        <v>Were solids separated from Sump and dispersal system?</v>
      </c>
      <c r="E107" s="42" t="s">
        <v>221</v>
      </c>
      <c r="F107" s="2" t="s">
        <v>11</v>
      </c>
    </row>
    <row r="108" spans="4:15" ht="20.100000000000001" customHeight="1" x14ac:dyDescent="0.25">
      <c r="D108" s="1" t="str">
        <f>"Percent solids separated from " &amp; $D$72 &amp; " (Method 1 - Do not edit)"</f>
        <v>Percent solids separated from Sump and dispersal system (Method 1 - Do not edit)</v>
      </c>
      <c r="E108" s="101">
        <f>IF(E107="Yes", 20%, 0)</f>
        <v>0.2</v>
      </c>
      <c r="F108" s="2" t="s">
        <v>20</v>
      </c>
    </row>
    <row r="109" spans="4:15" ht="20.100000000000001" customHeight="1" x14ac:dyDescent="0.25">
      <c r="D109" s="1" t="str">
        <f>"Percent solids separated from " &amp; $D$72 &amp; " (Method 2 - Edit if known)"</f>
        <v>Percent solids separated from Sump and dispersal system (Method 2 - Edit if known)</v>
      </c>
      <c r="E109" s="49">
        <f>IF(E107="Yes", 20%, 0)</f>
        <v>0.2</v>
      </c>
      <c r="F109" s="2" t="s">
        <v>20</v>
      </c>
    </row>
    <row r="110" spans="4:15" ht="20.100000000000001" customHeight="1" x14ac:dyDescent="0.25"/>
    <row r="111" spans="4:15" ht="20.100000000000001" customHeight="1" x14ac:dyDescent="0.25">
      <c r="D111" s="56" t="str">
        <f>'Constants - Dairy'!$D$10</f>
        <v>Drains to paddock</v>
      </c>
      <c r="E111" s="49">
        <v>0.25</v>
      </c>
      <c r="F111" s="49">
        <v>0.25</v>
      </c>
      <c r="G111" s="49">
        <v>0.25</v>
      </c>
      <c r="H111" s="49">
        <v>0.25</v>
      </c>
      <c r="I111" s="49">
        <v>0.25</v>
      </c>
      <c r="J111" s="2" t="s">
        <v>20</v>
      </c>
    </row>
    <row r="112" spans="4:15" ht="20.100000000000001" customHeight="1" x14ac:dyDescent="0.25">
      <c r="D112" s="1" t="str">
        <f>"Were solids separated from " &amp; $D$77 &amp; "?"</f>
        <v>Were solids separated from Drains to paddock?</v>
      </c>
      <c r="E112" s="42" t="s">
        <v>221</v>
      </c>
      <c r="F112" s="2" t="s">
        <v>11</v>
      </c>
    </row>
    <row r="113" spans="4:10" ht="20.100000000000001" customHeight="1" x14ac:dyDescent="0.25">
      <c r="D113" s="1" t="str">
        <f>"Percent solids separated from " &amp; $D$77 &amp; " (Method 1 - Do not edit)"</f>
        <v>Percent solids separated from Drains to paddock (Method 1 - Do not edit)</v>
      </c>
      <c r="E113" s="101">
        <f>IF(E112="Yes", 20%, 0)</f>
        <v>0.2</v>
      </c>
      <c r="F113" s="2" t="s">
        <v>20</v>
      </c>
    </row>
    <row r="114" spans="4:10" ht="20.100000000000001" customHeight="1" x14ac:dyDescent="0.25">
      <c r="D114" s="1" t="str">
        <f>"Percent solids separated from " &amp; $D$77 &amp; " (Method 2 - Edit if known)"</f>
        <v>Percent solids separated from Drains to paddock (Method 2 - Edit if known)</v>
      </c>
      <c r="E114" s="49">
        <f>IF(E112="Yes", 20%, 0)</f>
        <v>0.2</v>
      </c>
      <c r="F114" s="2" t="s">
        <v>20</v>
      </c>
    </row>
    <row r="115" spans="4:10" ht="20.100000000000001" customHeight="1" x14ac:dyDescent="0.25"/>
    <row r="116" spans="4:10" ht="20.100000000000001" customHeight="1" x14ac:dyDescent="0.25">
      <c r="D116" s="56" t="str">
        <f>'Constants - Dairy'!$D$11</f>
        <v>Solid storage</v>
      </c>
      <c r="E116" s="49">
        <v>0.25</v>
      </c>
      <c r="F116" s="49">
        <v>0.25</v>
      </c>
      <c r="G116" s="49">
        <v>0.25</v>
      </c>
      <c r="H116" s="49">
        <v>0.25</v>
      </c>
      <c r="I116" s="49">
        <v>0.25</v>
      </c>
      <c r="J116" s="2" t="s">
        <v>20</v>
      </c>
    </row>
    <row r="117" spans="4:10" ht="20.100000000000001" customHeight="1" x14ac:dyDescent="0.25">
      <c r="D117" s="1" t="str">
        <f>"Perecnt separated from " &amp; $D$67 &amp; " (Method 1)"</f>
        <v>Perecnt separated from Anaerobic lagoon (Method 1)</v>
      </c>
      <c r="E117" s="101">
        <f>E101*$E$103</f>
        <v>0</v>
      </c>
      <c r="F117" s="101">
        <f>F101*$E$103</f>
        <v>0</v>
      </c>
      <c r="G117" s="101">
        <f>G101*$E$103</f>
        <v>0</v>
      </c>
      <c r="H117" s="101">
        <f>H101*$E$103</f>
        <v>0</v>
      </c>
      <c r="I117" s="101">
        <f>I101*$E$103</f>
        <v>0</v>
      </c>
      <c r="J117" s="2" t="s">
        <v>20</v>
      </c>
    </row>
    <row r="118" spans="4:10" ht="20.100000000000001" customHeight="1" x14ac:dyDescent="0.25">
      <c r="D118" s="1" t="str">
        <f>"Perecnt separated from " &amp; $D$72 &amp; " (Method 1)"</f>
        <v>Perecnt separated from Sump and dispersal system (Method 1)</v>
      </c>
      <c r="E118" s="101">
        <f>E106*$E$108</f>
        <v>0.05</v>
      </c>
      <c r="F118" s="101">
        <f>F106*$E$108</f>
        <v>0.05</v>
      </c>
      <c r="G118" s="101">
        <f>G106*$E$108</f>
        <v>0.05</v>
      </c>
      <c r="H118" s="101">
        <f>H106*$E$108</f>
        <v>0.05</v>
      </c>
      <c r="I118" s="101">
        <f>I106*$E$108</f>
        <v>0.05</v>
      </c>
      <c r="J118" s="2" t="s">
        <v>20</v>
      </c>
    </row>
    <row r="119" spans="4:10" ht="20.100000000000001" customHeight="1" x14ac:dyDescent="0.25">
      <c r="D119" s="1" t="str">
        <f>"Perecnt separated from " &amp; $D$77 &amp; " (Method 1)"</f>
        <v>Perecnt separated from Drains to paddock (Method 1)</v>
      </c>
      <c r="E119" s="101">
        <f>E111*$E$113</f>
        <v>0.05</v>
      </c>
      <c r="F119" s="101">
        <f>F111*$E$113</f>
        <v>0.05</v>
      </c>
      <c r="G119" s="101">
        <f>G111*$E$113</f>
        <v>0.05</v>
      </c>
      <c r="H119" s="101">
        <f>H111*$E$113</f>
        <v>0.05</v>
      </c>
      <c r="I119" s="101">
        <f>I111*$E$113</f>
        <v>0.05</v>
      </c>
      <c r="J119" s="2" t="s">
        <v>20</v>
      </c>
    </row>
    <row r="120" spans="4:10" ht="20.100000000000001" customHeight="1" x14ac:dyDescent="0.25">
      <c r="D120" s="1" t="s">
        <v>223</v>
      </c>
      <c r="E120" s="101">
        <f>E$116+SUM(E117:E119)</f>
        <v>0.35</v>
      </c>
      <c r="F120" s="101">
        <f>F$116+SUM(F117:F119)</f>
        <v>0.35</v>
      </c>
      <c r="G120" s="101">
        <f>G$116+SUM(G117:G119)</f>
        <v>0.35</v>
      </c>
      <c r="H120" s="101">
        <f>H$116+SUM(H117:H119)</f>
        <v>0.35</v>
      </c>
      <c r="I120" s="101">
        <f>I$116+SUM(I117:I119)</f>
        <v>0.35</v>
      </c>
      <c r="J120" s="2" t="s">
        <v>20</v>
      </c>
    </row>
    <row r="121" spans="4:10" ht="20.100000000000001" customHeight="1" x14ac:dyDescent="0.25"/>
    <row r="122" spans="4:10" ht="20.100000000000001" customHeight="1" x14ac:dyDescent="0.25">
      <c r="D122" s="1" t="s">
        <v>222</v>
      </c>
      <c r="E122" s="101">
        <f>(E101-(E101*$E$103))+(E106-(E106*$E$108))+(E111-(E111*$E$113))+E120</f>
        <v>1</v>
      </c>
      <c r="F122" s="101">
        <f>(F101-(F101*$E$103))+(F106-(F106*$E$108))+(F111-(F111*$E$113))+F120</f>
        <v>1</v>
      </c>
      <c r="G122" s="101">
        <f>(G101-(G101*$E$103))+(G106-(G106*$E$108))+(G111-(G111*$E$113))+G120</f>
        <v>1</v>
      </c>
      <c r="H122" s="101">
        <f>(H101-(H101*$E$103))+(H106-(H106*$E$108))+(H111-(H111*$E$113))+H120</f>
        <v>1</v>
      </c>
      <c r="I122" s="101">
        <f>(I101-(I101*$E$103))+(I106-(I106*$E$108))+(I111-(I111*$E$113))+I120</f>
        <v>1</v>
      </c>
      <c r="J122" s="2" t="s">
        <v>20</v>
      </c>
    </row>
    <row r="123" spans="4:10" ht="20.100000000000001" customHeight="1" x14ac:dyDescent="0.25"/>
    <row r="124" spans="4:10" ht="20.100000000000001" customHeight="1" x14ac:dyDescent="0.25">
      <c r="D124" s="1" t="str">
        <f>"Perecnt separated from " &amp; $D$67 &amp; " (Method 2)"</f>
        <v>Perecnt separated from Anaerobic lagoon (Method 2)</v>
      </c>
      <c r="E124" s="101">
        <f>E101*$E$104</f>
        <v>0</v>
      </c>
      <c r="F124" s="101">
        <f>F101*$E$104</f>
        <v>0</v>
      </c>
      <c r="G124" s="101">
        <f>G101*$E$104</f>
        <v>0</v>
      </c>
      <c r="H124" s="101">
        <f>H101*$E$104</f>
        <v>0</v>
      </c>
      <c r="I124" s="101">
        <f>I101*$E$104</f>
        <v>0</v>
      </c>
      <c r="J124" s="2" t="s">
        <v>20</v>
      </c>
    </row>
    <row r="125" spans="4:10" ht="20.100000000000001" customHeight="1" x14ac:dyDescent="0.25">
      <c r="D125" s="1" t="str">
        <f>"Perecnt separated from " &amp; $D$72 &amp; " (Method 2)"</f>
        <v>Perecnt separated from Sump and dispersal system (Method 2)</v>
      </c>
      <c r="E125" s="101">
        <f>E106*$E$109</f>
        <v>0.05</v>
      </c>
      <c r="F125" s="101">
        <f>F106*$E$109</f>
        <v>0.05</v>
      </c>
      <c r="G125" s="101">
        <f>G106*$E$109</f>
        <v>0.05</v>
      </c>
      <c r="H125" s="101">
        <f>H106*$E$109</f>
        <v>0.05</v>
      </c>
      <c r="I125" s="101">
        <f>I106*$E$109</f>
        <v>0.05</v>
      </c>
      <c r="J125" s="2" t="s">
        <v>20</v>
      </c>
    </row>
    <row r="126" spans="4:10" ht="20.100000000000001" customHeight="1" x14ac:dyDescent="0.25">
      <c r="D126" s="1" t="str">
        <f>"Perecnt separated from " &amp; $D$77 &amp; " (Method 2)"</f>
        <v>Perecnt separated from Drains to paddock (Method 2)</v>
      </c>
      <c r="E126" s="101">
        <f>E111*$E$114</f>
        <v>0.05</v>
      </c>
      <c r="F126" s="101">
        <f>F111*$E$114</f>
        <v>0.05</v>
      </c>
      <c r="G126" s="101">
        <f>G111*$E$114</f>
        <v>0.05</v>
      </c>
      <c r="H126" s="101">
        <f>H111*$E$114</f>
        <v>0.05</v>
      </c>
      <c r="I126" s="101">
        <f>I111*$E$114</f>
        <v>0.05</v>
      </c>
      <c r="J126" s="2" t="s">
        <v>20</v>
      </c>
    </row>
    <row r="127" spans="4:10" ht="20.100000000000001" customHeight="1" x14ac:dyDescent="0.25">
      <c r="D127" s="1" t="s">
        <v>224</v>
      </c>
      <c r="E127" s="101">
        <f>E$116+SUM(E124:E126)</f>
        <v>0.35</v>
      </c>
      <c r="F127" s="101">
        <f>F$116+SUM(F124:F126)</f>
        <v>0.35</v>
      </c>
      <c r="G127" s="101">
        <f>G$116+SUM(G124:G126)</f>
        <v>0.35</v>
      </c>
      <c r="H127" s="101">
        <f>H$116+SUM(H124:H126)</f>
        <v>0.35</v>
      </c>
      <c r="I127" s="101">
        <f>I$116+SUM(I124:I126)</f>
        <v>0.35</v>
      </c>
      <c r="J127" s="2" t="s">
        <v>20</v>
      </c>
    </row>
    <row r="128" spans="4:10" ht="20.100000000000001" customHeight="1" x14ac:dyDescent="0.25">
      <c r="E128" s="135"/>
      <c r="F128" s="135"/>
    </row>
    <row r="129" spans="4:10" ht="20.100000000000001" customHeight="1" x14ac:dyDescent="0.25">
      <c r="D129" s="1" t="s">
        <v>225</v>
      </c>
      <c r="E129" s="101">
        <f>(E101-(E101*$E$104))+(E106-(E106*$E$109))+(E111-(E111*$E$114))+E127</f>
        <v>1</v>
      </c>
      <c r="F129" s="101">
        <f>(F101-(F101*$E$104))+(F106-(F106*$E$109))+(F111-(F111*$E$114))+F127</f>
        <v>1</v>
      </c>
      <c r="G129" s="101">
        <f>(G101-(G101*$E$104))+(G106-(G106*$E$109))+(G111-(G111*$E$114))+G127</f>
        <v>1</v>
      </c>
      <c r="H129" s="101">
        <f>(H101-(H101*$E$104))+(H106-(H106*$E$109))+(H111-(H111*$E$114))+H127</f>
        <v>1</v>
      </c>
      <c r="I129" s="101">
        <f>(I101-(I101*$E$104))+(I106-(I106*$E$109))+(I111-(I111*$E$114))+I127</f>
        <v>1</v>
      </c>
      <c r="J129" s="2" t="s">
        <v>20</v>
      </c>
    </row>
    <row r="130" spans="4:10" ht="20.100000000000001" customHeight="1" x14ac:dyDescent="0.25"/>
    <row r="131" spans="4:10" ht="20.100000000000001" customHeight="1" x14ac:dyDescent="0.25"/>
    <row r="132" spans="4:10" ht="20.100000000000001" customHeight="1" x14ac:dyDescent="0.25">
      <c r="D132" s="6" t="s">
        <v>226</v>
      </c>
    </row>
    <row r="133" spans="4:10" ht="20.100000000000001" customHeight="1" x14ac:dyDescent="0.25">
      <c r="D133" s="51" t="str">
        <f>"From " &amp; $D$54</f>
        <v>From Milking shed</v>
      </c>
    </row>
    <row r="134" spans="4:10" ht="20.100000000000001" customHeight="1" x14ac:dyDescent="0.25"/>
    <row r="135" spans="4:10" ht="20.100000000000001" customHeight="1" x14ac:dyDescent="0.25">
      <c r="D135" s="66" t="s">
        <v>103</v>
      </c>
      <c r="E135" s="41" t="s">
        <v>186</v>
      </c>
      <c r="F135" s="41" t="s">
        <v>203</v>
      </c>
      <c r="G135" s="41" t="s">
        <v>204</v>
      </c>
      <c r="H135" s="41" t="s">
        <v>205</v>
      </c>
      <c r="I135" s="41" t="s">
        <v>206</v>
      </c>
    </row>
    <row r="136" spans="4:10" ht="20.100000000000001" customHeight="1" x14ac:dyDescent="0.25">
      <c r="D136" s="56" t="str">
        <f>"Sent from stage 1: " &amp; $D$67 &amp; " to:"</f>
        <v>Sent from stage 1: Anaerobic lagoon to:</v>
      </c>
      <c r="E136" s="58"/>
    </row>
    <row r="137" spans="4:10" ht="20.100000000000001" customHeight="1" x14ac:dyDescent="0.25">
      <c r="D137" s="1" t="s">
        <v>112</v>
      </c>
      <c r="E137" s="49">
        <v>0.25</v>
      </c>
      <c r="F137" s="49">
        <v>0.25</v>
      </c>
      <c r="G137" s="49">
        <v>0.25</v>
      </c>
      <c r="H137" s="49">
        <v>0.25</v>
      </c>
      <c r="I137" s="49">
        <v>0.25</v>
      </c>
      <c r="J137" s="2" t="s">
        <v>20</v>
      </c>
    </row>
    <row r="138" spans="4:10" ht="20.100000000000001" customHeight="1" x14ac:dyDescent="0.25">
      <c r="D138" s="1" t="s">
        <v>230</v>
      </c>
      <c r="E138" s="49">
        <v>0.25</v>
      </c>
      <c r="F138" s="49">
        <v>0.25</v>
      </c>
      <c r="G138" s="49">
        <v>0.25</v>
      </c>
      <c r="H138" s="49">
        <v>0.25</v>
      </c>
      <c r="I138" s="49">
        <v>0.25</v>
      </c>
      <c r="J138" s="2" t="s">
        <v>20</v>
      </c>
    </row>
    <row r="139" spans="4:10" ht="20.100000000000001" customHeight="1" x14ac:dyDescent="0.25">
      <c r="D139" s="1" t="s">
        <v>137</v>
      </c>
      <c r="E139" s="101">
        <f t="shared" ref="E139:I139" si="1">1-SUM(E137:E138)</f>
        <v>0.5</v>
      </c>
      <c r="F139" s="101">
        <f t="shared" si="1"/>
        <v>0.5</v>
      </c>
      <c r="G139" s="101">
        <f t="shared" si="1"/>
        <v>0.5</v>
      </c>
      <c r="H139" s="101">
        <f t="shared" si="1"/>
        <v>0.5</v>
      </c>
      <c r="I139" s="101">
        <f t="shared" si="1"/>
        <v>0.5</v>
      </c>
      <c r="J139" s="2" t="s">
        <v>20</v>
      </c>
    </row>
    <row r="140" spans="4:10" ht="20.100000000000001" customHeight="1" x14ac:dyDescent="0.25"/>
    <row r="141" spans="4:10" ht="20.100000000000001" customHeight="1" x14ac:dyDescent="0.25">
      <c r="D141" s="56" t="str">
        <f>"Sent from stage 1: " &amp; $D$72 &amp; " to:"</f>
        <v>Sent from stage 1: Sump and dispersal system to:</v>
      </c>
    </row>
    <row r="142" spans="4:10" ht="20.100000000000001" customHeight="1" x14ac:dyDescent="0.25">
      <c r="D142" s="1" t="s">
        <v>112</v>
      </c>
      <c r="E142" s="49">
        <v>0.25</v>
      </c>
      <c r="F142" s="49">
        <v>0.25</v>
      </c>
      <c r="G142" s="49">
        <v>0.25</v>
      </c>
      <c r="H142" s="49">
        <v>0.25</v>
      </c>
      <c r="I142" s="49">
        <v>0.25</v>
      </c>
      <c r="J142" s="2" t="s">
        <v>20</v>
      </c>
    </row>
    <row r="143" spans="4:10" ht="20.100000000000001" customHeight="1" x14ac:dyDescent="0.25">
      <c r="D143" s="1" t="s">
        <v>230</v>
      </c>
      <c r="E143" s="49">
        <v>0.25</v>
      </c>
      <c r="F143" s="49">
        <v>0.25</v>
      </c>
      <c r="G143" s="49">
        <v>0.25</v>
      </c>
      <c r="H143" s="49">
        <v>0.25</v>
      </c>
      <c r="I143" s="49">
        <v>0.25</v>
      </c>
      <c r="J143" s="2" t="s">
        <v>20</v>
      </c>
    </row>
    <row r="144" spans="4:10" ht="20.100000000000001" customHeight="1" x14ac:dyDescent="0.25">
      <c r="D144" s="1" t="s">
        <v>137</v>
      </c>
      <c r="E144" s="101">
        <f>1-SUM(E142:E143)</f>
        <v>0.5</v>
      </c>
      <c r="F144" s="101">
        <f t="shared" ref="F144:I144" si="2">1-SUM(F142:F143)</f>
        <v>0.5</v>
      </c>
      <c r="G144" s="101">
        <f t="shared" si="2"/>
        <v>0.5</v>
      </c>
      <c r="H144" s="101">
        <f t="shared" si="2"/>
        <v>0.5</v>
      </c>
      <c r="I144" s="101">
        <f t="shared" si="2"/>
        <v>0.5</v>
      </c>
      <c r="J144" s="2" t="s">
        <v>20</v>
      </c>
    </row>
    <row r="145" spans="4:10" ht="20.100000000000001" customHeight="1" x14ac:dyDescent="0.25"/>
    <row r="146" spans="4:10" ht="20.100000000000001" customHeight="1" x14ac:dyDescent="0.25">
      <c r="D146" s="56" t="str">
        <f>"Sent from stage 1: " &amp; $D$77 &amp; " to:"</f>
        <v>Sent from stage 1: Drains to paddock to:</v>
      </c>
    </row>
    <row r="147" spans="4:10" ht="20.100000000000001" customHeight="1" x14ac:dyDescent="0.25">
      <c r="D147" s="1" t="s">
        <v>112</v>
      </c>
      <c r="E147" s="49">
        <v>0.25</v>
      </c>
      <c r="F147" s="49">
        <v>0.25</v>
      </c>
      <c r="G147" s="49">
        <v>0.25</v>
      </c>
      <c r="H147" s="49">
        <v>0.25</v>
      </c>
      <c r="I147" s="49">
        <v>0.25</v>
      </c>
      <c r="J147" s="2" t="s">
        <v>20</v>
      </c>
    </row>
    <row r="148" spans="4:10" ht="20.100000000000001" customHeight="1" x14ac:dyDescent="0.25">
      <c r="D148" s="1" t="s">
        <v>230</v>
      </c>
      <c r="E148" s="49">
        <v>0.25</v>
      </c>
      <c r="F148" s="49">
        <v>0.25</v>
      </c>
      <c r="G148" s="49">
        <v>0.25</v>
      </c>
      <c r="H148" s="49">
        <v>0.25</v>
      </c>
      <c r="I148" s="49">
        <v>0.25</v>
      </c>
      <c r="J148" s="2" t="s">
        <v>20</v>
      </c>
    </row>
    <row r="149" spans="4:10" ht="20.100000000000001" customHeight="1" x14ac:dyDescent="0.25">
      <c r="D149" s="1" t="s">
        <v>137</v>
      </c>
      <c r="E149" s="101">
        <f>1-SUM(E147:E148)</f>
        <v>0.5</v>
      </c>
      <c r="F149" s="101">
        <f t="shared" ref="F149:I149" si="3">1-SUM(F147:F148)</f>
        <v>0.5</v>
      </c>
      <c r="G149" s="101">
        <f t="shared" si="3"/>
        <v>0.5</v>
      </c>
      <c r="H149" s="101">
        <f t="shared" si="3"/>
        <v>0.5</v>
      </c>
      <c r="I149" s="101">
        <f t="shared" si="3"/>
        <v>0.5</v>
      </c>
      <c r="J149" s="2" t="s">
        <v>20</v>
      </c>
    </row>
    <row r="150" spans="4:10" ht="20.100000000000001" customHeight="1" x14ac:dyDescent="0.25"/>
    <row r="151" spans="4:10" ht="20.100000000000001" customHeight="1" x14ac:dyDescent="0.25">
      <c r="D151" s="56" t="str">
        <f>"Sent from stage 1: " &amp; $D$82 &amp; " to:"</f>
        <v>Sent from stage 1: Solid storage to:</v>
      </c>
    </row>
    <row r="152" spans="4:10" ht="20.100000000000001" customHeight="1" x14ac:dyDescent="0.25">
      <c r="D152" s="1" t="s">
        <v>112</v>
      </c>
      <c r="E152" s="49">
        <v>0.25</v>
      </c>
      <c r="F152" s="49">
        <v>0.25</v>
      </c>
      <c r="G152" s="49">
        <v>0.25</v>
      </c>
      <c r="H152" s="49">
        <v>0.25</v>
      </c>
      <c r="I152" s="49">
        <v>0.25</v>
      </c>
      <c r="J152" s="2" t="s">
        <v>20</v>
      </c>
    </row>
    <row r="153" spans="4:10" ht="20.100000000000001" customHeight="1" x14ac:dyDescent="0.25">
      <c r="D153" s="1" t="s">
        <v>230</v>
      </c>
      <c r="E153" s="49">
        <v>0.25</v>
      </c>
      <c r="F153" s="49">
        <v>0.25</v>
      </c>
      <c r="G153" s="49">
        <v>0.25</v>
      </c>
      <c r="H153" s="49">
        <v>0.25</v>
      </c>
      <c r="I153" s="49">
        <v>0.25</v>
      </c>
      <c r="J153" s="2" t="s">
        <v>20</v>
      </c>
    </row>
    <row r="154" spans="4:10" ht="20.100000000000001" customHeight="1" x14ac:dyDescent="0.25">
      <c r="D154" s="1" t="s">
        <v>137</v>
      </c>
      <c r="E154" s="101">
        <f>1-SUM(E152:E153)</f>
        <v>0.5</v>
      </c>
      <c r="F154" s="101">
        <f t="shared" ref="F154:I154" si="4">1-SUM(F152:F153)</f>
        <v>0.5</v>
      </c>
      <c r="G154" s="101">
        <f t="shared" si="4"/>
        <v>0.5</v>
      </c>
      <c r="H154" s="101">
        <f t="shared" si="4"/>
        <v>0.5</v>
      </c>
      <c r="I154" s="101">
        <f t="shared" si="4"/>
        <v>0.5</v>
      </c>
      <c r="J154" s="2" t="s">
        <v>20</v>
      </c>
    </row>
    <row r="155" spans="4:10" ht="20.100000000000001" customHeight="1" x14ac:dyDescent="0.25"/>
    <row r="156" spans="4:10" ht="20.100000000000001" customHeight="1" x14ac:dyDescent="0.25">
      <c r="D156" s="113"/>
    </row>
    <row r="157" spans="4:10" ht="20.100000000000001" customHeight="1" x14ac:dyDescent="0.25">
      <c r="D157" s="51" t="str">
        <f>"From " &amp; $D$55</f>
        <v>From Feed pad</v>
      </c>
    </row>
    <row r="158" spans="4:10" ht="20.100000000000001" customHeight="1" x14ac:dyDescent="0.25"/>
    <row r="159" spans="4:10" ht="20.100000000000001" customHeight="1" x14ac:dyDescent="0.25">
      <c r="D159" s="66" t="s">
        <v>103</v>
      </c>
      <c r="E159" s="41" t="s">
        <v>186</v>
      </c>
      <c r="F159" s="41" t="s">
        <v>203</v>
      </c>
      <c r="G159" s="41" t="s">
        <v>204</v>
      </c>
      <c r="H159" s="41" t="s">
        <v>205</v>
      </c>
      <c r="I159" s="41" t="s">
        <v>206</v>
      </c>
    </row>
    <row r="160" spans="4:10" ht="20.100000000000001" customHeight="1" x14ac:dyDescent="0.25">
      <c r="D160" s="56" t="str">
        <f>"Sent from stage 1: " &amp; $D$67 &amp; " to:"</f>
        <v>Sent from stage 1: Anaerobic lagoon to:</v>
      </c>
      <c r="E160" s="58"/>
    </row>
    <row r="161" spans="4:10" ht="20.100000000000001" customHeight="1" x14ac:dyDescent="0.25">
      <c r="D161" s="1" t="s">
        <v>112</v>
      </c>
      <c r="E161" s="49">
        <v>0.25</v>
      </c>
      <c r="F161" s="49">
        <v>0.25</v>
      </c>
      <c r="G161" s="49">
        <v>0.25</v>
      </c>
      <c r="H161" s="49">
        <v>0.25</v>
      </c>
      <c r="I161" s="49">
        <v>0.25</v>
      </c>
      <c r="J161" s="2" t="s">
        <v>20</v>
      </c>
    </row>
    <row r="162" spans="4:10" ht="20.100000000000001" customHeight="1" x14ac:dyDescent="0.25">
      <c r="D162" s="1" t="s">
        <v>230</v>
      </c>
      <c r="E162" s="49">
        <v>0.25</v>
      </c>
      <c r="F162" s="49">
        <v>0.25</v>
      </c>
      <c r="G162" s="49">
        <v>0.25</v>
      </c>
      <c r="H162" s="49">
        <v>0.25</v>
      </c>
      <c r="I162" s="49">
        <v>0.25</v>
      </c>
      <c r="J162" s="2" t="s">
        <v>20</v>
      </c>
    </row>
    <row r="163" spans="4:10" ht="20.100000000000001" customHeight="1" x14ac:dyDescent="0.25">
      <c r="D163" s="1" t="s">
        <v>137</v>
      </c>
      <c r="E163" s="101">
        <f t="shared" ref="E163:I163" si="5">1-SUM(E161:E162)</f>
        <v>0.5</v>
      </c>
      <c r="F163" s="101">
        <f t="shared" si="5"/>
        <v>0.5</v>
      </c>
      <c r="G163" s="101">
        <f t="shared" si="5"/>
        <v>0.5</v>
      </c>
      <c r="H163" s="101">
        <f t="shared" si="5"/>
        <v>0.5</v>
      </c>
      <c r="I163" s="101">
        <f t="shared" si="5"/>
        <v>0.5</v>
      </c>
      <c r="J163" s="2" t="s">
        <v>20</v>
      </c>
    </row>
    <row r="164" spans="4:10" ht="20.100000000000001" customHeight="1" x14ac:dyDescent="0.25"/>
    <row r="165" spans="4:10" ht="20.100000000000001" customHeight="1" x14ac:dyDescent="0.25">
      <c r="D165" s="56" t="str">
        <f>"Sent from stage 1: " &amp; $D$72 &amp; " to:"</f>
        <v>Sent from stage 1: Sump and dispersal system to:</v>
      </c>
    </row>
    <row r="166" spans="4:10" x14ac:dyDescent="0.25">
      <c r="D166" s="1" t="s">
        <v>112</v>
      </c>
      <c r="E166" s="49">
        <v>0.25</v>
      </c>
      <c r="F166" s="49">
        <v>0.25</v>
      </c>
      <c r="G166" s="49">
        <v>0.25</v>
      </c>
      <c r="H166" s="49">
        <v>0.25</v>
      </c>
      <c r="I166" s="49">
        <v>0.25</v>
      </c>
      <c r="J166" s="2" t="s">
        <v>20</v>
      </c>
    </row>
    <row r="167" spans="4:10" x14ac:dyDescent="0.25">
      <c r="D167" s="1" t="s">
        <v>230</v>
      </c>
      <c r="E167" s="49">
        <v>0.25</v>
      </c>
      <c r="F167" s="49">
        <v>0.25</v>
      </c>
      <c r="G167" s="49">
        <v>0.25</v>
      </c>
      <c r="H167" s="49">
        <v>0.25</v>
      </c>
      <c r="I167" s="49">
        <v>0.25</v>
      </c>
      <c r="J167" s="2" t="s">
        <v>20</v>
      </c>
    </row>
    <row r="168" spans="4:10" x14ac:dyDescent="0.25">
      <c r="D168" s="1" t="s">
        <v>137</v>
      </c>
      <c r="E168" s="101">
        <f>1-SUM(E166:E167)</f>
        <v>0.5</v>
      </c>
      <c r="F168" s="101">
        <f t="shared" ref="F168:I168" si="6">1-SUM(F166:F167)</f>
        <v>0.5</v>
      </c>
      <c r="G168" s="101">
        <f t="shared" si="6"/>
        <v>0.5</v>
      </c>
      <c r="H168" s="101">
        <f t="shared" si="6"/>
        <v>0.5</v>
      </c>
      <c r="I168" s="101">
        <f t="shared" si="6"/>
        <v>0.5</v>
      </c>
      <c r="J168" s="2" t="s">
        <v>20</v>
      </c>
    </row>
    <row r="170" spans="4:10" x14ac:dyDescent="0.25">
      <c r="D170" s="56" t="str">
        <f>"Sent from stage 1: " &amp; $D$77 &amp; " to:"</f>
        <v>Sent from stage 1: Drains to paddock to:</v>
      </c>
    </row>
    <row r="171" spans="4:10" x14ac:dyDescent="0.25">
      <c r="D171" s="1" t="s">
        <v>112</v>
      </c>
      <c r="E171" s="49">
        <v>0.25</v>
      </c>
      <c r="F171" s="49">
        <v>0.25</v>
      </c>
      <c r="G171" s="49">
        <v>0.25</v>
      </c>
      <c r="H171" s="49">
        <v>0.25</v>
      </c>
      <c r="I171" s="49">
        <v>0.25</v>
      </c>
      <c r="J171" s="2" t="s">
        <v>20</v>
      </c>
    </row>
    <row r="172" spans="4:10" x14ac:dyDescent="0.25">
      <c r="D172" s="1" t="s">
        <v>230</v>
      </c>
      <c r="E172" s="49">
        <v>0.25</v>
      </c>
      <c r="F172" s="49">
        <v>0.25</v>
      </c>
      <c r="G172" s="49">
        <v>0.25</v>
      </c>
      <c r="H172" s="49">
        <v>0.25</v>
      </c>
      <c r="I172" s="49">
        <v>0.25</v>
      </c>
      <c r="J172" s="2" t="s">
        <v>20</v>
      </c>
    </row>
    <row r="173" spans="4:10" x14ac:dyDescent="0.25">
      <c r="D173" s="1" t="s">
        <v>137</v>
      </c>
      <c r="E173" s="101">
        <f>1-SUM(E171:E172)</f>
        <v>0.5</v>
      </c>
      <c r="F173" s="101">
        <f t="shared" ref="F173:I173" si="7">1-SUM(F171:F172)</f>
        <v>0.5</v>
      </c>
      <c r="G173" s="101">
        <f t="shared" si="7"/>
        <v>0.5</v>
      </c>
      <c r="H173" s="101">
        <f t="shared" si="7"/>
        <v>0.5</v>
      </c>
      <c r="I173" s="101">
        <f t="shared" si="7"/>
        <v>0.5</v>
      </c>
      <c r="J173" s="2" t="s">
        <v>20</v>
      </c>
    </row>
    <row r="175" spans="4:10" x14ac:dyDescent="0.25">
      <c r="D175" s="56" t="str">
        <f>"Sent from stage 1: " &amp; $D$82 &amp; " to:"</f>
        <v>Sent from stage 1: Solid storage to:</v>
      </c>
    </row>
    <row r="176" spans="4:10" x14ac:dyDescent="0.25">
      <c r="D176" s="1" t="s">
        <v>112</v>
      </c>
      <c r="E176" s="49">
        <v>0.25</v>
      </c>
      <c r="F176" s="49">
        <v>0.25</v>
      </c>
      <c r="G176" s="49">
        <v>0.25</v>
      </c>
      <c r="H176" s="49">
        <v>0.25</v>
      </c>
      <c r="I176" s="49">
        <v>0.25</v>
      </c>
      <c r="J176" s="2" t="s">
        <v>20</v>
      </c>
    </row>
    <row r="177" spans="4:10" x14ac:dyDescent="0.25">
      <c r="D177" s="1" t="s">
        <v>230</v>
      </c>
      <c r="E177" s="49">
        <v>0.25</v>
      </c>
      <c r="F177" s="49">
        <v>0.25</v>
      </c>
      <c r="G177" s="49">
        <v>0.25</v>
      </c>
      <c r="H177" s="49">
        <v>0.25</v>
      </c>
      <c r="I177" s="49">
        <v>0.25</v>
      </c>
      <c r="J177" s="2" t="s">
        <v>20</v>
      </c>
    </row>
    <row r="178" spans="4:10" x14ac:dyDescent="0.25">
      <c r="D178" s="1" t="s">
        <v>137</v>
      </c>
      <c r="E178" s="101">
        <f>1-SUM(E176:E177)</f>
        <v>0.5</v>
      </c>
      <c r="F178" s="101">
        <f t="shared" ref="F178:I178" si="8">1-SUM(F176:F177)</f>
        <v>0.5</v>
      </c>
      <c r="G178" s="101">
        <f t="shared" si="8"/>
        <v>0.5</v>
      </c>
      <c r="H178" s="101">
        <f t="shared" si="8"/>
        <v>0.5</v>
      </c>
      <c r="I178" s="101">
        <f t="shared" si="8"/>
        <v>0.5</v>
      </c>
      <c r="J178" s="2" t="s">
        <v>20</v>
      </c>
    </row>
    <row r="180" spans="4:10" x14ac:dyDescent="0.25">
      <c r="D180" s="113"/>
    </row>
    <row r="183" spans="4:10" x14ac:dyDescent="0.25">
      <c r="D183" s="1" t="s">
        <v>153</v>
      </c>
      <c r="E183" s="42" t="s">
        <v>158</v>
      </c>
      <c r="F183" s="2" t="s">
        <v>11</v>
      </c>
    </row>
    <row r="184" spans="4:10" x14ac:dyDescent="0.25">
      <c r="E184" s="42" t="s">
        <v>163</v>
      </c>
      <c r="F184" s="2" t="s">
        <v>11</v>
      </c>
    </row>
  </sheetData>
  <conditionalFormatting sqref="E10:J10 E24:J25 E28:J29 J67 J72 J77 J82:J86">
    <cfRule type="cellIs" dxfId="40" priority="30" operator="lessThan">
      <formula>0</formula>
    </cfRule>
  </conditionalFormatting>
  <conditionalFormatting sqref="E14:J15">
    <cfRule type="cellIs" dxfId="39" priority="2" operator="lessThan">
      <formula>0</formula>
    </cfRule>
  </conditionalFormatting>
  <conditionalFormatting sqref="E18:J19">
    <cfRule type="cellIs" dxfId="38" priority="1" operator="lessThan">
      <formula>0</formula>
    </cfRule>
  </conditionalFormatting>
  <conditionalFormatting sqref="E35:J37">
    <cfRule type="cellIs" dxfId="37" priority="6" operator="lessThan">
      <formula>0</formula>
    </cfRule>
  </conditionalFormatting>
  <conditionalFormatting sqref="E40:J42">
    <cfRule type="cellIs" dxfId="36" priority="3" operator="lessThan">
      <formula>0</formula>
    </cfRule>
  </conditionalFormatting>
  <conditionalFormatting sqref="F69:F70">
    <cfRule type="cellIs" dxfId="35" priority="21" operator="lessThan">
      <formula>0</formula>
    </cfRule>
  </conditionalFormatting>
  <conditionalFormatting sqref="F74:F75">
    <cfRule type="cellIs" dxfId="34" priority="20" operator="lessThan">
      <formula>0</formula>
    </cfRule>
  </conditionalFormatting>
  <conditionalFormatting sqref="F79:F80">
    <cfRule type="cellIs" dxfId="33" priority="19" operator="lessThan">
      <formula>0</formula>
    </cfRule>
  </conditionalFormatting>
  <conditionalFormatting sqref="F103:F104">
    <cfRule type="cellIs" dxfId="32" priority="13" operator="lessThan">
      <formula>0</formula>
    </cfRule>
  </conditionalFormatting>
  <conditionalFormatting sqref="F108:F109">
    <cfRule type="cellIs" dxfId="31" priority="12" operator="lessThan">
      <formula>0</formula>
    </cfRule>
  </conditionalFormatting>
  <conditionalFormatting sqref="F113:F114">
    <cfRule type="cellIs" dxfId="30" priority="11" operator="lessThan">
      <formula>0</formula>
    </cfRule>
  </conditionalFormatting>
  <conditionalFormatting sqref="J53:J55">
    <cfRule type="cellIs" dxfId="29" priority="24" operator="lessThan">
      <formula>0</formula>
    </cfRule>
  </conditionalFormatting>
  <conditionalFormatting sqref="J58:J60">
    <cfRule type="cellIs" dxfId="28" priority="23" operator="lessThan">
      <formula>0</formula>
    </cfRule>
  </conditionalFormatting>
  <conditionalFormatting sqref="J88">
    <cfRule type="cellIs" dxfId="27" priority="17" operator="lessThan">
      <formula>0</formula>
    </cfRule>
  </conditionalFormatting>
  <conditionalFormatting sqref="J90:J93">
    <cfRule type="cellIs" dxfId="26" priority="16" operator="lessThan">
      <formula>0</formula>
    </cfRule>
  </conditionalFormatting>
  <conditionalFormatting sqref="J95">
    <cfRule type="cellIs" dxfId="25" priority="15" operator="lessThan">
      <formula>0</formula>
    </cfRule>
  </conditionalFormatting>
  <conditionalFormatting sqref="J101 J106 J111 J116:J120">
    <cfRule type="cellIs" dxfId="24" priority="14" operator="lessThan">
      <formula>0</formula>
    </cfRule>
  </conditionalFormatting>
  <conditionalFormatting sqref="J122">
    <cfRule type="cellIs" dxfId="23" priority="10" operator="lessThan">
      <formula>0</formula>
    </cfRule>
  </conditionalFormatting>
  <conditionalFormatting sqref="J124:J127">
    <cfRule type="cellIs" dxfId="22" priority="9" operator="lessThan">
      <formula>0</formula>
    </cfRule>
  </conditionalFormatting>
  <conditionalFormatting sqref="J129">
    <cfRule type="cellIs" dxfId="21" priority="8" operator="lessThan">
      <formula>0</formula>
    </cfRule>
  </conditionalFormatting>
  <conditionalFormatting sqref="K43:M43">
    <cfRule type="cellIs" dxfId="20" priority="31" operator="lessThan">
      <formula>0</formula>
    </cfRule>
  </conditionalFormatting>
  <dataValidations count="6">
    <dataValidation type="list" allowBlank="1" showInputMessage="1" showErrorMessage="1" sqref="D96" xr:uid="{4E913AB3-F90B-4C35-BCE1-5DBB8FC05107}">
      <formula1>INDIRECT("Table_SourceData_PoultryMMSStage1[MMS]")</formula1>
    </dataValidation>
    <dataValidation type="list" allowBlank="1" showInputMessage="1" showErrorMessage="1" sqref="E183" xr:uid="{AF94BFC8-A9BD-4286-932B-111409BF1EB6}">
      <formula1>INDIRECT("Table_SourceData_Dairy_CropProdSystems[Production system]")</formula1>
    </dataValidation>
    <dataValidation type="list" allowBlank="1" showInputMessage="1" showErrorMessage="1" sqref="E184" xr:uid="{20E9D9A1-CABD-46A5-B149-02F06B30AA0E}">
      <formula1>INDIRECT("Table_SourceData_Dairy_IrrigationMethods[Irrigation method]")</formula1>
    </dataValidation>
    <dataValidation type="list" allowBlank="1" showInputMessage="1" showErrorMessage="1" sqref="E50" xr:uid="{9FB53635-991F-44AA-A123-E8ABEF9EE0A6}">
      <formula1>INDIRECT("Table_SourceData_Dairy_ProductionSystemTemplates[Area]")</formula1>
    </dataValidation>
    <dataValidation type="list" allowBlank="1" showInputMessage="1" showErrorMessage="1" sqref="E68 E73 E78 E112 E107 E102" xr:uid="{00A4EA4C-90D3-4150-979D-4D71C7F37A31}">
      <formula1>"Yes, No"</formula1>
    </dataValidation>
    <dataValidation type="list" allowBlank="1" showInputMessage="1" showErrorMessage="1" sqref="E7" xr:uid="{4AE50AD3-14AA-4BCF-9F4A-CDB83D5683F7}">
      <formula1>INDIRECT("Table_SourceData_Dairy_WjCowsHeifers[Breed]")</formula1>
    </dataValidation>
  </dataValidations>
  <pageMargins left="0.7" right="0.7" top="0.75" bottom="0.75" header="0.3" footer="0.3"/>
  <pageSetup paperSize="9" orientation="portrait"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EFC1CB6-2463-438A-90A4-6F54247DF8D8}">
  <dimension ref="A1:W271"/>
  <sheetViews>
    <sheetView showGridLines="0" topLeftCell="A174" zoomScaleNormal="100" workbookViewId="0">
      <selection activeCell="H188" sqref="H188"/>
    </sheetView>
  </sheetViews>
  <sheetFormatPr defaultRowHeight="15.75" x14ac:dyDescent="0.25"/>
  <cols>
    <col min="1" max="1" width="30.7109375" customWidth="1"/>
    <col min="2" max="2" width="4.7109375" customWidth="1"/>
    <col min="3" max="3" width="4.7109375" style="1" customWidth="1"/>
    <col min="4" max="11" width="30.7109375" style="1" customWidth="1"/>
    <col min="12" max="12" width="4.7109375" style="1" customWidth="1"/>
    <col min="13" max="13" width="4.7109375" customWidth="1"/>
    <col min="14" max="14" width="4.7109375" style="1" customWidth="1"/>
    <col min="15" max="22" width="30.7109375" style="1" customWidth="1"/>
    <col min="23" max="23" width="4.7109375" style="1" customWidth="1"/>
  </cols>
  <sheetData>
    <row r="1" spans="1:23" s="8" customFormat="1" ht="30" customHeight="1" x14ac:dyDescent="0.35">
      <c r="A1" s="71" t="e" vm="1">
        <v>#VALUE!</v>
      </c>
      <c r="C1" s="8" t="s">
        <v>305</v>
      </c>
    </row>
    <row r="2" spans="1:23" s="9" customFormat="1" ht="20.100000000000001" customHeight="1" x14ac:dyDescent="0.25"/>
    <row r="3" spans="1:23" ht="20.100000000000001" customHeight="1" x14ac:dyDescent="0.25">
      <c r="A3" s="17" t="str">
        <f>HYPERLINK("#'Home'!A1", "Home")</f>
        <v>Home</v>
      </c>
      <c r="C3" s="4"/>
      <c r="D3" s="4" t="s">
        <v>123</v>
      </c>
      <c r="E3" s="4"/>
      <c r="F3" s="4"/>
      <c r="G3" s="4"/>
      <c r="H3" s="4"/>
      <c r="I3" s="4"/>
      <c r="J3" s="4"/>
      <c r="K3" s="4"/>
      <c r="L3" s="4"/>
      <c r="N3" s="4"/>
      <c r="O3" s="4" t="s">
        <v>124</v>
      </c>
      <c r="P3" s="4"/>
      <c r="Q3" s="4"/>
      <c r="R3" s="4"/>
      <c r="S3" s="4"/>
      <c r="T3" s="4"/>
      <c r="U3" s="4"/>
      <c r="V3" s="4"/>
      <c r="W3" s="4"/>
    </row>
    <row r="4" spans="1:23" ht="20.100000000000001" customHeight="1" x14ac:dyDescent="0.25">
      <c r="A4" s="17" t="str">
        <f>HYPERLINK("#'Results'!A1", "Results")</f>
        <v>Results</v>
      </c>
    </row>
    <row r="5" spans="1:23" ht="20.100000000000001" customHeight="1" x14ac:dyDescent="0.25">
      <c r="A5" s="16"/>
      <c r="D5" s="134" t="str" cm="1">
        <f t="array" ref="D5">EntericMethane_Dairy_Equations.VEERG_3_3_1_1__6_MetabolisabilityOfDiet_Title()</f>
        <v>Metabolisability of the diet based on Minson and McDonald (1987)</v>
      </c>
    </row>
    <row r="6" spans="1:23" ht="20.100000000000001" customHeight="1" x14ac:dyDescent="0.25">
      <c r="A6" s="20" t="s">
        <v>3</v>
      </c>
      <c r="D6" s="5" t="str" cm="1">
        <f t="array" ref="D6">EntericMethane_Dairy_Equations.VEERG_3_3_1_1__6_MetabolisabilityOfDiet_Source()</f>
        <v>VEERG 2026: 3.3.1.1, Equation (6)</v>
      </c>
    </row>
    <row r="7" spans="1:23" ht="20.100000000000001" customHeight="1" x14ac:dyDescent="0.25">
      <c r="A7" s="17" t="str">
        <f>HYPERLINK("#'Input - Site'!A1", "Site")</f>
        <v>Site</v>
      </c>
      <c r="D7" s="13" t="s">
        <v>28</v>
      </c>
      <c r="E7" s="13" t="str" cm="1">
        <f t="array" aca="1" ref="E7" ca="1">Common_InputFunctions.Utility_DisplayFunctionName(D23)</f>
        <v>=EntericMethane_Dairy_Equations.VEERG_3_3_1_1__6_MetabolisabilityOfDiet</v>
      </c>
    </row>
    <row r="8" spans="1:23" ht="20.100000000000001" customHeight="1" x14ac:dyDescent="0.25">
      <c r="A8" s="17" t="str">
        <f>HYPERLINK("#'Input - Dairy'!A1", "Dairy")</f>
        <v>Dairy</v>
      </c>
    </row>
    <row r="9" spans="1:23" ht="20.100000000000001" customHeight="1" x14ac:dyDescent="0.25">
      <c r="A9" s="17"/>
    </row>
    <row r="10" spans="1:23" ht="20.100000000000001" customHeight="1" x14ac:dyDescent="0.25">
      <c r="A10" s="19" t="s">
        <v>78</v>
      </c>
      <c r="D10" s="56" t="s">
        <v>31</v>
      </c>
      <c r="E10" s="1" t="str" cm="1">
        <f t="array" ref="E10">EntericMethane_Dairy_Equations.VEERG_3_3_1_1__6_MetabolisabilityOfDiet_Variable()</f>
        <v>qm_j</v>
      </c>
    </row>
    <row r="11" spans="1:23" ht="20.100000000000001" customHeight="1" x14ac:dyDescent="0.25">
      <c r="A11" s="22" t="str">
        <f>HYPERLINK("#'4.3.1.1-2 Methane'!A1", "4.3.1.1-2 Methane")</f>
        <v>4.3.1.1-2 Methane</v>
      </c>
      <c r="D11" s="56" t="s">
        <v>21</v>
      </c>
      <c r="E11" s="57" t="str" cm="1">
        <f t="array" ref="E11">EntericMethane_Dairy_Equations.VEERG_3_3_1_1__6_MetabolisabilityOfDiet_Unit()</f>
        <v>fraction</v>
      </c>
    </row>
    <row r="12" spans="1:23" ht="20.100000000000001" customHeight="1" x14ac:dyDescent="0.25">
      <c r="A12" s="17" t="str">
        <f>HYPERLINK("#'4.3.1.3-4 Direct N20'!A1", "4.3.1.3-4 Direct N2O")</f>
        <v>4.3.1.3-4 Direct N2O</v>
      </c>
    </row>
    <row r="13" spans="1:23" ht="20.100000000000001" customHeight="1" x14ac:dyDescent="0.25">
      <c r="A13" s="17" t="str">
        <f>HYPERLINK("#'4.3.1.5 Atmos Deposition'!A1", "4.3.1.5 Atmospheric deposition")</f>
        <v>4.3.1.5 Atmospheric deposition</v>
      </c>
      <c r="D13" s="115" t="str" cm="1">
        <f t="array" ref="D13:E13">EntericMethane_Dairy_Equations.VEERG_3_3_1_1__6_MetabolisabilityOfDiet_Arguments()</f>
        <v>DMD_j</v>
      </c>
      <c r="E13" s="117" t="str">
        <v>dry matter digestibility expressed as a fraction</v>
      </c>
      <c r="F13" s="116"/>
      <c r="G13" s="115" t="str">
        <f>"See " &amp; D15</f>
        <v>See M1_Table_DMD_j</v>
      </c>
    </row>
    <row r="14" spans="1:23" ht="20.100000000000001" customHeight="1" x14ac:dyDescent="0.25">
      <c r="A14" s="17" t="str">
        <f>HYPERLINK("#'4.3.1.6-7 Leaching and runoff'!A1", "4.3.1.6-7 Leaching and runoff")</f>
        <v>4.3.1.6-7 Leaching and runoff</v>
      </c>
    </row>
    <row r="15" spans="1:23" ht="20.100000000000001" customHeight="1" x14ac:dyDescent="0.25">
      <c r="A15" s="17" t="str">
        <f>HYPERLINK("#'4.3.1.8 Manure applied to soils'!A1", "4.3.1.8 Manure applied to soils")</f>
        <v>4.3.1.8 Manure applied to soils</v>
      </c>
      <c r="D15" s="104" t="s">
        <v>128</v>
      </c>
      <c r="O15" s="104" t="s">
        <v>131</v>
      </c>
    </row>
    <row r="16" spans="1:23" ht="20.100000000000001" customHeight="1" x14ac:dyDescent="0.25">
      <c r="A16" s="17" t="str">
        <f>HYPERLINK("#'4.3.1.9 Soil direct N2O'!A1", "4.3.1.9 Soil direct N2O")</f>
        <v>4.3.1.9 Soil direct N2O</v>
      </c>
      <c r="D16" s="103" t="s">
        <v>130</v>
      </c>
      <c r="O16" s="103" t="s">
        <v>259</v>
      </c>
    </row>
    <row r="17" spans="1:23" ht="20.100000000000001" customHeight="1" x14ac:dyDescent="0.25">
      <c r="A17" s="17" t="str">
        <f>HYPERLINK("#'4.3.1.10-11 Soil Atmos Dep'!A1", "4.3.1.10-11 Soil atm. deposition")</f>
        <v>4.3.1.10-11 Soil atm. deposition</v>
      </c>
      <c r="D17" s="54" t="s">
        <v>186</v>
      </c>
      <c r="E17" s="54" t="s">
        <v>203</v>
      </c>
      <c r="F17" s="54" t="s">
        <v>204</v>
      </c>
      <c r="G17" s="54" t="s">
        <v>205</v>
      </c>
      <c r="H17" s="54" t="s">
        <v>206</v>
      </c>
      <c r="O17" s="54" t="s">
        <v>186</v>
      </c>
      <c r="P17" s="54" t="s">
        <v>203</v>
      </c>
      <c r="Q17" s="54" t="s">
        <v>204</v>
      </c>
      <c r="R17" s="54" t="s">
        <v>205</v>
      </c>
      <c r="S17" s="54" t="s">
        <v>206</v>
      </c>
    </row>
    <row r="18" spans="1:23" ht="20.100000000000001" customHeight="1" x14ac:dyDescent="0.25">
      <c r="A18" s="17" t="str">
        <f>HYPERLINK("#'4.3.1.12-13 Soil leach runoff'!A1", "4.3.1.12-13 Soil leach &amp; runoff")</f>
        <v>4.3.1.12-13 Soil leach &amp; runoff</v>
      </c>
      <c r="D18" s="55">
        <f>'Input - Dairy'!$E$36</f>
        <v>0.75</v>
      </c>
      <c r="E18" s="55">
        <f>'Input - Dairy'!$F$36</f>
        <v>0.75</v>
      </c>
      <c r="F18" s="55">
        <f>'Input - Dairy'!$G$36</f>
        <v>0.75</v>
      </c>
      <c r="G18" s="55">
        <f>'Input - Dairy'!$H$36</f>
        <v>0.75</v>
      </c>
      <c r="H18" s="55">
        <f>'Input - Dairy'!$I$36</f>
        <v>0.75</v>
      </c>
      <c r="I18" s="2" t="s">
        <v>248</v>
      </c>
      <c r="J18" s="2"/>
      <c r="K18" s="2"/>
      <c r="O18" s="55">
        <f>'Input - Dairy'!$E$41</f>
        <v>0.75</v>
      </c>
      <c r="P18" s="55">
        <f>'Input - Dairy'!$F$41</f>
        <v>0.75</v>
      </c>
      <c r="Q18" s="55">
        <f>'Input - Dairy'!$G$41</f>
        <v>0.75</v>
      </c>
      <c r="R18" s="55">
        <f>'Input - Dairy'!$H$41</f>
        <v>0.75</v>
      </c>
      <c r="S18" s="55">
        <f>'Input - Dairy'!$I$41</f>
        <v>0.75</v>
      </c>
      <c r="T18" s="2" t="s">
        <v>248</v>
      </c>
      <c r="U18" s="2"/>
      <c r="V18" s="2"/>
    </row>
    <row r="19" spans="1:23" ht="20.100000000000001" customHeight="1" x14ac:dyDescent="0.25">
      <c r="A19" s="17"/>
    </row>
    <row r="20" spans="1:23" ht="20.100000000000001" customHeight="1" x14ac:dyDescent="0.25">
      <c r="A20" s="18" t="s">
        <v>4</v>
      </c>
      <c r="D20" s="104" t="s">
        <v>249</v>
      </c>
      <c r="O20" s="104" t="s">
        <v>251</v>
      </c>
    </row>
    <row r="21" spans="1:23" ht="20.100000000000001" customHeight="1" x14ac:dyDescent="0.25">
      <c r="A21" s="17" t="str">
        <f>HYPERLINK("#'Constants - Dairy'!A1", "Constants - Dairy")</f>
        <v>Constants - Dairy</v>
      </c>
      <c r="D21" s="103" t="s">
        <v>250</v>
      </c>
      <c r="O21" s="103" t="s">
        <v>252</v>
      </c>
    </row>
    <row r="22" spans="1:23" ht="20.100000000000001" customHeight="1" x14ac:dyDescent="0.25">
      <c r="A22" s="17" t="str">
        <f>HYPERLINK("#'Constants - Livestock'!A1", "Constants - Livestock")</f>
        <v>Constants - Livestock</v>
      </c>
      <c r="D22" s="54" t="s">
        <v>186</v>
      </c>
      <c r="E22" s="54" t="s">
        <v>203</v>
      </c>
      <c r="F22" s="54" t="s">
        <v>204</v>
      </c>
      <c r="G22" s="54" t="s">
        <v>205</v>
      </c>
      <c r="H22" s="54" t="s">
        <v>206</v>
      </c>
      <c r="O22" s="54" t="s">
        <v>186</v>
      </c>
      <c r="P22" s="54" t="s">
        <v>203</v>
      </c>
      <c r="Q22" s="54" t="s">
        <v>204</v>
      </c>
      <c r="R22" s="54" t="s">
        <v>205</v>
      </c>
      <c r="S22" s="54" t="s">
        <v>206</v>
      </c>
    </row>
    <row r="23" spans="1:23" ht="20.100000000000001" customHeight="1" x14ac:dyDescent="0.25">
      <c r="A23" s="17" t="str">
        <f>HYPERLINK("#'Constants - Common'!A1", "Constants - Common")</f>
        <v>Constants - Common</v>
      </c>
      <c r="D23" s="55" cm="1">
        <f t="array" ref="D23">EntericMethane_Dairy_Equations.VEERG_3_3_1_1__6_MetabolisabilityOfDiet(D18)</f>
        <v>59.623600000000003</v>
      </c>
      <c r="E23" s="55" cm="1">
        <f t="array" ref="E23">EntericMethane_Dairy_Equations.VEERG_3_3_1_1__6_MetabolisabilityOfDiet(E18)</f>
        <v>59.623600000000003</v>
      </c>
      <c r="F23" s="55" cm="1">
        <f t="array" ref="F23">EntericMethane_Dairy_Equations.VEERG_3_3_1_1__6_MetabolisabilityOfDiet(F18)</f>
        <v>59.623600000000003</v>
      </c>
      <c r="G23" s="55" cm="1">
        <f t="array" ref="G23">EntericMethane_Dairy_Equations.VEERG_3_3_1_1__6_MetabolisabilityOfDiet(G18)</f>
        <v>59.623600000000003</v>
      </c>
      <c r="H23" s="55" cm="1">
        <f t="array" ref="H23">EntericMethane_Dairy_Equations.VEERG_3_3_1_1__6_MetabolisabilityOfDiet(H18)</f>
        <v>59.623600000000003</v>
      </c>
      <c r="I23" s="2" t="str">
        <f>$E$11</f>
        <v>fraction</v>
      </c>
      <c r="J23" s="2"/>
      <c r="K23" s="2"/>
      <c r="O23" s="55" cm="1">
        <f t="array" ref="O23">EntericMethane_Dairy_Equations.VEERG_3_3_1_1__6_MetabolisabilityOfDiet(O18)</f>
        <v>59.623600000000003</v>
      </c>
      <c r="P23" s="55" cm="1">
        <f t="array" ref="P23">EntericMethane_Dairy_Equations.VEERG_3_3_1_1__6_MetabolisabilityOfDiet(P18)</f>
        <v>59.623600000000003</v>
      </c>
      <c r="Q23" s="55" cm="1">
        <f t="array" ref="Q23">EntericMethane_Dairy_Equations.VEERG_3_3_1_1__6_MetabolisabilityOfDiet(Q18)</f>
        <v>59.623600000000003</v>
      </c>
      <c r="R23" s="55" cm="1">
        <f t="array" ref="R23">EntericMethane_Dairy_Equations.VEERG_3_3_1_1__6_MetabolisabilityOfDiet(R18)</f>
        <v>59.623600000000003</v>
      </c>
      <c r="S23" s="55" cm="1">
        <f t="array" ref="S23">EntericMethane_Dairy_Equations.VEERG_3_3_1_1__6_MetabolisabilityOfDiet(S18)</f>
        <v>59.623600000000003</v>
      </c>
      <c r="T23" s="2" t="str">
        <f>$E$11</f>
        <v>fraction</v>
      </c>
      <c r="U23" s="2"/>
      <c r="V23" s="2"/>
    </row>
    <row r="24" spans="1:23" ht="20.100000000000001" customHeight="1" x14ac:dyDescent="0.25">
      <c r="A24" s="17" t="str">
        <f>HYPERLINK("#'Acknowledgements'!A1", "Acknowledgements")</f>
        <v>Acknowledgements</v>
      </c>
    </row>
    <row r="25" spans="1:23" ht="20.100000000000001" customHeight="1" x14ac:dyDescent="0.25"/>
    <row r="26" spans="1:23" ht="20.100000000000001" customHeight="1" x14ac:dyDescent="0.25">
      <c r="C26" s="48"/>
      <c r="D26" s="48"/>
      <c r="E26" s="48"/>
      <c r="F26" s="48"/>
      <c r="G26" s="48"/>
      <c r="H26" s="48"/>
      <c r="I26" s="48"/>
      <c r="J26" s="48"/>
      <c r="K26" s="48"/>
      <c r="L26" s="48"/>
      <c r="N26" s="48"/>
      <c r="O26" s="48"/>
      <c r="P26" s="48"/>
      <c r="Q26" s="48"/>
      <c r="R26" s="48"/>
      <c r="S26" s="48"/>
      <c r="T26" s="48"/>
      <c r="U26" s="48"/>
      <c r="V26" s="48"/>
      <c r="W26" s="48"/>
    </row>
    <row r="27" spans="1:23" ht="20.100000000000001" customHeight="1" x14ac:dyDescent="0.25">
      <c r="D27" s="6" t="str" cm="1">
        <f t="array" ref="D27">EntericMethane_Dairy_Equations.VEERG_3_3_1_1__4_AdditionalIntakeForMilkProduction_Title()</f>
        <v>Additional intake required for milk production</v>
      </c>
    </row>
    <row r="28" spans="1:23" ht="20.100000000000001" customHeight="1" x14ac:dyDescent="0.25">
      <c r="D28" s="5" t="str" cm="1">
        <f t="array" ref="D28">EntericMethane_Dairy_Equations.VEERG_3_3_1_1__4_AdditionalIntakeForMilkProduction_Source()</f>
        <v>VEERG 2026: 3.3.1.1, Equation (4)</v>
      </c>
    </row>
    <row r="29" spans="1:23" ht="20.100000000000001" customHeight="1" x14ac:dyDescent="0.25">
      <c r="D29" s="13" t="s">
        <v>28</v>
      </c>
      <c r="E29" s="13" t="str" cm="1">
        <f t="array" aca="1" ref="E29" ca="1">Common_InputFunctions.Utility_DisplayFunctionName(D49)</f>
        <v>=EntericMethane_Dairy_Equations.VEERG_3_3_1_1__4_AdditionalIntakeForMilkProduction</v>
      </c>
    </row>
    <row r="30" spans="1:23" ht="20.100000000000001" customHeight="1" x14ac:dyDescent="0.25"/>
    <row r="31" spans="1:23" ht="20.100000000000001" customHeight="1" x14ac:dyDescent="0.25">
      <c r="D31" s="6"/>
    </row>
    <row r="32" spans="1:23" ht="20.100000000000001" customHeight="1" x14ac:dyDescent="0.25">
      <c r="D32" s="56" t="s">
        <v>31</v>
      </c>
      <c r="E32" s="1" t="str" cm="1">
        <f t="array" ref="E32">EntericMethane_Dairy_Equations.VEERG_3_3_1_1__4_AdditionalIntakeForMilkProduction_Variable()</f>
        <v>MI_j</v>
      </c>
    </row>
    <row r="33" spans="4:19" ht="20.100000000000001" customHeight="1" x14ac:dyDescent="0.25">
      <c r="D33" s="56" t="s">
        <v>21</v>
      </c>
      <c r="E33" s="57" t="str" cm="1">
        <f t="array" ref="E33">EntericMethane_Dairy_Equations.VEERG_3_3_1_1__4_AdditionalIntakeForMilkProduction_Unit()</f>
        <v>kg DM/head/day</v>
      </c>
    </row>
    <row r="34" spans="4:19" ht="20.100000000000001" customHeight="1" x14ac:dyDescent="0.25"/>
    <row r="35" spans="4:19" ht="20.100000000000001" customHeight="1" x14ac:dyDescent="0.25">
      <c r="D35" s="60" t="str" cm="1">
        <f t="array" ref="D35:E39">EntericMethane_Dairy_Equations.VEERG_3_3_1_1__4_AdditionalIntakeForMilkProduction_Arguments()</f>
        <v>MP_j</v>
      </c>
      <c r="E35" s="61" t="str">
        <v>milk production (L/head/day)</v>
      </c>
      <c r="F35" s="62"/>
      <c r="G35" s="60" t="str">
        <f>"See " &amp; D41</f>
        <v>See Table_MP_j</v>
      </c>
    </row>
    <row r="36" spans="4:19" ht="20.100000000000001" customHeight="1" x14ac:dyDescent="0.25">
      <c r="D36" s="60" t="str">
        <v>NE</v>
      </c>
      <c r="E36" s="61" t="str">
        <v>net energy (MJ net energy/kg milk)</v>
      </c>
      <c r="F36" s="62"/>
      <c r="G36" s="60">
        <f>'Constants - Dairy'!$D$167</f>
        <v>3.0539999999999998</v>
      </c>
    </row>
    <row r="37" spans="4:19" ht="20.100000000000001" customHeight="1" x14ac:dyDescent="0.25">
      <c r="D37" s="60" t="str">
        <v>GEC</v>
      </c>
      <c r="E37" s="61" t="str">
        <v>gross energy content (MJ/kgDM)</v>
      </c>
      <c r="F37" s="62"/>
      <c r="G37" s="60">
        <f>'Constants - Dairy'!$D$174</f>
        <v>18.399999999999999</v>
      </c>
    </row>
    <row r="38" spans="4:19" ht="20.100000000000001" customHeight="1" x14ac:dyDescent="0.25">
      <c r="D38" s="60" t="str">
        <v>k</v>
      </c>
      <c r="E38" s="61" t="str">
        <v>efficiency of metabolizable energy use for milk production (fraction)</v>
      </c>
      <c r="F38" s="62"/>
      <c r="G38" s="60">
        <f>'Constants - Dairy'!$D$181</f>
        <v>0.6</v>
      </c>
    </row>
    <row r="39" spans="4:19" ht="20.100000000000001" customHeight="1" x14ac:dyDescent="0.25">
      <c r="D39" s="60" t="str">
        <v>qm_j</v>
      </c>
      <c r="E39" s="61" t="str">
        <v>metabolisability of the diet (fraction)</v>
      </c>
      <c r="F39" s="62"/>
      <c r="G39" s="60" t="str">
        <f>"See " &amp; D20</f>
        <v>See M1_Table_qm_j</v>
      </c>
    </row>
    <row r="40" spans="4:19" ht="20.100000000000001" customHeight="1" x14ac:dyDescent="0.25"/>
    <row r="41" spans="4:19" ht="20.100000000000001" customHeight="1" x14ac:dyDescent="0.25">
      <c r="D41" s="104" t="s">
        <v>258</v>
      </c>
    </row>
    <row r="42" spans="4:19" ht="20.100000000000001" customHeight="1" x14ac:dyDescent="0.25">
      <c r="D42" s="103" t="s">
        <v>210</v>
      </c>
    </row>
    <row r="43" spans="4:19" ht="20.100000000000001" customHeight="1" x14ac:dyDescent="0.25">
      <c r="D43" s="54" t="s">
        <v>186</v>
      </c>
      <c r="E43" s="54" t="s">
        <v>203</v>
      </c>
      <c r="F43" s="54" t="s">
        <v>204</v>
      </c>
      <c r="G43" s="54" t="s">
        <v>205</v>
      </c>
      <c r="H43" s="54" t="s">
        <v>206</v>
      </c>
    </row>
    <row r="44" spans="4:19" ht="20.100000000000001" customHeight="1" x14ac:dyDescent="0.25">
      <c r="D44" s="55">
        <f>'Input - Dairy'!$E$46</f>
        <v>44</v>
      </c>
      <c r="E44" s="55">
        <v>0</v>
      </c>
      <c r="F44" s="55">
        <v>0</v>
      </c>
      <c r="G44" s="55">
        <v>0</v>
      </c>
      <c r="H44" s="55">
        <v>0</v>
      </c>
      <c r="I44" s="2" t="s">
        <v>255</v>
      </c>
      <c r="J44" s="2"/>
      <c r="K44" s="2"/>
    </row>
    <row r="45" spans="4:19" ht="20.100000000000001" customHeight="1" x14ac:dyDescent="0.25"/>
    <row r="46" spans="4:19" ht="20.100000000000001" customHeight="1" x14ac:dyDescent="0.25">
      <c r="D46" s="104" t="s">
        <v>253</v>
      </c>
      <c r="O46" s="104" t="s">
        <v>256</v>
      </c>
    </row>
    <row r="47" spans="4:19" ht="20.100000000000001" customHeight="1" x14ac:dyDescent="0.25">
      <c r="D47" s="103" t="s">
        <v>254</v>
      </c>
      <c r="O47" s="103" t="s">
        <v>257</v>
      </c>
    </row>
    <row r="48" spans="4:19" ht="20.100000000000001" customHeight="1" x14ac:dyDescent="0.25">
      <c r="D48" s="54" t="s">
        <v>186</v>
      </c>
      <c r="E48" s="54" t="s">
        <v>203</v>
      </c>
      <c r="F48" s="54" t="s">
        <v>204</v>
      </c>
      <c r="G48" s="54" t="s">
        <v>205</v>
      </c>
      <c r="H48" s="54" t="s">
        <v>206</v>
      </c>
      <c r="O48" s="54" t="s">
        <v>186</v>
      </c>
      <c r="P48" s="54" t="s">
        <v>203</v>
      </c>
      <c r="Q48" s="54" t="s">
        <v>204</v>
      </c>
      <c r="R48" s="54" t="s">
        <v>205</v>
      </c>
      <c r="S48" s="54" t="s">
        <v>206</v>
      </c>
    </row>
    <row r="49" spans="3:23" ht="20.100000000000001" customHeight="1" x14ac:dyDescent="0.25">
      <c r="D49" s="55" cm="1">
        <f t="array" ref="D49">EntericMethane_Dairy_Equations.VEERG_3_3_1_1__4_AdditionalIntakeForMilkProduction(D44, $G$36,$G$37,$G$38,D23)</f>
        <v>0.21026726504853488</v>
      </c>
      <c r="E49" s="55" cm="1">
        <f t="array" ref="E49">EntericMethane_Dairy_Equations.VEERG_3_3_1_1__4_AdditionalIntakeForMilkProduction(E44, $G$36,$G$37,$G$38,E23)</f>
        <v>0</v>
      </c>
      <c r="F49" s="55" cm="1">
        <f t="array" ref="F49">EntericMethane_Dairy_Equations.VEERG_3_3_1_1__4_AdditionalIntakeForMilkProduction(F44, $G$36,$G$37,$G$38,F23)</f>
        <v>0</v>
      </c>
      <c r="G49" s="55" cm="1">
        <f t="array" ref="G49">EntericMethane_Dairy_Equations.VEERG_3_3_1_1__4_AdditionalIntakeForMilkProduction(G44, $G$36,$G$37,$G$38,G23)</f>
        <v>0</v>
      </c>
      <c r="H49" s="55" cm="1">
        <f t="array" ref="H49">EntericMethane_Dairy_Equations.VEERG_3_3_1_1__4_AdditionalIntakeForMilkProduction(H44, $G$36,$G$37,$G$38,H23)</f>
        <v>0</v>
      </c>
      <c r="I49" s="2" t="str">
        <f>$E$33</f>
        <v>kg DM/head/day</v>
      </c>
      <c r="J49" s="2"/>
      <c r="K49" s="2"/>
      <c r="O49" s="55" cm="1">
        <f t="array" ref="O49">EntericMethane_Dairy_Equations.VEERG_3_3_1_1__4_AdditionalIntakeForMilkProduction(D44, $G$36,$G$37,$G$38,O23)</f>
        <v>0.21026726504853488</v>
      </c>
      <c r="P49" s="55" cm="1">
        <f t="array" ref="P49">EntericMethane_Dairy_Equations.VEERG_3_3_1_1__4_AdditionalIntakeForMilkProduction(E44, $G$36,$G$37,$G$38,P23)</f>
        <v>0</v>
      </c>
      <c r="Q49" s="55" cm="1">
        <f t="array" ref="Q49">EntericMethane_Dairy_Equations.VEERG_3_3_1_1__4_AdditionalIntakeForMilkProduction(F44, $G$36,$G$37,$G$38,Q23)</f>
        <v>0</v>
      </c>
      <c r="R49" s="55" cm="1">
        <f t="array" ref="R49">EntericMethane_Dairy_Equations.VEERG_3_3_1_1__4_AdditionalIntakeForMilkProduction(G44, $G$36,$G$37,$G$38,R23)</f>
        <v>0</v>
      </c>
      <c r="S49" s="55" cm="1">
        <f t="array" ref="S49">EntericMethane_Dairy_Equations.VEERG_3_3_1_1__4_AdditionalIntakeForMilkProduction(H44, $G$36,$G$37,$G$38,S23)</f>
        <v>0</v>
      </c>
      <c r="T49" s="2" t="str">
        <f>$E$33</f>
        <v>kg DM/head/day</v>
      </c>
      <c r="U49" s="2"/>
      <c r="V49" s="2"/>
    </row>
    <row r="50" spans="3:23" ht="20.100000000000001" customHeight="1" x14ac:dyDescent="0.25"/>
    <row r="51" spans="3:23" ht="20.100000000000001" customHeight="1" x14ac:dyDescent="0.25"/>
    <row r="52" spans="3:23" ht="20.100000000000001" customHeight="1" x14ac:dyDescent="0.25">
      <c r="C52" s="48"/>
      <c r="D52" s="48"/>
      <c r="E52" s="48"/>
      <c r="F52" s="48"/>
      <c r="G52" s="48"/>
      <c r="H52" s="48"/>
      <c r="I52" s="48"/>
      <c r="J52" s="48"/>
      <c r="K52" s="48"/>
      <c r="L52" s="48"/>
      <c r="N52" s="48"/>
      <c r="O52" s="48"/>
      <c r="P52" s="48"/>
      <c r="Q52" s="48"/>
      <c r="R52" s="48"/>
      <c r="S52" s="48"/>
      <c r="T52" s="48"/>
      <c r="U52" s="48"/>
      <c r="V52" s="48"/>
      <c r="W52" s="48"/>
    </row>
    <row r="53" spans="3:23" ht="20.100000000000001" customHeight="1" x14ac:dyDescent="0.25">
      <c r="D53" s="134" t="str" cm="1">
        <f t="array" ref="D53">EntericMethane_Dairy_Equations.VEERG_3_3_1_1__3_DryMatterFeedIntake_Title()</f>
        <v>Feed intake based on Minson and McDonald (1987)</v>
      </c>
    </row>
    <row r="54" spans="3:23" ht="20.100000000000001" customHeight="1" x14ac:dyDescent="0.25">
      <c r="D54" s="5" t="str" cm="1">
        <f t="array" ref="D54">EntericMethane_Dairy_Equations.VEERG_3_3_1_1__3_DryMatterFeedIntake_Source()</f>
        <v>VEERG 2026: 3.3.1.1, Equation (3)</v>
      </c>
    </row>
    <row r="55" spans="3:23" ht="20.100000000000001" customHeight="1" x14ac:dyDescent="0.25">
      <c r="D55" s="13" t="s">
        <v>28</v>
      </c>
      <c r="E55" s="13" t="str" cm="1">
        <f t="array" aca="1" ref="E55" ca="1">Common_InputFunctions.Utility_DisplayFunctionName(D84)</f>
        <v>=EntericMethane_Dairy_Equations.VEERG_3_3_1_1__3_DryMatterFeedIntake</v>
      </c>
    </row>
    <row r="56" spans="3:23" ht="20.100000000000001" customHeight="1" x14ac:dyDescent="0.25"/>
    <row r="57" spans="3:23" ht="20.100000000000001" customHeight="1" x14ac:dyDescent="0.25"/>
    <row r="58" spans="3:23" ht="20.100000000000001" customHeight="1" x14ac:dyDescent="0.25">
      <c r="D58" s="56" t="s">
        <v>31</v>
      </c>
      <c r="E58" s="1" t="str" cm="1">
        <f t="array" ref="E58">EntericMethane_Dairy_Equations.VEERG_3_3_1_1__3_DryMatterFeedIntake_Variable()</f>
        <v>I_j</v>
      </c>
    </row>
    <row r="59" spans="3:23" ht="20.100000000000001" customHeight="1" x14ac:dyDescent="0.25">
      <c r="D59" s="56" t="s">
        <v>21</v>
      </c>
      <c r="E59" s="57" t="str" cm="1">
        <f t="array" ref="E59">EntericMethane_Dairy_Equations.VEERG_3_3_1_1__3_DryMatterFeedIntake_Unit()</f>
        <v>kg DM/head/day</v>
      </c>
    </row>
    <row r="60" spans="3:23" ht="20.100000000000001" customHeight="1" x14ac:dyDescent="0.25"/>
    <row r="61" spans="3:23" ht="20.100000000000001" customHeight="1" x14ac:dyDescent="0.25">
      <c r="D61" s="60" t="str" cm="1">
        <f t="array" ref="D61:E64">EntericMethane_Dairy_Equations.VEERG_3_3_1_1__3_DryMatterFeedIntake_Arguments()</f>
        <v>W_j</v>
      </c>
      <c r="E61" s="61" t="str">
        <v>liveweight (kg)</v>
      </c>
      <c r="F61" s="62"/>
      <c r="G61" s="60" t="str">
        <f>"See " &amp; D66</f>
        <v>See M1_Table_W_j</v>
      </c>
    </row>
    <row r="62" spans="3:23" ht="20.100000000000001" customHeight="1" x14ac:dyDescent="0.25">
      <c r="D62" s="60" t="str">
        <v>LWG_j</v>
      </c>
      <c r="E62" s="61" t="str">
        <v>liveweight gain (kg/head/day)</v>
      </c>
      <c r="F62" s="62"/>
      <c r="G62" s="60" t="str">
        <f>"See " &amp; D71</f>
        <v>See M1_Table_LWG_j</v>
      </c>
    </row>
    <row r="63" spans="3:23" ht="20.100000000000001" customHeight="1" x14ac:dyDescent="0.25">
      <c r="D63" s="60" t="str">
        <v>MR_j</v>
      </c>
      <c r="E63" s="61" t="str">
        <v>increase in metabolic rate when producing milk (fraction)</v>
      </c>
      <c r="F63" s="62"/>
      <c r="G63" s="60" t="str">
        <f>"See " &amp; D76</f>
        <v>See Table_MR_j</v>
      </c>
    </row>
    <row r="64" spans="3:23" ht="20.100000000000001" customHeight="1" x14ac:dyDescent="0.25">
      <c r="D64" s="60" t="str">
        <v>MI_j</v>
      </c>
      <c r="E64" s="61" t="str">
        <v>additional intake required for milk production (kg DM/head/day)</v>
      </c>
      <c r="F64" s="62"/>
      <c r="G64" s="60" t="str">
        <f>"See " &amp; D46</f>
        <v>See M1_Table_MI_j</v>
      </c>
    </row>
    <row r="65" spans="4:22" ht="20.100000000000001" customHeight="1" x14ac:dyDescent="0.25"/>
    <row r="66" spans="4:22" ht="20.100000000000001" customHeight="1" x14ac:dyDescent="0.25">
      <c r="D66" s="104" t="s">
        <v>238</v>
      </c>
      <c r="O66" s="104" t="s">
        <v>240</v>
      </c>
    </row>
    <row r="67" spans="4:22" ht="20.100000000000001" customHeight="1" x14ac:dyDescent="0.25">
      <c r="D67" s="103" t="s">
        <v>239</v>
      </c>
      <c r="O67" s="103" t="s">
        <v>241</v>
      </c>
    </row>
    <row r="68" spans="4:22" ht="20.100000000000001" customHeight="1" x14ac:dyDescent="0.25">
      <c r="D68" s="54" t="s">
        <v>186</v>
      </c>
      <c r="E68" s="54" t="s">
        <v>203</v>
      </c>
      <c r="F68" s="54" t="s">
        <v>204</v>
      </c>
      <c r="G68" s="54" t="s">
        <v>205</v>
      </c>
      <c r="H68" s="54" t="s">
        <v>206</v>
      </c>
      <c r="O68" s="54" t="s">
        <v>186</v>
      </c>
      <c r="P68" s="54" t="s">
        <v>203</v>
      </c>
      <c r="Q68" s="54" t="s">
        <v>204</v>
      </c>
      <c r="R68" s="54" t="s">
        <v>205</v>
      </c>
      <c r="S68" s="54" t="s">
        <v>206</v>
      </c>
    </row>
    <row r="69" spans="4:22" ht="20.100000000000001" customHeight="1" x14ac:dyDescent="0.25">
      <c r="D69" s="55">
        <f>'Input - Dairy'!$E$14</f>
        <v>550</v>
      </c>
      <c r="E69" s="55">
        <f>'Input - Dairy'!$F$14</f>
        <v>380</v>
      </c>
      <c r="F69" s="55">
        <f>'Input - Dairy'!$G$14</f>
        <v>155</v>
      </c>
      <c r="G69" s="55">
        <f>'Input - Dairy'!$H$14</f>
        <v>600</v>
      </c>
      <c r="H69" s="55">
        <f>'Input - Dairy'!$I$14</f>
        <v>225</v>
      </c>
      <c r="I69" s="2" t="s">
        <v>208</v>
      </c>
      <c r="J69" s="2"/>
      <c r="K69" s="2"/>
      <c r="O69" s="55">
        <f>'Input - Dairy'!$E$18</f>
        <v>550</v>
      </c>
      <c r="P69" s="55">
        <f>'Input - Dairy'!$F$18</f>
        <v>380</v>
      </c>
      <c r="Q69" s="55">
        <f>'Input - Dairy'!$G$18</f>
        <v>155</v>
      </c>
      <c r="R69" s="55">
        <f>'Input - Dairy'!$H$18</f>
        <v>600</v>
      </c>
      <c r="S69" s="55">
        <f>'Input - Dairy'!$I$18</f>
        <v>225</v>
      </c>
      <c r="T69" s="2" t="s">
        <v>208</v>
      </c>
      <c r="U69" s="2"/>
      <c r="V69" s="2"/>
    </row>
    <row r="70" spans="4:22" ht="20.100000000000001" customHeight="1" x14ac:dyDescent="0.25"/>
    <row r="71" spans="4:22" ht="20.100000000000001" customHeight="1" x14ac:dyDescent="0.25">
      <c r="D71" s="104" t="s">
        <v>242</v>
      </c>
      <c r="O71" s="104" t="s">
        <v>244</v>
      </c>
    </row>
    <row r="72" spans="4:22" ht="20.100000000000001" customHeight="1" x14ac:dyDescent="0.25">
      <c r="D72" s="103" t="s">
        <v>243</v>
      </c>
      <c r="O72" s="103" t="s">
        <v>245</v>
      </c>
    </row>
    <row r="73" spans="4:22" ht="20.100000000000001" customHeight="1" x14ac:dyDescent="0.25">
      <c r="D73" s="54" t="s">
        <v>186</v>
      </c>
      <c r="E73" s="54" t="s">
        <v>203</v>
      </c>
      <c r="F73" s="54" t="s">
        <v>204</v>
      </c>
      <c r="G73" s="54" t="s">
        <v>205</v>
      </c>
      <c r="H73" s="54" t="s">
        <v>206</v>
      </c>
      <c r="O73" s="54" t="s">
        <v>186</v>
      </c>
      <c r="P73" s="54" t="s">
        <v>203</v>
      </c>
      <c r="Q73" s="54" t="s">
        <v>204</v>
      </c>
      <c r="R73" s="54" t="s">
        <v>205</v>
      </c>
      <c r="S73" s="54" t="s">
        <v>206</v>
      </c>
    </row>
    <row r="74" spans="4:22" ht="20.100000000000001" customHeight="1" x14ac:dyDescent="0.25">
      <c r="D74" s="55">
        <f>'Input - Dairy'!$E$15</f>
        <v>1.6E-2</v>
      </c>
      <c r="E74" s="55">
        <f>'Input - Dairy'!$F$15</f>
        <v>0.6</v>
      </c>
      <c r="F74" s="55">
        <f>'Input - Dairy'!$G$15</f>
        <v>0.56999999999999995</v>
      </c>
      <c r="G74" s="55">
        <f>'Input - Dairy'!$H$15</f>
        <v>0.1</v>
      </c>
      <c r="H74" s="55">
        <f>'Input - Dairy'!$I$15</f>
        <v>0.8</v>
      </c>
      <c r="I74" s="2" t="s">
        <v>209</v>
      </c>
      <c r="J74" s="2"/>
      <c r="K74" s="2"/>
      <c r="O74" s="55">
        <f>'Input - Dairy'!$E$19</f>
        <v>1.6E-2</v>
      </c>
      <c r="P74" s="55">
        <f>'Input - Dairy'!$F$19</f>
        <v>0.6</v>
      </c>
      <c r="Q74" s="55">
        <f>'Input - Dairy'!$G$19</f>
        <v>0.56999999999999995</v>
      </c>
      <c r="R74" s="55">
        <f>'Input - Dairy'!$H$19</f>
        <v>0.1</v>
      </c>
      <c r="S74" s="55">
        <f>'Input - Dairy'!$I$19</f>
        <v>0.8</v>
      </c>
      <c r="T74" s="2" t="s">
        <v>209</v>
      </c>
      <c r="U74" s="2"/>
      <c r="V74" s="2"/>
    </row>
    <row r="75" spans="4:22" ht="20.100000000000001" customHeight="1" x14ac:dyDescent="0.25"/>
    <row r="76" spans="4:22" ht="20.100000000000001" customHeight="1" x14ac:dyDescent="0.25">
      <c r="D76" s="104" t="s">
        <v>246</v>
      </c>
    </row>
    <row r="77" spans="4:22" ht="20.100000000000001" customHeight="1" x14ac:dyDescent="0.25">
      <c r="D77" s="103" t="s">
        <v>247</v>
      </c>
    </row>
    <row r="78" spans="4:22" ht="20.100000000000001" customHeight="1" x14ac:dyDescent="0.25">
      <c r="D78" s="54" t="s">
        <v>186</v>
      </c>
      <c r="E78" s="54" t="s">
        <v>203</v>
      </c>
      <c r="F78" s="54" t="s">
        <v>204</v>
      </c>
      <c r="G78" s="54" t="s">
        <v>205</v>
      </c>
      <c r="H78" s="54" t="s">
        <v>206</v>
      </c>
    </row>
    <row r="79" spans="4:22" ht="20.100000000000001" customHeight="1" x14ac:dyDescent="0.25">
      <c r="D79" s="55">
        <f>'Constants - Dairy'!$E$108</f>
        <v>1.1000000000000001</v>
      </c>
      <c r="E79" s="55">
        <f>'Constants - Dairy'!$E$109</f>
        <v>1</v>
      </c>
      <c r="F79" s="55">
        <f>'Constants - Dairy'!$E$109</f>
        <v>1</v>
      </c>
      <c r="G79" s="55">
        <f>'Constants - Dairy'!$E$109</f>
        <v>1</v>
      </c>
      <c r="H79" s="55">
        <f>'Constants - Dairy'!$E$109</f>
        <v>1</v>
      </c>
      <c r="I79" s="2" t="s">
        <v>101</v>
      </c>
      <c r="J79" s="2"/>
      <c r="K79" s="2"/>
    </row>
    <row r="80" spans="4:22" ht="20.100000000000001" customHeight="1" x14ac:dyDescent="0.25"/>
    <row r="81" spans="3:23" ht="20.100000000000001" customHeight="1" x14ac:dyDescent="0.25">
      <c r="D81" s="104" t="s">
        <v>116</v>
      </c>
      <c r="O81" s="104" t="s">
        <v>118</v>
      </c>
    </row>
    <row r="82" spans="3:23" ht="20.100000000000001" customHeight="1" x14ac:dyDescent="0.25">
      <c r="D82" s="103" t="s">
        <v>261</v>
      </c>
      <c r="O82" s="103" t="s">
        <v>260</v>
      </c>
    </row>
    <row r="83" spans="3:23" ht="20.100000000000001" customHeight="1" x14ac:dyDescent="0.25">
      <c r="D83" s="54" t="s">
        <v>186</v>
      </c>
      <c r="E83" s="54" t="s">
        <v>203</v>
      </c>
      <c r="F83" s="54" t="s">
        <v>204</v>
      </c>
      <c r="G83" s="54" t="s">
        <v>205</v>
      </c>
      <c r="H83" s="54" t="s">
        <v>206</v>
      </c>
      <c r="O83" s="54" t="s">
        <v>186</v>
      </c>
      <c r="P83" s="54" t="s">
        <v>203</v>
      </c>
      <c r="Q83" s="54" t="s">
        <v>204</v>
      </c>
      <c r="R83" s="54" t="s">
        <v>205</v>
      </c>
      <c r="S83" s="54" t="s">
        <v>206</v>
      </c>
    </row>
    <row r="84" spans="3:23" ht="20.100000000000001" customHeight="1" x14ac:dyDescent="0.25">
      <c r="D84" s="55" cm="1">
        <f t="array" ref="D84">EntericMethane_Dairy_Equations.VEERG_3_3_1_1__3_DryMatterFeedIntake(D69,D74,D79,D49)</f>
        <v>9.4647127858085369</v>
      </c>
      <c r="E84" s="55" cm="1">
        <f t="array" ref="E84">EntericMethane_Dairy_Equations.VEERG_3_3_1_1__3_DryMatterFeedIntake(E69,E74,E79,E49)</f>
        <v>7.4188685375999972</v>
      </c>
      <c r="F84" s="55" cm="1">
        <f t="array" ref="F84">EntericMethane_Dairy_Equations.VEERG_3_3_1_1__3_DryMatterFeedIntake(F69,F74,F79,F49)</f>
        <v>4.0231734662249998</v>
      </c>
      <c r="G84" s="55" cm="1">
        <f t="array" ref="G84">EntericMethane_Dairy_Equations.VEERG_3_3_1_1__3_DryMatterFeedIntake(G69,G74,G79,G49)</f>
        <v>9.0270202499999979</v>
      </c>
      <c r="H84" s="55" cm="1">
        <f t="array" ref="H84">EntericMethane_Dairy_Equations.VEERG_3_3_1_1__3_DryMatterFeedIntake(H69,H74,H79,H49)</f>
        <v>5.4143472656250013</v>
      </c>
      <c r="I84" s="2" t="str">
        <f>$E$59</f>
        <v>kg DM/head/day</v>
      </c>
      <c r="J84" s="2"/>
      <c r="K84" s="2"/>
      <c r="O84" s="55" cm="1">
        <f t="array" ref="O84">EntericMethane_Dairy_Equations.VEERG_3_3_1_1__3_DryMatterFeedIntake(O69,O74,D79,O49)</f>
        <v>9.4647127858085369</v>
      </c>
      <c r="P84" s="55" cm="1">
        <f t="array" ref="P84">EntericMethane_Dairy_Equations.VEERG_3_3_1_1__3_DryMatterFeedIntake(P69,P74,E79,P49)</f>
        <v>7.4188685375999972</v>
      </c>
      <c r="Q84" s="55" cm="1">
        <f t="array" ref="Q84">EntericMethane_Dairy_Equations.VEERG_3_3_1_1__3_DryMatterFeedIntake(Q69,Q74,F79,Q49)</f>
        <v>4.0231734662249998</v>
      </c>
      <c r="R84" s="55" cm="1">
        <f t="array" ref="R84">EntericMethane_Dairy_Equations.VEERG_3_3_1_1__3_DryMatterFeedIntake(R69,R74,G79,R49)</f>
        <v>9.0270202499999979</v>
      </c>
      <c r="S84" s="55" cm="1">
        <f t="array" ref="S84">EntericMethane_Dairy_Equations.VEERG_3_3_1_1__3_DryMatterFeedIntake(S69,S74,H79,S49)</f>
        <v>5.4143472656250013</v>
      </c>
      <c r="T84" s="2" t="str">
        <f>$E$59</f>
        <v>kg DM/head/day</v>
      </c>
      <c r="U84" s="2"/>
      <c r="V84" s="2"/>
    </row>
    <row r="85" spans="3:23" ht="20.100000000000001" customHeight="1" x14ac:dyDescent="0.25"/>
    <row r="86" spans="3:23" ht="20.100000000000001" customHeight="1" x14ac:dyDescent="0.25"/>
    <row r="87" spans="3:23" ht="20.100000000000001" customHeight="1" x14ac:dyDescent="0.25">
      <c r="C87" s="48"/>
      <c r="D87" s="48"/>
      <c r="E87" s="48"/>
      <c r="F87" s="48"/>
      <c r="G87" s="48"/>
      <c r="H87" s="48"/>
      <c r="I87" s="48"/>
      <c r="J87" s="48"/>
      <c r="K87" s="48"/>
      <c r="L87" s="48"/>
      <c r="N87" s="48"/>
      <c r="O87" s="48"/>
      <c r="P87" s="48"/>
      <c r="Q87" s="48"/>
      <c r="R87" s="48"/>
      <c r="S87" s="48"/>
      <c r="T87" s="48"/>
      <c r="U87" s="48"/>
      <c r="V87" s="48"/>
      <c r="W87" s="48"/>
    </row>
    <row r="88" spans="3:23" ht="20.100000000000001" customHeight="1" x14ac:dyDescent="0.25">
      <c r="D88" s="6" t="str" cm="1">
        <f t="array" ref="D88">MMS_Dairy_Methane_Equations.VEERG_4_3_1_1__3_VolatileSolidsForWeanedDairyCattle_Title()</f>
        <v>Volatile solids for weaned dairy cattle</v>
      </c>
    </row>
    <row r="89" spans="3:23" ht="20.100000000000001" customHeight="1" x14ac:dyDescent="0.25">
      <c r="D89" s="5" t="str" cm="1">
        <f t="array" ref="D89">MMS_Dairy_Methane_Equations.VEERG_4_3_1_1__3_VolatileSolidsForWeanedDairyCattle_Source()</f>
        <v>VEERG 2026: 4.3.1.1, Equation (3)</v>
      </c>
    </row>
    <row r="90" spans="3:23" ht="20.100000000000001" customHeight="1" x14ac:dyDescent="0.25">
      <c r="D90" s="13" t="s">
        <v>28</v>
      </c>
      <c r="E90" s="13" t="str" cm="1">
        <f t="array" aca="1" ref="E90" ca="1">Common_InputFunctions.Utility_DisplayFunctionName(D103)</f>
        <v>=MMS_Dairy_Methane_Equations.VEERG_4_3_1_1__3_VolatileSolidsForWeanedDairyCattle</v>
      </c>
    </row>
    <row r="91" spans="3:23" ht="20.100000000000001" customHeight="1" x14ac:dyDescent="0.25"/>
    <row r="92" spans="3:23" ht="20.100000000000001" customHeight="1" x14ac:dyDescent="0.25"/>
    <row r="93" spans="3:23" ht="20.100000000000001" customHeight="1" x14ac:dyDescent="0.25">
      <c r="D93" s="56" t="s">
        <v>31</v>
      </c>
      <c r="E93" s="1" t="str" cm="1">
        <f t="array" ref="E93">MMS_Dairy_Methane_Equations.VEERG_4_3_1_1__3_VolatileSolidsForWeanedDairyCattle_Variable()</f>
        <v>VS_j</v>
      </c>
    </row>
    <row r="94" spans="3:23" ht="20.100000000000001" customHeight="1" x14ac:dyDescent="0.25">
      <c r="D94" s="56" t="s">
        <v>21</v>
      </c>
      <c r="E94" s="57" t="str" cm="1">
        <f t="array" ref="E94">MMS_Dairy_Methane_Equations.VEERG_4_3_1_1__3_VolatileSolidsForWeanedDairyCattle_Unit()</f>
        <v>kg/head/day</v>
      </c>
    </row>
    <row r="95" spans="3:23" ht="20.100000000000001" customHeight="1" x14ac:dyDescent="0.25"/>
    <row r="96" spans="3:23" ht="20.100000000000001" customHeight="1" x14ac:dyDescent="0.25">
      <c r="D96" s="115" t="str" cm="1">
        <f t="array" ref="D96:E98">MMS_Dairy_Methane_Equations.VEERG_4_3_1_1__3_VolatileSolidsForWeanedDairyCattle_Arguments()</f>
        <v>I_j</v>
      </c>
      <c r="E96" s="117" t="str">
        <v>dry matter feed intake (kgDM/head/day)</v>
      </c>
      <c r="F96" s="116"/>
      <c r="G96" s="115" t="str">
        <f>"See " &amp; D81</f>
        <v>See M1_Table_I_j</v>
      </c>
    </row>
    <row r="97" spans="3:23" ht="20.100000000000001" customHeight="1" x14ac:dyDescent="0.25">
      <c r="D97" s="115" t="str">
        <v>DMD_j</v>
      </c>
      <c r="E97" s="117" t="str">
        <v>dry matter digestibility</v>
      </c>
      <c r="F97" s="116"/>
      <c r="G97" s="115" t="str">
        <f>"See " &amp; D15</f>
        <v>See M1_Table_DMD_j</v>
      </c>
    </row>
    <row r="98" spans="3:23" ht="20.100000000000001" customHeight="1" x14ac:dyDescent="0.25">
      <c r="D98" s="115" t="str">
        <v>A</v>
      </c>
      <c r="E98" s="117" t="str">
        <v>ash content of feed intake</v>
      </c>
      <c r="F98" s="116"/>
      <c r="G98" s="60">
        <f>'Constants - Dairy'!$D$188</f>
        <v>0.08</v>
      </c>
    </row>
    <row r="99" spans="3:23" ht="20.100000000000001" customHeight="1" x14ac:dyDescent="0.25"/>
    <row r="100" spans="3:23" ht="20.100000000000001" customHeight="1" x14ac:dyDescent="0.25">
      <c r="D100" s="104" t="s">
        <v>129</v>
      </c>
      <c r="O100" s="104" t="s">
        <v>132</v>
      </c>
    </row>
    <row r="101" spans="3:23" ht="20.100000000000001" customHeight="1" x14ac:dyDescent="0.25">
      <c r="D101" s="103" t="s">
        <v>262</v>
      </c>
      <c r="O101" s="103" t="s">
        <v>263</v>
      </c>
    </row>
    <row r="102" spans="3:23" ht="20.100000000000001" customHeight="1" x14ac:dyDescent="0.25">
      <c r="D102" s="54" t="s">
        <v>186</v>
      </c>
      <c r="E102" s="54" t="s">
        <v>203</v>
      </c>
      <c r="F102" s="54" t="s">
        <v>204</v>
      </c>
      <c r="G102" s="54" t="s">
        <v>205</v>
      </c>
      <c r="H102" s="54" t="s">
        <v>206</v>
      </c>
      <c r="O102" s="54" t="s">
        <v>186</v>
      </c>
      <c r="P102" s="54" t="s">
        <v>203</v>
      </c>
      <c r="Q102" s="54" t="s">
        <v>204</v>
      </c>
      <c r="R102" s="54" t="s">
        <v>205</v>
      </c>
      <c r="S102" s="54" t="s">
        <v>206</v>
      </c>
    </row>
    <row r="103" spans="3:23" ht="20.100000000000001" customHeight="1" x14ac:dyDescent="0.25">
      <c r="D103" s="55" cm="1">
        <f t="array" ref="D103">MMS_Dairy_Methane_Equations.VEERG_4_3_1_1__3_VolatileSolidsForWeanedDairyCattle(D84,D18,$G$98)</f>
        <v>2.525185371253718</v>
      </c>
      <c r="E103" s="55" cm="1">
        <f t="array" ref="E103">MMS_Dairy_Methane_Equations.VEERG_4_3_1_1__3_VolatileSolidsForWeanedDairyCattle(E84,E18,$G$98)</f>
        <v>1.9793541258316791</v>
      </c>
      <c r="F103" s="55" cm="1">
        <f t="array" ref="F103">MMS_Dairy_Methane_Equations.VEERG_4_3_1_1__3_VolatileSolidsForWeanedDairyCattle(F84,F18,$G$98)</f>
        <v>1.07338268078883</v>
      </c>
      <c r="G103" s="55" cm="1">
        <f t="array" ref="G103">MMS_Dairy_Methane_Equations.VEERG_4_3_1_1__3_VolatileSolidsForWeanedDairyCattle(G84,G18,$G$98)</f>
        <v>2.4084090026999996</v>
      </c>
      <c r="H103" s="55" cm="1">
        <f t="array" ref="H103">MMS_Dairy_Methane_Equations.VEERG_4_3_1_1__3_VolatileSolidsForWeanedDairyCattle(H84,H18,$G$98)</f>
        <v>1.4445478504687506</v>
      </c>
      <c r="I103" s="2" t="str">
        <f>$E$94</f>
        <v>kg/head/day</v>
      </c>
      <c r="O103" s="55" cm="1">
        <f t="array" ref="O103">MMS_Dairy_Methane_Equations.VEERG_4_3_1_1__3_VolatileSolidsForWeanedDairyCattle(O84,O18,$G$98)</f>
        <v>2.525185371253718</v>
      </c>
      <c r="P103" s="55" cm="1">
        <f t="array" ref="P103">MMS_Dairy_Methane_Equations.VEERG_4_3_1_1__3_VolatileSolidsForWeanedDairyCattle(P84,P18,$G$98)</f>
        <v>1.9793541258316791</v>
      </c>
      <c r="Q103" s="55" cm="1">
        <f t="array" ref="Q103">MMS_Dairy_Methane_Equations.VEERG_4_3_1_1__3_VolatileSolidsForWeanedDairyCattle(Q84,Q18,$G$98)</f>
        <v>1.07338268078883</v>
      </c>
      <c r="R103" s="55" cm="1">
        <f t="array" ref="R103">MMS_Dairy_Methane_Equations.VEERG_4_3_1_1__3_VolatileSolidsForWeanedDairyCattle(R84,R18,$G$98)</f>
        <v>2.4084090026999996</v>
      </c>
      <c r="S103" s="55" cm="1">
        <f t="array" ref="S103">MMS_Dairy_Methane_Equations.VEERG_4_3_1_1__3_VolatileSolidsForWeanedDairyCattle(S84,S18,$G$98)</f>
        <v>1.4445478504687506</v>
      </c>
      <c r="T103" s="2" t="str">
        <f>$E$94</f>
        <v>kg/head/day</v>
      </c>
    </row>
    <row r="104" spans="3:23" ht="20.100000000000001" customHeight="1" x14ac:dyDescent="0.25"/>
    <row r="105" spans="3:23" ht="20.100000000000001" customHeight="1" x14ac:dyDescent="0.25"/>
    <row r="106" spans="3:23" ht="20.100000000000001" customHeight="1" x14ac:dyDescent="0.25">
      <c r="C106" s="48"/>
      <c r="D106" s="48"/>
      <c r="E106" s="48"/>
      <c r="F106" s="48"/>
      <c r="G106" s="48"/>
      <c r="H106" s="48"/>
      <c r="I106" s="48"/>
      <c r="J106" s="48"/>
      <c r="K106" s="48"/>
      <c r="L106" s="48"/>
      <c r="N106" s="48"/>
      <c r="O106" s="48"/>
      <c r="P106" s="48"/>
      <c r="Q106" s="48"/>
      <c r="R106" s="48"/>
      <c r="S106" s="48"/>
      <c r="T106" s="48"/>
      <c r="U106" s="48"/>
      <c r="V106" s="48"/>
      <c r="W106" s="48"/>
    </row>
    <row r="107" spans="3:23" ht="20.100000000000001" customHeight="1" x14ac:dyDescent="0.25">
      <c r="D107" s="6" t="str" cm="1">
        <f t="array" ref="D107">MMS_Dairy_Methane_Equations.VEERG_4_3_1_1__4_FractionVolatileSolidsNotSolidStorage_Title()</f>
        <v>Fraction of volatile solids in each system other than solid storage</v>
      </c>
    </row>
    <row r="108" spans="3:23" ht="20.100000000000001" customHeight="1" x14ac:dyDescent="0.25">
      <c r="D108" s="5" t="str" cm="1">
        <f t="array" ref="D108">MMS_Dairy_Methane_Equations.VEERG_4_3_1_1__4_FractionVolatileSolidsNotSolidStorage_Source()</f>
        <v>VEERG 2026: 4.3.1.1, Equation (4)</v>
      </c>
      <c r="E108" s="13"/>
    </row>
    <row r="109" spans="3:23" ht="20.100000000000001" customHeight="1" x14ac:dyDescent="0.25">
      <c r="D109" s="13" t="s">
        <v>28</v>
      </c>
      <c r="E109" s="13" t="str" cm="1">
        <f t="array" aca="1" ref="E109" ca="1">Common_InputFunctions.Utility_DisplayFunctionName(F141)</f>
        <v>=MMS_Dairy_Methane_Equations.VEERG_4_3_1_1__4_FractionVolatileSolidsNotSolidStorage</v>
      </c>
    </row>
    <row r="110" spans="3:23" ht="20.100000000000001" customHeight="1" x14ac:dyDescent="0.25">
      <c r="D110" s="6"/>
    </row>
    <row r="111" spans="3:23" ht="20.100000000000001" customHeight="1" x14ac:dyDescent="0.25">
      <c r="F111" s="114" t="s">
        <v>303</v>
      </c>
    </row>
    <row r="112" spans="3:23" ht="20.100000000000001" customHeight="1" x14ac:dyDescent="0.25">
      <c r="D112" s="56" t="s">
        <v>31</v>
      </c>
      <c r="E112" s="1" t="str" cm="1">
        <f t="array" ref="E112">MMS_Dairy_Methane_Equations.VEERG_4_3_1_1__4_FractionVolatileSolidsNotSolidStorage_Variable()</f>
        <v>FVS_jm</v>
      </c>
    </row>
    <row r="113" spans="4:22" ht="20.100000000000001" customHeight="1" x14ac:dyDescent="0.25">
      <c r="D113" s="56" t="s">
        <v>21</v>
      </c>
      <c r="E113" s="57" t="str" cm="1">
        <f t="array" ref="E113">MMS_Dairy_Methane_Equations.VEERG_4_3_1_1__4_FractionVolatileSolidsNotSolidStorage_Unit()</f>
        <v>fraction</v>
      </c>
    </row>
    <row r="114" spans="4:22" ht="20.100000000000001" customHeight="1" x14ac:dyDescent="0.25"/>
    <row r="115" spans="4:22" ht="20.100000000000001" customHeight="1" x14ac:dyDescent="0.25">
      <c r="D115" s="115" t="str" cm="1">
        <f t="array" ref="D115:E116">MMS_Dairy_Methane_Equations.VEERG_4_3_1_1__4_FractionVolatileSolidsNotSolidStorage_Arguments()</f>
        <v>MMS_jm</v>
      </c>
      <c r="E115" s="117" t="str">
        <v>fraction of manure to each primary MMS for each class prior to solid separation</v>
      </c>
      <c r="F115" s="116"/>
      <c r="G115" s="115" t="str">
        <f>"See " &amp; D118</f>
        <v>See M1_Table_MMS_j_m</v>
      </c>
    </row>
    <row r="116" spans="4:22" ht="20.100000000000001" customHeight="1" x14ac:dyDescent="0.25">
      <c r="D116" s="115" t="str">
        <v>SS_m</v>
      </c>
      <c r="E116" s="117" t="str">
        <v>fraction of volatile solids separated to solid storage for each MMS</v>
      </c>
      <c r="F116" s="116"/>
      <c r="G116" s="115" t="str">
        <f>"See " &amp; D128</f>
        <v>See M1_Table_SS_m</v>
      </c>
    </row>
    <row r="117" spans="4:22" ht="20.100000000000001" customHeight="1" x14ac:dyDescent="0.25"/>
    <row r="118" spans="4:22" ht="20.100000000000001" customHeight="1" x14ac:dyDescent="0.25">
      <c r="D118" s="104" t="s">
        <v>268</v>
      </c>
      <c r="O118" s="104" t="s">
        <v>270</v>
      </c>
    </row>
    <row r="119" spans="4:22" ht="20.100000000000001" customHeight="1" x14ac:dyDescent="0.25">
      <c r="D119" s="103" t="s">
        <v>269</v>
      </c>
      <c r="O119" s="103" t="s">
        <v>271</v>
      </c>
    </row>
    <row r="120" spans="4:22" ht="20.100000000000001" customHeight="1" x14ac:dyDescent="0.25">
      <c r="D120" s="54" t="s">
        <v>159</v>
      </c>
      <c r="E120" s="54" t="s">
        <v>69</v>
      </c>
      <c r="F120" s="54" t="s">
        <v>186</v>
      </c>
      <c r="G120" s="54" t="s">
        <v>203</v>
      </c>
      <c r="H120" s="54" t="s">
        <v>204</v>
      </c>
      <c r="I120" s="54" t="s">
        <v>205</v>
      </c>
      <c r="J120" s="54" t="s">
        <v>206</v>
      </c>
      <c r="O120" s="54" t="s">
        <v>159</v>
      </c>
      <c r="P120" s="54" t="s">
        <v>69</v>
      </c>
      <c r="Q120" s="54" t="s">
        <v>186</v>
      </c>
      <c r="R120" s="54" t="s">
        <v>203</v>
      </c>
      <c r="S120" s="54" t="s">
        <v>204</v>
      </c>
      <c r="T120" s="54" t="s">
        <v>205</v>
      </c>
      <c r="U120" s="54" t="s">
        <v>206</v>
      </c>
    </row>
    <row r="121" spans="4:22" ht="20.100000000000001" customHeight="1" x14ac:dyDescent="0.25">
      <c r="D121" s="55" t="str">
        <f>'Input - Dairy'!$D$54</f>
        <v>Milking shed</v>
      </c>
      <c r="E121" s="55" t="str">
        <f>'Input - Dairy'!$D$67</f>
        <v>Anaerobic lagoon</v>
      </c>
      <c r="F121" s="55">
        <f>'Input - Dairy'!E$54*'Input - Dairy'!E67</f>
        <v>2.75E-2</v>
      </c>
      <c r="G121" s="55">
        <f>'Input - Dairy'!F$54*'Input - Dairy'!F67</f>
        <v>2.75E-2</v>
      </c>
      <c r="H121" s="55">
        <f>'Input - Dairy'!G$54*'Input - Dairy'!G67</f>
        <v>2.75E-2</v>
      </c>
      <c r="I121" s="55">
        <f>'Input - Dairy'!H$54*'Input - Dairy'!H67</f>
        <v>2.75E-2</v>
      </c>
      <c r="J121" s="55">
        <f>'Input - Dairy'!I$54*'Input - Dairy'!I67</f>
        <v>2.75E-2</v>
      </c>
      <c r="K121" s="2" t="s">
        <v>101</v>
      </c>
      <c r="O121" s="55" t="str">
        <f>'Input - Dairy'!$D$54</f>
        <v>Milking shed</v>
      </c>
      <c r="P121" s="55" t="str">
        <f>'Input - Dairy'!$D$67</f>
        <v>Anaerobic lagoon</v>
      </c>
      <c r="Q121" s="55">
        <f>'Input - Dairy'!E$59*'Input - Dairy'!E67</f>
        <v>2.75E-2</v>
      </c>
      <c r="R121" s="55">
        <f>'Input - Dairy'!F$59*'Input - Dairy'!F67</f>
        <v>2.75E-2</v>
      </c>
      <c r="S121" s="55">
        <f>'Input - Dairy'!G$59*'Input - Dairy'!G67</f>
        <v>2.75E-2</v>
      </c>
      <c r="T121" s="55">
        <f>'Input - Dairy'!H$59*'Input - Dairy'!H67</f>
        <v>2.75E-2</v>
      </c>
      <c r="U121" s="55">
        <f>'Input - Dairy'!I$59*'Input - Dairy'!I67</f>
        <v>2.75E-2</v>
      </c>
      <c r="V121" s="2" t="s">
        <v>101</v>
      </c>
    </row>
    <row r="122" spans="4:22" ht="20.100000000000001" customHeight="1" x14ac:dyDescent="0.25">
      <c r="D122" s="55" t="str">
        <f>'Input - Dairy'!$D$54</f>
        <v>Milking shed</v>
      </c>
      <c r="E122" s="55" t="str">
        <f>'Input - Dairy'!$D$72</f>
        <v>Sump and dispersal system</v>
      </c>
      <c r="F122" s="55">
        <f>'Input - Dairy'!E$54*'Input - Dairy'!E72</f>
        <v>2.75E-2</v>
      </c>
      <c r="G122" s="55">
        <f>'Input - Dairy'!F$54*'Input - Dairy'!F72</f>
        <v>2.75E-2</v>
      </c>
      <c r="H122" s="55">
        <f>'Input - Dairy'!G$54*'Input - Dairy'!G72</f>
        <v>2.75E-2</v>
      </c>
      <c r="I122" s="55">
        <f>'Input - Dairy'!H$54*'Input - Dairy'!H72</f>
        <v>2.75E-2</v>
      </c>
      <c r="J122" s="55">
        <f>'Input - Dairy'!I$54*'Input - Dairy'!I72</f>
        <v>2.75E-2</v>
      </c>
      <c r="K122" s="2" t="s">
        <v>101</v>
      </c>
      <c r="O122" s="55" t="str">
        <f>'Input - Dairy'!$D$54</f>
        <v>Milking shed</v>
      </c>
      <c r="P122" s="55" t="str">
        <f>'Input - Dairy'!$D$72</f>
        <v>Sump and dispersal system</v>
      </c>
      <c r="Q122" s="55">
        <f>'Input - Dairy'!E$59*'Input - Dairy'!E72</f>
        <v>2.75E-2</v>
      </c>
      <c r="R122" s="55">
        <f>'Input - Dairy'!F$59*'Input - Dairy'!F72</f>
        <v>2.75E-2</v>
      </c>
      <c r="S122" s="55">
        <f>'Input - Dairy'!G$59*'Input - Dairy'!G72</f>
        <v>2.75E-2</v>
      </c>
      <c r="T122" s="55">
        <f>'Input - Dairy'!H$59*'Input - Dairy'!H72</f>
        <v>2.75E-2</v>
      </c>
      <c r="U122" s="55">
        <f>'Input - Dairy'!I$59*'Input - Dairy'!I72</f>
        <v>2.75E-2</v>
      </c>
      <c r="V122" s="2" t="s">
        <v>101</v>
      </c>
    </row>
    <row r="123" spans="4:22" ht="20.100000000000001" customHeight="1" x14ac:dyDescent="0.25">
      <c r="D123" s="55" t="str">
        <f>'Input - Dairy'!$D$54</f>
        <v>Milking shed</v>
      </c>
      <c r="E123" s="55" t="str">
        <f>'Input - Dairy'!$D$77</f>
        <v>Drains to paddock</v>
      </c>
      <c r="F123" s="55">
        <f>'Input - Dairy'!E$54*'Input - Dairy'!E77</f>
        <v>2.75E-2</v>
      </c>
      <c r="G123" s="55">
        <f>'Input - Dairy'!F$54*'Input - Dairy'!F77</f>
        <v>2.75E-2</v>
      </c>
      <c r="H123" s="55">
        <f>'Input - Dairy'!G$54*'Input - Dairy'!G77</f>
        <v>2.75E-2</v>
      </c>
      <c r="I123" s="55">
        <f>'Input - Dairy'!H$54*'Input - Dairy'!H77</f>
        <v>2.75E-2</v>
      </c>
      <c r="J123" s="55">
        <f>'Input - Dairy'!I$54*'Input - Dairy'!I77</f>
        <v>2.75E-2</v>
      </c>
      <c r="K123" s="2" t="s">
        <v>101</v>
      </c>
      <c r="O123" s="55" t="str">
        <f>'Input - Dairy'!$D$54</f>
        <v>Milking shed</v>
      </c>
      <c r="P123" s="55" t="str">
        <f>'Input - Dairy'!$D$77</f>
        <v>Drains to paddock</v>
      </c>
      <c r="Q123" s="55">
        <f>'Input - Dairy'!E$59*'Input - Dairy'!E77</f>
        <v>2.75E-2</v>
      </c>
      <c r="R123" s="55">
        <f>'Input - Dairy'!F$59*'Input - Dairy'!F77</f>
        <v>2.75E-2</v>
      </c>
      <c r="S123" s="55">
        <f>'Input - Dairy'!G$59*'Input - Dairy'!G77</f>
        <v>2.75E-2</v>
      </c>
      <c r="T123" s="55">
        <f>'Input - Dairy'!H$59*'Input - Dairy'!H77</f>
        <v>2.75E-2</v>
      </c>
      <c r="U123" s="55">
        <f>'Input - Dairy'!I$59*'Input - Dairy'!I77</f>
        <v>2.75E-2</v>
      </c>
      <c r="V123" s="2" t="s">
        <v>101</v>
      </c>
    </row>
    <row r="124" spans="4:22" ht="20.100000000000001" customHeight="1" x14ac:dyDescent="0.25">
      <c r="D124" s="55" t="str">
        <f>'Input - Dairy'!$D$55</f>
        <v>Feed pad</v>
      </c>
      <c r="E124" s="55" t="str">
        <f>'Input - Dairy'!$D$101</f>
        <v>Anaerobic lagoon</v>
      </c>
      <c r="F124" s="55">
        <f>'Input - Dairy'!E$55*'Input - Dairy'!E101</f>
        <v>8.8999999999999996E-2</v>
      </c>
      <c r="G124" s="55">
        <f>'Input - Dairy'!F$55*'Input - Dairy'!F101</f>
        <v>8.8999999999999996E-2</v>
      </c>
      <c r="H124" s="55">
        <f>'Input - Dairy'!G$55*'Input - Dairy'!G101</f>
        <v>8.8999999999999996E-2</v>
      </c>
      <c r="I124" s="55">
        <f>'Input - Dairy'!H$55*'Input - Dairy'!H101</f>
        <v>8.8999999999999996E-2</v>
      </c>
      <c r="J124" s="55">
        <f>'Input - Dairy'!I$55*'Input - Dairy'!I101</f>
        <v>8.8999999999999996E-2</v>
      </c>
      <c r="K124" s="2" t="s">
        <v>101</v>
      </c>
      <c r="O124" s="55" t="str">
        <f>'Input - Dairy'!$D$55</f>
        <v>Feed pad</v>
      </c>
      <c r="P124" s="55" t="str">
        <f>'Input - Dairy'!$D$101</f>
        <v>Anaerobic lagoon</v>
      </c>
      <c r="Q124" s="55">
        <f>'Input - Dairy'!E$60*'Input - Dairy'!E101</f>
        <v>8.8999999999999996E-2</v>
      </c>
      <c r="R124" s="55">
        <f>'Input - Dairy'!F$60*'Input - Dairy'!F101</f>
        <v>8.8999999999999996E-2</v>
      </c>
      <c r="S124" s="55">
        <f>'Input - Dairy'!G$60*'Input - Dairy'!G101</f>
        <v>8.8999999999999996E-2</v>
      </c>
      <c r="T124" s="55">
        <f>'Input - Dairy'!H$60*'Input - Dairy'!H101</f>
        <v>8.8999999999999996E-2</v>
      </c>
      <c r="U124" s="55">
        <f>'Input - Dairy'!I$60*'Input - Dairy'!I101</f>
        <v>8.8999999999999996E-2</v>
      </c>
      <c r="V124" s="2" t="s">
        <v>101</v>
      </c>
    </row>
    <row r="125" spans="4:22" ht="20.100000000000001" customHeight="1" x14ac:dyDescent="0.25">
      <c r="D125" s="55" t="str">
        <f>'Input - Dairy'!$D$55</f>
        <v>Feed pad</v>
      </c>
      <c r="E125" s="55" t="str">
        <f>'Input - Dairy'!$D$106</f>
        <v>Sump and dispersal system</v>
      </c>
      <c r="F125" s="55">
        <f>'Input - Dairy'!E$55*'Input - Dairy'!E106</f>
        <v>8.8999999999999996E-2</v>
      </c>
      <c r="G125" s="55">
        <f>'Input - Dairy'!F$55*'Input - Dairy'!F106</f>
        <v>8.8999999999999996E-2</v>
      </c>
      <c r="H125" s="55">
        <f>'Input - Dairy'!G$55*'Input - Dairy'!G106</f>
        <v>8.8999999999999996E-2</v>
      </c>
      <c r="I125" s="55">
        <f>'Input - Dairy'!H$55*'Input - Dairy'!H106</f>
        <v>8.8999999999999996E-2</v>
      </c>
      <c r="J125" s="55">
        <f>'Input - Dairy'!I$55*'Input - Dairy'!I106</f>
        <v>8.8999999999999996E-2</v>
      </c>
      <c r="K125" s="2" t="s">
        <v>101</v>
      </c>
      <c r="O125" s="55" t="str">
        <f>'Input - Dairy'!$D$55</f>
        <v>Feed pad</v>
      </c>
      <c r="P125" s="55" t="str">
        <f>'Input - Dairy'!$D$106</f>
        <v>Sump and dispersal system</v>
      </c>
      <c r="Q125" s="55">
        <f>'Input - Dairy'!E$60*'Input - Dairy'!E106</f>
        <v>8.8999999999999996E-2</v>
      </c>
      <c r="R125" s="55">
        <f>'Input - Dairy'!F$60*'Input - Dairy'!F106</f>
        <v>8.8999999999999996E-2</v>
      </c>
      <c r="S125" s="55">
        <f>'Input - Dairy'!G$60*'Input - Dairy'!G106</f>
        <v>8.8999999999999996E-2</v>
      </c>
      <c r="T125" s="55">
        <f>'Input - Dairy'!H$60*'Input - Dairy'!H106</f>
        <v>8.8999999999999996E-2</v>
      </c>
      <c r="U125" s="55">
        <f>'Input - Dairy'!I$60*'Input - Dairy'!I106</f>
        <v>8.8999999999999996E-2</v>
      </c>
      <c r="V125" s="2" t="s">
        <v>101</v>
      </c>
    </row>
    <row r="126" spans="4:22" ht="20.100000000000001" customHeight="1" x14ac:dyDescent="0.25">
      <c r="D126" s="55" t="str">
        <f>'Input - Dairy'!$D$55</f>
        <v>Feed pad</v>
      </c>
      <c r="E126" s="55" t="str">
        <f>'Input - Dairy'!$D$111</f>
        <v>Drains to paddock</v>
      </c>
      <c r="F126" s="55">
        <f>'Input - Dairy'!E$55*'Input - Dairy'!E111</f>
        <v>8.8999999999999996E-2</v>
      </c>
      <c r="G126" s="55">
        <f>'Input - Dairy'!F$55*'Input - Dairy'!F111</f>
        <v>8.8999999999999996E-2</v>
      </c>
      <c r="H126" s="55">
        <f>'Input - Dairy'!G$55*'Input - Dairy'!G111</f>
        <v>8.8999999999999996E-2</v>
      </c>
      <c r="I126" s="55">
        <f>'Input - Dairy'!H$55*'Input - Dairy'!H111</f>
        <v>8.8999999999999996E-2</v>
      </c>
      <c r="J126" s="55">
        <f>'Input - Dairy'!I$55*'Input - Dairy'!I111</f>
        <v>8.8999999999999996E-2</v>
      </c>
      <c r="K126" s="2" t="s">
        <v>101</v>
      </c>
      <c r="O126" s="55" t="str">
        <f>'Input - Dairy'!$D$55</f>
        <v>Feed pad</v>
      </c>
      <c r="P126" s="55" t="str">
        <f>'Input - Dairy'!$D$111</f>
        <v>Drains to paddock</v>
      </c>
      <c r="Q126" s="55">
        <f>'Input - Dairy'!E$60*'Input - Dairy'!E111</f>
        <v>8.8999999999999996E-2</v>
      </c>
      <c r="R126" s="55">
        <f>'Input - Dairy'!F$60*'Input - Dairy'!F111</f>
        <v>8.8999999999999996E-2</v>
      </c>
      <c r="S126" s="55">
        <f>'Input - Dairy'!G$60*'Input - Dairy'!G111</f>
        <v>8.8999999999999996E-2</v>
      </c>
      <c r="T126" s="55">
        <f>'Input - Dairy'!H$60*'Input - Dairy'!H111</f>
        <v>8.8999999999999996E-2</v>
      </c>
      <c r="U126" s="55">
        <f>'Input - Dairy'!I$60*'Input - Dairy'!I111</f>
        <v>8.8999999999999996E-2</v>
      </c>
      <c r="V126" s="2" t="s">
        <v>101</v>
      </c>
    </row>
    <row r="127" spans="4:22" ht="20.100000000000001" customHeight="1" x14ac:dyDescent="0.25"/>
    <row r="128" spans="4:22" ht="20.100000000000001" customHeight="1" x14ac:dyDescent="0.25">
      <c r="D128" s="104" t="s">
        <v>266</v>
      </c>
      <c r="O128" s="104" t="s">
        <v>272</v>
      </c>
    </row>
    <row r="129" spans="4:22" ht="20.100000000000001" customHeight="1" x14ac:dyDescent="0.25">
      <c r="D129" s="103" t="s">
        <v>275</v>
      </c>
      <c r="O129" s="103" t="s">
        <v>276</v>
      </c>
    </row>
    <row r="130" spans="4:22" ht="20.100000000000001" customHeight="1" x14ac:dyDescent="0.25">
      <c r="D130" s="54" t="s">
        <v>159</v>
      </c>
      <c r="E130" s="54" t="s">
        <v>69</v>
      </c>
      <c r="F130" s="54" t="s">
        <v>267</v>
      </c>
      <c r="O130" s="54" t="s">
        <v>159</v>
      </c>
      <c r="P130" s="54" t="s">
        <v>69</v>
      </c>
      <c r="Q130" s="54" t="s">
        <v>267</v>
      </c>
    </row>
    <row r="131" spans="4:22" ht="20.100000000000001" customHeight="1" x14ac:dyDescent="0.25">
      <c r="D131" s="55" t="str">
        <f>'Input - Dairy'!$D$54</f>
        <v>Milking shed</v>
      </c>
      <c r="E131" s="55" t="str">
        <f>'Input - Dairy'!$D$67</f>
        <v>Anaerobic lagoon</v>
      </c>
      <c r="F131" s="55">
        <f>'Input - Dairy'!$E$69</f>
        <v>0.2</v>
      </c>
      <c r="G131" s="2" t="s">
        <v>101</v>
      </c>
      <c r="O131" s="55" t="str">
        <f>'Input - Dairy'!$D$54</f>
        <v>Milking shed</v>
      </c>
      <c r="P131" s="55" t="str">
        <f>'Input - Dairy'!$D$67</f>
        <v>Anaerobic lagoon</v>
      </c>
      <c r="Q131" s="55">
        <f>'Input - Dairy'!$E$70</f>
        <v>0.2</v>
      </c>
      <c r="R131" s="2" t="s">
        <v>101</v>
      </c>
    </row>
    <row r="132" spans="4:22" ht="20.100000000000001" customHeight="1" x14ac:dyDescent="0.25">
      <c r="D132" s="55" t="str">
        <f>'Input - Dairy'!$D$54</f>
        <v>Milking shed</v>
      </c>
      <c r="E132" s="55" t="str">
        <f>'Input - Dairy'!$D$72</f>
        <v>Sump and dispersal system</v>
      </c>
      <c r="F132" s="55">
        <f>'Input - Dairy'!$E$74</f>
        <v>0.2</v>
      </c>
      <c r="G132" s="2" t="s">
        <v>101</v>
      </c>
      <c r="O132" s="55" t="str">
        <f>'Input - Dairy'!$D$54</f>
        <v>Milking shed</v>
      </c>
      <c r="P132" s="55" t="str">
        <f>'Input - Dairy'!$D$72</f>
        <v>Sump and dispersal system</v>
      </c>
      <c r="Q132" s="55">
        <f>'Input - Dairy'!$E$75</f>
        <v>0.2</v>
      </c>
      <c r="R132" s="2" t="s">
        <v>101</v>
      </c>
    </row>
    <row r="133" spans="4:22" ht="20.100000000000001" customHeight="1" x14ac:dyDescent="0.25">
      <c r="D133" s="55" t="str">
        <f>'Input - Dairy'!$D$54</f>
        <v>Milking shed</v>
      </c>
      <c r="E133" s="55" t="str">
        <f>'Input - Dairy'!$D$77</f>
        <v>Drains to paddock</v>
      </c>
      <c r="F133" s="55">
        <f>'Input - Dairy'!$E$79</f>
        <v>0.2</v>
      </c>
      <c r="G133" s="2" t="s">
        <v>101</v>
      </c>
      <c r="O133" s="55" t="str">
        <f>'Input - Dairy'!$D$54</f>
        <v>Milking shed</v>
      </c>
      <c r="P133" s="55" t="str">
        <f>'Input - Dairy'!$D$77</f>
        <v>Drains to paddock</v>
      </c>
      <c r="Q133" s="55">
        <f>'Input - Dairy'!$E$80</f>
        <v>0.2</v>
      </c>
      <c r="R133" s="2" t="s">
        <v>101</v>
      </c>
    </row>
    <row r="134" spans="4:22" ht="20.100000000000001" customHeight="1" x14ac:dyDescent="0.25">
      <c r="D134" s="55" t="str">
        <f>'Input - Dairy'!$D$55</f>
        <v>Feed pad</v>
      </c>
      <c r="E134" s="55" t="str">
        <f>'Input - Dairy'!$D$101</f>
        <v>Anaerobic lagoon</v>
      </c>
      <c r="F134" s="55">
        <f>'Input - Dairy'!$E$103</f>
        <v>0</v>
      </c>
      <c r="G134" s="2" t="s">
        <v>101</v>
      </c>
      <c r="O134" s="55" t="str">
        <f>'Input - Dairy'!$D$55</f>
        <v>Feed pad</v>
      </c>
      <c r="P134" s="55" t="str">
        <f>'Input - Dairy'!$D$101</f>
        <v>Anaerobic lagoon</v>
      </c>
      <c r="Q134" s="55">
        <f>'Input - Dairy'!$E$104</f>
        <v>0</v>
      </c>
      <c r="R134" s="2" t="s">
        <v>101</v>
      </c>
    </row>
    <row r="135" spans="4:22" ht="20.100000000000001" customHeight="1" x14ac:dyDescent="0.25">
      <c r="D135" s="55" t="str">
        <f>'Input - Dairy'!$D$55</f>
        <v>Feed pad</v>
      </c>
      <c r="E135" s="55" t="str">
        <f>'Input - Dairy'!$D$106</f>
        <v>Sump and dispersal system</v>
      </c>
      <c r="F135" s="55">
        <f>'Input - Dairy'!$E$108</f>
        <v>0.2</v>
      </c>
      <c r="G135" s="2" t="s">
        <v>101</v>
      </c>
      <c r="O135" s="55" t="str">
        <f>'Input - Dairy'!$D$55</f>
        <v>Feed pad</v>
      </c>
      <c r="P135" s="55" t="str">
        <f>'Input - Dairy'!$D$106</f>
        <v>Sump and dispersal system</v>
      </c>
      <c r="Q135" s="55">
        <f>'Input - Dairy'!$E$109</f>
        <v>0.2</v>
      </c>
      <c r="R135" s="2" t="s">
        <v>101</v>
      </c>
    </row>
    <row r="136" spans="4:22" ht="20.100000000000001" customHeight="1" x14ac:dyDescent="0.25">
      <c r="D136" s="55" t="str">
        <f>'Input - Dairy'!$D$55</f>
        <v>Feed pad</v>
      </c>
      <c r="E136" s="55" t="str">
        <f>'Input - Dairy'!$D$111</f>
        <v>Drains to paddock</v>
      </c>
      <c r="F136" s="55">
        <f>'Input - Dairy'!$E$113</f>
        <v>0.2</v>
      </c>
      <c r="G136" s="2" t="s">
        <v>101</v>
      </c>
      <c r="O136" s="55" t="str">
        <f>'Input - Dairy'!$D$55</f>
        <v>Feed pad</v>
      </c>
      <c r="P136" s="55" t="str">
        <f>'Input - Dairy'!$D$111</f>
        <v>Drains to paddock</v>
      </c>
      <c r="Q136" s="55">
        <f>'Input - Dairy'!$E$114</f>
        <v>0.2</v>
      </c>
      <c r="R136" s="2" t="s">
        <v>101</v>
      </c>
    </row>
    <row r="137" spans="4:22" ht="20.100000000000001" customHeight="1" x14ac:dyDescent="0.25"/>
    <row r="138" spans="4:22" ht="20.100000000000001" customHeight="1" x14ac:dyDescent="0.25">
      <c r="D138" s="104" t="s">
        <v>265</v>
      </c>
      <c r="O138" s="104" t="s">
        <v>265</v>
      </c>
    </row>
    <row r="139" spans="4:22" ht="20.100000000000001" customHeight="1" x14ac:dyDescent="0.25">
      <c r="D139" s="103" t="s">
        <v>264</v>
      </c>
      <c r="O139" s="103" t="s">
        <v>264</v>
      </c>
    </row>
    <row r="140" spans="4:22" ht="20.100000000000001" customHeight="1" x14ac:dyDescent="0.25">
      <c r="D140" s="54" t="s">
        <v>159</v>
      </c>
      <c r="E140" s="54" t="s">
        <v>69</v>
      </c>
      <c r="F140" s="54" t="s">
        <v>186</v>
      </c>
      <c r="G140" s="54" t="s">
        <v>203</v>
      </c>
      <c r="H140" s="54" t="s">
        <v>204</v>
      </c>
      <c r="I140" s="54" t="s">
        <v>205</v>
      </c>
      <c r="J140" s="54" t="s">
        <v>206</v>
      </c>
      <c r="O140" s="54" t="s">
        <v>159</v>
      </c>
      <c r="P140" s="54" t="s">
        <v>69</v>
      </c>
      <c r="Q140" s="54" t="s">
        <v>186</v>
      </c>
      <c r="R140" s="54" t="s">
        <v>203</v>
      </c>
      <c r="S140" s="54" t="s">
        <v>204</v>
      </c>
      <c r="T140" s="54" t="s">
        <v>205</v>
      </c>
      <c r="U140" s="54" t="s">
        <v>206</v>
      </c>
    </row>
    <row r="141" spans="4:22" ht="20.100000000000001" customHeight="1" x14ac:dyDescent="0.25">
      <c r="D141" s="55" t="str">
        <f>'Input - Dairy'!$D$54</f>
        <v>Milking shed</v>
      </c>
      <c r="E141" s="55" t="str">
        <f>'Input - Dairy'!$D$67</f>
        <v>Anaerobic lagoon</v>
      </c>
      <c r="F141" s="55" cm="1">
        <f t="array" ref="F141">MMS_Dairy_Methane_Equations.VEERG_4_3_1_1__4_FractionVolatileSolidsNotSolidStorage(F121,$F131)</f>
        <v>2.2000000000000002E-2</v>
      </c>
      <c r="G141" s="55" cm="1">
        <f t="array" ref="G141">MMS_Dairy_Methane_Equations.VEERG_4_3_1_1__4_FractionVolatileSolidsNotSolidStorage(G121,$F131)</f>
        <v>2.2000000000000002E-2</v>
      </c>
      <c r="H141" s="55" cm="1">
        <f t="array" ref="H141">MMS_Dairy_Methane_Equations.VEERG_4_3_1_1__4_FractionVolatileSolidsNotSolidStorage(H121,$F131)</f>
        <v>2.2000000000000002E-2</v>
      </c>
      <c r="I141" s="55" cm="1">
        <f t="array" ref="I141">MMS_Dairy_Methane_Equations.VEERG_4_3_1_1__4_FractionVolatileSolidsNotSolidStorage(I121,$F131)</f>
        <v>2.2000000000000002E-2</v>
      </c>
      <c r="J141" s="55" cm="1">
        <f t="array" ref="J141">MMS_Dairy_Methane_Equations.VEERG_4_3_1_1__4_FractionVolatileSolidsNotSolidStorage(J121,$F131)</f>
        <v>2.2000000000000002E-2</v>
      </c>
      <c r="K141" s="2" t="str">
        <f>$E$113</f>
        <v>fraction</v>
      </c>
      <c r="O141" s="55" t="str">
        <f>'Input - Dairy'!$D$54</f>
        <v>Milking shed</v>
      </c>
      <c r="P141" s="55" t="str">
        <f>'Input - Dairy'!$D$67</f>
        <v>Anaerobic lagoon</v>
      </c>
      <c r="Q141" s="55" cm="1">
        <f t="array" ref="Q141">MMS_Dairy_Methane_Equations.VEERG_4_3_1_1__4_FractionVolatileSolidsNotSolidStorage(Q121,$Q131)</f>
        <v>2.2000000000000002E-2</v>
      </c>
      <c r="R141" s="55" cm="1">
        <f t="array" ref="R141">MMS_Dairy_Methane_Equations.VEERG_4_3_1_1__4_FractionVolatileSolidsNotSolidStorage(R121,$Q131)</f>
        <v>2.2000000000000002E-2</v>
      </c>
      <c r="S141" s="55" cm="1">
        <f t="array" ref="S141">MMS_Dairy_Methane_Equations.VEERG_4_3_1_1__4_FractionVolatileSolidsNotSolidStorage(S121,$Q131)</f>
        <v>2.2000000000000002E-2</v>
      </c>
      <c r="T141" s="55" cm="1">
        <f t="array" ref="T141">MMS_Dairy_Methane_Equations.VEERG_4_3_1_1__4_FractionVolatileSolidsNotSolidStorage(T121,$Q131)</f>
        <v>2.2000000000000002E-2</v>
      </c>
      <c r="U141" s="55" cm="1">
        <f t="array" ref="U141">MMS_Dairy_Methane_Equations.VEERG_4_3_1_1__4_FractionVolatileSolidsNotSolidStorage(U121,$Q131)</f>
        <v>2.2000000000000002E-2</v>
      </c>
      <c r="V141" s="2" t="str">
        <f t="shared" ref="V141:V146" si="0">$E$113</f>
        <v>fraction</v>
      </c>
    </row>
    <row r="142" spans="4:22" ht="20.100000000000001" customHeight="1" x14ac:dyDescent="0.25">
      <c r="D142" s="55" t="str">
        <f>'Input - Dairy'!$D$54</f>
        <v>Milking shed</v>
      </c>
      <c r="E142" s="55" t="str">
        <f>'Input - Dairy'!$D$72</f>
        <v>Sump and dispersal system</v>
      </c>
      <c r="F142" s="55" cm="1">
        <f t="array" ref="F142">MMS_Dairy_Methane_Equations.VEERG_4_3_1_1__4_FractionVolatileSolidsNotSolidStorage(F122,$F132)</f>
        <v>2.2000000000000002E-2</v>
      </c>
      <c r="G142" s="55" cm="1">
        <f t="array" ref="G142">MMS_Dairy_Methane_Equations.VEERG_4_3_1_1__4_FractionVolatileSolidsNotSolidStorage(G122,$F132)</f>
        <v>2.2000000000000002E-2</v>
      </c>
      <c r="H142" s="55" cm="1">
        <f t="array" ref="H142">MMS_Dairy_Methane_Equations.VEERG_4_3_1_1__4_FractionVolatileSolidsNotSolidStorage(H122,$F132)</f>
        <v>2.2000000000000002E-2</v>
      </c>
      <c r="I142" s="55" cm="1">
        <f t="array" ref="I142">MMS_Dairy_Methane_Equations.VEERG_4_3_1_1__4_FractionVolatileSolidsNotSolidStorage(I122,$F132)</f>
        <v>2.2000000000000002E-2</v>
      </c>
      <c r="J142" s="55" cm="1">
        <f t="array" ref="J142">MMS_Dairy_Methane_Equations.VEERG_4_3_1_1__4_FractionVolatileSolidsNotSolidStorage(J122,$F132)</f>
        <v>2.2000000000000002E-2</v>
      </c>
      <c r="K142" s="2" t="str">
        <f t="shared" ref="K142:K146" si="1">$E$113</f>
        <v>fraction</v>
      </c>
      <c r="O142" s="55" t="str">
        <f>'Input - Dairy'!$D$54</f>
        <v>Milking shed</v>
      </c>
      <c r="P142" s="55" t="str">
        <f>'Input - Dairy'!$D$72</f>
        <v>Sump and dispersal system</v>
      </c>
      <c r="Q142" s="55" cm="1">
        <f t="array" ref="Q142">MMS_Dairy_Methane_Equations.VEERG_4_3_1_1__4_FractionVolatileSolidsNotSolidStorage(Q122,$Q132)</f>
        <v>2.2000000000000002E-2</v>
      </c>
      <c r="R142" s="55" cm="1">
        <f t="array" ref="R142">MMS_Dairy_Methane_Equations.VEERG_4_3_1_1__4_FractionVolatileSolidsNotSolidStorage(R122,$Q132)</f>
        <v>2.2000000000000002E-2</v>
      </c>
      <c r="S142" s="55" cm="1">
        <f t="array" ref="S142">MMS_Dairy_Methane_Equations.VEERG_4_3_1_1__4_FractionVolatileSolidsNotSolidStorage(S122,$Q132)</f>
        <v>2.2000000000000002E-2</v>
      </c>
      <c r="T142" s="55" cm="1">
        <f t="array" ref="T142">MMS_Dairy_Methane_Equations.VEERG_4_3_1_1__4_FractionVolatileSolidsNotSolidStorage(T122,$Q132)</f>
        <v>2.2000000000000002E-2</v>
      </c>
      <c r="U142" s="55" cm="1">
        <f t="array" ref="U142">MMS_Dairy_Methane_Equations.VEERG_4_3_1_1__4_FractionVolatileSolidsNotSolidStorage(U122,$Q132)</f>
        <v>2.2000000000000002E-2</v>
      </c>
      <c r="V142" s="2" t="str">
        <f t="shared" si="0"/>
        <v>fraction</v>
      </c>
    </row>
    <row r="143" spans="4:22" ht="20.100000000000001" customHeight="1" x14ac:dyDescent="0.25">
      <c r="D143" s="55" t="str">
        <f>'Input - Dairy'!$D$54</f>
        <v>Milking shed</v>
      </c>
      <c r="E143" s="55" t="str">
        <f>'Input - Dairy'!$D$77</f>
        <v>Drains to paddock</v>
      </c>
      <c r="F143" s="55" cm="1">
        <f t="array" ref="F143">MMS_Dairy_Methane_Equations.VEERG_4_3_1_1__4_FractionVolatileSolidsNotSolidStorage(F123,$F133)</f>
        <v>2.2000000000000002E-2</v>
      </c>
      <c r="G143" s="55" cm="1">
        <f t="array" ref="G143">MMS_Dairy_Methane_Equations.VEERG_4_3_1_1__4_FractionVolatileSolidsNotSolidStorage(G123,$F133)</f>
        <v>2.2000000000000002E-2</v>
      </c>
      <c r="H143" s="55" cm="1">
        <f t="array" ref="H143">MMS_Dairy_Methane_Equations.VEERG_4_3_1_1__4_FractionVolatileSolidsNotSolidStorage(H123,$F133)</f>
        <v>2.2000000000000002E-2</v>
      </c>
      <c r="I143" s="55" cm="1">
        <f t="array" ref="I143">MMS_Dairy_Methane_Equations.VEERG_4_3_1_1__4_FractionVolatileSolidsNotSolidStorage(I123,$F133)</f>
        <v>2.2000000000000002E-2</v>
      </c>
      <c r="J143" s="55" cm="1">
        <f t="array" ref="J143">MMS_Dairy_Methane_Equations.VEERG_4_3_1_1__4_FractionVolatileSolidsNotSolidStorage(J123,$F133)</f>
        <v>2.2000000000000002E-2</v>
      </c>
      <c r="K143" s="2" t="str">
        <f t="shared" si="1"/>
        <v>fraction</v>
      </c>
      <c r="O143" s="55" t="str">
        <f>'Input - Dairy'!$D$54</f>
        <v>Milking shed</v>
      </c>
      <c r="P143" s="55" t="str">
        <f>'Input - Dairy'!$D$77</f>
        <v>Drains to paddock</v>
      </c>
      <c r="Q143" s="55" cm="1">
        <f t="array" ref="Q143">MMS_Dairy_Methane_Equations.VEERG_4_3_1_1__4_FractionVolatileSolidsNotSolidStorage(Q123,$Q133)</f>
        <v>2.2000000000000002E-2</v>
      </c>
      <c r="R143" s="55" cm="1">
        <f t="array" ref="R143">MMS_Dairy_Methane_Equations.VEERG_4_3_1_1__4_FractionVolatileSolidsNotSolidStorage(R123,$Q133)</f>
        <v>2.2000000000000002E-2</v>
      </c>
      <c r="S143" s="55" cm="1">
        <f t="array" ref="S143">MMS_Dairy_Methane_Equations.VEERG_4_3_1_1__4_FractionVolatileSolidsNotSolidStorage(S123,$Q133)</f>
        <v>2.2000000000000002E-2</v>
      </c>
      <c r="T143" s="55" cm="1">
        <f t="array" ref="T143">MMS_Dairy_Methane_Equations.VEERG_4_3_1_1__4_FractionVolatileSolidsNotSolidStorage(T123,$Q133)</f>
        <v>2.2000000000000002E-2</v>
      </c>
      <c r="U143" s="55" cm="1">
        <f t="array" ref="U143">MMS_Dairy_Methane_Equations.VEERG_4_3_1_1__4_FractionVolatileSolidsNotSolidStorage(U123,$Q133)</f>
        <v>2.2000000000000002E-2</v>
      </c>
      <c r="V143" s="2" t="str">
        <f t="shared" si="0"/>
        <v>fraction</v>
      </c>
    </row>
    <row r="144" spans="4:22" ht="20.100000000000001" customHeight="1" x14ac:dyDescent="0.25">
      <c r="D144" s="55" t="str">
        <f>'Input - Dairy'!$D$55</f>
        <v>Feed pad</v>
      </c>
      <c r="E144" s="55" t="str">
        <f>'Input - Dairy'!$D$101</f>
        <v>Anaerobic lagoon</v>
      </c>
      <c r="F144" s="55" cm="1">
        <f t="array" ref="F144">MMS_Dairy_Methane_Equations.VEERG_4_3_1_1__4_FractionVolatileSolidsNotSolidStorage(F124,$F134)</f>
        <v>8.8999999999999996E-2</v>
      </c>
      <c r="G144" s="55" cm="1">
        <f t="array" ref="G144">MMS_Dairy_Methane_Equations.VEERG_4_3_1_1__4_FractionVolatileSolidsNotSolidStorage(G124,$F134)</f>
        <v>8.8999999999999996E-2</v>
      </c>
      <c r="H144" s="55" cm="1">
        <f t="array" ref="H144">MMS_Dairy_Methane_Equations.VEERG_4_3_1_1__4_FractionVolatileSolidsNotSolidStorage(H124,$F134)</f>
        <v>8.8999999999999996E-2</v>
      </c>
      <c r="I144" s="55" cm="1">
        <f t="array" ref="I144">MMS_Dairy_Methane_Equations.VEERG_4_3_1_1__4_FractionVolatileSolidsNotSolidStorage(I124,$F134)</f>
        <v>8.8999999999999996E-2</v>
      </c>
      <c r="J144" s="55" cm="1">
        <f t="array" ref="J144">MMS_Dairy_Methane_Equations.VEERG_4_3_1_1__4_FractionVolatileSolidsNotSolidStorage(J124,$F134)</f>
        <v>8.8999999999999996E-2</v>
      </c>
      <c r="K144" s="2" t="str">
        <f t="shared" si="1"/>
        <v>fraction</v>
      </c>
      <c r="O144" s="55" t="str">
        <f>'Input - Dairy'!$D$55</f>
        <v>Feed pad</v>
      </c>
      <c r="P144" s="55" t="str">
        <f>'Input - Dairy'!$D$101</f>
        <v>Anaerobic lagoon</v>
      </c>
      <c r="Q144" s="55" cm="1">
        <f t="array" ref="Q144">MMS_Dairy_Methane_Equations.VEERG_4_3_1_1__4_FractionVolatileSolidsNotSolidStorage(Q124,$Q134)</f>
        <v>8.8999999999999996E-2</v>
      </c>
      <c r="R144" s="55" cm="1">
        <f t="array" ref="R144">MMS_Dairy_Methane_Equations.VEERG_4_3_1_1__4_FractionVolatileSolidsNotSolidStorage(R124,$Q134)</f>
        <v>8.8999999999999996E-2</v>
      </c>
      <c r="S144" s="55" cm="1">
        <f t="array" ref="S144">MMS_Dairy_Methane_Equations.VEERG_4_3_1_1__4_FractionVolatileSolidsNotSolidStorage(S124,$Q134)</f>
        <v>8.8999999999999996E-2</v>
      </c>
      <c r="T144" s="55" cm="1">
        <f t="array" ref="T144">MMS_Dairy_Methane_Equations.VEERG_4_3_1_1__4_FractionVolatileSolidsNotSolidStorage(T124,$Q134)</f>
        <v>8.8999999999999996E-2</v>
      </c>
      <c r="U144" s="55" cm="1">
        <f t="array" ref="U144">MMS_Dairy_Methane_Equations.VEERG_4_3_1_1__4_FractionVolatileSolidsNotSolidStorage(U124,$Q134)</f>
        <v>8.8999999999999996E-2</v>
      </c>
      <c r="V144" s="2" t="str">
        <f t="shared" si="0"/>
        <v>fraction</v>
      </c>
    </row>
    <row r="145" spans="3:23" ht="20.100000000000001" customHeight="1" x14ac:dyDescent="0.25">
      <c r="D145" s="55" t="str">
        <f>'Input - Dairy'!$D$55</f>
        <v>Feed pad</v>
      </c>
      <c r="E145" s="55" t="str">
        <f>'Input - Dairy'!$D$106</f>
        <v>Sump and dispersal system</v>
      </c>
      <c r="F145" s="55" cm="1">
        <f t="array" ref="F145">MMS_Dairy_Methane_Equations.VEERG_4_3_1_1__4_FractionVolatileSolidsNotSolidStorage(F125,$F135)</f>
        <v>7.1199999999999999E-2</v>
      </c>
      <c r="G145" s="55" cm="1">
        <f t="array" ref="G145">MMS_Dairy_Methane_Equations.VEERG_4_3_1_1__4_FractionVolatileSolidsNotSolidStorage(G125,$F135)</f>
        <v>7.1199999999999999E-2</v>
      </c>
      <c r="H145" s="55" cm="1">
        <f t="array" ref="H145">MMS_Dairy_Methane_Equations.VEERG_4_3_1_1__4_FractionVolatileSolidsNotSolidStorage(H125,$F135)</f>
        <v>7.1199999999999999E-2</v>
      </c>
      <c r="I145" s="55" cm="1">
        <f t="array" ref="I145">MMS_Dairy_Methane_Equations.VEERG_4_3_1_1__4_FractionVolatileSolidsNotSolidStorage(I125,$F135)</f>
        <v>7.1199999999999999E-2</v>
      </c>
      <c r="J145" s="55" cm="1">
        <f t="array" ref="J145">MMS_Dairy_Methane_Equations.VEERG_4_3_1_1__4_FractionVolatileSolidsNotSolidStorage(J125,$F135)</f>
        <v>7.1199999999999999E-2</v>
      </c>
      <c r="K145" s="2" t="str">
        <f t="shared" si="1"/>
        <v>fraction</v>
      </c>
      <c r="O145" s="55" t="str">
        <f>'Input - Dairy'!$D$55</f>
        <v>Feed pad</v>
      </c>
      <c r="P145" s="55" t="str">
        <f>'Input - Dairy'!$D$106</f>
        <v>Sump and dispersal system</v>
      </c>
      <c r="Q145" s="55" cm="1">
        <f t="array" ref="Q145">MMS_Dairy_Methane_Equations.VEERG_4_3_1_1__4_FractionVolatileSolidsNotSolidStorage(Q125,$Q135)</f>
        <v>7.1199999999999999E-2</v>
      </c>
      <c r="R145" s="55" cm="1">
        <f t="array" ref="R145">MMS_Dairy_Methane_Equations.VEERG_4_3_1_1__4_FractionVolatileSolidsNotSolidStorage(R125,$Q135)</f>
        <v>7.1199999999999999E-2</v>
      </c>
      <c r="S145" s="55" cm="1">
        <f t="array" ref="S145">MMS_Dairy_Methane_Equations.VEERG_4_3_1_1__4_FractionVolatileSolidsNotSolidStorage(S125,$Q135)</f>
        <v>7.1199999999999999E-2</v>
      </c>
      <c r="T145" s="55" cm="1">
        <f t="array" ref="T145">MMS_Dairy_Methane_Equations.VEERG_4_3_1_1__4_FractionVolatileSolidsNotSolidStorage(T125,$Q135)</f>
        <v>7.1199999999999999E-2</v>
      </c>
      <c r="U145" s="55" cm="1">
        <f t="array" ref="U145">MMS_Dairy_Methane_Equations.VEERG_4_3_1_1__4_FractionVolatileSolidsNotSolidStorage(U125,$Q135)</f>
        <v>7.1199999999999999E-2</v>
      </c>
      <c r="V145" s="2" t="str">
        <f t="shared" si="0"/>
        <v>fraction</v>
      </c>
    </row>
    <row r="146" spans="3:23" ht="20.100000000000001" customHeight="1" x14ac:dyDescent="0.25">
      <c r="D146" s="55" t="str">
        <f>'Input - Dairy'!$D$55</f>
        <v>Feed pad</v>
      </c>
      <c r="E146" s="55" t="str">
        <f>'Input - Dairy'!$D$111</f>
        <v>Drains to paddock</v>
      </c>
      <c r="F146" s="55" cm="1">
        <f t="array" ref="F146">MMS_Dairy_Methane_Equations.VEERG_4_3_1_1__4_FractionVolatileSolidsNotSolidStorage(F126,$F136)</f>
        <v>7.1199999999999999E-2</v>
      </c>
      <c r="G146" s="55" cm="1">
        <f t="array" ref="G146">MMS_Dairy_Methane_Equations.VEERG_4_3_1_1__4_FractionVolatileSolidsNotSolidStorage(G126,$F136)</f>
        <v>7.1199999999999999E-2</v>
      </c>
      <c r="H146" s="55" cm="1">
        <f t="array" ref="H146">MMS_Dairy_Methane_Equations.VEERG_4_3_1_1__4_FractionVolatileSolidsNotSolidStorage(H126,$F136)</f>
        <v>7.1199999999999999E-2</v>
      </c>
      <c r="I146" s="55" cm="1">
        <f t="array" ref="I146">MMS_Dairy_Methane_Equations.VEERG_4_3_1_1__4_FractionVolatileSolidsNotSolidStorage(I126,$F136)</f>
        <v>7.1199999999999999E-2</v>
      </c>
      <c r="J146" s="55" cm="1">
        <f t="array" ref="J146">MMS_Dairy_Methane_Equations.VEERG_4_3_1_1__4_FractionVolatileSolidsNotSolidStorage(J126,$F136)</f>
        <v>7.1199999999999999E-2</v>
      </c>
      <c r="K146" s="2" t="str">
        <f t="shared" si="1"/>
        <v>fraction</v>
      </c>
      <c r="O146" s="55" t="str">
        <f>'Input - Dairy'!$D$55</f>
        <v>Feed pad</v>
      </c>
      <c r="P146" s="55" t="str">
        <f>'Input - Dairy'!$D$111</f>
        <v>Drains to paddock</v>
      </c>
      <c r="Q146" s="55" cm="1">
        <f t="array" ref="Q146">MMS_Dairy_Methane_Equations.VEERG_4_3_1_1__4_FractionVolatileSolidsNotSolidStorage(Q126,$Q136)</f>
        <v>7.1199999999999999E-2</v>
      </c>
      <c r="R146" s="55" cm="1">
        <f t="array" ref="R146">MMS_Dairy_Methane_Equations.VEERG_4_3_1_1__4_FractionVolatileSolidsNotSolidStorage(R126,$Q136)</f>
        <v>7.1199999999999999E-2</v>
      </c>
      <c r="S146" s="55" cm="1">
        <f t="array" ref="S146">MMS_Dairy_Methane_Equations.VEERG_4_3_1_1__4_FractionVolatileSolidsNotSolidStorage(S126,$Q136)</f>
        <v>7.1199999999999999E-2</v>
      </c>
      <c r="T146" s="55" cm="1">
        <f t="array" ref="T146">MMS_Dairy_Methane_Equations.VEERG_4_3_1_1__4_FractionVolatileSolidsNotSolidStorage(T126,$Q136)</f>
        <v>7.1199999999999999E-2</v>
      </c>
      <c r="U146" s="55" cm="1">
        <f t="array" ref="U146">MMS_Dairy_Methane_Equations.VEERG_4_3_1_1__4_FractionVolatileSolidsNotSolidStorage(U126,$Q136)</f>
        <v>7.1199999999999999E-2</v>
      </c>
      <c r="V146" s="2" t="str">
        <f t="shared" si="0"/>
        <v>fraction</v>
      </c>
    </row>
    <row r="147" spans="3:23" ht="20.100000000000001" customHeight="1" x14ac:dyDescent="0.25"/>
    <row r="148" spans="3:23" ht="20.100000000000001" customHeight="1" x14ac:dyDescent="0.25"/>
    <row r="149" spans="3:23" ht="20.100000000000001" customHeight="1" x14ac:dyDescent="0.25">
      <c r="C149" s="48"/>
      <c r="D149" s="48"/>
      <c r="E149" s="48"/>
      <c r="F149" s="48"/>
      <c r="G149" s="48"/>
      <c r="H149" s="48"/>
      <c r="I149" s="48"/>
      <c r="J149" s="48"/>
      <c r="K149" s="48"/>
      <c r="L149" s="48"/>
      <c r="N149" s="48"/>
      <c r="O149" s="48"/>
      <c r="P149" s="48"/>
      <c r="Q149" s="48"/>
      <c r="R149" s="48"/>
      <c r="S149" s="48"/>
      <c r="T149" s="48"/>
      <c r="U149" s="48"/>
      <c r="V149" s="48"/>
      <c r="W149" s="48"/>
    </row>
    <row r="150" spans="3:23" ht="20.100000000000001" customHeight="1" x14ac:dyDescent="0.25">
      <c r="D150" s="6" t="str" cm="1">
        <f t="array" ref="D150">MMS_Dairy_Methane_Equations.VEERG_4_3_1_1__5_FractionVolatileSolidsSolidStorage_Title()</f>
        <v>Fraction of volatile solids in solid storage</v>
      </c>
    </row>
    <row r="151" spans="3:23" ht="20.100000000000001" customHeight="1" x14ac:dyDescent="0.25">
      <c r="D151" s="5" t="str" cm="1">
        <f t="array" ref="D151">MMS_Dairy_Methane_Equations.VEERG_4_3_1_1__5_FractionVolatileSolidsSolidStorage_Source()</f>
        <v>VEERG 2026: 4.3.1.1, Equation (5)</v>
      </c>
    </row>
    <row r="152" spans="3:23" ht="20.100000000000001" customHeight="1" x14ac:dyDescent="0.25">
      <c r="D152" s="58" t="str" cm="1">
        <f t="array" ref="D152">MMS_Dairy_Methane_Equations.VEERG_4_3_1_1__5_FractionVolatileSolidsSolidStorage_Variation()</f>
        <v>Used separate variables for MMS and SS m 1, 7 and 9.</v>
      </c>
    </row>
    <row r="153" spans="3:23" ht="20.100000000000001" customHeight="1" x14ac:dyDescent="0.25">
      <c r="D153" s="13" t="s">
        <v>28</v>
      </c>
      <c r="E153" s="13" t="str" cm="1">
        <f t="array" aca="1" ref="E153" ca="1">Common_InputFunctions.Utility_DisplayFunctionName($F$172)</f>
        <v>=MMS_Dairy_Methane_Equations.VEERG_4_3_1_1__5_FractionVolatileSolidsSolidStorageVariation</v>
      </c>
    </row>
    <row r="154" spans="3:23" ht="20.100000000000001" customHeight="1" x14ac:dyDescent="0.25"/>
    <row r="155" spans="3:23" ht="20.100000000000001" customHeight="1" x14ac:dyDescent="0.25">
      <c r="D155" s="6"/>
    </row>
    <row r="156" spans="3:23" ht="20.100000000000001" customHeight="1" x14ac:dyDescent="0.25">
      <c r="D156" s="56" t="s">
        <v>31</v>
      </c>
      <c r="E156" s="1" t="str" cm="1">
        <f t="array" ref="E156">MMS_Dairy_Methane_Equations.VEERG_4_3_1_1__5_FractionVolatileSolidsSolidStorage_Variable()</f>
        <v>FVS_jm4</v>
      </c>
    </row>
    <row r="157" spans="3:23" ht="20.100000000000001" customHeight="1" x14ac:dyDescent="0.25">
      <c r="D157" s="56" t="s">
        <v>21</v>
      </c>
      <c r="E157" s="57" t="str" cm="1">
        <f t="array" ref="E157">MMS_Dairy_Methane_Equations.VEERG_4_3_1_1__5_FractionVolatileSolidsSolidStorage_Unit()</f>
        <v>fraction</v>
      </c>
    </row>
    <row r="158" spans="3:23" ht="20.100000000000001" customHeight="1" x14ac:dyDescent="0.25"/>
    <row r="159" spans="3:23" ht="20.100000000000001" customHeight="1" x14ac:dyDescent="0.25">
      <c r="D159" s="60" t="str" cm="1">
        <f t="array" ref="D159:E161">MMS_Dairy_Methane_Equations.VEERG_4_3_1_1__5_FractionVolatileSolidsSolidStorage_Arguments()</f>
        <v>MMS_jm4</v>
      </c>
      <c r="E159" s="61" t="str">
        <v>fraction of volatile solids in solid storage before transfer</v>
      </c>
      <c r="F159" s="62"/>
      <c r="G159" s="60" t="str">
        <f>"See " &amp; D163</f>
        <v>See M1_Table_MMS_j_m-4</v>
      </c>
    </row>
    <row r="160" spans="3:23" ht="20.100000000000001" customHeight="1" x14ac:dyDescent="0.25">
      <c r="D160" s="60" t="str">
        <v>MMS_jm179</v>
      </c>
      <c r="E160" s="61" t="str">
        <v>fraction of volatile solids in MMS m=1,7,9 before transfer</v>
      </c>
      <c r="F160" s="62"/>
      <c r="G160" s="60" t="str">
        <f>"See " &amp; D118</f>
        <v>See M1_Table_MMS_j_m</v>
      </c>
    </row>
    <row r="161" spans="3:23" ht="20.100000000000001" customHeight="1" x14ac:dyDescent="0.25">
      <c r="D161" s="60" t="str">
        <v>SS_m</v>
      </c>
      <c r="E161" s="61" t="str">
        <v>fraction of volatile solids separated to solid storage for each MMS</v>
      </c>
      <c r="F161" s="62"/>
      <c r="G161" s="60" t="str">
        <f>"See " &amp; D128</f>
        <v>See M1_Table_SS_m</v>
      </c>
    </row>
    <row r="162" spans="3:23" ht="20.100000000000001" customHeight="1" x14ac:dyDescent="0.25"/>
    <row r="163" spans="3:23" ht="20.100000000000001" customHeight="1" x14ac:dyDescent="0.25">
      <c r="D163" s="104" t="s">
        <v>273</v>
      </c>
      <c r="O163" s="104" t="s">
        <v>279</v>
      </c>
    </row>
    <row r="164" spans="3:23" ht="20.100000000000001" customHeight="1" x14ac:dyDescent="0.25">
      <c r="D164" s="103" t="s">
        <v>274</v>
      </c>
      <c r="O164" s="103" t="s">
        <v>280</v>
      </c>
    </row>
    <row r="165" spans="3:23" ht="20.100000000000001" customHeight="1" x14ac:dyDescent="0.25">
      <c r="D165" s="54" t="s">
        <v>159</v>
      </c>
      <c r="E165" s="54" t="s">
        <v>69</v>
      </c>
      <c r="F165" s="54" t="s">
        <v>186</v>
      </c>
      <c r="G165" s="54" t="s">
        <v>203</v>
      </c>
      <c r="H165" s="54" t="s">
        <v>204</v>
      </c>
      <c r="I165" s="54" t="s">
        <v>205</v>
      </c>
      <c r="J165" s="54" t="s">
        <v>206</v>
      </c>
      <c r="O165" s="54" t="s">
        <v>159</v>
      </c>
      <c r="P165" s="54" t="s">
        <v>69</v>
      </c>
      <c r="Q165" s="54" t="s">
        <v>186</v>
      </c>
      <c r="R165" s="54" t="s">
        <v>203</v>
      </c>
      <c r="S165" s="54" t="s">
        <v>204</v>
      </c>
      <c r="T165" s="54" t="s">
        <v>205</v>
      </c>
      <c r="U165" s="54" t="s">
        <v>206</v>
      </c>
    </row>
    <row r="166" spans="3:23" ht="20.100000000000001" customHeight="1" x14ac:dyDescent="0.25">
      <c r="D166" s="55" t="str">
        <f>'Input - Dairy'!$D$54</f>
        <v>Milking shed</v>
      </c>
      <c r="E166" s="55" t="str">
        <f>'Input - Dairy'!$D$82</f>
        <v>Solid storage</v>
      </c>
      <c r="F166" s="55">
        <f>'Input - Dairy'!E53*'Input - Dairy'!E82</f>
        <v>0.13350000000000001</v>
      </c>
      <c r="G166" s="55">
        <f>'Input - Dairy'!F53*'Input - Dairy'!F82</f>
        <v>0.13350000000000001</v>
      </c>
      <c r="H166" s="55">
        <f>'Input - Dairy'!G53*'Input - Dairy'!G82</f>
        <v>0.13350000000000001</v>
      </c>
      <c r="I166" s="55">
        <f>'Input - Dairy'!H53*'Input - Dairy'!H82</f>
        <v>0.13350000000000001</v>
      </c>
      <c r="J166" s="55">
        <f>'Input - Dairy'!I53*'Input - Dairy'!I82</f>
        <v>0.13350000000000001</v>
      </c>
      <c r="K166" s="2" t="s">
        <v>101</v>
      </c>
      <c r="O166" s="55" t="str">
        <f>'Input - Dairy'!$D$54</f>
        <v>Milking shed</v>
      </c>
      <c r="P166" s="55" t="str">
        <f>'Input - Dairy'!$D$82</f>
        <v>Solid storage</v>
      </c>
      <c r="Q166" s="137">
        <f>'Input - Dairy'!E59*'Input - Dairy'!E82</f>
        <v>2.75E-2</v>
      </c>
      <c r="R166" s="137">
        <f>'Input - Dairy'!F59*'Input - Dairy'!F82</f>
        <v>2.75E-2</v>
      </c>
      <c r="S166" s="137">
        <f>'Input - Dairy'!G59*'Input - Dairy'!G82</f>
        <v>2.75E-2</v>
      </c>
      <c r="T166" s="137">
        <f>'Input - Dairy'!H59*'Input - Dairy'!H82</f>
        <v>2.75E-2</v>
      </c>
      <c r="U166" s="137">
        <f>'Input - Dairy'!I59*'Input - Dairy'!I82</f>
        <v>2.75E-2</v>
      </c>
      <c r="V166" s="2" t="s">
        <v>101</v>
      </c>
    </row>
    <row r="167" spans="3:23" ht="20.100000000000001" customHeight="1" x14ac:dyDescent="0.25">
      <c r="D167" s="55" t="str">
        <f>'Input - Dairy'!$D$55</f>
        <v>Feed pad</v>
      </c>
      <c r="E167" s="55" t="str">
        <f>'Input - Dairy'!$D$116</f>
        <v>Solid storage</v>
      </c>
      <c r="F167" s="55">
        <f>'Input - Dairy'!E55*'Input - Dairy'!E116</f>
        <v>8.8999999999999996E-2</v>
      </c>
      <c r="G167" s="55">
        <f>'Input - Dairy'!F55*'Input - Dairy'!F116</f>
        <v>8.8999999999999996E-2</v>
      </c>
      <c r="H167" s="55">
        <f>'Input - Dairy'!G55*'Input - Dairy'!G116</f>
        <v>8.8999999999999996E-2</v>
      </c>
      <c r="I167" s="55">
        <f>'Input - Dairy'!H55*'Input - Dairy'!H116</f>
        <v>8.8999999999999996E-2</v>
      </c>
      <c r="J167" s="55">
        <f>'Input - Dairy'!I55*'Input - Dairy'!I116</f>
        <v>8.8999999999999996E-2</v>
      </c>
      <c r="K167" s="2" t="s">
        <v>101</v>
      </c>
      <c r="O167" s="55" t="str">
        <f>'Input - Dairy'!$D$55</f>
        <v>Feed pad</v>
      </c>
      <c r="P167" s="55" t="str">
        <f>'Input - Dairy'!$D$116</f>
        <v>Solid storage</v>
      </c>
      <c r="Q167" s="138">
        <f>'Input - Dairy'!E60*'Input - Dairy'!E116</f>
        <v>8.8999999999999996E-2</v>
      </c>
      <c r="R167" s="138">
        <f>'Input - Dairy'!F60*'Input - Dairy'!F116</f>
        <v>8.8999999999999996E-2</v>
      </c>
      <c r="S167" s="138">
        <f>'Input - Dairy'!G60*'Input - Dairy'!G116</f>
        <v>8.8999999999999996E-2</v>
      </c>
      <c r="T167" s="138">
        <f>'Input - Dairy'!H60*'Input - Dairy'!H116</f>
        <v>8.8999999999999996E-2</v>
      </c>
      <c r="U167" s="138">
        <f>'Input - Dairy'!I60*'Input - Dairy'!I116</f>
        <v>8.8999999999999996E-2</v>
      </c>
      <c r="V167" s="2" t="s">
        <v>101</v>
      </c>
    </row>
    <row r="168" spans="3:23" ht="20.100000000000001" customHeight="1" x14ac:dyDescent="0.25"/>
    <row r="169" spans="3:23" ht="20.100000000000001" customHeight="1" x14ac:dyDescent="0.25">
      <c r="D169" s="104" t="s">
        <v>277</v>
      </c>
      <c r="O169" s="104" t="s">
        <v>281</v>
      </c>
    </row>
    <row r="170" spans="3:23" ht="20.100000000000001" customHeight="1" x14ac:dyDescent="0.25">
      <c r="D170" s="103" t="s">
        <v>278</v>
      </c>
      <c r="O170" s="103" t="s">
        <v>282</v>
      </c>
    </row>
    <row r="171" spans="3:23" ht="20.100000000000001" customHeight="1" x14ac:dyDescent="0.25">
      <c r="D171" s="54" t="s">
        <v>159</v>
      </c>
      <c r="E171" s="54" t="s">
        <v>69</v>
      </c>
      <c r="F171" s="54" t="s">
        <v>186</v>
      </c>
      <c r="G171" s="54" t="s">
        <v>203</v>
      </c>
      <c r="H171" s="54" t="s">
        <v>204</v>
      </c>
      <c r="I171" s="54" t="s">
        <v>205</v>
      </c>
      <c r="J171" s="54" t="s">
        <v>206</v>
      </c>
      <c r="O171" s="54" t="s">
        <v>159</v>
      </c>
      <c r="P171" s="54" t="s">
        <v>69</v>
      </c>
      <c r="Q171" s="54" t="s">
        <v>186</v>
      </c>
      <c r="R171" s="54" t="s">
        <v>203</v>
      </c>
      <c r="S171" s="54" t="s">
        <v>204</v>
      </c>
      <c r="T171" s="54" t="s">
        <v>205</v>
      </c>
      <c r="U171" s="54" t="s">
        <v>206</v>
      </c>
    </row>
    <row r="172" spans="3:23" ht="20.100000000000001" customHeight="1" x14ac:dyDescent="0.25">
      <c r="D172" s="55" t="str">
        <f>'Input - Dairy'!$D$54</f>
        <v>Milking shed</v>
      </c>
      <c r="E172" s="55" t="str">
        <f>'Input - Dairy'!$D$82</f>
        <v>Solid storage</v>
      </c>
      <c r="F172" s="55" cm="1">
        <f t="array" ref="F172">MMS_Dairy_Methane_Equations.VEERG_4_3_1_1__5_FractionVolatileSolidsSolidStorageVariation(F166,F121,$F131,F122,$F132,F123,$F133)</f>
        <v>0.15000000000000002</v>
      </c>
      <c r="G172" s="55" cm="1">
        <f t="array" ref="G172">MMS_Dairy_Methane_Equations.VEERG_4_3_1_1__5_FractionVolatileSolidsSolidStorageVariation(G166,G121,$F131,G122,$F132,G123,$F133)</f>
        <v>0.15000000000000002</v>
      </c>
      <c r="H172" s="55" cm="1">
        <f t="array" ref="H172">MMS_Dairy_Methane_Equations.VEERG_4_3_1_1__5_FractionVolatileSolidsSolidStorageVariation(H166,H121,$F131,H122,$F132,H123,$F133)</f>
        <v>0.15000000000000002</v>
      </c>
      <c r="I172" s="55" cm="1">
        <f t="array" ref="I172">MMS_Dairy_Methane_Equations.VEERG_4_3_1_1__5_FractionVolatileSolidsSolidStorageVariation(I166,I121,$F131,I122,$F132,I123,$F133)</f>
        <v>0.15000000000000002</v>
      </c>
      <c r="J172" s="55" cm="1">
        <f t="array" ref="J172">MMS_Dairy_Methane_Equations.VEERG_4_3_1_1__5_FractionVolatileSolidsSolidStorageVariation(J166,J121,$F131,J122,$F132,J123,$F133)</f>
        <v>0.15000000000000002</v>
      </c>
      <c r="K172" s="2" t="str">
        <f>$E$157</f>
        <v>fraction</v>
      </c>
      <c r="O172" s="55" t="str">
        <f>'Input - Dairy'!$D$54</f>
        <v>Milking shed</v>
      </c>
      <c r="P172" s="55" t="str">
        <f>'Input - Dairy'!$D$82</f>
        <v>Solid storage</v>
      </c>
      <c r="Q172" s="55" cm="1">
        <f t="array" ref="Q172">MMS_Dairy_Methane_Equations.VEERG_4_3_1_1__5_FractionVolatileSolidsSolidStorageVariation(Q166,Q121,$Q131,Q122,$Q132,Q123,$Q133)</f>
        <v>4.3999999999999997E-2</v>
      </c>
      <c r="R172" s="55" cm="1">
        <f t="array" ref="R172">MMS_Dairy_Methane_Equations.VEERG_4_3_1_1__5_FractionVolatileSolidsSolidStorageVariation(R166,R121,$Q131,R122,$Q132,R123,$Q133)</f>
        <v>4.3999999999999997E-2</v>
      </c>
      <c r="S172" s="55" cm="1">
        <f t="array" ref="S172">MMS_Dairy_Methane_Equations.VEERG_4_3_1_1__5_FractionVolatileSolidsSolidStorageVariation(S166,S121,$Q131,S122,$Q132,S123,$Q133)</f>
        <v>4.3999999999999997E-2</v>
      </c>
      <c r="T172" s="55" cm="1">
        <f t="array" ref="T172">MMS_Dairy_Methane_Equations.VEERG_4_3_1_1__5_FractionVolatileSolidsSolidStorageVariation(T166,T121,$Q131,T122,$Q132,T123,$Q133)</f>
        <v>4.3999999999999997E-2</v>
      </c>
      <c r="U172" s="55" cm="1">
        <f t="array" ref="U172">MMS_Dairy_Methane_Equations.VEERG_4_3_1_1__5_FractionVolatileSolidsSolidStorageVariation(U166,U121,$Q131,U122,$Q132,U123,$Q133)</f>
        <v>4.3999999999999997E-2</v>
      </c>
      <c r="V172" s="2" t="str">
        <f t="shared" ref="V172:V173" si="2">$E$157</f>
        <v>fraction</v>
      </c>
    </row>
    <row r="173" spans="3:23" ht="20.100000000000001" customHeight="1" x14ac:dyDescent="0.25">
      <c r="D173" s="55" t="str">
        <f>'Input - Dairy'!$D$55</f>
        <v>Feed pad</v>
      </c>
      <c r="E173" s="55" t="str">
        <f>'Input - Dairy'!$D$116</f>
        <v>Solid storage</v>
      </c>
      <c r="F173" s="55" cm="1">
        <f t="array" ref="F173">MMS_Dairy_Methane_Equations.VEERG_4_3_1_1__5_FractionVolatileSolidsSolidStorageVariation(F167,F124,$F134,F125,$F135,F126,$F136)</f>
        <v>0.12459999999999999</v>
      </c>
      <c r="G173" s="55" cm="1">
        <f t="array" ref="G173">MMS_Dairy_Methane_Equations.VEERG_4_3_1_1__5_FractionVolatileSolidsSolidStorageVariation(G167,G124,$F134,G125,$F135,G126,$F136)</f>
        <v>0.12459999999999999</v>
      </c>
      <c r="H173" s="55" cm="1">
        <f t="array" ref="H173">MMS_Dairy_Methane_Equations.VEERG_4_3_1_1__5_FractionVolatileSolidsSolidStorageVariation(H167,H124,$F134,H125,$F135,H126,$F136)</f>
        <v>0.12459999999999999</v>
      </c>
      <c r="I173" s="55" cm="1">
        <f t="array" ref="I173">MMS_Dairy_Methane_Equations.VEERG_4_3_1_1__5_FractionVolatileSolidsSolidStorageVariation(I167,I124,$F134,I125,$F135,I126,$F136)</f>
        <v>0.12459999999999999</v>
      </c>
      <c r="J173" s="55" cm="1">
        <f t="array" ref="J173">MMS_Dairy_Methane_Equations.VEERG_4_3_1_1__5_FractionVolatileSolidsSolidStorageVariation(J167,J124,$F134,J125,$F135,J126,$F136)</f>
        <v>0.12459999999999999</v>
      </c>
      <c r="K173" s="2" t="str">
        <f>$E$157</f>
        <v>fraction</v>
      </c>
      <c r="O173" s="55" t="str">
        <f>'Input - Dairy'!$D$55</f>
        <v>Feed pad</v>
      </c>
      <c r="P173" s="55" t="str">
        <f>'Input - Dairy'!$D$116</f>
        <v>Solid storage</v>
      </c>
      <c r="Q173" s="55" cm="1">
        <f t="array" ref="Q173">MMS_Dairy_Methane_Equations.VEERG_4_3_1_1__5_FractionVolatileSolidsSolidStorageVariation(Q167,Q124,$Q134,Q125,$Q135,Q126,$Q136)</f>
        <v>0.12459999999999999</v>
      </c>
      <c r="R173" s="55" cm="1">
        <f t="array" ref="R173">MMS_Dairy_Methane_Equations.VEERG_4_3_1_1__5_FractionVolatileSolidsSolidStorageVariation(R167,R124,$Q134,R125,$Q135,R126,$Q136)</f>
        <v>0.12459999999999999</v>
      </c>
      <c r="S173" s="55" cm="1">
        <f t="array" ref="S173">MMS_Dairy_Methane_Equations.VEERG_4_3_1_1__5_FractionVolatileSolidsSolidStorageVariation(S167,S124,$Q134,S125,$Q135,S126,$Q136)</f>
        <v>0.12459999999999999</v>
      </c>
      <c r="T173" s="55" cm="1">
        <f t="array" ref="T173">MMS_Dairy_Methane_Equations.VEERG_4_3_1_1__5_FractionVolatileSolidsSolidStorageVariation(T167,T124,$Q134,T125,$Q135,T126,$Q136)</f>
        <v>0.12459999999999999</v>
      </c>
      <c r="U173" s="55" cm="1">
        <f t="array" ref="U173">MMS_Dairy_Methane_Equations.VEERG_4_3_1_1__5_FractionVolatileSolidsSolidStorageVariation(U167,U124,$Q134,U125,$Q135,U126,$Q136)</f>
        <v>0.12459999999999999</v>
      </c>
      <c r="V173" s="2" t="str">
        <f t="shared" si="2"/>
        <v>fraction</v>
      </c>
    </row>
    <row r="174" spans="3:23" ht="20.100000000000001" customHeight="1" x14ac:dyDescent="0.25"/>
    <row r="175" spans="3:23" ht="20.100000000000001" customHeight="1" x14ac:dyDescent="0.25"/>
    <row r="176" spans="3:23" ht="20.100000000000001" customHeight="1" x14ac:dyDescent="0.25">
      <c r="C176" s="48"/>
      <c r="D176" s="48"/>
      <c r="E176" s="48"/>
      <c r="F176" s="48"/>
      <c r="G176" s="48"/>
      <c r="H176" s="48"/>
      <c r="I176" s="48"/>
      <c r="J176" s="48"/>
      <c r="K176" s="48"/>
      <c r="L176" s="48"/>
      <c r="N176" s="48"/>
      <c r="O176" s="48"/>
      <c r="P176" s="48"/>
      <c r="Q176" s="48"/>
      <c r="R176" s="48"/>
      <c r="S176" s="48"/>
      <c r="T176" s="48"/>
      <c r="U176" s="48"/>
      <c r="V176" s="48"/>
      <c r="W176" s="48"/>
    </row>
    <row r="177" spans="4:18" ht="20.100000000000001" customHeight="1" x14ac:dyDescent="0.25">
      <c r="D177" s="6" t="str" cm="1">
        <f t="array" ref="D177">MMS_Dairy_Methane_Equations.VEERG_4_3_1_1__2_MethaneFromManureProduction_Title()</f>
        <v>Methane from manure production from weaned dairy cattle</v>
      </c>
    </row>
    <row r="178" spans="4:18" ht="20.100000000000001" customHeight="1" x14ac:dyDescent="0.25">
      <c r="D178" s="5" t="str" cm="1">
        <f t="array" ref="D178">MMS_Dairy_Methane_Equations.VEERG_4_3_1_1__2_MethaneFromManureProduction_Source()</f>
        <v>VEERG 2026: 4.3.1.1, Equation (2)</v>
      </c>
    </row>
    <row r="179" spans="4:18" ht="20.100000000000001" customHeight="1" x14ac:dyDescent="0.25">
      <c r="D179" s="13" t="s">
        <v>28</v>
      </c>
      <c r="E179" s="13" t="str" cm="1">
        <f t="array" aca="1" ref="E179" ca="1">Common_InputFunctions.Utility_DisplayFunctionName($F$203)</f>
        <v>=MMS_Dairy_Methane_Equations.VEERG_4_3_1_1__2_MethaneFromManureProduction</v>
      </c>
    </row>
    <row r="180" spans="4:18" ht="20.100000000000001" customHeight="1" x14ac:dyDescent="0.25"/>
    <row r="181" spans="4:18" ht="20.100000000000001" customHeight="1" x14ac:dyDescent="0.25">
      <c r="D181" s="6"/>
    </row>
    <row r="182" spans="4:18" ht="20.100000000000001" customHeight="1" x14ac:dyDescent="0.25">
      <c r="D182" s="56" t="s">
        <v>31</v>
      </c>
      <c r="E182" s="1" t="str" cm="1">
        <f t="array" ref="E182">MMS_Dairy_Methane_Equations.VEERG_4_3_1_1__2_MethaneFromManureProduction_Variable()</f>
        <v>M_jm</v>
      </c>
    </row>
    <row r="183" spans="4:18" ht="20.100000000000001" customHeight="1" x14ac:dyDescent="0.25">
      <c r="D183" s="56" t="s">
        <v>21</v>
      </c>
      <c r="E183" s="57" t="str" cm="1">
        <f t="array" ref="E183">MMS_Dairy_Methane_Equations.VEERG_4_3_1_1__2_MethaneFromManureProduction_Unit()</f>
        <v>kg CH4/head/day</v>
      </c>
    </row>
    <row r="184" spans="4:18" ht="20.100000000000001" customHeight="1" x14ac:dyDescent="0.25"/>
    <row r="185" spans="4:18" ht="20.100000000000001" customHeight="1" x14ac:dyDescent="0.25">
      <c r="D185" s="60" t="str" cm="1">
        <f t="array" ref="D185:E190">MMS_Dairy_Methane_Equations.VEERG_4_3_1_1__2_MethaneFromManureProduction_Arguments()</f>
        <v>VS_j</v>
      </c>
      <c r="E185" s="61" t="str">
        <v>daily volatile solids production per head for dairy cattle (kg/head/day)</v>
      </c>
      <c r="F185" s="62"/>
      <c r="G185" s="60" t="str">
        <f>"See " &amp; D100</f>
        <v>See M1_Table_VS_j</v>
      </c>
    </row>
    <row r="186" spans="4:18" ht="20.100000000000001" customHeight="1" x14ac:dyDescent="0.25">
      <c r="D186" s="60" t="str">
        <v>FVS_jmT1</v>
      </c>
      <c r="E186" s="61" t="str">
        <v>fraction of waste from each class in each management system</v>
      </c>
      <c r="F186" s="62"/>
      <c r="G186" s="60" t="str">
        <f>"See " &amp; D138 &amp; " and " &amp; D169</f>
        <v>See M1_Table_FVS_j_m and M1_Table_FVS_j_m-4</v>
      </c>
      <c r="H186" s="114" t="s">
        <v>283</v>
      </c>
      <c r="O186" s="143" t="str" cm="1">
        <f t="array" ref="O186:P191">MMS_Dairy_Methane_Equations.VEERG_4_3_1_1__2_MethaneFromManureProduction_Arguments()</f>
        <v>VS_j</v>
      </c>
      <c r="P186" s="145" t="str">
        <v>daily volatile solids production per head for dairy cattle (kg/head/day)</v>
      </c>
      <c r="Q186" s="146"/>
      <c r="R186" s="143" t="str">
        <f>"See " &amp; O101</f>
        <v>See Volatile solids for weaned cattle (Method 2)</v>
      </c>
    </row>
    <row r="187" spans="4:18" ht="20.100000000000001" customHeight="1" x14ac:dyDescent="0.25">
      <c r="D187" s="60" t="str">
        <v>MCF_im</v>
      </c>
      <c r="E187" s="61" t="str">
        <v>methane conversion factor for temperature zone and MMS</v>
      </c>
      <c r="F187" s="62"/>
      <c r="G187" s="60" t="str">
        <f>"See " &amp; D192</f>
        <v>See M1_Table_MCF_i_m</v>
      </c>
      <c r="H187" s="114" t="s">
        <v>307</v>
      </c>
      <c r="O187" s="143" t="str">
        <v>FVS_jmT1</v>
      </c>
      <c r="P187" s="145" t="str">
        <v>fraction of waste from each class in each management system</v>
      </c>
      <c r="Q187" s="146"/>
      <c r="R187" s="143" t="str">
        <f>"See " &amp; O139 &amp; " and " &amp; O170</f>
        <v>See Fraction volatile solids to MMS other than solid storage (Method 1) and Fraction volatile solids to in solid storage (Method 2)</v>
      </c>
    </row>
    <row r="188" spans="4:18" ht="20.100000000000001" customHeight="1" x14ac:dyDescent="0.25">
      <c r="D188" s="60" t="str">
        <v>B_o</v>
      </c>
      <c r="E188" s="61" t="str">
        <v>emissions potential (m3 CH4/kgVS)</v>
      </c>
      <c r="F188" s="62"/>
      <c r="G188" s="60">
        <f>'Constants - Dairy'!$D$195</f>
        <v>0.24</v>
      </c>
      <c r="O188" s="143" t="str">
        <v>MCF_im</v>
      </c>
      <c r="P188" s="145" t="str">
        <v>methane conversion factor for temperature zone and MMS</v>
      </c>
      <c r="Q188" s="146"/>
      <c r="R188" s="143" t="str">
        <f>"See " &amp; O193</f>
        <v xml:space="preserve">See </v>
      </c>
    </row>
    <row r="189" spans="4:18" ht="20.100000000000001" customHeight="1" x14ac:dyDescent="0.25">
      <c r="D189" s="60" t="str">
        <v>rho</v>
      </c>
      <c r="E189" s="61" t="str">
        <v>density of methane (kg/m3)</v>
      </c>
      <c r="F189" s="62"/>
      <c r="G189" s="60">
        <f>'Constants - Common'!$D$175</f>
        <v>0.6784</v>
      </c>
      <c r="O189" s="143" t="str">
        <v>B_o</v>
      </c>
      <c r="P189" s="145" t="str">
        <v>emissions potential (m3 CH4/kgVS)</v>
      </c>
      <c r="Q189" s="146"/>
      <c r="R189" s="143">
        <f>'Constants - Dairy'!$D$195</f>
        <v>0.24</v>
      </c>
    </row>
    <row r="190" spans="4:18" ht="20.100000000000001" customHeight="1" x14ac:dyDescent="0.25">
      <c r="D190" s="60" t="str">
        <v>i</v>
      </c>
      <c r="E190" s="61" t="str">
        <v>state</v>
      </c>
      <c r="F190" s="62"/>
      <c r="G190" s="60" t="str">
        <f>Common_InputFunctions.Utility_LookupValueInTable('Input - Site'!$E$21, Table_AustralianStates[Common Name],Table_AustralianStates[Abbreviation])</f>
        <v>NSW</v>
      </c>
      <c r="O190" s="143" t="str">
        <v>rho</v>
      </c>
      <c r="P190" s="145" t="str">
        <v>density of methane (kg/m3)</v>
      </c>
      <c r="Q190" s="146"/>
      <c r="R190" s="143">
        <f>'Constants - Common'!$D$175</f>
        <v>0.6784</v>
      </c>
    </row>
    <row r="191" spans="4:18" ht="20.100000000000001" customHeight="1" x14ac:dyDescent="0.25">
      <c r="O191" s="143" t="str">
        <v>i</v>
      </c>
      <c r="P191" s="145" t="str">
        <v>state</v>
      </c>
      <c r="Q191" s="146"/>
      <c r="R191" s="143" t="str">
        <f>Common_InputFunctions.Utility_LookupValueInTable('Input - Site'!$E$21, Table_AustralianStates[Common Name],Table_AustralianStates[Abbreviation])</f>
        <v>NSW</v>
      </c>
    </row>
    <row r="192" spans="4:18" ht="20.100000000000001" customHeight="1" x14ac:dyDescent="0.25">
      <c r="D192" s="139" t="s">
        <v>284</v>
      </c>
    </row>
    <row r="193" spans="4:22" ht="20.100000000000001" customHeight="1" x14ac:dyDescent="0.25">
      <c r="D193" s="140" t="s">
        <v>285</v>
      </c>
    </row>
    <row r="194" spans="4:22" ht="20.100000000000001" customHeight="1" x14ac:dyDescent="0.25">
      <c r="D194" s="54" t="s">
        <v>69</v>
      </c>
      <c r="E194" s="54" t="s">
        <v>100</v>
      </c>
    </row>
    <row r="195" spans="4:22" ht="20.100000000000001" customHeight="1" x14ac:dyDescent="0.25">
      <c r="D195" s="60" t="str">
        <f>'Constants - Dairy'!D8</f>
        <v>Anaerobic lagoon</v>
      </c>
      <c r="E195" s="55" cm="1">
        <f t="array" ref="E195">CommonLivestock_InputFunctions.Livestock_LookupMCFState(D195,Table_SourceData_Dairy_MCFjm[NIR reference],$G$190,Table_SourceData_Dairy_MCFjm[#Headers],Table_SourceData_Dairy_MCFjm[])</f>
        <v>0.76</v>
      </c>
    </row>
    <row r="196" spans="4:22" ht="20.100000000000001" customHeight="1" x14ac:dyDescent="0.25">
      <c r="D196" s="60" t="str">
        <f>'Constants - Dairy'!D9</f>
        <v>Sump and dispersal system</v>
      </c>
      <c r="E196" s="55" cm="1">
        <f t="array" ref="E196">CommonLivestock_InputFunctions.Livestock_LookupMCFState(D196,Table_SourceData_Dairy_MCFjm[NIR reference],$G$190,Table_SourceData_Dairy_MCFjm[#Headers],Table_SourceData_Dairy_MCFjm[])</f>
        <v>5.0000000000000001E-3</v>
      </c>
    </row>
    <row r="197" spans="4:22" ht="20.100000000000001" customHeight="1" x14ac:dyDescent="0.25">
      <c r="D197" s="60" t="str">
        <f>'Constants - Dairy'!D10</f>
        <v>Drains to paddock</v>
      </c>
      <c r="E197" s="55" cm="1">
        <f t="array" ref="E197">CommonLivestock_InputFunctions.Livestock_LookupMCFState(D197,Table_SourceData_Dairy_MCFjm[NIR reference],$G$190,Table_SourceData_Dairy_MCFjm[#Headers],Table_SourceData_Dairy_MCFjm[])</f>
        <v>0.18</v>
      </c>
    </row>
    <row r="198" spans="4:22" ht="20.100000000000001" customHeight="1" x14ac:dyDescent="0.25">
      <c r="D198" s="60" t="str">
        <f>'Constants - Dairy'!D11</f>
        <v>Solid storage</v>
      </c>
      <c r="E198" s="55" cm="1">
        <f t="array" ref="E198">CommonLivestock_InputFunctions.Livestock_LookupMCFState(D198,Table_SourceData_Dairy_MCFjm[NIR reference],$G$190,Table_SourceData_Dairy_MCFjm[#Headers],Table_SourceData_Dairy_MCFjm[])</f>
        <v>0.02</v>
      </c>
    </row>
    <row r="199" spans="4:22" ht="20.100000000000001" customHeight="1" x14ac:dyDescent="0.25"/>
    <row r="200" spans="4:22" ht="20.100000000000001" customHeight="1" x14ac:dyDescent="0.25">
      <c r="D200" s="139" t="s">
        <v>286</v>
      </c>
      <c r="O200" s="139" t="s">
        <v>300</v>
      </c>
    </row>
    <row r="201" spans="4:22" ht="20.100000000000001" customHeight="1" x14ac:dyDescent="0.25">
      <c r="D201" s="140" t="s">
        <v>302</v>
      </c>
      <c r="O201" s="140" t="s">
        <v>301</v>
      </c>
    </row>
    <row r="202" spans="4:22" ht="20.100000000000001" customHeight="1" x14ac:dyDescent="0.25">
      <c r="D202" s="54" t="s">
        <v>159</v>
      </c>
      <c r="E202" s="54" t="s">
        <v>69</v>
      </c>
      <c r="F202" s="54" t="s">
        <v>186</v>
      </c>
      <c r="G202" s="54" t="s">
        <v>203</v>
      </c>
      <c r="H202" s="54" t="s">
        <v>204</v>
      </c>
      <c r="I202" s="54" t="s">
        <v>205</v>
      </c>
      <c r="J202" s="54" t="s">
        <v>206</v>
      </c>
      <c r="O202" s="54" t="s">
        <v>159</v>
      </c>
      <c r="P202" s="54" t="s">
        <v>69</v>
      </c>
      <c r="Q202" s="54" t="s">
        <v>186</v>
      </c>
      <c r="R202" s="54" t="s">
        <v>203</v>
      </c>
      <c r="S202" s="54" t="s">
        <v>204</v>
      </c>
      <c r="T202" s="54" t="s">
        <v>205</v>
      </c>
      <c r="U202" s="54" t="s">
        <v>206</v>
      </c>
    </row>
    <row r="203" spans="4:22" ht="20.100000000000001" customHeight="1" x14ac:dyDescent="0.25">
      <c r="D203" s="55" t="str">
        <f>'Input - Dairy'!$D$54</f>
        <v>Milking shed</v>
      </c>
      <c r="E203" s="55" t="str">
        <f>'Input - Dairy'!$D$67</f>
        <v>Anaerobic lagoon</v>
      </c>
      <c r="F203" s="55" cm="1">
        <f t="array" ref="F203">MMS_Dairy_Methane_Equations.VEERG_4_3_1_1__2_MethaneFromManureProduction(D$103,F141,$E$195,$G$188,$G$189)</f>
        <v>6.8742705211090795E-3</v>
      </c>
      <c r="G203" s="55" cm="1">
        <f t="array" ref="G203">MMS_Dairy_Methane_Equations.VEERG_4_3_1_1__2_MethaneFromManureProduction(E$103,G141,$E$195,$G$188,$G$189)</f>
        <v>5.3883631169955861E-3</v>
      </c>
      <c r="H203" s="55" cm="1">
        <f t="array" ref="H203">MMS_Dairy_Methane_Equations.VEERG_4_3_1_1__2_MethaneFromManureProduction(F$103,H141,$E$195,$G$188,$G$189)</f>
        <v>2.922051982564853E-3</v>
      </c>
      <c r="I203" s="55" cm="1">
        <f t="array" ref="I203">MMS_Dairy_Methane_Equations.VEERG_4_3_1_1__2_MethaneFromManureProduction(G$103,I141,$E$195,$G$188,$G$189)</f>
        <v>6.556372137469845E-3</v>
      </c>
      <c r="J203" s="55" cm="1">
        <f t="array" ref="J203">MMS_Dairy_Methane_Equations.VEERG_4_3_1_1__2_MethaneFromManureProduction(H$103,J141,$E$195,$G$188,$G$189)</f>
        <v>3.9324688071825046E-3</v>
      </c>
      <c r="K203" s="2" t="str">
        <f>$E$183</f>
        <v>kg CH4/head/day</v>
      </c>
      <c r="O203" s="55" t="str">
        <f>'Input - Dairy'!$D$54</f>
        <v>Milking shed</v>
      </c>
      <c r="P203" s="55" t="str">
        <f>'Input - Dairy'!$D$67</f>
        <v>Anaerobic lagoon</v>
      </c>
      <c r="Q203" s="55" cm="1">
        <f t="array" ref="Q203">MMS_Dairy_Methane_Equations.VEERG_4_3_1_1__2_MethaneFromManureProduction(O$103,Q141,$E$195,$G$188,$G$189)</f>
        <v>6.8742705211090795E-3</v>
      </c>
      <c r="R203" s="55" cm="1">
        <f t="array" ref="R203">MMS_Dairy_Methane_Equations.VEERG_4_3_1_1__2_MethaneFromManureProduction(P$103,R141,$E$195,$G$188,$G$189)</f>
        <v>5.3883631169955861E-3</v>
      </c>
      <c r="S203" s="55" cm="1">
        <f t="array" ref="S203">MMS_Dairy_Methane_Equations.VEERG_4_3_1_1__2_MethaneFromManureProduction(Q$103,S141,$E$195,$G$188,$G$189)</f>
        <v>2.922051982564853E-3</v>
      </c>
      <c r="T203" s="55" cm="1">
        <f t="array" ref="T203">MMS_Dairy_Methane_Equations.VEERG_4_3_1_1__2_MethaneFromManureProduction(R$103,T141,$E$195,$G$188,$G$189)</f>
        <v>6.556372137469845E-3</v>
      </c>
      <c r="U203" s="55" cm="1">
        <f t="array" ref="U203">MMS_Dairy_Methane_Equations.VEERG_4_3_1_1__2_MethaneFromManureProduction(S$103,U141,$E$195,$G$188,$G$189)</f>
        <v>3.9324688071825046E-3</v>
      </c>
      <c r="V203" s="2" t="str">
        <f>$E$183</f>
        <v>kg CH4/head/day</v>
      </c>
    </row>
    <row r="204" spans="4:22" ht="20.100000000000001" customHeight="1" x14ac:dyDescent="0.25">
      <c r="D204" s="55" t="str">
        <f>'Input - Dairy'!$D$54</f>
        <v>Milking shed</v>
      </c>
      <c r="E204" s="55" t="str">
        <f>'Input - Dairy'!$D$72</f>
        <v>Sump and dispersal system</v>
      </c>
      <c r="F204" s="55" cm="1">
        <f t="array" ref="F204">MMS_Dairy_Methane_Equations.VEERG_4_3_1_1__2_MethaneFromManureProduction(D$103,F142,$E$196,$G$188,$G$189)</f>
        <v>4.5225463954664985E-5</v>
      </c>
      <c r="G204" s="55" cm="1">
        <f t="array" ref="G204">MMS_Dairy_Methane_Equations.VEERG_4_3_1_1__2_MethaneFromManureProduction(E$103,G142,$E$196,$G$188,$G$189)</f>
        <v>3.5449757348655176E-5</v>
      </c>
      <c r="H204" s="55" cm="1">
        <f t="array" ref="H204">MMS_Dairy_Methane_Equations.VEERG_4_3_1_1__2_MethaneFromManureProduction(F$103,H142,$E$196,$G$188,$G$189)</f>
        <v>1.9224026201084556E-5</v>
      </c>
      <c r="I204" s="55" cm="1">
        <f t="array" ref="I204">MMS_Dairy_Methane_Equations.VEERG_4_3_1_1__2_MethaneFromManureProduction(G$103,I142,$E$196,$G$188,$G$189)</f>
        <v>4.313402722019635E-5</v>
      </c>
      <c r="J204" s="55" cm="1">
        <f t="array" ref="J204">MMS_Dairy_Methane_Equations.VEERG_4_3_1_1__2_MethaneFromManureProduction(H$103,J142,$E$196,$G$188,$G$189)</f>
        <v>2.587150531041121E-5</v>
      </c>
      <c r="K204" s="2" t="str">
        <f t="shared" ref="K204:K210" si="3">$E$183</f>
        <v>kg CH4/head/day</v>
      </c>
      <c r="O204" s="55" t="str">
        <f>'Input - Dairy'!$D$54</f>
        <v>Milking shed</v>
      </c>
      <c r="P204" s="55" t="str">
        <f>'Input - Dairy'!$D$72</f>
        <v>Sump and dispersal system</v>
      </c>
      <c r="Q204" s="55" cm="1">
        <f t="array" ref="Q204">MMS_Dairy_Methane_Equations.VEERG_4_3_1_1__2_MethaneFromManureProduction(O$103,Q142,$E$196,$G$188,$G$189)</f>
        <v>4.5225463954664985E-5</v>
      </c>
      <c r="R204" s="55" cm="1">
        <f t="array" ref="R204">MMS_Dairy_Methane_Equations.VEERG_4_3_1_1__2_MethaneFromManureProduction(P$103,R142,$E$196,$G$188,$G$189)</f>
        <v>3.5449757348655176E-5</v>
      </c>
      <c r="S204" s="55" cm="1">
        <f t="array" ref="S204">MMS_Dairy_Methane_Equations.VEERG_4_3_1_1__2_MethaneFromManureProduction(Q$103,S142,$E$196,$G$188,$G$189)</f>
        <v>1.9224026201084556E-5</v>
      </c>
      <c r="T204" s="55" cm="1">
        <f t="array" ref="T204">MMS_Dairy_Methane_Equations.VEERG_4_3_1_1__2_MethaneFromManureProduction(R$103,T142,$E$196,$G$188,$G$189)</f>
        <v>4.313402722019635E-5</v>
      </c>
      <c r="U204" s="55" cm="1">
        <f t="array" ref="U204">MMS_Dairy_Methane_Equations.VEERG_4_3_1_1__2_MethaneFromManureProduction(S$103,U142,$E$196,$G$188,$G$189)</f>
        <v>2.587150531041121E-5</v>
      </c>
      <c r="V204" s="2" t="str">
        <f t="shared" ref="V204:V210" si="4">$E$183</f>
        <v>kg CH4/head/day</v>
      </c>
    </row>
    <row r="205" spans="4:22" ht="20.100000000000001" customHeight="1" x14ac:dyDescent="0.25">
      <c r="D205" s="55" t="str">
        <f>'Input - Dairy'!$D$54</f>
        <v>Milking shed</v>
      </c>
      <c r="E205" s="55" t="str">
        <f>'Input - Dairy'!$D$77</f>
        <v>Drains to paddock</v>
      </c>
      <c r="F205" s="55" cm="1">
        <f t="array" ref="F205">MMS_Dairy_Methane_Equations.VEERG_4_3_1_1__2_MethaneFromManureProduction(D$103,F143,$E$197,$G$188,$G$189)</f>
        <v>1.6281167023679398E-3</v>
      </c>
      <c r="G205" s="55" cm="1">
        <f t="array" ref="G205">MMS_Dairy_Methane_Equations.VEERG_4_3_1_1__2_MethaneFromManureProduction(E$103,G143,$E$197,$G$188,$G$189)</f>
        <v>1.2761912645515865E-3</v>
      </c>
      <c r="H205" s="55" cm="1">
        <f t="array" ref="H205">MMS_Dairy_Methane_Equations.VEERG_4_3_1_1__2_MethaneFromManureProduction(F$103,H143,$E$197,$G$188,$G$189)</f>
        <v>6.9206494323904399E-4</v>
      </c>
      <c r="I205" s="55" cm="1">
        <f t="array" ref="I205">MMS_Dairy_Methane_Equations.VEERG_4_3_1_1__2_MethaneFromManureProduction(G$103,I143,$E$197,$G$188,$G$189)</f>
        <v>1.5528249799270685E-3</v>
      </c>
      <c r="J205" s="55" cm="1">
        <f t="array" ref="J205">MMS_Dairy_Methane_Equations.VEERG_4_3_1_1__2_MethaneFromManureProduction(H$103,J143,$E$197,$G$188,$G$189)</f>
        <v>9.3137419117480342E-4</v>
      </c>
      <c r="K205" s="2" t="str">
        <f t="shared" si="3"/>
        <v>kg CH4/head/day</v>
      </c>
      <c r="O205" s="55" t="str">
        <f>'Input - Dairy'!$D$54</f>
        <v>Milking shed</v>
      </c>
      <c r="P205" s="55" t="str">
        <f>'Input - Dairy'!$D$77</f>
        <v>Drains to paddock</v>
      </c>
      <c r="Q205" s="55" cm="1">
        <f t="array" ref="Q205">MMS_Dairy_Methane_Equations.VEERG_4_3_1_1__2_MethaneFromManureProduction(O$103,Q143,$E$197,$G$188,$G$189)</f>
        <v>1.6281167023679398E-3</v>
      </c>
      <c r="R205" s="55" cm="1">
        <f t="array" ref="R205">MMS_Dairy_Methane_Equations.VEERG_4_3_1_1__2_MethaneFromManureProduction(P$103,R143,$E$197,$G$188,$G$189)</f>
        <v>1.2761912645515865E-3</v>
      </c>
      <c r="S205" s="55" cm="1">
        <f t="array" ref="S205">MMS_Dairy_Methane_Equations.VEERG_4_3_1_1__2_MethaneFromManureProduction(Q$103,S143,$E$197,$G$188,$G$189)</f>
        <v>6.9206494323904399E-4</v>
      </c>
      <c r="T205" s="55" cm="1">
        <f t="array" ref="T205">MMS_Dairy_Methane_Equations.VEERG_4_3_1_1__2_MethaneFromManureProduction(R$103,T143,$E$197,$G$188,$G$189)</f>
        <v>1.5528249799270685E-3</v>
      </c>
      <c r="U205" s="55" cm="1">
        <f t="array" ref="U205">MMS_Dairy_Methane_Equations.VEERG_4_3_1_1__2_MethaneFromManureProduction(S$103,U143,$E$197,$G$188,$G$189)</f>
        <v>9.3137419117480342E-4</v>
      </c>
      <c r="V205" s="2" t="str">
        <f t="shared" si="4"/>
        <v>kg CH4/head/day</v>
      </c>
    </row>
    <row r="206" spans="4:22" ht="20.100000000000001" customHeight="1" x14ac:dyDescent="0.25">
      <c r="D206" s="55" t="str">
        <f>'Input - Dairy'!$D$54</f>
        <v>Milking shed</v>
      </c>
      <c r="E206" s="55" t="str">
        <f>'Input - Dairy'!$D$82</f>
        <v>Solid storage</v>
      </c>
      <c r="F206" s="55" cm="1">
        <f t="array" ref="F206">MMS_Dairy_Methane_Equations.VEERG_4_3_1_1__2_MethaneFromManureProduction(D$103,F172,$E$198,$G$188,$G$189)</f>
        <v>1.2334217442181361E-3</v>
      </c>
      <c r="G206" s="55" cm="1">
        <f t="array" ref="G206">MMS_Dairy_Methane_Equations.VEERG_4_3_1_1__2_MethaneFromManureProduction(E$103,G172,$E$198,$G$188,$G$189)</f>
        <v>9.6681156405423207E-4</v>
      </c>
      <c r="H206" s="55" cm="1">
        <f t="array" ref="H206">MMS_Dairy_Methane_Equations.VEERG_4_3_1_1__2_MethaneFromManureProduction(F$103,H172,$E$198,$G$188,$G$189)</f>
        <v>5.2429162366594254E-4</v>
      </c>
      <c r="I206" s="55" cm="1">
        <f t="array" ref="I206">MMS_Dairy_Methane_Equations.VEERG_4_3_1_1__2_MethaneFromManureProduction(G$103,I172,$E$198,$G$188,$G$189)</f>
        <v>1.1763825605508097E-3</v>
      </c>
      <c r="J206" s="55" cm="1">
        <f t="array" ref="J206">MMS_Dairy_Methane_Equations.VEERG_4_3_1_1__2_MethaneFromManureProduction(H$103,J172,$E$198,$G$188,$G$189)</f>
        <v>7.055865084657604E-4</v>
      </c>
      <c r="K206" s="2" t="str">
        <f t="shared" si="3"/>
        <v>kg CH4/head/day</v>
      </c>
      <c r="O206" s="55" t="str">
        <f>'Input - Dairy'!$D$54</f>
        <v>Milking shed</v>
      </c>
      <c r="P206" s="55" t="str">
        <f>'Input - Dairy'!$D$82</f>
        <v>Solid storage</v>
      </c>
      <c r="Q206" s="55" cm="1">
        <f t="array" ref="Q206">MMS_Dairy_Methane_Equations.VEERG_4_3_1_1__2_MethaneFromManureProduction(O$103,Q172,$E$198,$G$188,$G$189)</f>
        <v>3.6180371163731982E-4</v>
      </c>
      <c r="R206" s="55" cm="1">
        <f t="array" ref="R206">MMS_Dairy_Methane_Equations.VEERG_4_3_1_1__2_MethaneFromManureProduction(P$103,R172,$E$198,$G$188,$G$189)</f>
        <v>2.8359805878924141E-4</v>
      </c>
      <c r="S206" s="55" cm="1">
        <f t="array" ref="S206">MMS_Dairy_Methane_Equations.VEERG_4_3_1_1__2_MethaneFromManureProduction(Q$103,S172,$E$198,$G$188,$G$189)</f>
        <v>1.5379220960867642E-4</v>
      </c>
      <c r="T206" s="55" cm="1">
        <f t="array" ref="T206">MMS_Dairy_Methane_Equations.VEERG_4_3_1_1__2_MethaneFromManureProduction(R$103,T172,$E$198,$G$188,$G$189)</f>
        <v>3.4507221776157069E-4</v>
      </c>
      <c r="U206" s="55" cm="1">
        <f t="array" ref="U206">MMS_Dairy_Methane_Equations.VEERG_4_3_1_1__2_MethaneFromManureProduction(S$103,U172,$E$198,$G$188,$G$189)</f>
        <v>2.0697204248328968E-4</v>
      </c>
      <c r="V206" s="2" t="str">
        <f t="shared" si="4"/>
        <v>kg CH4/head/day</v>
      </c>
    </row>
    <row r="207" spans="4:22" ht="20.100000000000001" customHeight="1" x14ac:dyDescent="0.25">
      <c r="D207" s="55" t="str">
        <f>'Input - Dairy'!$D$55</f>
        <v>Feed pad</v>
      </c>
      <c r="E207" s="55" t="str">
        <f>'Input - Dairy'!$D$101</f>
        <v>Anaerobic lagoon</v>
      </c>
      <c r="F207" s="55" cm="1">
        <f t="array" ref="F207">MMS_Dairy_Methane_Equations.VEERG_4_3_1_1__2_MethaneFromManureProduction(D$103,F144,$E$195,$G$188,$G$189)</f>
        <v>2.7809548926304904E-2</v>
      </c>
      <c r="G207" s="55" cm="1">
        <f t="array" ref="G207">MMS_Dairy_Methane_Equations.VEERG_4_3_1_1__2_MethaneFromManureProduction(E$103,G144,$E$195,$G$188,$G$189)</f>
        <v>2.1798378064209416E-2</v>
      </c>
      <c r="H207" s="55" cm="1">
        <f t="array" ref="H207">MMS_Dairy_Methane_Equations.VEERG_4_3_1_1__2_MethaneFromManureProduction(F$103,H144,$E$195,$G$188,$G$189)</f>
        <v>1.1821028474921448E-2</v>
      </c>
      <c r="I207" s="55" cm="1">
        <f t="array" ref="I207">MMS_Dairy_Methane_Equations.VEERG_4_3_1_1__2_MethaneFromManureProduction(G$103,I144,$E$195,$G$188,$G$189)</f>
        <v>2.6523505465218911E-2</v>
      </c>
      <c r="J207" s="55" cm="1">
        <f t="array" ref="J207">MMS_Dairy_Methane_Equations.VEERG_4_3_1_1__2_MethaneFromManureProduction(H$103,J144,$E$195,$G$188,$G$189)</f>
        <v>1.5908623810874673E-2</v>
      </c>
      <c r="K207" s="2" t="str">
        <f t="shared" si="3"/>
        <v>kg CH4/head/day</v>
      </c>
      <c r="O207" s="55" t="str">
        <f>'Input - Dairy'!$D$55</f>
        <v>Feed pad</v>
      </c>
      <c r="P207" s="55" t="str">
        <f>'Input - Dairy'!$D$101</f>
        <v>Anaerobic lagoon</v>
      </c>
      <c r="Q207" s="55" cm="1">
        <f t="array" ref="Q207">MMS_Dairy_Methane_Equations.VEERG_4_3_1_1__2_MethaneFromManureProduction(O$103,Q144,$E$195,$G$188,$G$189)</f>
        <v>2.7809548926304904E-2</v>
      </c>
      <c r="R207" s="55" cm="1">
        <f t="array" ref="R207">MMS_Dairy_Methane_Equations.VEERG_4_3_1_1__2_MethaneFromManureProduction(P$103,R144,$E$195,$G$188,$G$189)</f>
        <v>2.1798378064209416E-2</v>
      </c>
      <c r="S207" s="55" cm="1">
        <f t="array" ref="S207">MMS_Dairy_Methane_Equations.VEERG_4_3_1_1__2_MethaneFromManureProduction(Q$103,S144,$E$195,$G$188,$G$189)</f>
        <v>1.1821028474921448E-2</v>
      </c>
      <c r="T207" s="55" cm="1">
        <f t="array" ref="T207">MMS_Dairy_Methane_Equations.VEERG_4_3_1_1__2_MethaneFromManureProduction(R$103,T144,$E$195,$G$188,$G$189)</f>
        <v>2.6523505465218911E-2</v>
      </c>
      <c r="U207" s="55" cm="1">
        <f t="array" ref="U207">MMS_Dairy_Methane_Equations.VEERG_4_3_1_1__2_MethaneFromManureProduction(S$103,U144,$E$195,$G$188,$G$189)</f>
        <v>1.5908623810874673E-2</v>
      </c>
      <c r="V207" s="2" t="str">
        <f t="shared" si="4"/>
        <v>kg CH4/head/day</v>
      </c>
    </row>
    <row r="208" spans="4:22" ht="20.100000000000001" customHeight="1" x14ac:dyDescent="0.25">
      <c r="D208" s="55" t="str">
        <f>'Input - Dairy'!$D$55</f>
        <v>Feed pad</v>
      </c>
      <c r="E208" s="55" t="str">
        <f>'Input - Dairy'!$D$106</f>
        <v>Sump and dispersal system</v>
      </c>
      <c r="F208" s="55" cm="1">
        <f t="array" ref="F208">MMS_Dairy_Methane_Equations.VEERG_4_3_1_1__2_MethaneFromManureProduction(D$103,F145,$E$196,$G$188,$G$189)</f>
        <v>1.4636604698055217E-4</v>
      </c>
      <c r="G208" s="55" cm="1">
        <f t="array" ref="G208">MMS_Dairy_Methane_Equations.VEERG_4_3_1_1__2_MethaneFromManureProduction(E$103,G145,$E$196,$G$188,$G$189)</f>
        <v>1.1472830560110218E-4</v>
      </c>
      <c r="H208" s="55" cm="1">
        <f t="array" ref="H208">MMS_Dairy_Methane_Equations.VEERG_4_3_1_1__2_MethaneFromManureProduction(F$103,H145,$E$196,$G$188,$G$189)</f>
        <v>6.2215939341691832E-5</v>
      </c>
      <c r="I208" s="55" cm="1">
        <f t="array" ref="I208">MMS_Dairy_Methane_Equations.VEERG_4_3_1_1__2_MethaneFromManureProduction(G$103,I145,$E$196,$G$188,$G$189)</f>
        <v>1.3959739718536268E-4</v>
      </c>
      <c r="J208" s="55" cm="1">
        <f t="array" ref="J208">MMS_Dairy_Methane_Equations.VEERG_4_3_1_1__2_MethaneFromManureProduction(H$103,J145,$E$196,$G$188,$G$189)</f>
        <v>8.3729599004603552E-5</v>
      </c>
      <c r="K208" s="2" t="str">
        <f t="shared" si="3"/>
        <v>kg CH4/head/day</v>
      </c>
      <c r="O208" s="55" t="str">
        <f>'Input - Dairy'!$D$55</f>
        <v>Feed pad</v>
      </c>
      <c r="P208" s="55" t="str">
        <f>'Input - Dairy'!$D$106</f>
        <v>Sump and dispersal system</v>
      </c>
      <c r="Q208" s="55" cm="1">
        <f t="array" ref="Q208">MMS_Dairy_Methane_Equations.VEERG_4_3_1_1__2_MethaneFromManureProduction(O$103,Q145,$E$196,$G$188,$G$189)</f>
        <v>1.4636604698055217E-4</v>
      </c>
      <c r="R208" s="55" cm="1">
        <f t="array" ref="R208">MMS_Dairy_Methane_Equations.VEERG_4_3_1_1__2_MethaneFromManureProduction(P$103,R145,$E$196,$G$188,$G$189)</f>
        <v>1.1472830560110218E-4</v>
      </c>
      <c r="S208" s="55" cm="1">
        <f t="array" ref="S208">MMS_Dairy_Methane_Equations.VEERG_4_3_1_1__2_MethaneFromManureProduction(Q$103,S145,$E$196,$G$188,$G$189)</f>
        <v>6.2215939341691832E-5</v>
      </c>
      <c r="T208" s="55" cm="1">
        <f t="array" ref="T208">MMS_Dairy_Methane_Equations.VEERG_4_3_1_1__2_MethaneFromManureProduction(R$103,T145,$E$196,$G$188,$G$189)</f>
        <v>1.3959739718536268E-4</v>
      </c>
      <c r="U208" s="55" cm="1">
        <f t="array" ref="U208">MMS_Dairy_Methane_Equations.VEERG_4_3_1_1__2_MethaneFromManureProduction(S$103,U145,$E$196,$G$188,$G$189)</f>
        <v>8.3729599004603552E-5</v>
      </c>
      <c r="V208" s="2" t="str">
        <f t="shared" si="4"/>
        <v>kg CH4/head/day</v>
      </c>
    </row>
    <row r="209" spans="3:23" ht="20.100000000000001" customHeight="1" x14ac:dyDescent="0.25">
      <c r="D209" s="55" t="str">
        <f>'Input - Dairy'!$D$55</f>
        <v>Feed pad</v>
      </c>
      <c r="E209" s="55" t="str">
        <f>'Input - Dairy'!$D$111</f>
        <v>Drains to paddock</v>
      </c>
      <c r="F209" s="55" cm="1">
        <f t="array" ref="F209">MMS_Dairy_Methane_Equations.VEERG_4_3_1_1__2_MethaneFromManureProduction(D$103,F146,$E$197,$G$188,$G$189)</f>
        <v>5.2691776912998757E-3</v>
      </c>
      <c r="G209" s="55" cm="1">
        <f t="array" ref="G209">MMS_Dairy_Methane_Equations.VEERG_4_3_1_1__2_MethaneFromManureProduction(E$103,G146,$E$197,$G$188,$G$189)</f>
        <v>4.1302190016396789E-3</v>
      </c>
      <c r="H209" s="55" cm="1">
        <f t="array" ref="H209">MMS_Dairy_Methane_Equations.VEERG_4_3_1_1__2_MethaneFromManureProduction(F$103,H146,$E$197,$G$188,$G$189)</f>
        <v>2.2397738163009058E-3</v>
      </c>
      <c r="I209" s="55" cm="1">
        <f t="array" ref="I209">MMS_Dairy_Methane_Equations.VEERG_4_3_1_1__2_MethaneFromManureProduction(G$103,I146,$E$197,$G$188,$G$189)</f>
        <v>5.0255062986730567E-3</v>
      </c>
      <c r="J209" s="55" cm="1">
        <f t="array" ref="J209">MMS_Dairy_Methane_Equations.VEERG_4_3_1_1__2_MethaneFromManureProduction(H$103,J146,$E$197,$G$188,$G$189)</f>
        <v>3.0142655641657275E-3</v>
      </c>
      <c r="K209" s="2" t="str">
        <f t="shared" si="3"/>
        <v>kg CH4/head/day</v>
      </c>
      <c r="O209" s="55" t="str">
        <f>'Input - Dairy'!$D$55</f>
        <v>Feed pad</v>
      </c>
      <c r="P209" s="55" t="str">
        <f>'Input - Dairy'!$D$111</f>
        <v>Drains to paddock</v>
      </c>
      <c r="Q209" s="55" cm="1">
        <f t="array" ref="Q209">MMS_Dairy_Methane_Equations.VEERG_4_3_1_1__2_MethaneFromManureProduction(O$103,Q146,$E$197,$G$188,$G$189)</f>
        <v>5.2691776912998757E-3</v>
      </c>
      <c r="R209" s="55" cm="1">
        <f t="array" ref="R209">MMS_Dairy_Methane_Equations.VEERG_4_3_1_1__2_MethaneFromManureProduction(P$103,R146,$E$197,$G$188,$G$189)</f>
        <v>4.1302190016396789E-3</v>
      </c>
      <c r="S209" s="55" cm="1">
        <f t="array" ref="S209">MMS_Dairy_Methane_Equations.VEERG_4_3_1_1__2_MethaneFromManureProduction(Q$103,S146,$E$197,$G$188,$G$189)</f>
        <v>2.2397738163009058E-3</v>
      </c>
      <c r="T209" s="55" cm="1">
        <f t="array" ref="T209">MMS_Dairy_Methane_Equations.VEERG_4_3_1_1__2_MethaneFromManureProduction(R$103,T146,$E$197,$G$188,$G$189)</f>
        <v>5.0255062986730567E-3</v>
      </c>
      <c r="U209" s="55" cm="1">
        <f t="array" ref="U209">MMS_Dairy_Methane_Equations.VEERG_4_3_1_1__2_MethaneFromManureProduction(S$103,U146,$E$197,$G$188,$G$189)</f>
        <v>3.0142655641657275E-3</v>
      </c>
      <c r="V209" s="2" t="str">
        <f t="shared" si="4"/>
        <v>kg CH4/head/day</v>
      </c>
    </row>
    <row r="210" spans="3:23" ht="20.100000000000001" customHeight="1" x14ac:dyDescent="0.25">
      <c r="D210" s="55" t="str">
        <f>'Input - Dairy'!$D$55</f>
        <v>Feed pad</v>
      </c>
      <c r="E210" s="55" t="str">
        <f>'Input - Dairy'!$D$116</f>
        <v>Solid storage</v>
      </c>
      <c r="F210" s="55" cm="1">
        <f t="array" ref="F210">MMS_Dairy_Methane_Equations.VEERG_4_3_1_1__2_MethaneFromManureProduction(D$103,F173,$E$198,$G$188,$G$189)</f>
        <v>1.0245623288638649E-3</v>
      </c>
      <c r="G210" s="55" cm="1">
        <f t="array" ref="G210">MMS_Dairy_Methane_Equations.VEERG_4_3_1_1__2_MethaneFromManureProduction(E$103,G173,$E$198,$G$188,$G$189)</f>
        <v>8.0309813920771526E-4</v>
      </c>
      <c r="H210" s="55" cm="1">
        <f t="array" ref="H210">MMS_Dairy_Methane_Equations.VEERG_4_3_1_1__2_MethaneFromManureProduction(F$103,H173,$E$198,$G$188,$G$189)</f>
        <v>4.3551157539184287E-4</v>
      </c>
      <c r="I210" s="55" cm="1">
        <f t="array" ref="I210">MMS_Dairy_Methane_Equations.VEERG_4_3_1_1__2_MethaneFromManureProduction(G$103,I173,$E$198,$G$188,$G$189)</f>
        <v>9.7718178029753897E-4</v>
      </c>
      <c r="J210" s="55" cm="1">
        <f t="array" ref="J210">MMS_Dairy_Methane_Equations.VEERG_4_3_1_1__2_MethaneFromManureProduction(H$103,J173,$E$198,$G$188,$G$189)</f>
        <v>5.8610719303222485E-4</v>
      </c>
      <c r="K210" s="2" t="str">
        <f t="shared" si="3"/>
        <v>kg CH4/head/day</v>
      </c>
      <c r="O210" s="55" t="str">
        <f>'Input - Dairy'!$D$55</f>
        <v>Feed pad</v>
      </c>
      <c r="P210" s="55" t="str">
        <f>'Input - Dairy'!$D$116</f>
        <v>Solid storage</v>
      </c>
      <c r="Q210" s="55" cm="1">
        <f t="array" ref="Q210">MMS_Dairy_Methane_Equations.VEERG_4_3_1_1__2_MethaneFromManureProduction(O$103,Q173,$E$198,$G$188,$G$189)</f>
        <v>1.0245623288638649E-3</v>
      </c>
      <c r="R210" s="55" cm="1">
        <f t="array" ref="R210">MMS_Dairy_Methane_Equations.VEERG_4_3_1_1__2_MethaneFromManureProduction(P$103,R173,$E$198,$G$188,$G$189)</f>
        <v>8.0309813920771526E-4</v>
      </c>
      <c r="S210" s="55" cm="1">
        <f t="array" ref="S210">MMS_Dairy_Methane_Equations.VEERG_4_3_1_1__2_MethaneFromManureProduction(Q$103,S173,$E$198,$G$188,$G$189)</f>
        <v>4.3551157539184287E-4</v>
      </c>
      <c r="T210" s="55" cm="1">
        <f t="array" ref="T210">MMS_Dairy_Methane_Equations.VEERG_4_3_1_1__2_MethaneFromManureProduction(R$103,T173,$E$198,$G$188,$G$189)</f>
        <v>9.7718178029753897E-4</v>
      </c>
      <c r="U210" s="55" cm="1">
        <f t="array" ref="U210">MMS_Dairy_Methane_Equations.VEERG_4_3_1_1__2_MethaneFromManureProduction(S$103,U173,$E$198,$G$188,$G$189)</f>
        <v>5.8610719303222485E-4</v>
      </c>
      <c r="V210" s="2" t="str">
        <f t="shared" si="4"/>
        <v>kg CH4/head/day</v>
      </c>
    </row>
    <row r="211" spans="3:23" ht="20.100000000000001" customHeight="1" x14ac:dyDescent="0.25"/>
    <row r="212" spans="3:23" ht="20.100000000000001" customHeight="1" x14ac:dyDescent="0.25"/>
    <row r="213" spans="3:23" ht="20.100000000000001" customHeight="1" x14ac:dyDescent="0.25">
      <c r="C213" s="48"/>
      <c r="D213" s="48"/>
      <c r="E213" s="48"/>
      <c r="F213" s="48"/>
      <c r="G213" s="48"/>
      <c r="H213" s="48"/>
      <c r="I213" s="48"/>
      <c r="J213" s="48"/>
      <c r="K213" s="48"/>
      <c r="L213" s="48"/>
      <c r="N213" s="48"/>
      <c r="O213" s="48"/>
      <c r="P213" s="48"/>
      <c r="Q213" s="48"/>
      <c r="R213" s="48"/>
      <c r="S213" s="48"/>
      <c r="T213" s="48"/>
      <c r="U213" s="48"/>
      <c r="V213" s="48"/>
      <c r="W213" s="48"/>
    </row>
    <row r="214" spans="3:23" ht="20.100000000000001" customHeight="1" x14ac:dyDescent="0.25">
      <c r="D214" s="6" t="str" cm="1">
        <f t="array" ref="D214">MMS_Dairy_Methane_Equations.VEERG_4_3_1_1__1_TotalAnnualMethaneFromManureManagement_Title()</f>
        <v>Total annual methane production from manure management</v>
      </c>
    </row>
    <row r="215" spans="3:23" ht="20.100000000000001" customHeight="1" x14ac:dyDescent="0.25">
      <c r="D215" s="5" t="str" cm="1">
        <f t="array" ref="D215">MMS_Dairy_Methane_Equations.VEERG_4_3_1_1__1_TotalAnnualMethaneFromManureManagement_Source()</f>
        <v>VEERG 2026: 4.3.1.1, Equation (1)</v>
      </c>
    </row>
    <row r="216" spans="3:23" ht="20.100000000000001" customHeight="1" x14ac:dyDescent="0.25">
      <c r="D216" s="58" t="str" cm="1">
        <f t="array" ref="D216">MMS_Dairy_Methane_Equations.VEERG_4_3_1_1__1_TotalAnnualMethaneFromManureManagement_Variation()</f>
        <v>VARIATION: Used separate variable for duration of stay on farm for pre-weaned heifer and bull calves.</v>
      </c>
    </row>
    <row r="217" spans="3:23" ht="20.100000000000001" customHeight="1" x14ac:dyDescent="0.25">
      <c r="D217" s="13" t="s">
        <v>28</v>
      </c>
      <c r="E217" s="13" t="str" cm="1">
        <f t="array" aca="1" ref="E217" ca="1">Common_InputFunctions.Utility_DisplayFunctionName($F$255)</f>
        <v>=MMS_Dairy_Methane_Equations.VEERG_4_3_1_1__1_TotalAnnualMethaneFromManureManagementVariation</v>
      </c>
    </row>
    <row r="218" spans="3:23" ht="20.100000000000001" customHeight="1" x14ac:dyDescent="0.25">
      <c r="D218" s="6"/>
    </row>
    <row r="219" spans="3:23" ht="20.100000000000001" customHeight="1" x14ac:dyDescent="0.25">
      <c r="D219" s="6"/>
    </row>
    <row r="220" spans="3:23" ht="20.100000000000001" customHeight="1" x14ac:dyDescent="0.25">
      <c r="D220" s="56" t="s">
        <v>31</v>
      </c>
      <c r="E220" s="1" t="str" cm="1">
        <f t="array" ref="E220">MMS_Dairy_Methane_Equations.VEERG_4_3_1_1__1_TotalAnnualMethaneFromManureManagement_Variable()</f>
        <v>E_CH4</v>
      </c>
    </row>
    <row r="221" spans="3:23" ht="20.100000000000001" customHeight="1" x14ac:dyDescent="0.25">
      <c r="D221" s="56" t="s">
        <v>21</v>
      </c>
      <c r="E221" s="57" t="str" cm="1">
        <f t="array" ref="E221">MMS_Dairy_Methane_Equations.VEERG_4_3_1_1__1_TotalAnnualMethaneFromManureManagement_Unit()</f>
        <v>t CH4</v>
      </c>
    </row>
    <row r="222" spans="3:23" ht="20.100000000000001" customHeight="1" x14ac:dyDescent="0.25"/>
    <row r="223" spans="3:23" ht="20.100000000000001" customHeight="1" x14ac:dyDescent="0.25">
      <c r="D223" s="60" t="str" cm="1">
        <f t="array" ref="D223:E230">MMS_Dairy_Methane_Equations.VEERG_4_3_1_1__1_TotalAnnualMethaneFromManureManagement_Arguments()</f>
        <v>N_j124</v>
      </c>
      <c r="E223" s="61" t="str">
        <v>number of dairy cattle in classes j=1,2,4</v>
      </c>
      <c r="F223" s="105"/>
      <c r="G223" s="62"/>
      <c r="H223" s="60" t="str">
        <f>"See " &amp; $D$232</f>
        <v>See Table_N_j</v>
      </c>
    </row>
    <row r="224" spans="3:23" ht="20.100000000000001" customHeight="1" x14ac:dyDescent="0.25">
      <c r="D224" s="60" t="str">
        <v>M_j124m</v>
      </c>
      <c r="E224" s="61" t="str">
        <v>methane production from manure of weaned dairy cattle in classes j=1,2,4 in MMS m (kg CH4/head/day)</v>
      </c>
      <c r="F224" s="105"/>
      <c r="G224" s="62"/>
      <c r="H224" s="60" t="str">
        <f>"See " &amp; $D$200</f>
        <v>See M1_M_j_m</v>
      </c>
    </row>
    <row r="225" spans="4:20" ht="20.100000000000001" customHeight="1" x14ac:dyDescent="0.25">
      <c r="D225" s="60" t="str">
        <v>D_j124</v>
      </c>
      <c r="E225" s="61" t="str">
        <v>duration of stay on farm for classes j=1,2,4 (days)</v>
      </c>
      <c r="F225" s="105"/>
      <c r="G225" s="62"/>
      <c r="H225" s="60" t="str">
        <f>"See " &amp; $D$237</f>
        <v>See M1_Table_D_j</v>
      </c>
    </row>
    <row r="226" spans="4:20" ht="20.100000000000001" customHeight="1" x14ac:dyDescent="0.25">
      <c r="D226" s="60" t="str">
        <v>N_j35</v>
      </c>
      <c r="E226" s="61" t="str">
        <v>number of dairy cattle in classes j=3,5</v>
      </c>
      <c r="F226" s="105"/>
      <c r="G226" s="62"/>
      <c r="H226" s="60" t="str">
        <f>"See " &amp; $D$232</f>
        <v>See Table_N_j</v>
      </c>
    </row>
    <row r="227" spans="4:20" ht="20.100000000000001" customHeight="1" x14ac:dyDescent="0.25">
      <c r="D227" s="60" t="str">
        <v>M_j35m</v>
      </c>
      <c r="E227" s="61" t="str">
        <v>methane production from manure of weaned dairy cattle in classes j=3,5 in MMS m (kg CH4/head/day)</v>
      </c>
      <c r="F227" s="105"/>
      <c r="G227" s="62"/>
      <c r="H227" s="60" t="str">
        <f>"See " &amp; $D$200</f>
        <v>See M1_M_j_m</v>
      </c>
    </row>
    <row r="228" spans="4:20" ht="20.100000000000001" customHeight="1" x14ac:dyDescent="0.25">
      <c r="D228" s="60" t="str">
        <v>D_j35</v>
      </c>
      <c r="E228" s="61" t="str">
        <v>duration of stay on farm for classes j=3,5 (days)</v>
      </c>
      <c r="F228" s="105"/>
      <c r="G228" s="62"/>
      <c r="H228" s="60" t="str">
        <f>"See " &amp; $D$237</f>
        <v>See M1_Table_D_j</v>
      </c>
    </row>
    <row r="229" spans="4:20" ht="20.100000000000001" customHeight="1" x14ac:dyDescent="0.25">
      <c r="D229" s="60" t="str">
        <v>MPW_manure_j35</v>
      </c>
      <c r="E229" s="61" t="str">
        <v>methane production from manure of pre-weaned heifer and bull calves (kg CH4/head/day)</v>
      </c>
      <c r="F229" s="105"/>
      <c r="G229" s="62"/>
      <c r="H229" s="60" t="str">
        <f>"See " &amp; $D$242</f>
        <v>See Table_MPW_manure_j-3-5</v>
      </c>
    </row>
    <row r="230" spans="4:20" ht="20.100000000000001" customHeight="1" x14ac:dyDescent="0.25">
      <c r="D230" s="60" t="str">
        <v>DPW_j35</v>
      </c>
      <c r="E230" s="61" t="str">
        <v>duration of stay on farm for pre-weaned heifer and bull calves (days)</v>
      </c>
      <c r="F230" s="105"/>
      <c r="G230" s="62"/>
      <c r="H230" s="60" t="str">
        <f>"See " &amp; $D$247</f>
        <v>See M1_Table_DPW_j</v>
      </c>
    </row>
    <row r="231" spans="4:20" ht="20.100000000000001" customHeight="1" x14ac:dyDescent="0.25"/>
    <row r="232" spans="4:20" ht="20.100000000000001" customHeight="1" x14ac:dyDescent="0.25">
      <c r="D232" s="104" t="s">
        <v>109</v>
      </c>
    </row>
    <row r="233" spans="4:20" ht="20.100000000000001" customHeight="1" x14ac:dyDescent="0.25">
      <c r="D233" s="103" t="s">
        <v>287</v>
      </c>
    </row>
    <row r="234" spans="4:20" ht="20.100000000000001" customHeight="1" x14ac:dyDescent="0.25">
      <c r="D234" s="54" t="s">
        <v>186</v>
      </c>
      <c r="E234" s="54" t="s">
        <v>203</v>
      </c>
      <c r="F234" s="54" t="s">
        <v>204</v>
      </c>
      <c r="G234" s="54" t="s">
        <v>205</v>
      </c>
      <c r="H234" s="54" t="s">
        <v>206</v>
      </c>
    </row>
    <row r="235" spans="4:20" ht="20.100000000000001" customHeight="1" x14ac:dyDescent="0.25">
      <c r="D235" s="107">
        <f>'Input - Dairy'!$E$10</f>
        <v>100</v>
      </c>
      <c r="E235" s="107">
        <f>'Input - Dairy'!$F$10</f>
        <v>100</v>
      </c>
      <c r="F235" s="107">
        <f>'Input - Dairy'!$G$10</f>
        <v>100</v>
      </c>
      <c r="G235" s="107">
        <f>'Input - Dairy'!$H$10</f>
        <v>100</v>
      </c>
      <c r="H235" s="107">
        <f>'Input - Dairy'!$I$10</f>
        <v>100</v>
      </c>
      <c r="I235" s="2" t="s">
        <v>110</v>
      </c>
    </row>
    <row r="236" spans="4:20" ht="20.100000000000001" customHeight="1" x14ac:dyDescent="0.25"/>
    <row r="237" spans="4:20" ht="20.100000000000001" customHeight="1" x14ac:dyDescent="0.25">
      <c r="D237" s="104" t="s">
        <v>288</v>
      </c>
      <c r="O237" s="104" t="s">
        <v>298</v>
      </c>
    </row>
    <row r="238" spans="4:20" ht="20.100000000000001" customHeight="1" x14ac:dyDescent="0.25">
      <c r="D238" s="103" t="s">
        <v>296</v>
      </c>
      <c r="O238" s="103" t="s">
        <v>299</v>
      </c>
    </row>
    <row r="239" spans="4:20" ht="20.100000000000001" customHeight="1" x14ac:dyDescent="0.25">
      <c r="D239" s="54" t="s">
        <v>186</v>
      </c>
      <c r="E239" s="54" t="s">
        <v>203</v>
      </c>
      <c r="F239" s="54" t="s">
        <v>204</v>
      </c>
      <c r="G239" s="54" t="s">
        <v>205</v>
      </c>
      <c r="H239" s="54" t="s">
        <v>206</v>
      </c>
      <c r="O239" s="54" t="s">
        <v>186</v>
      </c>
      <c r="P239" s="54" t="s">
        <v>203</v>
      </c>
      <c r="Q239" s="54" t="s">
        <v>204</v>
      </c>
      <c r="R239" s="54" t="s">
        <v>205</v>
      </c>
      <c r="S239" s="54" t="s">
        <v>206</v>
      </c>
    </row>
    <row r="240" spans="4:20" ht="20.100000000000001" customHeight="1" x14ac:dyDescent="0.25">
      <c r="D240" s="55">
        <f>'Input - Dairy'!$E$24</f>
        <v>365</v>
      </c>
      <c r="E240" s="55">
        <f>'Input - Dairy'!$F$24</f>
        <v>365</v>
      </c>
      <c r="F240" s="55">
        <f>'Input - Dairy'!$G$24</f>
        <v>281</v>
      </c>
      <c r="G240" s="55">
        <f>'Input - Dairy'!$H$24</f>
        <v>365</v>
      </c>
      <c r="H240" s="55">
        <f>'Input - Dairy'!$I$24</f>
        <v>281</v>
      </c>
      <c r="I240" s="2" t="s">
        <v>56</v>
      </c>
      <c r="O240" s="55">
        <f>'Input - Dairy'!$E$28</f>
        <v>365</v>
      </c>
      <c r="P240" s="55">
        <f>'Input - Dairy'!$F$28</f>
        <v>365</v>
      </c>
      <c r="Q240" s="55">
        <f>'Input - Dairy'!$G$28</f>
        <v>281</v>
      </c>
      <c r="R240" s="55">
        <f>'Input - Dairy'!$H$28</f>
        <v>365</v>
      </c>
      <c r="S240" s="55">
        <f>'Input - Dairy'!$I$28</f>
        <v>281</v>
      </c>
      <c r="T240" s="2" t="s">
        <v>56</v>
      </c>
    </row>
    <row r="241" spans="4:21" ht="20.100000000000001" customHeight="1" x14ac:dyDescent="0.25"/>
    <row r="242" spans="4:21" ht="20.100000000000001" customHeight="1" x14ac:dyDescent="0.25">
      <c r="D242" s="104" t="s">
        <v>290</v>
      </c>
    </row>
    <row r="243" spans="4:21" ht="20.100000000000001" customHeight="1" x14ac:dyDescent="0.25">
      <c r="D243" s="103" t="s">
        <v>291</v>
      </c>
    </row>
    <row r="244" spans="4:21" ht="20.100000000000001" customHeight="1" x14ac:dyDescent="0.25">
      <c r="D244" s="54" t="s">
        <v>186</v>
      </c>
      <c r="E244" s="54" t="s">
        <v>203</v>
      </c>
      <c r="F244" s="54" t="s">
        <v>204</v>
      </c>
      <c r="G244" s="54" t="s">
        <v>205</v>
      </c>
      <c r="H244" s="54" t="s">
        <v>206</v>
      </c>
    </row>
    <row r="245" spans="4:21" ht="20.100000000000001" customHeight="1" x14ac:dyDescent="0.25">
      <c r="D245" s="55">
        <v>0</v>
      </c>
      <c r="E245" s="55">
        <v>0</v>
      </c>
      <c r="F245" s="55">
        <f>'Constants - Dairy'!$E$63</f>
        <v>1.7600000000000001E-2</v>
      </c>
      <c r="G245" s="55">
        <v>0</v>
      </c>
      <c r="H245" s="55">
        <f>'Constants - Dairy'!$E$64</f>
        <v>2.0400000000000001E-2</v>
      </c>
      <c r="I245" s="2" t="s">
        <v>293</v>
      </c>
    </row>
    <row r="246" spans="4:21" ht="20.100000000000001" customHeight="1" x14ac:dyDescent="0.25"/>
    <row r="247" spans="4:21" ht="20.100000000000001" customHeight="1" x14ac:dyDescent="0.25">
      <c r="D247" s="104" t="s">
        <v>289</v>
      </c>
      <c r="O247" s="104" t="s">
        <v>289</v>
      </c>
    </row>
    <row r="248" spans="4:21" ht="20.100000000000001" customHeight="1" x14ac:dyDescent="0.25">
      <c r="D248" s="103" t="s">
        <v>297</v>
      </c>
      <c r="O248" s="103" t="s">
        <v>297</v>
      </c>
    </row>
    <row r="249" spans="4:21" ht="20.100000000000001" customHeight="1" x14ac:dyDescent="0.25">
      <c r="D249" s="54" t="s">
        <v>186</v>
      </c>
      <c r="E249" s="54" t="s">
        <v>203</v>
      </c>
      <c r="F249" s="54" t="s">
        <v>204</v>
      </c>
      <c r="G249" s="54" t="s">
        <v>205</v>
      </c>
      <c r="H249" s="54" t="s">
        <v>206</v>
      </c>
      <c r="O249" s="54" t="s">
        <v>186</v>
      </c>
      <c r="P249" s="54" t="s">
        <v>203</v>
      </c>
      <c r="Q249" s="54" t="s">
        <v>204</v>
      </c>
      <c r="R249" s="54" t="s">
        <v>205</v>
      </c>
      <c r="S249" s="54" t="s">
        <v>206</v>
      </c>
    </row>
    <row r="250" spans="4:21" ht="20.100000000000001" customHeight="1" x14ac:dyDescent="0.25">
      <c r="D250" s="55">
        <f>'Input - Dairy'!$E$25</f>
        <v>0</v>
      </c>
      <c r="E250" s="55">
        <f>'Input - Dairy'!$F$25</f>
        <v>0</v>
      </c>
      <c r="F250" s="55">
        <f>'Input - Dairy'!$G$25</f>
        <v>84</v>
      </c>
      <c r="G250" s="55">
        <f>'Input - Dairy'!$H$25</f>
        <v>0</v>
      </c>
      <c r="H250" s="55">
        <f>'Input - Dairy'!$I$25</f>
        <v>84</v>
      </c>
      <c r="I250" s="2" t="s">
        <v>56</v>
      </c>
      <c r="O250" s="55">
        <f>'Input - Dairy'!$E$29</f>
        <v>0</v>
      </c>
      <c r="P250" s="55">
        <f>'Input - Dairy'!$F$29</f>
        <v>0</v>
      </c>
      <c r="Q250" s="55">
        <f>'Input - Dairy'!$G$29</f>
        <v>84</v>
      </c>
      <c r="R250" s="55">
        <f>'Input - Dairy'!$H$29</f>
        <v>0</v>
      </c>
      <c r="S250" s="55">
        <f>'Input - Dairy'!$I$29</f>
        <v>84</v>
      </c>
      <c r="T250" s="2" t="s">
        <v>56</v>
      </c>
    </row>
    <row r="251" spans="4:21" ht="20.100000000000001" customHeight="1" x14ac:dyDescent="0.25"/>
    <row r="252" spans="4:21" ht="20.100000000000001" customHeight="1" x14ac:dyDescent="0.25">
      <c r="D252" s="104" t="s">
        <v>292</v>
      </c>
      <c r="O252" s="104" t="s">
        <v>292</v>
      </c>
    </row>
    <row r="253" spans="4:21" ht="20.100000000000001" customHeight="1" x14ac:dyDescent="0.25">
      <c r="D253" s="103" t="s">
        <v>304</v>
      </c>
      <c r="O253" s="103" t="s">
        <v>304</v>
      </c>
    </row>
    <row r="254" spans="4:21" ht="20.100000000000001" customHeight="1" x14ac:dyDescent="0.25">
      <c r="D254" s="54" t="s">
        <v>159</v>
      </c>
      <c r="E254" s="54" t="s">
        <v>69</v>
      </c>
      <c r="F254" s="54" t="s">
        <v>186</v>
      </c>
      <c r="G254" s="54" t="s">
        <v>203</v>
      </c>
      <c r="H254" s="54" t="s">
        <v>204</v>
      </c>
      <c r="I254" s="54" t="s">
        <v>205</v>
      </c>
      <c r="J254" s="54" t="s">
        <v>206</v>
      </c>
      <c r="O254" s="54" t="s">
        <v>159</v>
      </c>
      <c r="P254" s="54" t="s">
        <v>69</v>
      </c>
      <c r="Q254" s="54" t="s">
        <v>186</v>
      </c>
      <c r="R254" s="54" t="s">
        <v>203</v>
      </c>
      <c r="S254" s="54" t="s">
        <v>204</v>
      </c>
      <c r="T254" s="54" t="s">
        <v>205</v>
      </c>
      <c r="U254" s="54" t="s">
        <v>206</v>
      </c>
    </row>
    <row r="255" spans="4:21" ht="20.100000000000001" customHeight="1" x14ac:dyDescent="0.25">
      <c r="D255" s="55" t="str">
        <f>'Input - Dairy'!$D$54</f>
        <v>Milking shed</v>
      </c>
      <c r="E255" s="55" t="str">
        <f>'Input - Dairy'!$D$67</f>
        <v>Anaerobic lagoon</v>
      </c>
      <c r="F255" s="55" cm="1">
        <f t="array" ref="F255">MMS_Dairy_Methane_Equations.VEERG_4_3_1_1__1_TotalAnnualMethaneFromManureManagementVariation(D$235,F203,D$240,0,0,0,0,0)</f>
        <v>0.2509108740204814</v>
      </c>
      <c r="G255" s="55" cm="1">
        <f t="array" ref="G255">MMS_Dairy_Methane_Equations.VEERG_4_3_1_1__1_TotalAnnualMethaneFromManureManagementVariation(E$235,G203,E$240,0,0,0,0,0)</f>
        <v>0.1966752537703389</v>
      </c>
      <c r="H255" s="55" cm="1">
        <f t="array" ref="H255">MMS_Dairy_Methane_Equations.VEERG_4_3_1_1__1_TotalAnnualMethaneFromManureManagementVariation(0,0,0,F$235,H203,F$240,F$245,F$250)</f>
        <v>0.22994966071007236</v>
      </c>
      <c r="I255" s="55" cm="1">
        <f t="array" ref="I255">MMS_Dairy_Methane_Equations.VEERG_4_3_1_1__1_TotalAnnualMethaneFromManureManagementVariation(G$235,I203,G$240,0,0,0,0,0)</f>
        <v>0.23930758301764934</v>
      </c>
      <c r="J255" s="55" cm="1">
        <f t="array" ref="J255">MMS_Dairy_Methane_Equations.VEERG_4_3_1_1__1_TotalAnnualMethaneFromManureManagementVariation(0,0,0,H$235,J203,H$240,H$245,H$250)</f>
        <v>0.28186237348182841</v>
      </c>
      <c r="O255" s="55" t="str">
        <f>'Input - Dairy'!$D$54</f>
        <v>Milking shed</v>
      </c>
      <c r="P255" s="55" t="str">
        <f>'Input - Dairy'!$D$67</f>
        <v>Anaerobic lagoon</v>
      </c>
      <c r="Q255" s="55" cm="1">
        <f t="array" ref="Q255">MMS_Dairy_Methane_Equations.VEERG_4_3_1_1__1_TotalAnnualMethaneFromManureManagementVariation(D$235,Q203,O$240,0,0,0,0,0)</f>
        <v>0.2509108740204814</v>
      </c>
      <c r="R255" s="55" cm="1">
        <f t="array" ref="R255">MMS_Dairy_Methane_Equations.VEERG_4_3_1_1__1_TotalAnnualMethaneFromManureManagementVariation(D$235,R203,P$240,0,0,0,0,0)</f>
        <v>0.1966752537703389</v>
      </c>
      <c r="S255" s="55" cm="1">
        <f t="array" ref="S255">MMS_Dairy_Methane_Equations.VEERG_4_3_1_1__1_TotalAnnualMethaneFromManureManagementVariation(0,0,0,F$235,S203,Q$240,F$245,Q$250)</f>
        <v>0.22994966071007236</v>
      </c>
      <c r="T255" s="55" cm="1">
        <f t="array" ref="T255">MMS_Dairy_Methane_Equations.VEERG_4_3_1_1__1_TotalAnnualMethaneFromManureManagementVariation(F$235,T203,R$240,0,0,0,0,0)</f>
        <v>0.23930758301764934</v>
      </c>
      <c r="U255" s="55" cm="1">
        <f t="array" ref="U255">MMS_Dairy_Methane_Equations.VEERG_4_3_1_1__1_TotalAnnualMethaneFromManureManagementVariation(0,0,0,H$235,U203,S$240,H$245,S$250)</f>
        <v>0.28186237348182841</v>
      </c>
    </row>
    <row r="256" spans="4:21" ht="20.100000000000001" customHeight="1" x14ac:dyDescent="0.25">
      <c r="D256" s="55" t="str">
        <f>'Input - Dairy'!$D$54</f>
        <v>Milking shed</v>
      </c>
      <c r="E256" s="55" t="str">
        <f>'Input - Dairy'!$D$72</f>
        <v>Sump and dispersal system</v>
      </c>
      <c r="F256" s="55" cm="1">
        <f t="array" ref="F256">MMS_Dairy_Methane_Equations.VEERG_4_3_1_1__1_TotalAnnualMethaneFromManureManagementVariation(D$235,F204,D$240,0,0,0,0,0)</f>
        <v>1.6507294343452721E-3</v>
      </c>
      <c r="G256" s="55" cm="1">
        <f t="array" ref="G256">MMS_Dairy_Methane_Equations.VEERG_4_3_1_1__1_TotalAnnualMethaneFromManureManagementVariation(E$235,G204,E$240,0,0,0,0,0)</f>
        <v>1.293916143225914E-3</v>
      </c>
      <c r="H256" s="55" cm="1">
        <f t="array" ref="H256">MMS_Dairy_Methane_Equations.VEERG_4_3_1_1__1_TotalAnnualMethaneFromManureManagementVariation(0,0,0,F$235,H204,F$240,F$245,F$250)</f>
        <v>0.14838019513625048</v>
      </c>
      <c r="I256" s="55" cm="1">
        <f t="array" ref="I256">MMS_Dairy_Methane_Equations.VEERG_4_3_1_1__1_TotalAnnualMethaneFromManureManagementVariation(G$235,I204,G$240,0,0,0,0,0)</f>
        <v>1.5743919935371669E-3</v>
      </c>
      <c r="J256" s="55" cm="1">
        <f t="array" ref="J256">MMS_Dairy_Methane_Equations.VEERG_4_3_1_1__1_TotalAnnualMethaneFromManureManagementVariation(0,0,0,H$235,J204,H$240,H$245,H$250)</f>
        <v>0.17208698929922259</v>
      </c>
      <c r="O256" s="55" t="str">
        <f>'Input - Dairy'!$D$54</f>
        <v>Milking shed</v>
      </c>
      <c r="P256" s="55" t="str">
        <f>'Input - Dairy'!$D$72</f>
        <v>Sump and dispersal system</v>
      </c>
      <c r="Q256" s="55" cm="1">
        <f t="array" ref="Q256">MMS_Dairy_Methane_Equations.VEERG_4_3_1_1__1_TotalAnnualMethaneFromManureManagementVariation(D$235,Q204,O$240,0,0,0,0,0)</f>
        <v>1.6507294343452721E-3</v>
      </c>
      <c r="R256" s="55" cm="1">
        <f t="array" ref="R256">MMS_Dairy_Methane_Equations.VEERG_4_3_1_1__1_TotalAnnualMethaneFromManureManagementVariation(D$235,R204,P$240,0,0,0,0,0)</f>
        <v>1.293916143225914E-3</v>
      </c>
      <c r="S256" s="55" cm="1">
        <f t="array" ref="S256">MMS_Dairy_Methane_Equations.VEERG_4_3_1_1__1_TotalAnnualMethaneFromManureManagementVariation(0,0,0,F$235,S204,Q$240,F$245,Q$250)</f>
        <v>0.14838019513625048</v>
      </c>
      <c r="T256" s="55" cm="1">
        <f t="array" ref="T256">MMS_Dairy_Methane_Equations.VEERG_4_3_1_1__1_TotalAnnualMethaneFromManureManagementVariation(F$235,T204,R$240,0,0,0,0,0)</f>
        <v>1.5743919935371669E-3</v>
      </c>
      <c r="U256" s="55" cm="1">
        <f t="array" ref="U256">MMS_Dairy_Methane_Equations.VEERG_4_3_1_1__1_TotalAnnualMethaneFromManureManagementVariation(0,0,0,H$235,U204,S$240,H$245,S$250)</f>
        <v>0.17208698929922259</v>
      </c>
    </row>
    <row r="257" spans="4:21" ht="20.100000000000001" customHeight="1" x14ac:dyDescent="0.25">
      <c r="D257" s="55" t="str">
        <f>'Input - Dairy'!$D$54</f>
        <v>Milking shed</v>
      </c>
      <c r="E257" s="55" t="str">
        <f>'Input - Dairy'!$D$77</f>
        <v>Drains to paddock</v>
      </c>
      <c r="F257" s="55" cm="1">
        <f t="array" ref="F257">MMS_Dairy_Methane_Equations.VEERG_4_3_1_1__1_TotalAnnualMethaneFromManureManagementVariation(D$235,F205,D$240,0,0,0,0,0)</f>
        <v>5.9426259636429807E-2</v>
      </c>
      <c r="G257" s="55" cm="1">
        <f t="array" ref="G257">MMS_Dairy_Methane_Equations.VEERG_4_3_1_1__1_TotalAnnualMethaneFromManureManagementVariation(E$235,G205,E$240,0,0,0,0,0)</f>
        <v>4.6580981156132899E-2</v>
      </c>
      <c r="H257" s="55" cm="1">
        <f t="array" ref="H257">MMS_Dairy_Methane_Equations.VEERG_4_3_1_1__1_TotalAnnualMethaneFromManureManagementVariation(0,0,0,F$235,H205,F$240,F$245,F$250)</f>
        <v>0.16728702490501715</v>
      </c>
      <c r="I257" s="55" cm="1">
        <f t="array" ref="I257">MMS_Dairy_Methane_Equations.VEERG_4_3_1_1__1_TotalAnnualMethaneFromManureManagementVariation(G$235,I205,G$240,0,0,0,0,0)</f>
        <v>5.6678111767338002E-2</v>
      </c>
      <c r="J257" s="55" cm="1">
        <f t="array" ref="J257">MMS_Dairy_Methane_Equations.VEERG_4_3_1_1__1_TotalAnnualMethaneFromManureManagementVariation(0,0,0,H$235,J205,H$240,H$245,H$250)</f>
        <v>0.197531614772012</v>
      </c>
      <c r="O257" s="55" t="str">
        <f>'Input - Dairy'!$D$54</f>
        <v>Milking shed</v>
      </c>
      <c r="P257" s="55" t="str">
        <f>'Input - Dairy'!$D$77</f>
        <v>Drains to paddock</v>
      </c>
      <c r="Q257" s="55" cm="1">
        <f t="array" ref="Q257">MMS_Dairy_Methane_Equations.VEERG_4_3_1_1__1_TotalAnnualMethaneFromManureManagementVariation(D$235,Q205,O$240,0,0,0,0,0)</f>
        <v>5.9426259636429807E-2</v>
      </c>
      <c r="R257" s="55" cm="1">
        <f t="array" ref="R257">MMS_Dairy_Methane_Equations.VEERG_4_3_1_1__1_TotalAnnualMethaneFromManureManagementVariation(D$235,R205,P$240,0,0,0,0,0)</f>
        <v>4.6580981156132899E-2</v>
      </c>
      <c r="S257" s="55" cm="1">
        <f t="array" ref="S257">MMS_Dairy_Methane_Equations.VEERG_4_3_1_1__1_TotalAnnualMethaneFromManureManagementVariation(0,0,0,F$235,S205,Q$240,F$245,Q$250)</f>
        <v>0.16728702490501715</v>
      </c>
      <c r="T257" s="55" cm="1">
        <f t="array" ref="T257">MMS_Dairy_Methane_Equations.VEERG_4_3_1_1__1_TotalAnnualMethaneFromManureManagementVariation(F$235,T205,R$240,0,0,0,0,0)</f>
        <v>5.6678111767338002E-2</v>
      </c>
      <c r="U257" s="55" cm="1">
        <f t="array" ref="U257">MMS_Dairy_Methane_Equations.VEERG_4_3_1_1__1_TotalAnnualMethaneFromManureManagementVariation(0,0,0,H$235,U205,S$240,H$245,S$250)</f>
        <v>0.197531614772012</v>
      </c>
    </row>
    <row r="258" spans="4:21" ht="20.100000000000001" customHeight="1" x14ac:dyDescent="0.25">
      <c r="D258" s="55" t="str">
        <f>'Input - Dairy'!$D$54</f>
        <v>Milking shed</v>
      </c>
      <c r="E258" s="55" t="str">
        <f>'Input - Dairy'!$D$82</f>
        <v>Solid storage</v>
      </c>
      <c r="F258" s="55" cm="1">
        <f t="array" ref="F258">MMS_Dairy_Methane_Equations.VEERG_4_3_1_1__1_TotalAnnualMethaneFromManureManagementVariation(D$235,F206,D$240,0,0,0,0,0)</f>
        <v>4.5019893663961967E-2</v>
      </c>
      <c r="G258" s="55" cm="1">
        <f t="array" ref="G258">MMS_Dairy_Methane_Equations.VEERG_4_3_1_1__1_TotalAnnualMethaneFromManureManagementVariation(E$235,G206,E$240,0,0,0,0,0)</f>
        <v>3.5288622087979477E-2</v>
      </c>
      <c r="H258" s="55" cm="1">
        <f t="array" ref="H258">MMS_Dairy_Methane_Equations.VEERG_4_3_1_1__1_TotalAnnualMethaneFromManureManagementVariation(0,0,0,F$235,H206,F$240,F$245,F$250)</f>
        <v>0.16257259462501297</v>
      </c>
      <c r="I258" s="55" cm="1">
        <f t="array" ref="I258">MMS_Dairy_Methane_Equations.VEERG_4_3_1_1__1_TotalAnnualMethaneFromManureManagementVariation(G$235,I206,G$240,0,0,0,0,0)</f>
        <v>4.2937963460104554E-2</v>
      </c>
      <c r="J258" s="55" cm="1">
        <f t="array" ref="J258">MMS_Dairy_Methane_Equations.VEERG_4_3_1_1__1_TotalAnnualMethaneFromManureManagementVariation(0,0,0,H$235,J206,H$240,H$245,H$250)</f>
        <v>0.19118698088788791</v>
      </c>
      <c r="O258" s="55" t="str">
        <f>'Input - Dairy'!$D$54</f>
        <v>Milking shed</v>
      </c>
      <c r="P258" s="55" t="str">
        <f>'Input - Dairy'!$D$82</f>
        <v>Solid storage</v>
      </c>
      <c r="Q258" s="55" cm="1">
        <f t="array" ref="Q258">MMS_Dairy_Methane_Equations.VEERG_4_3_1_1__1_TotalAnnualMethaneFromManureManagementVariation(D$235,Q206,O$240,0,0,0,0,0)</f>
        <v>1.3205835474762173E-2</v>
      </c>
      <c r="R258" s="55" cm="1">
        <f t="array" ref="R258">MMS_Dairy_Methane_Equations.VEERG_4_3_1_1__1_TotalAnnualMethaneFromManureManagementVariation(D$235,R206,P$240,0,0,0,0,0)</f>
        <v>1.0351329145807312E-2</v>
      </c>
      <c r="S258" s="55" cm="1">
        <f t="array" ref="S258">MMS_Dairy_Methane_Equations.VEERG_4_3_1_1__1_TotalAnnualMethaneFromManureManagementVariation(0,0,0,F$235,S206,Q$240,F$245,Q$250)</f>
        <v>0.15216156109000381</v>
      </c>
      <c r="T258" s="55" cm="1">
        <f t="array" ref="T258">MMS_Dairy_Methane_Equations.VEERG_4_3_1_1__1_TotalAnnualMethaneFromManureManagementVariation(F$235,T206,R$240,0,0,0,0,0)</f>
        <v>1.259513594829733E-2</v>
      </c>
      <c r="U258" s="55" cm="1">
        <f t="array" ref="U258">MMS_Dairy_Methane_Equations.VEERG_4_3_1_1__1_TotalAnnualMethaneFromManureManagementVariation(0,0,0,H$235,U206,S$240,H$245,S$250)</f>
        <v>0.17717591439378047</v>
      </c>
    </row>
    <row r="259" spans="4:21" ht="20.100000000000001" customHeight="1" x14ac:dyDescent="0.25">
      <c r="D259" s="55" t="str">
        <f>'Input - Dairy'!$D$55</f>
        <v>Feed pad</v>
      </c>
      <c r="E259" s="55" t="str">
        <f>'Input - Dairy'!$D$101</f>
        <v>Anaerobic lagoon</v>
      </c>
      <c r="F259" s="55" cm="1">
        <f t="array" ref="F259">MMS_Dairy_Methane_Equations.VEERG_4_3_1_1__1_TotalAnnualMethaneFromManureManagementVariation(D$235,F207,D$240,0,0,0,0,0)</f>
        <v>1.0150485358101291</v>
      </c>
      <c r="G259" s="55" cm="1">
        <f t="array" ref="G259">MMS_Dairy_Methane_Equations.VEERG_4_3_1_1__1_TotalAnnualMethaneFromManureManagementVariation(E$235,G207,E$240,0,0,0,0,0)</f>
        <v>0.79564079934364373</v>
      </c>
      <c r="H259" s="55" cm="1">
        <f t="array" ref="H259">MMS_Dairy_Methane_Equations.VEERG_4_3_1_1__1_TotalAnnualMethaneFromManureManagementVariation(0,0,0,F$235,H207,F$240,F$245,F$250)</f>
        <v>0.48001090014529268</v>
      </c>
      <c r="I259" s="55" cm="1">
        <f t="array" ref="I259">MMS_Dairy_Methane_Equations.VEERG_4_3_1_1__1_TotalAnnualMethaneFromManureManagementVariation(G$235,I207,G$240,0,0,0,0,0)</f>
        <v>0.96810794948049028</v>
      </c>
      <c r="J259" s="55" cm="1">
        <f t="array" ref="J259">MMS_Dairy_Methane_Equations.VEERG_4_3_1_1__1_TotalAnnualMethaneFromManureManagementVariation(0,0,0,H$235,J207,H$240,H$245,H$250)</f>
        <v>0.6183923290855784</v>
      </c>
      <c r="O259" s="55" t="str">
        <f>'Input - Dairy'!$D$55</f>
        <v>Feed pad</v>
      </c>
      <c r="P259" s="55" t="str">
        <f>'Input - Dairy'!$D$101</f>
        <v>Anaerobic lagoon</v>
      </c>
      <c r="Q259" s="55" cm="1">
        <f t="array" ref="Q259">MMS_Dairy_Methane_Equations.VEERG_4_3_1_1__1_TotalAnnualMethaneFromManureManagementVariation(D$235,Q207,O$240,0,0,0,0,0)</f>
        <v>1.0150485358101291</v>
      </c>
      <c r="R259" s="55" cm="1">
        <f t="array" ref="R259">MMS_Dairy_Methane_Equations.VEERG_4_3_1_1__1_TotalAnnualMethaneFromManureManagementVariation(D$235,R207,P$240,0,0,0,0,0)</f>
        <v>0.79564079934364373</v>
      </c>
      <c r="S259" s="55" cm="1">
        <f t="array" ref="S259">MMS_Dairy_Methane_Equations.VEERG_4_3_1_1__1_TotalAnnualMethaneFromManureManagementVariation(0,0,0,F$235,S207,Q$240,F$245,Q$250)</f>
        <v>0.48001090014529268</v>
      </c>
      <c r="T259" s="55" cm="1">
        <f t="array" ref="T259">MMS_Dairy_Methane_Equations.VEERG_4_3_1_1__1_TotalAnnualMethaneFromManureManagementVariation(F$235,T207,R$240,0,0,0,0,0)</f>
        <v>0.96810794948049028</v>
      </c>
      <c r="U259" s="55" cm="1">
        <f t="array" ref="U259">MMS_Dairy_Methane_Equations.VEERG_4_3_1_1__1_TotalAnnualMethaneFromManureManagementVariation(0,0,0,H$235,U207,S$240,H$245,S$250)</f>
        <v>0.6183923290855784</v>
      </c>
    </row>
    <row r="260" spans="4:21" ht="20.100000000000001" customHeight="1" x14ac:dyDescent="0.25">
      <c r="D260" s="55" t="str">
        <f>'Input - Dairy'!$D$55</f>
        <v>Feed pad</v>
      </c>
      <c r="E260" s="55" t="str">
        <f>'Input - Dairy'!$D$106</f>
        <v>Sump and dispersal system</v>
      </c>
      <c r="F260" s="55" cm="1">
        <f t="array" ref="F260">MMS_Dairy_Methane_Equations.VEERG_4_3_1_1__1_TotalAnnualMethaneFromManureManagementVariation(D$235,F208,D$240,0,0,0,0,0)</f>
        <v>5.3423607147901541E-3</v>
      </c>
      <c r="G260" s="55" cm="1">
        <f t="array" ref="G260">MMS_Dairy_Methane_Equations.VEERG_4_3_1_1__1_TotalAnnualMethaneFromManureManagementVariation(E$235,G208,E$240,0,0,0,0,0)</f>
        <v>4.1875831544402296E-3</v>
      </c>
      <c r="H260" s="55" cm="1">
        <f t="array" ref="H260">MMS_Dairy_Methane_Equations.VEERG_4_3_1_1__1_TotalAnnualMethaneFromManureManagementVariation(0,0,0,F$235,H208,F$240,F$245,F$250)</f>
        <v>0.14958826789550153</v>
      </c>
      <c r="I260" s="55" cm="1">
        <f t="array" ref="I260">MMS_Dairy_Methane_Equations.VEERG_4_3_1_1__1_TotalAnnualMethaneFromManureManagementVariation(G$235,I208,G$240,0,0,0,0,0)</f>
        <v>5.095304997265738E-3</v>
      </c>
      <c r="J260" s="55" cm="1">
        <f t="array" ref="J260">MMS_Dairy_Methane_Equations.VEERG_4_3_1_1__1_TotalAnnualMethaneFromManureManagementVariation(0,0,0,H$235,J208,H$240,H$245,H$250)</f>
        <v>0.17371280173202935</v>
      </c>
      <c r="O260" s="55" t="str">
        <f>'Input - Dairy'!$D$55</f>
        <v>Feed pad</v>
      </c>
      <c r="P260" s="55" t="str">
        <f>'Input - Dairy'!$D$106</f>
        <v>Sump and dispersal system</v>
      </c>
      <c r="Q260" s="55" cm="1">
        <f t="array" ref="Q260">MMS_Dairy_Methane_Equations.VEERG_4_3_1_1__1_TotalAnnualMethaneFromManureManagementVariation(D$235,Q208,O$240,0,0,0,0,0)</f>
        <v>5.3423607147901541E-3</v>
      </c>
      <c r="R260" s="55" cm="1">
        <f t="array" ref="R260">MMS_Dairy_Methane_Equations.VEERG_4_3_1_1__1_TotalAnnualMethaneFromManureManagementVariation(D$235,R208,P$240,0,0,0,0,0)</f>
        <v>4.1875831544402296E-3</v>
      </c>
      <c r="S260" s="55" cm="1">
        <f t="array" ref="S260">MMS_Dairy_Methane_Equations.VEERG_4_3_1_1__1_TotalAnnualMethaneFromManureManagementVariation(0,0,0,F$235,S208,Q$240,F$245,Q$250)</f>
        <v>0.14958826789550153</v>
      </c>
      <c r="T260" s="55" cm="1">
        <f t="array" ref="T260">MMS_Dairy_Methane_Equations.VEERG_4_3_1_1__1_TotalAnnualMethaneFromManureManagementVariation(F$235,T208,R$240,0,0,0,0,0)</f>
        <v>5.095304997265738E-3</v>
      </c>
      <c r="U260" s="55" cm="1">
        <f t="array" ref="U260">MMS_Dairy_Methane_Equations.VEERG_4_3_1_1__1_TotalAnnualMethaneFromManureManagementVariation(0,0,0,H$235,U208,S$240,H$245,S$250)</f>
        <v>0.17371280173202935</v>
      </c>
    </row>
    <row r="261" spans="4:21" ht="20.100000000000001" customHeight="1" x14ac:dyDescent="0.25">
      <c r="D261" s="55" t="str">
        <f>'Input - Dairy'!$D$55</f>
        <v>Feed pad</v>
      </c>
      <c r="E261" s="55" t="str">
        <f>'Input - Dairy'!$D$111</f>
        <v>Drains to paddock</v>
      </c>
      <c r="F261" s="55" cm="1">
        <f t="array" ref="F261">MMS_Dairy_Methane_Equations.VEERG_4_3_1_1__1_TotalAnnualMethaneFromManureManagementVariation(D$235,F209,D$240,0,0,0,0,0)</f>
        <v>0.19232498573244547</v>
      </c>
      <c r="G261" s="55" cm="1">
        <f t="array" ref="G261">MMS_Dairy_Methane_Equations.VEERG_4_3_1_1__1_TotalAnnualMethaneFromManureManagementVariation(E$235,G209,E$240,0,0,0,0,0)</f>
        <v>0.15075299355984828</v>
      </c>
      <c r="H261" s="55" cm="1">
        <f t="array" ref="H261">MMS_Dairy_Methane_Equations.VEERG_4_3_1_1__1_TotalAnnualMethaneFromManureManagementVariation(0,0,0,F$235,H209,F$240,F$245,F$250)</f>
        <v>0.21077764423805545</v>
      </c>
      <c r="I261" s="55" cm="1">
        <f t="array" ref="I261">MMS_Dairy_Methane_Equations.VEERG_4_3_1_1__1_TotalAnnualMethaneFromManureManagementVariation(G$235,I209,G$240,0,0,0,0,0)</f>
        <v>0.18343097990156659</v>
      </c>
      <c r="J261" s="55" cm="1">
        <f t="array" ref="J261">MMS_Dairy_Methane_Equations.VEERG_4_3_1_1__1_TotalAnnualMethaneFromManureManagementVariation(0,0,0,H$235,J209,H$240,H$245,H$250)</f>
        <v>0.25606086235305697</v>
      </c>
      <c r="O261" s="55" t="str">
        <f>'Input - Dairy'!$D$55</f>
        <v>Feed pad</v>
      </c>
      <c r="P261" s="55" t="str">
        <f>'Input - Dairy'!$D$111</f>
        <v>Drains to paddock</v>
      </c>
      <c r="Q261" s="55" cm="1">
        <f t="array" ref="Q261">MMS_Dairy_Methane_Equations.VEERG_4_3_1_1__1_TotalAnnualMethaneFromManureManagementVariation(D$235,Q209,O$240,0,0,0,0,0)</f>
        <v>0.19232498573244547</v>
      </c>
      <c r="R261" s="55" cm="1">
        <f t="array" ref="R261">MMS_Dairy_Methane_Equations.VEERG_4_3_1_1__1_TotalAnnualMethaneFromManureManagementVariation(D$235,R209,P$240,0,0,0,0,0)</f>
        <v>0.15075299355984828</v>
      </c>
      <c r="S261" s="55" cm="1">
        <f t="array" ref="S261">MMS_Dairy_Methane_Equations.VEERG_4_3_1_1__1_TotalAnnualMethaneFromManureManagementVariation(0,0,0,F$235,S209,Q$240,F$245,Q$250)</f>
        <v>0.21077764423805545</v>
      </c>
      <c r="T261" s="55" cm="1">
        <f t="array" ref="T261">MMS_Dairy_Methane_Equations.VEERG_4_3_1_1__1_TotalAnnualMethaneFromManureManagementVariation(F$235,T209,R$240,0,0,0,0,0)</f>
        <v>0.18343097990156659</v>
      </c>
      <c r="U261" s="55" cm="1">
        <f t="array" ref="U261">MMS_Dairy_Methane_Equations.VEERG_4_3_1_1__1_TotalAnnualMethaneFromManureManagementVariation(0,0,0,H$235,U209,S$240,H$245,S$250)</f>
        <v>0.25606086235305697</v>
      </c>
    </row>
    <row r="262" spans="4:21" ht="20.100000000000001" customHeight="1" x14ac:dyDescent="0.25">
      <c r="D262" s="55" t="str">
        <f>'Input - Dairy'!$D$55</f>
        <v>Feed pad</v>
      </c>
      <c r="E262" s="55" t="str">
        <f>'Input - Dairy'!$D$116</f>
        <v>Solid storage</v>
      </c>
      <c r="F262" s="55" cm="1">
        <f t="array" ref="F262">MMS_Dairy_Methane_Equations.VEERG_4_3_1_1__1_TotalAnnualMethaneFromManureManagementVariation(D$235,F210,D$240,0,0,0,0,0)</f>
        <v>3.7396525003531071E-2</v>
      </c>
      <c r="G262" s="55" cm="1">
        <f t="array" ref="G262">MMS_Dairy_Methane_Equations.VEERG_4_3_1_1__1_TotalAnnualMethaneFromManureManagementVariation(E$235,G210,E$240,0,0,0,0,0)</f>
        <v>2.9313082081081607E-2</v>
      </c>
      <c r="H262" s="55" cm="1">
        <f t="array" ref="H262">MMS_Dairy_Methane_Equations.VEERG_4_3_1_1__1_TotalAnnualMethaneFromManureManagementVariation(0,0,0,F$235,H210,F$240,F$245,F$250)</f>
        <v>0.16007787526851078</v>
      </c>
      <c r="I262" s="55" cm="1">
        <f t="array" ref="I262">MMS_Dairy_Methane_Equations.VEERG_4_3_1_1__1_TotalAnnualMethaneFromManureManagementVariation(G$235,I210,G$240,0,0,0,0,0)</f>
        <v>3.5667134980860167E-2</v>
      </c>
      <c r="J262" s="55" cm="1">
        <f t="array" ref="J262">MMS_Dairy_Methane_Equations.VEERG_4_3_1_1__1_TotalAnnualMethaneFromManureManagementVariation(0,0,0,H$235,J210,H$240,H$245,H$250)</f>
        <v>0.18782961212420554</v>
      </c>
      <c r="O262" s="55" t="str">
        <f>'Input - Dairy'!$D$55</f>
        <v>Feed pad</v>
      </c>
      <c r="P262" s="55" t="str">
        <f>'Input - Dairy'!$D$116</f>
        <v>Solid storage</v>
      </c>
      <c r="Q262" s="55" cm="1">
        <f t="array" ref="Q262">MMS_Dairy_Methane_Equations.VEERG_4_3_1_1__1_TotalAnnualMethaneFromManureManagementVariation(D$235,Q210,O$240,0,0,0,0,0)</f>
        <v>3.7396525003531071E-2</v>
      </c>
      <c r="R262" s="55" cm="1">
        <f t="array" ref="R262">MMS_Dairy_Methane_Equations.VEERG_4_3_1_1__1_TotalAnnualMethaneFromManureManagementVariation(D$235,R210,P$240,0,0,0,0,0)</f>
        <v>2.9313082081081607E-2</v>
      </c>
      <c r="S262" s="55" cm="1">
        <f t="array" ref="S262">MMS_Dairy_Methane_Equations.VEERG_4_3_1_1__1_TotalAnnualMethaneFromManureManagementVariation(0,0,0,F$235,S210,Q$240,F$245,Q$250)</f>
        <v>0.16007787526851078</v>
      </c>
      <c r="T262" s="55" cm="1">
        <f t="array" ref="T262">MMS_Dairy_Methane_Equations.VEERG_4_3_1_1__1_TotalAnnualMethaneFromManureManagementVariation(F$235,T210,R$240,0,0,0,0,0)</f>
        <v>3.5667134980860167E-2</v>
      </c>
      <c r="U262" s="55" cm="1">
        <f t="array" ref="U262">MMS_Dairy_Methane_Equations.VEERG_4_3_1_1__1_TotalAnnualMethaneFromManureManagementVariation(0,0,0,H$235,U210,S$240,H$245,S$250)</f>
        <v>0.18782961212420554</v>
      </c>
    </row>
    <row r="263" spans="4:21" ht="20.100000000000001" customHeight="1" x14ac:dyDescent="0.25"/>
    <row r="264" spans="4:21" ht="20.100000000000001" customHeight="1" x14ac:dyDescent="0.25">
      <c r="D264" s="108" t="s">
        <v>133</v>
      </c>
      <c r="E264" s="109">
        <f>SUM(F255:J262)</f>
        <v>8.1869605415711497</v>
      </c>
      <c r="F264" s="110" t="str">
        <f>$E$221</f>
        <v>t CH4</v>
      </c>
      <c r="O264" s="108" t="s">
        <v>133</v>
      </c>
      <c r="P264" s="109">
        <f>SUM(Q255:U262)</f>
        <v>8.0754442628988556</v>
      </c>
      <c r="Q264" s="110" t="str">
        <f>$E$221</f>
        <v>t CH4</v>
      </c>
    </row>
    <row r="265" spans="4:21" ht="20.100000000000001" customHeight="1" x14ac:dyDescent="0.25"/>
    <row r="266" spans="4:21" ht="20.100000000000001" customHeight="1" x14ac:dyDescent="0.25">
      <c r="D266" s="60" t="str" cm="1">
        <f t="array" ref="D266:E267">Common_Equations.Common_ConvertCH4ToCO2e_Arguments()</f>
        <v>ECH4</v>
      </c>
      <c r="E266" s="61" t="str">
        <v>Methane emissions (t CH4)</v>
      </c>
      <c r="F266" s="111"/>
      <c r="G266" s="55">
        <f>E264</f>
        <v>8.1869605415711497</v>
      </c>
      <c r="H266" s="2" t="s">
        <v>295</v>
      </c>
      <c r="O266" s="60" t="str" cm="1">
        <f t="array" ref="O266:P267">Common_Equations.Common_ConvertCH4ToCO2e_Arguments()</f>
        <v>ECH4</v>
      </c>
      <c r="P266" s="61" t="str">
        <v>Methane emissions (t CH4)</v>
      </c>
      <c r="Q266" s="111"/>
      <c r="R266" s="55">
        <f>P264</f>
        <v>8.0754442628988556</v>
      </c>
      <c r="S266" s="2" t="s">
        <v>295</v>
      </c>
    </row>
    <row r="267" spans="4:21" ht="20.100000000000001" customHeight="1" x14ac:dyDescent="0.25">
      <c r="D267" s="60" t="str">
        <v>GWPCH4</v>
      </c>
      <c r="E267" s="61" t="str">
        <v>Global warming potential for methane (t CO2-e / t CH4)</v>
      </c>
      <c r="F267" s="111"/>
      <c r="G267" s="55">
        <f>Common_InputFunctions.Utility_LookupValueInTableNumber("CH4",[1]!Table_GWPData1822182218[Gas],[1]!Table_GWPData1822182218[CO2-e factor])</f>
        <v>0</v>
      </c>
      <c r="O267" s="60" t="str">
        <v>GWPCH4</v>
      </c>
      <c r="P267" s="61" t="str">
        <v>Global warming potential for methane (t CO2-e / t CH4)</v>
      </c>
      <c r="Q267" s="111"/>
      <c r="R267" s="55">
        <f>Common_InputFunctions.Utility_LookupValueInTableNumber("CH4",[1]!Table_GWPData1822182218[Gas],[1]!Table_GWPData1822182218[CO2-e factor])</f>
        <v>0</v>
      </c>
    </row>
    <row r="268" spans="4:21" ht="20.100000000000001" customHeight="1" x14ac:dyDescent="0.25"/>
    <row r="269" spans="4:21" ht="20.100000000000001" customHeight="1" x14ac:dyDescent="0.25">
      <c r="D269" s="48" t="s">
        <v>134</v>
      </c>
      <c r="E269" s="48" cm="1">
        <f t="array" ref="E269">Common_Equations.Common_ConvertCH4ToCO2e(G266,G267)</f>
        <v>0</v>
      </c>
      <c r="F269" s="112" t="str" cm="1">
        <f t="array" ref="F269">Common_Equations.Common_ConvertN2OToCO2e_Unit()</f>
        <v>t CO2e</v>
      </c>
      <c r="O269" s="48" t="s">
        <v>134</v>
      </c>
      <c r="P269" s="48" cm="1">
        <f t="array" ref="P269">Common_Equations.Common_ConvertCH4ToCO2e(R266,R267)</f>
        <v>0</v>
      </c>
      <c r="Q269" s="112" t="str" cm="1">
        <f t="array" ref="Q269">Common_Equations.Common_ConvertN2OToCO2e_Unit()</f>
        <v>t CO2e</v>
      </c>
    </row>
    <row r="270" spans="4:21" ht="20.100000000000001" customHeight="1" x14ac:dyDescent="0.25"/>
    <row r="271" spans="4:21" ht="20.100000000000001" customHeight="1" x14ac:dyDescent="0.25"/>
  </sheetData>
  <dataValidations disablePrompts="1" count="1">
    <dataValidation operator="equal" allowBlank="1" showInputMessage="1" showErrorMessage="1" sqref="E116:G116 F132:F136 Q122:U126 D154:F154 P60:R60 E121:J121 F122:J126 E131:F131 Q132:Q136 P131:Q131 P121:U121 E141:J141 F142:J146 P141:U141 Q142:U146 E166:J166 F167:J167 E172:J172 F173:J173 Q173:U173 P166:U166 Q167:U167 P172:U172 E206 E203 E258 E255 P206 P203 P258 P255" xr:uid="{AF7BB680-B75F-4AE8-AA2D-EDF03FCB10D8}"/>
  </dataValidations>
  <pageMargins left="0.7" right="0.7" top="0.75" bottom="0.75" header="0.3" footer="0.3"/>
  <pageSetup paperSize="9" orientation="portrait" r:id="rId1"/>
  <ignoredErrors>
    <ignoredError sqref="H255 H256:H262 I255:I262 S255:S262" formula="1"/>
  </ignoredErrors>
  <drawing r:id="rId2"/>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BF652C6-038D-41EC-BA1B-216C9E3A60D3}">
  <dimension ref="A1:U291"/>
  <sheetViews>
    <sheetView showGridLines="0" topLeftCell="A250" zoomScaleNormal="100" workbookViewId="0">
      <selection activeCell="G257" sqref="G257"/>
    </sheetView>
  </sheetViews>
  <sheetFormatPr defaultRowHeight="15.75" x14ac:dyDescent="0.25"/>
  <cols>
    <col min="1" max="1" width="30.7109375" customWidth="1"/>
    <col min="2" max="2" width="4.7109375" customWidth="1"/>
    <col min="3" max="3" width="4.7109375" style="1" customWidth="1"/>
    <col min="4" max="10" width="30.7109375" style="1" customWidth="1"/>
    <col min="11" max="11" width="4.7109375" style="1" customWidth="1"/>
    <col min="12" max="12" width="4.7109375" customWidth="1"/>
    <col min="13" max="13" width="4.7109375" style="1" customWidth="1"/>
    <col min="14" max="20" width="30.7109375" style="1" customWidth="1"/>
    <col min="21" max="21" width="4.7109375" style="1" customWidth="1"/>
  </cols>
  <sheetData>
    <row r="1" spans="1:21" s="8" customFormat="1" ht="30" customHeight="1" x14ac:dyDescent="0.35">
      <c r="A1" s="71" t="e" vm="1">
        <v>#VALUE!</v>
      </c>
      <c r="C1" s="8" t="s">
        <v>306</v>
      </c>
    </row>
    <row r="2" spans="1:21" s="9" customFormat="1" ht="20.100000000000001" customHeight="1" x14ac:dyDescent="0.25"/>
    <row r="3" spans="1:21" ht="20.100000000000001" customHeight="1" x14ac:dyDescent="0.25">
      <c r="A3" s="17" t="str">
        <f>HYPERLINK("#'Home'!A1", "Home")</f>
        <v>Home</v>
      </c>
      <c r="C3" s="4"/>
      <c r="D3" s="4" t="s">
        <v>123</v>
      </c>
      <c r="E3" s="4"/>
      <c r="F3" s="4"/>
      <c r="G3" s="4"/>
      <c r="H3" s="4"/>
      <c r="I3" s="4"/>
      <c r="J3" s="4"/>
      <c r="K3" s="4"/>
      <c r="M3" s="4"/>
      <c r="N3" s="4" t="s">
        <v>124</v>
      </c>
      <c r="O3" s="4"/>
      <c r="P3" s="4"/>
      <c r="Q3" s="4"/>
      <c r="R3" s="4"/>
      <c r="S3" s="4"/>
      <c r="T3" s="4"/>
      <c r="U3" s="4"/>
    </row>
    <row r="4" spans="1:21" ht="20.100000000000001" customHeight="1" x14ac:dyDescent="0.25">
      <c r="A4" s="17" t="str">
        <f>HYPERLINK("#'Results'!A1", "Results")</f>
        <v>Results</v>
      </c>
    </row>
    <row r="5" spans="1:21" ht="20.100000000000001" customHeight="1" x14ac:dyDescent="0.25">
      <c r="A5" s="16"/>
      <c r="D5" s="6" t="str" cm="1">
        <f t="array" ref="D5">MMS_Dairy_N2ODirect_Equations.VEERG_4_3_1_3__8_RelativeSize_Title()</f>
        <v>Relative size</v>
      </c>
    </row>
    <row r="6" spans="1:21" ht="20.100000000000001" customHeight="1" x14ac:dyDescent="0.25">
      <c r="A6" s="20" t="s">
        <v>3</v>
      </c>
      <c r="D6" s="5" t="str" cm="1">
        <f t="array" ref="D6">MMS_Dairy_N2ODirect_Equations.VEERG_4_3_1_3__8_RelativeSize_Source()</f>
        <v>VEERG 2026: 4.3.1.3, Equation (8)</v>
      </c>
    </row>
    <row r="7" spans="1:21" ht="20.100000000000001" customHeight="1" x14ac:dyDescent="0.25">
      <c r="A7" s="17" t="str">
        <f>HYPERLINK("#'Input - Site'!A1", "Site")</f>
        <v>Site</v>
      </c>
      <c r="D7" s="13" t="s">
        <v>28</v>
      </c>
      <c r="E7" s="13" t="str" cm="1">
        <f t="array" aca="1" ref="E7" ca="1">Common_InputFunctions.Utility_DisplayFunctionName(D29)</f>
        <v>=MMS_Dairy_N2ODirect_Equations.VEERG_4_3_1_3__8_RelativeSize</v>
      </c>
    </row>
    <row r="8" spans="1:21" ht="20.100000000000001" customHeight="1" x14ac:dyDescent="0.25">
      <c r="A8" s="17" t="str">
        <f>HYPERLINK("#'Input - Dairy'!A1", "Dairy")</f>
        <v>Dairy</v>
      </c>
    </row>
    <row r="9" spans="1:21" ht="20.100000000000001" customHeight="1" x14ac:dyDescent="0.25">
      <c r="A9" s="17"/>
    </row>
    <row r="10" spans="1:21" ht="20.100000000000001" customHeight="1" x14ac:dyDescent="0.25">
      <c r="A10" s="19" t="s">
        <v>78</v>
      </c>
      <c r="D10" s="56" t="s">
        <v>31</v>
      </c>
      <c r="E10" s="1" t="str" cm="1">
        <f t="array" ref="E10">MMS_Dairy_N2ODirect_Equations.VEERG_4_3_1_3__8_RelativeSize_Variable()</f>
        <v>Z_j</v>
      </c>
    </row>
    <row r="11" spans="1:21" ht="20.100000000000001" customHeight="1" x14ac:dyDescent="0.25">
      <c r="A11" s="17" t="str">
        <f>HYPERLINK("#'4.3.1.1-2 Methane'!A1", "4.3.1.1-2 Methane")</f>
        <v>4.3.1.1-2 Methane</v>
      </c>
      <c r="D11" s="56" t="s">
        <v>21</v>
      </c>
      <c r="E11" s="57" t="str" cm="1">
        <f t="array" ref="E11">MMS_Dairy_N2ODirect_Equations.VEERG_4_3_1_3__8_RelativeSize_Unit()</f>
        <v>ratio</v>
      </c>
    </row>
    <row r="12" spans="1:21" ht="20.100000000000001" customHeight="1" x14ac:dyDescent="0.25">
      <c r="A12" s="22" t="str">
        <f>HYPERLINK("#'4.3.1.3-4 Direct N20'!A1", "4.3.1.3-4 Direct N2O")</f>
        <v>4.3.1.3-4 Direct N2O</v>
      </c>
    </row>
    <row r="13" spans="1:21" ht="20.100000000000001" customHeight="1" x14ac:dyDescent="0.25">
      <c r="A13" s="17" t="str">
        <f>HYPERLINK("#'4.3.1.5 Atmos Deposition'!A1", "4.3.1.5 Atmospheric deposition")</f>
        <v>4.3.1.5 Atmospheric deposition</v>
      </c>
      <c r="D13" s="60" t="str" cm="1">
        <f t="array" ref="D13:E14">MMS_Dairy_N2ODirect_Equations.VEERG_4_3_1_3__8_RelativeSize_Arguments()</f>
        <v>W_j</v>
      </c>
      <c r="E13" s="60" t="str">
        <v>liveweight (kg)</v>
      </c>
      <c r="F13" s="60" t="str">
        <f>"See " &amp; D16</f>
        <v>See M1_Table_W_j</v>
      </c>
    </row>
    <row r="14" spans="1:21" ht="20.100000000000001" customHeight="1" x14ac:dyDescent="0.25">
      <c r="A14" s="17" t="str">
        <f>HYPERLINK("#'4.3.1.6-7 Leaching and runoff'!A1", "4.3.1.6-7 Leaching and runoff")</f>
        <v>4.3.1.6-7 Leaching and runoff</v>
      </c>
      <c r="D14" s="60" t="str">
        <v>WR_j</v>
      </c>
      <c r="E14" s="60" t="str">
        <v>reference weight (kg)</v>
      </c>
      <c r="F14" s="60" t="str">
        <f>"See " &amp; D21</f>
        <v>See Table_WR_j</v>
      </c>
    </row>
    <row r="15" spans="1:21" ht="20.100000000000001" customHeight="1" x14ac:dyDescent="0.25">
      <c r="A15" s="17" t="str">
        <f>HYPERLINK("#'4.3.1.8 Manure applied to soils'!A1", "4.3.1.8 Manure applied to soils")</f>
        <v>4.3.1.8 Manure applied to soils</v>
      </c>
    </row>
    <row r="16" spans="1:21" ht="20.100000000000001" customHeight="1" x14ac:dyDescent="0.25">
      <c r="A16" s="17" t="str">
        <f>HYPERLINK("#'4.3.1.9 Soil direct N2O'!A1", "4.3.1.9 Soil direct N2O")</f>
        <v>4.3.1.9 Soil direct N2O</v>
      </c>
      <c r="D16" s="104" t="s">
        <v>238</v>
      </c>
      <c r="N16" s="104" t="s">
        <v>240</v>
      </c>
    </row>
    <row r="17" spans="1:21" ht="20.100000000000001" customHeight="1" x14ac:dyDescent="0.25">
      <c r="A17" s="17" t="str">
        <f>HYPERLINK("#'4.3.1.10-11 Soil Atmos Dep'!A1", "4.3.1.10-11 Soil atm. deposition")</f>
        <v>4.3.1.10-11 Soil atm. deposition</v>
      </c>
      <c r="D17" s="103" t="s">
        <v>239</v>
      </c>
      <c r="N17" s="103" t="s">
        <v>241</v>
      </c>
    </row>
    <row r="18" spans="1:21" ht="20.100000000000001" customHeight="1" x14ac:dyDescent="0.25">
      <c r="A18" s="17" t="str">
        <f>HYPERLINK("#'4.3.1.12-13 Soil leach runoff'!A1", "4.3.1.12-13 Soil leach &amp; runoff")</f>
        <v>4.3.1.12-13 Soil leach &amp; runoff</v>
      </c>
      <c r="D18" s="54" t="s">
        <v>186</v>
      </c>
      <c r="E18" s="54" t="s">
        <v>203</v>
      </c>
      <c r="F18" s="54" t="s">
        <v>204</v>
      </c>
      <c r="G18" s="54" t="s">
        <v>205</v>
      </c>
      <c r="H18" s="54" t="s">
        <v>206</v>
      </c>
      <c r="N18" s="54" t="s">
        <v>186</v>
      </c>
      <c r="O18" s="54" t="s">
        <v>203</v>
      </c>
      <c r="P18" s="54" t="s">
        <v>204</v>
      </c>
      <c r="Q18" s="54" t="s">
        <v>205</v>
      </c>
      <c r="R18" s="54" t="s">
        <v>206</v>
      </c>
    </row>
    <row r="19" spans="1:21" ht="20.100000000000001" customHeight="1" x14ac:dyDescent="0.25">
      <c r="A19" s="17"/>
      <c r="D19" s="55">
        <f>'Input - Dairy'!$E$14</f>
        <v>550</v>
      </c>
      <c r="E19" s="55">
        <f>'Input - Dairy'!$F$14</f>
        <v>380</v>
      </c>
      <c r="F19" s="55">
        <f>'Input - Dairy'!$G$14</f>
        <v>155</v>
      </c>
      <c r="G19" s="55">
        <f>'Input - Dairy'!$H$14</f>
        <v>600</v>
      </c>
      <c r="H19" s="55">
        <f>'Input - Dairy'!$I$14</f>
        <v>225</v>
      </c>
      <c r="I19" s="2" t="s">
        <v>208</v>
      </c>
      <c r="N19" s="55">
        <f>'Input - Dairy'!$E$18</f>
        <v>550</v>
      </c>
      <c r="O19" s="55">
        <f>'Input - Dairy'!$F$18</f>
        <v>380</v>
      </c>
      <c r="P19" s="55">
        <f>'Input - Dairy'!$G$18</f>
        <v>155</v>
      </c>
      <c r="Q19" s="55">
        <f>'Input - Dairy'!$H$18</f>
        <v>600</v>
      </c>
      <c r="R19" s="55">
        <f>'Input - Dairy'!$I$18</f>
        <v>225</v>
      </c>
      <c r="S19" s="2" t="s">
        <v>208</v>
      </c>
    </row>
    <row r="20" spans="1:21" ht="20.100000000000001" customHeight="1" x14ac:dyDescent="0.25">
      <c r="A20" s="18" t="s">
        <v>4</v>
      </c>
    </row>
    <row r="21" spans="1:21" ht="20.100000000000001" customHeight="1" x14ac:dyDescent="0.25">
      <c r="A21" s="17" t="str">
        <f>HYPERLINK("#'Constants - Dairy'!A1", "Constants - Dairy")</f>
        <v>Constants - Dairy</v>
      </c>
      <c r="D21" s="104" t="s">
        <v>308</v>
      </c>
    </row>
    <row r="22" spans="1:21" ht="20.100000000000001" customHeight="1" x14ac:dyDescent="0.25">
      <c r="A22" s="17" t="str">
        <f>HYPERLINK("#'Constants - Livestock'!A1", "Constants - Livestock")</f>
        <v>Constants - Livestock</v>
      </c>
      <c r="D22" s="103" t="s">
        <v>309</v>
      </c>
    </row>
    <row r="23" spans="1:21" ht="20.100000000000001" customHeight="1" x14ac:dyDescent="0.25">
      <c r="A23" s="17" t="str">
        <f>HYPERLINK("#'Constants - Common'!A1", "Constants - Common")</f>
        <v>Constants - Common</v>
      </c>
      <c r="D23" s="54" t="s">
        <v>186</v>
      </c>
      <c r="E23" s="54" t="s">
        <v>203</v>
      </c>
      <c r="F23" s="54" t="s">
        <v>204</v>
      </c>
      <c r="G23" s="54" t="s">
        <v>205</v>
      </c>
      <c r="H23" s="54" t="s">
        <v>206</v>
      </c>
    </row>
    <row r="24" spans="1:21" ht="20.100000000000001" customHeight="1" x14ac:dyDescent="0.25">
      <c r="A24" s="17" t="str">
        <f>HYPERLINK("#'Acknowledgements'!A1", "Acknowledgements")</f>
        <v>Acknowledgements</v>
      </c>
      <c r="D24" s="55" cm="1">
        <f t="array" ref="D24">Table_SourceData_Dairy_WRj[Milking cows]</f>
        <v>590</v>
      </c>
      <c r="E24" s="55" cm="1">
        <f t="array" ref="E24">Table_SourceData_Dairy_WRj[Heifers &gt; 1]</f>
        <v>590</v>
      </c>
      <c r="F24" s="55" cm="1">
        <f t="array" ref="F24">Table_SourceData_Dairy_WRj[Heifers &lt; 1 (weaned)]</f>
        <v>590</v>
      </c>
      <c r="G24" s="55" cm="1">
        <f t="array" ref="G24">Table_SourceData_Dairy_WRj[Bulls &gt; 1]</f>
        <v>770</v>
      </c>
      <c r="H24" s="55" cm="1">
        <f t="array" ref="H24">Table_SourceData_Dairy_WRj[Bulls &lt; 1 (weaned)]</f>
        <v>770</v>
      </c>
      <c r="I24" s="2" t="s">
        <v>208</v>
      </c>
    </row>
    <row r="25" spans="1:21" ht="20.100000000000001" customHeight="1" x14ac:dyDescent="0.25"/>
    <row r="26" spans="1:21" ht="20.100000000000001" customHeight="1" x14ac:dyDescent="0.25">
      <c r="D26" s="104" t="s">
        <v>310</v>
      </c>
      <c r="N26" s="104" t="s">
        <v>310</v>
      </c>
    </row>
    <row r="27" spans="1:21" ht="20.100000000000001" customHeight="1" x14ac:dyDescent="0.25">
      <c r="D27" s="103" t="s">
        <v>311</v>
      </c>
      <c r="N27" s="103" t="s">
        <v>311</v>
      </c>
    </row>
    <row r="28" spans="1:21" ht="20.100000000000001" customHeight="1" x14ac:dyDescent="0.25">
      <c r="D28" s="54" t="s">
        <v>186</v>
      </c>
      <c r="E28" s="54" t="s">
        <v>203</v>
      </c>
      <c r="F28" s="54" t="s">
        <v>204</v>
      </c>
      <c r="G28" s="54" t="s">
        <v>205</v>
      </c>
      <c r="H28" s="54" t="s">
        <v>206</v>
      </c>
      <c r="N28" s="54" t="s">
        <v>186</v>
      </c>
      <c r="O28" s="54" t="s">
        <v>203</v>
      </c>
      <c r="P28" s="54" t="s">
        <v>204</v>
      </c>
      <c r="Q28" s="54" t="s">
        <v>205</v>
      </c>
      <c r="R28" s="54" t="s">
        <v>206</v>
      </c>
    </row>
    <row r="29" spans="1:21" ht="20.100000000000001" customHeight="1" x14ac:dyDescent="0.25">
      <c r="D29" s="55" cm="1">
        <f t="array" ref="D29">MMS_Dairy_N2ODirect_Equations.VEERG_4_3_1_3__8_RelativeSize(D19,D24)</f>
        <v>0.93220338983050843</v>
      </c>
      <c r="E29" s="55" cm="1">
        <f t="array" ref="E29">MMS_Dairy_N2ODirect_Equations.VEERG_4_3_1_3__8_RelativeSize(E19,E24)</f>
        <v>0.64406779661016944</v>
      </c>
      <c r="F29" s="55" cm="1">
        <f t="array" ref="F29">MMS_Dairy_N2ODirect_Equations.VEERG_4_3_1_3__8_RelativeSize(F19,F24)</f>
        <v>0.26271186440677968</v>
      </c>
      <c r="G29" s="55" cm="1">
        <f t="array" ref="G29">MMS_Dairy_N2ODirect_Equations.VEERG_4_3_1_3__8_RelativeSize(G19,G24)</f>
        <v>0.77922077922077926</v>
      </c>
      <c r="H29" s="55" cm="1">
        <f t="array" ref="H29">MMS_Dairy_N2ODirect_Equations.VEERG_4_3_1_3__8_RelativeSize(H19,H24)</f>
        <v>0.29220779220779219</v>
      </c>
      <c r="I29" s="2" t="str">
        <f>$E$11</f>
        <v>ratio</v>
      </c>
      <c r="N29" s="55" cm="1">
        <f t="array" ref="N29">MMS_Dairy_N2ODirect_Equations.VEERG_4_3_1_3__8_RelativeSize(N19,D24)</f>
        <v>0.93220338983050843</v>
      </c>
      <c r="O29" s="55" cm="1">
        <f t="array" ref="O29">MMS_Dairy_N2ODirect_Equations.VEERG_4_3_1_3__8_RelativeSize(O19,E24)</f>
        <v>0.64406779661016944</v>
      </c>
      <c r="P29" s="55" cm="1">
        <f t="array" ref="P29">MMS_Dairy_N2ODirect_Equations.VEERG_4_3_1_3__8_RelativeSize(P19,F24)</f>
        <v>0.26271186440677968</v>
      </c>
      <c r="Q29" s="55" cm="1">
        <f t="array" ref="Q29">MMS_Dairy_N2ODirect_Equations.VEERG_4_3_1_3__8_RelativeSize(Q19,G24)</f>
        <v>0.77922077922077926</v>
      </c>
      <c r="R29" s="55" cm="1">
        <f t="array" ref="R29">MMS_Dairy_N2ODirect_Equations.VEERG_4_3_1_3__8_RelativeSize(R19,H24)</f>
        <v>0.29220779220779219</v>
      </c>
      <c r="S29" s="2" t="str">
        <f>$E$11</f>
        <v>ratio</v>
      </c>
    </row>
    <row r="30" spans="1:21" ht="20.100000000000001" customHeight="1" x14ac:dyDescent="0.25"/>
    <row r="31" spans="1:21" ht="20.100000000000001" customHeight="1" x14ac:dyDescent="0.25"/>
    <row r="32" spans="1:21" ht="20.100000000000001" customHeight="1" x14ac:dyDescent="0.25">
      <c r="C32" s="48"/>
      <c r="D32" s="48"/>
      <c r="E32" s="48"/>
      <c r="F32" s="48"/>
      <c r="G32" s="48"/>
      <c r="H32" s="48"/>
      <c r="I32" s="48"/>
      <c r="J32" s="48"/>
      <c r="K32" s="48"/>
      <c r="M32" s="48"/>
      <c r="N32" s="48"/>
      <c r="O32" s="48"/>
      <c r="P32" s="48"/>
      <c r="Q32" s="48"/>
      <c r="R32" s="48"/>
      <c r="S32" s="48"/>
      <c r="T32" s="48"/>
      <c r="U32" s="48"/>
    </row>
    <row r="33" spans="4:14" ht="20.100000000000001" customHeight="1" x14ac:dyDescent="0.25">
      <c r="D33" s="6" t="str" cm="1">
        <f t="array" ref="D33">MMS_Dairy_N2ODirect_Equations.VEERG_4_3_1_3__7_IntakeRelativeToMaintenance_Title()</f>
        <v>Intake relative to maintenance</v>
      </c>
    </row>
    <row r="34" spans="4:14" ht="20.100000000000001" customHeight="1" x14ac:dyDescent="0.25">
      <c r="D34" s="5" t="str" cm="1">
        <f t="array" ref="D34">MMS_Dairy_N2ODirect_Equations.VEERG_4_3_1_3__7_IntakeRelativeToMaintenance_Source()</f>
        <v>VEERG 2026: 4.3.1.3, Equation (7)</v>
      </c>
    </row>
    <row r="35" spans="4:14" ht="20.100000000000001" customHeight="1" x14ac:dyDescent="0.25">
      <c r="D35" s="13" t="s">
        <v>28</v>
      </c>
      <c r="E35" s="13" t="str" cm="1">
        <f t="array" aca="1" ref="E35" ca="1">Common_InputFunctions.Utility_DisplayFunctionName(D65)</f>
        <v>=MMS_Dairy_N2ODirect_Equations.VEERG_4_3_1_3__7_IntakeRelativeToMaintenance</v>
      </c>
    </row>
    <row r="36" spans="4:14" ht="20.100000000000001" customHeight="1" x14ac:dyDescent="0.25"/>
    <row r="37" spans="4:14" ht="20.100000000000001" customHeight="1" x14ac:dyDescent="0.25">
      <c r="D37" s="6"/>
      <c r="F37" s="6"/>
    </row>
    <row r="38" spans="4:14" ht="20.100000000000001" customHeight="1" x14ac:dyDescent="0.25"/>
    <row r="39" spans="4:14" ht="20.100000000000001" customHeight="1" x14ac:dyDescent="0.25">
      <c r="D39" s="56" t="s">
        <v>31</v>
      </c>
      <c r="E39" s="1" t="str" cm="1">
        <f t="array" ref="E39">MMS_Dairy_N2ODirect_Equations.VEERG_4_3_1_3__7_IntakeRelativeToMaintenance_Variable()</f>
        <v>L_j</v>
      </c>
    </row>
    <row r="40" spans="4:14" ht="20.100000000000001" customHeight="1" x14ac:dyDescent="0.25">
      <c r="D40" s="56" t="s">
        <v>21</v>
      </c>
      <c r="E40" s="57" t="str" cm="1">
        <f t="array" ref="E40">MMS_Dairy_N2ODirect_Equations.VEERG_4_3_1_3__7_IntakeRelativeToMaintenance_Unit()</f>
        <v>ratio</v>
      </c>
    </row>
    <row r="41" spans="4:14" ht="20.100000000000001" customHeight="1" x14ac:dyDescent="0.25"/>
    <row r="42" spans="4:14" ht="20.100000000000001" customHeight="1" x14ac:dyDescent="0.25">
      <c r="D42" s="60" t="str" cm="1">
        <f t="array" ref="D42:E45">MMS_Dairy_N2ODirect_Equations.VEERG_4_3_1_3__7_IntakeRelativeToMaintenance_Arguments()</f>
        <v>I_j</v>
      </c>
      <c r="E42" s="61" t="str">
        <v>dry matter intake (kgDM/head/day)</v>
      </c>
      <c r="F42" s="62"/>
      <c r="G42" s="60" t="str">
        <f>"See " &amp; D47</f>
        <v>See M1_Table_I_j</v>
      </c>
    </row>
    <row r="43" spans="4:14" ht="20.100000000000001" customHeight="1" x14ac:dyDescent="0.25">
      <c r="D43" s="60" t="str">
        <v>W_j</v>
      </c>
      <c r="E43" s="61" t="str">
        <v>liveweight (kg)</v>
      </c>
      <c r="F43" s="62"/>
      <c r="G43" s="60" t="str">
        <f>"See " &amp; D16</f>
        <v>See M1_Table_W_j</v>
      </c>
    </row>
    <row r="44" spans="4:14" ht="20.100000000000001" customHeight="1" x14ac:dyDescent="0.25">
      <c r="D44" s="60" t="str">
        <v>MR_j</v>
      </c>
      <c r="E44" s="61" t="str">
        <v>increase in metabolic rate when producing milk</v>
      </c>
      <c r="F44" s="62"/>
      <c r="G44" s="60" t="str">
        <f>"See " &amp; D52</f>
        <v>See Table_MR_j</v>
      </c>
    </row>
    <row r="45" spans="4:14" ht="20.100000000000001" customHeight="1" x14ac:dyDescent="0.25">
      <c r="D45" s="60" t="str">
        <v>MI_j</v>
      </c>
      <c r="E45" s="61" t="str">
        <v>additional intake required for milk production (kgDM/head/day)</v>
      </c>
      <c r="F45" s="62"/>
      <c r="G45" s="60" t="str">
        <f>"See " &amp; D57</f>
        <v>See M1_Table_MI_j</v>
      </c>
    </row>
    <row r="46" spans="4:14" ht="20.100000000000001" customHeight="1" x14ac:dyDescent="0.25"/>
    <row r="47" spans="4:14" ht="20.100000000000001" customHeight="1" x14ac:dyDescent="0.25">
      <c r="D47" s="104" t="s">
        <v>116</v>
      </c>
      <c r="N47" s="104" t="s">
        <v>118</v>
      </c>
    </row>
    <row r="48" spans="4:14" ht="20.100000000000001" customHeight="1" x14ac:dyDescent="0.25">
      <c r="D48" s="103" t="s">
        <v>261</v>
      </c>
      <c r="N48" s="103" t="s">
        <v>260</v>
      </c>
    </row>
    <row r="49" spans="4:19" ht="20.100000000000001" customHeight="1" x14ac:dyDescent="0.25">
      <c r="D49" s="54" t="s">
        <v>186</v>
      </c>
      <c r="E49" s="54" t="s">
        <v>203</v>
      </c>
      <c r="F49" s="54" t="s">
        <v>204</v>
      </c>
      <c r="G49" s="54" t="s">
        <v>205</v>
      </c>
      <c r="H49" s="54" t="s">
        <v>206</v>
      </c>
      <c r="N49" s="54" t="s">
        <v>186</v>
      </c>
      <c r="O49" s="54" t="s">
        <v>203</v>
      </c>
      <c r="P49" s="54" t="s">
        <v>204</v>
      </c>
      <c r="Q49" s="54" t="s">
        <v>205</v>
      </c>
      <c r="R49" s="54" t="s">
        <v>206</v>
      </c>
    </row>
    <row r="50" spans="4:19" ht="20.100000000000001" customHeight="1" x14ac:dyDescent="0.25">
      <c r="D50" s="55">
        <f>'4.3.1.1-2 Methane'!D84</f>
        <v>9.4647127858085369</v>
      </c>
      <c r="E50" s="55">
        <f>'4.3.1.1-2 Methane'!E84</f>
        <v>7.4188685375999972</v>
      </c>
      <c r="F50" s="55">
        <f>'4.3.1.1-2 Methane'!F84</f>
        <v>4.0231734662249998</v>
      </c>
      <c r="G50" s="55">
        <f>'4.3.1.1-2 Methane'!G84</f>
        <v>9.0270202499999979</v>
      </c>
      <c r="H50" s="55">
        <f>'4.3.1.1-2 Methane'!H84</f>
        <v>5.4143472656250013</v>
      </c>
      <c r="I50" s="2" t="str">
        <f>'4.3.1.1-2 Methane'!I84</f>
        <v>kg DM/head/day</v>
      </c>
      <c r="N50" s="55">
        <f>'4.3.1.1-2 Methane'!O84</f>
        <v>9.4647127858085369</v>
      </c>
      <c r="O50" s="55">
        <f>'4.3.1.1-2 Methane'!P84</f>
        <v>7.4188685375999972</v>
      </c>
      <c r="P50" s="55">
        <f>'4.3.1.1-2 Methane'!Q84</f>
        <v>4.0231734662249998</v>
      </c>
      <c r="Q50" s="55">
        <f>'4.3.1.1-2 Methane'!R84</f>
        <v>9.0270202499999979</v>
      </c>
      <c r="R50" s="55">
        <f>'4.3.1.1-2 Methane'!S84</f>
        <v>5.4143472656250013</v>
      </c>
      <c r="S50" s="2" t="str">
        <f>'4.3.1.1-2 Methane'!T84</f>
        <v>kg DM/head/day</v>
      </c>
    </row>
    <row r="51" spans="4:19" ht="20.100000000000001" customHeight="1" x14ac:dyDescent="0.25"/>
    <row r="52" spans="4:19" ht="20.100000000000001" customHeight="1" x14ac:dyDescent="0.25">
      <c r="D52" s="104" t="s">
        <v>246</v>
      </c>
    </row>
    <row r="53" spans="4:19" ht="20.100000000000001" customHeight="1" x14ac:dyDescent="0.25">
      <c r="D53" s="103" t="s">
        <v>247</v>
      </c>
    </row>
    <row r="54" spans="4:19" ht="20.100000000000001" customHeight="1" x14ac:dyDescent="0.25">
      <c r="D54" s="54" t="s">
        <v>186</v>
      </c>
      <c r="E54" s="54" t="s">
        <v>203</v>
      </c>
      <c r="F54" s="54" t="s">
        <v>204</v>
      </c>
      <c r="G54" s="54" t="s">
        <v>205</v>
      </c>
      <c r="H54" s="54" t="s">
        <v>206</v>
      </c>
    </row>
    <row r="55" spans="4:19" ht="20.100000000000001" customHeight="1" x14ac:dyDescent="0.25">
      <c r="D55" s="55">
        <f>'Constants - Dairy'!$E$108</f>
        <v>1.1000000000000001</v>
      </c>
      <c r="E55" s="55">
        <f>'Constants - Dairy'!$E$109</f>
        <v>1</v>
      </c>
      <c r="F55" s="55">
        <f>'Constants - Dairy'!$E$109</f>
        <v>1</v>
      </c>
      <c r="G55" s="55">
        <f>'Constants - Dairy'!$E$109</f>
        <v>1</v>
      </c>
      <c r="H55" s="55">
        <f>'Constants - Dairy'!$E$109</f>
        <v>1</v>
      </c>
      <c r="I55" s="2" t="s">
        <v>101</v>
      </c>
    </row>
    <row r="56" spans="4:19" ht="20.100000000000001" customHeight="1" x14ac:dyDescent="0.25"/>
    <row r="57" spans="4:19" ht="20.100000000000001" customHeight="1" x14ac:dyDescent="0.25">
      <c r="D57" s="104" t="s">
        <v>253</v>
      </c>
    </row>
    <row r="58" spans="4:19" ht="20.100000000000001" customHeight="1" x14ac:dyDescent="0.25">
      <c r="D58" s="103" t="s">
        <v>254</v>
      </c>
    </row>
    <row r="59" spans="4:19" ht="20.100000000000001" customHeight="1" x14ac:dyDescent="0.25">
      <c r="D59" s="54" t="s">
        <v>186</v>
      </c>
      <c r="E59" s="54" t="s">
        <v>203</v>
      </c>
      <c r="F59" s="54" t="s">
        <v>204</v>
      </c>
      <c r="G59" s="54" t="s">
        <v>205</v>
      </c>
      <c r="H59" s="54" t="s">
        <v>206</v>
      </c>
    </row>
    <row r="60" spans="4:19" ht="20.100000000000001" customHeight="1" x14ac:dyDescent="0.25">
      <c r="D60" s="55">
        <f>'4.3.1.1-2 Methane'!D49</f>
        <v>0.21026726504853488</v>
      </c>
      <c r="E60" s="55">
        <f>'4.3.1.1-2 Methane'!E49</f>
        <v>0</v>
      </c>
      <c r="F60" s="55">
        <f>'4.3.1.1-2 Methane'!F49</f>
        <v>0</v>
      </c>
      <c r="G60" s="55">
        <f>'4.3.1.1-2 Methane'!G49</f>
        <v>0</v>
      </c>
      <c r="H60" s="55">
        <f>'4.3.1.1-2 Methane'!H49</f>
        <v>0</v>
      </c>
      <c r="I60" s="2" t="str">
        <f>'4.3.1.1-2 Methane'!I49</f>
        <v>kg DM/head/day</v>
      </c>
    </row>
    <row r="61" spans="4:19" ht="20.100000000000001" customHeight="1" x14ac:dyDescent="0.25"/>
    <row r="62" spans="4:19" ht="20.100000000000001" customHeight="1" x14ac:dyDescent="0.25">
      <c r="D62" s="104" t="s">
        <v>312</v>
      </c>
      <c r="N62" s="104" t="s">
        <v>314</v>
      </c>
    </row>
    <row r="63" spans="4:19" ht="20.100000000000001" customHeight="1" x14ac:dyDescent="0.25">
      <c r="D63" s="103" t="s">
        <v>313</v>
      </c>
      <c r="N63" s="103" t="s">
        <v>315</v>
      </c>
    </row>
    <row r="64" spans="4:19" ht="20.100000000000001" customHeight="1" x14ac:dyDescent="0.25">
      <c r="D64" s="54" t="s">
        <v>186</v>
      </c>
      <c r="E64" s="54" t="s">
        <v>203</v>
      </c>
      <c r="F64" s="54" t="s">
        <v>204</v>
      </c>
      <c r="G64" s="54" t="s">
        <v>205</v>
      </c>
      <c r="H64" s="54" t="s">
        <v>206</v>
      </c>
      <c r="N64" s="54" t="s">
        <v>186</v>
      </c>
      <c r="O64" s="54" t="s">
        <v>203</v>
      </c>
      <c r="P64" s="54" t="s">
        <v>204</v>
      </c>
      <c r="Q64" s="54" t="s">
        <v>205</v>
      </c>
      <c r="R64" s="54" t="s">
        <v>206</v>
      </c>
    </row>
    <row r="65" spans="3:21" ht="20.100000000000001" customHeight="1" x14ac:dyDescent="0.25">
      <c r="D65" s="55" cm="1">
        <f t="array" ref="D65">MMS_Dairy_N2ODirect_Equations.VEERG_4_3_1_3__7_IntakeRelativeToMaintenance(D50,D19,D55,D60)</f>
        <v>1.0034066233551036</v>
      </c>
      <c r="E65" s="55" cm="1">
        <f t="array" ref="E65">MMS_Dairy_N2ODirect_Equations.VEERG_4_3_1_3__7_IntakeRelativeToMaintenance(E50,E19,E55,E60)</f>
        <v>1.1546862260954116</v>
      </c>
      <c r="F65" s="55" cm="1">
        <f t="array" ref="F65">MMS_Dairy_N2ODirect_Equations.VEERG_4_3_1_3__7_IntakeRelativeToMaintenance(F50,F19,F55,F60)</f>
        <v>1.206300296845944</v>
      </c>
      <c r="G65" s="55" cm="1">
        <f t="array" ref="G65">MMS_Dairy_N2ODirect_Equations.VEERG_4_3_1_3__7_IntakeRelativeToMaintenance(G50,G19,G55,G60)</f>
        <v>1.0213029780639273</v>
      </c>
      <c r="H65" s="55" cm="1">
        <f t="array" ref="H65">MMS_Dairy_N2ODirect_Equations.VEERG_4_3_1_3__7_IntakeRelativeToMaintenance(H50,H19,H55,H60)</f>
        <v>1.2576570545672616</v>
      </c>
      <c r="I65" s="2" t="str">
        <f>$E$40</f>
        <v>ratio</v>
      </c>
      <c r="N65" s="55" cm="1">
        <f t="array" ref="N65">MMS_Dairy_N2ODirect_Equations.VEERG_4_3_1_3__7_IntakeRelativeToMaintenance(N50,N19,D55,D60)</f>
        <v>1.0034066233551036</v>
      </c>
      <c r="O65" s="55" cm="1">
        <f t="array" ref="O65">MMS_Dairy_N2ODirect_Equations.VEERG_4_3_1_3__7_IntakeRelativeToMaintenance(O50,O19,E55,E60)</f>
        <v>1.1546862260954116</v>
      </c>
      <c r="P65" s="55" cm="1">
        <f t="array" ref="P65">MMS_Dairy_N2ODirect_Equations.VEERG_4_3_1_3__7_IntakeRelativeToMaintenance(P50,P19,F55,F60)</f>
        <v>1.206300296845944</v>
      </c>
      <c r="Q65" s="55" cm="1">
        <f t="array" ref="Q65">MMS_Dairy_N2ODirect_Equations.VEERG_4_3_1_3__7_IntakeRelativeToMaintenance(Q50,Q19,G55,G60)</f>
        <v>1.0213029780639273</v>
      </c>
      <c r="R65" s="55" cm="1">
        <f t="array" ref="R65">MMS_Dairy_N2ODirect_Equations.VEERG_4_3_1_3__7_IntakeRelativeToMaintenance(R50,R19,H55,H60)</f>
        <v>1.2576570545672616</v>
      </c>
      <c r="S65" s="2" t="str">
        <f>$E$40</f>
        <v>ratio</v>
      </c>
    </row>
    <row r="66" spans="3:21" ht="20.100000000000001" customHeight="1" x14ac:dyDescent="0.25"/>
    <row r="67" spans="3:21" ht="20.100000000000001" customHeight="1" x14ac:dyDescent="0.25"/>
    <row r="68" spans="3:21" ht="20.100000000000001" customHeight="1" x14ac:dyDescent="0.25">
      <c r="C68" s="48"/>
      <c r="D68" s="48"/>
      <c r="E68" s="48"/>
      <c r="F68" s="48"/>
      <c r="G68" s="48"/>
      <c r="H68" s="48"/>
      <c r="I68" s="48"/>
      <c r="J68" s="48"/>
      <c r="K68" s="48"/>
      <c r="M68" s="48"/>
      <c r="N68" s="48"/>
      <c r="O68" s="48"/>
      <c r="P68" s="48"/>
      <c r="Q68" s="48"/>
      <c r="R68" s="48"/>
      <c r="S68" s="48"/>
      <c r="T68" s="48"/>
      <c r="U68" s="48"/>
    </row>
    <row r="69" spans="3:21" ht="20.100000000000001" customHeight="1" x14ac:dyDescent="0.25">
      <c r="D69" s="6" t="str" cm="1">
        <f t="array" ref="D69">MMS_Dairy_N2ODirect_Equations.VEERG_4_3_1_3__6_NitrogenRetainedByBody_Title()</f>
        <v>Amount of nitrogen retained by the body</v>
      </c>
    </row>
    <row r="70" spans="3:21" ht="20.100000000000001" customHeight="1" x14ac:dyDescent="0.25">
      <c r="D70" s="5" t="str" cm="1">
        <f t="array" ref="D70">MMS_Dairy_N2ODirect_Equations.VEERG_4_3_1_3__6_NitrogenRetainedByBody_Source()</f>
        <v>VEERG 2026: 4.3.1.3, Equation (6)</v>
      </c>
    </row>
    <row r="71" spans="3:21" ht="20.100000000000001" customHeight="1" x14ac:dyDescent="0.25">
      <c r="D71" s="13" t="s">
        <v>28</v>
      </c>
      <c r="E71" s="13" t="str" cm="1">
        <f t="array" aca="1" ref="E71" ca="1">Common_InputFunctions.Utility_DisplayFunctionName(D96)</f>
        <v>=MMS_Dairy_N2ODirect_Equations.VEERG_4_3_1_3__6_NitrogenRetainedByBody</v>
      </c>
    </row>
    <row r="72" spans="3:21" ht="20.100000000000001" customHeight="1" x14ac:dyDescent="0.25"/>
    <row r="73" spans="3:21" ht="20.100000000000001" customHeight="1" x14ac:dyDescent="0.25"/>
    <row r="74" spans="3:21" ht="20.100000000000001" customHeight="1" x14ac:dyDescent="0.25"/>
    <row r="75" spans="3:21" ht="20.100000000000001" customHeight="1" x14ac:dyDescent="0.25">
      <c r="D75" s="56" t="s">
        <v>31</v>
      </c>
      <c r="E75" s="1" t="str" cm="1">
        <f t="array" ref="E75">MMS_Dairy_N2ODirect_Equations.VEERG_4_3_1_3__6_NitrogenRetainedByBody_Variable()</f>
        <v>NR_j</v>
      </c>
    </row>
    <row r="76" spans="3:21" ht="20.100000000000001" customHeight="1" x14ac:dyDescent="0.25">
      <c r="D76" s="56" t="s">
        <v>21</v>
      </c>
      <c r="E76" s="57" t="str" cm="1">
        <f t="array" ref="E76">MMS_Dairy_N2ODirect_Equations.VEERG_4_3_1_3__6_NitrogenRetainedByBody_Unit()</f>
        <v>kg N/head/day</v>
      </c>
    </row>
    <row r="77" spans="3:21" ht="20.100000000000001" customHeight="1" x14ac:dyDescent="0.25"/>
    <row r="78" spans="3:21" ht="20.100000000000001" customHeight="1" x14ac:dyDescent="0.25">
      <c r="D78" s="115" t="str" cm="1">
        <f t="array" ref="D78:E81">MMS_Dairy_N2ODirect_Equations.VEERG_4_3_1_3__6_NitrogenRetainedByBody_Arguments()</f>
        <v>MP_j</v>
      </c>
      <c r="E78" s="117" t="str">
        <v>milk production (L/head/day)</v>
      </c>
      <c r="F78" s="116"/>
      <c r="G78" s="115" t="str">
        <f>"See " &amp; D83</f>
        <v>See Table_MP_j</v>
      </c>
    </row>
    <row r="79" spans="3:21" ht="20.100000000000001" customHeight="1" x14ac:dyDescent="0.25">
      <c r="D79" s="115" t="str">
        <v>L_j</v>
      </c>
      <c r="E79" s="117" t="str">
        <v>intake relative to maintenance</v>
      </c>
      <c r="F79" s="116"/>
      <c r="G79" s="115" t="str">
        <f>"See " &amp; D62</f>
        <v>See M1_Table_L_j</v>
      </c>
    </row>
    <row r="80" spans="3:21" ht="20.100000000000001" customHeight="1" x14ac:dyDescent="0.25">
      <c r="D80" s="115" t="str">
        <v>Z_j</v>
      </c>
      <c r="E80" s="117" t="str">
        <v>relative size</v>
      </c>
      <c r="F80" s="116"/>
      <c r="G80" s="115" t="str">
        <f>"See " &amp; D26</f>
        <v>See M1_Table_Z_j</v>
      </c>
    </row>
    <row r="81" spans="4:19" ht="20.100000000000001" customHeight="1" x14ac:dyDescent="0.25">
      <c r="D81" s="115" t="str">
        <v>LWG_j</v>
      </c>
      <c r="E81" s="117" t="str">
        <v>liveweight gain (kg/day)</v>
      </c>
      <c r="F81" s="116"/>
      <c r="G81" s="115" t="str">
        <f>"See " &amp; D88</f>
        <v>See M1_Table_LWG_j</v>
      </c>
    </row>
    <row r="82" spans="4:19" ht="20.100000000000001" customHeight="1" x14ac:dyDescent="0.25"/>
    <row r="83" spans="4:19" ht="20.100000000000001" customHeight="1" x14ac:dyDescent="0.25">
      <c r="D83" s="104" t="s">
        <v>258</v>
      </c>
    </row>
    <row r="84" spans="4:19" ht="20.100000000000001" customHeight="1" x14ac:dyDescent="0.25">
      <c r="D84" s="103" t="s">
        <v>210</v>
      </c>
    </row>
    <row r="85" spans="4:19" ht="20.100000000000001" customHeight="1" x14ac:dyDescent="0.25">
      <c r="D85" s="54" t="s">
        <v>186</v>
      </c>
      <c r="E85" s="54" t="s">
        <v>203</v>
      </c>
      <c r="F85" s="54" t="s">
        <v>204</v>
      </c>
      <c r="G85" s="54" t="s">
        <v>205</v>
      </c>
      <c r="H85" s="54" t="s">
        <v>206</v>
      </c>
    </row>
    <row r="86" spans="4:19" ht="20.100000000000001" customHeight="1" x14ac:dyDescent="0.25">
      <c r="D86" s="55">
        <f>'Input - Dairy'!$E$46</f>
        <v>44</v>
      </c>
      <c r="E86" s="55">
        <v>0</v>
      </c>
      <c r="F86" s="55">
        <v>0</v>
      </c>
      <c r="G86" s="55">
        <v>0</v>
      </c>
      <c r="H86" s="55">
        <v>0</v>
      </c>
      <c r="I86" s="2" t="s">
        <v>255</v>
      </c>
    </row>
    <row r="87" spans="4:19" ht="20.100000000000001" customHeight="1" x14ac:dyDescent="0.25"/>
    <row r="88" spans="4:19" ht="20.100000000000001" customHeight="1" x14ac:dyDescent="0.25">
      <c r="D88" s="104" t="s">
        <v>242</v>
      </c>
      <c r="N88" s="104" t="s">
        <v>244</v>
      </c>
    </row>
    <row r="89" spans="4:19" ht="20.100000000000001" customHeight="1" x14ac:dyDescent="0.25">
      <c r="D89" s="103" t="s">
        <v>243</v>
      </c>
      <c r="N89" s="103" t="s">
        <v>245</v>
      </c>
    </row>
    <row r="90" spans="4:19" ht="20.100000000000001" customHeight="1" x14ac:dyDescent="0.25">
      <c r="D90" s="54" t="s">
        <v>186</v>
      </c>
      <c r="E90" s="54" t="s">
        <v>203</v>
      </c>
      <c r="F90" s="54" t="s">
        <v>204</v>
      </c>
      <c r="G90" s="54" t="s">
        <v>205</v>
      </c>
      <c r="H90" s="54" t="s">
        <v>206</v>
      </c>
      <c r="N90" s="54" t="s">
        <v>186</v>
      </c>
      <c r="O90" s="54" t="s">
        <v>203</v>
      </c>
      <c r="P90" s="54" t="s">
        <v>204</v>
      </c>
      <c r="Q90" s="54" t="s">
        <v>205</v>
      </c>
      <c r="R90" s="54" t="s">
        <v>206</v>
      </c>
    </row>
    <row r="91" spans="4:19" ht="20.100000000000001" customHeight="1" x14ac:dyDescent="0.25">
      <c r="D91" s="55">
        <f>'Input - Dairy'!$E$15</f>
        <v>1.6E-2</v>
      </c>
      <c r="E91" s="55">
        <f>'Input - Dairy'!$F$15</f>
        <v>0.6</v>
      </c>
      <c r="F91" s="55">
        <f>'Input - Dairy'!$G$15</f>
        <v>0.56999999999999995</v>
      </c>
      <c r="G91" s="55">
        <f>'Input - Dairy'!$H$15</f>
        <v>0.1</v>
      </c>
      <c r="H91" s="55">
        <f>'Input - Dairy'!$I$15</f>
        <v>0.8</v>
      </c>
      <c r="I91" s="2" t="s">
        <v>209</v>
      </c>
      <c r="N91" s="55">
        <f>'Input - Dairy'!$E$19</f>
        <v>1.6E-2</v>
      </c>
      <c r="O91" s="55">
        <f>'Input - Dairy'!$F$19</f>
        <v>0.6</v>
      </c>
      <c r="P91" s="55">
        <f>'Input - Dairy'!$G$19</f>
        <v>0.56999999999999995</v>
      </c>
      <c r="Q91" s="55">
        <f>'Input - Dairy'!$H$19</f>
        <v>0.1</v>
      </c>
      <c r="R91" s="55">
        <f>'Input - Dairy'!$I$19</f>
        <v>0.8</v>
      </c>
      <c r="S91" s="2" t="s">
        <v>209</v>
      </c>
    </row>
    <row r="92" spans="4:19" ht="20.100000000000001" customHeight="1" x14ac:dyDescent="0.25"/>
    <row r="93" spans="4:19" ht="20.100000000000001" customHeight="1" x14ac:dyDescent="0.25">
      <c r="D93" s="104" t="s">
        <v>119</v>
      </c>
      <c r="N93" s="104" t="s">
        <v>120</v>
      </c>
    </row>
    <row r="94" spans="4:19" ht="20.100000000000001" customHeight="1" x14ac:dyDescent="0.25">
      <c r="D94" s="103" t="s">
        <v>316</v>
      </c>
      <c r="N94" s="103" t="s">
        <v>317</v>
      </c>
    </row>
    <row r="95" spans="4:19" ht="20.100000000000001" customHeight="1" x14ac:dyDescent="0.25">
      <c r="D95" s="54" t="s">
        <v>186</v>
      </c>
      <c r="E95" s="54" t="s">
        <v>203</v>
      </c>
      <c r="F95" s="54" t="s">
        <v>204</v>
      </c>
      <c r="G95" s="54" t="s">
        <v>205</v>
      </c>
      <c r="H95" s="54" t="s">
        <v>206</v>
      </c>
      <c r="N95" s="54" t="s">
        <v>186</v>
      </c>
      <c r="O95" s="54" t="s">
        <v>203</v>
      </c>
      <c r="P95" s="54" t="s">
        <v>204</v>
      </c>
      <c r="Q95" s="54" t="s">
        <v>205</v>
      </c>
      <c r="R95" s="54" t="s">
        <v>206</v>
      </c>
    </row>
    <row r="96" spans="4:19" ht="20.100000000000001" customHeight="1" x14ac:dyDescent="0.25">
      <c r="D96" s="55" cm="1">
        <f t="array" ref="D96">MMS_Dairy_N2ODirect_Equations.VEERG_4_3_1_3__6_NitrogenRetainedByBody(D86,D65,D29,D91)</f>
        <v>3.6552968231573939E-2</v>
      </c>
      <c r="E96" s="55" cm="1">
        <f t="array" ref="E96">MMS_Dairy_N2ODirect_Equations.VEERG_4_3_1_3__6_NitrogenRetainedByBody(E86,E65,E29,E91)</f>
        <v>8.7932411900846184E-3</v>
      </c>
      <c r="F96" s="55" cm="1">
        <f t="array" ref="F96">MMS_Dairy_N2ODirect_Equations.VEERG_4_3_1_3__6_NitrogenRetainedByBody(F86,F65,F29,F91)</f>
        <v>1.4575548166167214E-2</v>
      </c>
      <c r="G96" s="55" cm="1">
        <f t="array" ref="G96">MMS_Dairy_N2ODirect_Equations.VEERG_4_3_1_3__6_NitrogenRetainedByBody(G86,G65,G29,G91)</f>
        <v>1.2626203146474683E-3</v>
      </c>
      <c r="H96" s="55" cm="1">
        <f t="array" ref="H96">MMS_Dairy_N2ODirect_Equations.VEERG_4_3_1_3__6_NitrogenRetainedByBody(H86,H65,H29,H91)</f>
        <v>1.9757354894894087E-2</v>
      </c>
      <c r="I96" s="2" t="str">
        <f>$E$76</f>
        <v>kg N/head/day</v>
      </c>
      <c r="N96" s="55" cm="1">
        <f t="array" ref="N96">MMS_Dairy_N2ODirect_Equations.VEERG_4_3_1_3__6_NitrogenRetainedByBody(D86,N65,N29,N91)</f>
        <v>3.6552968231573939E-2</v>
      </c>
      <c r="O96" s="55" cm="1">
        <f t="array" ref="O96">MMS_Dairy_N2ODirect_Equations.VEERG_4_3_1_3__6_NitrogenRetainedByBody(E86,O65,O29,O91)</f>
        <v>8.7932411900846184E-3</v>
      </c>
      <c r="P96" s="55" cm="1">
        <f t="array" ref="P96">MMS_Dairy_N2ODirect_Equations.VEERG_4_3_1_3__6_NitrogenRetainedByBody(F86,P65,P29,P91)</f>
        <v>1.4575548166167214E-2</v>
      </c>
      <c r="Q96" s="55" cm="1">
        <f t="array" ref="Q96">MMS_Dairy_N2ODirect_Equations.VEERG_4_3_1_3__6_NitrogenRetainedByBody(G86,Q65,Q29,Q91)</f>
        <v>1.2626203146474683E-3</v>
      </c>
      <c r="R96" s="55" cm="1">
        <f t="array" ref="R96">MMS_Dairy_N2ODirect_Equations.VEERG_4_3_1_3__6_NitrogenRetainedByBody(H86,R65,R29,R91)</f>
        <v>1.9757354894894087E-2</v>
      </c>
      <c r="S96" s="2" t="str">
        <f>$E$76</f>
        <v>kg N/head/day</v>
      </c>
    </row>
    <row r="97" spans="3:21" ht="20.100000000000001" customHeight="1" x14ac:dyDescent="0.25"/>
    <row r="98" spans="3:21" ht="20.100000000000001" customHeight="1" x14ac:dyDescent="0.25"/>
    <row r="99" spans="3:21" ht="20.100000000000001" customHeight="1" x14ac:dyDescent="0.25">
      <c r="C99" s="48"/>
      <c r="D99" s="48"/>
      <c r="E99" s="48"/>
      <c r="F99" s="48"/>
      <c r="G99" s="48"/>
      <c r="H99" s="48"/>
      <c r="I99" s="48"/>
      <c r="J99" s="48"/>
      <c r="K99" s="48"/>
      <c r="M99" s="48"/>
      <c r="N99" s="48"/>
      <c r="O99" s="48"/>
      <c r="P99" s="48"/>
      <c r="Q99" s="48"/>
      <c r="R99" s="48"/>
      <c r="S99" s="48"/>
      <c r="T99" s="48"/>
      <c r="U99" s="48"/>
    </row>
    <row r="100" spans="3:21" ht="20.100000000000001" customHeight="1" x14ac:dyDescent="0.25">
      <c r="D100" s="6" t="str" cm="1">
        <f t="array" ref="D100">MMS_Dairy_N2ODirect_Equations.VEERG_4_3_1_3__5_CrudeProteinIntakeOfDairyCattle_Title()</f>
        <v>Crude protein intake of dairy cattle</v>
      </c>
    </row>
    <row r="101" spans="3:21" ht="20.100000000000001" customHeight="1" x14ac:dyDescent="0.25">
      <c r="D101" s="5" t="str" cm="1">
        <f t="array" ref="D101">MMS_Dairy_N2ODirect_Equations.VEERG_4_3_1_3__5_CrudeProteinIntakeOfDairyCattle_Source()</f>
        <v>VEERG 2026: 4.3.1.3, Equation (5)</v>
      </c>
    </row>
    <row r="102" spans="3:21" ht="20.100000000000001" customHeight="1" x14ac:dyDescent="0.25">
      <c r="D102" s="13" t="s">
        <v>28</v>
      </c>
      <c r="E102" s="13" t="str" cm="1">
        <f t="array" aca="1" ref="E102" ca="1">Common_InputFunctions.Utility_DisplayFunctionName(D119)</f>
        <v>=MMS_Dairy_N2ODirect_Equations.VEERG_4_3_1_3__5_CrudeProteinIntakeOfDairyCattle</v>
      </c>
    </row>
    <row r="103" spans="3:21" ht="20.100000000000001" customHeight="1" x14ac:dyDescent="0.25"/>
    <row r="104" spans="3:21" ht="20.100000000000001" customHeight="1" x14ac:dyDescent="0.25">
      <c r="D104" s="6"/>
    </row>
    <row r="105" spans="3:21" ht="20.100000000000001" customHeight="1" x14ac:dyDescent="0.25">
      <c r="D105" s="56" t="s">
        <v>31</v>
      </c>
      <c r="E105" s="1" t="str" cm="1">
        <f t="array" ref="E105">MMS_Dairy_N2ODirect_Equations.VEERG_4_3_1_3__5_CrudeProteinIntakeOfDairyCattle_Variable()</f>
        <v>CPI_j</v>
      </c>
    </row>
    <row r="106" spans="3:21" ht="20.100000000000001" customHeight="1" x14ac:dyDescent="0.25">
      <c r="D106" s="56" t="s">
        <v>21</v>
      </c>
      <c r="E106" s="57" t="str" cm="1">
        <f t="array" ref="E106">MMS_Dairy_N2ODirect_Equations.VEERG_4_3_1_3__5_CrudeProteinIntakeOfDairyCattle_Unit()</f>
        <v>kg/head/day</v>
      </c>
    </row>
    <row r="107" spans="3:21" ht="20.100000000000001" customHeight="1" x14ac:dyDescent="0.25"/>
    <row r="108" spans="3:21" ht="20.100000000000001" customHeight="1" x14ac:dyDescent="0.25">
      <c r="D108" s="60" t="str" cm="1">
        <f t="array" ref="D108:E109">MMS_Dairy_N2ODirect_Equations.VEERG_4_3_1_3__5_CrudeProteinIntakeOfDairyCattle_Arguments()</f>
        <v>I_j</v>
      </c>
      <c r="E108" s="61" t="str">
        <v>dry matter intake (kgDM/head/day)</v>
      </c>
      <c r="F108" s="62"/>
      <c r="G108" s="60" t="str">
        <f>"See " &amp; D47</f>
        <v>See M1_Table_I_j</v>
      </c>
    </row>
    <row r="109" spans="3:21" ht="20.100000000000001" customHeight="1" x14ac:dyDescent="0.25">
      <c r="D109" s="60" t="str">
        <v>CP_j</v>
      </c>
      <c r="E109" s="61" t="str">
        <v>crude protein content of feed intake (fraction)</v>
      </c>
      <c r="F109" s="62"/>
      <c r="G109" s="60" t="str">
        <f>"See " &amp; D111</f>
        <v>See M1_Table_CP_j</v>
      </c>
    </row>
    <row r="110" spans="3:21" ht="20.100000000000001" customHeight="1" x14ac:dyDescent="0.25"/>
    <row r="111" spans="3:21" ht="20.100000000000001" customHeight="1" x14ac:dyDescent="0.25">
      <c r="D111" s="104" t="s">
        <v>117</v>
      </c>
      <c r="N111" s="104" t="s">
        <v>117</v>
      </c>
    </row>
    <row r="112" spans="3:21" ht="20.100000000000001" customHeight="1" x14ac:dyDescent="0.25">
      <c r="D112" s="103" t="s">
        <v>318</v>
      </c>
      <c r="N112" s="103" t="s">
        <v>318</v>
      </c>
    </row>
    <row r="113" spans="3:21" ht="20.100000000000001" customHeight="1" x14ac:dyDescent="0.25">
      <c r="D113" s="54" t="s">
        <v>186</v>
      </c>
      <c r="E113" s="54" t="s">
        <v>203</v>
      </c>
      <c r="F113" s="54" t="s">
        <v>204</v>
      </c>
      <c r="G113" s="54" t="s">
        <v>205</v>
      </c>
      <c r="H113" s="54" t="s">
        <v>206</v>
      </c>
      <c r="N113" s="54" t="s">
        <v>186</v>
      </c>
      <c r="O113" s="54" t="s">
        <v>203</v>
      </c>
      <c r="P113" s="54" t="s">
        <v>204</v>
      </c>
      <c r="Q113" s="54" t="s">
        <v>205</v>
      </c>
      <c r="R113" s="54" t="s">
        <v>206</v>
      </c>
    </row>
    <row r="114" spans="3:21" ht="20.100000000000001" customHeight="1" x14ac:dyDescent="0.25">
      <c r="D114" s="55">
        <f>'Input - Dairy'!E37</f>
        <v>0.2</v>
      </c>
      <c r="E114" s="55">
        <f>'Input - Dairy'!F37</f>
        <v>0.2</v>
      </c>
      <c r="F114" s="55">
        <f>'Input - Dairy'!G37</f>
        <v>0.2</v>
      </c>
      <c r="G114" s="55">
        <f>'Input - Dairy'!H37</f>
        <v>0.2</v>
      </c>
      <c r="H114" s="55">
        <f>'Input - Dairy'!I37</f>
        <v>0.2</v>
      </c>
      <c r="I114" s="2" t="s">
        <v>101</v>
      </c>
      <c r="N114" s="55">
        <f>'Input - Dairy'!E42</f>
        <v>0.2</v>
      </c>
      <c r="O114" s="55">
        <f>'Input - Dairy'!F42</f>
        <v>0.2</v>
      </c>
      <c r="P114" s="55">
        <f>'Input - Dairy'!G42</f>
        <v>0.2</v>
      </c>
      <c r="Q114" s="55">
        <f>'Input - Dairy'!H42</f>
        <v>0.2</v>
      </c>
      <c r="R114" s="55">
        <f>'Input - Dairy'!I42</f>
        <v>0.2</v>
      </c>
      <c r="S114" s="2" t="s">
        <v>101</v>
      </c>
    </row>
    <row r="115" spans="3:21" ht="20.100000000000001" customHeight="1" x14ac:dyDescent="0.25"/>
    <row r="116" spans="3:21" ht="20.100000000000001" customHeight="1" x14ac:dyDescent="0.25">
      <c r="D116" s="104" t="s">
        <v>319</v>
      </c>
      <c r="N116" s="104" t="s">
        <v>319</v>
      </c>
    </row>
    <row r="117" spans="3:21" ht="20.100000000000001" customHeight="1" x14ac:dyDescent="0.25">
      <c r="D117" s="103" t="s">
        <v>320</v>
      </c>
      <c r="N117" s="103" t="s">
        <v>320</v>
      </c>
    </row>
    <row r="118" spans="3:21" ht="20.100000000000001" customHeight="1" x14ac:dyDescent="0.25">
      <c r="D118" s="54" t="s">
        <v>186</v>
      </c>
      <c r="E118" s="54" t="s">
        <v>203</v>
      </c>
      <c r="F118" s="54" t="s">
        <v>204</v>
      </c>
      <c r="G118" s="54" t="s">
        <v>205</v>
      </c>
      <c r="H118" s="54" t="s">
        <v>206</v>
      </c>
      <c r="N118" s="54" t="s">
        <v>186</v>
      </c>
      <c r="O118" s="54" t="s">
        <v>203</v>
      </c>
      <c r="P118" s="54" t="s">
        <v>204</v>
      </c>
      <c r="Q118" s="54" t="s">
        <v>205</v>
      </c>
      <c r="R118" s="54" t="s">
        <v>206</v>
      </c>
    </row>
    <row r="119" spans="3:21" ht="20.100000000000001" customHeight="1" x14ac:dyDescent="0.25">
      <c r="D119" s="55" cm="1">
        <f t="array" ref="D119">MMS_Dairy_N2ODirect_Equations.VEERG_4_3_1_3__5_CrudeProteinIntakeOfDairyCattle(D50,D114)</f>
        <v>1.8929425571617076</v>
      </c>
      <c r="E119" s="55" cm="1">
        <f t="array" ref="E119">MMS_Dairy_N2ODirect_Equations.VEERG_4_3_1_3__5_CrudeProteinIntakeOfDairyCattle(E50,E114)</f>
        <v>1.4837737075199995</v>
      </c>
      <c r="F119" s="55" cm="1">
        <f t="array" ref="F119">MMS_Dairy_N2ODirect_Equations.VEERG_4_3_1_3__5_CrudeProteinIntakeOfDairyCattle(F50,F114)</f>
        <v>0.80463469324500003</v>
      </c>
      <c r="G119" s="55" cm="1">
        <f t="array" ref="G119">MMS_Dairy_N2ODirect_Equations.VEERG_4_3_1_3__5_CrudeProteinIntakeOfDairyCattle(G50,G114)</f>
        <v>1.8054040499999997</v>
      </c>
      <c r="H119" s="55" cm="1">
        <f t="array" ref="H119">MMS_Dairy_N2ODirect_Equations.VEERG_4_3_1_3__5_CrudeProteinIntakeOfDairyCattle(H50,H114)</f>
        <v>1.0828694531250003</v>
      </c>
      <c r="I119" s="2" t="str">
        <f>$E$106</f>
        <v>kg/head/day</v>
      </c>
      <c r="N119" s="55" cm="1">
        <f t="array" ref="N119">MMS_Dairy_N2ODirect_Equations.VEERG_4_3_1_3__5_CrudeProteinIntakeOfDairyCattle(N50,N114)</f>
        <v>1.8929425571617076</v>
      </c>
      <c r="O119" s="55" cm="1">
        <f t="array" ref="O119">MMS_Dairy_N2ODirect_Equations.VEERG_4_3_1_3__5_CrudeProteinIntakeOfDairyCattle(O50,O114)</f>
        <v>1.4837737075199995</v>
      </c>
      <c r="P119" s="55" cm="1">
        <f t="array" ref="P119">MMS_Dairy_N2ODirect_Equations.VEERG_4_3_1_3__5_CrudeProteinIntakeOfDairyCattle(P50,P114)</f>
        <v>0.80463469324500003</v>
      </c>
      <c r="Q119" s="55" cm="1">
        <f t="array" ref="Q119">MMS_Dairy_N2ODirect_Equations.VEERG_4_3_1_3__5_CrudeProteinIntakeOfDairyCattle(Q50,Q114)</f>
        <v>1.8054040499999997</v>
      </c>
      <c r="R119" s="55" cm="1">
        <f t="array" ref="R119">MMS_Dairy_N2ODirect_Equations.VEERG_4_3_1_3__5_CrudeProteinIntakeOfDairyCattle(R50,R114)</f>
        <v>1.0828694531250003</v>
      </c>
      <c r="S119" s="2" t="str">
        <f>$E$106</f>
        <v>kg/head/day</v>
      </c>
    </row>
    <row r="120" spans="3:21" ht="20.100000000000001" customHeight="1" x14ac:dyDescent="0.25"/>
    <row r="121" spans="3:21" ht="20.100000000000001" customHeight="1" x14ac:dyDescent="0.25"/>
    <row r="122" spans="3:21" ht="20.100000000000001" customHeight="1" x14ac:dyDescent="0.25">
      <c r="C122" s="48"/>
      <c r="D122" s="48"/>
      <c r="E122" s="48"/>
      <c r="F122" s="48"/>
      <c r="G122" s="48"/>
      <c r="H122" s="48"/>
      <c r="I122" s="48"/>
      <c r="J122" s="48"/>
      <c r="K122" s="48"/>
      <c r="M122" s="48"/>
      <c r="N122" s="48"/>
      <c r="O122" s="48"/>
      <c r="P122" s="48"/>
      <c r="Q122" s="48"/>
      <c r="R122" s="48"/>
      <c r="S122" s="48"/>
      <c r="T122" s="48"/>
      <c r="U122" s="48"/>
    </row>
    <row r="123" spans="3:21" ht="20.100000000000001" customHeight="1" x14ac:dyDescent="0.25">
      <c r="D123" s="6" t="str" cm="1">
        <f t="array" ref="D123">MMS_Dairy_N2ODirect_Equations.VEERG_4_3_1_3__4_NitrogenExcretedByDairyCattleGreaterThanOneYear_Title()</f>
        <v>Nitrogen excreted by dairy cattle greater than one year old</v>
      </c>
    </row>
    <row r="124" spans="3:21" ht="20.100000000000001" customHeight="1" x14ac:dyDescent="0.25">
      <c r="D124" s="5" t="str" cm="1">
        <f t="array" ref="D124">MMS_Dairy_N2ODirect_Equations.VEERG_4_3_1_3__4_NitrogenExcretedByDairyCattleGreaterThanOneYear_Source()</f>
        <v>VEERG 2026: 4.3.1.3, Equation (4)</v>
      </c>
    </row>
    <row r="125" spans="3:21" ht="20.100000000000001" customHeight="1" x14ac:dyDescent="0.25">
      <c r="D125" s="13" t="s">
        <v>28</v>
      </c>
      <c r="E125" s="13" t="str" cm="1">
        <f t="array" aca="1" ref="E125" ca="1">Common_InputFunctions.Utility_DisplayFunctionName(D139)</f>
        <v>=MMS_Dairy_N2ODirect_Equations.VEERG_4_3_1_3__4_NitrogenExcretedByDairyCattleGreaterThanOneYear</v>
      </c>
    </row>
    <row r="126" spans="3:21" ht="20.100000000000001" customHeight="1" x14ac:dyDescent="0.25"/>
    <row r="127" spans="3:21" ht="20.100000000000001" customHeight="1" x14ac:dyDescent="0.25">
      <c r="D127" s="6"/>
    </row>
    <row r="128" spans="3:21" ht="20.100000000000001" customHeight="1" x14ac:dyDescent="0.25"/>
    <row r="129" spans="3:21" ht="20.100000000000001" customHeight="1" x14ac:dyDescent="0.25">
      <c r="D129" s="56" t="s">
        <v>31</v>
      </c>
      <c r="E129" s="1" t="str" cm="1">
        <f t="array" ref="E129">MMS_Dairy_N2ODirect_Equations.VEERG_4_3_1_3__4_NitrogenExcretedByDairyCattleGreaterThanOneYear_Variable()</f>
        <v>NE_j</v>
      </c>
    </row>
    <row r="130" spans="3:21" ht="20.100000000000001" customHeight="1" x14ac:dyDescent="0.25">
      <c r="D130" s="56" t="s">
        <v>21</v>
      </c>
      <c r="E130" s="57" t="str" cm="1">
        <f t="array" ref="E130">MMS_Dairy_N2ODirect_Equations.VEERG_4_3_1_3__4_NitrogenExcretedByDairyCattleGreaterThanOneYear_Unit()</f>
        <v>kg N/head/day</v>
      </c>
    </row>
    <row r="131" spans="3:21" ht="20.100000000000001" customHeight="1" x14ac:dyDescent="0.25"/>
    <row r="132" spans="3:21" ht="20.100000000000001" customHeight="1" x14ac:dyDescent="0.25">
      <c r="D132" s="60" t="str" cm="1">
        <f t="array" ref="D132:E134">MMS_Dairy_N2ODirect_Equations.VEERG_4_3_1_3__4_NitrogenExcretedByDairyCattleGreaterThanOneYear_Arguments()</f>
        <v>CPI_j</v>
      </c>
      <c r="E132" s="61" t="str">
        <v>crude protein intake (kg/head/day)</v>
      </c>
      <c r="F132" s="62"/>
      <c r="G132" s="60" t="str">
        <f>"See " &amp;D116</f>
        <v>See M1_Table_CPI_j</v>
      </c>
    </row>
    <row r="133" spans="3:21" ht="20.100000000000001" customHeight="1" x14ac:dyDescent="0.25">
      <c r="D133" s="60" t="str">
        <v>NR_j</v>
      </c>
      <c r="E133" s="61" t="str">
        <v>amount of nitrogen retained by the body (kg N/head/day)</v>
      </c>
      <c r="F133" s="62"/>
      <c r="G133" s="60" t="str">
        <f>"See " &amp; D93</f>
        <v>See M1_Table_NR_j</v>
      </c>
    </row>
    <row r="134" spans="3:21" ht="20.100000000000001" customHeight="1" x14ac:dyDescent="0.25">
      <c r="D134" s="60" t="str">
        <v>W_j</v>
      </c>
      <c r="E134" s="61" t="str">
        <v>liveweight (kg)</v>
      </c>
      <c r="F134" s="62"/>
      <c r="G134" s="60" t="str">
        <f>"See " &amp; D16</f>
        <v>See M1_Table_W_j</v>
      </c>
    </row>
    <row r="135" spans="3:21" ht="20.100000000000001" customHeight="1" x14ac:dyDescent="0.25"/>
    <row r="136" spans="3:21" ht="20.100000000000001" customHeight="1" x14ac:dyDescent="0.25">
      <c r="D136" s="104" t="s">
        <v>121</v>
      </c>
      <c r="N136" s="104" t="s">
        <v>122</v>
      </c>
    </row>
    <row r="137" spans="3:21" ht="20.100000000000001" customHeight="1" x14ac:dyDescent="0.25">
      <c r="D137" s="103" t="s">
        <v>321</v>
      </c>
      <c r="N137" s="103" t="s">
        <v>322</v>
      </c>
    </row>
    <row r="138" spans="3:21" ht="20.100000000000001" customHeight="1" x14ac:dyDescent="0.25">
      <c r="D138" s="54" t="s">
        <v>186</v>
      </c>
      <c r="E138" s="54" t="s">
        <v>203</v>
      </c>
      <c r="F138" s="54" t="s">
        <v>204</v>
      </c>
      <c r="G138" s="54" t="s">
        <v>205</v>
      </c>
      <c r="H138" s="54" t="s">
        <v>206</v>
      </c>
      <c r="N138" s="54" t="s">
        <v>186</v>
      </c>
      <c r="O138" s="54" t="s">
        <v>203</v>
      </c>
      <c r="P138" s="54" t="s">
        <v>204</v>
      </c>
      <c r="Q138" s="54" t="s">
        <v>205</v>
      </c>
      <c r="R138" s="54" t="s">
        <v>206</v>
      </c>
    </row>
    <row r="139" spans="3:21" ht="20.100000000000001" customHeight="1" x14ac:dyDescent="0.25">
      <c r="D139" s="55" cm="1">
        <f t="array" ref="D139">MMS_Dairy_N2ODirect_Equations.VEERG_4_3_1_3__4_NitrogenExcretedByDairyCattleGreaterThanOneYear(D119,D96,D19)</f>
        <v>0.26431897029296131</v>
      </c>
      <c r="E139" s="55" cm="1">
        <f t="array" ref="E139">MMS_Dairy_N2ODirect_Equations.VEERG_4_3_1_3__4_NitrogenExcretedByDairyCattleGreaterThanOneYear(E119,E96,E19)</f>
        <v>0.22709576921272823</v>
      </c>
      <c r="F139" s="55" cm="1">
        <f t="array" ref="F139">MMS_Dairy_N2ODirect_Equations.VEERG_4_3_1_3__4_NitrogenExcretedByDairyCattleGreaterThanOneYear(F119,F96,F19)</f>
        <v>0.1133928568810149</v>
      </c>
      <c r="G139" s="55" cm="1">
        <f t="array" ref="G139">MMS_Dairy_N2ODirect_Equations.VEERG_4_3_1_3__4_NitrogenExcretedByDairyCattleGreaterThanOneYear(G119,G96,G19)</f>
        <v>0.28546836331241399</v>
      </c>
      <c r="H139" s="55" cm="1">
        <f t="array" ref="H139">MMS_Dairy_N2ODirect_Equations.VEERG_4_3_1_3__4_NitrogenExcretedByDairyCattleGreaterThanOneYear(H119,H96,H19)</f>
        <v>0.15247929000170721</v>
      </c>
      <c r="I139" s="2" t="str">
        <f>$E$130</f>
        <v>kg N/head/day</v>
      </c>
      <c r="N139" s="55" cm="1">
        <f t="array" ref="N139">MMS_Dairy_N2ODirect_Equations.VEERG_4_3_1_3__4_NitrogenExcretedByDairyCattleGreaterThanOneYear(N119,N96,N19)</f>
        <v>0.26431897029296131</v>
      </c>
      <c r="O139" s="55" cm="1">
        <f t="array" ref="O139">MMS_Dairy_N2ODirect_Equations.VEERG_4_3_1_3__4_NitrogenExcretedByDairyCattleGreaterThanOneYear(O119,O96,O19)</f>
        <v>0.22709576921272823</v>
      </c>
      <c r="P139" s="55" cm="1">
        <f t="array" ref="P139">MMS_Dairy_N2ODirect_Equations.VEERG_4_3_1_3__4_NitrogenExcretedByDairyCattleGreaterThanOneYear(P119,P96,P19)</f>
        <v>0.1133928568810149</v>
      </c>
      <c r="Q139" s="55" cm="1">
        <f t="array" ref="Q139">MMS_Dairy_N2ODirect_Equations.VEERG_4_3_1_3__4_NitrogenExcretedByDairyCattleGreaterThanOneYear(Q119,Q96,Q19)</f>
        <v>0.28546836331241399</v>
      </c>
      <c r="R139" s="55" cm="1">
        <f t="array" ref="R139">MMS_Dairy_N2ODirect_Equations.VEERG_4_3_1_3__4_NitrogenExcretedByDairyCattleGreaterThanOneYear(R119,R96,R19)</f>
        <v>0.15247929000170721</v>
      </c>
      <c r="S139" s="2" t="str">
        <f>$E$130</f>
        <v>kg N/head/day</v>
      </c>
    </row>
    <row r="140" spans="3:21" ht="20.100000000000001" customHeight="1" x14ac:dyDescent="0.25"/>
    <row r="141" spans="3:21" ht="20.100000000000001" customHeight="1" x14ac:dyDescent="0.25"/>
    <row r="142" spans="3:21" ht="20.100000000000001" customHeight="1" x14ac:dyDescent="0.25">
      <c r="C142" s="48"/>
      <c r="D142" s="48"/>
      <c r="E142" s="48"/>
      <c r="F142" s="48"/>
      <c r="G142" s="48"/>
      <c r="H142" s="48"/>
      <c r="I142" s="48"/>
      <c r="J142" s="48"/>
      <c r="K142" s="48"/>
      <c r="M142" s="48"/>
      <c r="N142" s="48"/>
      <c r="O142" s="48"/>
      <c r="P142" s="48"/>
      <c r="Q142" s="48"/>
      <c r="R142" s="48"/>
      <c r="S142" s="48"/>
      <c r="T142" s="48"/>
      <c r="U142" s="48"/>
    </row>
    <row r="143" spans="3:21" ht="20.100000000000001" customHeight="1" x14ac:dyDescent="0.25">
      <c r="D143" s="6" t="str" cm="1">
        <f t="array" ref="D143">MMS_Dairy_N2ODirect_Equations.VEERG_4_3_1_3__3a_TotalAnnualNitrogenExcretedGreaterThanOneYear_Title()</f>
        <v>Total annual nitrogen excreted by dairy cattle greater than one year old</v>
      </c>
    </row>
    <row r="144" spans="3:21" ht="20.100000000000001" customHeight="1" x14ac:dyDescent="0.25">
      <c r="D144" s="5" t="str" cm="1">
        <f t="array" ref="D144">MMS_Dairy_N2ODirect_Equations.VEERG_4_3_1_3__3a_TotalAnnualNitrogenExcretedGreaterThanOneYear_Source()</f>
        <v>VEERG 2026: 4.3.1.3, Equation (3a)</v>
      </c>
    </row>
    <row r="145" spans="4:9" ht="20.100000000000001" customHeight="1" x14ac:dyDescent="0.25">
      <c r="D145" s="58" t="str" cm="1">
        <f t="array" ref="D145">MMS_Dairy_N2ODirect_Equations.VEERG_4_3_1_3__3a_TotalAnnualNitrogenExcretedGreaterThanOneYear_Variation()</f>
        <v>VARIATION: Used Duration variables instead of hard-coded 365 value.</v>
      </c>
    </row>
    <row r="146" spans="4:9" ht="20.100000000000001" customHeight="1" x14ac:dyDescent="0.25">
      <c r="D146" s="13" t="s">
        <v>28</v>
      </c>
      <c r="E146" s="13" t="str" cm="1">
        <f t="array" aca="1" ref="E146" ca="1">Common_InputFunctions.Utility_DisplayFunctionName(D169)</f>
        <v>=MMS_Dairy_N2ODirect_Equations.VEERG_4_3_1_3__3a_TotalAnnualNitrogenExcretedGreaterThanOneYearVariation</v>
      </c>
    </row>
    <row r="147" spans="4:9" ht="20.100000000000001" customHeight="1" x14ac:dyDescent="0.25"/>
    <row r="148" spans="4:9" ht="20.100000000000001" customHeight="1" x14ac:dyDescent="0.25">
      <c r="D148" s="6"/>
    </row>
    <row r="149" spans="4:9" ht="20.100000000000001" customHeight="1" x14ac:dyDescent="0.25">
      <c r="D149" s="56" t="s">
        <v>31</v>
      </c>
      <c r="E149" s="1" t="str" cm="1">
        <f t="array" ref="E149">MMS_Dairy_N2ODirect_Equations.VEERG_4_3_1_3__3a_TotalAnnualNitrogenExcretedGreaterThanOneYear_Variable()</f>
        <v>AE_j124</v>
      </c>
    </row>
    <row r="150" spans="4:9" ht="20.100000000000001" customHeight="1" x14ac:dyDescent="0.25">
      <c r="D150" s="56" t="s">
        <v>21</v>
      </c>
      <c r="E150" s="57" t="str" cm="1">
        <f t="array" ref="E150">MMS_Dairy_N2ODirect_Equations.VEERG_4_3_1_3__3a_TotalAnnualNitrogenExcretedGreaterThanOneYear_Unit()</f>
        <v>kg N</v>
      </c>
    </row>
    <row r="151" spans="4:9" ht="20.100000000000001" customHeight="1" x14ac:dyDescent="0.25"/>
    <row r="152" spans="4:9" ht="20.100000000000001" customHeight="1" x14ac:dyDescent="0.25">
      <c r="D152" s="115" t="str" cm="1">
        <f t="array" ref="D152:E154">MMS_Dairy_N2ODirect_Equations.VEERG_4_3_1_3__3a_TotalAnnualNitrogenExcretedGreaterThanOneYear_Arguments()</f>
        <v>N_j124</v>
      </c>
      <c r="E152" s="117" t="str">
        <v>number of dairy cattle in classes j=1,2,4</v>
      </c>
      <c r="F152" s="116"/>
      <c r="G152" s="115" t="str">
        <f>"See " &amp; D156</f>
        <v>See Table_N_j</v>
      </c>
    </row>
    <row r="153" spans="4:9" ht="20.100000000000001" customHeight="1" x14ac:dyDescent="0.25">
      <c r="D153" s="115" t="str">
        <v>NE_j124</v>
      </c>
      <c r="E153" s="117" t="str">
        <v>nitrogen excreted by dairy cattle greater than one year old (kg N/head/day)</v>
      </c>
      <c r="F153" s="116"/>
      <c r="G153" s="115" t="str">
        <f>"See " &amp; D136</f>
        <v>See M1_Table_NE_j</v>
      </c>
    </row>
    <row r="154" spans="4:9" ht="20.100000000000001" customHeight="1" x14ac:dyDescent="0.25">
      <c r="D154" s="115" t="str">
        <v>D_j124</v>
      </c>
      <c r="E154" s="117" t="str">
        <v>duration of stay on farm for classes j=1,2,4 (days)</v>
      </c>
      <c r="F154" s="116"/>
      <c r="G154" s="115" t="str">
        <f>"See " &amp; D161</f>
        <v>See M1_Table_D_j-1-2-4</v>
      </c>
    </row>
    <row r="155" spans="4:9" ht="20.100000000000001" customHeight="1" x14ac:dyDescent="0.25"/>
    <row r="156" spans="4:9" ht="20.100000000000001" customHeight="1" x14ac:dyDescent="0.25">
      <c r="D156" s="104" t="s">
        <v>109</v>
      </c>
    </row>
    <row r="157" spans="4:9" ht="20.100000000000001" customHeight="1" x14ac:dyDescent="0.25">
      <c r="D157" s="103" t="s">
        <v>287</v>
      </c>
    </row>
    <row r="158" spans="4:9" ht="20.100000000000001" customHeight="1" x14ac:dyDescent="0.25">
      <c r="D158" s="54" t="s">
        <v>186</v>
      </c>
      <c r="E158" s="54" t="s">
        <v>203</v>
      </c>
      <c r="F158" s="54" t="s">
        <v>204</v>
      </c>
      <c r="G158" s="54" t="s">
        <v>205</v>
      </c>
      <c r="H158" s="54" t="s">
        <v>206</v>
      </c>
    </row>
    <row r="159" spans="4:9" ht="20.100000000000001" customHeight="1" x14ac:dyDescent="0.25">
      <c r="D159" s="107">
        <f>'Input - Dairy'!$E$10</f>
        <v>100</v>
      </c>
      <c r="E159" s="107">
        <f>'Input - Dairy'!$F$10</f>
        <v>100</v>
      </c>
      <c r="F159" s="107">
        <f>'Input - Dairy'!$G$10</f>
        <v>100</v>
      </c>
      <c r="G159" s="107">
        <f>'Input - Dairy'!$H$10</f>
        <v>100</v>
      </c>
      <c r="H159" s="107">
        <f>'Input - Dairy'!$I$10</f>
        <v>100</v>
      </c>
      <c r="I159" s="2" t="s">
        <v>110</v>
      </c>
    </row>
    <row r="160" spans="4:9" ht="20.100000000000001" customHeight="1" x14ac:dyDescent="0.25"/>
    <row r="161" spans="3:21" ht="20.100000000000001" customHeight="1" x14ac:dyDescent="0.25">
      <c r="D161" s="104" t="s">
        <v>294</v>
      </c>
      <c r="N161" s="104" t="s">
        <v>294</v>
      </c>
    </row>
    <row r="162" spans="3:21" ht="20.100000000000001" customHeight="1" x14ac:dyDescent="0.25">
      <c r="D162" s="103" t="s">
        <v>325</v>
      </c>
      <c r="N162" s="103" t="s">
        <v>326</v>
      </c>
    </row>
    <row r="163" spans="3:21" ht="20.100000000000001" customHeight="1" x14ac:dyDescent="0.25">
      <c r="D163" s="54" t="s">
        <v>186</v>
      </c>
      <c r="E163" s="54" t="s">
        <v>203</v>
      </c>
      <c r="F163" s="54" t="s">
        <v>204</v>
      </c>
      <c r="G163" s="54" t="s">
        <v>205</v>
      </c>
      <c r="H163" s="54" t="s">
        <v>206</v>
      </c>
      <c r="N163" s="54" t="s">
        <v>186</v>
      </c>
      <c r="O163" s="54" t="s">
        <v>203</v>
      </c>
      <c r="P163" s="54" t="s">
        <v>204</v>
      </c>
      <c r="Q163" s="54" t="s">
        <v>205</v>
      </c>
      <c r="R163" s="54" t="s">
        <v>206</v>
      </c>
    </row>
    <row r="164" spans="3:21" ht="20.100000000000001" customHeight="1" x14ac:dyDescent="0.25">
      <c r="D164" s="55">
        <f>'Input - Dairy'!$E$24</f>
        <v>365</v>
      </c>
      <c r="E164" s="55">
        <f>'Input - Dairy'!$F$24</f>
        <v>365</v>
      </c>
      <c r="F164" s="55">
        <v>0</v>
      </c>
      <c r="G164" s="55">
        <f>'Input - Dairy'!$H$24</f>
        <v>365</v>
      </c>
      <c r="H164" s="55">
        <v>0</v>
      </c>
      <c r="I164" s="2" t="s">
        <v>56</v>
      </c>
      <c r="N164" s="55">
        <f>'Input - Dairy'!E28</f>
        <v>365</v>
      </c>
      <c r="O164" s="55">
        <f>'Input - Dairy'!F28</f>
        <v>365</v>
      </c>
      <c r="P164" s="55">
        <v>0</v>
      </c>
      <c r="Q164" s="55">
        <f>'Input - Dairy'!H28</f>
        <v>365</v>
      </c>
      <c r="R164" s="55">
        <v>0</v>
      </c>
      <c r="S164" s="2" t="s">
        <v>56</v>
      </c>
    </row>
    <row r="165" spans="3:21" ht="20.100000000000001" customHeight="1" x14ac:dyDescent="0.25"/>
    <row r="166" spans="3:21" ht="20.100000000000001" customHeight="1" x14ac:dyDescent="0.25">
      <c r="D166" s="104" t="s">
        <v>323</v>
      </c>
      <c r="N166" s="104" t="s">
        <v>323</v>
      </c>
    </row>
    <row r="167" spans="3:21" ht="20.100000000000001" customHeight="1" x14ac:dyDescent="0.25">
      <c r="D167" s="103" t="s">
        <v>332</v>
      </c>
      <c r="N167" s="103" t="s">
        <v>324</v>
      </c>
    </row>
    <row r="168" spans="3:21" ht="20.100000000000001" customHeight="1" x14ac:dyDescent="0.25">
      <c r="D168" s="54" t="s">
        <v>186</v>
      </c>
      <c r="E168" s="54" t="s">
        <v>203</v>
      </c>
      <c r="F168" s="54" t="s">
        <v>204</v>
      </c>
      <c r="G168" s="54" t="s">
        <v>205</v>
      </c>
      <c r="H168" s="54" t="s">
        <v>206</v>
      </c>
      <c r="N168" s="54" t="s">
        <v>186</v>
      </c>
      <c r="O168" s="54" t="s">
        <v>203</v>
      </c>
      <c r="P168" s="54" t="s">
        <v>204</v>
      </c>
      <c r="Q168" s="54" t="s">
        <v>205</v>
      </c>
      <c r="R168" s="54" t="s">
        <v>206</v>
      </c>
    </row>
    <row r="169" spans="3:21" ht="20.100000000000001" customHeight="1" x14ac:dyDescent="0.25">
      <c r="D169" s="55" cm="1">
        <f t="array" ref="D169">MMS_Dairy_N2ODirect_Equations.VEERG_4_3_1_3__3a_TotalAnnualNitrogenExcretedGreaterThanOneYearVariation(D159,D139,D164)</f>
        <v>9647.642415693088</v>
      </c>
      <c r="E169" s="55" cm="1">
        <f t="array" ref="E169">MMS_Dairy_N2ODirect_Equations.VEERG_4_3_1_3__3a_TotalAnnualNitrogenExcretedGreaterThanOneYearVariation(E159,E139,E164)</f>
        <v>8288.9955762645804</v>
      </c>
      <c r="F169" s="55" cm="1">
        <f t="array" ref="F169">MMS_Dairy_N2ODirect_Equations.VEERG_4_3_1_3__3a_TotalAnnualNitrogenExcretedGreaterThanOneYearVariation(F159,F139,F164)</f>
        <v>0</v>
      </c>
      <c r="G169" s="55" cm="1">
        <f t="array" ref="G169">MMS_Dairy_N2ODirect_Equations.VEERG_4_3_1_3__3a_TotalAnnualNitrogenExcretedGreaterThanOneYearVariation(G159,G139,G164)</f>
        <v>10419.59526090311</v>
      </c>
      <c r="H169" s="55" cm="1">
        <f t="array" ref="H169">MMS_Dairy_N2ODirect_Equations.VEERG_4_3_1_3__3a_TotalAnnualNitrogenExcretedGreaterThanOneYearVariation(H159,H139,H164)</f>
        <v>0</v>
      </c>
      <c r="I169" s="2" t="str">
        <f>$E$150</f>
        <v>kg N</v>
      </c>
      <c r="N169" s="55" cm="1">
        <f t="array" ref="N169">MMS_Dairy_N2ODirect_Equations.VEERG_4_3_1_3__3a_TotalAnnualNitrogenExcretedGreaterThanOneYearVariation(D159,N139,N164)</f>
        <v>9647.642415693088</v>
      </c>
      <c r="O169" s="55" cm="1">
        <f t="array" ref="O169">MMS_Dairy_N2ODirect_Equations.VEERG_4_3_1_3__3a_TotalAnnualNitrogenExcretedGreaterThanOneYearVariation(E159,O139,O164)</f>
        <v>8288.9955762645804</v>
      </c>
      <c r="P169" s="55" cm="1">
        <f t="array" ref="P169">MMS_Dairy_N2ODirect_Equations.VEERG_4_3_1_3__3a_TotalAnnualNitrogenExcretedGreaterThanOneYearVariation(F159,P139,P164)</f>
        <v>0</v>
      </c>
      <c r="Q169" s="55" cm="1">
        <f t="array" ref="Q169">MMS_Dairy_N2ODirect_Equations.VEERG_4_3_1_3__3a_TotalAnnualNitrogenExcretedGreaterThanOneYearVariation(G159,Q139,Q164)</f>
        <v>10419.59526090311</v>
      </c>
      <c r="R169" s="55" cm="1">
        <f t="array" ref="R169">MMS_Dairy_N2ODirect_Equations.VEERG_4_3_1_3__3a_TotalAnnualNitrogenExcretedGreaterThanOneYearVariation(H159,R139,R164)</f>
        <v>0</v>
      </c>
      <c r="S169" s="2" t="str">
        <f>$E$150</f>
        <v>kg N</v>
      </c>
    </row>
    <row r="170" spans="3:21" ht="20.100000000000001" customHeight="1" x14ac:dyDescent="0.25"/>
    <row r="171" spans="3:21" ht="20.100000000000001" customHeight="1" x14ac:dyDescent="0.25"/>
    <row r="172" spans="3:21" ht="20.100000000000001" customHeight="1" x14ac:dyDescent="0.25">
      <c r="C172" s="48"/>
      <c r="D172" s="48"/>
      <c r="E172" s="48"/>
      <c r="F172" s="48"/>
      <c r="G172" s="48"/>
      <c r="H172" s="48"/>
      <c r="I172" s="48"/>
      <c r="J172" s="48"/>
      <c r="K172" s="48"/>
      <c r="M172" s="48"/>
      <c r="N172" s="48"/>
      <c r="O172" s="48"/>
      <c r="P172" s="48"/>
      <c r="Q172" s="48"/>
      <c r="R172" s="48"/>
      <c r="S172" s="48"/>
      <c r="T172" s="48"/>
      <c r="U172" s="48"/>
    </row>
    <row r="173" spans="3:21" ht="20.100000000000001" customHeight="1" x14ac:dyDescent="0.25">
      <c r="D173" s="6" t="str" cm="1">
        <f t="array" ref="D173">MMS_Dairy_N2ODirect_Equations.VEERG_4_3_1_3__3b_TotalAnnualNitrogenExcretedLessThanOneYear_Title()</f>
        <v>Total annual nitrogen excreted by dairy cattle less than one year old</v>
      </c>
    </row>
    <row r="174" spans="3:21" ht="20.100000000000001" customHeight="1" x14ac:dyDescent="0.25">
      <c r="D174" s="5" t="str" cm="1">
        <f t="array" ref="D174">MMS_Dairy_N2ODirect_Equations.VEERG_4_3_1_3__3b_TotalAnnualNitrogenExcretedLessThanOneYear_Source()</f>
        <v>VEERG 2026: 4.3.1.3, Equation (3b)</v>
      </c>
    </row>
    <row r="175" spans="3:21" ht="20.100000000000001" customHeight="1" x14ac:dyDescent="0.25">
      <c r="D175" s="58" t="str" cm="1">
        <f t="array" ref="D175">MMS_Dairy_N2ODirect_Equations.VEERG_4_3_1_3__3b_TotalAnnualNitrogenExcretedLessThanOneYear_Variation()</f>
        <v>VARIATION: Used Duration variables instead of hard-coded 281 and 84 values.</v>
      </c>
    </row>
    <row r="176" spans="3:21" ht="20.100000000000001" customHeight="1" x14ac:dyDescent="0.25">
      <c r="D176" s="13" t="s">
        <v>28</v>
      </c>
      <c r="E176" s="13" t="str" cm="1">
        <f t="array" aca="1" ref="E176" ca="1">Common_InputFunctions.Utility_DisplayFunctionName(D206)</f>
        <v>=MMS_Dairy_N2ODirect_Equations.VEERG_4_3_1_3__3b_TotalAnnualNitrogenExcretedLessThanOneYearVariation</v>
      </c>
    </row>
    <row r="177" spans="4:9" ht="20.100000000000001" customHeight="1" x14ac:dyDescent="0.25">
      <c r="D177" s="6"/>
    </row>
    <row r="178" spans="4:9" ht="20.100000000000001" customHeight="1" x14ac:dyDescent="0.25">
      <c r="D178" s="6"/>
    </row>
    <row r="179" spans="4:9" ht="20.100000000000001" customHeight="1" x14ac:dyDescent="0.25">
      <c r="D179" s="56" t="s">
        <v>31</v>
      </c>
      <c r="E179" s="1" t="str" cm="1">
        <f t="array" ref="E179">MMS_Dairy_N2ODirect_Equations.VEERG_4_3_1_3__3b_TotalAnnualNitrogenExcretedLessThanOneYear_Variable()</f>
        <v>AE_j35</v>
      </c>
    </row>
    <row r="180" spans="4:9" ht="20.100000000000001" customHeight="1" x14ac:dyDescent="0.25">
      <c r="D180" s="56" t="s">
        <v>21</v>
      </c>
      <c r="E180" s="57" t="str" cm="1">
        <f t="array" ref="E180">MMS_Dairy_N2ODirect_Equations.VEERG_4_3_1_3__3b_TotalAnnualNitrogenExcretedLessThanOneYear_Unit()</f>
        <v>kg N</v>
      </c>
    </row>
    <row r="181" spans="4:9" ht="20.100000000000001" customHeight="1" x14ac:dyDescent="0.25"/>
    <row r="182" spans="4:9" ht="20.100000000000001" customHeight="1" x14ac:dyDescent="0.25">
      <c r="D182" s="60" t="str" cm="1">
        <f t="array" ref="D182:E186">MMS_Dairy_N2ODirect_Equations.VEERG_4_3_1_3__3b_TotalAnnualNitrogenExcretedLessThanOneYear_Arguments()</f>
        <v>N_j35</v>
      </c>
      <c r="E182" s="61" t="str">
        <v>number of dairy cattle in classes j=3,5</v>
      </c>
      <c r="F182" s="62"/>
      <c r="G182" s="60" t="str">
        <f>"See " &amp; D156</f>
        <v>See Table_N_j</v>
      </c>
    </row>
    <row r="183" spans="4:9" ht="20.100000000000001" customHeight="1" x14ac:dyDescent="0.25">
      <c r="D183" s="60" t="str">
        <v>NE_j35</v>
      </c>
      <c r="E183" s="61" t="str">
        <v>nitrogen excreted by weaned dairy cattle less than one year old (kg N/head/day)</v>
      </c>
      <c r="F183" s="62"/>
      <c r="G183" s="60" t="str">
        <f>"See " &amp; D136</f>
        <v>See M1_Table_NE_j</v>
      </c>
    </row>
    <row r="184" spans="4:9" ht="20.100000000000001" customHeight="1" x14ac:dyDescent="0.25">
      <c r="D184" s="60" t="str">
        <v>NPW_j35</v>
      </c>
      <c r="E184" s="61" t="str">
        <v>nitrogen excreted by pre-weaned calves (kg N/head/day)</v>
      </c>
      <c r="F184" s="62"/>
      <c r="G184" s="60" t="str">
        <f>"See " &amp; D188</f>
        <v>See Table_NPW_j-3-5</v>
      </c>
    </row>
    <row r="185" spans="4:9" ht="20.100000000000001" customHeight="1" x14ac:dyDescent="0.25">
      <c r="D185" s="60" t="str">
        <v>D_j35</v>
      </c>
      <c r="E185" s="61" t="str">
        <v>duration of stay on farm for weaned dairy cattle less than one year old (days)</v>
      </c>
      <c r="F185" s="62"/>
      <c r="G185" s="60" t="str">
        <f>"See " &amp; D193</f>
        <v>See M1_Table_D_j-3-5</v>
      </c>
    </row>
    <row r="186" spans="4:9" ht="20.100000000000001" customHeight="1" x14ac:dyDescent="0.25">
      <c r="D186" s="60" t="str">
        <v>DPW_j35</v>
      </c>
      <c r="E186" s="61" t="str">
        <v>duration of stay on farm for pre-weaned calves (days)</v>
      </c>
      <c r="F186" s="62"/>
      <c r="G186" s="60" t="str">
        <f>"See " &amp; D198</f>
        <v>See M1_Table_DPW_j</v>
      </c>
    </row>
    <row r="187" spans="4:9" ht="20.100000000000001" customHeight="1" x14ac:dyDescent="0.25"/>
    <row r="188" spans="4:9" ht="20.100000000000001" customHeight="1" x14ac:dyDescent="0.25">
      <c r="D188" s="104" t="s">
        <v>329</v>
      </c>
    </row>
    <row r="189" spans="4:9" ht="20.100000000000001" customHeight="1" x14ac:dyDescent="0.25">
      <c r="D189" s="103" t="s">
        <v>330</v>
      </c>
    </row>
    <row r="190" spans="4:9" ht="20.100000000000001" customHeight="1" x14ac:dyDescent="0.25">
      <c r="D190" s="54" t="s">
        <v>186</v>
      </c>
      <c r="E190" s="54" t="s">
        <v>203</v>
      </c>
      <c r="F190" s="54" t="s">
        <v>204</v>
      </c>
      <c r="G190" s="54" t="s">
        <v>205</v>
      </c>
      <c r="H190" s="54" t="s">
        <v>206</v>
      </c>
    </row>
    <row r="191" spans="4:9" ht="20.100000000000001" customHeight="1" x14ac:dyDescent="0.25">
      <c r="D191" s="55">
        <v>0</v>
      </c>
      <c r="E191" s="55">
        <v>0</v>
      </c>
      <c r="F191" s="55">
        <f>'Constants - Dairy'!$G$63</f>
        <v>1.37E-2</v>
      </c>
      <c r="G191" s="55">
        <v>0</v>
      </c>
      <c r="H191" s="55">
        <f>'Constants - Dairy'!$G$64</f>
        <v>9.1999999999999998E-3</v>
      </c>
      <c r="I191" s="2" t="s">
        <v>293</v>
      </c>
    </row>
    <row r="192" spans="4:9" ht="20.100000000000001" customHeight="1" x14ac:dyDescent="0.25"/>
    <row r="193" spans="4:19" ht="20.100000000000001" customHeight="1" x14ac:dyDescent="0.25">
      <c r="D193" s="104" t="s">
        <v>327</v>
      </c>
      <c r="N193" s="104" t="s">
        <v>327</v>
      </c>
    </row>
    <row r="194" spans="4:19" ht="20.100000000000001" customHeight="1" x14ac:dyDescent="0.25">
      <c r="D194" s="103" t="s">
        <v>328</v>
      </c>
      <c r="N194" s="103" t="s">
        <v>328</v>
      </c>
    </row>
    <row r="195" spans="4:19" ht="20.100000000000001" customHeight="1" x14ac:dyDescent="0.25">
      <c r="D195" s="54" t="s">
        <v>186</v>
      </c>
      <c r="E195" s="54" t="s">
        <v>203</v>
      </c>
      <c r="F195" s="54" t="s">
        <v>204</v>
      </c>
      <c r="G195" s="54" t="s">
        <v>205</v>
      </c>
      <c r="H195" s="54" t="s">
        <v>206</v>
      </c>
      <c r="N195" s="54" t="s">
        <v>186</v>
      </c>
      <c r="O195" s="54" t="s">
        <v>203</v>
      </c>
      <c r="P195" s="54" t="s">
        <v>204</v>
      </c>
      <c r="Q195" s="54" t="s">
        <v>205</v>
      </c>
      <c r="R195" s="54" t="s">
        <v>206</v>
      </c>
    </row>
    <row r="196" spans="4:19" ht="20.100000000000001" customHeight="1" x14ac:dyDescent="0.25">
      <c r="D196" s="55">
        <v>0</v>
      </c>
      <c r="E196" s="55">
        <v>0</v>
      </c>
      <c r="F196" s="55">
        <f>'Input - Dairy'!$G$24</f>
        <v>281</v>
      </c>
      <c r="G196" s="55">
        <v>0</v>
      </c>
      <c r="H196" s="55">
        <f>'Input - Dairy'!$I$24</f>
        <v>281</v>
      </c>
      <c r="I196" s="2" t="s">
        <v>56</v>
      </c>
      <c r="N196" s="55">
        <v>0</v>
      </c>
      <c r="O196" s="55">
        <v>0</v>
      </c>
      <c r="P196" s="55">
        <f>'Input - Dairy'!G28</f>
        <v>281</v>
      </c>
      <c r="Q196" s="55">
        <v>0</v>
      </c>
      <c r="R196" s="55">
        <f>'Input - Dairy'!I28</f>
        <v>281</v>
      </c>
      <c r="S196" s="2" t="s">
        <v>56</v>
      </c>
    </row>
    <row r="197" spans="4:19" ht="20.100000000000001" customHeight="1" x14ac:dyDescent="0.25"/>
    <row r="198" spans="4:19" ht="20.100000000000001" customHeight="1" x14ac:dyDescent="0.25">
      <c r="D198" s="104" t="s">
        <v>289</v>
      </c>
      <c r="N198" s="104" t="s">
        <v>289</v>
      </c>
    </row>
    <row r="199" spans="4:19" ht="20.100000000000001" customHeight="1" x14ac:dyDescent="0.25">
      <c r="D199" s="103" t="s">
        <v>297</v>
      </c>
      <c r="N199" s="103" t="s">
        <v>297</v>
      </c>
    </row>
    <row r="200" spans="4:19" ht="20.100000000000001" customHeight="1" x14ac:dyDescent="0.25">
      <c r="D200" s="54" t="s">
        <v>186</v>
      </c>
      <c r="E200" s="54" t="s">
        <v>203</v>
      </c>
      <c r="F200" s="54" t="s">
        <v>204</v>
      </c>
      <c r="G200" s="54" t="s">
        <v>205</v>
      </c>
      <c r="H200" s="54" t="s">
        <v>206</v>
      </c>
      <c r="N200" s="54" t="s">
        <v>186</v>
      </c>
      <c r="O200" s="54" t="s">
        <v>203</v>
      </c>
      <c r="P200" s="54" t="s">
        <v>204</v>
      </c>
      <c r="Q200" s="54" t="s">
        <v>205</v>
      </c>
      <c r="R200" s="54" t="s">
        <v>206</v>
      </c>
    </row>
    <row r="201" spans="4:19" ht="20.100000000000001" customHeight="1" x14ac:dyDescent="0.25">
      <c r="D201" s="55">
        <f>'Input - Dairy'!$E$25</f>
        <v>0</v>
      </c>
      <c r="E201" s="55">
        <f>'Input - Dairy'!$F$25</f>
        <v>0</v>
      </c>
      <c r="F201" s="55">
        <f>'Input - Dairy'!$G$25</f>
        <v>84</v>
      </c>
      <c r="G201" s="55">
        <f>'Input - Dairy'!$H$25</f>
        <v>0</v>
      </c>
      <c r="H201" s="55">
        <f>'Input - Dairy'!$I$25</f>
        <v>84</v>
      </c>
      <c r="I201" s="2" t="s">
        <v>56</v>
      </c>
      <c r="N201" s="55">
        <f>'Input - Dairy'!$E$25</f>
        <v>0</v>
      </c>
      <c r="O201" s="55">
        <f>'Input - Dairy'!$F$25</f>
        <v>0</v>
      </c>
      <c r="P201" s="55">
        <f>'Input - Dairy'!G29</f>
        <v>84</v>
      </c>
      <c r="Q201" s="55">
        <f>'Input - Dairy'!$H$25</f>
        <v>0</v>
      </c>
      <c r="R201" s="55">
        <f>'Input - Dairy'!I29</f>
        <v>84</v>
      </c>
      <c r="S201" s="2" t="s">
        <v>56</v>
      </c>
    </row>
    <row r="202" spans="4:19" ht="20.100000000000001" customHeight="1" x14ac:dyDescent="0.25"/>
    <row r="203" spans="4:19" ht="20.100000000000001" customHeight="1" x14ac:dyDescent="0.25">
      <c r="D203" s="104" t="s">
        <v>125</v>
      </c>
      <c r="N203" s="104" t="s">
        <v>125</v>
      </c>
    </row>
    <row r="204" spans="4:19" ht="20.100000000000001" customHeight="1" x14ac:dyDescent="0.25">
      <c r="D204" s="103" t="s">
        <v>331</v>
      </c>
      <c r="N204" s="103" t="s">
        <v>331</v>
      </c>
    </row>
    <row r="205" spans="4:19" ht="20.100000000000001" customHeight="1" x14ac:dyDescent="0.25">
      <c r="D205" s="54" t="s">
        <v>186</v>
      </c>
      <c r="E205" s="54" t="s">
        <v>203</v>
      </c>
      <c r="F205" s="54" t="s">
        <v>204</v>
      </c>
      <c r="G205" s="54" t="s">
        <v>205</v>
      </c>
      <c r="H205" s="54" t="s">
        <v>206</v>
      </c>
      <c r="N205" s="54" t="s">
        <v>186</v>
      </c>
      <c r="O205" s="54" t="s">
        <v>203</v>
      </c>
      <c r="P205" s="54" t="s">
        <v>204</v>
      </c>
      <c r="Q205" s="54" t="s">
        <v>205</v>
      </c>
      <c r="R205" s="54" t="s">
        <v>206</v>
      </c>
    </row>
    <row r="206" spans="4:19" ht="20.100000000000001" customHeight="1" x14ac:dyDescent="0.25">
      <c r="D206" s="55" cm="1">
        <f t="array" ref="D206">MMS_Dairy_N2ODirect_Equations.VEERG_4_3_1_3__3b_TotalAnnualNitrogenExcretedLessThanOneYearVariation(D159,D139,D191,D196,D201)</f>
        <v>0</v>
      </c>
      <c r="E206" s="55" cm="1">
        <f t="array" ref="E206">MMS_Dairy_N2ODirect_Equations.VEERG_4_3_1_3__3b_TotalAnnualNitrogenExcretedLessThanOneYearVariation(E159,E139,E191,E196,E201)</f>
        <v>0</v>
      </c>
      <c r="F206" s="55" cm="1">
        <f t="array" ref="F206">MMS_Dairy_N2ODirect_Equations.VEERG_4_3_1_3__3b_TotalAnnualNitrogenExcretedLessThanOneYearVariation(F159,F139,F191,F196,F201)</f>
        <v>3301.419278356519</v>
      </c>
      <c r="G206" s="55" cm="1">
        <f t="array" ref="G206">MMS_Dairy_N2ODirect_Equations.VEERG_4_3_1_3__3b_TotalAnnualNitrogenExcretedLessThanOneYearVariation(G159,G139,G191,G196,G201)</f>
        <v>0</v>
      </c>
      <c r="H206" s="55" cm="1">
        <f t="array" ref="H206">MMS_Dairy_N2ODirect_Equations.VEERG_4_3_1_3__3b_TotalAnnualNitrogenExcretedLessThanOneYearVariation(H159,H139,H191,H196,H201)</f>
        <v>4361.9480490479727</v>
      </c>
      <c r="I206" s="2" t="str">
        <f>$E$180</f>
        <v>kg N</v>
      </c>
      <c r="N206" s="55" cm="1">
        <f t="array" ref="N206">MMS_Dairy_N2ODirect_Equations.VEERG_4_3_1_3__3b_TotalAnnualNitrogenExcretedLessThanOneYearVariation(D159,N139,D191,N196,N201)</f>
        <v>0</v>
      </c>
      <c r="O206" s="55" cm="1">
        <f t="array" ref="O206">MMS_Dairy_N2ODirect_Equations.VEERG_4_3_1_3__3b_TotalAnnualNitrogenExcretedLessThanOneYearVariation(E159,O139,E191,O196,O201)</f>
        <v>0</v>
      </c>
      <c r="P206" s="55" cm="1">
        <f t="array" ref="P206">MMS_Dairy_N2ODirect_Equations.VEERG_4_3_1_3__3b_TotalAnnualNitrogenExcretedLessThanOneYearVariation(F159,P139,F191,P196,P201)</f>
        <v>3301.419278356519</v>
      </c>
      <c r="Q206" s="55" cm="1">
        <f t="array" ref="Q206">MMS_Dairy_N2ODirect_Equations.VEERG_4_3_1_3__3b_TotalAnnualNitrogenExcretedLessThanOneYearVariation(G159,Q139,G191,Q196,Q201)</f>
        <v>0</v>
      </c>
      <c r="R206" s="55" cm="1">
        <f t="array" ref="R206">MMS_Dairy_N2ODirect_Equations.VEERG_4_3_1_3__3b_TotalAnnualNitrogenExcretedLessThanOneYearVariation(H159,R139,H191,R196,R201)</f>
        <v>4361.9480490479727</v>
      </c>
      <c r="S206" s="2" t="str">
        <f>$E$180</f>
        <v>kg N</v>
      </c>
    </row>
    <row r="207" spans="4:19" ht="20.100000000000001" customHeight="1" x14ac:dyDescent="0.25"/>
    <row r="208" spans="4:19" ht="20.100000000000001" customHeight="1" x14ac:dyDescent="0.25"/>
    <row r="209" spans="3:21" ht="20.100000000000001" customHeight="1" x14ac:dyDescent="0.25">
      <c r="C209" s="48"/>
      <c r="D209" s="48"/>
      <c r="E209" s="48"/>
      <c r="F209" s="48"/>
      <c r="G209" s="48"/>
      <c r="H209" s="48"/>
      <c r="I209" s="48"/>
      <c r="J209" s="48"/>
      <c r="K209" s="48"/>
      <c r="M209" s="48"/>
      <c r="N209" s="48"/>
      <c r="O209" s="48"/>
      <c r="P209" s="48"/>
      <c r="Q209" s="48"/>
      <c r="R209" s="48"/>
      <c r="S209" s="48"/>
      <c r="T209" s="48"/>
      <c r="U209" s="48"/>
    </row>
    <row r="210" spans="3:21" ht="20.100000000000001" customHeight="1" x14ac:dyDescent="0.25">
      <c r="D210" s="6" t="str" cm="1">
        <f t="array" ref="D210">MMS_Dairy_N2ODirect_Equations.VEERG_4_3_1_3__2_TotalNitrogenInEachMMS_Title()</f>
        <v>Total nitrogen in each MMS</v>
      </c>
    </row>
    <row r="211" spans="3:21" ht="20.100000000000001" customHeight="1" x14ac:dyDescent="0.25">
      <c r="D211" s="5" t="str" cm="1">
        <f t="array" ref="D211">MMS_Dairy_N2ODirect_Equations.VEERG_4_3_1_3__2_TotalNitrogenInEachMMS_Source()</f>
        <v>VEERG 2026: 4.3.1.3, Equation (2)</v>
      </c>
    </row>
    <row r="212" spans="3:21" ht="20.100000000000001" customHeight="1" x14ac:dyDescent="0.25">
      <c r="D212" s="13" t="s">
        <v>28</v>
      </c>
      <c r="E212" s="13" t="str" cm="1">
        <f t="array" aca="1" ref="E212" ca="1">Common_InputFunctions.Utility_DisplayFunctionName(F236)</f>
        <v>=MMS_Dairy_N2ODirect_Equations.VEERG_4_3_1_3__2_TotalNitrogenInEachMMS</v>
      </c>
    </row>
    <row r="213" spans="3:21" ht="20.100000000000001" customHeight="1" x14ac:dyDescent="0.25"/>
    <row r="214" spans="3:21" ht="20.100000000000001" customHeight="1" x14ac:dyDescent="0.25">
      <c r="D214" s="6"/>
    </row>
    <row r="215" spans="3:21" ht="20.100000000000001" customHeight="1" x14ac:dyDescent="0.25">
      <c r="D215" s="56" t="s">
        <v>31</v>
      </c>
      <c r="E215" s="1" t="str" cm="1">
        <f t="array" ref="E215">MMS_Dairy_N2ODirect_Equations.VEERG_4_3_1_3__2_TotalNitrogenInEachMMS_Variable()</f>
        <v>MN_jm</v>
      </c>
    </row>
    <row r="216" spans="3:21" ht="20.100000000000001" customHeight="1" x14ac:dyDescent="0.25">
      <c r="D216" s="56" t="s">
        <v>21</v>
      </c>
      <c r="E216" s="57" t="str" cm="1">
        <f t="array" ref="E216">MMS_Dairy_N2ODirect_Equations.VEERG_4_3_1_3__2_TotalNitrogenInEachMMS_Unit()</f>
        <v>kg N</v>
      </c>
    </row>
    <row r="217" spans="3:21" ht="20.100000000000001" customHeight="1" x14ac:dyDescent="0.25"/>
    <row r="218" spans="3:21" ht="20.100000000000001" customHeight="1" x14ac:dyDescent="0.25">
      <c r="D218" s="115" t="str" cm="1">
        <f t="array" ref="D218:E219">MMS_Dairy_N2ODirect_Equations.VEERG_4_3_1_3__2_TotalNitrogenInEachMMS_Arguments()</f>
        <v>AE_j</v>
      </c>
      <c r="E218" s="117" t="str">
        <v>total nitrogen excreted by each dairy class (kg N)</v>
      </c>
      <c r="F218" s="116"/>
      <c r="G218" s="115" t="str">
        <f>"See " &amp; D166 &amp; " and " &amp; D203</f>
        <v>See M1_Table_AE_j-1-2-4 and M1_Table_AE_j</v>
      </c>
    </row>
    <row r="219" spans="3:21" ht="20.100000000000001" customHeight="1" x14ac:dyDescent="0.25">
      <c r="D219" s="115" t="str">
        <v>MMS_jm</v>
      </c>
      <c r="E219" s="117" t="str">
        <v>manure management system fraction for class j and system m</v>
      </c>
      <c r="F219" s="116"/>
      <c r="G219" s="115" t="str">
        <f>"See " &amp; D221</f>
        <v>See M1_Table_MMS_j_m</v>
      </c>
    </row>
    <row r="220" spans="3:21" ht="20.100000000000001" customHeight="1" x14ac:dyDescent="0.25"/>
    <row r="221" spans="3:21" ht="20.100000000000001" customHeight="1" x14ac:dyDescent="0.25">
      <c r="D221" s="104" t="s">
        <v>268</v>
      </c>
      <c r="N221" s="104" t="s">
        <v>270</v>
      </c>
    </row>
    <row r="222" spans="3:21" ht="20.100000000000001" customHeight="1" x14ac:dyDescent="0.25">
      <c r="D222" s="103" t="s">
        <v>333</v>
      </c>
      <c r="N222" s="103" t="s">
        <v>334</v>
      </c>
    </row>
    <row r="223" spans="3:21" ht="20.100000000000001" customHeight="1" x14ac:dyDescent="0.25">
      <c r="D223" s="54" t="s">
        <v>159</v>
      </c>
      <c r="E223" s="54" t="s">
        <v>69</v>
      </c>
      <c r="F223" s="54" t="s">
        <v>186</v>
      </c>
      <c r="G223" s="54" t="s">
        <v>203</v>
      </c>
      <c r="H223" s="54" t="s">
        <v>204</v>
      </c>
      <c r="I223" s="54" t="s">
        <v>205</v>
      </c>
      <c r="J223" s="54" t="s">
        <v>206</v>
      </c>
      <c r="N223" s="54" t="s">
        <v>159</v>
      </c>
      <c r="O223" s="54" t="s">
        <v>69</v>
      </c>
      <c r="P223" s="54" t="s">
        <v>186</v>
      </c>
      <c r="Q223" s="54" t="s">
        <v>203</v>
      </c>
      <c r="R223" s="54" t="s">
        <v>204</v>
      </c>
      <c r="S223" s="54" t="s">
        <v>205</v>
      </c>
      <c r="T223" s="54" t="s">
        <v>206</v>
      </c>
    </row>
    <row r="224" spans="3:21" ht="20.100000000000001" customHeight="1" x14ac:dyDescent="0.25">
      <c r="D224" s="55" t="str">
        <f>'Input - Dairy'!$D$54</f>
        <v>Milking shed</v>
      </c>
      <c r="E224" s="55" t="str">
        <f>'Input - Dairy'!$D$67</f>
        <v>Anaerobic lagoon</v>
      </c>
      <c r="F224" s="55" cm="1">
        <f t="array" ref="F224">InputFunctions_Dairy.CalculateFractionInMMSAfterSolidSeparation('Input - Dairy'!E54,'Input - Dairy'!E67,'Input - Dairy'!$E$69)</f>
        <v>2.2000000000000002E-2</v>
      </c>
      <c r="G224" s="55" cm="1">
        <f t="array" ref="G224">InputFunctions_Dairy.CalculateFractionInMMSAfterSolidSeparation('Input - Dairy'!F54,'Input - Dairy'!F67,'Input - Dairy'!$E$69)</f>
        <v>2.2000000000000002E-2</v>
      </c>
      <c r="H224" s="55" cm="1">
        <f t="array" ref="H224">InputFunctions_Dairy.CalculateFractionInMMSAfterSolidSeparation('Input - Dairy'!G54,'Input - Dairy'!G67,'Input - Dairy'!$E$69)</f>
        <v>2.2000000000000002E-2</v>
      </c>
      <c r="I224" s="55" cm="1">
        <f t="array" ref="I224">InputFunctions_Dairy.CalculateFractionInMMSAfterSolidSeparation('Input - Dairy'!H54,'Input - Dairy'!H67,'Input - Dairy'!$E$69)</f>
        <v>2.2000000000000002E-2</v>
      </c>
      <c r="J224" s="55" cm="1">
        <f t="array" ref="J224">InputFunctions_Dairy.CalculateFractionInMMSAfterSolidSeparation('Input - Dairy'!I54,'Input - Dairy'!I67,'Input - Dairy'!$E$69)</f>
        <v>2.2000000000000002E-2</v>
      </c>
      <c r="N224" s="55" t="str">
        <f>'Input - Dairy'!$D$54</f>
        <v>Milking shed</v>
      </c>
      <c r="O224" s="55" t="str">
        <f>'Input - Dairy'!$D$67</f>
        <v>Anaerobic lagoon</v>
      </c>
      <c r="P224" s="55" cm="1">
        <f t="array" ref="P224">InputFunctions_Dairy.CalculateFractionInMMSAfterSolidSeparation('Input - Dairy'!E59,'Input - Dairy'!E67,'Input - Dairy'!$E$70)</f>
        <v>2.2000000000000002E-2</v>
      </c>
      <c r="Q224" s="55" cm="1">
        <f t="array" ref="Q224">InputFunctions_Dairy.CalculateFractionInMMSAfterSolidSeparation('Input - Dairy'!F59,'Input - Dairy'!F67,'Input - Dairy'!$E$70)</f>
        <v>2.2000000000000002E-2</v>
      </c>
      <c r="R224" s="55" cm="1">
        <f t="array" ref="R224">InputFunctions_Dairy.CalculateFractionInMMSAfterSolidSeparation('Input - Dairy'!G59,'Input - Dairy'!G67,'Input - Dairy'!$E$70)</f>
        <v>2.2000000000000002E-2</v>
      </c>
      <c r="S224" s="55" cm="1">
        <f t="array" ref="S224">InputFunctions_Dairy.CalculateFractionInMMSAfterSolidSeparation('Input - Dairy'!H59,'Input - Dairy'!H67,'Input - Dairy'!$E$70)</f>
        <v>2.2000000000000002E-2</v>
      </c>
      <c r="T224" s="55" cm="1">
        <f t="array" ref="T224">InputFunctions_Dairy.CalculateFractionInMMSAfterSolidSeparation('Input - Dairy'!I59,'Input - Dairy'!I67,'Input - Dairy'!$E$70)</f>
        <v>2.2000000000000002E-2</v>
      </c>
    </row>
    <row r="225" spans="4:20" ht="20.100000000000001" customHeight="1" x14ac:dyDescent="0.25">
      <c r="D225" s="55" t="str">
        <f>'Input - Dairy'!$D$54</f>
        <v>Milking shed</v>
      </c>
      <c r="E225" s="55" t="str">
        <f>'Input - Dairy'!$D$72</f>
        <v>Sump and dispersal system</v>
      </c>
      <c r="F225" s="55" cm="1">
        <f t="array" ref="F225">InputFunctions_Dairy.CalculateFractionInMMSAfterSolidSeparation('Input - Dairy'!E54,'Input - Dairy'!E72,'Input - Dairy'!$E$74)</f>
        <v>2.2000000000000002E-2</v>
      </c>
      <c r="G225" s="55" cm="1">
        <f t="array" ref="G225">InputFunctions_Dairy.CalculateFractionInMMSAfterSolidSeparation('Input - Dairy'!F54,'Input - Dairy'!F72,'Input - Dairy'!$E$74)</f>
        <v>2.2000000000000002E-2</v>
      </c>
      <c r="H225" s="55" cm="1">
        <f t="array" ref="H225">InputFunctions_Dairy.CalculateFractionInMMSAfterSolidSeparation('Input - Dairy'!G54,'Input - Dairy'!G72,'Input - Dairy'!$E$74)</f>
        <v>2.2000000000000002E-2</v>
      </c>
      <c r="I225" s="55" cm="1">
        <f t="array" ref="I225">InputFunctions_Dairy.CalculateFractionInMMSAfterSolidSeparation('Input - Dairy'!H54,'Input - Dairy'!H72,'Input - Dairy'!$E$74)</f>
        <v>2.2000000000000002E-2</v>
      </c>
      <c r="J225" s="55" cm="1">
        <f t="array" ref="J225">InputFunctions_Dairy.CalculateFractionInMMSAfterSolidSeparation('Input - Dairy'!I54,'Input - Dairy'!I72,'Input - Dairy'!$E$74)</f>
        <v>2.2000000000000002E-2</v>
      </c>
      <c r="N225" s="55" t="str">
        <f>'Input - Dairy'!$D$54</f>
        <v>Milking shed</v>
      </c>
      <c r="O225" s="55" t="str">
        <f>'Input - Dairy'!$D$72</f>
        <v>Sump and dispersal system</v>
      </c>
      <c r="P225" s="55" cm="1">
        <f t="array" ref="P225">InputFunctions_Dairy.CalculateFractionInMMSAfterSolidSeparation('Input - Dairy'!E59,'Input - Dairy'!E72,'Input - Dairy'!$E$75)</f>
        <v>2.2000000000000002E-2</v>
      </c>
      <c r="Q225" s="55" cm="1">
        <f t="array" ref="Q225">InputFunctions_Dairy.CalculateFractionInMMSAfterSolidSeparation('Input - Dairy'!F59,'Input - Dairy'!F72,'Input - Dairy'!$E$75)</f>
        <v>2.2000000000000002E-2</v>
      </c>
      <c r="R225" s="55" cm="1">
        <f t="array" ref="R225">InputFunctions_Dairy.CalculateFractionInMMSAfterSolidSeparation('Input - Dairy'!G59,'Input - Dairy'!G72,'Input - Dairy'!$E$75)</f>
        <v>2.2000000000000002E-2</v>
      </c>
      <c r="S225" s="55" cm="1">
        <f t="array" ref="S225">InputFunctions_Dairy.CalculateFractionInMMSAfterSolidSeparation('Input - Dairy'!H59,'Input - Dairy'!H72,'Input - Dairy'!$E$75)</f>
        <v>2.2000000000000002E-2</v>
      </c>
      <c r="T225" s="55" cm="1">
        <f t="array" ref="T225">InputFunctions_Dairy.CalculateFractionInMMSAfterSolidSeparation('Input - Dairy'!I59,'Input - Dairy'!I72,'Input - Dairy'!$E$75)</f>
        <v>2.2000000000000002E-2</v>
      </c>
    </row>
    <row r="226" spans="4:20" ht="20.100000000000001" customHeight="1" x14ac:dyDescent="0.25">
      <c r="D226" s="55" t="str">
        <f>'Input - Dairy'!$D$54</f>
        <v>Milking shed</v>
      </c>
      <c r="E226" s="55" t="str">
        <f>'Input - Dairy'!$D$77</f>
        <v>Drains to paddock</v>
      </c>
      <c r="F226" s="55" cm="1">
        <f t="array" ref="F226">InputFunctions_Dairy.CalculateFractionInMMSAfterSolidSeparation('Input - Dairy'!E54,'Input - Dairy'!E77,'Input - Dairy'!$E$79)</f>
        <v>2.2000000000000002E-2</v>
      </c>
      <c r="G226" s="55" cm="1">
        <f t="array" ref="G226">InputFunctions_Dairy.CalculateFractionInMMSAfterSolidSeparation('Input - Dairy'!F54,'Input - Dairy'!F77,'Input - Dairy'!$E$79)</f>
        <v>2.2000000000000002E-2</v>
      </c>
      <c r="H226" s="55" cm="1">
        <f t="array" ref="H226">InputFunctions_Dairy.CalculateFractionInMMSAfterSolidSeparation('Input - Dairy'!G54,'Input - Dairy'!G77,'Input - Dairy'!$E$79)</f>
        <v>2.2000000000000002E-2</v>
      </c>
      <c r="I226" s="55" cm="1">
        <f t="array" ref="I226">InputFunctions_Dairy.CalculateFractionInMMSAfterSolidSeparation('Input - Dairy'!H54,'Input - Dairy'!H77,'Input - Dairy'!$E$79)</f>
        <v>2.2000000000000002E-2</v>
      </c>
      <c r="J226" s="55" cm="1">
        <f t="array" ref="J226">InputFunctions_Dairy.CalculateFractionInMMSAfterSolidSeparation('Input - Dairy'!I54,'Input - Dairy'!I77,'Input - Dairy'!$E$79)</f>
        <v>2.2000000000000002E-2</v>
      </c>
      <c r="N226" s="55" t="str">
        <f>'Input - Dairy'!$D$54</f>
        <v>Milking shed</v>
      </c>
      <c r="O226" s="55" t="str">
        <f>'Input - Dairy'!$D$77</f>
        <v>Drains to paddock</v>
      </c>
      <c r="P226" s="55" cm="1">
        <f t="array" ref="P226">InputFunctions_Dairy.CalculateFractionInMMSAfterSolidSeparation('Input - Dairy'!E59,'Input - Dairy'!E77,'Input - Dairy'!$E$80)</f>
        <v>2.2000000000000002E-2</v>
      </c>
      <c r="Q226" s="55" cm="1">
        <f t="array" ref="Q226">InputFunctions_Dairy.CalculateFractionInMMSAfterSolidSeparation('Input - Dairy'!F59,'Input - Dairy'!F77,'Input - Dairy'!$E$80)</f>
        <v>2.2000000000000002E-2</v>
      </c>
      <c r="R226" s="55" cm="1">
        <f t="array" ref="R226">InputFunctions_Dairy.CalculateFractionInMMSAfterSolidSeparation('Input - Dairy'!G59,'Input - Dairy'!G77,'Input - Dairy'!$E$80)</f>
        <v>2.2000000000000002E-2</v>
      </c>
      <c r="S226" s="55" cm="1">
        <f t="array" ref="S226">InputFunctions_Dairy.CalculateFractionInMMSAfterSolidSeparation('Input - Dairy'!H59,'Input - Dairy'!H77,'Input - Dairy'!$E$80)</f>
        <v>2.2000000000000002E-2</v>
      </c>
      <c r="T226" s="55" cm="1">
        <f t="array" ref="T226">InputFunctions_Dairy.CalculateFractionInMMSAfterSolidSeparation('Input - Dairy'!I59,'Input - Dairy'!I77,'Input - Dairy'!$E$80)</f>
        <v>2.2000000000000002E-2</v>
      </c>
    </row>
    <row r="227" spans="4:20" ht="20.100000000000001" customHeight="1" x14ac:dyDescent="0.25">
      <c r="D227" s="55" t="str">
        <f>'Input - Dairy'!$D$54</f>
        <v>Milking shed</v>
      </c>
      <c r="E227" s="55" t="str">
        <f>'Input - Dairy'!$D$82</f>
        <v>Solid storage</v>
      </c>
      <c r="F227" s="55" cm="1">
        <f t="array" ref="F227">InputFunctions_Dairy.CalculateFractionInSolidStorage('Input - Dairy'!E54,'Input - Dairy'!E82,'Input - Dairy'!E67,'Input - Dairy'!$E$69,'Input - Dairy'!E72,'Input - Dairy'!$E$74,'Input - Dairy'!E77,'Input - Dairy'!$E$79)</f>
        <v>4.3999999999999997E-2</v>
      </c>
      <c r="G227" s="55" cm="1">
        <f t="array" ref="G227">InputFunctions_Dairy.CalculateFractionInSolidStorage('Input - Dairy'!F54,'Input - Dairy'!F82,'Input - Dairy'!F67,'Input - Dairy'!$E$69,'Input - Dairy'!F72,'Input - Dairy'!$E$74,'Input - Dairy'!F77,'Input - Dairy'!$E$79)</f>
        <v>4.3999999999999997E-2</v>
      </c>
      <c r="H227" s="55" cm="1">
        <f t="array" ref="H227">InputFunctions_Dairy.CalculateFractionInSolidStorage('Input - Dairy'!G54,'Input - Dairy'!G82,'Input - Dairy'!G67,'Input - Dairy'!$E$69,'Input - Dairy'!G72,'Input - Dairy'!$E$74,'Input - Dairy'!G77,'Input - Dairy'!$E$79)</f>
        <v>4.3999999999999997E-2</v>
      </c>
      <c r="I227" s="55" cm="1">
        <f t="array" ref="I227">InputFunctions_Dairy.CalculateFractionInSolidStorage('Input - Dairy'!H54,'Input - Dairy'!H82,'Input - Dairy'!H67,'Input - Dairy'!$E$69,'Input - Dairy'!H72,'Input - Dairy'!$E$74,'Input - Dairy'!H77,'Input - Dairy'!$E$79)</f>
        <v>4.3999999999999997E-2</v>
      </c>
      <c r="J227" s="55" cm="1">
        <f t="array" ref="J227">InputFunctions_Dairy.CalculateFractionInSolidStorage('Input - Dairy'!I54,'Input - Dairy'!I82,'Input - Dairy'!I67,'Input - Dairy'!$E$69,'Input - Dairy'!I72,'Input - Dairy'!$E$74,'Input - Dairy'!I77,'Input - Dairy'!$E$79)</f>
        <v>4.3999999999999997E-2</v>
      </c>
      <c r="N227" s="55" t="str">
        <f>'Input - Dairy'!$D$54</f>
        <v>Milking shed</v>
      </c>
      <c r="O227" s="55" t="str">
        <f>'Input - Dairy'!$D$82</f>
        <v>Solid storage</v>
      </c>
      <c r="P227" s="55" cm="1">
        <f t="array" ref="P227">InputFunctions_Dairy.CalculateFractionInSolidStorage('Input - Dairy'!E59,'Input - Dairy'!E82,'Input - Dairy'!E67,'Input - Dairy'!$E$70,'Input - Dairy'!E72,'Input - Dairy'!$E$75,'Input - Dairy'!E77,'Input - Dairy'!$E$80)</f>
        <v>4.3999999999999997E-2</v>
      </c>
      <c r="Q227" s="55" cm="1">
        <f t="array" ref="Q227">InputFunctions_Dairy.CalculateFractionInSolidStorage('Input - Dairy'!F59,'Input - Dairy'!F82,'Input - Dairy'!F67,'Input - Dairy'!$E$70,'Input - Dairy'!F72,'Input - Dairy'!$E$75,'Input - Dairy'!F77,'Input - Dairy'!$E$80)</f>
        <v>4.3999999999999997E-2</v>
      </c>
      <c r="R227" s="55" cm="1">
        <f t="array" ref="R227">InputFunctions_Dairy.CalculateFractionInSolidStorage('Input - Dairy'!G59,'Input - Dairy'!G82,'Input - Dairy'!G67,'Input - Dairy'!$E$70,'Input - Dairy'!G72,'Input - Dairy'!$E$75,'Input - Dairy'!G77,'Input - Dairy'!$E$80)</f>
        <v>4.3999999999999997E-2</v>
      </c>
      <c r="S227" s="55" cm="1">
        <f t="array" ref="S227">InputFunctions_Dairy.CalculateFractionInSolidStorage('Input - Dairy'!H59,'Input - Dairy'!H82,'Input - Dairy'!H67,'Input - Dairy'!$E$70,'Input - Dairy'!H72,'Input - Dairy'!$E$75,'Input - Dairy'!H77,'Input - Dairy'!$E$80)</f>
        <v>4.3999999999999997E-2</v>
      </c>
      <c r="T227" s="55" cm="1">
        <f t="array" ref="T227">InputFunctions_Dairy.CalculateFractionInSolidStorage('Input - Dairy'!I59,'Input - Dairy'!I82,'Input - Dairy'!I67,'Input - Dairy'!$E$70,'Input - Dairy'!I72,'Input - Dairy'!$E$75,'Input - Dairy'!I77,'Input - Dairy'!$E$80)</f>
        <v>4.3999999999999997E-2</v>
      </c>
    </row>
    <row r="228" spans="4:20" ht="20.100000000000001" customHeight="1" x14ac:dyDescent="0.25">
      <c r="D228" s="55" t="str">
        <f>'Input - Dairy'!$D$55</f>
        <v>Feed pad</v>
      </c>
      <c r="E228" s="55" t="str">
        <f>'Input - Dairy'!$D$101</f>
        <v>Anaerobic lagoon</v>
      </c>
      <c r="F228" s="55" cm="1">
        <f t="array" ref="F228">InputFunctions_Dairy.CalculateFractionInMMSAfterSolidSeparation('Input - Dairy'!E55,'Input - Dairy'!E101,'Input - Dairy'!$E$103)</f>
        <v>8.8999999999999996E-2</v>
      </c>
      <c r="G228" s="55" cm="1">
        <f t="array" ref="G228">InputFunctions_Dairy.CalculateFractionInMMSAfterSolidSeparation('Input - Dairy'!F55,'Input - Dairy'!F101,'Input - Dairy'!$E$103)</f>
        <v>8.8999999999999996E-2</v>
      </c>
      <c r="H228" s="55" cm="1">
        <f t="array" ref="H228">InputFunctions_Dairy.CalculateFractionInMMSAfterSolidSeparation('Input - Dairy'!G55,'Input - Dairy'!G101,'Input - Dairy'!$E$103)</f>
        <v>8.8999999999999996E-2</v>
      </c>
      <c r="I228" s="55" cm="1">
        <f t="array" ref="I228">InputFunctions_Dairy.CalculateFractionInMMSAfterSolidSeparation('Input - Dairy'!H55,'Input - Dairy'!H101,'Input - Dairy'!$E$103)</f>
        <v>8.8999999999999996E-2</v>
      </c>
      <c r="J228" s="55" cm="1">
        <f t="array" ref="J228">InputFunctions_Dairy.CalculateFractionInMMSAfterSolidSeparation('Input - Dairy'!I55,'Input - Dairy'!I101,'Input - Dairy'!$E$103)</f>
        <v>8.8999999999999996E-2</v>
      </c>
      <c r="N228" s="55" t="str">
        <f>'Input - Dairy'!$D$55</f>
        <v>Feed pad</v>
      </c>
      <c r="O228" s="55" t="str">
        <f>'Input - Dairy'!$D$101</f>
        <v>Anaerobic lagoon</v>
      </c>
      <c r="P228" s="55" cm="1">
        <f t="array" ref="P228">InputFunctions_Dairy.CalculateFractionInMMSAfterSolidSeparation('Input - Dairy'!E60,'Input - Dairy'!E101,'Input - Dairy'!$E$104)</f>
        <v>8.8999999999999996E-2</v>
      </c>
      <c r="Q228" s="55" cm="1">
        <f t="array" ref="Q228">InputFunctions_Dairy.CalculateFractionInMMSAfterSolidSeparation('Input - Dairy'!F60,'Input - Dairy'!F101,'Input - Dairy'!$E$104)</f>
        <v>8.8999999999999996E-2</v>
      </c>
      <c r="R228" s="55" cm="1">
        <f t="array" ref="R228">InputFunctions_Dairy.CalculateFractionInMMSAfterSolidSeparation('Input - Dairy'!G60,'Input - Dairy'!G101,'Input - Dairy'!$E$104)</f>
        <v>8.8999999999999996E-2</v>
      </c>
      <c r="S228" s="55" cm="1">
        <f t="array" ref="S228">InputFunctions_Dairy.CalculateFractionInMMSAfterSolidSeparation('Input - Dairy'!H60,'Input - Dairy'!H101,'Input - Dairy'!$E$104)</f>
        <v>8.8999999999999996E-2</v>
      </c>
      <c r="T228" s="55" cm="1">
        <f t="array" ref="T228">InputFunctions_Dairy.CalculateFractionInMMSAfterSolidSeparation('Input - Dairy'!I60,'Input - Dairy'!I101,'Input - Dairy'!$E$104)</f>
        <v>8.8999999999999996E-2</v>
      </c>
    </row>
    <row r="229" spans="4:20" ht="20.100000000000001" customHeight="1" x14ac:dyDescent="0.25">
      <c r="D229" s="55" t="str">
        <f>'Input - Dairy'!$D$55</f>
        <v>Feed pad</v>
      </c>
      <c r="E229" s="55" t="str">
        <f>'Input - Dairy'!$D$106</f>
        <v>Sump and dispersal system</v>
      </c>
      <c r="F229" s="55" cm="1">
        <f t="array" ref="F229">InputFunctions_Dairy.CalculateFractionInMMSAfterSolidSeparation('Input - Dairy'!E55,'Input - Dairy'!E106,'Input - Dairy'!$E$108)</f>
        <v>7.1199999999999999E-2</v>
      </c>
      <c r="G229" s="55" cm="1">
        <f t="array" ref="G229">InputFunctions_Dairy.CalculateFractionInMMSAfterSolidSeparation('Input - Dairy'!F55,'Input - Dairy'!F106,'Input - Dairy'!$E$108)</f>
        <v>7.1199999999999999E-2</v>
      </c>
      <c r="H229" s="55" cm="1">
        <f t="array" ref="H229">InputFunctions_Dairy.CalculateFractionInMMSAfterSolidSeparation('Input - Dairy'!G55,'Input - Dairy'!G106,'Input - Dairy'!$E$108)</f>
        <v>7.1199999999999999E-2</v>
      </c>
      <c r="I229" s="55" cm="1">
        <f t="array" ref="I229">InputFunctions_Dairy.CalculateFractionInMMSAfterSolidSeparation('Input - Dairy'!H55,'Input - Dairy'!H106,'Input - Dairy'!$E$108)</f>
        <v>7.1199999999999999E-2</v>
      </c>
      <c r="J229" s="55" cm="1">
        <f t="array" ref="J229">InputFunctions_Dairy.CalculateFractionInMMSAfterSolidSeparation('Input - Dairy'!I55,'Input - Dairy'!I106,'Input - Dairy'!$E$108)</f>
        <v>7.1199999999999999E-2</v>
      </c>
      <c r="N229" s="55" t="str">
        <f>'Input - Dairy'!$D$55</f>
        <v>Feed pad</v>
      </c>
      <c r="O229" s="55" t="str">
        <f>'Input - Dairy'!$D$106</f>
        <v>Sump and dispersal system</v>
      </c>
      <c r="P229" s="55" cm="1">
        <f t="array" ref="P229">InputFunctions_Dairy.CalculateFractionInMMSAfterSolidSeparation('Input - Dairy'!E60,'Input - Dairy'!E106,'Input - Dairy'!$E$109)</f>
        <v>7.1199999999999999E-2</v>
      </c>
      <c r="Q229" s="55" cm="1">
        <f t="array" ref="Q229">InputFunctions_Dairy.CalculateFractionInMMSAfterSolidSeparation('Input - Dairy'!F60,'Input - Dairy'!F106,'Input - Dairy'!$E$109)</f>
        <v>7.1199999999999999E-2</v>
      </c>
      <c r="R229" s="55" cm="1">
        <f t="array" ref="R229">InputFunctions_Dairy.CalculateFractionInMMSAfterSolidSeparation('Input - Dairy'!G60,'Input - Dairy'!G106,'Input - Dairy'!$E$109)</f>
        <v>7.1199999999999999E-2</v>
      </c>
      <c r="S229" s="55" cm="1">
        <f t="array" ref="S229">InputFunctions_Dairy.CalculateFractionInMMSAfterSolidSeparation('Input - Dairy'!H60,'Input - Dairy'!H106,'Input - Dairy'!$E$109)</f>
        <v>7.1199999999999999E-2</v>
      </c>
      <c r="T229" s="55" cm="1">
        <f t="array" ref="T229">InputFunctions_Dairy.CalculateFractionInMMSAfterSolidSeparation('Input - Dairy'!I60,'Input - Dairy'!I106,'Input - Dairy'!$E$109)</f>
        <v>7.1199999999999999E-2</v>
      </c>
    </row>
    <row r="230" spans="4:20" ht="20.100000000000001" customHeight="1" x14ac:dyDescent="0.25">
      <c r="D230" s="55" t="str">
        <f>'Input - Dairy'!$D$55</f>
        <v>Feed pad</v>
      </c>
      <c r="E230" s="55" t="str">
        <f>'Input - Dairy'!$D$111</f>
        <v>Drains to paddock</v>
      </c>
      <c r="F230" s="55" cm="1">
        <f t="array" ref="F230">InputFunctions_Dairy.CalculateFractionInMMSAfterSolidSeparation('Input - Dairy'!E55,'Input - Dairy'!E111,'Input - Dairy'!$E$113)</f>
        <v>7.1199999999999999E-2</v>
      </c>
      <c r="G230" s="55" cm="1">
        <f t="array" ref="G230">InputFunctions_Dairy.CalculateFractionInMMSAfterSolidSeparation('Input - Dairy'!F55,'Input - Dairy'!F111,'Input - Dairy'!$E$113)</f>
        <v>7.1199999999999999E-2</v>
      </c>
      <c r="H230" s="55" cm="1">
        <f t="array" ref="H230">InputFunctions_Dairy.CalculateFractionInMMSAfterSolidSeparation('Input - Dairy'!G55,'Input - Dairy'!G111,'Input - Dairy'!$E$113)</f>
        <v>7.1199999999999999E-2</v>
      </c>
      <c r="I230" s="55" cm="1">
        <f t="array" ref="I230">InputFunctions_Dairy.CalculateFractionInMMSAfterSolidSeparation('Input - Dairy'!H55,'Input - Dairy'!H111,'Input - Dairy'!$E$113)</f>
        <v>7.1199999999999999E-2</v>
      </c>
      <c r="J230" s="55" cm="1">
        <f t="array" ref="J230">InputFunctions_Dairy.CalculateFractionInMMSAfterSolidSeparation('Input - Dairy'!I55,'Input - Dairy'!I111,'Input - Dairy'!$E$113)</f>
        <v>7.1199999999999999E-2</v>
      </c>
      <c r="N230" s="55" t="str">
        <f>'Input - Dairy'!$D$55</f>
        <v>Feed pad</v>
      </c>
      <c r="O230" s="55" t="str">
        <f>'Input - Dairy'!$D$111</f>
        <v>Drains to paddock</v>
      </c>
      <c r="P230" s="55" cm="1">
        <f t="array" ref="P230">InputFunctions_Dairy.CalculateFractionInMMSAfterSolidSeparation('Input - Dairy'!E60,'Input - Dairy'!E111,'Input - Dairy'!$E$114)</f>
        <v>7.1199999999999999E-2</v>
      </c>
      <c r="Q230" s="55" cm="1">
        <f t="array" ref="Q230">InputFunctions_Dairy.CalculateFractionInMMSAfterSolidSeparation('Input - Dairy'!F60,'Input - Dairy'!F111,'Input - Dairy'!$E$114)</f>
        <v>7.1199999999999999E-2</v>
      </c>
      <c r="R230" s="55" cm="1">
        <f t="array" ref="R230">InputFunctions_Dairy.CalculateFractionInMMSAfterSolidSeparation('Input - Dairy'!G60,'Input - Dairy'!G111,'Input - Dairy'!$E$114)</f>
        <v>7.1199999999999999E-2</v>
      </c>
      <c r="S230" s="55" cm="1">
        <f t="array" ref="S230">InputFunctions_Dairy.CalculateFractionInMMSAfterSolidSeparation('Input - Dairy'!H60,'Input - Dairy'!H111,'Input - Dairy'!$E$114)</f>
        <v>7.1199999999999999E-2</v>
      </c>
      <c r="T230" s="55" cm="1">
        <f t="array" ref="T230">InputFunctions_Dairy.CalculateFractionInMMSAfterSolidSeparation('Input - Dairy'!I60,'Input - Dairy'!I111,'Input - Dairy'!$E$114)</f>
        <v>7.1199999999999999E-2</v>
      </c>
    </row>
    <row r="231" spans="4:20" ht="20.100000000000001" customHeight="1" x14ac:dyDescent="0.25">
      <c r="D231" s="55" t="str">
        <f>'Input - Dairy'!$D$55</f>
        <v>Feed pad</v>
      </c>
      <c r="E231" s="55" t="str">
        <f>'Input - Dairy'!$D$116</f>
        <v>Solid storage</v>
      </c>
      <c r="F231" s="55" cm="1">
        <f t="array" ref="F231">InputFunctions_Dairy.CalculateFractionInSolidStorage('Input - Dairy'!E55,'Input - Dairy'!E116,'Input - Dairy'!E101,'Input - Dairy'!$E$103,'Input - Dairy'!E106,'Input - Dairy'!$E$108,'Input - Dairy'!E111,'Input - Dairy'!$E$113)</f>
        <v>0.12459999999999999</v>
      </c>
      <c r="G231" s="55" cm="1">
        <f t="array" ref="G231">InputFunctions_Dairy.CalculateFractionInSolidStorage('Input - Dairy'!F55,'Input - Dairy'!F116,'Input - Dairy'!F101,'Input - Dairy'!$E$103,'Input - Dairy'!F106,'Input - Dairy'!$E$108,'Input - Dairy'!F111,'Input - Dairy'!$E$113)</f>
        <v>0.12459999999999999</v>
      </c>
      <c r="H231" s="55" cm="1">
        <f t="array" ref="H231">InputFunctions_Dairy.CalculateFractionInSolidStorage('Input - Dairy'!G55,'Input - Dairy'!G116,'Input - Dairy'!G101,'Input - Dairy'!$E$103,'Input - Dairy'!G106,'Input - Dairy'!$E$108,'Input - Dairy'!G111,'Input - Dairy'!$E$113)</f>
        <v>0.12459999999999999</v>
      </c>
      <c r="I231" s="55" cm="1">
        <f t="array" ref="I231">InputFunctions_Dairy.CalculateFractionInSolidStorage('Input - Dairy'!H55,'Input - Dairy'!H116,'Input - Dairy'!H101,'Input - Dairy'!$E$103,'Input - Dairy'!H106,'Input - Dairy'!$E$108,'Input - Dairy'!H111,'Input - Dairy'!$E$113)</f>
        <v>0.12459999999999999</v>
      </c>
      <c r="J231" s="55" cm="1">
        <f t="array" ref="J231">InputFunctions_Dairy.CalculateFractionInSolidStorage('Input - Dairy'!I55,'Input - Dairy'!I116,'Input - Dairy'!I101,'Input - Dairy'!$E$103,'Input - Dairy'!I106,'Input - Dairy'!$E$108,'Input - Dairy'!I111,'Input - Dairy'!$E$113)</f>
        <v>0.12459999999999999</v>
      </c>
      <c r="N231" s="55" t="str">
        <f>'Input - Dairy'!$D$55</f>
        <v>Feed pad</v>
      </c>
      <c r="O231" s="55" t="str">
        <f>'Input - Dairy'!$D$116</f>
        <v>Solid storage</v>
      </c>
      <c r="P231" s="55" cm="1">
        <f t="array" ref="P231">InputFunctions_Dairy.CalculateFractionInSolidStorage('Input - Dairy'!E60,'Input - Dairy'!E116,'Input - Dairy'!E101,'Input - Dairy'!$E$104, 'Input - Dairy'!E106,'Input - Dairy'!$E$109,'Input - Dairy'!E111,'Input - Dairy'!$E$114)</f>
        <v>0.12459999999999999</v>
      </c>
      <c r="Q231" s="55" cm="1">
        <f t="array" ref="Q231">InputFunctions_Dairy.CalculateFractionInSolidStorage('Input - Dairy'!F60,'Input - Dairy'!F116,'Input - Dairy'!F101,'Input - Dairy'!$E$104, 'Input - Dairy'!F106,'Input - Dairy'!$E$109,'Input - Dairy'!F111,'Input - Dairy'!$E$114)</f>
        <v>0.12459999999999999</v>
      </c>
      <c r="R231" s="55" cm="1">
        <f t="array" ref="R231">InputFunctions_Dairy.CalculateFractionInSolidStorage('Input - Dairy'!G60,'Input - Dairy'!G116,'Input - Dairy'!G101,'Input - Dairy'!$E$104, 'Input - Dairy'!G106,'Input - Dairy'!$E$109,'Input - Dairy'!G111,'Input - Dairy'!$E$114)</f>
        <v>0.12459999999999999</v>
      </c>
      <c r="S231" s="55" cm="1">
        <f t="array" ref="S231">InputFunctions_Dairy.CalculateFractionInSolidStorage('Input - Dairy'!H60,'Input - Dairy'!H116,'Input - Dairy'!H101,'Input - Dairy'!$E$104, 'Input - Dairy'!H106,'Input - Dairy'!$E$109,'Input - Dairy'!H111,'Input - Dairy'!$E$114)</f>
        <v>0.12459999999999999</v>
      </c>
      <c r="T231" s="55" cm="1">
        <f t="array" ref="T231">InputFunctions_Dairy.CalculateFractionInSolidStorage('Input - Dairy'!I60,'Input - Dairy'!I116,'Input - Dairy'!I101,'Input - Dairy'!$E$104, 'Input - Dairy'!I106,'Input - Dairy'!$E$109,'Input - Dairy'!I111,'Input - Dairy'!$E$114)</f>
        <v>0.12459999999999999</v>
      </c>
    </row>
    <row r="232" spans="4:20" ht="20.100000000000001" customHeight="1" x14ac:dyDescent="0.25">
      <c r="Q232" s="142"/>
    </row>
    <row r="233" spans="4:20" ht="20.100000000000001" customHeight="1" x14ac:dyDescent="0.25">
      <c r="D233" s="104" t="s">
        <v>335</v>
      </c>
      <c r="N233" s="104" t="s">
        <v>338</v>
      </c>
    </row>
    <row r="234" spans="4:20" ht="20.100000000000001" customHeight="1" x14ac:dyDescent="0.25">
      <c r="D234" s="103" t="s">
        <v>336</v>
      </c>
      <c r="N234" s="103" t="s">
        <v>337</v>
      </c>
    </row>
    <row r="235" spans="4:20" ht="20.100000000000001" customHeight="1" x14ac:dyDescent="0.25">
      <c r="D235" s="54" t="s">
        <v>159</v>
      </c>
      <c r="E235" s="54" t="s">
        <v>69</v>
      </c>
      <c r="F235" s="54" t="s">
        <v>186</v>
      </c>
      <c r="G235" s="54" t="s">
        <v>203</v>
      </c>
      <c r="H235" s="54" t="s">
        <v>204</v>
      </c>
      <c r="I235" s="54" t="s">
        <v>205</v>
      </c>
      <c r="J235" s="54" t="s">
        <v>206</v>
      </c>
      <c r="N235" s="54" t="s">
        <v>159</v>
      </c>
      <c r="O235" s="54" t="s">
        <v>69</v>
      </c>
      <c r="P235" s="54" t="s">
        <v>186</v>
      </c>
      <c r="Q235" s="54" t="s">
        <v>203</v>
      </c>
      <c r="R235" s="54" t="s">
        <v>204</v>
      </c>
      <c r="S235" s="54" t="s">
        <v>205</v>
      </c>
      <c r="T235" s="54" t="s">
        <v>206</v>
      </c>
    </row>
    <row r="236" spans="4:20" ht="20.100000000000001" customHeight="1" x14ac:dyDescent="0.25">
      <c r="D236" s="55" t="str">
        <f>'Input - Dairy'!$D$54</f>
        <v>Milking shed</v>
      </c>
      <c r="E236" s="55" t="str">
        <f>'Input - Dairy'!$D$67</f>
        <v>Anaerobic lagoon</v>
      </c>
      <c r="F236" s="55" cm="1">
        <f t="array" ref="F236">MMS_Dairy_N2ODirect_Equations.VEERG_4_3_1_3__2_TotalNitrogenInEachMMS(D$169,F224)</f>
        <v>212.24813314524795</v>
      </c>
      <c r="G236" s="55" cm="1">
        <f t="array" ref="G236">MMS_Dairy_N2ODirect_Equations.VEERG_4_3_1_3__2_TotalNitrogenInEachMMS(E$169,G224)</f>
        <v>182.35790267782079</v>
      </c>
      <c r="H236" s="55" cm="1">
        <f t="array" ref="H236">MMS_Dairy_N2ODirect_Equations.VEERG_4_3_1_3__2_TotalNitrogenInEachMMS(F$206,H224)</f>
        <v>72.631224123843424</v>
      </c>
      <c r="I236" s="55" cm="1">
        <f t="array" ref="I236">MMS_Dairy_N2ODirect_Equations.VEERG_4_3_1_3__2_TotalNitrogenInEachMMS(G$169,I224)</f>
        <v>229.23109573986844</v>
      </c>
      <c r="J236" s="55" cm="1">
        <f t="array" ref="J236">MMS_Dairy_N2ODirect_Equations.VEERG_4_3_1_3__2_TotalNitrogenInEachMMS(H$206,J224)</f>
        <v>95.962857079055411</v>
      </c>
      <c r="N236" s="55" t="str">
        <f>'Input - Dairy'!$D$54</f>
        <v>Milking shed</v>
      </c>
      <c r="O236" s="55" t="str">
        <f>'Input - Dairy'!$D$67</f>
        <v>Anaerobic lagoon</v>
      </c>
      <c r="P236" s="55" cm="1">
        <f t="array" ref="P236">MMS_Dairy_N2ODirect_Equations.VEERG_4_3_1_3__2_TotalNitrogenInEachMMS(N$169,P224)</f>
        <v>212.24813314524795</v>
      </c>
      <c r="Q236" s="55" cm="1">
        <f t="array" ref="Q236">MMS_Dairy_N2ODirect_Equations.VEERG_4_3_1_3__2_TotalNitrogenInEachMMS(O$169,Q224)</f>
        <v>182.35790267782079</v>
      </c>
      <c r="R236" s="55" cm="1">
        <f t="array" ref="R236">MMS_Dairy_N2ODirect_Equations.VEERG_4_3_1_3__2_TotalNitrogenInEachMMS(P$206,R224)</f>
        <v>72.631224123843424</v>
      </c>
      <c r="S236" s="55" cm="1">
        <f t="array" ref="S236">MMS_Dairy_N2ODirect_Equations.VEERG_4_3_1_3__2_TotalNitrogenInEachMMS(Q$169,S224)</f>
        <v>229.23109573986844</v>
      </c>
      <c r="T236" s="55" cm="1">
        <f t="array" ref="T236">MMS_Dairy_N2ODirect_Equations.VEERG_4_3_1_3__2_TotalNitrogenInEachMMS(R$206,T224)</f>
        <v>95.962857079055411</v>
      </c>
    </row>
    <row r="237" spans="4:20" ht="20.100000000000001" customHeight="1" x14ac:dyDescent="0.25">
      <c r="D237" s="55" t="str">
        <f>'Input - Dairy'!$D$54</f>
        <v>Milking shed</v>
      </c>
      <c r="E237" s="55" t="str">
        <f>'Input - Dairy'!$D$72</f>
        <v>Sump and dispersal system</v>
      </c>
      <c r="F237" s="55" cm="1">
        <f t="array" ref="F237">MMS_Dairy_N2ODirect_Equations.VEERG_4_3_1_3__2_TotalNitrogenInEachMMS(D$169,F225)</f>
        <v>212.24813314524795</v>
      </c>
      <c r="G237" s="55" cm="1">
        <f t="array" ref="G237">MMS_Dairy_N2ODirect_Equations.VEERG_4_3_1_3__2_TotalNitrogenInEachMMS(E$169,G225)</f>
        <v>182.35790267782079</v>
      </c>
      <c r="H237" s="55" cm="1">
        <f t="array" ref="H237">MMS_Dairy_N2ODirect_Equations.VEERG_4_3_1_3__2_TotalNitrogenInEachMMS(F$206,H225)</f>
        <v>72.631224123843424</v>
      </c>
      <c r="I237" s="55" cm="1">
        <f t="array" ref="I237">MMS_Dairy_N2ODirect_Equations.VEERG_4_3_1_3__2_TotalNitrogenInEachMMS(G$169,I225)</f>
        <v>229.23109573986844</v>
      </c>
      <c r="J237" s="55" cm="1">
        <f t="array" ref="J237">MMS_Dairy_N2ODirect_Equations.VEERG_4_3_1_3__2_TotalNitrogenInEachMMS(H$206,J225)</f>
        <v>95.962857079055411</v>
      </c>
      <c r="N237" s="55" t="str">
        <f>'Input - Dairy'!$D$54</f>
        <v>Milking shed</v>
      </c>
      <c r="O237" s="55" t="str">
        <f>'Input - Dairy'!$D$72</f>
        <v>Sump and dispersal system</v>
      </c>
      <c r="P237" s="55" cm="1">
        <f t="array" ref="P237">MMS_Dairy_N2ODirect_Equations.VEERG_4_3_1_3__2_TotalNitrogenInEachMMS(N$169,P225)</f>
        <v>212.24813314524795</v>
      </c>
      <c r="Q237" s="55" cm="1">
        <f t="array" ref="Q237">MMS_Dairy_N2ODirect_Equations.VEERG_4_3_1_3__2_TotalNitrogenInEachMMS(O$169,Q225)</f>
        <v>182.35790267782079</v>
      </c>
      <c r="R237" s="55" cm="1">
        <f t="array" ref="R237">MMS_Dairy_N2ODirect_Equations.VEERG_4_3_1_3__2_TotalNitrogenInEachMMS(P$206,R225)</f>
        <v>72.631224123843424</v>
      </c>
      <c r="S237" s="55" cm="1">
        <f t="array" ref="S237">MMS_Dairy_N2ODirect_Equations.VEERG_4_3_1_3__2_TotalNitrogenInEachMMS(Q$169,S225)</f>
        <v>229.23109573986844</v>
      </c>
      <c r="T237" s="55" cm="1">
        <f t="array" ref="T237">MMS_Dairy_N2ODirect_Equations.VEERG_4_3_1_3__2_TotalNitrogenInEachMMS(R$206,T225)</f>
        <v>95.962857079055411</v>
      </c>
    </row>
    <row r="238" spans="4:20" ht="20.100000000000001" customHeight="1" x14ac:dyDescent="0.25">
      <c r="D238" s="55" t="str">
        <f>'Input - Dairy'!$D$54</f>
        <v>Milking shed</v>
      </c>
      <c r="E238" s="55" t="str">
        <f>'Input - Dairy'!$D$77</f>
        <v>Drains to paddock</v>
      </c>
      <c r="F238" s="55" cm="1">
        <f t="array" ref="F238">MMS_Dairy_N2ODirect_Equations.VEERG_4_3_1_3__2_TotalNitrogenInEachMMS(D$169,F226)</f>
        <v>212.24813314524795</v>
      </c>
      <c r="G238" s="55" cm="1">
        <f t="array" ref="G238">MMS_Dairy_N2ODirect_Equations.VEERG_4_3_1_3__2_TotalNitrogenInEachMMS(E$169,G226)</f>
        <v>182.35790267782079</v>
      </c>
      <c r="H238" s="55" cm="1">
        <f t="array" ref="H238">MMS_Dairy_N2ODirect_Equations.VEERG_4_3_1_3__2_TotalNitrogenInEachMMS(F$206,H226)</f>
        <v>72.631224123843424</v>
      </c>
      <c r="I238" s="55" cm="1">
        <f t="array" ref="I238">MMS_Dairy_N2ODirect_Equations.VEERG_4_3_1_3__2_TotalNitrogenInEachMMS(G$169,I226)</f>
        <v>229.23109573986844</v>
      </c>
      <c r="J238" s="55" cm="1">
        <f t="array" ref="J238">MMS_Dairy_N2ODirect_Equations.VEERG_4_3_1_3__2_TotalNitrogenInEachMMS(H$206,J226)</f>
        <v>95.962857079055411</v>
      </c>
      <c r="N238" s="55" t="str">
        <f>'Input - Dairy'!$D$54</f>
        <v>Milking shed</v>
      </c>
      <c r="O238" s="55" t="str">
        <f>'Input - Dairy'!$D$77</f>
        <v>Drains to paddock</v>
      </c>
      <c r="P238" s="55" cm="1">
        <f t="array" ref="P238">MMS_Dairy_N2ODirect_Equations.VEERG_4_3_1_3__2_TotalNitrogenInEachMMS(N$169,P226)</f>
        <v>212.24813314524795</v>
      </c>
      <c r="Q238" s="55" cm="1">
        <f t="array" ref="Q238">MMS_Dairy_N2ODirect_Equations.VEERG_4_3_1_3__2_TotalNitrogenInEachMMS(O$169,Q226)</f>
        <v>182.35790267782079</v>
      </c>
      <c r="R238" s="55" cm="1">
        <f t="array" ref="R238">MMS_Dairy_N2ODirect_Equations.VEERG_4_3_1_3__2_TotalNitrogenInEachMMS(P$206,R226)</f>
        <v>72.631224123843424</v>
      </c>
      <c r="S238" s="55" cm="1">
        <f t="array" ref="S238">MMS_Dairy_N2ODirect_Equations.VEERG_4_3_1_3__2_TotalNitrogenInEachMMS(Q$169,S226)</f>
        <v>229.23109573986844</v>
      </c>
      <c r="T238" s="55" cm="1">
        <f t="array" ref="T238">MMS_Dairy_N2ODirect_Equations.VEERG_4_3_1_3__2_TotalNitrogenInEachMMS(R$206,T226)</f>
        <v>95.962857079055411</v>
      </c>
    </row>
    <row r="239" spans="4:20" ht="20.100000000000001" customHeight="1" x14ac:dyDescent="0.25">
      <c r="D239" s="55" t="str">
        <f>'Input - Dairy'!$D$54</f>
        <v>Milking shed</v>
      </c>
      <c r="E239" s="55" t="str">
        <f>'Input - Dairy'!$D$82</f>
        <v>Solid storage</v>
      </c>
      <c r="F239" s="55" cm="1">
        <f t="array" ref="F239">MMS_Dairy_N2ODirect_Equations.VEERG_4_3_1_3__2_TotalNitrogenInEachMMS(D$169,F227)</f>
        <v>424.49626629049584</v>
      </c>
      <c r="G239" s="55" cm="1">
        <f t="array" ref="G239">MMS_Dairy_N2ODirect_Equations.VEERG_4_3_1_3__2_TotalNitrogenInEachMMS(E$169,G227)</f>
        <v>364.71580535564152</v>
      </c>
      <c r="H239" s="55" cm="1">
        <f t="array" ref="H239">MMS_Dairy_N2ODirect_Equations.VEERG_4_3_1_3__2_TotalNitrogenInEachMMS(F$206,H227)</f>
        <v>145.26244824768682</v>
      </c>
      <c r="I239" s="55" cm="1">
        <f t="array" ref="I239">MMS_Dairy_N2ODirect_Equations.VEERG_4_3_1_3__2_TotalNitrogenInEachMMS(G$169,I227)</f>
        <v>458.46219147973682</v>
      </c>
      <c r="J239" s="55" cm="1">
        <f t="array" ref="J239">MMS_Dairy_N2ODirect_Equations.VEERG_4_3_1_3__2_TotalNitrogenInEachMMS(H$206,J227)</f>
        <v>191.92571415811079</v>
      </c>
      <c r="N239" s="55" t="str">
        <f>'Input - Dairy'!$D$54</f>
        <v>Milking shed</v>
      </c>
      <c r="O239" s="55" t="str">
        <f>'Input - Dairy'!$D$82</f>
        <v>Solid storage</v>
      </c>
      <c r="P239" s="55" cm="1">
        <f t="array" ref="P239">MMS_Dairy_N2ODirect_Equations.VEERG_4_3_1_3__2_TotalNitrogenInEachMMS(N$169,P227)</f>
        <v>424.49626629049584</v>
      </c>
      <c r="Q239" s="55" cm="1">
        <f t="array" ref="Q239">MMS_Dairy_N2ODirect_Equations.VEERG_4_3_1_3__2_TotalNitrogenInEachMMS(O$169,Q227)</f>
        <v>364.71580535564152</v>
      </c>
      <c r="R239" s="55" cm="1">
        <f t="array" ref="R239">MMS_Dairy_N2ODirect_Equations.VEERG_4_3_1_3__2_TotalNitrogenInEachMMS(P$206,R227)</f>
        <v>145.26244824768682</v>
      </c>
      <c r="S239" s="55" cm="1">
        <f t="array" ref="S239">MMS_Dairy_N2ODirect_Equations.VEERG_4_3_1_3__2_TotalNitrogenInEachMMS(Q$169,S227)</f>
        <v>458.46219147973682</v>
      </c>
      <c r="T239" s="55" cm="1">
        <f t="array" ref="T239">MMS_Dairy_N2ODirect_Equations.VEERG_4_3_1_3__2_TotalNitrogenInEachMMS(R$206,T227)</f>
        <v>191.92571415811079</v>
      </c>
    </row>
    <row r="240" spans="4:20" ht="20.100000000000001" customHeight="1" x14ac:dyDescent="0.25">
      <c r="D240" s="55" t="str">
        <f>'Input - Dairy'!$D$55</f>
        <v>Feed pad</v>
      </c>
      <c r="E240" s="55" t="str">
        <f>'Input - Dairy'!$D$101</f>
        <v>Anaerobic lagoon</v>
      </c>
      <c r="F240" s="55" cm="1">
        <f t="array" ref="F240">MMS_Dairy_N2ODirect_Equations.VEERG_4_3_1_3__2_TotalNitrogenInEachMMS(D$169,F228)</f>
        <v>858.64017499668478</v>
      </c>
      <c r="G240" s="55" cm="1">
        <f t="array" ref="G240">MMS_Dairy_N2ODirect_Equations.VEERG_4_3_1_3__2_TotalNitrogenInEachMMS(E$169,G228)</f>
        <v>737.72060628754764</v>
      </c>
      <c r="H240" s="55" cm="1">
        <f t="array" ref="H240">MMS_Dairy_N2ODirect_Equations.VEERG_4_3_1_3__2_TotalNitrogenInEachMMS(F$206,H228)</f>
        <v>293.82631577373019</v>
      </c>
      <c r="I240" s="55" cm="1">
        <f t="array" ref="I240">MMS_Dairy_N2ODirect_Equations.VEERG_4_3_1_3__2_TotalNitrogenInEachMMS(G$169,I228)</f>
        <v>927.34397822037681</v>
      </c>
      <c r="J240" s="55" cm="1">
        <f t="array" ref="J240">MMS_Dairy_N2ODirect_Equations.VEERG_4_3_1_3__2_TotalNitrogenInEachMMS(H$206,J228)</f>
        <v>388.21337636526954</v>
      </c>
      <c r="N240" s="55" t="str">
        <f>'Input - Dairy'!$D$55</f>
        <v>Feed pad</v>
      </c>
      <c r="O240" s="55" t="str">
        <f>'Input - Dairy'!$D$101</f>
        <v>Anaerobic lagoon</v>
      </c>
      <c r="P240" s="55" cm="1">
        <f t="array" ref="P240">MMS_Dairy_N2ODirect_Equations.VEERG_4_3_1_3__2_TotalNitrogenInEachMMS(N$169,P228)</f>
        <v>858.64017499668478</v>
      </c>
      <c r="Q240" s="55" cm="1">
        <f t="array" ref="Q240">MMS_Dairy_N2ODirect_Equations.VEERG_4_3_1_3__2_TotalNitrogenInEachMMS(O$169,Q228)</f>
        <v>737.72060628754764</v>
      </c>
      <c r="R240" s="55" cm="1">
        <f t="array" ref="R240">MMS_Dairy_N2ODirect_Equations.VEERG_4_3_1_3__2_TotalNitrogenInEachMMS(P$206,R228)</f>
        <v>293.82631577373019</v>
      </c>
      <c r="S240" s="55" cm="1">
        <f t="array" ref="S240">MMS_Dairy_N2ODirect_Equations.VEERG_4_3_1_3__2_TotalNitrogenInEachMMS(Q$169,S228)</f>
        <v>927.34397822037681</v>
      </c>
      <c r="T240" s="55" cm="1">
        <f t="array" ref="T240">MMS_Dairy_N2ODirect_Equations.VEERG_4_3_1_3__2_TotalNitrogenInEachMMS(R$206,T228)</f>
        <v>388.21337636526954</v>
      </c>
    </row>
    <row r="241" spans="3:21" ht="20.100000000000001" customHeight="1" x14ac:dyDescent="0.25">
      <c r="D241" s="55" t="str">
        <f>'Input - Dairy'!$D$55</f>
        <v>Feed pad</v>
      </c>
      <c r="E241" s="55" t="str">
        <f>'Input - Dairy'!$D$106</f>
        <v>Sump and dispersal system</v>
      </c>
      <c r="F241" s="55" cm="1">
        <f t="array" ref="F241">MMS_Dairy_N2ODirect_Equations.VEERG_4_3_1_3__2_TotalNitrogenInEachMMS(D$169,F229)</f>
        <v>686.91213999734782</v>
      </c>
      <c r="G241" s="55" cm="1">
        <f t="array" ref="G241">MMS_Dairy_N2ODirect_Equations.VEERG_4_3_1_3__2_TotalNitrogenInEachMMS(E$169,G229)</f>
        <v>590.17648503003818</v>
      </c>
      <c r="H241" s="55" cm="1">
        <f t="array" ref="H241">MMS_Dairy_N2ODirect_Equations.VEERG_4_3_1_3__2_TotalNitrogenInEachMMS(F$206,H229)</f>
        <v>235.06105261898415</v>
      </c>
      <c r="I241" s="55" cm="1">
        <f t="array" ref="I241">MMS_Dairy_N2ODirect_Equations.VEERG_4_3_1_3__2_TotalNitrogenInEachMMS(G$169,I229)</f>
        <v>741.87518257630143</v>
      </c>
      <c r="J241" s="55" cm="1">
        <f t="array" ref="J241">MMS_Dairy_N2ODirect_Equations.VEERG_4_3_1_3__2_TotalNitrogenInEachMMS(H$206,J229)</f>
        <v>310.57070109221564</v>
      </c>
      <c r="N241" s="55" t="str">
        <f>'Input - Dairy'!$D$55</f>
        <v>Feed pad</v>
      </c>
      <c r="O241" s="55" t="str">
        <f>'Input - Dairy'!$D$106</f>
        <v>Sump and dispersal system</v>
      </c>
      <c r="P241" s="55" cm="1">
        <f t="array" ref="P241">MMS_Dairy_N2ODirect_Equations.VEERG_4_3_1_3__2_TotalNitrogenInEachMMS(N$169,P229)</f>
        <v>686.91213999734782</v>
      </c>
      <c r="Q241" s="55" cm="1">
        <f t="array" ref="Q241">MMS_Dairy_N2ODirect_Equations.VEERG_4_3_1_3__2_TotalNitrogenInEachMMS(O$169,Q229)</f>
        <v>590.17648503003818</v>
      </c>
      <c r="R241" s="55" cm="1">
        <f t="array" ref="R241">MMS_Dairy_N2ODirect_Equations.VEERG_4_3_1_3__2_TotalNitrogenInEachMMS(P$206,R229)</f>
        <v>235.06105261898415</v>
      </c>
      <c r="S241" s="55" cm="1">
        <f t="array" ref="S241">MMS_Dairy_N2ODirect_Equations.VEERG_4_3_1_3__2_TotalNitrogenInEachMMS(Q$169,S229)</f>
        <v>741.87518257630143</v>
      </c>
      <c r="T241" s="55" cm="1">
        <f t="array" ref="T241">MMS_Dairy_N2ODirect_Equations.VEERG_4_3_1_3__2_TotalNitrogenInEachMMS(R$206,T229)</f>
        <v>310.57070109221564</v>
      </c>
    </row>
    <row r="242" spans="3:21" ht="20.100000000000001" customHeight="1" x14ac:dyDescent="0.25">
      <c r="D242" s="55" t="str">
        <f>'Input - Dairy'!$D$55</f>
        <v>Feed pad</v>
      </c>
      <c r="E242" s="55" t="str">
        <f>'Input - Dairy'!$D$111</f>
        <v>Drains to paddock</v>
      </c>
      <c r="F242" s="55" cm="1">
        <f t="array" ref="F242">MMS_Dairy_N2ODirect_Equations.VEERG_4_3_1_3__2_TotalNitrogenInEachMMS(D$169,F230)</f>
        <v>686.91213999734782</v>
      </c>
      <c r="G242" s="55" cm="1">
        <f t="array" ref="G242">MMS_Dairy_N2ODirect_Equations.VEERG_4_3_1_3__2_TotalNitrogenInEachMMS(E$169,G230)</f>
        <v>590.17648503003818</v>
      </c>
      <c r="H242" s="55" cm="1">
        <f t="array" ref="H242">MMS_Dairy_N2ODirect_Equations.VEERG_4_3_1_3__2_TotalNitrogenInEachMMS(F$206,H230)</f>
        <v>235.06105261898415</v>
      </c>
      <c r="I242" s="55" cm="1">
        <f t="array" ref="I242">MMS_Dairy_N2ODirect_Equations.VEERG_4_3_1_3__2_TotalNitrogenInEachMMS(G$169,I230)</f>
        <v>741.87518257630143</v>
      </c>
      <c r="J242" s="55" cm="1">
        <f t="array" ref="J242">MMS_Dairy_N2ODirect_Equations.VEERG_4_3_1_3__2_TotalNitrogenInEachMMS(H$206,J230)</f>
        <v>310.57070109221564</v>
      </c>
      <c r="N242" s="55" t="str">
        <f>'Input - Dairy'!$D$55</f>
        <v>Feed pad</v>
      </c>
      <c r="O242" s="55" t="str">
        <f>'Input - Dairy'!$D$111</f>
        <v>Drains to paddock</v>
      </c>
      <c r="P242" s="55" cm="1">
        <f t="array" ref="P242">MMS_Dairy_N2ODirect_Equations.VEERG_4_3_1_3__2_TotalNitrogenInEachMMS(N$169,P230)</f>
        <v>686.91213999734782</v>
      </c>
      <c r="Q242" s="55" cm="1">
        <f t="array" ref="Q242">MMS_Dairy_N2ODirect_Equations.VEERG_4_3_1_3__2_TotalNitrogenInEachMMS(O$169,Q230)</f>
        <v>590.17648503003818</v>
      </c>
      <c r="R242" s="55" cm="1">
        <f t="array" ref="R242">MMS_Dairy_N2ODirect_Equations.VEERG_4_3_1_3__2_TotalNitrogenInEachMMS(P$206,R230)</f>
        <v>235.06105261898415</v>
      </c>
      <c r="S242" s="55" cm="1">
        <f t="array" ref="S242">MMS_Dairy_N2ODirect_Equations.VEERG_4_3_1_3__2_TotalNitrogenInEachMMS(Q$169,S230)</f>
        <v>741.87518257630143</v>
      </c>
      <c r="T242" s="55" cm="1">
        <f t="array" ref="T242">MMS_Dairy_N2ODirect_Equations.VEERG_4_3_1_3__2_TotalNitrogenInEachMMS(R$206,T230)</f>
        <v>310.57070109221564</v>
      </c>
    </row>
    <row r="243" spans="3:21" ht="20.100000000000001" customHeight="1" x14ac:dyDescent="0.25">
      <c r="D243" s="55" t="str">
        <f>'Input - Dairy'!$D$55</f>
        <v>Feed pad</v>
      </c>
      <c r="E243" s="55" t="str">
        <f>'Input - Dairy'!$D$116</f>
        <v>Solid storage</v>
      </c>
      <c r="F243" s="55" cm="1">
        <f t="array" ref="F243">MMS_Dairy_N2ODirect_Equations.VEERG_4_3_1_3__2_TotalNitrogenInEachMMS(D$169,F231)</f>
        <v>1202.0962449953586</v>
      </c>
      <c r="G243" s="55" cm="1">
        <f t="array" ref="G243">MMS_Dairy_N2ODirect_Equations.VEERG_4_3_1_3__2_TotalNitrogenInEachMMS(E$169,G231)</f>
        <v>1032.8088488025667</v>
      </c>
      <c r="H243" s="55" cm="1">
        <f t="array" ref="H243">MMS_Dairy_N2ODirect_Equations.VEERG_4_3_1_3__2_TotalNitrogenInEachMMS(F$206,H231)</f>
        <v>411.35684208322226</v>
      </c>
      <c r="I243" s="55" cm="1">
        <f t="array" ref="I243">MMS_Dairy_N2ODirect_Equations.VEERG_4_3_1_3__2_TotalNitrogenInEachMMS(G$169,I231)</f>
        <v>1298.2815695085274</v>
      </c>
      <c r="J243" s="55" cm="1">
        <f t="array" ref="J243">MMS_Dairy_N2ODirect_Equations.VEERG_4_3_1_3__2_TotalNitrogenInEachMMS(H$206,J231)</f>
        <v>543.49872691137739</v>
      </c>
      <c r="N243" s="55" t="str">
        <f>'Input - Dairy'!$D$55</f>
        <v>Feed pad</v>
      </c>
      <c r="O243" s="55" t="str">
        <f>'Input - Dairy'!$D$116</f>
        <v>Solid storage</v>
      </c>
      <c r="P243" s="55" cm="1">
        <f t="array" ref="P243">MMS_Dairy_N2ODirect_Equations.VEERG_4_3_1_3__2_TotalNitrogenInEachMMS(N$169,P231)</f>
        <v>1202.0962449953586</v>
      </c>
      <c r="Q243" s="55" cm="1">
        <f t="array" ref="Q243">MMS_Dairy_N2ODirect_Equations.VEERG_4_3_1_3__2_TotalNitrogenInEachMMS(O$169,Q231)</f>
        <v>1032.8088488025667</v>
      </c>
      <c r="R243" s="55" cm="1">
        <f t="array" ref="R243">MMS_Dairy_N2ODirect_Equations.VEERG_4_3_1_3__2_TotalNitrogenInEachMMS(P$206,R231)</f>
        <v>411.35684208322226</v>
      </c>
      <c r="S243" s="55" cm="1">
        <f t="array" ref="S243">MMS_Dairy_N2ODirect_Equations.VEERG_4_3_1_3__2_TotalNitrogenInEachMMS(Q$169,S231)</f>
        <v>1298.2815695085274</v>
      </c>
      <c r="T243" s="55" cm="1">
        <f t="array" ref="T243">MMS_Dairy_N2ODirect_Equations.VEERG_4_3_1_3__2_TotalNitrogenInEachMMS(R$206,T231)</f>
        <v>543.49872691137739</v>
      </c>
    </row>
    <row r="244" spans="3:21" ht="20.100000000000001" customHeight="1" x14ac:dyDescent="0.25"/>
    <row r="245" spans="3:21" ht="20.100000000000001" customHeight="1" x14ac:dyDescent="0.25"/>
    <row r="246" spans="3:21" ht="20.100000000000001" customHeight="1" x14ac:dyDescent="0.25">
      <c r="C246" s="48"/>
      <c r="D246" s="48"/>
      <c r="E246" s="48"/>
      <c r="F246" s="48"/>
      <c r="G246" s="48"/>
      <c r="H246" s="48"/>
      <c r="I246" s="48"/>
      <c r="J246" s="48"/>
      <c r="K246" s="48"/>
      <c r="M246" s="48"/>
      <c r="N246" s="48"/>
      <c r="O246" s="48"/>
      <c r="P246" s="48"/>
      <c r="Q246" s="48"/>
      <c r="R246" s="48"/>
      <c r="S246" s="48"/>
      <c r="T246" s="48"/>
      <c r="U246" s="48"/>
    </row>
    <row r="247" spans="3:21" ht="20.100000000000001" customHeight="1" x14ac:dyDescent="0.25">
      <c r="D247" s="6" t="str" cm="1">
        <f t="array" ref="D247">MMS_Dairy_N2ODirect_Equations.VEERG_4_3_1_3__1_TotalAnnualDirectNitrousOxideEmissionsFromMMS_Title()</f>
        <v>Total annual direct nitrous oxide emissions from manure management systems</v>
      </c>
    </row>
    <row r="248" spans="3:21" ht="20.100000000000001" customHeight="1" x14ac:dyDescent="0.25">
      <c r="D248" s="5" t="str" cm="1">
        <f t="array" ref="D248">MMS_Dairy_N2ODirect_Equations.VEERG_4_3_1_3__1_TotalAnnualDirectNitrousOxideEmissionsFromMMS_Source()</f>
        <v>VEERG 2026: 4.3.1.3, Equation (1)</v>
      </c>
    </row>
    <row r="249" spans="3:21" ht="20.100000000000001" customHeight="1" x14ac:dyDescent="0.25">
      <c r="D249" s="13" t="s">
        <v>28</v>
      </c>
      <c r="E249" s="13" t="str" cm="1">
        <f t="array" aca="1" ref="E249" ca="1">Common_InputFunctions.Utility_DisplayFunctionName(F273)</f>
        <v>=MMS_Dairy_N2ODirect_Equations.VEERG_4_3_1_3__1_TotalAnnualDirectNitrousOxideEmissionsFromMMS</v>
      </c>
    </row>
    <row r="250" spans="3:21" ht="20.100000000000001" customHeight="1" x14ac:dyDescent="0.25"/>
    <row r="251" spans="3:21" ht="20.100000000000001" customHeight="1" x14ac:dyDescent="0.25">
      <c r="D251" s="6"/>
    </row>
    <row r="252" spans="3:21" ht="20.100000000000001" customHeight="1" x14ac:dyDescent="0.25">
      <c r="D252" s="56" t="s">
        <v>31</v>
      </c>
      <c r="E252" s="1" t="str" cm="1">
        <f t="array" ref="E252">MMS_Dairy_N2ODirect_Equations.VEERG_4_3_1_3__1_TotalAnnualDirectNitrousOxideEmissionsFromMMS_Variable()</f>
        <v>E_N2Odir</v>
      </c>
    </row>
    <row r="253" spans="3:21" ht="20.100000000000001" customHeight="1" x14ac:dyDescent="0.25">
      <c r="D253" s="56" t="s">
        <v>21</v>
      </c>
      <c r="E253" s="57" t="str" cm="1">
        <f t="array" ref="E253">MMS_Dairy_N2ODirect_Equations.VEERG_4_3_1_3__1_TotalAnnualDirectNitrousOxideEmissionsFromMMS_Unit()</f>
        <v>t N2O</v>
      </c>
    </row>
    <row r="254" spans="3:21" ht="20.100000000000001" customHeight="1" x14ac:dyDescent="0.25"/>
    <row r="255" spans="3:21" ht="20.100000000000001" customHeight="1" x14ac:dyDescent="0.25">
      <c r="D255" s="60" t="str" cm="1">
        <f t="array" ref="D255:E257">MMS_Dairy_N2ODirect_Equations.VEERG_4_3_1_3__1_TotalAnnualDirectNitrousOxideEmissionsFromMMS_Arguments()</f>
        <v>MN_jm</v>
      </c>
      <c r="E255" s="61" t="str">
        <v>total nitrogen in each MMS for dairy cattle classes (kg N)</v>
      </c>
      <c r="F255" s="62"/>
      <c r="G255" s="60" t="str">
        <f>"See " &amp; D233</f>
        <v>See M1_Table_MN_j_m</v>
      </c>
    </row>
    <row r="256" spans="3:21" ht="20.100000000000001" customHeight="1" x14ac:dyDescent="0.25">
      <c r="D256" s="60" t="str">
        <v>EF_m</v>
      </c>
      <c r="E256" s="61" t="str">
        <v>nitrous oxide emission factor for each MMS (kg N2O-N/kg N deposited)</v>
      </c>
      <c r="F256" s="62"/>
      <c r="G256" s="60" t="str">
        <f>"See " &amp; D259</f>
        <v>See Table_EF_m</v>
      </c>
    </row>
    <row r="257" spans="4:20" ht="20.100000000000001" customHeight="1" x14ac:dyDescent="0.25">
      <c r="D257" s="60" t="str">
        <v>C_N2O</v>
      </c>
      <c r="E257" s="61" t="str">
        <v>factor to convert elemental mass of N2O to molecular mass</v>
      </c>
      <c r="F257" s="62"/>
      <c r="G257" s="60">
        <f>Common_InputFunctions.Utility_LookupValueInTableNumber("N2O",Table_GasToMolecularConversionFactor[Gas],Table_GasToMolecularConversionFactor[Conversion factor combined])</f>
        <v>1.5714285714285714</v>
      </c>
    </row>
    <row r="258" spans="4:20" ht="20.100000000000001" customHeight="1" x14ac:dyDescent="0.25"/>
    <row r="259" spans="4:20" ht="20.100000000000001" customHeight="1" x14ac:dyDescent="0.25">
      <c r="D259" s="104" t="s">
        <v>339</v>
      </c>
    </row>
    <row r="260" spans="4:20" ht="20.100000000000001" customHeight="1" x14ac:dyDescent="0.25">
      <c r="D260" s="103" t="s">
        <v>340</v>
      </c>
    </row>
    <row r="261" spans="4:20" ht="20.100000000000001" customHeight="1" x14ac:dyDescent="0.25">
      <c r="D261" s="54" t="s">
        <v>69</v>
      </c>
      <c r="E261" s="54" t="s">
        <v>341</v>
      </c>
    </row>
    <row r="262" spans="4:20" ht="20.100000000000001" customHeight="1" x14ac:dyDescent="0.25">
      <c r="D262" s="55" t="str" cm="1">
        <f t="array" ref="D262:D266">Table_SourceData_Dairy_EFmFracGASM[NIR reference]</f>
        <v>Pasture range and paddock</v>
      </c>
      <c r="E262" s="55" cm="1">
        <f t="array" ref="E262:E266">Table_SourceData_Dairy_EFmFracGASM[EFm]</f>
        <v>0</v>
      </c>
    </row>
    <row r="263" spans="4:20" ht="20.100000000000001" customHeight="1" x14ac:dyDescent="0.25">
      <c r="D263" s="55" t="str">
        <v>Anaerobic lagoon</v>
      </c>
      <c r="E263" s="55">
        <v>0</v>
      </c>
    </row>
    <row r="264" spans="4:20" ht="20.100000000000001" customHeight="1" x14ac:dyDescent="0.25">
      <c r="D264" s="55" t="str">
        <v>Sump and dispersal system</v>
      </c>
      <c r="E264" s="55">
        <v>0</v>
      </c>
    </row>
    <row r="265" spans="4:20" ht="20.100000000000001" customHeight="1" x14ac:dyDescent="0.25">
      <c r="D265" s="55" t="str">
        <v>Drains to paddock</v>
      </c>
      <c r="E265" s="55">
        <v>0</v>
      </c>
    </row>
    <row r="266" spans="4:20" ht="20.100000000000001" customHeight="1" x14ac:dyDescent="0.25">
      <c r="D266" s="55" t="str">
        <v>Solid storage</v>
      </c>
      <c r="E266" s="55">
        <v>5.0000000000000001E-3</v>
      </c>
    </row>
    <row r="267" spans="4:20" ht="20.100000000000001" customHeight="1" x14ac:dyDescent="0.25"/>
    <row r="268" spans="4:20" ht="20.100000000000001" customHeight="1" x14ac:dyDescent="0.25">
      <c r="D268" s="104" t="s">
        <v>127</v>
      </c>
      <c r="N268" s="104" t="s">
        <v>127</v>
      </c>
    </row>
    <row r="269" spans="4:20" ht="20.100000000000001" customHeight="1" x14ac:dyDescent="0.25">
      <c r="D269" s="103" t="s">
        <v>342</v>
      </c>
      <c r="N269" s="103" t="s">
        <v>342</v>
      </c>
    </row>
    <row r="270" spans="4:20" ht="20.100000000000001" customHeight="1" x14ac:dyDescent="0.25">
      <c r="D270" s="54" t="s">
        <v>159</v>
      </c>
      <c r="E270" s="54" t="s">
        <v>69</v>
      </c>
      <c r="F270" s="54" t="s">
        <v>186</v>
      </c>
      <c r="G270" s="54" t="s">
        <v>203</v>
      </c>
      <c r="H270" s="54" t="s">
        <v>204</v>
      </c>
      <c r="I270" s="54" t="s">
        <v>205</v>
      </c>
      <c r="J270" s="54" t="s">
        <v>206</v>
      </c>
      <c r="N270" s="54" t="s">
        <v>159</v>
      </c>
      <c r="O270" s="54" t="s">
        <v>69</v>
      </c>
      <c r="P270" s="54" t="s">
        <v>186</v>
      </c>
      <c r="Q270" s="54" t="s">
        <v>203</v>
      </c>
      <c r="R270" s="54" t="s">
        <v>204</v>
      </c>
      <c r="S270" s="54" t="s">
        <v>205</v>
      </c>
      <c r="T270" s="54" t="s">
        <v>206</v>
      </c>
    </row>
    <row r="271" spans="4:20" ht="20.100000000000001" customHeight="1" x14ac:dyDescent="0.25">
      <c r="D271" s="55" t="str">
        <f>'Input - Dairy'!$D$54</f>
        <v>Milking shed</v>
      </c>
      <c r="E271" s="55" t="str">
        <f>'Input - Dairy'!$D$67</f>
        <v>Anaerobic lagoon</v>
      </c>
      <c r="F271" s="55" cm="1">
        <f t="array" ref="F271">MMS_Dairy_N2ODirect_Equations.VEERG_4_3_1_3__1_TotalAnnualDirectNitrousOxideEmissionsFromMMS(F236,$E263,$G$257)</f>
        <v>0</v>
      </c>
      <c r="G271" s="55" cm="1">
        <f t="array" ref="G271">MMS_Dairy_N2ODirect_Equations.VEERG_4_3_1_3__1_TotalAnnualDirectNitrousOxideEmissionsFromMMS(G236,$E263,$G$257)</f>
        <v>0</v>
      </c>
      <c r="H271" s="55" cm="1">
        <f t="array" ref="H271">MMS_Dairy_N2ODirect_Equations.VEERG_4_3_1_3__1_TotalAnnualDirectNitrousOxideEmissionsFromMMS(H236,$E263,$G$257)</f>
        <v>0</v>
      </c>
      <c r="I271" s="55" cm="1">
        <f t="array" ref="I271">MMS_Dairy_N2ODirect_Equations.VEERG_4_3_1_3__1_TotalAnnualDirectNitrousOxideEmissionsFromMMS(I236,$E263,$G$257)</f>
        <v>0</v>
      </c>
      <c r="J271" s="55" cm="1">
        <f t="array" ref="J271">MMS_Dairy_N2ODirect_Equations.VEERG_4_3_1_3__1_TotalAnnualDirectNitrousOxideEmissionsFromMMS(J236,$E263,$G$257)</f>
        <v>0</v>
      </c>
      <c r="N271" s="55" t="str">
        <f>'Input - Dairy'!$D$54</f>
        <v>Milking shed</v>
      </c>
      <c r="O271" s="55" t="str">
        <f>'Input - Dairy'!$D$67</f>
        <v>Anaerobic lagoon</v>
      </c>
      <c r="P271" s="55" cm="1">
        <f t="array" ref="P271">MMS_Dairy_N2ODirect_Equations.VEERG_4_3_1_3__1_TotalAnnualDirectNitrousOxideEmissionsFromMMS(P236,$E263,$G$257)</f>
        <v>0</v>
      </c>
      <c r="Q271" s="55" cm="1">
        <f t="array" ref="Q271">MMS_Dairy_N2ODirect_Equations.VEERG_4_3_1_3__1_TotalAnnualDirectNitrousOxideEmissionsFromMMS(Q236,$E263,$G$257)</f>
        <v>0</v>
      </c>
      <c r="R271" s="55" cm="1">
        <f t="array" ref="R271">MMS_Dairy_N2ODirect_Equations.VEERG_4_3_1_3__1_TotalAnnualDirectNitrousOxideEmissionsFromMMS(R236,$E263,$G$257)</f>
        <v>0</v>
      </c>
      <c r="S271" s="55" cm="1">
        <f t="array" ref="S271">MMS_Dairy_N2ODirect_Equations.VEERG_4_3_1_3__1_TotalAnnualDirectNitrousOxideEmissionsFromMMS(S236,$E263,$G$257)</f>
        <v>0</v>
      </c>
      <c r="T271" s="55" cm="1">
        <f t="array" ref="T271">MMS_Dairy_N2ODirect_Equations.VEERG_4_3_1_3__1_TotalAnnualDirectNitrousOxideEmissionsFromMMS(T236,$E263,$G$257)</f>
        <v>0</v>
      </c>
    </row>
    <row r="272" spans="4:20" ht="20.100000000000001" customHeight="1" x14ac:dyDescent="0.25">
      <c r="D272" s="55" t="str">
        <f>'Input - Dairy'!$D$54</f>
        <v>Milking shed</v>
      </c>
      <c r="E272" s="55" t="str">
        <f>'Input - Dairy'!$D$72</f>
        <v>Sump and dispersal system</v>
      </c>
      <c r="F272" s="55" cm="1">
        <f t="array" ref="F272">MMS_Dairy_N2ODirect_Equations.VEERG_4_3_1_3__1_TotalAnnualDirectNitrousOxideEmissionsFromMMS(F237,$E264,$G$257)</f>
        <v>0</v>
      </c>
      <c r="G272" s="55" cm="1">
        <f t="array" ref="G272">MMS_Dairy_N2ODirect_Equations.VEERG_4_3_1_3__1_TotalAnnualDirectNitrousOxideEmissionsFromMMS(G237,$E264,$G$257)</f>
        <v>0</v>
      </c>
      <c r="H272" s="55" cm="1">
        <f t="array" ref="H272">MMS_Dairy_N2ODirect_Equations.VEERG_4_3_1_3__1_TotalAnnualDirectNitrousOxideEmissionsFromMMS(H237,$E264,$G$257)</f>
        <v>0</v>
      </c>
      <c r="I272" s="55" cm="1">
        <f t="array" ref="I272">MMS_Dairy_N2ODirect_Equations.VEERG_4_3_1_3__1_TotalAnnualDirectNitrousOxideEmissionsFromMMS(I237,$E264,$G$257)</f>
        <v>0</v>
      </c>
      <c r="J272" s="55" cm="1">
        <f t="array" ref="J272">MMS_Dairy_N2ODirect_Equations.VEERG_4_3_1_3__1_TotalAnnualDirectNitrousOxideEmissionsFromMMS(J237,$E264,$G$257)</f>
        <v>0</v>
      </c>
      <c r="N272" s="55" t="str">
        <f>'Input - Dairy'!$D$54</f>
        <v>Milking shed</v>
      </c>
      <c r="O272" s="55" t="str">
        <f>'Input - Dairy'!$D$72</f>
        <v>Sump and dispersal system</v>
      </c>
      <c r="P272" s="55" cm="1">
        <f t="array" ref="P272">MMS_Dairy_N2ODirect_Equations.VEERG_4_3_1_3__1_TotalAnnualDirectNitrousOxideEmissionsFromMMS(P237,$E264,$G$257)</f>
        <v>0</v>
      </c>
      <c r="Q272" s="55" cm="1">
        <f t="array" ref="Q272">MMS_Dairy_N2ODirect_Equations.VEERG_4_3_1_3__1_TotalAnnualDirectNitrousOxideEmissionsFromMMS(Q237,$E264,$G$257)</f>
        <v>0</v>
      </c>
      <c r="R272" s="55" cm="1">
        <f t="array" ref="R272">MMS_Dairy_N2ODirect_Equations.VEERG_4_3_1_3__1_TotalAnnualDirectNitrousOxideEmissionsFromMMS(R237,$E264,$G$257)</f>
        <v>0</v>
      </c>
      <c r="S272" s="55" cm="1">
        <f t="array" ref="S272">MMS_Dairy_N2ODirect_Equations.VEERG_4_3_1_3__1_TotalAnnualDirectNitrousOxideEmissionsFromMMS(S237,$E264,$G$257)</f>
        <v>0</v>
      </c>
      <c r="T272" s="55" cm="1">
        <f t="array" ref="T272">MMS_Dairy_N2ODirect_Equations.VEERG_4_3_1_3__1_TotalAnnualDirectNitrousOxideEmissionsFromMMS(T237,$E264,$G$257)</f>
        <v>0</v>
      </c>
    </row>
    <row r="273" spans="4:20" ht="20.100000000000001" customHeight="1" x14ac:dyDescent="0.25">
      <c r="D273" s="55" t="str">
        <f>'Input - Dairy'!$D$54</f>
        <v>Milking shed</v>
      </c>
      <c r="E273" s="55" t="str">
        <f>'Input - Dairy'!$D$77</f>
        <v>Drains to paddock</v>
      </c>
      <c r="F273" s="55" cm="1">
        <f t="array" ref="F273">MMS_Dairy_N2ODirect_Equations.VEERG_4_3_1_3__1_TotalAnnualDirectNitrousOxideEmissionsFromMMS(F238,$E265,$G$257)</f>
        <v>0</v>
      </c>
      <c r="G273" s="55" cm="1">
        <f t="array" ref="G273">MMS_Dairy_N2ODirect_Equations.VEERG_4_3_1_3__1_TotalAnnualDirectNitrousOxideEmissionsFromMMS(G238,$E265,$G$257)</f>
        <v>0</v>
      </c>
      <c r="H273" s="55" cm="1">
        <f t="array" ref="H273">MMS_Dairy_N2ODirect_Equations.VEERG_4_3_1_3__1_TotalAnnualDirectNitrousOxideEmissionsFromMMS(H238,$E265,$G$257)</f>
        <v>0</v>
      </c>
      <c r="I273" s="55" cm="1">
        <f t="array" ref="I273">MMS_Dairy_N2ODirect_Equations.VEERG_4_3_1_3__1_TotalAnnualDirectNitrousOxideEmissionsFromMMS(I238,$E265,$G$257)</f>
        <v>0</v>
      </c>
      <c r="J273" s="55" cm="1">
        <f t="array" ref="J273">MMS_Dairy_N2ODirect_Equations.VEERG_4_3_1_3__1_TotalAnnualDirectNitrousOxideEmissionsFromMMS(J238,$E265,$G$257)</f>
        <v>0</v>
      </c>
      <c r="N273" s="55" t="str">
        <f>'Input - Dairy'!$D$54</f>
        <v>Milking shed</v>
      </c>
      <c r="O273" s="55" t="str">
        <f>'Input - Dairy'!$D$77</f>
        <v>Drains to paddock</v>
      </c>
      <c r="P273" s="55" cm="1">
        <f t="array" ref="P273">MMS_Dairy_N2ODirect_Equations.VEERG_4_3_1_3__1_TotalAnnualDirectNitrousOxideEmissionsFromMMS(P238,$E265,$G$257)</f>
        <v>0</v>
      </c>
      <c r="Q273" s="55" cm="1">
        <f t="array" ref="Q273">MMS_Dairy_N2ODirect_Equations.VEERG_4_3_1_3__1_TotalAnnualDirectNitrousOxideEmissionsFromMMS(Q238,$E265,$G$257)</f>
        <v>0</v>
      </c>
      <c r="R273" s="55" cm="1">
        <f t="array" ref="R273">MMS_Dairy_N2ODirect_Equations.VEERG_4_3_1_3__1_TotalAnnualDirectNitrousOxideEmissionsFromMMS(R238,$E265,$G$257)</f>
        <v>0</v>
      </c>
      <c r="S273" s="55" cm="1">
        <f t="array" ref="S273">MMS_Dairy_N2ODirect_Equations.VEERG_4_3_1_3__1_TotalAnnualDirectNitrousOxideEmissionsFromMMS(S238,$E265,$G$257)</f>
        <v>0</v>
      </c>
      <c r="T273" s="55" cm="1">
        <f t="array" ref="T273">MMS_Dairy_N2ODirect_Equations.VEERG_4_3_1_3__1_TotalAnnualDirectNitrousOxideEmissionsFromMMS(T238,$E265,$G$257)</f>
        <v>0</v>
      </c>
    </row>
    <row r="274" spans="4:20" ht="20.100000000000001" customHeight="1" x14ac:dyDescent="0.25">
      <c r="D274" s="55" t="str">
        <f>'Input - Dairy'!$D$54</f>
        <v>Milking shed</v>
      </c>
      <c r="E274" s="55" t="str">
        <f>'Input - Dairy'!$D$82</f>
        <v>Solid storage</v>
      </c>
      <c r="F274" s="55" cm="1">
        <f t="array" ref="F274">MMS_Dairy_N2ODirect_Equations.VEERG_4_3_1_3__1_TotalAnnualDirectNitrousOxideEmissionsFromMMS(F239,$E266,$G$257)</f>
        <v>3.3353278065681815E-3</v>
      </c>
      <c r="G274" s="55" cm="1">
        <f t="array" ref="G274">MMS_Dairy_N2ODirect_Equations.VEERG_4_3_1_3__1_TotalAnnualDirectNitrousOxideEmissionsFromMMS(G239,$E266,$G$257)</f>
        <v>2.8656241849371834E-3</v>
      </c>
      <c r="H274" s="55" cm="1">
        <f t="array" ref="H274">MMS_Dairy_N2ODirect_Equations.VEERG_4_3_1_3__1_TotalAnnualDirectNitrousOxideEmissionsFromMMS(H239,$E266,$G$257)</f>
        <v>1.1413478076603965E-3</v>
      </c>
      <c r="I274" s="55" cm="1">
        <f t="array" ref="I274">MMS_Dairy_N2ODirect_Equations.VEERG_4_3_1_3__1_TotalAnnualDirectNitrousOxideEmissionsFromMMS(I239,$E266,$G$257)</f>
        <v>3.6022029330550747E-3</v>
      </c>
      <c r="J274" s="55" cm="1">
        <f t="array" ref="J274">MMS_Dairy_N2ODirect_Equations.VEERG_4_3_1_3__1_TotalAnnualDirectNitrousOxideEmissionsFromMMS(J239,$E266,$G$257)</f>
        <v>1.5079877540994421E-3</v>
      </c>
      <c r="N274" s="55" t="str">
        <f>'Input - Dairy'!$D$54</f>
        <v>Milking shed</v>
      </c>
      <c r="O274" s="55" t="str">
        <f>'Input - Dairy'!$D$82</f>
        <v>Solid storage</v>
      </c>
      <c r="P274" s="55" cm="1">
        <f t="array" ref="P274">MMS_Dairy_N2ODirect_Equations.VEERG_4_3_1_3__1_TotalAnnualDirectNitrousOxideEmissionsFromMMS(P239,$E266,$G$257)</f>
        <v>3.3353278065681815E-3</v>
      </c>
      <c r="Q274" s="55" cm="1">
        <f t="array" ref="Q274">MMS_Dairy_N2ODirect_Equations.VEERG_4_3_1_3__1_TotalAnnualDirectNitrousOxideEmissionsFromMMS(Q239,$E266,$G$257)</f>
        <v>2.8656241849371834E-3</v>
      </c>
      <c r="R274" s="55" cm="1">
        <f t="array" ref="R274">MMS_Dairy_N2ODirect_Equations.VEERG_4_3_1_3__1_TotalAnnualDirectNitrousOxideEmissionsFromMMS(R239,$E266,$G$257)</f>
        <v>1.1413478076603965E-3</v>
      </c>
      <c r="S274" s="55" cm="1">
        <f t="array" ref="S274">MMS_Dairy_N2ODirect_Equations.VEERG_4_3_1_3__1_TotalAnnualDirectNitrousOxideEmissionsFromMMS(S239,$E266,$G$257)</f>
        <v>3.6022029330550747E-3</v>
      </c>
      <c r="T274" s="55" cm="1">
        <f t="array" ref="T274">MMS_Dairy_N2ODirect_Equations.VEERG_4_3_1_3__1_TotalAnnualDirectNitrousOxideEmissionsFromMMS(T239,$E266,$G$257)</f>
        <v>1.5079877540994421E-3</v>
      </c>
    </row>
    <row r="275" spans="4:20" ht="20.100000000000001" customHeight="1" x14ac:dyDescent="0.25">
      <c r="D275" s="55" t="str">
        <f>'Input - Dairy'!$D$55</f>
        <v>Feed pad</v>
      </c>
      <c r="E275" s="55" t="str">
        <f>'Input - Dairy'!$D$101</f>
        <v>Anaerobic lagoon</v>
      </c>
      <c r="F275" s="55" cm="1">
        <f t="array" ref="F275">MMS_Dairy_N2ODirect_Equations.VEERG_4_3_1_3__1_TotalAnnualDirectNitrousOxideEmissionsFromMMS(F240,$E263,$G$257)</f>
        <v>0</v>
      </c>
      <c r="G275" s="55" cm="1">
        <f t="array" ref="G275">MMS_Dairy_N2ODirect_Equations.VEERG_4_3_1_3__1_TotalAnnualDirectNitrousOxideEmissionsFromMMS(G240,$E263,$G$257)</f>
        <v>0</v>
      </c>
      <c r="H275" s="55" cm="1">
        <f t="array" ref="H275">MMS_Dairy_N2ODirect_Equations.VEERG_4_3_1_3__1_TotalAnnualDirectNitrousOxideEmissionsFromMMS(H240,$E263,$G$257)</f>
        <v>0</v>
      </c>
      <c r="I275" s="55" cm="1">
        <f t="array" ref="I275">MMS_Dairy_N2ODirect_Equations.VEERG_4_3_1_3__1_TotalAnnualDirectNitrousOxideEmissionsFromMMS(I240,$E263,$G$257)</f>
        <v>0</v>
      </c>
      <c r="J275" s="55" cm="1">
        <f t="array" ref="J275">MMS_Dairy_N2ODirect_Equations.VEERG_4_3_1_3__1_TotalAnnualDirectNitrousOxideEmissionsFromMMS(J240,$E263,$G$257)</f>
        <v>0</v>
      </c>
      <c r="N275" s="55" t="str">
        <f>'Input - Dairy'!$D$55</f>
        <v>Feed pad</v>
      </c>
      <c r="O275" s="55" t="str">
        <f>'Input - Dairy'!$D$101</f>
        <v>Anaerobic lagoon</v>
      </c>
      <c r="P275" s="55" cm="1">
        <f t="array" ref="P275">MMS_Dairy_N2ODirect_Equations.VEERG_4_3_1_3__1_TotalAnnualDirectNitrousOxideEmissionsFromMMS(P240,$E263,$G$257)</f>
        <v>0</v>
      </c>
      <c r="Q275" s="55" cm="1">
        <f t="array" ref="Q275">MMS_Dairy_N2ODirect_Equations.VEERG_4_3_1_3__1_TotalAnnualDirectNitrousOxideEmissionsFromMMS(Q240,$E263,$G$257)</f>
        <v>0</v>
      </c>
      <c r="R275" s="55" cm="1">
        <f t="array" ref="R275">MMS_Dairy_N2ODirect_Equations.VEERG_4_3_1_3__1_TotalAnnualDirectNitrousOxideEmissionsFromMMS(R240,$E263,$G$257)</f>
        <v>0</v>
      </c>
      <c r="S275" s="55" cm="1">
        <f t="array" ref="S275">MMS_Dairy_N2ODirect_Equations.VEERG_4_3_1_3__1_TotalAnnualDirectNitrousOxideEmissionsFromMMS(S240,$E263,$G$257)</f>
        <v>0</v>
      </c>
      <c r="T275" s="55" cm="1">
        <f t="array" ref="T275">MMS_Dairy_N2ODirect_Equations.VEERG_4_3_1_3__1_TotalAnnualDirectNitrousOxideEmissionsFromMMS(T240,$E263,$G$257)</f>
        <v>0</v>
      </c>
    </row>
    <row r="276" spans="4:20" ht="20.100000000000001" customHeight="1" x14ac:dyDescent="0.25">
      <c r="D276" s="55" t="str">
        <f>'Input - Dairy'!$D$55</f>
        <v>Feed pad</v>
      </c>
      <c r="E276" s="55" t="str">
        <f>'Input - Dairy'!$D$106</f>
        <v>Sump and dispersal system</v>
      </c>
      <c r="F276" s="55" cm="1">
        <f t="array" ref="F276">MMS_Dairy_N2ODirect_Equations.VEERG_4_3_1_3__1_TotalAnnualDirectNitrousOxideEmissionsFromMMS(F241,$E264,$G$257)</f>
        <v>0</v>
      </c>
      <c r="G276" s="55" cm="1">
        <f t="array" ref="G276">MMS_Dairy_N2ODirect_Equations.VEERG_4_3_1_3__1_TotalAnnualDirectNitrousOxideEmissionsFromMMS(G241,$E264,$G$257)</f>
        <v>0</v>
      </c>
      <c r="H276" s="55" cm="1">
        <f t="array" ref="H276">MMS_Dairy_N2ODirect_Equations.VEERG_4_3_1_3__1_TotalAnnualDirectNitrousOxideEmissionsFromMMS(H241,$E264,$G$257)</f>
        <v>0</v>
      </c>
      <c r="I276" s="55" cm="1">
        <f t="array" ref="I276">MMS_Dairy_N2ODirect_Equations.VEERG_4_3_1_3__1_TotalAnnualDirectNitrousOxideEmissionsFromMMS(I241,$E264,$G$257)</f>
        <v>0</v>
      </c>
      <c r="J276" s="55" cm="1">
        <f t="array" ref="J276">MMS_Dairy_N2ODirect_Equations.VEERG_4_3_1_3__1_TotalAnnualDirectNitrousOxideEmissionsFromMMS(J241,$E264,$G$257)</f>
        <v>0</v>
      </c>
      <c r="N276" s="55" t="str">
        <f>'Input - Dairy'!$D$55</f>
        <v>Feed pad</v>
      </c>
      <c r="O276" s="55" t="str">
        <f>'Input - Dairy'!$D$106</f>
        <v>Sump and dispersal system</v>
      </c>
      <c r="P276" s="55" cm="1">
        <f t="array" ref="P276">MMS_Dairy_N2ODirect_Equations.VEERG_4_3_1_3__1_TotalAnnualDirectNitrousOxideEmissionsFromMMS(P241,$E264,$G$257)</f>
        <v>0</v>
      </c>
      <c r="Q276" s="55" cm="1">
        <f t="array" ref="Q276">MMS_Dairy_N2ODirect_Equations.VEERG_4_3_1_3__1_TotalAnnualDirectNitrousOxideEmissionsFromMMS(Q241,$E264,$G$257)</f>
        <v>0</v>
      </c>
      <c r="R276" s="55" cm="1">
        <f t="array" ref="R276">MMS_Dairy_N2ODirect_Equations.VEERG_4_3_1_3__1_TotalAnnualDirectNitrousOxideEmissionsFromMMS(R241,$E264,$G$257)</f>
        <v>0</v>
      </c>
      <c r="S276" s="55" cm="1">
        <f t="array" ref="S276">MMS_Dairy_N2ODirect_Equations.VEERG_4_3_1_3__1_TotalAnnualDirectNitrousOxideEmissionsFromMMS(S241,$E264,$G$257)</f>
        <v>0</v>
      </c>
      <c r="T276" s="55" cm="1">
        <f t="array" ref="T276">MMS_Dairy_N2ODirect_Equations.VEERG_4_3_1_3__1_TotalAnnualDirectNitrousOxideEmissionsFromMMS(T241,$E264,$G$257)</f>
        <v>0</v>
      </c>
    </row>
    <row r="277" spans="4:20" ht="20.100000000000001" customHeight="1" x14ac:dyDescent="0.25">
      <c r="D277" s="55" t="str">
        <f>'Input - Dairy'!$D$55</f>
        <v>Feed pad</v>
      </c>
      <c r="E277" s="55" t="str">
        <f>'Input - Dairy'!$D$111</f>
        <v>Drains to paddock</v>
      </c>
      <c r="F277" s="55" cm="1">
        <f t="array" ref="F277">MMS_Dairy_N2ODirect_Equations.VEERG_4_3_1_3__1_TotalAnnualDirectNitrousOxideEmissionsFromMMS(F242,$E265,$G$257)</f>
        <v>0</v>
      </c>
      <c r="G277" s="55" cm="1">
        <f t="array" ref="G277">MMS_Dairy_N2ODirect_Equations.VEERG_4_3_1_3__1_TotalAnnualDirectNitrousOxideEmissionsFromMMS(G242,$E265,$G$257)</f>
        <v>0</v>
      </c>
      <c r="H277" s="55" cm="1">
        <f t="array" ref="H277">MMS_Dairy_N2ODirect_Equations.VEERG_4_3_1_3__1_TotalAnnualDirectNitrousOxideEmissionsFromMMS(H242,$E265,$G$257)</f>
        <v>0</v>
      </c>
      <c r="I277" s="55" cm="1">
        <f t="array" ref="I277">MMS_Dairy_N2ODirect_Equations.VEERG_4_3_1_3__1_TotalAnnualDirectNitrousOxideEmissionsFromMMS(I242,$E265,$G$257)</f>
        <v>0</v>
      </c>
      <c r="J277" s="55" cm="1">
        <f t="array" ref="J277">MMS_Dairy_N2ODirect_Equations.VEERG_4_3_1_3__1_TotalAnnualDirectNitrousOxideEmissionsFromMMS(J242,$E265,$G$257)</f>
        <v>0</v>
      </c>
      <c r="N277" s="55" t="str">
        <f>'Input - Dairy'!$D$55</f>
        <v>Feed pad</v>
      </c>
      <c r="O277" s="55" t="str">
        <f>'Input - Dairy'!$D$111</f>
        <v>Drains to paddock</v>
      </c>
      <c r="P277" s="55" cm="1">
        <f t="array" ref="P277">MMS_Dairy_N2ODirect_Equations.VEERG_4_3_1_3__1_TotalAnnualDirectNitrousOxideEmissionsFromMMS(P242,$E265,$G$257)</f>
        <v>0</v>
      </c>
      <c r="Q277" s="55" cm="1">
        <f t="array" ref="Q277">MMS_Dairy_N2ODirect_Equations.VEERG_4_3_1_3__1_TotalAnnualDirectNitrousOxideEmissionsFromMMS(Q242,$E265,$G$257)</f>
        <v>0</v>
      </c>
      <c r="R277" s="55" cm="1">
        <f t="array" ref="R277">MMS_Dairy_N2ODirect_Equations.VEERG_4_3_1_3__1_TotalAnnualDirectNitrousOxideEmissionsFromMMS(R242,$E265,$G$257)</f>
        <v>0</v>
      </c>
      <c r="S277" s="55" cm="1">
        <f t="array" ref="S277">MMS_Dairy_N2ODirect_Equations.VEERG_4_3_1_3__1_TotalAnnualDirectNitrousOxideEmissionsFromMMS(S242,$E265,$G$257)</f>
        <v>0</v>
      </c>
      <c r="T277" s="55" cm="1">
        <f t="array" ref="T277">MMS_Dairy_N2ODirect_Equations.VEERG_4_3_1_3__1_TotalAnnualDirectNitrousOxideEmissionsFromMMS(T242,$E265,$G$257)</f>
        <v>0</v>
      </c>
    </row>
    <row r="278" spans="4:20" ht="20.100000000000001" customHeight="1" x14ac:dyDescent="0.25">
      <c r="D278" s="55" t="str">
        <f>'Input - Dairy'!$D$55</f>
        <v>Feed pad</v>
      </c>
      <c r="E278" s="55" t="str">
        <f>'Input - Dairy'!$D$116</f>
        <v>Solid storage</v>
      </c>
      <c r="F278" s="55" cm="1">
        <f t="array" ref="F278">MMS_Dairy_N2ODirect_Equations.VEERG_4_3_1_3__1_TotalAnnualDirectNitrousOxideEmissionsFromMMS(F243,$E266,$G$257)</f>
        <v>9.4450419249635324E-3</v>
      </c>
      <c r="G278" s="55" cm="1">
        <f t="array" ref="G278">MMS_Dairy_N2ODirect_Equations.VEERG_4_3_1_3__1_TotalAnnualDirectNitrousOxideEmissionsFromMMS(G243,$E266,$G$257)</f>
        <v>8.1149266691630251E-3</v>
      </c>
      <c r="H278" s="55" cm="1">
        <f t="array" ref="H278">MMS_Dairy_N2ODirect_Equations.VEERG_4_3_1_3__1_TotalAnnualDirectNitrousOxideEmissionsFromMMS(H243,$E266,$G$257)</f>
        <v>3.2320894735110321E-3</v>
      </c>
      <c r="I278" s="55" cm="1">
        <f t="array" ref="I278">MMS_Dairy_N2ODirect_Equations.VEERG_4_3_1_3__1_TotalAnnualDirectNitrousOxideEmissionsFromMMS(I243,$E266,$G$257)</f>
        <v>1.0200783760424144E-2</v>
      </c>
      <c r="J278" s="55" cm="1">
        <f t="array" ref="J278">MMS_Dairy_N2ODirect_Equations.VEERG_4_3_1_3__1_TotalAnnualDirectNitrousOxideEmissionsFromMMS(J243,$E266,$G$257)</f>
        <v>4.2703471400179658E-3</v>
      </c>
      <c r="N278" s="55" t="str">
        <f>'Input - Dairy'!$D$55</f>
        <v>Feed pad</v>
      </c>
      <c r="O278" s="55" t="str">
        <f>'Input - Dairy'!$D$116</f>
        <v>Solid storage</v>
      </c>
      <c r="P278" s="55" cm="1">
        <f t="array" ref="P278">MMS_Dairy_N2ODirect_Equations.VEERG_4_3_1_3__1_TotalAnnualDirectNitrousOxideEmissionsFromMMS(P243,$E266,$G$257)</f>
        <v>9.4450419249635324E-3</v>
      </c>
      <c r="Q278" s="55" cm="1">
        <f t="array" ref="Q278">MMS_Dairy_N2ODirect_Equations.VEERG_4_3_1_3__1_TotalAnnualDirectNitrousOxideEmissionsFromMMS(Q243,$E266,$G$257)</f>
        <v>8.1149266691630251E-3</v>
      </c>
      <c r="R278" s="55" cm="1">
        <f t="array" ref="R278">MMS_Dairy_N2ODirect_Equations.VEERG_4_3_1_3__1_TotalAnnualDirectNitrousOxideEmissionsFromMMS(R243,$E266,$G$257)</f>
        <v>3.2320894735110321E-3</v>
      </c>
      <c r="S278" s="55" cm="1">
        <f t="array" ref="S278">MMS_Dairy_N2ODirect_Equations.VEERG_4_3_1_3__1_TotalAnnualDirectNitrousOxideEmissionsFromMMS(S243,$E266,$G$257)</f>
        <v>1.0200783760424144E-2</v>
      </c>
      <c r="T278" s="55" cm="1">
        <f t="array" ref="T278">MMS_Dairy_N2ODirect_Equations.VEERG_4_3_1_3__1_TotalAnnualDirectNitrousOxideEmissionsFromMMS(T243,$E266,$G$257)</f>
        <v>4.2703471400179658E-3</v>
      </c>
    </row>
    <row r="279" spans="4:20" ht="20.100000000000001" customHeight="1" x14ac:dyDescent="0.25"/>
    <row r="280" spans="4:20" ht="20.100000000000001" customHeight="1" x14ac:dyDescent="0.25">
      <c r="D280" s="108" t="s">
        <v>126</v>
      </c>
      <c r="E280" s="109">
        <f>SUM(E275:G278)</f>
        <v>1.7559968594126556E-2</v>
      </c>
      <c r="F280" s="110" t="str">
        <f>$E$253</f>
        <v>t N2O</v>
      </c>
      <c r="N280" s="108" t="s">
        <v>126</v>
      </c>
      <c r="O280" s="109">
        <f>SUM(O275:Q278)</f>
        <v>1.7559968594126556E-2</v>
      </c>
      <c r="P280" s="110" t="str">
        <f>$E$253</f>
        <v>t N2O</v>
      </c>
    </row>
    <row r="281" spans="4:20" ht="20.100000000000001" customHeight="1" x14ac:dyDescent="0.25"/>
    <row r="282" spans="4:20" ht="20.100000000000001" customHeight="1" x14ac:dyDescent="0.25">
      <c r="D282" s="60" t="str" cm="1">
        <f t="array" ref="D282:E283">Common_Equations.Common_ConvertN2OToCO2e_Arguments()</f>
        <v>EN2O</v>
      </c>
      <c r="E282" s="61" t="str">
        <v>Nitrous oxide emissions (t N2O)</v>
      </c>
      <c r="F282" s="111"/>
      <c r="G282" s="55">
        <f>$E$280</f>
        <v>1.7559968594126556E-2</v>
      </c>
      <c r="N282" s="60" t="str" cm="1">
        <f t="array" ref="N282:O283">Common_Equations.Common_ConvertN2OToCO2e_Arguments()</f>
        <v>EN2O</v>
      </c>
      <c r="O282" s="61" t="str">
        <v>Nitrous oxide emissions (t N2O)</v>
      </c>
      <c r="P282" s="111"/>
      <c r="Q282" s="55">
        <f>$E$280</f>
        <v>1.7559968594126556E-2</v>
      </c>
    </row>
    <row r="283" spans="4:20" ht="20.100000000000001" customHeight="1" x14ac:dyDescent="0.25">
      <c r="D283" s="60" t="str">
        <v>GWPN2O</v>
      </c>
      <c r="E283" s="61" t="str">
        <v>Global warming potential for nitrous oxide (t CO2-e / t N2O)</v>
      </c>
      <c r="F283" s="111"/>
      <c r="G283" s="55">
        <f>Common_InputFunctions.Utility_LookupValueInTableNumber("N2O",Table_GWPData[Gas],Table_GWPData[CO2-e factor])</f>
        <v>265</v>
      </c>
      <c r="N283" s="60" t="str">
        <v>GWPN2O</v>
      </c>
      <c r="O283" s="61" t="str">
        <v>Global warming potential for nitrous oxide (t CO2-e / t N2O)</v>
      </c>
      <c r="P283" s="111"/>
      <c r="Q283" s="55">
        <f>Common_InputFunctions.Utility_LookupValueInTableNumber("N2O",Table_GWPData[Gas],Table_GWPData[CO2-e factor])</f>
        <v>265</v>
      </c>
    </row>
    <row r="284" spans="4:20" ht="20.100000000000001" customHeight="1" x14ac:dyDescent="0.25"/>
    <row r="285" spans="4:20" ht="20.100000000000001" customHeight="1" x14ac:dyDescent="0.25">
      <c r="D285" s="48" t="s">
        <v>111</v>
      </c>
      <c r="E285" s="48" cm="1">
        <f t="array" ref="E285">Common_Equations.Common_ConvertN2OToCO2e(G282,G283)</f>
        <v>4.6533916774435369</v>
      </c>
      <c r="F285" s="112" t="str" cm="1">
        <f t="array" ref="F285">Common_Equations.Common_ConvertN2OToCO2e_Unit()</f>
        <v>t CO2e</v>
      </c>
      <c r="N285" s="48" t="s">
        <v>111</v>
      </c>
      <c r="O285" s="48" cm="1">
        <f t="array" ref="O285">Common_Equations.Common_ConvertN2OToCO2e(Q282,Q283)</f>
        <v>4.6533916774435369</v>
      </c>
      <c r="P285" s="112" t="str" cm="1">
        <f t="array" ref="P285">Common_Equations.Common_ConvertN2OToCO2e_Unit()</f>
        <v>t CO2e</v>
      </c>
    </row>
    <row r="286" spans="4:20" ht="20.100000000000001" customHeight="1" x14ac:dyDescent="0.25"/>
    <row r="287" spans="4:20" ht="20.100000000000001" customHeight="1" x14ac:dyDescent="0.25"/>
    <row r="288" spans="4:20" ht="20.100000000000001" customHeight="1" x14ac:dyDescent="0.25"/>
    <row r="289" ht="20.100000000000001" customHeight="1" x14ac:dyDescent="0.25"/>
    <row r="290" ht="20.100000000000001" customHeight="1" x14ac:dyDescent="0.25"/>
    <row r="291" ht="20.100000000000001" customHeight="1" x14ac:dyDescent="0.25"/>
  </sheetData>
  <dataValidations count="1">
    <dataValidation operator="equal" allowBlank="1" showInputMessage="1" showErrorMessage="1" sqref="O106:T106 F78 N83:P83 D79:E79 E101:J101 E73:F73 F106:J106 E227 E224 O227 O224 E239 E236 O239 O236 E265 E262 E274 E271 O274 O271" xr:uid="{CE18DC45-74F3-46B3-972B-5F44E5579A05}"/>
  </dataValidations>
  <pageMargins left="0.7" right="0.7" top="0.75" bottom="0.75" header="0.3" footer="0.3"/>
  <pageSetup paperSize="9" orientation="portrait" r:id="rId1"/>
  <ignoredErrors>
    <ignoredError sqref="H236:H243" formula="1"/>
  </ignoredErrors>
  <drawing r:id="rId2"/>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2AB313-50E2-4B94-9781-2A2897CB38F7}">
  <dimension ref="A1:W165"/>
  <sheetViews>
    <sheetView showGridLines="0" workbookViewId="0">
      <selection activeCell="A12" sqref="A12"/>
    </sheetView>
  </sheetViews>
  <sheetFormatPr defaultRowHeight="15.75" x14ac:dyDescent="0.25"/>
  <cols>
    <col min="1" max="1" width="30.7109375" customWidth="1"/>
    <col min="2" max="2" width="4.7109375" customWidth="1"/>
    <col min="3" max="3" width="4.7109375" style="1" customWidth="1"/>
    <col min="4" max="11" width="30.7109375" style="1" customWidth="1"/>
    <col min="12" max="12" width="4.7109375" style="1" customWidth="1"/>
    <col min="13" max="13" width="4.7109375" customWidth="1"/>
    <col min="14" max="14" width="4.7109375" style="1" customWidth="1"/>
    <col min="15" max="22" width="30.7109375" style="1" customWidth="1"/>
    <col min="23" max="23" width="4.7109375" style="1" customWidth="1"/>
  </cols>
  <sheetData>
    <row r="1" spans="1:23" s="8" customFormat="1" ht="30" customHeight="1" x14ac:dyDescent="0.35">
      <c r="A1" s="8" t="e" vm="1">
        <v>#VALUE!</v>
      </c>
      <c r="C1" s="8" t="s">
        <v>344</v>
      </c>
    </row>
    <row r="2" spans="1:23" s="9" customFormat="1" ht="20.100000000000001" customHeight="1" x14ac:dyDescent="0.25"/>
    <row r="3" spans="1:23" ht="20.100000000000001" customHeight="1" x14ac:dyDescent="0.25">
      <c r="A3" s="17" t="str">
        <f>HYPERLINK("#'Home'!A1", "Home")</f>
        <v>Home</v>
      </c>
      <c r="C3" s="4"/>
      <c r="D3" s="4" t="s">
        <v>123</v>
      </c>
      <c r="E3" s="4"/>
      <c r="F3" s="4"/>
      <c r="G3" s="4"/>
      <c r="H3" s="4"/>
      <c r="I3" s="4"/>
      <c r="J3" s="4"/>
      <c r="K3" s="4"/>
      <c r="L3" s="4"/>
      <c r="N3" s="4"/>
      <c r="O3" s="4" t="s">
        <v>124</v>
      </c>
      <c r="P3" s="4"/>
      <c r="Q3" s="4"/>
      <c r="R3" s="4"/>
      <c r="S3" s="4"/>
      <c r="T3" s="4"/>
      <c r="U3" s="4"/>
      <c r="V3" s="4"/>
      <c r="W3" s="4"/>
    </row>
    <row r="4" spans="1:23" ht="20.100000000000001" customHeight="1" x14ac:dyDescent="0.25">
      <c r="A4" s="17" t="str">
        <f>HYPERLINK("#'Results'!A1", "Results")</f>
        <v>Results</v>
      </c>
    </row>
    <row r="5" spans="1:23" ht="20.100000000000001" customHeight="1" x14ac:dyDescent="0.25">
      <c r="A5" s="16"/>
      <c r="D5" s="6" t="str" cm="1">
        <f t="array" ref="D5">MMS_Dairy_AtmosphericDeposition_Equations.VEERG_4_3_1_5__2_TotalNitrogenVolatilisedFromMMS_Title()</f>
        <v>Total nitrogen volatilised from MMS</v>
      </c>
      <c r="G5" s="114" t="s">
        <v>353</v>
      </c>
    </row>
    <row r="6" spans="1:23" ht="20.100000000000001" customHeight="1" x14ac:dyDescent="0.25">
      <c r="A6" s="20" t="s">
        <v>3</v>
      </c>
      <c r="D6" s="5" t="str" cm="1">
        <f t="array" ref="D6">MMS_Dairy_AtmosphericDeposition_Equations.VEERG_4_3_1_5__2_TotalNitrogenVolatilisedFromMMS_Source()</f>
        <v>VEERG 2026: 4.3.1.5, Equation (2)</v>
      </c>
    </row>
    <row r="7" spans="1:23" ht="20.100000000000001" customHeight="1" x14ac:dyDescent="0.25">
      <c r="A7" s="17" t="str">
        <f>HYPERLINK("#'Input - Site'!A1", "Site")</f>
        <v>Site</v>
      </c>
      <c r="D7" s="13" t="s">
        <v>28</v>
      </c>
      <c r="E7" s="13" t="str" cm="1">
        <f t="array" aca="1" ref="E7" ca="1">Common_InputFunctions.Utility_DisplayFunctionName(F40)</f>
        <v>=MMS_Dairy_AtmosphericDeposition_Equations.VEERG_4_3_1_5__2_TotalNitrogenVolatilisedFromMMS</v>
      </c>
    </row>
    <row r="8" spans="1:23" ht="20.100000000000001" customHeight="1" x14ac:dyDescent="0.25">
      <c r="A8" s="17" t="str">
        <f>HYPERLINK("#'Input - Dairy'!A1", "Dairy")</f>
        <v>Dairy</v>
      </c>
    </row>
    <row r="9" spans="1:23" ht="20.100000000000001" customHeight="1" x14ac:dyDescent="0.25">
      <c r="A9" s="17"/>
    </row>
    <row r="10" spans="1:23" ht="20.100000000000001" customHeight="1" x14ac:dyDescent="0.25">
      <c r="A10" s="19" t="s">
        <v>78</v>
      </c>
      <c r="D10" s="56" t="s">
        <v>31</v>
      </c>
      <c r="E10" s="1" t="str" cm="1">
        <f t="array" ref="E10">MMS_Dairy_AtmosphericDeposition_Equations.VEERG_4_3_1_5__2_TotalNitrogenVolatilisedFromMMS_Variable()</f>
        <v>MN_ATMOS</v>
      </c>
    </row>
    <row r="11" spans="1:23" ht="20.100000000000001" customHeight="1" x14ac:dyDescent="0.25">
      <c r="A11" s="17" t="str">
        <f>HYPERLINK("#'4.3.1.1-2 Methane'!A1", "4.3.1.1-2 Methane")</f>
        <v>4.3.1.1-2 Methane</v>
      </c>
      <c r="D11" s="56" t="s">
        <v>21</v>
      </c>
      <c r="E11" s="57" t="str" cm="1">
        <f t="array" ref="E11">MMS_Dairy_AtmosphericDeposition_Equations.VEERG_4_3_1_5__2_TotalNitrogenVolatilisedFromMMS_Unit()</f>
        <v>kg N</v>
      </c>
    </row>
    <row r="12" spans="1:23" ht="20.100000000000001" customHeight="1" x14ac:dyDescent="0.25">
      <c r="A12" s="17" t="str">
        <f>HYPERLINK("#'4.3.1.3-4 Direct N20'!A1", "4.3.1.3-4 Direct N2O")</f>
        <v>4.3.1.3-4 Direct N2O</v>
      </c>
    </row>
    <row r="13" spans="1:23" ht="20.100000000000001" customHeight="1" x14ac:dyDescent="0.25">
      <c r="A13" s="22" t="str">
        <f>HYPERLINK("#'4.3.1.5 Atmos Deposition'!A1", "4.3.1.5 Atmospheric deposition")</f>
        <v>4.3.1.5 Atmospheric deposition</v>
      </c>
      <c r="D13" s="60" t="str" cm="1">
        <f t="array" ref="D13:E14">MMS_Dairy_AtmosphericDeposition_Equations.VEERG_4_3_1_5__2_TotalNitrogenVolatilisedFromMMS_Arguments()</f>
        <v>MN_jm</v>
      </c>
      <c r="E13" s="61" t="str">
        <v>total nitrogen in each MMS for dairy cattle classes (kg N)</v>
      </c>
      <c r="F13" s="62"/>
      <c r="G13" s="60" t="str">
        <f>"See " &amp; $D$16</f>
        <v>See M1_Table_MN_j_m</v>
      </c>
    </row>
    <row r="14" spans="1:23" ht="20.100000000000001" customHeight="1" x14ac:dyDescent="0.25">
      <c r="A14" s="17" t="str">
        <f>HYPERLINK("#'4.3.1.6-7 Leaching and runoff'!A1", "4.3.1.6-7 Leaching and runoff")</f>
        <v>4.3.1.6-7 Leaching and runoff</v>
      </c>
      <c r="D14" s="60" t="str">
        <v>FracGASM_m</v>
      </c>
      <c r="E14" s="61" t="str">
        <v>fraction of N volatilised from MMS (fraction)</v>
      </c>
      <c r="F14" s="62"/>
      <c r="G14" s="60" t="str">
        <f>"See " &amp; $D$28</f>
        <v>See Table_FracGASM_m</v>
      </c>
    </row>
    <row r="15" spans="1:23" ht="20.100000000000001" customHeight="1" x14ac:dyDescent="0.25">
      <c r="A15" s="17" t="str">
        <f>HYPERLINK("#'4.3.1.8 Manure applied to soils'!A1", "4.3.1.8 Manure applied to soils")</f>
        <v>4.3.1.8 Manure applied to soils</v>
      </c>
    </row>
    <row r="16" spans="1:23" ht="20.100000000000001" customHeight="1" x14ac:dyDescent="0.25">
      <c r="A16" s="17" t="str">
        <f>HYPERLINK("#'4.3.1.9 Soil direct N2O'!A1", "4.3.1.9 Soil direct N2O")</f>
        <v>4.3.1.9 Soil direct N2O</v>
      </c>
      <c r="D16" s="104" t="s">
        <v>335</v>
      </c>
      <c r="O16" s="104" t="s">
        <v>338</v>
      </c>
    </row>
    <row r="17" spans="1:22" ht="20.100000000000001" customHeight="1" x14ac:dyDescent="0.25">
      <c r="A17" s="17" t="str">
        <f>HYPERLINK("#'4.3.1.10-11 Soil Atmos Dep'!A1", "4.3.1.10-11 Soil atm. deposition")</f>
        <v>4.3.1.10-11 Soil atm. deposition</v>
      </c>
      <c r="D17" s="103" t="s">
        <v>336</v>
      </c>
      <c r="O17" s="103" t="s">
        <v>337</v>
      </c>
    </row>
    <row r="18" spans="1:22" ht="20.100000000000001" customHeight="1" x14ac:dyDescent="0.25">
      <c r="A18" s="17" t="str">
        <f>HYPERLINK("#'4.3.1.12-13 Soil leach runoff'!A1", "4.3.1.12-13 Soil leach &amp; runoff")</f>
        <v>4.3.1.12-13 Soil leach &amp; runoff</v>
      </c>
      <c r="D18" s="54" t="s">
        <v>159</v>
      </c>
      <c r="E18" s="54" t="s">
        <v>69</v>
      </c>
      <c r="F18" s="54" t="s">
        <v>186</v>
      </c>
      <c r="G18" s="54" t="s">
        <v>203</v>
      </c>
      <c r="H18" s="54" t="s">
        <v>204</v>
      </c>
      <c r="I18" s="54" t="s">
        <v>205</v>
      </c>
      <c r="J18" s="54" t="s">
        <v>206</v>
      </c>
      <c r="O18" s="54" t="s">
        <v>159</v>
      </c>
      <c r="P18" s="54" t="s">
        <v>69</v>
      </c>
      <c r="Q18" s="54" t="s">
        <v>186</v>
      </c>
      <c r="R18" s="54" t="s">
        <v>203</v>
      </c>
      <c r="S18" s="54" t="s">
        <v>204</v>
      </c>
      <c r="T18" s="54" t="s">
        <v>205</v>
      </c>
      <c r="U18" s="54" t="s">
        <v>206</v>
      </c>
    </row>
    <row r="19" spans="1:22" ht="20.100000000000001" customHeight="1" x14ac:dyDescent="0.25">
      <c r="A19" s="17"/>
      <c r="D19" s="55" t="str">
        <f>'Input - Dairy'!$D$54</f>
        <v>Milking shed</v>
      </c>
      <c r="E19" s="55" t="str">
        <f>'Input - Dairy'!$D$67</f>
        <v>Anaerobic lagoon</v>
      </c>
      <c r="F19" s="55">
        <f>'4.3.1.3-4 Direct N20'!$F$236</f>
        <v>212.24813314524795</v>
      </c>
      <c r="G19" s="55">
        <f>'4.3.1.3-4 Direct N20'!$G$236</f>
        <v>182.35790267782079</v>
      </c>
      <c r="H19" s="55">
        <f>'4.3.1.3-4 Direct N20'!$H$236</f>
        <v>72.631224123843424</v>
      </c>
      <c r="I19" s="55">
        <f>'4.3.1.3-4 Direct N20'!$I$236</f>
        <v>229.23109573986844</v>
      </c>
      <c r="J19" s="55">
        <f>'4.3.1.3-4 Direct N20'!$J$236</f>
        <v>95.962857079055411</v>
      </c>
      <c r="K19" s="2" t="s">
        <v>135</v>
      </c>
      <c r="O19" s="55" t="str">
        <f>'Input - Dairy'!$D$54</f>
        <v>Milking shed</v>
      </c>
      <c r="P19" s="55" t="str">
        <f>'Input - Dairy'!$D$67</f>
        <v>Anaerobic lagoon</v>
      </c>
      <c r="Q19" s="55">
        <f>'4.3.1.3-4 Direct N20'!$P$236</f>
        <v>212.24813314524795</v>
      </c>
      <c r="R19" s="55">
        <f>'4.3.1.3-4 Direct N20'!$Q$236</f>
        <v>182.35790267782079</v>
      </c>
      <c r="S19" s="55">
        <f>'4.3.1.3-4 Direct N20'!$R$236</f>
        <v>72.631224123843424</v>
      </c>
      <c r="T19" s="55">
        <f>'4.3.1.3-4 Direct N20'!$S$236</f>
        <v>229.23109573986844</v>
      </c>
      <c r="U19" s="55">
        <f>'4.3.1.3-4 Direct N20'!$T$236</f>
        <v>95.962857079055411</v>
      </c>
      <c r="V19" s="2" t="s">
        <v>135</v>
      </c>
    </row>
    <row r="20" spans="1:22" ht="20.100000000000001" customHeight="1" x14ac:dyDescent="0.25">
      <c r="A20" s="18" t="s">
        <v>4</v>
      </c>
      <c r="D20" s="55" t="str">
        <f>'Input - Dairy'!$D$54</f>
        <v>Milking shed</v>
      </c>
      <c r="E20" s="55" t="str">
        <f>'Input - Dairy'!$D$72</f>
        <v>Sump and dispersal system</v>
      </c>
      <c r="F20" s="55">
        <f>'4.3.1.3-4 Direct N20'!$F$237</f>
        <v>212.24813314524795</v>
      </c>
      <c r="G20" s="55">
        <f>'4.3.1.3-4 Direct N20'!$G$237</f>
        <v>182.35790267782079</v>
      </c>
      <c r="H20" s="55">
        <f>'4.3.1.3-4 Direct N20'!$H$237</f>
        <v>72.631224123843424</v>
      </c>
      <c r="I20" s="55">
        <f>'4.3.1.3-4 Direct N20'!$I$237</f>
        <v>229.23109573986844</v>
      </c>
      <c r="J20" s="55">
        <f>'4.3.1.3-4 Direct N20'!$J$237</f>
        <v>95.962857079055411</v>
      </c>
      <c r="K20" s="2" t="s">
        <v>135</v>
      </c>
      <c r="O20" s="55" t="str">
        <f>'Input - Dairy'!$D$54</f>
        <v>Milking shed</v>
      </c>
      <c r="P20" s="55" t="str">
        <f>'Input - Dairy'!$D$72</f>
        <v>Sump and dispersal system</v>
      </c>
      <c r="Q20" s="55">
        <f>'4.3.1.3-4 Direct N20'!$P$237</f>
        <v>212.24813314524795</v>
      </c>
      <c r="R20" s="55">
        <f>'4.3.1.3-4 Direct N20'!$Q$237</f>
        <v>182.35790267782079</v>
      </c>
      <c r="S20" s="55">
        <f>'4.3.1.3-4 Direct N20'!$R$237</f>
        <v>72.631224123843424</v>
      </c>
      <c r="T20" s="55">
        <f>'4.3.1.3-4 Direct N20'!$S$237</f>
        <v>229.23109573986844</v>
      </c>
      <c r="U20" s="55">
        <f>'4.3.1.3-4 Direct N20'!$T$237</f>
        <v>95.962857079055411</v>
      </c>
      <c r="V20" s="2" t="s">
        <v>135</v>
      </c>
    </row>
    <row r="21" spans="1:22" ht="20.100000000000001" customHeight="1" x14ac:dyDescent="0.25">
      <c r="A21" s="17" t="str">
        <f>HYPERLINK("#'Constants - Dairy'!A1", "Constants - Dairy")</f>
        <v>Constants - Dairy</v>
      </c>
      <c r="D21" s="55" t="str">
        <f>'Input - Dairy'!$D$54</f>
        <v>Milking shed</v>
      </c>
      <c r="E21" s="55" t="str">
        <f>'Input - Dairy'!$D$77</f>
        <v>Drains to paddock</v>
      </c>
      <c r="F21" s="55">
        <f>'4.3.1.3-4 Direct N20'!$F$238</f>
        <v>212.24813314524795</v>
      </c>
      <c r="G21" s="55">
        <f>'4.3.1.3-4 Direct N20'!$G$238</f>
        <v>182.35790267782079</v>
      </c>
      <c r="H21" s="55">
        <f>'4.3.1.3-4 Direct N20'!$H$238</f>
        <v>72.631224123843424</v>
      </c>
      <c r="I21" s="55">
        <f>'4.3.1.3-4 Direct N20'!$I$238</f>
        <v>229.23109573986844</v>
      </c>
      <c r="J21" s="55">
        <f>'4.3.1.3-4 Direct N20'!$J$238</f>
        <v>95.962857079055411</v>
      </c>
      <c r="K21" s="2" t="s">
        <v>135</v>
      </c>
      <c r="O21" s="55" t="str">
        <f>'Input - Dairy'!$D$54</f>
        <v>Milking shed</v>
      </c>
      <c r="P21" s="55" t="str">
        <f>'Input - Dairy'!$D$77</f>
        <v>Drains to paddock</v>
      </c>
      <c r="Q21" s="55">
        <f>'4.3.1.3-4 Direct N20'!$P$238</f>
        <v>212.24813314524795</v>
      </c>
      <c r="R21" s="55">
        <f>'4.3.1.3-4 Direct N20'!$Q$238</f>
        <v>182.35790267782079</v>
      </c>
      <c r="S21" s="55">
        <f>'4.3.1.3-4 Direct N20'!$R$238</f>
        <v>72.631224123843424</v>
      </c>
      <c r="T21" s="55">
        <f>'4.3.1.3-4 Direct N20'!$S$238</f>
        <v>229.23109573986844</v>
      </c>
      <c r="U21" s="55">
        <f>'4.3.1.3-4 Direct N20'!$T$238</f>
        <v>95.962857079055411</v>
      </c>
      <c r="V21" s="2" t="s">
        <v>135</v>
      </c>
    </row>
    <row r="22" spans="1:22" ht="20.100000000000001" customHeight="1" x14ac:dyDescent="0.25">
      <c r="A22" s="17" t="str">
        <f>HYPERLINK("#'Constants - Livestock'!A1", "Constants - Livestock")</f>
        <v>Constants - Livestock</v>
      </c>
      <c r="D22" s="55" t="str">
        <f>'Input - Dairy'!$D$54</f>
        <v>Milking shed</v>
      </c>
      <c r="E22" s="55" t="str">
        <f>'Input - Dairy'!$D$82</f>
        <v>Solid storage</v>
      </c>
      <c r="F22" s="55">
        <f>'4.3.1.3-4 Direct N20'!$F$239</f>
        <v>424.49626629049584</v>
      </c>
      <c r="G22" s="55">
        <f>'4.3.1.3-4 Direct N20'!$G$239</f>
        <v>364.71580535564152</v>
      </c>
      <c r="H22" s="55">
        <f>'4.3.1.3-4 Direct N20'!$H$239</f>
        <v>145.26244824768682</v>
      </c>
      <c r="I22" s="55">
        <f>'4.3.1.3-4 Direct N20'!$I$239</f>
        <v>458.46219147973682</v>
      </c>
      <c r="J22" s="55">
        <f>'4.3.1.3-4 Direct N20'!$J$239</f>
        <v>191.92571415811079</v>
      </c>
      <c r="K22" s="2" t="s">
        <v>135</v>
      </c>
      <c r="O22" s="55" t="str">
        <f>'Input - Dairy'!$D$54</f>
        <v>Milking shed</v>
      </c>
      <c r="P22" s="55" t="str">
        <f>'Input - Dairy'!$D$82</f>
        <v>Solid storage</v>
      </c>
      <c r="Q22" s="55">
        <f>'4.3.1.3-4 Direct N20'!$P$239</f>
        <v>424.49626629049584</v>
      </c>
      <c r="R22" s="55">
        <f>'4.3.1.3-4 Direct N20'!$Q$239</f>
        <v>364.71580535564152</v>
      </c>
      <c r="S22" s="55">
        <f>'4.3.1.3-4 Direct N20'!$R$239</f>
        <v>145.26244824768682</v>
      </c>
      <c r="T22" s="55">
        <f>'4.3.1.3-4 Direct N20'!$S$239</f>
        <v>458.46219147973682</v>
      </c>
      <c r="U22" s="55">
        <f>'4.3.1.3-4 Direct N20'!$T$239</f>
        <v>191.92571415811079</v>
      </c>
      <c r="V22" s="2" t="s">
        <v>135</v>
      </c>
    </row>
    <row r="23" spans="1:22" ht="20.100000000000001" customHeight="1" x14ac:dyDescent="0.25">
      <c r="A23" s="17" t="str">
        <f>HYPERLINK("#'Constants - Common'!A1", "Constants - Common")</f>
        <v>Constants - Common</v>
      </c>
      <c r="D23" s="55" t="str">
        <f>'Input - Dairy'!$D$55</f>
        <v>Feed pad</v>
      </c>
      <c r="E23" s="55" t="str">
        <f>'Input - Dairy'!$D$101</f>
        <v>Anaerobic lagoon</v>
      </c>
      <c r="F23" s="55">
        <f>'4.3.1.3-4 Direct N20'!$F$240</f>
        <v>858.64017499668478</v>
      </c>
      <c r="G23" s="55">
        <f>'4.3.1.3-4 Direct N20'!$G$240</f>
        <v>737.72060628754764</v>
      </c>
      <c r="H23" s="55">
        <f>'4.3.1.3-4 Direct N20'!$H$240</f>
        <v>293.82631577373019</v>
      </c>
      <c r="I23" s="55">
        <f>'4.3.1.3-4 Direct N20'!$I$240</f>
        <v>927.34397822037681</v>
      </c>
      <c r="J23" s="55">
        <f>'4.3.1.3-4 Direct N20'!$J$240</f>
        <v>388.21337636526954</v>
      </c>
      <c r="K23" s="2" t="s">
        <v>135</v>
      </c>
      <c r="O23" s="55" t="str">
        <f>'Input - Dairy'!$D$55</f>
        <v>Feed pad</v>
      </c>
      <c r="P23" s="55" t="str">
        <f>'Input - Dairy'!$D$101</f>
        <v>Anaerobic lagoon</v>
      </c>
      <c r="Q23" s="55">
        <f>'4.3.1.3-4 Direct N20'!$P$240</f>
        <v>858.64017499668478</v>
      </c>
      <c r="R23" s="55">
        <f>'4.3.1.3-4 Direct N20'!$Q$240</f>
        <v>737.72060628754764</v>
      </c>
      <c r="S23" s="55">
        <f>'4.3.1.3-4 Direct N20'!$R$240</f>
        <v>293.82631577373019</v>
      </c>
      <c r="T23" s="55">
        <f>'4.3.1.3-4 Direct N20'!$S$240</f>
        <v>927.34397822037681</v>
      </c>
      <c r="U23" s="55">
        <f>'4.3.1.3-4 Direct N20'!$T$240</f>
        <v>388.21337636526954</v>
      </c>
      <c r="V23" s="2" t="s">
        <v>135</v>
      </c>
    </row>
    <row r="24" spans="1:22" ht="20.100000000000001" customHeight="1" x14ac:dyDescent="0.25">
      <c r="A24" s="17" t="str">
        <f>HYPERLINK("#'Acknowledgements'!A1", "Acknowledgements")</f>
        <v>Acknowledgements</v>
      </c>
      <c r="D24" s="55" t="str">
        <f>'Input - Dairy'!$D$55</f>
        <v>Feed pad</v>
      </c>
      <c r="E24" s="55" t="str">
        <f>'Input - Dairy'!$D$106</f>
        <v>Sump and dispersal system</v>
      </c>
      <c r="F24" s="55">
        <f>'4.3.1.3-4 Direct N20'!$F$241</f>
        <v>686.91213999734782</v>
      </c>
      <c r="G24" s="55">
        <f>'4.3.1.3-4 Direct N20'!$G$241</f>
        <v>590.17648503003818</v>
      </c>
      <c r="H24" s="55">
        <f>'4.3.1.3-4 Direct N20'!$H$241</f>
        <v>235.06105261898415</v>
      </c>
      <c r="I24" s="55">
        <f>'4.3.1.3-4 Direct N20'!$I$241</f>
        <v>741.87518257630143</v>
      </c>
      <c r="J24" s="55">
        <f>'4.3.1.3-4 Direct N20'!$J$241</f>
        <v>310.57070109221564</v>
      </c>
      <c r="K24" s="2" t="s">
        <v>135</v>
      </c>
      <c r="O24" s="55" t="str">
        <f>'Input - Dairy'!$D$55</f>
        <v>Feed pad</v>
      </c>
      <c r="P24" s="55" t="str">
        <f>'Input - Dairy'!$D$106</f>
        <v>Sump and dispersal system</v>
      </c>
      <c r="Q24" s="55">
        <f>'4.3.1.3-4 Direct N20'!$P$241</f>
        <v>686.91213999734782</v>
      </c>
      <c r="R24" s="55">
        <f>'4.3.1.3-4 Direct N20'!$Q$241</f>
        <v>590.17648503003818</v>
      </c>
      <c r="S24" s="55">
        <f>'4.3.1.3-4 Direct N20'!$R$241</f>
        <v>235.06105261898415</v>
      </c>
      <c r="T24" s="55">
        <f>'4.3.1.3-4 Direct N20'!$S$241</f>
        <v>741.87518257630143</v>
      </c>
      <c r="U24" s="55">
        <f>'4.3.1.3-4 Direct N20'!$T$241</f>
        <v>310.57070109221564</v>
      </c>
      <c r="V24" s="2" t="s">
        <v>135</v>
      </c>
    </row>
    <row r="25" spans="1:22" ht="20.100000000000001" customHeight="1" x14ac:dyDescent="0.25">
      <c r="D25" s="55" t="str">
        <f>'Input - Dairy'!$D$55</f>
        <v>Feed pad</v>
      </c>
      <c r="E25" s="55" t="str">
        <f>'Input - Dairy'!$D$111</f>
        <v>Drains to paddock</v>
      </c>
      <c r="F25" s="55">
        <f>'4.3.1.3-4 Direct N20'!$F$242</f>
        <v>686.91213999734782</v>
      </c>
      <c r="G25" s="55">
        <f>'4.3.1.3-4 Direct N20'!$G$242</f>
        <v>590.17648503003818</v>
      </c>
      <c r="H25" s="55">
        <f>'4.3.1.3-4 Direct N20'!$H$242</f>
        <v>235.06105261898415</v>
      </c>
      <c r="I25" s="55">
        <f>'4.3.1.3-4 Direct N20'!$I$242</f>
        <v>741.87518257630143</v>
      </c>
      <c r="J25" s="55">
        <f>'4.3.1.3-4 Direct N20'!$J$242</f>
        <v>310.57070109221564</v>
      </c>
      <c r="K25" s="2" t="s">
        <v>135</v>
      </c>
      <c r="O25" s="55" t="str">
        <f>'Input - Dairy'!$D$55</f>
        <v>Feed pad</v>
      </c>
      <c r="P25" s="55" t="str">
        <f>'Input - Dairy'!$D$111</f>
        <v>Drains to paddock</v>
      </c>
      <c r="Q25" s="55">
        <f>'4.3.1.3-4 Direct N20'!$P$242</f>
        <v>686.91213999734782</v>
      </c>
      <c r="R25" s="55">
        <f>'4.3.1.3-4 Direct N20'!$Q$242</f>
        <v>590.17648503003818</v>
      </c>
      <c r="S25" s="55">
        <f>'4.3.1.3-4 Direct N20'!$R$242</f>
        <v>235.06105261898415</v>
      </c>
      <c r="T25" s="55">
        <f>'4.3.1.3-4 Direct N20'!$S$242</f>
        <v>741.87518257630143</v>
      </c>
      <c r="U25" s="55">
        <f>'4.3.1.3-4 Direct N20'!$T$242</f>
        <v>310.57070109221564</v>
      </c>
      <c r="V25" s="2" t="s">
        <v>135</v>
      </c>
    </row>
    <row r="26" spans="1:22" ht="20.100000000000001" customHeight="1" x14ac:dyDescent="0.25">
      <c r="D26" s="55" t="str">
        <f>'Input - Dairy'!$D$55</f>
        <v>Feed pad</v>
      </c>
      <c r="E26" s="55" t="str">
        <f>'Input - Dairy'!$D$116</f>
        <v>Solid storage</v>
      </c>
      <c r="F26" s="55">
        <f>'4.3.1.3-4 Direct N20'!$F$243</f>
        <v>1202.0962449953586</v>
      </c>
      <c r="G26" s="55">
        <f>'4.3.1.3-4 Direct N20'!$G$243</f>
        <v>1032.8088488025667</v>
      </c>
      <c r="H26" s="55">
        <f>'4.3.1.3-4 Direct N20'!$H$243</f>
        <v>411.35684208322226</v>
      </c>
      <c r="I26" s="55">
        <f>'4.3.1.3-4 Direct N20'!$I$243</f>
        <v>1298.2815695085274</v>
      </c>
      <c r="J26" s="55">
        <f>'4.3.1.3-4 Direct N20'!$J$243</f>
        <v>543.49872691137739</v>
      </c>
      <c r="K26" s="2" t="s">
        <v>135</v>
      </c>
      <c r="O26" s="55" t="str">
        <f>'Input - Dairy'!$D$55</f>
        <v>Feed pad</v>
      </c>
      <c r="P26" s="55" t="str">
        <f>'Input - Dairy'!$D$116</f>
        <v>Solid storage</v>
      </c>
      <c r="Q26" s="55">
        <f>'4.3.1.3-4 Direct N20'!$P$243</f>
        <v>1202.0962449953586</v>
      </c>
      <c r="R26" s="55">
        <f>'4.3.1.3-4 Direct N20'!$Q$243</f>
        <v>1032.8088488025667</v>
      </c>
      <c r="S26" s="55">
        <f>'4.3.1.3-4 Direct N20'!$R$243</f>
        <v>411.35684208322226</v>
      </c>
      <c r="T26" s="55">
        <f>'4.3.1.3-4 Direct N20'!$S$243</f>
        <v>1298.2815695085274</v>
      </c>
      <c r="U26" s="55">
        <f>'4.3.1.3-4 Direct N20'!$T$243</f>
        <v>543.49872691137739</v>
      </c>
      <c r="V26" s="2" t="s">
        <v>135</v>
      </c>
    </row>
    <row r="27" spans="1:22" ht="20.100000000000001" customHeight="1" x14ac:dyDescent="0.25"/>
    <row r="28" spans="1:22" ht="20.100000000000001" customHeight="1" x14ac:dyDescent="0.25">
      <c r="D28" s="104" t="s">
        <v>345</v>
      </c>
    </row>
    <row r="29" spans="1:22" ht="20.100000000000001" customHeight="1" x14ac:dyDescent="0.25">
      <c r="D29" s="103" t="s">
        <v>347</v>
      </c>
    </row>
    <row r="30" spans="1:22" ht="20.100000000000001" customHeight="1" x14ac:dyDescent="0.25">
      <c r="D30" s="54" t="s">
        <v>69</v>
      </c>
      <c r="E30" s="54" t="s">
        <v>346</v>
      </c>
    </row>
    <row r="31" spans="1:22" ht="20.100000000000001" customHeight="1" x14ac:dyDescent="0.25">
      <c r="D31" s="55" t="str" cm="1">
        <f t="array" ref="D31:D35">Table_SourceData_Dairy_EFmFracGASM[NIR reference]</f>
        <v>Pasture range and paddock</v>
      </c>
      <c r="E31" s="55" cm="1">
        <f t="array" ref="E31:E35">Table_SourceData_Dairy_EFmFracGASM[FracGASMm]</f>
        <v>0</v>
      </c>
      <c r="F31" s="2" t="str">
        <f>'Constants - Dairy'!$D$84</f>
        <v>kg N2O-N/kg N excreted</v>
      </c>
    </row>
    <row r="32" spans="1:22" ht="20.100000000000001" customHeight="1" x14ac:dyDescent="0.25">
      <c r="D32" s="55" t="str">
        <v>Anaerobic lagoon</v>
      </c>
      <c r="E32" s="55">
        <v>0.35</v>
      </c>
      <c r="F32" s="2" t="str">
        <f>'Constants - Dairy'!$D$84</f>
        <v>kg N2O-N/kg N excreted</v>
      </c>
    </row>
    <row r="33" spans="4:22" ht="20.100000000000001" customHeight="1" x14ac:dyDescent="0.25">
      <c r="D33" s="55" t="str">
        <v>Sump and dispersal system</v>
      </c>
      <c r="E33" s="55">
        <v>7.0000000000000007E-2</v>
      </c>
      <c r="F33" s="2" t="str">
        <f>'Constants - Dairy'!$D$84</f>
        <v>kg N2O-N/kg N excreted</v>
      </c>
    </row>
    <row r="34" spans="4:22" ht="20.100000000000001" customHeight="1" x14ac:dyDescent="0.25">
      <c r="D34" s="55" t="str">
        <v>Drains to paddock</v>
      </c>
      <c r="E34" s="55">
        <v>0.2</v>
      </c>
      <c r="F34" s="2" t="str">
        <f>'Constants - Dairy'!$D$84</f>
        <v>kg N2O-N/kg N excreted</v>
      </c>
    </row>
    <row r="35" spans="4:22" ht="20.100000000000001" customHeight="1" x14ac:dyDescent="0.25">
      <c r="D35" s="55" t="str">
        <v>Solid storage</v>
      </c>
      <c r="E35" s="55">
        <v>0.3</v>
      </c>
      <c r="F35" s="2" t="str">
        <f>'Constants - Dairy'!$D$84</f>
        <v>kg N2O-N/kg N excreted</v>
      </c>
    </row>
    <row r="36" spans="4:22" ht="20.100000000000001" customHeight="1" x14ac:dyDescent="0.25"/>
    <row r="37" spans="4:22" ht="20.100000000000001" customHeight="1" x14ac:dyDescent="0.25">
      <c r="D37" s="104" t="s">
        <v>348</v>
      </c>
      <c r="O37" s="104" t="s">
        <v>350</v>
      </c>
    </row>
    <row r="38" spans="4:22" ht="20.100000000000001" customHeight="1" x14ac:dyDescent="0.25">
      <c r="D38" s="103" t="s">
        <v>349</v>
      </c>
      <c r="O38" s="103" t="s">
        <v>351</v>
      </c>
    </row>
    <row r="39" spans="4:22" ht="20.100000000000001" customHeight="1" x14ac:dyDescent="0.25">
      <c r="D39" s="54" t="s">
        <v>159</v>
      </c>
      <c r="E39" s="54" t="s">
        <v>69</v>
      </c>
      <c r="F39" s="54" t="s">
        <v>186</v>
      </c>
      <c r="G39" s="54" t="s">
        <v>203</v>
      </c>
      <c r="H39" s="54" t="s">
        <v>204</v>
      </c>
      <c r="I39" s="54" t="s">
        <v>205</v>
      </c>
      <c r="J39" s="54" t="s">
        <v>206</v>
      </c>
      <c r="O39" s="54" t="s">
        <v>159</v>
      </c>
      <c r="P39" s="54" t="s">
        <v>69</v>
      </c>
      <c r="Q39" s="54" t="s">
        <v>186</v>
      </c>
      <c r="R39" s="54" t="s">
        <v>203</v>
      </c>
      <c r="S39" s="54" t="s">
        <v>204</v>
      </c>
      <c r="T39" s="54" t="s">
        <v>205</v>
      </c>
      <c r="U39" s="54" t="s">
        <v>206</v>
      </c>
    </row>
    <row r="40" spans="4:22" ht="20.100000000000001" customHeight="1" x14ac:dyDescent="0.25">
      <c r="D40" s="55" t="str">
        <f>'Input - Dairy'!$D$54</f>
        <v>Milking shed</v>
      </c>
      <c r="E40" s="55" t="str">
        <f>'Input - Dairy'!$D$67</f>
        <v>Anaerobic lagoon</v>
      </c>
      <c r="F40" s="55" cm="1">
        <f t="array" ref="F40">MMS_Dairy_AtmosphericDeposition_Equations.VEERG_4_3_1_5__2_TotalNitrogenVolatilisedFromMMS(F19,$E32)</f>
        <v>74.286846600836782</v>
      </c>
      <c r="G40" s="55" cm="1">
        <f t="array" ref="G40">MMS_Dairy_AtmosphericDeposition_Equations.VEERG_4_3_1_5__2_TotalNitrogenVolatilisedFromMMS(G19,$E32)</f>
        <v>63.825265937237269</v>
      </c>
      <c r="H40" s="55" cm="1">
        <f t="array" ref="H40">MMS_Dairy_AtmosphericDeposition_Equations.VEERG_4_3_1_5__2_TotalNitrogenVolatilisedFromMMS(H19,$E32)</f>
        <v>25.420928443345197</v>
      </c>
      <c r="I40" s="55" cm="1">
        <f t="array" ref="I40">MMS_Dairy_AtmosphericDeposition_Equations.VEERG_4_3_1_5__2_TotalNitrogenVolatilisedFromMMS(I19,$E32)</f>
        <v>80.230883508953951</v>
      </c>
      <c r="J40" s="55" cm="1">
        <f t="array" ref="J40">MMS_Dairy_AtmosphericDeposition_Equations.VEERG_4_3_1_5__2_TotalNitrogenVolatilisedFromMMS(J19,$E32)</f>
        <v>33.586999977669393</v>
      </c>
      <c r="K40" s="2" t="s">
        <v>135</v>
      </c>
      <c r="O40" s="55" t="str">
        <f>'Input - Dairy'!$D$54</f>
        <v>Milking shed</v>
      </c>
      <c r="P40" s="55" t="str">
        <f>'Input - Dairy'!$D$67</f>
        <v>Anaerobic lagoon</v>
      </c>
      <c r="Q40" s="55" cm="1">
        <f t="array" ref="Q40">MMS_Dairy_AtmosphericDeposition_Equations.VEERG_4_3_1_5__2_TotalNitrogenVolatilisedFromMMS(Q19,$E32)</f>
        <v>74.286846600836782</v>
      </c>
      <c r="R40" s="55" cm="1">
        <f t="array" ref="R40">MMS_Dairy_AtmosphericDeposition_Equations.VEERG_4_3_1_5__2_TotalNitrogenVolatilisedFromMMS(R19,$E32)</f>
        <v>63.825265937237269</v>
      </c>
      <c r="S40" s="55" cm="1">
        <f t="array" ref="S40">MMS_Dairy_AtmosphericDeposition_Equations.VEERG_4_3_1_5__2_TotalNitrogenVolatilisedFromMMS(S19,$E32)</f>
        <v>25.420928443345197</v>
      </c>
      <c r="T40" s="55" cm="1">
        <f t="array" ref="T40">MMS_Dairy_AtmosphericDeposition_Equations.VEERG_4_3_1_5__2_TotalNitrogenVolatilisedFromMMS(T19,$E32)</f>
        <v>80.230883508953951</v>
      </c>
      <c r="U40" s="55" cm="1">
        <f t="array" ref="U40">MMS_Dairy_AtmosphericDeposition_Equations.VEERG_4_3_1_5__2_TotalNitrogenVolatilisedFromMMS(U19,$E32)</f>
        <v>33.586999977669393</v>
      </c>
      <c r="V40" s="2" t="s">
        <v>135</v>
      </c>
    </row>
    <row r="41" spans="4:22" ht="20.100000000000001" customHeight="1" x14ac:dyDescent="0.25">
      <c r="D41" s="55" t="str">
        <f>'Input - Dairy'!$D$54</f>
        <v>Milking shed</v>
      </c>
      <c r="E41" s="55" t="str">
        <f>'Input - Dairy'!$D$72</f>
        <v>Sump and dispersal system</v>
      </c>
      <c r="F41" s="55" cm="1">
        <f t="array" ref="F41">MMS_Dairy_AtmosphericDeposition_Equations.VEERG_4_3_1_5__2_TotalNitrogenVolatilisedFromMMS(F20,$E33)</f>
        <v>14.857369320167358</v>
      </c>
      <c r="G41" s="55" cm="1">
        <f t="array" ref="G41">MMS_Dairy_AtmosphericDeposition_Equations.VEERG_4_3_1_5__2_TotalNitrogenVolatilisedFromMMS(G20,$E33)</f>
        <v>12.765053187447457</v>
      </c>
      <c r="H41" s="55" cm="1">
        <f t="array" ref="H41">MMS_Dairy_AtmosphericDeposition_Equations.VEERG_4_3_1_5__2_TotalNitrogenVolatilisedFromMMS(H20,$E33)</f>
        <v>5.0841856886690397</v>
      </c>
      <c r="I41" s="55" cm="1">
        <f t="array" ref="I41">MMS_Dairy_AtmosphericDeposition_Equations.VEERG_4_3_1_5__2_TotalNitrogenVolatilisedFromMMS(I20,$E33)</f>
        <v>16.046176701790792</v>
      </c>
      <c r="J41" s="55" cm="1">
        <f t="array" ref="J41">MMS_Dairy_AtmosphericDeposition_Equations.VEERG_4_3_1_5__2_TotalNitrogenVolatilisedFromMMS(J20,$E33)</f>
        <v>6.7173999955338797</v>
      </c>
      <c r="K41" s="2" t="s">
        <v>135</v>
      </c>
      <c r="O41" s="55" t="str">
        <f>'Input - Dairy'!$D$54</f>
        <v>Milking shed</v>
      </c>
      <c r="P41" s="55" t="str">
        <f>'Input - Dairy'!$D$72</f>
        <v>Sump and dispersal system</v>
      </c>
      <c r="Q41" s="55" cm="1">
        <f t="array" ref="Q41">MMS_Dairy_AtmosphericDeposition_Equations.VEERG_4_3_1_5__2_TotalNitrogenVolatilisedFromMMS(Q20,$E33)</f>
        <v>14.857369320167358</v>
      </c>
      <c r="R41" s="55" cm="1">
        <f t="array" ref="R41">MMS_Dairy_AtmosphericDeposition_Equations.VEERG_4_3_1_5__2_TotalNitrogenVolatilisedFromMMS(R20,$E33)</f>
        <v>12.765053187447457</v>
      </c>
      <c r="S41" s="55" cm="1">
        <f t="array" ref="S41">MMS_Dairy_AtmosphericDeposition_Equations.VEERG_4_3_1_5__2_TotalNitrogenVolatilisedFromMMS(S20,$E33)</f>
        <v>5.0841856886690397</v>
      </c>
      <c r="T41" s="55" cm="1">
        <f t="array" ref="T41">MMS_Dairy_AtmosphericDeposition_Equations.VEERG_4_3_1_5__2_TotalNitrogenVolatilisedFromMMS(T20,$E33)</f>
        <v>16.046176701790792</v>
      </c>
      <c r="U41" s="55" cm="1">
        <f t="array" ref="U41">MMS_Dairy_AtmosphericDeposition_Equations.VEERG_4_3_1_5__2_TotalNitrogenVolatilisedFromMMS(U20,$E33)</f>
        <v>6.7173999955338797</v>
      </c>
      <c r="V41" s="2" t="s">
        <v>135</v>
      </c>
    </row>
    <row r="42" spans="4:22" ht="20.100000000000001" customHeight="1" x14ac:dyDescent="0.25">
      <c r="D42" s="55" t="str">
        <f>'Input - Dairy'!$D$54</f>
        <v>Milking shed</v>
      </c>
      <c r="E42" s="55" t="str">
        <f>'Input - Dairy'!$D$77</f>
        <v>Drains to paddock</v>
      </c>
      <c r="F42" s="55" cm="1">
        <f t="array" ref="F42">MMS_Dairy_AtmosphericDeposition_Equations.VEERG_4_3_1_5__2_TotalNitrogenVolatilisedFromMMS(F21,$E34)</f>
        <v>42.44962662904959</v>
      </c>
      <c r="G42" s="55" cm="1">
        <f t="array" ref="G42">MMS_Dairy_AtmosphericDeposition_Equations.VEERG_4_3_1_5__2_TotalNitrogenVolatilisedFromMMS(G21,$E34)</f>
        <v>36.471580535564158</v>
      </c>
      <c r="H42" s="55" cm="1">
        <f t="array" ref="H42">MMS_Dairy_AtmosphericDeposition_Equations.VEERG_4_3_1_5__2_TotalNitrogenVolatilisedFromMMS(H21,$E34)</f>
        <v>14.526244824768686</v>
      </c>
      <c r="I42" s="55" cm="1">
        <f t="array" ref="I42">MMS_Dairy_AtmosphericDeposition_Equations.VEERG_4_3_1_5__2_TotalNitrogenVolatilisedFromMMS(I21,$E34)</f>
        <v>45.846219147973692</v>
      </c>
      <c r="J42" s="55" cm="1">
        <f t="array" ref="J42">MMS_Dairy_AtmosphericDeposition_Equations.VEERG_4_3_1_5__2_TotalNitrogenVolatilisedFromMMS(J21,$E34)</f>
        <v>19.192571415811084</v>
      </c>
      <c r="K42" s="2" t="s">
        <v>135</v>
      </c>
      <c r="O42" s="55" t="str">
        <f>'Input - Dairy'!$D$54</f>
        <v>Milking shed</v>
      </c>
      <c r="P42" s="55" t="str">
        <f>'Input - Dairy'!$D$77</f>
        <v>Drains to paddock</v>
      </c>
      <c r="Q42" s="55" cm="1">
        <f t="array" ref="Q42">MMS_Dairy_AtmosphericDeposition_Equations.VEERG_4_3_1_5__2_TotalNitrogenVolatilisedFromMMS(Q21,$E34)</f>
        <v>42.44962662904959</v>
      </c>
      <c r="R42" s="55" cm="1">
        <f t="array" ref="R42">MMS_Dairy_AtmosphericDeposition_Equations.VEERG_4_3_1_5__2_TotalNitrogenVolatilisedFromMMS(R21,$E34)</f>
        <v>36.471580535564158</v>
      </c>
      <c r="S42" s="55" cm="1">
        <f t="array" ref="S42">MMS_Dairy_AtmosphericDeposition_Equations.VEERG_4_3_1_5__2_TotalNitrogenVolatilisedFromMMS(S21,$E34)</f>
        <v>14.526244824768686</v>
      </c>
      <c r="T42" s="55" cm="1">
        <f t="array" ref="T42">MMS_Dairy_AtmosphericDeposition_Equations.VEERG_4_3_1_5__2_TotalNitrogenVolatilisedFromMMS(T21,$E34)</f>
        <v>45.846219147973692</v>
      </c>
      <c r="U42" s="55" cm="1">
        <f t="array" ref="U42">MMS_Dairy_AtmosphericDeposition_Equations.VEERG_4_3_1_5__2_TotalNitrogenVolatilisedFromMMS(U21,$E34)</f>
        <v>19.192571415811084</v>
      </c>
      <c r="V42" s="2" t="s">
        <v>135</v>
      </c>
    </row>
    <row r="43" spans="4:22" ht="20.100000000000001" customHeight="1" x14ac:dyDescent="0.25">
      <c r="D43" s="55" t="str">
        <f>'Input - Dairy'!$D$54</f>
        <v>Milking shed</v>
      </c>
      <c r="E43" s="55" t="str">
        <f>'Input - Dairy'!$D$82</f>
        <v>Solid storage</v>
      </c>
      <c r="F43" s="55" cm="1">
        <f t="array" ref="F43">MMS_Dairy_AtmosphericDeposition_Equations.VEERG_4_3_1_5__2_TotalNitrogenVolatilisedFromMMS(F22,$E35)</f>
        <v>127.34887988714874</v>
      </c>
      <c r="G43" s="55" cm="1">
        <f t="array" ref="G43">MMS_Dairy_AtmosphericDeposition_Equations.VEERG_4_3_1_5__2_TotalNitrogenVolatilisedFromMMS(G22,$E35)</f>
        <v>109.41474160669246</v>
      </c>
      <c r="H43" s="55" cm="1">
        <f t="array" ref="H43">MMS_Dairy_AtmosphericDeposition_Equations.VEERG_4_3_1_5__2_TotalNitrogenVolatilisedFromMMS(H22,$E35)</f>
        <v>43.578734474306046</v>
      </c>
      <c r="I43" s="55" cm="1">
        <f t="array" ref="I43">MMS_Dairy_AtmosphericDeposition_Equations.VEERG_4_3_1_5__2_TotalNitrogenVolatilisedFromMMS(I22,$E35)</f>
        <v>137.53865744392104</v>
      </c>
      <c r="J43" s="55" cm="1">
        <f t="array" ref="J43">MMS_Dairy_AtmosphericDeposition_Equations.VEERG_4_3_1_5__2_TotalNitrogenVolatilisedFromMMS(J22,$E35)</f>
        <v>57.577714247433235</v>
      </c>
      <c r="K43" s="2" t="s">
        <v>135</v>
      </c>
      <c r="O43" s="55" t="str">
        <f>'Input - Dairy'!$D$54</f>
        <v>Milking shed</v>
      </c>
      <c r="P43" s="55" t="str">
        <f>'Input - Dairy'!$D$82</f>
        <v>Solid storage</v>
      </c>
      <c r="Q43" s="55" cm="1">
        <f t="array" ref="Q43">MMS_Dairy_AtmosphericDeposition_Equations.VEERG_4_3_1_5__2_TotalNitrogenVolatilisedFromMMS(Q22,$E35)</f>
        <v>127.34887988714874</v>
      </c>
      <c r="R43" s="55" cm="1">
        <f t="array" ref="R43">MMS_Dairy_AtmosphericDeposition_Equations.VEERG_4_3_1_5__2_TotalNitrogenVolatilisedFromMMS(R22,$E35)</f>
        <v>109.41474160669246</v>
      </c>
      <c r="S43" s="55" cm="1">
        <f t="array" ref="S43">MMS_Dairy_AtmosphericDeposition_Equations.VEERG_4_3_1_5__2_TotalNitrogenVolatilisedFromMMS(S22,$E35)</f>
        <v>43.578734474306046</v>
      </c>
      <c r="T43" s="55" cm="1">
        <f t="array" ref="T43">MMS_Dairy_AtmosphericDeposition_Equations.VEERG_4_3_1_5__2_TotalNitrogenVolatilisedFromMMS(T22,$E35)</f>
        <v>137.53865744392104</v>
      </c>
      <c r="U43" s="55" cm="1">
        <f t="array" ref="U43">MMS_Dairy_AtmosphericDeposition_Equations.VEERG_4_3_1_5__2_TotalNitrogenVolatilisedFromMMS(U22,$E35)</f>
        <v>57.577714247433235</v>
      </c>
      <c r="V43" s="2" t="s">
        <v>135</v>
      </c>
    </row>
    <row r="44" spans="4:22" ht="20.100000000000001" customHeight="1" x14ac:dyDescent="0.25">
      <c r="D44" s="55" t="str">
        <f>'Input - Dairy'!$D$55</f>
        <v>Feed pad</v>
      </c>
      <c r="E44" s="55" t="str">
        <f>'Input - Dairy'!$D$101</f>
        <v>Anaerobic lagoon</v>
      </c>
      <c r="F44" s="55" cm="1">
        <f t="array" ref="F44">MMS_Dairy_AtmosphericDeposition_Equations.VEERG_4_3_1_5__2_TotalNitrogenVolatilisedFromMMS(F23, $E32)</f>
        <v>300.52406124883964</v>
      </c>
      <c r="G44" s="55" cm="1">
        <f t="array" ref="G44">MMS_Dairy_AtmosphericDeposition_Equations.VEERG_4_3_1_5__2_TotalNitrogenVolatilisedFromMMS(G23, $E32)</f>
        <v>258.20221220064167</v>
      </c>
      <c r="H44" s="55" cm="1">
        <f t="array" ref="H44">MMS_Dairy_AtmosphericDeposition_Equations.VEERG_4_3_1_5__2_TotalNitrogenVolatilisedFromMMS(H23, $E32)</f>
        <v>102.83921052080557</v>
      </c>
      <c r="I44" s="55" cm="1">
        <f t="array" ref="I44">MMS_Dairy_AtmosphericDeposition_Equations.VEERG_4_3_1_5__2_TotalNitrogenVolatilisedFromMMS(I23, $E32)</f>
        <v>324.57039237713184</v>
      </c>
      <c r="J44" s="55" cm="1">
        <f t="array" ref="J44">MMS_Dairy_AtmosphericDeposition_Equations.VEERG_4_3_1_5__2_TotalNitrogenVolatilisedFromMMS(J23, $E32)</f>
        <v>135.87468172784432</v>
      </c>
      <c r="K44" s="2" t="s">
        <v>135</v>
      </c>
      <c r="O44" s="55" t="str">
        <f>'Input - Dairy'!$D$55</f>
        <v>Feed pad</v>
      </c>
      <c r="P44" s="55" t="str">
        <f>'Input - Dairy'!$D$101</f>
        <v>Anaerobic lagoon</v>
      </c>
      <c r="Q44" s="55" cm="1">
        <f t="array" ref="Q44">MMS_Dairy_AtmosphericDeposition_Equations.VEERG_4_3_1_5__2_TotalNitrogenVolatilisedFromMMS(Q23, $E32)</f>
        <v>300.52406124883964</v>
      </c>
      <c r="R44" s="55" cm="1">
        <f t="array" ref="R44">MMS_Dairy_AtmosphericDeposition_Equations.VEERG_4_3_1_5__2_TotalNitrogenVolatilisedFromMMS(R23, $E32)</f>
        <v>258.20221220064167</v>
      </c>
      <c r="S44" s="55" cm="1">
        <f t="array" ref="S44">MMS_Dairy_AtmosphericDeposition_Equations.VEERG_4_3_1_5__2_TotalNitrogenVolatilisedFromMMS(S23, $E32)</f>
        <v>102.83921052080557</v>
      </c>
      <c r="T44" s="55" cm="1">
        <f t="array" ref="T44">MMS_Dairy_AtmosphericDeposition_Equations.VEERG_4_3_1_5__2_TotalNitrogenVolatilisedFromMMS(T23, $E32)</f>
        <v>324.57039237713184</v>
      </c>
      <c r="U44" s="55" cm="1">
        <f t="array" ref="U44">MMS_Dairy_AtmosphericDeposition_Equations.VEERG_4_3_1_5__2_TotalNitrogenVolatilisedFromMMS(U23, $E32)</f>
        <v>135.87468172784432</v>
      </c>
      <c r="V44" s="2" t="s">
        <v>135</v>
      </c>
    </row>
    <row r="45" spans="4:22" ht="20.100000000000001" customHeight="1" x14ac:dyDescent="0.25">
      <c r="D45" s="55" t="str">
        <f>'Input - Dairy'!$D$55</f>
        <v>Feed pad</v>
      </c>
      <c r="E45" s="55" t="str">
        <f>'Input - Dairy'!$D$106</f>
        <v>Sump and dispersal system</v>
      </c>
      <c r="F45" s="55" cm="1">
        <f t="array" ref="F45">MMS_Dairy_AtmosphericDeposition_Equations.VEERG_4_3_1_5__2_TotalNitrogenVolatilisedFromMMS(F24, $E33)</f>
        <v>48.083849799814352</v>
      </c>
      <c r="G45" s="55" cm="1">
        <f t="array" ref="G45">MMS_Dairy_AtmosphericDeposition_Equations.VEERG_4_3_1_5__2_TotalNitrogenVolatilisedFromMMS(G24, $E33)</f>
        <v>41.312353952102676</v>
      </c>
      <c r="H45" s="55" cm="1">
        <f t="array" ref="H45">MMS_Dairy_AtmosphericDeposition_Equations.VEERG_4_3_1_5__2_TotalNitrogenVolatilisedFromMMS(H24, $E33)</f>
        <v>16.454273683328893</v>
      </c>
      <c r="I45" s="55" cm="1">
        <f t="array" ref="I45">MMS_Dairy_AtmosphericDeposition_Equations.VEERG_4_3_1_5__2_TotalNitrogenVolatilisedFromMMS(I24, $E33)</f>
        <v>51.931262780341108</v>
      </c>
      <c r="J45" s="55" cm="1">
        <f t="array" ref="J45">MMS_Dairy_AtmosphericDeposition_Equations.VEERG_4_3_1_5__2_TotalNitrogenVolatilisedFromMMS(J24, $E33)</f>
        <v>21.739949076455098</v>
      </c>
      <c r="K45" s="2" t="s">
        <v>135</v>
      </c>
      <c r="O45" s="55" t="str">
        <f>'Input - Dairy'!$D$55</f>
        <v>Feed pad</v>
      </c>
      <c r="P45" s="55" t="str">
        <f>'Input - Dairy'!$D$106</f>
        <v>Sump and dispersal system</v>
      </c>
      <c r="Q45" s="55" cm="1">
        <f t="array" ref="Q45">MMS_Dairy_AtmosphericDeposition_Equations.VEERG_4_3_1_5__2_TotalNitrogenVolatilisedFromMMS(Q24, $E33)</f>
        <v>48.083849799814352</v>
      </c>
      <c r="R45" s="55" cm="1">
        <f t="array" ref="R45">MMS_Dairy_AtmosphericDeposition_Equations.VEERG_4_3_1_5__2_TotalNitrogenVolatilisedFromMMS(R24, $E33)</f>
        <v>41.312353952102676</v>
      </c>
      <c r="S45" s="55" cm="1">
        <f t="array" ref="S45">MMS_Dairy_AtmosphericDeposition_Equations.VEERG_4_3_1_5__2_TotalNitrogenVolatilisedFromMMS(S24, $E33)</f>
        <v>16.454273683328893</v>
      </c>
      <c r="T45" s="55" cm="1">
        <f t="array" ref="T45">MMS_Dairy_AtmosphericDeposition_Equations.VEERG_4_3_1_5__2_TotalNitrogenVolatilisedFromMMS(T24, $E33)</f>
        <v>51.931262780341108</v>
      </c>
      <c r="U45" s="55" cm="1">
        <f t="array" ref="U45">MMS_Dairy_AtmosphericDeposition_Equations.VEERG_4_3_1_5__2_TotalNitrogenVolatilisedFromMMS(U24, $E33)</f>
        <v>21.739949076455098</v>
      </c>
      <c r="V45" s="2" t="s">
        <v>135</v>
      </c>
    </row>
    <row r="46" spans="4:22" ht="20.100000000000001" customHeight="1" x14ac:dyDescent="0.25">
      <c r="D46" s="55" t="str">
        <f>'Input - Dairy'!$D$55</f>
        <v>Feed pad</v>
      </c>
      <c r="E46" s="55" t="str">
        <f>'Input - Dairy'!$D$111</f>
        <v>Drains to paddock</v>
      </c>
      <c r="F46" s="55" cm="1">
        <f t="array" ref="F46">MMS_Dairy_AtmosphericDeposition_Equations.VEERG_4_3_1_5__2_TotalNitrogenVolatilisedFromMMS(F25, $E34)</f>
        <v>137.38242799946957</v>
      </c>
      <c r="G46" s="55" cm="1">
        <f t="array" ref="G46">MMS_Dairy_AtmosphericDeposition_Equations.VEERG_4_3_1_5__2_TotalNitrogenVolatilisedFromMMS(G25, $E34)</f>
        <v>118.03529700600764</v>
      </c>
      <c r="H46" s="55" cm="1">
        <f t="array" ref="H46">MMS_Dairy_AtmosphericDeposition_Equations.VEERG_4_3_1_5__2_TotalNitrogenVolatilisedFromMMS(H25, $E34)</f>
        <v>47.012210523796831</v>
      </c>
      <c r="I46" s="55" cm="1">
        <f t="array" ref="I46">MMS_Dairy_AtmosphericDeposition_Equations.VEERG_4_3_1_5__2_TotalNitrogenVolatilisedFromMMS(I25, $E34)</f>
        <v>148.37503651526029</v>
      </c>
      <c r="J46" s="55" cm="1">
        <f t="array" ref="J46">MMS_Dairy_AtmosphericDeposition_Equations.VEERG_4_3_1_5__2_TotalNitrogenVolatilisedFromMMS(J25, $E34)</f>
        <v>62.114140218443133</v>
      </c>
      <c r="K46" s="2" t="s">
        <v>135</v>
      </c>
      <c r="O46" s="55" t="str">
        <f>'Input - Dairy'!$D$55</f>
        <v>Feed pad</v>
      </c>
      <c r="P46" s="55" t="str">
        <f>'Input - Dairy'!$D$111</f>
        <v>Drains to paddock</v>
      </c>
      <c r="Q46" s="55" cm="1">
        <f t="array" ref="Q46">MMS_Dairy_AtmosphericDeposition_Equations.VEERG_4_3_1_5__2_TotalNitrogenVolatilisedFromMMS(Q25, $E34)</f>
        <v>137.38242799946957</v>
      </c>
      <c r="R46" s="55" cm="1">
        <f t="array" ref="R46">MMS_Dairy_AtmosphericDeposition_Equations.VEERG_4_3_1_5__2_TotalNitrogenVolatilisedFromMMS(R25, $E34)</f>
        <v>118.03529700600764</v>
      </c>
      <c r="S46" s="55" cm="1">
        <f t="array" ref="S46">MMS_Dairy_AtmosphericDeposition_Equations.VEERG_4_3_1_5__2_TotalNitrogenVolatilisedFromMMS(S25, $E34)</f>
        <v>47.012210523796831</v>
      </c>
      <c r="T46" s="55" cm="1">
        <f t="array" ref="T46">MMS_Dairy_AtmosphericDeposition_Equations.VEERG_4_3_1_5__2_TotalNitrogenVolatilisedFromMMS(T25, $E34)</f>
        <v>148.37503651526029</v>
      </c>
      <c r="U46" s="55" cm="1">
        <f t="array" ref="U46">MMS_Dairy_AtmosphericDeposition_Equations.VEERG_4_3_1_5__2_TotalNitrogenVolatilisedFromMMS(U25, $E34)</f>
        <v>62.114140218443133</v>
      </c>
      <c r="V46" s="2" t="s">
        <v>135</v>
      </c>
    </row>
    <row r="47" spans="4:22" ht="20.100000000000001" customHeight="1" x14ac:dyDescent="0.25">
      <c r="D47" s="55" t="str">
        <f>'Input - Dairy'!$D$55</f>
        <v>Feed pad</v>
      </c>
      <c r="E47" s="55" t="str">
        <f>'Input - Dairy'!$D$116</f>
        <v>Solid storage</v>
      </c>
      <c r="F47" s="55" cm="1">
        <f t="array" ref="F47">MMS_Dairy_AtmosphericDeposition_Equations.VEERG_4_3_1_5__2_TotalNitrogenVolatilisedFromMMS(F26, $E35)</f>
        <v>360.62887349860756</v>
      </c>
      <c r="G47" s="55" cm="1">
        <f t="array" ref="G47">MMS_Dairy_AtmosphericDeposition_Equations.VEERG_4_3_1_5__2_TotalNitrogenVolatilisedFromMMS(G26, $E35)</f>
        <v>309.84265464076998</v>
      </c>
      <c r="H47" s="55" cm="1">
        <f t="array" ref="H47">MMS_Dairy_AtmosphericDeposition_Equations.VEERG_4_3_1_5__2_TotalNitrogenVolatilisedFromMMS(H26, $E35)</f>
        <v>123.40705262496667</v>
      </c>
      <c r="I47" s="55" cm="1">
        <f t="array" ref="I47">MMS_Dairy_AtmosphericDeposition_Equations.VEERG_4_3_1_5__2_TotalNitrogenVolatilisedFromMMS(I26, $E35)</f>
        <v>389.48447085255822</v>
      </c>
      <c r="J47" s="55" cm="1">
        <f t="array" ref="J47">MMS_Dairy_AtmosphericDeposition_Equations.VEERG_4_3_1_5__2_TotalNitrogenVolatilisedFromMMS(J26, $E35)</f>
        <v>163.0496180734132</v>
      </c>
      <c r="K47" s="2" t="s">
        <v>135</v>
      </c>
      <c r="O47" s="55" t="str">
        <f>'Input - Dairy'!$D$55</f>
        <v>Feed pad</v>
      </c>
      <c r="P47" s="55" t="str">
        <f>'Input - Dairy'!$D$116</f>
        <v>Solid storage</v>
      </c>
      <c r="Q47" s="55" cm="1">
        <f t="array" ref="Q47">MMS_Dairy_AtmosphericDeposition_Equations.VEERG_4_3_1_5__2_TotalNitrogenVolatilisedFromMMS(Q26, $E35)</f>
        <v>360.62887349860756</v>
      </c>
      <c r="R47" s="55" cm="1">
        <f t="array" ref="R47">MMS_Dairy_AtmosphericDeposition_Equations.VEERG_4_3_1_5__2_TotalNitrogenVolatilisedFromMMS(R26, $E35)</f>
        <v>309.84265464076998</v>
      </c>
      <c r="S47" s="55" cm="1">
        <f t="array" ref="S47">MMS_Dairy_AtmosphericDeposition_Equations.VEERG_4_3_1_5__2_TotalNitrogenVolatilisedFromMMS(S26, $E35)</f>
        <v>123.40705262496667</v>
      </c>
      <c r="T47" s="55" cm="1">
        <f t="array" ref="T47">MMS_Dairy_AtmosphericDeposition_Equations.VEERG_4_3_1_5__2_TotalNitrogenVolatilisedFromMMS(T26, $E35)</f>
        <v>389.48447085255822</v>
      </c>
      <c r="U47" s="55" cm="1">
        <f t="array" ref="U47">MMS_Dairy_AtmosphericDeposition_Equations.VEERG_4_3_1_5__2_TotalNitrogenVolatilisedFromMMS(U26, $E35)</f>
        <v>163.0496180734132</v>
      </c>
      <c r="V47" s="2" t="s">
        <v>135</v>
      </c>
    </row>
    <row r="48" spans="4:22" ht="20.100000000000001" customHeight="1" x14ac:dyDescent="0.25"/>
    <row r="49" spans="3:23" ht="20.100000000000001" customHeight="1" x14ac:dyDescent="0.25">
      <c r="D49" s="124" t="s">
        <v>419</v>
      </c>
      <c r="E49" s="48">
        <f>SUM(F40:J47)</f>
        <v>4127.6301088949185</v>
      </c>
      <c r="F49" s="112" t="str">
        <f>$E$11</f>
        <v>kg N</v>
      </c>
      <c r="O49" s="124" t="s">
        <v>419</v>
      </c>
      <c r="P49" s="48">
        <f>SUM(Q40:U47)</f>
        <v>4127.6301088949185</v>
      </c>
      <c r="Q49" s="112" t="str">
        <f>$E$11</f>
        <v>kg N</v>
      </c>
    </row>
    <row r="50" spans="3:23" ht="20.100000000000001" customHeight="1" x14ac:dyDescent="0.25">
      <c r="W50" s="48"/>
    </row>
    <row r="51" spans="3:23" ht="20.100000000000001" customHeight="1" x14ac:dyDescent="0.25"/>
    <row r="52" spans="3:23" ht="20.100000000000001" customHeight="1" x14ac:dyDescent="0.25">
      <c r="C52" s="48"/>
      <c r="D52" s="48"/>
      <c r="E52" s="48"/>
      <c r="F52" s="48"/>
      <c r="G52" s="48"/>
      <c r="H52" s="48"/>
      <c r="I52" s="48"/>
      <c r="J52" s="48"/>
      <c r="K52" s="48"/>
      <c r="L52" s="48"/>
      <c r="N52" s="48"/>
      <c r="O52" s="48"/>
      <c r="P52" s="48"/>
      <c r="Q52" s="48"/>
      <c r="R52" s="48"/>
      <c r="S52" s="48"/>
      <c r="T52" s="48"/>
      <c r="U52" s="48"/>
      <c r="V52" s="48"/>
    </row>
    <row r="53" spans="3:23" ht="20.100000000000001" customHeight="1" x14ac:dyDescent="0.25">
      <c r="D53" s="6" t="str" cm="1">
        <f t="array" ref="D53">MMS_Dairy_AtmosphericDeposition_Equations.VEERG_4_3_1_5__1_AnnualAtmosphericDepositionEmissionsFromMMS_Title()</f>
        <v>Annual atmospheric deposition emissions from MMS</v>
      </c>
    </row>
    <row r="54" spans="3:23" ht="20.100000000000001" customHeight="1" x14ac:dyDescent="0.25">
      <c r="D54" s="5" t="str" cm="1">
        <f t="array" ref="D54">MMS_Dairy_AtmosphericDeposition_Equations.VEERG_4_3_1_5__1_AnnualAtmosphericDepositionEmissionsFromMMS_Source()</f>
        <v>VEERG 2026: 4.3.1.5, Equation (1)</v>
      </c>
    </row>
    <row r="55" spans="3:23" ht="20.100000000000001" customHeight="1" x14ac:dyDescent="0.25">
      <c r="D55" s="13" t="s">
        <v>28</v>
      </c>
      <c r="E55" s="13" t="str" cm="1">
        <f t="array" aca="1" ref="E55" ca="1">Common_InputFunctions.Utility_DisplayFunctionName($E$68)</f>
        <v>=MMS_Dairy_AtmosphericDeposition_Equations.VEERG_4_3_1_5__1_AnnualAtmosphericDepositionEmissionsFromMMS</v>
      </c>
    </row>
    <row r="56" spans="3:23" ht="20.100000000000001" customHeight="1" x14ac:dyDescent="0.25"/>
    <row r="57" spans="3:23" ht="20.100000000000001" customHeight="1" x14ac:dyDescent="0.25">
      <c r="D57" s="6"/>
    </row>
    <row r="58" spans="3:23" ht="20.100000000000001" customHeight="1" x14ac:dyDescent="0.25">
      <c r="D58" s="56" t="s">
        <v>31</v>
      </c>
      <c r="E58" s="1" t="str" cm="1">
        <f t="array" ref="E58">MMS_Dairy_AtmosphericDeposition_Equations.VEERG_4_3_1_5__1_AnnualAtmosphericDepositionEmissionsFromMMS_Variable()</f>
        <v>E_N2OMMSad</v>
      </c>
    </row>
    <row r="59" spans="3:23" ht="20.100000000000001" customHeight="1" x14ac:dyDescent="0.25">
      <c r="D59" s="56" t="s">
        <v>21</v>
      </c>
      <c r="E59" s="57" t="str" cm="1">
        <f t="array" ref="E59">MMS_Dairy_AtmosphericDeposition_Equations.VEERG_4_3_1_5__1_AnnualAtmosphericDepositionEmissionsFromMMS_Unit()</f>
        <v>t N2O</v>
      </c>
    </row>
    <row r="60" spans="3:23" ht="20.100000000000001" customHeight="1" x14ac:dyDescent="0.25"/>
    <row r="61" spans="3:23" ht="20.100000000000001" customHeight="1" x14ac:dyDescent="0.25">
      <c r="D61" s="60" t="str" cm="1">
        <f t="array" ref="D61:E66">MMS_Dairy_AtmosphericDeposition_Equations.VEERG_4_3_1_5__1_AnnualAtmosphericDepositionEmissionsFromMMS_Arguments()</f>
        <v>MN_ATMOS</v>
      </c>
      <c r="E61" s="61" t="str">
        <v>mass of N volatilised from MMS (kg N)</v>
      </c>
      <c r="F61" s="62"/>
      <c r="G61" s="60">
        <f>$E$49</f>
        <v>4127.6301088949185</v>
      </c>
      <c r="O61" s="60" t="str">
        <f>D61</f>
        <v>MN_ATMOS</v>
      </c>
      <c r="P61" s="61" t="str">
        <f>E61</f>
        <v>mass of N volatilised from MMS (kg N)</v>
      </c>
      <c r="Q61" s="62"/>
      <c r="R61" s="60">
        <f>$E$49</f>
        <v>4127.6301088949185</v>
      </c>
    </row>
    <row r="62" spans="3:23" ht="20.100000000000001" customHeight="1" x14ac:dyDescent="0.25">
      <c r="D62" s="60" t="str">
        <v>EF_N2O</v>
      </c>
      <c r="E62" s="61" t="str">
        <v>nitrous oxide emission factor for atmospheric deposition (kg N2O-N/kg N)</v>
      </c>
      <c r="F62" s="62"/>
      <c r="G62" s="60">
        <f>Common_InputFunctions.Utility_LookupN2OEFFromProdIrrigationRainfall(G64,G65,G66,Table_SourceData_Common_EFN2O[Production system only],Table_SourceData_Common_EFN2O[Irrigation method],Table_SourceData_Common_EFN2O[Rainfall zone],Table_SourceData_Common_EFN2O[EFN2O])</f>
        <v>5.8999999999999999E-3</v>
      </c>
      <c r="O62" s="60"/>
      <c r="P62" s="61"/>
      <c r="Q62" s="62"/>
      <c r="R62" s="60"/>
    </row>
    <row r="63" spans="3:23" ht="20.100000000000001" customHeight="1" x14ac:dyDescent="0.25">
      <c r="D63" s="60" t="str">
        <v>C_N2O</v>
      </c>
      <c r="E63" s="61" t="str">
        <v>factor to convert elemental mass of N2O to molecular mass</v>
      </c>
      <c r="F63" s="62"/>
      <c r="G63" s="60">
        <f>Common_InputFunctions.Utility_LookupValueInTableNumber("N2O",Table_GasToMolecularConversionFactor[Gas],Table_GasToMolecularConversionFactor[Conversion factor combined])</f>
        <v>1.5714285714285714</v>
      </c>
      <c r="O63" s="60"/>
      <c r="P63" s="61"/>
      <c r="Q63" s="62"/>
      <c r="R63" s="60"/>
    </row>
    <row r="64" spans="3:23" ht="20.100000000000001" customHeight="1" x14ac:dyDescent="0.25">
      <c r="D64" s="60" t="str">
        <v>j</v>
      </c>
      <c r="E64" s="61" t="str">
        <v>production system</v>
      </c>
      <c r="F64" s="62"/>
      <c r="G64" s="60" t="str">
        <f>'Input - Dairy'!$E$183</f>
        <v>Pasture</v>
      </c>
      <c r="O64" s="60"/>
      <c r="P64" s="61"/>
      <c r="Q64" s="62"/>
      <c r="R64" s="60"/>
    </row>
    <row r="65" spans="4:18" ht="20.100000000000001" customHeight="1" x14ac:dyDescent="0.25">
      <c r="D65" s="60" t="str">
        <v>ir</v>
      </c>
      <c r="E65" s="61" t="str">
        <v>irrigation method</v>
      </c>
      <c r="F65" s="62"/>
      <c r="G65" s="60" t="str">
        <f>'Input - Dairy'!$E$184</f>
        <v>Sprinkler irrigation</v>
      </c>
      <c r="O65" s="60"/>
      <c r="P65" s="61"/>
      <c r="Q65" s="62"/>
      <c r="R65" s="60"/>
    </row>
    <row r="66" spans="4:18" ht="20.100000000000001" customHeight="1" x14ac:dyDescent="0.25">
      <c r="D66" s="60" t="str">
        <v>r</v>
      </c>
      <c r="E66" s="61" t="str">
        <v>rainfall region</v>
      </c>
      <c r="F66" s="62"/>
      <c r="G66" s="60" t="str">
        <f>'Input - Site'!$E$30</f>
        <v>High rainfall</v>
      </c>
      <c r="O66" s="60"/>
      <c r="P66" s="61"/>
      <c r="Q66" s="62"/>
      <c r="R66" s="60"/>
    </row>
    <row r="67" spans="4:18" ht="20.100000000000001" customHeight="1" x14ac:dyDescent="0.25"/>
    <row r="68" spans="4:18" ht="20.100000000000001" customHeight="1" x14ac:dyDescent="0.25">
      <c r="D68" s="108" t="s">
        <v>352</v>
      </c>
      <c r="E68" s="109" cm="1">
        <f t="array" ref="E68">MMS_Dairy_AtmosphericDeposition_Equations.VEERG_4_3_1_5__1_AnnualAtmosphericDepositionEmissionsFromMMS($G$61,$G$62,$G$63)</f>
        <v>3.8269027723897175E-2</v>
      </c>
      <c r="F68" s="110" t="str">
        <f>$E$59</f>
        <v>t N2O</v>
      </c>
      <c r="O68" s="108" t="s">
        <v>352</v>
      </c>
      <c r="P68" s="109" cm="1">
        <f t="array" ref="P68">MMS_Dairy_AtmosphericDeposition_Equations.VEERG_4_3_1_5__1_AnnualAtmosphericDepositionEmissionsFromMMS($R$61,$G$62,$G$63)</f>
        <v>3.8269027723897175E-2</v>
      </c>
      <c r="Q68" s="110" t="str">
        <f>$E$59</f>
        <v>t N2O</v>
      </c>
    </row>
    <row r="69" spans="4:18" ht="20.100000000000001" customHeight="1" x14ac:dyDescent="0.25"/>
    <row r="70" spans="4:18" ht="20.100000000000001" customHeight="1" x14ac:dyDescent="0.25">
      <c r="D70" s="60" t="str" cm="1">
        <f t="array" ref="D70:E71">Common_Equations.Common_ConvertN2OToCO2e_Arguments()</f>
        <v>EN2O</v>
      </c>
      <c r="E70" s="61" t="str">
        <v>Nitrous oxide emissions (t N2O)</v>
      </c>
      <c r="F70" s="111"/>
      <c r="G70" s="55">
        <f>$E$68</f>
        <v>3.8269027723897175E-2</v>
      </c>
      <c r="O70" s="60" t="str" cm="1">
        <f t="array" ref="O70:P71">Common_Equations.Common_ConvertN2OToCO2e_Arguments()</f>
        <v>EN2O</v>
      </c>
      <c r="P70" s="61" t="str">
        <v>Nitrous oxide emissions (t N2O)</v>
      </c>
      <c r="Q70" s="111"/>
      <c r="R70" s="55">
        <f>P68</f>
        <v>3.8269027723897175E-2</v>
      </c>
    </row>
    <row r="71" spans="4:18" ht="20.100000000000001" customHeight="1" x14ac:dyDescent="0.25">
      <c r="D71" s="60" t="str">
        <v>GWPN2O</v>
      </c>
      <c r="E71" s="61" t="str">
        <v>Global warming potential for nitrous oxide (t CO2-e / t N2O)</v>
      </c>
      <c r="F71" s="111"/>
      <c r="G71" s="55">
        <f>Common_InputFunctions.Utility_LookupValueInTableNumber("N2O",Table_GWPData[Gas],Table_GWPData[CO2-e factor])</f>
        <v>265</v>
      </c>
      <c r="O71" s="60" t="str">
        <v>GWPN2O</v>
      </c>
      <c r="P71" s="61" t="str">
        <v>Global warming potential for nitrous oxide (t CO2-e / t N2O)</v>
      </c>
      <c r="Q71" s="111"/>
      <c r="R71" s="55">
        <f>Common_InputFunctions.Utility_LookupValueInTableNumber("N2O",Table_GWPData[Gas],Table_GWPData[CO2-e factor])</f>
        <v>265</v>
      </c>
    </row>
    <row r="72" spans="4:18" ht="20.100000000000001" customHeight="1" x14ac:dyDescent="0.25"/>
    <row r="73" spans="4:18" ht="20.100000000000001" customHeight="1" x14ac:dyDescent="0.25">
      <c r="D73" s="48" t="s">
        <v>111</v>
      </c>
      <c r="E73" s="48" cm="1">
        <f t="array" ref="E73">Common_Equations.Common_ConvertN2OToCO2e(G70,G71)</f>
        <v>10.141292346832751</v>
      </c>
      <c r="F73" s="112" t="str" cm="1">
        <f t="array" ref="F73">Common_Equations.Common_ConvertN2OToCO2e_Unit()</f>
        <v>t CO2e</v>
      </c>
      <c r="O73" s="48" t="s">
        <v>111</v>
      </c>
      <c r="P73" s="48" cm="1">
        <f t="array" ref="P73">Common_Equations.Common_ConvertN2OToCO2e(R70,R71)</f>
        <v>10.141292346832751</v>
      </c>
      <c r="Q73" s="112" t="str" cm="1">
        <f t="array" ref="Q73">Common_Equations.Common_ConvertN2OToCO2e_Unit()</f>
        <v>t CO2e</v>
      </c>
    </row>
    <row r="74" spans="4:18" ht="20.100000000000001" customHeight="1" x14ac:dyDescent="0.25"/>
    <row r="75" spans="4:18" ht="20.100000000000001" customHeight="1" x14ac:dyDescent="0.25"/>
    <row r="76" spans="4:18" ht="20.100000000000001" customHeight="1" x14ac:dyDescent="0.25"/>
    <row r="77" spans="4:18" ht="20.100000000000001" customHeight="1" x14ac:dyDescent="0.25"/>
    <row r="78" spans="4:18" ht="20.100000000000001" customHeight="1" x14ac:dyDescent="0.25"/>
    <row r="79" spans="4:18" ht="20.100000000000001" customHeight="1" x14ac:dyDescent="0.25"/>
    <row r="80" spans="4:18" ht="20.100000000000001" customHeight="1" x14ac:dyDescent="0.25"/>
    <row r="81" ht="20.100000000000001" customHeight="1" x14ac:dyDescent="0.25"/>
    <row r="82" ht="20.100000000000001" customHeight="1" x14ac:dyDescent="0.25"/>
    <row r="83" ht="20.100000000000001" customHeight="1" x14ac:dyDescent="0.25"/>
    <row r="84" ht="20.100000000000001" customHeight="1" x14ac:dyDescent="0.25"/>
    <row r="85" ht="20.100000000000001" customHeight="1" x14ac:dyDescent="0.25"/>
    <row r="86" ht="20.100000000000001" customHeight="1" x14ac:dyDescent="0.25"/>
    <row r="87" ht="20.100000000000001" customHeight="1" x14ac:dyDescent="0.25"/>
    <row r="88" ht="20.100000000000001" customHeight="1" x14ac:dyDescent="0.25"/>
    <row r="89" ht="20.100000000000001" customHeight="1" x14ac:dyDescent="0.25"/>
    <row r="90" ht="20.100000000000001" customHeight="1" x14ac:dyDescent="0.25"/>
    <row r="91" ht="20.100000000000001" customHeight="1" x14ac:dyDescent="0.25"/>
    <row r="92" ht="20.100000000000001" customHeight="1" x14ac:dyDescent="0.25"/>
    <row r="93" ht="20.100000000000001" customHeight="1" x14ac:dyDescent="0.25"/>
    <row r="94" ht="20.100000000000001" customHeight="1" x14ac:dyDescent="0.25"/>
    <row r="95" ht="20.100000000000001" customHeight="1" x14ac:dyDescent="0.25"/>
    <row r="96" ht="20.100000000000001" customHeight="1" x14ac:dyDescent="0.25"/>
    <row r="97" ht="20.100000000000001" customHeight="1" x14ac:dyDescent="0.25"/>
    <row r="98" ht="20.100000000000001" customHeight="1" x14ac:dyDescent="0.25"/>
    <row r="99" ht="20.100000000000001" customHeight="1" x14ac:dyDescent="0.25"/>
    <row r="100" ht="20.100000000000001" customHeight="1" x14ac:dyDescent="0.25"/>
    <row r="101" ht="20.100000000000001" customHeight="1" x14ac:dyDescent="0.25"/>
    <row r="102" ht="20.100000000000001" customHeight="1" x14ac:dyDescent="0.25"/>
    <row r="103" ht="20.100000000000001" customHeight="1" x14ac:dyDescent="0.25"/>
    <row r="104" ht="20.100000000000001" customHeight="1" x14ac:dyDescent="0.25"/>
    <row r="105" ht="20.100000000000001" customHeight="1" x14ac:dyDescent="0.25"/>
    <row r="106" ht="20.100000000000001" customHeight="1" x14ac:dyDescent="0.25"/>
    <row r="107" ht="20.100000000000001" customHeight="1" x14ac:dyDescent="0.25"/>
    <row r="108" ht="20.100000000000001" customHeight="1" x14ac:dyDescent="0.25"/>
    <row r="109" ht="20.100000000000001" customHeight="1" x14ac:dyDescent="0.25"/>
    <row r="110" ht="20.100000000000001" customHeight="1" x14ac:dyDescent="0.25"/>
    <row r="111" ht="20.100000000000001" customHeight="1" x14ac:dyDescent="0.25"/>
    <row r="112" ht="20.100000000000001" customHeight="1" x14ac:dyDescent="0.25"/>
    <row r="113" ht="20.100000000000001" customHeight="1" x14ac:dyDescent="0.25"/>
    <row r="114" ht="20.100000000000001" customHeight="1" x14ac:dyDescent="0.25"/>
    <row r="115" ht="20.100000000000001" customHeight="1" x14ac:dyDescent="0.25"/>
    <row r="116" ht="20.100000000000001" customHeight="1" x14ac:dyDescent="0.25"/>
    <row r="117" ht="20.100000000000001" customHeight="1" x14ac:dyDescent="0.25"/>
    <row r="118" ht="20.100000000000001" customHeight="1" x14ac:dyDescent="0.25"/>
    <row r="119" ht="20.100000000000001" customHeight="1" x14ac:dyDescent="0.25"/>
    <row r="120" ht="20.100000000000001" customHeight="1" x14ac:dyDescent="0.25"/>
    <row r="121" ht="20.100000000000001" customHeight="1" x14ac:dyDescent="0.25"/>
    <row r="122" ht="20.100000000000001" customHeight="1" x14ac:dyDescent="0.25"/>
    <row r="123" ht="20.100000000000001" customHeight="1" x14ac:dyDescent="0.25"/>
    <row r="124" ht="20.100000000000001" customHeight="1" x14ac:dyDescent="0.25"/>
    <row r="125" ht="20.100000000000001" customHeight="1" x14ac:dyDescent="0.25"/>
    <row r="126" ht="20.100000000000001" customHeight="1" x14ac:dyDescent="0.25"/>
    <row r="127" ht="20.100000000000001" customHeight="1" x14ac:dyDescent="0.25"/>
    <row r="128" ht="20.100000000000001" customHeight="1" x14ac:dyDescent="0.25"/>
    <row r="129" ht="20.100000000000001" customHeight="1" x14ac:dyDescent="0.25"/>
    <row r="130" ht="20.100000000000001" customHeight="1" x14ac:dyDescent="0.25"/>
    <row r="131" ht="20.100000000000001" customHeight="1" x14ac:dyDescent="0.25"/>
    <row r="132" ht="20.100000000000001" customHeight="1" x14ac:dyDescent="0.25"/>
    <row r="133" ht="20.100000000000001" customHeight="1" x14ac:dyDescent="0.25"/>
    <row r="134" ht="20.100000000000001" customHeight="1" x14ac:dyDescent="0.25"/>
    <row r="135" ht="20.100000000000001" customHeight="1" x14ac:dyDescent="0.25"/>
    <row r="136" ht="20.100000000000001" customHeight="1" x14ac:dyDescent="0.25"/>
    <row r="137" ht="20.100000000000001" customHeight="1" x14ac:dyDescent="0.25"/>
    <row r="138" ht="20.100000000000001" customHeight="1" x14ac:dyDescent="0.25"/>
    <row r="139" ht="20.100000000000001" customHeight="1" x14ac:dyDescent="0.25"/>
    <row r="140" ht="20.100000000000001" customHeight="1" x14ac:dyDescent="0.25"/>
    <row r="141" ht="20.100000000000001" customHeight="1" x14ac:dyDescent="0.25"/>
    <row r="142" ht="20.100000000000001" customHeight="1" x14ac:dyDescent="0.25"/>
    <row r="143" ht="20.100000000000001" customHeight="1" x14ac:dyDescent="0.25"/>
    <row r="144" ht="20.100000000000001" customHeight="1" x14ac:dyDescent="0.25"/>
    <row r="145" ht="20.100000000000001" customHeight="1" x14ac:dyDescent="0.25"/>
    <row r="146" ht="20.100000000000001" customHeight="1" x14ac:dyDescent="0.25"/>
    <row r="147" ht="20.100000000000001" customHeight="1" x14ac:dyDescent="0.25"/>
    <row r="148" ht="20.100000000000001" customHeight="1" x14ac:dyDescent="0.25"/>
    <row r="149" ht="20.100000000000001" customHeight="1" x14ac:dyDescent="0.25"/>
    <row r="150" ht="20.100000000000001" customHeight="1" x14ac:dyDescent="0.25"/>
    <row r="151" ht="20.100000000000001" customHeight="1" x14ac:dyDescent="0.25"/>
    <row r="152" ht="20.100000000000001" customHeight="1" x14ac:dyDescent="0.25"/>
    <row r="153" ht="20.100000000000001" customHeight="1" x14ac:dyDescent="0.25"/>
    <row r="154" ht="20.100000000000001" customHeight="1" x14ac:dyDescent="0.25"/>
    <row r="155" ht="20.100000000000001" customHeight="1" x14ac:dyDescent="0.25"/>
    <row r="156" ht="20.100000000000001" customHeight="1" x14ac:dyDescent="0.25"/>
    <row r="157" ht="20.100000000000001" customHeight="1" x14ac:dyDescent="0.25"/>
    <row r="158" ht="20.100000000000001" customHeight="1" x14ac:dyDescent="0.25"/>
    <row r="159" ht="20.100000000000001" customHeight="1" x14ac:dyDescent="0.25"/>
    <row r="160" ht="20.100000000000001" customHeight="1" x14ac:dyDescent="0.25"/>
    <row r="161" ht="20.100000000000001" customHeight="1" x14ac:dyDescent="0.25"/>
    <row r="162" ht="20.100000000000001" customHeight="1" x14ac:dyDescent="0.25"/>
    <row r="163" ht="20.100000000000001" customHeight="1" x14ac:dyDescent="0.25"/>
    <row r="164" ht="20.100000000000001" customHeight="1" x14ac:dyDescent="0.25"/>
    <row r="165" ht="20.100000000000001" customHeight="1" x14ac:dyDescent="0.25"/>
  </sheetData>
  <dataValidations disablePrompts="1" count="1">
    <dataValidation operator="equal" allowBlank="1" showInputMessage="1" showErrorMessage="1" sqref="E34 E31 E22 E19 P22 P19 E43 E40 P43 P40 E74 P74" xr:uid="{7FA3C31B-BFCF-4AA3-9A1C-D3DF345CD246}"/>
  </dataValidations>
  <pageMargins left="0.7" right="0.7" top="0.75" bottom="0.75" header="0.3" footer="0.3"/>
  <drawing r:id="rId1"/>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6CFF1F9-358B-4D16-8622-0A1620082E5C}">
  <dimension ref="A1:W165"/>
  <sheetViews>
    <sheetView showGridLines="0" topLeftCell="A7" workbookViewId="0">
      <selection activeCell="A13" sqref="A13"/>
    </sheetView>
  </sheetViews>
  <sheetFormatPr defaultRowHeight="15.75" x14ac:dyDescent="0.25"/>
  <cols>
    <col min="1" max="1" width="30.7109375" customWidth="1"/>
    <col min="2" max="2" width="4.7109375" customWidth="1"/>
    <col min="3" max="3" width="4.7109375" style="1" customWidth="1"/>
    <col min="4" max="11" width="30.7109375" style="1" customWidth="1"/>
    <col min="12" max="12" width="4.7109375" style="1" customWidth="1"/>
    <col min="13" max="13" width="4.7109375" customWidth="1"/>
    <col min="14" max="14" width="4.7109375" style="1" customWidth="1"/>
    <col min="15" max="22" width="30.7109375" style="1" customWidth="1"/>
    <col min="23" max="23" width="4.7109375" style="1" customWidth="1"/>
  </cols>
  <sheetData>
    <row r="1" spans="1:23" s="8" customFormat="1" ht="30" customHeight="1" x14ac:dyDescent="0.35">
      <c r="A1" s="8" t="e" vm="1">
        <v>#VALUE!</v>
      </c>
      <c r="C1" s="8" t="s">
        <v>390</v>
      </c>
    </row>
    <row r="2" spans="1:23" s="9" customFormat="1" ht="20.100000000000001" customHeight="1" x14ac:dyDescent="0.25"/>
    <row r="3" spans="1:23" ht="20.100000000000001" customHeight="1" x14ac:dyDescent="0.25">
      <c r="A3" s="17" t="str">
        <f>HYPERLINK("#'Home'!A1", "Home")</f>
        <v>Home</v>
      </c>
      <c r="C3" s="4"/>
      <c r="D3" s="4" t="s">
        <v>123</v>
      </c>
      <c r="E3" s="4"/>
      <c r="F3" s="4"/>
      <c r="G3" s="4"/>
      <c r="H3" s="4"/>
      <c r="I3" s="4"/>
      <c r="J3" s="4"/>
      <c r="K3" s="4"/>
      <c r="L3" s="4"/>
      <c r="N3" s="4"/>
      <c r="O3" s="4" t="s">
        <v>124</v>
      </c>
      <c r="P3" s="4"/>
      <c r="Q3" s="4"/>
      <c r="R3" s="4"/>
      <c r="S3" s="4"/>
      <c r="T3" s="4"/>
      <c r="U3" s="4"/>
      <c r="V3" s="4"/>
      <c r="W3" s="4"/>
    </row>
    <row r="4" spans="1:23" ht="20.100000000000001" customHeight="1" x14ac:dyDescent="0.25">
      <c r="A4" s="17" t="str">
        <f>HYPERLINK("#'Results'!A1", "Results")</f>
        <v>Results</v>
      </c>
    </row>
    <row r="5" spans="1:23" ht="20.100000000000001" customHeight="1" x14ac:dyDescent="0.25">
      <c r="A5" s="16"/>
      <c r="D5" s="6" t="str" cm="1">
        <f t="array" ref="D5">MMS_Dairy_LeachingAndRunoff_Equations.VEERG_4_3_1_6__2_MassOfNitrogenLostToLeachingAndRunoffFromSolidStorage_Title()</f>
        <v>Mass of nitrogen lost to leaching and runoff from solid storage systems</v>
      </c>
    </row>
    <row r="6" spans="1:23" ht="20.100000000000001" customHeight="1" x14ac:dyDescent="0.25">
      <c r="A6" s="20" t="s">
        <v>3</v>
      </c>
      <c r="D6" s="5" t="str" cm="1">
        <f t="array" ref="D6">MMS_Dairy_LeachingAndRunoff_Equations.VEERG_4_3_1_6__2_MassOfNitrogenLostToLeachingAndRunoffFromSolidStorage_Source()</f>
        <v>VEERG 2026: 4.3.1.6, Equation (2)</v>
      </c>
    </row>
    <row r="7" spans="1:23" ht="20.100000000000001" customHeight="1" x14ac:dyDescent="0.25">
      <c r="A7" s="17" t="str">
        <f>HYPERLINK("#'Input - Site'!A1", "Site")</f>
        <v>Site</v>
      </c>
      <c r="D7" s="13" t="s">
        <v>28</v>
      </c>
      <c r="E7" s="13" t="str" cm="1">
        <f t="array" aca="1" ref="E7" ca="1">Common_InputFunctions.Utility_DisplayFunctionName($F$29)</f>
        <v>=MMS_Dairy_LeachingAndRunoff_Equations.VEERG_4_3_1_6__2_MassOfNitrogenLostToLeachingAndRunoffFromSolidStorage</v>
      </c>
    </row>
    <row r="8" spans="1:23" ht="20.100000000000001" customHeight="1" x14ac:dyDescent="0.25">
      <c r="A8" s="17" t="str">
        <f>HYPERLINK("#'Input - Dairy'!A1", "Dairy")</f>
        <v>Dairy</v>
      </c>
      <c r="G8" s="114" t="s">
        <v>353</v>
      </c>
    </row>
    <row r="9" spans="1:23" ht="20.100000000000001" customHeight="1" x14ac:dyDescent="0.25">
      <c r="A9" s="17"/>
    </row>
    <row r="10" spans="1:23" ht="20.100000000000001" customHeight="1" x14ac:dyDescent="0.25">
      <c r="A10" s="19" t="s">
        <v>78</v>
      </c>
      <c r="D10" s="56" t="s">
        <v>31</v>
      </c>
      <c r="E10" s="1" t="str" cm="1">
        <f t="array" ref="E10">MMS_Dairy_LeachingAndRunoff_Equations.VEERG_4_3_1_6__2_MassOfNitrogenLostToLeachingAndRunoffFromSolidStorage_Variable()</f>
        <v>MNLeach_jm4</v>
      </c>
    </row>
    <row r="11" spans="1:23" ht="20.100000000000001" customHeight="1" x14ac:dyDescent="0.25">
      <c r="A11" s="17" t="str">
        <f>HYPERLINK("#'4.3.1.1-2 Methane'!A1", "4.3.1.1-2 Methane")</f>
        <v>4.3.1.1-2 Methane</v>
      </c>
      <c r="D11" s="56" t="s">
        <v>21</v>
      </c>
      <c r="E11" s="57" t="str" cm="1">
        <f t="array" ref="E11">MMS_Dairy_LeachingAndRunoff_Equations.VEERG_4_3_1_6__2_MassOfNitrogenLostToLeachingAndRunoffFromSolidStorage_Unit()</f>
        <v>kg N</v>
      </c>
    </row>
    <row r="12" spans="1:23" ht="20.100000000000001" customHeight="1" x14ac:dyDescent="0.25">
      <c r="A12" s="17" t="str">
        <f>HYPERLINK("#'4.3.1.3-4 Direct N20'!A1", "4.3.1.3-4 Direct N2O")</f>
        <v>4.3.1.3-4 Direct N2O</v>
      </c>
    </row>
    <row r="13" spans="1:23" ht="20.100000000000001" customHeight="1" x14ac:dyDescent="0.25">
      <c r="A13" s="17" t="str">
        <f>HYPERLINK("#'4.3.1.5 Atmos Deposition'!A1", "4.3.1.5 Atmospheric deposition")</f>
        <v>4.3.1.5 Atmospheric deposition</v>
      </c>
      <c r="D13" s="60" t="str" cm="1">
        <f t="array" ref="D13:E18">MMS_Dairy_LeachingAndRunoff_Equations.VEERG_4_3_1_6__2_MassOfNitrogenLostToLeachingAndRunoffFromSolidStorage_Arguments()</f>
        <v>MN_jm4</v>
      </c>
      <c r="E13" s="61" t="str">
        <v>total nitrogen in solid storage system m=4 (kg N)</v>
      </c>
      <c r="F13" s="105"/>
      <c r="G13" s="62"/>
      <c r="H13" s="60" t="str">
        <f>"See " &amp; D20</f>
        <v>See M1_Table_MN_j_m-4</v>
      </c>
    </row>
    <row r="14" spans="1:23" ht="20.100000000000001" customHeight="1" x14ac:dyDescent="0.25">
      <c r="A14" s="22" t="str">
        <f>HYPERLINK("#'4.3.1.6-7 Leaching and runoff'!A1", "4.3.1.6-7 Leaching and runoff")</f>
        <v>4.3.1.6-7 Leaching and runoff</v>
      </c>
      <c r="D14" s="60" t="str">
        <v>FracWET_i</v>
      </c>
      <c r="E14" s="61" t="str">
        <v>fraction of N that is available for leaching and runoff from the leaching zone z and irrigation type ir (dimensionless)</v>
      </c>
      <c r="F14" s="105"/>
      <c r="G14" s="62"/>
      <c r="H14" s="60">
        <f>Common_InputFunctions.CommonCropping_GetFracWET(H16,H18,#REF!,#REF!,Table_SourceData_FracWETIrrigation[Irrigation type i],Table_SourceData_FracWETIrrigation[FracWET])</f>
        <v>1</v>
      </c>
    </row>
    <row r="15" spans="1:23" ht="20.100000000000001" customHeight="1" x14ac:dyDescent="0.25">
      <c r="A15" s="17" t="str">
        <f>HYPERLINK("#'4.3.1.8 Manure applied to soils'!A1", "4.3.1.8 Manure applied to soils")</f>
        <v>4.3.1.8 Manure applied to soils</v>
      </c>
      <c r="D15" s="60" t="str">
        <v>FracLEACH_MS</v>
      </c>
      <c r="E15" s="61" t="str">
        <v>fraction of N that is lost through leaching and runoff (dimensionless)</v>
      </c>
      <c r="F15" s="105"/>
      <c r="G15" s="62"/>
      <c r="H15" s="60">
        <f>'Constants - Dairy'!$D$209</f>
        <v>0.02</v>
      </c>
    </row>
    <row r="16" spans="1:23" ht="20.100000000000001" customHeight="1" x14ac:dyDescent="0.25">
      <c r="A16" s="17" t="str">
        <f>HYPERLINK("#'4.3.1.9 Soil direct N2O'!A1", "4.3.1.9 Soil direct N2O")</f>
        <v>4.3.1.9 Soil direct N2O</v>
      </c>
      <c r="D16" s="60" t="str">
        <v>z</v>
      </c>
      <c r="E16" s="61" t="str">
        <v>location in leaching zone</v>
      </c>
      <c r="F16" s="105"/>
      <c r="G16" s="62"/>
      <c r="H16" s="60" t="str">
        <f>'Input - Site'!$E$23</f>
        <v>NO - Not in leaching zone</v>
      </c>
    </row>
    <row r="17" spans="1:22" ht="20.100000000000001" customHeight="1" x14ac:dyDescent="0.25">
      <c r="A17" s="17" t="str">
        <f>HYPERLINK("#'4.3.1.10-11 Soil Atmos Dep'!A1", "4.3.1.10-11 Soil atm. deposition")</f>
        <v>4.3.1.10-11 Soil atm. deposition</v>
      </c>
      <c r="D17" s="60" t="str">
        <v>j</v>
      </c>
      <c r="E17" s="61" t="str">
        <v>production system</v>
      </c>
      <c r="F17" s="105"/>
      <c r="G17" s="62"/>
      <c r="H17" s="60" t="str">
        <f>'Input - Dairy'!$E$183</f>
        <v>Pasture</v>
      </c>
    </row>
    <row r="18" spans="1:22" ht="20.100000000000001" customHeight="1" x14ac:dyDescent="0.25">
      <c r="A18" s="17" t="str">
        <f>HYPERLINK("#'4.3.1.12-13 Soil leach runoff'!A1", "4.3.1.12-13 Soil leach &amp; runoff")</f>
        <v>4.3.1.12-13 Soil leach &amp; runoff</v>
      </c>
      <c r="D18" s="60" t="str">
        <v>ir</v>
      </c>
      <c r="E18" s="61" t="str">
        <v>irrigation method</v>
      </c>
      <c r="F18" s="105"/>
      <c r="G18" s="62"/>
      <c r="H18" s="60" t="str">
        <f>'Input - Dairy'!$E$184</f>
        <v>Sprinkler irrigation</v>
      </c>
    </row>
    <row r="19" spans="1:22" ht="20.100000000000001" customHeight="1" x14ac:dyDescent="0.25">
      <c r="A19" s="17"/>
    </row>
    <row r="20" spans="1:22" ht="20.100000000000001" customHeight="1" x14ac:dyDescent="0.25">
      <c r="A20" s="18" t="s">
        <v>4</v>
      </c>
      <c r="D20" s="104" t="s">
        <v>355</v>
      </c>
      <c r="O20" s="104" t="s">
        <v>357</v>
      </c>
    </row>
    <row r="21" spans="1:22" ht="20.100000000000001" customHeight="1" x14ac:dyDescent="0.25">
      <c r="A21" s="17" t="str">
        <f>HYPERLINK("#'Constants - Dairy'!A1", "Constants - Dairy")</f>
        <v>Constants - Dairy</v>
      </c>
      <c r="D21" s="103" t="s">
        <v>356</v>
      </c>
      <c r="O21" s="103" t="s">
        <v>358</v>
      </c>
    </row>
    <row r="22" spans="1:22" ht="20.100000000000001" customHeight="1" x14ac:dyDescent="0.25">
      <c r="A22" s="17" t="str">
        <f>HYPERLINK("#'Constants - Livestock'!A1", "Constants - Livestock")</f>
        <v>Constants - Livestock</v>
      </c>
      <c r="D22" s="54" t="s">
        <v>159</v>
      </c>
      <c r="E22" s="54" t="s">
        <v>69</v>
      </c>
      <c r="F22" s="54" t="s">
        <v>186</v>
      </c>
      <c r="G22" s="54" t="s">
        <v>203</v>
      </c>
      <c r="H22" s="54" t="s">
        <v>204</v>
      </c>
      <c r="I22" s="54" t="s">
        <v>205</v>
      </c>
      <c r="J22" s="54" t="s">
        <v>206</v>
      </c>
      <c r="O22" s="54" t="s">
        <v>159</v>
      </c>
      <c r="P22" s="54" t="s">
        <v>69</v>
      </c>
      <c r="Q22" s="54" t="s">
        <v>186</v>
      </c>
      <c r="R22" s="54" t="s">
        <v>203</v>
      </c>
      <c r="S22" s="54" t="s">
        <v>204</v>
      </c>
      <c r="T22" s="54" t="s">
        <v>205</v>
      </c>
      <c r="U22" s="54" t="s">
        <v>206</v>
      </c>
    </row>
    <row r="23" spans="1:22" ht="20.100000000000001" customHeight="1" x14ac:dyDescent="0.25">
      <c r="A23" s="17" t="str">
        <f>HYPERLINK("#'Constants - Common'!A1", "Constants - Common")</f>
        <v>Constants - Common</v>
      </c>
      <c r="D23" s="55" t="str">
        <f>'Input - Dairy'!$D$54</f>
        <v>Milking shed</v>
      </c>
      <c r="E23" s="55" t="str">
        <f>'Input - Dairy'!$D$82</f>
        <v>Solid storage</v>
      </c>
      <c r="F23" s="55">
        <f>'4.3.1.3-4 Direct N20'!F239</f>
        <v>424.49626629049584</v>
      </c>
      <c r="G23" s="55">
        <f>'4.3.1.3-4 Direct N20'!G239</f>
        <v>364.71580535564152</v>
      </c>
      <c r="H23" s="55">
        <f>'4.3.1.3-4 Direct N20'!H239</f>
        <v>145.26244824768682</v>
      </c>
      <c r="I23" s="55">
        <f>'4.3.1.3-4 Direct N20'!I239</f>
        <v>458.46219147973682</v>
      </c>
      <c r="J23" s="55">
        <f>'4.3.1.3-4 Direct N20'!J239</f>
        <v>191.92571415811079</v>
      </c>
      <c r="K23" s="2" t="s">
        <v>135</v>
      </c>
      <c r="O23" s="55" t="str">
        <f>'Input - Dairy'!$D$54</f>
        <v>Milking shed</v>
      </c>
      <c r="P23" s="55" t="str">
        <f>'Input - Dairy'!$D$82</f>
        <v>Solid storage</v>
      </c>
      <c r="Q23" s="55">
        <f>'4.3.1.3-4 Direct N20'!P239</f>
        <v>424.49626629049584</v>
      </c>
      <c r="R23" s="55">
        <f>'4.3.1.3-4 Direct N20'!Q239</f>
        <v>364.71580535564152</v>
      </c>
      <c r="S23" s="55">
        <f>'4.3.1.3-4 Direct N20'!R239</f>
        <v>145.26244824768682</v>
      </c>
      <c r="T23" s="55">
        <f>'4.3.1.3-4 Direct N20'!S239</f>
        <v>458.46219147973682</v>
      </c>
      <c r="U23" s="55">
        <f>'4.3.1.3-4 Direct N20'!T239</f>
        <v>191.92571415811079</v>
      </c>
      <c r="V23" s="2" t="s">
        <v>135</v>
      </c>
    </row>
    <row r="24" spans="1:22" ht="20.100000000000001" customHeight="1" x14ac:dyDescent="0.25">
      <c r="A24" s="17" t="str">
        <f>HYPERLINK("#'Acknowledgements'!A1", "Acknowledgements")</f>
        <v>Acknowledgements</v>
      </c>
      <c r="D24" s="55" t="str">
        <f>'Input - Dairy'!$D$55</f>
        <v>Feed pad</v>
      </c>
      <c r="E24" s="55" t="str">
        <f>'Input - Dairy'!$D$116</f>
        <v>Solid storage</v>
      </c>
      <c r="F24" s="55">
        <f>'4.3.1.3-4 Direct N20'!F243</f>
        <v>1202.0962449953586</v>
      </c>
      <c r="G24" s="55">
        <f>'4.3.1.3-4 Direct N20'!G243</f>
        <v>1032.8088488025667</v>
      </c>
      <c r="H24" s="55">
        <f>'4.3.1.3-4 Direct N20'!H243</f>
        <v>411.35684208322226</v>
      </c>
      <c r="I24" s="55">
        <f>'4.3.1.3-4 Direct N20'!I243</f>
        <v>1298.2815695085274</v>
      </c>
      <c r="J24" s="55">
        <f>'4.3.1.3-4 Direct N20'!J243</f>
        <v>543.49872691137739</v>
      </c>
      <c r="K24" s="2" t="s">
        <v>135</v>
      </c>
      <c r="O24" s="55" t="str">
        <f>'Input - Dairy'!$D$55</f>
        <v>Feed pad</v>
      </c>
      <c r="P24" s="55" t="str">
        <f>'Input - Dairy'!$D$116</f>
        <v>Solid storage</v>
      </c>
      <c r="Q24" s="55">
        <f>'4.3.1.3-4 Direct N20'!P243</f>
        <v>1202.0962449953586</v>
      </c>
      <c r="R24" s="55">
        <f>'4.3.1.3-4 Direct N20'!Q243</f>
        <v>1032.8088488025667</v>
      </c>
      <c r="S24" s="55">
        <f>'4.3.1.3-4 Direct N20'!R243</f>
        <v>411.35684208322226</v>
      </c>
      <c r="T24" s="55">
        <f>'4.3.1.3-4 Direct N20'!S243</f>
        <v>1298.2815695085274</v>
      </c>
      <c r="U24" s="55">
        <f>'4.3.1.3-4 Direct N20'!T243</f>
        <v>543.49872691137739</v>
      </c>
      <c r="V24" s="2" t="s">
        <v>135</v>
      </c>
    </row>
    <row r="25" spans="1:22" ht="20.100000000000001" customHeight="1" x14ac:dyDescent="0.25"/>
    <row r="26" spans="1:22" ht="20.100000000000001" customHeight="1" x14ac:dyDescent="0.25">
      <c r="D26" s="104" t="s">
        <v>360</v>
      </c>
      <c r="O26" s="104" t="s">
        <v>361</v>
      </c>
    </row>
    <row r="27" spans="1:22" ht="20.100000000000001" customHeight="1" x14ac:dyDescent="0.25">
      <c r="D27" s="103" t="s">
        <v>359</v>
      </c>
      <c r="O27" s="103" t="s">
        <v>362</v>
      </c>
    </row>
    <row r="28" spans="1:22" ht="20.100000000000001" customHeight="1" x14ac:dyDescent="0.25">
      <c r="D28" s="54" t="s">
        <v>159</v>
      </c>
      <c r="E28" s="54" t="s">
        <v>69</v>
      </c>
      <c r="F28" s="54" t="s">
        <v>186</v>
      </c>
      <c r="G28" s="54" t="s">
        <v>203</v>
      </c>
      <c r="H28" s="54" t="s">
        <v>204</v>
      </c>
      <c r="I28" s="54" t="s">
        <v>205</v>
      </c>
      <c r="J28" s="54" t="s">
        <v>206</v>
      </c>
      <c r="O28" s="54" t="s">
        <v>159</v>
      </c>
      <c r="P28" s="54" t="s">
        <v>69</v>
      </c>
      <c r="Q28" s="54" t="s">
        <v>186</v>
      </c>
      <c r="R28" s="54" t="s">
        <v>203</v>
      </c>
      <c r="S28" s="54" t="s">
        <v>204</v>
      </c>
      <c r="T28" s="54" t="s">
        <v>205</v>
      </c>
      <c r="U28" s="54" t="s">
        <v>206</v>
      </c>
    </row>
    <row r="29" spans="1:22" ht="20.100000000000001" customHeight="1" x14ac:dyDescent="0.25">
      <c r="D29" s="55" t="str">
        <f>'Input - Dairy'!$D$54</f>
        <v>Milking shed</v>
      </c>
      <c r="E29" s="55" t="str">
        <f>'Input - Dairy'!$D$82</f>
        <v>Solid storage</v>
      </c>
      <c r="F29" s="55" cm="1">
        <f t="array" ref="F29">MMS_Dairy_LeachingAndRunoff_Equations.VEERG_4_3_1_6__2_MassOfNitrogenLostToLeachingAndRunoffFromSolidStorage(F23,$H$14,$H$15)</f>
        <v>8.4899253258099172</v>
      </c>
      <c r="G29" s="55" cm="1">
        <f t="array" ref="G29">MMS_Dairy_LeachingAndRunoff_Equations.VEERG_4_3_1_6__2_MassOfNitrogenLostToLeachingAndRunoffFromSolidStorage(G23,$H$14,$H$15)</f>
        <v>7.2943161071128308</v>
      </c>
      <c r="H29" s="55" cm="1">
        <f t="array" ref="H29">MMS_Dairy_LeachingAndRunoff_Equations.VEERG_4_3_1_6__2_MassOfNitrogenLostToLeachingAndRunoffFromSolidStorage(H23,$H$14,$H$15)</f>
        <v>2.9052489649537363</v>
      </c>
      <c r="I29" s="55" cm="1">
        <f t="array" ref="I29">MMS_Dairy_LeachingAndRunoff_Equations.VEERG_4_3_1_6__2_MassOfNitrogenLostToLeachingAndRunoffFromSolidStorage(I23,$H$14,$H$15)</f>
        <v>9.1692438295947358</v>
      </c>
      <c r="J29" s="55" cm="1">
        <f t="array" ref="J29">MMS_Dairy_LeachingAndRunoff_Equations.VEERG_4_3_1_6__2_MassOfNitrogenLostToLeachingAndRunoffFromSolidStorage(J23,$H$14,$H$15)</f>
        <v>3.8385142831622159</v>
      </c>
      <c r="K29" s="2" t="str">
        <f>$E$11</f>
        <v>kg N</v>
      </c>
      <c r="O29" s="55" t="str">
        <f>'Input - Dairy'!$D$54</f>
        <v>Milking shed</v>
      </c>
      <c r="P29" s="55" t="str">
        <f>'Input - Dairy'!$D$82</f>
        <v>Solid storage</v>
      </c>
      <c r="Q29" s="55" cm="1">
        <f t="array" ref="Q29">MMS_Dairy_LeachingAndRunoff_Equations.VEERG_4_3_1_6__2_MassOfNitrogenLostToLeachingAndRunoffFromSolidStorage(Q23,$H$14,$H$15)</f>
        <v>8.4899253258099172</v>
      </c>
      <c r="R29" s="55" cm="1">
        <f t="array" ref="R29">MMS_Dairy_LeachingAndRunoff_Equations.VEERG_4_3_1_6__2_MassOfNitrogenLostToLeachingAndRunoffFromSolidStorage(R23,$H$14,$H$15)</f>
        <v>7.2943161071128308</v>
      </c>
      <c r="S29" s="55" cm="1">
        <f t="array" ref="S29">MMS_Dairy_LeachingAndRunoff_Equations.VEERG_4_3_1_6__2_MassOfNitrogenLostToLeachingAndRunoffFromSolidStorage(S23,$H$14,$H$15)</f>
        <v>2.9052489649537363</v>
      </c>
      <c r="T29" s="55" cm="1">
        <f t="array" ref="T29">MMS_Dairy_LeachingAndRunoff_Equations.VEERG_4_3_1_6__2_MassOfNitrogenLostToLeachingAndRunoffFromSolidStorage(T23,$H$14,$H$15)</f>
        <v>9.1692438295947358</v>
      </c>
      <c r="U29" s="55" cm="1">
        <f t="array" ref="U29">MMS_Dairy_LeachingAndRunoff_Equations.VEERG_4_3_1_6__2_MassOfNitrogenLostToLeachingAndRunoffFromSolidStorage(U23,$H$14,$H$15)</f>
        <v>3.8385142831622159</v>
      </c>
      <c r="V29" s="2" t="str">
        <f t="shared" ref="V29:V30" si="0">$E$11</f>
        <v>kg N</v>
      </c>
    </row>
    <row r="30" spans="1:22" ht="20.100000000000001" customHeight="1" x14ac:dyDescent="0.25">
      <c r="D30" s="55" t="str">
        <f>'Input - Dairy'!$D$55</f>
        <v>Feed pad</v>
      </c>
      <c r="E30" s="55" t="str">
        <f>'Input - Dairy'!$D$116</f>
        <v>Solid storage</v>
      </c>
      <c r="F30" s="55" cm="1">
        <f t="array" ref="F30">MMS_Dairy_LeachingAndRunoff_Equations.VEERG_4_3_1_6__2_MassOfNitrogenLostToLeachingAndRunoffFromSolidStorage(F24,$H$14,$H$15)</f>
        <v>24.041924899907173</v>
      </c>
      <c r="G30" s="55" cm="1">
        <f t="array" ref="G30">MMS_Dairy_LeachingAndRunoff_Equations.VEERG_4_3_1_6__2_MassOfNitrogenLostToLeachingAndRunoffFromSolidStorage(G24,$H$14,$H$15)</f>
        <v>20.656176976051334</v>
      </c>
      <c r="H30" s="55" cm="1">
        <f t="array" ref="H30">MMS_Dairy_LeachingAndRunoff_Equations.VEERG_4_3_1_6__2_MassOfNitrogenLostToLeachingAndRunoffFromSolidStorage(H24,$H$14,$H$15)</f>
        <v>8.2271368416644446</v>
      </c>
      <c r="I30" s="55" cm="1">
        <f t="array" ref="I30">MMS_Dairy_LeachingAndRunoff_Equations.VEERG_4_3_1_6__2_MassOfNitrogenLostToLeachingAndRunoffFromSolidStorage(I24,$H$14,$H$15)</f>
        <v>25.965631390170547</v>
      </c>
      <c r="J30" s="55" cm="1">
        <f t="array" ref="J30">MMS_Dairy_LeachingAndRunoff_Equations.VEERG_4_3_1_6__2_MassOfNitrogenLostToLeachingAndRunoffFromSolidStorage(J24,$H$14,$H$15)</f>
        <v>10.869974538227549</v>
      </c>
      <c r="K30" s="2" t="str">
        <f>$E$11</f>
        <v>kg N</v>
      </c>
      <c r="O30" s="55" t="str">
        <f>'Input - Dairy'!$D$55</f>
        <v>Feed pad</v>
      </c>
      <c r="P30" s="55" t="str">
        <f>'Input - Dairy'!$D$116</f>
        <v>Solid storage</v>
      </c>
      <c r="Q30" s="55" cm="1">
        <f t="array" ref="Q30">MMS_Dairy_LeachingAndRunoff_Equations.VEERG_4_3_1_6__2_MassOfNitrogenLostToLeachingAndRunoffFromSolidStorage(Q24,$H$14,$H$15)</f>
        <v>24.041924899907173</v>
      </c>
      <c r="R30" s="55" cm="1">
        <f t="array" ref="R30">MMS_Dairy_LeachingAndRunoff_Equations.VEERG_4_3_1_6__2_MassOfNitrogenLostToLeachingAndRunoffFromSolidStorage(R24,$H$14,$H$15)</f>
        <v>20.656176976051334</v>
      </c>
      <c r="S30" s="55" cm="1">
        <f t="array" ref="S30">MMS_Dairy_LeachingAndRunoff_Equations.VEERG_4_3_1_6__2_MassOfNitrogenLostToLeachingAndRunoffFromSolidStorage(S24,$H$14,$H$15)</f>
        <v>8.2271368416644446</v>
      </c>
      <c r="T30" s="55" cm="1">
        <f t="array" ref="T30">MMS_Dairy_LeachingAndRunoff_Equations.VEERG_4_3_1_6__2_MassOfNitrogenLostToLeachingAndRunoffFromSolidStorage(T24,$H$14,$H$15)</f>
        <v>25.965631390170547</v>
      </c>
      <c r="U30" s="55" cm="1">
        <f t="array" ref="U30">MMS_Dairy_LeachingAndRunoff_Equations.VEERG_4_3_1_6__2_MassOfNitrogenLostToLeachingAndRunoffFromSolidStorage(U24,$H$14,$H$15)</f>
        <v>10.869974538227549</v>
      </c>
      <c r="V30" s="2" t="str">
        <f t="shared" si="0"/>
        <v>kg N</v>
      </c>
    </row>
    <row r="31" spans="1:22" ht="20.100000000000001" customHeight="1" x14ac:dyDescent="0.25"/>
    <row r="32" spans="1:22" ht="20.100000000000001" customHeight="1" x14ac:dyDescent="0.25"/>
    <row r="33" spans="3:23" ht="20.100000000000001" customHeight="1" x14ac:dyDescent="0.25">
      <c r="C33" s="48"/>
      <c r="D33" s="48"/>
      <c r="E33" s="48"/>
      <c r="F33" s="48"/>
      <c r="G33" s="48"/>
      <c r="H33" s="48"/>
      <c r="I33" s="48"/>
      <c r="J33" s="48"/>
      <c r="K33" s="48"/>
      <c r="L33" s="48"/>
      <c r="N33" s="48"/>
      <c r="O33" s="48"/>
      <c r="P33" s="48"/>
      <c r="Q33" s="48"/>
      <c r="R33" s="48"/>
      <c r="S33" s="48"/>
      <c r="T33" s="48"/>
      <c r="U33" s="48"/>
      <c r="V33" s="48"/>
      <c r="W33" s="48"/>
    </row>
    <row r="34" spans="3:23" ht="20.100000000000001" customHeight="1" x14ac:dyDescent="0.25">
      <c r="D34" s="6" t="str" cm="1">
        <f t="array" ref="D34">MMS_Dairy_LeachingAndRunoff_Equations.VEERG_4_3_1_6__1_AnnualEmissionsFromLeachingAndRunoffFromMMS_Title()</f>
        <v>Annual emissions from leaching and runoff from each MMS</v>
      </c>
    </row>
    <row r="35" spans="3:23" ht="20.100000000000001" customHeight="1" x14ac:dyDescent="0.25">
      <c r="D35" s="5" t="str" cm="1">
        <f t="array" ref="D35">MMS_Dairy_LeachingAndRunoff_Equations.VEERG_4_3_1_6__1_AnnualEmissionsFromLeachingAndRunoffFromMMS_Source()</f>
        <v>VEERG 2026: 4.3.1.6, Equation (1)</v>
      </c>
    </row>
    <row r="36" spans="3:23" ht="20.100000000000001" customHeight="1" x14ac:dyDescent="0.25">
      <c r="D36" s="13" t="s">
        <v>28</v>
      </c>
      <c r="E36" s="13" t="str" cm="1">
        <f t="array" aca="1" ref="E36" ca="1">Common_InputFunctions.Utility_DisplayFunctionName($F$29)</f>
        <v>=MMS_Dairy_LeachingAndRunoff_Equations.VEERG_4_3_1_6__2_MassOfNitrogenLostToLeachingAndRunoffFromSolidStorage</v>
      </c>
    </row>
    <row r="37" spans="3:23" ht="20.100000000000001" customHeight="1" x14ac:dyDescent="0.25"/>
    <row r="38" spans="3:23" ht="20.100000000000001" customHeight="1" x14ac:dyDescent="0.25">
      <c r="D38" s="6"/>
    </row>
    <row r="39" spans="3:23" ht="20.100000000000001" customHeight="1" x14ac:dyDescent="0.25">
      <c r="D39" s="56" t="s">
        <v>31</v>
      </c>
      <c r="E39" s="1" t="str" cm="1">
        <f t="array" ref="E39">MMS_Dairy_LeachingAndRunoff_Equations.VEERG_4_3_1_6__1_AnnualEmissionsFromLeachingAndRunoffFromMMS_Variable()</f>
        <v>E_N2Oleach</v>
      </c>
    </row>
    <row r="40" spans="3:23" ht="20.100000000000001" customHeight="1" x14ac:dyDescent="0.25">
      <c r="D40" s="56" t="s">
        <v>21</v>
      </c>
      <c r="E40" s="57" t="str" cm="1">
        <f t="array" ref="E40">MMS_Dairy_LeachingAndRunoff_Equations.VEERG_4_3_1_6__1_AnnualEmissionsFromLeachingAndRunoffFromMMS_Unit()</f>
        <v>t N2O</v>
      </c>
    </row>
    <row r="41" spans="3:23" ht="20.100000000000001" customHeight="1" x14ac:dyDescent="0.25"/>
    <row r="42" spans="3:23" ht="20.100000000000001" customHeight="1" x14ac:dyDescent="0.25">
      <c r="D42" s="115" t="str" cm="1">
        <f t="array" ref="D42:E44">MMS_Dairy_LeachingAndRunoff_Equations.VEERG_4_3_1_6__1_AnnualEmissionsFromLeachingAndRunoffFromMMS_Arguments()</f>
        <v>MNLeach_jm</v>
      </c>
      <c r="E42" s="117" t="str">
        <v>mass of N lost through leaching and runoff</v>
      </c>
      <c r="F42" s="116"/>
      <c r="G42" s="115" t="str">
        <f>"See " &amp; D26</f>
        <v>See M1_Table_MN_leach_j_m-4</v>
      </c>
    </row>
    <row r="43" spans="3:23" ht="20.100000000000001" customHeight="1" x14ac:dyDescent="0.25">
      <c r="D43" s="115" t="str">
        <v>EF_leach</v>
      </c>
      <c r="E43" s="117" t="str">
        <v>nitrous oxide emission factor for leaching and runoff (kg N2O-N/kg N)</v>
      </c>
      <c r="F43" s="116"/>
      <c r="G43" s="60">
        <f>'Constants - Dairy'!$D$202</f>
        <v>1.0999999999999999E-2</v>
      </c>
    </row>
    <row r="44" spans="3:23" ht="20.100000000000001" customHeight="1" x14ac:dyDescent="0.25">
      <c r="D44" s="115" t="str">
        <v>C_N2O</v>
      </c>
      <c r="E44" s="117" t="str">
        <v>factor to convert elemental mass of N2O to molecular mass</v>
      </c>
      <c r="F44" s="116"/>
      <c r="G44" s="60">
        <f>Common_InputFunctions.Utility_LookupValueInTableNumber("N2O",Table_GasToMolecularConversionFactor[Gas],Table_GasToMolecularConversionFactor[Conversion factor combined])</f>
        <v>1.5714285714285714</v>
      </c>
    </row>
    <row r="45" spans="3:23" ht="20.100000000000001" customHeight="1" x14ac:dyDescent="0.25"/>
    <row r="46" spans="3:23" ht="20.100000000000001" customHeight="1" x14ac:dyDescent="0.25">
      <c r="D46" s="104" t="s">
        <v>363</v>
      </c>
      <c r="O46" s="104" t="s">
        <v>365</v>
      </c>
    </row>
    <row r="47" spans="3:23" ht="20.100000000000001" customHeight="1" x14ac:dyDescent="0.25">
      <c r="D47" s="103" t="s">
        <v>364</v>
      </c>
      <c r="O47" s="103" t="s">
        <v>366</v>
      </c>
    </row>
    <row r="48" spans="3:23" ht="20.100000000000001" customHeight="1" x14ac:dyDescent="0.25">
      <c r="D48" s="54" t="s">
        <v>159</v>
      </c>
      <c r="E48" s="54" t="s">
        <v>69</v>
      </c>
      <c r="F48" s="54" t="s">
        <v>186</v>
      </c>
      <c r="G48" s="54" t="s">
        <v>203</v>
      </c>
      <c r="H48" s="54" t="s">
        <v>204</v>
      </c>
      <c r="I48" s="54" t="s">
        <v>205</v>
      </c>
      <c r="J48" s="54" t="s">
        <v>206</v>
      </c>
      <c r="O48" s="54" t="s">
        <v>159</v>
      </c>
      <c r="P48" s="54" t="s">
        <v>69</v>
      </c>
      <c r="Q48" s="54" t="s">
        <v>186</v>
      </c>
      <c r="R48" s="54" t="s">
        <v>203</v>
      </c>
      <c r="S48" s="54" t="s">
        <v>204</v>
      </c>
      <c r="T48" s="54" t="s">
        <v>205</v>
      </c>
      <c r="U48" s="54" t="s">
        <v>206</v>
      </c>
    </row>
    <row r="49" spans="4:22" ht="20.100000000000001" customHeight="1" x14ac:dyDescent="0.25">
      <c r="D49" s="55" t="str">
        <f>'Input - Dairy'!$D$54</f>
        <v>Milking shed</v>
      </c>
      <c r="E49" s="55" t="str">
        <f>'Input - Dairy'!$D$82</f>
        <v>Solid storage</v>
      </c>
      <c r="F49" s="55" cm="1">
        <f t="array" ref="F49">MMS_Dairy_LeachingAndRunoff_Equations.VEERG_4_3_1_6__1_AnnualEmissionsFromLeachingAndRunoffFromMMS(F29,$G$43,$G$44)</f>
        <v>1.4675442348899997E-4</v>
      </c>
      <c r="G49" s="55" cm="1">
        <f t="array" ref="G49">MMS_Dairy_LeachingAndRunoff_Equations.VEERG_4_3_1_6__1_AnnualEmissionsFromLeachingAndRunoffFromMMS(G29,$G$43,$G$44)</f>
        <v>1.2608746413723606E-4</v>
      </c>
      <c r="H49" s="55" cm="1">
        <f t="array" ref="H49">MMS_Dairy_LeachingAndRunoff_Equations.VEERG_4_3_1_6__1_AnnualEmissionsFromLeachingAndRunoffFromMMS(H29,$G$43,$G$44)</f>
        <v>5.0219303537057436E-5</v>
      </c>
      <c r="I49" s="55" cm="1">
        <f t="array" ref="I49">MMS_Dairy_LeachingAndRunoff_Equations.VEERG_4_3_1_6__1_AnnualEmissionsFromLeachingAndRunoffFromMMS(I29,$G$43,$G$44)</f>
        <v>1.5849692905442329E-4</v>
      </c>
      <c r="J49" s="55" cm="1">
        <f t="array" ref="J49">MMS_Dairy_LeachingAndRunoff_Equations.VEERG_4_3_1_6__1_AnnualEmissionsFromLeachingAndRunoffFromMMS(J29,$G$43,$G$44)</f>
        <v>6.6351461180375439E-5</v>
      </c>
      <c r="K49" s="2" t="str">
        <f>$E$40</f>
        <v>t N2O</v>
      </c>
      <c r="O49" s="55" t="str">
        <f>'Input - Dairy'!$D$54</f>
        <v>Milking shed</v>
      </c>
      <c r="P49" s="55" t="str">
        <f>'Input - Dairy'!$D$82</f>
        <v>Solid storage</v>
      </c>
      <c r="Q49" s="55" cm="1">
        <f t="array" ref="Q49">MMS_Dairy_LeachingAndRunoff_Equations.VEERG_4_3_1_6__1_AnnualEmissionsFromLeachingAndRunoffFromMMS(Q29,$G$43,$G$44)</f>
        <v>1.4675442348899997E-4</v>
      </c>
      <c r="R49" s="55" cm="1">
        <f t="array" ref="R49">MMS_Dairy_LeachingAndRunoff_Equations.VEERG_4_3_1_6__1_AnnualEmissionsFromLeachingAndRunoffFromMMS(R29,$G$43,$G$44)</f>
        <v>1.2608746413723606E-4</v>
      </c>
      <c r="S49" s="55" cm="1">
        <f t="array" ref="S49">MMS_Dairy_LeachingAndRunoff_Equations.VEERG_4_3_1_6__1_AnnualEmissionsFromLeachingAndRunoffFromMMS(S29,$G$43,$G$44)</f>
        <v>5.0219303537057436E-5</v>
      </c>
      <c r="T49" s="55" cm="1">
        <f t="array" ref="T49">MMS_Dairy_LeachingAndRunoff_Equations.VEERG_4_3_1_6__1_AnnualEmissionsFromLeachingAndRunoffFromMMS(T29,$G$43,$G$44)</f>
        <v>1.5849692905442329E-4</v>
      </c>
      <c r="U49" s="55" cm="1">
        <f t="array" ref="U49">MMS_Dairy_LeachingAndRunoff_Equations.VEERG_4_3_1_6__1_AnnualEmissionsFromLeachingAndRunoffFromMMS(U29,$G$43,$G$44)</f>
        <v>6.6351461180375439E-5</v>
      </c>
      <c r="V49" s="2" t="str">
        <f>$E$40</f>
        <v>t N2O</v>
      </c>
    </row>
    <row r="50" spans="4:22" ht="20.100000000000001" customHeight="1" x14ac:dyDescent="0.25">
      <c r="D50" s="55" t="str">
        <f>'Input - Dairy'!$D$55</f>
        <v>Feed pad</v>
      </c>
      <c r="E50" s="55" t="str">
        <f>'Input - Dairy'!$D$116</f>
        <v>Solid storage</v>
      </c>
      <c r="F50" s="55" cm="1">
        <f t="array" ref="F50">MMS_Dairy_LeachingAndRunoff_Equations.VEERG_4_3_1_6__1_AnnualEmissionsFromLeachingAndRunoffFromMMS(F30,$G$43,$G$44)</f>
        <v>4.1558184469839537E-4</v>
      </c>
      <c r="G50" s="55" cm="1">
        <f t="array" ref="G50">MMS_Dairy_LeachingAndRunoff_Equations.VEERG_4_3_1_6__1_AnnualEmissionsFromLeachingAndRunoffFromMMS(G30,$G$43,$G$44)</f>
        <v>3.5705677344317308E-4</v>
      </c>
      <c r="H50" s="55" cm="1">
        <f t="array" ref="H50">MMS_Dairy_LeachingAndRunoff_Equations.VEERG_4_3_1_6__1_AnnualEmissionsFromLeachingAndRunoffFromMMS(H30,$G$43,$G$44)</f>
        <v>1.4221193683448539E-4</v>
      </c>
      <c r="I50" s="55" cm="1">
        <f t="array" ref="I50">MMS_Dairy_LeachingAndRunoff_Equations.VEERG_4_3_1_6__1_AnnualEmissionsFromLeachingAndRunoffFromMMS(I30,$G$43,$G$44)</f>
        <v>4.4883448545866232E-4</v>
      </c>
      <c r="J50" s="55" cm="1">
        <f t="array" ref="J50">MMS_Dairy_LeachingAndRunoff_Equations.VEERG_4_3_1_6__1_AnnualEmissionsFromLeachingAndRunoffFromMMS(J30,$G$43,$G$44)</f>
        <v>1.8789527416079047E-4</v>
      </c>
      <c r="K50" s="2" t="str">
        <f>$E$40</f>
        <v>t N2O</v>
      </c>
      <c r="O50" s="55" t="str">
        <f>'Input - Dairy'!$D$55</f>
        <v>Feed pad</v>
      </c>
      <c r="P50" s="55" t="str">
        <f>'Input - Dairy'!$D$116</f>
        <v>Solid storage</v>
      </c>
      <c r="Q50" s="55" cm="1">
        <f t="array" ref="Q50">MMS_Dairy_LeachingAndRunoff_Equations.VEERG_4_3_1_6__1_AnnualEmissionsFromLeachingAndRunoffFromMMS(Q30,$G$43,$G$44)</f>
        <v>4.1558184469839537E-4</v>
      </c>
      <c r="R50" s="55" cm="1">
        <f t="array" ref="R50">MMS_Dairy_LeachingAndRunoff_Equations.VEERG_4_3_1_6__1_AnnualEmissionsFromLeachingAndRunoffFromMMS(R30,$G$43,$G$44)</f>
        <v>3.5705677344317308E-4</v>
      </c>
      <c r="S50" s="55" cm="1">
        <f t="array" ref="S50">MMS_Dairy_LeachingAndRunoff_Equations.VEERG_4_3_1_6__1_AnnualEmissionsFromLeachingAndRunoffFromMMS(S30,$G$43,$G$44)</f>
        <v>1.4221193683448539E-4</v>
      </c>
      <c r="T50" s="55" cm="1">
        <f t="array" ref="T50">MMS_Dairy_LeachingAndRunoff_Equations.VEERG_4_3_1_6__1_AnnualEmissionsFromLeachingAndRunoffFromMMS(T30,$G$43,$G$44)</f>
        <v>4.4883448545866232E-4</v>
      </c>
      <c r="U50" s="55" cm="1">
        <f t="array" ref="U50">MMS_Dairy_LeachingAndRunoff_Equations.VEERG_4_3_1_6__1_AnnualEmissionsFromLeachingAndRunoffFromMMS(U30,$G$43,$G$44)</f>
        <v>1.8789527416079047E-4</v>
      </c>
      <c r="V50" s="2" t="str">
        <f>$E$40</f>
        <v>t N2O</v>
      </c>
    </row>
    <row r="51" spans="4:22" ht="20.100000000000001" customHeight="1" x14ac:dyDescent="0.25"/>
    <row r="52" spans="4:22" ht="20.100000000000001" customHeight="1" x14ac:dyDescent="0.25">
      <c r="D52" s="108" t="s">
        <v>352</v>
      </c>
      <c r="E52" s="109">
        <f>SUM(F49:J50)</f>
        <v>2.0994898959935987E-3</v>
      </c>
      <c r="F52" s="110" t="str">
        <f>$E$40</f>
        <v>t N2O</v>
      </c>
      <c r="O52" s="108" t="s">
        <v>352</v>
      </c>
      <c r="P52" s="109">
        <f>SUM(Q49:U50)</f>
        <v>2.0994898959935987E-3</v>
      </c>
      <c r="Q52" s="110" t="str">
        <f>$E$40</f>
        <v>t N2O</v>
      </c>
    </row>
    <row r="53" spans="4:22" ht="20.100000000000001" customHeight="1" x14ac:dyDescent="0.25"/>
    <row r="54" spans="4:22" ht="20.100000000000001" customHeight="1" x14ac:dyDescent="0.25">
      <c r="D54" s="60" t="str" cm="1">
        <f t="array" ref="D54:E55">Common_Equations.Common_ConvertN2OToCO2e_Arguments()</f>
        <v>EN2O</v>
      </c>
      <c r="E54" s="61" t="str">
        <v>Nitrous oxide emissions (t N2O)</v>
      </c>
      <c r="F54" s="111"/>
      <c r="G54" s="55">
        <f>E$52</f>
        <v>2.0994898959935987E-3</v>
      </c>
      <c r="O54" s="60" t="str" cm="1">
        <f t="array" ref="O54:P55">Common_Equations.Common_ConvertN2OToCO2e_Arguments()</f>
        <v>EN2O</v>
      </c>
      <c r="P54" s="61" t="str">
        <v>Nitrous oxide emissions (t N2O)</v>
      </c>
      <c r="Q54" s="111"/>
      <c r="R54" s="55">
        <f>P$52</f>
        <v>2.0994898959935987E-3</v>
      </c>
    </row>
    <row r="55" spans="4:22" ht="20.100000000000001" customHeight="1" x14ac:dyDescent="0.25">
      <c r="D55" s="60" t="str">
        <v>GWPN2O</v>
      </c>
      <c r="E55" s="61" t="str">
        <v>Global warming potential for nitrous oxide (t CO2-e / t N2O)</v>
      </c>
      <c r="F55" s="111"/>
      <c r="G55" s="55">
        <f>Common_InputFunctions.Utility_LookupValueInTableNumber("N2O",Table_GWPData[Gas],Table_GWPData[CO2-e factor])</f>
        <v>265</v>
      </c>
      <c r="O55" s="60" t="str">
        <v>GWPN2O</v>
      </c>
      <c r="P55" s="61" t="str">
        <v>Global warming potential for nitrous oxide (t CO2-e / t N2O)</v>
      </c>
      <c r="Q55" s="111"/>
      <c r="R55" s="55">
        <f>Common_InputFunctions.Utility_LookupValueInTableNumber("N2O",Table_GWPData[Gas],Table_GWPData[CO2-e factor])</f>
        <v>265</v>
      </c>
    </row>
    <row r="56" spans="4:22" ht="20.100000000000001" customHeight="1" x14ac:dyDescent="0.25"/>
    <row r="57" spans="4:22" ht="20.100000000000001" customHeight="1" x14ac:dyDescent="0.25">
      <c r="D57" s="48" t="s">
        <v>111</v>
      </c>
      <c r="E57" s="48" cm="1">
        <f t="array" ref="E57">Common_Equations.Common_ConvertN2OToCO2e(G54,G55)</f>
        <v>0.55636482243830365</v>
      </c>
      <c r="F57" s="112" t="str" cm="1">
        <f t="array" ref="F57">Common_Equations.Common_ConvertN2OToCO2e_Unit()</f>
        <v>t CO2e</v>
      </c>
      <c r="O57" s="48" t="s">
        <v>111</v>
      </c>
      <c r="P57" s="48" cm="1">
        <f t="array" ref="P57">Common_Equations.Common_ConvertN2OToCO2e(R54,R55)</f>
        <v>0.55636482243830365</v>
      </c>
      <c r="Q57" s="112" t="str" cm="1">
        <f t="array" ref="Q57">Common_Equations.Common_ConvertN2OToCO2e_Unit()</f>
        <v>t CO2e</v>
      </c>
    </row>
    <row r="58" spans="4:22" ht="20.100000000000001" customHeight="1" x14ac:dyDescent="0.25"/>
    <row r="59" spans="4:22" ht="20.100000000000001" customHeight="1" x14ac:dyDescent="0.25"/>
    <row r="60" spans="4:22" ht="20.100000000000001" customHeight="1" x14ac:dyDescent="0.25"/>
    <row r="61" spans="4:22" ht="20.100000000000001" customHeight="1" x14ac:dyDescent="0.25"/>
    <row r="62" spans="4:22" ht="20.100000000000001" customHeight="1" x14ac:dyDescent="0.25"/>
    <row r="63" spans="4:22" ht="20.100000000000001" customHeight="1" x14ac:dyDescent="0.25"/>
    <row r="64" spans="4:22" ht="20.100000000000001" customHeight="1" x14ac:dyDescent="0.25"/>
    <row r="65" ht="20.100000000000001" customHeight="1" x14ac:dyDescent="0.25"/>
    <row r="66" ht="20.100000000000001" customHeight="1" x14ac:dyDescent="0.25"/>
    <row r="67" ht="20.100000000000001" customHeight="1" x14ac:dyDescent="0.25"/>
    <row r="68" ht="20.100000000000001" customHeight="1" x14ac:dyDescent="0.25"/>
    <row r="69" ht="20.100000000000001" customHeight="1" x14ac:dyDescent="0.25"/>
    <row r="70" ht="20.100000000000001" customHeight="1" x14ac:dyDescent="0.25"/>
    <row r="71" ht="20.100000000000001" customHeight="1" x14ac:dyDescent="0.25"/>
    <row r="72" ht="20.100000000000001" customHeight="1" x14ac:dyDescent="0.25"/>
    <row r="73" ht="20.100000000000001" customHeight="1" x14ac:dyDescent="0.25"/>
    <row r="74" ht="20.100000000000001" customHeight="1" x14ac:dyDescent="0.25"/>
    <row r="75" ht="20.100000000000001" customHeight="1" x14ac:dyDescent="0.25"/>
    <row r="76" ht="20.100000000000001" customHeight="1" x14ac:dyDescent="0.25"/>
    <row r="77" ht="20.100000000000001" customHeight="1" x14ac:dyDescent="0.25"/>
    <row r="78" ht="20.100000000000001" customHeight="1" x14ac:dyDescent="0.25"/>
    <row r="79" ht="20.100000000000001" customHeight="1" x14ac:dyDescent="0.25"/>
    <row r="80" ht="20.100000000000001" customHeight="1" x14ac:dyDescent="0.25"/>
    <row r="81" ht="20.100000000000001" customHeight="1" x14ac:dyDescent="0.25"/>
    <row r="82" ht="20.100000000000001" customHeight="1" x14ac:dyDescent="0.25"/>
    <row r="83" ht="20.100000000000001" customHeight="1" x14ac:dyDescent="0.25"/>
    <row r="84" ht="20.100000000000001" customHeight="1" x14ac:dyDescent="0.25"/>
    <row r="85" ht="20.100000000000001" customHeight="1" x14ac:dyDescent="0.25"/>
    <row r="86" ht="20.100000000000001" customHeight="1" x14ac:dyDescent="0.25"/>
    <row r="87" ht="20.100000000000001" customHeight="1" x14ac:dyDescent="0.25"/>
    <row r="88" ht="20.100000000000001" customHeight="1" x14ac:dyDescent="0.25"/>
    <row r="89" ht="20.100000000000001" customHeight="1" x14ac:dyDescent="0.25"/>
    <row r="90" ht="20.100000000000001" customHeight="1" x14ac:dyDescent="0.25"/>
    <row r="91" ht="20.100000000000001" customHeight="1" x14ac:dyDescent="0.25"/>
    <row r="92" ht="20.100000000000001" customHeight="1" x14ac:dyDescent="0.25"/>
    <row r="93" ht="20.100000000000001" customHeight="1" x14ac:dyDescent="0.25"/>
    <row r="94" ht="20.100000000000001" customHeight="1" x14ac:dyDescent="0.25"/>
    <row r="95" ht="20.100000000000001" customHeight="1" x14ac:dyDescent="0.25"/>
    <row r="96" ht="20.100000000000001" customHeight="1" x14ac:dyDescent="0.25"/>
    <row r="97" ht="20.100000000000001" customHeight="1" x14ac:dyDescent="0.25"/>
    <row r="98" ht="20.100000000000001" customHeight="1" x14ac:dyDescent="0.25"/>
    <row r="99" ht="20.100000000000001" customHeight="1" x14ac:dyDescent="0.25"/>
    <row r="100" ht="20.100000000000001" customHeight="1" x14ac:dyDescent="0.25"/>
    <row r="101" ht="20.100000000000001" customHeight="1" x14ac:dyDescent="0.25"/>
    <row r="102" ht="20.100000000000001" customHeight="1" x14ac:dyDescent="0.25"/>
    <row r="103" ht="20.100000000000001" customHeight="1" x14ac:dyDescent="0.25"/>
    <row r="104" ht="20.100000000000001" customHeight="1" x14ac:dyDescent="0.25"/>
    <row r="105" ht="20.100000000000001" customHeight="1" x14ac:dyDescent="0.25"/>
    <row r="106" ht="20.100000000000001" customHeight="1" x14ac:dyDescent="0.25"/>
    <row r="107" ht="20.100000000000001" customHeight="1" x14ac:dyDescent="0.25"/>
    <row r="108" ht="20.100000000000001" customHeight="1" x14ac:dyDescent="0.25"/>
    <row r="109" ht="20.100000000000001" customHeight="1" x14ac:dyDescent="0.25"/>
    <row r="110" ht="20.100000000000001" customHeight="1" x14ac:dyDescent="0.25"/>
    <row r="111" ht="20.100000000000001" customHeight="1" x14ac:dyDescent="0.25"/>
    <row r="112" ht="20.100000000000001" customHeight="1" x14ac:dyDescent="0.25"/>
    <row r="113" ht="20.100000000000001" customHeight="1" x14ac:dyDescent="0.25"/>
    <row r="114" ht="20.100000000000001" customHeight="1" x14ac:dyDescent="0.25"/>
    <row r="115" ht="20.100000000000001" customHeight="1" x14ac:dyDescent="0.25"/>
    <row r="116" ht="20.100000000000001" customHeight="1" x14ac:dyDescent="0.25"/>
    <row r="117" ht="20.100000000000001" customHeight="1" x14ac:dyDescent="0.25"/>
    <row r="118" ht="20.100000000000001" customHeight="1" x14ac:dyDescent="0.25"/>
    <row r="119" ht="20.100000000000001" customHeight="1" x14ac:dyDescent="0.25"/>
    <row r="120" ht="20.100000000000001" customHeight="1" x14ac:dyDescent="0.25"/>
    <row r="121" ht="20.100000000000001" customHeight="1" x14ac:dyDescent="0.25"/>
    <row r="122" ht="20.100000000000001" customHeight="1" x14ac:dyDescent="0.25"/>
    <row r="123" ht="20.100000000000001" customHeight="1" x14ac:dyDescent="0.25"/>
    <row r="124" ht="20.100000000000001" customHeight="1" x14ac:dyDescent="0.25"/>
    <row r="125" ht="20.100000000000001" customHeight="1" x14ac:dyDescent="0.25"/>
    <row r="126" ht="20.100000000000001" customHeight="1" x14ac:dyDescent="0.25"/>
    <row r="127" ht="20.100000000000001" customHeight="1" x14ac:dyDescent="0.25"/>
    <row r="128" ht="20.100000000000001" customHeight="1" x14ac:dyDescent="0.25"/>
    <row r="129" ht="20.100000000000001" customHeight="1" x14ac:dyDescent="0.25"/>
    <row r="130" ht="20.100000000000001" customHeight="1" x14ac:dyDescent="0.25"/>
    <row r="131" ht="20.100000000000001" customHeight="1" x14ac:dyDescent="0.25"/>
    <row r="132" ht="20.100000000000001" customHeight="1" x14ac:dyDescent="0.25"/>
    <row r="133" ht="20.100000000000001" customHeight="1" x14ac:dyDescent="0.25"/>
    <row r="134" ht="20.100000000000001" customHeight="1" x14ac:dyDescent="0.25"/>
    <row r="135" ht="20.100000000000001" customHeight="1" x14ac:dyDescent="0.25"/>
    <row r="136" ht="20.100000000000001" customHeight="1" x14ac:dyDescent="0.25"/>
    <row r="137" ht="20.100000000000001" customHeight="1" x14ac:dyDescent="0.25"/>
    <row r="138" ht="20.100000000000001" customHeight="1" x14ac:dyDescent="0.25"/>
    <row r="139" ht="20.100000000000001" customHeight="1" x14ac:dyDescent="0.25"/>
    <row r="140" ht="20.100000000000001" customHeight="1" x14ac:dyDescent="0.25"/>
    <row r="141" ht="20.100000000000001" customHeight="1" x14ac:dyDescent="0.25"/>
    <row r="142" ht="20.100000000000001" customHeight="1" x14ac:dyDescent="0.25"/>
    <row r="143" ht="20.100000000000001" customHeight="1" x14ac:dyDescent="0.25"/>
    <row r="144" ht="20.100000000000001" customHeight="1" x14ac:dyDescent="0.25"/>
    <row r="145" ht="20.100000000000001" customHeight="1" x14ac:dyDescent="0.25"/>
    <row r="146" ht="20.100000000000001" customHeight="1" x14ac:dyDescent="0.25"/>
    <row r="147" ht="20.100000000000001" customHeight="1" x14ac:dyDescent="0.25"/>
    <row r="148" ht="20.100000000000001" customHeight="1" x14ac:dyDescent="0.25"/>
    <row r="149" ht="20.100000000000001" customHeight="1" x14ac:dyDescent="0.25"/>
    <row r="150" ht="20.100000000000001" customHeight="1" x14ac:dyDescent="0.25"/>
    <row r="151" ht="20.100000000000001" customHeight="1" x14ac:dyDescent="0.25"/>
    <row r="152" ht="20.100000000000001" customHeight="1" x14ac:dyDescent="0.25"/>
    <row r="153" ht="20.100000000000001" customHeight="1" x14ac:dyDescent="0.25"/>
    <row r="154" ht="20.100000000000001" customHeight="1" x14ac:dyDescent="0.25"/>
    <row r="155" ht="20.100000000000001" customHeight="1" x14ac:dyDescent="0.25"/>
    <row r="156" ht="20.100000000000001" customHeight="1" x14ac:dyDescent="0.25"/>
    <row r="157" ht="20.100000000000001" customHeight="1" x14ac:dyDescent="0.25"/>
    <row r="158" ht="20.100000000000001" customHeight="1" x14ac:dyDescent="0.25"/>
    <row r="159" ht="20.100000000000001" customHeight="1" x14ac:dyDescent="0.25"/>
    <row r="160" ht="20.100000000000001" customHeight="1" x14ac:dyDescent="0.25"/>
    <row r="161" ht="20.100000000000001" customHeight="1" x14ac:dyDescent="0.25"/>
    <row r="162" ht="20.100000000000001" customHeight="1" x14ac:dyDescent="0.25"/>
    <row r="163" ht="20.100000000000001" customHeight="1" x14ac:dyDescent="0.25"/>
    <row r="164" ht="20.100000000000001" customHeight="1" x14ac:dyDescent="0.25"/>
    <row r="165" ht="20.100000000000001" customHeight="1" x14ac:dyDescent="0.25"/>
  </sheetData>
  <dataValidations count="1">
    <dataValidation operator="equal" allowBlank="1" showInputMessage="1" showErrorMessage="1" sqref="E23 E29 P23 P29 E49 P49" xr:uid="{41AE1C4A-D10F-453D-9EBD-FABAB69A8FB2}"/>
  </dataValidations>
  <pageMargins left="0.7" right="0.7" top="0.75" bottom="0.75" header="0.3" footer="0.3"/>
  <pageSetup paperSize="9" orientation="portrait" r:id="rId1"/>
  <drawing r:id="rId2"/>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3329EE4-6811-4EE3-BAA2-11924CEC7522}">
  <dimension ref="A1:W207"/>
  <sheetViews>
    <sheetView showGridLines="0" topLeftCell="A162" zoomScale="85" zoomScaleNormal="85" workbookViewId="0">
      <selection activeCell="A14" sqref="A14"/>
    </sheetView>
  </sheetViews>
  <sheetFormatPr defaultRowHeight="15.75" x14ac:dyDescent="0.25"/>
  <cols>
    <col min="1" max="1" width="30.7109375" customWidth="1"/>
    <col min="2" max="2" width="4.7109375" customWidth="1"/>
    <col min="3" max="3" width="4.7109375" style="1" customWidth="1"/>
    <col min="4" max="11" width="30.7109375" style="1" customWidth="1"/>
    <col min="12" max="12" width="4.7109375" style="1" customWidth="1"/>
    <col min="13" max="13" width="4.7109375" customWidth="1"/>
    <col min="14" max="14" width="4.7109375" style="1" customWidth="1"/>
    <col min="15" max="22" width="30.7109375" style="1" customWidth="1"/>
    <col min="23" max="23" width="4.7109375" style="1" customWidth="1"/>
  </cols>
  <sheetData>
    <row r="1" spans="1:23" s="8" customFormat="1" ht="30" customHeight="1" x14ac:dyDescent="0.35">
      <c r="A1" s="8" t="e" vm="1">
        <v>#VALUE!</v>
      </c>
      <c r="C1" s="8" t="s">
        <v>367</v>
      </c>
    </row>
    <row r="2" spans="1:23" s="9" customFormat="1" ht="20.100000000000001" customHeight="1" x14ac:dyDescent="0.25"/>
    <row r="3" spans="1:23" ht="20.100000000000001" customHeight="1" x14ac:dyDescent="0.25">
      <c r="A3" s="17" t="str">
        <f>HYPERLINK("#'Home'!A1", "Home")</f>
        <v>Home</v>
      </c>
      <c r="C3" s="4"/>
      <c r="D3" s="4" t="s">
        <v>123</v>
      </c>
      <c r="E3" s="4"/>
      <c r="F3" s="4"/>
      <c r="G3" s="4"/>
      <c r="H3" s="4"/>
      <c r="I3" s="4"/>
      <c r="J3" s="4"/>
      <c r="K3" s="4"/>
      <c r="L3" s="4"/>
      <c r="N3" s="4"/>
      <c r="O3" s="4" t="s">
        <v>124</v>
      </c>
      <c r="P3" s="4"/>
      <c r="Q3" s="4"/>
      <c r="R3" s="4"/>
      <c r="S3" s="4"/>
      <c r="T3" s="4"/>
      <c r="U3" s="4"/>
      <c r="V3" s="4"/>
      <c r="W3" s="4"/>
    </row>
    <row r="4" spans="1:23" ht="20.100000000000001" customHeight="1" x14ac:dyDescent="0.25">
      <c r="A4" s="17" t="str">
        <f>HYPERLINK("#'Results'!A1", "Results")</f>
        <v>Results</v>
      </c>
    </row>
    <row r="5" spans="1:23" ht="20.100000000000001" customHeight="1" x14ac:dyDescent="0.25">
      <c r="A5" s="16"/>
      <c r="D5" s="6" t="str" cm="1">
        <f t="array" ref="D5">MMS_Dairy_LeachingAndRunoff_Equations.VEERG_4_3_1_6__2_MassOfNitrogenLostToLeachingAndRunoffFromSolidStorage_Title()</f>
        <v>Mass of nitrogen lost to leaching and runoff from solid storage systems</v>
      </c>
    </row>
    <row r="6" spans="1:23" ht="20.100000000000001" customHeight="1" x14ac:dyDescent="0.25">
      <c r="A6" s="20" t="s">
        <v>3</v>
      </c>
      <c r="D6" s="5" t="str" cm="1">
        <f t="array" ref="D6">MMS_Dairy_LeachingAndRunoff_Equations.VEERG_4_3_1_6__2_MassOfNitrogenLostToLeachingAndRunoffFromSolidStorage_Source()</f>
        <v>VEERG 2026: 4.3.1.6, Equation (2)</v>
      </c>
    </row>
    <row r="7" spans="1:23" ht="20.100000000000001" customHeight="1" x14ac:dyDescent="0.25">
      <c r="A7" s="17" t="str">
        <f>HYPERLINK("#'Input - Site'!A1", "Site")</f>
        <v>Site</v>
      </c>
      <c r="D7" s="13" t="s">
        <v>28</v>
      </c>
      <c r="E7" s="13" t="str" cm="1">
        <f t="array" aca="1" ref="E7" ca="1">Common_InputFunctions.Utility_DisplayFunctionName($F$35)</f>
        <v>=MMS_Dairy_LeachingAndRunoff_Equations.VEERG_4_3_1_6__2_MassOfNitrogenLostToLeachingAndRunoffFromSolidStorage</v>
      </c>
    </row>
    <row r="8" spans="1:23" ht="20.100000000000001" customHeight="1" x14ac:dyDescent="0.25">
      <c r="A8" s="17" t="str">
        <f>HYPERLINK("#'Input - Dairy'!A1", "Dairy")</f>
        <v>Dairy</v>
      </c>
      <c r="G8" s="114" t="s">
        <v>353</v>
      </c>
    </row>
    <row r="9" spans="1:23" ht="20.100000000000001" customHeight="1" x14ac:dyDescent="0.25">
      <c r="A9" s="17"/>
    </row>
    <row r="10" spans="1:23" ht="20.100000000000001" customHeight="1" x14ac:dyDescent="0.25">
      <c r="A10" s="19" t="s">
        <v>78</v>
      </c>
      <c r="D10" s="56" t="s">
        <v>31</v>
      </c>
      <c r="E10" s="1" t="str" cm="1">
        <f t="array" ref="E10">MMS_Dairy_LeachingAndRunoff_Equations.VEERG_4_3_1_6__2_MassOfNitrogenLostToLeachingAndRunoffFromSolidStorage_Variable()</f>
        <v>MNLeach_jm4</v>
      </c>
    </row>
    <row r="11" spans="1:23" ht="20.100000000000001" customHeight="1" x14ac:dyDescent="0.25">
      <c r="A11" s="17" t="str">
        <f>HYPERLINK("#'4.3.1.1-2 Methane'!A1", "4.3.1.1-2 Methane")</f>
        <v>4.3.1.1-2 Methane</v>
      </c>
      <c r="D11" s="56" t="s">
        <v>21</v>
      </c>
      <c r="E11" s="57" t="str" cm="1">
        <f t="array" ref="E11">MMS_Dairy_LeachingAndRunoff_Equations.VEERG_4_3_1_6__2_MassOfNitrogenLostToLeachingAndRunoffFromSolidStorage_Unit()</f>
        <v>kg N</v>
      </c>
    </row>
    <row r="12" spans="1:23" ht="20.100000000000001" customHeight="1" x14ac:dyDescent="0.25">
      <c r="A12" s="17" t="str">
        <f>HYPERLINK("#'4.3.1.3-4 Direct N20'!A1", "4.3.1.3-4 Direct N2O")</f>
        <v>4.3.1.3-4 Direct N2O</v>
      </c>
    </row>
    <row r="13" spans="1:23" ht="20.100000000000001" customHeight="1" x14ac:dyDescent="0.25">
      <c r="A13" s="17" t="str">
        <f>HYPERLINK("#'4.3.1.5 Atmos Deposition'!A1", "4.3.1.5 Atmospheric deposition")</f>
        <v>4.3.1.5 Atmospheric deposition</v>
      </c>
      <c r="D13" s="143" t="str" cm="1">
        <f t="array" ref="D13:E18">MMS_Dairy_LeachingAndRunoff_Equations.VEERG_4_3_1_6__2_MassOfNitrogenLostToLeachingAndRunoffFromSolidStorage_Arguments()</f>
        <v>MN_jm4</v>
      </c>
      <c r="E13" s="61" t="str">
        <v>total nitrogen in solid storage system m=4 (kg N)</v>
      </c>
      <c r="F13" s="105"/>
      <c r="G13" s="62"/>
      <c r="H13" s="60" t="str">
        <f>"See " &amp; D20</f>
        <v>See M1_Table_MN_j_m</v>
      </c>
      <c r="I13" s="1" t="s">
        <v>376</v>
      </c>
    </row>
    <row r="14" spans="1:23" ht="20.100000000000001" customHeight="1" x14ac:dyDescent="0.25">
      <c r="A14" s="17" t="str">
        <f>HYPERLINK("#'4.3.1.6-7 Leaching and runoff'!A1", "4.3.1.6-7 Leaching and runoff")</f>
        <v>4.3.1.6-7 Leaching and runoff</v>
      </c>
      <c r="D14" s="60" t="str">
        <v>FracWET_i</v>
      </c>
      <c r="E14" s="61" t="str">
        <v>fraction of N that is available for leaching and runoff from the leaching zone z and irrigation type ir (dimensionless)</v>
      </c>
      <c r="F14" s="105"/>
      <c r="G14" s="62"/>
      <c r="H14" s="60">
        <f>Common_InputFunctions.CommonCropping_GetFracWET(H16,H18,#REF!,#REF!,Table_SourceData_FracWETIrrigation[Irrigation type i],Table_SourceData_FracWETIrrigation[FracWET])</f>
        <v>1</v>
      </c>
    </row>
    <row r="15" spans="1:23" ht="20.100000000000001" customHeight="1" x14ac:dyDescent="0.25">
      <c r="A15" s="22" t="str">
        <f>HYPERLINK("#'4.3.1.8 Manure applied to soils'!A1", "4.3.1.8 Manure applied to soils")</f>
        <v>4.3.1.8 Manure applied to soils</v>
      </c>
      <c r="D15" s="60" t="str">
        <v>FracLEACH_MS</v>
      </c>
      <c r="E15" s="61" t="str">
        <v>fraction of N that is lost through leaching and runoff (dimensionless)</v>
      </c>
      <c r="F15" s="105"/>
      <c r="G15" s="62"/>
      <c r="H15" s="60">
        <f>'Constants - Dairy'!$D$209</f>
        <v>0.02</v>
      </c>
    </row>
    <row r="16" spans="1:23" ht="20.100000000000001" customHeight="1" x14ac:dyDescent="0.25">
      <c r="A16" s="17" t="str">
        <f>HYPERLINK("#'4.3.1.9 Soil direct N2O'!A1", "4.3.1.9 Soil direct N2O")</f>
        <v>4.3.1.9 Soil direct N2O</v>
      </c>
      <c r="D16" s="60" t="str">
        <v>z</v>
      </c>
      <c r="E16" s="61" t="str">
        <v>location in leaching zone</v>
      </c>
      <c r="F16" s="105"/>
      <c r="G16" s="62"/>
      <c r="H16" s="60" t="str">
        <f>'Input - Site'!$E$23</f>
        <v>NO - Not in leaching zone</v>
      </c>
    </row>
    <row r="17" spans="1:22" ht="20.100000000000001" customHeight="1" x14ac:dyDescent="0.25">
      <c r="A17" s="17" t="str">
        <f>HYPERLINK("#'4.3.1.10-11 Soil Atmos Dep'!A1", "4.3.1.10-11 Soil atm. deposition")</f>
        <v>4.3.1.10-11 Soil atm. deposition</v>
      </c>
      <c r="D17" s="60" t="str">
        <v>j</v>
      </c>
      <c r="E17" s="61" t="str">
        <v>production system</v>
      </c>
      <c r="F17" s="105"/>
      <c r="G17" s="62"/>
      <c r="H17" s="60" t="str">
        <f>'Input - Dairy'!$E$183</f>
        <v>Pasture</v>
      </c>
    </row>
    <row r="18" spans="1:22" ht="20.100000000000001" customHeight="1" x14ac:dyDescent="0.25">
      <c r="A18" s="17" t="str">
        <f>HYPERLINK("#'4.3.1.12-13 Soil leach runoff'!A1", "4.3.1.12-13 Soil leach &amp; runoff")</f>
        <v>4.3.1.12-13 Soil leach &amp; runoff</v>
      </c>
      <c r="D18" s="60" t="str">
        <v>ir</v>
      </c>
      <c r="E18" s="61" t="str">
        <v>irrigation method</v>
      </c>
      <c r="F18" s="105"/>
      <c r="G18" s="62"/>
      <c r="H18" s="60" t="str">
        <f>'Input - Dairy'!$E$184</f>
        <v>Sprinkler irrigation</v>
      </c>
    </row>
    <row r="19" spans="1:22" ht="20.100000000000001" customHeight="1" x14ac:dyDescent="0.25">
      <c r="A19" s="17"/>
    </row>
    <row r="20" spans="1:22" ht="20.100000000000001" customHeight="1" x14ac:dyDescent="0.25">
      <c r="A20" s="18" t="s">
        <v>4</v>
      </c>
      <c r="D20" s="104" t="s">
        <v>335</v>
      </c>
      <c r="O20" s="104" t="s">
        <v>338</v>
      </c>
    </row>
    <row r="21" spans="1:22" ht="20.100000000000001" customHeight="1" x14ac:dyDescent="0.25">
      <c r="A21" s="17" t="str">
        <f>HYPERLINK("#'Constants - Dairy'!A1", "Constants - Dairy")</f>
        <v>Constants - Dairy</v>
      </c>
      <c r="D21" s="103" t="s">
        <v>336</v>
      </c>
      <c r="O21" s="103" t="s">
        <v>337</v>
      </c>
    </row>
    <row r="22" spans="1:22" ht="20.100000000000001" customHeight="1" x14ac:dyDescent="0.25">
      <c r="A22" s="17" t="str">
        <f>HYPERLINK("#'Constants - Livestock'!A1", "Constants - Livestock")</f>
        <v>Constants - Livestock</v>
      </c>
      <c r="D22" s="54" t="s">
        <v>159</v>
      </c>
      <c r="E22" s="54" t="s">
        <v>69</v>
      </c>
      <c r="F22" s="54" t="s">
        <v>186</v>
      </c>
      <c r="G22" s="54" t="s">
        <v>203</v>
      </c>
      <c r="H22" s="54" t="s">
        <v>204</v>
      </c>
      <c r="I22" s="54" t="s">
        <v>205</v>
      </c>
      <c r="J22" s="54" t="s">
        <v>206</v>
      </c>
      <c r="O22" s="54" t="s">
        <v>159</v>
      </c>
      <c r="P22" s="54" t="s">
        <v>69</v>
      </c>
      <c r="Q22" s="54" t="s">
        <v>186</v>
      </c>
      <c r="R22" s="54" t="s">
        <v>203</v>
      </c>
      <c r="S22" s="54" t="s">
        <v>204</v>
      </c>
      <c r="T22" s="54" t="s">
        <v>205</v>
      </c>
      <c r="U22" s="54" t="s">
        <v>206</v>
      </c>
    </row>
    <row r="23" spans="1:22" ht="20.100000000000001" customHeight="1" x14ac:dyDescent="0.25">
      <c r="A23" s="17" t="str">
        <f>HYPERLINK("#'Constants - Common'!A1", "Constants - Common")</f>
        <v>Constants - Common</v>
      </c>
      <c r="D23" s="55" t="str">
        <f>'Input - Dairy'!$D$54</f>
        <v>Milking shed</v>
      </c>
      <c r="E23" s="55" t="str">
        <f>'Input - Dairy'!$D$67</f>
        <v>Anaerobic lagoon</v>
      </c>
      <c r="F23" s="55">
        <f>'4.3.1.3-4 Direct N20'!$F$236</f>
        <v>212.24813314524795</v>
      </c>
      <c r="G23" s="55">
        <f>'4.3.1.3-4 Direct N20'!$G$236</f>
        <v>182.35790267782079</v>
      </c>
      <c r="H23" s="55">
        <f>'4.3.1.3-4 Direct N20'!$H$236</f>
        <v>72.631224123843424</v>
      </c>
      <c r="I23" s="55">
        <f>'4.3.1.3-4 Direct N20'!$I$236</f>
        <v>229.23109573986844</v>
      </c>
      <c r="J23" s="55">
        <f>'4.3.1.3-4 Direct N20'!$J$236</f>
        <v>95.962857079055411</v>
      </c>
      <c r="K23" s="2" t="s">
        <v>135</v>
      </c>
      <c r="O23" s="55" t="str">
        <f>'Input - Dairy'!$D$54</f>
        <v>Milking shed</v>
      </c>
      <c r="P23" s="55" t="str">
        <f>'Input - Dairy'!$D$67</f>
        <v>Anaerobic lagoon</v>
      </c>
      <c r="Q23" s="55">
        <f>'4.3.1.3-4 Direct N20'!$P$236</f>
        <v>212.24813314524795</v>
      </c>
      <c r="R23" s="55">
        <f>'4.3.1.3-4 Direct N20'!$Q$236</f>
        <v>182.35790267782079</v>
      </c>
      <c r="S23" s="55">
        <f>'4.3.1.3-4 Direct N20'!$R$236</f>
        <v>72.631224123843424</v>
      </c>
      <c r="T23" s="55">
        <f>'4.3.1.3-4 Direct N20'!$S$236</f>
        <v>229.23109573986844</v>
      </c>
      <c r="U23" s="55">
        <f>'4.3.1.3-4 Direct N20'!$T$236</f>
        <v>95.962857079055411</v>
      </c>
      <c r="V23" s="2" t="s">
        <v>135</v>
      </c>
    </row>
    <row r="24" spans="1:22" ht="20.100000000000001" customHeight="1" x14ac:dyDescent="0.25">
      <c r="A24" s="17" t="str">
        <f>HYPERLINK("#'Acknowledgements'!A1", "Acknowledgements")</f>
        <v>Acknowledgements</v>
      </c>
      <c r="D24" s="55" t="str">
        <f>'Input - Dairy'!$D$54</f>
        <v>Milking shed</v>
      </c>
      <c r="E24" s="55" t="str">
        <f>'Input - Dairy'!$D$72</f>
        <v>Sump and dispersal system</v>
      </c>
      <c r="F24" s="55">
        <f>'4.3.1.3-4 Direct N20'!$F$237</f>
        <v>212.24813314524795</v>
      </c>
      <c r="G24" s="55">
        <f>'4.3.1.3-4 Direct N20'!$G$237</f>
        <v>182.35790267782079</v>
      </c>
      <c r="H24" s="55">
        <f>'4.3.1.3-4 Direct N20'!$H$237</f>
        <v>72.631224123843424</v>
      </c>
      <c r="I24" s="55">
        <f>'4.3.1.3-4 Direct N20'!$I$237</f>
        <v>229.23109573986844</v>
      </c>
      <c r="J24" s="55">
        <f>'4.3.1.3-4 Direct N20'!$J$237</f>
        <v>95.962857079055411</v>
      </c>
      <c r="K24" s="2" t="s">
        <v>135</v>
      </c>
      <c r="O24" s="55" t="str">
        <f>'Input - Dairy'!$D$54</f>
        <v>Milking shed</v>
      </c>
      <c r="P24" s="55" t="str">
        <f>'Input - Dairy'!$D$72</f>
        <v>Sump and dispersal system</v>
      </c>
      <c r="Q24" s="55">
        <f>'4.3.1.3-4 Direct N20'!$P$237</f>
        <v>212.24813314524795</v>
      </c>
      <c r="R24" s="55">
        <f>'4.3.1.3-4 Direct N20'!$Q$237</f>
        <v>182.35790267782079</v>
      </c>
      <c r="S24" s="55">
        <f>'4.3.1.3-4 Direct N20'!$R$237</f>
        <v>72.631224123843424</v>
      </c>
      <c r="T24" s="55">
        <f>'4.3.1.3-4 Direct N20'!$S$237</f>
        <v>229.23109573986844</v>
      </c>
      <c r="U24" s="55">
        <f>'4.3.1.3-4 Direct N20'!$T$237</f>
        <v>95.962857079055411</v>
      </c>
      <c r="V24" s="2" t="s">
        <v>135</v>
      </c>
    </row>
    <row r="25" spans="1:22" ht="20.100000000000001" customHeight="1" x14ac:dyDescent="0.25">
      <c r="D25" s="55" t="str">
        <f>'Input - Dairy'!$D$54</f>
        <v>Milking shed</v>
      </c>
      <c r="E25" s="55" t="str">
        <f>'Input - Dairy'!$D$77</f>
        <v>Drains to paddock</v>
      </c>
      <c r="F25" s="55">
        <f>'4.3.1.3-4 Direct N20'!$F$238</f>
        <v>212.24813314524795</v>
      </c>
      <c r="G25" s="55">
        <f>'4.3.1.3-4 Direct N20'!$G$238</f>
        <v>182.35790267782079</v>
      </c>
      <c r="H25" s="55">
        <f>'4.3.1.3-4 Direct N20'!$H$238</f>
        <v>72.631224123843424</v>
      </c>
      <c r="I25" s="55">
        <f>'4.3.1.3-4 Direct N20'!$I$238</f>
        <v>229.23109573986844</v>
      </c>
      <c r="J25" s="55">
        <f>'4.3.1.3-4 Direct N20'!$J$238</f>
        <v>95.962857079055411</v>
      </c>
      <c r="K25" s="2" t="s">
        <v>135</v>
      </c>
      <c r="O25" s="55" t="str">
        <f>'Input - Dairy'!$D$54</f>
        <v>Milking shed</v>
      </c>
      <c r="P25" s="55" t="str">
        <f>'Input - Dairy'!$D$77</f>
        <v>Drains to paddock</v>
      </c>
      <c r="Q25" s="55">
        <f>'4.3.1.3-4 Direct N20'!$P$238</f>
        <v>212.24813314524795</v>
      </c>
      <c r="R25" s="55">
        <f>'4.3.1.3-4 Direct N20'!$Q$238</f>
        <v>182.35790267782079</v>
      </c>
      <c r="S25" s="55">
        <f>'4.3.1.3-4 Direct N20'!$R$238</f>
        <v>72.631224123843424</v>
      </c>
      <c r="T25" s="55">
        <f>'4.3.1.3-4 Direct N20'!$S$238</f>
        <v>229.23109573986844</v>
      </c>
      <c r="U25" s="55">
        <f>'4.3.1.3-4 Direct N20'!$T$238</f>
        <v>95.962857079055411</v>
      </c>
      <c r="V25" s="2" t="s">
        <v>135</v>
      </c>
    </row>
    <row r="26" spans="1:22" ht="20.100000000000001" customHeight="1" x14ac:dyDescent="0.25">
      <c r="D26" s="55" t="str">
        <f>'Input - Dairy'!$D$54</f>
        <v>Milking shed</v>
      </c>
      <c r="E26" s="55" t="str">
        <f>'Input - Dairy'!$D$82</f>
        <v>Solid storage</v>
      </c>
      <c r="F26" s="55">
        <f>'4.3.1.3-4 Direct N20'!$F$239</f>
        <v>424.49626629049584</v>
      </c>
      <c r="G26" s="55">
        <f>'4.3.1.3-4 Direct N20'!$G$239</f>
        <v>364.71580535564152</v>
      </c>
      <c r="H26" s="55">
        <f>'4.3.1.3-4 Direct N20'!$H$239</f>
        <v>145.26244824768682</v>
      </c>
      <c r="I26" s="55">
        <f>'4.3.1.3-4 Direct N20'!$I$239</f>
        <v>458.46219147973682</v>
      </c>
      <c r="J26" s="55">
        <f>'4.3.1.3-4 Direct N20'!$J$239</f>
        <v>191.92571415811079</v>
      </c>
      <c r="K26" s="2" t="s">
        <v>135</v>
      </c>
      <c r="O26" s="55" t="str">
        <f>'Input - Dairy'!$D$54</f>
        <v>Milking shed</v>
      </c>
      <c r="P26" s="55" t="str">
        <f>'Input - Dairy'!$D$82</f>
        <v>Solid storage</v>
      </c>
      <c r="Q26" s="55">
        <f>'4.3.1.3-4 Direct N20'!$P$239</f>
        <v>424.49626629049584</v>
      </c>
      <c r="R26" s="55">
        <f>'4.3.1.3-4 Direct N20'!$Q$239</f>
        <v>364.71580535564152</v>
      </c>
      <c r="S26" s="55">
        <f>'4.3.1.3-4 Direct N20'!$R$239</f>
        <v>145.26244824768682</v>
      </c>
      <c r="T26" s="55">
        <f>'4.3.1.3-4 Direct N20'!$S$239</f>
        <v>458.46219147973682</v>
      </c>
      <c r="U26" s="55">
        <f>'4.3.1.3-4 Direct N20'!$T$239</f>
        <v>191.92571415811079</v>
      </c>
      <c r="V26" s="2" t="s">
        <v>135</v>
      </c>
    </row>
    <row r="27" spans="1:22" ht="20.100000000000001" customHeight="1" x14ac:dyDescent="0.25">
      <c r="D27" s="55" t="str">
        <f>'Input - Dairy'!$D$55</f>
        <v>Feed pad</v>
      </c>
      <c r="E27" s="55" t="str">
        <f>'Input - Dairy'!$D$101</f>
        <v>Anaerobic lagoon</v>
      </c>
      <c r="F27" s="55">
        <f>'4.3.1.3-4 Direct N20'!$F$240</f>
        <v>858.64017499668478</v>
      </c>
      <c r="G27" s="55">
        <f>'4.3.1.3-4 Direct N20'!$G$240</f>
        <v>737.72060628754764</v>
      </c>
      <c r="H27" s="55">
        <f>'4.3.1.3-4 Direct N20'!$H$240</f>
        <v>293.82631577373019</v>
      </c>
      <c r="I27" s="55">
        <f>'4.3.1.3-4 Direct N20'!$I$240</f>
        <v>927.34397822037681</v>
      </c>
      <c r="J27" s="55">
        <f>'4.3.1.3-4 Direct N20'!$J$240</f>
        <v>388.21337636526954</v>
      </c>
      <c r="K27" s="2" t="s">
        <v>135</v>
      </c>
      <c r="O27" s="55" t="str">
        <f>'Input - Dairy'!$D$55</f>
        <v>Feed pad</v>
      </c>
      <c r="P27" s="55" t="str">
        <f>'Input - Dairy'!$D$101</f>
        <v>Anaerobic lagoon</v>
      </c>
      <c r="Q27" s="55">
        <f>'4.3.1.3-4 Direct N20'!$P$240</f>
        <v>858.64017499668478</v>
      </c>
      <c r="R27" s="55">
        <f>'4.3.1.3-4 Direct N20'!$Q$240</f>
        <v>737.72060628754764</v>
      </c>
      <c r="S27" s="55">
        <f>'4.3.1.3-4 Direct N20'!$R$240</f>
        <v>293.82631577373019</v>
      </c>
      <c r="T27" s="55">
        <f>'4.3.1.3-4 Direct N20'!$S$240</f>
        <v>927.34397822037681</v>
      </c>
      <c r="U27" s="55">
        <f>'4.3.1.3-4 Direct N20'!$T$240</f>
        <v>388.21337636526954</v>
      </c>
      <c r="V27" s="2" t="s">
        <v>135</v>
      </c>
    </row>
    <row r="28" spans="1:22" ht="20.100000000000001" customHeight="1" x14ac:dyDescent="0.25">
      <c r="D28" s="55" t="str">
        <f>'Input - Dairy'!$D$55</f>
        <v>Feed pad</v>
      </c>
      <c r="E28" s="55" t="str">
        <f>'Input - Dairy'!$D$106</f>
        <v>Sump and dispersal system</v>
      </c>
      <c r="F28" s="55">
        <f>'4.3.1.3-4 Direct N20'!$F$241</f>
        <v>686.91213999734782</v>
      </c>
      <c r="G28" s="55">
        <f>'4.3.1.3-4 Direct N20'!$G$241</f>
        <v>590.17648503003818</v>
      </c>
      <c r="H28" s="55">
        <f>'4.3.1.3-4 Direct N20'!$H$241</f>
        <v>235.06105261898415</v>
      </c>
      <c r="I28" s="55">
        <f>'4.3.1.3-4 Direct N20'!$I$241</f>
        <v>741.87518257630143</v>
      </c>
      <c r="J28" s="55">
        <f>'4.3.1.3-4 Direct N20'!$J$241</f>
        <v>310.57070109221564</v>
      </c>
      <c r="K28" s="2" t="s">
        <v>135</v>
      </c>
      <c r="O28" s="55" t="str">
        <f>'Input - Dairy'!$D$55</f>
        <v>Feed pad</v>
      </c>
      <c r="P28" s="55" t="str">
        <f>'Input - Dairy'!$D$106</f>
        <v>Sump and dispersal system</v>
      </c>
      <c r="Q28" s="55">
        <f>'4.3.1.3-4 Direct N20'!$P$241</f>
        <v>686.91213999734782</v>
      </c>
      <c r="R28" s="55">
        <f>'4.3.1.3-4 Direct N20'!$Q$241</f>
        <v>590.17648503003818</v>
      </c>
      <c r="S28" s="55">
        <f>'4.3.1.3-4 Direct N20'!$R$241</f>
        <v>235.06105261898415</v>
      </c>
      <c r="T28" s="55">
        <f>'4.3.1.3-4 Direct N20'!$S$241</f>
        <v>741.87518257630143</v>
      </c>
      <c r="U28" s="55">
        <f>'4.3.1.3-4 Direct N20'!$T$241</f>
        <v>310.57070109221564</v>
      </c>
      <c r="V28" s="2" t="s">
        <v>135</v>
      </c>
    </row>
    <row r="29" spans="1:22" ht="20.100000000000001" customHeight="1" x14ac:dyDescent="0.25">
      <c r="D29" s="55" t="str">
        <f>'Input - Dairy'!$D$55</f>
        <v>Feed pad</v>
      </c>
      <c r="E29" s="55" t="str">
        <f>'Input - Dairy'!$D$111</f>
        <v>Drains to paddock</v>
      </c>
      <c r="F29" s="55">
        <f>'4.3.1.3-4 Direct N20'!$F$242</f>
        <v>686.91213999734782</v>
      </c>
      <c r="G29" s="55">
        <f>'4.3.1.3-4 Direct N20'!$G$242</f>
        <v>590.17648503003818</v>
      </c>
      <c r="H29" s="55">
        <f>'4.3.1.3-4 Direct N20'!$H$242</f>
        <v>235.06105261898415</v>
      </c>
      <c r="I29" s="55">
        <f>'4.3.1.3-4 Direct N20'!$I$242</f>
        <v>741.87518257630143</v>
      </c>
      <c r="J29" s="55">
        <f>'4.3.1.3-4 Direct N20'!$J$242</f>
        <v>310.57070109221564</v>
      </c>
      <c r="K29" s="2" t="s">
        <v>135</v>
      </c>
      <c r="O29" s="55" t="str">
        <f>'Input - Dairy'!$D$55</f>
        <v>Feed pad</v>
      </c>
      <c r="P29" s="55" t="str">
        <f>'Input - Dairy'!$D$111</f>
        <v>Drains to paddock</v>
      </c>
      <c r="Q29" s="55">
        <f>'4.3.1.3-4 Direct N20'!$P$242</f>
        <v>686.91213999734782</v>
      </c>
      <c r="R29" s="55">
        <f>'4.3.1.3-4 Direct N20'!$Q$242</f>
        <v>590.17648503003818</v>
      </c>
      <c r="S29" s="55">
        <f>'4.3.1.3-4 Direct N20'!$R$242</f>
        <v>235.06105261898415</v>
      </c>
      <c r="T29" s="55">
        <f>'4.3.1.3-4 Direct N20'!$S$242</f>
        <v>741.87518257630143</v>
      </c>
      <c r="U29" s="55">
        <f>'4.3.1.3-4 Direct N20'!$T$242</f>
        <v>310.57070109221564</v>
      </c>
      <c r="V29" s="2" t="s">
        <v>135</v>
      </c>
    </row>
    <row r="30" spans="1:22" ht="20.100000000000001" customHeight="1" x14ac:dyDescent="0.25">
      <c r="D30" s="55" t="str">
        <f>'Input - Dairy'!$D$55</f>
        <v>Feed pad</v>
      </c>
      <c r="E30" s="55" t="str">
        <f>'Input - Dairy'!$D$116</f>
        <v>Solid storage</v>
      </c>
      <c r="F30" s="55">
        <f>'4.3.1.3-4 Direct N20'!$F$243</f>
        <v>1202.0962449953586</v>
      </c>
      <c r="G30" s="55">
        <f>'4.3.1.3-4 Direct N20'!$G$243</f>
        <v>1032.8088488025667</v>
      </c>
      <c r="H30" s="55">
        <f>'4.3.1.3-4 Direct N20'!$H$243</f>
        <v>411.35684208322226</v>
      </c>
      <c r="I30" s="55">
        <f>'4.3.1.3-4 Direct N20'!$I$243</f>
        <v>1298.2815695085274</v>
      </c>
      <c r="J30" s="55">
        <f>'4.3.1.3-4 Direct N20'!$J$243</f>
        <v>543.49872691137739</v>
      </c>
      <c r="K30" s="2" t="s">
        <v>135</v>
      </c>
      <c r="O30" s="55" t="str">
        <f>'Input - Dairy'!$D$55</f>
        <v>Feed pad</v>
      </c>
      <c r="P30" s="55" t="str">
        <f>'Input - Dairy'!$D$116</f>
        <v>Solid storage</v>
      </c>
      <c r="Q30" s="55">
        <f>'4.3.1.3-4 Direct N20'!$P$243</f>
        <v>1202.0962449953586</v>
      </c>
      <c r="R30" s="55">
        <f>'4.3.1.3-4 Direct N20'!$Q$243</f>
        <v>1032.8088488025667</v>
      </c>
      <c r="S30" s="55">
        <f>'4.3.1.3-4 Direct N20'!$R$243</f>
        <v>411.35684208322226</v>
      </c>
      <c r="T30" s="55">
        <f>'4.3.1.3-4 Direct N20'!$S$243</f>
        <v>1298.2815695085274</v>
      </c>
      <c r="U30" s="55">
        <f>'4.3.1.3-4 Direct N20'!$T$243</f>
        <v>543.49872691137739</v>
      </c>
      <c r="V30" s="2" t="s">
        <v>135</v>
      </c>
    </row>
    <row r="31" spans="1:22" ht="20.100000000000001" customHeight="1" x14ac:dyDescent="0.25"/>
    <row r="32" spans="1:22" ht="20.100000000000001" customHeight="1" x14ac:dyDescent="0.25">
      <c r="D32" s="104" t="s">
        <v>369</v>
      </c>
      <c r="O32" s="104" t="s">
        <v>370</v>
      </c>
    </row>
    <row r="33" spans="3:23" ht="20.100000000000001" customHeight="1" x14ac:dyDescent="0.25">
      <c r="D33" s="103" t="s">
        <v>372</v>
      </c>
      <c r="O33" s="103" t="s">
        <v>371</v>
      </c>
    </row>
    <row r="34" spans="3:23" ht="20.100000000000001" customHeight="1" x14ac:dyDescent="0.25">
      <c r="D34" s="54" t="s">
        <v>159</v>
      </c>
      <c r="E34" s="54" t="s">
        <v>69</v>
      </c>
      <c r="F34" s="54" t="s">
        <v>186</v>
      </c>
      <c r="G34" s="54" t="s">
        <v>203</v>
      </c>
      <c r="H34" s="54" t="s">
        <v>204</v>
      </c>
      <c r="I34" s="54" t="s">
        <v>205</v>
      </c>
      <c r="J34" s="54" t="s">
        <v>206</v>
      </c>
      <c r="O34" s="54" t="s">
        <v>159</v>
      </c>
      <c r="P34" s="54" t="s">
        <v>69</v>
      </c>
      <c r="Q34" s="54" t="s">
        <v>186</v>
      </c>
      <c r="R34" s="54" t="s">
        <v>203</v>
      </c>
      <c r="S34" s="54" t="s">
        <v>204</v>
      </c>
      <c r="T34" s="54" t="s">
        <v>205</v>
      </c>
      <c r="U34" s="54" t="s">
        <v>206</v>
      </c>
    </row>
    <row r="35" spans="3:23" ht="20.100000000000001" customHeight="1" x14ac:dyDescent="0.25">
      <c r="D35" s="55" t="str">
        <f>'Input - Dairy'!$D$54</f>
        <v>Milking shed</v>
      </c>
      <c r="E35" s="55" t="str">
        <f>'Input - Dairy'!$D$67</f>
        <v>Anaerobic lagoon</v>
      </c>
      <c r="F35" s="55" cm="1">
        <f t="array" ref="F35">MMS_Dairy_LeachingAndRunoff_Equations.VEERG_4_3_1_6__2_MassOfNitrogenLostToLeachingAndRunoffFromSolidStorage(F23,$H$14,$H$15)</f>
        <v>4.2449626629049586</v>
      </c>
      <c r="G35" s="55" cm="1">
        <f t="array" ref="G35">MMS_Dairy_LeachingAndRunoff_Equations.VEERG_4_3_1_6__2_MassOfNitrogenLostToLeachingAndRunoffFromSolidStorage(G23,$H$14,$H$15)</f>
        <v>3.6471580535564159</v>
      </c>
      <c r="H35" s="55" cm="1">
        <f t="array" ref="H35">MMS_Dairy_LeachingAndRunoff_Equations.VEERG_4_3_1_6__2_MassOfNitrogenLostToLeachingAndRunoffFromSolidStorage(H23,$H$14,$H$15)</f>
        <v>1.4526244824768686</v>
      </c>
      <c r="I35" s="55" cm="1">
        <f t="array" ref="I35">MMS_Dairy_LeachingAndRunoff_Equations.VEERG_4_3_1_6__2_MassOfNitrogenLostToLeachingAndRunoffFromSolidStorage(I23,$H$14,$H$15)</f>
        <v>4.5846219147973688</v>
      </c>
      <c r="J35" s="55" cm="1">
        <f t="array" ref="J35">MMS_Dairy_LeachingAndRunoff_Equations.VEERG_4_3_1_6__2_MassOfNitrogenLostToLeachingAndRunoffFromSolidStorage(J23,$H$14,$H$15)</f>
        <v>1.9192571415811082</v>
      </c>
      <c r="K35" s="2" t="str">
        <f>$E$11</f>
        <v>kg N</v>
      </c>
      <c r="O35" s="55" t="str">
        <f>'Input - Dairy'!$D$54</f>
        <v>Milking shed</v>
      </c>
      <c r="P35" s="55" t="str">
        <f>'Input - Dairy'!$D$67</f>
        <v>Anaerobic lagoon</v>
      </c>
      <c r="Q35" s="55" cm="1">
        <f t="array" ref="Q35">MMS_Dairy_LeachingAndRunoff_Equations.VEERG_4_3_1_6__2_MassOfNitrogenLostToLeachingAndRunoffFromSolidStorage(Q23,$H$14,$H$15)</f>
        <v>4.2449626629049586</v>
      </c>
      <c r="R35" s="55" cm="1">
        <f t="array" ref="R35">MMS_Dairy_LeachingAndRunoff_Equations.VEERG_4_3_1_6__2_MassOfNitrogenLostToLeachingAndRunoffFromSolidStorage(R23,$H$14,$H$15)</f>
        <v>3.6471580535564159</v>
      </c>
      <c r="S35" s="55" cm="1">
        <f t="array" ref="S35">MMS_Dairy_LeachingAndRunoff_Equations.VEERG_4_3_1_6__2_MassOfNitrogenLostToLeachingAndRunoffFromSolidStorage(S23,$H$14,$H$15)</f>
        <v>1.4526244824768686</v>
      </c>
      <c r="T35" s="55" cm="1">
        <f t="array" ref="T35">MMS_Dairy_LeachingAndRunoff_Equations.VEERG_4_3_1_6__2_MassOfNitrogenLostToLeachingAndRunoffFromSolidStorage(T23,$H$14,$H$15)</f>
        <v>4.5846219147973688</v>
      </c>
      <c r="U35" s="55" cm="1">
        <f t="array" ref="U35">MMS_Dairy_LeachingAndRunoff_Equations.VEERG_4_3_1_6__2_MassOfNitrogenLostToLeachingAndRunoffFromSolidStorage(U23,$H$14,$H$15)</f>
        <v>1.9192571415811082</v>
      </c>
      <c r="V35" s="2" t="str">
        <f>$E$11</f>
        <v>kg N</v>
      </c>
    </row>
    <row r="36" spans="3:23" ht="20.100000000000001" customHeight="1" x14ac:dyDescent="0.25">
      <c r="D36" s="55" t="str">
        <f>'Input - Dairy'!$D$54</f>
        <v>Milking shed</v>
      </c>
      <c r="E36" s="55" t="str">
        <f>'Input - Dairy'!$D$72</f>
        <v>Sump and dispersal system</v>
      </c>
      <c r="F36" s="55" cm="1">
        <f t="array" ref="F36">MMS_Dairy_LeachingAndRunoff_Equations.VEERG_4_3_1_6__2_MassOfNitrogenLostToLeachingAndRunoffFromSolidStorage(F24,$H$14,$H$15)</f>
        <v>4.2449626629049586</v>
      </c>
      <c r="G36" s="55" cm="1">
        <f t="array" ref="G36">MMS_Dairy_LeachingAndRunoff_Equations.VEERG_4_3_1_6__2_MassOfNitrogenLostToLeachingAndRunoffFromSolidStorage(G24,$H$14,$H$15)</f>
        <v>3.6471580535564159</v>
      </c>
      <c r="H36" s="55" cm="1">
        <f t="array" ref="H36">MMS_Dairy_LeachingAndRunoff_Equations.VEERG_4_3_1_6__2_MassOfNitrogenLostToLeachingAndRunoffFromSolidStorage(H24,$H$14,$H$15)</f>
        <v>1.4526244824768686</v>
      </c>
      <c r="I36" s="55" cm="1">
        <f t="array" ref="I36">MMS_Dairy_LeachingAndRunoff_Equations.VEERG_4_3_1_6__2_MassOfNitrogenLostToLeachingAndRunoffFromSolidStorage(I24,$H$14,$H$15)</f>
        <v>4.5846219147973688</v>
      </c>
      <c r="J36" s="55" cm="1">
        <f t="array" ref="J36">MMS_Dairy_LeachingAndRunoff_Equations.VEERG_4_3_1_6__2_MassOfNitrogenLostToLeachingAndRunoffFromSolidStorage(J24,$H$14,$H$15)</f>
        <v>1.9192571415811082</v>
      </c>
      <c r="K36" s="2" t="str">
        <f t="shared" ref="K36:K42" si="0">$E$11</f>
        <v>kg N</v>
      </c>
      <c r="O36" s="55" t="str">
        <f>'Input - Dairy'!$D$54</f>
        <v>Milking shed</v>
      </c>
      <c r="P36" s="55" t="str">
        <f>'Input - Dairy'!$D$72</f>
        <v>Sump and dispersal system</v>
      </c>
      <c r="Q36" s="55" cm="1">
        <f t="array" ref="Q36">MMS_Dairy_LeachingAndRunoff_Equations.VEERG_4_3_1_6__2_MassOfNitrogenLostToLeachingAndRunoffFromSolidStorage(Q24,$H$14,$H$15)</f>
        <v>4.2449626629049586</v>
      </c>
      <c r="R36" s="55" cm="1">
        <f t="array" ref="R36">MMS_Dairy_LeachingAndRunoff_Equations.VEERG_4_3_1_6__2_MassOfNitrogenLostToLeachingAndRunoffFromSolidStorage(R24,$H$14,$H$15)</f>
        <v>3.6471580535564159</v>
      </c>
      <c r="S36" s="55" cm="1">
        <f t="array" ref="S36">MMS_Dairy_LeachingAndRunoff_Equations.VEERG_4_3_1_6__2_MassOfNitrogenLostToLeachingAndRunoffFromSolidStorage(S24,$H$14,$H$15)</f>
        <v>1.4526244824768686</v>
      </c>
      <c r="T36" s="55" cm="1">
        <f t="array" ref="T36">MMS_Dairy_LeachingAndRunoff_Equations.VEERG_4_3_1_6__2_MassOfNitrogenLostToLeachingAndRunoffFromSolidStorage(T24,$H$14,$H$15)</f>
        <v>4.5846219147973688</v>
      </c>
      <c r="U36" s="55" cm="1">
        <f t="array" ref="U36">MMS_Dairy_LeachingAndRunoff_Equations.VEERG_4_3_1_6__2_MassOfNitrogenLostToLeachingAndRunoffFromSolidStorage(U24,$H$14,$H$15)</f>
        <v>1.9192571415811082</v>
      </c>
      <c r="V36" s="2" t="str">
        <f t="shared" ref="V36:V42" si="1">$E$11</f>
        <v>kg N</v>
      </c>
    </row>
    <row r="37" spans="3:23" ht="20.100000000000001" customHeight="1" x14ac:dyDescent="0.25">
      <c r="D37" s="55" t="str">
        <f>'Input - Dairy'!$D$54</f>
        <v>Milking shed</v>
      </c>
      <c r="E37" s="55" t="str">
        <f>'Input - Dairy'!$D$77</f>
        <v>Drains to paddock</v>
      </c>
      <c r="F37" s="55" cm="1">
        <f t="array" ref="F37">MMS_Dairy_LeachingAndRunoff_Equations.VEERG_4_3_1_6__2_MassOfNitrogenLostToLeachingAndRunoffFromSolidStorage(F25,$H$14,$H$15)</f>
        <v>4.2449626629049586</v>
      </c>
      <c r="G37" s="55" cm="1">
        <f t="array" ref="G37">MMS_Dairy_LeachingAndRunoff_Equations.VEERG_4_3_1_6__2_MassOfNitrogenLostToLeachingAndRunoffFromSolidStorage(G25,$H$14,$H$15)</f>
        <v>3.6471580535564159</v>
      </c>
      <c r="H37" s="55" cm="1">
        <f t="array" ref="H37">MMS_Dairy_LeachingAndRunoff_Equations.VEERG_4_3_1_6__2_MassOfNitrogenLostToLeachingAndRunoffFromSolidStorage(H25,$H$14,$H$15)</f>
        <v>1.4526244824768686</v>
      </c>
      <c r="I37" s="55" cm="1">
        <f t="array" ref="I37">MMS_Dairy_LeachingAndRunoff_Equations.VEERG_4_3_1_6__2_MassOfNitrogenLostToLeachingAndRunoffFromSolidStorage(I25,$H$14,$H$15)</f>
        <v>4.5846219147973688</v>
      </c>
      <c r="J37" s="55" cm="1">
        <f t="array" ref="J37">MMS_Dairy_LeachingAndRunoff_Equations.VEERG_4_3_1_6__2_MassOfNitrogenLostToLeachingAndRunoffFromSolidStorage(J25,$H$14,$H$15)</f>
        <v>1.9192571415811082</v>
      </c>
      <c r="K37" s="2" t="str">
        <f t="shared" si="0"/>
        <v>kg N</v>
      </c>
      <c r="O37" s="55" t="str">
        <f>'Input - Dairy'!$D$54</f>
        <v>Milking shed</v>
      </c>
      <c r="P37" s="55" t="str">
        <f>'Input - Dairy'!$D$77</f>
        <v>Drains to paddock</v>
      </c>
      <c r="Q37" s="55" cm="1">
        <f t="array" ref="Q37">MMS_Dairy_LeachingAndRunoff_Equations.VEERG_4_3_1_6__2_MassOfNitrogenLostToLeachingAndRunoffFromSolidStorage(Q25,$H$14,$H$15)</f>
        <v>4.2449626629049586</v>
      </c>
      <c r="R37" s="55" cm="1">
        <f t="array" ref="R37">MMS_Dairy_LeachingAndRunoff_Equations.VEERG_4_3_1_6__2_MassOfNitrogenLostToLeachingAndRunoffFromSolidStorage(R25,$H$14,$H$15)</f>
        <v>3.6471580535564159</v>
      </c>
      <c r="S37" s="55" cm="1">
        <f t="array" ref="S37">MMS_Dairy_LeachingAndRunoff_Equations.VEERG_4_3_1_6__2_MassOfNitrogenLostToLeachingAndRunoffFromSolidStorage(S25,$H$14,$H$15)</f>
        <v>1.4526244824768686</v>
      </c>
      <c r="T37" s="55" cm="1">
        <f t="array" ref="T37">MMS_Dairy_LeachingAndRunoff_Equations.VEERG_4_3_1_6__2_MassOfNitrogenLostToLeachingAndRunoffFromSolidStorage(T25,$H$14,$H$15)</f>
        <v>4.5846219147973688</v>
      </c>
      <c r="U37" s="55" cm="1">
        <f t="array" ref="U37">MMS_Dairy_LeachingAndRunoff_Equations.VEERG_4_3_1_6__2_MassOfNitrogenLostToLeachingAndRunoffFromSolidStorage(U25,$H$14,$H$15)</f>
        <v>1.9192571415811082</v>
      </c>
      <c r="V37" s="2" t="str">
        <f t="shared" si="1"/>
        <v>kg N</v>
      </c>
    </row>
    <row r="38" spans="3:23" ht="20.100000000000001" customHeight="1" x14ac:dyDescent="0.25">
      <c r="D38" s="55" t="str">
        <f>'Input - Dairy'!$D$54</f>
        <v>Milking shed</v>
      </c>
      <c r="E38" s="55" t="str">
        <f>'Input - Dairy'!$D$82</f>
        <v>Solid storage</v>
      </c>
      <c r="F38" s="55" cm="1">
        <f t="array" ref="F38">MMS_Dairy_LeachingAndRunoff_Equations.VEERG_4_3_1_6__2_MassOfNitrogenLostToLeachingAndRunoffFromSolidStorage(F26,$H$14,$H$15)</f>
        <v>8.4899253258099172</v>
      </c>
      <c r="G38" s="55" cm="1">
        <f t="array" ref="G38">MMS_Dairy_LeachingAndRunoff_Equations.VEERG_4_3_1_6__2_MassOfNitrogenLostToLeachingAndRunoffFromSolidStorage(G26,$H$14,$H$15)</f>
        <v>7.2943161071128308</v>
      </c>
      <c r="H38" s="55" cm="1">
        <f t="array" ref="H38">MMS_Dairy_LeachingAndRunoff_Equations.VEERG_4_3_1_6__2_MassOfNitrogenLostToLeachingAndRunoffFromSolidStorage(H26,$H$14,$H$15)</f>
        <v>2.9052489649537363</v>
      </c>
      <c r="I38" s="55" cm="1">
        <f t="array" ref="I38">MMS_Dairy_LeachingAndRunoff_Equations.VEERG_4_3_1_6__2_MassOfNitrogenLostToLeachingAndRunoffFromSolidStorage(I26,$H$14,$H$15)</f>
        <v>9.1692438295947358</v>
      </c>
      <c r="J38" s="55" cm="1">
        <f t="array" ref="J38">MMS_Dairy_LeachingAndRunoff_Equations.VEERG_4_3_1_6__2_MassOfNitrogenLostToLeachingAndRunoffFromSolidStorage(J26,$H$14,$H$15)</f>
        <v>3.8385142831622159</v>
      </c>
      <c r="K38" s="2" t="str">
        <f t="shared" si="0"/>
        <v>kg N</v>
      </c>
      <c r="O38" s="55" t="str">
        <f>'Input - Dairy'!$D$54</f>
        <v>Milking shed</v>
      </c>
      <c r="P38" s="55" t="str">
        <f>'Input - Dairy'!$D$82</f>
        <v>Solid storage</v>
      </c>
      <c r="Q38" s="55" cm="1">
        <f t="array" ref="Q38">MMS_Dairy_LeachingAndRunoff_Equations.VEERG_4_3_1_6__2_MassOfNitrogenLostToLeachingAndRunoffFromSolidStorage(Q26,$H$14,$H$15)</f>
        <v>8.4899253258099172</v>
      </c>
      <c r="R38" s="55" cm="1">
        <f t="array" ref="R38">MMS_Dairy_LeachingAndRunoff_Equations.VEERG_4_3_1_6__2_MassOfNitrogenLostToLeachingAndRunoffFromSolidStorage(R26,$H$14,$H$15)</f>
        <v>7.2943161071128308</v>
      </c>
      <c r="S38" s="55" cm="1">
        <f t="array" ref="S38">MMS_Dairy_LeachingAndRunoff_Equations.VEERG_4_3_1_6__2_MassOfNitrogenLostToLeachingAndRunoffFromSolidStorage(S26,$H$14,$H$15)</f>
        <v>2.9052489649537363</v>
      </c>
      <c r="T38" s="55" cm="1">
        <f t="array" ref="T38">MMS_Dairy_LeachingAndRunoff_Equations.VEERG_4_3_1_6__2_MassOfNitrogenLostToLeachingAndRunoffFromSolidStorage(T26,$H$14,$H$15)</f>
        <v>9.1692438295947358</v>
      </c>
      <c r="U38" s="55" cm="1">
        <f t="array" ref="U38">MMS_Dairy_LeachingAndRunoff_Equations.VEERG_4_3_1_6__2_MassOfNitrogenLostToLeachingAndRunoffFromSolidStorage(U26,$H$14,$H$15)</f>
        <v>3.8385142831622159</v>
      </c>
      <c r="V38" s="2" t="str">
        <f t="shared" si="1"/>
        <v>kg N</v>
      </c>
    </row>
    <row r="39" spans="3:23" ht="20.100000000000001" customHeight="1" x14ac:dyDescent="0.25">
      <c r="D39" s="55" t="str">
        <f>'Input - Dairy'!$D$55</f>
        <v>Feed pad</v>
      </c>
      <c r="E39" s="55" t="str">
        <f>'Input - Dairy'!$D$101</f>
        <v>Anaerobic lagoon</v>
      </c>
      <c r="F39" s="55" cm="1">
        <f t="array" ref="F39">MMS_Dairy_LeachingAndRunoff_Equations.VEERG_4_3_1_6__2_MassOfNitrogenLostToLeachingAndRunoffFromSolidStorage(F27,$H$14,$H$15)</f>
        <v>17.172803499933696</v>
      </c>
      <c r="G39" s="55" cm="1">
        <f t="array" ref="G39">MMS_Dairy_LeachingAndRunoff_Equations.VEERG_4_3_1_6__2_MassOfNitrogenLostToLeachingAndRunoffFromSolidStorage(G27,$H$14,$H$15)</f>
        <v>14.754412125750953</v>
      </c>
      <c r="H39" s="55" cm="1">
        <f t="array" ref="H39">MMS_Dairy_LeachingAndRunoff_Equations.VEERG_4_3_1_6__2_MassOfNitrogenLostToLeachingAndRunoffFromSolidStorage(H27,$H$14,$H$15)</f>
        <v>5.8765263154746039</v>
      </c>
      <c r="I39" s="55" cm="1">
        <f t="array" ref="I39">MMS_Dairy_LeachingAndRunoff_Equations.VEERG_4_3_1_6__2_MassOfNitrogenLostToLeachingAndRunoffFromSolidStorage(I27,$H$14,$H$15)</f>
        <v>18.546879564407536</v>
      </c>
      <c r="J39" s="55" cm="1">
        <f t="array" ref="J39">MMS_Dairy_LeachingAndRunoff_Equations.VEERG_4_3_1_6__2_MassOfNitrogenLostToLeachingAndRunoffFromSolidStorage(J27,$H$14,$H$15)</f>
        <v>7.7642675273053907</v>
      </c>
      <c r="K39" s="2" t="str">
        <f t="shared" si="0"/>
        <v>kg N</v>
      </c>
      <c r="O39" s="55" t="str">
        <f>'Input - Dairy'!$D$55</f>
        <v>Feed pad</v>
      </c>
      <c r="P39" s="55" t="str">
        <f>'Input - Dairy'!$D$101</f>
        <v>Anaerobic lagoon</v>
      </c>
      <c r="Q39" s="55" cm="1">
        <f t="array" ref="Q39">MMS_Dairy_LeachingAndRunoff_Equations.VEERG_4_3_1_6__2_MassOfNitrogenLostToLeachingAndRunoffFromSolidStorage(Q27,$H$14,$H$15)</f>
        <v>17.172803499933696</v>
      </c>
      <c r="R39" s="55" cm="1">
        <f t="array" ref="R39">MMS_Dairy_LeachingAndRunoff_Equations.VEERG_4_3_1_6__2_MassOfNitrogenLostToLeachingAndRunoffFromSolidStorage(R27,$H$14,$H$15)</f>
        <v>14.754412125750953</v>
      </c>
      <c r="S39" s="55" cm="1">
        <f t="array" ref="S39">MMS_Dairy_LeachingAndRunoff_Equations.VEERG_4_3_1_6__2_MassOfNitrogenLostToLeachingAndRunoffFromSolidStorage(S27,$H$14,$H$15)</f>
        <v>5.8765263154746039</v>
      </c>
      <c r="T39" s="55" cm="1">
        <f t="array" ref="T39">MMS_Dairy_LeachingAndRunoff_Equations.VEERG_4_3_1_6__2_MassOfNitrogenLostToLeachingAndRunoffFromSolidStorage(T27,$H$14,$H$15)</f>
        <v>18.546879564407536</v>
      </c>
      <c r="U39" s="55" cm="1">
        <f t="array" ref="U39">MMS_Dairy_LeachingAndRunoff_Equations.VEERG_4_3_1_6__2_MassOfNitrogenLostToLeachingAndRunoffFromSolidStorage(U27,$H$14,$H$15)</f>
        <v>7.7642675273053907</v>
      </c>
      <c r="V39" s="2" t="str">
        <f t="shared" si="1"/>
        <v>kg N</v>
      </c>
    </row>
    <row r="40" spans="3:23" ht="20.100000000000001" customHeight="1" x14ac:dyDescent="0.25">
      <c r="D40" s="55" t="str">
        <f>'Input - Dairy'!$D$55</f>
        <v>Feed pad</v>
      </c>
      <c r="E40" s="55" t="str">
        <f>'Input - Dairy'!$D$106</f>
        <v>Sump and dispersal system</v>
      </c>
      <c r="F40" s="55" cm="1">
        <f t="array" ref="F40">MMS_Dairy_LeachingAndRunoff_Equations.VEERG_4_3_1_6__2_MassOfNitrogenLostToLeachingAndRunoffFromSolidStorage(F28,$H$14,$H$15)</f>
        <v>13.738242799946956</v>
      </c>
      <c r="G40" s="55" cm="1">
        <f t="array" ref="G40">MMS_Dairy_LeachingAndRunoff_Equations.VEERG_4_3_1_6__2_MassOfNitrogenLostToLeachingAndRunoffFromSolidStorage(G28,$H$14,$H$15)</f>
        <v>11.803529700600764</v>
      </c>
      <c r="H40" s="55" cm="1">
        <f t="array" ref="H40">MMS_Dairy_LeachingAndRunoff_Equations.VEERG_4_3_1_6__2_MassOfNitrogenLostToLeachingAndRunoffFromSolidStorage(H28,$H$14,$H$15)</f>
        <v>4.7012210523796831</v>
      </c>
      <c r="I40" s="55" cm="1">
        <f t="array" ref="I40">MMS_Dairy_LeachingAndRunoff_Equations.VEERG_4_3_1_6__2_MassOfNitrogenLostToLeachingAndRunoffFromSolidStorage(I28,$H$14,$H$15)</f>
        <v>14.837503651526029</v>
      </c>
      <c r="J40" s="55" cm="1">
        <f t="array" ref="J40">MMS_Dairy_LeachingAndRunoff_Equations.VEERG_4_3_1_6__2_MassOfNitrogenLostToLeachingAndRunoffFromSolidStorage(J28,$H$14,$H$15)</f>
        <v>6.2114140218443126</v>
      </c>
      <c r="K40" s="2" t="str">
        <f t="shared" si="0"/>
        <v>kg N</v>
      </c>
      <c r="O40" s="55" t="str">
        <f>'Input - Dairy'!$D$55</f>
        <v>Feed pad</v>
      </c>
      <c r="P40" s="55" t="str">
        <f>'Input - Dairy'!$D$106</f>
        <v>Sump and dispersal system</v>
      </c>
      <c r="Q40" s="55" cm="1">
        <f t="array" ref="Q40">MMS_Dairy_LeachingAndRunoff_Equations.VEERG_4_3_1_6__2_MassOfNitrogenLostToLeachingAndRunoffFromSolidStorage(Q28,$H$14,$H$15)</f>
        <v>13.738242799946956</v>
      </c>
      <c r="R40" s="55" cm="1">
        <f t="array" ref="R40">MMS_Dairy_LeachingAndRunoff_Equations.VEERG_4_3_1_6__2_MassOfNitrogenLostToLeachingAndRunoffFromSolidStorage(R28,$H$14,$H$15)</f>
        <v>11.803529700600764</v>
      </c>
      <c r="S40" s="55" cm="1">
        <f t="array" ref="S40">MMS_Dairy_LeachingAndRunoff_Equations.VEERG_4_3_1_6__2_MassOfNitrogenLostToLeachingAndRunoffFromSolidStorage(S28,$H$14,$H$15)</f>
        <v>4.7012210523796831</v>
      </c>
      <c r="T40" s="55" cm="1">
        <f t="array" ref="T40">MMS_Dairy_LeachingAndRunoff_Equations.VEERG_4_3_1_6__2_MassOfNitrogenLostToLeachingAndRunoffFromSolidStorage(T28,$H$14,$H$15)</f>
        <v>14.837503651526029</v>
      </c>
      <c r="U40" s="55" cm="1">
        <f t="array" ref="U40">MMS_Dairy_LeachingAndRunoff_Equations.VEERG_4_3_1_6__2_MassOfNitrogenLostToLeachingAndRunoffFromSolidStorage(U28,$H$14,$H$15)</f>
        <v>6.2114140218443126</v>
      </c>
      <c r="V40" s="2" t="str">
        <f t="shared" si="1"/>
        <v>kg N</v>
      </c>
    </row>
    <row r="41" spans="3:23" ht="20.100000000000001" customHeight="1" x14ac:dyDescent="0.25">
      <c r="D41" s="55" t="str">
        <f>'Input - Dairy'!$D$55</f>
        <v>Feed pad</v>
      </c>
      <c r="E41" s="55" t="str">
        <f>'Input - Dairy'!$D$111</f>
        <v>Drains to paddock</v>
      </c>
      <c r="F41" s="55" cm="1">
        <f t="array" ref="F41">MMS_Dairy_LeachingAndRunoff_Equations.VEERG_4_3_1_6__2_MassOfNitrogenLostToLeachingAndRunoffFromSolidStorage(F29,$H$14,$H$15)</f>
        <v>13.738242799946956</v>
      </c>
      <c r="G41" s="55" cm="1">
        <f t="array" ref="G41">MMS_Dairy_LeachingAndRunoff_Equations.VEERG_4_3_1_6__2_MassOfNitrogenLostToLeachingAndRunoffFromSolidStorage(G29,$H$14,$H$15)</f>
        <v>11.803529700600764</v>
      </c>
      <c r="H41" s="55" cm="1">
        <f t="array" ref="H41">MMS_Dairy_LeachingAndRunoff_Equations.VEERG_4_3_1_6__2_MassOfNitrogenLostToLeachingAndRunoffFromSolidStorage(H29,$H$14,$H$15)</f>
        <v>4.7012210523796831</v>
      </c>
      <c r="I41" s="55" cm="1">
        <f t="array" ref="I41">MMS_Dairy_LeachingAndRunoff_Equations.VEERG_4_3_1_6__2_MassOfNitrogenLostToLeachingAndRunoffFromSolidStorage(I29,$H$14,$H$15)</f>
        <v>14.837503651526029</v>
      </c>
      <c r="J41" s="55" cm="1">
        <f t="array" ref="J41">MMS_Dairy_LeachingAndRunoff_Equations.VEERG_4_3_1_6__2_MassOfNitrogenLostToLeachingAndRunoffFromSolidStorage(J29,$H$14,$H$15)</f>
        <v>6.2114140218443126</v>
      </c>
      <c r="K41" s="2" t="str">
        <f t="shared" si="0"/>
        <v>kg N</v>
      </c>
      <c r="O41" s="55" t="str">
        <f>'Input - Dairy'!$D$55</f>
        <v>Feed pad</v>
      </c>
      <c r="P41" s="55" t="str">
        <f>'Input - Dairy'!$D$111</f>
        <v>Drains to paddock</v>
      </c>
      <c r="Q41" s="55" cm="1">
        <f t="array" ref="Q41">MMS_Dairy_LeachingAndRunoff_Equations.VEERG_4_3_1_6__2_MassOfNitrogenLostToLeachingAndRunoffFromSolidStorage(Q29,$H$14,$H$15)</f>
        <v>13.738242799946956</v>
      </c>
      <c r="R41" s="55" cm="1">
        <f t="array" ref="R41">MMS_Dairy_LeachingAndRunoff_Equations.VEERG_4_3_1_6__2_MassOfNitrogenLostToLeachingAndRunoffFromSolidStorage(R29,$H$14,$H$15)</f>
        <v>11.803529700600764</v>
      </c>
      <c r="S41" s="55" cm="1">
        <f t="array" ref="S41">MMS_Dairy_LeachingAndRunoff_Equations.VEERG_4_3_1_6__2_MassOfNitrogenLostToLeachingAndRunoffFromSolidStorage(S29,$H$14,$H$15)</f>
        <v>4.7012210523796831</v>
      </c>
      <c r="T41" s="55" cm="1">
        <f t="array" ref="T41">MMS_Dairy_LeachingAndRunoff_Equations.VEERG_4_3_1_6__2_MassOfNitrogenLostToLeachingAndRunoffFromSolidStorage(T29,$H$14,$H$15)</f>
        <v>14.837503651526029</v>
      </c>
      <c r="U41" s="55" cm="1">
        <f t="array" ref="U41">MMS_Dairy_LeachingAndRunoff_Equations.VEERG_4_3_1_6__2_MassOfNitrogenLostToLeachingAndRunoffFromSolidStorage(U29,$H$14,$H$15)</f>
        <v>6.2114140218443126</v>
      </c>
      <c r="V41" s="2" t="str">
        <f t="shared" si="1"/>
        <v>kg N</v>
      </c>
    </row>
    <row r="42" spans="3:23" ht="20.100000000000001" customHeight="1" x14ac:dyDescent="0.25">
      <c r="D42" s="55" t="str">
        <f>'Input - Dairy'!$D$55</f>
        <v>Feed pad</v>
      </c>
      <c r="E42" s="55" t="str">
        <f>'Input - Dairy'!$D$116</f>
        <v>Solid storage</v>
      </c>
      <c r="F42" s="55" cm="1">
        <f t="array" ref="F42">MMS_Dairy_LeachingAndRunoff_Equations.VEERG_4_3_1_6__2_MassOfNitrogenLostToLeachingAndRunoffFromSolidStorage(F30,$H$14,$H$15)</f>
        <v>24.041924899907173</v>
      </c>
      <c r="G42" s="55" cm="1">
        <f t="array" ref="G42">MMS_Dairy_LeachingAndRunoff_Equations.VEERG_4_3_1_6__2_MassOfNitrogenLostToLeachingAndRunoffFromSolidStorage(G30,$H$14,$H$15)</f>
        <v>20.656176976051334</v>
      </c>
      <c r="H42" s="55" cm="1">
        <f t="array" ref="H42">MMS_Dairy_LeachingAndRunoff_Equations.VEERG_4_3_1_6__2_MassOfNitrogenLostToLeachingAndRunoffFromSolidStorage(H30,$H$14,$H$15)</f>
        <v>8.2271368416644446</v>
      </c>
      <c r="I42" s="55" cm="1">
        <f t="array" ref="I42">MMS_Dairy_LeachingAndRunoff_Equations.VEERG_4_3_1_6__2_MassOfNitrogenLostToLeachingAndRunoffFromSolidStorage(I30,$H$14,$H$15)</f>
        <v>25.965631390170547</v>
      </c>
      <c r="J42" s="55" cm="1">
        <f t="array" ref="J42">MMS_Dairy_LeachingAndRunoff_Equations.VEERG_4_3_1_6__2_MassOfNitrogenLostToLeachingAndRunoffFromSolidStorage(J30,$H$14,$H$15)</f>
        <v>10.869974538227549</v>
      </c>
      <c r="K42" s="2" t="str">
        <f t="shared" si="0"/>
        <v>kg N</v>
      </c>
      <c r="O42" s="55" t="str">
        <f>'Input - Dairy'!$D$55</f>
        <v>Feed pad</v>
      </c>
      <c r="P42" s="55" t="str">
        <f>'Input - Dairy'!$D$116</f>
        <v>Solid storage</v>
      </c>
      <c r="Q42" s="55" cm="1">
        <f t="array" ref="Q42">MMS_Dairy_LeachingAndRunoff_Equations.VEERG_4_3_1_6__2_MassOfNitrogenLostToLeachingAndRunoffFromSolidStorage(Q30,$H$14,$H$15)</f>
        <v>24.041924899907173</v>
      </c>
      <c r="R42" s="55" cm="1">
        <f t="array" ref="R42">MMS_Dairy_LeachingAndRunoff_Equations.VEERG_4_3_1_6__2_MassOfNitrogenLostToLeachingAndRunoffFromSolidStorage(R30,$H$14,$H$15)</f>
        <v>20.656176976051334</v>
      </c>
      <c r="S42" s="55" cm="1">
        <f t="array" ref="S42">MMS_Dairy_LeachingAndRunoff_Equations.VEERG_4_3_1_6__2_MassOfNitrogenLostToLeachingAndRunoffFromSolidStorage(S30,$H$14,$H$15)</f>
        <v>8.2271368416644446</v>
      </c>
      <c r="T42" s="55" cm="1">
        <f t="array" ref="T42">MMS_Dairy_LeachingAndRunoff_Equations.VEERG_4_3_1_6__2_MassOfNitrogenLostToLeachingAndRunoffFromSolidStorage(T30,$H$14,$H$15)</f>
        <v>25.965631390170547</v>
      </c>
      <c r="U42" s="55" cm="1">
        <f t="array" ref="U42">MMS_Dairy_LeachingAndRunoff_Equations.VEERG_4_3_1_6__2_MassOfNitrogenLostToLeachingAndRunoffFromSolidStorage(U30,$H$14,$H$15)</f>
        <v>10.869974538227549</v>
      </c>
      <c r="V42" s="2" t="str">
        <f t="shared" si="1"/>
        <v>kg N</v>
      </c>
    </row>
    <row r="43" spans="3:23" ht="20.100000000000001" customHeight="1" x14ac:dyDescent="0.25"/>
    <row r="44" spans="3:23" ht="20.100000000000001" customHeight="1" x14ac:dyDescent="0.25"/>
    <row r="45" spans="3:23" ht="20.100000000000001" customHeight="1" x14ac:dyDescent="0.25">
      <c r="C45" s="48"/>
      <c r="D45" s="48"/>
      <c r="E45" s="48"/>
      <c r="F45" s="48"/>
      <c r="G45" s="48"/>
      <c r="H45" s="48"/>
      <c r="I45" s="48"/>
      <c r="J45" s="48"/>
      <c r="K45" s="48"/>
      <c r="L45" s="48"/>
      <c r="N45" s="48"/>
      <c r="O45" s="48"/>
      <c r="P45" s="48"/>
      <c r="Q45" s="48"/>
      <c r="R45" s="48"/>
      <c r="S45" s="48"/>
      <c r="T45" s="48"/>
      <c r="U45" s="48"/>
      <c r="V45" s="48"/>
      <c r="W45" s="48"/>
    </row>
    <row r="46" spans="3:23" ht="20.100000000000001" customHeight="1" x14ac:dyDescent="0.25">
      <c r="D46" s="6" t="str" cm="1">
        <f t="array" ref="D46">MMS_Dairy_ManureAppliedToSoils_Equations.VEERG_4_3_1_8__1_MassOfNitrogenAppliedToSoilsScope1_Title()</f>
        <v>Mass of nitrogen from manure applied to soils for scope 1 emissions</v>
      </c>
    </row>
    <row r="47" spans="3:23" ht="20.100000000000001" customHeight="1" x14ac:dyDescent="0.25">
      <c r="D47" s="5" t="str" cm="1">
        <f t="array" ref="D47">MMS_Dairy_ManureAppliedToSoils_Equations.VEERG_4_3_1_8__1_MassOfNitrogenAppliedToSoilsScope1_Source()</f>
        <v>VEERG 2026: 4.3.1.8, Equation (1)</v>
      </c>
    </row>
    <row r="48" spans="3:23" ht="20.100000000000001" customHeight="1" x14ac:dyDescent="0.25">
      <c r="D48" s="13" t="s">
        <v>28</v>
      </c>
      <c r="E48" s="13" t="str" cm="1">
        <f t="array" aca="1" ref="E48" ca="1">Common_InputFunctions.Utility_DisplayFunctionName($F$93)</f>
        <v>=MMS_Dairy_ManureAppliedToSoils_Equations.VEERG_4_3_1_8__1_MassOfNitrogenAppliedToSoilsScope1</v>
      </c>
    </row>
    <row r="49" spans="4:8" ht="20.100000000000001" customHeight="1" x14ac:dyDescent="0.25">
      <c r="G49" s="114" t="s">
        <v>373</v>
      </c>
    </row>
    <row r="50" spans="4:8" ht="20.100000000000001" customHeight="1" x14ac:dyDescent="0.25"/>
    <row r="51" spans="4:8" ht="20.100000000000001" customHeight="1" x14ac:dyDescent="0.25">
      <c r="D51" s="56" t="s">
        <v>31</v>
      </c>
      <c r="E51" s="1" t="str" cm="1">
        <f t="array" ref="E51">MMS_Dairy_ManureAppliedToSoils_Equations.VEERG_4_3_1_8__1_MassOfNitrogenAppliedToSoilsScope1_Variable()</f>
        <v>MNSoil_scope1</v>
      </c>
    </row>
    <row r="52" spans="4:8" ht="20.100000000000001" customHeight="1" x14ac:dyDescent="0.25">
      <c r="D52" s="56" t="s">
        <v>21</v>
      </c>
      <c r="E52" s="57" t="str" cm="1">
        <f t="array" ref="E52">MMS_Dairy_ManureAppliedToSoils_Equations.VEERG_4_3_1_8__1_MassOfNitrogenAppliedToSoilsScope1_Unit()</f>
        <v>kg N</v>
      </c>
    </row>
    <row r="53" spans="4:8" ht="20.100000000000001" customHeight="1" x14ac:dyDescent="0.25"/>
    <row r="54" spans="4:8" ht="20.100000000000001" customHeight="1" x14ac:dyDescent="0.25">
      <c r="D54" s="115" t="str" cm="1">
        <f t="array" ref="D54:E58">MMS_Dairy_ManureAppliedToSoils_Equations.VEERG_4_3_1_8__1_MassOfNitrogenAppliedToSoilsScope1_Arguments()</f>
        <v>MN_jm</v>
      </c>
      <c r="E54" s="117" t="str">
        <v>total nitrogen in each MMS for dairy cattle classes (kg N)</v>
      </c>
      <c r="F54" s="116"/>
      <c r="G54" s="115" t="str">
        <f>"See " &amp; $D$20</f>
        <v>See M1_Table_MN_j_m</v>
      </c>
    </row>
    <row r="55" spans="4:8" ht="20.100000000000001" customHeight="1" x14ac:dyDescent="0.25">
      <c r="D55" s="115" t="str">
        <v>EF_m</v>
      </c>
      <c r="E55" s="117" t="str">
        <v>emission factor for nitrous oxide emissions per MMS (kg N2O-N/kg N)</v>
      </c>
      <c r="F55" s="116"/>
      <c r="G55" s="115" t="str">
        <f>"See " &amp; D60</f>
        <v>See Table_EF_m</v>
      </c>
    </row>
    <row r="56" spans="4:8" ht="20.100000000000001" customHeight="1" x14ac:dyDescent="0.25">
      <c r="D56" s="115" t="str">
        <v>FracGASM_m</v>
      </c>
      <c r="E56" s="117" t="str">
        <v>fraction of N volatilised from MMS</v>
      </c>
      <c r="F56" s="116"/>
      <c r="G56" s="115" t="str">
        <f>"See " &amp; D69</f>
        <v>See Table_FracGASM_m</v>
      </c>
    </row>
    <row r="57" spans="4:8" ht="20.100000000000001" customHeight="1" x14ac:dyDescent="0.25">
      <c r="D57" s="115" t="str">
        <v>MNLeach_jm</v>
      </c>
      <c r="E57" s="117" t="str">
        <v>mass of N lost through leaching and runoff from each MMS (kg N)</v>
      </c>
      <c r="F57" s="116"/>
      <c r="G57" s="115" t="str">
        <f>"See " &amp; D32</f>
        <v>See M1_Table_MN_leach_j_m-1-13</v>
      </c>
      <c r="H57" s="114" t="s">
        <v>368</v>
      </c>
    </row>
    <row r="58" spans="4:8" ht="20.100000000000001" customHeight="1" x14ac:dyDescent="0.25">
      <c r="D58" s="115" t="str">
        <v>PF_scope</v>
      </c>
      <c r="E58" s="117" t="str">
        <v>fraction of manure applied to soil within farm boundary</v>
      </c>
      <c r="F58" s="116"/>
      <c r="G58" s="115" t="str">
        <f>"See " &amp; D78</f>
        <v>See Table_PF_scope</v>
      </c>
      <c r="H58" s="114" t="s">
        <v>378</v>
      </c>
    </row>
    <row r="59" spans="4:8" ht="20.100000000000001" customHeight="1" x14ac:dyDescent="0.25"/>
    <row r="60" spans="4:8" ht="20.100000000000001" customHeight="1" x14ac:dyDescent="0.25">
      <c r="D60" s="104" t="s">
        <v>339</v>
      </c>
    </row>
    <row r="61" spans="4:8" ht="20.100000000000001" customHeight="1" x14ac:dyDescent="0.25">
      <c r="D61" s="103" t="s">
        <v>340</v>
      </c>
    </row>
    <row r="62" spans="4:8" ht="20.100000000000001" customHeight="1" x14ac:dyDescent="0.25">
      <c r="D62" s="54" t="s">
        <v>69</v>
      </c>
      <c r="E62" s="54" t="s">
        <v>341</v>
      </c>
    </row>
    <row r="63" spans="4:8" ht="20.100000000000001" customHeight="1" x14ac:dyDescent="0.25">
      <c r="D63" s="55" t="str" cm="1">
        <f t="array" ref="D63:D67">Table_SourceData_Dairy_EFmFracGASM[NIR reference]</f>
        <v>Pasture range and paddock</v>
      </c>
      <c r="E63" s="55" cm="1">
        <f t="array" ref="E63:E67">Table_SourceData_Dairy_EFmFracGASM[EFm]</f>
        <v>0</v>
      </c>
    </row>
    <row r="64" spans="4:8" ht="20.100000000000001" customHeight="1" x14ac:dyDescent="0.25">
      <c r="D64" s="55" t="str">
        <v>Anaerobic lagoon</v>
      </c>
      <c r="E64" s="55">
        <v>0</v>
      </c>
    </row>
    <row r="65" spans="4:10" ht="20.100000000000001" customHeight="1" x14ac:dyDescent="0.25">
      <c r="D65" s="55" t="str">
        <v>Sump and dispersal system</v>
      </c>
      <c r="E65" s="55">
        <v>0</v>
      </c>
    </row>
    <row r="66" spans="4:10" ht="20.100000000000001" customHeight="1" x14ac:dyDescent="0.25">
      <c r="D66" s="55" t="str">
        <v>Drains to paddock</v>
      </c>
      <c r="E66" s="55">
        <v>0</v>
      </c>
    </row>
    <row r="67" spans="4:10" ht="20.100000000000001" customHeight="1" x14ac:dyDescent="0.25">
      <c r="D67" s="55" t="str">
        <v>Solid storage</v>
      </c>
      <c r="E67" s="55">
        <v>5.0000000000000001E-3</v>
      </c>
    </row>
    <row r="68" spans="4:10" ht="20.100000000000001" customHeight="1" x14ac:dyDescent="0.25"/>
    <row r="69" spans="4:10" ht="20.100000000000001" customHeight="1" x14ac:dyDescent="0.25">
      <c r="D69" s="104" t="s">
        <v>345</v>
      </c>
    </row>
    <row r="70" spans="4:10" ht="20.100000000000001" customHeight="1" x14ac:dyDescent="0.25">
      <c r="D70" s="103" t="s">
        <v>347</v>
      </c>
    </row>
    <row r="71" spans="4:10" ht="20.100000000000001" customHeight="1" x14ac:dyDescent="0.25">
      <c r="D71" s="54" t="s">
        <v>69</v>
      </c>
      <c r="E71" s="54" t="s">
        <v>346</v>
      </c>
    </row>
    <row r="72" spans="4:10" ht="20.100000000000001" customHeight="1" x14ac:dyDescent="0.25">
      <c r="D72" s="55" t="str" cm="1">
        <f t="array" ref="D72:D76">Table_SourceData_Dairy_EFmFracGASM[NIR reference]</f>
        <v>Pasture range and paddock</v>
      </c>
      <c r="E72" s="55" cm="1">
        <f t="array" ref="E72:E76">Table_SourceData_Dairy_EFmFracGASM[FracGASMm]</f>
        <v>0</v>
      </c>
      <c r="F72" s="2" t="str">
        <f>'Constants - Dairy'!$D$84</f>
        <v>kg N2O-N/kg N excreted</v>
      </c>
    </row>
    <row r="73" spans="4:10" ht="20.100000000000001" customHeight="1" x14ac:dyDescent="0.25">
      <c r="D73" s="55" t="str">
        <v>Anaerobic lagoon</v>
      </c>
      <c r="E73" s="55">
        <v>0.35</v>
      </c>
      <c r="F73" s="2" t="str">
        <f>'Constants - Dairy'!$D$84</f>
        <v>kg N2O-N/kg N excreted</v>
      </c>
    </row>
    <row r="74" spans="4:10" ht="20.100000000000001" customHeight="1" x14ac:dyDescent="0.25">
      <c r="D74" s="55" t="str">
        <v>Sump and dispersal system</v>
      </c>
      <c r="E74" s="55">
        <v>7.0000000000000007E-2</v>
      </c>
      <c r="F74" s="2" t="str">
        <f>'Constants - Dairy'!$D$84</f>
        <v>kg N2O-N/kg N excreted</v>
      </c>
    </row>
    <row r="75" spans="4:10" ht="20.100000000000001" customHeight="1" x14ac:dyDescent="0.25">
      <c r="D75" s="55" t="str">
        <v>Drains to paddock</v>
      </c>
      <c r="E75" s="55">
        <v>0.2</v>
      </c>
      <c r="F75" s="2" t="str">
        <f>'Constants - Dairy'!$D$84</f>
        <v>kg N2O-N/kg N excreted</v>
      </c>
    </row>
    <row r="76" spans="4:10" ht="20.100000000000001" customHeight="1" x14ac:dyDescent="0.25">
      <c r="D76" s="55" t="str">
        <v>Solid storage</v>
      </c>
      <c r="E76" s="55">
        <v>0.3</v>
      </c>
      <c r="F76" s="2" t="str">
        <f>'Constants - Dairy'!$D$84</f>
        <v>kg N2O-N/kg N excreted</v>
      </c>
    </row>
    <row r="77" spans="4:10" ht="20.100000000000001" customHeight="1" x14ac:dyDescent="0.25"/>
    <row r="78" spans="4:10" ht="20.100000000000001" customHeight="1" x14ac:dyDescent="0.25">
      <c r="D78" s="104" t="s">
        <v>374</v>
      </c>
    </row>
    <row r="79" spans="4:10" ht="20.100000000000001" customHeight="1" x14ac:dyDescent="0.25">
      <c r="D79" s="103" t="s">
        <v>375</v>
      </c>
    </row>
    <row r="80" spans="4:10" ht="20.100000000000001" customHeight="1" x14ac:dyDescent="0.25">
      <c r="D80" s="54" t="s">
        <v>159</v>
      </c>
      <c r="E80" s="54" t="s">
        <v>69</v>
      </c>
      <c r="F80" s="54" t="s">
        <v>186</v>
      </c>
      <c r="G80" s="54" t="s">
        <v>203</v>
      </c>
      <c r="H80" s="54" t="s">
        <v>204</v>
      </c>
      <c r="I80" s="54" t="s">
        <v>205</v>
      </c>
      <c r="J80" s="54" t="s">
        <v>206</v>
      </c>
    </row>
    <row r="81" spans="4:22" ht="20.100000000000001" customHeight="1" x14ac:dyDescent="0.25">
      <c r="D81" s="55" t="str">
        <f>'Input - Dairy'!$D$54</f>
        <v>Milking shed</v>
      </c>
      <c r="E81" s="55" t="str">
        <f>'Input - Dairy'!$D$67</f>
        <v>Anaerobic lagoon</v>
      </c>
      <c r="F81" s="136">
        <f>'Input - Dairy'!E139</f>
        <v>0.5</v>
      </c>
      <c r="G81" s="136">
        <f>'Input - Dairy'!F139</f>
        <v>0.5</v>
      </c>
      <c r="H81" s="136">
        <f>'Input - Dairy'!G139</f>
        <v>0.5</v>
      </c>
      <c r="I81" s="136">
        <f>'Input - Dairy'!H139</f>
        <v>0.5</v>
      </c>
      <c r="J81" s="136">
        <f>'Input - Dairy'!I139</f>
        <v>0.5</v>
      </c>
      <c r="K81" s="2" t="str">
        <f>$E$11</f>
        <v>kg N</v>
      </c>
    </row>
    <row r="82" spans="4:22" ht="20.100000000000001" customHeight="1" x14ac:dyDescent="0.25">
      <c r="D82" s="55" t="str">
        <f>'Input - Dairy'!$D$54</f>
        <v>Milking shed</v>
      </c>
      <c r="E82" s="55" t="str">
        <f>'Input - Dairy'!$D$72</f>
        <v>Sump and dispersal system</v>
      </c>
      <c r="F82" s="136">
        <f>'Input - Dairy'!E144</f>
        <v>0.5</v>
      </c>
      <c r="G82" s="136">
        <f>'Input - Dairy'!F144</f>
        <v>0.5</v>
      </c>
      <c r="H82" s="136">
        <f>'Input - Dairy'!G144</f>
        <v>0.5</v>
      </c>
      <c r="I82" s="136">
        <f>'Input - Dairy'!H144</f>
        <v>0.5</v>
      </c>
      <c r="J82" s="136">
        <f>'Input - Dairy'!I144</f>
        <v>0.5</v>
      </c>
      <c r="K82" s="2" t="str">
        <f t="shared" ref="K82:K88" si="2">$E$11</f>
        <v>kg N</v>
      </c>
    </row>
    <row r="83" spans="4:22" ht="20.100000000000001" customHeight="1" x14ac:dyDescent="0.25">
      <c r="D83" s="55" t="str">
        <f>'Input - Dairy'!$D$54</f>
        <v>Milking shed</v>
      </c>
      <c r="E83" s="55" t="str">
        <f>'Input - Dairy'!$D$77</f>
        <v>Drains to paddock</v>
      </c>
      <c r="F83" s="136">
        <f>'Input - Dairy'!E149</f>
        <v>0.5</v>
      </c>
      <c r="G83" s="136">
        <f>'Input - Dairy'!F149</f>
        <v>0.5</v>
      </c>
      <c r="H83" s="136">
        <f>'Input - Dairy'!G149</f>
        <v>0.5</v>
      </c>
      <c r="I83" s="136">
        <f>'Input - Dairy'!H149</f>
        <v>0.5</v>
      </c>
      <c r="J83" s="136">
        <f>'Input - Dairy'!I149</f>
        <v>0.5</v>
      </c>
      <c r="K83" s="2" t="str">
        <f t="shared" si="2"/>
        <v>kg N</v>
      </c>
    </row>
    <row r="84" spans="4:22" ht="20.100000000000001" customHeight="1" x14ac:dyDescent="0.25">
      <c r="D84" s="55" t="str">
        <f>'Input - Dairy'!$D$54</f>
        <v>Milking shed</v>
      </c>
      <c r="E84" s="55" t="str">
        <f>'Input - Dairy'!$D$82</f>
        <v>Solid storage</v>
      </c>
      <c r="F84" s="136">
        <f>'Input - Dairy'!E154</f>
        <v>0.5</v>
      </c>
      <c r="G84" s="136">
        <f>'Input - Dairy'!F154</f>
        <v>0.5</v>
      </c>
      <c r="H84" s="136">
        <f>'Input - Dairy'!G154</f>
        <v>0.5</v>
      </c>
      <c r="I84" s="136">
        <f>'Input - Dairy'!H154</f>
        <v>0.5</v>
      </c>
      <c r="J84" s="136">
        <f>'Input - Dairy'!I154</f>
        <v>0.5</v>
      </c>
      <c r="K84" s="2" t="str">
        <f t="shared" si="2"/>
        <v>kg N</v>
      </c>
    </row>
    <row r="85" spans="4:22" ht="20.100000000000001" customHeight="1" x14ac:dyDescent="0.25">
      <c r="D85" s="55" t="str">
        <f>'Input - Dairy'!$D$55</f>
        <v>Feed pad</v>
      </c>
      <c r="E85" s="55" t="str">
        <f>'Input - Dairy'!$D$101</f>
        <v>Anaerobic lagoon</v>
      </c>
      <c r="F85" s="136">
        <f>'Input - Dairy'!E163</f>
        <v>0.5</v>
      </c>
      <c r="G85" s="136">
        <f>'Input - Dairy'!F163</f>
        <v>0.5</v>
      </c>
      <c r="H85" s="136">
        <f>'Input - Dairy'!G163</f>
        <v>0.5</v>
      </c>
      <c r="I85" s="136">
        <f>'Input - Dairy'!H163</f>
        <v>0.5</v>
      </c>
      <c r="J85" s="136">
        <f>'Input - Dairy'!I163</f>
        <v>0.5</v>
      </c>
      <c r="K85" s="2" t="str">
        <f t="shared" si="2"/>
        <v>kg N</v>
      </c>
    </row>
    <row r="86" spans="4:22" ht="20.100000000000001" customHeight="1" x14ac:dyDescent="0.25">
      <c r="D86" s="55" t="str">
        <f>'Input - Dairy'!$D$55</f>
        <v>Feed pad</v>
      </c>
      <c r="E86" s="55" t="str">
        <f>'Input - Dairy'!$D$106</f>
        <v>Sump and dispersal system</v>
      </c>
      <c r="F86" s="136">
        <f>'Input - Dairy'!E168</f>
        <v>0.5</v>
      </c>
      <c r="G86" s="136">
        <f>'Input - Dairy'!F168</f>
        <v>0.5</v>
      </c>
      <c r="H86" s="136">
        <f>'Input - Dairy'!G168</f>
        <v>0.5</v>
      </c>
      <c r="I86" s="136">
        <f>'Input - Dairy'!H168</f>
        <v>0.5</v>
      </c>
      <c r="J86" s="136">
        <f>'Input - Dairy'!I168</f>
        <v>0.5</v>
      </c>
      <c r="K86" s="2" t="str">
        <f t="shared" si="2"/>
        <v>kg N</v>
      </c>
    </row>
    <row r="87" spans="4:22" ht="20.100000000000001" customHeight="1" x14ac:dyDescent="0.25">
      <c r="D87" s="55" t="str">
        <f>'Input - Dairy'!$D$55</f>
        <v>Feed pad</v>
      </c>
      <c r="E87" s="55" t="str">
        <f>'Input - Dairy'!$D$111</f>
        <v>Drains to paddock</v>
      </c>
      <c r="F87" s="136">
        <f>'Input - Dairy'!E173</f>
        <v>0.5</v>
      </c>
      <c r="G87" s="136">
        <f>'Input - Dairy'!F173</f>
        <v>0.5</v>
      </c>
      <c r="H87" s="136">
        <f>'Input - Dairy'!G173</f>
        <v>0.5</v>
      </c>
      <c r="I87" s="136">
        <f>'Input - Dairy'!H173</f>
        <v>0.5</v>
      </c>
      <c r="J87" s="136">
        <f>'Input - Dairy'!I173</f>
        <v>0.5</v>
      </c>
      <c r="K87" s="2" t="str">
        <f t="shared" si="2"/>
        <v>kg N</v>
      </c>
    </row>
    <row r="88" spans="4:22" ht="20.100000000000001" customHeight="1" x14ac:dyDescent="0.25">
      <c r="D88" s="55" t="str">
        <f>'Input - Dairy'!$D$55</f>
        <v>Feed pad</v>
      </c>
      <c r="E88" s="55" t="str">
        <f>'Input - Dairy'!$D$116</f>
        <v>Solid storage</v>
      </c>
      <c r="F88" s="136">
        <f>'Input - Dairy'!E178</f>
        <v>0.5</v>
      </c>
      <c r="G88" s="136">
        <f>'Input - Dairy'!F178</f>
        <v>0.5</v>
      </c>
      <c r="H88" s="136">
        <f>'Input - Dairy'!G178</f>
        <v>0.5</v>
      </c>
      <c r="I88" s="136">
        <f>'Input - Dairy'!H178</f>
        <v>0.5</v>
      </c>
      <c r="J88" s="136">
        <f>'Input - Dairy'!I178</f>
        <v>0.5</v>
      </c>
      <c r="K88" s="2" t="str">
        <f t="shared" si="2"/>
        <v>kg N</v>
      </c>
    </row>
    <row r="89" spans="4:22" ht="20.100000000000001" customHeight="1" x14ac:dyDescent="0.25"/>
    <row r="90" spans="4:22" ht="20.100000000000001" customHeight="1" x14ac:dyDescent="0.25">
      <c r="D90" s="104" t="s">
        <v>377</v>
      </c>
      <c r="O90" s="104" t="s">
        <v>382</v>
      </c>
    </row>
    <row r="91" spans="4:22" ht="20.100000000000001" customHeight="1" x14ac:dyDescent="0.25">
      <c r="D91" s="103" t="s">
        <v>381</v>
      </c>
      <c r="O91" s="103" t="s">
        <v>383</v>
      </c>
    </row>
    <row r="92" spans="4:22" ht="20.100000000000001" customHeight="1" x14ac:dyDescent="0.25">
      <c r="D92" s="54" t="s">
        <v>159</v>
      </c>
      <c r="E92" s="54" t="s">
        <v>69</v>
      </c>
      <c r="F92" s="54" t="s">
        <v>186</v>
      </c>
      <c r="G92" s="54" t="s">
        <v>203</v>
      </c>
      <c r="H92" s="54" t="s">
        <v>204</v>
      </c>
      <c r="I92" s="54" t="s">
        <v>205</v>
      </c>
      <c r="J92" s="54" t="s">
        <v>206</v>
      </c>
      <c r="O92" s="54" t="s">
        <v>159</v>
      </c>
      <c r="P92" s="54" t="s">
        <v>69</v>
      </c>
      <c r="Q92" s="54" t="s">
        <v>186</v>
      </c>
      <c r="R92" s="54" t="s">
        <v>203</v>
      </c>
      <c r="S92" s="54" t="s">
        <v>204</v>
      </c>
      <c r="T92" s="54" t="s">
        <v>205</v>
      </c>
      <c r="U92" s="54" t="s">
        <v>206</v>
      </c>
    </row>
    <row r="93" spans="4:22" ht="20.100000000000001" customHeight="1" x14ac:dyDescent="0.25">
      <c r="D93" s="55" t="str">
        <f>'Input - Dairy'!$D$54</f>
        <v>Milking shed</v>
      </c>
      <c r="E93" s="55" t="str">
        <f>'Input - Dairy'!$D$67</f>
        <v>Anaerobic lagoon</v>
      </c>
      <c r="F93" s="55" cm="1">
        <f t="array" ref="F93">MMS_Dairy_ManureAppliedToSoils_Equations.VEERG_4_3_1_8__1_MassOfNitrogenAppliedToSoilsScope1(F23,$E64,$E73,F35,F81)</f>
        <v>66.858161940753106</v>
      </c>
      <c r="G93" s="55" cm="1">
        <f t="array" ref="G93">MMS_Dairy_ManureAppliedToSoils_Equations.VEERG_4_3_1_8__1_MassOfNitrogenAppliedToSoilsScope1(G23,$E64,$E73,G35,G81)</f>
        <v>57.442739343513551</v>
      </c>
      <c r="H93" s="55" cm="1">
        <f t="array" ref="H93">MMS_Dairy_ManureAppliedToSoils_Equations.VEERG_4_3_1_8__1_MassOfNitrogenAppliedToSoilsScope1(H23,$E64,$E73,H35,H81)</f>
        <v>22.878835599010678</v>
      </c>
      <c r="I93" s="55" cm="1">
        <f t="array" ref="I93">MMS_Dairy_ManureAppliedToSoils_Equations.VEERG_4_3_1_8__1_MassOfNitrogenAppliedToSoilsScope1(I23,$E64,$E73,I35,I81)</f>
        <v>72.207795158058559</v>
      </c>
      <c r="J93" s="55" cm="1">
        <f t="array" ref="J93">MMS_Dairy_ManureAppliedToSoils_Equations.VEERG_4_3_1_8__1_MassOfNitrogenAppliedToSoilsScope1(J23,$E64,$E73,J35,J81)</f>
        <v>30.228299979902456</v>
      </c>
      <c r="K93" s="2" t="str">
        <f>$E$52</f>
        <v>kg N</v>
      </c>
      <c r="O93" s="55" t="str">
        <f>'Input - Dairy'!$D$54</f>
        <v>Milking shed</v>
      </c>
      <c r="P93" s="55" t="str">
        <f>'Input - Dairy'!$D$67</f>
        <v>Anaerobic lagoon</v>
      </c>
      <c r="Q93" s="55" cm="1">
        <f t="array" ref="Q93">MMS_Dairy_ManureAppliedToSoils_Equations.VEERG_4_3_1_8__1_MassOfNitrogenAppliedToSoilsScope1(Q23,$E64,$E73,Q35,F81)</f>
        <v>66.858161940753106</v>
      </c>
      <c r="R93" s="55" cm="1">
        <f t="array" ref="R93">MMS_Dairy_ManureAppliedToSoils_Equations.VEERG_4_3_1_8__1_MassOfNitrogenAppliedToSoilsScope1(R23,$E64,$E73,R35,G81)</f>
        <v>57.442739343513551</v>
      </c>
      <c r="S93" s="55" cm="1">
        <f t="array" ref="S93">MMS_Dairy_ManureAppliedToSoils_Equations.VEERG_4_3_1_8__1_MassOfNitrogenAppliedToSoilsScope1(S23,$E64,$E73,S35,H81)</f>
        <v>22.878835599010678</v>
      </c>
      <c r="T93" s="55" cm="1">
        <f t="array" ref="T93">MMS_Dairy_ManureAppliedToSoils_Equations.VEERG_4_3_1_8__1_MassOfNitrogenAppliedToSoilsScope1(T23,$E64,$E73,T35,I81)</f>
        <v>72.207795158058559</v>
      </c>
      <c r="U93" s="55" cm="1">
        <f t="array" ref="U93">MMS_Dairy_ManureAppliedToSoils_Equations.VEERG_4_3_1_8__1_MassOfNitrogenAppliedToSoilsScope1(U23,$E64,$E73,U35,J81)</f>
        <v>30.228299979902456</v>
      </c>
      <c r="V93" s="2" t="str">
        <f>$E$52</f>
        <v>kg N</v>
      </c>
    </row>
    <row r="94" spans="4:22" ht="20.100000000000001" customHeight="1" x14ac:dyDescent="0.25">
      <c r="D94" s="55" t="str">
        <f>'Input - Dairy'!$D$54</f>
        <v>Milking shed</v>
      </c>
      <c r="E94" s="55" t="str">
        <f>'Input - Dairy'!$D$72</f>
        <v>Sump and dispersal system</v>
      </c>
      <c r="F94" s="55" cm="1">
        <f t="array" ref="F94">MMS_Dairy_ManureAppliedToSoils_Equations.VEERG_4_3_1_8__1_MassOfNitrogenAppliedToSoilsScope1(F24,$E65,$E74,F36,F82)</f>
        <v>96.572900581087808</v>
      </c>
      <c r="G94" s="55" cm="1">
        <f t="array" ref="G94">MMS_Dairy_ManureAppliedToSoils_Equations.VEERG_4_3_1_8__1_MassOfNitrogenAppliedToSoilsScope1(G24,$E65,$E74,G36,G82)</f>
        <v>82.97284571840845</v>
      </c>
      <c r="H94" s="55" cm="1">
        <f t="array" ref="H94">MMS_Dairy_ManureAppliedToSoils_Equations.VEERG_4_3_1_8__1_MassOfNitrogenAppliedToSoilsScope1(H24,$E65,$E74,H36,H82)</f>
        <v>33.047206976348761</v>
      </c>
      <c r="I94" s="55" cm="1">
        <f t="array" ref="I94">MMS_Dairy_ManureAppliedToSoils_Equations.VEERG_4_3_1_8__1_MassOfNitrogenAppliedToSoilsScope1(I24,$E65,$E74,I36,I82)</f>
        <v>104.30014856164013</v>
      </c>
      <c r="J94" s="55" cm="1">
        <f t="array" ref="J94">MMS_Dairy_ManureAppliedToSoils_Equations.VEERG_4_3_1_8__1_MassOfNitrogenAppliedToSoilsScope1(J24,$E65,$E74,J36,J82)</f>
        <v>43.663099970970208</v>
      </c>
      <c r="K94" s="2" t="str">
        <f t="shared" ref="K94:K100" si="3">$E$52</f>
        <v>kg N</v>
      </c>
      <c r="O94" s="55" t="str">
        <f>'Input - Dairy'!$D$54</f>
        <v>Milking shed</v>
      </c>
      <c r="P94" s="55" t="str">
        <f>'Input - Dairy'!$D$72</f>
        <v>Sump and dispersal system</v>
      </c>
      <c r="Q94" s="55" cm="1">
        <f t="array" ref="Q94">MMS_Dairy_ManureAppliedToSoils_Equations.VEERG_4_3_1_8__1_MassOfNitrogenAppliedToSoilsScope1(Q24,$E65,$E74,Q36,F82)</f>
        <v>96.572900581087808</v>
      </c>
      <c r="R94" s="55" cm="1">
        <f t="array" ref="R94">MMS_Dairy_ManureAppliedToSoils_Equations.VEERG_4_3_1_8__1_MassOfNitrogenAppliedToSoilsScope1(R24,$E65,$E74,R36,G82)</f>
        <v>82.97284571840845</v>
      </c>
      <c r="S94" s="55" cm="1">
        <f t="array" ref="S94">MMS_Dairy_ManureAppliedToSoils_Equations.VEERG_4_3_1_8__1_MassOfNitrogenAppliedToSoilsScope1(S24,$E65,$E74,S36,H82)</f>
        <v>33.047206976348761</v>
      </c>
      <c r="T94" s="55" cm="1">
        <f t="array" ref="T94">MMS_Dairy_ManureAppliedToSoils_Equations.VEERG_4_3_1_8__1_MassOfNitrogenAppliedToSoilsScope1(T24,$E65,$E74,T36,I82)</f>
        <v>104.30014856164013</v>
      </c>
      <c r="U94" s="55" cm="1">
        <f t="array" ref="U94">MMS_Dairy_ManureAppliedToSoils_Equations.VEERG_4_3_1_8__1_MassOfNitrogenAppliedToSoilsScope1(U24,$E65,$E74,U36,J82)</f>
        <v>43.663099970970208</v>
      </c>
      <c r="V94" s="2" t="str">
        <f t="shared" ref="V94:V100" si="4">$E$52</f>
        <v>kg N</v>
      </c>
    </row>
    <row r="95" spans="4:22" ht="20.100000000000001" customHeight="1" x14ac:dyDescent="0.25">
      <c r="D95" s="55" t="str">
        <f>'Input - Dairy'!$D$54</f>
        <v>Milking shed</v>
      </c>
      <c r="E95" s="55" t="str">
        <f>'Input - Dairy'!$D$77</f>
        <v>Drains to paddock</v>
      </c>
      <c r="F95" s="55" cm="1">
        <f t="array" ref="F95">MMS_Dairy_ManureAppliedToSoils_Equations.VEERG_4_3_1_8__1_MassOfNitrogenAppliedToSoilsScope1(F25,$E66,$E75,F37,F83)</f>
        <v>82.776771926646703</v>
      </c>
      <c r="G95" s="55" cm="1">
        <f t="array" ref="G95">MMS_Dairy_ManureAppliedToSoils_Equations.VEERG_4_3_1_8__1_MassOfNitrogenAppliedToSoilsScope1(G25,$E66,$E75,G37,G83)</f>
        <v>71.119582044350111</v>
      </c>
      <c r="H95" s="55" cm="1">
        <f t="array" ref="H95">MMS_Dairy_ManureAppliedToSoils_Equations.VEERG_4_3_1_8__1_MassOfNitrogenAppliedToSoilsScope1(H25,$E66,$E75,H37,H83)</f>
        <v>28.326177408298935</v>
      </c>
      <c r="I95" s="55" cm="1">
        <f t="array" ref="I95">MMS_Dairy_ManureAppliedToSoils_Equations.VEERG_4_3_1_8__1_MassOfNitrogenAppliedToSoilsScope1(I25,$E66,$E75,I37,I83)</f>
        <v>89.4001273385487</v>
      </c>
      <c r="J95" s="55" cm="1">
        <f t="array" ref="J95">MMS_Dairy_ManureAppliedToSoils_Equations.VEERG_4_3_1_8__1_MassOfNitrogenAppliedToSoilsScope1(J25,$E66,$E75,J37,J83)</f>
        <v>37.425514260831612</v>
      </c>
      <c r="K95" s="2" t="str">
        <f t="shared" si="3"/>
        <v>kg N</v>
      </c>
      <c r="O95" s="55" t="str">
        <f>'Input - Dairy'!$D$54</f>
        <v>Milking shed</v>
      </c>
      <c r="P95" s="55" t="str">
        <f>'Input - Dairy'!$D$77</f>
        <v>Drains to paddock</v>
      </c>
      <c r="Q95" s="55" cm="1">
        <f t="array" ref="Q95">MMS_Dairy_ManureAppliedToSoils_Equations.VEERG_4_3_1_8__1_MassOfNitrogenAppliedToSoilsScope1(Q25,$E66,$E75,Q37,F83)</f>
        <v>82.776771926646703</v>
      </c>
      <c r="R95" s="55" cm="1">
        <f t="array" ref="R95">MMS_Dairy_ManureAppliedToSoils_Equations.VEERG_4_3_1_8__1_MassOfNitrogenAppliedToSoilsScope1(R25,$E66,$E75,R37,G83)</f>
        <v>71.119582044350111</v>
      </c>
      <c r="S95" s="55" cm="1">
        <f t="array" ref="S95">MMS_Dairy_ManureAppliedToSoils_Equations.VEERG_4_3_1_8__1_MassOfNitrogenAppliedToSoilsScope1(S25,$E66,$E75,S37,H83)</f>
        <v>28.326177408298935</v>
      </c>
      <c r="T95" s="55" cm="1">
        <f t="array" ref="T95">MMS_Dairy_ManureAppliedToSoils_Equations.VEERG_4_3_1_8__1_MassOfNitrogenAppliedToSoilsScope1(T25,$E66,$E75,T37,I83)</f>
        <v>89.4001273385487</v>
      </c>
      <c r="U95" s="55" cm="1">
        <f t="array" ref="U95">MMS_Dairy_ManureAppliedToSoils_Equations.VEERG_4_3_1_8__1_MassOfNitrogenAppliedToSoilsScope1(U25,$E66,$E75,U37,J83)</f>
        <v>37.425514260831612</v>
      </c>
      <c r="V95" s="2" t="str">
        <f t="shared" si="4"/>
        <v>kg N</v>
      </c>
    </row>
    <row r="96" spans="4:22" ht="20.100000000000001" customHeight="1" x14ac:dyDescent="0.25">
      <c r="D96" s="55" t="str">
        <f>'Input - Dairy'!$D$54</f>
        <v>Milking shed</v>
      </c>
      <c r="E96" s="55" t="str">
        <f>'Input - Dairy'!$D$82</f>
        <v>Solid storage</v>
      </c>
      <c r="F96" s="55" cm="1">
        <f t="array" ref="F96">MMS_Dairy_ManureAppliedToSoils_Equations.VEERG_4_3_1_8__1_MassOfNitrogenAppliedToSoilsScope1(F26,$E67,$E76,F38,F84)</f>
        <v>143.26748987304236</v>
      </c>
      <c r="G96" s="55" cm="1">
        <f t="array" ref="G96">MMS_Dairy_ManureAppliedToSoils_Equations.VEERG_4_3_1_8__1_MassOfNitrogenAppliedToSoilsScope1(G26,$E67,$E76,G38,G84)</f>
        <v>123.09158430752903</v>
      </c>
      <c r="H96" s="55" cm="1">
        <f t="array" ref="H96">MMS_Dairy_ManureAppliedToSoils_Equations.VEERG_4_3_1_8__1_MassOfNitrogenAppliedToSoilsScope1(H26,$E67,$E76,H38,H84)</f>
        <v>49.0260762835943</v>
      </c>
      <c r="I96" s="55" cm="1">
        <f t="array" ref="I96">MMS_Dairy_ManureAppliedToSoils_Equations.VEERG_4_3_1_8__1_MassOfNitrogenAppliedToSoilsScope1(I26,$E67,$E76,I38,I84)</f>
        <v>154.73098962441119</v>
      </c>
      <c r="J96" s="55" cm="1">
        <f t="array" ref="J96">MMS_Dairy_ManureAppliedToSoils_Equations.VEERG_4_3_1_8__1_MassOfNitrogenAppliedToSoilsScope1(J26,$E67,$E76,J38,J84)</f>
        <v>64.774928528362395</v>
      </c>
      <c r="K96" s="2" t="str">
        <f t="shared" si="3"/>
        <v>kg N</v>
      </c>
      <c r="O96" s="55" t="str">
        <f>'Input - Dairy'!$D$54</f>
        <v>Milking shed</v>
      </c>
      <c r="P96" s="55" t="str">
        <f>'Input - Dairy'!$D$82</f>
        <v>Solid storage</v>
      </c>
      <c r="Q96" s="55" cm="1">
        <f t="array" ref="Q96">MMS_Dairy_ManureAppliedToSoils_Equations.VEERG_4_3_1_8__1_MassOfNitrogenAppliedToSoilsScope1(Q26,$E67,$E76,Q38,F84)</f>
        <v>143.26748987304236</v>
      </c>
      <c r="R96" s="55" cm="1">
        <f t="array" ref="R96">MMS_Dairy_ManureAppliedToSoils_Equations.VEERG_4_3_1_8__1_MassOfNitrogenAppliedToSoilsScope1(R26,$E67,$E76,R38,G84)</f>
        <v>123.09158430752903</v>
      </c>
      <c r="S96" s="55" cm="1">
        <f t="array" ref="S96">MMS_Dairy_ManureAppliedToSoils_Equations.VEERG_4_3_1_8__1_MassOfNitrogenAppliedToSoilsScope1(S26,$E67,$E76,S38,H84)</f>
        <v>49.0260762835943</v>
      </c>
      <c r="T96" s="55" cm="1">
        <f t="array" ref="T96">MMS_Dairy_ManureAppliedToSoils_Equations.VEERG_4_3_1_8__1_MassOfNitrogenAppliedToSoilsScope1(T26,$E67,$E76,T38,I84)</f>
        <v>154.73098962441119</v>
      </c>
      <c r="U96" s="55" cm="1">
        <f t="array" ref="U96">MMS_Dairy_ManureAppliedToSoils_Equations.VEERG_4_3_1_8__1_MassOfNitrogenAppliedToSoilsScope1(U26,$E67,$E76,U38,J84)</f>
        <v>64.774928528362395</v>
      </c>
      <c r="V96" s="2" t="str">
        <f t="shared" si="4"/>
        <v>kg N</v>
      </c>
    </row>
    <row r="97" spans="3:23" ht="20.100000000000001" customHeight="1" x14ac:dyDescent="0.25">
      <c r="D97" s="55" t="str">
        <f>'Input - Dairy'!$D$55</f>
        <v>Feed pad</v>
      </c>
      <c r="E97" s="55" t="str">
        <f>'Input - Dairy'!$D$101</f>
        <v>Anaerobic lagoon</v>
      </c>
      <c r="F97" s="55" cm="1">
        <f t="array" ref="F97">MMS_Dairy_ManureAppliedToSoils_Equations.VEERG_4_3_1_8__1_MassOfNitrogenAppliedToSoilsScope1(F27,$E64,$E73,F39,F85)</f>
        <v>270.47165512395571</v>
      </c>
      <c r="G97" s="55" cm="1">
        <f t="array" ref="G97">MMS_Dairy_ManureAppliedToSoils_Equations.VEERG_4_3_1_8__1_MassOfNitrogenAppliedToSoilsScope1(G27,$E64,$E73,G39,G85)</f>
        <v>232.38199098057751</v>
      </c>
      <c r="H97" s="55" cm="1">
        <f t="array" ref="H97">MMS_Dairy_ManureAppliedToSoils_Equations.VEERG_4_3_1_8__1_MassOfNitrogenAppliedToSoilsScope1(H27,$E64,$E73,H39,H85)</f>
        <v>92.555289468725022</v>
      </c>
      <c r="I97" s="55" cm="1">
        <f t="array" ref="I97">MMS_Dairy_ManureAppliedToSoils_Equations.VEERG_4_3_1_8__1_MassOfNitrogenAppliedToSoilsScope1(I27,$E64,$E73,I39,I85)</f>
        <v>292.11335313941873</v>
      </c>
      <c r="J97" s="55" cm="1">
        <f t="array" ref="J97">MMS_Dairy_ManureAppliedToSoils_Equations.VEERG_4_3_1_8__1_MassOfNitrogenAppliedToSoilsScope1(J27,$E64,$E73,J39,J85)</f>
        <v>122.28721355505992</v>
      </c>
      <c r="K97" s="2" t="str">
        <f t="shared" si="3"/>
        <v>kg N</v>
      </c>
      <c r="O97" s="55" t="str">
        <f>'Input - Dairy'!$D$55</f>
        <v>Feed pad</v>
      </c>
      <c r="P97" s="55" t="str">
        <f>'Input - Dairy'!$D$101</f>
        <v>Anaerobic lagoon</v>
      </c>
      <c r="Q97" s="55" cm="1">
        <f t="array" ref="Q97">MMS_Dairy_ManureAppliedToSoils_Equations.VEERG_4_3_1_8__1_MassOfNitrogenAppliedToSoilsScope1(Q27,$E64,$E73,Q39,F85)</f>
        <v>270.47165512395571</v>
      </c>
      <c r="R97" s="55" cm="1">
        <f t="array" ref="R97">MMS_Dairy_ManureAppliedToSoils_Equations.VEERG_4_3_1_8__1_MassOfNitrogenAppliedToSoilsScope1(R27,$E64,$E73,R39,G85)</f>
        <v>232.38199098057751</v>
      </c>
      <c r="S97" s="55" cm="1">
        <f t="array" ref="S97">MMS_Dairy_ManureAppliedToSoils_Equations.VEERG_4_3_1_8__1_MassOfNitrogenAppliedToSoilsScope1(S27,$E64,$E73,S39,H85)</f>
        <v>92.555289468725022</v>
      </c>
      <c r="T97" s="55" cm="1">
        <f t="array" ref="T97">MMS_Dairy_ManureAppliedToSoils_Equations.VEERG_4_3_1_8__1_MassOfNitrogenAppliedToSoilsScope1(T27,$E64,$E73,T39,I85)</f>
        <v>292.11335313941873</v>
      </c>
      <c r="U97" s="55" cm="1">
        <f t="array" ref="U97">MMS_Dairy_ManureAppliedToSoils_Equations.VEERG_4_3_1_8__1_MassOfNitrogenAppliedToSoilsScope1(U27,$E64,$E73,U39,J85)</f>
        <v>122.28721355505992</v>
      </c>
      <c r="V97" s="2" t="str">
        <f t="shared" si="4"/>
        <v>kg N</v>
      </c>
    </row>
    <row r="98" spans="3:23" ht="20.100000000000001" customHeight="1" x14ac:dyDescent="0.25">
      <c r="D98" s="55" t="str">
        <f>'Input - Dairy'!$D$55</f>
        <v>Feed pad</v>
      </c>
      <c r="E98" s="55" t="str">
        <f>'Input - Dairy'!$D$106</f>
        <v>Sump and dispersal system</v>
      </c>
      <c r="F98" s="55" cm="1">
        <f t="array" ref="F98">MMS_Dairy_ManureAppliedToSoils_Equations.VEERG_4_3_1_8__1_MassOfNitrogenAppliedToSoilsScope1(F28,$E65,$E74,F40,F86)</f>
        <v>312.54502369879322</v>
      </c>
      <c r="G98" s="55" cm="1">
        <f t="array" ref="G98">MMS_Dairy_ManureAppliedToSoils_Equations.VEERG_4_3_1_8__1_MassOfNitrogenAppliedToSoilsScope1(G28,$E65,$E74,G40,G86)</f>
        <v>268.53030068866735</v>
      </c>
      <c r="H98" s="55" cm="1">
        <f t="array" ref="H98">MMS_Dairy_ManureAppliedToSoils_Equations.VEERG_4_3_1_8__1_MassOfNitrogenAppliedToSoilsScope1(H28,$E65,$E74,H40,H86)</f>
        <v>106.95277894163779</v>
      </c>
      <c r="I98" s="55" cm="1">
        <f t="array" ref="I98">MMS_Dairy_ManureAppliedToSoils_Equations.VEERG_4_3_1_8__1_MassOfNitrogenAppliedToSoilsScope1(I28,$E65,$E74,I40,I86)</f>
        <v>337.5532080722171</v>
      </c>
      <c r="J98" s="55" cm="1">
        <f t="array" ref="J98">MMS_Dairy_ManureAppliedToSoils_Equations.VEERG_4_3_1_8__1_MassOfNitrogenAppliedToSoilsScope1(J28,$E65,$E74,J40,J86)</f>
        <v>141.30966899695812</v>
      </c>
      <c r="K98" s="2" t="str">
        <f t="shared" si="3"/>
        <v>kg N</v>
      </c>
      <c r="O98" s="55" t="str">
        <f>'Input - Dairy'!$D$55</f>
        <v>Feed pad</v>
      </c>
      <c r="P98" s="55" t="str">
        <f>'Input - Dairy'!$D$106</f>
        <v>Sump and dispersal system</v>
      </c>
      <c r="Q98" s="55" cm="1">
        <f t="array" ref="Q98">MMS_Dairy_ManureAppliedToSoils_Equations.VEERG_4_3_1_8__1_MassOfNitrogenAppliedToSoilsScope1(Q28,$E65,$E74,Q40,F86)</f>
        <v>312.54502369879322</v>
      </c>
      <c r="R98" s="55" cm="1">
        <f t="array" ref="R98">MMS_Dairy_ManureAppliedToSoils_Equations.VEERG_4_3_1_8__1_MassOfNitrogenAppliedToSoilsScope1(R28,$E65,$E74,R40,G86)</f>
        <v>268.53030068866735</v>
      </c>
      <c r="S98" s="55" cm="1">
        <f t="array" ref="S98">MMS_Dairy_ManureAppliedToSoils_Equations.VEERG_4_3_1_8__1_MassOfNitrogenAppliedToSoilsScope1(S28,$E65,$E74,S40,H86)</f>
        <v>106.95277894163779</v>
      </c>
      <c r="T98" s="55" cm="1">
        <f t="array" ref="T98">MMS_Dairy_ManureAppliedToSoils_Equations.VEERG_4_3_1_8__1_MassOfNitrogenAppliedToSoilsScope1(T28,$E65,$E74,T40,I86)</f>
        <v>337.5532080722171</v>
      </c>
      <c r="U98" s="55" cm="1">
        <f t="array" ref="U98">MMS_Dairy_ManureAppliedToSoils_Equations.VEERG_4_3_1_8__1_MassOfNitrogenAppliedToSoilsScope1(U28,$E65,$E74,U40,J86)</f>
        <v>141.30966899695812</v>
      </c>
      <c r="V98" s="2" t="str">
        <f t="shared" si="4"/>
        <v>kg N</v>
      </c>
    </row>
    <row r="99" spans="3:23" ht="20.100000000000001" customHeight="1" x14ac:dyDescent="0.25">
      <c r="D99" s="55" t="str">
        <f>'Input - Dairy'!$D$55</f>
        <v>Feed pad</v>
      </c>
      <c r="E99" s="55" t="str">
        <f>'Input - Dairy'!$D$111</f>
        <v>Drains to paddock</v>
      </c>
      <c r="F99" s="55" cm="1">
        <f t="array" ref="F99">MMS_Dairy_ManureAppliedToSoils_Equations.VEERG_4_3_1_8__1_MassOfNitrogenAppliedToSoilsScope1(F29,$E66,$E75,F41,F87)</f>
        <v>267.89573459896565</v>
      </c>
      <c r="G99" s="55" cm="1">
        <f t="array" ref="G99">MMS_Dairy_ManureAppliedToSoils_Equations.VEERG_4_3_1_8__1_MassOfNitrogenAppliedToSoilsScope1(G29,$E66,$E75,G41,G87)</f>
        <v>230.16882916171488</v>
      </c>
      <c r="H99" s="55" cm="1">
        <f t="array" ref="H99">MMS_Dairy_ManureAppliedToSoils_Equations.VEERG_4_3_1_8__1_MassOfNitrogenAppliedToSoilsScope1(H29,$E66,$E75,H41,H87)</f>
        <v>91.673810521403823</v>
      </c>
      <c r="I99" s="55" cm="1">
        <f t="array" ref="I99">MMS_Dairy_ManureAppliedToSoils_Equations.VEERG_4_3_1_8__1_MassOfNitrogenAppliedToSoilsScope1(I29,$E66,$E75,I41,I87)</f>
        <v>289.33132120475756</v>
      </c>
      <c r="J99" s="55" cm="1">
        <f t="array" ref="J99">MMS_Dairy_ManureAppliedToSoils_Equations.VEERG_4_3_1_8__1_MassOfNitrogenAppliedToSoilsScope1(J29,$E66,$E75,J41,J87)</f>
        <v>121.12257342596411</v>
      </c>
      <c r="K99" s="2" t="str">
        <f t="shared" si="3"/>
        <v>kg N</v>
      </c>
      <c r="O99" s="55" t="str">
        <f>'Input - Dairy'!$D$55</f>
        <v>Feed pad</v>
      </c>
      <c r="P99" s="55" t="str">
        <f>'Input - Dairy'!$D$111</f>
        <v>Drains to paddock</v>
      </c>
      <c r="Q99" s="55" cm="1">
        <f t="array" ref="Q99">MMS_Dairy_ManureAppliedToSoils_Equations.VEERG_4_3_1_8__1_MassOfNitrogenAppliedToSoilsScope1(Q29,$E66,$E75,Q41,F87)</f>
        <v>267.89573459896565</v>
      </c>
      <c r="R99" s="55" cm="1">
        <f t="array" ref="R99">MMS_Dairy_ManureAppliedToSoils_Equations.VEERG_4_3_1_8__1_MassOfNitrogenAppliedToSoilsScope1(R29,$E66,$E75,R41,G87)</f>
        <v>230.16882916171488</v>
      </c>
      <c r="S99" s="55" cm="1">
        <f t="array" ref="S99">MMS_Dairy_ManureAppliedToSoils_Equations.VEERG_4_3_1_8__1_MassOfNitrogenAppliedToSoilsScope1(S29,$E66,$E75,S41,H87)</f>
        <v>91.673810521403823</v>
      </c>
      <c r="T99" s="55" cm="1">
        <f t="array" ref="T99">MMS_Dairy_ManureAppliedToSoils_Equations.VEERG_4_3_1_8__1_MassOfNitrogenAppliedToSoilsScope1(T29,$E66,$E75,T41,I87)</f>
        <v>289.33132120475756</v>
      </c>
      <c r="U99" s="55" cm="1">
        <f t="array" ref="U99">MMS_Dairy_ManureAppliedToSoils_Equations.VEERG_4_3_1_8__1_MassOfNitrogenAppliedToSoilsScope1(U29,$E66,$E75,U41,J87)</f>
        <v>121.12257342596411</v>
      </c>
      <c r="V99" s="2" t="str">
        <f t="shared" si="4"/>
        <v>kg N</v>
      </c>
    </row>
    <row r="100" spans="3:23" ht="20.100000000000001" customHeight="1" x14ac:dyDescent="0.25">
      <c r="D100" s="55" t="str">
        <f>'Input - Dairy'!$D$55</f>
        <v>Feed pad</v>
      </c>
      <c r="E100" s="55" t="str">
        <f>'Input - Dairy'!$D$116</f>
        <v>Solid storage</v>
      </c>
      <c r="F100" s="55" cm="1">
        <f t="array" ref="F100">MMS_Dairy_ManureAppliedToSoils_Equations.VEERG_4_3_1_8__1_MassOfNitrogenAppliedToSoilsScope1(F30,$E67,$E76,F42,F88)</f>
        <v>405.70748268593354</v>
      </c>
      <c r="G100" s="55" cm="1">
        <f t="array" ref="G100">MMS_Dairy_ManureAppliedToSoils_Equations.VEERG_4_3_1_8__1_MassOfNitrogenAppliedToSoilsScope1(G30,$E67,$E76,G42,G88)</f>
        <v>348.57298647086628</v>
      </c>
      <c r="H100" s="55" cm="1">
        <f t="array" ref="H100">MMS_Dairy_ManureAppliedToSoils_Equations.VEERG_4_3_1_8__1_MassOfNitrogenAppliedToSoilsScope1(H30,$E67,$E76,H42,H88)</f>
        <v>138.83293420308752</v>
      </c>
      <c r="I100" s="55" cm="1">
        <f t="array" ref="I100">MMS_Dairy_ManureAppliedToSoils_Equations.VEERG_4_3_1_8__1_MassOfNitrogenAppliedToSoilsScope1(I30,$E67,$E76,I42,I88)</f>
        <v>438.17002970912802</v>
      </c>
      <c r="J100" s="55" cm="1">
        <f t="array" ref="J100">MMS_Dairy_ManureAppliedToSoils_Equations.VEERG_4_3_1_8__1_MassOfNitrogenAppliedToSoilsScope1(J30,$E67,$E76,J42,J88)</f>
        <v>183.43082033258989</v>
      </c>
      <c r="K100" s="2" t="str">
        <f t="shared" si="3"/>
        <v>kg N</v>
      </c>
      <c r="O100" s="55" t="str">
        <f>'Input - Dairy'!$D$55</f>
        <v>Feed pad</v>
      </c>
      <c r="P100" s="55" t="str">
        <f>'Input - Dairy'!$D$116</f>
        <v>Solid storage</v>
      </c>
      <c r="Q100" s="55" cm="1">
        <f t="array" ref="Q100">MMS_Dairy_ManureAppliedToSoils_Equations.VEERG_4_3_1_8__1_MassOfNitrogenAppliedToSoilsScope1(Q30,$E67,$E76,Q42,F88)</f>
        <v>405.70748268593354</v>
      </c>
      <c r="R100" s="55" cm="1">
        <f t="array" ref="R100">MMS_Dairy_ManureAppliedToSoils_Equations.VEERG_4_3_1_8__1_MassOfNitrogenAppliedToSoilsScope1(R30,$E67,$E76,R42,G88)</f>
        <v>348.57298647086628</v>
      </c>
      <c r="S100" s="55" cm="1">
        <f t="array" ref="S100">MMS_Dairy_ManureAppliedToSoils_Equations.VEERG_4_3_1_8__1_MassOfNitrogenAppliedToSoilsScope1(S30,$E67,$E76,S42,H88)</f>
        <v>138.83293420308752</v>
      </c>
      <c r="T100" s="55" cm="1">
        <f t="array" ref="T100">MMS_Dairy_ManureAppliedToSoils_Equations.VEERG_4_3_1_8__1_MassOfNitrogenAppliedToSoilsScope1(T30,$E67,$E76,T42,I88)</f>
        <v>438.17002970912802</v>
      </c>
      <c r="U100" s="55" cm="1">
        <f t="array" ref="U100">MMS_Dairy_ManureAppliedToSoils_Equations.VEERG_4_3_1_8__1_MassOfNitrogenAppliedToSoilsScope1(U30,$E67,$E76,U42,J88)</f>
        <v>183.43082033258989</v>
      </c>
      <c r="V100" s="2" t="str">
        <f t="shared" si="4"/>
        <v>kg N</v>
      </c>
    </row>
    <row r="101" spans="3:23" ht="20.100000000000001" customHeight="1" x14ac:dyDescent="0.25"/>
    <row r="102" spans="3:23" ht="20.100000000000001" customHeight="1" x14ac:dyDescent="0.25">
      <c r="D102" s="108" t="s">
        <v>136</v>
      </c>
      <c r="E102" s="109">
        <f>SUM(F93:J100)</f>
        <v>6145.7182804057311</v>
      </c>
      <c r="F102" s="110" t="str">
        <f>$E$52</f>
        <v>kg N</v>
      </c>
    </row>
    <row r="103" spans="3:23" ht="20.100000000000001" customHeight="1" x14ac:dyDescent="0.25"/>
    <row r="104" spans="3:23" ht="20.100000000000001" customHeight="1" x14ac:dyDescent="0.25"/>
    <row r="105" spans="3:23" ht="20.100000000000001" customHeight="1" x14ac:dyDescent="0.25">
      <c r="C105" s="48"/>
      <c r="D105" s="48"/>
      <c r="E105" s="48"/>
      <c r="F105" s="48"/>
      <c r="G105" s="48"/>
      <c r="H105" s="48"/>
      <c r="I105" s="48"/>
      <c r="J105" s="48"/>
      <c r="K105" s="48"/>
      <c r="L105" s="48"/>
      <c r="N105" s="48"/>
      <c r="O105" s="48"/>
      <c r="P105" s="48"/>
      <c r="Q105" s="48"/>
      <c r="R105" s="48"/>
      <c r="S105" s="48"/>
      <c r="T105" s="48"/>
      <c r="U105" s="48"/>
      <c r="V105" s="48"/>
      <c r="W105" s="48"/>
    </row>
    <row r="106" spans="3:23" ht="20.100000000000001" customHeight="1" x14ac:dyDescent="0.25">
      <c r="D106" s="6" t="str" cm="1">
        <f t="array" ref="D106">MMS_Dairy_ManureAppliedToSoils_Equations.VEERG_4_3_1_8__2_MassOfNitrogenAppliedToSoilsScope3_Title()</f>
        <v>Mass of nitrogen from manure applied to soils for scope 3 emissions</v>
      </c>
    </row>
    <row r="107" spans="3:23" ht="20.100000000000001" customHeight="1" x14ac:dyDescent="0.25">
      <c r="D107" s="5" t="str" cm="1">
        <f t="array" ref="D107">MMS_Dairy_ManureAppliedToSoils_Equations.VEERG_4_3_1_8__2_MassOfNitrogenAppliedToSoilsScope3_Source()</f>
        <v>VEERG 2026: 4.3.1.8, Equation (2)</v>
      </c>
    </row>
    <row r="108" spans="3:23" ht="20.100000000000001" customHeight="1" x14ac:dyDescent="0.25">
      <c r="D108" s="13" t="s">
        <v>28</v>
      </c>
      <c r="E108" s="13" t="str" cm="1">
        <f t="array" aca="1" ref="E108" ca="1">Common_InputFunctions.Utility_DisplayFunctionName($F$123)</f>
        <v>=MMS_Dairy_ManureAppliedToSoils_Equations.VEERG_4_3_1_8__2_MassOfNitrogenAppliedToSoilsScope3</v>
      </c>
    </row>
    <row r="109" spans="3:23" ht="20.100000000000001" customHeight="1" x14ac:dyDescent="0.25"/>
    <row r="110" spans="3:23" ht="20.100000000000001" customHeight="1" x14ac:dyDescent="0.25">
      <c r="H110" s="114" t="s">
        <v>418</v>
      </c>
    </row>
    <row r="111" spans="3:23" ht="20.100000000000001" customHeight="1" x14ac:dyDescent="0.25">
      <c r="D111" s="56" t="s">
        <v>31</v>
      </c>
      <c r="E111" s="1" t="str" cm="1">
        <f t="array" ref="E111">MMS_Dairy_ManureAppliedToSoils_Equations.VEERG_4_3_1_8__2_MassOfNitrogenAppliedToSoilsScope3_Variable()</f>
        <v>MNSoil_scope3</v>
      </c>
    </row>
    <row r="112" spans="3:23" ht="20.100000000000001" customHeight="1" x14ac:dyDescent="0.25">
      <c r="D112" s="56" t="s">
        <v>21</v>
      </c>
      <c r="E112" s="57" t="str" cm="1">
        <f t="array" ref="E112">MMS_Dairy_ManureAppliedToSoils_Equations.VEERG_4_3_1_8__2_MassOfNitrogenAppliedToSoilsScope3_Unit()</f>
        <v>kg N</v>
      </c>
    </row>
    <row r="113" spans="4:22" ht="20.100000000000001" customHeight="1" x14ac:dyDescent="0.25"/>
    <row r="114" spans="4:22" ht="20.100000000000001" customHeight="1" x14ac:dyDescent="0.25">
      <c r="D114" s="115" t="str" cm="1">
        <f t="array" ref="D114:E118">MMS_Dairy_ManureAppliedToSoils_Equations.VEERG_4_3_1_8__2_MassOfNitrogenAppliedToSoilsScope3_Arguments()</f>
        <v>MN_jm</v>
      </c>
      <c r="E114" s="117" t="str">
        <v>total nitrogen in each MMS for dairy cattle classes (kg N)</v>
      </c>
      <c r="F114" s="144"/>
      <c r="G114" s="116"/>
      <c r="H114" s="115" t="str">
        <f>"See " &amp; $D$20</f>
        <v>See M1_Table_MN_j_m</v>
      </c>
    </row>
    <row r="115" spans="4:22" ht="20.100000000000001" customHeight="1" x14ac:dyDescent="0.25">
      <c r="D115" s="115" t="str">
        <v>EF_m</v>
      </c>
      <c r="E115" s="117" t="str">
        <v>emission factor for nitrous oxide emissions per MMS (kg N2O-N/kg N)</v>
      </c>
      <c r="F115" s="144"/>
      <c r="G115" s="116"/>
      <c r="H115" s="115" t="str">
        <f>"See " &amp; $D$60</f>
        <v>See Table_EF_m</v>
      </c>
    </row>
    <row r="116" spans="4:22" ht="20.100000000000001" customHeight="1" x14ac:dyDescent="0.25">
      <c r="D116" s="115" t="str">
        <v>FracGASM_m</v>
      </c>
      <c r="E116" s="117" t="str">
        <v>fraction of N volatilised from MMS</v>
      </c>
      <c r="F116" s="144"/>
      <c r="G116" s="116"/>
      <c r="H116" s="115" t="str">
        <f>"See " &amp; $D$69</f>
        <v>See Table_FracGASM_m</v>
      </c>
    </row>
    <row r="117" spans="4:22" ht="20.100000000000001" customHeight="1" x14ac:dyDescent="0.25">
      <c r="D117" s="115" t="str">
        <v>MNLeach_jm</v>
      </c>
      <c r="E117" s="117" t="str">
        <v>mass of N lost through leaching and runoff from each MMS (kg N)</v>
      </c>
      <c r="F117" s="144"/>
      <c r="G117" s="116"/>
      <c r="H117" s="115" t="str">
        <f>"See " &amp; $D$32</f>
        <v>See M1_Table_MN_leach_j_m-1-13</v>
      </c>
    </row>
    <row r="118" spans="4:22" ht="20.100000000000001" customHeight="1" x14ac:dyDescent="0.25">
      <c r="D118" s="115" t="str">
        <v>PF</v>
      </c>
      <c r="E118" s="117" t="str">
        <v>fraction of manure applied to soil within farm boundary</v>
      </c>
      <c r="F118" s="144"/>
      <c r="G118" s="116"/>
      <c r="H118" s="115" t="str">
        <f>"See " &amp; D78</f>
        <v>See Table_PF_scope</v>
      </c>
    </row>
    <row r="119" spans="4:22" ht="20.100000000000001" customHeight="1" x14ac:dyDescent="0.25"/>
    <row r="120" spans="4:22" ht="20.100000000000001" customHeight="1" x14ac:dyDescent="0.25">
      <c r="D120" s="104" t="s">
        <v>379</v>
      </c>
      <c r="O120" s="104" t="s">
        <v>385</v>
      </c>
    </row>
    <row r="121" spans="4:22" ht="20.100000000000001" customHeight="1" x14ac:dyDescent="0.25">
      <c r="D121" s="103" t="s">
        <v>380</v>
      </c>
      <c r="O121" s="103" t="s">
        <v>386</v>
      </c>
    </row>
    <row r="122" spans="4:22" ht="20.100000000000001" customHeight="1" x14ac:dyDescent="0.25">
      <c r="D122" s="54" t="s">
        <v>159</v>
      </c>
      <c r="E122" s="54" t="s">
        <v>69</v>
      </c>
      <c r="F122" s="54" t="s">
        <v>186</v>
      </c>
      <c r="G122" s="54" t="s">
        <v>203</v>
      </c>
      <c r="H122" s="54" t="s">
        <v>204</v>
      </c>
      <c r="I122" s="54" t="s">
        <v>205</v>
      </c>
      <c r="J122" s="54" t="s">
        <v>206</v>
      </c>
      <c r="O122" s="54" t="s">
        <v>159</v>
      </c>
      <c r="P122" s="54" t="s">
        <v>69</v>
      </c>
      <c r="Q122" s="54" t="s">
        <v>186</v>
      </c>
      <c r="R122" s="54" t="s">
        <v>203</v>
      </c>
      <c r="S122" s="54" t="s">
        <v>204</v>
      </c>
      <c r="T122" s="54" t="s">
        <v>205</v>
      </c>
      <c r="U122" s="54" t="s">
        <v>206</v>
      </c>
    </row>
    <row r="123" spans="4:22" ht="20.100000000000001" customHeight="1" x14ac:dyDescent="0.25">
      <c r="D123" s="55" t="str">
        <f>'Input - Dairy'!$D$54</f>
        <v>Milking shed</v>
      </c>
      <c r="E123" s="55" t="str">
        <f>'Input - Dairy'!$D$67</f>
        <v>Anaerobic lagoon</v>
      </c>
      <c r="F123" s="55" cm="1">
        <f t="array" ref="F123">MMS_Dairy_ManureAppliedToSoils_Equations.VEERG_4_3_1_8__2_MassOfNitrogenAppliedToSoilsScope3(F23, $E64, $E73, F35,F81)</f>
        <v>66.858161940753106</v>
      </c>
      <c r="G123" s="55" cm="1">
        <f t="array" ref="G123">MMS_Dairy_ManureAppliedToSoils_Equations.VEERG_4_3_1_8__2_MassOfNitrogenAppliedToSoilsScope3(G23, $E64, $E73, G35,G81)</f>
        <v>57.442739343513551</v>
      </c>
      <c r="H123" s="55" cm="1">
        <f t="array" ref="H123">MMS_Dairy_ManureAppliedToSoils_Equations.VEERG_4_3_1_8__2_MassOfNitrogenAppliedToSoilsScope3(H23, $E64, $E73, H35,H81)</f>
        <v>22.878835599010678</v>
      </c>
      <c r="I123" s="55" cm="1">
        <f t="array" ref="I123">MMS_Dairy_ManureAppliedToSoils_Equations.VEERG_4_3_1_8__2_MassOfNitrogenAppliedToSoilsScope3(I23, $E64, $E73, I35,I81)</f>
        <v>72.207795158058559</v>
      </c>
      <c r="J123" s="55" cm="1">
        <f t="array" ref="J123">MMS_Dairy_ManureAppliedToSoils_Equations.VEERG_4_3_1_8__2_MassOfNitrogenAppliedToSoilsScope3(J23, $E64, $E73, J35,J81)</f>
        <v>30.228299979902456</v>
      </c>
      <c r="K123" s="2" t="str">
        <f>$E$112</f>
        <v>kg N</v>
      </c>
      <c r="O123" s="55" t="str">
        <f>'Input - Dairy'!$D$54</f>
        <v>Milking shed</v>
      </c>
      <c r="P123" s="55" t="str">
        <f>'Input - Dairy'!$D$67</f>
        <v>Anaerobic lagoon</v>
      </c>
      <c r="Q123" s="55" cm="1">
        <f t="array" ref="Q123">MMS_Dairy_ManureAppliedToSoils_Equations.VEERG_4_3_1_8__2_MassOfNitrogenAppliedToSoilsScope3(Q23, $E64, $E73, Q35,F81)</f>
        <v>66.858161940753106</v>
      </c>
      <c r="R123" s="55" cm="1">
        <f t="array" ref="R123">MMS_Dairy_ManureAppliedToSoils_Equations.VEERG_4_3_1_8__2_MassOfNitrogenAppliedToSoilsScope3(R23, $E64, $E73, R35,G81)</f>
        <v>57.442739343513551</v>
      </c>
      <c r="S123" s="55" cm="1">
        <f t="array" ref="S123">MMS_Dairy_ManureAppliedToSoils_Equations.VEERG_4_3_1_8__2_MassOfNitrogenAppliedToSoilsScope3(S23, $E64, $E73, S35,H81)</f>
        <v>22.878835599010678</v>
      </c>
      <c r="T123" s="55" cm="1">
        <f t="array" ref="T123">MMS_Dairy_ManureAppliedToSoils_Equations.VEERG_4_3_1_8__2_MassOfNitrogenAppliedToSoilsScope3(T23, $E64, $E73, T35,I81)</f>
        <v>72.207795158058559</v>
      </c>
      <c r="U123" s="55" cm="1">
        <f t="array" ref="U123">MMS_Dairy_ManureAppliedToSoils_Equations.VEERG_4_3_1_8__2_MassOfNitrogenAppliedToSoilsScope3(U23, $E64, $E73, U35,J81)</f>
        <v>30.228299979902456</v>
      </c>
      <c r="V123" s="2" t="str">
        <f t="shared" ref="V123:V130" si="5">$E$112</f>
        <v>kg N</v>
      </c>
    </row>
    <row r="124" spans="4:22" ht="20.100000000000001" customHeight="1" x14ac:dyDescent="0.25">
      <c r="D124" s="55" t="str">
        <f>'Input - Dairy'!$D$54</f>
        <v>Milking shed</v>
      </c>
      <c r="E124" s="55" t="str">
        <f>'Input - Dairy'!$D$72</f>
        <v>Sump and dispersal system</v>
      </c>
      <c r="F124" s="55" cm="1">
        <f t="array" ref="F124">MMS_Dairy_ManureAppliedToSoils_Equations.VEERG_4_3_1_8__2_MassOfNitrogenAppliedToSoilsScope3(F24, $E65, $E74, F36,F82)</f>
        <v>96.572900581087808</v>
      </c>
      <c r="G124" s="55" cm="1">
        <f t="array" ref="G124">MMS_Dairy_ManureAppliedToSoils_Equations.VEERG_4_3_1_8__2_MassOfNitrogenAppliedToSoilsScope3(G24, $E65, $E74, G36,G82)</f>
        <v>82.97284571840845</v>
      </c>
      <c r="H124" s="55" cm="1">
        <f t="array" ref="H124">MMS_Dairy_ManureAppliedToSoils_Equations.VEERG_4_3_1_8__2_MassOfNitrogenAppliedToSoilsScope3(H24, $E65, $E74, H36,H82)</f>
        <v>33.047206976348761</v>
      </c>
      <c r="I124" s="55" cm="1">
        <f t="array" ref="I124">MMS_Dairy_ManureAppliedToSoils_Equations.VEERG_4_3_1_8__2_MassOfNitrogenAppliedToSoilsScope3(I24, $E65, $E74, I36,I82)</f>
        <v>104.30014856164013</v>
      </c>
      <c r="J124" s="55" cm="1">
        <f t="array" ref="J124">MMS_Dairy_ManureAppliedToSoils_Equations.VEERG_4_3_1_8__2_MassOfNitrogenAppliedToSoilsScope3(J24, $E65, $E74, J36,J82)</f>
        <v>43.663099970970208</v>
      </c>
      <c r="K124" s="2" t="str">
        <f t="shared" ref="K124:K130" si="6">$E$112</f>
        <v>kg N</v>
      </c>
      <c r="O124" s="55" t="str">
        <f>'Input - Dairy'!$D$54</f>
        <v>Milking shed</v>
      </c>
      <c r="P124" s="55" t="str">
        <f>'Input - Dairy'!$D$72</f>
        <v>Sump and dispersal system</v>
      </c>
      <c r="Q124" s="55" cm="1">
        <f t="array" ref="Q124">MMS_Dairy_ManureAppliedToSoils_Equations.VEERG_4_3_1_8__2_MassOfNitrogenAppliedToSoilsScope3(Q24, $E65, $E74, Q36,F82)</f>
        <v>96.572900581087808</v>
      </c>
      <c r="R124" s="55" cm="1">
        <f t="array" ref="R124">MMS_Dairy_ManureAppliedToSoils_Equations.VEERG_4_3_1_8__2_MassOfNitrogenAppliedToSoilsScope3(R24, $E65, $E74, R36,G82)</f>
        <v>82.97284571840845</v>
      </c>
      <c r="S124" s="55" cm="1">
        <f t="array" ref="S124">MMS_Dairy_ManureAppliedToSoils_Equations.VEERG_4_3_1_8__2_MassOfNitrogenAppliedToSoilsScope3(S24, $E65, $E74, S36,H82)</f>
        <v>33.047206976348761</v>
      </c>
      <c r="T124" s="55" cm="1">
        <f t="array" ref="T124">MMS_Dairy_ManureAppliedToSoils_Equations.VEERG_4_3_1_8__2_MassOfNitrogenAppliedToSoilsScope3(T24, $E65, $E74, T36,I82)</f>
        <v>104.30014856164013</v>
      </c>
      <c r="U124" s="55" cm="1">
        <f t="array" ref="U124">MMS_Dairy_ManureAppliedToSoils_Equations.VEERG_4_3_1_8__2_MassOfNitrogenAppliedToSoilsScope3(U24, $E65, $E74, U36,J82)</f>
        <v>43.663099970970208</v>
      </c>
      <c r="V124" s="2" t="str">
        <f t="shared" si="5"/>
        <v>kg N</v>
      </c>
    </row>
    <row r="125" spans="4:22" ht="20.100000000000001" customHeight="1" x14ac:dyDescent="0.25">
      <c r="D125" s="55" t="str">
        <f>'Input - Dairy'!$D$54</f>
        <v>Milking shed</v>
      </c>
      <c r="E125" s="55" t="str">
        <f>'Input - Dairy'!$D$77</f>
        <v>Drains to paddock</v>
      </c>
      <c r="F125" s="55" cm="1">
        <f t="array" ref="F125">MMS_Dairy_ManureAppliedToSoils_Equations.VEERG_4_3_1_8__2_MassOfNitrogenAppliedToSoilsScope3(F25, $E66, $E75, F37,F83)</f>
        <v>82.776771926646703</v>
      </c>
      <c r="G125" s="55" cm="1">
        <f t="array" ref="G125">MMS_Dairy_ManureAppliedToSoils_Equations.VEERG_4_3_1_8__2_MassOfNitrogenAppliedToSoilsScope3(G25, $E66, $E75, G37,G83)</f>
        <v>71.119582044350111</v>
      </c>
      <c r="H125" s="55" cm="1">
        <f t="array" ref="H125">MMS_Dairy_ManureAppliedToSoils_Equations.VEERG_4_3_1_8__2_MassOfNitrogenAppliedToSoilsScope3(H25, $E66, $E75, H37,H83)</f>
        <v>28.326177408298935</v>
      </c>
      <c r="I125" s="55" cm="1">
        <f t="array" ref="I125">MMS_Dairy_ManureAppliedToSoils_Equations.VEERG_4_3_1_8__2_MassOfNitrogenAppliedToSoilsScope3(I25, $E66, $E75, I37,I83)</f>
        <v>89.4001273385487</v>
      </c>
      <c r="J125" s="55" cm="1">
        <f t="array" ref="J125">MMS_Dairy_ManureAppliedToSoils_Equations.VEERG_4_3_1_8__2_MassOfNitrogenAppliedToSoilsScope3(J25, $E66, $E75, J37,J83)</f>
        <v>37.425514260831612</v>
      </c>
      <c r="K125" s="2" t="str">
        <f t="shared" si="6"/>
        <v>kg N</v>
      </c>
      <c r="O125" s="55" t="str">
        <f>'Input - Dairy'!$D$54</f>
        <v>Milking shed</v>
      </c>
      <c r="P125" s="55" t="str">
        <f>'Input - Dairy'!$D$77</f>
        <v>Drains to paddock</v>
      </c>
      <c r="Q125" s="55" cm="1">
        <f t="array" ref="Q125">MMS_Dairy_ManureAppliedToSoils_Equations.VEERG_4_3_1_8__2_MassOfNitrogenAppliedToSoilsScope3(Q25, $E66, $E75, Q37,F83)</f>
        <v>82.776771926646703</v>
      </c>
      <c r="R125" s="55" cm="1">
        <f t="array" ref="R125">MMS_Dairy_ManureAppliedToSoils_Equations.VEERG_4_3_1_8__2_MassOfNitrogenAppliedToSoilsScope3(R25, $E66, $E75, R37,G83)</f>
        <v>71.119582044350111</v>
      </c>
      <c r="S125" s="55" cm="1">
        <f t="array" ref="S125">MMS_Dairy_ManureAppliedToSoils_Equations.VEERG_4_3_1_8__2_MassOfNitrogenAppliedToSoilsScope3(S25, $E66, $E75, S37,H83)</f>
        <v>28.326177408298935</v>
      </c>
      <c r="T125" s="55" cm="1">
        <f t="array" ref="T125">MMS_Dairy_ManureAppliedToSoils_Equations.VEERG_4_3_1_8__2_MassOfNitrogenAppliedToSoilsScope3(T25, $E66, $E75, T37,I83)</f>
        <v>89.4001273385487</v>
      </c>
      <c r="U125" s="55" cm="1">
        <f t="array" ref="U125">MMS_Dairy_ManureAppliedToSoils_Equations.VEERG_4_3_1_8__2_MassOfNitrogenAppliedToSoilsScope3(U25, $E66, $E75, U37,J83)</f>
        <v>37.425514260831612</v>
      </c>
      <c r="V125" s="2" t="str">
        <f t="shared" si="5"/>
        <v>kg N</v>
      </c>
    </row>
    <row r="126" spans="4:22" ht="20.100000000000001" customHeight="1" x14ac:dyDescent="0.25">
      <c r="D126" s="55" t="str">
        <f>'Input - Dairy'!$D$54</f>
        <v>Milking shed</v>
      </c>
      <c r="E126" s="55" t="str">
        <f>'Input - Dairy'!$D$82</f>
        <v>Solid storage</v>
      </c>
      <c r="F126" s="55" cm="1">
        <f t="array" ref="F126">MMS_Dairy_ManureAppliedToSoils_Equations.VEERG_4_3_1_8__2_MassOfNitrogenAppliedToSoilsScope3(F26, $E67, $E76, F38,F84)</f>
        <v>143.26748987304236</v>
      </c>
      <c r="G126" s="55" cm="1">
        <f t="array" ref="G126">MMS_Dairy_ManureAppliedToSoils_Equations.VEERG_4_3_1_8__2_MassOfNitrogenAppliedToSoilsScope3(G26, $E67, $E76, G38,G84)</f>
        <v>123.09158430752903</v>
      </c>
      <c r="H126" s="55" cm="1">
        <f t="array" ref="H126">MMS_Dairy_ManureAppliedToSoils_Equations.VEERG_4_3_1_8__2_MassOfNitrogenAppliedToSoilsScope3(H26, $E67, $E76, H38,H84)</f>
        <v>49.0260762835943</v>
      </c>
      <c r="I126" s="55" cm="1">
        <f t="array" ref="I126">MMS_Dairy_ManureAppliedToSoils_Equations.VEERG_4_3_1_8__2_MassOfNitrogenAppliedToSoilsScope3(I26, $E67, $E76, I38,I84)</f>
        <v>154.73098962441119</v>
      </c>
      <c r="J126" s="55" cm="1">
        <f t="array" ref="J126">MMS_Dairy_ManureAppliedToSoils_Equations.VEERG_4_3_1_8__2_MassOfNitrogenAppliedToSoilsScope3(J26, $E67, $E76, J38,J84)</f>
        <v>64.774928528362395</v>
      </c>
      <c r="K126" s="2" t="str">
        <f t="shared" si="6"/>
        <v>kg N</v>
      </c>
      <c r="O126" s="55" t="str">
        <f>'Input - Dairy'!$D$54</f>
        <v>Milking shed</v>
      </c>
      <c r="P126" s="55" t="str">
        <f>'Input - Dairy'!$D$82</f>
        <v>Solid storage</v>
      </c>
      <c r="Q126" s="55" cm="1">
        <f t="array" ref="Q126">MMS_Dairy_ManureAppliedToSoils_Equations.VEERG_4_3_1_8__2_MassOfNitrogenAppliedToSoilsScope3(Q26, $E67, $E76, Q38,F84)</f>
        <v>143.26748987304236</v>
      </c>
      <c r="R126" s="55" cm="1">
        <f t="array" ref="R126">MMS_Dairy_ManureAppliedToSoils_Equations.VEERG_4_3_1_8__2_MassOfNitrogenAppliedToSoilsScope3(R26, $E67, $E76, R38,G84)</f>
        <v>123.09158430752903</v>
      </c>
      <c r="S126" s="55" cm="1">
        <f t="array" ref="S126">MMS_Dairy_ManureAppliedToSoils_Equations.VEERG_4_3_1_8__2_MassOfNitrogenAppliedToSoilsScope3(S26, $E67, $E76, S38,H84)</f>
        <v>49.0260762835943</v>
      </c>
      <c r="T126" s="55" cm="1">
        <f t="array" ref="T126">MMS_Dairy_ManureAppliedToSoils_Equations.VEERG_4_3_1_8__2_MassOfNitrogenAppliedToSoilsScope3(T26, $E67, $E76, T38,I84)</f>
        <v>154.73098962441119</v>
      </c>
      <c r="U126" s="55" cm="1">
        <f t="array" ref="U126">MMS_Dairy_ManureAppliedToSoils_Equations.VEERG_4_3_1_8__2_MassOfNitrogenAppliedToSoilsScope3(U26, $E67, $E76, U38,J84)</f>
        <v>64.774928528362395</v>
      </c>
      <c r="V126" s="2" t="str">
        <f t="shared" si="5"/>
        <v>kg N</v>
      </c>
    </row>
    <row r="127" spans="4:22" ht="20.100000000000001" customHeight="1" x14ac:dyDescent="0.25">
      <c r="D127" s="55" t="str">
        <f>'Input - Dairy'!$D$55</f>
        <v>Feed pad</v>
      </c>
      <c r="E127" s="55" t="str">
        <f>'Input - Dairy'!$D$101</f>
        <v>Anaerobic lagoon</v>
      </c>
      <c r="F127" s="55" cm="1">
        <f t="array" ref="F127">MMS_Dairy_ManureAppliedToSoils_Equations.VEERG_4_3_1_8__2_MassOfNitrogenAppliedToSoilsScope3(F27, $E64, $E73, F39,F85)</f>
        <v>270.47165512395571</v>
      </c>
      <c r="G127" s="55" cm="1">
        <f t="array" ref="G127">MMS_Dairy_ManureAppliedToSoils_Equations.VEERG_4_3_1_8__2_MassOfNitrogenAppliedToSoilsScope3(G27, $E64, $E73, G39,G85)</f>
        <v>232.38199098057751</v>
      </c>
      <c r="H127" s="55" cm="1">
        <f t="array" ref="H127">MMS_Dairy_ManureAppliedToSoils_Equations.VEERG_4_3_1_8__2_MassOfNitrogenAppliedToSoilsScope3(H27, $E64, $E73, H39,H85)</f>
        <v>92.555289468725022</v>
      </c>
      <c r="I127" s="55" cm="1">
        <f t="array" ref="I127">MMS_Dairy_ManureAppliedToSoils_Equations.VEERG_4_3_1_8__2_MassOfNitrogenAppliedToSoilsScope3(I27, $E64, $E73, I39,I85)</f>
        <v>292.11335313941873</v>
      </c>
      <c r="J127" s="55" cm="1">
        <f t="array" ref="J127">MMS_Dairy_ManureAppliedToSoils_Equations.VEERG_4_3_1_8__2_MassOfNitrogenAppliedToSoilsScope3(J27, $E64, $E73, J39,J85)</f>
        <v>122.28721355505992</v>
      </c>
      <c r="K127" s="2" t="str">
        <f t="shared" si="6"/>
        <v>kg N</v>
      </c>
      <c r="O127" s="55" t="str">
        <f>'Input - Dairy'!$D$55</f>
        <v>Feed pad</v>
      </c>
      <c r="P127" s="55" t="str">
        <f>'Input - Dairy'!$D$101</f>
        <v>Anaerobic lagoon</v>
      </c>
      <c r="Q127" s="55" cm="1">
        <f t="array" ref="Q127">MMS_Dairy_ManureAppliedToSoils_Equations.VEERG_4_3_1_8__2_MassOfNitrogenAppliedToSoilsScope3(Q27, $E64, $E73, Q39,F85)</f>
        <v>270.47165512395571</v>
      </c>
      <c r="R127" s="55" cm="1">
        <f t="array" ref="R127">MMS_Dairy_ManureAppliedToSoils_Equations.VEERG_4_3_1_8__2_MassOfNitrogenAppliedToSoilsScope3(R27, $E64, $E73, R39,G85)</f>
        <v>232.38199098057751</v>
      </c>
      <c r="S127" s="55" cm="1">
        <f t="array" ref="S127">MMS_Dairy_ManureAppliedToSoils_Equations.VEERG_4_3_1_8__2_MassOfNitrogenAppliedToSoilsScope3(S27, $E64, $E73, S39,H85)</f>
        <v>92.555289468725022</v>
      </c>
      <c r="T127" s="55" cm="1">
        <f t="array" ref="T127">MMS_Dairy_ManureAppliedToSoils_Equations.VEERG_4_3_1_8__2_MassOfNitrogenAppliedToSoilsScope3(T27, $E64, $E73, T39,I85)</f>
        <v>292.11335313941873</v>
      </c>
      <c r="U127" s="55" cm="1">
        <f t="array" ref="U127">MMS_Dairy_ManureAppliedToSoils_Equations.VEERG_4_3_1_8__2_MassOfNitrogenAppliedToSoilsScope3(U27, $E64, $E73, U39,J85)</f>
        <v>122.28721355505992</v>
      </c>
      <c r="V127" s="2" t="str">
        <f t="shared" si="5"/>
        <v>kg N</v>
      </c>
    </row>
    <row r="128" spans="4:22" ht="20.100000000000001" customHeight="1" x14ac:dyDescent="0.25">
      <c r="D128" s="55" t="str">
        <f>'Input - Dairy'!$D$55</f>
        <v>Feed pad</v>
      </c>
      <c r="E128" s="55" t="str">
        <f>'Input - Dairy'!$D$106</f>
        <v>Sump and dispersal system</v>
      </c>
      <c r="F128" s="55" cm="1">
        <f t="array" ref="F128">MMS_Dairy_ManureAppliedToSoils_Equations.VEERG_4_3_1_8__2_MassOfNitrogenAppliedToSoilsScope3(F28, $E65, $E74, F40,F86)</f>
        <v>312.54502369879322</v>
      </c>
      <c r="G128" s="55" cm="1">
        <f t="array" ref="G128">MMS_Dairy_ManureAppliedToSoils_Equations.VEERG_4_3_1_8__2_MassOfNitrogenAppliedToSoilsScope3(G28, $E65, $E74, G40,G86)</f>
        <v>268.53030068866735</v>
      </c>
      <c r="H128" s="55" cm="1">
        <f t="array" ref="H128">MMS_Dairy_ManureAppliedToSoils_Equations.VEERG_4_3_1_8__2_MassOfNitrogenAppliedToSoilsScope3(H28, $E65, $E74, H40,H86)</f>
        <v>106.95277894163779</v>
      </c>
      <c r="I128" s="55" cm="1">
        <f t="array" ref="I128">MMS_Dairy_ManureAppliedToSoils_Equations.VEERG_4_3_1_8__2_MassOfNitrogenAppliedToSoilsScope3(I28, $E65, $E74, I40,I86)</f>
        <v>337.5532080722171</v>
      </c>
      <c r="J128" s="55" cm="1">
        <f t="array" ref="J128">MMS_Dairy_ManureAppliedToSoils_Equations.VEERG_4_3_1_8__2_MassOfNitrogenAppliedToSoilsScope3(J28, $E65, $E74, J40,J86)</f>
        <v>141.30966899695812</v>
      </c>
      <c r="K128" s="2" t="str">
        <f t="shared" si="6"/>
        <v>kg N</v>
      </c>
      <c r="O128" s="55" t="str">
        <f>'Input - Dairy'!$D$55</f>
        <v>Feed pad</v>
      </c>
      <c r="P128" s="55" t="str">
        <f>'Input - Dairy'!$D$106</f>
        <v>Sump and dispersal system</v>
      </c>
      <c r="Q128" s="55" cm="1">
        <f t="array" ref="Q128">MMS_Dairy_ManureAppliedToSoils_Equations.VEERG_4_3_1_8__2_MassOfNitrogenAppliedToSoilsScope3(Q28, $E65, $E74, Q40,F86)</f>
        <v>312.54502369879322</v>
      </c>
      <c r="R128" s="55" cm="1">
        <f t="array" ref="R128">MMS_Dairy_ManureAppliedToSoils_Equations.VEERG_4_3_1_8__2_MassOfNitrogenAppliedToSoilsScope3(R28, $E65, $E74, R40,G86)</f>
        <v>268.53030068866735</v>
      </c>
      <c r="S128" s="55" cm="1">
        <f t="array" ref="S128">MMS_Dairy_ManureAppliedToSoils_Equations.VEERG_4_3_1_8__2_MassOfNitrogenAppliedToSoilsScope3(S28, $E65, $E74, S40,H86)</f>
        <v>106.95277894163779</v>
      </c>
      <c r="T128" s="55" cm="1">
        <f t="array" ref="T128">MMS_Dairy_ManureAppliedToSoils_Equations.VEERG_4_3_1_8__2_MassOfNitrogenAppliedToSoilsScope3(T28, $E65, $E74, T40,I86)</f>
        <v>337.5532080722171</v>
      </c>
      <c r="U128" s="55" cm="1">
        <f t="array" ref="U128">MMS_Dairy_ManureAppliedToSoils_Equations.VEERG_4_3_1_8__2_MassOfNitrogenAppliedToSoilsScope3(U28, $E65, $E74, U40,J86)</f>
        <v>141.30966899695812</v>
      </c>
      <c r="V128" s="2" t="str">
        <f t="shared" si="5"/>
        <v>kg N</v>
      </c>
    </row>
    <row r="129" spans="3:23" ht="20.100000000000001" customHeight="1" x14ac:dyDescent="0.25">
      <c r="D129" s="55" t="str">
        <f>'Input - Dairy'!$D$55</f>
        <v>Feed pad</v>
      </c>
      <c r="E129" s="55" t="str">
        <f>'Input - Dairy'!$D$111</f>
        <v>Drains to paddock</v>
      </c>
      <c r="F129" s="55" cm="1">
        <f t="array" ref="F129">MMS_Dairy_ManureAppliedToSoils_Equations.VEERG_4_3_1_8__2_MassOfNitrogenAppliedToSoilsScope3(F29, $E66, $E75, F41,F87)</f>
        <v>267.89573459896565</v>
      </c>
      <c r="G129" s="55" cm="1">
        <f t="array" ref="G129">MMS_Dairy_ManureAppliedToSoils_Equations.VEERG_4_3_1_8__2_MassOfNitrogenAppliedToSoilsScope3(G29, $E66, $E75, G41,G87)</f>
        <v>230.16882916171488</v>
      </c>
      <c r="H129" s="55" cm="1">
        <f t="array" ref="H129">MMS_Dairy_ManureAppliedToSoils_Equations.VEERG_4_3_1_8__2_MassOfNitrogenAppliedToSoilsScope3(H29, $E66, $E75, H41,H87)</f>
        <v>91.673810521403823</v>
      </c>
      <c r="I129" s="55" cm="1">
        <f t="array" ref="I129">MMS_Dairy_ManureAppliedToSoils_Equations.VEERG_4_3_1_8__2_MassOfNitrogenAppliedToSoilsScope3(I29, $E66, $E75, I41,I87)</f>
        <v>289.33132120475756</v>
      </c>
      <c r="J129" s="55" cm="1">
        <f t="array" ref="J129">MMS_Dairy_ManureAppliedToSoils_Equations.VEERG_4_3_1_8__2_MassOfNitrogenAppliedToSoilsScope3(J29, $E66, $E75, J41,J87)</f>
        <v>121.12257342596411</v>
      </c>
      <c r="K129" s="2" t="str">
        <f t="shared" si="6"/>
        <v>kg N</v>
      </c>
      <c r="O129" s="55" t="str">
        <f>'Input - Dairy'!$D$55</f>
        <v>Feed pad</v>
      </c>
      <c r="P129" s="55" t="str">
        <f>'Input - Dairy'!$D$111</f>
        <v>Drains to paddock</v>
      </c>
      <c r="Q129" s="55" cm="1">
        <f t="array" ref="Q129">MMS_Dairy_ManureAppliedToSoils_Equations.VEERG_4_3_1_8__2_MassOfNitrogenAppliedToSoilsScope3(Q29, $E66, $E75, Q41,F87)</f>
        <v>267.89573459896565</v>
      </c>
      <c r="R129" s="55" cm="1">
        <f t="array" ref="R129">MMS_Dairy_ManureAppliedToSoils_Equations.VEERG_4_3_1_8__2_MassOfNitrogenAppliedToSoilsScope3(R29, $E66, $E75, R41,G87)</f>
        <v>230.16882916171488</v>
      </c>
      <c r="S129" s="55" cm="1">
        <f t="array" ref="S129">MMS_Dairy_ManureAppliedToSoils_Equations.VEERG_4_3_1_8__2_MassOfNitrogenAppliedToSoilsScope3(S29, $E66, $E75, S41,H87)</f>
        <v>91.673810521403823</v>
      </c>
      <c r="T129" s="55" cm="1">
        <f t="array" ref="T129">MMS_Dairy_ManureAppliedToSoils_Equations.VEERG_4_3_1_8__2_MassOfNitrogenAppliedToSoilsScope3(T29, $E66, $E75, T41,I87)</f>
        <v>289.33132120475756</v>
      </c>
      <c r="U129" s="55" cm="1">
        <f t="array" ref="U129">MMS_Dairy_ManureAppliedToSoils_Equations.VEERG_4_3_1_8__2_MassOfNitrogenAppliedToSoilsScope3(U29, $E66, $E75, U41,J87)</f>
        <v>121.12257342596411</v>
      </c>
      <c r="V129" s="2" t="str">
        <f t="shared" si="5"/>
        <v>kg N</v>
      </c>
    </row>
    <row r="130" spans="3:23" ht="20.100000000000001" customHeight="1" x14ac:dyDescent="0.25">
      <c r="D130" s="55" t="str">
        <f>'Input - Dairy'!$D$55</f>
        <v>Feed pad</v>
      </c>
      <c r="E130" s="55" t="str">
        <f>'Input - Dairy'!$D$116</f>
        <v>Solid storage</v>
      </c>
      <c r="F130" s="55" cm="1">
        <f t="array" ref="F130">MMS_Dairy_ManureAppliedToSoils_Equations.VEERG_4_3_1_8__2_MassOfNitrogenAppliedToSoilsScope3(F30, $E67, $E76, F42,F88)</f>
        <v>405.70748268593354</v>
      </c>
      <c r="G130" s="55" cm="1">
        <f t="array" ref="G130">MMS_Dairy_ManureAppliedToSoils_Equations.VEERG_4_3_1_8__2_MassOfNitrogenAppliedToSoilsScope3(G30, $E67, $E76, G42,G88)</f>
        <v>348.57298647086628</v>
      </c>
      <c r="H130" s="55" cm="1">
        <f t="array" ref="H130">MMS_Dairy_ManureAppliedToSoils_Equations.VEERG_4_3_1_8__2_MassOfNitrogenAppliedToSoilsScope3(H30, $E67, $E76, H42,H88)</f>
        <v>138.83293420308752</v>
      </c>
      <c r="I130" s="55" cm="1">
        <f t="array" ref="I130">MMS_Dairy_ManureAppliedToSoils_Equations.VEERG_4_3_1_8__2_MassOfNitrogenAppliedToSoilsScope3(I30, $E67, $E76, I42,I88)</f>
        <v>438.17002970912802</v>
      </c>
      <c r="J130" s="55" cm="1">
        <f t="array" ref="J130">MMS_Dairy_ManureAppliedToSoils_Equations.VEERG_4_3_1_8__2_MassOfNitrogenAppliedToSoilsScope3(J30, $E67, $E76, J42,J88)</f>
        <v>183.43082033258989</v>
      </c>
      <c r="K130" s="2" t="str">
        <f t="shared" si="6"/>
        <v>kg N</v>
      </c>
      <c r="O130" s="55" t="str">
        <f>'Input - Dairy'!$D$55</f>
        <v>Feed pad</v>
      </c>
      <c r="P130" s="55" t="str">
        <f>'Input - Dairy'!$D$116</f>
        <v>Solid storage</v>
      </c>
      <c r="Q130" s="55" cm="1">
        <f t="array" ref="Q130">MMS_Dairy_ManureAppliedToSoils_Equations.VEERG_4_3_1_8__2_MassOfNitrogenAppliedToSoilsScope3(Q30, $E67, $E76, Q42,F88)</f>
        <v>405.70748268593354</v>
      </c>
      <c r="R130" s="55" cm="1">
        <f t="array" ref="R130">MMS_Dairy_ManureAppliedToSoils_Equations.VEERG_4_3_1_8__2_MassOfNitrogenAppliedToSoilsScope3(R30, $E67, $E76, R42,G88)</f>
        <v>348.57298647086628</v>
      </c>
      <c r="S130" s="55" cm="1">
        <f t="array" ref="S130">MMS_Dairy_ManureAppliedToSoils_Equations.VEERG_4_3_1_8__2_MassOfNitrogenAppliedToSoilsScope3(S30, $E67, $E76, S42,H88)</f>
        <v>138.83293420308752</v>
      </c>
      <c r="T130" s="55" cm="1">
        <f t="array" ref="T130">MMS_Dairy_ManureAppliedToSoils_Equations.VEERG_4_3_1_8__2_MassOfNitrogenAppliedToSoilsScope3(T30, $E67, $E76, T42,I88)</f>
        <v>438.17002970912802</v>
      </c>
      <c r="U130" s="55" cm="1">
        <f t="array" ref="U130">MMS_Dairy_ManureAppliedToSoils_Equations.VEERG_4_3_1_8__2_MassOfNitrogenAppliedToSoilsScope3(U30, $E67, $E76, U42,J88)</f>
        <v>183.43082033258989</v>
      </c>
      <c r="V130" s="2" t="str">
        <f t="shared" si="5"/>
        <v>kg N</v>
      </c>
    </row>
    <row r="131" spans="3:23" ht="20.100000000000001" customHeight="1" x14ac:dyDescent="0.25"/>
    <row r="132" spans="3:23" ht="20.100000000000001" customHeight="1" x14ac:dyDescent="0.25">
      <c r="D132" s="108" t="s">
        <v>384</v>
      </c>
      <c r="E132" s="109">
        <f>SUM(F123:J130)</f>
        <v>6145.7182804057311</v>
      </c>
      <c r="F132" s="110" t="str">
        <f>$E$52</f>
        <v>kg N</v>
      </c>
      <c r="O132" s="108" t="s">
        <v>384</v>
      </c>
      <c r="P132" s="109">
        <f>SUM(Q123:U130)</f>
        <v>6145.7182804057311</v>
      </c>
      <c r="Q132" s="110" t="str">
        <f>$E$52</f>
        <v>kg N</v>
      </c>
    </row>
    <row r="133" spans="3:23" ht="20.100000000000001" customHeight="1" x14ac:dyDescent="0.25"/>
    <row r="134" spans="3:23" ht="20.100000000000001" customHeight="1" x14ac:dyDescent="0.25"/>
    <row r="135" spans="3:23" ht="20.100000000000001" customHeight="1" x14ac:dyDescent="0.25">
      <c r="C135" s="48"/>
      <c r="D135" s="48"/>
      <c r="E135" s="48"/>
      <c r="F135" s="48"/>
      <c r="G135" s="48"/>
      <c r="H135" s="48"/>
      <c r="I135" s="48"/>
      <c r="J135" s="48"/>
      <c r="K135" s="48"/>
      <c r="L135" s="48"/>
      <c r="N135" s="48"/>
      <c r="O135" s="48"/>
      <c r="P135" s="48"/>
      <c r="Q135" s="48"/>
      <c r="R135" s="48"/>
      <c r="S135" s="48"/>
      <c r="T135" s="48"/>
      <c r="U135" s="48"/>
      <c r="V135" s="48"/>
      <c r="W135" s="48"/>
    </row>
    <row r="136" spans="3:23" ht="20.100000000000001" customHeight="1" x14ac:dyDescent="0.25">
      <c r="D136" s="119" t="str">
        <f>"Below are applications of " &amp; D113 &amp; " that are applied to the following contexts:"</f>
        <v>Below are applications of  that are applied to the following contexts:</v>
      </c>
      <c r="E136" s="95"/>
      <c r="F136" s="95"/>
      <c r="G136" s="95"/>
      <c r="H136" s="91"/>
    </row>
    <row r="137" spans="3:23" ht="20.100000000000001" customHeight="1" x14ac:dyDescent="0.25">
      <c r="D137" s="120" t="s">
        <v>387</v>
      </c>
      <c r="E137" s="118"/>
      <c r="F137" s="118"/>
      <c r="G137" s="118"/>
      <c r="H137" s="121"/>
    </row>
    <row r="138" spans="3:23" ht="20.100000000000001" customHeight="1" x14ac:dyDescent="0.25">
      <c r="D138" s="97" t="s">
        <v>388</v>
      </c>
      <c r="E138" s="94"/>
      <c r="F138" s="94"/>
      <c r="G138" s="94"/>
      <c r="H138" s="92"/>
    </row>
    <row r="139" spans="3:23" ht="20.100000000000001" customHeight="1" x14ac:dyDescent="0.25"/>
    <row r="140" spans="3:23" ht="20.100000000000001" customHeight="1" x14ac:dyDescent="0.25">
      <c r="D140" s="6" t="s">
        <v>148</v>
      </c>
    </row>
    <row r="141" spans="3:23" ht="20.100000000000001" customHeight="1" x14ac:dyDescent="0.25"/>
    <row r="142" spans="3:23" ht="20.100000000000001" customHeight="1" x14ac:dyDescent="0.25">
      <c r="D142" s="104" t="s">
        <v>138</v>
      </c>
    </row>
    <row r="143" spans="3:23" ht="20.100000000000001" customHeight="1" x14ac:dyDescent="0.25">
      <c r="D143" s="103" t="s">
        <v>139</v>
      </c>
    </row>
    <row r="144" spans="3:23" ht="20.100000000000001" customHeight="1" x14ac:dyDescent="0.25">
      <c r="D144" s="54" t="s">
        <v>159</v>
      </c>
      <c r="E144" s="54" t="s">
        <v>69</v>
      </c>
      <c r="F144" s="54" t="s">
        <v>186</v>
      </c>
      <c r="G144" s="54" t="s">
        <v>203</v>
      </c>
      <c r="H144" s="54" t="s">
        <v>204</v>
      </c>
      <c r="I144" s="54" t="s">
        <v>205</v>
      </c>
      <c r="J144" s="54" t="s">
        <v>206</v>
      </c>
    </row>
    <row r="145" spans="4:22" ht="20.100000000000001" customHeight="1" x14ac:dyDescent="0.25">
      <c r="D145" s="55" t="str">
        <f>'Input - Dairy'!$D$54</f>
        <v>Milking shed</v>
      </c>
      <c r="E145" s="55" t="str">
        <f>'Input - Dairy'!$D$67</f>
        <v>Anaerobic lagoon</v>
      </c>
      <c r="F145" s="136">
        <f>'Input - Dairy'!E138</f>
        <v>0.25</v>
      </c>
      <c r="G145" s="136">
        <f>'Input - Dairy'!F138</f>
        <v>0.25</v>
      </c>
      <c r="H145" s="136">
        <f>'Input - Dairy'!G138</f>
        <v>0.25</v>
      </c>
      <c r="I145" s="136">
        <f>'Input - Dairy'!H138</f>
        <v>0.25</v>
      </c>
      <c r="J145" s="136">
        <f>'Input - Dairy'!I138</f>
        <v>0.25</v>
      </c>
      <c r="K145" s="2" t="s">
        <v>101</v>
      </c>
    </row>
    <row r="146" spans="4:22" ht="20.100000000000001" customHeight="1" x14ac:dyDescent="0.25">
      <c r="D146" s="55" t="str">
        <f>'Input - Dairy'!$D$54</f>
        <v>Milking shed</v>
      </c>
      <c r="E146" s="55" t="str">
        <f>'Input - Dairy'!$D$72</f>
        <v>Sump and dispersal system</v>
      </c>
      <c r="F146" s="136">
        <f>'Input - Dairy'!E143</f>
        <v>0.25</v>
      </c>
      <c r="G146" s="136">
        <f>'Input - Dairy'!F143</f>
        <v>0.25</v>
      </c>
      <c r="H146" s="136">
        <f>'Input - Dairy'!G143</f>
        <v>0.25</v>
      </c>
      <c r="I146" s="136">
        <f>'Input - Dairy'!H143</f>
        <v>0.25</v>
      </c>
      <c r="J146" s="136">
        <f>'Input - Dairy'!I143</f>
        <v>0.25</v>
      </c>
      <c r="K146" s="2" t="s">
        <v>101</v>
      </c>
    </row>
    <row r="147" spans="4:22" ht="20.100000000000001" customHeight="1" x14ac:dyDescent="0.25">
      <c r="D147" s="55" t="str">
        <f>'Input - Dairy'!$D$54</f>
        <v>Milking shed</v>
      </c>
      <c r="E147" s="55" t="str">
        <f>'Input - Dairy'!$D$77</f>
        <v>Drains to paddock</v>
      </c>
      <c r="F147" s="136">
        <f>'Input - Dairy'!E148</f>
        <v>0.25</v>
      </c>
      <c r="G147" s="136">
        <f>'Input - Dairy'!F148</f>
        <v>0.25</v>
      </c>
      <c r="H147" s="136">
        <f>'Input - Dairy'!G148</f>
        <v>0.25</v>
      </c>
      <c r="I147" s="136">
        <f>'Input - Dairy'!H148</f>
        <v>0.25</v>
      </c>
      <c r="J147" s="136">
        <f>'Input - Dairy'!I148</f>
        <v>0.25</v>
      </c>
      <c r="K147" s="2" t="s">
        <v>101</v>
      </c>
    </row>
    <row r="148" spans="4:22" ht="20.100000000000001" customHeight="1" x14ac:dyDescent="0.25">
      <c r="D148" s="55" t="str">
        <f>'Input - Dairy'!$D$54</f>
        <v>Milking shed</v>
      </c>
      <c r="E148" s="55" t="str">
        <f>'Input - Dairy'!$D$82</f>
        <v>Solid storage</v>
      </c>
      <c r="F148" s="136">
        <f>'Input - Dairy'!E153</f>
        <v>0.25</v>
      </c>
      <c r="G148" s="136">
        <f>'Input - Dairy'!F153</f>
        <v>0.25</v>
      </c>
      <c r="H148" s="136">
        <f>'Input - Dairy'!G153</f>
        <v>0.25</v>
      </c>
      <c r="I148" s="136">
        <f>'Input - Dairy'!H153</f>
        <v>0.25</v>
      </c>
      <c r="J148" s="136">
        <f>'Input - Dairy'!I153</f>
        <v>0.25</v>
      </c>
      <c r="K148" s="2" t="s">
        <v>101</v>
      </c>
    </row>
    <row r="149" spans="4:22" ht="20.100000000000001" customHeight="1" x14ac:dyDescent="0.25">
      <c r="D149" s="55" t="str">
        <f>'Input - Dairy'!$D$55</f>
        <v>Feed pad</v>
      </c>
      <c r="E149" s="55" t="str">
        <f>'Input - Dairy'!$D$101</f>
        <v>Anaerobic lagoon</v>
      </c>
      <c r="F149" s="136">
        <f>'Input - Dairy'!E162</f>
        <v>0.25</v>
      </c>
      <c r="G149" s="136">
        <f>'Input - Dairy'!F162</f>
        <v>0.25</v>
      </c>
      <c r="H149" s="136">
        <f>'Input - Dairy'!G162</f>
        <v>0.25</v>
      </c>
      <c r="I149" s="136">
        <f>'Input - Dairy'!H162</f>
        <v>0.25</v>
      </c>
      <c r="J149" s="136">
        <f>'Input - Dairy'!I162</f>
        <v>0.25</v>
      </c>
      <c r="K149" s="2" t="s">
        <v>101</v>
      </c>
    </row>
    <row r="150" spans="4:22" ht="20.100000000000001" customHeight="1" x14ac:dyDescent="0.25">
      <c r="D150" s="55" t="str">
        <f>'Input - Dairy'!$D$55</f>
        <v>Feed pad</v>
      </c>
      <c r="E150" s="55" t="str">
        <f>'Input - Dairy'!$D$106</f>
        <v>Sump and dispersal system</v>
      </c>
      <c r="F150" s="136">
        <f>'Input - Dairy'!E167</f>
        <v>0.25</v>
      </c>
      <c r="G150" s="136">
        <f>'Input - Dairy'!F167</f>
        <v>0.25</v>
      </c>
      <c r="H150" s="136">
        <f>'Input - Dairy'!G167</f>
        <v>0.25</v>
      </c>
      <c r="I150" s="136">
        <f>'Input - Dairy'!H167</f>
        <v>0.25</v>
      </c>
      <c r="J150" s="136">
        <f>'Input - Dairy'!I167</f>
        <v>0.25</v>
      </c>
      <c r="K150" s="2" t="s">
        <v>101</v>
      </c>
    </row>
    <row r="151" spans="4:22" ht="20.100000000000001" customHeight="1" x14ac:dyDescent="0.25">
      <c r="D151" s="55" t="str">
        <f>'Input - Dairy'!$D$55</f>
        <v>Feed pad</v>
      </c>
      <c r="E151" s="55" t="str">
        <f>'Input - Dairy'!$D$111</f>
        <v>Drains to paddock</v>
      </c>
      <c r="F151" s="136">
        <f>'Input - Dairy'!E172</f>
        <v>0.25</v>
      </c>
      <c r="G151" s="136">
        <f>'Input - Dairy'!F172</f>
        <v>0.25</v>
      </c>
      <c r="H151" s="136">
        <f>'Input - Dairy'!G172</f>
        <v>0.25</v>
      </c>
      <c r="I151" s="136">
        <f>'Input - Dairy'!H172</f>
        <v>0.25</v>
      </c>
      <c r="J151" s="136">
        <f>'Input - Dairy'!I172</f>
        <v>0.25</v>
      </c>
      <c r="K151" s="2" t="s">
        <v>101</v>
      </c>
    </row>
    <row r="152" spans="4:22" ht="20.100000000000001" customHeight="1" x14ac:dyDescent="0.25">
      <c r="D152" s="55" t="str">
        <f>'Input - Dairy'!$D$55</f>
        <v>Feed pad</v>
      </c>
      <c r="E152" s="55" t="str">
        <f>'Input - Dairy'!$D$116</f>
        <v>Solid storage</v>
      </c>
      <c r="F152" s="136">
        <f>'Input - Dairy'!E177</f>
        <v>0.25</v>
      </c>
      <c r="G152" s="136">
        <f>'Input - Dairy'!F177</f>
        <v>0.25</v>
      </c>
      <c r="H152" s="136">
        <f>'Input - Dairy'!G177</f>
        <v>0.25</v>
      </c>
      <c r="I152" s="136">
        <f>'Input - Dairy'!H177</f>
        <v>0.25</v>
      </c>
      <c r="J152" s="136">
        <f>'Input - Dairy'!I177</f>
        <v>0.25</v>
      </c>
      <c r="K152" s="2" t="s">
        <v>101</v>
      </c>
    </row>
    <row r="153" spans="4:22" ht="20.100000000000001" customHeight="1" x14ac:dyDescent="0.25"/>
    <row r="154" spans="4:22" ht="20.100000000000001" customHeight="1" x14ac:dyDescent="0.25">
      <c r="D154" s="104" t="s">
        <v>140</v>
      </c>
      <c r="O154" s="104" t="s">
        <v>141</v>
      </c>
    </row>
    <row r="155" spans="4:22" ht="20.100000000000001" customHeight="1" x14ac:dyDescent="0.25">
      <c r="D155" s="103" t="s">
        <v>143</v>
      </c>
      <c r="O155" s="103" t="s">
        <v>142</v>
      </c>
    </row>
    <row r="156" spans="4:22" ht="20.100000000000001" customHeight="1" x14ac:dyDescent="0.25">
      <c r="D156" s="54" t="s">
        <v>159</v>
      </c>
      <c r="E156" s="54" t="s">
        <v>69</v>
      </c>
      <c r="F156" s="54" t="s">
        <v>186</v>
      </c>
      <c r="G156" s="54" t="s">
        <v>203</v>
      </c>
      <c r="H156" s="54" t="s">
        <v>204</v>
      </c>
      <c r="I156" s="54" t="s">
        <v>205</v>
      </c>
      <c r="J156" s="54" t="s">
        <v>206</v>
      </c>
      <c r="O156" s="54" t="s">
        <v>159</v>
      </c>
      <c r="P156" s="54" t="s">
        <v>69</v>
      </c>
      <c r="Q156" s="54" t="s">
        <v>186</v>
      </c>
      <c r="R156" s="54" t="s">
        <v>203</v>
      </c>
      <c r="S156" s="54" t="s">
        <v>204</v>
      </c>
      <c r="T156" s="54" t="s">
        <v>205</v>
      </c>
      <c r="U156" s="54" t="s">
        <v>206</v>
      </c>
    </row>
    <row r="157" spans="4:22" ht="20.100000000000001" customHeight="1" x14ac:dyDescent="0.25">
      <c r="D157" s="55" t="str">
        <f>'Input - Dairy'!$D$54</f>
        <v>Milking shed</v>
      </c>
      <c r="E157" s="55" t="str">
        <f>'Input - Dairy'!$D$67</f>
        <v>Anaerobic lagoon</v>
      </c>
      <c r="F157" s="55" cm="1">
        <f t="array" ref="F157">MMS_Dairy_ManureAppliedToSoils_Equations.VEERG_4_3_1_8__1_MassOfNitrogenAppliedToSoilsScope1(F23,$E64,$E73,F35,F145)</f>
        <v>33.429080970376553</v>
      </c>
      <c r="G157" s="55" cm="1">
        <f t="array" ref="G157">MMS_Dairy_ManureAppliedToSoils_Equations.VEERG_4_3_1_8__1_MassOfNitrogenAppliedToSoilsScope1(G23,$E64,$E73,G35,G145)</f>
        <v>28.721369671756776</v>
      </c>
      <c r="H157" s="55" cm="1">
        <f t="array" ref="H157">MMS_Dairy_ManureAppliedToSoils_Equations.VEERG_4_3_1_8__1_MassOfNitrogenAppliedToSoilsScope1(H23,$E64,$E73,H35,H145)</f>
        <v>11.439417799505339</v>
      </c>
      <c r="I157" s="55" cm="1">
        <f t="array" ref="I157">MMS_Dairy_ManureAppliedToSoils_Equations.VEERG_4_3_1_8__1_MassOfNitrogenAppliedToSoilsScope1(I23,$E64,$E73,I35,I145)</f>
        <v>36.10389757902928</v>
      </c>
      <c r="J157" s="55" cm="1">
        <f t="array" ref="J157">MMS_Dairy_ManureAppliedToSoils_Equations.VEERG_4_3_1_8__1_MassOfNitrogenAppliedToSoilsScope1(J23,$E64,$E73,J35,J145)</f>
        <v>15.114149989951228</v>
      </c>
      <c r="K157" s="2" t="str">
        <f>$E$112</f>
        <v>kg N</v>
      </c>
      <c r="O157" s="55" t="str">
        <f>'Input - Dairy'!$D$54</f>
        <v>Milking shed</v>
      </c>
      <c r="P157" s="55" t="str">
        <f>'Input - Dairy'!$D$67</f>
        <v>Anaerobic lagoon</v>
      </c>
      <c r="Q157" s="55" cm="1">
        <f t="array" ref="Q157">MMS_Dairy_ManureAppliedToSoils_Equations.VEERG_4_3_1_8__1_MassOfNitrogenAppliedToSoilsScope1(Q23,$E64,$E73,Q35,F145)</f>
        <v>33.429080970376553</v>
      </c>
      <c r="R157" s="55" cm="1">
        <f t="array" ref="R157">MMS_Dairy_ManureAppliedToSoils_Equations.VEERG_4_3_1_8__1_MassOfNitrogenAppliedToSoilsScope1(R23,$E64,$E73,R35,G145)</f>
        <v>28.721369671756776</v>
      </c>
      <c r="S157" s="55" cm="1">
        <f t="array" ref="S157">MMS_Dairy_ManureAppliedToSoils_Equations.VEERG_4_3_1_8__1_MassOfNitrogenAppliedToSoilsScope1(S23,$E64,$E73,S35,H145)</f>
        <v>11.439417799505339</v>
      </c>
      <c r="T157" s="55" cm="1">
        <f t="array" ref="T157">MMS_Dairy_ManureAppliedToSoils_Equations.VEERG_4_3_1_8__1_MassOfNitrogenAppliedToSoilsScope1(T23,$E64,$E73,T35,I145)</f>
        <v>36.10389757902928</v>
      </c>
      <c r="U157" s="55" cm="1">
        <f t="array" ref="U157">MMS_Dairy_ManureAppliedToSoils_Equations.VEERG_4_3_1_8__1_MassOfNitrogenAppliedToSoilsScope1(U23,$E64,$E73,U35,J145)</f>
        <v>15.114149989951228</v>
      </c>
      <c r="V157" s="2" t="str">
        <f>$E$112</f>
        <v>kg N</v>
      </c>
    </row>
    <row r="158" spans="4:22" ht="20.100000000000001" customHeight="1" x14ac:dyDescent="0.25">
      <c r="D158" s="55" t="str">
        <f>'Input - Dairy'!$D$54</f>
        <v>Milking shed</v>
      </c>
      <c r="E158" s="55" t="str">
        <f>'Input - Dairy'!$D$72</f>
        <v>Sump and dispersal system</v>
      </c>
      <c r="F158" s="55" cm="1">
        <f t="array" ref="F158">MMS_Dairy_ManureAppliedToSoils_Equations.VEERG_4_3_1_8__1_MassOfNitrogenAppliedToSoilsScope1(F24,$E65,$E74,F36,F146)</f>
        <v>48.286450290543904</v>
      </c>
      <c r="G158" s="55" cm="1">
        <f t="array" ref="G158">MMS_Dairy_ManureAppliedToSoils_Equations.VEERG_4_3_1_8__1_MassOfNitrogenAppliedToSoilsScope1(G24,$E65,$E74,G36,G146)</f>
        <v>41.486422859204225</v>
      </c>
      <c r="H158" s="55" cm="1">
        <f t="array" ref="H158">MMS_Dairy_ManureAppliedToSoils_Equations.VEERG_4_3_1_8__1_MassOfNitrogenAppliedToSoilsScope1(H24,$E65,$E74,H36,H146)</f>
        <v>16.523603488174381</v>
      </c>
      <c r="I158" s="55" cm="1">
        <f t="array" ref="I158">MMS_Dairy_ManureAppliedToSoils_Equations.VEERG_4_3_1_8__1_MassOfNitrogenAppliedToSoilsScope1(I24,$E65,$E74,I36,I146)</f>
        <v>52.150074280820064</v>
      </c>
      <c r="J158" s="55" cm="1">
        <f t="array" ref="J158">MMS_Dairy_ManureAppliedToSoils_Equations.VEERG_4_3_1_8__1_MassOfNitrogenAppliedToSoilsScope1(J24,$E65,$E74,J36,J146)</f>
        <v>21.831549985485104</v>
      </c>
      <c r="K158" s="2" t="str">
        <f t="shared" ref="K158:K164" si="7">$E$112</f>
        <v>kg N</v>
      </c>
      <c r="O158" s="55" t="str">
        <f>'Input - Dairy'!$D$54</f>
        <v>Milking shed</v>
      </c>
      <c r="P158" s="55" t="str">
        <f>'Input - Dairy'!$D$72</f>
        <v>Sump and dispersal system</v>
      </c>
      <c r="Q158" s="55" cm="1">
        <f t="array" ref="Q158">MMS_Dairy_ManureAppliedToSoils_Equations.VEERG_4_3_1_8__1_MassOfNitrogenAppliedToSoilsScope1(Q24,$E65,$E74,Q36,F146)</f>
        <v>48.286450290543904</v>
      </c>
      <c r="R158" s="55" cm="1">
        <f t="array" ref="R158">MMS_Dairy_ManureAppliedToSoils_Equations.VEERG_4_3_1_8__1_MassOfNitrogenAppliedToSoilsScope1(R24,$E65,$E74,R36,G146)</f>
        <v>41.486422859204225</v>
      </c>
      <c r="S158" s="55" cm="1">
        <f t="array" ref="S158">MMS_Dairy_ManureAppliedToSoils_Equations.VEERG_4_3_1_8__1_MassOfNitrogenAppliedToSoilsScope1(S24,$E65,$E74,S36,H146)</f>
        <v>16.523603488174381</v>
      </c>
      <c r="T158" s="55" cm="1">
        <f t="array" ref="T158">MMS_Dairy_ManureAppliedToSoils_Equations.VEERG_4_3_1_8__1_MassOfNitrogenAppliedToSoilsScope1(T24,$E65,$E74,T36,I146)</f>
        <v>52.150074280820064</v>
      </c>
      <c r="U158" s="55" cm="1">
        <f t="array" ref="U158">MMS_Dairy_ManureAppliedToSoils_Equations.VEERG_4_3_1_8__1_MassOfNitrogenAppliedToSoilsScope1(U24,$E65,$E74,U36,J146)</f>
        <v>21.831549985485104</v>
      </c>
      <c r="V158" s="2" t="str">
        <f t="shared" ref="V158:V164" si="8">$E$112</f>
        <v>kg N</v>
      </c>
    </row>
    <row r="159" spans="4:22" ht="20.100000000000001" customHeight="1" x14ac:dyDescent="0.25">
      <c r="D159" s="55" t="str">
        <f>'Input - Dairy'!$D$54</f>
        <v>Milking shed</v>
      </c>
      <c r="E159" s="55" t="str">
        <f>'Input - Dairy'!$D$77</f>
        <v>Drains to paddock</v>
      </c>
      <c r="F159" s="55" cm="1">
        <f t="array" ref="F159">MMS_Dairy_ManureAppliedToSoils_Equations.VEERG_4_3_1_8__1_MassOfNitrogenAppliedToSoilsScope1(F25,$E66,$E75,F37,F147)</f>
        <v>41.388385963323351</v>
      </c>
      <c r="G159" s="55" cm="1">
        <f t="array" ref="G159">MMS_Dairy_ManureAppliedToSoils_Equations.VEERG_4_3_1_8__1_MassOfNitrogenAppliedToSoilsScope1(G25,$E66,$E75,G37,G147)</f>
        <v>35.559791022175055</v>
      </c>
      <c r="H159" s="55" cm="1">
        <f t="array" ref="H159">MMS_Dairy_ManureAppliedToSoils_Equations.VEERG_4_3_1_8__1_MassOfNitrogenAppliedToSoilsScope1(H25,$E66,$E75,H37,H147)</f>
        <v>14.163088704149468</v>
      </c>
      <c r="I159" s="55" cm="1">
        <f t="array" ref="I159">MMS_Dairy_ManureAppliedToSoils_Equations.VEERG_4_3_1_8__1_MassOfNitrogenAppliedToSoilsScope1(I25,$E66,$E75,I37,I147)</f>
        <v>44.70006366927435</v>
      </c>
      <c r="J159" s="55" cm="1">
        <f t="array" ref="J159">MMS_Dairy_ManureAppliedToSoils_Equations.VEERG_4_3_1_8__1_MassOfNitrogenAppliedToSoilsScope1(J25,$E66,$E75,J37,J147)</f>
        <v>18.712757130415806</v>
      </c>
      <c r="K159" s="2" t="str">
        <f t="shared" si="7"/>
        <v>kg N</v>
      </c>
      <c r="O159" s="55" t="str">
        <f>'Input - Dairy'!$D$54</f>
        <v>Milking shed</v>
      </c>
      <c r="P159" s="55" t="str">
        <f>'Input - Dairy'!$D$77</f>
        <v>Drains to paddock</v>
      </c>
      <c r="Q159" s="55" cm="1">
        <f t="array" ref="Q159">MMS_Dairy_ManureAppliedToSoils_Equations.VEERG_4_3_1_8__1_MassOfNitrogenAppliedToSoilsScope1(Q25,$E66,$E75,Q37,F147)</f>
        <v>41.388385963323351</v>
      </c>
      <c r="R159" s="55" cm="1">
        <f t="array" ref="R159">MMS_Dairy_ManureAppliedToSoils_Equations.VEERG_4_3_1_8__1_MassOfNitrogenAppliedToSoilsScope1(R25,$E66,$E75,R37,G147)</f>
        <v>35.559791022175055</v>
      </c>
      <c r="S159" s="55" cm="1">
        <f t="array" ref="S159">MMS_Dairy_ManureAppliedToSoils_Equations.VEERG_4_3_1_8__1_MassOfNitrogenAppliedToSoilsScope1(S25,$E66,$E75,S37,H147)</f>
        <v>14.163088704149468</v>
      </c>
      <c r="T159" s="55" cm="1">
        <f t="array" ref="T159">MMS_Dairy_ManureAppliedToSoils_Equations.VEERG_4_3_1_8__1_MassOfNitrogenAppliedToSoilsScope1(T25,$E66,$E75,T37,I147)</f>
        <v>44.70006366927435</v>
      </c>
      <c r="U159" s="55" cm="1">
        <f t="array" ref="U159">MMS_Dairy_ManureAppliedToSoils_Equations.VEERG_4_3_1_8__1_MassOfNitrogenAppliedToSoilsScope1(U25,$E66,$E75,U37,J147)</f>
        <v>18.712757130415806</v>
      </c>
      <c r="V159" s="2" t="str">
        <f t="shared" si="8"/>
        <v>kg N</v>
      </c>
    </row>
    <row r="160" spans="4:22" ht="20.100000000000001" customHeight="1" x14ac:dyDescent="0.25">
      <c r="D160" s="55" t="str">
        <f>'Input - Dairy'!$D$54</f>
        <v>Milking shed</v>
      </c>
      <c r="E160" s="55" t="str">
        <f>'Input - Dairy'!$D$82</f>
        <v>Solid storage</v>
      </c>
      <c r="F160" s="55" cm="1">
        <f t="array" ref="F160">MMS_Dairy_ManureAppliedToSoils_Equations.VEERG_4_3_1_8__1_MassOfNitrogenAppliedToSoilsScope1(F26,$E67,$E76,F38,F148)</f>
        <v>71.633744936521182</v>
      </c>
      <c r="G160" s="55" cm="1">
        <f t="array" ref="G160">MMS_Dairy_ManureAppliedToSoils_Equations.VEERG_4_3_1_8__1_MassOfNitrogenAppliedToSoilsScope1(G26,$E67,$E76,G38,G148)</f>
        <v>61.545792153764516</v>
      </c>
      <c r="H160" s="55" cm="1">
        <f t="array" ref="H160">MMS_Dairy_ManureAppliedToSoils_Equations.VEERG_4_3_1_8__1_MassOfNitrogenAppliedToSoilsScope1(H26,$E67,$E76,H38,H148)</f>
        <v>24.51303814179715</v>
      </c>
      <c r="I160" s="55" cm="1">
        <f t="array" ref="I160">MMS_Dairy_ManureAppliedToSoils_Equations.VEERG_4_3_1_8__1_MassOfNitrogenAppliedToSoilsScope1(I26,$E67,$E76,I38,I148)</f>
        <v>77.365494812205597</v>
      </c>
      <c r="J160" s="55" cm="1">
        <f t="array" ref="J160">MMS_Dairy_ManureAppliedToSoils_Equations.VEERG_4_3_1_8__1_MassOfNitrogenAppliedToSoilsScope1(J26,$E67,$E76,J38,J148)</f>
        <v>32.387464264181197</v>
      </c>
      <c r="K160" s="2" t="str">
        <f t="shared" si="7"/>
        <v>kg N</v>
      </c>
      <c r="O160" s="55" t="str">
        <f>'Input - Dairy'!$D$54</f>
        <v>Milking shed</v>
      </c>
      <c r="P160" s="55" t="str">
        <f>'Input - Dairy'!$D$82</f>
        <v>Solid storage</v>
      </c>
      <c r="Q160" s="55" cm="1">
        <f t="array" ref="Q160">MMS_Dairy_ManureAppliedToSoils_Equations.VEERG_4_3_1_8__1_MassOfNitrogenAppliedToSoilsScope1(Q26,$E67,$E76,Q38,F148)</f>
        <v>71.633744936521182</v>
      </c>
      <c r="R160" s="55" cm="1">
        <f t="array" ref="R160">MMS_Dairy_ManureAppliedToSoils_Equations.VEERG_4_3_1_8__1_MassOfNitrogenAppliedToSoilsScope1(R26,$E67,$E76,R38,G148)</f>
        <v>61.545792153764516</v>
      </c>
      <c r="S160" s="55" cm="1">
        <f t="array" ref="S160">MMS_Dairy_ManureAppliedToSoils_Equations.VEERG_4_3_1_8__1_MassOfNitrogenAppliedToSoilsScope1(S26,$E67,$E76,S38,H148)</f>
        <v>24.51303814179715</v>
      </c>
      <c r="T160" s="55" cm="1">
        <f t="array" ref="T160">MMS_Dairy_ManureAppliedToSoils_Equations.VEERG_4_3_1_8__1_MassOfNitrogenAppliedToSoilsScope1(T26,$E67,$E76,T38,I148)</f>
        <v>77.365494812205597</v>
      </c>
      <c r="U160" s="55" cm="1">
        <f t="array" ref="U160">MMS_Dairy_ManureAppliedToSoils_Equations.VEERG_4_3_1_8__1_MassOfNitrogenAppliedToSoilsScope1(U26,$E67,$E76,U38,J148)</f>
        <v>32.387464264181197</v>
      </c>
      <c r="V160" s="2" t="str">
        <f t="shared" si="8"/>
        <v>kg N</v>
      </c>
    </row>
    <row r="161" spans="3:23" ht="20.100000000000001" customHeight="1" x14ac:dyDescent="0.25">
      <c r="D161" s="55" t="str">
        <f>'Input - Dairy'!$D$55</f>
        <v>Feed pad</v>
      </c>
      <c r="E161" s="55" t="str">
        <f>'Input - Dairy'!$D$101</f>
        <v>Anaerobic lagoon</v>
      </c>
      <c r="F161" s="55" cm="1">
        <f t="array" ref="F161">MMS_Dairy_ManureAppliedToSoils_Equations.VEERG_4_3_1_8__1_MassOfNitrogenAppliedToSoilsScope1(F27,$E64,$E73,F39,F149)</f>
        <v>135.23582756197786</v>
      </c>
      <c r="G161" s="55" cm="1">
        <f t="array" ref="G161">MMS_Dairy_ManureAppliedToSoils_Equations.VEERG_4_3_1_8__1_MassOfNitrogenAppliedToSoilsScope1(G27,$E64,$E73,G39,G149)</f>
        <v>116.19099549028876</v>
      </c>
      <c r="H161" s="55" cm="1">
        <f t="array" ref="H161">MMS_Dairy_ManureAppliedToSoils_Equations.VEERG_4_3_1_8__1_MassOfNitrogenAppliedToSoilsScope1(H27,$E64,$E73,H39,H149)</f>
        <v>46.277644734362511</v>
      </c>
      <c r="I161" s="55" cm="1">
        <f t="array" ref="I161">MMS_Dairy_ManureAppliedToSoils_Equations.VEERG_4_3_1_8__1_MassOfNitrogenAppliedToSoilsScope1(I27,$E64,$E73,I39,I149)</f>
        <v>146.05667656970937</v>
      </c>
      <c r="J161" s="55" cm="1">
        <f t="array" ref="J161">MMS_Dairy_ManureAppliedToSoils_Equations.VEERG_4_3_1_8__1_MassOfNitrogenAppliedToSoilsScope1(J27,$E64,$E73,J39,J149)</f>
        <v>61.143606777529961</v>
      </c>
      <c r="K161" s="2" t="str">
        <f t="shared" si="7"/>
        <v>kg N</v>
      </c>
      <c r="O161" s="55" t="str">
        <f>'Input - Dairy'!$D$55</f>
        <v>Feed pad</v>
      </c>
      <c r="P161" s="55" t="str">
        <f>'Input - Dairy'!$D$101</f>
        <v>Anaerobic lagoon</v>
      </c>
      <c r="Q161" s="55" cm="1">
        <f t="array" ref="Q161">MMS_Dairy_ManureAppliedToSoils_Equations.VEERG_4_3_1_8__1_MassOfNitrogenAppliedToSoilsScope1(Q27,$E64,$E73,Q39,F149)</f>
        <v>135.23582756197786</v>
      </c>
      <c r="R161" s="55" cm="1">
        <f t="array" ref="R161">MMS_Dairy_ManureAppliedToSoils_Equations.VEERG_4_3_1_8__1_MassOfNitrogenAppliedToSoilsScope1(R27,$E64,$E73,R39,G149)</f>
        <v>116.19099549028876</v>
      </c>
      <c r="S161" s="55" cm="1">
        <f t="array" ref="S161">MMS_Dairy_ManureAppliedToSoils_Equations.VEERG_4_3_1_8__1_MassOfNitrogenAppliedToSoilsScope1(S27,$E64,$E73,S39,H149)</f>
        <v>46.277644734362511</v>
      </c>
      <c r="T161" s="55" cm="1">
        <f t="array" ref="T161">MMS_Dairy_ManureAppliedToSoils_Equations.VEERG_4_3_1_8__1_MassOfNitrogenAppliedToSoilsScope1(T27,$E64,$E73,T39,I149)</f>
        <v>146.05667656970937</v>
      </c>
      <c r="U161" s="55" cm="1">
        <f t="array" ref="U161">MMS_Dairy_ManureAppliedToSoils_Equations.VEERG_4_3_1_8__1_MassOfNitrogenAppliedToSoilsScope1(U27,$E64,$E73,U39,J149)</f>
        <v>61.143606777529961</v>
      </c>
      <c r="V161" s="2" t="str">
        <f t="shared" si="8"/>
        <v>kg N</v>
      </c>
    </row>
    <row r="162" spans="3:23" ht="20.100000000000001" customHeight="1" x14ac:dyDescent="0.25">
      <c r="D162" s="55" t="str">
        <f>'Input - Dairy'!$D$55</f>
        <v>Feed pad</v>
      </c>
      <c r="E162" s="55" t="str">
        <f>'Input - Dairy'!$D$106</f>
        <v>Sump and dispersal system</v>
      </c>
      <c r="F162" s="55" cm="1">
        <f t="array" ref="F162">MMS_Dairy_ManureAppliedToSoils_Equations.VEERG_4_3_1_8__1_MassOfNitrogenAppliedToSoilsScope1(F28,$E65,$E74,F40,F150)</f>
        <v>156.27251184939661</v>
      </c>
      <c r="G162" s="55" cm="1">
        <f t="array" ref="G162">MMS_Dairy_ManureAppliedToSoils_Equations.VEERG_4_3_1_8__1_MassOfNitrogenAppliedToSoilsScope1(G28,$E65,$E74,G40,G150)</f>
        <v>134.26515034433368</v>
      </c>
      <c r="H162" s="55" cm="1">
        <f t="array" ref="H162">MMS_Dairy_ManureAppliedToSoils_Equations.VEERG_4_3_1_8__1_MassOfNitrogenAppliedToSoilsScope1(H28,$E65,$E74,H40,H150)</f>
        <v>53.476389470818894</v>
      </c>
      <c r="I162" s="55" cm="1">
        <f t="array" ref="I162">MMS_Dairy_ManureAppliedToSoils_Equations.VEERG_4_3_1_8__1_MassOfNitrogenAppliedToSoilsScope1(I28,$E65,$E74,I40,I150)</f>
        <v>168.77660403610855</v>
      </c>
      <c r="J162" s="55" cm="1">
        <f t="array" ref="J162">MMS_Dairy_ManureAppliedToSoils_Equations.VEERG_4_3_1_8__1_MassOfNitrogenAppliedToSoilsScope1(J28,$E65,$E74,J40,J150)</f>
        <v>70.654834498479062</v>
      </c>
      <c r="K162" s="2" t="str">
        <f t="shared" si="7"/>
        <v>kg N</v>
      </c>
      <c r="O162" s="55" t="str">
        <f>'Input - Dairy'!$D$55</f>
        <v>Feed pad</v>
      </c>
      <c r="P162" s="55" t="str">
        <f>'Input - Dairy'!$D$106</f>
        <v>Sump and dispersal system</v>
      </c>
      <c r="Q162" s="55" cm="1">
        <f t="array" ref="Q162">MMS_Dairy_ManureAppliedToSoils_Equations.VEERG_4_3_1_8__1_MassOfNitrogenAppliedToSoilsScope1(Q28,$E65,$E74,Q40,F150)</f>
        <v>156.27251184939661</v>
      </c>
      <c r="R162" s="55" cm="1">
        <f t="array" ref="R162">MMS_Dairy_ManureAppliedToSoils_Equations.VEERG_4_3_1_8__1_MassOfNitrogenAppliedToSoilsScope1(R28,$E65,$E74,R40,G150)</f>
        <v>134.26515034433368</v>
      </c>
      <c r="S162" s="55" cm="1">
        <f t="array" ref="S162">MMS_Dairy_ManureAppliedToSoils_Equations.VEERG_4_3_1_8__1_MassOfNitrogenAppliedToSoilsScope1(S28,$E65,$E74,S40,H150)</f>
        <v>53.476389470818894</v>
      </c>
      <c r="T162" s="55" cm="1">
        <f t="array" ref="T162">MMS_Dairy_ManureAppliedToSoils_Equations.VEERG_4_3_1_8__1_MassOfNitrogenAppliedToSoilsScope1(T28,$E65,$E74,T40,I150)</f>
        <v>168.77660403610855</v>
      </c>
      <c r="U162" s="55" cm="1">
        <f t="array" ref="U162">MMS_Dairy_ManureAppliedToSoils_Equations.VEERG_4_3_1_8__1_MassOfNitrogenAppliedToSoilsScope1(U28,$E65,$E74,U40,J150)</f>
        <v>70.654834498479062</v>
      </c>
      <c r="V162" s="2" t="str">
        <f t="shared" si="8"/>
        <v>kg N</v>
      </c>
    </row>
    <row r="163" spans="3:23" ht="20.100000000000001" customHeight="1" x14ac:dyDescent="0.25">
      <c r="D163" s="55" t="str">
        <f>'Input - Dairy'!$D$55</f>
        <v>Feed pad</v>
      </c>
      <c r="E163" s="55" t="str">
        <f>'Input - Dairy'!$D$111</f>
        <v>Drains to paddock</v>
      </c>
      <c r="F163" s="55" cm="1">
        <f t="array" ref="F163">MMS_Dairy_ManureAppliedToSoils_Equations.VEERG_4_3_1_8__1_MassOfNitrogenAppliedToSoilsScope1(F29,$E66,$E75,F41,F151)</f>
        <v>133.94786729948282</v>
      </c>
      <c r="G163" s="55" cm="1">
        <f t="array" ref="G163">MMS_Dairy_ManureAppliedToSoils_Equations.VEERG_4_3_1_8__1_MassOfNitrogenAppliedToSoilsScope1(G29,$E66,$E75,G41,G151)</f>
        <v>115.08441458085744</v>
      </c>
      <c r="H163" s="55" cm="1">
        <f t="array" ref="H163">MMS_Dairy_ManureAppliedToSoils_Equations.VEERG_4_3_1_8__1_MassOfNitrogenAppliedToSoilsScope1(H29,$E66,$E75,H41,H151)</f>
        <v>45.836905260701911</v>
      </c>
      <c r="I163" s="55" cm="1">
        <f t="array" ref="I163">MMS_Dairy_ManureAppliedToSoils_Equations.VEERG_4_3_1_8__1_MassOfNitrogenAppliedToSoilsScope1(I29,$E66,$E75,I41,I151)</f>
        <v>144.66566060237878</v>
      </c>
      <c r="J163" s="55" cm="1">
        <f t="array" ref="J163">MMS_Dairy_ManureAppliedToSoils_Equations.VEERG_4_3_1_8__1_MassOfNitrogenAppliedToSoilsScope1(J29,$E66,$E75,J41,J151)</f>
        <v>60.561286712982053</v>
      </c>
      <c r="K163" s="2" t="str">
        <f t="shared" si="7"/>
        <v>kg N</v>
      </c>
      <c r="O163" s="55" t="str">
        <f>'Input - Dairy'!$D$55</f>
        <v>Feed pad</v>
      </c>
      <c r="P163" s="55" t="str">
        <f>'Input - Dairy'!$D$111</f>
        <v>Drains to paddock</v>
      </c>
      <c r="Q163" s="55" cm="1">
        <f t="array" ref="Q163">MMS_Dairy_ManureAppliedToSoils_Equations.VEERG_4_3_1_8__1_MassOfNitrogenAppliedToSoilsScope1(Q29,$E66,$E75,Q41,F151)</f>
        <v>133.94786729948282</v>
      </c>
      <c r="R163" s="55" cm="1">
        <f t="array" ref="R163">MMS_Dairy_ManureAppliedToSoils_Equations.VEERG_4_3_1_8__1_MassOfNitrogenAppliedToSoilsScope1(R29,$E66,$E75,R41,G151)</f>
        <v>115.08441458085744</v>
      </c>
      <c r="S163" s="55" cm="1">
        <f t="array" ref="S163">MMS_Dairy_ManureAppliedToSoils_Equations.VEERG_4_3_1_8__1_MassOfNitrogenAppliedToSoilsScope1(S29,$E66,$E75,S41,H151)</f>
        <v>45.836905260701911</v>
      </c>
      <c r="T163" s="55" cm="1">
        <f t="array" ref="T163">MMS_Dairy_ManureAppliedToSoils_Equations.VEERG_4_3_1_8__1_MassOfNitrogenAppliedToSoilsScope1(T29,$E66,$E75,T41,I151)</f>
        <v>144.66566060237878</v>
      </c>
      <c r="U163" s="55" cm="1">
        <f t="array" ref="U163">MMS_Dairy_ManureAppliedToSoils_Equations.VEERG_4_3_1_8__1_MassOfNitrogenAppliedToSoilsScope1(U29,$E66,$E75,U41,J151)</f>
        <v>60.561286712982053</v>
      </c>
      <c r="V163" s="2" t="str">
        <f t="shared" si="8"/>
        <v>kg N</v>
      </c>
    </row>
    <row r="164" spans="3:23" ht="20.100000000000001" customHeight="1" x14ac:dyDescent="0.25">
      <c r="D164" s="55" t="str">
        <f>'Input - Dairy'!$D$55</f>
        <v>Feed pad</v>
      </c>
      <c r="E164" s="55" t="str">
        <f>'Input - Dairy'!$D$116</f>
        <v>Solid storage</v>
      </c>
      <c r="F164" s="55" cm="1">
        <f t="array" ref="F164">MMS_Dairy_ManureAppliedToSoils_Equations.VEERG_4_3_1_8__1_MassOfNitrogenAppliedToSoilsScope1(F30,$E67,$E76,F42,F152)</f>
        <v>202.85374134296677</v>
      </c>
      <c r="G164" s="55" cm="1">
        <f t="array" ref="G164">MMS_Dairy_ManureAppliedToSoils_Equations.VEERG_4_3_1_8__1_MassOfNitrogenAppliedToSoilsScope1(G30,$E67,$E76,G42,G152)</f>
        <v>174.28649323543314</v>
      </c>
      <c r="H164" s="55" cm="1">
        <f t="array" ref="H164">MMS_Dairy_ManureAppliedToSoils_Equations.VEERG_4_3_1_8__1_MassOfNitrogenAppliedToSoilsScope1(H30,$E67,$E76,H42,H152)</f>
        <v>69.416467101543759</v>
      </c>
      <c r="I164" s="55" cm="1">
        <f t="array" ref="I164">MMS_Dairy_ManureAppliedToSoils_Equations.VEERG_4_3_1_8__1_MassOfNitrogenAppliedToSoilsScope1(I30,$E67,$E76,I42,I152)</f>
        <v>219.08501485456401</v>
      </c>
      <c r="J164" s="55" cm="1">
        <f t="array" ref="J164">MMS_Dairy_ManureAppliedToSoils_Equations.VEERG_4_3_1_8__1_MassOfNitrogenAppliedToSoilsScope1(J30,$E67,$E76,J42,J152)</f>
        <v>91.715410166294944</v>
      </c>
      <c r="K164" s="2" t="str">
        <f t="shared" si="7"/>
        <v>kg N</v>
      </c>
      <c r="O164" s="55" t="str">
        <f>'Input - Dairy'!$D$55</f>
        <v>Feed pad</v>
      </c>
      <c r="P164" s="55" t="str">
        <f>'Input - Dairy'!$D$116</f>
        <v>Solid storage</v>
      </c>
      <c r="Q164" s="55" cm="1">
        <f t="array" ref="Q164">MMS_Dairy_ManureAppliedToSoils_Equations.VEERG_4_3_1_8__1_MassOfNitrogenAppliedToSoilsScope1(Q30,$E67,$E76,Q42,F152)</f>
        <v>202.85374134296677</v>
      </c>
      <c r="R164" s="55" cm="1">
        <f t="array" ref="R164">MMS_Dairy_ManureAppliedToSoils_Equations.VEERG_4_3_1_8__1_MassOfNitrogenAppliedToSoilsScope1(R30,$E67,$E76,R42,G152)</f>
        <v>174.28649323543314</v>
      </c>
      <c r="S164" s="55" cm="1">
        <f t="array" ref="S164">MMS_Dairy_ManureAppliedToSoils_Equations.VEERG_4_3_1_8__1_MassOfNitrogenAppliedToSoilsScope1(S30,$E67,$E76,S42,H152)</f>
        <v>69.416467101543759</v>
      </c>
      <c r="T164" s="55" cm="1">
        <f t="array" ref="T164">MMS_Dairy_ManureAppliedToSoils_Equations.VEERG_4_3_1_8__1_MassOfNitrogenAppliedToSoilsScope1(T30,$E67,$E76,T42,I152)</f>
        <v>219.08501485456401</v>
      </c>
      <c r="U164" s="55" cm="1">
        <f t="array" ref="U164">MMS_Dairy_ManureAppliedToSoils_Equations.VEERG_4_3_1_8__1_MassOfNitrogenAppliedToSoilsScope1(U30,$E67,$E76,U42,J152)</f>
        <v>91.715410166294944</v>
      </c>
      <c r="V164" s="2" t="str">
        <f t="shared" si="8"/>
        <v>kg N</v>
      </c>
    </row>
    <row r="165" spans="3:23" ht="20.100000000000001" customHeight="1" x14ac:dyDescent="0.25"/>
    <row r="166" spans="3:23" ht="20.100000000000001" customHeight="1" x14ac:dyDescent="0.25">
      <c r="D166" s="108" t="s">
        <v>151</v>
      </c>
      <c r="E166" s="109">
        <f>SUM(F157:J164)</f>
        <v>3072.8591402028655</v>
      </c>
      <c r="F166" s="110" t="str">
        <f>$E$112</f>
        <v>kg N</v>
      </c>
      <c r="O166" s="108" t="s">
        <v>151</v>
      </c>
      <c r="P166" s="109">
        <f>SUM(Q157:U164)</f>
        <v>3072.8591402028655</v>
      </c>
      <c r="Q166" s="110" t="str">
        <f>$E$112</f>
        <v>kg N</v>
      </c>
    </row>
    <row r="167" spans="3:23" ht="20.100000000000001" customHeight="1" x14ac:dyDescent="0.25"/>
    <row r="168" spans="3:23" ht="20.100000000000001" customHeight="1" x14ac:dyDescent="0.25"/>
    <row r="169" spans="3:23" ht="20.100000000000001" customHeight="1" x14ac:dyDescent="0.25">
      <c r="C169" s="48"/>
      <c r="D169" s="48"/>
      <c r="E169" s="48"/>
      <c r="F169" s="48"/>
      <c r="G169" s="48"/>
      <c r="H169" s="48"/>
      <c r="I169" s="48"/>
      <c r="J169" s="48"/>
      <c r="K169" s="48"/>
      <c r="L169" s="48"/>
      <c r="N169" s="48"/>
      <c r="O169" s="48"/>
      <c r="P169" s="48"/>
      <c r="Q169" s="48"/>
      <c r="R169" s="48"/>
      <c r="S169" s="48"/>
      <c r="T169" s="48"/>
      <c r="U169" s="48"/>
      <c r="V169" s="48"/>
      <c r="W169" s="48"/>
    </row>
    <row r="170" spans="3:23" ht="20.100000000000001" customHeight="1" x14ac:dyDescent="0.25">
      <c r="D170" s="6" t="s">
        <v>149</v>
      </c>
    </row>
    <row r="171" spans="3:23" ht="20.100000000000001" customHeight="1" x14ac:dyDescent="0.25"/>
    <row r="172" spans="3:23" ht="20.100000000000001" customHeight="1" x14ac:dyDescent="0.25">
      <c r="D172" s="104" t="s">
        <v>144</v>
      </c>
    </row>
    <row r="173" spans="3:23" ht="20.100000000000001" customHeight="1" x14ac:dyDescent="0.25">
      <c r="D173" s="103" t="s">
        <v>145</v>
      </c>
    </row>
    <row r="174" spans="3:23" ht="20.100000000000001" customHeight="1" x14ac:dyDescent="0.25">
      <c r="D174" s="54" t="s">
        <v>159</v>
      </c>
      <c r="E174" s="54" t="s">
        <v>69</v>
      </c>
      <c r="F174" s="54" t="s">
        <v>186</v>
      </c>
      <c r="G174" s="54" t="s">
        <v>203</v>
      </c>
      <c r="H174" s="54" t="s">
        <v>204</v>
      </c>
      <c r="I174" s="54" t="s">
        <v>205</v>
      </c>
      <c r="J174" s="54" t="s">
        <v>206</v>
      </c>
    </row>
    <row r="175" spans="3:23" ht="20.100000000000001" customHeight="1" x14ac:dyDescent="0.25">
      <c r="D175" s="55" t="str">
        <f>'Input - Dairy'!$D$54</f>
        <v>Milking shed</v>
      </c>
      <c r="E175" s="55" t="str">
        <f>'Input - Dairy'!$D$67</f>
        <v>Anaerobic lagoon</v>
      </c>
      <c r="F175" s="136">
        <f>'Input - Dairy'!E137</f>
        <v>0.25</v>
      </c>
      <c r="G175" s="136">
        <f>'Input - Dairy'!F137</f>
        <v>0.25</v>
      </c>
      <c r="H175" s="136">
        <f>'Input - Dairy'!G137</f>
        <v>0.25</v>
      </c>
      <c r="I175" s="136">
        <f>'Input - Dairy'!H137</f>
        <v>0.25</v>
      </c>
      <c r="J175" s="136">
        <f>'Input - Dairy'!I137</f>
        <v>0.25</v>
      </c>
      <c r="K175" s="2" t="s">
        <v>101</v>
      </c>
    </row>
    <row r="176" spans="3:23" ht="20.100000000000001" customHeight="1" x14ac:dyDescent="0.25">
      <c r="D176" s="55" t="str">
        <f>'Input - Dairy'!$D$54</f>
        <v>Milking shed</v>
      </c>
      <c r="E176" s="55" t="str">
        <f>'Input - Dairy'!$D$72</f>
        <v>Sump and dispersal system</v>
      </c>
      <c r="F176" s="136">
        <f>'Input - Dairy'!E142</f>
        <v>0.25</v>
      </c>
      <c r="G176" s="136">
        <f>'Input - Dairy'!F142</f>
        <v>0.25</v>
      </c>
      <c r="H176" s="136">
        <f>'Input - Dairy'!G142</f>
        <v>0.25</v>
      </c>
      <c r="I176" s="136">
        <f>'Input - Dairy'!H142</f>
        <v>0.25</v>
      </c>
      <c r="J176" s="136">
        <f>'Input - Dairy'!I142</f>
        <v>0.25</v>
      </c>
      <c r="K176" s="2" t="s">
        <v>101</v>
      </c>
    </row>
    <row r="177" spans="4:22" ht="20.100000000000001" customHeight="1" x14ac:dyDescent="0.25">
      <c r="D177" s="55" t="str">
        <f>'Input - Dairy'!$D$54</f>
        <v>Milking shed</v>
      </c>
      <c r="E177" s="55" t="str">
        <f>'Input - Dairy'!$D$77</f>
        <v>Drains to paddock</v>
      </c>
      <c r="F177" s="136">
        <f>'Input - Dairy'!E147</f>
        <v>0.25</v>
      </c>
      <c r="G177" s="136">
        <f>'Input - Dairy'!F147</f>
        <v>0.25</v>
      </c>
      <c r="H177" s="136">
        <f>'Input - Dairy'!G147</f>
        <v>0.25</v>
      </c>
      <c r="I177" s="136">
        <f>'Input - Dairy'!H147</f>
        <v>0.25</v>
      </c>
      <c r="J177" s="136">
        <f>'Input - Dairy'!I147</f>
        <v>0.25</v>
      </c>
      <c r="K177" s="2" t="s">
        <v>101</v>
      </c>
    </row>
    <row r="178" spans="4:22" ht="20.100000000000001" customHeight="1" x14ac:dyDescent="0.25">
      <c r="D178" s="55" t="str">
        <f>'Input - Dairy'!$D$54</f>
        <v>Milking shed</v>
      </c>
      <c r="E178" s="55" t="str">
        <f>'Input - Dairy'!$D$82</f>
        <v>Solid storage</v>
      </c>
      <c r="F178" s="136">
        <f>'Input - Dairy'!E152</f>
        <v>0.25</v>
      </c>
      <c r="G178" s="136">
        <f>'Input - Dairy'!F152</f>
        <v>0.25</v>
      </c>
      <c r="H178" s="136">
        <f>'Input - Dairy'!G152</f>
        <v>0.25</v>
      </c>
      <c r="I178" s="136">
        <f>'Input - Dairy'!H152</f>
        <v>0.25</v>
      </c>
      <c r="J178" s="136">
        <f>'Input - Dairy'!I152</f>
        <v>0.25</v>
      </c>
      <c r="K178" s="2" t="s">
        <v>101</v>
      </c>
    </row>
    <row r="179" spans="4:22" ht="20.100000000000001" customHeight="1" x14ac:dyDescent="0.25">
      <c r="D179" s="55" t="str">
        <f>'Input - Dairy'!$D$55</f>
        <v>Feed pad</v>
      </c>
      <c r="E179" s="55" t="str">
        <f>'Input - Dairy'!$D$101</f>
        <v>Anaerobic lagoon</v>
      </c>
      <c r="F179" s="136">
        <f>'Input - Dairy'!E161</f>
        <v>0.25</v>
      </c>
      <c r="G179" s="136">
        <f>'Input - Dairy'!F161</f>
        <v>0.25</v>
      </c>
      <c r="H179" s="136">
        <f>'Input - Dairy'!G161</f>
        <v>0.25</v>
      </c>
      <c r="I179" s="136">
        <f>'Input - Dairy'!H161</f>
        <v>0.25</v>
      </c>
      <c r="J179" s="136">
        <f>'Input - Dairy'!I161</f>
        <v>0.25</v>
      </c>
      <c r="K179" s="2" t="s">
        <v>101</v>
      </c>
    </row>
    <row r="180" spans="4:22" ht="20.100000000000001" customHeight="1" x14ac:dyDescent="0.25">
      <c r="D180" s="55" t="str">
        <f>'Input - Dairy'!$D$55</f>
        <v>Feed pad</v>
      </c>
      <c r="E180" s="55" t="str">
        <f>'Input - Dairy'!$D$106</f>
        <v>Sump and dispersal system</v>
      </c>
      <c r="F180" s="136">
        <f>'Input - Dairy'!E166</f>
        <v>0.25</v>
      </c>
      <c r="G180" s="136">
        <f>'Input - Dairy'!F166</f>
        <v>0.25</v>
      </c>
      <c r="H180" s="136">
        <f>'Input - Dairy'!G166</f>
        <v>0.25</v>
      </c>
      <c r="I180" s="136">
        <f>'Input - Dairy'!H166</f>
        <v>0.25</v>
      </c>
      <c r="J180" s="136">
        <f>'Input - Dairy'!I166</f>
        <v>0.25</v>
      </c>
      <c r="K180" s="2" t="s">
        <v>101</v>
      </c>
    </row>
    <row r="181" spans="4:22" ht="20.100000000000001" customHeight="1" x14ac:dyDescent="0.25">
      <c r="D181" s="55" t="str">
        <f>'Input - Dairy'!$D$55</f>
        <v>Feed pad</v>
      </c>
      <c r="E181" s="55" t="str">
        <f>'Input - Dairy'!$D$111</f>
        <v>Drains to paddock</v>
      </c>
      <c r="F181" s="136">
        <f>'Input - Dairy'!E171</f>
        <v>0.25</v>
      </c>
      <c r="G181" s="136">
        <f>'Input - Dairy'!F171</f>
        <v>0.25</v>
      </c>
      <c r="H181" s="136">
        <f>'Input - Dairy'!G171</f>
        <v>0.25</v>
      </c>
      <c r="I181" s="136">
        <f>'Input - Dairy'!H171</f>
        <v>0.25</v>
      </c>
      <c r="J181" s="136">
        <f>'Input - Dairy'!I171</f>
        <v>0.25</v>
      </c>
      <c r="K181" s="2" t="s">
        <v>101</v>
      </c>
    </row>
    <row r="182" spans="4:22" ht="20.100000000000001" customHeight="1" x14ac:dyDescent="0.25">
      <c r="D182" s="55" t="str">
        <f>'Input - Dairy'!$D$55</f>
        <v>Feed pad</v>
      </c>
      <c r="E182" s="55" t="str">
        <f>'Input - Dairy'!$D$116</f>
        <v>Solid storage</v>
      </c>
      <c r="F182" s="136">
        <f>'Input - Dairy'!E176</f>
        <v>0.25</v>
      </c>
      <c r="G182" s="136">
        <f>'Input - Dairy'!F176</f>
        <v>0.25</v>
      </c>
      <c r="H182" s="136">
        <f>'Input - Dairy'!G176</f>
        <v>0.25</v>
      </c>
      <c r="I182" s="136">
        <f>'Input - Dairy'!H176</f>
        <v>0.25</v>
      </c>
      <c r="J182" s="136">
        <f>'Input - Dairy'!I176</f>
        <v>0.25</v>
      </c>
      <c r="K182" s="2" t="s">
        <v>101</v>
      </c>
    </row>
    <row r="183" spans="4:22" ht="20.100000000000001" customHeight="1" x14ac:dyDescent="0.25"/>
    <row r="184" spans="4:22" ht="20.100000000000001" customHeight="1" x14ac:dyDescent="0.25">
      <c r="D184" s="104" t="s">
        <v>146</v>
      </c>
      <c r="O184" s="104" t="s">
        <v>147</v>
      </c>
    </row>
    <row r="185" spans="4:22" ht="20.100000000000001" customHeight="1" x14ac:dyDescent="0.25">
      <c r="D185" s="103" t="s">
        <v>143</v>
      </c>
      <c r="O185" s="103" t="s">
        <v>142</v>
      </c>
    </row>
    <row r="186" spans="4:22" ht="20.100000000000001" customHeight="1" x14ac:dyDescent="0.25">
      <c r="D186" s="54" t="s">
        <v>159</v>
      </c>
      <c r="E186" s="54" t="s">
        <v>69</v>
      </c>
      <c r="F186" s="54" t="s">
        <v>186</v>
      </c>
      <c r="G186" s="54" t="s">
        <v>203</v>
      </c>
      <c r="H186" s="54" t="s">
        <v>204</v>
      </c>
      <c r="I186" s="54" t="s">
        <v>205</v>
      </c>
      <c r="J186" s="54" t="s">
        <v>206</v>
      </c>
      <c r="O186" s="54" t="s">
        <v>159</v>
      </c>
      <c r="P186" s="54" t="s">
        <v>69</v>
      </c>
      <c r="Q186" s="54" t="s">
        <v>186</v>
      </c>
      <c r="R186" s="54" t="s">
        <v>203</v>
      </c>
      <c r="S186" s="54" t="s">
        <v>204</v>
      </c>
      <c r="T186" s="54" t="s">
        <v>205</v>
      </c>
      <c r="U186" s="54" t="s">
        <v>206</v>
      </c>
    </row>
    <row r="187" spans="4:22" ht="20.100000000000001" customHeight="1" x14ac:dyDescent="0.25">
      <c r="D187" s="55" t="str">
        <f>'Input - Dairy'!$D$54</f>
        <v>Milking shed</v>
      </c>
      <c r="E187" s="55" t="str">
        <f>'Input - Dairy'!$D$67</f>
        <v>Anaerobic lagoon</v>
      </c>
      <c r="F187" s="55" cm="1">
        <f t="array" ref="F187">MMS_Dairy_ManureAppliedToSoils_Equations.VEERG_4_3_1_8__1_MassOfNitrogenAppliedToSoilsScope1(F23,$E64,$E73,F35,F175)</f>
        <v>33.429080970376553</v>
      </c>
      <c r="G187" s="55" cm="1">
        <f t="array" ref="G187">MMS_Dairy_ManureAppliedToSoils_Equations.VEERG_4_3_1_8__1_MassOfNitrogenAppliedToSoilsScope1(G23,$E64,$E73,G35,G175)</f>
        <v>28.721369671756776</v>
      </c>
      <c r="H187" s="55" cm="1">
        <f t="array" ref="H187">MMS_Dairy_ManureAppliedToSoils_Equations.VEERG_4_3_1_8__1_MassOfNitrogenAppliedToSoilsScope1(H23,$E64,$E73,H35,H175)</f>
        <v>11.439417799505339</v>
      </c>
      <c r="I187" s="55" cm="1">
        <f t="array" ref="I187">MMS_Dairy_ManureAppliedToSoils_Equations.VEERG_4_3_1_8__1_MassOfNitrogenAppliedToSoilsScope1(I23,$E64,$E73,I35,I175)</f>
        <v>36.10389757902928</v>
      </c>
      <c r="J187" s="55" cm="1">
        <f t="array" ref="J187">MMS_Dairy_ManureAppliedToSoils_Equations.VEERG_4_3_1_8__1_MassOfNitrogenAppliedToSoilsScope1(J23,$E64,$E73,J35,J175)</f>
        <v>15.114149989951228</v>
      </c>
      <c r="K187" s="2" t="str">
        <f>$E$112</f>
        <v>kg N</v>
      </c>
      <c r="O187" s="55" t="str">
        <f>'Input - Dairy'!$D$54</f>
        <v>Milking shed</v>
      </c>
      <c r="P187" s="55" t="str">
        <f>'Input - Dairy'!$D$67</f>
        <v>Anaerobic lagoon</v>
      </c>
      <c r="Q187" s="55" cm="1">
        <f t="array" ref="Q187">MMS_Dairy_ManureAppliedToSoils_Equations.VEERG_4_3_1_8__1_MassOfNitrogenAppliedToSoilsScope1(Q23,$E64,$E73,Q35,F175)</f>
        <v>33.429080970376553</v>
      </c>
      <c r="R187" s="55" cm="1">
        <f t="array" ref="R187">MMS_Dairy_ManureAppliedToSoils_Equations.VEERG_4_3_1_8__1_MassOfNitrogenAppliedToSoilsScope1(R23,$E64,$E73,R35,G175)</f>
        <v>28.721369671756776</v>
      </c>
      <c r="S187" s="55" cm="1">
        <f t="array" ref="S187">MMS_Dairy_ManureAppliedToSoils_Equations.VEERG_4_3_1_8__1_MassOfNitrogenAppliedToSoilsScope1(S23,$E64,$E73,S35,H175)</f>
        <v>11.439417799505339</v>
      </c>
      <c r="T187" s="55" cm="1">
        <f t="array" ref="T187">MMS_Dairy_ManureAppliedToSoils_Equations.VEERG_4_3_1_8__1_MassOfNitrogenAppliedToSoilsScope1(T23,$E64,$E73,T35,I175)</f>
        <v>36.10389757902928</v>
      </c>
      <c r="U187" s="55" cm="1">
        <f t="array" ref="U187">MMS_Dairy_ManureAppliedToSoils_Equations.VEERG_4_3_1_8__1_MassOfNitrogenAppliedToSoilsScope1(U23,$E64,$E73,U35,J175)</f>
        <v>15.114149989951228</v>
      </c>
      <c r="V187" s="2" t="str">
        <f>$E$112</f>
        <v>kg N</v>
      </c>
    </row>
    <row r="188" spans="4:22" ht="20.100000000000001" customHeight="1" x14ac:dyDescent="0.25">
      <c r="D188" s="55" t="str">
        <f>'Input - Dairy'!$D$54</f>
        <v>Milking shed</v>
      </c>
      <c r="E188" s="55" t="str">
        <f>'Input - Dairy'!$D$72</f>
        <v>Sump and dispersal system</v>
      </c>
      <c r="F188" s="55" cm="1">
        <f t="array" ref="F188">MMS_Dairy_ManureAppliedToSoils_Equations.VEERG_4_3_1_8__1_MassOfNitrogenAppliedToSoilsScope1(F24,$E65,$E74,F36,F176)</f>
        <v>48.286450290543904</v>
      </c>
      <c r="G188" s="55" cm="1">
        <f t="array" ref="G188">MMS_Dairy_ManureAppliedToSoils_Equations.VEERG_4_3_1_8__1_MassOfNitrogenAppliedToSoilsScope1(G24,$E65,$E74,G36,G176)</f>
        <v>41.486422859204225</v>
      </c>
      <c r="H188" s="55" cm="1">
        <f t="array" ref="H188">MMS_Dairy_ManureAppliedToSoils_Equations.VEERG_4_3_1_8__1_MassOfNitrogenAppliedToSoilsScope1(H24,$E65,$E74,H36,H176)</f>
        <v>16.523603488174381</v>
      </c>
      <c r="I188" s="55" cm="1">
        <f t="array" ref="I188">MMS_Dairy_ManureAppliedToSoils_Equations.VEERG_4_3_1_8__1_MassOfNitrogenAppliedToSoilsScope1(I24,$E65,$E74,I36,I176)</f>
        <v>52.150074280820064</v>
      </c>
      <c r="J188" s="55" cm="1">
        <f t="array" ref="J188">MMS_Dairy_ManureAppliedToSoils_Equations.VEERG_4_3_1_8__1_MassOfNitrogenAppliedToSoilsScope1(J24,$E65,$E74,J36,J176)</f>
        <v>21.831549985485104</v>
      </c>
      <c r="K188" s="2" t="str">
        <f t="shared" ref="K188:K194" si="9">$E$112</f>
        <v>kg N</v>
      </c>
      <c r="O188" s="55" t="str">
        <f>'Input - Dairy'!$D$54</f>
        <v>Milking shed</v>
      </c>
      <c r="P188" s="55" t="str">
        <f>'Input - Dairy'!$D$72</f>
        <v>Sump and dispersal system</v>
      </c>
      <c r="Q188" s="55" cm="1">
        <f t="array" ref="Q188">MMS_Dairy_ManureAppliedToSoils_Equations.VEERG_4_3_1_8__1_MassOfNitrogenAppliedToSoilsScope1(Q24,$E65,$E74,Q36,F176)</f>
        <v>48.286450290543904</v>
      </c>
      <c r="R188" s="55" cm="1">
        <f t="array" ref="R188">MMS_Dairy_ManureAppliedToSoils_Equations.VEERG_4_3_1_8__1_MassOfNitrogenAppliedToSoilsScope1(R24,$E65,$E74,R36,G176)</f>
        <v>41.486422859204225</v>
      </c>
      <c r="S188" s="55" cm="1">
        <f t="array" ref="S188">MMS_Dairy_ManureAppliedToSoils_Equations.VEERG_4_3_1_8__1_MassOfNitrogenAppliedToSoilsScope1(S24,$E65,$E74,S36,H176)</f>
        <v>16.523603488174381</v>
      </c>
      <c r="T188" s="55" cm="1">
        <f t="array" ref="T188">MMS_Dairy_ManureAppliedToSoils_Equations.VEERG_4_3_1_8__1_MassOfNitrogenAppliedToSoilsScope1(T24,$E65,$E74,T36,I176)</f>
        <v>52.150074280820064</v>
      </c>
      <c r="U188" s="55" cm="1">
        <f t="array" ref="U188">MMS_Dairy_ManureAppliedToSoils_Equations.VEERG_4_3_1_8__1_MassOfNitrogenAppliedToSoilsScope1(U24,$E65,$E74,U36,J176)</f>
        <v>21.831549985485104</v>
      </c>
      <c r="V188" s="2" t="str">
        <f t="shared" ref="V188:V194" si="10">$E$112</f>
        <v>kg N</v>
      </c>
    </row>
    <row r="189" spans="4:22" ht="20.100000000000001" customHeight="1" x14ac:dyDescent="0.25">
      <c r="D189" s="55" t="str">
        <f>'Input - Dairy'!$D$54</f>
        <v>Milking shed</v>
      </c>
      <c r="E189" s="55" t="str">
        <f>'Input - Dairy'!$D$77</f>
        <v>Drains to paddock</v>
      </c>
      <c r="F189" s="55" cm="1">
        <f t="array" ref="F189">MMS_Dairy_ManureAppliedToSoils_Equations.VEERG_4_3_1_8__1_MassOfNitrogenAppliedToSoilsScope1(F25,$E66,$E75,F37,F177)</f>
        <v>41.388385963323351</v>
      </c>
      <c r="G189" s="55" cm="1">
        <f t="array" ref="G189">MMS_Dairy_ManureAppliedToSoils_Equations.VEERG_4_3_1_8__1_MassOfNitrogenAppliedToSoilsScope1(G25,$E66,$E75,G37,G177)</f>
        <v>35.559791022175055</v>
      </c>
      <c r="H189" s="55" cm="1">
        <f t="array" ref="H189">MMS_Dairy_ManureAppliedToSoils_Equations.VEERG_4_3_1_8__1_MassOfNitrogenAppliedToSoilsScope1(H25,$E66,$E75,H37,H177)</f>
        <v>14.163088704149468</v>
      </c>
      <c r="I189" s="55" cm="1">
        <f t="array" ref="I189">MMS_Dairy_ManureAppliedToSoils_Equations.VEERG_4_3_1_8__1_MassOfNitrogenAppliedToSoilsScope1(I25,$E66,$E75,I37,I177)</f>
        <v>44.70006366927435</v>
      </c>
      <c r="J189" s="55" cm="1">
        <f t="array" ref="J189">MMS_Dairy_ManureAppliedToSoils_Equations.VEERG_4_3_1_8__1_MassOfNitrogenAppliedToSoilsScope1(J25,$E66,$E75,J37,J177)</f>
        <v>18.712757130415806</v>
      </c>
      <c r="K189" s="2" t="str">
        <f t="shared" si="9"/>
        <v>kg N</v>
      </c>
      <c r="O189" s="55" t="str">
        <f>'Input - Dairy'!$D$54</f>
        <v>Milking shed</v>
      </c>
      <c r="P189" s="55" t="str">
        <f>'Input - Dairy'!$D$77</f>
        <v>Drains to paddock</v>
      </c>
      <c r="Q189" s="55" cm="1">
        <f t="array" ref="Q189">MMS_Dairy_ManureAppliedToSoils_Equations.VEERG_4_3_1_8__1_MassOfNitrogenAppliedToSoilsScope1(Q25,$E66,$E75,Q37,F177)</f>
        <v>41.388385963323351</v>
      </c>
      <c r="R189" s="55" cm="1">
        <f t="array" ref="R189">MMS_Dairy_ManureAppliedToSoils_Equations.VEERG_4_3_1_8__1_MassOfNitrogenAppliedToSoilsScope1(R25,$E66,$E75,R37,G177)</f>
        <v>35.559791022175055</v>
      </c>
      <c r="S189" s="55" cm="1">
        <f t="array" ref="S189">MMS_Dairy_ManureAppliedToSoils_Equations.VEERG_4_3_1_8__1_MassOfNitrogenAppliedToSoilsScope1(S25,$E66,$E75,S37,H177)</f>
        <v>14.163088704149468</v>
      </c>
      <c r="T189" s="55" cm="1">
        <f t="array" ref="T189">MMS_Dairy_ManureAppliedToSoils_Equations.VEERG_4_3_1_8__1_MassOfNitrogenAppliedToSoilsScope1(T25,$E66,$E75,T37,I177)</f>
        <v>44.70006366927435</v>
      </c>
      <c r="U189" s="55" cm="1">
        <f t="array" ref="U189">MMS_Dairy_ManureAppliedToSoils_Equations.VEERG_4_3_1_8__1_MassOfNitrogenAppliedToSoilsScope1(U25,$E66,$E75,U37,J177)</f>
        <v>18.712757130415806</v>
      </c>
      <c r="V189" s="2" t="str">
        <f t="shared" si="10"/>
        <v>kg N</v>
      </c>
    </row>
    <row r="190" spans="4:22" ht="20.100000000000001" customHeight="1" x14ac:dyDescent="0.25">
      <c r="D190" s="55" t="str">
        <f>'Input - Dairy'!$D$54</f>
        <v>Milking shed</v>
      </c>
      <c r="E190" s="55" t="str">
        <f>'Input - Dairy'!$D$82</f>
        <v>Solid storage</v>
      </c>
      <c r="F190" s="55" cm="1">
        <f t="array" ref="F190">MMS_Dairy_ManureAppliedToSoils_Equations.VEERG_4_3_1_8__1_MassOfNitrogenAppliedToSoilsScope1(F26,$E67,$E76,F38,F178)</f>
        <v>71.633744936521182</v>
      </c>
      <c r="G190" s="55" cm="1">
        <f t="array" ref="G190">MMS_Dairy_ManureAppliedToSoils_Equations.VEERG_4_3_1_8__1_MassOfNitrogenAppliedToSoilsScope1(G26,$E67,$E76,G38,G178)</f>
        <v>61.545792153764516</v>
      </c>
      <c r="H190" s="55" cm="1">
        <f t="array" ref="H190">MMS_Dairy_ManureAppliedToSoils_Equations.VEERG_4_3_1_8__1_MassOfNitrogenAppliedToSoilsScope1(H26,$E67,$E76,H38,H178)</f>
        <v>24.51303814179715</v>
      </c>
      <c r="I190" s="55" cm="1">
        <f t="array" ref="I190">MMS_Dairy_ManureAppliedToSoils_Equations.VEERG_4_3_1_8__1_MassOfNitrogenAppliedToSoilsScope1(I26,$E67,$E76,I38,I178)</f>
        <v>77.365494812205597</v>
      </c>
      <c r="J190" s="55" cm="1">
        <f t="array" ref="J190">MMS_Dairy_ManureAppliedToSoils_Equations.VEERG_4_3_1_8__1_MassOfNitrogenAppliedToSoilsScope1(J26,$E67,$E76,J38,J178)</f>
        <v>32.387464264181197</v>
      </c>
      <c r="K190" s="2" t="str">
        <f t="shared" si="9"/>
        <v>kg N</v>
      </c>
      <c r="O190" s="55" t="str">
        <f>'Input - Dairy'!$D$54</f>
        <v>Milking shed</v>
      </c>
      <c r="P190" s="55" t="str">
        <f>'Input - Dairy'!$D$82</f>
        <v>Solid storage</v>
      </c>
      <c r="Q190" s="55" cm="1">
        <f t="array" ref="Q190">MMS_Dairy_ManureAppliedToSoils_Equations.VEERG_4_3_1_8__1_MassOfNitrogenAppliedToSoilsScope1(Q26,$E67,$E76,Q38,F178)</f>
        <v>71.633744936521182</v>
      </c>
      <c r="R190" s="55" cm="1">
        <f t="array" ref="R190">MMS_Dairy_ManureAppliedToSoils_Equations.VEERG_4_3_1_8__1_MassOfNitrogenAppliedToSoilsScope1(R26,$E67,$E76,R38,G178)</f>
        <v>61.545792153764516</v>
      </c>
      <c r="S190" s="55" cm="1">
        <f t="array" ref="S190">MMS_Dairy_ManureAppliedToSoils_Equations.VEERG_4_3_1_8__1_MassOfNitrogenAppliedToSoilsScope1(S26,$E67,$E76,S38,H178)</f>
        <v>24.51303814179715</v>
      </c>
      <c r="T190" s="55" cm="1">
        <f t="array" ref="T190">MMS_Dairy_ManureAppliedToSoils_Equations.VEERG_4_3_1_8__1_MassOfNitrogenAppliedToSoilsScope1(T26,$E67,$E76,T38,I178)</f>
        <v>77.365494812205597</v>
      </c>
      <c r="U190" s="55" cm="1">
        <f t="array" ref="U190">MMS_Dairy_ManureAppliedToSoils_Equations.VEERG_4_3_1_8__1_MassOfNitrogenAppliedToSoilsScope1(U26,$E67,$E76,U38,J178)</f>
        <v>32.387464264181197</v>
      </c>
      <c r="V190" s="2" t="str">
        <f t="shared" si="10"/>
        <v>kg N</v>
      </c>
    </row>
    <row r="191" spans="4:22" ht="20.100000000000001" customHeight="1" x14ac:dyDescent="0.25">
      <c r="D191" s="55" t="str">
        <f>'Input - Dairy'!$D$55</f>
        <v>Feed pad</v>
      </c>
      <c r="E191" s="55" t="str">
        <f>'Input - Dairy'!$D$101</f>
        <v>Anaerobic lagoon</v>
      </c>
      <c r="F191" s="55" cm="1">
        <f t="array" ref="F191">MMS_Dairy_ManureAppliedToSoils_Equations.VEERG_4_3_1_8__1_MassOfNitrogenAppliedToSoilsScope1(F27,$E64,$E73,F39,F179)</f>
        <v>135.23582756197786</v>
      </c>
      <c r="G191" s="55" cm="1">
        <f t="array" ref="G191">MMS_Dairy_ManureAppliedToSoils_Equations.VEERG_4_3_1_8__1_MassOfNitrogenAppliedToSoilsScope1(G27,$E64,$E73,G39,G179)</f>
        <v>116.19099549028876</v>
      </c>
      <c r="H191" s="55" cm="1">
        <f t="array" ref="H191">MMS_Dairy_ManureAppliedToSoils_Equations.VEERG_4_3_1_8__1_MassOfNitrogenAppliedToSoilsScope1(H27,$E64,$E73,H39,H179)</f>
        <v>46.277644734362511</v>
      </c>
      <c r="I191" s="55" cm="1">
        <f t="array" ref="I191">MMS_Dairy_ManureAppliedToSoils_Equations.VEERG_4_3_1_8__1_MassOfNitrogenAppliedToSoilsScope1(I27,$E64,$E73,I39,I179)</f>
        <v>146.05667656970937</v>
      </c>
      <c r="J191" s="55" cm="1">
        <f t="array" ref="J191">MMS_Dairy_ManureAppliedToSoils_Equations.VEERG_4_3_1_8__1_MassOfNitrogenAppliedToSoilsScope1(J27,$E64,$E73,J39,J179)</f>
        <v>61.143606777529961</v>
      </c>
      <c r="K191" s="2" t="str">
        <f t="shared" si="9"/>
        <v>kg N</v>
      </c>
      <c r="O191" s="55" t="str">
        <f>'Input - Dairy'!$D$55</f>
        <v>Feed pad</v>
      </c>
      <c r="P191" s="55" t="str">
        <f>'Input - Dairy'!$D$101</f>
        <v>Anaerobic lagoon</v>
      </c>
      <c r="Q191" s="55" cm="1">
        <f t="array" ref="Q191">MMS_Dairy_ManureAppliedToSoils_Equations.VEERG_4_3_1_8__1_MassOfNitrogenAppliedToSoilsScope1(Q27,$E64,$E73,Q39,F179)</f>
        <v>135.23582756197786</v>
      </c>
      <c r="R191" s="55" cm="1">
        <f t="array" ref="R191">MMS_Dairy_ManureAppliedToSoils_Equations.VEERG_4_3_1_8__1_MassOfNitrogenAppliedToSoilsScope1(R27,$E64,$E73,R39,G179)</f>
        <v>116.19099549028876</v>
      </c>
      <c r="S191" s="55" cm="1">
        <f t="array" ref="S191">MMS_Dairy_ManureAppliedToSoils_Equations.VEERG_4_3_1_8__1_MassOfNitrogenAppliedToSoilsScope1(S27,$E64,$E73,S39,H179)</f>
        <v>46.277644734362511</v>
      </c>
      <c r="T191" s="55" cm="1">
        <f t="array" ref="T191">MMS_Dairy_ManureAppliedToSoils_Equations.VEERG_4_3_1_8__1_MassOfNitrogenAppliedToSoilsScope1(T27,$E64,$E73,T39,I179)</f>
        <v>146.05667656970937</v>
      </c>
      <c r="U191" s="55" cm="1">
        <f t="array" ref="U191">MMS_Dairy_ManureAppliedToSoils_Equations.VEERG_4_3_1_8__1_MassOfNitrogenAppliedToSoilsScope1(U27,$E64,$E73,U39,J179)</f>
        <v>61.143606777529961</v>
      </c>
      <c r="V191" s="2" t="str">
        <f t="shared" si="10"/>
        <v>kg N</v>
      </c>
    </row>
    <row r="192" spans="4:22" ht="20.100000000000001" customHeight="1" x14ac:dyDescent="0.25">
      <c r="D192" s="55" t="str">
        <f>'Input - Dairy'!$D$55</f>
        <v>Feed pad</v>
      </c>
      <c r="E192" s="55" t="str">
        <f>'Input - Dairy'!$D$106</f>
        <v>Sump and dispersal system</v>
      </c>
      <c r="F192" s="55" cm="1">
        <f t="array" ref="F192">MMS_Dairy_ManureAppliedToSoils_Equations.VEERG_4_3_1_8__1_MassOfNitrogenAppliedToSoilsScope1(F28,$E65,$E74,F40,F180)</f>
        <v>156.27251184939661</v>
      </c>
      <c r="G192" s="55" cm="1">
        <f t="array" ref="G192">MMS_Dairy_ManureAppliedToSoils_Equations.VEERG_4_3_1_8__1_MassOfNitrogenAppliedToSoilsScope1(G28,$E65,$E74,G40,G180)</f>
        <v>134.26515034433368</v>
      </c>
      <c r="H192" s="55" cm="1">
        <f t="array" ref="H192">MMS_Dairy_ManureAppliedToSoils_Equations.VEERG_4_3_1_8__1_MassOfNitrogenAppliedToSoilsScope1(H28,$E65,$E74,H40,H180)</f>
        <v>53.476389470818894</v>
      </c>
      <c r="I192" s="55" cm="1">
        <f t="array" ref="I192">MMS_Dairy_ManureAppliedToSoils_Equations.VEERG_4_3_1_8__1_MassOfNitrogenAppliedToSoilsScope1(I28,$E65,$E74,I40,I180)</f>
        <v>168.77660403610855</v>
      </c>
      <c r="J192" s="55" cm="1">
        <f t="array" ref="J192">MMS_Dairy_ManureAppliedToSoils_Equations.VEERG_4_3_1_8__1_MassOfNitrogenAppliedToSoilsScope1(J28,$E65,$E74,J40,J180)</f>
        <v>70.654834498479062</v>
      </c>
      <c r="K192" s="2" t="str">
        <f t="shared" si="9"/>
        <v>kg N</v>
      </c>
      <c r="O192" s="55" t="str">
        <f>'Input - Dairy'!$D$55</f>
        <v>Feed pad</v>
      </c>
      <c r="P192" s="55" t="str">
        <f>'Input - Dairy'!$D$106</f>
        <v>Sump and dispersal system</v>
      </c>
      <c r="Q192" s="55" cm="1">
        <f t="array" ref="Q192">MMS_Dairy_ManureAppliedToSoils_Equations.VEERG_4_3_1_8__1_MassOfNitrogenAppliedToSoilsScope1(Q28,$E65,$E74,Q40,F180)</f>
        <v>156.27251184939661</v>
      </c>
      <c r="R192" s="55" cm="1">
        <f t="array" ref="R192">MMS_Dairy_ManureAppliedToSoils_Equations.VEERG_4_3_1_8__1_MassOfNitrogenAppliedToSoilsScope1(R28,$E65,$E74,R40,G180)</f>
        <v>134.26515034433368</v>
      </c>
      <c r="S192" s="55" cm="1">
        <f t="array" ref="S192">MMS_Dairy_ManureAppliedToSoils_Equations.VEERG_4_3_1_8__1_MassOfNitrogenAppliedToSoilsScope1(S28,$E65,$E74,S40,H180)</f>
        <v>53.476389470818894</v>
      </c>
      <c r="T192" s="55" cm="1">
        <f t="array" ref="T192">MMS_Dairy_ManureAppliedToSoils_Equations.VEERG_4_3_1_8__1_MassOfNitrogenAppliedToSoilsScope1(T28,$E65,$E74,T40,I180)</f>
        <v>168.77660403610855</v>
      </c>
      <c r="U192" s="55" cm="1">
        <f t="array" ref="U192">MMS_Dairy_ManureAppliedToSoils_Equations.VEERG_4_3_1_8__1_MassOfNitrogenAppliedToSoilsScope1(U28,$E65,$E74,U40,J180)</f>
        <v>70.654834498479062</v>
      </c>
      <c r="V192" s="2" t="str">
        <f t="shared" si="10"/>
        <v>kg N</v>
      </c>
    </row>
    <row r="193" spans="4:22" ht="20.100000000000001" customHeight="1" x14ac:dyDescent="0.25">
      <c r="D193" s="55" t="str">
        <f>'Input - Dairy'!$D$55</f>
        <v>Feed pad</v>
      </c>
      <c r="E193" s="55" t="str">
        <f>'Input - Dairy'!$D$111</f>
        <v>Drains to paddock</v>
      </c>
      <c r="F193" s="55" cm="1">
        <f t="array" ref="F193">MMS_Dairy_ManureAppliedToSoils_Equations.VEERG_4_3_1_8__1_MassOfNitrogenAppliedToSoilsScope1(F29,$E66,$E75,F41,F181)</f>
        <v>133.94786729948282</v>
      </c>
      <c r="G193" s="55" cm="1">
        <f t="array" ref="G193">MMS_Dairy_ManureAppliedToSoils_Equations.VEERG_4_3_1_8__1_MassOfNitrogenAppliedToSoilsScope1(G29,$E66,$E75,G41,G181)</f>
        <v>115.08441458085744</v>
      </c>
      <c r="H193" s="55" cm="1">
        <f t="array" ref="H193">MMS_Dairy_ManureAppliedToSoils_Equations.VEERG_4_3_1_8__1_MassOfNitrogenAppliedToSoilsScope1(H29,$E66,$E75,H41,H181)</f>
        <v>45.836905260701911</v>
      </c>
      <c r="I193" s="55" cm="1">
        <f t="array" ref="I193">MMS_Dairy_ManureAppliedToSoils_Equations.VEERG_4_3_1_8__1_MassOfNitrogenAppliedToSoilsScope1(I29,$E66,$E75,I41,I181)</f>
        <v>144.66566060237878</v>
      </c>
      <c r="J193" s="55" cm="1">
        <f t="array" ref="J193">MMS_Dairy_ManureAppliedToSoils_Equations.VEERG_4_3_1_8__1_MassOfNitrogenAppliedToSoilsScope1(J29,$E66,$E75,J41,J181)</f>
        <v>60.561286712982053</v>
      </c>
      <c r="K193" s="2" t="str">
        <f t="shared" si="9"/>
        <v>kg N</v>
      </c>
      <c r="O193" s="55" t="str">
        <f>'Input - Dairy'!$D$55</f>
        <v>Feed pad</v>
      </c>
      <c r="P193" s="55" t="str">
        <f>'Input - Dairy'!$D$111</f>
        <v>Drains to paddock</v>
      </c>
      <c r="Q193" s="55" cm="1">
        <f t="array" ref="Q193">MMS_Dairy_ManureAppliedToSoils_Equations.VEERG_4_3_1_8__1_MassOfNitrogenAppliedToSoilsScope1(Q29,$E66,$E75,Q41,F181)</f>
        <v>133.94786729948282</v>
      </c>
      <c r="R193" s="55" cm="1">
        <f t="array" ref="R193">MMS_Dairy_ManureAppliedToSoils_Equations.VEERG_4_3_1_8__1_MassOfNitrogenAppliedToSoilsScope1(R29,$E66,$E75,R41,G181)</f>
        <v>115.08441458085744</v>
      </c>
      <c r="S193" s="55" cm="1">
        <f t="array" ref="S193">MMS_Dairy_ManureAppliedToSoils_Equations.VEERG_4_3_1_8__1_MassOfNitrogenAppliedToSoilsScope1(S29,$E66,$E75,S41,H181)</f>
        <v>45.836905260701911</v>
      </c>
      <c r="T193" s="55" cm="1">
        <f t="array" ref="T193">MMS_Dairy_ManureAppliedToSoils_Equations.VEERG_4_3_1_8__1_MassOfNitrogenAppliedToSoilsScope1(T29,$E66,$E75,T41,I181)</f>
        <v>144.66566060237878</v>
      </c>
      <c r="U193" s="55" cm="1">
        <f t="array" ref="U193">MMS_Dairy_ManureAppliedToSoils_Equations.VEERG_4_3_1_8__1_MassOfNitrogenAppliedToSoilsScope1(U29,$E66,$E75,U41,J181)</f>
        <v>60.561286712982053</v>
      </c>
      <c r="V193" s="2" t="str">
        <f t="shared" si="10"/>
        <v>kg N</v>
      </c>
    </row>
    <row r="194" spans="4:22" ht="20.100000000000001" customHeight="1" x14ac:dyDescent="0.25">
      <c r="D194" s="55" t="str">
        <f>'Input - Dairy'!$D$55</f>
        <v>Feed pad</v>
      </c>
      <c r="E194" s="55" t="str">
        <f>'Input - Dairy'!$D$116</f>
        <v>Solid storage</v>
      </c>
      <c r="F194" s="55" cm="1">
        <f t="array" ref="F194">MMS_Dairy_ManureAppliedToSoils_Equations.VEERG_4_3_1_8__1_MassOfNitrogenAppliedToSoilsScope1(F30,$E67,$E76,F42,F182)</f>
        <v>202.85374134296677</v>
      </c>
      <c r="G194" s="55" cm="1">
        <f t="array" ref="G194">MMS_Dairy_ManureAppliedToSoils_Equations.VEERG_4_3_1_8__1_MassOfNitrogenAppliedToSoilsScope1(G30,$E67,$E76,G42,G182)</f>
        <v>174.28649323543314</v>
      </c>
      <c r="H194" s="55" cm="1">
        <f t="array" ref="H194">MMS_Dairy_ManureAppliedToSoils_Equations.VEERG_4_3_1_8__1_MassOfNitrogenAppliedToSoilsScope1(H30,$E67,$E76,H42,H182)</f>
        <v>69.416467101543759</v>
      </c>
      <c r="I194" s="55" cm="1">
        <f t="array" ref="I194">MMS_Dairy_ManureAppliedToSoils_Equations.VEERG_4_3_1_8__1_MassOfNitrogenAppliedToSoilsScope1(I30,$E67,$E76,I42,I182)</f>
        <v>219.08501485456401</v>
      </c>
      <c r="J194" s="55" cm="1">
        <f t="array" ref="J194">MMS_Dairy_ManureAppliedToSoils_Equations.VEERG_4_3_1_8__1_MassOfNitrogenAppliedToSoilsScope1(J30,$E67,$E76,J42,J182)</f>
        <v>91.715410166294944</v>
      </c>
      <c r="K194" s="2" t="str">
        <f t="shared" si="9"/>
        <v>kg N</v>
      </c>
      <c r="O194" s="55" t="str">
        <f>'Input - Dairy'!$D$55</f>
        <v>Feed pad</v>
      </c>
      <c r="P194" s="55" t="str">
        <f>'Input - Dairy'!$D$116</f>
        <v>Solid storage</v>
      </c>
      <c r="Q194" s="55" cm="1">
        <f t="array" ref="Q194">MMS_Dairy_ManureAppliedToSoils_Equations.VEERG_4_3_1_8__1_MassOfNitrogenAppliedToSoilsScope1(Q30,$E67,$E76,Q42,F182)</f>
        <v>202.85374134296677</v>
      </c>
      <c r="R194" s="55" cm="1">
        <f t="array" ref="R194">MMS_Dairy_ManureAppliedToSoils_Equations.VEERG_4_3_1_8__1_MassOfNitrogenAppliedToSoilsScope1(R30,$E67,$E76,R42,G182)</f>
        <v>174.28649323543314</v>
      </c>
      <c r="S194" s="55" cm="1">
        <f t="array" ref="S194">MMS_Dairy_ManureAppliedToSoils_Equations.VEERG_4_3_1_8__1_MassOfNitrogenAppliedToSoilsScope1(S30,$E67,$E76,S42,H182)</f>
        <v>69.416467101543759</v>
      </c>
      <c r="T194" s="55" cm="1">
        <f t="array" ref="T194">MMS_Dairy_ManureAppliedToSoils_Equations.VEERG_4_3_1_8__1_MassOfNitrogenAppliedToSoilsScope1(T30,$E67,$E76,T42,I182)</f>
        <v>219.08501485456401</v>
      </c>
      <c r="U194" s="55" cm="1">
        <f t="array" ref="U194">MMS_Dairy_ManureAppliedToSoils_Equations.VEERG_4_3_1_8__1_MassOfNitrogenAppliedToSoilsScope1(U30,$E67,$E76,U42,J182)</f>
        <v>91.715410166294944</v>
      </c>
      <c r="V194" s="2" t="str">
        <f t="shared" si="10"/>
        <v>kg N</v>
      </c>
    </row>
    <row r="195" spans="4:22" ht="20.100000000000001" customHeight="1" x14ac:dyDescent="0.25"/>
    <row r="196" spans="4:22" ht="20.100000000000001" customHeight="1" x14ac:dyDescent="0.25">
      <c r="D196" s="108" t="s">
        <v>150</v>
      </c>
      <c r="E196" s="109">
        <f>SUM(F187:J194)</f>
        <v>3072.8591402028655</v>
      </c>
      <c r="F196" s="110" t="str">
        <f>$E$112</f>
        <v>kg N</v>
      </c>
      <c r="O196" s="108" t="s">
        <v>150</v>
      </c>
      <c r="P196" s="109">
        <f>SUM(Q187:U194)</f>
        <v>3072.8591402028655</v>
      </c>
      <c r="Q196" s="110" t="str">
        <f>$E$112</f>
        <v>kg N</v>
      </c>
    </row>
    <row r="197" spans="4:22" ht="20.100000000000001" customHeight="1" x14ac:dyDescent="0.25"/>
    <row r="198" spans="4:22" ht="20.100000000000001" customHeight="1" x14ac:dyDescent="0.25"/>
    <row r="199" spans="4:22" ht="20.100000000000001" customHeight="1" x14ac:dyDescent="0.25"/>
    <row r="200" spans="4:22" ht="20.100000000000001" customHeight="1" x14ac:dyDescent="0.25"/>
    <row r="201" spans="4:22" ht="20.100000000000001" customHeight="1" x14ac:dyDescent="0.25"/>
    <row r="202" spans="4:22" ht="20.100000000000001" customHeight="1" x14ac:dyDescent="0.25"/>
    <row r="203" spans="4:22" ht="20.100000000000001" customHeight="1" x14ac:dyDescent="0.25"/>
    <row r="204" spans="4:22" ht="20.100000000000001" customHeight="1" x14ac:dyDescent="0.25"/>
    <row r="205" spans="4:22" ht="20.100000000000001" customHeight="1" x14ac:dyDescent="0.25"/>
    <row r="206" spans="4:22" ht="20.100000000000001" customHeight="1" x14ac:dyDescent="0.25"/>
    <row r="207" spans="4:22" ht="20.100000000000001" customHeight="1" x14ac:dyDescent="0.25"/>
  </sheetData>
  <dataValidations disablePrompts="1" count="1">
    <dataValidation operator="equal" allowBlank="1" showInputMessage="1" showErrorMessage="1" sqref="E26 E23 P26 P23 E66 E63 E75 E72 P93 P96 E35 E38 P35 P38 E81 E84 E93 E96 E123 E126 P123 P126 E145 E148 E157 E160 P157 P160 E175 E178 E187 E190 P187 P190" xr:uid="{3CE1B7AD-39BD-4423-96DF-3D6853CFDB0B}"/>
  </dataValidations>
  <pageMargins left="0.7" right="0.7" top="0.75" bottom="0.75" header="0.3" footer="0.3"/>
  <drawing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63D4E5F-2570-481F-B379-68CEB1558D7A}">
  <dimension ref="A1:W165"/>
  <sheetViews>
    <sheetView showGridLines="0" workbookViewId="0">
      <selection activeCell="A14" sqref="A14"/>
    </sheetView>
  </sheetViews>
  <sheetFormatPr defaultRowHeight="15.75" x14ac:dyDescent="0.25"/>
  <cols>
    <col min="1" max="1" width="30.7109375" customWidth="1"/>
    <col min="2" max="2" width="4.7109375" customWidth="1"/>
    <col min="3" max="3" width="4.7109375" style="1" customWidth="1"/>
    <col min="4" max="11" width="30.7109375" style="1" customWidth="1"/>
    <col min="12" max="12" width="4.7109375" style="1" customWidth="1"/>
    <col min="13" max="13" width="4.7109375" style="59" customWidth="1"/>
    <col min="14" max="14" width="4.7109375" style="1" customWidth="1"/>
    <col min="15" max="22" width="30.7109375" style="1" customWidth="1"/>
    <col min="23" max="23" width="4.7109375" style="1" customWidth="1"/>
  </cols>
  <sheetData>
    <row r="1" spans="1:23" s="8" customFormat="1" ht="30" customHeight="1" x14ac:dyDescent="0.35">
      <c r="A1" s="8" t="e" vm="1">
        <v>#VALUE!</v>
      </c>
      <c r="C1" s="8" t="s">
        <v>391</v>
      </c>
      <c r="M1" s="59"/>
    </row>
    <row r="2" spans="1:23" s="9" customFormat="1" ht="20.100000000000001" customHeight="1" x14ac:dyDescent="0.25">
      <c r="M2" s="59"/>
    </row>
    <row r="3" spans="1:23" ht="20.100000000000001" customHeight="1" x14ac:dyDescent="0.25">
      <c r="A3" s="17" t="str">
        <f>HYPERLINK("#'Home'!A1", "Home")</f>
        <v>Home</v>
      </c>
      <c r="C3" s="4"/>
      <c r="D3" s="4"/>
      <c r="E3" s="4"/>
      <c r="F3" s="4"/>
      <c r="G3" s="4"/>
      <c r="H3" s="4"/>
      <c r="I3" s="4"/>
      <c r="J3" s="4"/>
      <c r="K3" s="4"/>
      <c r="L3" s="4"/>
      <c r="N3" s="4"/>
      <c r="O3" s="4"/>
      <c r="P3" s="4"/>
      <c r="Q3" s="4"/>
      <c r="R3" s="4"/>
      <c r="S3" s="4"/>
      <c r="T3" s="4"/>
      <c r="U3" s="4"/>
      <c r="V3" s="4"/>
      <c r="W3" s="4"/>
    </row>
    <row r="4" spans="1:23" ht="20.100000000000001" customHeight="1" x14ac:dyDescent="0.25">
      <c r="A4" s="17" t="str">
        <f>HYPERLINK("#'Results'!A1", "Results")</f>
        <v>Results</v>
      </c>
    </row>
    <row r="5" spans="1:23" ht="20.100000000000001" customHeight="1" x14ac:dyDescent="0.25">
      <c r="A5" s="16"/>
      <c r="D5" s="6" t="str" cm="1">
        <f t="array" ref="D5">MMS_Dairy_N2ODirect_Equations.VEERG_4_3_1_3__2_TotalNitrogenInEachMMS_Title()</f>
        <v>Total nitrogen in each MMS</v>
      </c>
    </row>
    <row r="6" spans="1:23" ht="20.100000000000001" customHeight="1" x14ac:dyDescent="0.25">
      <c r="A6" s="20" t="s">
        <v>3</v>
      </c>
      <c r="D6" s="5" t="str" cm="1">
        <f t="array" ref="D6">MMS_Dairy_N2ODirect_Equations.VEERG_4_3_1_3__2_TotalNitrogenInEachMMS_Source()</f>
        <v>VEERG 2026: 4.3.1.3, Equation (2)</v>
      </c>
    </row>
    <row r="7" spans="1:23" ht="20.100000000000001" customHeight="1" x14ac:dyDescent="0.25">
      <c r="A7" s="17" t="str">
        <f>HYPERLINK("#'Input - Site'!A1", "Site")</f>
        <v>Site</v>
      </c>
      <c r="D7" s="13" t="s">
        <v>28</v>
      </c>
      <c r="E7" s="13" t="str" cm="1">
        <f t="array" aca="1" ref="E7" ca="1">Common_InputFunctions.Utility_DisplayFunctionName(F31)</f>
        <v>=MMS_Dairy_N2ODirect_Equations.VEERG_4_3_1_3__2_TotalNitrogenInEachMMS</v>
      </c>
    </row>
    <row r="8" spans="1:23" ht="20.100000000000001" customHeight="1" x14ac:dyDescent="0.25">
      <c r="A8" s="17" t="str">
        <f>HYPERLINK("#'Input - Dairy'!A1", "Dairy")</f>
        <v>Dairy</v>
      </c>
    </row>
    <row r="9" spans="1:23" ht="20.100000000000001" customHeight="1" x14ac:dyDescent="0.25">
      <c r="A9" s="17"/>
      <c r="D9" s="6"/>
    </row>
    <row r="10" spans="1:23" ht="20.100000000000001" customHeight="1" x14ac:dyDescent="0.25">
      <c r="A10" s="19" t="s">
        <v>78</v>
      </c>
      <c r="D10" s="56" t="s">
        <v>31</v>
      </c>
      <c r="E10" s="1" t="str" cm="1">
        <f t="array" ref="E10">MMS_Dairy_N2ODirect_Equations.VEERG_4_3_1_3__2_TotalNitrogenInEachMMS_Variable()</f>
        <v>MN_jm</v>
      </c>
    </row>
    <row r="11" spans="1:23" ht="20.100000000000001" customHeight="1" x14ac:dyDescent="0.25">
      <c r="A11" s="17" t="str">
        <f>HYPERLINK("#'4.3.1.1-2 Methane'!A1", "4.3.1.1-2 Methane")</f>
        <v>4.3.1.1-2 Methane</v>
      </c>
      <c r="D11" s="56" t="s">
        <v>21</v>
      </c>
      <c r="E11" s="57" t="str" cm="1">
        <f t="array" ref="E11">MMS_Dairy_N2ODirect_Equations.VEERG_4_3_1_3__2_TotalNitrogenInEachMMS_Unit()</f>
        <v>kg N</v>
      </c>
    </row>
    <row r="12" spans="1:23" ht="20.100000000000001" customHeight="1" x14ac:dyDescent="0.25">
      <c r="A12" s="17" t="str">
        <f>HYPERLINK("#'4.3.1.3-4 Direct N20'!A1", "4.3.1.3-4 Direct N2O")</f>
        <v>4.3.1.3-4 Direct N2O</v>
      </c>
    </row>
    <row r="13" spans="1:23" ht="20.100000000000001" customHeight="1" x14ac:dyDescent="0.25">
      <c r="A13" s="17" t="str">
        <f>HYPERLINK("#'4.3.1.5 Atmos Deposition'!A1", "4.3.1.5 Atmospheric deposition")</f>
        <v>4.3.1.5 Atmospheric deposition</v>
      </c>
      <c r="D13" s="115" t="str" cm="1">
        <f t="array" ref="D13:E14">MMS_Dairy_N2ODirect_Equations.VEERG_4_3_1_3__2_TotalNitrogenInEachMMS_Arguments()</f>
        <v>AE_j</v>
      </c>
      <c r="E13" s="117" t="str">
        <v>total nitrogen excreted by each dairy class (kg N)</v>
      </c>
      <c r="F13" s="116"/>
      <c r="G13" s="115" t="str">
        <f>"See " &amp; D16</f>
        <v>See M1_Table_AE_j</v>
      </c>
    </row>
    <row r="14" spans="1:23" ht="20.100000000000001" customHeight="1" x14ac:dyDescent="0.25">
      <c r="A14" s="17" t="str">
        <f>HYPERLINK("#'4.3.1.6-7 Leaching and runoff'!A1", "4.3.1.6-7 Leaching and runoff")</f>
        <v>4.3.1.6-7 Leaching and runoff</v>
      </c>
      <c r="D14" s="115" t="str">
        <v>MMS_jm</v>
      </c>
      <c r="E14" s="117" t="str">
        <v>manure management system fraction for class j and system m</v>
      </c>
      <c r="F14" s="116"/>
      <c r="G14" s="115" t="str">
        <f>"See " &amp; D22</f>
        <v>See M1_Table_MMS_j_m-14</v>
      </c>
    </row>
    <row r="15" spans="1:23" ht="20.100000000000001" customHeight="1" x14ac:dyDescent="0.25">
      <c r="A15" s="17" t="str">
        <f>HYPERLINK("#'4.3.1.8 Manure applied to soils'!A1", "4.3.1.8 Manure applied to soils")</f>
        <v>4.3.1.8 Manure applied to soils</v>
      </c>
    </row>
    <row r="16" spans="1:23" ht="20.100000000000001" customHeight="1" x14ac:dyDescent="0.25">
      <c r="A16" s="22" t="str">
        <f>HYPERLINK("#'4.3.1.9 Soil direct N2O'!A1", "4.3.1.9 Soil direct N2O")</f>
        <v>4.3.1.9 Soil direct N2O</v>
      </c>
      <c r="D16" s="104" t="s">
        <v>125</v>
      </c>
    </row>
    <row r="17" spans="1:22" ht="20.100000000000001" customHeight="1" x14ac:dyDescent="0.25">
      <c r="A17" s="17" t="str">
        <f>HYPERLINK("#'4.3.1.10-11 Soil Atmos Dep'!A1", "4.3.1.10-11 Soil atm. deposition")</f>
        <v>4.3.1.10-11 Soil atm. deposition</v>
      </c>
      <c r="D17" s="103" t="s">
        <v>394</v>
      </c>
    </row>
    <row r="18" spans="1:22" ht="20.100000000000001" customHeight="1" x14ac:dyDescent="0.25">
      <c r="A18" s="17" t="str">
        <f>HYPERLINK("#'4.3.1.12-13 Soil leach runoff'!A1", "4.3.1.12-13 Soil leach &amp; runoff")</f>
        <v>4.3.1.12-13 Soil leach &amp; runoff</v>
      </c>
      <c r="D18" s="54" t="s">
        <v>186</v>
      </c>
      <c r="E18" s="54" t="s">
        <v>203</v>
      </c>
      <c r="F18" s="54" t="s">
        <v>204</v>
      </c>
      <c r="G18" s="54" t="s">
        <v>205</v>
      </c>
      <c r="H18" s="54" t="s">
        <v>206</v>
      </c>
    </row>
    <row r="19" spans="1:22" ht="20.100000000000001" customHeight="1" x14ac:dyDescent="0.25">
      <c r="A19" s="17"/>
      <c r="D19" s="55">
        <f>'4.3.1.3-4 Direct N20'!D169</f>
        <v>9647.642415693088</v>
      </c>
      <c r="E19" s="55">
        <f>'4.3.1.3-4 Direct N20'!E169</f>
        <v>8288.9955762645804</v>
      </c>
      <c r="F19" s="55">
        <f>'4.3.1.3-4 Direct N20'!F206</f>
        <v>3301.419278356519</v>
      </c>
      <c r="G19" s="55">
        <f>'4.3.1.3-4 Direct N20'!G169</f>
        <v>10419.59526090311</v>
      </c>
      <c r="H19" s="55">
        <f>'4.3.1.3-4 Direct N20'!H206</f>
        <v>4361.9480490479727</v>
      </c>
      <c r="I19" s="2" t="s">
        <v>135</v>
      </c>
    </row>
    <row r="20" spans="1:22" ht="20.100000000000001" customHeight="1" x14ac:dyDescent="0.25">
      <c r="A20" s="18" t="s">
        <v>4</v>
      </c>
    </row>
    <row r="21" spans="1:22" ht="20.100000000000001" customHeight="1" x14ac:dyDescent="0.25">
      <c r="A21" s="17" t="str">
        <f>HYPERLINK("#'Constants - Dairy'!A1", "Constants - Dairy")</f>
        <v>Constants - Dairy</v>
      </c>
    </row>
    <row r="22" spans="1:22" ht="20.100000000000001" customHeight="1" x14ac:dyDescent="0.25">
      <c r="A22" s="17" t="str">
        <f>HYPERLINK("#'Constants - Livestock'!A1", "Constants - Livestock")</f>
        <v>Constants - Livestock</v>
      </c>
      <c r="D22" s="104" t="s">
        <v>392</v>
      </c>
      <c r="O22" s="104" t="s">
        <v>392</v>
      </c>
    </row>
    <row r="23" spans="1:22" ht="20.100000000000001" customHeight="1" x14ac:dyDescent="0.25">
      <c r="A23" s="17" t="str">
        <f>HYPERLINK("#'Constants - Common'!A1", "Constants - Common")</f>
        <v>Constants - Common</v>
      </c>
      <c r="D23" s="103" t="s">
        <v>393</v>
      </c>
      <c r="O23" s="103" t="s">
        <v>393</v>
      </c>
    </row>
    <row r="24" spans="1:22" ht="20.100000000000001" customHeight="1" x14ac:dyDescent="0.25">
      <c r="A24" s="17" t="str">
        <f>HYPERLINK("#'Acknowledgements'!A1", "Acknowledgements")</f>
        <v>Acknowledgements</v>
      </c>
      <c r="D24" s="54" t="s">
        <v>159</v>
      </c>
      <c r="E24" s="54" t="s">
        <v>69</v>
      </c>
      <c r="F24" s="54" t="s">
        <v>186</v>
      </c>
      <c r="G24" s="54" t="s">
        <v>203</v>
      </c>
      <c r="H24" s="54" t="s">
        <v>204</v>
      </c>
      <c r="I24" s="54" t="s">
        <v>205</v>
      </c>
      <c r="J24" s="54" t="s">
        <v>206</v>
      </c>
      <c r="O24" s="54" t="s">
        <v>159</v>
      </c>
      <c r="P24" s="54" t="s">
        <v>69</v>
      </c>
      <c r="Q24" s="54" t="s">
        <v>186</v>
      </c>
      <c r="R24" s="54" t="s">
        <v>203</v>
      </c>
      <c r="S24" s="54" t="s">
        <v>204</v>
      </c>
      <c r="T24" s="54" t="s">
        <v>205</v>
      </c>
      <c r="U24" s="54" t="s">
        <v>206</v>
      </c>
    </row>
    <row r="25" spans="1:22" ht="20.100000000000001" customHeight="1" x14ac:dyDescent="0.25">
      <c r="D25" s="55" t="str">
        <f>'Input - Dairy'!$D$53</f>
        <v>Pasture</v>
      </c>
      <c r="E25" s="55" t="str">
        <f>'Constants - Livestock'!$E$27</f>
        <v>Pasture range and paddock</v>
      </c>
      <c r="F25" s="55">
        <f>'Input - Dairy'!E53</f>
        <v>0.53400000000000003</v>
      </c>
      <c r="G25" s="55">
        <f>'Input - Dairy'!F53</f>
        <v>0.53400000000000003</v>
      </c>
      <c r="H25" s="55">
        <f>'Input - Dairy'!G53</f>
        <v>0.53400000000000003</v>
      </c>
      <c r="I25" s="55">
        <f>'Input - Dairy'!H53</f>
        <v>0.53400000000000003</v>
      </c>
      <c r="J25" s="55">
        <f>'Input - Dairy'!I53</f>
        <v>0.53400000000000003</v>
      </c>
      <c r="K25" s="2" t="s">
        <v>101</v>
      </c>
      <c r="O25" s="55" t="str">
        <f>'Input - Dairy'!$D$53</f>
        <v>Pasture</v>
      </c>
      <c r="P25" s="55" t="str">
        <f>'Constants - Livestock'!$E$27</f>
        <v>Pasture range and paddock</v>
      </c>
      <c r="Q25" s="55">
        <f>'Input - Dairy'!E58</f>
        <v>0.53400000000000003</v>
      </c>
      <c r="R25" s="55">
        <f>'Input - Dairy'!F58</f>
        <v>0.53400000000000003</v>
      </c>
      <c r="S25" s="55">
        <f>'Input - Dairy'!G58</f>
        <v>0.53400000000000003</v>
      </c>
      <c r="T25" s="55">
        <f>'Input - Dairy'!H58</f>
        <v>0.53400000000000003</v>
      </c>
      <c r="U25" s="55">
        <f>'Input - Dairy'!I58</f>
        <v>0.53400000000000003</v>
      </c>
      <c r="V25" s="2" t="s">
        <v>101</v>
      </c>
    </row>
    <row r="26" spans="1:22" ht="20.100000000000001" customHeight="1" x14ac:dyDescent="0.25"/>
    <row r="27" spans="1:22" ht="20.100000000000001" customHeight="1" x14ac:dyDescent="0.25">
      <c r="Q27" s="142"/>
    </row>
    <row r="28" spans="1:22" ht="20.100000000000001" customHeight="1" x14ac:dyDescent="0.25">
      <c r="D28" s="104" t="s">
        <v>395</v>
      </c>
      <c r="O28" s="104" t="s">
        <v>397</v>
      </c>
    </row>
    <row r="29" spans="1:22" ht="20.100000000000001" customHeight="1" x14ac:dyDescent="0.25">
      <c r="D29" s="103" t="s">
        <v>396</v>
      </c>
      <c r="O29" s="103" t="s">
        <v>398</v>
      </c>
    </row>
    <row r="30" spans="1:22" ht="20.100000000000001" customHeight="1" x14ac:dyDescent="0.25">
      <c r="D30" s="54" t="s">
        <v>159</v>
      </c>
      <c r="E30" s="54" t="s">
        <v>69</v>
      </c>
      <c r="F30" s="54" t="s">
        <v>186</v>
      </c>
      <c r="G30" s="54" t="s">
        <v>203</v>
      </c>
      <c r="H30" s="54" t="s">
        <v>204</v>
      </c>
      <c r="I30" s="54" t="s">
        <v>205</v>
      </c>
      <c r="J30" s="54" t="s">
        <v>206</v>
      </c>
      <c r="O30" s="54" t="s">
        <v>159</v>
      </c>
      <c r="P30" s="54" t="s">
        <v>69</v>
      </c>
      <c r="Q30" s="54" t="s">
        <v>186</v>
      </c>
      <c r="R30" s="54" t="s">
        <v>203</v>
      </c>
      <c r="S30" s="54" t="s">
        <v>204</v>
      </c>
      <c r="T30" s="54" t="s">
        <v>205</v>
      </c>
      <c r="U30" s="54" t="s">
        <v>206</v>
      </c>
    </row>
    <row r="31" spans="1:22" ht="20.100000000000001" customHeight="1" x14ac:dyDescent="0.25">
      <c r="D31" s="55" t="str">
        <f>'Input - Dairy'!$D$53</f>
        <v>Pasture</v>
      </c>
      <c r="E31" s="55" t="str">
        <f>'Constants - Livestock'!$E$27</f>
        <v>Pasture range and paddock</v>
      </c>
      <c r="F31" s="55" cm="1">
        <f t="array" ref="F31">MMS_Dairy_N2ODirect_Equations.VEERG_4_3_1_3__2_TotalNitrogenInEachMMS(D19,F25)</f>
        <v>5151.8410499801093</v>
      </c>
      <c r="G31" s="55" cm="1">
        <f t="array" ref="G31">MMS_Dairy_N2ODirect_Equations.VEERG_4_3_1_3__2_TotalNitrogenInEachMMS(E19,G25)</f>
        <v>4426.3236377252861</v>
      </c>
      <c r="H31" s="55" cm="1">
        <f t="array" ref="H31">MMS_Dairy_N2ODirect_Equations.VEERG_4_3_1_3__2_TotalNitrogenInEachMMS(F19,H25)</f>
        <v>1762.9578946423812</v>
      </c>
      <c r="I31" s="55" cm="1">
        <f t="array" ref="I31">MMS_Dairy_N2ODirect_Equations.VEERG_4_3_1_3__2_TotalNitrogenInEachMMS(G19,I25)</f>
        <v>5564.0638693222609</v>
      </c>
      <c r="J31" s="55" cm="1">
        <f t="array" ref="J31">MMS_Dairy_N2ODirect_Equations.VEERG_4_3_1_3__2_TotalNitrogenInEachMMS(H19,J25)</f>
        <v>2329.2802581916176</v>
      </c>
      <c r="K31" s="2" t="str">
        <f>$E$11</f>
        <v>kg N</v>
      </c>
      <c r="O31" s="55" t="str">
        <f>'Input - Dairy'!$D$53</f>
        <v>Pasture</v>
      </c>
      <c r="P31" s="55" t="str">
        <f>'Constants - Livestock'!$E$27</f>
        <v>Pasture range and paddock</v>
      </c>
      <c r="Q31" s="55" cm="1">
        <f t="array" ref="Q31">MMS_Dairy_N2ODirect_Equations.VEERG_4_3_1_3__2_TotalNitrogenInEachMMS(D19,Q25)</f>
        <v>5151.8410499801093</v>
      </c>
      <c r="R31" s="55" cm="1">
        <f t="array" ref="R31">MMS_Dairy_N2ODirect_Equations.VEERG_4_3_1_3__2_TotalNitrogenInEachMMS(E19,R25)</f>
        <v>4426.3236377252861</v>
      </c>
      <c r="S31" s="55" cm="1">
        <f t="array" ref="S31">MMS_Dairy_N2ODirect_Equations.VEERG_4_3_1_3__2_TotalNitrogenInEachMMS(F19,S25)</f>
        <v>1762.9578946423812</v>
      </c>
      <c r="T31" s="55" cm="1">
        <f t="array" ref="T31">MMS_Dairy_N2ODirect_Equations.VEERG_4_3_1_3__2_TotalNitrogenInEachMMS(G19,T25)</f>
        <v>5564.0638693222609</v>
      </c>
      <c r="U31" s="55" cm="1">
        <f t="array" ref="U31">MMS_Dairy_N2ODirect_Equations.VEERG_4_3_1_3__2_TotalNitrogenInEachMMS(H19,U25)</f>
        <v>2329.2802581916176</v>
      </c>
      <c r="V31" s="2" t="str">
        <f>$E$11</f>
        <v>kg N</v>
      </c>
    </row>
    <row r="32" spans="1:22" ht="20.100000000000001" customHeight="1" x14ac:dyDescent="0.25"/>
    <row r="33" spans="3:23" ht="20.100000000000001" customHeight="1" x14ac:dyDescent="0.25"/>
    <row r="34" spans="3:23" ht="20.100000000000001" customHeight="1" x14ac:dyDescent="0.25">
      <c r="C34" s="48"/>
      <c r="D34" s="48"/>
      <c r="E34" s="48"/>
      <c r="F34" s="48"/>
      <c r="G34" s="48"/>
      <c r="H34" s="48"/>
      <c r="I34" s="48"/>
      <c r="J34" s="48"/>
      <c r="K34" s="48"/>
      <c r="L34" s="48"/>
      <c r="N34" s="48"/>
      <c r="O34" s="48"/>
      <c r="P34" s="48"/>
      <c r="Q34" s="48"/>
      <c r="R34" s="48"/>
      <c r="S34" s="48"/>
      <c r="T34" s="48"/>
      <c r="U34" s="48"/>
      <c r="V34" s="48"/>
      <c r="W34" s="48"/>
    </row>
    <row r="35" spans="3:23" ht="20.100000000000001" customHeight="1" x14ac:dyDescent="0.25">
      <c r="D35" s="6" t="str" cm="1">
        <f t="array" ref="D35">MMS_Dairy_Soil_N2ODirect_Equations.VEERG_4_3_1_9__1_DirectNitrousOxideEmissionsOnPasture_Title()</f>
        <v>Direct nitrous oxide emissions on pasture</v>
      </c>
    </row>
    <row r="36" spans="3:23" ht="20.100000000000001" customHeight="1" x14ac:dyDescent="0.25">
      <c r="D36" s="5" t="str" cm="1">
        <f t="array" ref="D36">MMS_Dairy_Soil_N2ODirect_Equations.VEERG_4_3_1_9__1_DirectNitrousOxideEmissionsOnPasture_Source()</f>
        <v>VEERG 2026: 4.3.1.9, Equation (1)</v>
      </c>
    </row>
    <row r="37" spans="3:23" ht="20.100000000000001" customHeight="1" x14ac:dyDescent="0.25">
      <c r="D37" s="13" t="s">
        <v>113</v>
      </c>
      <c r="E37" s="13" t="str" cm="1">
        <f t="array" aca="1" ref="E37" ca="1">Common_InputFunctions.Utility_DisplayFunctionName($F$51)</f>
        <v>=MMS_Dairy_Soil_N2ODirect_Equations.VEERG_4_3_1_9__1_DirectNitrousOxideEmissionsOnPasture</v>
      </c>
    </row>
    <row r="38" spans="3:23" ht="20.100000000000001" customHeight="1" x14ac:dyDescent="0.25"/>
    <row r="39" spans="3:23" ht="20.100000000000001" customHeight="1" x14ac:dyDescent="0.25"/>
    <row r="40" spans="3:23" ht="20.100000000000001" customHeight="1" x14ac:dyDescent="0.25">
      <c r="D40" s="56" t="s">
        <v>31</v>
      </c>
      <c r="E40" s="1" t="str" cm="1">
        <f t="array" ref="E40">MMS_Dairy_Soil_N2ODirect_Equations.VEERG_4_3_1_9__1_DirectNitrousOxideEmissionsOnPasture_Variable()</f>
        <v>E_N2Odir</v>
      </c>
    </row>
    <row r="41" spans="3:23" ht="20.100000000000001" customHeight="1" x14ac:dyDescent="0.25">
      <c r="D41" s="56" t="s">
        <v>21</v>
      </c>
      <c r="E41" s="57" t="str" cm="1">
        <f t="array" ref="E41">MMS_Dairy_Soil_N2ODirect_Equations.VEERG_4_3_1_9__1_DirectNitrousOxideEmissionsOnPasture_Unit()</f>
        <v>t N2O</v>
      </c>
    </row>
    <row r="42" spans="3:23" ht="20.100000000000001" customHeight="1" x14ac:dyDescent="0.25"/>
    <row r="43" spans="3:23" ht="20.100000000000001" customHeight="1" x14ac:dyDescent="0.25">
      <c r="D43" s="60" t="str" cm="1">
        <f t="array" ref="D43:E46">MMS_Dairy_Soil_N2ODirect_Equations.VEERG_4_3_1_9__1_DirectNitrousOxideEmissionsOnPasture_Arguments()</f>
        <v>MN_jm14</v>
      </c>
      <c r="E43" s="61" t="str">
        <v>mass of nitrogen excreted on pasture, range, and paddock for each dairy cattle class (kg N)</v>
      </c>
      <c r="F43" s="105"/>
      <c r="G43" s="62"/>
      <c r="H43" s="60" t="str">
        <f>"See " &amp; D28</f>
        <v>See M1_Table_MN_j_m-14</v>
      </c>
    </row>
    <row r="44" spans="3:23" ht="20.100000000000001" customHeight="1" x14ac:dyDescent="0.25">
      <c r="D44" s="60" t="str">
        <v>EF_PRP</v>
      </c>
      <c r="E44" s="61" t="str">
        <v>emission factor for nitrous oxide emissions for urine and dung deposited on PRP (kg N2O-N/kg N deposited)</v>
      </c>
      <c r="F44" s="105"/>
      <c r="G44" s="62"/>
      <c r="H44" s="60">
        <f>Common_InputFunctions.Utility_LookupValueInTable(H46, Table_SourceData_EFPastureRangeAndPaddock[Climate zone],Table_SourceData_EFPastureRangeAndPaddock[EFPRP])</f>
        <v>2E-3</v>
      </c>
    </row>
    <row r="45" spans="3:23" ht="20.100000000000001" customHeight="1" x14ac:dyDescent="0.25">
      <c r="D45" s="60" t="str">
        <v>C_N2O</v>
      </c>
      <c r="E45" s="61" t="str">
        <v>factor to convert elemental mass of N2O to molecular mass</v>
      </c>
      <c r="F45" s="105"/>
      <c r="G45" s="62"/>
      <c r="H45" s="60">
        <f>Common_InputFunctions.Utility_LookupValueInTableNumber("N2O",Table_GasToMolecularConversionFactor[Gas],Table_GasToMolecularConversionFactor[Conversion factor combined])</f>
        <v>1.5714285714285714</v>
      </c>
    </row>
    <row r="46" spans="3:23" ht="20.100000000000001" customHeight="1" x14ac:dyDescent="0.25">
      <c r="D46" s="60" t="str">
        <v>z</v>
      </c>
      <c r="E46" s="61" t="str">
        <v>Wet or dry climate zone</v>
      </c>
      <c r="F46" s="105"/>
      <c r="G46" s="62"/>
      <c r="H46" s="60" t="str">
        <f>'Input - Site'!$E$32</f>
        <v>Dry climate zone</v>
      </c>
    </row>
    <row r="47" spans="3:23" ht="20.100000000000001" customHeight="1" x14ac:dyDescent="0.25"/>
    <row r="48" spans="3:23" ht="20.100000000000001" customHeight="1" x14ac:dyDescent="0.25">
      <c r="D48" s="104" t="s">
        <v>127</v>
      </c>
      <c r="O48" s="104" t="s">
        <v>401</v>
      </c>
    </row>
    <row r="49" spans="4:22" ht="20.100000000000001" customHeight="1" x14ac:dyDescent="0.25">
      <c r="D49" s="103" t="s">
        <v>400</v>
      </c>
      <c r="O49" s="103" t="s">
        <v>402</v>
      </c>
    </row>
    <row r="50" spans="4:22" ht="20.100000000000001" customHeight="1" x14ac:dyDescent="0.25">
      <c r="D50" s="54" t="s">
        <v>159</v>
      </c>
      <c r="E50" s="54" t="s">
        <v>69</v>
      </c>
      <c r="F50" s="54" t="s">
        <v>186</v>
      </c>
      <c r="G50" s="54" t="s">
        <v>203</v>
      </c>
      <c r="H50" s="54" t="s">
        <v>204</v>
      </c>
      <c r="I50" s="54" t="s">
        <v>205</v>
      </c>
      <c r="J50" s="54" t="s">
        <v>206</v>
      </c>
      <c r="O50" s="54" t="s">
        <v>159</v>
      </c>
      <c r="P50" s="54" t="s">
        <v>69</v>
      </c>
      <c r="Q50" s="54" t="s">
        <v>186</v>
      </c>
      <c r="R50" s="54" t="s">
        <v>203</v>
      </c>
      <c r="S50" s="54" t="s">
        <v>204</v>
      </c>
      <c r="T50" s="54" t="s">
        <v>205</v>
      </c>
      <c r="U50" s="54" t="s">
        <v>206</v>
      </c>
    </row>
    <row r="51" spans="4:22" ht="20.100000000000001" customHeight="1" x14ac:dyDescent="0.25">
      <c r="D51" s="55" t="str">
        <f>'Input - Dairy'!$D$53</f>
        <v>Pasture</v>
      </c>
      <c r="E51" s="55" t="str">
        <f>'Constants - Livestock'!$E$27</f>
        <v>Pasture range and paddock</v>
      </c>
      <c r="F51" s="55" cm="1">
        <f t="array" ref="F51">MMS_Dairy_Soil_N2ODirect_Equations.VEERG_4_3_1_9__1_DirectNitrousOxideEmissionsOnPasture(F31,$H$44,$H$45)</f>
        <v>1.6191500442794628E-2</v>
      </c>
      <c r="G51" s="55" cm="1">
        <f t="array" ref="G51">MMS_Dairy_Soil_N2ODirect_Equations.VEERG_4_3_1_9__1_DirectNitrousOxideEmissionsOnPasture(G31,$H$44,$H$45)</f>
        <v>1.3911302861422326E-2</v>
      </c>
      <c r="H51" s="55" cm="1">
        <f t="array" ref="H51">MMS_Dairy_Soil_N2ODirect_Equations.VEERG_4_3_1_9__1_DirectNitrousOxideEmissionsOnPasture(H31,$H$44,$H$45)</f>
        <v>5.5407248117331984E-3</v>
      </c>
      <c r="I51" s="55" cm="1">
        <f t="array" ref="I51">MMS_Dairy_Soil_N2ODirect_Equations.VEERG_4_3_1_9__1_DirectNitrousOxideEmissionsOnPasture(I31,$H$44,$H$45)</f>
        <v>1.7487057875012819E-2</v>
      </c>
      <c r="J51" s="55" cm="1">
        <f t="array" ref="J51">MMS_Dairy_Soil_N2ODirect_Equations.VEERG_4_3_1_9__1_DirectNitrousOxideEmissionsOnPasture(J31,$H$44,$H$45)</f>
        <v>7.3205950971736563E-3</v>
      </c>
      <c r="K51" s="2" t="str">
        <f>$E$41</f>
        <v>t N2O</v>
      </c>
      <c r="O51" s="55" t="str">
        <f>'Input - Dairy'!$D$53</f>
        <v>Pasture</v>
      </c>
      <c r="P51" s="55" t="str">
        <f>'Constants - Livestock'!$E$27</f>
        <v>Pasture range and paddock</v>
      </c>
      <c r="Q51" s="55" cm="1">
        <f t="array" ref="Q51">MMS_Dairy_Soil_N2ODirect_Equations.VEERG_4_3_1_9__1_DirectNitrousOxideEmissionsOnPasture(Q31,$H$44,$H$45)</f>
        <v>1.6191500442794628E-2</v>
      </c>
      <c r="R51" s="55" cm="1">
        <f t="array" ref="R51">MMS_Dairy_Soil_N2ODirect_Equations.VEERG_4_3_1_9__1_DirectNitrousOxideEmissionsOnPasture(R31,$H$44,$H$45)</f>
        <v>1.3911302861422326E-2</v>
      </c>
      <c r="S51" s="55" cm="1">
        <f t="array" ref="S51">MMS_Dairy_Soil_N2ODirect_Equations.VEERG_4_3_1_9__1_DirectNitrousOxideEmissionsOnPasture(S31,$H$44,$H$45)</f>
        <v>5.5407248117331984E-3</v>
      </c>
      <c r="T51" s="55" cm="1">
        <f t="array" ref="T51">MMS_Dairy_Soil_N2ODirect_Equations.VEERG_4_3_1_9__1_DirectNitrousOxideEmissionsOnPasture(T31,$H$44,$H$45)</f>
        <v>1.7487057875012819E-2</v>
      </c>
      <c r="U51" s="55" cm="1">
        <f t="array" ref="U51">MMS_Dairy_Soil_N2ODirect_Equations.VEERG_4_3_1_9__1_DirectNitrousOxideEmissionsOnPasture(U31,$H$44,$H$45)</f>
        <v>7.3205950971736563E-3</v>
      </c>
      <c r="V51" s="2" t="str">
        <f>$E$41</f>
        <v>t N2O</v>
      </c>
    </row>
    <row r="52" spans="4:22" ht="20.100000000000001" customHeight="1" x14ac:dyDescent="0.25"/>
    <row r="53" spans="4:22" ht="20.100000000000001" customHeight="1" x14ac:dyDescent="0.25">
      <c r="D53" s="108" t="s">
        <v>126</v>
      </c>
      <c r="E53" s="109">
        <f>SUM(F51:J51)</f>
        <v>6.045118108813663E-2</v>
      </c>
      <c r="F53" s="110" t="str">
        <f>$E$41</f>
        <v>t N2O</v>
      </c>
      <c r="O53" s="108" t="s">
        <v>126</v>
      </c>
      <c r="P53" s="109">
        <f>SUM(Q51:U51)</f>
        <v>6.045118108813663E-2</v>
      </c>
      <c r="Q53" s="110" t="str">
        <f>$E$41</f>
        <v>t N2O</v>
      </c>
    </row>
    <row r="54" spans="4:22" ht="20.100000000000001" customHeight="1" x14ac:dyDescent="0.25"/>
    <row r="55" spans="4:22" ht="20.100000000000001" customHeight="1" x14ac:dyDescent="0.25">
      <c r="D55" s="60" t="str" cm="1">
        <f t="array" ref="D55:E56">Common_Equations.Common_ConvertN2OToCO2e_Arguments()</f>
        <v>EN2O</v>
      </c>
      <c r="E55" s="61" t="str">
        <v>Nitrous oxide emissions (t N2O)</v>
      </c>
      <c r="F55" s="111"/>
      <c r="G55" s="55">
        <f>E53</f>
        <v>6.045118108813663E-2</v>
      </c>
      <c r="O55" s="60" t="str" cm="1">
        <f t="array" ref="O55:P56">Common_Equations.Common_ConvertN2OToCO2e_Arguments()</f>
        <v>EN2O</v>
      </c>
      <c r="P55" s="61" t="str">
        <v>Nitrous oxide emissions (t N2O)</v>
      </c>
      <c r="Q55" s="111"/>
      <c r="R55" s="55">
        <f>P53</f>
        <v>6.045118108813663E-2</v>
      </c>
    </row>
    <row r="56" spans="4:22" ht="20.100000000000001" customHeight="1" x14ac:dyDescent="0.25">
      <c r="D56" s="60" t="str">
        <v>GWPN2O</v>
      </c>
      <c r="E56" s="61" t="str">
        <v>Global warming potential for nitrous oxide (t CO2-e / t N2O)</v>
      </c>
      <c r="F56" s="111"/>
      <c r="G56" s="55">
        <f>Common_InputFunctions.Utility_LookupValueInTableNumber("N2O",Table_GWPData[Gas],Table_GWPData[CO2-e factor])</f>
        <v>265</v>
      </c>
      <c r="O56" s="60" t="str">
        <v>GWPN2O</v>
      </c>
      <c r="P56" s="61" t="str">
        <v>Global warming potential for nitrous oxide (t CO2-e / t N2O)</v>
      </c>
      <c r="Q56" s="111"/>
      <c r="R56" s="55">
        <f>Common_InputFunctions.Utility_LookupValueInTableNumber("N2O",Table_GWPData[Gas],Table_GWPData[CO2-e factor])</f>
        <v>265</v>
      </c>
    </row>
    <row r="57" spans="4:22" ht="20.100000000000001" customHeight="1" x14ac:dyDescent="0.25"/>
    <row r="58" spans="4:22" ht="20.100000000000001" customHeight="1" x14ac:dyDescent="0.25">
      <c r="D58" s="48" t="s">
        <v>111</v>
      </c>
      <c r="E58" s="48" cm="1">
        <f t="array" ref="E58">Common_Equations.Common_ConvertN2OToCO2e(G55,G56)</f>
        <v>16.019562988356206</v>
      </c>
      <c r="F58" s="112" t="str" cm="1">
        <f t="array" ref="F58">Common_Equations.Common_ConvertN2OToCO2e_Unit()</f>
        <v>t CO2e</v>
      </c>
      <c r="O58" s="48" t="s">
        <v>111</v>
      </c>
      <c r="P58" s="48" cm="1">
        <f t="array" ref="P58">Common_Equations.Common_ConvertN2OToCO2e(R55,R56)</f>
        <v>16.019562988356206</v>
      </c>
      <c r="Q58" s="112" t="str" cm="1">
        <f t="array" ref="Q58">Common_Equations.Common_ConvertN2OToCO2e_Unit()</f>
        <v>t CO2e</v>
      </c>
    </row>
    <row r="59" spans="4:22" ht="20.100000000000001" customHeight="1" x14ac:dyDescent="0.25"/>
    <row r="60" spans="4:22" ht="20.100000000000001" customHeight="1" x14ac:dyDescent="0.25"/>
    <row r="61" spans="4:22" ht="20.100000000000001" customHeight="1" x14ac:dyDescent="0.25"/>
    <row r="62" spans="4:22" ht="20.100000000000001" customHeight="1" x14ac:dyDescent="0.25"/>
    <row r="63" spans="4:22" ht="20.100000000000001" customHeight="1" x14ac:dyDescent="0.25"/>
    <row r="64" spans="4:22" ht="20.100000000000001" customHeight="1" x14ac:dyDescent="0.25"/>
    <row r="65" ht="20.100000000000001" customHeight="1" x14ac:dyDescent="0.25"/>
    <row r="66" ht="20.100000000000001" customHeight="1" x14ac:dyDescent="0.25"/>
    <row r="67" ht="20.100000000000001" customHeight="1" x14ac:dyDescent="0.25"/>
    <row r="68" ht="20.100000000000001" customHeight="1" x14ac:dyDescent="0.25"/>
    <row r="69" ht="20.100000000000001" customHeight="1" x14ac:dyDescent="0.25"/>
    <row r="70" ht="20.100000000000001" customHeight="1" x14ac:dyDescent="0.25"/>
    <row r="71" ht="20.100000000000001" customHeight="1" x14ac:dyDescent="0.25"/>
    <row r="72" ht="20.100000000000001" customHeight="1" x14ac:dyDescent="0.25"/>
    <row r="73" ht="20.100000000000001" customHeight="1" x14ac:dyDescent="0.25"/>
    <row r="74" ht="20.100000000000001" customHeight="1" x14ac:dyDescent="0.25"/>
    <row r="75" ht="20.100000000000001" customHeight="1" x14ac:dyDescent="0.25"/>
    <row r="76" ht="20.100000000000001" customHeight="1" x14ac:dyDescent="0.25"/>
    <row r="77" ht="20.100000000000001" customHeight="1" x14ac:dyDescent="0.25"/>
    <row r="78" ht="20.100000000000001" customHeight="1" x14ac:dyDescent="0.25"/>
    <row r="79" ht="20.100000000000001" customHeight="1" x14ac:dyDescent="0.25"/>
    <row r="80" ht="20.100000000000001" customHeight="1" x14ac:dyDescent="0.25"/>
    <row r="81" ht="20.100000000000001" customHeight="1" x14ac:dyDescent="0.25"/>
    <row r="82" ht="20.100000000000001" customHeight="1" x14ac:dyDescent="0.25"/>
    <row r="83" ht="20.100000000000001" customHeight="1" x14ac:dyDescent="0.25"/>
    <row r="84" ht="20.100000000000001" customHeight="1" x14ac:dyDescent="0.25"/>
    <row r="85" ht="20.100000000000001" customHeight="1" x14ac:dyDescent="0.25"/>
    <row r="86" ht="20.100000000000001" customHeight="1" x14ac:dyDescent="0.25"/>
    <row r="87" ht="20.100000000000001" customHeight="1" x14ac:dyDescent="0.25"/>
    <row r="88" ht="20.100000000000001" customHeight="1" x14ac:dyDescent="0.25"/>
    <row r="89" ht="20.100000000000001" customHeight="1" x14ac:dyDescent="0.25"/>
    <row r="90" ht="20.100000000000001" customHeight="1" x14ac:dyDescent="0.25"/>
    <row r="91" ht="20.100000000000001" customHeight="1" x14ac:dyDescent="0.25"/>
    <row r="92" ht="20.100000000000001" customHeight="1" x14ac:dyDescent="0.25"/>
    <row r="93" ht="20.100000000000001" customHeight="1" x14ac:dyDescent="0.25"/>
    <row r="94" ht="20.100000000000001" customHeight="1" x14ac:dyDescent="0.25"/>
    <row r="95" ht="20.100000000000001" customHeight="1" x14ac:dyDescent="0.25"/>
    <row r="96" ht="20.100000000000001" customHeight="1" x14ac:dyDescent="0.25"/>
    <row r="97" ht="20.100000000000001" customHeight="1" x14ac:dyDescent="0.25"/>
    <row r="98" ht="20.100000000000001" customHeight="1" x14ac:dyDescent="0.25"/>
    <row r="99" ht="20.100000000000001" customHeight="1" x14ac:dyDescent="0.25"/>
    <row r="100" ht="20.100000000000001" customHeight="1" x14ac:dyDescent="0.25"/>
    <row r="101" ht="20.100000000000001" customHeight="1" x14ac:dyDescent="0.25"/>
    <row r="102" ht="20.100000000000001" customHeight="1" x14ac:dyDescent="0.25"/>
    <row r="103" ht="20.100000000000001" customHeight="1" x14ac:dyDescent="0.25"/>
    <row r="104" ht="20.100000000000001" customHeight="1" x14ac:dyDescent="0.25"/>
    <row r="105" ht="20.100000000000001" customHeight="1" x14ac:dyDescent="0.25"/>
    <row r="106" ht="20.100000000000001" customHeight="1" x14ac:dyDescent="0.25"/>
    <row r="107" ht="20.100000000000001" customHeight="1" x14ac:dyDescent="0.25"/>
    <row r="108" ht="20.100000000000001" customHeight="1" x14ac:dyDescent="0.25"/>
    <row r="109" ht="20.100000000000001" customHeight="1" x14ac:dyDescent="0.25"/>
    <row r="110" ht="20.100000000000001" customHeight="1" x14ac:dyDescent="0.25"/>
    <row r="111" ht="20.100000000000001" customHeight="1" x14ac:dyDescent="0.25"/>
    <row r="112" ht="20.100000000000001" customHeight="1" x14ac:dyDescent="0.25"/>
    <row r="113" ht="20.100000000000001" customHeight="1" x14ac:dyDescent="0.25"/>
    <row r="114" ht="20.100000000000001" customHeight="1" x14ac:dyDescent="0.25"/>
    <row r="115" ht="20.100000000000001" customHeight="1" x14ac:dyDescent="0.25"/>
    <row r="116" ht="20.100000000000001" customHeight="1" x14ac:dyDescent="0.25"/>
    <row r="117" ht="20.100000000000001" customHeight="1" x14ac:dyDescent="0.25"/>
    <row r="118" ht="20.100000000000001" customHeight="1" x14ac:dyDescent="0.25"/>
    <row r="119" ht="20.100000000000001" customHeight="1" x14ac:dyDescent="0.25"/>
    <row r="120" ht="20.100000000000001" customHeight="1" x14ac:dyDescent="0.25"/>
    <row r="121" ht="20.100000000000001" customHeight="1" x14ac:dyDescent="0.25"/>
    <row r="122" ht="20.100000000000001" customHeight="1" x14ac:dyDescent="0.25"/>
    <row r="123" ht="20.100000000000001" customHeight="1" x14ac:dyDescent="0.25"/>
    <row r="124" ht="20.100000000000001" customHeight="1" x14ac:dyDescent="0.25"/>
    <row r="125" ht="20.100000000000001" customHeight="1" x14ac:dyDescent="0.25"/>
    <row r="126" ht="20.100000000000001" customHeight="1" x14ac:dyDescent="0.25"/>
    <row r="127" ht="20.100000000000001" customHeight="1" x14ac:dyDescent="0.25"/>
    <row r="128" ht="20.100000000000001" customHeight="1" x14ac:dyDescent="0.25"/>
    <row r="129" ht="20.100000000000001" customHeight="1" x14ac:dyDescent="0.25"/>
    <row r="130" ht="20.100000000000001" customHeight="1" x14ac:dyDescent="0.25"/>
    <row r="131" ht="20.100000000000001" customHeight="1" x14ac:dyDescent="0.25"/>
    <row r="132" ht="20.100000000000001" customHeight="1" x14ac:dyDescent="0.25"/>
    <row r="133" ht="20.100000000000001" customHeight="1" x14ac:dyDescent="0.25"/>
    <row r="134" ht="20.100000000000001" customHeight="1" x14ac:dyDescent="0.25"/>
    <row r="135" ht="20.100000000000001" customHeight="1" x14ac:dyDescent="0.25"/>
    <row r="136" ht="20.100000000000001" customHeight="1" x14ac:dyDescent="0.25"/>
    <row r="137" ht="20.100000000000001" customHeight="1" x14ac:dyDescent="0.25"/>
    <row r="138" ht="20.100000000000001" customHeight="1" x14ac:dyDescent="0.25"/>
    <row r="139" ht="20.100000000000001" customHeight="1" x14ac:dyDescent="0.25"/>
    <row r="140" ht="20.100000000000001" customHeight="1" x14ac:dyDescent="0.25"/>
    <row r="141" ht="20.100000000000001" customHeight="1" x14ac:dyDescent="0.25"/>
    <row r="142" ht="20.100000000000001" customHeight="1" x14ac:dyDescent="0.25"/>
    <row r="143" ht="20.100000000000001" customHeight="1" x14ac:dyDescent="0.25"/>
    <row r="144" ht="20.100000000000001" customHeight="1" x14ac:dyDescent="0.25"/>
    <row r="145" ht="20.100000000000001" customHeight="1" x14ac:dyDescent="0.25"/>
    <row r="146" ht="20.100000000000001" customHeight="1" x14ac:dyDescent="0.25"/>
    <row r="147" ht="20.100000000000001" customHeight="1" x14ac:dyDescent="0.25"/>
    <row r="148" ht="20.100000000000001" customHeight="1" x14ac:dyDescent="0.25"/>
    <row r="149" ht="20.100000000000001" customHeight="1" x14ac:dyDescent="0.25"/>
    <row r="150" ht="20.100000000000001" customHeight="1" x14ac:dyDescent="0.25"/>
    <row r="151" ht="20.100000000000001" customHeight="1" x14ac:dyDescent="0.25"/>
    <row r="152" ht="20.100000000000001" customHeight="1" x14ac:dyDescent="0.25"/>
    <row r="153" ht="20.100000000000001" customHeight="1" x14ac:dyDescent="0.25"/>
    <row r="154" ht="20.100000000000001" customHeight="1" x14ac:dyDescent="0.25"/>
    <row r="155" ht="20.100000000000001" customHeight="1" x14ac:dyDescent="0.25"/>
    <row r="156" ht="20.100000000000001" customHeight="1" x14ac:dyDescent="0.25"/>
    <row r="157" ht="20.100000000000001" customHeight="1" x14ac:dyDescent="0.25"/>
    <row r="158" ht="20.100000000000001" customHeight="1" x14ac:dyDescent="0.25"/>
    <row r="159" ht="20.100000000000001" customHeight="1" x14ac:dyDescent="0.25"/>
    <row r="160" ht="20.100000000000001" customHeight="1" x14ac:dyDescent="0.25"/>
    <row r="161" ht="20.100000000000001" customHeight="1" x14ac:dyDescent="0.25"/>
    <row r="162" ht="20.100000000000001" customHeight="1" x14ac:dyDescent="0.25"/>
    <row r="163" ht="20.100000000000001" customHeight="1" x14ac:dyDescent="0.25"/>
    <row r="164" ht="20.100000000000001" customHeight="1" x14ac:dyDescent="0.25"/>
    <row r="165" ht="20.100000000000001" customHeight="1" x14ac:dyDescent="0.25"/>
  </sheetData>
  <dataValidations disablePrompts="1" count="1">
    <dataValidation operator="equal" allowBlank="1" showInputMessage="1" showErrorMessage="1" sqref="E25 E31 E34 P25 O34 P31 E51 P51" xr:uid="{C586A3D4-D021-4BB9-B9FF-F435DD98EA39}"/>
  </dataValidations>
  <pageMargins left="0.7" right="0.7" top="0.75" bottom="0.75" header="0.3" footer="0.3"/>
  <drawing r:id="rId1"/>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6B5B34D-36DA-422C-84BA-A4E3FCAF2C16}">
  <dimension ref="A1:W165"/>
  <sheetViews>
    <sheetView showGridLines="0" topLeftCell="A48" workbookViewId="0">
      <selection activeCell="A17" sqref="A17"/>
    </sheetView>
  </sheetViews>
  <sheetFormatPr defaultRowHeight="15.75" x14ac:dyDescent="0.25"/>
  <cols>
    <col min="1" max="1" width="30.7109375" customWidth="1"/>
    <col min="2" max="2" width="4.7109375" customWidth="1"/>
    <col min="3" max="3" width="4.7109375" style="1" customWidth="1"/>
    <col min="4" max="11" width="30.7109375" style="1" customWidth="1"/>
    <col min="12" max="12" width="4.7109375" style="1" customWidth="1"/>
    <col min="13" max="13" width="4.7109375" customWidth="1"/>
    <col min="14" max="14" width="4.7109375" style="1" customWidth="1"/>
    <col min="15" max="22" width="30.7109375" style="1" customWidth="1"/>
    <col min="23" max="23" width="4.7109375" style="1" customWidth="1"/>
  </cols>
  <sheetData>
    <row r="1" spans="1:23" s="8" customFormat="1" ht="30" customHeight="1" x14ac:dyDescent="0.35">
      <c r="A1" s="8" t="e" vm="1">
        <v>#VALUE!</v>
      </c>
      <c r="C1" s="8" t="s">
        <v>410</v>
      </c>
    </row>
    <row r="2" spans="1:23" s="9" customFormat="1" ht="20.100000000000001" customHeight="1" x14ac:dyDescent="0.25"/>
    <row r="3" spans="1:23" ht="20.100000000000001" customHeight="1" x14ac:dyDescent="0.25">
      <c r="A3" s="17" t="str">
        <f>HYPERLINK("#'Home'!A1", "Home")</f>
        <v>Home</v>
      </c>
      <c r="C3" s="4"/>
      <c r="D3" s="4"/>
      <c r="E3" s="4"/>
      <c r="F3" s="4"/>
      <c r="G3" s="4"/>
      <c r="H3" s="4"/>
      <c r="I3" s="4"/>
      <c r="J3" s="4"/>
      <c r="K3" s="4"/>
      <c r="L3" s="4"/>
      <c r="N3" s="4"/>
      <c r="O3" s="4"/>
      <c r="P3" s="4"/>
      <c r="Q3" s="4"/>
      <c r="R3" s="4"/>
      <c r="S3" s="4"/>
      <c r="T3" s="4"/>
      <c r="U3" s="4"/>
      <c r="V3" s="4"/>
      <c r="W3" s="4"/>
    </row>
    <row r="4" spans="1:23" ht="20.100000000000001" customHeight="1" x14ac:dyDescent="0.25">
      <c r="A4" s="17" t="str">
        <f>HYPERLINK("#'Results'!A1", "Results")</f>
        <v>Results</v>
      </c>
    </row>
    <row r="5" spans="1:23" ht="20.100000000000001" customHeight="1" x14ac:dyDescent="0.25">
      <c r="A5" s="16"/>
      <c r="D5" s="6" t="str" cm="1">
        <f t="array" ref="D5">MMS_Dairy_Soil_AtmosphericDeposition_Equations.VEERG_4_3_1_10__2_MassOfNitrogenVolatilisedOnPasture_Title()</f>
        <v>Mass of nitrogen volatilised from urine and faeces deposited on pasture</v>
      </c>
    </row>
    <row r="6" spans="1:23" ht="20.100000000000001" customHeight="1" x14ac:dyDescent="0.25">
      <c r="A6" s="20" t="s">
        <v>3</v>
      </c>
      <c r="D6" s="5" t="str" cm="1">
        <f t="array" ref="D6">MMS_Dairy_Soil_AtmosphericDeposition_Equations.VEERG_4_3_1_10__2_MassOfNitrogenVolatilisedOnPasture_Source()</f>
        <v>VEERG 2026: 4.3.1.10, Equation (2)</v>
      </c>
    </row>
    <row r="7" spans="1:23" ht="20.100000000000001" customHeight="1" x14ac:dyDescent="0.25">
      <c r="A7" s="17" t="str">
        <f>HYPERLINK("#'Input - Site'!A1", "Site")</f>
        <v>Site</v>
      </c>
      <c r="D7" s="13" t="s">
        <v>28</v>
      </c>
      <c r="E7" s="13" t="str" cm="1">
        <f t="array" aca="1" ref="E7" ca="1">Common_InputFunctions.Utility_DisplayFunctionName(F24)</f>
        <v>=MMS_Dairy_Soil_AtmosphericDeposition_Equations.VEERG_4_3_1_10__2_MassOfNitrogenVolatilisedOnPasture</v>
      </c>
    </row>
    <row r="8" spans="1:23" ht="20.100000000000001" customHeight="1" x14ac:dyDescent="0.25">
      <c r="A8" s="17" t="str">
        <f>HYPERLINK("#'Input - Dairy'!A1", "Dairy")</f>
        <v>Dairy</v>
      </c>
    </row>
    <row r="9" spans="1:23" ht="20.100000000000001" customHeight="1" x14ac:dyDescent="0.25">
      <c r="A9" s="17"/>
    </row>
    <row r="10" spans="1:23" ht="20.100000000000001" customHeight="1" x14ac:dyDescent="0.25">
      <c r="A10" s="19" t="s">
        <v>78</v>
      </c>
      <c r="D10" s="56" t="s">
        <v>31</v>
      </c>
      <c r="E10" s="1" t="str" cm="1">
        <f t="array" ref="E10">MMS_Dairy_Soil_AtmosphericDeposition_Equations.VEERG_4_3_1_10__2_MassOfNitrogenVolatilisedOnPasture_Variable()</f>
        <v>M_vol_m14</v>
      </c>
    </row>
    <row r="11" spans="1:23" ht="20.100000000000001" customHeight="1" x14ac:dyDescent="0.25">
      <c r="A11" s="17" t="str">
        <f>HYPERLINK("#'4.3.1.1-2 Methane'!A1", "4.3.1.1-2 Methane")</f>
        <v>4.3.1.1-2 Methane</v>
      </c>
      <c r="D11" s="56" t="s">
        <v>21</v>
      </c>
      <c r="E11" s="57" t="str" cm="1">
        <f t="array" ref="E11">MMS_Dairy_Soil_AtmosphericDeposition_Equations.VEERG_4_3_1_10__2_MassOfNitrogenVolatilisedOnPasture_Unit()</f>
        <v>kg N</v>
      </c>
    </row>
    <row r="12" spans="1:23" ht="20.100000000000001" customHeight="1" x14ac:dyDescent="0.25">
      <c r="A12" s="17" t="str">
        <f>HYPERLINK("#'4.3.1.3-4 Direct N20'!A1", "4.3.1.3-4 Direct N2O")</f>
        <v>4.3.1.3-4 Direct N2O</v>
      </c>
    </row>
    <row r="13" spans="1:23" ht="20.100000000000001" customHeight="1" x14ac:dyDescent="0.25">
      <c r="A13" s="17" t="str">
        <f>HYPERLINK("#'4.3.1.5 Atmos Deposition'!A1", "4.3.1.5 Atmospheric deposition")</f>
        <v>4.3.1.5 Atmospheric deposition</v>
      </c>
      <c r="D13" s="60" t="str" cm="1">
        <f t="array" ref="D13:E14">MMS_Dairy_Soil_AtmosphericDeposition_Equations.VEERG_4_3_1_10__2_MassOfNitrogenVolatilisedOnPasture_Arguments()</f>
        <v>MN_jm14</v>
      </c>
      <c r="E13" s="61" t="str">
        <v>mass of nitrogen excreted on pasture, range and paddock for each dairy class (kg N)</v>
      </c>
      <c r="F13" s="105"/>
      <c r="G13" s="62"/>
      <c r="H13" s="60" t="str">
        <f>"See " &amp; D16</f>
        <v>See M1_Table_MN_j_m-14</v>
      </c>
    </row>
    <row r="14" spans="1:23" ht="20.100000000000001" customHeight="1" x14ac:dyDescent="0.25">
      <c r="A14" s="17" t="str">
        <f>HYPERLINK("#'4.3.1.6-7 Leaching and runoff'!A1", "4.3.1.6-7 Leaching and runoff")</f>
        <v>4.3.1.6-7 Leaching and runoff</v>
      </c>
      <c r="D14" s="60" t="str">
        <v>FracGASMsoil</v>
      </c>
      <c r="E14" s="61" t="str">
        <v>fraction of nitrogen volatilised from urine and faeces deposited on pasture ((kg NH3-N + NOx-N)/kg N)</v>
      </c>
      <c r="F14" s="105"/>
      <c r="G14" s="62"/>
      <c r="H14" s="60">
        <f>'Constants - Dairy'!$D$215</f>
        <v>0.21</v>
      </c>
    </row>
    <row r="15" spans="1:23" ht="20.100000000000001" customHeight="1" x14ac:dyDescent="0.25">
      <c r="A15" s="17" t="str">
        <f>HYPERLINK("#'4.3.1.8 Manure applied to soils'!A1", "4.3.1.8 Manure applied to soils")</f>
        <v>4.3.1.8 Manure applied to soils</v>
      </c>
    </row>
    <row r="16" spans="1:23" ht="20.100000000000001" customHeight="1" x14ac:dyDescent="0.25">
      <c r="A16" s="17" t="str">
        <f>HYPERLINK("#'4.3.1.9 Soil direct N2O'!A1", "4.3.1.9 Soil direct N2O")</f>
        <v>4.3.1.9 Soil direct N2O</v>
      </c>
      <c r="D16" s="104" t="s">
        <v>395</v>
      </c>
      <c r="M16" s="59"/>
      <c r="O16" s="104" t="s">
        <v>397</v>
      </c>
    </row>
    <row r="17" spans="1:23" ht="20.100000000000001" customHeight="1" x14ac:dyDescent="0.25">
      <c r="A17" s="22" t="str">
        <f>HYPERLINK("#'4.3.1.10-11 Soil Atmos Dep'!A1", "4.3.1.10-11 Soil atm. deposition")</f>
        <v>4.3.1.10-11 Soil atm. deposition</v>
      </c>
      <c r="D17" s="103" t="s">
        <v>396</v>
      </c>
      <c r="M17" s="59"/>
      <c r="O17" s="103" t="s">
        <v>398</v>
      </c>
    </row>
    <row r="18" spans="1:23" ht="20.100000000000001" customHeight="1" x14ac:dyDescent="0.25">
      <c r="A18" s="17" t="str">
        <f>HYPERLINK("#'4.3.1.12-13 Soil leach runoff'!A1", "4.3.1.12-13 Soil leach &amp; runoff")</f>
        <v>4.3.1.12-13 Soil leach &amp; runoff</v>
      </c>
      <c r="D18" s="54" t="s">
        <v>159</v>
      </c>
      <c r="E18" s="54" t="s">
        <v>69</v>
      </c>
      <c r="F18" s="54" t="s">
        <v>186</v>
      </c>
      <c r="G18" s="54" t="s">
        <v>203</v>
      </c>
      <c r="H18" s="54" t="s">
        <v>204</v>
      </c>
      <c r="I18" s="54" t="s">
        <v>205</v>
      </c>
      <c r="J18" s="54" t="s">
        <v>206</v>
      </c>
      <c r="M18" s="59"/>
      <c r="O18" s="54" t="s">
        <v>159</v>
      </c>
      <c r="P18" s="54" t="s">
        <v>69</v>
      </c>
      <c r="Q18" s="54" t="s">
        <v>186</v>
      </c>
      <c r="R18" s="54" t="s">
        <v>203</v>
      </c>
      <c r="S18" s="54" t="s">
        <v>204</v>
      </c>
      <c r="T18" s="54" t="s">
        <v>205</v>
      </c>
      <c r="U18" s="54" t="s">
        <v>206</v>
      </c>
    </row>
    <row r="19" spans="1:23" ht="20.100000000000001" customHeight="1" x14ac:dyDescent="0.25">
      <c r="A19" s="17"/>
      <c r="D19" s="55" t="str">
        <f>'Input - Dairy'!$D$53</f>
        <v>Pasture</v>
      </c>
      <c r="E19" s="55" t="str">
        <f>'Constants - Livestock'!$E$27</f>
        <v>Pasture range and paddock</v>
      </c>
      <c r="F19" s="55">
        <f>'4.3.1.9 Soil direct N2O'!$F$31</f>
        <v>5151.8410499801093</v>
      </c>
      <c r="G19" s="55">
        <f>'4.3.1.9 Soil direct N2O'!$G$31</f>
        <v>4426.3236377252861</v>
      </c>
      <c r="H19" s="55">
        <f>'4.3.1.9 Soil direct N2O'!$H$31</f>
        <v>1762.9578946423812</v>
      </c>
      <c r="I19" s="55">
        <f>'4.3.1.9 Soil direct N2O'!$I$31</f>
        <v>5564.0638693222609</v>
      </c>
      <c r="J19" s="55">
        <f>'4.3.1.9 Soil direct N2O'!$J$31</f>
        <v>2329.2802581916176</v>
      </c>
      <c r="K19" s="2" t="str">
        <f>$E$11</f>
        <v>kg N</v>
      </c>
      <c r="M19" s="59"/>
      <c r="O19" s="55" t="str">
        <f>'Input - Dairy'!$D$53</f>
        <v>Pasture</v>
      </c>
      <c r="P19" s="55" t="str">
        <f>'Constants - Livestock'!$E$27</f>
        <v>Pasture range and paddock</v>
      </c>
      <c r="Q19" s="55">
        <f>'4.3.1.9 Soil direct N2O'!$Q$31</f>
        <v>5151.8410499801093</v>
      </c>
      <c r="R19" s="55">
        <f>'4.3.1.9 Soil direct N2O'!$R$31</f>
        <v>4426.3236377252861</v>
      </c>
      <c r="S19" s="55">
        <f>'4.3.1.9 Soil direct N2O'!$S$31</f>
        <v>1762.9578946423812</v>
      </c>
      <c r="T19" s="55">
        <f>'4.3.1.9 Soil direct N2O'!$T$31</f>
        <v>5564.0638693222609</v>
      </c>
      <c r="U19" s="55">
        <f>'4.3.1.9 Soil direct N2O'!$U$31</f>
        <v>2329.2802581916176</v>
      </c>
      <c r="V19" s="2" t="str">
        <f>$E$11</f>
        <v>kg N</v>
      </c>
    </row>
    <row r="20" spans="1:23" ht="20.100000000000001" customHeight="1" x14ac:dyDescent="0.25">
      <c r="A20" s="18" t="s">
        <v>4</v>
      </c>
    </row>
    <row r="21" spans="1:23" ht="20.100000000000001" customHeight="1" x14ac:dyDescent="0.25">
      <c r="A21" s="17" t="str">
        <f>HYPERLINK("#'Constants - Dairy'!A1", "Constants - Dairy")</f>
        <v>Constants - Dairy</v>
      </c>
      <c r="D21" s="104" t="s">
        <v>403</v>
      </c>
      <c r="O21" s="104" t="s">
        <v>405</v>
      </c>
    </row>
    <row r="22" spans="1:23" ht="20.100000000000001" customHeight="1" x14ac:dyDescent="0.25">
      <c r="A22" s="17" t="str">
        <f>HYPERLINK("#'Constants - Livestock'!A1", "Constants - Livestock")</f>
        <v>Constants - Livestock</v>
      </c>
      <c r="D22" s="103" t="s">
        <v>404</v>
      </c>
      <c r="O22" s="103" t="s">
        <v>406</v>
      </c>
    </row>
    <row r="23" spans="1:23" ht="20.100000000000001" customHeight="1" x14ac:dyDescent="0.25">
      <c r="A23" s="17" t="str">
        <f>HYPERLINK("#'Constants - Common'!A1", "Constants - Common")</f>
        <v>Constants - Common</v>
      </c>
      <c r="D23" s="54" t="s">
        <v>159</v>
      </c>
      <c r="E23" s="54" t="s">
        <v>69</v>
      </c>
      <c r="F23" s="54" t="s">
        <v>186</v>
      </c>
      <c r="G23" s="54" t="s">
        <v>203</v>
      </c>
      <c r="H23" s="54" t="s">
        <v>204</v>
      </c>
      <c r="I23" s="54" t="s">
        <v>205</v>
      </c>
      <c r="J23" s="54" t="s">
        <v>206</v>
      </c>
      <c r="O23" s="54" t="s">
        <v>159</v>
      </c>
      <c r="P23" s="54" t="s">
        <v>69</v>
      </c>
      <c r="Q23" s="54" t="s">
        <v>186</v>
      </c>
      <c r="R23" s="54" t="s">
        <v>203</v>
      </c>
      <c r="S23" s="54" t="s">
        <v>204</v>
      </c>
      <c r="T23" s="54" t="s">
        <v>205</v>
      </c>
      <c r="U23" s="54" t="s">
        <v>206</v>
      </c>
    </row>
    <row r="24" spans="1:23" ht="20.100000000000001" customHeight="1" x14ac:dyDescent="0.25">
      <c r="A24" s="17" t="str">
        <f>HYPERLINK("#'Acknowledgements'!A1", "Acknowledgements")</f>
        <v>Acknowledgements</v>
      </c>
      <c r="D24" s="55" t="str">
        <f>'Input - Dairy'!$D$53</f>
        <v>Pasture</v>
      </c>
      <c r="E24" s="55" t="str">
        <f>'Constants - Livestock'!$E$27</f>
        <v>Pasture range and paddock</v>
      </c>
      <c r="F24" s="55" cm="1">
        <f t="array" ref="F24">MMS_Dairy_Soil_AtmosphericDeposition_Equations.VEERG_4_3_1_10__2_MassOfNitrogenVolatilisedOnPasture(F19,$H$14)</f>
        <v>1081.8866204958229</v>
      </c>
      <c r="G24" s="55" cm="1">
        <f t="array" ref="G24">MMS_Dairy_Soil_AtmosphericDeposition_Equations.VEERG_4_3_1_10__2_MassOfNitrogenVolatilisedOnPasture(G19,$H$14)</f>
        <v>929.52796392231005</v>
      </c>
      <c r="H24" s="55" cm="1">
        <f t="array" ref="H24">MMS_Dairy_Soil_AtmosphericDeposition_Equations.VEERG_4_3_1_10__2_MassOfNitrogenVolatilisedOnPasture(H19,$H$14)</f>
        <v>370.22115787490003</v>
      </c>
      <c r="I24" s="55" cm="1">
        <f t="array" ref="I24">MMS_Dairy_Soil_AtmosphericDeposition_Equations.VEERG_4_3_1_10__2_MassOfNitrogenVolatilisedOnPasture(I19,$H$14)</f>
        <v>1168.4534125576747</v>
      </c>
      <c r="J24" s="55" cm="1">
        <f t="array" ref="J24">MMS_Dairy_Soil_AtmosphericDeposition_Equations.VEERG_4_3_1_10__2_MassOfNitrogenVolatilisedOnPasture(J19,$H$14)</f>
        <v>489.14885422023968</v>
      </c>
      <c r="K24" s="2" t="str">
        <f>$E$11</f>
        <v>kg N</v>
      </c>
      <c r="O24" s="55" t="str">
        <f>'Input - Dairy'!$D$53</f>
        <v>Pasture</v>
      </c>
      <c r="P24" s="55" t="str">
        <f>'Constants - Livestock'!$E$27</f>
        <v>Pasture range and paddock</v>
      </c>
      <c r="Q24" s="55" cm="1">
        <f t="array" ref="Q24">MMS_Dairy_Soil_AtmosphericDeposition_Equations.VEERG_4_3_1_10__2_MassOfNitrogenVolatilisedOnPasture(Q19,$H$14)</f>
        <v>1081.8866204958229</v>
      </c>
      <c r="R24" s="55" cm="1">
        <f t="array" ref="R24">MMS_Dairy_Soil_AtmosphericDeposition_Equations.VEERG_4_3_1_10__2_MassOfNitrogenVolatilisedOnPasture(R19,$H$14)</f>
        <v>929.52796392231005</v>
      </c>
      <c r="S24" s="55" cm="1">
        <f t="array" ref="S24">MMS_Dairy_Soil_AtmosphericDeposition_Equations.VEERG_4_3_1_10__2_MassOfNitrogenVolatilisedOnPasture(S19,$H$14)</f>
        <v>370.22115787490003</v>
      </c>
      <c r="T24" s="55" cm="1">
        <f t="array" ref="T24">MMS_Dairy_Soil_AtmosphericDeposition_Equations.VEERG_4_3_1_10__2_MassOfNitrogenVolatilisedOnPasture(T19,$H$14)</f>
        <v>1168.4534125576747</v>
      </c>
      <c r="U24" s="55" cm="1">
        <f t="array" ref="U24">MMS_Dairy_Soil_AtmosphericDeposition_Equations.VEERG_4_3_1_10__2_MassOfNitrogenVolatilisedOnPasture(U19,$H$14)</f>
        <v>489.14885422023968</v>
      </c>
      <c r="V24" s="2" t="str">
        <f>$E$11</f>
        <v>kg N</v>
      </c>
    </row>
    <row r="25" spans="1:23" ht="20.100000000000001" customHeight="1" x14ac:dyDescent="0.25"/>
    <row r="26" spans="1:23" ht="20.100000000000001" customHeight="1" x14ac:dyDescent="0.25">
      <c r="D26" s="124" t="s">
        <v>417</v>
      </c>
      <c r="E26" s="48">
        <f>SUM(F24:J24)</f>
        <v>4039.2380090709476</v>
      </c>
      <c r="F26" s="112" t="str">
        <f>$E$11</f>
        <v>kg N</v>
      </c>
      <c r="O26" s="124" t="s">
        <v>417</v>
      </c>
      <c r="P26" s="48">
        <f>SUM(Q24:U24)</f>
        <v>4039.2380090709476</v>
      </c>
      <c r="Q26" s="112" t="str">
        <f>$E$11</f>
        <v>kg N</v>
      </c>
    </row>
    <row r="27" spans="1:23" ht="20.100000000000001" customHeight="1" x14ac:dyDescent="0.25"/>
    <row r="28" spans="1:23" ht="20.100000000000001" customHeight="1" x14ac:dyDescent="0.25"/>
    <row r="29" spans="1:23" ht="20.100000000000001" customHeight="1" x14ac:dyDescent="0.25">
      <c r="C29" s="48"/>
      <c r="D29" s="48"/>
      <c r="E29" s="48"/>
      <c r="F29" s="48"/>
      <c r="G29" s="48"/>
      <c r="H29" s="48"/>
      <c r="I29" s="48"/>
      <c r="J29" s="48"/>
      <c r="K29" s="48"/>
      <c r="L29" s="48"/>
      <c r="N29" s="48"/>
      <c r="O29" s="48"/>
      <c r="P29" s="48"/>
      <c r="Q29" s="48"/>
      <c r="R29" s="48"/>
      <c r="S29" s="48"/>
      <c r="T29" s="48"/>
      <c r="U29" s="48"/>
      <c r="V29" s="48"/>
      <c r="W29" s="48"/>
    </row>
    <row r="30" spans="1:23" ht="20.100000000000001" customHeight="1" x14ac:dyDescent="0.25">
      <c r="D30" s="6" t="str" cm="1">
        <f t="array" ref="D30">MMS_Dairy_Soil_AtmosphericDeposition_Equations.VEERG_4_3_1_10__1_AtmosphericDepositionEmissionsFromUrineAndDungOnPasture_Title()</f>
        <v>Atmospheric deposition emissions from urine and dung deposited on pasture</v>
      </c>
    </row>
    <row r="31" spans="1:23" ht="20.100000000000001" customHeight="1" x14ac:dyDescent="0.25">
      <c r="D31" s="5" t="str" cm="1">
        <f t="array" ref="D31">MMS_Dairy_Soil_AtmosphericDeposition_Equations.VEERG_4_3_1_10__1_AtmosphericDepositionEmissionsFromUrineAndDungOnPasture_Source()</f>
        <v>VEERG 2026: 4.3.1.10, Equation (1)</v>
      </c>
    </row>
    <row r="32" spans="1:23" ht="20.100000000000001" customHeight="1" x14ac:dyDescent="0.25">
      <c r="D32" s="13" t="s">
        <v>28</v>
      </c>
      <c r="E32" s="13" t="str" cm="1">
        <f t="array" aca="1" ref="E32" ca="1">Common_InputFunctions.Utility_DisplayFunctionName(E45)</f>
        <v>=MMS_Dairy_Soil_AtmosphericDeposition_Equations.VEERG_4_3_1_10__1_AtmosphericDepositionEmissionsFromUrineAndDungOnPasture</v>
      </c>
    </row>
    <row r="33" spans="4:19" ht="20.100000000000001" customHeight="1" x14ac:dyDescent="0.25"/>
    <row r="34" spans="4:19" ht="20.100000000000001" customHeight="1" x14ac:dyDescent="0.25"/>
    <row r="35" spans="4:19" ht="20.100000000000001" customHeight="1" x14ac:dyDescent="0.25">
      <c r="D35" s="56" t="s">
        <v>31</v>
      </c>
      <c r="E35" s="1" t="str" cm="1">
        <f t="array" ref="E35">MMS_Dairy_Soil_AtmosphericDeposition_Equations.VEERG_4_3_1_10__1_AtmosphericDepositionEmissionsFromUrineAndDungOnPasture_Variable()</f>
        <v>E_N2Oad</v>
      </c>
    </row>
    <row r="36" spans="4:19" ht="20.100000000000001" customHeight="1" x14ac:dyDescent="0.25">
      <c r="D36" s="56" t="s">
        <v>21</v>
      </c>
      <c r="E36" s="57" t="str" cm="1">
        <f t="array" ref="E36">MMS_Dairy_Soil_AtmosphericDeposition_Equations.VEERG_4_3_1_10__1_AtmosphericDepositionEmissionsFromUrineAndDungOnPasture_Unit()</f>
        <v>t N2O</v>
      </c>
    </row>
    <row r="37" spans="4:19" ht="20.100000000000001" customHeight="1" x14ac:dyDescent="0.25"/>
    <row r="38" spans="4:19" ht="20.100000000000001" customHeight="1" x14ac:dyDescent="0.25">
      <c r="D38" s="60" t="str" cm="1">
        <f t="array" ref="D38:E43">MMS_Dairy_Soil_AtmosphericDeposition_Equations.VEERG_4_3_1_10__1_AtmosphericDepositionEmissionsFromUrineAndDungOnPasture_Arguments()</f>
        <v>M_vol_m14</v>
      </c>
      <c r="E38" s="60" t="str">
        <v>mass of nitrogen volatilised from urine and faeces deposited on pasture (kg N)</v>
      </c>
      <c r="F38" s="61"/>
      <c r="G38" s="62"/>
      <c r="H38" s="60">
        <f>$E$26</f>
        <v>4039.2380090709476</v>
      </c>
      <c r="O38" s="60" t="str">
        <f>D38</f>
        <v>M_vol_m14</v>
      </c>
      <c r="P38" s="60" t="str">
        <f>E38</f>
        <v>mass of nitrogen volatilised from urine and faeces deposited on pasture (kg N)</v>
      </c>
      <c r="Q38" s="61"/>
      <c r="R38" s="62"/>
      <c r="S38" s="60">
        <f>$P$26</f>
        <v>4039.2380090709476</v>
      </c>
    </row>
    <row r="39" spans="4:19" ht="20.100000000000001" customHeight="1" x14ac:dyDescent="0.25">
      <c r="D39" s="60" t="str">
        <v>EF_N2O</v>
      </c>
      <c r="E39" s="60" t="str">
        <v>nitrous oxide emission factor for atmospheric deposition (kg N2O-N/kg N)</v>
      </c>
      <c r="F39" s="61"/>
      <c r="G39" s="62"/>
      <c r="H39" s="60">
        <f>Common_InputFunctions.Utility_LookupN2OEFFromProdIrrigationRainfall(H41,H42,H43,Table_SourceData_Common_EFN2O[Production system only],Table_SourceData_Common_EFN2O[Irrigation method],Table_SourceData_Common_EFN2O[Rainfall zone],Table_SourceData_Common_EFN2O[EFN2O])</f>
        <v>5.8999999999999999E-3</v>
      </c>
      <c r="O39" s="60"/>
      <c r="P39" s="61"/>
      <c r="Q39" s="105"/>
      <c r="R39" s="62"/>
      <c r="S39" s="60"/>
    </row>
    <row r="40" spans="4:19" ht="20.100000000000001" customHeight="1" x14ac:dyDescent="0.25">
      <c r="D40" s="60" t="str">
        <v>C_N2O</v>
      </c>
      <c r="E40" s="60" t="str">
        <v>factor to convert elemental mass of N2O to molecular mass</v>
      </c>
      <c r="F40" s="61"/>
      <c r="G40" s="62"/>
      <c r="H40" s="60">
        <f>Common_InputFunctions.Utility_LookupValueInTableNumber("N2O",Table_GasToMolecularConversionFactor[Gas],Table_GasToMolecularConversionFactor[Conversion factor combined])</f>
        <v>1.5714285714285714</v>
      </c>
      <c r="O40" s="60"/>
      <c r="P40" s="61"/>
      <c r="Q40" s="105"/>
      <c r="R40" s="62"/>
      <c r="S40" s="60"/>
    </row>
    <row r="41" spans="4:19" ht="20.100000000000001" customHeight="1" x14ac:dyDescent="0.25">
      <c r="D41" s="60" t="str">
        <v>j</v>
      </c>
      <c r="E41" s="61" t="str">
        <v>production system</v>
      </c>
      <c r="F41" s="105"/>
      <c r="G41" s="62"/>
      <c r="H41" s="60" t="str">
        <f>'Input - Dairy'!$E$183</f>
        <v>Pasture</v>
      </c>
      <c r="O41" s="60"/>
      <c r="P41" s="61"/>
      <c r="Q41" s="105"/>
      <c r="R41" s="62"/>
      <c r="S41" s="60"/>
    </row>
    <row r="42" spans="4:19" ht="20.100000000000001" customHeight="1" x14ac:dyDescent="0.25">
      <c r="D42" s="60" t="str">
        <v>ir</v>
      </c>
      <c r="E42" s="61" t="str">
        <v>irrigation method</v>
      </c>
      <c r="F42" s="105"/>
      <c r="G42" s="62"/>
      <c r="H42" s="60" t="str">
        <f>'Input - Dairy'!$E$184</f>
        <v>Sprinkler irrigation</v>
      </c>
      <c r="O42" s="60"/>
      <c r="P42" s="61"/>
      <c r="Q42" s="105"/>
      <c r="R42" s="62"/>
      <c r="S42" s="60"/>
    </row>
    <row r="43" spans="4:19" ht="20.100000000000001" customHeight="1" x14ac:dyDescent="0.25">
      <c r="D43" s="60" t="str">
        <v>r</v>
      </c>
      <c r="E43" s="61" t="str">
        <v>rainfall region</v>
      </c>
      <c r="F43" s="105"/>
      <c r="G43" s="62"/>
      <c r="H43" s="60" t="str">
        <f>'Input - Site'!$E$30</f>
        <v>High rainfall</v>
      </c>
      <c r="O43" s="60"/>
      <c r="P43" s="61"/>
      <c r="Q43" s="105"/>
      <c r="R43" s="62"/>
      <c r="S43" s="60"/>
    </row>
    <row r="44" spans="4:19" ht="20.100000000000001" customHeight="1" x14ac:dyDescent="0.25"/>
    <row r="45" spans="4:19" ht="20.100000000000001" customHeight="1" x14ac:dyDescent="0.25">
      <c r="D45" s="108" t="s">
        <v>166</v>
      </c>
      <c r="E45" s="109" cm="1">
        <f t="array" ref="E45">MMS_Dairy_Soil_AtmosphericDeposition_Equations.VEERG_4_3_1_10__1_AtmosphericDepositionEmissionsFromUrineAndDungOnPasture($H$38,$H$39,$H$40)</f>
        <v>3.7449506684100645E-2</v>
      </c>
      <c r="F45" s="110" t="str">
        <f>$E$36</f>
        <v>t N2O</v>
      </c>
      <c r="O45" s="108" t="s">
        <v>166</v>
      </c>
      <c r="P45" s="109" cm="1">
        <f t="array" ref="P45">MMS_Dairy_Soil_AtmosphericDeposition_Equations.VEERG_4_3_1_10__1_AtmosphericDepositionEmissionsFromUrineAndDungOnPasture($S$38,$H$39,$H$40)</f>
        <v>3.7449506684100645E-2</v>
      </c>
      <c r="Q45" s="110" t="str">
        <f>$E$36</f>
        <v>t N2O</v>
      </c>
    </row>
    <row r="46" spans="4:19" ht="20.100000000000001" customHeight="1" x14ac:dyDescent="0.25"/>
    <row r="47" spans="4:19" ht="20.100000000000001" customHeight="1" x14ac:dyDescent="0.25">
      <c r="D47" s="60" t="str" cm="1">
        <f t="array" ref="D47:E48">Common_Equations.Common_ConvertN2OToCO2e_Arguments()</f>
        <v>EN2O</v>
      </c>
      <c r="E47" s="61" t="str">
        <v>Nitrous oxide emissions (t N2O)</v>
      </c>
      <c r="F47" s="111"/>
      <c r="G47" s="55">
        <f>E45</f>
        <v>3.7449506684100645E-2</v>
      </c>
      <c r="O47" s="60" t="str" cm="1">
        <f t="array" ref="O47:P48">Common_Equations.Common_ConvertN2OToCO2e_Arguments()</f>
        <v>EN2O</v>
      </c>
      <c r="P47" s="61" t="str">
        <v>Nitrous oxide emissions (t N2O)</v>
      </c>
      <c r="Q47" s="111"/>
      <c r="R47" s="55">
        <f>P45</f>
        <v>3.7449506684100645E-2</v>
      </c>
    </row>
    <row r="48" spans="4:19" ht="20.100000000000001" customHeight="1" x14ac:dyDescent="0.25">
      <c r="D48" s="60" t="str">
        <v>GWPN2O</v>
      </c>
      <c r="E48" s="61" t="str">
        <v>Global warming potential for nitrous oxide (t CO2-e / t N2O)</v>
      </c>
      <c r="F48" s="111"/>
      <c r="G48" s="55">
        <f>Common_InputFunctions.Utility_LookupValueInTableNumber("N2O",Table_GWPData[Gas],Table_GWPData[CO2-e factor])</f>
        <v>265</v>
      </c>
      <c r="O48" s="60" t="str">
        <v>GWPN2O</v>
      </c>
      <c r="P48" s="61" t="str">
        <v>Global warming potential for nitrous oxide (t CO2-e / t N2O)</v>
      </c>
      <c r="Q48" s="111"/>
      <c r="R48" s="55">
        <f>Common_InputFunctions.Utility_LookupValueInTableNumber("N2O",Table_GWPData[Gas],Table_GWPData[CO2-e factor])</f>
        <v>265</v>
      </c>
    </row>
    <row r="49" spans="4:17" ht="20.100000000000001" customHeight="1" x14ac:dyDescent="0.25"/>
    <row r="50" spans="4:17" ht="20.100000000000001" customHeight="1" x14ac:dyDescent="0.25">
      <c r="D50" s="48" t="s">
        <v>111</v>
      </c>
      <c r="E50" s="48" cm="1">
        <f t="array" ref="E50">Common_Equations.Common_ConvertN2OToCO2e(G47,G48)</f>
        <v>9.9241192712866706</v>
      </c>
      <c r="F50" s="112" t="str" cm="1">
        <f t="array" ref="F50">Common_Equations.Common_ConvertN2OToCO2e_Unit()</f>
        <v>t CO2e</v>
      </c>
      <c r="O50" s="48" t="s">
        <v>111</v>
      </c>
      <c r="P50" s="48" cm="1">
        <f t="array" ref="P50">Common_Equations.Common_ConvertN2OToCO2e(R47,R48)</f>
        <v>9.9241192712866706</v>
      </c>
      <c r="Q50" s="112" t="str" cm="1">
        <f t="array" ref="Q50">Common_Equations.Common_ConvertN2OToCO2e_Unit()</f>
        <v>t CO2e</v>
      </c>
    </row>
    <row r="51" spans="4:17" ht="20.100000000000001" customHeight="1" x14ac:dyDescent="0.25"/>
    <row r="52" spans="4:17" ht="20.100000000000001" customHeight="1" x14ac:dyDescent="0.25"/>
    <row r="53" spans="4:17" ht="20.100000000000001" customHeight="1" x14ac:dyDescent="0.25"/>
    <row r="54" spans="4:17" ht="20.100000000000001" customHeight="1" x14ac:dyDescent="0.25"/>
    <row r="55" spans="4:17" ht="20.100000000000001" customHeight="1" x14ac:dyDescent="0.25"/>
    <row r="56" spans="4:17" ht="20.100000000000001" customHeight="1" x14ac:dyDescent="0.25"/>
    <row r="57" spans="4:17" ht="20.100000000000001" customHeight="1" x14ac:dyDescent="0.25"/>
    <row r="58" spans="4:17" ht="20.100000000000001" customHeight="1" x14ac:dyDescent="0.25"/>
    <row r="59" spans="4:17" ht="20.100000000000001" customHeight="1" x14ac:dyDescent="0.25"/>
    <row r="60" spans="4:17" ht="20.100000000000001" customHeight="1" x14ac:dyDescent="0.25"/>
    <row r="61" spans="4:17" ht="20.100000000000001" customHeight="1" x14ac:dyDescent="0.25"/>
    <row r="62" spans="4:17" ht="20.100000000000001" customHeight="1" x14ac:dyDescent="0.25"/>
    <row r="63" spans="4:17" ht="20.100000000000001" customHeight="1" x14ac:dyDescent="0.25"/>
    <row r="64" spans="4:17" ht="20.100000000000001" customHeight="1" x14ac:dyDescent="0.25"/>
    <row r="65" ht="20.100000000000001" customHeight="1" x14ac:dyDescent="0.25"/>
    <row r="66" ht="20.100000000000001" customHeight="1" x14ac:dyDescent="0.25"/>
    <row r="67" ht="20.100000000000001" customHeight="1" x14ac:dyDescent="0.25"/>
    <row r="68" ht="20.100000000000001" customHeight="1" x14ac:dyDescent="0.25"/>
    <row r="69" ht="20.100000000000001" customHeight="1" x14ac:dyDescent="0.25"/>
    <row r="70" ht="20.100000000000001" customHeight="1" x14ac:dyDescent="0.25"/>
    <row r="71" ht="20.100000000000001" customHeight="1" x14ac:dyDescent="0.25"/>
    <row r="72" ht="20.100000000000001" customHeight="1" x14ac:dyDescent="0.25"/>
    <row r="73" ht="20.100000000000001" customHeight="1" x14ac:dyDescent="0.25"/>
    <row r="74" ht="20.100000000000001" customHeight="1" x14ac:dyDescent="0.25"/>
    <row r="75" ht="20.100000000000001" customHeight="1" x14ac:dyDescent="0.25"/>
    <row r="76" ht="20.100000000000001" customHeight="1" x14ac:dyDescent="0.25"/>
    <row r="77" ht="20.100000000000001" customHeight="1" x14ac:dyDescent="0.25"/>
    <row r="78" ht="20.100000000000001" customHeight="1" x14ac:dyDescent="0.25"/>
    <row r="79" ht="20.100000000000001" customHeight="1" x14ac:dyDescent="0.25"/>
    <row r="80" ht="20.100000000000001" customHeight="1" x14ac:dyDescent="0.25"/>
    <row r="81" ht="20.100000000000001" customHeight="1" x14ac:dyDescent="0.25"/>
    <row r="82" ht="20.100000000000001" customHeight="1" x14ac:dyDescent="0.25"/>
    <row r="83" ht="20.100000000000001" customHeight="1" x14ac:dyDescent="0.25"/>
    <row r="84" ht="20.100000000000001" customHeight="1" x14ac:dyDescent="0.25"/>
    <row r="85" ht="20.100000000000001" customHeight="1" x14ac:dyDescent="0.25"/>
    <row r="86" ht="20.100000000000001" customHeight="1" x14ac:dyDescent="0.25"/>
    <row r="87" ht="20.100000000000001" customHeight="1" x14ac:dyDescent="0.25"/>
    <row r="88" ht="20.100000000000001" customHeight="1" x14ac:dyDescent="0.25"/>
    <row r="89" ht="20.100000000000001" customHeight="1" x14ac:dyDescent="0.25"/>
    <row r="90" ht="20.100000000000001" customHeight="1" x14ac:dyDescent="0.25"/>
    <row r="91" ht="20.100000000000001" customHeight="1" x14ac:dyDescent="0.25"/>
    <row r="92" ht="20.100000000000001" customHeight="1" x14ac:dyDescent="0.25"/>
    <row r="93" ht="20.100000000000001" customHeight="1" x14ac:dyDescent="0.25"/>
    <row r="94" ht="20.100000000000001" customHeight="1" x14ac:dyDescent="0.25"/>
    <row r="95" ht="20.100000000000001" customHeight="1" x14ac:dyDescent="0.25"/>
    <row r="96" ht="20.100000000000001" customHeight="1" x14ac:dyDescent="0.25"/>
    <row r="97" ht="20.100000000000001" customHeight="1" x14ac:dyDescent="0.25"/>
    <row r="98" ht="20.100000000000001" customHeight="1" x14ac:dyDescent="0.25"/>
    <row r="99" ht="20.100000000000001" customHeight="1" x14ac:dyDescent="0.25"/>
    <row r="100" ht="20.100000000000001" customHeight="1" x14ac:dyDescent="0.25"/>
    <row r="101" ht="20.100000000000001" customHeight="1" x14ac:dyDescent="0.25"/>
    <row r="102" ht="20.100000000000001" customHeight="1" x14ac:dyDescent="0.25"/>
    <row r="103" ht="20.100000000000001" customHeight="1" x14ac:dyDescent="0.25"/>
    <row r="104" ht="20.100000000000001" customHeight="1" x14ac:dyDescent="0.25"/>
    <row r="105" ht="20.100000000000001" customHeight="1" x14ac:dyDescent="0.25"/>
    <row r="106" ht="20.100000000000001" customHeight="1" x14ac:dyDescent="0.25"/>
    <row r="107" ht="20.100000000000001" customHeight="1" x14ac:dyDescent="0.25"/>
    <row r="108" ht="20.100000000000001" customHeight="1" x14ac:dyDescent="0.25"/>
    <row r="109" ht="20.100000000000001" customHeight="1" x14ac:dyDescent="0.25"/>
    <row r="110" ht="20.100000000000001" customHeight="1" x14ac:dyDescent="0.25"/>
    <row r="111" ht="20.100000000000001" customHeight="1" x14ac:dyDescent="0.25"/>
    <row r="112" ht="20.100000000000001" customHeight="1" x14ac:dyDescent="0.25"/>
    <row r="113" ht="20.100000000000001" customHeight="1" x14ac:dyDescent="0.25"/>
    <row r="114" ht="20.100000000000001" customHeight="1" x14ac:dyDescent="0.25"/>
    <row r="115" ht="20.100000000000001" customHeight="1" x14ac:dyDescent="0.25"/>
    <row r="116" ht="20.100000000000001" customHeight="1" x14ac:dyDescent="0.25"/>
    <row r="117" ht="20.100000000000001" customHeight="1" x14ac:dyDescent="0.25"/>
    <row r="118" ht="20.100000000000001" customHeight="1" x14ac:dyDescent="0.25"/>
    <row r="119" ht="20.100000000000001" customHeight="1" x14ac:dyDescent="0.25"/>
    <row r="120" ht="20.100000000000001" customHeight="1" x14ac:dyDescent="0.25"/>
    <row r="121" ht="20.100000000000001" customHeight="1" x14ac:dyDescent="0.25"/>
    <row r="122" ht="20.100000000000001" customHeight="1" x14ac:dyDescent="0.25"/>
    <row r="123" ht="20.100000000000001" customHeight="1" x14ac:dyDescent="0.25"/>
    <row r="124" ht="20.100000000000001" customHeight="1" x14ac:dyDescent="0.25"/>
    <row r="125" ht="20.100000000000001" customHeight="1" x14ac:dyDescent="0.25"/>
    <row r="126" ht="20.100000000000001" customHeight="1" x14ac:dyDescent="0.25"/>
    <row r="127" ht="20.100000000000001" customHeight="1" x14ac:dyDescent="0.25"/>
    <row r="128" ht="20.100000000000001" customHeight="1" x14ac:dyDescent="0.25"/>
    <row r="129" ht="20.100000000000001" customHeight="1" x14ac:dyDescent="0.25"/>
    <row r="130" ht="20.100000000000001" customHeight="1" x14ac:dyDescent="0.25"/>
    <row r="131" ht="20.100000000000001" customHeight="1" x14ac:dyDescent="0.25"/>
    <row r="132" ht="20.100000000000001" customHeight="1" x14ac:dyDescent="0.25"/>
    <row r="133" ht="20.100000000000001" customHeight="1" x14ac:dyDescent="0.25"/>
    <row r="134" ht="20.100000000000001" customHeight="1" x14ac:dyDescent="0.25"/>
    <row r="135" ht="20.100000000000001" customHeight="1" x14ac:dyDescent="0.25"/>
    <row r="136" ht="20.100000000000001" customHeight="1" x14ac:dyDescent="0.25"/>
    <row r="137" ht="20.100000000000001" customHeight="1" x14ac:dyDescent="0.25"/>
    <row r="138" ht="20.100000000000001" customHeight="1" x14ac:dyDescent="0.25"/>
    <row r="139" ht="20.100000000000001" customHeight="1" x14ac:dyDescent="0.25"/>
    <row r="140" ht="20.100000000000001" customHeight="1" x14ac:dyDescent="0.25"/>
    <row r="141" ht="20.100000000000001" customHeight="1" x14ac:dyDescent="0.25"/>
    <row r="142" ht="20.100000000000001" customHeight="1" x14ac:dyDescent="0.25"/>
    <row r="143" ht="20.100000000000001" customHeight="1" x14ac:dyDescent="0.25"/>
    <row r="144" ht="20.100000000000001" customHeight="1" x14ac:dyDescent="0.25"/>
    <row r="145" ht="20.100000000000001" customHeight="1" x14ac:dyDescent="0.25"/>
    <row r="146" ht="20.100000000000001" customHeight="1" x14ac:dyDescent="0.25"/>
    <row r="147" ht="20.100000000000001" customHeight="1" x14ac:dyDescent="0.25"/>
    <row r="148" ht="20.100000000000001" customHeight="1" x14ac:dyDescent="0.25"/>
    <row r="149" ht="20.100000000000001" customHeight="1" x14ac:dyDescent="0.25"/>
    <row r="150" ht="20.100000000000001" customHeight="1" x14ac:dyDescent="0.25"/>
    <row r="151" ht="20.100000000000001" customHeight="1" x14ac:dyDescent="0.25"/>
    <row r="152" ht="20.100000000000001" customHeight="1" x14ac:dyDescent="0.25"/>
    <row r="153" ht="20.100000000000001" customHeight="1" x14ac:dyDescent="0.25"/>
    <row r="154" ht="20.100000000000001" customHeight="1" x14ac:dyDescent="0.25"/>
    <row r="155" ht="20.100000000000001" customHeight="1" x14ac:dyDescent="0.25"/>
    <row r="156" ht="20.100000000000001" customHeight="1" x14ac:dyDescent="0.25"/>
    <row r="157" ht="20.100000000000001" customHeight="1" x14ac:dyDescent="0.25"/>
    <row r="158" ht="20.100000000000001" customHeight="1" x14ac:dyDescent="0.25"/>
    <row r="159" ht="20.100000000000001" customHeight="1" x14ac:dyDescent="0.25"/>
    <row r="160" ht="20.100000000000001" customHeight="1" x14ac:dyDescent="0.25"/>
    <row r="161" ht="20.100000000000001" customHeight="1" x14ac:dyDescent="0.25"/>
    <row r="162" ht="20.100000000000001" customHeight="1" x14ac:dyDescent="0.25"/>
    <row r="163" ht="20.100000000000001" customHeight="1" x14ac:dyDescent="0.25"/>
    <row r="164" ht="20.100000000000001" customHeight="1" x14ac:dyDescent="0.25"/>
    <row r="165" ht="20.100000000000001" customHeight="1" x14ac:dyDescent="0.25"/>
  </sheetData>
  <dataValidations disablePrompts="1" count="1">
    <dataValidation operator="equal" allowBlank="1" showInputMessage="1" showErrorMessage="1" sqref="E19 P19 E24 P24" xr:uid="{27894986-D8F7-4ECC-BDC3-495A6C274A89}"/>
  </dataValidations>
  <pageMargins left="0.7" right="0.7" top="0.75" bottom="0.75" header="0.3" footer="0.3"/>
  <drawing r:id="rId1"/>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8368BED-F848-481C-B828-A6A4B3B45E3C}">
  <dimension ref="A1:W165"/>
  <sheetViews>
    <sheetView showGridLines="0" topLeftCell="A15" workbookViewId="0">
      <selection activeCell="H14" sqref="H14"/>
    </sheetView>
  </sheetViews>
  <sheetFormatPr defaultRowHeight="15.75" x14ac:dyDescent="0.25"/>
  <cols>
    <col min="1" max="1" width="30.7109375" customWidth="1"/>
    <col min="2" max="2" width="4.7109375" customWidth="1"/>
    <col min="3" max="3" width="4.7109375" style="1" customWidth="1"/>
    <col min="4" max="11" width="30.7109375" style="1" customWidth="1"/>
    <col min="12" max="12" width="4.7109375" style="1" customWidth="1"/>
    <col min="13" max="13" width="4.7109375" customWidth="1"/>
    <col min="14" max="14" width="4.7109375" style="1" customWidth="1"/>
    <col min="15" max="22" width="30.7109375" style="1" customWidth="1"/>
    <col min="23" max="23" width="4.7109375" style="1" customWidth="1"/>
  </cols>
  <sheetData>
    <row r="1" spans="1:23" s="8" customFormat="1" ht="30" customHeight="1" x14ac:dyDescent="0.35">
      <c r="A1" s="8" t="e" vm="1">
        <v>#VALUE!</v>
      </c>
      <c r="C1" s="8" t="s">
        <v>409</v>
      </c>
    </row>
    <row r="2" spans="1:23" s="9" customFormat="1" ht="20.100000000000001" customHeight="1" x14ac:dyDescent="0.25"/>
    <row r="3" spans="1:23" ht="20.100000000000001" customHeight="1" x14ac:dyDescent="0.25">
      <c r="A3" s="17" t="str">
        <f>HYPERLINK("#'Home'!A1", "Home")</f>
        <v>Home</v>
      </c>
      <c r="C3" s="4"/>
      <c r="D3" s="4"/>
      <c r="E3" s="4"/>
      <c r="F3" s="4"/>
      <c r="G3" s="4"/>
      <c r="H3" s="4"/>
      <c r="I3" s="4"/>
      <c r="J3" s="4"/>
      <c r="K3" s="4"/>
      <c r="L3" s="4"/>
      <c r="N3" s="4"/>
      <c r="O3" s="4"/>
      <c r="P3" s="4"/>
      <c r="Q3" s="4"/>
      <c r="R3" s="4"/>
      <c r="S3" s="4"/>
      <c r="T3" s="4"/>
      <c r="U3" s="4"/>
      <c r="V3" s="4"/>
      <c r="W3" s="4"/>
    </row>
    <row r="4" spans="1:23" ht="20.100000000000001" customHeight="1" x14ac:dyDescent="0.25">
      <c r="A4" s="17" t="str">
        <f>HYPERLINK("#'Results'!A1", "Results")</f>
        <v>Results</v>
      </c>
    </row>
    <row r="5" spans="1:23" ht="20.100000000000001" customHeight="1" x14ac:dyDescent="0.25">
      <c r="A5" s="16"/>
      <c r="D5" s="6" t="str" cm="1">
        <f t="array" ref="D5">MMS_Dairy_Soil_LeachingAndRunoff.VEERG_4_3_1_12__2_MassOfNitrogenLostToLeachingAndRunoffOnPasture_Title()</f>
        <v>Mass of nitrogen lost to leaching and runoff from urine and faeces on pasture</v>
      </c>
    </row>
    <row r="6" spans="1:23" ht="20.100000000000001" customHeight="1" x14ac:dyDescent="0.25">
      <c r="A6" s="20" t="s">
        <v>3</v>
      </c>
      <c r="D6" s="5" t="str" cm="1">
        <f t="array" ref="D6">MMS_Dairy_Soil_LeachingAndRunoff.VEERG_4_3_1_12__2_MassOfNitrogenLostToLeachingAndRunoffOnPasture_Source()</f>
        <v>VEERG 2026: 4.3.1.12, Equation (2)</v>
      </c>
    </row>
    <row r="7" spans="1:23" ht="20.100000000000001" customHeight="1" x14ac:dyDescent="0.25">
      <c r="A7" s="17" t="str">
        <f>HYPERLINK("#'Input - Site'!A1", "Site")</f>
        <v>Site</v>
      </c>
      <c r="D7" s="13" t="s">
        <v>28</v>
      </c>
      <c r="E7" s="13" t="str" cm="1">
        <f t="array" aca="1" ref="E7" ca="1">Common_InputFunctions.Utility_DisplayFunctionName($F$28)</f>
        <v>=MMS_Dairy_Soil_LeachingAndRunoff.VEERG_4_3_1_12__2_MassOfNitrogenLostToLeachingAndRunoffOnPasture</v>
      </c>
    </row>
    <row r="8" spans="1:23" ht="20.100000000000001" customHeight="1" x14ac:dyDescent="0.25">
      <c r="A8" s="17" t="str">
        <f>HYPERLINK("#'Input - Dairy'!A1", "Dairy")</f>
        <v>Dairy</v>
      </c>
      <c r="E8" s="1" t="s">
        <v>18</v>
      </c>
    </row>
    <row r="9" spans="1:23" ht="20.100000000000001" customHeight="1" x14ac:dyDescent="0.25">
      <c r="A9" s="17"/>
    </row>
    <row r="10" spans="1:23" ht="20.100000000000001" customHeight="1" x14ac:dyDescent="0.25">
      <c r="A10" s="19" t="s">
        <v>78</v>
      </c>
      <c r="D10" s="56" t="s">
        <v>31</v>
      </c>
      <c r="E10" s="1" t="str" cm="1">
        <f t="array" ref="E10">MMS_Dairy_Soil_LeachingAndRunoff.VEERG_4_3_1_12__2_MassOfNitrogenLostToLeachingAndRunoffOnPasture_Variable()</f>
        <v>M_leach_m14</v>
      </c>
    </row>
    <row r="11" spans="1:23" ht="20.100000000000001" customHeight="1" x14ac:dyDescent="0.25">
      <c r="A11" s="17" t="str">
        <f>HYPERLINK("#'4.3.1.1-2 Methane'!A1", "4.3.1.1-2 Methane")</f>
        <v>4.3.1.1-2 Methane</v>
      </c>
      <c r="D11" s="56" t="s">
        <v>21</v>
      </c>
      <c r="E11" s="57" t="str" cm="1">
        <f t="array" ref="E11">MMS_Dairy_Soil_LeachingAndRunoff.VEERG_4_3_1_12__2_MassOfNitrogenLostToLeachingAndRunoffOnPasture_Unit()</f>
        <v>kg N</v>
      </c>
    </row>
    <row r="12" spans="1:23" ht="20.100000000000001" customHeight="1" x14ac:dyDescent="0.25">
      <c r="A12" s="17" t="str">
        <f>HYPERLINK("#'4.3.1.3-4 Direct N20'!A1", "4.3.1.3-4 Direct N2O")</f>
        <v>4.3.1.3-4 Direct N2O</v>
      </c>
    </row>
    <row r="13" spans="1:23" ht="20.100000000000001" customHeight="1" x14ac:dyDescent="0.25">
      <c r="A13" s="17" t="str">
        <f>HYPERLINK("#'4.3.1.5 Atmos Deposition'!A1", "4.3.1.5 Atmospheric deposition")</f>
        <v>4.3.1.5 Atmospheric deposition</v>
      </c>
      <c r="D13" s="60" t="str" cm="1">
        <f t="array" ref="D13:E18">MMS_Dairy_Soil_LeachingAndRunoff.VEERG_4_3_1_12__2_MassOfNitrogenLostToLeachingAndRunoffOnPasture_Arguments()</f>
        <v>MN_jm14</v>
      </c>
      <c r="E13" s="61" t="str">
        <v>mass of nitrogen excreted on pasture, range and paddock for each dairy class (kg N)</v>
      </c>
      <c r="F13" s="105"/>
      <c r="G13" s="62"/>
      <c r="H13" s="60" t="str">
        <f>"See " &amp; D20</f>
        <v>See M1_Table_MN_j_m-14</v>
      </c>
    </row>
    <row r="14" spans="1:23" ht="20.100000000000001" customHeight="1" x14ac:dyDescent="0.25">
      <c r="A14" s="17" t="str">
        <f>HYPERLINK("#'4.3.1.6-7 Leaching and runoff'!A1", "4.3.1.6-7 Leaching and runoff")</f>
        <v>4.3.1.6-7 Leaching and runoff</v>
      </c>
      <c r="D14" s="60" t="str">
        <v>FracWet</v>
      </c>
      <c r="E14" s="61" t="str">
        <v>fraction of N available for leaching and runoff</v>
      </c>
      <c r="F14" s="105"/>
      <c r="G14" s="62"/>
      <c r="H14" s="60">
        <f>Common_InputFunctions.CommonCropping_GetFracWET(H16,H18,#REF!,#REF!,Table_SourceData_FracWETIrrigation[Irrigation type i],Table_SourceData_FracWETIrrigation[FracWET])</f>
        <v>1</v>
      </c>
    </row>
    <row r="15" spans="1:23" ht="20.100000000000001" customHeight="1" x14ac:dyDescent="0.25">
      <c r="A15" s="17" t="str">
        <f>HYPERLINK("#'4.3.1.8 Manure applied to soils'!A1", "4.3.1.8 Manure applied to soils")</f>
        <v>4.3.1.8 Manure applied to soils</v>
      </c>
      <c r="D15" s="60" t="str">
        <v>FracLEACH</v>
      </c>
      <c r="E15" s="61" t="str">
        <v>fraction of N lost through leaching and runoff</v>
      </c>
      <c r="F15" s="105"/>
      <c r="G15" s="62"/>
      <c r="H15" s="60">
        <f>'Constants - Dairy'!$D$209</f>
        <v>0.02</v>
      </c>
    </row>
    <row r="16" spans="1:23" ht="20.100000000000001" customHeight="1" x14ac:dyDescent="0.25">
      <c r="A16" s="17" t="str">
        <f>HYPERLINK("#'4.3.1.9 Soil direct N2O'!A1", "4.3.1.9 Soil direct N2O")</f>
        <v>4.3.1.9 Soil direct N2O</v>
      </c>
      <c r="D16" s="60" t="str">
        <v>z</v>
      </c>
      <c r="E16" s="61" t="str">
        <v>location in leaching zone</v>
      </c>
      <c r="F16" s="105"/>
      <c r="G16" s="62"/>
      <c r="H16" s="60" t="str">
        <f>'Input - Site'!$E$23</f>
        <v>NO - Not in leaching zone</v>
      </c>
    </row>
    <row r="17" spans="1:22" ht="20.100000000000001" customHeight="1" x14ac:dyDescent="0.25">
      <c r="A17" s="17" t="str">
        <f>HYPERLINK("#'4.3.1.10-11 Soil Atmos Dep'!A1", "4.3.1.10-11 Soil atm. deposition")</f>
        <v>4.3.1.10-11 Soil atm. deposition</v>
      </c>
      <c r="D17" s="60" t="str">
        <v>j</v>
      </c>
      <c r="E17" s="61" t="str">
        <v>production system</v>
      </c>
      <c r="F17" s="105"/>
      <c r="G17" s="62"/>
      <c r="H17" s="60" t="str">
        <f>'Input - Dairy'!$E$183</f>
        <v>Pasture</v>
      </c>
    </row>
    <row r="18" spans="1:22" ht="20.100000000000001" customHeight="1" x14ac:dyDescent="0.25">
      <c r="A18" s="22" t="str">
        <f>HYPERLINK("#'4.3.1.12-13 Soil leach runoff'!A1", "4.3.1.12-13 Soil leach &amp; runoff")</f>
        <v>4.3.1.12-13 Soil leach &amp; runoff</v>
      </c>
      <c r="D18" s="60" t="str">
        <v>ir</v>
      </c>
      <c r="E18" s="61" t="str">
        <v>irrigation method</v>
      </c>
      <c r="F18" s="105"/>
      <c r="G18" s="62"/>
      <c r="H18" s="60" t="str">
        <f>'Input - Dairy'!$E$184</f>
        <v>Sprinkler irrigation</v>
      </c>
    </row>
    <row r="19" spans="1:22" ht="20.100000000000001" customHeight="1" x14ac:dyDescent="0.25">
      <c r="A19" s="17"/>
    </row>
    <row r="20" spans="1:22" ht="20.100000000000001" customHeight="1" x14ac:dyDescent="0.25">
      <c r="A20" s="18" t="s">
        <v>4</v>
      </c>
      <c r="D20" s="104" t="s">
        <v>395</v>
      </c>
      <c r="M20" s="59"/>
      <c r="O20" s="104" t="s">
        <v>397</v>
      </c>
    </row>
    <row r="21" spans="1:22" ht="20.100000000000001" customHeight="1" x14ac:dyDescent="0.25">
      <c r="A21" s="17" t="str">
        <f>HYPERLINK("#'Constants - Dairy'!A1", "Constants - Dairy")</f>
        <v>Constants - Dairy</v>
      </c>
      <c r="D21" s="103" t="s">
        <v>396</v>
      </c>
      <c r="M21" s="59"/>
      <c r="O21" s="103" t="s">
        <v>398</v>
      </c>
    </row>
    <row r="22" spans="1:22" ht="20.100000000000001" customHeight="1" x14ac:dyDescent="0.25">
      <c r="A22" s="17" t="str">
        <f>HYPERLINK("#'Constants - Livestock'!A1", "Constants - Livestock")</f>
        <v>Constants - Livestock</v>
      </c>
      <c r="D22" s="54" t="s">
        <v>159</v>
      </c>
      <c r="E22" s="54" t="s">
        <v>69</v>
      </c>
      <c r="F22" s="54" t="s">
        <v>186</v>
      </c>
      <c r="G22" s="54" t="s">
        <v>203</v>
      </c>
      <c r="H22" s="54" t="s">
        <v>204</v>
      </c>
      <c r="I22" s="54" t="s">
        <v>205</v>
      </c>
      <c r="J22" s="54" t="s">
        <v>206</v>
      </c>
      <c r="M22" s="59"/>
      <c r="O22" s="54" t="s">
        <v>159</v>
      </c>
      <c r="P22" s="54" t="s">
        <v>69</v>
      </c>
      <c r="Q22" s="54" t="s">
        <v>186</v>
      </c>
      <c r="R22" s="54" t="s">
        <v>203</v>
      </c>
      <c r="S22" s="54" t="s">
        <v>204</v>
      </c>
      <c r="T22" s="54" t="s">
        <v>205</v>
      </c>
      <c r="U22" s="54" t="s">
        <v>206</v>
      </c>
    </row>
    <row r="23" spans="1:22" ht="20.100000000000001" customHeight="1" x14ac:dyDescent="0.25">
      <c r="A23" s="17" t="str">
        <f>HYPERLINK("#'Constants - Common'!A1", "Constants - Common")</f>
        <v>Constants - Common</v>
      </c>
      <c r="D23" s="55" t="str">
        <f>'Input - Dairy'!$D$53</f>
        <v>Pasture</v>
      </c>
      <c r="E23" s="55" t="str">
        <f>'Constants - Livestock'!$E$27</f>
        <v>Pasture range and paddock</v>
      </c>
      <c r="F23" s="55">
        <f>'4.3.1.9 Soil direct N2O'!$F$31</f>
        <v>5151.8410499801093</v>
      </c>
      <c r="G23" s="55">
        <f>'4.3.1.9 Soil direct N2O'!$G$31</f>
        <v>4426.3236377252861</v>
      </c>
      <c r="H23" s="55">
        <f>'4.3.1.9 Soil direct N2O'!$H$31</f>
        <v>1762.9578946423812</v>
      </c>
      <c r="I23" s="55">
        <f>'4.3.1.9 Soil direct N2O'!$I$31</f>
        <v>5564.0638693222609</v>
      </c>
      <c r="J23" s="55">
        <f>'4.3.1.9 Soil direct N2O'!$J$31</f>
        <v>2329.2802581916176</v>
      </c>
      <c r="K23" s="2" t="str">
        <f>$E$11</f>
        <v>kg N</v>
      </c>
      <c r="M23" s="59"/>
      <c r="O23" s="55" t="str">
        <f>'Input - Dairy'!$D$53</f>
        <v>Pasture</v>
      </c>
      <c r="P23" s="55" t="str">
        <f>'Constants - Livestock'!$E$27</f>
        <v>Pasture range and paddock</v>
      </c>
      <c r="Q23" s="55">
        <f>'4.3.1.9 Soil direct N2O'!$Q$31</f>
        <v>5151.8410499801093</v>
      </c>
      <c r="R23" s="55">
        <f>'4.3.1.9 Soil direct N2O'!$R$31</f>
        <v>4426.3236377252861</v>
      </c>
      <c r="S23" s="55">
        <f>'4.3.1.9 Soil direct N2O'!$S$31</f>
        <v>1762.9578946423812</v>
      </c>
      <c r="T23" s="55">
        <f>'4.3.1.9 Soil direct N2O'!$T$31</f>
        <v>5564.0638693222609</v>
      </c>
      <c r="U23" s="55">
        <f>'4.3.1.9 Soil direct N2O'!$U$31</f>
        <v>2329.2802581916176</v>
      </c>
      <c r="V23" s="2" t="str">
        <f>$E$11</f>
        <v>kg N</v>
      </c>
    </row>
    <row r="24" spans="1:22" ht="20.100000000000001" customHeight="1" x14ac:dyDescent="0.25">
      <c r="A24" s="17" t="str">
        <f>HYPERLINK("#'Acknowledgements'!A1", "Acknowledgements")</f>
        <v>Acknowledgements</v>
      </c>
    </row>
    <row r="25" spans="1:22" ht="20.100000000000001" customHeight="1" x14ac:dyDescent="0.25">
      <c r="D25" s="104" t="s">
        <v>411</v>
      </c>
      <c r="O25" s="104" t="s">
        <v>413</v>
      </c>
    </row>
    <row r="26" spans="1:22" ht="20.100000000000001" customHeight="1" x14ac:dyDescent="0.25">
      <c r="D26" s="103" t="s">
        <v>412</v>
      </c>
      <c r="O26" s="103" t="s">
        <v>414</v>
      </c>
    </row>
    <row r="27" spans="1:22" ht="20.100000000000001" customHeight="1" x14ac:dyDescent="0.25">
      <c r="D27" s="54" t="s">
        <v>159</v>
      </c>
      <c r="E27" s="54" t="s">
        <v>69</v>
      </c>
      <c r="F27" s="54" t="s">
        <v>186</v>
      </c>
      <c r="G27" s="54" t="s">
        <v>203</v>
      </c>
      <c r="H27" s="54" t="s">
        <v>204</v>
      </c>
      <c r="I27" s="54" t="s">
        <v>205</v>
      </c>
      <c r="J27" s="54" t="s">
        <v>206</v>
      </c>
      <c r="O27" s="54" t="s">
        <v>159</v>
      </c>
      <c r="P27" s="54" t="s">
        <v>69</v>
      </c>
      <c r="Q27" s="54" t="s">
        <v>186</v>
      </c>
      <c r="R27" s="54" t="s">
        <v>203</v>
      </c>
      <c r="S27" s="54" t="s">
        <v>204</v>
      </c>
      <c r="T27" s="54" t="s">
        <v>205</v>
      </c>
      <c r="U27" s="54" t="s">
        <v>206</v>
      </c>
    </row>
    <row r="28" spans="1:22" ht="20.100000000000001" customHeight="1" x14ac:dyDescent="0.25">
      <c r="D28" s="55" t="str">
        <f>'Input - Dairy'!$D$53</f>
        <v>Pasture</v>
      </c>
      <c r="E28" s="55" t="str">
        <f>'Constants - Livestock'!$E$27</f>
        <v>Pasture range and paddock</v>
      </c>
      <c r="F28" s="55" cm="1">
        <f t="array" ref="F28">MMS_Dairy_Soil_LeachingAndRunoff.VEERG_4_3_1_12__2_MassOfNitrogenLostToLeachingAndRunoffOnPasture(F23,$H$14,$H$15)</f>
        <v>103.03682099960218</v>
      </c>
      <c r="G28" s="55" cm="1">
        <f t="array" ref="G28">MMS_Dairy_Soil_LeachingAndRunoff.VEERG_4_3_1_12__2_MassOfNitrogenLostToLeachingAndRunoffOnPasture(G23,$H$14,$H$15)</f>
        <v>88.526472754505718</v>
      </c>
      <c r="H28" s="55" cm="1">
        <f t="array" ref="H28">MMS_Dairy_Soil_LeachingAndRunoff.VEERG_4_3_1_12__2_MassOfNitrogenLostToLeachingAndRunoffOnPasture(H23,$H$14,$H$15)</f>
        <v>35.259157892847625</v>
      </c>
      <c r="I28" s="55" cm="1">
        <f t="array" ref="I28">MMS_Dairy_Soil_LeachingAndRunoff.VEERG_4_3_1_12__2_MassOfNitrogenLostToLeachingAndRunoffOnPasture(I23,$H$14,$H$15)</f>
        <v>111.28127738644523</v>
      </c>
      <c r="J28" s="55" cm="1">
        <f t="array" ref="J28">MMS_Dairy_Soil_LeachingAndRunoff.VEERG_4_3_1_12__2_MassOfNitrogenLostToLeachingAndRunoffOnPasture(J23,$H$14,$H$15)</f>
        <v>46.585605163832355</v>
      </c>
      <c r="K28" s="2" t="str">
        <f>$E$11</f>
        <v>kg N</v>
      </c>
      <c r="O28" s="55" t="str">
        <f>'Input - Dairy'!$D$53</f>
        <v>Pasture</v>
      </c>
      <c r="P28" s="55" t="str">
        <f>'Constants - Livestock'!$E$27</f>
        <v>Pasture range and paddock</v>
      </c>
      <c r="Q28" s="55" cm="1">
        <f t="array" ref="Q28">MMS_Dairy_Soil_LeachingAndRunoff.VEERG_4_3_1_12__2_MassOfNitrogenLostToLeachingAndRunoffOnPasture(Q23,$H$14,$H$15)</f>
        <v>103.03682099960218</v>
      </c>
      <c r="R28" s="55" cm="1">
        <f t="array" ref="R28">MMS_Dairy_Soil_LeachingAndRunoff.VEERG_4_3_1_12__2_MassOfNitrogenLostToLeachingAndRunoffOnPasture(R23,$H$14,$H$15)</f>
        <v>88.526472754505718</v>
      </c>
      <c r="S28" s="55" cm="1">
        <f t="array" ref="S28">MMS_Dairy_Soil_LeachingAndRunoff.VEERG_4_3_1_12__2_MassOfNitrogenLostToLeachingAndRunoffOnPasture(S23,$H$14,$H$15)</f>
        <v>35.259157892847625</v>
      </c>
      <c r="T28" s="55" cm="1">
        <f t="array" ref="T28">MMS_Dairy_Soil_LeachingAndRunoff.VEERG_4_3_1_12__2_MassOfNitrogenLostToLeachingAndRunoffOnPasture(T23,$H$14,$H$15)</f>
        <v>111.28127738644523</v>
      </c>
      <c r="U28" s="55" cm="1">
        <f t="array" ref="U28">MMS_Dairy_Soil_LeachingAndRunoff.VEERG_4_3_1_12__2_MassOfNitrogenLostToLeachingAndRunoffOnPasture(U23,$H$14,$H$15)</f>
        <v>46.585605163832355</v>
      </c>
      <c r="V28" s="2" t="str">
        <f>$E$11</f>
        <v>kg N</v>
      </c>
    </row>
    <row r="29" spans="1:22" ht="20.100000000000001" customHeight="1" x14ac:dyDescent="0.25"/>
    <row r="30" spans="1:22" ht="20.100000000000001" customHeight="1" x14ac:dyDescent="0.25">
      <c r="D30" s="124" t="s">
        <v>416</v>
      </c>
      <c r="E30" s="48">
        <f>SUM(F28:J28)</f>
        <v>384.68933419723317</v>
      </c>
      <c r="F30" s="112" t="str">
        <f>$E$11</f>
        <v>kg N</v>
      </c>
      <c r="O30" s="124" t="s">
        <v>416</v>
      </c>
      <c r="P30" s="48">
        <f>SUM(Q28:U28)</f>
        <v>384.68933419723317</v>
      </c>
      <c r="Q30" s="112" t="str">
        <f>$E$11</f>
        <v>kg N</v>
      </c>
    </row>
    <row r="31" spans="1:22" ht="20.100000000000001" customHeight="1" x14ac:dyDescent="0.25"/>
    <row r="32" spans="1:22" ht="20.100000000000001" customHeight="1" x14ac:dyDescent="0.25"/>
    <row r="33" spans="3:23" ht="20.100000000000001" customHeight="1" x14ac:dyDescent="0.25"/>
    <row r="34" spans="3:23" ht="20.100000000000001" customHeight="1" x14ac:dyDescent="0.25">
      <c r="C34" s="48"/>
      <c r="D34" s="48"/>
      <c r="E34" s="48"/>
      <c r="F34" s="48"/>
      <c r="G34" s="48"/>
      <c r="H34" s="48"/>
      <c r="I34" s="48"/>
      <c r="J34" s="48"/>
      <c r="K34" s="48"/>
      <c r="L34" s="48"/>
      <c r="N34" s="48"/>
      <c r="O34" s="48"/>
      <c r="P34" s="48"/>
      <c r="Q34" s="48"/>
      <c r="R34" s="48"/>
      <c r="S34" s="48"/>
      <c r="T34" s="48"/>
      <c r="U34" s="48"/>
      <c r="V34" s="48"/>
      <c r="W34" s="48"/>
    </row>
    <row r="35" spans="3:23" ht="20.100000000000001" customHeight="1" x14ac:dyDescent="0.25">
      <c r="D35" s="6" t="str" cm="1">
        <f t="array" ref="D35">MMS_Dairy_Soil_LeachingAndRunoff.VEERG_4_3_1_12__1_LeachingAndRunoffEmissionsFromUrineAndDungOnPasture_Title()</f>
        <v>Leaching and runoff emissions from urine and dung deposited on pasture</v>
      </c>
    </row>
    <row r="36" spans="3:23" ht="20.100000000000001" customHeight="1" x14ac:dyDescent="0.25">
      <c r="D36" s="5" t="str" cm="1">
        <f t="array" ref="D36">MMS_Dairy_Soil_LeachingAndRunoff.VEERG_4_3_1_12__1_LeachingAndRunoffEmissionsFromUrineAndDungOnPasture_Source()</f>
        <v>VEERG 2026: 4.3.1.12, Equation (1)</v>
      </c>
    </row>
    <row r="37" spans="3:23" ht="20.100000000000001" customHeight="1" x14ac:dyDescent="0.25">
      <c r="D37" s="13" t="s">
        <v>28</v>
      </c>
      <c r="E37" s="13" t="str" cm="1">
        <f t="array" aca="1" ref="E37" ca="1">Common_InputFunctions.Utility_DisplayFunctionName(E47)</f>
        <v>=MMS_Dairy_Soil_LeachingAndRunoff.VEERG_4_3_1_12__1_LeachingAndRunoffEmissionsFromUrineAndDungOnPasture</v>
      </c>
    </row>
    <row r="38" spans="3:23" ht="20.100000000000001" customHeight="1" x14ac:dyDescent="0.25"/>
    <row r="39" spans="3:23" ht="20.100000000000001" customHeight="1" x14ac:dyDescent="0.25"/>
    <row r="40" spans="3:23" ht="20.100000000000001" customHeight="1" x14ac:dyDescent="0.25">
      <c r="D40" s="56" t="s">
        <v>31</v>
      </c>
      <c r="E40" s="1" t="str" cm="1">
        <f t="array" ref="E40">MMS_Dairy_Soil_LeachingAndRunoff.VEERG_4_3_1_12__1_LeachingAndRunoffEmissionsFromUrineAndDungOnPasture_Variable()</f>
        <v>E_N2Oleach</v>
      </c>
    </row>
    <row r="41" spans="3:23" ht="20.100000000000001" customHeight="1" x14ac:dyDescent="0.25">
      <c r="D41" s="56" t="s">
        <v>21</v>
      </c>
      <c r="E41" s="57" t="str" cm="1">
        <f t="array" ref="E41">MMS_Dairy_Soil_LeachingAndRunoff.VEERG_4_3_1_12__1_LeachingAndRunoffEmissionsFromUrineAndDungOnPasture_Unit()</f>
        <v>t N2O</v>
      </c>
    </row>
    <row r="42" spans="3:23" ht="20.100000000000001" customHeight="1" x14ac:dyDescent="0.25"/>
    <row r="43" spans="3:23" ht="20.100000000000001" customHeight="1" x14ac:dyDescent="0.25">
      <c r="D43" s="115" t="str" cm="1">
        <f t="array" ref="D43:E45">MMS_Dairy_Soil_LeachingAndRunoff.VEERG_4_3_1_12__1_LeachingAndRunoffEmissionsFromUrineAndDungOnPasture_Arguments()</f>
        <v>M_leach_m14</v>
      </c>
      <c r="E43" s="117" t="str">
        <v>mass of nitrogen lost to leaching and runoff from urine and faeces deposited on pasture (kg N)</v>
      </c>
      <c r="F43" s="144"/>
      <c r="G43" s="116"/>
      <c r="H43" s="60">
        <f>$E$30</f>
        <v>384.68933419723317</v>
      </c>
      <c r="O43" s="115" t="str">
        <f>D43</f>
        <v>M_leach_m14</v>
      </c>
      <c r="P43" s="115" t="str">
        <f>E43</f>
        <v>mass of nitrogen lost to leaching and runoff from urine and faeces deposited on pasture (kg N)</v>
      </c>
      <c r="Q43" s="144"/>
      <c r="R43" s="116"/>
      <c r="S43" s="60">
        <f>$P$30</f>
        <v>384.68933419723317</v>
      </c>
    </row>
    <row r="44" spans="3:23" ht="20.100000000000001" customHeight="1" x14ac:dyDescent="0.25">
      <c r="D44" s="115" t="str">
        <v>EF_leach</v>
      </c>
      <c r="E44" s="117" t="str">
        <v>nitrous oxide emission factor for leaching and runoff (kg N2O-N/kg N)</v>
      </c>
      <c r="F44" s="144"/>
      <c r="G44" s="116"/>
      <c r="H44" s="60">
        <f>'Constants - Dairy'!$D$202</f>
        <v>1.0999999999999999E-2</v>
      </c>
      <c r="O44" s="115"/>
      <c r="P44" s="117"/>
      <c r="Q44" s="144"/>
      <c r="R44" s="116"/>
      <c r="S44" s="60"/>
    </row>
    <row r="45" spans="3:23" ht="20.100000000000001" customHeight="1" x14ac:dyDescent="0.25">
      <c r="D45" s="115" t="str">
        <v>C_N2O</v>
      </c>
      <c r="E45" s="117" t="str">
        <v>factor to convert elemental mass of N2O to molecular mass</v>
      </c>
      <c r="F45" s="144"/>
      <c r="G45" s="116"/>
      <c r="H45" s="60">
        <f>Common_InputFunctions.Utility_LookupValueInTableNumber("N2O",Table_GasToMolecularConversionFactor[Gas],Table_GasToMolecularConversionFactor[Conversion factor combined])</f>
        <v>1.5714285714285714</v>
      </c>
      <c r="O45" s="115"/>
      <c r="P45" s="117"/>
      <c r="Q45" s="144"/>
      <c r="R45" s="116"/>
      <c r="S45" s="60"/>
    </row>
    <row r="46" spans="3:23" ht="20.100000000000001" customHeight="1" x14ac:dyDescent="0.25"/>
    <row r="47" spans="3:23" ht="20.100000000000001" customHeight="1" x14ac:dyDescent="0.25">
      <c r="D47" s="108" t="s">
        <v>415</v>
      </c>
      <c r="E47" s="109" cm="1">
        <f t="array" ref="E47">MMS_Dairy_Soil_LeachingAndRunoff.VEERG_4_3_1_12__1_LeachingAndRunoffEmissionsFromUrineAndDungOnPasture($H$43,$H$44,$H$45)</f>
        <v>6.64962991969503E-3</v>
      </c>
      <c r="F47" s="110" t="str">
        <f>$E$41</f>
        <v>t N2O</v>
      </c>
      <c r="O47" s="108" t="s">
        <v>415</v>
      </c>
      <c r="P47" s="109" cm="1">
        <f t="array" ref="P47">MMS_Dairy_Soil_LeachingAndRunoff.VEERG_4_3_1_12__1_LeachingAndRunoffEmissionsFromUrineAndDungOnPasture($S$43,$H$44,$H$45)</f>
        <v>6.64962991969503E-3</v>
      </c>
      <c r="Q47" s="110" t="str">
        <f>$E$41</f>
        <v>t N2O</v>
      </c>
    </row>
    <row r="48" spans="3:23" ht="20.100000000000001" customHeight="1" x14ac:dyDescent="0.25"/>
    <row r="49" spans="4:18" ht="20.100000000000001" customHeight="1" x14ac:dyDescent="0.25">
      <c r="D49" s="60" t="str" cm="1">
        <f t="array" ref="D49:E50">Common_Equations.Common_ConvertN2OToCO2e_Arguments()</f>
        <v>EN2O</v>
      </c>
      <c r="E49" s="61" t="str">
        <v>Nitrous oxide emissions (t N2O)</v>
      </c>
      <c r="F49" s="111"/>
      <c r="G49" s="55">
        <f>E47</f>
        <v>6.64962991969503E-3</v>
      </c>
      <c r="O49" s="60" t="str" cm="1">
        <f t="array" ref="O49:P50">Common_Equations.Common_ConvertN2OToCO2e_Arguments()</f>
        <v>EN2O</v>
      </c>
      <c r="P49" s="61" t="str">
        <v>Nitrous oxide emissions (t N2O)</v>
      </c>
      <c r="Q49" s="111"/>
      <c r="R49" s="55">
        <f>P47</f>
        <v>6.64962991969503E-3</v>
      </c>
    </row>
    <row r="50" spans="4:18" ht="20.100000000000001" customHeight="1" x14ac:dyDescent="0.25">
      <c r="D50" s="60" t="str">
        <v>GWPN2O</v>
      </c>
      <c r="E50" s="61" t="str">
        <v>Global warming potential for nitrous oxide (t CO2-e / t N2O)</v>
      </c>
      <c r="F50" s="111"/>
      <c r="G50" s="55">
        <f>Common_InputFunctions.Utility_LookupValueInTableNumber("N2O",Table_GWPData[Gas],Table_GWPData[CO2-e factor])</f>
        <v>265</v>
      </c>
      <c r="O50" s="60" t="str">
        <v>GWPN2O</v>
      </c>
      <c r="P50" s="61" t="str">
        <v>Global warming potential for nitrous oxide (t CO2-e / t N2O)</v>
      </c>
      <c r="Q50" s="111"/>
      <c r="R50" s="55">
        <f>Common_InputFunctions.Utility_LookupValueInTableNumber("N2O",Table_GWPData[Gas],Table_GWPData[CO2-e factor])</f>
        <v>265</v>
      </c>
    </row>
    <row r="51" spans="4:18" ht="20.100000000000001" customHeight="1" x14ac:dyDescent="0.25"/>
    <row r="52" spans="4:18" ht="20.100000000000001" customHeight="1" x14ac:dyDescent="0.25">
      <c r="D52" s="48" t="s">
        <v>111</v>
      </c>
      <c r="E52" s="48" cm="1">
        <f t="array" ref="E52">Common_Equations.Common_ConvertN2OToCO2e(G49,G50)</f>
        <v>1.7621519287191829</v>
      </c>
      <c r="F52" s="112" t="str" cm="1">
        <f t="array" ref="F52">Common_Equations.Common_ConvertN2OToCO2e_Unit()</f>
        <v>t CO2e</v>
      </c>
      <c r="O52" s="48" t="s">
        <v>111</v>
      </c>
      <c r="P52" s="48" cm="1">
        <f t="array" ref="P52">Common_Equations.Common_ConvertN2OToCO2e(R49,R50)</f>
        <v>1.7621519287191829</v>
      </c>
      <c r="Q52" s="112" t="str" cm="1">
        <f t="array" ref="Q52">Common_Equations.Common_ConvertN2OToCO2e_Unit()</f>
        <v>t CO2e</v>
      </c>
    </row>
    <row r="53" spans="4:18" ht="20.100000000000001" customHeight="1" x14ac:dyDescent="0.25"/>
    <row r="54" spans="4:18" ht="20.100000000000001" customHeight="1" x14ac:dyDescent="0.25"/>
    <row r="55" spans="4:18" ht="20.100000000000001" customHeight="1" x14ac:dyDescent="0.25"/>
    <row r="56" spans="4:18" ht="20.100000000000001" customHeight="1" x14ac:dyDescent="0.25"/>
    <row r="57" spans="4:18" ht="20.100000000000001" customHeight="1" x14ac:dyDescent="0.25"/>
    <row r="58" spans="4:18" ht="20.100000000000001" customHeight="1" x14ac:dyDescent="0.25"/>
    <row r="59" spans="4:18" ht="20.100000000000001" customHeight="1" x14ac:dyDescent="0.25"/>
    <row r="60" spans="4:18" ht="20.100000000000001" customHeight="1" x14ac:dyDescent="0.25"/>
    <row r="61" spans="4:18" ht="20.100000000000001" customHeight="1" x14ac:dyDescent="0.25"/>
    <row r="62" spans="4:18" ht="20.100000000000001" customHeight="1" x14ac:dyDescent="0.25"/>
    <row r="63" spans="4:18" ht="20.100000000000001" customHeight="1" x14ac:dyDescent="0.25"/>
    <row r="64" spans="4:18" ht="20.100000000000001" customHeight="1" x14ac:dyDescent="0.25"/>
    <row r="65" ht="20.100000000000001" customHeight="1" x14ac:dyDescent="0.25"/>
    <row r="66" ht="20.100000000000001" customHeight="1" x14ac:dyDescent="0.25"/>
    <row r="67" ht="20.100000000000001" customHeight="1" x14ac:dyDescent="0.25"/>
    <row r="68" ht="20.100000000000001" customHeight="1" x14ac:dyDescent="0.25"/>
    <row r="69" ht="20.100000000000001" customHeight="1" x14ac:dyDescent="0.25"/>
    <row r="70" ht="20.100000000000001" customHeight="1" x14ac:dyDescent="0.25"/>
    <row r="71" ht="20.100000000000001" customHeight="1" x14ac:dyDescent="0.25"/>
    <row r="72" ht="20.100000000000001" customHeight="1" x14ac:dyDescent="0.25"/>
    <row r="73" ht="20.100000000000001" customHeight="1" x14ac:dyDescent="0.25"/>
    <row r="74" ht="20.100000000000001" customHeight="1" x14ac:dyDescent="0.25"/>
    <row r="75" ht="20.100000000000001" customHeight="1" x14ac:dyDescent="0.25"/>
    <row r="76" ht="20.100000000000001" customHeight="1" x14ac:dyDescent="0.25"/>
    <row r="77" ht="20.100000000000001" customHeight="1" x14ac:dyDescent="0.25"/>
    <row r="78" ht="20.100000000000001" customHeight="1" x14ac:dyDescent="0.25"/>
    <row r="79" ht="20.100000000000001" customHeight="1" x14ac:dyDescent="0.25"/>
    <row r="80" ht="20.100000000000001" customHeight="1" x14ac:dyDescent="0.25"/>
    <row r="81" ht="20.100000000000001" customHeight="1" x14ac:dyDescent="0.25"/>
    <row r="82" ht="20.100000000000001" customHeight="1" x14ac:dyDescent="0.25"/>
    <row r="83" ht="20.100000000000001" customHeight="1" x14ac:dyDescent="0.25"/>
    <row r="84" ht="20.100000000000001" customHeight="1" x14ac:dyDescent="0.25"/>
    <row r="85" ht="20.100000000000001" customHeight="1" x14ac:dyDescent="0.25"/>
    <row r="86" ht="20.100000000000001" customHeight="1" x14ac:dyDescent="0.25"/>
    <row r="87" ht="20.100000000000001" customHeight="1" x14ac:dyDescent="0.25"/>
    <row r="88" ht="20.100000000000001" customHeight="1" x14ac:dyDescent="0.25"/>
    <row r="89" ht="20.100000000000001" customHeight="1" x14ac:dyDescent="0.25"/>
    <row r="90" ht="20.100000000000001" customHeight="1" x14ac:dyDescent="0.25"/>
    <row r="91" ht="20.100000000000001" customHeight="1" x14ac:dyDescent="0.25"/>
    <row r="92" ht="20.100000000000001" customHeight="1" x14ac:dyDescent="0.25"/>
    <row r="93" ht="20.100000000000001" customHeight="1" x14ac:dyDescent="0.25"/>
    <row r="94" ht="20.100000000000001" customHeight="1" x14ac:dyDescent="0.25"/>
    <row r="95" ht="20.100000000000001" customHeight="1" x14ac:dyDescent="0.25"/>
    <row r="96" ht="20.100000000000001" customHeight="1" x14ac:dyDescent="0.25"/>
    <row r="97" ht="20.100000000000001" customHeight="1" x14ac:dyDescent="0.25"/>
    <row r="98" ht="20.100000000000001" customHeight="1" x14ac:dyDescent="0.25"/>
    <row r="99" ht="20.100000000000001" customHeight="1" x14ac:dyDescent="0.25"/>
    <row r="100" ht="20.100000000000001" customHeight="1" x14ac:dyDescent="0.25"/>
    <row r="101" ht="20.100000000000001" customHeight="1" x14ac:dyDescent="0.25"/>
    <row r="102" ht="20.100000000000001" customHeight="1" x14ac:dyDescent="0.25"/>
    <row r="103" ht="20.100000000000001" customHeight="1" x14ac:dyDescent="0.25"/>
    <row r="104" ht="20.100000000000001" customHeight="1" x14ac:dyDescent="0.25"/>
    <row r="105" ht="20.100000000000001" customHeight="1" x14ac:dyDescent="0.25"/>
    <row r="106" ht="20.100000000000001" customHeight="1" x14ac:dyDescent="0.25"/>
    <row r="107" ht="20.100000000000001" customHeight="1" x14ac:dyDescent="0.25"/>
    <row r="108" ht="20.100000000000001" customHeight="1" x14ac:dyDescent="0.25"/>
    <row r="109" ht="20.100000000000001" customHeight="1" x14ac:dyDescent="0.25"/>
    <row r="110" ht="20.100000000000001" customHeight="1" x14ac:dyDescent="0.25"/>
    <row r="111" ht="20.100000000000001" customHeight="1" x14ac:dyDescent="0.25"/>
    <row r="112" ht="20.100000000000001" customHeight="1" x14ac:dyDescent="0.25"/>
    <row r="113" ht="20.100000000000001" customHeight="1" x14ac:dyDescent="0.25"/>
    <row r="114" ht="20.100000000000001" customHeight="1" x14ac:dyDescent="0.25"/>
    <row r="115" ht="20.100000000000001" customHeight="1" x14ac:dyDescent="0.25"/>
    <row r="116" ht="20.100000000000001" customHeight="1" x14ac:dyDescent="0.25"/>
    <row r="117" ht="20.100000000000001" customHeight="1" x14ac:dyDescent="0.25"/>
    <row r="118" ht="20.100000000000001" customHeight="1" x14ac:dyDescent="0.25"/>
    <row r="119" ht="20.100000000000001" customHeight="1" x14ac:dyDescent="0.25"/>
    <row r="120" ht="20.100000000000001" customHeight="1" x14ac:dyDescent="0.25"/>
    <row r="121" ht="20.100000000000001" customHeight="1" x14ac:dyDescent="0.25"/>
    <row r="122" ht="20.100000000000001" customHeight="1" x14ac:dyDescent="0.25"/>
    <row r="123" ht="20.100000000000001" customHeight="1" x14ac:dyDescent="0.25"/>
    <row r="124" ht="20.100000000000001" customHeight="1" x14ac:dyDescent="0.25"/>
    <row r="125" ht="20.100000000000001" customHeight="1" x14ac:dyDescent="0.25"/>
    <row r="126" ht="20.100000000000001" customHeight="1" x14ac:dyDescent="0.25"/>
    <row r="127" ht="20.100000000000001" customHeight="1" x14ac:dyDescent="0.25"/>
    <row r="128" ht="20.100000000000001" customHeight="1" x14ac:dyDescent="0.25"/>
    <row r="129" ht="20.100000000000001" customHeight="1" x14ac:dyDescent="0.25"/>
    <row r="130" ht="20.100000000000001" customHeight="1" x14ac:dyDescent="0.25"/>
    <row r="131" ht="20.100000000000001" customHeight="1" x14ac:dyDescent="0.25"/>
    <row r="132" ht="20.100000000000001" customHeight="1" x14ac:dyDescent="0.25"/>
    <row r="133" ht="20.100000000000001" customHeight="1" x14ac:dyDescent="0.25"/>
    <row r="134" ht="20.100000000000001" customHeight="1" x14ac:dyDescent="0.25"/>
    <row r="135" ht="20.100000000000001" customHeight="1" x14ac:dyDescent="0.25"/>
    <row r="136" ht="20.100000000000001" customHeight="1" x14ac:dyDescent="0.25"/>
    <row r="137" ht="20.100000000000001" customHeight="1" x14ac:dyDescent="0.25"/>
    <row r="138" ht="20.100000000000001" customHeight="1" x14ac:dyDescent="0.25"/>
    <row r="139" ht="20.100000000000001" customHeight="1" x14ac:dyDescent="0.25"/>
    <row r="140" ht="20.100000000000001" customHeight="1" x14ac:dyDescent="0.25"/>
    <row r="141" ht="20.100000000000001" customHeight="1" x14ac:dyDescent="0.25"/>
    <row r="142" ht="20.100000000000001" customHeight="1" x14ac:dyDescent="0.25"/>
    <row r="143" ht="20.100000000000001" customHeight="1" x14ac:dyDescent="0.25"/>
    <row r="144" ht="20.100000000000001" customHeight="1" x14ac:dyDescent="0.25"/>
    <row r="145" ht="20.100000000000001" customHeight="1" x14ac:dyDescent="0.25"/>
    <row r="146" ht="20.100000000000001" customHeight="1" x14ac:dyDescent="0.25"/>
    <row r="147" ht="20.100000000000001" customHeight="1" x14ac:dyDescent="0.25"/>
    <row r="148" ht="20.100000000000001" customHeight="1" x14ac:dyDescent="0.25"/>
    <row r="149" ht="20.100000000000001" customHeight="1" x14ac:dyDescent="0.25"/>
    <row r="150" ht="20.100000000000001" customHeight="1" x14ac:dyDescent="0.25"/>
    <row r="151" ht="20.100000000000001" customHeight="1" x14ac:dyDescent="0.25"/>
    <row r="152" ht="20.100000000000001" customHeight="1" x14ac:dyDescent="0.25"/>
    <row r="153" ht="20.100000000000001" customHeight="1" x14ac:dyDescent="0.25"/>
    <row r="154" ht="20.100000000000001" customHeight="1" x14ac:dyDescent="0.25"/>
    <row r="155" ht="20.100000000000001" customHeight="1" x14ac:dyDescent="0.25"/>
    <row r="156" ht="20.100000000000001" customHeight="1" x14ac:dyDescent="0.25"/>
    <row r="157" ht="20.100000000000001" customHeight="1" x14ac:dyDescent="0.25"/>
    <row r="158" ht="20.100000000000001" customHeight="1" x14ac:dyDescent="0.25"/>
    <row r="159" ht="20.100000000000001" customHeight="1" x14ac:dyDescent="0.25"/>
    <row r="160" ht="20.100000000000001" customHeight="1" x14ac:dyDescent="0.25"/>
    <row r="161" ht="20.100000000000001" customHeight="1" x14ac:dyDescent="0.25"/>
    <row r="162" ht="20.100000000000001" customHeight="1" x14ac:dyDescent="0.25"/>
    <row r="163" ht="20.100000000000001" customHeight="1" x14ac:dyDescent="0.25"/>
    <row r="164" ht="20.100000000000001" customHeight="1" x14ac:dyDescent="0.25"/>
    <row r="165" ht="20.100000000000001" customHeight="1" x14ac:dyDescent="0.25"/>
  </sheetData>
  <dataValidations disablePrompts="1" count="1">
    <dataValidation operator="equal" allowBlank="1" showInputMessage="1" showErrorMessage="1" sqref="E23 P23 E28 P28" xr:uid="{FFC3CBA3-2876-48FD-90FB-22BFDC268162}"/>
  </dataValidations>
  <pageMargins left="0.7" right="0.7" top="0.75" bottom="0.75" header="0.3" footer="0.3"/>
  <pageSetup paperSize="9" orientation="portrait" r:id="rId1"/>
  <drawing r:id="rId2"/>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CD35FD-AE8E-4433-ACD5-994E77C39A89}">
  <dimension ref="A1:V288"/>
  <sheetViews>
    <sheetView showGridLines="0" topLeftCell="A39" zoomScale="85" zoomScaleNormal="85" workbookViewId="0">
      <selection activeCell="A21" sqref="A21"/>
    </sheetView>
  </sheetViews>
  <sheetFormatPr defaultRowHeight="15.75" x14ac:dyDescent="0.25"/>
  <cols>
    <col min="1" max="1" width="30.7109375" customWidth="1"/>
    <col min="2" max="2" width="4.7109375" customWidth="1"/>
    <col min="3" max="3" width="4.7109375" style="1" customWidth="1"/>
    <col min="4" max="6" width="30.7109375" style="1" customWidth="1"/>
    <col min="7" max="7" width="32.5703125" style="1" customWidth="1"/>
    <col min="8" max="12" width="30.7109375" style="1" customWidth="1"/>
    <col min="13" max="13" width="30.7109375" customWidth="1"/>
    <col min="14" max="20" width="30.7109375" style="1" customWidth="1"/>
    <col min="21" max="21" width="4.7109375" style="1" customWidth="1"/>
  </cols>
  <sheetData>
    <row r="1" spans="1:21" s="8" customFormat="1" ht="30" customHeight="1" x14ac:dyDescent="0.35">
      <c r="A1" s="8" t="e" vm="1">
        <v>#VALUE!</v>
      </c>
      <c r="C1" s="8" t="s">
        <v>115</v>
      </c>
    </row>
    <row r="2" spans="1:21" s="9" customFormat="1" ht="20.100000000000001" customHeight="1" x14ac:dyDescent="0.25">
      <c r="A2"/>
    </row>
    <row r="3" spans="1:21" ht="20.100000000000001" customHeight="1" x14ac:dyDescent="0.25">
      <c r="A3" s="17" t="str">
        <f>HYPERLINK("#'Home'!A1", "Home")</f>
        <v>Home</v>
      </c>
      <c r="C3" s="4"/>
      <c r="D3" s="4"/>
      <c r="E3" s="4"/>
      <c r="F3" s="4"/>
      <c r="G3" s="4"/>
      <c r="H3" s="4"/>
      <c r="I3" s="4"/>
      <c r="J3" s="4"/>
      <c r="K3" s="4"/>
      <c r="L3" s="4"/>
      <c r="M3" s="4"/>
      <c r="N3" s="4"/>
      <c r="O3" s="4"/>
      <c r="P3" s="4"/>
      <c r="Q3" s="4"/>
      <c r="R3" s="4"/>
      <c r="S3" s="4"/>
      <c r="T3" s="4"/>
      <c r="U3" s="4"/>
    </row>
    <row r="4" spans="1:21" ht="20.100000000000001" customHeight="1" x14ac:dyDescent="0.25">
      <c r="A4" s="17" t="str">
        <f>HYPERLINK("#'Results'!A1", "Results")</f>
        <v>Results</v>
      </c>
      <c r="M4" s="24"/>
    </row>
    <row r="5" spans="1:21" ht="20.100000000000001" customHeight="1" x14ac:dyDescent="0.25">
      <c r="A5" s="16"/>
      <c r="D5" s="6" t="s">
        <v>183</v>
      </c>
      <c r="G5" s="6" t="s">
        <v>184</v>
      </c>
      <c r="J5" s="6" t="s">
        <v>160</v>
      </c>
      <c r="M5" s="1"/>
    </row>
    <row r="6" spans="1:21" ht="20.100000000000001" customHeight="1" x14ac:dyDescent="0.25">
      <c r="A6" s="20" t="s">
        <v>3</v>
      </c>
      <c r="M6" s="1"/>
    </row>
    <row r="7" spans="1:21" ht="20.100000000000001" customHeight="1" x14ac:dyDescent="0.25">
      <c r="A7" s="17" t="str">
        <f>HYPERLINK("#'Input - Site'!A1", "Site")</f>
        <v>Site</v>
      </c>
      <c r="D7" s="102" t="s">
        <v>69</v>
      </c>
      <c r="E7" s="39" t="s">
        <v>83</v>
      </c>
      <c r="G7" s="39" t="s">
        <v>159</v>
      </c>
      <c r="J7" s="39" t="s">
        <v>157</v>
      </c>
      <c r="M7" s="1"/>
    </row>
    <row r="8" spans="1:21" ht="20.100000000000001" customHeight="1" x14ac:dyDescent="0.25">
      <c r="A8" s="17" t="str">
        <f>HYPERLINK("#'Input - Dairy'!A1", "Dairy")</f>
        <v>Dairy</v>
      </c>
      <c r="D8" s="39" t="str">
        <f>'Constants - Livestock'!$E$10</f>
        <v>Anaerobic lagoon</v>
      </c>
      <c r="E8" s="39" t="str">
        <f>'Constants - Livestock'!$F$10</f>
        <v>Anaerobic lagoon (m=1)</v>
      </c>
      <c r="G8" s="39" t="str">
        <f>'Constants - Common'!$F$187</f>
        <v>Pasture</v>
      </c>
      <c r="J8" s="39" t="s">
        <v>161</v>
      </c>
      <c r="M8" s="1"/>
    </row>
    <row r="9" spans="1:21" ht="20.100000000000001" customHeight="1" x14ac:dyDescent="0.25">
      <c r="A9" s="17"/>
      <c r="D9" s="39" t="str">
        <f>'Constants - Livestock'!$E$13</f>
        <v>Sump and dispersal system</v>
      </c>
      <c r="E9" s="39" t="str">
        <f>'Constants - Livestock'!$F$13</f>
        <v>Sump and dispersal system (m=3a)</v>
      </c>
      <c r="G9" s="1" t="str">
        <f>'Constants - Common'!$F$188</f>
        <v>Crop</v>
      </c>
      <c r="J9" s="39" t="s">
        <v>162</v>
      </c>
      <c r="M9" s="1"/>
    </row>
    <row r="10" spans="1:21" ht="20.100000000000001" customHeight="1" x14ac:dyDescent="0.25">
      <c r="A10" s="19" t="s">
        <v>78</v>
      </c>
      <c r="D10" s="39" t="str">
        <f>'Constants - Livestock'!$E$14</f>
        <v>Drains to paddock</v>
      </c>
      <c r="E10" s="39" t="str">
        <f>'Constants - Livestock'!$F$14</f>
        <v>Drains to paddock (m=3b)</v>
      </c>
      <c r="J10" s="1" t="s">
        <v>163</v>
      </c>
      <c r="M10" s="1"/>
    </row>
    <row r="11" spans="1:21" ht="20.100000000000001" customHeight="1" x14ac:dyDescent="0.25">
      <c r="A11" s="17" t="str">
        <f>HYPERLINK("#'4.3.1.1-2 Methane'!A1", "4.3.1.1-2 Methane")</f>
        <v>4.3.1.1-2 Methane</v>
      </c>
      <c r="D11" s="39" t="str">
        <f>'Constants - Livestock'!$E$15</f>
        <v>Solid storage</v>
      </c>
      <c r="E11" s="39" t="str">
        <f>'Constants - Livestock'!$F$15</f>
        <v>Solid storage (m=4)</v>
      </c>
      <c r="J11" s="1" t="s">
        <v>164</v>
      </c>
      <c r="M11" s="1"/>
    </row>
    <row r="12" spans="1:21" ht="20.100000000000001" customHeight="1" x14ac:dyDescent="0.25">
      <c r="A12" s="17" t="str">
        <f>HYPERLINK("#'4.3.1.3-4 Direct N20'!A1", "4.3.1.3-4 Direct N2O")</f>
        <v>4.3.1.3-4 Direct N2O</v>
      </c>
      <c r="J12" s="1" t="s">
        <v>165</v>
      </c>
      <c r="M12" s="1"/>
    </row>
    <row r="13" spans="1:21" ht="20.100000000000001" customHeight="1" x14ac:dyDescent="0.25">
      <c r="A13" s="17" t="str">
        <f>HYPERLINK("#'4.3.1.5 Atmos Deposition'!A1", "4.3.1.5 Atmospheric deposition")</f>
        <v>4.3.1.5 Atmospheric deposition</v>
      </c>
      <c r="M13" s="1"/>
    </row>
    <row r="14" spans="1:21" ht="20.100000000000001" customHeight="1" x14ac:dyDescent="0.25">
      <c r="A14" s="17" t="str">
        <f>HYPERLINK("#'4.3.1.6-7 Leaching and runoff'!A1", "4.3.1.6-7 Leaching and runoff")</f>
        <v>4.3.1.6-7 Leaching and runoff</v>
      </c>
      <c r="M14" s="1"/>
    </row>
    <row r="15" spans="1:21" ht="20.100000000000001" customHeight="1" x14ac:dyDescent="0.25">
      <c r="A15" s="17" t="str">
        <f>HYPERLINK("#'4.3.1.8 Manure applied to soils'!A1", "4.3.1.8 Manure applied to soils")</f>
        <v>4.3.1.8 Manure applied to soils</v>
      </c>
      <c r="M15" s="1"/>
    </row>
    <row r="16" spans="1:21" ht="20.100000000000001" customHeight="1" x14ac:dyDescent="0.25">
      <c r="A16" s="17" t="str">
        <f>HYPERLINK("#'4.3.1.9 Soil direct N2O'!A1", "4.3.1.9 Soil direct N2O")</f>
        <v>4.3.1.9 Soil direct N2O</v>
      </c>
      <c r="D16" s="6" t="str" cm="1">
        <f t="array" ref="D16">SourceData_Dairy.SourceData_Dairy_LiveweightCowsAndHeifers_Title()</f>
        <v>Table A.1.3.1: Dairy cattle - Liveweight (kg) - Cows and Heifers (Wj)</v>
      </c>
      <c r="M16" s="1"/>
    </row>
    <row r="17" spans="1:13" ht="20.100000000000001" customHeight="1" x14ac:dyDescent="0.25">
      <c r="A17" s="17" t="str">
        <f>HYPERLINK("#'4.3.1.10-11 Soil Atmos Dep'!A1", "4.3.1.10-11 Soil atm. deposition")</f>
        <v>4.3.1.10-11 Soil atm. deposition</v>
      </c>
      <c r="D17" s="5" t="str" cm="1">
        <f t="array" ref="D17">SourceData_Dairy.SourceData_Dairy_LiveweightCowsAndHeifers_Source()</f>
        <v>VEERG 2026: Table A.1.3.1</v>
      </c>
      <c r="M17" s="1"/>
    </row>
    <row r="18" spans="1:13" ht="20.100000000000001" customHeight="1" x14ac:dyDescent="0.25">
      <c r="A18" s="17" t="str">
        <f>HYPERLINK("#'4.3.1.12-13 Soil leach runoff'!A1", "4.3.1.12-13 Soil leach &amp; runoff")</f>
        <v>4.3.1.12-13 Soil leach &amp; runoff</v>
      </c>
      <c r="D18" s="1" t="str" cm="1">
        <f t="array" ref="D18">SourceData_Dairy.SourceData_Dairy_LiveweightCowsAndHeifers_Variable()</f>
        <v>Wj</v>
      </c>
      <c r="M18" s="1"/>
    </row>
    <row r="19" spans="1:13" ht="20.100000000000001" customHeight="1" x14ac:dyDescent="0.25">
      <c r="A19" s="17"/>
      <c r="D19" s="57" t="str" cm="1">
        <f t="array" ref="D19">SourceData_Dairy.SourceData_Dairy_LiveweightCowsAndHeifers_Unit()</f>
        <v>kg</v>
      </c>
      <c r="M19" s="1"/>
    </row>
    <row r="20" spans="1:13" ht="20.100000000000001" customHeight="1" x14ac:dyDescent="0.25">
      <c r="A20" s="18" t="s">
        <v>4</v>
      </c>
      <c r="D20" s="58" t="str" cm="1">
        <f t="array" ref="D20">SourceData_Dairy.SourceData_Dairy_LiveweightCowsAndHeifers_Variation()</f>
        <v>VARIATION OF SOURCE: Excluded 'Reference', as the value is consistently 'Dairy Australia [1]' and is not used in calculation.</v>
      </c>
      <c r="M20" s="1"/>
    </row>
    <row r="21" spans="1:13" ht="20.100000000000001" customHeight="1" x14ac:dyDescent="0.25">
      <c r="A21" s="72" t="str">
        <f>HYPERLINK("#'Constants - Dairy'!A1", "Constants - Dairy")</f>
        <v>Constants - Dairy</v>
      </c>
      <c r="D21" s="39" t="s">
        <v>185</v>
      </c>
      <c r="E21" s="39" t="s">
        <v>186</v>
      </c>
      <c r="F21" s="39" t="s">
        <v>187</v>
      </c>
      <c r="G21" s="39" t="s">
        <v>188</v>
      </c>
      <c r="M21" s="1"/>
    </row>
    <row r="22" spans="1:13" ht="20.100000000000001" customHeight="1" x14ac:dyDescent="0.25">
      <c r="A22" s="17" t="str">
        <f>HYPERLINK("#'Constants - Livestock'!A1", "Constants - Livestock")</f>
        <v>Constants - Livestock</v>
      </c>
      <c r="D22" s="39" t="str" cm="1">
        <f t="array" ref="D22">Common_InputFunctions.Utility_DisplayArrayInTable(SourceData_Dairy.SourceData_Dairy_LiveweightCowsAndHeifers_Data(), Table_SourceData_Dairy_WjCowsHeifers[[#Headers],[Breed]], 0)</f>
        <v>Medium Friesian</v>
      </c>
      <c r="E22" s="39" cm="1">
        <f t="array" ref="E22">Common_InputFunctions.Utility_DisplayArrayInTable(SourceData_Dairy.SourceData_Dairy_LiveweightCowsAndHeifers_Data(), Table_SourceData_Dairy_WjCowsHeifers[[#Headers],[Breed]], 0)</f>
        <v>550</v>
      </c>
      <c r="F22" s="39" cm="1">
        <f t="array" ref="F22">Common_InputFunctions.Utility_DisplayArrayInTable(SourceData_Dairy.SourceData_Dairy_LiveweightCowsAndHeifers_Data(), Table_SourceData_Dairy_WjCowsHeifers[[#Headers],[Breed]], 0)</f>
        <v>380</v>
      </c>
      <c r="G22" s="39" cm="1">
        <f t="array" ref="G22">Common_InputFunctions.Utility_DisplayArrayInTable(SourceData_Dairy.SourceData_Dairy_LiveweightCowsAndHeifers_Data(), Table_SourceData_Dairy_WjCowsHeifers[[#Headers],[Breed]], 0)</f>
        <v>155</v>
      </c>
      <c r="M22" s="1"/>
    </row>
    <row r="23" spans="1:13" ht="20.100000000000001" customHeight="1" x14ac:dyDescent="0.25">
      <c r="A23" s="17" t="str">
        <f>HYPERLINK("#'Constants - Common'!A1", "Constants - Common")</f>
        <v>Constants - Common</v>
      </c>
      <c r="D23" s="39" t="str" cm="1">
        <f t="array" ref="D23">Common_InputFunctions.Utility_DisplayArrayInTable(SourceData_Dairy.SourceData_Dairy_LiveweightCowsAndHeifers_Data(), Table_SourceData_Dairy_WjCowsHeifers[[#Headers],[Breed]], 0)</f>
        <v>Large Friesian</v>
      </c>
      <c r="E23" s="39" cm="1">
        <f t="array" ref="E23">Common_InputFunctions.Utility_DisplayArrayInTable(SourceData_Dairy.SourceData_Dairy_LiveweightCowsAndHeifers_Data(), Table_SourceData_Dairy_WjCowsHeifers[[#Headers],[Breed]], 0)</f>
        <v>600</v>
      </c>
      <c r="F23" s="39" cm="1">
        <f t="array" ref="F23">Common_InputFunctions.Utility_DisplayArrayInTable(SourceData_Dairy.SourceData_Dairy_LiveweightCowsAndHeifers_Data(), Table_SourceData_Dairy_WjCowsHeifers[[#Headers],[Breed]], 0)</f>
        <v>415</v>
      </c>
      <c r="G23" s="39" cm="1">
        <f t="array" ref="G23">Common_InputFunctions.Utility_DisplayArrayInTable(SourceData_Dairy.SourceData_Dairy_LiveweightCowsAndHeifers_Data(), Table_SourceData_Dairy_WjCowsHeifers[[#Headers],[Breed]], 0)</f>
        <v>170</v>
      </c>
      <c r="M23" s="1"/>
    </row>
    <row r="24" spans="1:13" ht="20.100000000000001" customHeight="1" x14ac:dyDescent="0.25">
      <c r="A24" s="17" t="str">
        <f>HYPERLINK("#'Acknowledgements'!A1", "Acknowledgements")</f>
        <v>Acknowledgements</v>
      </c>
      <c r="D24" s="39" t="str" cm="1">
        <f t="array" ref="D24">Common_InputFunctions.Utility_DisplayArrayInTable(SourceData_Dairy.SourceData_Dairy_LiveweightCowsAndHeifers_Data(), Table_SourceData_Dairy_WjCowsHeifers[[#Headers],[Breed]], 0)</f>
        <v>Holstein-Friesian</v>
      </c>
      <c r="E24" s="39" cm="1">
        <f t="array" ref="E24">Common_InputFunctions.Utility_DisplayArrayInTable(SourceData_Dairy.SourceData_Dairy_LiveweightCowsAndHeifers_Data(), Table_SourceData_Dairy_WjCowsHeifers[[#Headers],[Breed]], 0)</f>
        <v>650</v>
      </c>
      <c r="F24" s="39" cm="1">
        <f t="array" ref="F24">Common_InputFunctions.Utility_DisplayArrayInTable(SourceData_Dairy.SourceData_Dairy_LiveweightCowsAndHeifers_Data(), Table_SourceData_Dairy_WjCowsHeifers[[#Headers],[Breed]], 0)</f>
        <v>450</v>
      </c>
      <c r="G24" s="39" cm="1">
        <f t="array" ref="G24">Common_InputFunctions.Utility_DisplayArrayInTable(SourceData_Dairy.SourceData_Dairy_LiveweightCowsAndHeifers_Data(), Table_SourceData_Dairy_WjCowsHeifers[[#Headers],[Breed]], 0)</f>
        <v>185</v>
      </c>
      <c r="M24" s="1"/>
    </row>
    <row r="25" spans="1:13" ht="20.100000000000001" customHeight="1" x14ac:dyDescent="0.25">
      <c r="D25" s="39" t="str" cm="1">
        <f t="array" ref="D25">Common_InputFunctions.Utility_DisplayArrayInTable(SourceData_Dairy.SourceData_Dairy_LiveweightCowsAndHeifers_Data(), Table_SourceData_Dairy_WjCowsHeifers[[#Headers],[Breed]], 0)</f>
        <v>Friesian crossbred</v>
      </c>
      <c r="E25" s="39" cm="1">
        <f t="array" ref="E25">Common_InputFunctions.Utility_DisplayArrayInTable(SourceData_Dairy.SourceData_Dairy_LiveweightCowsAndHeifers_Data(), Table_SourceData_Dairy_WjCowsHeifers[[#Headers],[Breed]], 0)</f>
        <v>500</v>
      </c>
      <c r="F25" s="39" cm="1">
        <f t="array" ref="F25">Common_InputFunctions.Utility_DisplayArrayInTable(SourceData_Dairy.SourceData_Dairy_LiveweightCowsAndHeifers_Data(), Table_SourceData_Dairy_WjCowsHeifers[[#Headers],[Breed]], 0)</f>
        <v>350</v>
      </c>
      <c r="G25" s="39" cm="1">
        <f t="array" ref="G25">Common_InputFunctions.Utility_DisplayArrayInTable(SourceData_Dairy.SourceData_Dairy_LiveweightCowsAndHeifers_Data(), Table_SourceData_Dairy_WjCowsHeifers[[#Headers],[Breed]], 0)</f>
        <v>145</v>
      </c>
      <c r="M25" s="1"/>
    </row>
    <row r="26" spans="1:13" ht="20.100000000000001" customHeight="1" x14ac:dyDescent="0.25">
      <c r="D26" s="39" t="str" cm="1">
        <f t="array" ref="D26">Common_InputFunctions.Utility_DisplayArrayInTable(SourceData_Dairy.SourceData_Dairy_LiveweightCowsAndHeifers_Data(), Table_SourceData_Dairy_WjCowsHeifers[[#Headers],[Breed]], 0)</f>
        <v>Jersey</v>
      </c>
      <c r="E26" s="39" cm="1">
        <f t="array" ref="E26">Common_InputFunctions.Utility_DisplayArrayInTable(SourceData_Dairy.SourceData_Dairy_LiveweightCowsAndHeifers_Data(), Table_SourceData_Dairy_WjCowsHeifers[[#Headers],[Breed]], 0)</f>
        <v>400</v>
      </c>
      <c r="F26" s="39" cm="1">
        <f t="array" ref="F26">Common_InputFunctions.Utility_DisplayArrayInTable(SourceData_Dairy.SourceData_Dairy_LiveweightCowsAndHeifers_Data(), Table_SourceData_Dairy_WjCowsHeifers[[#Headers],[Breed]], 0)</f>
        <v>275</v>
      </c>
      <c r="G26" s="39" cm="1">
        <f t="array" ref="G26">Common_InputFunctions.Utility_DisplayArrayInTable(SourceData_Dairy.SourceData_Dairy_LiveweightCowsAndHeifers_Data(), Table_SourceData_Dairy_WjCowsHeifers[[#Headers],[Breed]], 0)</f>
        <v>115</v>
      </c>
      <c r="M26" s="1"/>
    </row>
    <row r="27" spans="1:13" ht="20.100000000000001" customHeight="1" x14ac:dyDescent="0.25">
      <c r="D27" s="39" t="str" cm="1">
        <f t="array" ref="D27">Common_InputFunctions.Utility_DisplayArrayInTable(SourceData_Dairy.SourceData_Dairy_LiveweightCowsAndHeifers_Data(), Table_SourceData_Dairy_WjCowsHeifers[[#Headers],[Breed]], 0)</f>
        <v>Jersey crossbred</v>
      </c>
      <c r="E27" s="39" cm="1">
        <f t="array" ref="E27">Common_InputFunctions.Utility_DisplayArrayInTable(SourceData_Dairy.SourceData_Dairy_LiveweightCowsAndHeifers_Data(), Table_SourceData_Dairy_WjCowsHeifers[[#Headers],[Breed]], 0)</f>
        <v>450</v>
      </c>
      <c r="F27" s="39" cm="1">
        <f t="array" ref="F27">Common_InputFunctions.Utility_DisplayArrayInTable(SourceData_Dairy.SourceData_Dairy_LiveweightCowsAndHeifers_Data(), Table_SourceData_Dairy_WjCowsHeifers[[#Headers],[Breed]], 0)</f>
        <v>315</v>
      </c>
      <c r="G27" s="39" cm="1">
        <f t="array" ref="G27">Common_InputFunctions.Utility_DisplayArrayInTable(SourceData_Dairy.SourceData_Dairy_LiveweightCowsAndHeifers_Data(), Table_SourceData_Dairy_WjCowsHeifers[[#Headers],[Breed]], 0)</f>
        <v>130</v>
      </c>
      <c r="M27" s="1"/>
    </row>
    <row r="28" spans="1:13" ht="20.100000000000001" customHeight="1" x14ac:dyDescent="0.25">
      <c r="D28" s="39" t="str" cm="1">
        <f t="array" ref="D28">Common_InputFunctions.Utility_DisplayArrayInTable(SourceData_Dairy.SourceData_Dairy_LiveweightCowsAndHeifers_Data(), Table_SourceData_Dairy_WjCowsHeifers[[#Headers],[Breed]], 0)</f>
        <v>Ayrshire</v>
      </c>
      <c r="E28" s="39" cm="1">
        <f t="array" ref="E28">Common_InputFunctions.Utility_DisplayArrayInTable(SourceData_Dairy.SourceData_Dairy_LiveweightCowsAndHeifers_Data(), Table_SourceData_Dairy_WjCowsHeifers[[#Headers],[Breed]], 0)</f>
        <v>540</v>
      </c>
      <c r="F28" s="39" cm="1">
        <f t="array" ref="F28">Common_InputFunctions.Utility_DisplayArrayInTable(SourceData_Dairy.SourceData_Dairy_LiveweightCowsAndHeifers_Data(), Table_SourceData_Dairy_WjCowsHeifers[[#Headers],[Breed]], 0)</f>
        <v>375</v>
      </c>
      <c r="G28" s="39" cm="1">
        <f t="array" ref="G28">Common_InputFunctions.Utility_DisplayArrayInTable(SourceData_Dairy.SourceData_Dairy_LiveweightCowsAndHeifers_Data(), Table_SourceData_Dairy_WjCowsHeifers[[#Headers],[Breed]], 0)</f>
        <v>150</v>
      </c>
      <c r="M28" s="1"/>
    </row>
    <row r="29" spans="1:13" ht="20.100000000000001" customHeight="1" x14ac:dyDescent="0.25">
      <c r="D29" s="39" t="str" cm="1">
        <f t="array" ref="D29">Common_InputFunctions.Utility_DisplayArrayInTable(SourceData_Dairy.SourceData_Dairy_LiveweightCowsAndHeifers_Data(), Table_SourceData_Dairy_WjCowsHeifers[[#Headers],[Breed]], 0)</f>
        <v>Guernsey</v>
      </c>
      <c r="E29" s="39" cm="1">
        <f t="array" ref="E29">Common_InputFunctions.Utility_DisplayArrayInTable(SourceData_Dairy.SourceData_Dairy_LiveweightCowsAndHeifers_Data(), Table_SourceData_Dairy_WjCowsHeifers[[#Headers],[Breed]], 0)</f>
        <v>480</v>
      </c>
      <c r="F29" s="39" cm="1">
        <f t="array" ref="F29">Common_InputFunctions.Utility_DisplayArrayInTable(SourceData_Dairy.SourceData_Dairy_LiveweightCowsAndHeifers_Data(), Table_SourceData_Dairy_WjCowsHeifers[[#Headers],[Breed]], 0)</f>
        <v>335</v>
      </c>
      <c r="G29" s="39" cm="1">
        <f t="array" ref="G29">Common_InputFunctions.Utility_DisplayArrayInTable(SourceData_Dairy.SourceData_Dairy_LiveweightCowsAndHeifers_Data(), Table_SourceData_Dairy_WjCowsHeifers[[#Headers],[Breed]], 0)</f>
        <v>140</v>
      </c>
      <c r="M29" s="1"/>
    </row>
    <row r="30" spans="1:13" ht="20.100000000000001" customHeight="1" x14ac:dyDescent="0.25">
      <c r="D30" s="39" t="str" cm="1">
        <f t="array" ref="D30">Common_InputFunctions.Utility_DisplayArrayInTable(SourceData_Dairy.SourceData_Dairy_LiveweightCowsAndHeifers_Data(), Table_SourceData_Dairy_WjCowsHeifers[[#Headers],[Breed]], 0)</f>
        <v>Brown Swiss</v>
      </c>
      <c r="E30" s="39" cm="1">
        <f t="array" ref="E30">Common_InputFunctions.Utility_DisplayArrayInTable(SourceData_Dairy.SourceData_Dairy_LiveweightCowsAndHeifers_Data(), Table_SourceData_Dairy_WjCowsHeifers[[#Headers],[Breed]], 0)</f>
        <v>600</v>
      </c>
      <c r="F30" s="39" cm="1">
        <f t="array" ref="F30">Common_InputFunctions.Utility_DisplayArrayInTable(SourceData_Dairy.SourceData_Dairy_LiveweightCowsAndHeifers_Data(), Table_SourceData_Dairy_WjCowsHeifers[[#Headers],[Breed]], 0)</f>
        <v>415</v>
      </c>
      <c r="G30" s="39" cm="1">
        <f t="array" ref="G30">Common_InputFunctions.Utility_DisplayArrayInTable(SourceData_Dairy.SourceData_Dairy_LiveweightCowsAndHeifers_Data(), Table_SourceData_Dairy_WjCowsHeifers[[#Headers],[Breed]], 0)</f>
        <v>170</v>
      </c>
      <c r="M30" s="1"/>
    </row>
    <row r="31" spans="1:13" ht="20.100000000000001" customHeight="1" x14ac:dyDescent="0.25">
      <c r="D31" s="39" t="str" cm="1">
        <f t="array" ref="D31">Common_InputFunctions.Utility_DisplayArrayInTable(SourceData_Dairy.SourceData_Dairy_LiveweightCowsAndHeifers_Data(), Table_SourceData_Dairy_WjCowsHeifers[[#Headers],[Breed]], 0)</f>
        <v>Illawarra/Aussie Red</v>
      </c>
      <c r="E31" s="39" cm="1">
        <f t="array" ref="E31">Common_InputFunctions.Utility_DisplayArrayInTable(SourceData_Dairy.SourceData_Dairy_LiveweightCowsAndHeifers_Data(), Table_SourceData_Dairy_WjCowsHeifers[[#Headers],[Breed]], 0)</f>
        <v>550</v>
      </c>
      <c r="F31" s="39" cm="1">
        <f t="array" ref="F31">Common_InputFunctions.Utility_DisplayArrayInTable(SourceData_Dairy.SourceData_Dairy_LiveweightCowsAndHeifers_Data(), Table_SourceData_Dairy_WjCowsHeifers[[#Headers],[Breed]], 0)</f>
        <v>375</v>
      </c>
      <c r="G31" s="39" cm="1">
        <f t="array" ref="G31">Common_InputFunctions.Utility_DisplayArrayInTable(SourceData_Dairy.SourceData_Dairy_LiveweightCowsAndHeifers_Data(), Table_SourceData_Dairy_WjCowsHeifers[[#Headers],[Breed]], 0)</f>
        <v>150</v>
      </c>
      <c r="M31" s="1"/>
    </row>
    <row r="32" spans="1:13" ht="20.100000000000001" customHeight="1" x14ac:dyDescent="0.25">
      <c r="M32" s="1"/>
    </row>
    <row r="33" spans="4:13" ht="20.100000000000001" customHeight="1" x14ac:dyDescent="0.25">
      <c r="M33" s="1"/>
    </row>
    <row r="34" spans="4:13" ht="20.100000000000001" customHeight="1" x14ac:dyDescent="0.25">
      <c r="D34" s="6" t="str" cm="1">
        <f t="array" ref="D34">SourceData_Dairy.SourceData_Dairy_LiveweightBulls_Title()</f>
        <v>Table A.1.3.2: Dairy cattle - Liveweight (kg) - Bulls (Wj)</v>
      </c>
      <c r="M34" s="1"/>
    </row>
    <row r="35" spans="4:13" ht="20.100000000000001" customHeight="1" x14ac:dyDescent="0.25">
      <c r="D35" s="5" t="str" cm="1">
        <f t="array" ref="D35">SourceData_Dairy.SourceData_Dairy_LiveweightBulls_Source()</f>
        <v>VEERG 2026: Table A.1.3.2</v>
      </c>
      <c r="M35" s="1"/>
    </row>
    <row r="36" spans="4:13" ht="20.100000000000001" customHeight="1" x14ac:dyDescent="0.25">
      <c r="D36" s="1" t="str" cm="1">
        <f t="array" ref="D36">SourceData_Dairy.SourceData_Dairy_LiveweightBulls_Variable()</f>
        <v>Wj</v>
      </c>
      <c r="M36" s="1"/>
    </row>
    <row r="37" spans="4:13" ht="20.100000000000001" customHeight="1" x14ac:dyDescent="0.25">
      <c r="D37" s="57" t="str" cm="1">
        <f t="array" ref="D37">SourceData_Dairy.SourceData_Dairy_LiveweightBulls_Unit()</f>
        <v>kg</v>
      </c>
      <c r="M37" s="1"/>
    </row>
    <row r="38" spans="4:13" ht="20.100000000000001" customHeight="1" x14ac:dyDescent="0.25">
      <c r="D38" s="39" t="s">
        <v>185</v>
      </c>
      <c r="E38" s="39" t="s">
        <v>190</v>
      </c>
      <c r="F38" s="39" t="s">
        <v>189</v>
      </c>
      <c r="M38" s="1"/>
    </row>
    <row r="39" spans="4:13" ht="20.100000000000001" customHeight="1" x14ac:dyDescent="0.25">
      <c r="D39" s="39" t="str" cm="1">
        <f t="array" ref="D39">Common_InputFunctions.Utility_DisplayArrayInTable(SourceData_Dairy.SourceData_Dairy_LiveweightBulls_Data(), Table_SourceData_Dairy_WjBulls[[#Headers],[Breed]], 0)</f>
        <v>All breeds</v>
      </c>
      <c r="E39" s="39" cm="1">
        <f t="array" ref="E39">Common_InputFunctions.Utility_DisplayArrayInTable(SourceData_Dairy.SourceData_Dairy_LiveweightBulls_Data(), Table_SourceData_Dairy_WjBulls[[#Headers],[Breed]], 0)</f>
        <v>600</v>
      </c>
      <c r="F39" s="39" cm="1">
        <f t="array" ref="F39">Common_InputFunctions.Utility_DisplayArrayInTable(SourceData_Dairy.SourceData_Dairy_LiveweightBulls_Data(), Table_SourceData_Dairy_WjBulls[[#Headers],[Breed]], 0)</f>
        <v>225</v>
      </c>
      <c r="M39" s="1"/>
    </row>
    <row r="40" spans="4:13" ht="20.100000000000001" customHeight="1" x14ac:dyDescent="0.25">
      <c r="M40" s="1"/>
    </row>
    <row r="41" spans="4:13" ht="20.100000000000001" customHeight="1" x14ac:dyDescent="0.25">
      <c r="M41" s="1"/>
    </row>
    <row r="42" spans="4:13" ht="20.100000000000001" customHeight="1" x14ac:dyDescent="0.25">
      <c r="D42" s="6" t="str" cm="1">
        <f t="array" ref="D42">SourceData_Dairy.SourceData_Dairy_LiveweightGain_Title()</f>
        <v>Table A.1.3.3: Dairy cattle - Liveweight gain (kg) (LWGj)</v>
      </c>
      <c r="M42" s="1"/>
    </row>
    <row r="43" spans="4:13" ht="20.100000000000001" customHeight="1" x14ac:dyDescent="0.25">
      <c r="D43" s="5" t="str" cm="1">
        <f t="array" ref="D43">SourceData_Dairy.SourceData_Dairy_LiveweightGain_Source()</f>
        <v>VEERG 2026: Table A.1.3.3</v>
      </c>
      <c r="M43" s="1"/>
    </row>
    <row r="44" spans="4:13" ht="20.100000000000001" customHeight="1" x14ac:dyDescent="0.25">
      <c r="D44" s="1" t="str" cm="1">
        <f t="array" ref="D44">SourceData_Dairy.SourceData_Dairy_LiveweightGain_Variable()</f>
        <v>LWGj</v>
      </c>
      <c r="M44" s="1"/>
    </row>
    <row r="45" spans="4:13" ht="20.100000000000001" customHeight="1" x14ac:dyDescent="0.25">
      <c r="D45" s="57" t="str" cm="1">
        <f t="array" ref="D45">SourceData_Dairy.SourceData_Dairy_LiveweightGain_Unit()</f>
        <v>kg</v>
      </c>
      <c r="M45" s="1"/>
    </row>
    <row r="46" spans="4:13" ht="20.100000000000001" customHeight="1" x14ac:dyDescent="0.25">
      <c r="D46" s="39" t="s">
        <v>186</v>
      </c>
      <c r="E46" s="39" t="s">
        <v>187</v>
      </c>
      <c r="F46" s="39" t="s">
        <v>188</v>
      </c>
      <c r="G46" s="39" t="s">
        <v>190</v>
      </c>
      <c r="H46" s="39" t="s">
        <v>189</v>
      </c>
      <c r="M46" s="1"/>
    </row>
    <row r="47" spans="4:13" ht="20.100000000000001" customHeight="1" x14ac:dyDescent="0.25">
      <c r="D47" s="39" cm="1">
        <f t="array" ref="D47">Common_InputFunctions.Utility_DisplayArrayInTable(SourceData_Dairy.SourceData_Dairy_LiveweightGain_Data(), Table_SourceData_Dairy_LWGj[[#Headers],[Milking cows]], 0)</f>
        <v>1.6E-2</v>
      </c>
      <c r="E47" s="39" cm="1">
        <f t="array" ref="E47">Common_InputFunctions.Utility_DisplayArrayInTable(SourceData_Dairy.SourceData_Dairy_LiveweightGain_Data(), Table_SourceData_Dairy_LWGj[[#Headers],[Milking cows]], 0)</f>
        <v>0.6</v>
      </c>
      <c r="F47" s="39" cm="1">
        <f t="array" ref="F47">Common_InputFunctions.Utility_DisplayArrayInTable(SourceData_Dairy.SourceData_Dairy_LiveweightGain_Data(), Table_SourceData_Dairy_LWGj[[#Headers],[Milking cows]], 0)</f>
        <v>0.56999999999999995</v>
      </c>
      <c r="G47" s="39" cm="1">
        <f t="array" ref="G47">Common_InputFunctions.Utility_DisplayArrayInTable(SourceData_Dairy.SourceData_Dairy_LiveweightGain_Data(), Table_SourceData_Dairy_LWGj[[#Headers],[Milking cows]], 0)</f>
        <v>0.1</v>
      </c>
      <c r="H47" s="39" cm="1">
        <f t="array" ref="H47">Common_InputFunctions.Utility_DisplayArrayInTable(SourceData_Dairy.SourceData_Dairy_LiveweightGain_Data(), Table_SourceData_Dairy_LWGj[[#Headers],[Milking cows]], 0)</f>
        <v>0.8</v>
      </c>
      <c r="M47" s="1"/>
    </row>
    <row r="48" spans="4:13" ht="20.100000000000001" customHeight="1" x14ac:dyDescent="0.25">
      <c r="M48" s="1"/>
    </row>
    <row r="49" spans="4:13" ht="20.100000000000001" customHeight="1" x14ac:dyDescent="0.25">
      <c r="M49" s="1"/>
    </row>
    <row r="50" spans="4:13" ht="20.100000000000001" customHeight="1" x14ac:dyDescent="0.25">
      <c r="D50" s="6" t="str" cm="1">
        <f t="array" ref="D50">SourceData_Dairy.SourceData_Dairy_ReferenceWeights_Title()</f>
        <v>Table A.1.3.4: Dairy cattle - Reference weights (kg) (WRj)</v>
      </c>
      <c r="M50" s="1"/>
    </row>
    <row r="51" spans="4:13" ht="20.100000000000001" customHeight="1" x14ac:dyDescent="0.25">
      <c r="D51" s="5" t="str" cm="1">
        <f t="array" ref="D51">SourceData_Dairy.SourceData_Dairy_ReferenceWeights_Source()</f>
        <v>VEERG 2026: Table A.1.3.4</v>
      </c>
      <c r="M51" s="1"/>
    </row>
    <row r="52" spans="4:13" ht="20.100000000000001" customHeight="1" x14ac:dyDescent="0.25">
      <c r="D52" s="1" t="str" cm="1">
        <f t="array" ref="D52">SourceData_Dairy.SourceData_Dairy_ReferenceWeights_Variable()</f>
        <v>WRj</v>
      </c>
      <c r="M52" s="1"/>
    </row>
    <row r="53" spans="4:13" ht="20.100000000000001" customHeight="1" x14ac:dyDescent="0.25">
      <c r="D53" s="57" t="str" cm="1">
        <f t="array" ref="D53">SourceData_Dairy.SourceData_Dairy_ReferenceWeights_Unit()</f>
        <v>kg</v>
      </c>
      <c r="M53" s="1"/>
    </row>
    <row r="54" spans="4:13" ht="20.100000000000001" customHeight="1" x14ac:dyDescent="0.25">
      <c r="D54" s="131" t="s">
        <v>186</v>
      </c>
      <c r="E54" s="131" t="s">
        <v>187</v>
      </c>
      <c r="F54" s="131" t="s">
        <v>188</v>
      </c>
      <c r="G54" s="131" t="s">
        <v>190</v>
      </c>
      <c r="H54" s="131" t="s">
        <v>189</v>
      </c>
      <c r="M54" s="1"/>
    </row>
    <row r="55" spans="4:13" ht="20.100000000000001" customHeight="1" x14ac:dyDescent="0.25">
      <c r="D55" s="1" cm="1">
        <f t="array" ref="D55">Common_InputFunctions.Utility_DisplayArrayInTable(SourceData_Dairy.SourceData_Dairy_ReferenceWeights_Data(), Table_SourceData_Dairy_WRj[[#Headers],[Milking cows]], 0)</f>
        <v>590</v>
      </c>
      <c r="E55" s="1" cm="1">
        <f t="array" ref="E55">Common_InputFunctions.Utility_DisplayArrayInTable(SourceData_Dairy.SourceData_Dairy_ReferenceWeights_Data(), Table_SourceData_Dairy_WRj[[#Headers],[Milking cows]], 0)</f>
        <v>590</v>
      </c>
      <c r="F55" s="1" cm="1">
        <f t="array" ref="F55">Common_InputFunctions.Utility_DisplayArrayInTable(SourceData_Dairy.SourceData_Dairy_ReferenceWeights_Data(), Table_SourceData_Dairy_WRj[[#Headers],[Milking cows]], 0)</f>
        <v>590</v>
      </c>
      <c r="G55" s="1" cm="1">
        <f t="array" ref="G55">Common_InputFunctions.Utility_DisplayArrayInTable(SourceData_Dairy.SourceData_Dairy_ReferenceWeights_Data(), Table_SourceData_Dairy_WRj[[#Headers],[Milking cows]], 0)</f>
        <v>770</v>
      </c>
      <c r="H55" s="1" cm="1">
        <f t="array" ref="H55">Common_InputFunctions.Utility_DisplayArrayInTable(SourceData_Dairy.SourceData_Dairy_ReferenceWeights_Data(), Table_SourceData_Dairy_WRj[[#Headers],[Milking cows]], 0)</f>
        <v>770</v>
      </c>
      <c r="M55" s="1"/>
    </row>
    <row r="56" spans="4:13" ht="20.100000000000001" customHeight="1" x14ac:dyDescent="0.25">
      <c r="M56" s="1"/>
    </row>
    <row r="57" spans="4:13" ht="20.100000000000001" customHeight="1" x14ac:dyDescent="0.25">
      <c r="M57" s="1"/>
    </row>
    <row r="58" spans="4:13" ht="20.100000000000001" customHeight="1" x14ac:dyDescent="0.25">
      <c r="D58" s="6" t="str" cm="1">
        <f t="array" ref="D58">SourceData_Dairy.SourceData_Dairy_PreWeanedCalves_Title()</f>
        <v>Table A.1.3.5: Dairy cattle - Data for pre - weaned calves</v>
      </c>
      <c r="M58" s="1"/>
    </row>
    <row r="59" spans="4:13" ht="20.100000000000001" customHeight="1" x14ac:dyDescent="0.25">
      <c r="D59" s="5" t="str" cm="1">
        <f t="array" ref="D59">SourceData_Dairy.SourceData_Dairy_PreWeanedCalves_Source()</f>
        <v>VEERG 2026: Table A.1.3.5</v>
      </c>
      <c r="M59" s="1"/>
    </row>
    <row r="60" spans="4:13" ht="20.100000000000001" customHeight="1" x14ac:dyDescent="0.25">
      <c r="D60" s="1" t="str" cm="1">
        <f t="array" ref="D60">SourceData_Dairy.SourceData_Dairy_PreWeanedCalves_Variable()</f>
        <v>VSj=3,5; NPWj=3,5</v>
      </c>
      <c r="M60" s="1"/>
    </row>
    <row r="61" spans="4:13" ht="20.100000000000001" customHeight="1" x14ac:dyDescent="0.25">
      <c r="D61" s="57" t="str" cm="1">
        <f t="array" ref="D61">SourceData_Dairy.SourceData_Dairy_PreWeanedCalves_Unit()</f>
        <v>kg/day</v>
      </c>
      <c r="M61" s="1"/>
    </row>
    <row r="62" spans="4:13" ht="20.100000000000001" customHeight="1" x14ac:dyDescent="0.25">
      <c r="D62" s="39" t="s">
        <v>191</v>
      </c>
      <c r="E62" s="39" t="s">
        <v>192</v>
      </c>
      <c r="F62" s="39" t="s">
        <v>193</v>
      </c>
      <c r="G62" s="39" t="s">
        <v>194</v>
      </c>
      <c r="M62" s="1"/>
    </row>
    <row r="63" spans="4:13" ht="20.100000000000001" customHeight="1" x14ac:dyDescent="0.25">
      <c r="D63" s="39" t="str" cm="1">
        <f t="array" ref="D63">Common_InputFunctions.Utility_DisplayArrayInTable(SourceData_Dairy.SourceData_Dairy_PreWeanedCalves_Data(), Table_SourceData_Dairy_DataPreWeaned[[#Headers],[Animal class j]], -1)</f>
        <v>Heifers&lt;1</v>
      </c>
      <c r="E63" s="39" cm="1">
        <f t="array" ref="E63">Common_InputFunctions.Utility_DisplayArrayInTable(SourceData_Dairy.SourceData_Dairy_PreWeanedCalves_Data(), Table_SourceData_Dairy_DataPreWeaned[[#Headers],[Animal class j]], -1)</f>
        <v>1.7600000000000001E-2</v>
      </c>
      <c r="F63" s="39" cm="1">
        <f t="array" ref="F63">Common_InputFunctions.Utility_DisplayArrayInTable(SourceData_Dairy.SourceData_Dairy_PreWeanedCalves_Data(), Table_SourceData_Dairy_DataPreWeaned[[#Headers],[Animal class j]], -1)</f>
        <v>0.26850000000000002</v>
      </c>
      <c r="G63" s="39" cm="1">
        <f t="array" ref="G63">Common_InputFunctions.Utility_DisplayArrayInTable(SourceData_Dairy.SourceData_Dairy_PreWeanedCalves_Data(), Table_SourceData_Dairy_DataPreWeaned[[#Headers],[Animal class j]], -1)</f>
        <v>1.37E-2</v>
      </c>
      <c r="M63" s="1"/>
    </row>
    <row r="64" spans="4:13" ht="20.100000000000001" customHeight="1" x14ac:dyDescent="0.25">
      <c r="D64" s="39" t="str" cm="1">
        <f t="array" ref="D64">Common_InputFunctions.Utility_DisplayArrayInTable(SourceData_Dairy.SourceData_Dairy_PreWeanedCalves_Data(), Table_SourceData_Dairy_DataPreWeaned[[#Headers],[Animal class j]], -1)</f>
        <v>Bulls&lt;1</v>
      </c>
      <c r="E64" s="39" cm="1">
        <f t="array" ref="E64">Common_InputFunctions.Utility_DisplayArrayInTable(SourceData_Dairy.SourceData_Dairy_PreWeanedCalves_Data(), Table_SourceData_Dairy_DataPreWeaned[[#Headers],[Animal class j]], -1)</f>
        <v>2.0400000000000001E-2</v>
      </c>
      <c r="F64" s="39" cm="1">
        <f t="array" ref="F64">Common_InputFunctions.Utility_DisplayArrayInTable(SourceData_Dairy.SourceData_Dairy_PreWeanedCalves_Data(), Table_SourceData_Dairy_DataPreWeaned[[#Headers],[Animal class j]], -1)</f>
        <v>0.30030000000000001</v>
      </c>
      <c r="G64" s="39" cm="1">
        <f t="array" ref="G64">Common_InputFunctions.Utility_DisplayArrayInTable(SourceData_Dairy.SourceData_Dairy_PreWeanedCalves_Data(), Table_SourceData_Dairy_DataPreWeaned[[#Headers],[Animal class j]], -1)</f>
        <v>9.1999999999999998E-3</v>
      </c>
      <c r="M64" s="1"/>
    </row>
    <row r="65" spans="4:22" ht="20.100000000000001" customHeight="1" x14ac:dyDescent="0.25">
      <c r="M65" s="1"/>
    </row>
    <row r="66" spans="4:22" ht="20.100000000000001" customHeight="1" x14ac:dyDescent="0.25">
      <c r="M66" s="1"/>
    </row>
    <row r="67" spans="4:22" ht="20.100000000000001" customHeight="1" x14ac:dyDescent="0.25">
      <c r="D67" s="6" t="str" cm="1">
        <f t="array" ref="D67">SourceData_Dairy.SourceData_Dairy_MCF_Title()</f>
        <v>Table A.1.3.6: Dairy cattle - Dairy cattle - MCFs (fraction) (MCFjm)</v>
      </c>
      <c r="M67" s="1"/>
    </row>
    <row r="68" spans="4:22" ht="20.100000000000001" customHeight="1" x14ac:dyDescent="0.25">
      <c r="D68" s="5" t="str" cm="1">
        <f t="array" ref="D68">SourceData_Dairy.SourceData_Dairy_MCF_Source()</f>
        <v>VEERG 2026: Table A.1.3.6</v>
      </c>
      <c r="M68" s="1"/>
    </row>
    <row r="69" spans="4:22" ht="20.100000000000001" customHeight="1" x14ac:dyDescent="0.25">
      <c r="D69" s="1" t="str" cm="1">
        <f t="array" ref="D69">SourceData_Dairy.SourceData_Dairy_MCF_Variable()</f>
        <v>MCFjm</v>
      </c>
      <c r="M69" s="1"/>
    </row>
    <row r="70" spans="4:22" ht="20.100000000000001" customHeight="1" x14ac:dyDescent="0.25">
      <c r="D70" s="57" t="str" cm="1">
        <f t="array" ref="D70">SourceData_Dairy.SourceData_Dairy_MCF_Unit()</f>
        <v>fraction</v>
      </c>
      <c r="M70" s="1"/>
    </row>
    <row r="71" spans="4:22" ht="20.100000000000001" customHeight="1" x14ac:dyDescent="0.25">
      <c r="D71" s="58" t="str" cm="1">
        <f t="array" ref="D71">SourceData_Dairy.SourceData_Dairy_MCF_Variation()</f>
        <v>VARIATION OF SOURCE: Added 'NIR reference' column to aid lookup</v>
      </c>
      <c r="M71" s="1"/>
      <c r="V71" s="1"/>
    </row>
    <row r="72" spans="4:22" ht="20.100000000000001" customHeight="1" x14ac:dyDescent="0.25">
      <c r="D72" s="39" t="s">
        <v>102</v>
      </c>
      <c r="E72" s="39" t="s">
        <v>84</v>
      </c>
      <c r="F72" s="39" t="s">
        <v>85</v>
      </c>
      <c r="G72" s="39" t="s">
        <v>86</v>
      </c>
      <c r="H72" s="39" t="s">
        <v>87</v>
      </c>
      <c r="I72" s="39" t="s">
        <v>88</v>
      </c>
      <c r="J72" s="39" t="s">
        <v>89</v>
      </c>
      <c r="K72" s="39" t="s">
        <v>90</v>
      </c>
      <c r="L72" s="39" t="s">
        <v>91</v>
      </c>
      <c r="M72" s="39" t="s">
        <v>202</v>
      </c>
      <c r="V72" s="1"/>
    </row>
    <row r="73" spans="4:22" ht="20.100000000000001" customHeight="1" x14ac:dyDescent="0.25">
      <c r="D73" s="39" t="str" cm="1">
        <f t="array" ref="D73">Common_InputFunctions.Utility_DisplayArrayInTable(SourceData_Dairy.SourceData_Dairy_MCF_Data(), Table_SourceData_Dairy_MCFjm[[#Headers],[MMS m]], 0)</f>
        <v>Pasture</v>
      </c>
      <c r="E73" s="39" cm="1">
        <f t="array" ref="E73">Common_InputFunctions.Utility_DisplayArrayInTable(SourceData_Dairy.SourceData_Dairy_MCF_Data(), Table_SourceData_Dairy_MCFjm[[#Headers],[MMS m]], 0)</f>
        <v>0.01</v>
      </c>
      <c r="F73" s="39" cm="1">
        <f t="array" ref="F73">Common_InputFunctions.Utility_DisplayArrayInTable(SourceData_Dairy.SourceData_Dairy_MCF_Data(), Table_SourceData_Dairy_MCFjm[[#Headers],[MMS m]], 0)</f>
        <v>0.01</v>
      </c>
      <c r="G73" s="39" cm="1">
        <f t="array" ref="G73">Common_InputFunctions.Utility_DisplayArrayInTable(SourceData_Dairy.SourceData_Dairy_MCF_Data(), Table_SourceData_Dairy_MCFjm[[#Headers],[MMS m]], 0)</f>
        <v>0.02</v>
      </c>
      <c r="H73" s="39" cm="1">
        <f t="array" ref="H73">Common_InputFunctions.Utility_DisplayArrayInTable(SourceData_Dairy.SourceData_Dairy_MCF_Data(), Table_SourceData_Dairy_MCFjm[[#Headers],[MMS m]], 0)</f>
        <v>0.01</v>
      </c>
      <c r="I73" s="39" cm="1">
        <f t="array" ref="I73">Common_InputFunctions.Utility_DisplayArrayInTable(SourceData_Dairy.SourceData_Dairy_MCF_Data(), Table_SourceData_Dairy_MCFjm[[#Headers],[MMS m]], 0)</f>
        <v>0.01</v>
      </c>
      <c r="J73" s="39" cm="1">
        <f t="array" ref="J73">Common_InputFunctions.Utility_DisplayArrayInTable(SourceData_Dairy.SourceData_Dairy_MCF_Data(), Table_SourceData_Dairy_MCFjm[[#Headers],[MMS m]], 0)</f>
        <v>0.01</v>
      </c>
      <c r="K73" s="39" cm="1">
        <f t="array" ref="K73">Common_InputFunctions.Utility_DisplayArrayInTable(SourceData_Dairy.SourceData_Dairy_MCF_Data(), Table_SourceData_Dairy_MCFjm[[#Headers],[MMS m]], 0)</f>
        <v>0.01</v>
      </c>
      <c r="L73" s="39" cm="1">
        <f t="array" ref="L73">Common_InputFunctions.Utility_DisplayArrayInTable(SourceData_Dairy.SourceData_Dairy_MCF_Data(), Table_SourceData_Dairy_MCFjm[[#Headers],[MMS m]], 0)</f>
        <v>0.01</v>
      </c>
      <c r="M73" s="39" t="str" cm="1">
        <f t="array" ref="M73">Common_InputFunctions.Utility_DisplayArrayInTable(SourceData_Dairy.SourceData_Dairy_MCF_Data(), Table_SourceData_Dairy_MCFjm[[#Headers],[MMS m]], 0)</f>
        <v>Pasture range and paddock</v>
      </c>
      <c r="V73" s="1"/>
    </row>
    <row r="74" spans="4:22" ht="20.100000000000001" customHeight="1" x14ac:dyDescent="0.25">
      <c r="D74" s="1" t="str" cm="1">
        <f t="array" ref="D74">Common_InputFunctions.Utility_DisplayArrayInTable(SourceData_Dairy.SourceData_Dairy_MCF_Data(), Table_SourceData_Dairy_MCFjm[[#Headers],[MMS m]], 0)</f>
        <v>Anaerobic lagoon</v>
      </c>
      <c r="E74" s="39" cm="1">
        <f t="array" ref="E74">Common_InputFunctions.Utility_DisplayArrayInTable(SourceData_Dairy.SourceData_Dairy_MCF_Data(), Table_SourceData_Dairy_MCFjm[[#Headers],[MMS m]], 0)</f>
        <v>0.72</v>
      </c>
      <c r="F74" s="39" cm="1">
        <f t="array" ref="F74">Common_InputFunctions.Utility_DisplayArrayInTable(SourceData_Dairy.SourceData_Dairy_MCF_Data(), Table_SourceData_Dairy_MCFjm[[#Headers],[MMS m]], 0)</f>
        <v>0.76</v>
      </c>
      <c r="G74" s="39" cm="1">
        <f t="array" ref="G74">Common_InputFunctions.Utility_DisplayArrayInTable(SourceData_Dairy.SourceData_Dairy_MCF_Data(), Table_SourceData_Dairy_MCFjm[[#Headers],[MMS m]], 0)</f>
        <v>0.8</v>
      </c>
      <c r="H74" s="39" cm="1">
        <f t="array" ref="H74">Common_InputFunctions.Utility_DisplayArrayInTable(SourceData_Dairy.SourceData_Dairy_MCF_Data(), Table_SourceData_Dairy_MCFjm[[#Headers],[MMS m]], 0)</f>
        <v>0.78</v>
      </c>
      <c r="I74" s="39" cm="1">
        <f t="array" ref="I74">Common_InputFunctions.Utility_DisplayArrayInTable(SourceData_Dairy.SourceData_Dairy_MCF_Data(), Table_SourceData_Dairy_MCFjm[[#Headers],[MMS m]], 0)</f>
        <v>0.74</v>
      </c>
      <c r="J74" s="39" cm="1">
        <f t="array" ref="J74">Common_InputFunctions.Utility_DisplayArrayInTable(SourceData_Dairy.SourceData_Dairy_MCF_Data(), Table_SourceData_Dairy_MCFjm[[#Headers],[MMS m]], 0)</f>
        <v>0.69</v>
      </c>
      <c r="K74" s="39" cm="1">
        <f t="array" ref="K74">Common_InputFunctions.Utility_DisplayArrayInTable(SourceData_Dairy.SourceData_Dairy_MCF_Data(), Table_SourceData_Dairy_MCFjm[[#Headers],[MMS m]], 0)</f>
        <v>0.73</v>
      </c>
      <c r="L74" s="39" cm="1">
        <f t="array" ref="L74">Common_InputFunctions.Utility_DisplayArrayInTable(SourceData_Dairy.SourceData_Dairy_MCF_Data(), Table_SourceData_Dairy_MCFjm[[#Headers],[MMS m]], 0)</f>
        <v>0.76</v>
      </c>
      <c r="M74" s="39" t="str" cm="1">
        <f t="array" ref="M74">Common_InputFunctions.Utility_DisplayArrayInTable(SourceData_Dairy.SourceData_Dairy_MCF_Data(), Table_SourceData_Dairy_MCFjm[[#Headers],[MMS m]], 0)</f>
        <v>Anaerobic lagoon</v>
      </c>
      <c r="V74" s="1"/>
    </row>
    <row r="75" spans="4:22" ht="20.100000000000001" customHeight="1" x14ac:dyDescent="0.25">
      <c r="D75" s="1" t="str" cm="1">
        <f t="array" ref="D75">Common_InputFunctions.Utility_DisplayArrayInTable(SourceData_Dairy.SourceData_Dairy_MCF_Data(), Table_SourceData_Dairy_MCFjm[[#Headers],[MMS m]], 0)</f>
        <v>Daily spread - Sump and dispersal systems</v>
      </c>
      <c r="E75" s="39" cm="1">
        <f t="array" ref="E75">Common_InputFunctions.Utility_DisplayArrayInTable(SourceData_Dairy.SourceData_Dairy_MCF_Data(), Table_SourceData_Dairy_MCFjm[[#Headers],[MMS m]], 0)</f>
        <v>5.0000000000000001E-3</v>
      </c>
      <c r="F75" s="39" cm="1">
        <f t="array" ref="F75">Common_InputFunctions.Utility_DisplayArrayInTable(SourceData_Dairy.SourceData_Dairy_MCF_Data(), Table_SourceData_Dairy_MCFjm[[#Headers],[MMS m]], 0)</f>
        <v>5.0000000000000001E-3</v>
      </c>
      <c r="G75" s="39" cm="1">
        <f t="array" ref="G75">Common_InputFunctions.Utility_DisplayArrayInTable(SourceData_Dairy.SourceData_Dairy_MCF_Data(), Table_SourceData_Dairy_MCFjm[[#Headers],[MMS m]], 0)</f>
        <v>0.01</v>
      </c>
      <c r="H75" s="39" cm="1">
        <f t="array" ref="H75">Common_InputFunctions.Utility_DisplayArrayInTable(SourceData_Dairy.SourceData_Dairy_MCF_Data(), Table_SourceData_Dairy_MCFjm[[#Headers],[MMS m]], 0)</f>
        <v>5.0000000000000001E-3</v>
      </c>
      <c r="I75" s="39" cm="1">
        <f t="array" ref="I75">Common_InputFunctions.Utility_DisplayArrayInTable(SourceData_Dairy.SourceData_Dairy_MCF_Data(), Table_SourceData_Dairy_MCFjm[[#Headers],[MMS m]], 0)</f>
        <v>5.0000000000000001E-3</v>
      </c>
      <c r="J75" s="39" cm="1">
        <f t="array" ref="J75">Common_InputFunctions.Utility_DisplayArrayInTable(SourceData_Dairy.SourceData_Dairy_MCF_Data(), Table_SourceData_Dairy_MCFjm[[#Headers],[MMS m]], 0)</f>
        <v>1E-3</v>
      </c>
      <c r="K75" s="39" cm="1">
        <f t="array" ref="K75">Common_InputFunctions.Utility_DisplayArrayInTable(SourceData_Dairy.SourceData_Dairy_MCF_Data(), Table_SourceData_Dairy_MCFjm[[#Headers],[MMS m]], 0)</f>
        <v>5.0000000000000001E-3</v>
      </c>
      <c r="L75" s="39" cm="1">
        <f t="array" ref="L75">Common_InputFunctions.Utility_DisplayArrayInTable(SourceData_Dairy.SourceData_Dairy_MCF_Data(), Table_SourceData_Dairy_MCFjm[[#Headers],[MMS m]], 0)</f>
        <v>5.0000000000000001E-3</v>
      </c>
      <c r="M75" s="39" t="str" cm="1">
        <f t="array" ref="M75">Common_InputFunctions.Utility_DisplayArrayInTable(SourceData_Dairy.SourceData_Dairy_MCF_Data(), Table_SourceData_Dairy_MCFjm[[#Headers],[MMS m]], 0)</f>
        <v>Sump and dispersal system</v>
      </c>
      <c r="V75" s="1"/>
    </row>
    <row r="76" spans="4:22" ht="20.100000000000001" customHeight="1" x14ac:dyDescent="0.25">
      <c r="D76" s="1" t="str" cm="1">
        <f t="array" ref="D76">Common_InputFunctions.Utility_DisplayArrayInTable(SourceData_Dairy.SourceData_Dairy_MCF_Data(), Table_SourceData_Dairy_MCFjm[[#Headers],[MMS m]], 0)</f>
        <v>Daily spread - Drains to paddocks (a)</v>
      </c>
      <c r="E76" s="39" cm="1">
        <f t="array" ref="E76">Common_InputFunctions.Utility_DisplayArrayInTable(SourceData_Dairy.SourceData_Dairy_MCF_Data(), Table_SourceData_Dairy_MCFjm[[#Headers],[MMS m]], 0)</f>
        <v>0.15</v>
      </c>
      <c r="F76" s="39" cm="1">
        <f t="array" ref="F76">Common_InputFunctions.Utility_DisplayArrayInTable(SourceData_Dairy.SourceData_Dairy_MCF_Data(), Table_SourceData_Dairy_MCFjm[[#Headers],[MMS m]], 0)</f>
        <v>0.18</v>
      </c>
      <c r="G76" s="39" cm="1">
        <f t="array" ref="G76">Common_InputFunctions.Utility_DisplayArrayInTable(SourceData_Dairy.SourceData_Dairy_MCF_Data(), Table_SourceData_Dairy_MCFjm[[#Headers],[MMS m]], 0)</f>
        <v>0.5</v>
      </c>
      <c r="H76" s="39" cm="1">
        <f t="array" ref="H76">Common_InputFunctions.Utility_DisplayArrayInTable(SourceData_Dairy.SourceData_Dairy_MCF_Data(), Table_SourceData_Dairy_MCFjm[[#Headers],[MMS m]], 0)</f>
        <v>0.24</v>
      </c>
      <c r="I76" s="39" cm="1">
        <f t="array" ref="I76">Common_InputFunctions.Utility_DisplayArrayInTable(SourceData_Dairy.SourceData_Dairy_MCF_Data(), Table_SourceData_Dairy_MCFjm[[#Headers],[MMS m]], 0)</f>
        <v>0.17</v>
      </c>
      <c r="J76" s="39" cm="1">
        <f t="array" ref="J76">Common_InputFunctions.Utility_DisplayArrayInTable(SourceData_Dairy.SourceData_Dairy_MCF_Data(), Table_SourceData_Dairy_MCFjm[[#Headers],[MMS m]], 0)</f>
        <v>0.13</v>
      </c>
      <c r="K76" s="39" cm="1">
        <f t="array" ref="K76">Common_InputFunctions.Utility_DisplayArrayInTable(SourceData_Dairy.SourceData_Dairy_MCF_Data(), Table_SourceData_Dairy_MCFjm[[#Headers],[MMS m]], 0)</f>
        <v>0.17</v>
      </c>
      <c r="L76" s="39" cm="1">
        <f t="array" ref="L76">Common_InputFunctions.Utility_DisplayArrayInTable(SourceData_Dairy.SourceData_Dairy_MCF_Data(), Table_SourceData_Dairy_MCFjm[[#Headers],[MMS m]], 0)</f>
        <v>0.18</v>
      </c>
      <c r="M76" s="39" t="str" cm="1">
        <f t="array" ref="M76">Common_InputFunctions.Utility_DisplayArrayInTable(SourceData_Dairy.SourceData_Dairy_MCF_Data(), Table_SourceData_Dairy_MCFjm[[#Headers],[MMS m]], 0)</f>
        <v>Drains to paddock</v>
      </c>
      <c r="V76" s="1"/>
    </row>
    <row r="77" spans="4:22" ht="20.100000000000001" customHeight="1" x14ac:dyDescent="0.25">
      <c r="D77" s="1" t="str" cm="1">
        <f t="array" ref="D77">Common_InputFunctions.Utility_DisplayArrayInTable(SourceData_Dairy.SourceData_Dairy_MCF_Data(), Table_SourceData_Dairy_MCFjm[[#Headers],[MMS m]], 0)</f>
        <v>Solid Storage</v>
      </c>
      <c r="E77" s="39" cm="1">
        <f t="array" ref="E77">Common_InputFunctions.Utility_DisplayArrayInTable(SourceData_Dairy.SourceData_Dairy_MCF_Data(), Table_SourceData_Dairy_MCFjm[[#Headers],[MMS m]], 0)</f>
        <v>0.02</v>
      </c>
      <c r="F77" s="39" cm="1">
        <f t="array" ref="F77">Common_InputFunctions.Utility_DisplayArrayInTable(SourceData_Dairy.SourceData_Dairy_MCF_Data(), Table_SourceData_Dairy_MCFjm[[#Headers],[MMS m]], 0)</f>
        <v>0.02</v>
      </c>
      <c r="G77" s="39" cm="1">
        <f t="array" ref="G77">Common_InputFunctions.Utility_DisplayArrayInTable(SourceData_Dairy.SourceData_Dairy_MCF_Data(), Table_SourceData_Dairy_MCFjm[[#Headers],[MMS m]], 0)</f>
        <v>0.02</v>
      </c>
      <c r="H77" s="39" cm="1">
        <f t="array" ref="H77">Common_InputFunctions.Utility_DisplayArrayInTable(SourceData_Dairy.SourceData_Dairy_MCF_Data(), Table_SourceData_Dairy_MCFjm[[#Headers],[MMS m]], 0)</f>
        <v>0.02</v>
      </c>
      <c r="I77" s="39" cm="1">
        <f t="array" ref="I77">Common_InputFunctions.Utility_DisplayArrayInTable(SourceData_Dairy.SourceData_Dairy_MCF_Data(), Table_SourceData_Dairy_MCFjm[[#Headers],[MMS m]], 0)</f>
        <v>0.02</v>
      </c>
      <c r="J77" s="39" cm="1">
        <f t="array" ref="J77">Common_InputFunctions.Utility_DisplayArrayInTable(SourceData_Dairy.SourceData_Dairy_MCF_Data(), Table_SourceData_Dairy_MCFjm[[#Headers],[MMS m]], 0)</f>
        <v>0.02</v>
      </c>
      <c r="K77" s="39" cm="1">
        <f t="array" ref="K77">Common_InputFunctions.Utility_DisplayArrayInTable(SourceData_Dairy.SourceData_Dairy_MCF_Data(), Table_SourceData_Dairy_MCFjm[[#Headers],[MMS m]], 0)</f>
        <v>0.02</v>
      </c>
      <c r="L77" s="39" cm="1">
        <f t="array" ref="L77">Common_InputFunctions.Utility_DisplayArrayInTable(SourceData_Dairy.SourceData_Dairy_MCF_Data(), Table_SourceData_Dairy_MCFjm[[#Headers],[MMS m]], 0)</f>
        <v>0.02</v>
      </c>
      <c r="M77" s="39" t="str" cm="1">
        <f t="array" ref="M77">Common_InputFunctions.Utility_DisplayArrayInTable(SourceData_Dairy.SourceData_Dairy_MCF_Data(), Table_SourceData_Dairy_MCFjm[[#Headers],[MMS m]], 0)</f>
        <v>Solid storage</v>
      </c>
      <c r="V77" s="1"/>
    </row>
    <row r="78" spans="4:22" ht="20.100000000000001" customHeight="1" x14ac:dyDescent="0.25">
      <c r="D78" s="1" t="str" cm="1">
        <f t="array" ref="D78">Common_InputFunctions.Utility_DisplayArrayInTable(SourceData_Dairy.SourceData_Dairy_MCF_Data(), Table_SourceData_Dairy_MCFjm[[#Headers],[MMS m]], 0)</f>
        <v>Direct Application to soil</v>
      </c>
      <c r="E78" s="39" cm="1">
        <f t="array" ref="E78">Common_InputFunctions.Utility_DisplayArrayInTable(SourceData_Dairy.SourceData_Dairy_MCF_Data(), Table_SourceData_Dairy_MCFjm[[#Headers],[MMS m]], 0)</f>
        <v>0</v>
      </c>
      <c r="F78" s="39" cm="1">
        <f t="array" ref="F78">Common_InputFunctions.Utility_DisplayArrayInTable(SourceData_Dairy.SourceData_Dairy_MCF_Data(), Table_SourceData_Dairy_MCFjm[[#Headers],[MMS m]], 0)</f>
        <v>0</v>
      </c>
      <c r="G78" s="39" cm="1">
        <f t="array" ref="G78">Common_InputFunctions.Utility_DisplayArrayInTable(SourceData_Dairy.SourceData_Dairy_MCF_Data(), Table_SourceData_Dairy_MCFjm[[#Headers],[MMS m]], 0)</f>
        <v>0</v>
      </c>
      <c r="H78" s="39" cm="1">
        <f t="array" ref="H78">Common_InputFunctions.Utility_DisplayArrayInTable(SourceData_Dairy.SourceData_Dairy_MCF_Data(), Table_SourceData_Dairy_MCFjm[[#Headers],[MMS m]], 0)</f>
        <v>0</v>
      </c>
      <c r="I78" s="39" cm="1">
        <f t="array" ref="I78">Common_InputFunctions.Utility_DisplayArrayInTable(SourceData_Dairy.SourceData_Dairy_MCF_Data(), Table_SourceData_Dairy_MCFjm[[#Headers],[MMS m]], 0)</f>
        <v>0</v>
      </c>
      <c r="J78" s="39" cm="1">
        <f t="array" ref="J78">Common_InputFunctions.Utility_DisplayArrayInTable(SourceData_Dairy.SourceData_Dairy_MCF_Data(), Table_SourceData_Dairy_MCFjm[[#Headers],[MMS m]], 0)</f>
        <v>0</v>
      </c>
      <c r="K78" s="39" cm="1">
        <f t="array" ref="K78">Common_InputFunctions.Utility_DisplayArrayInTable(SourceData_Dairy.SourceData_Dairy_MCF_Data(), Table_SourceData_Dairy_MCFjm[[#Headers],[MMS m]], 0)</f>
        <v>0</v>
      </c>
      <c r="L78" s="39" cm="1">
        <f t="array" ref="L78">Common_InputFunctions.Utility_DisplayArrayInTable(SourceData_Dairy.SourceData_Dairy_MCF_Data(), Table_SourceData_Dairy_MCFjm[[#Headers],[MMS m]], 0)</f>
        <v>0</v>
      </c>
      <c r="M78" s="39" t="str" cm="1">
        <f t="array" ref="M78">Common_InputFunctions.Utility_DisplayArrayInTable(SourceData_Dairy.SourceData_Dairy_MCF_Data(), Table_SourceData_Dairy_MCFjm[[#Headers],[MMS m]], 0)</f>
        <v>Direct application</v>
      </c>
    </row>
    <row r="79" spans="4:22" ht="20.100000000000001" customHeight="1" x14ac:dyDescent="0.25">
      <c r="M79" s="1"/>
    </row>
    <row r="80" spans="4:22" ht="20.100000000000001" customHeight="1" x14ac:dyDescent="0.25">
      <c r="M80" s="1"/>
    </row>
    <row r="81" spans="4:22" ht="20.100000000000001" customHeight="1" x14ac:dyDescent="0.25">
      <c r="D81" s="6" t="str" cm="1">
        <f t="array" ref="D81">SourceData_Dairy.SourceData_Dairy_NitrousOxideEFsAndFracGASM_Title()</f>
        <v>Table A.1.3.7: Dairy cattle - Nitrous oxide EFs and fraction of N volatilised by MMS</v>
      </c>
      <c r="M81" s="1"/>
    </row>
    <row r="82" spans="4:22" ht="20.100000000000001" customHeight="1" x14ac:dyDescent="0.25">
      <c r="D82" s="5" t="str" cm="1">
        <f t="array" ref="D82">SourceData_Dairy.SourceData_Dairy_NitrousOxideEFsAndFracGASM_Source()</f>
        <v>VEERG 2026: Table A.1.3.7</v>
      </c>
      <c r="M82" s="1"/>
    </row>
    <row r="83" spans="4:22" ht="20.100000000000001" customHeight="1" x14ac:dyDescent="0.25">
      <c r="D83" s="1" t="str" cm="1">
        <f t="array" ref="D83">SourceData_Dairy.SourceData_Dairy_NitrousOxideEFsAndFracGASM_Variable()</f>
        <v>EFm; FracGASMm</v>
      </c>
      <c r="M83" s="1"/>
    </row>
    <row r="84" spans="4:22" ht="20.100000000000001" customHeight="1" x14ac:dyDescent="0.25">
      <c r="D84" s="57" t="str" cm="1">
        <f t="array" ref="D84">SourceData_Dairy.SourceData_Dairy_NitrousOxideEFsAndFracGASM_Unit()</f>
        <v>kg N2O-N/kg N excreted</v>
      </c>
      <c r="M84" s="1"/>
    </row>
    <row r="85" spans="4:22" ht="20.100000000000001" customHeight="1" x14ac:dyDescent="0.25">
      <c r="D85" s="58" t="str" cm="1">
        <f t="array" ref="D85">SourceData_Dairy.SourceData_Dairy_NitrousOxideEFsAndFracGASM_Variation()</f>
        <v>VARIATION OF SOURCE: Added 'NIR reference' column to aid lookup</v>
      </c>
      <c r="M85" s="1"/>
      <c r="V85" s="1"/>
    </row>
    <row r="86" spans="4:22" ht="20.100000000000001" customHeight="1" x14ac:dyDescent="0.25">
      <c r="D86" s="39" t="s">
        <v>102</v>
      </c>
      <c r="E86" s="39" t="s">
        <v>195</v>
      </c>
      <c r="F86" s="39" t="s">
        <v>196</v>
      </c>
      <c r="G86" s="39" t="s">
        <v>202</v>
      </c>
      <c r="M86" s="1"/>
      <c r="V86" s="1"/>
    </row>
    <row r="87" spans="4:22" ht="20.100000000000001" customHeight="1" x14ac:dyDescent="0.25">
      <c r="D87" s="39" t="str" cm="1">
        <f t="array" ref="D87">Common_InputFunctions.Utility_DisplayArrayInTable(SourceData_Dairy.SourceData_Dairy_NitrousOxideEFsAndFracGASM_Data(), Table_SourceData_Dairy_EFmFracGASM[[#Headers],[MMS m]], 0)</f>
        <v>M=14 Pasture</v>
      </c>
      <c r="E87" s="39" cm="1">
        <f t="array" ref="E87">Common_InputFunctions.Utility_DisplayArrayInTable(SourceData_Dairy.SourceData_Dairy_NitrousOxideEFsAndFracGASM_Data(), Table_SourceData_Dairy_EFmFracGASM[[#Headers],[MMS m]], 0)</f>
        <v>0</v>
      </c>
      <c r="F87" s="39" cm="1">
        <f t="array" ref="F87">Common_InputFunctions.Utility_DisplayArrayInTable(SourceData_Dairy.SourceData_Dairy_NitrousOxideEFsAndFracGASM_Data(), Table_SourceData_Dairy_EFmFracGASM[[#Headers],[MMS m]], 0)</f>
        <v>0</v>
      </c>
      <c r="G87" s="39" t="str" cm="1">
        <f t="array" ref="G87">Common_InputFunctions.Utility_DisplayArrayInTable(SourceData_Dairy.SourceData_Dairy_NitrousOxideEFsAndFracGASM_Data(), Table_SourceData_Dairy_EFmFracGASM[[#Headers],[MMS m]], 0)</f>
        <v>Pasture range and paddock</v>
      </c>
      <c r="M87" s="1"/>
      <c r="V87" s="1"/>
    </row>
    <row r="88" spans="4:22" ht="20.100000000000001" customHeight="1" x14ac:dyDescent="0.25">
      <c r="D88" s="1" t="str" cm="1">
        <f t="array" ref="D88">Common_InputFunctions.Utility_DisplayArrayInTable(SourceData_Dairy.SourceData_Dairy_NitrousOxideEFsAndFracGASM_Data(), Table_SourceData_Dairy_EFmFracGASM[[#Headers],[MMS m]], 0)</f>
        <v>M=1 Anaerobic lagoon</v>
      </c>
      <c r="E88" s="39" cm="1">
        <f t="array" ref="E88">Common_InputFunctions.Utility_DisplayArrayInTable(SourceData_Dairy.SourceData_Dairy_NitrousOxideEFsAndFracGASM_Data(), Table_SourceData_Dairy_EFmFracGASM[[#Headers],[MMS m]], 0)</f>
        <v>0</v>
      </c>
      <c r="F88" s="39" cm="1">
        <f t="array" ref="F88">Common_InputFunctions.Utility_DisplayArrayInTable(SourceData_Dairy.SourceData_Dairy_NitrousOxideEFsAndFracGASM_Data(), Table_SourceData_Dairy_EFmFracGASM[[#Headers],[MMS m]], 0)</f>
        <v>0.35</v>
      </c>
      <c r="G88" s="39" t="str" cm="1">
        <f t="array" ref="G88">Common_InputFunctions.Utility_DisplayArrayInTable(SourceData_Dairy.SourceData_Dairy_NitrousOxideEFsAndFracGASM_Data(), Table_SourceData_Dairy_EFmFracGASM[[#Headers],[MMS m]], 0)</f>
        <v>Anaerobic lagoon</v>
      </c>
      <c r="M88" s="1"/>
      <c r="V88" s="1"/>
    </row>
    <row r="89" spans="4:22" ht="20.100000000000001" customHeight="1" x14ac:dyDescent="0.25">
      <c r="D89" s="1" t="str" cm="1">
        <f t="array" ref="D89">Common_InputFunctions.Utility_DisplayArrayInTable(SourceData_Dairy.SourceData_Dairy_NitrousOxideEFsAndFracGASM_Data(), Table_SourceData_Dairy_EFmFracGASM[[#Headers],[MMS m]], 0)</f>
        <v>M=2 Daily Spread - Sump and Dispersal</v>
      </c>
      <c r="E89" s="39" cm="1">
        <f t="array" ref="E89">Common_InputFunctions.Utility_DisplayArrayInTable(SourceData_Dairy.SourceData_Dairy_NitrousOxideEFsAndFracGASM_Data(), Table_SourceData_Dairy_EFmFracGASM[[#Headers],[MMS m]], 0)</f>
        <v>0</v>
      </c>
      <c r="F89" s="39" cm="1">
        <f t="array" ref="F89">Common_InputFunctions.Utility_DisplayArrayInTable(SourceData_Dairy.SourceData_Dairy_NitrousOxideEFsAndFracGASM_Data(), Table_SourceData_Dairy_EFmFracGASM[[#Headers],[MMS m]], 0)</f>
        <v>7.0000000000000007E-2</v>
      </c>
      <c r="G89" s="39" t="str" cm="1">
        <f t="array" ref="G89">Common_InputFunctions.Utility_DisplayArrayInTable(SourceData_Dairy.SourceData_Dairy_NitrousOxideEFsAndFracGASM_Data(), Table_SourceData_Dairy_EFmFracGASM[[#Headers],[MMS m]], 0)</f>
        <v>Sump and dispersal system</v>
      </c>
      <c r="M89" s="1"/>
      <c r="V89" s="1"/>
    </row>
    <row r="90" spans="4:22" ht="20.100000000000001" customHeight="1" x14ac:dyDescent="0.25">
      <c r="D90" s="1" t="str" cm="1">
        <f t="array" ref="D90">Common_InputFunctions.Utility_DisplayArrayInTable(SourceData_Dairy.SourceData_Dairy_NitrousOxideEFsAndFracGASM_Data(), Table_SourceData_Dairy_EFmFracGASM[[#Headers],[MMS m]], 0)</f>
        <v>M=3 Daily Spread - Drains to Paddock</v>
      </c>
      <c r="E90" s="39" cm="1">
        <f t="array" ref="E90">Common_InputFunctions.Utility_DisplayArrayInTable(SourceData_Dairy.SourceData_Dairy_NitrousOxideEFsAndFracGASM_Data(), Table_SourceData_Dairy_EFmFracGASM[[#Headers],[MMS m]], 0)</f>
        <v>0</v>
      </c>
      <c r="F90" s="39" cm="1">
        <f t="array" ref="F90">Common_InputFunctions.Utility_DisplayArrayInTable(SourceData_Dairy.SourceData_Dairy_NitrousOxideEFsAndFracGASM_Data(), Table_SourceData_Dairy_EFmFracGASM[[#Headers],[MMS m]], 0)</f>
        <v>0.2</v>
      </c>
      <c r="G90" s="39" t="str" cm="1">
        <f t="array" ref="G90">Common_InputFunctions.Utility_DisplayArrayInTable(SourceData_Dairy.SourceData_Dairy_NitrousOxideEFsAndFracGASM_Data(), Table_SourceData_Dairy_EFmFracGASM[[#Headers],[MMS m]], 0)</f>
        <v>Drains to paddock</v>
      </c>
      <c r="M90" s="1"/>
      <c r="V90" s="1"/>
    </row>
    <row r="91" spans="4:22" ht="20.100000000000001" customHeight="1" x14ac:dyDescent="0.25">
      <c r="D91" s="1" t="str" cm="1">
        <f t="array" ref="D91">Common_InputFunctions.Utility_DisplayArrayInTable(SourceData_Dairy.SourceData_Dairy_NitrousOxideEFsAndFracGASM_Data(), Table_SourceData_Dairy_EFmFracGASM[[#Headers],[MMS m]], 0)</f>
        <v>M=3 Solid Storage</v>
      </c>
      <c r="E91" s="39" cm="1">
        <f t="array" ref="E91">Common_InputFunctions.Utility_DisplayArrayInTable(SourceData_Dairy.SourceData_Dairy_NitrousOxideEFsAndFracGASM_Data(), Table_SourceData_Dairy_EFmFracGASM[[#Headers],[MMS m]], 0)</f>
        <v>5.0000000000000001E-3</v>
      </c>
      <c r="F91" s="39" cm="1">
        <f t="array" ref="F91">Common_InputFunctions.Utility_DisplayArrayInTable(SourceData_Dairy.SourceData_Dairy_NitrousOxideEFsAndFracGASM_Data(), Table_SourceData_Dairy_EFmFracGASM[[#Headers],[MMS m]], 0)</f>
        <v>0.3</v>
      </c>
      <c r="G91" s="39" t="str" cm="1">
        <f t="array" ref="G91">Common_InputFunctions.Utility_DisplayArrayInTable(SourceData_Dairy.SourceData_Dairy_NitrousOxideEFsAndFracGASM_Data(), Table_SourceData_Dairy_EFmFracGASM[[#Headers],[MMS m]], 0)</f>
        <v>Solid storage</v>
      </c>
      <c r="M91" s="1"/>
    </row>
    <row r="92" spans="4:22" ht="20.100000000000001" customHeight="1" x14ac:dyDescent="0.25">
      <c r="M92" s="1"/>
    </row>
    <row r="93" spans="4:22" ht="20.100000000000001" customHeight="1" x14ac:dyDescent="0.25">
      <c r="M93" s="1"/>
    </row>
    <row r="94" spans="4:22" ht="20.100000000000001" customHeight="1" x14ac:dyDescent="0.25">
      <c r="D94" s="6" t="str" cm="1">
        <f t="array" ref="D94">SourceData_Dairy.SourceData_Dairy_MethaneProductionPreWeanedCalves_Title()</f>
        <v>Table A.1.3.8: Dairy cattle - Methane production for pre-weaned heifer and bull calves (kg CH4/head/day) (MPWENTERIC,j=3,5)</v>
      </c>
      <c r="M94" s="1"/>
    </row>
    <row r="95" spans="4:22" ht="20.100000000000001" customHeight="1" x14ac:dyDescent="0.25">
      <c r="D95" s="5" t="str" cm="1">
        <f t="array" ref="D95">SourceData_Dairy.SourceData_Dairy_MethaneProductionPreWeanedCalves_Source()</f>
        <v>VEERG 2026: Table A.1.3.8</v>
      </c>
      <c r="M95" s="1"/>
    </row>
    <row r="96" spans="4:22" ht="20.100000000000001" customHeight="1" x14ac:dyDescent="0.25">
      <c r="D96" s="1" t="str" cm="1">
        <f t="array" ref="D96">SourceData_Dairy.SourceData_Dairy_MethaneProductionPreWeanedCalves_Variable()</f>
        <v>MPWENTERIC,j=3,5</v>
      </c>
      <c r="M96" s="1"/>
    </row>
    <row r="97" spans="4:13" ht="20.100000000000001" customHeight="1" x14ac:dyDescent="0.25">
      <c r="D97" s="57" t="str" cm="1">
        <f t="array" ref="D97">SourceData_Dairy.SourceData_Dairy_MethaneProductionPreWeanedCalves_Unit()</f>
        <v>kg CH4/head/day</v>
      </c>
      <c r="M97" s="1"/>
    </row>
    <row r="98" spans="4:13" ht="20.100000000000001" customHeight="1" x14ac:dyDescent="0.25">
      <c r="D98" s="39" t="s">
        <v>191</v>
      </c>
      <c r="E98" s="39" t="s">
        <v>197</v>
      </c>
      <c r="M98" s="1"/>
    </row>
    <row r="99" spans="4:13" ht="20.100000000000001" customHeight="1" x14ac:dyDescent="0.25">
      <c r="D99" s="39" t="str" cm="1">
        <f t="array" ref="D99">Common_InputFunctions.Utility_DisplayArrayInTable(SourceData_Dairy.SourceData_Dairy_MethaneProductionPreWeanedCalves_Data(), Table_SourceData_Dairy_MPWENTERIC[[#Headers],[Animal class j]], 0)</f>
        <v>Heifers &lt; 1 year</v>
      </c>
      <c r="E99" s="39" cm="1">
        <f t="array" ref="E99">Common_InputFunctions.Utility_DisplayArrayInTable(SourceData_Dairy.SourceData_Dairy_MethaneProductionPreWeanedCalves_Data(), Table_SourceData_Dairy_MPWENTERIC[[#Headers],[Animal class j]], 0)</f>
        <v>1.7600000000000001E-2</v>
      </c>
      <c r="M99" s="1"/>
    </row>
    <row r="100" spans="4:13" ht="20.100000000000001" customHeight="1" x14ac:dyDescent="0.25">
      <c r="D100" s="1" t="str" cm="1">
        <f t="array" ref="D100">Common_InputFunctions.Utility_DisplayArrayInTable(SourceData_Dairy.SourceData_Dairy_MethaneProductionPreWeanedCalves_Data(), Table_SourceData_Dairy_MPWENTERIC[[#Headers],[Animal class j]], 0)</f>
        <v>Bulls &lt; 1 year</v>
      </c>
      <c r="E100" s="39" cm="1">
        <f t="array" ref="E100">Common_InputFunctions.Utility_DisplayArrayInTable(SourceData_Dairy.SourceData_Dairy_MethaneProductionPreWeanedCalves_Data(), Table_SourceData_Dairy_MPWENTERIC[[#Headers],[Animal class j]], 0)</f>
        <v>2.0400000000000001E-2</v>
      </c>
      <c r="M100" s="1"/>
    </row>
    <row r="101" spans="4:13" ht="20.100000000000001" customHeight="1" x14ac:dyDescent="0.25">
      <c r="M101" s="1"/>
    </row>
    <row r="102" spans="4:13" ht="20.100000000000001" customHeight="1" x14ac:dyDescent="0.25">
      <c r="M102" s="1"/>
    </row>
    <row r="103" spans="4:13" ht="20.100000000000001" customHeight="1" x14ac:dyDescent="0.25">
      <c r="D103" s="6" t="str" cm="1">
        <f t="array" ref="D103">SourceData_Dairy.SourceData_Dairy_IncreasedMetabolicRateMilk_Title()</f>
        <v>Table A.1.3.9: Dairy cattle - Increased metabolic rate when producing milk (kg DM/head/day) (MRj)</v>
      </c>
      <c r="M103" s="1"/>
    </row>
    <row r="104" spans="4:13" ht="20.100000000000001" customHeight="1" x14ac:dyDescent="0.25">
      <c r="D104" s="5" t="str" cm="1">
        <f t="array" ref="D104">SourceData_Dairy.SourceData_Dairy_IncreasedMetabolicRateMilk_Source()</f>
        <v>VEERG 2026: Table A.1.3.9</v>
      </c>
      <c r="M104" s="1"/>
    </row>
    <row r="105" spans="4:13" ht="20.100000000000001" customHeight="1" x14ac:dyDescent="0.25">
      <c r="D105" s="1" t="str" cm="1">
        <f t="array" ref="D105">SourceData_Dairy.SourceData_Dairy_IncreasedMetabolicRateMilk_Variable()</f>
        <v>MRj</v>
      </c>
      <c r="M105" s="1"/>
    </row>
    <row r="106" spans="4:13" ht="20.100000000000001" customHeight="1" x14ac:dyDescent="0.25">
      <c r="D106" s="57" t="str" cm="1">
        <f t="array" ref="D106">SourceData_Dairy.SourceData_Dairy_IncreasedMetabolicRateMilk_Unit()</f>
        <v>kg DM/head/day</v>
      </c>
      <c r="M106" s="1"/>
    </row>
    <row r="107" spans="4:13" ht="20.100000000000001" customHeight="1" x14ac:dyDescent="0.25">
      <c r="D107" s="39" t="s">
        <v>191</v>
      </c>
      <c r="E107" s="39" t="s">
        <v>198</v>
      </c>
      <c r="M107" s="1"/>
    </row>
    <row r="108" spans="4:13" ht="20.100000000000001" customHeight="1" x14ac:dyDescent="0.25">
      <c r="D108" s="39" t="str" cm="1">
        <f t="array" ref="D108">Common_InputFunctions.Utility_DisplayArrayInTable(SourceData_Dairy.SourceData_Dairy_IncreasedMetabolicRateMilk_Data(), Table_SourceData_Dairy_MRj[[#Headers],[Animal class j]], 0)</f>
        <v>Milking cows, and house cows</v>
      </c>
      <c r="E108" s="39" cm="1">
        <f t="array" ref="E108">Common_InputFunctions.Utility_DisplayArrayInTable(SourceData_Dairy.SourceData_Dairy_IncreasedMetabolicRateMilk_Data(), Table_SourceData_Dairy_MRj[[#Headers],[Animal class j]], 0)</f>
        <v>1.1000000000000001</v>
      </c>
      <c r="M108" s="1"/>
    </row>
    <row r="109" spans="4:13" ht="20.100000000000001" customHeight="1" x14ac:dyDescent="0.25">
      <c r="D109" s="1" t="str" cm="1">
        <f t="array" ref="D109">Common_InputFunctions.Utility_DisplayArrayInTable(SourceData_Dairy.SourceData_Dairy_IncreasedMetabolicRateMilk_Data(), Table_SourceData_Dairy_MRj[[#Headers],[Animal class j]], 0)</f>
        <v>All other cattle classes</v>
      </c>
      <c r="E109" s="39" cm="1">
        <f t="array" ref="E109">Common_InputFunctions.Utility_DisplayArrayInTable(SourceData_Dairy.SourceData_Dairy_IncreasedMetabolicRateMilk_Data(), Table_SourceData_Dairy_MRj[[#Headers],[Animal class j]], 0)</f>
        <v>1</v>
      </c>
      <c r="M109" s="1"/>
    </row>
    <row r="110" spans="4:13" ht="20.100000000000001" customHeight="1" x14ac:dyDescent="0.25">
      <c r="M110" s="1"/>
    </row>
    <row r="111" spans="4:13" ht="20.100000000000001" customHeight="1" x14ac:dyDescent="0.25">
      <c r="M111" s="1"/>
    </row>
    <row r="112" spans="4:13" ht="20.100000000000001" customHeight="1" x14ac:dyDescent="0.25">
      <c r="D112" s="6" t="str" cm="1">
        <f t="array" ref="D112">SourceData_Dairy.SourceData_Dairy_FractionVolatileSolidsVoidedMMS_Title()</f>
        <v>Table A.1.3.10: Dairy cattle - Fraction of volatile solids voided to each manure management system (fraction) (MMSjm)</v>
      </c>
      <c r="M112" s="1"/>
    </row>
    <row r="113" spans="4:22" ht="20.100000000000001" customHeight="1" x14ac:dyDescent="0.25">
      <c r="D113" s="5" t="str" cm="1">
        <f t="array" ref="D113">SourceData_Dairy.SourceData_Dairy_FractionVolatileSolidsVoidedMMS_Source()</f>
        <v>VEERG 2026: Table A.1.3.10</v>
      </c>
      <c r="M113" s="1"/>
    </row>
    <row r="114" spans="4:22" ht="20.100000000000001" customHeight="1" x14ac:dyDescent="0.25">
      <c r="D114" s="1" t="str" cm="1">
        <f t="array" ref="D114">SourceData_Dairy.SourceData_Dairy_FractionVolatileSolidsVoidedMMS_Variable()</f>
        <v>MMSjm</v>
      </c>
      <c r="M114" s="1"/>
    </row>
    <row r="115" spans="4:22" ht="20.100000000000001" customHeight="1" x14ac:dyDescent="0.25">
      <c r="D115" s="57" t="str" cm="1">
        <f t="array" ref="D115">SourceData_Dairy.SourceData_Dairy_FractionVolatileSolidsVoidedMMS_Unit()</f>
        <v>fraction</v>
      </c>
      <c r="M115" s="1"/>
      <c r="V115" s="1"/>
    </row>
    <row r="116" spans="4:22" ht="20.100000000000001" customHeight="1" x14ac:dyDescent="0.25">
      <c r="D116" s="39" t="s">
        <v>199</v>
      </c>
      <c r="E116" s="39" t="s">
        <v>158</v>
      </c>
      <c r="F116" s="39" t="s">
        <v>200</v>
      </c>
      <c r="G116" s="39" t="s">
        <v>201</v>
      </c>
      <c r="M116" s="1"/>
      <c r="V116" s="1"/>
    </row>
    <row r="117" spans="4:22" ht="20.100000000000001" customHeight="1" x14ac:dyDescent="0.25">
      <c r="D117" s="39" t="str" cm="1">
        <f t="array" ref="D117">Common_InputFunctions.Utility_DisplayArrayInTable(SourceData_Dairy.SourceData_Dairy_FractionVolatileSolidsVoidedMMS_Data(), Table_SourceData_Dairy_ProductionSystemTemplates[[#Headers],[Area]], 0)</f>
        <v>System 1: Grazed Only</v>
      </c>
      <c r="E117" s="39" cm="1">
        <f t="array" ref="E117">Common_InputFunctions.Utility_DisplayArrayInTable(SourceData_Dairy.SourceData_Dairy_FractionVolatileSolidsVoidedMMS_Data(), Table_SourceData_Dairy_ProductionSystemTemplates[[#Headers],[Area]], 0)</f>
        <v>0.89</v>
      </c>
      <c r="F117" s="39" cm="1">
        <f t="array" ref="F117">Common_InputFunctions.Utility_DisplayArrayInTable(SourceData_Dairy.SourceData_Dairy_FractionVolatileSolidsVoidedMMS_Data(), Table_SourceData_Dairy_ProductionSystemTemplates[[#Headers],[Area]], 0)</f>
        <v>0.11</v>
      </c>
      <c r="G117" s="39" cm="1">
        <f t="array" ref="G117">Common_InputFunctions.Utility_DisplayArrayInTable(SourceData_Dairy.SourceData_Dairy_FractionVolatileSolidsVoidedMMS_Data(), Table_SourceData_Dairy_ProductionSystemTemplates[[#Headers],[Area]], 0)</f>
        <v>0</v>
      </c>
      <c r="M117" s="1"/>
      <c r="V117" s="1"/>
    </row>
    <row r="118" spans="4:22" ht="20.100000000000001" customHeight="1" x14ac:dyDescent="0.25">
      <c r="D118" s="1" t="str" cm="1">
        <f t="array" ref="D118">Common_InputFunctions.Utility_DisplayArrayInTable(SourceData_Dairy.SourceData_Dairy_FractionVolatileSolidsVoidedMMS_Data(), Table_SourceData_Dairy_ProductionSystemTemplates[[#Headers],[Area]], 0)</f>
        <v>System 2: On feedpad for &lt;10 hr/day for &lt;3 months/year</v>
      </c>
      <c r="E118" s="39" cm="1">
        <f t="array" ref="E118">Common_InputFunctions.Utility_DisplayArrayInTable(SourceData_Dairy.SourceData_Dairy_FractionVolatileSolidsVoidedMMS_Data(), Table_SourceData_Dairy_ProductionSystemTemplates[[#Headers],[Area]], 0)</f>
        <v>0.79</v>
      </c>
      <c r="F118" s="39" cm="1">
        <f t="array" ref="F118">Common_InputFunctions.Utility_DisplayArrayInTable(SourceData_Dairy.SourceData_Dairy_FractionVolatileSolidsVoidedMMS_Data(), Table_SourceData_Dairy_ProductionSystemTemplates[[#Headers],[Area]], 0)</f>
        <v>0.11</v>
      </c>
      <c r="G118" s="39" cm="1">
        <f t="array" ref="G118">Common_InputFunctions.Utility_DisplayArrayInTable(SourceData_Dairy.SourceData_Dairy_FractionVolatileSolidsVoidedMMS_Data(), Table_SourceData_Dairy_ProductionSystemTemplates[[#Headers],[Area]], 0)</f>
        <v>0.1</v>
      </c>
      <c r="M118" s="1"/>
    </row>
    <row r="119" spans="4:22" ht="20.100000000000001" customHeight="1" x14ac:dyDescent="0.25">
      <c r="D119" s="1" t="str" cm="1">
        <f t="array" ref="D119">Common_InputFunctions.Utility_DisplayArrayInTable(SourceData_Dairy.SourceData_Dairy_FractionVolatileSolidsVoidedMMS_Data(), Table_SourceData_Dairy_ProductionSystemTemplates[[#Headers],[Area]], 0)</f>
        <v>System 3: Pasture-grazed 3-9 months/year</v>
      </c>
      <c r="E119" s="39" cm="1">
        <f t="array" ref="E119">Common_InputFunctions.Utility_DisplayArrayInTable(SourceData_Dairy.SourceData_Dairy_FractionVolatileSolidsVoidedMMS_Data(), Table_SourceData_Dairy_ProductionSystemTemplates[[#Headers],[Area]], 0)</f>
        <v>0.53400000000000003</v>
      </c>
      <c r="F119" s="39" cm="1">
        <f t="array" ref="F119">Common_InputFunctions.Utility_DisplayArrayInTable(SourceData_Dairy.SourceData_Dairy_FractionVolatileSolidsVoidedMMS_Data(), Table_SourceData_Dairy_ProductionSystemTemplates[[#Headers],[Area]], 0)</f>
        <v>0.11</v>
      </c>
      <c r="G119" s="39" cm="1">
        <f t="array" ref="G119">Common_InputFunctions.Utility_DisplayArrayInTable(SourceData_Dairy.SourceData_Dairy_FractionVolatileSolidsVoidedMMS_Data(), Table_SourceData_Dairy_ProductionSystemTemplates[[#Headers],[Area]], 0)</f>
        <v>0.35599999999999998</v>
      </c>
      <c r="M119" s="1"/>
    </row>
    <row r="120" spans="4:22" ht="20.100000000000001" customHeight="1" x14ac:dyDescent="0.25">
      <c r="D120" s="1" t="str" cm="1">
        <f t="array" ref="D120">Common_InputFunctions.Utility_DisplayArrayInTable(SourceData_Dairy.SourceData_Dairy_FractionVolatileSolidsVoidedMMS_Data(), Table_SourceData_Dairy_ProductionSystemTemplates[[#Headers],[Area]], 0)</f>
        <v>System 4: Zero grazing</v>
      </c>
      <c r="E120" s="39" cm="1">
        <f t="array" ref="E120">Common_InputFunctions.Utility_DisplayArrayInTable(SourceData_Dairy.SourceData_Dairy_FractionVolatileSolidsVoidedMMS_Data(), Table_SourceData_Dairy_ProductionSystemTemplates[[#Headers],[Area]], 0)</f>
        <v>0</v>
      </c>
      <c r="F120" s="39" cm="1">
        <f t="array" ref="F120">Common_InputFunctions.Utility_DisplayArrayInTable(SourceData_Dairy.SourceData_Dairy_FractionVolatileSolidsVoidedMMS_Data(), Table_SourceData_Dairy_ProductionSystemTemplates[[#Headers],[Area]], 0)</f>
        <v>0.11</v>
      </c>
      <c r="G120" s="39" cm="1">
        <f t="array" ref="G120">Common_InputFunctions.Utility_DisplayArrayInTable(SourceData_Dairy.SourceData_Dairy_FractionVolatileSolidsVoidedMMS_Data(), Table_SourceData_Dairy_ProductionSystemTemplates[[#Headers],[Area]], 0)</f>
        <v>0.89</v>
      </c>
      <c r="M120" s="1"/>
    </row>
    <row r="121" spans="4:22" ht="20.100000000000001" customHeight="1" x14ac:dyDescent="0.25">
      <c r="M121" s="1"/>
    </row>
    <row r="122" spans="4:22" ht="20.100000000000001" customHeight="1" x14ac:dyDescent="0.25">
      <c r="M122" s="1"/>
    </row>
    <row r="123" spans="4:22" ht="20.100000000000001" customHeight="1" x14ac:dyDescent="0.25">
      <c r="D123" s="6" t="str" cm="1">
        <f t="array" ref="D123">SourceData_Dairy.SourceData_Dairy_EFNitrousOxidePerMMS_Title()</f>
        <v>Table A.1.3.11: Dairy cattle - EF for nitrous oxide per MMS (kg N2O-N/kg N) (EFm)</v>
      </c>
      <c r="M123" s="1"/>
    </row>
    <row r="124" spans="4:22" ht="20.100000000000001" customHeight="1" x14ac:dyDescent="0.25">
      <c r="D124" s="5" t="str" cm="1">
        <f t="array" ref="D124">SourceData_Dairy.SourceData_Dairy_EFNitrousOxidePerMMS_Source()</f>
        <v>VEERG 2026: Table A.1.3.11</v>
      </c>
      <c r="M124" s="1"/>
    </row>
    <row r="125" spans="4:22" ht="20.100000000000001" customHeight="1" x14ac:dyDescent="0.25">
      <c r="D125" s="1" t="str" cm="1">
        <f t="array" ref="D125">SourceData_Dairy.SourceData_Dairy_EFNitrousOxidePerMMS_Variable()</f>
        <v>EFm</v>
      </c>
      <c r="M125" s="1"/>
      <c r="V125" s="1"/>
    </row>
    <row r="126" spans="4:22" ht="20.100000000000001" customHeight="1" x14ac:dyDescent="0.25">
      <c r="D126" s="57" t="str" cm="1">
        <f t="array" ref="D126">SourceData_Dairy.SourceData_Dairy_EFNitrousOxidePerMMS_Unit()</f>
        <v>kg N2O-N/kg N</v>
      </c>
      <c r="M126" s="1"/>
      <c r="V126" s="1"/>
    </row>
    <row r="127" spans="4:22" ht="20.100000000000001" customHeight="1" x14ac:dyDescent="0.25">
      <c r="D127" s="58" t="str" cm="1">
        <f t="array" ref="D127">SourceData_Dairy.SourceData_Dairy_EFNitrousOxidePerMMS_Variation()</f>
        <v>VARIATION OF SOURCE: Added 'NIR reference' column to aid lookup</v>
      </c>
      <c r="M127" s="1"/>
      <c r="V127" s="1"/>
    </row>
    <row r="128" spans="4:22" ht="20.100000000000001" customHeight="1" x14ac:dyDescent="0.25">
      <c r="D128" s="39" t="s">
        <v>102</v>
      </c>
      <c r="E128" s="39" t="s">
        <v>195</v>
      </c>
      <c r="F128" s="39" t="s">
        <v>202</v>
      </c>
      <c r="G128" s="114" t="s">
        <v>218</v>
      </c>
      <c r="M128" s="1"/>
      <c r="N128" s="24"/>
      <c r="V128" s="1"/>
    </row>
    <row r="129" spans="4:22" ht="20.100000000000001" customHeight="1" x14ac:dyDescent="0.25">
      <c r="D129" s="39" t="str" cm="1">
        <f t="array" ref="D129">Common_InputFunctions.Utility_DisplayArrayInTable(SourceData_Dairy.SourceData_Dairy_EFNitrousOxidePerMMS_Data(), Table_SourceData_Dairy_EFm[[#Headers],[MMS m]], 0)</f>
        <v>m=14 Pasture</v>
      </c>
      <c r="E129" s="39" cm="1">
        <f t="array" ref="E129">Common_InputFunctions.Utility_DisplayArrayInTable(SourceData_Dairy.SourceData_Dairy_EFNitrousOxidePerMMS_Data(), Table_SourceData_Dairy_EFm[[#Headers],[MMS m]], 0)</f>
        <v>0</v>
      </c>
      <c r="F129" s="39" t="str" cm="1">
        <f t="array" ref="F129">Common_InputFunctions.Utility_DisplayArrayInTable(SourceData_Dairy.SourceData_Dairy_EFNitrousOxidePerMMS_Data(), Table_SourceData_Dairy_EFm[[#Headers],[MMS m]], 0)</f>
        <v>Pasture range and paddock</v>
      </c>
      <c r="M129" s="1"/>
      <c r="N129" s="24"/>
      <c r="V129" s="1"/>
    </row>
    <row r="130" spans="4:22" ht="20.100000000000001" customHeight="1" x14ac:dyDescent="0.25">
      <c r="D130" s="1" t="str" cm="1">
        <f t="array" ref="D130">Common_InputFunctions.Utility_DisplayArrayInTable(SourceData_Dairy.SourceData_Dairy_EFNitrousOxidePerMMS_Data(), Table_SourceData_Dairy_EFm[[#Headers],[MMS m]], 0)</f>
        <v>m=1 Anerobic Lagoon</v>
      </c>
      <c r="E130" s="39" cm="1">
        <f t="array" ref="E130">Common_InputFunctions.Utility_DisplayArrayInTable(SourceData_Dairy.SourceData_Dairy_EFNitrousOxidePerMMS_Data(), Table_SourceData_Dairy_EFm[[#Headers],[MMS m]], 0)</f>
        <v>0</v>
      </c>
      <c r="F130" s="39" t="str" cm="1">
        <f t="array" ref="F130">Common_InputFunctions.Utility_DisplayArrayInTable(SourceData_Dairy.SourceData_Dairy_EFNitrousOxidePerMMS_Data(), Table_SourceData_Dairy_EFm[[#Headers],[MMS m]], 0)</f>
        <v>Anaerobic lagoon</v>
      </c>
      <c r="M130" s="1"/>
      <c r="N130" s="24"/>
      <c r="V130" s="1"/>
    </row>
    <row r="131" spans="4:22" ht="20.100000000000001" customHeight="1" x14ac:dyDescent="0.25">
      <c r="D131" s="1" t="str" cm="1">
        <f t="array" ref="D131">Common_InputFunctions.Utility_DisplayArrayInTable(SourceData_Dairy.SourceData_Dairy_EFNitrousOxidePerMMS_Data(), Table_SourceData_Dairy_EFm[[#Headers],[MMS m]], 0)</f>
        <v>m=2 Daily Spread: Sump and dispersal</v>
      </c>
      <c r="E131" s="39" cm="1">
        <f t="array" ref="E131">Common_InputFunctions.Utility_DisplayArrayInTable(SourceData_Dairy.SourceData_Dairy_EFNitrousOxidePerMMS_Data(), Table_SourceData_Dairy_EFm[[#Headers],[MMS m]], 0)</f>
        <v>0</v>
      </c>
      <c r="F131" s="39" t="str" cm="1">
        <f t="array" ref="F131">Common_InputFunctions.Utility_DisplayArrayInTable(SourceData_Dairy.SourceData_Dairy_EFNitrousOxidePerMMS_Data(), Table_SourceData_Dairy_EFm[[#Headers],[MMS m]], 0)</f>
        <v>Sump and dispersal system</v>
      </c>
      <c r="M131" s="1"/>
      <c r="N131" s="24"/>
    </row>
    <row r="132" spans="4:22" ht="20.100000000000001" customHeight="1" x14ac:dyDescent="0.25">
      <c r="D132" s="1" t="str" cm="1">
        <f t="array" ref="D132">Common_InputFunctions.Utility_DisplayArrayInTable(SourceData_Dairy.SourceData_Dairy_EFNitrousOxidePerMMS_Data(), Table_SourceData_Dairy_EFm[[#Headers],[MMS m]], 0)</f>
        <v>m=3 Daily Spread: Drains to paddocks</v>
      </c>
      <c r="E132" s="39" cm="1">
        <f t="array" ref="E132">Common_InputFunctions.Utility_DisplayArrayInTable(SourceData_Dairy.SourceData_Dairy_EFNitrousOxidePerMMS_Data(), Table_SourceData_Dairy_EFm[[#Headers],[MMS m]], 0)</f>
        <v>0</v>
      </c>
      <c r="F132" s="39" t="str" cm="1">
        <f t="array" ref="F132">Common_InputFunctions.Utility_DisplayArrayInTable(SourceData_Dairy.SourceData_Dairy_EFNitrousOxidePerMMS_Data(), Table_SourceData_Dairy_EFm[[#Headers],[MMS m]], 0)</f>
        <v>Drains to paddock</v>
      </c>
      <c r="M132" s="24"/>
    </row>
    <row r="133" spans="4:22" ht="20.100000000000001" customHeight="1" x14ac:dyDescent="0.25">
      <c r="D133" s="1" t="str" cm="1">
        <f t="array" ref="D133">Common_InputFunctions.Utility_DisplayArrayInTable(SourceData_Dairy.SourceData_Dairy_EFNitrousOxidePerMMS_Data(), Table_SourceData_Dairy_EFm[[#Headers],[MMS m]], 0)</f>
        <v>m=4 Solid Storage</v>
      </c>
      <c r="E133" s="39" cm="1">
        <f t="array" ref="E133">Common_InputFunctions.Utility_DisplayArrayInTable(SourceData_Dairy.SourceData_Dairy_EFNitrousOxidePerMMS_Data(), Table_SourceData_Dairy_EFm[[#Headers],[MMS m]], 0)</f>
        <v>5.0000000000000001E-3</v>
      </c>
      <c r="F133" s="39" t="str" cm="1">
        <f t="array" ref="F133">Common_InputFunctions.Utility_DisplayArrayInTable(SourceData_Dairy.SourceData_Dairy_EFNitrousOxidePerMMS_Data(), Table_SourceData_Dairy_EFm[[#Headers],[MMS m]], 0)</f>
        <v>Solid storage</v>
      </c>
      <c r="M133" s="24"/>
    </row>
    <row r="134" spans="4:22" ht="20.100000000000001" customHeight="1" x14ac:dyDescent="0.25">
      <c r="M134" s="24"/>
    </row>
    <row r="135" spans="4:22" ht="20.100000000000001" customHeight="1" x14ac:dyDescent="0.25">
      <c r="M135" s="24"/>
    </row>
    <row r="136" spans="4:22" ht="20.100000000000001" customHeight="1" x14ac:dyDescent="0.25">
      <c r="D136" s="6" t="str" cm="1">
        <f t="array" ref="D136">SourceData_Dairy.SourceData_Dairy_DurationOfStay_Title()</f>
        <v>Duration of stay for each dairy cattle input class</v>
      </c>
      <c r="M136" s="24"/>
    </row>
    <row r="137" spans="4:22" ht="20.100000000000001" customHeight="1" x14ac:dyDescent="0.25">
      <c r="D137" s="5" t="str" cm="1">
        <f t="array" ref="D137">SourceData_Dairy.SourceData_Dairy_DurationOfStay_Source()</f>
        <v>VEERG 2026: 4.3.2.2	DATA (METHOD 1 AND 2 OPTIONS)</v>
      </c>
      <c r="M137" s="24"/>
    </row>
    <row r="138" spans="4:22" ht="20.100000000000001" customHeight="1" x14ac:dyDescent="0.25">
      <c r="D138" s="1" t="str" cm="1">
        <f t="array" ref="D138">SourceData_Dairy.SourceData_Dairy_DurationOfStay_Variable()</f>
        <v>D</v>
      </c>
      <c r="M138" s="24"/>
    </row>
    <row r="139" spans="4:22" ht="20.100000000000001" customHeight="1" x14ac:dyDescent="0.25">
      <c r="D139" s="57" t="str" cm="1">
        <f t="array" ref="D139">SourceData_Dairy.SourceData_Dairy_DurationOfStay_Unit()</f>
        <v>days</v>
      </c>
      <c r="M139" s="24"/>
    </row>
    <row r="140" spans="4:22" ht="20.100000000000001" customHeight="1" x14ac:dyDescent="0.25">
      <c r="D140" s="58" t="str" cm="1">
        <f t="array" ref="D140">SourceData_Dairy.SourceData_Dairy_DurationOfStay_Variation()</f>
        <v>VARIATION OF SOURCE: Converted free text in document to table, matching livestock class names.</v>
      </c>
      <c r="M140" s="24"/>
    </row>
    <row r="141" spans="4:22" ht="20.100000000000001" customHeight="1" x14ac:dyDescent="0.25">
      <c r="D141" s="39" t="s">
        <v>191</v>
      </c>
      <c r="E141" s="39" t="s">
        <v>213</v>
      </c>
      <c r="F141" s="39" t="s">
        <v>214</v>
      </c>
      <c r="M141" s="24"/>
    </row>
    <row r="142" spans="4:22" ht="20.100000000000001" customHeight="1" x14ac:dyDescent="0.25">
      <c r="D142" s="39" t="str" cm="1">
        <f t="array" ref="D142">Common_InputFunctions.Utility_DisplayArrayInTable(SourceData_Dairy.SourceData_Dairy_DurationOfStay_Data(), Table_SourceData_Dairy_Duration[[#Headers],[Animal class j]], 0)</f>
        <v>Milking cows</v>
      </c>
      <c r="E142" s="39" cm="1">
        <f t="array" ref="E142">Common_InputFunctions.Utility_DisplayArrayInTable(SourceData_Dairy.SourceData_Dairy_DurationOfStay_Data(), Table_SourceData_Dairy_Duration[[#Headers],[Animal class j]], 0)</f>
        <v>365</v>
      </c>
      <c r="F142" s="39" cm="1">
        <f t="array" ref="F142">Common_InputFunctions.Utility_DisplayArrayInTable(SourceData_Dairy.SourceData_Dairy_DurationOfStay_Data(), Table_SourceData_Dairy_Duration[[#Headers],[Animal class j]], 0)</f>
        <v>0</v>
      </c>
      <c r="M142" s="24"/>
    </row>
    <row r="143" spans="4:22" ht="20.100000000000001" customHeight="1" x14ac:dyDescent="0.25">
      <c r="D143" s="1" t="str" cm="1">
        <f t="array" ref="D143">Common_InputFunctions.Utility_DisplayArrayInTable(SourceData_Dairy.SourceData_Dairy_DurationOfStay_Data(), Table_SourceData_Dairy_Duration[[#Headers],[Animal class j]], 0)</f>
        <v>Heifers &gt; 1 year</v>
      </c>
      <c r="E143" s="39" cm="1">
        <f t="array" ref="E143">Common_InputFunctions.Utility_DisplayArrayInTable(SourceData_Dairy.SourceData_Dairy_DurationOfStay_Data(), Table_SourceData_Dairy_Duration[[#Headers],[Animal class j]], 0)</f>
        <v>365</v>
      </c>
      <c r="F143" s="39" cm="1">
        <f t="array" ref="F143">Common_InputFunctions.Utility_DisplayArrayInTable(SourceData_Dairy.SourceData_Dairy_DurationOfStay_Data(), Table_SourceData_Dairy_Duration[[#Headers],[Animal class j]], 0)</f>
        <v>0</v>
      </c>
      <c r="M143" s="24"/>
    </row>
    <row r="144" spans="4:22" ht="20.100000000000001" customHeight="1" x14ac:dyDescent="0.25">
      <c r="D144" s="1" t="str" cm="1">
        <f t="array" ref="D144">Common_InputFunctions.Utility_DisplayArrayInTable(SourceData_Dairy.SourceData_Dairy_DurationOfStay_Data(), Table_SourceData_Dairy_Duration[[#Headers],[Animal class j]], 0)</f>
        <v>Heifers &lt; 1 year</v>
      </c>
      <c r="E144" s="39" cm="1">
        <f t="array" ref="E144">Common_InputFunctions.Utility_DisplayArrayInTable(SourceData_Dairy.SourceData_Dairy_DurationOfStay_Data(), Table_SourceData_Dairy_Duration[[#Headers],[Animal class j]], 0)</f>
        <v>281</v>
      </c>
      <c r="F144" s="39" cm="1">
        <f t="array" ref="F144">Common_InputFunctions.Utility_DisplayArrayInTable(SourceData_Dairy.SourceData_Dairy_DurationOfStay_Data(), Table_SourceData_Dairy_Duration[[#Headers],[Animal class j]], 0)</f>
        <v>84</v>
      </c>
      <c r="M144" s="24"/>
    </row>
    <row r="145" spans="4:13" ht="20.100000000000001" customHeight="1" x14ac:dyDescent="0.25">
      <c r="D145" s="1" t="str" cm="1">
        <f t="array" ref="D145">Common_InputFunctions.Utility_DisplayArrayInTable(SourceData_Dairy.SourceData_Dairy_DurationOfStay_Data(), Table_SourceData_Dairy_Duration[[#Headers],[Animal class j]], 0)</f>
        <v>Bulls &gt; 1 year</v>
      </c>
      <c r="E145" s="39" cm="1">
        <f t="array" ref="E145">Common_InputFunctions.Utility_DisplayArrayInTable(SourceData_Dairy.SourceData_Dairy_DurationOfStay_Data(), Table_SourceData_Dairy_Duration[[#Headers],[Animal class j]], 0)</f>
        <v>365</v>
      </c>
      <c r="F145" s="39" cm="1">
        <f t="array" ref="F145">Common_InputFunctions.Utility_DisplayArrayInTable(SourceData_Dairy.SourceData_Dairy_DurationOfStay_Data(), Table_SourceData_Dairy_Duration[[#Headers],[Animal class j]], 0)</f>
        <v>0</v>
      </c>
      <c r="M145" s="24"/>
    </row>
    <row r="146" spans="4:13" ht="20.100000000000001" customHeight="1" x14ac:dyDescent="0.25">
      <c r="D146" s="1" t="str" cm="1">
        <f t="array" ref="D146">Common_InputFunctions.Utility_DisplayArrayInTable(SourceData_Dairy.SourceData_Dairy_DurationOfStay_Data(), Table_SourceData_Dairy_Duration[[#Headers],[Animal class j]], 0)</f>
        <v>Bulls &lt; 1 year</v>
      </c>
      <c r="E146" s="39" cm="1">
        <f t="array" ref="E146">Common_InputFunctions.Utility_DisplayArrayInTable(SourceData_Dairy.SourceData_Dairy_DurationOfStay_Data(), Table_SourceData_Dairy_Duration[[#Headers],[Animal class j]], 0)</f>
        <v>281</v>
      </c>
      <c r="F146" s="39" cm="1">
        <f t="array" ref="F146">Common_InputFunctions.Utility_DisplayArrayInTable(SourceData_Dairy.SourceData_Dairy_DurationOfStay_Data(), Table_SourceData_Dairy_Duration[[#Headers],[Animal class j]], 0)</f>
        <v>84</v>
      </c>
      <c r="M146" s="24"/>
    </row>
    <row r="147" spans="4:13" ht="20.100000000000001" customHeight="1" x14ac:dyDescent="0.25">
      <c r="M147" s="24"/>
    </row>
    <row r="148" spans="4:13" ht="20.100000000000001" customHeight="1" x14ac:dyDescent="0.25">
      <c r="M148" s="24"/>
    </row>
    <row r="149" spans="4:13" ht="20.100000000000001" customHeight="1" x14ac:dyDescent="0.25">
      <c r="D149" s="6" t="str" cm="1">
        <f t="array" ref="D149">SourceData_Dairy.SourceData_Dairy_CrudeProtein_Title()</f>
        <v>Crude protein content of feed intake</v>
      </c>
      <c r="M149" s="24"/>
    </row>
    <row r="150" spans="4:13" ht="20.100000000000001" customHeight="1" x14ac:dyDescent="0.25">
      <c r="D150" s="5" t="str" cm="1">
        <f t="array" ref="D150">SourceData_Dairy.SourceData_Dairy_CrudeProtein_Source()</f>
        <v>VEERG 2026: 4.3.2.2	DATA (METHOD 1 AND 2 OPTIONS)</v>
      </c>
      <c r="M150" s="24"/>
    </row>
    <row r="151" spans="4:13" ht="20.100000000000001" customHeight="1" x14ac:dyDescent="0.25">
      <c r="D151" s="1" t="str" cm="1">
        <f t="array" ref="D151">SourceData_Dairy.SourceData_Dairy_CrudeProtein_Variable()</f>
        <v>CP</v>
      </c>
      <c r="M151" s="24"/>
    </row>
    <row r="152" spans="4:13" ht="20.100000000000001" customHeight="1" x14ac:dyDescent="0.25">
      <c r="D152" s="57" t="str" cm="1">
        <f t="array" ref="D152">SourceData_Dairy.SourceData_Dairy_CrudeProtein_Unit()</f>
        <v>fraction</v>
      </c>
      <c r="M152" s="24"/>
    </row>
    <row r="153" spans="4:13" ht="20.100000000000001" customHeight="1" x14ac:dyDescent="0.25">
      <c r="D153" s="56" cm="1">
        <f t="array" ref="D153">SourceData_Dairy.SourceData_Dairy_CrudeProtein_Data()</f>
        <v>0.2</v>
      </c>
      <c r="M153" s="24"/>
    </row>
    <row r="154" spans="4:13" ht="20.100000000000001" customHeight="1" x14ac:dyDescent="0.25">
      <c r="M154" s="24"/>
    </row>
    <row r="155" spans="4:13" ht="20.100000000000001" customHeight="1" x14ac:dyDescent="0.25">
      <c r="M155" s="24"/>
    </row>
    <row r="156" spans="4:13" ht="20.100000000000001" customHeight="1" x14ac:dyDescent="0.25">
      <c r="D156" s="6" t="str" cm="1">
        <f t="array" ref="D156">SourceData_Dairy.SourceData_Dairy_DryMatterDigestibility_Title()</f>
        <v>Dry matter digestibility</v>
      </c>
      <c r="M156" s="24"/>
    </row>
    <row r="157" spans="4:13" ht="20.100000000000001" customHeight="1" x14ac:dyDescent="0.25">
      <c r="D157" s="5" t="str" cm="1">
        <f t="array" ref="D157">SourceData_Dairy.SourceData_Dairy_DryMatterDigestibility_Source()</f>
        <v>VEERG 2026: 3.3.2.2	DATA (METHOD 1 AND 2 OPTIONS)</v>
      </c>
      <c r="M157" s="24"/>
    </row>
    <row r="158" spans="4:13" ht="20.100000000000001" customHeight="1" x14ac:dyDescent="0.25">
      <c r="D158" s="1" t="str" cm="1">
        <f t="array" ref="D158">SourceData_Dairy.SourceData_Dairy_DryMatterDigestibility_Variable()</f>
        <v>DMD</v>
      </c>
      <c r="M158" s="24"/>
    </row>
    <row r="159" spans="4:13" ht="20.100000000000001" customHeight="1" x14ac:dyDescent="0.25">
      <c r="D159" s="57" t="str" cm="1">
        <f t="array" ref="D159">SourceData_Dairy.SourceData_Dairy_DryMatterDigestibility_Unit()</f>
        <v>fraction</v>
      </c>
      <c r="M159" s="24"/>
    </row>
    <row r="160" spans="4:13" ht="20.100000000000001" customHeight="1" x14ac:dyDescent="0.25">
      <c r="D160" s="56" cm="1">
        <f t="array" ref="D160">SourceData_Dairy.SourceData_Dairy_DryMatterDigestibility_Data()</f>
        <v>0.75</v>
      </c>
      <c r="M160" s="24"/>
    </row>
    <row r="161" spans="4:13" ht="20.100000000000001" customHeight="1" x14ac:dyDescent="0.25">
      <c r="M161" s="24"/>
    </row>
    <row r="162" spans="4:13" ht="20.100000000000001" customHeight="1" x14ac:dyDescent="0.25">
      <c r="M162" s="24"/>
    </row>
    <row r="163" spans="4:13" ht="20.100000000000001" customHeight="1" x14ac:dyDescent="0.25">
      <c r="D163" s="6" t="str" cm="1">
        <f t="array" ref="D163">SourceData_Dairy.SourceData_Dairy_NetEnergy_Title()</f>
        <v>Net energy required for milk production</v>
      </c>
      <c r="M163" s="24"/>
    </row>
    <row r="164" spans="4:13" ht="20.100000000000001" customHeight="1" x14ac:dyDescent="0.25">
      <c r="D164" s="5" t="str" cm="1">
        <f t="array" ref="D164">SourceData_Dairy.SourceData_Dairy_NetEnergy_Source()</f>
        <v>VEERG 2026: 3.3.2.3 CONSTANTS</v>
      </c>
      <c r="M164" s="24"/>
    </row>
    <row r="165" spans="4:13" ht="20.100000000000001" customHeight="1" x14ac:dyDescent="0.25">
      <c r="D165" s="1" t="str" cm="1">
        <f t="array" ref="D165">SourceData_Dairy.SourceData_Dairy_NetEnergy_Variable()</f>
        <v>NE</v>
      </c>
      <c r="M165" s="24"/>
    </row>
    <row r="166" spans="4:13" x14ac:dyDescent="0.25">
      <c r="D166" s="57" t="str" cm="1">
        <f t="array" ref="D166">SourceData_Dairy.SourceData_Dairy_NetEnergy_Unit()</f>
        <v>MJ net energy / kg milk</v>
      </c>
      <c r="M166" s="24"/>
    </row>
    <row r="167" spans="4:13" x14ac:dyDescent="0.25">
      <c r="D167" s="56" cm="1">
        <f t="array" ref="D167">SourceData_Dairy.SourceData_Dairy_NetEnergy_Data()</f>
        <v>3.0539999999999998</v>
      </c>
      <c r="M167" s="24"/>
    </row>
    <row r="168" spans="4:13" x14ac:dyDescent="0.25">
      <c r="M168" s="24"/>
    </row>
    <row r="169" spans="4:13" x14ac:dyDescent="0.25">
      <c r="M169" s="24"/>
    </row>
    <row r="170" spans="4:13" ht="23.25" x14ac:dyDescent="0.25">
      <c r="D170" s="6" t="str" cm="1">
        <f t="array" ref="D170">SourceData_Dairy.SourceData_Dairy_GrossEnergyContent_Title()</f>
        <v>Gross energy content of feed dry matter</v>
      </c>
      <c r="M170" s="24"/>
    </row>
    <row r="171" spans="4:13" x14ac:dyDescent="0.25">
      <c r="D171" s="5" t="str" cm="1">
        <f t="array" ref="D171">SourceData_Dairy.SourceData_Dairy_GrossEnergyContent_Source()</f>
        <v>VEERG 2026: 3.3.2.3 CONSTANTS</v>
      </c>
      <c r="M171" s="24"/>
    </row>
    <row r="172" spans="4:13" x14ac:dyDescent="0.25">
      <c r="D172" s="1" t="str" cm="1">
        <f t="array" ref="D172">SourceData_Dairy.SourceData_Dairy_GrossEnergyContent_Variable()</f>
        <v>GEC</v>
      </c>
      <c r="M172" s="24"/>
    </row>
    <row r="173" spans="4:13" x14ac:dyDescent="0.25">
      <c r="D173" s="57" t="str" cm="1">
        <f t="array" ref="D173">SourceData_Dairy.SourceData_Dairy_GrossEnergyContent_Unit()</f>
        <v>MJ / kgDM</v>
      </c>
      <c r="M173" s="24"/>
    </row>
    <row r="174" spans="4:13" x14ac:dyDescent="0.25">
      <c r="D174" s="56" cm="1">
        <f t="array" ref="D174">SourceData_Dairy.SourceData_Dairy_GrossEnergyContent_Data()</f>
        <v>18.399999999999999</v>
      </c>
      <c r="M174" s="24"/>
    </row>
    <row r="175" spans="4:13" x14ac:dyDescent="0.25">
      <c r="M175" s="24"/>
    </row>
    <row r="176" spans="4:13" x14ac:dyDescent="0.25">
      <c r="M176" s="24"/>
    </row>
    <row r="177" spans="4:13" ht="23.25" x14ac:dyDescent="0.25">
      <c r="D177" s="6" t="str" cm="1">
        <f t="array" ref="D177">SourceData_Dairy.SourceData_Dairy_EfficiencyOfUseOfMetabolizableEnergy_Title()</f>
        <v>Efficiency of use of metabolizable energy for milk production</v>
      </c>
      <c r="M177" s="24"/>
    </row>
    <row r="178" spans="4:13" x14ac:dyDescent="0.25">
      <c r="D178" s="5" t="str" cm="1">
        <f t="array" ref="D178">SourceData_Dairy.SourceData_Dairy_EfficiencyOfUseOfMetabolizableEnergy_Source()</f>
        <v>VEERG 2026: 3.3.2.3 CONSTANTS</v>
      </c>
      <c r="M178" s="24"/>
    </row>
    <row r="179" spans="4:13" x14ac:dyDescent="0.25">
      <c r="D179" s="1" t="str" cm="1">
        <f t="array" ref="D179">SourceData_Dairy.SourceData_Dairy_EfficiencyOfUseOfMetabolizableEnergy_Variable()</f>
        <v>k</v>
      </c>
      <c r="M179" s="24"/>
    </row>
    <row r="180" spans="4:13" x14ac:dyDescent="0.25">
      <c r="D180" s="57" t="str" cm="1">
        <f t="array" ref="D180">SourceData_Dairy.SourceData_Dairy_EfficiencyOfUseOfMetabolizableEnergy_Unit()</f>
        <v>fraction</v>
      </c>
      <c r="M180" s="24"/>
    </row>
    <row r="181" spans="4:13" x14ac:dyDescent="0.25">
      <c r="D181" s="56" cm="1">
        <f t="array" ref="D181">SourceData_Dairy.SourceData_Dairy_EfficiencyOfUseOfMetabolizableEnergy_Data()</f>
        <v>0.6</v>
      </c>
      <c r="M181" s="24"/>
    </row>
    <row r="182" spans="4:13" x14ac:dyDescent="0.25">
      <c r="M182" s="24"/>
    </row>
    <row r="183" spans="4:13" x14ac:dyDescent="0.25">
      <c r="M183" s="24"/>
    </row>
    <row r="184" spans="4:13" ht="23.25" x14ac:dyDescent="0.25">
      <c r="D184" s="6" t="str" cm="1">
        <f t="array" ref="D184">SourceData_Dairy.SourceData_Dairy_AshContent_Title()</f>
        <v>Ash content of manure</v>
      </c>
      <c r="M184" s="24"/>
    </row>
    <row r="185" spans="4:13" x14ac:dyDescent="0.25">
      <c r="D185" s="5" t="str" cm="1">
        <f t="array" ref="D185">SourceData_Dairy.SourceData_Dairy_AshContent_Source()</f>
        <v>VEERG 2026: 4.3.2.3 CONSTANTS</v>
      </c>
      <c r="M185" s="24"/>
    </row>
    <row r="186" spans="4:13" x14ac:dyDescent="0.25">
      <c r="D186" s="1" t="str" cm="1">
        <f t="array" ref="D186">SourceData_Dairy.SourceData_Dairy_AshContent_Variable()</f>
        <v>A</v>
      </c>
      <c r="M186" s="24"/>
    </row>
    <row r="187" spans="4:13" x14ac:dyDescent="0.25">
      <c r="D187" s="57" t="str" cm="1">
        <f t="array" ref="D187">SourceData_Dairy.SourceData_Dairy_AshContent_Unit()</f>
        <v>fraction</v>
      </c>
      <c r="M187" s="24"/>
    </row>
    <row r="188" spans="4:13" x14ac:dyDescent="0.25">
      <c r="D188" s="56" cm="1">
        <f t="array" ref="D188">SourceData_Dairy.SourceData_Dairy_AshContent_Data()</f>
        <v>0.08</v>
      </c>
      <c r="M188" s="24"/>
    </row>
    <row r="189" spans="4:13" x14ac:dyDescent="0.25">
      <c r="M189" s="24"/>
    </row>
    <row r="190" spans="4:13" x14ac:dyDescent="0.25">
      <c r="M190" s="24"/>
    </row>
    <row r="191" spans="4:13" ht="23.25" x14ac:dyDescent="0.25">
      <c r="D191" s="6" t="str" cm="1">
        <f t="array" ref="D191">SourceData_Dairy.SourceData_Dairy_MethaneEmissionsPotential_Title()</f>
        <v>Methane emissions potential</v>
      </c>
      <c r="M191" s="24"/>
    </row>
    <row r="192" spans="4:13" x14ac:dyDescent="0.25">
      <c r="D192" s="5" t="str" cm="1">
        <f t="array" ref="D192">SourceData_Dairy.SourceData_Dairy_MethaneEmissionsPotential_Source()</f>
        <v>VEERG 2026: 4.3.2.3 CONSTANTS</v>
      </c>
      <c r="M192" s="24"/>
    </row>
    <row r="193" spans="4:13" x14ac:dyDescent="0.25">
      <c r="D193" s="1" t="str" cm="1">
        <f t="array" ref="D193">SourceData_Dairy.SourceData_Dairy_MethaneEmissionsPotential_Variable()</f>
        <v>B_o</v>
      </c>
      <c r="M193" s="24"/>
    </row>
    <row r="194" spans="4:13" x14ac:dyDescent="0.25">
      <c r="D194" s="57" t="str" cm="1">
        <f t="array" ref="D194">SourceData_Dairy.SourceData_Dairy_MethaneEmissionsPotential_Unit()</f>
        <v>m3 CH4/kgVS</v>
      </c>
      <c r="M194" s="24"/>
    </row>
    <row r="195" spans="4:13" x14ac:dyDescent="0.25">
      <c r="D195" s="56" cm="1">
        <f t="array" ref="D195">SourceData_Dairy.SourceData_Dairy_MethaneEmissionsPotential_Data()</f>
        <v>0.24</v>
      </c>
      <c r="M195" s="24"/>
    </row>
    <row r="196" spans="4:13" x14ac:dyDescent="0.25">
      <c r="M196" s="24"/>
    </row>
    <row r="197" spans="4:13" x14ac:dyDescent="0.25">
      <c r="M197" s="24"/>
    </row>
    <row r="198" spans="4:13" ht="23.25" x14ac:dyDescent="0.25">
      <c r="D198" s="6" t="str" cm="1">
        <f t="array" ref="D198">SourceData_Dairy.SourceData_Dairy_EmissionFactorForLeachingAndRunoff_Title()</f>
        <v>Emission factor for leaching and runoff</v>
      </c>
      <c r="M198" s="24"/>
    </row>
    <row r="199" spans="4:13" x14ac:dyDescent="0.25">
      <c r="D199" s="5" t="str" cm="1">
        <f t="array" ref="D199">SourceData_Dairy.SourceData_Dairy_EmissionFactorForLeachingAndRunoff_Source()</f>
        <v>VEERG 2026: 4.3.2.3 CONSTANTS</v>
      </c>
      <c r="M199" s="24"/>
    </row>
    <row r="200" spans="4:13" x14ac:dyDescent="0.25">
      <c r="D200" s="1" t="str" cm="1">
        <f t="array" ref="D200">SourceData_Dairy.SourceData_Dairy_EmissionFactorForLeachingAndRunoff_Variable()</f>
        <v>EF_leach</v>
      </c>
      <c r="M200" s="24"/>
    </row>
    <row r="201" spans="4:13" x14ac:dyDescent="0.25">
      <c r="D201" s="57" t="str" cm="1">
        <f t="array" ref="D201">SourceData_Dairy.SourceData_Dairy_EmissionFactorForLeachingAndRunoff_Unit()</f>
        <v>kg N2O-N/kg N</v>
      </c>
      <c r="M201" s="24"/>
    </row>
    <row r="202" spans="4:13" x14ac:dyDescent="0.25">
      <c r="D202" s="56" cm="1">
        <f t="array" ref="D202">SourceData_Dairy.SourceData_Dairy_EmissionFactorForLeachingAndRunoff_Data()</f>
        <v>1.0999999999999999E-2</v>
      </c>
      <c r="M202" s="24"/>
    </row>
    <row r="203" spans="4:13" x14ac:dyDescent="0.25">
      <c r="M203" s="24"/>
    </row>
    <row r="204" spans="4:13" x14ac:dyDescent="0.25">
      <c r="M204" s="24"/>
    </row>
    <row r="205" spans="4:13" ht="23.25" x14ac:dyDescent="0.25">
      <c r="D205" s="6" t="str" cm="1">
        <f t="array" ref="D205">SourceData_Dairy.SourceData_Dairy_FractionOfNitrogenLostThroughLeachingAndRunoff_Title()</f>
        <v>Fraction of N that is lost through leaching and runoff</v>
      </c>
      <c r="M205" s="24"/>
    </row>
    <row r="206" spans="4:13" x14ac:dyDescent="0.25">
      <c r="D206" s="5" t="str" cm="1">
        <f t="array" ref="D206">SourceData_Dairy.SourceData_Dairy_FractionOfNitrogenLostThroughLeachingAndRunoff_Source()</f>
        <v>VEERG 2026: 4.3.2.3 CONSTANTS</v>
      </c>
      <c r="M206" s="24"/>
    </row>
    <row r="207" spans="4:13" x14ac:dyDescent="0.25">
      <c r="D207" s="1" t="str" cm="1">
        <f t="array" ref="D207">SourceData_Dairy.SourceData_Dairy_FractionOfNitrogenLostThroughLeachingAndRunoff_Variable()</f>
        <v>Frac_LEACH_MS</v>
      </c>
      <c r="M207" s="24"/>
    </row>
    <row r="208" spans="4:13" x14ac:dyDescent="0.25">
      <c r="D208" s="57" t="str" cm="1">
        <f t="array" ref="D208">SourceData_Dairy.SourceData_Dairy_FractionOfNitrogenLostThroughLeachingAndRunoff_Unit()</f>
        <v>Dimensionless</v>
      </c>
      <c r="M208" s="24"/>
    </row>
    <row r="209" spans="4:13" x14ac:dyDescent="0.25">
      <c r="D209" s="56" cm="1">
        <f t="array" ref="D209">SourceData_Dairy.SourceData_Dairy_FractionOfNitrogenLostThroughLeachingAndRunoff_Data()</f>
        <v>0.02</v>
      </c>
      <c r="M209" s="24"/>
    </row>
    <row r="210" spans="4:13" x14ac:dyDescent="0.25">
      <c r="M210" s="24"/>
    </row>
    <row r="211" spans="4:13" ht="23.25" x14ac:dyDescent="0.25">
      <c r="D211" s="6" t="str" cm="1">
        <f t="array" ref="D211">SourceData_Dairy.SourceData_Dairy_FracGASMSoil_Title()</f>
        <v>Fraction of nitrogen volatilized from urine and faeces deposited on pasture</v>
      </c>
      <c r="M211" s="24"/>
    </row>
    <row r="212" spans="4:13" x14ac:dyDescent="0.25">
      <c r="D212" s="5" t="str" cm="1">
        <f t="array" ref="D212">SourceData_Dairy.SourceData_Dairy_FracGASMSoil_Source()</f>
        <v>VEERG 2026: 4.3.2.3 CONSTANTS</v>
      </c>
      <c r="M212" s="24"/>
    </row>
    <row r="213" spans="4:13" x14ac:dyDescent="0.25">
      <c r="D213" s="1" t="str" cm="1">
        <f t="array" ref="D213">SourceData_Dairy.SourceData_Dairy_FracGASMSoil_Variable()</f>
        <v>FracGASMsoil</v>
      </c>
      <c r="M213" s="24"/>
    </row>
    <row r="214" spans="4:13" x14ac:dyDescent="0.25">
      <c r="D214" s="57" t="str" cm="1">
        <f t="array" ref="D214">SourceData_Dairy.SourceData_Dairy_FracGASMSoil_Unit()</f>
        <v>(kg NH3-N + NOx-N)/kg N</v>
      </c>
      <c r="M214" s="24"/>
    </row>
    <row r="215" spans="4:13" x14ac:dyDescent="0.25">
      <c r="D215" s="56" cm="1">
        <f t="array" ref="D215">SourceData_Dairy.SourceData_Dairy_FracGASMSoil_Data()</f>
        <v>0.21</v>
      </c>
      <c r="M215" s="24"/>
    </row>
    <row r="216" spans="4:13" x14ac:dyDescent="0.25">
      <c r="M216" s="24"/>
    </row>
    <row r="217" spans="4:13" x14ac:dyDescent="0.25">
      <c r="M217" s="24"/>
    </row>
    <row r="218" spans="4:13" x14ac:dyDescent="0.25">
      <c r="M218" s="24"/>
    </row>
    <row r="219" spans="4:13" x14ac:dyDescent="0.25">
      <c r="M219" s="24"/>
    </row>
    <row r="220" spans="4:13" x14ac:dyDescent="0.25">
      <c r="M220" s="24"/>
    </row>
    <row r="221" spans="4:13" x14ac:dyDescent="0.25">
      <c r="M221" s="24"/>
    </row>
    <row r="222" spans="4:13" x14ac:dyDescent="0.25">
      <c r="M222" s="24"/>
    </row>
    <row r="223" spans="4:13" x14ac:dyDescent="0.25">
      <c r="M223" s="24"/>
    </row>
    <row r="224" spans="4:13" x14ac:dyDescent="0.25">
      <c r="M224" s="24"/>
    </row>
    <row r="225" spans="13:13" x14ac:dyDescent="0.25">
      <c r="M225" s="24"/>
    </row>
    <row r="226" spans="13:13" x14ac:dyDescent="0.25">
      <c r="M226" s="24"/>
    </row>
    <row r="227" spans="13:13" x14ac:dyDescent="0.25">
      <c r="M227" s="24"/>
    </row>
    <row r="228" spans="13:13" x14ac:dyDescent="0.25">
      <c r="M228" s="24"/>
    </row>
    <row r="229" spans="13:13" x14ac:dyDescent="0.25">
      <c r="M229" s="24"/>
    </row>
    <row r="230" spans="13:13" x14ac:dyDescent="0.25">
      <c r="M230" s="24"/>
    </row>
    <row r="231" spans="13:13" x14ac:dyDescent="0.25">
      <c r="M231" s="24"/>
    </row>
    <row r="232" spans="13:13" x14ac:dyDescent="0.25">
      <c r="M232" s="24"/>
    </row>
    <row r="233" spans="13:13" x14ac:dyDescent="0.25">
      <c r="M233" s="24"/>
    </row>
    <row r="234" spans="13:13" x14ac:dyDescent="0.25">
      <c r="M234" s="24"/>
    </row>
    <row r="235" spans="13:13" x14ac:dyDescent="0.25">
      <c r="M235" s="24"/>
    </row>
    <row r="236" spans="13:13" x14ac:dyDescent="0.25">
      <c r="M236" s="24"/>
    </row>
    <row r="237" spans="13:13" x14ac:dyDescent="0.25">
      <c r="M237" s="24"/>
    </row>
    <row r="238" spans="13:13" x14ac:dyDescent="0.25">
      <c r="M238" s="24"/>
    </row>
    <row r="239" spans="13:13" x14ac:dyDescent="0.25">
      <c r="M239" s="24"/>
    </row>
    <row r="240" spans="13:13" x14ac:dyDescent="0.25">
      <c r="M240" s="24"/>
    </row>
    <row r="241" spans="13:13" x14ac:dyDescent="0.25">
      <c r="M241" s="24"/>
    </row>
    <row r="242" spans="13:13" x14ac:dyDescent="0.25">
      <c r="M242" s="24"/>
    </row>
    <row r="243" spans="13:13" x14ac:dyDescent="0.25">
      <c r="M243" s="24"/>
    </row>
    <row r="244" spans="13:13" x14ac:dyDescent="0.25">
      <c r="M244" s="24"/>
    </row>
    <row r="245" spans="13:13" x14ac:dyDescent="0.25">
      <c r="M245" s="24"/>
    </row>
    <row r="246" spans="13:13" x14ac:dyDescent="0.25">
      <c r="M246" s="24"/>
    </row>
    <row r="247" spans="13:13" x14ac:dyDescent="0.25">
      <c r="M247" s="24"/>
    </row>
    <row r="248" spans="13:13" x14ac:dyDescent="0.25">
      <c r="M248" s="24"/>
    </row>
    <row r="249" spans="13:13" x14ac:dyDescent="0.25">
      <c r="M249" s="24"/>
    </row>
    <row r="250" spans="13:13" x14ac:dyDescent="0.25">
      <c r="M250" s="24"/>
    </row>
    <row r="251" spans="13:13" x14ac:dyDescent="0.25">
      <c r="M251" s="24"/>
    </row>
    <row r="252" spans="13:13" x14ac:dyDescent="0.25">
      <c r="M252" s="24"/>
    </row>
    <row r="253" spans="13:13" x14ac:dyDescent="0.25">
      <c r="M253" s="24"/>
    </row>
    <row r="254" spans="13:13" x14ac:dyDescent="0.25">
      <c r="M254" s="24"/>
    </row>
    <row r="255" spans="13:13" x14ac:dyDescent="0.25">
      <c r="M255" s="24"/>
    </row>
    <row r="256" spans="13:13" x14ac:dyDescent="0.25">
      <c r="M256" s="24"/>
    </row>
    <row r="257" spans="13:13" x14ac:dyDescent="0.25">
      <c r="M257" s="24"/>
    </row>
    <row r="258" spans="13:13" x14ac:dyDescent="0.25">
      <c r="M258" s="24"/>
    </row>
    <row r="259" spans="13:13" x14ac:dyDescent="0.25">
      <c r="M259" s="24"/>
    </row>
    <row r="260" spans="13:13" x14ac:dyDescent="0.25">
      <c r="M260" s="24"/>
    </row>
    <row r="261" spans="13:13" x14ac:dyDescent="0.25">
      <c r="M261" s="24"/>
    </row>
    <row r="262" spans="13:13" x14ac:dyDescent="0.25">
      <c r="M262" s="24"/>
    </row>
    <row r="263" spans="13:13" x14ac:dyDescent="0.25">
      <c r="M263" s="24"/>
    </row>
    <row r="264" spans="13:13" x14ac:dyDescent="0.25">
      <c r="M264" s="24"/>
    </row>
    <row r="265" spans="13:13" x14ac:dyDescent="0.25">
      <c r="M265" s="24"/>
    </row>
    <row r="266" spans="13:13" x14ac:dyDescent="0.25">
      <c r="M266" s="24"/>
    </row>
    <row r="267" spans="13:13" x14ac:dyDescent="0.25">
      <c r="M267" s="24"/>
    </row>
    <row r="268" spans="13:13" x14ac:dyDescent="0.25">
      <c r="M268" s="24"/>
    </row>
    <row r="269" spans="13:13" x14ac:dyDescent="0.25">
      <c r="M269" s="24"/>
    </row>
    <row r="270" spans="13:13" x14ac:dyDescent="0.25">
      <c r="M270" s="24"/>
    </row>
    <row r="271" spans="13:13" x14ac:dyDescent="0.25">
      <c r="M271" s="24"/>
    </row>
    <row r="272" spans="13:13" x14ac:dyDescent="0.25">
      <c r="M272" s="24"/>
    </row>
    <row r="273" spans="13:13" x14ac:dyDescent="0.25">
      <c r="M273" s="24"/>
    </row>
    <row r="274" spans="13:13" x14ac:dyDescent="0.25">
      <c r="M274" s="24"/>
    </row>
    <row r="275" spans="13:13" x14ac:dyDescent="0.25">
      <c r="M275" s="24"/>
    </row>
    <row r="276" spans="13:13" x14ac:dyDescent="0.25">
      <c r="M276" s="24"/>
    </row>
    <row r="277" spans="13:13" x14ac:dyDescent="0.25">
      <c r="M277" s="24"/>
    </row>
    <row r="278" spans="13:13" x14ac:dyDescent="0.25">
      <c r="M278" s="24"/>
    </row>
    <row r="279" spans="13:13" x14ac:dyDescent="0.25">
      <c r="M279" s="24"/>
    </row>
    <row r="280" spans="13:13" x14ac:dyDescent="0.25">
      <c r="M280" s="24"/>
    </row>
    <row r="281" spans="13:13" x14ac:dyDescent="0.25">
      <c r="M281" s="24"/>
    </row>
    <row r="282" spans="13:13" x14ac:dyDescent="0.25">
      <c r="M282" s="24"/>
    </row>
    <row r="283" spans="13:13" x14ac:dyDescent="0.25">
      <c r="M283" s="24"/>
    </row>
    <row r="284" spans="13:13" x14ac:dyDescent="0.25">
      <c r="M284" s="24"/>
    </row>
    <row r="285" spans="13:13" x14ac:dyDescent="0.25">
      <c r="M285" s="24"/>
    </row>
    <row r="286" spans="13:13" x14ac:dyDescent="0.25">
      <c r="M286" s="24"/>
    </row>
    <row r="287" spans="13:13" x14ac:dyDescent="0.25">
      <c r="M287" s="24"/>
    </row>
    <row r="288" spans="13:13" x14ac:dyDescent="0.25">
      <c r="M288" s="24"/>
    </row>
  </sheetData>
  <pageMargins left="0.7" right="0.7" top="0.75" bottom="0.75" header="0.3" footer="0.3"/>
  <tableParts count="15">
    <tablePart r:id="rId1"/>
    <tablePart r:id="rId2"/>
    <tablePart r:id="rId3"/>
    <tablePart r:id="rId4"/>
    <tablePart r:id="rId5"/>
    <tablePart r:id="rId6"/>
    <tablePart r:id="rId7"/>
    <tablePart r:id="rId8"/>
    <tablePart r:id="rId9"/>
    <tablePart r:id="rId10"/>
    <tablePart r:id="rId11"/>
    <tablePart r:id="rId12"/>
    <tablePart r:id="rId13"/>
    <tablePart r:id="rId14"/>
    <tablePart r:id="rId15"/>
  </tableParts>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85F1EDF-FAF5-40EA-AE50-8026E0E73061}">
  <dimension ref="A1:BX224"/>
  <sheetViews>
    <sheetView showGridLines="0" tabSelected="1" topLeftCell="A180" zoomScale="85" zoomScaleNormal="85" workbookViewId="0">
      <selection activeCell="D224" sqref="D224"/>
    </sheetView>
  </sheetViews>
  <sheetFormatPr defaultColWidth="9.140625" defaultRowHeight="15.75" x14ac:dyDescent="0.25"/>
  <cols>
    <col min="1" max="1" width="30.7109375" style="7" customWidth="1"/>
    <col min="2" max="2" width="2.7109375" style="7" customWidth="1"/>
    <col min="3" max="3" width="4.7109375" style="1" customWidth="1"/>
    <col min="4" max="4" width="48" style="1" customWidth="1"/>
    <col min="5" max="16" width="20.7109375" style="1" customWidth="1"/>
    <col min="17" max="17" width="17.28515625" style="1" customWidth="1"/>
    <col min="18" max="19" width="20.7109375" style="1" customWidth="1"/>
    <col min="20" max="20" width="4.7109375" style="1" customWidth="1"/>
    <col min="21" max="32" width="20.7109375" style="7" customWidth="1"/>
    <col min="33" max="38" width="21.85546875" style="7" customWidth="1"/>
    <col min="39" max="43" width="20.7109375" style="7" customWidth="1"/>
    <col min="44" max="64" width="9.140625" style="7"/>
    <col min="65" max="16384" width="9.140625" style="3"/>
  </cols>
  <sheetData>
    <row r="1" spans="1:64" s="8" customFormat="1" ht="30" customHeight="1" x14ac:dyDescent="0.35">
      <c r="A1" s="8" t="e" vm="1">
        <v>#VALUE!</v>
      </c>
      <c r="C1" s="8" t="s">
        <v>79</v>
      </c>
    </row>
    <row r="2" spans="1:64" s="9" customFormat="1" ht="20.100000000000001" customHeight="1" x14ac:dyDescent="0.25"/>
    <row r="3" spans="1:64" ht="20.100000000000001" customHeight="1" x14ac:dyDescent="0.25">
      <c r="A3"/>
      <c r="C3" s="4"/>
      <c r="D3" s="4"/>
      <c r="E3" s="4"/>
      <c r="F3" s="4"/>
      <c r="G3" s="4"/>
      <c r="H3" s="4"/>
      <c r="I3" s="4"/>
      <c r="J3" s="4"/>
      <c r="K3" s="4"/>
      <c r="L3" s="4"/>
      <c r="M3" s="4"/>
      <c r="N3" s="4"/>
      <c r="O3" s="4"/>
      <c r="P3" s="4"/>
      <c r="Q3" s="4"/>
      <c r="R3" s="4"/>
      <c r="S3" s="4"/>
      <c r="T3" s="4"/>
      <c r="U3" s="11"/>
      <c r="V3" s="11"/>
    </row>
    <row r="4" spans="1:64" ht="20.100000000000001" customHeight="1" x14ac:dyDescent="0.25">
      <c r="A4"/>
      <c r="BL4" s="3"/>
    </row>
    <row r="5" spans="1:64" ht="20.100000000000001" customHeight="1" x14ac:dyDescent="0.25">
      <c r="A5"/>
      <c r="D5" s="6" t="str" cm="1">
        <f t="array" ref="D5">Common_SourceData.Common_SourceData_AustralianStatesTerritories_Title()</f>
        <v>Australian states and territories</v>
      </c>
      <c r="BL5" s="3"/>
    </row>
    <row r="6" spans="1:64" ht="20.100000000000001" customHeight="1" x14ac:dyDescent="0.25">
      <c r="A6"/>
      <c r="D6" s="39" t="s">
        <v>23</v>
      </c>
      <c r="E6" s="39" t="s">
        <v>24</v>
      </c>
      <c r="F6" s="39" t="s">
        <v>25</v>
      </c>
    </row>
    <row r="7" spans="1:64" ht="20.100000000000001" customHeight="1" x14ac:dyDescent="0.25">
      <c r="A7"/>
      <c r="D7" s="39" t="str" cm="1">
        <f t="array" ref="D7">Common_InputFunctions.Utility_DisplayArrayInTable(Common_SourceData.Common_SourceData_AustralianStatesTerritories_Data(),Table_AustralianStates[[#Headers],[State/Territory]],0)</f>
        <v>New South Wales</v>
      </c>
      <c r="E7" s="39" t="str" cm="1">
        <f t="array" ref="E7">Common_InputFunctions.Utility_DisplayArrayInTable(Common_SourceData.Common_SourceData_AustralianStatesTerritories_Data(),Table_AustralianStates[[#Headers],[State/Territory]],0)</f>
        <v>New South Wales</v>
      </c>
      <c r="F7" s="39" t="str" cm="1">
        <f t="array" ref="F7">Common_InputFunctions.Utility_DisplayArrayInTable(Common_SourceData.Common_SourceData_AustralianStatesTerritories_Data(),Table_AustralianStates[[#Headers],[State/Territory]],0)</f>
        <v>NSW</v>
      </c>
    </row>
    <row r="8" spans="1:64" ht="20.100000000000001" customHeight="1" x14ac:dyDescent="0.25">
      <c r="A8"/>
      <c r="D8" s="39" t="str" cm="1">
        <f t="array" ref="D8">Common_InputFunctions.Utility_DisplayArrayInTable(Common_SourceData.Common_SourceData_AustralianStatesTerritories_Data(),Table_AustralianStates[[#Headers],[State/Territory]],0)</f>
        <v>Australian Capital Territory</v>
      </c>
      <c r="E8" s="39" t="str" cm="1">
        <f t="array" ref="E8">Common_InputFunctions.Utility_DisplayArrayInTable(Common_SourceData.Common_SourceData_AustralianStatesTerritories_Data(),Table_AustralianStates[[#Headers],[State/Territory]],0)</f>
        <v>ACT</v>
      </c>
      <c r="F8" s="39" t="str" cm="1">
        <f t="array" ref="F8">Common_InputFunctions.Utility_DisplayArrayInTable(Common_SourceData.Common_SourceData_AustralianStatesTerritories_Data(),Table_AustralianStates[[#Headers],[State/Territory]],0)</f>
        <v>ACT</v>
      </c>
    </row>
    <row r="9" spans="1:64" ht="20.100000000000001" customHeight="1" x14ac:dyDescent="0.25">
      <c r="A9"/>
      <c r="D9" s="39" t="str" cm="1">
        <f t="array" ref="D9">Common_InputFunctions.Utility_DisplayArrayInTable(Common_SourceData.Common_SourceData_AustralianStatesTerritories_Data(),Table_AustralianStates[[#Headers],[State/Territory]],0)</f>
        <v>Victoria</v>
      </c>
      <c r="E9" s="39" t="str" cm="1">
        <f t="array" ref="E9">Common_InputFunctions.Utility_DisplayArrayInTable(Common_SourceData.Common_SourceData_AustralianStatesTerritories_Data(),Table_AustralianStates[[#Headers],[State/Territory]],0)</f>
        <v>Victoria</v>
      </c>
      <c r="F9" s="39" t="str" cm="1">
        <f t="array" ref="F9">Common_InputFunctions.Utility_DisplayArrayInTable(Common_SourceData.Common_SourceData_AustralianStatesTerritories_Data(),Table_AustralianStates[[#Headers],[State/Territory]],0)</f>
        <v>VIC</v>
      </c>
    </row>
    <row r="10" spans="1:64" ht="20.100000000000001" customHeight="1" x14ac:dyDescent="0.25">
      <c r="A10"/>
      <c r="D10" s="39" t="str" cm="1">
        <f t="array" ref="D10">Common_InputFunctions.Utility_DisplayArrayInTable(Common_SourceData.Common_SourceData_AustralianStatesTerritories_Data(),Table_AustralianStates[[#Headers],[State/Territory]],0)</f>
        <v>Queensland</v>
      </c>
      <c r="E10" s="39" t="str" cm="1">
        <f t="array" ref="E10">Common_InputFunctions.Utility_DisplayArrayInTable(Common_SourceData.Common_SourceData_AustralianStatesTerritories_Data(),Table_AustralianStates[[#Headers],[State/Territory]],0)</f>
        <v>Queensland</v>
      </c>
      <c r="F10" s="39" t="str" cm="1">
        <f t="array" ref="F10">Common_InputFunctions.Utility_DisplayArrayInTable(Common_SourceData.Common_SourceData_AustralianStatesTerritories_Data(),Table_AustralianStates[[#Headers],[State/Territory]],0)</f>
        <v>QLD</v>
      </c>
    </row>
    <row r="11" spans="1:64" ht="20.100000000000001" customHeight="1" x14ac:dyDescent="0.25">
      <c r="A11"/>
      <c r="D11" s="39" t="str" cm="1">
        <f t="array" ref="D11">Common_InputFunctions.Utility_DisplayArrayInTable(Common_SourceData.Common_SourceData_AustralianStatesTerritories_Data(),Table_AustralianStates[[#Headers],[State/Territory]],0)</f>
        <v>South Australia</v>
      </c>
      <c r="E11" s="39" t="str" cm="1">
        <f t="array" ref="E11">Common_InputFunctions.Utility_DisplayArrayInTable(Common_SourceData.Common_SourceData_AustralianStatesTerritories_Data(),Table_AustralianStates[[#Headers],[State/Territory]],0)</f>
        <v>South Australia</v>
      </c>
      <c r="F11" s="39" t="str" cm="1">
        <f t="array" ref="F11">Common_InputFunctions.Utility_DisplayArrayInTable(Common_SourceData.Common_SourceData_AustralianStatesTerritories_Data(),Table_AustralianStates[[#Headers],[State/Territory]],0)</f>
        <v>SA</v>
      </c>
      <c r="BL11" s="3"/>
    </row>
    <row r="12" spans="1:64" ht="20.100000000000001" customHeight="1" x14ac:dyDescent="0.25">
      <c r="A12"/>
      <c r="D12" s="39" t="str" cm="1">
        <f t="array" ref="D12">Common_InputFunctions.Utility_DisplayArrayInTable(Common_SourceData.Common_SourceData_AustralianStatesTerritories_Data(),Table_AustralianStates[[#Headers],[State/Territory]],0)</f>
        <v>Western Australia</v>
      </c>
      <c r="E12" s="39" t="str" cm="1">
        <f t="array" ref="E12">Common_InputFunctions.Utility_DisplayArrayInTable(Common_SourceData.Common_SourceData_AustralianStatesTerritories_Data(),Table_AustralianStates[[#Headers],[State/Territory]],0)</f>
        <v>Western Australia</v>
      </c>
      <c r="F12" s="39" t="str" cm="1">
        <f t="array" ref="F12">Common_InputFunctions.Utility_DisplayArrayInTable(Common_SourceData.Common_SourceData_AustralianStatesTerritories_Data(),Table_AustralianStates[[#Headers],[State/Territory]],0)</f>
        <v>WA</v>
      </c>
      <c r="BL12" s="3"/>
    </row>
    <row r="13" spans="1:64" ht="20.100000000000001" customHeight="1" x14ac:dyDescent="0.25">
      <c r="A13"/>
      <c r="D13" s="39" t="str" cm="1">
        <f t="array" ref="D13">Common_InputFunctions.Utility_DisplayArrayInTable(Common_SourceData.Common_SourceData_AustralianStatesTerritories_Data(),Table_AustralianStates[[#Headers],[State/Territory]],0)</f>
        <v>Tasmania</v>
      </c>
      <c r="E13" s="39" t="str" cm="1">
        <f t="array" ref="E13">Common_InputFunctions.Utility_DisplayArrayInTable(Common_SourceData.Common_SourceData_AustralianStatesTerritories_Data(),Table_AustralianStates[[#Headers],[State/Territory]],0)</f>
        <v>Tasmania</v>
      </c>
      <c r="F13" s="39" t="str" cm="1">
        <f t="array" ref="F13">Common_InputFunctions.Utility_DisplayArrayInTable(Common_SourceData.Common_SourceData_AustralianStatesTerritories_Data(),Table_AustralianStates[[#Headers],[State/Territory]],0)</f>
        <v>TAS</v>
      </c>
    </row>
    <row r="14" spans="1:64" ht="20.100000000000001" customHeight="1" x14ac:dyDescent="0.25">
      <c r="A14"/>
      <c r="D14" s="39" t="str" cm="1">
        <f t="array" ref="D14">Common_InputFunctions.Utility_DisplayArrayInTable(Common_SourceData.Common_SourceData_AustralianStatesTerritories_Data(),Table_AustralianStates[[#Headers],[State/Territory]],0)</f>
        <v>Northern Territory</v>
      </c>
      <c r="E14" s="39" t="str" cm="1">
        <f t="array" ref="E14">Common_InputFunctions.Utility_DisplayArrayInTable(Common_SourceData.Common_SourceData_AustralianStatesTerritories_Data(),Table_AustralianStates[[#Headers],[State/Territory]],0)</f>
        <v>Northern Territory</v>
      </c>
      <c r="F14" s="39" t="str" cm="1">
        <f t="array" ref="F14">Common_InputFunctions.Utility_DisplayArrayInTable(Common_SourceData.Common_SourceData_AustralianStatesTerritories_Data(),Table_AustralianStates[[#Headers],[State/Territory]],0)</f>
        <v>NT</v>
      </c>
    </row>
    <row r="15" spans="1:64" ht="20.100000000000001" customHeight="1" x14ac:dyDescent="0.25">
      <c r="A15"/>
    </row>
    <row r="16" spans="1:64" ht="20.100000000000001" customHeight="1" x14ac:dyDescent="0.25">
      <c r="A16"/>
    </row>
    <row r="17" spans="1:4" ht="20.100000000000001" customHeight="1" x14ac:dyDescent="0.25">
      <c r="A17"/>
    </row>
    <row r="18" spans="1:4" ht="20.100000000000001" customHeight="1" x14ac:dyDescent="0.25">
      <c r="A18"/>
      <c r="D18" s="6" t="str" cm="1">
        <f t="array" ref="D18">Common_SourceData.Common_SourceData_WASA4Areas_Title()</f>
        <v>ABS Statistcal Areas Level 4 - Western Australia</v>
      </c>
    </row>
    <row r="19" spans="1:4" ht="20.100000000000001" customHeight="1" x14ac:dyDescent="0.25">
      <c r="A19"/>
      <c r="D19" s="5" t="str" cm="1">
        <f t="array" ref="D19">Common_SourceData.Common_SourceData_WASA4Areas_Source()</f>
        <v>Australian Bureau of Statistics (ABS) - Statistical Areas Level 2 - 2021 - Shapefile</v>
      </c>
    </row>
    <row r="20" spans="1:4" ht="20.100000000000001" customHeight="1" x14ac:dyDescent="0.25">
      <c r="A20"/>
      <c r="D20" s="39" t="s">
        <v>26</v>
      </c>
    </row>
    <row r="21" spans="1:4" ht="20.100000000000001" customHeight="1" x14ac:dyDescent="0.25">
      <c r="A21"/>
      <c r="D21" s="39" t="str" cm="1">
        <f t="array" ref="D21">Common_InputFunctions.Utility_DisplayArrayInTable(Common_SourceData.Common_SourceData_WASA4Areas_Data(), Table_WASA4Areas[[#Headers],[SA 4 Name]], 0)</f>
        <v>Bunbury</v>
      </c>
    </row>
    <row r="22" spans="1:4" ht="20.100000000000001" customHeight="1" x14ac:dyDescent="0.25">
      <c r="A22"/>
      <c r="D22" s="39" t="str" cm="1">
        <f t="array" ref="D22">Common_InputFunctions.Utility_DisplayArrayInTable(Common_SourceData.Common_SourceData_WASA4Areas_Data(), Table_WASA4Areas[[#Headers],[SA 4 Name]], 0)</f>
        <v>Mandurah</v>
      </c>
    </row>
    <row r="23" spans="1:4" ht="20.100000000000001" customHeight="1" x14ac:dyDescent="0.25">
      <c r="A23"/>
      <c r="D23" s="39" t="str" cm="1">
        <f t="array" ref="D23">Common_InputFunctions.Utility_DisplayArrayInTable(Common_SourceData.Common_SourceData_WASA4Areas_Data(), Table_WASA4Areas[[#Headers],[SA 4 Name]], 0)</f>
        <v>Perth - Inner</v>
      </c>
    </row>
    <row r="24" spans="1:4" ht="20.100000000000001" customHeight="1" x14ac:dyDescent="0.25">
      <c r="A24"/>
      <c r="D24" s="39" t="str" cm="1">
        <f t="array" ref="D24">Common_InputFunctions.Utility_DisplayArrayInTable(Common_SourceData.Common_SourceData_WASA4Areas_Data(), Table_WASA4Areas[[#Headers],[SA 4 Name]], 0)</f>
        <v>Perth - North East</v>
      </c>
    </row>
    <row r="25" spans="1:4" ht="20.100000000000001" customHeight="1" x14ac:dyDescent="0.25">
      <c r="A25"/>
      <c r="D25" s="39" t="str" cm="1">
        <f t="array" ref="D25">Common_InputFunctions.Utility_DisplayArrayInTable(Common_SourceData.Common_SourceData_WASA4Areas_Data(), Table_WASA4Areas[[#Headers],[SA 4 Name]], 0)</f>
        <v>Perth - North West</v>
      </c>
    </row>
    <row r="26" spans="1:4" ht="20.100000000000001" customHeight="1" x14ac:dyDescent="0.25">
      <c r="A26"/>
      <c r="D26" s="39" t="str" cm="1">
        <f t="array" ref="D26">Common_InputFunctions.Utility_DisplayArrayInTable(Common_SourceData.Common_SourceData_WASA4Areas_Data(), Table_WASA4Areas[[#Headers],[SA 4 Name]], 0)</f>
        <v>Perth - South East</v>
      </c>
    </row>
    <row r="27" spans="1:4" ht="20.100000000000001" customHeight="1" x14ac:dyDescent="0.25">
      <c r="A27"/>
      <c r="D27" s="39" t="str" cm="1">
        <f t="array" ref="D27">Common_InputFunctions.Utility_DisplayArrayInTable(Common_SourceData.Common_SourceData_WASA4Areas_Data(), Table_WASA4Areas[[#Headers],[SA 4 Name]], 0)</f>
        <v>Perth - South West</v>
      </c>
    </row>
    <row r="28" spans="1:4" ht="20.100000000000001" customHeight="1" x14ac:dyDescent="0.25">
      <c r="A28"/>
      <c r="D28" s="39" t="str" cm="1">
        <f t="array" ref="D28">Common_InputFunctions.Utility_DisplayArrayInTable(Common_SourceData.Common_SourceData_WASA4Areas_Data(), Table_WASA4Areas[[#Headers],[SA 4 Name]], 0)</f>
        <v>Western Australia - Wheat Belt</v>
      </c>
    </row>
    <row r="29" spans="1:4" ht="20.100000000000001" customHeight="1" x14ac:dyDescent="0.25">
      <c r="A29"/>
      <c r="D29" s="39" t="str" cm="1">
        <f t="array" ref="D29">Common_InputFunctions.Utility_DisplayArrayInTable(Common_SourceData.Common_SourceData_WASA4Areas_Data(), Table_WASA4Areas[[#Headers],[SA 4 Name]], 0)</f>
        <v>Western Australia - Outback (North)</v>
      </c>
    </row>
    <row r="30" spans="1:4" ht="20.100000000000001" customHeight="1" x14ac:dyDescent="0.25">
      <c r="A30"/>
      <c r="D30" s="39" t="str" cm="1">
        <f t="array" ref="D30">Common_InputFunctions.Utility_DisplayArrayInTable(Common_SourceData.Common_SourceData_WASA4Areas_Data(), Table_WASA4Areas[[#Headers],[SA 4 Name]], 0)</f>
        <v>Western Australia - Outback (South)</v>
      </c>
    </row>
    <row r="31" spans="1:4" ht="20.100000000000001" customHeight="1" x14ac:dyDescent="0.25">
      <c r="A31"/>
    </row>
    <row r="32" spans="1:4" ht="20.100000000000001" customHeight="1" x14ac:dyDescent="0.25">
      <c r="A32"/>
    </row>
    <row r="33" spans="1:8" ht="20.100000000000001" customHeight="1" x14ac:dyDescent="0.25">
      <c r="A33"/>
    </row>
    <row r="34" spans="1:8" ht="20.100000000000001" customHeight="1" x14ac:dyDescent="0.25">
      <c r="A34"/>
      <c r="D34" s="6" t="str" cm="1">
        <f t="array" ref="D34">Common_SourceData.Common_SourceData_GWP_Title()</f>
        <v>Global warming potential for greenhouse gases</v>
      </c>
    </row>
    <row r="35" spans="1:8" ht="20.100000000000001" customHeight="1" x14ac:dyDescent="0.25">
      <c r="A35"/>
      <c r="D35" s="5" t="str" cm="1">
        <f t="array" ref="D35">Common_SourceData.Common_SourceData_GWP_Source()</f>
        <v>XXXXXXX</v>
      </c>
    </row>
    <row r="36" spans="1:8" ht="20.100000000000001" customHeight="1" x14ac:dyDescent="0.25">
      <c r="A36"/>
      <c r="D36" s="39" t="s">
        <v>29</v>
      </c>
      <c r="E36" s="39" t="s">
        <v>30</v>
      </c>
    </row>
    <row r="37" spans="1:8" ht="20.100000000000001" customHeight="1" x14ac:dyDescent="0.25">
      <c r="A37"/>
      <c r="D37" s="39" t="str" cm="1">
        <f t="array" ref="D37">Common_InputFunctions.Utility_DisplayArrayInTable(Common_SourceData.Common_SourceData_GWP_Data(), Table_GWPData[[#Headers],[Gas]], 0)</f>
        <v>CO2</v>
      </c>
      <c r="E37" s="39" cm="1">
        <f t="array" ref="E37">Common_InputFunctions.Utility_DisplayArrayInTable(Common_SourceData.Common_SourceData_GWP_Data(), Table_GWPData[[#Headers],[Gas]], 0)</f>
        <v>1</v>
      </c>
    </row>
    <row r="38" spans="1:8" ht="20.100000000000001" customHeight="1" x14ac:dyDescent="0.25">
      <c r="A38"/>
      <c r="D38" s="39" t="str" cm="1">
        <f t="array" ref="D38">Common_InputFunctions.Utility_DisplayArrayInTable(Common_SourceData.Common_SourceData_GWP_Data(), Table_GWPData[[#Headers],[Gas]], 0)</f>
        <v>CH4</v>
      </c>
      <c r="E38" s="39" cm="1">
        <f t="array" ref="E38">Common_InputFunctions.Utility_DisplayArrayInTable(Common_SourceData.Common_SourceData_GWP_Data(), Table_GWPData[[#Headers],[Gas]], 0)</f>
        <v>28</v>
      </c>
    </row>
    <row r="39" spans="1:8" ht="20.100000000000001" customHeight="1" x14ac:dyDescent="0.25">
      <c r="A39"/>
      <c r="D39" s="39" t="str" cm="1">
        <f t="array" ref="D39">Common_InputFunctions.Utility_DisplayArrayInTable(Common_SourceData.Common_SourceData_GWP_Data(), Table_GWPData[[#Headers],[Gas]], 0)</f>
        <v>N2O</v>
      </c>
      <c r="E39" s="39" cm="1">
        <f t="array" ref="E39">Common_InputFunctions.Utility_DisplayArrayInTable(Common_SourceData.Common_SourceData_GWP_Data(), Table_GWPData[[#Headers],[Gas]], 0)</f>
        <v>265</v>
      </c>
    </row>
    <row r="40" spans="1:8" ht="20.100000000000001" customHeight="1" x14ac:dyDescent="0.25">
      <c r="A40"/>
      <c r="D40" s="39" t="str" cm="1">
        <f t="array" ref="D40">Common_InputFunctions.Utility_DisplayArrayInTable(Common_SourceData.Common_SourceData_GWP_Data(), Table_GWPData[[#Headers],[Gas]], 0)</f>
        <v>CF4</v>
      </c>
      <c r="E40" s="39" cm="1">
        <f t="array" ref="E40">Common_InputFunctions.Utility_DisplayArrayInTable(Common_SourceData.Common_SourceData_GWP_Data(), Table_GWPData[[#Headers],[Gas]], 0)</f>
        <v>6630</v>
      </c>
    </row>
    <row r="41" spans="1:8" ht="20.100000000000001" customHeight="1" x14ac:dyDescent="0.25">
      <c r="A41"/>
      <c r="D41" s="39" t="str" cm="1">
        <f t="array" ref="D41">Common_InputFunctions.Utility_DisplayArrayInTable(Common_SourceData.Common_SourceData_GWP_Data(), Table_GWPData[[#Headers],[Gas]], 0)</f>
        <v>C2F6</v>
      </c>
      <c r="E41" s="39" cm="1">
        <f t="array" ref="E41">Common_InputFunctions.Utility_DisplayArrayInTable(Common_SourceData.Common_SourceData_GWP_Data(), Table_GWPData[[#Headers],[Gas]], 0)</f>
        <v>12200</v>
      </c>
    </row>
    <row r="42" spans="1:8" ht="20.100000000000001" customHeight="1" x14ac:dyDescent="0.25">
      <c r="D42" s="39" t="str" cm="1">
        <f t="array" ref="D42">Common_InputFunctions.Utility_DisplayArrayInTable(Common_SourceData.Common_SourceData_GWP_Data(), Table_GWPData[[#Headers],[Gas]], 0)</f>
        <v>SF6</v>
      </c>
      <c r="E42" s="39" cm="1">
        <f t="array" ref="E42">Common_InputFunctions.Utility_DisplayArrayInTable(Common_SourceData.Common_SourceData_GWP_Data(), Table_GWPData[[#Headers],[Gas]], 0)</f>
        <v>22800</v>
      </c>
    </row>
    <row r="43" spans="1:8" ht="20.100000000000001" customHeight="1" x14ac:dyDescent="0.25">
      <c r="D43" s="39" t="str" cm="1">
        <f t="array" ref="D43">Common_InputFunctions.Utility_DisplayArrayInTable(Common_SourceData.Common_SourceData_GWP_Data(), Table_GWPData[[#Headers],[Gas]], 0)</f>
        <v>NF3</v>
      </c>
      <c r="E43" s="39" cm="1">
        <f t="array" ref="E43">Common_InputFunctions.Utility_DisplayArrayInTable(Common_SourceData.Common_SourceData_GWP_Data(), Table_GWPData[[#Headers],[Gas]], 0)</f>
        <v>17200</v>
      </c>
    </row>
    <row r="44" spans="1:8" ht="20.100000000000001" customHeight="1" x14ac:dyDescent="0.25"/>
    <row r="45" spans="1:8" ht="20.100000000000001" customHeight="1" x14ac:dyDescent="0.25">
      <c r="D45" s="6" t="str" cm="1">
        <f t="array" ref="D45">Common_SourceData.Common_SourceData_ConvertGasElementalToMolecular_Title()</f>
        <v>Factor to convert elemental mass of gas to molecular mass</v>
      </c>
    </row>
    <row r="46" spans="1:8" ht="20.100000000000001" customHeight="1" x14ac:dyDescent="0.25">
      <c r="D46" s="5" t="str" cm="1">
        <f t="array" ref="D46">Common_SourceData.Common_SourceData_ConvertGasElementalToMolecular_Source()</f>
        <v>XXXXXXX</v>
      </c>
    </row>
    <row r="47" spans="1:8" ht="20.100000000000001" customHeight="1" x14ac:dyDescent="0.25">
      <c r="D47" s="39" t="s">
        <v>29</v>
      </c>
      <c r="E47" s="39" t="s">
        <v>32</v>
      </c>
      <c r="F47" s="39" t="s">
        <v>33</v>
      </c>
      <c r="G47" s="39" t="s">
        <v>34</v>
      </c>
      <c r="H47" s="39" t="s">
        <v>35</v>
      </c>
    </row>
    <row r="48" spans="1:8" ht="20.100000000000001" customHeight="1" x14ac:dyDescent="0.25">
      <c r="D48" s="39" t="str" cm="1">
        <f t="array" ref="D48">Common_InputFunctions.Utility_DisplayArrayInTable(Common_SourceData.Common_SourceData_ConvertGasElementalToMolecular_Data(),Table_GasToMolecularConversionFactor[[#Headers],[Gas]], 0)</f>
        <v>CO2</v>
      </c>
      <c r="E48" s="39" t="str" cm="1">
        <f t="array" ref="E48">Common_InputFunctions.Utility_DisplayArrayInTable(Common_SourceData.Common_SourceData_ConvertGasElementalToMolecular_Data(),Table_GasToMolecularConversionFactor[[#Headers],[Gas]], 0)</f>
        <v>44/12</v>
      </c>
      <c r="F48" s="39" cm="1">
        <f t="array" ref="F48">Common_InputFunctions.Utility_DisplayArrayInTable(Common_SourceData.Common_SourceData_ConvertGasElementalToMolecular_Data(),Table_GasToMolecularConversionFactor[[#Headers],[Gas]], 0)</f>
        <v>44</v>
      </c>
      <c r="G48" s="39" cm="1">
        <f t="array" ref="G48">Common_InputFunctions.Utility_DisplayArrayInTable(Common_SourceData.Common_SourceData_ConvertGasElementalToMolecular_Data(),Table_GasToMolecularConversionFactor[[#Headers],[Gas]], 0)</f>
        <v>12</v>
      </c>
      <c r="H48" s="39">
        <f>Table_GasToMolecularConversionFactor[[#This Row],[Conversion factor 1]]/Table_GasToMolecularConversionFactor[[#This Row],[Conversion factor 2]]</f>
        <v>3.6666666666666665</v>
      </c>
    </row>
    <row r="49" spans="4:8" ht="20.100000000000001" customHeight="1" x14ac:dyDescent="0.25">
      <c r="D49" s="39" t="str" cm="1">
        <f t="array" ref="D49">Common_InputFunctions.Utility_DisplayArrayInTable(Common_SourceData.Common_SourceData_ConvertGasElementalToMolecular_Data(),Table_GasToMolecularConversionFactor[[#Headers],[Gas]], 0)</f>
        <v>CH4</v>
      </c>
      <c r="E49" s="39" t="str" cm="1">
        <f t="array" ref="E49">Common_InputFunctions.Utility_DisplayArrayInTable(Common_SourceData.Common_SourceData_ConvertGasElementalToMolecular_Data(),Table_GasToMolecularConversionFactor[[#Headers],[Gas]], 0)</f>
        <v>16/12</v>
      </c>
      <c r="F49" s="39" cm="1">
        <f t="array" ref="F49">Common_InputFunctions.Utility_DisplayArrayInTable(Common_SourceData.Common_SourceData_ConvertGasElementalToMolecular_Data(),Table_GasToMolecularConversionFactor[[#Headers],[Gas]], 0)</f>
        <v>16</v>
      </c>
      <c r="G49" s="39" cm="1">
        <f t="array" ref="G49">Common_InputFunctions.Utility_DisplayArrayInTable(Common_SourceData.Common_SourceData_ConvertGasElementalToMolecular_Data(),Table_GasToMolecularConversionFactor[[#Headers],[Gas]], 0)</f>
        <v>12</v>
      </c>
      <c r="H49" s="39">
        <f>Table_GasToMolecularConversionFactor[[#This Row],[Conversion factor 1]]/Table_GasToMolecularConversionFactor[[#This Row],[Conversion factor 2]]</f>
        <v>1.3333333333333333</v>
      </c>
    </row>
    <row r="50" spans="4:8" ht="20.100000000000001" customHeight="1" x14ac:dyDescent="0.25">
      <c r="D50" s="39" t="str" cm="1">
        <f t="array" ref="D50">Common_InputFunctions.Utility_DisplayArrayInTable(Common_SourceData.Common_SourceData_ConvertGasElementalToMolecular_Data(),Table_GasToMolecularConversionFactor[[#Headers],[Gas]], 0)</f>
        <v>N2O</v>
      </c>
      <c r="E50" s="39" t="str" cm="1">
        <f t="array" ref="E50">Common_InputFunctions.Utility_DisplayArrayInTable(Common_SourceData.Common_SourceData_ConvertGasElementalToMolecular_Data(),Table_GasToMolecularConversionFactor[[#Headers],[Gas]], 0)</f>
        <v>44/28</v>
      </c>
      <c r="F50" s="39" cm="1">
        <f t="array" ref="F50">Common_InputFunctions.Utility_DisplayArrayInTable(Common_SourceData.Common_SourceData_ConvertGasElementalToMolecular_Data(),Table_GasToMolecularConversionFactor[[#Headers],[Gas]], 0)</f>
        <v>44</v>
      </c>
      <c r="G50" s="39" cm="1">
        <f t="array" ref="G50">Common_InputFunctions.Utility_DisplayArrayInTable(Common_SourceData.Common_SourceData_ConvertGasElementalToMolecular_Data(),Table_GasToMolecularConversionFactor[[#Headers],[Gas]], 0)</f>
        <v>28</v>
      </c>
      <c r="H50" s="39">
        <f>Table_GasToMolecularConversionFactor[[#This Row],[Conversion factor 1]]/Table_GasToMolecularConversionFactor[[#This Row],[Conversion factor 2]]</f>
        <v>1.5714285714285714</v>
      </c>
    </row>
    <row r="51" spans="4:8" ht="20.100000000000001" customHeight="1" x14ac:dyDescent="0.25">
      <c r="D51" s="39" t="str" cm="1">
        <f t="array" ref="D51">Common_InputFunctions.Utility_DisplayArrayInTable(Common_SourceData.Common_SourceData_ConvertGasElementalToMolecular_Data(),Table_GasToMolecularConversionFactor[[#Headers],[Gas]], 0)</f>
        <v>Nox</v>
      </c>
      <c r="E51" s="39" t="str" cm="1">
        <f t="array" ref="E51">Common_InputFunctions.Utility_DisplayArrayInTable(Common_SourceData.Common_SourceData_ConvertGasElementalToMolecular_Data(),Table_GasToMolecularConversionFactor[[#Headers],[Gas]], 0)</f>
        <v>46/14</v>
      </c>
      <c r="F51" s="39" cm="1">
        <f t="array" ref="F51">Common_InputFunctions.Utility_DisplayArrayInTable(Common_SourceData.Common_SourceData_ConvertGasElementalToMolecular_Data(),Table_GasToMolecularConversionFactor[[#Headers],[Gas]], 0)</f>
        <v>46</v>
      </c>
      <c r="G51" s="39" cm="1">
        <f t="array" ref="G51">Common_InputFunctions.Utility_DisplayArrayInTable(Common_SourceData.Common_SourceData_ConvertGasElementalToMolecular_Data(),Table_GasToMolecularConversionFactor[[#Headers],[Gas]], 0)</f>
        <v>14</v>
      </c>
      <c r="H51" s="39">
        <f>Table_GasToMolecularConversionFactor[[#This Row],[Conversion factor 1]]/Table_GasToMolecularConversionFactor[[#This Row],[Conversion factor 2]]</f>
        <v>3.2857142857142856</v>
      </c>
    </row>
    <row r="52" spans="4:8" ht="20.100000000000001" customHeight="1" x14ac:dyDescent="0.25">
      <c r="D52" s="39" t="str" cm="1">
        <f t="array" ref="D52">Common_InputFunctions.Utility_DisplayArrayInTable(Common_SourceData.Common_SourceData_ConvertGasElementalToMolecular_Data(),Table_GasToMolecularConversionFactor[[#Headers],[Gas]], 0)</f>
        <v>CO</v>
      </c>
      <c r="E52" s="39" t="str" cm="1">
        <f t="array" ref="E52">Common_InputFunctions.Utility_DisplayArrayInTable(Common_SourceData.Common_SourceData_ConvertGasElementalToMolecular_Data(),Table_GasToMolecularConversionFactor[[#Headers],[Gas]], 0)</f>
        <v>28/12</v>
      </c>
      <c r="F52" s="39" cm="1">
        <f t="array" ref="F52">Common_InputFunctions.Utility_DisplayArrayInTable(Common_SourceData.Common_SourceData_ConvertGasElementalToMolecular_Data(),Table_GasToMolecularConversionFactor[[#Headers],[Gas]], 0)</f>
        <v>28</v>
      </c>
      <c r="G52" s="39" cm="1">
        <f t="array" ref="G52">Common_InputFunctions.Utility_DisplayArrayInTable(Common_SourceData.Common_SourceData_ConvertGasElementalToMolecular_Data(),Table_GasToMolecularConversionFactor[[#Headers],[Gas]], 0)</f>
        <v>12</v>
      </c>
      <c r="H52" s="39">
        <f>Table_GasToMolecularConversionFactor[[#This Row],[Conversion factor 1]]/Table_GasToMolecularConversionFactor[[#This Row],[Conversion factor 2]]</f>
        <v>2.3333333333333335</v>
      </c>
    </row>
    <row r="53" spans="4:8" ht="20.100000000000001" customHeight="1" x14ac:dyDescent="0.25">
      <c r="D53" s="39" t="str" cm="1">
        <f t="array" ref="D53">Common_InputFunctions.Utility_DisplayArrayInTable(Common_SourceData.Common_SourceData_ConvertGasElementalToMolecular_Data(),Table_GasToMolecularConversionFactor[[#Headers],[Gas]], 0)</f>
        <v>CO2 Lime</v>
      </c>
      <c r="E53" s="39" t="str" cm="1">
        <f t="array" ref="E53">Common_InputFunctions.Utility_DisplayArrayInTable(Common_SourceData.Common_SourceData_ConvertGasElementalToMolecular_Data(),Table_GasToMolecularConversionFactor[[#Headers],[Gas]], 0)</f>
        <v>44/12</v>
      </c>
      <c r="F53" s="39" cm="1">
        <f t="array" ref="F53">Common_InputFunctions.Utility_DisplayArrayInTable(Common_SourceData.Common_SourceData_ConvertGasElementalToMolecular_Data(),Table_GasToMolecularConversionFactor[[#Headers],[Gas]], 0)</f>
        <v>44</v>
      </c>
      <c r="G53" s="39" cm="1">
        <f t="array" ref="G53">Common_InputFunctions.Utility_DisplayArrayInTable(Common_SourceData.Common_SourceData_ConvertGasElementalToMolecular_Data(),Table_GasToMolecularConversionFactor[[#Headers],[Gas]], 0)</f>
        <v>12</v>
      </c>
      <c r="H53" s="39">
        <f>Table_GasToMolecularConversionFactor[[#This Row],[Conversion factor 1]]/Table_GasToMolecularConversionFactor[[#This Row],[Conversion factor 2]]</f>
        <v>3.6666666666666665</v>
      </c>
    </row>
    <row r="54" spans="4:8" ht="20.100000000000001" customHeight="1" x14ac:dyDescent="0.25">
      <c r="D54" s="39" t="str" cm="1">
        <f t="array" ref="D54">Common_InputFunctions.Utility_DisplayArrayInTable(Common_SourceData.Common_SourceData_ConvertGasElementalToMolecular_Data(),Table_GasToMolecularConversionFactor[[#Headers],[Gas]], 0)</f>
        <v>NMVOC</v>
      </c>
      <c r="E54" s="39" t="str" cm="1">
        <f t="array" ref="E54">Common_InputFunctions.Utility_DisplayArrayInTable(Common_SourceData.Common_SourceData_ConvertGasElementalToMolecular_Data(),Table_GasToMolecularConversionFactor[[#Headers],[Gas]], 0)</f>
        <v>14/12</v>
      </c>
      <c r="F54" s="39" cm="1">
        <f t="array" ref="F54">Common_InputFunctions.Utility_DisplayArrayInTable(Common_SourceData.Common_SourceData_ConvertGasElementalToMolecular_Data(),Table_GasToMolecularConversionFactor[[#Headers],[Gas]], 0)</f>
        <v>14</v>
      </c>
      <c r="G54" s="39" cm="1">
        <f t="array" ref="G54">Common_InputFunctions.Utility_DisplayArrayInTable(Common_SourceData.Common_SourceData_ConvertGasElementalToMolecular_Data(),Table_GasToMolecularConversionFactor[[#Headers],[Gas]], 0)</f>
        <v>12</v>
      </c>
      <c r="H54" s="39">
        <f>Table_GasToMolecularConversionFactor[[#This Row],[Conversion factor 1]]/Table_GasToMolecularConversionFactor[[#This Row],[Conversion factor 2]]</f>
        <v>1.1666666666666667</v>
      </c>
    </row>
    <row r="55" spans="4:8" ht="20.100000000000001" customHeight="1" x14ac:dyDescent="0.25"/>
    <row r="56" spans="4:8" ht="20.100000000000001" customHeight="1" x14ac:dyDescent="0.25"/>
    <row r="57" spans="4:8" ht="20.100000000000001" customHeight="1" x14ac:dyDescent="0.25">
      <c r="D57" s="6" t="str" cm="1">
        <f t="array" ref="D57">Common_SourceData.Common_SourceData_WetAndDryZones_Title()</f>
        <v>VEERG Australian wet and dry zones</v>
      </c>
    </row>
    <row r="58" spans="4:8" ht="20.100000000000001" customHeight="1" x14ac:dyDescent="0.25">
      <c r="D58" s="5" t="str" cm="1">
        <f t="array" ref="D58">Common_SourceData.Common_SourceData_WetAndDryZones_Source()</f>
        <v>VEERG 2026: Table 1.2: Translating climate zones to wet and dry zones</v>
      </c>
    </row>
    <row r="59" spans="4:8" ht="20.100000000000001" customHeight="1" x14ac:dyDescent="0.25">
      <c r="D59" s="58" t="str" cm="1">
        <f t="array" ref="D59:D61">"⚠️" &amp; Common_SourceData.Common_SourceData_WetAndDryZones_Variation()</f>
        <v>⚠️VARIATION OF SOURCE DATA:</v>
      </c>
    </row>
    <row r="60" spans="4:8" ht="20.100000000000001" customHeight="1" x14ac:dyDescent="0.25">
      <c r="D60" s="58" t="str">
        <v>⚠️Added warm / cool temperate moist / dry - low frost and high temp classes to accommodate climate scenarios excluded by VEERG criteria.</v>
      </c>
    </row>
    <row r="61" spans="4:8" ht="20.100000000000001" customHeight="1" x14ac:dyDescent="0.25">
      <c r="D61" s="58" t="str">
        <v>⚠️Fixed typo - Changed 'Fry' to 'Dry'.</v>
      </c>
    </row>
    <row r="62" spans="4:8" ht="20.100000000000001" customHeight="1" x14ac:dyDescent="0.25"/>
    <row r="63" spans="4:8" ht="20.100000000000001" customHeight="1" x14ac:dyDescent="0.25">
      <c r="D63" s="39" t="s">
        <v>10</v>
      </c>
      <c r="E63" s="39" t="s">
        <v>50</v>
      </c>
    </row>
    <row r="64" spans="4:8" ht="20.100000000000001" customHeight="1" x14ac:dyDescent="0.25">
      <c r="D64" s="39" t="str" cm="1">
        <f t="array" ref="D64">Common_InputFunctions.Utility_DisplayArrayInTable(Common_SourceData.Common_SourceData_WetAndDryZones_Data(), Table_SourceData_WetDryZones[[#Headers],[Climate zone]], 0)</f>
        <v>Tropical montane</v>
      </c>
      <c r="E64" s="39" t="str" cm="1">
        <f t="array" ref="E64">Common_InputFunctions.Utility_DisplayArrayInTable(Common_SourceData.Common_SourceData_WetAndDryZones_Data(), Table_SourceData_WetDryZones[[#Headers],[Climate zone]], 0)</f>
        <v>Wet climate zone</v>
      </c>
    </row>
    <row r="65" spans="4:5" ht="20.100000000000001" customHeight="1" x14ac:dyDescent="0.25">
      <c r="D65" s="39" t="str" cm="1">
        <f t="array" ref="D65">Common_InputFunctions.Utility_DisplayArrayInTable(Common_SourceData.Common_SourceData_WetAndDryZones_Data(), Table_SourceData_WetDryZones[[#Headers],[Climate zone]], 0)</f>
        <v>Tropical wet</v>
      </c>
      <c r="E65" s="39" t="str" cm="1">
        <f t="array" ref="E65">Common_InputFunctions.Utility_DisplayArrayInTable(Common_SourceData.Common_SourceData_WetAndDryZones_Data(), Table_SourceData_WetDryZones[[#Headers],[Climate zone]], 0)</f>
        <v>Wet climate zone</v>
      </c>
    </row>
    <row r="66" spans="4:5" ht="20.100000000000001" customHeight="1" x14ac:dyDescent="0.25">
      <c r="D66" s="39" t="str" cm="1">
        <f t="array" ref="D66">Common_InputFunctions.Utility_DisplayArrayInTable(Common_SourceData.Common_SourceData_WetAndDryZones_Data(), Table_SourceData_WetDryZones[[#Headers],[Climate zone]], 0)</f>
        <v>Tropical moist</v>
      </c>
      <c r="E66" s="39" t="str" cm="1">
        <f t="array" ref="E66">Common_InputFunctions.Utility_DisplayArrayInTable(Common_SourceData.Common_SourceData_WetAndDryZones_Data(), Table_SourceData_WetDryZones[[#Headers],[Climate zone]], 0)</f>
        <v>Wet climate zone</v>
      </c>
    </row>
    <row r="67" spans="4:5" ht="20.100000000000001" customHeight="1" x14ac:dyDescent="0.25">
      <c r="D67" s="39" t="str" cm="1">
        <f t="array" ref="D67">Common_InputFunctions.Utility_DisplayArrayInTable(Common_SourceData.Common_SourceData_WetAndDryZones_Data(), Table_SourceData_WetDryZones[[#Headers],[Climate zone]], 0)</f>
        <v>Tropical dry</v>
      </c>
      <c r="E67" s="39" t="str" cm="1">
        <f t="array" ref="E67">Common_InputFunctions.Utility_DisplayArrayInTable(Common_SourceData.Common_SourceData_WetAndDryZones_Data(), Table_SourceData_WetDryZones[[#Headers],[Climate zone]], 0)</f>
        <v>Dry climate zone</v>
      </c>
    </row>
    <row r="68" spans="4:5" ht="20.100000000000001" customHeight="1" x14ac:dyDescent="0.25">
      <c r="D68" s="39" t="str" cm="1">
        <f t="array" ref="D68">Common_InputFunctions.Utility_DisplayArrayInTable(Common_SourceData.Common_SourceData_WetAndDryZones_Data(), Table_SourceData_WetDryZones[[#Headers],[Climate zone]], 0)</f>
        <v>Warm temperate moist</v>
      </c>
      <c r="E68" s="39" t="str" cm="1">
        <f t="array" ref="E68">Common_InputFunctions.Utility_DisplayArrayInTable(Common_SourceData.Common_SourceData_WetAndDryZones_Data(), Table_SourceData_WetDryZones[[#Headers],[Climate zone]], 0)</f>
        <v>Wet climate zone</v>
      </c>
    </row>
    <row r="69" spans="4:5" ht="20.100000000000001" customHeight="1" x14ac:dyDescent="0.25">
      <c r="D69" s="39" t="str" cm="1">
        <f t="array" ref="D69">Common_InputFunctions.Utility_DisplayArrayInTable(Common_SourceData.Common_SourceData_WetAndDryZones_Data(), Table_SourceData_WetDryZones[[#Headers],[Climate zone]], 0)</f>
        <v>Warm temperate dry</v>
      </c>
      <c r="E69" s="39" t="str" cm="1">
        <f t="array" ref="E69">Common_InputFunctions.Utility_DisplayArrayInTable(Common_SourceData.Common_SourceData_WetAndDryZones_Data(), Table_SourceData_WetDryZones[[#Headers],[Climate zone]], 0)</f>
        <v>Dry climate zone</v>
      </c>
    </row>
    <row r="70" spans="4:5" ht="20.100000000000001" customHeight="1" x14ac:dyDescent="0.25">
      <c r="D70" s="39" t="str" cm="1">
        <f t="array" ref="D70">Common_InputFunctions.Utility_DisplayArrayInTable(Common_SourceData.Common_SourceData_WetAndDryZones_Data(), Table_SourceData_WetDryZones[[#Headers],[Climate zone]], 0)</f>
        <v>Cool temperate moist</v>
      </c>
      <c r="E70" s="39" t="str" cm="1">
        <f t="array" ref="E70">Common_InputFunctions.Utility_DisplayArrayInTable(Common_SourceData.Common_SourceData_WetAndDryZones_Data(), Table_SourceData_WetDryZones[[#Headers],[Climate zone]], 0)</f>
        <v>Wet climate zone</v>
      </c>
    </row>
    <row r="71" spans="4:5" ht="20.100000000000001" customHeight="1" x14ac:dyDescent="0.25">
      <c r="D71" s="39" t="str" cm="1">
        <f t="array" ref="D71">Common_InputFunctions.Utility_DisplayArrayInTable(Common_SourceData.Common_SourceData_WetAndDryZones_Data(), Table_SourceData_WetDryZones[[#Headers],[Climate zone]], 0)</f>
        <v>Cool temperate dry</v>
      </c>
      <c r="E71" s="39" t="str" cm="1">
        <f t="array" ref="E71">Common_InputFunctions.Utility_DisplayArrayInTable(Common_SourceData.Common_SourceData_WetAndDryZones_Data(), Table_SourceData_WetDryZones[[#Headers],[Climate zone]], 0)</f>
        <v>Dry climate zone</v>
      </c>
    </row>
    <row r="72" spans="4:5" ht="20.100000000000001" customHeight="1" x14ac:dyDescent="0.25">
      <c r="D72" s="39" t="str" cm="1">
        <f t="array" ref="D72">Common_InputFunctions.Utility_DisplayArrayInTable(Common_SourceData.Common_SourceData_WetAndDryZones_Data(), Table_SourceData_WetDryZones[[#Headers],[Climate zone]], 0)</f>
        <v>Warm temperate moist - low frost</v>
      </c>
      <c r="E72" s="39" t="str" cm="1">
        <f t="array" ref="E72">Common_InputFunctions.Utility_DisplayArrayInTable(Common_SourceData.Common_SourceData_WetAndDryZones_Data(), Table_SourceData_WetDryZones[[#Headers],[Climate zone]], 0)</f>
        <v>Wet climate zone</v>
      </c>
    </row>
    <row r="73" spans="4:5" ht="20.100000000000001" customHeight="1" x14ac:dyDescent="0.25">
      <c r="D73" s="39" t="str" cm="1">
        <f t="array" ref="D73">Common_InputFunctions.Utility_DisplayArrayInTable(Common_SourceData.Common_SourceData_WetAndDryZones_Data(), Table_SourceData_WetDryZones[[#Headers],[Climate zone]], 0)</f>
        <v>Warm temperate dry - low frost</v>
      </c>
      <c r="E73" s="39" t="str" cm="1">
        <f t="array" ref="E73">Common_InputFunctions.Utility_DisplayArrayInTable(Common_SourceData.Common_SourceData_WetAndDryZones_Data(), Table_SourceData_WetDryZones[[#Headers],[Climate zone]], 0)</f>
        <v>Dry climate zone</v>
      </c>
    </row>
    <row r="74" spans="4:5" ht="20.100000000000001" customHeight="1" x14ac:dyDescent="0.25">
      <c r="D74" s="39" t="str" cm="1">
        <f t="array" ref="D74">Common_InputFunctions.Utility_DisplayArrayInTable(Common_SourceData.Common_SourceData_WetAndDryZones_Data(), Table_SourceData_WetDryZones[[#Headers],[Climate zone]], 0)</f>
        <v>Warm temperate moist - high temp</v>
      </c>
      <c r="E74" s="39" t="str" cm="1">
        <f t="array" ref="E74">Common_InputFunctions.Utility_DisplayArrayInTable(Common_SourceData.Common_SourceData_WetAndDryZones_Data(), Table_SourceData_WetDryZones[[#Headers],[Climate zone]], 0)</f>
        <v>Wet climate zone</v>
      </c>
    </row>
    <row r="75" spans="4:5" ht="20.100000000000001" customHeight="1" x14ac:dyDescent="0.25">
      <c r="D75" s="39" t="str" cm="1">
        <f t="array" ref="D75">Common_InputFunctions.Utility_DisplayArrayInTable(Common_SourceData.Common_SourceData_WetAndDryZones_Data(), Table_SourceData_WetDryZones[[#Headers],[Climate zone]], 0)</f>
        <v>Warm temperate dry - high temp</v>
      </c>
      <c r="E75" s="39" t="str" cm="1">
        <f t="array" ref="E75">Common_InputFunctions.Utility_DisplayArrayInTable(Common_SourceData.Common_SourceData_WetAndDryZones_Data(), Table_SourceData_WetDryZones[[#Headers],[Climate zone]], 0)</f>
        <v>Dry climate zone</v>
      </c>
    </row>
    <row r="76" spans="4:5" ht="20.100000000000001" customHeight="1" x14ac:dyDescent="0.25">
      <c r="D76" s="39" t="str" cm="1">
        <f t="array" ref="D76">Common_InputFunctions.Utility_DisplayArrayInTable(Common_SourceData.Common_SourceData_WetAndDryZones_Data(), Table_SourceData_WetDryZones[[#Headers],[Climate zone]], 0)</f>
        <v>Cool temperate moist - low frost</v>
      </c>
      <c r="E76" s="39" t="str" cm="1">
        <f t="array" ref="E76">Common_InputFunctions.Utility_DisplayArrayInTable(Common_SourceData.Common_SourceData_WetAndDryZones_Data(), Table_SourceData_WetDryZones[[#Headers],[Climate zone]], 0)</f>
        <v>Wet climate zone</v>
      </c>
    </row>
    <row r="77" spans="4:5" ht="20.100000000000001" customHeight="1" x14ac:dyDescent="0.25">
      <c r="D77" s="39" t="str" cm="1">
        <f t="array" ref="D77">Common_InputFunctions.Utility_DisplayArrayInTable(Common_SourceData.Common_SourceData_WetAndDryZones_Data(), Table_SourceData_WetDryZones[[#Headers],[Climate zone]], 0)</f>
        <v>Cool temperate dry - low frost</v>
      </c>
      <c r="E77" s="39" t="str" cm="1">
        <f t="array" ref="E77">Common_InputFunctions.Utility_DisplayArrayInTable(Common_SourceData.Common_SourceData_WetAndDryZones_Data(), Table_SourceData_WetDryZones[[#Headers],[Climate zone]], 0)</f>
        <v>Dry climate zone</v>
      </c>
    </row>
    <row r="78" spans="4:5" ht="20.100000000000001" customHeight="1" x14ac:dyDescent="0.25"/>
    <row r="79" spans="4:5" ht="20.100000000000001" customHeight="1" x14ac:dyDescent="0.25"/>
    <row r="80" spans="4:5" ht="20.100000000000001" customHeight="1" x14ac:dyDescent="0.25"/>
    <row r="81" spans="4:19" ht="20.100000000000001" customHeight="1" x14ac:dyDescent="0.25">
      <c r="D81" s="6" t="str" cm="1">
        <f t="array" ref="D81">Common_SourceData.Common_SourceData_ClimateZones_Title()</f>
        <v>VEERG Australian climate zones</v>
      </c>
    </row>
    <row r="82" spans="4:19" ht="20.100000000000001" customHeight="1" x14ac:dyDescent="0.25">
      <c r="D82" s="5" t="str" cm="1">
        <f t="array" ref="D82">Common_SourceData.Common_SourceData_ClimateZones_Source()</f>
        <v>VEERG 2026: Table 1.3: Climate and Rainfall zone classifications and definitions</v>
      </c>
    </row>
    <row r="83" spans="4:19" ht="20.100000000000001" customHeight="1" x14ac:dyDescent="0.25">
      <c r="D83" s="58" t="str" cm="1">
        <f t="array" ref="D83:D87">"⚠️" &amp; Common_SourceData.Common_SourceData_ClimateZones_Variation()</f>
        <v>⚠️VARIATION OF SOURCE DATA:</v>
      </c>
    </row>
    <row r="84" spans="4:19" ht="20.100000000000001" customHeight="1" x14ac:dyDescent="0.25">
      <c r="D84" s="58" t="str">
        <v>⚠️Added warm / cool temperate moist / dry - low frost and high temp classes to accommodate climate scenarios excluded by VEERG criteria.</v>
      </c>
    </row>
    <row r="85" spans="4:19" ht="20.100000000000001" customHeight="1" x14ac:dyDescent="0.25">
      <c r="D85" s="58" t="str">
        <v>⚠️Fixed typo in MAT value for warm temperate dry - changed 10 to 11.</v>
      </c>
    </row>
    <row r="86" spans="4:19" ht="20.100000000000001" customHeight="1" x14ac:dyDescent="0.25">
      <c r="D86" s="58" t="str">
        <v>⚠️Added min and max columns for MAT, MAP, frost days per year, elevation, MAP:PET to calculate zones from real climate data.</v>
      </c>
    </row>
    <row r="87" spans="4:19" ht="20.100000000000001" customHeight="1" x14ac:dyDescent="0.25">
      <c r="D87" s="58" t="str">
        <v>⚠️GAF accepts rainfall as a proxy for precipitation.</v>
      </c>
    </row>
    <row r="88" spans="4:19" ht="20.100000000000001" customHeight="1" x14ac:dyDescent="0.25"/>
    <row r="89" spans="4:19" ht="20.100000000000001" customHeight="1" x14ac:dyDescent="0.25">
      <c r="D89" s="39" t="s">
        <v>10</v>
      </c>
      <c r="E89" s="39" t="s">
        <v>38</v>
      </c>
      <c r="F89" s="39" t="s">
        <v>39</v>
      </c>
      <c r="G89" s="39" t="s">
        <v>40</v>
      </c>
      <c r="H89" s="39" t="s">
        <v>41</v>
      </c>
      <c r="I89" s="39" t="s">
        <v>42</v>
      </c>
      <c r="J89" s="39" t="s">
        <v>43</v>
      </c>
      <c r="K89" s="39" t="s">
        <v>44</v>
      </c>
      <c r="L89" s="39" t="s">
        <v>45</v>
      </c>
      <c r="M89" s="39" t="s">
        <v>46</v>
      </c>
      <c r="N89" s="39" t="s">
        <v>47</v>
      </c>
      <c r="O89" s="39" t="s">
        <v>51</v>
      </c>
      <c r="P89" s="39" t="s">
        <v>48</v>
      </c>
      <c r="Q89" s="39" t="s">
        <v>52</v>
      </c>
      <c r="R89" s="39" t="s">
        <v>49</v>
      </c>
      <c r="S89" s="39" t="s">
        <v>53</v>
      </c>
    </row>
    <row r="90" spans="4:19" ht="20.100000000000001" customHeight="1" x14ac:dyDescent="0.25">
      <c r="D90" s="39" t="str" cm="1">
        <f t="array" ref="D90">Common_InputFunctions.Utility_DisplayArrayInTable(Common_SourceData.Common_SourceData_ClimateZones_Data(), Table_SourceData_ClimateZones[[#Headers],[Climate zone]], 0)</f>
        <v>Tropical montane</v>
      </c>
      <c r="E90" s="39" t="str" cm="1">
        <f t="array" ref="E90">Common_InputFunctions.Utility_DisplayArrayInTable(Common_SourceData.Common_SourceData_ClimateZones_Data(), Table_SourceData_ClimateZones[[#Headers],[Climate zone]], 0)</f>
        <v>&gt; 18 C</v>
      </c>
      <c r="F90" s="39" t="str" cm="1">
        <f t="array" ref="F90">Common_InputFunctions.Utility_DisplayArrayInTable(Common_SourceData.Common_SourceData_ClimateZones_Data(), Table_SourceData_ClimateZones[[#Headers],[Climate zone]], 0)</f>
        <v>Any</v>
      </c>
      <c r="G90" s="39" t="str" cm="1">
        <f t="array" ref="G90">Common_InputFunctions.Utility_DisplayArrayInTable(Common_SourceData.Common_SourceData_ClimateZones_Data(), Table_SourceData_ClimateZones[[#Headers],[Climate zone]], 0)</f>
        <v>≤ 7</v>
      </c>
      <c r="H90" s="39" t="str" cm="1">
        <f t="array" ref="H90">Common_InputFunctions.Utility_DisplayArrayInTable(Common_SourceData.Common_SourceData_ClimateZones_Data(), Table_SourceData_ClimateZones[[#Headers],[Climate zone]], 0)</f>
        <v>&gt; 1000 m</v>
      </c>
      <c r="I90" s="39" t="str" cm="1">
        <f t="array" ref="I90">Common_InputFunctions.Utility_DisplayArrayInTable(Common_SourceData.Common_SourceData_ClimateZones_Data(), Table_SourceData_ClimateZones[[#Headers],[Climate zone]], 0)</f>
        <v>Any</v>
      </c>
      <c r="J90" s="39" cm="1">
        <f t="array" ref="J90">Common_InputFunctions.Utility_DisplayArrayInTable(Common_SourceData.Common_SourceData_ClimateZones_Data(), Table_SourceData_ClimateZones[[#Headers],[Climate zone]], 0)</f>
        <v>18.001000000000001</v>
      </c>
      <c r="K90" s="39" cm="1">
        <f t="array" ref="K90">Common_InputFunctions.Utility_DisplayArrayInTable(Common_SourceData.Common_SourceData_ClimateZones_Data(), Table_SourceData_ClimateZones[[#Headers],[Climate zone]], 0)</f>
        <v>999999</v>
      </c>
      <c r="L90" s="39" cm="1">
        <f t="array" ref="L90">Common_InputFunctions.Utility_DisplayArrayInTable(Common_SourceData.Common_SourceData_ClimateZones_Data(), Table_SourceData_ClimateZones[[#Headers],[Climate zone]], 0)</f>
        <v>-999999</v>
      </c>
      <c r="M90" s="39" cm="1">
        <f t="array" ref="M90">Common_InputFunctions.Utility_DisplayArrayInTable(Common_SourceData.Common_SourceData_ClimateZones_Data(), Table_SourceData_ClimateZones[[#Headers],[Climate zone]], 0)</f>
        <v>999999</v>
      </c>
      <c r="N90" s="39" cm="1">
        <f t="array" ref="N90">Common_InputFunctions.Utility_DisplayArrayInTable(Common_SourceData.Common_SourceData_ClimateZones_Data(), Table_SourceData_ClimateZones[[#Headers],[Climate zone]], 0)</f>
        <v>-999999</v>
      </c>
      <c r="O90" s="39" cm="1">
        <f t="array" ref="O90">Common_InputFunctions.Utility_DisplayArrayInTable(Common_SourceData.Common_SourceData_ClimateZones_Data(), Table_SourceData_ClimateZones[[#Headers],[Climate zone]], 0)</f>
        <v>7</v>
      </c>
      <c r="P90" s="39" cm="1">
        <f t="array" ref="P90">Common_InputFunctions.Utility_DisplayArrayInTable(Common_SourceData.Common_SourceData_ClimateZones_Data(), Table_SourceData_ClimateZones[[#Headers],[Climate zone]], 0)</f>
        <v>1000</v>
      </c>
      <c r="Q90" s="39" cm="1">
        <f t="array" ref="Q90">Common_InputFunctions.Utility_DisplayArrayInTable(Common_SourceData.Common_SourceData_ClimateZones_Data(), Table_SourceData_ClimateZones[[#Headers],[Climate zone]], 0)</f>
        <v>999999</v>
      </c>
      <c r="R90" s="39" cm="1">
        <f t="array" ref="R90">Common_InputFunctions.Utility_DisplayArrayInTable(Common_SourceData.Common_SourceData_ClimateZones_Data(), Table_SourceData_ClimateZones[[#Headers],[Climate zone]], 0)</f>
        <v>-999999</v>
      </c>
      <c r="S90" s="39" cm="1">
        <f t="array" ref="S90">Common_InputFunctions.Utility_DisplayArrayInTable(Common_SourceData.Common_SourceData_ClimateZones_Data(), Table_SourceData_ClimateZones[[#Headers],[Climate zone]], 0)</f>
        <v>999999</v>
      </c>
    </row>
    <row r="91" spans="4:19" ht="20.100000000000001" customHeight="1" x14ac:dyDescent="0.25">
      <c r="D91" s="39" t="str" cm="1">
        <f t="array" ref="D91">Common_InputFunctions.Utility_DisplayArrayInTable(Common_SourceData.Common_SourceData_ClimateZones_Data(), Table_SourceData_ClimateZones[[#Headers],[Climate zone]], 0)</f>
        <v>Tropical wet</v>
      </c>
      <c r="E91" s="39" t="str" cm="1">
        <f t="array" ref="E91">Common_InputFunctions.Utility_DisplayArrayInTable(Common_SourceData.Common_SourceData_ClimateZones_Data(), Table_SourceData_ClimateZones[[#Headers],[Climate zone]], 0)</f>
        <v>&gt; 18 C</v>
      </c>
      <c r="F91" s="39" t="str" cm="1">
        <f t="array" ref="F91">Common_InputFunctions.Utility_DisplayArrayInTable(Common_SourceData.Common_SourceData_ClimateZones_Data(), Table_SourceData_ClimateZones[[#Headers],[Climate zone]], 0)</f>
        <v>&gt; 2000 mm</v>
      </c>
      <c r="G91" s="39" t="str" cm="1">
        <f t="array" ref="G91">Common_InputFunctions.Utility_DisplayArrayInTable(Common_SourceData.Common_SourceData_ClimateZones_Data(), Table_SourceData_ClimateZones[[#Headers],[Climate zone]], 0)</f>
        <v>≤ 7</v>
      </c>
      <c r="H91" s="39" t="str" cm="1">
        <f t="array" ref="H91">Common_InputFunctions.Utility_DisplayArrayInTable(Common_SourceData.Common_SourceData_ClimateZones_Data(), Table_SourceData_ClimateZones[[#Headers],[Climate zone]], 0)</f>
        <v>≤ 1000 m</v>
      </c>
      <c r="I91" s="39" t="str" cm="1">
        <f t="array" ref="I91">Common_InputFunctions.Utility_DisplayArrayInTable(Common_SourceData.Common_SourceData_ClimateZones_Data(), Table_SourceData_ClimateZones[[#Headers],[Climate zone]], 0)</f>
        <v>Any</v>
      </c>
      <c r="J91" s="39" cm="1">
        <f t="array" ref="J91">Common_InputFunctions.Utility_DisplayArrayInTable(Common_SourceData.Common_SourceData_ClimateZones_Data(), Table_SourceData_ClimateZones[[#Headers],[Climate zone]], 0)</f>
        <v>18.001000000000001</v>
      </c>
      <c r="K91" s="39" cm="1">
        <f t="array" ref="K91">Common_InputFunctions.Utility_DisplayArrayInTable(Common_SourceData.Common_SourceData_ClimateZones_Data(), Table_SourceData_ClimateZones[[#Headers],[Climate zone]], 0)</f>
        <v>999999</v>
      </c>
      <c r="L91" s="39" cm="1">
        <f t="array" ref="L91">Common_InputFunctions.Utility_DisplayArrayInTable(Common_SourceData.Common_SourceData_ClimateZones_Data(), Table_SourceData_ClimateZones[[#Headers],[Climate zone]], 0)</f>
        <v>2000.001</v>
      </c>
      <c r="M91" s="39" cm="1">
        <f t="array" ref="M91">Common_InputFunctions.Utility_DisplayArrayInTable(Common_SourceData.Common_SourceData_ClimateZones_Data(), Table_SourceData_ClimateZones[[#Headers],[Climate zone]], 0)</f>
        <v>999999</v>
      </c>
      <c r="N91" s="39" cm="1">
        <f t="array" ref="N91">Common_InputFunctions.Utility_DisplayArrayInTable(Common_SourceData.Common_SourceData_ClimateZones_Data(), Table_SourceData_ClimateZones[[#Headers],[Climate zone]], 0)</f>
        <v>-999999</v>
      </c>
      <c r="O91" s="39" cm="1">
        <f t="array" ref="O91">Common_InputFunctions.Utility_DisplayArrayInTable(Common_SourceData.Common_SourceData_ClimateZones_Data(), Table_SourceData_ClimateZones[[#Headers],[Climate zone]], 0)</f>
        <v>7</v>
      </c>
      <c r="P91" s="39" cm="1">
        <f t="array" ref="P91">Common_InputFunctions.Utility_DisplayArrayInTable(Common_SourceData.Common_SourceData_ClimateZones_Data(), Table_SourceData_ClimateZones[[#Headers],[Climate zone]], 0)</f>
        <v>-999999</v>
      </c>
      <c r="Q91" s="39" cm="1">
        <f t="array" ref="Q91">Common_InputFunctions.Utility_DisplayArrayInTable(Common_SourceData.Common_SourceData_ClimateZones_Data(), Table_SourceData_ClimateZones[[#Headers],[Climate zone]], 0)</f>
        <v>999.99900000000002</v>
      </c>
      <c r="R91" s="39" cm="1">
        <f t="array" ref="R91">Common_InputFunctions.Utility_DisplayArrayInTable(Common_SourceData.Common_SourceData_ClimateZones_Data(), Table_SourceData_ClimateZones[[#Headers],[Climate zone]], 0)</f>
        <v>-999999</v>
      </c>
      <c r="S91" s="39" cm="1">
        <f t="array" ref="S91">Common_InputFunctions.Utility_DisplayArrayInTable(Common_SourceData.Common_SourceData_ClimateZones_Data(), Table_SourceData_ClimateZones[[#Headers],[Climate zone]], 0)</f>
        <v>999999</v>
      </c>
    </row>
    <row r="92" spans="4:19" ht="20.100000000000001" customHeight="1" x14ac:dyDescent="0.25">
      <c r="D92" s="39" t="str" cm="1">
        <f t="array" ref="D92">Common_InputFunctions.Utility_DisplayArrayInTable(Common_SourceData.Common_SourceData_ClimateZones_Data(), Table_SourceData_ClimateZones[[#Headers],[Climate zone]], 0)</f>
        <v>Tropical moist</v>
      </c>
      <c r="E92" s="39" t="str" cm="1">
        <f t="array" ref="E92">Common_InputFunctions.Utility_DisplayArrayInTable(Common_SourceData.Common_SourceData_ClimateZones_Data(), Table_SourceData_ClimateZones[[#Headers],[Climate zone]], 0)</f>
        <v>&gt; 18 C</v>
      </c>
      <c r="F92" s="39" t="str" cm="1">
        <f t="array" ref="F92">Common_InputFunctions.Utility_DisplayArrayInTable(Common_SourceData.Common_SourceData_ClimateZones_Data(), Table_SourceData_ClimateZones[[#Headers],[Climate zone]], 0)</f>
        <v>&gt; 1000 mm - ≤ 2000 mm</v>
      </c>
      <c r="G92" s="39" t="str" cm="1">
        <f t="array" ref="G92">Common_InputFunctions.Utility_DisplayArrayInTable(Common_SourceData.Common_SourceData_ClimateZones_Data(), Table_SourceData_ClimateZones[[#Headers],[Climate zone]], 0)</f>
        <v>≤ 7</v>
      </c>
      <c r="H92" s="39" t="str" cm="1">
        <f t="array" ref="H92">Common_InputFunctions.Utility_DisplayArrayInTable(Common_SourceData.Common_SourceData_ClimateZones_Data(), Table_SourceData_ClimateZones[[#Headers],[Climate zone]], 0)</f>
        <v>≤ 1000 m</v>
      </c>
      <c r="I92" s="39" t="str" cm="1">
        <f t="array" ref="I92">Common_InputFunctions.Utility_DisplayArrayInTable(Common_SourceData.Common_SourceData_ClimateZones_Data(), Table_SourceData_ClimateZones[[#Headers],[Climate zone]], 0)</f>
        <v>Any</v>
      </c>
      <c r="J92" s="39" cm="1">
        <f t="array" ref="J92">Common_InputFunctions.Utility_DisplayArrayInTable(Common_SourceData.Common_SourceData_ClimateZones_Data(), Table_SourceData_ClimateZones[[#Headers],[Climate zone]], 0)</f>
        <v>18.001000000000001</v>
      </c>
      <c r="K92" s="39" cm="1">
        <f t="array" ref="K92">Common_InputFunctions.Utility_DisplayArrayInTable(Common_SourceData.Common_SourceData_ClimateZones_Data(), Table_SourceData_ClimateZones[[#Headers],[Climate zone]], 0)</f>
        <v>999999</v>
      </c>
      <c r="L92" s="39" cm="1">
        <f t="array" ref="L92">Common_InputFunctions.Utility_DisplayArrayInTable(Common_SourceData.Common_SourceData_ClimateZones_Data(), Table_SourceData_ClimateZones[[#Headers],[Climate zone]], 0)</f>
        <v>1000.001</v>
      </c>
      <c r="M92" s="39" cm="1">
        <f t="array" ref="M92">Common_InputFunctions.Utility_DisplayArrayInTable(Common_SourceData.Common_SourceData_ClimateZones_Data(), Table_SourceData_ClimateZones[[#Headers],[Climate zone]], 0)</f>
        <v>2000</v>
      </c>
      <c r="N92" s="39" cm="1">
        <f t="array" ref="N92">Common_InputFunctions.Utility_DisplayArrayInTable(Common_SourceData.Common_SourceData_ClimateZones_Data(), Table_SourceData_ClimateZones[[#Headers],[Climate zone]], 0)</f>
        <v>-999999</v>
      </c>
      <c r="O92" s="39" cm="1">
        <f t="array" ref="O92">Common_InputFunctions.Utility_DisplayArrayInTable(Common_SourceData.Common_SourceData_ClimateZones_Data(), Table_SourceData_ClimateZones[[#Headers],[Climate zone]], 0)</f>
        <v>7</v>
      </c>
      <c r="P92" s="39" cm="1">
        <f t="array" ref="P92">Common_InputFunctions.Utility_DisplayArrayInTable(Common_SourceData.Common_SourceData_ClimateZones_Data(), Table_SourceData_ClimateZones[[#Headers],[Climate zone]], 0)</f>
        <v>-999999</v>
      </c>
      <c r="Q92" s="39" cm="1">
        <f t="array" ref="Q92">Common_InputFunctions.Utility_DisplayArrayInTable(Common_SourceData.Common_SourceData_ClimateZones_Data(), Table_SourceData_ClimateZones[[#Headers],[Climate zone]], 0)</f>
        <v>999.99900000000002</v>
      </c>
      <c r="R92" s="39" cm="1">
        <f t="array" ref="R92">Common_InputFunctions.Utility_DisplayArrayInTable(Common_SourceData.Common_SourceData_ClimateZones_Data(), Table_SourceData_ClimateZones[[#Headers],[Climate zone]], 0)</f>
        <v>-999999</v>
      </c>
      <c r="S92" s="39" cm="1">
        <f t="array" ref="S92">Common_InputFunctions.Utility_DisplayArrayInTable(Common_SourceData.Common_SourceData_ClimateZones_Data(), Table_SourceData_ClimateZones[[#Headers],[Climate zone]], 0)</f>
        <v>999999</v>
      </c>
    </row>
    <row r="93" spans="4:19" ht="20.100000000000001" customHeight="1" x14ac:dyDescent="0.25">
      <c r="D93" s="39" t="str" cm="1">
        <f t="array" ref="D93">Common_InputFunctions.Utility_DisplayArrayInTable(Common_SourceData.Common_SourceData_ClimateZones_Data(), Table_SourceData_ClimateZones[[#Headers],[Climate zone]], 0)</f>
        <v>Tropical dry</v>
      </c>
      <c r="E93" s="39" t="str" cm="1">
        <f t="array" ref="E93">Common_InputFunctions.Utility_DisplayArrayInTable(Common_SourceData.Common_SourceData_ClimateZones_Data(), Table_SourceData_ClimateZones[[#Headers],[Climate zone]], 0)</f>
        <v>&gt; 18 C</v>
      </c>
      <c r="F93" s="39" t="str" cm="1">
        <f t="array" ref="F93">Common_InputFunctions.Utility_DisplayArrayInTable(Common_SourceData.Common_SourceData_ClimateZones_Data(), Table_SourceData_ClimateZones[[#Headers],[Climate zone]], 0)</f>
        <v>≤ 1000 mm</v>
      </c>
      <c r="G93" s="39" t="str" cm="1">
        <f t="array" ref="G93">Common_InputFunctions.Utility_DisplayArrayInTable(Common_SourceData.Common_SourceData_ClimateZones_Data(), Table_SourceData_ClimateZones[[#Headers],[Climate zone]], 0)</f>
        <v>≤ 7</v>
      </c>
      <c r="H93" s="39" t="str" cm="1">
        <f t="array" ref="H93">Common_InputFunctions.Utility_DisplayArrayInTable(Common_SourceData.Common_SourceData_ClimateZones_Data(), Table_SourceData_ClimateZones[[#Headers],[Climate zone]], 0)</f>
        <v>≤ 1000 m</v>
      </c>
      <c r="I93" s="39" t="str" cm="1">
        <f t="array" ref="I93">Common_InputFunctions.Utility_DisplayArrayInTable(Common_SourceData.Common_SourceData_ClimateZones_Data(), Table_SourceData_ClimateZones[[#Headers],[Climate zone]], 0)</f>
        <v>Any</v>
      </c>
      <c r="J93" s="39" cm="1">
        <f t="array" ref="J93">Common_InputFunctions.Utility_DisplayArrayInTable(Common_SourceData.Common_SourceData_ClimateZones_Data(), Table_SourceData_ClimateZones[[#Headers],[Climate zone]], 0)</f>
        <v>18.001000000000001</v>
      </c>
      <c r="K93" s="39" cm="1">
        <f t="array" ref="K93">Common_InputFunctions.Utility_DisplayArrayInTable(Common_SourceData.Common_SourceData_ClimateZones_Data(), Table_SourceData_ClimateZones[[#Headers],[Climate zone]], 0)</f>
        <v>999999</v>
      </c>
      <c r="L93" s="39" cm="1">
        <f t="array" ref="L93">Common_InputFunctions.Utility_DisplayArrayInTable(Common_SourceData.Common_SourceData_ClimateZones_Data(), Table_SourceData_ClimateZones[[#Headers],[Climate zone]], 0)</f>
        <v>-999999</v>
      </c>
      <c r="M93" s="39" cm="1">
        <f t="array" ref="M93">Common_InputFunctions.Utility_DisplayArrayInTable(Common_SourceData.Common_SourceData_ClimateZones_Data(), Table_SourceData_ClimateZones[[#Headers],[Climate zone]], 0)</f>
        <v>1000</v>
      </c>
      <c r="N93" s="39" cm="1">
        <f t="array" ref="N93">Common_InputFunctions.Utility_DisplayArrayInTable(Common_SourceData.Common_SourceData_ClimateZones_Data(), Table_SourceData_ClimateZones[[#Headers],[Climate zone]], 0)</f>
        <v>-999999</v>
      </c>
      <c r="O93" s="39" cm="1">
        <f t="array" ref="O93">Common_InputFunctions.Utility_DisplayArrayInTable(Common_SourceData.Common_SourceData_ClimateZones_Data(), Table_SourceData_ClimateZones[[#Headers],[Climate zone]], 0)</f>
        <v>7</v>
      </c>
      <c r="P93" s="39" cm="1">
        <f t="array" ref="P93">Common_InputFunctions.Utility_DisplayArrayInTable(Common_SourceData.Common_SourceData_ClimateZones_Data(), Table_SourceData_ClimateZones[[#Headers],[Climate zone]], 0)</f>
        <v>-999999</v>
      </c>
      <c r="Q93" s="39" cm="1">
        <f t="array" ref="Q93">Common_InputFunctions.Utility_DisplayArrayInTable(Common_SourceData.Common_SourceData_ClimateZones_Data(), Table_SourceData_ClimateZones[[#Headers],[Climate zone]], 0)</f>
        <v>999.99900000000002</v>
      </c>
      <c r="R93" s="39" cm="1">
        <f t="array" ref="R93">Common_InputFunctions.Utility_DisplayArrayInTable(Common_SourceData.Common_SourceData_ClimateZones_Data(), Table_SourceData_ClimateZones[[#Headers],[Climate zone]], 0)</f>
        <v>-999999</v>
      </c>
      <c r="S93" s="39" cm="1">
        <f t="array" ref="S93">Common_InputFunctions.Utility_DisplayArrayInTable(Common_SourceData.Common_SourceData_ClimateZones_Data(), Table_SourceData_ClimateZones[[#Headers],[Climate zone]], 0)</f>
        <v>999999</v>
      </c>
    </row>
    <row r="94" spans="4:19" ht="20.100000000000001" customHeight="1" x14ac:dyDescent="0.25">
      <c r="D94" s="39" t="str" cm="1">
        <f t="array" ref="D94">Common_InputFunctions.Utility_DisplayArrayInTable(Common_SourceData.Common_SourceData_ClimateZones_Data(), Table_SourceData_ClimateZones[[#Headers],[Climate zone]], 0)</f>
        <v>Warm temperate moist</v>
      </c>
      <c r="E94" s="39" t="str" cm="1">
        <f t="array" ref="E94">Common_InputFunctions.Utility_DisplayArrayInTable(Common_SourceData.Common_SourceData_ClimateZones_Data(), Table_SourceData_ClimateZones[[#Headers],[Climate zone]], 0)</f>
        <v>&gt; 10 C</v>
      </c>
      <c r="F94" s="39" t="str" cm="1">
        <f t="array" ref="F94">Common_InputFunctions.Utility_DisplayArrayInTable(Common_SourceData.Common_SourceData_ClimateZones_Data(), Table_SourceData_ClimateZones[[#Headers],[Climate zone]], 0)</f>
        <v>Any</v>
      </c>
      <c r="G94" s="39" t="str" cm="1">
        <f t="array" ref="G94">Common_InputFunctions.Utility_DisplayArrayInTable(Common_SourceData.Common_SourceData_ClimateZones_Data(), Table_SourceData_ClimateZones[[#Headers],[Climate zone]], 0)</f>
        <v>Any</v>
      </c>
      <c r="H94" s="39" t="str" cm="1">
        <f t="array" ref="H94">Common_InputFunctions.Utility_DisplayArrayInTable(Common_SourceData.Common_SourceData_ClimateZones_Data(), Table_SourceData_ClimateZones[[#Headers],[Climate zone]], 0)</f>
        <v>Any</v>
      </c>
      <c r="I94" s="39" t="str" cm="1">
        <f t="array" ref="I94">Common_InputFunctions.Utility_DisplayArrayInTable(Common_SourceData.Common_SourceData_ClimateZones_Data(), Table_SourceData_ClimateZones[[#Headers],[Climate zone]], 0)</f>
        <v>&gt; 1</v>
      </c>
      <c r="J94" s="39" cm="1">
        <f t="array" ref="J94">Common_InputFunctions.Utility_DisplayArrayInTable(Common_SourceData.Common_SourceData_ClimateZones_Data(), Table_SourceData_ClimateZones[[#Headers],[Climate zone]], 0)</f>
        <v>10.000999999999999</v>
      </c>
      <c r="K94" s="39" cm="1">
        <f t="array" ref="K94">Common_InputFunctions.Utility_DisplayArrayInTable(Common_SourceData.Common_SourceData_ClimateZones_Data(), Table_SourceData_ClimateZones[[#Headers],[Climate zone]], 0)</f>
        <v>999999</v>
      </c>
      <c r="L94" s="39" cm="1">
        <f t="array" ref="L94">Common_InputFunctions.Utility_DisplayArrayInTable(Common_SourceData.Common_SourceData_ClimateZones_Data(), Table_SourceData_ClimateZones[[#Headers],[Climate zone]], 0)</f>
        <v>-999999</v>
      </c>
      <c r="M94" s="39" cm="1">
        <f t="array" ref="M94">Common_InputFunctions.Utility_DisplayArrayInTable(Common_SourceData.Common_SourceData_ClimateZones_Data(), Table_SourceData_ClimateZones[[#Headers],[Climate zone]], 0)</f>
        <v>999999</v>
      </c>
      <c r="N94" s="39" cm="1">
        <f t="array" ref="N94">Common_InputFunctions.Utility_DisplayArrayInTable(Common_SourceData.Common_SourceData_ClimateZones_Data(), Table_SourceData_ClimateZones[[#Headers],[Climate zone]], 0)</f>
        <v>-999999</v>
      </c>
      <c r="O94" s="39" cm="1">
        <f t="array" ref="O94">Common_InputFunctions.Utility_DisplayArrayInTable(Common_SourceData.Common_SourceData_ClimateZones_Data(), Table_SourceData_ClimateZones[[#Headers],[Climate zone]], 0)</f>
        <v>999999</v>
      </c>
      <c r="P94" s="39" cm="1">
        <f t="array" ref="P94">Common_InputFunctions.Utility_DisplayArrayInTable(Common_SourceData.Common_SourceData_ClimateZones_Data(), Table_SourceData_ClimateZones[[#Headers],[Climate zone]], 0)</f>
        <v>-999999</v>
      </c>
      <c r="Q94" s="39" cm="1">
        <f t="array" ref="Q94">Common_InputFunctions.Utility_DisplayArrayInTable(Common_SourceData.Common_SourceData_ClimateZones_Data(), Table_SourceData_ClimateZones[[#Headers],[Climate zone]], 0)</f>
        <v>999999</v>
      </c>
      <c r="R94" s="39" cm="1">
        <f t="array" ref="R94">Common_InputFunctions.Utility_DisplayArrayInTable(Common_SourceData.Common_SourceData_ClimateZones_Data(), Table_SourceData_ClimateZones[[#Headers],[Climate zone]], 0)</f>
        <v>1.0009999999999999</v>
      </c>
      <c r="S94" s="39" cm="1">
        <f t="array" ref="S94">Common_InputFunctions.Utility_DisplayArrayInTable(Common_SourceData.Common_SourceData_ClimateZones_Data(), Table_SourceData_ClimateZones[[#Headers],[Climate zone]], 0)</f>
        <v>999999</v>
      </c>
    </row>
    <row r="95" spans="4:19" ht="20.100000000000001" customHeight="1" x14ac:dyDescent="0.25">
      <c r="D95" s="39" t="str" cm="1">
        <f t="array" ref="D95">Common_InputFunctions.Utility_DisplayArrayInTable(Common_SourceData.Common_SourceData_ClimateZones_Data(), Table_SourceData_ClimateZones[[#Headers],[Climate zone]], 0)</f>
        <v>Warm temperate dry</v>
      </c>
      <c r="E95" s="39" t="str" cm="1">
        <f t="array" ref="E95">Common_InputFunctions.Utility_DisplayArrayInTable(Common_SourceData.Common_SourceData_ClimateZones_Data(), Table_SourceData_ClimateZones[[#Headers],[Climate zone]], 0)</f>
        <v>&gt; 10 C</v>
      </c>
      <c r="F95" s="39" t="str" cm="1">
        <f t="array" ref="F95">Common_InputFunctions.Utility_DisplayArrayInTable(Common_SourceData.Common_SourceData_ClimateZones_Data(), Table_SourceData_ClimateZones[[#Headers],[Climate zone]], 0)</f>
        <v>Any</v>
      </c>
      <c r="G95" s="39" t="str" cm="1">
        <f t="array" ref="G95">Common_InputFunctions.Utility_DisplayArrayInTable(Common_SourceData.Common_SourceData_ClimateZones_Data(), Table_SourceData_ClimateZones[[#Headers],[Climate zone]], 0)</f>
        <v>Any</v>
      </c>
      <c r="H95" s="39" t="str" cm="1">
        <f t="array" ref="H95">Common_InputFunctions.Utility_DisplayArrayInTable(Common_SourceData.Common_SourceData_ClimateZones_Data(), Table_SourceData_ClimateZones[[#Headers],[Climate zone]], 0)</f>
        <v>Any</v>
      </c>
      <c r="I95" s="39" t="str" cm="1">
        <f t="array" ref="I95">Common_InputFunctions.Utility_DisplayArrayInTable(Common_SourceData.Common_SourceData_ClimateZones_Data(), Table_SourceData_ClimateZones[[#Headers],[Climate zone]], 0)</f>
        <v>≤ 1</v>
      </c>
      <c r="J95" s="39" cm="1">
        <f t="array" ref="J95">Common_InputFunctions.Utility_DisplayArrayInTable(Common_SourceData.Common_SourceData_ClimateZones_Data(), Table_SourceData_ClimateZones[[#Headers],[Climate zone]], 0)</f>
        <v>10.000999999999999</v>
      </c>
      <c r="K95" s="39" cm="1">
        <f t="array" ref="K95">Common_InputFunctions.Utility_DisplayArrayInTable(Common_SourceData.Common_SourceData_ClimateZones_Data(), Table_SourceData_ClimateZones[[#Headers],[Climate zone]], 0)</f>
        <v>999999</v>
      </c>
      <c r="L95" s="39" cm="1">
        <f t="array" ref="L95">Common_InputFunctions.Utility_DisplayArrayInTable(Common_SourceData.Common_SourceData_ClimateZones_Data(), Table_SourceData_ClimateZones[[#Headers],[Climate zone]], 0)</f>
        <v>-999999</v>
      </c>
      <c r="M95" s="39" cm="1">
        <f t="array" ref="M95">Common_InputFunctions.Utility_DisplayArrayInTable(Common_SourceData.Common_SourceData_ClimateZones_Data(), Table_SourceData_ClimateZones[[#Headers],[Climate zone]], 0)</f>
        <v>999999</v>
      </c>
      <c r="N95" s="39" cm="1">
        <f t="array" ref="N95">Common_InputFunctions.Utility_DisplayArrayInTable(Common_SourceData.Common_SourceData_ClimateZones_Data(), Table_SourceData_ClimateZones[[#Headers],[Climate zone]], 0)</f>
        <v>-999999</v>
      </c>
      <c r="O95" s="39" cm="1">
        <f t="array" ref="O95">Common_InputFunctions.Utility_DisplayArrayInTable(Common_SourceData.Common_SourceData_ClimateZones_Data(), Table_SourceData_ClimateZones[[#Headers],[Climate zone]], 0)</f>
        <v>999999</v>
      </c>
      <c r="P95" s="39" cm="1">
        <f t="array" ref="P95">Common_InputFunctions.Utility_DisplayArrayInTable(Common_SourceData.Common_SourceData_ClimateZones_Data(), Table_SourceData_ClimateZones[[#Headers],[Climate zone]], 0)</f>
        <v>-999999</v>
      </c>
      <c r="Q95" s="39" cm="1">
        <f t="array" ref="Q95">Common_InputFunctions.Utility_DisplayArrayInTable(Common_SourceData.Common_SourceData_ClimateZones_Data(), Table_SourceData_ClimateZones[[#Headers],[Climate zone]], 0)</f>
        <v>999999</v>
      </c>
      <c r="R95" s="39" cm="1">
        <f t="array" ref="R95">Common_InputFunctions.Utility_DisplayArrayInTable(Common_SourceData.Common_SourceData_ClimateZones_Data(), Table_SourceData_ClimateZones[[#Headers],[Climate zone]], 0)</f>
        <v>-999999</v>
      </c>
      <c r="S95" s="39" cm="1">
        <f t="array" ref="S95">Common_InputFunctions.Utility_DisplayArrayInTable(Common_SourceData.Common_SourceData_ClimateZones_Data(), Table_SourceData_ClimateZones[[#Headers],[Climate zone]], 0)</f>
        <v>1</v>
      </c>
    </row>
    <row r="96" spans="4:19" ht="20.100000000000001" customHeight="1" x14ac:dyDescent="0.25">
      <c r="D96" s="39" t="str" cm="1">
        <f t="array" ref="D96">Common_InputFunctions.Utility_DisplayArrayInTable(Common_SourceData.Common_SourceData_ClimateZones_Data(), Table_SourceData_ClimateZones[[#Headers],[Climate zone]], 0)</f>
        <v>Cool temperate moist</v>
      </c>
      <c r="E96" s="39" t="str" cm="1">
        <f t="array" ref="E96">Common_InputFunctions.Utility_DisplayArrayInTable(Common_SourceData.Common_SourceData_ClimateZones_Data(), Table_SourceData_ClimateZones[[#Headers],[Climate zone]], 0)</f>
        <v>&gt; 0 C - ≤ 10 C</v>
      </c>
      <c r="F96" s="39" t="str" cm="1">
        <f t="array" ref="F96">Common_InputFunctions.Utility_DisplayArrayInTable(Common_SourceData.Common_SourceData_ClimateZones_Data(), Table_SourceData_ClimateZones[[#Headers],[Climate zone]], 0)</f>
        <v>Any</v>
      </c>
      <c r="G96" s="39" t="str" cm="1">
        <f t="array" ref="G96">Common_InputFunctions.Utility_DisplayArrayInTable(Common_SourceData.Common_SourceData_ClimateZones_Data(), Table_SourceData_ClimateZones[[#Headers],[Climate zone]], 0)</f>
        <v>Any</v>
      </c>
      <c r="H96" s="39" t="str" cm="1">
        <f t="array" ref="H96">Common_InputFunctions.Utility_DisplayArrayInTable(Common_SourceData.Common_SourceData_ClimateZones_Data(), Table_SourceData_ClimateZones[[#Headers],[Climate zone]], 0)</f>
        <v>Any</v>
      </c>
      <c r="I96" s="39" t="str" cm="1">
        <f t="array" ref="I96">Common_InputFunctions.Utility_DisplayArrayInTable(Common_SourceData.Common_SourceData_ClimateZones_Data(), Table_SourceData_ClimateZones[[#Headers],[Climate zone]], 0)</f>
        <v>&gt; 1</v>
      </c>
      <c r="J96" s="39" cm="1">
        <f t="array" ref="J96">Common_InputFunctions.Utility_DisplayArrayInTable(Common_SourceData.Common_SourceData_ClimateZones_Data(), Table_SourceData_ClimateZones[[#Headers],[Climate zone]], 0)</f>
        <v>-999999</v>
      </c>
      <c r="K96" s="39" cm="1">
        <f t="array" ref="K96">Common_InputFunctions.Utility_DisplayArrayInTable(Common_SourceData.Common_SourceData_ClimateZones_Data(), Table_SourceData_ClimateZones[[#Headers],[Climate zone]], 0)</f>
        <v>10</v>
      </c>
      <c r="L96" s="39" cm="1">
        <f t="array" ref="L96">Common_InputFunctions.Utility_DisplayArrayInTable(Common_SourceData.Common_SourceData_ClimateZones_Data(), Table_SourceData_ClimateZones[[#Headers],[Climate zone]], 0)</f>
        <v>-999999</v>
      </c>
      <c r="M96" s="39" cm="1">
        <f t="array" ref="M96">Common_InputFunctions.Utility_DisplayArrayInTable(Common_SourceData.Common_SourceData_ClimateZones_Data(), Table_SourceData_ClimateZones[[#Headers],[Climate zone]], 0)</f>
        <v>999999</v>
      </c>
      <c r="N96" s="39" cm="1">
        <f t="array" ref="N96">Common_InputFunctions.Utility_DisplayArrayInTable(Common_SourceData.Common_SourceData_ClimateZones_Data(), Table_SourceData_ClimateZones[[#Headers],[Climate zone]], 0)</f>
        <v>-999999</v>
      </c>
      <c r="O96" s="39" cm="1">
        <f t="array" ref="O96">Common_InputFunctions.Utility_DisplayArrayInTable(Common_SourceData.Common_SourceData_ClimateZones_Data(), Table_SourceData_ClimateZones[[#Headers],[Climate zone]], 0)</f>
        <v>999999</v>
      </c>
      <c r="P96" s="39" cm="1">
        <f t="array" ref="P96">Common_InputFunctions.Utility_DisplayArrayInTable(Common_SourceData.Common_SourceData_ClimateZones_Data(), Table_SourceData_ClimateZones[[#Headers],[Climate zone]], 0)</f>
        <v>-999999</v>
      </c>
      <c r="Q96" s="39" cm="1">
        <f t="array" ref="Q96">Common_InputFunctions.Utility_DisplayArrayInTable(Common_SourceData.Common_SourceData_ClimateZones_Data(), Table_SourceData_ClimateZones[[#Headers],[Climate zone]], 0)</f>
        <v>999999</v>
      </c>
      <c r="R96" s="39" cm="1">
        <f t="array" ref="R96">Common_InputFunctions.Utility_DisplayArrayInTable(Common_SourceData.Common_SourceData_ClimateZones_Data(), Table_SourceData_ClimateZones[[#Headers],[Climate zone]], 0)</f>
        <v>1.0009999999999999</v>
      </c>
      <c r="S96" s="39" cm="1">
        <f t="array" ref="S96">Common_InputFunctions.Utility_DisplayArrayInTable(Common_SourceData.Common_SourceData_ClimateZones_Data(), Table_SourceData_ClimateZones[[#Headers],[Climate zone]], 0)</f>
        <v>999999</v>
      </c>
    </row>
    <row r="97" spans="4:19" ht="20.100000000000001" customHeight="1" x14ac:dyDescent="0.25">
      <c r="D97" s="39" t="str" cm="1">
        <f t="array" ref="D97">Common_InputFunctions.Utility_DisplayArrayInTable(Common_SourceData.Common_SourceData_ClimateZones_Data(), Table_SourceData_ClimateZones[[#Headers],[Climate zone]], 0)</f>
        <v>Cool temperate dry</v>
      </c>
      <c r="E97" s="39" t="str" cm="1">
        <f t="array" ref="E97">Common_InputFunctions.Utility_DisplayArrayInTable(Common_SourceData.Common_SourceData_ClimateZones_Data(), Table_SourceData_ClimateZones[[#Headers],[Climate zone]], 0)</f>
        <v>&gt; 0 C - ≤ 10 C</v>
      </c>
      <c r="F97" s="39" t="str" cm="1">
        <f t="array" ref="F97">Common_InputFunctions.Utility_DisplayArrayInTable(Common_SourceData.Common_SourceData_ClimateZones_Data(), Table_SourceData_ClimateZones[[#Headers],[Climate zone]], 0)</f>
        <v>Any</v>
      </c>
      <c r="G97" s="39" t="str" cm="1">
        <f t="array" ref="G97">Common_InputFunctions.Utility_DisplayArrayInTable(Common_SourceData.Common_SourceData_ClimateZones_Data(), Table_SourceData_ClimateZones[[#Headers],[Climate zone]], 0)</f>
        <v>Any</v>
      </c>
      <c r="H97" s="39" t="str" cm="1">
        <f t="array" ref="H97">Common_InputFunctions.Utility_DisplayArrayInTable(Common_SourceData.Common_SourceData_ClimateZones_Data(), Table_SourceData_ClimateZones[[#Headers],[Climate zone]], 0)</f>
        <v>Any</v>
      </c>
      <c r="I97" s="39" t="str" cm="1">
        <f t="array" ref="I97">Common_InputFunctions.Utility_DisplayArrayInTable(Common_SourceData.Common_SourceData_ClimateZones_Data(), Table_SourceData_ClimateZones[[#Headers],[Climate zone]], 0)</f>
        <v>≤ 1</v>
      </c>
      <c r="J97" s="39" cm="1">
        <f t="array" ref="J97">Common_InputFunctions.Utility_DisplayArrayInTable(Common_SourceData.Common_SourceData_ClimateZones_Data(), Table_SourceData_ClimateZones[[#Headers],[Climate zone]], 0)</f>
        <v>-999999</v>
      </c>
      <c r="K97" s="39" cm="1">
        <f t="array" ref="K97">Common_InputFunctions.Utility_DisplayArrayInTable(Common_SourceData.Common_SourceData_ClimateZones_Data(), Table_SourceData_ClimateZones[[#Headers],[Climate zone]], 0)</f>
        <v>10</v>
      </c>
      <c r="L97" s="39" cm="1">
        <f t="array" ref="L97">Common_InputFunctions.Utility_DisplayArrayInTable(Common_SourceData.Common_SourceData_ClimateZones_Data(), Table_SourceData_ClimateZones[[#Headers],[Climate zone]], 0)</f>
        <v>-999999</v>
      </c>
      <c r="M97" s="39" cm="1">
        <f t="array" ref="M97">Common_InputFunctions.Utility_DisplayArrayInTable(Common_SourceData.Common_SourceData_ClimateZones_Data(), Table_SourceData_ClimateZones[[#Headers],[Climate zone]], 0)</f>
        <v>999999</v>
      </c>
      <c r="N97" s="39" cm="1">
        <f t="array" ref="N97">Common_InputFunctions.Utility_DisplayArrayInTable(Common_SourceData.Common_SourceData_ClimateZones_Data(), Table_SourceData_ClimateZones[[#Headers],[Climate zone]], 0)</f>
        <v>-999999</v>
      </c>
      <c r="O97" s="39" cm="1">
        <f t="array" ref="O97">Common_InputFunctions.Utility_DisplayArrayInTable(Common_SourceData.Common_SourceData_ClimateZones_Data(), Table_SourceData_ClimateZones[[#Headers],[Climate zone]], 0)</f>
        <v>999999</v>
      </c>
      <c r="P97" s="39" cm="1">
        <f t="array" ref="P97">Common_InputFunctions.Utility_DisplayArrayInTable(Common_SourceData.Common_SourceData_ClimateZones_Data(), Table_SourceData_ClimateZones[[#Headers],[Climate zone]], 0)</f>
        <v>-999999</v>
      </c>
      <c r="Q97" s="39" cm="1">
        <f t="array" ref="Q97">Common_InputFunctions.Utility_DisplayArrayInTable(Common_SourceData.Common_SourceData_ClimateZones_Data(), Table_SourceData_ClimateZones[[#Headers],[Climate zone]], 0)</f>
        <v>999999</v>
      </c>
      <c r="R97" s="39" cm="1">
        <f t="array" ref="R97">Common_InputFunctions.Utility_DisplayArrayInTable(Common_SourceData.Common_SourceData_ClimateZones_Data(), Table_SourceData_ClimateZones[[#Headers],[Climate zone]], 0)</f>
        <v>-999999</v>
      </c>
      <c r="S97" s="39" cm="1">
        <f t="array" ref="S97">Common_InputFunctions.Utility_DisplayArrayInTable(Common_SourceData.Common_SourceData_ClimateZones_Data(), Table_SourceData_ClimateZones[[#Headers],[Climate zone]], 0)</f>
        <v>1</v>
      </c>
    </row>
    <row r="98" spans="4:19" ht="20.100000000000001" customHeight="1" x14ac:dyDescent="0.25">
      <c r="D98" s="57" t="str" cm="1">
        <f t="array" ref="D98:D101">Common_SourceData.Common_SourceData_ClimateZones_Appendices()</f>
        <v>Note:</v>
      </c>
    </row>
    <row r="99" spans="4:19" ht="20.100000000000001" customHeight="1" x14ac:dyDescent="0.25">
      <c r="D99" s="57" t="str">
        <v>MAT = mean annual temperature</v>
      </c>
    </row>
    <row r="100" spans="4:19" ht="20.100000000000001" customHeight="1" x14ac:dyDescent="0.25">
      <c r="D100" s="57" t="str">
        <v>MAP = mean annual precipitation</v>
      </c>
    </row>
    <row r="101" spans="4:19" ht="20.100000000000001" customHeight="1" x14ac:dyDescent="0.25">
      <c r="D101" s="57" t="str">
        <v>PET = potential evapotranspiration</v>
      </c>
    </row>
    <row r="102" spans="4:19" ht="20.100000000000001" customHeight="1" x14ac:dyDescent="0.25">
      <c r="D102" s="57"/>
    </row>
    <row r="103" spans="4:19" ht="20.100000000000001" customHeight="1" x14ac:dyDescent="0.25"/>
    <row r="104" spans="4:19" ht="20.100000000000001" customHeight="1" x14ac:dyDescent="0.25"/>
    <row r="105" spans="4:19" ht="20.100000000000001" customHeight="1" x14ac:dyDescent="0.25">
      <c r="D105" s="6" t="str" cm="1">
        <f t="array" ref="D105">Common_SourceData.Common_SourceData_TemperatureZones_Title()</f>
        <v>VEERG Australian temperature zones</v>
      </c>
    </row>
    <row r="106" spans="4:19" ht="20.100000000000001" customHeight="1" x14ac:dyDescent="0.25">
      <c r="D106" s="5" t="str" cm="1">
        <f t="array" ref="D106">Common_SourceData.Common_SourceData_TemperatureZones_Source()</f>
        <v>VEERG 2026: Table 1.3: Climate and Rainfall zone classifications and definitions</v>
      </c>
    </row>
    <row r="107" spans="4:19" ht="20.100000000000001" customHeight="1" x14ac:dyDescent="0.25">
      <c r="D107" s="58" t="str" cm="1">
        <f t="array" ref="D107">"⚠️" &amp; Common_SourceData.Common_SourceData_TemperatureZones_Variation()</f>
        <v>⚠️VARIATION OF SOURCE DATA: Added extra MAT min and MAT max columns to calculate zone from real temperature data.</v>
      </c>
    </row>
    <row r="108" spans="4:19" ht="20.100000000000001" customHeight="1" x14ac:dyDescent="0.25"/>
    <row r="109" spans="4:19" ht="20.100000000000001" customHeight="1" x14ac:dyDescent="0.25">
      <c r="D109" s="39" t="s">
        <v>57</v>
      </c>
      <c r="E109" s="39" t="s">
        <v>38</v>
      </c>
      <c r="F109" s="39" t="s">
        <v>58</v>
      </c>
      <c r="G109" s="39" t="s">
        <v>59</v>
      </c>
    </row>
    <row r="110" spans="4:19" ht="20.100000000000001" customHeight="1" x14ac:dyDescent="0.25">
      <c r="D110" s="39" t="str" cm="1">
        <f t="array" ref="D110">Common_InputFunctions.Utility_DisplayArrayInTable(Common_SourceData.Common_SourceData_TemperatureZones_Data(),Table_SourceData_TemperatureZones[[#Headers],[Temperature Zone]],0)</f>
        <v>Warm</v>
      </c>
      <c r="E110" s="39" t="str" cm="1">
        <f t="array" ref="E110">Common_InputFunctions.Utility_DisplayArrayInTable(Common_SourceData.Common_SourceData_TemperatureZones_Data(),Table_SourceData_TemperatureZones[[#Headers],[Temperature Zone]],0)</f>
        <v>≥ 26 C</v>
      </c>
      <c r="F110" s="39" cm="1">
        <f t="array" ref="F110">Common_InputFunctions.Utility_DisplayArrayInTable(Common_SourceData.Common_SourceData_TemperatureZones_Data(),Table_SourceData_TemperatureZones[[#Headers],[Temperature Zone]],0)</f>
        <v>26</v>
      </c>
      <c r="G110" s="39" cm="1">
        <f t="array" ref="G110">Common_InputFunctions.Utility_DisplayArrayInTable(Common_SourceData.Common_SourceData_TemperatureZones_Data(),Table_SourceData_TemperatureZones[[#Headers],[Temperature Zone]],0)</f>
        <v>999999</v>
      </c>
    </row>
    <row r="111" spans="4:19" ht="20.100000000000001" customHeight="1" x14ac:dyDescent="0.25">
      <c r="D111" s="39" t="str" cm="1">
        <f t="array" ref="D111">Common_InputFunctions.Utility_DisplayArrayInTable(Common_SourceData.Common_SourceData_TemperatureZones_Data(),Table_SourceData_TemperatureZones[[#Headers],[Temperature Zone]],0)</f>
        <v>Temperate</v>
      </c>
      <c r="E111" s="39" t="str" cm="1">
        <f t="array" ref="E111">Common_InputFunctions.Utility_DisplayArrayInTable(Common_SourceData.Common_SourceData_TemperatureZones_Data(),Table_SourceData_TemperatureZones[[#Headers],[Temperature Zone]],0)</f>
        <v>15 - 25 C</v>
      </c>
      <c r="F111" s="39" cm="1">
        <f t="array" ref="F111">Common_InputFunctions.Utility_DisplayArrayInTable(Common_SourceData.Common_SourceData_TemperatureZones_Data(),Table_SourceData_TemperatureZones[[#Headers],[Temperature Zone]],0)</f>
        <v>15</v>
      </c>
      <c r="G111" s="39" cm="1">
        <f t="array" ref="G111">Common_InputFunctions.Utility_DisplayArrayInTable(Common_SourceData.Common_SourceData_TemperatureZones_Data(),Table_SourceData_TemperatureZones[[#Headers],[Temperature Zone]],0)</f>
        <v>25.998999999999999</v>
      </c>
    </row>
    <row r="112" spans="4:19" ht="20.100000000000001" customHeight="1" x14ac:dyDescent="0.25">
      <c r="D112" s="39" t="str" cm="1">
        <f t="array" ref="D112">Common_InputFunctions.Utility_DisplayArrayInTable(Common_SourceData.Common_SourceData_TemperatureZones_Data(),Table_SourceData_TemperatureZones[[#Headers],[Temperature Zone]],0)</f>
        <v>Cool</v>
      </c>
      <c r="E112" s="39" t="str" cm="1">
        <f t="array" ref="E112">Common_InputFunctions.Utility_DisplayArrayInTable(Common_SourceData.Common_SourceData_TemperatureZones_Data(),Table_SourceData_TemperatureZones[[#Headers],[Temperature Zone]],0)</f>
        <v>≤ 14 C</v>
      </c>
      <c r="F112" s="39" cm="1">
        <f t="array" ref="F112">Common_InputFunctions.Utility_DisplayArrayInTable(Common_SourceData.Common_SourceData_TemperatureZones_Data(),Table_SourceData_TemperatureZones[[#Headers],[Temperature Zone]],0)</f>
        <v>-999999</v>
      </c>
      <c r="G112" s="39" cm="1">
        <f t="array" ref="G112">Common_InputFunctions.Utility_DisplayArrayInTable(Common_SourceData.Common_SourceData_TemperatureZones_Data(),Table_SourceData_TemperatureZones[[#Headers],[Temperature Zone]],0)</f>
        <v>14.999000000000001</v>
      </c>
    </row>
    <row r="113" spans="4:65" ht="20.100000000000001" customHeight="1" x14ac:dyDescent="0.25"/>
    <row r="114" spans="4:65" ht="20.100000000000001" customHeight="1" x14ac:dyDescent="0.25"/>
    <row r="115" spans="4:65" ht="20.100000000000001" customHeight="1" x14ac:dyDescent="0.25">
      <c r="D115" s="6" t="str" cm="1">
        <f t="array" ref="D115">Common_SourceData.Common_SourceData_RainfallZones_Title()</f>
        <v>VEERG Australian rainfall zones</v>
      </c>
      <c r="BM115" s="7"/>
    </row>
    <row r="116" spans="4:65" ht="20.100000000000001" customHeight="1" x14ac:dyDescent="0.25">
      <c r="D116" s="5" t="str" cm="1">
        <f t="array" ref="D116">Common_SourceData.Common_SourceData_RainfallZones_Source()</f>
        <v>VEERG 2026: Table 1.3: Climate and Rainfall zone classifications and definitions</v>
      </c>
      <c r="BM116" s="7"/>
    </row>
    <row r="117" spans="4:65" ht="20.100000000000001" customHeight="1" x14ac:dyDescent="0.25">
      <c r="D117" s="58" t="str" cm="1">
        <f t="array" ref="D117">"⚠️" &amp; Common_SourceData.Common_SourceData_RainfallZones_Variation()</f>
        <v>⚠️VARIATION OF SOURCE DATA: Added extra Rainfall min and Rainfall max columns to calculate zone from real rainfall data.</v>
      </c>
      <c r="BM117" s="7"/>
    </row>
    <row r="118" spans="4:65" ht="20.100000000000001" customHeight="1" x14ac:dyDescent="0.25">
      <c r="BM118" s="7"/>
    </row>
    <row r="119" spans="4:65" ht="20.100000000000001" customHeight="1" x14ac:dyDescent="0.25">
      <c r="D119" s="39" t="s">
        <v>60</v>
      </c>
      <c r="E119" s="39" t="s">
        <v>61</v>
      </c>
      <c r="F119" s="39" t="s">
        <v>45</v>
      </c>
      <c r="G119" s="39" t="s">
        <v>46</v>
      </c>
      <c r="BM119" s="7"/>
    </row>
    <row r="120" spans="4:65" ht="20.100000000000001" customHeight="1" x14ac:dyDescent="0.25">
      <c r="D120" s="39" t="str" cm="1">
        <f t="array" ref="D120">Common_InputFunctions.Utility_DisplayArrayInTable(Common_SourceData.Common_SourceData_RainfallZones_Data(),Table_SourceData_RainfallZones[[#Headers],[Rainfall Zone]],0)</f>
        <v>High rainfall</v>
      </c>
      <c r="E120" s="39" t="str" cm="1">
        <f t="array" ref="E120">Common_InputFunctions.Utility_DisplayArrayInTable(Common_SourceData.Common_SourceData_RainfallZones_Data(),Table_SourceData_RainfallZones[[#Headers],[Rainfall Zone]],0)</f>
        <v>Annual rainfall &gt; 600mm</v>
      </c>
      <c r="F120" s="39" cm="1">
        <f t="array" ref="F120">Common_InputFunctions.Utility_DisplayArrayInTable(Common_SourceData.Common_SourceData_RainfallZones_Data(),Table_SourceData_RainfallZones[[#Headers],[Rainfall Zone]],0)</f>
        <v>600.00099999999998</v>
      </c>
      <c r="G120" s="39" cm="1">
        <f t="array" ref="G120">Common_InputFunctions.Utility_DisplayArrayInTable(Common_SourceData.Common_SourceData_RainfallZones_Data(),Table_SourceData_RainfallZones[[#Headers],[Rainfall Zone]],0)</f>
        <v>999999</v>
      </c>
      <c r="BM120" s="7"/>
    </row>
    <row r="121" spans="4:65" ht="20.100000000000001" customHeight="1" x14ac:dyDescent="0.25">
      <c r="D121" s="39" t="str" cm="1">
        <f t="array" ref="D121">Common_InputFunctions.Utility_DisplayArrayInTable(Common_SourceData.Common_SourceData_RainfallZones_Data(),Table_SourceData_RainfallZones[[#Headers],[Rainfall Zone]],0)</f>
        <v>Low rainfall</v>
      </c>
      <c r="E121" s="39" t="str" cm="1">
        <f t="array" ref="E121">Common_InputFunctions.Utility_DisplayArrayInTable(Common_SourceData.Common_SourceData_RainfallZones_Data(),Table_SourceData_RainfallZones[[#Headers],[Rainfall Zone]],0)</f>
        <v>Annual rainfall ≤ 600mm</v>
      </c>
      <c r="F121" s="39" cm="1">
        <f t="array" ref="F121">Common_InputFunctions.Utility_DisplayArrayInTable(Common_SourceData.Common_SourceData_RainfallZones_Data(),Table_SourceData_RainfallZones[[#Headers],[Rainfall Zone]],0)</f>
        <v>-999999</v>
      </c>
      <c r="G121" s="39" cm="1">
        <f t="array" ref="G121">Common_InputFunctions.Utility_DisplayArrayInTable(Common_SourceData.Common_SourceData_RainfallZones_Data(),Table_SourceData_RainfallZones[[#Headers],[Rainfall Zone]],0)</f>
        <v>600</v>
      </c>
      <c r="BM121" s="7"/>
    </row>
    <row r="122" spans="4:65" ht="20.100000000000001" customHeight="1" x14ac:dyDescent="0.25">
      <c r="BM122" s="7"/>
    </row>
    <row r="123" spans="4:65" ht="20.100000000000001" customHeight="1" x14ac:dyDescent="0.25"/>
    <row r="124" spans="4:65" ht="20.100000000000001" customHeight="1" x14ac:dyDescent="0.25">
      <c r="D124" s="6" t="str" cm="1">
        <f t="array" ref="D124">Common_SourceData.Common_SourceData_LeachingZones_Title()</f>
        <v>VEERG Australian leaching zones</v>
      </c>
    </row>
    <row r="125" spans="4:65" ht="20.100000000000001" customHeight="1" x14ac:dyDescent="0.25">
      <c r="D125" s="5" t="str" cm="1">
        <f t="array" ref="D125">Common_SourceData.Common_SourceData_LeachingZones_Source()</f>
        <v>VEERG 2026: Table 1.3: Climate and Rainfall zone classifications and definitions</v>
      </c>
    </row>
    <row r="126" spans="4:65" ht="20.100000000000001" customHeight="1" x14ac:dyDescent="0.25"/>
    <row r="127" spans="4:65" ht="20.100000000000001" customHeight="1" x14ac:dyDescent="0.25">
      <c r="D127" s="39" t="s">
        <v>67</v>
      </c>
      <c r="E127" s="39" t="s">
        <v>68</v>
      </c>
    </row>
    <row r="128" spans="4:65" ht="20.100000000000001" customHeight="1" x14ac:dyDescent="0.25">
      <c r="D128" s="39" t="str" cm="1">
        <f t="array" ref="D128">Common_InputFunctions.Utility_DisplayArrayInTable(Common_SourceData.Common_SourceData_LeachingZones_Data(), Table_SourceData_LeachingZones[[#Headers],[Leaching Zone]], 0)</f>
        <v>Leaching occurs</v>
      </c>
      <c r="E128" s="39" t="str" cm="1">
        <f t="array" ref="E128">Common_InputFunctions.Utility_DisplayArrayInTable(Common_SourceData.Common_SourceData_LeachingZones_Data(), Table_SourceData_LeachingZones[[#Headers],[Leaching Zone]], 0)</f>
        <v>Σ(𝑟𝑎𝑖𝑛)&gt;Σ(𝐸𝑇0)+𝑠𝑜𝑖𝑙 𝑤𝑎𝑡𝑒𝑟 ℎ𝑜𝑙𝑑𝑖𝑛𝑔 𝑐𝑎𝑝𝑎𝑐𝑖𝑡𝑦</v>
      </c>
    </row>
    <row r="129" spans="4:76" ht="20.100000000000001" customHeight="1" x14ac:dyDescent="0.25">
      <c r="D129" s="39" t="str" cm="1">
        <f t="array" ref="D129">Common_InputFunctions.Utility_DisplayArrayInTable(Common_SourceData.Common_SourceData_LeachingZones_Data(), Table_SourceData_LeachingZones[[#Headers],[Leaching Zone]], 0)</f>
        <v>Leaching does not occur</v>
      </c>
      <c r="E129" s="39" t="str" cm="1">
        <f t="array" ref="E129">Common_InputFunctions.Utility_DisplayArrayInTable(Common_SourceData.Common_SourceData_LeachingZones_Data(), Table_SourceData_LeachingZones[[#Headers],[Leaching Zone]], 0)</f>
        <v>Σ(𝑟𝑎𝑖𝑛)≤Σ(𝐸𝑇0)+𝑠𝑜𝑖𝑙 𝑤𝑎𝑡𝑒𝑟 ℎ𝑜𝑙𝑑𝑖𝑛𝑔 𝑐𝑎𝑝𝑎𝑐𝑖𝑡𝑦</v>
      </c>
    </row>
    <row r="130" spans="4:76" ht="20.100000000000001" customHeight="1" x14ac:dyDescent="0.25"/>
    <row r="131" spans="4:76" ht="20.100000000000001" customHeight="1" x14ac:dyDescent="0.25"/>
    <row r="132" spans="4:76" ht="20.100000000000001" customHeight="1" x14ac:dyDescent="0.25">
      <c r="D132" s="6" t="str" cm="1">
        <f t="array" ref="D132">Common_SourceData.Common_SourceData_FracWET_Title()</f>
        <v>Fraction of N that is available for leaching and runoff</v>
      </c>
      <c r="E132" s="24"/>
    </row>
    <row r="133" spans="4:76" ht="20.100000000000001" customHeight="1" x14ac:dyDescent="0.25">
      <c r="D133" s="5" t="str" cm="1">
        <f t="array" ref="D133">Common_SourceData.Common_SourceData_FracWET_Source()</f>
        <v>VEERG 2026:5.5.2.3 Constant Parameters</v>
      </c>
      <c r="E133" s="24"/>
    </row>
    <row r="134" spans="4:76" ht="20.100000000000001" customHeight="1" x14ac:dyDescent="0.25">
      <c r="D134" t="s">
        <v>95</v>
      </c>
      <c r="E134" t="s">
        <v>96</v>
      </c>
    </row>
    <row r="135" spans="4:76" ht="20.100000000000001" customHeight="1" x14ac:dyDescent="0.25">
      <c r="D135" t="str" cm="1">
        <f t="array" ref="D135">Common_InputFunctions.Utility_DisplayArrayInTable(Common_SourceData.Common_SourceData_FracWET_Data(),Table_SourceData_FracWET[[#Headers],[Is in leaching zone]],0)</f>
        <v>Yes - in leaching zone</v>
      </c>
      <c r="E135" cm="1">
        <f t="array" ref="E135">Common_InputFunctions.Utility_DisplayArrayInTable(Common_SourceData.Common_SourceData_FracWET_Data(),Table_SourceData_FracWET[[#Headers],[Is in leaching zone]],0)</f>
        <v>1</v>
      </c>
    </row>
    <row r="136" spans="4:76" ht="20.100000000000001" customHeight="1" x14ac:dyDescent="0.25">
      <c r="D136" s="1" t="str" cm="1">
        <f t="array" ref="D136">Common_InputFunctions.Utility_DisplayArrayInTable(Common_SourceData.Common_SourceData_FracWET_Data(),Table_SourceData_FracWET[[#Headers],[Is in leaching zone]],0)</f>
        <v>No - not in leaching zone</v>
      </c>
      <c r="E136" s="39" cm="1">
        <f t="array" ref="E136">Common_InputFunctions.Utility_DisplayArrayInTable(Common_SourceData.Common_SourceData_FracWET_Data(),Table_SourceData_FracWET[[#Headers],[Is in leaching zone]],0)</f>
        <v>0</v>
      </c>
    </row>
    <row r="137" spans="4:76" ht="20.100000000000001" customHeight="1" x14ac:dyDescent="0.25"/>
    <row r="138" spans="4:76" ht="20.100000000000001" customHeight="1" x14ac:dyDescent="0.25">
      <c r="BM138" s="7"/>
      <c r="BN138" s="7"/>
      <c r="BO138" s="7"/>
      <c r="BP138" s="7"/>
      <c r="BQ138" s="7"/>
      <c r="BR138" s="7"/>
      <c r="BS138" s="7"/>
      <c r="BT138" s="7"/>
      <c r="BU138" s="7"/>
      <c r="BV138" s="7"/>
      <c r="BW138" s="7"/>
      <c r="BX138" s="7"/>
    </row>
    <row r="139" spans="4:76" ht="20.100000000000001" customHeight="1" x14ac:dyDescent="0.25">
      <c r="D139" s="6" t="str" cm="1">
        <f t="array" ref="D139">Common_SourceData.Common_SourceData_FracWETIrrigation_Title()</f>
        <v>FracWET for irrigation types</v>
      </c>
      <c r="BM139" s="7"/>
      <c r="BN139" s="7"/>
      <c r="BO139" s="7"/>
      <c r="BP139" s="7"/>
      <c r="BQ139" s="7"/>
      <c r="BR139" s="7"/>
      <c r="BS139" s="7"/>
      <c r="BT139" s="7"/>
      <c r="BU139" s="7"/>
      <c r="BV139" s="7"/>
      <c r="BW139" s="7"/>
      <c r="BX139" s="7"/>
    </row>
    <row r="140" spans="4:76" ht="20.100000000000001" customHeight="1" x14ac:dyDescent="0.25">
      <c r="D140" s="5" t="str" cm="1">
        <f t="array" ref="D140">Common_SourceData.Common_SourceData_FracWETIrrigation_Source()</f>
        <v>VEERG 2026: Chapter 1, section 1.8.2 Leaching, climate and rainfall zones</v>
      </c>
      <c r="BM140" s="7"/>
      <c r="BN140" s="7"/>
      <c r="BO140" s="7"/>
      <c r="BP140" s="7"/>
      <c r="BQ140" s="7"/>
      <c r="BR140" s="7"/>
      <c r="BS140" s="7"/>
      <c r="BT140" s="7"/>
      <c r="BU140" s="7"/>
      <c r="BV140" s="7"/>
      <c r="BW140" s="7"/>
      <c r="BX140" s="7"/>
    </row>
    <row r="141" spans="4:76" ht="20.100000000000001" customHeight="1" x14ac:dyDescent="0.25">
      <c r="D141" s="58" t="str" cm="1">
        <f t="array" ref="D141">Common_SourceData.Common_SourceData_FracWETIrrigation_Variation()</f>
        <v>VARIATION FROM SOURCE DATA: Table created based on VEERG text 'Areas are subject to leaching (i.e., in the leaching zone) when... the land is irrigated (except drip irrigation).'</v>
      </c>
      <c r="BM141" s="7"/>
    </row>
    <row r="142" spans="4:76" ht="20.100000000000001" customHeight="1" x14ac:dyDescent="0.25">
      <c r="D142" s="39" t="s">
        <v>354</v>
      </c>
      <c r="E142" s="39" t="s">
        <v>96</v>
      </c>
      <c r="BM142" s="7"/>
    </row>
    <row r="143" spans="4:76" ht="20.100000000000001" customHeight="1" x14ac:dyDescent="0.25">
      <c r="D143" s="39" t="str" cm="1">
        <f t="array" ref="D143">Common_InputFunctions.Utility_DisplayArrayInTable(Common_SourceData.Common_SourceData_FracWETIrrigation_Data(), Table_SourceData_FracWETIrrigation[[#Headers],[Irrigation type i]], 0)</f>
        <v>Not irrigated</v>
      </c>
      <c r="E143" s="39" cm="1">
        <f t="array" ref="E143">Common_InputFunctions.Utility_DisplayArrayInTable(Common_SourceData.Common_SourceData_FracWETIrrigation_Data(), Table_SourceData_FracWETIrrigation[[#Headers],[Irrigation type i]], 0)</f>
        <v>0</v>
      </c>
      <c r="BM143" s="7"/>
    </row>
    <row r="144" spans="4:76" ht="20.100000000000001" customHeight="1" x14ac:dyDescent="0.25">
      <c r="D144" s="1" t="str" cm="1">
        <f t="array" ref="D144">Common_InputFunctions.Utility_DisplayArrayInTable(Common_SourceData.Common_SourceData_FracWETIrrigation_Data(), Table_SourceData_FracWETIrrigation[[#Headers],[Irrigation type i]], 0)</f>
        <v>Drip irrigation</v>
      </c>
      <c r="E144" s="39" cm="1">
        <f t="array" ref="E144">Common_InputFunctions.Utility_DisplayArrayInTable(Common_SourceData.Common_SourceData_FracWETIrrigation_Data(), Table_SourceData_FracWETIrrigation[[#Headers],[Irrigation type i]], 0)</f>
        <v>0</v>
      </c>
      <c r="BM144" s="7"/>
    </row>
    <row r="145" spans="4:65" ht="20.100000000000001" customHeight="1" x14ac:dyDescent="0.25">
      <c r="D145" s="1" t="str" cm="1">
        <f t="array" ref="D145">Common_InputFunctions.Utility_DisplayArrayInTable(Common_SourceData.Common_SourceData_FracWETIrrigation_Data(), Table_SourceData_FracWETIrrigation[[#Headers],[Irrigation type i]], 0)</f>
        <v>Sprinkler irrigation</v>
      </c>
      <c r="E145" s="39" cm="1">
        <f t="array" ref="E145">Common_InputFunctions.Utility_DisplayArrayInTable(Common_SourceData.Common_SourceData_FracWETIrrigation_Data(), Table_SourceData_FracWETIrrigation[[#Headers],[Irrigation type i]], 0)</f>
        <v>1</v>
      </c>
      <c r="BM145" s="7"/>
    </row>
    <row r="146" spans="4:65" ht="20.100000000000001" customHeight="1" x14ac:dyDescent="0.25">
      <c r="D146" s="1" t="str" cm="1">
        <f t="array" ref="D146">Common_InputFunctions.Utility_DisplayArrayInTable(Common_SourceData.Common_SourceData_FracWETIrrigation_Data(), Table_SourceData_FracWETIrrigation[[#Headers],[Irrigation type i]], 0)</f>
        <v>Surface irrigation</v>
      </c>
      <c r="E146" s="39" cm="1">
        <f t="array" ref="E146">Common_InputFunctions.Utility_DisplayArrayInTable(Common_SourceData.Common_SourceData_FracWETIrrigation_Data(), Table_SourceData_FracWETIrrigation[[#Headers],[Irrigation type i]], 0)</f>
        <v>1</v>
      </c>
      <c r="BM146" s="7"/>
    </row>
    <row r="147" spans="4:65" ht="20.100000000000001" customHeight="1" x14ac:dyDescent="0.25">
      <c r="D147" s="1" t="str" cm="1">
        <f t="array" ref="D147">Common_InputFunctions.Utility_DisplayArrayInTable(Common_SourceData.Common_SourceData_FracWETIrrigation_Data(), Table_SourceData_FracWETIrrigation[[#Headers],[Irrigation type i]], 0)</f>
        <v>Other irrigation</v>
      </c>
      <c r="E147" s="39" cm="1">
        <f t="array" ref="E147">Common_InputFunctions.Utility_DisplayArrayInTable(Common_SourceData.Common_SourceData_FracWETIrrigation_Data(), Table_SourceData_FracWETIrrigation[[#Headers],[Irrigation type i]], 0)</f>
        <v>1</v>
      </c>
      <c r="BM147" s="7"/>
    </row>
    <row r="148" spans="4:65" ht="20.100000000000001" customHeight="1" x14ac:dyDescent="0.25">
      <c r="BM148" s="7"/>
    </row>
    <row r="149" spans="4:65" ht="20.100000000000001" customHeight="1" x14ac:dyDescent="0.25">
      <c r="BM149" s="7"/>
    </row>
    <row r="150" spans="4:65" ht="20.100000000000001" customHeight="1" x14ac:dyDescent="0.25">
      <c r="D150" s="6" t="str" cm="1">
        <f t="array" ref="D150">Common_SourceData.Common_SourceData_DataScores_Scope3_Title()</f>
        <v>Australian data scores for scope 3</v>
      </c>
      <c r="BM150" s="7"/>
    </row>
    <row r="151" spans="4:65" ht="20.100000000000001" customHeight="1" x14ac:dyDescent="0.25">
      <c r="D151" s="5" t="str" cm="1">
        <f t="array" ref="D151">Common_SourceData.Common_SourceData_DataScores_Scope3_Source()</f>
        <v>VEERG 2026: XXXXXXXX</v>
      </c>
      <c r="BM151" s="7"/>
    </row>
    <row r="152" spans="4:65" ht="20.100000000000001" customHeight="1" x14ac:dyDescent="0.25">
      <c r="BM152" s="7"/>
    </row>
    <row r="153" spans="4:65" ht="20.100000000000001" customHeight="1" x14ac:dyDescent="0.25">
      <c r="D153" s="39" t="s">
        <v>70</v>
      </c>
      <c r="E153" s="39" t="s">
        <v>71</v>
      </c>
      <c r="BB153" s="3"/>
      <c r="BC153" s="3"/>
      <c r="BD153" s="3"/>
      <c r="BE153" s="3"/>
      <c r="BF153" s="3"/>
      <c r="BG153" s="3"/>
      <c r="BH153" s="3"/>
      <c r="BI153" s="3"/>
      <c r="BJ153" s="3"/>
      <c r="BK153" s="3"/>
      <c r="BL153" s="3"/>
    </row>
    <row r="154" spans="4:65" ht="20.100000000000001" customHeight="1" x14ac:dyDescent="0.25">
      <c r="D154" s="39" t="str" cm="1">
        <f t="array" ref="D154">Common_InputFunctions.Utility_DisplayArrayInTable(Common_SourceData.Common_SourceData_DataScores_Scope3_Data(), Table_SourceData_DataScores_Scope3[[#Headers],[Data source]], 0)</f>
        <v>International scope 3 database</v>
      </c>
      <c r="E154" s="39" cm="1">
        <f t="array" ref="E154">Common_InputFunctions.Utility_DisplayArrayInTable(Common_SourceData.Common_SourceData_DataScores_Scope3_Data(), Table_SourceData_DataScores_Scope3[[#Headers],[Data source]], 0)</f>
        <v>1</v>
      </c>
      <c r="BB154" s="3"/>
      <c r="BC154" s="3"/>
      <c r="BD154" s="3"/>
      <c r="BE154" s="3"/>
      <c r="BF154" s="3"/>
      <c r="BG154" s="3"/>
      <c r="BH154" s="3"/>
      <c r="BI154" s="3"/>
      <c r="BJ154" s="3"/>
      <c r="BK154" s="3"/>
      <c r="BL154" s="3"/>
    </row>
    <row r="155" spans="4:65" ht="20.100000000000001" customHeight="1" x14ac:dyDescent="0.25">
      <c r="D155" s="39" t="str" cm="1">
        <f t="array" ref="D155">Common_InputFunctions.Utility_DisplayArrayInTable(Common_SourceData.Common_SourceData_DataScores_Scope3_Data(), Table_SourceData_DataScores_Scope3[[#Headers],[Data source]], 0)</f>
        <v>Australian scope 3 database</v>
      </c>
      <c r="E155" s="39" cm="1">
        <f t="array" ref="E155">Common_InputFunctions.Utility_DisplayArrayInTable(Common_SourceData.Common_SourceData_DataScores_Scope3_Data(), Table_SourceData_DataScores_Scope3[[#Headers],[Data source]], 0)</f>
        <v>2</v>
      </c>
      <c r="BB155" s="3"/>
      <c r="BC155" s="3"/>
      <c r="BD155" s="3"/>
      <c r="BE155" s="3"/>
      <c r="BF155" s="3"/>
      <c r="BG155" s="3"/>
      <c r="BH155" s="3"/>
      <c r="BI155" s="3"/>
      <c r="BJ155" s="3"/>
      <c r="BK155" s="3"/>
      <c r="BL155" s="3"/>
    </row>
    <row r="156" spans="4:65" ht="20.100000000000001" customHeight="1" x14ac:dyDescent="0.25">
      <c r="D156" s="39" t="str" cm="1">
        <f t="array" ref="D156">Common_InputFunctions.Utility_DisplayArrayInTable(Common_SourceData.Common_SourceData_DataScores_Scope3_Data(), Table_SourceData_DataScores_Scope3[[#Headers],[Data source]], 0)</f>
        <v>State or regional scope 3 database</v>
      </c>
      <c r="E156" s="39" cm="1">
        <f t="array" ref="E156">Common_InputFunctions.Utility_DisplayArrayInTable(Common_SourceData.Common_SourceData_DataScores_Scope3_Data(), Table_SourceData_DataScores_Scope3[[#Headers],[Data source]], 0)</f>
        <v>3</v>
      </c>
    </row>
    <row r="157" spans="4:65" ht="20.100000000000001" customHeight="1" x14ac:dyDescent="0.25">
      <c r="D157" s="39" t="str" cm="1">
        <f t="array" ref="D157">Common_InputFunctions.Utility_DisplayArrayInTable(Common_SourceData.Common_SourceData_DataScores_Scope3_Data(), Table_SourceData_DataScores_Scope3[[#Headers],[Data source]], 0)</f>
        <v>Emissions intensity calculated from approved method</v>
      </c>
      <c r="E157" s="39" cm="1">
        <f t="array" ref="E157">Common_InputFunctions.Utility_DisplayArrayInTable(Common_SourceData.Common_SourceData_DataScores_Scope3_Data(), Table_SourceData_DataScores_Scope3[[#Headers],[Data source]], 0)</f>
        <v>4</v>
      </c>
    </row>
    <row r="158" spans="4:65" ht="20.100000000000001" customHeight="1" x14ac:dyDescent="0.25">
      <c r="D158" s="39" t="str" cm="1">
        <f t="array" ref="D158">Common_InputFunctions.Utility_DisplayArrayInTable(Common_SourceData.Common_SourceData_DataScores_Scope3_Data(), Table_SourceData_DataScores_Scope3[[#Headers],[Data source]], 0)</f>
        <v>Verified credential matching ISO14067</v>
      </c>
      <c r="E158" s="39" cm="1">
        <f t="array" ref="E158">Common_InputFunctions.Utility_DisplayArrayInTable(Common_SourceData.Common_SourceData_DataScores_Scope3_Data(), Table_SourceData_DataScores_Scope3[[#Headers],[Data source]], 0)</f>
        <v>5</v>
      </c>
    </row>
    <row r="159" spans="4:65" ht="20.100000000000001" customHeight="1" x14ac:dyDescent="0.25"/>
    <row r="160" spans="4:65" ht="20.100000000000001" customHeight="1" x14ac:dyDescent="0.25"/>
    <row r="161" spans="4:67" ht="20.100000000000001" customHeight="1" x14ac:dyDescent="0.25">
      <c r="D161" s="6" t="str" cm="1">
        <f t="array" ref="D161">Common_SourceData.Common_SourceData_FracLEACH_Title()</f>
        <v>Fraction of N that is available for leaching and runoff</v>
      </c>
      <c r="E161" s="24"/>
    </row>
    <row r="162" spans="4:67" ht="20.100000000000001" customHeight="1" x14ac:dyDescent="0.25">
      <c r="D162" s="5" t="str" cm="1">
        <f t="array" ref="D162">Common_SourceData.Common_SourceData_FracLEACH_Source()</f>
        <v>VEERG 2026:5.5.2.3 Constant Parameters</v>
      </c>
      <c r="E162" s="24"/>
    </row>
    <row r="163" spans="4:67" ht="20.100000000000001" customHeight="1" x14ac:dyDescent="0.25">
      <c r="D163" s="5" t="str" cm="1">
        <f t="array" ref="D163">Common_SourceData.Common_SourceData_FracLEACH_NIRReference()</f>
        <v>National Inventory Report Volume 1: Leaching and runoff (3.D.b.2)</v>
      </c>
      <c r="E163" s="24"/>
    </row>
    <row r="164" spans="4:67" ht="20.100000000000001" customHeight="1" x14ac:dyDescent="0.25">
      <c r="D164" s="24" t="str" cm="1">
        <f t="array" ref="D164:E164">Common_SourceData.Common_SourceData_FracLEACH_Data()</f>
        <v>FracLEACH</v>
      </c>
      <c r="E164" s="24">
        <v>0.24</v>
      </c>
    </row>
    <row r="165" spans="4:67" ht="20.100000000000001" customHeight="1" x14ac:dyDescent="0.25">
      <c r="BM165" s="7"/>
      <c r="BN165" s="7"/>
      <c r="BO165" s="7"/>
    </row>
    <row r="166" spans="4:67" ht="20.100000000000001" customHeight="1" x14ac:dyDescent="0.25">
      <c r="BM166" s="7"/>
      <c r="BN166" s="7"/>
      <c r="BO166" s="7"/>
    </row>
    <row r="167" spans="4:67" ht="20.100000000000001" customHeight="1" x14ac:dyDescent="0.25">
      <c r="D167" s="6" t="str" cm="1">
        <f t="array" ref="D167">Common_SourceData.Common_SourceData_EFleach_Title()</f>
        <v>Emission factor for nitrogen leaching and runoff</v>
      </c>
      <c r="BM167" s="7"/>
      <c r="BN167" s="7"/>
      <c r="BO167" s="7"/>
    </row>
    <row r="168" spans="4:67" ht="20.100000000000001" customHeight="1" x14ac:dyDescent="0.25">
      <c r="D168" s="5" t="str" cm="1">
        <f t="array" ref="D168">Common_SourceData.Common_SourceData_EFleach_Source()</f>
        <v>VEERG 2026:5.5.2.3 Constant Parameters</v>
      </c>
      <c r="BM168" s="7"/>
      <c r="BN168" s="7"/>
      <c r="BO168" s="7"/>
    </row>
    <row r="169" spans="4:67" ht="20.100000000000001" customHeight="1" x14ac:dyDescent="0.25">
      <c r="D169" s="5" t="str" cm="1">
        <f t="array" ref="D169">Common_SourceData.Common_SourceData_EFleach_NIRReference()</f>
        <v>National Inventory Report Volume 1: Equation 3.D.B_10</v>
      </c>
      <c r="BM169" s="7"/>
      <c r="BN169" s="7"/>
      <c r="BO169" s="7"/>
    </row>
    <row r="170" spans="4:67" ht="20.100000000000001" customHeight="1" x14ac:dyDescent="0.25">
      <c r="D170" s="1" t="str" cm="1">
        <f t="array" ref="D170:E170">Common_SourceData.Common_SourceData_EFleach_Data()</f>
        <v>EFleach</v>
      </c>
      <c r="E170" s="1">
        <v>1.0999999999999999E-2</v>
      </c>
      <c r="BM170" s="7"/>
      <c r="BN170" s="7"/>
      <c r="BO170" s="7"/>
    </row>
    <row r="171" spans="4:67" ht="20.100000000000001" customHeight="1" x14ac:dyDescent="0.25">
      <c r="BM171" s="7"/>
      <c r="BN171" s="7"/>
      <c r="BO171" s="7"/>
    </row>
    <row r="172" spans="4:67" ht="20.100000000000001" customHeight="1" x14ac:dyDescent="0.25">
      <c r="BM172" s="7"/>
      <c r="BN172" s="7"/>
      <c r="BO172" s="7"/>
    </row>
    <row r="173" spans="4:67" ht="20.100000000000001" customHeight="1" x14ac:dyDescent="0.25">
      <c r="D173" s="6" t="str" cm="1">
        <f t="array" ref="D173">Common_SourceData.Common_SourceData_DensityOfMethane_Title()</f>
        <v>p = density of methane</v>
      </c>
      <c r="BM173" s="7"/>
      <c r="BN173" s="7"/>
      <c r="BO173" s="7"/>
    </row>
    <row r="174" spans="4:67" ht="20.100000000000001" customHeight="1" x14ac:dyDescent="0.25">
      <c r="D174" s="5" t="str" cm="1">
        <f t="array" ref="D174">Common_SourceData.Common_SourceData_DensityOfMethane_Source()</f>
        <v>National Inventory Report 2023 Volume 1: Equations 3.B.1a_2, 3.B.1c_2, 3.B.3_1, 3.B.4g_2</v>
      </c>
      <c r="BM174" s="7"/>
      <c r="BN174" s="7"/>
      <c r="BO174" s="7"/>
    </row>
    <row r="175" spans="4:67" ht="20.100000000000001" customHeight="1" x14ac:dyDescent="0.25">
      <c r="D175" s="1" cm="1">
        <f t="array" ref="D175">Common_SourceData.Common_SourceData_DensityOfMethane_Data()</f>
        <v>0.6784</v>
      </c>
      <c r="E175" s="57" t="str" cm="1">
        <f t="array" ref="E175">Common_SourceData.Common_SourceData_DensityOfMethane_Unit()</f>
        <v>kg/m3</v>
      </c>
      <c r="BM175" s="7"/>
      <c r="BN175" s="7"/>
      <c r="BO175" s="7"/>
    </row>
    <row r="176" spans="4:67" ht="20.100000000000001" customHeight="1" x14ac:dyDescent="0.25">
      <c r="BM176" s="7"/>
      <c r="BN176" s="7"/>
      <c r="BO176" s="7"/>
    </row>
    <row r="177" spans="4:67" ht="20.100000000000001" customHeight="1" x14ac:dyDescent="0.25">
      <c r="BM177" s="7"/>
      <c r="BN177" s="7"/>
      <c r="BO177" s="7"/>
    </row>
    <row r="178" spans="4:67" ht="20.100000000000001" customHeight="1" x14ac:dyDescent="0.25">
      <c r="D178" s="6" t="str" cm="1">
        <f t="array" ref="D178">Common_SourceData.Common_SourceData_EFN2O_Title()</f>
        <v>Nitrous oxide emission factors for inorganic fertiliser application</v>
      </c>
      <c r="BM178" s="7"/>
      <c r="BN178" s="7"/>
      <c r="BO178" s="7"/>
    </row>
    <row r="179" spans="4:67" ht="20.100000000000001" customHeight="1" x14ac:dyDescent="0.25">
      <c r="D179" s="5" t="str" cm="1">
        <f t="array" ref="D179">Common_SourceData.Common_SourceData_EFN2O_Source()</f>
        <v>VEERG 2026: Table A.2.2.1</v>
      </c>
      <c r="BM179" s="7"/>
      <c r="BN179" s="7"/>
      <c r="BO179" s="7"/>
    </row>
    <row r="180" spans="4:67" ht="20.100000000000001" customHeight="1" x14ac:dyDescent="0.25">
      <c r="D180" s="57" t="str" cm="1">
        <f t="array" ref="D180">Common_SourceData.Common_SourceData_EFN2O_Unit()</f>
        <v>(kg N2O-N / kg N</v>
      </c>
    </row>
    <row r="181" spans="4:67" ht="20.100000000000001" customHeight="1" x14ac:dyDescent="0.25">
      <c r="D181" s="58" t="str" cm="1">
        <f t="array" ref="D181:D185">Common_SourceData.Common_SourceData_EFN2O_Variation()</f>
        <v>VARIATION OF SOURCE DATA:</v>
      </c>
    </row>
    <row r="182" spans="4:67" ht="20.100000000000001" customHeight="1" x14ac:dyDescent="0.25">
      <c r="D182" s="58" t="str">
        <v>Removed duplicate 'Aquaculture' row.</v>
      </c>
    </row>
    <row r="183" spans="4:67" ht="20.100000000000001" customHeight="1" x14ac:dyDescent="0.25">
      <c r="D183" s="58" t="str">
        <v>Removed asterisks to aid lookup.</v>
      </c>
    </row>
    <row r="184" spans="4:67" ht="20.100000000000001" customHeight="1" x14ac:dyDescent="0.25">
      <c r="D184" s="58" t="str">
        <v>Added 'production system only', 'rainfall zone' and 'irrigation method' columns to aid lookup.</v>
      </c>
    </row>
    <row r="185" spans="4:67" ht="20.100000000000001" customHeight="1" x14ac:dyDescent="0.25">
      <c r="D185" s="58" t="str">
        <v>Duplicated 'non-irrigated pasture' row with same EF for low and high rainfall zones to aid lookup.</v>
      </c>
    </row>
    <row r="186" spans="4:67" ht="20.100000000000001" customHeight="1" x14ac:dyDescent="0.25">
      <c r="D186" s="39" t="s">
        <v>154</v>
      </c>
      <c r="E186" s="39" t="s">
        <v>155</v>
      </c>
      <c r="F186" s="39" t="s">
        <v>156</v>
      </c>
      <c r="G186" s="39" t="s">
        <v>157</v>
      </c>
      <c r="H186" s="39" t="s">
        <v>37</v>
      </c>
    </row>
    <row r="187" spans="4:67" ht="20.100000000000001" customHeight="1" x14ac:dyDescent="0.25">
      <c r="D187" s="39" t="str" cm="1">
        <f t="array" ref="D187">Common_InputFunctions.Utility_DisplayArrayInTable(Common_SourceData.Common_SourceData_EFN2O_Data(), Table_SourceData_Common_EFN2O[[#Headers],[Production system j]], 0)</f>
        <v>Irrigated pasture</v>
      </c>
      <c r="E187" s="39" cm="1">
        <f t="array" ref="E187">Common_InputFunctions.Utility_DisplayArrayInTable(Common_SourceData.Common_SourceData_EFN2O_Data(), Table_SourceData_Common_EFN2O[[#Headers],[Production system j]], 0)</f>
        <v>5.8999999999999999E-3</v>
      </c>
      <c r="F187" s="39" t="str" cm="1">
        <f t="array" ref="F187">Common_InputFunctions.Utility_DisplayArrayInTable(Common_SourceData.Common_SourceData_EFN2O_Data(), Table_SourceData_Common_EFN2O[[#Headers],[Production system j]], 0)</f>
        <v>Pasture</v>
      </c>
      <c r="G187" s="39" t="str" cm="1">
        <f t="array" ref="G187">Common_InputFunctions.Utility_DisplayArrayInTable(Common_SourceData.Common_SourceData_EFN2O_Data(), Table_SourceData_Common_EFN2O[[#Headers],[Production system j]], 0)</f>
        <v>Any</v>
      </c>
      <c r="H187" s="39" t="str" cm="1">
        <f t="array" ref="H187">Common_InputFunctions.Utility_DisplayArrayInTable(Common_SourceData.Common_SourceData_EFN2O_Data(), Table_SourceData_Common_EFN2O[[#Headers],[Production system j]], 0)</f>
        <v>Any</v>
      </c>
    </row>
    <row r="188" spans="4:67" ht="20.100000000000001" customHeight="1" x14ac:dyDescent="0.25">
      <c r="D188" s="39" t="str" cm="1">
        <f t="array" ref="D188">Common_InputFunctions.Utility_DisplayArrayInTable(Common_SourceData.Common_SourceData_EFN2O_Data(), Table_SourceData_Common_EFN2O[[#Headers],[Production system j]], 0)</f>
        <v>Irrigated crop</v>
      </c>
      <c r="E188" s="39" cm="1">
        <f t="array" ref="E188">Common_InputFunctions.Utility_DisplayArrayInTable(Common_SourceData.Common_SourceData_EFN2O_Data(), Table_SourceData_Common_EFN2O[[#Headers],[Production system j]], 0)</f>
        <v>7.0000000000000001E-3</v>
      </c>
      <c r="F188" s="39" t="str" cm="1">
        <f t="array" ref="F188">Common_InputFunctions.Utility_DisplayArrayInTable(Common_SourceData.Common_SourceData_EFN2O_Data(), Table_SourceData_Common_EFN2O[[#Headers],[Production system j]], 0)</f>
        <v>Crop</v>
      </c>
      <c r="G188" s="39" t="str" cm="1">
        <f t="array" ref="G188">Common_InputFunctions.Utility_DisplayArrayInTable(Common_SourceData.Common_SourceData_EFN2O_Data(), Table_SourceData_Common_EFN2O[[#Headers],[Production system j]], 0)</f>
        <v>Any</v>
      </c>
      <c r="H188" s="39" t="str" cm="1">
        <f t="array" ref="H188">Common_InputFunctions.Utility_DisplayArrayInTable(Common_SourceData.Common_SourceData_EFN2O_Data(), Table_SourceData_Common_EFN2O[[#Headers],[Production system j]], 0)</f>
        <v>Any</v>
      </c>
    </row>
    <row r="189" spans="4:67" ht="20.100000000000001" customHeight="1" x14ac:dyDescent="0.25">
      <c r="D189" s="39" t="str" cm="1">
        <f t="array" ref="D189">Common_InputFunctions.Utility_DisplayArrayInTable(Common_SourceData.Common_SourceData_EFN2O_Data(), Table_SourceData_Common_EFN2O[[#Headers],[Production system j]], 0)</f>
        <v>Non-irrigated pasture</v>
      </c>
      <c r="E189" s="39" cm="1">
        <f t="array" ref="E189">Common_InputFunctions.Utility_DisplayArrayInTable(Common_SourceData.Common_SourceData_EFN2O_Data(), Table_SourceData_Common_EFN2O[[#Headers],[Production system j]], 0)</f>
        <v>1.8E-3</v>
      </c>
      <c r="F189" s="39" t="str" cm="1">
        <f t="array" ref="F189">Common_InputFunctions.Utility_DisplayArrayInTable(Common_SourceData.Common_SourceData_EFN2O_Data(), Table_SourceData_Common_EFN2O[[#Headers],[Production system j]], 0)</f>
        <v>Pasture</v>
      </c>
      <c r="G189" s="39" t="str" cm="1">
        <f t="array" ref="G189">Common_InputFunctions.Utility_DisplayArrayInTable(Common_SourceData.Common_SourceData_EFN2O_Data(), Table_SourceData_Common_EFN2O[[#Headers],[Production system j]], 0)</f>
        <v>Not irrigated</v>
      </c>
      <c r="H189" s="39" t="str" cm="1">
        <f t="array" ref="H189">Common_InputFunctions.Utility_DisplayArrayInTable(Common_SourceData.Common_SourceData_EFN2O_Data(), Table_SourceData_Common_EFN2O[[#Headers],[Production system j]], 0)</f>
        <v>Low rainfall</v>
      </c>
    </row>
    <row r="190" spans="4:67" ht="20.100000000000001" customHeight="1" x14ac:dyDescent="0.25">
      <c r="D190" s="39" t="str" cm="1">
        <f t="array" ref="D190">Common_InputFunctions.Utility_DisplayArrayInTable(Common_SourceData.Common_SourceData_EFN2O_Data(), Table_SourceData_Common_EFN2O[[#Headers],[Production system j]], 0)</f>
        <v>Non-irrigated pasture</v>
      </c>
      <c r="E190" s="39" cm="1">
        <f t="array" ref="E190">Common_InputFunctions.Utility_DisplayArrayInTable(Common_SourceData.Common_SourceData_EFN2O_Data(), Table_SourceData_Common_EFN2O[[#Headers],[Production system j]], 0)</f>
        <v>1.8E-3</v>
      </c>
      <c r="F190" s="39" t="str" cm="1">
        <f t="array" ref="F190">Common_InputFunctions.Utility_DisplayArrayInTable(Common_SourceData.Common_SourceData_EFN2O_Data(), Table_SourceData_Common_EFN2O[[#Headers],[Production system j]], 0)</f>
        <v>Pasture</v>
      </c>
      <c r="G190" s="39" t="str" cm="1">
        <f t="array" ref="G190">Common_InputFunctions.Utility_DisplayArrayInTable(Common_SourceData.Common_SourceData_EFN2O_Data(), Table_SourceData_Common_EFN2O[[#Headers],[Production system j]], 0)</f>
        <v>Not irrigated</v>
      </c>
      <c r="H190" s="39" t="str" cm="1">
        <f t="array" ref="H190">Common_InputFunctions.Utility_DisplayArrayInTable(Common_SourceData.Common_SourceData_EFN2O_Data(), Table_SourceData_Common_EFN2O[[#Headers],[Production system j]], 0)</f>
        <v>High rainfall</v>
      </c>
    </row>
    <row r="191" spans="4:67" ht="20.100000000000001" customHeight="1" x14ac:dyDescent="0.25">
      <c r="D191" s="39" t="str" cm="1">
        <f t="array" ref="D191">Common_InputFunctions.Utility_DisplayArrayInTable(Common_SourceData.Common_SourceData_EFN2O_Data(), Table_SourceData_Common_EFN2O[[#Headers],[Production system j]], 0)</f>
        <v>Non-irrigated crop (low rainfall)</v>
      </c>
      <c r="E191" s="39" cm="1">
        <f t="array" ref="E191">Common_InputFunctions.Utility_DisplayArrayInTable(Common_SourceData.Common_SourceData_EFN2O_Data(), Table_SourceData_Common_EFN2O[[#Headers],[Production system j]], 0)</f>
        <v>2.8999999999999998E-3</v>
      </c>
      <c r="F191" s="39" t="str" cm="1">
        <f t="array" ref="F191">Common_InputFunctions.Utility_DisplayArrayInTable(Common_SourceData.Common_SourceData_EFN2O_Data(), Table_SourceData_Common_EFN2O[[#Headers],[Production system j]], 0)</f>
        <v>Crop</v>
      </c>
      <c r="G191" s="39" t="str" cm="1">
        <f t="array" ref="G191">Common_InputFunctions.Utility_DisplayArrayInTable(Common_SourceData.Common_SourceData_EFN2O_Data(), Table_SourceData_Common_EFN2O[[#Headers],[Production system j]], 0)</f>
        <v>Not irrigated</v>
      </c>
      <c r="H191" s="39" t="str" cm="1">
        <f t="array" ref="H191">Common_InputFunctions.Utility_DisplayArrayInTable(Common_SourceData.Common_SourceData_EFN2O_Data(), Table_SourceData_Common_EFN2O[[#Headers],[Production system j]], 0)</f>
        <v>Low rainfall</v>
      </c>
    </row>
    <row r="192" spans="4:67" ht="20.100000000000001" customHeight="1" x14ac:dyDescent="0.25">
      <c r="D192" s="39" t="str" cm="1">
        <f t="array" ref="D192">Common_InputFunctions.Utility_DisplayArrayInTable(Common_SourceData.Common_SourceData_EFN2O_Data(), Table_SourceData_Common_EFN2O[[#Headers],[Production system j]], 0)</f>
        <v>Non-irrigated crop (high rainfall)</v>
      </c>
      <c r="E192" s="39" cm="1">
        <f t="array" ref="E192">Common_InputFunctions.Utility_DisplayArrayInTable(Common_SourceData.Common_SourceData_EFN2O_Data(), Table_SourceData_Common_EFN2O[[#Headers],[Production system j]], 0)</f>
        <v>8.0000000000000002E-3</v>
      </c>
      <c r="F192" s="39" t="str" cm="1">
        <f t="array" ref="F192">Common_InputFunctions.Utility_DisplayArrayInTable(Common_SourceData.Common_SourceData_EFN2O_Data(), Table_SourceData_Common_EFN2O[[#Headers],[Production system j]], 0)</f>
        <v>Crop</v>
      </c>
      <c r="G192" s="39" t="str" cm="1">
        <f t="array" ref="G192">Common_InputFunctions.Utility_DisplayArrayInTable(Common_SourceData.Common_SourceData_EFN2O_Data(), Table_SourceData_Common_EFN2O[[#Headers],[Production system j]], 0)</f>
        <v>Not irrigated</v>
      </c>
      <c r="H192" s="39" t="str" cm="1">
        <f t="array" ref="H192">Common_InputFunctions.Utility_DisplayArrayInTable(Common_SourceData.Common_SourceData_EFN2O_Data(), Table_SourceData_Common_EFN2O[[#Headers],[Production system j]], 0)</f>
        <v>High rainfall</v>
      </c>
    </row>
    <row r="193" spans="4:8" ht="20.100000000000001" customHeight="1" x14ac:dyDescent="0.25">
      <c r="D193" s="39" t="str" cm="1">
        <f t="array" ref="D193">Common_InputFunctions.Utility_DisplayArrayInTable(Common_SourceData.Common_SourceData_EFN2O_Data(), Table_SourceData_Common_EFN2O[[#Headers],[Production system j]], 0)</f>
        <v>Sugar</v>
      </c>
      <c r="E193" s="39" cm="1">
        <f t="array" ref="E193">Common_InputFunctions.Utility_DisplayArrayInTable(Common_SourceData.Common_SourceData_EFN2O_Data(), Table_SourceData_Common_EFN2O[[#Headers],[Production system j]], 0)</f>
        <v>1.9900000000000001E-2</v>
      </c>
      <c r="F193" s="39" t="str" cm="1">
        <f t="array" ref="F193">Common_InputFunctions.Utility_DisplayArrayInTable(Common_SourceData.Common_SourceData_EFN2O_Data(), Table_SourceData_Common_EFN2O[[#Headers],[Production system j]], 0)</f>
        <v>Sugar</v>
      </c>
      <c r="G193" s="39" t="str" cm="1">
        <f t="array" ref="G193">Common_InputFunctions.Utility_DisplayArrayInTable(Common_SourceData.Common_SourceData_EFN2O_Data(), Table_SourceData_Common_EFN2O[[#Headers],[Production system j]], 0)</f>
        <v>Any</v>
      </c>
      <c r="H193" s="39" t="str" cm="1">
        <f t="array" ref="H193">Common_InputFunctions.Utility_DisplayArrayInTable(Common_SourceData.Common_SourceData_EFN2O_Data(), Table_SourceData_Common_EFN2O[[#Headers],[Production system j]], 0)</f>
        <v>Any</v>
      </c>
    </row>
    <row r="194" spans="4:8" ht="20.100000000000001" customHeight="1" x14ac:dyDescent="0.25">
      <c r="D194" s="39" t="str" cm="1">
        <f t="array" ref="D194">Common_InputFunctions.Utility_DisplayArrayInTable(Common_SourceData.Common_SourceData_EFN2O_Data(), Table_SourceData_Common_EFN2O[[#Headers],[Production system j]], 0)</f>
        <v>Cotton</v>
      </c>
      <c r="E194" s="39" cm="1">
        <f t="array" ref="E194">Common_InputFunctions.Utility_DisplayArrayInTable(Common_SourceData.Common_SourceData_EFN2O_Data(), Table_SourceData_Common_EFN2O[[#Headers],[Production system j]], 0)</f>
        <v>5.3E-3</v>
      </c>
      <c r="F194" s="39" t="str" cm="1">
        <f t="array" ref="F194">Common_InputFunctions.Utility_DisplayArrayInTable(Common_SourceData.Common_SourceData_EFN2O_Data(), Table_SourceData_Common_EFN2O[[#Headers],[Production system j]], 0)</f>
        <v>Cotton</v>
      </c>
      <c r="G194" s="39" t="str" cm="1">
        <f t="array" ref="G194">Common_InputFunctions.Utility_DisplayArrayInTable(Common_SourceData.Common_SourceData_EFN2O_Data(), Table_SourceData_Common_EFN2O[[#Headers],[Production system j]], 0)</f>
        <v>Any</v>
      </c>
      <c r="H194" s="39" t="str" cm="1">
        <f t="array" ref="H194">Common_InputFunctions.Utility_DisplayArrayInTable(Common_SourceData.Common_SourceData_EFN2O_Data(), Table_SourceData_Common_EFN2O[[#Headers],[Production system j]], 0)</f>
        <v>Any</v>
      </c>
    </row>
    <row r="195" spans="4:8" ht="20.100000000000001" customHeight="1" x14ac:dyDescent="0.25">
      <c r="D195" s="39" t="str" cm="1">
        <f t="array" ref="D195">Common_InputFunctions.Utility_DisplayArrayInTable(Common_SourceData.Common_SourceData_EFN2O_Data(), Table_SourceData_Common_EFN2O[[#Headers],[Production system j]], 0)</f>
        <v>Horticultural crops</v>
      </c>
      <c r="E195" s="39" cm="1">
        <f t="array" ref="E195">Common_InputFunctions.Utility_DisplayArrayInTable(Common_SourceData.Common_SourceData_EFN2O_Data(), Table_SourceData_Common_EFN2O[[#Headers],[Production system j]], 0)</f>
        <v>6.4000000000000003E-3</v>
      </c>
      <c r="F195" s="39" t="str" cm="1">
        <f t="array" ref="F195">Common_InputFunctions.Utility_DisplayArrayInTable(Common_SourceData.Common_SourceData_EFN2O_Data(), Table_SourceData_Common_EFN2O[[#Headers],[Production system j]], 0)</f>
        <v>Horticultural crops</v>
      </c>
      <c r="G195" s="39" t="str" cm="1">
        <f t="array" ref="G195">Common_InputFunctions.Utility_DisplayArrayInTable(Common_SourceData.Common_SourceData_EFN2O_Data(), Table_SourceData_Common_EFN2O[[#Headers],[Production system j]], 0)</f>
        <v>Any</v>
      </c>
      <c r="H195" s="39" t="str" cm="1">
        <f t="array" ref="H195">Common_InputFunctions.Utility_DisplayArrayInTable(Common_SourceData.Common_SourceData_EFN2O_Data(), Table_SourceData_Common_EFN2O[[#Headers],[Production system j]], 0)</f>
        <v>Any</v>
      </c>
    </row>
    <row r="196" spans="4:8" ht="20.100000000000001" customHeight="1" x14ac:dyDescent="0.25">
      <c r="D196" s="39" t="str" cm="1">
        <f t="array" ref="D196">Common_InputFunctions.Utility_DisplayArrayInTable(Common_SourceData.Common_SourceData_EFN2O_Data(), Table_SourceData_Common_EFN2O[[#Headers],[Production system j]], 0)</f>
        <v>Rice (continuous flooding)</v>
      </c>
      <c r="E196" s="39" cm="1">
        <f t="array" ref="E196">Common_InputFunctions.Utility_DisplayArrayInTable(Common_SourceData.Common_SourceData_EFN2O_Data(), Table_SourceData_Common_EFN2O[[#Headers],[Production system j]], 0)</f>
        <v>3.0000000000000001E-3</v>
      </c>
      <c r="F196" s="39" t="str" cm="1">
        <f t="array" ref="F196">Common_InputFunctions.Utility_DisplayArrayInTable(Common_SourceData.Common_SourceData_EFN2O_Data(), Table_SourceData_Common_EFN2O[[#Headers],[Production system j]], 0)</f>
        <v>Rice</v>
      </c>
      <c r="G196" s="39" t="str" cm="1">
        <f t="array" ref="G196">Common_InputFunctions.Utility_DisplayArrayInTable(Common_SourceData.Common_SourceData_EFN2O_Data(), Table_SourceData_Common_EFN2O[[#Headers],[Production system j]], 0)</f>
        <v>Continuous flooding</v>
      </c>
      <c r="H196" s="39" t="str" cm="1">
        <f t="array" ref="H196">Common_InputFunctions.Utility_DisplayArrayInTable(Common_SourceData.Common_SourceData_EFN2O_Data(), Table_SourceData_Common_EFN2O[[#Headers],[Production system j]], 0)</f>
        <v>Any</v>
      </c>
    </row>
    <row r="197" spans="4:8" x14ac:dyDescent="0.25">
      <c r="D197" s="39" t="str" cm="1">
        <f t="array" ref="D197">Common_InputFunctions.Utility_DisplayArrayInTable(Common_SourceData.Common_SourceData_EFN2O_Data(), Table_SourceData_Common_EFN2O[[#Headers],[Production system j]], 0)</f>
        <v>Rice (single and multiple drainage, or alternate wetting and drying)</v>
      </c>
      <c r="E197" s="39" cm="1">
        <f t="array" ref="E197">Common_InputFunctions.Utility_DisplayArrayInTable(Common_SourceData.Common_SourceData_EFN2O_Data(), Table_SourceData_Common_EFN2O[[#Headers],[Production system j]], 0)</f>
        <v>5.0000000000000001E-3</v>
      </c>
      <c r="F197" s="39" t="str" cm="1">
        <f t="array" ref="F197">Common_InputFunctions.Utility_DisplayArrayInTable(Common_SourceData.Common_SourceData_EFN2O_Data(), Table_SourceData_Common_EFN2O[[#Headers],[Production system j]], 0)</f>
        <v>Rice</v>
      </c>
      <c r="G197" s="39" t="str" cm="1">
        <f t="array" ref="G197">Common_InputFunctions.Utility_DisplayArrayInTable(Common_SourceData.Common_SourceData_EFN2O_Data(), Table_SourceData_Common_EFN2O[[#Headers],[Production system j]], 0)</f>
        <v>Single and multiple drainage, or alternate wetting and drying</v>
      </c>
      <c r="H197" s="39" t="str" cm="1">
        <f t="array" ref="H197">Common_InputFunctions.Utility_DisplayArrayInTable(Common_SourceData.Common_SourceData_EFN2O_Data(), Table_SourceData_Common_EFN2O[[#Headers],[Production system j]], 0)</f>
        <v>Any</v>
      </c>
    </row>
    <row r="198" spans="4:8" x14ac:dyDescent="0.25">
      <c r="D198" s="39" t="str" cm="1">
        <f t="array" ref="D198">Common_InputFunctions.Utility_DisplayArrayInTable(Common_SourceData.Common_SourceData_EFN2O_Data(), Table_SourceData_Common_EFN2O[[#Headers],[Production system j]], 0)</f>
        <v>Aquaculture</v>
      </c>
      <c r="E198" s="39" cm="1">
        <f t="array" ref="E198">Common_InputFunctions.Utility_DisplayArrayInTable(Common_SourceData.Common_SourceData_EFN2O_Data(), Table_SourceData_Common_EFN2O[[#Headers],[Production system j]], 0)</f>
        <v>2.5999999999999999E-3</v>
      </c>
      <c r="F198" s="39" t="str" cm="1">
        <f t="array" ref="F198">Common_InputFunctions.Utility_DisplayArrayInTable(Common_SourceData.Common_SourceData_EFN2O_Data(), Table_SourceData_Common_EFN2O[[#Headers],[Production system j]], 0)</f>
        <v>Aquaculture</v>
      </c>
      <c r="G198" s="39" t="str" cm="1">
        <f t="array" ref="G198">Common_InputFunctions.Utility_DisplayArrayInTable(Common_SourceData.Common_SourceData_EFN2O_Data(), Table_SourceData_Common_EFN2O[[#Headers],[Production system j]], 0)</f>
        <v>Any</v>
      </c>
      <c r="H198" s="39" t="str" cm="1">
        <f t="array" ref="H198">Common_InputFunctions.Utility_DisplayArrayInTable(Common_SourceData.Common_SourceData_EFN2O_Data(), Table_SourceData_Common_EFN2O[[#Headers],[Production system j]], 0)</f>
        <v>Any</v>
      </c>
    </row>
    <row r="199" spans="4:8" x14ac:dyDescent="0.25">
      <c r="D199" s="39" t="str" cm="1">
        <f t="array" ref="D199">Common_InputFunctions.Utility_DisplayArrayInTable(Common_SourceData.Common_SourceData_EFN2O_Data(), Table_SourceData_Common_EFN2O[[#Headers],[Production system j]], 0)</f>
        <v>Forestry</v>
      </c>
      <c r="E199" s="39" cm="1">
        <f t="array" ref="E199">Common_InputFunctions.Utility_DisplayArrayInTable(Common_SourceData.Common_SourceData_EFN2O_Data(), Table_SourceData_Common_EFN2O[[#Headers],[Production system j]], 0)</f>
        <v>1.8E-3</v>
      </c>
      <c r="F199" s="39" t="str" cm="1">
        <f t="array" ref="F199">Common_InputFunctions.Utility_DisplayArrayInTable(Common_SourceData.Common_SourceData_EFN2O_Data(), Table_SourceData_Common_EFN2O[[#Headers],[Production system j]], 0)</f>
        <v>Forestry</v>
      </c>
      <c r="G199" s="39" t="str" cm="1">
        <f t="array" ref="G199">Common_InputFunctions.Utility_DisplayArrayInTable(Common_SourceData.Common_SourceData_EFN2O_Data(), Table_SourceData_Common_EFN2O[[#Headers],[Production system j]], 0)</f>
        <v>Any</v>
      </c>
      <c r="H199" s="39" t="str" cm="1">
        <f t="array" ref="H199">Common_InputFunctions.Utility_DisplayArrayInTable(Common_SourceData.Common_SourceData_EFN2O_Data(), Table_SourceData_Common_EFN2O[[#Headers],[Production system j]], 0)</f>
        <v>Any</v>
      </c>
    </row>
    <row r="202" spans="4:8" ht="23.25" x14ac:dyDescent="0.25">
      <c r="D202" s="6" t="str" cm="1">
        <f t="array" ref="D202">Common_SourceData.Common_SourceData_EFPastureRangeAndPaddock_Title()</f>
        <v>Emission factor for urine and dung deposited on pasture, range or paddock</v>
      </c>
    </row>
    <row r="203" spans="4:8" x14ac:dyDescent="0.25">
      <c r="D203" s="5" t="str" cm="1">
        <f t="array" ref="D203">Common_SourceData.Common_SourceData_EFPastureRangeAndPaddock_Source()</f>
        <v>VEERG 2026: Table A.2.2.2</v>
      </c>
    </row>
    <row r="204" spans="4:8" x14ac:dyDescent="0.25">
      <c r="D204" s="58" t="str" cm="1">
        <f t="array" ref="D204">Common_SourceData.Common_SourceData_EFPastureRangeAndPaddock_Variation()</f>
        <v>VARIATION FROM SOURCE DATA: Changed 'Dry climate zones' to singular 'Dry climate zone' to aid lookup.</v>
      </c>
    </row>
    <row r="205" spans="4:8" x14ac:dyDescent="0.25">
      <c r="D205" s="57" t="str" cm="1">
        <f t="array" ref="D205">Common_SourceData.Common_SourceData_EFPastureRangeAndPaddock_Unit()</f>
        <v>kg N2O - N / kg N</v>
      </c>
    </row>
    <row r="206" spans="4:8" x14ac:dyDescent="0.25">
      <c r="D206" s="39" t="s">
        <v>10</v>
      </c>
      <c r="E206" s="39" t="s">
        <v>399</v>
      </c>
    </row>
    <row r="207" spans="4:8" x14ac:dyDescent="0.25">
      <c r="D207" s="39" t="str" cm="1">
        <f t="array" ref="D207">Common_InputFunctions.Utility_DisplayArrayInTable(Common_SourceData.Common_SourceData_EFPastureRangeAndPaddock_Data(), Table_SourceData_EFPastureRangeAndPaddock[[#Headers],[Climate zone]], 0)</f>
        <v>Wet climate zone</v>
      </c>
      <c r="E207" s="39" cm="1">
        <f t="array" ref="E207">Common_InputFunctions.Utility_DisplayArrayInTable(Common_SourceData.Common_SourceData_EFPastureRangeAndPaddock_Data(), Table_SourceData_EFPastureRangeAndPaddock[[#Headers],[Climate zone]], 0)</f>
        <v>6.0000000000000001E-3</v>
      </c>
    </row>
    <row r="208" spans="4:8" x14ac:dyDescent="0.25">
      <c r="D208" s="1" t="str" cm="1">
        <f t="array" ref="D208">Common_InputFunctions.Utility_DisplayArrayInTable(Common_SourceData.Common_SourceData_EFPastureRangeAndPaddock_Data(), Table_SourceData_EFPastureRangeAndPaddock[[#Headers],[Climate zone]], 0)</f>
        <v>Dry climate zone</v>
      </c>
      <c r="E208" s="39" cm="1">
        <f t="array" ref="E208">Common_InputFunctions.Utility_DisplayArrayInTable(Common_SourceData.Common_SourceData_EFPastureRangeAndPaddock_Data(), Table_SourceData_EFPastureRangeAndPaddock[[#Headers],[Climate zone]], 0)</f>
        <v>2E-3</v>
      </c>
    </row>
    <row r="211" spans="4:5" x14ac:dyDescent="0.25">
      <c r="D211" s="1" t="str" cm="1">
        <f t="array" ref="D211">Common_SourceData.Common_SourceData_MonthsToSeasons_Title()</f>
        <v>Months to Seasons Mapping</v>
      </c>
    </row>
    <row r="212" spans="4:5" x14ac:dyDescent="0.25">
      <c r="D212" s="39" t="s">
        <v>430</v>
      </c>
      <c r="E212" s="39" t="s">
        <v>431</v>
      </c>
    </row>
    <row r="213" spans="4:5" x14ac:dyDescent="0.25">
      <c r="D213" s="39" t="str" cm="1">
        <f t="array" ref="D213">Common_InputFunctions.Utility_DisplayArrayInTable(Common_SourceData.Common_SourceData_MonthsToSeasons_Data(), Table_SourceData_Common_MonthToSeason[[#Headers],[Month]], 0)</f>
        <v>January</v>
      </c>
      <c r="E213" s="39" t="str" cm="1">
        <f t="array" ref="E213">Common_InputFunctions.Utility_DisplayArrayInTable(Common_SourceData.Common_SourceData_MonthsToSeasons_Data(), Table_SourceData_Common_MonthToSeason[[#Headers],[Month]], 0)</f>
        <v>Summer</v>
      </c>
    </row>
    <row r="214" spans="4:5" x14ac:dyDescent="0.25">
      <c r="D214" s="1" t="str" cm="1">
        <f t="array" ref="D214">Common_InputFunctions.Utility_DisplayArrayInTable(Common_SourceData.Common_SourceData_MonthsToSeasons_Data(), Table_SourceData_Common_MonthToSeason[[#Headers],[Month]], 0)</f>
        <v>February</v>
      </c>
      <c r="E214" s="39" t="str" cm="1">
        <f t="array" ref="E214">Common_InputFunctions.Utility_DisplayArrayInTable(Common_SourceData.Common_SourceData_MonthsToSeasons_Data(), Table_SourceData_Common_MonthToSeason[[#Headers],[Month]], 0)</f>
        <v>Summer</v>
      </c>
    </row>
    <row r="215" spans="4:5" x14ac:dyDescent="0.25">
      <c r="D215" s="1" t="str" cm="1">
        <f t="array" ref="D215">Common_InputFunctions.Utility_DisplayArrayInTable(Common_SourceData.Common_SourceData_MonthsToSeasons_Data(), Table_SourceData_Common_MonthToSeason[[#Headers],[Month]], 0)</f>
        <v>March</v>
      </c>
      <c r="E215" s="39" t="str" cm="1">
        <f t="array" ref="E215">Common_InputFunctions.Utility_DisplayArrayInTable(Common_SourceData.Common_SourceData_MonthsToSeasons_Data(), Table_SourceData_Common_MonthToSeason[[#Headers],[Month]], 0)</f>
        <v>Autumn</v>
      </c>
    </row>
    <row r="216" spans="4:5" x14ac:dyDescent="0.25">
      <c r="D216" s="1" t="str" cm="1">
        <f t="array" ref="D216">Common_InputFunctions.Utility_DisplayArrayInTable(Common_SourceData.Common_SourceData_MonthsToSeasons_Data(), Table_SourceData_Common_MonthToSeason[[#Headers],[Month]], 0)</f>
        <v>April</v>
      </c>
      <c r="E216" s="39" t="str" cm="1">
        <f t="array" ref="E216">Common_InputFunctions.Utility_DisplayArrayInTable(Common_SourceData.Common_SourceData_MonthsToSeasons_Data(), Table_SourceData_Common_MonthToSeason[[#Headers],[Month]], 0)</f>
        <v>Autumn</v>
      </c>
    </row>
    <row r="217" spans="4:5" x14ac:dyDescent="0.25">
      <c r="D217" s="1" t="str" cm="1">
        <f t="array" ref="D217">Common_InputFunctions.Utility_DisplayArrayInTable(Common_SourceData.Common_SourceData_MonthsToSeasons_Data(), Table_SourceData_Common_MonthToSeason[[#Headers],[Month]], 0)</f>
        <v>May</v>
      </c>
      <c r="E217" s="39" t="str" cm="1">
        <f t="array" ref="E217">Common_InputFunctions.Utility_DisplayArrayInTable(Common_SourceData.Common_SourceData_MonthsToSeasons_Data(), Table_SourceData_Common_MonthToSeason[[#Headers],[Month]], 0)</f>
        <v>Autumn</v>
      </c>
    </row>
    <row r="218" spans="4:5" x14ac:dyDescent="0.25">
      <c r="D218" s="1" t="str" cm="1">
        <f t="array" ref="D218">Common_InputFunctions.Utility_DisplayArrayInTable(Common_SourceData.Common_SourceData_MonthsToSeasons_Data(), Table_SourceData_Common_MonthToSeason[[#Headers],[Month]], 0)</f>
        <v>June</v>
      </c>
      <c r="E218" s="39" t="str" cm="1">
        <f t="array" ref="E218">Common_InputFunctions.Utility_DisplayArrayInTable(Common_SourceData.Common_SourceData_MonthsToSeasons_Data(), Table_SourceData_Common_MonthToSeason[[#Headers],[Month]], 0)</f>
        <v>Winter</v>
      </c>
    </row>
    <row r="219" spans="4:5" x14ac:dyDescent="0.25">
      <c r="D219" s="1" t="str" cm="1">
        <f t="array" ref="D219">Common_InputFunctions.Utility_DisplayArrayInTable(Common_SourceData.Common_SourceData_MonthsToSeasons_Data(), Table_SourceData_Common_MonthToSeason[[#Headers],[Month]], 0)</f>
        <v>July</v>
      </c>
      <c r="E219" s="39" t="str" cm="1">
        <f t="array" ref="E219">Common_InputFunctions.Utility_DisplayArrayInTable(Common_SourceData.Common_SourceData_MonthsToSeasons_Data(), Table_SourceData_Common_MonthToSeason[[#Headers],[Month]], 0)</f>
        <v>Winter</v>
      </c>
    </row>
    <row r="220" spans="4:5" x14ac:dyDescent="0.25">
      <c r="D220" s="1" t="str" cm="1">
        <f t="array" ref="D220">Common_InputFunctions.Utility_DisplayArrayInTable(Common_SourceData.Common_SourceData_MonthsToSeasons_Data(), Table_SourceData_Common_MonthToSeason[[#Headers],[Month]], 0)</f>
        <v>August</v>
      </c>
      <c r="E220" s="39" t="str" cm="1">
        <f t="array" ref="E220">Common_InputFunctions.Utility_DisplayArrayInTable(Common_SourceData.Common_SourceData_MonthsToSeasons_Data(), Table_SourceData_Common_MonthToSeason[[#Headers],[Month]], 0)</f>
        <v>Winter</v>
      </c>
    </row>
    <row r="221" spans="4:5" x14ac:dyDescent="0.25">
      <c r="D221" s="1" t="str" cm="1">
        <f t="array" ref="D221">Common_InputFunctions.Utility_DisplayArrayInTable(Common_SourceData.Common_SourceData_MonthsToSeasons_Data(), Table_SourceData_Common_MonthToSeason[[#Headers],[Month]], 0)</f>
        <v>September</v>
      </c>
      <c r="E221" s="39" t="str" cm="1">
        <f t="array" ref="E221">Common_InputFunctions.Utility_DisplayArrayInTable(Common_SourceData.Common_SourceData_MonthsToSeasons_Data(), Table_SourceData_Common_MonthToSeason[[#Headers],[Month]], 0)</f>
        <v>Spring</v>
      </c>
    </row>
    <row r="222" spans="4:5" x14ac:dyDescent="0.25">
      <c r="D222" s="1" t="str" cm="1">
        <f t="array" ref="D222">Common_InputFunctions.Utility_DisplayArrayInTable(Common_SourceData.Common_SourceData_MonthsToSeasons_Data(), Table_SourceData_Common_MonthToSeason[[#Headers],[Month]], 0)</f>
        <v>October</v>
      </c>
      <c r="E222" s="39" t="str" cm="1">
        <f t="array" ref="E222">Common_InputFunctions.Utility_DisplayArrayInTable(Common_SourceData.Common_SourceData_MonthsToSeasons_Data(), Table_SourceData_Common_MonthToSeason[[#Headers],[Month]], 0)</f>
        <v>Spring</v>
      </c>
    </row>
    <row r="223" spans="4:5" x14ac:dyDescent="0.25">
      <c r="D223" s="1" t="str" cm="1">
        <f t="array" ref="D223">Common_InputFunctions.Utility_DisplayArrayInTable(Common_SourceData.Common_SourceData_MonthsToSeasons_Data(), Table_SourceData_Common_MonthToSeason[[#Headers],[Month]], 0)</f>
        <v>November</v>
      </c>
      <c r="E223" s="39" t="str" cm="1">
        <f t="array" ref="E223">Common_InputFunctions.Utility_DisplayArrayInTable(Common_SourceData.Common_SourceData_MonthsToSeasons_Data(), Table_SourceData_Common_MonthToSeason[[#Headers],[Month]], 0)</f>
        <v>Spring</v>
      </c>
    </row>
    <row r="224" spans="4:5" x14ac:dyDescent="0.25">
      <c r="D224" s="1" t="str" cm="1">
        <f t="array" ref="D224">Common_InputFunctions.Utility_DisplayArrayInTable(Common_SourceData.Common_SourceData_MonthsToSeasons_Data(), Table_SourceData_Common_MonthToSeason[[#Headers],[Month]], 0)</f>
        <v>December</v>
      </c>
      <c r="E224" s="39" t="str" cm="1">
        <f t="array" ref="E224">Common_InputFunctions.Utility_DisplayArrayInTable(Common_SourceData.Common_SourceData_MonthsToSeasons_Data(), Table_SourceData_Common_MonthToSeason[[#Headers],[Month]], 0)</f>
        <v>Summer</v>
      </c>
    </row>
  </sheetData>
  <pageMargins left="0.7" right="0.7" top="0.75" bottom="0.75" header="0.3" footer="0.3"/>
  <tableParts count="15">
    <tablePart r:id="rId1"/>
    <tablePart r:id="rId2"/>
    <tablePart r:id="rId3"/>
    <tablePart r:id="rId4"/>
    <tablePart r:id="rId5"/>
    <tablePart r:id="rId6"/>
    <tablePart r:id="rId7"/>
    <tablePart r:id="rId8"/>
    <tablePart r:id="rId9"/>
    <tablePart r:id="rId10"/>
    <tablePart r:id="rId11"/>
    <tablePart r:id="rId12"/>
    <tablePart r:id="rId13"/>
    <tablePart r:id="rId14"/>
    <tablePart r:id="rId15"/>
  </tableParts>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F0D3D89-F657-45A6-A770-73699ABB25CC}">
  <dimension ref="A1:M63"/>
  <sheetViews>
    <sheetView showGridLines="0" workbookViewId="0">
      <selection activeCell="A22" sqref="A22"/>
    </sheetView>
  </sheetViews>
  <sheetFormatPr defaultRowHeight="15.75" x14ac:dyDescent="0.25"/>
  <cols>
    <col min="1" max="1" width="30.7109375" customWidth="1"/>
    <col min="2" max="2" width="4.7109375" customWidth="1"/>
    <col min="3" max="3" width="4.7109375" style="1" customWidth="1"/>
    <col min="4" max="8" width="30.7109375" style="1" customWidth="1"/>
    <col min="9" max="9" width="30.85546875" style="1" customWidth="1"/>
    <col min="10" max="13" width="30.7109375" style="1" customWidth="1"/>
    <col min="14" max="16" width="30.7109375" customWidth="1"/>
  </cols>
  <sheetData>
    <row r="1" spans="1:13" ht="30" customHeight="1" x14ac:dyDescent="0.35">
      <c r="A1" s="68" t="e" vm="1">
        <v>#VALUE!</v>
      </c>
      <c r="C1" s="8" t="s">
        <v>81</v>
      </c>
      <c r="D1" s="8"/>
      <c r="E1" s="8"/>
      <c r="F1" s="8"/>
      <c r="G1" s="8"/>
      <c r="H1" s="8"/>
      <c r="I1" s="8"/>
      <c r="J1" s="8"/>
      <c r="K1" s="8"/>
      <c r="L1" s="8"/>
      <c r="M1" s="8"/>
    </row>
    <row r="2" spans="1:13" ht="20.100000000000001" customHeight="1" x14ac:dyDescent="0.25">
      <c r="A2" s="7"/>
      <c r="C2" s="9"/>
      <c r="D2" s="9"/>
      <c r="E2" s="9"/>
      <c r="F2" s="9"/>
      <c r="G2" s="9"/>
      <c r="H2" s="9"/>
      <c r="I2" s="9"/>
      <c r="J2" s="9"/>
      <c r="K2" s="9"/>
      <c r="L2" s="9"/>
      <c r="M2" s="9"/>
    </row>
    <row r="3" spans="1:13" ht="20.100000000000001" customHeight="1" x14ac:dyDescent="0.25">
      <c r="A3" s="17" t="str">
        <f>HYPERLINK("#'Home'!A1", "Home")</f>
        <v>Home</v>
      </c>
      <c r="C3" s="4"/>
      <c r="D3" s="4"/>
      <c r="E3" s="4"/>
      <c r="F3" s="4"/>
      <c r="G3" s="4"/>
      <c r="H3" s="4"/>
      <c r="I3" s="4"/>
      <c r="J3" s="4"/>
      <c r="K3" s="4"/>
      <c r="L3" s="4"/>
      <c r="M3" s="4"/>
    </row>
    <row r="4" spans="1:13" ht="20.100000000000001" customHeight="1" x14ac:dyDescent="0.25">
      <c r="A4" s="17" t="str">
        <f>HYPERLINK("#'Results'!A1", "Results")</f>
        <v>Results</v>
      </c>
    </row>
    <row r="5" spans="1:13" ht="20.100000000000001" customHeight="1" x14ac:dyDescent="0.25">
      <c r="A5" s="16"/>
    </row>
    <row r="6" spans="1:13" ht="20.100000000000001" customHeight="1" x14ac:dyDescent="0.25">
      <c r="A6" s="20" t="s">
        <v>3</v>
      </c>
      <c r="D6" s="6" t="str" cm="1">
        <f t="array" ref="D6">CommonLivestock_SourceData.SourceData_Livestock_Common_SymbolsMMS_Title()</f>
        <v>Table 5.12 Additional symbols used in algorithms for manure related emissions</v>
      </c>
      <c r="E6" s="3"/>
      <c r="F6" s="3"/>
      <c r="G6" s="3"/>
      <c r="H6" s="3"/>
    </row>
    <row r="7" spans="1:13" ht="20.100000000000001" customHeight="1" x14ac:dyDescent="0.25">
      <c r="A7" s="17" t="str">
        <f>HYPERLINK("#'Input - Site'!A1", "Site")</f>
        <v>Site</v>
      </c>
      <c r="D7" s="3" t="str" cm="1">
        <f t="array" ref="D7">CommonLivestock_SourceData.SourceData_Livestock_Common_SymbolsMMS_Vairable()</f>
        <v>MMS</v>
      </c>
      <c r="E7" s="3"/>
      <c r="F7" s="3"/>
      <c r="G7" s="3"/>
      <c r="H7" s="3"/>
    </row>
    <row r="8" spans="1:13" ht="20.100000000000001" customHeight="1" x14ac:dyDescent="0.25">
      <c r="A8" s="17" t="str">
        <f>HYPERLINK("#'Input - Dairy'!A1", "Dairy")</f>
        <v>Dairy</v>
      </c>
      <c r="D8" s="5" t="str" cm="1">
        <f t="array" ref="D8">CommonLivestock_SourceData.SourceData_Livestock_Common_SymbolsMMS_Source()</f>
        <v>National Inventory Report 2023 Volume 1: Table 5.12</v>
      </c>
      <c r="E8" s="3"/>
      <c r="F8" s="3"/>
      <c r="G8" s="3"/>
      <c r="H8" s="3"/>
    </row>
    <row r="9" spans="1:13" ht="20.100000000000001" customHeight="1" x14ac:dyDescent="0.25">
      <c r="A9" s="17"/>
      <c r="D9" s="38" t="s">
        <v>82</v>
      </c>
      <c r="E9" s="39" t="s">
        <v>22</v>
      </c>
      <c r="F9" s="39" t="s">
        <v>83</v>
      </c>
      <c r="G9" s="3"/>
    </row>
    <row r="10" spans="1:13" ht="20.100000000000001" customHeight="1" x14ac:dyDescent="0.25">
      <c r="A10" s="19" t="s">
        <v>78</v>
      </c>
      <c r="D10" s="38" t="str" cm="1">
        <f t="array" ref="D10">Common_InputFunctions.Utility_DisplayArrayInTable(CommonLivestock_SourceData.SourceData_Livestock_Common_SymbolsMMS_Data(), Table_Data_MMSSymbols[[#Headers],[Symbol]], 0)</f>
        <v>1</v>
      </c>
      <c r="E10" s="38" t="str" cm="1">
        <f t="array" ref="E10">Common_InputFunctions.Utility_DisplayArrayInTable(CommonLivestock_SourceData.SourceData_Livestock_Common_SymbolsMMS_Data(), Table_Data_MMSSymbols[[#Headers],[Symbol]], 0)</f>
        <v>Anaerobic lagoon</v>
      </c>
      <c r="F10" s="38" t="str" cm="1">
        <f t="array" ref="F10">Common_InputFunctions.Utility_DisplayArrayInTable(CommonLivestock_SourceData.SourceData_Livestock_Common_SymbolsMMS_Data(), Table_Data_MMSSymbols[[#Headers],[Symbol]], 0)</f>
        <v>Anaerobic lagoon (m=1)</v>
      </c>
      <c r="G10" s="3"/>
    </row>
    <row r="11" spans="1:13" ht="20.100000000000001" customHeight="1" x14ac:dyDescent="0.25">
      <c r="A11" s="17" t="str">
        <f>HYPERLINK("#'4.3.1.1-2 Methane'!A1", "4.3.1.1-2 Methane")</f>
        <v>4.3.1.1-2 Methane</v>
      </c>
      <c r="D11" s="38" t="str" cm="1">
        <f t="array" ref="D11">Common_InputFunctions.Utility_DisplayArrayInTable(CommonLivestock_SourceData.SourceData_Livestock_Common_SymbolsMMS_Data(), Table_Data_MMSSymbols[[#Headers],[Symbol]], 0)</f>
        <v>2</v>
      </c>
      <c r="E11" s="38" t="str" cm="1">
        <f t="array" ref="E11">Common_InputFunctions.Utility_DisplayArrayInTable(CommonLivestock_SourceData.SourceData_Livestock_Common_SymbolsMMS_Data(), Table_Data_MMSSymbols[[#Headers],[Symbol]], 0)</f>
        <v>Liquid systems</v>
      </c>
      <c r="F11" s="38" t="str" cm="1">
        <f t="array" ref="F11">Common_InputFunctions.Utility_DisplayArrayInTable(CommonLivestock_SourceData.SourceData_Livestock_Common_SymbolsMMS_Data(), Table_Data_MMSSymbols[[#Headers],[Symbol]], 0)</f>
        <v>Liquid systems (m=2)</v>
      </c>
      <c r="G11" s="3"/>
    </row>
    <row r="12" spans="1:13" ht="20.100000000000001" customHeight="1" x14ac:dyDescent="0.25">
      <c r="A12" s="17" t="str">
        <f>HYPERLINK("#'4.3.1.3-4 Direct N20'!A1", "4.3.1.3-4 Direct N2O")</f>
        <v>4.3.1.3-4 Direct N2O</v>
      </c>
      <c r="D12" s="39" t="str" cm="1">
        <f t="array" ref="D12">Common_InputFunctions.Utility_DisplayArrayInTable(CommonLivestock_SourceData.SourceData_Livestock_Common_SymbolsMMS_Data(), Table_Data_MMSSymbols[[#Headers],[Symbol]], 0)</f>
        <v>3</v>
      </c>
      <c r="E12" s="39" t="str" cm="1">
        <f t="array" ref="E12">Common_InputFunctions.Utility_DisplayArrayInTable(CommonLivestock_SourceData.SourceData_Livestock_Common_SymbolsMMS_Data(), Table_Data_MMSSymbols[[#Headers],[Symbol]], 0)</f>
        <v>Daily spread</v>
      </c>
      <c r="F12" s="39" t="str" cm="1">
        <f t="array" ref="F12">Common_InputFunctions.Utility_DisplayArrayInTable(CommonLivestock_SourceData.SourceData_Livestock_Common_SymbolsMMS_Data(), Table_Data_MMSSymbols[[#Headers],[Symbol]], 0)</f>
        <v>Daily spread (m=3)</v>
      </c>
      <c r="G12" s="3"/>
    </row>
    <row r="13" spans="1:13" ht="20.100000000000001" customHeight="1" x14ac:dyDescent="0.25">
      <c r="A13" s="17" t="str">
        <f>HYPERLINK("#'4.3.1.5 Atmos Deposition'!A1", "4.3.1.5 Atmospheric deposition")</f>
        <v>4.3.1.5 Atmospheric deposition</v>
      </c>
      <c r="D13" s="39" t="str" cm="1">
        <f t="array" ref="D13">Common_InputFunctions.Utility_DisplayArrayInTable(CommonLivestock_SourceData.SourceData_Livestock_Common_SymbolsMMS_Data(), Table_Data_MMSSymbols[[#Headers],[Symbol]], 0)</f>
        <v>3a</v>
      </c>
      <c r="E13" s="39" t="str" cm="1">
        <f t="array" ref="E13">Common_InputFunctions.Utility_DisplayArrayInTable(CommonLivestock_SourceData.SourceData_Livestock_Common_SymbolsMMS_Data(), Table_Data_MMSSymbols[[#Headers],[Symbol]], 0)</f>
        <v>Sump and dispersal system</v>
      </c>
      <c r="F13" s="39" t="str" cm="1">
        <f t="array" ref="F13">Common_InputFunctions.Utility_DisplayArrayInTable(CommonLivestock_SourceData.SourceData_Livestock_Common_SymbolsMMS_Data(), Table_Data_MMSSymbols[[#Headers],[Symbol]], 0)</f>
        <v>Sump and dispersal system (m=3a)</v>
      </c>
      <c r="G13" s="3"/>
    </row>
    <row r="14" spans="1:13" ht="20.100000000000001" customHeight="1" x14ac:dyDescent="0.25">
      <c r="A14" s="17" t="str">
        <f>HYPERLINK("#'4.3.1.6-7 Leaching and runoff'!A1", "4.3.1.6-7 Leaching and runoff")</f>
        <v>4.3.1.6-7 Leaching and runoff</v>
      </c>
      <c r="D14" s="39" t="str" cm="1">
        <f t="array" ref="D14">Common_InputFunctions.Utility_DisplayArrayInTable(CommonLivestock_SourceData.SourceData_Livestock_Common_SymbolsMMS_Data(), Table_Data_MMSSymbols[[#Headers],[Symbol]], 0)</f>
        <v>3b</v>
      </c>
      <c r="E14" s="39" t="str" cm="1">
        <f t="array" ref="E14">Common_InputFunctions.Utility_DisplayArrayInTable(CommonLivestock_SourceData.SourceData_Livestock_Common_SymbolsMMS_Data(), Table_Data_MMSSymbols[[#Headers],[Symbol]], 0)</f>
        <v>Drains to paddock</v>
      </c>
      <c r="F14" s="39" t="str" cm="1">
        <f t="array" ref="F14">Common_InputFunctions.Utility_DisplayArrayInTable(CommonLivestock_SourceData.SourceData_Livestock_Common_SymbolsMMS_Data(), Table_Data_MMSSymbols[[#Headers],[Symbol]], 0)</f>
        <v>Drains to paddock (m=3b)</v>
      </c>
      <c r="G14" s="3"/>
    </row>
    <row r="15" spans="1:13" ht="20.100000000000001" customHeight="1" x14ac:dyDescent="0.25">
      <c r="A15" s="17" t="str">
        <f>HYPERLINK("#'4.3.1.8 Manure applied to soils'!A1", "4.3.1.8 Manure applied to soils")</f>
        <v>4.3.1.8 Manure applied to soils</v>
      </c>
      <c r="D15" s="39" t="str" cm="1">
        <f t="array" ref="D15">Common_InputFunctions.Utility_DisplayArrayInTable(CommonLivestock_SourceData.SourceData_Livestock_Common_SymbolsMMS_Data(), Table_Data_MMSSymbols[[#Headers],[Symbol]], 0)</f>
        <v>4</v>
      </c>
      <c r="E15" s="39" t="str" cm="1">
        <f t="array" ref="E15">Common_InputFunctions.Utility_DisplayArrayInTable(CommonLivestock_SourceData.SourceData_Livestock_Common_SymbolsMMS_Data(), Table_Data_MMSSymbols[[#Headers],[Symbol]], 0)</f>
        <v>Solid storage</v>
      </c>
      <c r="F15" s="39" t="str" cm="1">
        <f t="array" ref="F15">Common_InputFunctions.Utility_DisplayArrayInTable(CommonLivestock_SourceData.SourceData_Livestock_Common_SymbolsMMS_Data(), Table_Data_MMSSymbols[[#Headers],[Symbol]], 0)</f>
        <v>Solid storage (m=4)</v>
      </c>
      <c r="G15" s="3"/>
    </row>
    <row r="16" spans="1:13" ht="20.100000000000001" customHeight="1" x14ac:dyDescent="0.25">
      <c r="A16" s="17" t="str">
        <f>HYPERLINK("#'4.3.1.9 Soil direct N2O'!A1", "4.3.1.9 Soil direct N2O")</f>
        <v>4.3.1.9 Soil direct N2O</v>
      </c>
      <c r="D16" s="39" t="str" cm="1">
        <f t="array" ref="D16">Common_InputFunctions.Utility_DisplayArrayInTable(CommonLivestock_SourceData.SourceData_Livestock_Common_SymbolsMMS_Data(), Table_Data_MMSSymbols[[#Headers],[Symbol]], 0)</f>
        <v>5</v>
      </c>
      <c r="E16" s="39" t="str" cm="1">
        <f t="array" ref="E16">Common_InputFunctions.Utility_DisplayArrayInTable(CommonLivestock_SourceData.SourceData_Livestock_Common_SymbolsMMS_Data(), Table_Data_MMSSymbols[[#Headers],[Symbol]], 0)</f>
        <v>Drylot (feed pad)</v>
      </c>
      <c r="F16" s="39" t="str" cm="1">
        <f t="array" ref="F16">Common_InputFunctions.Utility_DisplayArrayInTable(CommonLivestock_SourceData.SourceData_Livestock_Common_SymbolsMMS_Data(), Table_Data_MMSSymbols[[#Headers],[Symbol]], 0)</f>
        <v>Drylot (feed pad) (m=5)</v>
      </c>
      <c r="G16" s="3"/>
    </row>
    <row r="17" spans="1:8" ht="20.100000000000001" customHeight="1" x14ac:dyDescent="0.25">
      <c r="A17" s="17" t="str">
        <f>HYPERLINK("#'4.3.1.10-11 Soil Atmos Dep'!A1", "4.3.1.10-11 Soil atm. deposition")</f>
        <v>4.3.1.10-11 Soil atm. deposition</v>
      </c>
      <c r="D17" s="39" t="str" cm="1">
        <f t="array" ref="D17">Common_InputFunctions.Utility_DisplayArrayInTable(CommonLivestock_SourceData.SourceData_Livestock_Common_SymbolsMMS_Data(), Table_Data_MMSSymbols[[#Headers],[Symbol]], 0)</f>
        <v>6</v>
      </c>
      <c r="E17" s="39" t="str" cm="1">
        <f t="array" ref="E17">Common_InputFunctions.Utility_DisplayArrayInTable(CommonLivestock_SourceData.SourceData_Livestock_Common_SymbolsMMS_Data(), Table_Data_MMSSymbols[[#Headers],[Symbol]], 0)</f>
        <v>Composting (passive windrow)</v>
      </c>
      <c r="F17" s="39" t="str" cm="1">
        <f t="array" ref="F17">Common_InputFunctions.Utility_DisplayArrayInTable(CommonLivestock_SourceData.SourceData_Livestock_Common_SymbolsMMS_Data(), Table_Data_MMSSymbols[[#Headers],[Symbol]], 0)</f>
        <v>Composting (passive windrow) (m=6)</v>
      </c>
      <c r="G17" s="3"/>
    </row>
    <row r="18" spans="1:8" ht="20.100000000000001" customHeight="1" x14ac:dyDescent="0.25">
      <c r="A18" s="17" t="str">
        <f>HYPERLINK("#'4.3.1.12-13 Soil leach runoff'!A1", "4.3.1.12-13 Soil leach &amp; runoff")</f>
        <v>4.3.1.12-13 Soil leach &amp; runoff</v>
      </c>
      <c r="D18" s="39" t="str" cm="1">
        <f t="array" ref="D18">Common_InputFunctions.Utility_DisplayArrayInTable(CommonLivestock_SourceData.SourceData_Livestock_Common_SymbolsMMS_Data(), Table_Data_MMSSymbols[[#Headers],[Symbol]], 0)</f>
        <v>7</v>
      </c>
      <c r="E18" s="39" t="str" cm="1">
        <f t="array" ref="E18">Common_InputFunctions.Utility_DisplayArrayInTable(CommonLivestock_SourceData.SourceData_Livestock_Common_SymbolsMMS_Data(), Table_Data_MMSSymbols[[#Headers],[Symbol]], 0)</f>
        <v>Digester / covered lagoons</v>
      </c>
      <c r="F18" s="39" t="str" cm="1">
        <f t="array" ref="F18">Common_InputFunctions.Utility_DisplayArrayInTable(CommonLivestock_SourceData.SourceData_Livestock_Common_SymbolsMMS_Data(), Table_Data_MMSSymbols[[#Headers],[Symbol]], 0)</f>
        <v>Digester / covered lagoons (m=7)</v>
      </c>
      <c r="G18" s="3"/>
    </row>
    <row r="19" spans="1:8" ht="20.100000000000001" customHeight="1" x14ac:dyDescent="0.25">
      <c r="A19" s="17"/>
      <c r="D19" s="39" t="str" cm="1">
        <f t="array" ref="D19">Common_InputFunctions.Utility_DisplayArrayInTable(CommonLivestock_SourceData.SourceData_Livestock_Common_SymbolsMMS_Data(), Table_Data_MMSSymbols[[#Headers],[Symbol]], 0)</f>
        <v>8</v>
      </c>
      <c r="E19" s="39" t="str" cm="1">
        <f t="array" ref="E19">Common_InputFunctions.Utility_DisplayArrayInTable(CommonLivestock_SourceData.SourceData_Livestock_Common_SymbolsMMS_Data(), Table_Data_MMSSymbols[[#Headers],[Symbol]], 0)</f>
        <v>Deep litter</v>
      </c>
      <c r="F19" s="39" t="str" cm="1">
        <f t="array" ref="F19">Common_InputFunctions.Utility_DisplayArrayInTable(CommonLivestock_SourceData.SourceData_Livestock_Common_SymbolsMMS_Data(), Table_Data_MMSSymbols[[#Headers],[Symbol]], 0)</f>
        <v>Deep litter (m=8)</v>
      </c>
      <c r="G19" s="3"/>
    </row>
    <row r="20" spans="1:8" ht="20.100000000000001" customHeight="1" x14ac:dyDescent="0.25">
      <c r="A20" s="18" t="s">
        <v>4</v>
      </c>
      <c r="D20" s="39" t="str" cm="1">
        <f t="array" ref="D20">Common_InputFunctions.Utility_DisplayArrayInTable(CommonLivestock_SourceData.SourceData_Livestock_Common_SymbolsMMS_Data(), Table_Data_MMSSymbols[[#Headers],[Symbol]], 0)</f>
        <v>9</v>
      </c>
      <c r="E20" s="39" t="str" cm="1">
        <f t="array" ref="E20">Common_InputFunctions.Utility_DisplayArrayInTable(CommonLivestock_SourceData.SourceData_Livestock_Common_SymbolsMMS_Data(), Table_Data_MMSSymbols[[#Headers],[Symbol]], 0)</f>
        <v>Pit storage</v>
      </c>
      <c r="F20" s="39" t="str" cm="1">
        <f t="array" ref="F20">Common_InputFunctions.Utility_DisplayArrayInTable(CommonLivestock_SourceData.SourceData_Livestock_Common_SymbolsMMS_Data(), Table_Data_MMSSymbols[[#Headers],[Symbol]], 0)</f>
        <v>Pit storage (m=9)</v>
      </c>
      <c r="G20" s="3"/>
    </row>
    <row r="21" spans="1:8" ht="20.100000000000001" customHeight="1" x14ac:dyDescent="0.25">
      <c r="A21" s="17" t="str">
        <f>HYPERLINK("#'Constants - Dairy'!A1", "Constants - Dairy")</f>
        <v>Constants - Dairy</v>
      </c>
      <c r="D21" s="39" t="str" cm="1">
        <f t="array" ref="D21">Common_InputFunctions.Utility_DisplayArrayInTable(CommonLivestock_SourceData.SourceData_Livestock_Common_SymbolsMMS_Data(), Table_Data_MMSSymbols[[#Headers],[Symbol]], 0)</f>
        <v>10</v>
      </c>
      <c r="E21" s="39" t="str" cm="1">
        <f t="array" ref="E21">Common_InputFunctions.Utility_DisplayArrayInTable(CommonLivestock_SourceData.SourceData_Livestock_Common_SymbolsMMS_Data(), Table_Data_MMSSymbols[[#Headers],[Symbol]], 0)</f>
        <v>Poultry manure with bedding</v>
      </c>
      <c r="F21" s="39" t="str" cm="1">
        <f t="array" ref="F21">Common_InputFunctions.Utility_DisplayArrayInTable(CommonLivestock_SourceData.SourceData_Livestock_Common_SymbolsMMS_Data(), Table_Data_MMSSymbols[[#Headers],[Symbol]], 0)</f>
        <v>Poultry manure with bedding (m=10)</v>
      </c>
      <c r="G21" s="3"/>
    </row>
    <row r="22" spans="1:8" ht="20.100000000000001" customHeight="1" x14ac:dyDescent="0.25">
      <c r="A22" s="72" t="str">
        <f>HYPERLINK("#'Constants - Livestock'!A1", "Constants - Livestock")</f>
        <v>Constants - Livestock</v>
      </c>
      <c r="D22" s="39" t="str" cm="1">
        <f t="array" ref="D22">Common_InputFunctions.Utility_DisplayArrayInTable(CommonLivestock_SourceData.SourceData_Livestock_Common_SymbolsMMS_Data(), Table_Data_MMSSymbols[[#Headers],[Symbol]], 0)</f>
        <v>11</v>
      </c>
      <c r="E22" s="39" t="str" cm="1">
        <f t="array" ref="E22">Common_InputFunctions.Utility_DisplayArrayInTable(CommonLivestock_SourceData.SourceData_Livestock_Common_SymbolsMMS_Data(), Table_Data_MMSSymbols[[#Headers],[Symbol]], 0)</f>
        <v>Poultry manure without bedding</v>
      </c>
      <c r="F22" s="39" t="str" cm="1">
        <f t="array" ref="F22">Common_InputFunctions.Utility_DisplayArrayInTable(CommonLivestock_SourceData.SourceData_Livestock_Common_SymbolsMMS_Data(), Table_Data_MMSSymbols[[#Headers],[Symbol]], 0)</f>
        <v>Poultry manure without bedding (m=11)</v>
      </c>
      <c r="G22" s="3"/>
    </row>
    <row r="23" spans="1:8" ht="20.100000000000001" customHeight="1" x14ac:dyDescent="0.25">
      <c r="A23" s="17" t="str">
        <f>HYPERLINK("#'Constants - Common'!A1", "Constants - Common")</f>
        <v>Constants - Common</v>
      </c>
      <c r="D23" s="39" t="str" cm="1">
        <f t="array" ref="D23">Common_InputFunctions.Utility_DisplayArrayInTable(CommonLivestock_SourceData.SourceData_Livestock_Common_SymbolsMMS_Data(), Table_Data_MMSSymbols[[#Headers],[Symbol]], 0)</f>
        <v>11a</v>
      </c>
      <c r="E23" s="39" t="str" cm="1">
        <f t="array" ref="E23">Common_InputFunctions.Utility_DisplayArrayInTable(CommonLivestock_SourceData.SourceData_Livestock_Common_SymbolsMMS_Data(), Table_Data_MMSSymbols[[#Headers],[Symbol]], 0)</f>
        <v>Belt manure removal</v>
      </c>
      <c r="F23" s="39" t="str" cm="1">
        <f t="array" ref="F23">Common_InputFunctions.Utility_DisplayArrayInTable(CommonLivestock_SourceData.SourceData_Livestock_Common_SymbolsMMS_Data(), Table_Data_MMSSymbols[[#Headers],[Symbol]], 0)</f>
        <v>Belt manure removal (m=11a)</v>
      </c>
      <c r="G23" s="3"/>
    </row>
    <row r="24" spans="1:8" ht="20.100000000000001" customHeight="1" x14ac:dyDescent="0.25">
      <c r="A24" s="17" t="str">
        <f>HYPERLINK("#'Acknowledgements'!A1", "Acknowledgements")</f>
        <v>Acknowledgements</v>
      </c>
      <c r="D24" s="39" t="str" cm="1">
        <f t="array" ref="D24">Common_InputFunctions.Utility_DisplayArrayInTable(CommonLivestock_SourceData.SourceData_Livestock_Common_SymbolsMMS_Data(), Table_Data_MMSSymbols[[#Headers],[Symbol]], 0)</f>
        <v>11b</v>
      </c>
      <c r="E24" s="39" t="str" cm="1">
        <f t="array" ref="E24">Common_InputFunctions.Utility_DisplayArrayInTable(CommonLivestock_SourceData.SourceData_Livestock_Common_SymbolsMMS_Data(), Table_Data_MMSSymbols[[#Headers],[Symbol]], 0)</f>
        <v>Manure stored in house</v>
      </c>
      <c r="F24" s="39" t="str" cm="1">
        <f t="array" ref="F24">Common_InputFunctions.Utility_DisplayArrayInTable(CommonLivestock_SourceData.SourceData_Livestock_Common_SymbolsMMS_Data(), Table_Data_MMSSymbols[[#Headers],[Symbol]], 0)</f>
        <v>Manure stored in house (m=11b)</v>
      </c>
      <c r="G24" s="3"/>
    </row>
    <row r="25" spans="1:8" ht="20.100000000000001" customHeight="1" x14ac:dyDescent="0.25">
      <c r="D25" s="39" t="str" cm="1">
        <f t="array" ref="D25">Common_InputFunctions.Utility_DisplayArrayInTable(CommonLivestock_SourceData.SourceData_Livestock_Common_SymbolsMMS_Data(), Table_Data_MMSSymbols[[#Headers],[Symbol]], 0)</f>
        <v>12</v>
      </c>
      <c r="E25" s="39" t="str" cm="1">
        <f t="array" ref="E25">Common_InputFunctions.Utility_DisplayArrayInTable(CommonLivestock_SourceData.SourceData_Livestock_Common_SymbolsMMS_Data(), Table_Data_MMSSymbols[[#Headers],[Symbol]], 0)</f>
        <v>Direct processing</v>
      </c>
      <c r="F25" s="39" t="str" cm="1">
        <f t="array" ref="F25">Common_InputFunctions.Utility_DisplayArrayInTable(CommonLivestock_SourceData.SourceData_Livestock_Common_SymbolsMMS_Data(), Table_Data_MMSSymbols[[#Headers],[Symbol]], 0)</f>
        <v>Direct processing (m=12)</v>
      </c>
      <c r="G25" s="3"/>
    </row>
    <row r="26" spans="1:8" ht="20.100000000000001" customHeight="1" x14ac:dyDescent="0.25">
      <c r="D26" s="39" t="str" cm="1">
        <f t="array" ref="D26">Common_InputFunctions.Utility_DisplayArrayInTable(CommonLivestock_SourceData.SourceData_Livestock_Common_SymbolsMMS_Data(), Table_Data_MMSSymbols[[#Headers],[Symbol]], 0)</f>
        <v>13</v>
      </c>
      <c r="E26" s="39" t="str" cm="1">
        <f t="array" ref="E26">Common_InputFunctions.Utility_DisplayArrayInTable(CommonLivestock_SourceData.SourceData_Livestock_Common_SymbolsMMS_Data(), Table_Data_MMSSymbols[[#Headers],[Symbol]], 0)</f>
        <v>Direct application</v>
      </c>
      <c r="F26" s="39" t="str" cm="1">
        <f t="array" ref="F26">Common_InputFunctions.Utility_DisplayArrayInTable(CommonLivestock_SourceData.SourceData_Livestock_Common_SymbolsMMS_Data(), Table_Data_MMSSymbols[[#Headers],[Symbol]], 0)</f>
        <v>Direct application (m=13)</v>
      </c>
      <c r="G26" s="3"/>
    </row>
    <row r="27" spans="1:8" ht="20.100000000000001" customHeight="1" x14ac:dyDescent="0.25">
      <c r="D27" s="39" t="str" cm="1">
        <f t="array" ref="D27">Common_InputFunctions.Utility_DisplayArrayInTable(CommonLivestock_SourceData.SourceData_Livestock_Common_SymbolsMMS_Data(), Table_Data_MMSSymbols[[#Headers],[Symbol]], 0)</f>
        <v>14</v>
      </c>
      <c r="E27" s="39" t="str" cm="1">
        <f t="array" ref="E27">Common_InputFunctions.Utility_DisplayArrayInTable(CommonLivestock_SourceData.SourceData_Livestock_Common_SymbolsMMS_Data(), Table_Data_MMSSymbols[[#Headers],[Symbol]], 0)</f>
        <v>Pasture range and paddock</v>
      </c>
      <c r="F27" s="39" t="str" cm="1">
        <f t="array" ref="F27">Common_InputFunctions.Utility_DisplayArrayInTable(CommonLivestock_SourceData.SourceData_Livestock_Common_SymbolsMMS_Data(), Table_Data_MMSSymbols[[#Headers],[Symbol]], 0)</f>
        <v>Pasture range and paddock (m=14)</v>
      </c>
      <c r="G27" s="3"/>
    </row>
    <row r="28" spans="1:8" ht="20.100000000000001" customHeight="1" x14ac:dyDescent="0.25">
      <c r="G28" s="3"/>
      <c r="H28" s="3"/>
    </row>
    <row r="29" spans="1:8" ht="20.100000000000001" customHeight="1" x14ac:dyDescent="0.25"/>
    <row r="30" spans="1:8" ht="20.100000000000001" customHeight="1" x14ac:dyDescent="0.25"/>
    <row r="31" spans="1:8" ht="20.100000000000001" customHeight="1" x14ac:dyDescent="0.25"/>
    <row r="32" spans="1:8" ht="20.100000000000001" customHeight="1" x14ac:dyDescent="0.25"/>
    <row r="33" ht="20.100000000000001" customHeight="1" x14ac:dyDescent="0.25"/>
    <row r="34" ht="20.100000000000001" customHeight="1" x14ac:dyDescent="0.25"/>
    <row r="35" ht="20.100000000000001" customHeight="1" x14ac:dyDescent="0.25"/>
    <row r="36" ht="20.100000000000001" customHeight="1" x14ac:dyDescent="0.25"/>
    <row r="37" ht="20.100000000000001" customHeight="1" x14ac:dyDescent="0.25"/>
    <row r="38" ht="20.100000000000001" customHeight="1" x14ac:dyDescent="0.25"/>
    <row r="39" ht="20.100000000000001" customHeight="1" x14ac:dyDescent="0.25"/>
    <row r="40" ht="20.100000000000001" customHeight="1" x14ac:dyDescent="0.25"/>
    <row r="41" ht="20.100000000000001" customHeight="1" x14ac:dyDescent="0.25"/>
    <row r="42" ht="20.100000000000001" customHeight="1" x14ac:dyDescent="0.25"/>
    <row r="43" ht="20.100000000000001" customHeight="1" x14ac:dyDescent="0.25"/>
    <row r="44" ht="20.100000000000001" customHeight="1" x14ac:dyDescent="0.25"/>
    <row r="45" ht="20.100000000000001" customHeight="1" x14ac:dyDescent="0.25"/>
    <row r="46" ht="20.100000000000001" customHeight="1" x14ac:dyDescent="0.25"/>
    <row r="47" ht="20.100000000000001" customHeight="1" x14ac:dyDescent="0.25"/>
    <row r="48" ht="20.100000000000001" customHeight="1" x14ac:dyDescent="0.25"/>
    <row r="49" ht="20.100000000000001" customHeight="1" x14ac:dyDescent="0.25"/>
    <row r="50" ht="20.100000000000001" customHeight="1" x14ac:dyDescent="0.25"/>
    <row r="51" ht="20.100000000000001" customHeight="1" x14ac:dyDescent="0.25"/>
    <row r="52" ht="20.100000000000001" customHeight="1" x14ac:dyDescent="0.25"/>
    <row r="53" ht="20.100000000000001" customHeight="1" x14ac:dyDescent="0.25"/>
    <row r="54" ht="20.100000000000001" customHeight="1" x14ac:dyDescent="0.25"/>
    <row r="55" ht="20.100000000000001" customHeight="1" x14ac:dyDescent="0.25"/>
    <row r="56" ht="20.100000000000001" customHeight="1" x14ac:dyDescent="0.25"/>
    <row r="57" ht="20.100000000000001" customHeight="1" x14ac:dyDescent="0.25"/>
    <row r="58" ht="20.100000000000001" customHeight="1" x14ac:dyDescent="0.25"/>
    <row r="59" ht="20.100000000000001" customHeight="1" x14ac:dyDescent="0.25"/>
    <row r="60" ht="20.100000000000001" customHeight="1" x14ac:dyDescent="0.25"/>
    <row r="61" ht="20.100000000000001" customHeight="1" x14ac:dyDescent="0.25"/>
    <row r="62" ht="20.100000000000001" customHeight="1" x14ac:dyDescent="0.25"/>
    <row r="63" ht="20.100000000000001" customHeight="1" x14ac:dyDescent="0.25"/>
  </sheetData>
  <pageMargins left="0.7" right="0.7" top="0.75" bottom="0.75" header="0.3" footer="0.3"/>
  <pageSetup paperSize="9" orientation="portrait" r:id="rId1"/>
  <tableParts count="1">
    <tablePart r:id="rId2"/>
  </tableParts>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D87A9DA-7B49-4536-9AC1-4BDE2DD493BF}">
  <dimension ref="A1"/>
  <sheetViews>
    <sheetView workbookViewId="0"/>
  </sheetViews>
  <sheetFormatPr defaultRowHeight="15" x14ac:dyDescent="0.25"/>
  <sheetData>
    <row r="1" spans="1:1" x14ac:dyDescent="0.25">
      <c r="A1" t="s">
        <v>432</v>
      </c>
    </row>
  </sheetData>
  <pageMargins left="0.7" right="0.7" top="0.75" bottom="0.75" header="0.3" footer="0.3"/>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1883A6B-B8DF-40B8-B36B-2098F8DD980B}">
  <dimension ref="A1:U165"/>
  <sheetViews>
    <sheetView showGridLines="0" topLeftCell="A2" workbookViewId="0">
      <selection activeCell="F35" sqref="F35"/>
    </sheetView>
  </sheetViews>
  <sheetFormatPr defaultRowHeight="15.75" x14ac:dyDescent="0.25"/>
  <cols>
    <col min="1" max="1" width="30.7109375" customWidth="1"/>
    <col min="2" max="2" width="4.7109375" customWidth="1"/>
    <col min="3" max="3" width="4.7109375" style="1" customWidth="1"/>
    <col min="4" max="11" width="30.7109375" style="1" customWidth="1"/>
    <col min="12" max="12" width="4.7109375" style="1" customWidth="1"/>
    <col min="13" max="13" width="4.7109375" customWidth="1"/>
    <col min="14" max="14" width="4.7109375" style="1" customWidth="1"/>
    <col min="15" max="20" width="30.7109375" style="1" customWidth="1"/>
    <col min="21" max="21" width="4.7109375" style="1" customWidth="1"/>
  </cols>
  <sheetData>
    <row r="1" spans="1:21" s="8" customFormat="1" ht="30" customHeight="1" x14ac:dyDescent="0.35">
      <c r="A1" s="8" t="e" vm="1">
        <v>#VALUE!</v>
      </c>
    </row>
    <row r="2" spans="1:21" s="9" customFormat="1" ht="20.100000000000001" customHeight="1" x14ac:dyDescent="0.25"/>
    <row r="3" spans="1:21" ht="20.100000000000001" customHeight="1" x14ac:dyDescent="0.25">
      <c r="A3" s="17" t="s">
        <v>0</v>
      </c>
      <c r="C3" s="4"/>
      <c r="D3" s="4"/>
      <c r="E3" s="4"/>
      <c r="F3" s="4"/>
      <c r="G3" s="4"/>
      <c r="H3" s="4"/>
      <c r="I3" s="4"/>
      <c r="J3" s="4"/>
      <c r="K3" s="4"/>
      <c r="L3" s="4"/>
      <c r="N3" s="4"/>
      <c r="O3" s="4"/>
      <c r="P3" s="4"/>
      <c r="Q3" s="4"/>
      <c r="R3" s="4"/>
      <c r="S3" s="4"/>
      <c r="T3" s="4"/>
      <c r="U3" s="4"/>
    </row>
    <row r="4" spans="1:21" ht="20.100000000000001" customHeight="1" x14ac:dyDescent="0.25">
      <c r="A4" s="17" t="str">
        <f>HYPERLINK("#'Results'!A1", "Results")</f>
        <v>Results</v>
      </c>
    </row>
    <row r="5" spans="1:21" ht="20.100000000000001" customHeight="1" x14ac:dyDescent="0.25">
      <c r="A5" s="16"/>
    </row>
    <row r="6" spans="1:21" ht="20.100000000000001" customHeight="1" x14ac:dyDescent="0.25">
      <c r="A6" s="20" t="s">
        <v>3</v>
      </c>
    </row>
    <row r="7" spans="1:21" ht="20.100000000000001" customHeight="1" x14ac:dyDescent="0.25">
      <c r="A7" s="17" t="str">
        <f>HYPERLINK("#'Input - Site'!A1", "Site")</f>
        <v>Site</v>
      </c>
    </row>
    <row r="8" spans="1:21" ht="20.100000000000001" customHeight="1" x14ac:dyDescent="0.25">
      <c r="A8" s="17" t="str">
        <f>HYPERLINK("#'Input - Production'!A1", "Production and outputs")</f>
        <v>Production and outputs</v>
      </c>
    </row>
    <row r="9" spans="1:21" ht="20.100000000000001" customHeight="1" x14ac:dyDescent="0.25">
      <c r="A9" s="17" t="str">
        <f>HYPERLINK("#'Input - Herd - Dairy'!A1", "Herd - Dairy")</f>
        <v>Herd - Dairy</v>
      </c>
    </row>
    <row r="10" spans="1:21" ht="20.100000000000001" customHeight="1" x14ac:dyDescent="0.25">
      <c r="A10" s="17" t="str">
        <f>HYPERLINK("#'Input - Feed - Dairy'!A1", "Purchased feed - Livestock")</f>
        <v>Purchased feed - Livestock</v>
      </c>
    </row>
    <row r="11" spans="1:21" ht="20.100000000000001" customHeight="1" x14ac:dyDescent="0.25">
      <c r="A11" s="17" t="str">
        <f>HYPERLINK("#'Input - Herd - Feedlot'!A1", "Herd - Feedlot")</f>
        <v>Herd - Feedlot</v>
      </c>
    </row>
    <row r="12" spans="1:21" ht="20.100000000000001" customHeight="1" x14ac:dyDescent="0.25">
      <c r="A12" s="17" t="str">
        <f>HYPERLINK("#'Input - Pasture'!A1", "Pasture")</f>
        <v>Pasture</v>
      </c>
    </row>
    <row r="13" spans="1:21" ht="20.100000000000001" customHeight="1" x14ac:dyDescent="0.25">
      <c r="A13" s="17" t="str">
        <f>HYPERLINK("#'Input - Grains'!A1", "Crop - Grains")</f>
        <v>Crop - Grains</v>
      </c>
    </row>
    <row r="14" spans="1:21" ht="20.100000000000001" customHeight="1" x14ac:dyDescent="0.25">
      <c r="A14" s="17" t="str">
        <f>HYPERLINK("#'Input - Fert Lime Chem'!A1", "Fertiliser, Lime &amp; Chemicals")</f>
        <v>Fertiliser, Lime &amp; Chemicals</v>
      </c>
    </row>
    <row r="15" spans="1:21" ht="20.100000000000001" customHeight="1" x14ac:dyDescent="0.25">
      <c r="A15" s="17" t="str">
        <f>HYPERLINK("#'Input - Fuel &amp; Energy'!A1", "Electricity and fuel")</f>
        <v>Electricity and fuel</v>
      </c>
    </row>
    <row r="16" spans="1:21" ht="20.100000000000001" customHeight="1" x14ac:dyDescent="0.25">
      <c r="A16" s="70" t="s">
        <v>80</v>
      </c>
    </row>
    <row r="17" spans="1:1" ht="20.100000000000001" customHeight="1" x14ac:dyDescent="0.25">
      <c r="A17" s="70" t="s">
        <v>76</v>
      </c>
    </row>
    <row r="18" spans="1:1" ht="20.100000000000001" customHeight="1" x14ac:dyDescent="0.25">
      <c r="A18" s="17" t="str">
        <f>HYPERLINK("#'Input - Other Farm Inputs'!A1", "Other farm inputs")</f>
        <v>Other farm inputs</v>
      </c>
    </row>
    <row r="19" spans="1:1" ht="20.100000000000001" customHeight="1" x14ac:dyDescent="0.25">
      <c r="A19" s="17" t="str">
        <f>HYPERLINK("#'Input - Data quality'!A1", "Data quality")</f>
        <v>Data quality</v>
      </c>
    </row>
    <row r="20" spans="1:1" ht="20.100000000000001" customHeight="1" x14ac:dyDescent="0.25"/>
    <row r="21" spans="1:1" ht="20.100000000000001" customHeight="1" x14ac:dyDescent="0.25">
      <c r="A21" s="19" t="s">
        <v>78</v>
      </c>
    </row>
    <row r="22" spans="1:1" ht="20.100000000000001" customHeight="1" x14ac:dyDescent="0.25">
      <c r="A22" s="70" t="s">
        <v>1</v>
      </c>
    </row>
    <row r="23" spans="1:1" ht="20.100000000000001" customHeight="1" x14ac:dyDescent="0.25">
      <c r="A23" s="70" t="s">
        <v>77</v>
      </c>
    </row>
    <row r="24" spans="1:1" ht="20.100000000000001" customHeight="1" x14ac:dyDescent="0.25">
      <c r="A24" s="17" t="str">
        <f>HYPERLINK("#'Calcs - Fert Lime'!A1", "Fertiliser &amp; soil amendments")</f>
        <v>Fertiliser &amp; soil amendments</v>
      </c>
    </row>
    <row r="25" spans="1:1" ht="20.100000000000001" customHeight="1" x14ac:dyDescent="0.25">
      <c r="A25" s="17" t="str">
        <f>HYPERLINK("#'Calcs - Residue mgmt - Crop'!A1", "Residue management - Crop")</f>
        <v>Residue management - Crop</v>
      </c>
    </row>
    <row r="26" spans="1:1" ht="20.100000000000001" customHeight="1" x14ac:dyDescent="0.25">
      <c r="A26" s="17" t="str">
        <f>HYPERLINK("#'Calcs - Residue mgmt - Pasture'!A1", "Residue management - Pasture")</f>
        <v>Residue management - Pasture</v>
      </c>
    </row>
    <row r="27" spans="1:1" ht="20.100000000000001" customHeight="1" x14ac:dyDescent="0.25">
      <c r="A27" s="17" t="str">
        <f>HYPERLINK("#'Calcs - Field burning'!A1", "Field burning - Crop")</f>
        <v>Field burning - Crop</v>
      </c>
    </row>
    <row r="28" spans="1:1" ht="20.100000000000001" customHeight="1" x14ac:dyDescent="0.25">
      <c r="A28" s="17" t="str">
        <f>HYPERLINK("#'Calcs - Fuel'!A1", "Fuel")</f>
        <v>Fuel</v>
      </c>
    </row>
    <row r="29" spans="1:1" ht="20.100000000000001" customHeight="1" x14ac:dyDescent="0.25">
      <c r="A29" s="17" t="str">
        <f>HYPERLINK("#'Calcs - Electricity'!A1", "Electricity")</f>
        <v>Electricity</v>
      </c>
    </row>
    <row r="30" spans="1:1" ht="20.100000000000001" customHeight="1" x14ac:dyDescent="0.25">
      <c r="A30" s="17" t="str">
        <f>HYPERLINK("#'Calcs - Refrigerants'!A1", "Refrigerants")</f>
        <v>Refrigerants</v>
      </c>
    </row>
    <row r="31" spans="1:1" ht="20.100000000000001" customHeight="1" x14ac:dyDescent="0.25">
      <c r="A31" s="70" t="s">
        <v>80</v>
      </c>
    </row>
    <row r="32" spans="1:1" ht="20.100000000000001" customHeight="1" x14ac:dyDescent="0.25">
      <c r="A32" s="70" t="s">
        <v>76</v>
      </c>
    </row>
    <row r="33" spans="1:1" ht="20.100000000000001" customHeight="1" x14ac:dyDescent="0.25">
      <c r="A33" s="17" t="str">
        <f>HYPERLINK("#'Calcs - Scope 3'!A1", "Purchased goods scope 3")</f>
        <v>Purchased goods scope 3</v>
      </c>
    </row>
    <row r="34" spans="1:1" ht="20.100000000000001" customHeight="1" x14ac:dyDescent="0.25"/>
    <row r="35" spans="1:1" ht="20.100000000000001" customHeight="1" x14ac:dyDescent="0.25">
      <c r="A35" s="18" t="s">
        <v>4</v>
      </c>
    </row>
    <row r="36" spans="1:1" ht="20.100000000000001" customHeight="1" x14ac:dyDescent="0.25">
      <c r="A36" s="17" t="str">
        <f>HYPERLINK("#'Constants - Common'!A1", "Constants - Common")</f>
        <v>Constants - Common</v>
      </c>
    </row>
    <row r="37" spans="1:1" ht="20.100000000000001" customHeight="1" x14ac:dyDescent="0.25">
      <c r="A37" s="17" t="str">
        <f>HYPERLINK("#'Constants - Cropping'!A1", "Constants - Cropping")</f>
        <v>Constants - Cropping</v>
      </c>
    </row>
    <row r="38" spans="1:1" ht="20.100000000000001" customHeight="1" x14ac:dyDescent="0.25">
      <c r="A38" s="17" t="str">
        <f>HYPERLINK("#'Constants - Livestock'!A1", "Constants - Livestock")</f>
        <v>Constants - Livestock</v>
      </c>
    </row>
    <row r="39" spans="1:1" ht="20.100000000000001" customHeight="1" x14ac:dyDescent="0.25">
      <c r="A39" s="17" t="str">
        <f>HYPERLINK("#'Constants - Dairy'!A1", "Constants - Dairy")</f>
        <v>Constants - Dairy</v>
      </c>
    </row>
    <row r="40" spans="1:1" ht="20.100000000000001" customHeight="1" x14ac:dyDescent="0.25">
      <c r="A40" s="70" t="s">
        <v>2</v>
      </c>
    </row>
    <row r="41" spans="1:1" ht="20.100000000000001" customHeight="1" x14ac:dyDescent="0.25">
      <c r="A41" s="47"/>
    </row>
    <row r="42" spans="1:1" ht="20.100000000000001" customHeight="1" x14ac:dyDescent="0.25"/>
    <row r="43" spans="1:1" ht="20.100000000000001" customHeight="1" x14ac:dyDescent="0.25"/>
    <row r="44" spans="1:1" ht="20.100000000000001" customHeight="1" x14ac:dyDescent="0.25"/>
    <row r="45" spans="1:1" ht="20.100000000000001" customHeight="1" x14ac:dyDescent="0.25"/>
    <row r="46" spans="1:1" ht="20.100000000000001" customHeight="1" x14ac:dyDescent="0.25"/>
    <row r="47" spans="1:1" ht="20.100000000000001" customHeight="1" x14ac:dyDescent="0.25"/>
    <row r="48" spans="1:1" ht="20.100000000000001" customHeight="1" x14ac:dyDescent="0.25"/>
    <row r="49" ht="20.100000000000001" customHeight="1" x14ac:dyDescent="0.25"/>
    <row r="50" ht="20.100000000000001" customHeight="1" x14ac:dyDescent="0.25"/>
    <row r="51" ht="20.100000000000001" customHeight="1" x14ac:dyDescent="0.25"/>
    <row r="52" ht="20.100000000000001" customHeight="1" x14ac:dyDescent="0.25"/>
    <row r="53" ht="20.100000000000001" customHeight="1" x14ac:dyDescent="0.25"/>
    <row r="54" ht="20.100000000000001" customHeight="1" x14ac:dyDescent="0.25"/>
    <row r="55" ht="20.100000000000001" customHeight="1" x14ac:dyDescent="0.25"/>
    <row r="56" ht="20.100000000000001" customHeight="1" x14ac:dyDescent="0.25"/>
    <row r="57" ht="20.100000000000001" customHeight="1" x14ac:dyDescent="0.25"/>
    <row r="58" ht="20.100000000000001" customHeight="1" x14ac:dyDescent="0.25"/>
    <row r="59" ht="20.100000000000001" customHeight="1" x14ac:dyDescent="0.25"/>
    <row r="60" ht="20.100000000000001" customHeight="1" x14ac:dyDescent="0.25"/>
    <row r="61" ht="20.100000000000001" customHeight="1" x14ac:dyDescent="0.25"/>
    <row r="62" ht="20.100000000000001" customHeight="1" x14ac:dyDescent="0.25"/>
    <row r="63" ht="20.100000000000001" customHeight="1" x14ac:dyDescent="0.25"/>
    <row r="64" ht="20.100000000000001" customHeight="1" x14ac:dyDescent="0.25"/>
    <row r="65" ht="20.100000000000001" customHeight="1" x14ac:dyDescent="0.25"/>
    <row r="66" ht="20.100000000000001" customHeight="1" x14ac:dyDescent="0.25"/>
    <row r="67" ht="20.100000000000001" customHeight="1" x14ac:dyDescent="0.25"/>
    <row r="68" ht="20.100000000000001" customHeight="1" x14ac:dyDescent="0.25"/>
    <row r="69" ht="20.100000000000001" customHeight="1" x14ac:dyDescent="0.25"/>
    <row r="70" ht="20.100000000000001" customHeight="1" x14ac:dyDescent="0.25"/>
    <row r="71" ht="20.100000000000001" customHeight="1" x14ac:dyDescent="0.25"/>
    <row r="72" ht="20.100000000000001" customHeight="1" x14ac:dyDescent="0.25"/>
    <row r="73" ht="20.100000000000001" customHeight="1" x14ac:dyDescent="0.25"/>
    <row r="74" ht="20.100000000000001" customHeight="1" x14ac:dyDescent="0.25"/>
    <row r="75" ht="20.100000000000001" customHeight="1" x14ac:dyDescent="0.25"/>
    <row r="76" ht="20.100000000000001" customHeight="1" x14ac:dyDescent="0.25"/>
    <row r="77" ht="20.100000000000001" customHeight="1" x14ac:dyDescent="0.25"/>
    <row r="78" ht="20.100000000000001" customHeight="1" x14ac:dyDescent="0.25"/>
    <row r="79" ht="20.100000000000001" customHeight="1" x14ac:dyDescent="0.25"/>
    <row r="80" ht="20.100000000000001" customHeight="1" x14ac:dyDescent="0.25"/>
    <row r="81" ht="20.100000000000001" customHeight="1" x14ac:dyDescent="0.25"/>
    <row r="82" ht="20.100000000000001" customHeight="1" x14ac:dyDescent="0.25"/>
    <row r="83" ht="20.100000000000001" customHeight="1" x14ac:dyDescent="0.25"/>
    <row r="84" ht="20.100000000000001" customHeight="1" x14ac:dyDescent="0.25"/>
    <row r="85" ht="20.100000000000001" customHeight="1" x14ac:dyDescent="0.25"/>
    <row r="86" ht="20.100000000000001" customHeight="1" x14ac:dyDescent="0.25"/>
    <row r="87" ht="20.100000000000001" customHeight="1" x14ac:dyDescent="0.25"/>
    <row r="88" ht="20.100000000000001" customHeight="1" x14ac:dyDescent="0.25"/>
    <row r="89" ht="20.100000000000001" customHeight="1" x14ac:dyDescent="0.25"/>
    <row r="90" ht="20.100000000000001" customHeight="1" x14ac:dyDescent="0.25"/>
    <row r="91" ht="20.100000000000001" customHeight="1" x14ac:dyDescent="0.25"/>
    <row r="92" ht="20.100000000000001" customHeight="1" x14ac:dyDescent="0.25"/>
    <row r="93" ht="20.100000000000001" customHeight="1" x14ac:dyDescent="0.25"/>
    <row r="94" ht="20.100000000000001" customHeight="1" x14ac:dyDescent="0.25"/>
    <row r="95" ht="20.100000000000001" customHeight="1" x14ac:dyDescent="0.25"/>
    <row r="96" ht="20.100000000000001" customHeight="1" x14ac:dyDescent="0.25"/>
    <row r="97" ht="20.100000000000001" customHeight="1" x14ac:dyDescent="0.25"/>
    <row r="98" ht="20.100000000000001" customHeight="1" x14ac:dyDescent="0.25"/>
    <row r="99" ht="20.100000000000001" customHeight="1" x14ac:dyDescent="0.25"/>
    <row r="100" ht="20.100000000000001" customHeight="1" x14ac:dyDescent="0.25"/>
    <row r="101" ht="20.100000000000001" customHeight="1" x14ac:dyDescent="0.25"/>
    <row r="102" ht="20.100000000000001" customHeight="1" x14ac:dyDescent="0.25"/>
    <row r="103" ht="20.100000000000001" customHeight="1" x14ac:dyDescent="0.25"/>
    <row r="104" ht="20.100000000000001" customHeight="1" x14ac:dyDescent="0.25"/>
    <row r="105" ht="20.100000000000001" customHeight="1" x14ac:dyDescent="0.25"/>
    <row r="106" ht="20.100000000000001" customHeight="1" x14ac:dyDescent="0.25"/>
    <row r="107" ht="20.100000000000001" customHeight="1" x14ac:dyDescent="0.25"/>
    <row r="108" ht="20.100000000000001" customHeight="1" x14ac:dyDescent="0.25"/>
    <row r="109" ht="20.100000000000001" customHeight="1" x14ac:dyDescent="0.25"/>
    <row r="110" ht="20.100000000000001" customHeight="1" x14ac:dyDescent="0.25"/>
    <row r="111" ht="20.100000000000001" customHeight="1" x14ac:dyDescent="0.25"/>
    <row r="112" ht="20.100000000000001" customHeight="1" x14ac:dyDescent="0.25"/>
    <row r="113" ht="20.100000000000001" customHeight="1" x14ac:dyDescent="0.25"/>
    <row r="114" ht="20.100000000000001" customHeight="1" x14ac:dyDescent="0.25"/>
    <row r="115" ht="20.100000000000001" customHeight="1" x14ac:dyDescent="0.25"/>
    <row r="116" ht="20.100000000000001" customHeight="1" x14ac:dyDescent="0.25"/>
    <row r="117" ht="20.100000000000001" customHeight="1" x14ac:dyDescent="0.25"/>
    <row r="118" ht="20.100000000000001" customHeight="1" x14ac:dyDescent="0.25"/>
    <row r="119" ht="20.100000000000001" customHeight="1" x14ac:dyDescent="0.25"/>
    <row r="120" ht="20.100000000000001" customHeight="1" x14ac:dyDescent="0.25"/>
    <row r="121" ht="20.100000000000001" customHeight="1" x14ac:dyDescent="0.25"/>
    <row r="122" ht="20.100000000000001" customHeight="1" x14ac:dyDescent="0.25"/>
    <row r="123" ht="20.100000000000001" customHeight="1" x14ac:dyDescent="0.25"/>
    <row r="124" ht="20.100000000000001" customHeight="1" x14ac:dyDescent="0.25"/>
    <row r="125" ht="20.100000000000001" customHeight="1" x14ac:dyDescent="0.25"/>
    <row r="126" ht="20.100000000000001" customHeight="1" x14ac:dyDescent="0.25"/>
    <row r="127" ht="20.100000000000001" customHeight="1" x14ac:dyDescent="0.25"/>
    <row r="128" ht="20.100000000000001" customHeight="1" x14ac:dyDescent="0.25"/>
    <row r="129" ht="20.100000000000001" customHeight="1" x14ac:dyDescent="0.25"/>
    <row r="130" ht="20.100000000000001" customHeight="1" x14ac:dyDescent="0.25"/>
    <row r="131" ht="20.100000000000001" customHeight="1" x14ac:dyDescent="0.25"/>
    <row r="132" ht="20.100000000000001" customHeight="1" x14ac:dyDescent="0.25"/>
    <row r="133" ht="20.100000000000001" customHeight="1" x14ac:dyDescent="0.25"/>
    <row r="134" ht="20.100000000000001" customHeight="1" x14ac:dyDescent="0.25"/>
    <row r="135" ht="20.100000000000001" customHeight="1" x14ac:dyDescent="0.25"/>
    <row r="136" ht="20.100000000000001" customHeight="1" x14ac:dyDescent="0.25"/>
    <row r="137" ht="20.100000000000001" customHeight="1" x14ac:dyDescent="0.25"/>
    <row r="138" ht="20.100000000000001" customHeight="1" x14ac:dyDescent="0.25"/>
    <row r="139" ht="20.100000000000001" customHeight="1" x14ac:dyDescent="0.25"/>
    <row r="140" ht="20.100000000000001" customHeight="1" x14ac:dyDescent="0.25"/>
    <row r="141" ht="20.100000000000001" customHeight="1" x14ac:dyDescent="0.25"/>
    <row r="142" ht="20.100000000000001" customHeight="1" x14ac:dyDescent="0.25"/>
    <row r="143" ht="20.100000000000001" customHeight="1" x14ac:dyDescent="0.25"/>
    <row r="144" ht="20.100000000000001" customHeight="1" x14ac:dyDescent="0.25"/>
    <row r="145" ht="20.100000000000001" customHeight="1" x14ac:dyDescent="0.25"/>
    <row r="146" ht="20.100000000000001" customHeight="1" x14ac:dyDescent="0.25"/>
    <row r="147" ht="20.100000000000001" customHeight="1" x14ac:dyDescent="0.25"/>
    <row r="148" ht="20.100000000000001" customHeight="1" x14ac:dyDescent="0.25"/>
    <row r="149" ht="20.100000000000001" customHeight="1" x14ac:dyDescent="0.25"/>
    <row r="150" ht="20.100000000000001" customHeight="1" x14ac:dyDescent="0.25"/>
    <row r="151" ht="20.100000000000001" customHeight="1" x14ac:dyDescent="0.25"/>
    <row r="152" ht="20.100000000000001" customHeight="1" x14ac:dyDescent="0.25"/>
    <row r="153" ht="20.100000000000001" customHeight="1" x14ac:dyDescent="0.25"/>
    <row r="154" ht="20.100000000000001" customHeight="1" x14ac:dyDescent="0.25"/>
    <row r="155" ht="20.100000000000001" customHeight="1" x14ac:dyDescent="0.25"/>
    <row r="156" ht="20.100000000000001" customHeight="1" x14ac:dyDescent="0.25"/>
    <row r="157" ht="20.100000000000001" customHeight="1" x14ac:dyDescent="0.25"/>
    <row r="158" ht="20.100000000000001" customHeight="1" x14ac:dyDescent="0.25"/>
    <row r="159" ht="20.100000000000001" customHeight="1" x14ac:dyDescent="0.25"/>
    <row r="160" ht="20.100000000000001" customHeight="1" x14ac:dyDescent="0.25"/>
    <row r="161" ht="20.100000000000001" customHeight="1" x14ac:dyDescent="0.25"/>
    <row r="162" ht="20.100000000000001" customHeight="1" x14ac:dyDescent="0.25"/>
    <row r="163" ht="20.100000000000001" customHeight="1" x14ac:dyDescent="0.25"/>
    <row r="164" ht="20.100000000000001" customHeight="1" x14ac:dyDescent="0.25"/>
    <row r="165" ht="20.100000000000001" customHeight="1" x14ac:dyDescent="0.25"/>
  </sheetData>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_rels/item4.xml.rels><?xml version="1.0" encoding="UTF-8" standalone="yes"?>
<Relationships xmlns="http://schemas.openxmlformats.org/package/2006/relationships"><Relationship Id="rId1" Type="http://schemas.openxmlformats.org/officeDocument/2006/relationships/customXmlProps" Target="itemProps4.xml"/></Relationships>
</file>

<file path=customXml/item1.xml><?xml version="1.0" encoding="utf-8"?>
<AFEJSONBlob xmlns="http://schemas.advancedformulaenvironment.officeapps.live.com/afejsonblob/1.0">ewAiAHMAYwBoAGUAbQBhACIAOgAiAGgAdAB0AHAAOgAvAC8AcwBjAGgAZQBtAGEAcwAuAGEAZAB2AGEAbgBjAGUAZABmAG8AcgBtAHUAbABhAGUAbgB2AGkAcgBvAG4AbQBlAG4AdAAuAG8AZgBmAGkAYwBlAGEAcABwAHMALgBsAGkAdgBlAC4AYwBvAG0ALwBhAGYAZQBwAHIAbwBqAGUAYwB0AHMALwAwAC4AMgAiACwAIgBmAGkAbABlAHMAIgA6AFsAewAiAHAAYQB0AGgAIgA6ACIALwBwAHIAbwBqAGUAYwB0AHMALwBXAG8AcgBrAGIAbwBvAGsAIgAsACIAdABlAHgAdAAiADoAIgAvAC8AIAAtAC0ALQAgAFcAbwByAGsAYgBvAG8AawAgAG0AbwBkAHUAbABlACAALQAtAC0AXABuAC8ALwAgAEEAIABmAGkAbABlACAAbwBmACAAbgBhAG0AZQAgAGQAZQBmAGkAbgBpAHQAaQBvAG4AcwAgAG8AZgAgAHQAaABlACAAZgBvAHIAbQA6AFwAbgAvAC8AIAAgACAAIABuAGEAbQBlACAAPQAgAGQAZQBmAGkAbgBpAHQAaQBvAG4AOwBcAG4AIgB9ACwAewAiAHAAYQB0AGgAIgA6ACIALwBwAHIAbwBqAGUAYwB0AHMALwBDAG8AbQBtAG8AbgBfAFMAbwB1AHIAYwBlAEQAYQB0AGEAIgAsACIAdABlAHgAdAAiADoAIgAvACoAXABuAD0APQA9AD0APQA9AD0APQA9AD0APQA9AD0APQA9AD0APQA9AD0APQA9AD0APQA9AD0APQA9AD0APQA9AD0APQA9AD0APQA9AD0APQA9AD0APQA9AD0APQA9AD0APQA9AD0APQA9AD0APQA9AD0APQA9AD0APQA9AD0APQA9AD0APQA9AD0APQA9AD0APQA9AD0APQA9AD0AXABuAD0APQA9AD0APQA9AD0APQA9AD0APQA9AD0APQA9AD0APQA9AD0APQA9AD0APQA9AD0APQA9AD0APQA9AD0APQA9AD0APQA9AD0APQA9AD0APQA9AD0APQA9AD0APQA9AD0APQA9AD0APQA9AD0APQA9AD0APQA9AD0APQA9AD0APQA9AD0APQA9AD0APQA9AD0APQA9AD0AXABuAFMAbwB1AHIAYwBlACAAZABhAHQAYQAgAHQAaABhAHQAIABpAHMAIABjAG8AbQBtAG8AbgAgAGEAYwByAG8AcwBzACAAYQBsAGwAIABlAG4AdABlAHIAcAByAGkAcwBlACAAdAB5AHAAZQBzAFwAbgBFAHgAYwBlAGwAIABtAG8AZAB1AGwAZQAgAG4AYQBtAGUAOgAgAEMAbwBtAG0AbwBuAF8AUwBvAHUAcgBjAGUARABhAHQAYQBcAG4APQA9AD0APQA9AD0APQA9AD0APQA9AD0APQA9AD0APQA9AD0APQA9AD0APQA9AD0APQA9AD0APQA9AD0APQA9AD0APQA9AD0APQA9AD0APQA9AD0APQA9AD0APQA9AD0APQA9AD0APQA9AD0APQA9AD0APQA9AD0APQA9AD0APQA9AD0APQA9AD0APQA9AD0APQA9AD0APQBcAG4APQA9AD0APQA9AD0APQA9AD0APQA9AD0APQA9AD0APQA9AD0APQA9AD0APQA9AD0APQA9AD0APQA9AD0APQA9AD0APQA9AD0APQA9AD0APQA9AD0APQA9AD0APQA9AD0APQA9AD0APQA9AD0APQA9AD0APQA9AD0APQA9AD0APQA9AD0APQA9AD0APQA9AD0APQA9AD0APQBcAG4AKgAvAFwAbgBcAG4ALwAqAFwAbgA9AD0APQA9AD0APQA9AD0APQA9AD0APQA9AD0APQA9AD0APQA9AD0APQA9AD0APQA9AD0APQA9AD0APQA9AD0APQA9AD0APQA9AD0AXABuAD0APQA9AD0APQA9AD0APQA9AD0APQA9AD0APQA9AD0APQA9AD0APQA9AD0APQA9AD0APQA9AD0APQA9AD0APQA9AD0APQA9AD0APQBcAG4AUwBvAHUAcgBjAGUAOgAgAE4AYQB0AGkAbwBuAGEAbAAgAEkAbgB2AGUAbgB0AG8AcgB5ACAAUgBlAHAAbwByAHQAIAAyADAAMgAzACAAVgBvAGwAdQBtAGUAIAAxAFwAbgBOAEkAUgBfADIAMAAyADMAXwBWAG8AbAAxAFwAbgA9AD0APQA9AD0APQA9AD0APQA9AD0APQA9AD0APQA9AD0APQA9AD0APQA9AD0APQA9AD0APQA9AD0APQA9AD0APQA9AD0APQA9AD0AXABuAD0APQA9AD0APQA9AD0APQA9AD0APQA9AD0APQA9AD0APQA9AD0APQA9AD0APQA9AD0APQA9AD0APQA9AD0APQA9AD0APQA9AD0APQBcAG4AKgAvAFwAbgBcAG4ALwAqACAAXABuAC0ALQAtAC0ALQAtAC0ALQAtAC0ALQAtAC0ALQAtAC0ALQAtAC0ALQAtAC0ALQAtAC0ALQAtAC0ALQAtAC0ALQAtAC0ALQAtAC0ALQBcAG4AQwBvAG0AbQBvAG4AXwBTAG8AdQByAGMAZQBEAGEAdABhAF8ARABlAG4AcwBpAHQAeQBPAGYATQBlAHQAaABhAG4AZQBcAG4AcAAgAD0AIABkAGUAbgBzAGkAdAB5ACAAbwBmACAAbQBlAHQAaABhAG4AZQAgACgAMAAuADYANwA4ADQAIABrAGcALwBtADMAKQBcAG4AVABhAGsAZQBuACAAZgByAG8AbQAgAHQAaABlACAATgBhAHQAaQBvAG4AYQBsACAARwByAGUAZQBuAGgAbwB1AHMAZQAgAGEAbgBkACAARQBuAGUAcgBnAHkAIABSAGUAcABvAHIAdABpAG4AZwAgAFwAbgAoAE0AZQBhAHMAdQByAGUAbQBlAG4AdAApACAARABlAHQAZQByAG0AaQBuAGEAdABpAG8AbgAgADIAMAAwADgAXABuAC0ALQAtAC0ALQAtAC0ALQAtAC0ALQAtAC0ALQAtAC0ALQAtAC0ALQAtAC0ALQAtAC0ALQAtAC0ALQAtAC0ALQAtAC0ALQAtAC0ALQBcAG4AKgAvAFwAbgBcAG4AQwBvAG0AbQBvAG4AXwBTAG8AdQByAGMAZQBEAGEAdABhAF8ARABlAG4AcwBpAHQAeQBPAGYATQBlAHQAaABhAG4AZQBfAFQAaQB0AGwAZQBcAG4AIAAgAD0ATABBAE0AQgBEAEEAKABcACIAcAAgAD0AIABkAGUAbgBzAGkAdAB5ACAAbwBmACAAbQBlAHQAaABhAG4AZQBcACIAKQA7AFwAbgBcAG4AQwBvAG0AbQBvAG4AXwBTAG8AdQByAGMAZQBEAGEAdABhAF8ARABlAG4AcwBpAHQAeQBPAGYATQBlAHQAaABhAG4AZQBfAFUAbgBpAHQAXABuACAAIAA9AEwAQQBNAEIARABBACgAXAAiAGsAZwAvAG0AMwBcACIAKQA7AFwAbgBcAG4AQwBvAG0AbQBvAG4AXwBTAG8AdQByAGMAZQBEAGEAdABhAF8ARABlAG4AcwBpAHQAeQBPAGYATQBlAHQAaABhAG4AZQBfAFMAbwB1AHIAYwBlAFwAbgAgACAAPQBMAEEATQBCAEQAQQAoAFwAIgBOAGEAdABpAG8AbgBhAGwAIABJAG4AdgBlAG4AdABvAHIAeQAgAFIAZQBwAG8AcgB0ACAAMgAwADIAMwAgAFYAbwBsAHUAbQBlACAAMQA6ACAARQBxAHUAYQB0AGkAbwBuAHMAIAAzAC4AQgAuADEAYQBfADIALAAgADMALgBCAC4AMQBjAF8AMgAsACAAMwAuAEIALgAzAF8AMQAsACAAMwAuAEIALgA0AGcAXwAyAFwAIgApADsAXABuAFwAbgBDAG8AbQBtAG8AbgBfAFMAbwB1AHIAYwBlAEQAYQB0AGEAXwBEAGUAbgBzAGkAdAB5AE8AZgBNAGUAdABoAGEAbgBlAF8ARABhAHQAYQBcAG4AIAAgAD0ATABBAE0AQgBEAEEAKAAwAC4ANgA3ADgANAApADsAXABuAFwAbgAvACoAIABcAG4ALQAtAC0ALQAtAC0ALQAtAC0ALQAtAC0ALQAtAC0ALQAtAC0ALQAtAC0ALQAtAC0ALQAtAC0ALQAtAC0ALQAtAC0ALQAtAC0ALQAtAFwAbgBDAG8AbQBtAG8AbgBfAFMAbwB1AHIAYwBlAEQAYQB0AGEAXwBDAG8AbgB2AGUAcgB0AE4AMgBvAEUAbABlAG0AZQBuAHQAYQBsAFQAbwBNAG8AbABlAGMAdQBsAGEAcgBDAGcAXABuAEMAZwAgAD0AIAA0ADQALwAyADgAIABmAGEAYwB0AG8AcgAgAHQAbwAgAGMAbwBuAHYAZQByAHQAIABlAGwAZQBtAGUAbgB0AGEAbAAgAG0AYQBzAHMAIABvAGYAIABOADIATwAgAHQAbwAgAG0AbwBsAGUAYwB1AGwAYQByACAAbQBhAHMAcwBcAG4ALQAtAC0ALQAtAC0ALQAtAC0ALQAtAC0ALQAtAC0ALQAtAC0ALQAtAC0ALQAtAC0ALQAtAC0ALQAtAC0ALQAtAC0ALQAtAC0ALQAtAFwAbgAqAC8AXABuAFwAbgBDAG8AbQBtAG8AbgBfAFMAbwB1AHIAYwBlAEQAYQB0AGEAXwBDAG8AbgB2AGUAcgB0AE4AMgBvAEUAbABlAG0AZQBuAHQAYQBsAFQAbwBNAG8AbABlAGMAdQBsAGEAcgBDAGcAXwBUAGkAdABsAGUAXABuACAAIAA9AEwAQQBNAEIARABBACgAXAAiAEYAYQBjAHQAbwByACAAdABvACAAYwBvAG4AdgBlAHIAdAAgAGUAbABlAG0AZQBuAHQAYQBsACAAbQBhAHMAcwAgAG8AZgAgAE4AMgBPACAAdABvACAAbQBvAGwAZQBjAHUAbABhAHIAIABtAGEAcwBzAFwAIgApADsAXABuAFwAbgBDAG8AbQBtAG8AbgBfAFMAbwB1AHIAYwBlAEQAYQB0AGEAXwBDAG8AbgB2AGUAcgB0AE4AMgBvAEUAbABlAG0AZQBuAHQAYQBsAFQAbwBNAG8AbABlAGMAdQBsAGEAcgBDAGcAXwBWAGEAcgBpAGEAYgBsAGUAXABuACAAIAA9AEwAQQBNAEIARABBACgAXAAiAEMAZwBOADIATwBcACIAKQA7AFwAbgBcAG4AQwBvAG0AbQBvAG4AXwBTAG8AdQByAGMAZQBEAGEAdABhAF8AQwBvAG4AdgBlAHIAdABOADIAbwBFAGwAZQBtAGUAbgB0AGEAbABUAG8ATQBvAGwAZQBjAHUAbABhAHIAQwBnAF8AVQBuAGkAdABcAG4AIAAgAD0ATABBAE0AQgBEAEEAKABcACIAZgBhAGMAdABvAHIAXAAiACkAOwBcAG4AXABuAEMAbwBtAG0AbwBuAF8AUwBvAHUAcgBjAGUARABhAHQAYQBfAEMAbwBuAHYAZQByAHQATgAyAG8ARQBsAGUAbQBlAG4AdABhAGwAVABvAE0AbwBsAGUAYwB1AGwAYQByAEMAZwBfAFMAbwB1AHIAYwBlAFwAbgAgACAAPQBMAEEATQBCAEQAQQAoAFwAIgBOAGEAdABpAG8AbgBhAGwAIABJAG4AdgBlAG4AdABvAHIAeQAgAFIAZQBwAG8AcgB0ACAAMgAwADIAMwAgAFYAbwBsAHUAbQBlACAAMQBcACIAKQA7AFwAbgBcAG4AQwBvAG0AbQBvAG4AXwBTAG8AdQByAGMAZQBEAGEAdABhAF8AQwBvAG4AdgBlAHIAdABOADIAbwBFAGwAZQBtAGUAbgB0AGEAbABUAG8ATQBvAGwAZQBjAHUAbABhAHIAQwBnAF8ARABhAHQAYQBcAG4AIAAgAD0ATABBAE0AQgBEAEEAKAA0ADQALwAyADgAKQA7AFwAbgBcAG4ALwAqACAAXABuAC0ALQAtAC0ALQAtAC0ALQAtAC0ALQAtAC0ALQAtAC0ALQAtAC0ALQAtAC0ALQAtAC0ALQAtAC0ALQAtAC0ALQAtAC0ALQAtAC0ALQBcAG4AQwBvAG0AbQBvAG4AXwBTAG8AdQByAGMAZQBEAGEAdABhAF8AQwBvAG4AdgBlAHIAdABHAGEAcwBFAGwAZQBtAGUAbgB0AGEAbABUAG8ATQBvAGwAZQBjAHUAbABhAHIAXABuAEYAYQBjAHQAbwByACAAdABvACAAYwBvAG4AdgBlAHIAdAAgAGUAbABlAG0AZQBuAHQAYQBsACAAbQBhAHMAcwAgAG8AZgAgAGcAYQBzACAAdABvACAAbQBvAGwAZQBjAHUAbABhAHIAIABtAGEAcwBzAFwAbgAtAC0ALQAtAC0ALQAtAC0ALQAtAC0ALQAtAC0ALQAtAC0ALQAtAC0ALQAtAC0ALQAtAC0ALQAtAC0ALQAtAC0ALQAtAC0ALQAtAC0AXABuACoALwBcAG4AXABuAEMAbwBtAG0AbwBuAF8AUwBvAHUAcgBjAGUARABhAHQAYQBfAEMAbwBuAHYAZQByAHQARwBhAHMARQBsAGUAbQBlAG4AdABhAGwAVABvAE0AbwBsAGUAYwB1AGwAYQByAF8AVABpAHQAbABlAFwAbgAgACAAPQBMAEEATQBCAEQAQQAoAFwAIgBGAGEAYwB0AG8AcgAgAHQAbwAgAGMAbwBuAHYAZQByAHQAIABlAGwAZQBtAGUAbgB0AGEAbAAgAG0AYQBzAHMAIABvAGYAIABnAGEAcwAgAHQAbwAgAG0AbwBsAGUAYwB1AGwAYQByACAAbQBhAHMAcwBcACIAKQA7AFwAbgBcAG4AQwBvAG0AbQBvAG4AXwBTAG8AdQByAGMAZQBEAGEAdABhAF8AQwBvAG4AdgBlAHIAdABHAGEAcwBFAGwAZQBtAGUAbgB0AGEAbABUAG8ATQBvAGwAZQBjAHUAbABhAHIAXwBWAGEAcgBpAGEAYgBsAGUAXABuACAAIAA9AEwAQQBNAEIARABBACgAXAAiAEMAZwBcACIAKQA7AFwAbgBcAG4AQwBvAG0AbQBvAG4AXwBTAG8AdQByAGMAZQBEAGEAdABhAF8AQwBvAG4AdgBlAHIAdABHAGEAcwBFAGwAZQBtAGUAbgB0AGEAbABUAG8ATQBvAGwAZQBjAHUAbABhAHIAXwBVAG4AaQB0AFwAbgAgACAAPQBMAEEATQBCAEQAQQAoAFwAIgBmAGEAYwB0AG8AcgBcACIAKQA7AFwAbgBcAG4AQwBvAG0AbQBvAG4AXwBTAG8AdQByAGMAZQBEAGEAdABhAF8AQwBvAG4AdgBlAHIAdABHAGEAcwBFAGwAZQBtAGUAbgB0AGEAbABUAG8ATQBvAGwAZQBjAHUAbABhAHIAXwBTAG8AdQByAGMAZQBcAG4AIAAgAD0ATABBAE0AQgBEAEEAKABcACIAWABYAFgAWABYAFgAWABcACIAKQA7AFwAbgBcAG4AQwBvAG0AbQBvAG4AXwBTAG8AdQByAGMAZQBEAGEAdABhAF8AQwBvAG4AdgBlAHIAdABHAGEAcwBFAGwAZQBtAGUAbgB0AGEAbABUAG8ATQBvAGwAZQBjAHUAbABhAHIAXwBEAGEAdABhAFwAbgAgACAAPQBMAEEATQBCAEQAQQAoAFwAbgAgACAAIAAgAE0AQQBLAEUAQQBSAFIAQQBZACgAOAAsACAANAAsACAAXABuACAAIAAgACAAIAAgAEwAQQBNAEIARABBACgAcgAsAGMALAAgAFwAbgAgACAAIAAgACAAIAAgACAASQBOAEQARQBYACgAewBcAG4AIAAgACAAIAAgACAAIAAgACAAIABcACIARwBhAHMAXAAiACwAIABcACIAQwBvAG4AdgBlAHIAcwBpAG8AbgAgAGYAYQBjAHQAbwByAFwAIgAsACAAXAAiAEMAbwBuAHYAZQByAHMAaQBvAG4AIABmAGEAYwB0AG8AcgAgADEAXAAiACwAIABcACIAQwBvAG4AdgBlAHIAcwBpAG8AbgAgAGYAYQBjAHQAbwByACAAMgBcACIAOwBcAG4AIAAgACAAIAAgACAAIAAgACAAIABcACIAQwBPADIAXAAiACwAIABcACIANAA0AC8AMQAyAFwAIgAsACAANAA0ACwAIAAxADIAOwBcAG4AIAAgACAAIAAgACAAIAAgACAAIABcACIAQwBIADQAXAAiACwAIABcACIAMQA2AC8AMQAyAFwAIgAsACAAMQA2ACwAIAAxADIAOwBcAG4AIAAgACAAIAAgACAAIAAgACAAIABcACIATgAyAE8AXAAiACwAIABcACIANAA0AC8AMgA4AFwAIgAsACAANAA0ACwAIAAyADgAOwBcAG4AIAAgACAAIAAgACAAIAAgACAAIABcACIATgBvAHgAXAAiACwAIABcACIANAA2AC8AMQA0AFwAIgAsACAANAA2ACwAIAAxADQAOwBcAG4AIAAgACAAIAAgACAAIAAgACAAIABcACIAQwBPAFwAIgAsACAAXAAiADIAOAAvADEAMgBcACIALAAgADIAOAAsACAAMQAyADsAXABuACAAIAAgACAAIAAgACAAIAAgACAAXAAiAEMATwAyACAATABpAG0AZQBcACIALAAgAFwAIgA0ADQALwAxADIAXAAiACwAIAA0ADQALAAgADEAMgA7AFwAbgAgACAAIAAgACAAIAAgACAAIAAgAFwAIgBOAE0AVgBPAEMAXAAiACwAIABcACIAMQA0AC8AMQAyAFwAIgAsACAAMQA0ACwAIAAxADIAXABuACAAIAAgACAAIAAgACAAIAB9ACwAIAByACwAIABjACkAXABuACAAIAAgACAAIAAgACkAXABuACAAIAAgACAAKQBcAG4AIAAgACkAOwBcAG4AXABuAC8AKgAgAFwAbgAtAC0ALQAtAC0ALQAtAC0ALQAtAC0ALQAtAC0ALQAtAC0ALQAtAC0ALQAtAC0ALQAtAC0ALQAtAC0ALQAtAC0ALQAtAC0ALQAtAC0AXABuAEMAbwBtAG0AbwBuAF8AUwBvAHUAcgBjAGUARABhAHQAYQBfAEcAVwBQAE4AMgBPAFwAbgBHAGwAbwBiAGEAbAAgAHcAYQByAG0AaQBuAGcAIABwAG8AdABlAG4AdABpAGEAbAAgAGYAbwByACAAZwByAGUAZQBuAGgAbwB1AHMAZQAgAGcAYQBzAGUAcwBcAG4ALQAtAC0ALQAtAC0ALQAtAC0ALQAtAC0ALQAtAC0ALQAtAC0ALQAtAC0ALQAtAC0ALQAtAC0ALQAtAC0ALQAtAC0ALQAtAC0ALQAtAFwAbgAqAC8AXABuAFwAbgBDAG8AbQBtAG8AbgBfAFMAbwB1AHIAYwBlAEQAYQB0AGEAXwBHAFcAUABfAFQAaQB0AGwAZQBcAG4AIAAgAD0ATABBAE0AQgBEAEEAKABcACIARwBsAG8AYgBhAGwAIAB3AGEAcgBtAGkAbgBnACAAcABvAHQAZQBuAHQAaQBhAGwAIABmAG8AcgAgAGcAcgBlAGUAbgBoAG8AdQBzAGUAIABnAGEAcwBlAHMAXAAiACkAOwBcAG4AXABuAEMAbwBtAG0AbwBuAF8AUwBvAHUAcgBjAGUARABhAHQAYQBfAEcAVwBQAF8AVgBhAHIAaQBhAGIAbABlAFwAbgAgACAAPQBMAEEATQBCAEQAQQAoAFwAIgBHAFcAUABOADIATwBcACIAKQA7AFwAbgBcAG4AQwBvAG0AbQBvAG4AXwBTAG8AdQByAGMAZQBEAGEAdABhAF8ARwBXAFAAXwBVAG4AaQB0AFwAbgAgACAAPQBMAEEATQBCAEQAQQAoAFwAIgBmAGEAYwB0AG8AcgBcACIAKQA7AFwAbgBcAG4AQwBvAG0AbQBvAG4AXwBTAG8AdQByAGMAZQBEAGEAdABhAF8ARwBXAFAAXwBTAG8AdQByAGMAZQBcAG4AIAAgAD0ATABBAE0AQgBEAEEAKABcACIAWABYAFgAWABYAFgAWABcACIAKQA7AFwAbgBcAG4AQwBvAG0AbQBvAG4AXwBTAG8AdQByAGMAZQBEAGEAdABhAF8ARwBXAFAAXwBEAGEAdABhAFwAbgAgACAAPQBMAEEATQBCAEQAQQAoAFwAbgAgACAAIAAgAE0AQQBLAEUAQQBSAFIAQQBZACgAOAAsACAAMgAsACAAXABuACAAIAAgACAAIAAgAEwAQQBNAEIARABBACgAcgAsAGMALAAgAFwAbgAgACAAIAAgACAAIAAgACAASQBOAEQARQBYACgAewBcAG4AIAAgACAAIAAgACAAIAAgACAAIABcACIARwBhAHMAXAAiACwAIABcACIAQwBPADIALQBlACAAZgBhAGMAdABvAHIAXAAiADsAXABuACAAIAAgACAAIAAgACAAIAAgACAAXAAiAEMATwAyAFwAIgAsACAAMQA7AFwAbgAgACAAIAAgACAAIAAgACAAIAAgAFwAIgBDAEgANABcACIALAAgADIAOAA7AFwAbgAgACAAIAAgACAAIAAgACAAIAAgAFwAIgBOADIATwBcACIALAAgADIANgA1ADsAXABuACAAIAAgACAAIAAgACAAIAAgACAAXAAiAEMARgA0AFwAIgAsACAANgA2ADMAMAA7AFwAbgAgACAAIAAgACAAIAAgACAAIAAgAFwAIgBDADIARgA2AFwAIgAsACAAMQAyADIAMAAwADsAXABuACAAIAAgACAAIAAgACAAIAAgACAAXAAiAFMARgA2AFwAIgAsACAAMgAyADgAMAAwADsAXABuACAAIAAgACAAIAAgACAAIAAgACAAXAAiAE4ARgAzAFwAIgAsACAAMQA3ADIAMAAwAFwAbgAgACAAIAAgACAAIAAgACAAfQAsACAAcgAsACAAYwApAFwAbgAgACAAIAAgACAAIAApAFwAbgAgACAAIAAgACkAXABuACAAIAApADsAXABuAFwAbgBcAG4ALwAqACAAXABuAC0ALQAtAC0ALQAtAC0ALQAtAC0ALQAtAC0ALQAtAC0ALQAtAC0ALQAtAC0ALQAtAC0ALQAtAC0ALQAtAC0ALQAtAC0ALQAtAC0ALQBcAG4AQwBvAG0AbQBvAG4AXwBTAG8AdQByAGMAZQBEAGEAdABhAF8AQQB1AHMAdAByAGEAbABpAGEAbgBTAHQAYQB0AGUAcwBUAGUAcgByAGkAdABvAHIAaQBlAHMAXABuAC0ALQAtAC0ALQAtAC0ALQAtAC0ALQAtAC0ALQAtAC0ALQAtAC0ALQAtAC0ALQAtAC0ALQAtAC0ALQAtAC0ALQAtAC0ALQAtAC0ALQBcAG4AKgAvAFwAbgBcAG4AQwBvAG0AbQBvAG4AXwBTAG8AdQByAGMAZQBEAGEAdABhAF8AQQB1AHMAdAByAGEAbABpAGEAbgBTAHQAYQB0AGUAcwBUAGUAcgByAGkAdABvAHIAaQBlAHMAXwBUAGkAdABsAGUAXABuACAAIAA9AEwAQQBNAEIARABBACgAXAAiAEEAdQBzAHQAcgBhAGwAaQBhAG4AIABzAHQAYQB0AGUAcwAgAGEAbgBkACAAdABlAHIAcgBpAHQAbwByAGkAZQBzAFwAIgApADsAXABuAFwAbgBDAG8AbQBtAG8AbgBfAFMAbwB1AHIAYwBlAEQAYQB0AGEAXwBBAHUAcwB0AHIAYQBsAGkAYQBuAFMAdABhAHQAZQBzAFQAZQByAHIAaQB0AG8AcgBpAGUAcwBfAFYAYQByAGkAYQBiAGwAZQBcAG4AIAAgAD0ATABBAE0AQgBEAEEAKABcACIAXAAiACkAOwBcAG4AXABuAEMAbwBtAG0AbwBuAF8AUwBvAHUAcgBjAGUARABhAHQAYQBfAEEAdQBzAHQAcgBhAGwAaQBhAG4AUwB0AGEAdABlAHMAVABlAHIAcgBpAHQAbwByAGkAZQBzAF8AVQBuAGkAdABcAG4AIAAgAD0ATABBAE0AQgBEAEEAKABcACIAXAAiACkAOwBcAG4AXABuAEMAbwBtAG0AbwBuAF8AUwBvAHUAcgBjAGUARABhAHQAYQBfAEEAdQBzAHQAcgBhAGwAaQBhAG4AUwB0AGEAdABlAHMAVABlAHIAcgBpAHQAbwByAGkAZQBzAF8AUwBvAHUAcgBjAGUAXABuACAAIAA9AEwAQQBNAEIARABBACgAXAAiAFwAIgApADsAXABuAFwAbgBDAG8AbQBtAG8AbgBfAFMAbwB1AHIAYwBlAEQAYQB0AGEAXwBBAHUAcwB0AHIAYQBsAGkAYQBuAFMAdABhAHQAZQBzAFQAZQByAHIAaQB0AG8AcgBpAGUAcwBfAEQAYQB0AGEAXABuACAAIAAgAD0ATABBAE0AQgBEAEEAKABcAG4AIAAgACAAIABNAEEASwBFAEEAUgBSAEEAWQAoADkALAAgADMALAAgAFwAbgAgACAAIAAgACAAIABMAEEATQBCAEQAQQAoAHIALABjACwAIABcAG4AIAAgACAAIAAgACAAIAAgAEkATgBEAEUAWAAoAHsAXABuACAAIAAgACAAIAAgACAAIAAgACAAXAAiAFMAdABhAHQAZQAvAFQAZQByAHIAaQB0AG8AcgB5AFwAIgAsACAAXAAiAEMAbwBtAG0AbwBuACAATgBhAG0AZQBcACIALAAgAFwAIgBBAGIAYgByAGUAdgBpAGEAdABpAG8AbgBcACIAOwBcAG4AIAAgACAAIAAgACAAIAAgACAAIABcACIATgBlAHcAIABTAG8AdQB0AGgAIABXAGEAbABlAHMAXAAiACwAIABcACIATgBlAHcAIABTAG8AdQB0AGgAIABXAGEAbABlAHMAXAAiACwAIABcACIATgBTAFcAXAAiADsAXABuACAAIAAgACAAIAAgACAAIAAgACAAXAAiAEEAdQBzAHQAcgBhAGwAaQBhAG4AIABDAGEAcABpAHQAYQBsACAAVABlAHIAcgBpAHQAbwByAHkAXAAiACwAIABcACIAQQBDAFQAXAAiACwAIABcACIAQQBDAFQAXAAiADsAXABuACAAIAAgACAAIAAgACAAIAAgACAAXAAiAFYAaQBjAHQAbwByAGkAYQBcACIALAAgAFwAIgBWAGkAYwB0AG8AcgBpAGEAXAAiACwAIABcACIAVgBJAEMAXAAiADsAXABuACAAIAAgACAAIAAgACAAIAAgACAAXAAiAFEAdQBlAGUAbgBzAGwAYQBuAGQAXAAiACwAIABcACIAUQB1AGUAZQBuAHMAbABhAG4AZABcACIALAAgAFwAIgBRAEwARABcACIAOwBcAG4AIAAgACAAIAAgACAAIAAgACAAIABcACIAUwBvAHUAdABoACAAQQB1AHMAdAByAGEAbABpAGEAXAAiACwAIABcACIAUwBvAHUAdABoACAAQQB1AHMAdAByAGEAbABpAGEAXAAiACwAIABcACIAUwBBAFwAIgA7AFwAbgAgACAAIAAgACAAIAAgACAAIAAgAFwAIgBXAGUAcwB0AGUAcgBuACAAQQB1AHMAdAByAGEAbABpAGEAXAAiACwAIABcACIAVwBlAHMAdABlAHIAbgAgAEEAdQBzAHQAcgBhAGwAaQBhAFwAIgAsACAAXAAiAFcAQQBcACIAOwBcAG4AIAAgACAAIAAgACAAIAAgACAAIABcACIAVABhAHMAbQBhAG4AaQBhAFwAIgAsACAAXAAiAFQAYQBzAG0AYQBuAGkAYQBcACIALAAgAFwAIgBUAEEAUwBcACIAOwBcAG4AIAAgACAAIAAgACAAIAAgACAAIABcACIATgBvAHIAdABoAGUAcgBuACAAVABlAHIAcgBpAHQAbwByAHkAXAAiACwAIABcACIATgBvAHIAdABoAGUAcgBuACAAVABlAHIAcgBpAHQAbwByAHkAXAAiACwAIABcACIATgBUAFwAIgBcAG4AIAAgACAAIAAgACAAIAAgAH0ALAAgAHIALAAgAGMAKQBcAG4AIAAgACAAIAAgACAAKQBcAG4AIAAgACAAIAApAFwAbgAgACAAKQA7AFwAbgBcAG4ALwAqACAAXABuAC0ALQAtAC0ALQAtAC0ALQAtAC0ALQAtAC0ALQAtAC0ALQAtAC0ALQAtAC0ALQAtAC0ALQAtAC0ALQAtAC0ALQAtAC0ALQAtAC0ALQBcAG4AQwBvAG0AbQBvAG4AXwBTAG8AdQByAGMAZQBEAGEAdABhAF8AVwBBAFMAQQA0AEEAcgBlAGEAcwBcAG4ALQAtAC0ALQAtAC0ALQAtAC0ALQAtAC0ALQAtAC0ALQAtAC0ALQAtAC0ALQAtAC0ALQAtAC0ALQAtAC0ALQAtAC0ALQAtAC0ALQAtAFwAbgAqAC8AXABuAFwAbgBDAG8AbQBtAG8AbgBfAFMAbwB1AHIAYwBlAEQAYQB0AGEAXwBXAEEAUwBBADQAQQByAGUAYQBzAF8AVABpAHQAbABlAFwAbgAgACAAPQBMAEEATQBCAEQAQQAoAFwAIgBBAEIAUwAgAFMAdABhAHQAaQBzAHQAYwBhAGwAIABBAHIAZQBhAHMAIABMAGUAdgBlAGwAIAA0ACAALQAgAFcAZQBzAHQAZQByAG4AIABBAHUAcwB0AHIAYQBsAGkAYQBcACIAKQA7AFwAbgBcAG4AQwBvAG0AbQBvAG4AXwBTAG8AdQByAGMAZQBEAGEAdABhAF8AVwBBAFMAQQA0AEEAcgBlAGEAcwBfAFYAYQByAGkAYQBiAGwAZQBcAG4AIAAgAD0ATABBAE0AQgBEAEEAKABcACIAXAAiACkAOwBcAG4AXABuAEMAbwBtAG0AbwBuAF8AUwBvAHUAcgBjAGUARABhAHQAYQBfAFcAQQBTAEEANABBAHIAZQBhAHMAXwBVAG4AaQB0AFwAbgAgACAAPQBMAEEATQBCAEQAQQAoAFwAIgBcACIAKQA7AFwAbgBcAG4AQwBvAG0AbQBvAG4AXwBTAG8AdQByAGMAZQBEAGEAdABhAF8AVwBBAFMAQQA0AEEAcgBlAGEAcwBfAFMAbwB1AHIAYwBlAFwAbgAgACAAPQBMAEEATQBCAEQAQQAoAFwAIgBBAHUAcwB0AHIAYQBsAGkAYQBuACAAQgB1AHIAZQBhAHUAIABvAGYAIABTAHQAYQB0AGkAcwB0AGkAYwBzACAAKABBAEIAUwApACAALQAgAFMAdABhAHQAaQBzAHQAaQBjAGEAbAAgAEEAcgBlAGEAcwAgAEwAZQB2AGUAbAAgADIAIAAtACAAMgAwADIAMQAgAC0AIABTAGgAYQBwAGUAZgBpAGwAZQBcACIAKQA7AFwAbgBcAG4AQwBvAG0AbQBvAG4AXwBTAG8AdQByAGMAZQBEAGEAdABhAF8AVwBBAFMAQQA0AEEAcgBlAGEAcwBfAEQAYQB0AGEAXABuACAAIAAgAD0ATABBAE0AQgBEAEEAKABcAG4AIAAgACAAIABNAEEASwBFAEEAUgBSAEEAWQAoADEAMQAsACAAMQAsACAAXABuACAAIAAgACAAIAAgAEwAQQBNAEIARABBACgAcgAsAGMALAAgAFwAbgAgACAAIAAgACAAIAAgACAASQBOAEQARQBYACgAewBcAG4AIAAgACAAIAAgACAAIAAgACAAIABcACIAUwBBACAANAAgAE4AYQBtAGUAXAAiADsAXABuACAAIAAgACAAIAAgACAAIAAgACAAXAAiAEIAdQBuAGIAdQByAHkAXAAiADsAXABuACAAIAAgACAAIAAgACAAIAAgACAAXAAiAE0AYQBuAGQAdQByAGEAaABcACIAOwBcAG4AIAAgACAAIAAgACAAIAAgACAAIABcACIAUABlAHIAdABoACAALQAgAEkAbgBuAGUAcgBcACIAOwBcAG4AIAAgACAAIAAgACAAIAAgACAAIABcACIAUABlAHIAdABoACAALQAgAE4AbwByAHQAaAAgAEUAYQBzAHQAXAAiADsAXABuACAAIAAgACAAIAAgACAAIAAgACAAXAAiAFAAZQByAHQAaAAgAC0AIABOAG8AcgB0AGgAIABXAGUAcwB0AFwAIgA7AFwAbgAgACAAIAAgACAAIAAgACAAIAAgAFwAIgBQAGUAcgB0AGgAIAAtACAAUwBvAHUAdABoACAARQBhAHMAdABcACIAOwBcAG4AIAAgACAAIAAgACAAIAAgACAAIABcACIAUABlAHIAdABoACAALQAgAFMAbwB1AHQAaAAgAFcAZQBzAHQAXAAiADsAXABuACAAIAAgACAAIAAgACAAIAAgACAAXAAiAFcAZQBzAHQAZQByAG4AIABBAHUAcwB0AHIAYQBsAGkAYQAgAC0AIABXAGgAZQBhAHQAIABCAGUAbAB0AFwAIgA7AFwAbgAgACAAIAAgACAAIAAgACAAIAAgAFwAIgBXAGUAcwB0AGUAcgBuACAAQQB1AHMAdAByAGEAbABpAGEAIAAtACAATwB1AHQAYgBhAGMAawAgACgATgBvAHIAdABoACkAXAAiADsAXABuACAAIAAgACAAIAAgACAAIAAgACAAXAAiAFcAZQBzAHQAZQByAG4AIABBAHUAcwB0AHIAYQBsAGkAYQAgAC0AIABPAHUAdABiAGEAYwBrACAAKABTAG8AdQB0AGgAKQBcACIAXABuACAAIAAgACAAIAAgACAAIAB9ACwAIAByACwAIABjACkAXABuACAAIAAgACAAIAAgACkAXABuACAAIAAgACAAKQBcAG4AIAAgACkAOwBcAG4AXABuAC8AKgAgAFwAbgAtAC0ALQAtAC0ALQAtAC0ALQAtAC0ALQAtAC0ALQAtAC0ALQAtAC0ALQAtAC0ALQAtAC0ALQAtAC0ALQAtAC0ALQAtAC0ALQAtAC0AXABuAEMAbwBtAG0AbwBuAF8AUwBvAHUAcgBjAGUARABhAHQAYQBfAFcAZQB0AEEAbgBkAEQAcgB5AFoAbwBuAGUAcwBcAG4ALQAtAC0ALQAtAC0ALQAtAC0ALQAtAC0ALQAtAC0ALQAtAC0ALQAtAC0ALQAtAC0ALQAtAC0ALQAtAC0ALQAtAC0ALQAtAC0ALQAtAFwAbgAqAC8AXABuAFwAbgBDAG8AbQBtAG8AbgBfAFMAbwB1AHIAYwBlAEQAYQB0AGEAXwBXAGUAdABBAG4AZABEAHIAeQBaAG8AbgBlAHMAXwBUAGkAdABsAGUAXABuACAAIAA9AEwAQQBNAEIARABBACgAXAAiAFYARQBFAFIARwAgAEEAdQBzAHQAcgBhAGwAaQBhAG4AIAB3AGUAdAAgAGEAbgBkACAAZAByAHkAIAB6AG8AbgBlAHMAXAAiACkAOwBcAG4AXABuAEMAbwBtAG0AbwBuAF8AUwBvAHUAcgBjAGUARABhAHQAYQBfAFcAZQB0AEEAbgBkAEQAcgB5AFoAbwBuAGUAcwBfAFYAYQByAGkAYQBiAGwAZQBcAG4AIAAgAD0ATABBAE0AQgBEAEEAKABcACIAXAAiACkAOwBcAG4AXABuAEMAbwBtAG0AbwBuAF8AUwBvAHUAcgBjAGUARABhAHQAYQBfAFcAZQB0AEEAbgBkAEQAcgB5AFoAbwBuAGUAcwBfAFUAbgBpAHQAXABuACAAIAA9AEwAQQBNAEIARABBACgAXAAiAFwAIgApADsAXABuAFwAbgBDAG8AbQBtAG8AbgBfAFMAbwB1AHIAYwBlAEQAYQB0AGEAXwBXAGUAdABBAG4AZABEAHIAeQBaAG8AbgBlAHMAXwBTAG8AdQByAGMAZQBcAG4AIAAgAD0ATABBAE0AQgBEAEEAKABcACIAVgBFAEUAUgBHACAAMgAwADIANgA6ACAAVABhAGIAbABlACAAMQAuADIAOgAgAFQAcgBhAG4AcwBsAGEAdABpAG4AZwAgAGMAbABpAG0AYQB0AGUAIAB6AG8AbgBlAHMAIAB0AG8AIAB3AGUAdAAgAGEAbgBkACAAZAByAHkAIAB6AG8AbgBlAHMAXAAiACkAOwBcAG4AXABuAEMAbwBtAG0AbwBuAF8AUwBvAHUAcgBjAGUARABhAHQAYQBfAFcAZQB0AEEAbgBkAEQAcgB5AFoAbwBuAGUAcwBfAFYAYQByAGkAYQB0AGkAbwBuAFwAbgAgACAAIAA9AEwAQQBNAEIARABBACgAXABuACAAIAAgACAATQBBAEsARQBBAFIAUgBBAFkAKAAzACwAIAAxACwAIABcAG4AIAAgACAAIAAgACAATABBAE0AQgBEAEEAKAByACwAYwAsACAAXABuACAAIAAgACAAIAAgACAAIABJAE4ARABFAFgAKAB7AFwAbgAgACAAIAAgACAAIAAgACAAIAAgAFwAIgBWAEEAUgBJAEEAVABJAE8ATgAgAE8ARgAgAFMATwBVAFIAQwBFACAARABBAFQAQQA6AFwAIgA7AFwAbgAgACAAIAAgACAAIAAgACAAIAAgAFwAIgBBAGQAZABlAGQAIAB3AGEAcgBtACAALwAgAGMAbwBvAGwAIAB0AGUAbQBwAGUAcgBhAHQAZQAgAG0AbwBpAHMAdAAgAC8AIABkAHIAeQAgAC0AIABsAG8AdwAgAGYAcgBvAHMAdAAgAGEAbgBkACAAaABpAGcAaAAgAHQAZQBtAHAAIABjAGwAYQBzAHMAZQBzACAAdABvACAAYQBjAGMAbwBtAG0AbwBkAGEAdABlACAAYwBsAGkAbQBhAHQAZQAgAHMAYwBlAG4AYQByAGkAbwBzACAAZQB4AGMAbAB1AGQAZQBkACAAYgB5ACAAVgBFAEUAUgBHACAAYwByAGkAdABlAHIAaQBhAC4AXAAiADsAXABuACAAIAAgACAAIAAgACAAIAAgACAAXAAiAEYAaQB4AGUAZAAgAHQAeQBwAG8AIAAtACAAQwBoAGEAbgBnAGUAZAAgAFwAdQAwADAAMgA3AEYAcgB5AFwAdQAwADAAMgA3ACAAdABvACAAXAB1ADAAMAAyADcARAByAHkAXAB1ADAAMAAyADcALgBcACIAXABuACAAIAAgACAAIAAgACAAIAB9ACwAIAByACwAIABjACkAXABuACAAIAAgACAAIAAgACkAXABuACAAIAAgACAAKQBcAG4AIAAgACkAOwBcAG4AXABuAEMAbwBtAG0AbwBuAF8AUwBvAHUAcgBjAGUARABhAHQAYQBfAFcAZQB0AEEAbgBkAEQAcgB5AFoAbwBuAGUAcwBfAEQAYQB0AGEAXABuACAAIAAgAD0ATABBAE0AQgBEAEEAKABcAG4AIAAgACAAIABNAEEASwBFAEEAUgBSAEEAWQAoADEANQAsACAAMgAsACAAXABuACAAIAAgACAAIAAgAEwAQQBNAEIARABBACgAcgAsAGMALAAgAFwAbgAgACAAIAAgACAAIAAgACAASQBOAEQARQBYACgAewBcAG4AIAAgACAAIAAgACAAIAAgACAAIABcACIAQwBsAGkAbQBhAHQAZQAgAFoAbwBuAGUAXAAiACwAIABcACIAVwBlAHQAIABvAHIAIABEAHIAeQAgAFoAbwBuAGUAXAAiADsAXABuACAAIAAgACAAIAAgACAAIAAgACAAXAAiAFQAcgBvAHAAaQBjAGEAbAAgAG0AbwBuAHQAYQBuAGUAXAAiACwAIABcACIAVwBlAHQAIABjAGwAaQBtAGEAdABlACAAegBvAG4AZQBcACIAOwBcAG4AIAAgACAAIAAgACAAIAAgACAAIABcACIAVAByAG8AcABpAGMAYQBsACAAdwBlAHQAXAAiACwAIABcACIAVwBlAHQAIABjAGwAaQBtAGEAdABlACAAegBvAG4AZQBcACIAOwBcAG4AIAAgACAAIAAgACAAIAAgACAAIABcACIAVAByAG8AcABpAGMAYQBsACAAbQBvAGkAcwB0AFwAIgAsACAAXAAiAFcAZQB0ACAAYwBsAGkAbQBhAHQAZQAgAHoAbwBuAGUAXAAiADsAXABuACAAIAAgACAAIAAgACAAIAAgACAAXAAiAFQAcgBvAHAAaQBjAGEAbAAgAGQAcgB5AFwAIgAsACAAXAAiAEQAcgB5ACAAYwBsAGkAbQBhAHQAZQAgAHoAbwBuAGUAXAAiADsAXABuACAAIAAgACAAIAAgACAAIAAgACAAXAAiAFcAYQByAG0AIAB0AGUAbQBwAGUAcgBhAHQAZQAgAG0AbwBpAHMAdABcACIALAAgAFwAIgBXAGUAdAAgAGMAbABpAG0AYQB0AGUAIAB6AG8AbgBlAFwAIgA7AFwAbgAgACAAIAAgACAAIAAgACAAIAAgAFwAIgBXAGEAcgBtACAAdABlAG0AcABlAHIAYQB0AGUAIABkAHIAeQBcACIALAAgAFwAIgBEAHIAeQAgAGMAbABpAG0AYQB0AGUAIAB6AG8AbgBlAFwAIgA7AFwAbgAgACAAIAAgACAAIAAgACAAIAAgAFwAIgBDAG8AbwBsACAAdABlAG0AcABlAHIAYQB0AGUAIABtAG8AaQBzAHQAXAAiACwAIABcACIAVwBlAHQAIABjAGwAaQBtAGEAdABlACAAegBvAG4AZQBcACIAOwBcAG4AIAAgACAAIAAgACAAIAAgACAAIABcACIAQwBvAG8AbAAgAHQAZQBtAHAAZQByAGEAdABlACAAZAByAHkAXAAiACwAIABcACIARAByAHkAIABjAGwAaQBtAGEAdABlACAAegBvAG4AZQBcACIAOwBcAG4AIAAgACAAIAAgACAAIAAgACAAIABcACIAVwBhAHIAbQAgAHQAZQBtAHAAZQByAGEAdABlACAAbQBvAGkAcwB0ACAALQAgAGwAbwB3ACAAZgByAG8AcwB0AFwAIgAsACAAXAAiAFcAZQB0ACAAYwBsAGkAbQBhAHQAZQAgAHoAbwBuAGUAXAAiADsAXABuACAAIAAgACAAIAAgACAAIAAgACAAXAAiAFcAYQByAG0AIAB0AGUAbQBwAGUAcgBhAHQAZQAgAGQAcgB5ACAALQAgAGwAbwB3ACAAZgByAG8AcwB0AFwAIgAsACAAXAAiAEQAcgB5ACAAYwBsAGkAbQBhAHQAZQAgAHoAbwBuAGUAXAAiADsAXABuACAAIAAgACAAIAAgACAAIAAgACAAXAAiAFcAYQByAG0AIAB0AGUAbQBwAGUAcgBhAHQAZQAgAG0AbwBpAHMAdAAgAC0AIABoAGkAZwBoACAAdABlAG0AcABcACIALAAgAFwAIgBXAGUAdAAgAGMAbABpAG0AYQB0AGUAIAB6AG8AbgBlAFwAIgA7AFwAbgAgACAAIAAgACAAIAAgACAAIAAgAFwAIgBXAGEAcgBtACAAdABlAG0AcABlAHIAYQB0AGUAIABkAHIAeQAgAC0AIABoAGkAZwBoACAAdABlAG0AcABcACIALAAgAFwAIgBEAHIAeQAgAGMAbABpAG0AYQB0AGUAIAB6AG8AbgBlAFwAIgA7AFwAbgAgACAAIAAgACAAIAAgACAAIAAgAFwAIgBDAG8AbwBsACAAdABlAG0AcABlAHIAYQB0AGUAIABtAG8AaQBzAHQAIAAtACAAbABvAHcAIABmAHIAbwBzAHQAXAAiACwAIABcACIAVwBlAHQAIABjAGwAaQBtAGEAdABlACAAegBvAG4AZQBcACIAOwBcAG4AIAAgACAAIAAgACAAIAAgACAAIABcACIAQwBvAG8AbAAgAHQAZQBtAHAAZQByAGEAdABlACAAZAByAHkAIAAtACAAbABvAHcAIABmAHIAbwBzAHQAXAAiACwAIABcACIARAByAHkAIABjAGwAaQBtAGEAdABlACAAegBvAG4AZQBcACIAXABuACAAIAAgACAAIAAgACAAIAB9ACwAIAByACwAIABjACkAXABuACAAIAAgACAAIAAgACkAXABuACAAIAAgACAAKQBcAG4AIAAgACkAOwBcAG4AXABuAC8AKgAgAFwAbgAtAC0ALQAtAC0ALQAtAC0ALQAtAC0ALQAtAC0ALQAtAC0ALQAtAC0ALQAtAC0ALQAtAC0ALQAtAC0ALQAtAC0ALQAtAC0ALQAtAC0AXABuAEMAbwBtAG0AbwBuAF8AUwBvAHUAcgBjAGUARABhAHQAYQBfAEMAbABpAG0AYQB0AGUAWgBvAG4AZQBzAFwAbgAtAC0ALQAtAC0ALQAtAC0ALQAtAC0ALQAtAC0ALQAtAC0ALQAtAC0ALQAtAC0ALQAtAC0ALQAtAC0ALQAtAC0ALQAtAC0ALQAtAC0AXABuACoALwBcAG4AXABuAEMAbwBtAG0AbwBuAF8AUwBvAHUAcgBjAGUARABhAHQAYQBfAEMAbABpAG0AYQB0AGUAWgBvAG4AZQBzAF8AVABpAHQAbABlAFwAbgAgACAAPQBMAEEATQBCAEQAQQAoAFwAIgBWAEUARQBSAEcAIABBAHUAcwB0AHIAYQBsAGkAYQBuACAAYwBsAGkAbQBhAHQAZQAgAHoAbwBuAGUAcwBcACIAKQA7AFwAbgBcAG4AQwBvAG0AbQBvAG4AXwBTAG8AdQByAGMAZQBEAGEAdABhAF8AQwBsAGkAbQBhAHQAZQBaAG8AbgBlAHMAXwBWAGEAcgBpAGEAYgBsAGUAXABuACAAIAA9AEwAQQBNAEIARABBACgAXAAiAFwAIgApADsAXABuAFwAbgBDAG8AbQBtAG8AbgBfAFMAbwB1AHIAYwBlAEQAYQB0AGEAXwBDAGwAaQBtAGEAdABlAFoAbwBuAGUAcwBfAFUAbgBpAHQAXABuACAAIAA9AEwAQQBNAEIARABBACgAXAAiAFwAIgApADsAXABuAFwAbgBDAG8AbQBtAG8AbgBfAFMAbwB1AHIAYwBlAEQAYQB0AGEAXwBDAGwAaQBtAGEAdABlAFoAbwBuAGUAcwBfAFMAbwB1AHIAYwBlAFwAbgAgACAAPQBMAEEATQBCAEQAQQAoAFwAIgBWAEUARQBSAEcAIAAyADAAMgA2ADoAIABUAGEAYgBsAGUAIAAxAC4AMwA6ACAAQwBsAGkAbQBhAHQAZQAgAGEAbgBkACAAUgBhAGkAbgBmAGEAbABsACAAegBvAG4AZQAgAGMAbABhAHMAcwBpAGYAaQBjAGEAdABpAG8AbgBzACAAYQBuAGQAIABkAGUAZgBpAG4AaQB0AGkAbwBuAHMAXAAiACkAOwBcAG4AXABuAEMAbwBtAG0AbwBuAF8AUwBvAHUAcgBjAGUARABhAHQAYQBfAEMAbABpAG0AYQB0AGUAWgBvAG4AZQBzAF8AVgBhAHIAaQBhAHQAaQBvAG4AXABuACAAIAAgAD0ATABBAE0AQgBEAEEAKABcAG4AIAAgACAAIABNAEEASwBFAEEAUgBSAEEAWQAoADUALAAgADEALAAgAFwAbgAgACAAIAAgACAAIABMAEEATQBCAEQAQQAoAHIALABjACwAIABcAG4AIAAgACAAIAAgACAAIAAgAEkATgBEAEUAWAAoAHsAXABuACAAIAAgACAAIAAgACAAIAAgACAAXAAiAFYAQQBSAEkAQQBUAEkATwBOACAATwBGACAAUwBPAFUAUgBDAEUAIABEAEEAVABBADoAXAAiADsAXABuACAAIAAgACAAIAAgACAAIAAgACAAXAAiAEEAZABkAGUAZAAgAHcAYQByAG0AIAAvACAAYwBvAG8AbAAgAHQAZQBtAHAAZQByAGEAdABlACAAbQBvAGkAcwB0ACAALwAgAGQAcgB5ACAALQAgAGwAbwB3ACAAZgByAG8AcwB0ACAAYQBuAGQAIABoAGkAZwBoACAAdABlAG0AcAAgAGMAbABhAHMAcwBlAHMAIAB0AG8AIABhAGMAYwBvAG0AbQBvAGQAYQB0AGUAIABjAGwAaQBtAGEAdABlACAAcwBjAGUAbgBhAHIAaQBvAHMAIABlAHgAYwBsAHUAZABlAGQAIABiAHkAIABWAEUARQBSAEcAIABjAHIAaQB0AGUAcgBpAGEALgBcACIAOwBcAG4AIAAgACAAIAAgACAAIAAgACAAIABcACIARgBpAHgAZQBkACAAdAB5AHAAbwAgAGkAbgAgAE0AQQBUACAAdgBhAGwAdQBlACAAZgBvAHIAIAB3AGEAcgBtACAAdABlAG0AcABlAHIAYQB0AGUAIABkAHIAeQAgAC0AIABjAGgAYQBuAGcAZQBkACAAMQAwACAAdABvACAAMQAxAC4AXAAiADsAXABuACAAIAAgACAAIAAgACAAIAAgACAAXAAiAEEAZABkAGUAZAAgAG0AaQBuACAAYQBuAGQAIABtAGEAeAAgAGMAbwBsAHUAbQBuAHMAIABmAG8AcgAgAE0AQQBUACwAIABNAEEAUAAsACAAZgByAG8AcwB0ACAAZABhAHkAcwAgAHAAZQByACAAeQBlAGEAcgAsACAAZQBsAGUAdgBhAHQAaQBvAG4ALAAgAE0AQQBQADoAUABFAFQAIAB0AG8AIABjAGEAbABjAHUAbABhAHQAZQAgAHoAbwBuAGUAcwAgAGYAcgBvAG0AIAByAGUAYQBsACAAYwBsAGkAbQBhAHQAZQAgAGQAYQB0AGEALgBcACIAOwBcAG4AIAAgACAAIAAgACAAIAAgACAAIABcACIARwBBAEYAIABhAGMAYwBlAHAAdABzACAAcgBhAGkAbgBmAGEAbABsACAAYQBzACAAYQAgAHAAcgBvAHgAeQAgAGYAbwByACAAcAByAGUAYwBpAHAAaQB0AGEAdABpAG8AbgAuAFwAIgBcAG4AIAAgACAAIAAgACAAIAAgAH0ALAAgAHIALAAgAGMAKQBcAG4AIAAgACAAIAAgACAAKQBcAG4AIAAgACAAIAApAFwAbgAgACAAKQA7AFwAbgBcAG4AQwBvAG0AbQBvAG4AXwBTAG8AdQByAGMAZQBEAGEAdABhAF8AQwBsAGkAbQBhAHQAZQBaAG8AbgBlAHMAXwBEAGEAdABhAFwAbgAgACAAIAA9AEwAQQBNAEIARABBACgAXABuACAAIAAgACAATQBBAEsARQBBAFIAUgBBAFkAKAA5ACwAIAAxADYALAAgAFwAbgAgACAAIAAgACAAIABMAEEATQBCAEQAQQAoAHIALABjACwAIABcAG4AIAAgACAAIAAgACAAIAAgAEkATgBEAEUAWAAoAHsAXABuACAAIAAgACAAIAAgACAAIAAgACAAXAAiAEMAbABpAG0AYQB0AGUAIABaAG8AbgBlAFwAIgAsACAAXAAiAE0AQQBUAFwAIgAsACAAXAAiAE0AQQBQAFwAIgAsACAAXAAiAEYAcgBvAHMAdAAgAGQAYQB5AHMAIABwAGUAcgAgAHkAZQBhAHIAXAAiACwAIABcACIARQBsAGUAdgBhAHQAaQBvAG4AXAAiACwAIABcACIATQBBAFAAOgBQAEUAVABcACIALAAgAFwAIgBNAGkAbgAgAHQAZQBtAHAAXAAiACwAIABcACIATQBhAHgAIAB0AGUAbQBwAFwAIgAsACAAXAAiAE0AaQBuACAAcgBhAGkAbgBmAGEAbABsAFwAIgAsACAAXAAiAE0AYQB4ACAAcgBhAGkAbgBmAGEAbABsAFwAIgAsACAAXAAiAE0AaQBuACAAZgByAG8AcwB0ACAAZABhAHkAcwBcACIALAAgAFwAIgBNAGEAeAAgAGYAcgBvAHMAdAAgAGQAYQB5AHMAXAAiACwAIABcACIATQBpAG4AIABlAGwAZQB2AGEAdABpAG8AbgBcACIALAAgAFwAIgBNAGEAeAAgAGUAbABlAHYAYQB0AGkAbwBuAFwAIgAsACAAXAAiAE0AaQBuACAATQBBAFAAOgBQAEUAVABcACIALAAgAFwAIgBNAGkAbgAgAE0AQQBQADoAUABFAFQAXAAiADsAXABuACAAIAAgACAAIAAgACAAIAAgACAAXAAiAFQAcgBvAHAAaQBjAGEAbAAgAG0AbwBuAHQAYQBuAGUAXAAiACwAIABcACIAXAB1ADAAMAAzAGUAIAAxADgAIABDAFwAIgAsACAAXAAiAEEAbgB5AFwAIgAsACAAXAAiAGQiIAA3AFwAIgAsACAAXAAiAFwAdQAwADAAMwBlACAAMQAwADAAMAAgAG0AXAAiACwAIABcACIAQQBuAHkAXAAiACwAIAAxADgALgAwADAAMQAsACAAOQA5ADkAOQA5ADkALAAgAC0AOQA5ADkAOQA5ADkALAAgADkAOQA5ADkAOQA5ACwAIAAtADkAOQA5ADkAOQA5ACwAIAA3ACwAIAAxADAAMAAwACwAIAA5ADkAOQA5ADkAOQAsACAALQA5ADkAOQA5ADkAOQAsACAAOQA5ADkAOQA5ADkAOwBcAG4AIAAgACAAIAAgACAAIAAgACAAIABcACIAVAByAG8AcABpAGMAYQBsACAAdwBlAHQAXAAiACwAIABcACIAXAB1ADAAMAAzAGUAIAAxADgAIABDAFwAIgAsACAAXAAiAFwAdQAwADAAMwBlACAAMgAwADAAMAAgAG0AbQBcACIALAAgAFwAIgBkIiAANwBcACIALAAgAFwAIgBkIiAAMQAwADAAMAAgAG0AXAAiACwAIABcACIAQQBuAHkAXAAiACwAIAAxADgALgAwADAAMQAsACAAOQA5ADkAOQA5ADkALAAgADIAMAAwADAALgAwADAAMQAsACAAOQA5ADkAOQA5ADkALAAgAC0AOQA5ADkAOQA5ADkALAAgADcALAAgAC0AOQA5ADkAOQA5ADkALAAgADkAOQA5AC4AOQA5ADkALAAgACAALQA5ADkAOQA5ADkAOQAsACAAOQA5ADkAOQA5ADkAOwBcAG4AIAAgACAAIAAgACAAIAAgACAAIABcACIAVAByAG8AcABpAGMAYQBsACAAbQBvAGkAcwB0AFwAIgAsACAAXAAiAFwAdQAwADAAMwBlACAAMQA4ACAAQwBcACIALAAgAFwAIgBcAHUAMAAwADMAZQAgADEAMAAwADAAIABtAG0AIAAtACAAZCIgADIAMAAwADAAIABtAG0AXAAiACwAIABcACIAZCIgADcAXAAiACwAIABcACIAZCIgADEAMAAwADAAIABtAFwAIgAsACAAXAAiAEEAbgB5AFwAIgAsACAAMQA4AC4AMAAwADEALAAgADkAOQA5ADkAOQA5ACwAIAAxADAAMAAwAC4AMAAwADEALAAgADIAMAAwADAALAAgAC0AOQA5ADkAOQA5ADkALAAgADcALAAgAC0AOQA5ADkAOQA5ADkALAAgADkAOQA5AC4AOQA5ADkALAAgACAALQA5ADkAOQA5ADkAOQAsACAAOQA5ADkAOQA5ADkAOwBcAG4AIAAgACAAIAAgACAAIAAgACAAIABcACIAVAByAG8AcABpAGMAYQBsACAAZAByAHkAXAAiACwAIABcACIAXAB1ADAAMAAzAGUAIAAxADgAIABDAFwAIgAsACAAXAAiAGQiIAAxADAAMAAwACAAbQBtAFwAIgAsACAAXAAiAGQiIAA3AFwAIgAsACAAXAAiAGQiIAAxADAAMAAwACAAbQBcACIALAAgAFwAIgBBAG4AeQBcACIALAAgADEAOAAuADAAMAAxACwAIAA5ADkAOQA5ADkAOQAsACAALQA5ADkAOQA5ADkAOQAsACAAMQAwADAAMAAsACAALQA5ADkAOQA5ADkAOQAsACAANwAsACAALQA5ADkAOQA5ADkAOQAsACAAOQA5ADkALgA5ADkAOQAsACAAIAAtADkAOQA5ADkAOQA5ACwAIAA5ADkAOQA5ADkAOQA7AFwAbgAgACAAIAAgACAAIAAgACAAIAAgAFwAIgBXAGEAcgBtACAAdABlAG0AcABlAHIAYQB0AGUAIABtAG8AaQBzAHQAXAAiACwAIABcACIAXAB1ADAAMAAzAGUAIAAxADAAIABDAFwAIgAsACAAXAAiAEEAbgB5AFwAIgAsACAAXAAiAEEAbgB5AFwAIgAsACAAXAAiAEEAbgB5AFwAIgAsACAAXAAiAFwAdQAwADAAMwBlACAAMQBcACIALAAgADEAMAAuADAAMAAxACwAIAA5ADkAOQA5ADkAOQAsACAALQA5ADkAOQA5ADkAOQAsACAAOQA5ADkAOQA5ADkALAAgAC0AOQA5ADkAOQA5ADkALAAgADkAOQA5ADkAOQA5ACwAIAAtADkAOQA5ADkAOQA5ACwAIAA5ADkAOQA5ADkAOQAsACAAMQAuADAAMAAxACwAIAA5ADkAOQA5ADkAOQA7AFwAbgAgACAAIAAgACAAIAAgACAAIAAgAFwAIgBXAGEAcgBtACAAdABlAG0AcABlAHIAYQB0AGUAIABkAHIAeQBcACIALAAgAFwAIgBcAHUAMAAwADMAZQAgADEAMAAgAEMAXAAiACwAIABcACIAQQBuAHkAXAAiACwAIABcACIAQQBuAHkAXAAiACwAIABcACIAQQBuAHkAXAAiACwAIABcACIAZCIgADEAXAAiACwAIAAxADAALgAwADAAMQAsACAAOQA5ADkAOQA5ADkALAAgAC0AOQA5ADkAOQA5ADkALAAgADkAOQA5ADkAOQA5ACwAIAAtADkAOQA5ADkAOQA5ACwAIAA5ADkAOQA5ADkAOQAsACAALQA5ADkAOQA5ADkAOQAsACAAOQA5ADkAOQA5ADkALAAgACAALQA5ADkAOQA5ADkAOQAsACAAMQA7AFwAbgAgACAAIAAgACAAIAAgACAAIAAgAFwAIgBDAG8AbwBsACAAdABlAG0AcABlAHIAYQB0AGUAIABtAG8AaQBzAHQAXAAiACwAIABcACIAXAB1ADAAMAAzAGUAIAAwACAAQwAgAC0AIABkIiAAMQAwACAAQwBcACIALAAgAFwAIgBBAG4AeQBcACIALAAgAFwAIgBBAG4AeQBcACIALAAgAFwAIgBBAG4AeQBcACIALAAgAFwAIgBcAHUAMAAwADMAZQAgADEAXAAiACwAIAAtADkAOQA5ADkAOQA5ACwAIAAxADAALAAgAC0AOQA5ADkAOQA5ADkALAAgADkAOQA5ADkAOQA5ACwAIAAtADkAOQA5ADkAOQA5ACwAIAA5ADkAOQA5ADkAOQAsACAALQA5ADkAOQA5ADkAOQAsACAAOQA5ADkAOQA5ADkALAAgADEALgAwADAAMQAsACAAOQA5ADkAOQA5ADkAOwBcAG4AIAAgACAAIAAgACAAIAAgACAAIABcACIAQwBvAG8AbAAgAHQAZQBtAHAAZQByAGEAdABlACAAZAByAHkAXAAiACwAIABcACIAXAB1ADAAMAAzAGUAIAAwACAAQwAgAC0AIABkIiAAMQAwACAAQwBcACIALAAgAFwAIgBBAG4AeQBcACIALAAgAFwAIgBBAG4AeQBcACIALAAgAFwAIgBBAG4AeQBcACIALAAgAFwAIgBkIiAAMQBcACIALAAgAC0AOQA5ADkAOQA5ADkALAAgADEAMAAsACAALQA5ADkAOQA5ADkAOQAsACAAOQA5ADkAOQA5ADkALAAgAC0AOQA5ADkAOQA5ADkALAAgADkAOQA5ADkAOQA5ACwAIAAtADkAOQA5ADkAOQA5ACwAIAA5ADkAOQA5ADkAOQAsACAAIAAtADkAOQA5ADkAOQA5ACwAIAAxAFwAbgAgACAAIAAgACAAIAAgACAAfQAsACAAcgAsACAAYwApAFwAbgAgACAAIAAgACAAIAApAFwAbgAgACAAIAAgACkAXABuACAAIAApADsAXABuAFwAbgBDAG8AbQBtAG8AbgBfAFMAbwB1AHIAYwBlAEQAYQB0AGEAXwBDAGwAaQBtAGEAdABlAFoAbwBuAGUAcwBfAEEAcABwAGUAbgBkAGkAYwBlAHMAXABuACAAIAAgAD0ATABBAE0AQgBEAEEAKABcAG4AIAAgACAAIABNAEEASwBFAEEAUgBSAEEAWQAoADQALAAgADEALAAgAFwAbgAgACAAIAAgACAAIABMAEEATQBCAEQAQQAoAHIALABjACwAIABcAG4AIAAgACAAIAAgACAAIAAgAEkATgBEAEUAWAAoAHsAXABuACAAIAAgACAAIAAgACAAIAAgACAAXAAiAE4AbwB0AGUAOgBcACIAOwBcAG4AIAAgACAAIAAgACAAIAAgACAAIABcACIATQBBAFQAIAA9ACAAbQBlAGEAbgAgAGEAbgBuAHUAYQBsACAAdABlAG0AcABlAHIAYQB0AHUAcgBlAFwAIgA7AFwAbgAgACAAIAAgACAAIAAgACAAIAAgAFwAIgBNAEEAUAAgAD0AIABtAGUAYQBuACAAYQBuAG4AdQBhAGwAIABwAHIAZQBjAGkAcABpAHQAYQB0AGkAbwBuAFwAIgA7AFwAbgAgACAAIAAgACAAIAAgACAAIAAgAFwAIgBQAEUAVAAgAD0AIABwAG8AdABlAG4AdABpAGEAbAAgAGUAdgBhAHAAbwB0AHIAYQBuAHMAcABpAHIAYQB0AGkAbwBuAFwAIgBcAG4AIAAgACAAIAAgACAAIAAgAH0ALAAgAHIALAAgAGMAKQBcAG4AIAAgACAAIAAgACAAKQBcAG4AIAAgACAAIAApAFwAbgAgACAAKQA7AFwAbgBcAG4AXABuAC8AKgAgAFwAbgAtAC0ALQAtAC0ALQAtAC0ALQAtAC0ALQAtAC0ALQAtAC0ALQAtAC0ALQAtAC0ALQAtAC0ALQAtAC0ALQAtAC0ALQAtAC0ALQAtAC0AXABuAEMAbwBtAG0AbwBuAF8AUwBvAHUAcgBjAGUARABhAHQAYQBfAFQAZQBtAHAAZQByAGEAdAB1AHIAZQBaAG8AbgBlAHMAXABuAC0ALQAtAC0ALQAtAC0ALQAtAC0ALQAtAC0ALQAtAC0ALQAtAC0ALQAtAC0ALQAtAC0ALQAtAC0ALQAtAC0ALQAtAC0ALQAtAC0ALQBcAG4AKgAvAFwAbgBcAG4AQwBvAG0AbQBvAG4AXwBTAG8AdQByAGMAZQBEAGEAdABhAF8AVABlAG0AcABlAHIAYQB0AHUAcgBlAFoAbwBuAGUAcwBfAFQAaQB0AGwAZQBcAG4AIAAgAD0ATABBAE0AQgBEAEEAKABcACIAVgBFAEUAUgBHACAAQQB1AHMAdAByAGEAbABpAGEAbgAgAHQAZQBtAHAAZQByAGEAdAB1AHIAZQAgAHoAbwBuAGUAcwBcACIAKQA7AFwAbgBcAG4AQwBvAG0AbQBvAG4AXwBTAG8AdQByAGMAZQBEAGEAdABhAF8AVABlAG0AcABlAHIAYQB0AHUAcgBlAFoAbwBuAGUAcwBfAFYAYQByAGkAYQBiAGwAZQBcAG4AIAAgAD0ATABBAE0AQgBEAEEAKABcACIAXAAiACkAOwBcAG4AXABuAEMAbwBtAG0AbwBuAF8AUwBvAHUAcgBjAGUARABhAHQAYQBfAFQAZQBtAHAAZQByAGEAdAB1AHIAZQBaAG8AbgBlAHMAXwBVAG4AaQB0AFwAbgAgACAAPQBMAEEATQBCAEQAQQAoAFwAIgBcACIAKQA7AFwAbgBcAG4AQwBvAG0AbQBvAG4AXwBTAG8AdQByAGMAZQBEAGEAdABhAF8AVABlAG0AcABlAHIAYQB0AHUAcgBlAFoAbwBuAGUAcwBfAFMAbwB1AHIAYwBlAFwAbgAgACAAPQBMAEEATQBCAEQAQQAoAFwAIgBWAEUARQBSAEcAIAAyADAAMgA2ADoAIABUAGEAYgBsAGUAIAAxAC4AMwA6ACAAQwBsAGkAbQBhAHQAZQAgAGEAbgBkACAAUgBhAGkAbgBmAGEAbABsACAAegBvAG4AZQAgAGMAbABhAHMAcwBpAGYAaQBjAGEAdABpAG8AbgBzACAAYQBuAGQAIABkAGUAZgBpAG4AaQB0AGkAbwBuAHMAXAAiACkAOwBcAG4AXABuAEMAbwBtAG0AbwBuAF8AUwBvAHUAcgBjAGUARABhAHQAYQBfAFQAZQBtAHAAZQByAGEAdAB1AHIAZQBaAG8AbgBlAHMAXwBWAGEAcgBpAGEAdABpAG8AbgBcAG4AIAAgAD0ATABBAE0AQgBEAEEAKABcACIAVgBBAFIASQBBAFQASQBPAE4AIABPAEYAIABTAE8AVQBSAEMARQAgAEQAQQBUAEEAOgAgAEEAZABkAGUAZAAgAGUAeAB0AHIAYQAgAE0AQQBUACAAbQBpAG4AIABhAG4AZAAgAE0AQQBUACAAbQBhAHgAIABjAG8AbAB1AG0AbgBzACAAdABvACAAYwBhAGwAYwB1AGwAYQB0AGUAIAB6AG8AbgBlACAAZgByAG8AbQAgAHIAZQBhAGwAIAB0AGUAbQBwAGUAcgBhAHQAdQByAGUAIABkAGEAdABhAC4AXAAiACkAOwBcAG4AXABuAEMAbwBtAG0AbwBuAF8AUwBvAHUAcgBjAGUARABhAHQAYQBfAFQAZQBtAHAAZQByAGEAdAB1AHIAZQBaAG8AbgBlAHMAXwBEAGEAdABhAFwAbgAgACAAIAA9AEwAQQBNAEIARABBACgAXABuACAAIAAgACAATQBBAEsARQBBAFIAUgBBAFkAKAA0ACwAIAA0ACwAIABcAG4AIAAgACAAIAAgACAATABBAE0AQgBEAEEAKAByACwAYwAsACAAXABuACAAIAAgACAAIAAgACAAIABJAE4ARABFAFgAKAB7AFwAbgAgACAAIAAgACAAIAAgACAAIAAgAFwAIgBUAGUAbQBwAGUAcgBhAHQAdQByAGUAIABaAG8AbgBlAFwAIgAsACAAXAAiAE0AZQBkAGkAYQBuACAAQQBuAG4AdQBhAGwAIABUAGUAbQBwAGUAcgBhAHQAdQByAGUAIAAoAE0AQQBUACkAXAAiACwAIABcACIATQBpAG4AIABNAEEAVABcACIALAAgAFwAIgBNAGEAeAAgAE0AQQBUAFwAIgA7AFwAbgAgACAAIAAgACAAIAAgACAAIAAgAFwAIgBXAGEAcgBtAFwAIgAsACAAXAAiAGUiIAAyADYAIABDAFwAIgAsACAAMgA2ACwAIAA5ADkAOQA5ADkAOQA7AFwAbgAgACAAIAAgACAAIAAgACAAIAAgAFwAIgBUAGUAbQBwAGUAcgBhAHQAZQBcACIALAAgAFwAIgAxADUAIAAtACAAMgA1ACAAQwBcACIALAAgADEANQAsACAAMgA1AC4AOQA5ADkAOwBcAG4AIAAgACAAIAAgACAAIAAgACAAIABcACIAQwBvAG8AbABcACIALAAgAFwAIgBkIiAAMQA0ACAAQwBcACIALAAgAC0AOQA5ADkAOQA5ADkALAAgADEANAAuADkAOQA5AFwAbgAgACAAIAAgACAAIAAgACAAfQAsACAAcgAsACAAYwApAFwAbgAgACAAIAAgACAAIAApAFwAbgAgACAAIAAgACkAXABuACAAIAApADsAXABuAFwAbgAvACoAIABcAG4ALQAtAC0ALQAtAC0ALQAtAC0ALQAtAC0ALQAtAC0ALQAtAC0ALQAtAC0ALQAtAC0ALQAtAC0ALQAtAC0ALQAtAC0ALQAtAC0ALQAtAFwAbgBDAG8AbQBtAG8AbgBfAFMAbwB1AHIAYwBlAEQAYQB0AGEAXwBSAGEAaQBuAGYAYQBsAGwAWgBvAG4AZQBzAFwAbgAtAC0ALQAtAC0ALQAtAC0ALQAtAC0ALQAtAC0ALQAtAC0ALQAtAC0ALQAtAC0ALQAtAC0ALQAtAC0ALQAtAC0ALQAtAC0ALQAtAC0AXABuACoALwBcAG4AXABuAEMAbwBtAG0AbwBuAF8AUwBvAHUAcgBjAGUARABhAHQAYQBfAFIAYQBpAG4AZgBhAGwAbABaAG8AbgBlAHMAXwBUAGkAdABsAGUAXABuACAAIAA9AEwAQQBNAEIARABBACgAXAAiAFYARQBFAFIARwAgAEEAdQBzAHQAcgBhAGwAaQBhAG4AIAByAGEAaQBuAGYAYQBsAGwAIAB6AG8AbgBlAHMAXAAiACkAOwBcAG4AXABuAEMAbwBtAG0AbwBuAF8AUwBvAHUAcgBjAGUARABhAHQAYQBfAFIAYQBpAG4AZgBhAGwAbABaAG8AbgBlAHMAXwBWAGEAcgBpAGEAYgBsAGUAXABuACAAIAA9AEwAQQBNAEIARABBACgAXAAiAFwAIgApADsAXABuAFwAbgBDAG8AbQBtAG8AbgBfAFMAbwB1AHIAYwBlAEQAYQB0AGEAXwBSAGEAaQBuAGYAYQBsAGwAWgBvAG4AZQBzAF8AVQBuAGkAdABcAG4AIAAgAD0ATABBAE0AQgBEAEEAKABcACIAXAAiACkAOwBcAG4AXABuAEMAbwBtAG0AbwBuAF8AUwBvAHUAcgBjAGUARABhAHQAYQBfAFIAYQBpAG4AZgBhAGwAbABaAG8AbgBlAHMAXwBTAG8AdQByAGMAZQBcAG4AIAAgAD0ATABBAE0AQgBEAEEAKABcACIAVgBFAEUAUgBHACAAMgAwADIANgA6ACAAVABhAGIAbABlACAAMQAuADMAOgAgAEMAbABpAG0AYQB0AGUAIABhAG4AZAAgAFIAYQBpAG4AZgBhAGwAbAAgAHoAbwBuAGUAIABjAGwAYQBzAHMAaQBmAGkAYwBhAHQAaQBvAG4AcwAgAGEAbgBkACAAZABlAGYAaQBuAGkAdABpAG8AbgBzAFwAIgApADsAXABuAFwAbgBDAG8AbQBtAG8AbgBfAFMAbwB1AHIAYwBlAEQAYQB0AGEAXwBSAGEAaQBuAGYAYQBsAGwAWgBvAG4AZQBzAF8AVgBhAHIAaQBhAHQAaQBvAG4AXABuACAAIAA9AEwAQQBNAEIARABBACgAXAAiAFYAQQBSAEkAQQBUAEkATwBOACAATwBGACAAUwBPAFUAUgBDAEUAIABEAEEAVABBADoAIABBAGQAZABlAGQAIABlAHgAdAByAGEAIABSAGEAaQBuAGYAYQBsAGwAIABtAGkAbgAgAGEAbgBkACAAUgBhAGkAbgBmAGEAbABsACAAbQBhAHgAIABjAG8AbAB1AG0AbgBzACAAdABvACAAYwBhAGwAYwB1AGwAYQB0AGUAIAB6AG8AbgBlACAAZgByAG8AbQAgAHIAZQBhAGwAIAByAGEAaQBuAGYAYQBsAGwAIABkAGEAdABhAC4AXAAiACkAOwBcAG4AXABuAEMAbwBtAG0AbwBuAF8AUwBvAHUAcgBjAGUARABhAHQAYQBfAFIAYQBpAG4AZgBhAGwAbABaAG8AbgBlAHMAXwBEAGEAdABhAFwAbgAgACAAIAA9AEwAQQBNAEIARABBACgAXABuACAAIAAgACAATQBBAEsARQBBAFIAUgBBAFkAKAAzACwAIAA0ACwAIABcAG4AIAAgACAAIAAgACAATABBAE0AQgBEAEEAKAByACwAYwAsACAAXABuACAAIAAgACAAIAAgACAAIABJAE4ARABFAFgAKAB7AFwAbgAgACAAIAAgACAAIAAgACAAIAAgAFwAIgBSAGEAaQBuAGYAYQBsAGwAIABaAG8AbgBlAFwAIgAsACAAXAAiAEEAbgBuAHUAYQBsACAAcgBhAGkAbgBmAGEAbABsAFwAIgAsACAAXAAiAFIAYQBpAG4AZgBhAGwAbAAgAG0AaQBuAFwAIgAsACAAXAAiAFIAYQBpAG4AZgBhAGwAbAAgAG0AYQB4AFwAIgA7AFwAbgAgACAAIAAgACAAIAAgACAAIAAgAFwAIgBIAGkAZwBoACAAcgBhAGkAbgBmAGEAbABsAFwAIgAsACAAXAAiAEEAbgBuAHUAYQBsACAAcgBhAGkAbgBmAGEAbABsACAAXAB1ADAAMAAzAGUAIAA2ADAAMABtAG0AXAAiACwAIAA2ADAAMAAuADAAMAAxACwAIAA5ADkAOQA5ADkAOQA7AFwAbgAgACAAIAAgACAAIAAgACAAIAAgAFwAIgBMAG8AdwAgAHIAYQBpAG4AZgBhAGwAbABcACIALAAgAFwAIgBBAG4AbgB1AGEAbAAgAHIAYQBpAG4AZgBhAGwAbAAgAGQiIAA2ADAAMABtAG0AXAAiACwAIAAtADkAOQA5ADkAOQA5ACwAIAA2ADAAMABcAG4AIAAgACAAIAAgACAAIAAgAH0ALAAgAHIALAAgAGMAKQBcAG4AIAAgACAAIAAgACAAKQBcAG4AIAAgACAAIAApAFwAbgAgACAAKQA7AFwAbgBcAG4ALwAqACAAXABuAC0ALQAtAC0ALQAtAC0ALQAtAC0ALQAtAC0ALQAtAC0ALQAtAC0ALQAtAC0ALQAtAC0ALQAtAC0ALQAtAC0ALQAtAC0ALQAtAC0ALQBcAG4AQwBvAG0AbQBvAG4AXwBTAG8AdQByAGMAZQBEAGEAdABhAF8ATABlAGEAYwBoAGkAbgBnAFoAbwBuAGUAcwBcAG4ALQAtAC0ALQAtAC0ALQAtAC0ALQAtAC0ALQAtAC0ALQAtAC0ALQAtAC0ALQAtAC0ALQAtAC0ALQAtAC0ALQAtAC0ALQAtAC0ALQAtAFwAbgAqAC8AXABuAFwAbgBDAG8AbQBtAG8AbgBfAFMAbwB1AHIAYwBlAEQAYQB0AGEAXwBMAGUAYQBjAGgAaQBuAGcAWgBvAG4AZQBzAF8AVABpAHQAbABlAFwAbgAgACAAPQBMAEEATQBCAEQAQQAoAFwAIgBWAEUARQBSAEcAIABBAHUAcwB0AHIAYQBsAGkAYQBuACAAbABlAGEAYwBoAGkAbgBnACAAegBvAG4AZQBzAFwAIgApADsAXABuAFwAbgBDAG8AbQBtAG8AbgBfAFMAbwB1AHIAYwBlAEQAYQB0AGEAXwBMAGUAYQBjAGgAaQBuAGcAWgBvAG4AZQBzAF8AVgBhAHIAaQBhAGIAbABlAFwAbgAgACAAPQBMAEEATQBCAEQAQQAoAFwAIgBcACIAKQA7AFwAbgBcAG4AQwBvAG0AbQBvAG4AXwBTAG8AdQByAGMAZQBEAGEAdABhAF8ATABlAGEAYwBoAGkAbgBnAFoAbwBuAGUAcwBfAFUAbgBpAHQAXABuACAAIAA9AEwAQQBNAEIARABBACgAXAAiAFwAIgApADsAXABuAFwAbgBDAG8AbQBtAG8AbgBfAFMAbwB1AHIAYwBlAEQAYQB0AGEAXwBMAGUAYQBjAGgAaQBuAGcAWgBvAG4AZQBzAF8AUwBvAHUAcgBjAGUAXABuACAAIAA9AEwAQQBNAEIARABBACgAXAAiAFYARQBFAFIARwAgADIAMAAyADYAOgAgAFQAYQBiAGwAZQAgADEALgAzADoAIABDAGwAaQBtAGEAdABlACAAYQBuAGQAIABSAGEAaQBuAGYAYQBsAGwAIAB6AG8AbgBlACAAYwBsAGEAcwBzAGkAZgBpAGMAYQB0AGkAbwBuAHMAIABhAG4AZAAgAGQAZQBmAGkAbgBpAHQAaQBvAG4AcwBcACIAKQA7AFwAbgBcAG4AQwBvAG0AbQBvAG4AXwBTAG8AdQByAGMAZQBEAGEAdABhAF8ATABlAGEAYwBoAGkAbgBnAFoAbwBuAGUAcwBfAFYAYQByAGkAYQB0AGkAbwBuAFwAbgAgACAAPQBMAEEATQBCAEQAQQAoAFwAIgBcACIAKQA7AFwAbgBcAG4AQwBvAG0AbQBvAG4AXwBTAG8AdQByAGMAZQBEAGEAdABhAF8ATABlAGEAYwBoAGkAbgBnAFoAbwBuAGUAcwBfAEQAYQB0AGEAXABuACAAIAAgAD0ATABBAE0AQgBEAEEAKABcAG4AIAAgACAAIABNAEEASwBFAEEAUgBSAEEAWQAoADQALAAgADIALAAgAFwAbgAgACAAIAAgACAAIABMAEEATQBCAEQAQQAoAHIALABjACwAIABcAG4AIAAgACAAIAAgACAAIAAgAEkATgBEAEUAWAAoAHsAXABuACAAIAAgACAAIAAgACAAIAAgACAAXAAiAEwAZQBhAGMAaABpAG4AZwAgAFoAbwBuAGUAXAAiACwAIABcACIATABlAGEAYwBoAGkAbgBnACAAYwByAGkAdABlAHIAaQBhAFwAIgA7AFwAbgAgACAAIAAgACAAIAAgACAAIAAgAFwAIgBMAGUAYQBjAGgAaQBuAGcAIABvAGMAYwB1AHIAcwBcACIALAAgAFwAIgCjAygANdhf3DXYTtw12FbcNdhb3CkAXAB1ADAAMAAzAGUAowMoADXYONw12EfcMAApACsANdhg3DXYXNw12FbcNdhZ3CAANdhk3DXYTtw12GHcNdhS3DXYX9wgAA4hNdhc3DXYWdw12FHcNdhW3DXYW9w12FTcIAA12FDcNdhO3DXYXdw12E7cNdhQ3DXYVtw12GHcNdhm3FwAIgA7AFwAbgAgACAAIAAgACAAIAAgACAAIAAgAFwAIgBMAGUAYQBjAGgAaQBuAGcAIABkAG8AZQBzACAAbgBvAHQAIABvAGMAYwB1AHIAXAAiACwAIABcACIAowMoADXYX9w12E7cNdhW3DXYW9wpAGQiowMoADXYONw12EfcMAApACsANdhg3DXYXNw12FbcNdhZ3CAANdhk3DXYTtw12GHcNdhS3DXYX9wgAA4hNdhc3DXYWdw12FHcNdhW3DXYW9w12FTcIAA12FDcNdhO3DXYXdw12E7cNdhQ3DXYVtw12GHcNdhm3FwAIgBcAG4AIAAgACAAIAAgACAAIAAgAH0ALAAgAHIALAAgAGMAKQBcAG4AIAAgACAAIAAgACAAKQBcAG4AIAAgACAAIAApAFwAbgAgACAAKQA7AFwAbgBcAG4ALwAqACAAXABuAC0ALQAtAC0ALQAtAC0ALQAtAC0ALQAtAC0ALQAtAC0ALQAtAC0ALQAtAC0ALQAtAC0ALQAtAC0ALQAtAC0ALQAtAC0ALQAtAC0ALQBcAG4AQwBvAG0AbQBvAG4AXwBTAG8AdQByAGMAZQBEAGEAdABhAF8ARgByAGEAYwBXAEUAVABcAG4ANQAuADUALgAyAC4AMwAgAEMAbwBuAHMAdABhAG4AdAAgAFAAYQByAGEAbQBlAHQAZQByAHMAXABuAEYAcgBhAGMAdABpAG8AbgAgAG8AZgAgAE4AIAB0AGgAYQB0ACAAaQBzACAAYQB2AGEAaQBsAGEAYgBsAGUAIABmAG8AcgAgAGwAZQBhAGMAaABpAG4AZwAgAGEAbgBkACAAcgB1AG4AbwBmAGYAXABuAC0ALQAtAC0ALQAtAC0ALQAtAC0ALQAtAC0ALQAtAC0ALQAtAC0ALQAtAC0ALQAtAC0ALQAtAC0ALQAtAC0ALQAtAC0ALQAtAC0ALQBcAG4AKgAvAFwAbgBcAG4AQwBvAG0AbQBvAG4AXwBTAG8AdQByAGMAZQBEAGEAdABhAF8ARgByAGEAYwBXAEUAVABfAFQAaQB0AGwAZQBcAG4AIAAgAD0ATABBAE0AQgBEAEEAKABcACIARgByAGEAYwB0AGkAbwBuACAAbwBmACAATgAgAHQAaABhAHQAIABpAHMAIABhAHYAYQBpAGwAYQBiAGwAZQAgAGYAbwByACAAbABlAGEAYwBoAGkAbgBnACAAYQBuAGQAIAByAHUAbgBvAGYAZgBcACIAKQA7AFwAbgBcAG4AQwBvAG0AbQBvAG4AXwBTAG8AdQByAGMAZQBEAGEAdABhAF8ARgByAGEAYwBXAEUAVABfAFUAbgBpAHQAXABuACAAIAA9AEwAQQBNAEIARABBACgAXAAiACgARABpAG0AZQBuAHMAaQBvAG4AbABlAHMAcwBcACIAKQA7AFwAbgBcAG4AQwBvAG0AbQBvAG4AXwBTAG8AdQByAGMAZQBEAGEAdABhAF8ARgByAGEAYwBXAEUAVABfAFMAbwB1AHIAYwBlAFwAbgAgACAAPQBMAEEATQBCAEQAQQAoAFwAIgBWAEUARQBSAEcAIAAyADAAMgA2ADoANQAuADUALgAyAC4AMwAgAEMAbwBuAHMAdABhAG4AdAAgAFAAYQByAGEAbQBlAHQAZQByAHMAXAAiACkAOwBcAG4AXABuAEMAbwBtAG0AbwBuAF8AUwBvAHUAcgBjAGUARABhAHQAYQBfAEYAcgBhAGMAVwBFAFQAXwBOAEkAUgBSAGUAZgBlAHIAZQBuAGMAZQBcAG4AIAAgAD0ATABBAE0AQgBEAEEAKABcACIAXAAiACkAOwBcAG4AXABuAEMAbwBtAG0AbwBuAF8AUwBvAHUAcgBjAGUARABhAHQAYQBfAEYAcgBhAGMAVwBFAFQAXwBEAGEAdABhAFwAbgAgACAAPQBMAEEATQBCAEQAQQAoAFwAbgAgACAAIAAgAE0AQQBLAEUAQQBSAFIAQQBZACgAMwAsACAAMgAsACAAXABuACAAIAAgACAAIAAgAEwAQQBNAEIARABBACgAcgAsAGMALAAgAFwAbgAgACAAIAAgACAAIAAgACAASQBOAEQARQBYACgAewBcAG4AIAAgACAAIAAgACAAIAAgACAAIABcACIASQBzACAAaQBuACAAbABlAGEAYwBoAGkAbgBnACAAegBvAG4AZQBcACIALABcACIARgByAGEAYwBXAEUAVABcACIAOwBcAG4AIAAgACAAIAAgACAAIAAgACAAIABcACIAWQBlAHMAIAAtACAAaQBuACAAbABlAGEAYwBoAGkAbgBnACAAegBvAG4AZQBcACIALAAgADEAOwBcAG4AIAAgACAAIAAgACAAIAAgACAAIABcACIATgBvACAALQAgAG4AbwB0ACAAaQBuACAAbABlAGEAYwBoAGkAbgBnACAAegBvAG4AZQBcACIALAAgADAAXABuACAAIAAgACAAIAAgACAAIAB9ACwAIAByACwAIABjACkAXABuACAAIAAgACAAIAAgACkAXABuACAAIAAgACAAKQBcAG4AIAAgACkAOwBcAG4AXABuACAAIABDAG8AbQBtAG8AbgBfAFMAbwB1AHIAYwBlAEQAYQB0AGEAXwBGAHIAYQBjAFcARQBUAF8AVgBhAHIAaQBhAHQAaQBvAG4AXABuACAAIAA9AEwAQQBNAEIARABBACgAKABcACIAXAAiACkAKQA7AFwAbgBcAG4AXABuAFwAbgAvACoAIABcAG4ALQAtAC0ALQAtAC0ALQAtAC0ALQAtAC0ALQAtAC0ALQAtAC0ALQAtAC0ALQAtAC0ALQAtAC0ALQAtAC0ALQAtAC0ALQAtAC0ALQAtAFwAbgBDAG8AbQBtAG8AbgBfAFMAbwB1AHIAYwBlAEQAYQB0AGEAXwBEAGEAdABhAFMAYwBvAHIAZQBzAF8AUwBjAG8AcABlADMAXABuAC0ALQAtAC0ALQAtAC0ALQAtAC0ALQAtAC0ALQAtAC0ALQAtAC0ALQAtAC0ALQAtAC0ALQAtAC0ALQAtAC0ALQAtAC0ALQAtAC0ALQBcAG4AKgAvAFwAbgBcAG4AQwBvAG0AbQBvAG4AXwBTAG8AdQByAGMAZQBEAGEAdABhAF8ARABhAHQAYQBTAGMAbwByAGUAcwBfAFMAYwBvAHAAZQAzAF8AVABpAHQAbABlAFwAbgAgACAAPQBMAEEATQBCAEQAQQAoAFwAIgBBAHUAcwB0AHIAYQBsAGkAYQBuACAAZABhAHQAYQAgAHMAYwBvAHIAZQBzACAAZgBvAHIAIABzAGMAbwBwAGUAIAAzAFwAIgApADsAXABuAFwAbgBDAG8AbQBtAG8AbgBfAFMAbwB1AHIAYwBlAEQAYQB0AGEAXwBEAGEAdABhAFMAYwBvAHIAZQBzAF8AUwBjAG8AcABlADMAXwBWAGEAcgBpAGEAYgBsAGUAXABuACAAIAA9AEwAQQBNAEIARABBACgAXAAiAFwAIgApADsAXABuAFwAbgBDAG8AbQBtAG8AbgBfAFMAbwB1AHIAYwBlAEQAYQB0AGEAXwBEAGEAdABhAFMAYwBvAHIAZQBzAF8AUwBjAG8AcABlADMAXwBVAG4AaQB0AFwAbgAgACAAPQBMAEEATQBCAEQAQQAoAFwAIgBcACIAKQA7AFwAbgBcAG4AQwBvAG0AbQBvAG4AXwBTAG8AdQByAGMAZQBEAGEAdABhAF8ARABhAHQAYQBTAGMAbwByAGUAcwBfAFMAYwBvAHAAZQAzAF8AUwBvAHUAcgBjAGUAXABuACAAIAA9AEwAQQBNAEIARABBACgAXAAiAFYARQBFAFIARwAgADIAMAAyADYAOgAgAFgAWABYAFgAWABYAFgAWABcACIAKQA7AFwAbgBcAG4AQwBvAG0AbQBvAG4AXwBTAG8AdQByAGMAZQBEAGEAdABhAF8ARABhAHQAYQBTAGMAbwByAGUAcwBfAFMAYwBvAHAAZQAzAF8AVgBhAHIAaQBhAHQAaQBvAG4AXABuACAAIAA9AEwAQQBNAEIARABBACgAXAAiAFwAIgApADsAXABuAFwAbgBDAG8AbQBtAG8AbgBfAFMAbwB1AHIAYwBlAEQAYQB0AGEAXwBEAGEAdABhAFMAYwBvAHIAZQBzAF8AUwBjAG8AcABlADMAXwBEAGEAdABhAFwAbgAgACAAIAA9AEwAQQBNAEIARABBACgAXABuACAAIAAgACAATQBBAEsARQBBAFIAUgBBAFkAKAA2ACwAIAAyACwAIABcAG4AIAAgACAAIAAgACAATABBAE0AQgBEAEEAKAByACwAYwAsACAAXABuACAAIAAgACAAIAAgACAAIABJAE4ARABFAFgAKAB7AFwAbgAgACAAIAAgACAAIAAgACAAIAAgAFwAIgBEAGEAdABhACAAcwBvAHUAcgBjAGUAXAAiACwAIABcACIARABhAHQAYQAgAHMAYwBvAHIAZQBcACIAOwBcAG4AIAAgACAAIAAgACAAIAAgACAAIABcACIASQBuAHQAZQByAG4AYQB0AGkAbwBuAGEAbAAgAHMAYwBvAHAAZQAgADMAIABkAGEAdABhAGIAYQBzAGUAXAAiACwAIAAxADsAXABuACAAIAAgACAAIAAgACAAIAAgACAAXAAiAEEAdQBzAHQAcgBhAGwAaQBhAG4AIABzAGMAbwBwAGUAIAAzACAAZABhAHQAYQBiAGEAcwBlAFwAIgAsACAAMgA7AFwAbgAgACAAIAAgACAAIAAgACAAIAAgAFwAIgBTAHQAYQB0AGUAIABvAHIAIAByAGUAZwBpAG8AbgBhAGwAIABzAGMAbwBwAGUAIAAzACAAZABhAHQAYQBiAGEAcwBlAFwAIgAsACAAMwA7AFwAbgAgACAAIAAgACAAIAAgACAAIAAgAFwAIgBFAG0AaQBzAHMAaQBvAG4AcwAgAGkAbgB0AGUAbgBzAGkAdAB5ACAAYwBhAGwAYwB1AGwAYQB0AGUAZAAgAGYAcgBvAG0AIABhAHAAcAByAG8AdgBlAGQAIABtAGUAdABoAG8AZABcACIALAAgADQAOwBcAG4AIAAgACAAIAAgACAAIAAgACAAIABcACIAVgBlAHIAaQBmAGkAZQBkACAAYwByAGUAZABlAG4AdABpAGEAbAAgAG0AYQB0AGMAaABpAG4AZwAgAEkAUwBPADEANAAwADYANwBcACIALAAgADUAXABuACAAIAAgACAAIAAgACAAIAB9ACwAIAByACwAIABjACkAXABuACAAIAAgACAAIAAgACkAXABuACAAIAAgACAAKQBcAG4AIAAgACkAOwBcAG4AXABuAFwAbgAvACoAIABcAG4ALQAtAC0ALQAtAC0ALQAtAC0ALQAtAC0ALQAtAC0ALQAtAC0ALQAtAC0ALQAtAC0ALQAtAC0ALQAtAC0ALQAtAC0ALQAtAC0ALQAtAFwAbgBDAG8AbQBtAG8AbgBfAFMAbwB1AHIAYwBlAEQAYQB0AGEAXwBGAHIAYQBjAEwARQBBAEMASABcAG4ANQAuADUALgAyAC4AMwAgAEMAbwBuAHMAdABhAG4AdAAgAFAAYQByAGEAbQBlAHQAZQByAHMAXABuAEYAcgBhAGMAdABpAG8AbgAgAG8AZgAgAE4AIAB0AGgAYQB0ACAAaQBzACAAYQB2AGEAaQBsAGEAYgBsAGUAIABmAG8AcgAgAGwAZQBhAGMAaABpAG4AZwAgAGEAbgBkACAAcgB1AG4AbwBmAGYAXABuAC0ALQAtAC0ALQAtAC0ALQAtAC0ALQAtAC0ALQAtAC0ALQAtAC0ALQAtAC0ALQAtAC0ALQAtAC0ALQAtAC0ALQAtAC0ALQAtAC0ALQBcAG4AKgAvAFwAbgBcAG4AQwBvAG0AbQBvAG4AXwBTAG8AdQByAGMAZQBEAGEAdABhAF8ARgByAGEAYwBMAEUAQQBDAEgAXwBUAGkAdABsAGUAXABuACAAIAA9AEwAQQBNAEIARABBACgAXAAiAEYAcgBhAGMAdABpAG8AbgAgAG8AZgAgAE4AIAB0AGgAYQB0ACAAaQBzACAAYQB2AGEAaQBsAGEAYgBsAGUAIABmAG8AcgAgAGwAZQBhAGMAaABpAG4AZwAgAGEAbgBkACAAcgB1AG4AbwBmAGYAXAAiACkAOwBcAG4AXABuAEMAbwBtAG0AbwBuAF8AUwBvAHUAcgBjAGUARABhAHQAYQBfAEYAcgBhAGMATABFAEEAQwBIAF8AVQBuAGkAdABcAG4AIAAgAD0ATABBAE0AQgBEAEEAKABcACIAKABEAGkAbQBlAG4AcwBpAG8AbgBsAGUAcwBzAFwAIgApADsAXABuAFwAbgBDAG8AbQBtAG8AbgBfAFMAbwB1AHIAYwBlAEQAYQB0AGEAXwBGAHIAYQBjAEwARQBBAEMASABfAFMAbwB1AHIAYwBlAFwAbgAgACAAPQBMAEEATQBCAEQAQQAoAFwAIgBWAEUARQBSAEcAIAAyADAAMgA2ADoANQAuADUALgAyAC4AMwAgAEMAbwBuAHMAdABhAG4AdAAgAFAAYQByAGEAbQBlAHQAZQByAHMAXAAiACkAOwBcAG4AXABuAEMAbwBtAG0AbwBuAF8AUwBvAHUAcgBjAGUARABhAHQAYQBfAEYAcgBhAGMATABFAEEAQwBIAF8ATgBJAFIAUgBlAGYAZQByAGUAbgBjAGUAXABuACAAIAA9AEwAQQBNAEIARABBACgAXAAiAE4AYQB0AGkAbwBuAGEAbAAgAEkAbgB2AGUAbgB0AG8AcgB5ACAAUgBlAHAAbwByAHQAIABWAG8AbAB1AG0AZQAgADEAOgAgAEwAZQBhAGMAaABpAG4AZwAgAGEAbgBkACAAcgB1AG4AbwBmAGYAIAAoADMALgBEAC4AYgAuADIAKQBcACIAKQA7AFwAbgBcAG4AQwBvAG0AbQBvAG4AXwBTAG8AdQByAGMAZQBEAGEAdABhAF8ARgByAGEAYwBMAEUAQQBDAEgAXwBEAGEAdABhAFwAbgAgACAAPQBMAEEATQBCAEQAQQAoAFwAbgAgACAAIAAgAE0AQQBLAEUAQQBSAFIAQQBZACgAMQAsACAAMgAsACAAXABuACAAIAAgACAAIAAgAEwAQQBNAEIARABBACgAcgAsAGMALAAgAFwAbgAgACAAIAAgACAAIAAgACAASQBOAEQARQBYACgAewBcAG4AIAAgACAAIAAgACAAIAAgACAAIABcACIARgByAGEAYwBMAEUAQQBDAEgAXAAiACwAMAAuADIANABcAG4AIAAgACAAIAAgACAAIAAgAH0ALAAgAHIALAAgAGMAKQBcAG4AIAAgACAAIAAgACAAKQBcAG4AIAAgACAAIAApAFwAbgAgACAAKQA7AFwAbgBcAG4AIAAgAEMAbwBtAG0AbwBuAF8AUwBvAHUAcgBjAGUARABhAHQAYQBfAEYAcgBhAGMATABFAEEAQwBIAF8AVgBhAHIAaQBhAHQAaQBvAG4AXABuACAAIAA9AEwAQQBNAEIARABBACgAKABcACIAXAAiACkAKQA7AFwAbgBcAG4AXABuAFwAbgAvACoAIABcAG4ALQAtAC0ALQAtAC0ALQAtAC0ALQAtAC0ALQAtAC0ALQAtAC0ALQAtAC0ALQAtAC0ALQAtAC0ALQAtAC0ALQAtAC0ALQAtAC0ALQAtAFwAbgBDAG8AbQBtAG8AbgBfAFMAbwB1AHIAYwBlAEQAYQB0AGEAXwBFAEYAbABlAGEAYwBoAFwAbgA1AC4ANQAuADIALgAzACAAQwBvAG4AcwB0AGEAbgB0ACAAUABhAHIAYQBtAGUAdABlAHIAcwBcAG4ARQBtAGkAcwBzAGkAbwBuACAAZgBhAGMAdABvAHIAIABmAG8AcgAgAG4AaQB0AHIAbwBnAGUAbgAgAGwAZQBhAGMAaABpAG4AZwAgAGEAbgBkACAAcgB1AG4AbwBmAGYAXABuAC0ALQAtAC0ALQAtAC0ALQAtAC0ALQAtAC0ALQAtAC0ALQAtAC0ALQAtAC0ALQAtAC0ALQAtAC0ALQAtAC0ALQAtAC0ALQAtAC0ALQBcAG4AKgAvAFwAbgBcAG4AQwBvAG0AbQBvAG4AXwBTAG8AdQByAGMAZQBEAGEAdABhAF8ARQBGAGwAZQBhAGMAaABfAFQAaQB0AGwAZQBcAG4AIAAgAD0ATABBAE0AQgBEAEEAKABcACIARQBtAGkAcwBzAGkAbwBuACAAZgBhAGMAdABvAHIAIABmAG8AcgAgAG4AaQB0AHIAbwBnAGUAbgAgAGwAZQBhAGMAaABpAG4AZwAgAGEAbgBkACAAcgB1AG4AbwBmAGYAXAAiACkAOwBcAG4AXABuAEMAbwBtAG0AbwBuAF8AUwBvAHUAcgBjAGUARABhAHQAYQBfAEUARgBsAGUAYQBjAGgAXwBVAG4AaQB0AFwAbgAgACAAPQBMAEEATQBCAEQAQQAoAFwAIgAoAGsAZwAgAE4AMgBPAC0ATgAgAC8AIABrAGcAIABOAFwAIgApADsAXABuAFwAbgBDAG8AbQBtAG8AbgBfAFMAbwB1AHIAYwBlAEQAYQB0AGEAXwBFAEYAbABlAGEAYwBoAF8AUwBvAHUAcgBjAGUAXABuACAAIAA9AEwAQQBNAEIARABBACgAXAAiAFYARQBFAFIARwAgADIAMAAyADYAOgA1AC4ANQAuADIALgAzACAAQwBvAG4AcwB0AGEAbgB0ACAAUABhAHIAYQBtAGUAdABlAHIAcwBcACIAKQA7AFwAbgBcAG4AQwBvAG0AbQBvAG4AXwBTAG8AdQByAGMAZQBEAGEAdABhAF8ARQBGAGwAZQBhAGMAaABfAE4ASQBSAFIAZQBmAGUAcgBlAG4AYwBlAFwAbgAgACAAPQBMAEEATQBCAEQAQQAoAFwAIgBOAGEAdABpAG8AbgBhAGwAIABJAG4AdgBlAG4AdABvAHIAeQAgAFIAZQBwAG8AcgB0ACAAVgBvAGwAdQBtAGUAIAAxADoAIABFAHEAdQBhAHQAaQBvAG4AIAAzAC4ARAAuAEIAXwAxADAAXAAiACkAOwBcAG4AXABuAEMAbwBtAG0AbwBuAF8AUwBvAHUAcgBjAGUARABhAHQAYQBfAEUARgBsAGUAYQBjAGgAXwBEAGEAdABhAFwAbgAgACAAPQBMAEEATQBCAEQAQQAoAFwAbgAgACAAIAAgAE0AQQBLAEUAQQBSAFIAQQBZACgAMQAsACAAMgAsACAAXABuACAAIAAgACAAIAAgAEwAQQBNAEIARABBACgAcgAsAGMALAAgAFwAbgAgACAAIAAgACAAIAAgACAASQBOAEQARQBYACgAewBcAG4AIAAgACAAIAAgACAAIAAgACAAIABcACIARQBGAGwAZQBhAGMAaABcACIALAAwAC4AMAAxADEAXABuACAAIAAgACAAIAAgACAAIAB9ACwAIAByACwAIABjACkAXABuACAAIAAgACAAIAAgACkAXABuACAAIAAgACAAKQBcAG4AIAAgACkAOwBcAG4AXABuACAAIABDAG8AbQBtAG8AbgBfAFMAbwB1AHIAYwBlAEQAYQB0AGEAXwBFAEYAbABlAGEAYwBoAF8AVgBhAHIAaQBhAHQAaQBvAG4AXABuACAAIAA9AEwAQQBNAEIARABBACgAKABcACIAXAAiACkAKQA7AFwAbgBcAG4AXABuAC8AKgAgAFwAbgAtAC0ALQAtAC0ALQAtAC0ALQAtAC0ALQAtAC0ALQAtAC0ALQAtAC0ALQAtAC0ALQAtAC0ALQAtAC0ALQAtAC0ALQAtAC0ALQAtAC0AXABuAEMAbwBtAG0AbwBuAF8AUwBvAHUAcgBjAGUARABhAHQAYQBfAEUARgBOADIATwBcAG4AVABhAGIAbABlACAAQQAuADIALgAyAC4AMQBcAG4ATgBpAHQAcgBvAHUAcwAgAG8AeABpAGQAZQAgAGUAbQBpAHMAcwBpAG8AbgAgAGYAYQBjAHQAbwByAHMAIABmAG8AcgAgAGkAbgBvAHIAZwBhAG4AaQBjACAAZgBlAHIAdABpAGwAaQBzAGUAcgAgAGEAcABwAGwAaQBjAGEAdABpAG8AbgAgACgAawBnACAATgAyAE8ALQBOAC8AawBnACAATgApACAAKABFAEYATgAyAE8AKQBcAG4ALQAtAC0ALQAtAC0ALQAtAC0ALQAtAC0ALQAtAC0ALQAtAC0ALQAtAC0ALQAtAC0ALQAtAC0ALQAtAC0ALQAtAC0ALQAtAC0ALQAtAFwAbgAqAC8AXABuAFwAbgBDAG8AbQBtAG8AbgBfAFMAbwB1AHIAYwBlAEQAYQB0AGEAXwBFAEYATgAyAE8AXwBUAGkAdABsAGUAXABuACAAIAA9AEwAQQBNAEIARABBACgAXAAiAE4AaQB0AHIAbwB1AHMAIABvAHgAaQBkAGUAIABlAG0AaQBzAHMAaQBvAG4AIABmAGEAYwB0AG8AcgBzACAAZgBvAHIAIABpAG4AbwByAGcAYQBuAGkAYwAgAGYAZQByAHQAaQBsAGkAcwBlAHIAIABhAHAAcABsAGkAYwBhAHQAaQBvAG4AXAAiACkAOwBcAG4AXABuAEMAbwBtAG0AbwBuAF8AUwBvAHUAcgBjAGUARABhAHQAYQBfAEUARgBOADIATwBfAFUAbgBpAHQAXABuACAAIAA9AEwAQQBNAEIARABBACgAXAAiACgAawBnACAATgAyAE8ALQBOACAALwAgAGsAZwAgAE4AXAAiACkAOwBcAG4AXABuAEMAbwBtAG0AbwBuAF8AUwBvAHUAcgBjAGUARABhAHQAYQBfAEUARgBOADIATwBfAFMAbwB1AHIAYwBlAFwAbgAgACAAPQBMAEEATQBCAEQAQQAoAFwAIgBWAEUARQBSAEcAIAAyADAAMgA2ADoAIABUAGEAYgBsAGUAIABBAC4AMgAuADIALgAxAFwAIgApADsAXABuAFwAbgBDAG8AbQBtAG8AbgBfAFMAbwB1AHIAYwBlAEQAYQB0AGEAXwBFAEYATgAyAE8AXwBOAEkAUgBSAGUAZgBlAHIAZQBuAGMAZQBcAG4AIAAgAD0ATABBAE0AQgBEAEEAKABcACIAXAAiACkAOwBcAG4AXABuAEMAbwBtAG0AbwBuAF8AUwBvAHUAcgBjAGUARABhAHQAYQBfAEUARgBOADIATwBfAEQAYQB0AGEAXABuACAAIAA9AEwAQQBNAEIARABBACgAXABuACAAIAAgACAATQBBAEsARQBBAFIAUgBBAFkAKAAxADUALAAgADUALAAgAFwAbgAgACAAIAAgACAAIABMAEEATQBCAEQAQQAoAHIALABjACwAIABcAG4AIAAgACAAIAAgACAAIAAgAEkATgBEAEUAWAAoAHsAXABuACAAIAAgACAAIAAgACAAIAAgACAAXAAiAFAAcgBvAGQAdQBjAHQAaQBvAG4AIABzAHkAcwB0AGUAbQAgAGoAXAAiACwAXAAiAEUARgBOADIATwBcACIALAAgAFwAIgBQAHIAbwBkAHUAYwB0AGkAbwBuACAAcwB5AHMAdABlAG0AIABvAG4AbAB5AFwAIgAsACAAXAAiAEkAcgByAGkAZwBhAHQAaQBvAG4AIABtAGUAdABoAG8AZABcACIALAAgAFwAIgBSAGEAaQBuAGYAYQBsAGwAIAB6AG8AbgBlAFwAIgA7AFwAbgAgACAAIAAgACAAIAAgACAAIAAgAFwAIgBJAHIAcgBpAGcAYQB0AGUAZAAgAHAAYQBzAHQAdQByAGUAXAAiACwAMAAuADAAMAA1ADkALAAgAFwAIgBQAGEAcwB0AHUAcgBlAFwAIgAsACAAXAAiAEEAbgB5AFwAIgAsACAAXAAiAEEAbgB5AFwAIgA7AFwAbgAgACAAIAAgACAAIAAgACAAIAAgAFwAIgBJAHIAcgBpAGcAYQB0AGUAZAAgAGMAcgBvAHAAXAAiACwAMAAuADAAMAA3ACwAIABcACIAQwByAG8AcABcACIALAAgAFwAIgBBAG4AeQBcACIALAAgAFwAIgBBAG4AeQBcACIAOwBcAG4AIAAgACAAIAAgACAAIAAgACAAIABcACIATgBvAG4ALQBpAHIAcgBpAGcAYQB0AGUAZAAgAHAAYQBzAHQAdQByAGUAXAAiACwAMAAuADAAMAAxADgALAAgAFwAIgBQAGEAcwB0AHUAcgBlAFwAIgAsACAAXAAiAE4AbwB0ACAAaQByAHIAaQBnAGEAdABlAGQAXAAiACwAIABcACIATABvAHcAIAByAGEAaQBuAGYAYQBsAGwAXAAiADsAXABuACAAIAAgACAAIAAgACAAIAAgACAAXAAiAE4AbwBuAC0AaQByAHIAaQBnAGEAdABlAGQAIABwAGEAcwB0AHUAcgBlAFwAIgAsADAALgAwADAAMQA4ACwAIABcACIAUABhAHMAdAB1AHIAZQBcACIALAAgAFwAIgBOAG8AdAAgAGkAcgByAGkAZwBhAHQAZQBkAFwAIgAsACAAXAAiAEgAaQBnAGgAIAByAGEAaQBuAGYAYQBsAGwAXAAiADsAXABuACAAIAAgACAAIAAgACAAIAAgACAAXAAiAE4AbwBuAC0AaQByAHIAaQBnAGEAdABlAGQAIABjAHIAbwBwACAAKABsAG8AdwAgAHIAYQBpAG4AZgBhAGwAbAApAFwAIgAsADAALgAwADAAMgA5ACwAIABcACIAQwByAG8AcABcACIALAAgAFwAIgBOAG8AdAAgAGkAcgByAGkAZwBhAHQAZQBkAFwAIgAsACAAXAAiAEwAbwB3ACAAcgBhAGkAbgBmAGEAbABsAFwAIgA7AFwAbgAgACAAIAAgACAAIAAgACAAIAAgAFwAIgBOAG8AbgAtAGkAcgByAGkAZwBhAHQAZQBkACAAYwByAG8AcAAgACgAaABpAGcAaAAgAHIAYQBpAG4AZgBhAGwAbAApAFwAIgAsADAALgAwADAAOAAsACAAXAAiAEMAcgBvAHAAXAAiACwAIABcACIATgBvAHQAIABpAHIAcgBpAGcAYQB0AGUAZABcACIALAAgAFwAIgBIAGkAZwBoACAAcgBhAGkAbgBmAGEAbABsAFwAIgA7AFwAbgAgACAAIAAgACAAIAAgACAAIAAgAFwAIgBTAHUAZwBhAHIAXAAiACwAMAAuADAAMQA5ADkALAAgAFwAIgBTAHUAZwBhAHIAXAAiACwAIABcACIAQQBuAHkAXAAiACwAIABcACIAQQBuAHkAXAAiADsAXABuACAAIAAgACAAIAAgACAAIAAgACAAXAAiAEMAbwB0AHQAbwBuAFwAIgAsADAALgAwADAANQAzACwAIABcACIAQwBvAHQAdABvAG4AXAAiACwAIABcACIAQQBuAHkAXAAiACwAIABcACIAQQBuAHkAXAAiADsAXABuACAAIAAgACAAIAAgACAAIAAgACAAXAAiAEgAbwByAHQAaQBjAHUAbAB0AHUAcgBhAGwAIABjAHIAbwBwAHMAXAAiACwAMAAuADAAMAA2ADQALAAgAFwAIgBIAG8AcgB0AGkAYwB1AGwAdAB1AHIAYQBsACAAYwByAG8AcABzAFwAIgAsACAAXAAiAEEAbgB5AFwAIgAsACAAXAAiAEEAbgB5AFwAIgA7AFwAbgAgACAAIAAgACAAIAAgACAAIAAgAFwAIgBSAGkAYwBlACAAKABjAG8AbgB0AGkAbgB1AG8AdQBzACAAZgBsAG8AbwBkAGkAbgBnACkAXAAiACwAMAAuADAAMAAzACwAIABcACIAUgBpAGMAZQBcACIALAAgAFwAIgBDAG8AbgB0AGkAbgB1AG8AdQBzACAAZgBsAG8AbwBkAGkAbgBnAFwAIgAsACAAXAAiAEEAbgB5AFwAIgA7AFwAbgAgACAAIAAgACAAIAAgACAAIAAgAFwAIgBSAGkAYwBlACAAKABzAGkAbgBnAGwAZQAgAGEAbgBkACAAbQB1AGwAdABpAHAAbABlACAAZAByAGEAaQBuAGEAZwBlACwAIABvAHIAIABhAGwAdABlAHIAbgBhAHQAZQAgAHcAZQB0AHQAaQBuAGcAIABhAG4AZAAgAGQAcgB5AGkAbgBnACkAXAAiACwAMAAuADAAMAA1ACwAIABcACIAUgBpAGMAZQBcACIALAAgAFwAIgBTAGkAbgBnAGwAZQAgAGEAbgBkACAAbQB1AGwAdABpAHAAbABlACAAZAByAGEAaQBuAGEAZwBlACwAIABvAHIAIABhAGwAdABlAHIAbgBhAHQAZQAgAHcAZQB0AHQAaQBuAGcAIABhAG4AZAAgAGQAcgB5AGkAbgBnAFwAIgAsACAAXAAiAEEAbgB5AFwAIgA7AFwAbgAgACAAIAAgACAAIAAgACAAIAAgAFwAIgBBAHEAdQBhAGMAdQBsAHQAdQByAGUAXAAiACwAMAAuADAAMAAyADYALAAgAFwAIgBBAHEAdQBhAGMAdQBsAHQAdQByAGUAXAAiACwAIABcACIAQQBuAHkAXAAiACwAIABcACIAQQBuAHkAXAAiADsAXABuACAAIAAgACAAIAAgACAAIAAgACAAXAAiAEYAbwByAGUAcwB0AHIAeQBcACIALAAwAC4AMAAwADEAOAAsACAAXAAiAEYAbwByAGUAcwB0AHIAeQBcACIALAAgAFwAIgBBAG4AeQBcACIALAAgAFwAIgBBAG4AeQBcACIAXABuACAAIAAgACAAIAAgACAAIAB9ACwAIAByACwAIABjACkAXABuACAAIAAgACAAIAAgACkAXABuACAAIAAgACAAKQBcAG4AIAAgACkAOwBcAG4AXABuACAAIABDAG8AbQBtAG8AbgBfAFMAbwB1AHIAYwBlAEQAYQB0AGEAXwBFAEYATgAyAE8AXwBWAGEAcgBpAGEAdABpAG8AbgBcAG4AIAAgAD0ATABBAE0AQgBEAEEAKABcAG4AIAAgACAAIABNAEEASwBFAEEAUgBSAEEAWQAoADUALAAgADEALAAgAFwAbgAgACAAIAAgACAAIABMAEEATQBCAEQAQQAoAHIALABjACwAIABcAG4AIAAgACAAIAAgACAAIAAgAEkATgBEAEUAWAAoAHsAXABuACAAIAAgACAAIAAgACAAIAAgACAAXAAiAFYAQQBSAEkAQQBUAEkATwBOACAATwBGACAAUwBPAFUAUgBDAEUAIABEAEEAVABBADoAXAAiADsAXABuACAAIAAgACAAIAAgACAAIAAgACAAXAAiAFIAZQBtAG8AdgBlAGQAIABkAHUAcABsAGkAYwBhAHQAZQAgAFwAdQAwADAAMgA3AEEAcQB1AGEAYwB1AGwAdAB1AHIAZQBcAHUAMAAwADIANwAgAHIAbwB3AC4AXAAiADsAXABuACAAIAAgACAAIAAgACAAIAAgACAAXAAiAFIAZQBtAG8AdgBlAGQAIABhAHMAdABlAHIAaQBzAGsAcwAgAHQAbwAgAGEAaQBkACAAbABvAG8AawB1AHAALgBcACIAOwBcAG4AIAAgACAAIAAgACAAIAAgACAAIABcACIAQQBkAGQAZQBkACAAXAB1ADAAMAAyADcAcAByAG8AZAB1AGMAdABpAG8AbgAgAHMAeQBzAHQAZQBtACAAbwBuAGwAeQBcAHUAMAAwADIANwAsACAAXAB1ADAAMAAyADcAcgBhAGkAbgBmAGEAbABsACAAegBvAG4AZQBcAHUAMAAwADIANwAgAGEAbgBkACAAXAB1ADAAMAAyADcAaQByAHIAaQBnAGEAdABpAG8AbgAgAG0AZQB0AGgAbwBkAFwAdQAwADAAMgA3ACAAYwBvAGwAdQBtAG4AcwAgAHQAbwAgAGEAaQBkACAAbABvAG8AawB1AHAALgBcACIAOwBcAG4AIAAgACAAIAAgACAAIAAgACAAIABcACIARAB1AHAAbABpAGMAYQB0AGUAZAAgAFwAdQAwADAAMgA3AG4AbwBuAC0AaQByAHIAaQBnAGEAdABlAGQAIABwAGEAcwB0AHUAcgBlAFwAdQAwADAAMgA3ACAAcgBvAHcAIAB3AGkAdABoACAAcwBhAG0AZQAgAEUARgAgAGYAbwByACAAbABvAHcAIABhAG4AZAAgAGgAaQBnAGgAIAByAGEAaQBuAGYAYQBsAGwAIAB6AG8AbgBlAHMAIAB0AG8AIABhAGkAZAAgAGwAbwBvAGsAdQBwAC4AXAAiAFwAbgAgACAAIAAgACAAIAAgACAAfQAsACAAcgAsACAAYwApAFwAbgAgACAAIAAgACAAIAApAFwAbgAgACAAIAAgACkAXABuACAAIAApADsAXABuAFwAbgAvACoAIABcAG4ALQAtAC0ALQAtAC0ALQAtAC0ALQAtAC0ALQAtAC0ALQAtAC0ALQAtAC0ALQAtAC0ALQAtAC0ALQAtAC0ALQAtAC0ALQAtAC0ALQAtAFwAbgBDAG8AbQBtAG8AbgBfAFMAbwB1AHIAYwBlAEQAYQB0AGEAXwBGAHIAYQBjAFcARQBUAEkAcgByAGkAZwBhAHQAaQBvAG4AXABuAFYARQBFAFIARwAgADIAMAAyADYAOgAgAEMAaABhAHAAdABlAHIAIAAxACwAIABzAGUAYwB0AGkAbwBuACAAMQAuADgALgAyACAATABlAGEAYwBoAGkAbgBnACwAIABjAGwAaQBtAGEAdABlACAAYQBuAGQAIAByAGEAaQBuAGYAYQBsAGwAIAB6AG8AbgBlAHMAXABuAEkAUABDAEMAOgAgAE4AMgBPACAARQBNAEkAUwBTAEkATwBOAFMAIABGAFIATwBNACAATQBBAE4AQQBHAEUARAAgAFMATwBJAEwAUwAsACAAQQBOAEQAIABDAE8AMgAgAEUATQBJAFMAUwBJAE8ATgBTACAARgBSAE8ATQAgAEwASQBNAEUAIABBAE4ARAAgAFUAUgBFAEEAIABBAFAAUABMAEkAQwBBAFQASQBPAE4AXABuAC0ALQAtAC0ALQAtAC0ALQAtAC0ALQAtAC0ALQAtAC0ALQAtAC0ALQAtAC0ALQAtAC0ALQAtAC0ALQAtAC0ALQAtAC0ALQAtAC0ALQBcAG4AKgAvAFwAbgBcAG4AQwBvAG0AbQBvAG4AXwBTAG8AdQByAGMAZQBEAGEAdABhAF8ARgByAGEAYwBXAEUAVABJAHIAcgBpAGcAYQB0AGkAbwBuAF8AVABpAHQAbABlAFwAbgAgACAAPQBMAEEATQBCAEQAQQAoAFwAIgBGAHIAYQBjAFcARQBUACAAZgBvAHIAIABpAHIAcgBpAGcAYQB0AGkAbwBuACAAdAB5AHAAZQBzAFwAIgApADsAXABuAFwAbgBDAG8AbQBtAG8AbgBfAFMAbwB1AHIAYwBlAEQAYQB0AGEAXwBGAHIAYQBjAFcARQBUAEkAcgByAGkAZwBhAHQAaQBvAG4AXwBVAG4AaQB0AFwAbgAgACAAPQBMAEEATQBCAEQAQQAoAFwAIgBkAGkAbQBlAG4AcwBpAG8AbgBsAGUAcwBzAFwAIgApADsAXABuAFwAbgBDAG8AbQBtAG8AbgBfAFMAbwB1AHIAYwBlAEQAYQB0AGEAXwBGAHIAYQBjAFcARQBUAEkAcgByAGkAZwBhAHQAaQBvAG4AXwBTAG8AdQByAGMAZQBcAG4AIAAgAD0ATABBAE0AQgBEAEEAKABcACIAVgBFAEUAUgBHACAAMgAwADIANgA6ACAAQwBoAGEAcAB0AGUAcgAgADEALAAgAHMAZQBjAHQAaQBvAG4AIAAxAC4AOAAuADIAIABMAGUAYQBjAGgAaQBuAGcALAAgAGMAbABpAG0AYQB0AGUAIABhAG4AZAAgAHIAYQBpAG4AZgBhAGwAbAAgAHoAbwBuAGUAcwBcACIAKQA7AFwAbgBcAG4AQwBvAG0AbQBvAG4AXwBTAG8AdQByAGMAZQBEAGEAdABhAF8ARgByAGEAYwBXAEUAVABJAHIAcgBpAGcAYQB0AGkAbwBuAF8ATgBJAFIAUgBlAGYAZQByAGUAbgBjAGUAXABuACAAIAA9AEwAQQBNAEIARABBACgAXAAiAEkAUABDAEMAIAAyADAAMQA5ACAAUgBlAGYAaQBuAGUAbQBlAG4AdAAgAFYAbwBsAHUAbQBlACAANAA6ACAAQwBoAGEAcAB0AGUAcgAgADEAMQA6ACAATgAyAE8AIABFAG0AaQBzAHMAaQBvAG4AcwAgAGYAcgBvAG0AIABNAGEAbgBhAGcAZQBkACAAUwBvAGkAbABzACwAIABhAG4AZAAgAEMATwAyACAARQBtAGkAcwBzAGkAbwBuAHMAIABmAHIAbwBtACAATABpAG0AZQAgAGEAbgBkACAAVQByAGUAYQAgAEEAcABwAGwAaQBjAGEAdABpAG8AbgBcACIAKQA7AFwAbgBcAG4AQwBvAG0AbQBvAG4AXwBTAG8AdQByAGMAZQBEAGEAdABhAF8ARgByAGEAYwBXAEUAVABJAHIAcgBpAGcAYQB0AGkAbwBuAF8ARABhAHQAYQBcAG4AIAAgAD0ATABBAE0AQgBEAEEAKABcAG4AIAAgACAAIABNAEEASwBFAEEAUgBSAEEAWQAoADYALAAgADIALAAgAFwAbgAgACAAIAAgACAAIABMAEEATQBCAEQAQQAoAHIALABjACwAIABcAG4AIAAgACAAIAAgACAAIAAgAEkATgBEAEUAWAAoAHsAXABuACAAIAAgACAAIAAgACAAIAAgACAAXAAiAEkAcgByAGkAZwBhAHQAaQBvAG4AIAB0AHkAcABlACAAaQByAFwAIgAsAFwAIgBGAHIAYQBjAFcARQBUAFwAIgA7AFwAbgAgACAAIAAgACAAIAAgACAAIAAgAFwAIgBOAG8AdAAgAGkAcgByAGkAZwBhAHQAZQBkAFwAIgAsACAAMAA7AFwAbgAgACAAIAAgACAAIAAgACAAIAAgAFwAIgBEAHIAaQBwACAAaQByAHIAaQBnAGEAdABpAG8AbgBcACIALAAgADAAOwBcAG4AIAAgACAAIAAgACAAIAAgACAAIABcACIAUwBwAHIAaQBuAGsAbABlAHIAIABpAHIAcgBpAGcAYQB0AGkAbwBuAFwAIgAsACAAMQA7AFwAbgAgACAAIAAgACAAIAAgACAAIAAgAFwAIgBTAHUAcgBmAGEAYwBlACAAaQByAHIAaQBnAGEAdABpAG8AbgBcACIALAAgADEAOwBcAG4AIAAgACAAIAAgACAAIAAgACAAIABcACIATwB0AGgAZQByACAAaQByAHIAaQBnAGEAdABpAG8AbgBcACIALAAgADEAXABuACAAIAAgACAAIAAgACAAIAB9ACwAIAByACwAIABjACkAXABuACAAIAAgACAAIAAgACkAXABuACAAIAAgACAAKQBcAG4AIAAgACkAOwBcAG4AXABuACAAIABDAG8AbQBtAG8AbgBfAFMAbwB1AHIAYwBlAEQAYQB0AGEAXwBGAHIAYQBjAFcARQBUAEkAcgByAGkAZwBhAHQAaQBvAG4AXwBWAGEAcgBpAGEAdABpAG8AbgBcAG4AIAAgAD0ATABBAE0AQgBEAEEAKABcACIAVgBBAFIASQBBAFQASQBPAE4AIABGAFIATwBNACAAUwBPAFUAUgBDAEUAIABEAEEAVABBADoAIABUAGEAYgBsAGUAIABjAHIAZQBhAHQAZQBkACAAYgBhAHMAZQBkACAAbwBuACAAVgBFAEUAUgBHACAAdABlAHgAdAAgAFwAdQAwADAAMgA3AEEAcgBlAGEAcwAgAGEAcgBlACAAcwB1AGIAagBlAGMAdAAgAHQAbwAgAGwAZQBhAGMAaABpAG4AZwAgACgAaQAuAGUALgAsACAAaQBuACAAdABoAGUAIABsAGUAYQBjAGgAaQBuAGcAIAB6AG8AbgBlACkAIAB3AGgAZQBuAC4ALgAuACAAdABoAGUAIABsAGEAbgBkACAAaQBzACAAaQByAHIAaQBnAGEAdABlAGQAIAAoAGUAeABjAGUAcAB0ACAAZAByAGkAcAAgAGkAcgByAGkAZwBhAHQAaQBvAG4AKQAuAFwAdQAwADAAMgA3AFwAIgApADsAXABuAFwAbgBcAG4ALwAqACAAXABuAC0ALQAtAC0ALQAtAC0ALQAtAC0ALQAtAC0ALQAtAC0ALQAtAC0ALQAtAC0ALQAtAC0ALQAtAC0ALQAtAC0ALQAtAC0ALQAtAC0ALQBcAG4AQwBvAG0AbQBvAG4AXwBTAG8AdQByAGMAZQBEAGEAdABhAF8ARQBGAFAAYQBzAHQAdQByAGUAUgBhAG4AZwBlAEEAbgBkAFAAYQBkAGQAbwBjAGsAXABuAFQAYQBiAGwAZQAgAEEALgAyAC4AMgAuADIAOgAgAEUAbQBpAHMAcwBpAG8AbgAgAGYAYQBjAHQAbwByACAAZgBvAHIAIAB1AHIAaQBuAGUAIABhAG4AZAAgAGQAdQBuAGcAIABkAGUAcABvAHMAaQB0AGUAZAAgAG8AbgAgAHAAYQBzAHQAdQByAGUALAAgAHIAYQBuAGcAZQAgAG8AcgAgAHAAYQBkAGQAbwBjAGsAIAAoAGsAZwAgAE4AMgBPAC0ATgAvAGsAZwAgAE4AKQAgACgARQBGAFAAUgBQACkAXABuAC0ALQAtAC0ALQAtAC0ALQAtAC0ALQAtAC0ALQAtAC0ALQAtAC0ALQAtAC0ALQAtAC0ALQAtAC0ALQAtAC0ALQAtAC0ALQAtAC0ALQBcAG4AKgAvAFwAbgBcAG4AQwBvAG0AbQBvAG4AXwBTAG8AdQByAGMAZQBEAGEAdABhAF8ARQBGAFAAYQBzAHQAdQByAGUAUgBhAG4AZwBlAEEAbgBkAFAAYQBkAGQAbwBjAGsAXwBUAGkAdABsAGUAXABuACAAIAA9AEwAQQBNAEIARABBACgAXAAiAEUAbQBpAHMAcwBpAG8AbgAgAGYAYQBjAHQAbwByACAAZgBvAHIAIAB1AHIAaQBuAGUAIABhAG4AZAAgAGQAdQBuAGcAIABkAGUAcABvAHMAaQB0AGUAZAAgAG8AbgAgAHAAYQBzAHQAdQByAGUALAAgAHIAYQBuAGcAZQAgAG8AcgAgAHAAYQBkAGQAbwBjAGsAXAAiACkAOwBcAG4AXABuAEMAbwBtAG0AbwBuAF8AUwBvAHUAcgBjAGUARABhAHQAYQBfAEUARgBQAGEAcwB0AHUAcgBlAFIAYQBuAGcAZQBBAG4AZABQAGEAZABkAG8AYwBrAF8AVQBuAGkAdABcAG4AIAAgAD0ATABBAE0AQgBEAEEAKABcACIAawBnACAATgAyAE8AIAAtACAATgAgAC8AIABrAGcAIABOAFwAIgApADsAXABuAFwAbgBDAG8AbQBtAG8AbgBfAFMAbwB1AHIAYwBlAEQAYQB0AGEAXwBFAEYAUABhAHMAdAB1AHIAZQBSAGEAbgBnAGUAQQBuAGQAUABhAGQAZABvAGMAawBfAFMAbwB1AHIAYwBlAFwAbgAgACAAPQBMAEEATQBCAEQAQQAoAFwAIgBWAEUARQBSAEcAIAAyADAAMgA2ADoAIABUAGEAYgBsAGUAIABBAC4AMgAuADIALgAyAFwAIgApADsAXABuAFwAbgBDAG8AbQBtAG8AbgBfAFMAbwB1AHIAYwBlAEQAYQB0AGEAXwBFAEYAUABhAHMAdAB1AHIAZQBSAGEAbgBnAGUAQQBuAGQAUABhAGQAZABvAGMAawBfAE4ASQBSAFIAZQBmAGUAcgBlAG4AYwBlAFwAbgAgACAAPQBMAEEATQBCAEQAQQAoAFwAIgBcACIAKQA7AFwAbgBcAG4AQwBvAG0AbQBvAG4AXwBTAG8AdQByAGMAZQBEAGEAdABhAF8ARQBGAFAAYQBzAHQAdQByAGUAUgBhAG4AZwBlAEEAbgBkAFAAYQBkAGQAbwBjAGsAXwBEAGEAdABhAFwAbgAgACAAPQBMAEEATQBCAEQAQQAoAFwAbgAgACAAIAAgAE0AQQBLAEUAQQBSAFIAQQBZACgAMwAsACAAMgAsACAAXABuACAAIAAgACAAIAAgAEwAQQBNAEIARABBACgAcgAsAGMALAAgAFwAbgAgACAAIAAgACAAIAAgACAASQBOAEQARQBYACgAewBcAG4AIAAgACAAIAAgACAAIAAgACAAIABcACIAQwBsAGkAbQBhAHQAZQAgAHoAbwBuAGUAXAAiACwAIABcACIARQBGAFAAUgBQAFwAIgA7AFwAbgAgACAAIAAgACAAIAAgACAAIAAgAFwAIgBXAGUAdAAgAGMAbABpAG0AYQB0AGUAIAB6AG8AbgBlAFwAIgAsACAAMAAuADAAMAA2ADsAXABuACAAIAAgACAAIAAgACAAIAAgACAAXAAiAEQAcgB5ACAAYwBsAGkAbQBhAHQAZQAgAHoAbwBuAGUAXAAiACwAIAAwAC4AMAAwADIAXABuACAAIAAgACAAIAAgACAAIAB9ACwAIAByACwAIABjACkAXABuACAAIAAgACAAIAAgACkAXABuACAAIAAgACAAKQBcAG4AIAAgACkAOwBcAG4AXABuACAAIABDAG8AbQBtAG8AbgBfAFMAbwB1AHIAYwBlAEQAYQB0AGEAXwBFAEYAUABhAHMAdAB1AHIAZQBSAGEAbgBnAGUAQQBuAGQAUABhAGQAZABvAGMAawBfAFYAYQByAGkAYQB0AGkAbwBuAFwAbgAgACAAPQBMAEEATQBCAEQAQQAoAFwAIgBWAEEAUgBJAEEAVABJAE8ATgAgAEYAUgBPAE0AIABTAE8AVQBSAEMARQAgAEQAQQBUAEEAOgAgAEMAaABhAG4AZwBlAGQAIABcAHUAMAAwADIANwBEAHIAeQAgAGMAbABpAG0AYQB0AGUAIAB6AG8AbgBlAHMAXAB1ADAAMAAyADcAIAB0AG8AIABzAGkAbgBnAHUAbABhAHIAIABcAHUAMAAwADIANwBEAHIAeQAgAGMAbABpAG0AYQB0AGUAIAB6AG8AbgBlAFwAdQAwADAAMgA3ACAAdABvACAAYQBpAGQAIABsAG8AbwBrAHUAcAAuAFwAIgApADsAXABuAFwAbgBcAG4ALwAqACAAXABuAC0ALQAtAC0ALQAtAC0ALQAtAC0ALQAtAC0ALQAtAC0ALQAtAC0ALQAtAC0ALQAtAC0ALQAtAC0ALQAtAC0ALQAtAC0ALQAtAC0ALQBcAG4AQwBvAG0AbQBvAG4AXwBTAG8AdQByAGMAZQBEAGEAdABhAF8ATQBvAG4AdABoAHMAVABvAFMAZQBhAHMAbwBuAHMAXABuAC0ALQAtAC0ALQAtAC0ALQAtAC0ALQAtAC0ALQAtAC0ALQAtAC0ALQAtAC0ALQAtAC0ALQAtAC0ALQAtAC0ALQAtAC0ALQAtAC0ALQBcAG4AKgAvAFwAbgBcAG4AQwBvAG0AbQBvAG4AXwBTAG8AdQByAGMAZQBEAGEAdABhAF8ATQBvAG4AdABoAHMAVABvAFMAZQBhAHMAbwBuAHMAXwBUAGkAdABsAGUAXABuACAAIAA9AEwAQQBNAEIARABBACgAXAAiAE0AbwBuAHQAaABzACAAdABvACAAUwBlAGEAcwBvAG4AcwAgAE0AYQBwAHAAaQBuAGcAXAAiACkAOwBcAG4AXABuAEMAbwBtAG0AbwBuAF8AUwBvAHUAcgBjAGUARABhAHQAYQBfAE0AbwBuAHQAaABzAFQAbwBTAGUAYQBzAG8AbgBzAF8AVQBuAGkAdABcAG4AIAAgAD0ATABBAE0AQgBEAEEAKABcACIAXAAiACkAOwBcAG4AXABuAEMAbwBtAG0AbwBuAF8AUwBvAHUAcgBjAGUARABhAHQAYQBfAE0AbwBuAHQAaABzAFQAbwBTAGUAYQBzAG8AbgBzAF8AUwBvAHUAcgBjAGUAXABuACAAIAA9AEwAQQBNAEIARABBACgAXAAiAFwAIgApADsAXABuAFwAbgBDAG8AbQBtAG8AbgBfAFMAbwB1AHIAYwBlAEQAYQB0AGEAXwBNAG8AbgB0AGgAcwBUAG8AUwBlAGEAcwBvAG4AcwBfAE4ASQBSAFIAZQBmAGUAcgBlAG4AYwBlAFwAbgAgACAAPQBMAEEATQBCAEQAQQAoAFwAIgBcACIAKQA7AFwAbgBcAG4AQwBvAG0AbQBvAG4AXwBTAG8AdQByAGMAZQBEAGEAdABhAF8ATQBvAG4AdABoAHMAVABvAFMAZQBhAHMAbwBuAHMAXwBEAGEAdABhAFwAbgAgACAAPQBMAEEATQBCAEQAQQAoAFwAbgAgACAAIAAgAE0AQQBLAEUAQQBSAFIAQQBZACgAMQAzACwAIAAyACwAIABcAG4AIAAgACAAIAAgACAATABBAE0AQgBEAEEAKAByACwAYwAsACAAXABuACAAIAAgACAAIAAgACAAIABJAE4ARABFAFgAKAB7AFwAbgAgACAAIAAgACAAIAAgACAAIAAgAFwAIgBNAG8AbgB0AGgAXAAiACwAIABcACIAUwBlAGEAcwBvAG4AXAAiADsAXABuACAAIAAgACAAIAAgACAAIAAgACAAXAAiAEoAYQBuAHUAYQByAHkAXAAiACwAIABcACIAUwB1AG0AbQBlAHIAXAAiADsAXABuACAAIAAgACAAIAAgACAAIAAgACAAXAAiAEYAZQBiAHIAdQBhAHIAeQBcACIALAAgAFwAIgBTAHUAbQBtAGUAcgBcACIAOwBcAG4AIAAgACAAIAAgACAAIAAgACAAIABcACIATQBhAHIAYwBoAFwAIgAsACAAXAAiAEEAdQB0AHUAbQBuAFwAIgA7AFwAbgAgACAAIAAgACAAIAAgACAAIAAgAFwAIgBBAHAAcgBpAGwAXAAiACwAIABcACIAQQB1AHQAdQBtAG4AXAAiADsAXABuACAAIAAgACAAIAAgACAAIAAgACAAXAAiAE0AYQB5AFwAIgAsACAAXAAiAEEAdQB0AHUAbQBuAFwAIgA7AFwAbgAgACAAIAAgACAAIAAgACAAIAAgAFwAIgBKAHUAbgBlAFwAIgAsACAAXAAiAFcAaQBuAHQAZQByAFwAIgA7AFwAbgAgACAAIAAgACAAIAAgACAAIAAgAFwAIgBKAHUAbAB5AFwAIgAsACAAXAAiAFcAaQBuAHQAZQByAFwAIgA7AFwAbgAgACAAIAAgACAAIAAgACAAIAAgAFwAIgBBAHUAZwB1AHMAdABcACIALAAgAFwAIgBXAGkAbgB0AGUAcgBcACIAOwBcAG4AIAAgACAAIAAgACAAIAAgACAAIABcACIAUwBlAHAAdABlAG0AYgBlAHIAXAAiACwAIABcACIAUwBwAHIAaQBuAGcAXAAiADsAXABuACAAIAAgACAAIAAgACAAIAAgACAAXAAiAE8AYwB0AG8AYgBlAHIAXAAiACwAIABcACIAUwBwAHIAaQBuAGcAXAAiADsAXABuACAAIAAgACAAIAAgACAAIAAgACAAXAAiAE4AbwB2AGUAbQBiAGUAcgBcACIALAAgAFwAIgBTAHAAcgBpAG4AZwBcACIAOwBcAG4AIAAgACAAIAAgACAAIAAgACAAIABcACIARABlAGMAZQBtAGIAZQByAFwAIgAsACAAXAAiAFMAdQBtAG0AZQByAFwAIgBcAG4AIAAgACAAIAAgACAAIAAgAH0ALAAgAHIALAAgAGMAKQBcAG4AIAAgACAAIAAgACAAKQBcAG4AIAAgACAAIAApAFwAbgAgACAAKQA7AFwAbgBcAG4AIAAgAEMAbwBtAG0AbwBuAF8AUwBvAHUAcgBjAGUARABhAHQAYQBfAE0AbwBuAHQAaABzAFQAbwBTAGUAYQBzAG8AbgBzAF8AVgBhAHIAaQBhAHQAaQBvAG4AXABuACAAIAA9AEwAQQBNAEIARABBACgAXAAiAFwAIgApADsAXABuAFwAbgBcAG4AXABuAFwAbgAiAH0ALAB7ACIAcABhAHQAaAAiADoAIgAvAHAAcgBvAGoAZQBjAHQAcwAvAEMAbwBtAG0AbwBuAF8ARQBxAHUAYQB0AGkAbwBuAHMAIgAsACIAdABlAHgAdAAiADoAIgBcAG4ALwAqACAAXABuAC0ALQAtAC0ALQAtAC0ALQAtAC0ALQAtAC0ALQAtAC0ALQAtAC0ALQAtAC0ALQAtAC0ALQAtAC0ALQAtAC0ALQAtAC0ALQAtAC0ALQBcAG4AQwBvAG0AbQBvAG4AXwBDAG8AbgB2AGUAcgB0AE4AMgBPAFQAbwBDAE8AMgBlAFwAbgBDAG8AbgB2AGUAcgB0ACAAbgBpAHQAcgBvAHUAcwAgAG8AeABpAGQAZQAgAGUAbQBpAHMAcwBpAG8AbgBzACAAdABvACAAYwBhAHIAYgBvAG4AIABkAGkAbwB4AGkAZABlACAAZQBxAHUAaQB2AGEAbABlAG4AdAAgAGUAbQBpAHMAcwBpAG8AbgBzAFwAbgBFAE4AMgBPACAAQwBPADIAZQBcAG4AdAAgAEMATwAyAGUAXABuAEUATgAyAE8AOgAgAG4AaQB0AHIAbwB1AHMAIABvAHgAaQBkAGUAIABlAG0AaQBzAHMAaQBvAG4AcwAgACgAdAAgAE4AMgBPACkAXABuAEcAVwBQAE4AMgBPADoAIABnAGwAbwBiAGEAbAAgAHcAYQByAG0AaQBuAGcAIABwAG8AdABlAG4AdABpAGEAbAAgAGYAbwByACAAbgBpAHQAcgBvAHUAcwAgAG8AeABpAGQAZQAgACgAdAAgAEMATwAyAC0AZQAgAC8AIAB0ACAATgAyAE8AKQBcAG4ALQAtAC0ALQAtAC0ALQAtAC0ALQAtAC0ALQAtAC0ALQAtAC0ALQAtAC0ALQAtAC0ALQAtAC0ALQAtAC0ALQAtAC0ALQAtAC0ALQAtAFwAbgAqAC8AXABuAFwAbgBcAG4AQwBvAG0AbQBvAG4AXwBDAG8AbgB2AGUAcgB0AE4AMgBPAFQAbwBDAE8AMgBlAFwAbgAgACAAPQBMAEEATQBCAEQAQQAoAFwAbgAgACAAIAAgAEUAXwBOADIATwAsACAARwBXAFAAXwBOADIATwAsAFwAbgAgACAAIAAgAEUAXwBOADIATwAgACoAIABHAFcAUABfAE4AMgBPAFwAbgAgACAAKQBcAG4AOwBcAG4AXABuAEMAbwBtAG0AbwBuAF8AQwBvAG4AdgBlAHIAdABOADIATwBUAG8AQwBPADIAZQBfAFQAaQB0AGwAZQBcAG4AIAAgAD0ATABBAE0AQgBEAEEAKABcACIAQwBvAG4AdgBlAHIAdAAgAG4AaQB0AHIAbwB1AHMAIABvAHgAaQBkAGUAIABlAG0AaQBzAHMAaQBvAG4AcwAgAHQAbwAgAGMAYQByAGIAbwBuACAAZABpAG8AeABpAGQAZQAgAGUAcQB1AGkAdgBhAGwAZQBuAHQAIABlAG0AaQBzAHMAaQBvAG4AcwBcACIAKQA7AFwAbgBcAG4AQwBvAG0AbQBvAG4AXwBDAG8AbgB2AGUAcgB0AE4AMgBPAFQAbwBDAE8AMgBlAF8AVgBhAHIAaQBhAGIAbABlAFwAbgAgACAAPQBMAEEATQBCAEQAQQAoAFwAIgBFAE4AMgBPACAAQwBPADIAZQBcACIAKQA7AFwAbgBcAG4AQwBvAG0AbQBvAG4AXwBDAG8AbgB2AGUAcgB0AE4AMgBPAFQAbwBDAE8AMgBlAF8AVQBuAGkAdABcAG4AIAAgAD0ATABBAE0AQgBEAEEAKABcACIAdAAgAEMATwAyAGUAXAAiACkAOwBcAG4AXABuAEMAbwBtAG0AbwBuAF8AQwBvAG4AdgBlAHIAdABOADIATwBUAG8AQwBPADIAZQBfAE4ASQBSAFIAZQBmAGUAcgBlAG4AYwBlAFwAbgAgACAAPQBMAEEATQBCAEQAQQAoAFwAIgBcACIAKQA7AFwAbgBcAG4AQwBvAG0AbQBvAG4AXwBDAG8AbgB2AGUAcgB0AE4AMgBPAFQAbwBDAE8AMgBlAF8ATABhAHQAZQB4AEUAcQB1AGEAdABpAG8AbgBcAG4AIAAgAD0ATABBAE0AQgBEAEEAKABcACIAQwBPADIAXwBlACAAPQAgAEUAXwB7AE4AMgBPAH0AIABcAFwAdABpAG0AZQBzACAARwBXAFAAXwB7AE4AMgBPAH0AXAAiACkAOwBcAG4AXABuAEMAbwBtAG0AbwBuAF8AQwBvAG4AdgBlAHIAdABOADIATwBUAG8AQwBPADIAZQBfAEEAcgBnAHUAbQBlAG4AdABzAFwAbgAgACAAPQBMAEEATQBCAEQAQQAoAFwAbgAgACAAIAAgAE0AQQBLAEUAQQBSAFIAQQBZACgAMgAsACAAMgAsACAAXABuACAAIAAgACAAIAAgAEwAQQBNAEIARABBACgAcgAsAGMALAAgAFwAbgAgACAAIAAgACAAIAAgACAASQBOAEQARQBYACgAewBcAG4AIAAgACAAIAAgACAAIAAgACAAIABcACIARQBOADIATwBcACIALABcACIATgBpAHQAcgBvAHUAcwAgAG8AeABpAGQAZQAgAGUAbQBpAHMAcwBpAG8AbgBzACAAKAB0ACAATgAyAE8AKQBcACIAOwBcAG4AIAAgACAAIAAgACAAIAAgACAAIABcACIARwBXAFAATgAyAE8AXAAiACwAXAAiAEcAbABvAGIAYQBsACAAdwBhAHIAbQBpAG4AZwAgAHAAbwB0AGUAbgB0AGkAYQBsACAAZgBvAHIAIABuAGkAdAByAG8AdQBzACAAbwB4AGkAZABlACAAKAB0ACAAQwBPADIALQBlACAALwAgAHQAIABOADIATwApAFwAIgBcAG4AIAAgACAAIAAgACAAIAAgAH0ALAAgAHIALAAgAGMAKQBcAG4AIAAgACAAIAAgACAAKQBcAG4AIAAgACAAIAApAFwAbgAgACAAKQA7AFwAbgBcAG4ALwAqACAAXABuAC0ALQAtAC0ALQAtAC0ALQAtAC0ALQAtAC0ALQAtAC0ALQAtAC0ALQAtAC0ALQAtAC0ALQAtAC0ALQAtAC0ALQAtAC0ALQAtAC0ALQBcAG4AQwBvAG0AbQBvAG4AXwBDAG8AbgB2AGUAcgB0AEMASAA0AFQAbwBDAE8AMgBlAFwAbgBDAG8AbgB2AGUAcgB0ACAAbQBlAHQAaABhAG4AZQAgAGUAbQBpAHMAcwBpAG8AbgBzACAAdABvACAAYwBhAHIAYgBvAG4AIABkAGkAbwB4AGkAZABlACAAZQBxAHUAaQB2AGEAbABlAG4AdAAgAGUAbQBpAHMAcwBpAG8AbgBzAFwAbgBFAEMASAA0ACAAQwBPADIAZQBcAG4AdAAgAEMATwAyAGUAXABuAEUAQwBIADQAOgAgAG0AZQB0AGgAYQBuAGUAIABlAG0AaQBzAHMAaQBvAG4AcwAgACgAdAAgAEMASAA0ACkAXABuAEcAVwBQAEMASAA0ADoAIABnAGwAbwBiAGEAbAAgAHcAYQByAG0AaQBuAGcAIABwAG8AdABlAG4AdABpAGEAbAAgAGYAbwByACAAbQBlAHQAaABhAG4AZQAgACgAdAAgAEMATwAyAC0AZQAgAC8AIAB0ACAAQwBIADQAKQBcAG4ALQAtAC0ALQAtAC0ALQAtAC0ALQAtAC0ALQAtAC0ALQAtAC0ALQAtAC0ALQAtAC0ALQAtAC0ALQAtAC0ALQAtAC0ALQAtAC0ALQAtAFwAbgAqAC8AXABuAFwAbgBcAG4AQwBvAG0AbQBvAG4AXwBDAG8AbgB2AGUAcgB0AEMASAA0AFQAbwBDAE8AMgBlAFwAbgAgACAAPQBMAEEATQBCAEQAQQAoAFwAbgAgACAAIAAgAEUAXwBDAEgANAAsACAARwBXAFAAXwBDAEgANAAsAFwAbgAgACAAIAAgAEUAXwBDAEgANAAgACoAIABHAFcAUABfAEMASAA0AFwAbgAgACAAKQBcAG4AOwBcAG4AXABuAEMAbwBtAG0AbwBuAF8AQwBvAG4AdgBlAHIAdABDAEgANABUAG8AQwBPADIAZQBfAFQAaQB0AGwAZQBcAG4AIAAgAD0ATABBAE0AQgBEAEEAKABcACIAQwBvAG4AdgBlAHIAdAAgAG0AZQB0AGgAYQBuAGUAIABlAG0AaQBzAHMAaQBvAG4AcwAgAHQAbwAgAGMAYQByAGIAbwBuACAAZABpAG8AeABpAGQAZQAgAGUAcQB1AGkAdgBhAGwAZQBuAHQAIABlAG0AaQBzAHMAaQBvAG4AcwBcACIAKQA7AFwAbgBcAG4AQwBvAG0AbQBvAG4AXwBDAG8AbgB2AGUAcgB0AEMASAA0AFQAbwBDAE8AMgBlAF8AVgBhAHIAaQBhAGIAbABlAFwAbgAgACAAPQBMAEEATQBCAEQAQQAoAFwAIgBFAEMASAA0ACAAQwBPADIAZQBcACIAKQA7AFwAbgBcAG4AQwBvAG0AbQBvAG4AXwBDAG8AbgB2AGUAcgB0AEMASAA0AFQAbwBDAE8AMgBlAF8AVQBuAGkAdABcAG4AIAAgAD0ATABBAE0AQgBEAEEAKABcACIAdAAgAEMATwAyAGUAXAAiACkAOwBcAG4AXABuAEMAbwBtAG0AbwBuAF8AQwBvAG4AdgBlAHIAdABDAEgANABUAG8AQwBPADIAZQBfAE4ASQBSAFIAZQBmAGUAcgBlAG4AYwBlAFwAbgAgACAAPQBMAEEATQBCAEQAQQAoAFwAIgBcACIAKQA7AFwAbgBcAG4AQwBvAG0AbQBvAG4AXwBDAG8AbgB2AGUAcgB0AEMASAA0AFQAbwBDAE8AMgBlAF8ATABhAHQAZQB4AEUAcQB1AGEAdABpAG8AbgBcAG4AIAAgAD0ATABBAE0AQgBEAEEAKABcACIAQwBPADIAXwBlACAAPQAgAEUAXwB7AEMASAA0AH0AIABcAFwAdABpAG0AZQBzACAARwBXAFAAXwB7AEMASAA0AH0AXAAiACkAOwBcAG4AXABuAEMAbwBtAG0AbwBuAF8AQwBvAG4AdgBlAHIAdABDAEgANABUAG8AQwBPADIAZQBfAEEAcgBnAHUAbQBlAG4AdABzAFwAbgAgACAAPQBMAEEATQBCAEQAQQAoAFwAbgAgACAAIAAgAE0AQQBLAEUAQQBSAFIAQQBZACgAMgAsACAAMgAsACAAXABuACAAIAAgACAAIAAgAEwAQQBNAEIARABBACgAcgAsAGMALAAgAFwAbgAgACAAIAAgACAAIAAgACAASQBOAEQARQBYACgAewBcAG4AIAAgACAAIAAgACAAIAAgACAAIABcACIARQBDAEgANABcACIALABcACIATQBlAHQAaABhAG4AZQAgAGUAbQBpAHMAcwBpAG8AbgBzACAAKAB0ACAAQwBIADQAKQBcACIAOwBcAG4AIAAgACAAIAAgACAAIAAgACAAIABcACIARwBXAFAAQwBIADQAXAAiACwAXAAiAEcAbABvAGIAYQBsACAAdwBhAHIAbQBpAG4AZwAgAHAAbwB0AGUAbgB0AGkAYQBsACAAZgBvAHIAIABtAGUAdABoAGEAbgBlACAAKAB0ACAAQwBPADIALQBlACAALwAgAHQAIABDAEgANAApAFwAIgBcAG4AIAAgACAAIAAgACAAIAAgAH0ALAAgAHIALAAgAGMAKQBcAG4AIAAgACAAIAAgACAAKQBcAG4AIAAgACAAIAApAFwAbgAgACAAKQA7ACIAfQAsAHsAIgBwAGEAdABoACIAOgAiAC8AcAByAG8AagBlAGMAdABzAC8AQwBvAG0AbQBvAG4ATABpAHYAZQBzAHQAbwBjAGsAXwBTAG8AdQByAGMAZQBEAGEAdABhACIALAAiAHQAZQB4AHQAIgA6ACIALwAqAFwAbgA9AD0APQA9AD0APQA9AD0APQA9AD0APQA9AD0APQA9AD0APQA9AD0APQA9AD0APQA9AD0APQA9AD0APQA9AD0APQA9AD0APQA9AD0APQA9AD0APQA9AD0APQA9AD0APQA9AD0APQA9AD0APQA9AD0APQA9AD0APQA9AD0APQA9AD0APQA9AD0APQA9AD0APQA9AD0APQA9AFwAbgA9AD0APQA9AD0APQA9AD0APQA9AD0APQA9AD0APQA9AD0APQA9AD0APQA9AD0APQA9AD0APQA9AD0APQA9AD0APQA9AD0APQA9AD0APQA9AD0APQA9AD0APQA9AD0APQA9AD0APQA9AD0APQA9AD0APQA9AD0APQA9AD0APQA9AD0APQA9AD0APQA9AD0APQA9AD0APQA9AFwAbgBTAG8AdQByAGMAZQAgAGQAYQB0AGEAIAB0AGgAYQB0ACAAaQBzACAAYwBvAG0AbQBvAG4AIABhAGMAcgBvAHMAcwAgAGEAbABsACAAbABpAHYAZQBzAHQAbwBjAGsAIAB0AHkAcABlAHMAXABuAEUAeABjAGUAbAAgAG0AbwBkAHUAbABlACAAbgBhAG0AZQA6ACAAUwBvAHUAcgBjAGUARABhAHQAYQBfAEwAaQB2AGUAcwB0AG8AYwBrAF8AQwBvAG0AbQBvAG4AXABuAD0APQA9AD0APQA9AD0APQA9AD0APQA9AD0APQA9AD0APQA9AD0APQA9AD0APQA9AD0APQA9AD0APQA9AD0APQA9AD0APQA9AD0APQA9AD0APQA9AD0APQA9AD0APQA9AD0APQA9AD0APQA9AD0APQA9AD0APQA9AD0APQA9AD0APQA9AD0APQA9AD0APQA9AD0APQA9AD0AXABuAD0APQA9AD0APQA9AD0APQA9AD0APQA9AD0APQA9AD0APQA9AD0APQA9AD0APQA9AD0APQA9AD0APQA9AD0APQA9AD0APQA9AD0APQA9AD0APQA9AD0APQA9AD0APQA9AD0APQA9AD0APQA9AD0APQA9AD0APQA9AD0APQA9AD0APQA9AD0APQA9AD0APQA9AD0APQA9AD0AXABuACoALwBcAG4AXABuAC8AKgBcAG4APQA9AD0APQA9AD0APQA9AD0APQA9AD0APQA9AD0APQA9AD0APQA9AD0APQA9AD0APQA9AD0APQA9AD0APQA9AD0APQA9AD0APQA9AFwAbgA9AD0APQA9AD0APQA9AD0APQA9AD0APQA9AD0APQA9AD0APQA9AD0APQA9AD0APQA9AD0APQA9AD0APQA9AD0APQA9AD0APQA9AD0AXABuAFMAbwB1AHIAYwBlADoAIABOAGEAdABpAG8AbgBhAGwAIABJAG4AdgBlAG4AdABvAHIAeQAgAFIAZQBwAG8AcgB0ACAAMgAwADIAMwAgAFYAbwBsAHUAbQBlACAAMQBcAG4ATgBJAFIAXwAyADAAMgAzAF8AVgBvAGwAMQBcAG4APQA9AD0APQA9AD0APQA9AD0APQA9AD0APQA9AD0APQA9AD0APQA9AD0APQA9AD0APQA9AD0APQA9AD0APQA9AD0APQA9AD0APQA9AFwAbgA9AD0APQA9AD0APQA9AD0APQA9AD0APQA9AD0APQA9AD0APQA9AD0APQA9AD0APQA9AD0APQA9AD0APQA9AD0APQA9AD0APQA9AD0AXABuACoALwBcAG4AXABuAC8AKgAgAFwAbgAtAC0ALQAtAC0ALQAtAC0ALQAtAC0ALQAtAC0ALQAtAC0ALQAtAC0ALQAtAC0ALQAtAC0ALQAtAC0ALQAtAC0ALQAtAC0ALQAtAC0AXABuAFMAbwB1AHIAYwBlAEQAYQB0AGEAXwBMAGkAdgBlAHMAdABvAGMAawBfAEMAbwBtAG0AbwBuAF8ARgByAGEAYwBXAEUAVABNAE0AUwBcAG4ARgByAGEAYwBXAEUAVABNAE0AUwBpACAAPQAgAEYAcgBhAGMAdABpAG8AbgAgAG8AZgAgAE4AIABhAHYAYQBpAGwAYQBiAGwAZQAgAGYAbwByACAAbABlAGEAYwBoAGkAbgBnACAAYQBuAGQAIAByAHUAbgBvAGYAZgBcAG4AKABUAGEAYgBsAGUAIABBADUALgA1AC4AMQAwAC4AMgAgAGkAcwAgAHIAZQBmAGUAcgBlAG4AYwBlAGQAIABpAG4AIABOAEkAUgAgAGIAdQB0ACAAMQAgAGkAcwAgAHUAcwBlAGQAKQBcAG4ALQAtAC0ALQAtAC0ALQAtAC0ALQAtAC0ALQAtAC0ALQAtAC0ALQAtAC0ALQAtAC0ALQAtAC0ALQAtAC0ALQAtAC0ALQAtAC0ALQAtAFwAbgAqAC8AXABuAFwAbgBTAG8AdQByAGMAZQBEAGEAdABhAF8ATABpAHYAZQBzAHQAbwBjAGsAXwBDAG8AbQBtAG8AbgBfAEYAcgBhAGMAVwBFAFQATQBNAFMAXwBUAGkAdABsAGUAXABuACAAIAA9AEwAQQBNAEIARABBACgAXAAiAEYAcgBhAGMAdABpAG8AbgAgAG8AZgAgAE4AIABhAHYAYQBpAGwAYQBiAGwAZQAgAGYAbwByACAAbABlAGEAYwBoAGkAbgBnACAAYQBuAGQAIAByAHUAbgBvAGYAZgBcACIAKQA7AFwAbgBcAG4AUwBvAHUAcgBjAGUARABhAHQAYQBfAEwAaQB2AGUAcwB0AG8AYwBrAF8AQwBvAG0AbQBvAG4AXwBGAHIAYQBjAFcARQBUAE0ATQBTAF8AVQBuAGkAdABcAG4AIAAgAD0ATABBAE0AQgBEAEEAKABcACIARgByAGEAYwB0AGkAbwBuAFwAIgApADsAXABuAFwAbgBTAG8AdQByAGMAZQBEAGEAdABhAF8ATABpAHYAZQBzAHQAbwBjAGsAXwBDAG8AbQBtAG8AbgBfAEYAcgBhAGMAVwBFAFQATQBNAFMAXwBTAG8AdQByAGMAZQBcAG4AIAAgAD0ATABBAE0AQgBEAEEAKABcACIATgBhAHQAaQBvAG4AYQBsACAASQBuAHYAZQBuAHQAbwByAHkAIABSAGUAcABvAHIAdAAgADIAMAAyADMAIABWAG8AbAB1AG0AZQAgADEAOgAgAEUAcQB1AGEAdABpAG8AbgBzACAAMwAuAEIALgA1AGEAXwAzACwAIAAzAC4AQgAuADUAYwBfADMALAAgADMALgBCAC4ANQBkAF8AMwBcACIAKQA7AFwAbgBcAG4AUwBvAHUAcgBjAGUARABhAHQAYQBfAEwAaQB2AGUAcwB0AG8AYwBrAF8AQwBvAG0AbQBvAG4AXwBGAHIAYQBjAFcARQBUAE0ATQBTAF8ARABhAHQAYQBcAG4AIAAgAD0ATABBAE0AQgBEAEEAKAAxACkAOwBcAG4AXABuAC8AKgAgAFwAbgAtAC0ALQAtAC0ALQAtAC0ALQAtAC0ALQAtAC0ALQAtAC0ALQAtAC0ALQAtAC0ALQAtAC0ALQAtAC0ALQAtAC0ALQAtAC0ALQAtAC0AXABuAFMAbwB1AHIAYwBlAEQAYQB0AGEAXwBMAGkAdgBlAHMAdABvAGMAawBfAEMAbwBtAG0AbwBuAF8ARgByAGEAYwBMAEUAQQBDAEgAXwBNAFMAXABuAEYAcgBhAGMATABFAEEAQwBIAF8ATQBTACAAPQAgADAALgAwADIAIAAoAEcAZwAgAE4ALwBHAGcAIABhAHAAcABsAGkAZQBkACkAIAAoAEMAUwAgAEUARgAsACAAcwBvAHUAcgBjAGUAIABJAFAAQwBDACAAKAAyADAAMQA5ACkAKQAgAFwAbgBmAHIAYQBjAHQAaQBvAG4AIABvAGYAIABOACAAbABvAHMAdAAgAHQAaAByAG8AdQBnAGgAIABsAGUAYQBjAGgAaQBuAGcAIABhAG4AZAAgAHIAdQBuAG8AZgBmAFwAbgAtAC0ALQAtAC0ALQAtAC0ALQAtAC0ALQAtAC0ALQAtAC0ALQAtAC0ALQAtAC0ALQAtAC0ALQAtAC0ALQAtAC0ALQAtAC0ALQAtAC0AXABuACoALwBcAG4AXABuAFMAbwB1AHIAYwBlAEQAYQB0AGEAXwBMAGkAdgBlAHMAdABvAGMAawBfAEMAbwBtAG0AbwBuAF8ARgByAGEAYwBMAEUAQQBDAEgAXwBNAFMAXwBUAGkAdABsAGUAXABuACAAIAA9AEwAQQBNAEIARABBACgAXAAiAEYAcgBhAGMAdABpAG8AbgAgAG8AZgAgAE4AIABsAG8AcwB0ACAAdABoAHIAbwB1AGcAaAAgAGwAZQBhAGMAaABpAG4AZwAgAGEAbgBkACAAcgB1AG4AbwBmAGYAXAAiACkAOwBcAG4AXABuAFMAbwB1AHIAYwBlAEQAYQB0AGEAXwBMAGkAdgBlAHMAdABvAGMAawBfAEMAbwBtAG0AbwBuAF8ARgByAGEAYwBMAEUAQQBDAEgAXwBNAFMAXwBVAG4AaQB0AFwAbgAgACAAPQBMAEEATQBCAEQAQQAoAFwAIgBGAHIAYQBjAHQAaQBvAG4AXAAiACkAOwBcAG4AXABuAFMAbwB1AHIAYwBlAEQAYQB0AGEAXwBMAGkAdgBlAHMAdABvAGMAawBfAEMAbwBtAG0AbwBuAF8ARgByAGEAYwBMAEUAQQBDAEgAXwBNAFMAXwBTAG8AdQByAGMAZQBcAG4AIAAgAD0ATABBAE0AQgBEAEEAKABcACIATgBhAHQAaQBvAG4AYQBsACAASQBuAHYAZQBuAHQAbwByAHkAIABSAGUAcABvAHIAdAAgADIAMAAyADMAIABWAG8AbAB1AG0AZQAgADEAOgAgAEUAcQB1AGEAdABpAG8AbgBzACAAMwAuAEIALgA1AGEAXwAzACwAIAAzAC4AQgAuADUAYwBfADMALAAgADMALgBCAC4ANQBkAF8AMwBcACIAKQA7AFwAbgBcAG4AUwBvAHUAcgBjAGUARABhAHQAYQBfAEwAaQB2AGUAcwB0AG8AYwBrAF8AQwBvAG0AbQBvAG4AXwBGAHIAYQBjAEwARQBBAEMASABfAE0AUwBfAEQAYQB0AGEAXABuACAAIAA9AEwAQQBNAEIARABBACgAXABuACAAIAAgACAATQBBAEsARQBBAFIAUgBBAFkAKAA4ACwAIAAyACwAIABcAG4AIAAgACAAIAAgACAATABBAE0AQgBEAEEAKAByACwAYwAsACAAXABuACAAIAAgACAAIAAgACAAIABJAE4ARABFAFgAKAB7AFwAbgAgACAAIAAgACAAIAAgACAAIAAgAFwAIgBQAHIAbwBkAHUAYwB0AGkAbwBuACAAcwB5AHMAdABlAG0AXAAiACwAIABcACIARQBtAGkAcwBzAGkAbwBuACAAZgBhAGMAdABvAHIAXAAiADsAXABuACAAIAAgACAAIAAgACAAIAAgACAAIAAgAFwAIgBJAHIAcgBpAGcAYQB0AGUAZAAgAHAAYQBzAHQAdQByAGUAXAAiACwAIAAwAC4AMAAwADUAOQA7AFwAbgAgACAAIAAgACAAIAAgACAAIAAgACAAIABcACIASQByAHIAaQBnAGEAdABlAGQAIABjAHIAbwBwAFwAIgAsACAAMAAuADAAMAA3ADsAXABuACAAIAAgACAAIAAgACAAIAAgACAAIAAgAFwAIgBOAG8AbgAtAGkAcgByAGkAZwBhAHQAZQBkACAAcABhAHMAdAB1AHIAZQBcACIALAAgADAALgAwADAAMQA4ADsAXABuACAAIAAgACAAIAAgACAAIAAgACAAIAAgAFwAIgBOAG8AbgAtAGkAcgByAGkAZwBhAHQAZQBkACAAYwByAG8AcABcACIALAAgADAALgAwADAANAAxADsAXABuACAAIAAgACAAIAAgACAAIAAgACAAIAAgAFwAIgBTAHUAZwBhAHIAIABjAGEAbgBlAFwAIgAsACAAMAAuADAAMQA5ADkAOwBcAG4AIAAgACAAIAAgACAAIAAgACAAIAAgACAAXAAiAEMAbwB0AHQAbwBuAFwAIgAsACAAMAAuADAAMAA1ADMAOwBcAG4AIAAgACAAIAAgACAAIAAgACAAIAAgACAAXAAiAEgAbwByAHQAaQBjAHUAbAB0AHUAcgBlAFwAIgAsACAAMAAuADAAMAA2ADQAXABuACAAIAAgACAAIAAgACAAIAB9ACwAIAByACwAIABjACkAXABuACAAIAAgACAAIAAgACkAXABuACAAIAAgACAAKQBcAG4AIAAgACkAOwBcAG4AXABuAFwAbgAvACoAIABcAG4ALQAtAC0ALQAtAC0ALQAtAC0ALQAtAC0ALQAtAC0ALQAtAC0ALQAtAC0ALQAtAC0ALQAtAC0ALQAtAC0ALQAtAC0ALQAtAC0ALQAtAFwAbgBTAG8AdQByAGMAZQBEAGEAdABhAF8ATABpAHYAZQBzAHQAbwBjAGsAXwBDAG8AbQBtAG8AbgBfAFMAeQBtAGIAbwBsAHMATQBNAFMAXABuAFQAYQBiAGwAZQAgADUALgAxADIAIABBAGQAZABpAHQAaQBvAG4AYQBsACAAcwB5AG0AYgBvAGwAcwAgAHUAcwBlAGQAIABpAG4AIABhAGwAZwBvAHIAaQB0AGgAbQBzACAAZgBvAHIAIABtAGEAbgB1AHIAZQAgAHIAZQBsAGEAdABlAGQAIABlAG0AaQBzAHMAaQBvAG4AcwBcAG4ALQAtAC0ALQAtAC0ALQAtAC0ALQAtAC0ALQAtAC0ALQAtAC0ALQAtAC0ALQAtAC0ALQAtAC0ALQAtAC0ALQAtAC0ALQAtAC0ALQAtAFwAbgAqAC8AXABuAFwAbgBTAG8AdQByAGMAZQBEAGEAdABhAF8ATABpAHYAZQBzAHQAbwBjAGsAXwBDAG8AbQBtAG8AbgBfAFMAeQBtAGIAbwBsAHMATQBNAFMAXwBUAGkAdABsAGUAXABuACAAIAA9AEwAQQBNAEIARABBACgAXAAiAFQAYQBiAGwAZQAgADUALgAxADIAIABBAGQAZABpAHQAaQBvAG4AYQBsACAAcwB5AG0AYgBvAGwAcwAgAHUAcwBlAGQAIABpAG4AIABhAGwAZwBvAHIAaQB0AGgAbQBzACAAZgBvAHIAIABtAGEAbgB1AHIAZQAgAHIAZQBsAGEAdABlAGQAIABlAG0AaQBzAHMAaQBvAG4AcwBcACIAKQA7AFwAbgBcAG4AUwBvAHUAcgBjAGUARABhAHQAYQBfAEwAaQB2AGUAcwB0AG8AYwBrAF8AQwBvAG0AbQBvAG4AXwBTAHkAbQBiAG8AbABzAE0ATQBTAF8AVgBhAGkAcgBhAGIAbABlAFwAbgAgACAAPQBMAEEATQBCAEQAQQAoAFwAIgBNAE0AUwBcACIAKQA7AFwAbgBcAG4AUwBvAHUAcgBjAGUARABhAHQAYQBfAEwAaQB2AGUAcwB0AG8AYwBrAF8AQwBvAG0AbQBvAG4AXwBTAHkAbQBiAG8AbABzAE0ATQBTAF8AVQBuAGkAdABcAG4AIAAgAD0ATABBAE0AQgBEAEEAKABcACIAXAAiACkAOwBcAG4AXABuAFMAbwB1AHIAYwBlAEQAYQB0AGEAXwBMAGkAdgBlAHMAdABvAGMAawBfAEMAbwBtAG0AbwBuAF8AUwB5AG0AYgBvAGwAcwBNAE0AUwBfAFMAbwB1AHIAYwBlAFwAbgAgACAAPQBMAEEATQBCAEQAQQAoAFwAIgBOAGEAdABpAG8AbgBhAGwAIABJAG4AdgBlAG4AdABvAHIAeQAgAFIAZQBwAG8AcgB0ACAAMgAwADIAMwAgAFYAbwBsAHUAbQBlACAAMQA6ACAAVABhAGIAbABlACAANQAuADEAMgBcACIAKQA7AFwAbgBcAG4AUwBvAHUAcgBjAGUARABhAHQAYQBfAEwAaQB2AGUAcwB0AG8AYwBrAF8AQwBvAG0AbQBvAG4AXwBTAHkAbQBiAG8AbABzAE0ATQBTAF8ARABhAHQAYQBcAG4AIAAgAD0ATABBAE0AQgBEAEEAKABcAG4AIAAgACAAIABNAEEASwBFAEEAUgBSAEEAWQAoADEAOQAsACAAMwAsACAAXABuACAAIAAgACAAIAAgAEwAQQBNAEIARABBACgAcgAsAGMALAAgAFwAbgAgACAAIAAgACAAIAAgACAASQBOAEQARQBYACgAewBcAG4AIAAgACAAIAAgACAAIAAgACAAIABcACIAUwB5AG0AYgBvAGwAXAAiACwAIABcACIATQBhAG4AdQByAGUAIABtAGEAbgBhAGcAZQBtAGUAbgB0ACAAcwB5AHMAdABlAG0AXAAiACwAIABcACIAXAAiADsAXABuACAAIAAgACAAIAAgACAAIAAgACAAIAAgAFwAIgAxAFwAIgAsACAAXAAiAEEAbgBhAGUAcgBvAGIAaQBjACAAbABhAGcAbwBvAG4AXAAiACwAIABcACIAQQBuAGEAZQByAG8AYgBpAGMAIABsAGEAZwBvAG8AbgAgACgAbQA9ADEAKQBcACIAOwBcAG4AIAAgACAAIAAgACAAIAAgACAAIAAgACAAXAAiADIAXAAiACwAIABcACIATABpAHEAdQBpAGQAIABzAHkAcwB0AGUAbQBzAFwAIgAsACAAXAAiAEwAaQBxAHUAaQBkACAAcwB5AHMAdABlAG0AcwAgACgAbQA9ADIAKQBcACIAOwBcAG4AIAAgACAAIAAgACAAIAAgACAAIAAgACAAXAAiADMAXAAiACwAIABcACIARABhAGkAbAB5ACAAcwBwAHIAZQBhAGQAXAAiACwAIABcACIARABhAGkAbAB5ACAAcwBwAHIAZQBhAGQAIAAoAG0APQAzACkAXAAiADsAXABuACAAIAAgACAAIAAgACAAIAAgACAAIAAgAFwAIgAzAGEAXAAiACwAIABcACIAUwB1AG0AcAAgAGEAbgBkACAAZABpAHMAcABlAHIAcwBhAGwAIABzAHkAcwB0AGUAbQBcACIALAAgAFwAIgBTAHUAbQBwACAAYQBuAGQAIABkAGkAcwBwAGUAcgBzAGEAbAAgAHMAeQBzAHQAZQBtACAAKABtAD0AMwBhACkAXAAiADsAXABuACAAIAAgACAAIAAgACAAIAAgACAAIAAgAFwAIgAzAGIAXAAiACwAIABcACIARAByAGEAaQBuAHMAIAB0AG8AIABwAGEAZABkAG8AYwBrAFwAIgAsACAAXAAiAEQAcgBhAGkAbgBzACAAdABvACAAcABhAGQAZABvAGMAawAgACgAbQA9ADMAYgApAFwAIgA7AFwAbgAgACAAIAAgACAAIAAgACAAIAAgACAAIABcACIANABcACIALAAgAFwAIgBTAG8AbABpAGQAIABzAHQAbwByAGEAZwBlAFwAIgAsACAAXAAiAFMAbwBsAGkAZAAgAHMAdABvAHIAYQBnAGUAIAAoAG0APQA0ACkAXAAiADsAXABuACAAIAAgACAAIAAgACAAIAAgACAAIAAgAFwAIgA1AFwAIgAsACAAXAAiAEQAcgB5AGwAbwB0ACAAKABmAGUAZQBkACAAcABhAGQAKQBcACIALAAgAFwAIgBEAHIAeQBsAG8AdAAgACgAZgBlAGUAZAAgAHAAYQBkACkAIAAoAG0APQA1ACkAXAAiADsAXABuACAAIAAgACAAIAAgACAAIAAgACAAIAAgAFwAIgA2AFwAIgAsACAAXAAiAEMAbwBtAHAAbwBzAHQAaQBuAGcAIAAoAHAAYQBzAHMAaQB2AGUAIAB3AGkAbgBkAHIAbwB3ACkAXAAiACwAIABcACIAQwBvAG0AcABvAHMAdABpAG4AZwAgACgAcABhAHMAcwBpAHYAZQAgAHcAaQBuAGQAcgBvAHcAKQAgACgAbQA9ADYAKQBcACIAOwBcAG4AIAAgACAAIAAgACAAIAAgACAAIAAgACAAXAAiADcAXAAiACwAIABcACIARABpAGcAZQBzAHQAZQByACAALwAgAGMAbwB2AGUAcgBlAGQAIABsAGEAZwBvAG8AbgBzAFwAIgAsACAAXAAiAEQAaQBnAGUAcwB0AGUAcgAgAC8AIABjAG8AdgBlAHIAZQBkACAAbABhAGcAbwBvAG4AcwAgACgAbQA9ADcAKQBcACIAOwBcAG4AIAAgACAAIAAgACAAIAAgACAAIAAgACAAXAAiADgAXAAiACwAIABcACIARABlAGUAcAAgAGwAaQB0AHQAZQByAFwAIgAsACAAXAAiAEQAZQBlAHAAIABsAGkAdAB0AGUAcgAgACgAbQA9ADgAKQBcACIAOwBcAG4AIAAgACAAIAAgACAAIAAgACAAIAAgACAAXAAiADkAXAAiACwAIABcACIAUABpAHQAIABzAHQAbwByAGEAZwBlAFwAIgAsACAAXAAiAFAAaQB0ACAAcwB0AG8AcgBhAGcAZQAgACgAbQA9ADkAKQBcACIAOwBcAG4AIAAgACAAIAAgACAAIAAgACAAIAAgACAAXAAiADEAMABcACIALAAgAFwAIgBQAG8AdQBsAHQAcgB5ACAAbQBhAG4AdQByAGUAIAB3AGkAdABoACAAYgBlAGQAZABpAG4AZwBcACIALAAgAFwAIgBQAG8AdQBsAHQAcgB5ACAAbQBhAG4AdQByAGUAIAB3AGkAdABoACAAYgBlAGQAZABpAG4AZwAgACgAbQA9ADEAMAApAFwAIgA7AFwAbgAgACAAIAAgACAAIAAgACAAIAAgACAAIABcACIAMQAxAFwAIgAsACAAXAAiAFAAbwB1AGwAdAByAHkAIABtAGEAbgB1AHIAZQAgAHcAaQB0AGgAbwB1AHQAIABiAGUAZABkAGkAbgBnAFwAIgAsACAAXAAiAFAAbwB1AGwAdAByAHkAIABtAGEAbgB1AHIAZQAgAHcAaQB0AGgAbwB1AHQAIABiAGUAZABkAGkAbgBnACAAKABtAD0AMQAxACkAXAAiADsAXABuACAAIAAgACAAIAAgACAAIAAgACAAIAAgAFwAIgAxADEAYQBcACIALAAgAFwAIgBCAGUAbAB0ACAAbQBhAG4AdQByAGUAIAByAGUAbQBvAHYAYQBsAFwAIgAsACAAXAAiAEIAZQBsAHQAIABtAGEAbgB1AHIAZQAgAHIAZQBtAG8AdgBhAGwAIAAoAG0APQAxADEAYQApAFwAIgA7AFwAbgAgACAAIAAgACAAIAAgACAAIAAgACAAIABcACIAMQAxAGIAXAAiACwAIABcACIATQBhAG4AdQByAGUAIABzAHQAbwByAGUAZAAgAGkAbgAgAGgAbwB1AHMAZQBcACIALAAgAFwAIgBNAGEAbgB1AHIAZQAgAHMAdABvAHIAZQBkACAAaQBuACAAaABvAHUAcwBlACAAKABtAD0AMQAxAGIAKQBcACIAOwBcAG4AIAAgACAAIAAgACAAIAAgACAAIAAgACAAXAAiADEAMgBcACIALAAgAFwAIgBEAGkAcgBlAGMAdAAgAHAAcgBvAGMAZQBzAHMAaQBuAGcAXAAiACwAIABcACIARABpAHIAZQBjAHQAIABwAHIAbwBjAGUAcwBzAGkAbgBnACAAKABtAD0AMQAyACkAXAAiADsAXABuACAAIAAgACAAIAAgACAAIAAgACAAIAAgAFwAIgAxADMAXAAiACwAIABcACIARABpAHIAZQBjAHQAIABhAHAAcABsAGkAYwBhAHQAaQBvAG4AXAAiACwAIABcACIARABpAHIAZQBjAHQAIABhAHAAcABsAGkAYwBhAHQAaQBvAG4AIAAoAG0APQAxADMAKQBcACIAOwBcAG4AIAAgACAAIAAgACAAIAAgACAAIAAgACAAXAAiADEANABcACIALAAgAFwAIgBQAGEAcwB0AHUAcgBlACAAcgBhAG4AZwBlACAAYQBuAGQAIABwAGEAZABkAG8AYwBrAFwAIgAsACAAXAAiAFAAYQBzAHQAdQByAGUAIAByAGEAbgBnAGUAIABhAG4AZAAgAHAAYQBkAGQAbwBjAGsAIAAoAG0APQAxADQAKQBcACIAXABuACAAIAAgACAAIAAgACAAIAB9ACwAIAByACwAIABjACkAXABuACAAIAAgACAAIAAgACkAXABuACAAIAAgACAAKQBcAG4AIAAgACkAOwBcAG4AXABuACIAfQAsAHsAIgBwAGEAdABoACIAOgAiAC8AcAByAG8AagBlAGMAdABzAC8AQwBvAG0AbQBvAG4AXwBJAG4AcAB1AHQARgB1AG4AYwB0AGkAbwBuAHMAIgAsACIAdABlAHgAdAAiADoAIgBVAHQAaQBsAGkAdAB5AF8ARwBlAHQAQQByAHIAYQB5AFQAYQBiAGwAZQBSAG8AdwBTAHQAYQByAHQATgB1AG0AYgBlAHIAXABuAD0ATABBAE0AQgBEAEEAKABcAG4AIAAgACAAIABUAGEAYgBsAGUAaABlAGEAZABlAHIAQwBlAGwAbAAsAFIAbwB3AHMAQgBlAHQAdwBlAGUAbgBIAGUAYQBkAGUAcgBhAG4AZABBAHIAcgBhAHkALABcAG4AIAAgACAAIABSAE8AVwAoAFQAYQBiAGwAZQBoAGUAYQBkAGUAcgBDAGUAbABsACkAIAArACAAUgBvAHcAcwBCAGUAdAB3AGUAZQBuAEgAZQBhAGQAZQByAGEAbgBkAEEAcgByAGEAeQAgAC0AIAAxAFwAbgApADsAXABuAFwAbgBVAHQAaQBsAGkAdAB5AF8ARwBlAHQAQQByAHIAYQB5AFQAYQBiAGwAZQBDAG8AbAB1AG0AbgBTAHQAYQByAHQATgB1AG0AYgBlAHIAXABuAD0ATABBAE0AQgBEAEEAKABcAG4AIAAgAFQAYQBiAGwAZQBIAGUAYQBkAGUAcgBDAGUAbABsACwAXABuACAAIABDAE8ATABVAE0ATgAoAFQAYQBiAGwAZQBIAGUAYQBkAGUAcgBDAGUAbABsACkAXABuACkAOwBcAG4AXABuAFUAdABpAGwAaQB0AHkAXwBEAGkAcwBwAGwAYQB5AEEAcgByAGEAeQBJAG4AVABhAGIAbABlAFwAbgA9AEwAQQBNAEIARABBACgAXABuACAAQQByAHIAYQB5AEQAYQB0AGEALAAgAFQAYQBiAGwAZQBoAGUAYQBkAGUAcgBDAGUAbABsACwAIABSAG8AdwBzAEIAZQB0AHcAZQBlAG4ASABlAGEAZABlAHIAYQBuAGQAQQByAHIAYQB5ACwAIABbAEMAbwBsAHUAbQBuAHMAQgBlAHQAdwBlAGUAbgBIAGUAYQBkAGUAcgBBAG4AZABBAHIAcgBhAHkAXQAsAFwAbgAgAEkARgBFAFIAUgBPAFIAKABcAG4AIAAgACAAIAAgAEkATgBEAEUAWAAoAFwAbgAgACAAIAAgACAAIAAgACAAIAAgACAAIABVAE4ASQBRAFUARQAoAEEAcgByAGEAeQBEAGEAdABhACkALAAgAFwAbgAgACAAIAAgACAAIAAgACAAIAAgACAAIABSAE8AVwAoACkALQBVAHQAaQBsAGkAdAB5AF8ARwBlAHQAQQByAHIAYQB5AFQAYQBiAGwAZQBSAG8AdwBTAHQAYQByAHQATgB1AG0AYgBlAHIAKABUAGEAYgBsAGUAaABlAGEAZABlAHIAQwBlAGwAbAAsACAAUgBvAHcAcwBCAGUAdAB3AGUAZQBuAEgAZQBhAGQAZQByAGEAbgBkAEEAcgByAGEAeQApACwAIABcAG4AIAAgACAAIAAgACAAIAAgACAAIAAgACAAQwBPAEwAVQBNAE4AKAApAC0AVQB0AGkAbABpAHQAeQBfAEcAZQB0AEEAcgByAGEAeQBUAGEAYgBsAGUAQwBvAGwAdQBtAG4AUwB0AGEAcgB0AE4AdQBtAGIAZQByACgAVABhAGIAbABlAGgAZQBhAGQAZQByAEMAZQBsAGwAKQAgACsAXABuACAAIAAgACAAIAAgACAAIAAgACAAIAAgAEkARgAoAEkAUwBPAE0ASQBUAFQARQBEACgAQwBvAGwAdQBtAG4AcwBCAGUAdAB3AGUAZQBuAEgAZQBhAGQAZQByAEEAbgBkAEEAcgByAGEAeQApACwAIAAxACwAIABDAG8AbAB1AG0AbgBzAEIAZQB0AHcAZQBlAG4ASABlAGEAZABlAHIAQQBuAGQAQQByAHIAYQB5ACkAXABuACAAIAAgACAAIAAgACAAIAApACwAIABcACIAXAAiAFwAbgAgACAAIAAgACkAXABuACkAOwBcAG4AXABuAFUAdABpAGwAaQB0AHkAXwBMAG8AbwBrAHUAcABWAGEAbAB1AGUASQBuAFQAYQBiAGwAZQBcAG4APQBMAEEATQBCAEQAQQAoAFwAbgAgACAAIAAgAEwAbwBvAGsAdQBwAFYAYQBsAHUAZQAsACAATABvAG8AawB1AHAAQQByAHIAYQB5ACwAIABSAGUAdAB1AHIAbgBBAHIAcgBhAHkALABcAG4AIAAgACAAIABYAEwATwBPAEsAVQBQACgATABvAG8AawB1AHAAVgBhAGwAdQBlACwAIABMAG8AbwBrAHUAcABBAHIAcgBhAHkALAAgAFIAZQB0AHUAcgBuAEEAcgByAGEAeQAsACAAXAAiAFwAIgApAFwAbgApADsAXABuAFwAbgBVAHQAaQBsAGkAdAB5AF8ATABvAG8AawB1AHAAVgBhAGwAdQBlAEkAbgBUAGEAYgBsAGUATgB1AG0AYgBlAHIAXABuAD0ATABBAE0AQgBEAEEAKABcAG4AIAAgACAAIABMAG8AbwBrAHUAcABWAGEAbAB1AGUALAAgAEwAbwBvAGsAdQBwAEEAcgByAGEAeQAsACAAUgBlAHQAdQByAG4AQQByAHIAYQB5ACwAXABuACAAIAAgACAASQBGACgASQBTAE4AVQBNAEIARQBSACgAXABuACAAIAAgACAAIAAgACAAIABYAEwATwBPAEsAVQBQACgATABvAG8AawB1AHAAVgBhAGwAdQBlACwAIABMAG8AbwBrAHUAcABBAHIAcgBhAHkALAAgAFIAZQB0AHUAcgBuAEEAcgByAGEAeQAsACAAXAAiAFwAIgApAFwAbgAgACAAIAAgACkALAAgAFgATABPAE8ASwBVAFAAKABMAG8AbwBrAHUAcABWAGEAbAB1AGUALAAgAEwAbwBvAGsAdQBwAEEAcgByAGEAeQAsACAAUgBlAHQAdQByAG4AQQByAHIAYQB5ACwAIABcACIAXAAiACkALAAgADAAKQBcAG4AKQA7AFwAbgBcAG4AVQB0AGkAbABpAHQAeQBfAEwAbwBvAGsAdQBwAFYAYQBsAHUAZQBJAG4AVABhAGIAbABlAFQAdwBvAEMAbwBsAHUAbQBuAHMAXABuAD0ATABBAE0AQgBEAEEAKABcAG4AIAAgACAAIABMAG8AbwBrAHUAcABWAGEAbAB1AGUAMQAsACAATABvAG8AawB1AHAAVgBhAGwAdQBlADIALAAgAEwAbwBvAGsAdQBwAEEAcgByAGEAeQAxACwAIABMAG8AbwBrAHUAcABBAHIAcgBhAHkAMgAsACAAUgBlAHQAdQByAG4AQQByAHIAYQB5ACwAXABuACAAIAAgACAAWABMAE8ATwBLAFUAUAAoADEALAAgACgATABvAG8AawB1AHAAQQByAHIAYQB5ADEAPQBMAG8AbwBrAHUAcABWAGEAbAB1AGUAMQApACoAKABMAG8AbwBrAHUAcABBAHIAcgBhAHkAMgA9AEwAbwBvAGsAdQBwAFYAYQBsAHUAZQAyACkALAAgAFIAZQB0AHUAcgBuAEEAcgByAGEAeQAsACAAXAAiAFwAIgApAFwAbgApADsAXABuAFwAbgBVAHQAaQBsAGkAdAB5AF8ATABvAG8AawB1AHAAVgBhAGwAdQBlAEkAbgBUAGEAYgBsAGUATwBuAGUAQwBvAGwAdQBtAG4AQQBuAGQASABlAGEAZABlAHIAXABuAD0ATABBAE0AQgBEAEEAKABcAG4AIAAgACAAIABMAG8AbwBrAHUAcABWAGEAbAB1AGUAMQAsACAATABvAG8AawB1AHAAVgBhAGwAdQBlADIALAAgAEwAbwBvAGsAdQBwAEEAcgByAGEAeQAxACwAIABMAG8AbwBrAHUAcABBAHIAcgBhAHkAMgAsACAAUgBlAHQAdQByAG4AQQByAHIAYQB5ACwAXABuACAAIAAgACAAWABMAE8ATwBLAFUAUAAoAEwAbwBvAGsAdQBwAFYAYQBsAHUAZQAxACwAIABMAG8AbwBrAHUAcABBAHIAcgBhAHkAMQAsAFwAbgAgACAAIAAgACAAIAAgACAAWABMAE8ATwBLAFUAUAAoAEwAbwBvAGsAdQBwAFYAYQBsAHUAZQAyACwAIABMAG8AbwBrAHUAcABBAHIAcgBhAHkAMgAsACAAUgBlAHQAdQByAG4AQQByAHIAYQB5ACkAXABuACAAIAAgACAAKQBcAG4AKQA7AFwAbgBcAG4AVQB0AGkAbABpAHQAeQBfAFMAcABsAGkAdABTAHQAcgBpAG4AZwBJAG4AdABvAEEAcgByAGEAeQBcAG4APQBMAEEATQBCAEQAQQAoAFwAbgAgACAAIAAgAEMAZQBsAGwALAAgAEQAZQBsAGkAbQBpAHQAZQByACwAIABbAEMAaABhAHIAYQBjAHQAZQByAFQAbwBSAGUAbQBvAHYAZQAxAF0ALAAgAFsAQwBoAGEAcgBhAGMAdABlAHIAVABvAFIAZQBtAG8AdgBlADIAXQAsAFwAbgAgACAAIAAgACAAIAAgACAARgBJAEwAVABFAFIAWABNAEwAKABcAG4AIAAgACAAIAAgACAAIAAgAFwAIgBcAHUAMAAwADMAYwB0AFwAdQAwADAAMwBlAFwAdQAwADAAMwBjAHMAXAB1ADAAMAAzAGUAXAAiACAAXAB1ADAAMAAyADYAXABuACAAIAAgACAAIAAgACAAIABTAFUAQgBTAFQASQBUAFUAVABFACgAXABuACAAIAAgACAAIAAgACAAIAAgACAAIAAgAFMAVQBCAFMAVABJAFQAVQBUAEUAKABTAFUAQgBTAFQASQBUAFUAVABFACgAQwBlAGwAbAAsAEMAaABhAHIAYQBjAHQAZQByAFQAbwBSAGUAbQBvAHYAZQAxACwAXAAiAFwAIgApACwAQwBoAGEAcgBhAGMAdABlAHIAVABvAFIAZQBtAG8AdgBlADIALABcACIAXAAiACkALABcAG4AIAAgACAAIAAgACAAIAAgACAAIAAgACAARABlAGwAaQBtAGkAdABlAHIALABcACIAXAB1ADAAMAAzAGMALwBzAFwAdQAwADAAMwBlAFwAdQAwADAAMwBjAHMAXAB1ADAAMAAzAGUAXAAiAFwAbgAgACAAIAAgACAAIAAgACAAKQAgAFwAdQAwADAAMgA2AFwAbgAgACAAIAAgACAAIAAgACAAXAAiAFwAdQAwADAAMwBjAC8AcwBcAHUAMAAwADMAZQBcAHUAMAAwADMAYwAvAHQAXAB1ADAAMAAzAGUAXAAiACwAXABuACAAIAAgACAAIAAgACAAIABcACIALwAvAHMAXAAiAFwAbgAgACAAIAAgACkAXABuACkAOwBcAG4AXABuAFUAdABpAGwAaQB0AHkAXwBHAGUAdABDAGwAaQBtAGEAdABlAFoAbwBuAGUAXABuAD0ATABBAE0AQgBEAEEAKABcAG4AIAAgACAAIABhAHYAZwBUAGUAbQBwACwAYQB2AGcAUgBhAGkAbgAsAGYAcgBvAHMAdABEAGEAeQBzACwAZQBsAGUAdgAsAG0AYQBwAF8AcABlAHQALABcAG4AIAAgACAAIABtAGkAbgBUAGUAbQBwAEEAcgByAGEAeQAsAG0AYQB4AFQAZQBtAHAAQQByAHIAYQB5ACwAXABuACAAIAAgACAAbQBpAG4AUgBhAGkAbgBmAGEAbABsAEEAcgByAGEAeQAsAG0AYQB4AFIAYQBpAG4AZgBhAGwAbABBAHIAcgBhAHkALABcAG4AIAAgACAAIABtAGkAbgBGAHIAbwBzAHQAQQByAHIAYQB5ACwAbQBhAHgARgByAG8AcwB0AEEAcgByAGEAeQAsAFwAbgAgACAAIAAgAG0AaQBuAEUAbABlAHYAYQB0AGkAbwBuAEEAcgByAGEAeQAsAG0AYQB4AEUAbABlAHYAYQB0AGkAbwBuAEEAcgByAGEAeQAsAFwAbgAgACAAIAAgAG0AaQBuAFAARQBUAEEAcgByAGEAeQAsAG0AYQB4AFAARQBUAEEAcgByAGEAeQAsAFwAbgAgACAAIAAgAGMAbABpAG0AYQB0AGUAWgBvAG4AZQBBAHIAcgBhAHkALABcAG4AIAAgACAAIABMAEUAVAAoAFwAbgAgACAAIAAgACAAIAAgACAAbQBhAHMAawAsAFwAbgAgACAAIAAgACAAIAAgACAAKABWAEEATABVAEUAKABtAGkAbgBUAGUAbQBwAEEAcgByAGEAeQApAFwAdQAwADAAMwBjAD0AYQB2AGcAVABlAG0AcAApACoAXABuACAAIAAgACAAIAAgACAAIAAoAFYAQQBMAFUARQAoAG0AYQB4AFQAZQBtAHAAQQByAHIAYQB5ACkAXAB1ADAAMAAzAGUAPQBhAHYAZwBUAGUAbQBwACkAKgBcAG4AIAAgACAAIAAgACAAIAAgACgAVgBBAEwAVQBFACgAbQBpAG4AUgBhAGkAbgBmAGEAbABsAEEAcgByAGEAeQApAFwAdQAwADAAMwBjAD0AYQB2AGcAUgBhAGkAbgApACoAXABuACAAIAAgACAAIAAgACAAIAAoAFYAQQBMAFUARQAoAG0AYQB4AFIAYQBpAG4AZgBhAGwAbABBAHIAcgBhAHkAKQBcAHUAMAAwADMAZQA9AGEAdgBnAFIAYQBpAG4AKQAqAFwAbgAgACAAIAAgACAAIAAgACAAKABWAEEATABVAEUAKABtAGkAbgBGAHIAbwBzAHQAQQByAHIAYQB5ACkAXAB1ADAAMAAzAGMAPQBmAHIAbwBzAHQARABhAHkAcwApACoAXABuACAAIAAgACAAIAAgACAAIAAoAFYAQQBMAFUARQAoAG0AYQB4AEYAcgBvAHMAdABBAHIAcgBhAHkAKQBcAHUAMAAwADMAZQA9AGYAcgBvAHMAdABEAGEAeQBzACkAKgBcAG4AIAAgACAAIAAgACAAIAAgACgAVgBBAEwAVQBFACgAbQBpAG4ARQBsAGUAdgBhAHQAaQBvAG4AQQByAHIAYQB5ACkAXAB1ADAAMAAzAGMAPQBlAGwAZQB2ACkAKgBcAG4AIAAgACAAIAAgACAAIAAgACgAVgBBAEwAVQBFACgAbQBhAHgARQBsAGUAdgBhAHQAaQBvAG4AQQByAHIAYQB5ACkAXAB1ADAAMAAzAGUAPQBlAGwAZQB2ACkAKgBcAG4AIAAgACAAIAAgACAAIAAgACgAVgBBAEwAVQBFACgAbQBpAG4AUABFAFQAQQByAHIAYQB5ACkAXAB1ADAAMAAzAGMAPQBtAGEAcABfAHAAZQB0ACkAKgBcAG4AIAAgACAAIAAgACAAIAAgACgAVgBBAEwAVQBFACgAbQBhAHgAUABFAFQAQQByAHIAYQB5ACkAXAB1ADAAMAAzAGUAPQBtAGEAcABfAHAAZQB0ACkALABcAG4AIAAgACAAIAAgACAAIAAgAFQAQQBLAEUAKABcAG4AIAAgACAAIAAgACAAIAAgACAAIAAgACAARgBJAEwAVABFAFIAKABjAGwAaQBtAGEAdABlAFoAbwBuAGUAQQByAHIAYQB5ACwAbQBhAHMAawAsACAAXAAiAE4AbwAgAG0AYQB0AGMAaABcACIAKQAsAFwAbgAgACAAIAAgACAAIAAgACAAIAAgACAAIAAxAFwAbgAgACAAIAAgACAAIAAgACAAKQBcAG4AIAAgACAAIAApAFwAbgApADsAXABuAFwAbgBVAHQAaQBsAGkAdAB5AF8ATABvAG8AawB1AHAASQB0AGUAbQBGAHIAbwBtAE0AaQBuAE0AYQB4AFwAbgA9AEwAQQBNAEIARABBACgAXABuACAAIAAgACAATABvAG8AawB1AHAAVgBhAGwAdQBlACwAIABNAGkAbgBBAHIAcgBhAHkALAAgAE0AYQB4AEEAcgByAGEAeQAsACAASQB0AGUAbQBBAHIAcgBhAHkALABcAG4AIAAgACAAIABMAEUAVAAoAFwAbgAgACAAIAAgACAAIAAgACAAbQBhAHMAawAsAFwAbgAgACAAIAAgACAAIAAgACAAKABWAEEATABVAEUAKABNAGkAbgBBAHIAcgBhAHkAKQBcAHUAMAAwADMAYwA9AEwAbwBvAGsAdQBwAFYAYQBsAHUAZQApACoAXABuACAAIAAgACAAIAAgACAAIAAoAFYAQQBMAFUARQAoAE0AYQB4AEEAcgByAGEAeQApAFwAdQAwADAAMwBlAD0ATABvAG8AawB1AHAAVgBhAGwAdQBlACkALABcAG4AIAAgACAAIAAgACAAIAAgAEYASQBMAFQARQBSACgASQB0AGUAbQBBAHIAcgBhAHkALAAgAG0AYQBzAGsALAAgAFwAIgBOAG8AIABtAGEAdABjAGgAXAAiACkAXABuACAAIAAgACAAKQBcAG4AKQA7AFwAbgBcAG4AXABuAFUAdABpAGwAaQB0AHkAXwBTAHUAbQBRAHUAYQBuAHQAaQB0AHkARgByAG8AbQBDAHIAaQB0AGUAcgBpAGEAXABuAD0ATABBAE0AQgBEAEEAKABcAG4AIAAgAEMAcgBpAHQAZQByAGkAYQAxACwAIABDAHIAaQB0AGUAcgBpAGEAMQBUAHkAcABlAEEAcgByAGEAeQAsACAAUQB1AGEAbgB0AGkAdAB5ACwAIABbAE0AdQBsAHQAaQBwAGwAaQBlAHIAXQAsACAAWwBDAHIAaQB0AGUAcgBpAGEAMgBdACwAWwBDAHIAaQB0AGUAcgBpAGEAMgBBAHIAcgBhAHkAXQAsAFwAbgAgACAATABFAFQAKABcAG4AIAAgACAAIABtAHUAbAB0AGkAcABsAGkAZQByACwAIABJAEYAKABJAFMATwBNAEkAVABUAEUARAAoAE0AdQBsAHQAaQBwAGwAaQBlAHIAKQAsADEALABNAHUAbAB0AGkAcABsAGkAZQByACkALABcAG4AIAAgACAAIABxAHUAYQBuAHQAaQB0AHkALAAgAFEAdQBhAG4AdABpAHQAeQAqAE0AdQBsAHQAaQBwAGwAaQBlAHIALABcAG4AIAAgACAAIABjAHIAaQB0AGUAcgBpAGEAMQAsAC0ALQAoAEMAcgBpAHQAZQByAGkAYQAxAFQAeQBwAGUAQQByAHIAYQB5AD0AQwByAGkAdABlAHIAaQBhADEAKQAsAFwAbgAgACAAIAAgAGMAcgBpAHQAZQByAGkAYQAyACwASQBGACgASQBTAE8ATQBJAFQAVABFAEQAKABDAHIAaQB0AGUAcgBpAGEAMgApACwAMQAsAC0ALQAoAEMAcgBpAHQAZQByAGkAYQAyAEEAcgByAGEAeQA9AEMAcgBpAHQAZQByAGkAYQAyACkAKQAsAFwAbgAgACAAIAAgAFMAVQBNAFAAUgBPAEQAVQBDAFQAKABjAHIAaQB0AGUAcgBpAGEAMQAqAGMAcgBpAHQAZQByAGkAYQAyACoAcQB1AGEAbgB0AGkAdAB5ACkAXABuACAAIAApAFwAbgApADsAXABuAFwAbgBnAGUAdABPAHYAZQByAGwAYQBwAHAAaQBuAGcAUgBlAHAAbwByAHQAaQBuAGcAQwB5AGMAbABlAHMAXABuAD0ATABBAE0AQgBEAEEAKABcAG4AIAAgACAAIABQAHIAbwBkAHUAYwB0AGkAbwBuAEMAeQBjAGwAZQBTAHQAYQByAHQALABQAHIAbwBkAHUAYwB0AGkAbwBuAEMAeQBjAGwAZQBFAG4AZAAsAFIAZQBwAG8AcgB0AGkAbgBnAEMAeQBjAGwAZQBTAHQAYQByAHQALABcAG4AIAAgACAAIABMAEUAVAAoAFwAbgAgACAAIAAgACAAIAAgACAAUwAsAFAAcgBvAGQAdQBjAHQAaQBvAG4AQwB5AGMAbABlAFMAdABhAHIAdAAsAFwAbgAgACAAIAAgACAAIAAgACAARQAsAFAAcgBvAGQAdQBjAHQAaQBvAG4AQwB5AGMAbABlAEUAbgBkACwAXABuACAAIAAgACAAIAAgACAAIABtACwATQBPAE4AVABIACgAUgBlAHAAbwByAHQAaQBuAGcAQwB5AGMAbABlAFMAdABhAHIAdAApACwAXABuACAAIAAgACAAIAAgACAAIABkACwARABBAFkAKABSAGUAcABvAHIAdABpAG4AZwBDAHkAYwBsAGUAUwB0AGEAcgB0ACkALABcAG4AIAAgACAAIAAgACAAIAAgAFAAZQByAGkAbwBkAEUAbgBkACwATABBAE0AQgBEAEEAKABzAHQALABFAEQAQQBUAEUAKABzAHQALAAxADIAKQAtADEAKQAsAFwAbgAgACAAIAAgACAAIAAgACAAQQAsAFMALQAzADYANQAsAFwAbgAgACAAIAAgACAAIAAgACAAeQBhACwAWQBFAEEAUgAoAEEAKQAsAFwAbgAgACAAIAAgACAAIAAgACAAeQBiACwAWQBFAEEAUgAoAEUAKQAsAFwAbgAgACAAIAAgACAAIAAgACAAZgBpAHIAcwB0AFkAZQBhAHIALAB5AGEAKwAoAFAAZQByAGkAbwBkAEUAbgBkACgARABBAFQARQAoAHkAYQAsAG0ALABkACkAKQBcAHUAMAAwADMAYwAgAFMAKQAsAFwAbgAgACAAIAAgACAAIAAgACAAbABhAHMAdABZAGUAYQByACwAeQBiAC0AKABEAEEAVABFACgAeQBiACwAbQAsAGQAKQBcAHUAMAAwADMAZQAgAEUAKQAsAFwAbgAgACAAIAAgACAAIAAgACAATQBBAFgAKAAwACwAbABhAHMAdABZAGUAYQByAC0AZgBpAHIAcwB0AFkAZQBhAHIAKwAxACkAXABuACAAIAAgACAAKQBcAG4AKQA7AFwAbgBcAG4AZwBlAHQATwB2AGUAcgBsAGEAcABwAGkAbgBnAFIAZQBwAG8AcgB0AGkAbgBnAFAAZQByAGkAbwBkAHMAXABuAD0ATABBAE0AQgBEAEEAKABcAG4AIAAgACAAIABQAHIAbwBkAHUAYwB0AGkAbwBuAEMAeQBjAGwAZQBTAHQAYQByAHQALABQAHIAbwBkAHUAYwB0AGkAbwBuAEMAeQBjAGwAZQBFAG4AZAAsAFIAZQBwAG8AcgB0AGkAbgBnAEMAeQBjAGwAZQBTAHQAYQByAHQALABcAG4AIAAgACAAIABMAEUAVAAoAFwAbgAgACAAIAAgACAAIAAgACAAUwAsAFAAcgBvAGQAdQBjAHQAaQBvAG4AQwB5AGMAbABlAFMAdABhAHIAdAAsAFwAbgAgACAAIAAgACAAIAAgACAARQAsAFAAcgBvAGQAdQBjAHQAaQBvAG4AQwB5AGMAbABlAEUAbgBkACwAXABuACAAIAAgACAAIAAgACAAIABtACwATQBPAE4AVABIACgAUgBlAHAAbwByAHQAaQBuAGcAQwB5AGMAbABlAFMAdABhAHIAdAApACwAXABuACAAIAAgACAAIAAgACAAIABkACwARABBAFkAKABSAGUAcABvAHIAdABpAG4AZwBDAHkAYwBsAGUAUwB0AGEAcgB0ACkALAAgAC8AKgBoAGUAbABwAGUAcgA6ACAAZQBuAGQAIABkAGEAdABlACAAZgBvAHIAIABhACAAcgBlAHAAbwByAHQAaQBuAGcAIABwAGUAcgBpAG8AZAAgAHMAdABhAHIAdABpAG4AZwAgAGEAdAAgAGEAIABnAGkAdgBlAG4AIABkAGEAdABlACoALwBcAG4AIAAgACAAIAAgACAAIAAgAFAAZQByAGkAbwBkAEUAbgBkACwATABBAE0AQgBEAEEAKABzAHQALABFAEQAQQBUAEUAKABzAHQALAAxADIAKQAtADEAKQAsACAALwAqAG8AbgBsAHkAIABuAGUAZQBkACAAdABvACAAbABvAG8AawAgAGIAYQBjAGsAIAAzADYANQAgAGQAYQB5AHMAKABtAGEAeAAgAG8AdgBlAHIAbABhAHAAIAB3AGkAbgBkAG8AdwApACoALwBcAG4AIAAgACAAIAAgACAAIAAgAEEALABTAC0AMwA2ADUALABcAG4AIAAgACAAIAAgACAAIAAgAHkAYQAsAFkARQBBAFIAKABBACkALABcAG4AIAAgACAAIAAgACAAIAAgAHkAYgAsAFkARQBBAFIAKABFACkALAAgAC8AKgBpAGYAIAB0AGgAZQAgAGEAbgBjAGgAbwByACAAZgBvAHIAIAB5AGEAIABlAG4AZABzACAAYgBlAGYAbwByAGUAIABTACwAaQB0ACAAYwBhAG4AXAB1ADAAMAAyADcAdAAgAG8AdgBlAHIAbABhAHAAOwAgAG0AbwB2AGUAIAB0AG8AIABuAGUAeAB0ACAAeQBlAGEAcgAqAC8AXABuACAAIAAgACAAIAAgACAAIABmAGkAcgBzAHQAWQBlAGEAcgAsAHkAYQArACgAUABlAHIAaQBvAGQARQBuAGQAKABEAEEAVABFACgAeQBhACwAbQAsAGQAKQApAFwAdQAwADAAMwBjAFMAKQAsACAALwAqAGkAZgAgAHQAaABlACAAYQBuAGMAaABvAHIAIABmAG8AcgAgAHkAYgAgAHMAdABhAHIAdABzACAAYQBmAHQAZQByACAARQAsAGkAdAAgAGMAYQBuAFwAdQAwADAAMgA3AHQAIABvAHYAZQByAGwAYQBwADsAIABtAG8AdgBlACAAdABvACAAcAByAGUAdgBpAG8AdQBzACAAeQBlAGEAcgAqAC8AXABuACAAIAAgACAAIAAgACAAIABsAGEAcwB0AFkAZQBhAHIALAB5AGIALQAoAEQAQQBUAEUAKAB5AGIALABtACwAZAApAFwAdQAwADAAMwBlAEUAKQAsAFwAbgAgACAAIAAgACAAIAAgACAAbgAsAE0AQQBYACgAMAAsAGwAYQBzAHQAWQBlAGEAcgAtAGYAaQByAHMAdABZAGUAYQByACsAMQApACwAXABuACAAIAAgACAAIAAgACAAIAB5AHIAcwAsAFMARQBRAFUARQBOAEMARQAoAG4ALAAxACwAZgBpAHIAcwB0AFkAZQBhAHIALAAxACkALABcAG4AIAAgACAAIAAgACAAIAAgAHMAdABhAHIAdABzACwARABBAFQARQAoAHkAcgBzACwAbQAsAGQAKQAsAFwAbgAgACAAIAAgACAAIAAgACAAZQBuAGQAcwAsAE0AQQBQACgAcwB0AGEAcgB0AHMALABQAGUAcgBpAG8AZABFAG4AZAApACwAXABuACAAIAAgACAAIAAgACAAIAB0AGEAZwAsAEkARgAoAHMAdABhAHIAdABzAD0AUgBlAHAAbwByAHQAaQBuAGcAQwB5AGMAbABlAFMAdABhAHIAdAAsAFwAIgAgACgAVABoAGkAcwAgAHIAZQBwAG8AcgB0AGkAbgBnACAAYwB5AGMAbABlACkAXAAiACwAXAAiAFwAIgApACwAXABuACAAIAAgACAAIAAgACAAIABzAHQAYQByAHQAcwBUAGUAeAB0ACwAVABFAFgAVAAoAHMAdABhAHIAdABzACwAXAAiAGQAZAAgAG0AbQBtACAAeQB5AHkAeQBcACIAKQAsAFwAbgAgACAAIAAgACAAIAAgACAAZQBuAGQAcwBUAGUAeAB0ACwAVABFAFgAVAAoAGUAbgBkAHMALABcACIAZABkACAAbQBtAG0AIAB5AHkAeQB5AFwAIgApACwAXABuACAAIAAgACAAIAAgACAAIABJAEYAKABuAD0AMAAsAFwAIgBcACIALABIAFMAVABBAEMASwAoAHMAdABhAHIAdABzAFQAZQB4AHQAIABcAHUAMAAwADIANgAgAFwAIgAgAHQAbwAgAFwAIgAgAFwAdQAwADAAMgA2ACAAZQBuAGQAcwBUAGUAeAB0ACAAXAB1ADAAMAAyADYAIAB0AGEAZwApACkAXABuACAAIAAgACAAKQBcAG4AKQA7AFwAbgBcAG4AVQB0AGkAbABpAHQAeQBfAEQAaQBzAHAAbABhAHkARgB1AG4AYwB0AGkAbwBuAE4AYQBtAGUAXABuAD0ATABBAE0AQgBEAEEAKABGAHUAbgBjAHQAaQBvAG4ALAAgAFQARQBYAFQAQgBFAEYATwBSAEUAKABGAE8AUgBNAFUATABBAFQARQBYAFQAKABGAHUAbgBjAHQAaQBvAG4AKQAsACAAXAAiACgAXAAiACkAKQA7AFwAbgBcAG4AVQB0AGkAbABpAHQAeQBfAEwAbwBvAGsAdQBwAE4AMgBPAEUARgBGAHIAbwBtAFAAcgBvAGQASQByAHIAaQBnAGEAdABpAG8AbgBSAGEAaQBuAGYAYQBsAGwAXABuAD0ATABBAE0AQgBEAEEAKABcAG4AIAAgACAAIABQAHIAbwBkAHUAYwB0AGkAbwBuAFMAeQBzAHQAZQBtACwAIABJAHIAcgBpAGcAYQB0AGkAbwBuAE0AZQB0AGgAbwBkACwAIABSAGEAaQBuAGYAYQBsAGwAWgBvAG4AZQAsAFwAbgAgACAAIAAgAFAAcgBvAGQAdQBjAHQAaQBvAG4AUwB5AHMAdABlAG0AQQByAHIAYQB5ACwAIABJAHIAcgBpAGcAYQB0AGkAbwBuAE0AZQB0AGgAbwBkAEEAcgByAGEAeQAsACAAUgBhAGkAbgBmAGEAbABsAFoAbwBuAGUAQQByAHIAYQB5ACwAUgBlAHQAdQByAG4AQQByAHIAYQB5ACwAXABuACAAIAAgACAATABFAFQAKABcAG4AIAAgACAAIAAgACAAIAAgAEkAcgByAGkAZwBhAHQAaQBvAG4ATQBlAHQAaABvAGQALAAgAEkARgAoAEkAcgByAGkAZwBhAHQAaQBvAG4ATQBlAHQAaABvAGQAPQBcACIATgBvAHQAIABpAHIAcgBpAGcAYQB0AGUAZABcACIALAAgAFwAIgBOAG8AdAAgAGkAcgByAGkAZwBhAHQAZQBkAFwAIgAsACAAXAAiAEEAbgB5AFwAIgApACwAXABuACAAIAAgACAAIAAgACAAIABSAGEAaQBuAGYAYQBsAGwAWgBvAG4AZQAsACAASQBGACgASQByAHIAaQBnAGEAdABpAG8AbgBNAGUAdABoAG8AZAAgAD0AIABcACIATgBvAHQAIABpAHIAcgBpAGcAYQB0AGUAZABcACIALAAgAFIAYQBpAG4AZgBhAGwAbABaAG8AbgBlACwAIABcACIAQQBuAHkAXAAiACkALABcAG4AIAAgACAAIAAgACAAIAAgAFgATABPAE8ASwBVAFAAKAAxACwAIABcAG4AIAAgACAAIAAgACAAIAAgACAAIAAgACAAKABQAHIAbwBkAHUAYwB0AGkAbwBuAFMAeQBzAHQAZQBtAEEAcgByAGEAeQA9AFAAcgBvAGQAdQBjAHQAaQBvAG4AUwB5AHMAdABlAG0AKQAqAFwAbgAgACAAIAAgACAAIAAgACAAIAAgACAAIAAoAEkAcgByAGkAZwBhAHQAaQBvAG4ATQBlAHQAaABvAGQAQQByAHIAYQB5AD0ASQByAHIAaQBnAGEAdABpAG8AbgBNAGUAdABoAG8AZAApACoAXABuACAAIAAgACAAIAAgACAAIAAgACAAIAAgACgAUgBhAGkAbgBmAGEAbABsAFoAbwBuAGUAQQByAHIAYQB5AD0AUgBhAGkAbgBmAGEAbABsAFoAbwBuAGUAKQAsACAAXABuACAAIAAgACAAIAAgACAAIAAgACAAIAAgAFIAZQB0AHUAcgBuAEEAcgByAGEAeQApAFwAbgAgACAAIAAgACkAXABuACkAOwBcAG4AXABuAEMAbwBtAG0AbwBuAEMAcgBvAHAAcABpAG4AZwBfAEcAZQB0AEYAcgBhAGMAVwBFAFQAXABuAD0ATABBAE0AQgBEAEEAKABcAG4AIAAgACAAIABMAGUAYQBjAGgAaQBuAGcAWgBvAG4AZQAsAFwAbgAgACAAIAAgAFAAcgBvAGQAdQBjAHQAaQBvAG4AUwB5AHMAdABlAG0ALABcAG4AIAAgACAAIABMAGUAYQBjAGgAaQBuAGcAWgBvAG4AZQBMAG8AbwBrAHUAcAAsAFwAbgAgACAAIAAgAEwAZQBhAGMAaABpAG4AZwBaAG8AbgBlAEYAcgBhAGMAVwBFAFQATABvAG8AawB1AHAALABcAG4AIAAgACAAIABQAHIAbwBkAHUAYwB0AGkAbwBuAFMAeQBzAHQAZQBtAEwAbwBvAGsAdQBwACwAXABuACAAIAAgACAAUAByAG8AZAB1AGMAdABpAG8AbgBTAHkAcwB0AGUAbQBGAHIAYQBjAFcARQBUAEwAbwBvAGsAdQBwACwAXABuACAAIAAgACAATABFAFQAKABcAG4AIAAgACAAIAAgACAAIAAgAEwAZQBhAGMAaABpAG4AZwBaAG8AbgBlAEYAcgBhAGMAVwBFAFQALAAgAFwAbgAgACAAIAAgACAAIAAgACAAQwBvAG0AbQBvAG4AXwBJAG4AcAB1AHQARgB1AG4AYwB0AGkAbwBuAHMALgBVAHQAaQBsAGkAdAB5AF8ATABvAG8AawB1AHAAVgBhAGwAdQBlAEkAbgBUAGEAYgBsAGUATgB1AG0AYgBlAHIAKABcAG4AIAAgACAAIAAgACAAIAAgACAAIAAgACAATABlAGEAYwBoAGkAbgBnAFoAbwBuAGUALABMAGUAYQBjAGgAaQBuAGcAWgBvAG4AZQBMAG8AbwBrAHUAcAAsAEwAZQBhAGMAaABpAG4AZwBaAG8AbgBlAEYAcgBhAGMAVwBFAFQATABvAG8AawB1AHAAXABuACAAIAAgACAAIAAgACAAIAApACwAXABuACAAIAAgACAAIAAgACAAIABQAHIAbwBkAHUAYwB0AGkAbwBuAFMAeQBzAHQAZQBtAEYAcgBhAGMAVwBFAFQALAAgAFwAbgAgACAAIAAgACAAIAAgACAAQwBvAG0AbQBvAG4AXwBJAG4AcAB1AHQARgB1AG4AYwB0AGkAbwBuAHMALgBVAHQAaQBsAGkAdAB5AF8ATABvAG8AawB1AHAAVgBhAGwAdQBlAEkAbgBUAGEAYgBsAGUATgB1AG0AYgBlAHIAKABcAG4AIAAgACAAIAAgACAAIAAgACAAIAAgACAAUAByAG8AZAB1AGMAdABpAG8AbgBTAHkAcwB0AGUAbQAsAFAAcgBvAGQAdQBjAHQAaQBvAG4AUwB5AHMAdABlAG0ATABvAG8AawB1AHAALABQAHIAbwBkAHUAYwB0AGkAbwBuAFMAeQBzAHQAZQBtAEYAcgBhAGMAVwBFAFQATABvAG8AawB1AHAAXABuACAAIAAgACAAIAAgACAAIAApACwAXABuACAAIAAgACAAIAAgACAAIABJAEYAKABMAGUAYQBjAGgAaQBuAGcAWgBvAG4AZQBGAHIAYQBjAFcARQBUACAAKwAgAFAAcgBvAGQAdQBjAHQAaQBvAG4AUwB5AHMAdABlAG0ARgByAGEAYwBXAEUAVABcAHUAMAAwADMAZQAwACwAIAAxACwAIAAwACkAXABuACAAIAAgACAAKQApADsAXABuAFwAbgBcAG4AVQB0AGkAbABpAHQAeQBfAEMAbwBuAHYAZQByAHQAUwB0AGEAdABlAEMAbwBtAG0AbwBuAE4AYQBtAGUAVABvAEEAYgBiAHIAZQB2AGkAYQB0AGkAbwBuAFwAbgA9AEwAQQBNAEIARABBACgAXABuACAAIAAgACAAUwB0AGEAdABlAEMAbwBtAG0AbwBuAE4AYQBtAGUALABcAG4AIAAgACAAIABTAHQAYQB0AGUAQwBvAG0AbQBvAG4ATgBhAG0AZQBBAHIAcgBhAHkALAAgAFMAdABhAHQAZQBBAGIAYgByAGUAdgBpAGEAdABpAG8AbgBBAHIAcgBhAHkALABcAG4AIAAgACAAIABYAEwATwBPAEsAVQBQACgAUwB0AGEAdABlAEMAbwBtAG0AbwBuAE4AYQBtAGUALAAgAFMAdABhAHQAZQBDAG8AbQBtAG8AbgBOAGEAbQBlAEEAcgByAGEAeQAsACAAUwB0AGEAdABlAEEAYgBiAHIAZQB2AGkAYQB0AGkAbwBuAEEAcgByAGEAeQAsACAAXAAiAFwAIgApAFwAbgApADsAXABuAFwAbgAiAH0ALAB7ACIAcABhAHQAaAAiADoAIgAvAHAAcgBvAGoAZQBjAHQAcwAvAEMAbwBtAG0AbwBuAEMAcgBvAHAAcABpAG4AZwBfAEkAbgBwAHUAdABGAHUAbgBjAHQAaQBvAG4AcwAiACwAIgB0AGUAeAB0ACIAOgAiAFwAbgBDAG8AbQBtAG8AbgBDAHIAbwBwAHAAaQBuAGcAXwBHAGUAdABGAHIAYQBjAFcARQBUAFwAbgA9AEwAQQBNAEIARABBACgAXABuACAAIAAgACAATABlAGEAYwBoAGkAbgBnAFoAbwBuAGUALABcAG4AIAAgACAAIABQAHIAbwBkAHUAYwB0AGkAbwBuAFMAeQBzAHQAZQBtACwAXABuACAAIAAgACAATABlAGEAYwBoAGkAbgBnAFoAbwBuAGUATABvAG8AawB1AHAALABcAG4AIAAgACAAIABMAGUAYQBjAGgAaQBuAGcAWgBvAG4AZQBGAHIAYQBjAFcARQBUAEwAbwBvAGsAdQBwACwAXABuACAAIAAgACAAUAByAG8AZAB1AGMAdABpAG8AbgBTAHkAcwB0AGUAbQBMAG8AbwBrAHUAcAAsAFwAbgAgACAAIAAgAFAAcgBvAGQAdQBjAHQAaQBvAG4AUwB5AHMAdABlAG0ARgByAGEAYwBXAEUAVABMAG8AbwBrAHUAcAAsAFwAbgAgACAAIAAgAEwARQBUACgAXABuACAAIAAgACAAIAAgACAAIABMAGUAYQBjAGgAaQBuAGcAWgBvAG4AZQBGAHIAYQBjAFcARQBUACwAIABcAG4AIAAgACAAIAAgACAAIAAgAEMAbwBtAG0AbwBuAF8ASQBuAHAAdQB0AEYAdQBuAGMAdABpAG8AbgBzAC4AVQB0AGkAbABpAHQAeQBfAEwAbwBvAGsAdQBwAFYAYQBsAHUAZQBJAG4AVABhAGIAbABlAE4AdQBtAGIAZQByACgAXABuACAAIAAgACAAIAAgACAAIAAgACAAIAAgAEwAZQBhAGMAaABpAG4AZwBaAG8AbgBlACwATABlAGEAYwBoAGkAbgBnAFoAbwBuAGUATABvAG8AawB1AHAALABMAGUAYQBjAGgAaQBuAGcAWgBvAG4AZQBGAHIAYQBjAFcARQBUAEwAbwBvAGsAdQBwAFwAbgAgACAAIAAgACAAIAAgACAAKQAsAFwAbgAgACAAIAAgACAAIAAgACAAUAByAG8AZAB1AGMAdABpAG8AbgBTAHkAcwB0AGUAbQBGAHIAYQBjAFcARQBUACwAIABcAG4AIAAgACAAIAAgACAAIAAgAEMAbwBtAG0AbwBuAF8ASQBuAHAAdQB0AEYAdQBuAGMAdABpAG8AbgBzAC4AVQB0AGkAbABpAHQAeQBfAEwAbwBvAGsAdQBwAFYAYQBsAHUAZQBJAG4AVABhAGIAbABlAE4AdQBtAGIAZQByACgAXABuACAAIAAgACAAIAAgACAAIAAgACAAIAAgAFAAcgBvAGQAdQBjAHQAaQBvAG4AUwB5AHMAdABlAG0ALABQAHIAbwBkAHUAYwB0AGkAbwBuAFMAeQBzAHQAZQBtAEwAbwBvAGsAdQBwACwAUAByAG8AZAB1AGMAdABpAG8AbgBTAHkAcwB0AGUAbQBGAHIAYQBjAFcARQBUAEwAbwBvAGsAdQBwAFwAbgAgACAAIAAgACAAIAAgACAAKQAsAFwAbgAgACAAIAAgACAAIAAgACAASQBGACgATABlAGEAYwBoAGkAbgBnAFoAbwBuAGUARgByAGEAYwBXAEUAVAAgACsAIABQAHIAbwBkAHUAYwB0AGkAbwBuAFMAeQBzAHQAZQBtAEYAcgBhAGMAVwBFAFQAXAB1ADAAMAAzAGUAMAAsACAAMQAsACAAMAApAFwAbgAgACAAIAAgACkAKQA7AFwAbgBcAG4AXABuAEMAbwBtAG0AbwBuAEMAcgBvAHAAcABpAG4AZwBfAEMAYQBsAGMAdQBsAGEAdABlAEgAYQByAHYAZQBzAHQASQBuAGQAZQB4AFwAbgA9AEwAQQBNAEIARABBACgAXABuACAAIAAgACAAQwByAG8AcABUAHkAcABlACwAIABDAHIAbwBwAFQAeQBwAGUAQQByAHIAYQB5ACwAIABSAGUAcwBpAGQAdQBlAEMAcgBvAHAAUgBhAHQAaQBvAEEAcgByAGEAeQAsAFwAbgAgACAAIAAgADEALwAoADEAKwBDAG8AbQBtAG8AbgBfAEkAbgBwAHUAdABGAHUAbgBjAHQAaQBvAG4AcwAuAFUAdABpAGwAaQB0AHkAXwBMAG8AbwBrAHUAcABWAGEAbAB1AGUASQBuAFQAYQBiAGwAZQBOAHUAbQBiAGUAcgAoAEMAcgBvAHAAVAB5AHAAZQAsACAAQwByAG8AcABUAHkAcABlAEEAcgByAGEAeQAsACAAUgBlAHMAaQBkAHUAZQBDAHIAbwBwAFIAYQB0AGkAbwBBAHIAcgBhAHkAKQApAFwAbgApADsAXABuAFwAbgBDAG8AbQBtAG8AbgBDAHIAbwBwAHAAaQBuAGcAXwBDAGEAbABjAHUAbABhAHQAZQBSAGUAcwBpAGQAdQBlAEMAcgBvAHAAUgBhAHQAaQBvAFwAbgA9AEwAQQBNAEIARABBACgAXABuACAAIAAgACAASABhAHIAdgBlAHMAdABJAG4AZABlAHgALABcAG4AIAAgACAAIAAoADEALQBIAGEAcgB2AGUAcwB0AEkAbgBkAGUAeAApAC8ASABhAHIAdgBlAHMAdABJAG4AZABlAHgAXABuACkAOwBcAG4AXABuAFwAbgBDAG8AbQBtAG8AbgBDAHIAbwBwAHAAaQBuAGcAXwBDAGEAbABjAHUAbABhAHQAZQBGAHIAYQBjAHQAaQBvAG4AUgBlAHMAaQBkAHUAZQBSAGUAbQBvAHYAZQBkAFwAbgA9AEwAQQBNAEIARABBACgAXABuACAAIAAgACAAVABvAHQAYQBsAFIAZQBzAGkAZAB1AGUALAAgAEEAbQBvAHUAbgB0AFIAZQBtAG8AdgBlAGQALABcAG4AIAAgACAAIAAoAEEAbQBvAHUAbgB0AFIAZQBtAG8AdgBlAGQAKgAxADAAXgAzACkALwAoAFQAbwB0AGEAbABSAGUAcwBpAGQAdQBlACoAMQAwAF4AMwApAFwAbgApACIAfQAsAHsAIgBwAGEAdABoACIAOgAiAC8AcAByAG8AagBlAGMAdABzAC8AUwBvAHUAcgBjAGUARABhAHQAYQBfAEQAYQBpAHIAeQAiACwAIgB0AGUAeAB0ACIAOgAiAFwAbgAvACoAIABcAG4ALQAtAC0ALQAtAC0ALQAtAC0ALQAtAC0ALQAtAC0ALQAtAC0ALQAtAC0ALQAtAC0ALQAtAC0ALQAtAC0ALQAtAC0ALQAtAC0ALQAtAFwAbgBTAG8AdQByAGMAZQBEAGEAdABhAF8ARABhAGkAcgB5AF8ATABpAHYAZQB3AGUAaQBnAGgAdABDAG8AdwBzAEEAbgBkAEgAZQBpAGYAZQByAHMAXABuAFQAYQBiAGwAZQAgAEEALgAxAC4AMwAuADEAOgAgAEQAYQBpAHIAeQAgAGMAYQB0AHQAbABlACAALQAgAEwAaQB2AGUAdwBlAGkAZwBoAHQAIAAoAGsAZwApACAALQAgAEMAbwB3AHMAIABhAG4AZAAgAEgAZQBpAGYAZQByAHMAIAAoAFcAagApAFwAbgAtAC0ALQAtAC0ALQAtAC0ALQAtAC0ALQAtAC0ALQAtAC0ALQAtAC0ALQAtAC0ALQAtAC0ALQAtAC0ALQAtAC0ALQAtAC0ALQAtAC0AXABuACoALwBcAG4AXABuAFMAbwB1AHIAYwBlAEQAYQB0AGEAXwBEAGEAaQByAHkAXwBMAGkAdgBlAHcAZQBpAGcAaAB0AEMAbwB3AHMAQQBuAGQASABlAGkAZgBlAHIAcwBfAFQAaQB0AGwAZQBcAG4AIAAgAD0ATABBAE0AQgBEAEEAKABcACIAVABhAGIAbABlACAAQQAuADEALgAzAC4AMQA6ACAARABhAGkAcgB5ACAAYwBhAHQAdABsAGUAIAAtACAATABpAHYAZQB3AGUAaQBnAGgAdAAgACgAawBnACkAIAAtACAAQwBvAHcAcwAgAGEAbgBkACAASABlAGkAZgBlAHIAcwAgACgAVwBqACkAXAAiACkAOwBcAG4AXABuAFMAbwB1AHIAYwBlAEQAYQB0AGEAXwBEAGEAaQByAHkAXwBMAGkAdgBlAHcAZQBpAGcAaAB0AEMAbwB3AHMAQQBuAGQASABlAGkAZgBlAHIAcwBfAFYAYQByAGkAYQBiAGwAZQBcAG4AIAAgAD0ATABBAE0AQgBEAEEAKABcACIAVwBqAFwAIgApADsAXABuAFwAbgBTAG8AdQByAGMAZQBEAGEAdABhAF8ARABhAGkAcgB5AF8ATABpAHYAZQB3AGUAaQBnAGgAdABDAG8AdwBzAEEAbgBkAEgAZQBpAGYAZQByAHMAXwBVAG4AaQB0AFwAbgAgACAAPQBMAEEATQBCAEQAQQAoAFwAIgBrAGcAXAAiACkAOwBcAG4AXABuAFMAbwB1AHIAYwBlAEQAYQB0AGEAXwBEAGEAaQByAHkAXwBMAGkAdgBlAHcAZQBpAGcAaAB0AEMAbwB3AHMAQQBuAGQASABlAGkAZgBlAHIAcwBfAFMAbwB1AHIAYwBlAFwAbgAgACAAPQBMAEEATQBCAEQAQQAoAFwAIgBWAEUARQBSAEcAIAAyADAAMgA2ADoAIABUAGEAYgBsAGUAIABBAC4AMQAuADMALgAxAFwAIgApADsAXABuAFwAbgBTAG8AdQByAGMAZQBEAGEAdABhAF8ARABhAGkAcgB5AF8ATABpAHYAZQB3AGUAaQBnAGgAdABDAG8AdwBzAEEAbgBkAEgAZQBpAGYAZQByAHMAXwBWAGEAcgBpAGEAdABpAG8AbgBcAG4AIAAgAD0ATABBAE0AQgBEAEEAKABcACIAVgBBAFIASQBBAFQASQBPAE4AIABPAEYAIABTAE8AVQBSAEMARQA6ACAARQB4AGMAbAB1AGQAZQBkACAAXAB1ADAAMAAyADcAUgBlAGYAZQByAGUAbgBjAGUAXAB1ADAAMAAyADcALAAgAGEAcwAgAHQAaABlACAAdgBhAGwAdQBlACAAaQBzACAAYwBvAG4AcwBpAHMAdABlAG4AdABsAHkAIABcAHUAMAAwADIANwBEAGEAaQByAHkAIABBAHUAcwB0AHIAYQBsAGkAYQAgAFsAMQBdAFwAdQAwADAAMgA3ACAAYQBuAGQAIABpAHMAIABuAG8AdAAgAHUAcwBlAGQAIABpAG4AIABjAGEAbABjAHUAbABhAHQAaQBvAG4ALgBcACIAKQA7AFwAbgBcAG4AUwBvAHUAcgBjAGUARABhAHQAYQBfAEQAYQBpAHIAeQBfAEwAaQB2AGUAdwBlAGkAZwBoAHQAQwBvAHcAcwBBAG4AZABIAGUAaQBmAGUAcgBzAF8ARABhAHQAYQBcAG4AIAAgAD0ATABBAE0AQgBEAEEAKABcAG4AIAAgACAAIABNAEEASwBFAEEAUgBSAEEAWQAoADEAMQAsACAANAAsAFwAbgAgACAAIAAgACAAIABMAEEATQBCAEQAQQAoAHIALABjACwAXABuACAAIAAgACAAIAAgACAAIABJAE4ARABFAFgAKAB7AFwAbgAgACAAIAAgACAAIAAgACAAIAAgAFwAIgBCAHIAZQBlAGQAXAAiACwAIABcACIATQBpAGwAawBpAG4AZwAgAEMAbwB3AHMAXAAiACwAIABcACIASABlAGkAZgBlAHIAcwAgAFwAdQAwADAAMwBlADEAXAAiACwAIABcACIASABlAGkAZgBlAHIAcwAgAFwAdQAwADAAMwBjADEAIAAoAHcAZQBhAG4AZQBkACkAXAAiADsAXABuACAAIAAgACAAIAAgACAAIAAgACAAXAAiAE0AZQBkAGkAdQBtACAARgByAGkAZQBzAGkAYQBuAFwAIgAsACAANQA1ADAALAAgADMAOAAwACwAIAAxADUANQA7AFwAbgAgACAAIAAgACAAIAAgACAAIAAgAFwAIgBMAGEAcgBnAGUAIABGAHIAaQBlAHMAaQBhAG4AXAAiACwAIAA2ADAAMAAsACAANAAxADUALAAgADEANwAwADsAXABuACAAIAAgACAAIAAgACAAIAAgACAAXAAiAEgAbwBsAHMAdABlAGkAbgAtAEYAcgBpAGUAcwBpAGEAbgBcACIALAAgADYANQAwACwAIAA0ADUAMAAsACAAMQA4ADUAOwBcAG4AIAAgACAAIAAgACAAIAAgACAAIABcACIARgByAGkAZQBzAGkAYQBuACAAYwByAG8AcwBzAGIAcgBlAGQAXAAiACwAIAA1ADAAMAAsACAAMwA1ADAALAAgADEANAA1ADsAXABuACAAIAAgACAAIAAgACAAIAAgACAAXAAiAEoAZQByAHMAZQB5AFwAIgAsACAANAAwADAALAAgADIANwA1ACwAIAAxADEANQA7AFwAbgAgACAAIAAgACAAIAAgACAAIAAgAFwAIgBKAGUAcgBzAGUAeQAgAGMAcgBvAHMAcwBiAHIAZQBkAFwAIgAsACAANAA1ADAALAAgADMAMQA1ACwAIAAxADMAMAA7AFwAbgAgACAAIAAgACAAIAAgACAAIAAgAFwAIgBBAHkAcgBzAGgAaQByAGUAXAAiACwAIAA1ADQAMAAsACAAMwA3ADUALAAgADEANQAwADsAXABuACAAIAAgACAAIAAgACAAIAAgACAAXAAiAEcAdQBlAHIAbgBzAGUAeQBcACIALAAgADQAOAAwACwAIAAzADMANQAsACAAMQA0ADAAOwBcAG4AIAAgACAAIAAgACAAIAAgACAAIABcACIAQgByAG8AdwBuACAAUwB3AGkAcwBzAFwAIgAsACAANgAwADAALAAgADQAMQA1ACwAIAAxADcAMAA7AFwAbgAgACAAIAAgACAAIAAgACAAIAAgAFwAIgBJAGwAbABhAHcAYQByAHIAYQAvAEEAdQBzAHMAaQBlACAAUgBlAGQAXAAiACwAIAA1ADUAMAAsACAAMwA3ADUALAAgADEANQAwAFwAbgAgACAAIAAgACAAIAAgACAAfQAsACAAcgAsACAAYwApAFwAbgAgACAAIAAgACAAIAApAFwAbgAgACAAIAAgACkAXABuACAAIAApADsAXABuAFwAbgBcAG4ALwAqACAAXABuAC0ALQAtAC0ALQAtAC0ALQAtAC0ALQAtAC0ALQAtAC0ALQAtAC0ALQAtAC0ALQAtAC0ALQAtAC0ALQAtAC0ALQAtAC0ALQAtAC0ALQBcAG4AUwBvAHUAcgBjAGUARABhAHQAYQBfAEQAYQBpAHIAeQBfAEwAaQB2AGUAdwBlAGkAZwBoAHQAQgB1AGwAbABzAFwAbgBUAGEAYgBsAGUAIABBAC4AMQAuADMALgAyADoAIABEAGEAaQByAHkAIABjAGEAdAB0AGwAZQAgAC0AIABMAGkAdgBlAHcAZQBpAGcAaAB0ACAAKABrAGcAKQAgAC0AIABCAHUAbABsAHMAIAAoAFcAagApAFwAbgAtAC0ALQAtAC0ALQAtAC0ALQAtAC0ALQAtAC0ALQAtAC0ALQAtAC0ALQAtAC0ALQAtAC0ALQAtAC0ALQAtAC0ALQAtAC0ALQAtAC0AXABuACoALwBcAG4AXABuAFMAbwB1AHIAYwBlAEQAYQB0AGEAXwBEAGEAaQByAHkAXwBMAGkAdgBlAHcAZQBpAGcAaAB0AEIAdQBsAGwAcwBfAFQAaQB0AGwAZQBcAG4AIAAgAD0ATABBAE0AQgBEAEEAKABcACIAVABhAGIAbABlACAAQQAuADEALgAzAC4AMgA6ACAARABhAGkAcgB5ACAAYwBhAHQAdABsAGUAIAAtACAATABpAHYAZQB3AGUAaQBnAGgAdAAgACgAawBnACkAIAAtACAAQgB1AGwAbABzACAAKABXAGoAKQBcACIAKQA7AFwAbgBcAG4AUwBvAHUAcgBjAGUARABhAHQAYQBfAEQAYQBpAHIAeQBfAEwAaQB2AGUAdwBlAGkAZwBoAHQAQgB1AGwAbABzAF8AVgBhAHIAaQBhAGIAbABlAFwAbgAgACAAPQBMAEEATQBCAEQAQQAoAFwAIgBXAGoAXAAiACkAOwBcAG4AXABuAFMAbwB1AHIAYwBlAEQAYQB0AGEAXwBEAGEAaQByAHkAXwBMAGkAdgBlAHcAZQBpAGcAaAB0AEIAdQBsAGwAcwBfAFUAbgBpAHQAXABuACAAIAA9AEwAQQBNAEIARABBACgAXAAiAGsAZwBcACIAKQA7AFwAbgBcAG4AUwBvAHUAcgBjAGUARABhAHQAYQBfAEQAYQBpAHIAeQBfAEwAaQB2AGUAdwBlAGkAZwBoAHQAQgB1AGwAbABzAF8AUwBvAHUAcgBjAGUAXABuACAAIAA9AEwAQQBNAEIARABBACgAXAAiAFYARQBFAFIARwAgADIAMAAyADYAOgAgAFQAYQBiAGwAZQAgAEEALgAxAC4AMwAuADIAXAAiACkAOwBcAG4AXABuAFMAbwB1AHIAYwBlAEQAYQB0AGEAXwBEAGEAaQByAHkAXwBMAGkAdgBlAHcAZQBpAGcAaAB0AEIAdQBsAGwAcwBfAFYAYQByAGkAYQB0AGkAbwBuAFwAbgAgACAAPQBMAEEATQBCAEQAQQAoAFwAIgBcACIAKQA7AFwAbgBcAG4AUwBvAHUAcgBjAGUARABhAHQAYQBfAEQAYQBpAHIAeQBfAEwAaQB2AGUAdwBlAGkAZwBoAHQAQgB1AGwAbABzAF8ARABhAHQAYQBcAG4AIAAgAD0ATABBAE0AQgBEAEEAKABcAG4AIAAgACAAIABNAEEASwBFAEEAUgBSAEEAWQAoADIALAAgADMALABcAG4AIAAgACAAIAAgACAATABBAE0AQgBEAEEAKAByACwAYwAsAFwAbgAgACAAIAAgACAAIAAgACAASQBOAEQARQBYACgAewBcAG4AIAAgACAAIAAgACAAIAAgACAAIABcACIAQgByAGUAZQBkAFwAIgAsACAAXAAiAEIAdQBsAGwAcwAgAFwAdQAwADAAMwBlADEAXAAiACwAIABcACIAQgB1AGwAbABzACAAXAB1ADAAMAAzAGMAMQAgACgAdwBlAGEAbgBlAGQAKQBcACIAOwBcAG4AIAAgACAAIAAgACAAIAAgACAAIABcACIAQQBsAGwAIABiAHIAZQBlAGQAcwBcACIALAAgADYAMAAwACwAIAAyADIANQBcAG4AIAAgACAAIAAgACAAIAAgAH0ALAAgAHIALAAgAGMAKQBcAG4AIAAgACAAIAAgACAAKQBcAG4AIAAgACAAIAApAFwAbgAgACAAKQA7AFwAbgBcAG4ALwAqACAAXABuAC0ALQAtAC0ALQAtAC0ALQAtAC0ALQAtAC0ALQAtAC0ALQAtAC0ALQAtAC0ALQAtAC0ALQAtAC0ALQAtAC0ALQAtAC0ALQAtAC0ALQBcAG4AUwBvAHUAcgBjAGUARABhAHQAYQBfAEQAYQBpAHIAeQBfAEwAaQB2AGUAdwBlAGkAZwBoAHQARwBhAGkAbgBcAG4AVABhAGIAbABlACAAQQAuADEALgAzAC4AMwA6ACAARABhAGkAcgB5ACAAYwBhAHQAdABsAGUAIAAtACAATABpAHYAZQB3AGUAaQBnAGgAdAAgAGcAYQBpAG4AIAAoAGsAZwApACAAKABMAFcARwBqACkAXABuAC0ALQAtAC0ALQAtAC0ALQAtAC0ALQAtAC0ALQAtAC0ALQAtAC0ALQAtAC0ALQAtAC0ALQAtAC0ALQAtAC0ALQAtAC0ALQAtAC0ALQBcAG4AKgAvAFwAbgBcAG4AUwBvAHUAcgBjAGUARABhAHQAYQBfAEQAYQBpAHIAeQBfAEwAaQB2AGUAdwBlAGkAZwBoAHQARwBhAGkAbgBfAFQAaQB0AGwAZQBcAG4AIAAgAD0ATABBAE0AQgBEAEEAKABcACIAVABhAGIAbABlACAAQQAuADEALgAzAC4AMwA6ACAARABhAGkAcgB5ACAAYwBhAHQAdABsAGUAIAAtACAATABpAHYAZQB3AGUAaQBnAGgAdAAgAGcAYQBpAG4AIAAoAGsAZwApACAAKABMAFcARwBqACkAXAAiACkAOwBcAG4AXABuAFMAbwB1AHIAYwBlAEQAYQB0AGEAXwBEAGEAaQByAHkAXwBMAGkAdgBlAHcAZQBpAGcAaAB0AEcAYQBpAG4AXwBWAGEAcgBpAGEAYgBsAGUAXABuACAAIAA9AEwAQQBNAEIARABBACgAXAAiAEwAVwBHAGoAXAAiACkAOwBcAG4AXABuAFMAbwB1AHIAYwBlAEQAYQB0AGEAXwBEAGEAaQByAHkAXwBMAGkAdgBlAHcAZQBpAGcAaAB0AEcAYQBpAG4AXwBVAG4AaQB0AFwAbgAgACAAPQBMAEEATQBCAEQAQQAoAFwAIgBrAGcAXAAiACkAOwBcAG4AXABuAFMAbwB1AHIAYwBlAEQAYQB0AGEAXwBEAGEAaQByAHkAXwBMAGkAdgBlAHcAZQBpAGcAaAB0AEcAYQBpAG4AXwBTAG8AdQByAGMAZQBcAG4AIAAgAD0ATABBAE0AQgBEAEEAKABcACIAVgBFAEUAUgBHACAAMgAwADIANgA6ACAAVABhAGIAbABlACAAQQAuADEALgAzAC4AMwBcACIAKQA7AFwAbgBcAG4AUwBvAHUAcgBjAGUARABhAHQAYQBfAEQAYQBpAHIAeQBfAEwAaQB2AGUAdwBlAGkAZwBoAHQARwBhAGkAbgBfAFYAYQByAGkAYQB0AGkAbwBuAFwAbgAgACAAPQBMAEEATQBCAEQAQQAoAFwAIgBcACIAKQA7AFwAbgBcAG4AUwBvAHUAcgBjAGUARABhAHQAYQBfAEQAYQBpAHIAeQBfAEwAaQB2AGUAdwBlAGkAZwBoAHQARwBhAGkAbgBfAEQAYQB0AGEAXABuACAAIAA9AEwAQQBNAEIARABBACgAXABuACAAIAAgACAATQBBAEsARQBBAFIAUgBBAFkAKAAyACwAIAA1ACwAXABuACAAIAAgACAAIAAgAEwAQQBNAEIARABBACgAcgAsAGMALABcAG4AIAAgACAAIAAgACAAIAAgAEkATgBEAEUAWAAoAHsAXABuACAAIAAgACAAIAAgACAAIAAgACAAXAAiAE0AaQBsAGsAaQBuAGcAIABDAG8AdwBzAFwAIgAsACAAXAAiAEgAZQBpAGYAZQByAHMAIABcAHUAMAAwADMAZQAxAFwAIgAsACAAXAAiAEgAZQBpAGYAZQByAHMAIABcAHUAMAAwADMAYwAxACAAKAB3AGUAYQBuAGUAZAApAFwAIgAsACAAXAAiAEIAdQBsAGwAcwAgAFwAdQAwADAAMwBlADEAXAAiACwAIABcACIAQgB1AGwAbABzACAAXAB1ADAAMAAzAGMAMQAgACgAdwBlAGEAbgBlAGQAKQBcACIAOwBcAG4AIAAgACAAIAAgACAAIAAgACAAIAAwAC4AMAAxADYALAAgADAALgA2ACwAIAAwAC4ANQA3ACwAIAAwAC4AMQAsACAAMAAuADgAXABuACAAIAAgACAAIAAgACAAIAB9ACwAIAByACwAIABjACkAXABuACAAIAAgACAAIAAgACkAXABuACAAIAAgACAAKQBcAG4AIAAgACkAOwBcAG4AXABuAC8AKgAgAFwAbgAtAC0ALQAtAC0ALQAtAC0ALQAtAC0ALQAtAC0ALQAtAC0ALQAtAC0ALQAtAC0ALQAtAC0ALQAtAC0ALQAtAC0ALQAtAC0ALQAtAC0AXABuAFMAbwB1AHIAYwBlAEQAYQB0AGEAXwBEAGEAaQByAHkAXwBSAGUAZgBlAHIAZQBuAGMAZQBXAGUAaQBnAGgAdABzAFwAbgBUAGEAYgBsAGUAIABBAC4AMQAuADMALgA0ADoAIABEAGEAaQByAHkAIABjAGEAdAB0AGwAZQAgAC0AIABSAGUAZgBlAHIAZQBuAGMAZQAgAHcAZQBpAGcAaAB0AHMAIAAoAGsAZwApACAAKABXAFIAagApAFwAbgAtAC0ALQAtAC0ALQAtAC0ALQAtAC0ALQAtAC0ALQAtAC0ALQAtAC0ALQAtAC0ALQAtAC0ALQAtAC0ALQAtAC0ALQAtAC0ALQAtAC0AXABuACoALwBcAG4AXABuAFMAbwB1AHIAYwBlAEQAYQB0AGEAXwBEAGEAaQByAHkAXwBSAGUAZgBlAHIAZQBuAGMAZQBXAGUAaQBnAGgAdABzAF8AVABpAHQAbABlAFwAbgAgACAAPQBMAEEATQBCAEQAQQAoAFwAIgBUAGEAYgBsAGUAIABBAC4AMQAuADMALgA0ADoAIABEAGEAaQByAHkAIABjAGEAdAB0AGwAZQAgAC0AIABSAGUAZgBlAHIAZQBuAGMAZQAgAHcAZQBpAGcAaAB0AHMAIAAoAGsAZwApACAAKABXAFIAagApAFwAIgApADsAXABuAFwAbgBTAG8AdQByAGMAZQBEAGEAdABhAF8ARABhAGkAcgB5AF8AUgBlAGYAZQByAGUAbgBjAGUAVwBlAGkAZwBoAHQAcwBfAFYAYQByAGkAYQBiAGwAZQBcAG4AIAAgAD0ATABBAE0AQgBEAEEAKABcACIAVwBSAGoAXAAiACkAOwBcAG4AXABuAFMAbwB1AHIAYwBlAEQAYQB0AGEAXwBEAGEAaQByAHkAXwBSAGUAZgBlAHIAZQBuAGMAZQBXAGUAaQBnAGgAdABzAF8AVQBuAGkAdABcAG4AIAAgAD0ATABBAE0AQgBEAEEAKABcACIAawBnAFwAIgApADsAXABuAFwAbgBTAG8AdQByAGMAZQBEAGEAdABhAF8ARABhAGkAcgB5AF8AUgBlAGYAZQByAGUAbgBjAGUAVwBlAGkAZwBoAHQAcwBfAFMAbwB1AHIAYwBlAFwAbgAgACAAPQBMAEEATQBCAEQAQQAoAFwAIgBWAEUARQBSAEcAIAAyADAAMgA2ADoAIABUAGEAYgBsAGUAIABBAC4AMQAuADMALgA0AFwAIgApADsAXABuAFwAbgBTAG8AdQByAGMAZQBEAGEAdABhAF8ARABhAGkAcgB5AF8AUgBlAGYAZQByAGUAbgBjAGUAVwBlAGkAZwBoAHQAcwBfAFYAYQByAGkAYQB0AGkAbwBuAFwAbgAgACAAPQBMAEEATQBCAEQAQQAoAFwAIgBcACIAKQA7AFwAbgBcAG4AUwBvAHUAcgBjAGUARABhAHQAYQBfAEQAYQBpAHIAeQBfAFIAZQBmAGUAcgBlAG4AYwBlAFcAZQBpAGcAaAB0AHMAXwBEAGEAdABhAFwAbgAgACAAPQBMAEEATQBCAEQAQQAoAFwAbgAgACAAIAAgAE0AQQBLAEUAQQBSAFIAQQBZACgAMgAsACAANQAsAFwAbgAgACAAIAAgACAAIABMAEEATQBCAEQAQQAoAHIALABjACwAXABuACAAIAAgACAAIAAgACAAIABJAE4ARABFAFgAKAB7AFwAbgAgACAAIAAgACAAIAAgACAAIAAgAFwAIgBNAGkAbABrAGkAbgBnACAAQwBvAHcAcwBcACIALAAgAFwAIgBIAGUAaQBmAGUAcgBzACAAXAB1ADAAMAAzAGUAMQBcACIALAAgAFwAIgBIAGUAaQBmAGUAcgBzACAAXAB1ADAAMAAzAGMAMQAgACgAdwBlAGEAbgBlAGQAKQBcACIALAAgAFwAIgBCAHUAbABsAHMAIABcAHUAMAAwADMAZQAxAFwAIgAsACAAXAAiAEIAdQBsAGwAcwAgAFwAdQAwADAAMwBjADEAIAAoAHcAZQBhAG4AZQBkACkAXAAiADsAXABuACAAIAAgACAAIAAgACAAIAAgACAANQA5ADAALAAgADUAOQAwACwAIAA1ADkAMAAsACAANwA3ADAALAAgADcANwAwAFwAbgAgACAAIAAgACAAIAAgACAAfQAsACAAcgAsACAAYwApAFwAbgAgACAAIAAgACAAIAApAFwAbgAgACAAIAAgACkAXABuACAAIAApADsAXABuAFwAbgAvACoAIABcAG4ALQAtAC0ALQAtAC0ALQAtAC0ALQAtAC0ALQAtAC0ALQAtAC0ALQAtAC0ALQAtAC0ALQAtAC0ALQAtAC0ALQAtAC0ALQAtAC0ALQAtAFwAbgBTAG8AdQByAGMAZQBEAGEAdABhAF8ARABhAGkAcgB5AF8AUAByAGUAVwBlAGEAbgBlAGQAQwBhAGwAdgBlAHMAXABuAFQAYQBiAGwAZQAgAEEALgAxAC4AMwAuADUAOgAgAEQAYQBpAHIAeQAgAGMAYQB0AHQAbABlACAALQAgAEQAYQB0AGEAIABmAG8AcgAgAHAAcgBlACAALQAgAHcAZQBhAG4AZQBkACAAYwBhAGwAdgBlAHMAXABuAC0ALQAtAC0ALQAtAC0ALQAtAC0ALQAtAC0ALQAtAC0ALQAtAC0ALQAtAC0ALQAtAC0ALQAtAC0ALQAtAC0ALQAtAC0ALQAtAC0ALQBcAG4AKgAvAFwAbgBcAG4AUwBvAHUAcgBjAGUARABhAHQAYQBfAEQAYQBpAHIAeQBfAFAAcgBlAFcAZQBhAG4AZQBkAEMAYQBsAHYAZQBzAF8AVABpAHQAbABlAFwAbgAgACAAPQBMAEEATQBCAEQAQQAoAFwAIgBUAGEAYgBsAGUAIABBAC4AMQAuADMALgA1ADoAIABEAGEAaQByAHkAIABjAGEAdAB0AGwAZQAgAC0AIABEAGEAdABhACAAZgBvAHIAIABwAHIAZQAgAC0AIAB3AGUAYQBuAGUAZAAgAGMAYQBsAHYAZQBzAFwAIgApADsAXABuAFwAbgBTAG8AdQByAGMAZQBEAGEAdABhAF8ARABhAGkAcgB5AF8AUAByAGUAVwBlAGEAbgBlAGQAQwBhAGwAdgBlAHMAXwBWAGEAcgBpAGEAYgBsAGUAXABuACAAIAA9AEwAQQBNAEIARABBACgAXAAiAFYAUwBqAD0AMwAsADUAOwAgAE4AUABXAGoAPQAzACwANQBcACIAKQA7AFwAbgBcAG4AUwBvAHUAcgBjAGUARABhAHQAYQBfAEQAYQBpAHIAeQBfAFAAcgBlAFcAZQBhAG4AZQBkAEMAYQBsAHYAZQBzAF8AVQBuAGkAdABcAG4AIAAgAD0ATABBAE0AQgBEAEEAKABcACIAawBnAC8AZABhAHkAXAAiACkAOwBcAG4AXABuAFMAbwB1AHIAYwBlAEQAYQB0AGEAXwBEAGEAaQByAHkAXwBQAHIAZQBXAGUAYQBuAGUAZABDAGEAbAB2AGUAcwBfAFMAbwB1AHIAYwBlAFwAbgAgACAAPQBMAEEATQBCAEQAQQAoAFwAIgBWAEUARQBSAEcAIAAyADAAMgA2ADoAIABUAGEAYgBsAGUAIABBAC4AMQAuADMALgA1AFwAIgApADsAXABuAFwAbgBTAG8AdQByAGMAZQBEAGEAdABhAF8ARABhAGkAcgB5AF8AUAByAGUAVwBlAGEAbgBlAGQAQwBhAGwAdgBlAHMAXwBWAGEAcgBpAGEAdABpAG8AbgBcAG4AIAAgAD0ATABBAE0AQgBEAEEAKABcACIAVgBBAFIASQBBAFQASQBPAE4AIABPAEYAIABTAE8AVQBSAEMARQA6ACAAQQBkAGQAZQBkACAAXAB1ADAAMAAyADcAQQBuAGkAbQBhAGwAIABjAGwAYQBzAHMAIABqAFwAdQAwADAAMgA3ACAAYwBvAGwAdQBtAG4AIABoAGUAYQBkAGUAcgBcACIAKQA7AFwAbgBcAG4AUwBvAHUAcgBjAGUARABhAHQAYQBfAEQAYQBpAHIAeQBfAFAAcgBlAFcAZQBhAG4AZQBkAEMAYQBsAHYAZQBzAF8ARABhAHQAYQBcAG4AIAAgAD0ATABBAE0AQgBEAEEAKABcAG4AIAAgACAAIABNAEEASwBFAEEAUgBSAEEAWQAoADQALAAgADQALABcAG4AIAAgACAAIAAgACAATABBAE0AQgBEAEEAKAByACwAYwAsAFwAbgAgACAAIAAgACAAIAAgACAASQBOAEQARQBYACgAewBcAG4AIAAgACAAIAAgACAAIAAgACAAIABcACIAQQBuAGkAbQBhAGwAIABjAGwAYQBzAHMAIABqAFwAIgAsACAAXAAiAEMASAA0ACAAcAByAG8AZAB1AGMAdABpAG8AbgBcACIALAAgAFwAIgBWAG8AbABhAHQAaQBsAGUAIABzAG8AbABpAGQAcwAgACgAVgBTAGoAPQAzACwANQApAFwAIgAsACAAXAAiAE4AaQB0AHIAbwBnAGUAbgAgAEUAeABjAHIAZQB0AGUAZAAgACgATgBQAFcAagA9ADMALAA1ACkAXAAiADsAXABuACAAIAAgACAAIAAgACAAIAAgACAAXAAiAFwAIgAsACAAXAAiACgAawBnAC8AZABhAHkAKQBcACIALAAgAFwAIgAoAGsAZwAvAGQAYQB5ACkAXAAiACwAIABcACIAKABrAGcALwBkAGEAeQApAFwAIgA7AFwAbgAgACAAIAAgACAAIAAgACAAIAAgAFwAIgBIAGUAaQBmAGUAcgBzAFwAdQAwADAAMwBjADEAXAAiACwAIAAwAC4AMAAxADcANgAsACAAMAAuADIANgA4ADUALAAgADAALgAwADEAMwA3ADsAXABuACAAIAAgACAAIAAgACAAIAAgACAAXAAiAEIAdQBsAGwAcwBcAHUAMAAwADMAYwAxAFwAIgAsACAAMAAuADAAMgAwADQALAAgADAALgAzADAAMAAzACwAIAAwAC4AMAAwADkAMgBcAG4AIAAgACAAIAAgACAAIAAgAH0ALAAgAHIALAAgAGMAKQBcAG4AIAAgACAAIAAgACAAKQBcAG4AIAAgACAAIAApAFwAbgAgACAAKQA7AFwAbgBcAG4ALwAqACAAXABuAC0ALQAtAC0ALQAtAC0ALQAtAC0ALQAtAC0ALQAtAC0ALQAtAC0ALQAtAC0ALQAtAC0ALQAtAC0ALQAtAC0ALQAtAC0ALQAtAC0ALQBcAG4AUwBvAHUAcgBjAGUARABhAHQAYQBfAEQAYQBpAHIAeQBfAE0AQwBGAFwAbgBUAGEAYgBsAGUAIABBAC4AMQAuADMALgA2ADoAIABEAGEAaQByAHkAIABjAGEAdAB0AGwAZQAgAC0AIABEAGEAaQByAHkAIABjAGEAdAB0AGwAZQAgAC0AIABNAEMARgBzACAAKABmAHIAYQBjAHQAaQBvAG4AKQAgACgATQBDAEYAagBtACkAXABuAC0ALQAtAC0ALQAtAC0ALQAtAC0ALQAtAC0ALQAtAC0ALQAtAC0ALQAtAC0ALQAtAC0ALQAtAC0ALQAtAC0ALQAtAC0ALQAtAC0ALQBcAG4AKgAvAFwAbgBcAG4AUwBvAHUAcgBjAGUARABhAHQAYQBfAEQAYQBpAHIAeQBfAE0AQwBGAF8AVABpAHQAbABlAFwAbgAgACAAPQBMAEEATQBCAEQAQQAoAFwAIgBUAGEAYgBsAGUAIABBAC4AMQAuADMALgA2ADoAIABEAGEAaQByAHkAIABjAGEAdAB0AGwAZQAgAC0AIABEAGEAaQByAHkAIABjAGEAdAB0AGwAZQAgAC0AIABNAEMARgBzACAAKABmAHIAYQBjAHQAaQBvAG4AKQAgACgATQBDAEYAagBtACkAXAAiACkAOwBcAG4AXABuAFMAbwB1AHIAYwBlAEQAYQB0AGEAXwBEAGEAaQByAHkAXwBNAEMARgBfAFYAYQByAGkAYQBiAGwAZQBcAG4AIAAgAD0ATABBAE0AQgBEAEEAKABcACIATQBDAEYAagBtAFwAIgApADsAXABuAFwAbgBTAG8AdQByAGMAZQBEAGEAdABhAF8ARABhAGkAcgB5AF8ATQBDAEYAXwBVAG4AaQB0AFwAbgAgACAAPQBMAEEATQBCAEQAQQAoAFwAIgBmAHIAYQBjAHQAaQBvAG4AXAAiACkAOwBcAG4AXABuAFMAbwB1AHIAYwBlAEQAYQB0AGEAXwBEAGEAaQByAHkAXwBNAEMARgBfAFMAbwB1AHIAYwBlAFwAbgAgACAAPQBMAEEATQBCAEQAQQAoAFwAIgBWAEUARQBSAEcAIAAyADAAMgA2ADoAIABUAGEAYgBsAGUAIABBAC4AMQAuADMALgA2AFwAIgApADsAXABuAFwAbgBTAG8AdQByAGMAZQBEAGEAdABhAF8ARABhAGkAcgB5AF8ATQBDAEYAXwBWAGEAcgBpAGEAdABpAG8AbgBcAG4AIAAgAD0ATABBAE0AQgBEAEEAKABcACIAVgBBAFIASQBBAFQASQBPAE4AIABPAEYAIABTAE8AVQBSAEMARQA6ACAAQQBkAGQAZQBkACAAXAB1ADAAMAAyADcATgBJAFIAIAByAGUAZgBlAHIAZQBuAGMAZQBcAHUAMAAwADIANwAgAGMAbwBsAHUAbQBuACAAdABvACAAYQBpAGQAIABsAG8AbwBrAHUAcABcACIAKQA7AFwAbgBcAG4AUwBvAHUAcgBjAGUARABhAHQAYQBfAEQAYQBpAHIAeQBfAE0AQwBGAF8ARABhAHQAYQBcAG4AIAAgAD0ATABBAE0AQgBEAEEAKABcAG4AIAAgACAAIABNAEEASwBFAEEAUgBSAEEAWQAoADcALAAgADEAMAAsAFwAbgAgACAAIAAgACAAIABMAEEATQBCAEQAQQAoAHIALABjACwAXABuACAAIAAgACAAIAAgACAAIABJAE4ARABFAFgAKAB7AFwAbgAgACAAIAAgACAAIAAgACAAIAAgAFwAIgBNAE0AUwAgAG0AXAAiACwAIABcACIAQQBDAFQAXAAiACwAIABcACIATgBTAFcAXAAiACwAIABcACIATgBUAFwAIgAsACAAXAAiAFEATABEAFwAIgAsACAAXAAiAFMAQQBcACIALAAgAFwAIgBUAEEAUwBcACIALAAgAFwAIgBWAEkAQwBcACIALAAgAFwAIgBXAEEAXAAiACwAIABcACIATgBJAFIAIAByAGUAZgBlAHIAZQBuAGMAZQBcACIAOwBcAG4AIAAgACAAIAAgACAAIAAgACAAIABcACIAUABhAHMAdAB1AHIAZQBcACIALAAgADAALgAwADEALAAgADAALgAwADEALAAgADAALgAwADIALAAgADAALgAwADEALAAgADAALgAwADEALAAgADAALgAwADEALAAgADAALgAwADEALAAgADAALgAwADEALAAgAFwAIgBQAGEAcwB0AHUAcgBlACAAcgBhAG4AZwBlACAAYQBuAGQAIABwAGEAZABkAG8AYwBrAFwAIgA7AFwAbgAgACAAIAAgACAAIAAgACAAIAAgAFwAIgBBAG4AYQBlAHIAbwBiAGkAYwAgAGwAYQBnAG8AbwBuAFwAIgAsACAAMAAuADcAMgAsACAAMAAuADcANgAsACAAMAAuADgALAAgADAALgA3ADgALAAgADAALgA3ADQALAAgADAALgA2ADkALAAgADAALgA3ADMALAAgADAALgA3ADYALAAgAFwAIgBBAG4AYQBlAHIAbwBiAGkAYwAgAGwAYQBnAG8AbwBuAFwAIgA7AFwAbgAgACAAIAAgACAAIAAgACAAIAAgAFwAIgBEAGEAaQBsAHkAIABzAHAAcgBlAGEAZAAgAC0AIABTAHUAbQBwACAAYQBuAGQAIABkAGkAcwBwAGUAcgBzAGEAbAAgAHMAeQBzAHQAZQBtAHMAXAAiACwAIAAwAC4AMAAwADUALAAgADAALgAwADAANQAsACAAMAAuADAAMQAsACAAMAAuADAAMAA1ACwAIAAwAC4AMAAwADUALAAgADAALgAwADAAMQAsACAAMAAuADAAMAA1ACwAIAAwAC4AMAAwADUALAAgAFwAIgBTAHUAbQBwACAAYQBuAGQAIABkAGkAcwBwAGUAcgBzAGEAbAAgAHMAeQBzAHQAZQBtAFwAIgA7AFwAbgAgACAAIAAgACAAIAAgACAAIAAgAFwAIgBEAGEAaQBsAHkAIABzAHAAcgBlAGEAZAAgAC0AIABEAHIAYQBpAG4AcwAgAHQAbwAgAHAAYQBkAGQAbwBjAGsAcwAgACgAYQApAFwAIgAsACAAMAAuADEANQAsACAAMAAuADEAOAAsACAAMAAuADUAMAAsACAAMAAuADIANAAsACAAMAAuADEANwAsACAAMAAuADEAMwAsACAAMAAuADEANwAsACAAMAAuADEAOAAsACAAXAAiAEQAcgBhAGkAbgBzACAAdABvACAAcABhAGQAZABvAGMAawBcACIAOwBcAG4AIAAgACAAIAAgACAAIAAgACAAIABcACIAUwBvAGwAaQBkACAAUwB0AG8AcgBhAGcAZQBcACIALAAgADAALgAwADIALAAgADAALgAwADIALAAgADAALgAwADIALAAgADAALgAwADIALAAgADAALgAwADIALAAgADAALgAwADIALAAgADAALgAwADIALAAgADAALgAwADIALAAgAFwAIgBTAG8AbABpAGQAIABzAHQAbwByAGEAZwBlAFwAIgA7AFwAbgAgACAAIAAgACAAIAAgACAAIAAgAFwAIgBEAGkAcgBlAGMAdAAgAEEAcABwAGwAaQBjAGEAdABpAG8AbgAgAHQAbwAgAHMAbwBpAGwAXAAiACwAIAAwACwAIAAwACwAIAAwACwAIAAwACwAIAAwACwAIAAwACwAIAAwACwAIAAwACwAIABcACIARABpAHIAZQBjAHQAIABhAHAAcABsAGkAYwBhAHQAaQBvAG4AXAAiAFwAbgAgACAAIAAgACAAIAAgACAAfQAsACAAcgAsACAAYwApAFwAbgAgACAAIAAgACAAIAApAFwAbgAgACAAIAAgACkAXABuACAAIAApADsAXABuAFwAbgAvACoAIABcAG4ALQAtAC0ALQAtAC0ALQAtAC0ALQAtAC0ALQAtAC0ALQAtAC0ALQAtAC0ALQAtAC0ALQAtAC0ALQAtAC0ALQAtAC0ALQAtAC0ALQAtAFwAbgBTAG8AdQByAGMAZQBEAGEAdABhAF8ARABhAGkAcgB5AF8ATgBpAHQAcgBvAHUAcwBPAHgAaQBkAGUARQBGAHMAQQBuAGQARgByAGEAYwBHAEEAUwBNAFwAbgBUAGEAYgBsAGUAIABBAC4AMQAuADMALgA3ADoAIABEAGEAaQByAHkAIABjAGEAdAB0AGwAZQAgAC0AIABOAGkAdAByAG8AdQBzACAAbwB4AGkAZABlACAARQBGAHMAIABhAG4AZAAgAGYAcgBhAGMAdABpAG8AbgAgAG8AZgAgAE4AIAB2AG8AbABhAHQAaQBsAGkAcwBlAGQAIABiAHkAIABNAE0AUwBcAG4ALQAtAC0ALQAtAC0ALQAtAC0ALQAtAC0ALQAtAC0ALQAtAC0ALQAtAC0ALQAtAC0ALQAtAC0ALQAtAC0ALQAtAC0ALQAtAC0ALQAtAFwAbgAqAC8AXABuAFwAbgBTAG8AdQByAGMAZQBEAGEAdABhAF8ARABhAGkAcgB5AF8ATgBpAHQAcgBvAHUAcwBPAHgAaQBkAGUARQBGAHMAQQBuAGQARgByAGEAYwBHAEEAUwBNAF8AVABpAHQAbABlAFwAbgAgACAAPQBMAEEATQBCAEQAQQAoAFwAIgBUAGEAYgBsAGUAIABBAC4AMQAuADMALgA3ADoAIABEAGEAaQByAHkAIABjAGEAdAB0AGwAZQAgAC0AIABOAGkAdAByAG8AdQBzACAAbwB4AGkAZABlACAARQBGAHMAIABhAG4AZAAgAGYAcgBhAGMAdABpAG8AbgAgAG8AZgAgAE4AIAB2AG8AbABhAHQAaQBsAGkAcwBlAGQAIABiAHkAIABNAE0AUwBcACIAKQA7AFwAbgBcAG4AUwBvAHUAcgBjAGUARABhAHQAYQBfAEQAYQBpAHIAeQBfAE4AaQB0AHIAbwB1AHMATwB4AGkAZABlAEUARgBzAEEAbgBkAEYAcgBhAGMARwBBAFMATQBfAFYAYQByAGkAYQBiAGwAZQBcAG4AIAAgAD0ATABBAE0AQgBEAEEAKABcACIARQBGAG0AOwAgAEYAcgBhAGMARwBBAFMATQBtAFwAIgApADsAXABuAFwAbgBTAG8AdQByAGMAZQBEAGEAdABhAF8ARABhAGkAcgB5AF8ATgBpAHQAcgBvAHUAcwBPAHgAaQBkAGUARQBGAHMAQQBuAGQARgByAGEAYwBHAEEAUwBNAF8AVQBuAGkAdABcAG4AIAAgAD0ATABBAE0AQgBEAEEAKABcACIAawBnACAATgAyAE8ALQBOAC8AawBnACAATgAgAGUAeABjAHIAZQB0AGUAZABcACIAKQA7AFwAbgBcAG4AUwBvAHUAcgBjAGUARABhAHQAYQBfAEQAYQBpAHIAeQBfAE4AaQB0AHIAbwB1AHMATwB4AGkAZABlAEUARgBzAEEAbgBkAEYAcgBhAGMARwBBAFMATQBfAFMAbwB1AHIAYwBlAFwAbgAgACAAPQBMAEEATQBCAEQAQQAoAFwAIgBWAEUARQBSAEcAIAAyADAAMgA2ADoAIABUAGEAYgBsAGUAIABBAC4AMQAuADMALgA3AFwAIgApADsAXABuAFwAbgBTAG8AdQByAGMAZQBEAGEAdABhAF8ARABhAGkAcgB5AF8ATgBpAHQAcgBvAHUAcwBPAHgAaQBkAGUARQBGAHMAQQBuAGQARgByAGEAYwBHAEEAUwBNAF8AVgBhAHIAaQBhAHQAaQBvAG4AXABuACAAIAA9AEwAQQBNAEIARABBACgAXAAiAFYAQQBSAEkAQQBUAEkATwBOACAATwBGACAAUwBPAFUAUgBDAEUAOgAgAEEAZABkAGUAZAAgAFwAdQAwADAAMgA3AE4ASQBSACAAcgBlAGYAZQByAGUAbgBjAGUAXAB1ADAAMAAyADcAIABjAG8AbAB1AG0AbgAgAHQAbwAgAGEAaQBkACAAbABvAG8AawB1AHAAXAAiACkAOwBcAG4AXABuAFMAbwB1AHIAYwBlAEQAYQB0AGEAXwBEAGEAaQByAHkAXwBOAGkAdAByAG8AdQBzAE8AeABpAGQAZQBFAEYAcwBBAG4AZABGAHIAYQBjAEcAQQBTAE0AXwBEAGEAdABhAFwAbgAgACAAPQBMAEEATQBCAEQAQQAoAFwAbgAgACAAIAAgAE0AQQBLAEUAQQBSAFIAQQBZACgANgAsACAANAAsAFwAbgAgACAAIAAgACAAIABMAEEATQBCAEQAQQAoAHIALABjACwAXABuACAAIAAgACAAIAAgACAAIABJAE4ARABFAFgAKAB7AFwAbgAgACAAIAAgACAAIAAgACAAIAAgAFwAIgBNAE0AUwAgAG0AXAAiACwAIABcACIARQBGAG0AIAAoAGsAZwAgAE4AMgBPAC0ATgAvAGsAZwAgAE4AIABlAHgAYwByAGUAdABlAGQAKQBcACIALAAgAFwAIgBGAHIAYQBjAEcAQQBTAE0AbQAgACgAawBnACAATgAyAE8ALQBOAC8AawBnACAATgAgAGUAeABjAHIAZQB0AGUAZAApAFwAIgAsACAAXAAiAE4ASQBSACAAcgBlAGYAZQByAGUAbgBjAGUAXAAiADsAXABuACAAIAAgACAAIAAgACAAIAAgACAAXAAiAE0APQAxADQAIABQAGEAcwB0AHUAcgBlAFwAIgAsACAAMAAsACAAMAAsACAAXAAiAFAAYQBzAHQAdQByAGUAIAByAGEAbgBnAGUAIABhAG4AZAAgAHAAYQBkAGQAbwBjAGsAXAAiADsAXABuACAAIAAgACAAIAAgACAAIAAgACAAXAAiAE0APQAxACAAQQBuAGEAZQByAG8AYgBpAGMAIABsAGEAZwBvAG8AbgBcACIALAAgADAALAAgADAALgAzADUALAAgAFwAIgBBAG4AYQBlAHIAbwBiAGkAYwAgAGwAYQBnAG8AbwBuAFwAIgA7AFwAbgAgACAAIAAgACAAIAAgACAAIAAgAFwAIgBNAD0AMgAgAEQAYQBpAGwAeQAgAFMAcAByAGUAYQBkACAALQAgAFMAdQBtAHAAIABhAG4AZAAgAEQAaQBzAHAAZQByAHMAYQBsAFwAIgAsACAAMAAsACAAMAAuADAANwAsACAAXAAiAFMAdQBtAHAAIABhAG4AZAAgAGQAaQBzAHAAZQByAHMAYQBsACAAcwB5AHMAdABlAG0AXAAiADsAXABuACAAIAAgACAAIAAgACAAIAAgACAAXAAiAE0APQAzACAARABhAGkAbAB5ACAAUwBwAHIAZQBhAGQAIAAtACAARAByAGEAaQBuAHMAIAB0AG8AIABQAGEAZABkAG8AYwBrAFwAIgAsACAAMAAsACAAMAAuADIALAAgAFwAIgBEAHIAYQBpAG4AcwAgAHQAbwAgAHAAYQBkAGQAbwBjAGsAXAAiADsAXABuACAAIAAgACAAIAAgACAAIAAgACAAXAAiAE0APQAzACAAUwBvAGwAaQBkACAAUwB0AG8AcgBhAGcAZQBcACIALAAgADAALgAwADAANQAsACAAMAAuADMALAAgAFwAIgBTAG8AbABpAGQAIABzAHQAbwByAGEAZwBlAFwAIgBcAG4AIAAgACAAIAAgACAAIAAgAH0ALAAgAHIALAAgAGMAKQBcAG4AIAAgACAAIAAgACAAKQBcAG4AIAAgACAAIAApAFwAbgAgACAAKQA7AFwAbgBcAG4AXABuAC8AKgAgAFwAbgAtAC0ALQAtAC0ALQAtAC0ALQAtAC0ALQAtAC0ALQAtAC0ALQAtAC0ALQAtAC0ALQAtAC0ALQAtAC0ALQAtAC0ALQAtAC0ALQAtAC0AXABuAFMAbwB1AHIAYwBlAEQAYQB0AGEAXwBEAGEAaQByAHkAXwBNAGUAdABoAGEAbgBlAFAAcgBvAGQAdQBjAHQAaQBvAG4AUAByAGUAVwBlAGEAbgBlAGQAQwBhAGwAdgBlAHMAXABuAFQAYQBiAGwAZQAgAEEALgAxAC4AMwAuADgAOgAgAEQAYQBpAHIAeQAgAGMAYQB0AHQAbABlACAALQAgAE0AZQB0AGgAYQBuAGUAIABwAHIAbwBkAHUAYwB0AGkAbwBuACAAZgBvAHIAIABwAHIAZQAtAHcAZQBhAG4AZQBkACAAaABlAGkAZgBlAHIAIABhAG4AZAAgAGIAdQBsAGwAIABjAGEAbAB2AGUAcwAgACgAawBnACAAQwBIADQALwBoAGUAYQBkAC8AZABhAHkAKQAgACgATQBQAFcARQBOAFQARQBSAEkAQwAsAGoAPQAzACwANQApAFwAbgAtAC0ALQAtAC0ALQAtAC0ALQAtAC0ALQAtAC0ALQAtAC0ALQAtAC0ALQAtAC0ALQAtAC0ALQAtAC0ALQAtAC0ALQAtAC0ALQAtAC0AXABuACoALwBcAG4AXABuAFMAbwB1AHIAYwBlAEQAYQB0AGEAXwBEAGEAaQByAHkAXwBNAGUAdABoAGEAbgBlAFAAcgBvAGQAdQBjAHQAaQBvAG4AUAByAGUAVwBlAGEAbgBlAGQAQwBhAGwAdgBlAHMAXwBUAGkAdABsAGUAXABuACAAIAA9AEwAQQBNAEIARABBACgAXAAiAFQAYQBiAGwAZQAgAEEALgAxAC4AMwAuADgAOgAgAEQAYQBpAHIAeQAgAGMAYQB0AHQAbABlACAALQAgAE0AZQB0AGgAYQBuAGUAIABwAHIAbwBkAHUAYwB0AGkAbwBuACAAZgBvAHIAIABwAHIAZQAtAHcAZQBhAG4AZQBkACAAaABlAGkAZgBlAHIAIABhAG4AZAAgAGIAdQBsAGwAIABjAGEAbAB2AGUAcwAgACgAawBnACAAQwBIADQALwBoAGUAYQBkAC8AZABhAHkAKQAgACgATQBQAFcARQBOAFQARQBSAEkAQwAsAGoAPQAzACwANQApAFwAIgApADsAXABuAFwAbgBTAG8AdQByAGMAZQBEAGEAdABhAF8ARABhAGkAcgB5AF8ATQBlAHQAaABhAG4AZQBQAHIAbwBkAHUAYwB0AGkAbwBuAFAAcgBlAFcAZQBhAG4AZQBkAEMAYQBsAHYAZQBzAF8AVgBhAHIAaQBhAGIAbABlAFwAbgAgACAAPQBMAEEATQBCAEQAQQAoAFwAIgBNAFAAVwBFAE4AVABFAFIASQBDACwAagA9ADMALAA1AFwAIgApADsAXABuAFwAbgBTAG8AdQByAGMAZQBEAGEAdABhAF8ARABhAGkAcgB5AF8ATQBlAHQAaABhAG4AZQBQAHIAbwBkAHUAYwB0AGkAbwBuAFAAcgBlAFcAZQBhAG4AZQBkAEMAYQBsAHYAZQBzAF8AVQBuAGkAdABcAG4AIAAgAD0ATABBAE0AQgBEAEEAKABcACIAawBnACAAQwBIADQALwBoAGUAYQBkAC8AZABhAHkAXAAiACkAOwBcAG4AXABuAFMAbwB1AHIAYwBlAEQAYQB0AGEAXwBEAGEAaQByAHkAXwBNAGUAdABoAGEAbgBlAFAAcgBvAGQAdQBjAHQAaQBvAG4AUAByAGUAVwBlAGEAbgBlAGQAQwBhAGwAdgBlAHMAXwBTAG8AdQByAGMAZQBcAG4AIAAgAD0ATABBAE0AQgBEAEEAKABcACIAVgBFAEUAUgBHACAAMgAwADIANgA6ACAAVABhAGIAbABlACAAQQAuADEALgAzAC4AOABcACIAKQA7AFwAbgBcAG4AUwBvAHUAcgBjAGUARABhAHQAYQBfAEQAYQBpAHIAeQBfAE0AZQB0AGgAYQBuAGUAUAByAG8AZAB1AGMAdABpAG8AbgBQAHIAZQBXAGUAYQBuAGUAZABDAGEAbAB2AGUAcwBfAFYAYQByAGkAYQB0AGkAbwBuAFwAbgAgACAAPQBMAEEATQBCAEQAQQAoAFwAIgBcACIAKQA7AFwAbgBcAG4AUwBvAHUAcgBjAGUARABhAHQAYQBfAEQAYQBpAHIAeQBfAE0AZQB0AGgAYQBuAGUAUAByAG8AZAB1AGMAdABpAG8AbgBQAHIAZQBXAGUAYQBuAGUAZABDAGEAbAB2AGUAcwBfAEQAYQB0AGEAXABuACAAIAA9AEwAQQBNAEIARABBACgAXABuACAAIAAgACAATQBBAEsARQBBAFIAUgBBAFkAKAAzACwAIAAyACwAXABuACAAIAAgACAAIAAgAEwAQQBNAEIARABBACgAcgAsAGMALABcAG4AIAAgACAAIAAgACAAIAAgAEkATgBEAEUAWAAoAHsAXABuACAAIAAgACAAIAAgACAAIAAgACAAXAAiAEEAbgBpAG0AYQBsACAAQwBsAGEAcwBzACAAagBcACIALAAgAFwAIgBNAFAAVwBFAE4AVABFAFIASQBDAFwAIgA7AFwAbgAgACAAIAAgACAAIAAgACAAIAAgAFwAIgBIAGUAaQBmAGUAcgBzACAAXAB1ADAAMAAzAGMAIAAxACAAeQBlAGEAcgBcACIALAAgADAALgAwADEANwA2ADsAXABuACAAIAAgACAAIAAgACAAIAAgACAAXAAiAEIAdQBsAGwAcwAgAFwAdQAwADAAMwBjACAAMQAgAHkAZQBhAHIAXAAiACwAIAAwAC4AMAAyADAANABcAG4AIAAgACAAIAAgACAAIAAgAH0ALAAgAHIALAAgAGMAKQBcAG4AIAAgACAAIAAgACAAKQBcAG4AIAAgACAAIAApAFwAbgAgACAAKQA7AFwAbgBcAG4ALwAqACAAXABuAC0ALQAtAC0ALQAtAC0ALQAtAC0ALQAtAC0ALQAtAC0ALQAtAC0ALQAtAC0ALQAtAC0ALQAtAC0ALQAtAC0ALQAtAC0ALQAtAC0ALQBcAG4AUwBvAHUAcgBjAGUARABhAHQAYQBfAEQAYQBpAHIAeQBfAEkAbgBjAHIAZQBhAHMAZQBkAE0AZQB0AGEAYgBvAGwAaQBjAFIAYQB0AGUATQBpAGwAawBcAG4AVABhAGIAbABlACAAQQAuADEALgAzAC4AOQA6ACAARABhAGkAcgB5ACAAYwBhAHQAdABsAGUAIAAtACAASQBuAGMAcgBlAGEAcwBlAGQAIABtAGUAdABhAGIAbwBsAGkAYwAgAHIAYQB0AGUAIAB3AGgAZQBuACAAcAByAG8AZAB1AGMAaQBuAGcAIABtAGkAbABrACAAKABrAGcAIABEAE0ALwBoAGUAYQBkAC8AZABhAHkAKQAgACgATQBSAGoAKQBcAG4ALQAtAC0ALQAtAC0ALQAtAC0ALQAtAC0ALQAtAC0ALQAtAC0ALQAtAC0ALQAtAC0ALQAtAC0ALQAtAC0ALQAtAC0ALQAtAC0ALQAtAFwAbgAqAC8AXABuAFwAbgBTAG8AdQByAGMAZQBEAGEAdABhAF8ARABhAGkAcgB5AF8ASQBuAGMAcgBlAGEAcwBlAGQATQBlAHQAYQBiAG8AbABpAGMAUgBhAHQAZQBNAGkAbABrAF8AVABpAHQAbABlAFwAbgAgACAAPQBMAEEATQBCAEQAQQAoAFwAIgBUAGEAYgBsAGUAIABBAC4AMQAuADMALgA5ADoAIABEAGEAaQByAHkAIABjAGEAdAB0AGwAZQAgAC0AIABJAG4AYwByAGUAYQBzAGUAZAAgAG0AZQB0AGEAYgBvAGwAaQBjACAAcgBhAHQAZQAgAHcAaABlAG4AIABwAHIAbwBkAHUAYwBpAG4AZwAgAG0AaQBsAGsAIAAoAGsAZwAgAEQATQAvAGgAZQBhAGQALwBkAGEAeQApACAAKABNAFIAagApAFwAIgApADsAXABuAFwAbgBTAG8AdQByAGMAZQBEAGEAdABhAF8ARABhAGkAcgB5AF8ASQBuAGMAcgBlAGEAcwBlAGQATQBlAHQAYQBiAG8AbABpAGMAUgBhAHQAZQBNAGkAbABrAF8AVgBhAHIAaQBhAGIAbABlAFwAbgAgACAAPQBMAEEATQBCAEQAQQAoAFwAIgBNAFIAagBcACIAKQA7AFwAbgBcAG4AUwBvAHUAcgBjAGUARABhAHQAYQBfAEQAYQBpAHIAeQBfAEkAbgBjAHIAZQBhAHMAZQBkAE0AZQB0AGEAYgBvAGwAaQBjAFIAYQB0AGUATQBpAGwAawBfAFUAbgBpAHQAXABuACAAIAA9AEwAQQBNAEIARABBACgAXAAiAGsAZwAgAEQATQAvAGgAZQBhAGQALwBkAGEAeQBcACIAKQA7AFwAbgBcAG4AUwBvAHUAcgBjAGUARABhAHQAYQBfAEQAYQBpAHIAeQBfAEkAbgBjAHIAZQBhAHMAZQBkAE0AZQB0AGEAYgBvAGwAaQBjAFIAYQB0AGUATQBpAGwAawBfAFMAbwB1AHIAYwBlAFwAbgAgACAAPQBMAEEATQBCAEQAQQAoAFwAIgBWAEUARQBSAEcAIAAyADAAMgA2ADoAIABUAGEAYgBsAGUAIABBAC4AMQAuADMALgA5AFwAIgApADsAXABuAFwAbgBTAG8AdQByAGMAZQBEAGEAdABhAF8ARABhAGkAcgB5AF8ASQBuAGMAcgBlAGEAcwBlAGQATQBlAHQAYQBiAG8AbABpAGMAUgBhAHQAZQBNAGkAbABrAF8AVgBhAHIAaQBhAHQAaQBvAG4AXABuACAAIAA9AEwAQQBNAEIARABBACgAXAAiAFwAIgApADsAXABuAFwAbgBTAG8AdQByAGMAZQBEAGEAdABhAF8ARABhAGkAcgB5AF8ASQBuAGMAcgBlAGEAcwBlAGQATQBlAHQAYQBiAG8AbABpAGMAUgBhAHQAZQBNAGkAbABrAF8ARABhAHQAYQBcAG4AIAAgAD0ATABBAE0AQgBEAEEAKABcAG4AIAAgACAAIABNAEEASwBFAEEAUgBSAEEAWQAoADMALAAgADIALABcAG4AIAAgACAAIAAgACAATABBAE0AQgBEAEEAKAByACwAYwAsAFwAbgAgACAAIAAgACAAIAAgACAASQBOAEQARQBYACgAewBcAG4AIAAgACAAIAAgACAAIAAgACAAIABcACIAQQBuAGkAbQBhAGwAIABDAGwAYQBzAHMAIABqAFwAIgAsACAAXAAiAE0AUgBqAFwAIgA7AFwAbgAgACAAIAAgACAAIAAgACAAIAAgAFwAIgBNAGkAbABrAGkAbgBnACAAYwBvAHcAcwAsACAAYQBuAGQAIABoAG8AdQBzAGUAIABjAG8AdwBzAFwAIgAsACAAMQAuADEAOwBcAG4AIAAgACAAIAAgACAAIAAgACAAIABcACIAQQBsAGwAIABvAHQAaABlAHIAIABjAGEAdAB0AGwAZQAgAGMAbABhAHMAcwBlAHMAXAAiACwAIAAxAC4AMABcAG4AIAAgACAAIAAgACAAIAAgAH0ALAAgAHIALAAgAGMAKQBcAG4AIAAgACAAIAAgACAAKQBcAG4AIAAgACAAIAApAFwAbgAgACAAKQA7AFwAbgBcAG4ALwAqACAAXABuAC0ALQAtAC0ALQAtAC0ALQAtAC0ALQAtAC0ALQAtAC0ALQAtAC0ALQAtAC0ALQAtAC0ALQAtAC0ALQAtAC0ALQAtAC0ALQAtAC0ALQBcAG4AUwBvAHUAcgBjAGUARABhAHQAYQBfAEQAYQBpAHIAeQBfAEYAcgBhAGMAdABpAG8AbgBWAG8AbABhAHQAaQBsAGUAUwBvAGwAaQBkAHMAVgBvAGkAZABlAGQATQBNAFMAXABuAFQAYQBiAGwAZQAgAEEALgAxAC4AMwAuADEAMAA6ACAARABhAGkAcgB5ACAAYwBhAHQAdABsAGUAIAAtACAARgByAGEAYwB0AGkAbwBuACAAbwBmACAAdgBvAGwAYQB0AGkAbABlACAAcwBvAGwAaQBkAHMAIAB2AG8AaQBkAGUAZAAgAHQAbwAgAGUAYQBjAGgAIABtAGEAbgB1AHIAZQAgAG0AYQBuAGEAZwBlAG0AZQBuAHQAIABzAHkAcwB0AGUAbQAgACgAZgByAGEAYwB0AGkAbwBuACkAIAAoAE0ATQBTAGoAbQApAFwAbgAtAC0ALQAtAC0ALQAtAC0ALQAtAC0ALQAtAC0ALQAtAC0ALQAtAC0ALQAtAC0ALQAtAC0ALQAtAC0ALQAtAC0ALQAtAC0ALQAtAC0AXABuACoALwBcAG4AXABuAFMAbwB1AHIAYwBlAEQAYQB0AGEAXwBEAGEAaQByAHkAXwBGAHIAYQBjAHQAaQBvAG4AVgBvAGwAYQB0AGkAbABlAFMAbwBsAGkAZABzAFYAbwBpAGQAZQBkAE0ATQBTAF8AVABpAHQAbABlAFwAbgAgACAAPQBMAEEATQBCAEQAQQAoAFwAIgBUAGEAYgBsAGUAIABBAC4AMQAuADMALgAxADAAOgAgAEQAYQBpAHIAeQAgAGMAYQB0AHQAbABlACAALQAgAEYAcgBhAGMAdABpAG8AbgAgAG8AZgAgAHYAbwBsAGEAdABpAGwAZQAgAHMAbwBsAGkAZABzACAAdgBvAGkAZABlAGQAIAB0AG8AIABlAGEAYwBoACAAbQBhAG4AdQByAGUAIABtAGEAbgBhAGcAZQBtAGUAbgB0ACAAcwB5AHMAdABlAG0AIAAoAGYAcgBhAGMAdABpAG8AbgApACAAKABNAE0AUwBqAG0AKQBcACIAKQA7AFwAbgBcAG4AUwBvAHUAcgBjAGUARABhAHQAYQBfAEQAYQBpAHIAeQBfAEYAcgBhAGMAdABpAG8AbgBWAG8AbABhAHQAaQBsAGUAUwBvAGwAaQBkAHMAVgBvAGkAZABlAGQATQBNAFMAXwBWAGEAcgBpAGEAYgBsAGUAXABuACAAIAA9AEwAQQBNAEIARABBACgAXAAiAE0ATQBTAGoAbQBcACIAKQA7AFwAbgBcAG4AUwBvAHUAcgBjAGUARABhAHQAYQBfAEQAYQBpAHIAeQBfAEYAcgBhAGMAdABpAG8AbgBWAG8AbABhAHQAaQBsAGUAUwBvAGwAaQBkAHMAVgBvAGkAZABlAGQATQBNAFMAXwBVAG4AaQB0AFwAbgAgACAAPQBMAEEATQBCAEQAQQAoAFwAIgBmAHIAYQBjAHQAaQBvAG4AXAAiACkAOwBcAG4AXABuAFMAbwB1AHIAYwBlAEQAYQB0AGEAXwBEAGEAaQByAHkAXwBGAHIAYQBjAHQAaQBvAG4AVgBvAGwAYQB0AGkAbABlAFMAbwBsAGkAZABzAFYAbwBpAGQAZQBkAE0ATQBTAF8AUwBvAHUAcgBjAGUAXABuACAAIAA9AEwAQQBNAEIARABBACgAXAAiAFYARQBFAFIARwAgADIAMAAyADYAOgAgAFQAYQBiAGwAZQAgAEEALgAxAC4AMwAuADEAMABcACIAKQA7AFwAbgBcAG4AUwBvAHUAcgBjAGUARABhAHQAYQBfAEQAYQBpAHIAeQBfAEYAcgBhAGMAdABpAG8AbgBWAG8AbABhAHQAaQBsAGUAUwBvAGwAaQBkAHMAVgBvAGkAZABlAGQATQBNAFMAXwBWAGEAcgBpAGEAdABpAG8AbgBcAG4AIAAgAD0ATABBAE0AQgBEAEEAKABcACIAVgBBAFIASQBBAFQASQBPAE4AIABPAEYAIABTAE8AVQBSAEMARQA6ACAARQB4AGMAbAB1AGQAZQBkACAAXAB1ADAAMAAyADcAQQBuAG4AdQBhAGwAIABmAHIAYQBjAHQAaQBvAG4AIABvAGYAIAB0AGkAbQBlACAAcwBwAGUAbgB0ACAAcABlAHIAIABhAHIAZQBhAFwAdQAwADAAMgA3ACAAcgBvAHcAIABhAHMAIAB0AGgAaQBzACAAaQBuAGYAbwByAG0AYQB0AGkAbwBuACAAaQBzACAAaQBuACAAdABoAGUAIAB0AGEAYgBsAGUAIAB0AGkAdABsAGUALgBcACIAKQA7AFwAbgBcAG4AUwBvAHUAcgBjAGUARABhAHQAYQBfAEQAYQBpAHIAeQBfAEYAcgBhAGMAdABpAG8AbgBWAG8AbABhAHQAaQBsAGUAUwBvAGwAaQBkAHMAVgBvAGkAZABlAGQATQBNAFMAXwBEAGEAdABhAFwAbgAgACAAPQBMAEEATQBCAEQAQQAoAFwAbgAgACAAIAAgAE0AQQBLAEUAQQBSAFIAQQBZACgANQAsACAANAAsAFwAbgAgACAAIAAgACAAIABMAEEATQBCAEQAQQAoAHIALABjACwAXABuACAAIAAgACAAIAAgACAAIABJAE4ARABFAFgAKAB7AFwAbgAgACAAIAAgACAAIAAgACAAIAAgAFwAIgBBAHIAZQBhAFwAIgAsACAAXAAiAFAAYQBzAHQAdQByAGUAXAAiACwAIABcACIATQBpAGwAawBpAG4AZwAgAFMAaABlAGQAXAAiACwAIABcACIARgBlAGUAZABwAGEAZABcACIAOwBcAG4AIAAgACAAIAAgACAAIAAgACAAIABcACIAUwB5AHMAdABlAG0AIAAxADoAIABHAHIAYQB6AGUAZAAgAE8AbgBsAHkAXAAiACwAIAAwAC4AOAA5ACwAIAAwAC4AMQAxACwAIAAwADsAXABuACAAIAAgACAAIAAgACAAIAAgACAAXAAiAFMAeQBzAHQAZQBtACAAMgA6ACAATwBuACAAZgBlAGUAZABwAGEAZAAgAGYAbwByACAAXAB1ADAAMAAzAGMAMQAwACAAaAByAC8AZABhAHkAIABmAG8AcgAgAFwAdQAwADAAMwBjADMAIABtAG8AbgB0AGgAcwAvAHkAZQBhAHIAXAAiACwAIAAwAC4ANwA5ACwAIAAwAC4AMQAxACwAIAAwAC4AMQAwADsAXABuACAAIAAgACAAIAAgACAAIAAgACAAXAAiAFMAeQBzAHQAZQBtACAAMwA6ACAAUABhAHMAdAB1AHIAZQAtAGcAcgBhAHoAZQBkACAAMwAtADkAIABtAG8AbgB0AGgAcwAvAHkAZQBhAHIAXAAiACwAIAAwAC4ANQAzADQALAAgADAALgAxADEALAAgADAALgAzADUANgA7AFwAbgAgACAAIAAgACAAIAAgACAAIAAgAFwAIgBTAHkAcwB0AGUAbQAgADQAOgAgAFoAZQByAG8AIABnAHIAYQB6AGkAbgBnAFwAIgAsACAAMAAsACAAMAAuADEAMQAsACAAMAAuADgAOQBcAG4AIAAgACAAIAAgACAAIAAgAH0ALAAgAHIALAAgAGMAKQBcAG4AIAAgACAAIAAgACAAKQBcAG4AIAAgACAAIAApAFwAbgAgACAAKQA7AFwAbgBcAG4ALwAqACAAXABuAC0ALQAtAC0ALQAtAC0ALQAtAC0ALQAtAC0ALQAtAC0ALQAtAC0ALQAtAC0ALQAtAC0ALQAtAC0ALQAtAC0ALQAtAC0ALQAtAC0ALQBcAG4AUwBvAHUAcgBjAGUARABhAHQAYQBfAEQAYQBpAHIAeQBfAEUARgBOAGkAdAByAG8AdQBzAE8AeABpAGQAZQBQAGUAcgBNAE0AUwBcAG4AVABhAGIAbABlACAAQQAuADEALgAzAC4AMQAxADoAIABEAGEAaQByAHkAIABjAGEAdAB0AGwAZQAgAC0AIABFAEYAIABmAG8AcgAgAG4AaQB0AHIAbwB1AHMAIABvAHgAaQBkAGUAIABwAGUAcgAgAE0ATQBTACAAKABrAGcAIABOADIATwAtAE4ALwBrAGcAIABOACkAIAAoAEUARgBtACkAXABuAC0ALQAtAC0ALQAtAC0ALQAtAC0ALQAtAC0ALQAtAC0ALQAtAC0ALQAtAC0ALQAtAC0ALQAtAC0ALQAtAC0ALQAtAC0ALQAtAC0ALQBcAG4AKgAvAFwAbgBcAG4AUwBvAHUAcgBjAGUARABhAHQAYQBfAEQAYQBpAHIAeQBfAEUARgBOAGkAdAByAG8AdQBzAE8AeABpAGQAZQBQAGUAcgBNAE0AUwBfAFQAaQB0AGwAZQBcAG4AIAAgAD0ATABBAE0AQgBEAEEAKABcACIAVABhAGIAbABlACAAQQAuADEALgAzAC4AMQAxADoAIABEAGEAaQByAHkAIABjAGEAdAB0AGwAZQAgAC0AIABFAEYAIABmAG8AcgAgAG4AaQB0AHIAbwB1AHMAIABvAHgAaQBkAGUAIABwAGUAcgAgAE0ATQBTACAAKABrAGcAIABOADIATwAtAE4ALwBrAGcAIABOACkAIAAoAEUARgBtACkAXAAiACkAOwBcAG4AXABuAFMAbwB1AHIAYwBlAEQAYQB0AGEAXwBEAGEAaQByAHkAXwBFAEYATgBpAHQAcgBvAHUAcwBPAHgAaQBkAGUAUABlAHIATQBNAFMAXwBWAGEAcgBpAGEAYgBsAGUAXABuACAAIAA9AEwAQQBNAEIARABBACgAXAAiAEUARgBtAFwAIgApADsAXABuAFwAbgBTAG8AdQByAGMAZQBEAGEAdABhAF8ARABhAGkAcgB5AF8ARQBGAE4AaQB0AHIAbwB1AHMATwB4AGkAZABlAFAAZQByAE0ATQBTAF8AVQBuAGkAdABcAG4AIAAgAD0ATABBAE0AQgBEAEEAKABcACIAawBnACAATgAyAE8ALQBOAC8AawBnACAATgBcACIAKQA7AFwAbgBcAG4AUwBvAHUAcgBjAGUARABhAHQAYQBfAEQAYQBpAHIAeQBfAEUARgBOAGkAdAByAG8AdQBzAE8AeABpAGQAZQBQAGUAcgBNAE0AUwBfAFMAbwB1AHIAYwBlAFwAbgAgACAAPQBMAEEATQBCAEQAQQAoAFwAIgBWAEUARQBSAEcAIAAyADAAMgA2ADoAIABUAGEAYgBsAGUAIABBAC4AMQAuADMALgAxADEAXAAiACkAOwBcAG4AXABuAFMAbwB1AHIAYwBlAEQAYQB0AGEAXwBEAGEAaQByAHkAXwBFAEYATgBpAHQAcgBvAHUAcwBPAHgAaQBkAGUAUABlAHIATQBNAFMAXwBWAGEAcgBpAGEAdABpAG8AbgBcAG4AIAAgAD0ATABBAE0AQgBEAEEAKABcACIAVgBBAFIASQBBAFQASQBPAE4AIABPAEYAIABTAE8AVQBSAEMARQA6ACAAQQBkAGQAZQBkACAAXAB1ADAAMAAyADcATgBJAFIAIAByAGUAZgBlAHIAZQBuAGMAZQBcAHUAMAAwADIANwAgAGMAbwBsAHUAbQBuACAAdABvACAAYQBpAGQAIABsAG8AbwBrAHUAcABcACIAKQA7AFwAbgBcAG4AUwBvAHUAcgBjAGUARABhAHQAYQBfAEQAYQBpAHIAeQBfAEUARgBOAGkAdAByAG8AdQBzAE8AeABpAGQAZQBQAGUAcgBNAE0AUwBfAEQAYQB0AGEAXABuACAAIAA9AEwAQQBNAEIARABBACgAXABuACAAIAAgACAATQBBAEsARQBBAFIAUgBBAFkAKAA2ACwAIAAzACwAXABuACAAIAAgACAAIAAgAEwAQQBNAEIARABBACgAcgAsAGMALABcAG4AIAAgACAAIAAgACAAIAAgAEkATgBEAEUAWAAoAHsAXABuACAAIAAgACAAIAAgACAAIAAgACAAXAAiAE0ATQBTACAAbQBcACIALAAgAFwAIgBFAEYAbQBcACIALAAgAFwAIgBOAEkAUgAgAHIAZQBmAGUAcgBlAG4AYwBlAFwAIgA7AFwAbgAgACAAIAAgACAAIAAgACAAIAAgAFwAIgBtAD0AMQA0ACAAUABhAHMAdAB1AHIAZQBcACIALAAgADAALAAgAFwAIgBQAGEAcwB0AHUAcgBlACAAcgBhAG4AZwBlACAAYQBuAGQAIABwAGEAZABkAG8AYwBrAFwAIgA7AFwAbgAgACAAIAAgACAAIAAgACAAIAAgAFwAIgBtAD0AMQAgAEEAbgBlAHIAbwBiAGkAYwAgAEwAYQBnAG8AbwBuAFwAIgAsACAAMAAsACAAXAAiAEEAbgBhAGUAcgBvAGIAaQBjACAAbABhAGcAbwBvAG4AXAAiADsAXABuACAAIAAgACAAIAAgACAAIAAgACAAXAAiAG0APQAyACAARABhAGkAbAB5ACAAUwBwAHIAZQBhAGQAOgAgAFMAdQBtAHAAIABhAG4AZAAgAGQAaQBzAHAAZQByAHMAYQBsAFwAIgAsACAAMAAsACAAXAAiAFMAdQBtAHAAIABhAG4AZAAgAGQAaQBzAHAAZQByAHMAYQBsACAAcwB5AHMAdABlAG0AXAAiADsAXABuACAAIAAgACAAIAAgACAAIAAgACAAXAAiAG0APQAzACAARABhAGkAbAB5ACAAUwBwAHIAZQBhAGQAOgAgAEQAcgBhAGkAbgBzACAAdABvACAAcABhAGQAZABvAGMAawBzAFwAIgAsACAAMAAsACAAXAAiAEQAcgBhAGkAbgBzACAAdABvACAAcABhAGQAZABvAGMAawBcACIAOwBcAG4AIAAgACAAIAAgACAAIAAgACAAIABcACIAbQA9ADQAIABTAG8AbABpAGQAIABTAHQAbwByAGEAZwBlAFwAIgAsACAAMAAuADAAMAA1ACwAIABcACIAUwBvAGwAaQBkACAAcwB0AG8AcgBhAGcAZQBcACIAXABuACAAIAAgACAAIAAgACAAIAB9ACwAIAByACwAIABjACkAXABuACAAIAAgACAAIAAgACkAXABuACAAIAAgACAAKQBcAG4AIAAgACkAOwBcAG4AXABuAFwAbgBcAG4ALwAqACAAXABuAC0ALQAtAC0ALQAtAC0ALQAtAC0ALQAtAC0ALQAtAC0ALQAtAC0ALQAtAC0ALQAtAC0ALQAtAC0ALQAtAC0ALQAtAC0ALQAtAC0ALQBcAG4AUwBvAHUAcgBjAGUARABhAHQAYQBfAEQAYQBpAHIAeQBfAEQAdQByAGEAdABpAG8AbgBPAGYAUwB0AGEAeQBcAG4ARAB1AHIAYQB0AGkAbwBuACAAbwBmACAAcwB0AGEAeQAgAGYAbwByACAAZQBhAGMAaAAgAGQAYQBpAHIAeQAgAGMAYQB0AHQAbABlACAAaQBuAHAAdQB0ACAAYwBsAGEAcwBzAFwAbgAtAC0ALQAtAC0ALQAtAC0ALQAtAC0ALQAtAC0ALQAtAC0ALQAtAC0ALQAtAC0ALQAtAC0ALQAtAC0ALQAtAC0ALQAtAC0ALQAtAC0AXABuACoALwBcAG4AXABuAFMAbwB1AHIAYwBlAEQAYQB0AGEAXwBEAGEAaQByAHkAXwBEAHUAcgBhAHQAaQBvAG4ATwBmAFMAdABhAHkAXwBUAGkAdABsAGUAXABuACAAIAA9AEwAQQBNAEIARABBACgAXAAiAEQAdQByAGEAdABpAG8AbgAgAG8AZgAgAHMAdABhAHkAIABmAG8AcgAgAGUAYQBjAGgAIABkAGEAaQByAHkAIABjAGEAdAB0AGwAZQAgAGkAbgBwAHUAdAAgAGMAbABhAHMAcwBcACIAKQA7AFwAbgBcAG4AUwBvAHUAcgBjAGUARABhAHQAYQBfAEQAYQBpAHIAeQBfAEQAdQByAGEAdABpAG8AbgBPAGYAUwB0AGEAeQBfAFYAYQByAGkAYQBiAGwAZQBcAG4AIAAgAD0ATABBAE0AQgBEAEEAKABcACIARABcACIAKQA7AFwAbgBcAG4AUwBvAHUAcgBjAGUARABhAHQAYQBfAEQAYQBpAHIAeQBfAEQAdQByAGEAdABpAG8AbgBPAGYAUwB0AGEAeQBfAFUAbgBpAHQAXABuACAAIAA9AEwAQQBNAEIARABBACgAXAAiAGQAYQB5AHMAXAAiACkAOwBcAG4AXABuAFMAbwB1AHIAYwBlAEQAYQB0AGEAXwBEAGEAaQByAHkAXwBEAHUAcgBhAHQAaQBvAG4ATwBmAFMAdABhAHkAXwBTAG8AdQByAGMAZQBcAG4AIAAgAD0ATABBAE0AQgBEAEEAKABcACIAVgBFAEUAUgBHACAAMgAwADIANgA6ACAANAAuADMALgAyAC4AMgBcAHQARABBAFQAQQAgACgATQBFAFQASABPAEQAIAAxACAAQQBOAEQAIAAyACAATwBQAFQASQBPAE4AUwApAFwAIgApADsAXABuAFwAbgBTAG8AdQByAGMAZQBEAGEAdABhAF8ARABhAGkAcgB5AF8ARAB1AHIAYQB0AGkAbwBuAE8AZgBTAHQAYQB5AF8AVgBhAHIAaQBhAHQAaQBvAG4AXABuACAAIAA9AEwAQQBNAEIARABBACgAXAAiAFYAQQBSAEkAQQBUAEkATwBOACAATwBGACAAUwBPAFUAUgBDAEUAOgAgAEMAbwBuAHYAZQByAHQAZQBkACAAZgByAGUAZQAgAHQAZQB4AHQAIABpAG4AIABkAG8AYwB1AG0AZQBuAHQAIAB0AG8AIAB0AGEAYgBsAGUALAAgAG0AYQB0AGMAaABpAG4AZwAgAGwAaQB2AGUAcwB0AG8AYwBrACAAYwBsAGEAcwBzACAAbgBhAG0AZQBzAC4AXAAiACkAOwBcAG4AXABuAFMAbwB1AHIAYwBlAEQAYQB0AGEAXwBEAGEAaQByAHkAXwBEAHUAcgBhAHQAaQBvAG4ATwBmAFMAdABhAHkAXwBEAGEAdABhAFwAbgAgACAAPQBMAEEATQBCAEQAQQAoAFwAbgAgACAAIAAgAE0AQQBLAEUAQQBSAFIAQQBZACgANgAsACAAMwAsAFwAbgAgACAAIAAgACAAIABMAEEATQBCAEQAQQAoAHIALABjACwAXABuACAAIAAgACAAIAAgACAAIABJAE4ARABFAFgAKAB7AFwAbgAgACAAIAAgACAAIAAgACAAIAAgAFwAIgBBAG4AaQBtAGEAbAAgAGMAbABhAHMAcwAgAGoAXAAiACwAIABcACIARAB1AHIAYQB0AGkAbwBuACAAKAB3AGUAYQBuAGUAZAApAFwAIgAsACAAXAAiAEQAdQByAGEAdABpAG8AbgAgACgAcAByAGUALQB3AGUAYQBuAGUAZAApAFwAIgA7AFwAbgAgACAAIAAgACAAIAAgACAAIAAgAFwAIgBNAGkAbABrAGkAbgBnACAAYwBvAHcAcwBcACIALAAgADMANgA1ACwAIAAwADsAXABuACAAIAAgACAAIAAgACAAIAAgACAAXAAiAEgAZQBpAGYAZQByAHMAIABcAHUAMAAwADMAZQAgADEAIAB5AGUAYQByAFwAIgAsACAAMwA2ADUALAAgADAAOwBcAG4AIAAgACAAIAAgACAAIAAgACAAIABcACIASABlAGkAZgBlAHIAcwAgAFwAdQAwADAAMwBjACAAMQAgAHkAZQBhAHIAXAAiACwAIAAyADgAMQAsACAAOAA0ADsAXABuACAAIAAgACAAIAAgACAAIAAgACAAXAAiAEIAdQBsAGwAcwAgAFwAdQAwADAAMwBlACAAMQAgAHkAZQBhAHIAXAAiACwAIAAzADYANQAsACAAMAA7AFwAbgAgACAAIAAgACAAIAAgACAAIAAgAFwAIgBCAHUAbABsAHMAIABcAHUAMAAwADMAYwAgADEAIAB5AGUAYQByAFwAIgAsACAAMgA4ADEALAAgADgANABcAG4AIAAgACAAIAAgACAAIAAgAH0ALAAgAHIALAAgAGMAKQBcAG4AIAAgACAAIAAgACAAKQBcAG4AIAAgACAAIAApAFwAbgAgACAAKQA7AFwAbgBcAG4AXABuAC8AKgAgAFwAbgAtAC0ALQAtAC0ALQAtAC0ALQAtAC0ALQAtAC0ALQAtAC0ALQAtAC0ALQAtAC0ALQAtAC0ALQAtAC0ALQAtAC0ALQAtAC0ALQAtAC0AXABuAFMAbwB1AHIAYwBlAEQAYQB0AGEAXwBEAGEAaQByAHkAXwBDAHIAdQBkAGUAUAByAG8AdABlAGkAbgBcAG4AQwByAHUAZABlACAAcAByAG8AdABlAGkAbgAgAGMAbwBuAHQAZQBuAHQAIABvAGYAIABmAGUAZQBkACAAaQBuAHQAYQBrAGUAXABuAC0ALQAtAC0ALQAtAC0ALQAtAC0ALQAtAC0ALQAtAC0ALQAtAC0ALQAtAC0ALQAtAC0ALQAtAC0ALQAtAC0ALQAtAC0ALQAtAC0ALQBcAG4AKgAvAFwAbgBcAG4AUwBvAHUAcgBjAGUARABhAHQAYQBfAEQAYQBpAHIAeQBfAEMAcgB1AGQAZQBQAHIAbwB0AGUAaQBuAF8AVABpAHQAbABlAFwAbgAgACAAPQBMAEEATQBCAEQAQQAoAFwAIgBDAHIAdQBkAGUAIABwAHIAbwB0AGUAaQBuACAAYwBvAG4AdABlAG4AdAAgAG8AZgAgAGYAZQBlAGQAIABpAG4AdABhAGsAZQBcACIAKQA7AFwAbgBcAG4AUwBvAHUAcgBjAGUARABhAHQAYQBfAEQAYQBpAHIAeQBfAEMAcgB1AGQAZQBQAHIAbwB0AGUAaQBuAF8AVgBhAHIAaQBhAGIAbABlAFwAbgAgACAAPQBMAEEATQBCAEQAQQAoAFwAIgBDAFAAXAAiACkAOwBcAG4AXABuAFMAbwB1AHIAYwBlAEQAYQB0AGEAXwBEAGEAaQByAHkAXwBDAHIAdQBkAGUAUAByAG8AdABlAGkAbgBfAFUAbgBpAHQAXABuACAAIAA9AEwAQQBNAEIARABBACgAXAAiAGYAcgBhAGMAdABpAG8AbgBcACIAKQA7AFwAbgBcAG4AUwBvAHUAcgBjAGUARABhAHQAYQBfAEQAYQBpAHIAeQBfAEMAcgB1AGQAZQBQAHIAbwB0AGUAaQBuAF8AUwBvAHUAcgBjAGUAXABuACAAIAA9AEwAQQBNAEIARABBACgAXAAiAFYARQBFAFIARwAgADIAMAAyADYAOgAgADQALgAzAC4AMgAuADIAXAB0AEQAQQBUAEEAIAAoAE0ARQBUAEgATwBEACAAMQAgAEEATgBEACAAMgAgAE8AUABUAEkATwBOAFMAKQBcACIAKQA7AFwAbgBcAG4AUwBvAHUAcgBjAGUARABhAHQAYQBfAEQAYQBpAHIAeQBfAEMAcgB1AGQAZQBQAHIAbwB0AGUAaQBuAF8AVgBhAHIAaQBhAHQAaQBvAG4AXABuACAAIAA9AEwAQQBNAEIARABBACgAXAAiAFwAIgApADsAXABuAFwAbgBTAG8AdQByAGMAZQBEAGEAdABhAF8ARABhAGkAcgB5AF8AQwByAHUAZABlAFAAcgBvAHQAZQBpAG4AXwBEAGEAdABhAFwAbgAgACAAPQBMAEEATQBCAEQAQQAoADAALgAyADAAKQA7AFwAbgBcAG4AXABuAC8AKgAgAFwAbgAtAC0ALQAtAC0ALQAtAC0ALQAtAC0ALQAtAC0ALQAtAC0ALQAtAC0ALQAtAC0ALQAtAC0ALQAtAC0ALQAtAC0ALQAtAC0ALQAtAC0AXABuAFMAbwB1AHIAYwBlAEQAYQB0AGEAXwBEAGEAaQByAHkAXwBEAHIAeQBNAGEAdAB0AGUAcgBEAGkAZwBlAHMAdABpAGIAaQBsAGkAdAB5AFwAbgBEAHIAeQAgAG0AYQB0AHQAZQByACAAZABpAGcAZQBzAHQAaQBiAGkAbABpAHQAeQBcAG4ALQAtAC0ALQAtAC0ALQAtAC0ALQAtAC0ALQAtAC0ALQAtAC0ALQAtAC0ALQAtAC0ALQAtAC0ALQAtAC0ALQAtAC0ALQAtAC0ALQAtAFwAbgAqAC8AXABuAFwAbgBTAG8AdQByAGMAZQBEAGEAdABhAF8ARABhAGkAcgB5AF8ARAByAHkATQBhAHQAdABlAHIARABpAGcAZQBzAHQAaQBiAGkAbABpAHQAeQBfAFQAaQB0AGwAZQBcAG4AIAAgAD0ATABBAE0AQgBEAEEAKABcACIARAByAHkAIABtAGEAdAB0AGUAcgAgAGQAaQBnAGUAcwB0AGkAYgBpAGwAaQB0AHkAXAAiACkAOwBcAG4AXABuAFMAbwB1AHIAYwBlAEQAYQB0AGEAXwBEAGEAaQByAHkAXwBEAHIAeQBNAGEAdAB0AGUAcgBEAGkAZwBlAHMAdABpAGIAaQBsAGkAdAB5AF8AVgBhAHIAaQBhAGIAbABlAFwAbgAgACAAPQBMAEEATQBCAEQAQQAoAFwAIgBEAE0ARABcACIAKQA7AFwAbgBcAG4AUwBvAHUAcgBjAGUARABhAHQAYQBfAEQAYQBpAHIAeQBfAEQAcgB5AE0AYQB0AHQAZQByAEQAaQBnAGUAcwB0AGkAYgBpAGwAaQB0AHkAXwBVAG4AaQB0AFwAbgAgACAAPQBMAEEATQBCAEQAQQAoAFwAIgBmAHIAYQBjAHQAaQBvAG4AXAAiACkAOwBcAG4AXABuAFMAbwB1AHIAYwBlAEQAYQB0AGEAXwBEAGEAaQByAHkAXwBEAHIAeQBNAGEAdAB0AGUAcgBEAGkAZwBlAHMAdABpAGIAaQBsAGkAdAB5AF8AUwBvAHUAcgBjAGUAXABuACAAIAA9AEwAQQBNAEIARABBACgAXAAiAFYARQBFAFIARwAgADIAMAAyADYAOgAgADMALgAzAC4AMgAuADIAXAB0AEQAQQBUAEEAIAAoAE0ARQBUAEgATwBEACAAMQAgAEEATgBEACAAMgAgAE8AUABUAEkATwBOAFMAKQBcACIAKQA7AFwAbgBcAG4AUwBvAHUAcgBjAGUARABhAHQAYQBfAEQAYQBpAHIAeQBfAEQAcgB5AE0AYQB0AHQAZQByAEQAaQBnAGUAcwB0AGkAYgBpAGwAaQB0AHkAXwBWAGEAcgBpAGEAdABpAG8AbgBcAG4AIAAgAD0ATABBAE0AQgBEAEEAKABcACIAXAAiACkAOwBcAG4AXABuAFMAbwB1AHIAYwBlAEQAYQB0AGEAXwBEAGEAaQByAHkAXwBEAHIAeQBNAGEAdAB0AGUAcgBEAGkAZwBlAHMAdABpAGIAaQBsAGkAdAB5AF8ARABhAHQAYQBcAG4AIAAgAD0ATABBAE0AQgBEAEEAKAAwAC4ANwA1ACkAOwBcAG4AXABuAFwAbgAvACoAIABcAG4ALQAtAC0ALQAtAC0ALQAtAC0ALQAtAC0ALQAtAC0ALQAtAC0ALQAtAC0ALQAtAC0ALQAtAC0ALQAtAC0ALQAtAC0ALQAtAC0ALQAtAFwAbgBTAG8AdQByAGMAZQBEAGEAdABhAF8ARABhAGkAcgB5AF8ATgBlAHQARQBuAGUAcgBnAHkAXABuAE4AZQB0ACAAZQBuAGUAcgBnAHkAIAByAGUAcQB1AGkAcgBlAGQAIABmAG8AcgAgAG0AaQBsAGsAIABwAHIAbwBkAHUAYwB0AGkAbwBuAFwAbgAtAC0ALQAtAC0ALQAtAC0ALQAtAC0ALQAtAC0ALQAtAC0ALQAtAC0ALQAtAC0ALQAtAC0ALQAtAC0ALQAtAC0ALQAtAC0ALQAtAC0AXABuACoALwBcAG4AXABuAFMAbwB1AHIAYwBlAEQAYQB0AGEAXwBEAGEAaQByAHkAXwBOAGUAdABFAG4AZQByAGcAeQBfAFQAaQB0AGwAZQBcAG4AIAAgAD0ATABBAE0AQgBEAEEAKABcACIATgBlAHQAIABlAG4AZQByAGcAeQAgAHIAZQBxAHUAaQByAGUAZAAgAGYAbwByACAAbQBpAGwAawAgAHAAcgBvAGQAdQBjAHQAaQBvAG4AXAAiACkAOwBcAG4AXABuAFMAbwB1AHIAYwBlAEQAYQB0AGEAXwBEAGEAaQByAHkAXwBOAGUAdABFAG4AZQByAGcAeQBfAFYAYQByAGkAYQBiAGwAZQBcAG4AIAAgAD0ATABBAE0AQgBEAEEAKABcACIATgBFAFwAIgApADsAXABuAFwAbgBTAG8AdQByAGMAZQBEAGEAdABhAF8ARABhAGkAcgB5AF8ATgBlAHQARQBuAGUAcgBnAHkAXwBVAG4AaQB0AFwAbgAgACAAPQBMAEEATQBCAEQAQQAoAFwAIgBNAEoAIABuAGUAdAAgAGUAbgBlAHIAZwB5ACAALwAgAGsAZwAgAG0AaQBsAGsAXAAiACkAOwBcAG4AXABuAFMAbwB1AHIAYwBlAEQAYQB0AGEAXwBEAGEAaQByAHkAXwBOAGUAdABFAG4AZQByAGcAeQBfAFMAbwB1AHIAYwBlAFwAbgAgACAAPQBMAEEATQBCAEQAQQAoAFwAIgBWAEUARQBSAEcAIAAyADAAMgA2ADoAIAAzAC4AMwAuADIALgAzACAAQwBPAE4AUwBUAEEATgBUAFMAXAAiACkAOwBcAG4AXABuAFMAbwB1AHIAYwBlAEQAYQB0AGEAXwBEAGEAaQByAHkAXwBOAGUAdABFAG4AZQByAGcAeQBfAFYAYQByAGkAYQB0AGkAbwBuAFwAbgAgACAAPQBMAEEATQBCAEQAQQAoAFwAIgBcACIAKQA7AFwAbgBcAG4AUwBvAHUAcgBjAGUARABhAHQAYQBfAEQAYQBpAHIAeQBfAE4AZQB0AEUAbgBlAHIAZwB5AF8ARABhAHQAYQBcAG4AIAAgAD0ATABBAE0AQgBEAEEAKAAzAC4AMAA1ADQAKQA7AFwAbgBcAG4AXABuAC8AKgAgAFwAbgAtAC0ALQAtAC0ALQAtAC0ALQAtAC0ALQAtAC0ALQAtAC0ALQAtAC0ALQAtAC0ALQAtAC0ALQAtAC0ALQAtAC0ALQAtAC0ALQAtAC0AXABuAFMAbwB1AHIAYwBlAEQAYQB0AGEAXwBEAGEAaQByAHkAXwBHAHIAbwBzAHMARQBuAGUAcgBnAHkAQwBvAG4AdABlAG4AdABcAG4ARwByAG8AcwBzACAAZQBuAGUAcgBnAHkAIABjAG8AbgB0AGUAbgB0ACAAbwBmACAAZgBlAGUAZAAgAGQAcgB5ACAAbQBhAHQAdABlAHIAXABuAC0ALQAtAC0ALQAtAC0ALQAtAC0ALQAtAC0ALQAtAC0ALQAtAC0ALQAtAC0ALQAtAC0ALQAtAC0ALQAtAC0ALQAtAC0ALQAtAC0ALQBcAG4AKgAvAFwAbgBcAG4AUwBvAHUAcgBjAGUARABhAHQAYQBfAEQAYQBpAHIAeQBfAEcAcgBvAHMAcwBFAG4AZQByAGcAeQBDAG8AbgB0AGUAbgB0AF8AVABpAHQAbABlAFwAbgAgACAAPQBMAEEATQBCAEQAQQAoAFwAIgBHAHIAbwBzAHMAIABlAG4AZQByAGcAeQAgAGMAbwBuAHQAZQBuAHQAIABvAGYAIABmAGUAZQBkACAAZAByAHkAIABtAGEAdAB0AGUAcgBcACIAKQA7AFwAbgBcAG4AUwBvAHUAcgBjAGUARABhAHQAYQBfAEQAYQBpAHIAeQBfAEcAcgBvAHMAcwBFAG4AZQByAGcAeQBDAG8AbgB0AGUAbgB0AF8AVgBhAHIAaQBhAGIAbABlAFwAbgAgACAAPQBMAEEATQBCAEQAQQAoAFwAIgBHAEUAQwBcACIAKQA7AFwAbgBcAG4AUwBvAHUAcgBjAGUARABhAHQAYQBfAEQAYQBpAHIAeQBfAEcAcgBvAHMAcwBFAG4AZQByAGcAeQBDAG8AbgB0AGUAbgB0AF8AVQBuAGkAdABcAG4AIAAgAD0ATABBAE0AQgBEAEEAKABcACIATQBKACAALwAgAGsAZwBEAE0AXAAiACkAOwBcAG4AXABuAFMAbwB1AHIAYwBlAEQAYQB0AGEAXwBEAGEAaQByAHkAXwBHAHIAbwBzAHMARQBuAGUAcgBnAHkAQwBvAG4AdABlAG4AdABfAFMAbwB1AHIAYwBlAFwAbgAgACAAPQBMAEEATQBCAEQAQQAoAFwAIgBWAEUARQBSAEcAIAAyADAAMgA2ADoAIAAzAC4AMwAuADIALgAzACAAQwBPAE4AUwBUAEEATgBUAFMAXAAiACkAOwBcAG4AXABuAFMAbwB1AHIAYwBlAEQAYQB0AGEAXwBEAGEAaQByAHkAXwBHAHIAbwBzAHMARQBuAGUAcgBnAHkAQwBvAG4AdABlAG4AdABfAFYAYQByAGkAYQB0AGkAbwBuAFwAbgAgACAAPQBMAEEATQBCAEQAQQAoAFwAIgBcACIAKQA7AFwAbgBcAG4AUwBvAHUAcgBjAGUARABhAHQAYQBfAEQAYQBpAHIAeQBfAEcAcgBvAHMAcwBFAG4AZQByAGcAeQBDAG8AbgB0AGUAbgB0AF8ARABhAHQAYQBcAG4AIAAgAD0ATABBAE0AQgBEAEEAKAAxADgALgA0ACkAOwBcAG4AXABuAFwAbgAvACoAIABcAG4ALQAtAC0ALQAtAC0ALQAtAC0ALQAtAC0ALQAtAC0ALQAtAC0ALQAtAC0ALQAtAC0ALQAtAC0ALQAtAC0ALQAtAC0ALQAtAC0ALQAtAFwAbgBTAG8AdQByAGMAZQBEAGEAdABhAF8ARABhAGkAcgB5AF8ARQBmAGYAaQBjAGkAZQBuAGMAeQBPAGYAVQBzAGUATwBmAE0AZQB0AGEAYgBvAGwAaQB6AGEAYgBsAGUARQBuAGUAcgBnAHkAXABuAEUAZgBmAGkAYwBpAGUAbgBjAHkAIABvAGYAIAB1AHMAZQAgAG8AZgAgAG0AZQB0AGEAYgBvAGwAaQB6AGEAYgBsAGUAIABlAG4AZQByAGcAeQAgAGYAbwByACAAbQBpAGwAawAgAHAAcgBvAGQAdQBjAHQAaQBvAG4AXABuAC0ALQAtAC0ALQAtAC0ALQAtAC0ALQAtAC0ALQAtAC0ALQAtAC0ALQAtAC0ALQAtAC0ALQAtAC0ALQAtAC0ALQAtAC0ALQAtAC0ALQBcAG4AKgAvAFwAbgBcAG4AUwBvAHUAcgBjAGUARABhAHQAYQBfAEQAYQBpAHIAeQBfAEUAZgBmAGkAYwBpAGUAbgBjAHkATwBmAFUAcwBlAE8AZgBNAGUAdABhAGIAbwBsAGkAegBhAGIAbABlAEUAbgBlAHIAZwB5AF8AVABpAHQAbABlAFwAbgAgACAAPQBMAEEATQBCAEQAQQAoAFwAIgBFAGYAZgBpAGMAaQBlAG4AYwB5ACAAbwBmACAAdQBzAGUAIABvAGYAIABtAGUAdABhAGIAbwBsAGkAegBhAGIAbABlACAAZQBuAGUAcgBnAHkAIABmAG8AcgAgAG0AaQBsAGsAIABwAHIAbwBkAHUAYwB0AGkAbwBuAFwAIgApADsAXABuAFwAbgBTAG8AdQByAGMAZQBEAGEAdABhAF8ARABhAGkAcgB5AF8ARQBmAGYAaQBjAGkAZQBuAGMAeQBPAGYAVQBzAGUATwBmAE0AZQB0AGEAYgBvAGwAaQB6AGEAYgBsAGUARQBuAGUAcgBnAHkAXwBWAGEAcgBpAGEAYgBsAGUAXABuACAAIAA9AEwAQQBNAEIARABBACgAXAAiAGsAXAAiACkAOwBcAG4AXABuAFMAbwB1AHIAYwBlAEQAYQB0AGEAXwBEAGEAaQByAHkAXwBFAGYAZgBpAGMAaQBlAG4AYwB5AE8AZgBVAHMAZQBPAGYATQBlAHQAYQBiAG8AbABpAHoAYQBiAGwAZQBFAG4AZQByAGcAeQBfAFUAbgBpAHQAXABuACAAIAA9AEwAQQBNAEIARABBACgAXAAiAGYAcgBhAGMAdABpAG8AbgBcACIAKQA7AFwAbgBcAG4AUwBvAHUAcgBjAGUARABhAHQAYQBfAEQAYQBpAHIAeQBfAEUAZgBmAGkAYwBpAGUAbgBjAHkATwBmAFUAcwBlAE8AZgBNAGUAdABhAGIAbwBsAGkAegBhAGIAbABlAEUAbgBlAHIAZwB5AF8AUwBvAHUAcgBjAGUAXABuACAAIAA9AEwAQQBNAEIARABBACgAXAAiAFYARQBFAFIARwAgADIAMAAyADYAOgAgADMALgAzAC4AMgAuADMAIABDAE8ATgBTAFQAQQBOAFQAUwBcACIAKQA7AFwAbgBcAG4AUwBvAHUAcgBjAGUARABhAHQAYQBfAEQAYQBpAHIAeQBfAEUAZgBmAGkAYwBpAGUAbgBjAHkATwBmAFUAcwBlAE8AZgBNAGUAdABhAGIAbwBsAGkAegBhAGIAbABlAEUAbgBlAHIAZwB5AF8AVgBhAHIAaQBhAHQAaQBvAG4AXABuACAAIAA9AEwAQQBNAEIARABBACgAXAAiAFwAIgApADsAXABuAFwAbgBTAG8AdQByAGMAZQBEAGEAdABhAF8ARABhAGkAcgB5AF8ARQBmAGYAaQBjAGkAZQBuAGMAeQBPAGYAVQBzAGUATwBmAE0AZQB0AGEAYgBvAGwAaQB6AGEAYgBsAGUARQBuAGUAcgBnAHkAXwBEAGEAdABhAFwAbgAgACAAPQBMAEEATQBCAEQAQQAoADAALgA2ADAAKQA7AFwAbgBcAG4AXABuAC8AKgAgAFwAbgAtAC0ALQAtAC0ALQAtAC0ALQAtAC0ALQAtAC0ALQAtAC0ALQAtAC0ALQAtAC0ALQAtAC0ALQAtAC0ALQAtAC0ALQAtAC0ALQAtAC0AXABuAFMAbwB1AHIAYwBlAEQAYQB0AGEAXwBEAGEAaQByAHkAXwBBAHMAaABDAG8AbgB0AGUAbgB0AFwAbgBBAHMAaAAgAGMAbwBuAHQAZQBuAHQAIABvAGYAIABtAGEAbgB1AHIAZQBcAG4ALQAtAC0ALQAtAC0ALQAtAC0ALQAtAC0ALQAtAC0ALQAtAC0ALQAtAC0ALQAtAC0ALQAtAC0ALQAtAC0ALQAtAC0ALQAtAC0ALQAtAFwAbgAqAC8AXABuAFwAbgBTAG8AdQByAGMAZQBEAGEAdABhAF8ARABhAGkAcgB5AF8AQQBzAGgAQwBvAG4AdABlAG4AdABfAFQAaQB0AGwAZQBcAG4AIAAgAD0ATABBAE0AQgBEAEEAKABcACIAQQBzAGgAIABjAG8AbgB0AGUAbgB0ACAAbwBmACAAbQBhAG4AdQByAGUAXAAiACkAOwBcAG4AXABuAFMAbwB1AHIAYwBlAEQAYQB0AGEAXwBEAGEAaQByAHkAXwBBAHMAaABDAG8AbgB0AGUAbgB0AF8AVgBhAHIAaQBhAGIAbABlAFwAbgAgACAAPQBMAEEATQBCAEQAQQAoAFwAIgBBAFwAIgApADsAXABuAFwAbgBTAG8AdQByAGMAZQBEAGEAdABhAF8ARABhAGkAcgB5AF8AQQBzAGgAQwBvAG4AdABlAG4AdABfAFUAbgBpAHQAXABuACAAIAA9AEwAQQBNAEIARABBACgAXAAiAGYAcgBhAGMAdABpAG8AbgBcACIAKQA7AFwAbgBcAG4AUwBvAHUAcgBjAGUARABhAHQAYQBfAEQAYQBpAHIAeQBfAEEAcwBoAEMAbwBuAHQAZQBuAHQAXwBTAG8AdQByAGMAZQBcAG4AIAAgAD0ATABBAE0AQgBEAEEAKABcACIAVgBFAEUAUgBHACAAMgAwADIANgA6ACAANAAuADMALgAyAC4AMwAgAEMATwBOAFMAVABBAE4AVABTAFwAIgApADsAXABuAFwAbgBTAG8AdQByAGMAZQBEAGEAdABhAF8ARABhAGkAcgB5AF8AQQBzAGgAQwBvAG4AdABlAG4AdABfAFYAYQByAGkAYQB0AGkAbwBuAFwAbgAgACAAPQBMAEEATQBCAEQAQQAoAFwAIgBcACIAKQA7AFwAbgBcAG4AUwBvAHUAcgBjAGUARABhAHQAYQBfAEQAYQBpAHIAeQBfAEEAcwBoAEMAbwBuAHQAZQBuAHQAXwBEAGEAdABhAFwAbgAgACAAPQBMAEEATQBCAEQAQQAoADAALgAwADgAKQA7AFwAbgBcAG4AXABuAC8AKgAgAFwAbgAtAC0ALQAtAC0ALQAtAC0ALQAtAC0ALQAtAC0ALQAtAC0ALQAtAC0ALQAtAC0ALQAtAC0ALQAtAC0ALQAtAC0ALQAtAC0ALQAtAC0AXABuAFMAbwB1AHIAYwBlAEQAYQB0AGEAXwBEAGEAaQByAHkAXwBNAGUAdABoAGEAbgBlAEUAbQBpAHMAcwBpAG8AbgBzAFAAbwB0AGUAbgB0AGkAYQBsAFwAbgBBAHMAaAAgAGMAbwBuAHQAZQBuAHQAIABvAGYAIABtAGEAbgB1AHIAZQBcAG4ALQAtAC0ALQAtAC0ALQAtAC0ALQAtAC0ALQAtAC0ALQAtAC0ALQAtAC0ALQAtAC0ALQAtAC0ALQAtAC0ALQAtAC0ALQAtAC0ALQAtAFwAbgAqAC8AXABuAFwAbgBTAG8AdQByAGMAZQBEAGEAdABhAF8ARABhAGkAcgB5AF8ATQBlAHQAaABhAG4AZQBFAG0AaQBzAHMAaQBvAG4AcwBQAG8AdABlAG4AdABpAGEAbABfAFQAaQB0AGwAZQBcAG4AIAAgAD0ATABBAE0AQgBEAEEAKABcACIATQBlAHQAaABhAG4AZQAgAGUAbQBpAHMAcwBpAG8AbgBzACAAcABvAHQAZQBuAHQAaQBhAGwAXAAiACkAOwBcAG4AXABuAFMAbwB1AHIAYwBlAEQAYQB0AGEAXwBEAGEAaQByAHkAXwBNAGUAdABoAGEAbgBlAEUAbQBpAHMAcwBpAG8AbgBzAFAAbwB0AGUAbgB0AGkAYQBsAF8AVgBhAHIAaQBhAGIAbABlAFwAbgAgACAAPQBMAEEATQBCAEQAQQAoAFwAIgBCAF8AbwBcACIAKQA7AFwAbgBcAG4AUwBvAHUAcgBjAGUARABhAHQAYQBfAEQAYQBpAHIAeQBfAE0AZQB0AGgAYQBuAGUARQBtAGkAcwBzAGkAbwBuAHMAUABvAHQAZQBuAHQAaQBhAGwAXwBVAG4AaQB0AFwAbgAgACAAPQBMAEEATQBCAEQAQQAoAFwAIgBtADMAIABDAEgANAAvAGsAZwBWAFMAXAAiACkAOwBcAG4AXABuAFMAbwB1AHIAYwBlAEQAYQB0AGEAXwBEAGEAaQByAHkAXwBNAGUAdABoAGEAbgBlAEUAbQBpAHMAcwBpAG8AbgBzAFAAbwB0AGUAbgB0AGkAYQBsAF8AUwBvAHUAcgBjAGUAXABuACAAIAA9AEwAQQBNAEIARABBACgAXAAiAFYARQBFAFIARwAgADIAMAAyADYAOgAgADQALgAzAC4AMgAuADMAIABDAE8ATgBTAFQAQQBOAFQAUwBcACIAKQA7AFwAbgBcAG4AUwBvAHUAcgBjAGUARABhAHQAYQBfAEQAYQBpAHIAeQBfAE0AZQB0AGgAYQBuAGUARQBtAGkAcwBzAGkAbwBuAHMAUABvAHQAZQBuAHQAaQBhAGwAXwBWAGEAcgBpAGEAdABpAG8AbgBcAG4AIAAgAD0ATABBAE0AQgBEAEEAKABcACIAXAAiACkAOwBcAG4AXABuAFMAbwB1AHIAYwBlAEQAYQB0AGEAXwBEAGEAaQByAHkAXwBNAGUAdABoAGEAbgBlAEUAbQBpAHMAcwBpAG8AbgBzAFAAbwB0AGUAbgB0AGkAYQBsAF8ARABhAHQAYQBcAG4AIAAgAD0ATABBAE0AQgBEAEEAKAAwAC4AMgA0ACkAOwBcAG4AXABuAC8AKgAgAFwAbgAtAC0ALQAtAC0ALQAtAC0ALQAtAC0ALQAtAC0ALQAtAC0ALQAtAC0ALQAtAC0ALQAtAC0ALQAtAC0ALQAtAC0ALQAtAC0ALQAtAC0AXABuAFMAbwB1AHIAYwBlAEQAYQB0AGEAXwBEAGEAaQByAHkAXwBFAG0AaQBzAHMAaQBvAG4ARgBhAGMAdABvAHIARgBvAHIATABlAGEAYwBoAGkAbgBnAEEAbgBkAFIAdQBuAG8AZgBmAFwAbgBFAG0AaQBzAHMAaQBvAG4AIABmAGEAYwB0AG8AcgAgAGYAbwByACAAbABlAGEAYwBoAGkAbgBnACAAYQBuAGQAIAByAHUAbgBvAGYAZgBcAG4ALQAtAC0ALQAtAC0ALQAtAC0ALQAtAC0ALQAtAC0ALQAtAC0ALQAtAC0ALQAtAC0ALQAtAC0ALQAtAC0ALQAtAC0ALQAtAC0ALQAtAFwAbgAqAC8AXABuAFwAbgBTAG8AdQByAGMAZQBEAGEAdABhAF8ARABhAGkAcgB5AF8ARQBtAGkAcwBzAGkAbwBuAEYAYQBjAHQAbwByAEYAbwByAEwAZQBhAGMAaABpAG4AZwBBAG4AZABSAHUAbgBvAGYAZgBfAFQAaQB0AGwAZQBcAG4AIAAgAD0ATABBAE0AQgBEAEEAKABcACIARQBtAGkAcwBzAGkAbwBuACAAZgBhAGMAdABvAHIAIABmAG8AcgAgAGwAZQBhAGMAaABpAG4AZwAgAGEAbgBkACAAcgB1AG4AbwBmAGYAXAAiACkAOwBcAG4AXABuAFMAbwB1AHIAYwBlAEQAYQB0AGEAXwBEAGEAaQByAHkAXwBFAG0AaQBzAHMAaQBvAG4ARgBhAGMAdABvAHIARgBvAHIATABlAGEAYwBoAGkAbgBnAEEAbgBkAFIAdQBuAG8AZgBmAF8AVgBhAHIAaQBhAGIAbABlAFwAbgAgACAAPQBMAEEATQBCAEQAQQAoAFwAIgBFAEYAXwBsAGUAYQBjAGgAXAAiACkAOwBcAG4AXABuAFMAbwB1AHIAYwBlAEQAYQB0AGEAXwBEAGEAaQByAHkAXwBFAG0AaQBzAHMAaQBvAG4ARgBhAGMAdABvAHIARgBvAHIATABlAGEAYwBoAGkAbgBnAEEAbgBkAFIAdQBuAG8AZgBmAF8AVQBuAGkAdABcAG4AIAAgAD0ATABBAE0AQgBEAEEAKABcACIAawBnACAATgAyAE8ALQBOAC8AawBnACAATgBcACIAKQA7AFwAbgBcAG4AUwBvAHUAcgBjAGUARABhAHQAYQBfAEQAYQBpAHIAeQBfAEUAbQBpAHMAcwBpAG8AbgBGAGEAYwB0AG8AcgBGAG8AcgBMAGUAYQBjAGgAaQBuAGcAQQBuAGQAUgB1AG4AbwBmAGYAXwBTAG8AdQByAGMAZQBcAG4AIAAgAD0ATABBAE0AQgBEAEEAKABcACIAVgBFAEUAUgBHACAAMgAwADIANgA6ACAANAAuADMALgAyAC4AMwAgAEMATwBOAFMAVABBAE4AVABTAFwAIgApADsAXABuAFwAbgBTAG8AdQByAGMAZQBEAGEAdABhAF8ARABhAGkAcgB5AF8ARQBtAGkAcwBzAGkAbwBuAEYAYQBjAHQAbwByAEYAbwByAEwAZQBhAGMAaABpAG4AZwBBAG4AZABSAHUAbgBvAGYAZgBfAFYAYQByAGkAYQB0AGkAbwBuAFwAbgAgACAAPQBMAEEATQBCAEQAQQAoAFwAIgBcACIAKQA7AFwAbgBcAG4AUwBvAHUAcgBjAGUARABhAHQAYQBfAEQAYQBpAHIAeQBfAEUAbQBpAHMAcwBpAG8AbgBGAGEAYwB0AG8AcgBGAG8AcgBMAGUAYQBjAGgAaQBuAGcAQQBuAGQAUgB1AG4AbwBmAGYAXwBEAGEAdABhAFwAbgAgACAAPQBMAEEATQBCAEQAQQAoADAALgAwADEAMQApADsAXABuAFwAbgBcAG4ALwAqACAAXABuAC0ALQAtAC0ALQAtAC0ALQAtAC0ALQAtAC0ALQAtAC0ALQAtAC0ALQAtAC0ALQAtAC0ALQAtAC0ALQAtAC0ALQAtAC0ALQAtAC0ALQBcAG4AUwBvAHUAcgBjAGUARABhAHQAYQBfAEQAYQBpAHIAeQBfAEYAcgBhAGMAdABpAG8AbgBPAGYATgBpAHQAcgBvAGcAZQBuAEwAbwBzAHQAVABoAHIAbwB1AGcAaABMAGUAYQBjAGgAaQBuAGcAQQBuAGQAUgB1AG4AbwBmAGYAXABuAEYAcgBhAGMAdABpAG8AbgAgAG8AZgAgAE4AIAB0AGgAYQB0ACAAaQBzACAAbABvAHMAdAAgAHQAaAByAG8AdQBnAGgAIABsAGUAYQBjAGgAaQBuAGcAIABhAG4AZAAgAHIAdQBuAG8AZgBmACAAKABkAGkAbQBlAG4AcwBpAG8AbgBsAGUAcwBzACkAXABuAC0ALQAtAC0ALQAtAC0ALQAtAC0ALQAtAC0ALQAtAC0ALQAtAC0ALQAtAC0ALQAtAC0ALQAtAC0ALQAtAC0ALQAtAC0ALQAtAC0ALQBcAG4AKgAvAFwAbgBcAG4AUwBvAHUAcgBjAGUARABhAHQAYQBfAEQAYQBpAHIAeQBfAEYAcgBhAGMAdABpAG8AbgBPAGYATgBpAHQAcgBvAGcAZQBuAEwAbwBzAHQAVABoAHIAbwB1AGcAaABMAGUAYQBjAGgAaQBuAGcAQQBuAGQAUgB1AG4AbwBmAGYAXwBUAGkAdABsAGUAXABuACAAIAA9AEwAQQBNAEIARABBACgAXAAiAEYAcgBhAGMAdABpAG8AbgAgAG8AZgAgAE4AIAB0AGgAYQB0ACAAaQBzACAAbABvAHMAdAAgAHQAaAByAG8AdQBnAGgAIABsAGUAYQBjAGgAaQBuAGcAIABhAG4AZAAgAHIAdQBuAG8AZgBmAFwAIgApADsAXABuAFwAbgBTAG8AdQByAGMAZQBEAGEAdABhAF8ARABhAGkAcgB5AF8ARgByAGEAYwB0AGkAbwBuAE8AZgBOAGkAdAByAG8AZwBlAG4ATABvAHMAdABUAGgAcgBvAHUAZwBoAEwAZQBhAGMAaABpAG4AZwBBAG4AZABSAHUAbgBvAGYAZgBfAFYAYQByAGkAYQBiAGwAZQBcAG4AIAAgAD0ATABBAE0AQgBEAEEAKABcACIARgByAGEAYwBfAEwARQBBAEMASABfAE0AUwBcACIAKQA7AFwAbgBcAG4AUwBvAHUAcgBjAGUARABhAHQAYQBfAEQAYQBpAHIAeQBfAEYAcgBhAGMAdABpAG8AbgBPAGYATgBpAHQAcgBvAGcAZQBuAEwAbwBzAHQAVABoAHIAbwB1AGcAaABMAGUAYQBjAGgAaQBuAGcAQQBuAGQAUgB1AG4AbwBmAGYAXwBVAG4AaQB0AFwAbgAgACAAPQBMAEEATQBCAEQAQQAoAFwAIgBEAGkAbQBlAG4AcwBpAG8AbgBsAGUAcwBzAFwAIgApADsAXABuAFwAbgBTAG8AdQByAGMAZQBEAGEAdABhAF8ARABhAGkAcgB5AF8ARgByAGEAYwB0AGkAbwBuAE8AZgBOAGkAdAByAG8AZwBlAG4ATABvAHMAdABUAGgAcgBvAHUAZwBoAEwAZQBhAGMAaABpAG4AZwBBAG4AZABSAHUAbgBvAGYAZgBfAFMAbwB1AHIAYwBlAFwAbgAgACAAPQBMAEEATQBCAEQAQQAoAFwAIgBWAEUARQBSAEcAIAAyADAAMgA2ADoAIAA0AC4AMwAuADIALgAzACAAQwBPAE4AUwBUAEEATgBUAFMAXAAiACkAOwBcAG4AXABuAFMAbwB1AHIAYwBlAEQAYQB0AGEAXwBEAGEAaQByAHkAXwBGAHIAYQBjAHQAaQBvAG4ATwBmAE4AaQB0AHIAbwBnAGUAbgBMAG8AcwB0AFQAaAByAG8AdQBnAGgATABlAGEAYwBoAGkAbgBnAEEAbgBkAFIAdQBuAG8AZgBmAF8AVgBhAHIAaQBhAHQAaQBvAG4AXABuACAAIAA9AEwAQQBNAEIARABBACgAXAAiAFwAIgApADsAXABuAFwAbgBTAG8AdQByAGMAZQBEAGEAdABhAF8ARABhAGkAcgB5AF8ARgByAGEAYwB0AGkAbwBuAE8AZgBOAGkAdAByAG8AZwBlAG4ATABvAHMAdABUAGgAcgBvAHUAZwBoAEwAZQBhAGMAaABpAG4AZwBBAG4AZABSAHUAbgBvAGYAZgBfAEQAYQB0AGEAXABuACAAIAA9AEwAQQBNAEIARABBACgAMAAuADAAMgApADsAXABuAFwAbgBcAG4ALwAqACAAXABuAC0ALQAtAC0ALQAtAC0ALQAtAC0ALQAtAC0ALQAtAC0ALQAtAC0ALQAtAC0ALQAtAC0ALQAtAC0ALQAtAC0ALQAtAC0ALQAtAC0ALQBcAG4AUwBvAHUAcgBjAGUARABhAHQAYQBfAEQAYQBpAHIAeQBfAEYAcgBhAGMARwBBAFMATQBTAG8AaQBsAFwAbgBGAHIAYQBjAHQAaQBvAG4AIABvAGYAIABuAGkAdAByAG8AZwBlAG4AIAB2AG8AbABhAHQAaQBsAGkAegBlAGQAIABmAHIAbwBtACAAdQByAGkAbgBlACAAYQBuAGQAIABmAGEAZQBjAGUAcwAgAGQAZQBwAG8AcwBpAHQAZQBkACAAbwBuACAAcABhAHMAdAB1AHIAZQAuAFwAbgAtAC0ALQAtAC0ALQAtAC0ALQAtAC0ALQAtAC0ALQAtAC0ALQAtAC0ALQAtAC0ALQAtAC0ALQAtAC0ALQAtAC0ALQAtAC0ALQAtAC0AXABuACoALwBcAG4AXABuAFMAbwB1AHIAYwBlAEQAYQB0AGEAXwBEAGEAaQByAHkAXwBGAHIAYQBjAEcAQQBTAE0AUwBvAGkAbABfAFQAaQB0AGwAZQBcAG4AIAAgAD0ATABBAE0AQgBEAEEAKABcACIARgByAGEAYwB0AGkAbwBuACAAbwBmACAAbgBpAHQAcgBvAGcAZQBuACAAdgBvAGwAYQB0AGkAbABpAHoAZQBkACAAZgByAG8AbQAgAHUAcgBpAG4AZQAgAGEAbgBkACAAZgBhAGUAYwBlAHMAIABkAGUAcABvAHMAaQB0AGUAZAAgAG8AbgAgAHAAYQBzAHQAdQByAGUAXAAiACkAOwBcAG4AXABuAFMAbwB1AHIAYwBlAEQAYQB0AGEAXwBEAGEAaQByAHkAXwBGAHIAYQBjAEcAQQBTAE0AUwBvAGkAbABfAFYAYQByAGkAYQBiAGwAZQBcAG4AIAAgAD0ATABBAE0AQgBEAEEAKABcACIARgByAGEAYwBHAEEAUwBNAHMAbwBpAGwAXAAiACkAOwBcAG4AXABuAFMAbwB1AHIAYwBlAEQAYQB0AGEAXwBEAGEAaQByAHkAXwBGAHIAYQBjAEcAQQBTAE0AUwBvAGkAbABfAFUAbgBpAHQAXABuACAAIAA9AEwAQQBNAEIARABBACgAXAAiACgAawBnACAATgBIADMALQBOACAAKwAgAE4ATwB4AC0ATgApAC8AawBnACAATgBcACIAKQA7AFwAbgBcAG4AUwBvAHUAcgBjAGUARABhAHQAYQBfAEQAYQBpAHIAeQBfAEYAcgBhAGMARwBBAFMATQBTAG8AaQBsAF8AUwBvAHUAcgBjAGUAXABuACAAIAA9AEwAQQBNAEIARABBACgAXAAiAFYARQBFAFIARwAgADIAMAAyADYAOgAgADQALgAzAC4AMgAuADMAIABDAE8ATgBTAFQAQQBOAFQAUwBcACIAKQA7AFwAbgBcAG4AUwBvAHUAcgBjAGUARABhAHQAYQBfAEQAYQBpAHIAeQBfAEYAcgBhAGMARwBBAFMATQBTAG8AaQBsAF8AVgBhAHIAaQBhAHQAaQBvAG4AXABuACAAIAA9AEwAQQBNAEIARABBACgAXAAiAFwAIgApADsAXABuAFwAbgBTAG8AdQByAGMAZQBEAGEAdABhAF8ARABhAGkAcgB5AF8ARgByAGEAYwBHAEEAUwBNAFMAbwBpAGwAXwBEAGEAdABhAFwAbgAgACAAPQBMAEEATQBCAEQAQQAoADAALgAyADEAKQA7ACIAfQAsAHsAIgBwAGEAdABoACIAOgAiAC8AcAByAG8AagBlAGMAdABzAC8ATQBNAFMAXwBEAGEAaQByAHkAXwBBAHQAbQBvAHMAcABoAGUAcgBpAGMARABlAHAAbwBzAGkAdABpAG8AbgBfAEUAcQB1AGEAdABpAG8AbgBzACIALAAiAHQAZQB4AHQAIgA6ACIALwAqAFwAbgA9AD0APQA9AD0APQA9AD0APQA9AD0APQA9AD0APQA9AD0APQA9AD0APQA9AD0APQA9AD0APQA9AD0APQA9AD0APQA9AD0APQA9AD0APQA9AD0APQA9AD0APQA9AD0APQA9AD0APQA9AD0APQA9AD0APQA9AD0APQA9AD0APQA9AD0APQA9AD0APQA9AD0APQA9AD0APQA9AFwAbgA0AC4AMwA6ACAARABhAGkAcgB5AFwAbgA9AD0APQA9AD0APQA9AD0APQA9AD0APQA9AD0APQA9AD0APQA9AD0APQA9AD0APQA9AD0APQA9AD0APQA9AD0APQA9AD0APQA9AD0APQA9AD0APQA9AD0APQA9AD0APQA9AD0APQA9AD0APQA9AD0APQA9AD0APQA9AD0APQA9AD0APQA9AD0APQA9AD0APQA9AD0APQA9AFwAbgA0AC4AMwAuADEALgA1ACAATQBlAHQAaABvAGQAIAAxACAALQAgAE0AYQBuAHUAcgBlACAAQQB0AG0AbwBzAHAAaABlAHIAaQBjACAARABlAHAAbwBzAGkAdABpAG8AbgAgAEQAYQBpAHIAeQBcAG4APQA9AD0APQA9AD0APQA9AD0APQA9AD0APQA9AD0APQA9AD0APQA9AD0APQA9AD0APQA9AD0APQA9AD0APQA9AD0APQA9AD0APQA9AD0APQA9AD0APQA9AD0APQA9AD0APQA9AD0APQA9AD0APQA9AD0APQA9AD0APQA9AD0APQA9AD0APQA9AD0APQA9AD0APQA9AD0APQBcAG4AKgAvAFwAbgBcAG4ALwAqAFwAbgAtAC0ALQAtAC0ALQAtAC0ALQAtAC0ALQAtAC0ALQAtAC0ALQAtAC0ALQAtAC0ALQAtAC0ALQAtAC0ALQAtAC0ALQAtAC0ALQAtAC0AXABuAFYARQBFAFIARwBfADQAXwAzAF8AMQBfADUAXwBfADEAXwBBAG4AbgB1AGEAbABBAHQAbQBvAHMAcABoAGUAcgBpAGMARABlAHAAbwBzAGkAdABpAG8AbgBFAG0AaQBzAHMAaQBvAG4AcwBGAHIAbwBtAE0ATQBTAFwAbgBBAG4AbgB1AGEAbAAgAGEAdABtAG8AcwBwAGgAZQByAGkAYwAgAGQAZQBwAG8AcwBpAHQAaQBvAG4AIABlAG0AaQBzAHMAaQBvAG4AcwAgAGYAcgBvAG0AIABNAE0AUwBcAG4ARQBfAE4AMgBPAE0ATQBTAGEAZABcAG4AdAAgAE4AMgBPAFwAbgBFAF8AewBOADIATwAsAE0ATQBTACwAYQBkAH0APQBNAE4AXwB7AEEAVABNAE8AUwB9AFwAXAB0AGkAbQBlAHMAIABFAEYAXwB7AE4AMgBPAH0AXABcAHQAaQBtAGUAcwAgAEMAXwB7AE4AMgBPAH0AXABcAHQAaQBtAGUAcwAgADEAMABeAHsALQAzAH0AXABuAE0ATgBfAEEAVABNAE8AUwAgAD0AIABtAGEAcwBzACAAbwBmACAATgAgAHYAbwBsAGEAdABpAGwAaQBzAGUAZAAgAGYAcgBvAG0AIABNAE0AUwAgACgAawBnACAATgApAFwAbgBFAEYAXwBOADIATwAgAD0AIABuAGkAdAByAG8AdQBzACAAbwB4AGkAZABlACAAZQBtAGkAcwBzAGkAbwBuACAAZgBhAGMAdABvAHIAIABmAG8AcgAgAGEAdABtAG8AcwBwAGgAZQByAGkAYwAgAGQAZQBwAG8AcwBpAHQAaQBvAG4AIAAoAGsAZwAgAE4AMgBPAC0ATgAvAGsAZwAgAE4AKQBcAG4AQwBfAE4AMgBPACAAPQAgAGYAYQBjAHQAbwByACAAdABvACAAYwBvAG4AdgBlAHIAdAAgAGUAbABlAG0AZQBuAHQAYQBsACAAbQBhAHMAcwAgAG8AZgAgAE4AMgBPACAAdABvACAAbQBvAGwAZQBjAHUAbABhAHIAIABtAGEAcwBzAFwAbgAtAC0ALQAtAC0ALQAtAC0ALQAtAC0ALQAtAC0ALQAtAC0ALQAtAC0ALQAtAC0ALQAtAC0ALQAtAC0ALQAtAC0ALQAtAC0ALQAtAC0AXABuACoALwBcAG4AXABuAFYARQBFAFIARwBfADQAXwAzAF8AMQBfADUAXwBfADEAXwBBAG4AbgB1AGEAbABBAHQAbQBvAHMAcABoAGUAcgBpAGMARABlAHAAbwBzAGkAdABpAG8AbgBFAG0AaQBzAHMAaQBvAG4AcwBGAHIAbwBtAE0ATQBTAFwAbgAgACAAPQBMAEEATQBCAEQAQQAoAFwAbgAgACAAIAAgAE0ATgBfAEEAVABNAE8AUwAsACAARQBGAF8ATgAyAE8ALAAgAEMAXwBOADIATwAsAFwAbgAgACAAIAAgAE0ATgBfAEEAVABNAE8AUwAgACoAIABFAEYAXwBOADIATwAgACoAIABDAF8ATgAyAE8AIAAqACAAMQAwACAAXgAgAC0AMwBcAG4AIAAgACkAOwBcAG4AXABuAFYARQBFAFIARwBfADQAXwAzAF8AMQBfADUAXwBfADEAXwBBAG4AbgB1AGEAbABBAHQAbQBvAHMAcABoAGUAcgBpAGMARABlAHAAbwBzAGkAdABpAG8AbgBFAG0AaQBzAHMAaQBvAG4AcwBGAHIAbwBtAE0ATQBTAF8AVABpAHQAbABlAFwAbgAgACAAPQBMAEEATQBCAEQAQQAoAFwAIgBBAG4AbgB1AGEAbAAgAGEAdABtAG8AcwBwAGgAZQByAGkAYwAgAGQAZQBwAG8AcwBpAHQAaQBvAG4AIABlAG0AaQBzAHMAaQBvAG4AcwAgAGYAcgBvAG0AIABNAE0AUwBcACIAKQA7AFwAbgBcAG4AVgBFAEUAUgBHAF8ANABfADMAXwAxAF8ANQBfAF8AMQBfAEEAbgBuAHUAYQBsAEEAdABtAG8AcwBwAGgAZQByAGkAYwBEAGUAcABvAHMAaQB0AGkAbwBuAEUAbQBpAHMAcwBpAG8AbgBzAEYAcgBvAG0ATQBNAFMAXwBWAGEAcgBpAGEAYgBsAGUAXABuACAAIAA9AEwAQQBNAEIARABBACgAXAAiAEUAXwBOADIATwBNAE0AUwBhAGQAXAAiACkAOwBcAG4AXABuAFYARQBFAFIARwBfADQAXwAzAF8AMQBfADUAXwBfADEAXwBBAG4AbgB1AGEAbABBAHQAbQBvAHMAcABoAGUAcgBpAGMARABlAHAAbwBzAGkAdABpAG8AbgBFAG0AaQBzAHMAaQBvAG4AcwBGAHIAbwBtAE0ATQBTAF8AVQBuAGkAdABcAG4AIAAgAD0ATABBAE0AQgBEAEEAKABcACIAdAAgAE4AMgBPAFwAIgApADsAXABuAFwAbgBWAEUARQBSAEcAXwA0AF8AMwBfADEAXwA1AF8AXwAxAF8AQQBuAG4AdQBhAGwAQQB0AG0AbwBzAHAAaABlAHIAaQBjAEQAZQBwAG8AcwBpAHQAaQBvAG4ARQBtAGkAcwBzAGkAbwBuAHMARgByAG8AbQBNAE0AUwBfAFMAbwB1AHIAYwBlAFwAbgAgACAAPQBMAEEATQBCAEQAQQAoAFwAIgBWAEUARQBSAEcAIAAyADAAMgA2ADoAIAA0AC4AMwAuADEALgA1ACwAIABFAHEAdQBhAHQAaQBvAG4AIAAoADEAKQBcACIAKQA7AFwAbgBcAG4AVgBFAEUAUgBHAF8ANABfADMAXwAxAF8ANQBfAF8AMQBfAEEAbgBuAHUAYQBsAEEAdABtAG8AcwBwAGgAZQByAGkAYwBEAGUAcABvAHMAaQB0AGkAbwBuAEUAbQBpAHMAcwBpAG8AbgBzAEYAcgBvAG0ATQBNAFMAXwBOAEkAUgBSAGUAZgBlAHIAZQBuAGMAZQBcAG4AIAAgAD0ATABBAE0AQgBEAEEAKABcACIAXAAiACkAOwBcAG4AXABuAFYARQBFAFIARwBfADQAXwAzAF8AMQBfADUAXwBfADEAXwBBAG4AbgB1AGEAbABBAHQAbQBvAHMAcABoAGUAcgBpAGMARABlAHAAbwBzAGkAdABpAG8AbgBFAG0AaQBzAHMAaQBvAG4AcwBGAHIAbwBtAE0ATQBTAF8ATABhAHQAZQB4AEUAcQB1AGEAdABpAG8AbgBcAG4AIAAgAD0ATABBAE0AQgBEAEEAKABcACIARQBfAHsATgAyAE8ALABNAE0AUwAsAGEAZAB9AD0ATQBOAF8AewBBAFQATQBPAFMAfQBcAFwAdABpAG0AZQBzACAARQBGAF8AewBOADIATwB9AFwAXAB0AGkAbQBlAHMAIABDAF8AewBOADIATwB9AFwAXAB0AGkAbQBlAHMAIAAxADAAXgB7AC0AMwB9AFwAIgApADsAXABuAFwAbgBWAEUARQBSAEcAXwA0AF8AMwBfADEAXwA1AF8AXwAxAF8AQQBuAG4AdQBhAGwAQQB0AG0AbwBzAHAAaABlAHIAaQBjAEQAZQBwAG8AcwBpAHQAaQBvAG4ARQBtAGkAcwBzAGkAbwBuAHMARgByAG8AbQBNAE0AUwBfAEEAcgBnAHUAbQBlAG4AdABzAFwAbgAgACAAPQBMAEEATQBCAEQAQQAoAFwAbgAgACAAIAAgAE0AQQBLAEUAQQBSAFIAQQBZACgANgAsACAAMgAsAFwAbgAgACAAIAAgACAAIABMAEEATQBCAEQAQQAoAHIALABjACwAXABuACAAIAAgACAAIAAgACAAIABJAE4ARABFAFgAKAB7AFwAbgAgACAAIAAgACAAIAAgACAAIAAgAFwAIgBNAE4AXwBBAFQATQBPAFMAXAAiACwAIABcACIAbQBhAHMAcwAgAG8AZgAgAE4AIAB2AG8AbABhAHQAaQBsAGkAcwBlAGQAIABmAHIAbwBtACAATQBNAFMAIAAoAGsAZwAgAE4AKQBcACIAOwBcAG4AIAAgACAAIAAgACAAIAAgACAAIABcACIARQBGAF8ATgAyAE8AXAAiACwAIABcACIAbgBpAHQAcgBvAHUAcwAgAG8AeABpAGQAZQAgAGUAbQBpAHMAcwBpAG8AbgAgAGYAYQBjAHQAbwByACAAZgBvAHIAIABhAHQAbQBvAHMAcABoAGUAcgBpAGMAIABkAGUAcABvAHMAaQB0AGkAbwBuACAAKABrAGcAIABOADIATwAtAE4ALwBrAGcAIABOACkAXAAiADsAXABuACAAIAAgACAAIAAgACAAIAAgACAAXAAiAEMAXwBOADIATwBcACIALAAgAFwAIgBmAGEAYwB0AG8AcgAgAHQAbwAgAGMAbwBuAHYAZQByAHQAIABlAGwAZQBtAGUAbgB0AGEAbAAgAG0AYQBzAHMAIABvAGYAIABOADIATwAgAHQAbwAgAG0AbwBsAGUAYwB1AGwAYQByACAAbQBhAHMAcwBcACIAOwBcAG4AIAAgACAAIAAgACAAIAAgACAAIABcACIAagBcACIALAAgAFwAIgBwAHIAbwBkAHUAYwB0AGkAbwBuACAAcwB5AHMAdABlAG0AXAAiADsAXABuACAAIAAgACAAIAAgACAAIAAgACAAXAAiAGkAcgBcACIALAAgAFwAIgBpAHIAcgBpAGcAYQB0AGkAbwBuACAAbQBlAHQAaABvAGQAXAAiADsAXABuACAAIAAgACAAIAAgACAAIAAgACAAXAAiAHIAXAAiACwAIABcACIAcgBhAGkAbgBmAGEAbABsACAAcgBlAGcAaQBvAG4AXAAiAFwAbgAgACAAIAAgACAAIAAgACAAfQAsACAAcgAsACAAYwApAFwAbgAgACAAIAAgACAAIAApAFwAbgAgACAAIAAgACkAXABuACAAIAApADsAXABuAFwAbgAvACoAXABuAC0ALQAtAC0ALQAtAC0ALQAtAC0ALQAtAC0ALQAtAC0ALQAtAC0ALQAtAC0ALQAtAC0ALQAtAC0ALQAtAC0ALQAtAC0ALQAtAC0ALQBcAG4AVgBFAEUAUgBHAF8ANABfADMAXwAxAF8ANQBfAF8AMgBfAFQAbwB0AGEAbABOAGkAdAByAG8AZwBlAG4AVgBvAGwAYQB0AGkAbABpAHMAZQBkAEYAcgBvAG0ATQBNAFMAXABuAFQAbwB0AGEAbAAgAG4AaQB0AHIAbwBnAGUAbgAgAHYAbwBsAGEAdABpAGwAaQBzAGUAZAAgAGYAcgBvAG0AIABNAE0AUwBcAG4ATQBOAF8AQQBUAE0ATwBTAFwAbgBrAGcAIABOAFwAbgBNAE4AXwB7AEEAVABNAE8AUwB9AD0ATQBOAF8AewBqAG0AfQBcAFwAdABpAG0AZQBzACAARgByAGEAYwBHAEEAUwBNAF8AbQBcAG4ATQBOAF8AagBtACAAPQAgAHQAbwB0AGEAbAAgAG4AaQB0AHIAbwBnAGUAbgAgAGkAbgAgAGUAYQBjAGgAIABNAE0AUwAgAGYAbwByACAAZABhAGkAcgB5ACAAYwBhAHQAdABsAGUAIABjAGwAYQBzAHMAZQBzACAAKABrAGcAIABOACkAXABuAEYAcgBhAGMARwBBAFMATQBfAG0AIAA9ACAAZgByAGEAYwB0AGkAbwBuACAAbwBmACAATgAgAHYAbwBsAGEAdABpAGwAaQBzAGUAZAAgAGYAcgBvAG0AIABNAE0AUwAgACgAZgByAGEAYwB0AGkAbwBuACkAXABuAC0ALQAtAC0ALQAtAC0ALQAtAC0ALQAtAC0ALQAtAC0ALQAtAC0ALQAtAC0ALQAtAC0ALQAtAC0ALQAtAC0ALQAtAC0ALQAtAC0ALQBcAG4AKgAvAFwAbgBcAG4AVgBFAEUAUgBHAF8ANABfADMAXwAxAF8ANQBfAF8AMgBfAFQAbwB0AGEAbABOAGkAdAByAG8AZwBlAG4AVgBvAGwAYQB0AGkAbABpAHMAZQBkAEYAcgBvAG0ATQBNAFMAXABuACAAIAA9AEwAQQBNAEIARABBACgAXABuACAAIAAgACAATQBOAF8AagBtACwAIABGAHIAYQBjAEcAQQBTAE0AXwBtACwAXABuACAAIAAgACAATQBOAF8AagBtACAAKgAgAEYAcgBhAGMARwBBAFMATQBfAG0AXABuACAAIAApADsAXABuAFwAbgBWAEUARQBSAEcAXwA0AF8AMwBfADEAXwA1AF8AXwAyAF8AVABvAHQAYQBsAE4AaQB0AHIAbwBnAGUAbgBWAG8AbABhAHQAaQBsAGkAcwBlAGQARgByAG8AbQBNAE0AUwBfAFQAaQB0AGwAZQBcAG4AIAAgAD0ATABBAE0AQgBEAEEAKABcACIAVABvAHQAYQBsACAAbgBpAHQAcgBvAGcAZQBuACAAdgBvAGwAYQB0AGkAbABpAHMAZQBkACAAZgByAG8AbQAgAE0ATQBTAFwAIgApADsAXABuAFwAbgBWAEUARQBSAEcAXwA0AF8AMwBfADEAXwA1AF8AXwAyAF8AVABvAHQAYQBsAE4AaQB0AHIAbwBnAGUAbgBWAG8AbABhAHQAaQBsAGkAcwBlAGQARgByAG8AbQBNAE0AUwBfAFYAYQByAGkAYQBiAGwAZQBcAG4AIAAgAD0ATABBAE0AQgBEAEEAKABcACIATQBOAF8AQQBUAE0ATwBTAFwAIgApADsAXABuAFwAbgBWAEUARQBSAEcAXwA0AF8AMwBfADEAXwA1AF8AXwAyAF8AVABvAHQAYQBsAE4AaQB0AHIAbwBnAGUAbgBWAG8AbABhAHQAaQBsAGkAcwBlAGQARgByAG8AbQBNAE0AUwBfAFUAbgBpAHQAXABuACAAIAA9AEwAQQBNAEIARABBACgAXAAiAGsAZwAgAE4AXAAiACkAOwBcAG4AXABuAFYARQBFAFIARwBfADQAXwAzAF8AMQBfADUAXwBfADIAXwBUAG8AdABhAGwATgBpAHQAcgBvAGcAZQBuAFYAbwBsAGEAdABpAGwAaQBzAGUAZABGAHIAbwBtAE0ATQBTAF8AUwBvAHUAcgBjAGUAXABuACAAIAA9AEwAQQBNAEIARABBACgAXAAiAFYARQBFAFIARwAgADIAMAAyADYAOgAgADQALgAzAC4AMQAuADUALAAgAEUAcQB1AGEAdABpAG8AbgAgACgAMgApAFwAIgApADsAXABuAFwAbgBWAEUARQBSAEcAXwA0AF8AMwBfADEAXwA1AF8AXwAyAF8AVABvAHQAYQBsAE4AaQB0AHIAbwBnAGUAbgBWAG8AbABhAHQAaQBsAGkAcwBlAGQARgByAG8AbQBNAE0AUwBfAE4ASQBSAFIAZQBmAGUAcgBlAG4AYwBlAFwAbgAgACAAPQBMAEEATQBCAEQAQQAoAFwAIgBcACIAKQA7AFwAbgBcAG4AVgBFAEUAUgBHAF8ANABfADMAXwAxAF8ANQBfAF8AMgBfAFQAbwB0AGEAbABOAGkAdAByAG8AZwBlAG4AVgBvAGwAYQB0AGkAbABpAHMAZQBkAEYAcgBvAG0ATQBNAFMAXwBMAGEAdABlAHgARQBxAHUAYQB0AGkAbwBuAFwAbgAgACAAPQBMAEEATQBCAEQAQQAoAFwAIgBNAE4AXwB7AEEAVABNAE8AUwB9AD0AXABcAHMAdQBtAFwAXABuAG8AbABpAG0AaQB0AHMAXwB7AGoAfQBcAFwAcwB1AG0AXABcAG4AbwBsAGkAbQBpAHQAcwBfAHsAbQB9ACgATQBOAF8AewBqAG0AfQBcAFwAdABpAG0AZQBzACAARgByAGEAYwBHAEEAUwBNAF8AbQApAFwAIgApADsAXABuAFwAbgBWAEUARQBSAEcAXwA0AF8AMwBfADEAXwA1AF8AXwAyAF8AVABvAHQAYQBsAE4AaQB0AHIAbwBnAGUAbgBWAG8AbABhAHQAaQBsAGkAcwBlAGQARgByAG8AbQBNAE0AUwBfAEEAcgBnAHUAbQBlAG4AdABzAFwAbgAgACAAPQBMAEEATQBCAEQAQQAoAFwAbgAgACAAIAAgAE0AQQBLAEUAQQBSAFIAQQBZACgAMgAsACAAMgAsAFwAbgAgACAAIAAgACAAIABMAEEATQBCAEQAQQAoAHIALABjACwAXABuACAAIAAgACAAIAAgACAAIABJAE4ARABFAFgAKAB7AFwAbgAgACAAIAAgACAAIAAgACAAIAAgAFwAIgBNAE4AXwBqAG0AXAAiACwAIABcACIAdABvAHQAYQBsACAAbgBpAHQAcgBvAGcAZQBuACAAaQBuACAAZQBhAGMAaAAgAE0ATQBTACAAZgBvAHIAIABkAGEAaQByAHkAIABjAGEAdAB0AGwAZQAgAGMAbABhAHMAcwBlAHMAIAAoAGsAZwAgAE4AKQBcACIAOwBcAG4AIAAgACAAIAAgACAAIAAgACAAIABcACIARgByAGEAYwBHAEEAUwBNAF8AbQBcACIALAAgAFwAIgBmAHIAYQBjAHQAaQBvAG4AIABvAGYAIABOACAAdgBvAGwAYQB0AGkAbABpAHMAZQBkACAAZgByAG8AbQAgAE0ATQBTACAAKABmAHIAYQBjAHQAaQBvAG4AKQBcACIAXABuACAAIAAgACAAIAAgACAAIAB9ACwAIAByACwAIABjACkAXABuACAAIAAgACAAIAAgACkAXABuACAAIAAgACAAKQBcAG4AIAAgACkAOwBcAG4AIgB9ACwAewAiAHAAYQB0AGgAIgA6ACIALwBwAHIAbwBqAGUAYwB0AHMALwBNAE0AUwBfAEQAYQBpAHIAeQBfAE0AYQBuAHUAcgBlAEEAcABwAGwAaQBlAGQAVABvAFMAbwBpAGwAcwBfAEUAcQB1AGEAdABpAG8AbgBzACIALAAiAHQAZQB4AHQAIgA6ACIALwAqAFwAbgA9AD0APQA9AD0APQA9AD0APQA9AD0APQA9AD0APQA9AD0APQA9AD0APQA9AD0APQA9AD0APQA9AD0APQA9AD0APQA9AD0APQA9AD0APQA9AD0APQA9AD0APQA9AD0APQA9AD0APQA9AD0APQA9AD0APQA9AD0APQA9AD0APQA9AD0APQA9AD0APQA9AD0APQA9AD0APQA9AFwAbgA0AC4AMwA6ACAARABhAGkAcgB5AFwAbgA9AD0APQA9AD0APQA9AD0APQA9AD0APQA9AD0APQA9AD0APQA9AD0APQA9AD0APQA9AD0APQA9AD0APQA9AD0APQA9AD0APQA9AD0APQA9AD0APQA9AD0APQA9AD0APQA9AD0APQA9AD0APQA9AD0APQA9AD0APQA9AD0APQA9AD0APQA9AD0APQA9AD0APQA9AD0APQA9AFwAbgA0AC4AMwAuADEALgA4ACAATQBlAHQAaABvAGQAIAAxACAALQAgAE0AYQBuAHUAcgBlACAAQQBwAHAAbABpAGUAZAAgAFQAbwAgAFMAbwBpAGwAcwAgAEQAYQBpAHIAeQBcAG4APQA9AD0APQA9AD0APQA9AD0APQA9AD0APQA9AD0APQA9AD0APQA9AD0APQA9AD0APQA9AD0APQA9AD0APQA9AD0APQA9AD0APQA9AD0APQA9AD0APQA9AD0APQA9AD0APQA9AD0APQA9AD0APQA9AD0APQA9AD0APQA9AD0APQA9AD0APQA9AD0APQA9AD0APQA9AD0APQBcAG4AKgAvAFwAbgBcAG4ALwAqAFwAbgAtAC0ALQAtAC0ALQAtAC0ALQAtAC0ALQAtAC0ALQAtAC0ALQAtAC0ALQAtAC0ALQAtAC0ALQAtAC0ALQAtAC0ALQAtAC0ALQAtAC0AXABuAFYARQBFAFIARwBfADQAXwAzAF8AMQBfADgAXwBfADEAXwBNAGEAcwBzAE8AZgBOAGkAdAByAG8AZwBlAG4AQQBwAHAAbABpAGUAZABUAG8AUwBvAGkAbABzAFMAYwBvAHAAZQAxAFwAbgBNAGEAcwBzACAAbwBmACAAbgBpAHQAcgBvAGcAZQBuACAAZgByAG8AbQAgAG0AYQBuAHUAcgBlACAAYQBwAHAAbABpAGUAZAAgAHQAbwAgAHMAbwBpAGwAcwAgAGYAbwByACAAcwBjAG8AcABlACAAMQAgAGUAbQBpAHMAcwBpAG8AbgBzAFwAbgBNAE4AUwBvAGkAbABfAHMAYwBvAHAAZQAxAFwAbgBrAGcAIABOAFwAbgBNAE4AUwBvAGkAbABfAHsAcwBjAG8AcABlADEAfQA9ACgATQBOAF8AewBqAG0AfQBcAFwAdABpAG0AZQBzACAAKAAxAC0ARQBGAF8AbQAtAEYAcgBhAGMARwBBAFMATQBfAG0AKQAtAE0ATgBMAGUAYQBjAGgAXwBqAG0AKQBcAFwAdABpAG0AZQBzACAAUABGAF8AcwBjAG8AcABlAFwAbgBNAE4AXwBqAG0AIAA9ACAAdABvAHQAYQBsACAAbgBpAHQAcgBvAGcAZQBuACAAaQBuACAAZQBhAGMAaAAgAE0ATQBTACAAZgBvAHIAIABkAGEAaQByAHkAIABjAGEAdAB0AGwAZQAgAGMAbABhAHMAcwBlAHMAIAAoAGsAZwAgAE4AKQBcAG4ARQBGAF8AbQAgAD0AIABlAG0AaQBzAHMAaQBvAG4AIABmAGEAYwB0AG8AcgAgAGYAbwByACAAbgBpAHQAcgBvAHUAcwAgAG8AeABpAGQAZQAgAGUAbQBpAHMAcwBpAG8AbgBzACAAcABlAHIAIABNAE0AUwAgACgAawBnACAATgAyAE8ALQBOAC8AawBnACAATgApAFwAbgBGAHIAYQBjAEcAQQBTAE0AXwBtACAAPQAgAGYAcgBhAGMAdABpAG8AbgAgAG8AZgAgAE4AIAB2AG8AbABhAHQAaQBsAGkAcwBlAGQAIABmAHIAbwBtACAATQBNAFMAXABuAE0ATgBMAGUAYQBjAGgAXwBqAG0AIAA9ACAAbQBhAHMAcwAgAG8AZgAgAE4AIABsAG8AcwB0ACAAdABoAHIAbwB1AGcAaAAgAGwAZQBhAGMAaABpAG4AZwAgAGEAbgBkACAAcgB1AG4AbwBmAGYAIABmAHIAbwBtACAAZQBhAGMAaAAgAE0ATQBTACAAKABrAGcAIABOACkAXABuAFAARgBfAHMAYwBvAHAAZQAgAD0AIABmAHIAYQBjAHQAaQBvAG4AIABvAGYAIABtAGEAbgB1AHIAZQAgAGEAcABwAGwAaQBlAGQAIAB0AG8AIABzAG8AaQBsACAAdwBpAHQAaABpAG4AIABmAGEAcgBtACAAYgBvAHUAbgBkAGEAcgB5AFwAbgAtAC0ALQAtAC0ALQAtAC0ALQAtAC0ALQAtAC0ALQAtAC0ALQAtAC0ALQAtAC0ALQAtAC0ALQAtAC0ALQAtAC0ALQAtAC0ALQAtAC0AXABuACoALwBcAG4AXABuAFYARQBFAFIARwBfADQAXwAzAF8AMQBfADgAXwBfADEAXwBNAGEAcwBzAE8AZgBOAGkAdAByAG8AZwBlAG4AQQBwAHAAbABpAGUAZABUAG8AUwBvAGkAbABzAFMAYwBvAHAAZQAxAFwAbgAgACAAPQBMAEEATQBCAEQAQQAoAFwAbgAgACAAIAAgAE0ATgBfAGoAbQAsACAARQBGAF8AbQAsACAARgByAGEAYwBHAEEAUwBNAF8AbQAsACAATQBOAEwAZQBhAGMAaABfAGoAbQAsACAAUABGAF8AcwBjAG8AcABlACwAXABuACAAIAAgACAAKABNAE4AXwBqAG0AIAAqACAAKAAxACAALQAgAEUARgBfAG0AIAAtACAARgByAGEAYwBHAEEAUwBNAF8AbQApACAALQAgAE0ATgBMAGUAYQBjAGgAXwBqAG0AKQAgACoAIABQAEYAXwBzAGMAbwBwAGUAXABuACAAIAApADsAXABuAFwAbgBWAEUARQBSAEcAXwA0AF8AMwBfADEAXwA4AF8AXwAxAF8ATQBhAHMAcwBPAGYATgBpAHQAcgBvAGcAZQBuAEEAcABwAGwAaQBlAGQAVABvAFMAbwBpAGwAcwBTAGMAbwBwAGUAMQBfAFQAaQB0AGwAZQBcAG4AIAAgAD0ATABBAE0AQgBEAEEAKABcACIATQBhAHMAcwAgAG8AZgAgAG4AaQB0AHIAbwBnAGUAbgAgAGYAcgBvAG0AIABtAGEAbgB1AHIAZQAgAGEAcABwAGwAaQBlAGQAIAB0AG8AIABzAG8AaQBsAHMAIABmAG8AcgAgAHMAYwBvAHAAZQAgADEAIABlAG0AaQBzAHMAaQBvAG4AcwBcACIAKQA7AFwAbgBcAG4AVgBFAEUAUgBHAF8ANABfADMAXwAxAF8AOABfAF8AMQBfAE0AYQBzAHMATwBmAE4AaQB0AHIAbwBnAGUAbgBBAHAAcABsAGkAZQBkAFQAbwBTAG8AaQBsAHMAUwBjAG8AcABlADEAXwBWAGEAcgBpAGEAYgBsAGUAXABuACAAIAA9AEwAQQBNAEIARABBACgAXAAiAE0ATgBTAG8AaQBsAF8AcwBjAG8AcABlADEAXAAiACkAOwBcAG4AXABuAFYARQBFAFIARwBfADQAXwAzAF8AMQBfADgAXwBfADEAXwBNAGEAcwBzAE8AZgBOAGkAdAByAG8AZwBlAG4AQQBwAHAAbABpAGUAZABUAG8AUwBvAGkAbABzAFMAYwBvAHAAZQAxAF8AVQBuAGkAdABcAG4AIAAgAD0ATABBAE0AQgBEAEEAKABcACIAawBnACAATgBcACIAKQA7AFwAbgBcAG4AVgBFAEUAUgBHAF8ANABfADMAXwAxAF8AOABfAF8AMQBfAE0AYQBzAHMATwBmAE4AaQB0AHIAbwBnAGUAbgBBAHAAcABsAGkAZQBkAFQAbwBTAG8AaQBsAHMAUwBjAG8AcABlADEAXwBTAG8AdQByAGMAZQBcAG4AIAAgAD0ATABBAE0AQgBEAEEAKABcACIAVgBFAEUAUgBHACAAMgAwADIANgA6ACAANAAuADMALgAxAC4AOAAsACAARQBxAHUAYQB0AGkAbwBuACAAKAAxACkAXAAiACkAOwBcAG4AXABuAFYARQBFAFIARwBfADQAXwAzAF8AMQBfADgAXwBfADEAXwBNAGEAcwBzAE8AZgBOAGkAdAByAG8AZwBlAG4AQQBwAHAAbABpAGUAZABUAG8AUwBvAGkAbABzAFMAYwBvAHAAZQAxAF8ATgBJAFIAUgBlAGYAZQByAGUAbgBjAGUAXABuACAAIAA9AEwAQQBNAEIARABBACgAXAAiAFwAIgApADsAXABuAFwAbgBWAEUARQBSAEcAXwA0AF8AMwBfADEAXwA4AF8AXwAxAF8ATQBhAHMAcwBPAGYATgBpAHQAcgBvAGcAZQBuAEEAcABwAGwAaQBlAGQAVABvAFMAbwBpAGwAcwBTAGMAbwBwAGUAMQBfAEwAYQB0AGUAeABFAHEAdQBhAHQAaQBvAG4AXABuACAAIAA9AEwAQQBNAEIARABBACgAXAAiAE0ATgBTAG8AaQBsAF8AewBzAGMAbwBwAGUAMQB9AD0AXABcAHMAdQBtAFwAXABuAG8AbABpAG0AaQB0AHMAXwB7AGoAfQBcAFwAcwB1AG0AXABcAG4AbwBsAGkAbQBpAHQAcwBfAHsAbQB9ACgATQBOAF8AewBqAG0APQAxAC0AMQAzAH0AXABcAHQAaQBtAGUAcwAgACgAMQAtAEUARgBfAHsAbQA9ADEALQAxADMAfQAtAEYAcgBhAGMARwBBAFMATQBfAHsAbQA9ADEALQAxADMAfQApAC0ATQBOAEwAZQBhAGMAaABfAHsAagBtAH0AKQBcAFwAdABpAG0AZQBzACAAUABGAFwAIgApADsAXABuAFwAbgBWAEUARQBSAEcAXwA0AF8AMwBfADEAXwA4AF8AXwAxAF8ATQBhAHMAcwBPAGYATgBpAHQAcgBvAGcAZQBuAEEAcABwAGwAaQBlAGQAVABvAFMAbwBpAGwAcwBTAGMAbwBwAGUAMQBfAEEAcgBnAHUAbQBlAG4AdABzAFwAbgAgACAAPQBMAEEATQBCAEQAQQAoAFwAbgAgACAAIAAgAE0AQQBLAEUAQQBSAFIAQQBZACgANQAsACAAMgAsAFwAbgAgACAAIAAgACAAIABMAEEATQBCAEQAQQAoAHIALABjACwAXABuACAAIAAgACAAIAAgACAAIABJAE4ARABFAFgAKAB7AFwAbgAgACAAIAAgACAAIAAgACAAIAAgAFwAIgBNAE4AXwBqAG0AXAAiACwAIABcACIAdABvAHQAYQBsACAAbgBpAHQAcgBvAGcAZQBuACAAaQBuACAAZQBhAGMAaAAgAE0ATQBTACAAZgBvAHIAIABkAGEAaQByAHkAIABjAGEAdAB0AGwAZQAgAGMAbABhAHMAcwBlAHMAIAAoAGsAZwAgAE4AKQBcACIAOwBcAG4AIAAgACAAIAAgACAAIAAgACAAIABcACIARQBGAF8AbQBcACIALAAgAFwAIgBlAG0AaQBzAHMAaQBvAG4AIABmAGEAYwB0AG8AcgAgAGYAbwByACAAbgBpAHQAcgBvAHUAcwAgAG8AeABpAGQAZQAgAGUAbQBpAHMAcwBpAG8AbgBzACAAcABlAHIAIABNAE0AUwAgACgAawBnACAATgAyAE8ALQBOAC8AawBnACAATgApAFwAIgA7AFwAbgAgACAAIAAgACAAIAAgACAAIAAgAFwAIgBGAHIAYQBjAEcAQQBTAE0AXwBtAFwAIgAsACAAXAAiAGYAcgBhAGMAdABpAG8AbgAgAG8AZgAgAE4AIAB2AG8AbABhAHQAaQBsAGkAcwBlAGQAIABmAHIAbwBtACAATQBNAFMAXAAiADsAXABuACAAIAAgACAAIAAgACAAIAAgACAAXAAiAE0ATgBMAGUAYQBjAGgAXwBqAG0AXAAiACwAIABcACIAbQBhAHMAcwAgAG8AZgAgAE4AIABsAG8AcwB0ACAAdABoAHIAbwB1AGcAaAAgAGwAZQBhAGMAaABpAG4AZwAgAGEAbgBkACAAcgB1AG4AbwBmAGYAIABmAHIAbwBtACAAZQBhAGMAaAAgAE0ATQBTACAAKABrAGcAIABOACkAXAAiADsAXABuACAAIAAgACAAIAAgACAAIAAgACAAXAAiAFAARgBfAHMAYwBvAHAAZQBcACIALAAgAFwAIgBmAHIAYQBjAHQAaQBvAG4AIABvAGYAIABtAGEAbgB1AHIAZQAgAGEAcABwAGwAaQBlAGQAIAB0AG8AIABzAG8AaQBsACAAdwBpAHQAaABpAG4AIABmAGEAcgBtACAAYgBvAHUAbgBkAGEAcgB5AFwAIgBcAG4AIAAgACAAIAAgACAAIAAgAH0ALAAgAHIALAAgAGMAKQBcAG4AIAAgACAAIAAgACAAKQBcAG4AIAAgACAAIAApAFwAbgAgACAAKQA7AFwAbgBcAG4ALwAqAFwAbgAtAC0ALQAtAC0ALQAtAC0ALQAtAC0ALQAtAC0ALQAtAC0ALQAtAC0ALQAtAC0ALQAtAC0ALQAtAC0ALQAtAC0ALQAtAC0ALQAtAC0AXABuAFYARQBFAFIARwBfADQAXwAzAF8AMQBfADgAXwBfADIAXwBNAGEAcwBzAE8AZgBOAGkAdAByAG8AZwBlAG4AQQBwAHAAbABpAGUAZABUAG8AUwBvAGkAbABzAFMAYwBvAHAAZQAzAFwAbgBNAGEAcwBzACAAbwBmACAAbgBpAHQAcgBvAGcAZQBuACAAZgByAG8AbQAgAG0AYQBuAHUAcgBlACAAYQBwAHAAbABpAGUAZAAgAHQAbwAgAHMAbwBpAGwAcwAgAGYAbwByACAAcwBjAG8AcABlACAAMwAgAGUAbQBpAHMAcwBpAG8AbgBzAFwAbgBNAE4AUwBvAGkAbABfAHMAYwBvAHAAZQAzAFwAbgBrAGcAIABOAFwAbgBNAE4AUwBvAGkAbABfAHsAcwBjAG8AcABlADMAfQA9ACgATQBOAF8AewBqAG0AfQBcAFwAdABpAG0AZQBzACAAKAAxAC0ARQBGAF8AbQAtAEYAcgBhAGMARwBBAFMATQBfAG0AKQAtAE0ATgBMAGUAYQBjAGgAXwBqAG0AKQBcAFwAdABpAG0AZQBzACAAKAAxAC0AUABGACkAXABuAE0ATgBfAGoAbQAgAD0AIAB0AG8AdABhAGwAIABuAGkAdAByAG8AZwBlAG4AIABpAG4AIABlAGEAYwBoACAATQBNAFMAIABmAG8AcgAgAGQAYQBpAHIAeQAgAGMAYQB0AHQAbABlACAAYwBsAGEAcwBzAGUAcwAgACgAawBnACAATgApAFwAbgBFAEYAXwBtACAAPQAgAGUAbQBpAHMAcwBpAG8AbgAgAGYAYQBjAHQAbwByACAAZgBvAHIAIABuAGkAdAByAG8AdQBzACAAbwB4AGkAZABlACAAZQBtAGkAcwBzAGkAbwBuAHMAIABwAGUAcgAgAE0ATQBTACAAKABrAGcAIABOADIATwAtAE4ALwBrAGcAIABOACkAXABuAEYAcgBhAGMARwBBAFMATQBfAG0AIAA9ACAAZgByAGEAYwB0AGkAbwBuACAAbwBmACAATgAgAHYAbwBsAGEAdABpAGwAaQBzAGUAZAAgAGYAcgBvAG0AIABNAE0AUwBcAG4ATQBOAEwAZQBhAGMAaABfAGoAbQAgAD0AIABtAGEAcwBzACAAbwBmACAATgAgAGwAbwBzAHQAIAB0AGgAcgBvAHUAZwBoACAAbABlAGEAYwBoAGkAbgBnACAAYQBuAGQAIAByAHUAbgBvAGYAZgAgAGYAcgBvAG0AIABlAGEAYwBoACAATQBNAFMAIAAoAGsAZwAgAE4AKQBcAG4AUABGACAAPQAgAGYAcgBhAGMAdABpAG8AbgAgAG8AZgAgAG0AYQBuAHUAcgBlACAAYQBwAHAAbABpAGUAZAAgAHQAbwAgAHMAbwBpAGwAIAB3AGkAdABoAGkAbgAgAGYAYQByAG0AIABiAG8AdQBuAGQAYQByAHkAXABuAC0ALQAtAC0ALQAtAC0ALQAtAC0ALQAtAC0ALQAtAC0ALQAtAC0ALQAtAC0ALQAtAC0ALQAtAC0ALQAtAC0ALQAtAC0ALQAtAC0ALQBcAG4AKgAvAFwAbgBcAG4AVgBFAEUAUgBHAF8ANABfADMAXwAxAF8AOABfAF8AMgBfAE0AYQBzAHMATwBmAE4AaQB0AHIAbwBnAGUAbgBBAHAAcABsAGkAZQBkAFQAbwBTAG8AaQBsAHMAUwBjAG8AcABlADMAXABuACAAIAA9AEwAQQBNAEIARABBACgAXABuACAAIAAgACAATQBOAF8AagBtACwAIABFAEYAXwBtACwAIABGAHIAYQBjAEcAQQBTAE0AXwBtACwAIABNAE4ATABlAGEAYwBoAF8AagBtACwAIABQAEYALABcAG4AIAAgACAAIAAoAE0ATgBfAGoAbQAgACoAIAAoADEAIAAtACAARQBGAF8AbQAgAC0AIABGAHIAYQBjAEcAQQBTAE0AXwBtACkAIAAtACAATQBOAEwAZQBhAGMAaABfAGoAbQApACAAKgAgACgAMQAgAC0AIABQAEYAKQBcAG4AIAAgACkAOwBcAG4AXABuAFYARQBFAFIARwBfADQAXwAzAF8AMQBfADgAXwBfADIAXwBNAGEAcwBzAE8AZgBOAGkAdAByAG8AZwBlAG4AQQBwAHAAbABpAGUAZABUAG8AUwBvAGkAbABzAFMAYwBvAHAAZQAzAF8AVABpAHQAbABlAFwAbgAgACAAPQBMAEEATQBCAEQAQQAoAFwAIgBNAGEAcwBzACAAbwBmACAAbgBpAHQAcgBvAGcAZQBuACAAZgByAG8AbQAgAG0AYQBuAHUAcgBlACAAYQBwAHAAbABpAGUAZAAgAHQAbwAgAHMAbwBpAGwAcwAgAGYAbwByACAAcwBjAG8AcABlACAAMwAgAGUAbQBpAHMAcwBpAG8AbgBzAFwAIgApADsAXABuAFwAbgBWAEUARQBSAEcAXwA0AF8AMwBfADEAXwA4AF8AXwAyAF8ATQBhAHMAcwBPAGYATgBpAHQAcgBvAGcAZQBuAEEAcABwAGwAaQBlAGQAVABvAFMAbwBpAGwAcwBTAGMAbwBwAGUAMwBfAFYAYQByAGkAYQBiAGwAZQBcAG4AIAAgAD0ATABBAE0AQgBEAEEAKABcACIATQBOAFMAbwBpAGwAXwBzAGMAbwBwAGUAMwBcACIAKQA7AFwAbgBcAG4AVgBFAEUAUgBHAF8ANABfADMAXwAxAF8AOABfAF8AMgBfAE0AYQBzAHMATwBmAE4AaQB0AHIAbwBnAGUAbgBBAHAAcABsAGkAZQBkAFQAbwBTAG8AaQBsAHMAUwBjAG8AcABlADMAXwBVAG4AaQB0AFwAbgAgACAAPQBMAEEATQBCAEQAQQAoAFwAIgBrAGcAIABOAFwAIgApADsAXABuAFwAbgBWAEUARQBSAEcAXwA0AF8AMwBfADEAXwA4AF8AXwAyAF8ATQBhAHMAcwBPAGYATgBpAHQAcgBvAGcAZQBuAEEAcABwAGwAaQBlAGQAVABvAFMAbwBpAGwAcwBTAGMAbwBwAGUAMwBfAFMAbwB1AHIAYwBlAFwAbgAgACAAPQBMAEEATQBCAEQAQQAoAFwAIgBWAEUARQBSAEcAIAAyADAAMgA2ADoAIAA0AC4AMwAuADEALgA4ACwAIABFAHEAdQBhAHQAaQBvAG4AIAAoADIAKQBcACIAKQA7AFwAbgBcAG4AVgBFAEUAUgBHAF8ANABfADMAXwAxAF8AOABfAF8AMgBfAE0AYQBzAHMATwBmAE4AaQB0AHIAbwBnAGUAbgBBAHAAcABsAGkAZQBkAFQAbwBTAG8AaQBsAHMAUwBjAG8AcABlADMAXwBOAEkAUgBSAGUAZgBlAHIAZQBuAGMAZQBcAG4AIAAgAD0ATABBAE0AQgBEAEEAKABcACIAXAAiACkAOwBcAG4AXABuAFYARQBFAFIARwBfADQAXwAzAF8AMQBfADgAXwBfADIAXwBNAGEAcwBzAE8AZgBOAGkAdAByAG8AZwBlAG4AQQBwAHAAbABpAGUAZABUAG8AUwBvAGkAbABzAFMAYwBvAHAAZQAzAF8ATABhAHQAZQB4AEUAcQB1AGEAdABpAG8AbgBcAG4AIAAgAD0ATABBAE0AQgBEAEEAKABcACIATQBOAFMAbwBpAGwAXwB7AHMAYwBvAHAAZQAzAH0APQBcAFwAcwB1AG0AXABcAG4AbwBsAGkAbQBpAHQAcwBfAHsAagB9AFwAXABzAHUAbQBcAFwAbgBvAGwAaQBtAGkAdABzAF8AewBtAH0AKABNAE4AXwB7AGoAbQA9ADEALQAxADMAfQBcAFwAdABpAG0AZQBzACAAKAAxAC0ARQBGAF8AewBtAD0AMQAtADEAMwB9AC0ARgByAGEAYwBHAEEAUwBNAF8AewBtAD0AMQAtADEAMwB9ACkALQBNAE4ATABlAGEAYwBoAF8AewBqAG0AfQApAFwAXAB0AGkAbQBlAHMAIAAoADEALQBQAEYAKQBcACIAKQA7AFwAbgBcAG4AVgBFAEUAUgBHAF8ANABfADMAXwAxAF8AOABfAF8AMgBfAE0AYQBzAHMATwBmAE4AaQB0AHIAbwBnAGUAbgBBAHAAcABsAGkAZQBkAFQAbwBTAG8AaQBsAHMAUwBjAG8AcABlADMAXwBBAHIAZwB1AG0AZQBuAHQAcwBcAG4AIAAgAD0ATABBAE0AQgBEAEEAKABcAG4AIAAgACAAIABNAEEASwBFAEEAUgBSAEEAWQAoADUALAAgADIALABcAG4AIAAgACAAIAAgACAATABBAE0AQgBEAEEAKAByACwAYwAsAFwAbgAgACAAIAAgACAAIAAgACAASQBOAEQARQBYACgAewBcAG4AIAAgACAAIAAgACAAIAAgACAAIABcACIATQBOAF8AagBtAFwAIgAsACAAXAAiAHQAbwB0AGEAbAAgAG4AaQB0AHIAbwBnAGUAbgAgAGkAbgAgAGUAYQBjAGgAIABNAE0AUwAgAGYAbwByACAAZABhAGkAcgB5ACAAYwBhAHQAdABsAGUAIABjAGwAYQBzAHMAZQBzACAAKABrAGcAIABOACkAXAAiADsAXABuACAAIAAgACAAIAAgACAAIAAgACAAXAAiAEUARgBfAG0AXAAiACwAIABcACIAZQBtAGkAcwBzAGkAbwBuACAAZgBhAGMAdABvAHIAIABmAG8AcgAgAG4AaQB0AHIAbwB1AHMAIABvAHgAaQBkAGUAIABlAG0AaQBzAHMAaQBvAG4AcwAgAHAAZQByACAATQBNAFMAIAAoAGsAZwAgAE4AMgBPAC0ATgAvAGsAZwAgAE4AKQBcACIAOwBcAG4AIAAgACAAIAAgACAAIAAgACAAIABcACIARgByAGEAYwBHAEEAUwBNAF8AbQBcACIALAAgAFwAIgBmAHIAYQBjAHQAaQBvAG4AIABvAGYAIABOACAAdgBvAGwAYQB0AGkAbABpAHMAZQBkACAAZgByAG8AbQAgAE0ATQBTAFwAIgA7AFwAbgAgACAAIAAgACAAIAAgACAAIAAgAFwAIgBNAE4ATABlAGEAYwBoAF8AagBtAFwAIgAsACAAXAAiAG0AYQBzAHMAIABvAGYAIABOACAAbABvAHMAdAAgAHQAaAByAG8AdQBnAGgAIABsAGUAYQBjAGgAaQBuAGcAIABhAG4AZAAgAHIAdQBuAG8AZgBmACAAZgByAG8AbQAgAGUAYQBjAGgAIABNAE0AUwAgACgAawBnACAATgApAFwAIgA7AFwAbgAgACAAIAAgACAAIAAgACAAIAAgAFwAIgBQAEYAXAAiACwAIABcACIAZgByAGEAYwB0AGkAbwBuACAAbwBmACAAbQBhAG4AdQByAGUAIABhAHAAcABsAGkAZQBkACAAdABvACAAcwBvAGkAbAAgAHcAaQB0AGgAaQBuACAAZgBhAHIAbQAgAGIAbwB1AG4AZABhAHIAeQBcACIAXABuACAAIAAgACAAIAAgACAAIAB9ACwAIAByACwAIABjACkAXABuACAAIAAgACAAIAAgACkAXABuACAAIAAgACAAKQBcAG4AIAAgACkAOwBcAG4AIgB9ACwAewAiAHAAYQB0AGgAIgA6ACIALwBwAHIAbwBqAGUAYwB0AHMALwBNAE0AUwBfAEQAYQBpAHIAeQBfAE0AZQB0AGgAYQBuAGUAXwBFAHEAdQBhAHQAaQBvAG4AcwAiACwAIgB0AGUAeAB0ACIAOgAiAC8AKgBcAG4APQA9AD0APQA9AD0APQA9AD0APQA9AD0APQA9AD0APQA9AD0APQA9AD0APQA9AD0APQA9AD0APQA9AD0APQA9AD0APQA9AD0APQA9AD0APQA9AD0APQA9AD0APQA9AD0APQA9AD0APQA9AD0APQA9AD0APQA9AD0APQA9AD0APQA9AD0APQA9AD0APQA9AD0APQA9AD0APQBcAG4ANAAuADMAOgAgAEQAYQBpAHIAeQBcAG4APQA9AD0APQA9AD0APQA9AD0APQA9AD0APQA9AD0APQA9AD0APQA9AD0APQA9AD0APQA9AD0APQA9AD0APQA9AD0APQA9AD0APQA9AD0APQA9AD0APQA9AD0APQA9AD0APQA9AD0APQA9AD0APQA9AD0APQA9AD0APQA9AD0APQA9AD0APQA9AD0APQA9AD0APQA9AD0APQBcAG4ANAAuADMALgAxAC4AMQAgAE0AZQB0AGgAbwBkACAAMQAgAC0AIABNAGEAbgB1AHIAZQAgAE0AZQB0AGgAYQBuAGUAIABEAGEAaQByAHkAXABuAD0APQA9AD0APQA9AD0APQA9AD0APQA9AD0APQA9AD0APQA9AD0APQA9AD0APQA9AD0APQA9AD0APQA9AD0APQA9AD0APQA9AD0APQA9AD0APQA9AD0APQA9AD0APQA9AD0APQA9AD0APQA9AD0APQA9AD0APQA9AD0APQA9AD0APQA9AD0APQA9AD0APQA9AD0APQA9AD0AXABuACoALwBcAG4AXABuAC8AKgBcAG4ALQAtAC0ALQAtAC0ALQAtAC0ALQAtAC0ALQAtAC0ALQAtAC0ALQAtAC0ALQAtAC0ALQAtAC0ALQAtAC0ALQAtAC0ALQAtAC0ALQAtAFwAbgBWAEUARQBSAEcAXwA0AF8AMwBfADEAXwAxAF8AXwAxAF8AVABvAHQAYQBsAEEAbgBuAHUAYQBsAE0AZQB0AGgAYQBuAGUARgByAG8AbQBNAGEAbgB1AHIAZQBNAGEAbgBhAGcAZQBtAGUAbgB0AFwAbgBUAG8AdABhAGwAIABhAG4AbgB1AGEAbAAgAG0AZQB0AGgAYQBuAGUAIABwAHIAbwBkAHUAYwB0AGkAbwBuACAAZgByAG8AbQAgAG0AYQBuAHUAcgBlACAAbQBhAG4AYQBnAGUAbQBlAG4AdABcAG4ARQBfAEMASAA0AFwAbgB0ACAAQwBIADQAXABuAEUAXwB7AEMASAA0AH0APQAoACgATgBfAHsAagA9ADEALAAyACwANAB9AFwAXAB0AGkAbQBlAHMAIABNAF8AewBqAD0AMQAsADIALAA0ACwAbQB9AFwAXAB0AGkAbQBlAHMAIABEAF8AewBqAD0AMQAsADIALAA0AH0AKQArACgATgBfAHsAagA9ADMALAA1AH0AXABcAHQAaQBtAGUAcwAgAE0AXwB7AGoAPQAzACwANQAsAG0AfQBcAFwAdABpAG0AZQBzACAARABfAHsAagA9ADMALAA1AH0AKQArACgATgBfAHsAagA9ADMALAA1AH0AXABcAHQAaQBtAGUAcwAgAE0AUABXAF8AewBtAGEAbgB1AHIAZQAsAGoAPQAzACwANQB9AFwAXAB0AGkAbQBlAHMAIABEAF8AewBqAD0AMwAsADUAfQApACkAXABcAHQAaQBtAGUAcwAgADEAMABeAHsALQAzAH0AXABuAE4AXwBqADEAMgA0ACAAPQAgAG4AdQBtAGIAZQByACAAbwBmACAAZABhAGkAcgB5ACAAYwBhAHQAdABsAGUAIABpAG4AIABjAGwAYQBzAHMAZQBzACAAagA9ADEALAAyACwANABcAG4ATQBfAGoAMQAyADQAbQAgAD0AIABtAGUAdABoAGEAbgBlACAAcAByAG8AZAB1AGMAdABpAG8AbgAgAGYAcgBvAG0AIABtAGEAbgB1AHIAZQAgAG8AZgAgAHcAZQBhAG4AZQBkACAAZABhAGkAcgB5ACAAYwBhAHQAdABsAGUAIABpAG4AIABjAGwAYQBzAHMAZQBzACAAagA9ADEALAAyACwANAAgAGkAbgAgAE0ATQBTACAAbQAgACgAawBnACAAQwBIADQALwBoAGUAYQBkAC8AZABhAHkAKQBcAG4ARABfAGoAMQAyADQAIAA9ACAAZAB1AHIAYQB0AGkAbwBuACAAbwBmACAAcwB0AGEAeQAgAG8AbgAgAGYAYQByAG0AIABmAG8AcgAgAGMAbABhAHMAcwBlAHMAIABqAD0AMQAsADIALAA0ACAAKABkAGEAeQBzACkAXABuAE4AXwBqADMANQAgAD0AIABuAHUAbQBiAGUAcgAgAG8AZgAgAGQAYQBpAHIAeQAgAGMAYQB0AHQAbABlACAAaQBuACAAYwBsAGEAcwBzAGUAcwAgAGoAPQAzACwANQBcAG4ATQBfAGoAMwA1AG0AIAA9ACAAbQBlAHQAaABhAG4AZQAgAHAAcgBvAGQAdQBjAHQAaQBvAG4AIABmAHIAbwBtACAAbQBhAG4AdQByAGUAIABvAGYAIAB3AGUAYQBuAGUAZAAgAGQAYQBpAHIAeQAgAGMAYQB0AHQAbABlACAAaQBuACAAYwBsAGEAcwBzAGUAcwAgAGoAPQAzACwANQAgAGkAbgAgAE0ATQBTACAAbQAgACgAawBnACAAQwBIADQALwBoAGUAYQBkAC8AZABhAHkAKQBcAG4ARABfAGoAMwA1ACAAPQAgAGQAdQByAGEAdABpAG8AbgAgAG8AZgAgAHMAdABhAHkAIABvAG4AIABmAGEAcgBtACAAZgBvAHIAIABjAGwAYQBzAHMAZQBzACAAagA9ADMALAA1ACAAKABkAGEAeQBzACkAXABuAE0AUABXAF8AbQBhAG4AdQByAGUAXwBqADMANQAgAD0AIABtAGUAdABoAGEAbgBlACAAcAByAG8AZAB1AGMAdABpAG8AbgAgAGYAcgBvAG0AIABtAGEAbgB1AHIAZQAgAG8AZgAgAHAAcgBlAC0AdwBlAGEAbgBlAGQAIABoAGUAaQBmAGUAcgAgAGEAbgBkACAAYgB1AGwAbAAgAGMAYQBsAHYAZQBzACAAKABrAGcAIABDAEgANAAvAGgAZQBhAGQALwBkAGEAeQApAFwAbgAtAC0ALQAtAC0ALQAtAC0ALQAtAC0ALQAtAC0ALQAtAC0ALQAtAC0ALQAtAC0ALQAtAC0ALQAtAC0ALQAtAC0ALQAtAC0ALQAtAC0AXABuACoALwBcAG4AXABuAFYARQBFAFIARwBfADQAXwAzAF8AMQBfADEAXwBfADEAXwBUAG8AdABhAGwAQQBuAG4AdQBhAGwATQBlAHQAaABhAG4AZQBGAHIAbwBtAE0AYQBuAHUAcgBlAE0AYQBuAGEAZwBlAG0AZQBuAHQAXABuACAAIAA9AEwAQQBNAEIARABBACgAXABuACAAIAAgACAATgBfAGoAMQAyADQALAAgAE0AXwBqADEAMgA0AG0ALAAgAEQAXwBqADEAMgA0ACwAIABOAF8AagAzADUALAAgAE0AXwBqADMANQBtACwAIABEAF8AagAzADUALAAgAE0AUABXAF8AbQBhAG4AdQByAGUAXwBqADMANQAsAFwAbgAgACAAIAAgACgAKABOAF8AagAxADIANAAgACoAIABNAF8AagAxADIANABtACAAKgAgAEQAXwBqADEAMgA0ACkAIAArACAAKABOAF8AagAzADUAIAAqACAATQBfAGoAMwA1AG0AIAAqACAARABfAGoAMwA1ACkAIAArACAAKABOAF8AagAzADUAIAAqACAATQBQAFcAXwBtAGEAbgB1AHIAZQBfAGoAMwA1ACAAKgAgAEQAXwBqADMANQApACkAIAAqACAAMQAwACAAXgAgAC0AMwBcAG4AIAAgACkAOwBcAG4AXABuAFYARQBFAFIARwBfADQAXwAzAF8AMQBfADEAXwBfADEAXwBUAG8AdABhAGwAQQBuAG4AdQBhAGwATQBlAHQAaABhAG4AZQBGAHIAbwBtAE0AYQBuAHUAcgBlAE0AYQBuAGEAZwBlAG0AZQBuAHQAVgBhAHIAaQBhAHQAaQBvAG4AXABuACAAIAA9AEwAQQBNAEIARABBACgAXABuACAAIAAgACAATgBfAGoAMQAyADQALAAgAE0AXwBqADEAMgA0AG0ALAAgAEQAXwBqADEAMgA0ACwAIABOAF8AagAzADUALAAgAE0AXwBqADMANQBtACwAIABEAF8AagAzADUALAAgAE0AUABXAF8AbQBhAG4AdQByAGUAXwBqADMANQAsACAARABQAFcAXwBqADMANQAsAFwAbgAgACAAIAAgACgAKABOAF8AagAxADIANAAgACoAIABNAF8AagAxADIANABtACAAKgAgAEQAXwBqADEAMgA0ACkAIAArACAAKABOAF8AagAzADUAIAAqACAATQBfAGoAMwA1AG0AIAAqACAARABfAGoAMwA1ACkAIAArACAAKABOAF8AagAzADUAIAAqACAATQBQAFcAXwBtAGEAbgB1AHIAZQBfAGoAMwA1ACAAKgAgAEQAUABXAF8AagAzADUAKQApACAAKgAgADEAMAAgAF4AIAAtADMAXABuACAAIAApADsAXABuAFwAbgBcAG4AVgBFAEUAUgBHAF8ANABfADMAXwAxAF8AMQBfAF8AMQBfAFQAbwB0AGEAbABBAG4AbgB1AGEAbABNAGUAdABoAGEAbgBlAEYAcgBvAG0ATQBhAG4AdQByAGUATQBhAG4AYQBnAGUAbQBlAG4AdABfAFQAaQB0AGwAZQBcAG4AIAAgAD0ATABBAE0AQgBEAEEAKABcACIAVABvAHQAYQBsACAAYQBuAG4AdQBhAGwAIABtAGUAdABoAGEAbgBlACAAcAByAG8AZAB1AGMAdABpAG8AbgAgAGYAcgBvAG0AIABtAGEAbgB1AHIAZQAgAG0AYQBuAGEAZwBlAG0AZQBuAHQAXAAiACkAOwBcAG4AXABuAFYARQBFAFIARwBfADQAXwAzAF8AMQBfADEAXwBfADEAXwBUAG8AdABhAGwAQQBuAG4AdQBhAGwATQBlAHQAaABhAG4AZQBGAHIAbwBtAE0AYQBuAHUAcgBlAE0AYQBuAGEAZwBlAG0AZQBuAHQAXwBWAGEAcgBpAGEAYgBsAGUAXABuACAAIAA9AEwAQQBNAEIARABBACgAXAAiAEUAXwBDAEgANABcACIAKQA7AFwAbgBcAG4AVgBFAEUAUgBHAF8ANABfADMAXwAxAF8AMQBfAF8AMQBfAFQAbwB0AGEAbABBAG4AbgB1AGEAbABNAGUAdABoAGEAbgBlAEYAcgBvAG0ATQBhAG4AdQByAGUATQBhAG4AYQBnAGUAbQBlAG4AdABfAFUAbgBpAHQAXABuACAAIAA9AEwAQQBNAEIARABBACgAXAAiAHQAIABDAEgANABcACIAKQA7AFwAbgBcAG4AVgBFAEUAUgBHAF8ANABfADMAXwAxAF8AMQBfAF8AMQBfAFQAbwB0AGEAbABBAG4AbgB1AGEAbABNAGUAdABoAGEAbgBlAEYAcgBvAG0ATQBhAG4AdQByAGUATQBhAG4AYQBnAGUAbQBlAG4AdABfAFMAbwB1AHIAYwBlAFwAbgAgACAAPQBMAEEATQBCAEQAQQAoAFwAIgBWAEUARQBSAEcAIAAyADAAMgA2ADoAIAA0AC4AMwAuADEALgAxACwAIABFAHEAdQBhAHQAaQBvAG4AIAAoADEAKQBcACIAKQA7AFwAbgBcAG4AVgBFAEUAUgBHAF8ANABfADMAXwAxAF8AMQBfAF8AMQBfAFQAbwB0AGEAbABBAG4AbgB1AGEAbABNAGUAdABoAGEAbgBlAEYAcgBvAG0ATQBhAG4AdQByAGUATQBhAG4AYQBnAGUAbQBlAG4AdABfAE4ASQBSAFIAZQBmAGUAcgBlAG4AYwBlAFwAbgAgACAAPQBMAEEATQBCAEQAQQAoAFwAIgBcACIAKQA7AFwAbgBcAG4AVgBFAEUAUgBHAF8ANABfADMAXwAxAF8AMQBfAF8AMQBfAFQAbwB0AGEAbABBAG4AbgB1AGEAbABNAGUAdABoAGEAbgBlAEYAcgBvAG0ATQBhAG4AdQByAGUATQBhAG4AYQBnAGUAbQBlAG4AdABfAEwAYQB0AGUAeABFAHEAdQBhAHQAaQBvAG4AXABuACAAIAA9AEwAQQBNAEIARABBACgAXAAiAEUAXwB7AEMASAA0AH0APQBcAFwAcwB1AG0AXABcAG4AbwBsAGkAbQBpAHQAcwBfAHsAagB9AFwAXABzAHUAbQBcAFwAbgBvAGwAaQBtAGkAdABzAF8AewBtAH0AKAAoAE4AXwB7AGoAPQAxACwAMgAsADQAfQBcAFwAdABpAG0AZQBzACAATQBfAHsAagA9ADEALAAyACwANAAsAG0AfQBcAFwAdABpAG0AZQBzACAARABfAHsAagA9ADEALAAyACwANAB9ACkAKwAoAE4AXwB7AGoAPQAzACwANQB9AFwAXAB0AGkAbQBlAHMAIABNAF8AewBqAD0AMwAsADUALABtAH0AXABcAHQAaQBtAGUAcwAgAEQAXwB7AGoAPQAzACwANQB9ACkAKwAoAE4AXwB7AGoAPQAzACwANQB9AFwAXAB0AGkAbQBlAHMAIABNAFAAVwBfAHsAbQBhAG4AdQByAGUALABqAD0AMwAsADUAfQBcAFwAdABpAG0AZQBzACAARABfAHsAagA9ADMALAA1AH0AKQApAFwAXAB0AGkAbQBlAHMAIAAxADAAXgB7AC0AMwB9AFwAIgApADsAXABuAFwAbgBWAEUARQBSAEcAXwA0AF8AMwBfADEAXwAxAF8AXwAxAF8AVABvAHQAYQBsAEEAbgBuAHUAYQBsAE0AZQB0AGgAYQBuAGUARgByAG8AbQBNAGEAbgB1AHIAZQBNAGEAbgBhAGcAZQBtAGUAbgB0AF8ATABhAHQAZQB4AEUAcQB1AGEAdABpAG8AbgBWAGEAcgBpAGEAdABpAG8AbgBcAG4AIAAgAD0ATABBAE0AQgBEAEEAKABcACIARQBfAHsAQwBIADQAfQA9AFwAXABzAHUAbQBcAFwAbgBvAGwAaQBtAGkAdABzAF8AewBqAH0AXABcAHMAdQBtAFwAXABuAG8AbABpAG0AaQB0AHMAXwB7AG0AfQAoACgATgBfAHsAagA9ADEALAAyACwANAB9AFwAXAB0AGkAbQBlAHMAIABNAF8AewBqAD0AMQAsADIALAA0ACwAbQB9AFwAXAB0AGkAbQBlAHMAIABEAF8AewBqAD0AMQAsADIALAA0AH0AKQArACgATgBfAHsAagA9ADMALAA1AH0AXABcAHQAaQBtAGUAcwAgAE0AXwB7AGoAPQAzACwANQAsAG0AfQBcAFwAdABpAG0AZQBzACAARABfAHsAagA9ADMALAA1AH0AKQArACgATgBfAHsAagA9ADMALAA1AH0AXABcAHQAaQBtAGUAcwAgAE0AUABXAF8AewBtAGEAbgB1AHIAZQAsAGoAPQAzACwANQB9AFwAXAB0AGkAbQBlAHMAIABEAFAAVwBfAHsAagA9ADMALAA1AH0AKQApAFwAXAB0AGkAbQBlAHMAIAAxADAAXgB7AC0AMwB9AFwAIgApADsAXABuAFwAbgBWAEUARQBSAEcAXwA0AF8AMwBfADEAXwAxAF8AXwAxAF8AVABvAHQAYQBsAEEAbgBuAHUAYQBsAE0AZQB0AGgAYQBuAGUARgByAG8AbQBNAGEAbgB1AHIAZQBNAGEAbgBhAGcAZQBtAGUAbgB0AF8AQQByAGcAdQBtAGUAbgB0AHMAXABuACAAIAA9AEwAQQBNAEIARABBACgAXABuACAAIAAgACAATQBBAEsARQBBAFIAUgBBAFkAKAA4ACwAIAAyACwAXABuACAAIAAgACAAIAAgAEwAQQBNAEIARABBACgAcgAsAGMALABcAG4AIAAgACAAIAAgACAAIAAgAEkATgBEAEUAWAAoAHsAXABuACAAIAAgACAAIAAgACAAIAAgACAAXAAiAE4AXwBqADEAMgA0AFwAIgAsACAAXAAiAG4AdQBtAGIAZQByACAAbwBmACAAZABhAGkAcgB5ACAAYwBhAHQAdABsAGUAIABpAG4AIABjAGwAYQBzAHMAZQBzACAAagA9ADEALAAyACwANABcACIAOwBcAG4AIAAgACAAIAAgACAAIAAgACAAIABcACIATQBfAGoAMQAyADQAbQBcACIALAAgAFwAIgBtAGUAdABoAGEAbgBlACAAcAByAG8AZAB1AGMAdABpAG8AbgAgAGYAcgBvAG0AIABtAGEAbgB1AHIAZQAgAG8AZgAgAHcAZQBhAG4AZQBkACAAZABhAGkAcgB5ACAAYwBhAHQAdABsAGUAIABpAG4AIABjAGwAYQBzAHMAZQBzACAAagA9ADEALAAyACwANAAgAGkAbgAgAE0ATQBTACAAbQAgACgAawBnACAAQwBIADQALwBoAGUAYQBkAC8AZABhAHkAKQBcACIAOwBcAG4AIAAgACAAIAAgACAAIAAgACAAIABcACIARABfAGoAMQAyADQAXAAiACwAIABcACIAZAB1AHIAYQB0AGkAbwBuACAAbwBmACAAcwB0AGEAeQAgAG8AbgAgAGYAYQByAG0AIABmAG8AcgAgAGMAbABhAHMAcwBlAHMAIABqAD0AMQAsADIALAA0ACAAKABkAGEAeQBzACkAXAAiADsAXABuACAAIAAgACAAIAAgACAAIAAgACAAXAAiAE4AXwBqADMANQBcACIALAAgAFwAIgBuAHUAbQBiAGUAcgAgAG8AZgAgAGQAYQBpAHIAeQAgAGMAYQB0AHQAbABlACAAaQBuACAAYwBsAGEAcwBzAGUAcwAgAGoAPQAzACwANQBcACIAOwBcAG4AIAAgACAAIAAgACAAIAAgACAAIABcACIATQBfAGoAMwA1AG0AXAAiACwAIABcACIAbQBlAHQAaABhAG4AZQAgAHAAcgBvAGQAdQBjAHQAaQBvAG4AIABmAHIAbwBtACAAbQBhAG4AdQByAGUAIABvAGYAIAB3AGUAYQBuAGUAZAAgAGQAYQBpAHIAeQAgAGMAYQB0AHQAbABlACAAaQBuACAAYwBsAGEAcwBzAGUAcwAgAGoAPQAzACwANQAgAGkAbgAgAE0ATQBTACAAbQAgACgAawBnACAAQwBIADQALwBoAGUAYQBkAC8AZABhAHkAKQBcACIAOwBcAG4AIAAgACAAIAAgACAAIAAgACAAIABcACIARABfAGoAMwA1AFwAIgAsACAAXAAiAGQAdQByAGEAdABpAG8AbgAgAG8AZgAgAHMAdABhAHkAIABvAG4AIABmAGEAcgBtACAAZgBvAHIAIABjAGwAYQBzAHMAZQBzACAAagA9ADMALAA1ACAAKABkAGEAeQBzACkAXAAiADsAXABuACAAIAAgACAAIAAgACAAIAAgACAAXAAiAE0AUABXAF8AbQBhAG4AdQByAGUAXwBqADMANQBcACIALAAgAFwAIgBtAGUAdABoAGEAbgBlACAAcAByAG8AZAB1AGMAdABpAG8AbgAgAGYAcgBvAG0AIABtAGEAbgB1AHIAZQAgAG8AZgAgAHAAcgBlAC0AdwBlAGEAbgBlAGQAIABoAGUAaQBmAGUAcgAgAGEAbgBkACAAYgB1AGwAbAAgAGMAYQBsAHYAZQBzACAAKABrAGcAIABDAEgANAAvAGgAZQBhAGQALwBkAGEAeQApAFwAIgA7AFwAbgAgACAAIAAgACAAIAAgACAAIAAgAFwAIgBEAFAAVwBfAGoAMwA1AFwAIgAsACAAXAAiAGQAdQByAGEAdABpAG8AbgAgAG8AZgAgAHMAdABhAHkAIABvAG4AIABmAGEAcgBtACAAZgBvAHIAIABwAHIAZQAtAHcAZQBhAG4AZQBkACAAaABlAGkAZgBlAHIAIABhAG4AZAAgAGIAdQBsAGwAIABjAGEAbAB2AGUAcwAgACgAZABhAHkAcwApAFwAIgBcAG4AIAAgACAAIAAgACAAIAAgAH0ALAAgAHIALAAgAGMAKQBcAG4AIAAgACAAIAAgACAAKQBcAG4AIAAgACAAIAApAFwAbgAgACAAKQA7AFwAbgBcAG4AVgBFAEUAUgBHAF8ANABfADMAXwAxAF8AMQBfAF8AMQBfAFQAbwB0AGEAbABBAG4AbgB1AGEAbABNAGUAdABoAGEAbgBlAEYAcgBvAG0ATQBhAG4AdQByAGUATQBhAG4AYQBnAGUAbQBlAG4AdABfAFYAYQByAGkAYQB0AGkAbwBuAFwAbgAgACAAPQBMAEEATQBCAEQAQQAoAFwAIgBWAEEAUgBJAEEAVABJAE8ATgA6ACAAVQBzAGUAZAAgAHMAZQBwAGEAcgBhAHQAZQAgAHYAYQByAGkAYQBiAGwAZQAgAGYAbwByACAAZAB1AHIAYQB0AGkAbwBuACAAbwBmACAAcwB0AGEAeQAgAG8AbgAgAGYAYQByAG0AIABmAG8AcgAgAHAAcgBlAC0AdwBlAGEAbgBlAGQAIABoAGUAaQBmAGUAcgAgAGEAbgBkACAAYgB1AGwAbAAgAGMAYQBsAHYAZQBzAC4AXAAiACkAOwBcAG4AXABuAC8AKgBcAG4ALQAtAC0ALQAtAC0ALQAtAC0ALQAtAC0ALQAtAC0ALQAtAC0ALQAtAC0ALQAtAC0ALQAtAC0ALQAtAC0ALQAtAC0ALQAtAC0ALQAtAFwAbgBWAEUARQBSAEcAXwA0AF8AMwBfADEAXwAxAF8AXwAyAF8ATQBlAHQAaABhAG4AZQBGAHIAbwBtAE0AYQBuAHUAcgBlAFAAcgBvAGQAdQBjAHQAaQBvAG4AXABuAE0AZQB0AGgAYQBuAGUAIABmAHIAbwBtACAAbQBhAG4AdQByAGUAIABwAHIAbwBkAHUAYwB0AGkAbwBuACAAZgByAG8AbQAgAHcAZQBhAG4AZQBkACAAZABhAGkAcgB5ACAAYwBhAHQAdABsAGUAXABuAE0AXwBqAG0AXABuAGsAZwAgAEMASAA0AC8AaABlAGEAZAAvAGQAYQB5AFwAbgBNAF8AewBqAG0AfQA9AFYAUwBfAGoAXABcAHQAaQBtAGUAcwAgAEYAVgBTAF8AewBqAG0ALABUAD0AMQB9AFwAXAB0AGkAbQBlAHMAIABNAEMARgBfAHsAaQBtAH0AXABcAHQAaQBtAGUAcwAgAEIAXwBvAFwAXAB0AGkAbQBlAHMAIABcAFwAcgBoAG8AXABuAFYAUwBfAGoAIAA9ACAAZABhAGkAbAB5ACAAdgBvAGwAYQB0AGkAbABlACAAcwBvAGwAaQBkAHMAIABwAHIAbwBkAHUAYwB0AGkAbwBuACAAcABlAHIAIABoAGUAYQBkACAAZgBvAHIAIABkAGEAaQByAHkAIABjAGEAdAB0AGwAZQAgACgAawBnAC8AaABlAGEAZAAvAGQAYQB5ACkAXABuAEYAVgBTAF8AagBtAFQAMQAgAD0AIABmAHIAYQBjAHQAaQBvAG4AIABvAGYAIAB3AGEAcwB0AGUAIABmAHIAbwBtACAAZQBhAGMAaAAgAGMAbABhAHMAcwAgAGkAbgAgAGUAYQBjAGgAIABtAGEAbgBhAGcAZQBtAGUAbgB0ACAAcwB5AHMAdABlAG0AXABuAE0AQwBGAF8AaQBtACAAPQAgAG0AZQB0AGgAYQBuAGUAIABjAG8AbgB2AGUAcgBzAGkAbwBuACAAZgBhAGMAdABvAHIAIABmAG8AcgAgAHQAZQBtAHAAZQByAGEAdAB1AHIAZQAgAHoAbwBuAGUAIABhAG4AZAAgAE0ATQBTAFwAbgBCAF8AbwAgAD0AIABlAG0AaQBzAHMAaQBvAG4AcwAgAHAAbwB0AGUAbgB0AGkAYQBsACAAKABtADMAIABDAEgANAAvAGsAZwBWAFMAKQBcAG4AcgBoAG8AIAA9ACAAZABlAG4AcwBpAHQAeQAgAG8AZgAgAG0AZQB0AGgAYQBuAGUAIAAoAGsAZwAvAG0AMwApAFwAbgAtAC0ALQAtAC0ALQAtAC0ALQAtAC0ALQAtAC0ALQAtAC0ALQAtAC0ALQAtAC0ALQAtAC0ALQAtAC0ALQAtAC0ALQAtAC0ALQAtAC0AXABuACoALwBcAG4AXABuAFYARQBFAFIARwBfADQAXwAzAF8AMQBfADEAXwBfADIAXwBNAGUAdABoAGEAbgBlAEYAcgBvAG0ATQBhAG4AdQByAGUAUAByAG8AZAB1AGMAdABpAG8AbgBcAG4AIAAgAD0ATABBAE0AQgBEAEEAKABcAG4AIAAgACAAIABWAFMAXwBqACwAIABGAFYAUwBfAGoAbQBUADEALAAgAE0AQwBGAF8AaQBtACwAIABCAF8AbwAsACAAcgBoAG8ALABcAG4AIAAgACAAIABWAFMAXwBqACAAKgAgAEYAVgBTAF8AagBtAFQAMQAgACoAIABNAEMARgBfAGkAbQAgACoAIABCAF8AbwAgACoAIAByAGgAbwBcAG4AIAAgACkAOwBcAG4AXABuAFYARQBFAFIARwBfADQAXwAzAF8AMQBfADEAXwBfADIAXwBNAGUAdABoAGEAbgBlAEYAcgBvAG0ATQBhAG4AdQByAGUAUAByAG8AZAB1AGMAdABpAG8AbgBfAFQAaQB0AGwAZQBcAG4AIAAgAD0ATABBAE0AQgBEAEEAKABcACIATQBlAHQAaABhAG4AZQAgAGYAcgBvAG0AIABtAGEAbgB1AHIAZQAgAHAAcgBvAGQAdQBjAHQAaQBvAG4AIABmAHIAbwBtACAAdwBlAGEAbgBlAGQAIABkAGEAaQByAHkAIABjAGEAdAB0AGwAZQBcACIAKQA7AFwAbgBcAG4AVgBFAEUAUgBHAF8ANABfADMAXwAxAF8AMQBfAF8AMgBfAE0AZQB0AGgAYQBuAGUARgByAG8AbQBNAGEAbgB1AHIAZQBQAHIAbwBkAHUAYwB0AGkAbwBuAF8AVgBhAHIAaQBhAGIAbABlAFwAbgAgACAAPQBMAEEATQBCAEQAQQAoAFwAIgBNAF8AagBtAFwAIgApADsAXABuAFwAbgBWAEUARQBSAEcAXwA0AF8AMwBfADEAXwAxAF8AXwAyAF8ATQBlAHQAaABhAG4AZQBGAHIAbwBtAE0AYQBuAHUAcgBlAFAAcgBvAGQAdQBjAHQAaQBvAG4AXwBVAG4AaQB0AFwAbgAgACAAPQBMAEEATQBCAEQAQQAoAFwAIgBrAGcAIABDAEgANAAvAGgAZQBhAGQALwBkAGEAeQBcACIAKQA7AFwAbgBcAG4AVgBFAEUAUgBHAF8ANABfADMAXwAxAF8AMQBfAF8AMgBfAE0AZQB0AGgAYQBuAGUARgByAG8AbQBNAGEAbgB1AHIAZQBQAHIAbwBkAHUAYwB0AGkAbwBuAF8AUwBvAHUAcgBjAGUAXABuACAAIAA9AEwAQQBNAEIARABBACgAXAAiAFYARQBFAFIARwAgADIAMAAyADYAOgAgADQALgAzAC4AMQAuADEALAAgAEUAcQB1AGEAdABpAG8AbgAgACgAMgApAFwAIgApADsAXABuAFwAbgBWAEUARQBSAEcAXwA0AF8AMwBfADEAXwAxAF8AXwAyAF8ATQBlAHQAaABhAG4AZQBGAHIAbwBtAE0AYQBuAHUAcgBlAFAAcgBvAGQAdQBjAHQAaQBvAG4AXwBOAEkAUgBSAGUAZgBlAHIAZQBuAGMAZQBcAG4AIAAgAD0ATABBAE0AQgBEAEEAKABcACIAXAAiACkAOwBcAG4AXABuAFYARQBFAFIARwBfADQAXwAzAF8AMQBfADEAXwBfADIAXwBNAGUAdABoAGEAbgBlAEYAcgBvAG0ATQBhAG4AdQByAGUAUAByAG8AZAB1AGMAdABpAG8AbgBfAEwAYQB0AGUAeABFAHEAdQBhAHQAaQBvAG4AXABuACAAIAA9AEwAQQBNAEIARABBACgAXAAiAE0AXwB7AGoAbQB9AD0AVgBTAF8AagBcAFwAdABpAG0AZQBzACAARgBWAFMAXwB7AGoAbQAsAFQAPQAxAH0AXABcAHQAaQBtAGUAcwAgAE0AQwBGAF8AewBpAG0AfQBcAFwAdABpAG0AZQBzACAAQgBfAG8AXABcAHQAaQBtAGUAcwAgAFwAXAByAGgAbwBcACIAKQA7AFwAbgBcAG4AVgBFAEUAUgBHAF8ANABfADMAXwAxAF8AMQBfAF8AMgBfAE0AZQB0AGgAYQBuAGUARgByAG8AbQBNAGEAbgB1AHIAZQBQAHIAbwBkAHUAYwB0AGkAbwBuAF8AQQByAGcAdQBtAGUAbgB0AHMAXABuACAAIAA9AEwAQQBNAEIARABBACgAXABuACAAIAAgACAATQBBAEsARQBBAFIAUgBBAFkAKAA2ACwAIAAyACwAXABuACAAIAAgACAAIAAgAEwAQQBNAEIARABBACgAcgAsAGMALABcAG4AIAAgACAAIAAgACAAIAAgAEkATgBEAEUAWAAoAHsAXABuACAAIAAgACAAIAAgACAAIAAgACAAXAAiAFYAUwBfAGoAXAAiACwAIABcACIAZABhAGkAbAB5ACAAdgBvAGwAYQB0AGkAbABlACAAcwBvAGwAaQBkAHMAIABwAHIAbwBkAHUAYwB0AGkAbwBuACAAcABlAHIAIABoAGUAYQBkACAAZgBvAHIAIABkAGEAaQByAHkAIABjAGEAdAB0AGwAZQAgACgAawBnAC8AaABlAGEAZAAvAGQAYQB5ACkAXAAiADsAXABuACAAIAAgACAAIAAgACAAIAAgACAAXAAiAEYAVgBTAF8AagBtAFQAMQBcACIALAAgAFwAIgBmAHIAYQBjAHQAaQBvAG4AIABvAGYAIAB3AGEAcwB0AGUAIABmAHIAbwBtACAAZQBhAGMAaAAgAGMAbABhAHMAcwAgAGkAbgAgAGUAYQBjAGgAIABtAGEAbgBhAGcAZQBtAGUAbgB0ACAAcwB5AHMAdABlAG0AXAAiADsAXABuACAAIAAgACAAIAAgACAAIAAgACAAXAAiAE0AQwBGAF8AaQBtAFwAIgAsACAAXAAiAG0AZQB0AGgAYQBuAGUAIABjAG8AbgB2AGUAcgBzAGkAbwBuACAAZgBhAGMAdABvAHIAIABmAG8AcgAgAHQAZQBtAHAAZQByAGEAdAB1AHIAZQAgAHoAbwBuAGUAIABhAG4AZAAgAE0ATQBTAFwAIgA7AFwAbgAgACAAIAAgACAAIAAgACAAIAAgAFwAIgBCAF8AbwBcACIALAAgAFwAIgBlAG0AaQBzAHMAaQBvAG4AcwAgAHAAbwB0AGUAbgB0AGkAYQBsACAAKABtADMAIABDAEgANAAvAGsAZwBWAFMAKQBcACIAOwBcAG4AIAAgACAAIAAgACAAIAAgACAAIABcACIAcgBoAG8AXAAiACwAIABcACIAZABlAG4AcwBpAHQAeQAgAG8AZgAgAG0AZQB0AGgAYQBuAGUAIAAoAGsAZwAvAG0AMwApAFwAIgA7AFwAbgAgACAAIAAgACAAIAAgACAAIAAgAFwAIgBpAFwAIgAsACAAXAAiAHMAdABhAHQAZQBcACIAXABuACAAIAAgACAAIAAgACAAIAB9ACwAIAByACwAIABjACkAXABuACAAIAAgACAAIAAgACkAXABuACAAIAAgACAAKQBcAG4AIAAgACkAOwBcAG4AXABuAC8AKgBcAG4ALQAtAC0ALQAtAC0ALQAtAC0ALQAtAC0ALQAtAC0ALQAtAC0ALQAtAC0ALQAtAC0ALQAtAC0ALQAtAC0ALQAtAC0ALQAtAC0ALQAtAFwAbgBWAEUARQBSAEcAXwA0AF8AMwBfADEAXwAxAF8AXwAzAF8AVgBvAGwAYQB0AGkAbABlAFMAbwBsAGkAZABzAEYAbwByAFcAZQBhAG4AZQBkAEQAYQBpAHIAeQBDAGEAdAB0AGwAZQBcAG4AVgBvAGwAYQB0AGkAbABlACAAcwBvAGwAaQBkAHMAIABmAG8AcgAgAHcAZQBhAG4AZQBkACAAZABhAGkAcgB5ACAAYwBhAHQAdABsAGUAXABuAFYAUwBfAGoAXABuAGsAZwAvAGgAZQBhAGQALwBkAGEAeQBcAG4AVgBTAF8AagA9ACgASQBfAGoAXABcAHQAaQBtAGUAcwAgACgAMQAtAEQATQBEAF8AagApACsAKAAwAC4AMAA0AFwAXAB0AGkAbQBlAHMAIABJAF8AagApACkAXABcAHQAaQBtAGUAcwAgACgAMQAtAEEAKQBcAG4ASQBfAGoAIAA9ACAAZAByAHkAIABtAGEAdAB0AGUAcgAgAGYAZQBlAGQAIABpAG4AdABhAGsAZQAgACgAawBnAEQATQAvAGgAZQBhAGQALwBkAGEAeQApAFwAbgBEAE0ARABfAGoAIAA9ACAAZAByAHkAIABtAGEAdAB0AGUAcgAgAGQAaQBnAGUAcwB0AGkAYgBpAGwAaQB0AHkAXABuAEEAIAA9ACAAYQBzAGgAIABjAG8AbgB0AGUAbgB0ACAAbwBmACAAZgBlAGUAZAAgAGkAbgB0AGEAawBlAFwAbgAtAC0ALQAtAC0ALQAtAC0ALQAtAC0ALQAtAC0ALQAtAC0ALQAtAC0ALQAtAC0ALQAtAC0ALQAtAC0ALQAtAC0ALQAtAC0ALQAtAC0AXABuACoALwBcAG4AXABuAFYARQBFAFIARwBfADQAXwAzAF8AMQBfADEAXwBfADMAXwBWAG8AbABhAHQAaQBsAGUAUwBvAGwAaQBkAHMARgBvAHIAVwBlAGEAbgBlAGQARABhAGkAcgB5AEMAYQB0AHQAbABlAFwAbgAgACAAPQBMAEEATQBCAEQAQQAoAFwAbgAgACAAIAAgAEkAXwBqACwAIABEAE0ARABfAGoALAAgAEEALABcAG4AIAAgACAAIAAoAEkAXwBqACAAKgAgACgAMQAgAC0AIABEAE0ARABfAGoAKQAgACsAIAAoADAALgAwADQAIAAqACAASQBfAGoAKQApACAAKgAgACgAMQAgAC0AIABBACkAXABuACAAIAApADsAXABuAFwAbgBWAEUARQBSAEcAXwA0AF8AMwBfADEAXwAxAF8AXwAzAF8AVgBvAGwAYQB0AGkAbABlAFMAbwBsAGkAZABzAEYAbwByAFcAZQBhAG4AZQBkAEQAYQBpAHIAeQBDAGEAdAB0AGwAZQBfAFQAaQB0AGwAZQBcAG4AIAAgAD0ATABBAE0AQgBEAEEAKABcACIAVgBvAGwAYQB0AGkAbABlACAAcwBvAGwAaQBkAHMAIABmAG8AcgAgAHcAZQBhAG4AZQBkACAAZABhAGkAcgB5ACAAYwBhAHQAdABsAGUAXAAiACkAOwBcAG4AXABuAFYARQBFAFIARwBfADQAXwAzAF8AMQBfADEAXwBfADMAXwBWAG8AbABhAHQAaQBsAGUAUwBvAGwAaQBkAHMARgBvAHIAVwBlAGEAbgBlAGQARABhAGkAcgB5AEMAYQB0AHQAbABlAF8AVgBhAHIAaQBhAGIAbABlAFwAbgAgACAAPQBMAEEATQBCAEQAQQAoAFwAIgBWAFMAXwBqAFwAIgApADsAXABuAFwAbgBWAEUARQBSAEcAXwA0AF8AMwBfADEAXwAxAF8AXwAzAF8AVgBvAGwAYQB0AGkAbABlAFMAbwBsAGkAZABzAEYAbwByAFcAZQBhAG4AZQBkAEQAYQBpAHIAeQBDAGEAdAB0AGwAZQBfAFUAbgBpAHQAXABuACAAIAA9AEwAQQBNAEIARABBACgAXAAiAGsAZwAvAGgAZQBhAGQALwBkAGEAeQBcACIAKQA7AFwAbgBcAG4AVgBFAEUAUgBHAF8ANABfADMAXwAxAF8AMQBfAF8AMwBfAFYAbwBsAGEAdABpAGwAZQBTAG8AbABpAGQAcwBGAG8AcgBXAGUAYQBuAGUAZABEAGEAaQByAHkAQwBhAHQAdABsAGUAXwBTAG8AdQByAGMAZQBcAG4AIAAgAD0ATABBAE0AQgBEAEEAKABcACIAVgBFAEUAUgBHACAAMgAwADIANgA6ACAANAAuADMALgAxAC4AMQAsACAARQBxAHUAYQB0AGkAbwBuACAAKAAzACkAXAAiACkAOwBcAG4AXABuAFYARQBFAFIARwBfADQAXwAzAF8AMQBfADEAXwBfADMAXwBWAG8AbABhAHQAaQBsAGUAUwBvAGwAaQBkAHMARgBvAHIAVwBlAGEAbgBlAGQARABhAGkAcgB5AEMAYQB0AHQAbABlAF8ATgBJAFIAUgBlAGYAZQByAGUAbgBjAGUAXABuACAAIAA9AEwAQQBNAEIARABBACgAXAAiAFwAIgApADsAXABuAFwAbgBWAEUARQBSAEcAXwA0AF8AMwBfADEAXwAxAF8AXwAzAF8AVgBvAGwAYQB0AGkAbABlAFMAbwBsAGkAZABzAEYAbwByAFcAZQBhAG4AZQBkAEQAYQBpAHIAeQBDAGEAdAB0AGwAZQBfAEwAYQB0AGUAeABFAHEAdQBhAHQAaQBvAG4AXABuACAAIAA9AEwAQQBNAEIARABBACgAXAAiAFYAUwBfAGoAPQAoAEkAXwBqAFwAXAB0AGkAbQBlAHMAIAAoADEALQBEAE0ARABfAGoAKQArACgAMAAuADAANABcAFwAdABpAG0AZQBzACAASQBfAGoAKQApAFwAXAB0AGkAbQBlAHMAIAAoADEALQBBACkAXAAiACkAOwBcAG4AXABuAFYARQBFAFIARwBfADQAXwAzAF8AMQBfADEAXwBfADMAXwBWAG8AbABhAHQAaQBsAGUAUwBvAGwAaQBkAHMARgBvAHIAVwBlAGEAbgBlAGQARABhAGkAcgB5AEMAYQB0AHQAbABlAF8AQQByAGcAdQBtAGUAbgB0AHMAXABuACAAIAA9AEwAQQBNAEIARABBACgAXABuACAAIAAgACAATQBBAEsARQBBAFIAUgBBAFkAKAAzACwAIAAyACwAXABuACAAIAAgACAAIAAgAEwAQQBNAEIARABBACgAcgAsAGMALABcAG4AIAAgACAAIAAgACAAIAAgAEkATgBEAEUAWAAoAHsAXABuACAAIAAgACAAIAAgACAAIAAgACAAXAAiAEkAXwBqAFwAIgAsACAAXAAiAGQAcgB5ACAAbQBhAHQAdABlAHIAIABmAGUAZQBkACAAaQBuAHQAYQBrAGUAIAAoAGsAZwBEAE0ALwBoAGUAYQBkAC8AZABhAHkAKQBcACIAOwBcAG4AIAAgACAAIAAgACAAIAAgACAAIABcACIARABNAEQAXwBqAFwAIgAsACAAXAAiAGQAcgB5ACAAbQBhAHQAdABlAHIAIABkAGkAZwBlAHMAdABpAGIAaQBsAGkAdAB5AFwAIgA7AFwAbgAgACAAIAAgACAAIAAgACAAIAAgAFwAIgBBAFwAIgAsACAAXAAiAGEAcwBoACAAYwBvAG4AdABlAG4AdAAgAG8AZgAgAGYAZQBlAGQAIABpAG4AdABhAGsAZQBcACIAXABuACAAIAAgACAAIAAgACAAIAB9ACwAIAByACwAIABjACkAXABuACAAIAAgACAAIAAgACkAXABuACAAIAAgACAAKQBcAG4AIAAgACkAOwBcAG4AXABuAC8AKgBcAG4ALQAtAC0ALQAtAC0ALQAtAC0ALQAtAC0ALQAtAC0ALQAtAC0ALQAtAC0ALQAtAC0ALQAtAC0ALQAtAC0ALQAtAC0ALQAtAC0ALQAtAFwAbgBWAEUARQBSAEcAXwA0AF8AMwBfADEAXwAxAF8AXwA0AF8ARgByAGEAYwB0AGkAbwBuAFYAbwBsAGEAdABpAGwAZQBTAG8AbABpAGQAcwBOAG8AdABTAG8AbABpAGQAUwB0AG8AcgBhAGcAZQBcAG4ARgByAGEAYwB0AGkAbwBuACAAbwBmACAAdgBvAGwAYQB0AGkAbABlACAAcwBvAGwAaQBkAHMAIABpAG4AIABlAGEAYwBoACAAcwB5AHMAdABlAG0AIABvAHQAaABlAHIAIAB0AGgAYQBuACAAcwBvAGwAaQBkACAAcwB0AG8AcgBhAGcAZQBcAG4ARgBWAFMAXwBqAG0AXABuAGYAcgBhAGMAdABpAG8AbgBcAG4ARgBWAFMAXwB7AGoAbQB9AD0ATQBNAFMAXwB7AGoAbQB9AFwAXAB0AGkAbQBlAHMAIAAoADEALQBTAFMAXwBtACkAXABuAFMAUwBfAG0AIAA9ACAAZgByAGEAYwB0AGkAbwBuACAAbwBmACAAdgBvAGwAYQB0AGkAbABlACAAcwBvAGwAaQBkAHMAIABzAGUAcABhAHIAYQB0AGUAZAAgAHQAbwAgAHMAbwBsAGkAZAAgAHMAdABvAHIAYQBnAGUAIABmAG8AcgAgAGUAYQBjAGgAIABNAE0AUwBcAG4ATQBNAFMAXwBqAG0AIAA9ACAAZgByAGEAYwB0AGkAbwBuACAAbwBmACAAbQBhAG4AdQByAGUAIAB0AG8AIABlAGEAYwBoACAAcAByAGkAbQBhAHIAeQAgAE0ATQBTACAAZgBvAHIAIABlAGEAYwBoACAAYwBsAGEAcwBzACAAcAByAGkAbwByACAAdABvACAAcwBvAGwAaQBkACAAcwBlAHAAYQByAGEAdABpAG8AbgBcAG4ALQAtAC0ALQAtAC0ALQAtAC0ALQAtAC0ALQAtAC0ALQAtAC0ALQAtAC0ALQAtAC0ALQAtAC0ALQAtAC0ALQAtAC0ALQAtAC0ALQAtAFwAbgAqAC8AXABuAFwAbgBWAEUARQBSAEcAXwA0AF8AMwBfADEAXwAxAF8AXwA0AF8ARgByAGEAYwB0AGkAbwBuAFYAbwBsAGEAdABpAGwAZQBTAG8AbABpAGQAcwBOAG8AdABTAG8AbABpAGQAUwB0AG8AcgBhAGcAZQBcAG4AIAAgAD0ATABBAE0AQgBEAEEAKABcAG4AIAAgACAAIABNAE0AUwBfAGoAbQAsACAAUwBTAF8AbQAsAFwAbgAgACAAIAAgAE0ATQBTAF8AagBtACAAKgAgACgAMQAgAC0AIABTAFMAXwBtACkAXABuACAAIAApADsAXABuAFwAbgBWAEUARQBSAEcAXwA0AF8AMwBfADEAXwAxAF8AXwA0AF8ARgByAGEAYwB0AGkAbwBuAFYAbwBsAGEAdABpAGwAZQBTAG8AbABpAGQAcwBOAG8AdABTAG8AbABpAGQAUwB0AG8AcgBhAGcAZQBfAFQAaQB0AGwAZQBcAG4AIAAgAD0ATABBAE0AQgBEAEEAKABcACIARgByAGEAYwB0AGkAbwBuACAAbwBmACAAdgBvAGwAYQB0AGkAbABlACAAcwBvAGwAaQBkAHMAIABpAG4AIABlAGEAYwBoACAAcwB5AHMAdABlAG0AIABvAHQAaABlAHIAIAB0AGgAYQBuACAAcwBvAGwAaQBkACAAcwB0AG8AcgBhAGcAZQBcACIAKQA7AFwAbgBcAG4AVgBFAEUAUgBHAF8ANABfADMAXwAxAF8AMQBfAF8ANABfAEYAcgBhAGMAdABpAG8AbgBWAG8AbABhAHQAaQBsAGUAUwBvAGwAaQBkAHMATgBvAHQAUwBvAGwAaQBkAFMAdABvAHIAYQBnAGUAXwBWAGEAcgBpAGEAYgBsAGUAXABuACAAIAA9AEwAQQBNAEIARABBACgAXAAiAEYAVgBTAF8AagBtAFwAIgApADsAXABuAFwAbgBWAEUARQBSAEcAXwA0AF8AMwBfADEAXwAxAF8AXwA0AF8ARgByAGEAYwB0AGkAbwBuAFYAbwBsAGEAdABpAGwAZQBTAG8AbABpAGQAcwBOAG8AdABTAG8AbABpAGQAUwB0AG8AcgBhAGcAZQBfAFUAbgBpAHQAXABuACAAIAA9AEwAQQBNAEIARABBACgAXAAiAGYAcgBhAGMAdABpAG8AbgBcACIAKQA7AFwAbgBcAG4AVgBFAEUAUgBHAF8ANABfADMAXwAxAF8AMQBfAF8ANABfAEYAcgBhAGMAdABpAG8AbgBWAG8AbABhAHQAaQBsAGUAUwBvAGwAaQBkAHMATgBvAHQAUwBvAGwAaQBkAFMAdABvAHIAYQBnAGUAXwBTAG8AdQByAGMAZQBcAG4AIAAgAD0ATABBAE0AQgBEAEEAKABcACIAVgBFAEUAUgBHACAAMgAwADIANgA6ACAANAAuADMALgAxAC4AMQAsACAARQBxAHUAYQB0AGkAbwBuACAAKAA0ACkAXAAiACkAOwBcAG4AXABuAFYARQBFAFIARwBfADQAXwAzAF8AMQBfADEAXwBfADQAXwBGAHIAYQBjAHQAaQBvAG4AVgBvAGwAYQB0AGkAbABlAFMAbwBsAGkAZABzAE4AbwB0AFMAbwBsAGkAZABTAHQAbwByAGEAZwBlAF8ATgBJAFIAUgBlAGYAZQByAGUAbgBjAGUAXABuACAAIAA9AEwAQQBNAEIARABBACgAXAAiAFwAIgApADsAXABuAFwAbgBWAEUARQBSAEcAXwA0AF8AMwBfADEAXwAxAF8AXwA0AF8ARgByAGEAYwB0AGkAbwBuAFYAbwBsAGEAdABpAGwAZQBTAG8AbABpAGQAcwBOAG8AdABTAG8AbABpAGQAUwB0AG8AcgBhAGcAZQBfAEwAYQB0AGUAeABFAHEAdQBhAHQAaQBvAG4AXABuACAAIAA9AEwAQQBNAEIARABBACgAXAAiAEYAVgBTAF8AewBqAG0AfQA9AE0ATQBTAF8AewBqAG0AfQBcAFwAdABpAG0AZQBzACAAKAAxAC0AUwBTAF8AbQApAFwAIgApADsAXABuAFwAbgBWAEUARQBSAEcAXwA0AF8AMwBfADEAXwAxAF8AXwA0AF8ARgByAGEAYwB0AGkAbwBuAFYAbwBsAGEAdABpAGwAZQBTAG8AbABpAGQAcwBOAG8AdABTAG8AbABpAGQAUwB0AG8AcgBhAGcAZQBfAEEAcgBnAHUAbQBlAG4AdABzAFwAbgAgACAAPQBMAEEATQBCAEQAQQAoAFwAbgAgACAAIAAgAE0AQQBLAEUAQQBSAFIAQQBZACgAMgAsACAAMgAsAFwAbgAgACAAIAAgACAAIABMAEEATQBCAEQAQQAoAHIALABjACwAXABuACAAIAAgACAAIAAgACAAIABJAE4ARABFAFgAKAB7AFwAbgAgACAAIAAgACAAIAAgACAAIAAgAFwAIgBNAE0AUwBfAGoAbQBcACIALAAgAFwAIgBmAHIAYQBjAHQAaQBvAG4AIABvAGYAIABtAGEAbgB1AHIAZQAgAHQAbwAgAGUAYQBjAGgAIABwAHIAaQBtAGEAcgB5ACAATQBNAFMAIABmAG8AcgAgAGUAYQBjAGgAIABjAGwAYQBzAHMAIABwAHIAaQBvAHIAIAB0AG8AIABzAG8AbABpAGQAIABzAGUAcABhAHIAYQB0AGkAbwBuAFwAIgA7AFwAbgAgACAAIAAgACAAIAAgACAAIAAgAFwAIgBTAFMAXwBtAFwAIgAsACAAXAAiAGYAcgBhAGMAdABpAG8AbgAgAG8AZgAgAHYAbwBsAGEAdABpAGwAZQAgAHMAbwBsAGkAZABzACAAcwBlAHAAYQByAGEAdABlAGQAIAB0AG8AIABzAG8AbABpAGQAIABzAHQAbwByAGEAZwBlACAAZgBvAHIAIABlAGEAYwBoACAATQBNAFMAXAAiAFwAbgAgACAAIAAgACAAIAAgACAAfQAsACAAcgAsACAAYwApAFwAbgAgACAAIAAgACAAIAApAFwAbgAgACAAIAAgACkAXABuACAAIAApADsAXABuAFwAbgAvACoAXABuAC0ALQAtAC0ALQAtAC0ALQAtAC0ALQAtAC0ALQAtAC0ALQAtAC0ALQAtAC0ALQAtAC0ALQAtAC0ALQAtAC0ALQAtAC0ALQAtAC0ALQBcAG4AVgBFAEUAUgBHAF8ANABfADMAXwAxAF8AMQBfAF8ANQBfAEYAcgBhAGMAdABpAG8AbgBWAG8AbABhAHQAaQBsAGUAUwBvAGwAaQBkAHMAUwBvAGwAaQBkAFMAdABvAHIAYQBnAGUAXABuAEYAcgBhAGMAdABpAG8AbgAgAG8AZgAgAHYAbwBsAGEAdABpAGwAZQAgAHMAbwBsAGkAZABzACAAaQBuACAAcwBvAGwAaQBkACAAcwB0AG8AcgBhAGcAZQBcAG4ARgBWAFMAXwBqAG0ANABcAG4AZgByAGEAYwB0AGkAbwBuAFwAbgBGAFYAUwBfAHsAagBtAD0ANAB9AD0ATQBNAFMAXwB7AGoAbQA9ADQAfQArACgATQBNAFMAXwB7AGoAbQA9ADEALAA3ACwAOQB9AFwAXAB0AGkAbQBlAHMAIABTAFMAXwBtACkAXABuAE0ATQBTAF8AagBtADQAIAA9ACAAZgByAGEAYwB0AGkAbwBuACAAbwBmACAAdgBvAGwAYQB0AGkAbABlACAAcwBvAGwAaQBkAHMAIABpAG4AIABzAG8AbABpAGQAIABzAHQAbwByAGEAZwBlACAAYgBlAGYAbwByAGUAIAB0AHIAYQBuAHMAZgBlAHIAXABuAE0ATQBTAF8AagBtADEANwA5ACAAPQAgAGYAcgBhAGMAdABpAG8AbgAgAG8AZgAgAHYAbwBsAGEAdABpAGwAZQAgAHMAbwBsAGkAZABzACAAaQBuACAATQBNAFMAIABtAD0AMQAsADcALAA5ACAAYgBlAGYAbwByAGUAIAB0AHIAYQBuAHMAZgBlAHIAXABuAFMAUwBfAG0AIAA9ACAAZgByAGEAYwB0AGkAbwBuACAAbwBmACAAdgBvAGwAYQB0AGkAbABlACAAcwBvAGwAaQBkAHMAIABzAGUAcABhAHIAYQB0AGUAZAAgAHQAbwAgAHMAbwBsAGkAZAAgAHMAdABvAHIAYQBnAGUAIABmAG8AcgAgAGUAYQBjAGgAIABNAE0AUwBcAG4ALQAtAC0ALQAtAC0ALQAtAC0ALQAtAC0ALQAtAC0ALQAtAC0ALQAtAC0ALQAtAC0ALQAtAC0ALQAtAC0ALQAtAC0ALQAtAC0ALQAtAFwAbgAqAC8AXABuAFwAbgBWAEUARQBSAEcAXwA0AF8AMwBfADEAXwAxAF8AXwA1AF8ARgByAGEAYwB0AGkAbwBuAFYAbwBsAGEAdABpAGwAZQBTAG8AbABpAGQAcwBTAG8AbABpAGQAUwB0AG8AcgBhAGcAZQBcAG4AIAAgAD0ATABBAE0AQgBEAEEAKABcAG4AIAAgACAAIABNAE0AUwBfAGoAbQA0ACwAIABNAE0AUwBfAGoAbQAxADcAOQAsACAAUwBTAF8AbQAsAFwAbgAgACAAIAAgAE0ATQBTAF8AagBtADQAIAArACAAKABNAE0AUwBfAGoAbQAxADcAOQAgACoAIABTAFMAXwBtACkAXABuACAAIAApADsAXABuAFwAbgBWAEUARQBSAEcAXwA0AF8AMwBfADEAXwAxAF8AXwA1AF8ARgByAGEAYwB0AGkAbwBuAFYAbwBsAGEAdABpAGwAZQBTAG8AbABpAGQAcwBTAG8AbABpAGQAUwB0AG8AcgBhAGcAZQBWAGEAcgBpAGEAdABpAG8AbgBcAG4AIAAgAD0ATABBAE0AQgBEAEEAKABcAG4AIAAgACAAIABNAE0AUwBfAGoAbQA0ACwAIABNAE0AUwBfAGoAbQAxACwAIABNAE0AUwBfAGoAbQA3ACwAIABNAE0AUwBfAGoAbQA5ACwAIABTAFMAXwBtADEALAAgAFMAUwBfAG0ANwAsACAAUwBTAF8AbQA5ACwAXABuACAAIAAgACAATQBNAFMAXwBqAG0ANAAgACsAIAAoAE0ATQBTAF8AagBtADEAIAAqACAAUwBTAF8AbQAxACkAIAArACAAKABNAE0AUwBfAGoAbQA3ACAAKgAgAFMAUwBfAG0ANwApACAAKwAgACgATQBNAFMAXwBqAG0AOQAgACoAIABTAFMAXwBtADkAKQBcAG4AIAAgACkAOwBcAG4AXABuAFwAbgBWAEUARQBSAEcAXwA0AF8AMwBfADEAXwAxAF8AXwA1AF8ARgByAGEAYwB0AGkAbwBuAFYAbwBsAGEAdABpAGwAZQBTAG8AbABpAGQAcwBTAG8AbABpAGQAUwB0AG8AcgBhAGcAZQBfAFQAaQB0AGwAZQBcAG4AIAAgAD0ATABBAE0AQgBEAEEAKABcACIARgByAGEAYwB0AGkAbwBuACAAbwBmACAAdgBvAGwAYQB0AGkAbABlACAAcwBvAGwAaQBkAHMAIABpAG4AIABzAG8AbABpAGQAIABzAHQAbwByAGEAZwBlAFwAIgApADsAXABuAFwAbgBWAEUARQBSAEcAXwA0AF8AMwBfADEAXwAxAF8AXwA1AF8ARgByAGEAYwB0AGkAbwBuAFYAbwBsAGEAdABpAGwAZQBTAG8AbABpAGQAcwBTAG8AbABpAGQAUwB0AG8AcgBhAGcAZQBfAFYAYQByAGkAYQBiAGwAZQBcAG4AIAAgAD0ATABBAE0AQgBEAEEAKABcACIARgBWAFMAXwBqAG0ANABcACIAKQA7AFwAbgBcAG4AVgBFAEUAUgBHAF8ANABfADMAXwAxAF8AMQBfAF8ANQBfAEYAcgBhAGMAdABpAG8AbgBWAG8AbABhAHQAaQBsAGUAUwBvAGwAaQBkAHMAUwBvAGwAaQBkAFMAdABvAHIAYQBnAGUAXwBVAG4AaQB0AFwAbgAgACAAPQBMAEEATQBCAEQAQQAoAFwAIgBmAHIAYQBjAHQAaQBvAG4AXAAiACkAOwBcAG4AXABuAFYARQBFAFIARwBfADQAXwAzAF8AMQBfADEAXwBfADUAXwBGAHIAYQBjAHQAaQBvAG4AVgBvAGwAYQB0AGkAbABlAFMAbwBsAGkAZABzAFMAbwBsAGkAZABTAHQAbwByAGEAZwBlAF8AUwBvAHUAcgBjAGUAXABuACAAIAA9AEwAQQBNAEIARABBACgAXAAiAFYARQBFAFIARwAgADIAMAAyADYAOgAgADQALgAzAC4AMQAuADEALAAgAEUAcQB1AGEAdABpAG8AbgAgACgANQApAFwAIgApADsAXABuAFwAbgBWAEUARQBSAEcAXwA0AF8AMwBfADEAXwAxAF8AXwA1AF8ARgByAGEAYwB0AGkAbwBuAFYAbwBsAGEAdABpAGwAZQBTAG8AbABpAGQAcwBTAG8AbABpAGQAUwB0AG8AcgBhAGcAZQBfAE4ASQBSAFIAZQBmAGUAcgBlAG4AYwBlAFwAbgAgACAAPQBMAEEATQBCAEQAQQAoAFwAIgBcACIAKQA7AFwAbgBcAG4AVgBFAEUAUgBHAF8ANABfADMAXwAxAF8AMQBfAF8ANQBfAEYAcgBhAGMAdABpAG8AbgBWAG8AbABhAHQAaQBsAGUAUwBvAGwAaQBkAHMAUwBvAGwAaQBkAFMAdABvAHIAYQBnAGUAXwBMAGEAdABlAHgARQBxAHUAYQB0AGkAbwBuAFwAbgAgACAAPQBMAEEATQBCAEQAQQAoAFwAIgBGAFYAUwBfAHsAagBtAD0ANAB9AD0ATQBNAFMAXwB7AGoAbQA9ADQAfQArACgATQBNAFMAXwB7AGoAbQA9ADEALAA3ACwAOQB9AFwAXAB0AGkAbQBlAHMAIABTAFMAXwBtACkAXAAiACkAOwBcAG4AXABuAFYARQBFAFIARwBfADQAXwAzAF8AMQBfADEAXwBfADUAXwBGAHIAYQBjAHQAaQBvAG4AVgBvAGwAYQB0AGkAbABlAFMAbwBsAGkAZABzAFMAbwBsAGkAZABTAHQAbwByAGEAZwBlAF8ATABhAHQAZQB4AEUAcQB1AGEAdABpAG8AbgBWAGEAcgBpAGEAdABpAG8AbgBcAG4AIAAgAD0ATABBAE0AQgBEAEEAKABcACIARgBWAFMAXwB7AGoAbQA9ADQAfQA9AE0ATQBTAF8AewBqAG0APQA0AH0AKwAoAE0ATQBTAF8AewBqAG0APQAxAH0AXABcAHQAaQBtAGUAcwAgAFMAUwBfAHsAbQA9ADEAfQApACsAKABNAE0AUwBfAHsAagBtAD0ANwB9AFwAXAB0AGkAbQBlAHMAIABTAFMAXwB7AG0APQA3AH0AKQArACgATQBNAFMAXwB7AGoAbQA9ADkAfQBcAFwAdABpAG0AZQBzACAAUwBTAF8AewBtAD0AOQB9ACkAXAAiACkAOwBcAG4AXABuAFYARQBFAFIARwBfADQAXwAzAF8AMQBfADEAXwBfADUAXwBGAHIAYQBjAHQAaQBvAG4AVgBvAGwAYQB0AGkAbABlAFMAbwBsAGkAZABzAFMAbwBsAGkAZABTAHQAbwByAGEAZwBlAF8AQQByAGcAdQBtAGUAbgB0AHMAXABuACAAIAA9AEwAQQBNAEIARABBACgAXABuACAAIAAgACAATQBBAEsARQBBAFIAUgBBAFkAKAAzACwAIAAyACwAXABuACAAIAAgACAAIAAgAEwAQQBNAEIARABBACgAcgAsAGMALABcAG4AIAAgACAAIAAgACAAIAAgAEkATgBEAEUAWAAoAHsAXABuACAAIAAgACAAIAAgACAAIAAgACAAXAAiAE0ATQBTAF8AagBtADQAXAAiACwAIABcACIAZgByAGEAYwB0AGkAbwBuACAAbwBmACAAdgBvAGwAYQB0AGkAbABlACAAcwBvAGwAaQBkAHMAIABpAG4AIABzAG8AbABpAGQAIABzAHQAbwByAGEAZwBlACAAYgBlAGYAbwByAGUAIAB0AHIAYQBuAHMAZgBlAHIAXAAiADsAXABuACAAIAAgACAAIAAgACAAIAAgACAAXAAiAE0ATQBTAF8AagBtADEANwA5AFwAIgAsACAAXAAiAGYAcgBhAGMAdABpAG8AbgAgAG8AZgAgAHYAbwBsAGEAdABpAGwAZQAgAHMAbwBsAGkAZABzACAAaQBuACAATQBNAFMAIABtAD0AMQAsADcALAA5ACAAYgBlAGYAbwByAGUAIAB0AHIAYQBuAHMAZgBlAHIAXAAiADsAXABuACAAIAAgACAAIAAgACAAIAAgACAAXAAiAFMAUwBfAG0AXAAiACwAIABcACIAZgByAGEAYwB0AGkAbwBuACAAbwBmACAAdgBvAGwAYQB0AGkAbABlACAAcwBvAGwAaQBkAHMAIABzAGUAcABhAHIAYQB0AGUAZAAgAHQAbwAgAHMAbwBsAGkAZAAgAHMAdABvAHIAYQBnAGUAIABmAG8AcgAgAGUAYQBjAGgAIABNAE0AUwBcACIAXABuACAAIAAgACAAIAAgACAAIAB9ACwAIAByACwAIABjACkAXABuACAAIAAgACAAIAAgACkAXABuACAAIAAgACAAKQBcAG4AIAAgACkAOwBcAG4AXABuAFYARQBFAFIARwBfADQAXwAzAF8AMQBfADEAXwBfADUAXwBGAHIAYQBjAHQAaQBvAG4AVgBvAGwAYQB0AGkAbABlAFMAbwBsAGkAZABzAFMAbwBsAGkAZABTAHQAbwByAGEAZwBlAF8AVgBhAHIAaQBhAHQAaQBvAG4AXABuACAAIAA9AEwAQQBNAEIARABBACgAXAAiAFUAcwBlAGQAIABzAGUAcABhAHIAYQB0AGUAIAB2AGEAcgBpAGEAYgBsAGUAcwAgAGYAbwByACAATQBNAFMAIABhAG4AZAAgAFMAUwAgAG0AIAAxACwAIAA3ACAAYQBuAGQAIAA5AC4AXAAiACkAOwBcAG4AXABuACIAfQAsAHsAIgBwAGEAdABoACIAOgAiAC8AcAByAG8AagBlAGMAdABzAC8ATQBNAFMAXwBEAGEAaQByAHkAXwBOADIATwBEAGkAcgBlAGMAdABfAEUAcQB1AGEAdABpAG8AbgBzACIALAAiAHQAZQB4AHQAIgA6ACIALwAqAFwAbgA9AD0APQA9AD0APQA9AD0APQA9AD0APQA9AD0APQA9AD0APQA9AD0APQA9AD0APQA9AD0APQA9AD0APQA9AD0APQA9AD0APQA9AD0APQA9AD0APQA9AD0APQA9AD0APQA9AD0APQA9AD0APQA9AD0APQA9AD0APQA9AD0APQA9AD0APQA9AD0APQA9AD0APQA9AD0APQA9AFwAbgA0AC4AMwA6ACAARABhAGkAcgB5AFwAbgA9AD0APQA9AD0APQA9AD0APQA9AD0APQA9AD0APQA9AD0APQA9AD0APQA9AD0APQA9AD0APQA9AD0APQA9AD0APQA9AD0APQA9AD0APQA9AD0APQA9AD0APQA9AD0APQA9AD0APQA9AD0APQA9AD0APQA9AD0APQA9AD0APQA9AD0APQA9AD0APQA9AD0APQA9AD0APQA9AFwAbgA0AC4AMwAuADEALgAzACAATQBlAHQAaABvAGQAIAAxACAALQAgAE0AYQBuAHUAcgBlACAARABpAHIAZQBjAHQAIABOADIATwAgAEQAYQBpAHIAeQBcAG4APQA9AD0APQA9AD0APQA9AD0APQA9AD0APQA9AD0APQA9AD0APQA9AD0APQA9AD0APQA9AD0APQA9AD0APQA9AD0APQA9AD0APQA9AD0APQA9AD0APQA9AD0APQA9AD0APQA9AD0APQA9AD0APQA9AD0APQA9AD0APQA9AD0APQA9AD0APQA9AD0APQA9AD0APQA9AD0APQBcAG4AKgAvAFwAbgBcAG4ALwAqAFwAbgAtAC0ALQAtAC0ALQAtAC0ALQAtAC0ALQAtAC0ALQAtAC0ALQAtAC0ALQAtAC0ALQAtAC0ALQAtAC0ALQAtAC0ALQAtAC0ALQAtAC0AXABuAFYARQBFAFIARwBfADQAXwAzAF8AMQBfADMAXwBfADEAXwBUAG8AdABhAGwAQQBuAG4AdQBhAGwARABpAHIAZQBjAHQATgBpAHQAcgBvAHUAcwBPAHgAaQBkAGUARQBtAGkAcwBzAGkAbwBuAHMARgByAG8AbQBNAE0AUwBcAG4AVABvAHQAYQBsACAAYQBuAG4AdQBhAGwAIABkAGkAcgBlAGMAdAAgAG4AaQB0AHIAbwB1AHMAIABvAHgAaQBkAGUAIABlAG0AaQBzAHMAaQBvAG4AcwAgAGYAcgBvAG0AIABtAGEAbgB1AHIAZQAgAG0AYQBuAGEAZwBlAG0AZQBuAHQAIABzAHkAcwB0AGUAbQBzAFwAbgBFAF8ATgAyAE8AZABpAHIAXABuAHQAIABOADIATwBcAG4ARQBfAHsATgAyAE8ALABkAGkAcgB9AD0ATQBOAF8AewBqAG0AfQBcAFwAdABpAG0AZQBzACAARQBGAF8AbQBcAFwAdABpAG0AZQBzACAAQwBfAHsATgAyAE8AfQBcAFwAdABpAG0AZQBzACAAMQAwAF4AewAtADMAfQBcAG4ATQBOAF8AagBtACAAPQAgAHQAbwB0AGEAbAAgAG4AaQB0AHIAbwBnAGUAbgAgAGkAbgAgAGUAYQBjAGgAIABNAE0AUwAgAGYAbwByACAAZABhAGkAcgB5ACAAYwBhAHQAdABsAGUAIABjAGwAYQBzAHMAZQBzACAAKABrAGcAIABOACkAXABuAEUARgBfAG0AIAA9ACAAbgBpAHQAcgBvAHUAcwAgAG8AeABpAGQAZQAgAGUAbQBpAHMAcwBpAG8AbgAgAGYAYQBjAHQAbwByACAAZgBvAHIAIABlAGEAYwBoACAATQBNAFMAIAAoAGsAZwAgAE4AMgBPAC0ATgAvAGsAZwAgAE4AIABkAGUAcABvAHMAaQB0AGUAZAApAFwAbgBDAF8ATgAyAE8AIAA9ACAAZgBhAGMAdABvAHIAIAB0AG8AIABjAG8AbgB2AGUAcgB0ACAAZQBsAGUAbQBlAG4AdABhAGwAIABtAGEAcwBzACAAbwBmACAATgAyAE8AIAB0AG8AIABtAG8AbABlAGMAdQBsAGEAcgAgAG0AYQBzAHMAXABuAC0ALQAtAC0ALQAtAC0ALQAtAC0ALQAtAC0ALQAtAC0ALQAtAC0ALQAtAC0ALQAtAC0ALQAtAC0ALQAtAC0ALQAtAC0ALQAtAC0ALQBcAG4AKgAvAFwAbgBcAG4AVgBFAEUAUgBHAF8ANABfADMAXwAxAF8AMwBfAF8AMQBfAFQAbwB0AGEAbABBAG4AbgB1AGEAbABEAGkAcgBlAGMAdABOAGkAdAByAG8AdQBzAE8AeABpAGQAZQBFAG0AaQBzAHMAaQBvAG4AcwBGAHIAbwBtAE0ATQBTAFwAbgAgACAAPQBMAEEATQBCAEQAQQAoAFwAbgAgACAAIAAgAE0ATgBfAGoAbQAsACAARQBGAF8AbQAsACAAQwBfAE4AMgBPACwAXABuACAAIAAgACAATQBOAF8AagBtACAAKgAgAEUARgBfAG0AIAAqACAAQwBfAE4AMgBPACAAKgAgADEAMAAgAF4AIAAtADMAXABuACAAIAApADsAXABuAFwAbgBWAEUARQBSAEcAXwA0AF8AMwBfADEAXwAzAF8AXwAxAF8AVABvAHQAYQBsAEEAbgBuAHUAYQBsAEQAaQByAGUAYwB0AE4AaQB0AHIAbwB1AHMATwB4AGkAZABlAEUAbQBpAHMAcwBpAG8AbgBzAEYAcgBvAG0ATQBNAFMAXwBUAGkAdABsAGUAXABuACAAIAA9AEwAQQBNAEIARABBACgAXAAiAFQAbwB0AGEAbAAgAGEAbgBuAHUAYQBsACAAZABpAHIAZQBjAHQAIABuAGkAdAByAG8AdQBzACAAbwB4AGkAZABlACAAZQBtAGkAcwBzAGkAbwBuAHMAIABmAHIAbwBtACAAbQBhAG4AdQByAGUAIABtAGEAbgBhAGcAZQBtAGUAbgB0ACAAcwB5AHMAdABlAG0AcwBcACIAKQA7AFwAbgBcAG4AVgBFAEUAUgBHAF8ANABfADMAXwAxAF8AMwBfAF8AMQBfAFQAbwB0AGEAbABBAG4AbgB1AGEAbABEAGkAcgBlAGMAdABOAGkAdAByAG8AdQBzAE8AeABpAGQAZQBFAG0AaQBzAHMAaQBvAG4AcwBGAHIAbwBtAE0ATQBTAF8AVgBhAHIAaQBhAGIAbABlAFwAbgAgACAAPQBMAEEATQBCAEQAQQAoAFwAIgBFAF8ATgAyAE8AZABpAHIAXAAiACkAOwBcAG4AXABuAFYARQBFAFIARwBfADQAXwAzAF8AMQBfADMAXwBfADEAXwBUAG8AdABhAGwAQQBuAG4AdQBhAGwARABpAHIAZQBjAHQATgBpAHQAcgBvAHUAcwBPAHgAaQBkAGUARQBtAGkAcwBzAGkAbwBuAHMARgByAG8AbQBNAE0AUwBfAFUAbgBpAHQAXABuACAAIAA9AEwAQQBNAEIARABBACgAXAAiAHQAIABOADIATwBcACIAKQA7AFwAbgBcAG4AVgBFAEUAUgBHAF8ANABfADMAXwAxAF8AMwBfAF8AMQBfAFQAbwB0AGEAbABBAG4AbgB1AGEAbABEAGkAcgBlAGMAdABOAGkAdAByAG8AdQBzAE8AeABpAGQAZQBFAG0AaQBzAHMAaQBvAG4AcwBGAHIAbwBtAE0ATQBTAF8AUwBvAHUAcgBjAGUAXABuACAAIAA9AEwAQQBNAEIARABBACgAXAAiAFYARQBFAFIARwAgADIAMAAyADYAOgAgADQALgAzAC4AMQAuADMALAAgAEUAcQB1AGEAdABpAG8AbgAgACgAMQApAFwAIgApADsAXABuAFwAbgBWAEUARQBSAEcAXwA0AF8AMwBfADEAXwAzAF8AXwAxAF8AVABvAHQAYQBsAEEAbgBuAHUAYQBsAEQAaQByAGUAYwB0AE4AaQB0AHIAbwB1AHMATwB4AGkAZABlAEUAbQBpAHMAcwBpAG8AbgBzAEYAcgBvAG0ATQBNAFMAXwBOAEkAUgBSAGUAZgBlAHIAZQBuAGMAZQBcAG4AIAAgAD0ATABBAE0AQgBEAEEAKABcACIAXAAiACkAOwBcAG4AXABuAFYARQBFAFIARwBfADQAXwAzAF8AMQBfADMAXwBfADEAXwBUAG8AdABhAGwAQQBuAG4AdQBhAGwARABpAHIAZQBjAHQATgBpAHQAcgBvAHUAcwBPAHgAaQBkAGUARQBtAGkAcwBzAGkAbwBuAHMARgByAG8AbQBNAE0AUwBfAEwAYQB0AGUAeABFAHEAdQBhAHQAaQBvAG4AXABuACAAIAA9AEwAQQBNAEIARABBACgAXAAiAEUAXwB7AE4AMgBPACwAZABpAHIAfQA9AFwAXABzAHUAbQBcAFwAbgBvAGwAaQBtAGkAdABzAF8AewBqAH0AXABcAHMAdQBtAFwAXABuAG8AbABpAG0AaQB0AHMAXwB7AG0AfQAoAE0ATgBfAHsAagBtAH0AXABcAHQAaQBtAGUAcwAgAEUARgBfAG0AXABcAHQAaQBtAGUAcwAgAEMAXwB7AE4AMgBPAH0AXABcAHQAaQBtAGUAcwAgADEAMABeAHsALQAzAH0AKQBcACIAKQA7AFwAbgBcAG4AVgBFAEUAUgBHAF8ANABfADMAXwAxAF8AMwBfAF8AMQBfAFQAbwB0AGEAbABBAG4AbgB1AGEAbABEAGkAcgBlAGMAdABOAGkAdAByAG8AdQBzAE8AeABpAGQAZQBFAG0AaQBzAHMAaQBvAG4AcwBGAHIAbwBtAE0ATQBTAF8AQQByAGcAdQBtAGUAbgB0AHMAXABuACAAIAA9AEwAQQBNAEIARABBACgAXABuACAAIAAgACAATQBBAEsARQBBAFIAUgBBAFkAKAAzACwAIAAyACwAXABuACAAIAAgACAAIAAgAEwAQQBNAEIARABBACgAcgAsAGMALABcAG4AIAAgACAAIAAgACAAIAAgAEkATgBEAEUAWAAoAHsAXABuACAAIAAgACAAIAAgACAAIAAgACAAXAAiAE0ATgBfAGoAbQBcACIALAAgAFwAIgB0AG8AdABhAGwAIABuAGkAdAByAG8AZwBlAG4AIABpAG4AIABlAGEAYwBoACAATQBNAFMAIABmAG8AcgAgAGQAYQBpAHIAeQAgAGMAYQB0AHQAbABlACAAYwBsAGEAcwBzAGUAcwAgACgAawBnACAATgApAFwAIgA7AFwAbgAgACAAIAAgACAAIAAgACAAIAAgAFwAIgBFAEYAXwBtAFwAIgAsACAAXAAiAG4AaQB0AHIAbwB1AHMAIABvAHgAaQBkAGUAIABlAG0AaQBzAHMAaQBvAG4AIABmAGEAYwB0AG8AcgAgAGYAbwByACAAZQBhAGMAaAAgAE0ATQBTACAAKABrAGcAIABOADIATwAtAE4ALwBrAGcAIABOACAAZABlAHAAbwBzAGkAdABlAGQAKQBcACIAOwBcAG4AIAAgACAAIAAgACAAIAAgACAAIABcACIAQwBfAE4AMgBPAFwAIgAsACAAXAAiAGYAYQBjAHQAbwByACAAdABvACAAYwBvAG4AdgBlAHIAdAAgAGUAbABlAG0AZQBuAHQAYQBsACAAbQBhAHMAcwAgAG8AZgAgAE4AMgBPACAAdABvACAAbQBvAGwAZQBjAHUAbABhAHIAIABtAGEAcwBzAFwAIgBcAG4AIAAgACAAIAAgACAAIAAgAH0ALAAgAHIALAAgAGMAKQBcAG4AIAAgACAAIAAgACAAKQBcAG4AIAAgACAAIAApAFwAbgAgACAAKQA7AFwAbgBcAG4ALwAqAFwAbgAtAC0ALQAtAC0ALQAtAC0ALQAtAC0ALQAtAC0ALQAtAC0ALQAtAC0ALQAtAC0ALQAtAC0ALQAtAC0ALQAtAC0ALQAtAC0ALQAtAC0AXABuAFYARQBFAFIARwBfADQAXwAzAF8AMQBfADMAXwBfADIAXwBUAG8AdABhAGwATgBpAHQAcgBvAGcAZQBuAEkAbgBFAGEAYwBoAE0ATQBTAFwAbgBUAG8AdABhAGwAIABuAGkAdAByAG8AZwBlAG4AIABpAG4AIABlAGEAYwBoACAATQBNAFMAXABuAE0ATgBfAGoAbQBcAG4AawBnACAATgBcAG4ATQBOAF8AewBqAG0AfQA9AEEARQBfAGoAXABcAHQAaQBtAGUAcwAgAE0ATQBTAF8AewBqAG0AfQBcAG4AQQBFAF8AagAgAD0AIAB0AG8AdABhAGwAIABuAGkAdAByAG8AZwBlAG4AIABlAHgAYwByAGUAdABlAGQAIABiAHkAIABlAGEAYwBoACAAZABhAGkAcgB5ACAAYwBsAGEAcwBzACAAKABrAGcAIABOACkAXABuAE0ATQBTAF8AagBtACAAPQAgAG0AYQBuAHUAcgBlACAAbQBhAG4AYQBnAGUAbQBlAG4AdAAgAHMAeQBzAHQAZQBtACAAZgByAGEAYwB0AGkAbwBuACAAZgBvAHIAIABjAGwAYQBzAHMAIABqACAAYQBuAGQAIABzAHkAcwB0AGUAbQAgAG0AXABuAC0ALQAtAC0ALQAtAC0ALQAtAC0ALQAtAC0ALQAtAC0ALQAtAC0ALQAtAC0ALQAtAC0ALQAtAC0ALQAtAC0ALQAtAC0ALQAtAC0ALQBcAG4AKgAvAFwAbgBcAG4AVgBFAEUAUgBHAF8ANABfADMAXwAxAF8AMwBfAF8AMgBfAFQAbwB0AGEAbABOAGkAdAByAG8AZwBlAG4ASQBuAEUAYQBjAGgATQBNAFMAXABuACAAIAA9AEwAQQBNAEIARABBACgAXABuACAAIAAgACAAQQBFAF8AagAsACAATQBNAFMAXwBqAG0ALABcAG4AIAAgACAAIABBAEUAXwBqACAAKgAgAE0ATQBTAF8AagBtAFwAbgAgACAAKQA7AFwAbgBcAG4AVgBFAEUAUgBHAF8ANABfADMAXwAxAF8AMwBfAF8AMgBfAFQAbwB0AGEAbABOAGkAdAByAG8AZwBlAG4ASQBuAEUAYQBjAGgATQBNAFMAXwBUAGkAdABsAGUAXABuACAAIAA9AEwAQQBNAEIARABBACgAXAAiAFQAbwB0AGEAbAAgAG4AaQB0AHIAbwBnAGUAbgAgAGkAbgAgAGUAYQBjAGgAIABNAE0AUwBcACIAKQA7AFwAbgBcAG4AVgBFAEUAUgBHAF8ANABfADMAXwAxAF8AMwBfAF8AMgBfAFQAbwB0AGEAbABOAGkAdAByAG8AZwBlAG4ASQBuAEUAYQBjAGgATQBNAFMAXwBWAGEAcgBpAGEAYgBsAGUAXABuACAAIAA9AEwAQQBNAEIARABBACgAXAAiAE0ATgBfAGoAbQBcACIAKQA7AFwAbgBcAG4AVgBFAEUAUgBHAF8ANABfADMAXwAxAF8AMwBfAF8AMgBfAFQAbwB0AGEAbABOAGkAdAByAG8AZwBlAG4ASQBuAEUAYQBjAGgATQBNAFMAXwBVAG4AaQB0AFwAbgAgACAAPQBMAEEATQBCAEQAQQAoAFwAIgBrAGcAIABOAFwAIgApADsAXABuAFwAbgBWAEUARQBSAEcAXwA0AF8AMwBfADEAXwAzAF8AXwAyAF8AVABvAHQAYQBsAE4AaQB0AHIAbwBnAGUAbgBJAG4ARQBhAGMAaABNAE0AUwBfAFMAbwB1AHIAYwBlAFwAbgAgACAAPQBMAEEATQBCAEQAQQAoAFwAIgBWAEUARQBSAEcAIAAyADAAMgA2ADoAIAA0AC4AMwAuADEALgAzACwAIABFAHEAdQBhAHQAaQBvAG4AIAAoADIAKQBcACIAKQA7AFwAbgBcAG4AVgBFAEUAUgBHAF8ANABfADMAXwAxAF8AMwBfAF8AMgBfAFQAbwB0AGEAbABOAGkAdAByAG8AZwBlAG4ASQBuAEUAYQBjAGgATQBNAFMAXwBOAEkAUgBSAGUAZgBlAHIAZQBuAGMAZQBcAG4AIAAgAD0ATABBAE0AQgBEAEEAKABcACIAXAAiACkAOwBcAG4AXABuAFYARQBFAFIARwBfADQAXwAzAF8AMQBfADMAXwBfADIAXwBUAG8AdABhAGwATgBpAHQAcgBvAGcAZQBuAEkAbgBFAGEAYwBoAE0ATQBTAF8ATABhAHQAZQB4AEUAcQB1AGEAdABpAG8AbgBcAG4AIAAgAD0ATABBAE0AQgBEAEEAKABcACIATQBOAF8AewBqAG0AfQA9AEEARQBfAGoAXABcAHQAaQBtAGUAcwAgAE0ATQBTAF8AewBqAG0AfQBcACIAKQA7AFwAbgBcAG4AVgBFAEUAUgBHAF8ANABfADMAXwAxAF8AMwBfAF8AMgBfAFQAbwB0AGEAbABOAGkAdAByAG8AZwBlAG4ASQBuAEUAYQBjAGgATQBNAFMAXwBBAHIAZwB1AG0AZQBuAHQAcwBcAG4AIAAgAD0ATABBAE0AQgBEAEEAKABcAG4AIAAgACAAIABNAEEASwBFAEEAUgBSAEEAWQAoADIALAAgADIALABcAG4AIAAgACAAIAAgACAATABBAE0AQgBEAEEAKAByACwAYwAsAFwAbgAgACAAIAAgACAAIAAgACAASQBOAEQARQBYACgAewBcAG4AIAAgACAAIAAgACAAIAAgACAAIABcACIAQQBFAF8AagBcACIALAAgAFwAIgB0AG8AdABhAGwAIABuAGkAdAByAG8AZwBlAG4AIABlAHgAYwByAGUAdABlAGQAIABiAHkAIABlAGEAYwBoACAAZABhAGkAcgB5ACAAYwBsAGEAcwBzACAAKABrAGcAIABOACkAXAAiADsAXABuACAAIAAgACAAIAAgACAAIAAgACAAXAAiAE0ATQBTAF8AagBtAFwAIgAsACAAXAAiAG0AYQBuAHUAcgBlACAAbQBhAG4AYQBnAGUAbQBlAG4AdAAgAHMAeQBzAHQAZQBtACAAZgByAGEAYwB0AGkAbwBuACAAZgBvAHIAIABjAGwAYQBzAHMAIABqACAAYQBuAGQAIABzAHkAcwB0AGUAbQAgAG0AXAAiAFwAbgAgACAAIAAgACAAIAAgACAAfQAsACAAcgAsACAAYwApAFwAbgAgACAAIAAgACAAIAApAFwAbgAgACAAIAAgACkAXABuACAAIAApADsAXABuAFwAbgAvACoAXABuAC0ALQAtAC0ALQAtAC0ALQAtAC0ALQAtAC0ALQAtAC0ALQAtAC0ALQAtAC0ALQAtAC0ALQAtAC0ALQAtAC0ALQAtAC0ALQAtAC0ALQBcAG4AVgBFAEUAUgBHAF8ANABfADMAXwAxAF8AMwBfAF8AMwBhAF8AVABvAHQAYQBsAEEAbgBuAHUAYQBsAE4AaQB0AHIAbwBnAGUAbgBFAHgAYwByAGUAdABlAGQARwByAGUAYQB0AGUAcgBUAGgAYQBuAE8AbgBlAFkAZQBhAHIAXABuAFQAbwB0AGEAbAAgAGEAbgBuAHUAYQBsACAAbgBpAHQAcgBvAGcAZQBuACAAZQB4AGMAcgBlAHQAZQBkACAAYgB5ACAAZABhAGkAcgB5ACAAYwBhAHQAdABsAGUAIABcAHUAMAAwADMAZQAxACAAeQBlAGEAcgAgAG8AbABkAFwAbgBBAEUAXwBqADEAMgA0AFwAbgBrAGcAIABOAFwAbgBBAEUAXwB7AGoAPQAxACwAMgAsADQAfQA9AE4AXwB7AGoAPQAxACwAMgAsADQAfQBcAFwAdABpAG0AZQBzACAATgBFAF8AewBqAD0AMQAsADIALAA0AH0AXABcAHQAaQBtAGUAcwAgADMANgA1AFwAbgBOAF8AagAxADIANAAgAD0AIABuAHUAbQBiAGUAcgAgAG8AZgAgAGQAYQBpAHIAeQAgAGMAYQB0AHQAbABlACAAaQBuACAAYwBsAGEAcwBzAGUAcwAgAGoAPQAxACwAMgAsADQAXABuAE4ARQBfAGoAMQAyADQAIAA9ACAAbgBpAHQAcgBvAGcAZQBuACAAZQB4AGMAcgBlAHQAZQBkACAAYgB5ACAAZABhAGkAcgB5ACAAYwBhAHQAdABsAGUAIABcAHUAMAAwADMAZQAxACAAeQBlAGEAcgAgAG8AbABkACAAKABrAGcAIABOAC8AaABlAGEAZAAvAGQAYQB5ACkAXABuAC0ALQAtAC0ALQAtAC0ALQAtAC0ALQAtAC0ALQAtAC0ALQAtAC0ALQAtAC0ALQAtAC0ALQAtAC0ALQAtAC0ALQAtAC0ALQAtAC0ALQBcAG4AKgAvAFwAbgBcAG4AVgBFAEUAUgBHAF8ANABfADMAXwAxAF8AMwBfAF8AMwBhAF8AVABvAHQAYQBsAEEAbgBuAHUAYQBsAE4AaQB0AHIAbwBnAGUAbgBFAHgAYwByAGUAdABlAGQARwByAGUAYQB0AGUAcgBUAGgAYQBuAE8AbgBlAFkAZQBhAHIAXABuACAAIAA9AEwAQQBNAEIARABBACgAXABuACAAIAAgACAATgBfAGoAMQAyADQALAAgAE4ARQBfAGoAMQAyADQALABcAG4AIAAgACAAIABOAF8AagAxADIANAAgACoAIABOAEUAXwBqADEAMgA0ACAAKgAgADMANgA1AFwAbgAgACAAKQA7AFwAbgBcAG4AVgBFAEUAUgBHAF8ANABfADMAXwAxAF8AMwBfAF8AMwBhAF8AVABvAHQAYQBsAEEAbgBuAHUAYQBsAE4AaQB0AHIAbwBnAGUAbgBFAHgAYwByAGUAdABlAGQARwByAGUAYQB0AGUAcgBUAGgAYQBuAE8AbgBlAFkAZQBhAHIAVgBhAHIAaQBhAHQAaQBvAG4AXABuACAAIAA9AEwAQQBNAEIARABBACgAXABuACAAIAAgACAATgBfAGoAMQAyADQALAAgAE4ARQBfAGoAMQAyADQALAAgAEQAXwBqADEAMgA0ACwAXABuACAAIAAgACAATgBfAGoAMQAyADQAIAAqACAATgBFAF8AagAxADIANAAgACoAIABEAF8AagAxADIANABcAG4AIAAgACkAOwBcAG4AXABuAFYARQBFAFIARwBfADQAXwAzAF8AMQBfADMAXwBfADMAYQBfAFQAbwB0AGEAbABBAG4AbgB1AGEAbABOAGkAdAByAG8AZwBlAG4ARQB4AGMAcgBlAHQAZQBkAEcAcgBlAGEAdABlAHIAVABoAGEAbgBPAG4AZQBZAGUAYQByAF8AVABpAHQAbABlAFwAbgAgACAAPQBMAEEATQBCAEQAQQAoAFwAIgBUAG8AdABhAGwAIABhAG4AbgB1AGEAbAAgAG4AaQB0AHIAbwBnAGUAbgAgAGUAeABjAHIAZQB0AGUAZAAgAGIAeQAgAGQAYQBpAHIAeQAgAGMAYQB0AHQAbABlACAAZwByAGUAYQB0AGUAcgAgAHQAaABhAG4AIABvAG4AZQAgAHkAZQBhAHIAIABvAGwAZABcACIAKQA7AFwAbgBcAG4AVgBFAEUAUgBHAF8ANABfADMAXwAxAF8AMwBfAF8AMwBhAF8AVABvAHQAYQBsAEEAbgBuAHUAYQBsAE4AaQB0AHIAbwBnAGUAbgBFAHgAYwByAGUAdABlAGQARwByAGUAYQB0AGUAcgBUAGgAYQBuAE8AbgBlAFkAZQBhAHIAXwBWAGEAcgBpAGEAYgBsAGUAXABuACAAIAA9AEwAQQBNAEIARABBACgAXAAiAEEARQBfAGoAMQAyADQAXAAiACkAOwBcAG4AXABuAFYARQBFAFIARwBfADQAXwAzAF8AMQBfADMAXwBfADMAYQBfAFQAbwB0AGEAbABBAG4AbgB1AGEAbABOAGkAdAByAG8AZwBlAG4ARQB4AGMAcgBlAHQAZQBkAEcAcgBlAGEAdABlAHIAVABoAGEAbgBPAG4AZQBZAGUAYQByAF8AVQBuAGkAdABcAG4AIAAgAD0ATABBAE0AQgBEAEEAKABcACIAawBnACAATgBcACIAKQA7AFwAbgBcAG4AVgBFAEUAUgBHAF8ANABfADMAXwAxAF8AMwBfAF8AMwBhAF8AVABvAHQAYQBsAEEAbgBuAHUAYQBsAE4AaQB0AHIAbwBnAGUAbgBFAHgAYwByAGUAdABlAGQARwByAGUAYQB0AGUAcgBUAGgAYQBuAE8AbgBlAFkAZQBhAHIAXwBTAG8AdQByAGMAZQBcAG4AIAAgAD0ATABBAE0AQgBEAEEAKABcACIAVgBFAEUAUgBHACAAMgAwADIANgA6ACAANAAuADMALgAxAC4AMwAsACAARQBxAHUAYQB0AGkAbwBuACAAKAAzAGEAKQBcACIAKQA7AFwAbgBcAG4AVgBFAEUAUgBHAF8ANABfADMAXwAxAF8AMwBfAF8AMwBhAF8AVABvAHQAYQBsAEEAbgBuAHUAYQBsAE4AaQB0AHIAbwBnAGUAbgBFAHgAYwByAGUAdABlAGQARwByAGUAYQB0AGUAcgBUAGgAYQBuAE8AbgBlAFkAZQBhAHIAXwBOAEkAUgBSAGUAZgBlAHIAZQBuAGMAZQBcAG4AIAAgAD0ATABBAE0AQgBEAEEAKABcACIAXAAiACkAOwBcAG4AXABuAFYARQBFAFIARwBfADQAXwAzAF8AMQBfADMAXwBfADMAYQBfAFQAbwB0AGEAbABBAG4AbgB1AGEAbABOAGkAdAByAG8AZwBlAG4ARQB4AGMAcgBlAHQAZQBkAEcAcgBlAGEAdABlAHIAVABoAGEAbgBPAG4AZQBZAGUAYQByAF8ATABhAHQAZQB4AEUAcQB1AGEAdABpAG8AbgBcAG4AIAAgAD0ATABBAE0AQgBEAEEAKABcACIAQQBFAF8AewBqAD0AMQAsADIALAA0AH0APQBOAF8AewBqAD0AMQAsADIALAA0AH0AXABcAHQAaQBtAGUAcwAgAE4ARQBfAHsAagA9ADEALAAyACwANAB9AFwAXAB0AGkAbQBlAHMAIAAzADYANQBcACIAKQA7AFwAbgBcAG4AVgBFAEUAUgBHAF8ANABfADMAXwAxAF8AMwBfAF8AMwBhAF8AVABvAHQAYQBsAEEAbgBuAHUAYQBsAE4AaQB0AHIAbwBnAGUAbgBFAHgAYwByAGUAdABlAGQARwByAGUAYQB0AGUAcgBUAGgAYQBuAE8AbgBlAFkAZQBhAHIAXwBMAGEAdABlAHgARQBxAHUAYQB0AGkAbwBuAFYAYQByAGkAYQB0AGkAbwBuAFwAbgAgACAAPQBMAEEATQBCAEQAQQAoAFwAIgBBAEUAXwB7AGoAPQAxACwAMgAsADQAfQA9AE4AXwB7AGoAPQAxACwAMgAsADQAfQBcAFwAdABpAG0AZQBzACAATgBFAF8AewBqAD0AMQAsADIALAA0AH0AXABcAHQAaQBtAGUAcwAgAEQAXwB7AGoAPQAxACwAMgAsADQAfQBcACIAKQA7AFwAbgBcAG4AVgBFAEUAUgBHAF8ANABfADMAXwAxAF8AMwBfAF8AMwBhAF8AVABvAHQAYQBsAEEAbgBuAHUAYQBsAE4AaQB0AHIAbwBnAGUAbgBFAHgAYwByAGUAdABlAGQARwByAGUAYQB0AGUAcgBUAGgAYQBuAE8AbgBlAFkAZQBhAHIAXwBBAHIAZwB1AG0AZQBuAHQAcwBcAG4AIAAgAD0ATABBAE0AQgBEAEEAKABcAG4AIAAgACAAIABNAEEASwBFAEEAUgBSAEEAWQAoADMALAAgADIALABcAG4AIAAgACAAIAAgACAATABBAE0AQgBEAEEAKAByACwAYwAsAFwAbgAgACAAIAAgACAAIAAgACAASQBOAEQARQBYACgAewBcAG4AIAAgACAAIAAgACAAIAAgACAAIABcACIATgBfAGoAMQAyADQAXAAiACwAIABcACIAbgB1AG0AYgBlAHIAIABvAGYAIABkAGEAaQByAHkAIABjAGEAdAB0AGwAZQAgAGkAbgAgAGMAbABhAHMAcwBlAHMAIABqAD0AMQAsADIALAA0AFwAIgA7AFwAbgAgACAAIAAgACAAIAAgACAAIAAgAFwAIgBOAEUAXwBqADEAMgA0AFwAIgAsACAAXAAiAG4AaQB0AHIAbwBnAGUAbgAgAGUAeABjAHIAZQB0AGUAZAAgAGIAeQAgAGQAYQBpAHIAeQAgAGMAYQB0AHQAbABlACAAZwByAGUAYQB0AGUAcgAgAHQAaABhAG4AIABvAG4AZQAgAHkAZQBhAHIAIABvAGwAZAAgACgAawBnACAATgAvAGgAZQBhAGQALwBkAGEAeQApAFwAIgA7AFwAbgAgACAAIAAgACAAIAAgACAAIAAgAFwAIgBEAF8AagAxADIANABcACIALAAgAFwAIgBkAHUAcgBhAHQAaQBvAG4AIABvAGYAIABzAHQAYQB5ACAAbwBuACAAZgBhAHIAbQAgAGYAbwByACAAYwBsAGEAcwBzAGUAcwAgAGoAPQAxACwAMgAsADQAIAAoAGQAYQB5AHMAKQBcACIAXABuACAAIAAgACAAIAAgACAAIAB9ACwAIAByACwAIABjACkAXABuACAAIAAgACAAIAAgACkAXABuACAAIAAgACAAKQBcAG4AIAAgACkAOwBcAG4AXABuAFYARQBFAFIARwBfADQAXwAzAF8AMQBfADMAXwBfADMAYQBfAFQAbwB0AGEAbABBAG4AbgB1AGEAbABOAGkAdAByAG8AZwBlAG4ARQB4AGMAcgBlAHQAZQBkAEcAcgBlAGEAdABlAHIAVABoAGEAbgBPAG4AZQBZAGUAYQByAF8AVgBhAHIAaQBhAHQAaQBvAG4AXABuACAAIAA9AEwAQQBNAEIARABBACgAXAAiAFYAQQBSAEkAQQBUAEkATwBOADoAIABVAHMAZQBkACAARAB1AHIAYQB0AGkAbwBuACAAdgBhAHIAaQBhAGIAbABlAHMAIABpAG4AcwB0AGUAYQBkACAAbwBmACAAaABhAHIAZAAtAGMAbwBkAGUAZAAgADMANgA1ACAAdgBhAGwAdQBlAC4AXAAiACkAOwBcAG4AXABuAC8AKgBcAG4ALQAtAC0ALQAtAC0ALQAtAC0ALQAtAC0ALQAtAC0ALQAtAC0ALQAtAC0ALQAtAC0ALQAtAC0ALQAtAC0ALQAtAC0ALQAtAC0ALQAtAFwAbgBWAEUARQBSAEcAXwA0AF8AMwBfADEAXwAzAF8AXwAzAGIAXwBUAG8AdABhAGwAQQBuAG4AdQBhAGwATgBpAHQAcgBvAGcAZQBuAEUAeABjAHIAZQB0AGUAZABMAGUAcwBzAFQAaABhAG4ATwBuAGUAWQBlAGEAcgBcAG4AVABvAHQAYQBsACAAYQBuAG4AdQBhAGwAIABuAGkAdAByAG8AZwBlAG4AIABlAHgAYwByAGUAdABlAGQAIABiAHkAIABkAGEAaQByAHkAIABjAGEAdAB0AGwAZQAgAFwAdQAwADAAMwBjADEAIAB5AGUAYQByACAAbwBsAGQAXABuAEEARQBfAGoAMwA1AFwAbgBrAGcAIABOAFwAbgBBAEUAXwB7AGoAPQAzACwANQB9AD0AKABOAF8AewBqAD0AMwAsADUAfQBcAFwAdABpAG0AZQBzACAATgBFAF8AewBqAD0AMwAsADUAfQBcAFwAdABpAG0AZQBzACAAMgA4ADEAKQArACgATgBfAHsAagA9ADMALAA1AH0AXABcAHQAaQBtAGUAcwAgAE4AUABXAF8AewBqAD0AMwAsADUAfQBcAFwAdABpAG0AZQBzACAAOAA0ACkAXABuAE4AXwBqADMANQAgAD0AIABuAHUAbQBiAGUAcgAgAG8AZgAgAGQAYQBpAHIAeQAgAGMAYQB0AHQAbABlACAAaQBuACAAYwBsAGEAcwBzAGUAcwAgAGoAPQAzACwANQBcAG4ATgBFAF8AagAzADUAIAA9ACAAbgBpAHQAcgBvAGcAZQBuACAAZQB4AGMAcgBlAHQAZQBkACAAYgB5ACAAdwBlAGEAbgBlAGQAIABkAGEAaQByAHkAIABjAGEAdAB0AGwAZQAgAFwAdQAwADAAMwBjADEAIAB5AGUAYQByACAAbwBsAGQAIAAoAGsAZwAgAE4ALwBoAGUAYQBkAC8AZABhAHkAKQBcAG4ATgBQAFcAXwBqADMANQAgAD0AIABuAGkAdAByAG8AZwBlAG4AIABlAHgAYwByAGUAdABlAGQAIABiAHkAIABwAHIAZQAtAHcAZQBhAG4AZQBkACAAYwBhAGwAdgBlAHMAIAAoAGsAZwAgAE4ALwBoAGUAYQBkAC8AZABhAHkAKQBcAG4ALQAtAC0ALQAtAC0ALQAtAC0ALQAtAC0ALQAtAC0ALQAtAC0ALQAtAC0ALQAtAC0ALQAtAC0ALQAtAC0ALQAtAC0ALQAtAC0ALQAtAFwAbgAqAC8AXABuAFwAbgBWAEUARQBSAEcAXwA0AF8AMwBfADEAXwAzAF8AXwAzAGIAXwBUAG8AdABhAGwAQQBuAG4AdQBhAGwATgBpAHQAcgBvAGcAZQBuAEUAeABjAHIAZQB0AGUAZABMAGUAcwBzAFQAaABhAG4ATwBuAGUAWQBlAGEAcgBcAG4AIAAgAD0ATABBAE0AQgBEAEEAKABcAG4AIAAgACAAIABOAF8AagAzADUALAAgAE4ARQBfAGoAMwA1ACwAIABOAFAAVwBfAGoAMwA1ACwAXABuACAAIAAgACAAKABOAF8AagAzADUAIAAqACAATgBFAF8AagAzADUAIAAqACAAMgA4ADEAKQAgACsAIAAoAE4AXwBqADMANQAgACoAIABOAFAAVwBfAGoAMwA1ACAAKgAgADgANAApAFwAbgAgACAAKQA7AFwAbgBcAG4AVgBFAEUAUgBHAF8ANABfADMAXwAxAF8AMwBfAF8AMwBiAF8AVABvAHQAYQBsAEEAbgBuAHUAYQBsAE4AaQB0AHIAbwBnAGUAbgBFAHgAYwByAGUAdABlAGQATABlAHMAcwBUAGgAYQBuAE8AbgBlAFkAZQBhAHIAVgBhAHIAaQBhAHQAaQBvAG4AXABuACAAIAA9AEwAQQBNAEIARABBACgAXABuACAAIAAgACAATgBfAGoAMwA1ACwAIABOAEUAXwBqADMANQAsACAATgBQAFcAXwBqADMANQAsACAARABfAGoAMwA1ACwAIABEAFAAVwBfAGoAMwA1ACwAXABuACAAIAAgACAAKABOAF8AagAzADUAIAAqACAATgBFAF8AagAzADUAIAAqACAARABfAGoAMwA1ACkAIAArACAAKABOAF8AagAzADUAIAAqACAATgBQAFcAXwBqADMANQAgACoAIABEAFAAVwBfAGoAMwA1ACkAXABuACAAIAApADsAXABuAFwAbgBWAEUARQBSAEcAXwA0AF8AMwBfADEAXwAzAF8AXwAzAGIAXwBUAG8AdABhAGwAQQBuAG4AdQBhAGwATgBpAHQAcgBvAGcAZQBuAEUAeABjAHIAZQB0AGUAZABMAGUAcwBzAFQAaABhAG4ATwBuAGUAWQBlAGEAcgBfAFQAaQB0AGwAZQBcAG4AIAAgAD0ATABBAE0AQgBEAEEAKABcACIAVABvAHQAYQBsACAAYQBuAG4AdQBhAGwAIABuAGkAdAByAG8AZwBlAG4AIABlAHgAYwByAGUAdABlAGQAIABiAHkAIABkAGEAaQByAHkAIABjAGEAdAB0AGwAZQAgAGwAZQBzAHMAIAB0AGgAYQBuACAAbwBuAGUAIAB5AGUAYQByACAAbwBsAGQAXAAiACkAOwBcAG4AXABuAFYARQBFAFIARwBfADQAXwAzAF8AMQBfADMAXwBfADMAYgBfAFQAbwB0AGEAbABBAG4AbgB1AGEAbABOAGkAdAByAG8AZwBlAG4ARQB4AGMAcgBlAHQAZQBkAEwAZQBzAHMAVABoAGEAbgBPAG4AZQBZAGUAYQByAF8AVgBhAHIAaQBhAGIAbABlAFwAbgAgACAAPQBMAEEATQBCAEQAQQAoAFwAIgBBAEUAXwBqADMANQBcACIAKQA7AFwAbgBcAG4AVgBFAEUAUgBHAF8ANABfADMAXwAxAF8AMwBfAF8AMwBiAF8AVABvAHQAYQBsAEEAbgBuAHUAYQBsAE4AaQB0AHIAbwBnAGUAbgBFAHgAYwByAGUAdABlAGQATABlAHMAcwBUAGgAYQBuAE8AbgBlAFkAZQBhAHIAXwBVAG4AaQB0AFwAbgAgACAAPQBMAEEATQBCAEQAQQAoAFwAIgBrAGcAIABOAFwAIgApADsAXABuAFwAbgBWAEUARQBSAEcAXwA0AF8AMwBfADEAXwAzAF8AXwAzAGIAXwBUAG8AdABhAGwAQQBuAG4AdQBhAGwATgBpAHQAcgBvAGcAZQBuAEUAeABjAHIAZQB0AGUAZABMAGUAcwBzAFQAaABhAG4ATwBuAGUAWQBlAGEAcgBfAFMAbwB1AHIAYwBlAFwAbgAgACAAPQBMAEEATQBCAEQAQQAoAFwAIgBWAEUARQBSAEcAIAAyADAAMgA2ADoAIAA0AC4AMwAuADEALgAzACwAIABFAHEAdQBhAHQAaQBvAG4AIAAoADMAYgApAFwAIgApADsAXABuAFwAbgBWAEUARQBSAEcAXwA0AF8AMwBfADEAXwAzAF8AXwAzAGIAXwBUAG8AdABhAGwAQQBuAG4AdQBhAGwATgBpAHQAcgBvAGcAZQBuAEUAeABjAHIAZQB0AGUAZABMAGUAcwBzAFQAaABhAG4ATwBuAGUAWQBlAGEAcgBfAE4ASQBSAFIAZQBmAGUAcgBlAG4AYwBlAFwAbgAgACAAPQBMAEEATQBCAEQAQQAoAFwAIgBcACIAKQA7AFwAbgBcAG4AVgBFAEUAUgBHAF8ANABfADMAXwAxAF8AMwBfAF8AMwBiAF8AVABvAHQAYQBsAEEAbgBuAHUAYQBsAE4AaQB0AHIAbwBnAGUAbgBFAHgAYwByAGUAdABlAGQATABlAHMAcwBUAGgAYQBuAE8AbgBlAFkAZQBhAHIAXwBMAGEAdABlAHgARQBxAHUAYQB0AGkAbwBuAFwAbgAgACAAPQBMAEEATQBCAEQAQQAoAFwAIgBBAEUAXwB7AGoAPQAzACwANQB9AD0AKABOAF8AewBqAD0AMwAsADUAfQBcAFwAdABpAG0AZQBzACAATgBFAF8AewBqAD0AMwAsADUAfQBcAFwAdABpAG0AZQBzACAAMgA4ADEAKQArACgATgBfAHsAagA9ADMALAA1AH0AXABcAHQAaQBtAGUAcwAgAE4AUABXAF8AewBqAD0AMwAsADUAfQBcAFwAdABpAG0AZQBzACAAOAA0ACkAXAAiACkAOwBcAG4AXABuAFYARQBFAFIARwBfADQAXwAzAF8AMQBfADMAXwBfADMAYgBfAFQAbwB0AGEAbABBAG4AbgB1AGEAbABOAGkAdAByAG8AZwBlAG4ARQB4AGMAcgBlAHQAZQBkAEwAZQBzAHMAVABoAGEAbgBPAG4AZQBZAGUAYQByAF8ATABhAHQAZQB4AEUAcQB1AGEAdABpAG8AbgBWAGEAcgBpAGEAdABpAG8AbgBcAG4AIAAgAD0ATABBAE0AQgBEAEEAKABcACIAQQBFAF8AewBqAD0AMwAsADUAfQA9ACgATgBfAHsAagA9ADMALAA1AH0AXABcAHQAaQBtAGUAcwAgAE4ARQBfAHsAagA9ADMALAA1AH0AXABcAHQAaQBtAGUAcwAgAEQAXwB7AGoAPQAzACwANQB9ACkAKwAoAE4AXwB7AGoAPQAzACwANQB9AFwAXAB0AGkAbQBlAHMAIABOAFAAVwBfAHsAagA9ADMALAA1AH0AXABcAHQAaQBtAGUAcwAgAEQAUABXAF8AewBqAD0AMwAsADUAfQApAFwAIgApADsAXABuAFwAbgBWAEUARQBSAEcAXwA0AF8AMwBfADEAXwAzAF8AXwAzAGIAXwBUAG8AdABhAGwAQQBuAG4AdQBhAGwATgBpAHQAcgBvAGcAZQBuAEUAeABjAHIAZQB0AGUAZABMAGUAcwBzAFQAaABhAG4ATwBuAGUAWQBlAGEAcgBfAEEAcgBnAHUAbQBlAG4AdABzAFwAbgAgACAAPQBMAEEATQBCAEQAQQAoAFwAbgAgACAAIAAgAE0AQQBLAEUAQQBSAFIAQQBZACgANQAsACAAMgAsAFwAbgAgACAAIAAgACAAIABMAEEATQBCAEQAQQAoAHIALABjACwAXABuACAAIAAgACAAIAAgACAAIABJAE4ARABFAFgAKAB7AFwAbgAgACAAIAAgACAAIAAgACAAIAAgAFwAIgBOAF8AagAzADUAXAAiACwAIABcACIAbgB1AG0AYgBlAHIAIABvAGYAIABkAGEAaQByAHkAIABjAGEAdAB0AGwAZQAgAGkAbgAgAGMAbABhAHMAcwBlAHMAIABqAD0AMwAsADUAXAAiADsAXABuACAAIAAgACAAIAAgACAAIAAgACAAXAAiAE4ARQBfAGoAMwA1AFwAIgAsACAAXAAiAG4AaQB0AHIAbwBnAGUAbgAgAGUAeABjAHIAZQB0AGUAZAAgAGIAeQAgAHcAZQBhAG4AZQBkACAAZABhAGkAcgB5ACAAYwBhAHQAdABsAGUAIABsAGUAcwBzACAAdABoAGEAbgAgAG8AbgBlACAAeQBlAGEAcgAgAG8AbABkACAAKABrAGcAIABOAC8AaABlAGEAZAAvAGQAYQB5ACkAXAAiADsAXABuACAAIAAgACAAIAAgACAAIAAgACAAXAAiAE4AUABXAF8AagAzADUAXAAiACwAIABcACIAbgBpAHQAcgBvAGcAZQBuACAAZQB4AGMAcgBlAHQAZQBkACAAYgB5ACAAcAByAGUALQB3AGUAYQBuAGUAZAAgAGMAYQBsAHYAZQBzACAAKABrAGcAIABOAC8AaABlAGEAZAAvAGQAYQB5ACkAXAAiADsAXABuACAAIAAgACAAIAAgACAAIAAgACAAXAAiAEQAXwBqADMANQBcACIALAAgAFwAIgBkAHUAcgBhAHQAaQBvAG4AIABvAGYAIABzAHQAYQB5ACAAbwBuACAAZgBhAHIAbQAgAGYAbwByACAAdwBlAGEAbgBlAGQAIABkAGEAaQByAHkAIABjAGEAdAB0AGwAZQAgAGwAZQBzAHMAIAB0AGgAYQBuACAAbwBuAGUAIAB5AGUAYQByACAAbwBsAGQAIAAoAGQAYQB5AHMAKQBcACIAOwBcAG4AIAAgACAAIAAgACAAIAAgACAAIABcACIARABQAFcAXwBqADMANQBcACIALAAgAFwAIgBkAHUAcgBhAHQAaQBvAG4AIABvAGYAIABzAHQAYQB5ACAAbwBuACAAZgBhAHIAbQAgAGYAbwByACAAcAByAGUALQB3AGUAYQBuAGUAZAAgAGMAYQBsAHYAZQBzACAAKABkAGEAeQBzACkAXAAiAFwAbgAgACAAIAAgACAAIAAgACAAfQAsACAAcgAsACAAYwApAFwAbgAgACAAIAAgACAAIAApAFwAbgAgACAAIAAgACkAXABuACAAIAApADsAXABuAFwAbgBWAEUARQBSAEcAXwA0AF8AMwBfADEAXwAzAF8AXwAzAGIAXwBUAG8AdABhAGwAQQBuAG4AdQBhAGwATgBpAHQAcgBvAGcAZQBuAEUAeABjAHIAZQB0AGUAZABMAGUAcwBzAFQAaABhAG4ATwBuAGUAWQBlAGEAcgBfAFYAYQByAGkAYQB0AGkAbwBuAFwAbgAgACAAPQBMAEEATQBCAEQAQQAoAFwAIgBWAEEAUgBJAEEAVABJAE8ATgA6ACAAVQBzAGUAZAAgAEQAdQByAGEAdABpAG8AbgAgAHYAYQByAGkAYQBiAGwAZQBzACAAaQBuAHMAdABlAGEAZAAgAG8AZgAgAGgAYQByAGQALQBjAG8AZABlAGQAIAAyADgAMQAgAGEAbgBkACAAOAA0ACAAdgBhAGwAdQBlAHMALgBcACIAKQA7AFwAbgBcAG4ALwAqAFwAbgAtAC0ALQAtAC0ALQAtAC0ALQAtAC0ALQAtAC0ALQAtAC0ALQAtAC0ALQAtAC0ALQAtAC0ALQAtAC0ALQAtAC0ALQAtAC0ALQAtAC0AXABuAFYARQBFAFIARwBfADQAXwAzAF8AMQBfADMAXwBfADQAXwBOAGkAdAByAG8AZwBlAG4ARQB4AGMAcgBlAHQAZQBkAEIAeQBEAGEAaQByAHkAQwBhAHQAdABsAGUARwByAGUAYQB0AGUAcgBUAGgAYQBuAE8AbgBlAFkAZQBhAHIAXABuAE4AaQB0AHIAbwBnAGUAbgAgAGUAeABjAHIAZQB0AGUAZAAgAGIAeQAgAGQAYQBpAHIAeQAgAGMAYQB0AHQAbABlACAAXAB1ADAAMAAzAGUAMQAgAHkAZQBhAHIAIABvAGwAZABcAG4ATgBFAF8AagBcAG4AawBnACAATgAvAGgAZQBhAGQALwBkAGEAeQBcAG4ATgBFAF8AagA9ACgAQwBQAEkAXwBqAC8ANgAuADIANQApAC0ATgBSAF8AagAtACgAKAAxAC4AMQBcAFwAdABpAG0AZQBzACAAMQAwAF4AewAtADQAfQBcAFwAdABpAG0AZQBzACAAVwBfAGoAXgB7ADAALgA3ADUAfQApAC8ANgAuADIANQApAFwAbgBDAFAASQBfAGoAIAA9ACAAYwByAHUAZABlACAAcAByAG8AdABlAGkAbgAgAGkAbgB0AGEAawBlACAAKABrAGcALwBoAGUAYQBkAC8AZABhAHkAKQBcAG4ATgBSAF8AagAgAD0AIABhAG0AbwB1AG4AdAAgAG8AZgAgAG4AaQB0AHIAbwBnAGUAbgAgAHIAZQB0AGEAaQBuAGUAZAAgAGIAeQAgAHQAaABlACAAYgBvAGQAeQAgACgAawBnACAATgAvAGgAZQBhAGQALwBkAGEAeQApAFwAbgBXAF8AagAgAD0AIABsAGkAdgBlAHcAZQBpAGcAaAB0ACAAKABrAGcAKQBcAG4ALQAtAC0ALQAtAC0ALQAtAC0ALQAtAC0ALQAtAC0ALQAtAC0ALQAtAC0ALQAtAC0ALQAtAC0ALQAtAC0ALQAtAC0ALQAtAC0ALQAtAFwAbgAqAC8AXABuAFwAbgBWAEUARQBSAEcAXwA0AF8AMwBfADEAXwAzAF8AXwA0AF8ATgBpAHQAcgBvAGcAZQBuAEUAeABjAHIAZQB0AGUAZABCAHkARABhAGkAcgB5AEMAYQB0AHQAbABlAEcAcgBlAGEAdABlAHIAVABoAGEAbgBPAG4AZQBZAGUAYQByAFwAbgAgACAAPQBMAEEATQBCAEQAQQAoAFwAbgAgACAAIAAgAEMAUABJAF8AagAsACAATgBSAF8AagAsACAAVwBfAGoALABcAG4AIAAgACAAIAAoAEMAUABJAF8AagAgAC8AIAA2AC4AMgA1ACkAIAAtACAATgBSAF8AagAgAC0AIAAoACgAMQAuADEAIAAqACAAMQAwACAAXgAgAC0ANAAgACoAIABXAF8AagAgAF4AIAAwAC4ANwA1ACkAIAAvACAANgAuADIANQApAFwAbgAgACAAKQA7AFwAbgBcAG4AVgBFAEUAUgBHAF8ANABfADMAXwAxAF8AMwBfAF8ANABfAE4AaQB0AHIAbwBnAGUAbgBFAHgAYwByAGUAdABlAGQAQgB5AEQAYQBpAHIAeQBDAGEAdAB0AGwAZQBHAHIAZQBhAHQAZQByAFQAaABhAG4ATwBuAGUAWQBlAGEAcgBfAFQAaQB0AGwAZQBcAG4AIAAgAD0ATABBAE0AQgBEAEEAKABcACIATgBpAHQAcgBvAGcAZQBuACAAZQB4AGMAcgBlAHQAZQBkACAAYgB5ACAAZABhAGkAcgB5ACAAYwBhAHQAdABsAGUAIABnAHIAZQBhAHQAZQByACAAdABoAGEAbgAgAG8AbgBlACAAeQBlAGEAcgAgAG8AbABkAFwAIgApADsAXABuAFwAbgBWAEUARQBSAEcAXwA0AF8AMwBfADEAXwAzAF8AXwA0AF8ATgBpAHQAcgBvAGcAZQBuAEUAeABjAHIAZQB0AGUAZABCAHkARABhAGkAcgB5AEMAYQB0AHQAbABlAEcAcgBlAGEAdABlAHIAVABoAGEAbgBPAG4AZQBZAGUAYQByAF8AVgBhAHIAaQBhAGIAbABlAFwAbgAgACAAPQBMAEEATQBCAEQAQQAoAFwAIgBOAEUAXwBqAFwAIgApADsAXABuAFwAbgBWAEUARQBSAEcAXwA0AF8AMwBfADEAXwAzAF8AXwA0AF8ATgBpAHQAcgBvAGcAZQBuAEUAeABjAHIAZQB0AGUAZABCAHkARABhAGkAcgB5AEMAYQB0AHQAbABlAEcAcgBlAGEAdABlAHIAVABoAGEAbgBPAG4AZQBZAGUAYQByAF8AVQBuAGkAdABcAG4AIAAgAD0ATABBAE0AQgBEAEEAKABcACIAawBnACAATgAvAGgAZQBhAGQALwBkAGEAeQBcACIAKQA7AFwAbgBcAG4AVgBFAEUAUgBHAF8ANABfADMAXwAxAF8AMwBfAF8ANABfAE4AaQB0AHIAbwBnAGUAbgBFAHgAYwByAGUAdABlAGQAQgB5AEQAYQBpAHIAeQBDAGEAdAB0AGwAZQBHAHIAZQBhAHQAZQByAFQAaABhAG4ATwBuAGUAWQBlAGEAcgBfAFMAbwB1AHIAYwBlAFwAbgAgACAAPQBMAEEATQBCAEQAQQAoAFwAIgBWAEUARQBSAEcAIAAyADAAMgA2ADoAIAA0AC4AMwAuADEALgAzACwAIABFAHEAdQBhAHQAaQBvAG4AIAAoADQAKQBcACIAKQA7AFwAbgBcAG4AVgBFAEUAUgBHAF8ANABfADMAXwAxAF8AMwBfAF8ANABfAE4AaQB0AHIAbwBnAGUAbgBFAHgAYwByAGUAdABlAGQAQgB5AEQAYQBpAHIAeQBDAGEAdAB0AGwAZQBHAHIAZQBhAHQAZQByAFQAaABhAG4ATwBuAGUAWQBlAGEAcgBfAE4ASQBSAFIAZQBmAGUAcgBlAG4AYwBlAFwAbgAgACAAPQBMAEEATQBCAEQAQQAoAFwAIgBcACIAKQA7AFwAbgBcAG4AVgBFAEUAUgBHAF8ANABfADMAXwAxAF8AMwBfAF8ANABfAE4AaQB0AHIAbwBnAGUAbgBFAHgAYwByAGUAdABlAGQAQgB5AEQAYQBpAHIAeQBDAGEAdAB0AGwAZQBHAHIAZQBhAHQAZQByAFQAaABhAG4ATwBuAGUAWQBlAGEAcgBfAEwAYQB0AGUAeABFAHEAdQBhAHQAaQBvAG4AXABuACAAIAA9AEwAQQBNAEIARABBACgAXAAiAE4ARQBfAGoAPQAoAFwAXABmAHIAYQBjAHsAQwBQAEkAXwBqAH0AewA2AC4AMgA1AH0AKQAtAE4AUgBfAGoALQBcAFwAbABlAGYAdABbAFwAXABmAHIAYQBjAHsAMQAuADEAXABcAHQAaQBtAGUAcwAxADAAXgB7AC0ANAB9ACAAXABcAHQAaQBtAGUAcwAgAFcAXwBqAF4AewAwAC4ANwA1AH0AfQB7ADYALgAyADUAfQBcAFwAcgBpAGcAaAB0AF0AXAAiACkAOwBcAG4AXABuAFYARQBFAFIARwBfADQAXwAzAF8AMQBfADMAXwBfADQAXwBOAGkAdAByAG8AZwBlAG4ARQB4AGMAcgBlAHQAZQBkAEIAeQBEAGEAaQByAHkAQwBhAHQAdABsAGUARwByAGUAYQB0AGUAcgBUAGgAYQBuAE8AbgBlAFkAZQBhAHIAXwBBAHIAZwB1AG0AZQBuAHQAcwBcAG4AIAAgAD0ATABBAE0AQgBEAEEAKABcAG4AIAAgACAAIABNAEEASwBFAEEAUgBSAEEAWQAoADMALAAgADIALABcAG4AIAAgACAAIAAgACAATABBAE0AQgBEAEEAKAByACwAYwAsAFwAbgAgACAAIAAgACAAIAAgACAASQBOAEQARQBYACgAewBcAG4AIAAgACAAIAAgACAAIAAgACAAIABcACIAQwBQAEkAXwBqAFwAIgAsACAAXAAiAGMAcgB1AGQAZQAgAHAAcgBvAHQAZQBpAG4AIABpAG4AdABhAGsAZQAgACgAawBnAC8AaABlAGEAZAAvAGQAYQB5ACkAXAAiADsAXABuACAAIAAgACAAIAAgACAAIAAgACAAXAAiAE4AUgBfAGoAXAAiACwAIABcACIAYQBtAG8AdQBuAHQAIABvAGYAIABuAGkAdAByAG8AZwBlAG4AIAByAGUAdABhAGkAbgBlAGQAIABiAHkAIAB0AGgAZQAgAGIAbwBkAHkAIAAoAGsAZwAgAE4ALwBoAGUAYQBkAC8AZABhAHkAKQBcACIAOwBcAG4AIAAgACAAIAAgACAAIAAgACAAIABcACIAVwBfAGoAXAAiACwAIABcACIAbABpAHYAZQB3AGUAaQBnAGgAdAAgACgAawBnACkAXAAiAFwAbgAgACAAIAAgACAAIAAgACAAfQAsACAAcgAsACAAYwApAFwAbgAgACAAIAAgACAAIAApAFwAbgAgACAAIAAgACkAXABuACAAIAApADsAXABuAFwAbgAvACoAXABuAC0ALQAtAC0ALQAtAC0ALQAtAC0ALQAtAC0ALQAtAC0ALQAtAC0ALQAtAC0ALQAtAC0ALQAtAC0ALQAtAC0ALQAtAC0ALQAtAC0ALQBcAG4AVgBFAEUAUgBHAF8ANABfADMAXwAxAF8AMwBfAF8ANQBfAEMAcgB1AGQAZQBQAHIAbwB0AGUAaQBuAEkAbgB0AGEAawBlAE8AZgBEAGEAaQByAHkAQwBhAHQAdABsAGUAXABuAEMAcgB1AGQAZQAgAHAAcgBvAHQAZQBpAG4AIABpAG4AdABhAGsAZQAgAG8AZgAgAGQAYQBpAHIAeQAgAGMAYQB0AHQAbABlAFwAbgBDAFAASQBfAGoAXABuAGsAZwAvAGgAZQBhAGQALwBkAGEAeQBcAG4AQwBQAEkAXwBqAD0ASQBfAGoAXABcAHQAaQBtAGUAcwAgAEMAUABfAGoAXABuAEkAXwBqACAAPQAgAGQAcgB5ACAAbQBhAHQAdABlAHIAIABpAG4AdABhAGsAZQAgACgAawBnAEQATQAvAGgAZQBhAGQALwBkAGEAeQApAFwAbgBDAFAAXwBqACAAPQAgAGMAcgB1AGQAZQAgAHAAcgBvAHQAZQBpAG4AIABjAG8AbgB0AGUAbgB0ACAAbwBmACAAZgBlAGUAZAAgAGkAbgB0AGEAawBlACAAKABmAHIAYQBjAHQAaQBvAG4AKQBcAG4ALQAtAC0ALQAtAC0ALQAtAC0ALQAtAC0ALQAtAC0ALQAtAC0ALQAtAC0ALQAtAC0ALQAtAC0ALQAtAC0ALQAtAC0ALQAtAC0ALQAtAFwAbgAqAC8AXABuAFwAbgBWAEUARQBSAEcAXwA0AF8AMwBfADEAXwAzAF8AXwA1AF8AQwByAHUAZABlAFAAcgBvAHQAZQBpAG4ASQBuAHQAYQBrAGUATwBmAEQAYQBpAHIAeQBDAGEAdAB0AGwAZQBcAG4AIAAgAD0ATABBAE0AQgBEAEEAKABcAG4AIAAgACAAIABJAF8AagAsACAAQwBQAF8AagAsAFwAbgAgACAAIAAgAEkAXwBqACAAKgAgAEMAUABfAGoAXABuACAAIAApADsAXABuAFwAbgBWAEUARQBSAEcAXwA0AF8AMwBfADEAXwAzAF8AXwA1AF8AQwByAHUAZABlAFAAcgBvAHQAZQBpAG4ASQBuAHQAYQBrAGUATwBmAEQAYQBpAHIAeQBDAGEAdAB0AGwAZQBfAFQAaQB0AGwAZQBcAG4AIAAgAD0ATABBAE0AQgBEAEEAKABcACIAQwByAHUAZABlACAAcAByAG8AdABlAGkAbgAgAGkAbgB0AGEAawBlACAAbwBmACAAZABhAGkAcgB5ACAAYwBhAHQAdABsAGUAXAAiACkAOwBcAG4AXABuAFYARQBFAFIARwBfADQAXwAzAF8AMQBfADMAXwBfADUAXwBDAHIAdQBkAGUAUAByAG8AdABlAGkAbgBJAG4AdABhAGsAZQBPAGYARABhAGkAcgB5AEMAYQB0AHQAbABlAF8AVgBhAHIAaQBhAGIAbABlAFwAbgAgACAAPQBMAEEATQBCAEQAQQAoAFwAIgBDAFAASQBfAGoAXAAiACkAOwBcAG4AXABuAFYARQBFAFIARwBfADQAXwAzAF8AMQBfADMAXwBfADUAXwBDAHIAdQBkAGUAUAByAG8AdABlAGkAbgBJAG4AdABhAGsAZQBPAGYARABhAGkAcgB5AEMAYQB0AHQAbABlAF8AVQBuAGkAdABcAG4AIAAgAD0ATABBAE0AQgBEAEEAKABcACIAawBnAC8AaABlAGEAZAAvAGQAYQB5AFwAIgApADsAXABuAFwAbgBWAEUARQBSAEcAXwA0AF8AMwBfADEAXwAzAF8AXwA1AF8AQwByAHUAZABlAFAAcgBvAHQAZQBpAG4ASQBuAHQAYQBrAGUATwBmAEQAYQBpAHIAeQBDAGEAdAB0AGwAZQBfAFMAbwB1AHIAYwBlAFwAbgAgACAAPQBMAEEATQBCAEQAQQAoAFwAIgBWAEUARQBSAEcAIAAyADAAMgA2ADoAIAA0AC4AMwAuADEALgAzACwAIABFAHEAdQBhAHQAaQBvAG4AIAAoADUAKQBcACIAKQA7AFwAbgBcAG4AVgBFAEUAUgBHAF8ANABfADMAXwAxAF8AMwBfAF8ANQBfAEMAcgB1AGQAZQBQAHIAbwB0AGUAaQBuAEkAbgB0AGEAawBlAE8AZgBEAGEAaQByAHkAQwBhAHQAdABsAGUAXwBOAEkAUgBSAGUAZgBlAHIAZQBuAGMAZQBcAG4AIAAgAD0ATABBAE0AQgBEAEEAKABcACIAXAAiACkAOwBcAG4AXABuAFYARQBFAFIARwBfADQAXwAzAF8AMQBfADMAXwBfADUAXwBDAHIAdQBkAGUAUAByAG8AdABlAGkAbgBJAG4AdABhAGsAZQBPAGYARABhAGkAcgB5AEMAYQB0AHQAbABlAF8ATABhAHQAZQB4AEUAcQB1AGEAdABpAG8AbgBcAG4AIAAgAD0ATABBAE0AQgBEAEEAKABcACIAQwBQAEkAXwBqAD0ASQBfAGoAXABcAHQAaQBtAGUAcwAgAEMAUABfAGoAXAAiACkAOwBcAG4AXABuAFYARQBFAFIARwBfADQAXwAzAF8AMQBfADMAXwBfADUAXwBDAHIAdQBkAGUAUAByAG8AdABlAGkAbgBJAG4AdABhAGsAZQBPAGYARABhAGkAcgB5AEMAYQB0AHQAbABlAF8AQQByAGcAdQBtAGUAbgB0AHMAXABuACAAIAA9AEwAQQBNAEIARABBACgAXABuACAAIAAgACAATQBBAEsARQBBAFIAUgBBAFkAKAAyACwAIAAyACwAXABuACAAIAAgACAAIAAgAEwAQQBNAEIARABBACgAcgAsAGMALABcAG4AIAAgACAAIAAgACAAIAAgAEkATgBEAEUAWAAoAHsAXABuACAAIAAgACAAIAAgACAAIAAgACAAXAAiAEkAXwBqAFwAIgAsACAAXAAiAGQAcgB5ACAAbQBhAHQAdABlAHIAIABpAG4AdABhAGsAZQAgACgAawBnAEQATQAvAGgAZQBhAGQALwBkAGEAeQApAFwAIgA7AFwAbgAgACAAIAAgACAAIAAgACAAIAAgAFwAIgBDAFAAXwBqAFwAIgAsACAAXAAiAGMAcgB1AGQAZQAgAHAAcgBvAHQAZQBpAG4AIABjAG8AbgB0AGUAbgB0ACAAbwBmACAAZgBlAGUAZAAgAGkAbgB0AGEAawBlACAAKABmAHIAYQBjAHQAaQBvAG4AKQBcACIAXABuACAAIAAgACAAIAAgACAAIAB9ACwAIAByACwAIABjACkAXABuACAAIAAgACAAIAAgACkAXABuACAAIAAgACAAKQBcAG4AIAAgACkAOwBcAG4AXABuAC8AKgBcAG4ALQAtAC0ALQAtAC0ALQAtAC0ALQAtAC0ALQAtAC0ALQAtAC0ALQAtAC0ALQAtAC0ALQAtAC0ALQAtAC0ALQAtAC0ALQAtAC0ALQAtAFwAbgBWAEUARQBSAEcAXwA0AF8AMwBfADEAXwAzAF8AXwA2AF8ATgBpAHQAcgBvAGcAZQBuAFIAZQB0AGEAaQBuAGUAZABCAHkAQgBvAGQAeQBcAG4AQQBtAG8AdQBuAHQAIABvAGYAIABuAGkAdAByAG8AZwBlAG4AIAByAGUAdABhAGkAbgBlAGQAIABiAHkAIAB0AGgAZQAgAGIAbwBkAHkAXABuAE4AUgBfAGoAXABuAGsAZwAgAE4ALwBoAGUAYQBkAC8AZABhAHkAXABuAE4AUgBfAGoAPQAoACgAKAAwAC4AMAAzADIAXABcAHQAaQBtAGUAcwAgAE0AUABfAGoAXABcAHQAaQBtAGUAcwAgADEALgAwADMAKQAvADYALgAzADgAKQArACgAKAAwAC4AMgAxADIALQAwAC4AMAAwADgAXABcAHQAaQBtAGUAcwAgACgATABfAGoALQAyACkALQAoACgAMAAuADEANAAwAC0AMAAuADAAMAA4AFwAXAB0AGkAbQBlAHMAIAAoAEwAXwBqAC0AMgApACkALwAoADEAKwBFAFgAUAAoAC0ANgBcAFwAdABpAG0AZQBzACAAKABaAF8AagAtADAALgA0ACkAKQApACkAKQBcAFwAdABpAG0AZQBzACAAKABMAFcARwBfAGoAXABcAHQAaQBtAGUAcwAgADAALgA5ADIAKQApACkAXABcAHQAaQBtAGUAcwAgACgAMQAvADYALgAyADUAKQBcAG4ATQBQAF8AagAgAD0AIABtAGkAbABrACAAcAByAG8AZAB1AGMAdABpAG8AbgAgACgATAAvAGgAZQBhAGQALwBkAGEAeQApAFwAbgBMAF8AagAgAD0AIABpAG4AdABhAGsAZQAgAHIAZQBsAGEAdABpAHYAZQAgAHQAbwAgAG0AYQBpAG4AdABlAG4AYQBuAGMAZQBcAG4AWgBfAGoAIAA9ACAAcgBlAGwAYQB0AGkAdgBlACAAcwBpAHoAZQBcAG4ATABXAEcAXwBqACAAPQAgAGwAaQB2AGUAdwBlAGkAZwBoAHQAIABnAGEAaQBuACAAKABrAGcALwBkAGEAeQApAFwAbgAtAC0ALQAtAC0ALQAtAC0ALQAtAC0ALQAtAC0ALQAtAC0ALQAtAC0ALQAtAC0ALQAtAC0ALQAtAC0ALQAtAC0ALQAtAC0ALQAtAC0AXABuACoALwBcAG4AXABuAFYARQBFAFIARwBfADQAXwAzAF8AMQBfADMAXwBfADYAXwBOAGkAdAByAG8AZwBlAG4AUgBlAHQAYQBpAG4AZQBkAEIAeQBCAG8AZAB5AFwAbgAgACAAPQBMAEEATQBCAEQAQQAoAFwAbgAgACAAIAAgAE0AUABfAGoALAAgAEwAXwBqACwAIABaAF8AagAsACAATABXAEcAXwBqACwAXABuACAAIAAgACAAKAAoACgAMAAuADAAMwAyACAAKgAgAE0AUABfAGoAIAAqACAAMQAuADAAMwApACAALwAgADYALgAzADgAKQAgACsAIAAoACgAMAAuADIAMQAyACAALQAgADAALgAwADAAOAAgACoAIAAoAEwAXwBqACAALQAgADIAKQAgAC0AIAAoACgAMAAuADEANAAwACAALQAgADAALgAwADAAOAAgACoAIAAoAEwAXwBqACAALQAgADIAKQApACAALwAgACgAMQAgACsAIABFAFgAUAAoAC0ANgAgACoAIAAoAFoAXwBqACAALQAgADAALgA0ACkAKQApACkAKQAgACoAIAAoAEwAVwBHAF8AagAgACoAIAAwAC4AOQAyACkAKQApACAAKgAgACgAMQAgAC8AIAA2AC4AMgA1ACkAXABuACAAIAApADsAXABuAFwAbgBWAEUARQBSAEcAXwA0AF8AMwBfADEAXwAzAF8AXwA2AF8ATgBpAHQAcgBvAGcAZQBuAFIAZQB0AGEAaQBuAGUAZABCAHkAQgBvAGQAeQBfAFQAaQB0AGwAZQBcAG4AIAAgAD0ATABBAE0AQgBEAEEAKABcACIAQQBtAG8AdQBuAHQAIABvAGYAIABuAGkAdAByAG8AZwBlAG4AIAByAGUAdABhAGkAbgBlAGQAIABiAHkAIAB0AGgAZQAgAGIAbwBkAHkAXAAiACkAOwBcAG4AXABuAFYARQBFAFIARwBfADQAXwAzAF8AMQBfADMAXwBfADYAXwBOAGkAdAByAG8AZwBlAG4AUgBlAHQAYQBpAG4AZQBkAEIAeQBCAG8AZAB5AF8AVgBhAHIAaQBhAGIAbABlAFwAbgAgACAAPQBMAEEATQBCAEQAQQAoAFwAIgBOAFIAXwBqAFwAIgApADsAXABuAFwAbgBWAEUARQBSAEcAXwA0AF8AMwBfADEAXwAzAF8AXwA2AF8ATgBpAHQAcgBvAGcAZQBuAFIAZQB0AGEAaQBuAGUAZABCAHkAQgBvAGQAeQBfAFUAbgBpAHQAXABuACAAIAA9AEwAQQBNAEIARABBACgAXAAiAGsAZwAgAE4ALwBoAGUAYQBkAC8AZABhAHkAXAAiACkAOwBcAG4AXABuAFYARQBFAFIARwBfADQAXwAzAF8AMQBfADMAXwBfADYAXwBOAGkAdAByAG8AZwBlAG4AUgBlAHQAYQBpAG4AZQBkAEIAeQBCAG8AZAB5AF8AUwBvAHUAcgBjAGUAXABuACAAIAA9AEwAQQBNAEIARABBACgAXAAiAFYARQBFAFIARwAgADIAMAAyADYAOgAgADQALgAzAC4AMQAuADMALAAgAEUAcQB1AGEAdABpAG8AbgAgACgANgApAFwAIgApADsAXABuAFwAbgBWAEUARQBSAEcAXwA0AF8AMwBfADEAXwAzAF8AXwA2AF8ATgBpAHQAcgBvAGcAZQBuAFIAZQB0AGEAaQBuAGUAZABCAHkAQgBvAGQAeQBfAE4ASQBSAFIAZQBmAGUAcgBlAG4AYwBlAFwAbgAgACAAPQBMAEEATQBCAEQAQQAoAFwAIgBcACIAKQA7AFwAbgBcAG4AVgBFAEUAUgBHAF8ANABfADMAXwAxAF8AMwBfAF8ANgBfAE4AaQB0AHIAbwBnAGUAbgBSAGUAdABhAGkAbgBlAGQAQgB5AEIAbwBkAHkAXwBMAGEAdABlAHgARQBxAHUAYQB0AGkAbwBuAFwAbgAgACAAPQBMAEEATQBCAEQAQQAoAFwAIgBOAFIAXwBqAD0AXABcAGwAZQBmAHQAKABcAFwAZgByAGEAYwB7ADAALgAwADMAMgAgAFwAXAB0AGkAbQBlAHMAIABNAFAAXwBqACAAXABcAHQAaQBtAGUAcwAgADEALgAwADMAfQB7ADYALgAzADgAfQBcAFwAcgBpAGcAaAB0ACkAIAArACAAXABcAGwAZQBmAHQAXABcAHsAXABcAGwAZQBmAHQAKAAwAC4AMgAxADIALQAwAC4AMAAwADgAIABcAFwAdABpAG0AZQBzACAAKABMAF8AagAgAC0AIAAyACkAIAAtACAAXABcAGwAZQBmAHQAWwBcAFwAZgByAGEAYwB7ADAALgAxADQAMAAtADAALgAwADAAOABcAFwAdABpAG0AZQBzACgATABfAGoALQAyACkAfQB7ADEAKwBlAF4AewAtADYAXABcAHQAaQBtAGUAcwAoAFoAXwBqAC0AMAAuADQAKQB9AH0AXABcAHIAaQBnAGgAdABdAFwAXAByAGkAZwBoAHQAKQAgAFwAXAB0AGkAbQBlAHMAIAAoAEwAVwBHAF8AagAgAFwAXAB0AGkAbQBlAHMAIAAwAC4AOQAyACkAXABcAHIAaQBnAGgAdABcAFwAfQAgAFwAXAB0AGkAbQBlAHMAIABcAFwAZgByAGEAYwB7ADEAfQB7ADYALgAyADUAfQBcACIAKQA7AFwAbgBcAG4AVgBFAEUAUgBHAF8ANABfADMAXwAxAF8AMwBfAF8ANgBfAE4AaQB0AHIAbwBnAGUAbgBSAGUAdABhAGkAbgBlAGQAQgB5AEIAbwBkAHkAXwBBAHIAZwB1AG0AZQBuAHQAcwBcAG4AIAAgAD0ATABBAE0AQgBEAEEAKABcAG4AIAAgACAAIABNAEEASwBFAEEAUgBSAEEAWQAoADQALAAgADIALABcAG4AIAAgACAAIAAgACAATABBAE0AQgBEAEEAKAByACwAYwAsAFwAbgAgACAAIAAgACAAIAAgACAASQBOAEQARQBYACgAewBcAG4AIAAgACAAIAAgACAAIAAgACAAIABcACIATQBQAF8AagBcACIALAAgAFwAIgBtAGkAbABrACAAcAByAG8AZAB1AGMAdABpAG8AbgAgACgATAAvAGgAZQBhAGQALwBkAGEAeQApAFwAIgA7AFwAbgAgACAAIAAgACAAIAAgACAAIAAgAFwAIgBMAF8AagBcACIALAAgAFwAIgBpAG4AdABhAGsAZQAgAHIAZQBsAGEAdABpAHYAZQAgAHQAbwAgAG0AYQBpAG4AdABlAG4AYQBuAGMAZQBcACIAOwBcAG4AIAAgACAAIAAgACAAIAAgACAAIABcACIAWgBfAGoAXAAiACwAIABcACIAcgBlAGwAYQB0AGkAdgBlACAAcwBpAHoAZQBcACIAOwBcAG4AIAAgACAAIAAgACAAIAAgACAAIABcACIATABXAEcAXwBqAFwAIgAsACAAXAAiAGwAaQB2AGUAdwBlAGkAZwBoAHQAIABnAGEAaQBuACAAKABrAGcALwBkAGEAeQApAFwAIgBcAG4AIAAgACAAIAAgACAAIAAgAH0ALAAgAHIALAAgAGMAKQBcAG4AIAAgACAAIAAgACAAKQBcAG4AIAAgACAAIAApAFwAbgAgACAAKQA7AFwAbgBcAG4ALwAqAFwAbgAtAC0ALQAtAC0ALQAtAC0ALQAtAC0ALQAtAC0ALQAtAC0ALQAtAC0ALQAtAC0ALQAtAC0ALQAtAC0ALQAtAC0ALQAtAC0ALQAtAC0AXABuAFYARQBFAFIARwBfADQAXwAzAF8AMQBfADMAXwBfADcAXwBJAG4AdABhAGsAZQBSAGUAbABhAHQAaQB2AGUAVABvAE0AYQBpAG4AdABlAG4AYQBuAGMAZQBcAG4ASQBuAHQAYQBrAGUAIAByAGUAbABhAHQAaQB2AGUAIAB0AG8AIABtAGEAaQBuAHQAZQBuAGEAbgBjAGUAXABuAEwAXwBqAFwAbgByAGEAdABpAG8AXABuAEwAXwBqAD0ASQBfAGoALwAoACgAMQAuADEAOAA1ACsAMAAuADAAMAA0ADUANABcAFwAdABpAG0AZQBzACAAVwBfAGoALQAwAC4AMAAwADAAMAAwADIANgBcAFwAdABpAG0AZQBzACAAVwBfAGoAXgAyACkAXgAyAFwAXAB0AGkAbQBlAHMAIABNAFIAXwBqACsATQBJAF8AagApAFwAbgBJAF8AagAgAD0AIABkAHIAeQAgAG0AYQB0AHQAZQByACAAaQBuAHQAYQBrAGUAIAAoAGsAZwBEAE0ALwBoAGUAYQBkAC8AZABhAHkAKQBcAG4AVwBfAGoAIAA9ACAAbABpAHYAZQB3AGUAaQBnAGgAdAAgACgAawBnACkAXABuAE0AUgBfAGoAIAA9ACAAaQBuAGMAcgBlAGEAcwBlACAAaQBuACAAbQBlAHQAYQBiAG8AbABpAGMAIAByAGEAdABlACAAdwBoAGUAbgAgAHAAcgBvAGQAdQBjAGkAbgBnACAAbQBpAGwAawBcAG4ATQBJAF8AagAgAD0AIABhAGQAZABpAHQAaQBvAG4AYQBsACAAaQBuAHQAYQBrAGUAIAByAGUAcQB1AGkAcgBlAGQAIABmAG8AcgAgAG0AaQBsAGsAIABwAHIAbwBkAHUAYwB0AGkAbwBuACAAKABrAGcARABNAC8AaABlAGEAZAAvAGQAYQB5ACkAXABuAC0ALQAtAC0ALQAtAC0ALQAtAC0ALQAtAC0ALQAtAC0ALQAtAC0ALQAtAC0ALQAtAC0ALQAtAC0ALQAtAC0ALQAtAC0ALQAtAC0ALQBcAG4AKgAvAFwAbgBcAG4AVgBFAEUAUgBHAF8ANABfADMAXwAxAF8AMwBfAF8ANwBfAEkAbgB0AGEAawBlAFIAZQBsAGEAdABpAHYAZQBUAG8ATQBhAGkAbgB0AGUAbgBhAG4AYwBlAFwAbgAgACAAPQBMAEEATQBCAEQAQQAoAFwAbgAgACAAIAAgAEkAXwBqACwAIABXAF8AagAsACAATQBSAF8AagAsACAATQBJAF8AagAsAFwAbgAgACAAIAAgAEkAXwBqACAALwAgACgAKAAoADEALgAxADgANQAgACsAIAAwAC4AMAAwADQANQA0ACAAKgAgAFcAXwBqACAALQAgADAALgAwADAAMAAwADAAMgA2ACAAKgAgAFcAXwBqACAAXgAgADIAKQAgAF4AIAAyACAAKgAgAE0AUgBfAGoAKQAgACsAIABNAEkAXwBqACkAXABuACAAIAApADsAXABuAFwAbgBWAEUARQBSAEcAXwA0AF8AMwBfADEAXwAzAF8AXwA3AF8ASQBuAHQAYQBrAGUAUgBlAGwAYQB0AGkAdgBlAFQAbwBNAGEAaQBuAHQAZQBuAGEAbgBjAGUAXwBUAGkAdABsAGUAXABuACAAIAA9AEwAQQBNAEIARABBACgAXAAiAEkAbgB0AGEAawBlACAAcgBlAGwAYQB0AGkAdgBlACAAdABvACAAbQBhAGkAbgB0AGUAbgBhAG4AYwBlAFwAIgApADsAXABuAFwAbgBWAEUARQBSAEcAXwA0AF8AMwBfADEAXwAzAF8AXwA3AF8ASQBuAHQAYQBrAGUAUgBlAGwAYQB0AGkAdgBlAFQAbwBNAGEAaQBuAHQAZQBuAGEAbgBjAGUAXwBWAGEAcgBpAGEAYgBsAGUAXABuACAAIAA9AEwAQQBNAEIARABBACgAXAAiAEwAXwBqAFwAIgApADsAXABuAFwAbgBWAEUARQBSAEcAXwA0AF8AMwBfADEAXwAzAF8AXwA3AF8ASQBuAHQAYQBrAGUAUgBlAGwAYQB0AGkAdgBlAFQAbwBNAGEAaQBuAHQAZQBuAGEAbgBjAGUAXwBVAG4AaQB0AFwAbgAgACAAPQBMAEEATQBCAEQAQQAoAFwAIgByAGEAdABpAG8AXAAiACkAOwBcAG4AXABuAFYARQBFAFIARwBfADQAXwAzAF8AMQBfADMAXwBfADcAXwBJAG4AdABhAGsAZQBSAGUAbABhAHQAaQB2AGUAVABvAE0AYQBpAG4AdABlAG4AYQBuAGMAZQBfAFMAbwB1AHIAYwBlAFwAbgAgACAAPQBMAEEATQBCAEQAQQAoAFwAIgBWAEUARQBSAEcAIAAyADAAMgA2ADoAIAA0AC4AMwAuADEALgAzACwAIABFAHEAdQBhAHQAaQBvAG4AIAAoADcAKQBcACIAKQA7AFwAbgBcAG4AVgBFAEUAUgBHAF8ANABfADMAXwAxAF8AMwBfAF8ANwBfAEkAbgB0AGEAawBlAFIAZQBsAGEAdABpAHYAZQBUAG8ATQBhAGkAbgB0AGUAbgBhAG4AYwBlAF8ATgBJAFIAUgBlAGYAZQByAGUAbgBjAGUAXABuACAAIAA9AEwAQQBNAEIARABBACgAXAAiAFwAIgApADsAXABuAFwAbgBWAEUARQBSAEcAXwA0AF8AMwBfADEAXwAzAF8AXwA3AF8ASQBuAHQAYQBrAGUAUgBlAGwAYQB0AGkAdgBlAFQAbwBNAGEAaQBuAHQAZQBuAGEAbgBjAGUAXwBMAGEAdABlAHgARQBxAHUAYQB0AGkAbwBuAFwAbgAgACAAPQBMAEEATQBCAEQAQQAoAFwAIgBMAF8AagA9AFwAXABmAHIAYQBjAHsASQBfAGoAfQB7ACgAMQAuADEAOAA1ACsAMAAuADAAMAA0ADUANABcAFwAdABpAG0AZQBzACAAVwBfAGoALQAwAC4AMAAwADAAMAAwADIANgBcAFwAdABpAG0AZQBzACAAVwBfAGoAXgAyACkAXgAyAFwAXAB0AGkAbQBlAHMAIABNAFIAXwBqACsATQBJAF8AagB9AFwAIgApADsAXABuAFwAbgBWAEUARQBSAEcAXwA0AF8AMwBfADEAXwAzAF8AXwA3AF8ASQBuAHQAYQBrAGUAUgBlAGwAYQB0AGkAdgBlAFQAbwBNAGEAaQBuAHQAZQBuAGEAbgBjAGUAXwBBAHIAZwB1AG0AZQBuAHQAcwBcAG4AIAAgAD0ATABBAE0AQgBEAEEAKABcAG4AIAAgACAAIABNAEEASwBFAEEAUgBSAEEAWQAoADQALAAgADIALABcAG4AIAAgACAAIAAgACAATABBAE0AQgBEAEEAKAByACwAYwAsAFwAbgAgACAAIAAgACAAIAAgACAASQBOAEQARQBYACgAewBcAG4AIAAgACAAIAAgACAAIAAgACAAIABcACIASQBfAGoAXAAiACwAIABcACIAZAByAHkAIABtAGEAdAB0AGUAcgAgAGkAbgB0AGEAawBlACAAKABrAGcARABNAC8AaABlAGEAZAAvAGQAYQB5ACkAXAAiADsAXABuACAAIAAgACAAIAAgACAAIAAgACAAXAAiAFcAXwBqAFwAIgAsACAAXAAiAGwAaQB2AGUAdwBlAGkAZwBoAHQAIAAoAGsAZwApAFwAIgA7AFwAbgAgACAAIAAgACAAIAAgACAAIAAgAFwAIgBNAFIAXwBqAFwAIgAsACAAXAAiAGkAbgBjAHIAZQBhAHMAZQAgAGkAbgAgAG0AZQB0AGEAYgBvAGwAaQBjACAAcgBhAHQAZQAgAHcAaABlAG4AIABwAHIAbwBkAHUAYwBpAG4AZwAgAG0AaQBsAGsAXAAiADsAXABuACAAIAAgACAAIAAgACAAIAAgACAAXAAiAE0ASQBfAGoAXAAiACwAIABcACIAYQBkAGQAaQB0AGkAbwBuAGEAbAAgAGkAbgB0AGEAawBlACAAcgBlAHEAdQBpAHIAZQBkACAAZgBvAHIAIABtAGkAbABrACAAcAByAG8AZAB1AGMAdABpAG8AbgAgACgAawBnAEQATQAvAGgAZQBhAGQALwBkAGEAeQApAFwAIgBcAG4AIAAgACAAIAAgACAAIAAgAH0ALAAgAHIALAAgAGMAKQBcAG4AIAAgACAAIAAgACAAKQBcAG4AIAAgACAAIAApAFwAbgAgACAAKQA7AFwAbgBcAG4ALwAqAFwAbgAtAC0ALQAtAC0ALQAtAC0ALQAtAC0ALQAtAC0ALQAtAC0ALQAtAC0ALQAtAC0ALQAtAC0ALQAtAC0ALQAtAC0ALQAtAC0ALQAtAC0AXABuAFYARQBFAFIARwBfADQAXwAzAF8AMQBfADMAXwBfADgAXwBSAGUAbABhAHQAaQB2AGUAUwBpAHoAZQBcAG4AUgBlAGwAYQB0AGkAdgBlACAAcwBpAHoAZQBcAG4AWgBfAGoAXABuAHIAYQB0AGkAbwBcAG4AWgBfAGoAPQBXAF8AagAvAFcAUgBfAGoAXABuAFcAXwBqACAAPQAgAGwAaQB2AGUAdwBlAGkAZwBoAHQAIAAoAGsAZwApAFwAbgBXAFIAXwBqACAAPQAgAHIAZQBmAGUAcgBlAG4AYwBlACAAdwBlAGkAZwBoAHQAIAAoAGsAZwApAFwAbgAtAC0ALQAtAC0ALQAtAC0ALQAtAC0ALQAtAC0ALQAtAC0ALQAtAC0ALQAtAC0ALQAtAC0ALQAtAC0ALQAtAC0ALQAtAC0ALQAtAC0AXABuACoALwBcAG4AXABuAFYARQBFAFIARwBfADQAXwAzAF8AMQBfADMAXwBfADgAXwBSAGUAbABhAHQAaQB2AGUAUwBpAHoAZQBcAG4AIAAgAD0ATABBAE0AQgBEAEEAKABcAG4AIAAgACAAIABXAF8AagAsACAAVwBSAF8AagAsAFwAbgAgACAAIAAgAFcAXwBqACAALwAgAFcAUgBfAGoAXABuACAAIAApADsAXABuAFwAbgBWAEUARQBSAEcAXwA0AF8AMwBfADEAXwAzAF8AXwA4AF8AUgBlAGwAYQB0AGkAdgBlAFMAaQB6AGUAXwBUAGkAdABsAGUAXABuACAAIAA9AEwAQQBNAEIARABBACgAXAAiAFIAZQBsAGEAdABpAHYAZQAgAHMAaQB6AGUAXAAiACkAOwBcAG4AXABuAFYARQBFAFIARwBfADQAXwAzAF8AMQBfADMAXwBfADgAXwBSAGUAbABhAHQAaQB2AGUAUwBpAHoAZQBfAFYAYQByAGkAYQBiAGwAZQBcAG4AIAAgAD0ATABBAE0AQgBEAEEAKABcACIAWgBfAGoAXAAiACkAOwBcAG4AXABuAFYARQBFAFIARwBfADQAXwAzAF8AMQBfADMAXwBfADgAXwBSAGUAbABhAHQAaQB2AGUAUwBpAHoAZQBfAFUAbgBpAHQAXABuACAAIAA9AEwAQQBNAEIARABBACgAXAAiAHIAYQB0AGkAbwBcACIAKQA7AFwAbgBcAG4AVgBFAEUAUgBHAF8ANABfADMAXwAxAF8AMwBfAF8AOABfAFIAZQBsAGEAdABpAHYAZQBTAGkAegBlAF8AUwBvAHUAcgBjAGUAXABuACAAIAA9AEwAQQBNAEIARABBACgAXAAiAFYARQBFAFIARwAgADIAMAAyADYAOgAgADQALgAzAC4AMQAuADMALAAgAEUAcQB1AGEAdABpAG8AbgAgACgAOAApAFwAIgApADsAXABuAFwAbgBWAEUARQBSAEcAXwA0AF8AMwBfADEAXwAzAF8AXwA4AF8AUgBlAGwAYQB0AGkAdgBlAFMAaQB6AGUAXwBOAEkAUgBSAGUAZgBlAHIAZQBuAGMAZQBcAG4AIAAgAD0ATABBAE0AQgBEAEEAKABcACIAXAAiACkAOwBcAG4AXABuAFYARQBFAFIARwBfADQAXwAzAF8AMQBfADMAXwBfADgAXwBSAGUAbABhAHQAaQB2AGUAUwBpAHoAZQBfAEwAYQB0AGUAeABFAHEAdQBhAHQAaQBvAG4AXABuACAAIAA9AEwAQQBNAEIARABBACgAXAAiAFoAXwBqAD0AXABcAGYAcgBhAGMAewBXAF8AagB9AHsAVwBSAF8AagB9AFwAIgApADsAXABuAFwAbgBWAEUARQBSAEcAXwA0AF8AMwBfADEAXwAzAF8AXwA4AF8AUgBlAGwAYQB0AGkAdgBlAFMAaQB6AGUAXwBBAHIAZwB1AG0AZQBuAHQAcwBcAG4AIAAgAD0ATABBAE0AQgBEAEEAKABcAG4AIAAgACAAIABNAEEASwBFAEEAUgBSAEEAWQAoADIALAAgADIALABcAG4AIAAgACAAIAAgACAATABBAE0AQgBEAEEAKAByACwAYwAsAFwAbgAgACAAIAAgACAAIAAgACAASQBOAEQARQBYACgAewBcAG4AIAAgACAAIAAgACAAIAAgACAAIABcACIAVwBfAGoAXAAiACwAIABcACIAbABpAHYAZQB3AGUAaQBnAGgAdAAgACgAawBnACkAXAAiADsAXABuACAAIAAgACAAIAAgACAAIAAgACAAXAAiAFcAUgBfAGoAXAAiACwAIABcACIAcgBlAGYAZQByAGUAbgBjAGUAIAB3AGUAaQBnAGgAdAAgACgAawBnACkAXAAiAFwAbgAgACAAIAAgACAAIAAgACAAfQAsACAAcgAsACAAYwApAFwAbgAgACAAIAAgACAAIAApAFwAbgAgACAAIAAgACkAXABuACAAIAApADsAXABuACIAfQAsAHsAIgBwAGEAdABoACIAOgAiAC8AcAByAG8AagBlAGMAdABzAC8ARQBuAHQAZQByAGkAYwBNAGUAdABoAGEAbgBlAF8ARABhAGkAcgB5AF8ARQBxAHUAYQB0AGkAbwBuAHMAIgAsACIAdABlAHgAdAAiADoAIgAvACoAXABuAD0APQA9AD0APQA9AD0APQA9AD0APQA9AD0APQA9AD0APQA9AD0APQA9AD0APQA9AD0APQA9AD0APQA9AD0APQA9AD0APQA9AD0APQA9AD0APQA9AD0APQA9AD0APQA9AD0APQA9AD0APQA9AD0APQA9AD0APQA9AD0APQA9AD0APQA9AD0APQA9AD0APQA9AD0APQA9AD0AXABuADMALgAzADoAIABFAG4AdABlAHIAaQBjACAATQBlAHQAaABhAG4AZQAgAC0AIABEAGEAaQByAHkAIABDAGEAdAB0AGwAZQBcAG4APQA9AD0APQA9AD0APQA9AD0APQA9AD0APQA9AD0APQA9AD0APQA9AD0APQA9AD0APQA9AD0APQA9AD0APQA9AD0APQA9AD0APQA9AD0APQA9AD0APQA9AD0APQA9AD0APQA9AD0APQA9AD0APQA9AD0APQA9AD0APQA9AD0APQA9AD0APQA9AD0APQA9AD0APQA9AD0APQBcAG4AMwAuADMALgAxAC4AMQAgAE0AZQB0AGgAbwBkACAAMQAgAC0AIABFAG4AdABlAHIAaQBjACAARABhAGkAcgB5ACAAQwBhAHQAdABsAGUAXABuAD0APQA9AD0APQA9AD0APQA9AD0APQA9AD0APQA9AD0APQA9AD0APQA9AD0APQA9AD0APQA9AD0APQA9AD0APQA9AD0APQA9AD0APQA9AD0APQA9AD0APQA9AD0APQA9AD0APQA9AD0APQA9AD0APQA9AD0APQA9AD0APQA9AD0APQA9AD0APQA9AD0APQA9AD0APQA9AD0AXABuACoALwBcAG4AXABuAC8AKgBcAG4ALQAtAC0ALQAtAC0ALQAtAC0ALQAtAC0ALQAtAC0ALQAtAC0ALQAtAC0ALQAtAC0ALQAtAC0ALQAtAC0ALQAtAC0ALQAtAC0ALQAtAFwAbgBWAEUARQBSAEcAXwAzAF8AMwBfADEAXwAxAF8AXwAxAF8AVABvAHQAYQBsAEEAbgBuAHUAYQBsAE0AZQB0AGgAYQBuAGUARgByAG8AbQBFAG4AdABlAHIAaQBjAEYAZQByAG0AZQBuAHQAYQB0AGkAbwBuAFwAbgBUAG8AdABhAGwAIABhAG4AbgB1AGEAbAAgAG0AZQB0AGgAYQBuAGUAIABwAHIAbwBkAHUAYwB0AGkAbwBuACAAZgByAG8AbQAgAGUAbgB0AGUAcgBpAGMAIABmAGUAcgBtAGUAbgB0AGEAdABpAG8AbgAgAGkAbgAgAGQAYQBpAHIAeQAgAGMAYQB0AHQAbABlAFwAbgBFAF8AZQBuAHQAZQByAGkAYwBcAG4AdAAgAEMASAA0AFwAbgBFAF8AewBlAG4AdABlAHIAaQBjAH0APQAoACgATgBfAHsAagA9ADEALAAyACwANAB9AFwAXAB0AGkAbQBlAHMAIABNAF8AewBqAD0AMQAsADIALAA0AH0AXABcAHQAaQBtAGUAcwAgAEQAXwB7AGoAPQAxACwAMgAsADQAfQApACsAKABOAF8AewBqAD0AMwAsADUAfQBcAFwAdABpAG0AZQBzACAATQBfAHsAagA9ADMALAA1AH0AXABcAHQAaQBtAGUAcwAgAEQAXwB7AGoAPQAzACwANQB9ACkAKwAoAE4AXwB7AGoAPQAzACwANQB9AFwAXAB0AGkAbQBlAHMAIABNAFAAVwBfAHsARQBOAFQARQBSAEkAQwAsAGoAPQAzACwANQB9AFwAXAB0AGkAbQBlAHMAIABEAF8AewBqAD0AMwAsADUAfQApACkAXABcAHQAaQBtAGUAcwAgADEAMABeAHsALQAzAH0AXABuAE4AXwBqADEAMgA0ACAAPQAgAG4AdQBtAGIAZQByACAAbwBmACAAZABhAGkAcgB5ACAAYwBhAHQAdABsAGUAIABpAG4AIABjAGwAYQBzAHMAZQBzACAAagA9ADEALAAyACwANAAgACgAaABlAGEAZAApAFwAbgBNAF8AagAxADIANAAgAD0AIABkAGEAaQBsAHkAIABlAG4AdABlAHIAaQBjACAAbQBlAHQAaABhAG4AZQAgAHAAcgBvAGQAdQBjAHQAaQBvAG4AIABmAG8AcgAgAGMAbABhAHMAcwBlAHMAIABqAD0AMQAsADIALAA0ACAAKABrAGcAIABDAEgANAAvAGgAZQBhAGQALwBkAGEAeQApAFwAbgBEAF8AagAxADIANAAgAD0AIABkAHUAcgBhAHQAaQBvAG4AIABvAGYAIABzAHQAYQB5ACAAbwBuACAAdABoAGUAIABmAGEAcgBtACAAZgBvAHIAIABjAGwAYQBzAHMAZQBzACAAagA9ADEALAAyACwANAAgACgAZABhAHkAcwApAFwAbgBOAF8AagAzADUAIAA9ACAAbgB1AG0AYgBlAHIAIABvAGYAIABkAGEAaQByAHkAIABjAGEAdAB0AGwAZQAgAGkAbgAgAGMAbABhAHMAcwBlAHMAIABqAD0AMwAsADUAIAAoAGgAZQBhAGQAKQBcAG4ATQBfAGoAMwA1ACAAPQAgAGQAYQBpAGwAeQAgAGUAbgB0AGUAcgBpAGMAIABtAGUAdABoAGEAbgBlACAAcAByAG8AZAB1AGMAdABpAG8AbgAgAGYAbwByACAAYwBsAGEAcwBzAGUAcwAgAGoAPQAzACwANQAgACgAawBnACAAQwBIADQALwBoAGUAYQBkAC8AZABhAHkAKQBcAG4ARABfAGoAMwA1ACAAPQAgAGQAdQByAGEAdABpAG8AbgAgAG8AZgAgAHMAdABhAHkAIABvAG4AIAB0AGgAZQAgAGYAYQByAG0AIABmAG8AcgAgAGMAbABhAHMAcwBlAHMAIABqAD0AMwAsADUAIAAoAGQAYQB5AHMAKQBcAG4ATQBQAFcAXwBFAE4AVABFAFIASQBDAF8AagAzADUAIAA9ACAAZABhAGkAbAB5ACAAbQBlAHQAaABhAG4AZQAgAHAAcgBvAGQAdQBjAHQAaQBvAG4AIABmAG8AcgAgAHAAcgBlAC0AdwBlAGEAbgBlAGQAIABoAGUAaQBmAGUAcgAgAGEAbgBkACAAYgB1AGwAbAAgAGMAYQBsAHYAZQBzACAAKABrAGcAIABDAEgANAAvAGgAZQBhAGQALwBkAGEAeQApAFwAbgAtAC0ALQAtAC0ALQAtAC0ALQAtAC0ALQAtAC0ALQAtAC0ALQAtAC0ALQAtAC0ALQAtAC0ALQAtAC0ALQAtAC0ALQAtAC0ALQAtAC0AXABuACoALwBcAG4AXABuAFYARQBFAFIARwBfADMAXwAzAF8AMQBfADEAXwBfADEAXwBUAG8AdABhAGwAQQBuAG4AdQBhAGwATQBlAHQAaABhAG4AZQBGAHIAbwBtAEUAbgB0AGUAcgBpAGMARgBlAHIAbQBlAG4AdABhAHQAaQBvAG4AXABuACAAIAA9AEwAQQBNAEIARABBACgAXABuACAAIAAgACAATgBfAGoAMQAyADQALAAgAE0AXwBqADEAMgA0ACwAIABEAF8AagAxADIANAAsACAATgBfAGoAMwA1ACwAIABNAF8AagAzADUALAAgAEQAXwBqADMANQAsACAATQBQAFcAXwBFAE4AVABFAFIASQBDAF8AagAzADUALABcAG4AIAAgACAAIAAoACgATgBfAGoAMQAyADQAIAAqACAATQBfAGoAMQAyADQAIAAqACAARABfAGoAMQAyADQAKQAgACsAIAAoAE4AXwBqADMANQAgACoAIABNAF8AagAzADUAIAAqACAARABfAGoAMwA1ACkAIAArACAAKABOAF8AagAzADUAIAAqACAATQBQAFcAXwBFAE4AVABFAFIASQBDAF8AagAzADUAIAAqACAARABfAGoAMwA1ACkAKQAgACoAIAAxADAAIABeACAALQAzAFwAbgAgACAAKQA7AFwAbgBcAG4AVgBFAEUAUgBHAF8AMwBfADMAXwAxAF8AMQBfAF8AMQBfAFQAbwB0AGEAbABBAG4AbgB1AGEAbABNAGUAdABoAGEAbgBlAEYAcgBvAG0ARQBuAHQAZQByAGkAYwBGAGUAcgBtAGUAbgB0AGEAdABpAG8AbgBfAFQAaQB0AGwAZQBcAG4AIAAgAD0ATABBAE0AQgBEAEEAKABcACIAVABvAHQAYQBsACAAYQBuAG4AdQBhAGwAIABtAGUAdABoAGEAbgBlACAAcAByAG8AZAB1AGMAdABpAG8AbgAgAGYAcgBvAG0AIABlAG4AdABlAHIAaQBjACAAZgBlAHIAbQBlAG4AdABhAHQAaQBvAG4AIABpAG4AIABkAGEAaQByAHkAIABjAGEAdAB0AGwAZQBcACIAKQA7AFwAbgBcAG4AVgBFAEUAUgBHAF8AMwBfADMAXwAxAF8AMQBfAF8AMQBfAFQAbwB0AGEAbABBAG4AbgB1AGEAbABNAGUAdABoAGEAbgBlAEYAcgBvAG0ARQBuAHQAZQByAGkAYwBGAGUAcgBtAGUAbgB0AGEAdABpAG8AbgBfAFYAYQByAGkAYQBiAGwAZQBcAG4AIAAgAD0ATABBAE0AQgBEAEEAKABcACIARQBfAGUAbgB0AGUAcgBpAGMAXAAiACkAOwBcAG4AXABuAFYARQBFAFIARwBfADMAXwAzAF8AMQBfADEAXwBfADEAXwBUAG8AdABhAGwAQQBuAG4AdQBhAGwATQBlAHQAaABhAG4AZQBGAHIAbwBtAEUAbgB0AGUAcgBpAGMARgBlAHIAbQBlAG4AdABhAHQAaQBvAG4AXwBVAG4AaQB0AFwAbgAgACAAPQBMAEEATQBCAEQAQQAoAFwAIgB0ACAAQwBIADQAXAAiACkAOwBcAG4AXABuAFYARQBFAFIARwBfADMAXwAzAF8AMQBfADEAXwBfADEAXwBUAG8AdABhAGwAQQBuAG4AdQBhAGwATQBlAHQAaABhAG4AZQBGAHIAbwBtAEUAbgB0AGUAcgBpAGMARgBlAHIAbQBlAG4AdABhAHQAaQBvAG4AXwBTAG8AdQByAGMAZQBcAG4AIAAgAD0ATABBAE0AQgBEAEEAKABcACIAVgBFAEUAUgBHACAAMgAwADIANgA6ACAAMwAuADMALgAxAC4AMQAsACAARQBxAHUAYQB0AGkAbwBuACAAKAAxACkAXAAiACkAOwBcAG4AXABuAFYARQBFAFIARwBfADMAXwAzAF8AMQBfADEAXwBfADEAXwBUAG8AdABhAGwAQQBuAG4AdQBhAGwATQBlAHQAaABhAG4AZQBGAHIAbwBtAEUAbgB0AGUAcgBpAGMARgBlAHIAbQBlAG4AdABhAHQAaQBvAG4AXwBOAEkAUgBSAGUAZgBlAHIAZQBuAGMAZQBcAG4AIAAgAD0ATABBAE0AQgBEAEEAKABcACIAXAAiACkAOwBcAG4AXABuAFYARQBFAFIARwBfADMAXwAzAF8AMQBfADEAXwBfADEAXwBUAG8AdABhAGwAQQBuAG4AdQBhAGwATQBlAHQAaABhAG4AZQBGAHIAbwBtAEUAbgB0AGUAcgBpAGMARgBlAHIAbQBlAG4AdABhAHQAaQBvAG4AXwBMAGEAdABlAHgARQBxAHUAYQB0AGkAbwBuAFwAbgAgACAAPQBMAEEATQBCAEQAQQAoAFwAIgBFAF8AewBlAG4AdABlAHIAaQBjAH0APQAoACgATgBfAHsAagA9ADEALAAyACwANAB9AFwAXAB0AGkAbQBlAHMAIABNAF8AewBqAD0AMQAsADIALAA0AH0AXABcAHQAaQBtAGUAcwAgAEQAXwB7AGoAPQAxACwAMgAsADQAfQApACsAKABOAF8AewBqAD0AMwAsADUAfQBcAFwAdABpAG0AZQBzACAATQBfAHsAagA9ADMALAA1AH0AXABcAHQAaQBtAGUAcwAgAEQAXwB7AGoAPQAzACwANQB9ACkAKwAoAE4AXwB7AGoAPQAzACwANQB9AFwAXAB0AGkAbQBlAHMAIABNAFAAVwBfAHsARQBOAFQARQBSAEkAQwAsAGoAPQAzACwANQB9AFwAXAB0AGkAbQBlAHMAIABEAF8AewBqAD0AMwAsADUAfQApACkAXABcAHQAaQBtAGUAcwAgADEAMABeAHsALQAzAH0AXAAiACkAOwBcAG4AXABuAFYARQBFAFIARwBfADMAXwAzAF8AMQBfADEAXwBfADEAXwBUAG8AdABhAGwAQQBuAG4AdQBhAGwATQBlAHQAaABhAG4AZQBGAHIAbwBtAEUAbgB0AGUAcgBpAGMARgBlAHIAbQBlAG4AdABhAHQAaQBvAG4AXwBBAHIAZwB1AG0AZQBuAHQAcwBcAG4AIAAgAD0ATABBAE0AQgBEAEEAKABcAG4AIAAgACAAIABNAEEASwBFAEEAUgBSAEEAWQAoADcALAAgADIALABcAG4AIAAgACAAIAAgACAATABBAE0AQgBEAEEAKAByACwAYwAsAFwAbgAgACAAIAAgACAAIAAgACAASQBOAEQARQBYACgAewBcAG4AIAAgACAAIAAgACAAIAAgACAAIABcACIATgBfAGoAMQAyADQAXAAiACwAIABcACIAbgB1AG0AYgBlAHIAIABvAGYAIABkAGEAaQByAHkAIABjAGEAdAB0AGwAZQAgAGkAbgAgAGMAbABhAHMAcwBlAHMAIABqAD0AMQAsADIALAA0ACAAKABoAGUAYQBkACkAXAAiADsAXABuACAAIAAgACAAIAAgACAAIAAgACAAXAAiAE0AXwBqADEAMgA0AFwAIgAsACAAXAAiAGQAYQBpAGwAeQAgAGUAbgB0AGUAcgBpAGMAIABtAGUAdABoAGEAbgBlACAAcAByAG8AZAB1AGMAdABpAG8AbgAgAGYAbwByACAAYwBsAGEAcwBzAGUAcwAgAGoAPQAxACwAMgAsADQAIAAoAGsAZwAgAEMASAA0AC8AaABlAGEAZAAvAGQAYQB5ACkAXAAiADsAXABuACAAIAAgACAAIAAgACAAIAAgACAAXAAiAEQAXwBqADEAMgA0AFwAIgAsACAAXAAiAGQAdQByAGEAdABpAG8AbgAgAG8AZgAgAHMAdABhAHkAIABvAG4AIAB0AGgAZQAgAGYAYQByAG0AIABmAG8AcgAgAGMAbABhAHMAcwBlAHMAIABqAD0AMQAsADIALAA0ACAAKABkAGEAeQBzACkAXAAiADsAXABuACAAIAAgACAAIAAgACAAIAAgACAAXAAiAE4AXwBqADMANQBcACIALAAgAFwAIgBuAHUAbQBiAGUAcgAgAG8AZgAgAGQAYQBpAHIAeQAgAGMAYQB0AHQAbABlACAAaQBuACAAYwBsAGEAcwBzAGUAcwAgAGoAPQAzACwANQAgACgAaABlAGEAZAApAFwAIgA7AFwAbgAgACAAIAAgACAAIAAgACAAIAAgAFwAIgBNAF8AagAzADUAXAAiACwAIABcACIAZABhAGkAbAB5ACAAZQBuAHQAZQByAGkAYwAgAG0AZQB0AGgAYQBuAGUAIABwAHIAbwBkAHUAYwB0AGkAbwBuACAAZgBvAHIAIABjAGwAYQBzAHMAZQBzACAAagA9ADMALAA1ACAAKABrAGcAIABDAEgANAAvAGgAZQBhAGQALwBkAGEAeQApAFwAIgA7AFwAbgAgACAAIAAgACAAIAAgACAAIAAgAFwAIgBEAF8AagAzADUAXAAiACwAIABcACIAZAB1AHIAYQB0AGkAbwBuACAAbwBmACAAcwB0AGEAeQAgAG8AbgAgAHQAaABlACAAZgBhAHIAbQAgAGYAbwByACAAYwBsAGEAcwBzAGUAcwAgAGoAPQAzACwANQAgACgAZABhAHkAcwApAFwAIgA7AFwAbgAgACAAIAAgACAAIAAgACAAIAAgAFwAIgBNAFAAVwBfAEUATgBUAEUAUgBJAEMAXwBqADMANQBcACIALAAgAFwAIgBkAGEAaQBsAHkAIABtAGUAdABoAGEAbgBlACAAcAByAG8AZAB1AGMAdABpAG8AbgAgAGYAbwByACAAcAByAGUALQB3AGUAYQBuAGUAZAAgAGgAZQBpAGYAZQByACAAYQBuAGQAIABiAHUAbABsACAAYwBhAGwAdgBlAHMAIAAoAGsAZwAgAEMASAA0AC8AaABlAGEAZAAvAGQAYQB5ACkAXAAiAFwAbgAgACAAIAAgACAAIAAgACAAfQAsACAAcgAsACAAYwApAFwAbgAgACAAIAAgACAAIAApAFwAbgAgACAAIAAgACkAXABuACAAIAApADsAXABuAFwAbgAvACoAXABuAC0ALQAtAC0ALQAtAC0ALQAtAC0ALQAtAC0ALQAtAC0ALQAtAC0ALQAtAC0ALQAtAC0ALQAtAC0ALQAtAC0ALQAtAC0ALQAtAC0ALQBcAG4AVgBFAEUAUgBHAF8AMwBfADMAXwAxAF8AMQBfAF8AMgBfAEQAYQBpAGwAeQBFAG4AdABlAHIAaQBjAE0AZQB0AGgAYQBuAGUAUAByAG8AZAB1AGMAdABpAG8AbgBcAG4ARABhAGkAbAB5ACAAcAByAG8AZAB1AGMAdABpAG8AbgAgAG8AZgAgAGUAbgB0AGUAcgBpAGMAIABtAGUAdABoAGEAbgBlAFwAbgBNAF8AagBcAG4AawBnACAAQwBIADQALwBoAGUAYQBkAC8AZABhAHkAXABuAE0AXwBqAD0AMgAwAC4ANwBcAFwAdABpAG0AZQBzACAASQBfAGoAXABcAHQAaQBtAGUAcwAgADEAMABeAHsALQAzAH0AXABuAEkAXwBqACAAPQAgAGQAcgB5ACAAbQBhAHQAdABlAHIAIABmAGUAZQBkACAAaQBuAHQAYQBrAGUAIAAoAGsAZwAgAEQATQAvAGgAZQBhAGQALwBkAGEAeQApAFwAbgAtAC0ALQAtAC0ALQAtAC0ALQAtAC0ALQAtAC0ALQAtAC0ALQAtAC0ALQAtAC0ALQAtAC0ALQAtAC0ALQAtAC0ALQAtAC0ALQAtAC0AXABuACoALwBcAG4AXABuAFYARQBFAFIARwBfADMAXwAzAF8AMQBfADEAXwBfADIAXwBEAGEAaQBsAHkARQBuAHQAZQByAGkAYwBNAGUAdABoAGEAbgBlAFAAcgBvAGQAdQBjAHQAaQBvAG4AXABuACAAIAA9AEwAQQBNAEIARABBACgAXABuACAAIAAgACAASQBfAGoALABcAG4AIAAgACAAIAAyADAALgA3ACAAKgAgAEkAXwBqACAAKgAgADEAMAAgAF4AIAAtADMAXABuACAAIAApADsAXABuAFwAbgBWAEUARQBSAEcAXwAzAF8AMwBfADEAXwAxAF8AXwAyAF8ARABhAGkAbAB5AEUAbgB0AGUAcgBpAGMATQBlAHQAaABhAG4AZQBQAHIAbwBkAHUAYwB0AGkAbwBuAF8AVABpAHQAbABlAFwAbgAgACAAPQBMAEEATQBCAEQAQQAoAFwAIgBEAGEAaQBsAHkAIABwAHIAbwBkAHUAYwB0AGkAbwBuACAAbwBmACAAZQBuAHQAZQByAGkAYwAgAG0AZQB0AGgAYQBuAGUAXAAiACkAOwBcAG4AXABuAFYARQBFAFIARwBfADMAXwAzAF8AMQBfADEAXwBfADIAXwBEAGEAaQBsAHkARQBuAHQAZQByAGkAYwBNAGUAdABoAGEAbgBlAFAAcgBvAGQAdQBjAHQAaQBvAG4AXwBWAGEAcgBpAGEAYgBsAGUAXABuACAAIAA9AEwAQQBNAEIARABBACgAXAAiAE0AXwBqAFwAIgApADsAXABuAFwAbgBWAEUARQBSAEcAXwAzAF8AMwBfADEAXwAxAF8AXwAyAF8ARABhAGkAbAB5AEUAbgB0AGUAcgBpAGMATQBlAHQAaABhAG4AZQBQAHIAbwBkAHUAYwB0AGkAbwBuAF8AVQBuAGkAdABcAG4AIAAgAD0ATABBAE0AQgBEAEEAKABcACIAawBnACAAQwBIADQALwBoAGUAYQBkAC8AZABhAHkAXAAiACkAOwBcAG4AXABuAFYARQBFAFIARwBfADMAXwAzAF8AMQBfADEAXwBfADIAXwBEAGEAaQBsAHkARQBuAHQAZQByAGkAYwBNAGUAdABoAGEAbgBlAFAAcgBvAGQAdQBjAHQAaQBvAG4AXwBTAG8AdQByAGMAZQBcAG4AIAAgAD0ATABBAE0AQgBEAEEAKABcACIAVgBFAEUAUgBHACAAMgAwADIANgA6ACAAMwAuADMALgAxAC4AMQAsACAARQBxAHUAYQB0AGkAbwBuACAAKAAyACkAXAAiACkAOwBcAG4AXABuAFYARQBFAFIARwBfADMAXwAzAF8AMQBfADEAXwBfADIAXwBEAGEAaQBsAHkARQBuAHQAZQByAGkAYwBNAGUAdABoAGEAbgBlAFAAcgBvAGQAdQBjAHQAaQBvAG4AXwBOAEkAUgBSAGUAZgBlAHIAZQBuAGMAZQBcAG4AIAAgAD0ATABBAE0AQgBEAEEAKABcACIAQwBoAGEAcgBtAGwAZQB5ACAAZQB0ACAAYQBsAC4AIAAoADIAMAAxADUAKQBcACIAKQA7AFwAbgBcAG4AVgBFAEUAUgBHAF8AMwBfADMAXwAxAF8AMQBfAF8AMgBfAEQAYQBpAGwAeQBFAG4AdABlAHIAaQBjAE0AZQB0AGgAYQBuAGUAUAByAG8AZAB1AGMAdABpAG8AbgBfAEwAYQB0AGUAeABFAHEAdQBhAHQAaQBvAG4AXABuACAAIAA9AEwAQQBNAEIARABBACgAXAAiAE0AXwBqAD0AMgAwAC4ANwBcAFwAdABpAG0AZQBzACAASQBfAGoAXABcAHQAaQBtAGUAcwAgADEAMABeAHsALQAzAH0AXAAiACkAOwBcAG4AXABuAFYARQBFAFIARwBfADMAXwAzAF8AMQBfADEAXwBfADIAXwBEAGEAaQBsAHkARQBuAHQAZQByAGkAYwBNAGUAdABoAGEAbgBlAFAAcgBvAGQAdQBjAHQAaQBvAG4AXwBBAHIAZwB1AG0AZQBuAHQAcwBcAG4AIAAgAD0ATABBAE0AQgBEAEEAKABcAG4AIAAgACAAIABNAEEASwBFAEEAUgBSAEEAWQAoADEALAAgADIALABcAG4AIAAgACAAIAAgACAATABBAE0AQgBEAEEAKAByACwAYwAsAFwAbgAgACAAIAAgACAAIAAgACAASQBOAEQARQBYACgAewBcAG4AIAAgACAAIAAgACAAIAAgACAAIABcACIASQBfAGoAXAAiACwAIABcACIAZAByAHkAIABtAGEAdAB0AGUAcgAgAGYAZQBlAGQAIABpAG4AdABhAGsAZQAgACgAawBnACAARABNAC8AaABlAGEAZAAvAGQAYQB5ACkAXAAiAFwAbgAgACAAIAAgACAAIAAgACAAfQAsACAAcgAsACAAYwApAFwAbgAgACAAIAAgACAAIAApAFwAbgAgACAAIAAgACkAXABuACAAIAApADsAXABuAFwAbgAvACoAXABuAC0ALQAtAC0ALQAtAC0ALQAtAC0ALQAtAC0ALQAtAC0ALQAtAC0ALQAtAC0ALQAtAC0ALQAtAC0ALQAtAC0ALQAtAC0ALQAtAC0ALQBcAG4AVgBFAEUAUgBHAF8AMwBfADMAXwAxAF8AMQBfAF8AMwBfAEQAcgB5AE0AYQB0AHQAZQByAEYAZQBlAGQASQBuAHQAYQBrAGUAXABuAEYAZQBlAGQAIABpAG4AdABhAGsAZQAgAGIAYQBzAGUAZAAgAG8AbgAgAE0AaQBuAHMAbwBuACAAYQBuAGQAIABNAGMARABvAG4AYQBsAGQAIAAoADEAOQA4ADcAKQBcAG4ASQBfAGoAXABuAGsAZwAgAEQATQAvAGgAZQBhAGQALwBkAGEAeQBcAG4ASQBfAGoAPQAoADEALgAxADgANQArADAALgAwADAANAA1ADQAXABcAHQAaQBtAGUAcwAgAFcAXwBqAC0AMAAuADAAMAAwADAAMAAyADYAXABcAHQAaQBtAGUAcwAgAFcAXwBqAF4AMgArADAALgAzADEANQBcAFwAdABpAG0AZQBzACAATABXAEcAXwBqACkAXgAyAFwAXAB0AGkAbQBlAHMAIABNAFIAXwBqACsATQBJAF8AagBcAG4AVwBfAGoAIAA9ACAAbABpAHYAZQB3AGUAaQBnAGgAdAAgACgAawBnACkAXABuAEwAVwBHAF8AagAgAD0AIABsAGkAdgBlAHcAZQBpAGcAaAB0ACAAZwBhAGkAbgAgACgAawBnAC8AaABlAGEAZAAvAGQAYQB5ACkAXABuAE0AUgBfAGoAIAA9ACAAaQBuAGMAcgBlAGEAcwBlACAAaQBuACAAbQBlAHQAYQBiAG8AbABpAGMAIAByAGEAdABlACAAdwBoAGUAbgAgAHAAcgBvAGQAdQBjAGkAbgBnACAAbQBpAGwAawAgACgAZgByAGEAYwB0AGkAbwBuACkAXABuAE0ASQBfAGoAIAA9ACAAYQBkAGQAaQB0AGkAbwBuAGEAbAAgAGkAbgB0AGEAawBlACAAcgBlAHEAdQBpAHIAZQBkACAAZgBvAHIAIABtAGkAbABrACAAcAByAG8AZAB1AGMAdABpAG8AbgAgACgAawBnACAARABNAC8AaABlAGEAZAAvAGQAYQB5ACkAXABuAC0ALQAtAC0ALQAtAC0ALQAtAC0ALQAtAC0ALQAtAC0ALQAtAC0ALQAtAC0ALQAtAC0ALQAtAC0ALQAtAC0ALQAtAC0ALQAtAC0ALQBcAG4AKgAvAFwAbgBcAG4AVgBFAEUAUgBHAF8AMwBfADMAXwAxAF8AMQBfAF8AMwBfAEQAcgB5AE0AYQB0AHQAZQByAEYAZQBlAGQASQBuAHQAYQBrAGUAXABuACAAIAA9AEwAQQBNAEIARABBACgAXABuACAAIAAgACAAVwBfAGoALAAgAEwAVwBHAF8AagAsACAATQBSAF8AagAsACAATQBJAF8AagAsAFwAbgAgACAAIAAgACgAMQAuADEAOAA1ACAAKwAgADAALgAwADAANAA1ADQAIAAqACAAVwBfAGoAIAAtACAAMAAuADAAMAAwADAAMAAyADYAIAAqACAAVwBfAGoAIABeACAAMgAgACsAIAAwAC4AMwAxADUAIAAqACAATABXAEcAXwBqACkAIABeACAAMgAgACoAIABNAFIAXwBqACAAKwAgAE0ASQBfAGoAXABuACAAIAApADsAXABuAFwAbgBWAEUARQBSAEcAXwAzAF8AMwBfADEAXwAxAF8AXwAzAF8ARAByAHkATQBhAHQAdABlAHIARgBlAGUAZABJAG4AdABhAGsAZQBfAFQAaQB0AGwAZQBcAG4AIAAgAD0ATABBAE0AQgBEAEEAKABcACIARgBlAGUAZAAgAGkAbgB0AGEAawBlACAAYgBhAHMAZQBkACAAbwBuACAATQBpAG4AcwBvAG4AIABhAG4AZAAgAE0AYwBEAG8AbgBhAGwAZAAgACgAMQA5ADgANwApAFwAIgApADsAXABuAFwAbgBWAEUARQBSAEcAXwAzAF8AMwBfADEAXwAxAF8AXwAzAF8ARAByAHkATQBhAHQAdABlAHIARgBlAGUAZABJAG4AdABhAGsAZQBfAFYAYQByAGkAYQBiAGwAZQBcAG4AIAAgAD0ATABBAE0AQgBEAEEAKABcACIASQBfAGoAXAAiACkAOwBcAG4AXABuAFYARQBFAFIARwBfADMAXwAzAF8AMQBfADEAXwBfADMAXwBEAHIAeQBNAGEAdAB0AGUAcgBGAGUAZQBkAEkAbgB0AGEAawBlAF8AVQBuAGkAdABcAG4AIAAgAD0ATABBAE0AQgBEAEEAKABcACIAawBnACAARABNAC8AaABlAGEAZAAvAGQAYQB5AFwAIgApADsAXABuAFwAbgBWAEUARQBSAEcAXwAzAF8AMwBfADEAXwAxAF8AXwAzAF8ARAByAHkATQBhAHQAdABlAHIARgBlAGUAZABJAG4AdABhAGsAZQBfAFMAbwB1AHIAYwBlAFwAbgAgACAAPQBMAEEATQBCAEQAQQAoAFwAIgBWAEUARQBSAEcAIAAyADAAMgA2ADoAIAAzAC4AMwAuADEALgAxACwAIABFAHEAdQBhAHQAaQBvAG4AIAAoADMAKQBcACIAKQA7AFwAbgBcAG4AVgBFAEUAUgBHAF8AMwBfADMAXwAxAF8AMQBfAF8AMwBfAEQAcgB5AE0AYQB0AHQAZQByAEYAZQBlAGQASQBuAHQAYQBrAGUAXwBOAEkAUgBSAGUAZgBlAHIAZQBuAGMAZQBcAG4AIAAgAD0ATABBAE0AQgBEAEEAKABcACIATQBpAG4AcwBvAG4AIABhAG4AZAAgAE0AYwBEAG8AbgBhAGwAZAAgACgAMQA5ADgANwApAFwAIgApADsAXABuAFwAbgBWAEUARQBSAEcAXwAzAF8AMwBfADEAXwAxAF8AXwAzAF8ARAByAHkATQBhAHQAdABlAHIARgBlAGUAZABJAG4AdABhAGsAZQBfAEwAYQB0AGUAeABFAHEAdQBhAHQAaQBvAG4AXABuACAAIAA9AEwAQQBNAEIARABBACgAXAAiAEkAXwBqAD0AKAAxAC4AMQA4ADUAKwAwAC4AMAAwADQANQA0AFwAXAB0AGkAbQBlAHMAIABXAF8AagAtADAALgAwADAAMAAwADAAMgA2AFwAXAB0AGkAbQBlAHMAIABXAF8AagBeADIAKwAwAC4AMwAxADUAXABcAHQAaQBtAGUAcwAgAEwAVwBHAF8AagApAF4AMgBcAFwAdABpAG0AZQBzACAATQBSAF8AagArAE0ASQBfAGoAXAAiACkAOwBcAG4AXABuAFYARQBFAFIARwBfADMAXwAzAF8AMQBfADEAXwBfADMAXwBEAHIAeQBNAGEAdAB0AGUAcgBGAGUAZQBkAEkAbgB0AGEAawBlAF8AQQByAGcAdQBtAGUAbgB0AHMAXABuACAAIAA9AEwAQQBNAEIARABBACgAXABuACAAIAAgACAATQBBAEsARQBBAFIAUgBBAFkAKAA0ACwAIAAyACwAXABuACAAIAAgACAAIAAgAEwAQQBNAEIARABBACgAcgAsAGMALABcAG4AIAAgACAAIAAgACAAIAAgAEkATgBEAEUAWAAoAHsAXABuACAAIAAgACAAIAAgACAAIAAgACAAXAAiAFcAXwBqAFwAIgAsACAAXAAiAGwAaQB2AGUAdwBlAGkAZwBoAHQAIAAoAGsAZwApAFwAIgA7AFwAbgAgACAAIAAgACAAIAAgACAAIAAgAFwAIgBMAFcARwBfAGoAXAAiACwAIABcACIAbABpAHYAZQB3AGUAaQBnAGgAdAAgAGcAYQBpAG4AIAAoAGsAZwAvAGgAZQBhAGQALwBkAGEAeQApAFwAIgA7AFwAbgAgACAAIAAgACAAIAAgACAAIAAgAFwAIgBNAFIAXwBqAFwAIgAsACAAXAAiAGkAbgBjAHIAZQBhAHMAZQAgAGkAbgAgAG0AZQB0AGEAYgBvAGwAaQBjACAAcgBhAHQAZQAgAHcAaABlAG4AIABwAHIAbwBkAHUAYwBpAG4AZwAgAG0AaQBsAGsAIAAoAGYAcgBhAGMAdABpAG8AbgApAFwAIgA7AFwAbgAgACAAIAAgACAAIAAgACAAIAAgAFwAIgBNAEkAXwBqAFwAIgAsACAAXAAiAGEAZABkAGkAdABpAG8AbgBhAGwAIABpAG4AdABhAGsAZQAgAHIAZQBxAHUAaQByAGUAZAAgAGYAbwByACAAbQBpAGwAawAgAHAAcgBvAGQAdQBjAHQAaQBvAG4AIAAoAGsAZwAgAEQATQAvAGgAZQBhAGQALwBkAGEAeQApAFwAIgBcAG4AIAAgACAAIAAgACAAIAAgAH0ALAAgAHIALAAgAGMAKQBcAG4AIAAgACAAIAAgACAAKQBcAG4AIAAgACAAIAApAFwAbgAgACAAKQA7AFwAbgBcAG4ALwAqAFwAbgAtAC0ALQAtAC0ALQAtAC0ALQAtAC0ALQAtAC0ALQAtAC0ALQAtAC0ALQAtAC0ALQAtAC0ALQAtAC0ALQAtAC0ALQAtAC0ALQAtAC0AXABuAFYARQBFAFIARwBfADMAXwAzAF8AMQBfADEAXwBfADQAXwBBAGQAZABpAHQAaQBvAG4AYQBsAEkAbgB0AGEAawBlAEYAbwByAE0AaQBsAGsAUAByAG8AZAB1AGMAdABpAG8AbgBcAG4AQQBkAGQAaQB0AGkAbwBuAGEAbAAgAGkAbgB0AGEAawBlACAAcgBlAHEAdQBpAHIAZQBkACAAZgBvAHIAIABtAGkAbABrACAAcAByAG8AZAB1AGMAdABpAG8AbgBcAG4ATQBJAF8AagBcAG4AawBnACAARABNAC8AaABlAGEAZAAvAGQAYQB5AFwAbgBNAEkAXwBqAD0AKABNAFAAXwBqAFwAXAB0AGkAbQBlAHMAIAAxAC4AMAAzAFwAXAB0AGkAbQBlAHMAIABOAEUAKQAvACgARwBFAEMAXABcAHQAaQBtAGUAcwAgAGsAXABcAHQAaQBtAGUAcwAgAHEAbQBfAGoAKQBcAG4ATQBQAF8AagAgAD0AIABtAGkAbABrACAAcAByAG8AZAB1AGMAdABpAG8AbgAgACgATAAvAGgAZQBhAGQALwBkAGEAeQApAFwAbgBOAEUAIAA9ACAAbgBlAHQAIABlAG4AZQByAGcAeQAgACgATQBKACAAbgBlAHQAIABlAG4AZQByAGcAeQAvAGsAZwAgAG0AaQBsAGsAKQBcAG4ARwBFAEMAIAA9ACAAZwByAG8AcwBzACAAZQBuAGUAcgBnAHkAIABjAG8AbgB0AGUAbgB0ACAAKABNAEoALwBrAGcARABNACkAXABuAGsAIAA9ACAAZQBmAGYAaQBjAGkAZQBuAGMAeQAgAG8AZgAgAG0AZQB0AGEAYgBvAGwAaQB6AGEAYgBsAGUAIABlAG4AZQByAGcAeQAgAHUAcwBlACAAZgBvAHIAIABtAGkAbABrACAAcAByAG8AZAB1AGMAdABpAG8AbgAgACgAZgByAGEAYwB0AGkAbwBuACkAXABuAHEAbQBfAGoAIAA9ACAAbQBlAHQAYQBiAG8AbABpAHMAYQBiAGkAbABpAHQAeQAgAG8AZgAgAHQAaABlACAAZABpAGUAdAAgACgAZgByAGEAYwB0AGkAbwBuACkAXABuAC0ALQAtAC0ALQAtAC0ALQAtAC0ALQAtAC0ALQAtAC0ALQAtAC0ALQAtAC0ALQAtAC0ALQAtAC0ALQAtAC0ALQAtAC0ALQAtAC0ALQBcAG4AKgAvAFwAbgBcAG4AVgBFAEUAUgBHAF8AMwBfADMAXwAxAF8AMQBfAF8ANABfAEEAZABkAGkAdABpAG8AbgBhAGwASQBuAHQAYQBrAGUARgBvAHIATQBpAGwAawBQAHIAbwBkAHUAYwB0AGkAbwBuAFwAbgAgACAAPQBMAEEATQBCAEQAQQAoAFwAbgAgACAAIAAgAE0AUABfAGoALAAgAE4ARQAsACAARwBFAEMALAAgAGsALAAgAHEAbQBfAGoALABcAG4AIAAgACAAIAAoAE0AUABfAGoAIAAqACAAMQAuADAAMwAgACoAIABOAEUAKQAgAC8AIAAoAEcARQBDACAAKgAgAGsAIAAqACAAcQBtAF8AagApAFwAbgAgACAAKQA7AFwAbgBcAG4AVgBFAEUAUgBHAF8AMwBfADMAXwAxAF8AMQBfAF8ANABfAEEAZABkAGkAdABpAG8AbgBhAGwASQBuAHQAYQBrAGUARgBvAHIATQBpAGwAawBQAHIAbwBkAHUAYwB0AGkAbwBuAF8AVABpAHQAbABlAFwAbgAgACAAPQBMAEEATQBCAEQAQQAoAFwAIgBBAGQAZABpAHQAaQBvAG4AYQBsACAAaQBuAHQAYQBrAGUAIAByAGUAcQB1AGkAcgBlAGQAIABmAG8AcgAgAG0AaQBsAGsAIABwAHIAbwBkAHUAYwB0AGkAbwBuAFwAIgApADsAXABuAFwAbgBWAEUARQBSAEcAXwAzAF8AMwBfADEAXwAxAF8AXwA0AF8AQQBkAGQAaQB0AGkAbwBuAGEAbABJAG4AdABhAGsAZQBGAG8AcgBNAGkAbABrAFAAcgBvAGQAdQBjAHQAaQBvAG4AXwBWAGEAcgBpAGEAYgBsAGUAXABuACAAIAA9AEwAQQBNAEIARABBACgAXAAiAE0ASQBfAGoAXAAiACkAOwBcAG4AXABuAFYARQBFAFIARwBfADMAXwAzAF8AMQBfADEAXwBfADQAXwBBAGQAZABpAHQAaQBvAG4AYQBsAEkAbgB0AGEAawBlAEYAbwByAE0AaQBsAGsAUAByAG8AZAB1AGMAdABpAG8AbgBfAFUAbgBpAHQAXABuACAAIAA9AEwAQQBNAEIARABBACgAXAAiAGsAZwAgAEQATQAvAGgAZQBhAGQALwBkAGEAeQBcACIAKQA7AFwAbgBcAG4AVgBFAEUAUgBHAF8AMwBfADMAXwAxAF8AMQBfAF8ANABfAEEAZABkAGkAdABpAG8AbgBhAGwASQBuAHQAYQBrAGUARgBvAHIATQBpAGwAawBQAHIAbwBkAHUAYwB0AGkAbwBuAF8AUwBvAHUAcgBjAGUAXABuACAAIAA9AEwAQQBNAEIARABBACgAXAAiAFYARQBFAFIARwAgADIAMAAyADYAOgAgADMALgAzAC4AMQAuADEALAAgAEUAcQB1AGEAdABpAG8AbgAgACgANAApAFwAIgApADsAXABuAFwAbgBWAEUARQBSAEcAXwAzAF8AMwBfADEAXwAxAF8AXwA0AF8AQQBkAGQAaQB0AGkAbwBuAGEAbABJAG4AdABhAGsAZQBGAG8AcgBNAGkAbABrAFAAcgBvAGQAdQBjAHQAaQBvAG4AXwBOAEkAUgBSAGUAZgBlAHIAZQBuAGMAZQBcAG4AIAAgAD0ATABBAE0AQgBEAEEAKABcACIAXAAiACkAOwBcAG4AXABuAFYARQBFAFIARwBfADMAXwAzAF8AMQBfADEAXwBfADQAXwBBAGQAZABpAHQAaQBvAG4AYQBsAEkAbgB0AGEAawBlAEYAbwByAE0AaQBsAGsAUAByAG8AZAB1AGMAdABpAG8AbgBfAEwAYQB0AGUAeABFAHEAdQBhAHQAaQBvAG4AXABuACAAIAA9AEwAQQBNAEIARABBACgAXAAiAE0ASQBfAGoAPQBcAFwAZgByAGEAYwB7AE0AUABfAGoAXABcAHQAaQBtAGUAcwAgADEALgAwADMAXABcAHQAaQBtAGUAcwAgAE4ARQB9AHsARwBFAEMAXABcAHQAaQBtAGUAcwAgAGsAXABcAHQAaQBtAGUAcwAgAHEAbQBfAGoAfQBcACIAKQA7AFwAbgBcAG4AVgBFAEUAUgBHAF8AMwBfADMAXwAxAF8AMQBfAF8ANABfAEEAZABkAGkAdABpAG8AbgBhAGwASQBuAHQAYQBrAGUARgBvAHIATQBpAGwAawBQAHIAbwBkAHUAYwB0AGkAbwBuAF8AQQByAGcAdQBtAGUAbgB0AHMAXABuACAAIAA9AEwAQQBNAEIARABBACgAXABuACAAIAAgACAATQBBAEsARQBBAFIAUgBBAFkAKAA1ACwAIAAyACwAXABuACAAIAAgACAAIAAgAEwAQQBNAEIARABBACgAcgAsAGMALABcAG4AIAAgACAAIAAgACAAIAAgAEkATgBEAEUAWAAoAHsAXABuACAAIAAgACAAIAAgACAAIAAgACAAXAAiAE0AUABfAGoAXAAiACwAIABcACIAbQBpAGwAawAgAHAAcgBvAGQAdQBjAHQAaQBvAG4AIAAoAEwALwBoAGUAYQBkAC8AZABhAHkAKQBcACIAOwBcAG4AIAAgACAAIAAgACAAIAAgACAAIABcACIATgBFAFwAIgAsACAAXAAiAG4AZQB0ACAAZQBuAGUAcgBnAHkAIAAoAE0ASgAgAG4AZQB0ACAAZQBuAGUAcgBnAHkALwBrAGcAIABtAGkAbABrACkAXAAiADsAXABuACAAIAAgACAAIAAgACAAIAAgACAAXAAiAEcARQBDAFwAIgAsACAAXAAiAGcAcgBvAHMAcwAgAGUAbgBlAHIAZwB5ACAAYwBvAG4AdABlAG4AdAAgACgATQBKAC8AawBnAEQATQApAFwAIgA7AFwAbgAgACAAIAAgACAAIAAgACAAIAAgAFwAIgBrAFwAIgAsACAAXAAiAGUAZgBmAGkAYwBpAGUAbgBjAHkAIABvAGYAIABtAGUAdABhAGIAbwBsAGkAegBhAGIAbABlACAAZQBuAGUAcgBnAHkAIAB1AHMAZQAgAGYAbwByACAAbQBpAGwAawAgAHAAcgBvAGQAdQBjAHQAaQBvAG4AIAAoAGYAcgBhAGMAdABpAG8AbgApAFwAIgA7AFwAbgAgACAAIAAgACAAIAAgACAAIAAgAFwAIgBxAG0AXwBqAFwAIgAsACAAXAAiAG0AZQB0AGEAYgBvAGwAaQBzAGEAYgBpAGwAaQB0AHkAIABvAGYAIAB0AGgAZQAgAGQAaQBlAHQAIAAoAGYAcgBhAGMAdABpAG8AbgApAFwAIgBcAG4AIAAgACAAIAAgACAAIAAgAH0ALAAgAHIALAAgAGMAKQBcAG4AIAAgACAAIAAgACAAKQBcAG4AIAAgACAAIAApAFwAbgAgACAAKQA7AFwAbgBcAG4ALwAqAFwAbgAtAC0ALQAtAC0ALQAtAC0ALQAtAC0ALQAtAC0ALQAtAC0ALQAtAC0ALQAtAC0ALQAtAC0ALQAtAC0ALQAtAC0ALQAtAC0ALQAtAC0AXABuAFYARQBFAFIARwBfADMAXwAzAF8AMQBfADEAXwBfADUAXwBNAGkAbABrAFAAcgBvAGQAdQBjAHQAaQBvAG4ARgByAG8AbQBNAGkAbABrAFMAbwBsAGkAZABzAFwAbgBNAGkAbABrACAAcAByAG8AZAB1AGMAdABpAG8AbgAgAGMAbwBuAHYAZQByAHQAZQBkACAAZgByAG8AbQAgAG0AaQBsAGsAIABzAG8AbABpAGQAcwBcAG4ATQBQAF8AagBcAG4ATAAvAGgAZQBhAGQALwBkAGEAeQBcAG4ATQBQAF8AagA9AE0AUwBfAGoALwAoADAALgAwADEAXABcAHQAaQBtAGUAcwAgACgARgBDAF8AagArAFAAQwBfAGoAKQApAFwAbgBNAFMAXwBqACAAPQAgAGQAYQBpAGwAeQAgAHAAcgBvAGQAdQBjAHQAaQBvAG4AIABvAGYAIABtAGkAbABrACAAcwBvAGwAaQBkAHMAIAAoAGsAZwAgAE0AUwAvAGgAZQBhAGQALwBkAGEAeQApAFwAbgBGAEMAXwBqACAAPQAgAGYAYQB0ACAAYwBvAG4AdABlAG4AdAAgAGkAbgAgAGYAYQB0ACAAYQBuAGQAIABwAHIAbwB0AGUAaQBuACAAYwBvAHIAcgBlAGMAdABlAGQAIABtAGkAbABrACAAKABwAGUAcgAgAGMAZQBuAHQAKQBcAG4AUABDAF8AagAgAD0AIABwAHIAbwB0AGUAaQBuACAAYwBvAG4AdABlAG4AdAAgAGkAbgAgAGYAYQB0ACAAYQBuAGQAIABwAHIAbwB0AGUAaQBuACAAYwBvAHIAcgBlAGMAdABlAGQAIABtAGkAbABrACAAKABwAGUAcgAgAGMAZQBuAHQAKQBcAG4ALQAtAC0ALQAtAC0ALQAtAC0ALQAtAC0ALQAtAC0ALQAtAC0ALQAtAC0ALQAtAC0ALQAtAC0ALQAtAC0ALQAtAC0ALQAtAC0ALQAtAFwAbgAqAC8AXABuAFwAbgBWAEUARQBSAEcAXwAzAF8AMwBfADEAXwAxAF8AXwA1AF8ATQBpAGwAawBQAHIAbwBkAHUAYwB0AGkAbwBuAEYAcgBvAG0ATQBpAGwAawBTAG8AbABpAGQAcwBcAG4AIAAgAD0ATABBAE0AQgBEAEEAKABcAG4AIAAgACAAIABNAFMAXwBqACwAIABGAEMAXwBqACwAIABQAEMAXwBqACwAXABuACAAIAAgACAATQBTAF8AagAgAC8AIAAoADAALgAwADEAIAAqACAAKABGAEMAXwBqACAAKwAgAFAAQwBfAGoAKQApAFwAbgAgACAAKQA7AFwAbgBcAG4AVgBFAEUAUgBHAF8AMwBfADMAXwAxAF8AMQBfAF8ANQBfAE0AaQBsAGsAUAByAG8AZAB1AGMAdABpAG8AbgBGAHIAbwBtAE0AaQBsAGsAUwBvAGwAaQBkAHMAXwBUAGkAdABsAGUAXABuACAAIAA9AEwAQQBNAEIARABBACgAXAAiAE0AaQBsAGsAIABwAHIAbwBkAHUAYwB0AGkAbwBuACAAYwBvAG4AdgBlAHIAdABlAGQAIABmAHIAbwBtACAAbQBpAGwAawAgAHMAbwBsAGkAZABzAFwAIgApADsAXABuAFwAbgBWAEUARQBSAEcAXwAzAF8AMwBfADEAXwAxAF8AXwA1AF8ATQBpAGwAawBQAHIAbwBkAHUAYwB0AGkAbwBuAEYAcgBvAG0ATQBpAGwAawBTAG8AbABpAGQAcwBfAFYAYQByAGkAYQBiAGwAZQBcAG4AIAAgAD0ATABBAE0AQgBEAEEAKABcACIATQBQAF8AagBcACIAKQA7AFwAbgBcAG4AVgBFAEUAUgBHAF8AMwBfADMAXwAxAF8AMQBfAF8ANQBfAE0AaQBsAGsAUAByAG8AZAB1AGMAdABpAG8AbgBGAHIAbwBtAE0AaQBsAGsAUwBvAGwAaQBkAHMAXwBVAG4AaQB0AFwAbgAgACAAPQBMAEEATQBCAEQAQQAoAFwAIgBMAC8AaABlAGEAZAAvAGQAYQB5AFwAIgApADsAXABuAFwAbgBWAEUARQBSAEcAXwAzAF8AMwBfADEAXwAxAF8AXwA1AF8ATQBpAGwAawBQAHIAbwBkAHUAYwB0AGkAbwBuAEYAcgBvAG0ATQBpAGwAawBTAG8AbABpAGQAcwBfAFMAbwB1AHIAYwBlAFwAbgAgACAAPQBMAEEATQBCAEQAQQAoAFwAIgBWAEUARQBSAEcAIAAyADAAMgA2ADoAIAAzAC4AMwAuADEALgAxACwAIABFAHEAdQBhAHQAaQBvAG4AIAAoADUAKQBcACIAKQA7AFwAbgBcAG4AVgBFAEUAUgBHAF8AMwBfADMAXwAxAF8AMQBfAF8ANQBfAE0AaQBsAGsAUAByAG8AZAB1AGMAdABpAG8AbgBGAHIAbwBtAE0AaQBsAGsAUwBvAGwAaQBkAHMAXwBOAEkAUgBSAGUAZgBlAHIAZQBuAGMAZQBcAG4AIAAgAD0ATABBAE0AQgBEAEEAKABcACIAXAAiACkAOwBcAG4AXABuAFYARQBFAFIARwBfADMAXwAzAF8AMQBfADEAXwBfADUAXwBNAGkAbABrAFAAcgBvAGQAdQBjAHQAaQBvAG4ARgByAG8AbQBNAGkAbABrAFMAbwBsAGkAZABzAF8ATABhAHQAZQB4AEUAcQB1AGEAdABpAG8AbgBcAG4AIAAgAD0ATABBAE0AQgBEAEEAKABcACIATQBQAF8AagA9AE0AUwBfAGoALwAoADAALgAwADEAXABcAHQAaQBtAGUAcwAgACgARgBDAF8AagArAFAAQwBfAGoAKQApAFwAIgApADsAXABuAFwAbgBWAEUARQBSAEcAXwAzAF8AMwBfADEAXwAxAF8AXwA1AF8ATQBpAGwAawBQAHIAbwBkAHUAYwB0AGkAbwBuAEYAcgBvAG0ATQBpAGwAawBTAG8AbABpAGQAcwBfAEEAcgBnAHUAbQBlAG4AdABzAFwAbgAgACAAPQBMAEEATQBCAEQAQQAoAFwAbgAgACAAIAAgAE0AQQBLAEUAQQBSAFIAQQBZACgAMwAsACAAMgAsAFwAbgAgACAAIAAgACAAIABMAEEATQBCAEQAQQAoAHIALABjACwAXABuACAAIAAgACAAIAAgACAAIABJAE4ARABFAFgAKAB7AFwAbgAgACAAIAAgACAAIAAgACAAIAAgAFwAIgBNAFMAXwBqAFwAIgAsACAAXAAiAGQAYQBpAGwAeQAgAHAAcgBvAGQAdQBjAHQAaQBvAG4AIABvAGYAIABtAGkAbABrACAAcwBvAGwAaQBkAHMAIAAoAGsAZwAgAE0AUwAvAGgAZQBhAGQALwBkAGEAeQApAFwAIgA7AFwAbgAgACAAIAAgACAAIAAgACAAIAAgAFwAIgBGAEMAXwBqAFwAIgAsACAAXAAiAGYAYQB0ACAAYwBvAG4AdABlAG4AdAAgAGkAbgAgAGYAYQB0ACAAYQBuAGQAIABwAHIAbwB0AGUAaQBuACAAYwBvAHIAcgBlAGMAdABlAGQAIABtAGkAbABrACAAKABwAGUAcgAgAGMAZQBuAHQAKQBcACIAOwBcAG4AIAAgACAAIAAgACAAIAAgACAAIABcACIAUABDAF8AagBcACIALAAgAFwAIgBwAHIAbwB0AGUAaQBuACAAYwBvAG4AdABlAG4AdAAgAGkAbgAgAGYAYQB0ACAAYQBuAGQAIABwAHIAbwB0AGUAaQBuACAAYwBvAHIAcgBlAGMAdABlAGQAIABtAGkAbABrACAAKABwAGUAcgAgAGMAZQBuAHQAKQBcACIAXABuACAAIAAgACAAIAAgACAAIAB9ACwAIAByACwAIABjACkAXABuACAAIAAgACAAIAAgACkAXABuACAAIAAgACAAKQBcAG4AIAAgACkAOwBcAG4AXABuAC8AKgBcAG4ALQAtAC0ALQAtAC0ALQAtAC0ALQAtAC0ALQAtAC0ALQAtAC0ALQAtAC0ALQAtAC0ALQAtAC0ALQAtAC0ALQAtAC0ALQAtAC0ALQAtAFwAbgBWAEUARQBSAEcAXwAzAF8AMwBfADEAXwAxAF8AXwA2AF8ATQBlAHQAYQBiAG8AbABpAHMAYQBiAGkAbABpAHQAeQBPAGYARABpAGUAdABcAG4ATQBlAHQAYQBiAG8AbABpAHMAYQBiAGkAbABpAHQAeQAgAG8AZgAgAHQAaABlACAAZABpAGUAdAAgAGIAYQBzAGUAZAAgAG8AbgAgAE0AaQBuAHMAbwBuACAAYQBuAGQAIABNAGMARABvAG4AYQBsAGQAIAAoADEAOQA4ADcAKQBcAG4AcQBtAF8AagBcAG4AZgByAGEAYwB0AGkAbwBuAFwAbgBxAG0AXwBqAD0AMAAuADcAOQA1AFwAXAB0AGkAbQBlAHMAIAAoAEQATQBEAF8AagBcAFwAdABpAG0AZQBzACAAMQAwADAAKQAtADAALgAwADAAMQA0AFwAbgBEAE0ARABfAGoAIAA9ACAAZAByAHkAIABtAGEAdAB0AGUAcgAgAGQAaQBnAGUAcwB0AGkAYgBpAGwAaQB0AHkAIABlAHgAcAByAGUAcwBzAGUAZAAgAGEAcwAgAGEAIABmAHIAYQBjAHQAaQBvAG4AXABuAC0ALQAtAC0ALQAtAC0ALQAtAC0ALQAtAC0ALQAtAC0ALQAtAC0ALQAtAC0ALQAtAC0ALQAtAC0ALQAtAC0ALQAtAC0ALQAtAC0ALQBcAG4AKgAvAFwAbgBcAG4AVgBFAEUAUgBHAF8AMwBfADMAXwAxAF8AMQBfAF8ANgBfAE0AZQB0AGEAYgBvAGwAaQBzAGEAYgBpAGwAaQB0AHkATwBmAEQAaQBlAHQAXABuACAAIAA9AEwAQQBNAEIARABBACgAXABuACAAIAAgACAARABNAEQAXwBqACwAXABuACAAIAAgACAAMAAuADcAOQA1ACAAKgAgACgARABNAEQAXwBqACAAKgAgADEAMAAwACkAIAAtACAAMAAuADAAMAAxADQAXABuACAAIAApADsAXABuAFwAbgBWAEUARQBSAEcAXwAzAF8AMwBfADEAXwAxAF8AXwA2AF8ATQBlAHQAYQBiAG8AbABpAHMAYQBiAGkAbABpAHQAeQBPAGYARABpAGUAdABfAFQAaQB0AGwAZQBcAG4AIAAgAD0ATABBAE0AQgBEAEEAKABcACIATQBlAHQAYQBiAG8AbABpAHMAYQBiAGkAbABpAHQAeQAgAG8AZgAgAHQAaABlACAAZABpAGUAdAAgAGIAYQBzAGUAZAAgAG8AbgAgAE0AaQBuAHMAbwBuACAAYQBuAGQAIABNAGMARABvAG4AYQBsAGQAIAAoADEAOQA4ADcAKQBcACIAKQA7AFwAbgBcAG4AVgBFAEUAUgBHAF8AMwBfADMAXwAxAF8AMQBfAF8ANgBfAE0AZQB0AGEAYgBvAGwAaQBzAGEAYgBpAGwAaQB0AHkATwBmAEQAaQBlAHQAXwBWAGEAcgBpAGEAYgBsAGUAXABuACAAIAA9AEwAQQBNAEIARABBACgAXAAiAHEAbQBfAGoAXAAiACkAOwBcAG4AXABuAFYARQBFAFIARwBfADMAXwAzAF8AMQBfADEAXwBfADYAXwBNAGUAdABhAGIAbwBsAGkAcwBhAGIAaQBsAGkAdAB5AE8AZgBEAGkAZQB0AF8AVQBuAGkAdABcAG4AIAAgAD0ATABBAE0AQgBEAEEAKABcACIAZgByAGEAYwB0AGkAbwBuAFwAIgApADsAXABuAFwAbgBWAEUARQBSAEcAXwAzAF8AMwBfADEAXwAxAF8AXwA2AF8ATQBlAHQAYQBiAG8AbABpAHMAYQBiAGkAbABpAHQAeQBPAGYARABpAGUAdABfAFMAbwB1AHIAYwBlAFwAbgAgACAAPQBMAEEATQBCAEQAQQAoAFwAIgBWAEUARQBSAEcAIAAyADAAMgA2ADoAIAAzAC4AMwAuADEALgAxACwAIABFAHEAdQBhAHQAaQBvAG4AIAAoADYAKQBcACIAKQA7AFwAbgBcAG4AVgBFAEUAUgBHAF8AMwBfADMAXwAxAF8AMQBfAF8ANgBfAE0AZQB0AGEAYgBvAGwAaQBzAGEAYgBpAGwAaQB0AHkATwBmAEQAaQBlAHQAXwBOAEkAUgBSAGUAZgBlAHIAZQBuAGMAZQBcAG4AIAAgAD0ATABBAE0AQgBEAEEAKABcACIATQBpAG4AcwBvAG4AIABhAG4AZAAgAE0AYwBEAG8AbgBhAGwAZAAgACgAMQA5ADgANwApAFwAIgApADsAXABuAFwAbgBWAEUARQBSAEcAXwAzAF8AMwBfADEAXwAxAF8AXwA2AF8ATQBlAHQAYQBiAG8AbABpAHMAYQBiAGkAbABpAHQAeQBPAGYARABpAGUAdABfAEwAYQB0AGUAeABFAHEAdQBhAHQAaQBvAG4AXABuACAAIAA9AEwAQQBNAEIARABBACgAXAAiAHEAbQBfAGoAPQAwAC4ANwA5ADUAXABcAHQAaQBtAGUAcwAgACgARABNAEQAXwBqAFwAXAB0AGkAbQBlAHMAIAAxADAAMAApAC0AMAAuADAAMAAxADQAXAAiACkAOwBcAG4AXABuAFYARQBFAFIARwBfADMAXwAzAF8AMQBfADEAXwBfADYAXwBNAGUAdABhAGIAbwBsAGkAcwBhAGIAaQBsAGkAdAB5AE8AZgBEAGkAZQB0AF8AQQByAGcAdQBtAGUAbgB0AHMAXABuACAAIAA9AEwAQQBNAEIARABBACgAXABuACAAIAAgACAATQBBAEsARQBBAFIAUgBBAFkAKAAxACwAIAAyACwAXABuACAAIAAgACAAIAAgAEwAQQBNAEIARABBACgAcgAsAGMALABcAG4AIAAgACAAIAAgACAAIAAgAEkATgBEAEUAWAAoAHsAXABuACAAIAAgACAAIAAgACAAIAAgACAAXAAiAEQATQBEAF8AagBcACIALAAgAFwAIgBkAHIAeQAgAG0AYQB0AHQAZQByACAAZABpAGcAZQBzAHQAaQBiAGkAbABpAHQAeQAgAGUAeABwAHIAZQBzAHMAZQBkACAAYQBzACAAYQAgAGYAcgBhAGMAdABpAG8AbgBcACIAXABuACAAIAAgACAAIAAgACAAIAB9ACwAIAByACwAIABjACkAXABuACAAIAAgACAAIAAgACkAXABuACAAIAAgACAAKQBcAG4AIAAgACkAOwBcAG4AXABuACIAfQAsAHsAIgBwAGEAdABoACIAOgAiAC8AcAByAG8AagBlAGMAdABzAC8ASQBuAHAAdQB0AEYAdQBuAGMAdABpAG8AbgBzAF8ARABhAGkAcgB5ACIALAAiAHQAZQB4AHQAIgA6ACIAQwBhAGwAYwB1AGwAYQB0AGUARgByAGEAYwB0AGkAbwBuAEkAbgBNAE0AUwBBAGYAdABlAHIAUwBvAGwAaQBkAFMAZQBwAGEAcgBhAHQAaQBvAG4AXABuAD0ATABBAE0AQgBEAEEAKABcAG4AIAAgACAAIABQAHIAbwBkAHUAYwB0AGkAbwBuAFMAeQBzAHQAZQBtACwAIABNAE0AUwBGAHIAYQBjAHQAaQBvAG4ALAAgAEYAcgBhAGMAdABpAG8AbgBTAGUAcABhAHIAYQB0AGUAZAAsAFwAbgAgACAAIAAgAFAAcgBvAGQAdQBjAHQAaQBvAG4AUwB5AHMAdABlAG0AIAAqACAAKABNAE0AUwBGAHIAYQBjAHQAaQBvAG4ALQAoAE0ATQBTAEYAcgBhAGMAdABpAG8AbgAqAEYAcgBhAGMAdABpAG8AbgBTAGUAcABhAHIAYQB0AGUAZAApACkAXABuACkAOwBcAG4AXABuAEMAYQBsAGMAdQBsAGEAdABlAEYAcgBhAGMAdABpAG8AbgBJAG4AUwBvAGwAaQBkAFMAdABvAHIAYQBnAGUAXABuAD0ATABBAE0AQgBEAEEAKABcAG4AIAAgACAAIABQAHIAbwBkAHUAYwB0AGkAbwBuAFMAeQBzAHQAZQBtACwAIABJAG4AaQB0AGEAbABTAG8AbABpAGQAUwB0AG8AcgBhAGcAZQBGAHIAYQBjAHQAaQBvAG4ALABcAG4AIAAgACAAIABNAE0AUwAxAEYAcgBhAGMAdABpAG8AbgAsACAATQBNAFMAMQBTAGUAcABhAHIAYQB0AGUAZAAsACAAXABuACAAIAAgACAATQBNAFMAMgBGAHIAYQBjAHQAaQBvAG4ALAAgAE0ATQBTADIAUwBlAHAAYQByAGEAdABlAGQALAAgAFwAbgAgACAAIAAgAE0ATQBTADMARgByAGEAYwB0AGkAbwBuACwAIABNAE0AUwAzAFMAZQBwAGEAcgBhAHQAZQBkACwAXABuACAAIAAgACAAUAByAG8AZAB1AGMAdABpAG8AbgBTAHkAcwB0AGUAbQAgACoAIAAoAFwAbgAgACAAIAAgACAAIAAgACAASQBuAGkAdABhAGwAUwBvAGwAaQBkAFMAdABvAHIAYQBnAGUARgByAGEAYwB0AGkAbwBuACAAKwBcAG4AIAAgACAAIAAgACAAIAAgACgATQBNAFMAMQBGAHIAYQBjAHQAaQBvAG4AIAAqACAATQBNAFMAMQBTAGUAcABhAHIAYQB0AGUAZAApACAAKwBcAG4AIAAgACAAIAAgACAAIAAgACgATQBNAFMAMgBGAHIAYQBjAHQAaQBvAG4AIAAqACAATQBNAFMAMgBTAGUAcABhAHIAYQB0AGUAZAApACAAKwBcAG4AIAAgACAAIAAgACAAIAAgACgATQBNAFMAMwBGAHIAYQBjAHQAaQBvAG4AIAAqACAATQBNAFMAMwBTAGUAcABhAHIAYQB0AGUAZAApAFwAbgAgACAAIAAgACkAXABuACkAOwAiAH0ALAB7ACIAcABhAHQAaAAiADoAIgAvAHAAcgBvAGoAZQBjAHQAcwAvAE0ATQBTAF8ARABhAGkAcgB5AF8ATABlAGEAYwBoAGkAbgBnAEEAbgBkAFIAdQBuAG8AZgBmAF8ARQBxAHUAYQB0AGkAbwBuAHMAIgAsACIAdABlAHgAdAAiADoAIgAvACoAXABuAD0APQA9AD0APQA9AD0APQA9AD0APQA9AD0APQA9AD0APQA9AD0APQA9AD0APQA9AD0APQA9AD0APQA9AD0APQA9AD0APQA9AD0APQA9AD0APQA9AD0APQA9AD0APQA9AD0APQA9AD0APQA9AD0APQA9AD0APQA9AD0APQA9AD0APQA9AD0APQA9AD0APQA9AD0APQA9AD0AXABuADQALgAzADoAIABEAGEAaQByAHkAXABuAD0APQA9AD0APQA9AD0APQA9AD0APQA9AD0APQA9AD0APQA9AD0APQA9AD0APQA9AD0APQA9AD0APQA9AD0APQA9AD0APQA9AD0APQA9AD0APQA9AD0APQA9AD0APQA9AD0APQA9AD0APQA9AD0APQA9AD0APQA9AD0APQA9AD0APQA9AD0APQA9AD0APQA9AD0APQA9AD0AXABuADQALgAzAC4AMQAuADYAIABNAGUAdABoAG8AZAAgADEAIAAtACAATQBhAG4AdQByAGUAIABMAGUAYQBjAGgAaQBuAGcAIABBAG4AZAAgAFIAdQBuAG8AZgBmACAATgAyAE8AIABEAGEAaQByAHkAXABuAD0APQA9AD0APQA9AD0APQA9AD0APQA9AD0APQA9AD0APQA9AD0APQA9AD0APQA9AD0APQA9AD0APQA9AD0APQA9AD0APQA9AD0APQA9AD0APQA9AD0APQA9AD0APQA9AD0APQA9AD0APQA9AD0APQA9AD0APQA9AD0APQA9AD0APQA9AD0APQA9AD0APQA9AD0APQA9AD0AXABuACoALwBcAG4AXABuAC8AKgBcAG4ALQAtAC0ALQAtAC0ALQAtAC0ALQAtAC0ALQAtAC0ALQAtAC0ALQAtAC0ALQAtAC0ALQAtAC0ALQAtAC0ALQAtAC0ALQAtAC0ALQAtAFwAbgBWAEUARQBSAEcAXwA0AF8AMwBfADEAXwA2AF8AXwAxAF8AQQBuAG4AdQBhAGwARQBtAGkAcwBzAGkAbwBuAHMARgByAG8AbQBMAGUAYQBjAGgAaQBuAGcAQQBuAGQAUgB1AG4AbwBmAGYARgByAG8AbQBNAE0AUwBcAG4AQQBuAG4AdQBhAGwAIABlAG0AaQBzAHMAaQBvAG4AcwAgAGYAcgBvAG0AIABsAGUAYQBjAGgAaQBuAGcAIABhAG4AZAAgAHIAdQBuAG8AZgBmACAAZgByAG8AbQAgAGUAYQBjAGgAIABNAE0AUwBcAG4ARQBfAE4AMgBPAGwAZQBhAGMAaABcAG4AdAAgAE4AMgBPAFwAbgBFAF8AewBOADIATwAsAGwAZQBhAGMAaAB9AD0ATQBOAEwAZQBhAGMAaABfAHsAagBtAH0AXABcAHQAaQBtAGUAcwAgAEUARgBfAHsAbABlAGEAYwBoAH0AXABcAHQAaQBtAGUAcwAgAEMAXwB7AE4AMgBPAH0AXABcAHQAaQBtAGUAcwAgADEAMABeAHsALQAzAH0AXABuAE0ATgBMAGUAYQBjAGgAXwBqAG0AIAA9ACAAbQBhAHMAcwAgAG8AZgAgAE4AIABsAG8AcwB0ACAAdABoAHIAbwB1AGcAaAAgAGwAZQBhAGMAaABpAG4AZwAgAGEAbgBkACAAcgB1AG4AbwBmAGYAIABmAHIAbwBtACAAZQBhAGMAaAAgAE0ATQBTACAAKABrAGcAIABOACkAXABuAEUARgBfAGwAZQBhAGMAaAAgAD0AIABuAGkAdAByAG8AdQBzACAAbwB4AGkAZABlACAAZQBtAGkAcwBzAGkAbwBuACAAZgBhAGMAdABvAHIAIABmAG8AcgAgAGwAZQBhAGMAaABpAG4AZwAgAGEAbgBkACAAcgB1AG4AbwBmAGYAIAAoAGsAZwAgAE4AMgBPAC0ATgAvAGsAZwAgAE4AKQBcAG4AQwBfAE4AMgBPACAAPQAgAGYAYQBjAHQAbwByACAAdABvACAAYwBvAG4AdgBlAHIAdAAgAGUAbABlAG0AZQBuAHQAYQBsACAAbQBhAHMAcwAgAG8AZgAgAE4AMgBPACAAdABvACAAbQBvAGwAZQBjAHUAbABhAHIAIABtAGEAcwBzAFwAbgBWAEEAUgBJAEEAVABJAE8ATgAgAE8ARgAgAFMATwBVAFIAQwBFADoAIABGAG8AcgAgAE0AZQB0AGgAbwBkACAAMQAsACAAZQBtAGkAcwBzAGkAbwBuAHMAIABhAHIAZQAgAGUAcwB0AGkAbQBhAHQAZQBkACAAbwBuAGwAeQAgAGYAbwByACAAcwBvAGwAaQBkACAAcwB0AG8AcgBhAGcAZQAgACgAbQA9ADQAKQAuAFwAbgAtAC0ALQAtAC0ALQAtAC0ALQAtAC0ALQAtAC0ALQAtAC0ALQAtAC0ALQAtAC0ALQAtAC0ALQAtAC0ALQAtAC0ALQAtAC0ALQAtAC0AXABuACoALwBcAG4AXABuAFYARQBFAFIARwBfADQAXwAzAF8AMQBfADYAXwBfADEAXwBBAG4AbgB1AGEAbABFAG0AaQBzAHMAaQBvAG4AcwBGAHIAbwBtAEwAZQBhAGMAaABpAG4AZwBBAG4AZABSAHUAbgBvAGYAZgBGAHIAbwBtAE0ATQBTAFwAbgAgACAAPQBMAEEATQBCAEQAQQAoAFwAbgAgACAAIAAgAE0ATgBMAGUAYQBjAGgAXwBqAG0ALAAgAEUARgBfAGwAZQBhAGMAaAAsACAAQwBfAE4AMgBPACwAXABuACAAIAAgACAAKABNAE4ATABlAGEAYwBoAF8AagBtACAAKgAgAEUARgBfAGwAZQBhAGMAaAAgACoAIABDAF8ATgAyAE8AKQAgACoAIAAxADAAIABeACAALQAzAFwAbgAgACAAKQA7AFwAbgBcAG4AVgBFAEUAUgBHAF8ANABfADMAXwAxAF8ANgBfAF8AMQBfAEEAbgBuAHUAYQBsAEUAbQBpAHMAcwBpAG8AbgBzAEYAcgBvAG0ATABlAGEAYwBoAGkAbgBnAEEAbgBkAFIAdQBuAG8AZgBmAEYAcgBvAG0ATQBNAFMAXwBUAGkAdABsAGUAXABuACAAIAA9AEwAQQBNAEIARABBACgAXAAiAEEAbgBuAHUAYQBsACAAZQBtAGkAcwBzAGkAbwBuAHMAIABmAHIAbwBtACAAbABlAGEAYwBoAGkAbgBnACAAYQBuAGQAIAByAHUAbgBvAGYAZgAgAGYAcgBvAG0AIABlAGEAYwBoACAATQBNAFMAXAAiACkAOwBcAG4AXABuAFYARQBFAFIARwBfADQAXwAzAF8AMQBfADYAXwBfADEAXwBBAG4AbgB1AGEAbABFAG0AaQBzAHMAaQBvAG4AcwBGAHIAbwBtAEwAZQBhAGMAaABpAG4AZwBBAG4AZABSAHUAbgBvAGYAZgBGAHIAbwBtAE0ATQBTAF8AVgBhAHIAaQBhAGIAbABlAFwAbgAgACAAPQBMAEEATQBCAEQAQQAoAFwAIgBFAF8ATgAyAE8AbABlAGEAYwBoAFwAIgApADsAXABuAFwAbgBWAEUARQBSAEcAXwA0AF8AMwBfADEAXwA2AF8AXwAxAF8AQQBuAG4AdQBhAGwARQBtAGkAcwBzAGkAbwBuAHMARgByAG8AbQBMAGUAYQBjAGgAaQBuAGcAQQBuAGQAUgB1AG4AbwBmAGYARgByAG8AbQBNAE0AUwBfAFUAbgBpAHQAXABuACAAIAA9AEwAQQBNAEIARABBACgAXAAiAHQAIABOADIATwBcACIAKQA7AFwAbgBcAG4AVgBFAEUAUgBHAF8ANABfADMAXwAxAF8ANgBfAF8AMQBfAEEAbgBuAHUAYQBsAEUAbQBpAHMAcwBpAG8AbgBzAEYAcgBvAG0ATABlAGEAYwBoAGkAbgBnAEEAbgBkAFIAdQBuAG8AZgBmAEYAcgBvAG0ATQBNAFMAXwBTAG8AdQByAGMAZQBcAG4AIAAgAD0ATABBAE0AQgBEAEEAKABcACIAVgBFAEUAUgBHACAAMgAwADIANgA6ACAANAAuADMALgAxAC4ANgAsACAARQBxAHUAYQB0AGkAbwBuACAAKAAxACkAXAAiACkAOwBcAG4AXABuAFYARQBFAFIARwBfADQAXwAzAF8AMQBfADYAXwBfADEAXwBBAG4AbgB1AGEAbABFAG0AaQBzAHMAaQBvAG4AcwBGAHIAbwBtAEwAZQBhAGMAaABpAG4AZwBBAG4AZABSAHUAbgBvAGYAZgBGAHIAbwBtAE0ATQBTAF8ATgBJAFIAUgBlAGYAZQByAGUAbgBjAGUAXABuACAAIAA9AEwAQQBNAEIARABBACgAXAAiAFwAIgApADsAXABuAFwAbgBWAEUARQBSAEcAXwA0AF8AMwBfADEAXwA2AF8AXwAxAF8AQQBuAG4AdQBhAGwARQBtAGkAcwBzAGkAbwBuAHMARgByAG8AbQBMAGUAYQBjAGgAaQBuAGcAQQBuAGQAUgB1AG4AbwBmAGYARgByAG8AbQBNAE0AUwBfAEwAYQB0AGUAeABFAHEAdQBhAHQAaQBvAG4AXABuACAAIAA9AEwAQQBNAEIARABBACgAXAAiAEUAXwB7AE4AMgBPACwAbABlAGEAYwBoAH0APQBcAFwAcwB1AG0AXABcAG4AbwBsAGkAbQBpAHQAcwBfAHsAagB9AFwAXABzAHUAbQBcAFwAbgBvAGwAaQBtAGkAdABzAF8AewBtAD0AMQAtADEAMwB9ACgATQBOAEwAZQBhAGMAaABfAHsAagBtAH0AXABcAHQAaQBtAGUAcwAgAEUARgBfAHsAbABlAGEAYwBoAH0AXABcAHQAaQBtAGUAcwAgAEMAXwB7AE4AMgBPAH0AKQBcAFwAdABpAG0AZQBzACAAMQAwAF4AewAtADMAfQBcACIAKQA7AFwAbgBcAG4AVgBFAEUAUgBHAF8ANABfADMAXwAxAF8ANgBfAF8AMQBfAEEAbgBuAHUAYQBsAEUAbQBpAHMAcwBpAG8AbgBzAEYAcgBvAG0ATABlAGEAYwBoAGkAbgBnAEEAbgBkAFIAdQBuAG8AZgBmAEYAcgBvAG0ATQBNAFMAXwBBAHIAZwB1AG0AZQBuAHQAcwBcAG4AIAAgAD0ATABBAE0AQgBEAEEAKABcAG4AIAAgACAAIABNAEEASwBFAEEAUgBSAEEAWQAoADMALAAgADIALABcAG4AIAAgACAAIAAgACAATABBAE0AQgBEAEEAKAByACwAYwAsAFwAbgAgACAAIAAgACAAIAAgACAASQBOAEQARQBYACgAewBcAG4AIAAgACAAIAAgACAAIAAgACAAIABcACIATQBOAEwAZQBhAGMAaABfAGoAbQBcACIALAAgAFwAIgBtAGEAcwBzACAAbwBmACAATgAgAGwAbwBzAHQAIAB0AGgAcgBvAHUAZwBoACAAbABlAGEAYwBoAGkAbgBnACAAYQBuAGQAIAByAHUAbgBvAGYAZgBcACIAOwBcAG4AIAAgACAAIAAgACAAIAAgACAAIABcACIARQBGAF8AbABlAGEAYwBoAFwAIgAsACAAXAAiAG4AaQB0AHIAbwB1AHMAIABvAHgAaQBkAGUAIABlAG0AaQBzAHMAaQBvAG4AIABmAGEAYwB0AG8AcgAgAGYAbwByACAAbABlAGEAYwBoAGkAbgBnACAAYQBuAGQAIAByAHUAbgBvAGYAZgAgACgAawBnACAATgAyAE8ALQBOAC8AawBnACAATgApAFwAIgA7AFwAbgAgACAAIAAgACAAIAAgACAAIAAgAFwAIgBDAF8ATgAyAE8AXAAiACwAIABcACIAZgBhAGMAdABvAHIAIAB0AG8AIABjAG8AbgB2AGUAcgB0ACAAZQBsAGUAbQBlAG4AdABhAGwAIABtAGEAcwBzACAAbwBmACAATgAyAE8AIAB0AG8AIABtAG8AbABlAGMAdQBsAGEAcgAgAG0AYQBzAHMAXAAiAFwAbgAgACAAIAAgACAAIAAgACAAfQAsACAAcgAsACAAYwApAFwAbgAgACAAIAAgACAAIAApAFwAbgAgACAAIAAgACkAXABuACAAIAApADsAXABuAFwAbgAvACoAXABuAC0ALQAtAC0ALQAtAC0ALQAtAC0ALQAtAC0ALQAtAC0ALQAtAC0ALQAtAC0ALQAtAC0ALQAtAC0ALQAtAC0ALQAtAC0ALQAtAC0ALQBcAG4AVgBFAEUAUgBHAF8ANABfADMAXwAxAF8ANgBfAF8AMgBfAE0AYQBzAHMATwBmAE4AaQB0AHIAbwBnAGUAbgBMAG8AcwB0AFQAbwBMAGUAYQBjAGgAaQBuAGcAQQBuAGQAUgB1AG4AbwBmAGYARgByAG8AbQBTAG8AbABpAGQAUwB0AG8AcgBhAGcAZQBcAG4ATQBhAHMAcwAgAG8AZgAgAG4AaQB0AHIAbwBnAGUAbgAgAGwAbwBzAHQAIAB0AG8AIABsAGUAYQBjAGgAaQBuAGcAIABhAG4AZAAgAHIAdQBuAG8AZgBmACAAZgByAG8AbQAgAHMAbwBsAGkAZAAgAHMAdABvAHIAYQBnAGUAIABzAHkAcwB0AGUAbQBzAFwAbgBNAE4ATABlAGEAYwBoAF8AagBtADQAXABuAGsAZwAgAE4AXABuAE0ATgBMAGUAYQBjAGgAXwB7AGoAbQA9ADQAfQA9AE0ATgBfAHsAagBtAD0ANAB9AFwAXAB0AGkAbQBlAHMAIABGAHIAYQBjAFcARQBUAF8AaQBcAFwAdABpAG0AZQBzACAARgByAGEAYwBMAEUAQQBDAEgAXwBNAFMAXABuAE0ATgBfAGoAbQA0ACAAPQAgAHQAbwB0AGEAbAAgAG4AaQB0AHIAbwBnAGUAbgAgAGkAbgAgAHMAbwBsAGkAZAAgAHMAdABvAHIAYQBnAGUAIABzAHkAcwB0AGUAbQAgAG0APQA0ACAAKABrAGcAIABOACkAXABuAEYAcgBhAGMAVwBFAFQAXwBpACAAPQAgAGYAcgBhAGMAdABpAG8AbgAgAG8AZgAgAE4AIABhAHYAYQBpAGwAYQBiAGwAZQAgAGYAbwByACAAbABlAGEAYwBoAGkAbgBnACAAYQBuAGQAIAByAHUAbgBvAGYAZgBcAG4ARgByAGEAYwBMAEUAQQBDAEgAXwBNAFMAIAA9ACAAZgByAGEAYwB0AGkAbwBuACAAbwBmACAATgAgAGwAbwBzAHQAIAB0AGgAcgBvAHUAZwBoACAAbABlAGEAYwBoAGkAbgBnACAAYQBuAGQAIAByAHUAbgBvAGYAZgBcAG4ALQAtAC0ALQAtAC0ALQAtAC0ALQAtAC0ALQAtAC0ALQAtAC0ALQAtAC0ALQAtAC0ALQAtAC0ALQAtAC0ALQAtAC0ALQAtAC0ALQAtAFwAbgAqAC8AXABuAFwAbgBWAEUARQBSAEcAXwA0AF8AMwBfADEAXwA2AF8AXwAyAF8ATQBhAHMAcwBPAGYATgBpAHQAcgBvAGcAZQBuAEwAbwBzAHQAVABvAEwAZQBhAGMAaABpAG4AZwBBAG4AZABSAHUAbgBvAGYAZgBGAHIAbwBtAFMAbwBsAGkAZABTAHQAbwByAGEAZwBlAFwAbgAgACAAPQBMAEEATQBCAEQAQQAoAFwAbgAgACAAIAAgAE0ATgBfAGoAbQA0ACwAIABGAHIAYQBjAFcARQBUAF8AaQAsACAARgByAGEAYwBMAEUAQQBDAEgAXwBNAFMALABcAG4AIAAgACAAIABNAE4AXwBqAG0ANAAgACoAIABGAHIAYQBjAFcARQBUAF8AaQAgACoAIABGAHIAYQBjAEwARQBBAEMASABfAE0AUwBcAG4AIAAgACkAOwBcAG4AXABuAFYARQBFAFIARwBfADQAXwAzAF8AMQBfADYAXwBfADIAXwBNAGEAcwBzAE8AZgBOAGkAdAByAG8AZwBlAG4ATABvAHMAdABUAG8ATABlAGEAYwBoAGkAbgBnAEEAbgBkAFIAdQBuAG8AZgBmAEYAcgBvAG0AUwBvAGwAaQBkAFMAdABvAHIAYQBnAGUAXwBUAGkAdABsAGUAXABuACAAIAA9AEwAQQBNAEIARABBACgAXAAiAE0AYQBzAHMAIABvAGYAIABuAGkAdAByAG8AZwBlAG4AIABsAG8AcwB0ACAAdABvACAAbABlAGEAYwBoAGkAbgBnACAAYQBuAGQAIAByAHUAbgBvAGYAZgAgAGYAcgBvAG0AIABzAG8AbABpAGQAIABzAHQAbwByAGEAZwBlACAAcwB5AHMAdABlAG0AcwBcACIAKQA7AFwAbgBcAG4AVgBFAEUAUgBHAF8ANABfADMAXwAxAF8ANgBfAF8AMgBfAE0AYQBzAHMATwBmAE4AaQB0AHIAbwBnAGUAbgBMAG8AcwB0AFQAbwBMAGUAYQBjAGgAaQBuAGcAQQBuAGQAUgB1AG4AbwBmAGYARgByAG8AbQBTAG8AbABpAGQAUwB0AG8AcgBhAGcAZQBfAFYAYQByAGkAYQBiAGwAZQBcAG4AIAAgAD0ATABBAE0AQgBEAEEAKABcACIATQBOAEwAZQBhAGMAaABfAGoAbQA0AFwAIgApADsAXABuAFwAbgBWAEUARQBSAEcAXwA0AF8AMwBfADEAXwA2AF8AXwAyAF8ATQBhAHMAcwBPAGYATgBpAHQAcgBvAGcAZQBuAEwAbwBzAHQAVABvAEwAZQBhAGMAaABpAG4AZwBBAG4AZABSAHUAbgBvAGYAZgBGAHIAbwBtAFMAbwBsAGkAZABTAHQAbwByAGEAZwBlAF8AVQBuAGkAdABcAG4AIAAgAD0ATABBAE0AQgBEAEEAKABcACIAawBnACAATgBcACIAKQA7AFwAbgBcAG4AVgBFAEUAUgBHAF8ANABfADMAXwAxAF8ANgBfAF8AMgBfAE0AYQBzAHMATwBmAE4AaQB0AHIAbwBnAGUAbgBMAG8AcwB0AFQAbwBMAGUAYQBjAGgAaQBuAGcAQQBuAGQAUgB1AG4AbwBmAGYARgByAG8AbQBTAG8AbABpAGQAUwB0AG8AcgBhAGcAZQBfAFMAbwB1AHIAYwBlAFwAbgAgACAAPQBMAEEATQBCAEQAQQAoAFwAIgBWAEUARQBSAEcAIAAyADAAMgA2ADoAIAA0AC4AMwAuADEALgA2ACwAIABFAHEAdQBhAHQAaQBvAG4AIAAoADIAKQBcACIAKQA7AFwAbgBcAG4AVgBFAEUAUgBHAF8ANABfADMAXwAxAF8ANgBfAF8AMgBfAE0AYQBzAHMATwBmAE4AaQB0AHIAbwBnAGUAbgBMAG8AcwB0AFQAbwBMAGUAYQBjAGgAaQBuAGcAQQBuAGQAUgB1AG4AbwBmAGYARgByAG8AbQBTAG8AbABpAGQAUwB0AG8AcgBhAGcAZQBfAE4ASQBSAFIAZQBmAGUAcgBlAG4AYwBlAFwAbgAgACAAPQBMAEEATQBCAEQAQQAoAFwAIgBcACIAKQA7AFwAbgBcAG4AVgBFAEUAUgBHAF8ANABfADMAXwAxAF8ANgBfAF8AMgBfAE0AYQBzAHMATwBmAE4AaQB0AHIAbwBnAGUAbgBMAG8AcwB0AFQAbwBMAGUAYQBjAGgAaQBuAGcAQQBuAGQAUgB1AG4AbwBmAGYARgByAG8AbQBTAG8AbABpAGQAUwB0AG8AcgBhAGcAZQBfAEwAYQB0AGUAeABFAHEAdQBhAHQAaQBvAG4AXABuACAAIAA9AEwAQQBNAEIARABBACgAXAAiAE0ATgBMAGUAYQBjAGgAXwB7AGoAbQA9ADQAfQA9AE0ATgBfAHsAagBtAD0ANAB9AFwAXAB0AGkAbQBlAHMAIABGAHIAYQBjAFcARQBUAF8AaQBcAFwAdABpAG0AZQBzACAARgByAGEAYwBMAEUAQQBDAEgAXwB7AE0AUwB9AFwAIgApADsAXABuAFwAbgBWAEUARQBSAEcAXwA0AF8AMwBfADEAXwA2AF8AXwAyAF8ATQBhAHMAcwBPAGYATgBpAHQAcgBvAGcAZQBuAEwAbwBzAHQAVABvAEwAZQBhAGMAaABpAG4AZwBBAG4AZABSAHUAbgBvAGYAZgBGAHIAbwBtAFMAbwBsAGkAZABTAHQAbwByAGEAZwBlAF8AQQByAGcAdQBtAGUAbgB0AHMAXABuACAAIAA9AEwAQQBNAEIARABBACgAXABuACAAIAAgACAATQBBAEsARQBBAFIAUgBBAFkAKAA2ACwAIAAyACwAXABuACAAIAAgACAAIAAgAEwAQQBNAEIARABBACgAcgAsAGMALABcAG4AIAAgACAAIAAgACAAIAAgAEkATgBEAEUAWAAoAHsAXABuACAAIAAgACAAIAAgACAAIAAgACAAXAAiAE0ATgBfAGoAbQA0AFwAIgAsACAAXAAiAHQAbwB0AGEAbAAgAG4AaQB0AHIAbwBnAGUAbgAgAGkAbgAgAHMAbwBsAGkAZAAgAHMAdABvAHIAYQBnAGUAIABzAHkAcwB0AGUAbQAgAG0APQA0ACAAKABrAGcAIABOACkAXAAiADsAXABuACAAIAAgACAAIAAgACAAIAAgACAAXAAiAEYAcgBhAGMAVwBFAFQAXwBpAFwAIgAsACAAXAAiAGYAcgBhAGMAdABpAG8AbgAgAG8AZgAgAE4AIAB0AGgAYQB0ACAAaQBzACAAYQB2AGEAaQBsAGEAYgBsAGUAIABmAG8AcgAgAGwAZQBhAGMAaABpAG4AZwAgAGEAbgBkACAAcgB1AG4AbwBmAGYAIABmAHIAbwBtACAAdABoAGUAIABsAGUAYQBjAGgAaQBuAGcAIAB6AG8AbgBlACAAegAgAGEAbgBkACAAaQByAHIAaQBnAGEAdABpAG8AbgAgAHQAeQBwAGUAIABpAHIAIAAoAGQAaQBtAGUAbgBzAGkAbwBuAGwAZQBzAHMAKQBcACIAOwBcAG4AIAAgACAAIAAgACAAIAAgACAAIABcACIARgByAGEAYwBMAEUAQQBDAEgAXwBNAFMAXAAiACwAIABcACIAZgByAGEAYwB0AGkAbwBuACAAbwBmACAATgAgAHQAaABhAHQAIABpAHMAIABsAG8AcwB0ACAAdABoAHIAbwB1AGcAaAAgAGwAZQBhAGMAaABpAG4AZwAgAGEAbgBkACAAcgB1AG4AbwBmAGYAIAAoAGQAaQBtAGUAbgBzAGkAbwBuAGwAZQBzAHMAKQBcACIAOwBcAG4AIAAgACAAIAAgACAAIAAgACAAIABcACIAegBcACIALAAgAFwAIgBsAG8AYwBhAHQAaQBvAG4AIABpAG4AIABsAGUAYQBjAGgAaQBuAGcAIAB6AG8AbgBlAFwAIgA7AFwAbgAgACAAIAAgACAAIAAgACAAIAAgAFwAIgBqAFwAIgAsACAAXAAiAHAAcgBvAGQAdQBjAHQAaQBvAG4AIABzAHkAcwB0AGUAbQBcACIAOwBcAG4AIAAgACAAIAAgACAAIAAgACAAIABcACIAaQByAFwAIgAsACAAXAAiAGkAcgByAGkAZwBhAHQAaQBvAG4AIABtAGUAdABoAG8AZABcACIAXABuACAAIAAgACAAIAAgACAAIAB9ACwAIAByACwAIABjACkAXABuACAAIAAgACAAIAAgACkAXABuACAAIAAgACAAKQBcAG4AIAAgACkAOwBcAG4AIgB9ACwAewAiAHAAYQB0AGgAIgA6ACIALwBwAHIAbwBqAGUAYwB0AHMALwBNAE0AUwBfAEQAYQBpAHIAeQBfAFMAbwBpAGwAXwBOADIATwBEAGkAcgBlAGMAdABfAEUAcQB1AGEAdABpAG8AbgBzACIALAAiAHQAZQB4AHQAIgA6ACIALwAqAFwAbgA9AD0APQA9AD0APQA9AD0APQA9AD0APQA9AD0APQA9AD0APQA9AD0APQA9AD0APQA9AD0APQA9AD0APQA9AD0APQA9AD0APQA9AD0APQA9AD0APQA9AD0APQA9AD0APQA9AD0APQA9AD0APQA9AD0APQA9AD0APQA9AD0APQA9AD0APQA9AD0APQA9AD0APQA9AD0APQA9AFwAbgA0AC4AMwA6ACAARABhAGkAcgB5AFwAbgA9AD0APQA9AD0APQA9AD0APQA9AD0APQA9AD0APQA9AD0APQA9AD0APQA9AD0APQA9AD0APQA9AD0APQA9AD0APQA9AD0APQA9AD0APQA9AD0APQA9AD0APQA9AD0APQA9AD0APQA9AD0APQA9AD0APQA9AD0APQA9AD0APQA9AD0APQA9AD0APQA9AD0APQA9AD0APQA9AFwAbgA0AC4AMwAuADEALgA5ACAATQBlAHQAaABvAGQAIAAxACAALQAgAFMAbwBpAGwAIABEAGkAcgBlAGMAdAAgAE4AMgBPACAARABhAGkAcgB5AFwAbgA9AD0APQA9AD0APQA9AD0APQA9AD0APQA9AD0APQA9AD0APQA9AD0APQA9AD0APQA9AD0APQA9AD0APQA9AD0APQA9AD0APQA9AD0APQA9AD0APQA9AD0APQA9AD0APQA9AD0APQA9AD0APQA9AD0APQA9AD0APQA9AD0APQA9AD0APQA9AD0APQA9AD0APQA9AD0APQA9AFwAbgAqAC8AXABuAFwAbgAvACoAXABuAC0ALQAtAC0ALQAtAC0ALQAtAC0ALQAtAC0ALQAtAC0ALQAtAC0ALQAtAC0ALQAtAC0ALQAtAC0ALQAtAC0ALQAtAC0ALQAtAC0ALQBcAG4AVgBFAEUAUgBHAF8ANABfADMAXwAxAF8AOQBfAF8AMQBfAEQAaQByAGUAYwB0AE4AaQB0AHIAbwB1AHMATwB4AGkAZABlAEUAbQBpAHMAcwBpAG8AbgBzAE8AbgBQAGEAcwB0AHUAcgBlAFwAbgBEAGkAcgBlAGMAdAAgAG4AaQB0AHIAbwB1AHMAIABvAHgAaQBkAGUAIABlAG0AaQBzAHMAaQBvAG4AcwAgAG8AbgAgAHAAYQBzAHQAdQByAGUAXABuAEUAXwBOADIATwBkAGkAcgBcAG4AdAAgAE4AMgBPAFwAbgBFAF8AewBOADIATwAsAGQAaQByAH0APQBNAE4AXwB7AGoAbQA9ADEANAB9AFwAXAB0AGkAbQBlAHMAIABFAEYAXwB7AFAAUgBQAH0AXABcAHQAaQBtAGUAcwAgAEMAXwB7AE4AMgBPAH0AXABcAHQAaQBtAGUAcwAgADEAMABeAHsALQAzAH0AXABuAE0ATgBfAGoAbQAxADQAIAA9ACAAbQBhAHMAcwAgAG8AZgAgAG4AaQB0AHIAbwBnAGUAbgAgAGUAeABjAHIAZQB0AGUAZAAgAG8AbgAgAHAAYQBzAHQAdQByAGUALAAgAHIAYQBuAGcAZQAsACAAYQBuAGQAIABwAGEAZABkAG8AYwBrACAAZgBvAHIAIABlAGEAYwBoACAAZABhAGkAcgB5ACAAYwBhAHQAdABsAGUAIABjAGwAYQBzAHMAIAAoAGsAZwAgAE4AKQBcAG4ARQBGAF8AUABSAFAAIAA9ACAAZQBtAGkAcwBzAGkAbwBuACAAZgBhAGMAdABvAHIAIABmAG8AcgAgAG4AaQB0AHIAbwB1AHMAIABvAHgAaQBkAGUAIABlAG0AaQBzAHMAaQBvAG4AcwAgAGYAbwByACAAdQByAGkAbgBlACAAYQBuAGQAIABkAHUAbgBnACAAZABlAHAAbwBzAGkAdABlAGQAIABvAG4AIABQAFIAUAAgACgAawBnACAATgAyAE8ALQBOAC8AawBnACAATgAgAGQAZQBwAG8AcwBpAHQAZQBkACkAXABuAEMAXwBOADIATwAgAD0AIABmAGEAYwB0AG8AcgAgAHQAbwAgAGMAbwBuAHYAZQByAHQAIABlAGwAZQBtAGUAbgB0AGEAbAAgAG0AYQBzAHMAIABvAGYAIABOADIATwAgAHQAbwAgAG0AbwBsAGUAYwB1AGwAYQByACAAbQBhAHMAcwBcAG4ALQAtAC0ALQAtAC0ALQAtAC0ALQAtAC0ALQAtAC0ALQAtAC0ALQAtAC0ALQAtAC0ALQAtAC0ALQAtAC0ALQAtAC0ALQAtAC0ALQAtAFwAbgAqAC8AXABuAFwAbgBWAEUARQBSAEcAXwA0AF8AMwBfADEAXwA5AF8AXwAxAF8ARABpAHIAZQBjAHQATgBpAHQAcgBvAHUAcwBPAHgAaQBkAGUARQBtAGkAcwBzAGkAbwBuAHMATwBuAFAAYQBzAHQAdQByAGUAXABuACAAIAA9AEwAQQBNAEIARABBACgAXABuACAAIAAgACAATQBOAF8AagBtADEANAAsACAARQBGAF8AUABSAFAALAAgAEMAXwBOADIATwAsAFwAbgAgACAAIAAgAE0ATgBfAGoAbQAxADQAIAAqACAARQBGAF8AUABSAFAAIAAqACAAQwBfAE4AMgBPACAAKgAgADEAMAAgAF4AIAAtADMAXABuACAAIAApADsAXABuAFwAbgBWAEUARQBSAEcAXwA0AF8AMwBfADEAXwA5AF8AXwAxAF8ARABpAHIAZQBjAHQATgBpAHQAcgBvAHUAcwBPAHgAaQBkAGUARQBtAGkAcwBzAGkAbwBuAHMATwBuAFAAYQBzAHQAdQByAGUAXwBUAGkAdABsAGUAXABuACAAIAA9AEwAQQBNAEIARABBACgAXAAiAEQAaQByAGUAYwB0ACAAbgBpAHQAcgBvAHUAcwAgAG8AeABpAGQAZQAgAGUAbQBpAHMAcwBpAG8AbgBzACAAbwBuACAAcABhAHMAdAB1AHIAZQBcACIAKQA7AFwAbgBcAG4AVgBFAEUAUgBHAF8ANABfADMAXwAxAF8AOQBfAF8AMQBfAEQAaQByAGUAYwB0AE4AaQB0AHIAbwB1AHMATwB4AGkAZABlAEUAbQBpAHMAcwBpAG8AbgBzAE8AbgBQAGEAcwB0AHUAcgBlAF8AVgBhAHIAaQBhAGIAbABlAFwAbgAgACAAPQBMAEEATQBCAEQAQQAoAFwAIgBFAF8ATgAyAE8AZABpAHIAXAAiACkAOwBcAG4AXABuAFYARQBFAFIARwBfADQAXwAzAF8AMQBfADkAXwBfADEAXwBEAGkAcgBlAGMAdABOAGkAdAByAG8AdQBzAE8AeABpAGQAZQBFAG0AaQBzAHMAaQBvAG4AcwBPAG4AUABhAHMAdAB1AHIAZQBfAFUAbgBpAHQAXABuACAAIAA9AEwAQQBNAEIARABBACgAXAAiAHQAIABOADIATwBcACIAKQA7AFwAbgBcAG4AVgBFAEUAUgBHAF8ANABfADMAXwAxAF8AOQBfAF8AMQBfAEQAaQByAGUAYwB0AE4AaQB0AHIAbwB1AHMATwB4AGkAZABlAEUAbQBpAHMAcwBpAG8AbgBzAE8AbgBQAGEAcwB0AHUAcgBlAF8AUwBvAHUAcgBjAGUAXABuACAAIAA9AEwAQQBNAEIARABBACgAXAAiAFYARQBFAFIARwAgADIAMAAyADYAOgAgADQALgAzAC4AMQAuADkALAAgAEUAcQB1AGEAdABpAG8AbgAgACgAMQApAFwAIgApADsAXABuAFwAbgBWAEUARQBSAEcAXwA0AF8AMwBfADEAXwA5AF8AXwAxAF8ARABpAHIAZQBjAHQATgBpAHQAcgBvAHUAcwBPAHgAaQBkAGUARQBtAGkAcwBzAGkAbwBuAHMATwBuAFAAYQBzAHQAdQByAGUAXwBOAEkAUgBSAGUAZgBlAHIAZQBuAGMAZQBcAG4AIAAgAD0ATABBAE0AQgBEAEEAKABcACIAXAAiACkAOwBcAG4AXABuAFYARQBFAFIARwBfADQAXwAzAF8AMQBfADkAXwBfADEAXwBEAGkAcgBlAGMAdABOAGkAdAByAG8AdQBzAE8AeABpAGQAZQBFAG0AaQBzAHMAaQBvAG4AcwBPAG4AUABhAHMAdAB1AHIAZQBfAEwAYQB0AGUAeABFAHEAdQBhAHQAaQBvAG4AXABuACAAIAA9AEwAQQBNAEIARABBACgAXAAiAEUAXwB7AE4AMgBPACwAZABpAHIAfQA9AFwAXABzAHUAbQBcAFwAbgBvAGwAaQBtAGkAdABzAF8AewBqAH0AKABNAE4AXwB7AGoAbQA9ADEANAB9AFwAXAB0AGkAbQBlAHMAIABFAEYAXwB7AFAAUgBQAH0AXABcAHQAaQBtAGUAcwAgAEMAXwB7AE4AMgBPAH0AXABcAHQAaQBtAGUAcwAgADEAMABeAHsALQAzAH0AKQBcACIAKQA7AFwAbgBcAG4AVgBFAEUAUgBHAF8ANABfADMAXwAxAF8AOQBfAF8AMQBfAEQAaQByAGUAYwB0AE4AaQB0AHIAbwB1AHMATwB4AGkAZABlAEUAbQBpAHMAcwBpAG8AbgBzAE8AbgBQAGEAcwB0AHUAcgBlAF8AQQByAGcAdQBtAGUAbgB0AHMAXABuACAAIAA9AEwAQQBNAEIARABBACgAXABuACAAIAAgACAATQBBAEsARQBBAFIAUgBBAFkAKAA0ACwAIAAyACwAXABuACAAIAAgACAAIAAgAEwAQQBNAEIARABBACgAcgAsAGMALABcAG4AIAAgACAAIAAgACAAIAAgAEkATgBEAEUAWAAoAHsAXABuACAAIAAgACAAIAAgACAAIAAgACAAXAAiAE0ATgBfAGoAbQAxADQAXAAiACwAIABcACIAbQBhAHMAcwAgAG8AZgAgAG4AaQB0AHIAbwBnAGUAbgAgAGUAeABjAHIAZQB0AGUAZAAgAG8AbgAgAHAAYQBzAHQAdQByAGUALAAgAHIAYQBuAGcAZQAsACAAYQBuAGQAIABwAGEAZABkAG8AYwBrACAAZgBvAHIAIABlAGEAYwBoACAAZABhAGkAcgB5ACAAYwBhAHQAdABsAGUAIABjAGwAYQBzAHMAIAAoAGsAZwAgAE4AKQBcACIAOwBcAG4AIAAgACAAIAAgACAAIAAgACAAIABcACIARQBGAF8AUABSAFAAXAAiACwAIABcACIAZQBtAGkAcwBzAGkAbwBuACAAZgBhAGMAdABvAHIAIABmAG8AcgAgAG4AaQB0AHIAbwB1AHMAIABvAHgAaQBkAGUAIABlAG0AaQBzAHMAaQBvAG4AcwAgAGYAbwByACAAdQByAGkAbgBlACAAYQBuAGQAIABkAHUAbgBnACAAZABlAHAAbwBzAGkAdABlAGQAIABvAG4AIABQAFIAUAAgACgAawBnACAATgAyAE8ALQBOAC8AawBnACAATgAgAGQAZQBwAG8AcwBpAHQAZQBkACkAXAAiADsAXABuACAAIAAgACAAIAAgACAAIAAgACAAXAAiAEMAXwBOADIATwBcACIALAAgAFwAIgBmAGEAYwB0AG8AcgAgAHQAbwAgAGMAbwBuAHYAZQByAHQAIABlAGwAZQBtAGUAbgB0AGEAbAAgAG0AYQBzAHMAIABvAGYAIABOADIATwAgAHQAbwAgAG0AbwBsAGUAYwB1AGwAYQByACAAbQBhAHMAcwBcACIAOwBcAG4AIAAgACAAIAAgACAAIAAgACAAIABcACIAegBcACIALABcACIAVwBlAHQAIABvAHIAIABkAHIAeQAgAGMAbABpAG0AYQB0AGUAIAB6AG8AbgBlAFwAIgBcAG4AIAAgACAAIAAgACAAIAAgAH0ALAAgAHIALAAgAGMAKQBcAG4AIAAgACAAIAAgACAAKQBcAG4AIAAgACAAIAApAFwAbgAgACAAKQA7AFwAbgAiAH0ALAB7ACIAcABhAHQAaAAiADoAIgAvAHAAcgBvAGoAZQBjAHQAcwAvAE0ATQBTAF8ARABhAGkAcgB5AF8AUwBvAGkAbABfAEEAdABtAG8AcwBwAGgAZQByAGkAYwBEAGUAcABvAHMAaQB0AGkAbwBuAF8ARQBxAHUAYQB0AGkAbwBuAHMAIgAsACIAdABlAHgAdAAiADoAIgAvACoAXABuAD0APQA9AD0APQA9AD0APQA9AD0APQA9AD0APQA9AD0APQA9AD0APQA9AD0APQA9AD0APQA9AD0APQA9AD0APQA9AD0APQA9AD0APQA9AD0APQA9AD0APQA9AD0APQA9AD0APQA9AD0APQA9AD0APQA9AD0APQA9AD0APQA9AD0APQA9AD0APQA9AD0APQA9AD0APQA9AD0AXABuADQALgAzADoAIABEAGEAaQByAHkAXABuAD0APQA9AD0APQA9AD0APQA9AD0APQA9AD0APQA9AD0APQA9AD0APQA9AD0APQA9AD0APQA9AD0APQA9AD0APQA9AD0APQA9AD0APQA9AD0APQA9AD0APQA9AD0APQA9AD0APQA9AD0APQA9AD0APQA9AD0APQA9AD0APQA9AD0APQA9AD0APQA9AD0APQA9AD0APQA9AD0AXABuADQALgAzAC4AMQAuADEAMAAgAE0AZQB0AGgAbwBkACAAMQAgAC0AIABTAG8AaQBsACAAQQB0AG0AbwBzAHAAaABlAHIAaQBjACAARABlAHAAbwBzAGkAdABpAG8AbgAgAE4AMgBPACAARABhAGkAcgB5AFwAbgA9AD0APQA9AD0APQA9AD0APQA9AD0APQA9AD0APQA9AD0APQA9AD0APQA9AD0APQA9AD0APQA9AD0APQA9AD0APQA9AD0APQA9AD0APQA9AD0APQA9AD0APQA9AD0APQA9AD0APQA9AD0APQA9AD0APQA9AD0APQA9AD0APQA9AD0APQA9AD0APQA9AD0APQA9AD0APQA9AFwAbgAqAC8AXABuAFwAbgAvACoAXABuAC0ALQAtAC0ALQAtAC0ALQAtAC0ALQAtAC0ALQAtAC0ALQAtAC0ALQAtAC0ALQAtAC0ALQAtAC0ALQAtAC0ALQAtAC0ALQAtAC0ALQBcAG4AVgBFAEUAUgBHAF8ANABfADMAXwAxAF8AMQAwAF8AXwAxAF8AQQB0AG0AbwBzAHAAaABlAHIAaQBjAEQAZQBwAG8AcwBpAHQAaQBvAG4ARQBtAGkAcwBzAGkAbwBuAHMARgByAG8AbQBVAHIAaQBuAGUAQQBuAGQARAB1AG4AZwBPAG4AUABhAHMAdAB1AHIAZQBcAG4AQQB0AG0AbwBzAHAAaABlAHIAaQBjACAAZABlAHAAbwBzAGkAdABpAG8AbgAgAGUAbQBpAHMAcwBpAG8AbgBzACAAZgByAG8AbQAgAHUAcgBpAG4AZQAgAGEAbgBkACAAZAB1AG4AZwAgAGQAZQBwAG8AcwBpAHQAZQBkACAAbwBuACAAcABhAHMAdAB1AHIAZQBcAG4ARQBfAE4AMgBPAGEAZABcAG4AdAAgAE4AMgBPAFwAbgBFAF8AewBOADIATwAsAGEAZAB9AD0ATQBfAHsAdgBvAGwALABtAD0AMQA0AH0AXABcAHQAaQBtAGUAcwAgAEUARgBfAHsATgAyAE8AfQBcAFwAdABpAG0AZQBzACAAQwBfAHsATgAyAE8AfQBcAFwAdABpAG0AZQBzACAAMQAwAF4AewAtADMAfQBcAG4ATQBfAHYAbwBsAF8AbQAxADQAIAA9ACAAbQBhAHMAcwAgAG8AZgAgAG4AaQB0AHIAbwBnAGUAbgAgAHYAbwBsAGEAdABpAGwAaQBzAGUAZAAgAGYAcgBvAG0AIAB1AHIAaQBuAGUAIABhAG4AZAAgAGYAYQBlAGMAZQBzACAAZABlAHAAbwBzAGkAdABlAGQAIABvAG4AIABwAGEAcwB0AHUAcgBlACAAKABrAGcAIABOACkAXABuAEUARgBfAE4AMgBPACAAPQAgAG4AaQB0AHIAbwB1AHMAIABvAHgAaQBkAGUAIABlAG0AaQBzAHMAaQBvAG4AIABmAGEAYwB0AG8AcgAgAGYAbwByACAAYQB0AG0AbwBzAHAAaABlAHIAaQBjACAAZABlAHAAbwBzAGkAdABpAG8AbgAgACgAawBnACAATgAyAE8ALQBOAC8AawBnACAATgApAFwAbgBDAF8ATgAyAE8AIAA9ACAAZgBhAGMAdABvAHIAIAB0AG8AIABjAG8AbgB2AGUAcgB0ACAAZQBsAGUAbQBlAG4AdABhAGwAIABtAGEAcwBzACAAbwBmACAATgAyAE8AIAB0AG8AIABtAG8AbABlAGMAdQBsAGEAcgAgAG0AYQBzAHMAXABuAC0ALQAtAC0ALQAtAC0ALQAtAC0ALQAtAC0ALQAtAC0ALQAtAC0ALQAtAC0ALQAtAC0ALQAtAC0ALQAtAC0ALQAtAC0ALQAtAC0ALQBcAG4AKgAvAFwAbgBcAG4AVgBFAEUAUgBHAF8ANABfADMAXwAxAF8AMQAwAF8AXwAxAF8AQQB0AG0AbwBzAHAAaABlAHIAaQBjAEQAZQBwAG8AcwBpAHQAaQBvAG4ARQBtAGkAcwBzAGkAbwBuAHMARgByAG8AbQBVAHIAaQBuAGUAQQBuAGQARAB1AG4AZwBPAG4AUABhAHMAdAB1AHIAZQBcAG4AIAAgAD0ATABBAE0AQgBEAEEAKABcAG4AIAAgACAAIABNAF8AdgBvAGwAXwBtADEANAAsACAARQBGAF8ATgAyAE8ALAAgAEMAXwBOADIATwAsAFwAbgAgACAAIAAgAE0AXwB2AG8AbABfAG0AMQA0ACAAKgAgAEUARgBfAE4AMgBPACAAKgAgAEMAXwBOADIATwAgACoAIAAxADAAIABeACAALQAzAFwAbgAgACAAKQA7AFwAbgBcAG4AVgBFAEUAUgBHAF8ANABfADMAXwAxAF8AMQAwAF8AXwAxAF8AQQB0AG0AbwBzAHAAaABlAHIAaQBjAEQAZQBwAG8AcwBpAHQAaQBvAG4ARQBtAGkAcwBzAGkAbwBuAHMARgByAG8AbQBVAHIAaQBuAGUAQQBuAGQARAB1AG4AZwBPAG4AUABhAHMAdAB1AHIAZQBfAFQAaQB0AGwAZQBcAG4AIAAgAD0ATABBAE0AQgBEAEEAKABcACIAQQB0AG0AbwBzAHAAaABlAHIAaQBjACAAZABlAHAAbwBzAGkAdABpAG8AbgAgAGUAbQBpAHMAcwBpAG8AbgBzACAAZgByAG8AbQAgAHUAcgBpAG4AZQAgAGEAbgBkACAAZAB1AG4AZwAgAGQAZQBwAG8AcwBpAHQAZQBkACAAbwBuACAAcABhAHMAdAB1AHIAZQBcACIAKQA7AFwAbgBcAG4AVgBFAEUAUgBHAF8ANABfADMAXwAxAF8AMQAwAF8AXwAxAF8AQQB0AG0AbwBzAHAAaABlAHIAaQBjAEQAZQBwAG8AcwBpAHQAaQBvAG4ARQBtAGkAcwBzAGkAbwBuAHMARgByAG8AbQBVAHIAaQBuAGUAQQBuAGQARAB1AG4AZwBPAG4AUABhAHMAdAB1AHIAZQBfAFYAYQByAGkAYQBiAGwAZQBcAG4AIAAgAD0ATABBAE0AQgBEAEEAKABcACIARQBfAE4AMgBPAGEAZABcACIAKQA7AFwAbgBcAG4AVgBFAEUAUgBHAF8ANABfADMAXwAxAF8AMQAwAF8AXwAxAF8AQQB0AG0AbwBzAHAAaABlAHIAaQBjAEQAZQBwAG8AcwBpAHQAaQBvAG4ARQBtAGkAcwBzAGkAbwBuAHMARgByAG8AbQBVAHIAaQBuAGUAQQBuAGQARAB1AG4AZwBPAG4AUABhAHMAdAB1AHIAZQBfAFUAbgBpAHQAXABuACAAIAA9AEwAQQBNAEIARABBACgAXAAiAHQAIABOADIATwBcACIAKQA7AFwAbgBcAG4AVgBFAEUAUgBHAF8ANABfADMAXwAxAF8AMQAwAF8AXwAxAF8AQQB0AG0AbwBzAHAAaABlAHIAaQBjAEQAZQBwAG8AcwBpAHQAaQBvAG4ARQBtAGkAcwBzAGkAbwBuAHMARgByAG8AbQBVAHIAaQBuAGUAQQBuAGQARAB1AG4AZwBPAG4AUABhAHMAdAB1AHIAZQBfAFMAbwB1AHIAYwBlAFwAbgAgACAAPQBMAEEATQBCAEQAQQAoAFwAIgBWAEUARQBSAEcAIAAyADAAMgA2ADoAIAA0AC4AMwAuADEALgAxADAALAAgAEUAcQB1AGEAdABpAG8AbgAgACgAMQApAFwAIgApADsAXABuAFwAbgBWAEUARQBSAEcAXwA0AF8AMwBfADEAXwAxADAAXwBfADEAXwBBAHQAbQBvAHMAcABoAGUAcgBpAGMARABlAHAAbwBzAGkAdABpAG8AbgBFAG0AaQBzAHMAaQBvAG4AcwBGAHIAbwBtAFUAcgBpAG4AZQBBAG4AZABEAHUAbgBnAE8AbgBQAGEAcwB0AHUAcgBlAF8ATgBJAFIAUgBlAGYAZQByAGUAbgBjAGUAXABuACAAIAA9AEwAQQBNAEIARABBACgAXAAiAFwAIgApADsAXABuAFwAbgBWAEUARQBSAEcAXwA0AF8AMwBfADEAXwAxADAAXwBfADEAXwBBAHQAbQBvAHMAcABoAGUAcgBpAGMARABlAHAAbwBzAGkAdABpAG8AbgBFAG0AaQBzAHMAaQBvAG4AcwBGAHIAbwBtAFUAcgBpAG4AZQBBAG4AZABEAHUAbgBnAE8AbgBQAGEAcwB0AHUAcgBlAF8ATABhAHQAZQB4AEUAcQB1AGEAdABpAG8AbgBcAG4AIAAgAD0ATABBAE0AQgBEAEEAKABcACIARQBfAHsATgAyAE8ALABhAGQAfQA9AE0AXwB7AHYAbwBsACwAbQA9ADEANAB9AFwAXAB0AGkAbQBlAHMAIABFAEYAXwB7AE4AMgBPAH0AXABcAHQAaQBtAGUAcwAgAEMAXwB7AE4AMgBPAH0AXABcAHQAaQBtAGUAcwAgADEAMABeAHsALQAzAH0AXAAiACkAOwBcAG4AXABuAFYARQBFAFIARwBfADQAXwAzAF8AMQBfADEAMABfAF8AMQBfAEEAdABtAG8AcwBwAGgAZQByAGkAYwBEAGUAcABvAHMAaQB0AGkAbwBuAEUAbQBpAHMAcwBpAG8AbgBzAEYAcgBvAG0AVQByAGkAbgBlAEEAbgBkAEQAdQBuAGcATwBuAFAAYQBzAHQAdQByAGUAXwBBAHIAZwB1AG0AZQBuAHQAcwBcAG4AIAAgAD0ATABBAE0AQgBEAEEAKABcAG4AIAAgACAAIABNAEEASwBFAEEAUgBSAEEAWQAoADYALAAgADIALABcAG4AIAAgACAAIAAgACAATABBAE0AQgBEAEEAKAByACwAYwAsAFwAbgAgACAAIAAgACAAIAAgACAASQBOAEQARQBYACgAewBcAG4AIAAgACAAIAAgACAAIAAgACAAIABcACIATQBfAHYAbwBsAF8AbQAxADQAXAAiACwAIABcACIAbQBhAHMAcwAgAG8AZgAgAG4AaQB0AHIAbwBnAGUAbgAgAHYAbwBsAGEAdABpAGwAaQBzAGUAZAAgAGYAcgBvAG0AIAB1AHIAaQBuAGUAIABhAG4AZAAgAGYAYQBlAGMAZQBzACAAZABlAHAAbwBzAGkAdABlAGQAIABvAG4AIABwAGEAcwB0AHUAcgBlACAAKABrAGcAIABOACkAXAAiADsAXABuACAAIAAgACAAIAAgACAAIAAgACAAXAAiAEUARgBfAE4AMgBPAFwAIgAsACAAXAAiAG4AaQB0AHIAbwB1AHMAIABvAHgAaQBkAGUAIABlAG0AaQBzAHMAaQBvAG4AIABmAGEAYwB0AG8AcgAgAGYAbwByACAAYQB0AG0AbwBzAHAAaABlAHIAaQBjACAAZABlAHAAbwBzAGkAdABpAG8AbgAgACgAawBnACAATgAyAE8ALQBOAC8AawBnACAATgApAFwAIgA7AFwAbgAgACAAIAAgACAAIAAgACAAIAAgAFwAIgBDAF8ATgAyAE8AXAAiACwAIABcACIAZgBhAGMAdABvAHIAIAB0AG8AIABjAG8AbgB2AGUAcgB0ACAAZQBsAGUAbQBlAG4AdABhAGwAIABtAGEAcwBzACAAbwBmACAATgAyAE8AIAB0AG8AIABtAG8AbABlAGMAdQBsAGEAcgAgAG0AYQBzAHMAXAAiADsAXABuACAAIAAgACAAIAAgACAAIAAgACAAXAAiAGoAXAAiACwAIABcACIAcAByAG8AZAB1AGMAdABpAG8AbgAgAHMAeQBzAHQAZQBtAFwAIgA7AFwAbgAgACAAIAAgACAAIAAgACAAIAAgAFwAIgBpAHIAXAAiACwAIABcACIAaQByAHIAaQBnAGEAdABpAG8AbgAgAG0AZQB0AGgAbwBkAFwAIgA7AFwAbgAgACAAIAAgACAAIAAgACAAIAAgAFwAIgByAFwAIgAsACAAXAAiAHIAYQBpAG4AZgBhAGwAbAAgAHIAZQBnAGkAbwBuAFwAIgBcAG4AIAAgACAAIAAgACAAIAAgAH0ALAAgAHIALAAgAGMAKQBcAG4AIAAgACAAIAAgACAAKQBcAG4AIAAgACAAIAApAFwAbgAgACAAKQA7AFwAbgBcAG4ALwAqAFwAbgAtAC0ALQAtAC0ALQAtAC0ALQAtAC0ALQAtAC0ALQAtAC0ALQAtAC0ALQAtAC0ALQAtAC0ALQAtAC0ALQAtAC0ALQAtAC0ALQAtAC0AXABuAFYARQBFAFIARwBfADQAXwAzAF8AMQBfADEAMABfAF8AMgBfAE0AYQBzAHMATwBmAE4AaQB0AHIAbwBnAGUAbgBWAG8AbABhAHQAaQBsAGkAcwBlAGQATwBuAFAAYQBzAHQAdQByAGUAXABuAE0AYQBzAHMAIABvAGYAIABuAGkAdAByAG8AZwBlAG4AIAB2AG8AbABhAHQAaQBsAGkAcwBlAGQAIABmAHIAbwBtACAAdQByAGkAbgBlACAAYQBuAGQAIABmAGEAZQBjAGUAcwAgAGQAZQBwAG8AcwBpAHQAZQBkACAAbwBuACAAcABhAHMAdAB1AHIAZQBcAG4ATQBfAHYAbwBsAF8AbQAxADQAXABuAGsAZwAgAE4AXABuAE0AXwB7AHYAbwBsACwAbQA9ADEANAB9AD0ATQBOAF8AewBqAG0APQAxADQAfQBcAFwAdABpAG0AZQBzACAARgByAGEAYwBHAEEAUwBNAHMAbwBpAGwAXABuAE0ATgBfAGoAbQAxADQAIAA9ACAAbQBhAHMAcwAgAG8AZgAgAG4AaQB0AHIAbwBnAGUAbgAgAGUAeABjAHIAZQB0AGUAZAAgAG8AbgAgAHAAYQBzAHQAdQByAGUALAAgAHIAYQBuAGcAZQAgAGEAbgBkACAAcABhAGQAZABvAGMAawAgAGYAbwByACAAZQBhAGMAaAAgAGQAYQBpAHIAeQAgAGMAbABhAHMAcwAgACgAawBnACAATgApAFwAbgBGAHIAYQBjAEcAQQBTAE0AcwBvAGkAbAAgAD0AIABmAHIAYQBjAHQAaQBvAG4AIABvAGYAIABuAGkAdAByAG8AZwBlAG4AIAB2AG8AbABhAHQAaQBsAGkAcwBlAGQAIABmAHIAbwBtACAAdQByAGkAbgBlACAAYQBuAGQAIABmAGEAZQBjAGUAcwAgAGQAZQBwAG8AcwBpAHQAZQBkACAAbwBuACAAcABhAHMAdAB1AHIAZQAgACgAKABrAGcAIABOAEgAMwAtAE4AIAArACAATgBPAHgALQBOACkALwBrAGcAIABOACkAXABuAC0ALQAtAC0ALQAtAC0ALQAtAC0ALQAtAC0ALQAtAC0ALQAtAC0ALQAtAC0ALQAtAC0ALQAtAC0ALQAtAC0ALQAtAC0ALQAtAC0ALQBcAG4AKgAvAFwAbgBcAG4AVgBFAEUAUgBHAF8ANABfADMAXwAxAF8AMQAwAF8AXwAyAF8ATQBhAHMAcwBPAGYATgBpAHQAcgBvAGcAZQBuAFYAbwBsAGEAdABpAGwAaQBzAGUAZABPAG4AUABhAHMAdAB1AHIAZQBcAG4AIAAgAD0ATABBAE0AQgBEAEEAKABcAG4AIAAgACAAIABNAE4AXwBqAG0AMQA0ACwAIABGAHIAYQBjAEcAQQBTAE0AcwBvAGkAbAAsAFwAbgAgACAAIAAgAE0ATgBfAGoAbQAxADQAIAAqACAARgByAGEAYwBHAEEAUwBNAHMAbwBpAGwAXABuACAAIAApADsAXABuAFwAbgBWAEUARQBSAEcAXwA0AF8AMwBfADEAXwAxADAAXwBfADIAXwBNAGEAcwBzAE8AZgBOAGkAdAByAG8AZwBlAG4AVgBvAGwAYQB0AGkAbABpAHMAZQBkAE8AbgBQAGEAcwB0AHUAcgBlAF8AVABpAHQAbABlAFwAbgAgACAAPQBMAEEATQBCAEQAQQAoAFwAIgBNAGEAcwBzACAAbwBmACAAbgBpAHQAcgBvAGcAZQBuACAAdgBvAGwAYQB0AGkAbABpAHMAZQBkACAAZgByAG8AbQAgAHUAcgBpAG4AZQAgAGEAbgBkACAAZgBhAGUAYwBlAHMAIABkAGUAcABvAHMAaQB0AGUAZAAgAG8AbgAgAHAAYQBzAHQAdQByAGUAXAAiACkAOwBcAG4AXABuAFYARQBFAFIARwBfADQAXwAzAF8AMQBfADEAMABfAF8AMgBfAE0AYQBzAHMATwBmAE4AaQB0AHIAbwBnAGUAbgBWAG8AbABhAHQAaQBsAGkAcwBlAGQATwBuAFAAYQBzAHQAdQByAGUAXwBWAGEAcgBpAGEAYgBsAGUAXABuACAAIAA9AEwAQQBNAEIARABBACgAXAAiAE0AXwB2AG8AbABfAG0AMQA0AFwAIgApADsAXABuAFwAbgBWAEUARQBSAEcAXwA0AF8AMwBfADEAXwAxADAAXwBfADIAXwBNAGEAcwBzAE8AZgBOAGkAdAByAG8AZwBlAG4AVgBvAGwAYQB0AGkAbABpAHMAZQBkAE8AbgBQAGEAcwB0AHUAcgBlAF8AVQBuAGkAdABcAG4AIAAgAD0ATABBAE0AQgBEAEEAKABcACIAawBnACAATgBcACIAKQA7AFwAbgBcAG4AVgBFAEUAUgBHAF8ANABfADMAXwAxAF8AMQAwAF8AXwAyAF8ATQBhAHMAcwBPAGYATgBpAHQAcgBvAGcAZQBuAFYAbwBsAGEAdABpAGwAaQBzAGUAZABPAG4AUABhAHMAdAB1AHIAZQBfAFMAbwB1AHIAYwBlAFwAbgAgACAAPQBMAEEATQBCAEQAQQAoAFwAIgBWAEUARQBSAEcAIAAyADAAMgA2ADoAIAA0AC4AMwAuADEALgAxADAALAAgAEUAcQB1AGEAdABpAG8AbgAgACgAMgApAFwAIgApADsAXABuAFwAbgBWAEUARQBSAEcAXwA0AF8AMwBfADEAXwAxADAAXwBfADIAXwBNAGEAcwBzAE8AZgBOAGkAdAByAG8AZwBlAG4AVgBvAGwAYQB0AGkAbABpAHMAZQBkAE8AbgBQAGEAcwB0AHUAcgBlAF8ATgBJAFIAUgBlAGYAZQByAGUAbgBjAGUAXABuACAAIAA9AEwAQQBNAEIARABBACgAXAAiAFwAIgApADsAXABuAFwAbgBWAEUARQBSAEcAXwA0AF8AMwBfADEAXwAxADAAXwBfADIAXwBNAGEAcwBzAE8AZgBOAGkAdAByAG8AZwBlAG4AVgBvAGwAYQB0AGkAbABpAHMAZQBkAE8AbgBQAGEAcwB0AHUAcgBlAF8ATABhAHQAZQB4AEUAcQB1AGEAdABpAG8AbgBcAG4AIAAgAD0ATABBAE0AQgBEAEEAKABcACIATQBfAHsAdgBvAGwALABtAD0AMQA0AH0APQBcAFwAcwB1AG0AXABcAG4AbwBsAGkAbQBpAHQAcwBfAHsAagB9ACgATQBOAF8AewBqAG0APQAxADQAfQBcAFwAdABpAG0AZQBzACAARgByAGEAYwBHAEEAUwBNAHMAbwBpAGwAKQBcACIAKQA7AFwAbgBcAG4AVgBFAEUAUgBHAF8ANABfADMAXwAxAF8AMQAwAF8AXwAyAF8ATQBhAHMAcwBPAGYATgBpAHQAcgBvAGcAZQBuAFYAbwBsAGEAdABpAGwAaQBzAGUAZABPAG4AUABhAHMAdAB1AHIAZQBfAEEAcgBnAHUAbQBlAG4AdABzAFwAbgAgACAAPQBMAEEATQBCAEQAQQAoAFwAbgAgACAAIAAgAE0AQQBLAEUAQQBSAFIAQQBZACgAMgAsACAAMgAsAFwAbgAgACAAIAAgACAAIABMAEEATQBCAEQAQQAoAHIALABjACwAXABuACAAIAAgACAAIAAgACAAIABJAE4ARABFAFgAKAB7AFwAbgAgACAAIAAgACAAIAAgACAAIAAgAFwAIgBNAE4AXwBqAG0AMQA0AFwAIgAsACAAXAAiAG0AYQBzAHMAIABvAGYAIABuAGkAdAByAG8AZwBlAG4AIABlAHgAYwByAGUAdABlAGQAIABvAG4AIABwAGEAcwB0AHUAcgBlACwAIAByAGEAbgBnAGUAIABhAG4AZAAgAHAAYQBkAGQAbwBjAGsAIABmAG8AcgAgAGUAYQBjAGgAIABkAGEAaQByAHkAIABjAGwAYQBzAHMAIAAoAGsAZwAgAE4AKQBcACIAOwBcAG4AIAAgACAAIAAgACAAIAAgACAAIABcACIARgByAGEAYwBHAEEAUwBNAHMAbwBpAGwAXAAiACwAIABcACIAZgByAGEAYwB0AGkAbwBuACAAbwBmACAAbgBpAHQAcgBvAGcAZQBuACAAdgBvAGwAYQB0AGkAbABpAHMAZQBkACAAZgByAG8AbQAgAHUAcgBpAG4AZQAgAGEAbgBkACAAZgBhAGUAYwBlAHMAIABkAGUAcABvAHMAaQB0AGUAZAAgAG8AbgAgAHAAYQBzAHQAdQByAGUAIAAoACgAawBnACAATgBIADMALQBOACAAKwAgAE4ATwB4AC0ATgApAC8AawBnACAATgApAFwAIgBcAG4AIAAgACAAIAAgACAAIAAgAH0ALAAgAHIALAAgAGMAKQBcAG4AIAAgACAAIAAgACAAKQBcAG4AIAAgACAAIAApAFwAbgAgACAAKQA7AFwAbgAiAH0ALAB7ACIAcABhAHQAaAAiADoAIgAvAHAAcgBvAGoAZQBjAHQAcwAvAE0ATQBTAF8ARABhAGkAcgB5AF8AUwBvAGkAbABfAEwAZQBhAGMAaABpAG4AZwBBAG4AZABSAHUAbgBvAGYAZgAiACwAIgB0AGUAeAB0ACIAOgAiAC8AKgBcAG4APQA9AD0APQA9AD0APQA9AD0APQA9AD0APQA9AD0APQA9AD0APQA9AD0APQA9AD0APQA9AD0APQA9AD0APQA9AD0APQA9AD0APQA9AD0APQA9AD0APQA9AD0APQA9AD0APQA9AD0APQA9AD0APQA9AD0APQA9AD0APQA9AD0APQA9AD0APQA9AD0APQA9AD0APQA9AD0APQBcAG4ANAAuADMAOgAgAEQAYQBpAHIAeQBcAG4APQA9AD0APQA9AD0APQA9AD0APQA9AD0APQA9AD0APQA9AD0APQA9AD0APQA9AD0APQA9AD0APQA9AD0APQA9AD0APQA9AD0APQA9AD0APQA9AD0APQA9AD0APQA9AD0APQA9AD0APQA9AD0APQA9AD0APQA9AD0APQA9AD0APQA9AD0APQA9AD0APQA9AD0APQA9AD0APQBcAG4ANAAuADMALgAxAC4AMQAyACAATQBlAHQAaABvAGQAIAAxACAALQAgAFMAbwBpAGwAIABMAGUAYQBjAGgAaQBuAGcAIABBAG4AZAAgAFIAdQBuAG8AZgBmACAATgAyAE8AIABEAGEAaQByAHkAXABuAD0APQA9AD0APQA9AD0APQA9AD0APQA9AD0APQA9AD0APQA9AD0APQA9AD0APQA9AD0APQA9AD0APQA9AD0APQA9AD0APQA9AD0APQA9AD0APQA9AD0APQA9AD0APQA9AD0APQA9AD0APQA9AD0APQA9AD0APQA9AD0APQA9AD0APQA9AD0APQA9AD0APQA9AD0APQA9AD0AXABuACoALwBcAG4AXABuAC8AKgBcAG4ALQAtAC0ALQAtAC0ALQAtAC0ALQAtAC0ALQAtAC0ALQAtAC0ALQAtAC0ALQAtAC0ALQAtAC0ALQAtAC0ALQAtAC0ALQAtAC0ALQAtAFwAbgBWAEUARQBSAEcAXwA0AF8AMwBfADEAXwAxADIAXwBfADEAXwBMAGUAYQBjAGgAaQBuAGcAQQBuAGQAUgB1AG4AbwBmAGYARQBtAGkAcwBzAGkAbwBuAHMARgByAG8AbQBVAHIAaQBuAGUAQQBuAGQARAB1AG4AZwBPAG4AUABhAHMAdAB1AHIAZQBcAG4ATABlAGEAYwBoAGkAbgBnACAAYQBuAGQAIAByAHUAbgBvAGYAZgAgAGUAbQBpAHMAcwBpAG8AbgBzACAAZgByAG8AbQAgAHUAcgBpAG4AZQAgAGEAbgBkACAAZAB1AG4AZwAgAGQAZQBwAG8AcwBpAHQAZQBkACAAbwBuACAAcABhAHMAdAB1AHIAZQBcAG4ARQBfAE4AMgBPAGwAZQBhAGMAaABcAG4AdAAgAE4AMgBPAFwAbgBFAF8AewBOADIATwAsAGwAZQBhAGMAaAB9AD0ATQBfAHsAbABlAGEAYwBoACwAbQA9ADEANAB9AFwAXAB0AGkAbQBlAHMAIABFAEYAXwB7AGwAZQBhAGMAaAB9AFwAXAB0AGkAbQBlAHMAIABDAF8AewBOADIATwB9AFwAXAB0AGkAbQBlAHMAIAAxADAAXgB7AC0AMwB9AFwAbgBNAF8AbABlAGEAYwBoAF8AbQAxADQAIAA9ACAAbQBhAHMAcwAgAG8AZgAgAG4AaQB0AHIAbwBnAGUAbgAgAGwAbwBzAHQAIAB0AG8AIABsAGUAYQBjAGgAaQBuAGcAIABhAG4AZAAgAHIAdQBuAG8AZgBmACAAZgByAG8AbQAgAHUAcgBpAG4AZQAgAGEAbgBkACAAZgBhAGUAYwBlAHMAIABkAGUAcABvAHMAaQB0AGUAZAAgAG8AbgAgAHAAYQBzAHQAdQByAGUAIAAoAGsAZwAgAE4AKQBcAG4ARQBGAF8AbABlAGEAYwBoACAAPQAgAG4AaQB0AHIAbwB1AHMAIABvAHgAaQBkAGUAIABlAG0AaQBzAHMAaQBvAG4AIABmAGEAYwB0AG8AcgAgAGYAbwByACAAbABlAGEAYwBoAGkAbgBnACAAYQBuAGQAIAByAHUAbgBvAGYAZgAgACgAawBnACAATgAyAE8ALQBOAC8AawBnACAATgApAFwAbgBDAF8ATgAyAE8AIAA9ACAAZgBhAGMAdABvAHIAIAB0AG8AIABjAG8AbgB2AGUAcgB0ACAAZQBsAGUAbQBlAG4AdABhAGwAIABtAGEAcwBzACAAbwBmACAATgAyAE8AIAB0AG8AIABtAG8AbABlAGMAdQBsAGEAcgAgAG0AYQBzAHMAXABuAC0ALQAtAC0ALQAtAC0ALQAtAC0ALQAtAC0ALQAtAC0ALQAtAC0ALQAtAC0ALQAtAC0ALQAtAC0ALQAtAC0ALQAtAC0ALQAtAC0ALQBcAG4AKgAvAFwAbgBcAG4AVgBFAEUAUgBHAF8ANABfADMAXwAxAF8AMQAyAF8AXwAxAF8ATABlAGEAYwBoAGkAbgBnAEEAbgBkAFIAdQBuAG8AZgBmAEUAbQBpAHMAcwBpAG8AbgBzAEYAcgBvAG0AVQByAGkAbgBlAEEAbgBkAEQAdQBuAGcATwBuAFAAYQBzAHQAdQByAGUAXABuACAAIAA9AEwAQQBNAEIARABBACgAXABuACAAIAAgACAATQBfAGwAZQBhAGMAaABfAG0AMQA0ACwAIABFAEYAXwBsAGUAYQBjAGgALAAgAEMAXwBOADIATwAsAFwAbgAgACAAIAAgAE0AXwBsAGUAYQBjAGgAXwBtADEANAAgACoAIABFAEYAXwBsAGUAYQBjAGgAIAAqACAAQwBfAE4AMgBPACAAKgAgADEAMAAgAF4AIAAtADMAXABuACAAIAApADsAXABuAFwAbgBWAEUARQBSAEcAXwA0AF8AMwBfADEAXwAxADIAXwBfADEAXwBMAGUAYQBjAGgAaQBuAGcAQQBuAGQAUgB1AG4AbwBmAGYARQBtAGkAcwBzAGkAbwBuAHMARgByAG8AbQBVAHIAaQBuAGUAQQBuAGQARAB1AG4AZwBPAG4AUABhAHMAdAB1AHIAZQBfAFQAaQB0AGwAZQBcAG4AIAAgAD0ATABBAE0AQgBEAEEAKABcACIATABlAGEAYwBoAGkAbgBnACAAYQBuAGQAIAByAHUAbgBvAGYAZgAgAGUAbQBpAHMAcwBpAG8AbgBzACAAZgByAG8AbQAgAHUAcgBpAG4AZQAgAGEAbgBkACAAZAB1AG4AZwAgAGQAZQBwAG8AcwBpAHQAZQBkACAAbwBuACAAcABhAHMAdAB1AHIAZQBcACIAKQA7AFwAbgBcAG4AVgBFAEUAUgBHAF8ANABfADMAXwAxAF8AMQAyAF8AXwAxAF8ATABlAGEAYwBoAGkAbgBnAEEAbgBkAFIAdQBuAG8AZgBmAEUAbQBpAHMAcwBpAG8AbgBzAEYAcgBvAG0AVQByAGkAbgBlAEEAbgBkAEQAdQBuAGcATwBuAFAAYQBzAHQAdQByAGUAXwBWAGEAcgBpAGEAYgBsAGUAXABuACAAIAA9AEwAQQBNAEIARABBACgAXAAiAEUAXwBOADIATwBsAGUAYQBjAGgAXAAiACkAOwBcAG4AXABuAFYARQBFAFIARwBfADQAXwAzAF8AMQBfADEAMgBfAF8AMQBfAEwAZQBhAGMAaABpAG4AZwBBAG4AZABSAHUAbgBvAGYAZgBFAG0AaQBzAHMAaQBvAG4AcwBGAHIAbwBtAFUAcgBpAG4AZQBBAG4AZABEAHUAbgBnAE8AbgBQAGEAcwB0AHUAcgBlAF8AVQBuAGkAdABcAG4AIAAgAD0ATABBAE0AQgBEAEEAKABcACIAdAAgAE4AMgBPAFwAIgApADsAXABuAFwAbgBWAEUARQBSAEcAXwA0AF8AMwBfADEAXwAxADIAXwBfADEAXwBMAGUAYQBjAGgAaQBuAGcAQQBuAGQAUgB1AG4AbwBmAGYARQBtAGkAcwBzAGkAbwBuAHMARgByAG8AbQBVAHIAaQBuAGUAQQBuAGQARAB1AG4AZwBPAG4AUABhAHMAdAB1AHIAZQBfAFMAbwB1AHIAYwBlAFwAbgAgACAAPQBMAEEATQBCAEQAQQAoAFwAIgBWAEUARQBSAEcAIAAyADAAMgA2ADoAIAA0AC4AMwAuADEALgAxADIALAAgAEUAcQB1AGEAdABpAG8AbgAgACgAMQApAFwAIgApADsAXABuAFwAbgBWAEUARQBSAEcAXwA0AF8AMwBfADEAXwAxADIAXwBfADEAXwBMAGUAYQBjAGgAaQBuAGcAQQBuAGQAUgB1AG4AbwBmAGYARQBtAGkAcwBzAGkAbwBuAHMARgByAG8AbQBVAHIAaQBuAGUAQQBuAGQARAB1AG4AZwBPAG4AUABhAHMAdAB1AHIAZQBfAE4ASQBSAFIAZQBmAGUAcgBlAG4AYwBlAFwAbgAgACAAPQBMAEEATQBCAEQAQQAoAFwAIgBcACIAKQA7AFwAbgBcAG4AVgBFAEUAUgBHAF8ANABfADMAXwAxAF8AMQAyAF8AXwAxAF8ATABlAGEAYwBoAGkAbgBnAEEAbgBkAFIAdQBuAG8AZgBmAEUAbQBpAHMAcwBpAG8AbgBzAEYAcgBvAG0AVQByAGkAbgBlAEEAbgBkAEQAdQBuAGcATwBuAFAAYQBzAHQAdQByAGUAXwBMAGEAdABlAHgARQBxAHUAYQB0AGkAbwBuAFwAbgAgACAAPQBMAEEATQBCAEQAQQAoAFwAIgBFAF8AewBOADIATwAsAGwAZQBhAGMAaAB9AD0ATQBfAHsAbABlAGEAYwBoACwAbQA9ADEANAB9AFwAXAB0AGkAbQBlAHMAIABFAEYAXwB7AGwAZQBhAGMAaAB9AFwAXAB0AGkAbQBlAHMAIABDAF8AewBOADIATwB9AFwAXAB0AGkAbQBlAHMAIAAxADAAXgB7AC0AMwB9AFwAIgApADsAXABuAFwAbgBWAEUARQBSAEcAXwA0AF8AMwBfADEAXwAxADIAXwBfADEAXwBMAGUAYQBjAGgAaQBuAGcAQQBuAGQAUgB1AG4AbwBmAGYARQBtAGkAcwBzAGkAbwBuAHMARgByAG8AbQBVAHIAaQBuAGUAQQBuAGQARAB1AG4AZwBPAG4AUABhAHMAdAB1AHIAZQBfAEEAcgBnAHUAbQBlAG4AdABzAFwAbgAgACAAPQBMAEEATQBCAEQAQQAoAFwAbgAgACAAIAAgAE0AQQBLAEUAQQBSAFIAQQBZACgAMwAsACAAMgAsAFwAbgAgACAAIAAgACAAIABMAEEATQBCAEQAQQAoAHIALABjACwAXABuACAAIAAgACAAIAAgACAAIABJAE4ARABFAFgAKAB7AFwAbgAgACAAIAAgACAAIAAgACAAIAAgAFwAIgBNAF8AbABlAGEAYwBoAF8AbQAxADQAXAAiACwAIABcACIAbQBhAHMAcwAgAG8AZgAgAG4AaQB0AHIAbwBnAGUAbgAgAGwAbwBzAHQAIAB0AG8AIABsAGUAYQBjAGgAaQBuAGcAIABhAG4AZAAgAHIAdQBuAG8AZgBmACAAZgByAG8AbQAgAHUAcgBpAG4AZQAgAGEAbgBkACAAZgBhAGUAYwBlAHMAIABkAGUAcABvAHMAaQB0AGUAZAAgAG8AbgAgAHAAYQBzAHQAdQByAGUAIAAoAGsAZwAgAE4AKQBcACIAOwBcAG4AIAAgACAAIAAgACAAIAAgACAAIABcACIARQBGAF8AbABlAGEAYwBoAFwAIgAsACAAXAAiAG4AaQB0AHIAbwB1AHMAIABvAHgAaQBkAGUAIABlAG0AaQBzAHMAaQBvAG4AIABmAGEAYwB0AG8AcgAgAGYAbwByACAAbABlAGEAYwBoAGkAbgBnACAAYQBuAGQAIAByAHUAbgBvAGYAZgAgACgAawBnACAATgAyAE8ALQBOAC8AawBnACAATgApAFwAIgA7AFwAbgAgACAAIAAgACAAIAAgACAAIAAgAFwAIgBDAF8ATgAyAE8AXAAiACwAIABcACIAZgBhAGMAdABvAHIAIAB0AG8AIABjAG8AbgB2AGUAcgB0ACAAZQBsAGUAbQBlAG4AdABhAGwAIABtAGEAcwBzACAAbwBmACAATgAyAE8AIAB0AG8AIABtAG8AbABlAGMAdQBsAGEAcgAgAG0AYQBzAHMAXAAiAFwAbgAgACAAIAAgACAAIAAgACAAfQAsACAAcgAsACAAYwApAFwAbgAgACAAIAAgACAAIAApAFwAbgAgACAAIAAgACkAXABuACAAIAApADsAXABuAFwAbgAvACoAXABuAC0ALQAtAC0ALQAtAC0ALQAtAC0ALQAtAC0ALQAtAC0ALQAtAC0ALQAtAC0ALQAtAC0ALQAtAC0ALQAtAC0ALQAtAC0ALQAtAC0ALQBcAG4AVgBFAEUAUgBHAF8ANABfADMAXwAxAF8AMQAyAF8AXwAyAF8ATQBhAHMAcwBPAGYATgBpAHQAcgBvAGcAZQBuAEwAbwBzAHQAVABvAEwAZQBhAGMAaABpAG4AZwBBAG4AZABSAHUAbgBvAGYAZgBPAG4AUABhAHMAdAB1AHIAZQBcAG4ATQBhAHMAcwAgAG8AZgAgAG4AaQB0AHIAbwBnAGUAbgAgAGwAbwBzAHQAIAB0AG8AIABsAGUAYQBjAGgAaQBuAGcAIABhAG4AZAAgAHIAdQBuAG8AZgBmACAAZgByAG8AbQAgAHUAcgBpAG4AZQAgAGEAbgBkACAAZgBhAGUAYwBlAHMAIABvAG4AIABwAGEAcwB0AHUAcgBlAFwAbgBNAF8AbABlAGEAYwBoAF8AbQAxADQAXABuAGsAZwAgAE4AXABuAE0AXwB7AGwAZQBhAGMAaAAsAG0APQAxADQAfQA9AE0ATgBfAHsAagBtAD0AMQA0AH0AXABcAHQAaQBtAGUAcwAgAEYAcgBhAGMAVwBlAHQAXABcAHQAaQBtAGUAcwAgAEYAcgBhAGMATABFAEEAQwBIAFwAbgBNAE4AXwBqAG0AMQA0ACAAPQAgAG0AYQBzAHMAIABvAGYAIABuAGkAdAByAG8AZwBlAG4AIABlAHgAYwByAGUAdABlAGQAIABvAG4AIABwAGEAcwB0AHUAcgBlACwAIAByAGEAbgBnAGUAIABhAG4AZAAgAHAAYQBkAGQAbwBjAGsAIABmAG8AcgAgAGUAYQBjAGgAIABkAGEAaQByAHkAIABjAGwAYQBzAHMAIAAoAGsAZwAgAE4AKQBcAG4ARgByAGEAYwBXAGUAdAAgAD0AIABmAHIAYQBjAHQAaQBvAG4AIABvAGYAIABOACAAYQB2AGEAaQBsAGEAYgBsAGUAIABmAG8AcgAgAGwAZQBhAGMAaABpAG4AZwAgAGEAbgBkACAAcgB1AG4AbwBmAGYAXABuAEYAcgBhAGMATABFAEEAQwBIACAAPQAgAGYAcgBhAGMAdABpAG8AbgAgAG8AZgAgAE4AIABsAG8AcwB0ACAAdABoAHIAbwB1AGcAaAAgAGwAZQBhAGMAaABpAG4AZwAgAGEAbgBkACAAcgB1AG4AbwBmAGYAXABuAC0ALQAtAC0ALQAtAC0ALQAtAC0ALQAtAC0ALQAtAC0ALQAtAC0ALQAtAC0ALQAtAC0ALQAtAC0ALQAtAC0ALQAtAC0ALQAtAC0ALQBcAG4AKgAvAFwAbgBcAG4AVgBFAEUAUgBHAF8ANABfADMAXwAxAF8AMQAyAF8AXwAyAF8ATQBhAHMAcwBPAGYATgBpAHQAcgBvAGcAZQBuAEwAbwBzAHQAVABvAEwAZQBhAGMAaABpAG4AZwBBAG4AZABSAHUAbgBvAGYAZgBPAG4AUABhAHMAdAB1AHIAZQBcAG4AIAAgAD0ATABBAE0AQgBEAEEAKABcAG4AIAAgACAAIABNAE4AXwBqAG0AMQA0ACwAIABGAHIAYQBjAFcAZQB0ACwAIABGAHIAYQBjAEwARQBBAEMASAAsAFwAbgAgACAAIAAgAE0ATgBfAGoAbQAxADQAIAAqACAARgByAGEAYwBXAGUAdAAgACoAIABGAHIAYQBjAEwARQBBAEMASABcAG4AIAAgACkAOwBcAG4AXABuAFYARQBFAFIARwBfADQAXwAzAF8AMQBfADEAMgBfAF8AMgBfAE0AYQBzAHMATwBmAE4AaQB0AHIAbwBnAGUAbgBMAG8AcwB0AFQAbwBMAGUAYQBjAGgAaQBuAGcAQQBuAGQAUgB1AG4AbwBmAGYATwBuAFAAYQBzAHQAdQByAGUAXwBUAGkAdABsAGUAXABuACAAIAA9AEwAQQBNAEIARABBACgAXAAiAE0AYQBzAHMAIABvAGYAIABuAGkAdAByAG8AZwBlAG4AIABsAG8AcwB0ACAAdABvACAAbABlAGEAYwBoAGkAbgBnACAAYQBuAGQAIAByAHUAbgBvAGYAZgAgAGYAcgBvAG0AIAB1AHIAaQBuAGUAIABhAG4AZAAgAGYAYQBlAGMAZQBzACAAbwBuACAAcABhAHMAdAB1AHIAZQBcACIAKQA7AFwAbgBcAG4AVgBFAEUAUgBHAF8ANABfADMAXwAxAF8AMQAyAF8AXwAyAF8ATQBhAHMAcwBPAGYATgBpAHQAcgBvAGcAZQBuAEwAbwBzAHQAVABvAEwAZQBhAGMAaABpAG4AZwBBAG4AZABSAHUAbgBvAGYAZgBPAG4AUABhAHMAdAB1AHIAZQBfAFYAYQByAGkAYQBiAGwAZQBcAG4AIAAgAD0ATABBAE0AQgBEAEEAKABcACIATQBfAGwAZQBhAGMAaABfAG0AMQA0AFwAIgApADsAXABuAFwAbgBWAEUARQBSAEcAXwA0AF8AMwBfADEAXwAxADIAXwBfADIAXwBNAGEAcwBzAE8AZgBOAGkAdAByAG8AZwBlAG4ATABvAHMAdABUAG8ATABlAGEAYwBoAGkAbgBnAEEAbgBkAFIAdQBuAG8AZgBmAE8AbgBQAGEAcwB0AHUAcgBlAF8AVQBuAGkAdABcAG4AIAAgAD0ATABBAE0AQgBEAEEAKABcACIAawBnACAATgBcACIAKQA7AFwAbgBcAG4AVgBFAEUAUgBHAF8ANABfADMAXwAxAF8AMQAyAF8AXwAyAF8ATQBhAHMAcwBPAGYATgBpAHQAcgBvAGcAZQBuAEwAbwBzAHQAVABvAEwAZQBhAGMAaABpAG4AZwBBAG4AZABSAHUAbgBvAGYAZgBPAG4AUABhAHMAdAB1AHIAZQBfAFMAbwB1AHIAYwBlAFwAbgAgACAAPQBMAEEATQBCAEQAQQAoAFwAIgBWAEUARQBSAEcAIAAyADAAMgA2ADoAIAA0AC4AMwAuADEALgAxADIALAAgAEUAcQB1AGEAdABpAG8AbgAgACgAMgApAFwAIgApADsAXABuAFwAbgBWAEUARQBSAEcAXwA0AF8AMwBfADEAXwAxADIAXwBfADIAXwBNAGEAcwBzAE8AZgBOAGkAdAByAG8AZwBlAG4ATABvAHMAdABUAG8ATABlAGEAYwBoAGkAbgBnAEEAbgBkAFIAdQBuAG8AZgBmAE8AbgBQAGEAcwB0AHUAcgBlAF8ATgBJAFIAUgBlAGYAZQByAGUAbgBjAGUAXABuACAAIAA9AEwAQQBNAEIARABBACgAXAAiAFwAIgApADsAXABuAFwAbgBWAEUARQBSAEcAXwA0AF8AMwBfADEAXwAxADIAXwBfADIAXwBNAGEAcwBzAE8AZgBOAGkAdAByAG8AZwBlAG4ATABvAHMAdABUAG8ATABlAGEAYwBoAGkAbgBnAEEAbgBkAFIAdQBuAG8AZgBmAE8AbgBQAGEAcwB0AHUAcgBlAF8ATABhAHQAZQB4AEUAcQB1AGEAdABpAG8AbgBcAG4AIAAgAD0ATABBAE0AQgBEAEEAKABcACIATQBfAHsAbABlAGEAYwBoACwAbQA9ADEANAB9AD0AXABcAHMAdQBtAFwAXABuAG8AbABpAG0AaQB0AHMAXwB7AGoAfQAoAE0ATgBfAHsAagBtAD0AMQA0AH0AXABcAHQAaQBtAGUAcwAgAEYAcgBhAGMAVwBlAHQAXABcAHQAaQBtAGUAcwAgAEYAcgBhAGMATABFAEEAQwBIACkAXAAiACkAOwBcAG4AXABuAFYARQBFAFIARwBfADQAXwAzAF8AMQBfADEAMgBfAF8AMgBfAE0AYQBzAHMATwBmAE4AaQB0AHIAbwBnAGUAbgBMAG8AcwB0AFQAbwBMAGUAYQBjAGgAaQBuAGcAQQBuAGQAUgB1AG4AbwBmAGYATwBuAFAAYQBzAHQAdQByAGUAXwBBAHIAZwB1AG0AZQBuAHQAcwBcAG4AIAAgAD0ATABBAE0AQgBEAEEAKABcAG4AIAAgACAAIABNAEEASwBFAEEAUgBSAEEAWQAoADYALAAgADIALABcAG4AIAAgACAAIAAgACAATABBAE0AQgBEAEEAKAByACwAYwAsAFwAbgAgACAAIAAgACAAIAAgACAASQBOAEQARQBYACgAewBcAG4AIAAgACAAIAAgACAAIAAgACAAIABcACIATQBOAF8AagBtADEANABcACIALAAgAFwAIgBtAGEAcwBzACAAbwBmACAAbgBpAHQAcgBvAGcAZQBuACAAZQB4AGMAcgBlAHQAZQBkACAAbwBuACAAcABhAHMAdAB1AHIAZQAsACAAcgBhAG4AZwBlACAAYQBuAGQAIABwAGEAZABkAG8AYwBrACAAZgBvAHIAIABlAGEAYwBoACAAZABhAGkAcgB5ACAAYwBsAGEAcwBzACAAKABrAGcAIABOACkAXAAiADsAXABuACAAIAAgACAAIAAgACAAIAAgACAAXAAiAEYAcgBhAGMAVwBlAHQAXAAiACwAIABcACIAZgByAGEAYwB0AGkAbwBuACAAbwBmACAATgAgAGEAdgBhAGkAbABhAGIAbABlACAAZgBvAHIAIABsAGUAYQBjAGgAaQBuAGcAIABhAG4AZAAgAHIAdQBuAG8AZgBmAFwAIgA7AFwAbgAgACAAIAAgACAAIAAgACAAIAAgAFwAIgBGAHIAYQBjAEwARQBBAEMASABcACIALAAgAFwAIgBmAHIAYQBjAHQAaQBvAG4AIABvAGYAIABOACAAbABvAHMAdAAgAHQAaAByAG8AdQBnAGgAIABsAGUAYQBjAGgAaQBuAGcAIABhAG4AZAAgAHIAdQBuAG8AZgBmAFwAIgA7AFwAbgAgACAAIAAgACAAIAAgACAAIAAgAFwAIgB6AFwAIgAsACAAXAAiAGwAbwBjAGEAdABpAG8AbgAgAGkAbgAgAGwAZQBhAGMAaABpAG4AZwAgAHoAbwBuAGUAXAAiADsAXABuACAAIAAgACAAIAAgACAAIAAgACAAXAAiAGoAXAAiACwAIABcACIAcAByAG8AZAB1AGMAdABpAG8AbgAgAHMAeQBzAHQAZQBtAFwAIgA7AFwAbgAgACAAIAAgACAAIAAgACAAIAAgAFwAIgBpAHIAXAAiACwAIABcACIAaQByAHIAaQBnAGEAdABpAG8AbgAgAG0AZQB0AGgAbwBkAFwAIgBcAG4AIAAgACAAIAAgACAAIAAgAH0ALAAgAHIALAAgAGMAKQBcAG4AIAAgACAAIAAgACAAKQBcAG4AIAAgACAAIAApAFwAbgAgACAAKQA7AFwAbgAiAH0AXQAsACIAcAByAG8AagBlAGMAdABOAGEAbQBlAHMAIgA6AFsAIgBDAG8AbQBtAG8AbgBfAFMAbwB1AHIAYwBlAEQAYQB0AGEALgBDAG8AbQBtAG8AbgBfAFMAbwB1AHIAYwBlAEQAYQB0AGEAXwBEAGUAbgBzAGkAdAB5AE8AZgBNAGUAdABoAGEAbgBlAF8AVABpAHQAbABlACIALAAiAEMAbwBtAG0AbwBuAF8AUwBvAHUAcgBjAGUARABhAHQAYQAuAEMAbwBtAG0AbwBuAF8AUwBvAHUAcgBjAGUARABhAHQAYQBfAEQAZQBuAHMAaQB0AHkATwBmAE0AZQB0AGgAYQBuAGUAXwBVAG4AaQB0ACIALAAiAEMAbwBtAG0AbwBuAF8AUwBvAHUAcgBjAGUARABhAHQAYQAuAEMAbwBtAG0AbwBuAF8AUwBvAHUAcgBjAGUARABhAHQAYQBfAEQAZQBuAHMAaQB0AHkATwBmAE0AZQB0AGgAYQBuAGUAXwBTAG8AdQByAGMAZQAiACwAIgBDAG8AbQBtAG8AbgBfAFMAbwB1AHIAYwBlAEQAYQB0AGEALgBDAG8AbQBtAG8AbgBfAFMAbwB1AHIAYwBlAEQAYQB0AGEAXwBEAGUAbgBzAGkAdAB5AE8AZgBNAGUAdABoAGEAbgBlAF8ARABhAHQAYQAiACwAIgBDAG8AbQBtAG8AbgBfAFMAbwB1AHIAYwBlAEQAYQB0AGEALgBDAG8AbQBtAG8AbgBfAFMAbwB1AHIAYwBlAEQAYQB0AGEAXwBDAG8AbgB2AGUAcgB0AE4AMgBvAEUAbABlAG0AZQBuAHQAYQBsAFQAbwBNAG8AbABlAGMAdQBsAGEAcgBDAGcAXwBUAGkAdABsAGUAIgAsACIAQwBvAG0AbQBvAG4AXwBTAG8AdQByAGMAZQBEAGEAdABhAC4AQwBvAG0AbQBvAG4AXwBTAG8AdQByAGMAZQBEAGEAdABhAF8AQwBvAG4AdgBlAHIAdABOADIAbwBFAGwAZQBtAGUAbgB0AGEAbABUAG8ATQBvAGwAZQBjAHUAbABhAHIAQwBnAF8AVgBhAHIAaQBhAGIAbABlACIALAAiAEMAbwBtAG0AbwBuAF8AUwBvAHUAcgBjAGUARABhAHQAYQAuAEMAbwBtAG0AbwBuAF8AUwBvAHUAcgBjAGUARABhAHQAYQBfAEMAbwBuAHYAZQByAHQATgAyAG8ARQBsAGUAbQBlAG4AdABhAGwAVABvAE0AbwBsAGUAYwB1AGwAYQByAEMAZwBfAFUAbgBpAHQAIgAsACIAQwBvAG0AbQBvAG4AXwBTAG8AdQByAGMAZQBEAGEAdABhAC4AQwBvAG0AbQBvAG4AXwBTAG8AdQByAGMAZQBEAGEAdABhAF8AQwBvAG4AdgBlAHIAdABOADIAbwBFAGwAZQBtAGUAbgB0AGEAbABUAG8ATQBvAGwAZQBjAHUAbABhAHIAQwBnAF8AUwBvAHUAcgBjAGUAIgAsACIAQwBvAG0AbQBvAG4AXwBTAG8AdQByAGMAZQBEAGEAdABhAC4AQwBvAG0AbQBvAG4AXwBTAG8AdQByAGMAZQBEAGEAdABhAF8AQwBvAG4AdgBlAHIAdABOADIAbwBFAGwAZQBtAGUAbgB0AGEAbABUAG8ATQBvAGwAZQBjAHUAbABhAHIAQwBnAF8ARABhAHQAYQAiACwAIgBDAG8AbQBtAG8AbgBfAFMAbwB1AHIAYwBlAEQAYQB0AGEALgBDAG8AbQBtAG8AbgBfAFMAbwB1AHIAYwBlAEQAYQB0AGEAXwBDAG8AbgB2AGUAcgB0AEcAYQBzAEUAbABlAG0AZQBuAHQAYQBsAFQAbwBNAG8AbABlAGMAdQBsAGEAcgBfAFQAaQB0AGwAZQAiACwAIgBDAG8AbQBtAG8AbgBfAFMAbwB1AHIAYwBlAEQAYQB0AGEALgBDAG8AbQBtAG8AbgBfAFMAbwB1AHIAYwBlAEQAYQB0AGEAXwBDAG8AbgB2AGUAcgB0AEcAYQBzAEUAbABlAG0AZQBuAHQAYQBsAFQAbwBNAG8AbABlAGMAdQBsAGEAcgBfAFYAYQByAGkAYQBiAGwAZQAiACwAIgBDAG8AbQBtAG8AbgBfAFMAbwB1AHIAYwBlAEQAYQB0AGEALgBDAG8AbQBtAG8AbgBfAFMAbwB1AHIAYwBlAEQAYQB0AGEAXwBDAG8AbgB2AGUAcgB0AEcAYQBzAEUAbABlAG0AZQBuAHQAYQBsAFQAbwBNAG8AbABlAGMAdQBsAGEAcgBfAFUAbgBpAHQAIgAsACIAQwBvAG0AbQBvAG4AXwBTAG8AdQByAGMAZQBEAGEAdABhAC4AQwBvAG0AbQBvAG4AXwBTAG8AdQByAGMAZQBEAGEAdABhAF8AQwBvAG4AdgBlAHIAdABHAGEAcwBFAGwAZQBtAGUAbgB0AGEAbABUAG8ATQBvAGwAZQBjAHUAbABhAHIAXwBTAG8AdQByAGMAZQAiACwAIgBDAG8AbQBtAG8AbgBfAFMAbwB1AHIAYwBlAEQAYQB0AGEALgBDAG8AbQBtAG8AbgBfAFMAbwB1AHIAYwBlAEQAYQB0AGEAXwBDAG8AbgB2AGUAcgB0AEcAYQBzAEUAbABlAG0AZQBuAHQAYQBsAFQAbwBNAG8AbABlAGMAdQBsAGEAcgBfAEQAYQB0AGEAIgAsACIAQwBvAG0AbQBvAG4AXwBTAG8AdQByAGMAZQBEAGEAdABhAC4AQwBvAG0AbQBvAG4AXwBTAG8AdQByAGMAZQBEAGEAdABhAF8ARwBXAFAAXwBUAGkAdABsAGUAIgAsACIAQwBvAG0AbQBvAG4AXwBTAG8AdQByAGMAZQBEAGEAdABhAC4AQwBvAG0AbQBvAG4AXwBTAG8AdQByAGMAZQBEAGEAdABhAF8ARwBXAFAAXwBWAGEAcgBpAGEAYgBsAGUAIgAsACIAQwBvAG0AbQBvAG4AXwBTAG8AdQByAGMAZQBEAGEAdABhAC4AQwBvAG0AbQBvAG4AXwBTAG8AdQByAGMAZQBEAGEAdABhAF8ARwBXAFAAXwBVAG4AaQB0ACIALAAiAEMAbwBtAG0AbwBuAF8AUwBvAHUAcgBjAGUARABhAHQAYQAuAEMAbwBtAG0AbwBuAF8AUwBvAHUAcgBjAGUARABhAHQAYQBfAEcAVwBQAF8AUwBvAHUAcgBjAGUAIgAsACIAQwBvAG0AbQBvAG4AXwBTAG8AdQByAGMAZQBEAGEAdABhAC4AQwBvAG0AbQBvAG4AXwBTAG8AdQByAGMAZQBEAGEAdABhAF8ARwBXAFAAXwBEAGEAdABhACIALAAiAEMAbwBtAG0AbwBuAF8AUwBvAHUAcgBjAGUARABhAHQAYQAuAEMAbwBtAG0AbwBuAF8AUwBvAHUAcgBjAGUARABhAHQAYQBfAEEAdQBzAHQAcgBhAGwAaQBhAG4AUwB0AGEAdABlAHMAVABlAHIAcgBpAHQAbwByAGkAZQBzAF8AVABpAHQAbABlACIALAAiAEMAbwBtAG0AbwBuAF8AUwBvAHUAcgBjAGUARABhAHQAYQAuAEMAbwBtAG0AbwBuAF8AUwBvAHUAcgBjAGUARABhAHQAYQBfAEEAdQBzAHQAcgBhAGwAaQBhAG4AUwB0AGEAdABlAHMAVABlAHIAcgBpAHQAbwByAGkAZQBzAF8AVgBhAHIAaQBhAGIAbABlACIALAAiAEMAbwBtAG0AbwBuAF8AUwBvAHUAcgBjAGUARABhAHQAYQAuAEMAbwBtAG0AbwBuAF8AUwBvAHUAcgBjAGUARABhAHQAYQBfAEEAdQBzAHQAcgBhAGwAaQBhAG4AUwB0AGEAdABlAHMAVABlAHIAcgBpAHQAbwByAGkAZQBzAF8AVQBuAGkAdAAiACwAIgBDAG8AbQBtAG8AbgBfAFMAbwB1AHIAYwBlAEQAYQB0AGEALgBDAG8AbQBtAG8AbgBfAFMAbwB1AHIAYwBlAEQAYQB0AGEAXwBBAHUAcwB0AHIAYQBsAGkAYQBuAFMAdABhAHQAZQBzAFQAZQByAHIAaQB0AG8AcgBpAGUAcwBfAFMAbwB1AHIAYwBlACIALAAiAEMAbwBtAG0AbwBuAF8AUwBvAHUAcgBjAGUARABhAHQAYQAuAEMAbwBtAG0AbwBuAF8AUwBvAHUAcgBjAGUARABhAHQAYQBfAEEAdQBzAHQAcgBhAGwAaQBhAG4AUwB0AGEAdABlAHMAVABlAHIAcgBpAHQAbwByAGkAZQBzAF8ARABhAHQAYQAiACwAIgBDAG8AbQBtAG8AbgBfAFMAbwB1AHIAYwBlAEQAYQB0AGEALgBDAG8AbQBtAG8AbgBfAFMAbwB1AHIAYwBlAEQAYQB0AGEAXwBXAEEAUwBBADQAQQByAGUAYQBzAF8AVABpAHQAbABlACIALAAiAEMAbwBtAG0AbwBuAF8AUwBvAHUAcgBjAGUARABhAHQAYQAuAEMAbwBtAG0AbwBuAF8AUwBvAHUAcgBjAGUARABhAHQAYQBfAFcAQQBTAEEANABBAHIAZQBhAHMAXwBWAGEAcgBpAGEAYgBsAGUAIgAsACIAQwBvAG0AbQBvAG4AXwBTAG8AdQByAGMAZQBEAGEAdABhAC4AQwBvAG0AbQBvAG4AXwBTAG8AdQByAGMAZQBEAGEAdABhAF8AVwBBAFMAQQA0AEEAcgBlAGEAcwBfAFUAbgBpAHQAIgAsACIAQwBvAG0AbQBvAG4AXwBTAG8AdQByAGMAZQBEAGEAdABhAC4AQwBvAG0AbQBvAG4AXwBTAG8AdQByAGMAZQBEAGEAdABhAF8AVwBBAFMAQQA0AEEAcgBlAGEAcwBfAFMAbwB1AHIAYwBlACIALAAiAEMAbwBtAG0AbwBuAF8AUwBvAHUAcgBjAGUARABhAHQAYQAuAEMAbwBtAG0AbwBuAF8AUwBvAHUAcgBjAGUARABhAHQAYQBfAFcAQQBTAEEANABBAHIAZQBhAHMAXwBEAGEAdABhACIALAAiAEMAbwBtAG0AbwBuAF8AUwBvAHUAcgBjAGUARABhAHQAYQAuAEMAbwBtAG0AbwBuAF8AUwBvAHUAcgBjAGUARABhAHQAYQBfAFcAZQB0AEEAbgBkAEQAcgB5AFoAbwBuAGUAcwBfAFQAaQB0AGwAZQAiACwAIgBDAG8AbQBtAG8AbgBfAFMAbwB1AHIAYwBlAEQAYQB0AGEALgBDAG8AbQBtAG8AbgBfAFMAbwB1AHIAYwBlAEQAYQB0AGEAXwBXAGUAdABBAG4AZABEAHIAeQBaAG8AbgBlAHMAXwBWAGEAcgBpAGEAYgBsAGUAIgAsACIAQwBvAG0AbQBvAG4AXwBTAG8AdQByAGMAZQBEAGEAdABhAC4AQwBvAG0AbQBvAG4AXwBTAG8AdQByAGMAZQBEAGEAdABhAF8AVwBlAHQAQQBuAGQARAByAHkAWgBvAG4AZQBzAF8AVQBuAGkAdAAiACwAIgBDAG8AbQBtAG8AbgBfAFMAbwB1AHIAYwBlAEQAYQB0AGEALgBDAG8AbQBtAG8AbgBfAFMAbwB1AHIAYwBlAEQAYQB0AGEAXwBXAGUAdABBAG4AZABEAHIAeQBaAG8AbgBlAHMAXwBTAG8AdQByAGMAZQAiACwAIgBDAG8AbQBtAG8AbgBfAFMAbwB1AHIAYwBlAEQAYQB0AGEALgBDAG8AbQBtAG8AbgBfAFMAbwB1AHIAYwBlAEQAYQB0AGEAXwBXAGUAdABBAG4AZABEAHIAeQBaAG8AbgBlAHMAXwBWAGEAcgBpAGEAdABpAG8AbgAiACwAIgBDAG8AbQBtAG8AbgBfAFMAbwB1AHIAYwBlAEQAYQB0AGEALgBDAG8AbQBtAG8AbgBfAFMAbwB1AHIAYwBlAEQAYQB0AGEAXwBXAGUAdABBAG4AZABEAHIAeQBaAG8AbgBlAHMAXwBEAGEAdABhACIALAAiAEMAbwBtAG0AbwBuAF8AUwBvAHUAcgBjAGUARABhAHQAYQAuAEMAbwBtAG0AbwBuAF8AUwBvAHUAcgBjAGUARABhAHQAYQBfAEMAbABpAG0AYQB0AGUAWgBvAG4AZQBzAF8AVABpAHQAbABlACIALAAiAEMAbwBtAG0AbwBuAF8AUwBvAHUAcgBjAGUARABhAHQAYQAuAEMAbwBtAG0AbwBuAF8AUwBvAHUAcgBjAGUARABhAHQAYQBfAEMAbABpAG0AYQB0AGUAWgBvAG4AZQBzAF8AVgBhAHIAaQBhAGIAbABlACIALAAiAEMAbwBtAG0AbwBuAF8AUwBvAHUAcgBjAGUARABhAHQAYQAuAEMAbwBtAG0AbwBuAF8AUwBvAHUAcgBjAGUARABhAHQAYQBfAEMAbABpAG0AYQB0AGUAWgBvAG4AZQBzAF8AVQBuAGkAdAAiACwAIgBDAG8AbQBtAG8AbgBfAFMAbwB1AHIAYwBlAEQAYQB0AGEALgBDAG8AbQBtAG8AbgBfAFMAbwB1AHIAYwBlAEQAYQB0AGEAXwBDAGwAaQBtAGEAdABlAFoAbwBuAGUAcwBfAFMAbwB1AHIAYwBlACIALAAiAEMAbwBtAG0AbwBuAF8AUwBvAHUAcgBjAGUARABhAHQAYQAuAEMAbwBtAG0AbwBuAF8AUwBvAHUAcgBjAGUARABhAHQAYQBfAEMAbABpAG0AYQB0AGUAWgBvAG4AZQBzAF8AVgBhAHIAaQBhAHQAaQBvAG4AIgAsACIAQwBvAG0AbQBvAG4AXwBTAG8AdQByAGMAZQBEAGEAdABhAC4AQwBvAG0AbQBvAG4AXwBTAG8AdQByAGMAZQBEAGEAdABhAF8AQwBsAGkAbQBhAHQAZQBaAG8AbgBlAHMAXwBEAGEAdABhACIALAAiAEMAbwBtAG0AbwBuAF8AUwBvAHUAcgBjAGUARABhAHQAYQAuAEMAbwBtAG0AbwBuAF8AUwBvAHUAcgBjAGUARABhAHQAYQBfAEMAbABpAG0AYQB0AGUAWgBvAG4AZQBzAF8AQQBwAHAAZQBuAGQAaQBjAGUAcwAiACwAIgBDAG8AbQBtAG8AbgBfAFMAbwB1AHIAYwBlAEQAYQB0AGEALgBDAG8AbQBtAG8AbgBfAFMAbwB1AHIAYwBlAEQAYQB0AGEAXwBUAGUAbQBwAGUAcgBhAHQAdQByAGUAWgBvAG4AZQBzAF8AVABpAHQAbABlACIALAAiAEMAbwBtAG0AbwBuAF8AUwBvAHUAcgBjAGUARABhAHQAYQAuAEMAbwBtAG0AbwBuAF8AUwBvAHUAcgBjAGUARABhAHQAYQBfAFQAZQBtAHAAZQByAGEAdAB1AHIAZQBaAG8AbgBlAHMAXwBWAGEAcgBpAGEAYgBsAGUAIgAsACIAQwBvAG0AbQBvAG4AXwBTAG8AdQByAGMAZQBEAGEAdABhAC4AQwBvAG0AbQBvAG4AXwBTAG8AdQByAGMAZQBEAGEAdABhAF8AVABlAG0AcABlAHIAYQB0AHUAcgBlAFoAbwBuAGUAcwBfAFUAbgBpAHQAIgAsACIAQwBvAG0AbQBvAG4AXwBTAG8AdQByAGMAZQBEAGEAdABhAC4AQwBvAG0AbQBvAG4AXwBTAG8AdQByAGMAZQBEAGEAdABhAF8AVABlAG0AcABlAHIAYQB0AHUAcgBlAFoAbwBuAGUAcwBfAFMAbwB1AHIAYwBlACIALAAiAEMAbwBtAG0AbwBuAF8AUwBvAHUAcgBjAGUARABhAHQAYQAuAEMAbwBtAG0AbwBuAF8AUwBvAHUAcgBjAGUARABhAHQAYQBfAFQAZQBtAHAAZQByAGEAdAB1AHIAZQBaAG8AbgBlAHMAXwBWAGEAcgBpAGEAdABpAG8AbgAiACwAIgBDAG8AbQBtAG8AbgBfAFMAbwB1AHIAYwBlAEQAYQB0AGEALgBDAG8AbQBtAG8AbgBfAFMAbwB1AHIAYwBlAEQAYQB0AGEAXwBUAGUAbQBwAGUAcgBhAHQAdQByAGUAWgBvAG4AZQBzAF8ARABhAHQAYQAiACwAIgBDAG8AbQBtAG8AbgBfAFMAbwB1AHIAYwBlAEQAYQB0AGEALgBDAG8AbQBtAG8AbgBfAFMAbwB1AHIAYwBlAEQAYQB0AGEAXwBSAGEAaQBuAGYAYQBsAGwAWgBvAG4AZQBzAF8AVABpAHQAbABlACIALAAiAEMAbwBtAG0AbwBuAF8AUwBvAHUAcgBjAGUARABhAHQAYQAuAEMAbwBtAG0AbwBuAF8AUwBvAHUAcgBjAGUARABhAHQAYQBfAFIAYQBpAG4AZgBhAGwAbABaAG8AbgBlAHMAXwBWAGEAcgBpAGEAYgBsAGUAIgAsACIAQwBvAG0AbQBvAG4AXwBTAG8AdQByAGMAZQBEAGEAdABhAC4AQwBvAG0AbQBvAG4AXwBTAG8AdQByAGMAZQBEAGEAdABhAF8AUgBhAGkAbgBmAGEAbABsAFoAbwBuAGUAcwBfAFUAbgBpAHQAIgAsACIAQwBvAG0AbQBvAG4AXwBTAG8AdQByAGMAZQBEAGEAdABhAC4AQwBvAG0AbQBvAG4AXwBTAG8AdQByAGMAZQBEAGEAdABhAF8AUgBhAGkAbgBmAGEAbABsAFoAbwBuAGUAcwBfAFMAbwB1AHIAYwBlACIALAAiAEMAbwBtAG0AbwBuAF8AUwBvAHUAcgBjAGUARABhAHQAYQAuAEMAbwBtAG0AbwBuAF8AUwBvAHUAcgBjAGUARABhAHQAYQBfAFIAYQBpAG4AZgBhAGwAbABaAG8AbgBlAHMAXwBWAGEAcgBpAGEAdABpAG8AbgAiACwAIgBDAG8AbQBtAG8AbgBfAFMAbwB1AHIAYwBlAEQAYQB0AGEALgBDAG8AbQBtAG8AbgBfAFMAbwB1AHIAYwBlAEQAYQB0AGEAXwBSAGEAaQBuAGYAYQBsAGwAWgBvAG4AZQBzAF8ARABhAHQAYQAiACwAIgBDAG8AbQBtAG8AbgBfAFMAbwB1AHIAYwBlAEQAYQB0AGEALgBDAG8AbQBtAG8AbgBfAFMAbwB1AHIAYwBlAEQAYQB0AGEAXwBMAGUAYQBjAGgAaQBuAGcAWgBvAG4AZQBzAF8AVABpAHQAbABlACIALAAiAEMAbwBtAG0AbwBuAF8AUwBvAHUAcgBjAGUARABhAHQAYQAuAEMAbwBtAG0AbwBuAF8AUwBvAHUAcgBjAGUARABhAHQAYQBfAEwAZQBhAGMAaABpAG4AZwBaAG8AbgBlAHMAXwBWAGEAcgBpAGEAYgBsAGUAIgAsACIAQwBvAG0AbQBvAG4AXwBTAG8AdQByAGMAZQBEAGEAdABhAC4AQwBvAG0AbQBvAG4AXwBTAG8AdQByAGMAZQBEAGEAdABhAF8ATABlAGEAYwBoAGkAbgBnAFoAbwBuAGUAcwBfAFUAbgBpAHQAIgAsACIAQwBvAG0AbQBvAG4AXwBTAG8AdQByAGMAZQBEAGEAdABhAC4AQwBvAG0AbQBvAG4AXwBTAG8AdQByAGMAZQBEAGEAdABhAF8ATABlAGEAYwBoAGkAbgBnAFoAbwBuAGUAcwBfAFMAbwB1AHIAYwBlACIALAAiAEMAbwBtAG0AbwBuAF8AUwBvAHUAcgBjAGUARABhAHQAYQAuAEMAbwBtAG0AbwBuAF8AUwBvAHUAcgBjAGUARABhAHQAYQBfAEwAZQBhAGMAaABpAG4AZwBaAG8AbgBlAHMAXwBWAGEAcgBpAGEAdABpAG8AbgAiACwAIgBDAG8AbQBtAG8AbgBfAFMAbwB1AHIAYwBlAEQAYQB0AGEALgBDAG8AbQBtAG8AbgBfAFMAbwB1AHIAYwBlAEQAYQB0AGEAXwBMAGUAYQBjAGgAaQBuAGcAWgBvAG4AZQBzAF8ARABhAHQAYQAiACwAIgBDAG8AbQBtAG8AbgBfAFMAbwB1AHIAYwBlAEQAYQB0AGEALgBDAG8AbQBtAG8AbgBfAFMAbwB1AHIAYwBlAEQAYQB0AGEAXwBGAHIAYQBjAFcARQBUAF8AVABpAHQAbABlACIALAAiAEMAbwBtAG0AbwBuAF8AUwBvAHUAcgBjAGUARABhAHQAYQAuAEMAbwBtAG0AbwBuAF8AUwBvAHUAcgBjAGUARABhAHQAYQBfAEYAcgBhAGMAVwBFAFQAXwBVAG4AaQB0ACIALAAiAEMAbwBtAG0AbwBuAF8AUwBvAHUAcgBjAGUARABhAHQAYQAuAEMAbwBtAG0AbwBuAF8AUwBvAHUAcgBjAGUARABhAHQAYQBfAEYAcgBhAGMAVwBFAFQAXwBTAG8AdQByAGMAZQAiACwAIgBDAG8AbQBtAG8AbgBfAFMAbwB1AHIAYwBlAEQAYQB0AGEALgBDAG8AbQBtAG8AbgBfAFMAbwB1AHIAYwBlAEQAYQB0AGEAXwBGAHIAYQBjAFcARQBUAF8ATgBJAFIAUgBlAGYAZQByAGUAbgBjAGUAIgAsACIAQwBvAG0AbQBvAG4AXwBTAG8AdQByAGMAZQBEAGEAdABhAC4AQwBvAG0AbQBvAG4AXwBTAG8AdQByAGMAZQBEAGEAdABhAF8ARgByAGEAYwBXAEUAVABfAEQAYQB0AGEAIgAsACIAQwBvAG0AbQBvAG4AXwBTAG8AdQByAGMAZQBEAGEAdABhAC4AQwBvAG0AbQBvAG4AXwBTAG8AdQByAGMAZQBEAGEAdABhAF8ARgByAGEAYwBXAEUAVABfAFYAYQByAGkAYQB0AGkAbwBuACIALAAiAEMAbwBtAG0AbwBuAF8AUwBvAHUAcgBjAGUARABhAHQAYQAuAEMAbwBtAG0AbwBuAF8AUwBvAHUAcgBjAGUARABhAHQAYQBfAEQAYQB0AGEAUwBjAG8AcgBlAHMAXwBTAGMAbwBwAGUAMwBfAFQAaQB0AGwAZQAiACwAIgBDAG8AbQBtAG8AbgBfAFMAbwB1AHIAYwBlAEQAYQB0AGEALgBDAG8AbQBtAG8AbgBfAFMAbwB1AHIAYwBlAEQAYQB0AGEAXwBEAGEAdABhAFMAYwBvAHIAZQBzAF8AUwBjAG8AcABlADMAXwBWAGEAcgBpAGEAYgBsAGUAIgAsACIAQwBvAG0AbQBvAG4AXwBTAG8AdQByAGMAZQBEAGEAdABhAC4AQwBvAG0AbQBvAG4AXwBTAG8AdQByAGMAZQBEAGEAdABhAF8ARABhAHQAYQBTAGMAbwByAGUAcwBfAFMAYwBvAHAAZQAzAF8AVQBuAGkAdAAiACwAIgBDAG8AbQBtAG8AbgBfAFMAbwB1AHIAYwBlAEQAYQB0AGEALgBDAG8AbQBtAG8AbgBfAFMAbwB1AHIAYwBlAEQAYQB0AGEAXwBEAGEAdABhAFMAYwBvAHIAZQBzAF8AUwBjAG8AcABlADMAXwBTAG8AdQByAGMAZQAiACwAIgBDAG8AbQBtAG8AbgBfAFMAbwB1AHIAYwBlAEQAYQB0AGEALgBDAG8AbQBtAG8AbgBfAFMAbwB1AHIAYwBlAEQAYQB0AGEAXwBEAGEAdABhAFMAYwBvAHIAZQBzAF8AUwBjAG8AcABlADMAXwBWAGEAcgBpAGEAdABpAG8AbgAiACwAIgBDAG8AbQBtAG8AbgBfAFMAbwB1AHIAYwBlAEQAYQB0AGEALgBDAG8AbQBtAG8AbgBfAFMAbwB1AHIAYwBlAEQAYQB0AGEAXwBEAGEAdABhAFMAYwBvAHIAZQBzAF8AUwBjAG8AcABlADMAXwBEAGEAdABhACIALAAiAEMAbwBtAG0AbwBuAF8AUwBvAHUAcgBjAGUARABhAHQAYQAuAEMAbwBtAG0AbwBuAF8AUwBvAHUAcgBjAGUARABhAHQAYQBfAEYAcgBhAGMATABFAEEAQwBIAF8AVABpAHQAbABlACIALAAiAEMAbwBtAG0AbwBuAF8AUwBvAHUAcgBjAGUARABhAHQAYQAuAEMAbwBtAG0AbwBuAF8AUwBvAHUAcgBjAGUARABhAHQAYQBfAEYAcgBhAGMATABFAEEAQwBIAF8AVQBuAGkAdAAiACwAIgBDAG8AbQBtAG8AbgBfAFMAbwB1AHIAYwBlAEQAYQB0AGEALgBDAG8AbQBtAG8AbgBfAFMAbwB1AHIAYwBlAEQAYQB0AGEAXwBGAHIAYQBjAEwARQBBAEMASABfAFMAbwB1AHIAYwBlACIALAAiAEMAbwBtAG0AbwBuAF8AUwBvAHUAcgBjAGUARABhAHQAYQAuAEMAbwBtAG0AbwBuAF8AUwBvAHUAcgBjAGUARABhAHQAYQBfAEYAcgBhAGMATABFAEEAQwBIAF8ATgBJAFIAUgBlAGYAZQByAGUAbgBjAGUAIgAsACIAQwBvAG0AbQBvAG4AXwBTAG8AdQByAGMAZQBEAGEAdABhAC4AQwBvAG0AbQBvAG4AXwBTAG8AdQByAGMAZQBEAGEAdABhAF8ARgByAGEAYwBMAEUAQQBDAEgAXwBEAGEAdABhACIALAAiAEMAbwBtAG0AbwBuAF8AUwBvAHUAcgBjAGUARABhAHQAYQAuAEMAbwBtAG0AbwBuAF8AUwBvAHUAcgBjAGUARABhAHQAYQBfAEYAcgBhAGMATABFAEEAQwBIAF8AVgBhAHIAaQBhAHQAaQBvAG4AIgAsACIAQwBvAG0AbQBvAG4AXwBTAG8AdQByAGMAZQBEAGEAdABhAC4AQwBvAG0AbQBvAG4AXwBTAG8AdQByAGMAZQBEAGEAdABhAF8ARQBGAGwAZQBhAGMAaABfAFQAaQB0AGwAZQAiACwAIgBDAG8AbQBtAG8AbgBfAFMAbwB1AHIAYwBlAEQAYQB0AGEALgBDAG8AbQBtAG8AbgBfAFMAbwB1AHIAYwBlAEQAYQB0AGEAXwBFAEYAbABlAGEAYwBoAF8AVQBuAGkAdAAiACwAIgBDAG8AbQBtAG8AbgBfAFMAbwB1AHIAYwBlAEQAYQB0AGEALgBDAG8AbQBtAG8AbgBfAFMAbwB1AHIAYwBlAEQAYQB0AGEAXwBFAEYAbABlAGEAYwBoAF8AUwBvAHUAcgBjAGUAIgAsACIAQwBvAG0AbQBvAG4AXwBTAG8AdQByAGMAZQBEAGEAdABhAC4AQwBvAG0AbQBvAG4AXwBTAG8AdQByAGMAZQBEAGEAdABhAF8ARQBGAGwAZQBhAGMAaABfAE4ASQBSAFIAZQBmAGUAcgBlAG4AYwBlACIALAAiAEMAbwBtAG0AbwBuAF8AUwBvAHUAcgBjAGUARABhAHQAYQAuAEMAbwBtAG0AbwBuAF8AUwBvAHUAcgBjAGUARABhAHQAYQBfAEUARgBsAGUAYQBjAGgAXwBEAGEAdABhACIALAAiAEMAbwBtAG0AbwBuAF8AUwBvAHUAcgBjAGUARABhAHQAYQAuAEMAbwBtAG0AbwBuAF8AUwBvAHUAcgBjAGUARABhAHQAYQBfAEUARgBsAGUAYQBjAGgAXwBWAGEAcgBpAGEAdABpAG8AbgAiACwAIgBDAG8AbQBtAG8AbgBfAFMAbwB1AHIAYwBlAEQAYQB0AGEALgBDAG8AbQBtAG8AbgBfAFMAbwB1AHIAYwBlAEQAYQB0AGEAXwBFAEYATgAyAE8AXwBUAGkAdABsAGUAIgAsACIAQwBvAG0AbQBvAG4AXwBTAG8AdQByAGMAZQBEAGEAdABhAC4AQwBvAG0AbQBvAG4AXwBTAG8AdQByAGMAZQBEAGEAdABhAF8ARQBGAE4AMgBPAF8AVQBuAGkAdAAiACwAIgBDAG8AbQBtAG8AbgBfAFMAbwB1AHIAYwBlAEQAYQB0AGEALgBDAG8AbQBtAG8AbgBfAFMAbwB1AHIAYwBlAEQAYQB0AGEAXwBFAEYATgAyAE8AXwBTAG8AdQByAGMAZQAiACwAIgBDAG8AbQBtAG8AbgBfAFMAbwB1AHIAYwBlAEQAYQB0AGEALgBDAG8AbQBtAG8AbgBfAFMAbwB1AHIAYwBlAEQAYQB0AGEAXwBFAEYATgAyAE8AXwBOAEkAUgBSAGUAZgBlAHIAZQBuAGMAZQAiACwAIgBDAG8AbQBtAG8AbgBfAFMAbwB1AHIAYwBlAEQAYQB0AGEALgBDAG8AbQBtAG8AbgBfAFMAbwB1AHIAYwBlAEQAYQB0AGEAXwBFAEYATgAyAE8AXwBEAGEAdABhACIALAAiAEMAbwBtAG0AbwBuAF8AUwBvAHUAcgBjAGUARABhAHQAYQAuAEMAbwBtAG0AbwBuAF8AUwBvAHUAcgBjAGUARABhAHQAYQBfAEUARgBOADIATwBfAFYAYQByAGkAYQB0AGkAbwBuACIALAAiAEMAbwBtAG0AbwBuAF8AUwBvAHUAcgBjAGUARABhAHQAYQAuAEMAbwBtAG0AbwBuAF8AUwBvAHUAcgBjAGUARABhAHQAYQBfAEYAcgBhAGMAVwBFAFQASQByAHIAaQBnAGEAdABpAG8AbgBfAFQAaQB0AGwAZQAiACwAIgBDAG8AbQBtAG8AbgBfAFMAbwB1AHIAYwBlAEQAYQB0AGEALgBDAG8AbQBtAG8AbgBfAFMAbwB1AHIAYwBlAEQAYQB0AGEAXwBGAHIAYQBjAFcARQBUAEkAcgByAGkAZwBhAHQAaQBvAG4AXwBVAG4AaQB0ACIALAAiAEMAbwBtAG0AbwBuAF8AUwBvAHUAcgBjAGUARABhAHQAYQAuAEMAbwBtAG0AbwBuAF8AUwBvAHUAcgBjAGUARABhAHQAYQBfAEYAcgBhAGMAVwBFAFQASQByAHIAaQBnAGEAdABpAG8AbgBfAFMAbwB1AHIAYwBlACIALAAiAEMAbwBtAG0AbwBuAF8AUwBvAHUAcgBjAGUARABhAHQAYQAuAEMAbwBtAG0AbwBuAF8AUwBvAHUAcgBjAGUARABhAHQAYQBfAEYAcgBhAGMAVwBFAFQASQByAHIAaQBnAGEAdABpAG8AbgBfAE4ASQBSAFIAZQBmAGUAcgBlAG4AYwBlACIALAAiAEMAbwBtAG0AbwBuAF8AUwBvAHUAcgBjAGUARABhAHQAYQAuAEMAbwBtAG0AbwBuAF8AUwBvAHUAcgBjAGUARABhAHQAYQBfAEYAcgBhAGMAVwBFAFQASQByAHIAaQBnAGEAdABpAG8AbgBfAEQAYQB0AGEAIgAsACIAQwBvAG0AbQBvAG4AXwBTAG8AdQByAGMAZQBEAGEAdABhAC4AQwBvAG0AbQBvAG4AXwBTAG8AdQByAGMAZQBEAGEAdABhAF8ARgByAGEAYwBXAEUAVABJAHIAcgBpAGcAYQB0AGkAbwBuAF8AVgBhAHIAaQBhAHQAaQBvAG4AIgAsACIAQwBvAG0AbQBvAG4AXwBTAG8AdQByAGMAZQBEAGEAdABhAC4AQwBvAG0AbQBvAG4AXwBTAG8AdQByAGMAZQBEAGEAdABhAF8ARQBGAFAAYQBzAHQAdQByAGUAUgBhAG4AZwBlAEEAbgBkAFAAYQBkAGQAbwBjAGsAXwBUAGkAdABsAGUAIgAsACIAQwBvAG0AbQBvAG4AXwBTAG8AdQByAGMAZQBEAGEAdABhAC4AQwBvAG0AbQBvAG4AXwBTAG8AdQByAGMAZQBEAGEAdABhAF8ARQBGAFAAYQBzAHQAdQByAGUAUgBhAG4AZwBlAEEAbgBkAFAAYQBkAGQAbwBjAGsAXwBVAG4AaQB0ACIALAAiAEMAbwBtAG0AbwBuAF8AUwBvAHUAcgBjAGUARABhAHQAYQAuAEMAbwBtAG0AbwBuAF8AUwBvAHUAcgBjAGUARABhAHQAYQBfAEUARgBQAGEAcwB0AHUAcgBlAFIAYQBuAGcAZQBBAG4AZABQAGEAZABkAG8AYwBrAF8AUwBvAHUAcgBjAGUAIgAsACIAQwBvAG0AbQBvAG4AXwBTAG8AdQByAGMAZQBEAGEAdABhAC4AQwBvAG0AbQBvAG4AXwBTAG8AdQByAGMAZQBEAGEAdABhAF8ARQBGAFAAYQBzAHQAdQByAGUAUgBhAG4AZwBlAEEAbgBkAFAAYQBkAGQAbwBjAGsAXwBOAEkAUgBSAGUAZgBlAHIAZQBuAGMAZQAiACwAIgBDAG8AbQBtAG8AbgBfAFMAbwB1AHIAYwBlAEQAYQB0AGEALgBDAG8AbQBtAG8AbgBfAFMAbwB1AHIAYwBlAEQAYQB0AGEAXwBFAEYAUABhAHMAdAB1AHIAZQBSAGEAbgBnAGUAQQBuAGQAUABhAGQAZABvAGMAawBfAEQAYQB0AGEAIgAsACIAQwBvAG0AbQBvAG4AXwBTAG8AdQByAGMAZQBEAGEAdABhAC4AQwBvAG0AbQBvAG4AXwBTAG8AdQByAGMAZQBEAGEAdABhAF8ARQBGAFAAYQBzAHQAdQByAGUAUgBhAG4AZwBlAEEAbgBkAFAAYQBkAGQAbwBjAGsAXwBWAGEAcgBpAGEAdABpAG8AbgAiACwAIgBDAG8AbQBtAG8AbgBfAEUAcQB1AGEAdABpAG8AbgBzAC4AQwBvAG0AbQBvAG4AXwBDAG8AbgB2AGUAcgB0AE4AMgBPAFQAbwBDAE8AMgBlACIALAAiAEMAbwBtAG0AbwBuAF8ARQBxAHUAYQB0AGkAbwBuAHMALgBDAG8AbQBtAG8AbgBfAEMAbwBuAHYAZQByAHQATgAyAE8AVABvAEMATwAyAGUAXwBUAGkAdABsAGUAIgAsACIAQwBvAG0AbQBvAG4AXwBFAHEAdQBhAHQAaQBvAG4AcwAuAEMAbwBtAG0AbwBuAF8AQwBvAG4AdgBlAHIAdABOADIATwBUAG8AQwBPADIAZQBfAFYAYQByAGkAYQBiAGwAZQAiACwAIgBDAG8AbQBtAG8AbgBfAEUAcQB1AGEAdABpAG8AbgBzAC4AQwBvAG0AbQBvAG4AXwBDAG8AbgB2AGUAcgB0AE4AMgBPAFQAbwBDAE8AMgBlAF8AVQBuAGkAdAAiACwAIgBDAG8AbQBtAG8AbgBfAEUAcQB1AGEAdABpAG8AbgBzAC4AQwBvAG0AbQBvAG4AXwBDAG8AbgB2AGUAcgB0AE4AMgBPAFQAbwBDAE8AMgBlAF8ATgBJAFIAUgBlAGYAZQByAGUAbgBjAGUAIgAsACIAQwBvAG0AbQBvAG4AXwBFAHEAdQBhAHQAaQBvAG4AcwAuAEMAbwBtAG0AbwBuAF8AQwBvAG4AdgBlAHIAdABOADIATwBUAG8AQwBPADIAZQBfAEwAYQB0AGUAeABFAHEAdQBhAHQAaQBvAG4AIgAsACIAQwBvAG0AbQBvAG4AXwBFAHEAdQBhAHQAaQBvAG4AcwAuAEMAbwBtAG0AbwBuAF8AQwBvAG4AdgBlAHIAdABOADIATwBUAG8AQwBPADIAZQBfAEEAcgBnAHUAbQBlAG4AdABzACIALAAiAEMAbwBtAG0AbwBuAF8ARQBxAHUAYQB0AGkAbwBuAHMALgBDAG8AbQBtAG8AbgBfAEMAbwBuAHYAZQByAHQAQwBIADQAVABvAEMATwAyAGUAIgAsACIAQwBvAG0AbQBvAG4AXwBFAHEAdQBhAHQAaQBvAG4AcwAuAEMAbwBtAG0AbwBuAF8AQwBvAG4AdgBlAHIAdABDAEgANABUAG8AQwBPADIAZQBfAFQAaQB0AGwAZQAiACwAIgBDAG8AbQBtAG8AbgBfAEUAcQB1AGEAdABpAG8AbgBzAC4AQwBvAG0AbQBvAG4AXwBDAG8AbgB2AGUAcgB0AEMASAA0AFQAbwBDAE8AMgBlAF8AVgBhAHIAaQBhAGIAbABlACIALAAiAEMAbwBtAG0AbwBuAF8ARQBxAHUAYQB0AGkAbwBuAHMALgBDAG8AbQBtAG8AbgBfAEMAbwBuAHYAZQByAHQAQwBIADQAVABvAEMATwAyAGUAXwBVAG4AaQB0ACIALAAiAEMAbwBtAG0AbwBuAF8ARQBxAHUAYQB0AGkAbwBuAHMALgBDAG8AbQBtAG8AbgBfAEMAbwBuAHYAZQByAHQAQwBIADQAVABvAEMATwAyAGUAXwBOAEkAUgBSAGUAZgBlAHIAZQBuAGMAZQAiACwAIgBDAG8AbQBtAG8AbgBfAEUAcQB1AGEAdABpAG8AbgBzAC4AQwBvAG0AbQBvAG4AXwBDAG8AbgB2AGUAcgB0AEMASAA0AFQAbwBDAE8AMgBlAF8ATABhAHQAZQB4AEUAcQB1AGEAdABpAG8AbgAiACwAIgBDAG8AbQBtAG8AbgBfAEUAcQB1AGEAdABpAG8AbgBzAC4AQwBvAG0AbQBvAG4AXwBDAG8AbgB2AGUAcgB0AEMASAA0AFQAbwBDAE8AMgBlAF8AQQByAGcAdQBtAGUAbgB0AHMAIgAsACIAQwBvAG0AbQBvAG4ATABpAHYAZQBzAHQAbwBjAGsAXwBTAG8AdQByAGMAZQBEAGEAdABhAC4AUwBvAHUAcgBjAGUARABhAHQAYQBfAEwAaQB2AGUAcwB0AG8AYwBrAF8AQwBvAG0AbQBvAG4AXwBGAHIAYQBjAFcARQBUAE0ATQBTAF8AVABpAHQAbABlACIALAAiAEMAbwBtAG0AbwBuAEwAaQB2AGUAcwB0AG8AYwBrAF8AUwBvAHUAcgBjAGUARABhAHQAYQAuAFMAbwB1AHIAYwBlAEQAYQB0AGEAXwBMAGkAdgBlAHMAdABvAGMAawBfAEMAbwBtAG0AbwBuAF8ARgByAGEAYwBXAEUAVABNAE0AUwBfAFUAbgBpAHQAIgAsACIAQwBvAG0AbQBvAG4ATABpAHYAZQBzAHQAbwBjAGsAXwBTAG8AdQByAGMAZQBEAGEAdABhAC4AUwBvAHUAcgBjAGUARABhAHQAYQBfAEwAaQB2AGUAcwB0AG8AYwBrAF8AQwBvAG0AbQBvAG4AXwBGAHIAYQBjAFcARQBUAE0ATQBTAF8AUwBvAHUAcgBjAGUAIgAsACIAQwBvAG0AbQBvAG4ATABpAHYAZQBzAHQAbwBjAGsAXwBTAG8AdQByAGMAZQBEAGEAdABhAC4AUwBvAHUAcgBjAGUARABhAHQAYQBfAEwAaQB2AGUAcwB0AG8AYwBrAF8AQwBvAG0AbQBvAG4AXwBGAHIAYQBjAFcARQBUAE0ATQBTAF8ARABhAHQAYQAiACwAIgBDAG8AbQBtAG8AbgBMAGkAdgBlAHMAdABvAGMAawBfAFMAbwB1AHIAYwBlAEQAYQB0AGEALgBTAG8AdQByAGMAZQBEAGEAdABhAF8ATABpAHYAZQBzAHQAbwBjAGsAXwBDAG8AbQBtAG8AbgBfAEYAcgBhAGMATABFAEEAQwBIAF8ATQBTAF8AVABpAHQAbABlACIALAAiAEMAbwBtAG0AbwBuAEwAaQB2AGUAcwB0AG8AYwBrAF8AUwBvAHUAcgBjAGUARABhAHQAYQAuAFMAbwB1AHIAYwBlAEQAYQB0AGEAXwBMAGkAdgBlAHMAdABvAGMAawBfAEMAbwBtAG0AbwBuAF8ARgByAGEAYwBMAEUAQQBDAEgAXwBNAFMAXwBVAG4AaQB0ACIALAAiAEMAbwBtAG0AbwBuAEwAaQB2AGUAcwB0AG8AYwBrAF8AUwBvAHUAcgBjAGUARABhAHQAYQAuAFMAbwB1AHIAYwBlAEQAYQB0AGEAXwBMAGkAdgBlAHMAdABvAGMAawBfAEMAbwBtAG0AbwBuAF8ARgByAGEAYwBMAEUAQQBDAEgAXwBNAFMAXwBTAG8AdQByAGMAZQAiACwAIgBDAG8AbQBtAG8AbgBMAGkAdgBlAHMAdABvAGMAawBfAFMAbwB1AHIAYwBlAEQAYQB0AGEALgBTAG8AdQByAGMAZQBEAGEAdABhAF8ATABpAHYAZQBzAHQAbwBjAGsAXwBDAG8AbQBtAG8AbgBfAEYAcgBhAGMATABFAEEAQwBIAF8ATQBTAF8ARABhAHQAYQAiACwAIgBDAG8AbQBtAG8AbgBMAGkAdgBlAHMAdABvAGMAawBfAFMAbwB1AHIAYwBlAEQAYQB0AGEALgBTAG8AdQByAGMAZQBEAGEAdABhAF8ATABpAHYAZQBzAHQAbwBjAGsAXwBDAG8AbQBtAG8AbgBfAFMAeQBtAGIAbwBsAHMATQBNAFMAXwBUAGkAdABsAGUAIgAsACIAQwBvAG0AbQBvAG4ATABpAHYAZQBzAHQAbwBjAGsAXwBTAG8AdQByAGMAZQBEAGEAdABhAC4AUwBvAHUAcgBjAGUARABhAHQAYQBfAEwAaQB2AGUAcwB0AG8AYwBrAF8AQwBvAG0AbQBvAG4AXwBTAHkAbQBiAG8AbABzAE0ATQBTAF8AVgBhAGkAcgBhAGIAbABlACIALAAiAEMAbwBtAG0AbwBuAEwAaQB2AGUAcwB0AG8AYwBrAF8AUwBvAHUAcgBjAGUARABhAHQAYQAuAFMAbwB1AHIAYwBlAEQAYQB0AGEAXwBMAGkAdgBlAHMAdABvAGMAawBfAEMAbwBtAG0AbwBuAF8AUwB5AG0AYgBvAGwAcwBNAE0AUwBfAFUAbgBpAHQAIgAsACIAQwBvAG0AbQBvAG4ATABpAHYAZQBzAHQAbwBjAGsAXwBTAG8AdQByAGMAZQBEAGEAdABhAC4AUwBvAHUAcgBjAGUARABhAHQAYQBfAEwAaQB2AGUAcwB0AG8AYwBrAF8AQwBvAG0AbQBvAG4AXwBTAHkAbQBiAG8AbABzAE0ATQBTAF8AUwBvAHUAcgBjAGUAIgAsACIAQwBvAG0AbQBvAG4ATABpAHYAZQBzAHQAbwBjAGsAXwBTAG8AdQByAGMAZQBEAGEAdABhAC4AUwBvAHUAcgBjAGUARABhAHQAYQBfAEwAaQB2AGUAcwB0AG8AYwBrAF8AQwBvAG0AbQBvAG4AXwBTAHkAbQBiAG8AbABzAE0ATQBTAF8ARABhAHQAYQAiACwAIgBDAG8AbQBtAG8AbgBfAEkAbgBwAHUAdABGAHUAbgBjAHQAaQBvAG4AcwAuAFUAdABpAGwAaQB0AHkAXwBHAGUAdABBAHIAcgBhAHkAVABhAGIAbABlAFIAbwB3AFMAdABhAHIAdABOAHUAbQBiAGUAcgAiACwAIgBDAG8AbQBtAG8AbgBfAEkAbgBwAHUAdABGAHUAbgBjAHQAaQBvAG4AcwAuAFUAdABpAGwAaQB0AHkAXwBHAGUAdABBAHIAcgBhAHkAVABhAGIAbABlAEMAbwBsAHUAbQBuAFMAdABhAHIAdABOAHUAbQBiAGUAcgAiACwAIgBDAG8AbQBtAG8AbgBfAEkAbgBwAHUAdABGAHUAbgBjAHQAaQBvAG4AcwAuAFUAdABpAGwAaQB0AHkAXwBEAGkAcwBwAGwAYQB5AEEAcgByAGEAeQBJAG4AVABhAGIAbABlACIALAAiAEMAbwBtAG0AbwBuAF8ASQBuAHAAdQB0AEYAdQBuAGMAdABpAG8AbgBzAC4AVQB0AGkAbABpAHQAeQBfAEwAbwBvAGsAdQBwAFYAYQBsAHUAZQBJAG4AVABhAGIAbABlACIALAAiAEMAbwBtAG0AbwBuAF8ASQBuAHAAdQB0AEYAdQBuAGMAdABpAG8AbgBzAC4AVQB0AGkAbABpAHQAeQBfAEwAbwBvAGsAdQBwAFYAYQBsAHUAZQBJAG4AVABhAGIAbABlAE4AdQBtAGIAZQByACIALAAiAEMAbwBtAG0AbwBuAF8ASQBuAHAAdQB0AEYAdQBuAGMAdABpAG8AbgBzAC4AVQB0AGkAbABpAHQAeQBfAFMAcABsAGkAdABTAHQAcgBpAG4AZwBJAG4AdABvAEEAcgByAGEAeQAiACwAIgBDAG8AbQBtAG8AbgBfAEkAbgBwAHUAdABGAHUAbgBjAHQAaQBvAG4AcwAuAFUAdABpAGwAaQB0AHkAXwBHAGUAdABDAGwAaQBtAGEAdABlAFoAbwBuAGUAIgAsACIAQwBvAG0AbQBvAG4AXwBJAG4AcAB1AHQARgB1AG4AYwB0AGkAbwBuAHMALgBVAHQAaQBsAGkAdAB5AF8ATABvAG8AawB1AHAASQB0AGUAbQBGAHIAbwBtAE0AaQBuAE0AYQB4ACIALAAiAEMAbwBtAG0AbwBuAF8ASQBuAHAAdQB0AEYAdQBuAGMAdABpAG8AbgBzAC4AVQB0AGkAbABpAHQAeQBfAFMAdQBtAFEAdQBhAG4AdABpAHQAeQBGAHIAbwBtAEMAcgBpAHQAZQByAGkAYQAiACwAIgBDAG8AbQBtAG8AbgBfAEkAbgBwAHUAdABGAHUAbgBjAHQAaQBvAG4AcwAuAGcAZQB0AE8AdgBlAHIAbABhAHAAcABpAG4AZwBSAGUAcABvAHIAdABpAG4AZwBDAHkAYwBsAGUAcwAiACwAIgBDAG8AbQBtAG8AbgBfAEkAbgBwAHUAdABGAHUAbgBjAHQAaQBvAG4AcwAuAGcAZQB0AE8AdgBlAHIAbABhAHAAcABpAG4AZwBSAGUAcABvAHIAdABpAG4AZwBQAGUAcgBpAG8AZABzACIALAAiAEMAbwBtAG0AbwBuAF8ASQBuAHAAdQB0AEYAdQBuAGMAdABpAG8AbgBzAC4AVQB0AGkAbABpAHQAeQBfAEQAaQBzAHAAbABhAHkARgB1AG4AYwB0AGkAbwBuAE4AYQBtAGUAIgAsACIAQwBvAG0AbQBvAG4AXwBJAG4AcAB1AHQARgB1AG4AYwB0AGkAbwBuAHMALgBVAHQAaQBsAGkAdAB5AF8ATABvAG8AawB1AHAATgAyAE8ARQBGAEYAcgBvAG0AUAByAG8AZABJAHIAcgBpAGcAYQB0AGkAbwBuAFIAYQBpAG4AZgBhAGwAbAAiACwAIgBDAG8AbQBtAG8AbgBfAEkAbgBwAHUAdABGAHUAbgBjAHQAaQBvAG4AcwAuAEMAbwBtAG0AbwBuAEMAcgBvAHAAcABpAG4AZwBfAEcAZQB0AEYAcgBhAGMAVwBFAFQAIgAsACIAQwBvAG0AbQBvAG4AQwByAG8AcABwAGkAbgBnAF8ASQBuAHAAdQB0AEYAdQBuAGMAdABpAG8AbgBzAC4AQwBvAG0AbQBvAG4AQwByAG8AcABwAGkAbgBnAF8ARwBlAHQARgByAGEAYwBXAEUAVAAiACwAIgBDAG8AbQBtAG8AbgBDAHIAbwBwAHAAaQBuAGcAXwBJAG4AcAB1AHQARgB1AG4AYwB0AGkAbwBuAHMALgBDAG8AbQBtAG8AbgBDAHIAbwBwAHAAaQBuAGcAXwBDAGEAbABjAHUAbABhAHQAZQBIAGEAcgB2AGUAcwB0AEkAbgBkAGUAeAAiACwAIgBDAG8AbQBtAG8AbgBDAHIAbwBwAHAAaQBuAGcAXwBJAG4AcAB1AHQARgB1AG4AYwB0AGkAbwBuAHMALgBDAG8AbQBtAG8AbgBDAHIAbwBwAHAAaQBuAGcAXwBDAGEAbABjAHUAbABhAHQAZQBSAGUAcwBpAGQAdQBlAEMAcgBvAHAAUgBhAHQAaQBvACIALAAiAEMAbwBtAG0AbwBuAEMAcgBvAHAAcABpAG4AZwBfAEkAbgBwAHUAdABGAHUAbgBjAHQAaQBvAG4AcwAuAEMAbwBtAG0AbwBuAEMAcgBvAHAAcABpAG4AZwBfAEMAYQBsAGMAdQBsAGEAdABlAEYAcgBhAGMAdABpAG8AbgBSAGUAcwBpAGQAdQBlAFIAZQBtAG8AdgBlAGQAIgAsACIAUwBvAHUAcgBjAGUARABhAHQAYQBfAEQAYQBpAHIAeQAuAFMAbwB1AHIAYwBlAEQAYQB0AGEAXwBEAGEAaQByAHkAXwBMAGkAdgBlAHcAZQBpAGcAaAB0AEMAbwB3AHMAQQBuAGQASABlAGkAZgBlAHIAcwBfAFQAaQB0AGwAZQAiACwAIgBTAG8AdQByAGMAZQBEAGEAdABhAF8ARABhAGkAcgB5AC4AUwBvAHUAcgBjAGUARABhAHQAYQBfAEQAYQBpAHIAeQBfAEwAaQB2AGUAdwBlAGkAZwBoAHQAQwBvAHcAcwBBAG4AZABIAGUAaQBmAGUAcgBzAF8AVgBhAHIAaQBhAGIAbABlACIALAAiAFMAbwB1AHIAYwBlAEQAYQB0AGEAXwBEAGEAaQByAHkALgBTAG8AdQByAGMAZQBEAGEAdABhAF8ARABhAGkAcgB5AF8ATABpAHYAZQB3AGUAaQBnAGgAdABDAG8AdwBzAEEAbgBkAEgAZQBpAGYAZQByAHMAXwBVAG4AaQB0ACIALAAiAFMAbwB1AHIAYwBlAEQAYQB0AGEAXwBEAGEAaQByAHkALgBTAG8AdQByAGMAZQBEAGEAdABhAF8ARABhAGkAcgB5AF8ATABpAHYAZQB3AGUAaQBnAGgAdABDAG8AdwBzAEEAbgBkAEgAZQBpAGYAZQByAHMAXwBTAG8AdQByAGMAZQAiACwAIgBTAG8AdQByAGMAZQBEAGEAdABhAF8ARABhAGkAcgB5AC4AUwBvAHUAcgBjAGUARABhAHQAYQBfAEQAYQBpAHIAeQBfAEwAaQB2AGUAdwBlAGkAZwBoAHQAQwBvAHcAcwBBAG4AZABIAGUAaQBmAGUAcgBzAF8AVgBhAHIAaQBhAHQAaQBvAG4AIgAsACIAUwBvAHUAcgBjAGUARABhAHQAYQBfAEQAYQBpAHIAeQAuAFMAbwB1AHIAYwBlAEQAYQB0AGEAXwBEAGEAaQByAHkAXwBMAGkAdgBlAHcAZQBpAGcAaAB0AEMAbwB3AHMAQQBuAGQASABlAGkAZgBlAHIAcwBfAEQAYQB0AGEAIgAsACIAUwBvAHUAcgBjAGUARABhAHQAYQBfAEQAYQBpAHIAeQAuAFMAbwB1AHIAYwBlAEQAYQB0AGEAXwBEAGEAaQByAHkAXwBMAGkAdgBlAHcAZQBpAGcAaAB0AEIAdQBsAGwAcwBfAFQAaQB0AGwAZQAiACwAIgBTAG8AdQByAGMAZQBEAGEAdABhAF8ARABhAGkAcgB5AC4AUwBvAHUAcgBjAGUARABhAHQAYQBfAEQAYQBpAHIAeQBfAEwAaQB2AGUAdwBlAGkAZwBoAHQAQgB1AGwAbABzAF8AVgBhAHIAaQBhAGIAbABlACIALAAiAFMAbwB1AHIAYwBlAEQAYQB0AGEAXwBEAGEAaQByAHkALgBTAG8AdQByAGMAZQBEAGEAdABhAF8ARABhAGkAcgB5AF8ATABpAHYAZQB3AGUAaQBnAGgAdABCAHUAbABsAHMAXwBVAG4AaQB0ACIALAAiAFMAbwB1AHIAYwBlAEQAYQB0AGEAXwBEAGEAaQByAHkALgBTAG8AdQByAGMAZQBEAGEAdABhAF8ARABhAGkAcgB5AF8ATABpAHYAZQB3AGUAaQBnAGgAdABCAHUAbABsAHMAXwBTAG8AdQByAGMAZQAiACwAIgBTAG8AdQByAGMAZQBEAGEAdABhAF8ARABhAGkAcgB5AC4AUwBvAHUAcgBjAGUARABhAHQAYQBfAEQAYQBpAHIAeQBfAEwAaQB2AGUAdwBlAGkAZwBoAHQAQgB1AGwAbABzAF8AVgBhAHIAaQBhAHQAaQBvAG4AIgAsACIAUwBvAHUAcgBjAGUARABhAHQAYQBfAEQAYQBpAHIAeQAuAFMAbwB1AHIAYwBlAEQAYQB0AGEAXwBEAGEAaQByAHkAXwBMAGkAdgBlAHcAZQBpAGcAaAB0AEIAdQBsAGwAcwBfAEQAYQB0AGEAIgAsACIAUwBvAHUAcgBjAGUARABhAHQAYQBfAEQAYQBpAHIAeQAuAFMAbwB1AHIAYwBlAEQAYQB0AGEAXwBEAGEAaQByAHkAXwBMAGkAdgBlAHcAZQBpAGcAaAB0AEcAYQBpAG4AXwBUAGkAdABsAGUAIgAsACIAUwBvAHUAcgBjAGUARABhAHQAYQBfAEQAYQBpAHIAeQAuAFMAbwB1AHIAYwBlAEQAYQB0AGEAXwBEAGEAaQByAHkAXwBMAGkAdgBlAHcAZQBpAGcAaAB0AEcAYQBpAG4AXwBWAGEAcgBpAGEAYgBsAGUAIgAsACIAUwBvAHUAcgBjAGUARABhAHQAYQBfAEQAYQBpAHIAeQAuAFMAbwB1AHIAYwBlAEQAYQB0AGEAXwBEAGEAaQByAHkAXwBMAGkAdgBlAHcAZQBpAGcAaAB0AEcAYQBpAG4AXwBVAG4AaQB0ACIALAAiAFMAbwB1AHIAYwBlAEQAYQB0AGEAXwBEAGEAaQByAHkALgBTAG8AdQByAGMAZQBEAGEAdABhAF8ARABhAGkAcgB5AF8ATABpAHYAZQB3AGUAaQBnAGgAdABHAGEAaQBuAF8AUwBvAHUAcgBjAGUAIgAsACIAUwBvAHUAcgBjAGUARABhAHQAYQBfAEQAYQBpAHIAeQAuAFMAbwB1AHIAYwBlAEQAYQB0AGEAXwBEAGEAaQByAHkAXwBMAGkAdgBlAHcAZQBpAGcAaAB0AEcAYQBpAG4AXwBWAGEAcgBpAGEAdABpAG8AbgAiACwAIgBTAG8AdQByAGMAZQBEAGEAdABhAF8ARABhAGkAcgB5AC4AUwBvAHUAcgBjAGUARABhAHQAYQBfAEQAYQBpAHIAeQBfAEwAaQB2AGUAdwBlAGkAZwBoAHQARwBhAGkAbgBfAEQAYQB0AGEAIgAsACIAUwBvAHUAcgBjAGUARABhAHQAYQBfAEQAYQBpAHIAeQAuAFMAbwB1AHIAYwBlAEQAYQB0AGEAXwBEAGEAaQByAHkAXwBSAGUAZgBlAHIAZQBuAGMAZQBXAGUAaQBnAGgAdABzAF8AVABpAHQAbABlACIALAAiAFMAbwB1AHIAYwBlAEQAYQB0AGEAXwBEAGEAaQByAHkALgBTAG8AdQByAGMAZQBEAGEAdABhAF8ARABhAGkAcgB5AF8AUgBlAGYAZQByAGUAbgBjAGUAVwBlAGkAZwBoAHQAcwBfAFYAYQByAGkAYQBiAGwAZQAiACwAIgBTAG8AdQByAGMAZQBEAGEAdABhAF8ARABhAGkAcgB5AC4AUwBvAHUAcgBjAGUARABhAHQAYQBfAEQAYQBpAHIAeQBfAFIAZQBmAGUAcgBlAG4AYwBlAFcAZQBpAGcAaAB0AHMAXwBVAG4AaQB0ACIALAAiAFMAbwB1AHIAYwBlAEQAYQB0AGEAXwBEAGEAaQByAHkALgBTAG8AdQByAGMAZQBEAGEAdABhAF8ARABhAGkAcgB5AF8AUgBlAGYAZQByAGUAbgBjAGUAVwBlAGkAZwBoAHQAcwBfAFMAbwB1AHIAYwBlACIALAAiAFMAbwB1AHIAYwBlAEQAYQB0AGEAXwBEAGEAaQByAHkALgBTAG8AdQByAGMAZQBEAGEAdABhAF8ARABhAGkAcgB5AF8AUgBlAGYAZQByAGUAbgBjAGUAVwBlAGkAZwBoAHQAcwBfAFYAYQByAGkAYQB0AGkAbwBuACIALAAiAFMAbwB1AHIAYwBlAEQAYQB0AGEAXwBEAGEAaQByAHkALgBTAG8AdQByAGMAZQBEAGEAdABhAF8ARABhAGkAcgB5AF8AUgBlAGYAZQByAGUAbgBjAGUAVwBlAGkAZwBoAHQAcwBfAEQAYQB0AGEAIgAsACIAUwBvAHUAcgBjAGUARABhAHQAYQBfAEQAYQBpAHIAeQAuAFMAbwB1AHIAYwBlAEQAYQB0AGEAXwBEAGEAaQByAHkAXwBQAHIAZQBXAGUAYQBuAGUAZABDAGEAbAB2AGUAcwBfAFQAaQB0AGwAZQAiACwAIgBTAG8AdQByAGMAZQBEAGEAdABhAF8ARABhAGkAcgB5AC4AUwBvAHUAcgBjAGUARABhAHQAYQBfAEQAYQBpAHIAeQBfAFAAcgBlAFcAZQBhAG4AZQBkAEMAYQBsAHYAZQBzAF8AVgBhAHIAaQBhAGIAbABlACIALAAiAFMAbwB1AHIAYwBlAEQAYQB0AGEAXwBEAGEAaQByAHkALgBTAG8AdQByAGMAZQBEAGEAdABhAF8ARABhAGkAcgB5AF8AUAByAGUAVwBlAGEAbgBlAGQAQwBhAGwAdgBlAHMAXwBVAG4AaQB0ACIALAAiAFMAbwB1AHIAYwBlAEQAYQB0AGEAXwBEAGEAaQByAHkALgBTAG8AdQByAGMAZQBEAGEAdABhAF8ARABhAGkAcgB5AF8AUAByAGUAVwBlAGEAbgBlAGQAQwBhAGwAdgBlAHMAXwBTAG8AdQByAGMAZQAiACwAIgBTAG8AdQByAGMAZQBEAGEAdABhAF8ARABhAGkAcgB5AC4AUwBvAHUAcgBjAGUARABhAHQAYQBfAEQAYQBpAHIAeQBfAFAAcgBlAFcAZQBhAG4AZQBkAEMAYQBsAHYAZQBzAF8AVgBhAHIAaQBhAHQAaQBvAG4AIgAsACIAUwBvAHUAcgBjAGUARABhAHQAYQBfAEQAYQBpAHIAeQAuAFMAbwB1AHIAYwBlAEQAYQB0AGEAXwBEAGEAaQByAHkAXwBQAHIAZQBXAGUAYQBuAGUAZABDAGEAbAB2AGUAcwBfAEQAYQB0AGEAIgAsACIAUwBvAHUAcgBjAGUARABhAHQAYQBfAEQAYQBpAHIAeQAuAFMAbwB1AHIAYwBlAEQAYQB0AGEAXwBEAGEAaQByAHkAXwBNAEMARgBfAFQAaQB0AGwAZQAiACwAIgBTAG8AdQByAGMAZQBEAGEAdABhAF8ARABhAGkAcgB5AC4AUwBvAHUAcgBjAGUARABhAHQAYQBfAEQAYQBpAHIAeQBfAE0AQwBGAF8AVgBhAHIAaQBhAGIAbABlACIALAAiAFMAbwB1AHIAYwBlAEQAYQB0AGEAXwBEAGEAaQByAHkALgBTAG8AdQByAGMAZQBEAGEAdABhAF8ARABhAGkAcgB5AF8ATQBDAEYAXwBVAG4AaQB0ACIALAAiAFMAbwB1AHIAYwBlAEQAYQB0AGEAXwBEAGEAaQByAHkALgBTAG8AdQByAGMAZQBEAGEAdABhAF8ARABhAGkAcgB5AF8ATQBDAEYAXwBTAG8AdQByAGMAZQAiACwAIgBTAG8AdQByAGMAZQBEAGEAdABhAF8ARABhAGkAcgB5AC4AUwBvAHUAcgBjAGUARABhAHQAYQBfAEQAYQBpAHIAeQBfAE0AQwBGAF8AVgBhAHIAaQBhAHQAaQBvAG4AIgAsACIAUwBvAHUAcgBjAGUARABhAHQAYQBfAEQAYQBpAHIAeQAuAFMAbwB1AHIAYwBlAEQAYQB0AGEAXwBEAGEAaQByAHkAXwBNAEMARgBfAEQAYQB0AGEAIgAsACIAUwBvAHUAcgBjAGUARABhAHQAYQBfAEQAYQBpAHIAeQAuAFMAbwB1AHIAYwBlAEQAYQB0AGEAXwBEAGEAaQByAHkAXwBOAGkAdAByAG8AdQBzAE8AeABpAGQAZQBFAEYAcwBBAG4AZABGAHIAYQBjAEcAQQBTAE0AXwBUAGkAdABsAGUAIgAsACIAUwBvAHUAcgBjAGUARABhAHQAYQBfAEQAYQBpAHIAeQAuAFMAbwB1AHIAYwBlAEQAYQB0AGEAXwBEAGEAaQByAHkAXwBOAGkAdAByAG8AdQBzAE8AeABpAGQAZQBFAEYAcwBBAG4AZABGAHIAYQBjAEcAQQBTAE0AXwBWAGEAcgBpAGEAYgBsAGUAIgAsACIAUwBvAHUAcgBjAGUARABhAHQAYQBfAEQAYQBpAHIAeQAuAFMAbwB1AHIAYwBlAEQAYQB0AGEAXwBEAGEAaQByAHkAXwBOAGkAdAByAG8AdQBzAE8AeABpAGQAZQBFAEYAcwBBAG4AZABGAHIAYQBjAEcAQQBTAE0AXwBVAG4AaQB0ACIALAAiAFMAbwB1AHIAYwBlAEQAYQB0AGEAXwBEAGEAaQByAHkALgBTAG8AdQByAGMAZQBEAGEAdABhAF8ARABhAGkAcgB5AF8ATgBpAHQAcgBvAHUAcwBPAHgAaQBkAGUARQBGAHMAQQBuAGQARgByAGEAYwBHAEEAUwBNAF8AUwBvAHUAcgBjAGUAIgAsACIAUwBvAHUAcgBjAGUARABhAHQAYQBfAEQAYQBpAHIAeQAuAFMAbwB1AHIAYwBlAEQAYQB0AGEAXwBEAGEAaQByAHkAXwBOAGkAdAByAG8AdQBzAE8AeABpAGQAZQBFAEYAcwBBAG4AZABGAHIAYQBjAEcAQQBTAE0AXwBWAGEAcgBpAGEAdABpAG8AbgAiACwAIgBTAG8AdQByAGMAZQBEAGEAdABhAF8ARABhAGkAcgB5AC4AUwBvAHUAcgBjAGUARABhAHQAYQBfAEQAYQBpAHIAeQBfAE4AaQB0AHIAbwB1AHMATwB4AGkAZABlAEUARgBzAEEAbgBkAEYAcgBhAGMARwBBAFMATQBfAEQAYQB0AGEAIgAsACIAUwBvAHUAcgBjAGUARABhAHQAYQBfAEQAYQBpAHIAeQAuAFMAbwB1AHIAYwBlAEQAYQB0AGEAXwBEAGEAaQByAHkAXwBNAGUAdABoAGEAbgBlAFAAcgBvAGQAdQBjAHQAaQBvAG4AUAByAGUAVwBlAGEAbgBlAGQAQwBhAGwAdgBlAHMAXwBUAGkAdABsAGUAIgAsACIAUwBvAHUAcgBjAGUARABhAHQAYQBfAEQAYQBpAHIAeQAuAFMAbwB1AHIAYwBlAEQAYQB0AGEAXwBEAGEAaQByAHkAXwBNAGUAdABoAGEAbgBlAFAAcgBvAGQAdQBjAHQAaQBvAG4AUAByAGUAVwBlAGEAbgBlAGQAQwBhAGwAdgBlAHMAXwBWAGEAcgBpAGEAYgBsAGUAIgAsACIAUwBvAHUAcgBjAGUARABhAHQAYQBfAEQAYQBpAHIAeQAuAFMAbwB1AHIAYwBlAEQAYQB0AGEAXwBEAGEAaQByAHkAXwBNAGUAdABoAGEAbgBlAFAAcgBvAGQAdQBjAHQAaQBvAG4AUAByAGUAVwBlAGEAbgBlAGQAQwBhAGwAdgBlAHMAXwBVAG4AaQB0ACIALAAiAFMAbwB1AHIAYwBlAEQAYQB0AGEAXwBEAGEAaQByAHkALgBTAG8AdQByAGMAZQBEAGEAdABhAF8ARABhAGkAcgB5AF8ATQBlAHQAaABhAG4AZQBQAHIAbwBkAHUAYwB0AGkAbwBuAFAAcgBlAFcAZQBhAG4AZQBkAEMAYQBsAHYAZQBzAF8AUwBvAHUAcgBjAGUAIgAsACIAUwBvAHUAcgBjAGUARABhAHQAYQBfAEQAYQBpAHIAeQAuAFMAbwB1AHIAYwBlAEQAYQB0AGEAXwBEAGEAaQByAHkAXwBNAGUAdABoAGEAbgBlAFAAcgBvAGQAdQBjAHQAaQBvAG4AUAByAGUAVwBlAGEAbgBlAGQAQwBhAGwAdgBlAHMAXwBWAGEAcgBpAGEAdABpAG8AbgAiACwAIgBTAG8AdQByAGMAZQBEAGEAdABhAF8ARABhAGkAcgB5AC4AUwBvAHUAcgBjAGUARABhAHQAYQBfAEQAYQBpAHIAeQBfAE0AZQB0AGgAYQBuAGUAUAByAG8AZAB1AGMAdABpAG8AbgBQAHIAZQBXAGUAYQBuAGUAZABDAGEAbAB2AGUAcwBfAEQAYQB0AGEAIgAsACIAUwBvAHUAcgBjAGUARABhAHQAYQBfAEQAYQBpAHIAeQAuAFMAbwB1AHIAYwBlAEQAYQB0AGEAXwBEAGEAaQByAHkAXwBJAG4AYwByAGUAYQBzAGUAZABNAGUAdABhAGIAbwBsAGkAYwBSAGEAdABlAE0AaQBsAGsAXwBUAGkAdABsAGUAIgAsACIAUwBvAHUAcgBjAGUARABhAHQAYQBfAEQAYQBpAHIAeQAuAFMAbwB1AHIAYwBlAEQAYQB0AGEAXwBEAGEAaQByAHkAXwBJAG4AYwByAGUAYQBzAGUAZABNAGUAdABhAGIAbwBsAGkAYwBSAGEAdABlAE0AaQBsAGsAXwBWAGEAcgBpAGEAYgBsAGUAIgAsACIAUwBvAHUAcgBjAGUARABhAHQAYQBfAEQAYQBpAHIAeQAuAFMAbwB1AHIAYwBlAEQAYQB0AGEAXwBEAGEAaQByAHkAXwBJAG4AYwByAGUAYQBzAGUAZABNAGUAdABhAGIAbwBsAGkAYwBSAGEAdABlAE0AaQBsAGsAXwBVAG4AaQB0ACIALAAiAFMAbwB1AHIAYwBlAEQAYQB0AGEAXwBEAGEAaQByAHkALgBTAG8AdQByAGMAZQBEAGEAdABhAF8ARABhAGkAcgB5AF8ASQBuAGMAcgBlAGEAcwBlAGQATQBlAHQAYQBiAG8AbABpAGMAUgBhAHQAZQBNAGkAbABrAF8AUwBvAHUAcgBjAGUAIgAsACIAUwBvAHUAcgBjAGUARABhAHQAYQBfAEQAYQBpAHIAeQAuAFMAbwB1AHIAYwBlAEQAYQB0AGEAXwBEAGEAaQByAHkAXwBJAG4AYwByAGUAYQBzAGUAZABNAGUAdABhAGIAbwBsAGkAYwBSAGEAdABlAE0AaQBsAGsAXwBWAGEAcgBpAGEAdABpAG8AbgAiACwAIgBTAG8AdQByAGMAZQBEAGEAdABhAF8ARABhAGkAcgB5AC4AUwBvAHUAcgBjAGUARABhAHQAYQBfAEQAYQBpAHIAeQBfAEkAbgBjAHIAZQBhAHMAZQBkAE0AZQB0AGEAYgBvAGwAaQBjAFIAYQB0AGUATQBpAGwAawBfAEQAYQB0AGEAIgAsACIAUwBvAHUAcgBjAGUARABhAHQAYQBfAEQAYQBpAHIAeQAuAFMAbwB1AHIAYwBlAEQAYQB0AGEAXwBEAGEAaQByAHkAXwBGAHIAYQBjAHQAaQBvAG4AVgBvAGwAYQB0AGkAbABlAFMAbwBsAGkAZABzAFYAbwBpAGQAZQBkAE0ATQBTAF8AVABpAHQAbABlACIALAAiAFMAbwB1AHIAYwBlAEQAYQB0AGEAXwBEAGEAaQByAHkALgBTAG8AdQByAGMAZQBEAGEAdABhAF8ARABhAGkAcgB5AF8ARgByAGEAYwB0AGkAbwBuAFYAbwBsAGEAdABpAGwAZQBTAG8AbABpAGQAcwBWAG8AaQBkAGUAZABNAE0AUwBfAFYAYQByAGkAYQBiAGwAZQAiACwAIgBTAG8AdQByAGMAZQBEAGEAdABhAF8ARABhAGkAcgB5AC4AUwBvAHUAcgBjAGUARABhAHQAYQBfAEQAYQBpAHIAeQBfAEYAcgBhAGMAdABpAG8AbgBWAG8AbABhAHQAaQBsAGUAUwBvAGwAaQBkAHMAVgBvAGkAZABlAGQATQBNAFMAXwBVAG4AaQB0ACIALAAiAFMAbwB1AHIAYwBlAEQAYQB0AGEAXwBEAGEAaQByAHkALgBTAG8AdQByAGMAZQBEAGEAdABhAF8ARABhAGkAcgB5AF8ARgByAGEAYwB0AGkAbwBuAFYAbwBsAGEAdABpAGwAZQBTAG8AbABpAGQAcwBWAG8AaQBkAGUAZABNAE0AUwBfAFMAbwB1AHIAYwBlACIALAAiAFMAbwB1AHIAYwBlAEQAYQB0AGEAXwBEAGEAaQByAHkALgBTAG8AdQByAGMAZQBEAGEAdABhAF8ARABhAGkAcgB5AF8ARgByAGEAYwB0AGkAbwBuAFYAbwBsAGEAdABpAGwAZQBTAG8AbABpAGQAcwBWAG8AaQBkAGUAZABNAE0AUwBfAFYAYQByAGkAYQB0AGkAbwBuACIALAAiAFMAbwB1AHIAYwBlAEQAYQB0AGEAXwBEAGEAaQByAHkALgBTAG8AdQByAGMAZQBEAGEAdABhAF8ARABhAGkAcgB5AF8ARgByAGEAYwB0AGkAbwBuAFYAbwBsAGEAdABpAGwAZQBTAG8AbABpAGQAcwBWAG8AaQBkAGUAZABNAE0AUwBfAEQAYQB0AGEAIgAsACIAUwBvAHUAcgBjAGUARABhAHQAYQBfAEQAYQBpAHIAeQAuAFMAbwB1AHIAYwBlAEQAYQB0AGEAXwBEAGEAaQByAHkAXwBFAEYATgBpAHQAcgBvAHUAcwBPAHgAaQBkAGUAUABlAHIATQBNAFMAXwBUAGkAdABsAGUAIgAsACIAUwBvAHUAcgBjAGUARABhAHQAYQBfAEQAYQBpAHIAeQAuAFMAbwB1AHIAYwBlAEQAYQB0AGEAXwBEAGEAaQByAHkAXwBFAEYATgBpAHQAcgBvAHUAcwBPAHgAaQBkAGUAUABlAHIATQBNAFMAXwBWAGEAcgBpAGEAYgBsAGUAIgAsACIAUwBvAHUAcgBjAGUARABhAHQAYQBfAEQAYQBpAHIAeQAuAFMAbwB1AHIAYwBlAEQAYQB0AGEAXwBEAGEAaQByAHkAXwBFAEYATgBpAHQAcgBvAHUAcwBPAHgAaQBkAGUAUABlAHIATQBNAFMAXwBVAG4AaQB0ACIALAAiAFMAbwB1AHIAYwBlAEQAYQB0AGEAXwBEAGEAaQByAHkALgBTAG8AdQByAGMAZQBEAGEAdABhAF8ARABhAGkAcgB5AF8ARQBGAE4AaQB0AHIAbwB1AHMATwB4AGkAZABlAFAAZQByAE0ATQBTAF8AUwBvAHUAcgBjAGUAIgAsACIAUwBvAHUAcgBjAGUARABhAHQAYQBfAEQAYQBpAHIAeQAuAFMAbwB1AHIAYwBlAEQAYQB0AGEAXwBEAGEAaQByAHkAXwBFAEYATgBpAHQAcgBvAHUAcwBPAHgAaQBkAGUAUABlAHIATQBNAFMAXwBWAGEAcgBpAGEAdABpAG8AbgAiACwAIgBTAG8AdQByAGMAZQBEAGEAdABhAF8ARABhAGkAcgB5AC4AUwBvAHUAcgBjAGUARABhAHQAYQBfAEQAYQBpAHIAeQBfAEUARgBOAGkAdAByAG8AdQBzAE8AeABpAGQAZQBQAGUAcgBNAE0AUwBfAEQAYQB0AGEAIgAsACIAUwBvAHUAcgBjAGUARABhAHQAYQBfAEQAYQBpAHIAeQAuAFMAbwB1AHIAYwBlAEQAYQB0AGEAXwBEAGEAaQByAHkAXwBEAHUAcgBhAHQAaQBvAG4ATwBmAFMAdABhAHkAXwBUAGkAdABsAGUAIgAsACIAUwBvAHUAcgBjAGUARABhAHQAYQBfAEQAYQBpAHIAeQAuAFMAbwB1AHIAYwBlAEQAYQB0AGEAXwBEAGEAaQByAHkAXwBEAHUAcgBhAHQAaQBvAG4ATwBmAFMAdABhAHkAXwBWAGEAcgBpAGEAYgBsAGUAIgAsACIAUwBvAHUAcgBjAGUARABhAHQAYQBfAEQAYQBpAHIAeQAuAFMAbwB1AHIAYwBlAEQAYQB0AGEAXwBEAGEAaQByAHkAXwBEAHUAcgBhAHQAaQBvAG4ATwBmAFMAdABhAHkAXwBVAG4AaQB0ACIALAAiAFMAbwB1AHIAYwBlAEQAYQB0AGEAXwBEAGEAaQByAHkALgBTAG8AdQByAGMAZQBEAGEAdABhAF8ARABhAGkAcgB5AF8ARAB1AHIAYQB0AGkAbwBuAE8AZgBTAHQAYQB5AF8AUwBvAHUAcgBjAGUAIgAsACIAUwBvAHUAcgBjAGUARABhAHQAYQBfAEQAYQBpAHIAeQAuAFMAbwB1AHIAYwBlAEQAYQB0AGEAXwBEAGEAaQByAHkAXwBEAHUAcgBhAHQAaQBvAG4ATwBmAFMAdABhAHkAXwBWAGEAcgBpAGEAdABpAG8AbgAiACwAIgBTAG8AdQByAGMAZQBEAGEAdABhAF8ARABhAGkAcgB5AC4AUwBvAHUAcgBjAGUARABhAHQAYQBfAEQAYQBpAHIAeQBfAEQAdQByAGEAdABpAG8AbgBPAGYAUwB0AGEAeQBfAEQAYQB0AGEAIgAsACIAUwBvAHUAcgBjAGUARABhAHQAYQBfAEQAYQBpAHIAeQAuAFMAbwB1AHIAYwBlAEQAYQB0AGEAXwBEAGEAaQByAHkAXwBDAHIAdQBkAGUAUAByAG8AdABlAGkAbgBfAFQAaQB0AGwAZQAiACwAIgBTAG8AdQByAGMAZQBEAGEAdABhAF8ARABhAGkAcgB5AC4AUwBvAHUAcgBjAGUARABhAHQAYQBfAEQAYQBpAHIAeQBfAEMAcgB1AGQAZQBQAHIAbwB0AGUAaQBuAF8AVgBhAHIAaQBhAGIAbABlACIALAAiAFMAbwB1AHIAYwBlAEQAYQB0AGEAXwBEAGEAaQByAHkALgBTAG8AdQByAGMAZQBEAGEAdABhAF8ARABhAGkAcgB5AF8AQwByAHUAZABlAFAAcgBvAHQAZQBpAG4AXwBVAG4AaQB0ACIALAAiAFMAbwB1AHIAYwBlAEQAYQB0AGEAXwBEAGEAaQByAHkALgBTAG8AdQByAGMAZQBEAGEAdABhAF8ARABhAGkAcgB5AF8AQwByAHUAZABlAFAAcgBvAHQAZQBpAG4AXwBTAG8AdQByAGMAZQAiACwAIgBTAG8AdQByAGMAZQBEAGEAdABhAF8ARABhAGkAcgB5AC4AUwBvAHUAcgBjAGUARABhAHQAYQBfAEQAYQBpAHIAeQBfAEMAcgB1AGQAZQBQAHIAbwB0AGUAaQBuAF8AVgBhAHIAaQBhAHQAaQBvAG4AIgAsACIAUwBvAHUAcgBjAGUARABhAHQAYQBfAEQAYQBpAHIAeQAuAFMAbwB1AHIAYwBlAEQAYQB0AGEAXwBEAGEAaQByAHkAXwBDAHIAdQBkAGUAUAByAG8AdABlAGkAbgBfAEQAYQB0AGEAIgAsACIAUwBvAHUAcgBjAGUARABhAHQAYQBfAEQAYQBpAHIAeQAuAFMAbwB1AHIAYwBlAEQAYQB0AGEAXwBEAGEAaQByAHkAXwBEAHIAeQBNAGEAdAB0AGUAcgBEAGkAZwBlAHMAdABpAGIAaQBsAGkAdAB5AF8AVABpAHQAbABlACIALAAiAFMAbwB1AHIAYwBlAEQAYQB0AGEAXwBEAGEAaQByAHkALgBTAG8AdQByAGMAZQBEAGEAdABhAF8ARABhAGkAcgB5AF8ARAByAHkATQBhAHQAdABlAHIARABpAGcAZQBzAHQAaQBiAGkAbABpAHQAeQBfAFYAYQByAGkAYQBiAGwAZQAiACwAIgBTAG8AdQByAGMAZQBEAGEAdABhAF8ARABhAGkAcgB5AC4AUwBvAHUAcgBjAGUARABhAHQAYQBfAEQAYQBpAHIAeQBfAEQAcgB5AE0AYQB0AHQAZQByAEQAaQBnAGUAcwB0AGkAYgBpAGwAaQB0AHkAXwBVAG4AaQB0ACIALAAiAFMAbwB1AHIAYwBlAEQAYQB0AGEAXwBEAGEAaQByAHkALgBTAG8AdQByAGMAZQBEAGEAdABhAF8ARABhAGkAcgB5AF8ARAByAHkATQBhAHQAdABlAHIARABpAGcAZQBzAHQAaQBiAGkAbABpAHQAeQBfAFMAbwB1AHIAYwBlACIALAAiAFMAbwB1AHIAYwBlAEQAYQB0AGEAXwBEAGEAaQByAHkALgBTAG8AdQByAGMAZQBEAGEAdABhAF8ARABhAGkAcgB5AF8ARAByAHkATQBhAHQAdABlAHIARABpAGcAZQBzAHQAaQBiAGkAbABpAHQAeQBfAFYAYQByAGkAYQB0AGkAbwBuACIALAAiAFMAbwB1AHIAYwBlAEQAYQB0AGEAXwBEAGEAaQByAHkALgBTAG8AdQByAGMAZQBEAGEAdABhAF8ARABhAGkAcgB5AF8ARAByAHkATQBhAHQAdABlAHIARABpAGcAZQBzAHQAaQBiAGkAbABpAHQAeQBfAEQAYQB0AGEAIgAsACIAUwBvAHUAcgBjAGUARABhAHQAYQBfAEQAYQBpAHIAeQAuAFMAbwB1AHIAYwBlAEQAYQB0AGEAXwBEAGEAaQByAHkAXwBOAGUAdABFAG4AZQByAGcAeQBfAFQAaQB0AGwAZQAiACwAIgBTAG8AdQByAGMAZQBEAGEAdABhAF8ARABhAGkAcgB5AC4AUwBvAHUAcgBjAGUARABhAHQAYQBfAEQAYQBpAHIAeQBfAE4AZQB0AEUAbgBlAHIAZwB5AF8AVgBhAHIAaQBhAGIAbABlACIALAAiAFMAbwB1AHIAYwBlAEQAYQB0AGEAXwBEAGEAaQByAHkALgBTAG8AdQByAGMAZQBEAGEAdABhAF8ARABhAGkAcgB5AF8ATgBlAHQARQBuAGUAcgBnAHkAXwBVAG4AaQB0ACIALAAiAFMAbwB1AHIAYwBlAEQAYQB0AGEAXwBEAGEAaQByAHkALgBTAG8AdQByAGMAZQBEAGEAdABhAF8ARABhAGkAcgB5AF8ATgBlAHQARQBuAGUAcgBnAHkAXwBTAG8AdQByAGMAZQAiACwAIgBTAG8AdQByAGMAZQBEAGEAdABhAF8ARABhAGkAcgB5AC4AUwBvAHUAcgBjAGUARABhAHQAYQBfAEQAYQBpAHIAeQBfAE4AZQB0AEUAbgBlAHIAZwB5AF8AVgBhAHIAaQBhAHQAaQBvAG4AIgAsACIAUwBvAHUAcgBjAGUARABhAHQAYQBfAEQAYQBpAHIAeQAuAFMAbwB1AHIAYwBlAEQAYQB0AGEAXwBEAGEAaQByAHkAXwBOAGUAdABFAG4AZQByAGcAeQBfAEQAYQB0AGEAIgAsACIAUwBvAHUAcgBjAGUARABhAHQAYQBfAEQAYQBpAHIAeQAuAFMAbwB1AHIAYwBlAEQAYQB0AGEAXwBEAGEAaQByAHkAXwBHAHIAbwBzAHMARQBuAGUAcgBnAHkAQwBvAG4AdABlAG4AdABfAFQAaQB0AGwAZQAiACwAIgBTAG8AdQByAGMAZQBEAGEAdABhAF8ARABhAGkAcgB5AC4AUwBvAHUAcgBjAGUARABhAHQAYQBfAEQAYQBpAHIAeQBfAEcAcgBvAHMAcwBFAG4AZQByAGcAeQBDAG8AbgB0AGUAbgB0AF8AVgBhAHIAaQBhAGIAbABlACIALAAiAFMAbwB1AHIAYwBlAEQAYQB0AGEAXwBEAGEAaQByAHkALgBTAG8AdQByAGMAZQBEAGEAdABhAF8ARABhAGkAcgB5AF8ARwByAG8AcwBzAEUAbgBlAHIAZwB5AEMAbwBuAHQAZQBuAHQAXwBVAG4AaQB0ACIALAAiAFMAbwB1AHIAYwBlAEQAYQB0AGEAXwBEAGEAaQByAHkALgBTAG8AdQByAGMAZQBEAGEAdABhAF8ARABhAGkAcgB5AF8ARwByAG8AcwBzAEUAbgBlAHIAZwB5AEMAbwBuAHQAZQBuAHQAXwBTAG8AdQByAGMAZQAiACwAIgBTAG8AdQByAGMAZQBEAGEAdABhAF8ARABhAGkAcgB5AC4AUwBvAHUAcgBjAGUARABhAHQAYQBfAEQAYQBpAHIAeQBfAEcAcgBvAHMAcwBFAG4AZQByAGcAeQBDAG8AbgB0AGUAbgB0AF8AVgBhAHIAaQBhAHQAaQBvAG4AIgAsACIAUwBvAHUAcgBjAGUARABhAHQAYQBfAEQAYQBpAHIAeQAuAFMAbwB1AHIAYwBlAEQAYQB0AGEAXwBEAGEAaQByAHkAXwBHAHIAbwBzAHMARQBuAGUAcgBnAHkAQwBvAG4AdABlAG4AdABfAEQAYQB0AGEAIgAsACIAUwBvAHUAcgBjAGUARABhAHQAYQBfAEQAYQBpAHIAeQAuAFMAbwB1AHIAYwBlAEQAYQB0AGEAXwBEAGEAaQByAHkAXwBFAGYAZgBpAGMAaQBlAG4AYwB5AE8AZgBVAHMAZQBPAGYATQBlAHQAYQBiAG8AbABpAHoAYQBiAGwAZQBFAG4AZQByAGcAeQBfAFQAaQB0AGwAZQAiACwAIgBTAG8AdQByAGMAZQBEAGEAdABhAF8ARABhAGkAcgB5AC4AUwBvAHUAcgBjAGUARABhAHQAYQBfAEQAYQBpAHIAeQBfAEUAZgBmAGkAYwBpAGUAbgBjAHkATwBmAFUAcwBlAE8AZgBNAGUAdABhAGIAbwBsAGkAegBhAGIAbABlAEUAbgBlAHIAZwB5AF8AVgBhAHIAaQBhAGIAbABlACIALAAiAFMAbwB1AHIAYwBlAEQAYQB0AGEAXwBEAGEAaQByAHkALgBTAG8AdQByAGMAZQBEAGEAdABhAF8ARABhAGkAcgB5AF8ARQBmAGYAaQBjAGkAZQBuAGMAeQBPAGYAVQBzAGUATwBmAE0AZQB0AGEAYgBvAGwAaQB6AGEAYgBsAGUARQBuAGUAcgBnAHkAXwBVAG4AaQB0ACIALAAiAFMAbwB1AHIAYwBlAEQAYQB0AGEAXwBEAGEAaQByAHkALgBTAG8AdQByAGMAZQBEAGEAdABhAF8ARABhAGkAcgB5AF8ARQBmAGYAaQBjAGkAZQBuAGMAeQBPAGYAVQBzAGUATwBmAE0AZQB0AGEAYgBvAGwAaQB6AGEAYgBsAGUARQBuAGUAcgBnAHkAXwBTAG8AdQByAGMAZQAiACwAIgBTAG8AdQByAGMAZQBEAGEAdABhAF8ARABhAGkAcgB5AC4AUwBvAHUAcgBjAGUARABhAHQAYQBfAEQAYQBpAHIAeQBfAEUAZgBmAGkAYwBpAGUAbgBjAHkATwBmAFUAcwBlAE8AZgBNAGUAdABhAGIAbwBsAGkAegBhAGIAbABlAEUAbgBlAHIAZwB5AF8AVgBhAHIAaQBhAHQAaQBvAG4AIgAsACIAUwBvAHUAcgBjAGUARABhAHQAYQBfAEQAYQBpAHIAeQAuAFMAbwB1AHIAYwBlAEQAYQB0AGEAXwBEAGEAaQByAHkAXwBFAGYAZgBpAGMAaQBlAG4AYwB5AE8AZgBVAHMAZQBPAGYATQBlAHQAYQBiAG8AbABpAHoAYQBiAGwAZQBFAG4AZQByAGcAeQBfAEQAYQB0AGEAIgAsACIAUwBvAHUAcgBjAGUARABhAHQAYQBfAEQAYQBpAHIAeQAuAFMAbwB1AHIAYwBlAEQAYQB0AGEAXwBEAGEAaQByAHkAXwBBAHMAaABDAG8AbgB0AGUAbgB0AF8AVABpAHQAbABlACIALAAiAFMAbwB1AHIAYwBlAEQAYQB0AGEAXwBEAGEAaQByAHkALgBTAG8AdQByAGMAZQBEAGEAdABhAF8ARABhAGkAcgB5AF8AQQBzAGgAQwBvAG4AdABlAG4AdABfAFYAYQByAGkAYQBiAGwAZQAiACwAIgBTAG8AdQByAGMAZQBEAGEAdABhAF8ARABhAGkAcgB5AC4AUwBvAHUAcgBjAGUARABhAHQAYQBfAEQAYQBpAHIAeQBfAEEAcwBoAEMAbwBuAHQAZQBuAHQAXwBVAG4AaQB0ACIALAAiAFMAbwB1AHIAYwBlAEQAYQB0AGEAXwBEAGEAaQByAHkALgBTAG8AdQByAGMAZQBEAGEAdABhAF8ARABhAGkAcgB5AF8AQQBzAGgAQwBvAG4AdABlAG4AdABfAFMAbwB1AHIAYwBlACIALAAiAFMAbwB1AHIAYwBlAEQAYQB0AGEAXwBEAGEAaQByAHkALgBTAG8AdQByAGMAZQBEAGEAdABhAF8ARABhAGkAcgB5AF8AQQBzAGgAQwBvAG4AdABlAG4AdABfAFYAYQByAGkAYQB0AGkAbwBuACIALAAiAFMAbwB1AHIAYwBlAEQAYQB0AGEAXwBEAGEAaQByAHkALgBTAG8AdQByAGMAZQBEAGEAdABhAF8ARABhAGkAcgB5AF8AQQBzAGgAQwBvAG4AdABlAG4AdABfAEQAYQB0AGEAIgAsACIAUwBvAHUAcgBjAGUARABhAHQAYQBfAEQAYQBpAHIAeQAuAFMAbwB1AHIAYwBlAEQAYQB0AGEAXwBEAGEAaQByAHkAXwBNAGUAdABoAGEAbgBlAEUAbQBpAHMAcwBpAG8AbgBzAFAAbwB0AGUAbgB0AGkAYQBsAF8AVABpAHQAbABlACIALAAiAFMAbwB1AHIAYwBlAEQAYQB0AGEAXwBEAGEAaQByAHkALgBTAG8AdQByAGMAZQBEAGEAdABhAF8ARABhAGkAcgB5AF8ATQBlAHQAaABhAG4AZQBFAG0AaQBzAHMAaQBvAG4AcwBQAG8AdABlAG4AdABpAGEAbABfAFYAYQByAGkAYQBiAGwAZQAiACwAIgBTAG8AdQByAGMAZQBEAGEAdABhAF8ARABhAGkAcgB5AC4AUwBvAHUAcgBjAGUARABhAHQAYQBfAEQAYQBpAHIAeQBfAE0AZQB0AGgAYQBuAGUARQBtAGkAcwBzAGkAbwBuAHMAUABvAHQAZQBuAHQAaQBhAGwAXwBVAG4AaQB0ACIALAAiAFMAbwB1AHIAYwBlAEQAYQB0AGEAXwBEAGEAaQByAHkALgBTAG8AdQByAGMAZQBEAGEAdABhAF8ARABhAGkAcgB5AF8ATQBlAHQAaABhAG4AZQBFAG0AaQBzAHMAaQBvAG4AcwBQAG8AdABlAG4AdABpAGEAbABfAFMAbwB1AHIAYwBlACIALAAiAFMAbwB1AHIAYwBlAEQAYQB0AGEAXwBEAGEAaQByAHkALgBTAG8AdQByAGMAZQBEAGEAdABhAF8ARABhAGkAcgB5AF8ATQBlAHQAaABhAG4AZQBFAG0AaQBzAHMAaQBvAG4AcwBQAG8AdABlAG4AdABpAGEAbABfAFYAYQByAGkAYQB0AGkAbwBuACIALAAiAFMAbwB1AHIAYwBlAEQAYQB0AGEAXwBEAGEAaQByAHkALgBTAG8AdQByAGMAZQBEAGEAdABhAF8ARABhAGkAcgB5AF8ATQBlAHQAaABhAG4AZQBFAG0AaQBzAHMAaQBvAG4AcwBQAG8AdABlAG4AdABpAGEAbABfAEQAYQB0AGEAIgAsACIAUwBvAHUAcgBjAGUARABhAHQAYQBfAEQAYQBpAHIAeQAuAFMAbwB1AHIAYwBlAEQAYQB0AGEAXwBEAGEAaQByAHkAXwBFAG0AaQBzAHMAaQBvAG4ARgBhAGMAdABvAHIARgBvAHIATABlAGEAYwBoAGkAbgBnAEEAbgBkAFIAdQBuAG8AZgBmAF8AVABpAHQAbABlACIALAAiAFMAbwB1AHIAYwBlAEQAYQB0AGEAXwBEAGEAaQByAHkALgBTAG8AdQByAGMAZQBEAGEAdABhAF8ARABhAGkAcgB5AF8ARQBtAGkAcwBzAGkAbwBuAEYAYQBjAHQAbwByAEYAbwByAEwAZQBhAGMAaABpAG4AZwBBAG4AZABSAHUAbgBvAGYAZgBfAFYAYQByAGkAYQBiAGwAZQAiACwAIgBTAG8AdQByAGMAZQBEAGEAdABhAF8ARABhAGkAcgB5AC4AUwBvAHUAcgBjAGUARABhAHQAYQBfAEQAYQBpAHIAeQBfAEUAbQBpAHMAcwBpAG8AbgBGAGEAYwB0AG8AcgBGAG8AcgBMAGUAYQBjAGgAaQBuAGcAQQBuAGQAUgB1AG4AbwBmAGYAXwBVAG4AaQB0ACIALAAiAFMAbwB1AHIAYwBlAEQAYQB0AGEAXwBEAGEAaQByAHkALgBTAG8AdQByAGMAZQBEAGEAdABhAF8ARABhAGkAcgB5AF8ARQBtAGkAcwBzAGkAbwBuAEYAYQBjAHQAbwByAEYAbwByAEwAZQBhAGMAaABpAG4AZwBBAG4AZABSAHUAbgBvAGYAZgBfAFMAbwB1AHIAYwBlACIALAAiAFMAbwB1AHIAYwBlAEQAYQB0AGEAXwBEAGEAaQByAHkALgBTAG8AdQByAGMAZQBEAGEAdABhAF8ARABhAGkAcgB5AF8ARQBtAGkAcwBzAGkAbwBuAEYAYQBjAHQAbwByAEYAbwByAEwAZQBhAGMAaABpAG4AZwBBAG4AZABSAHUAbgBvAGYAZgBfAFYAYQByAGkAYQB0AGkAbwBuACIALAAiAFMAbwB1AHIAYwBlAEQAYQB0AGEAXwBEAGEAaQByAHkALgBTAG8AdQByAGMAZQBEAGEAdABhAF8ARABhAGkAcgB5AF8ARQBtAGkAcwBzAGkAbwBuAEYAYQBjAHQAbwByAEYAbwByAEwAZQBhAGMAaABpAG4AZwBBAG4AZABSAHUAbgBvAGYAZgBfAEQAYQB0AGEAIgAsACIAUwBvAHUAcgBjAGUARABhAHQAYQBfAEQAYQBpAHIAeQAuAFMAbwB1AHIAYwBlAEQAYQB0AGEAXwBEAGEAaQByAHkAXwBGAHIAYQBjAHQAaQBvAG4ATwBmAE4AaQB0AHIAbwBnAGUAbgBMAG8AcwB0AFQAaAByAG8AdQBnAGgATABlAGEAYwBoAGkAbgBnAEEAbgBkAFIAdQBuAG8AZgBmAF8AVABpAHQAbABlACIALAAiAFMAbwB1AHIAYwBlAEQAYQB0AGEAXwBEAGEAaQByAHkALgBTAG8AdQByAGMAZQBEAGEAdABhAF8ARABhAGkAcgB5AF8ARgByAGEAYwB0AGkAbwBuAE8AZgBOAGkAdAByAG8AZwBlAG4ATABvAHMAdABUAGgAcgBvAHUAZwBoAEwAZQBhAGMAaABpAG4AZwBBAG4AZABSAHUAbgBvAGYAZgBfAFYAYQByAGkAYQBiAGwAZQAiACwAIgBTAG8AdQByAGMAZQBEAGEAdABhAF8ARABhAGkAcgB5AC4AUwBvAHUAcgBjAGUARABhAHQAYQBfAEQAYQBpAHIAeQBfAEYAcgBhAGMAdABpAG8AbgBPAGYATgBpAHQAcgBvAGcAZQBuAEwAbwBzAHQAVABoAHIAbwB1AGcAaABMAGUAYQBjAGgAaQBuAGcAQQBuAGQAUgB1AG4AbwBmAGYAXwBVAG4AaQB0ACIALAAiAFMAbwB1AHIAYwBlAEQAYQB0AGEAXwBEAGEAaQByAHkALgBTAG8AdQByAGMAZQBEAGEAdABhAF8ARABhAGkAcgB5AF8ARgByAGEAYwB0AGkAbwBuAE8AZgBOAGkAdAByAG8AZwBlAG4ATABvAHMAdABUAGgAcgBvAHUAZwBoAEwAZQBhAGMAaABpAG4AZwBBAG4AZABSAHUAbgBvAGYAZgBfAFMAbwB1AHIAYwBlACIALAAiAFMAbwB1AHIAYwBlAEQAYQB0AGEAXwBEAGEAaQByAHkALgBTAG8AdQByAGMAZQBEAGEAdABhAF8ARABhAGkAcgB5AF8ARgByAGEAYwB0AGkAbwBuAE8AZgBOAGkAdAByAG8AZwBlAG4ATABvAHMAdABUAGgAcgBvAHUAZwBoAEwAZQBhAGMAaABpAG4AZwBBAG4AZABSAHUAbgBvAGYAZgBfAFYAYQByAGkAYQB0AGkAbwBuACIALAAiAFMAbwB1AHIAYwBlAEQAYQB0AGEAXwBEAGEAaQByAHkALgBTAG8AdQByAGMAZQBEAGEAdABhAF8ARABhAGkAcgB5AF8ARgByAGEAYwB0AGkAbwBuAE8AZgBOAGkAdAByAG8AZwBlAG4ATABvAHMAdABUAGgAcgBvAHUAZwBoAEwAZQBhAGMAaABpAG4AZwBBAG4AZABSAHUAbgBvAGYAZgBfAEQAYQB0AGEAIgAsACIAUwBvAHUAcgBjAGUARABhAHQAYQBfAEQAYQBpAHIAeQAuAFMAbwB1AHIAYwBlAEQAYQB0AGEAXwBEAGEAaQByAHkAXwBGAHIAYQBjAEcAQQBTAE0AUwBvAGkAbABfAFQAaQB0AGwAZQAiACwAIgBTAG8AdQByAGMAZQBEAGEAdABhAF8ARABhAGkAcgB5AC4AUwBvAHUAcgBjAGUARABhAHQAYQBfAEQAYQBpAHIAeQBfAEYAcgBhAGMARwBBAFMATQBTAG8AaQBsAF8AVgBhAHIAaQBhAGIAbABlACIALAAiAFMAbwB1AHIAYwBlAEQAYQB0AGEAXwBEAGEAaQByAHkALgBTAG8AdQByAGMAZQBEAGEAdABhAF8ARABhAGkAcgB5AF8ARgByAGEAYwBHAEEAUwBNAFMAbwBpAGwAXwBVAG4AaQB0ACIALAAiAFMAbwB1AHIAYwBlAEQAYQB0AGEAXwBEAGEAaQByAHkALgBTAG8AdQByAGMAZQBEAGEAdABhAF8ARABhAGkAcgB5AF8ARgByAGEAYwBHAEEAUwBNAFMAbwBpAGwAXwBTAG8AdQByAGMAZQAiACwAIgBTAG8AdQByAGMAZQBEAGEAdABhAF8ARABhAGkAcgB5AC4AUwBvAHUAcgBjAGUARABhAHQAYQBfAEQAYQBpAHIAeQBfAEYAcgBhAGMARwBBAFMATQBTAG8AaQBsAF8AVgBhAHIAaQBhAHQAaQBvAG4AIgAsACIAUwBvAHUAcgBjAGUARABhAHQAYQBfAEQAYQBpAHIAeQAuAFMAbwB1AHIAYwBlAEQAYQB0AGEAXwBEAGEAaQByAHkAXwBGAHIAYQBjAEcAQQBTAE0AUwBvAGkAbABfAEQAYQB0AGEAIgAsACIATQBNAFMAXwBEAGEAaQByAHkAXwBBAHQAbQBvAHMAcABoAGUAcgBpAGMARABlAHAAbwBzAGkAdABpAG8AbgBfAEUAcQB1AGEAdABpAG8AbgBzAC4AVgBFAEUAUgBHAF8ANABfADMAXwAxAF8ANQBfAF8AMQBfAEEAbgBuAHUAYQBsAEEAdABtAG8AcwBwAGgAZQByAGkAYwBEAGUAcABvAHMAaQB0AGkAbwBuAEUAbQBpAHMAcwBpAG8AbgBzAEYAcgBvAG0ATQBNAFMAIgAsACIATQBNAFMAXwBEAGEAaQByAHkAXwBBAHQAbQBvAHMAcABoAGUAcgBpAGMARABlAHAAbwBzAGkAdABpAG8AbgBfAEUAcQB1AGEAdABpAG8AbgBzAC4AVgBFAEUAUgBHAF8ANABfADMAXwAxAF8ANQBfAF8AMQBfAEEAbgBuAHUAYQBsAEEAdABtAG8AcwBwAGgAZQByAGkAYwBEAGUAcABvAHMAaQB0AGkAbwBuAEUAbQBpAHMAcwBpAG8AbgBzAEYAcgBvAG0ATQBNAFMAXwBUAGkAdABsAGUAIgAsACIATQBNAFMAXwBEAGEAaQByAHkAXwBBAHQAbQBvAHMAcABoAGUAcgBpAGMARABlAHAAbwBzAGkAdABpAG8AbgBfAEUAcQB1AGEAdABpAG8AbgBzAC4AVgBFAEUAUgBHAF8ANABfADMAXwAxAF8ANQBfAF8AMQBfAEEAbgBuAHUAYQBsAEEAdABtAG8AcwBwAGgAZQByAGkAYwBEAGUAcABvAHMAaQB0AGkAbwBuAEUAbQBpAHMAcwBpAG8AbgBzAEYAcgBvAG0ATQBNAFMAXwBWAGEAcgBpAGEAYgBsAGUAIgAsACIATQBNAFMAXwBEAGEAaQByAHkAXwBBAHQAbQBvAHMAcABoAGUAcgBpAGMARABlAHAAbwBzAGkAdABpAG8AbgBfAEUAcQB1AGEAdABpAG8AbgBzAC4AVgBFAEUAUgBHAF8ANABfADMAXwAxAF8ANQBfAF8AMQBfAEEAbgBuAHUAYQBsAEEAdABtAG8AcwBwAGgAZQByAGkAYwBEAGUAcABvAHMAaQB0AGkAbwBuAEUAbQBpAHMAcwBpAG8AbgBzAEYAcgBvAG0ATQBNAFMAXwBVAG4AaQB0ACIALAAiAE0ATQBTAF8ARABhAGkAcgB5AF8AQQB0AG0AbwBzAHAAaABlAHIAaQBjAEQAZQBwAG8AcwBpAHQAaQBvAG4AXwBFAHEAdQBhAHQAaQBvAG4AcwAuAFYARQBFAFIARwBfADQAXwAzAF8AMQBfADUAXwBfADEAXwBBAG4AbgB1AGEAbABBAHQAbQBvAHMAcABoAGUAcgBpAGMARABlAHAAbwBzAGkAdABpAG8AbgBFAG0AaQBzAHMAaQBvAG4AcwBGAHIAbwBtAE0ATQBTAF8AUwBvAHUAcgBjAGUAIgAsACIATQBNAFMAXwBEAGEAaQByAHkAXwBBAHQAbQBvAHMAcABoAGUAcgBpAGMARABlAHAAbwBzAGkAdABpAG8AbgBfAEUAcQB1AGEAdABpAG8AbgBzAC4AVgBFAEUAUgBHAF8ANABfADMAXwAxAF8ANQBfAF8AMQBfAEEAbgBuAHUAYQBsAEEAdABtAG8AcwBwAGgAZQByAGkAYwBEAGUAcABvAHMAaQB0AGkAbwBuAEUAbQBpAHMAcwBpAG8AbgBzAEYAcgBvAG0ATQBNAFMAXwBOAEkAUgBSAGUAZgBlAHIAZQBuAGMAZQAiACwAIgBNAE0AUwBfAEQAYQBpAHIAeQBfAEEAdABtAG8AcwBwAGgAZQByAGkAYwBEAGUAcABvAHMAaQB0AGkAbwBuAF8ARQBxAHUAYQB0AGkAbwBuAHMALgBWAEUARQBSAEcAXwA0AF8AMwBfADEAXwA1AF8AXwAxAF8AQQBuAG4AdQBhAGwAQQB0AG0AbwBzAHAAaABlAHIAaQBjAEQAZQBwAG8AcwBpAHQAaQBvAG4ARQBtAGkAcwBzAGkAbwBuAHMARgByAG8AbQBNAE0AUwBfAEwAYQB0AGUAeABFAHEAdQBhAHQAaQBvAG4AIgAsACIATQBNAFMAXwBEAGEAaQByAHkAXwBBAHQAbQBvAHMAcABoAGUAcgBpAGMARABlAHAAbwBzAGkAdABpAG8AbgBfAEUAcQB1AGEAdABpAG8AbgBzAC4AVgBFAEUAUgBHAF8ANABfADMAXwAxAF8ANQBfAF8AMQBfAEEAbgBuAHUAYQBsAEEAdABtAG8AcwBwAGgAZQByAGkAYwBEAGUAcABvAHMAaQB0AGkAbwBuAEUAbQBpAHMAcwBpAG8AbgBzAEYAcgBvAG0ATQBNAFMAXwBBAHIAZwB1AG0AZQBuAHQAcwAiACwAIgBNAE0AUwBfAEQAYQBpAHIAeQBfAEEAdABtAG8AcwBwAGgAZQByAGkAYwBEAGUAcABvAHMAaQB0AGkAbwBuAF8ARQBxAHUAYQB0AGkAbwBuAHMALgBWAEUARQBSAEcAXwA0AF8AMwBfADEAXwA1AF8AXwAyAF8AVABvAHQAYQBsAE4AaQB0AHIAbwBnAGUAbgBWAG8AbABhAHQAaQBsAGkAcwBlAGQARgByAG8AbQBNAE0AUwAiACwAIgBNAE0AUwBfAEQAYQBpAHIAeQBfAEEAdABtAG8AcwBwAGgAZQByAGkAYwBEAGUAcABvAHMAaQB0AGkAbwBuAF8ARQBxAHUAYQB0AGkAbwBuAHMALgBWAEUARQBSAEcAXwA0AF8AMwBfADEAXwA1AF8AXwAyAF8AVABvAHQAYQBsAE4AaQB0AHIAbwBnAGUAbgBWAG8AbABhAHQAaQBsAGkAcwBlAGQARgByAG8AbQBNAE0AUwBfAFQAaQB0AGwAZQAiACwAIgBNAE0AUwBfAEQAYQBpAHIAeQBfAEEAdABtAG8AcwBwAGgAZQByAGkAYwBEAGUAcABvAHMAaQB0AGkAbwBuAF8ARQBxAHUAYQB0AGkAbwBuAHMALgBWAEUARQBSAEcAXwA0AF8AMwBfADEAXwA1AF8AXwAyAF8AVABvAHQAYQBsAE4AaQB0AHIAbwBnAGUAbgBWAG8AbABhAHQAaQBsAGkAcwBlAGQARgByAG8AbQBNAE0AUwBfAFYAYQByAGkAYQBiAGwAZQAiACwAIgBNAE0AUwBfAEQAYQBpAHIAeQBfAEEAdABtAG8AcwBwAGgAZQByAGkAYwBEAGUAcABvAHMAaQB0AGkAbwBuAF8ARQBxAHUAYQB0AGkAbwBuAHMALgBWAEUARQBSAEcAXwA0AF8AMwBfADEAXwA1AF8AXwAyAF8AVABvAHQAYQBsAE4AaQB0AHIAbwBnAGUAbgBWAG8AbABhAHQAaQBsAGkAcwBlAGQARgByAG8AbQBNAE0AUwBfAFUAbgBpAHQAIgAsACIATQBNAFMAXwBEAGEAaQByAHkAXwBBAHQAbQBvAHMAcABoAGUAcgBpAGMARABlAHAAbwBzAGkAdABpAG8AbgBfAEUAcQB1AGEAdABpAG8AbgBzAC4AVgBFAEUAUgBHAF8ANABfADMAXwAxAF8ANQBfAF8AMgBfAFQAbwB0AGEAbABOAGkAdAByAG8AZwBlAG4AVgBvAGwAYQB0AGkAbABpAHMAZQBkAEYAcgBvAG0ATQBNAFMAXwBTAG8AdQByAGMAZQAiACwAIgBNAE0AUwBfAEQAYQBpAHIAeQBfAEEAdABtAG8AcwBwAGgAZQByAGkAYwBEAGUAcABvAHMAaQB0AGkAbwBuAF8ARQBxAHUAYQB0AGkAbwBuAHMALgBWAEUARQBSAEcAXwA0AF8AMwBfADEAXwA1AF8AXwAyAF8AVABvAHQAYQBsAE4AaQB0AHIAbwBnAGUAbgBWAG8AbABhAHQAaQBsAGkAcwBlAGQARgByAG8AbQBNAE0AUwBfAE4ASQBSAFIAZQBmAGUAcgBlAG4AYwBlACIALAAiAE0ATQBTAF8ARABhAGkAcgB5AF8AQQB0AG0AbwBzAHAAaABlAHIAaQBjAEQAZQBwAG8AcwBpAHQAaQBvAG4AXwBFAHEAdQBhAHQAaQBvAG4AcwAuAFYARQBFAFIARwBfADQAXwAzAF8AMQBfADUAXwBfADIAXwBUAG8AdABhAGwATgBpAHQAcgBvAGcAZQBuAFYAbwBsAGEAdABpAGwAaQBzAGUAZABGAHIAbwBtAE0ATQBTAF8ATABhAHQAZQB4AEUAcQB1AGEAdABpAG8AbgAiACwAIgBNAE0AUwBfAEQAYQBpAHIAeQBfAEEAdABtAG8AcwBwAGgAZQByAGkAYwBEAGUAcABvAHMAaQB0AGkAbwBuAF8ARQBxAHUAYQB0AGkAbwBuAHMALgBWAEUARQBSAEcAXwA0AF8AMwBfADEAXwA1AF8AXwAyAF8AVABvAHQAYQBsAE4AaQB0AHIAbwBnAGUAbgBWAG8AbABhAHQAaQBsAGkAcwBlAGQARgByAG8AbQBNAE0AUwBfAEEAcgBnAHUAbQBlAG4AdABzACIALAAiAE0ATQBTAF8ARABhAGkAcgB5AF8ATQBhAG4AdQByAGUAQQBwAHAAbABpAGUAZABUAG8AUwBvAGkAbABzAF8ARQBxAHUAYQB0AGkAbwBuAHMALgBWAEUARQBSAEcAXwA0AF8AMwBfADEAXwA4AF8AXwAxAF8ATQBhAHMAcwBPAGYATgBpAHQAcgBvAGcAZQBuAEEAcABwAGwAaQBlAGQAVABvAFMAbwBpAGwAcwBTAGMAbwBwAGUAMQAiACwAIgBNAE0AUwBfAEQAYQBpAHIAeQBfAE0AYQBuAHUAcgBlAEEAcABwAGwAaQBlAGQAVABvAFMAbwBpAGwAcwBfAEUAcQB1AGEAdABpAG8AbgBzAC4AVgBFAEUAUgBHAF8ANABfADMAXwAxAF8AOABfAF8AMQBfAE0AYQBzAHMATwBmAE4AaQB0AHIAbwBnAGUAbgBBAHAAcABsAGkAZQBkAFQAbwBTAG8AaQBsAHMAUwBjAG8AcABlADEAXwBUAGkAdABsAGUAIgAsACIATQBNAFMAXwBEAGEAaQByAHkAXwBNAGEAbgB1AHIAZQBBAHAAcABsAGkAZQBkAFQAbwBTAG8AaQBsAHMAXwBFAHEAdQBhAHQAaQBvAG4AcwAuAFYARQBFAFIARwBfADQAXwAzAF8AMQBfADgAXwBfADEAXwBNAGEAcwBzAE8AZgBOAGkAdAByAG8AZwBlAG4AQQBwAHAAbABpAGUAZABUAG8AUwBvAGkAbABzAFMAYwBvAHAAZQAxAF8AVgBhAHIAaQBhAGIAbABlACIALAAiAE0ATQBTAF8ARABhAGkAcgB5AF8ATQBhAG4AdQByAGUAQQBwAHAAbABpAGUAZABUAG8AUwBvAGkAbABzAF8ARQBxAHUAYQB0AGkAbwBuAHMALgBWAEUARQBSAEcAXwA0AF8AMwBfADEAXwA4AF8AXwAxAF8ATQBhAHMAcwBPAGYATgBpAHQAcgBvAGcAZQBuAEEAcABwAGwAaQBlAGQAVABvAFMAbwBpAGwAcwBTAGMAbwBwAGUAMQBfAFUAbgBpAHQAIgAsACIATQBNAFMAXwBEAGEAaQByAHkAXwBNAGEAbgB1AHIAZQBBAHAAcABsAGkAZQBkAFQAbwBTAG8AaQBsAHMAXwBFAHEAdQBhAHQAaQBvAG4AcwAuAFYARQBFAFIARwBfADQAXwAzAF8AMQBfADgAXwBfADEAXwBNAGEAcwBzAE8AZgBOAGkAdAByAG8AZwBlAG4AQQBwAHAAbABpAGUAZABUAG8AUwBvAGkAbABzAFMAYwBvAHAAZQAxAF8AUwBvAHUAcgBjAGUAIgAsACIATQBNAFMAXwBEAGEAaQByAHkAXwBNAGEAbgB1AHIAZQBBAHAAcABsAGkAZQBkAFQAbwBTAG8AaQBsAHMAXwBFAHEAdQBhAHQAaQBvAG4AcwAuAFYARQBFAFIARwBfADQAXwAzAF8AMQBfADgAXwBfADEAXwBNAGEAcwBzAE8AZgBOAGkAdAByAG8AZwBlAG4AQQBwAHAAbABpAGUAZABUAG8AUwBvAGkAbABzAFMAYwBvAHAAZQAxAF8ATgBJAFIAUgBlAGYAZQByAGUAbgBjAGUAIgAsACIATQBNAFMAXwBEAGEAaQByAHkAXwBNAGEAbgB1AHIAZQBBAHAAcABsAGkAZQBkAFQAbwBTAG8AaQBsAHMAXwBFAHEAdQBhAHQAaQBvAG4AcwAuAFYARQBFAFIARwBfADQAXwAzAF8AMQBfADgAXwBfADEAXwBNAGEAcwBzAE8AZgBOAGkAdAByAG8AZwBlAG4AQQBwAHAAbABpAGUAZABUAG8AUwBvAGkAbABzAFMAYwBvAHAAZQAxAF8ATABhAHQAZQB4AEUAcQB1AGEAdABpAG8AbgAiACwAIgBNAE0AUwBfAEQAYQBpAHIAeQBfAE0AYQBuAHUAcgBlAEEAcABwAGwAaQBlAGQAVABvAFMAbwBpAGwAcwBfAEUAcQB1AGEAdABpAG8AbgBzAC4AVgBFAEUAUgBHAF8ANABfADMAXwAxAF8AOABfAF8AMQBfAE0AYQBzAHMATwBmAE4AaQB0AHIAbwBnAGUAbgBBAHAAcABsAGkAZQBkAFQAbwBTAG8AaQBsAHMAUwBjAG8AcABlADEAXwBBAHIAZwB1AG0AZQBuAHQAcwAiACwAIgBNAE0AUwBfAEQAYQBpAHIAeQBfAE0AYQBuAHUAcgBlAEEAcABwAGwAaQBlAGQAVABvAFMAbwBpAGwAcwBfAEUAcQB1AGEAdABpAG8AbgBzAC4AVgBFAEUAUgBHAF8ANABfADMAXwAxAF8AOABfAF8AMgBfAE0AYQBzAHMATwBmAE4AaQB0AHIAbwBnAGUAbgBBAHAAcABsAGkAZQBkAFQAbwBTAG8AaQBsAHMAUwBjAG8AcABlADMAIgAsACIATQBNAFMAXwBEAGEAaQByAHkAXwBNAGEAbgB1AHIAZQBBAHAAcABsAGkAZQBkAFQAbwBTAG8AaQBsAHMAXwBFAHEAdQBhAHQAaQBvAG4AcwAuAFYARQBFAFIARwBfADQAXwAzAF8AMQBfADgAXwBfADIAXwBNAGEAcwBzAE8AZgBOAGkAdAByAG8AZwBlAG4AQQBwAHAAbABpAGUAZABUAG8AUwBvAGkAbABzAFMAYwBvAHAAZQAzAF8AVABpAHQAbABlACIALAAiAE0ATQBTAF8ARABhAGkAcgB5AF8ATQBhAG4AdQByAGUAQQBwAHAAbABpAGUAZABUAG8AUwBvAGkAbABzAF8ARQBxAHUAYQB0AGkAbwBuAHMALgBWAEUARQBSAEcAXwA0AF8AMwBfADEAXwA4AF8AXwAyAF8ATQBhAHMAcwBPAGYATgBpAHQAcgBvAGcAZQBuAEEAcABwAGwAaQBlAGQAVABvAFMAbwBpAGwAcwBTAGMAbwBwAGUAMwBfAFYAYQByAGkAYQBiAGwAZQAiACwAIgBNAE0AUwBfAEQAYQBpAHIAeQBfAE0AYQBuAHUAcgBlAEEAcABwAGwAaQBlAGQAVABvAFMAbwBpAGwAcwBfAEUAcQB1AGEAdABpAG8AbgBzAC4AVgBFAEUAUgBHAF8ANABfADMAXwAxAF8AOABfAF8AMgBfAE0AYQBzAHMATwBmAE4AaQB0AHIAbwBnAGUAbgBBAHAAcABsAGkAZQBkAFQAbwBTAG8AaQBsAHMAUwBjAG8AcABlADMAXwBVAG4AaQB0ACIALAAiAE0ATQBTAF8ARABhAGkAcgB5AF8ATQBhAG4AdQByAGUAQQBwAHAAbABpAGUAZABUAG8AUwBvAGkAbABzAF8ARQBxAHUAYQB0AGkAbwBuAHMALgBWAEUARQBSAEcAXwA0AF8AMwBfADEAXwA4AF8AXwAyAF8ATQBhAHMAcwBPAGYATgBpAHQAcgBvAGcAZQBuAEEAcABwAGwAaQBlAGQAVABvAFMAbwBpAGwAcwBTAGMAbwBwAGUAMwBfAFMAbwB1AHIAYwBlACIALAAiAE0ATQBTAF8ARABhAGkAcgB5AF8ATQBhAG4AdQByAGUAQQBwAHAAbABpAGUAZABUAG8AUwBvAGkAbABzAF8ARQBxAHUAYQB0AGkAbwBuAHMALgBWAEUARQBSAEcAXwA0AF8AMwBfADEAXwA4AF8AXwAyAF8ATQBhAHMAcwBPAGYATgBpAHQAcgBvAGcAZQBuAEEAcABwAGwAaQBlAGQAVABvAFMAbwBpAGwAcwBTAGMAbwBwAGUAMwBfAE4ASQBSAFIAZQBmAGUAcgBlAG4AYwBlACIALAAiAE0ATQBTAF8ARABhAGkAcgB5AF8ATQBhAG4AdQByAGUAQQBwAHAAbABpAGUAZABUAG8AUwBvAGkAbABzAF8ARQBxAHUAYQB0AGkAbwBuAHMALgBWAEUARQBSAEcAXwA0AF8AMwBfADEAXwA4AF8AXwAyAF8ATQBhAHMAcwBPAGYATgBpAHQAcgBvAGcAZQBuAEEAcABwAGwAaQBlAGQAVABvAFMAbwBpAGwAcwBTAGMAbwBwAGUAMwBfAEwAYQB0AGUAeABFAHEAdQBhAHQAaQBvAG4AIgAsACIATQBNAFMAXwBEAGEAaQByAHkAXwBNAGEAbgB1AHIAZQBBAHAAcABsAGkAZQBkAFQAbwBTAG8AaQBsAHMAXwBFAHEAdQBhAHQAaQBvAG4AcwAuAFYARQBFAFIARwBfADQAXwAzAF8AMQBfADgAXwBfADIAXwBNAGEAcwBzAE8AZgBOAGkAdAByAG8AZwBlAG4AQQBwAHAAbABpAGUAZABUAG8AUwBvAGkAbABzAFMAYwBvAHAAZQAzAF8AQQByAGcAdQBtAGUAbgB0AHMAIgAsACIATQBNAFMAXwBEAGEAaQByAHkAXwBNAGUAdABoAGEAbgBlAF8ARQBxAHUAYQB0AGkAbwBuAHMALgBWAEUARQBSAEcAXwA0AF8AMwBfADEAXwAxAF8AXwAxAF8AVABvAHQAYQBsAEEAbgBuAHUAYQBsAE0AZQB0AGgAYQBuAGUARgByAG8AbQBNAGEAbgB1AHIAZQBNAGEAbgBhAGcAZQBtAGUAbgB0ACIALAAiAE0ATQBTAF8ARABhAGkAcgB5AF8ATQBlAHQAaABhAG4AZQBfAEUAcQB1AGEAdABpAG8AbgBzAC4AVgBFAEUAUgBHAF8ANABfADMAXwAxAF8AMQBfAF8AMQBfAFQAbwB0AGEAbABBAG4AbgB1AGEAbABNAGUAdABoAGEAbgBlAEYAcgBvAG0ATQBhAG4AdQByAGUATQBhAG4AYQBnAGUAbQBlAG4AdABWAGEAcgBpAGEAdABpAG8AbgAiACwAIgBNAE0AUwBfAEQAYQBpAHIAeQBfAE0AZQB0AGgAYQBuAGUAXwBFAHEAdQBhAHQAaQBvAG4AcwAuAFYARQBFAFIARwBfADQAXwAzAF8AMQBfADEAXwBfADEAXwBUAG8AdABhAGwAQQBuAG4AdQBhAGwATQBlAHQAaABhAG4AZQBGAHIAbwBtAE0AYQBuAHUAcgBlAE0AYQBuAGEAZwBlAG0AZQBuAHQAXwBUAGkAdABsAGUAIgAsACIATQBNAFMAXwBEAGEAaQByAHkAXwBNAGUAdABoAGEAbgBlAF8ARQBxAHUAYQB0AGkAbwBuAHMALgBWAEUARQBSAEcAXwA0AF8AMwBfADEAXwAxAF8AXwAxAF8AVABvAHQAYQBsAEEAbgBuAHUAYQBsAE0AZQB0AGgAYQBuAGUARgByAG8AbQBNAGEAbgB1AHIAZQBNAGEAbgBhAGcAZQBtAGUAbgB0AF8AVgBhAHIAaQBhAGIAbABlACIALAAiAE0ATQBTAF8ARABhAGkAcgB5AF8ATQBlAHQAaABhAG4AZQBfAEUAcQB1AGEAdABpAG8AbgBzAC4AVgBFAEUAUgBHAF8ANABfADMAXwAxAF8AMQBfAF8AMQBfAFQAbwB0AGEAbABBAG4AbgB1AGEAbABNAGUAdABoAGEAbgBlAEYAcgBvAG0ATQBhAG4AdQByAGUATQBhAG4AYQBnAGUAbQBlAG4AdABfAFUAbgBpAHQAIgAsACIATQBNAFMAXwBEAGEAaQByAHkAXwBNAGUAdABoAGEAbgBlAF8ARQBxAHUAYQB0AGkAbwBuAHMALgBWAEUARQBSAEcAXwA0AF8AMwBfADEAXwAxAF8AXwAxAF8AVABvAHQAYQBsAEEAbgBuAHUAYQBsAE0AZQB0AGgAYQBuAGUARgByAG8AbQBNAGEAbgB1AHIAZQBNAGEAbgBhAGcAZQBtAGUAbgB0AF8AUwBvAHUAcgBjAGUAIgAsACIATQBNAFMAXwBEAGEAaQByAHkAXwBNAGUAdABoAGEAbgBlAF8ARQBxAHUAYQB0AGkAbwBuAHMALgBWAEUARQBSAEcAXwA0AF8AMwBfADEAXwAxAF8AXwAxAF8AVABvAHQAYQBsAEEAbgBuAHUAYQBsAE0AZQB0AGgAYQBuAGUARgByAG8AbQBNAGEAbgB1AHIAZQBNAGEAbgBhAGcAZQBtAGUAbgB0AF8ATgBJAFIAUgBlAGYAZQByAGUAbgBjAGUAIgAsACIATQBNAFMAXwBEAGEAaQByAHkAXwBNAGUAdABoAGEAbgBlAF8ARQBxAHUAYQB0AGkAbwBuAHMALgBWAEUARQBSAEcAXwA0AF8AMwBfADEAXwAxAF8AXwAxAF8AVABvAHQAYQBsAEEAbgBuAHUAYQBsAE0AZQB0AGgAYQBuAGUARgByAG8AbQBNAGEAbgB1AHIAZQBNAGEAbgBhAGcAZQBtAGUAbgB0AF8ATABhAHQAZQB4AEUAcQB1AGEAdABpAG8AbgAiACwAIgBNAE0AUwBfAEQAYQBpAHIAeQBfAE0AZQB0AGgAYQBuAGUAXwBFAHEAdQBhAHQAaQBvAG4AcwAuAFYARQBFAFIARwBfADQAXwAzAF8AMQBfADEAXwBfADEAXwBUAG8AdABhAGwAQQBuAG4AdQBhAGwATQBlAHQAaABhAG4AZQBGAHIAbwBtAE0AYQBuAHUAcgBlAE0AYQBuAGEAZwBlAG0AZQBuAHQAXwBMAGEAdABlAHgARQBxAHUAYQB0AGkAbwBuAFYAYQByAGkAYQB0AGkAbwBuACIALAAiAE0ATQBTAF8ARABhAGkAcgB5AF8ATQBlAHQAaABhAG4AZQBfAEUAcQB1AGEAdABpAG8AbgBzAC4AVgBFAEUAUgBHAF8ANABfADMAXwAxAF8AMQBfAF8AMQBfAFQAbwB0AGEAbABBAG4AbgB1AGEAbABNAGUAdABoAGEAbgBlAEYAcgBvAG0ATQBhAG4AdQByAGUATQBhAG4AYQBnAGUAbQBlAG4AdABfAEEAcgBnAHUAbQBlAG4AdABzACIALAAiAE0ATQBTAF8ARABhAGkAcgB5AF8ATQBlAHQAaABhAG4AZQBfAEUAcQB1AGEAdABpAG8AbgBzAC4AVgBFAEUAUgBHAF8ANABfADMAXwAxAF8AMQBfAF8AMQBfAFQAbwB0AGEAbABBAG4AbgB1AGEAbABNAGUAdABoAGEAbgBlAEYAcgBvAG0ATQBhAG4AdQByAGUATQBhAG4AYQBnAGUAbQBlAG4AdABfAFYAYQByAGkAYQB0AGkAbwBuACIALAAiAE0ATQBTAF8ARABhAGkAcgB5AF8ATQBlAHQAaABhAG4AZQBfAEUAcQB1AGEAdABpAG8AbgBzAC4AVgBFAEUAUgBHAF8ANABfADMAXwAxAF8AMQBfAF8AMgBfAE0AZQB0AGgAYQBuAGUARgByAG8AbQBNAGEAbgB1AHIAZQBQAHIAbwBkAHUAYwB0AGkAbwBuACIALAAiAE0ATQBTAF8ARABhAGkAcgB5AF8ATQBlAHQAaABhAG4AZQBfAEUAcQB1AGEAdABpAG8AbgBzAC4AVgBFAEUAUgBHAF8ANABfADMAXwAxAF8AMQBfAF8AMgBfAE0AZQB0AGgAYQBuAGUARgByAG8AbQBNAGEAbgB1AHIAZQBQAHIAbwBkAHUAYwB0AGkAbwBuAF8AVABpAHQAbABlACIALAAiAE0ATQBTAF8ARABhAGkAcgB5AF8ATQBlAHQAaABhAG4AZQBfAEUAcQB1AGEAdABpAG8AbgBzAC4AVgBFAEUAUgBHAF8ANABfADMAXwAxAF8AMQBfAF8AMgBfAE0AZQB0AGgAYQBuAGUARgByAG8AbQBNAGEAbgB1AHIAZQBQAHIAbwBkAHUAYwB0AGkAbwBuAF8AVgBhAHIAaQBhAGIAbABlACIALAAiAE0ATQBTAF8ARABhAGkAcgB5AF8ATQBlAHQAaABhAG4AZQBfAEUAcQB1AGEAdABpAG8AbgBzAC4AVgBFAEUAUgBHAF8ANABfADMAXwAxAF8AMQBfAF8AMgBfAE0AZQB0AGgAYQBuAGUARgByAG8AbQBNAGEAbgB1AHIAZQBQAHIAbwBkAHUAYwB0AGkAbwBuAF8AVQBuAGkAdAAiACwAIgBNAE0AUwBfAEQAYQBpAHIAeQBfAE0AZQB0AGgAYQBuAGUAXwBFAHEAdQBhAHQAaQBvAG4AcwAuAFYARQBFAFIARwBfADQAXwAzAF8AMQBfADEAXwBfADIAXwBNAGUAdABoAGEAbgBlAEYAcgBvAG0ATQBhAG4AdQByAGUAUAByAG8AZAB1AGMAdABpAG8AbgBfAFMAbwB1AHIAYwBlACIALAAiAE0ATQBTAF8ARABhAGkAcgB5AF8ATQBlAHQAaABhAG4AZQBfAEUAcQB1AGEAdABpAG8AbgBzAC4AVgBFAEUAUgBHAF8ANABfADMAXwAxAF8AMQBfAF8AMgBfAE0AZQB0AGgAYQBuAGUARgByAG8AbQBNAGEAbgB1AHIAZQBQAHIAbwBkAHUAYwB0AGkAbwBuAF8ATgBJAFIAUgBlAGYAZQByAGUAbgBjAGUAIgAsACIATQBNAFMAXwBEAGEAaQByAHkAXwBNAGUAdABoAGEAbgBlAF8ARQBxAHUAYQB0AGkAbwBuAHMALgBWAEUARQBSAEcAXwA0AF8AMwBfADEAXwAxAF8AXwAyAF8ATQBlAHQAaABhAG4AZQBGAHIAbwBtAE0AYQBuAHUAcgBlAFAAcgBvAGQAdQBjAHQAaQBvAG4AXwBMAGEAdABlAHgARQBxAHUAYQB0AGkAbwBuACIALAAiAE0ATQBTAF8ARABhAGkAcgB5AF8ATQBlAHQAaABhAG4AZQBfAEUAcQB1AGEAdABpAG8AbgBzAC4AVgBFAEUAUgBHAF8ANABfADMAXwAxAF8AMQBfAF8AMgBfAE0AZQB0AGgAYQBuAGUARgByAG8AbQBNAGEAbgB1AHIAZQBQAHIAbwBkAHUAYwB0AGkAbwBuAF8AQQByAGcAdQBtAGUAbgB0AHMAIgAsACIATQBNAFMAXwBEAGEAaQByAHkAXwBNAGUAdABoAGEAbgBlAF8ARQBxAHUAYQB0AGkAbwBuAHMALgBWAEUARQBSAEcAXwA0AF8AMwBfADEAXwAxAF8AXwAzAF8AVgBvAGwAYQB0AGkAbABlAFMAbwBsAGkAZABzAEYAbwByAFcAZQBhAG4AZQBkAEQAYQBpAHIAeQBDAGEAdAB0AGwAZQAiACwAIgBNAE0AUwBfAEQAYQBpAHIAeQBfAE0AZQB0AGgAYQBuAGUAXwBFAHEAdQBhAHQAaQBvAG4AcwAuAFYARQBFAFIARwBfADQAXwAzAF8AMQBfADEAXwBfADMAXwBWAG8AbABhAHQAaQBsAGUAUwBvAGwAaQBkAHMARgBvAHIAVwBlAGEAbgBlAGQARABhAGkAcgB5AEMAYQB0AHQAbABlAF8AVABpAHQAbABlACIALAAiAE0ATQBTAF8ARABhAGkAcgB5AF8ATQBlAHQAaABhAG4AZQBfAEUAcQB1AGEAdABpAG8AbgBzAC4AVgBFAEUAUgBHAF8ANABfADMAXwAxAF8AMQBfAF8AMwBfAFYAbwBsAGEAdABpAGwAZQBTAG8AbABpAGQAcwBGAG8AcgBXAGUAYQBuAGUAZABEAGEAaQByAHkAQwBhAHQAdABsAGUAXwBWAGEAcgBpAGEAYgBsAGUAIgAsACIATQBNAFMAXwBEAGEAaQByAHkAXwBNAGUAdABoAGEAbgBlAF8ARQBxAHUAYQB0AGkAbwBuAHMALgBWAEUARQBSAEcAXwA0AF8AMwBfADEAXwAxAF8AXwAzAF8AVgBvAGwAYQB0AGkAbABlAFMAbwBsAGkAZABzAEYAbwByAFcAZQBhAG4AZQBkAEQAYQBpAHIAeQBDAGEAdAB0AGwAZQBfAFUAbgBpAHQAIgAsACIATQBNAFMAXwBEAGEAaQByAHkAXwBNAGUAdABoAGEAbgBlAF8ARQBxAHUAYQB0AGkAbwBuAHMALgBWAEUARQBSAEcAXwA0AF8AMwBfADEAXwAxAF8AXwAzAF8AVgBvAGwAYQB0AGkAbABlAFMAbwBsAGkAZABzAEYAbwByAFcAZQBhAG4AZQBkAEQAYQBpAHIAeQBDAGEAdAB0AGwAZQBfAFMAbwB1AHIAYwBlACIALAAiAE0ATQBTAF8ARABhAGkAcgB5AF8ATQBlAHQAaABhAG4AZQBfAEUAcQB1AGEAdABpAG8AbgBzAC4AVgBFAEUAUgBHAF8ANABfADMAXwAxAF8AMQBfAF8AMwBfAFYAbwBsAGEAdABpAGwAZQBTAG8AbABpAGQAcwBGAG8AcgBXAGUAYQBuAGUAZABEAGEAaQByAHkAQwBhAHQAdABsAGUAXwBOAEkAUgBSAGUAZgBlAHIAZQBuAGMAZQAiACwAIgBNAE0AUwBfAEQAYQBpAHIAeQBfAE0AZQB0AGgAYQBuAGUAXwBFAHEAdQBhAHQAaQBvAG4AcwAuAFYARQBFAFIARwBfADQAXwAzAF8AMQBfADEAXwBfADMAXwBWAG8AbABhAHQAaQBsAGUAUwBvAGwAaQBkAHMARgBvAHIAVwBlAGEAbgBlAGQARABhAGkAcgB5AEMAYQB0AHQAbABlAF8ATABhAHQAZQB4AEUAcQB1AGEAdABpAG8AbgAiACwAIgBNAE0AUwBfAEQAYQBpAHIAeQBfAE0AZQB0AGgAYQBuAGUAXwBFAHEAdQBhAHQAaQBvAG4AcwAuAFYARQBFAFIARwBfADQAXwAzAF8AMQBfADEAXwBfADMAXwBWAG8AbABhAHQAaQBsAGUAUwBvAGwAaQBkAHMARgBvAHIAVwBlAGEAbgBlAGQARABhAGkAcgB5AEMAYQB0AHQAbABlAF8AQQByAGcAdQBtAGUAbgB0AHMAIgAsACIATQBNAFMAXwBEAGEAaQByAHkAXwBNAGUAdABoAGEAbgBlAF8ARQBxAHUAYQB0AGkAbwBuAHMALgBWAEUARQBSAEcAXwA0AF8AMwBfADEAXwAxAF8AXwA0AF8ARgByAGEAYwB0AGkAbwBuAFYAbwBsAGEAdABpAGwAZQBTAG8AbABpAGQAcwBOAG8AdABTAG8AbABpAGQAUwB0AG8AcgBhAGcAZQAiACwAIgBNAE0AUwBfAEQAYQBpAHIAeQBfAE0AZQB0AGgAYQBuAGUAXwBFAHEAdQBhAHQAaQBvAG4AcwAuAFYARQBFAFIARwBfADQAXwAzAF8AMQBfADEAXwBfADQAXwBGAHIAYQBjAHQAaQBvAG4AVgBvAGwAYQB0AGkAbABlAFMAbwBsAGkAZABzAE4AbwB0AFMAbwBsAGkAZABTAHQAbwByAGEAZwBlAF8AVABpAHQAbABlACIALAAiAE0ATQBTAF8ARABhAGkAcgB5AF8ATQBlAHQAaABhAG4AZQBfAEUAcQB1AGEAdABpAG8AbgBzAC4AVgBFAEUAUgBHAF8ANABfADMAXwAxAF8AMQBfAF8ANABfAEYAcgBhAGMAdABpAG8AbgBWAG8AbABhAHQAaQBsAGUAUwBvAGwAaQBkAHMATgBvAHQAUwBvAGwAaQBkAFMAdABvAHIAYQBnAGUAXwBWAGEAcgBpAGEAYgBsAGUAIgAsACIATQBNAFMAXwBEAGEAaQByAHkAXwBNAGUAdABoAGEAbgBlAF8ARQBxAHUAYQB0AGkAbwBuAHMALgBWAEUARQBSAEcAXwA0AF8AMwBfADEAXwAxAF8AXwA0AF8ARgByAGEAYwB0AGkAbwBuAFYAbwBsAGEAdABpAGwAZQBTAG8AbABpAGQAcwBOAG8AdABTAG8AbABpAGQAUwB0AG8AcgBhAGcAZQBfAFUAbgBpAHQAIgAsACIATQBNAFMAXwBEAGEAaQByAHkAXwBNAGUAdABoAGEAbgBlAF8ARQBxAHUAYQB0AGkAbwBuAHMALgBWAEUARQBSAEcAXwA0AF8AMwBfADEAXwAxAF8AXwA0AF8ARgByAGEAYwB0AGkAbwBuAFYAbwBsAGEAdABpAGwAZQBTAG8AbABpAGQAcwBOAG8AdABTAG8AbABpAGQAUwB0AG8AcgBhAGcAZQBfAFMAbwB1AHIAYwBlACIALAAiAE0ATQBTAF8ARABhAGkAcgB5AF8ATQBlAHQAaABhAG4AZQBfAEUAcQB1AGEAdABpAG8AbgBzAC4AVgBFAEUAUgBHAF8ANABfADMAXwAxAF8AMQBfAF8ANABfAEYAcgBhAGMAdABpAG8AbgBWAG8AbABhAHQAaQBsAGUAUwBvAGwAaQBkAHMATgBvAHQAUwBvAGwAaQBkAFMAdABvAHIAYQBnAGUAXwBOAEkAUgBSAGUAZgBlAHIAZQBuAGMAZQAiACwAIgBNAE0AUwBfAEQAYQBpAHIAeQBfAE0AZQB0AGgAYQBuAGUAXwBFAHEAdQBhAHQAaQBvAG4AcwAuAFYARQBFAFIARwBfADQAXwAzAF8AMQBfADEAXwBfADQAXwBGAHIAYQBjAHQAaQBvAG4AVgBvAGwAYQB0AGkAbABlAFMAbwBsAGkAZABzAE4AbwB0AFMAbwBsAGkAZABTAHQAbwByAGEAZwBlAF8ATABhAHQAZQB4AEUAcQB1AGEAdABpAG8AbgAiACwAIgBNAE0AUwBfAEQAYQBpAHIAeQBfAE0AZQB0AGgAYQBuAGUAXwBFAHEAdQBhAHQAaQBvAG4AcwAuAFYARQBFAFIARwBfADQAXwAzAF8AMQBfADEAXwBfADQAXwBGAHIAYQBjAHQAaQBvAG4AVgBvAGwAYQB0AGkAbABlAFMAbwBsAGkAZABzAE4AbwB0AFMAbwBsAGkAZABTAHQAbwByAGEAZwBlAF8AQQByAGcAdQBtAGUAbgB0AHMAIgAsACIATQBNAFMAXwBEAGEAaQByAHkAXwBNAGUAdABoAGEAbgBlAF8ARQBxAHUAYQB0AGkAbwBuAHMALgBWAEUARQBSAEcAXwA0AF8AMwBfADEAXwAxAF8AXwA1AF8ARgByAGEAYwB0AGkAbwBuAFYAbwBsAGEAdABpAGwAZQBTAG8AbABpAGQAcwBTAG8AbABpAGQAUwB0AG8AcgBhAGcAZQAiACwAIgBNAE0AUwBfAEQAYQBpAHIAeQBfAE0AZQB0AGgAYQBuAGUAXwBFAHEAdQBhAHQAaQBvAG4AcwAuAFYARQBFAFIARwBfADQAXwAzAF8AMQBfADEAXwBfADUAXwBGAHIAYQBjAHQAaQBvAG4AVgBvAGwAYQB0AGkAbABlAFMAbwBsAGkAZABzAFMAbwBsAGkAZABTAHQAbwByAGEAZwBlAFYAYQByAGkAYQB0AGkAbwBuACIALAAiAE0ATQBTAF8ARABhAGkAcgB5AF8ATQBlAHQAaABhAG4AZQBfAEUAcQB1AGEAdABpAG8AbgBzAC4AVgBFAEUAUgBHAF8ANABfADMAXwAxAF8AMQBfAF8ANQBfAEYAcgBhAGMAdABpAG8AbgBWAG8AbABhAHQAaQBsAGUAUwBvAGwAaQBkAHMAUwBvAGwAaQBkAFMAdABvAHIAYQBnAGUAXwBUAGkAdABsAGUAIgAsACIATQBNAFMAXwBEAGEAaQByAHkAXwBNAGUAdABoAGEAbgBlAF8ARQBxAHUAYQB0AGkAbwBuAHMALgBWAEUARQBSAEcAXwA0AF8AMwBfADEAXwAxAF8AXwA1AF8ARgByAGEAYwB0AGkAbwBuAFYAbwBsAGEAdABpAGwAZQBTAG8AbABpAGQAcwBTAG8AbABpAGQAUwB0AG8AcgBhAGcAZQBfAFYAYQByAGkAYQBiAGwAZQAiACwAIgBNAE0AUwBfAEQAYQBpAHIAeQBfAE0AZQB0AGgAYQBuAGUAXwBFAHEAdQBhAHQAaQBvAG4AcwAuAFYARQBFAFIARwBfADQAXwAzAF8AMQBfADEAXwBfADUAXwBGAHIAYQBjAHQAaQBvAG4AVgBvAGwAYQB0AGkAbABlAFMAbwBsAGkAZABzAFMAbwBsAGkAZABTAHQAbwByAGEAZwBlAF8AVQBuAGkAdAAiACwAIgBNAE0AUwBfAEQAYQBpAHIAeQBfAE0AZQB0AGgAYQBuAGUAXwBFAHEAdQBhAHQAaQBvAG4AcwAuAFYARQBFAFIARwBfADQAXwAzAF8AMQBfADEAXwBfADUAXwBGAHIAYQBjAHQAaQBvAG4AVgBvAGwAYQB0AGkAbABlAFMAbwBsAGkAZABzAFMAbwBsAGkAZABTAHQAbwByAGEAZwBlAF8AUwBvAHUAcgBjAGUAIgAsACIATQBNAFMAXwBEAGEAaQByAHkAXwBNAGUAdABoAGEAbgBlAF8ARQBxAHUAYQB0AGkAbwBuAHMALgBWAEUARQBSAEcAXwA0AF8AMwBfADEAXwAxAF8AXwA1AF8ARgByAGEAYwB0AGkAbwBuAFYAbwBsAGEAdABpAGwAZQBTAG8AbABpAGQAcwBTAG8AbABpAGQAUwB0AG8AcgBhAGcAZQBfAE4ASQBSAFIAZQBmAGUAcgBlAG4AYwBlACIALAAiAE0ATQBTAF8ARABhAGkAcgB5AF8ATQBlAHQAaABhAG4AZQBfAEUAcQB1AGEAdABpAG8AbgBzAC4AVgBFAEUAUgBHAF8ANABfADMAXwAxAF8AMQBfAF8ANQBfAEYAcgBhAGMAdABpAG8AbgBWAG8AbABhAHQAaQBsAGUAUwBvAGwAaQBkAHMAUwBvAGwAaQBkAFMAdABvAHIAYQBnAGUAXwBMAGEAdABlAHgARQBxAHUAYQB0AGkAbwBuACIALAAiAE0ATQBTAF8ARABhAGkAcgB5AF8ATQBlAHQAaABhAG4AZQBfAEUAcQB1AGEAdABpAG8AbgBzAC4AVgBFAEUAUgBHAF8ANABfADMAXwAxAF8AMQBfAF8ANQBfAEYAcgBhAGMAdABpAG8AbgBWAG8AbABhAHQAaQBsAGUAUwBvAGwAaQBkAHMAUwBvAGwAaQBkAFMAdABvAHIAYQBnAGUAXwBMAGEAdABlAHgARQBxAHUAYQB0AGkAbwBuAFYAYQByAGkAYQB0AGkAbwBuACIALAAiAE0ATQBTAF8ARABhAGkAcgB5AF8ATQBlAHQAaABhAG4AZQBfAEUAcQB1AGEAdABpAG8AbgBzAC4AVgBFAEUAUgBHAF8ANABfADMAXwAxAF8AMQBfAF8ANQBfAEYAcgBhAGMAdABpAG8AbgBWAG8AbABhAHQAaQBsAGUAUwBvAGwAaQBkAHMAUwBvAGwAaQBkAFMAdABvAHIAYQBnAGUAXwBBAHIAZwB1AG0AZQBuAHQAcwAiACwAIgBNAE0AUwBfAEQAYQBpAHIAeQBfAE0AZQB0AGgAYQBuAGUAXwBFAHEAdQBhAHQAaQBvAG4AcwAuAFYARQBFAFIARwBfADQAXwAzAF8AMQBfADEAXwBfADUAXwBGAHIAYQBjAHQAaQBvAG4AVgBvAGwAYQB0AGkAbABlAFMAbwBsAGkAZABzAFMAbwBsAGkAZABTAHQAbwByAGEAZwBlAF8AVgBhAHIAaQBhAHQAaQBvAG4AIgAsACIATQBNAFMAXwBEAGEAaQByAHkAXwBOADIATwBEAGkAcgBlAGMAdABfAEUAcQB1AGEAdABpAG8AbgBzAC4AVgBFAEUAUgBHAF8ANABfADMAXwAxAF8AMwBfAF8AMQBfAFQAbwB0AGEAbABBAG4AbgB1AGEAbABEAGkAcgBlAGMAdABOAGkAdAByAG8AdQBzAE8AeABpAGQAZQBFAG0AaQBzAHMAaQBvAG4AcwBGAHIAbwBtAE0ATQBTACIALAAiAE0ATQBTAF8ARABhAGkAcgB5AF8ATgAyAE8ARABpAHIAZQBjAHQAXwBFAHEAdQBhAHQAaQBvAG4AcwAuAFYARQBFAFIARwBfADQAXwAzAF8AMQBfADMAXwBfADEAXwBUAG8AdABhAGwAQQBuAG4AdQBhAGwARABpAHIAZQBjAHQATgBpAHQAcgBvAHUAcwBPAHgAaQBkAGUARQBtAGkAcwBzAGkAbwBuAHMARgByAG8AbQBNAE0AUwBfAFQAaQB0AGwAZQAiACwAIgBNAE0AUwBfAEQAYQBpAHIAeQBfAE4AMgBPAEQAaQByAGUAYwB0AF8ARQBxAHUAYQB0AGkAbwBuAHMALgBWAEUARQBSAEcAXwA0AF8AMwBfADEAXwAzAF8AXwAxAF8AVABvAHQAYQBsAEEAbgBuAHUAYQBsAEQAaQByAGUAYwB0AE4AaQB0AHIAbwB1AHMATwB4AGkAZABlAEUAbQBpAHMAcwBpAG8AbgBzAEYAcgBvAG0ATQBNAFMAXwBWAGEAcgBpAGEAYgBsAGUAIgAsACIATQBNAFMAXwBEAGEAaQByAHkAXwBOADIATwBEAGkAcgBlAGMAdABfAEUAcQB1AGEAdABpAG8AbgBzAC4AVgBFAEUAUgBHAF8ANABfADMAXwAxAF8AMwBfAF8AMQBfAFQAbwB0AGEAbABBAG4AbgB1AGEAbABEAGkAcgBlAGMAdABOAGkAdAByAG8AdQBzAE8AeABpAGQAZQBFAG0AaQBzAHMAaQBvAG4AcwBGAHIAbwBtAE0ATQBTAF8AVQBuAGkAdAAiACwAIgBNAE0AUwBfAEQAYQBpAHIAeQBfAE4AMgBPAEQAaQByAGUAYwB0AF8ARQBxAHUAYQB0AGkAbwBuAHMALgBWAEUARQBSAEcAXwA0AF8AMwBfADEAXwAzAF8AXwAxAF8AVABvAHQAYQBsAEEAbgBuAHUAYQBsAEQAaQByAGUAYwB0AE4AaQB0AHIAbwB1AHMATwB4AGkAZABlAEUAbQBpAHMAcwBpAG8AbgBzAEYAcgBvAG0ATQBNAFMAXwBTAG8AdQByAGMAZQAiACwAIgBNAE0AUwBfAEQAYQBpAHIAeQBfAE4AMgBPAEQAaQByAGUAYwB0AF8ARQBxAHUAYQB0AGkAbwBuAHMALgBWAEUARQBSAEcAXwA0AF8AMwBfADEAXwAzAF8AXwAxAF8AVABvAHQAYQBsAEEAbgBuAHUAYQBsAEQAaQByAGUAYwB0AE4AaQB0AHIAbwB1AHMATwB4AGkAZABlAEUAbQBpAHMAcwBpAG8AbgBzAEYAcgBvAG0ATQBNAFMAXwBOAEkAUgBSAGUAZgBlAHIAZQBuAGMAZQAiACwAIgBNAE0AUwBfAEQAYQBpAHIAeQBfAE4AMgBPAEQAaQByAGUAYwB0AF8ARQBxAHUAYQB0AGkAbwBuAHMALgBWAEUARQBSAEcAXwA0AF8AMwBfADEAXwAzAF8AXwAxAF8AVABvAHQAYQBsAEEAbgBuAHUAYQBsAEQAaQByAGUAYwB0AE4AaQB0AHIAbwB1AHMATwB4AGkAZABlAEUAbQBpAHMAcwBpAG8AbgBzAEYAcgBvAG0ATQBNAFMAXwBMAGEAdABlAHgARQBxAHUAYQB0AGkAbwBuACIALAAiAE0ATQBTAF8ARABhAGkAcgB5AF8ATgAyAE8ARABpAHIAZQBjAHQAXwBFAHEAdQBhAHQAaQBvAG4AcwAuAFYARQBFAFIARwBfADQAXwAzAF8AMQBfADMAXwBfADEAXwBUAG8AdABhAGwAQQBuAG4AdQBhAGwARABpAHIAZQBjAHQATgBpAHQAcgBvAHUAcwBPAHgAaQBkAGUARQBtAGkAcwBzAGkAbwBuAHMARgByAG8AbQBNAE0AUwBfAEEAcgBnAHUAbQBlAG4AdABzACIALAAiAE0ATQBTAF8ARABhAGkAcgB5AF8ATgAyAE8ARABpAHIAZQBjAHQAXwBFAHEAdQBhAHQAaQBvAG4AcwAuAFYARQBFAFIARwBfADQAXwAzAF8AMQBfADMAXwBfADIAXwBUAG8AdABhAGwATgBpAHQAcgBvAGcAZQBuAEkAbgBFAGEAYwBoAE0ATQBTACIALAAiAE0ATQBTAF8ARABhAGkAcgB5AF8ATgAyAE8ARABpAHIAZQBjAHQAXwBFAHEAdQBhAHQAaQBvAG4AcwAuAFYARQBFAFIARwBfADQAXwAzAF8AMQBfADMAXwBfADIAXwBUAG8AdABhAGwATgBpAHQAcgBvAGcAZQBuAEkAbgBFAGEAYwBoAE0ATQBTAF8AVABpAHQAbABlACIALAAiAE0ATQBTAF8ARABhAGkAcgB5AF8ATgAyAE8ARABpAHIAZQBjAHQAXwBFAHEAdQBhAHQAaQBvAG4AcwAuAFYARQBFAFIARwBfADQAXwAzAF8AMQBfADMAXwBfADIAXwBUAG8AdABhAGwATgBpAHQAcgBvAGcAZQBuAEkAbgBFAGEAYwBoAE0ATQBTAF8AVgBhAHIAaQBhAGIAbABlACIALAAiAE0ATQBTAF8ARABhAGkAcgB5AF8ATgAyAE8ARABpAHIAZQBjAHQAXwBFAHEAdQBhAHQAaQBvAG4AcwAuAFYARQBFAFIARwBfADQAXwAzAF8AMQBfADMAXwBfADIAXwBUAG8AdABhAGwATgBpAHQAcgBvAGcAZQBuAEkAbgBFAGEAYwBoAE0ATQBTAF8AVQBuAGkAdAAiACwAIgBNAE0AUwBfAEQAYQBpAHIAeQBfAE4AMgBPAEQAaQByAGUAYwB0AF8ARQBxAHUAYQB0AGkAbwBuAHMALgBWAEUARQBSAEcAXwA0AF8AMwBfADEAXwAzAF8AXwAyAF8AVABvAHQAYQBsAE4AaQB0AHIAbwBnAGUAbgBJAG4ARQBhAGMAaABNAE0AUwBfAFMAbwB1AHIAYwBlACIALAAiAE0ATQBTAF8ARABhAGkAcgB5AF8ATgAyAE8ARABpAHIAZQBjAHQAXwBFAHEAdQBhAHQAaQBvAG4AcwAuAFYARQBFAFIARwBfADQAXwAzAF8AMQBfADMAXwBfADIAXwBUAG8AdABhAGwATgBpAHQAcgBvAGcAZQBuAEkAbgBFAGEAYwBoAE0ATQBTAF8ATgBJAFIAUgBlAGYAZQByAGUAbgBjAGUAIgAsACIATQBNAFMAXwBEAGEAaQByAHkAXwBOADIATwBEAGkAcgBlAGMAdABfAEUAcQB1AGEAdABpAG8AbgBzAC4AVgBFAEUAUgBHAF8ANABfADMAXwAxAF8AMwBfAF8AMgBfAFQAbwB0AGEAbABOAGkAdAByAG8AZwBlAG4ASQBuAEUAYQBjAGgATQBNAFMAXwBMAGEAdABlAHgARQBxAHUAYQB0AGkAbwBuACIALAAiAE0ATQBTAF8ARABhAGkAcgB5AF8ATgAyAE8ARABpAHIAZQBjAHQAXwBFAHEAdQBhAHQAaQBvAG4AcwAuAFYARQBFAFIARwBfADQAXwAzAF8AMQBfADMAXwBfADIAXwBUAG8AdABhAGwATgBpAHQAcgBvAGcAZQBuAEkAbgBFAGEAYwBoAE0ATQBTAF8AQQByAGcAdQBtAGUAbgB0AHMAIgAsACIATQBNAFMAXwBEAGEAaQByAHkAXwBOADIATwBEAGkAcgBlAGMAdABfAEUAcQB1AGEAdABpAG8AbgBzAC4AVgBFAEUAUgBHAF8ANABfADMAXwAxAF8AMwBfAF8AMwBhAF8AVABvAHQAYQBsAEEAbgBuAHUAYQBsAE4AaQB0AHIAbwBnAGUAbgBFAHgAYwByAGUAdABlAGQARwByAGUAYQB0AGUAcgBUAGgAYQBuAE8AbgBlAFkAZQBhAHIAIgAsACIATQBNAFMAXwBEAGEAaQByAHkAXwBOADIATwBEAGkAcgBlAGMAdABfAEUAcQB1AGEAdABpAG8AbgBzAC4AVgBFAEUAUgBHAF8ANABfADMAXwAxAF8AMwBfAF8AMwBhAF8AVABvAHQAYQBsAEEAbgBuAHUAYQBsAE4AaQB0AHIAbwBnAGUAbgBFAHgAYwByAGUAdABlAGQARwByAGUAYQB0AGUAcgBUAGgAYQBuAE8AbgBlAFkAZQBhAHIAVgBhAHIAaQBhAHQAaQBvAG4AIgAsACIATQBNAFMAXwBEAGEAaQByAHkAXwBOADIATwBEAGkAcgBlAGMAdABfAEUAcQB1AGEAdABpAG8AbgBzAC4AVgBFAEUAUgBHAF8ANABfADMAXwAxAF8AMwBfAF8AMwBhAF8AVABvAHQAYQBsAEEAbgBuAHUAYQBsAE4AaQB0AHIAbwBnAGUAbgBFAHgAYwByAGUAdABlAGQARwByAGUAYQB0AGUAcgBUAGgAYQBuAE8AbgBlAFkAZQBhAHIAXwBUAGkAdABsAGUAIgAsACIATQBNAFMAXwBEAGEAaQByAHkAXwBOADIATwBEAGkAcgBlAGMAdABfAEUAcQB1AGEAdABpAG8AbgBzAC4AVgBFAEUAUgBHAF8ANABfADMAXwAxAF8AMwBfAF8AMwBhAF8AVABvAHQAYQBsAEEAbgBuAHUAYQBsAE4AaQB0AHIAbwBnAGUAbgBFAHgAYwByAGUAdABlAGQARwByAGUAYQB0AGUAcgBUAGgAYQBuAE8AbgBlAFkAZQBhAHIAXwBWAGEAcgBpAGEAYgBsAGUAIgAsACIATQBNAFMAXwBEAGEAaQByAHkAXwBOADIATwBEAGkAcgBlAGMAdABfAEUAcQB1AGEAdABpAG8AbgBzAC4AVgBFAEUAUgBHAF8ANABfADMAXwAxAF8AMwBfAF8AMwBhAF8AVABvAHQAYQBsAEEAbgBuAHUAYQBsAE4AaQB0AHIAbwBnAGUAbgBFAHgAYwByAGUAdABlAGQARwByAGUAYQB0AGUAcgBUAGgAYQBuAE8AbgBlAFkAZQBhAHIAXwBVAG4AaQB0ACIALAAiAE0ATQBTAF8ARABhAGkAcgB5AF8ATgAyAE8ARABpAHIAZQBjAHQAXwBFAHEAdQBhAHQAaQBvAG4AcwAuAFYARQBFAFIARwBfADQAXwAzAF8AMQBfADMAXwBfADMAYQBfAFQAbwB0AGEAbABBAG4AbgB1AGEAbABOAGkAdAByAG8AZwBlAG4ARQB4AGMAcgBlAHQAZQBkAEcAcgBlAGEAdABlAHIAVABoAGEAbgBPAG4AZQBZAGUAYQByAF8AUwBvAHUAcgBjAGUAIgAsACIATQBNAFMAXwBEAGEAaQByAHkAXwBOADIATwBEAGkAcgBlAGMAdABfAEUAcQB1AGEAdABpAG8AbgBzAC4AVgBFAEUAUgBHAF8ANABfADMAXwAxAF8AMwBfAF8AMwBhAF8AVABvAHQAYQBsAEEAbgBuAHUAYQBsAE4AaQB0AHIAbwBnAGUAbgBFAHgAYwByAGUAdABlAGQARwByAGUAYQB0AGUAcgBUAGgAYQBuAE8AbgBlAFkAZQBhAHIAXwBOAEkAUgBSAGUAZgBlAHIAZQBuAGMAZQAiACwAIgBNAE0AUwBfAEQAYQBpAHIAeQBfAE4AMgBPAEQAaQByAGUAYwB0AF8ARQBxAHUAYQB0AGkAbwBuAHMALgBWAEUARQBSAEcAXwA0AF8AMwBfADEAXwAzAF8AXwAzAGEAXwBUAG8AdABhAGwAQQBuAG4AdQBhAGwATgBpAHQAcgBvAGcAZQBuAEUAeABjAHIAZQB0AGUAZABHAHIAZQBhAHQAZQByAFQAaABhAG4ATwBuAGUAWQBlAGEAcgBfAEwAYQB0AGUAeABFAHEAdQBhAHQAaQBvAG4AIgAsACIATQBNAFMAXwBEAGEAaQByAHkAXwBOADIATwBEAGkAcgBlAGMAdABfAEUAcQB1AGEAdABpAG8AbgBzAC4AVgBFAEUAUgBHAF8ANABfADMAXwAxAF8AMwBfAF8AMwBhAF8AVABvAHQAYQBsAEEAbgBuAHUAYQBsAE4AaQB0AHIAbwBnAGUAbgBFAHgAYwByAGUAdABlAGQARwByAGUAYQB0AGUAcgBUAGgAYQBuAE8AbgBlAFkAZQBhAHIAXwBMAGEAdABlAHgARQBxAHUAYQB0AGkAbwBuAFYAYQByAGkAYQB0AGkAbwBuACIALAAiAE0ATQBTAF8ARABhAGkAcgB5AF8ATgAyAE8ARABpAHIAZQBjAHQAXwBFAHEAdQBhAHQAaQBvAG4AcwAuAFYARQBFAFIARwBfADQAXwAzAF8AMQBfADMAXwBfADMAYQBfAFQAbwB0AGEAbABBAG4AbgB1AGEAbABOAGkAdAByAG8AZwBlAG4ARQB4AGMAcgBlAHQAZQBkAEcAcgBlAGEAdABlAHIAVABoAGEAbgBPAG4AZQBZAGUAYQByAF8AQQByAGcAdQBtAGUAbgB0AHMAIgAsACIATQBNAFMAXwBEAGEAaQByAHkAXwBOADIATwBEAGkAcgBlAGMAdABfAEUAcQB1AGEAdABpAG8AbgBzAC4AVgBFAEUAUgBHAF8ANABfADMAXwAxAF8AMwBfAF8AMwBhAF8AVABvAHQAYQBsAEEAbgBuAHUAYQBsAE4AaQB0AHIAbwBnAGUAbgBFAHgAYwByAGUAdABlAGQARwByAGUAYQB0AGUAcgBUAGgAYQBuAE8AbgBlAFkAZQBhAHIAXwBWAGEAcgBpAGEAdABpAG8AbgAiACwAIgBNAE0AUwBfAEQAYQBpAHIAeQBfAE4AMgBPAEQAaQByAGUAYwB0AF8ARQBxAHUAYQB0AGkAbwBuAHMALgBWAEUARQBSAEcAXwA0AF8AMwBfADEAXwAzAF8AXwAzAGIAXwBUAG8AdABhAGwAQQBuAG4AdQBhAGwATgBpAHQAcgBvAGcAZQBuAEUAeABjAHIAZQB0AGUAZABMAGUAcwBzAFQAaABhAG4ATwBuAGUAWQBlAGEAcgAiACwAIgBNAE0AUwBfAEQAYQBpAHIAeQBfAE4AMgBPAEQAaQByAGUAYwB0AF8ARQBxAHUAYQB0AGkAbwBuAHMALgBWAEUARQBSAEcAXwA0AF8AMwBfADEAXwAzAF8AXwAzAGIAXwBUAG8AdABhAGwAQQBuAG4AdQBhAGwATgBpAHQAcgBvAGcAZQBuAEUAeABjAHIAZQB0AGUAZABMAGUAcwBzAFQAaABhAG4ATwBuAGUAWQBlAGEAcgBWAGEAcgBpAGEAdABpAG8AbgAiACwAIgBNAE0AUwBfAEQAYQBpAHIAeQBfAE4AMgBPAEQAaQByAGUAYwB0AF8ARQBxAHUAYQB0AGkAbwBuAHMALgBWAEUARQBSAEcAXwA0AF8AMwBfADEAXwAzAF8AXwAzAGIAXwBUAG8AdABhAGwAQQBuAG4AdQBhAGwATgBpAHQAcgBvAGcAZQBuAEUAeABjAHIAZQB0AGUAZABMAGUAcwBzAFQAaABhAG4ATwBuAGUAWQBlAGEAcgBfAFQAaQB0AGwAZQAiACwAIgBNAE0AUwBfAEQAYQBpAHIAeQBfAE4AMgBPAEQAaQByAGUAYwB0AF8ARQBxAHUAYQB0AGkAbwBuAHMALgBWAEUARQBSAEcAXwA0AF8AMwBfADEAXwAzAF8AXwAzAGIAXwBUAG8AdABhAGwAQQBuAG4AdQBhAGwATgBpAHQAcgBvAGcAZQBuAEUAeABjAHIAZQB0AGUAZABMAGUAcwBzAFQAaABhAG4ATwBuAGUAWQBlAGEAcgBfAFYAYQByAGkAYQBiAGwAZQAiACwAIgBNAE0AUwBfAEQAYQBpAHIAeQBfAE4AMgBPAEQAaQByAGUAYwB0AF8ARQBxAHUAYQB0AGkAbwBuAHMALgBWAEUARQBSAEcAXwA0AF8AMwBfADEAXwAzAF8AXwAzAGIAXwBUAG8AdABhAGwAQQBuAG4AdQBhAGwATgBpAHQAcgBvAGcAZQBuAEUAeABjAHIAZQB0AGUAZABMAGUAcwBzAFQAaABhAG4ATwBuAGUAWQBlAGEAcgBfAFUAbgBpAHQAIgAsACIATQBNAFMAXwBEAGEAaQByAHkAXwBOADIATwBEAGkAcgBlAGMAdABfAEUAcQB1AGEAdABpAG8AbgBzAC4AVgBFAEUAUgBHAF8ANABfADMAXwAxAF8AMwBfAF8AMwBiAF8AVABvAHQAYQBsAEEAbgBuAHUAYQBsAE4AaQB0AHIAbwBnAGUAbgBFAHgAYwByAGUAdABlAGQATABlAHMAcwBUAGgAYQBuAE8AbgBlAFkAZQBhAHIAXwBTAG8AdQByAGMAZQAiACwAIgBNAE0AUwBfAEQAYQBpAHIAeQBfAE4AMgBPAEQAaQByAGUAYwB0AF8ARQBxAHUAYQB0AGkAbwBuAHMALgBWAEUARQBSAEcAXwA0AF8AMwBfADEAXwAzAF8AXwAzAGIAXwBUAG8AdABhAGwAQQBuAG4AdQBhAGwATgBpAHQAcgBvAGcAZQBuAEUAeABjAHIAZQB0AGUAZABMAGUAcwBzAFQAaABhAG4ATwBuAGUAWQBlAGEAcgBfAE4ASQBSAFIAZQBmAGUAcgBlAG4AYwBlACIALAAiAE0ATQBTAF8ARABhAGkAcgB5AF8ATgAyAE8ARABpAHIAZQBjAHQAXwBFAHEAdQBhAHQAaQBvAG4AcwAuAFYARQBFAFIARwBfADQAXwAzAF8AMQBfADMAXwBfADMAYgBfAFQAbwB0AGEAbABBAG4AbgB1AGEAbABOAGkAdAByAG8AZwBlAG4ARQB4AGMAcgBlAHQAZQBkAEwAZQBzAHMAVABoAGEAbgBPAG4AZQBZAGUAYQByAF8ATABhAHQAZQB4AEUAcQB1AGEAdABpAG8AbgAiACwAIgBNAE0AUwBfAEQAYQBpAHIAeQBfAE4AMgBPAEQAaQByAGUAYwB0AF8ARQBxAHUAYQB0AGkAbwBuAHMALgBWAEUARQBSAEcAXwA0AF8AMwBfADEAXwAzAF8AXwAzAGIAXwBUAG8AdABhAGwAQQBuAG4AdQBhAGwATgBpAHQAcgBvAGcAZQBuAEUAeABjAHIAZQB0AGUAZABMAGUAcwBzAFQAaABhAG4ATwBuAGUAWQBlAGEAcgBfAEwAYQB0AGUAeABFAHEAdQBhAHQAaQBvAG4AVgBhAHIAaQBhAHQAaQBvAG4AIgAsACIATQBNAFMAXwBEAGEAaQByAHkAXwBOADIATwBEAGkAcgBlAGMAdABfAEUAcQB1AGEAdABpAG8AbgBzAC4AVgBFAEUAUgBHAF8ANABfADMAXwAxAF8AMwBfAF8AMwBiAF8AVABvAHQAYQBsAEEAbgBuAHUAYQBsAE4AaQB0AHIAbwBnAGUAbgBFAHgAYwByAGUAdABlAGQATABlAHMAcwBUAGgAYQBuAE8AbgBlAFkAZQBhAHIAXwBBAHIAZwB1AG0AZQBuAHQAcwAiACwAIgBNAE0AUwBfAEQAYQBpAHIAeQBfAE4AMgBPAEQAaQByAGUAYwB0AF8ARQBxAHUAYQB0AGkAbwBuAHMALgBWAEUARQBSAEcAXwA0AF8AMwBfADEAXwAzAF8AXwAzAGIAXwBUAG8AdABhAGwAQQBuAG4AdQBhAGwATgBpAHQAcgBvAGcAZQBuAEUAeABjAHIAZQB0AGUAZABMAGUAcwBzAFQAaABhAG4ATwBuAGUAWQBlAGEAcgBfAFYAYQByAGkAYQB0AGkAbwBuACIALAAiAE0ATQBTAF8ARABhAGkAcgB5AF8ATgAyAE8ARABpAHIAZQBjAHQAXwBFAHEAdQBhAHQAaQBvAG4AcwAuAFYARQBFAFIARwBfADQAXwAzAF8AMQBfADMAXwBfADQAXwBOAGkAdAByAG8AZwBlAG4ARQB4AGMAcgBlAHQAZQBkAEIAeQBEAGEAaQByAHkAQwBhAHQAdABsAGUARwByAGUAYQB0AGUAcgBUAGgAYQBuAE8AbgBlAFkAZQBhAHIAIgAsACIATQBNAFMAXwBEAGEAaQByAHkAXwBOADIATwBEAGkAcgBlAGMAdABfAEUAcQB1AGEAdABpAG8AbgBzAC4AVgBFAEUAUgBHAF8ANABfADMAXwAxAF8AMwBfAF8ANABfAE4AaQB0AHIAbwBnAGUAbgBFAHgAYwByAGUAdABlAGQAQgB5AEQAYQBpAHIAeQBDAGEAdAB0AGwAZQBHAHIAZQBhAHQAZQByAFQAaABhAG4ATwBuAGUAWQBlAGEAcgBfAFQAaQB0AGwAZQAiACwAIgBNAE0AUwBfAEQAYQBpAHIAeQBfAE4AMgBPAEQAaQByAGUAYwB0AF8ARQBxAHUAYQB0AGkAbwBuAHMALgBWAEUARQBSAEcAXwA0AF8AMwBfADEAXwAzAF8AXwA0AF8ATgBpAHQAcgBvAGcAZQBuAEUAeABjAHIAZQB0AGUAZABCAHkARABhAGkAcgB5AEMAYQB0AHQAbABlAEcAcgBlAGEAdABlAHIAVABoAGEAbgBPAG4AZQBZAGUAYQByAF8AVgBhAHIAaQBhAGIAbABlACIALAAiAE0ATQBTAF8ARABhAGkAcgB5AF8ATgAyAE8ARABpAHIAZQBjAHQAXwBFAHEAdQBhAHQAaQBvAG4AcwAuAFYARQBFAFIARwBfADQAXwAzAF8AMQBfADMAXwBfADQAXwBOAGkAdAByAG8AZwBlAG4ARQB4AGMAcgBlAHQAZQBkAEIAeQBEAGEAaQByAHkAQwBhAHQAdABsAGUARwByAGUAYQB0AGUAcgBUAGgAYQBuAE8AbgBlAFkAZQBhAHIAXwBVAG4AaQB0ACIALAAiAE0ATQBTAF8ARABhAGkAcgB5AF8ATgAyAE8ARABpAHIAZQBjAHQAXwBFAHEAdQBhAHQAaQBvAG4AcwAuAFYARQBFAFIARwBfADQAXwAzAF8AMQBfADMAXwBfADQAXwBOAGkAdAByAG8AZwBlAG4ARQB4AGMAcgBlAHQAZQBkAEIAeQBEAGEAaQByAHkAQwBhAHQAdABsAGUARwByAGUAYQB0AGUAcgBUAGgAYQBuAE8AbgBlAFkAZQBhAHIAXwBTAG8AdQByAGMAZQAiACwAIgBNAE0AUwBfAEQAYQBpAHIAeQBfAE4AMgBPAEQAaQByAGUAYwB0AF8ARQBxAHUAYQB0AGkAbwBuAHMALgBWAEUARQBSAEcAXwA0AF8AMwBfADEAXwAzAF8AXwA0AF8ATgBpAHQAcgBvAGcAZQBuAEUAeABjAHIAZQB0AGUAZABCAHkARABhAGkAcgB5AEMAYQB0AHQAbABlAEcAcgBlAGEAdABlAHIAVABoAGEAbgBPAG4AZQBZAGUAYQByAF8ATgBJAFIAUgBlAGYAZQByAGUAbgBjAGUAIgAsACIATQBNAFMAXwBEAGEAaQByAHkAXwBOADIATwBEAGkAcgBlAGMAdABfAEUAcQB1AGEAdABpAG8AbgBzAC4AVgBFAEUAUgBHAF8ANABfADMAXwAxAF8AMwBfAF8ANABfAE4AaQB0AHIAbwBnAGUAbgBFAHgAYwByAGUAdABlAGQAQgB5AEQAYQBpAHIAeQBDAGEAdAB0AGwAZQBHAHIAZQBhAHQAZQByAFQAaABhAG4ATwBuAGUAWQBlAGEAcgBfAEwAYQB0AGUAeABFAHEAdQBhAHQAaQBvAG4AIgAsACIATQBNAFMAXwBEAGEAaQByAHkAXwBOADIATwBEAGkAcgBlAGMAdABfAEUAcQB1AGEAdABpAG8AbgBzAC4AVgBFAEUAUgBHAF8ANABfADMAXwAxAF8AMwBfAF8ANABfAE4AaQB0AHIAbwBnAGUAbgBFAHgAYwByAGUAdABlAGQAQgB5AEQAYQBpAHIAeQBDAGEAdAB0AGwAZQBHAHIAZQBhAHQAZQByAFQAaABhAG4ATwBuAGUAWQBlAGEAcgBfAEEAcgBnAHUAbQBlAG4AdABzACIALAAiAE0ATQBTAF8ARABhAGkAcgB5AF8ATgAyAE8ARABpAHIAZQBjAHQAXwBFAHEAdQBhAHQAaQBvAG4AcwAuAFYARQBFAFIARwBfADQAXwAzAF8AMQBfADMAXwBfADUAXwBDAHIAdQBkAGUAUAByAG8AdABlAGkAbgBJAG4AdABhAGsAZQBPAGYARABhAGkAcgB5AEMAYQB0AHQAbABlACIALAAiAE0ATQBTAF8ARABhAGkAcgB5AF8ATgAyAE8ARABpAHIAZQBjAHQAXwBFAHEAdQBhAHQAaQBvAG4AcwAuAFYARQBFAFIARwBfADQAXwAzAF8AMQBfADMAXwBfADUAXwBDAHIAdQBkAGUAUAByAG8AdABlAGkAbgBJAG4AdABhAGsAZQBPAGYARABhAGkAcgB5AEMAYQB0AHQAbABlAF8AVABpAHQAbABlACIALAAiAE0ATQBTAF8ARABhAGkAcgB5AF8ATgAyAE8ARABpAHIAZQBjAHQAXwBFAHEAdQBhAHQAaQBvAG4AcwAuAFYARQBFAFIARwBfADQAXwAzAF8AMQBfADMAXwBfADUAXwBDAHIAdQBkAGUAUAByAG8AdABlAGkAbgBJAG4AdABhAGsAZQBPAGYARABhAGkAcgB5AEMAYQB0AHQAbABlAF8AVgBhAHIAaQBhAGIAbABlACIALAAiAE0ATQBTAF8ARABhAGkAcgB5AF8ATgAyAE8ARABpAHIAZQBjAHQAXwBFAHEAdQBhAHQAaQBvAG4AcwAuAFYARQBFAFIARwBfADQAXwAzAF8AMQBfADMAXwBfADUAXwBDAHIAdQBkAGUAUAByAG8AdABlAGkAbgBJAG4AdABhAGsAZQBPAGYARABhAGkAcgB5AEMAYQB0AHQAbABlAF8AVQBuAGkAdAAiACwAIgBNAE0AUwBfAEQAYQBpAHIAeQBfAE4AMgBPAEQAaQByAGUAYwB0AF8ARQBxAHUAYQB0AGkAbwBuAHMALgBWAEUARQBSAEcAXwA0AF8AMwBfADEAXwAzAF8AXwA1AF8AQwByAHUAZABlAFAAcgBvAHQAZQBpAG4ASQBuAHQAYQBrAGUATwBmAEQAYQBpAHIAeQBDAGEAdAB0AGwAZQBfAFMAbwB1AHIAYwBlACIALAAiAE0ATQBTAF8ARABhAGkAcgB5AF8ATgAyAE8ARABpAHIAZQBjAHQAXwBFAHEAdQBhAHQAaQBvAG4AcwAuAFYARQBFAFIARwBfADQAXwAzAF8AMQBfADMAXwBfADUAXwBDAHIAdQBkAGUAUAByAG8AdABlAGkAbgBJAG4AdABhAGsAZQBPAGYARABhAGkAcgB5AEMAYQB0AHQAbABlAF8ATgBJAFIAUgBlAGYAZQByAGUAbgBjAGUAIgAsACIATQBNAFMAXwBEAGEAaQByAHkAXwBOADIATwBEAGkAcgBlAGMAdABfAEUAcQB1AGEAdABpAG8AbgBzAC4AVgBFAEUAUgBHAF8ANABfADMAXwAxAF8AMwBfAF8ANQBfAEMAcgB1AGQAZQBQAHIAbwB0AGUAaQBuAEkAbgB0AGEAawBlAE8AZgBEAGEAaQByAHkAQwBhAHQAdABsAGUAXwBMAGEAdABlAHgARQBxAHUAYQB0AGkAbwBuACIALAAiAE0ATQBTAF8ARABhAGkAcgB5AF8ATgAyAE8ARABpAHIAZQBjAHQAXwBFAHEAdQBhAHQAaQBvAG4AcwAuAFYARQBFAFIARwBfADQAXwAzAF8AMQBfADMAXwBfADUAXwBDAHIAdQBkAGUAUAByAG8AdABlAGkAbgBJAG4AdABhAGsAZQBPAGYARABhAGkAcgB5AEMAYQB0AHQAbABlAF8AQQByAGcAdQBtAGUAbgB0AHMAIgAsACIATQBNAFMAXwBEAGEAaQByAHkAXwBOADIATwBEAGkAcgBlAGMAdABfAEUAcQB1AGEAdABpAG8AbgBzAC4AVgBFAEUAUgBHAF8ANABfADMAXwAxAF8AMwBfAF8ANgBfAE4AaQB0AHIAbwBnAGUAbgBSAGUAdABhAGkAbgBlAGQAQgB5AEIAbwBkAHkAIgAsACIATQBNAFMAXwBEAGEAaQByAHkAXwBOADIATwBEAGkAcgBlAGMAdABfAEUAcQB1AGEAdABpAG8AbgBzAC4AVgBFAEUAUgBHAF8ANABfADMAXwAxAF8AMwBfAF8ANgBfAE4AaQB0AHIAbwBnAGUAbgBSAGUAdABhAGkAbgBlAGQAQgB5AEIAbwBkAHkAXwBUAGkAdABsAGUAIgAsACIATQBNAFMAXwBEAGEAaQByAHkAXwBOADIATwBEAGkAcgBlAGMAdABfAEUAcQB1AGEAdABpAG8AbgBzAC4AVgBFAEUAUgBHAF8ANABfADMAXwAxAF8AMwBfAF8ANgBfAE4AaQB0AHIAbwBnAGUAbgBSAGUAdABhAGkAbgBlAGQAQgB5AEIAbwBkAHkAXwBWAGEAcgBpAGEAYgBsAGUAIgAsACIATQBNAFMAXwBEAGEAaQByAHkAXwBOADIATwBEAGkAcgBlAGMAdABfAEUAcQB1AGEAdABpAG8AbgBzAC4AVgBFAEUAUgBHAF8ANABfADMAXwAxAF8AMwBfAF8ANgBfAE4AaQB0AHIAbwBnAGUAbgBSAGUAdABhAGkAbgBlAGQAQgB5AEIAbwBkAHkAXwBVAG4AaQB0ACIALAAiAE0ATQBTAF8ARABhAGkAcgB5AF8ATgAyAE8ARABpAHIAZQBjAHQAXwBFAHEAdQBhAHQAaQBvAG4AcwAuAFYARQBFAFIARwBfADQAXwAzAF8AMQBfADMAXwBfADYAXwBOAGkAdAByAG8AZwBlAG4AUgBlAHQAYQBpAG4AZQBkAEIAeQBCAG8AZAB5AF8AUwBvAHUAcgBjAGUAIgAsACIATQBNAFMAXwBEAGEAaQByAHkAXwBOADIATwBEAGkAcgBlAGMAdABfAEUAcQB1AGEAdABpAG8AbgBzAC4AVgBFAEUAUgBHAF8ANABfADMAXwAxAF8AMwBfAF8ANgBfAE4AaQB0AHIAbwBnAGUAbgBSAGUAdABhAGkAbgBlAGQAQgB5AEIAbwBkAHkAXwBOAEkAUgBSAGUAZgBlAHIAZQBuAGMAZQAiACwAIgBNAE0AUwBfAEQAYQBpAHIAeQBfAE4AMgBPAEQAaQByAGUAYwB0AF8ARQBxAHUAYQB0AGkAbwBuAHMALgBWAEUARQBSAEcAXwA0AF8AMwBfADEAXwAzAF8AXwA2AF8ATgBpAHQAcgBvAGcAZQBuAFIAZQB0AGEAaQBuAGUAZABCAHkAQgBvAGQAeQBfAEwAYQB0AGUAeABFAHEAdQBhAHQAaQBvAG4AIgAsACIATQBNAFMAXwBEAGEAaQByAHkAXwBOADIATwBEAGkAcgBlAGMAdABfAEUAcQB1AGEAdABpAG8AbgBzAC4AVgBFAEUAUgBHAF8ANABfADMAXwAxAF8AMwBfAF8ANgBfAE4AaQB0AHIAbwBnAGUAbgBSAGUAdABhAGkAbgBlAGQAQgB5AEIAbwBkAHkAXwBBAHIAZwB1AG0AZQBuAHQAcwAiACwAIgBNAE0AUwBfAEQAYQBpAHIAeQBfAE4AMgBPAEQAaQByAGUAYwB0AF8ARQBxAHUAYQB0AGkAbwBuAHMALgBWAEUARQBSAEcAXwA0AF8AMwBfADEAXwAzAF8AXwA3AF8ASQBuAHQAYQBrAGUAUgBlAGwAYQB0AGkAdgBlAFQAbwBNAGEAaQBuAHQAZQBuAGEAbgBjAGUAIgAsACIATQBNAFMAXwBEAGEAaQByAHkAXwBOADIATwBEAGkAcgBlAGMAdABfAEUAcQB1AGEAdABpAG8AbgBzAC4AVgBFAEUAUgBHAF8ANABfADMAXwAxAF8AMwBfAF8ANwBfAEkAbgB0AGEAawBlAFIAZQBsAGEAdABpAHYAZQBUAG8ATQBhAGkAbgB0AGUAbgBhAG4AYwBlAF8AVABpAHQAbABlACIALAAiAE0ATQBTAF8ARABhAGkAcgB5AF8ATgAyAE8ARABpAHIAZQBjAHQAXwBFAHEAdQBhAHQAaQBvAG4AcwAuAFYARQBFAFIARwBfADQAXwAzAF8AMQBfADMAXwBfADcAXwBJAG4AdABhAGsAZQBSAGUAbABhAHQAaQB2AGUAVABvAE0AYQBpAG4AdABlAG4AYQBuAGMAZQBfAFYAYQByAGkAYQBiAGwAZQAiACwAIgBNAE0AUwBfAEQAYQBpAHIAeQBfAE4AMgBPAEQAaQByAGUAYwB0AF8ARQBxAHUAYQB0AGkAbwBuAHMALgBWAEUARQBSAEcAXwA0AF8AMwBfADEAXwAzAF8AXwA3AF8ASQBuAHQAYQBrAGUAUgBlAGwAYQB0AGkAdgBlAFQAbwBNAGEAaQBuAHQAZQBuAGEAbgBjAGUAXwBVAG4AaQB0ACIALAAiAE0ATQBTAF8ARABhAGkAcgB5AF8ATgAyAE8ARABpAHIAZQBjAHQAXwBFAHEAdQBhAHQAaQBvAG4AcwAuAFYARQBFAFIARwBfADQAXwAzAF8AMQBfADMAXwBfADcAXwBJAG4AdABhAGsAZQBSAGUAbABhAHQAaQB2AGUAVABvAE0AYQBpAG4AdABlAG4AYQBuAGMAZQBfAFMAbwB1AHIAYwBlACIALAAiAE0ATQBTAF8ARABhAGkAcgB5AF8ATgAyAE8ARABpAHIAZQBjAHQAXwBFAHEAdQBhAHQAaQBvAG4AcwAuAFYARQBFAFIARwBfADQAXwAzAF8AMQBfADMAXwBfADcAXwBJAG4AdABhAGsAZQBSAGUAbABhAHQAaQB2AGUAVABvAE0AYQBpAG4AdABlAG4AYQBuAGMAZQBfAE4ASQBSAFIAZQBmAGUAcgBlAG4AYwBlACIALAAiAE0ATQBTAF8ARABhAGkAcgB5AF8ATgAyAE8ARABpAHIAZQBjAHQAXwBFAHEAdQBhAHQAaQBvAG4AcwAuAFYARQBFAFIARwBfADQAXwAzAF8AMQBfADMAXwBfADcAXwBJAG4AdABhAGsAZQBSAGUAbABhAHQAaQB2AGUAVABvAE0AYQBpAG4AdABlAG4AYQBuAGMAZQBfAEwAYQB0AGUAeABFAHEAdQBhAHQAaQBvAG4AIgAsACIATQBNAFMAXwBEAGEAaQByAHkAXwBOADIATwBEAGkAcgBlAGMAdABfAEUAcQB1AGEAdABpAG8AbgBzAC4AVgBFAEUAUgBHAF8ANABfADMAXwAxAF8AMwBfAF8ANwBfAEkAbgB0AGEAawBlAFIAZQBsAGEAdABpAHYAZQBUAG8ATQBhAGkAbgB0AGUAbgBhAG4AYwBlAF8AQQByAGcAdQBtAGUAbgB0AHMAIgAsACIATQBNAFMAXwBEAGEAaQByAHkAXwBOADIATwBEAGkAcgBlAGMAdABfAEUAcQB1AGEAdABpAG8AbgBzAC4AVgBFAEUAUgBHAF8ANABfADMAXwAxAF8AMwBfAF8AOABfAFIAZQBsAGEAdABpAHYAZQBTAGkAegBlACIALAAiAE0ATQBTAF8ARABhAGkAcgB5AF8ATgAyAE8ARABpAHIAZQBjAHQAXwBFAHEAdQBhAHQAaQBvAG4AcwAuAFYARQBFAFIARwBfADQAXwAzAF8AMQBfADMAXwBfADgAXwBSAGUAbABhAHQAaQB2AGUAUwBpAHoAZQBfAFQAaQB0AGwAZQAiACwAIgBNAE0AUwBfAEQAYQBpAHIAeQBfAE4AMgBPAEQAaQByAGUAYwB0AF8ARQBxAHUAYQB0AGkAbwBuAHMALgBWAEUARQBSAEcAXwA0AF8AMwBfADEAXwAzAF8AXwA4AF8AUgBlAGwAYQB0AGkAdgBlAFMAaQB6AGUAXwBWAGEAcgBpAGEAYgBsAGUAIgAsACIATQBNAFMAXwBEAGEAaQByAHkAXwBOADIATwBEAGkAcgBlAGMAdABfAEUAcQB1AGEAdABpAG8AbgBzAC4AVgBFAEUAUgBHAF8ANABfADMAXwAxAF8AMwBfAF8AOABfAFIAZQBsAGEAdABpAHYAZQBTAGkAegBlAF8AVQBuAGkAdAAiACwAIgBNAE0AUwBfAEQAYQBpAHIAeQBfAE4AMgBPAEQAaQByAGUAYwB0AF8ARQBxAHUAYQB0AGkAbwBuAHMALgBWAEUARQBSAEcAXwA0AF8AMwBfADEAXwAzAF8AXwA4AF8AUgBlAGwAYQB0AGkAdgBlAFMAaQB6AGUAXwBTAG8AdQByAGMAZQAiACwAIgBNAE0AUwBfAEQAYQBpAHIAeQBfAE4AMgBPAEQAaQByAGUAYwB0AF8ARQBxAHUAYQB0AGkAbwBuAHMALgBWAEUARQBSAEcAXwA0AF8AMwBfADEAXwAzAF8AXwA4AF8AUgBlAGwAYQB0AGkAdgBlAFMAaQB6AGUAXwBOAEkAUgBSAGUAZgBlAHIAZQBuAGMAZQAiACwAIgBNAE0AUwBfAEQAYQBpAHIAeQBfAE4AMgBPAEQAaQByAGUAYwB0AF8ARQBxAHUAYQB0AGkAbwBuAHMALgBWAEUARQBSAEcAXwA0AF8AMwBfADEAXwAzAF8AXwA4AF8AUgBlAGwAYQB0AGkAdgBlAFMAaQB6AGUAXwBMAGEAdABlAHgARQBxAHUAYQB0AGkAbwBuACIALAAiAE0ATQBTAF8ARABhAGkAcgB5AF8ATgAyAE8ARABpAHIAZQBjAHQAXwBFAHEAdQBhAHQAaQBvAG4AcwAuAFYARQBFAFIARwBfADQAXwAzAF8AMQBfADMAXwBfADgAXwBSAGUAbABhAHQAaQB2AGUAUwBpAHoAZQBfAEEAcgBnAHUAbQBlAG4AdABzACIALAAiAEUAbgB0AGUAcgBpAGMATQBlAHQAaABhAG4AZQBfAEQAYQBpAHIAeQBfAEUAcQB1AGEAdABpAG8AbgBzAC4AVgBFAEUAUgBHAF8AMwBfADMAXwAxAF8AMQBfAF8AMQBfAFQAbwB0AGEAbABBAG4AbgB1AGEAbABNAGUAdABoAGEAbgBlAEYAcgBvAG0ARQBuAHQAZQByAGkAYwBGAGUAcgBtAGUAbgB0AGEAdABpAG8AbgAiACwAIgBFAG4AdABlAHIAaQBjAE0AZQB0AGgAYQBuAGUAXwBEAGEAaQByAHkAXwBFAHEAdQBhAHQAaQBvAG4AcwAuAFYARQBFAFIARwBfADMAXwAzAF8AMQBfADEAXwBfADEAXwBUAG8AdABhAGwAQQBuAG4AdQBhAGwATQBlAHQAaABhAG4AZQBGAHIAbwBtAEUAbgB0AGUAcgBpAGMARgBlAHIAbQBlAG4AdABhAHQAaQBvAG4AXwBUAGkAdABsAGUAIgAsACIARQBuAHQAZQByAGkAYwBNAGUAdABoAGEAbgBlAF8ARABhAGkAcgB5AF8ARQBxAHUAYQB0AGkAbwBuAHMALgBWAEUARQBSAEcAXwAzAF8AMwBfADEAXwAxAF8AXwAxAF8AVABvAHQAYQBsAEEAbgBuAHUAYQBsAE0AZQB0AGgAYQBuAGUARgByAG8AbQBFAG4AdABlAHIAaQBjAEYAZQByAG0AZQBuAHQAYQB0AGkAbwBuAF8AVgBhAHIAaQBhAGIAbABlACIALAAiAEUAbgB0AGUAcgBpAGMATQBlAHQAaABhAG4AZQBfAEQAYQBpAHIAeQBfAEUAcQB1AGEAdABpAG8AbgBzAC4AVgBFAEUAUgBHAF8AMwBfADMAXwAxAF8AMQBfAF8AMQBfAFQAbwB0AGEAbABBAG4AbgB1AGEAbABNAGUAdABoAGEAbgBlAEYAcgBvAG0ARQBuAHQAZQByAGkAYwBGAGUAcgBtAGUAbgB0AGEAdABpAG8AbgBfAFUAbgBpAHQAIgAsACIARQBuAHQAZQByAGkAYwBNAGUAdABoAGEAbgBlAF8ARABhAGkAcgB5AF8ARQBxAHUAYQB0AGkAbwBuAHMALgBWAEUARQBSAEcAXwAzAF8AMwBfADEAXwAxAF8AXwAxAF8AVABvAHQAYQBsAEEAbgBuAHUAYQBsAE0AZQB0AGgAYQBuAGUARgByAG8AbQBFAG4AdABlAHIAaQBjAEYAZQByAG0AZQBuAHQAYQB0AGkAbwBuAF8AUwBvAHUAcgBjAGUAIgAsACIARQBuAHQAZQByAGkAYwBNAGUAdABoAGEAbgBlAF8ARABhAGkAcgB5AF8ARQBxAHUAYQB0AGkAbwBuAHMALgBWAEUARQBSAEcAXwAzAF8AMwBfADEAXwAxAF8AXwAxAF8AVABvAHQAYQBsAEEAbgBuAHUAYQBsAE0AZQB0AGgAYQBuAGUARgByAG8AbQBFAG4AdABlAHIAaQBjAEYAZQByAG0AZQBuAHQAYQB0AGkAbwBuAF8ATgBJAFIAUgBlAGYAZQByAGUAbgBjAGUAIgAsACIARQBuAHQAZQByAGkAYwBNAGUAdABoAGEAbgBlAF8ARABhAGkAcgB5AF8ARQBxAHUAYQB0AGkAbwBuAHMALgBWAEUARQBSAEcAXwAzAF8AMwBfADEAXwAxAF8AXwAxAF8AVABvAHQAYQBsAEEAbgBuAHUAYQBsAE0AZQB0AGgAYQBuAGUARgByAG8AbQBFAG4AdABlAHIAaQBjAEYAZQByAG0AZQBuAHQAYQB0AGkAbwBuAF8ATABhAHQAZQB4AEUAcQB1AGEAdABpAG8AbgAiACwAIgBFAG4AdABlAHIAaQBjAE0AZQB0AGgAYQBuAGUAXwBEAGEAaQByAHkAXwBFAHEAdQBhAHQAaQBvAG4AcwAuAFYARQBFAFIARwBfADMAXwAzAF8AMQBfADEAXwBfADEAXwBUAG8AdABhAGwAQQBuAG4AdQBhAGwATQBlAHQAaABhAG4AZQBGAHIAbwBtAEUAbgB0AGUAcgBpAGMARgBlAHIAbQBlAG4AdABhAHQAaQBvAG4AXwBBAHIAZwB1AG0AZQBuAHQAcwAiACwAIgBFAG4AdABlAHIAaQBjAE0AZQB0AGgAYQBuAGUAXwBEAGEAaQByAHkAXwBFAHEAdQBhAHQAaQBvAG4AcwAuAFYARQBFAFIARwBfADMAXwAzAF8AMQBfADEAXwBfADIAXwBEAGEAaQBsAHkARQBuAHQAZQByAGkAYwBNAGUAdABoAGEAbgBlAFAAcgBvAGQAdQBjAHQAaQBvAG4AIgAsACIARQBuAHQAZQByAGkAYwBNAGUAdABoAGEAbgBlAF8ARABhAGkAcgB5AF8ARQBxAHUAYQB0AGkAbwBuAHMALgBWAEUARQBSAEcAXwAzAF8AMwBfADEAXwAxAF8AXwAyAF8ARABhAGkAbAB5AEUAbgB0AGUAcgBpAGMATQBlAHQAaABhAG4AZQBQAHIAbwBkAHUAYwB0AGkAbwBuAF8AVABpAHQAbABlACIALAAiAEUAbgB0AGUAcgBpAGMATQBlAHQAaABhAG4AZQBfAEQAYQBpAHIAeQBfAEUAcQB1AGEAdABpAG8AbgBzAC4AVgBFAEUAUgBHAF8AMwBfADMAXwAxAF8AMQBfAF8AMgBfAEQAYQBpAGwAeQBFAG4AdABlAHIAaQBjAE0AZQB0AGgAYQBuAGUAUAByAG8AZAB1AGMAdABpAG8AbgBfAFYAYQByAGkAYQBiAGwAZQAiACwAIgBFAG4AdABlAHIAaQBjAE0AZQB0AGgAYQBuAGUAXwBEAGEAaQByAHkAXwBFAHEAdQBhAHQAaQBvAG4AcwAuAFYARQBFAFIARwBfADMAXwAzAF8AMQBfADEAXwBfADIAXwBEAGEAaQBsAHkARQBuAHQAZQByAGkAYwBNAGUAdABoAGEAbgBlAFAAcgBvAGQAdQBjAHQAaQBvAG4AXwBVAG4AaQB0ACIALAAiAEUAbgB0AGUAcgBpAGMATQBlAHQAaABhAG4AZQBfAEQAYQBpAHIAeQBfAEUAcQB1AGEAdABpAG8AbgBzAC4AVgBFAEUAUgBHAF8AMwBfADMAXwAxAF8AMQBfAF8AMgBfAEQAYQBpAGwAeQBFAG4AdABlAHIAaQBjAE0AZQB0AGgAYQBuAGUAUAByAG8AZAB1AGMAdABpAG8AbgBfAFMAbwB1AHIAYwBlACIALAAiAEUAbgB0AGUAcgBpAGMATQBlAHQAaABhAG4AZQBfAEQAYQBpAHIAeQBfAEUAcQB1AGEAdABpAG8AbgBzAC4AVgBFAEUAUgBHAF8AMwBfADMAXwAxAF8AMQBfAF8AMgBfAEQAYQBpAGwAeQBFAG4AdABlAHIAaQBjAE0AZQB0AGgAYQBuAGUAUAByAG8AZAB1AGMAdABpAG8AbgBfAE4ASQBSAFIAZQBmAGUAcgBlAG4AYwBlACIALAAiAEUAbgB0AGUAcgBpAGMATQBlAHQAaABhAG4AZQBfAEQAYQBpAHIAeQBfAEUAcQB1AGEAdABpAG8AbgBzAC4AVgBFAEUAUgBHAF8AMwBfADMAXwAxAF8AMQBfAF8AMgBfAEQAYQBpAGwAeQBFAG4AdABlAHIAaQBjAE0AZQB0AGgAYQBuAGUAUAByAG8AZAB1AGMAdABpAG8AbgBfAEwAYQB0AGUAeABFAHEAdQBhAHQAaQBvAG4AIgAsACIARQBuAHQAZQByAGkAYwBNAGUAdABoAGEAbgBlAF8ARABhAGkAcgB5AF8ARQBxAHUAYQB0AGkAbwBuAHMALgBWAEUARQBSAEcAXwAzAF8AMwBfADEAXwAxAF8AXwAyAF8ARABhAGkAbAB5AEUAbgB0AGUAcgBpAGMATQBlAHQAaABhAG4AZQBQAHIAbwBkAHUAYwB0AGkAbwBuAF8AQQByAGcAdQBtAGUAbgB0AHMAIgAsACIARQBuAHQAZQByAGkAYwBNAGUAdABoAGEAbgBlAF8ARABhAGkAcgB5AF8ARQBxAHUAYQB0AGkAbwBuAHMALgBWAEUARQBSAEcAXwAzAF8AMwBfADEAXwAxAF8AXwAzAF8ARAByAHkATQBhAHQAdABlAHIARgBlAGUAZABJAG4AdABhAGsAZQAiACwAIgBFAG4AdABlAHIAaQBjAE0AZQB0AGgAYQBuAGUAXwBEAGEAaQByAHkAXwBFAHEAdQBhAHQAaQBvAG4AcwAuAFYARQBFAFIARwBfADMAXwAzAF8AMQBfADEAXwBfADMAXwBEAHIAeQBNAGEAdAB0AGUAcgBGAGUAZQBkAEkAbgB0AGEAawBlAF8AVABpAHQAbABlACIALAAiAEUAbgB0AGUAcgBpAGMATQBlAHQAaABhAG4AZQBfAEQAYQBpAHIAeQBfAEUAcQB1AGEAdABpAG8AbgBzAC4AVgBFAEUAUgBHAF8AMwBfADMAXwAxAF8AMQBfAF8AMwBfAEQAcgB5AE0AYQB0AHQAZQByAEYAZQBlAGQASQBuAHQAYQBrAGUAXwBWAGEAcgBpAGEAYgBsAGUAIgAsACIARQBuAHQAZQByAGkAYwBNAGUAdABoAGEAbgBlAF8ARABhAGkAcgB5AF8ARQBxAHUAYQB0AGkAbwBuAHMALgBWAEUARQBSAEcAXwAzAF8AMwBfADEAXwAxAF8AXwAzAF8ARAByAHkATQBhAHQAdABlAHIARgBlAGUAZABJAG4AdABhAGsAZQBfAFUAbgBpAHQAIgAsACIARQBuAHQAZQByAGkAYwBNAGUAdABoAGEAbgBlAF8ARABhAGkAcgB5AF8ARQBxAHUAYQB0AGkAbwBuAHMALgBWAEUARQBSAEcAXwAzAF8AMwBfADEAXwAxAF8AXwAzAF8ARAByAHkATQBhAHQAdABlAHIARgBlAGUAZABJAG4AdABhAGsAZQBfAFMAbwB1AHIAYwBlACIALAAiAEUAbgB0AGUAcgBpAGMATQBlAHQAaABhAG4AZQBfAEQAYQBpAHIAeQBfAEUAcQB1AGEAdABpAG8AbgBzAC4AVgBFAEUAUgBHAF8AMwBfADMAXwAxAF8AMQBfAF8AMwBfAEQAcgB5AE0AYQB0AHQAZQByAEYAZQBlAGQASQBuAHQAYQBrAGUAXwBOAEkAUgBSAGUAZgBlAHIAZQBuAGMAZQAiACwAIgBFAG4AdABlAHIAaQBjAE0AZQB0AGgAYQBuAGUAXwBEAGEAaQByAHkAXwBFAHEAdQBhAHQAaQBvAG4AcwAuAFYARQBFAFIARwBfADMAXwAzAF8AMQBfADEAXwBfADMAXwBEAHIAeQBNAGEAdAB0AGUAcgBGAGUAZQBkAEkAbgB0AGEAawBlAF8ATABhAHQAZQB4AEUAcQB1AGEAdABpAG8AbgAiACwAIgBFAG4AdABlAHIAaQBjAE0AZQB0AGgAYQBuAGUAXwBEAGEAaQByAHkAXwBFAHEAdQBhAHQAaQBvAG4AcwAuAFYARQBFAFIARwBfADMAXwAzAF8AMQBfADEAXwBfADMAXwBEAHIAeQBNAGEAdAB0AGUAcgBGAGUAZQBkAEkAbgB0AGEAawBlAF8AQQByAGcAdQBtAGUAbgB0AHMAIgAsACIARQBuAHQAZQByAGkAYwBNAGUAdABoAGEAbgBlAF8ARABhAGkAcgB5AF8ARQBxAHUAYQB0AGkAbwBuAHMALgBWAEUARQBSAEcAXwAzAF8AMwBfADEAXwAxAF8AXwA0AF8AQQBkAGQAaQB0AGkAbwBuAGEAbABJAG4AdABhAGsAZQBGAG8AcgBNAGkAbABrAFAAcgBvAGQAdQBjAHQAaQBvAG4AIgAsACIARQBuAHQAZQByAGkAYwBNAGUAdABoAGEAbgBlAF8ARABhAGkAcgB5AF8ARQBxAHUAYQB0AGkAbwBuAHMALgBWAEUARQBSAEcAXwAzAF8AMwBfADEAXwAxAF8AXwA0AF8AQQBkAGQAaQB0AGkAbwBuAGEAbABJAG4AdABhAGsAZQBGAG8AcgBNAGkAbABrAFAAcgBvAGQAdQBjAHQAaQBvAG4AXwBUAGkAdABsAGUAIgAsACIARQBuAHQAZQByAGkAYwBNAGUAdABoAGEAbgBlAF8ARABhAGkAcgB5AF8ARQBxAHUAYQB0AGkAbwBuAHMALgBWAEUARQBSAEcAXwAzAF8AMwBfADEAXwAxAF8AXwA0AF8AQQBkAGQAaQB0AGkAbwBuAGEAbABJAG4AdABhAGsAZQBGAG8AcgBNAGkAbABrAFAAcgBvAGQAdQBjAHQAaQBvAG4AXwBWAGEAcgBpAGEAYgBsAGUAIgAsACIARQBuAHQAZQByAGkAYwBNAGUAdABoAGEAbgBlAF8ARABhAGkAcgB5AF8ARQBxAHUAYQB0AGkAbwBuAHMALgBWAEUARQBSAEcAXwAzAF8AMwBfADEAXwAxAF8AXwA0AF8AQQBkAGQAaQB0AGkAbwBuAGEAbABJAG4AdABhAGsAZQBGAG8AcgBNAGkAbABrAFAAcgBvAGQAdQBjAHQAaQBvAG4AXwBVAG4AaQB0ACIALAAiAEUAbgB0AGUAcgBpAGMATQBlAHQAaABhAG4AZQBfAEQAYQBpAHIAeQBfAEUAcQB1AGEAdABpAG8AbgBzAC4AVgBFAEUAUgBHAF8AMwBfADMAXwAxAF8AMQBfAF8ANABfAEEAZABkAGkAdABpAG8AbgBhAGwASQBuAHQAYQBrAGUARgBvAHIATQBpAGwAawBQAHIAbwBkAHUAYwB0AGkAbwBuAF8AUwBvAHUAcgBjAGUAIgAsACIARQBuAHQAZQByAGkAYwBNAGUAdABoAGEAbgBlAF8ARABhAGkAcgB5AF8ARQBxAHUAYQB0AGkAbwBuAHMALgBWAEUARQBSAEcAXwAzAF8AMwBfADEAXwAxAF8AXwA0AF8AQQBkAGQAaQB0AGkAbwBuAGEAbABJAG4AdABhAGsAZQBGAG8AcgBNAGkAbABrAFAAcgBvAGQAdQBjAHQAaQBvAG4AXwBOAEkAUgBSAGUAZgBlAHIAZQBuAGMAZQAiACwAIgBFAG4AdABlAHIAaQBjAE0AZQB0AGgAYQBuAGUAXwBEAGEAaQByAHkAXwBFAHEAdQBhAHQAaQBvAG4AcwAuAFYARQBFAFIARwBfADMAXwAzAF8AMQBfADEAXwBfADQAXwBBAGQAZABpAHQAaQBvAG4AYQBsAEkAbgB0AGEAawBlAEYAbwByAE0AaQBsAGsAUAByAG8AZAB1AGMAdABpAG8AbgBfAEwAYQB0AGUAeABFAHEAdQBhAHQAaQBvAG4AIgAsACIARQBuAHQAZQByAGkAYwBNAGUAdABoAGEAbgBlAF8ARABhAGkAcgB5AF8ARQBxAHUAYQB0AGkAbwBuAHMALgBWAEUARQBSAEcAXwAzAF8AMwBfADEAXwAxAF8AXwA0AF8AQQBkAGQAaQB0AGkAbwBuAGEAbABJAG4AdABhAGsAZQBGAG8AcgBNAGkAbABrAFAAcgBvAGQAdQBjAHQAaQBvAG4AXwBBAHIAZwB1AG0AZQBuAHQAcwAiACwAIgBFAG4AdABlAHIAaQBjAE0AZQB0AGgAYQBuAGUAXwBEAGEAaQByAHkAXwBFAHEAdQBhAHQAaQBvAG4AcwAuAFYARQBFAFIARwBfADMAXwAzAF8AMQBfADEAXwBfADUAXwBNAGkAbABrAFAAcgBvAGQAdQBjAHQAaQBvAG4ARgByAG8AbQBNAGkAbABrAFMAbwBsAGkAZABzACIALAAiAEUAbgB0AGUAcgBpAGMATQBlAHQAaABhAG4AZQBfAEQAYQBpAHIAeQBfAEUAcQB1AGEAdABpAG8AbgBzAC4AVgBFAEUAUgBHAF8AMwBfADMAXwAxAF8AMQBfAF8ANQBfAE0AaQBsAGsAUAByAG8AZAB1AGMAdABpAG8AbgBGAHIAbwBtAE0AaQBsAGsAUwBvAGwAaQBkAHMAXwBUAGkAdABsAGUAIgAsACIARQBuAHQAZQByAGkAYwBNAGUAdABoAGEAbgBlAF8ARABhAGkAcgB5AF8ARQBxAHUAYQB0AGkAbwBuAHMALgBWAEUARQBSAEcAXwAzAF8AMwBfADEAXwAxAF8AXwA1AF8ATQBpAGwAawBQAHIAbwBkAHUAYwB0AGkAbwBuAEYAcgBvAG0ATQBpAGwAawBTAG8AbABpAGQAcwBfAFYAYQByAGkAYQBiAGwAZQAiACwAIgBFAG4AdABlAHIAaQBjAE0AZQB0AGgAYQBuAGUAXwBEAGEAaQByAHkAXwBFAHEAdQBhAHQAaQBvAG4AcwAuAFYARQBFAFIARwBfADMAXwAzAF8AMQBfADEAXwBfADUAXwBNAGkAbABrAFAAcgBvAGQAdQBjAHQAaQBvAG4ARgByAG8AbQBNAGkAbABrAFMAbwBsAGkAZABzAF8AVQBuAGkAdAAiACwAIgBFAG4AdABlAHIAaQBjAE0AZQB0AGgAYQBuAGUAXwBEAGEAaQByAHkAXwBFAHEAdQBhAHQAaQBvAG4AcwAuAFYARQBFAFIARwBfADMAXwAzAF8AMQBfADEAXwBfADUAXwBNAGkAbABrAFAAcgBvAGQAdQBjAHQAaQBvAG4ARgByAG8AbQBNAGkAbABrAFMAbwBsAGkAZABzAF8AUwBvAHUAcgBjAGUAIgAsACIARQBuAHQAZQByAGkAYwBNAGUAdABoAGEAbgBlAF8ARABhAGkAcgB5AF8ARQBxAHUAYQB0AGkAbwBuAHMALgBWAEUARQBSAEcAXwAzAF8AMwBfADEAXwAxAF8AXwA1AF8ATQBpAGwAawBQAHIAbwBkAHUAYwB0AGkAbwBuAEYAcgBvAG0ATQBpAGwAawBTAG8AbABpAGQAcwBfAE4ASQBSAFIAZQBmAGUAcgBlAG4AYwBlACIALAAiAEUAbgB0AGUAcgBpAGMATQBlAHQAaABhAG4AZQBfAEQAYQBpAHIAeQBfAEUAcQB1AGEAdABpAG8AbgBzAC4AVgBFAEUAUgBHAF8AMwBfADMAXwAxAF8AMQBfAF8ANQBfAE0AaQBsAGsAUAByAG8AZAB1AGMAdABpAG8AbgBGAHIAbwBtAE0AaQBsAGsAUwBvAGwAaQBkAHMAXwBMAGEAdABlAHgARQBxAHUAYQB0AGkAbwBuACIALAAiAEUAbgB0AGUAcgBpAGMATQBlAHQAaABhAG4AZQBfAEQAYQBpAHIAeQBfAEUAcQB1AGEAdABpAG8AbgBzAC4AVgBFAEUAUgBHAF8AMwBfADMAXwAxAF8AMQBfAF8ANQBfAE0AaQBsAGsAUAByAG8AZAB1AGMAdABpAG8AbgBGAHIAbwBtAE0AaQBsAGsAUwBvAGwAaQBkAHMAXwBBAHIAZwB1AG0AZQBuAHQAcwAiACwAIgBFAG4AdABlAHIAaQBjAE0AZQB0AGgAYQBuAGUAXwBEAGEAaQByAHkAXwBFAHEAdQBhAHQAaQBvAG4AcwAuAFYARQBFAFIARwBfADMAXwAzAF8AMQBfADEAXwBfADYAXwBNAGUAdABhAGIAbwBsAGkAcwBhAGIAaQBsAGkAdAB5AE8AZgBEAGkAZQB0ACIALAAiAEUAbgB0AGUAcgBpAGMATQBlAHQAaABhAG4AZQBfAEQAYQBpAHIAeQBfAEUAcQB1AGEAdABpAG8AbgBzAC4AVgBFAEUAUgBHAF8AMwBfADMAXwAxAF8AMQBfAF8ANgBfAE0AZQB0AGEAYgBvAGwAaQBzAGEAYgBpAGwAaQB0AHkATwBmAEQAaQBlAHQAXwBUAGkAdABsAGUAIgAsACIARQBuAHQAZQByAGkAYwBNAGUAdABoAGEAbgBlAF8ARABhAGkAcgB5AF8ARQBxAHUAYQB0AGkAbwBuAHMALgBWAEUARQBSAEcAXwAzAF8AMwBfADEAXwAxAF8AXwA2AF8ATQBlAHQAYQBiAG8AbABpAHMAYQBiAGkAbABpAHQAeQBPAGYARABpAGUAdABfAFYAYQByAGkAYQBiAGwAZQAiACwAIgBFAG4AdABlAHIAaQBjAE0AZQB0AGgAYQBuAGUAXwBEAGEAaQByAHkAXwBFAHEAdQBhAHQAaQBvAG4AcwAuAFYARQBFAFIARwBfADMAXwAzAF8AMQBfADEAXwBfADYAXwBNAGUAdABhAGIAbwBsAGkAcwBhAGIAaQBsAGkAdAB5AE8AZgBEAGkAZQB0AF8AVQBuAGkAdAAiACwAIgBFAG4AdABlAHIAaQBjAE0AZQB0AGgAYQBuAGUAXwBEAGEAaQByAHkAXwBFAHEAdQBhAHQAaQBvAG4AcwAuAFYARQBFAFIARwBfADMAXwAzAF8AMQBfADEAXwBfADYAXwBNAGUAdABhAGIAbwBsAGkAcwBhAGIAaQBsAGkAdAB5AE8AZgBEAGkAZQB0AF8AUwBvAHUAcgBjAGUAIgAsACIARQBuAHQAZQByAGkAYwBNAGUAdABoAGEAbgBlAF8ARABhAGkAcgB5AF8ARQBxAHUAYQB0AGkAbwBuAHMALgBWAEUARQBSAEcAXwAzAF8AMwBfADEAXwAxAF8AXwA2AF8ATQBlAHQAYQBiAG8AbABpAHMAYQBiAGkAbABpAHQAeQBPAGYARABpAGUAdABfAE4ASQBSAFIAZQBmAGUAcgBlAG4AYwBlACIALAAiAEUAbgB0AGUAcgBpAGMATQBlAHQAaABhAG4AZQBfAEQAYQBpAHIAeQBfAEUAcQB1AGEAdABpAG8AbgBzAC4AVgBFAEUAUgBHAF8AMwBfADMAXwAxAF8AMQBfAF8ANgBfAE0AZQB0AGEAYgBvAGwAaQBzAGEAYgBpAGwAaQB0AHkATwBmAEQAaQBlAHQAXwBMAGEAdABlAHgARQBxAHUAYQB0AGkAbwBuACIALAAiAEUAbgB0AGUAcgBpAGMATQBlAHQAaABhAG4AZQBfAEQAYQBpAHIAeQBfAEUAcQB1AGEAdABpAG8AbgBzAC4AVgBFAEUAUgBHAF8AMwBfADMAXwAxAF8AMQBfAF8ANgBfAE0AZQB0AGEAYgBvAGwAaQBzAGEAYgBpAGwAaQB0AHkATwBmAEQAaQBlAHQAXwBBAHIAZwB1AG0AZQBuAHQAcwAiACwAIgBJAG4AcAB1AHQARgB1AG4AYwB0AGkAbwBuAHMAXwBEAGEAaQByAHkALgBDAGEAbABjAHUAbABhAHQAZQBGAHIAYQBjAHQAaQBvAG4ASQBuAE0ATQBTAEEAZgB0AGUAcgBTAG8AbABpAGQAUwBlAHAAYQByAGEAdABpAG8AbgAiACwAIgBJAG4AcAB1AHQARgB1AG4AYwB0AGkAbwBuAHMAXwBEAGEAaQByAHkALgBDAGEAbABjAHUAbABhAHQAZQBGAHIAYQBjAHQAaQBvAG4ASQBuAFMAbwBsAGkAZABTAHQAbwByAGEAZwBlACIALAAiAE0ATQBTAF8ARABhAGkAcgB5AF8ATABlAGEAYwBoAGkAbgBnAEEAbgBkAFIAdQBuAG8AZgBmAF8ARQBxAHUAYQB0AGkAbwBuAHMALgBWAEUARQBSAEcAXwA0AF8AMwBfADEAXwA2AF8AXwAxAF8AQQBuAG4AdQBhAGwARQBtAGkAcwBzAGkAbwBuAHMARgByAG8AbQBMAGUAYQBjAGgAaQBuAGcAQQBuAGQAUgB1AG4AbwBmAGYARgByAG8AbQBNAE0AUwAiACwAIgBNAE0AUwBfAEQAYQBpAHIAeQBfAEwAZQBhAGMAaABpAG4AZwBBAG4AZABSAHUAbgBvAGYAZgBfAEUAcQB1AGEAdABpAG8AbgBzAC4AVgBFAEUAUgBHAF8ANABfADMAXwAxAF8ANgBfAF8AMQBfAEEAbgBuAHUAYQBsAEUAbQBpAHMAcwBpAG8AbgBzAEYAcgBvAG0ATABlAGEAYwBoAGkAbgBnAEEAbgBkAFIAdQBuAG8AZgBmAEYAcgBvAG0ATQBNAFMAXwBUAGkAdABsAGUAIgAsACIATQBNAFMAXwBEAGEAaQByAHkAXwBMAGUAYQBjAGgAaQBuAGcAQQBuAGQAUgB1AG4AbwBmAGYAXwBFAHEAdQBhAHQAaQBvAG4AcwAuAFYARQBFAFIARwBfADQAXwAzAF8AMQBfADYAXwBfADEAXwBBAG4AbgB1AGEAbABFAG0AaQBzAHMAaQBvAG4AcwBGAHIAbwBtAEwAZQBhAGMAaABpAG4AZwBBAG4AZABSAHUAbgBvAGYAZgBGAHIAbwBtAE0ATQBTAF8AVgBhAHIAaQBhAGIAbABlACIALAAiAE0ATQBTAF8ARABhAGkAcgB5AF8ATABlAGEAYwBoAGkAbgBnAEEAbgBkAFIAdQBuAG8AZgBmAF8ARQBxAHUAYQB0AGkAbwBuAHMALgBWAEUARQBSAEcAXwA0AF8AMwBfADEAXwA2AF8AXwAxAF8AQQBuAG4AdQBhAGwARQBtAGkAcwBzAGkAbwBuAHMARgByAG8AbQBMAGUAYQBjAGgAaQBuAGcAQQBuAGQAUgB1AG4AbwBmAGYARgByAG8AbQBNAE0AUwBfAFUAbgBpAHQAIgAsACIATQBNAFMAXwBEAGEAaQByAHkAXwBMAGUAYQBjAGgAaQBuAGcAQQBuAGQAUgB1AG4AbwBmAGYAXwBFAHEAdQBhAHQAaQBvAG4AcwAuAFYARQBFAFIARwBfADQAXwAzAF8AMQBfADYAXwBfADEAXwBBAG4AbgB1AGEAbABFAG0AaQBzAHMAaQBvAG4AcwBGAHIAbwBtAEwAZQBhAGMAaABpAG4AZwBBAG4AZABSAHUAbgBvAGYAZgBGAHIAbwBtAE0ATQBTAF8AUwBvAHUAcgBjAGUAIgAsACIATQBNAFMAXwBEAGEAaQByAHkAXwBMAGUAYQBjAGgAaQBuAGcAQQBuAGQAUgB1AG4AbwBmAGYAXwBFAHEAdQBhAHQAaQBvAG4AcwAuAFYARQBFAFIARwBfADQAXwAzAF8AMQBfADYAXwBfADEAXwBBAG4AbgB1AGEAbABFAG0AaQBzAHMAaQBvAG4AcwBGAHIAbwBtAEwAZQBhAGMAaABpAG4AZwBBAG4AZABSAHUAbgBvAGYAZgBGAHIAbwBtAE0ATQBTAF8ATgBJAFIAUgBlAGYAZQByAGUAbgBjAGUAIgAsACIATQBNAFMAXwBEAGEAaQByAHkAXwBMAGUAYQBjAGgAaQBuAGcAQQBuAGQAUgB1AG4AbwBmAGYAXwBFAHEAdQBhAHQAaQBvAG4AcwAuAFYARQBFAFIARwBfADQAXwAzAF8AMQBfADYAXwBfADEAXwBBAG4AbgB1AGEAbABFAG0AaQBzAHMAaQBvAG4AcwBGAHIAbwBtAEwAZQBhAGMAaABpAG4AZwBBAG4AZABSAHUAbgBvAGYAZgBGAHIAbwBtAE0ATQBTAF8ATABhAHQAZQB4AEUAcQB1AGEAdABpAG8AbgAiACwAIgBNAE0AUwBfAEQAYQBpAHIAeQBfAEwAZQBhAGMAaABpAG4AZwBBAG4AZABSAHUAbgBvAGYAZgBfAEUAcQB1AGEAdABpAG8AbgBzAC4AVgBFAEUAUgBHAF8ANABfADMAXwAxAF8ANgBfAF8AMQBfAEEAbgBuAHUAYQBsAEUAbQBpAHMAcwBpAG8AbgBzAEYAcgBvAG0ATABlAGEAYwBoAGkAbgBnAEEAbgBkAFIAdQBuAG8AZgBmAEYAcgBvAG0ATQBNAFMAXwBBAHIAZwB1AG0AZQBuAHQAcwAiACwAIgBNAE0AUwBfAEQAYQBpAHIAeQBfAEwAZQBhAGMAaABpAG4AZwBBAG4AZABSAHUAbgBvAGYAZgBfAEUAcQB1AGEAdABpAG8AbgBzAC4AVgBFAEUAUgBHAF8ANABfADMAXwAxAF8ANgBfAF8AMgBfAE0AYQBzAHMATwBmAE4AaQB0AHIAbwBnAGUAbgBMAG8AcwB0AFQAbwBMAGUAYQBjAGgAaQBuAGcAQQBuAGQAUgB1AG4AbwBmAGYARgByAG8AbQBTAG8AbABpAGQAUwB0AG8AcgBhAGcAZQAiACwAIgBNAE0AUwBfAEQAYQBpAHIAeQBfAEwAZQBhAGMAaABpAG4AZwBBAG4AZABSAHUAbgBvAGYAZgBfAEUAcQB1AGEAdABpAG8AbgBzAC4AVgBFAEUAUgBHAF8ANABfADMAXwAxAF8ANgBfAF8AMgBfAE0AYQBzAHMATwBmAE4AaQB0AHIAbwBnAGUAbgBMAG8AcwB0AFQAbwBMAGUAYQBjAGgAaQBuAGcAQQBuAGQAUgB1AG4AbwBmAGYARgByAG8AbQBTAG8AbABpAGQAUwB0AG8AcgBhAGcAZQBfAFQAaQB0AGwAZQAiACwAIgBNAE0AUwBfAEQAYQBpAHIAeQBfAEwAZQBhAGMAaABpAG4AZwBBAG4AZABSAHUAbgBvAGYAZgBfAEUAcQB1AGEAdABpAG8AbgBzAC4AVgBFAEUAUgBHAF8ANABfADMAXwAxAF8ANgBfAF8AMgBfAE0AYQBzAHMATwBmAE4AaQB0AHIAbwBnAGUAbgBMAG8AcwB0AFQAbwBMAGUAYQBjAGgAaQBuAGcAQQBuAGQAUgB1AG4AbwBmAGYARgByAG8AbQBTAG8AbABpAGQAUwB0AG8AcgBhAGcAZQBfAFYAYQByAGkAYQBiAGwAZQAiACwAIgBNAE0AUwBfAEQAYQBpAHIAeQBfAEwAZQBhAGMAaABpAG4AZwBBAG4AZABSAHUAbgBvAGYAZgBfAEUAcQB1AGEAdABpAG8AbgBzAC4AVgBFAEUAUgBHAF8ANABfADMAXwAxAF8ANgBfAF8AMgBfAE0AYQBzAHMATwBmAE4AaQB0AHIAbwBnAGUAbgBMAG8AcwB0AFQAbwBMAGUAYQBjAGgAaQBuAGcAQQBuAGQAUgB1AG4AbwBmAGYARgByAG8AbQBTAG8AbABpAGQAUwB0AG8AcgBhAGcAZQBfAFUAbgBpAHQAIgAsACIATQBNAFMAXwBEAGEAaQByAHkAXwBMAGUAYQBjAGgAaQBuAGcAQQBuAGQAUgB1AG4AbwBmAGYAXwBFAHEAdQBhAHQAaQBvAG4AcwAuAFYARQBFAFIARwBfADQAXwAzAF8AMQBfADYAXwBfADIAXwBNAGEAcwBzAE8AZgBOAGkAdAByAG8AZwBlAG4ATABvAHMAdABUAG8ATABlAGEAYwBoAGkAbgBnAEEAbgBkAFIAdQBuAG8AZgBmAEYAcgBvAG0AUwBvAGwAaQBkAFMAdABvAHIAYQBnAGUAXwBTAG8AdQByAGMAZQAiACwAIgBNAE0AUwBfAEQAYQBpAHIAeQBfAEwAZQBhAGMAaABpAG4AZwBBAG4AZABSAHUAbgBvAGYAZgBfAEUAcQB1AGEAdABpAG8AbgBzAC4AVgBFAEUAUgBHAF8ANABfADMAXwAxAF8ANgBfAF8AMgBfAE0AYQBzAHMATwBmAE4AaQB0AHIAbwBnAGUAbgBMAG8AcwB0AFQAbwBMAGUAYQBjAGgAaQBuAGcAQQBuAGQAUgB1AG4AbwBmAGYARgByAG8AbQBTAG8AbABpAGQAUwB0AG8AcgBhAGcAZQBfAE4ASQBSAFIAZQBmAGUAcgBlAG4AYwBlACIALAAiAE0ATQBTAF8ARABhAGkAcgB5AF8ATABlAGEAYwBoAGkAbgBnAEEAbgBkAFIAdQBuAG8AZgBmAF8ARQBxAHUAYQB0AGkAbwBuAHMALgBWAEUARQBSAEcAXwA0AF8AMwBfADEAXwA2AF8AXwAyAF8ATQBhAHMAcwBPAGYATgBpAHQAcgBvAGcAZQBuAEwAbwBzAHQAVABvAEwAZQBhAGMAaABpAG4AZwBBAG4AZABSAHUAbgBvAGYAZgBGAHIAbwBtAFMAbwBsAGkAZABTAHQAbwByAGEAZwBlAF8ATABhAHQAZQB4AEUAcQB1AGEAdABpAG8AbgAiACwAIgBNAE0AUwBfAEQAYQBpAHIAeQBfAEwAZQBhAGMAaABpAG4AZwBBAG4AZABSAHUAbgBvAGYAZgBfAEUAcQB1AGEAdABpAG8AbgBzAC4AVgBFAEUAUgBHAF8ANABfADMAXwAxAF8ANgBfAF8AMgBfAE0AYQBzAHMATwBmAE4AaQB0AHIAbwBnAGUAbgBMAG8AcwB0AFQAbwBMAGUAYQBjAGgAaQBuAGcAQQBuAGQAUgB1AG4AbwBmAGYARgByAG8AbQBTAG8AbABpAGQAUwB0AG8AcgBhAGcAZQBfAEEAcgBnAHUAbQBlAG4AdABzACIALAAiAE0ATQBTAF8ARABhAGkAcgB5AF8AUwBvAGkAbABfAE4AMgBPAEQAaQByAGUAYwB0AF8ARQBxAHUAYQB0AGkAbwBuAHMALgBWAEUARQBSAEcAXwA0AF8AMwBfADEAXwA5AF8AXwAxAF8ARABpAHIAZQBjAHQATgBpAHQAcgBvAHUAcwBPAHgAaQBkAGUARQBtAGkAcwBzAGkAbwBuAHMATwBuAFAAYQBzAHQAdQByAGUAIgAsACIATQBNAFMAXwBEAGEAaQByAHkAXwBTAG8AaQBsAF8ATgAyAE8ARABpAHIAZQBjAHQAXwBFAHEAdQBhAHQAaQBvAG4AcwAuAFYARQBFAFIARwBfADQAXwAzAF8AMQBfADkAXwBfADEAXwBEAGkAcgBlAGMAdABOAGkAdAByAG8AdQBzAE8AeABpAGQAZQBFAG0AaQBzAHMAaQBvAG4AcwBPAG4AUABhAHMAdAB1AHIAZQBfAFQAaQB0AGwAZQAiACwAIgBNAE0AUwBfAEQAYQBpAHIAeQBfAFMAbwBpAGwAXwBOADIATwBEAGkAcgBlAGMAdABfAEUAcQB1AGEAdABpAG8AbgBzAC4AVgBFAEUAUgBHAF8ANABfADMAXwAxAF8AOQBfAF8AMQBfAEQAaQByAGUAYwB0AE4AaQB0AHIAbwB1AHMATwB4AGkAZABlAEUAbQBpAHMAcwBpAG8AbgBzAE8AbgBQAGEAcwB0AHUAcgBlAF8AVgBhAHIAaQBhAGIAbABlACIALAAiAE0ATQBTAF8ARABhAGkAcgB5AF8AUwBvAGkAbABfAE4AMgBPAEQAaQByAGUAYwB0AF8ARQBxAHUAYQB0AGkAbwBuAHMALgBWAEUARQBSAEcAXwA0AF8AMwBfADEAXwA5AF8AXwAxAF8ARABpAHIAZQBjAHQATgBpAHQAcgBvAHUAcwBPAHgAaQBkAGUARQBtAGkAcwBzAGkAbwBuAHMATwBuAFAAYQBzAHQAdQByAGUAXwBVAG4AaQB0ACIALAAiAE0ATQBTAF8ARABhAGkAcgB5AF8AUwBvAGkAbABfAE4AMgBPAEQAaQByAGUAYwB0AF8ARQBxAHUAYQB0AGkAbwBuAHMALgBWAEUARQBSAEcAXwA0AF8AMwBfADEAXwA5AF8AXwAxAF8ARABpAHIAZQBjAHQATgBpAHQAcgBvAHUAcwBPAHgAaQBkAGUARQBtAGkAcwBzAGkAbwBuAHMATwBuAFAAYQBzAHQAdQByAGUAXwBTAG8AdQByAGMAZQAiACwAIgBNAE0AUwBfAEQAYQBpAHIAeQBfAFMAbwBpAGwAXwBOADIATwBEAGkAcgBlAGMAdABfAEUAcQB1AGEAdABpAG8AbgBzAC4AVgBFAEUAUgBHAF8ANABfADMAXwAxAF8AOQBfAF8AMQBfAEQAaQByAGUAYwB0AE4AaQB0AHIAbwB1AHMATwB4AGkAZABlAEUAbQBpAHMAcwBpAG8AbgBzAE8AbgBQAGEAcwB0AHUAcgBlAF8ATgBJAFIAUgBlAGYAZQByAGUAbgBjAGUAIgAsACIATQBNAFMAXwBEAGEAaQByAHkAXwBTAG8AaQBsAF8ATgAyAE8ARABpAHIAZQBjAHQAXwBFAHEAdQBhAHQAaQBvAG4AcwAuAFYARQBFAFIARwBfADQAXwAzAF8AMQBfADkAXwBfADEAXwBEAGkAcgBlAGMAdABOAGkAdAByAG8AdQBzAE8AeABpAGQAZQBFAG0AaQBzAHMAaQBvAG4AcwBPAG4AUABhAHMAdAB1AHIAZQBfAEwAYQB0AGUAeABFAHEAdQBhAHQAaQBvAG4AIgAsACIATQBNAFMAXwBEAGEAaQByAHkAXwBTAG8AaQBsAF8ATgAyAE8ARABpAHIAZQBjAHQAXwBFAHEAdQBhAHQAaQBvAG4AcwAuAFYARQBFAFIARwBfADQAXwAzAF8AMQBfADkAXwBfADEAXwBEAGkAcgBlAGMAdABOAGkAdAByAG8AdQBzAE8AeABpAGQAZQBFAG0AaQBzAHMAaQBvAG4AcwBPAG4AUABhAHMAdAB1AHIAZQBfAEEAcgBnAHUAbQBlAG4AdABzACIALAAiAE0ATQBTAF8ARABhAGkAcgB5AF8AUwBvAGkAbABfAEEAdABtAG8AcwBwAGgAZQByAGkAYwBEAGUAcABvAHMAaQB0AGkAbwBuAF8ARQBxAHUAYQB0AGkAbwBuAHMALgBWAEUARQBSAEcAXwA0AF8AMwBfADEAXwAxADAAXwBfADEAXwBBAHQAbQBvAHMAcABoAGUAcgBpAGMARABlAHAAbwBzAGkAdABpAG8AbgBFAG0AaQBzAHMAaQBvAG4AcwBGAHIAbwBtAFUAcgBpAG4AZQBBAG4AZABEAHUAbgBnAE8AbgBQAGEAcwB0AHUAcgBlACIALAAiAE0ATQBTAF8ARABhAGkAcgB5AF8AUwBvAGkAbABfAEEAdABtAG8AcwBwAGgAZQByAGkAYwBEAGUAcABvAHMAaQB0AGkAbwBuAF8ARQBxAHUAYQB0AGkAbwBuAHMALgBWAEUARQBSAEcAXwA0AF8AMwBfADEAXwAxADAAXwBfADEAXwBBAHQAbQBvAHMAcABoAGUAcgBpAGMARABlAHAAbwBzAGkAdABpAG8AbgBFAG0AaQBzAHMAaQBvAG4AcwBGAHIAbwBtAFUAcgBpAG4AZQBBAG4AZABEAHUAbgBnAE8AbgBQAGEAcwB0AHUAcgBlAF8AVABpAHQAbABlACIALAAiAE0ATQBTAF8ARABhAGkAcgB5AF8AUwBvAGkAbABfAEEAdABtAG8AcwBwAGgAZQByAGkAYwBEAGUAcABvAHMAaQB0AGkAbwBuAF8ARQBxAHUAYQB0AGkAbwBuAHMALgBWAEUARQBSAEcAXwA0AF8AMwBfADEAXwAxADAAXwBfADEAXwBBAHQAbQBvAHMAcABoAGUAcgBpAGMARABlAHAAbwBzAGkAdABpAG8AbgBFAG0AaQBzAHMAaQBvAG4AcwBGAHIAbwBtAFUAcgBpAG4AZQBBAG4AZABEAHUAbgBnAE8AbgBQAGEAcwB0AHUAcgBlAF8AVgBhAHIAaQBhAGIAbABlACIALAAiAE0ATQBTAF8ARABhAGkAcgB5AF8AUwBvAGkAbABfAEEAdABtAG8AcwBwAGgAZQByAGkAYwBEAGUAcABvAHMAaQB0AGkAbwBuAF8ARQBxAHUAYQB0AGkAbwBuAHMALgBWAEUARQBSAEcAXwA0AF8AMwBfADEAXwAxADAAXwBfADEAXwBBAHQAbQBvAHMAcABoAGUAcgBpAGMARABlAHAAbwBzAGkAdABpAG8AbgBFAG0AaQBzAHMAaQBvAG4AcwBGAHIAbwBtAFUAcgBpAG4AZQBBAG4AZABEAHUAbgBnAE8AbgBQAGEAcwB0AHUAcgBlAF8AVQBuAGkAdAAiACwAIgBNAE0AUwBfAEQAYQBpAHIAeQBfAFMAbwBpAGwAXwBBAHQAbQBvAHMAcABoAGUAcgBpAGMARABlAHAAbwBzAGkAdABpAG8AbgBfAEUAcQB1AGEAdABpAG8AbgBzAC4AVgBFAEUAUgBHAF8ANABfADMAXwAxAF8AMQAwAF8AXwAxAF8AQQB0AG0AbwBzAHAAaABlAHIAaQBjAEQAZQBwAG8AcwBpAHQAaQBvAG4ARQBtAGkAcwBzAGkAbwBuAHMARgByAG8AbQBVAHIAaQBuAGUAQQBuAGQARAB1AG4AZwBPAG4AUABhAHMAdAB1AHIAZQBfAFMAbwB1AHIAYwBlACIALAAiAE0ATQBTAF8ARABhAGkAcgB5AF8AUwBvAGkAbABfAEEAdABtAG8AcwBwAGgAZQByAGkAYwBEAGUAcABvAHMAaQB0AGkAbwBuAF8ARQBxAHUAYQB0AGkAbwBuAHMALgBWAEUARQBSAEcAXwA0AF8AMwBfADEAXwAxADAAXwBfADEAXwBBAHQAbQBvAHMAcABoAGUAcgBpAGMARABlAHAAbwBzAGkAdABpAG8AbgBFAG0AaQBzAHMAaQBvAG4AcwBGAHIAbwBtAFUAcgBpAG4AZQBBAG4AZABEAHUAbgBnAE8AbgBQAGEAcwB0AHUAcgBlAF8ATgBJAFIAUgBlAGYAZQByAGUAbgBjAGUAIgAsACIATQBNAFMAXwBEAGEAaQByAHkAXwBTAG8AaQBsAF8AQQB0AG0AbwBzAHAAaABlAHIAaQBjAEQAZQBwAG8AcwBpAHQAaQBvAG4AXwBFAHEAdQBhAHQAaQBvAG4AcwAuAFYARQBFAFIARwBfADQAXwAzAF8AMQBfADEAMABfAF8AMQBfAEEAdABtAG8AcwBwAGgAZQByAGkAYwBEAGUAcABvAHMAaQB0AGkAbwBuAEUAbQBpAHMAcwBpAG8AbgBzAEYAcgBvAG0AVQByAGkAbgBlAEEAbgBkAEQAdQBuAGcATwBuAFAAYQBzAHQAdQByAGUAXwBMAGEAdABlAHgARQBxAHUAYQB0AGkAbwBuACIALAAiAE0ATQBTAF8ARABhAGkAcgB5AF8AUwBvAGkAbABfAEEAdABtAG8AcwBwAGgAZQByAGkAYwBEAGUAcABvAHMAaQB0AGkAbwBuAF8ARQBxAHUAYQB0AGkAbwBuAHMALgBWAEUARQBSAEcAXwA0AF8AMwBfADEAXwAxADAAXwBfADEAXwBBAHQAbQBvAHMAcABoAGUAcgBpAGMARABlAHAAbwBzAGkAdABpAG8AbgBFAG0AaQBzAHMAaQBvAG4AcwBGAHIAbwBtAFUAcgBpAG4AZQBBAG4AZABEAHUAbgBnAE8AbgBQAGEAcwB0AHUAcgBlAF8AQQByAGcAdQBtAGUAbgB0AHMAIgAsACIATQBNAFMAXwBEAGEAaQByAHkAXwBTAG8AaQBsAF8AQQB0AG0AbwBzAHAAaABlAHIAaQBjAEQAZQBwAG8AcwBpAHQAaQBvAG4AXwBFAHEAdQBhAHQAaQBvAG4AcwAuAFYARQBFAFIARwBfADQAXwAzAF8AMQBfADEAMABfAF8AMgBfAE0AYQBzAHMATwBmAE4AaQB0AHIAbwBnAGUAbgBWAG8AbABhAHQAaQBsAGkAcwBlAGQATwBuAFAAYQBzAHQAdQByAGUAIgAsACIATQBNAFMAXwBEAGEAaQByAHkAXwBTAG8AaQBsAF8AQQB0AG0AbwBzAHAAaABlAHIAaQBjAEQAZQBwAG8AcwBpAHQAaQBvAG4AXwBFAHEAdQBhAHQAaQBvAG4AcwAuAFYARQBFAFIARwBfADQAXwAzAF8AMQBfADEAMABfAF8AMgBfAE0AYQBzAHMATwBmAE4AaQB0AHIAbwBnAGUAbgBWAG8AbABhAHQAaQBsAGkAcwBlAGQATwBuAFAAYQBzAHQAdQByAGUAXwBUAGkAdABsAGUAIgAsACIATQBNAFMAXwBEAGEAaQByAHkAXwBTAG8AaQBsAF8AQQB0AG0AbwBzAHAAaABlAHIAaQBjAEQAZQBwAG8AcwBpAHQAaQBvAG4AXwBFAHEAdQBhAHQAaQBvAG4AcwAuAFYARQBFAFIARwBfADQAXwAzAF8AMQBfADEAMABfAF8AMgBfAE0AYQBzAHMATwBmAE4AaQB0AHIAbwBnAGUAbgBWAG8AbABhAHQAaQBsAGkAcwBlAGQATwBuAFAAYQBzAHQAdQByAGUAXwBWAGEAcgBpAGEAYgBsAGUAIgAsACIATQBNAFMAXwBEAGEAaQByAHkAXwBTAG8AaQBsAF8AQQB0AG0AbwBzAHAAaABlAHIAaQBjAEQAZQBwAG8AcwBpAHQAaQBvAG4AXwBFAHEAdQBhAHQAaQBvAG4AcwAuAFYARQBFAFIARwBfADQAXwAzAF8AMQBfADEAMABfAF8AMgBfAE0AYQBzAHMATwBmAE4AaQB0AHIAbwBnAGUAbgBWAG8AbABhAHQAaQBsAGkAcwBlAGQATwBuAFAAYQBzAHQAdQByAGUAXwBVAG4AaQB0ACIALAAiAE0ATQBTAF8ARABhAGkAcgB5AF8AUwBvAGkAbABfAEEAdABtAG8AcwBwAGgAZQByAGkAYwBEAGUAcABvAHMAaQB0AGkAbwBuAF8ARQBxAHUAYQB0AGkAbwBuAHMALgBWAEUARQBSAEcAXwA0AF8AMwBfADEAXwAxADAAXwBfADIAXwBNAGEAcwBzAE8AZgBOAGkAdAByAG8AZwBlAG4AVgBvAGwAYQB0AGkAbABpAHMAZQBkAE8AbgBQAGEAcwB0AHUAcgBlAF8AUwBvAHUAcgBjAGUAIgAsACIATQBNAFMAXwBEAGEAaQByAHkAXwBTAG8AaQBsAF8AQQB0AG0AbwBzAHAAaABlAHIAaQBjAEQAZQBwAG8AcwBpAHQAaQBvAG4AXwBFAHEAdQBhAHQAaQBvAG4AcwAuAFYARQBFAFIARwBfADQAXwAzAF8AMQBfADEAMABfAF8AMgBfAE0AYQBzAHMATwBmAE4AaQB0AHIAbwBnAGUAbgBWAG8AbABhAHQAaQBsAGkAcwBlAGQATwBuAFAAYQBzAHQAdQByAGUAXwBOAEkAUgBSAGUAZgBlAHIAZQBuAGMAZQAiACwAIgBNAE0AUwBfAEQAYQBpAHIAeQBfAFMAbwBpAGwAXwBBAHQAbQBvAHMAcABoAGUAcgBpAGMARABlAHAAbwBzAGkAdABpAG8AbgBfAEUAcQB1AGEAdABpAG8AbgBzAC4AVgBFAEUAUgBHAF8ANABfADMAXwAxAF8AMQAwAF8AXwAyAF8ATQBhAHMAcwBPAGYATgBpAHQAcgBvAGcAZQBuAFYAbwBsAGEAdABpAGwAaQBzAGUAZABPAG4AUABhAHMAdAB1AHIAZQBfAEwAYQB0AGUAeABFAHEAdQBhAHQAaQBvAG4AIgAsACIATQBNAFMAXwBEAGEAaQByAHkAXwBTAG8AaQBsAF8AQQB0AG0AbwBzAHAAaABlAHIAaQBjAEQAZQBwAG8AcwBpAHQAaQBvAG4AXwBFAHEAdQBhAHQAaQBvAG4AcwAuAFYARQBFAFIARwBfADQAXwAzAF8AMQBfADEAMABfAF8AMgBfAE0AYQBzAHMATwBmAE4AaQB0AHIAbwBnAGUAbgBWAG8AbABhAHQAaQBsAGkAcwBlAGQATwBuAFAAYQBzAHQAdQByAGUAXwBBAHIAZwB1AG0AZQBuAHQAcwAiACwAIgBNAE0AUwBfAEQAYQBpAHIAeQBfAFMAbwBpAGwAXwBMAGUAYQBjAGgAaQBuAGcAQQBuAGQAUgB1AG4AbwBmAGYALgBWAEUARQBSAEcAXwA0AF8AMwBfADEAXwAxADIAXwBfADEAXwBMAGUAYQBjAGgAaQBuAGcAQQBuAGQAUgB1AG4AbwBmAGYARQBtAGkAcwBzAGkAbwBuAHMARgByAG8AbQBVAHIAaQBuAGUAQQBuAGQARAB1AG4AZwBPAG4AUABhAHMAdAB1AHIAZQAiACwAIgBNAE0AUwBfAEQAYQBpAHIAeQBfAFMAbwBpAGwAXwBMAGUAYQBjAGgAaQBuAGcAQQBuAGQAUgB1AG4AbwBmAGYALgBWAEUARQBSAEcAXwA0AF8AMwBfADEAXwAxADIAXwBfADEAXwBMAGUAYQBjAGgAaQBuAGcAQQBuAGQAUgB1AG4AbwBmAGYARQBtAGkAcwBzAGkAbwBuAHMARgByAG8AbQBVAHIAaQBuAGUAQQBuAGQARAB1AG4AZwBPAG4AUABhAHMAdAB1AHIAZQBfAFQAaQB0AGwAZQAiACwAIgBNAE0AUwBfAEQAYQBpAHIAeQBfAFMAbwBpAGwAXwBMAGUAYQBjAGgAaQBuAGcAQQBuAGQAUgB1AG4AbwBmAGYALgBWAEUARQBSAEcAXwA0AF8AMwBfADEAXwAxADIAXwBfADEAXwBMAGUAYQBjAGgAaQBuAGcAQQBuAGQAUgB1AG4AbwBmAGYARQBtAGkAcwBzAGkAbwBuAHMARgByAG8AbQBVAHIAaQBuAGUAQQBuAGQARAB1AG4AZwBPAG4AUABhAHMAdAB1AHIAZQBfAFYAYQByAGkAYQBiAGwAZQAiACwAIgBNAE0AUwBfAEQAYQBpAHIAeQBfAFMAbwBpAGwAXwBMAGUAYQBjAGgAaQBuAGcAQQBuAGQAUgB1AG4AbwBmAGYALgBWAEUARQBSAEcAXwA0AF8AMwBfADEAXwAxADIAXwBfADEAXwBMAGUAYQBjAGgAaQBuAGcAQQBuAGQAUgB1AG4AbwBmAGYARQBtAGkAcwBzAGkAbwBuAHMARgByAG8AbQBVAHIAaQBuAGUAQQBuAGQARAB1AG4AZwBPAG4AUABhAHMAdAB1AHIAZQBfAFUAbgBpAHQAIgAsACIATQBNAFMAXwBEAGEAaQByAHkAXwBTAG8AaQBsAF8ATABlAGEAYwBoAGkAbgBnAEEAbgBkAFIAdQBuAG8AZgBmAC4AVgBFAEUAUgBHAF8ANABfADMAXwAxAF8AMQAyAF8AXwAxAF8ATABlAGEAYwBoAGkAbgBnAEEAbgBkAFIAdQBuAG8AZgBmAEUAbQBpAHMAcwBpAG8AbgBzAEYAcgBvAG0AVQByAGkAbgBlAEEAbgBkAEQAdQBuAGcATwBuAFAAYQBzAHQAdQByAGUAXwBTAG8AdQByAGMAZQAiACwAIgBNAE0AUwBfAEQAYQBpAHIAeQBfAFMAbwBpAGwAXwBMAGUAYQBjAGgAaQBuAGcAQQBuAGQAUgB1AG4AbwBmAGYALgBWAEUARQBSAEcAXwA0AF8AMwBfADEAXwAxADIAXwBfADEAXwBMAGUAYQBjAGgAaQBuAGcAQQBuAGQAUgB1AG4AbwBmAGYARQBtAGkAcwBzAGkAbwBuAHMARgByAG8AbQBVAHIAaQBuAGUAQQBuAGQARAB1AG4AZwBPAG4AUABhAHMAdAB1AHIAZQBfAE4ASQBSAFIAZQBmAGUAcgBlAG4AYwBlACIALAAiAE0ATQBTAF8ARABhAGkAcgB5AF8AUwBvAGkAbABfAEwAZQBhAGMAaABpAG4AZwBBAG4AZABSAHUAbgBvAGYAZgAuAFYARQBFAFIARwBfADQAXwAzAF8AMQBfADEAMgBfAF8AMQBfAEwAZQBhAGMAaABpAG4AZwBBAG4AZABSAHUAbgBvAGYAZgBFAG0AaQBzAHMAaQBvAG4AcwBGAHIAbwBtAFUAcgBpAG4AZQBBAG4AZABEAHUAbgBnAE8AbgBQAGEAcwB0AHUAcgBlAF8ATABhAHQAZQB4AEUAcQB1AGEAdABpAG8AbgAiACwAIgBNAE0AUwBfAEQAYQBpAHIAeQBfAFMAbwBpAGwAXwBMAGUAYQBjAGgAaQBuAGcAQQBuAGQAUgB1AG4AbwBmAGYALgBWAEUARQBSAEcAXwA0AF8AMwBfADEAXwAxADIAXwBfADEAXwBMAGUAYQBjAGgAaQBuAGcAQQBuAGQAUgB1AG4AbwBmAGYARQBtAGkAcwBzAGkAbwBuAHMARgByAG8AbQBVAHIAaQBuAGUAQQBuAGQARAB1AG4AZwBPAG4AUABhAHMAdAB1AHIAZQBfAEEAcgBnAHUAbQBlAG4AdABzACIALAAiAE0ATQBTAF8ARABhAGkAcgB5AF8AUwBvAGkAbABfAEwAZQBhAGMAaABpAG4AZwBBAG4AZABSAHUAbgBvAGYAZgAuAFYARQBFAFIARwBfADQAXwAzAF8AMQBfADEAMgBfAF8AMgBfAE0AYQBzAHMATwBmAE4AaQB0AHIAbwBnAGUAbgBMAG8AcwB0AFQAbwBMAGUAYQBjAGgAaQBuAGcAQQBuAGQAUgB1AG4AbwBmAGYATwBuAFAAYQBzAHQAdQByAGUAIgAsACIATQBNAFMAXwBEAGEAaQByAHkAXwBTAG8AaQBsAF8ATABlAGEAYwBoAGkAbgBnAEEAbgBkAFIAdQBuAG8AZgBmAC4AVgBFAEUAUgBHAF8ANABfADMAXwAxAF8AMQAyAF8AXwAyAF8ATQBhAHMAcwBPAGYATgBpAHQAcgBvAGcAZQBuAEwAbwBzAHQAVABvAEwAZQBhAGMAaABpAG4AZwBBAG4AZABSAHUAbgBvAGYAZgBPAG4AUABhAHMAdAB1AHIAZQBfAFQAaQB0AGwAZQAiACwAIgBNAE0AUwBfAEQAYQBpAHIAeQBfAFMAbwBpAGwAXwBMAGUAYQBjAGgAaQBuAGcAQQBuAGQAUgB1AG4AbwBmAGYALgBWAEUARQBSAEcAXwA0AF8AMwBfADEAXwAxADIAXwBfADIAXwBNAGEAcwBzAE8AZgBOAGkAdAByAG8AZwBlAG4ATABvAHMAdABUAG8ATABlAGEAYwBoAGkAbgBnAEEAbgBkAFIAdQBuAG8AZgBmAE8AbgBQAGEAcwB0AHUAcgBlAF8AVgBhAHIAaQBhAGIAbABlACIALAAiAE0ATQBTAF8ARABhAGkAcgB5AF8AUwBvAGkAbABfAEwAZQBhAGMAaABpAG4AZwBBAG4AZABSAHUAbgBvAGYAZgAuAFYARQBFAFIARwBfADQAXwAzAF8AMQBfADEAMgBfAF8AMgBfAE0AYQBzAHMATwBmAE4AaQB0AHIAbwBnAGUAbgBMAG8AcwB0AFQAbwBMAGUAYQBjAGgAaQBuAGcAQQBuAGQAUgB1AG4AbwBmAGYATwBuAFAAYQBzAHQAdQByAGUAXwBVAG4AaQB0ACIALAAiAE0ATQBTAF8ARABhAGkAcgB5AF8AUwBvAGkAbABfAEwAZQBhAGMAaABpAG4AZwBBAG4AZABSAHUAbgBvAGYAZgAuAFYARQBFAFIARwBfADQAXwAzAF8AMQBfADEAMgBfAF8AMgBfAE0AYQBzAHMATwBmAE4AaQB0AHIAbwBnAGUAbgBMAG8AcwB0AFQAbwBMAGUAYQBjAGgAaQBuAGcAQQBuAGQAUgB1AG4AbwBmAGYATwBuAFAAYQBzAHQAdQByAGUAXwBTAG8AdQByAGMAZQAiACwAIgBNAE0AUwBfAEQAYQBpAHIAeQBfAFMAbwBpAGwAXwBMAGUAYQBjAGgAaQBuAGcAQQBuAGQAUgB1AG4AbwBmAGYALgBWAEUARQBSAEcAXwA0AF8AMwBfADEAXwAxADIAXwBfADIAXwBNAGEAcwBzAE8AZgBOAGkAdAByAG8AZwBlAG4ATABvAHMAdABUAG8ATABlAGEAYwBoAGkAbgBnAEEAbgBkAFIAdQBuAG8AZgBmAE8AbgBQAGEAcwB0AHUAcgBlAF8ATgBJAFIAUgBlAGYAZQByAGUAbgBjAGUAIgAsACIATQBNAFMAXwBEAGEAaQByAHkAXwBTAG8AaQBsAF8ATABlAGEAYwBoAGkAbgBnAEEAbgBkAFIAdQBuAG8AZgBmAC4AVgBFAEUAUgBHAF8ANABfADMAXwAxAF8AMQAyAF8AXwAyAF8ATQBhAHMAcwBPAGYATgBpAHQAcgBvAGcAZQBuAEwAbwBzAHQAVABvAEwAZQBhAGMAaABpAG4AZwBBAG4AZABSAHUAbgBvAGYAZgBPAG4AUABhAHMAdAB1AHIAZQBfAEwAYQB0AGUAeABFAHEAdQBhAHQAaQBvAG4AIgAsACIATQBNAFMAXwBEAGEAaQByAHkAXwBTAG8AaQBsAF8ATABlAGEAYwBoAGkAbgBnAEEAbgBkAFIAdQBuAG8AZgBmAC4AVgBFAEUAUgBHAF8ANABfADMAXwAxAF8AMQAyAF8AXwAyAF8ATQBhAHMAcwBPAGYATgBpAHQAcgBvAGcAZQBuAEwAbwBzAHQAVABvAEwAZQBhAGMAaABpAG4AZwBBAG4AZABSAHUAbgBvAGYAZgBPAG4AUABhAHMAdAB1AHIAZQBfAEEAcgBnAHUAbQBlAG4AdABzACIAXQAsACIAbABvAGMAYQBsAGUAIgA6AHsAIgBsAGkAcwB0AFMAZQBwAGEAcgBhAHQAbwByACIAOgAiACwAIgAsACIAcgBvAHcAUwBlAHAAYQByAGEAdABvAHIAIgA6ACIAOwAiACwAIgBjAG8AbAB1AG0AbgBTAGUAcABhAHIAYQB0AG8AcgAiADoAIgAsACIALAAiAHQAaABvAHUAcwBhAG4AZABzAFMAZQBwAGEAcgBhAHQAbwByACIAOgAiACwAIgAsACIAdABoAG8AdQBzAGEAbgBkAHMAUABvAHMAaQB0AGkAbwBuAHMAIgA6AFsAMwBdACwAIgBkAGUAYwBpAG0AYQBsAFMAZQBwAGEAcgBhAHQAbwByACIAOgAiAC4AIgAsACIAZABhAHQAZQBPAHIAZABlAHIAIgA6ACIARABNAFkAIgAsACIAYwB1AHIAcgBlAG4AYwB5AFMAeQBtAGIAbwBsACIAOgAiACQAIgAsACIAaQBzAEMAdQByAHIAZQBuAGMAeQBTAHkAbQBiAG8AbABMAGUAYQBkACIAOgB0AHIAdQBlACwAIgBpAHMAQwB1AHIAcgBlAG4AYwB5AFMAZQBwAEIAeQBTAHAAYQBjAGUAIgA6AGYAYQBsAHMAZQAsACIAcgBvAHcATABlAHQAdABlAHIAIgA6ACIAUgAiACwAIgBjAG8AbAB1AG0AbgBMAGUAdAB0AGUAcgAiADoAIgBDACIALAAiAHIAYwBMAGUAZgB0AEIAcgBhAGMAawBlAHQAIgA6ACIAWwAiACwAIgByAGMAUgBpAGcAaAB0AEIAcgBhAGMAawBlAHQAIgA6ACIAXQAiACwAIgBzAHQAYQB0AGUAbQBlAG4AdABTAGUAcABhAHIAYQB0AG8AcgAiADoAIgA7ACIALAAiAGwAbwBjAGEAbABlAE4AYQBtAGUAIgA6ACIAZQBuAC0AdQBzACIAfQB9AA==</AFEJSONBlob>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ct:contentTypeSchema xmlns:ct="http://schemas.microsoft.com/office/2006/metadata/contentType" xmlns:ma="http://schemas.microsoft.com/office/2006/metadata/properties/metaAttributes" ct:_="" ma:_="" ma:contentTypeName="Document" ma:contentTypeID="0x010100ACB660BB23738846A00119B5826AC974" ma:contentTypeVersion="11" ma:contentTypeDescription="Create a new document." ma:contentTypeScope="" ma:versionID="3e3613359d4ae7f6bda6c57be713f101">
  <xsd:schema xmlns:xsd="http://www.w3.org/2001/XMLSchema" xmlns:xs="http://www.w3.org/2001/XMLSchema" xmlns:p="http://schemas.microsoft.com/office/2006/metadata/properties" xmlns:ns2="7291119c-fce9-4911-96ae-b800be5dccd8" xmlns:ns3="09eef6d6-daa8-4301-8f9f-b1ec38079286" targetNamespace="http://schemas.microsoft.com/office/2006/metadata/properties" ma:root="true" ma:fieldsID="87491bfad7f11426ad96486e70428b3e" ns2:_="" ns3:_="">
    <xsd:import namespace="7291119c-fce9-4911-96ae-b800be5dccd8"/>
    <xsd:import namespace="09eef6d6-daa8-4301-8f9f-b1ec38079286"/>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MediaServiceObjectDetectorVersion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7291119c-fce9-4911-96ae-b800be5dccd8"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MediaServiceObjectDetectorVersions" ma:index="11" nillable="true" ma:displayName="MediaServiceObjectDetectorVersions" ma:hidden="true" ma:indexed="true" ma:internalName="MediaServiceObjectDetectorVersions" ma:readOnly="true">
      <xsd:simpleType>
        <xsd:restriction base="dms:Text"/>
      </xsd:simpleType>
    </xsd:element>
    <xsd:element name="lcf76f155ced4ddcb4097134ff3c332f" ma:index="13" nillable="true" ma:taxonomy="true" ma:internalName="lcf76f155ced4ddcb4097134ff3c332f" ma:taxonomyFieldName="MediaServiceImageTags" ma:displayName="Image Tags" ma:readOnly="false" ma:fieldId="{5cf76f15-5ced-4ddc-b409-7134ff3c332f}" ma:taxonomyMulti="true" ma:sspId="db163b37-248a-4bdb-8038-6e8df1cc47ab" ma:termSetId="09814cd3-568e-fe90-9814-8d621ff8fb84" ma:anchorId="fba54fb3-c3e1-fe81-a776-ca4b69148c4d" ma:open="true" ma:isKeyword="false">
      <xsd:complexType>
        <xsd:sequence>
          <xsd:element ref="pc:Terms" minOccurs="0" maxOccurs="1"/>
        </xsd:sequence>
      </xsd:complexType>
    </xsd:element>
    <xsd:element name="MediaServiceDateTaken" ma:index="15" nillable="true" ma:displayName="MediaServiceDateTaken" ma:hidden="true" ma:indexed="true" ma:internalName="MediaServiceDateTaken" ma:readOnly="true">
      <xsd:simpleType>
        <xsd:restriction base="dms:Text"/>
      </xsd:simpleType>
    </xsd:element>
    <xsd:element name="MediaServiceOCR" ma:index="16" nillable="true" ma:displayName="Extracted Text" ma:internalName="MediaServiceOCR" ma:readOnly="true">
      <xsd:simpleType>
        <xsd:restriction base="dms:Note">
          <xsd:maxLength value="255"/>
        </xsd:restriction>
      </xsd:simpleType>
    </xsd:element>
    <xsd:element name="MediaServiceGenerationTime" ma:index="17" nillable="true" ma:displayName="MediaServiceGenerationTime" ma:hidden="true" ma:internalName="MediaServiceGenerationTime" ma:readOnly="true">
      <xsd:simpleType>
        <xsd:restriction base="dms:Text"/>
      </xsd:simpleType>
    </xsd:element>
    <xsd:element name="MediaServiceEventHashCode" ma:index="18" nillable="true" ma:displayName="MediaServiceEventHashCode" ma:hidden="true" ma:internalName="MediaServiceEventHashCode" ma:readOnly="true">
      <xsd:simpleType>
        <xsd:restriction base="dms:Text"/>
      </xsd:simpleType>
    </xsd:element>
  </xsd:schema>
  <xsd:schema xmlns:xsd="http://www.w3.org/2001/XMLSchema" xmlns:xs="http://www.w3.org/2001/XMLSchema" xmlns:dms="http://schemas.microsoft.com/office/2006/documentManagement/types" xmlns:pc="http://schemas.microsoft.com/office/infopath/2007/PartnerControls" targetNamespace="09eef6d6-daa8-4301-8f9f-b1ec38079286" elementFormDefault="qualified">
    <xsd:import namespace="http://schemas.microsoft.com/office/2006/documentManagement/types"/>
    <xsd:import namespace="http://schemas.microsoft.com/office/infopath/2007/PartnerControls"/>
    <xsd:element name="TaxCatchAll" ma:index="14" nillable="true" ma:displayName="Taxonomy Catch All Column" ma:hidden="true" ma:list="{152b9829-e58f-4759-907b-e4bc75f6ae89}" ma:internalName="TaxCatchAll" ma:showField="CatchAllData" ma:web="09eef6d6-daa8-4301-8f9f-b1ec38079286">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4.xml><?xml version="1.0" encoding="utf-8"?>
<p:properties xmlns:p="http://schemas.microsoft.com/office/2006/metadata/properties" xmlns:xsi="http://www.w3.org/2001/XMLSchema-instance" xmlns:pc="http://schemas.microsoft.com/office/infopath/2007/PartnerControls">
  <documentManagement>
    <TaxCatchAll xmlns="09eef6d6-daa8-4301-8f9f-b1ec38079286" xsi:nil="true"/>
    <lcf76f155ced4ddcb4097134ff3c332f xmlns="7291119c-fce9-4911-96ae-b800be5dccd8">
      <Terms xmlns="http://schemas.microsoft.com/office/infopath/2007/PartnerControls"/>
    </lcf76f155ced4ddcb4097134ff3c332f>
  </documentManagement>
</p:properties>
</file>

<file path=customXml/itemProps1.xml><?xml version="1.0" encoding="utf-8"?>
<ds:datastoreItem xmlns:ds="http://schemas.openxmlformats.org/officeDocument/2006/customXml" ds:itemID="{B6BE249C-20B1-4A62-BBCD-F2A46D88BCAB}">
  <ds:schemaRefs>
    <ds:schemaRef ds:uri="http://schemas.advancedformulaenvironment.officeapps.live.com/afejsonblob/1.0"/>
  </ds:schemaRefs>
</ds:datastoreItem>
</file>

<file path=customXml/itemProps2.xml><?xml version="1.0" encoding="utf-8"?>
<ds:datastoreItem xmlns:ds="http://schemas.openxmlformats.org/officeDocument/2006/customXml" ds:itemID="{9A9CF321-0D35-4044-BC72-33748FE2B865}">
  <ds:schemaRefs>
    <ds:schemaRef ds:uri="http://schemas.microsoft.com/sharepoint/v3/contenttype/forms"/>
  </ds:schemaRefs>
</ds:datastoreItem>
</file>

<file path=customXml/itemProps3.xml><?xml version="1.0" encoding="utf-8"?>
<ds:datastoreItem xmlns:ds="http://schemas.openxmlformats.org/officeDocument/2006/customXml" ds:itemID="{809E3D44-A88D-4EBF-A307-6B8CE77A3361}">
  <ds:schemaRefs>
    <ds:schemaRef ds:uri="http://schemas.microsoft.com/office/2006/metadata/contentType"/>
    <ds:schemaRef ds:uri="http://schemas.microsoft.com/office/2006/metadata/properties/metaAttributes"/>
    <ds:schemaRef ds:uri="http://www.w3.org/2001/XMLSchema"/>
    <ds:schemaRef ds:uri="http://schemas.microsoft.com/office/2006/metadata/properties"/>
    <ds:schemaRef ds:uri="7291119c-fce9-4911-96ae-b800be5dccd8"/>
    <ds:schemaRef ds:uri="09eef6d6-daa8-4301-8f9f-b1ec38079286"/>
    <ds:schemaRef ds:uri="http://schemas.microsoft.com/office/2006/documentManagement/types"/>
    <ds:schemaRef ds:uri="http://schemas.microsoft.com/office/infopath/2007/PartnerControls"/>
    <ds:schemaRef ds:uri="http://schemas.openxmlformats.org/package/2006/metadata/core-properties"/>
    <ds:schemaRef ds:uri="http://purl.org/dc/elements/1.1/"/>
    <ds:schemaRef ds:uri="http://purl.org/dc/terms/"/>
    <ds:schemaRef ds:uri="http://schemas.microsoft.com/internal/obd"/>
  </ds:schemaRefs>
</ds:datastoreItem>
</file>

<file path=customXml/itemProps4.xml><?xml version="1.0" encoding="utf-8"?>
<ds:datastoreItem xmlns:ds="http://schemas.openxmlformats.org/officeDocument/2006/customXml" ds:itemID="{CD460F9D-420A-4723-B323-396E4D19EC9B}">
  <ds:schemaRefs>
    <ds:schemaRef ds:uri="http://schemas.microsoft.com/office/2006/metadata/properties"/>
    <ds:schemaRef ds:uri="http://schemas.microsoft.com/office/infopath/2007/PartnerControls"/>
    <ds:schemaRef ds:uri="09eef6d6-daa8-4301-8f9f-b1ec38079286"/>
    <ds:schemaRef ds:uri="7291119c-fce9-4911-96ae-b800be5dccd8"/>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17</vt:i4>
      </vt:variant>
    </vt:vector>
  </HeadingPairs>
  <TitlesOfParts>
    <vt:vector size="17" baseType="lpstr">
      <vt:lpstr>Home</vt:lpstr>
      <vt:lpstr>Results</vt:lpstr>
      <vt:lpstr>Input - Site</vt:lpstr>
      <vt:lpstr>Input - Dairy</vt:lpstr>
      <vt:lpstr>4.3.1.1-2 Methane</vt:lpstr>
      <vt:lpstr>4.3.1.3-4 Direct N20</vt:lpstr>
      <vt:lpstr>4.3.1.5 Atmos deposition</vt:lpstr>
      <vt:lpstr>4.3.1.6-7 Leaching and runoff</vt:lpstr>
      <vt:lpstr>4.3.1.8 Manure applied to soils</vt:lpstr>
      <vt:lpstr>4.3.1.9 Soil direct N2O</vt:lpstr>
      <vt:lpstr>4.3.1.10-11 Soil Atmos Dep</vt:lpstr>
      <vt:lpstr>4.3.1.12-13 Soil leach runoff</vt:lpstr>
      <vt:lpstr>Constants - Dairy</vt:lpstr>
      <vt:lpstr>Constants - Common</vt:lpstr>
      <vt:lpstr>Constants - Livestock</vt:lpstr>
      <vt:lpstr>Acknowledgements</vt:lpstr>
      <vt:lpstr>Tab template</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Paul Kotz</dc:creator>
  <cp:lastModifiedBy>Paul Kotz</cp:lastModifiedBy>
  <dcterms:created xsi:type="dcterms:W3CDTF">2025-11-17T03:37:23Z</dcterms:created>
  <dcterms:modified xsi:type="dcterms:W3CDTF">2026-04-10T06:24:34Z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0x010100ACB660BB23738846A00119B5826AC974</vt:lpwstr>
  </property>
  <property fmtid="{D5CDD505-2E9C-101B-9397-08002B2CF9AE}" pid="3" name="MediaServiceImageTags">
    <vt:lpwstr/>
  </property>
</Properties>
</file>