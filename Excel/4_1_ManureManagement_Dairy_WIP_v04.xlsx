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0CBE919-E147-40F1-BC3E-2A3FB5238287}" xr6:coauthVersionLast="47" xr6:coauthVersionMax="47" xr10:uidLastSave="{00000000-0000-0000-0000-000000000000}"/>
  <bookViews>
    <workbookView xWindow="615" yWindow="240" windowWidth="37755" windowHeight="20445" firstSheet="1" activeTab="1" xr2:uid="{992023F3-CAB7-4E5B-A348-08D563A0EF40}"/>
  </bookViews>
  <sheets>
    <sheet name="Home" sheetId="71" r:id="rId1"/>
    <sheet name="Results" sheetId="13" r:id="rId2"/>
    <sheet name="Input - Site" sheetId="15" r:id="rId3"/>
    <sheet name="Input - Dairy" sheetId="70" r:id="rId4"/>
    <sheet name="4.3.1.1-2 Methane" sheetId="69" r:id="rId5"/>
    <sheet name="4.3.1.3-4 Direct N20" sheetId="76" r:id="rId6"/>
    <sheet name="4.3.1.5 Atmos deposition" sheetId="82" r:id="rId7"/>
    <sheet name="4.3.1.6-7 Leaching and runoff" sheetId="95" r:id="rId8"/>
    <sheet name="4.3.1.8 Manure applied to soils" sheetId="81" r:id="rId9"/>
    <sheet name="4.3.1.9 Soil direct N2O" sheetId="96" r:id="rId10"/>
    <sheet name="4.3.1.10-11 Soil Atmos Dep" sheetId="97" r:id="rId11"/>
    <sheet name="4.3.1.12-13 Soil leach runoff" sheetId="98" r:id="rId12"/>
    <sheet name="Constants - Dairy" sheetId="79" r:id="rId13"/>
    <sheet name="Constants - Common" sheetId="93" r:id="rId14"/>
    <sheet name="Constants - Livestock" sheetId="43" r:id="rId15"/>
    <sheet name="Acknowledgements" sheetId="72" r:id="rId16"/>
    <sheet name="Tab template" sheetId="74" r:id="rId17"/>
  </sheets>
  <externalReferences>
    <externalReference r:id="rId18"/>
    <externalReference r:id="rId19"/>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 localSheetId="10">_xlfn.LAMBDA(_xlpm.Month,_xlpm.LivestockClass,_xlpm.HeadAtStart,_xlpm.LiveweightAtStart,_xlpm.LiveweightGain, [0]!CommonLivestock_InputFunctions.LivestockMovement_ProportionalAverageLiveweightAddedDuringMonth(_xlpm.Month, _xlpm.LivestockClass, _xlpm.HeadAtStart) + '4.3.1.10-11 Soil Atmos Dep'!CommonLivestock_InputFunctions.LivestockMovement_ProportionalAverageLiveweightRemainingAtEndOfMonth(_xlpm.Month,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[0]!CommonLivestock_InputFunctions.LivestockMovement_ProportionalAverageLiveweightAddedDuringMonth(_xlpm.Month, _xlpm.LivestockClass, _xlpm.HeadAtStart) + '4.3.1.12-13 Soil leach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7">_xlfn.LAMBDA(_xlpm.Month,_xlpm.LivestockClass,_xlpm.HeadAtStart,_xlpm.LiveweightAtStart,_xlpm.LiveweightGain, [0]!CommonLivestock_InputFunctions.LivestockMovement_ProportionalAverageLiveweightAddedDuringMonth(_xlpm.Month, _xlpm.LivestockClass, _xlpm.HeadAtStart) + '4.3.1.6-7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9">_xlfn.LAMBDA(_xlpm.Month,_xlpm.LivestockClass,_xlpm.HeadAtStart,_xlpm.LiveweightAtStart,_xlpm.LiveweightGain, [0]!CommonLivestock_InputFunctions.LivestockMovement_ProportionalAverageLiveweightAddedDuringMonth(_xlpm.Month, _xlpm.LivestockClass, _xlpm.HeadAtStart) + '4.3.1.9 Soil direct N2O'!CommonLivestock_InputFunctions.LivestockMovement_ProportionalAverageLiveweightRemainingAtEndOfMonth(_xlpm.Month,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10">_xlfn.LAMBDA(_xlpm.LivestockClass,_xlpm.MovementDate,_xlpm.WeightAtMovementDate,_xlpm.Head, IFERROR(_xlpm.Head * (_xlpm.WeightAtMovementDate + '4.3.1.10-11 Soil Atmos Dep'!CommonLivestock_InputFunctions.LivestockMovement_LiveweightGrownDuringMonthPerHead(_xlpm.LivestockClass,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'4.3.1.12-13 Soil leach runoff'!CommonLivestock_InputFunctions.LivestockMovement_LiveweightGrownDuringMonthPerHead(_xlpm.LivestockClass, _xlpm.MovementDate)), 0))</definedName>
    <definedName name="CommonLivestock_InputFunctions.LivestockMovement_LiveweightAddedDuringMonth" localSheetId="7">_xlfn.LAMBDA(_xlpm.LivestockClass,_xlpm.MovementDate,_xlpm.WeightAtMovementDate,_xlpm.Head, IFERROR(_xlpm.Head * (_xlpm.WeightAtMovementDate + '4.3.1.6-7 Leaching and runoff'!CommonLivestock_InputFunctions.LivestockMovement_LiveweightGrownDuringMonthPerHead(_xlpm.LivestockClass, _xlpm.MovementDate)), 0))</definedName>
    <definedName name="CommonLivestock_InputFunctions.LivestockMovement_LiveweightAddedDuringMonth" localSheetId="9">_xlfn.LAMBDA(_xlpm.LivestockClass,_xlpm.MovementDate,_xlpm.WeightAtMovementDate,_xlpm.Head, IFERROR(_xlpm.Head * (_xlpm.WeightAtMovementDate + '4.3.1.9 Soil direct N2O'!CommonLivestock_InputFunctions.LivestockMovement_LiveweightGrownDuringMonthPerHead(_xlpm.LivestockClass,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10">_xlfn.LAMBDA(_xlpm.LivestockClass,_xlpm.Month, '4.3.1.10-11 Soil Atmos Dep'!CommonLivestock_InputFunctions.LivestockMovement_LiveweightGrownDuringMonthPerHead(_xlpm.LivestockClass,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'4.3.1.12-13 Soil leach runoff'!CommonLivestock_InputFunctions.LivestockMovement_LiveweightGrownDuringMonthPerHead(_xlpm.LivestockClass, EOMONTH(_xlpm.Month, -1) + 1))</definedName>
    <definedName name="CommonLivestock_InputFunctions.LivestockMovement_LiveweightGrownFromMonthStartPerHead" localSheetId="7">_xlfn.LAMBDA(_xlpm.LivestockClass,_xlpm.Month, '4.3.1.6-7 Leaching and runoff'!CommonLivestock_InputFunctions.LivestockMovement_LiveweightGrownDuringMonthPerHead(_xlpm.LivestockClass, EOMONTH(_xlpm.Month, -1) + 1))</definedName>
    <definedName name="CommonLivestock_InputFunctions.LivestockMovement_LiveweightGrownFromMonthStartPerHead" localSheetId="9">_xlfn.LAMBDA(_xlpm.LivestockClass,_xlpm.Month, '4.3.1.9 Soil direct N2O'!CommonLivestock_InputFunctions.LivestockMovement_LiveweightGrownDuringMonthPerHead(_xlpm.LivestockClass,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10">_xlfn.LAMBDA(_xlpm.LivestockClass,_xlpm.Month,_xlpm.HeadAtStartOfMonth, [0]!CommonLivestock_InputFunctions.LivestockMovement_HeadRemainingAtMonthEnd(_xlpm.Month, _xlpm.LivestockClass, _xlpm.HeadAtStartOfMonth) * '4.3.1.10-11 Soil Atmos Dep'!CommonLivestock_InputFunctions.LivestockMovement_LiveweightGrownFromMonthStartPerHead(_xlpm.LivestockClass,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[0]!CommonLivestock_InputFunctions.LivestockMovement_HeadRemainingAtMonthEnd(_xlpm.Month, _xlpm.LivestockClass, _xlpm.HeadAtStartOfMonth) * '4.3.1.12-13 Soil leach runoff'!CommonLivestock_InputFunctions.LivestockMovement_LiveweightGrownFromMonthStartPerHead(_xlpm.LivestockClass, _xlpm.Month))</definedName>
    <definedName name="CommonLivestock_InputFunctions.LivestockMovement_LiveweightGrownFromMonthStartTotal" localSheetId="7">_xlfn.LAMBDA(_xlpm.LivestockClass,_xlpm.Month,_xlpm.HeadAtStartOfMonth, [0]!CommonLivestock_InputFunctions.LivestockMovement_HeadRemainingAtMonthEnd(_xlpm.Month, _xlpm.LivestockClass, _xlpm.HeadAtStartOfMonth) * '4.3.1.6-7 Leaching and runoff'!CommonLivestock_InputFunctions.LivestockMovement_LiveweightGrownFromMonthStartPerHead(_xlpm.LivestockClass, _xlpm.Month))</definedName>
    <definedName name="CommonLivestock_InputFunctions.LivestockMovement_LiveweightGrownFromMonthStartTotal" localSheetId="9">_xlfn.LAMBDA(_xlpm.LivestockClass,_xlpm.Month,_xlpm.HeadAtStartOfMonth, [0]!CommonLivestock_InputFunctions.LivestockMovement_HeadRemainingAtMonthEnd(_xlpm.Month, _xlpm.LivestockClass, _xlpm.HeadAtStartOfMonth) * '4.3.1.9 Soil direct N2O'!CommonLivestock_InputFunctions.LivestockMovement_LiveweightGrownFromMonthStartPerHead(_xlpm.LivestockClass,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10">_xlfn.LAMBDA(_xlpm.LivestockClass,_xlpm.MovementDate,_xlpm.Head, '4.3.1.10-11 Soil Atmos Dep'!CommonLivestock_InputFunctions.LivestockMovement_LiveweightGrownDuringMonthPerHead(_xlpm.LivestockClass,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'4.3.1.12-13 Soil leach runoff'!CommonLivestock_InputFunctions.LivestockMovement_LiveweightGrownDuringMonthPerHead(_xlpm.LivestockClass, _xlpm.MovementDate) * _xlpm.Head)</definedName>
    <definedName name="CommonLivestock_InputFunctions.LivestockMovement_LiveweightGrownFromMovementDateTotal" localSheetId="7">_xlfn.LAMBDA(_xlpm.LivestockClass,_xlpm.MovementDate,_xlpm.Head, '4.3.1.6-7 Leaching and runoff'!CommonLivestock_InputFunctions.LivestockMovement_LiveweightGrownDuringMonthPerHead(_xlpm.LivestockClass, _xlpm.MovementDate) * _xlpm.Head)</definedName>
    <definedName name="CommonLivestock_InputFunctions.LivestockMovement_LiveweightGrownFromMovementDateTotal" localSheetId="9">_xlfn.LAMBDA(_xlpm.LivestockClass,_xlpm.MovementDate,_xlpm.Head, '4.3.1.9 Soil direct N2O'!CommonLivestock_InputFunctions.LivestockMovement_LiveweightGrownDuringMonthPerHead(_xlpm.LivestockClass,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10">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7">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9">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10">_xlfn.LAMBDA(_xlpm.Month,_xlpm.LivestockClass,_xlpm.HeadAtStart, '4.3.1.10-11 Soil Atmos Dep'!CommonLivestock_InputFunctions.LivestockMovement_LiveweightGrownFromMonthStartTotal(_xlpm.LivestockClass,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'4.3.1.12-13 Soil leach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7">_xlfn.LAMBDA(_xlpm.Month,_xlpm.LivestockClass,_xlpm.HeadAtStart, '4.3.1.6-7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9">_xlfn.LAMBDA(_xlpm.Month,_xlpm.LivestockClass,_xlpm.HeadAtStart, '4.3.1.9 Soil direct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_xlfn.LAMBDA(_xlfn.MAKEARRAY(7, 2, _xlfn.LAMBDA(_xlpm.r,_xlpm.c, INDEX({"N_j124","number of dairy cattle in classes j=1,2,4 (head)";"M_j124","daily enteric methane production for classes j=1,2,4 (kg CH4/head/day)";"D_j124","duration of stay on the farm for classes j=1,2,4 (days)";"N_j35","number of dairy cattle in classes j=3,5 (head)";"M_j35","daily enteric methane production for classes j=3,5 (kg CH4/head/day)";"D_j35","duration of stay on the farm for classes j=3,5 (days)";"MPW_ENTERIC_j35","daily methane production for pre-weaned heifer and bull calves (kg CH4/head/day)"}, _xlpm.r, _xlpm.c))))</definedName>
    <definedName name="EntericMethane_Dairy_Equations.VEERG_3_3_1_1__1_TotalAnnualMethaneFromEntericFermentation_LatexEquation">_xlfn.LAMBDA("E_{enteric}=((N_{j=1,2,4}\times M_{j=1,2,4}\times D_{j=1,2,4})+(N_{j=3,5}\times M_{j=3,5}\times D_{j=3,5})+(N_{j=3,5}\times MPW_{ENTERIC,j=3,5}\times D_{j=3,5}))\times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2, _xlfn.LAMBDA(_xlpm.r,_xlpm.c, INDEX({"I_j","dry matter feed intake (kg DM/head/day)"},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2, _xlfn.LAMBDA(_xlpm.r,_xlpm.c, INDEX({"W_j","liveweight (kg)";"LWG_j","liveweight gain (kg/head/day)";"MR_j","increase in metabolic rate when producing milk (fraction)";"MI_j","additional intake required for milk production (kg DM/head/day)"},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_xlfn.LAMBDA("Minson and McDonald (1987)")</definedName>
    <definedName name="EntericMethane_Dairy_Equations.VEERG_3_3_1_1__3_DryMatterFeedIntake_Source">_xlfn.LAMBDA("VEERG 2026: 3.3.1.1, Equation (3)")</definedName>
    <definedName name="EntericMethane_Dairy_Equations.VEERG_3_3_1_1__3_DryMatterFeedIntake_Title">_xlfn.LAMBDA("Feed intake based on Minson and McDonald (1987)")</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_xlfn.LAMBDA(_xlfn.MAKEARRAY(5, 2, _xlfn.LAMBDA(_xlpm.r,_xlpm.c, INDEX({"MP_j","milk production (L/head/day)";"NE","net energy (MJ net energy/kg milk)";"GEC","gross energy content (MJ/kgDM)";"k","efficiency of metabolizable energy use for milk production (fraction)";"qm_j","metabolisability of the diet (fraction)"},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_xlfn.LAMBDA(_xlfn.MAKEARRAY(3, 2, _xlfn.LAMBDA(_xlpm.r,_xlpm.c, INDEX({"MS_j","daily production of milk solids (kg MS/head/day)";"FC_j","fat content in fat and protein corrected milk (per cent)";"PC_j","protein content in fat and protein corrected milk (per cent)"}, _xlpm.r, _xlpm.c))))</definedName>
    <definedName name="EntericMethane_Dairy_Equations.VEERG_3_3_1_1__5_MilkProductionFromMilkSolids_LatexEquation">_xlfn.LAMBDA("MP_j=MS_j/(0.01\times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2, _xlfn.LAMBDA(_xlpm.r,_xlpm.c, INDEX({"DMD_j","dry matter digestibility expressed as a fraction"},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_xlfn.LAMBDA("Minson and McDonald (1987)")</definedName>
    <definedName name="EntericMethane_Dairy_Equations.VEERG_3_3_1_1__6_MetabolisabilityOfDiet_Source">_xlfn.LAMBDA("VEERG 2026: 3.3.1.1, Equation (6)")</definedName>
    <definedName name="EntericMethane_Dairy_Equations.VEERG_3_3_1_1__6_MetabolisabilityOfDiet_Title">_xlfn.LAMBDA("Metabolisability of the diet based on Minson and McDonald (1987)")</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2, _xlfn.LAMBDA(_xlpm.r,_xlpm.c, INDEX({"MN_ATMOS","mass of N volatilised from MMS (kg N)";"EF_N2O","nitrous oxide emission factor for atmospheric deposition (kg N2O-N/kg N)";"C_N2O","factor to convert elemental mass of N2O to molecular mass";"j","production system";"ir","irrigation method";"r","rainfall region"},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2, _xlfn.LAMBDA(_xlpm.r,_xlpm.c, INDEX({"MN_jm","total nitrogen in each MMS for dairy cattle classes (kg N)";"FracGASM_m","fraction of N volatilised from MMS (fraction)"},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2, _xlfn.LAMBDA(_xlpm.r,_xlpm.c, INDEX({"MNLeach_jm","mass of N lost through leaching and runoff";"EF_leach","nitrous oxide emission factor for leaching and runoff (kg N2O-N/kg N)";"C_N2O","factor to convert elemental mass of N2O to molecular mass"},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2, _xlfn.LAMBDA(_xlpm.r,_xlpm.c, INDEX({"MN_jm4","total nitrogen in solid storage system m=4 (kg N)";"FracWET_i","fraction of N that is available for leaching and runoff from the leaching zone z and irrigation type ir (dimensionless)";"FracLEACH_MS","fraction of N that is lost through leaching and runoff (dimensionless)";"z","location in leaching zone";"j","production system";"ir","irrigation method"},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N)";"PF_scope","fraction of manure applied to soil within farm boundary"},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N)";"PF","fraction of manure applied to soil within farm boundary"},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2, _xlfn.LAMBDA(_xlpm.r,_xlpm.c, INDEX({"N_j124","number of dairy cattle in classes j=1,2,4";"M_j124m","methane production from manure of weaned dairy cattle in classes j=1,2,4 in MMS m (kg CH4/head/day)";"D_j124","duration of stay on farm for classes j=1,2,4 (days)";"N_j35","number of dairy cattle in classes j=3,5";"M_j35m","methane production from manure of weaned dairy cattle in classes j=3,5 in MMS m (kg CH4/head/day)";"D_j35","duration of stay on farm for classes j=3,5 (days)";"MPW_manure_j35","methane production from manure of pre-weaned heifer and bull calves (kg CH4/head/day)";"DPW_j35","duration of stay on farm for pre-weaned heifer and bull calves (days)"},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2, _xlfn.LAMBDA(_xlpm.r,_xlpm.c, INDEX({"VS_j","daily volatile solids production per head for dairy cattle (kg/head/day)";"FVS_jmT1","fraction of waste from each class in each management system";"MCF_im","methane conversion factor for temperature zone and MMS";"B_o","emissions potential (m3 CH4/kgVS)";"rho","density of methane (kg/m3)";"i","state"},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2, _xlfn.LAMBDA(_xlpm.r,_xlpm.c, INDEX({"I_j","dry matter feed intake (kgDM/head/day)";"DMD_j","dry matter digestibility";"A","ash content of feed intake"},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2, _xlfn.LAMBDA(_xlpm.r,_xlpm.c, INDEX({"MMS_jm","fraction of manure to each primary MMS for each class prior to solid separation";"SS_m","fraction of volatile solids separated to solid storage for each MMS"},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2, _xlfn.LAMBDA(_xlpm.r,_xlpm.c, INDEX({"MMS_jm4","fraction of volatile solids in solid storage before transfer";"MMS_jm179","fraction of volatile solids in MMS m=1,7,9 before transfer";"SS_m","fraction of volatile solids separated to solid storage for each MMS"},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2, _xlfn.LAMBDA(_xlpm.r,_xlpm.c, INDEX({"MN_jm","total nitrogen in each MMS for dairy cattle classes (kg N)";"EF_m","nitrous oxide emission factor for each MMS (kg N2O-N/kg N deposited)";"C_N2O","factor to convert elemental mass of N2O to molecular mass"},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2, _xlfn.LAMBDA(_xlpm.r,_xlpm.c, INDEX({"AE_j","total nitrogen excreted by each dairy class (kg N)";"MMS_jm","manure management system fraction for class j and system m"},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2, _xlfn.LAMBDA(_xlpm.r,_xlpm.c, INDEX({"N_j124","number of dairy cattle in classes j=1,2,4";"NE_j124","nitrogen excreted by dairy cattle greater than one year old (kg N/head/day)";"D_j124","duration of stay on farm for classes j=1,2,4 (days)"},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2, _xlfn.LAMBDA(_xlpm.r,_xlpm.c, INDEX({"N_j35","number of dairy cattle in classes j=3,5";"NE_j35","nitrogen excreted by weaned dairy cattle less than one year old (kg N/head/day)";"NPW_j35","nitrogen excreted by pre-weaned calves (kg N/head/day)";"D_j35","duration of stay on farm for weaned dairy cattle less than one year old (days)";"DPW_j35","duration of stay on farm for pre-weaned calves (days)"},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2, _xlfn.LAMBDA(_xlpm.r,_xlpm.c, INDEX({"CPI_j","crude protein intake (kg/head/day)";"NR_j","amount of nitrogen retained by the body (kg N/head/day)";"W_j","liveweight (kg)"},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2, _xlfn.LAMBDA(_xlpm.r,_xlpm.c, INDEX({"I_j","dry matter intake (kgDM/head/day)";"CP_j","crude protein content of feed intake (fraction)"},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_xlfn.LAMBDA(_xlfn.MAKEARRAY(4, 2, _xlfn.LAMBDA(_xlpm.r,_xlpm.c, INDEX({"MP_j","milk production (L/head/day)";"L_j","intake relative to maintenance";"Z_j","relative size";"LWG_j","liveweight gain (kg/day)"},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2, _xlfn.LAMBDA(_xlpm.r,_xlpm.c, INDEX({"I_j","dry matter intake (kgDM/head/day)";"W_j","liveweight (kg)";"MR_j","increase in metabolic rate when producing milk";"MI_j","additional intake required for milk production (kgDM/head/day)"},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2, _xlfn.LAMBDA(_xlpm.r,_xlpm.c, INDEX({"W_j","liveweight (kg)";"WR_j","reference weight (kg)"},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2, _xlfn.LAMBDA(_xlpm.r,_xlpm.c, INDEX({"M_vol_m14","mass of nitrogen volatilised from urine and faeces deposited on pasture (kg N)";"EF_N2O","nitrous oxide emission factor for atmospheric deposition (kg N2O-N/kg N)";"C_N2O","factor to convert elemental mass of N2O to molecular mass";"j","production system";"ir","irrigation method";"r","rainfall region"},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2, _xlfn.LAMBDA(_xlpm.r,_xlpm.c, INDEX({"MN_jm14","mass of nitrogen excreted on pasture, range and paddock for each dairy class (kg N)";"FracGASMsoil","fraction of nitrogen volatilised from urine and faeces deposited on pasture ((kg NH3-N + NOx-N)/kg N)"},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2, _xlfn.LAMBDA(_xlpm.r,_xlpm.c, INDEX({"M_leach_m14","mass of nitrogen lost to leaching and runoff from urine and faeces deposited on pasture (kg N)";"EF_leach","nitrous oxide emission factor for leaching and runoff (kg N2O-N/kg N)";"C_N2O","factor to convert elemental mass of N2O to molecular mass"},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2, _xlfn.LAMBDA(_xlpm.r,_xlpm.c, INDEX({"MN_jm14","mass of nitrogen excreted on pasture, range and paddock for each dairy class (kg N)";"FracWet","fraction of N available for leaching and runoff";"FracLEACH","fraction of N lost through leaching and runoff";"z","location in leaching zone";"j","production system";"ir","irrigation method"},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2, _xlfn.LAMBDA(_xlpm.r,_xlpm.c, INDEX({"MN_jm14","mass of nitrogen excreted on pasture, range, and paddock for each dairy cattle class (kg N)";"EF_PRP","emission factor for nitrous oxide emissions for urine and dung deposited on PRP (kg N2O-N/kg N deposited)";"C_N2O","factor to convert elemental mass of N2O to molecular mass";"z","Wet or dry climate zone"},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(kg DM/head/day) (MRj)")</definedName>
    <definedName name="SourceData_Dairy.SourceData_Dairy_IncreasedMetabolicRateMilk_Unit">_xlfn.LAMBDA("kg DM/head/day")</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43" l="1"/>
  <c r="A23" i="43"/>
  <c r="A22" i="43"/>
  <c r="A21" i="43"/>
  <c r="A18" i="43"/>
  <c r="A17" i="43"/>
  <c r="A16" i="43"/>
  <c r="A15" i="43"/>
  <c r="A14" i="43"/>
  <c r="A13" i="43"/>
  <c r="A12" i="43"/>
  <c r="A11" i="43"/>
  <c r="A8" i="43"/>
  <c r="A7" i="43"/>
  <c r="A4" i="43"/>
  <c r="A3" i="43"/>
  <c r="A24" i="93"/>
  <c r="A23" i="93"/>
  <c r="A22" i="93"/>
  <c r="A21" i="93"/>
  <c r="A18" i="93"/>
  <c r="A17" i="93"/>
  <c r="A16" i="93"/>
  <c r="A15" i="93"/>
  <c r="A14" i="93"/>
  <c r="A13" i="93"/>
  <c r="A12" i="93"/>
  <c r="A11" i="93"/>
  <c r="A8" i="93"/>
  <c r="A7" i="93"/>
  <c r="A4" i="93"/>
  <c r="A3" i="93"/>
  <c r="A24" i="79"/>
  <c r="A23" i="79"/>
  <c r="A22" i="79"/>
  <c r="A21" i="79"/>
  <c r="A18" i="79"/>
  <c r="A17" i="79"/>
  <c r="A16" i="79"/>
  <c r="A15" i="79"/>
  <c r="A14" i="79"/>
  <c r="A13" i="79"/>
  <c r="A12" i="79"/>
  <c r="A11" i="79"/>
  <c r="A8" i="79"/>
  <c r="A7" i="79"/>
  <c r="A4" i="79"/>
  <c r="A3" i="79"/>
  <c r="A24" i="98"/>
  <c r="A23" i="98"/>
  <c r="A22" i="98"/>
  <c r="A21" i="98"/>
  <c r="A18" i="98"/>
  <c r="A17" i="98"/>
  <c r="A16" i="98"/>
  <c r="A15" i="98"/>
  <c r="A14" i="98"/>
  <c r="A13" i="98"/>
  <c r="A12" i="98"/>
  <c r="A11" i="98"/>
  <c r="A8" i="98"/>
  <c r="A7" i="98"/>
  <c r="A4" i="98"/>
  <c r="A3" i="98"/>
  <c r="A24" i="97"/>
  <c r="A23" i="97"/>
  <c r="A22" i="97"/>
  <c r="A21" i="97"/>
  <c r="A18" i="97"/>
  <c r="A17" i="97"/>
  <c r="A16" i="97"/>
  <c r="A15" i="97"/>
  <c r="A14" i="97"/>
  <c r="A13" i="97"/>
  <c r="A12" i="97"/>
  <c r="A11" i="97"/>
  <c r="A8" i="97"/>
  <c r="A7" i="97"/>
  <c r="A4" i="97"/>
  <c r="A3" i="97"/>
  <c r="A24" i="96"/>
  <c r="A23" i="96"/>
  <c r="A22" i="96"/>
  <c r="A21" i="96"/>
  <c r="A18" i="96"/>
  <c r="A17" i="96"/>
  <c r="A16" i="96"/>
  <c r="A15" i="96"/>
  <c r="A14" i="96"/>
  <c r="A13" i="96"/>
  <c r="A12" i="96"/>
  <c r="A11" i="96"/>
  <c r="A8" i="96"/>
  <c r="A7" i="96"/>
  <c r="A4" i="96"/>
  <c r="A3" i="96"/>
  <c r="A24" i="81"/>
  <c r="A23" i="81"/>
  <c r="A22" i="81"/>
  <c r="A21" i="81"/>
  <c r="A18" i="81"/>
  <c r="A17" i="81"/>
  <c r="A16" i="81"/>
  <c r="A15" i="81"/>
  <c r="A14" i="81"/>
  <c r="A13" i="81"/>
  <c r="A12" i="81"/>
  <c r="A11" i="81"/>
  <c r="A8" i="81"/>
  <c r="A7" i="81"/>
  <c r="A4" i="81"/>
  <c r="A3" i="81"/>
  <c r="A24" i="95"/>
  <c r="A23" i="95"/>
  <c r="A22" i="95"/>
  <c r="A21" i="95"/>
  <c r="A18" i="95"/>
  <c r="A17" i="95"/>
  <c r="A16" i="95"/>
  <c r="A15" i="95"/>
  <c r="A14" i="95"/>
  <c r="A13" i="95"/>
  <c r="A12" i="95"/>
  <c r="A11" i="95"/>
  <c r="A8" i="95"/>
  <c r="A7" i="95"/>
  <c r="A4" i="95"/>
  <c r="A3" i="95"/>
  <c r="A24" i="82"/>
  <c r="A23" i="82"/>
  <c r="A22" i="82"/>
  <c r="A21" i="82"/>
  <c r="A18" i="82"/>
  <c r="A17" i="82"/>
  <c r="A16" i="82"/>
  <c r="A15" i="82"/>
  <c r="A14" i="82"/>
  <c r="A13" i="82"/>
  <c r="A12" i="82"/>
  <c r="A11" i="82"/>
  <c r="A8" i="82"/>
  <c r="A7" i="82"/>
  <c r="A4" i="82"/>
  <c r="A3" i="82"/>
  <c r="A24" i="76"/>
  <c r="A23" i="76"/>
  <c r="A22" i="76"/>
  <c r="A21" i="76"/>
  <c r="A18" i="76"/>
  <c r="A17" i="76"/>
  <c r="A16" i="76"/>
  <c r="A15" i="76"/>
  <c r="A14" i="76"/>
  <c r="A13" i="76"/>
  <c r="A12" i="76"/>
  <c r="A11" i="76"/>
  <c r="A8" i="76"/>
  <c r="A7" i="76"/>
  <c r="A4" i="76"/>
  <c r="A3" i="76"/>
  <c r="A24" i="69"/>
  <c r="A23" i="69"/>
  <c r="A22" i="69"/>
  <c r="A21" i="69"/>
  <c r="A18" i="69"/>
  <c r="A17" i="69"/>
  <c r="A16" i="69"/>
  <c r="A15" i="69"/>
  <c r="A14" i="69"/>
  <c r="A13" i="69"/>
  <c r="A12" i="69"/>
  <c r="A11" i="69"/>
  <c r="A8" i="69"/>
  <c r="A7" i="69"/>
  <c r="A4" i="69"/>
  <c r="A3" i="69"/>
  <c r="A24" i="70"/>
  <c r="A23" i="70"/>
  <c r="A22" i="70"/>
  <c r="A21" i="70"/>
  <c r="A18" i="70"/>
  <c r="A17" i="70"/>
  <c r="A16" i="70"/>
  <c r="A15" i="70"/>
  <c r="A14" i="70"/>
  <c r="A13" i="70"/>
  <c r="A12" i="70"/>
  <c r="A11" i="70"/>
  <c r="A8" i="70"/>
  <c r="A7" i="70"/>
  <c r="A4" i="70"/>
  <c r="A3" i="70"/>
  <c r="A24" i="15"/>
  <c r="A23" i="15"/>
  <c r="A22" i="15"/>
  <c r="A21" i="15"/>
  <c r="A18" i="15"/>
  <c r="A17" i="15"/>
  <c r="A16" i="15"/>
  <c r="A15" i="15"/>
  <c r="A14" i="15"/>
  <c r="A13" i="15"/>
  <c r="A12" i="15"/>
  <c r="A11" i="15"/>
  <c r="A8" i="15"/>
  <c r="A7" i="15"/>
  <c r="A4" i="15"/>
  <c r="A3" i="15"/>
  <c r="A18" i="13"/>
  <c r="A17" i="13"/>
  <c r="A21" i="13"/>
  <c r="A16" i="13"/>
  <c r="A14" i="13"/>
  <c r="A15" i="13"/>
  <c r="A13" i="13"/>
  <c r="A12" i="13"/>
  <c r="A8" i="13"/>
  <c r="A11" i="13"/>
  <c r="D214" i="69" a="1"/>
  <c r="D214" i="69" s="1"/>
  <c r="P43" i="98"/>
  <c r="O43" i="98"/>
  <c r="P38" i="97"/>
  <c r="O38" i="97"/>
  <c r="P61" i="82"/>
  <c r="O61" i="82"/>
  <c r="Q49" i="82"/>
  <c r="F49" i="82"/>
  <c r="Q26" i="97"/>
  <c r="F26" i="97"/>
  <c r="Q30" i="98"/>
  <c r="F30" i="98"/>
  <c r="J14" i="13"/>
  <c r="J13" i="13"/>
  <c r="J12" i="13"/>
  <c r="G12" i="13"/>
  <c r="Q52" i="98" a="1"/>
  <c r="Q52" i="98" s="1"/>
  <c r="R50" i="98"/>
  <c r="O49" i="98" a="1"/>
  <c r="O49" i="98" s="1"/>
  <c r="Q47" i="98"/>
  <c r="F47" i="98"/>
  <c r="G14" i="13" s="1"/>
  <c r="F52" i="98" a="1"/>
  <c r="F52" i="98" s="1"/>
  <c r="G50" i="98"/>
  <c r="D49" i="98" a="1"/>
  <c r="D49" i="98" s="1"/>
  <c r="D35" i="98" a="1"/>
  <c r="D35" i="98" s="1"/>
  <c r="H45" i="98"/>
  <c r="H44" i="98"/>
  <c r="D43" i="98" a="1"/>
  <c r="D43" i="98" s="1"/>
  <c r="E41" i="98" a="1"/>
  <c r="E41" i="98" s="1"/>
  <c r="E40" i="98" a="1"/>
  <c r="E40" i="98"/>
  <c r="D36" i="98" a="1"/>
  <c r="D36" i="98" s="1"/>
  <c r="V28" i="98"/>
  <c r="P28" i="98"/>
  <c r="O28" i="98"/>
  <c r="K28" i="98"/>
  <c r="E28" i="98"/>
  <c r="D28" i="98"/>
  <c r="H14" i="98" a="1"/>
  <c r="H14" i="98" s="1"/>
  <c r="H18" i="98"/>
  <c r="H17" i="98"/>
  <c r="H16" i="98"/>
  <c r="H15" i="98"/>
  <c r="H13" i="98"/>
  <c r="P23" i="98"/>
  <c r="O23" i="98"/>
  <c r="E23" i="98"/>
  <c r="D23" i="98"/>
  <c r="D13" i="98" a="1"/>
  <c r="D13" i="98" s="1"/>
  <c r="E11" i="98" a="1"/>
  <c r="E11" i="98" s="1"/>
  <c r="V23" i="98" s="1"/>
  <c r="E10" i="98" a="1"/>
  <c r="E10" i="98" s="1"/>
  <c r="D6" i="98" a="1"/>
  <c r="D6" i="98" s="1"/>
  <c r="D5" i="98" a="1"/>
  <c r="D5" i="98" s="1"/>
  <c r="Q50" i="97" a="1"/>
  <c r="Q50" i="97" s="1"/>
  <c r="O47" i="97" a="1"/>
  <c r="O47" i="97" s="1"/>
  <c r="Q45" i="97"/>
  <c r="F50" i="97" a="1"/>
  <c r="F50" i="97" s="1"/>
  <c r="D47" i="97" a="1"/>
  <c r="D47" i="97" s="1"/>
  <c r="H42" i="97"/>
  <c r="H41" i="97"/>
  <c r="D38" i="97" a="1"/>
  <c r="D38" i="97" s="1"/>
  <c r="E36" i="97" a="1"/>
  <c r="E36" i="97" s="1"/>
  <c r="F45" i="97" s="1"/>
  <c r="G13" i="13" s="1"/>
  <c r="E35" i="97" a="1"/>
  <c r="E35" i="97" s="1"/>
  <c r="D31" i="97" a="1"/>
  <c r="D31" i="97" s="1"/>
  <c r="D30" i="97" a="1"/>
  <c r="D30" i="97" s="1"/>
  <c r="O24" i="97"/>
  <c r="D24" i="97"/>
  <c r="H14" i="97"/>
  <c r="D215" i="79" a="1"/>
  <c r="D215" i="79" s="1"/>
  <c r="D214" i="79" a="1"/>
  <c r="D214" i="79" s="1"/>
  <c r="D213" i="79" a="1"/>
  <c r="D213" i="79" s="1"/>
  <c r="D212" i="79" a="1"/>
  <c r="D212" i="79" s="1"/>
  <c r="D211" i="79" a="1"/>
  <c r="D211" i="79" s="1"/>
  <c r="H13" i="97"/>
  <c r="O19" i="97"/>
  <c r="D19" i="97"/>
  <c r="D13" i="97" a="1"/>
  <c r="D13" i="97" s="1"/>
  <c r="E11" i="97" a="1"/>
  <c r="E11" i="97" s="1"/>
  <c r="V19" i="97" s="1"/>
  <c r="E10" i="97" a="1"/>
  <c r="E10" i="97" s="1"/>
  <c r="D6" i="97" a="1"/>
  <c r="D6" i="97" s="1"/>
  <c r="D5" i="97" a="1"/>
  <c r="D5" i="97" s="1"/>
  <c r="Q58" i="96" a="1"/>
  <c r="Q58" i="96" s="1"/>
  <c r="O55" i="96" a="1"/>
  <c r="O55" i="96" s="1"/>
  <c r="F58" i="96" a="1"/>
  <c r="F58" i="96" s="1"/>
  <c r="D55" i="96" a="1"/>
  <c r="D55" i="96" s="1"/>
  <c r="O51" i="96"/>
  <c r="D51" i="96"/>
  <c r="D35" i="96" a="1"/>
  <c r="D35" i="96" s="1"/>
  <c r="D36" i="96" a="1"/>
  <c r="D36" i="96" s="1"/>
  <c r="E208" i="93" a="1"/>
  <c r="E208" i="93" s="1"/>
  <c r="D208" i="93" a="1"/>
  <c r="D208" i="93" s="1"/>
  <c r="E207" i="93" a="1"/>
  <c r="E207" i="93" s="1"/>
  <c r="D207" i="93" a="1"/>
  <c r="D207" i="93" s="1"/>
  <c r="D205" i="93" a="1"/>
  <c r="D205" i="93" s="1"/>
  <c r="D204" i="93" a="1"/>
  <c r="D204" i="93" s="1"/>
  <c r="D203" i="93" a="1"/>
  <c r="D203" i="93" s="1"/>
  <c r="D202" i="93" a="1"/>
  <c r="D202" i="93" s="1"/>
  <c r="H43" i="96"/>
  <c r="G13" i="96"/>
  <c r="O31" i="96"/>
  <c r="D31" i="96"/>
  <c r="O25" i="96"/>
  <c r="D25" i="96"/>
  <c r="G14" i="96"/>
  <c r="D13" i="96" a="1"/>
  <c r="D13" i="96" s="1"/>
  <c r="E11" i="96" a="1"/>
  <c r="E11" i="96" s="1"/>
  <c r="K31" i="96" s="1"/>
  <c r="E10" i="96" a="1"/>
  <c r="E10" i="96" s="1"/>
  <c r="D6" i="96" a="1"/>
  <c r="D6" i="96" s="1"/>
  <c r="D5" i="96" a="1"/>
  <c r="D5" i="96" s="1"/>
  <c r="D43" i="96" a="1"/>
  <c r="D43" i="96" s="1"/>
  <c r="E41" i="96" a="1"/>
  <c r="E41" i="96" s="1"/>
  <c r="Q53" i="96" s="1"/>
  <c r="E40" i="96" a="1"/>
  <c r="E40" i="96" s="1"/>
  <c r="O194" i="81"/>
  <c r="O193" i="81"/>
  <c r="O192" i="81"/>
  <c r="O191" i="81"/>
  <c r="O190" i="81"/>
  <c r="O189" i="81"/>
  <c r="O188" i="81"/>
  <c r="O187" i="81"/>
  <c r="D194" i="81"/>
  <c r="D193" i="81"/>
  <c r="D192" i="81"/>
  <c r="D191" i="81"/>
  <c r="D190" i="81"/>
  <c r="D189" i="81"/>
  <c r="D188" i="81"/>
  <c r="D187" i="81"/>
  <c r="J182" i="81"/>
  <c r="I182" i="81"/>
  <c r="H182" i="81"/>
  <c r="G182" i="81"/>
  <c r="F182" i="81"/>
  <c r="J181" i="81"/>
  <c r="I181" i="81"/>
  <c r="H181" i="81"/>
  <c r="G181" i="81"/>
  <c r="F181" i="81"/>
  <c r="J180" i="81"/>
  <c r="I180" i="81"/>
  <c r="H180" i="81"/>
  <c r="G180" i="81"/>
  <c r="F180" i="81"/>
  <c r="J179" i="81"/>
  <c r="I179" i="81"/>
  <c r="H179" i="81"/>
  <c r="G179" i="81"/>
  <c r="F179" i="81"/>
  <c r="J178" i="81"/>
  <c r="I178" i="81"/>
  <c r="H178" i="81"/>
  <c r="G178" i="81"/>
  <c r="F178" i="81"/>
  <c r="J177" i="81"/>
  <c r="I177" i="81"/>
  <c r="H177" i="81"/>
  <c r="G177" i="81"/>
  <c r="F177" i="81"/>
  <c r="J176" i="81"/>
  <c r="I176" i="81"/>
  <c r="H176" i="81"/>
  <c r="G176" i="81"/>
  <c r="F176" i="81"/>
  <c r="J175" i="81"/>
  <c r="I175" i="81"/>
  <c r="H175" i="81"/>
  <c r="G175" i="81"/>
  <c r="F175" i="81"/>
  <c r="D182" i="81"/>
  <c r="D181" i="81"/>
  <c r="D180" i="81"/>
  <c r="D179" i="81"/>
  <c r="D178" i="81"/>
  <c r="D177" i="81"/>
  <c r="D176" i="81"/>
  <c r="D175" i="81"/>
  <c r="O164" i="81"/>
  <c r="O163" i="81"/>
  <c r="O162" i="81"/>
  <c r="O161" i="81"/>
  <c r="O160" i="81"/>
  <c r="O159" i="81"/>
  <c r="O158" i="81"/>
  <c r="O157" i="81"/>
  <c r="J151" i="81"/>
  <c r="I151" i="81"/>
  <c r="H151" i="81"/>
  <c r="G151" i="81"/>
  <c r="K128" i="81"/>
  <c r="K163" i="81"/>
  <c r="D164" i="81"/>
  <c r="D163" i="81"/>
  <c r="D162" i="81"/>
  <c r="D161" i="81"/>
  <c r="D160" i="81"/>
  <c r="D159" i="81"/>
  <c r="D158" i="81"/>
  <c r="D157" i="81"/>
  <c r="J152" i="81"/>
  <c r="I152" i="81"/>
  <c r="H152" i="81"/>
  <c r="G152" i="81"/>
  <c r="F152" i="81"/>
  <c r="D133" i="70"/>
  <c r="D157" i="70"/>
  <c r="F151" i="81"/>
  <c r="J150" i="81"/>
  <c r="I150" i="81"/>
  <c r="H150" i="81"/>
  <c r="G150" i="81"/>
  <c r="F150" i="81"/>
  <c r="J149" i="81"/>
  <c r="I149" i="81"/>
  <c r="H149" i="81"/>
  <c r="G149" i="81"/>
  <c r="F149" i="81"/>
  <c r="J148" i="81"/>
  <c r="I148" i="81"/>
  <c r="H148" i="81"/>
  <c r="G148" i="81"/>
  <c r="F148" i="81"/>
  <c r="J147" i="81"/>
  <c r="I147" i="81"/>
  <c r="H147" i="81"/>
  <c r="G147" i="81"/>
  <c r="F147" i="81"/>
  <c r="J146" i="81"/>
  <c r="I146" i="81"/>
  <c r="H146" i="81"/>
  <c r="G146" i="81"/>
  <c r="F146" i="81"/>
  <c r="J145" i="81"/>
  <c r="I145" i="81"/>
  <c r="H145" i="81"/>
  <c r="G145" i="81"/>
  <c r="F145" i="81"/>
  <c r="D152" i="81"/>
  <c r="D151" i="81"/>
  <c r="D150" i="81"/>
  <c r="D149" i="81"/>
  <c r="D148" i="81"/>
  <c r="D147" i="81"/>
  <c r="D146" i="81"/>
  <c r="D145" i="81"/>
  <c r="D136" i="81"/>
  <c r="O130" i="81"/>
  <c r="O129" i="81"/>
  <c r="O128" i="81"/>
  <c r="O127" i="81"/>
  <c r="O126" i="81"/>
  <c r="O125" i="81"/>
  <c r="O124" i="81"/>
  <c r="O123" i="81"/>
  <c r="D130" i="81"/>
  <c r="D129" i="81"/>
  <c r="D128" i="81"/>
  <c r="D127" i="81"/>
  <c r="D126" i="81"/>
  <c r="D125" i="81"/>
  <c r="D124" i="81"/>
  <c r="D123" i="81"/>
  <c r="H118" i="81"/>
  <c r="H117" i="81"/>
  <c r="H116" i="81"/>
  <c r="H115" i="81"/>
  <c r="H114" i="81"/>
  <c r="D114" i="81" a="1"/>
  <c r="D114" i="81" s="1"/>
  <c r="E112" i="81" a="1"/>
  <c r="E112" i="81" s="1"/>
  <c r="V163" i="81" s="1"/>
  <c r="E111" i="81" a="1"/>
  <c r="E111" i="81" s="1"/>
  <c r="D107" i="81" a="1"/>
  <c r="D107" i="81" s="1"/>
  <c r="D106" i="81" a="1"/>
  <c r="D106" i="81" s="1"/>
  <c r="O100" i="81"/>
  <c r="O99" i="81"/>
  <c r="O98" i="81"/>
  <c r="O97" i="81"/>
  <c r="O96" i="81"/>
  <c r="O95" i="81"/>
  <c r="O94" i="81"/>
  <c r="O93" i="81"/>
  <c r="D100" i="81"/>
  <c r="D99" i="81"/>
  <c r="D98" i="81"/>
  <c r="D97" i="81"/>
  <c r="D96" i="81"/>
  <c r="D95" i="81"/>
  <c r="D94" i="81"/>
  <c r="D93" i="81"/>
  <c r="G58" i="81"/>
  <c r="J88" i="81"/>
  <c r="I88" i="81"/>
  <c r="H88" i="81"/>
  <c r="G88" i="81"/>
  <c r="F88" i="81"/>
  <c r="J87" i="81"/>
  <c r="I87" i="81"/>
  <c r="H87" i="81"/>
  <c r="G87" i="81"/>
  <c r="F87" i="81"/>
  <c r="J86" i="81"/>
  <c r="I86" i="81"/>
  <c r="H86" i="81"/>
  <c r="G86" i="81"/>
  <c r="F86" i="81"/>
  <c r="J85" i="81"/>
  <c r="I85" i="81"/>
  <c r="H85" i="81"/>
  <c r="G85" i="81"/>
  <c r="F85" i="81"/>
  <c r="J84" i="81"/>
  <c r="I84" i="81"/>
  <c r="H84" i="81"/>
  <c r="G84" i="81"/>
  <c r="F84" i="81"/>
  <c r="J83" i="81"/>
  <c r="I83" i="81"/>
  <c r="H83" i="81"/>
  <c r="G83" i="81"/>
  <c r="F83" i="81"/>
  <c r="J82" i="81"/>
  <c r="I82" i="81"/>
  <c r="H82" i="81"/>
  <c r="G82" i="81"/>
  <c r="F82" i="81"/>
  <c r="J81" i="81"/>
  <c r="I81" i="81"/>
  <c r="H81" i="81"/>
  <c r="G81" i="81"/>
  <c r="F81" i="81"/>
  <c r="D88" i="81"/>
  <c r="D87" i="81"/>
  <c r="D86" i="81"/>
  <c r="D85" i="81"/>
  <c r="D84" i="81"/>
  <c r="D83" i="81"/>
  <c r="D82" i="81"/>
  <c r="D81" i="81"/>
  <c r="G56" i="81"/>
  <c r="G57" i="81"/>
  <c r="G55" i="81"/>
  <c r="G54" i="81"/>
  <c r="O42" i="81"/>
  <c r="O41" i="81"/>
  <c r="O40" i="81"/>
  <c r="O39" i="81"/>
  <c r="O38" i="81"/>
  <c r="O37" i="81"/>
  <c r="O36" i="81"/>
  <c r="O35" i="81"/>
  <c r="D6" i="81" a="1"/>
  <c r="D6" i="81" s="1"/>
  <c r="D42" i="81"/>
  <c r="D41" i="81"/>
  <c r="D40" i="81"/>
  <c r="D39" i="81"/>
  <c r="D38" i="81"/>
  <c r="D37" i="81"/>
  <c r="D36" i="81"/>
  <c r="D35" i="81"/>
  <c r="H13" i="81"/>
  <c r="H18" i="81"/>
  <c r="H17" i="81"/>
  <c r="H16" i="81"/>
  <c r="D13" i="81" a="1"/>
  <c r="D13" i="81" s="1"/>
  <c r="E11" i="81" a="1"/>
  <c r="E11" i="81" s="1"/>
  <c r="K86" i="81" s="1"/>
  <c r="E10" i="81" a="1"/>
  <c r="E10" i="81" s="1"/>
  <c r="D5" i="81" a="1"/>
  <c r="D5" i="81" s="1"/>
  <c r="O30" i="81"/>
  <c r="D30" i="81"/>
  <c r="O29" i="81"/>
  <c r="D29" i="81"/>
  <c r="O28" i="81"/>
  <c r="D28" i="81"/>
  <c r="O27" i="81"/>
  <c r="D27" i="81"/>
  <c r="O26" i="81"/>
  <c r="D26" i="81"/>
  <c r="O25" i="81"/>
  <c r="D25" i="81"/>
  <c r="O24" i="81"/>
  <c r="D24" i="81"/>
  <c r="O23" i="81"/>
  <c r="D23" i="81"/>
  <c r="D54" i="81" a="1"/>
  <c r="D54" i="81" s="1"/>
  <c r="E52" i="81" a="1"/>
  <c r="E52" i="81" s="1"/>
  <c r="V95" i="81" s="1"/>
  <c r="E51" i="81" a="1"/>
  <c r="E51" i="81" s="1"/>
  <c r="D47" i="81" a="1"/>
  <c r="D47" i="81" s="1"/>
  <c r="D46" i="81" a="1"/>
  <c r="D46" i="81" s="1"/>
  <c r="D209" i="79" a="1"/>
  <c r="D209" i="79" s="1"/>
  <c r="H15" i="95" s="1"/>
  <c r="D208" i="79" a="1"/>
  <c r="D208" i="79" s="1"/>
  <c r="D207" i="79" a="1"/>
  <c r="D207" i="79" s="1"/>
  <c r="D206" i="79" a="1"/>
  <c r="D206" i="79" s="1"/>
  <c r="D205" i="79" a="1"/>
  <c r="D205" i="79" s="1"/>
  <c r="D202" i="79" a="1"/>
  <c r="D202" i="79" s="1"/>
  <c r="G43" i="95" s="1"/>
  <c r="D201" i="79" a="1"/>
  <c r="D201" i="79" s="1"/>
  <c r="D200" i="79" a="1"/>
  <c r="D200" i="79" s="1"/>
  <c r="D199" i="79" a="1"/>
  <c r="D199" i="79" s="1"/>
  <c r="D198" i="79" a="1"/>
  <c r="D198" i="79" s="1"/>
  <c r="Q57" i="95" a="1"/>
  <c r="Q57" i="95" s="1"/>
  <c r="O54" i="95" a="1"/>
  <c r="O54" i="95" s="1"/>
  <c r="F57" i="95" a="1"/>
  <c r="F57" i="95" s="1"/>
  <c r="J10" i="13" s="1"/>
  <c r="D54" i="95" a="1"/>
  <c r="D54" i="95" s="1"/>
  <c r="V50" i="95"/>
  <c r="O50" i="95"/>
  <c r="O49" i="95"/>
  <c r="D50" i="95"/>
  <c r="D49" i="95"/>
  <c r="G42" i="95"/>
  <c r="E40" i="95" a="1"/>
  <c r="E40" i="95" s="1"/>
  <c r="K49" i="95" s="1"/>
  <c r="E39" i="95" a="1"/>
  <c r="E39" i="95" s="1"/>
  <c r="D35" i="95" a="1"/>
  <c r="D35" i="95" s="1"/>
  <c r="D42" i="95" a="1"/>
  <c r="D42" i="95" s="1"/>
  <c r="D34" i="95" a="1"/>
  <c r="D34" i="95" s="1"/>
  <c r="O30" i="95"/>
  <c r="O29" i="95"/>
  <c r="O24" i="95"/>
  <c r="O23" i="95"/>
  <c r="D30" i="95"/>
  <c r="D29" i="95"/>
  <c r="D24" i="95"/>
  <c r="D23" i="95"/>
  <c r="E147" i="93" a="1"/>
  <c r="E147" i="93" s="1"/>
  <c r="D147" i="93" a="1"/>
  <c r="D147" i="93" s="1"/>
  <c r="E146" i="93" a="1"/>
  <c r="E146" i="93" s="1"/>
  <c r="D146" i="93" a="1"/>
  <c r="D146" i="93" s="1"/>
  <c r="E145" i="93" a="1"/>
  <c r="E145" i="93" s="1"/>
  <c r="D145" i="93" a="1"/>
  <c r="D145" i="93" s="1"/>
  <c r="E144" i="93" a="1"/>
  <c r="E144" i="93" s="1"/>
  <c r="D144" i="93" a="1"/>
  <c r="D144" i="93" s="1"/>
  <c r="E143" i="93" a="1"/>
  <c r="E143" i="93" s="1"/>
  <c r="D143" i="93" a="1"/>
  <c r="D143" i="93" s="1"/>
  <c r="D141" i="93" a="1"/>
  <c r="D141" i="93" s="1"/>
  <c r="D140" i="93" a="1"/>
  <c r="D140" i="93" s="1"/>
  <c r="D139" i="93" a="1"/>
  <c r="D139" i="93" s="1"/>
  <c r="E55" i="82" a="1"/>
  <c r="E37" i="98" a="1"/>
  <c r="E32" i="97" a="1"/>
  <c r="E7" i="98" a="1"/>
  <c r="E7" i="97" a="1"/>
  <c r="E37" i="96" a="1"/>
  <c r="E7" i="96" a="1"/>
  <c r="E108" i="81" a="1"/>
  <c r="E48" i="81" a="1"/>
  <c r="E7" i="81" a="1"/>
  <c r="E36" i="95" a="1"/>
  <c r="E7" i="95" a="1"/>
  <c r="E55" i="82" l="1"/>
  <c r="K188" i="81"/>
  <c r="V160" i="81"/>
  <c r="E37" i="98"/>
  <c r="E32" i="97"/>
  <c r="E7" i="98"/>
  <c r="K23" i="98"/>
  <c r="V191" i="81"/>
  <c r="V24" i="97"/>
  <c r="H15" i="81"/>
  <c r="K51" i="96"/>
  <c r="K127" i="81"/>
  <c r="V51" i="96"/>
  <c r="K24" i="97"/>
  <c r="E7" i="97"/>
  <c r="K19" i="97"/>
  <c r="V38" i="81"/>
  <c r="K38" i="81"/>
  <c r="V39" i="81"/>
  <c r="V123" i="81"/>
  <c r="V125" i="81"/>
  <c r="K189" i="81"/>
  <c r="V31" i="96"/>
  <c r="K40" i="81"/>
  <c r="V40" i="81"/>
  <c r="V126" i="81"/>
  <c r="V162" i="81"/>
  <c r="V193" i="81"/>
  <c r="K42" i="81"/>
  <c r="K84" i="81"/>
  <c r="V127" i="81"/>
  <c r="F196" i="81"/>
  <c r="F23" i="13" s="1"/>
  <c r="K82" i="81"/>
  <c r="V42" i="81"/>
  <c r="Q196" i="81"/>
  <c r="V35" i="81"/>
  <c r="F53" i="96"/>
  <c r="K87" i="81"/>
  <c r="K194" i="81"/>
  <c r="K36" i="81"/>
  <c r="K37" i="81"/>
  <c r="K39" i="81"/>
  <c r="K83" i="81"/>
  <c r="V36" i="81"/>
  <c r="K159" i="81"/>
  <c r="K88" i="81"/>
  <c r="K161" i="81"/>
  <c r="V37" i="81"/>
  <c r="K162" i="81"/>
  <c r="V158" i="81"/>
  <c r="K81" i="81"/>
  <c r="E37" i="96"/>
  <c r="E7" i="96"/>
  <c r="V49" i="95"/>
  <c r="K50" i="95"/>
  <c r="Q52" i="95"/>
  <c r="F52" i="95"/>
  <c r="G10" i="13" s="1"/>
  <c r="K99" i="81"/>
  <c r="V96" i="81"/>
  <c r="V94" i="81"/>
  <c r="Q132" i="81"/>
  <c r="F102" i="81"/>
  <c r="F21" i="13" s="1"/>
  <c r="V93" i="81"/>
  <c r="F132" i="81"/>
  <c r="K100" i="81"/>
  <c r="K98" i="81"/>
  <c r="K97" i="81"/>
  <c r="K96" i="81"/>
  <c r="K95" i="81"/>
  <c r="V100" i="81"/>
  <c r="K94" i="81"/>
  <c r="V99" i="81"/>
  <c r="K93" i="81"/>
  <c r="V98" i="81"/>
  <c r="V97" i="81"/>
  <c r="K41" i="81"/>
  <c r="V41" i="81"/>
  <c r="K85" i="81"/>
  <c r="K123" i="81"/>
  <c r="V129" i="81"/>
  <c r="K190" i="81"/>
  <c r="V187" i="81"/>
  <c r="K124" i="81"/>
  <c r="V130" i="81"/>
  <c r="V159" i="81"/>
  <c r="V192" i="81"/>
  <c r="K125" i="81"/>
  <c r="V164" i="81"/>
  <c r="K126" i="81"/>
  <c r="K191" i="81"/>
  <c r="V188" i="81"/>
  <c r="K187" i="81"/>
  <c r="K157" i="81"/>
  <c r="K129" i="81"/>
  <c r="K192" i="81"/>
  <c r="V189" i="81"/>
  <c r="K158" i="81"/>
  <c r="K130" i="81"/>
  <c r="V161" i="81"/>
  <c r="V194" i="81"/>
  <c r="F166" i="81"/>
  <c r="F22" i="13" s="1"/>
  <c r="K160" i="81"/>
  <c r="V124" i="81"/>
  <c r="V157" i="81"/>
  <c r="K193" i="81"/>
  <c r="V190" i="81"/>
  <c r="Q166" i="81"/>
  <c r="K164" i="81"/>
  <c r="V128" i="81"/>
  <c r="E108" i="81"/>
  <c r="E48" i="81"/>
  <c r="E7" i="81"/>
  <c r="K35" i="81"/>
  <c r="E36" i="95"/>
  <c r="E7" i="95"/>
  <c r="H18" i="95" l="1"/>
  <c r="H17" i="95"/>
  <c r="G64" i="82"/>
  <c r="G65" i="82"/>
  <c r="H16" i="95"/>
  <c r="H13" i="95"/>
  <c r="D6" i="95" a="1"/>
  <c r="D6" i="95" s="1"/>
  <c r="E11" i="95" a="1"/>
  <c r="E11" i="95" s="1"/>
  <c r="E10" i="95" a="1"/>
  <c r="E10" i="95" s="1"/>
  <c r="D13" i="95" a="1"/>
  <c r="D13" i="95" s="1"/>
  <c r="D5" i="95" a="1"/>
  <c r="D5" i="95" s="1"/>
  <c r="Q73" i="82" a="1"/>
  <c r="Q73" i="82" s="1"/>
  <c r="O70" i="82" a="1"/>
  <c r="O70" i="82" s="1"/>
  <c r="F73" i="82" a="1"/>
  <c r="F73" i="82" s="1"/>
  <c r="J9" i="13" s="1"/>
  <c r="D70" i="82" a="1"/>
  <c r="D70" i="82" s="1"/>
  <c r="E59" i="82" a="1"/>
  <c r="E59" i="82" s="1"/>
  <c r="F68" i="82" s="1"/>
  <c r="G9" i="13" s="1"/>
  <c r="E58" i="82" a="1"/>
  <c r="E58" i="82" s="1"/>
  <c r="D54" i="82" a="1"/>
  <c r="D54" i="82" s="1"/>
  <c r="D61" i="82" a="1"/>
  <c r="D61"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G14" i="82"/>
  <c r="G13" i="82"/>
  <c r="D26" i="82"/>
  <c r="D25" i="82"/>
  <c r="D24" i="82"/>
  <c r="D23" i="82"/>
  <c r="D22" i="82"/>
  <c r="D21" i="82"/>
  <c r="D20" i="82"/>
  <c r="D19" i="82"/>
  <c r="D6" i="82" a="1"/>
  <c r="D6" i="82" s="1"/>
  <c r="E11" i="82" a="1"/>
  <c r="E11" i="82" s="1"/>
  <c r="E10" i="82" a="1"/>
  <c r="E10" i="82" s="1"/>
  <c r="D13" i="82" a="1"/>
  <c r="D13" i="82" s="1"/>
  <c r="D5" i="82" a="1"/>
  <c r="D5" i="82" s="1"/>
  <c r="P285" i="76" a="1"/>
  <c r="P285" i="76" s="1"/>
  <c r="N282" i="76" a="1"/>
  <c r="N282" i="76" s="1"/>
  <c r="N278" i="76"/>
  <c r="N277" i="76"/>
  <c r="N276" i="76"/>
  <c r="N275" i="76"/>
  <c r="N274" i="76"/>
  <c r="N273" i="76"/>
  <c r="N272" i="76"/>
  <c r="N271" i="76"/>
  <c r="F285" i="76" a="1"/>
  <c r="F285" i="76" s="1"/>
  <c r="D282" i="76" a="1"/>
  <c r="D282" i="76" s="1"/>
  <c r="D278" i="76"/>
  <c r="D277" i="76"/>
  <c r="D276" i="76"/>
  <c r="D275" i="76"/>
  <c r="D274" i="76"/>
  <c r="D273" i="76"/>
  <c r="D272" i="76"/>
  <c r="D271" i="76"/>
  <c r="G256" i="76"/>
  <c r="G255" i="76"/>
  <c r="E253" i="76" a="1"/>
  <c r="E253" i="76" s="1"/>
  <c r="P280" i="76" s="1"/>
  <c r="E252" i="76" a="1"/>
  <c r="E252" i="76" s="1"/>
  <c r="D248" i="76" a="1"/>
  <c r="D248" i="76" s="1"/>
  <c r="D255" i="76" a="1"/>
  <c r="D255" i="76" s="1"/>
  <c r="D247" i="76" a="1"/>
  <c r="D247" i="76" s="1"/>
  <c r="N243" i="76"/>
  <c r="N242" i="76"/>
  <c r="N241" i="76"/>
  <c r="N240" i="76"/>
  <c r="N239" i="76"/>
  <c r="N238" i="76"/>
  <c r="N237" i="76"/>
  <c r="N236" i="76"/>
  <c r="D243" i="76"/>
  <c r="D242" i="76"/>
  <c r="D241" i="76"/>
  <c r="D240" i="76"/>
  <c r="D239" i="76"/>
  <c r="D238" i="76"/>
  <c r="D237" i="76"/>
  <c r="D236" i="76"/>
  <c r="N231" i="76"/>
  <c r="N230" i="76"/>
  <c r="N229" i="76"/>
  <c r="N228" i="76"/>
  <c r="N227" i="76"/>
  <c r="N226" i="76"/>
  <c r="N225" i="76"/>
  <c r="N224" i="76"/>
  <c r="G219" i="76"/>
  <c r="D231" i="76"/>
  <c r="D230" i="76"/>
  <c r="D229" i="76"/>
  <c r="D228" i="76"/>
  <c r="D227" i="76"/>
  <c r="D226" i="76"/>
  <c r="D225" i="76"/>
  <c r="D224" i="76"/>
  <c r="G218" i="76"/>
  <c r="D218" i="76" a="1"/>
  <c r="D218" i="76" s="1"/>
  <c r="E216" i="76" a="1"/>
  <c r="E216" i="76" s="1"/>
  <c r="E215" i="76" a="1"/>
  <c r="E215" i="76" s="1"/>
  <c r="D211" i="76" a="1"/>
  <c r="D211" i="76" s="1"/>
  <c r="D210" i="76" a="1"/>
  <c r="D210" i="76" s="1"/>
  <c r="G184" i="76"/>
  <c r="G186" i="76"/>
  <c r="G185" i="76"/>
  <c r="G183" i="76"/>
  <c r="G182" i="76"/>
  <c r="D175" i="76" a="1"/>
  <c r="D175" i="76" s="1"/>
  <c r="E180" i="76" a="1"/>
  <c r="E180" i="76" s="1"/>
  <c r="E179" i="76" a="1"/>
  <c r="E179" i="76" s="1"/>
  <c r="D174" i="76" a="1"/>
  <c r="D174" i="76" s="1"/>
  <c r="D182" i="76" a="1"/>
  <c r="D182" i="76" s="1"/>
  <c r="D173" i="76" a="1"/>
  <c r="D173" i="76" s="1"/>
  <c r="S139" i="76"/>
  <c r="G154" i="76"/>
  <c r="G152" i="76"/>
  <c r="H159" i="76"/>
  <c r="G159" i="76"/>
  <c r="F159" i="76"/>
  <c r="E159" i="76"/>
  <c r="D159" i="76"/>
  <c r="H235" i="69"/>
  <c r="G235" i="69"/>
  <c r="F235" i="69"/>
  <c r="E235" i="69"/>
  <c r="D235" i="69"/>
  <c r="G153" i="76"/>
  <c r="D145" i="76" a="1"/>
  <c r="D145" i="76" s="1"/>
  <c r="D152" i="76" a="1"/>
  <c r="D152" i="76" s="1"/>
  <c r="E150" i="76" a="1"/>
  <c r="E150" i="76" s="1"/>
  <c r="S169" i="76" s="1"/>
  <c r="E149" i="76" a="1"/>
  <c r="E149" i="76" s="1"/>
  <c r="D144" i="76" a="1"/>
  <c r="D144" i="76" s="1"/>
  <c r="D143" i="76" a="1"/>
  <c r="D143" i="76" s="1"/>
  <c r="G134" i="76"/>
  <c r="G133" i="76"/>
  <c r="G132" i="76"/>
  <c r="D132" i="76" a="1"/>
  <c r="D132" i="76" s="1"/>
  <c r="E130" i="76" a="1"/>
  <c r="E130" i="76" s="1"/>
  <c r="I139" i="76" s="1"/>
  <c r="E129" i="76" a="1"/>
  <c r="E129" i="76" s="1"/>
  <c r="D124" i="76" a="1"/>
  <c r="D124" i="76" s="1"/>
  <c r="D123" i="76" a="1"/>
  <c r="D123" i="76" s="1"/>
  <c r="R114" i="76"/>
  <c r="Q114" i="76"/>
  <c r="P114" i="76"/>
  <c r="O114" i="76"/>
  <c r="N114" i="76"/>
  <c r="G109" i="76"/>
  <c r="G108" i="76"/>
  <c r="D108" i="76" a="1"/>
  <c r="D108" i="76" s="1"/>
  <c r="E106" i="76" a="1"/>
  <c r="E106" i="76" s="1"/>
  <c r="S119" i="76" s="1"/>
  <c r="E105" i="76" a="1"/>
  <c r="E105" i="76" s="1"/>
  <c r="D101" i="76" a="1"/>
  <c r="D101" i="76" s="1"/>
  <c r="D100" i="76" a="1"/>
  <c r="D100" i="76" s="1"/>
  <c r="G81" i="76"/>
  <c r="G80" i="76"/>
  <c r="G79" i="76"/>
  <c r="G78" i="76"/>
  <c r="D86" i="76"/>
  <c r="D78" i="76" a="1"/>
  <c r="D78" i="76" s="1"/>
  <c r="E76" i="76" a="1"/>
  <c r="E76" i="76" s="1"/>
  <c r="I96" i="76" s="1"/>
  <c r="E75" i="76" a="1"/>
  <c r="E75" i="76" s="1"/>
  <c r="D70" i="76" a="1"/>
  <c r="D70" i="76" s="1"/>
  <c r="D69" i="76" a="1"/>
  <c r="D69" i="76" s="1"/>
  <c r="G45" i="76"/>
  <c r="G44" i="76"/>
  <c r="G42" i="76"/>
  <c r="G43" i="76"/>
  <c r="E40" i="76" a="1"/>
  <c r="E40" i="76" s="1"/>
  <c r="S65" i="76" s="1"/>
  <c r="E39" i="76" a="1"/>
  <c r="E39" i="76" s="1"/>
  <c r="D34" i="76" a="1"/>
  <c r="D34" i="76" s="1"/>
  <c r="D42" i="76" a="1"/>
  <c r="D42" i="76" s="1"/>
  <c r="D33" i="76" a="1"/>
  <c r="D33" i="76" s="1"/>
  <c r="F14" i="76"/>
  <c r="F13" i="76"/>
  <c r="D13" i="76" a="1"/>
  <c r="D13" i="76" s="1"/>
  <c r="E11" i="76" a="1"/>
  <c r="E11" i="76" s="1"/>
  <c r="I29" i="76" s="1"/>
  <c r="E10" i="76" a="1"/>
  <c r="E10" i="76" s="1"/>
  <c r="D6" i="76" a="1"/>
  <c r="D6" i="76" s="1"/>
  <c r="D5" i="76" a="1"/>
  <c r="D5" i="76" s="1"/>
  <c r="Q269" i="69" a="1"/>
  <c r="Q269" i="69" s="1"/>
  <c r="O266" i="69" a="1"/>
  <c r="O266" i="69" s="1"/>
  <c r="O262" i="69"/>
  <c r="O261" i="69"/>
  <c r="O260" i="69"/>
  <c r="O259" i="69"/>
  <c r="O258" i="69"/>
  <c r="O257" i="69"/>
  <c r="O256" i="69"/>
  <c r="O255" i="69"/>
  <c r="O210" i="69"/>
  <c r="O209" i="69"/>
  <c r="O208" i="69"/>
  <c r="O207" i="69"/>
  <c r="O206" i="69"/>
  <c r="O205" i="69"/>
  <c r="O204" i="69"/>
  <c r="O203" i="69"/>
  <c r="F269" i="69" a="1"/>
  <c r="F269" i="69" s="1"/>
  <c r="J7" i="13" s="1"/>
  <c r="D266" i="69" a="1"/>
  <c r="D266" i="69" s="1"/>
  <c r="D262" i="69"/>
  <c r="D261" i="69"/>
  <c r="D260" i="69"/>
  <c r="D259" i="69"/>
  <c r="D258" i="69"/>
  <c r="D257" i="69"/>
  <c r="D256" i="69"/>
  <c r="D255" i="69"/>
  <c r="H230" i="69"/>
  <c r="H229" i="69"/>
  <c r="H226" i="69"/>
  <c r="H227" i="69"/>
  <c r="H223" i="69"/>
  <c r="H224" i="69"/>
  <c r="H228" i="69"/>
  <c r="H225" i="69"/>
  <c r="D223" i="69" a="1"/>
  <c r="D223" i="69" s="1"/>
  <c r="E221" i="69" a="1"/>
  <c r="E221" i="69" s="1"/>
  <c r="Q264" i="69" s="1"/>
  <c r="E220" i="69" a="1"/>
  <c r="E220" i="69" s="1"/>
  <c r="D216" i="69" a="1"/>
  <c r="D216" i="69" s="1"/>
  <c r="D215" i="69" a="1"/>
  <c r="D215" i="69" s="1"/>
  <c r="G186" i="69"/>
  <c r="D210" i="69"/>
  <c r="D209" i="69"/>
  <c r="D208" i="69"/>
  <c r="D207" i="69"/>
  <c r="D206" i="69"/>
  <c r="D205" i="69"/>
  <c r="D204" i="69"/>
  <c r="D203" i="69"/>
  <c r="G187" i="69"/>
  <c r="D195" i="79" a="1"/>
  <c r="D195" i="79" s="1"/>
  <c r="G188" i="69" s="1"/>
  <c r="D194" i="79" a="1"/>
  <c r="D194" i="79" s="1"/>
  <c r="D193" i="79" a="1"/>
  <c r="D193" i="79" s="1"/>
  <c r="D192" i="79" a="1"/>
  <c r="D192" i="79" s="1"/>
  <c r="D191" i="79" a="1"/>
  <c r="D191" i="79" s="1"/>
  <c r="G185" i="69"/>
  <c r="E182" i="69" a="1"/>
  <c r="E182" i="69" s="1"/>
  <c r="D178" i="69" a="1"/>
  <c r="D178" i="69" s="1"/>
  <c r="E183" i="69" a="1"/>
  <c r="E183" i="69" s="1"/>
  <c r="V210" i="69" s="1"/>
  <c r="D185" i="69" a="1"/>
  <c r="D185" i="69" s="1"/>
  <c r="D177" i="69" a="1"/>
  <c r="D177" i="69" s="1"/>
  <c r="O173" i="69"/>
  <c r="O172" i="69"/>
  <c r="O167" i="69"/>
  <c r="O166" i="69"/>
  <c r="D152" i="69" a="1"/>
  <c r="D152" i="69" s="1"/>
  <c r="D173" i="69"/>
  <c r="D172" i="69"/>
  <c r="G161" i="69"/>
  <c r="G159" i="69"/>
  <c r="D167" i="69"/>
  <c r="D166" i="69"/>
  <c r="G160" i="69"/>
  <c r="E157" i="69" a="1"/>
  <c r="E157" i="69" s="1"/>
  <c r="V173" i="69" s="1"/>
  <c r="E156" i="69" a="1"/>
  <c r="E156" i="69" s="1"/>
  <c r="D151" i="69" a="1"/>
  <c r="D151" i="69" s="1"/>
  <c r="D159" i="69" a="1"/>
  <c r="D159" i="69" s="1"/>
  <c r="D150" i="69" a="1"/>
  <c r="D150" i="69" s="1"/>
  <c r="O146" i="69"/>
  <c r="O145" i="69"/>
  <c r="O144" i="69"/>
  <c r="O143" i="69"/>
  <c r="O142" i="69"/>
  <c r="O141" i="69"/>
  <c r="D108" i="69" a="1"/>
  <c r="D108" i="69" s="1"/>
  <c r="D146" i="69"/>
  <c r="D145" i="69"/>
  <c r="D144" i="69"/>
  <c r="D143" i="69"/>
  <c r="D142" i="69"/>
  <c r="D141" i="69"/>
  <c r="Q136" i="69"/>
  <c r="Q135" i="69"/>
  <c r="Q134" i="69"/>
  <c r="Q133" i="69"/>
  <c r="Q132" i="69"/>
  <c r="Q131" i="69"/>
  <c r="O136" i="69"/>
  <c r="O135" i="69"/>
  <c r="O134" i="69"/>
  <c r="O133" i="69"/>
  <c r="O132" i="69"/>
  <c r="O131" i="69"/>
  <c r="O126" i="69"/>
  <c r="O125" i="69"/>
  <c r="O124" i="69"/>
  <c r="O123" i="69"/>
  <c r="O122" i="69"/>
  <c r="O121" i="69"/>
  <c r="G116" i="69"/>
  <c r="F136" i="69"/>
  <c r="F135" i="69"/>
  <c r="F134" i="69"/>
  <c r="F133" i="69"/>
  <c r="F132" i="69"/>
  <c r="F131" i="69"/>
  <c r="D136" i="69"/>
  <c r="D135" i="69"/>
  <c r="D134" i="69"/>
  <c r="D133" i="69"/>
  <c r="D132" i="69"/>
  <c r="D131" i="69"/>
  <c r="G115" i="69"/>
  <c r="D126" i="69"/>
  <c r="D125" i="69"/>
  <c r="D124" i="69"/>
  <c r="D123" i="69"/>
  <c r="D122" i="69"/>
  <c r="D121" i="69"/>
  <c r="E112" i="69" a="1"/>
  <c r="E112" i="69" s="1"/>
  <c r="E113" i="69" a="1"/>
  <c r="E113" i="69" s="1"/>
  <c r="K142" i="69" s="1"/>
  <c r="D115" i="69" a="1"/>
  <c r="D115" i="69" s="1"/>
  <c r="D107" i="69" a="1"/>
  <c r="D107" i="69" s="1"/>
  <c r="D188" i="79" a="1"/>
  <c r="D188" i="79" s="1"/>
  <c r="G98" i="69" s="1"/>
  <c r="D187" i="79" a="1"/>
  <c r="D187" i="79" s="1"/>
  <c r="D186" i="79" a="1"/>
  <c r="D186" i="79" s="1"/>
  <c r="D185" i="79" a="1"/>
  <c r="D185" i="79" s="1"/>
  <c r="D184" i="79" a="1"/>
  <c r="D184" i="79" s="1"/>
  <c r="G97" i="69"/>
  <c r="G96" i="69"/>
  <c r="G64" i="69"/>
  <c r="G63" i="69"/>
  <c r="G35" i="69"/>
  <c r="D44" i="69"/>
  <c r="D27" i="69" a="1"/>
  <c r="D27" i="69" s="1"/>
  <c r="G39" i="69"/>
  <c r="S18" i="69"/>
  <c r="S23" i="69" s="1" a="1"/>
  <c r="S23" i="69" s="1"/>
  <c r="R18" i="69"/>
  <c r="R23" i="69" s="1" a="1"/>
  <c r="R23" i="69" s="1"/>
  <c r="Q18" i="69"/>
  <c r="Q23" i="69" s="1" a="1"/>
  <c r="Q23" i="69" s="1"/>
  <c r="P18" i="69"/>
  <c r="P23" i="69" s="1" a="1"/>
  <c r="P23" i="69" s="1"/>
  <c r="O18" i="69"/>
  <c r="O23" i="69" s="1" a="1"/>
  <c r="O23" i="69" s="1"/>
  <c r="G13" i="69"/>
  <c r="D6" i="69" a="1"/>
  <c r="D6" i="69" s="1"/>
  <c r="E10" i="69" a="1"/>
  <c r="E10" i="69" s="1"/>
  <c r="E11" i="69" a="1"/>
  <c r="E11" i="69" s="1"/>
  <c r="D13" i="69" a="1"/>
  <c r="D13" i="69" s="1"/>
  <c r="D5" i="69" a="1"/>
  <c r="D5" i="69" s="1"/>
  <c r="D28" i="69" a="1"/>
  <c r="D28" i="69" s="1"/>
  <c r="D181" i="79" a="1"/>
  <c r="D181" i="79" s="1"/>
  <c r="G38" i="69" s="1"/>
  <c r="D180" i="79" a="1"/>
  <c r="D180" i="79" s="1"/>
  <c r="D179" i="79" a="1"/>
  <c r="D179" i="79" s="1"/>
  <c r="D178" i="79" a="1"/>
  <c r="D178" i="79"/>
  <c r="D177" i="79" a="1"/>
  <c r="D177" i="79" s="1"/>
  <c r="D174" i="79" a="1"/>
  <c r="D174" i="79" s="1"/>
  <c r="G37" i="69" s="1"/>
  <c r="D173" i="79" a="1"/>
  <c r="D173" i="79" s="1"/>
  <c r="D172" i="79" a="1"/>
  <c r="D172" i="79" s="1"/>
  <c r="D171" i="79" a="1"/>
  <c r="D171" i="79" s="1"/>
  <c r="D170" i="79" a="1"/>
  <c r="D170" i="79" s="1"/>
  <c r="D167" i="79" a="1"/>
  <c r="D167" i="79" s="1"/>
  <c r="G36" i="69" s="1"/>
  <c r="D166" i="79" a="1"/>
  <c r="D166" i="79" s="1"/>
  <c r="D165" i="79" a="1"/>
  <c r="D165" i="79" s="1"/>
  <c r="D164" i="79" a="1"/>
  <c r="D164" i="79" s="1"/>
  <c r="D163" i="79" a="1"/>
  <c r="D163" i="79" s="1"/>
  <c r="E32" i="69" a="1"/>
  <c r="E32" i="69" s="1"/>
  <c r="E33" i="69" a="1"/>
  <c r="E33" i="69" s="1"/>
  <c r="T49" i="69" s="1"/>
  <c r="D35" i="69" a="1"/>
  <c r="D35" i="69" s="1"/>
  <c r="G62" i="69"/>
  <c r="G61" i="69"/>
  <c r="D54" i="69" a="1"/>
  <c r="D54" i="69" s="1"/>
  <c r="E58" i="69" a="1"/>
  <c r="E58" i="69" s="1"/>
  <c r="E59" i="69" a="1"/>
  <c r="E59" i="69" s="1"/>
  <c r="I84" i="69" s="1"/>
  <c r="I50" i="76" s="1"/>
  <c r="D61" i="69" a="1"/>
  <c r="D61" i="69" s="1"/>
  <c r="D53" i="69" a="1"/>
  <c r="D53" i="69" s="1"/>
  <c r="F37" i="70"/>
  <c r="E114" i="76" s="1"/>
  <c r="D160" i="79" a="1"/>
  <c r="D160" i="79" s="1"/>
  <c r="E36" i="70" s="1"/>
  <c r="D18" i="69" s="1"/>
  <c r="D23" i="69" s="1" a="1"/>
  <c r="D23" i="69" s="1"/>
  <c r="D159" i="79" a="1"/>
  <c r="D159" i="79" s="1"/>
  <c r="D158" i="79" a="1"/>
  <c r="D158" i="79" s="1"/>
  <c r="D157" i="79" a="1"/>
  <c r="D157" i="79" s="1"/>
  <c r="D156" i="79" a="1"/>
  <c r="D156" i="79" s="1"/>
  <c r="D150" i="79" a="1"/>
  <c r="D150" i="79" s="1"/>
  <c r="D151" i="79" a="1"/>
  <c r="D151" i="79" s="1"/>
  <c r="D152" i="79" a="1"/>
  <c r="D152" i="79" s="1"/>
  <c r="D153" i="79" a="1"/>
  <c r="D153" i="79" s="1"/>
  <c r="D149" i="79" a="1"/>
  <c r="D149" i="79" s="1"/>
  <c r="D89" i="69" a="1"/>
  <c r="D89" i="69" s="1"/>
  <c r="E93" i="69" a="1"/>
  <c r="E93" i="69" s="1"/>
  <c r="E94" i="69" a="1"/>
  <c r="E94" i="69" s="1"/>
  <c r="I103" i="69" s="1"/>
  <c r="D96" i="69" a="1"/>
  <c r="D96" i="69" s="1"/>
  <c r="D88" i="69" a="1"/>
  <c r="D88" i="69" s="1"/>
  <c r="I178" i="70"/>
  <c r="H178" i="70"/>
  <c r="G178" i="70"/>
  <c r="F178" i="70"/>
  <c r="E178" i="70"/>
  <c r="I173" i="70"/>
  <c r="H173" i="70"/>
  <c r="G173" i="70"/>
  <c r="F173" i="70"/>
  <c r="E173" i="70"/>
  <c r="I168" i="70"/>
  <c r="H168" i="70"/>
  <c r="G168" i="70"/>
  <c r="F168" i="70"/>
  <c r="E168" i="70"/>
  <c r="I163" i="70"/>
  <c r="H163" i="70"/>
  <c r="G163" i="70"/>
  <c r="F163" i="70"/>
  <c r="E163" i="70"/>
  <c r="E114" i="70"/>
  <c r="I126" i="70" s="1"/>
  <c r="E113" i="70"/>
  <c r="H119" i="70" s="1"/>
  <c r="E109" i="70"/>
  <c r="F125" i="70" s="1"/>
  <c r="E108" i="70"/>
  <c r="H118" i="70" s="1"/>
  <c r="E104" i="70"/>
  <c r="H124" i="70" s="1"/>
  <c r="E103" i="70"/>
  <c r="G117" i="70" s="1"/>
  <c r="D64" i="70"/>
  <c r="D98" i="70"/>
  <c r="I154" i="70"/>
  <c r="H154" i="70"/>
  <c r="G154" i="70"/>
  <c r="F154" i="70"/>
  <c r="E154" i="70"/>
  <c r="I92" i="70"/>
  <c r="H92" i="70"/>
  <c r="G92" i="70"/>
  <c r="F92" i="70"/>
  <c r="E92" i="70"/>
  <c r="I91" i="70"/>
  <c r="H91" i="70"/>
  <c r="G91" i="70"/>
  <c r="F91" i="70"/>
  <c r="E91" i="70"/>
  <c r="I90" i="70"/>
  <c r="H90" i="70"/>
  <c r="G90" i="70"/>
  <c r="F90" i="70"/>
  <c r="E90" i="70"/>
  <c r="I85" i="70"/>
  <c r="H85" i="70"/>
  <c r="G85" i="70"/>
  <c r="F85" i="70"/>
  <c r="E85" i="70"/>
  <c r="I84" i="70"/>
  <c r="H84" i="70"/>
  <c r="G84" i="70"/>
  <c r="F84" i="70"/>
  <c r="E84" i="70"/>
  <c r="I83" i="70"/>
  <c r="H83" i="70"/>
  <c r="G83" i="70"/>
  <c r="F83" i="70"/>
  <c r="E83" i="70"/>
  <c r="E7" i="82" a="1"/>
  <c r="E249" i="76" a="1"/>
  <c r="E212" i="76" a="1"/>
  <c r="E176" i="76" a="1"/>
  <c r="E146" i="76" a="1"/>
  <c r="E125" i="76" a="1"/>
  <c r="E102" i="76" a="1"/>
  <c r="E71" i="76" a="1"/>
  <c r="E35" i="76" a="1"/>
  <c r="E7" i="76" a="1"/>
  <c r="E217" i="69" a="1"/>
  <c r="E179" i="69" a="1"/>
  <c r="E153" i="69" a="1"/>
  <c r="E109" i="69" a="1"/>
  <c r="E55" i="69" a="1"/>
  <c r="E90" i="69" a="1"/>
  <c r="E29" i="69" a="1"/>
  <c r="E7" i="69" a="1"/>
  <c r="K207" i="69" l="1"/>
  <c r="V206" i="69"/>
  <c r="S29" i="76"/>
  <c r="S206" i="76"/>
  <c r="I206" i="76"/>
  <c r="I169" i="76"/>
  <c r="K208" i="69"/>
  <c r="K209" i="69"/>
  <c r="K143" i="69"/>
  <c r="K210" i="69"/>
  <c r="V29" i="95"/>
  <c r="K30" i="95"/>
  <c r="K29" i="95"/>
  <c r="V30" i="95"/>
  <c r="K144" i="69"/>
  <c r="K145" i="69"/>
  <c r="S96" i="76"/>
  <c r="K146" i="69"/>
  <c r="I119" i="76"/>
  <c r="F280" i="76"/>
  <c r="G8" i="13" s="1"/>
  <c r="T84" i="69"/>
  <c r="S50" i="76" s="1"/>
  <c r="T103" i="69"/>
  <c r="I65" i="76"/>
  <c r="V143" i="69"/>
  <c r="F36" i="70"/>
  <c r="E18" i="69" s="1"/>
  <c r="E23" i="69" s="1" a="1"/>
  <c r="E23" i="69" s="1"/>
  <c r="E49" i="69" s="1" a="1"/>
  <c r="E49" i="69" s="1"/>
  <c r="E60" i="76" s="1"/>
  <c r="V172" i="69"/>
  <c r="K173" i="69"/>
  <c r="K172" i="69"/>
  <c r="G36" i="70"/>
  <c r="F18" i="69" s="1"/>
  <c r="F23" i="69" s="1" a="1"/>
  <c r="F23" i="69" s="1"/>
  <c r="F49" i="69" s="1" a="1"/>
  <c r="F49" i="69" s="1"/>
  <c r="F60" i="76" s="1"/>
  <c r="H36" i="70"/>
  <c r="G18" i="69" s="1"/>
  <c r="G23" i="69" s="1" a="1"/>
  <c r="G23" i="69" s="1"/>
  <c r="G49" i="69" s="1" a="1"/>
  <c r="G49" i="69" s="1"/>
  <c r="G60" i="76" s="1"/>
  <c r="G37" i="70"/>
  <c r="F114" i="76" s="1"/>
  <c r="I37" i="70"/>
  <c r="H114" i="76" s="1"/>
  <c r="H37" i="70"/>
  <c r="G114" i="76" s="1"/>
  <c r="E37" i="70"/>
  <c r="D114" i="76" s="1"/>
  <c r="I36" i="70"/>
  <c r="H18" i="69" s="1"/>
  <c r="H23" i="69" s="1" a="1"/>
  <c r="H23" i="69" s="1"/>
  <c r="H49" i="69" s="1" a="1"/>
  <c r="H49" i="69" s="1"/>
  <c r="H60" i="76" s="1"/>
  <c r="F264" i="69"/>
  <c r="G7" i="13" s="1"/>
  <c r="I23" i="69"/>
  <c r="T23" i="69"/>
  <c r="Q68" i="82"/>
  <c r="V207" i="69"/>
  <c r="V141" i="69"/>
  <c r="V203" i="69"/>
  <c r="V142" i="69"/>
  <c r="V208" i="69"/>
  <c r="V144" i="69"/>
  <c r="K203" i="69"/>
  <c r="V204" i="69"/>
  <c r="J8" i="13"/>
  <c r="V145" i="69"/>
  <c r="K204" i="69"/>
  <c r="V209" i="69"/>
  <c r="K141" i="69"/>
  <c r="V146" i="69"/>
  <c r="K205" i="69"/>
  <c r="K206" i="69"/>
  <c r="V205" i="69"/>
  <c r="E7" i="82"/>
  <c r="E249" i="76"/>
  <c r="E212" i="76"/>
  <c r="E176" i="76"/>
  <c r="E146" i="76"/>
  <c r="E125" i="76"/>
  <c r="E102" i="76"/>
  <c r="E71" i="76"/>
  <c r="E35" i="76"/>
  <c r="E7" i="76"/>
  <c r="E217" i="69"/>
  <c r="E179" i="69"/>
  <c r="E153" i="69"/>
  <c r="E109" i="69"/>
  <c r="E55" i="69"/>
  <c r="E90" i="69"/>
  <c r="R49" i="69" a="1"/>
  <c r="R49" i="69" s="1"/>
  <c r="P49" i="69" a="1"/>
  <c r="P49" i="69" s="1"/>
  <c r="S49" i="69" a="1"/>
  <c r="S49" i="69" s="1"/>
  <c r="I49" i="69"/>
  <c r="I60" i="76" s="1"/>
  <c r="D49" i="69" a="1"/>
  <c r="D49" i="69" s="1"/>
  <c r="D60" i="76" s="1"/>
  <c r="O49" i="69" a="1"/>
  <c r="O49" i="69" s="1"/>
  <c r="Q49" i="69" a="1"/>
  <c r="Q49" i="69" s="1"/>
  <c r="E29" i="69"/>
  <c r="E7" i="69"/>
  <c r="F93" i="70"/>
  <c r="F95" i="70" s="1"/>
  <c r="I93" i="70"/>
  <c r="I95" i="70" s="1"/>
  <c r="E93" i="70"/>
  <c r="E95" i="70" s="1"/>
  <c r="G93" i="70"/>
  <c r="G95" i="70" s="1"/>
  <c r="I86" i="70"/>
  <c r="I88" i="70" s="1"/>
  <c r="H93" i="70"/>
  <c r="H95" i="70" s="1"/>
  <c r="H117" i="70"/>
  <c r="H120" i="70" s="1"/>
  <c r="H122" i="70" s="1"/>
  <c r="I118" i="70"/>
  <c r="F119" i="70"/>
  <c r="I119" i="70"/>
  <c r="E126" i="70"/>
  <c r="F126" i="70"/>
  <c r="G126" i="70"/>
  <c r="F86" i="70"/>
  <c r="F88" i="70" s="1"/>
  <c r="E117" i="70"/>
  <c r="G86" i="70"/>
  <c r="G88" i="70" s="1"/>
  <c r="F117" i="70"/>
  <c r="E86" i="70"/>
  <c r="H86" i="70"/>
  <c r="H88" i="70" s="1"/>
  <c r="E88" i="70"/>
  <c r="E119" i="70"/>
  <c r="E125" i="70"/>
  <c r="G119" i="70"/>
  <c r="G125" i="70"/>
  <c r="H125" i="70"/>
  <c r="I117" i="70"/>
  <c r="H126" i="70"/>
  <c r="I125" i="70"/>
  <c r="E118" i="70"/>
  <c r="E124" i="70"/>
  <c r="I124" i="70"/>
  <c r="F118" i="70"/>
  <c r="F124" i="70"/>
  <c r="F127" i="70" s="1"/>
  <c r="F129" i="70" s="1"/>
  <c r="G118" i="70"/>
  <c r="G124" i="70"/>
  <c r="I120" i="70" l="1"/>
  <c r="I122" i="70" s="1"/>
  <c r="F120" i="70"/>
  <c r="F122" i="70" s="1"/>
  <c r="G120" i="70"/>
  <c r="G122" i="70" s="1"/>
  <c r="E127" i="70"/>
  <c r="E129" i="70" s="1"/>
  <c r="H127" i="70"/>
  <c r="H129" i="70" s="1"/>
  <c r="E120" i="70"/>
  <c r="E122" i="70" s="1"/>
  <c r="I127" i="70"/>
  <c r="I129" i="70" s="1"/>
  <c r="G127" i="70"/>
  <c r="G129" i="70" s="1"/>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67" i="69" l="1"/>
  <c r="R267" i="69"/>
  <c r="E28" i="70" a="1"/>
  <c r="E28" i="70" s="1"/>
  <c r="F35" i="70" a="1"/>
  <c r="F35" i="70" s="1"/>
  <c r="I40" i="70" a="1"/>
  <c r="I40" i="70" s="1"/>
  <c r="E35" i="70" a="1"/>
  <c r="E35" i="70" s="1"/>
  <c r="H40" i="70" a="1"/>
  <c r="H40" i="70" s="1"/>
  <c r="G40" i="70" a="1"/>
  <c r="G40" i="70" s="1"/>
  <c r="F40" i="70" a="1"/>
  <c r="F40" i="70" s="1"/>
  <c r="E40" i="70" a="1"/>
  <c r="E40" i="70" s="1"/>
  <c r="I35" i="70" a="1"/>
  <c r="I35" i="70" s="1"/>
  <c r="H35" i="70" a="1"/>
  <c r="H35" i="70" s="1"/>
  <c r="G35" i="70" a="1"/>
  <c r="G35"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1" i="76" l="1"/>
  <c r="Q201" i="76"/>
  <c r="G250" i="69"/>
  <c r="P196" i="76"/>
  <c r="Q240" i="69"/>
  <c r="G29" i="70"/>
  <c r="H240" i="69"/>
  <c r="H196" i="76"/>
  <c r="F201" i="76"/>
  <c r="F250" i="69"/>
  <c r="F240" i="69"/>
  <c r="F196" i="76"/>
  <c r="E164" i="76"/>
  <c r="E240" i="69"/>
  <c r="R196" i="76"/>
  <c r="S240" i="69"/>
  <c r="I29" i="70"/>
  <c r="D240" i="69"/>
  <c r="D164" i="76"/>
  <c r="D201" i="76"/>
  <c r="N201" i="76"/>
  <c r="D250" i="69"/>
  <c r="P240" i="69"/>
  <c r="F29" i="70"/>
  <c r="P250" i="69" s="1"/>
  <c r="O164" i="76"/>
  <c r="H201" i="76"/>
  <c r="H250" i="69"/>
  <c r="G240" i="69"/>
  <c r="G164" i="76"/>
  <c r="E201" i="76"/>
  <c r="E250" i="69"/>
  <c r="O201" i="76"/>
  <c r="Q164" i="76"/>
  <c r="R240" i="69"/>
  <c r="H29" i="70"/>
  <c r="R250" i="69" s="1"/>
  <c r="N164" i="76"/>
  <c r="O240" i="69"/>
  <c r="E29" i="70"/>
  <c r="O250" i="69" s="1"/>
  <c r="P201" i="76" l="1"/>
  <c r="Q250" i="69"/>
  <c r="S250" i="69"/>
  <c r="R201" i="76"/>
  <c r="I144" i="70" l="1"/>
  <c r="H144" i="70"/>
  <c r="I149" i="70"/>
  <c r="H149" i="70"/>
  <c r="I139" i="70"/>
  <c r="H139" i="70"/>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1" i="76" s="1"/>
  <c r="F64" i="79" a="1"/>
  <c r="F64" i="79" s="1"/>
  <c r="E64" i="79" a="1"/>
  <c r="E64" i="79" s="1"/>
  <c r="H245" i="69" s="1"/>
  <c r="D64" i="79" a="1"/>
  <c r="D64" i="79" s="1"/>
  <c r="G63" i="79" a="1"/>
  <c r="G63" i="79" s="1"/>
  <c r="F191" i="76" s="1"/>
  <c r="F63" i="79" a="1"/>
  <c r="F63" i="79" s="1"/>
  <c r="E63" i="79" a="1"/>
  <c r="E63" i="79" s="1"/>
  <c r="F245"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76" i="81" l="1"/>
  <c r="F75" i="81"/>
  <c r="F73" i="81"/>
  <c r="F72" i="81"/>
  <c r="F74" i="81"/>
  <c r="E63" i="81" a="1"/>
  <c r="E63" i="81" s="1"/>
  <c r="E72" i="81" a="1"/>
  <c r="E72" i="81" s="1"/>
  <c r="D72" i="81" a="1"/>
  <c r="D72" i="81" s="1"/>
  <c r="D63" i="81" a="1"/>
  <c r="D63" i="81" s="1"/>
  <c r="E262" i="76" a="1"/>
  <c r="E262" i="76" s="1"/>
  <c r="E31" i="82" a="1"/>
  <c r="E31" i="82" s="1"/>
  <c r="D262" i="76" a="1"/>
  <c r="D262" i="76" s="1"/>
  <c r="D31" i="82" a="1"/>
  <c r="D31" i="82" s="1"/>
  <c r="F35" i="82"/>
  <c r="F34" i="82"/>
  <c r="F33" i="82"/>
  <c r="F32" i="82"/>
  <c r="F31" i="82"/>
  <c r="H55" i="76"/>
  <c r="G55" i="76"/>
  <c r="E55" i="76"/>
  <c r="F55" i="76"/>
  <c r="F79" i="69"/>
  <c r="E79" i="69"/>
  <c r="G79" i="69"/>
  <c r="H79" i="69"/>
  <c r="D7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60" i="70" a="1"/>
  <c r="G60" i="70" s="1"/>
  <c r="H55" i="70" a="1"/>
  <c r="H55" i="70" s="1"/>
  <c r="E60" i="70" a="1"/>
  <c r="E60" i="70" s="1"/>
  <c r="I59" i="70" a="1"/>
  <c r="I59" i="70" s="1"/>
  <c r="I53" i="70" a="1"/>
  <c r="I53" i="70" s="1"/>
  <c r="G58" i="70" a="1"/>
  <c r="G58" i="70" s="1"/>
  <c r="S25" i="96" s="1"/>
  <c r="H60" i="70" a="1"/>
  <c r="H60" i="70" s="1"/>
  <c r="F60" i="70" a="1"/>
  <c r="F60" i="70" s="1"/>
  <c r="G55" i="70" a="1"/>
  <c r="G55" i="70" s="1"/>
  <c r="F55" i="70" a="1"/>
  <c r="F55" i="70" s="1"/>
  <c r="E55" i="70" a="1"/>
  <c r="E55" i="70" s="1"/>
  <c r="E53" i="70" a="1"/>
  <c r="E53" i="70" s="1"/>
  <c r="F25" i="96" s="1"/>
  <c r="H59" i="70" a="1"/>
  <c r="H59" i="70" s="1"/>
  <c r="I54" i="70" a="1"/>
  <c r="I54" i="70" s="1"/>
  <c r="E59" i="70" a="1"/>
  <c r="E59" i="70" s="1"/>
  <c r="E54" i="70" a="1"/>
  <c r="E54" i="70" s="1"/>
  <c r="I55" i="70" a="1"/>
  <c r="I55" i="70" s="1"/>
  <c r="G59" i="70" a="1"/>
  <c r="G59" i="70" s="1"/>
  <c r="H54" i="70" a="1"/>
  <c r="H54" i="70" s="1"/>
  <c r="F54" i="70" a="1"/>
  <c r="F54" i="70" s="1"/>
  <c r="H58" i="70" a="1"/>
  <c r="H58" i="70" s="1"/>
  <c r="T25" i="96" s="1"/>
  <c r="F59" i="70" a="1"/>
  <c r="F59" i="70" s="1"/>
  <c r="G54" i="70" a="1"/>
  <c r="G54" i="70" s="1"/>
  <c r="I58" i="70" a="1"/>
  <c r="I58" i="70" s="1"/>
  <c r="U25" i="96" s="1"/>
  <c r="H53" i="70" a="1"/>
  <c r="H53" i="70" s="1"/>
  <c r="F58" i="70" a="1"/>
  <c r="F58" i="70" s="1"/>
  <c r="R25" i="96" s="1"/>
  <c r="G53" i="70" a="1"/>
  <c r="G53" i="70" s="1"/>
  <c r="I60" i="70" a="1"/>
  <c r="I60" i="70" s="1"/>
  <c r="E58" i="70" a="1"/>
  <c r="E58" i="70" s="1"/>
  <c r="Q25" i="96" s="1"/>
  <c r="F53" i="70" a="1"/>
  <c r="F53" i="70" s="1"/>
  <c r="H199" i="93" a="1"/>
  <c r="H199" i="93" s="1"/>
  <c r="G199" i="93" a="1"/>
  <c r="G199" i="93" s="1"/>
  <c r="F199" i="93" a="1"/>
  <c r="F199" i="93" s="1"/>
  <c r="E199" i="93" a="1"/>
  <c r="E199" i="93" s="1"/>
  <c r="D199" i="93" a="1"/>
  <c r="D199" i="93" s="1"/>
  <c r="H198" i="93" a="1"/>
  <c r="H198" i="93" s="1"/>
  <c r="G198" i="93" a="1"/>
  <c r="G198" i="93" s="1"/>
  <c r="F198" i="93" a="1"/>
  <c r="F198" i="93" s="1"/>
  <c r="E198" i="93" a="1"/>
  <c r="E198" i="93" s="1"/>
  <c r="D198" i="93" a="1"/>
  <c r="D198" i="93" s="1"/>
  <c r="H197" i="93" a="1"/>
  <c r="H197" i="93" s="1"/>
  <c r="G197" i="93" a="1"/>
  <c r="G197" i="93" s="1"/>
  <c r="F197" i="93" a="1"/>
  <c r="F197" i="93" s="1"/>
  <c r="E197" i="93" a="1"/>
  <c r="E197" i="93" s="1"/>
  <c r="D197" i="93" a="1"/>
  <c r="D197" i="93" s="1"/>
  <c r="H196" i="93" a="1"/>
  <c r="H196" i="93" s="1"/>
  <c r="G196" i="93" a="1"/>
  <c r="G196" i="93" s="1"/>
  <c r="F196" i="93" a="1"/>
  <c r="F196" i="93" s="1"/>
  <c r="E196" i="93" a="1"/>
  <c r="E196" i="93" s="1"/>
  <c r="D196" i="93" a="1"/>
  <c r="D196" i="93" s="1"/>
  <c r="H195" i="93" a="1"/>
  <c r="H195" i="93" s="1"/>
  <c r="G195" i="93" a="1"/>
  <c r="G195" i="93" s="1"/>
  <c r="F195" i="93" a="1"/>
  <c r="F195" i="93" s="1"/>
  <c r="E195" i="93" a="1"/>
  <c r="E195" i="93" s="1"/>
  <c r="D195" i="93" a="1"/>
  <c r="D195" i="93" s="1"/>
  <c r="H194" i="93" a="1"/>
  <c r="H194" i="93" s="1"/>
  <c r="G194" i="93" a="1"/>
  <c r="G194" i="93" s="1"/>
  <c r="F194" i="93" a="1"/>
  <c r="F194" i="93" s="1"/>
  <c r="E194" i="93" a="1"/>
  <c r="E194" i="93" s="1"/>
  <c r="D194" i="93" a="1"/>
  <c r="D194" i="93" s="1"/>
  <c r="H193" i="93" a="1"/>
  <c r="H193" i="93" s="1"/>
  <c r="G193" i="93" a="1"/>
  <c r="G193" i="93" s="1"/>
  <c r="F193" i="93" a="1"/>
  <c r="F193" i="93" s="1"/>
  <c r="E193" i="93" a="1"/>
  <c r="E193" i="93" s="1"/>
  <c r="D193" i="93" a="1"/>
  <c r="D193" i="93" s="1"/>
  <c r="H192" i="93" a="1"/>
  <c r="H192" i="93" s="1"/>
  <c r="G192" i="93" a="1"/>
  <c r="G192" i="93" s="1"/>
  <c r="F192" i="93" a="1"/>
  <c r="F192" i="93" s="1"/>
  <c r="E192" i="93" a="1"/>
  <c r="E192" i="93" s="1"/>
  <c r="D192" i="93" a="1"/>
  <c r="D192" i="93" s="1"/>
  <c r="H191" i="93" a="1"/>
  <c r="H191" i="93" s="1"/>
  <c r="G191" i="93" a="1"/>
  <c r="G191" i="93" s="1"/>
  <c r="F191" i="93" a="1"/>
  <c r="F191" i="93" s="1"/>
  <c r="E191" i="93" a="1"/>
  <c r="E191" i="93" s="1"/>
  <c r="D191" i="93" a="1"/>
  <c r="D191" i="93" s="1"/>
  <c r="H190" i="93" a="1"/>
  <c r="H190" i="93" s="1"/>
  <c r="G190" i="93" a="1"/>
  <c r="G190" i="93" s="1"/>
  <c r="F190" i="93" a="1"/>
  <c r="F190" i="93" s="1"/>
  <c r="E190" i="93" a="1"/>
  <c r="E190" i="93" s="1"/>
  <c r="D190" i="93" a="1"/>
  <c r="D190" i="93" s="1"/>
  <c r="H189" i="93" a="1"/>
  <c r="H189" i="93" s="1"/>
  <c r="G189" i="93" a="1"/>
  <c r="G189" i="93" s="1"/>
  <c r="F189" i="93" a="1"/>
  <c r="F189" i="93" s="1"/>
  <c r="E189" i="93" a="1"/>
  <c r="E189" i="93" s="1"/>
  <c r="D189" i="93" a="1"/>
  <c r="D189" i="93" s="1"/>
  <c r="H188" i="93" a="1"/>
  <c r="H188" i="93" s="1"/>
  <c r="G188" i="93" a="1"/>
  <c r="G188" i="93" s="1"/>
  <c r="F188" i="93" a="1"/>
  <c r="F188" i="93" s="1"/>
  <c r="G9" i="79" s="1"/>
  <c r="E188" i="93" a="1"/>
  <c r="E188" i="93" s="1"/>
  <c r="D188" i="93" a="1"/>
  <c r="D188" i="93" s="1"/>
  <c r="H187" i="93" a="1"/>
  <c r="H187" i="93" s="1"/>
  <c r="G187" i="93" a="1"/>
  <c r="G187" i="93" s="1"/>
  <c r="F187" i="93" a="1"/>
  <c r="F187" i="93" s="1"/>
  <c r="E187" i="93" a="1"/>
  <c r="E187" i="93" s="1"/>
  <c r="D187" i="93" a="1"/>
  <c r="D187" i="93" s="1"/>
  <c r="D181" i="93" a="1"/>
  <c r="D181" i="93" s="1"/>
  <c r="D180" i="93" a="1"/>
  <c r="D180" i="93" s="1"/>
  <c r="D179" i="93" a="1"/>
  <c r="D179" i="93" s="1"/>
  <c r="D178" i="93" a="1"/>
  <c r="D178" i="93" s="1"/>
  <c r="E175" i="93" a="1"/>
  <c r="E175" i="93" s="1"/>
  <c r="D175" i="93" a="1"/>
  <c r="D175" i="93" s="1"/>
  <c r="G189" i="69" s="1"/>
  <c r="D174" i="93" a="1"/>
  <c r="D174" i="93" s="1"/>
  <c r="D173" i="93" a="1"/>
  <c r="D173" i="93" s="1"/>
  <c r="D170" i="93" a="1"/>
  <c r="D170" i="93" s="1"/>
  <c r="D169" i="93" a="1"/>
  <c r="D169" i="93" s="1"/>
  <c r="D168" i="93" a="1"/>
  <c r="D168" i="93" s="1"/>
  <c r="D167" i="93" a="1"/>
  <c r="D167" i="93" s="1"/>
  <c r="D164" i="93" a="1"/>
  <c r="D164" i="93" s="1"/>
  <c r="D163" i="93" a="1"/>
  <c r="D163" i="93" s="1"/>
  <c r="D162" i="93" a="1"/>
  <c r="D162" i="93" s="1"/>
  <c r="D161" i="93" a="1"/>
  <c r="D161" i="93" s="1"/>
  <c r="E158" i="93" a="1"/>
  <c r="E158" i="93" s="1"/>
  <c r="D158" i="93" a="1"/>
  <c r="D158" i="93" s="1"/>
  <c r="E157" i="93" a="1"/>
  <c r="E157" i="93" s="1"/>
  <c r="D157" i="93" a="1"/>
  <c r="D157" i="93" s="1"/>
  <c r="E156" i="93" a="1"/>
  <c r="E156" i="93" s="1"/>
  <c r="D156" i="93" a="1"/>
  <c r="D156" i="93" s="1"/>
  <c r="E155" i="93" a="1"/>
  <c r="E155" i="93" s="1"/>
  <c r="D155" i="93" a="1"/>
  <c r="D155" i="93" s="1"/>
  <c r="E154" i="93" a="1"/>
  <c r="E154" i="93" s="1"/>
  <c r="D154" i="93" a="1"/>
  <c r="D154" i="93" s="1"/>
  <c r="D151" i="93" a="1"/>
  <c r="D151" i="93" s="1"/>
  <c r="D150" i="93" a="1"/>
  <c r="D150" i="93" s="1"/>
  <c r="E136" i="93" a="1"/>
  <c r="E136" i="93" s="1"/>
  <c r="D136" i="93" a="1"/>
  <c r="D136" i="93" s="1"/>
  <c r="E135" i="93" a="1"/>
  <c r="E135" i="93" s="1"/>
  <c r="D135" i="93" a="1"/>
  <c r="D135" i="93" s="1"/>
  <c r="D133" i="93" a="1"/>
  <c r="D133" i="93" s="1"/>
  <c r="D132" i="93" a="1"/>
  <c r="D132" i="93" s="1"/>
  <c r="E129" i="93" a="1"/>
  <c r="E129" i="93" s="1"/>
  <c r="D129" i="93" a="1"/>
  <c r="D129" i="93" s="1"/>
  <c r="E128" i="93" a="1"/>
  <c r="E128" i="93" s="1"/>
  <c r="D128" i="93" a="1"/>
  <c r="D128" i="93" s="1"/>
  <c r="D125" i="93" a="1"/>
  <c r="D125" i="93" s="1"/>
  <c r="D124" i="93" a="1"/>
  <c r="D124" i="93" s="1"/>
  <c r="G121" i="93" a="1"/>
  <c r="G121" i="93" s="1"/>
  <c r="F121" i="93" a="1"/>
  <c r="F121" i="93" s="1"/>
  <c r="E121" i="93" a="1"/>
  <c r="E121" i="93" s="1"/>
  <c r="D121" i="93" a="1"/>
  <c r="D121" i="93" s="1"/>
  <c r="G120" i="93" a="1"/>
  <c r="G120" i="93" s="1"/>
  <c r="F120" i="93" a="1"/>
  <c r="F120" i="93" s="1"/>
  <c r="E120" i="93" a="1"/>
  <c r="E120" i="93" s="1"/>
  <c r="D120" i="93" a="1"/>
  <c r="D120" i="93" s="1"/>
  <c r="D117" i="93" a="1"/>
  <c r="D117" i="93" s="1"/>
  <c r="D116" i="93" a="1"/>
  <c r="D116" i="93" s="1"/>
  <c r="D115" i="93" a="1"/>
  <c r="D115" i="93" s="1"/>
  <c r="G112" i="93" a="1"/>
  <c r="G112" i="93" s="1"/>
  <c r="F112" i="93" a="1"/>
  <c r="F112" i="93" s="1"/>
  <c r="E112" i="93" a="1"/>
  <c r="E112" i="93" s="1"/>
  <c r="D112" i="93" a="1"/>
  <c r="D112" i="93" s="1"/>
  <c r="G111" i="93" a="1"/>
  <c r="G111" i="93" s="1"/>
  <c r="F111" i="93" a="1"/>
  <c r="F111" i="93" s="1"/>
  <c r="E111" i="93" a="1"/>
  <c r="E111" i="93" s="1"/>
  <c r="D111" i="93" a="1"/>
  <c r="D111" i="93" s="1"/>
  <c r="G110" i="93" a="1"/>
  <c r="G110" i="93" s="1"/>
  <c r="F110" i="93" a="1"/>
  <c r="F110" i="93" s="1"/>
  <c r="E110" i="93" a="1"/>
  <c r="E110" i="93" s="1"/>
  <c r="D110" i="93" a="1"/>
  <c r="D110" i="93" s="1"/>
  <c r="D107" i="93" a="1"/>
  <c r="D107" i="93" s="1"/>
  <c r="D106" i="93" a="1"/>
  <c r="D106" i="93" s="1"/>
  <c r="D105" i="93" a="1"/>
  <c r="D105" i="93" s="1"/>
  <c r="D98" i="93" a="1"/>
  <c r="D98" i="93" s="1"/>
  <c r="S97" i="93" a="1"/>
  <c r="S97" i="93" s="1"/>
  <c r="R97" i="93" a="1"/>
  <c r="R97" i="93" s="1"/>
  <c r="Q97" i="93" a="1"/>
  <c r="Q97" i="93" s="1"/>
  <c r="P97" i="93" a="1"/>
  <c r="P97" i="93" s="1"/>
  <c r="O97" i="93" a="1"/>
  <c r="O97" i="93" s="1"/>
  <c r="N97" i="93" a="1"/>
  <c r="N97" i="93" s="1"/>
  <c r="M97" i="93" a="1"/>
  <c r="M97" i="93" s="1"/>
  <c r="L97" i="93" a="1"/>
  <c r="L97" i="93" s="1"/>
  <c r="K97" i="93" a="1"/>
  <c r="K97" i="93" s="1"/>
  <c r="J97" i="93" a="1"/>
  <c r="J97" i="93" s="1"/>
  <c r="I97" i="93" a="1"/>
  <c r="I97" i="93" s="1"/>
  <c r="H97" i="93" a="1"/>
  <c r="H97" i="93" s="1"/>
  <c r="G97" i="93" a="1"/>
  <c r="G97" i="93" s="1"/>
  <c r="F97" i="93" a="1"/>
  <c r="F97" i="93" s="1"/>
  <c r="E97" i="93" a="1"/>
  <c r="E97" i="93" s="1"/>
  <c r="D97" i="93" a="1"/>
  <c r="D97" i="93" s="1"/>
  <c r="S96" i="93" a="1"/>
  <c r="S96" i="93" s="1"/>
  <c r="R96" i="93" a="1"/>
  <c r="R96" i="93" s="1"/>
  <c r="Q96" i="93" a="1"/>
  <c r="Q96" i="93" s="1"/>
  <c r="P96" i="93" a="1"/>
  <c r="P96" i="93" s="1"/>
  <c r="O96" i="93" a="1"/>
  <c r="O96" i="93" s="1"/>
  <c r="N96" i="93" a="1"/>
  <c r="N96" i="93" s="1"/>
  <c r="M96" i="93" a="1"/>
  <c r="M96" i="93" s="1"/>
  <c r="L96" i="93" a="1"/>
  <c r="L96" i="93" s="1"/>
  <c r="K96" i="93" a="1"/>
  <c r="K96" i="93" s="1"/>
  <c r="J96" i="93" a="1"/>
  <c r="J96" i="93" s="1"/>
  <c r="I96" i="93" a="1"/>
  <c r="I96" i="93" s="1"/>
  <c r="H96" i="93" a="1"/>
  <c r="H96" i="93" s="1"/>
  <c r="G96" i="93" a="1"/>
  <c r="G96" i="93" s="1"/>
  <c r="F96" i="93" a="1"/>
  <c r="F96" i="93" s="1"/>
  <c r="E96" i="93" a="1"/>
  <c r="E96" i="93" s="1"/>
  <c r="D96" i="93" a="1"/>
  <c r="D96" i="93" s="1"/>
  <c r="S95" i="93" a="1"/>
  <c r="S95" i="93" s="1"/>
  <c r="R95" i="93" a="1"/>
  <c r="R95" i="93" s="1"/>
  <c r="Q95" i="93" a="1"/>
  <c r="Q95" i="93" s="1"/>
  <c r="P95" i="93" a="1"/>
  <c r="P95" i="93" s="1"/>
  <c r="O95" i="93" a="1"/>
  <c r="O95" i="93" s="1"/>
  <c r="N95" i="93" a="1"/>
  <c r="N95" i="93" s="1"/>
  <c r="M95" i="93" a="1"/>
  <c r="M95" i="93" s="1"/>
  <c r="L95" i="93" a="1"/>
  <c r="L95" i="93" s="1"/>
  <c r="K95" i="93" a="1"/>
  <c r="K95" i="93" s="1"/>
  <c r="J95" i="93" a="1"/>
  <c r="J95" i="93" s="1"/>
  <c r="I95" i="93" a="1"/>
  <c r="I95" i="93" s="1"/>
  <c r="H95" i="93" a="1"/>
  <c r="H95" i="93" s="1"/>
  <c r="G95" i="93" a="1"/>
  <c r="G95" i="93" s="1"/>
  <c r="F95" i="93" a="1"/>
  <c r="F95" i="93" s="1"/>
  <c r="E95" i="93" a="1"/>
  <c r="E95" i="93" s="1"/>
  <c r="D95" i="93" a="1"/>
  <c r="D95" i="93" s="1"/>
  <c r="S94" i="93" a="1"/>
  <c r="S94" i="93" s="1"/>
  <c r="R94" i="93" a="1"/>
  <c r="R94" i="93" s="1"/>
  <c r="Q94" i="93" a="1"/>
  <c r="Q94" i="93" s="1"/>
  <c r="P94" i="93" a="1"/>
  <c r="P94" i="93" s="1"/>
  <c r="O94" i="93" a="1"/>
  <c r="O94" i="93" s="1"/>
  <c r="N94" i="93" a="1"/>
  <c r="N94" i="93" s="1"/>
  <c r="M94" i="93" a="1"/>
  <c r="M94" i="93" s="1"/>
  <c r="L94" i="93" a="1"/>
  <c r="L94" i="93" s="1"/>
  <c r="K94" i="93" a="1"/>
  <c r="K94" i="93" s="1"/>
  <c r="J94" i="93" a="1"/>
  <c r="J94" i="93" s="1"/>
  <c r="I94" i="93" a="1"/>
  <c r="I94" i="93" s="1"/>
  <c r="H94" i="93" a="1"/>
  <c r="H94" i="93" s="1"/>
  <c r="G94" i="93" a="1"/>
  <c r="G94" i="93" s="1"/>
  <c r="F94" i="93" a="1"/>
  <c r="F94" i="93" s="1"/>
  <c r="E94" i="93" a="1"/>
  <c r="E94" i="93" s="1"/>
  <c r="D94" i="93" a="1"/>
  <c r="D94" i="93" s="1"/>
  <c r="S93" i="93" a="1"/>
  <c r="S93" i="93" s="1"/>
  <c r="R93" i="93" a="1"/>
  <c r="R93" i="93" s="1"/>
  <c r="Q93" i="93" a="1"/>
  <c r="Q93" i="93" s="1"/>
  <c r="P93" i="93" a="1"/>
  <c r="P93" i="93" s="1"/>
  <c r="O93" i="93" a="1"/>
  <c r="O93" i="93" s="1"/>
  <c r="N93" i="93" a="1"/>
  <c r="N93" i="93" s="1"/>
  <c r="M93" i="93" a="1"/>
  <c r="M93" i="93" s="1"/>
  <c r="L93" i="93" a="1"/>
  <c r="L93" i="93" s="1"/>
  <c r="K93" i="93" a="1"/>
  <c r="K93" i="93" s="1"/>
  <c r="J93" i="93" a="1"/>
  <c r="J93" i="93" s="1"/>
  <c r="I93" i="93" a="1"/>
  <c r="I93" i="93" s="1"/>
  <c r="H93" i="93" a="1"/>
  <c r="H93" i="93" s="1"/>
  <c r="G93" i="93" a="1"/>
  <c r="G93" i="93" s="1"/>
  <c r="F93" i="93" a="1"/>
  <c r="F93" i="93" s="1"/>
  <c r="E93" i="93" a="1"/>
  <c r="E93" i="93" s="1"/>
  <c r="D93" i="93" a="1"/>
  <c r="D93" i="93" s="1"/>
  <c r="S92" i="93" a="1"/>
  <c r="S92" i="93" s="1"/>
  <c r="R92" i="93" a="1"/>
  <c r="R92" i="93" s="1"/>
  <c r="Q92" i="93" a="1"/>
  <c r="Q92" i="93" s="1"/>
  <c r="P92" i="93" a="1"/>
  <c r="P92" i="93" s="1"/>
  <c r="O92" i="93" a="1"/>
  <c r="O92" i="93" s="1"/>
  <c r="N92" i="93" a="1"/>
  <c r="N92" i="93" s="1"/>
  <c r="M92" i="93" a="1"/>
  <c r="M92" i="93" s="1"/>
  <c r="L92" i="93" a="1"/>
  <c r="L92" i="93" s="1"/>
  <c r="K92" i="93" a="1"/>
  <c r="K92" i="93" s="1"/>
  <c r="J92" i="93" a="1"/>
  <c r="J92" i="93" s="1"/>
  <c r="I92" i="93" a="1"/>
  <c r="I92" i="93" s="1"/>
  <c r="H92" i="93" a="1"/>
  <c r="H92" i="93" s="1"/>
  <c r="G92" i="93" a="1"/>
  <c r="G92" i="93" s="1"/>
  <c r="F92" i="93" a="1"/>
  <c r="F92" i="93" s="1"/>
  <c r="E92" i="93" a="1"/>
  <c r="E92" i="93" s="1"/>
  <c r="D92" i="93" a="1"/>
  <c r="D92" i="93" s="1"/>
  <c r="S91" i="93" a="1"/>
  <c r="S91" i="93" s="1"/>
  <c r="R91" i="93" a="1"/>
  <c r="R91" i="93" s="1"/>
  <c r="Q91" i="93" a="1"/>
  <c r="Q91" i="93" s="1"/>
  <c r="P91" i="93" a="1"/>
  <c r="P91" i="93" s="1"/>
  <c r="O91" i="93" a="1"/>
  <c r="O91" i="93" s="1"/>
  <c r="N91" i="93" a="1"/>
  <c r="N91" i="93" s="1"/>
  <c r="M91" i="93" a="1"/>
  <c r="M91" i="93" s="1"/>
  <c r="L91" i="93" a="1"/>
  <c r="L91" i="93" s="1"/>
  <c r="K91" i="93" a="1"/>
  <c r="K91" i="93" s="1"/>
  <c r="J91" i="93" a="1"/>
  <c r="J91" i="93" s="1"/>
  <c r="I91" i="93" a="1"/>
  <c r="I91" i="93" s="1"/>
  <c r="H91" i="93" a="1"/>
  <c r="H91" i="93" s="1"/>
  <c r="G91" i="93" a="1"/>
  <c r="G91" i="93" s="1"/>
  <c r="F91" i="93" a="1"/>
  <c r="F91" i="93" s="1"/>
  <c r="E91" i="93" a="1"/>
  <c r="E91" i="93" s="1"/>
  <c r="D91" i="93" a="1"/>
  <c r="D91" i="93" s="1"/>
  <c r="S90" i="93" a="1"/>
  <c r="S90" i="93" s="1"/>
  <c r="R90" i="93" a="1"/>
  <c r="R90" i="93" s="1"/>
  <c r="Q90" i="93" a="1"/>
  <c r="Q90" i="93" s="1"/>
  <c r="P90" i="93" a="1"/>
  <c r="P90" i="93" s="1"/>
  <c r="O90" i="93" a="1"/>
  <c r="O90" i="93" s="1"/>
  <c r="N90" i="93" a="1"/>
  <c r="N90" i="93" s="1"/>
  <c r="M90" i="93" a="1"/>
  <c r="M90" i="93" s="1"/>
  <c r="L90" i="93" a="1"/>
  <c r="L90" i="93" s="1"/>
  <c r="K90" i="93" a="1"/>
  <c r="K90" i="93" s="1"/>
  <c r="J90" i="93" a="1"/>
  <c r="J90" i="93" s="1"/>
  <c r="I90" i="93" a="1"/>
  <c r="I90" i="93" s="1"/>
  <c r="H90" i="93" a="1"/>
  <c r="H90" i="93" s="1"/>
  <c r="G90" i="93" a="1"/>
  <c r="G90" i="93" s="1"/>
  <c r="F90" i="93" a="1"/>
  <c r="F90" i="93" s="1"/>
  <c r="E90" i="93" a="1"/>
  <c r="E90" i="93" s="1"/>
  <c r="D90" i="93" a="1"/>
  <c r="D90" i="93" s="1"/>
  <c r="D83" i="93" a="1"/>
  <c r="D83" i="93" s="1"/>
  <c r="D82" i="93" a="1"/>
  <c r="D82" i="93" s="1"/>
  <c r="D81" i="93" a="1"/>
  <c r="D81" i="93" s="1"/>
  <c r="E77" i="93" a="1"/>
  <c r="E77" i="93" s="1"/>
  <c r="D77" i="93" a="1"/>
  <c r="D77" i="93" s="1"/>
  <c r="E76" i="93" a="1"/>
  <c r="E76" i="93" s="1"/>
  <c r="D76" i="93" a="1"/>
  <c r="D76" i="93" s="1"/>
  <c r="E75" i="93" a="1"/>
  <c r="E75" i="93" s="1"/>
  <c r="D75" i="93" a="1"/>
  <c r="D75" i="93" s="1"/>
  <c r="E74" i="93" a="1"/>
  <c r="E74" i="93" s="1"/>
  <c r="D74" i="93" a="1"/>
  <c r="D74" i="93" s="1"/>
  <c r="E73" i="93" a="1"/>
  <c r="E73" i="93" s="1"/>
  <c r="D73" i="93" a="1"/>
  <c r="D73" i="93" s="1"/>
  <c r="E72" i="93" a="1"/>
  <c r="E72" i="93" s="1"/>
  <c r="D72" i="93" a="1"/>
  <c r="D72" i="93" s="1"/>
  <c r="E71" i="93" a="1"/>
  <c r="E71" i="93" s="1"/>
  <c r="D71" i="93" a="1"/>
  <c r="D71" i="93" s="1"/>
  <c r="E70" i="93" a="1"/>
  <c r="E70" i="93" s="1"/>
  <c r="D70" i="93" a="1"/>
  <c r="D70" i="93" s="1"/>
  <c r="E69" i="93" a="1"/>
  <c r="E69" i="93" s="1"/>
  <c r="D69" i="93" a="1"/>
  <c r="D69" i="93" s="1"/>
  <c r="E68" i="93" a="1"/>
  <c r="E68" i="93" s="1"/>
  <c r="D68" i="93" a="1"/>
  <c r="D68" i="93" s="1"/>
  <c r="E67" i="93" a="1"/>
  <c r="E67" i="93" s="1"/>
  <c r="D67" i="93" a="1"/>
  <c r="D67" i="93" s="1"/>
  <c r="E66" i="93" a="1"/>
  <c r="E66" i="93" s="1"/>
  <c r="D66" i="93" a="1"/>
  <c r="D66" i="93" s="1"/>
  <c r="E65" i="93" a="1"/>
  <c r="E65" i="93" s="1"/>
  <c r="D65" i="93" a="1"/>
  <c r="D65" i="93" s="1"/>
  <c r="E64" i="93" a="1"/>
  <c r="E64" i="93" s="1"/>
  <c r="D64" i="93" a="1"/>
  <c r="D64" i="93" s="1"/>
  <c r="D59" i="93" a="1"/>
  <c r="D59" i="93" s="1"/>
  <c r="D58" i="93" a="1"/>
  <c r="D58" i="93" s="1"/>
  <c r="D57" i="93" a="1"/>
  <c r="D57" i="93" s="1"/>
  <c r="G54" i="93" a="1"/>
  <c r="G54" i="93" s="1"/>
  <c r="F54" i="93" a="1"/>
  <c r="F54" i="93" s="1"/>
  <c r="E54" i="93" a="1"/>
  <c r="E54" i="93" s="1"/>
  <c r="D54" i="93" a="1"/>
  <c r="D54" i="93" s="1"/>
  <c r="G53" i="93" a="1"/>
  <c r="G53" i="93" s="1"/>
  <c r="F53" i="93" a="1"/>
  <c r="F53" i="93" s="1"/>
  <c r="E53" i="93" a="1"/>
  <c r="E53" i="93" s="1"/>
  <c r="D53" i="93" a="1"/>
  <c r="D53" i="93" s="1"/>
  <c r="G52" i="93" a="1"/>
  <c r="G52" i="93" s="1"/>
  <c r="F52" i="93" a="1"/>
  <c r="F52" i="93" s="1"/>
  <c r="E52" i="93" a="1"/>
  <c r="E52" i="93" s="1"/>
  <c r="D52" i="93" a="1"/>
  <c r="D52" i="93" s="1"/>
  <c r="G51" i="93" a="1"/>
  <c r="G51" i="93" s="1"/>
  <c r="F51" i="93" a="1"/>
  <c r="F51" i="93" s="1"/>
  <c r="E51" i="93" a="1"/>
  <c r="E51" i="93" s="1"/>
  <c r="D51" i="93" a="1"/>
  <c r="D51" i="93" s="1"/>
  <c r="G50" i="93" a="1"/>
  <c r="G50" i="93" s="1"/>
  <c r="F50" i="93" a="1"/>
  <c r="F50" i="93" s="1"/>
  <c r="E50" i="93" a="1"/>
  <c r="E50" i="93" s="1"/>
  <c r="D50" i="93" a="1"/>
  <c r="D50" i="93" s="1"/>
  <c r="G49" i="93" a="1"/>
  <c r="G49" i="93" s="1"/>
  <c r="F49" i="93" a="1"/>
  <c r="F49" i="93" s="1"/>
  <c r="E49" i="93" a="1"/>
  <c r="E49" i="93" s="1"/>
  <c r="D49" i="93" a="1"/>
  <c r="D49" i="93" s="1"/>
  <c r="G48" i="93" a="1"/>
  <c r="G48" i="93" s="1"/>
  <c r="F48" i="93" a="1"/>
  <c r="F48" i="93" s="1"/>
  <c r="E48" i="93" a="1"/>
  <c r="E48" i="93" s="1"/>
  <c r="D48" i="93" a="1"/>
  <c r="D48" i="93" s="1"/>
  <c r="D46" i="93" a="1"/>
  <c r="D46" i="93" s="1"/>
  <c r="D45" i="93" a="1"/>
  <c r="D45" i="93" s="1"/>
  <c r="E43" i="93" a="1"/>
  <c r="E43" i="93" s="1"/>
  <c r="D43" i="93" a="1"/>
  <c r="D43" i="93" s="1"/>
  <c r="E42" i="93" a="1"/>
  <c r="E42" i="93" s="1"/>
  <c r="D42" i="93" a="1"/>
  <c r="D42" i="93" s="1"/>
  <c r="E41" i="93" a="1"/>
  <c r="E41" i="93" s="1"/>
  <c r="D41" i="93" a="1"/>
  <c r="D41" i="93" s="1"/>
  <c r="E40" i="93" a="1"/>
  <c r="E40" i="93" s="1"/>
  <c r="D40" i="93" a="1"/>
  <c r="D40" i="93" s="1"/>
  <c r="E39" i="93" a="1"/>
  <c r="E39" i="93" s="1"/>
  <c r="D39" i="93" a="1"/>
  <c r="D39" i="93" s="1"/>
  <c r="E38" i="93" a="1"/>
  <c r="E38" i="93" s="1"/>
  <c r="D38" i="93" a="1"/>
  <c r="D38" i="93" s="1"/>
  <c r="E37" i="93" a="1"/>
  <c r="E37" i="93" s="1"/>
  <c r="D37" i="93" a="1"/>
  <c r="D37" i="93" s="1"/>
  <c r="D35" i="93" a="1"/>
  <c r="D35" i="93" s="1"/>
  <c r="D34" i="93" a="1"/>
  <c r="D34" i="93" s="1"/>
  <c r="D30" i="93" a="1"/>
  <c r="D30" i="93" s="1"/>
  <c r="D29" i="93" a="1"/>
  <c r="D29" i="93" s="1"/>
  <c r="D28" i="93" a="1"/>
  <c r="D28" i="93" s="1"/>
  <c r="D27" i="93" a="1"/>
  <c r="D27" i="93" s="1"/>
  <c r="D26" i="93" a="1"/>
  <c r="D26" i="93" s="1"/>
  <c r="D25" i="93" a="1"/>
  <c r="D25" i="93" s="1"/>
  <c r="D24" i="93" a="1"/>
  <c r="D24" i="93" s="1"/>
  <c r="D23" i="93" a="1"/>
  <c r="D23" i="93" s="1"/>
  <c r="D22" i="93" a="1"/>
  <c r="D22" i="93" s="1"/>
  <c r="D21" i="93" a="1"/>
  <c r="D21" i="93" s="1"/>
  <c r="D19" i="93" a="1"/>
  <c r="D19" i="93" s="1"/>
  <c r="D18" i="93" a="1"/>
  <c r="D18" i="93" s="1"/>
  <c r="F14" i="93" a="1"/>
  <c r="F14" i="93" s="1"/>
  <c r="E14" i="93" a="1"/>
  <c r="E14" i="93" s="1"/>
  <c r="D14" i="93" a="1"/>
  <c r="D14" i="93" s="1"/>
  <c r="F13" i="93" a="1"/>
  <c r="F13" i="93" s="1"/>
  <c r="E13" i="93" a="1"/>
  <c r="E13" i="93" s="1"/>
  <c r="D13" i="93" a="1"/>
  <c r="D13" i="93" s="1"/>
  <c r="F12" i="93" a="1"/>
  <c r="F12" i="93" s="1"/>
  <c r="E12" i="93" a="1"/>
  <c r="E12" i="93" s="1"/>
  <c r="D12" i="93" a="1"/>
  <c r="D12" i="93" s="1"/>
  <c r="F11" i="93" a="1"/>
  <c r="F11" i="93" s="1"/>
  <c r="E11" i="93" a="1"/>
  <c r="E11" i="93" s="1"/>
  <c r="D11" i="93" a="1"/>
  <c r="D11" i="93" s="1"/>
  <c r="F10" i="93" a="1"/>
  <c r="F10" i="93" s="1"/>
  <c r="E10" i="93" a="1"/>
  <c r="E10" i="93" s="1"/>
  <c r="D10" i="93" a="1"/>
  <c r="D10" i="93" s="1"/>
  <c r="F9" i="93" a="1"/>
  <c r="F9" i="93" s="1"/>
  <c r="E9" i="93" a="1"/>
  <c r="E9" i="93" s="1"/>
  <c r="D9" i="93" a="1"/>
  <c r="D9" i="93" s="1"/>
  <c r="F8" i="93" a="1"/>
  <c r="F8" i="93" s="1"/>
  <c r="E8" i="93" a="1"/>
  <c r="E8" i="93" s="1"/>
  <c r="D8" i="93" a="1"/>
  <c r="D8" i="93" s="1"/>
  <c r="F7" i="93" a="1"/>
  <c r="F7" i="93" s="1"/>
  <c r="E7" i="93" a="1"/>
  <c r="E7" i="93" s="1"/>
  <c r="G190" i="69" s="1" a="1"/>
  <c r="G190" i="69" s="1"/>
  <c r="D7" i="93" a="1"/>
  <c r="D7" i="93" s="1"/>
  <c r="D5" i="93" a="1"/>
  <c r="D5" i="93" s="1"/>
  <c r="G48" i="97" l="1"/>
  <c r="R48" i="97"/>
  <c r="H39" i="97"/>
  <c r="G56" i="96"/>
  <c r="R56" i="96"/>
  <c r="J166" i="69"/>
  <c r="J25" i="96"/>
  <c r="G166" i="69"/>
  <c r="G25" i="96"/>
  <c r="H166" i="69"/>
  <c r="H25" i="96"/>
  <c r="I166" i="69"/>
  <c r="I25" i="96"/>
  <c r="R55" i="95"/>
  <c r="G55" i="95"/>
  <c r="H14" i="81" a="1"/>
  <c r="H14" i="81" s="1"/>
  <c r="H14" i="95" a="1"/>
  <c r="H14" i="95" s="1"/>
  <c r="R224" i="76" a="1"/>
  <c r="R224" i="76" s="1"/>
  <c r="R226" i="76" a="1"/>
  <c r="R226" i="76" s="1"/>
  <c r="R227" i="76" a="1"/>
  <c r="R227" i="76" s="1"/>
  <c r="R225" i="76" a="1"/>
  <c r="R225" i="76" s="1"/>
  <c r="T226" i="76" a="1"/>
  <c r="T226" i="76" s="1"/>
  <c r="T224" i="76" a="1"/>
  <c r="T224" i="76" s="1"/>
  <c r="T225" i="76" a="1"/>
  <c r="T225" i="76" s="1"/>
  <c r="T227" i="76" a="1"/>
  <c r="T227" i="76" s="1"/>
  <c r="R74" i="69"/>
  <c r="Q91" i="76"/>
  <c r="J229" i="76" a="1"/>
  <c r="J229" i="76" s="1"/>
  <c r="J230" i="76" a="1"/>
  <c r="J230" i="76" s="1"/>
  <c r="J231" i="76" a="1"/>
  <c r="J231" i="76" s="1"/>
  <c r="J228" i="76" a="1"/>
  <c r="J228" i="76" s="1"/>
  <c r="P231" i="76" a="1"/>
  <c r="P231" i="76" s="1"/>
  <c r="P229" i="76" a="1"/>
  <c r="P229" i="76" s="1"/>
  <c r="P228" i="76" a="1"/>
  <c r="P228" i="76" s="1"/>
  <c r="P230" i="76" a="1"/>
  <c r="P230" i="76" s="1"/>
  <c r="G74" i="69"/>
  <c r="G91" i="76"/>
  <c r="F225" i="76" a="1"/>
  <c r="F225" i="76" s="1"/>
  <c r="F227" i="76" a="1"/>
  <c r="F227" i="76" s="1"/>
  <c r="F226" i="76" a="1"/>
  <c r="F226" i="76" s="1"/>
  <c r="F224" i="76" a="1"/>
  <c r="F224" i="76" s="1"/>
  <c r="I230" i="76" a="1"/>
  <c r="I230" i="76" s="1"/>
  <c r="I229" i="76" a="1"/>
  <c r="I229" i="76" s="1"/>
  <c r="I231" i="76" a="1"/>
  <c r="I231" i="76" s="1"/>
  <c r="I228" i="76" a="1"/>
  <c r="I228" i="76" s="1"/>
  <c r="F74" i="69"/>
  <c r="F91" i="76"/>
  <c r="G62" i="82"/>
  <c r="G8" i="79"/>
  <c r="P227" i="76" a="1"/>
  <c r="P227" i="76" s="1"/>
  <c r="P224" i="76" a="1"/>
  <c r="P224" i="76" s="1"/>
  <c r="P226" i="76" a="1"/>
  <c r="P226" i="76" s="1"/>
  <c r="P225" i="76" a="1"/>
  <c r="P225" i="76" s="1"/>
  <c r="R229" i="76" a="1"/>
  <c r="R229" i="76" s="1"/>
  <c r="R231" i="76" a="1"/>
  <c r="R231" i="76" s="1"/>
  <c r="R228" i="76" a="1"/>
  <c r="R228" i="76" s="1"/>
  <c r="R230" i="76" a="1"/>
  <c r="R230" i="76" s="1"/>
  <c r="Q74" i="69"/>
  <c r="P91" i="76"/>
  <c r="T231" i="76" a="1"/>
  <c r="T231" i="76" s="1"/>
  <c r="T228" i="76" a="1"/>
  <c r="T228" i="76" s="1"/>
  <c r="T230" i="76" a="1"/>
  <c r="T230" i="76" s="1"/>
  <c r="T229" i="76" a="1"/>
  <c r="T229" i="76" s="1"/>
  <c r="J227" i="76" a="1"/>
  <c r="J227" i="76" s="1"/>
  <c r="J224" i="76" a="1"/>
  <c r="J224" i="76" s="1"/>
  <c r="J226" i="76" a="1"/>
  <c r="J226" i="76" s="1"/>
  <c r="J225" i="76" a="1"/>
  <c r="J225" i="76" s="1"/>
  <c r="E74" i="69"/>
  <c r="E84" i="69" s="1" a="1"/>
  <c r="E84" i="69" s="1"/>
  <c r="E91" i="76"/>
  <c r="P69" i="69"/>
  <c r="O19" i="76"/>
  <c r="O29" i="76" s="1" a="1"/>
  <c r="O29" i="76" s="1"/>
  <c r="S224" i="76" a="1"/>
  <c r="S224" i="76" s="1"/>
  <c r="S226" i="76" a="1"/>
  <c r="S226" i="76" s="1"/>
  <c r="S225" i="76" a="1"/>
  <c r="S225" i="76" s="1"/>
  <c r="S227" i="76" a="1"/>
  <c r="S227" i="76" s="1"/>
  <c r="P74" i="69"/>
  <c r="O91" i="76"/>
  <c r="E69" i="69"/>
  <c r="E19" i="76"/>
  <c r="E29" i="76" s="1" a="1"/>
  <c r="E29" i="76" s="1"/>
  <c r="O74" i="69"/>
  <c r="N91" i="76"/>
  <c r="Q69" i="69"/>
  <c r="P19" i="76"/>
  <c r="P29" i="76" s="1" a="1"/>
  <c r="P29" i="76" s="1"/>
  <c r="F228" i="76" a="1"/>
  <c r="F228" i="76" s="1"/>
  <c r="F230" i="76" a="1"/>
  <c r="F230" i="76" s="1"/>
  <c r="F229" i="76" a="1"/>
  <c r="F229" i="76" s="1"/>
  <c r="F231" i="76" a="1"/>
  <c r="F231" i="76" s="1"/>
  <c r="D74" i="69"/>
  <c r="D91" i="76"/>
  <c r="F69" i="69"/>
  <c r="F19" i="76"/>
  <c r="F29" i="76" s="1" a="1"/>
  <c r="F29" i="76" s="1"/>
  <c r="G228" i="76" a="1"/>
  <c r="G228" i="76" s="1"/>
  <c r="G230" i="76" a="1"/>
  <c r="G230" i="76" s="1"/>
  <c r="G231" i="76" a="1"/>
  <c r="G231" i="76" s="1"/>
  <c r="G229" i="76" a="1"/>
  <c r="G229" i="76" s="1"/>
  <c r="H69" i="69"/>
  <c r="H19" i="76"/>
  <c r="H29" i="76" s="1" a="1"/>
  <c r="H29" i="76" s="1"/>
  <c r="O69" i="69"/>
  <c r="N19" i="76"/>
  <c r="N29" i="76" s="1" a="1"/>
  <c r="N29" i="76" s="1"/>
  <c r="H225" i="76" a="1"/>
  <c r="H225" i="76" s="1"/>
  <c r="H227" i="76" a="1"/>
  <c r="H227" i="76" s="1"/>
  <c r="H224" i="76" a="1"/>
  <c r="H224" i="76" s="1"/>
  <c r="H226" i="76" a="1"/>
  <c r="H226" i="76" s="1"/>
  <c r="H230" i="76" a="1"/>
  <c r="H230" i="76" s="1"/>
  <c r="H229" i="76" a="1"/>
  <c r="H229" i="76" s="1"/>
  <c r="H228" i="76" a="1"/>
  <c r="H228" i="76" s="1"/>
  <c r="H231" i="76" a="1"/>
  <c r="H231" i="76" s="1"/>
  <c r="S69" i="69"/>
  <c r="R19" i="76"/>
  <c r="R29" i="76" s="1" a="1"/>
  <c r="R29" i="76" s="1"/>
  <c r="D69" i="69"/>
  <c r="D19" i="76"/>
  <c r="D29" i="76" s="1" a="1"/>
  <c r="D29" i="76" s="1"/>
  <c r="Q224" i="76" a="1"/>
  <c r="Q224" i="76" s="1"/>
  <c r="Q226" i="76" a="1"/>
  <c r="Q226" i="76" s="1"/>
  <c r="Q227" i="76" a="1"/>
  <c r="Q227" i="76" s="1"/>
  <c r="Q225" i="76" a="1"/>
  <c r="Q225" i="76" s="1"/>
  <c r="Q229" i="76" a="1"/>
  <c r="Q229" i="76" s="1"/>
  <c r="Q231" i="76" a="1"/>
  <c r="Q231" i="76" s="1"/>
  <c r="Q228" i="76" a="1"/>
  <c r="Q228" i="76" s="1"/>
  <c r="Q230" i="76" a="1"/>
  <c r="Q230" i="76" s="1"/>
  <c r="G69" i="69"/>
  <c r="G19" i="76"/>
  <c r="G29" i="76" s="1" a="1"/>
  <c r="G29" i="76" s="1"/>
  <c r="G71" i="82"/>
  <c r="R71" i="82"/>
  <c r="Q283" i="76"/>
  <c r="G283" i="76"/>
  <c r="S229" i="76" a="1"/>
  <c r="S229" i="76" s="1"/>
  <c r="S231" i="76" a="1"/>
  <c r="S231" i="76" s="1"/>
  <c r="S228" i="76" a="1"/>
  <c r="S228" i="76" s="1"/>
  <c r="S230" i="76" a="1"/>
  <c r="S230" i="76" s="1"/>
  <c r="R69" i="69"/>
  <c r="Q19" i="76"/>
  <c r="Q29" i="76" s="1" a="1"/>
  <c r="Q29" i="76" s="1"/>
  <c r="G225" i="76" a="1"/>
  <c r="G225" i="76" s="1"/>
  <c r="G227" i="76" a="1"/>
  <c r="G227" i="76" s="1"/>
  <c r="G224" i="76" a="1"/>
  <c r="G224" i="76" s="1"/>
  <c r="G226" i="76" a="1"/>
  <c r="G226" i="76" s="1"/>
  <c r="H74" i="69"/>
  <c r="H91" i="76"/>
  <c r="I225" i="76" a="1"/>
  <c r="I225" i="76" s="1"/>
  <c r="I227" i="76" a="1"/>
  <c r="I227" i="76" s="1"/>
  <c r="I224" i="76" a="1"/>
  <c r="I224" i="76" s="1"/>
  <c r="I226" i="76" a="1"/>
  <c r="I226" i="76" s="1"/>
  <c r="S74" i="69"/>
  <c r="R91" i="76"/>
  <c r="J124" i="69"/>
  <c r="J144" i="69" s="1" a="1"/>
  <c r="J144" i="69" s="1"/>
  <c r="J126" i="69"/>
  <c r="J146" i="69" s="1" a="1"/>
  <c r="J146" i="69" s="1"/>
  <c r="J125" i="69"/>
  <c r="J145" i="69" s="1" a="1"/>
  <c r="J145" i="69" s="1"/>
  <c r="J167" i="69"/>
  <c r="Q124" i="69"/>
  <c r="Q144" i="69" s="1" a="1"/>
  <c r="Q144" i="69" s="1"/>
  <c r="Q125" i="69"/>
  <c r="Q145" i="69" s="1" a="1"/>
  <c r="Q145" i="69" s="1"/>
  <c r="Q126" i="69"/>
  <c r="Q146" i="69" s="1" a="1"/>
  <c r="Q146" i="69" s="1"/>
  <c r="Q167" i="69"/>
  <c r="S126" i="69"/>
  <c r="S146" i="69" s="1" a="1"/>
  <c r="S146" i="69" s="1"/>
  <c r="S125" i="69"/>
  <c r="S145" i="69" s="1" a="1"/>
  <c r="S145" i="69" s="1"/>
  <c r="S124" i="69"/>
  <c r="S144" i="69" s="1" a="1"/>
  <c r="S144" i="69" s="1"/>
  <c r="S167" i="69"/>
  <c r="T166" i="69"/>
  <c r="T123" i="69"/>
  <c r="T143" i="69" s="1" a="1"/>
  <c r="T143" i="69" s="1"/>
  <c r="T122" i="69"/>
  <c r="T142" i="69" s="1" a="1"/>
  <c r="T142" i="69" s="1"/>
  <c r="T121" i="69"/>
  <c r="T141" i="69" s="1" a="1"/>
  <c r="T141" i="69" s="1"/>
  <c r="F166" i="69"/>
  <c r="F123" i="69"/>
  <c r="F143" i="69" s="1" a="1"/>
  <c r="F143" i="69" s="1"/>
  <c r="F122" i="69"/>
  <c r="F142" i="69" s="1" a="1"/>
  <c r="F142" i="69" s="1"/>
  <c r="F121" i="69"/>
  <c r="F141" i="69" s="1" a="1"/>
  <c r="F141" i="69" s="1"/>
  <c r="U126" i="69"/>
  <c r="U146" i="69" s="1" a="1"/>
  <c r="U146" i="69" s="1"/>
  <c r="U125" i="69"/>
  <c r="U145" i="69" s="1" a="1"/>
  <c r="U145" i="69" s="1"/>
  <c r="U124" i="69"/>
  <c r="U144" i="69" s="1" a="1"/>
  <c r="U144" i="69" s="1"/>
  <c r="U167" i="69"/>
  <c r="F125" i="69"/>
  <c r="F145" i="69" s="1" a="1"/>
  <c r="F145" i="69" s="1"/>
  <c r="F167" i="69"/>
  <c r="F124" i="69"/>
  <c r="F144" i="69" s="1" a="1"/>
  <c r="F144" i="69" s="1"/>
  <c r="F126" i="69"/>
  <c r="F146" i="69" s="1" a="1"/>
  <c r="F146" i="69" s="1"/>
  <c r="H124" i="69"/>
  <c r="H144" i="69" s="1" a="1"/>
  <c r="H144" i="69" s="1"/>
  <c r="H167" i="69"/>
  <c r="H126" i="69"/>
  <c r="H146" i="69" s="1" a="1"/>
  <c r="H146" i="69" s="1"/>
  <c r="H125" i="69"/>
  <c r="H145" i="69" s="1" a="1"/>
  <c r="H145" i="69" s="1"/>
  <c r="J123" i="69"/>
  <c r="J143" i="69" s="1" a="1"/>
  <c r="J143" i="69" s="1"/>
  <c r="J122" i="69"/>
  <c r="J142" i="69" s="1" a="1"/>
  <c r="J142" i="69" s="1"/>
  <c r="J121" i="69"/>
  <c r="J141" i="69" s="1" a="1"/>
  <c r="J141" i="69" s="1"/>
  <c r="G124" i="69"/>
  <c r="G144" i="69" s="1" a="1"/>
  <c r="G144" i="69" s="1"/>
  <c r="G167" i="69"/>
  <c r="G126" i="69"/>
  <c r="G146" i="69" s="1" a="1"/>
  <c r="G146" i="69" s="1"/>
  <c r="G125" i="69"/>
  <c r="G145" i="69" s="1" a="1"/>
  <c r="G145" i="69" s="1"/>
  <c r="H121" i="69"/>
  <c r="H141" i="69" s="1" a="1"/>
  <c r="H141" i="69" s="1"/>
  <c r="H123" i="69"/>
  <c r="H143" i="69" s="1" a="1"/>
  <c r="H143" i="69" s="1"/>
  <c r="H122" i="69"/>
  <c r="H142" i="69" s="1" a="1"/>
  <c r="H142" i="69" s="1"/>
  <c r="R121" i="69"/>
  <c r="R141" i="69" s="1" a="1"/>
  <c r="R141" i="69" s="1"/>
  <c r="R166" i="69"/>
  <c r="R123" i="69"/>
  <c r="R143" i="69" s="1" a="1"/>
  <c r="R143" i="69" s="1"/>
  <c r="R122" i="69"/>
  <c r="R142" i="69" s="1" a="1"/>
  <c r="R142" i="69" s="1"/>
  <c r="T167" i="69"/>
  <c r="T125" i="69"/>
  <c r="T145" i="69" s="1" a="1"/>
  <c r="T145" i="69" s="1"/>
  <c r="T124" i="69"/>
  <c r="T144" i="69" s="1" a="1"/>
  <c r="T144" i="69" s="1"/>
  <c r="T126" i="69"/>
  <c r="T146" i="69" s="1" a="1"/>
  <c r="T146" i="69" s="1"/>
  <c r="I167" i="69"/>
  <c r="I126" i="69"/>
  <c r="I146" i="69" s="1" a="1"/>
  <c r="I146" i="69" s="1"/>
  <c r="I125" i="69"/>
  <c r="I145" i="69" s="1" a="1"/>
  <c r="I145" i="69" s="1"/>
  <c r="I124" i="69"/>
  <c r="I144" i="69" s="1" a="1"/>
  <c r="I144" i="69" s="1"/>
  <c r="G123" i="69"/>
  <c r="G143" i="69" s="1" a="1"/>
  <c r="G143" i="69" s="1"/>
  <c r="G122" i="69"/>
  <c r="G142" i="69" s="1" a="1"/>
  <c r="G142" i="69" s="1"/>
  <c r="G121" i="69"/>
  <c r="G141" i="69" s="1" a="1"/>
  <c r="G141" i="69" s="1"/>
  <c r="Q166" i="69"/>
  <c r="Q122" i="69"/>
  <c r="Q142" i="69" s="1" a="1"/>
  <c r="Q142" i="69" s="1"/>
  <c r="Q123" i="69"/>
  <c r="Q143" i="69" s="1" a="1"/>
  <c r="Q143" i="69" s="1"/>
  <c r="Q121" i="69"/>
  <c r="Q141" i="69" s="1" a="1"/>
  <c r="Q141" i="69" s="1"/>
  <c r="R124" i="69"/>
  <c r="R144" i="69" s="1" a="1"/>
  <c r="R144" i="69" s="1"/>
  <c r="R126" i="69"/>
  <c r="R146" i="69" s="1" a="1"/>
  <c r="R146" i="69" s="1"/>
  <c r="R125" i="69"/>
  <c r="R145" i="69" s="1" a="1"/>
  <c r="R145" i="69" s="1"/>
  <c r="R167" i="69"/>
  <c r="I121" i="69"/>
  <c r="I141" i="69" s="1" a="1"/>
  <c r="I141" i="69" s="1"/>
  <c r="I123" i="69"/>
  <c r="I143" i="69" s="1" a="1"/>
  <c r="I143" i="69" s="1"/>
  <c r="I122" i="69"/>
  <c r="I142" i="69" s="1" a="1"/>
  <c r="I142" i="69" s="1"/>
  <c r="S121" i="69"/>
  <c r="S141" i="69" s="1" a="1"/>
  <c r="S141" i="69" s="1"/>
  <c r="S166" i="69"/>
  <c r="S123" i="69"/>
  <c r="S143" i="69" s="1" a="1"/>
  <c r="S143" i="69" s="1"/>
  <c r="S122" i="69"/>
  <c r="S142" i="69" s="1" a="1"/>
  <c r="S142" i="69" s="1"/>
  <c r="U166" i="69"/>
  <c r="U122" i="69"/>
  <c r="U142" i="69" s="1" a="1"/>
  <c r="U142" i="69" s="1"/>
  <c r="U121" i="69"/>
  <c r="U141" i="69" s="1" a="1"/>
  <c r="U141" i="69" s="1"/>
  <c r="U123" i="69"/>
  <c r="U143" i="69" s="1" a="1"/>
  <c r="U143" i="69" s="1"/>
  <c r="G84" i="69" a="1"/>
  <c r="G84" i="69" s="1"/>
  <c r="R84" i="69" a="1"/>
  <c r="R84" i="69" s="1"/>
  <c r="D84" i="69" a="1"/>
  <c r="D84" i="69" s="1"/>
  <c r="F84" i="69" a="1"/>
  <c r="F84" i="69" s="1"/>
  <c r="E31" i="15"/>
  <c r="E32" i="15" s="1"/>
  <c r="H46" i="96" s="1"/>
  <c r="H44" i="96" s="1" a="1"/>
  <c r="H44" i="96" s="1"/>
  <c r="E30" i="15"/>
  <c r="E33" i="15"/>
  <c r="H54" i="93"/>
  <c r="H50" i="93"/>
  <c r="G63" i="82" s="1"/>
  <c r="H51" i="93"/>
  <c r="H52" i="93"/>
  <c r="H48" i="93"/>
  <c r="H53" i="93"/>
  <c r="H49" i="93"/>
  <c r="G149" i="70"/>
  <c r="F149" i="70"/>
  <c r="E149" i="70"/>
  <c r="H84" i="69" l="1" a="1"/>
  <c r="H84" i="69" s="1"/>
  <c r="H40" i="97"/>
  <c r="H43" i="97"/>
  <c r="G66" i="82"/>
  <c r="Q84" i="69" a="1"/>
  <c r="Q84" i="69" s="1"/>
  <c r="H45" i="96"/>
  <c r="P84" i="69" a="1"/>
  <c r="P84" i="69" s="1"/>
  <c r="O50" i="76" s="1"/>
  <c r="G44" i="95"/>
  <c r="S84" i="69" a="1"/>
  <c r="S84" i="69" s="1"/>
  <c r="G257" i="76"/>
  <c r="O84" i="69" a="1"/>
  <c r="O84" i="69" s="1"/>
  <c r="O103" i="69" s="1" a="1"/>
  <c r="O103" i="69" s="1"/>
  <c r="R173" i="69" a="1"/>
  <c r="R173" i="69" s="1"/>
  <c r="G173" i="69" a="1"/>
  <c r="G173" i="69" s="1"/>
  <c r="Q173" i="69" a="1"/>
  <c r="Q173" i="69" s="1"/>
  <c r="J173" i="69" a="1"/>
  <c r="J173" i="69" s="1"/>
  <c r="S172" i="69" a="1"/>
  <c r="S172" i="69" s="1"/>
  <c r="F173" i="69" a="1"/>
  <c r="F173" i="69" s="1"/>
  <c r="D103" i="69" a="1"/>
  <c r="D103" i="69" s="1"/>
  <c r="D50" i="76"/>
  <c r="U173" i="69" a="1"/>
  <c r="U173" i="69" s="1"/>
  <c r="H103" i="69" a="1"/>
  <c r="H103" i="69" s="1"/>
  <c r="H50" i="76"/>
  <c r="E103" i="69" a="1"/>
  <c r="E103" i="69" s="1"/>
  <c r="E50" i="76"/>
  <c r="I173" i="69" a="1"/>
  <c r="I173" i="69" s="1"/>
  <c r="Q103" i="69" a="1"/>
  <c r="Q103" i="69" s="1"/>
  <c r="P50" i="76"/>
  <c r="F103" i="69" a="1"/>
  <c r="F103" i="69" s="1"/>
  <c r="F50" i="76"/>
  <c r="G103" i="69" a="1"/>
  <c r="G103" i="69" s="1"/>
  <c r="G50" i="76"/>
  <c r="R103" i="69" a="1"/>
  <c r="R103" i="69" s="1"/>
  <c r="Q50" i="76"/>
  <c r="T173" i="69" a="1"/>
  <c r="T173" i="69" s="1"/>
  <c r="S103" i="69" a="1"/>
  <c r="S103" i="69" s="1"/>
  <c r="R50" i="76"/>
  <c r="G172" i="69" a="1"/>
  <c r="G172" i="69" s="1"/>
  <c r="S173" i="69" a="1"/>
  <c r="S173" i="69" s="1"/>
  <c r="H172" i="69" a="1"/>
  <c r="H172" i="69" s="1"/>
  <c r="U172" i="69" a="1"/>
  <c r="U172" i="69" s="1"/>
  <c r="Q172" i="69" a="1"/>
  <c r="Q172" i="69" s="1"/>
  <c r="R172" i="69" a="1"/>
  <c r="R172" i="69" s="1"/>
  <c r="H173" i="69" a="1"/>
  <c r="H173" i="69" s="1"/>
  <c r="F172" i="69" a="1"/>
  <c r="F172" i="69" s="1"/>
  <c r="J172" i="69" a="1"/>
  <c r="J172" i="69" s="1"/>
  <c r="T172" i="69" a="1"/>
  <c r="T172" i="69" s="1"/>
  <c r="I172" i="69" a="1"/>
  <c r="I172" i="69" s="1"/>
  <c r="P103" i="69" l="1" a="1"/>
  <c r="P103" i="69" s="1"/>
  <c r="N50" i="76"/>
  <c r="P65" i="76" a="1"/>
  <c r="P65" i="76" s="1"/>
  <c r="P96" i="76" s="1" a="1"/>
  <c r="P96" i="76" s="1"/>
  <c r="P119" i="76" a="1"/>
  <c r="P119" i="76" s="1"/>
  <c r="N65" i="76" a="1"/>
  <c r="N65" i="76" s="1"/>
  <c r="N96" i="76" s="1" a="1"/>
  <c r="N96" i="76" s="1"/>
  <c r="N119" i="76" a="1"/>
  <c r="N119" i="76" s="1"/>
  <c r="E119" i="76" a="1"/>
  <c r="E119" i="76" s="1"/>
  <c r="E65" i="76" a="1"/>
  <c r="E65" i="76" s="1"/>
  <c r="E96" i="76" s="1" a="1"/>
  <c r="E96" i="76" s="1"/>
  <c r="R65" i="76" a="1"/>
  <c r="R65" i="76" s="1"/>
  <c r="R96" i="76" s="1" a="1"/>
  <c r="R96" i="76" s="1"/>
  <c r="R119" i="76" a="1"/>
  <c r="R119" i="76" s="1"/>
  <c r="H65" i="76" a="1"/>
  <c r="H65" i="76" s="1"/>
  <c r="H96" i="76" s="1" a="1"/>
  <c r="H96" i="76" s="1"/>
  <c r="H139" i="76" s="1" a="1"/>
  <c r="H139" i="76" s="1"/>
  <c r="H119" i="76" a="1"/>
  <c r="H119" i="76" s="1"/>
  <c r="Q65" i="76" a="1"/>
  <c r="Q65" i="76" s="1"/>
  <c r="Q96" i="76" s="1" a="1"/>
  <c r="Q96" i="76" s="1"/>
  <c r="Q119" i="76" a="1"/>
  <c r="Q119" i="76" s="1"/>
  <c r="D119" i="76" a="1"/>
  <c r="D119" i="76" s="1"/>
  <c r="D65" i="76" a="1"/>
  <c r="D65" i="76" s="1"/>
  <c r="D96" i="76" s="1" a="1"/>
  <c r="D96" i="76" s="1"/>
  <c r="G119" i="76" a="1"/>
  <c r="G119" i="76" s="1"/>
  <c r="G65" i="76" a="1"/>
  <c r="G65" i="76" s="1"/>
  <c r="G96" i="76" s="1" a="1"/>
  <c r="G96" i="76" s="1"/>
  <c r="O65" i="76" a="1"/>
  <c r="O65" i="76" s="1"/>
  <c r="O96" i="76" s="1" a="1"/>
  <c r="O96" i="76" s="1"/>
  <c r="O119" i="76" a="1"/>
  <c r="O119" i="76" s="1"/>
  <c r="F119" i="76" a="1"/>
  <c r="F119" i="76" s="1"/>
  <c r="F65" i="76" a="1"/>
  <c r="F65" i="76" s="1"/>
  <c r="F96" i="76" s="1" a="1"/>
  <c r="F96" i="76" s="1"/>
  <c r="F139" i="76" s="1" a="1"/>
  <c r="F139" i="76" s="1"/>
  <c r="A39" i="74"/>
  <c r="A38" i="74"/>
  <c r="A37" i="74"/>
  <c r="A36" i="74"/>
  <c r="A33" i="74"/>
  <c r="A30" i="74"/>
  <c r="A29" i="74"/>
  <c r="A28" i="74"/>
  <c r="A27" i="74"/>
  <c r="A26" i="74"/>
  <c r="A25" i="74"/>
  <c r="A24" i="74"/>
  <c r="A19" i="74"/>
  <c r="A18" i="74"/>
  <c r="A15" i="74"/>
  <c r="A14" i="74"/>
  <c r="A13" i="74"/>
  <c r="A12" i="74"/>
  <c r="A11" i="74"/>
  <c r="A10" i="74"/>
  <c r="A9" i="74"/>
  <c r="A8" i="74"/>
  <c r="A7" i="74"/>
  <c r="A4" i="74"/>
  <c r="R139" i="76" l="1" a="1"/>
  <c r="R139" i="76" s="1"/>
  <c r="Q139" i="76" a="1"/>
  <c r="Q139" i="76" s="1"/>
  <c r="Q169" i="76" s="1" a="1"/>
  <c r="Q169" i="76" s="1"/>
  <c r="D139" i="76" a="1"/>
  <c r="D139" i="76" s="1"/>
  <c r="G139" i="76" a="1"/>
  <c r="G139" i="76" s="1"/>
  <c r="G206" i="76" s="1" a="1"/>
  <c r="G206" i="76" s="1"/>
  <c r="F169" i="76" a="1"/>
  <c r="F169" i="76" s="1"/>
  <c r="F206" i="76" a="1"/>
  <c r="F206" i="76" s="1"/>
  <c r="F19" i="96" s="1"/>
  <c r="E139" i="76" a="1"/>
  <c r="E139" i="76" s="1"/>
  <c r="D169" i="76" a="1"/>
  <c r="D169" i="76" s="1"/>
  <c r="D19" i="96" s="1"/>
  <c r="D206" i="76" a="1"/>
  <c r="D206" i="76" s="1"/>
  <c r="N139" i="76" a="1"/>
  <c r="N139" i="76" s="1"/>
  <c r="H169" i="76" a="1"/>
  <c r="H169" i="76" s="1"/>
  <c r="H206" i="76" a="1"/>
  <c r="H206" i="76" s="1"/>
  <c r="H19" i="96" s="1"/>
  <c r="O139" i="76" a="1"/>
  <c r="O139" i="76" s="1"/>
  <c r="G169" i="76" a="1"/>
  <c r="G169" i="76" s="1"/>
  <c r="G19" i="96" s="1"/>
  <c r="R169" i="76" a="1"/>
  <c r="R169" i="76" s="1"/>
  <c r="R206" i="76" a="1"/>
  <c r="R206" i="76" s="1"/>
  <c r="P139" i="76" a="1"/>
  <c r="P139" i="76" s="1"/>
  <c r="G139" i="70"/>
  <c r="F139" i="70"/>
  <c r="E139" i="70"/>
  <c r="G144" i="70"/>
  <c r="F144" i="70"/>
  <c r="E144" i="70"/>
  <c r="T31" i="96" l="1" a="1"/>
  <c r="T31" i="96" s="1"/>
  <c r="I31" i="96" a="1"/>
  <c r="I31" i="96" s="1"/>
  <c r="U31" i="96" a="1"/>
  <c r="U31" i="96" s="1"/>
  <c r="J31" i="96" a="1"/>
  <c r="J31" i="96" s="1"/>
  <c r="Q31" i="96" a="1"/>
  <c r="Q31" i="96" s="1"/>
  <c r="F31" i="96" a="1"/>
  <c r="F31" i="96" s="1"/>
  <c r="S31" i="96" a="1"/>
  <c r="S31" i="96" s="1"/>
  <c r="H31" i="96" a="1"/>
  <c r="H31" i="96" s="1"/>
  <c r="Q206" i="76" a="1"/>
  <c r="Q206" i="76" s="1"/>
  <c r="J239" i="76" a="1"/>
  <c r="J239" i="76" s="1"/>
  <c r="J238" i="76" a="1"/>
  <c r="J238" i="76" s="1"/>
  <c r="J237" i="76" a="1"/>
  <c r="J237" i="76" s="1"/>
  <c r="J236" i="76" a="1"/>
  <c r="J236" i="76" s="1"/>
  <c r="J241" i="76" a="1"/>
  <c r="J241" i="76" s="1"/>
  <c r="J240" i="76" a="1"/>
  <c r="J240" i="76" s="1"/>
  <c r="J243" i="76" a="1"/>
  <c r="J243" i="76" s="1"/>
  <c r="J242" i="76" a="1"/>
  <c r="J242" i="76" s="1"/>
  <c r="T241" i="76" a="1"/>
  <c r="T241" i="76" s="1"/>
  <c r="T236" i="76" a="1"/>
  <c r="T236" i="76" s="1"/>
  <c r="T239" i="76" a="1"/>
  <c r="T239" i="76" s="1"/>
  <c r="T242" i="76" a="1"/>
  <c r="T242" i="76" s="1"/>
  <c r="T237" i="76" a="1"/>
  <c r="T237" i="76" s="1"/>
  <c r="T243" i="76" a="1"/>
  <c r="T243" i="76" s="1"/>
  <c r="T238" i="76" a="1"/>
  <c r="T238" i="76" s="1"/>
  <c r="T240" i="76" a="1"/>
  <c r="T240" i="76" s="1"/>
  <c r="F243" i="76" a="1"/>
  <c r="F243" i="76" s="1"/>
  <c r="F242" i="76" a="1"/>
  <c r="F242" i="76" s="1"/>
  <c r="F241" i="76" a="1"/>
  <c r="F241" i="76" s="1"/>
  <c r="F240" i="76" a="1"/>
  <c r="F240" i="76" s="1"/>
  <c r="F238" i="76" a="1"/>
  <c r="F238" i="76" s="1"/>
  <c r="F236" i="76" a="1"/>
  <c r="F236" i="76" s="1"/>
  <c r="F239" i="76" a="1"/>
  <c r="F239" i="76" s="1"/>
  <c r="F237" i="76" a="1"/>
  <c r="F237" i="76" s="1"/>
  <c r="H243" i="76" a="1"/>
  <c r="H243" i="76" s="1"/>
  <c r="H242" i="76" a="1"/>
  <c r="H242" i="76" s="1"/>
  <c r="H241" i="76" a="1"/>
  <c r="H241" i="76" s="1"/>
  <c r="H239" i="76" a="1"/>
  <c r="H239" i="76" s="1"/>
  <c r="H237" i="76" a="1"/>
  <c r="H237" i="76" s="1"/>
  <c r="H236" i="76" a="1"/>
  <c r="H236" i="76" s="1"/>
  <c r="H240" i="76" a="1"/>
  <c r="H240" i="76" s="1"/>
  <c r="H238" i="76" a="1"/>
  <c r="H238" i="76" s="1"/>
  <c r="S243" i="76" a="1"/>
  <c r="S243" i="76" s="1"/>
  <c r="S241" i="76" a="1"/>
  <c r="S241" i="76" s="1"/>
  <c r="S236" i="76" a="1"/>
  <c r="S236" i="76" s="1"/>
  <c r="S239" i="76" a="1"/>
  <c r="S239" i="76" s="1"/>
  <c r="S238" i="76" a="1"/>
  <c r="S238" i="76" s="1"/>
  <c r="S240" i="76" a="1"/>
  <c r="S240" i="76" s="1"/>
  <c r="S237" i="76" a="1"/>
  <c r="S237" i="76" s="1"/>
  <c r="S242" i="76" a="1"/>
  <c r="S242" i="76" s="1"/>
  <c r="I243" i="76" a="1"/>
  <c r="I243" i="76" s="1"/>
  <c r="I242" i="76" a="1"/>
  <c r="I242" i="76" s="1"/>
  <c r="I241" i="76" a="1"/>
  <c r="I241" i="76" s="1"/>
  <c r="I240" i="76" a="1"/>
  <c r="I240" i="76" s="1"/>
  <c r="I239" i="76" a="1"/>
  <c r="I239" i="76" s="1"/>
  <c r="I238" i="76" a="1"/>
  <c r="I238" i="76" s="1"/>
  <c r="I237" i="76" a="1"/>
  <c r="I237" i="76" s="1"/>
  <c r="I236" i="76" a="1"/>
  <c r="I236" i="76" s="1"/>
  <c r="O169" i="76" a="1"/>
  <c r="O169" i="76" s="1"/>
  <c r="O206" i="76" a="1"/>
  <c r="O206" i="76" s="1"/>
  <c r="E169" i="76" a="1"/>
  <c r="E169" i="76" s="1"/>
  <c r="E19" i="96" s="1"/>
  <c r="E206" i="76" a="1"/>
  <c r="E206" i="76" s="1"/>
  <c r="N169" i="76" a="1"/>
  <c r="N169" i="76" s="1"/>
  <c r="N206" i="76" a="1"/>
  <c r="N206" i="76" s="1"/>
  <c r="P169" i="76" a="1"/>
  <c r="P169" i="76" s="1"/>
  <c r="P206" i="76" a="1"/>
  <c r="P206" i="76" s="1"/>
  <c r="H23" i="98" l="1"/>
  <c r="H28" i="98" s="1" a="1"/>
  <c r="H28" i="98" s="1"/>
  <c r="H19" i="97"/>
  <c r="S23" i="98"/>
  <c r="S28" i="98" s="1" a="1"/>
  <c r="S28" i="98" s="1"/>
  <c r="S19" i="97"/>
  <c r="F19" i="97"/>
  <c r="F23" i="98"/>
  <c r="F28" i="98" s="1" a="1"/>
  <c r="F28" i="98" s="1"/>
  <c r="Q23" i="98"/>
  <c r="Q28" i="98" s="1" a="1"/>
  <c r="Q28" i="98" s="1"/>
  <c r="Q19" i="97"/>
  <c r="J19" i="97"/>
  <c r="J23" i="98"/>
  <c r="J28" i="98" s="1" a="1"/>
  <c r="J28" i="98" s="1"/>
  <c r="U23" i="98"/>
  <c r="U28" i="98" s="1" a="1"/>
  <c r="U28" i="98" s="1"/>
  <c r="U19" i="97"/>
  <c r="U24" i="97" s="1" a="1"/>
  <c r="U24" i="97" s="1"/>
  <c r="I19" i="97"/>
  <c r="I24" i="97" s="1" a="1"/>
  <c r="I24" i="97" s="1"/>
  <c r="I23" i="98"/>
  <c r="I28" i="98" s="1" a="1"/>
  <c r="I28" i="98" s="1"/>
  <c r="T23" i="98"/>
  <c r="T28" i="98" s="1" a="1"/>
  <c r="T28" i="98" s="1"/>
  <c r="T19" i="97"/>
  <c r="H51" i="96" a="1"/>
  <c r="H51" i="96" s="1"/>
  <c r="H24" i="97" a="1"/>
  <c r="H24" i="97" s="1"/>
  <c r="S51" i="96" a="1"/>
  <c r="S51" i="96" s="1"/>
  <c r="S24" i="97" a="1"/>
  <c r="S24" i="97" s="1"/>
  <c r="F51" i="96" a="1"/>
  <c r="F51" i="96" s="1"/>
  <c r="F24" i="97" a="1"/>
  <c r="F24" i="97" s="1"/>
  <c r="Q51" i="96" a="1"/>
  <c r="Q51" i="96" s="1"/>
  <c r="Q24" i="97" a="1"/>
  <c r="Q24" i="97" s="1"/>
  <c r="J51" i="96" a="1"/>
  <c r="J51" i="96" s="1"/>
  <c r="J24" i="97" a="1"/>
  <c r="J24" i="97" s="1"/>
  <c r="U51" i="96" a="1"/>
  <c r="U51" i="96" s="1"/>
  <c r="I51" i="96" a="1"/>
  <c r="I51" i="96" s="1"/>
  <c r="T51" i="96" a="1"/>
  <c r="T51" i="96" s="1"/>
  <c r="T24" i="97" a="1"/>
  <c r="T24" i="97" s="1"/>
  <c r="R31" i="96" a="1"/>
  <c r="R31" i="96" s="1"/>
  <c r="G31" i="96" a="1"/>
  <c r="G31" i="96" s="1"/>
  <c r="H24" i="82"/>
  <c r="H28" i="81"/>
  <c r="U20" i="82"/>
  <c r="U24" i="81"/>
  <c r="T25" i="82"/>
  <c r="T29" i="81"/>
  <c r="H29" i="81"/>
  <c r="H25" i="82"/>
  <c r="U25" i="82"/>
  <c r="U46" i="82" s="1" a="1"/>
  <c r="U46" i="82" s="1"/>
  <c r="U29" i="81"/>
  <c r="H24" i="95"/>
  <c r="H30" i="95" s="1" a="1"/>
  <c r="H30" i="95" s="1"/>
  <c r="H50" i="95" s="1" a="1"/>
  <c r="H50" i="95" s="1"/>
  <c r="H30" i="81"/>
  <c r="H26" i="82"/>
  <c r="T24" i="81"/>
  <c r="T20" i="82"/>
  <c r="U23" i="95"/>
  <c r="U29" i="95" s="1" a="1"/>
  <c r="U29" i="95" s="1"/>
  <c r="U49" i="95" s="1" a="1"/>
  <c r="U49" i="95" s="1"/>
  <c r="U26" i="81"/>
  <c r="U22" i="82"/>
  <c r="U43" i="82" s="1" a="1"/>
  <c r="U43" i="82" s="1"/>
  <c r="T27" i="81"/>
  <c r="T23" i="82"/>
  <c r="T44" i="82" s="1" a="1"/>
  <c r="T44" i="82" s="1"/>
  <c r="F20" i="82"/>
  <c r="F24" i="81"/>
  <c r="U23" i="81"/>
  <c r="U19" i="82"/>
  <c r="U24" i="82"/>
  <c r="U28" i="81"/>
  <c r="J29" i="81"/>
  <c r="J25" i="82"/>
  <c r="T23" i="81"/>
  <c r="T19" i="82"/>
  <c r="F25" i="81"/>
  <c r="F21" i="82"/>
  <c r="F42" i="82" s="1" a="1"/>
  <c r="F42" i="82" s="1"/>
  <c r="J24" i="95"/>
  <c r="J30" i="95" s="1" a="1"/>
  <c r="J30" i="95" s="1"/>
  <c r="J50" i="95" s="1" a="1"/>
  <c r="J50" i="95" s="1"/>
  <c r="J26" i="82"/>
  <c r="J47" i="82" s="1" a="1"/>
  <c r="J47" i="82" s="1"/>
  <c r="J30" i="81"/>
  <c r="F23" i="82"/>
  <c r="F44" i="82" s="1" a="1"/>
  <c r="F44" i="82" s="1"/>
  <c r="F27" i="81"/>
  <c r="J23" i="82"/>
  <c r="J44" i="82" s="1" a="1"/>
  <c r="J44" i="82" s="1"/>
  <c r="J27" i="81"/>
  <c r="I24" i="95"/>
  <c r="I30" i="95" s="1" a="1"/>
  <c r="I30" i="95" s="1"/>
  <c r="I50" i="95" s="1" a="1"/>
  <c r="I50" i="95" s="1"/>
  <c r="I26" i="82"/>
  <c r="I47" i="82" s="1" a="1"/>
  <c r="I47" i="82" s="1"/>
  <c r="I30" i="81"/>
  <c r="F23" i="95"/>
  <c r="F29" i="95" s="1" a="1"/>
  <c r="F29" i="95" s="1"/>
  <c r="F49" i="95" s="1" a="1"/>
  <c r="F49" i="95" s="1"/>
  <c r="F22" i="82"/>
  <c r="F43" i="82" s="1" a="1"/>
  <c r="F43" i="82" s="1"/>
  <c r="F26" i="81"/>
  <c r="I24" i="81"/>
  <c r="I20" i="82"/>
  <c r="I41" i="82" s="1" a="1"/>
  <c r="I41" i="82" s="1"/>
  <c r="T24" i="95"/>
  <c r="T30" i="95" s="1" a="1"/>
  <c r="T30" i="95" s="1"/>
  <c r="T50" i="95" s="1" a="1"/>
  <c r="T50" i="95" s="1"/>
  <c r="T26" i="82"/>
  <c r="T47" i="82" s="1" a="1"/>
  <c r="T47" i="82" s="1"/>
  <c r="T30" i="81"/>
  <c r="F28" i="81"/>
  <c r="F24" i="82"/>
  <c r="J28" i="81"/>
  <c r="J24" i="82"/>
  <c r="I25" i="81"/>
  <c r="I21" i="82"/>
  <c r="H21" i="82"/>
  <c r="H25" i="81"/>
  <c r="F29" i="81"/>
  <c r="F25" i="82"/>
  <c r="F46" i="82" s="1" a="1"/>
  <c r="F46" i="82" s="1"/>
  <c r="J19" i="82"/>
  <c r="J40" i="82" s="1" a="1"/>
  <c r="J40" i="82" s="1"/>
  <c r="J23" i="81"/>
  <c r="T25" i="81"/>
  <c r="T21" i="82"/>
  <c r="T24" i="82"/>
  <c r="T45" i="82" s="1" a="1"/>
  <c r="T45" i="82" s="1"/>
  <c r="T28" i="81"/>
  <c r="I23" i="95"/>
  <c r="I29" i="95" s="1" a="1"/>
  <c r="I29" i="95" s="1"/>
  <c r="I49" i="95" s="1" a="1"/>
  <c r="I49" i="95" s="1"/>
  <c r="I26" i="81"/>
  <c r="I22" i="82"/>
  <c r="H27" i="81"/>
  <c r="H23" i="82"/>
  <c r="H44" i="82" s="1" a="1"/>
  <c r="H44" i="82" s="1"/>
  <c r="F24" i="95"/>
  <c r="F30" i="95" s="1" a="1"/>
  <c r="F30" i="95" s="1"/>
  <c r="F50" i="95" s="1" a="1"/>
  <c r="F50" i="95" s="1"/>
  <c r="F26" i="82"/>
  <c r="F30" i="81"/>
  <c r="J24" i="81"/>
  <c r="J20" i="82"/>
  <c r="J41" i="82" s="1" a="1"/>
  <c r="J41" i="82" s="1"/>
  <c r="F19" i="82"/>
  <c r="F40" i="82" s="1" a="1"/>
  <c r="F40" i="82" s="1"/>
  <c r="F23" i="81"/>
  <c r="H23" i="81"/>
  <c r="H19" i="82"/>
  <c r="U27" i="81"/>
  <c r="U23" i="82"/>
  <c r="J25" i="81"/>
  <c r="J21" i="82"/>
  <c r="I23" i="81"/>
  <c r="I19" i="82"/>
  <c r="I40" i="82" s="1" a="1"/>
  <c r="I40" i="82" s="1"/>
  <c r="I27" i="81"/>
  <c r="I23" i="82"/>
  <c r="I44" i="82" s="1" a="1"/>
  <c r="I44" i="82" s="1"/>
  <c r="I28" i="81"/>
  <c r="I24" i="82"/>
  <c r="I45" i="82" s="1" a="1"/>
  <c r="I45" i="82" s="1"/>
  <c r="H20" i="82"/>
  <c r="H41" i="82" s="1" a="1"/>
  <c r="H41" i="82" s="1"/>
  <c r="H24" i="81"/>
  <c r="U21" i="82"/>
  <c r="U25" i="81"/>
  <c r="J23" i="95"/>
  <c r="J29" i="95" s="1" a="1"/>
  <c r="J29" i="95" s="1"/>
  <c r="J49" i="95" s="1" a="1"/>
  <c r="J49" i="95" s="1"/>
  <c r="J22" i="82"/>
  <c r="J26" i="81"/>
  <c r="T23" i="95"/>
  <c r="T29" i="95" s="1" a="1"/>
  <c r="T29" i="95" s="1"/>
  <c r="T49" i="95" s="1" a="1"/>
  <c r="T49" i="95" s="1"/>
  <c r="T22" i="82"/>
  <c r="T26" i="81"/>
  <c r="I29" i="81"/>
  <c r="I25" i="82"/>
  <c r="I46" i="82" s="1" a="1"/>
  <c r="I46" i="82" s="1"/>
  <c r="H23" i="95"/>
  <c r="H29" i="95" s="1" a="1"/>
  <c r="H29" i="95" s="1"/>
  <c r="H49" i="95" s="1" a="1"/>
  <c r="H49" i="95" s="1"/>
  <c r="H26" i="81"/>
  <c r="H22" i="82"/>
  <c r="H43" i="82" s="1" a="1"/>
  <c r="H43" i="82" s="1"/>
  <c r="U24" i="95"/>
  <c r="U30" i="95" s="1" a="1"/>
  <c r="U30" i="95" s="1"/>
  <c r="U50" i="95" s="1" a="1"/>
  <c r="U50" i="95" s="1"/>
  <c r="U30" i="81"/>
  <c r="U26" i="82"/>
  <c r="U47" i="82" s="1" a="1"/>
  <c r="U47" i="82" s="1"/>
  <c r="I277" i="76" a="1"/>
  <c r="I277" i="76" s="1"/>
  <c r="H274" i="76" a="1"/>
  <c r="H274" i="76" s="1"/>
  <c r="T278" i="76" a="1"/>
  <c r="T278" i="76" s="1"/>
  <c r="I278" i="76" a="1"/>
  <c r="I278" i="76" s="1"/>
  <c r="H45" i="82" a="1"/>
  <c r="H45" i="82" s="1"/>
  <c r="H276" i="76" a="1"/>
  <c r="H276" i="76" s="1"/>
  <c r="U41" i="82" a="1"/>
  <c r="U41" i="82" s="1"/>
  <c r="T272" i="76" a="1"/>
  <c r="T272" i="76" s="1"/>
  <c r="F274" i="76" a="1"/>
  <c r="F274" i="76" s="1"/>
  <c r="T276" i="76" a="1"/>
  <c r="T276" i="76" s="1"/>
  <c r="U45" i="82" a="1"/>
  <c r="U45" i="82" s="1"/>
  <c r="H46" i="82" a="1"/>
  <c r="H46" i="82" s="1"/>
  <c r="H277" i="76" a="1"/>
  <c r="H277" i="76" s="1"/>
  <c r="P240" i="76" a="1"/>
  <c r="P240" i="76" s="1"/>
  <c r="P238" i="76" a="1"/>
  <c r="P238" i="76" s="1"/>
  <c r="P243" i="76" a="1"/>
  <c r="P243" i="76" s="1"/>
  <c r="P241" i="76" a="1"/>
  <c r="P241" i="76" s="1"/>
  <c r="P236" i="76" a="1"/>
  <c r="P236" i="76" s="1"/>
  <c r="P239" i="76" a="1"/>
  <c r="P239" i="76" s="1"/>
  <c r="P242" i="76" a="1"/>
  <c r="P242" i="76" s="1"/>
  <c r="P237" i="76" a="1"/>
  <c r="P237" i="76" s="1"/>
  <c r="S275" i="76" a="1"/>
  <c r="S275" i="76" s="1"/>
  <c r="F41" i="82" a="1"/>
  <c r="F41" i="82" s="1"/>
  <c r="F272" i="76" a="1"/>
  <c r="F272" i="76" s="1"/>
  <c r="F271" i="76" a="1"/>
  <c r="F271" i="76" s="1"/>
  <c r="F273" i="76" a="1"/>
  <c r="F273" i="76" s="1"/>
  <c r="S276" i="76" a="1"/>
  <c r="S276" i="76" s="1"/>
  <c r="F275" i="76" a="1"/>
  <c r="F275" i="76" s="1"/>
  <c r="J275" i="76" a="1"/>
  <c r="J275" i="76" s="1"/>
  <c r="T46" i="82" a="1"/>
  <c r="T46" i="82" s="1"/>
  <c r="S277" i="76" a="1"/>
  <c r="S277" i="76" s="1"/>
  <c r="T277" i="76" a="1"/>
  <c r="T277" i="76" s="1"/>
  <c r="H278" i="76" a="1"/>
  <c r="H278" i="76" s="1"/>
  <c r="H47" i="82" a="1"/>
  <c r="H47" i="82" s="1"/>
  <c r="J278" i="76" a="1"/>
  <c r="J278" i="76" s="1"/>
  <c r="S278" i="76" a="1"/>
  <c r="S278" i="76" s="1"/>
  <c r="F276" i="76" a="1"/>
  <c r="F276" i="76" s="1"/>
  <c r="F45" i="82" a="1"/>
  <c r="F45" i="82" s="1"/>
  <c r="J45" i="82" a="1"/>
  <c r="J45" i="82" s="1"/>
  <c r="J276" i="76" a="1"/>
  <c r="J276" i="76" s="1"/>
  <c r="I273" i="76" a="1"/>
  <c r="I273" i="76" s="1"/>
  <c r="I42" i="82" a="1"/>
  <c r="I42" i="82" s="1"/>
  <c r="H273" i="76" a="1"/>
  <c r="H273" i="76" s="1"/>
  <c r="H42" i="82" a="1"/>
  <c r="H42" i="82" s="1"/>
  <c r="F277" i="76" a="1"/>
  <c r="F277" i="76" s="1"/>
  <c r="J271" i="76" a="1"/>
  <c r="J271" i="76" s="1"/>
  <c r="T42" i="82" a="1"/>
  <c r="T42" i="82" s="1"/>
  <c r="S273" i="76" a="1"/>
  <c r="S273" i="76" s="1"/>
  <c r="S271" i="76" a="1"/>
  <c r="S271" i="76" s="1"/>
  <c r="T40" i="82" a="1"/>
  <c r="T40" i="82" s="1"/>
  <c r="I272" i="76" a="1"/>
  <c r="I272" i="76" s="1"/>
  <c r="F47" i="82" a="1"/>
  <c r="F47" i="82" s="1"/>
  <c r="F278" i="76" a="1"/>
  <c r="F278" i="76" s="1"/>
  <c r="J272" i="76" a="1"/>
  <c r="J272" i="76" s="1"/>
  <c r="G238" i="76" a="1"/>
  <c r="G238" i="76" s="1"/>
  <c r="G237" i="76" a="1"/>
  <c r="G237" i="76" s="1"/>
  <c r="G236" i="76" a="1"/>
  <c r="G236" i="76" s="1"/>
  <c r="G243" i="76" a="1"/>
  <c r="G243" i="76" s="1"/>
  <c r="G240" i="76" a="1"/>
  <c r="G240" i="76" s="1"/>
  <c r="G239" i="76" a="1"/>
  <c r="G239" i="76" s="1"/>
  <c r="G241" i="76" a="1"/>
  <c r="G241" i="76" s="1"/>
  <c r="G242" i="76" a="1"/>
  <c r="G242" i="76" s="1"/>
  <c r="J46" i="82" a="1"/>
  <c r="J46" i="82" s="1"/>
  <c r="J277" i="76" a="1"/>
  <c r="J277" i="76" s="1"/>
  <c r="I271" i="76" a="1"/>
  <c r="I271" i="76" s="1"/>
  <c r="I43" i="82" a="1"/>
  <c r="I43" i="82" s="1"/>
  <c r="I274" i="76" a="1"/>
  <c r="I274" i="76" s="1"/>
  <c r="I275" i="76" a="1"/>
  <c r="I275" i="76" s="1"/>
  <c r="U44" i="82" a="1"/>
  <c r="U44" i="82" s="1"/>
  <c r="T275" i="76" a="1"/>
  <c r="T275" i="76" s="1"/>
  <c r="J42" i="82" a="1"/>
  <c r="J42" i="82" s="1"/>
  <c r="J273" i="76" a="1"/>
  <c r="J273" i="76" s="1"/>
  <c r="T41" i="82" a="1"/>
  <c r="T41" i="82" s="1"/>
  <c r="S272" i="76" a="1"/>
  <c r="S272" i="76" s="1"/>
  <c r="T274" i="76" a="1"/>
  <c r="T274" i="76" s="1"/>
  <c r="U40" i="82" a="1"/>
  <c r="U40" i="82" s="1"/>
  <c r="T271" i="76" a="1"/>
  <c r="T271" i="76" s="1"/>
  <c r="S274" i="76" a="1"/>
  <c r="S274" i="76" s="1"/>
  <c r="T43" i="82" a="1"/>
  <c r="T43" i="82" s="1"/>
  <c r="Q243" i="76" a="1"/>
  <c r="Q243" i="76" s="1"/>
  <c r="Q238" i="76" a="1"/>
  <c r="Q238" i="76" s="1"/>
  <c r="Q241" i="76" a="1"/>
  <c r="Q241" i="76" s="1"/>
  <c r="Q236" i="76" a="1"/>
  <c r="Q236" i="76" s="1"/>
  <c r="Q240" i="76" a="1"/>
  <c r="Q240" i="76" s="1"/>
  <c r="Q242" i="76" a="1"/>
  <c r="Q242" i="76" s="1"/>
  <c r="Q239" i="76" a="1"/>
  <c r="Q239" i="76" s="1"/>
  <c r="Q237" i="76" a="1"/>
  <c r="Q237" i="76" s="1"/>
  <c r="H275" i="76" a="1"/>
  <c r="H275" i="76" s="1"/>
  <c r="R243" i="76" a="1"/>
  <c r="R243" i="76" s="1"/>
  <c r="R238" i="76" a="1"/>
  <c r="R238" i="76" s="1"/>
  <c r="R241" i="76" a="1"/>
  <c r="R241" i="76" s="1"/>
  <c r="R236" i="76" a="1"/>
  <c r="R236" i="76" s="1"/>
  <c r="R239" i="76" a="1"/>
  <c r="R239" i="76" s="1"/>
  <c r="R237" i="76" a="1"/>
  <c r="R237" i="76" s="1"/>
  <c r="R240" i="76" a="1"/>
  <c r="R240" i="76" s="1"/>
  <c r="R242" i="76" a="1"/>
  <c r="R242" i="76" s="1"/>
  <c r="H40" i="82" a="1"/>
  <c r="H40" i="82" s="1"/>
  <c r="H271" i="76" a="1"/>
  <c r="H271" i="76" s="1"/>
  <c r="I276" i="76" a="1"/>
  <c r="I276" i="76" s="1"/>
  <c r="H272" i="76" a="1"/>
  <c r="H272" i="76" s="1"/>
  <c r="T273" i="76" a="1"/>
  <c r="T273" i="76" s="1"/>
  <c r="U42" i="82" a="1"/>
  <c r="U42" i="82" s="1"/>
  <c r="J43" i="82" a="1"/>
  <c r="J43" i="82" s="1"/>
  <c r="J274" i="76" a="1"/>
  <c r="J274" i="76" s="1"/>
  <c r="A24" i="13"/>
  <c r="A22" i="13"/>
  <c r="A23" i="13"/>
  <c r="A7" i="13"/>
  <c r="A4" i="13"/>
  <c r="A3" i="13"/>
  <c r="G23" i="98" l="1"/>
  <c r="G28" i="98" s="1" a="1"/>
  <c r="G28" i="98" s="1"/>
  <c r="E30" i="98" s="1"/>
  <c r="H43" i="98" s="1"/>
  <c r="E47" i="98" s="1" a="1"/>
  <c r="E47" i="98" s="1"/>
  <c r="G19" i="97"/>
  <c r="R23" i="98"/>
  <c r="R28" i="98" s="1" a="1"/>
  <c r="R28" i="98" s="1"/>
  <c r="P30" i="98" s="1"/>
  <c r="S43" i="98" s="1"/>
  <c r="P47" i="98" s="1" a="1"/>
  <c r="P47" i="98" s="1"/>
  <c r="R19" i="97"/>
  <c r="G51" i="96" a="1"/>
  <c r="G51" i="96" s="1"/>
  <c r="E53" i="96" s="1"/>
  <c r="G24" i="97" a="1"/>
  <c r="G24" i="97" s="1"/>
  <c r="E26" i="97" s="1"/>
  <c r="H38" i="97" s="1"/>
  <c r="E45" i="97" s="1" a="1"/>
  <c r="E45" i="97" s="1"/>
  <c r="R51" i="96" a="1"/>
  <c r="R51" i="96" s="1"/>
  <c r="P53" i="96" s="1"/>
  <c r="R24" i="97" a="1"/>
  <c r="R24" i="97" s="1"/>
  <c r="P26" i="97" s="1"/>
  <c r="S38" i="97" s="1"/>
  <c r="P45" i="97" s="1" a="1"/>
  <c r="P45" i="97" s="1"/>
  <c r="R23" i="81"/>
  <c r="R19" i="82"/>
  <c r="G24" i="95"/>
  <c r="G30" i="95" s="1" a="1"/>
  <c r="G30" i="95" s="1"/>
  <c r="G50" i="95" s="1" a="1"/>
  <c r="G50" i="95" s="1"/>
  <c r="G26" i="82"/>
  <c r="G30" i="81"/>
  <c r="Q21" i="82"/>
  <c r="Q25" i="81"/>
  <c r="T38" i="81" a="1"/>
  <c r="T38" i="81" s="1"/>
  <c r="T160" i="81" s="1" a="1"/>
  <c r="T160" i="81" s="1"/>
  <c r="S27" i="81"/>
  <c r="S23" i="82"/>
  <c r="S24" i="81"/>
  <c r="S20" i="82"/>
  <c r="R21" i="82"/>
  <c r="R25" i="81"/>
  <c r="G24" i="81"/>
  <c r="G20" i="82"/>
  <c r="H39" i="81" a="1"/>
  <c r="H39" i="81" s="1"/>
  <c r="H191" i="81" s="1" a="1"/>
  <c r="H191" i="81" s="1"/>
  <c r="I42" i="81" a="1"/>
  <c r="I42" i="81" s="1"/>
  <c r="I164" i="81" s="1" a="1"/>
  <c r="I164" i="81" s="1"/>
  <c r="T36" i="81" a="1"/>
  <c r="T36" i="81" s="1"/>
  <c r="T158" i="81" s="1" a="1"/>
  <c r="T158" i="81" s="1"/>
  <c r="J38" i="81" a="1"/>
  <c r="J38" i="81" s="1"/>
  <c r="J160" i="81" s="1" a="1"/>
  <c r="J160" i="81" s="1"/>
  <c r="J37" i="81" a="1"/>
  <c r="J37" i="81" s="1"/>
  <c r="J189" i="81" s="1" a="1"/>
  <c r="J189" i="81" s="1"/>
  <c r="I37" i="81" a="1"/>
  <c r="I37" i="81" s="1"/>
  <c r="I125" i="81" s="1" a="1"/>
  <c r="I125" i="81" s="1"/>
  <c r="J41" i="81" a="1"/>
  <c r="J41" i="81" s="1"/>
  <c r="J163" i="81" s="1" a="1"/>
  <c r="J163" i="81" s="1"/>
  <c r="S29" i="81"/>
  <c r="S25" i="82"/>
  <c r="S23" i="95"/>
  <c r="S29" i="95" s="1" a="1"/>
  <c r="S29" i="95" s="1"/>
  <c r="S49" i="95" s="1" a="1"/>
  <c r="S49" i="95" s="1"/>
  <c r="S26" i="81"/>
  <c r="S22" i="82"/>
  <c r="R24" i="95"/>
  <c r="R30" i="95" s="1" a="1"/>
  <c r="R30" i="95" s="1"/>
  <c r="R50" i="95" s="1" a="1"/>
  <c r="R50" i="95" s="1"/>
  <c r="R26" i="82"/>
  <c r="R47" i="82" s="1" a="1"/>
  <c r="R47" i="82" s="1"/>
  <c r="R30" i="81"/>
  <c r="G25" i="81"/>
  <c r="G21" i="82"/>
  <c r="G42" i="82" s="1" a="1"/>
  <c r="G42" i="82" s="1"/>
  <c r="S23" i="81"/>
  <c r="S19" i="82"/>
  <c r="I38" i="81" a="1"/>
  <c r="I38" i="81" s="1"/>
  <c r="I96" i="81" s="1" a="1"/>
  <c r="I96" i="81" s="1"/>
  <c r="U40" i="81" a="1"/>
  <c r="U40" i="81" s="1"/>
  <c r="U192" i="81" s="1" a="1"/>
  <c r="U192" i="81" s="1"/>
  <c r="H42" i="81" a="1"/>
  <c r="H42" i="81" s="1"/>
  <c r="H194" i="81" s="1" a="1"/>
  <c r="H194" i="81" s="1"/>
  <c r="U39" i="81" a="1"/>
  <c r="U39" i="81" s="1"/>
  <c r="U191" i="81" s="1" a="1"/>
  <c r="U191" i="81" s="1"/>
  <c r="J40" i="81" a="1"/>
  <c r="J40" i="81" s="1"/>
  <c r="J98" i="81" s="1" a="1"/>
  <c r="J98" i="81" s="1"/>
  <c r="J39" i="81" a="1"/>
  <c r="J39" i="81" s="1"/>
  <c r="J127" i="81" s="1" a="1"/>
  <c r="J127" i="81" s="1"/>
  <c r="U37" i="81" a="1"/>
  <c r="U37" i="81" s="1"/>
  <c r="U189" i="81" s="1" a="1"/>
  <c r="U189" i="81" s="1"/>
  <c r="T40" i="81" a="1"/>
  <c r="T40" i="81" s="1"/>
  <c r="T162" i="81" s="1" a="1"/>
  <c r="T162" i="81" s="1"/>
  <c r="U41" i="81" a="1"/>
  <c r="U41" i="81" s="1"/>
  <c r="U99" i="81" s="1" a="1"/>
  <c r="U99" i="81" s="1"/>
  <c r="S24" i="95"/>
  <c r="S30" i="95" s="1" a="1"/>
  <c r="S30" i="95" s="1"/>
  <c r="S50" i="95" s="1" a="1"/>
  <c r="S50" i="95" s="1"/>
  <c r="S30" i="81"/>
  <c r="S26" i="82"/>
  <c r="S47" i="82" s="1" a="1"/>
  <c r="S47" i="82" s="1"/>
  <c r="U42" i="81" a="1"/>
  <c r="U42" i="81" s="1"/>
  <c r="U100" i="81" s="1" a="1"/>
  <c r="U100" i="81" s="1"/>
  <c r="H35" i="81" a="1"/>
  <c r="H35" i="81" s="1"/>
  <c r="H187" i="81" s="1" a="1"/>
  <c r="H187" i="81" s="1"/>
  <c r="F40" i="81" a="1"/>
  <c r="F40" i="81" s="1"/>
  <c r="F98" i="81" s="1" a="1"/>
  <c r="F98" i="81" s="1"/>
  <c r="F39" i="81" a="1"/>
  <c r="F39" i="81" s="1"/>
  <c r="F127" i="81" s="1" a="1"/>
  <c r="F127" i="81" s="1"/>
  <c r="U35" i="81" a="1"/>
  <c r="U35" i="81" s="1"/>
  <c r="U157" i="81" s="1" a="1"/>
  <c r="U157" i="81" s="1"/>
  <c r="S25" i="81"/>
  <c r="S21" i="82"/>
  <c r="S42" i="82" s="1" a="1"/>
  <c r="S42" i="82" s="1"/>
  <c r="Q20" i="82"/>
  <c r="Q41" i="82" s="1" a="1"/>
  <c r="Q41" i="82" s="1"/>
  <c r="Q24" i="81"/>
  <c r="H36" i="81" a="1"/>
  <c r="H36" i="81" s="1"/>
  <c r="H124" i="81" s="1" a="1"/>
  <c r="H124" i="81" s="1"/>
  <c r="F35" i="81" a="1"/>
  <c r="F35" i="81" s="1"/>
  <c r="F187" i="81" s="1" a="1"/>
  <c r="F187" i="81" s="1"/>
  <c r="T42" i="81" a="1"/>
  <c r="T42" i="81" s="1"/>
  <c r="T194" i="81" s="1" a="1"/>
  <c r="T194" i="81" s="1"/>
  <c r="F36" i="81" a="1"/>
  <c r="F36" i="81" s="1"/>
  <c r="F158" i="81" s="1" a="1"/>
  <c r="F158" i="81" s="1"/>
  <c r="T37" i="81" a="1"/>
  <c r="T37" i="81" s="1"/>
  <c r="T125" i="81" s="1" a="1"/>
  <c r="T125" i="81" s="1"/>
  <c r="J42" i="81" a="1"/>
  <c r="J42" i="81" s="1"/>
  <c r="J194" i="81" s="1" a="1"/>
  <c r="J194" i="81" s="1"/>
  <c r="H41" i="81" a="1"/>
  <c r="H41" i="81" s="1"/>
  <c r="H163" i="81" s="1" a="1"/>
  <c r="H163" i="81" s="1"/>
  <c r="H99" i="81" a="1"/>
  <c r="H99" i="81" s="1"/>
  <c r="Q25" i="82"/>
  <c r="Q29" i="81"/>
  <c r="G25" i="82"/>
  <c r="G29" i="81"/>
  <c r="Q23" i="95"/>
  <c r="Q29" i="95" s="1" a="1"/>
  <c r="Q29" i="95" s="1"/>
  <c r="Q49" i="95" s="1" a="1"/>
  <c r="Q49" i="95" s="1"/>
  <c r="Q22" i="82"/>
  <c r="Q43" i="82" s="1" a="1"/>
  <c r="Q43" i="82" s="1"/>
  <c r="Q26" i="81"/>
  <c r="H38" i="81" a="1"/>
  <c r="H38" i="81" s="1"/>
  <c r="H160" i="81" s="1" a="1"/>
  <c r="H160" i="81" s="1"/>
  <c r="J35" i="81" a="1"/>
  <c r="J35" i="81" s="1"/>
  <c r="J187" i="81" s="1" a="1"/>
  <c r="J187" i="81" s="1"/>
  <c r="T41" i="81" a="1"/>
  <c r="T41" i="81" s="1"/>
  <c r="T193" i="81" s="1" a="1"/>
  <c r="T193" i="81" s="1"/>
  <c r="I40" i="81" a="1"/>
  <c r="I40" i="81" s="1"/>
  <c r="I128" i="81" s="1" a="1"/>
  <c r="I128" i="81" s="1"/>
  <c r="J36" i="81" a="1"/>
  <c r="J36" i="81" s="1"/>
  <c r="J188" i="81" s="1" a="1"/>
  <c r="J188" i="81" s="1"/>
  <c r="T39" i="81" a="1"/>
  <c r="T39" i="81" s="1"/>
  <c r="T191" i="81" s="1" a="1"/>
  <c r="T191" i="81" s="1"/>
  <c r="R20" i="82"/>
  <c r="R41" i="82" s="1" a="1"/>
  <c r="R41" i="82" s="1"/>
  <c r="R24" i="81"/>
  <c r="G28" i="81"/>
  <c r="G24" i="82"/>
  <c r="Q23" i="81"/>
  <c r="Q19" i="82"/>
  <c r="Q40" i="82" s="1" a="1"/>
  <c r="Q40" i="82" s="1"/>
  <c r="R29" i="81"/>
  <c r="R25" i="82"/>
  <c r="R46" i="82" s="1" a="1"/>
  <c r="R46" i="82" s="1"/>
  <c r="G23" i="95"/>
  <c r="G29" i="95" s="1" a="1"/>
  <c r="G29" i="95" s="1"/>
  <c r="G49" i="95" s="1" a="1"/>
  <c r="G49" i="95" s="1"/>
  <c r="G26" i="81"/>
  <c r="G22" i="82"/>
  <c r="G43" i="82" s="1" a="1"/>
  <c r="G43" i="82" s="1"/>
  <c r="Q24" i="82"/>
  <c r="Q45" i="82" s="1" a="1"/>
  <c r="Q45" i="82" s="1"/>
  <c r="Q28" i="81"/>
  <c r="F42" i="81" a="1"/>
  <c r="F42" i="81" s="1"/>
  <c r="F130" i="81" s="1" a="1"/>
  <c r="F130" i="81" s="1"/>
  <c r="I36" i="81" a="1"/>
  <c r="I36" i="81" s="1"/>
  <c r="I158" i="81" s="1" a="1"/>
  <c r="I158" i="81" s="1"/>
  <c r="U36" i="81" a="1"/>
  <c r="U36" i="81" s="1"/>
  <c r="U94" i="81" s="1" a="1"/>
  <c r="U94" i="81" s="1"/>
  <c r="R27" i="81"/>
  <c r="R23" i="82"/>
  <c r="G27" i="81"/>
  <c r="G23" i="82"/>
  <c r="G44" i="82" s="1" a="1"/>
  <c r="G44" i="82" s="1"/>
  <c r="Q24" i="95"/>
  <c r="Q30" i="95" s="1" a="1"/>
  <c r="Q30" i="95" s="1"/>
  <c r="Q50" i="95" s="1" a="1"/>
  <c r="Q50" i="95" s="1"/>
  <c r="Q26" i="82"/>
  <c r="Q47" i="82" s="1" a="1"/>
  <c r="Q47" i="82" s="1"/>
  <c r="Q30" i="81"/>
  <c r="I41" i="81" a="1"/>
  <c r="I41" i="81" s="1"/>
  <c r="I193" i="81" s="1" a="1"/>
  <c r="I193" i="81" s="1"/>
  <c r="I39" i="81" a="1"/>
  <c r="I39" i="81" s="1"/>
  <c r="I161" i="81" s="1" a="1"/>
  <c r="I161" i="81" s="1"/>
  <c r="F41" i="81" a="1"/>
  <c r="F41" i="81" s="1"/>
  <c r="F193" i="81" s="1" a="1"/>
  <c r="F193" i="81" s="1"/>
  <c r="F38" i="81" a="1"/>
  <c r="F38" i="81" s="1"/>
  <c r="F126" i="81" s="1" a="1"/>
  <c r="F126" i="81" s="1"/>
  <c r="F37" i="81" a="1"/>
  <c r="F37" i="81" s="1"/>
  <c r="F189" i="81" s="1" a="1"/>
  <c r="F189" i="81" s="1"/>
  <c r="U38" i="81" a="1"/>
  <c r="U38" i="81" s="1"/>
  <c r="U160" i="81" s="1" a="1"/>
  <c r="U160" i="81" s="1"/>
  <c r="S28" i="81"/>
  <c r="S24" i="82"/>
  <c r="S45" i="82" s="1" a="1"/>
  <c r="S45" i="82" s="1"/>
  <c r="H37" i="81" a="1"/>
  <c r="H37" i="81" s="1"/>
  <c r="H189" i="81" s="1" a="1"/>
  <c r="H189" i="81" s="1"/>
  <c r="H40" i="81" a="1"/>
  <c r="H40" i="81" s="1"/>
  <c r="H192" i="81" s="1" a="1"/>
  <c r="H192" i="81" s="1"/>
  <c r="R23" i="95"/>
  <c r="R29" i="95" s="1" a="1"/>
  <c r="R29" i="95" s="1"/>
  <c r="R49" i="95" s="1" a="1"/>
  <c r="R49" i="95" s="1"/>
  <c r="R22" i="82"/>
  <c r="R43" i="82" s="1" a="1"/>
  <c r="R43" i="82" s="1"/>
  <c r="R26" i="81"/>
  <c r="R24" i="82"/>
  <c r="R45" i="82" s="1" a="1"/>
  <c r="R45" i="82" s="1"/>
  <c r="R28" i="81"/>
  <c r="G23" i="81"/>
  <c r="G19" i="82"/>
  <c r="G40" i="82" s="1" a="1"/>
  <c r="G40" i="82" s="1"/>
  <c r="E49" i="82" s="1"/>
  <c r="Q27" i="81"/>
  <c r="Q23" i="82"/>
  <c r="Q44" i="82" s="1" a="1"/>
  <c r="Q44" i="82" s="1"/>
  <c r="I35" i="81" a="1"/>
  <c r="I35" i="81" s="1"/>
  <c r="I157" i="81" s="1" a="1"/>
  <c r="I157" i="81" s="1"/>
  <c r="T35" i="81" a="1"/>
  <c r="T35" i="81" s="1"/>
  <c r="T157" i="81" s="1" a="1"/>
  <c r="T157" i="81" s="1"/>
  <c r="G46" i="82" a="1"/>
  <c r="G46" i="82" s="1"/>
  <c r="G277" i="76" a="1"/>
  <c r="G277" i="76" s="1"/>
  <c r="R273" i="76" a="1"/>
  <c r="R273" i="76" s="1"/>
  <c r="P272" i="76" a="1"/>
  <c r="P272" i="76" s="1"/>
  <c r="P277" i="76" a="1"/>
  <c r="P277" i="76" s="1"/>
  <c r="Q46" i="82" a="1"/>
  <c r="Q46" i="82" s="1"/>
  <c r="P274" i="76" a="1"/>
  <c r="P274" i="76" s="1"/>
  <c r="R278" i="76" a="1"/>
  <c r="R278" i="76" s="1"/>
  <c r="P271" i="76" a="1"/>
  <c r="P271" i="76" s="1"/>
  <c r="Q277" i="76" a="1"/>
  <c r="Q277" i="76" s="1"/>
  <c r="G274" i="76" a="1"/>
  <c r="G274" i="76" s="1"/>
  <c r="P276" i="76" a="1"/>
  <c r="P276" i="76" s="1"/>
  <c r="P278" i="76" a="1"/>
  <c r="P278" i="76" s="1"/>
  <c r="P273" i="76" a="1"/>
  <c r="P273" i="76" s="1"/>
  <c r="Q42" i="82" a="1"/>
  <c r="Q42" i="82" s="1"/>
  <c r="Q272" i="76" a="1"/>
  <c r="Q272" i="76" s="1"/>
  <c r="Q274" i="76" a="1"/>
  <c r="Q274" i="76" s="1"/>
  <c r="G276" i="76" a="1"/>
  <c r="G276" i="76" s="1"/>
  <c r="G45" i="82" a="1"/>
  <c r="G45" i="82" s="1"/>
  <c r="G275" i="76" a="1"/>
  <c r="G275" i="76" s="1"/>
  <c r="S46" i="82" a="1"/>
  <c r="S46" i="82" s="1"/>
  <c r="R277" i="76" a="1"/>
  <c r="R277" i="76" s="1"/>
  <c r="Q271" i="76" a="1"/>
  <c r="Q271" i="76" s="1"/>
  <c r="R40" i="82" a="1"/>
  <c r="R40" i="82" s="1"/>
  <c r="G47" i="82" a="1"/>
  <c r="G47" i="82" s="1"/>
  <c r="G278" i="76" a="1"/>
  <c r="G278" i="76" s="1"/>
  <c r="R275" i="76" a="1"/>
  <c r="R275" i="76" s="1"/>
  <c r="S44" i="82" a="1"/>
  <c r="S44" i="82" s="1"/>
  <c r="Q276" i="76" a="1"/>
  <c r="Q276" i="76" s="1"/>
  <c r="G271" i="76" a="1"/>
  <c r="G271" i="76" s="1"/>
  <c r="P275" i="76" a="1"/>
  <c r="P275" i="76" s="1"/>
  <c r="Q275" i="76" a="1"/>
  <c r="Q275" i="76" s="1"/>
  <c r="R44" i="82" a="1"/>
  <c r="R44" i="82" s="1"/>
  <c r="S41" i="82" a="1"/>
  <c r="S41" i="82" s="1"/>
  <c r="R272" i="76" a="1"/>
  <c r="R272" i="76" s="1"/>
  <c r="S43" i="82" a="1"/>
  <c r="S43" i="82" s="1"/>
  <c r="R274" i="76" a="1"/>
  <c r="R274" i="76" s="1"/>
  <c r="G273" i="76" a="1"/>
  <c r="G273" i="76" s="1"/>
  <c r="R271" i="76" a="1"/>
  <c r="R271" i="76" s="1"/>
  <c r="S40" i="82" a="1"/>
  <c r="S40" i="82" s="1"/>
  <c r="Q273" i="76" a="1"/>
  <c r="Q273" i="76" s="1"/>
  <c r="R42" i="82" a="1"/>
  <c r="R42" i="82" s="1"/>
  <c r="G41" i="82" a="1"/>
  <c r="G41" i="82" s="1"/>
  <c r="G272" i="76" a="1"/>
  <c r="G272" i="76" s="1"/>
  <c r="Q278" i="76" a="1"/>
  <c r="Q278" i="76" s="1"/>
  <c r="R276" i="76" a="1"/>
  <c r="R276"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R61" i="82" l="1"/>
  <c r="P68" i="82" s="1" a="1"/>
  <c r="P68" i="82" s="1"/>
  <c r="G61" i="82"/>
  <c r="E68" i="82" s="1" a="1"/>
  <c r="E68" i="82" s="1"/>
  <c r="F14" i="13"/>
  <c r="R49" i="98"/>
  <c r="P52" i="98" s="1" a="1"/>
  <c r="P52" i="98" s="1"/>
  <c r="I14" i="13" s="1"/>
  <c r="G49" i="98"/>
  <c r="E52" i="98" s="1" a="1"/>
  <c r="E52" i="98" s="1"/>
  <c r="H14" i="13" s="1"/>
  <c r="E14" i="13"/>
  <c r="P49" i="82"/>
  <c r="H125" i="81" a="1"/>
  <c r="H125" i="81" s="1"/>
  <c r="E52" i="95"/>
  <c r="G54" i="95" s="1"/>
  <c r="E57" i="95" s="1" a="1"/>
  <c r="E57" i="95" s="1"/>
  <c r="H10" i="13" s="1"/>
  <c r="U130" i="81" a="1"/>
  <c r="U130" i="81" s="1"/>
  <c r="R55" i="96"/>
  <c r="P58" i="96" s="1" a="1"/>
  <c r="P58" i="96" s="1"/>
  <c r="I12" i="13" s="1"/>
  <c r="F12" i="13"/>
  <c r="G55" i="96"/>
  <c r="E58" i="96" s="1" a="1"/>
  <c r="E58" i="96" s="1"/>
  <c r="H12" i="13" s="1"/>
  <c r="E12" i="13"/>
  <c r="R47" i="97"/>
  <c r="P50" i="97" s="1" a="1"/>
  <c r="P50" i="97" s="1"/>
  <c r="I13" i="13" s="1"/>
  <c r="F13" i="13"/>
  <c r="G47" i="97"/>
  <c r="E50" i="97" s="1" a="1"/>
  <c r="E50" i="97" s="1"/>
  <c r="H13" i="13" s="1"/>
  <c r="E13" i="13"/>
  <c r="I163" i="81" a="1"/>
  <c r="I163" i="81" s="1"/>
  <c r="T128" i="81" a="1"/>
  <c r="T128" i="81" s="1"/>
  <c r="H193" i="81" a="1"/>
  <c r="H193" i="81" s="1"/>
  <c r="I129" i="81" a="1"/>
  <c r="I129" i="81" s="1"/>
  <c r="P19" i="97"/>
  <c r="E19" i="97"/>
  <c r="P24" i="97"/>
  <c r="E24" i="97"/>
  <c r="T127" i="81" a="1"/>
  <c r="T127" i="81" s="1"/>
  <c r="I99" i="81" a="1"/>
  <c r="I99" i="81" s="1"/>
  <c r="U98" i="81" a="1"/>
  <c r="U98" i="81" s="1"/>
  <c r="F125" i="81" a="1"/>
  <c r="F125" i="81" s="1"/>
  <c r="F95" i="81" a="1"/>
  <c r="F95" i="81" s="1"/>
  <c r="T96" i="81" a="1"/>
  <c r="T96" i="81" s="1"/>
  <c r="F159" i="81" a="1"/>
  <c r="F159" i="81" s="1"/>
  <c r="U190" i="81" a="1"/>
  <c r="U190" i="81" s="1"/>
  <c r="H159" i="81" a="1"/>
  <c r="H159" i="81" s="1"/>
  <c r="I192" i="81" a="1"/>
  <c r="I192" i="81" s="1"/>
  <c r="E10" i="13"/>
  <c r="F100" i="81" a="1"/>
  <c r="F100" i="81" s="1"/>
  <c r="H157" i="81" a="1"/>
  <c r="H157" i="81" s="1"/>
  <c r="F194" i="81" a="1"/>
  <c r="F194" i="81" s="1"/>
  <c r="H94" i="81" a="1"/>
  <c r="H94" i="81" s="1"/>
  <c r="H188" i="81" a="1"/>
  <c r="H188" i="81" s="1"/>
  <c r="T190" i="81" a="1"/>
  <c r="T190" i="81" s="1"/>
  <c r="J94" i="81" a="1"/>
  <c r="J94" i="81" s="1"/>
  <c r="H158" i="81" a="1"/>
  <c r="H158" i="81" s="1"/>
  <c r="T126" i="81" a="1"/>
  <c r="T126" i="81" s="1"/>
  <c r="J158" i="81" a="1"/>
  <c r="J158" i="81" s="1"/>
  <c r="I98" i="81" a="1"/>
  <c r="I98" i="81" s="1"/>
  <c r="H97" i="81" a="1"/>
  <c r="H97" i="81" s="1"/>
  <c r="I162" i="81" a="1"/>
  <c r="I162" i="81" s="1"/>
  <c r="T163" i="81" a="1"/>
  <c r="T163" i="81" s="1"/>
  <c r="P51" i="96"/>
  <c r="P25" i="96"/>
  <c r="E25" i="96"/>
  <c r="P31" i="96"/>
  <c r="E51" i="96"/>
  <c r="E31" i="96"/>
  <c r="P52" i="95"/>
  <c r="R54" i="95" s="1"/>
  <c r="P57" i="95" s="1" a="1"/>
  <c r="P57" i="95" s="1"/>
  <c r="I10" i="13" s="1"/>
  <c r="T100" i="81" a="1"/>
  <c r="T100" i="81" s="1"/>
  <c r="F129" i="81" a="1"/>
  <c r="F129" i="81" s="1"/>
  <c r="T164" i="81" a="1"/>
  <c r="T164" i="81" s="1"/>
  <c r="F164" i="81" a="1"/>
  <c r="F164" i="81" s="1"/>
  <c r="T130" i="81" a="1"/>
  <c r="T130" i="81" s="1"/>
  <c r="U97" i="81" a="1"/>
  <c r="U97" i="81" s="1"/>
  <c r="J126" i="81" a="1"/>
  <c r="J126" i="81" s="1"/>
  <c r="T93" i="81" a="1"/>
  <c r="T93" i="81" s="1"/>
  <c r="T187" i="81" a="1"/>
  <c r="T187" i="81" s="1"/>
  <c r="F163" i="81" a="1"/>
  <c r="F163" i="81" s="1"/>
  <c r="J190" i="81" a="1"/>
  <c r="J190" i="81" s="1"/>
  <c r="H129" i="81" a="1"/>
  <c r="H129" i="81" s="1"/>
  <c r="F123" i="81" a="1"/>
  <c r="F123" i="81" s="1"/>
  <c r="U193" i="81" a="1"/>
  <c r="U193" i="81" s="1"/>
  <c r="H164" i="81" a="1"/>
  <c r="H164" i="81" s="1"/>
  <c r="F97" i="81" a="1"/>
  <c r="F97" i="81" s="1"/>
  <c r="U129" i="81" a="1"/>
  <c r="U129" i="81" s="1"/>
  <c r="H130" i="81" a="1"/>
  <c r="H130" i="81" s="1"/>
  <c r="T97" i="81" a="1"/>
  <c r="T97" i="81" s="1"/>
  <c r="H96" i="81" a="1"/>
  <c r="H96" i="81" s="1"/>
  <c r="F157" i="81" a="1"/>
  <c r="F157" i="81" s="1"/>
  <c r="U163" i="81" a="1"/>
  <c r="U163" i="81" s="1"/>
  <c r="H100" i="81" a="1"/>
  <c r="H100" i="81" s="1"/>
  <c r="H126" i="81" a="1"/>
  <c r="H126" i="81" s="1"/>
  <c r="F93" i="81" a="1"/>
  <c r="F93" i="81" s="1"/>
  <c r="T98" i="81" a="1"/>
  <c r="T98" i="81" s="1"/>
  <c r="H162" i="81" a="1"/>
  <c r="H162" i="81" s="1"/>
  <c r="T123" i="81" a="1"/>
  <c r="T123" i="81" s="1"/>
  <c r="H128" i="81" a="1"/>
  <c r="H128" i="81" s="1"/>
  <c r="H190" i="81" a="1"/>
  <c r="H190" i="81" s="1"/>
  <c r="H98" i="81" a="1"/>
  <c r="H98" i="81" s="1"/>
  <c r="F160" i="81" a="1"/>
  <c r="F160" i="81" s="1"/>
  <c r="J124" i="81" a="1"/>
  <c r="J124" i="81" s="1"/>
  <c r="J100" i="81" a="1"/>
  <c r="J100" i="81" s="1"/>
  <c r="H93" i="81" a="1"/>
  <c r="H93" i="81" s="1"/>
  <c r="T192" i="81" a="1"/>
  <c r="T192" i="81" s="1"/>
  <c r="I189" i="81" a="1"/>
  <c r="I189" i="81" s="1"/>
  <c r="F96" i="81" a="1"/>
  <c r="F96" i="81" s="1"/>
  <c r="J95" i="81" a="1"/>
  <c r="J95" i="81" s="1"/>
  <c r="U164" i="81" a="1"/>
  <c r="U164" i="81" s="1"/>
  <c r="J191" i="81" a="1"/>
  <c r="J191" i="81" s="1"/>
  <c r="J125" i="81" a="1"/>
  <c r="J125" i="81" s="1"/>
  <c r="U96" i="81" a="1"/>
  <c r="U96" i="81" s="1"/>
  <c r="F99" i="81" a="1"/>
  <c r="F99" i="81" s="1"/>
  <c r="I94" i="81" a="1"/>
  <c r="I94" i="81" s="1"/>
  <c r="J157" i="81" a="1"/>
  <c r="J157" i="81" s="1"/>
  <c r="T159" i="81" a="1"/>
  <c r="T159" i="81" s="1"/>
  <c r="U187" i="81" a="1"/>
  <c r="U187" i="81" s="1"/>
  <c r="F192" i="81" a="1"/>
  <c r="F192" i="81" s="1"/>
  <c r="U125" i="81" a="1"/>
  <c r="U125" i="81" s="1"/>
  <c r="U127" i="81" a="1"/>
  <c r="U127" i="81" s="1"/>
  <c r="I126" i="81" a="1"/>
  <c r="I126" i="81" s="1"/>
  <c r="S41" i="81" a="1"/>
  <c r="S41" i="81" s="1"/>
  <c r="S99" i="81" s="1" a="1"/>
  <c r="S99" i="81" s="1"/>
  <c r="I130" i="81" a="1"/>
  <c r="I130" i="81" s="1"/>
  <c r="I93" i="81" a="1"/>
  <c r="I93" i="81" s="1"/>
  <c r="U126" i="81" a="1"/>
  <c r="U126" i="81" s="1"/>
  <c r="Q42" i="81" a="1"/>
  <c r="Q42" i="81" s="1"/>
  <c r="Q100" i="81" s="1" a="1"/>
  <c r="Q100" i="81" s="1"/>
  <c r="I124" i="81" a="1"/>
  <c r="I124" i="81" s="1"/>
  <c r="R41" i="81" a="1"/>
  <c r="R41" i="81" s="1"/>
  <c r="R129" i="81" s="1" a="1"/>
  <c r="R129" i="81" s="1"/>
  <c r="J93" i="81" a="1"/>
  <c r="J93" i="81" s="1"/>
  <c r="Q41" i="81" a="1"/>
  <c r="Q41" i="81" s="1"/>
  <c r="Q193" i="81" s="1" a="1"/>
  <c r="Q193" i="81" s="1"/>
  <c r="T189" i="81" a="1"/>
  <c r="T189" i="81" s="1"/>
  <c r="U93" i="81" a="1"/>
  <c r="U93" i="81" s="1"/>
  <c r="H123" i="81" a="1"/>
  <c r="H123" i="81" s="1"/>
  <c r="J97" i="81" a="1"/>
  <c r="J97" i="81" s="1"/>
  <c r="U161" i="81" a="1"/>
  <c r="U161" i="81" s="1"/>
  <c r="I190" i="81" a="1"/>
  <c r="I190" i="81" s="1"/>
  <c r="J99" i="81" a="1"/>
  <c r="J99" i="81" s="1"/>
  <c r="J159" i="81" a="1"/>
  <c r="J159" i="81" s="1"/>
  <c r="I194" i="81" a="1"/>
  <c r="I194" i="81" s="1"/>
  <c r="S39" i="81" a="1"/>
  <c r="S39" i="81" s="1"/>
  <c r="S161" i="81" s="1" a="1"/>
  <c r="S161" i="81" s="1"/>
  <c r="I123" i="81" a="1"/>
  <c r="I123" i="81" s="1"/>
  <c r="I188" i="81" a="1"/>
  <c r="I188" i="81" s="1"/>
  <c r="J123" i="81" a="1"/>
  <c r="J123" i="81" s="1"/>
  <c r="T95" i="81" a="1"/>
  <c r="T95" i="81" s="1"/>
  <c r="U123" i="81" a="1"/>
  <c r="U123" i="81" s="1"/>
  <c r="J161" i="81" a="1"/>
  <c r="J161" i="81" s="1"/>
  <c r="J129" i="81" a="1"/>
  <c r="J129" i="81" s="1"/>
  <c r="I187" i="81" a="1"/>
  <c r="I187" i="81" s="1"/>
  <c r="Q35" i="81" a="1"/>
  <c r="Q35" i="81" s="1"/>
  <c r="Q187" i="81" s="1" a="1"/>
  <c r="Q187" i="81" s="1"/>
  <c r="J193" i="81" a="1"/>
  <c r="J193" i="81" s="1"/>
  <c r="J96" i="81" a="1"/>
  <c r="J96" i="81" s="1"/>
  <c r="H161" i="81" a="1"/>
  <c r="H161" i="81" s="1"/>
  <c r="S35" i="81" a="1"/>
  <c r="S35" i="81" s="1"/>
  <c r="S157" i="81" s="1" a="1"/>
  <c r="S157" i="81" s="1"/>
  <c r="H127" i="81" a="1"/>
  <c r="H127" i="81" s="1"/>
  <c r="F94" i="81" a="1"/>
  <c r="F94" i="81" s="1"/>
  <c r="G39" i="81" a="1"/>
  <c r="G39" i="81" s="1"/>
  <c r="G161" i="81" s="1" a="1"/>
  <c r="G161" i="81" s="1"/>
  <c r="G40" i="81" a="1"/>
  <c r="G40" i="81" s="1"/>
  <c r="G128" i="81" s="1" a="1"/>
  <c r="G128" i="81" s="1"/>
  <c r="I127" i="81" a="1"/>
  <c r="I127" i="81" s="1"/>
  <c r="R36" i="81" a="1"/>
  <c r="R36" i="81" s="1"/>
  <c r="R188" i="81" s="1" a="1"/>
  <c r="R188" i="81" s="1"/>
  <c r="F124" i="81" a="1"/>
  <c r="F124" i="81" s="1"/>
  <c r="F191" i="81" a="1"/>
  <c r="F191" i="81" s="1"/>
  <c r="J128" i="81" a="1"/>
  <c r="J128" i="81" s="1"/>
  <c r="G37" i="81" a="1"/>
  <c r="G37" i="81" s="1"/>
  <c r="G125" i="81" s="1" a="1"/>
  <c r="G125" i="81" s="1"/>
  <c r="Q39" i="81" a="1"/>
  <c r="Q39" i="81" s="1"/>
  <c r="Q127" i="81" s="1" a="1"/>
  <c r="Q127" i="81" s="1"/>
  <c r="I97" i="81" a="1"/>
  <c r="I97" i="81" s="1"/>
  <c r="R39" i="81" a="1"/>
  <c r="R39" i="81" s="1"/>
  <c r="R191" i="81" s="1" a="1"/>
  <c r="R191" i="81" s="1"/>
  <c r="F188" i="81" a="1"/>
  <c r="F188" i="81" s="1"/>
  <c r="R42" i="81" a="1"/>
  <c r="R42" i="81" s="1"/>
  <c r="R130" i="81" s="1" a="1"/>
  <c r="R130" i="81" s="1"/>
  <c r="Q37" i="81" a="1"/>
  <c r="Q37" i="81" s="1"/>
  <c r="Q159" i="81" s="1" a="1"/>
  <c r="Q159" i="81" s="1"/>
  <c r="H95" i="81" a="1"/>
  <c r="H95" i="81" s="1"/>
  <c r="I191" i="81" a="1"/>
  <c r="I191" i="81" s="1"/>
  <c r="U158" i="81" a="1"/>
  <c r="U158" i="81" s="1"/>
  <c r="T161" i="81" a="1"/>
  <c r="T161" i="81" s="1"/>
  <c r="J130" i="81" a="1"/>
  <c r="J130" i="81" s="1"/>
  <c r="F161" i="81" a="1"/>
  <c r="F161" i="81" s="1"/>
  <c r="U194" i="81" a="1"/>
  <c r="U194" i="81" s="1"/>
  <c r="J192" i="81" a="1"/>
  <c r="J192" i="81" s="1"/>
  <c r="U128" i="81" a="1"/>
  <c r="U128" i="81" s="1"/>
  <c r="I159" i="81" a="1"/>
  <c r="I159" i="81" s="1"/>
  <c r="T188" i="81" a="1"/>
  <c r="T188" i="81" s="1"/>
  <c r="G35" i="81" a="1"/>
  <c r="G35" i="81" s="1"/>
  <c r="G157" i="81" s="1" a="1"/>
  <c r="G157" i="81" s="1"/>
  <c r="U124" i="81" a="1"/>
  <c r="U124" i="81" s="1"/>
  <c r="Q40" i="81" a="1"/>
  <c r="Q40" i="81" s="1"/>
  <c r="Q98" i="81" s="1" a="1"/>
  <c r="Q98" i="81" s="1"/>
  <c r="T99" i="81" a="1"/>
  <c r="T99" i="81" s="1"/>
  <c r="J162" i="81" a="1"/>
  <c r="J162" i="81" s="1"/>
  <c r="U162" i="81" a="1"/>
  <c r="U162" i="81" s="1"/>
  <c r="I95" i="81" a="1"/>
  <c r="I95" i="81" s="1"/>
  <c r="T94" i="81" a="1"/>
  <c r="T94" i="81" s="1"/>
  <c r="G36" i="81" a="1"/>
  <c r="G36" i="81" s="1"/>
  <c r="G94" i="81" s="1" a="1"/>
  <c r="G94" i="81" s="1"/>
  <c r="G42" i="81" a="1"/>
  <c r="G42" i="81" s="1"/>
  <c r="G164" i="81" s="1" a="1"/>
  <c r="G164" i="81" s="1"/>
  <c r="R40" i="81" a="1"/>
  <c r="R40" i="81" s="1"/>
  <c r="R128" i="81" s="1" a="1"/>
  <c r="R128" i="81" s="1"/>
  <c r="F190" i="81" a="1"/>
  <c r="F190" i="81" s="1"/>
  <c r="U188" i="81" a="1"/>
  <c r="U188" i="81" s="1"/>
  <c r="T129" i="81" a="1"/>
  <c r="T129" i="81" s="1"/>
  <c r="Q38" i="81" a="1"/>
  <c r="Q38" i="81" s="1"/>
  <c r="Q160" i="81" s="1" a="1"/>
  <c r="Q160" i="81" s="1"/>
  <c r="J164" i="81" a="1"/>
  <c r="J164" i="81" s="1"/>
  <c r="Q36" i="81" a="1"/>
  <c r="Q36" i="81" s="1"/>
  <c r="Q188" i="81" s="1" a="1"/>
  <c r="Q188" i="81" s="1"/>
  <c r="F128" i="81" a="1"/>
  <c r="F128" i="81" s="1"/>
  <c r="U95" i="81" a="1"/>
  <c r="U95" i="81" s="1"/>
  <c r="T124" i="81" a="1"/>
  <c r="T124" i="81" s="1"/>
  <c r="R37" i="81" a="1"/>
  <c r="R37" i="81" s="1"/>
  <c r="R95" i="81" s="1" a="1"/>
  <c r="R95" i="81" s="1"/>
  <c r="S38" i="81" a="1"/>
  <c r="S38" i="81" s="1"/>
  <c r="S126" i="81" s="1" a="1"/>
  <c r="S126" i="81" s="1"/>
  <c r="R38" i="81" a="1"/>
  <c r="R38" i="81" s="1"/>
  <c r="R126" i="81" s="1" a="1"/>
  <c r="R126" i="81" s="1"/>
  <c r="S40" i="81" a="1"/>
  <c r="S40" i="81" s="1"/>
  <c r="S98" i="81" s="1" a="1"/>
  <c r="S98" i="81" s="1"/>
  <c r="G38" i="81" a="1"/>
  <c r="G38" i="81" s="1"/>
  <c r="G160" i="81" s="1" a="1"/>
  <c r="G160" i="81" s="1"/>
  <c r="F162" i="81" a="1"/>
  <c r="F162" i="81" s="1"/>
  <c r="S42" i="81" a="1"/>
  <c r="S42" i="81" s="1"/>
  <c r="S130" i="81" s="1" a="1"/>
  <c r="S130" i="81" s="1"/>
  <c r="U159" i="81" a="1"/>
  <c r="U159" i="81" s="1"/>
  <c r="I160" i="81" a="1"/>
  <c r="I160" i="81" s="1"/>
  <c r="I100" i="81" a="1"/>
  <c r="I100" i="81" s="1"/>
  <c r="G41" i="81" a="1"/>
  <c r="G41" i="81" s="1"/>
  <c r="G129" i="81" s="1" a="1"/>
  <c r="G129" i="81" s="1"/>
  <c r="G99" i="81" a="1"/>
  <c r="G99" i="81" s="1"/>
  <c r="G163" i="81" a="1"/>
  <c r="G163" i="81" s="1"/>
  <c r="S37" i="81" a="1"/>
  <c r="S37" i="81" s="1"/>
  <c r="S95" i="81" s="1" a="1"/>
  <c r="S95" i="81" s="1"/>
  <c r="S36" i="81" a="1"/>
  <c r="S36" i="81" s="1"/>
  <c r="S158" i="81" s="1" a="1"/>
  <c r="S158" i="81" s="1"/>
  <c r="R35" i="81" a="1"/>
  <c r="R35" i="81" s="1"/>
  <c r="R123" i="81" s="1" a="1"/>
  <c r="R123" i="81" s="1"/>
  <c r="E9" i="13"/>
  <c r="F9" i="13"/>
  <c r="D196" i="69"/>
  <c r="E196" i="69" s="1" a="1"/>
  <c r="E196" i="69" s="1"/>
  <c r="D72" i="70"/>
  <c r="D106" i="70"/>
  <c r="D197" i="69"/>
  <c r="E197" i="69" s="1" a="1"/>
  <c r="E197" i="69" s="1"/>
  <c r="D77" i="70"/>
  <c r="D111" i="70"/>
  <c r="D195" i="69"/>
  <c r="E195" i="69" s="1" a="1"/>
  <c r="E195" i="69" s="1"/>
  <c r="D67" i="70"/>
  <c r="D101" i="70"/>
  <c r="D198" i="69"/>
  <c r="E198" i="69" s="1" a="1"/>
  <c r="E198" i="69" s="1"/>
  <c r="D82" i="70"/>
  <c r="D116" i="70"/>
  <c r="E29" i="15"/>
  <c r="Q158" i="81" l="1" a="1"/>
  <c r="Q158" i="81" s="1"/>
  <c r="S190" i="81" a="1"/>
  <c r="S190" i="81" s="1"/>
  <c r="R159" i="81" a="1"/>
  <c r="R159" i="81" s="1"/>
  <c r="G127" i="81" a="1"/>
  <c r="G127" i="81" s="1"/>
  <c r="R164" i="81" a="1"/>
  <c r="R164" i="81" s="1"/>
  <c r="R193" i="81" a="1"/>
  <c r="R193" i="81" s="1"/>
  <c r="F10" i="13"/>
  <c r="S160" i="81" a="1"/>
  <c r="S160" i="81" s="1"/>
  <c r="G190" i="81" a="1"/>
  <c r="G190" i="81" s="1"/>
  <c r="R127" i="81" a="1"/>
  <c r="R127" i="81" s="1"/>
  <c r="R99" i="81" a="1"/>
  <c r="R99" i="81" s="1"/>
  <c r="R163" i="81" a="1"/>
  <c r="R163" i="81" s="1"/>
  <c r="Q97" i="81" a="1"/>
  <c r="Q97" i="81" s="1"/>
  <c r="G193" i="81" a="1"/>
  <c r="G193" i="81" s="1"/>
  <c r="Q93" i="81" a="1"/>
  <c r="Q93" i="81" s="1"/>
  <c r="Q123" i="81" a="1"/>
  <c r="Q123" i="81" s="1"/>
  <c r="S194" i="81" a="1"/>
  <c r="S194" i="81" s="1"/>
  <c r="S189" i="81" a="1"/>
  <c r="S189" i="81" s="1"/>
  <c r="Q164" i="81" a="1"/>
  <c r="Q164" i="81" s="1"/>
  <c r="R160" i="81" a="1"/>
  <c r="R160" i="81" s="1"/>
  <c r="S96" i="81" a="1"/>
  <c r="S96" i="81" s="1"/>
  <c r="G130" i="81" a="1"/>
  <c r="G130" i="81" s="1"/>
  <c r="S164" i="81" a="1"/>
  <c r="S164" i="81" s="1"/>
  <c r="S191" i="81" a="1"/>
  <c r="S191" i="81" s="1"/>
  <c r="G162" i="81" a="1"/>
  <c r="G162" i="81" s="1"/>
  <c r="Q157" i="81" a="1"/>
  <c r="Q157" i="81" s="1"/>
  <c r="S100" i="81" a="1"/>
  <c r="S100" i="81" s="1"/>
  <c r="Q128" i="81" a="1"/>
  <c r="Q128" i="81" s="1"/>
  <c r="G159" i="81" a="1"/>
  <c r="G159" i="81" s="1"/>
  <c r="R192" i="81" a="1"/>
  <c r="R192" i="81" s="1"/>
  <c r="G95" i="81" a="1"/>
  <c r="G95" i="81" s="1"/>
  <c r="R93" i="81" a="1"/>
  <c r="R93" i="81" s="1"/>
  <c r="G189" i="81" a="1"/>
  <c r="G189" i="81" s="1"/>
  <c r="R124" i="81" a="1"/>
  <c r="R124" i="81" s="1"/>
  <c r="Q96" i="81" a="1"/>
  <c r="Q96" i="81" s="1"/>
  <c r="Q94" i="81" a="1"/>
  <c r="Q94" i="81" s="1"/>
  <c r="G100" i="81" a="1"/>
  <c r="G100" i="81" s="1"/>
  <c r="G93" i="81" a="1"/>
  <c r="G93" i="81" s="1"/>
  <c r="Q194" i="81" a="1"/>
  <c r="Q194" i="81" s="1"/>
  <c r="S127" i="81" a="1"/>
  <c r="S127" i="81" s="1"/>
  <c r="Q161" i="81" a="1"/>
  <c r="Q161" i="81" s="1"/>
  <c r="Q124" i="81" a="1"/>
  <c r="Q124" i="81" s="1"/>
  <c r="G194" i="81" a="1"/>
  <c r="G194" i="81" s="1"/>
  <c r="G123" i="81" a="1"/>
  <c r="G123" i="81" s="1"/>
  <c r="Q190" i="81" a="1"/>
  <c r="Q190" i="81" s="1"/>
  <c r="R94" i="81" a="1"/>
  <c r="R94" i="81" s="1"/>
  <c r="S187" i="81" a="1"/>
  <c r="S187" i="81" s="1"/>
  <c r="R158" i="81" a="1"/>
  <c r="R158" i="81" s="1"/>
  <c r="R125" i="81" a="1"/>
  <c r="R125" i="81" s="1"/>
  <c r="S97" i="81" a="1"/>
  <c r="S97" i="81" s="1"/>
  <c r="G98" i="81" a="1"/>
  <c r="G98" i="81" s="1"/>
  <c r="Q126" i="81" a="1"/>
  <c r="Q126" i="81" s="1"/>
  <c r="R97" i="81" a="1"/>
  <c r="R97" i="81" s="1"/>
  <c r="Q99" i="81" a="1"/>
  <c r="Q99" i="81" s="1"/>
  <c r="G188" i="81" a="1"/>
  <c r="G188" i="81" s="1"/>
  <c r="G97" i="81" a="1"/>
  <c r="G97" i="81" s="1"/>
  <c r="S125" i="81" a="1"/>
  <c r="S125" i="81" s="1"/>
  <c r="E190" i="81"/>
  <c r="E148" i="81"/>
  <c r="E160" i="81"/>
  <c r="E178" i="81"/>
  <c r="E84" i="81"/>
  <c r="P26" i="81"/>
  <c r="P190" i="81"/>
  <c r="E23" i="95"/>
  <c r="E49" i="95"/>
  <c r="P29" i="95"/>
  <c r="P160" i="81"/>
  <c r="P96" i="81"/>
  <c r="E26" i="81"/>
  <c r="P126" i="81"/>
  <c r="E96" i="81"/>
  <c r="E126" i="81"/>
  <c r="E38" i="81"/>
  <c r="P23" i="95"/>
  <c r="P38" i="81"/>
  <c r="E29" i="95"/>
  <c r="P49" i="95"/>
  <c r="R157" i="81" a="1"/>
  <c r="R157" i="81" s="1"/>
  <c r="G96" i="81" a="1"/>
  <c r="G96" i="81" s="1"/>
  <c r="R190" i="81" a="1"/>
  <c r="R190" i="81" s="1"/>
  <c r="G158" i="81" a="1"/>
  <c r="G158" i="81" s="1"/>
  <c r="G187" i="81" a="1"/>
  <c r="G187" i="81" s="1"/>
  <c r="Q95" i="81" a="1"/>
  <c r="Q95" i="81" s="1"/>
  <c r="R187" i="81" a="1"/>
  <c r="R187" i="81" s="1"/>
  <c r="G126" i="81" a="1"/>
  <c r="G126" i="81" s="1"/>
  <c r="R162" i="81" a="1"/>
  <c r="R162" i="81" s="1"/>
  <c r="Q189" i="81" a="1"/>
  <c r="Q189" i="81" s="1"/>
  <c r="R161" i="81" a="1"/>
  <c r="R161" i="81" s="1"/>
  <c r="G191" i="81" a="1"/>
  <c r="G191" i="81" s="1"/>
  <c r="Q130" i="81" a="1"/>
  <c r="Q130" i="81" s="1"/>
  <c r="E161" i="81"/>
  <c r="E85" i="81"/>
  <c r="P191" i="81"/>
  <c r="P27" i="81"/>
  <c r="P127" i="81"/>
  <c r="P161" i="81"/>
  <c r="P97" i="81"/>
  <c r="E127" i="81"/>
  <c r="E27" i="81"/>
  <c r="E191" i="81"/>
  <c r="E149" i="81"/>
  <c r="P39" i="81"/>
  <c r="E39" i="81"/>
  <c r="E97" i="81"/>
  <c r="E179" i="81"/>
  <c r="E30" i="95"/>
  <c r="E194" i="81"/>
  <c r="P100" i="81"/>
  <c r="P130" i="81"/>
  <c r="E100" i="81"/>
  <c r="P30" i="81"/>
  <c r="E130" i="81"/>
  <c r="E152" i="81"/>
  <c r="P30" i="95"/>
  <c r="E182" i="81"/>
  <c r="P194" i="81"/>
  <c r="E164" i="81"/>
  <c r="E30" i="81"/>
  <c r="P42" i="81"/>
  <c r="P164" i="81"/>
  <c r="E50" i="95"/>
  <c r="P24" i="95"/>
  <c r="E24" i="95"/>
  <c r="E42" i="81"/>
  <c r="P50" i="95"/>
  <c r="E88" i="81"/>
  <c r="R98" i="81" a="1"/>
  <c r="R98" i="81" s="1"/>
  <c r="Q125" i="81" a="1"/>
  <c r="Q125" i="81" s="1"/>
  <c r="Q129" i="81" a="1"/>
  <c r="Q129" i="81" s="1"/>
  <c r="Q191" i="81" a="1"/>
  <c r="Q191" i="81" s="1"/>
  <c r="Q163" i="81" a="1"/>
  <c r="Q163" i="81" s="1"/>
  <c r="P187" i="81"/>
  <c r="P93" i="81"/>
  <c r="P123" i="81"/>
  <c r="E93" i="81"/>
  <c r="P23" i="81"/>
  <c r="E123" i="81"/>
  <c r="E145" i="81"/>
  <c r="E187" i="81"/>
  <c r="E157" i="81"/>
  <c r="E175" i="81"/>
  <c r="E23" i="81"/>
  <c r="E81" i="81"/>
  <c r="P35" i="81"/>
  <c r="P157" i="81"/>
  <c r="E35" i="81"/>
  <c r="S188" i="81" a="1"/>
  <c r="S188" i="81" s="1"/>
  <c r="R194" i="81" a="1"/>
  <c r="R194" i="81" s="1"/>
  <c r="S93" i="81" a="1"/>
  <c r="S93" i="81" s="1"/>
  <c r="S128" i="81" a="1"/>
  <c r="S128" i="81" s="1"/>
  <c r="S124" i="81" a="1"/>
  <c r="S124" i="81" s="1"/>
  <c r="S162" i="81" a="1"/>
  <c r="S162" i="81" s="1"/>
  <c r="R189" i="81" a="1"/>
  <c r="R189" i="81" s="1"/>
  <c r="Q162" i="81" a="1"/>
  <c r="Q162" i="81" s="1"/>
  <c r="R100" i="81" a="1"/>
  <c r="R100" i="81" s="1"/>
  <c r="S123" i="81" a="1"/>
  <c r="S123" i="81" s="1"/>
  <c r="S94" i="81" a="1"/>
  <c r="S94" i="81" s="1"/>
  <c r="P40" i="81"/>
  <c r="P28" i="81"/>
  <c r="P162" i="81"/>
  <c r="P98" i="81"/>
  <c r="P128" i="81"/>
  <c r="E98" i="81"/>
  <c r="E192" i="81"/>
  <c r="E128" i="81"/>
  <c r="E150" i="81"/>
  <c r="E28" i="81"/>
  <c r="E86" i="81"/>
  <c r="E162" i="81"/>
  <c r="P192" i="81"/>
  <c r="E180" i="81"/>
  <c r="E40" i="81"/>
  <c r="S192" i="81" a="1"/>
  <c r="S192" i="81" s="1"/>
  <c r="Q192" i="81" a="1"/>
  <c r="Q192" i="81" s="1"/>
  <c r="G192" i="81" a="1"/>
  <c r="G192" i="81" s="1"/>
  <c r="S193" i="81" a="1"/>
  <c r="S193" i="81" s="1"/>
  <c r="P29" i="81"/>
  <c r="P99" i="81"/>
  <c r="E193" i="81"/>
  <c r="E129" i="81"/>
  <c r="P41" i="81"/>
  <c r="E41" i="81"/>
  <c r="E151" i="81"/>
  <c r="E87" i="81"/>
  <c r="P193" i="81"/>
  <c r="E163" i="81"/>
  <c r="E29" i="81"/>
  <c r="E181" i="81"/>
  <c r="E99" i="81"/>
  <c r="P129" i="81"/>
  <c r="P163" i="81"/>
  <c r="E125" i="81"/>
  <c r="E147" i="81"/>
  <c r="E189" i="81"/>
  <c r="P25" i="81"/>
  <c r="E159" i="81"/>
  <c r="E177" i="81"/>
  <c r="E83" i="81"/>
  <c r="P189" i="81"/>
  <c r="E25" i="81"/>
  <c r="P95" i="81"/>
  <c r="P159" i="81"/>
  <c r="P125" i="81"/>
  <c r="E95" i="81"/>
  <c r="E37" i="81"/>
  <c r="P37" i="81"/>
  <c r="P94" i="81"/>
  <c r="P36" i="81"/>
  <c r="P158" i="81"/>
  <c r="E124" i="81"/>
  <c r="E36" i="81"/>
  <c r="P24" i="81"/>
  <c r="E146" i="81"/>
  <c r="E188" i="81"/>
  <c r="E158" i="81"/>
  <c r="E176" i="81"/>
  <c r="E24" i="81"/>
  <c r="P188" i="81"/>
  <c r="P124" i="81"/>
  <c r="E94" i="81"/>
  <c r="E82" i="81"/>
  <c r="S159" i="81" a="1"/>
  <c r="S159" i="81" s="1"/>
  <c r="S163" i="81" a="1"/>
  <c r="S163" i="81" s="1"/>
  <c r="R96" i="81" a="1"/>
  <c r="R96" i="81" s="1"/>
  <c r="G124" i="81" a="1"/>
  <c r="G124" i="81" s="1"/>
  <c r="S129" i="81" a="1"/>
  <c r="S129" i="81" s="1"/>
  <c r="R70" i="82"/>
  <c r="P73" i="82" s="1" a="1"/>
  <c r="P73" i="82" s="1"/>
  <c r="I9" i="13" s="1"/>
  <c r="G70" i="82"/>
  <c r="E73" i="82" s="1" a="1"/>
  <c r="E73" i="82" s="1"/>
  <c r="H9" i="13" s="1"/>
  <c r="P261" i="69"/>
  <c r="E242" i="76"/>
  <c r="E46" i="82"/>
  <c r="P25" i="82"/>
  <c r="O277" i="76"/>
  <c r="E277" i="76"/>
  <c r="E261" i="69"/>
  <c r="P146" i="69"/>
  <c r="P209" i="69"/>
  <c r="E146" i="69"/>
  <c r="E209" i="69"/>
  <c r="O230" i="76"/>
  <c r="P46" i="82"/>
  <c r="E25" i="82"/>
  <c r="O242" i="76"/>
  <c r="E230" i="76"/>
  <c r="P126" i="69"/>
  <c r="E126" i="69"/>
  <c r="P136" i="69"/>
  <c r="E136" i="69"/>
  <c r="H205" i="69" a="1"/>
  <c r="H205" i="69" s="1"/>
  <c r="H257" i="69" s="1" a="1"/>
  <c r="H257" i="69" s="1"/>
  <c r="F209" i="69" a="1"/>
  <c r="F209" i="69" s="1"/>
  <c r="F261" i="69" s="1" a="1"/>
  <c r="F261" i="69" s="1"/>
  <c r="I205" i="69" a="1"/>
  <c r="I205" i="69" s="1"/>
  <c r="I257" i="69" s="1" a="1"/>
  <c r="I257" i="69" s="1"/>
  <c r="J209" i="69" a="1"/>
  <c r="J209" i="69" s="1"/>
  <c r="J261" i="69" s="1" a="1"/>
  <c r="J261" i="69" s="1"/>
  <c r="I209" i="69" a="1"/>
  <c r="I209" i="69" s="1"/>
  <c r="I261" i="69" s="1" a="1"/>
  <c r="I261" i="69" s="1"/>
  <c r="G209" i="69" a="1"/>
  <c r="G209" i="69" s="1"/>
  <c r="G261" i="69" s="1" a="1"/>
  <c r="G261" i="69" s="1"/>
  <c r="U209" i="69" a="1"/>
  <c r="U209" i="69" s="1"/>
  <c r="U261" i="69" s="1" a="1"/>
  <c r="U261" i="69" s="1"/>
  <c r="T205" i="69" a="1"/>
  <c r="T205" i="69" s="1"/>
  <c r="T257" i="69" s="1" a="1"/>
  <c r="T257" i="69" s="1"/>
  <c r="Q205" i="69" a="1"/>
  <c r="Q205" i="69" s="1"/>
  <c r="Q257" i="69" s="1" a="1"/>
  <c r="Q257" i="69" s="1"/>
  <c r="G205" i="69" a="1"/>
  <c r="G205" i="69" s="1"/>
  <c r="G257" i="69" s="1" a="1"/>
  <c r="G257" i="69" s="1"/>
  <c r="F205" i="69" a="1"/>
  <c r="F205" i="69" s="1"/>
  <c r="F257" i="69" s="1" a="1"/>
  <c r="F257" i="69" s="1"/>
  <c r="S205" i="69" a="1"/>
  <c r="S205" i="69" s="1"/>
  <c r="S257" i="69" s="1" a="1"/>
  <c r="S257" i="69" s="1"/>
  <c r="Q209" i="69" a="1"/>
  <c r="Q209" i="69" s="1"/>
  <c r="Q261" i="69" s="1" a="1"/>
  <c r="Q261" i="69" s="1"/>
  <c r="R209" i="69" a="1"/>
  <c r="R209" i="69" s="1"/>
  <c r="R261" i="69" s="1" a="1"/>
  <c r="R261" i="69" s="1"/>
  <c r="U205" i="69" a="1"/>
  <c r="U205" i="69" s="1"/>
  <c r="U257" i="69" s="1" a="1"/>
  <c r="U257" i="69" s="1"/>
  <c r="J205" i="69" a="1"/>
  <c r="J205" i="69" s="1"/>
  <c r="J257" i="69" s="1" a="1"/>
  <c r="J257" i="69" s="1"/>
  <c r="S209" i="69" a="1"/>
  <c r="S209" i="69" s="1"/>
  <c r="S261" i="69" s="1" a="1"/>
  <c r="S261" i="69" s="1"/>
  <c r="R205" i="69" a="1"/>
  <c r="R205" i="69" s="1"/>
  <c r="R257" i="69" s="1" a="1"/>
  <c r="R257" i="69" s="1"/>
  <c r="T209" i="69" a="1"/>
  <c r="T209" i="69" s="1"/>
  <c r="T261" i="69" s="1" a="1"/>
  <c r="T261" i="69" s="1"/>
  <c r="H209" i="69" a="1"/>
  <c r="H209" i="69" s="1"/>
  <c r="H261" i="69" s="1" a="1"/>
  <c r="H261" i="69" s="1"/>
  <c r="F207" i="69" a="1"/>
  <c r="F207" i="69" s="1"/>
  <c r="F259" i="69" s="1" a="1"/>
  <c r="F259" i="69" s="1"/>
  <c r="I203" i="69" a="1"/>
  <c r="I203" i="69" s="1"/>
  <c r="I255" i="69" s="1" a="1"/>
  <c r="I255" i="69" s="1"/>
  <c r="I207" i="69" a="1"/>
  <c r="I207" i="69" s="1"/>
  <c r="I259" i="69" s="1" a="1"/>
  <c r="I259" i="69" s="1"/>
  <c r="F203" i="69" a="1"/>
  <c r="F203" i="69" s="1"/>
  <c r="F255" i="69" s="1" a="1"/>
  <c r="F255" i="69" s="1"/>
  <c r="R203" i="69" a="1"/>
  <c r="R203" i="69" s="1"/>
  <c r="R255" i="69" s="1" a="1"/>
  <c r="R255" i="69" s="1"/>
  <c r="J207" i="69" a="1"/>
  <c r="J207" i="69" s="1"/>
  <c r="J259" i="69" s="1" a="1"/>
  <c r="J259" i="69" s="1"/>
  <c r="J203" i="69" a="1"/>
  <c r="J203" i="69" s="1"/>
  <c r="J255" i="69" s="1" a="1"/>
  <c r="J255" i="69" s="1"/>
  <c r="T207" i="69" a="1"/>
  <c r="T207" i="69" s="1"/>
  <c r="T259" i="69" s="1" a="1"/>
  <c r="T259" i="69" s="1"/>
  <c r="H207" i="69" a="1"/>
  <c r="H207" i="69" s="1"/>
  <c r="H259" i="69" s="1" a="1"/>
  <c r="H259" i="69" s="1"/>
  <c r="Q203" i="69" a="1"/>
  <c r="Q203" i="69" s="1"/>
  <c r="Q255" i="69" s="1" a="1"/>
  <c r="Q255" i="69" s="1"/>
  <c r="U207" i="69" a="1"/>
  <c r="U207" i="69" s="1"/>
  <c r="U259" i="69" s="1" a="1"/>
  <c r="U259" i="69" s="1"/>
  <c r="G207" i="69" a="1"/>
  <c r="G207" i="69" s="1"/>
  <c r="G259" i="69" s="1" a="1"/>
  <c r="G259" i="69" s="1"/>
  <c r="S207" i="69" a="1"/>
  <c r="S207" i="69" s="1"/>
  <c r="S259" i="69" s="1" a="1"/>
  <c r="S259" i="69" s="1"/>
  <c r="S203" i="69" a="1"/>
  <c r="S203" i="69" s="1"/>
  <c r="S255" i="69" s="1" a="1"/>
  <c r="S255" i="69" s="1"/>
  <c r="H203" i="69" a="1"/>
  <c r="H203" i="69" s="1"/>
  <c r="H255" i="69" s="1" a="1"/>
  <c r="H255" i="69" s="1"/>
  <c r="T203" i="69" a="1"/>
  <c r="T203" i="69" s="1"/>
  <c r="T255" i="69" s="1" a="1"/>
  <c r="T255" i="69" s="1"/>
  <c r="G203" i="69" a="1"/>
  <c r="G203" i="69" s="1"/>
  <c r="G255" i="69" s="1" a="1"/>
  <c r="G255" i="69" s="1"/>
  <c r="U203" i="69" a="1"/>
  <c r="U203" i="69" s="1"/>
  <c r="U255" i="69" s="1" a="1"/>
  <c r="U255" i="69" s="1"/>
  <c r="R207" i="69" a="1"/>
  <c r="R207" i="69" s="1"/>
  <c r="R259" i="69" s="1" a="1"/>
  <c r="R259" i="69" s="1"/>
  <c r="Q207" i="69" a="1"/>
  <c r="Q207" i="69" s="1"/>
  <c r="Q259" i="69" s="1" a="1"/>
  <c r="Q259" i="69" s="1"/>
  <c r="P45" i="82"/>
  <c r="E260" i="69"/>
  <c r="P260" i="69"/>
  <c r="E241" i="76"/>
  <c r="E45" i="82"/>
  <c r="P24" i="82"/>
  <c r="E276" i="76"/>
  <c r="O241" i="76"/>
  <c r="P208" i="69"/>
  <c r="E208" i="69"/>
  <c r="P145" i="69"/>
  <c r="O229" i="76"/>
  <c r="O276" i="76"/>
  <c r="E24" i="82"/>
  <c r="E229" i="76"/>
  <c r="P135" i="69"/>
  <c r="E135" i="69"/>
  <c r="E145" i="69"/>
  <c r="P125" i="69"/>
  <c r="E125" i="69"/>
  <c r="J208" i="69" a="1"/>
  <c r="J208" i="69" s="1"/>
  <c r="J260" i="69" s="1" a="1"/>
  <c r="J260" i="69" s="1"/>
  <c r="F204" i="69" a="1"/>
  <c r="F204" i="69" s="1"/>
  <c r="F256" i="69" s="1" a="1"/>
  <c r="F256" i="69" s="1"/>
  <c r="F208" i="69" a="1"/>
  <c r="F208" i="69" s="1"/>
  <c r="F260" i="69" s="1" a="1"/>
  <c r="F260" i="69" s="1"/>
  <c r="H208" i="69" a="1"/>
  <c r="H208" i="69" s="1"/>
  <c r="H260" i="69" s="1" a="1"/>
  <c r="H260" i="69" s="1"/>
  <c r="J204" i="69" a="1"/>
  <c r="J204" i="69" s="1"/>
  <c r="J256" i="69" s="1" a="1"/>
  <c r="J256" i="69" s="1"/>
  <c r="I208" i="69" a="1"/>
  <c r="I208" i="69" s="1"/>
  <c r="I260" i="69" s="1" a="1"/>
  <c r="I260" i="69" s="1"/>
  <c r="Q208" i="69" a="1"/>
  <c r="Q208" i="69" s="1"/>
  <c r="Q260" i="69" s="1" a="1"/>
  <c r="Q260" i="69" s="1"/>
  <c r="Q204" i="69" a="1"/>
  <c r="Q204" i="69" s="1"/>
  <c r="Q256" i="69" s="1" a="1"/>
  <c r="Q256" i="69" s="1"/>
  <c r="G208" i="69" a="1"/>
  <c r="G208" i="69" s="1"/>
  <c r="G260" i="69" s="1" a="1"/>
  <c r="G260" i="69" s="1"/>
  <c r="I204" i="69" a="1"/>
  <c r="I204" i="69" s="1"/>
  <c r="I256" i="69" s="1" a="1"/>
  <c r="I256" i="69" s="1"/>
  <c r="S208" i="69" a="1"/>
  <c r="S208" i="69" s="1"/>
  <c r="S260" i="69" s="1" a="1"/>
  <c r="S260" i="69" s="1"/>
  <c r="U204" i="69" a="1"/>
  <c r="U204" i="69" s="1"/>
  <c r="U256" i="69" s="1" a="1"/>
  <c r="U256" i="69" s="1"/>
  <c r="G204" i="69" a="1"/>
  <c r="G204" i="69" s="1"/>
  <c r="G256" i="69" s="1" a="1"/>
  <c r="G256" i="69" s="1"/>
  <c r="R204" i="69" a="1"/>
  <c r="R204" i="69" s="1"/>
  <c r="R256" i="69" s="1" a="1"/>
  <c r="R256" i="69" s="1"/>
  <c r="R208" i="69" a="1"/>
  <c r="R208" i="69" s="1"/>
  <c r="R260" i="69" s="1" a="1"/>
  <c r="R260" i="69" s="1"/>
  <c r="S204" i="69" a="1"/>
  <c r="S204" i="69" s="1"/>
  <c r="S256" i="69" s="1" a="1"/>
  <c r="S256" i="69" s="1"/>
  <c r="H204" i="69" a="1"/>
  <c r="H204" i="69" s="1"/>
  <c r="H256" i="69" s="1" a="1"/>
  <c r="H256" i="69" s="1"/>
  <c r="T204" i="69" a="1"/>
  <c r="T204" i="69" s="1"/>
  <c r="T256" i="69" s="1" a="1"/>
  <c r="T256" i="69" s="1"/>
  <c r="T208" i="69" a="1"/>
  <c r="T208" i="69" s="1"/>
  <c r="T260" i="69" s="1" a="1"/>
  <c r="T260" i="69" s="1"/>
  <c r="U208" i="69" a="1"/>
  <c r="U208" i="69" s="1"/>
  <c r="U260" i="69" s="1" a="1"/>
  <c r="U260" i="69" s="1"/>
  <c r="D109" i="70"/>
  <c r="P204" i="69"/>
  <c r="P132" i="69"/>
  <c r="P41" i="82"/>
  <c r="O225" i="76"/>
  <c r="E132" i="69"/>
  <c r="E122" i="69"/>
  <c r="E20" i="82"/>
  <c r="E225" i="76"/>
  <c r="O272" i="76"/>
  <c r="E41" i="82"/>
  <c r="P20" i="82"/>
  <c r="E272" i="76"/>
  <c r="O237" i="76"/>
  <c r="E256" i="69"/>
  <c r="E142" i="69"/>
  <c r="P122" i="69"/>
  <c r="E237" i="76"/>
  <c r="P142" i="69"/>
  <c r="E204" i="69"/>
  <c r="P256" i="69"/>
  <c r="D108" i="70"/>
  <c r="D84" i="70"/>
  <c r="D74" i="70"/>
  <c r="D165" i="70"/>
  <c r="D118" i="70"/>
  <c r="D91" i="70"/>
  <c r="D141" i="70"/>
  <c r="D125" i="70"/>
  <c r="D73" i="70"/>
  <c r="D107" i="70"/>
  <c r="D75" i="70"/>
  <c r="J210" i="69" a="1"/>
  <c r="J210" i="69" s="1"/>
  <c r="J262" i="69" s="1" a="1"/>
  <c r="J262" i="69" s="1"/>
  <c r="I206" i="69" a="1"/>
  <c r="I206" i="69" s="1"/>
  <c r="I258" i="69" s="1" a="1"/>
  <c r="I258" i="69" s="1"/>
  <c r="Q210" i="69" a="1"/>
  <c r="Q210" i="69" s="1"/>
  <c r="Q262" i="69" s="1" a="1"/>
  <c r="Q262" i="69" s="1"/>
  <c r="T206" i="69" a="1"/>
  <c r="T206" i="69" s="1"/>
  <c r="T258" i="69" s="1" a="1"/>
  <c r="T258" i="69" s="1"/>
  <c r="R206" i="69" a="1"/>
  <c r="R206" i="69" s="1"/>
  <c r="R258" i="69" s="1" a="1"/>
  <c r="R258" i="69" s="1"/>
  <c r="F210" i="69" a="1"/>
  <c r="F210" i="69" s="1"/>
  <c r="F262" i="69" s="1" a="1"/>
  <c r="F262" i="69" s="1"/>
  <c r="Q206" i="69" a="1"/>
  <c r="Q206" i="69" s="1"/>
  <c r="Q258" i="69" s="1" a="1"/>
  <c r="Q258" i="69" s="1"/>
  <c r="H206" i="69" a="1"/>
  <c r="H206" i="69" s="1"/>
  <c r="H258" i="69" s="1" a="1"/>
  <c r="H258" i="69" s="1"/>
  <c r="U206" i="69" a="1"/>
  <c r="U206" i="69" s="1"/>
  <c r="U258" i="69" s="1" a="1"/>
  <c r="U258" i="69" s="1"/>
  <c r="I210" i="69" a="1"/>
  <c r="I210" i="69" s="1"/>
  <c r="I262" i="69" s="1" a="1"/>
  <c r="I262" i="69" s="1"/>
  <c r="U210" i="69" a="1"/>
  <c r="U210" i="69" s="1"/>
  <c r="U262" i="69" s="1" a="1"/>
  <c r="U262" i="69" s="1"/>
  <c r="J206" i="69" a="1"/>
  <c r="J206" i="69" s="1"/>
  <c r="J258" i="69" s="1" a="1"/>
  <c r="J258" i="69" s="1"/>
  <c r="S210" i="69" a="1"/>
  <c r="S210" i="69" s="1"/>
  <c r="S262" i="69" s="1" a="1"/>
  <c r="S262" i="69" s="1"/>
  <c r="H210" i="69" a="1"/>
  <c r="H210" i="69" s="1"/>
  <c r="H262" i="69" s="1" a="1"/>
  <c r="H262" i="69" s="1"/>
  <c r="G210" i="69" a="1"/>
  <c r="G210" i="69" s="1"/>
  <c r="G262" i="69" s="1" a="1"/>
  <c r="G262" i="69" s="1"/>
  <c r="S206" i="69" a="1"/>
  <c r="S206" i="69" s="1"/>
  <c r="S258" i="69" s="1" a="1"/>
  <c r="S258" i="69" s="1"/>
  <c r="R210" i="69" a="1"/>
  <c r="R210" i="69" s="1"/>
  <c r="R262" i="69" s="1" a="1"/>
  <c r="R262" i="69" s="1"/>
  <c r="G206" i="69" a="1"/>
  <c r="G206" i="69" s="1"/>
  <c r="G258" i="69" s="1" a="1"/>
  <c r="G258" i="69" s="1"/>
  <c r="T210" i="69" a="1"/>
  <c r="T210" i="69" s="1"/>
  <c r="T262" i="69" s="1" a="1"/>
  <c r="T262" i="69" s="1"/>
  <c r="F206" i="69" a="1"/>
  <c r="F206" i="69" s="1"/>
  <c r="F258" i="69" s="1" a="1"/>
  <c r="F258" i="69" s="1"/>
  <c r="D160" i="70"/>
  <c r="E40" i="82"/>
  <c r="P19" i="82"/>
  <c r="E271" i="76"/>
  <c r="E255" i="69"/>
  <c r="P141" i="69"/>
  <c r="P121" i="69"/>
  <c r="P131" i="69"/>
  <c r="E121" i="69"/>
  <c r="O271" i="76"/>
  <c r="O224" i="76"/>
  <c r="E131" i="69"/>
  <c r="E19" i="82"/>
  <c r="E224" i="76"/>
  <c r="P40" i="82"/>
  <c r="E236" i="76"/>
  <c r="O236" i="76"/>
  <c r="E141" i="69"/>
  <c r="P203" i="69"/>
  <c r="P255" i="69"/>
  <c r="E203" i="69"/>
  <c r="D103" i="70"/>
  <c r="D102" i="70"/>
  <c r="D90" i="70"/>
  <c r="D117" i="70"/>
  <c r="D136" i="70"/>
  <c r="D70" i="70"/>
  <c r="D124" i="70"/>
  <c r="D104" i="70"/>
  <c r="D83" i="70"/>
  <c r="D69" i="70"/>
  <c r="D68" i="70"/>
  <c r="D78" i="70"/>
  <c r="O226" i="76"/>
  <c r="P205" i="69"/>
  <c r="O273" i="76"/>
  <c r="E133" i="69"/>
  <c r="E123" i="69"/>
  <c r="O238" i="76"/>
  <c r="E21" i="82"/>
  <c r="E226" i="76"/>
  <c r="P42" i="82"/>
  <c r="E238" i="76"/>
  <c r="E205" i="69"/>
  <c r="E42" i="82"/>
  <c r="P21" i="82"/>
  <c r="E273" i="76"/>
  <c r="E143" i="69"/>
  <c r="P123" i="69"/>
  <c r="P143" i="69"/>
  <c r="P133" i="69"/>
  <c r="P257" i="69"/>
  <c r="E257" i="69"/>
  <c r="D113" i="70"/>
  <c r="D146" i="70"/>
  <c r="D80" i="70"/>
  <c r="D85" i="70"/>
  <c r="D114" i="70"/>
  <c r="D126" i="70"/>
  <c r="D92" i="70"/>
  <c r="D119" i="70"/>
  <c r="D112" i="70"/>
  <c r="D79" i="70"/>
  <c r="D170" i="70"/>
  <c r="E23" i="82"/>
  <c r="E228" i="76"/>
  <c r="E134" i="69"/>
  <c r="O240" i="76"/>
  <c r="O275" i="76"/>
  <c r="P259" i="69"/>
  <c r="E240" i="76"/>
  <c r="E44" i="82"/>
  <c r="P23" i="82"/>
  <c r="E275" i="76"/>
  <c r="E259" i="69"/>
  <c r="P44" i="82"/>
  <c r="P144" i="69"/>
  <c r="P207" i="69"/>
  <c r="P134" i="69"/>
  <c r="O228" i="76"/>
  <c r="E207" i="69"/>
  <c r="E144" i="69"/>
  <c r="P124" i="69"/>
  <c r="E124" i="69"/>
  <c r="E47" i="82"/>
  <c r="P26" i="82"/>
  <c r="E278" i="76"/>
  <c r="P47" i="82"/>
  <c r="P210" i="69"/>
  <c r="E262" i="69"/>
  <c r="E173" i="69"/>
  <c r="O243" i="76"/>
  <c r="O231" i="76"/>
  <c r="E26" i="82"/>
  <c r="E231" i="76"/>
  <c r="E167" i="69"/>
  <c r="E243" i="76"/>
  <c r="P262" i="69"/>
  <c r="O278" i="76"/>
  <c r="P167" i="69"/>
  <c r="P173" i="69"/>
  <c r="E210" i="69"/>
  <c r="D151" i="70"/>
  <c r="P43" i="82"/>
  <c r="E22" i="82"/>
  <c r="E227" i="76"/>
  <c r="E172" i="69"/>
  <c r="P258" i="69"/>
  <c r="E239" i="76"/>
  <c r="E43" i="82"/>
  <c r="P22" i="82"/>
  <c r="E258" i="69"/>
  <c r="O274" i="76"/>
  <c r="O227" i="76"/>
  <c r="E274" i="76"/>
  <c r="E206" i="69"/>
  <c r="P206" i="69"/>
  <c r="E166" i="69"/>
  <c r="O239" i="76"/>
  <c r="P172" i="69"/>
  <c r="P166" i="69"/>
  <c r="D175" i="70"/>
  <c r="E13" i="15"/>
  <c r="E132" i="81" l="1"/>
  <c r="P132" i="81"/>
  <c r="P196" i="81"/>
  <c r="P166" i="81"/>
  <c r="E166" i="81"/>
  <c r="E22" i="13" s="1"/>
  <c r="E102" i="81"/>
  <c r="E21" i="13" s="1"/>
  <c r="E196" i="81"/>
  <c r="E23" i="13" s="1"/>
  <c r="E280" i="76"/>
  <c r="P264" i="69"/>
  <c r="O280" i="76"/>
  <c r="F8" i="13" s="1"/>
  <c r="E264" i="69"/>
  <c r="E7" i="13" l="1"/>
  <c r="G266" i="69"/>
  <c r="E269" i="69" s="1" a="1"/>
  <c r="E269" i="69" s="1"/>
  <c r="H7" i="13" s="1"/>
  <c r="R266" i="69"/>
  <c r="P269" i="69" s="1" a="1"/>
  <c r="P269" i="69" s="1"/>
  <c r="I7" i="13" s="1"/>
  <c r="F7" i="13"/>
  <c r="Q282" i="76"/>
  <c r="O285" i="76" s="1" a="1"/>
  <c r="O285" i="76" s="1"/>
  <c r="I8" i="13" s="1"/>
  <c r="G282" i="76"/>
  <c r="E285" i="76" s="1" a="1"/>
  <c r="E285" i="76" s="1"/>
  <c r="H8" i="13" s="1"/>
  <c r="E8" i="13"/>
  <c r="H15" i="13"/>
  <c r="I1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<sst xmlns="http://schemas.openxmlformats.org/spreadsheetml/2006/main" count="1735" uniqueCount="431">
  <si>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</si>
  <si>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</si>
  <si>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</si>
  <si>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</si>
  <si>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</si>
  <si>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</si>
  <si>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</si>
  <si>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</si>
  <si>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</si>
  <si>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</si>
  <si>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</si>
  <si>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</si>
  <si>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</si>
  <si>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</si>
  <si>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</si>
  <si>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</si>
  <si>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</si>
  <si>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</si>
  <si>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</si>
  <si>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</si>
  <si>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</si>
  <si>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</si>
  <si>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</si>
  <si>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</si>
  <si>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</si>
  <si>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</si>
  <si>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</si>
  <si>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</si>
  <si>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</si>
  <si>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</si>
  <si>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</si>
  <si>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</si>
  <si>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</si>
  <si>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</si>
  <si>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</si>
  <si>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</si>
  <si>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</si>
  <si>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</si>
  <si>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</si>
  <si>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</si>
  <si>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</si>
  <si>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</si>
  <si>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</si>
  <si>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</si>
  <si>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</si>
  <si>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</si>
  <si>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</si>
  <si>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</si>
  <si>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</si>
  <si>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</si>
  <si>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</si>
  <si>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</si>
  <si>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</si>
  <si>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</si>
  <si>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</si>
  <si>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</si>
  <si>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</si>
  <si>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</si>
  <si>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</si>
  <si>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</si>
  <si>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</si>
  <si>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</si>
  <si>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</si>
  <si>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</si>
  <si>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</si>
  <si>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</si>
  <si>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</si>
  <si>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</si>
  <si>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</si>
  <si>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</si>
  <si>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</si>
  <si>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</si>
  <si>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</si>
  <si>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</si>
  <si>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</si>
  <si>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</si>
  <si>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</si>
  <si>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</si>
  <si>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</si>
  <si>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</si>
  <si>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</si>
  <si>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</si>
  <si>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</si>
  <si>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</si>
  <si>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</si>
  <si>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</si>
  <si>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</si>
  <si>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</si>
  <si>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</si>
  <si>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</si>
  <si>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</si>
  <si>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</si>
  <si>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</si>
  <si>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</si>
  <si>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</si>
  <si>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</si>
  <si>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</si>
  <si>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</si>
  <si>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</si>
  <si>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</si>
  <si>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</si>
  <si>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</si>
  <si>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</si>
  <si>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</si>
  <si>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</si>
  <si>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</si>
  <si>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</si>
  <si>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</si>
  <si>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</si>
  <si>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</si>
  <si>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</si>
  <si>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</si>
  <si>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Sold as fertiliser</t>
  </si>
  <si>
    <t>Formula name</t>
  </si>
  <si>
    <t>Crude protein</t>
  </si>
  <si>
    <t>Source Data - Feedlot</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</si>
  <si>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</si>
  <si>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</si>
  <si>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</si>
  <si>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</si>
  <si>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</si>
  <si>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</si>
  <si>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</si>
  <si>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</si>
  <si>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</si>
  <si>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</si>
  <si>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</si>
  <si>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</si>
  <si>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</si>
  <si>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</si>
  <si>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</si>
  <si>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</si>
  <si>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</si>
  <si>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</si>
  <si>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</si>
  <si>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</si>
  <si>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</si>
  <si>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Deposited on farm soils as waste (Direct application MMS)</t>
  </si>
  <si>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</si>
  <si>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</si>
  <si>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</si>
  <si>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</si>
  <si>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</si>
  <si>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</si>
  <si>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t>Table_PF_sold</t>
  </si>
  <si>
    <t>Fraction of manure sold</t>
  </si>
  <si>
    <t>M1_Table_MNSoil_scope3_sold</t>
  </si>
  <si>
    <t>M2_Table_MNSoil_scope3_sold</t>
  </si>
  <si>
    <t>Mass of nitrogen applied as fertiliser on own farm</t>
  </si>
  <si>
    <t>Mass of nitrogen sold</t>
  </si>
  <si>
    <r>
      <t>MNSoil</t>
    </r>
    <r>
      <rPr>
        <b/>
        <vertAlign val="subscript"/>
        <sz val="16"/>
        <color theme="1" tint="0.24994659260841701"/>
        <rFont val="Times New Roman"/>
        <family val="1"/>
      </rPr>
      <t>scope3,sold</t>
    </r>
  </si>
  <si>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</si>
  <si>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</si>
  <si>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</si>
  <si>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</si>
  <si>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</si>
  <si>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</si>
  <si>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</si>
  <si>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</si>
  <si>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</si>
  <si>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</si>
  <si>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</si>
  <si>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</si>
  <si>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</si>
  <si>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</si>
  <si>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</si>
  <si>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</si>
  <si>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</si>
  <si>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</si>
  <si>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</si>
  <si>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</si>
  <si>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This feedlot</t>
  </si>
  <si>
    <t>Manure nitrogen sold</t>
  </si>
  <si>
    <t>Scope 3 (downstream)</t>
  </si>
  <si>
    <t>Crops or pasture that use manure as fertiliser</t>
  </si>
  <si>
    <t>Amount of N in manure</t>
  </si>
  <si>
    <t>N unit</t>
  </si>
  <si>
    <t>WARNING: Manure nitrogen that was applied to soils must be accounted for</t>
  </si>
  <si>
    <t>Manure nitrogen use</t>
  </si>
  <si>
    <t>Manure nitrogen deposited on farm soils as fertiliser for other farm enterpsies (eg crops)</t>
  </si>
  <si>
    <t>Manure nitrogen deposited on farm soils with no other purpose (aka waste)</t>
  </si>
  <si>
    <t>15.13.1.1 (1), 5.2.2.1 (1), 5.4.1.3 (1, 2), 5.5.1.1 (1, 3)</t>
  </si>
  <si>
    <t>5.2.2.1 (1), 5.4.1.3 (1, 2), 5.5.1.1 (1, 3)</t>
  </si>
  <si>
    <t>VEERG Calculation method</t>
  </si>
  <si>
    <t>See the table below for how to account for manure applied to soils for scope 1 and 3.</t>
  </si>
  <si>
    <t>N/A</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</si>
  <si>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</si>
  <si>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</si>
  <si>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</si>
  <si>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</si>
  <si>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</si>
  <si>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</si>
  <si>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</si>
  <si>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</si>
  <si>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</si>
  <si>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</si>
  <si>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</si>
  <si>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</si>
  <si>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</si>
  <si>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</si>
  <si>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</si>
  <si>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</si>
  <si>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</si>
  <si>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</si>
  <si>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</si>
  <si>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</si>
  <si>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</si>
  <si>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</si>
  <si>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</si>
  <si>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</si>
  <si>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</si>
  <si>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</si>
  <si>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</si>
  <si>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</si>
  <si>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</si>
  <si>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litres/head/day</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</si>
  <si>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</si>
  <si>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</si>
  <si>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</si>
  <si>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</si>
  <si>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</si>
  <si>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</si>
  <si>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</si>
  <si>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</si>
  <si>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</si>
  <si>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Total manure sent to MMS (Must equal 100%)  (Method 1)</t>
  </si>
  <si>
    <t>Total percent sent to solid storage (Method 1)</t>
  </si>
  <si>
    <t>Total percent sent to solid storage (Method 2)</t>
  </si>
  <si>
    <t>Total manure sent to MMS (Must equal 100%)  (Method 2)</t>
  </si>
  <si>
    <t>Post treatment destinations</t>
  </si>
  <si>
    <t>Production systems</t>
  </si>
  <si>
    <t>No</t>
  </si>
  <si>
    <t>System 3: Pasture-grazed 3-9 months/year</t>
  </si>
  <si>
    <t>Applied to farm soils as fertiliser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</si>
  <si>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</si>
  <si>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</si>
  <si>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</si>
  <si>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</si>
  <si>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</si>
  <si>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</si>
  <si>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</si>
  <si>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</si>
  <si>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</si>
  <si>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</si>
  <si>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</si>
  <si>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</si>
  <si>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</si>
  <si>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</si>
  <si>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</si>
  <si>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</si>
  <si>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</si>
  <si>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</si>
  <si>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</si>
  <si>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</si>
  <si>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</si>
  <si>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</si>
  <si>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</si>
  <si>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</si>
  <si>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</si>
  <si>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</si>
  <si>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</si>
  <si>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</si>
  <si>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</si>
  <si>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</si>
  <si>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</si>
  <si>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</si>
  <si>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</si>
  <si>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</si>
  <si>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</si>
  <si>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</si>
  <si>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</si>
  <si>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</si>
  <si>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</si>
  <si>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</si>
  <si>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</si>
  <si>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</si>
  <si>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</si>
  <si>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</si>
  <si>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</si>
  <si>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</si>
  <si>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</si>
  <si>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</si>
  <si>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</si>
  <si>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</si>
  <si>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</si>
  <si>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</si>
  <si>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T subscript is redundant?</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</si>
  <si>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</si>
  <si>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</si>
  <si>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</si>
  <si>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</si>
  <si>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</si>
  <si>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</si>
  <si>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</si>
  <si>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</si>
  <si>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</si>
  <si>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</si>
  <si>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</si>
  <si>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</si>
  <si>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</si>
  <si>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</si>
  <si>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</si>
  <si>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</si>
  <si>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</si>
  <si>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</si>
  <si>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</si>
  <si>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Equation 5 includes MMS subscripts, this should too</t>
  </si>
  <si>
    <t>Methane production from manure management (Method 1)</t>
  </si>
  <si>
    <t>4.3.1.1-2 Manure Methane</t>
  </si>
  <si>
    <t>4.3.1.3-4 Manure Direct N2O</t>
  </si>
  <si>
    <t>Make method 2 MCF table and use</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</si>
  <si>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</si>
  <si>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</si>
  <si>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</si>
  <si>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</si>
  <si>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</si>
  <si>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</si>
  <si>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</si>
  <si>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</si>
  <si>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</si>
  <si>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</si>
  <si>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</si>
  <si>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</si>
  <si>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</si>
  <si>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</si>
  <si>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</si>
  <si>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</si>
  <si>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</si>
  <si>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</si>
  <si>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</si>
  <si>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</si>
  <si>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</si>
  <si>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</si>
  <si>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</si>
  <si>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</si>
  <si>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</si>
  <si>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</si>
  <si>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</si>
  <si>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</si>
  <si>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</si>
  <si>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</si>
  <si>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</si>
  <si>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</si>
  <si>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</si>
  <si>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</si>
  <si>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</si>
  <si>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</si>
  <si>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</si>
  <si>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</si>
  <si>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</si>
  <si>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</si>
  <si>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</si>
  <si>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</si>
  <si>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</si>
  <si>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</si>
  <si>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</si>
  <si>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There is no method 2 in VEERG doc, but there are method 2 flow-ons from direct N2O</t>
  </si>
  <si>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</si>
  <si>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</si>
  <si>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</si>
  <si>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</si>
  <si>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</si>
  <si>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</si>
  <si>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</si>
  <si>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</si>
  <si>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</si>
  <si>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</si>
  <si>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</si>
  <si>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</si>
  <si>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</si>
  <si>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</si>
  <si>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Should have 1-13 subscript</t>
  </si>
  <si>
    <t>M1_Table_MN_leach_j_m-1-13</t>
  </si>
  <si>
    <t>M2_Table_MN_leach_j_m-1-13</t>
  </si>
  <si>
    <t>Mass of N lost to leaching and runoff from all MMS (Method 2)</t>
  </si>
  <si>
    <t>Mass of N lost to leaching and runoff from all MMS (Method 1)</t>
  </si>
  <si>
    <t>Guidance should reference MNLeach equation for MMS 1-13</t>
  </si>
  <si>
    <t>Table_PF_scope</t>
  </si>
  <si>
    <t>Fraction of manure applied to soils within farm boundary</t>
  </si>
  <si>
    <t>Needs subscripts 1-13</t>
  </si>
  <si>
    <t>M1_Table_MN_soil_scope1</t>
  </si>
  <si>
    <t>has 'scope' subscript in arguments definition but not equation</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</si>
  <si>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</si>
  <si>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</si>
  <si>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</si>
  <si>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</si>
  <si>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</si>
  <si>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</si>
  <si>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</si>
  <si>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</si>
  <si>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 Manure that is removed from MMS and used as fertiliser on the farm, for other enterprises (eg crops)</t>
  </si>
  <si>
    <t>* Manure that is removed from MMS that is sold</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</si>
  <si>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</si>
  <si>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</si>
  <si>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</si>
  <si>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</si>
  <si>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</si>
  <si>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</si>
  <si>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</si>
  <si>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</si>
  <si>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</si>
  <si>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</si>
  <si>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</si>
  <si>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</si>
  <si>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</si>
  <si>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</si>
  <si>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</si>
  <si>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</si>
  <si>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</si>
  <si>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</si>
  <si>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</si>
  <si>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</si>
  <si>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</si>
  <si>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</si>
  <si>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</si>
  <si>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</si>
  <si>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</si>
  <si>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</si>
  <si>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</si>
  <si>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</si>
  <si>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</si>
  <si>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t>equation in document has FracGASMm-1-13, should be m=1-13</t>
  </si>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</sst>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4" formatCode="0.0000%"/>
    <numFmt numFmtId="175" formatCode="0.000%"/>
    <numFmt numFmtId="176"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s>
  <fills count="15">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top/>
      <bottom/>
      <diagonal/>
    </border>
    <border>
      <left/>
      <right style="thin">
        <color theme="3" tint="0.749961851863155"/>
      </right>
      <top/>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5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0" fontId="46" fillId="13" borderId="0" xfId="41" applyBorder="1">
      <alignment horizontal="left" vertical="center"/>
    </xf>
    <xf numFmtId="0" fontId="46" fillId="13" borderId="9" xfId="41" applyBorder="1">
      <alignment horizontal="left" vertical="center"/>
    </xf>
    <xf numFmtId="0" fontId="46" fillId="13" borderId="20" xfId="41" applyBorder="1">
      <alignment horizontal="left" vertical="center"/>
    </xf>
    <xf numFmtId="0" fontId="46" fillId="13" borderId="21"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0" fillId="0" borderId="0" xfId="8" applyFont="1" applyFill="1" applyBorder="1">
      <alignment horizontal="left" vertical="center"/>
    </xf>
    <xf numFmtId="0" fontId="57" fillId="2" borderId="0" xfId="8" applyNumberFormat="1" applyFont="1" applyFill="1" applyBorder="1" applyAlignment="1">
      <alignment horizontal="left" vertical="center"/>
    </xf>
    <xf numFmtId="0" fontId="17" fillId="4" borderId="0" xfId="32" applyFill="1">
      <alignment vertical="center"/>
    </xf>
    <xf numFmtId="9" fontId="2" fillId="0" borderId="2" xfId="14" applyFont="1" applyBorder="1" applyAlignment="1">
      <alignment horizontal="center" vertical="center"/>
    </xf>
    <xf numFmtId="0" fontId="38" fillId="14" borderId="0" xfId="5" applyFill="1">
      <alignment horizontal="left" vertical="center"/>
    </xf>
    <xf numFmtId="174" fontId="40" fillId="4" borderId="0" xfId="8" applyNumberFormat="1">
      <alignment horizontal="left" vertical="center"/>
    </xf>
    <xf numFmtId="9" fontId="35" fillId="4" borderId="2" xfId="55" applyNumberFormat="1">
      <alignment horizontal="center" vertical="center"/>
    </xf>
    <xf numFmtId="174" fontId="35" fillId="4" borderId="2" xfId="55" applyNumberFormat="1">
      <alignment horizontal="center" vertical="center"/>
    </xf>
    <xf numFmtId="0" fontId="35" fillId="4" borderId="2" xfId="55" applyAlignment="1">
      <alignment horizontal="center" vertical="center"/>
    </xf>
    <xf numFmtId="175" fontId="35" fillId="4" borderId="2" xfId="55" applyNumberFormat="1">
      <alignment horizontal="center" vertical="center"/>
    </xf>
    <xf numFmtId="0" fontId="40" fillId="4" borderId="0" xfId="8" applyBorder="1">
      <alignment horizontal="left" vertical="center"/>
    </xf>
    <xf numFmtId="0" fontId="62" fillId="4" borderId="0" xfId="8" applyFont="1">
      <alignment horizontal="left" vertical="center"/>
    </xf>
    <xf numFmtId="0" fontId="63" fillId="4" borderId="0" xfId="8" applyFont="1">
      <alignment horizontal="left" vertical="center"/>
    </xf>
    <xf numFmtId="0" fontId="62" fillId="4" borderId="0" xfId="8" applyFont="1" applyFill="1">
      <alignment horizontal="left" vertical="center"/>
    </xf>
    <xf numFmtId="0" fontId="40" fillId="4" borderId="0" xfId="8" applyFill="1">
      <alignment horizontal="left" vertical="center"/>
    </xf>
    <xf numFmtId="176" fontId="40" fillId="4" borderId="0" xfId="8" applyNumberFormat="1">
      <alignment horizontal="left" vertical="center"/>
    </xf>
    <xf numFmtId="43" fontId="40" fillId="4" borderId="0" xfId="42" applyFont="1" applyFill="1" applyAlignment="1">
      <alignment horizontal="left" vertical="center"/>
    </xf>
    <xf numFmtId="0" fontId="35" fillId="14" borderId="2" xfId="55" applyFill="1" applyAlignment="1">
      <alignment horizontal="left" vertical="center"/>
    </xf>
    <xf numFmtId="0" fontId="35" fillId="4" borderId="19" xfId="55" applyBorder="1" applyAlignment="1">
      <alignment vertical="center"/>
    </xf>
    <xf numFmtId="0" fontId="40" fillId="4" borderId="1" xfId="8" applyFont="1" applyBorder="1">
      <alignment horizontal="left" vertical="center"/>
    </xf>
    <xf numFmtId="0" fontId="6" fillId="4" borderId="1" xfId="56" applyFont="1" applyBorder="1">
      <alignment horizontal="left" vertical="center"/>
    </xf>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9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Equation table" pivot="0" count="6" xr9:uid="{B247698E-E41D-4CCD-AA0A-C14817E9DE65}">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14287</xdr:colOff>
      <xdr:row>90</xdr:row>
      <xdr:rowOff>90487</xdr:rowOff>
    </xdr:from>
    <xdr:ext cx="2975751" cy="25333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55</xdr:row>
      <xdr:rowOff>52387</xdr:rowOff>
    </xdr:from>
    <xdr:ext cx="4845044" cy="234103"/>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29</xdr:row>
      <xdr:rowOff>42862</xdr:rowOff>
    </xdr:from>
    <xdr:ext cx="1461105" cy="370551"/>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14287</xdr:colOff>
      <xdr:row>109</xdr:row>
      <xdr:rowOff>128587</xdr:rowOff>
    </xdr:from>
    <xdr:ext cx="1834220" cy="182871"/>
    <mc:AlternateContent xmlns:mc="http://schemas.openxmlformats.org/markup-compatibility/2006">
      <mc:Choice xmlns:a14="http://schemas.microsoft.com/office/drawing/2010/main"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153</xdr:row>
      <xdr:rowOff>157162</xdr:rowOff>
    </xdr:from>
    <xdr:ext cx="3888692" cy="194990"/>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0" i="0">
                  <a:solidFill>
                    <a:srgbClr val="C44340"/>
                  </a:solidFill>
                  <a:latin typeface="Cambria Math" panose="02040503050406030204" pitchFamily="18" charset="0"/>
                </a:rPr>
                <a:t>Original equation:</a:t>
              </a:r>
              <a:r>
                <a:rPr lang="en-AU" sz="1100" b="0" i="0">
                  <a:latin typeface="Cambria Math" panose="02040503050406030204" pitchFamily="18" charset="0"/>
                </a:rPr>
                <a:t>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153</xdr:row>
      <xdr:rowOff>128587</xdr:rowOff>
    </xdr:from>
    <xdr:ext cx="5606791" cy="194990"/>
    <mc:AlternateContent xmlns:mc="http://schemas.openxmlformats.org/markup-compatibility/2006">
      <mc:Choice xmlns:a14="http://schemas.microsoft.com/office/drawing/2010/main"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179</xdr:row>
      <xdr:rowOff>157162</xdr:rowOff>
    </xdr:from>
    <xdr:ext cx="2591222" cy="182871"/>
    <mc:AlternateContent xmlns:mc="http://schemas.openxmlformats.org/markup-compatibility/2006">
      <mc:Choice xmlns:a14="http://schemas.microsoft.com/office/drawing/2010/main"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217</xdr:row>
      <xdr:rowOff>166687</xdr:rowOff>
    </xdr:from>
    <xdr:ext cx="7943200" cy="332079"/>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217</xdr:row>
      <xdr:rowOff>147637</xdr:rowOff>
    </xdr:from>
    <xdr:ext cx="8406468" cy="332079"/>
    <mc:AlternateContent xmlns:mc="http://schemas.openxmlformats.org/markup-compatibility/2006">
      <mc:Choice xmlns:a14="http://schemas.microsoft.com/office/drawing/2010/main"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𝐸〗_𝐶𝐻4=∑10_𝑗▒∑10_𝑚▒((𝑁_(𝑗=1,2,4)×𝑀_(𝑗=1,2,4,𝑚)×𝐷_(𝑗=1,2,4) )+(𝑁_(𝑗=3,5)×𝑀_(𝑗=3,5,𝑚)×𝐷_(𝑗=3,5) )+(𝑁_(𝑗=3,5)×𝑀𝑃𝑊_(𝑚𝑎𝑛𝑢𝑟𝑒,𝑗=3,5)×𝐷_(𝑗=3,5)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9525</xdr:colOff>
      <xdr:row>71</xdr:row>
      <xdr:rowOff>90487</xdr:rowOff>
    </xdr:from>
    <xdr:ext cx="7038402" cy="397288"/>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p>
          </xdr:txBody>
        </xdr:sp>
      </mc:Choice>
      <mc:Fallback>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𝑁𝑅_𝑗=((0.032×𝑀𝑃_𝑗×1.03)/6.38)+{(0.212−0.008×(𝐿_𝑗−2)−[(0.140−0.008×(𝐿_𝑗−2))/(1+𝑒^(−6×(𝑍_𝑗−0.4) ) )])×(𝐿𝑊𝐺_𝑗×0.92)}×1/6.25</a:t>
              </a:r>
            </a:p>
          </xdr:txBody>
        </xdr:sp>
      </mc:Fallback>
    </mc:AlternateContent>
    <xdr:clientData/>
  </xdr:oneCellAnchor>
  <xdr:oneCellAnchor>
    <xdr:from>
      <xdr:col>3</xdr:col>
      <xdr:colOff>85725</xdr:colOff>
      <xdr:row>102</xdr:row>
      <xdr:rowOff>147637</xdr:rowOff>
    </xdr:from>
    <xdr:ext cx="946413" cy="182871"/>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125</xdr:row>
      <xdr:rowOff>119062</xdr:rowOff>
    </xdr:from>
    <xdr:ext cx="2719847" cy="413768"/>
    <mc:AlternateContent xmlns:mc="http://schemas.openxmlformats.org/markup-compatibility/2006">
      <mc:Choice xmlns:a14="http://schemas.microsoft.com/office/drawing/2010/main"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146</xdr:row>
      <xdr:rowOff>119062</xdr:rowOff>
    </xdr:from>
    <xdr:ext cx="3283528" cy="182871"/>
    <mc:AlternateContent xmlns:mc="http://schemas.openxmlformats.org/markup-compatibility/2006">
      <mc:Choice xmlns:a14="http://schemas.microsoft.com/office/drawing/2010/main"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146</xdr:row>
      <xdr:rowOff>138112</xdr:rowOff>
    </xdr:from>
    <xdr:ext cx="2449453" cy="182871"/>
    <mc:AlternateContent xmlns:mc="http://schemas.openxmlformats.org/markup-compatibility/2006">
      <mc:Choice xmlns:a14="http://schemas.microsoft.com/office/drawing/2010/main"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176</xdr:row>
      <xdr:rowOff>128587</xdr:rowOff>
    </xdr:from>
    <xdr:ext cx="4867936" cy="194990"/>
    <mc:AlternateContent xmlns:mc="http://schemas.openxmlformats.org/markup-compatibility/2006">
      <mc:Choice xmlns:a14="http://schemas.microsoft.com/office/drawing/2010/main"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176</xdr:row>
      <xdr:rowOff>138112</xdr:rowOff>
    </xdr:from>
    <xdr:ext cx="4361129" cy="194990"/>
    <mc:AlternateContent xmlns:mc="http://schemas.openxmlformats.org/markup-compatibility/2006">
      <mc:Choice xmlns:a14="http://schemas.microsoft.com/office/drawing/2010/main"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212</xdr:row>
      <xdr:rowOff>118440</xdr:rowOff>
    </xdr:from>
    <xdr:ext cx="1405385" cy="182871"/>
    <mc:AlternateContent xmlns:mc="http://schemas.openxmlformats.org/markup-compatibility/2006">
      <mc:Choice xmlns:a14="http://schemas.microsoft.com/office/drawing/2010/main"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249</xdr:row>
      <xdr:rowOff>126723</xdr:rowOff>
    </xdr:from>
    <xdr:ext cx="3059363" cy="332079"/>
    <mc:AlternateContent xmlns:mc="http://schemas.openxmlformats.org/markup-compatibility/2006">
      <mc:Choice xmlns:a14="http://schemas.microsoft.com/office/drawing/2010/main"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p>
          </xdr:txBody>
        </xdr:sp>
      </mc:Choice>
      <mc:Fallback>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𝐸_(𝑁2𝑂,𝑑𝑖𝑟)=∑10_𝑗▒∑10_𝑚▒(𝑀𝑁_𝑗𝑚×𝐸𝐹_𝑚×𝐶_𝑁2𝑂×10^(−3) )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p>
          </xdr:txBody>
        </xdr:sp>
      </mc:Choice>
      <mc:Fallback>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295275</xdr:colOff>
      <xdr:row>48</xdr:row>
      <xdr:rowOff>93289</xdr:rowOff>
    </xdr:from>
    <xdr:ext cx="6020815"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p>
          </xdr:txBody>
        </xdr:sp>
      </mc:Choice>
      <mc:Fallback>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𝑀𝑁𝑆𝑜𝑖𝑙_𝑠𝑐𝑜𝑝𝑒1=∑10_𝑗▒∑10_𝑚▒(𝑀𝑁_(𝑗𝑚=1−13)×(1−𝐸𝐹_(𝑚=1−13)−𝐹𝑟𝑎𝑐𝐺𝐴𝑆𝑀_(𝑚=1−13) )−𝑀𝑁𝐿𝑒𝑎𝑐ℎ_𝑗𝑚 ) ×𝑃</a:t>
              </a:r>
              <a14:m xmlns:a14="http://schemas.microsoft.com/office/drawing/2010/main"/>
            </a:p>
          </xdr:txBody>
        </xdr:sp>
      </mc:Fallback>
    </mc:AlternateContent>
    <xdr:clientData/>
  </xdr:oneCellAnchor>
  <xdr:oneCellAnchor>
    <xdr:from>
      <xdr:col>3</xdr:col>
      <xdr:colOff>19050</xdr:colOff>
      <xdr:row>7</xdr:row>
      <xdr:rowOff>128587</xdr:rowOff>
    </xdr:from>
    <xdr:ext cx="3431965" cy="182871"/>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28D387F4-AB9D-4CF0-A1AB-CBF0155F7D7D}"/>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dr:sp macro="" textlink="">
          <xdr:nvSpPr>
            <xdr:cNvPr id="5" name="TextBox 4">
              <a:extLst>
                <a:ext uri="{FF2B5EF4-FFF2-40B4-BE49-F238E27FC236}">
                  <a16:creationId xmlns:a16="http://schemas.microsoft.com/office/drawing/2014/main" id="{28D387F4-AB9D-4CF0-A1AB-CBF0155F7D7D}"/>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13445</xdr:colOff>
      <xdr:row>108</xdr:row>
      <xdr:rowOff>108696</xdr:rowOff>
    </xdr:from>
    <xdr:ext cx="6384120" cy="33207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p>
          </xdr:txBody>
        </xdr:sp>
      </mc:Choice>
      <mc:Fallback>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𝑀𝑁𝑆𝑜𝑖𝑙_𝑠𝑐𝑜𝑝𝑒3=∑10_𝑗▒∑10_𝑚▒(𝑀𝑁_(𝑗𝑚=1−13)×(1−𝐸𝐹_(𝑚=1−13)−𝐹𝑟𝑎𝑐𝐺𝐴𝑆𝑀_(𝑚=1−13) )−𝑀𝑁𝐿𝑒𝑎𝑐ℎ_𝑗𝑚 ) ×(1−𝑃𝐹</a:t>
              </a:r>
              <a14:m xmlns:a14="http://schemas.microsoft.com/office/drawing/2010/main"/>
            </a:p>
          </xdr:txBody>
        </xdr:sp>
      </mc:Fallback>
    </mc:AlternateContent>
    <xdr:clientData/>
  </xdr:oneCellAnchor>
  <xdr:twoCellAnchor editAs="oneCell">
    <xdr:from>
      <xdr:col>6</xdr:col>
      <xdr:colOff>1983442</xdr:colOff>
      <xdr:row>110</xdr:row>
      <xdr:rowOff>44824</xdr:rowOff>
    </xdr:from>
    <xdr:to>
      <xdr:col>9</xdr:col>
      <xdr:colOff>1728210</xdr:colOff>
      <xdr:row>112</xdr:row>
      <xdr:rowOff>94766</xdr:rowOff>
    </xdr:to>
    <xdr:pic>
      <xdr:nvPicPr>
        <xdr:cNvPr id="9" name="Picture 8">
          <a:extLst>
            <a:ext uri="{FF2B5EF4-FFF2-40B4-BE49-F238E27FC236}">
              <a16:creationId xmlns:a16="http://schemas.microsoft.com/office/drawing/2014/main" id="{5C60F29D-4670-9430-0E3C-2B84B76E7BF1}"/>
            </a:ext>
          </a:extLst>
        </xdr:cNvPr>
        <xdr:cNvPicPr>
          <a:picLocks noChangeAspect="1"/>
        </xdr:cNvPicPr>
      </xdr:nvPicPr>
      <xdr:blipFill>
        <a:blip xmlns:r="http://schemas.openxmlformats.org/officeDocument/2006/relationships" r:embed="rId1"/>
        <a:stretch>
          <a:fillRect/>
        </a:stretch>
      </xdr:blipFill>
      <xdr:spPr>
        <a:xfrm>
          <a:off x="10813677" y="27297530"/>
          <a:ext cx="5896798" cy="543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p>
          </xdr:txBody>
        </xdr:sp>
      </mc:Choice>
      <mc:Fallback>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GAF2-Template-WIP-v30.xlsx" TargetMode="External"/><Relationship Id="rId1" Type="http://schemas.openxmlformats.org/officeDocument/2006/relationships/externalLinkPath" Target="GAF2-Template-WIP-v3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htdocs\zneagcrc\GAF-VEERG-Functions\Excel\4_1_ManureManagement_Feedlot_WIP_v04.xlsx" TargetMode="External"/><Relationship Id="rId1" Type="http://schemas.openxmlformats.org/officeDocument/2006/relationships/externalLinkPath" Target="4_1_ManureManagement_Feedlot_WIP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row r="7">
          <cell r="E7" t="str">
            <v>Milking cows</v>
          </cell>
          <cell r="F7" t="str">
            <v>Heifers &gt; 1 year</v>
          </cell>
          <cell r="G7" t="str">
            <v>Heifers &lt; 1 year</v>
          </cell>
          <cell r="H7" t="str">
            <v>Bulls &gt; 1 year</v>
          </cell>
          <cell r="I7" t="str">
            <v>Bulls &lt; 1 year</v>
          </cell>
        </row>
        <row r="8">
          <cell r="D8" t="str">
            <v>January 2024</v>
          </cell>
          <cell r="E8">
            <v>120</v>
          </cell>
          <cell r="F8">
            <v>75</v>
          </cell>
          <cell r="G8">
            <v>55</v>
          </cell>
          <cell r="H8">
            <v>3</v>
          </cell>
          <cell r="I8">
            <v>3</v>
          </cell>
        </row>
        <row r="9">
          <cell r="D9" t="str">
            <v>February 2024</v>
          </cell>
          <cell r="E9">
            <v>120</v>
          </cell>
          <cell r="F9">
            <v>75</v>
          </cell>
          <cell r="G9">
            <v>55</v>
          </cell>
          <cell r="H9">
            <v>3</v>
          </cell>
          <cell r="I9">
            <v>3</v>
          </cell>
        </row>
        <row r="10">
          <cell r="D10" t="str">
            <v>March 2024</v>
          </cell>
          <cell r="E10">
            <v>120</v>
          </cell>
          <cell r="F10">
            <v>75</v>
          </cell>
          <cell r="G10">
            <v>55</v>
          </cell>
          <cell r="H10">
            <v>3</v>
          </cell>
          <cell r="I10">
            <v>3</v>
          </cell>
        </row>
        <row r="11">
          <cell r="D11" t="str">
            <v>April 2024</v>
          </cell>
          <cell r="E11">
            <v>120</v>
          </cell>
          <cell r="F11">
            <v>75</v>
          </cell>
          <cell r="G11">
            <v>55</v>
          </cell>
          <cell r="H11">
            <v>3</v>
          </cell>
          <cell r="I11">
            <v>3</v>
          </cell>
        </row>
        <row r="12">
          <cell r="D12" t="str">
            <v>May 2024</v>
          </cell>
          <cell r="E12">
            <v>120</v>
          </cell>
          <cell r="F12">
            <v>75</v>
          </cell>
          <cell r="G12">
            <v>55</v>
          </cell>
          <cell r="H12">
            <v>3</v>
          </cell>
          <cell r="I12">
            <v>3</v>
          </cell>
        </row>
        <row r="13">
          <cell r="D13" t="str">
            <v>June 2024</v>
          </cell>
          <cell r="E13">
            <v>120</v>
          </cell>
          <cell r="F13">
            <v>75</v>
          </cell>
          <cell r="G13">
            <v>55</v>
          </cell>
          <cell r="H13">
            <v>3</v>
          </cell>
          <cell r="I13">
            <v>3</v>
          </cell>
        </row>
        <row r="14">
          <cell r="D14" t="str">
            <v>July 2024</v>
          </cell>
          <cell r="E14">
            <v>120</v>
          </cell>
          <cell r="F14">
            <v>75</v>
          </cell>
          <cell r="G14">
            <v>55</v>
          </cell>
          <cell r="H14">
            <v>3</v>
          </cell>
          <cell r="I14">
            <v>3</v>
          </cell>
        </row>
        <row r="15">
          <cell r="D15" t="str">
            <v>August 2024</v>
          </cell>
          <cell r="E15">
            <v>120</v>
          </cell>
          <cell r="F15">
            <v>75</v>
          </cell>
          <cell r="G15">
            <v>55</v>
          </cell>
          <cell r="H15">
            <v>3</v>
          </cell>
          <cell r="I15">
            <v>3</v>
          </cell>
        </row>
        <row r="16">
          <cell r="D16" t="str">
            <v>September 2024</v>
          </cell>
          <cell r="E16">
            <v>120</v>
          </cell>
          <cell r="F16">
            <v>103</v>
          </cell>
          <cell r="G16">
            <v>57.5</v>
          </cell>
          <cell r="H16">
            <v>4.5</v>
          </cell>
          <cell r="I16">
            <v>31.5</v>
          </cell>
        </row>
        <row r="17">
          <cell r="D17" t="str">
            <v>October 2024</v>
          </cell>
          <cell r="E17">
            <v>120</v>
          </cell>
          <cell r="F17">
            <v>130</v>
          </cell>
          <cell r="G17">
            <v>60</v>
          </cell>
          <cell r="H17">
            <v>8</v>
          </cell>
          <cell r="I17">
            <v>60</v>
          </cell>
        </row>
        <row r="18">
          <cell r="D18" t="str">
            <v>November 2024</v>
          </cell>
          <cell r="E18">
            <v>120</v>
          </cell>
          <cell r="F18">
            <v>130</v>
          </cell>
          <cell r="G18">
            <v>60</v>
          </cell>
          <cell r="H18">
            <v>6</v>
          </cell>
          <cell r="I18">
            <v>32.5</v>
          </cell>
        </row>
        <row r="19">
          <cell r="D19" t="str">
            <v>December 2024</v>
          </cell>
          <cell r="E19">
            <v>120</v>
          </cell>
          <cell r="F19">
            <v>130</v>
          </cell>
          <cell r="G19">
            <v>60</v>
          </cell>
          <cell r="H19">
            <v>6</v>
          </cell>
          <cell r="I19">
            <v>5</v>
          </cell>
        </row>
        <row r="24">
          <cell r="E24" t="str">
            <v>Milking cows</v>
          </cell>
          <cell r="F24" t="str">
            <v>Heifers &gt; 1 year</v>
          </cell>
          <cell r="G24" t="str">
            <v>Heifers &lt; 1 year</v>
          </cell>
          <cell r="H24" t="str">
            <v>Bulls &gt; 1 year</v>
          </cell>
          <cell r="I24" t="str">
            <v>Bulls &lt; 1 year</v>
          </cell>
        </row>
        <row r="25">
          <cell r="D25" t="str">
            <v>January 2024</v>
          </cell>
          <cell r="E25">
            <v>510</v>
          </cell>
          <cell r="F25">
            <v>452.16999999999996</v>
          </cell>
          <cell r="G25">
            <v>215.52054794520546</v>
          </cell>
          <cell r="H25">
            <v>500.21232876712327</v>
          </cell>
          <cell r="I25">
            <v>215.94520547945206</v>
          </cell>
        </row>
        <row r="26">
          <cell r="D26" t="str">
            <v>February 2024</v>
          </cell>
          <cell r="E26">
            <v>510</v>
          </cell>
          <cell r="F26">
            <v>456.37</v>
          </cell>
          <cell r="G26">
            <v>226.20547945205479</v>
          </cell>
          <cell r="H26">
            <v>500.6232876712329</v>
          </cell>
          <cell r="I26">
            <v>227.45205479452056</v>
          </cell>
        </row>
        <row r="27">
          <cell r="D27" t="str">
            <v>March 2024</v>
          </cell>
          <cell r="E27">
            <v>510</v>
          </cell>
          <cell r="F27">
            <v>460.56999999999994</v>
          </cell>
          <cell r="G27">
            <v>236.89041095890411</v>
          </cell>
          <cell r="H27">
            <v>501.03424657534254</v>
          </cell>
          <cell r="I27">
            <v>238.95890410958904</v>
          </cell>
        </row>
        <row r="28">
          <cell r="D28" t="str">
            <v>April 2024</v>
          </cell>
          <cell r="E28">
            <v>510</v>
          </cell>
          <cell r="F28">
            <v>464.83999999999992</v>
          </cell>
          <cell r="G28">
            <v>247.75342465753425</v>
          </cell>
          <cell r="H28">
            <v>501.45205479452056</v>
          </cell>
          <cell r="I28">
            <v>250.65753424657532</v>
          </cell>
        </row>
        <row r="29">
          <cell r="D29" t="str">
            <v>May 2024</v>
          </cell>
          <cell r="E29">
            <v>510</v>
          </cell>
          <cell r="F29">
            <v>469.1099999999999</v>
          </cell>
          <cell r="G29">
            <v>258.61643835616439</v>
          </cell>
          <cell r="H29">
            <v>501.8698630136987</v>
          </cell>
          <cell r="I29">
            <v>262.35616438356163</v>
          </cell>
        </row>
        <row r="30">
          <cell r="D30" t="str">
            <v>June 2024</v>
          </cell>
          <cell r="E30">
            <v>510</v>
          </cell>
          <cell r="F30">
            <v>473.37999999999988</v>
          </cell>
          <cell r="G30">
            <v>269.47945205479448</v>
          </cell>
          <cell r="H30">
            <v>502.28767123287673</v>
          </cell>
          <cell r="I30">
            <v>274.05479452054794</v>
          </cell>
        </row>
        <row r="31">
          <cell r="D31" t="str">
            <v>July 2024</v>
          </cell>
          <cell r="E31">
            <v>510</v>
          </cell>
          <cell r="F31">
            <v>477.64999999999986</v>
          </cell>
          <cell r="G31">
            <v>280.34246575342462</v>
          </cell>
          <cell r="H31">
            <v>502.70547945205487</v>
          </cell>
          <cell r="I31">
            <v>285.75342465753425</v>
          </cell>
        </row>
        <row r="32">
          <cell r="D32" t="str">
            <v>August 2024</v>
          </cell>
          <cell r="E32">
            <v>510</v>
          </cell>
          <cell r="F32">
            <v>481.9899999999999</v>
          </cell>
          <cell r="G32">
            <v>291.38356164383555</v>
          </cell>
          <cell r="H32">
            <v>503.13013698630141</v>
          </cell>
          <cell r="I32">
            <v>297.64383561643837</v>
          </cell>
        </row>
        <row r="33">
          <cell r="D33" t="str">
            <v>September 2024</v>
          </cell>
          <cell r="E33">
            <v>510</v>
          </cell>
          <cell r="F33">
            <v>455.29076923076911</v>
          </cell>
          <cell r="G33">
            <v>201.945205479452</v>
          </cell>
          <cell r="H33">
            <v>465.15753424657544</v>
          </cell>
          <cell r="I33">
            <v>205.47945205479454</v>
          </cell>
        </row>
        <row r="34">
          <cell r="D34" t="str">
            <v>October 2024</v>
          </cell>
          <cell r="E34">
            <v>510</v>
          </cell>
          <cell r="F34">
            <v>428.59153846153833</v>
          </cell>
          <cell r="G34">
            <v>112.50684931506849</v>
          </cell>
          <cell r="H34">
            <v>427.18493150684935</v>
          </cell>
          <cell r="I34">
            <v>113.31506849315069</v>
          </cell>
        </row>
        <row r="35">
          <cell r="D35" t="str">
            <v>November 2024</v>
          </cell>
          <cell r="E35">
            <v>510</v>
          </cell>
          <cell r="F35">
            <v>432.86153846153832</v>
          </cell>
          <cell r="G35">
            <v>123.36986301369863</v>
          </cell>
          <cell r="H35">
            <v>427.60273972602749</v>
          </cell>
          <cell r="I35">
            <v>125.01369863013699</v>
          </cell>
        </row>
        <row r="36">
          <cell r="D36" t="str">
            <v>December 2024</v>
          </cell>
          <cell r="E36">
            <v>510</v>
          </cell>
          <cell r="F36">
            <v>437.1315384615383</v>
          </cell>
          <cell r="G36">
            <v>134.23287671232879</v>
          </cell>
          <cell r="H36">
            <v>428.02054794520552</v>
          </cell>
          <cell r="I36">
            <v>136.7123287671233</v>
          </cell>
        </row>
        <row r="41">
          <cell r="E41" t="str">
            <v>Milking cows</v>
          </cell>
          <cell r="F41" t="str">
            <v>Heifers &gt; 1 year</v>
          </cell>
          <cell r="G41" t="str">
            <v>Heifers &lt; 1 year</v>
          </cell>
          <cell r="H41" t="str">
            <v>Bulls &gt; 1 year</v>
          </cell>
          <cell r="I41" t="str">
            <v>Bulls &lt; 1 year</v>
          </cell>
        </row>
        <row r="42">
          <cell r="D42" t="str">
            <v>January 2024</v>
          </cell>
          <cell r="E42">
            <v>0</v>
          </cell>
          <cell r="F42">
            <v>0.14000000000000001</v>
          </cell>
          <cell r="G42">
            <v>0.35616438356164382</v>
          </cell>
          <cell r="H42">
            <v>1.3698630136986301E-2</v>
          </cell>
          <cell r="I42">
            <v>0.38356164383561642</v>
          </cell>
        </row>
        <row r="43">
          <cell r="D43" t="str">
            <v>February 2024</v>
          </cell>
          <cell r="E43">
            <v>0</v>
          </cell>
          <cell r="F43">
            <v>0.14000000000000001</v>
          </cell>
          <cell r="G43">
            <v>0.35616438356164382</v>
          </cell>
          <cell r="H43">
            <v>1.3698630136986301E-2</v>
          </cell>
          <cell r="I43">
            <v>0.38356164383561642</v>
          </cell>
        </row>
        <row r="44">
          <cell r="D44" t="str">
            <v>March 2024</v>
          </cell>
          <cell r="E44">
            <v>0</v>
          </cell>
          <cell r="F44">
            <v>0.14000000000000001</v>
          </cell>
          <cell r="G44">
            <v>0.35616438356164382</v>
          </cell>
          <cell r="H44">
            <v>1.3698630136986301E-2</v>
          </cell>
          <cell r="I44">
            <v>0.38356164383561642</v>
          </cell>
        </row>
        <row r="45">
          <cell r="D45" t="str">
            <v>April 2024</v>
          </cell>
          <cell r="E45">
            <v>0</v>
          </cell>
          <cell r="F45">
            <v>0.14000000000000001</v>
          </cell>
          <cell r="G45">
            <v>0.35616438356164382</v>
          </cell>
          <cell r="H45">
            <v>1.3698630136986301E-2</v>
          </cell>
          <cell r="I45">
            <v>0.38356164383561642</v>
          </cell>
        </row>
        <row r="46">
          <cell r="D46" t="str">
            <v>May 2024</v>
          </cell>
          <cell r="E46">
            <v>0</v>
          </cell>
          <cell r="F46">
            <v>0.14000000000000001</v>
          </cell>
          <cell r="G46">
            <v>0.35616438356164382</v>
          </cell>
          <cell r="H46">
            <v>1.3698630136986301E-2</v>
          </cell>
          <cell r="I46">
            <v>0.38356164383561642</v>
          </cell>
        </row>
        <row r="47">
          <cell r="D47" t="str">
            <v>June 2024</v>
          </cell>
          <cell r="E47">
            <v>0</v>
          </cell>
          <cell r="F47">
            <v>0.14000000000000001</v>
          </cell>
          <cell r="G47">
            <v>0.35616438356164382</v>
          </cell>
          <cell r="H47">
            <v>1.3698630136986301E-2</v>
          </cell>
          <cell r="I47">
            <v>0.38356164383561642</v>
          </cell>
        </row>
        <row r="48">
          <cell r="D48" t="str">
            <v>July 2024</v>
          </cell>
          <cell r="E48">
            <v>0</v>
          </cell>
          <cell r="F48">
            <v>0.14000000000000001</v>
          </cell>
          <cell r="G48">
            <v>0.35616438356164382</v>
          </cell>
          <cell r="H48">
            <v>1.3698630136986301E-2</v>
          </cell>
          <cell r="I48">
            <v>0.38356164383561642</v>
          </cell>
        </row>
        <row r="49">
          <cell r="D49" t="str">
            <v>August 2024</v>
          </cell>
          <cell r="E49">
            <v>0</v>
          </cell>
          <cell r="F49">
            <v>0.14000000000000001</v>
          </cell>
          <cell r="G49">
            <v>0.35616438356164382</v>
          </cell>
          <cell r="H49">
            <v>1.3698630136986301E-2</v>
          </cell>
          <cell r="I49">
            <v>0.38356164383561642</v>
          </cell>
        </row>
        <row r="50">
          <cell r="D50" t="str">
            <v>September 2024</v>
          </cell>
          <cell r="E50">
            <v>0</v>
          </cell>
          <cell r="F50">
            <v>0.14000000000000001</v>
          </cell>
          <cell r="G50">
            <v>0.35616438356164382</v>
          </cell>
          <cell r="H50">
            <v>1.3698630136986301E-2</v>
          </cell>
          <cell r="I50">
            <v>0.38356164383561642</v>
          </cell>
        </row>
        <row r="51">
          <cell r="D51" t="str">
            <v>October 2024</v>
          </cell>
          <cell r="E51">
            <v>0</v>
          </cell>
          <cell r="F51">
            <v>0.14000000000000001</v>
          </cell>
          <cell r="G51">
            <v>0.35616438356164382</v>
          </cell>
          <cell r="H51">
            <v>1.3698630136986301E-2</v>
          </cell>
          <cell r="I51">
            <v>0.38356164383561642</v>
          </cell>
        </row>
        <row r="52">
          <cell r="D52" t="str">
            <v>November 2024</v>
          </cell>
          <cell r="E52">
            <v>0</v>
          </cell>
          <cell r="F52">
            <v>0.14000000000000001</v>
          </cell>
          <cell r="G52">
            <v>0.35616438356164382</v>
          </cell>
          <cell r="H52">
            <v>1.3698630136986301E-2</v>
          </cell>
          <cell r="I52">
            <v>0.38356164383561642</v>
          </cell>
        </row>
        <row r="53">
          <cell r="D53" t="str">
            <v>December 2024</v>
          </cell>
          <cell r="E53">
            <v>0</v>
          </cell>
          <cell r="F53">
            <v>0.14000000000000001</v>
          </cell>
          <cell r="G53">
            <v>0.35616438356164382</v>
          </cell>
          <cell r="H53">
            <v>1.3698630136986301E-2</v>
          </cell>
          <cell r="I53">
            <v>0.38356164383561642</v>
          </cell>
        </row>
        <row r="58">
          <cell r="E58" t="str">
            <v>Milking cows</v>
          </cell>
        </row>
        <row r="59">
          <cell r="D59" t="str">
            <v>January 2024</v>
          </cell>
          <cell r="E59">
            <v>0</v>
          </cell>
        </row>
        <row r="60">
          <cell r="D60" t="str">
            <v>February 2024</v>
          </cell>
          <cell r="E60">
            <v>0</v>
          </cell>
        </row>
        <row r="61">
          <cell r="D61" t="str">
            <v>March 2024</v>
          </cell>
          <cell r="E61">
            <v>0</v>
          </cell>
        </row>
        <row r="62">
          <cell r="D62" t="str">
            <v>April 2024</v>
          </cell>
          <cell r="E62">
            <v>0</v>
          </cell>
        </row>
        <row r="63">
          <cell r="D63" t="str">
            <v>May 2024</v>
          </cell>
          <cell r="E63">
            <v>0</v>
          </cell>
        </row>
        <row r="64">
          <cell r="D64" t="str">
            <v>June 2024</v>
          </cell>
          <cell r="E64">
            <v>0</v>
          </cell>
        </row>
        <row r="65">
          <cell r="D65" t="str">
            <v>July 2024</v>
          </cell>
          <cell r="E65">
            <v>0</v>
          </cell>
        </row>
        <row r="66">
          <cell r="D66" t="str">
            <v>August 2024</v>
          </cell>
          <cell r="E66">
            <v>0</v>
          </cell>
        </row>
        <row r="67">
          <cell r="D67" t="str">
            <v>September 2024</v>
          </cell>
          <cell r="E67">
            <v>1</v>
          </cell>
        </row>
        <row r="68">
          <cell r="D68" t="str">
            <v>October 2024</v>
          </cell>
          <cell r="E68">
            <v>0</v>
          </cell>
        </row>
        <row r="69">
          <cell r="D69" t="str">
            <v>November 2024</v>
          </cell>
          <cell r="E69">
            <v>0</v>
          </cell>
        </row>
        <row r="70">
          <cell r="D70" t="str">
            <v>December 2024</v>
          </cell>
          <cell r="E70">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Feedlot"/>
      <sheetName val="4.1.1.1-2 Methane"/>
      <sheetName val="4.1.1.3-4 Direct N20"/>
      <sheetName val="4.1.1.5-6 Atmos Deposition"/>
      <sheetName val="4.1.1.9 Manure applied to soils"/>
      <sheetName val="Constants - Feedlot"/>
      <sheetName val="Constants - Common"/>
      <sheetName val="Constants - Livestock"/>
      <sheetName val="Acknowledgements"/>
      <sheetName val="Tab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32"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6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6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6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6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6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6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6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6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5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54"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5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5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5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5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5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5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5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4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4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4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4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37"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4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4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38"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43"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2"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3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34"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3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36"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35"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D1D9596-4A7C-4460-A4E2-1688577D944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B8BAC5D1-23E3-4DB2-8231-02AE565241F4}" name="State/Territory">
      <calculatedColumnFormula array="1">Common_InputFunctions.Utility_DisplayArrayInTable(Common_SourceData.Common_SourceData_AustralianStatesTerritories_Data(),Table_AustralianStates[[#Headers],[State/Territory]],0)</calculatedColumnFormula>
    </tableColumn>
    <tableColumn id="2" xr3:uid="{7CAD7769-A700-4ED9-89D7-A6EC0CE835AA}" name="Common Name">
      <calculatedColumnFormula array="1">Common_InputFunctions.Utility_DisplayArrayInTable(Common_SourceData.Common_SourceData_AustralianStatesTerritories_Data(),Table_AustralianStates[[#Headers],[State/Territory]],0)</calculatedColumnFormula>
    </tableColumn>
    <tableColumn id="3" xr3:uid="{75245601-8082-46DE-9750-76309BBC867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939D8F-475E-42A2-B10E-5709CBC115DE}" name="Table_WASA4Areas" displayName="Table_WASA4Areas" ref="D20:D30" totalsRowShown="0">
  <autoFilter ref="D20:D30" xr:uid="{5FA81339-C6C8-4D36-BEEA-6C4AEDD9E676}">
    <filterColumn colId="0" hiddenButton="1"/>
  </autoFilter>
  <tableColumns count="1">
    <tableColumn id="1" xr3:uid="{990D7C09-F4E7-401D-8508-814A4472E75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B4A3EE-7803-4DC5-B74C-A649206C36F0}" name="Table_GWPData" displayName="Table_GWPData" ref="D36:E43" totalsRowShown="0">
  <autoFilter ref="D36:E43" xr:uid="{B8E87A66-3E41-4AD3-925D-01EE21B43D7A}">
    <filterColumn colId="0" hiddenButton="1"/>
    <filterColumn colId="1" hiddenButton="1"/>
  </autoFilter>
  <tableColumns count="2">
    <tableColumn id="1" xr3:uid="{877405C9-449F-4281-8E55-7000A79F03DC}" name="Gas">
      <calculatedColumnFormula array="1">Common_InputFunctions.Utility_DisplayArrayInTable(Common_SourceData.Common_SourceData_GWP_Data(), Table_GWPData[[#Headers],[Gas]], 0)</calculatedColumnFormula>
    </tableColumn>
    <tableColumn id="2" xr3:uid="{2282FF16-6D22-4CED-9CF9-CA4FE3B5B66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AFE892B-D8EA-4AC3-B1C7-B633CA716EB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BEEB08C-2BF5-40FA-AB44-3DF21389038B}" name="Gas">
      <calculatedColumnFormula array="1">Common_InputFunctions.Utility_DisplayArrayInTable(Common_SourceData.Common_SourceData_ConvertGasElementalToMolecular_Data(),Table_GasToMolecularConversionFactor[[#Headers],[Gas]], 0)</calculatedColumnFormula>
    </tableColumn>
    <tableColumn id="5" xr3:uid="{0D7F477B-380A-4884-AB7F-3C338F71878C}" name="Conversion factor">
      <calculatedColumnFormula array="1">Common_InputFunctions.Utility_DisplayArrayInTable(Common_SourceData.Common_SourceData_ConvertGasElementalToMolecular_Data(),Table_GasToMolecularConversionFactor[[#Headers],[Gas]], 0)</calculatedColumnFormula>
    </tableColumn>
    <tableColumn id="2" xr3:uid="{F390ECDF-7FCD-4F38-8419-96F2A2FA089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57CCC2A-D1AB-4A5B-ACA6-AAFCD2BFF5E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FE507D-935A-4704-9DCB-E4A740E3017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466D456-A36F-49B2-95BF-C04AF73063B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9672771-6091-4FA5-86EA-395E240FF5D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E0CB869-00AE-4755-8478-34C0A24DACCC}" name="MA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3" xr3:uid="{EEBB7F36-38AB-43CA-89EE-CBF9D2B12C70}" name="MAP" totalsRowDxfId="84" totalsRowCellStyle="Content bold">
      <calculatedColumnFormula array="1">Common_InputFunctions.Utility_DisplayArrayInTable(Common_SourceData.Common_SourceData_ClimateZones_Data(), Table_SourceData_ClimateZones[[#Headers],[Climate zone]], 0)</calculatedColumnFormula>
    </tableColumn>
    <tableColumn id="4" xr3:uid="{3010F3BA-675E-4D83-9AAD-FBE9EC6F9CF0}" name="Frost days per year" totalsRowDxfId="83" totalsRowCellStyle="Content bold">
      <calculatedColumnFormula array="1">Common_InputFunctions.Utility_DisplayArrayInTable(Common_SourceData.Common_SourceData_ClimateZones_Data(), Table_SourceData_ClimateZones[[#Headers],[Climate zone]], 0)</calculatedColumnFormula>
    </tableColumn>
    <tableColumn id="5" xr3:uid="{3F1B2FE9-64D5-41E9-9332-E943400478C4}" name="Elevation"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6" xr3:uid="{C4BB9839-93FF-42DA-A517-F34E10C70484}" name="MAP:PET"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7" xr3:uid="{A01F6B36-D801-484C-A91E-3EFD0F4A77C0}" name="Min temp"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8" xr3:uid="{033C9484-1852-4D2B-88A9-02D24D40BB22}" name="Max tem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9" xr3:uid="{C54AFCDF-470B-41E8-8CB5-A1938A000F27}" name="Min rainfall"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10" xr3:uid="{E235B24A-0205-4131-BBC7-FD5B69336BB5}" name="Max rainfall"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11" xr3:uid="{2236A619-E104-4738-8E09-41B8930DF78A}" name="Min frost days"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15" xr3:uid="{85D18FF3-E59D-404A-A2E0-032D9A5E0B84}" name="Max frost days"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12" xr3:uid="{82A7ECE5-EF70-4355-AA39-B204B086F753}" name="Min elevation"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6" xr3:uid="{D75C68D2-6308-4B32-BFEC-DFF390DB8E53}" name="Max elevation"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3" xr3:uid="{36486A17-D0A0-48BD-A954-F404E9596B7F}" name="Min MAP:PET"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7" xr3:uid="{99A2031C-68A9-4CB7-9470-3CF073E8938E}" name="Max MAP:PET" totalsRowDxfId="7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95AB78-06E7-4C32-AD35-CD50562C88D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BBF6521-99F9-49EC-9C13-C6835493D24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DDE2867-2EF4-48CD-8D28-92B0EFFA35E5}" name="Wet or Dry Zone" totalsRowDxfId="7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5D7090B-AAEA-4808-BC5D-086CCF4BBAE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AAE3F64-7F01-4FED-AE2A-4CC0A0AFC425}" name="Temperature Zone">
      <calculatedColumnFormula array="1">Common_InputFunctions.Utility_DisplayArrayInTable(Common_SourceData.Common_SourceData_TemperatureZones_Data(),Table_SourceData_TemperatureZones[[#Headers],[Temperature Zone]],0)</calculatedColumnFormula>
    </tableColumn>
    <tableColumn id="2" xr3:uid="{AEA33916-A881-48B9-9513-C775740C2271}" name="MAT">
      <calculatedColumnFormula array="1">Common_InputFunctions.Utility_DisplayArrayInTable(Common_SourceData.Common_SourceData_TemperatureZones_Data(),Table_SourceData_TemperatureZones[[#Headers],[Temperature Zone]],0)</calculatedColumnFormula>
    </tableColumn>
    <tableColumn id="3" xr3:uid="{46A7C8CC-F651-4E5A-8816-00DC7155E41F}" name="Min MAT">
      <calculatedColumnFormula array="1">Common_InputFunctions.Utility_DisplayArrayInTable(Common_SourceData.Common_SourceData_TemperatureZones_Data(),Table_SourceData_TemperatureZones[[#Headers],[Temperature Zone]],0)</calculatedColumnFormula>
    </tableColumn>
    <tableColumn id="4" xr3:uid="{94E1B2C5-8CA3-4911-9490-BDB7B5E410D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FBCB2EB-CB69-4536-B093-D2999F8975C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D0F9C16-1557-47D4-A2E0-F011F3665C9A}" name="Rainfall Zone">
      <calculatedColumnFormula array="1">Common_InputFunctions.Utility_DisplayArrayInTable(Common_SourceData.Common_SourceData_RainfallZones_Data(),Table_SourceData_RainfallZones[[#Headers],[Rainfall Zone]],0)</calculatedColumnFormula>
    </tableColumn>
    <tableColumn id="2" xr3:uid="{DEE86EB2-7147-48E0-99E2-B80F395D5907}" name="Annual rainfall">
      <calculatedColumnFormula array="1">Common_InputFunctions.Utility_DisplayArrayInTable(Common_SourceData.Common_SourceData_RainfallZones_Data(),Table_SourceData_RainfallZones[[#Headers],[Rainfall Zone]],0)</calculatedColumnFormula>
    </tableColumn>
    <tableColumn id="3" xr3:uid="{792F58AE-8E56-4C6B-A91C-FD6F4909C46B}" name="Min rainfall">
      <calculatedColumnFormula array="1">Common_InputFunctions.Utility_DisplayArrayInTable(Common_SourceData.Common_SourceData_RainfallZones_Data(),Table_SourceData_RainfallZones[[#Headers],[Rainfall Zone]],0)</calculatedColumnFormula>
    </tableColumn>
    <tableColumn id="4" xr3:uid="{CF837850-D32D-4DE9-AF76-D2BCB4CBC5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F44C9C9-843A-4986-9A15-FCC4C7226F0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2ACC7FC-E427-49E6-A389-0791A8DCD704}" name="Leaching Zone">
      <calculatedColumnFormula array="1">Common_InputFunctions.Utility_DisplayArrayInTable(Common_SourceData.Common_SourceData_LeachingZones_Data(), Table_SourceData_LeachingZones[[#Headers],[Leaching Zone]], 0)</calculatedColumnFormula>
    </tableColumn>
    <tableColumn id="2" xr3:uid="{3A3F842A-200A-4D57-B914-198436D6BAC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90FA315-08A3-4F5F-8258-83CA4D06C97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1B4DCCC-63F9-4DE8-A00A-E63F34A4D1A6}" name="Data source">
      <calculatedColumnFormula array="1">Common_InputFunctions.Utility_DisplayArrayInTable(Common_SourceData.Common_SourceData_DataScores_Scope3_Data(), Table_SourceData_DataScores_Scope3[[#Headers],[Data source]], 0)</calculatedColumnFormula>
    </tableColumn>
    <tableColumn id="2" xr3:uid="{D68051CE-5DD8-42C0-84E4-5AA8F823F65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4AC07FE-F7F3-41D7-B120-CF3992BE87B8}" name="Table_SourceData_FracWET" displayName="Table_SourceData_FracWET" ref="D134:E136" totalsRowShown="0">
  <autoFilter ref="D134:E136" xr:uid="{308E99BE-FE1F-47A4-B2CA-97217277C4E9}">
    <filterColumn colId="0" hiddenButton="1"/>
    <filterColumn colId="1" hiddenButton="1"/>
  </autoFilter>
  <tableColumns count="2">
    <tableColumn id="1" xr3:uid="{7CC796C2-63D2-47F7-9053-D908618080F5}" name="Is in leaching zone">
      <calculatedColumnFormula array="1">Common_InputFunctions.Utility_DisplayArrayInTable(Common_SourceData.Common_SourceData_FracWET_Data(),Table_SourceData_FracWET[[#Headers],[Is in leaching zone]],0)</calculatedColumnFormula>
    </tableColumn>
    <tableColumn id="2" xr3:uid="{DAA00D67-052D-437D-8304-FCF408B01074}" name="FracWET" dataDxfId="6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C0C0055-156C-4515-918D-A7318F9FFE4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60F504-EC73-483B-8A81-F1C43606FEEA}" name="Production system j">
      <calculatedColumnFormula array="1">Common_InputFunctions.Utility_DisplayArrayInTable(Common_SourceData.Common_SourceData_EFN2O_Data(), Table_SourceData_Common_EFN2O[[#Headers],[Production system j]], 0)</calculatedColumnFormula>
    </tableColumn>
    <tableColumn id="2" xr3:uid="{574B37D8-1169-4165-A77A-24E1AAFF4980}" name="EFN2O">
      <calculatedColumnFormula array="1">Common_InputFunctions.Utility_DisplayArrayInTable(Common_SourceData.Common_SourceData_EFN2O_Data(), Table_SourceData_Common_EFN2O[[#Headers],[Production system j]], 0)</calculatedColumnFormula>
    </tableColumn>
    <tableColumn id="3" xr3:uid="{1D0F0020-9E5D-466E-A545-6A2C8753D1A8}" name="Production system only">
      <calculatedColumnFormula array="1">Common_InputFunctions.Utility_DisplayArrayInTable(Common_SourceData.Common_SourceData_EFN2O_Data(), Table_SourceData_Common_EFN2O[[#Headers],[Production system j]], 0)</calculatedColumnFormula>
    </tableColumn>
    <tableColumn id="4" xr3:uid="{333334E3-27E0-4C5F-931E-5AA744E7E65B}" name="Irrigation method">
      <calculatedColumnFormula array="1">Common_InputFunctions.Utility_DisplayArrayInTable(Common_SourceData.Common_SourceData_EFN2O_Data(), Table_SourceData_Common_EFN2O[[#Headers],[Production system j]], 0)</calculatedColumnFormula>
    </tableColumn>
    <tableColumn id="5" xr3:uid="{BE721098-7E6E-446D-B004-47690C85F60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F4AF217-11CD-44B2-AEFC-D12D4E4657B1}" name="Table_SourceData_FracWETIrrigation" displayName="Table_SourceData_FracWETIrrigation" ref="D142:E147" totalsRowShown="0">
  <autoFilter ref="D142:E147" xr:uid="{9F4AF217-11CD-44B2-AEFC-D12D4E4657B1}">
    <filterColumn colId="0" hiddenButton="1"/>
    <filterColumn colId="1" hiddenButton="1"/>
  </autoFilter>
  <tableColumns count="2">
    <tableColumn id="1" xr3:uid="{75FFB07C-E646-43F2-8DD1-8837D1EF5A2F}" name="Irrigation type i">
      <calculatedColumnFormula array="1">Common_InputFunctions.Utility_DisplayArrayInTable(Common_SourceData.Common_SourceData_FracWETIrrigation_Data(), Table_SourceData_FracWETIrrigation[[#Headers],[Irrigation type i]], 0)</calculatedColumnFormula>
    </tableColumn>
    <tableColumn id="2" xr3:uid="{B9F49DDF-B63F-4467-8825-770F71EB20E5}"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EA6399-7414-41B3-87FD-22E42F06F12C}" name="Table_SourceData_EFPastureRangeAndPaddock" displayName="Table_SourceData_EFPastureRangeAndPaddock" ref="D206:E208" totalsRowShown="0">
  <autoFilter ref="D206:E208" xr:uid="{5CEA6399-7414-41B3-87FD-22E42F06F12C}">
    <filterColumn colId="0" hiddenButton="1"/>
    <filterColumn colId="1" hiddenButton="1"/>
  </autoFilter>
  <tableColumns count="2">
    <tableColumn id="1" xr3:uid="{282007ED-8860-4119-B995-A739EF4649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6F7BFFEE-D02E-4A1B-B18B-7DE3445418C3}"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7"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A4" sqref="A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71" t="e" vm="1">
        <v>#VALUE!</v>
      </c>
      <c r="C1" s="130" t="s">
        <v>346</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29" t="str">
        <f>HYPERLINK("#'Results'!A1", "Results")</f>
        <v>Results</v>
      </c>
      <c r="C4" s="24"/>
      <c r="D4" s="6" t="s">
        <v>5</v>
      </c>
      <c r="E4" s="26"/>
      <c r="F4" s="26"/>
      <c r="G4" s="26"/>
      <c r="H4" s="6"/>
      <c r="I4" s="6"/>
      <c r="J4" s="6"/>
      <c r="K4" s="27"/>
    </row>
    <row r="5" spans="1:11" ht="20.100000000000001" customHeight="1" x14ac:dyDescent="0.3">
      <c r="A5" s="16"/>
      <c r="C5" s="24"/>
      <c r="D5" s="28"/>
      <c r="E5" s="29"/>
      <c r="F5" s="29"/>
      <c r="G5" s="29"/>
      <c r="H5" s="26"/>
      <c r="I5" s="24"/>
      <c r="J5" s="24"/>
      <c r="K5" s="24"/>
    </row>
    <row r="6" spans="1:11" ht="20.100000000000001" customHeight="1" x14ac:dyDescent="0.25">
      <c r="A6" s="20" t="s">
        <v>3</v>
      </c>
      <c r="C6" s="24"/>
      <c r="D6" s="128" t="s">
        <v>152</v>
      </c>
      <c r="E6" s="128" t="s">
        <v>423</v>
      </c>
      <c r="F6" s="128" t="s">
        <v>424</v>
      </c>
      <c r="G6" s="128" t="s">
        <v>169</v>
      </c>
      <c r="H6" s="128" t="s">
        <v>429</v>
      </c>
      <c r="I6" s="128" t="s">
        <v>430</v>
      </c>
      <c r="J6" s="128" t="s">
        <v>170</v>
      </c>
      <c r="K6" s="24"/>
    </row>
    <row r="7" spans="1:11" ht="20.100000000000001" customHeight="1" x14ac:dyDescent="0.25">
      <c r="A7" s="17" t="str">
        <f>HYPERLINK("#'Input - Site'!A1", "Site")</f>
        <v>Site</v>
      </c>
      <c r="C7" s="24"/>
      <c r="D7" s="1" t="s">
        <v>425</v>
      </c>
      <c r="E7" s="123">
        <f>'4.3.1.1-2 Methane'!$E$264</f>
        <v>8.1869605415711497</v>
      </c>
      <c r="F7" s="123">
        <f>'4.3.1.1-2 Methane'!$P$264</f>
        <v>8.0754442628988556</v>
      </c>
      <c r="G7" s="57" t="str">
        <f>'4.3.1.1-2 Methane'!$F$264</f>
        <v>t CH4</v>
      </c>
      <c r="H7" s="123">
        <f>'4.3.1.1-2 Methane'!$E$269</f>
        <v>229.23489516399218</v>
      </c>
      <c r="I7" s="123">
        <f>'4.3.1.1-2 Methane'!$P$269</f>
        <v>226.11243936116796</v>
      </c>
      <c r="J7" s="57" t="str">
        <f>'4.3.1.1-2 Methane'!$F$269</f>
        <v>t CO2e</v>
      </c>
      <c r="K7" s="24"/>
    </row>
    <row r="8" spans="1:11" ht="20.100000000000001" customHeight="1" x14ac:dyDescent="0.25">
      <c r="A8" s="17" t="str">
        <f>HYPERLINK("#'Input - Dairy'!A1", "Dairy")</f>
        <v>Dairy</v>
      </c>
      <c r="C8" s="24"/>
      <c r="D8" s="1" t="s">
        <v>426</v>
      </c>
      <c r="E8" s="123">
        <f>'4.3.1.3-4 Direct N20'!$E$280</f>
        <v>1.7559968594126556E-2</v>
      </c>
      <c r="F8" s="123">
        <f>'4.3.1.3-4 Direct N20'!$O$280</f>
        <v>1.7559968594126556E-2</v>
      </c>
      <c r="G8" s="57" t="str">
        <f>'4.3.1.3-4 Direct N20'!$F$280</f>
        <v>t N2O</v>
      </c>
      <c r="H8" s="123">
        <f>'4.3.1.3-4 Direct N20'!$E$285</f>
        <v>4.6533916774435369</v>
      </c>
      <c r="I8" s="123">
        <f>'4.3.1.3-4 Direct N20'!$O$285</f>
        <v>4.6533916774435369</v>
      </c>
      <c r="J8" s="57" t="str">
        <f>'4.3.1.3-4 Direct N20'!$F$285</f>
        <v>t CO2e</v>
      </c>
      <c r="K8" s="24"/>
    </row>
    <row r="9" spans="1:11" ht="20.100000000000001" customHeight="1" x14ac:dyDescent="0.25">
      <c r="A9" s="17"/>
      <c r="C9" s="24"/>
      <c r="D9" s="1" t="s">
        <v>427</v>
      </c>
      <c r="E9" s="123">
        <f>'4.3.1.5 Atmos deposition'!$E$68</f>
        <v>3.8269027723897175E-2</v>
      </c>
      <c r="F9" s="123">
        <f>'4.3.1.5 Atmos deposition'!$P$68</f>
        <v>3.8269027723897175E-2</v>
      </c>
      <c r="G9" s="57" t="str">
        <f>'4.3.1.5 Atmos deposition'!$F$68</f>
        <v>t N2O</v>
      </c>
      <c r="H9" s="123">
        <f>'4.3.1.5 Atmos deposition'!$E$73</f>
        <v>10.141292346832751</v>
      </c>
      <c r="I9" s="123">
        <f>'4.3.1.5 Atmos deposition'!$P$73</f>
        <v>10.141292346832751</v>
      </c>
      <c r="J9" s="57" t="str">
        <f>'4.3.1.5 Atmos deposition'!$F$73</f>
        <v>t CO2e</v>
      </c>
      <c r="K9" s="24"/>
    </row>
    <row r="10" spans="1:11" ht="20.100000000000001" customHeight="1" x14ac:dyDescent="0.25">
      <c r="A10" s="19" t="s">
        <v>78</v>
      </c>
      <c r="C10" s="24"/>
      <c r="D10" s="1" t="s">
        <v>428</v>
      </c>
      <c r="E10" s="123">
        <f>'4.3.1.6-7 Leaching and runoff'!$E$52</f>
        <v>2.0994898959935987E-3</v>
      </c>
      <c r="F10" s="123">
        <f>'4.3.1.6-7 Leaching and runoff'!$P$52</f>
        <v>2.0994898959935987E-3</v>
      </c>
      <c r="G10" s="57" t="str">
        <f>'4.3.1.6-7 Leaching and runoff'!$F$52</f>
        <v>t N2O</v>
      </c>
      <c r="H10" s="123">
        <f>'4.3.1.6-7 Leaching and runoff'!$E$57</f>
        <v>0.55636482243830365</v>
      </c>
      <c r="I10" s="123">
        <f>'4.3.1.6-7 Leaching and runoff'!$P$57</f>
        <v>0.55636482243830365</v>
      </c>
      <c r="J10" s="57" t="str">
        <f>'4.3.1.6-7 Leaching and runoff'!$F$57</f>
        <v>t CO2e</v>
      </c>
      <c r="K10" s="24"/>
    </row>
    <row r="11" spans="1:11" ht="20.100000000000001" customHeight="1" x14ac:dyDescent="0.25">
      <c r="A11" s="17" t="str">
        <f>HYPERLINK("#'4.3.1.1-2 Methane'!A1", "4.3.1.1-2 Methane")</f>
        <v>4.3.1.1-2 Methane</v>
      </c>
      <c r="C11" s="24"/>
      <c r="D11" s="1" t="s">
        <v>370</v>
      </c>
      <c r="E11" s="123" t="s">
        <v>185</v>
      </c>
      <c r="F11" s="123" t="s">
        <v>185</v>
      </c>
      <c r="G11" s="57"/>
      <c r="H11" s="123" t="s">
        <v>185</v>
      </c>
      <c r="I11" s="123" t="s">
        <v>185</v>
      </c>
      <c r="J11" s="57"/>
      <c r="K11" s="24"/>
    </row>
    <row r="12" spans="1:11" ht="20.100000000000001" customHeight="1" x14ac:dyDescent="0.25">
      <c r="A12" s="17" t="str">
        <f>HYPERLINK("#'4.3.1.3-4 Direct N20'!A1", "4.3.1.3-4 Direct N2O")</f>
        <v>4.3.1.3-4 Direct N2O</v>
      </c>
      <c r="C12" s="24"/>
      <c r="D12" s="1" t="s">
        <v>394</v>
      </c>
      <c r="E12" s="123">
        <f>'4.3.1.9 Soil direct N2O'!$E$53</f>
        <v>6.045118108813663E-2</v>
      </c>
      <c r="F12" s="123">
        <f>'4.3.1.9 Soil direct N2O'!$P$53</f>
        <v>6.045118108813663E-2</v>
      </c>
      <c r="G12" s="57" t="str">
        <f>'4.3.1.9 Soil direct N2O'!$F$53</f>
        <v>t N2O</v>
      </c>
      <c r="H12" s="123">
        <f>'4.3.1.9 Soil direct N2O'!$E$58</f>
        <v>16.019562988356206</v>
      </c>
      <c r="I12" s="123">
        <f>'4.3.1.9 Soil direct N2O'!$P$58</f>
        <v>16.019562988356206</v>
      </c>
      <c r="J12" s="57" t="str">
        <f>'4.3.1.9 Soil direct N2O'!$F$58</f>
        <v>t CO2e</v>
      </c>
      <c r="K12" s="24"/>
    </row>
    <row r="13" spans="1:11" ht="20.100000000000001" customHeight="1" x14ac:dyDescent="0.25">
      <c r="A13" s="17" t="str">
        <f>HYPERLINK("#'4.3.1.5 Atmos Deposition'!A1", "4.3.1.5 Atmospheric deposition")</f>
        <v>4.3.1.5 Atmospheric deposition</v>
      </c>
      <c r="C13" s="24"/>
      <c r="D13" s="1" t="s">
        <v>410</v>
      </c>
      <c r="E13" s="123">
        <f>'4.3.1.10-11 Soil Atmos Dep'!$E$45</f>
        <v>3.7449506684100645E-2</v>
      </c>
      <c r="F13" s="123">
        <f>'4.3.1.10-11 Soil Atmos Dep'!$P$45</f>
        <v>3.7449506684100645E-2</v>
      </c>
      <c r="G13" s="57" t="str">
        <f>'4.3.1.10-11 Soil Atmos Dep'!$F$45</f>
        <v>t N2O</v>
      </c>
      <c r="H13" s="123">
        <f>'4.3.1.10-11 Soil Atmos Dep'!$E$50</f>
        <v>9.9241192712866706</v>
      </c>
      <c r="I13" s="123">
        <f>'4.3.1.10-11 Soil Atmos Dep'!$P$50</f>
        <v>9.9241192712866706</v>
      </c>
      <c r="J13" s="57" t="str">
        <f>'4.3.1.10-11 Soil Atmos Dep'!$F$50</f>
        <v>t CO2e</v>
      </c>
      <c r="K13" s="24"/>
    </row>
    <row r="14" spans="1:11" ht="20.100000000000001" customHeight="1" x14ac:dyDescent="0.25">
      <c r="A14" s="17" t="str">
        <f>HYPERLINK("#'4.3.1.6-7 Leaching and runoff'!A1", "4.3.1.6-7 Leaching and runoff")</f>
        <v>4.3.1.6-7 Leaching and runoff</v>
      </c>
      <c r="C14" s="24"/>
      <c r="D14" s="1" t="s">
        <v>411</v>
      </c>
      <c r="E14" s="123">
        <f>'4.3.1.12-13 Soil leach runoff'!$E$47</f>
        <v>6.64962991969503E-3</v>
      </c>
      <c r="F14" s="123">
        <f>'4.3.1.12-13 Soil leach runoff'!$P$47</f>
        <v>6.64962991969503E-3</v>
      </c>
      <c r="G14" s="57" t="str">
        <f>'4.3.1.12-13 Soil leach runoff'!$F$47</f>
        <v>t N2O</v>
      </c>
      <c r="H14" s="123">
        <f>'4.3.1.12-13 Soil leach runoff'!$E$52</f>
        <v>1.7621519287191829</v>
      </c>
      <c r="I14" s="123">
        <f>'4.3.1.12-13 Soil leach runoff'!$P$52</f>
        <v>1.7621519287191829</v>
      </c>
      <c r="J14" s="57" t="str">
        <f>'4.3.1.12-13 Soil leach runoff'!$F$52</f>
        <v>t CO2e</v>
      </c>
      <c r="K14" s="24"/>
    </row>
    <row r="15" spans="1:11" ht="20.100000000000001" customHeight="1" x14ac:dyDescent="0.3">
      <c r="A15" s="17" t="str">
        <f>HYPERLINK("#'4.3.1.8 Manure applied to soils'!A1", "4.3.1.8 Manure applied to soils")</f>
        <v>4.3.1.8 Manure applied to soils</v>
      </c>
      <c r="C15" s="24"/>
      <c r="D15" s="31" t="s">
        <v>167</v>
      </c>
      <c r="E15" s="25"/>
      <c r="F15" s="25"/>
      <c r="G15" s="31"/>
      <c r="H15" s="125">
        <f ca="1">SUM(H7:H15)</f>
        <v>272.2917781990688</v>
      </c>
      <c r="I15" s="125">
        <f ca="1">SUM(I7:I15)</f>
        <v>269.16932239624458</v>
      </c>
      <c r="J15" s="112" t="s">
        <v>392</v>
      </c>
      <c r="K15" s="24"/>
    </row>
    <row r="16" spans="1:11" ht="20.100000000000001" customHeight="1" x14ac:dyDescent="0.25">
      <c r="A16" s="17" t="str">
        <f>HYPERLINK("#'4.3.1.9 Soil direct N2O'!A1", "4.3.1.9 Soil direct N2O")</f>
        <v>4.3.1.9 Soil direct N2O</v>
      </c>
      <c r="C16" s="24"/>
      <c r="D16" s="1"/>
      <c r="E16" s="1"/>
      <c r="F16" s="1"/>
      <c r="G16" s="26"/>
      <c r="H16" s="24"/>
      <c r="I16" s="1"/>
      <c r="J16" s="1"/>
      <c r="K16" s="24"/>
    </row>
    <row r="17" spans="1:11" ht="20.100000000000001" customHeight="1" x14ac:dyDescent="0.25">
      <c r="A17" s="17" t="str">
        <f>HYPERLINK("#'4.3.1.10-11 Soil Atmos Dep'!A1", "4.3.1.10-11 Soil atm. deposition")</f>
        <v>4.3.1.10-11 Soil atm. deposition</v>
      </c>
      <c r="C17" s="24"/>
      <c r="D17" s="113" t="s">
        <v>177</v>
      </c>
      <c r="E17" s="1"/>
      <c r="F17" s="1"/>
      <c r="G17" s="1"/>
      <c r="H17" s="26"/>
      <c r="I17" s="1"/>
      <c r="J17" s="1"/>
      <c r="K17" s="24"/>
    </row>
    <row r="18" spans="1:11" ht="20.100000000000001" customHeight="1" x14ac:dyDescent="0.25">
      <c r="A18" s="17" t="str">
        <f>HYPERLINK("#'4.3.1.12-13 Soil leach runoff'!A1", "4.3.1.12-13 Soil leach &amp; runoff")</f>
        <v>4.3.1.12-13 Soil leach &amp; runoff</v>
      </c>
      <c r="C18" s="24"/>
      <c r="D18" s="126" t="s">
        <v>184</v>
      </c>
      <c r="E18" s="1"/>
      <c r="F18" s="1"/>
      <c r="G18" s="1"/>
      <c r="H18" s="1"/>
      <c r="I18" s="1"/>
      <c r="J18" s="1"/>
      <c r="K18" s="24"/>
    </row>
    <row r="19" spans="1:11" ht="20.100000000000001" customHeight="1" x14ac:dyDescent="0.25">
      <c r="A19" s="17"/>
      <c r="C19" s="24"/>
      <c r="D19" s="113"/>
      <c r="E19" s="1"/>
      <c r="F19" s="1"/>
      <c r="G19" s="1"/>
      <c r="H19" s="1"/>
      <c r="I19" s="1"/>
      <c r="J19" s="1"/>
      <c r="K19" s="24"/>
    </row>
    <row r="20" spans="1:11" ht="20.100000000000001" customHeight="1" x14ac:dyDescent="0.25">
      <c r="A20" s="18" t="s">
        <v>4</v>
      </c>
      <c r="C20" s="24"/>
      <c r="D20" s="128" t="s">
        <v>178</v>
      </c>
      <c r="E20" s="128" t="s">
        <v>175</v>
      </c>
      <c r="F20" s="128" t="s">
        <v>176</v>
      </c>
      <c r="G20" s="128" t="s">
        <v>168</v>
      </c>
      <c r="H20" s="128" t="s">
        <v>183</v>
      </c>
      <c r="I20" s="1"/>
      <c r="J20" s="1"/>
      <c r="K20" s="24"/>
    </row>
    <row r="21" spans="1:11" ht="20.100000000000001" customHeight="1" x14ac:dyDescent="0.25">
      <c r="A21" s="17" t="str">
        <f>HYPERLINK("#'Constants - Dairy'!A1", "Constants - Dairy")</f>
        <v>Constants - Dairy</v>
      </c>
      <c r="C21" s="24"/>
      <c r="D21" s="1" t="s">
        <v>180</v>
      </c>
      <c r="E21" s="127">
        <f>'4.3.1.8 Manure applied to soils'!$E$102</f>
        <v>6145.7182804057311</v>
      </c>
      <c r="F21" s="57" t="str">
        <f>'4.3.1.8 Manure applied to soils'!$F$102</f>
        <v>kg N</v>
      </c>
      <c r="G21" s="1" t="s">
        <v>171</v>
      </c>
      <c r="H21" s="1" t="s">
        <v>182</v>
      </c>
      <c r="I21" s="1"/>
      <c r="J21" s="1"/>
      <c r="K21" s="24"/>
    </row>
    <row r="22" spans="1:11" ht="20.100000000000001" customHeight="1" x14ac:dyDescent="0.25">
      <c r="A22" s="17" t="str">
        <f>HYPERLINK("#'Constants - Livestock'!A1", "Constants - Livestock")</f>
        <v>Constants - Livestock</v>
      </c>
      <c r="C22" s="24"/>
      <c r="D22" s="1" t="s">
        <v>179</v>
      </c>
      <c r="E22" s="127">
        <f>'4.3.1.8 Manure applied to soils'!$E$166</f>
        <v>3072.8591402028655</v>
      </c>
      <c r="F22" s="57" t="str">
        <f>'4.3.1.8 Manure applied to soils'!$F$166</f>
        <v>kg N</v>
      </c>
      <c r="G22" s="1" t="s">
        <v>174</v>
      </c>
      <c r="H22" s="1" t="s">
        <v>182</v>
      </c>
      <c r="I22" s="24"/>
      <c r="J22" s="1"/>
      <c r="K22" s="24"/>
    </row>
    <row r="23" spans="1:11" ht="20.100000000000001" customHeight="1" x14ac:dyDescent="0.25">
      <c r="A23" s="17" t="str">
        <f>HYPERLINK("#'Constants - Common'!A1", "Constants - Common")</f>
        <v>Constants - Common</v>
      </c>
      <c r="C23" s="24"/>
      <c r="D23" s="1" t="s">
        <v>172</v>
      </c>
      <c r="E23" s="127">
        <f>'4.3.1.8 Manure applied to soils'!$E$196</f>
        <v>3072.8591402028655</v>
      </c>
      <c r="F23" s="57" t="str">
        <f>'4.3.1.8 Manure applied to soils'!$F$196</f>
        <v>kg N</v>
      </c>
      <c r="G23" s="1" t="s">
        <v>173</v>
      </c>
      <c r="H23" s="1" t="s">
        <v>181</v>
      </c>
      <c r="I23" s="24"/>
      <c r="J23" s="24"/>
      <c r="K23" s="24"/>
    </row>
    <row r="24" spans="1:11" ht="20.100000000000001" customHeight="1" x14ac:dyDescent="0.25">
      <c r="A24" s="17" t="str">
        <f>HYPERLINK("#'Acknowledgements'!A1", "Acknowledgements")</f>
        <v>Acknowledgements</v>
      </c>
      <c r="C24" s="24"/>
      <c r="D24" s="1"/>
      <c r="E24" s="1"/>
      <c r="F24" s="1"/>
      <c r="G24" s="1"/>
      <c r="H24" s="1"/>
      <c r="I24" s="24"/>
      <c r="J24" s="24"/>
      <c r="K24" s="24"/>
    </row>
    <row r="25" spans="1:11" ht="20.100000000000001" customHeight="1" x14ac:dyDescent="0.25">
      <c r="C25" s="24"/>
      <c r="D25" s="1"/>
      <c r="E25" s="1"/>
      <c r="F25" s="1"/>
      <c r="G25" s="1"/>
      <c r="H25" s="26"/>
      <c r="I25" s="24"/>
      <c r="J25" s="24"/>
      <c r="K25" s="24"/>
    </row>
    <row r="26" spans="1:11" ht="20.100000000000001" customHeight="1" x14ac:dyDescent="0.3">
      <c r="C26" s="24"/>
      <c r="D26" s="1"/>
      <c r="E26" s="1"/>
      <c r="F26" s="1"/>
      <c r="G26" s="1"/>
      <c r="H26" s="29"/>
      <c r="I26" s="24"/>
      <c r="J26" s="24"/>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22"/>
      <c r="J38" s="122"/>
      <c r="K38" s="24"/>
    </row>
    <row r="39" spans="3:11" ht="20.100000000000001" customHeight="1" x14ac:dyDescent="0.25">
      <c r="C39" s="24"/>
      <c r="D39" s="1"/>
      <c r="E39" s="1"/>
      <c r="F39" s="1"/>
      <c r="G39" s="1"/>
      <c r="H39" s="1"/>
      <c r="I39" s="122"/>
      <c r="J39" s="122"/>
      <c r="K39" s="24"/>
    </row>
    <row r="40" spans="3:11" ht="20.100000000000001" customHeight="1" x14ac:dyDescent="0.25">
      <c r="C40" s="24"/>
      <c r="D40" s="1"/>
      <c r="E40" s="1"/>
      <c r="F40" s="1"/>
      <c r="G40" s="1"/>
      <c r="H40" s="1"/>
      <c r="I40" s="122"/>
      <c r="J40" s="122"/>
      <c r="K40" s="24"/>
    </row>
    <row r="41" spans="3:11" ht="20.100000000000001" customHeight="1" x14ac:dyDescent="0.25">
      <c r="C41" s="24"/>
      <c r="D41" s="1"/>
      <c r="E41" s="1"/>
      <c r="F41" s="1"/>
      <c r="G41" s="1"/>
      <c r="H41" s="1"/>
      <c r="I41" s="122"/>
      <c r="J41" s="122"/>
      <c r="K41" s="24"/>
    </row>
    <row r="42" spans="3:11" ht="20.100000000000001" customHeight="1" x14ac:dyDescent="0.25">
      <c r="C42" s="24"/>
      <c r="D42" s="1"/>
      <c r="E42" s="1"/>
      <c r="F42" s="1"/>
      <c r="G42" s="1"/>
      <c r="H42" s="1"/>
      <c r="I42" s="122"/>
      <c r="J42" s="122"/>
      <c r="K42" s="24"/>
    </row>
    <row r="43" spans="3:11" ht="20.100000000000001" customHeight="1" x14ac:dyDescent="0.25">
      <c r="C43" s="24"/>
      <c r="D43" s="1"/>
      <c r="E43" s="1"/>
      <c r="F43" s="1"/>
      <c r="G43" s="1"/>
      <c r="H43" s="1"/>
      <c r="I43" s="122"/>
      <c r="J43" s="122"/>
      <c r="K43" s="24"/>
    </row>
    <row r="44" spans="3:11" ht="20.100000000000001" customHeight="1" x14ac:dyDescent="0.25">
      <c r="C44" s="24"/>
      <c r="D44" s="1"/>
      <c r="E44" s="1"/>
      <c r="F44" s="1"/>
      <c r="G44" s="1"/>
      <c r="H44" s="1"/>
      <c r="I44" s="122"/>
      <c r="J44" s="122"/>
      <c r="K44" s="24"/>
    </row>
    <row r="45" spans="3:11" ht="20.100000000000001" customHeight="1" x14ac:dyDescent="0.25">
      <c r="C45" s="24"/>
      <c r="D45" s="1"/>
      <c r="E45" s="1"/>
      <c r="F45" s="1"/>
      <c r="G45" s="1"/>
      <c r="H45" s="1"/>
      <c r="I45" s="122"/>
      <c r="J45" s="122"/>
      <c r="K45" s="24"/>
    </row>
    <row r="46" spans="3:11" ht="20.100000000000001" customHeight="1" x14ac:dyDescent="0.25">
      <c r="C46" s="24"/>
      <c r="D46" s="1"/>
      <c r="E46" s="1"/>
      <c r="F46" s="1"/>
      <c r="G46" s="1"/>
      <c r="H46" s="1"/>
      <c r="I46" s="122"/>
      <c r="J46" s="122"/>
      <c r="K46" s="24"/>
    </row>
    <row r="47" spans="3:11" ht="20.100000000000001" customHeight="1" x14ac:dyDescent="0.25">
      <c r="C47" s="24"/>
      <c r="D47" s="1"/>
      <c r="E47" s="1"/>
      <c r="F47" s="1"/>
      <c r="G47" s="1"/>
      <c r="H47" s="1"/>
      <c r="I47" s="122"/>
      <c r="J47" s="122"/>
      <c r="K47" s="24"/>
    </row>
    <row r="48" spans="3:11" ht="20.100000000000001" customHeight="1" x14ac:dyDescent="0.25">
      <c r="C48" s="24"/>
      <c r="D48" s="1"/>
      <c r="E48" s="1"/>
      <c r="F48" s="1"/>
      <c r="G48" s="1"/>
      <c r="H48" s="1"/>
      <c r="I48" s="122"/>
      <c r="J48" s="122"/>
      <c r="K48" s="24"/>
    </row>
    <row r="49" spans="3:11" ht="20.100000000000001" customHeight="1" x14ac:dyDescent="0.25">
      <c r="C49" s="24"/>
      <c r="D49" s="1"/>
      <c r="E49" s="1"/>
      <c r="F49" s="1"/>
      <c r="G49" s="1"/>
      <c r="H49" s="122"/>
      <c r="I49" s="122"/>
      <c r="J49" s="122"/>
      <c r="K49" s="24"/>
    </row>
    <row r="50" spans="3:11" ht="20.100000000000001" customHeight="1" x14ac:dyDescent="0.25">
      <c r="C50" s="24"/>
      <c r="D50" s="1"/>
      <c r="E50" s="1"/>
      <c r="F50" s="1"/>
      <c r="G50" s="1"/>
      <c r="H50" s="122"/>
      <c r="I50" s="122"/>
      <c r="J50" s="122"/>
      <c r="K50" s="24"/>
    </row>
    <row r="51" spans="3:11" ht="20.100000000000001" customHeight="1" x14ac:dyDescent="0.25">
      <c r="C51" s="24"/>
      <c r="D51" s="1"/>
      <c r="E51" s="1"/>
      <c r="F51" s="1"/>
      <c r="G51" s="1"/>
      <c r="H51" s="122"/>
      <c r="I51" s="122"/>
      <c r="J51" s="122"/>
      <c r="K51" s="24"/>
    </row>
    <row r="52" spans="3:11" ht="20.100000000000001" customHeight="1" x14ac:dyDescent="0.25">
      <c r="C52" s="24"/>
      <c r="D52" s="1"/>
      <c r="E52" s="1"/>
      <c r="F52" s="1"/>
      <c r="G52" s="1"/>
      <c r="H52" s="122"/>
      <c r="I52" s="122"/>
      <c r="J52" s="122"/>
      <c r="K52" s="24"/>
    </row>
    <row r="53" spans="3:11" ht="20.100000000000001" customHeight="1" x14ac:dyDescent="0.25">
      <c r="C53" s="24"/>
      <c r="D53" s="1"/>
      <c r="E53" s="1"/>
      <c r="F53" s="1"/>
      <c r="G53" s="1"/>
      <c r="H53" s="122"/>
      <c r="I53" s="122"/>
      <c r="J53" s="122"/>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73"/>
      <c r="D4" s="73"/>
      <c r="E4" s="73"/>
      <c r="F4" s="73"/>
      <c r="G4" s="73"/>
      <c r="H4" s="73"/>
      <c r="I4" s="73"/>
      <c r="J4" s="73"/>
      <c r="K4" s="73"/>
    </row>
    <row r="5" spans="1:24" ht="20.100000000000001" customHeight="1" x14ac:dyDescent="0.25">
      <c r="D5" s="6" t="s">
        <v>15</v>
      </c>
      <c r="N5" s="43"/>
    </row>
    <row r="6" spans="1:24" ht="20.100000000000001" customHeight="1" x14ac:dyDescent="0.25">
      <c r="A6" s="20" t="s">
        <v>3</v>
      </c>
      <c r="D6" s="14"/>
      <c r="N6" s="44"/>
    </row>
    <row r="7" spans="1:24" ht="20.100000000000001" customHeight="1" x14ac:dyDescent="0.25">
      <c r="A7" s="21" t="str">
        <f>HYPERLINK("#'Input - Site'!A1", "Site")</f>
        <v>Site</v>
      </c>
      <c r="D7" s="1" t="s">
        <v>7</v>
      </c>
      <c r="E7" s="35" t="s">
        <v>6</v>
      </c>
      <c r="F7" s="2"/>
    </row>
    <row r="8" spans="1:24" ht="20.100000000000001" customHeight="1" x14ac:dyDescent="0.25">
      <c r="A8" s="17" t="str">
        <f>HYPERLINK("#'Input - Dairy'!A1", "Dairy")</f>
        <v>Dairy</v>
      </c>
      <c r="D8" s="10" t="s">
        <v>74</v>
      </c>
      <c r="E8" s="35" t="s">
        <v>75</v>
      </c>
    </row>
    <row r="9" spans="1:24" ht="20.100000000000001" customHeight="1" x14ac:dyDescent="0.25">
      <c r="A9" s="17"/>
      <c r="N9" s="45"/>
    </row>
    <row r="10" spans="1:24" ht="20.100000000000001" customHeight="1" x14ac:dyDescent="0.25">
      <c r="A10" s="19" t="s">
        <v>78</v>
      </c>
      <c r="D10" s="98" t="s">
        <v>92</v>
      </c>
      <c r="E10" s="96"/>
      <c r="F10" s="99"/>
      <c r="G10" s="93"/>
      <c r="N10" s="45"/>
    </row>
    <row r="11" spans="1:24" ht="20.100000000000001" customHeight="1" x14ac:dyDescent="0.25">
      <c r="A11" s="17" t="str">
        <f>HYPERLINK("#'4.3.1.1-2 Methane'!A1", "4.3.1.1-2 Methane")</f>
        <v>4.3.1.1-2 Methane</v>
      </c>
      <c r="N11" s="46"/>
    </row>
    <row r="12" spans="1:24" ht="20.100000000000001" customHeight="1" x14ac:dyDescent="0.25">
      <c r="A12" s="17" t="str">
        <f>HYPERLINK("#'4.3.1.3-4 Direct N20'!A1", "4.3.1.3-4 Direct N2O")</f>
        <v>4.3.1.3-4 Direct N2O</v>
      </c>
      <c r="D12" s="10" t="s">
        <v>98</v>
      </c>
      <c r="E12" s="67">
        <v>45292</v>
      </c>
      <c r="F12" s="2" t="s">
        <v>72</v>
      </c>
    </row>
    <row r="13" spans="1:24" ht="20.100000000000001" customHeight="1" x14ac:dyDescent="0.25">
      <c r="A13" s="17" t="str">
        <f>HYPERLINK("#'4.3.1.5 Atmos Deposition'!A1", "4.3.1.5 Atmospheric deposition")</f>
        <v>4.3.1.5 Atmospheric deposition</v>
      </c>
      <c r="D13" s="10" t="s">
        <v>99</v>
      </c>
      <c r="E13" s="74">
        <f>DATE(YEAR(E12)+1,MONTH(E12),DAY(E12))-1</f>
        <v>45657</v>
      </c>
      <c r="F13" s="2" t="s">
        <v>17</v>
      </c>
      <c r="N13" s="40"/>
      <c r="O13" s="40"/>
    </row>
    <row r="14" spans="1:24" ht="20.100000000000001" customHeight="1" x14ac:dyDescent="0.25">
      <c r="A14" s="17" t="str">
        <f>HYPERLINK("#'4.3.1.6-7 Leaching and runoff'!A1", "4.3.1.6-7 Leaching and runoff")</f>
        <v>4.3.1.6-7 Leaching and runoff</v>
      </c>
      <c r="N14" s="40"/>
      <c r="O14" s="40"/>
    </row>
    <row r="15" spans="1:24" ht="20.100000000000001" customHeight="1" x14ac:dyDescent="0.25">
      <c r="A15" s="17" t="str">
        <f>HYPERLINK("#'4.3.1.8 Manure applied to soils'!A1", "4.3.1.8 Manure applied to soils")</f>
        <v>4.3.1.8 Manure applied to soils</v>
      </c>
      <c r="N15" s="40"/>
      <c r="O15" s="40"/>
    </row>
    <row r="16" spans="1:24" ht="20.100000000000001" customHeight="1" x14ac:dyDescent="0.25">
      <c r="A16" s="17" t="str">
        <f>HYPERLINK("#'4.3.1.9 Soil direct N2O'!A1", "4.3.1.9 Soil direct N2O")</f>
        <v>4.3.1.9 Soil direct N2O</v>
      </c>
      <c r="D16" s="6" t="s">
        <v>14</v>
      </c>
      <c r="N16" s="40"/>
      <c r="O16" s="40"/>
    </row>
    <row r="17" spans="1:25" ht="20.100000000000001" customHeight="1" x14ac:dyDescent="0.25">
      <c r="A17" s="17" t="str">
        <f>HYPERLINK("#'4.3.1.10-11 Soil Atmos Dep'!A1", "4.3.1.10-11 Soil atm. deposition")</f>
        <v>4.3.1.10-11 Soil atm. deposition</v>
      </c>
    </row>
    <row r="18" spans="1:25" ht="20.100000000000001" customHeight="1" x14ac:dyDescent="0.25">
      <c r="A18" s="17" t="str">
        <f>HYPERLINK("#'4.3.1.12-13 Soil leach runoff'!A1", "4.3.1.12-13 Soil leach &amp; runoff")</f>
        <v>4.3.1.12-13 Soil leach &amp; runoff</v>
      </c>
      <c r="D18" s="100" t="s">
        <v>16</v>
      </c>
      <c r="E18" s="95"/>
      <c r="F18" s="95"/>
      <c r="G18" s="91"/>
    </row>
    <row r="19" spans="1:25" ht="20.100000000000001" customHeight="1" x14ac:dyDescent="0.25">
      <c r="A19" s="17"/>
      <c r="D19" s="97" t="s">
        <v>73</v>
      </c>
      <c r="E19" s="94"/>
      <c r="F19" s="94"/>
      <c r="G19" s="92"/>
      <c r="N19" s="43"/>
    </row>
    <row r="20" spans="1:25" ht="20.100000000000001" customHeight="1" x14ac:dyDescent="0.25">
      <c r="A20" s="18" t="s">
        <v>4</v>
      </c>
      <c r="D20" s="1"/>
      <c r="E20" s="33"/>
      <c r="F20" s="2"/>
      <c r="N20" s="44"/>
    </row>
    <row r="21" spans="1:25" ht="20.100000000000001" customHeight="1" x14ac:dyDescent="0.25">
      <c r="A21" s="17" t="str">
        <f>HYPERLINK("#'Constants - Dairy'!A1", "Constants - Dairy")</f>
        <v>Constants - Dairy</v>
      </c>
      <c r="D21" s="1" t="s">
        <v>8</v>
      </c>
      <c r="E21" s="42" t="s">
        <v>105</v>
      </c>
      <c r="F21" s="2" t="s">
        <v>11</v>
      </c>
    </row>
    <row r="22" spans="1:25" ht="20.100000000000001" customHeight="1" x14ac:dyDescent="0.25">
      <c r="A22" s="17" t="str">
        <f>HYPERLINK("#'Constants - Livestock'!A1", "Constants - Livestock")</f>
        <v>Constants - Livestock</v>
      </c>
      <c r="D22" s="1" t="s">
        <v>27</v>
      </c>
      <c r="E22" s="42" t="s">
        <v>36</v>
      </c>
      <c r="F22" s="2" t="s">
        <v>11</v>
      </c>
      <c r="G22" s="1"/>
    </row>
    <row r="23" spans="1:25" ht="20.100000000000001" customHeight="1" x14ac:dyDescent="0.25">
      <c r="A23" s="17" t="str">
        <f>HYPERLINK("#'Constants - Common'!A1", "Constants - Common")</f>
        <v>Constants - Common</v>
      </c>
      <c r="D23" s="1" t="s">
        <v>9</v>
      </c>
      <c r="E23" s="42" t="s">
        <v>97</v>
      </c>
      <c r="F23" s="2" t="s">
        <v>11</v>
      </c>
    </row>
    <row r="24" spans="1:25" ht="20.100000000000001" customHeight="1" x14ac:dyDescent="0.25">
      <c r="A24" s="17" t="str">
        <f>HYPERLINK("#'Acknowledgements'!A1", "Acknowledgements")</f>
        <v>Acknowledgements</v>
      </c>
      <c r="D24" s="1" t="s">
        <v>41</v>
      </c>
      <c r="E24" s="35">
        <v>307.7</v>
      </c>
      <c r="F24" s="2" t="s">
        <v>55</v>
      </c>
    </row>
    <row r="25" spans="1:25" ht="20.100000000000001" customHeight="1" x14ac:dyDescent="0.25">
      <c r="A25"/>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T184"/>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4" width="79" style="1" customWidth="1"/>
    <col min="5" max="10" width="30.7109375" style="1" customWidth="1"/>
    <col min="11" max="11" width="4.7109375" style="1" customWidth="1"/>
    <col min="12" max="13" width="4.7109375" style="59" customWidth="1"/>
    <col min="14" max="19" width="30.7109375" style="59" customWidth="1"/>
    <col min="20" max="20" width="4.7109375" style="59" customWidth="1"/>
  </cols>
  <sheetData>
    <row r="1" spans="1:20" s="71" customFormat="1" ht="30" customHeight="1" x14ac:dyDescent="0.35">
      <c r="A1" s="71" t="e" vm="1">
        <v>#VALUE!</v>
      </c>
      <c r="C1" s="71" t="s">
        <v>210</v>
      </c>
      <c r="L1" s="59"/>
      <c r="M1" s="59"/>
      <c r="N1" s="59"/>
      <c r="O1" s="59"/>
      <c r="P1" s="59"/>
      <c r="Q1" s="59"/>
      <c r="R1" s="59"/>
      <c r="S1" s="59"/>
      <c r="T1" s="59"/>
    </row>
    <row r="2" spans="1:20" s="9" customFormat="1" ht="20.100000000000001" customHeight="1" x14ac:dyDescent="0.25">
      <c r="L2" s="59"/>
      <c r="M2" s="59"/>
      <c r="N2" s="59"/>
      <c r="O2" s="59"/>
      <c r="P2" s="59"/>
      <c r="Q2" s="59"/>
      <c r="R2" s="59"/>
      <c r="S2" s="59"/>
      <c r="T2" s="59"/>
    </row>
    <row r="3" spans="1:20" ht="20.100000000000001" customHeight="1" x14ac:dyDescent="0.25">
      <c r="A3" s="17" t="str">
        <f>HYPERLINK("#'Home'!A1", "Home")</f>
        <v>Home</v>
      </c>
      <c r="C3" s="15"/>
      <c r="D3" s="15"/>
      <c r="E3" s="15"/>
      <c r="F3" s="15"/>
      <c r="G3" s="15"/>
      <c r="H3" s="15"/>
      <c r="I3" s="15"/>
      <c r="J3" s="15"/>
      <c r="K3" s="15"/>
    </row>
    <row r="4" spans="1:20" ht="20.100000000000001" customHeight="1" x14ac:dyDescent="0.25">
      <c r="A4" s="17" t="str">
        <f>HYPERLINK("#'Results'!A1", "Results")</f>
        <v>Results</v>
      </c>
    </row>
    <row r="5" spans="1:20" ht="20.100000000000001" customHeight="1" x14ac:dyDescent="0.25">
      <c r="A5" s="16"/>
      <c r="D5" s="6" t="s">
        <v>106</v>
      </c>
      <c r="K5" s="3"/>
      <c r="O5" s="7"/>
    </row>
    <row r="6" spans="1:20" ht="20.100000000000001" customHeight="1" x14ac:dyDescent="0.25">
      <c r="A6" s="20" t="s">
        <v>3</v>
      </c>
      <c r="K6" s="3"/>
      <c r="O6" s="7"/>
    </row>
    <row r="7" spans="1:20" ht="20.100000000000001" customHeight="1" x14ac:dyDescent="0.25">
      <c r="A7" s="17" t="str">
        <f>HYPERLINK("#'Input - Site'!A1", "Site")</f>
        <v>Site</v>
      </c>
      <c r="D7" s="1" t="s">
        <v>188</v>
      </c>
      <c r="E7" s="42" t="s">
        <v>240</v>
      </c>
      <c r="F7" s="2" t="s">
        <v>11</v>
      </c>
      <c r="K7" s="3"/>
      <c r="O7" s="7"/>
    </row>
    <row r="8" spans="1:20" ht="20.100000000000001" customHeight="1" x14ac:dyDescent="0.25">
      <c r="A8" s="21" t="str">
        <f>HYPERLINK("#'Input - Dairy'!A1", "Dairy")</f>
        <v>Dairy</v>
      </c>
      <c r="K8" s="3"/>
      <c r="O8" s="7"/>
    </row>
    <row r="9" spans="1:20" ht="20.100000000000001" customHeight="1" x14ac:dyDescent="0.25">
      <c r="A9" s="17"/>
      <c r="D9" s="66"/>
      <c r="E9" s="41" t="s">
        <v>189</v>
      </c>
      <c r="F9" s="41" t="s">
        <v>206</v>
      </c>
      <c r="G9" s="41" t="s">
        <v>207</v>
      </c>
      <c r="H9" s="41" t="s">
        <v>208</v>
      </c>
      <c r="I9" s="41" t="s">
        <v>209</v>
      </c>
      <c r="O9" s="7"/>
    </row>
    <row r="10" spans="1:20" ht="20.100000000000001" customHeight="1" x14ac:dyDescent="0.25">
      <c r="A10" s="19" t="s">
        <v>78</v>
      </c>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O10" s="7"/>
    </row>
    <row r="11" spans="1:20" ht="20.100000000000001" customHeight="1" x14ac:dyDescent="0.25">
      <c r="A11" s="17" t="str">
        <f>HYPERLINK("#'4.3.1.1-2 Methane'!A1", "4.3.1.1-2 Methane")</f>
        <v>4.3.1.1-2 Methane</v>
      </c>
      <c r="O11" s="7"/>
    </row>
    <row r="12" spans="1:20" ht="20.100000000000001" customHeight="1" x14ac:dyDescent="0.25">
      <c r="A12" s="17" t="str">
        <f>HYPERLINK("#'4.3.1.3-4 Direct N20'!A1", "4.3.1.3-4 Direct N2O")</f>
        <v>4.3.1.3-4 Direct N2O</v>
      </c>
      <c r="D12" s="51" t="s">
        <v>237</v>
      </c>
      <c r="O12" s="7"/>
    </row>
    <row r="13" spans="1:20" ht="20.100000000000001" customHeight="1" x14ac:dyDescent="0.25">
      <c r="A13" s="17" t="str">
        <f>HYPERLINK("#'4.3.1.5 Atmos Deposition'!A1", "4.3.1.5 Atmospheric deposition")</f>
        <v>4.3.1.5 Atmospheric deposition</v>
      </c>
      <c r="D13" s="66" t="s">
        <v>223</v>
      </c>
      <c r="E13" s="41" t="s">
        <v>189</v>
      </c>
      <c r="F13" s="41" t="s">
        <v>206</v>
      </c>
      <c r="G13" s="41" t="s">
        <v>207</v>
      </c>
      <c r="H13" s="41" t="s">
        <v>208</v>
      </c>
      <c r="I13" s="41" t="s">
        <v>209</v>
      </c>
      <c r="O13" s="40"/>
    </row>
    <row r="14" spans="1:20" ht="20.100000000000001" customHeight="1" x14ac:dyDescent="0.25">
      <c r="A14" s="17" t="str">
        <f>HYPERLINK("#'4.3.1.6-7 Leaching and runoff'!A1", "4.3.1.6-7 Leaching and runoff")</f>
        <v>4.3.1.6-7 Leaching and runoff</v>
      </c>
      <c r="D14" s="1" t="s">
        <v>238</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211</v>
      </c>
      <c r="O14" s="40"/>
    </row>
    <row r="15" spans="1:20" ht="20.100000000000001" customHeight="1" x14ac:dyDescent="0.25">
      <c r="A15" s="17" t="str">
        <f>HYPERLINK("#'4.3.1.8 Manure applied to soils'!A1", "4.3.1.8 Manure applied to soils")</f>
        <v>4.3.1.8 Manure applied to soils</v>
      </c>
      <c r="D15" s="1" t="s">
        <v>239</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212</v>
      </c>
      <c r="O15" s="40"/>
    </row>
    <row r="16" spans="1:20" ht="20.100000000000001" customHeight="1" x14ac:dyDescent="0.25">
      <c r="A16" s="17" t="str">
        <f>HYPERLINK("#'4.3.1.9 Soil direct N2O'!A1", "4.3.1.9 Soil direct N2O")</f>
        <v>4.3.1.9 Soil direct N2O</v>
      </c>
      <c r="O16" s="40"/>
    </row>
    <row r="17" spans="1:15" ht="20.100000000000001" customHeight="1" x14ac:dyDescent="0.25">
      <c r="A17" s="17" t="str">
        <f>HYPERLINK("#'4.3.1.10-11 Soil Atmos Dep'!A1", "4.3.1.10-11 Soil atm. deposition")</f>
        <v>4.3.1.10-11 Soil atm. deposition</v>
      </c>
      <c r="D17" s="66" t="s">
        <v>222</v>
      </c>
      <c r="E17" s="41" t="s">
        <v>189</v>
      </c>
      <c r="F17" s="41" t="s">
        <v>206</v>
      </c>
      <c r="G17" s="41" t="s">
        <v>207</v>
      </c>
      <c r="H17" s="41" t="s">
        <v>208</v>
      </c>
      <c r="I17" s="41" t="s">
        <v>209</v>
      </c>
      <c r="O17" s="7"/>
    </row>
    <row r="18" spans="1:15" ht="20.100000000000001" customHeight="1" x14ac:dyDescent="0.25">
      <c r="A18" s="17" t="str">
        <f>HYPERLINK("#'4.3.1.12-13 Soil leach runoff'!A1", "4.3.1.12-13 Soil leach &amp; runoff")</f>
        <v>4.3.1.12-13 Soil leach &amp; runoff</v>
      </c>
      <c r="D18" s="1" t="s">
        <v>238</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211</v>
      </c>
      <c r="O18" s="7"/>
    </row>
    <row r="19" spans="1:15" ht="20.100000000000001" customHeight="1" x14ac:dyDescent="0.25">
      <c r="A19" s="17"/>
      <c r="D19" s="1" t="s">
        <v>239</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212</v>
      </c>
      <c r="O19" s="7"/>
    </row>
    <row r="20" spans="1:15" ht="20.100000000000001" customHeight="1" x14ac:dyDescent="0.25">
      <c r="A20" s="18" t="s">
        <v>4</v>
      </c>
      <c r="O20" s="7"/>
    </row>
    <row r="21" spans="1:15" ht="20.100000000000001" customHeight="1" x14ac:dyDescent="0.25">
      <c r="A21" s="17" t="str">
        <f>HYPERLINK("#'Constants - Dairy'!A1", "Constants - Dairy")</f>
        <v>Constants - Dairy</v>
      </c>
      <c r="D21" s="51" t="s">
        <v>107</v>
      </c>
      <c r="O21" s="7"/>
    </row>
    <row r="22" spans="1:15" ht="20.100000000000001" customHeight="1" x14ac:dyDescent="0.25">
      <c r="A22" s="17" t="str">
        <f>HYPERLINK("#'Constants - Livestock'!A1", "Constants - Livestock")</f>
        <v>Constants - Livestock</v>
      </c>
      <c r="O22" s="7"/>
    </row>
    <row r="23" spans="1:15" ht="20.100000000000001" customHeight="1" x14ac:dyDescent="0.25">
      <c r="A23" s="17" t="str">
        <f>HYPERLINK("#'Constants - Common'!A1", "Constants - Common")</f>
        <v>Constants - Common</v>
      </c>
      <c r="D23" s="66" t="s">
        <v>223</v>
      </c>
      <c r="E23" s="41" t="s">
        <v>189</v>
      </c>
      <c r="F23" s="41" t="s">
        <v>206</v>
      </c>
      <c r="G23" s="41" t="s">
        <v>207</v>
      </c>
      <c r="H23" s="41" t="s">
        <v>208</v>
      </c>
      <c r="I23" s="41" t="s">
        <v>209</v>
      </c>
      <c r="O23" s="7"/>
    </row>
    <row r="24" spans="1:15" ht="20.100000000000001" customHeight="1" x14ac:dyDescent="0.25">
      <c r="A24" s="17" t="str">
        <f>HYPERLINK("#'Acknowledgements'!A1", "Acknowledgements")</f>
        <v>Acknowledgements</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O24" s="7"/>
    </row>
    <row r="25" spans="1:15"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O25" s="7"/>
    </row>
    <row r="26" spans="1:15" ht="20.100000000000001" customHeight="1" x14ac:dyDescent="0.25">
      <c r="A26" s="17"/>
      <c r="O26" s="7"/>
    </row>
    <row r="27" spans="1:15" ht="20.100000000000001" customHeight="1" x14ac:dyDescent="0.25">
      <c r="A27" s="17"/>
      <c r="D27" s="66" t="s">
        <v>222</v>
      </c>
      <c r="E27" s="41" t="s">
        <v>189</v>
      </c>
      <c r="F27" s="41" t="s">
        <v>206</v>
      </c>
      <c r="G27" s="41" t="s">
        <v>207</v>
      </c>
      <c r="H27" s="41" t="s">
        <v>208</v>
      </c>
      <c r="I27" s="41" t="s">
        <v>209</v>
      </c>
      <c r="O27" s="7"/>
    </row>
    <row r="28" spans="1:15"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O28" s="7"/>
    </row>
    <row r="29" spans="1:15"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O29" s="7"/>
    </row>
    <row r="30" spans="1:15" ht="20.100000000000001" customHeight="1" x14ac:dyDescent="0.25">
      <c r="A30" s="17"/>
      <c r="O30" s="7"/>
    </row>
    <row r="31" spans="1:15" ht="20.100000000000001" customHeight="1" x14ac:dyDescent="0.25">
      <c r="A31" s="70"/>
      <c r="O31" s="7"/>
    </row>
    <row r="32" spans="1:15" ht="20.100000000000001" customHeight="1" x14ac:dyDescent="0.25">
      <c r="A32" s="70"/>
      <c r="D32" s="6" t="s">
        <v>235</v>
      </c>
      <c r="O32" s="7"/>
    </row>
    <row r="33" spans="1:15" ht="20.100000000000001" customHeight="1" x14ac:dyDescent="0.25">
      <c r="A33" s="17"/>
      <c r="D33" s="51"/>
      <c r="O33" s="7"/>
    </row>
    <row r="34" spans="1:15" ht="20.100000000000001" customHeight="1" x14ac:dyDescent="0.25">
      <c r="D34" s="66" t="s">
        <v>223</v>
      </c>
      <c r="E34" s="41" t="s">
        <v>189</v>
      </c>
      <c r="F34" s="41" t="s">
        <v>206</v>
      </c>
      <c r="G34" s="41" t="s">
        <v>207</v>
      </c>
      <c r="H34" s="41" t="s">
        <v>208</v>
      </c>
      <c r="I34" s="41" t="s">
        <v>209</v>
      </c>
      <c r="O34" s="7"/>
    </row>
    <row r="35" spans="1:15" ht="20.100000000000001" customHeight="1" x14ac:dyDescent="0.25">
      <c r="D35" s="1" t="s">
        <v>234</v>
      </c>
      <c r="E35" s="55" cm="1">
        <f t="array" ref="E35">Common_InputFunctions.Utility_LookupValueInTableNumber(E34,Table_SourceData_Dairy_Duration[Animal class j],Table_SourceData_Dairy_Duration[Duration (weaned)])</f>
        <v>365</v>
      </c>
      <c r="F35" s="55" cm="1">
        <f t="array" ref="F35">Common_InputFunctions.Utility_LookupValueInTableNumber(F34,Table_SourceData_Dairy_Duration[Animal class j],Table_SourceData_Dairy_Duration[Duration (weaned)])</f>
        <v>365</v>
      </c>
      <c r="G35" s="55" cm="1">
        <f t="array" ref="G35">Common_InputFunctions.Utility_LookupValueInTableNumber(G34,Table_SourceData_Dairy_Duration[Animal class j],Table_SourceData_Dairy_Duration[Duration (weaned)])</f>
        <v>281</v>
      </c>
      <c r="H35" s="55" cm="1">
        <f t="array" ref="H35">Common_InputFunctions.Utility_LookupValueInTableNumber(H34,Table_SourceData_Dairy_Duration[Animal class j],Table_SourceData_Dairy_Duration[Duration (weaned)])</f>
        <v>365</v>
      </c>
      <c r="I35" s="55" cm="1">
        <f t="array" ref="I35">Common_InputFunctions.Utility_LookupValueInTableNumber(I34,Table_SourceData_Dairy_Duration[Animal class j],Table_SourceData_Dairy_Duration[Duration (weaned)])</f>
        <v>281</v>
      </c>
      <c r="J35" s="2" t="s">
        <v>236</v>
      </c>
      <c r="O35" s="7"/>
    </row>
    <row r="36" spans="1:15"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O36" s="7"/>
    </row>
    <row r="37" spans="1:15" ht="20.100000000000001" customHeight="1" x14ac:dyDescent="0.25">
      <c r="D37" s="1" t="s">
        <v>114</v>
      </c>
      <c r="E37" s="55">
        <f>'Constants - Dairy'!$D$153</f>
        <v>0.2</v>
      </c>
      <c r="F37" s="55">
        <f>'Constants - Dairy'!$D$153</f>
        <v>0.2</v>
      </c>
      <c r="G37" s="55">
        <f>'Constants - Dairy'!$D$153</f>
        <v>0.2</v>
      </c>
      <c r="H37" s="55">
        <f>'Constants - Dairy'!$D$153</f>
        <v>0.2</v>
      </c>
      <c r="I37" s="55">
        <f>'Constants - Dairy'!$D$153</f>
        <v>0.2</v>
      </c>
      <c r="J37" s="2" t="s">
        <v>101</v>
      </c>
      <c r="O37" s="7"/>
    </row>
    <row r="38" spans="1:15" ht="20.100000000000001" customHeight="1" x14ac:dyDescent="0.25">
      <c r="O38" s="7"/>
    </row>
    <row r="39" spans="1:15" ht="20.100000000000001" customHeight="1" x14ac:dyDescent="0.25">
      <c r="A39" s="17"/>
      <c r="D39" s="66" t="s">
        <v>222</v>
      </c>
      <c r="E39" s="41" t="s">
        <v>189</v>
      </c>
      <c r="F39" s="41" t="s">
        <v>206</v>
      </c>
      <c r="G39" s="41" t="s">
        <v>207</v>
      </c>
      <c r="H39" s="41" t="s">
        <v>208</v>
      </c>
      <c r="I39" s="41" t="s">
        <v>209</v>
      </c>
      <c r="O39" s="7"/>
    </row>
    <row r="40" spans="1:15" ht="20.100000000000001" customHeight="1" x14ac:dyDescent="0.25">
      <c r="D40" s="1" t="s">
        <v>234</v>
      </c>
      <c r="E40" s="69" cm="1">
        <f t="array" ref="E40">Common_InputFunctions.Utility_LookupValueInTableNumber(E39,Table_SourceData_Dairy_Duration[Animal class j],Table_SourceData_Dairy_Duration[Duration (weaned)])</f>
        <v>365</v>
      </c>
      <c r="F40" s="69" cm="1">
        <f t="array" ref="F40">Common_InputFunctions.Utility_LookupValueInTableNumber(F39,Table_SourceData_Dairy_Duration[Animal class j],Table_SourceData_Dairy_Duration[Duration (weaned)])</f>
        <v>365</v>
      </c>
      <c r="G40" s="69" cm="1">
        <f t="array" ref="G40">Common_InputFunctions.Utility_LookupValueInTableNumber(G39,Table_SourceData_Dairy_Duration[Animal class j],Table_SourceData_Dairy_Duration[Duration (weaned)])</f>
        <v>281</v>
      </c>
      <c r="H40" s="69" cm="1">
        <f t="array" ref="H40">Common_InputFunctions.Utility_LookupValueInTableNumber(H39,Table_SourceData_Dairy_Duration[Animal class j],Table_SourceData_Dairy_Duration[Duration (weaned)])</f>
        <v>365</v>
      </c>
      <c r="I40" s="69" cm="1">
        <f t="array" ref="I40">Common_InputFunctions.Utility_LookupValueInTableNumber(I39,Table_SourceData_Dairy_Duration[Animal class j],Table_SourceData_Dairy_Duration[Duration (weaned)])</f>
        <v>281</v>
      </c>
      <c r="J40" s="2" t="s">
        <v>236</v>
      </c>
      <c r="O40" s="7"/>
    </row>
    <row r="41" spans="1:15" ht="20.100000000000001" customHeight="1" x14ac:dyDescent="0.25">
      <c r="A41" s="47"/>
      <c r="D41" s="1" t="s">
        <v>19</v>
      </c>
      <c r="E41" s="69">
        <v>0.75</v>
      </c>
      <c r="F41" s="69">
        <v>0.75</v>
      </c>
      <c r="G41" s="69">
        <v>0.75</v>
      </c>
      <c r="H41" s="69">
        <v>0.75</v>
      </c>
      <c r="I41" s="69">
        <v>0.75</v>
      </c>
      <c r="J41" s="2" t="s">
        <v>101</v>
      </c>
      <c r="O41" s="7"/>
    </row>
    <row r="42" spans="1:15" ht="20.100000000000001" customHeight="1" x14ac:dyDescent="0.25">
      <c r="D42" s="1" t="s">
        <v>114</v>
      </c>
      <c r="E42" s="69">
        <v>0.2</v>
      </c>
      <c r="F42" s="69">
        <v>0.2</v>
      </c>
      <c r="G42" s="69">
        <v>0.2</v>
      </c>
      <c r="H42" s="69">
        <v>0.2</v>
      </c>
      <c r="I42" s="69">
        <v>0.2</v>
      </c>
      <c r="J42" s="2" t="s">
        <v>101</v>
      </c>
      <c r="O42" s="7"/>
    </row>
    <row r="43" spans="1:15" ht="20.100000000000001" customHeight="1" x14ac:dyDescent="0.25">
      <c r="O43" s="7"/>
    </row>
    <row r="44" spans="1:15" ht="20.100000000000001" customHeight="1" x14ac:dyDescent="0.25">
      <c r="D44" s="6" t="s">
        <v>213</v>
      </c>
      <c r="E44" s="3"/>
      <c r="F44" s="3"/>
      <c r="G44" s="3"/>
      <c r="H44" s="3"/>
      <c r="I44" s="3"/>
      <c r="J44" s="3"/>
      <c r="O44" s="7"/>
    </row>
    <row r="45" spans="1:15" ht="20.100000000000001" customHeight="1" x14ac:dyDescent="0.25">
      <c r="E45" s="41" t="s">
        <v>189</v>
      </c>
      <c r="F45" s="6"/>
      <c r="G45" s="6"/>
      <c r="H45" s="6"/>
      <c r="I45" s="6"/>
      <c r="J45" s="133"/>
      <c r="O45" s="7"/>
    </row>
    <row r="46" spans="1:15" ht="20.100000000000001" customHeight="1" x14ac:dyDescent="0.25">
      <c r="D46" s="1" t="s">
        <v>214</v>
      </c>
      <c r="E46" s="69">
        <v>44</v>
      </c>
      <c r="F46" s="2" t="s">
        <v>215</v>
      </c>
      <c r="H46" s="3"/>
      <c r="I46" s="3"/>
      <c r="J46" s="3"/>
      <c r="O46" s="7"/>
    </row>
    <row r="47" spans="1:15" ht="20.100000000000001" customHeight="1" x14ac:dyDescent="0.25">
      <c r="O47" s="7"/>
    </row>
    <row r="48" spans="1:15" ht="20.100000000000001" customHeight="1" x14ac:dyDescent="0.25">
      <c r="D48" s="6" t="s">
        <v>230</v>
      </c>
      <c r="O48" s="7"/>
    </row>
    <row r="49" spans="4:15" ht="20.100000000000001" customHeight="1" x14ac:dyDescent="0.25">
      <c r="D49" s="51" t="s">
        <v>218</v>
      </c>
      <c r="O49" s="7"/>
    </row>
    <row r="50" spans="4:15" ht="20.100000000000001" customHeight="1" x14ac:dyDescent="0.25">
      <c r="D50" s="1" t="s">
        <v>220</v>
      </c>
      <c r="E50" s="42" t="s">
        <v>232</v>
      </c>
      <c r="F50" s="2" t="s">
        <v>11</v>
      </c>
      <c r="K50" s="3"/>
      <c r="O50" s="7"/>
    </row>
    <row r="51" spans="4:15" ht="20.100000000000001" customHeight="1" x14ac:dyDescent="0.25">
      <c r="K51" s="3"/>
      <c r="O51" s="7"/>
    </row>
    <row r="52" spans="4:15" ht="20.100000000000001" customHeight="1" x14ac:dyDescent="0.25">
      <c r="D52" s="66" t="s">
        <v>223</v>
      </c>
      <c r="E52" s="41" t="s">
        <v>189</v>
      </c>
      <c r="F52" s="41" t="s">
        <v>206</v>
      </c>
      <c r="G52" s="41" t="s">
        <v>207</v>
      </c>
      <c r="H52" s="41" t="s">
        <v>208</v>
      </c>
      <c r="I52" s="41" t="s">
        <v>209</v>
      </c>
      <c r="K52" s="3"/>
      <c r="O52" s="7"/>
    </row>
    <row r="53" spans="4:15" ht="20.100000000000001" customHeight="1" x14ac:dyDescent="0.25">
      <c r="D53" s="1" t="s">
        <v>158</v>
      </c>
      <c r="E53" s="101" cm="1">
        <f t="array" ref="E53">Common_InputFunctions.Utility_LookupValueInTableNumber($E$50, Table_SourceData_Dairy_ProductionSystemTemplates[Area],Table_SourceData_Dairy_ProductionSystemTemplates[Pasture])</f>
        <v>0.53400000000000003</v>
      </c>
      <c r="F53" s="101" cm="1">
        <f t="array" ref="F53">Common_InputFunctions.Utility_LookupValueInTableNumber($E$50, Table_SourceData_Dairy_ProductionSystemTemplates[Area],Table_SourceData_Dairy_ProductionSystemTemplates[Pasture])</f>
        <v>0.53400000000000003</v>
      </c>
      <c r="G53" s="101" cm="1">
        <f t="array" ref="G53">Common_InputFunctions.Utility_LookupValueInTableNumber($E$50, Table_SourceData_Dairy_ProductionSystemTemplates[Area],Table_SourceData_Dairy_ProductionSystemTemplates[Pasture])</f>
        <v>0.53400000000000003</v>
      </c>
      <c r="H53" s="101" cm="1">
        <f t="array" ref="H53">Common_InputFunctions.Utility_LookupValueInTableNumber($E$50, Table_SourceData_Dairy_ProductionSystemTemplates[Area],Table_SourceData_Dairy_ProductionSystemTemplates[Pasture])</f>
        <v>0.53400000000000003</v>
      </c>
      <c r="I53" s="101" cm="1">
        <f t="array" ref="I53">Common_InputFunctions.Utility_LookupValueInTableNumber($E$50, Table_SourceData_Dairy_ProductionSystemTemplates[Area],Table_SourceData_Dairy_ProductionSystemTemplates[Pasture])</f>
        <v>0.53400000000000003</v>
      </c>
      <c r="J53" s="2" t="s">
        <v>20</v>
      </c>
      <c r="K53" s="3"/>
      <c r="O53" s="7"/>
    </row>
    <row r="54" spans="4:15" ht="20.100000000000001" customHeight="1" x14ac:dyDescent="0.25">
      <c r="D54" s="1" t="s">
        <v>203</v>
      </c>
      <c r="E54" s="101" cm="1">
        <f t="array" ref="E54">Common_InputFunctions.Utility_LookupValueInTableNumber($E$50, Table_SourceData_Dairy_ProductionSystemTemplates[Area],Table_SourceData_Dairy_ProductionSystemTemplates[Milking shed])</f>
        <v>0.11</v>
      </c>
      <c r="F54" s="101" cm="1">
        <f t="array" ref="F54">Common_InputFunctions.Utility_LookupValueInTableNumber($E$50, Table_SourceData_Dairy_ProductionSystemTemplates[Area],Table_SourceData_Dairy_ProductionSystemTemplates[Milking shed])</f>
        <v>0.11</v>
      </c>
      <c r="G54" s="101" cm="1">
        <f t="array" ref="G54">Common_InputFunctions.Utility_LookupValueInTableNumber($E$50, Table_SourceData_Dairy_ProductionSystemTemplates[Area],Table_SourceData_Dairy_ProductionSystemTemplates[Milking shed])</f>
        <v>0.11</v>
      </c>
      <c r="H54" s="101" cm="1">
        <f t="array" ref="H54">Common_InputFunctions.Utility_LookupValueInTableNumber($E$50, Table_SourceData_Dairy_ProductionSystemTemplates[Area],Table_SourceData_Dairy_ProductionSystemTemplates[Milking shed])</f>
        <v>0.11</v>
      </c>
      <c r="I54" s="101" cm="1">
        <f t="array" ref="I54">Common_InputFunctions.Utility_LookupValueInTableNumber($E$50, Table_SourceData_Dairy_ProductionSystemTemplates[Area],Table_SourceData_Dairy_ProductionSystemTemplates[Milking shed])</f>
        <v>0.11</v>
      </c>
      <c r="J54" s="2" t="s">
        <v>20</v>
      </c>
      <c r="K54" s="3"/>
      <c r="O54" s="7"/>
    </row>
    <row r="55" spans="4:15" ht="20.100000000000001" customHeight="1" x14ac:dyDescent="0.25">
      <c r="D55" s="1" t="s">
        <v>219</v>
      </c>
      <c r="E55" s="101" cm="1">
        <f t="array" ref="E55">Common_InputFunctions.Utility_LookupValueInTableNumber($E$50, Table_SourceData_Dairy_ProductionSystemTemplates[Area],Table_SourceData_Dairy_ProductionSystemTemplates[Feedpad])</f>
        <v>0.35599999999999998</v>
      </c>
      <c r="F55" s="101" cm="1">
        <f t="array" ref="F55">Common_InputFunctions.Utility_LookupValueInTableNumber($E$50, Table_SourceData_Dairy_ProductionSystemTemplates[Area],Table_SourceData_Dairy_ProductionSystemTemplates[Feedpad])</f>
        <v>0.35599999999999998</v>
      </c>
      <c r="G55" s="101" cm="1">
        <f t="array" ref="G55">Common_InputFunctions.Utility_LookupValueInTableNumber($E$50, Table_SourceData_Dairy_ProductionSystemTemplates[Area],Table_SourceData_Dairy_ProductionSystemTemplates[Feedpad])</f>
        <v>0.35599999999999998</v>
      </c>
      <c r="H55" s="101" cm="1">
        <f t="array" ref="H55">Common_InputFunctions.Utility_LookupValueInTableNumber($E$50, Table_SourceData_Dairy_ProductionSystemTemplates[Area],Table_SourceData_Dairy_ProductionSystemTemplates[Feedpad])</f>
        <v>0.35599999999999998</v>
      </c>
      <c r="I55" s="101" cm="1">
        <f t="array" ref="I55">Common_InputFunctions.Utility_LookupValueInTableNumber($E$50, Table_SourceData_Dairy_ProductionSystemTemplates[Area],Table_SourceData_Dairy_ProductionSystemTemplates[Feedpad])</f>
        <v>0.35599999999999998</v>
      </c>
      <c r="J55" s="2" t="s">
        <v>20</v>
      </c>
      <c r="K55" s="3"/>
      <c r="O55" s="7"/>
    </row>
    <row r="56" spans="4:15" ht="20.100000000000001" customHeight="1" x14ac:dyDescent="0.25">
      <c r="K56" s="3"/>
      <c r="O56" s="7"/>
    </row>
    <row r="57" spans="4:15" ht="20.100000000000001" customHeight="1" x14ac:dyDescent="0.25">
      <c r="D57" s="66" t="s">
        <v>222</v>
      </c>
      <c r="E57" s="41" t="s">
        <v>189</v>
      </c>
      <c r="F57" s="41" t="s">
        <v>206</v>
      </c>
      <c r="G57" s="41" t="s">
        <v>207</v>
      </c>
      <c r="H57" s="41" t="s">
        <v>208</v>
      </c>
      <c r="I57" s="41" t="s">
        <v>209</v>
      </c>
      <c r="K57" s="3"/>
      <c r="O57" s="7"/>
    </row>
    <row r="58" spans="4:15" ht="20.100000000000001" customHeight="1" x14ac:dyDescent="0.25">
      <c r="D58" s="1" t="s">
        <v>158</v>
      </c>
      <c r="E58" s="134" cm="1">
        <f t="array" ref="E58">Common_InputFunctions.Utility_LookupValueInTableNumber($E$50, Table_SourceData_Dairy_ProductionSystemTemplates[Area],Table_SourceData_Dairy_ProductionSystemTemplates[Pasture])</f>
        <v>0.53400000000000003</v>
      </c>
      <c r="F58" s="134" cm="1">
        <f t="array" ref="F58">Common_InputFunctions.Utility_LookupValueInTableNumber($E$50, Table_SourceData_Dairy_ProductionSystemTemplates[Area],Table_SourceData_Dairy_ProductionSystemTemplates[Pasture])</f>
        <v>0.53400000000000003</v>
      </c>
      <c r="G58" s="134" cm="1">
        <f t="array" ref="G58">Common_InputFunctions.Utility_LookupValueInTableNumber($E$50, Table_SourceData_Dairy_ProductionSystemTemplates[Area],Table_SourceData_Dairy_ProductionSystemTemplates[Pasture])</f>
        <v>0.53400000000000003</v>
      </c>
      <c r="H58" s="134" cm="1">
        <f t="array" ref="H58">Common_InputFunctions.Utility_LookupValueInTableNumber($E$50, Table_SourceData_Dairy_ProductionSystemTemplates[Area],Table_SourceData_Dairy_ProductionSystemTemplates[Pasture])</f>
        <v>0.53400000000000003</v>
      </c>
      <c r="I58" s="134" cm="1">
        <f t="array" ref="I58">Common_InputFunctions.Utility_LookupValueInTableNumber($E$50, Table_SourceData_Dairy_ProductionSystemTemplates[Area],Table_SourceData_Dairy_ProductionSystemTemplates[Pasture])</f>
        <v>0.53400000000000003</v>
      </c>
      <c r="J58" s="2" t="s">
        <v>20</v>
      </c>
      <c r="K58" s="3"/>
      <c r="O58" s="7"/>
    </row>
    <row r="59" spans="4:15" ht="20.100000000000001" customHeight="1" x14ac:dyDescent="0.25">
      <c r="D59" s="1" t="s">
        <v>203</v>
      </c>
      <c r="E59" s="134" cm="1">
        <f t="array" ref="E59">Common_InputFunctions.Utility_LookupValueInTableNumber($E$50, Table_SourceData_Dairy_ProductionSystemTemplates[Area],Table_SourceData_Dairy_ProductionSystemTemplates[Milking shed])</f>
        <v>0.11</v>
      </c>
      <c r="F59" s="134" cm="1">
        <f t="array" ref="F59">Common_InputFunctions.Utility_LookupValueInTableNumber($E$50, Table_SourceData_Dairy_ProductionSystemTemplates[Area],Table_SourceData_Dairy_ProductionSystemTemplates[Milking shed])</f>
        <v>0.11</v>
      </c>
      <c r="G59" s="134" cm="1">
        <f t="array" ref="G59">Common_InputFunctions.Utility_LookupValueInTableNumber($E$50, Table_SourceData_Dairy_ProductionSystemTemplates[Area],Table_SourceData_Dairy_ProductionSystemTemplates[Milking shed])</f>
        <v>0.11</v>
      </c>
      <c r="H59" s="134" cm="1">
        <f t="array" ref="H59">Common_InputFunctions.Utility_LookupValueInTableNumber($E$50, Table_SourceData_Dairy_ProductionSystemTemplates[Area],Table_SourceData_Dairy_ProductionSystemTemplates[Milking shed])</f>
        <v>0.11</v>
      </c>
      <c r="I59" s="134" cm="1">
        <f t="array" ref="I59">Common_InputFunctions.Utility_LookupValueInTableNumber($E$50, Table_SourceData_Dairy_ProductionSystemTemplates[Area],Table_SourceData_Dairy_ProductionSystemTemplates[Milking shed])</f>
        <v>0.11</v>
      </c>
      <c r="J59" s="2" t="s">
        <v>20</v>
      </c>
      <c r="K59" s="3"/>
      <c r="O59" s="7"/>
    </row>
    <row r="60" spans="4:15" ht="20.100000000000001" customHeight="1" x14ac:dyDescent="0.25">
      <c r="D60" s="1" t="s">
        <v>219</v>
      </c>
      <c r="E60" s="134" cm="1">
        <f t="array" ref="E60">Common_InputFunctions.Utility_LookupValueInTableNumber($E$50, Table_SourceData_Dairy_ProductionSystemTemplates[Area],Table_SourceData_Dairy_ProductionSystemTemplates[Feedpad])</f>
        <v>0.35599999999999998</v>
      </c>
      <c r="F60" s="134" cm="1">
        <f t="array" ref="F60">Common_InputFunctions.Utility_LookupValueInTableNumber($E$50, Table_SourceData_Dairy_ProductionSystemTemplates[Area],Table_SourceData_Dairy_ProductionSystemTemplates[Feedpad])</f>
        <v>0.35599999999999998</v>
      </c>
      <c r="G60" s="134" cm="1">
        <f t="array" ref="G60">Common_InputFunctions.Utility_LookupValueInTableNumber($E$50, Table_SourceData_Dairy_ProductionSystemTemplates[Area],Table_SourceData_Dairy_ProductionSystemTemplates[Feedpad])</f>
        <v>0.35599999999999998</v>
      </c>
      <c r="H60" s="134" cm="1">
        <f t="array" ref="H60">Common_InputFunctions.Utility_LookupValueInTableNumber($E$50, Table_SourceData_Dairy_ProductionSystemTemplates[Area],Table_SourceData_Dairy_ProductionSystemTemplates[Feedpad])</f>
        <v>0.35599999999999998</v>
      </c>
      <c r="I60" s="134" cm="1">
        <f t="array" ref="I60">Common_InputFunctions.Utility_LookupValueInTableNumber($E$50, Table_SourceData_Dairy_ProductionSystemTemplates[Area],Table_SourceData_Dairy_ProductionSystemTemplates[Feedpad])</f>
        <v>0.35599999999999998</v>
      </c>
      <c r="J60" s="2" t="s">
        <v>20</v>
      </c>
      <c r="K60" s="3"/>
      <c r="O60" s="7"/>
    </row>
    <row r="61" spans="4:15" ht="20.100000000000001" customHeight="1" x14ac:dyDescent="0.25">
      <c r="E61" s="146"/>
      <c r="K61" s="3"/>
      <c r="O61" s="7"/>
    </row>
    <row r="62" spans="4:15" ht="20.100000000000001" customHeight="1" x14ac:dyDescent="0.25">
      <c r="K62" s="3"/>
      <c r="O62" s="7"/>
    </row>
    <row r="63" spans="4:15" ht="20.100000000000001" customHeight="1" x14ac:dyDescent="0.25">
      <c r="D63" s="6" t="s">
        <v>104</v>
      </c>
      <c r="F63" s="136"/>
      <c r="K63" s="3"/>
      <c r="O63" s="7"/>
    </row>
    <row r="64" spans="4:15" ht="20.100000000000001" customHeight="1" x14ac:dyDescent="0.25">
      <c r="D64" s="51" t="str">
        <f>"From " &amp; $D$54</f>
        <v>From Milking shed</v>
      </c>
      <c r="K64" s="3"/>
      <c r="O64" s="7"/>
    </row>
    <row r="65" spans="4:15" ht="20.100000000000001" customHeight="1" x14ac:dyDescent="0.25">
      <c r="K65" s="3"/>
      <c r="O65" s="7"/>
    </row>
    <row r="66" spans="4:15" ht="20.100000000000001" customHeight="1" x14ac:dyDescent="0.25">
      <c r="D66" s="66" t="s">
        <v>103</v>
      </c>
      <c r="E66" s="41" t="s">
        <v>189</v>
      </c>
      <c r="F66" s="41" t="s">
        <v>206</v>
      </c>
      <c r="G66" s="41" t="s">
        <v>207</v>
      </c>
      <c r="H66" s="41" t="s">
        <v>208</v>
      </c>
      <c r="I66" s="41" t="s">
        <v>209</v>
      </c>
      <c r="K66" s="3"/>
      <c r="O66" s="7"/>
    </row>
    <row r="67" spans="4:15" ht="20.100000000000001" customHeight="1" x14ac:dyDescent="0.25">
      <c r="D67" s="56" t="str">
        <f>'Constants - Dairy'!$D$8</f>
        <v>Anaerobic lagoon</v>
      </c>
      <c r="E67" s="49">
        <v>0.25</v>
      </c>
      <c r="F67" s="49">
        <v>0.25</v>
      </c>
      <c r="G67" s="49">
        <v>0.25</v>
      </c>
      <c r="H67" s="49">
        <v>0.25</v>
      </c>
      <c r="I67" s="49">
        <v>0.25</v>
      </c>
      <c r="J67" s="2" t="s">
        <v>20</v>
      </c>
      <c r="K67" s="3"/>
      <c r="O67" s="7"/>
    </row>
    <row r="68" spans="4:15" ht="20.100000000000001" customHeight="1" x14ac:dyDescent="0.25">
      <c r="D68" s="1" t="str">
        <f>"Were solids separated from " &amp; $D$67 &amp; "?"</f>
        <v>Were solids separated from Anaerobic lagoon?</v>
      </c>
      <c r="E68" s="42" t="s">
        <v>224</v>
      </c>
      <c r="F68" s="2" t="s">
        <v>11</v>
      </c>
      <c r="K68" s="3"/>
      <c r="O68" s="7"/>
    </row>
    <row r="69" spans="4:15" ht="20.100000000000001" customHeight="1" x14ac:dyDescent="0.25">
      <c r="D69" s="1" t="str">
        <f>"Percent solids separated from " &amp; $D$67 &amp; " (Method 1 - Do not edit)"</f>
        <v>Percent solids separated from Anaerobic lagoon (Method 1 - Do not edit)</v>
      </c>
      <c r="E69" s="101">
        <v>0.2</v>
      </c>
      <c r="F69" s="2" t="s">
        <v>20</v>
      </c>
      <c r="K69" s="3"/>
      <c r="O69" s="7"/>
    </row>
    <row r="70" spans="4:15" ht="20.100000000000001" customHeight="1" x14ac:dyDescent="0.25">
      <c r="D70" s="1" t="str">
        <f>"Percent solids separated from " &amp; $D$67 &amp; " (Method 2 - Edit if known)"</f>
        <v>Percent solids separated from Anaerobic lagoon (Method 2 - Edit if known)</v>
      </c>
      <c r="E70" s="49">
        <v>0.2</v>
      </c>
      <c r="F70" s="2" t="s">
        <v>20</v>
      </c>
      <c r="K70" s="3"/>
      <c r="O70" s="7"/>
    </row>
    <row r="71" spans="4:15" ht="20.100000000000001" customHeight="1" x14ac:dyDescent="0.25">
      <c r="K71" s="3"/>
      <c r="O71" s="7"/>
    </row>
    <row r="72" spans="4:15" ht="20.100000000000001" customHeight="1" x14ac:dyDescent="0.25">
      <c r="D72" s="56" t="str">
        <f>'Constants - Dairy'!$D$9</f>
        <v>Sump and dispersal system</v>
      </c>
      <c r="E72" s="49">
        <v>0.25</v>
      </c>
      <c r="F72" s="49">
        <v>0.25</v>
      </c>
      <c r="G72" s="49">
        <v>0.25</v>
      </c>
      <c r="H72" s="49">
        <v>0.25</v>
      </c>
      <c r="I72" s="49">
        <v>0.25</v>
      </c>
      <c r="J72" s="2" t="s">
        <v>20</v>
      </c>
      <c r="O72" s="7"/>
    </row>
    <row r="73" spans="4:15" ht="20.100000000000001" customHeight="1" x14ac:dyDescent="0.25">
      <c r="D73" s="1" t="str">
        <f>"Were solids separated from " &amp; $D$72 &amp; "?"</f>
        <v>Were solids separated from Sump and dispersal system?</v>
      </c>
      <c r="E73" s="42" t="s">
        <v>224</v>
      </c>
      <c r="F73" s="2" t="s">
        <v>11</v>
      </c>
      <c r="O73" s="7"/>
    </row>
    <row r="74" spans="4:15" ht="20.100000000000001" customHeight="1" x14ac:dyDescent="0.25">
      <c r="D74" s="1" t="str">
        <f>"Percent solids separated from " &amp; $D$72 &amp; " (Method 1 - Do not edit)"</f>
        <v>Percent solids separated from Sump and dispersal system (Method 1 - Do not edit)</v>
      </c>
      <c r="E74" s="101">
        <v>0.2</v>
      </c>
      <c r="F74" s="2" t="s">
        <v>20</v>
      </c>
      <c r="O74" s="7"/>
    </row>
    <row r="75" spans="4:15" ht="20.100000000000001" customHeight="1" x14ac:dyDescent="0.25">
      <c r="D75" s="1" t="str">
        <f>"Percent solids separated from " &amp; $D$72 &amp; " (Method 2 - Edit if known)"</f>
        <v>Percent solids separated from Sump and dispersal system (Method 2 - Edit if known)</v>
      </c>
      <c r="E75" s="49">
        <v>0.2</v>
      </c>
      <c r="F75" s="2" t="s">
        <v>20</v>
      </c>
      <c r="O75" s="7"/>
    </row>
    <row r="76" spans="4:15" ht="20.100000000000001" customHeight="1" x14ac:dyDescent="0.25">
      <c r="O76" s="7"/>
    </row>
    <row r="77" spans="4:15" ht="20.100000000000001" customHeight="1" x14ac:dyDescent="0.25">
      <c r="D77" s="56" t="str">
        <f>'Constants - Dairy'!$D$10</f>
        <v>Drains to paddock</v>
      </c>
      <c r="E77" s="49">
        <v>0.25</v>
      </c>
      <c r="F77" s="49">
        <v>0.25</v>
      </c>
      <c r="G77" s="49">
        <v>0.25</v>
      </c>
      <c r="H77" s="49">
        <v>0.25</v>
      </c>
      <c r="I77" s="49">
        <v>0.25</v>
      </c>
      <c r="J77" s="2" t="s">
        <v>20</v>
      </c>
      <c r="O77" s="7"/>
    </row>
    <row r="78" spans="4:15" ht="20.100000000000001" customHeight="1" x14ac:dyDescent="0.25">
      <c r="D78" s="1" t="str">
        <f>"Were solids separated from " &amp; $D$77 &amp; "?"</f>
        <v>Were solids separated from Drains to paddock?</v>
      </c>
      <c r="E78" s="42" t="s">
        <v>224</v>
      </c>
      <c r="F78" s="2" t="s">
        <v>11</v>
      </c>
      <c r="O78" s="7"/>
    </row>
    <row r="79" spans="4:15" ht="20.100000000000001" customHeight="1" x14ac:dyDescent="0.25">
      <c r="D79" s="1" t="str">
        <f>"Percent solids separated from " &amp; $D$77 &amp; " (Method 1 - Do not edit)"</f>
        <v>Percent solids separated from Drains to paddock (Method 1 - Do not edit)</v>
      </c>
      <c r="E79" s="101">
        <v>0.2</v>
      </c>
      <c r="F79" s="2" t="s">
        <v>20</v>
      </c>
      <c r="O79" s="7"/>
    </row>
    <row r="80" spans="4:15" ht="20.100000000000001" customHeight="1" x14ac:dyDescent="0.25">
      <c r="D80" s="1" t="str">
        <f>"Percent solids separated from " &amp; $D$77 &amp; " (Method 2 - Edit if known)"</f>
        <v>Percent solids separated from Drains to paddock (Method 2 - Edit if known)</v>
      </c>
      <c r="E80" s="49">
        <v>0.2</v>
      </c>
      <c r="F80" s="2" t="s">
        <v>20</v>
      </c>
      <c r="O80" s="7"/>
    </row>
    <row r="81" spans="4:15" ht="20.100000000000001" customHeight="1" x14ac:dyDescent="0.25">
      <c r="O81" s="7"/>
    </row>
    <row r="82" spans="4:15" ht="20.100000000000001" customHeight="1" x14ac:dyDescent="0.25">
      <c r="D82" s="56" t="str">
        <f>'Constants - Dairy'!$D$11</f>
        <v>Solid storage</v>
      </c>
      <c r="E82" s="49">
        <v>0.25</v>
      </c>
      <c r="F82" s="49">
        <v>0.25</v>
      </c>
      <c r="G82" s="49">
        <v>0.25</v>
      </c>
      <c r="H82" s="49">
        <v>0.25</v>
      </c>
      <c r="I82" s="49">
        <v>0.25</v>
      </c>
      <c r="J82" s="2" t="s">
        <v>20</v>
      </c>
      <c r="O82" s="7"/>
    </row>
    <row r="83" spans="4:15" ht="20.100000000000001" customHeight="1" x14ac:dyDescent="0.25">
      <c r="D83" s="1" t="str">
        <f>"Perecnt separated from " &amp; $D$67 &amp; " (Method 1)"</f>
        <v>Perecnt separated from Anaerobic lagoon (Method 1)</v>
      </c>
      <c r="E83" s="101">
        <f>E67*$E$69</f>
        <v>0.05</v>
      </c>
      <c r="F83" s="101">
        <f>F67*$E$69</f>
        <v>0.05</v>
      </c>
      <c r="G83" s="101">
        <f>G67*$E$69</f>
        <v>0.05</v>
      </c>
      <c r="H83" s="101">
        <f>H67*$E$69</f>
        <v>0.05</v>
      </c>
      <c r="I83" s="101">
        <f>I67*$E$69</f>
        <v>0.05</v>
      </c>
      <c r="J83" s="2" t="s">
        <v>20</v>
      </c>
      <c r="O83" s="7"/>
    </row>
    <row r="84" spans="4:15" ht="20.100000000000001" customHeight="1" x14ac:dyDescent="0.25">
      <c r="D84" s="1" t="str">
        <f>"Perecnt separated from " &amp; $D$72 &amp; " (Method 1)"</f>
        <v>Perecnt separated from Sump and dispersal system (Method 1)</v>
      </c>
      <c r="E84" s="101">
        <f>E72*$E$74</f>
        <v>0.05</v>
      </c>
      <c r="F84" s="101">
        <f>F72*$E$74</f>
        <v>0.05</v>
      </c>
      <c r="G84" s="101">
        <f>G72*$E$74</f>
        <v>0.05</v>
      </c>
      <c r="H84" s="101">
        <f>H72*$E$74</f>
        <v>0.05</v>
      </c>
      <c r="I84" s="101">
        <f>I72*$E$74</f>
        <v>0.05</v>
      </c>
      <c r="J84" s="2" t="s">
        <v>20</v>
      </c>
      <c r="O84" s="7"/>
    </row>
    <row r="85" spans="4:15" ht="20.100000000000001" customHeight="1" x14ac:dyDescent="0.25">
      <c r="D85" s="1" t="str">
        <f>"Perecnt separated from " &amp; $D$77 &amp; " (Method 1)"</f>
        <v>Perecnt separated from Drains to paddock (Method 1)</v>
      </c>
      <c r="E85" s="101">
        <f>E77*$E$79</f>
        <v>0.05</v>
      </c>
      <c r="F85" s="101">
        <f>F77*$E$79</f>
        <v>0.05</v>
      </c>
      <c r="G85" s="101">
        <f>G77*$E$79</f>
        <v>0.05</v>
      </c>
      <c r="H85" s="101">
        <f>H77*$E$79</f>
        <v>0.05</v>
      </c>
      <c r="I85" s="101">
        <f>I77*$E$79</f>
        <v>0.05</v>
      </c>
      <c r="J85" s="2" t="s">
        <v>20</v>
      </c>
      <c r="O85" s="7"/>
    </row>
    <row r="86" spans="4:15" ht="20.100000000000001" customHeight="1" x14ac:dyDescent="0.25">
      <c r="D86" s="1" t="s">
        <v>226</v>
      </c>
      <c r="E86" s="101">
        <f>E$82+SUM(E83:E85)</f>
        <v>0.4</v>
      </c>
      <c r="F86" s="101">
        <f>F$82+SUM(F83:F85)</f>
        <v>0.4</v>
      </c>
      <c r="G86" s="101">
        <f>G$82+SUM(G83:G85)</f>
        <v>0.4</v>
      </c>
      <c r="H86" s="101">
        <f>H$82+SUM(H83:H85)</f>
        <v>0.4</v>
      </c>
      <c r="I86" s="101">
        <f>I$82+SUM(I83:I85)</f>
        <v>0.4</v>
      </c>
      <c r="J86" s="2" t="s">
        <v>20</v>
      </c>
      <c r="O86" s="7"/>
    </row>
    <row r="87" spans="4:15" ht="20.100000000000001" customHeight="1" x14ac:dyDescent="0.25">
      <c r="O87" s="7"/>
    </row>
    <row r="88" spans="4:15" ht="20.100000000000001" customHeight="1" x14ac:dyDescent="0.25">
      <c r="D88" s="1" t="s">
        <v>225</v>
      </c>
      <c r="E88" s="101">
        <f>(E67-(E67*$E$69))+(E72-(E72*$E$74))+(E77-(E77*$E$79))+E86</f>
        <v>1</v>
      </c>
      <c r="F88" s="101">
        <f>(F67-(F67*$E$69))+(F72-(F72*$E$74))+(F77-(F77*$E$79))+F86</f>
        <v>1</v>
      </c>
      <c r="G88" s="101">
        <f>(G67-(G67*$E$69))+(G72-(G72*$E$74))+(G77-(G77*$E$79))+G86</f>
        <v>1</v>
      </c>
      <c r="H88" s="101">
        <f>(H67-(H67*$E$69))+(H72-(H72*$E$74))+(H77-(H77*$E$79))+H86</f>
        <v>1</v>
      </c>
      <c r="I88" s="101">
        <f>(I67-(I67*$E$69))+(I72-(I72*$E$74))+(I77-(I77*$E$79))+I86</f>
        <v>1</v>
      </c>
      <c r="J88" s="2" t="s">
        <v>20</v>
      </c>
      <c r="O88" s="7"/>
    </row>
    <row r="89" spans="4:15" ht="20.100000000000001" customHeight="1" x14ac:dyDescent="0.25">
      <c r="O89" s="7"/>
    </row>
    <row r="90" spans="4:15" ht="20.100000000000001" customHeight="1" x14ac:dyDescent="0.25">
      <c r="D90" s="1" t="str">
        <f>"Perecnt separated from " &amp; $D$67 &amp; " (Method 2)"</f>
        <v>Perecnt separated from Anaerobic lagoon (Method 2)</v>
      </c>
      <c r="E90" s="101">
        <f>E67*$E$70</f>
        <v>0.05</v>
      </c>
      <c r="F90" s="101">
        <f>F67*$E$70</f>
        <v>0.05</v>
      </c>
      <c r="G90" s="101">
        <f>G67*$E$70</f>
        <v>0.05</v>
      </c>
      <c r="H90" s="101">
        <f>H67*$E$70</f>
        <v>0.05</v>
      </c>
      <c r="I90" s="101">
        <f>I67*$E$70</f>
        <v>0.05</v>
      </c>
      <c r="J90" s="2" t="s">
        <v>20</v>
      </c>
      <c r="O90" s="7"/>
    </row>
    <row r="91" spans="4:15" ht="20.100000000000001" customHeight="1" x14ac:dyDescent="0.25">
      <c r="D91" s="1" t="str">
        <f>"Perecnt separated from " &amp; $D$72 &amp; " (Method 2)"</f>
        <v>Perecnt separated from Sump and dispersal system (Method 2)</v>
      </c>
      <c r="E91" s="101">
        <f>E72*$E$75</f>
        <v>0.05</v>
      </c>
      <c r="F91" s="101">
        <f>F72*$E$75</f>
        <v>0.05</v>
      </c>
      <c r="G91" s="101">
        <f>G72*$E$75</f>
        <v>0.05</v>
      </c>
      <c r="H91" s="101">
        <f>H72*$E$75</f>
        <v>0.05</v>
      </c>
      <c r="I91" s="101">
        <f>I72*$E$75</f>
        <v>0.05</v>
      </c>
      <c r="J91" s="2" t="s">
        <v>20</v>
      </c>
      <c r="O91" s="7"/>
    </row>
    <row r="92" spans="4:15" ht="20.100000000000001" customHeight="1" x14ac:dyDescent="0.25">
      <c r="D92" s="1" t="str">
        <f>"Perecnt separated from " &amp; $D$77 &amp; " (Method 2)"</f>
        <v>Perecnt separated from Drains to paddock (Method 2)</v>
      </c>
      <c r="E92" s="101">
        <f>E77*$E$80</f>
        <v>0.05</v>
      </c>
      <c r="F92" s="101">
        <f>F77*$E$80</f>
        <v>0.05</v>
      </c>
      <c r="G92" s="101">
        <f>G77*$E$80</f>
        <v>0.05</v>
      </c>
      <c r="H92" s="101">
        <f>H77*$E$80</f>
        <v>0.05</v>
      </c>
      <c r="I92" s="101">
        <f>I77*$E$80</f>
        <v>0.05</v>
      </c>
      <c r="J92" s="2" t="s">
        <v>20</v>
      </c>
      <c r="O92" s="7"/>
    </row>
    <row r="93" spans="4:15" ht="20.100000000000001" customHeight="1" x14ac:dyDescent="0.25">
      <c r="D93" s="1" t="s">
        <v>227</v>
      </c>
      <c r="E93" s="101">
        <f>E$82+SUM(E90:E92)</f>
        <v>0.4</v>
      </c>
      <c r="F93" s="101">
        <f>F$82+SUM(F90:F92)</f>
        <v>0.4</v>
      </c>
      <c r="G93" s="101">
        <f>G$82+SUM(G90:G92)</f>
        <v>0.4</v>
      </c>
      <c r="H93" s="101">
        <f>H$82+SUM(H90:H92)</f>
        <v>0.4</v>
      </c>
      <c r="I93" s="101">
        <f>I$82+SUM(I90:I92)</f>
        <v>0.4</v>
      </c>
      <c r="J93" s="2" t="s">
        <v>20</v>
      </c>
      <c r="O93" s="7"/>
    </row>
    <row r="94" spans="4:15" ht="20.100000000000001" customHeight="1" x14ac:dyDescent="0.25">
      <c r="O94" s="7"/>
    </row>
    <row r="95" spans="4:15" ht="20.100000000000001" customHeight="1" x14ac:dyDescent="0.25">
      <c r="D95" s="1" t="s">
        <v>228</v>
      </c>
      <c r="E95" s="101">
        <f>(E67-(E67*$E$70))+(E72-(E72*$E$75))+(E77-(E77*$E$80))+E93</f>
        <v>1</v>
      </c>
      <c r="F95" s="101">
        <f>(F67-(F67*$E$70))+(F72-(F72*$E$75))+(F77-(F77*$E$80))+F93</f>
        <v>1</v>
      </c>
      <c r="G95" s="101">
        <f>(G67-(G67*$E$70))+(G72-(G72*$E$75))+(G77-(G77*$E$80))+G93</f>
        <v>1</v>
      </c>
      <c r="H95" s="101">
        <f>(H67-(H67*$E$70))+(H72-(H72*$E$75))+(H77-(H77*$E$80))+H93</f>
        <v>1</v>
      </c>
      <c r="I95" s="101">
        <f>(I67-(I67*$E$70))+(I72-(I72*$E$75))+(I77-(I77*$E$80))+I93</f>
        <v>1</v>
      </c>
      <c r="J95" s="2" t="s">
        <v>20</v>
      </c>
      <c r="O95" s="7"/>
    </row>
    <row r="96" spans="4:15" ht="20.100000000000001" customHeight="1" x14ac:dyDescent="0.25">
      <c r="O96" s="7"/>
    </row>
    <row r="97" spans="4:15" ht="20.100000000000001" customHeight="1" x14ac:dyDescent="0.25">
      <c r="O97" s="7"/>
    </row>
    <row r="98" spans="4:15" ht="20.100000000000001" customHeight="1" x14ac:dyDescent="0.25">
      <c r="D98" s="51" t="str">
        <f>"From " &amp; $D$55</f>
        <v>From Feed pad</v>
      </c>
      <c r="O98" s="7"/>
    </row>
    <row r="99" spans="4:15" ht="20.100000000000001" customHeight="1" x14ac:dyDescent="0.25">
      <c r="O99" s="7"/>
    </row>
    <row r="100" spans="4:15" ht="20.100000000000001" customHeight="1" x14ac:dyDescent="0.25">
      <c r="D100" s="66" t="s">
        <v>103</v>
      </c>
      <c r="E100" s="41" t="s">
        <v>189</v>
      </c>
      <c r="F100" s="41" t="s">
        <v>206</v>
      </c>
      <c r="G100" s="41" t="s">
        <v>207</v>
      </c>
      <c r="H100" s="41" t="s">
        <v>208</v>
      </c>
      <c r="I100" s="41" t="s">
        <v>209</v>
      </c>
      <c r="O100" s="7"/>
    </row>
    <row r="101" spans="4:15" ht="20.100000000000001" customHeight="1" x14ac:dyDescent="0.25">
      <c r="D101" s="56" t="str">
        <f>'Constants - Dairy'!$D$8</f>
        <v>Anaerobic lagoon</v>
      </c>
      <c r="E101" s="49">
        <v>0.25</v>
      </c>
      <c r="F101" s="49">
        <v>0.25</v>
      </c>
      <c r="G101" s="49">
        <v>0.25</v>
      </c>
      <c r="H101" s="49">
        <v>0.25</v>
      </c>
      <c r="I101" s="49">
        <v>0.25</v>
      </c>
      <c r="J101" s="2" t="s">
        <v>20</v>
      </c>
      <c r="O101" s="7"/>
    </row>
    <row r="102" spans="4:15" ht="20.100000000000001" customHeight="1" x14ac:dyDescent="0.25">
      <c r="D102" s="1" t="str">
        <f>"Were solids separated from " &amp; $D$67 &amp; "?"</f>
        <v>Were solids separated from Anaerobic lagoon?</v>
      </c>
      <c r="E102" s="42" t="s">
        <v>231</v>
      </c>
      <c r="F102" s="2" t="s">
        <v>11</v>
      </c>
      <c r="O102" s="7"/>
    </row>
    <row r="103" spans="4:15" ht="20.100000000000001" customHeight="1" x14ac:dyDescent="0.25">
      <c r="D103" s="1" t="str">
        <f>"Percent solids separated from " &amp; $D$67 &amp; " (Method 1 - Do not edit)"</f>
        <v>Percent solids separated from Anaerobic lagoon (Method 1 - Do not edit)</v>
      </c>
      <c r="E103" s="101">
        <f>IF(E102="Yes", 20%, 0)</f>
        <v>0</v>
      </c>
      <c r="F103" s="2" t="s">
        <v>20</v>
      </c>
      <c r="O103" s="7"/>
    </row>
    <row r="104" spans="4:15" ht="20.100000000000001" customHeight="1" x14ac:dyDescent="0.25">
      <c r="D104" s="1" t="str">
        <f>"Percent solids separated from " &amp; $D$67 &amp; " (Method 2 - Edit if known)"</f>
        <v>Percent solids separated from Anaerobic lagoon (Method 2 - Edit if known)</v>
      </c>
      <c r="E104" s="49">
        <f>IF(E102="Yes", 20%, 0)</f>
        <v>0</v>
      </c>
      <c r="F104" s="2" t="s">
        <v>20</v>
      </c>
      <c r="O104" s="7"/>
    </row>
    <row r="105" spans="4:15" ht="20.100000000000001" customHeight="1" x14ac:dyDescent="0.25">
      <c r="O105" s="7"/>
    </row>
    <row r="106" spans="4:15" ht="20.100000000000001" customHeight="1" x14ac:dyDescent="0.25">
      <c r="D106" s="56" t="str">
        <f>'Constants - Dairy'!$D$9</f>
        <v>Sump and dispersal system</v>
      </c>
      <c r="E106" s="49">
        <v>0.25</v>
      </c>
      <c r="F106" s="49">
        <v>0.25</v>
      </c>
      <c r="G106" s="49">
        <v>0.25</v>
      </c>
      <c r="H106" s="49">
        <v>0.25</v>
      </c>
      <c r="I106" s="49">
        <v>0.25</v>
      </c>
      <c r="J106" s="2" t="s">
        <v>20</v>
      </c>
      <c r="O106" s="7"/>
    </row>
    <row r="107" spans="4:15" ht="20.100000000000001" customHeight="1" x14ac:dyDescent="0.25">
      <c r="D107" s="1" t="str">
        <f>"Were solids separated from " &amp; $D$72 &amp; "?"</f>
        <v>Were solids separated from Sump and dispersal system?</v>
      </c>
      <c r="E107" s="42" t="s">
        <v>224</v>
      </c>
      <c r="F107" s="2" t="s">
        <v>11</v>
      </c>
    </row>
    <row r="108" spans="4:15" ht="20.100000000000001" customHeight="1" x14ac:dyDescent="0.25">
      <c r="D108" s="1" t="str">
        <f>"Percent solids separated from " &amp; $D$72 &amp; " (Method 1 - Do not edit)"</f>
        <v>Percent solids separated from Sump and dispersal system (Method 1 - Do not edit)</v>
      </c>
      <c r="E108" s="101">
        <f>IF(E107="Yes", 20%, 0)</f>
        <v>0.2</v>
      </c>
      <c r="F108" s="2" t="s">
        <v>20</v>
      </c>
    </row>
    <row r="109" spans="4:15" ht="20.100000000000001" customHeight="1" x14ac:dyDescent="0.25">
      <c r="D109" s="1" t="str">
        <f>"Percent solids separated from " &amp; $D$72 &amp; " (Method 2 - Edit if known)"</f>
        <v>Percent solids separated from Sump and dispersal system (Method 2 - Edit if known)</v>
      </c>
      <c r="E109" s="49">
        <f>IF(E107="Yes", 20%, 0)</f>
        <v>0.2</v>
      </c>
      <c r="F109" s="2" t="s">
        <v>20</v>
      </c>
    </row>
    <row r="110" spans="4:15" ht="20.100000000000001" customHeight="1" x14ac:dyDescent="0.25"/>
    <row r="111" spans="4:15" ht="20.100000000000001" customHeight="1" x14ac:dyDescent="0.25">
      <c r="D111" s="56" t="str">
        <f>'Constants - Dairy'!$D$10</f>
        <v>Drains to paddock</v>
      </c>
      <c r="E111" s="49">
        <v>0.25</v>
      </c>
      <c r="F111" s="49">
        <v>0.25</v>
      </c>
      <c r="G111" s="49">
        <v>0.25</v>
      </c>
      <c r="H111" s="49">
        <v>0.25</v>
      </c>
      <c r="I111" s="49">
        <v>0.25</v>
      </c>
      <c r="J111" s="2" t="s">
        <v>20</v>
      </c>
    </row>
    <row r="112" spans="4:15" ht="20.100000000000001" customHeight="1" x14ac:dyDescent="0.25">
      <c r="D112" s="1" t="str">
        <f>"Were solids separated from " &amp; $D$77 &amp; "?"</f>
        <v>Were solids separated from Drains to paddock?</v>
      </c>
      <c r="E112" s="42" t="s">
        <v>224</v>
      </c>
      <c r="F112" s="2" t="s">
        <v>11</v>
      </c>
    </row>
    <row r="113" spans="4:10" ht="20.100000000000001" customHeight="1" x14ac:dyDescent="0.25">
      <c r="D113" s="1" t="str">
        <f>"Percent solids separated from " &amp; $D$77 &amp; " (Method 1 - Do not edit)"</f>
        <v>Percent solids separated from Drains to paddock (Method 1 - Do not edit)</v>
      </c>
      <c r="E113" s="101">
        <f>IF(E112="Yes", 20%, 0)</f>
        <v>0.2</v>
      </c>
      <c r="F113" s="2" t="s">
        <v>20</v>
      </c>
    </row>
    <row r="114" spans="4:10" ht="20.100000000000001" customHeight="1" x14ac:dyDescent="0.25">
      <c r="D114" s="1" t="str">
        <f>"Percent solids separated from " &amp; $D$77 &amp; " (Method 2 - Edit if known)"</f>
        <v>Percent solids separated from Drains to paddock (Method 2 - Edit if known)</v>
      </c>
      <c r="E114" s="49">
        <f>IF(E112="Yes", 20%, 0)</f>
        <v>0.2</v>
      </c>
      <c r="F114" s="2" t="s">
        <v>20</v>
      </c>
    </row>
    <row r="115" spans="4:10" ht="20.100000000000001" customHeight="1" x14ac:dyDescent="0.25"/>
    <row r="116" spans="4:10" ht="20.100000000000001" customHeight="1" x14ac:dyDescent="0.25">
      <c r="D116" s="56" t="str">
        <f>'Constants - Dairy'!$D$11</f>
        <v>Solid storage</v>
      </c>
      <c r="E116" s="49">
        <v>0.25</v>
      </c>
      <c r="F116" s="49">
        <v>0.25</v>
      </c>
      <c r="G116" s="49">
        <v>0.25</v>
      </c>
      <c r="H116" s="49">
        <v>0.25</v>
      </c>
      <c r="I116" s="49">
        <v>0.25</v>
      </c>
      <c r="J116" s="2" t="s">
        <v>20</v>
      </c>
    </row>
    <row r="117" spans="4:10" ht="20.100000000000001" customHeight="1" x14ac:dyDescent="0.25">
      <c r="D117" s="1" t="str">
        <f>"Perecnt separated from " &amp; $D$67 &amp; " (Method 1)"</f>
        <v>Perecnt separated from Anaerobic lagoon (Method 1)</v>
      </c>
      <c r="E117" s="101">
        <f>E101*$E$103</f>
        <v>0</v>
      </c>
      <c r="F117" s="101">
        <f>F101*$E$103</f>
        <v>0</v>
      </c>
      <c r="G117" s="101">
        <f>G101*$E$103</f>
        <v>0</v>
      </c>
      <c r="H117" s="101">
        <f>H101*$E$103</f>
        <v>0</v>
      </c>
      <c r="I117" s="101">
        <f>I101*$E$103</f>
        <v>0</v>
      </c>
      <c r="J117" s="2" t="s">
        <v>20</v>
      </c>
    </row>
    <row r="118" spans="4:10" ht="20.100000000000001" customHeight="1" x14ac:dyDescent="0.25">
      <c r="D118" s="1" t="str">
        <f>"Perecnt separated from " &amp; $D$72 &amp; " (Method 1)"</f>
        <v>Perecnt separated from Sump and dispersal system (Method 1)</v>
      </c>
      <c r="E118" s="101">
        <f>E106*$E$108</f>
        <v>0.05</v>
      </c>
      <c r="F118" s="101">
        <f>F106*$E$108</f>
        <v>0.05</v>
      </c>
      <c r="G118" s="101">
        <f>G106*$E$108</f>
        <v>0.05</v>
      </c>
      <c r="H118" s="101">
        <f>H106*$E$108</f>
        <v>0.05</v>
      </c>
      <c r="I118" s="101">
        <f>I106*$E$108</f>
        <v>0.05</v>
      </c>
      <c r="J118" s="2" t="s">
        <v>20</v>
      </c>
    </row>
    <row r="119" spans="4:10" ht="20.100000000000001" customHeight="1" x14ac:dyDescent="0.25">
      <c r="D119" s="1" t="str">
        <f>"Perecnt separated from " &amp; $D$77 &amp; " (Method 1)"</f>
        <v>Perecnt separated from Drains to paddock (Method 1)</v>
      </c>
      <c r="E119" s="101">
        <f>E111*$E$113</f>
        <v>0.05</v>
      </c>
      <c r="F119" s="101">
        <f>F111*$E$113</f>
        <v>0.05</v>
      </c>
      <c r="G119" s="101">
        <f>G111*$E$113</f>
        <v>0.05</v>
      </c>
      <c r="H119" s="101">
        <f>H111*$E$113</f>
        <v>0.05</v>
      </c>
      <c r="I119" s="101">
        <f>I111*$E$113</f>
        <v>0.05</v>
      </c>
      <c r="J119" s="2" t="s">
        <v>20</v>
      </c>
    </row>
    <row r="120" spans="4:10" ht="20.100000000000001" customHeight="1" x14ac:dyDescent="0.25">
      <c r="D120" s="1" t="s">
        <v>226</v>
      </c>
      <c r="E120" s="101">
        <f>E$116+SUM(E117:E119)</f>
        <v>0.35</v>
      </c>
      <c r="F120" s="101">
        <f>F$116+SUM(F117:F119)</f>
        <v>0.35</v>
      </c>
      <c r="G120" s="101">
        <f>G$116+SUM(G117:G119)</f>
        <v>0.35</v>
      </c>
      <c r="H120" s="101">
        <f>H$116+SUM(H117:H119)</f>
        <v>0.35</v>
      </c>
      <c r="I120" s="101">
        <f>I$116+SUM(I117:I119)</f>
        <v>0.35</v>
      </c>
      <c r="J120" s="2" t="s">
        <v>20</v>
      </c>
    </row>
    <row r="121" spans="4:10" ht="20.100000000000001" customHeight="1" x14ac:dyDescent="0.25"/>
    <row r="122" spans="4:10" ht="20.100000000000001" customHeight="1" x14ac:dyDescent="0.25">
      <c r="D122" s="1" t="s">
        <v>225</v>
      </c>
      <c r="E122" s="101">
        <f>(E101-(E101*$E$103))+(E106-(E106*$E$108))+(E111-(E111*$E$113))+E120</f>
        <v>1</v>
      </c>
      <c r="F122" s="101">
        <f>(F101-(F101*$E$103))+(F106-(F106*$E$108))+(F111-(F111*$E$113))+F120</f>
        <v>1</v>
      </c>
      <c r="G122" s="101">
        <f>(G101-(G101*$E$103))+(G106-(G106*$E$108))+(G111-(G111*$E$113))+G120</f>
        <v>1</v>
      </c>
      <c r="H122" s="101">
        <f>(H101-(H101*$E$103))+(H106-(H106*$E$108))+(H111-(H111*$E$113))+H120</f>
        <v>1</v>
      </c>
      <c r="I122" s="101">
        <f>(I101-(I101*$E$103))+(I106-(I106*$E$108))+(I111-(I111*$E$113))+I120</f>
        <v>1</v>
      </c>
      <c r="J122" s="2" t="s">
        <v>20</v>
      </c>
    </row>
    <row r="123" spans="4:10" ht="20.100000000000001" customHeight="1" x14ac:dyDescent="0.25"/>
    <row r="124" spans="4:10" ht="20.100000000000001" customHeight="1" x14ac:dyDescent="0.25">
      <c r="D124" s="1" t="str">
        <f>"Perecnt separated from " &amp; $D$67 &amp; " (Method 2)"</f>
        <v>Perecnt separated from Anaerobic lagoon (Method 2)</v>
      </c>
      <c r="E124" s="101">
        <f>E101*$E$104</f>
        <v>0</v>
      </c>
      <c r="F124" s="101">
        <f>F101*$E$104</f>
        <v>0</v>
      </c>
      <c r="G124" s="101">
        <f>G101*$E$104</f>
        <v>0</v>
      </c>
      <c r="H124" s="101">
        <f>H101*$E$104</f>
        <v>0</v>
      </c>
      <c r="I124" s="101">
        <f>I101*$E$104</f>
        <v>0</v>
      </c>
      <c r="J124" s="2" t="s">
        <v>20</v>
      </c>
    </row>
    <row r="125" spans="4:10" ht="20.100000000000001" customHeight="1" x14ac:dyDescent="0.25">
      <c r="D125" s="1" t="str">
        <f>"Perecnt separated from " &amp; $D$72 &amp; " (Method 2)"</f>
        <v>Perecnt separated from Sump and dispersal system (Method 2)</v>
      </c>
      <c r="E125" s="101">
        <f>E106*$E$109</f>
        <v>0.05</v>
      </c>
      <c r="F125" s="101">
        <f>F106*$E$109</f>
        <v>0.05</v>
      </c>
      <c r="G125" s="101">
        <f>G106*$E$109</f>
        <v>0.05</v>
      </c>
      <c r="H125" s="101">
        <f>H106*$E$109</f>
        <v>0.05</v>
      </c>
      <c r="I125" s="101">
        <f>I106*$E$109</f>
        <v>0.05</v>
      </c>
      <c r="J125" s="2" t="s">
        <v>20</v>
      </c>
    </row>
    <row r="126" spans="4:10" ht="20.100000000000001" customHeight="1" x14ac:dyDescent="0.25">
      <c r="D126" s="1" t="str">
        <f>"Perecnt separated from " &amp; $D$77 &amp; " (Method 2)"</f>
        <v>Perecnt separated from Drains to paddock (Method 2)</v>
      </c>
      <c r="E126" s="101">
        <f>E111*$E$114</f>
        <v>0.05</v>
      </c>
      <c r="F126" s="101">
        <f>F111*$E$114</f>
        <v>0.05</v>
      </c>
      <c r="G126" s="101">
        <f>G111*$E$114</f>
        <v>0.05</v>
      </c>
      <c r="H126" s="101">
        <f>H111*$E$114</f>
        <v>0.05</v>
      </c>
      <c r="I126" s="101">
        <f>I111*$E$114</f>
        <v>0.05</v>
      </c>
      <c r="J126" s="2" t="s">
        <v>20</v>
      </c>
    </row>
    <row r="127" spans="4:10" ht="20.100000000000001" customHeight="1" x14ac:dyDescent="0.25">
      <c r="D127" s="1" t="s">
        <v>227</v>
      </c>
      <c r="E127" s="101">
        <f>E$116+SUM(E124:E126)</f>
        <v>0.35</v>
      </c>
      <c r="F127" s="101">
        <f>F$116+SUM(F124:F126)</f>
        <v>0.35</v>
      </c>
      <c r="G127" s="101">
        <f>G$116+SUM(G124:G126)</f>
        <v>0.35</v>
      </c>
      <c r="H127" s="101">
        <f>H$116+SUM(H124:H126)</f>
        <v>0.35</v>
      </c>
      <c r="I127" s="101">
        <f>I$116+SUM(I124:I126)</f>
        <v>0.35</v>
      </c>
      <c r="J127" s="2" t="s">
        <v>20</v>
      </c>
    </row>
    <row r="128" spans="4:10" ht="20.100000000000001" customHeight="1" x14ac:dyDescent="0.25">
      <c r="E128" s="136"/>
      <c r="F128" s="136"/>
    </row>
    <row r="129" spans="4:10" ht="20.100000000000001" customHeight="1" x14ac:dyDescent="0.25">
      <c r="D129" s="1" t="s">
        <v>228</v>
      </c>
      <c r="E129" s="101">
        <f>(E101-(E101*$E$104))+(E106-(E106*$E$109))+(E111-(E111*$E$114))+E127</f>
        <v>1</v>
      </c>
      <c r="F129" s="101">
        <f>(F101-(F101*$E$104))+(F106-(F106*$E$109))+(F111-(F111*$E$114))+F127</f>
        <v>1</v>
      </c>
      <c r="G129" s="101">
        <f>(G101-(G101*$E$104))+(G106-(G106*$E$109))+(G111-(G111*$E$114))+G127</f>
        <v>1</v>
      </c>
      <c r="H129" s="101">
        <f>(H101-(H101*$E$104))+(H106-(H106*$E$109))+(H111-(H111*$E$114))+H127</f>
        <v>1</v>
      </c>
      <c r="I129" s="101">
        <f>(I101-(I101*$E$104))+(I106-(I106*$E$109))+(I111-(I111*$E$114))+I127</f>
        <v>1</v>
      </c>
      <c r="J129" s="2" t="s">
        <v>20</v>
      </c>
    </row>
    <row r="130" spans="4:10" ht="20.100000000000001" customHeight="1" x14ac:dyDescent="0.25"/>
    <row r="131" spans="4:10" ht="20.100000000000001" customHeight="1" x14ac:dyDescent="0.25"/>
    <row r="132" spans="4:10" ht="20.100000000000001" customHeight="1" x14ac:dyDescent="0.25">
      <c r="D132" s="6" t="s">
        <v>229</v>
      </c>
    </row>
    <row r="133" spans="4:10" ht="20.100000000000001" customHeight="1" x14ac:dyDescent="0.25">
      <c r="D133" s="51" t="str">
        <f>"From " &amp; $D$54</f>
        <v>From Milking shed</v>
      </c>
    </row>
    <row r="134" spans="4:10" ht="20.100000000000001" customHeight="1" x14ac:dyDescent="0.25"/>
    <row r="135" spans="4:10" ht="20.100000000000001" customHeight="1" x14ac:dyDescent="0.25">
      <c r="D135" s="66" t="s">
        <v>103</v>
      </c>
      <c r="E135" s="41" t="s">
        <v>189</v>
      </c>
      <c r="F135" s="41" t="s">
        <v>206</v>
      </c>
      <c r="G135" s="41" t="s">
        <v>207</v>
      </c>
      <c r="H135" s="41" t="s">
        <v>208</v>
      </c>
      <c r="I135" s="41" t="s">
        <v>209</v>
      </c>
    </row>
    <row r="136" spans="4:10" ht="20.100000000000001" customHeight="1" x14ac:dyDescent="0.25">
      <c r="D136" s="56" t="str">
        <f>"Sent from stage 1: " &amp; $D$67 &amp; " to:"</f>
        <v>Sent from stage 1: Anaerobic lagoon to:</v>
      </c>
      <c r="E136" s="58"/>
    </row>
    <row r="137" spans="4:10" ht="20.100000000000001" customHeight="1" x14ac:dyDescent="0.25">
      <c r="D137" s="1" t="s">
        <v>112</v>
      </c>
      <c r="E137" s="49">
        <v>0.25</v>
      </c>
      <c r="F137" s="49">
        <v>0.25</v>
      </c>
      <c r="G137" s="49">
        <v>0.25</v>
      </c>
      <c r="H137" s="49">
        <v>0.25</v>
      </c>
      <c r="I137" s="49">
        <v>0.25</v>
      </c>
      <c r="J137" s="2" t="s">
        <v>20</v>
      </c>
    </row>
    <row r="138" spans="4:10" ht="20.100000000000001" customHeight="1" x14ac:dyDescent="0.25">
      <c r="D138" s="1" t="s">
        <v>233</v>
      </c>
      <c r="E138" s="49">
        <v>0.25</v>
      </c>
      <c r="F138" s="49">
        <v>0.25</v>
      </c>
      <c r="G138" s="49">
        <v>0.25</v>
      </c>
      <c r="H138" s="49">
        <v>0.25</v>
      </c>
      <c r="I138" s="49">
        <v>0.25</v>
      </c>
      <c r="J138" s="2" t="s">
        <v>20</v>
      </c>
    </row>
    <row r="139" spans="4:10" ht="20.100000000000001" customHeight="1" x14ac:dyDescent="0.25">
      <c r="D139" s="1" t="s">
        <v>137</v>
      </c>
      <c r="E139" s="101">
        <f t="shared" ref="E139:I139" si="1">1-SUM(E137:E138)</f>
        <v>0.5</v>
      </c>
      <c r="F139" s="101">
        <f t="shared" si="1"/>
        <v>0.5</v>
      </c>
      <c r="G139" s="101">
        <f t="shared" si="1"/>
        <v>0.5</v>
      </c>
      <c r="H139" s="101">
        <f t="shared" si="1"/>
        <v>0.5</v>
      </c>
      <c r="I139" s="101">
        <f t="shared" si="1"/>
        <v>0.5</v>
      </c>
      <c r="J139" s="2" t="s">
        <v>20</v>
      </c>
    </row>
    <row r="140" spans="4:10" ht="20.100000000000001" customHeight="1" x14ac:dyDescent="0.25"/>
    <row r="141" spans="4:10" ht="20.100000000000001" customHeight="1" x14ac:dyDescent="0.25">
      <c r="D141" s="56" t="str">
        <f>"Sent from stage 1: " &amp; $D$72 &amp; " to:"</f>
        <v>Sent from stage 1: Sump and dispersal system to:</v>
      </c>
    </row>
    <row r="142" spans="4:10" ht="20.100000000000001" customHeight="1" x14ac:dyDescent="0.25">
      <c r="D142" s="1" t="s">
        <v>112</v>
      </c>
      <c r="E142" s="49">
        <v>0.25</v>
      </c>
      <c r="F142" s="49">
        <v>0.25</v>
      </c>
      <c r="G142" s="49">
        <v>0.25</v>
      </c>
      <c r="H142" s="49">
        <v>0.25</v>
      </c>
      <c r="I142" s="49">
        <v>0.25</v>
      </c>
      <c r="J142" s="2" t="s">
        <v>20</v>
      </c>
    </row>
    <row r="143" spans="4:10" ht="20.100000000000001" customHeight="1" x14ac:dyDescent="0.25">
      <c r="D143" s="1" t="s">
        <v>233</v>
      </c>
      <c r="E143" s="49">
        <v>0.25</v>
      </c>
      <c r="F143" s="49">
        <v>0.25</v>
      </c>
      <c r="G143" s="49">
        <v>0.25</v>
      </c>
      <c r="H143" s="49">
        <v>0.25</v>
      </c>
      <c r="I143" s="49">
        <v>0.25</v>
      </c>
      <c r="J143" s="2" t="s">
        <v>20</v>
      </c>
    </row>
    <row r="144" spans="4:10" ht="20.100000000000001" customHeight="1" x14ac:dyDescent="0.25">
      <c r="D144" s="1" t="s">
        <v>137</v>
      </c>
      <c r="E144" s="101">
        <f>1-SUM(E142:E143)</f>
        <v>0.5</v>
      </c>
      <c r="F144" s="101">
        <f t="shared" ref="F144:I144" si="2">1-SUM(F142:F143)</f>
        <v>0.5</v>
      </c>
      <c r="G144" s="101">
        <f t="shared" si="2"/>
        <v>0.5</v>
      </c>
      <c r="H144" s="101">
        <f t="shared" si="2"/>
        <v>0.5</v>
      </c>
      <c r="I144" s="101">
        <f t="shared" si="2"/>
        <v>0.5</v>
      </c>
      <c r="J144" s="2" t="s">
        <v>20</v>
      </c>
    </row>
    <row r="145" spans="4:10" ht="20.100000000000001" customHeight="1" x14ac:dyDescent="0.25"/>
    <row r="146" spans="4:10" ht="20.100000000000001" customHeight="1" x14ac:dyDescent="0.25">
      <c r="D146" s="56" t="str">
        <f>"Sent from stage 1: " &amp; $D$77 &amp; " to:"</f>
        <v>Sent from stage 1: Drains to paddock to:</v>
      </c>
    </row>
    <row r="147" spans="4:10" ht="20.100000000000001" customHeight="1" x14ac:dyDescent="0.25">
      <c r="D147" s="1" t="s">
        <v>112</v>
      </c>
      <c r="E147" s="49">
        <v>0.25</v>
      </c>
      <c r="F147" s="49">
        <v>0.25</v>
      </c>
      <c r="G147" s="49">
        <v>0.25</v>
      </c>
      <c r="H147" s="49">
        <v>0.25</v>
      </c>
      <c r="I147" s="49">
        <v>0.25</v>
      </c>
      <c r="J147" s="2" t="s">
        <v>20</v>
      </c>
    </row>
    <row r="148" spans="4:10" ht="20.100000000000001" customHeight="1" x14ac:dyDescent="0.25">
      <c r="D148" s="1" t="s">
        <v>233</v>
      </c>
      <c r="E148" s="49">
        <v>0.25</v>
      </c>
      <c r="F148" s="49">
        <v>0.25</v>
      </c>
      <c r="G148" s="49">
        <v>0.25</v>
      </c>
      <c r="H148" s="49">
        <v>0.25</v>
      </c>
      <c r="I148" s="49">
        <v>0.25</v>
      </c>
      <c r="J148" s="2" t="s">
        <v>20</v>
      </c>
    </row>
    <row r="149" spans="4:10" ht="20.100000000000001" customHeight="1" x14ac:dyDescent="0.25">
      <c r="D149" s="1" t="s">
        <v>137</v>
      </c>
      <c r="E149" s="101">
        <f>1-SUM(E147:E148)</f>
        <v>0.5</v>
      </c>
      <c r="F149" s="101">
        <f t="shared" ref="F149:I149" si="3">1-SUM(F147:F148)</f>
        <v>0.5</v>
      </c>
      <c r="G149" s="101">
        <f t="shared" si="3"/>
        <v>0.5</v>
      </c>
      <c r="H149" s="101">
        <f t="shared" si="3"/>
        <v>0.5</v>
      </c>
      <c r="I149" s="101">
        <f t="shared" si="3"/>
        <v>0.5</v>
      </c>
      <c r="J149" s="2" t="s">
        <v>20</v>
      </c>
    </row>
    <row r="150" spans="4:10" ht="20.100000000000001" customHeight="1" x14ac:dyDescent="0.25"/>
    <row r="151" spans="4:10" ht="20.100000000000001" customHeight="1" x14ac:dyDescent="0.25">
      <c r="D151" s="56" t="str">
        <f>"Sent from stage 1: " &amp; $D$82 &amp; " to:"</f>
        <v>Sent from stage 1: Solid storage to:</v>
      </c>
    </row>
    <row r="152" spans="4:10" ht="20.100000000000001" customHeight="1" x14ac:dyDescent="0.25">
      <c r="D152" s="1" t="s">
        <v>112</v>
      </c>
      <c r="E152" s="49">
        <v>0.25</v>
      </c>
      <c r="F152" s="49">
        <v>0.25</v>
      </c>
      <c r="G152" s="49">
        <v>0.25</v>
      </c>
      <c r="H152" s="49">
        <v>0.25</v>
      </c>
      <c r="I152" s="49">
        <v>0.25</v>
      </c>
      <c r="J152" s="2" t="s">
        <v>20</v>
      </c>
    </row>
    <row r="153" spans="4:10" ht="20.100000000000001" customHeight="1" x14ac:dyDescent="0.25">
      <c r="D153" s="1" t="s">
        <v>233</v>
      </c>
      <c r="E153" s="49">
        <v>0.25</v>
      </c>
      <c r="F153" s="49">
        <v>0.25</v>
      </c>
      <c r="G153" s="49">
        <v>0.25</v>
      </c>
      <c r="H153" s="49">
        <v>0.25</v>
      </c>
      <c r="I153" s="49">
        <v>0.25</v>
      </c>
      <c r="J153" s="2" t="s">
        <v>20</v>
      </c>
    </row>
    <row r="154" spans="4:10" ht="20.100000000000001" customHeight="1" x14ac:dyDescent="0.25">
      <c r="D154" s="1" t="s">
        <v>137</v>
      </c>
      <c r="E154" s="101">
        <f>1-SUM(E152:E153)</f>
        <v>0.5</v>
      </c>
      <c r="F154" s="101">
        <f t="shared" ref="F154:I154" si="4">1-SUM(F152:F153)</f>
        <v>0.5</v>
      </c>
      <c r="G154" s="101">
        <f t="shared" si="4"/>
        <v>0.5</v>
      </c>
      <c r="H154" s="101">
        <f t="shared" si="4"/>
        <v>0.5</v>
      </c>
      <c r="I154" s="101">
        <f t="shared" si="4"/>
        <v>0.5</v>
      </c>
      <c r="J154" s="2" t="s">
        <v>20</v>
      </c>
    </row>
    <row r="155" spans="4:10" ht="20.100000000000001" customHeight="1" x14ac:dyDescent="0.25"/>
    <row r="156" spans="4:10" ht="20.100000000000001" customHeight="1" x14ac:dyDescent="0.25">
      <c r="D156" s="113"/>
    </row>
    <row r="157" spans="4:10" ht="20.100000000000001" customHeight="1" x14ac:dyDescent="0.25">
      <c r="D157" s="51" t="str">
        <f>"From " &amp; $D$55</f>
        <v>From Feed pad</v>
      </c>
    </row>
    <row r="158" spans="4:10" ht="20.100000000000001" customHeight="1" x14ac:dyDescent="0.25"/>
    <row r="159" spans="4:10" ht="20.100000000000001" customHeight="1" x14ac:dyDescent="0.25">
      <c r="D159" s="66" t="s">
        <v>103</v>
      </c>
      <c r="E159" s="41" t="s">
        <v>189</v>
      </c>
      <c r="F159" s="41" t="s">
        <v>206</v>
      </c>
      <c r="G159" s="41" t="s">
        <v>207</v>
      </c>
      <c r="H159" s="41" t="s">
        <v>208</v>
      </c>
      <c r="I159" s="41" t="s">
        <v>209</v>
      </c>
    </row>
    <row r="160" spans="4:10" ht="20.100000000000001" customHeight="1" x14ac:dyDescent="0.25">
      <c r="D160" s="56" t="str">
        <f>"Sent from stage 1: " &amp; $D$67 &amp; " to:"</f>
        <v>Sent from stage 1: Anaerobic lagoon to:</v>
      </c>
      <c r="E160" s="58"/>
    </row>
    <row r="161" spans="4:10" ht="20.100000000000001" customHeight="1" x14ac:dyDescent="0.25">
      <c r="D161" s="1" t="s">
        <v>112</v>
      </c>
      <c r="E161" s="49">
        <v>0.25</v>
      </c>
      <c r="F161" s="49">
        <v>0.25</v>
      </c>
      <c r="G161" s="49">
        <v>0.25</v>
      </c>
      <c r="H161" s="49">
        <v>0.25</v>
      </c>
      <c r="I161" s="49">
        <v>0.25</v>
      </c>
      <c r="J161" s="2" t="s">
        <v>20</v>
      </c>
    </row>
    <row r="162" spans="4:10" ht="20.100000000000001" customHeight="1" x14ac:dyDescent="0.25">
      <c r="D162" s="1" t="s">
        <v>233</v>
      </c>
      <c r="E162" s="49">
        <v>0.25</v>
      </c>
      <c r="F162" s="49">
        <v>0.25</v>
      </c>
      <c r="G162" s="49">
        <v>0.25</v>
      </c>
      <c r="H162" s="49">
        <v>0.25</v>
      </c>
      <c r="I162" s="49">
        <v>0.25</v>
      </c>
      <c r="J162" s="2" t="s">
        <v>20</v>
      </c>
    </row>
    <row r="163" spans="4:10" ht="20.100000000000001" customHeight="1" x14ac:dyDescent="0.25">
      <c r="D163" s="1" t="s">
        <v>137</v>
      </c>
      <c r="E163" s="101">
        <f t="shared" ref="E163:I163" si="5">1-SUM(E161:E162)</f>
        <v>0.5</v>
      </c>
      <c r="F163" s="101">
        <f t="shared" si="5"/>
        <v>0.5</v>
      </c>
      <c r="G163" s="101">
        <f t="shared" si="5"/>
        <v>0.5</v>
      </c>
      <c r="H163" s="101">
        <f t="shared" si="5"/>
        <v>0.5</v>
      </c>
      <c r="I163" s="101">
        <f t="shared" si="5"/>
        <v>0.5</v>
      </c>
      <c r="J163" s="2" t="s">
        <v>20</v>
      </c>
    </row>
    <row r="164" spans="4:10" ht="20.100000000000001" customHeight="1" x14ac:dyDescent="0.25"/>
    <row r="165" spans="4:10" ht="20.100000000000001" customHeight="1" x14ac:dyDescent="0.25">
      <c r="D165" s="56" t="str">
        <f>"Sent from stage 1: " &amp; $D$72 &amp; " to:"</f>
        <v>Sent from stage 1: Sump and dispersal system to:</v>
      </c>
    </row>
    <row r="166" spans="4:10" x14ac:dyDescent="0.25">
      <c r="D166" s="1" t="s">
        <v>112</v>
      </c>
      <c r="E166" s="49">
        <v>0.25</v>
      </c>
      <c r="F166" s="49">
        <v>0.25</v>
      </c>
      <c r="G166" s="49">
        <v>0.25</v>
      </c>
      <c r="H166" s="49">
        <v>0.25</v>
      </c>
      <c r="I166" s="49">
        <v>0.25</v>
      </c>
      <c r="J166" s="2" t="s">
        <v>20</v>
      </c>
    </row>
    <row r="167" spans="4:10" x14ac:dyDescent="0.25">
      <c r="D167" s="1" t="s">
        <v>233</v>
      </c>
      <c r="E167" s="49">
        <v>0.25</v>
      </c>
      <c r="F167" s="49">
        <v>0.25</v>
      </c>
      <c r="G167" s="49">
        <v>0.25</v>
      </c>
      <c r="H167" s="49">
        <v>0.25</v>
      </c>
      <c r="I167" s="49">
        <v>0.25</v>
      </c>
      <c r="J167" s="2" t="s">
        <v>20</v>
      </c>
    </row>
    <row r="168" spans="4:10" x14ac:dyDescent="0.25">
      <c r="D168" s="1" t="s">
        <v>137</v>
      </c>
      <c r="E168" s="101">
        <f>1-SUM(E166:E167)</f>
        <v>0.5</v>
      </c>
      <c r="F168" s="101">
        <f t="shared" ref="F168:I168" si="6">1-SUM(F166:F167)</f>
        <v>0.5</v>
      </c>
      <c r="G168" s="101">
        <f t="shared" si="6"/>
        <v>0.5</v>
      </c>
      <c r="H168" s="101">
        <f t="shared" si="6"/>
        <v>0.5</v>
      </c>
      <c r="I168" s="101">
        <f t="shared" si="6"/>
        <v>0.5</v>
      </c>
      <c r="J168" s="2" t="s">
        <v>20</v>
      </c>
    </row>
    <row r="170" spans="4:10" x14ac:dyDescent="0.25">
      <c r="D170" s="56" t="str">
        <f>"Sent from stage 1: " &amp; $D$77 &amp; " to:"</f>
        <v>Sent from stage 1: Drains to paddock to:</v>
      </c>
    </row>
    <row r="171" spans="4:10" x14ac:dyDescent="0.25">
      <c r="D171" s="1" t="s">
        <v>112</v>
      </c>
      <c r="E171" s="49">
        <v>0.25</v>
      </c>
      <c r="F171" s="49">
        <v>0.25</v>
      </c>
      <c r="G171" s="49">
        <v>0.25</v>
      </c>
      <c r="H171" s="49">
        <v>0.25</v>
      </c>
      <c r="I171" s="49">
        <v>0.25</v>
      </c>
      <c r="J171" s="2" t="s">
        <v>20</v>
      </c>
    </row>
    <row r="172" spans="4:10" x14ac:dyDescent="0.25">
      <c r="D172" s="1" t="s">
        <v>233</v>
      </c>
      <c r="E172" s="49">
        <v>0.25</v>
      </c>
      <c r="F172" s="49">
        <v>0.25</v>
      </c>
      <c r="G172" s="49">
        <v>0.25</v>
      </c>
      <c r="H172" s="49">
        <v>0.25</v>
      </c>
      <c r="I172" s="49">
        <v>0.25</v>
      </c>
      <c r="J172" s="2" t="s">
        <v>20</v>
      </c>
    </row>
    <row r="173" spans="4:10" x14ac:dyDescent="0.25">
      <c r="D173" s="1" t="s">
        <v>137</v>
      </c>
      <c r="E173" s="101">
        <f>1-SUM(E171:E172)</f>
        <v>0.5</v>
      </c>
      <c r="F173" s="101">
        <f t="shared" ref="F173:I173" si="7">1-SUM(F171:F172)</f>
        <v>0.5</v>
      </c>
      <c r="G173" s="101">
        <f t="shared" si="7"/>
        <v>0.5</v>
      </c>
      <c r="H173" s="101">
        <f t="shared" si="7"/>
        <v>0.5</v>
      </c>
      <c r="I173" s="101">
        <f t="shared" si="7"/>
        <v>0.5</v>
      </c>
      <c r="J173" s="2" t="s">
        <v>20</v>
      </c>
    </row>
    <row r="175" spans="4:10" x14ac:dyDescent="0.25">
      <c r="D175" s="56" t="str">
        <f>"Sent from stage 1: " &amp; $D$82 &amp; " to:"</f>
        <v>Sent from stage 1: Solid storage to:</v>
      </c>
    </row>
    <row r="176" spans="4:10" x14ac:dyDescent="0.25">
      <c r="D176" s="1" t="s">
        <v>112</v>
      </c>
      <c r="E176" s="49">
        <v>0.25</v>
      </c>
      <c r="F176" s="49">
        <v>0.25</v>
      </c>
      <c r="G176" s="49">
        <v>0.25</v>
      </c>
      <c r="H176" s="49">
        <v>0.25</v>
      </c>
      <c r="I176" s="49">
        <v>0.25</v>
      </c>
      <c r="J176" s="2" t="s">
        <v>20</v>
      </c>
    </row>
    <row r="177" spans="4:10" x14ac:dyDescent="0.25">
      <c r="D177" s="1" t="s">
        <v>233</v>
      </c>
      <c r="E177" s="49">
        <v>0.25</v>
      </c>
      <c r="F177" s="49">
        <v>0.25</v>
      </c>
      <c r="G177" s="49">
        <v>0.25</v>
      </c>
      <c r="H177" s="49">
        <v>0.25</v>
      </c>
      <c r="I177" s="49">
        <v>0.25</v>
      </c>
      <c r="J177" s="2" t="s">
        <v>20</v>
      </c>
    </row>
    <row r="178" spans="4:10" x14ac:dyDescent="0.25">
      <c r="D178" s="1" t="s">
        <v>137</v>
      </c>
      <c r="E178" s="101">
        <f>1-SUM(E176:E177)</f>
        <v>0.5</v>
      </c>
      <c r="F178" s="101">
        <f t="shared" ref="F178:I178" si="8">1-SUM(F176:F177)</f>
        <v>0.5</v>
      </c>
      <c r="G178" s="101">
        <f t="shared" si="8"/>
        <v>0.5</v>
      </c>
      <c r="H178" s="101">
        <f t="shared" si="8"/>
        <v>0.5</v>
      </c>
      <c r="I178" s="101">
        <f t="shared" si="8"/>
        <v>0.5</v>
      </c>
      <c r="J178" s="2" t="s">
        <v>20</v>
      </c>
    </row>
    <row r="180" spans="4:10" x14ac:dyDescent="0.25">
      <c r="D180" s="113"/>
    </row>
    <row r="183" spans="4:10" x14ac:dyDescent="0.25">
      <c r="D183" s="1" t="s">
        <v>153</v>
      </c>
      <c r="E183" s="42" t="s">
        <v>158</v>
      </c>
      <c r="F183" s="2" t="s">
        <v>11</v>
      </c>
    </row>
    <row r="184" spans="4:10" x14ac:dyDescent="0.25">
      <c r="E184" s="42" t="s">
        <v>163</v>
      </c>
      <c r="F184" s="2" t="s">
        <v>11</v>
      </c>
    </row>
  </sheetData>
  <conditionalFormatting sqref="E10:J10 E24:J25 J67 J72 J77 J82:J86 E28:J29">
    <cfRule type="cellIs" dxfId="29" priority="30" operator="lessThan">
      <formula>0</formula>
    </cfRule>
  </conditionalFormatting>
  <conditionalFormatting sqref="K43:M43">
    <cfRule type="cellIs" dxfId="28" priority="31" operator="lessThan">
      <formula>0</formula>
    </cfRule>
  </conditionalFormatting>
  <conditionalFormatting sqref="J53:J55">
    <cfRule type="cellIs" dxfId="27" priority="24" operator="lessThan">
      <formula>0</formula>
    </cfRule>
  </conditionalFormatting>
  <conditionalFormatting sqref="J58:J60">
    <cfRule type="cellIs" dxfId="26" priority="23" operator="lessThan">
      <formula>0</formula>
    </cfRule>
  </conditionalFormatting>
  <conditionalFormatting sqref="F69:F70">
    <cfRule type="cellIs" dxfId="25" priority="21" operator="lessThan">
      <formula>0</formula>
    </cfRule>
  </conditionalFormatting>
  <conditionalFormatting sqref="F74:F75">
    <cfRule type="cellIs" dxfId="24" priority="20" operator="lessThan">
      <formula>0</formula>
    </cfRule>
  </conditionalFormatting>
  <conditionalFormatting sqref="F79:F80">
    <cfRule type="cellIs" dxfId="23" priority="19" operator="lessThan">
      <formula>0</formula>
    </cfRule>
  </conditionalFormatting>
  <conditionalFormatting sqref="J88">
    <cfRule type="cellIs" dxfId="16" priority="17" operator="lessThan">
      <formula>0</formula>
    </cfRule>
  </conditionalFormatting>
  <conditionalFormatting sqref="J90:J93">
    <cfRule type="cellIs" dxfId="15" priority="16" operator="lessThan">
      <formula>0</formula>
    </cfRule>
  </conditionalFormatting>
  <conditionalFormatting sqref="J95">
    <cfRule type="cellIs" dxfId="14" priority="15" operator="lessThan">
      <formula>0</formula>
    </cfRule>
  </conditionalFormatting>
  <conditionalFormatting sqref="J101 J106 J111 J116:J120">
    <cfRule type="cellIs" dxfId="13" priority="14" operator="lessThan">
      <formula>0</formula>
    </cfRule>
  </conditionalFormatting>
  <conditionalFormatting sqref="F103:F104">
    <cfRule type="cellIs" dxfId="12" priority="13" operator="lessThan">
      <formula>0</formula>
    </cfRule>
  </conditionalFormatting>
  <conditionalFormatting sqref="F108:F109">
    <cfRule type="cellIs" dxfId="11" priority="12" operator="lessThan">
      <formula>0</formula>
    </cfRule>
  </conditionalFormatting>
  <conditionalFormatting sqref="F113:F114">
    <cfRule type="cellIs" dxfId="10" priority="11" operator="lessThan">
      <formula>0</formula>
    </cfRule>
  </conditionalFormatting>
  <conditionalFormatting sqref="J122">
    <cfRule type="cellIs" dxfId="9" priority="10" operator="lessThan">
      <formula>0</formula>
    </cfRule>
  </conditionalFormatting>
  <conditionalFormatting sqref="J124:J127">
    <cfRule type="cellIs" dxfId="8" priority="9" operator="lessThan">
      <formula>0</formula>
    </cfRule>
  </conditionalFormatting>
  <conditionalFormatting sqref="J129">
    <cfRule type="cellIs" dxfId="7" priority="8" operator="lessThan">
      <formula>0</formula>
    </cfRule>
  </conditionalFormatting>
  <conditionalFormatting sqref="E40:J40 E41:I41 E35:J36">
    <cfRule type="cellIs" dxfId="6" priority="7" operator="lessThan">
      <formula>0</formula>
    </cfRule>
  </conditionalFormatting>
  <conditionalFormatting sqref="E37:J37">
    <cfRule type="cellIs" dxfId="5" priority="6" operator="lessThan">
      <formula>0</formula>
    </cfRule>
  </conditionalFormatting>
  <conditionalFormatting sqref="E42:I42">
    <cfRule type="cellIs" dxfId="4" priority="5" operator="lessThan">
      <formula>0</formula>
    </cfRule>
  </conditionalFormatting>
  <conditionalFormatting sqref="J41">
    <cfRule type="cellIs" dxfId="3" priority="4" operator="lessThan">
      <formula>0</formula>
    </cfRule>
  </conditionalFormatting>
  <conditionalFormatting sqref="J42">
    <cfRule type="cellIs" dxfId="2" priority="3" operator="lessThan">
      <formula>0</formula>
    </cfRule>
  </conditionalFormatting>
  <conditionalFormatting sqref="E14:J15">
    <cfRule type="cellIs" dxfId="1" priority="2" operator="lessThan">
      <formula>0</formula>
    </cfRule>
  </conditionalFormatting>
  <conditionalFormatting sqref="E18:J19">
    <cfRule type="cellIs" dxfId="0" priority="1" operator="lessThan">
      <formula>0</formula>
    </cfRule>
  </conditionalFormatting>
  <dataValidations count="6">
    <dataValidation type="list" allowBlank="1" showInputMessage="1" showErrorMessage="1" sqref="D96" xr:uid="{4E913AB3-F90B-4C35-BCE1-5DBB8FC05107}">
      <formula1>INDIRECT("Table_SourceData_PoultryMMSStage1[MMS]")</formula1>
    </dataValidation>
    <dataValidation type="list" allowBlank="1" showInputMessage="1" showErrorMessage="1" sqref="E183" xr:uid="{AF94BFC8-A9BD-4286-932B-111409BF1EB6}">
      <formula1>INDIRECT("Table_SourceData_Dairy_CropProdSystems[Production system]")</formula1>
    </dataValidation>
    <dataValidation type="list" allowBlank="1" showInputMessage="1" showErrorMessage="1" sqref="E184" xr:uid="{20E9D9A1-CABD-46A5-B149-02F06B30AA0E}">
      <formula1>INDIRECT("Table_SourceData_Dairy_IrrigationMethods[Irrigation method]")</formula1>
    </dataValidation>
    <dataValidation type="list" allowBlank="1" showInputMessage="1" showErrorMessage="1" sqref="E50" xr:uid="{9FB53635-991F-44AA-A123-E8ABEF9EE0A6}">
      <formula1>INDIRECT("Table_SourceData_Dairy_ProductionSystemTemplates[Area]")</formula1>
    </dataValidation>
    <dataValidation type="list" allowBlank="1" showInputMessage="1" showErrorMessage="1" sqref="E68 E73 E78 E112 E107 E102"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271"/>
  <sheetViews>
    <sheetView showGridLines="0" topLeftCell="A2"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308</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135" t="str" cm="1">
        <f t="array" ref="D5">EntericMethane_Dairy_Equations.VEERG_3_3_1_1__6_MetabolisabilityOfDiet_Title()</f>
        <v>Metabolisability of the diet based on Minson and McDonald (1987)</v>
      </c>
    </row>
    <row r="6" spans="1:23" ht="20.100000000000001" customHeight="1" x14ac:dyDescent="0.25">
      <c r="A6" s="20" t="s">
        <v>3</v>
      </c>
      <c r="D6" s="5" t="str" cm="1">
        <f t="array" ref="D6">EntericMethane_Dairy_Equations.VEERG_3_3_1_1__6_MetabolisabilityOfDiet_Source()</f>
        <v>VEERG 2026: 3.3.1.1, Equation (6)</v>
      </c>
    </row>
    <row r="7" spans="1:23" ht="20.100000000000001" customHeight="1" x14ac:dyDescent="0.25">
      <c r="A7" s="17" t="str">
        <f>HYPERLINK("#'Input - Site'!A1", "Site")</f>
        <v>Site</v>
      </c>
      <c r="D7" s="13" t="s">
        <v>28</v>
      </c>
      <c r="E7" s="13" t="str" cm="1">
        <f t="array" aca="1" ref="E7" ca="1">Common_InputFunctions.Utility_DisplayFunctionName(D23)</f>
        <v>=EntericMethane_Dairy_Equations.VEERG_3_3_1_1__6_MetabolisabilityOfDiet</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EntericMethane_Dairy_Equations.VEERG_3_3_1_1__6_MetabolisabilityOfDiet_Variable()</f>
        <v>qm_j</v>
      </c>
    </row>
    <row r="11" spans="1:23" ht="20.100000000000001" customHeight="1" x14ac:dyDescent="0.25">
      <c r="A11" s="22" t="str">
        <f>HYPERLINK("#'4.3.1.1-2 Methane'!A1", "4.3.1.1-2 Methane")</f>
        <v>4.3.1.1-2 Methane</v>
      </c>
      <c r="D11" s="56" t="s">
        <v>21</v>
      </c>
      <c r="E11" s="57" t="str" cm="1">
        <f t="array" ref="E11">EntericMethane_Dairy_Equations.VEERG_3_3_1_1__6_MetabolisabilityOfDiet_Unit()</f>
        <v>fraction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3">EntericMethane_Dairy_Equations.VEERG_3_3_1_1__6_MetabolisabilityOfDiet_Arguments()</f>
        <v>DMD_j</v>
      </c>
      <c r="E13" s="117" t="str">
        <v>dry matter digestibility expressed as a fraction</v>
      </c>
      <c r="F13" s="116"/>
      <c r="G13" s="115" t="str">
        <f>"See " &amp; D15</f>
        <v>See M1_Table_DMD_j</v>
      </c>
    </row>
    <row r="14" spans="1:23" ht="20.100000000000001" customHeight="1" x14ac:dyDescent="0.25">
      <c r="A14" s="17" t="str">
        <f>HYPERLINK("#'4.3.1.6-7 Leaching and runoff'!A1", "4.3.1.6-7 Leaching and runoff")</f>
        <v>4.3.1.6-7 Leaching and runoff</v>
      </c>
    </row>
    <row r="15" spans="1:23" ht="20.100000000000001" customHeight="1" x14ac:dyDescent="0.25">
      <c r="A15" s="17" t="str">
        <f>HYPERLINK("#'4.3.1.8 Manure applied to soils'!A1", "4.3.1.8 Manure applied to soils")</f>
        <v>4.3.1.8 Manure applied to soils</v>
      </c>
      <c r="D15" s="104" t="s">
        <v>128</v>
      </c>
      <c r="O15" s="104" t="s">
        <v>131</v>
      </c>
    </row>
    <row r="16" spans="1:23" ht="20.100000000000001" customHeight="1" x14ac:dyDescent="0.25">
      <c r="A16" s="17" t="str">
        <f>HYPERLINK("#'4.3.1.9 Soil direct N2O'!A1", "4.3.1.9 Soil direct N2O")</f>
        <v>4.3.1.9 Soil direct N2O</v>
      </c>
      <c r="D16" s="103" t="s">
        <v>130</v>
      </c>
      <c r="O16" s="103" t="s">
        <v>262</v>
      </c>
    </row>
    <row r="17" spans="1:23" ht="20.100000000000001" customHeight="1" x14ac:dyDescent="0.25">
      <c r="A17" s="17" t="str">
        <f>HYPERLINK("#'4.3.1.10-11 Soil Atmos Dep'!A1", "4.3.1.10-11 Soil atm. deposition")</f>
        <v>4.3.1.10-11 Soil atm. deposition</v>
      </c>
      <c r="D17" s="54" t="s">
        <v>189</v>
      </c>
      <c r="E17" s="54" t="s">
        <v>206</v>
      </c>
      <c r="F17" s="54" t="s">
        <v>207</v>
      </c>
      <c r="G17" s="54" t="s">
        <v>208</v>
      </c>
      <c r="H17" s="54" t="s">
        <v>209</v>
      </c>
      <c r="O17" s="54" t="s">
        <v>189</v>
      </c>
      <c r="P17" s="54" t="s">
        <v>206</v>
      </c>
      <c r="Q17" s="54" t="s">
        <v>207</v>
      </c>
      <c r="R17" s="54" t="s">
        <v>208</v>
      </c>
      <c r="S17" s="54" t="s">
        <v>209</v>
      </c>
    </row>
    <row r="18" spans="1:23" ht="20.100000000000001" customHeight="1" x14ac:dyDescent="0.25">
      <c r="A18" s="17" t="str">
        <f>HYPERLINK("#'4.3.1.12-13 Soil leach runoff'!A1", "4.3.1.12-13 Soil leach &amp; runoff")</f>
        <v>4.3.1.12-13 Soil leach &amp; runoff</v>
      </c>
      <c r="D18" s="55">
        <f>'Input - Dairy'!$E$36</f>
        <v>0.75</v>
      </c>
      <c r="E18" s="55">
        <f>'Input - Dairy'!$F$36</f>
        <v>0.75</v>
      </c>
      <c r="F18" s="55">
        <f>'Input - Dairy'!$G$36</f>
        <v>0.75</v>
      </c>
      <c r="G18" s="55">
        <f>'Input - Dairy'!$H$36</f>
        <v>0.75</v>
      </c>
      <c r="H18" s="55">
        <f>'Input - Dairy'!$I$36</f>
        <v>0.75</v>
      </c>
      <c r="I18" s="2" t="s">
        <v>251</v>
      </c>
      <c r="J18" s="2"/>
      <c r="K18" s="2"/>
      <c r="O18" s="55">
        <f>'Input - Dairy'!$E$41</f>
        <v>0.75</v>
      </c>
      <c r="P18" s="55">
        <f>'Input - Dairy'!$F$41</f>
        <v>0.75</v>
      </c>
      <c r="Q18" s="55">
        <f>'Input - Dairy'!$G$41</f>
        <v>0.75</v>
      </c>
      <c r="R18" s="55">
        <f>'Input - Dairy'!$H$41</f>
        <v>0.75</v>
      </c>
      <c r="S18" s="55">
        <f>'Input - Dairy'!$I$41</f>
        <v>0.75</v>
      </c>
      <c r="T18" s="2" t="s">
        <v>251</v>
      </c>
      <c r="U18" s="2"/>
      <c r="V18" s="2"/>
    </row>
    <row r="19" spans="1:23" ht="20.100000000000001" customHeight="1" x14ac:dyDescent="0.25">
      <c r="A19" s="17"/>
    </row>
    <row r="20" spans="1:23" ht="20.100000000000001" customHeight="1" x14ac:dyDescent="0.25">
      <c r="A20" s="18" t="s">
        <v>4</v>
      </c>
      <c r="D20" s="104" t="s">
        <v>252</v>
      </c>
      <c r="O20" s="104" t="s">
        <v>254</v>
      </c>
    </row>
    <row r="21" spans="1:23" ht="20.100000000000001" customHeight="1" x14ac:dyDescent="0.25">
      <c r="A21" s="17" t="str">
        <f>HYPERLINK("#'Constants - Dairy'!A1", "Constants - Dairy")</f>
        <v>Constants - Dairy</v>
      </c>
      <c r="D21" s="103" t="s">
        <v>253</v>
      </c>
      <c r="O21" s="103" t="s">
        <v>255</v>
      </c>
    </row>
    <row r="22" spans="1:23" ht="20.100000000000001" customHeight="1" x14ac:dyDescent="0.25">
      <c r="A22" s="17" t="str">
        <f>HYPERLINK("#'Constants - Livestock'!A1", "Constants - Livestock")</f>
        <v>Constants - Livestock</v>
      </c>
      <c r="D22" s="54" t="s">
        <v>189</v>
      </c>
      <c r="E22" s="54" t="s">
        <v>206</v>
      </c>
      <c r="F22" s="54" t="s">
        <v>207</v>
      </c>
      <c r="G22" s="54" t="s">
        <v>208</v>
      </c>
      <c r="H22" s="54" t="s">
        <v>209</v>
      </c>
      <c r="O22" s="54" t="s">
        <v>189</v>
      </c>
      <c r="P22" s="54" t="s">
        <v>206</v>
      </c>
      <c r="Q22" s="54" t="s">
        <v>207</v>
      </c>
      <c r="R22" s="54" t="s">
        <v>208</v>
      </c>
      <c r="S22" s="54" t="s">
        <v>209</v>
      </c>
    </row>
    <row r="23" spans="1:23" ht="20.100000000000001" customHeight="1" x14ac:dyDescent="0.25">
      <c r="A23" s="17" t="str">
        <f>HYPERLINK("#'Constants - Common'!A1", "Constants - Common")</f>
        <v>Constants - Common</v>
      </c>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J23" s="2"/>
      <c r="K23" s="2"/>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55" cm="1">
        <f t="array" ref="R23">EntericMethane_Dairy_Equations.VEERG_3_3_1_1__6_MetabolisabilityOfDiet(R18)</f>
        <v>59.623600000000003</v>
      </c>
      <c r="S23" s="55" cm="1">
        <f t="array" ref="S23">EntericMethane_Dairy_Equations.VEERG_3_3_1_1__6_MetabolisabilityOfDiet(S18)</f>
        <v>59.623600000000003</v>
      </c>
      <c r="T23" s="2" t="str">
        <f>$E$11</f>
        <v>fraction</v>
      </c>
      <c r="U23" s="2"/>
      <c r="V23" s="2"/>
    </row>
    <row r="24" spans="1:23" ht="20.100000000000001" customHeight="1" x14ac:dyDescent="0.25">
      <c r="A24" s="17" t="str">
        <f>HYPERLINK("#'Acknowledgements'!A1", "Acknowledgements")</f>
        <v>Acknowledgements</v>
      </c>
    </row>
    <row r="25" spans="1:23" ht="20.100000000000001" customHeight="1" x14ac:dyDescent="0.25"/>
    <row r="26" spans="1:23" ht="20.100000000000001" customHeight="1" x14ac:dyDescent="0.25">
      <c r="C26" s="48"/>
      <c r="D26" s="48"/>
      <c r="E26" s="48"/>
      <c r="F26" s="48"/>
      <c r="G26" s="48"/>
      <c r="H26" s="48"/>
      <c r="I26" s="48"/>
      <c r="J26" s="48"/>
      <c r="K26" s="48"/>
      <c r="L26" s="48"/>
      <c r="N26" s="48"/>
      <c r="O26" s="48"/>
      <c r="P26" s="48"/>
      <c r="Q26" s="48"/>
      <c r="R26" s="48"/>
      <c r="S26" s="48"/>
      <c r="T26" s="48"/>
      <c r="U26" s="48"/>
      <c r="V26" s="48"/>
      <c r="W26" s="48"/>
    </row>
    <row r="27" spans="1:23" ht="20.100000000000001" customHeight="1" x14ac:dyDescent="0.25">
      <c r="D27" s="6" t="str" cm="1">
        <f t="array" ref="D27">EntericMethane_Dairy_Equations.VEERG_3_3_1_1__4_AdditionalIntakeForMilkProduction_Title()</f>
        <v>Additional intake required for milk production</v>
      </c>
    </row>
    <row r="28" spans="1:23" ht="20.100000000000001" customHeight="1" x14ac:dyDescent="0.25">
      <c r="D28" s="5" t="str" cm="1">
        <f t="array" ref="D28">EntericMethane_Dairy_Equations.VEERG_3_3_1_1__4_AdditionalIntakeForMilkProduction_Source()</f>
        <v>VEERG 2026: 3.3.1.1, Equation (4)</v>
      </c>
    </row>
    <row r="29" spans="1:23" ht="20.100000000000001" customHeight="1" x14ac:dyDescent="0.25">
      <c r="D29" s="13" t="s">
        <v>28</v>
      </c>
      <c r="E29" s="13" t="str" cm="1">
        <f t="array" aca="1" ref="E29" ca="1">Common_InputFunctions.Utility_DisplayFunctionName(D49)</f>
        <v>=EntericMethane_Dairy_Equations.VEERG_3_3_1_1__4_AdditionalIntakeForMilkProduction</v>
      </c>
    </row>
    <row r="30" spans="1:23" ht="20.100000000000001" customHeight="1" x14ac:dyDescent="0.25"/>
    <row r="31" spans="1:23" ht="20.100000000000001" customHeight="1" x14ac:dyDescent="0.25">
      <c r="D31" s="6"/>
    </row>
    <row r="32" spans="1:23" ht="20.100000000000001" customHeight="1" x14ac:dyDescent="0.25">
      <c r="D32" s="56" t="s">
        <v>31</v>
      </c>
      <c r="E32" s="1" t="str" cm="1">
        <f t="array" ref="E32">EntericMethane_Dairy_Equations.VEERG_3_3_1_1__4_AdditionalIntakeForMilkProduction_Variable()</f>
        <v>MI_j</v>
      </c>
    </row>
    <row r="33" spans="4:19" ht="20.100000000000001" customHeight="1" x14ac:dyDescent="0.25">
      <c r="D33" s="56" t="s">
        <v>21</v>
      </c>
      <c r="E33" s="57" t="str" cm="1">
        <f t="array" ref="E33">EntericMethane_Dairy_Equations.VEERG_3_3_1_1__4_AdditionalIntakeForMilkProduction_Unit()</f>
        <v>kg DM/head/day</v>
      </c>
    </row>
    <row r="34" spans="4:19" ht="20.100000000000001" customHeight="1" x14ac:dyDescent="0.25"/>
    <row r="35" spans="4:19" ht="20.100000000000001" customHeight="1" x14ac:dyDescent="0.25">
      <c r="D35" s="60" t="str" cm="1">
        <f t="array" ref="D35:E39">EntericMethane_Dairy_Equations.VEERG_3_3_1_1__4_AdditionalIntakeForMilkProduction_Arguments()</f>
        <v>MP_j</v>
      </c>
      <c r="E35" s="61" t="str">
        <v>milk production (L/head/day)</v>
      </c>
      <c r="F35" s="62"/>
      <c r="G35" s="60" t="str">
        <f>"See " &amp; D41</f>
        <v>See Table_MP_j</v>
      </c>
    </row>
    <row r="36" spans="4:19" ht="20.100000000000001" customHeight="1" x14ac:dyDescent="0.25">
      <c r="D36" s="60" t="str">
        <v>NE</v>
      </c>
      <c r="E36" s="61" t="str">
        <v>net energy (MJ net energy/kg milk)</v>
      </c>
      <c r="F36" s="62"/>
      <c r="G36" s="60">
        <f>'Constants - Dairy'!$D$167</f>
        <v>3.0539999999999998</v>
      </c>
    </row>
    <row r="37" spans="4:19" ht="20.100000000000001" customHeight="1" x14ac:dyDescent="0.25">
      <c r="D37" s="60" t="str">
        <v>GEC</v>
      </c>
      <c r="E37" s="61" t="str">
        <v>gross energy content (MJ/kgDM)</v>
      </c>
      <c r="F37" s="62"/>
      <c r="G37" s="60">
        <f>'Constants - Dairy'!$D$174</f>
        <v>18.399999999999999</v>
      </c>
    </row>
    <row r="38" spans="4:19" ht="20.100000000000001" customHeight="1" x14ac:dyDescent="0.25">
      <c r="D38" s="60" t="str">
        <v>k</v>
      </c>
      <c r="E38" s="61" t="str">
        <v>efficiency of metabolizable energy use for milk production (fraction)</v>
      </c>
      <c r="F38" s="62"/>
      <c r="G38" s="60">
        <f>'Constants - Dairy'!$D$181</f>
        <v>0.6</v>
      </c>
    </row>
    <row r="39" spans="4:19" ht="20.100000000000001" customHeight="1" x14ac:dyDescent="0.25">
      <c r="D39" s="60" t="str">
        <v>qm_j</v>
      </c>
      <c r="E39" s="61" t="str">
        <v>metabolisability of the diet (fraction)</v>
      </c>
      <c r="F39" s="62"/>
      <c r="G39" s="60" t="str">
        <f>"See " &amp; D20</f>
        <v>See M1_Table_qm_j</v>
      </c>
    </row>
    <row r="40" spans="4:19" ht="20.100000000000001" customHeight="1" x14ac:dyDescent="0.25"/>
    <row r="41" spans="4:19" ht="20.100000000000001" customHeight="1" x14ac:dyDescent="0.25">
      <c r="D41" s="104" t="s">
        <v>261</v>
      </c>
    </row>
    <row r="42" spans="4:19" ht="20.100000000000001" customHeight="1" x14ac:dyDescent="0.25">
      <c r="D42" s="103" t="s">
        <v>213</v>
      </c>
    </row>
    <row r="43" spans="4:19" ht="20.100000000000001" customHeight="1" x14ac:dyDescent="0.25">
      <c r="D43" s="54" t="s">
        <v>189</v>
      </c>
      <c r="E43" s="54" t="s">
        <v>206</v>
      </c>
      <c r="F43" s="54" t="s">
        <v>207</v>
      </c>
      <c r="G43" s="54" t="s">
        <v>208</v>
      </c>
      <c r="H43" s="54" t="s">
        <v>209</v>
      </c>
    </row>
    <row r="44" spans="4:19" ht="20.100000000000001" customHeight="1" x14ac:dyDescent="0.25">
      <c r="D44" s="55">
        <f>'Input - Dairy'!$E$46</f>
        <v>44</v>
      </c>
      <c r="E44" s="55">
        <v>0</v>
      </c>
      <c r="F44" s="55">
        <v>0</v>
      </c>
      <c r="G44" s="55">
        <v>0</v>
      </c>
      <c r="H44" s="55">
        <v>0</v>
      </c>
      <c r="I44" s="2" t="s">
        <v>258</v>
      </c>
      <c r="J44" s="2"/>
      <c r="K44" s="2"/>
    </row>
    <row r="45" spans="4:19" ht="20.100000000000001" customHeight="1" x14ac:dyDescent="0.25"/>
    <row r="46" spans="4:19" ht="20.100000000000001" customHeight="1" x14ac:dyDescent="0.25">
      <c r="D46" s="104" t="s">
        <v>256</v>
      </c>
      <c r="O46" s="104" t="s">
        <v>259</v>
      </c>
    </row>
    <row r="47" spans="4:19" ht="20.100000000000001" customHeight="1" x14ac:dyDescent="0.25">
      <c r="D47" s="103" t="s">
        <v>257</v>
      </c>
      <c r="O47" s="103" t="s">
        <v>260</v>
      </c>
    </row>
    <row r="48" spans="4:19" ht="20.100000000000001" customHeight="1" x14ac:dyDescent="0.25">
      <c r="D48" s="54" t="s">
        <v>189</v>
      </c>
      <c r="E48" s="54" t="s">
        <v>206</v>
      </c>
      <c r="F48" s="54" t="s">
        <v>207</v>
      </c>
      <c r="G48" s="54" t="s">
        <v>208</v>
      </c>
      <c r="H48" s="54" t="s">
        <v>209</v>
      </c>
      <c r="O48" s="54" t="s">
        <v>189</v>
      </c>
      <c r="P48" s="54" t="s">
        <v>206</v>
      </c>
      <c r="Q48" s="54" t="s">
        <v>207</v>
      </c>
      <c r="R48" s="54" t="s">
        <v>208</v>
      </c>
      <c r="S48" s="54" t="s">
        <v>209</v>
      </c>
    </row>
    <row r="49" spans="3:23" ht="20.100000000000001" customHeight="1" x14ac:dyDescent="0.25">
      <c r="D49" s="55" cm="1">
        <f t="array" ref="D49">EntericMethane_Dairy_Equations.VEERG_3_3_1_1__4_AdditionalIntakeForMilkProduction(D44, $G$36,$G$37,$G$38,D23)</f>
        <v>0.21026726504853488</v>
      </c>
      <c r="E49" s="55" cm="1">
        <f t="array" ref="E49">EntericMethane_Dairy_Equations.VEERG_3_3_1_1__4_AdditionalIntakeForMilkProduction(E44, $G$36,$G$37,$G$38,E23)</f>
        <v>0</v>
      </c>
      <c r="F49" s="55" cm="1">
        <f t="array" ref="F49">EntericMethane_Dairy_Equations.VEERG_3_3_1_1__4_AdditionalIntakeForMilkProduction(F44, $G$36,$G$37,$G$38,F23)</f>
        <v>0</v>
      </c>
      <c r="G49" s="55" cm="1">
        <f t="array" ref="G49">EntericMethane_Dairy_Equations.VEERG_3_3_1_1__4_AdditionalIntakeForMilkProduction(G44, $G$36,$G$37,$G$38,G23)</f>
        <v>0</v>
      </c>
      <c r="H49" s="55" cm="1">
        <f t="array" ref="H49">EntericMethane_Dairy_Equations.VEERG_3_3_1_1__4_AdditionalIntakeForMilkProduction(H44, $G$36,$G$37,$G$38,H23)</f>
        <v>0</v>
      </c>
      <c r="I49" s="2" t="str">
        <f>$E$33</f>
        <v>kg DM/head/day</v>
      </c>
      <c r="J49" s="2"/>
      <c r="K49" s="2"/>
      <c r="O49" s="55" cm="1">
        <f t="array" ref="O49">EntericMethane_Dairy_Equations.VEERG_3_3_1_1__4_AdditionalIntakeForMilkProduction(D44, $G$36,$G$37,$G$38,O23)</f>
        <v>0.21026726504853488</v>
      </c>
      <c r="P49" s="55" cm="1">
        <f t="array" ref="P49">EntericMethane_Dairy_Equations.VEERG_3_3_1_1__4_AdditionalIntakeForMilkProduction(E44, $G$36,$G$37,$G$38,P23)</f>
        <v>0</v>
      </c>
      <c r="Q49" s="55" cm="1">
        <f t="array" ref="Q49">EntericMethane_Dairy_Equations.VEERG_3_3_1_1__4_AdditionalIntakeForMilkProduction(F44, $G$36,$G$37,$G$38,Q23)</f>
        <v>0</v>
      </c>
      <c r="R49" s="55" cm="1">
        <f t="array" ref="R49">EntericMethane_Dairy_Equations.VEERG_3_3_1_1__4_AdditionalIntakeForMilkProduction(G44, $G$36,$G$37,$G$38,R23)</f>
        <v>0</v>
      </c>
      <c r="S49" s="55" cm="1">
        <f t="array" ref="S49">EntericMethane_Dairy_Equations.VEERG_3_3_1_1__4_AdditionalIntakeForMilkProduction(H44, $G$36,$G$37,$G$38,S23)</f>
        <v>0</v>
      </c>
      <c r="T49" s="2" t="str">
        <f>$E$33</f>
        <v>kg DM/head/day</v>
      </c>
      <c r="U49" s="2"/>
      <c r="V49" s="2"/>
    </row>
    <row r="50" spans="3:23" ht="20.100000000000001" customHeight="1" x14ac:dyDescent="0.25"/>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3:23" ht="20.100000000000001" customHeight="1" x14ac:dyDescent="0.25">
      <c r="D53" s="135" t="str" cm="1">
        <f t="array" ref="D53">EntericMethane_Dairy_Equations.VEERG_3_3_1_1__3_DryMatterFeedIntake_Title()</f>
        <v>Feed intake based on Minson and McDonald (1987)</v>
      </c>
    </row>
    <row r="54" spans="3:23" ht="20.100000000000001" customHeight="1" x14ac:dyDescent="0.25">
      <c r="D54" s="5" t="str" cm="1">
        <f t="array" ref="D54">EntericMethane_Dairy_Equations.VEERG_3_3_1_1__3_DryMatterFeedIntake_Source()</f>
        <v>VEERG 2026: 3.3.1.1, Equation (3)</v>
      </c>
    </row>
    <row r="55" spans="3:23" ht="20.100000000000001" customHeight="1" x14ac:dyDescent="0.25">
      <c r="D55" s="13" t="s">
        <v>28</v>
      </c>
      <c r="E55" s="13" t="str" cm="1">
        <f t="array" aca="1" ref="E55" ca="1">Common_InputFunctions.Utility_DisplayFunctionName(D84)</f>
        <v>=EntericMethane_Dairy_Equations.VEERG_3_3_1_1__3_DryMatterFeedIntake</v>
      </c>
    </row>
    <row r="56" spans="3:23" ht="20.100000000000001" customHeight="1" x14ac:dyDescent="0.25"/>
    <row r="57" spans="3:23" ht="20.100000000000001" customHeight="1" x14ac:dyDescent="0.25"/>
    <row r="58" spans="3:23" ht="20.100000000000001" customHeight="1" x14ac:dyDescent="0.25">
      <c r="D58" s="56" t="s">
        <v>31</v>
      </c>
      <c r="E58" s="1" t="str" cm="1">
        <f t="array" ref="E58">EntericMethane_Dairy_Equations.VEERG_3_3_1_1__3_DryMatterFeedIntake_Variable()</f>
        <v>I_j</v>
      </c>
    </row>
    <row r="59" spans="3:23" ht="20.100000000000001" customHeight="1" x14ac:dyDescent="0.25">
      <c r="D59" s="56" t="s">
        <v>21</v>
      </c>
      <c r="E59" s="57" t="str" cm="1">
        <f t="array" ref="E59">EntericMethane_Dairy_Equations.VEERG_3_3_1_1__3_DryMatterFeedIntake_Unit()</f>
        <v>kg DM/head/day</v>
      </c>
    </row>
    <row r="60" spans="3:23" ht="20.100000000000001" customHeight="1" x14ac:dyDescent="0.25"/>
    <row r="61" spans="3:23" ht="20.100000000000001" customHeight="1" x14ac:dyDescent="0.25">
      <c r="D61" s="60" t="str" cm="1">
        <f t="array" ref="D61:E64">EntericMethane_Dairy_Equations.VEERG_3_3_1_1__3_DryMatterFeedIntake_Arguments()</f>
        <v>W_j</v>
      </c>
      <c r="E61" s="61" t="str">
        <v>liveweight (kg)</v>
      </c>
      <c r="F61" s="62"/>
      <c r="G61" s="60" t="str">
        <f>"See " &amp; D66</f>
        <v>See M1_Table_W_j</v>
      </c>
    </row>
    <row r="62" spans="3:23" ht="20.100000000000001" customHeight="1" x14ac:dyDescent="0.25">
      <c r="D62" s="60" t="str">
        <v>LWG_j</v>
      </c>
      <c r="E62" s="61" t="str">
        <v>liveweight gain (kg/head/day)</v>
      </c>
      <c r="F62" s="62"/>
      <c r="G62" s="60" t="str">
        <f>"See " &amp; D71</f>
        <v>See M1_Table_LWG_j</v>
      </c>
    </row>
    <row r="63" spans="3:23" ht="20.100000000000001" customHeight="1" x14ac:dyDescent="0.25">
      <c r="D63" s="60" t="str">
        <v>MR_j</v>
      </c>
      <c r="E63" s="61" t="str">
        <v>increase in metabolic rate when producing milk (fraction)</v>
      </c>
      <c r="F63" s="62"/>
      <c r="G63" s="60" t="str">
        <f>"See " &amp; D76</f>
        <v>See Table_MR_j</v>
      </c>
    </row>
    <row r="64" spans="3:23" ht="20.100000000000001" customHeight="1" x14ac:dyDescent="0.25">
      <c r="D64" s="60" t="str">
        <v>MI_j</v>
      </c>
      <c r="E64" s="61" t="str">
        <v>additional intake required for milk production (kg DM/head/day)</v>
      </c>
      <c r="F64" s="62"/>
      <c r="G64" s="60" t="str">
        <f>"See " &amp; D46</f>
        <v>See M1_Table_MI_j</v>
      </c>
    </row>
    <row r="65" spans="4:22" ht="20.100000000000001" customHeight="1" x14ac:dyDescent="0.25"/>
    <row r="66" spans="4:22" ht="20.100000000000001" customHeight="1" x14ac:dyDescent="0.25">
      <c r="D66" s="104" t="s">
        <v>241</v>
      </c>
      <c r="O66" s="104" t="s">
        <v>243</v>
      </c>
    </row>
    <row r="67" spans="4:22" ht="20.100000000000001" customHeight="1" x14ac:dyDescent="0.25">
      <c r="D67" s="103" t="s">
        <v>242</v>
      </c>
      <c r="O67" s="103" t="s">
        <v>244</v>
      </c>
    </row>
    <row r="68" spans="4:22" ht="20.100000000000001" customHeight="1" x14ac:dyDescent="0.25">
      <c r="D68" s="54" t="s">
        <v>189</v>
      </c>
      <c r="E68" s="54" t="s">
        <v>206</v>
      </c>
      <c r="F68" s="54" t="s">
        <v>207</v>
      </c>
      <c r="G68" s="54" t="s">
        <v>208</v>
      </c>
      <c r="H68" s="54" t="s">
        <v>209</v>
      </c>
      <c r="O68" s="54" t="s">
        <v>189</v>
      </c>
      <c r="P68" s="54" t="s">
        <v>206</v>
      </c>
      <c r="Q68" s="54" t="s">
        <v>207</v>
      </c>
      <c r="R68" s="54" t="s">
        <v>208</v>
      </c>
      <c r="S68" s="54" t="s">
        <v>209</v>
      </c>
    </row>
    <row r="69" spans="4:22" ht="20.100000000000001" customHeight="1" x14ac:dyDescent="0.25">
      <c r="D69" s="55">
        <f>'Input - Dairy'!$E$14</f>
        <v>550</v>
      </c>
      <c r="E69" s="55">
        <f>'Input - Dairy'!$F$14</f>
        <v>380</v>
      </c>
      <c r="F69" s="55">
        <f>'Input - Dairy'!$G$14</f>
        <v>155</v>
      </c>
      <c r="G69" s="55">
        <f>'Input - Dairy'!$H$14</f>
        <v>600</v>
      </c>
      <c r="H69" s="55">
        <f>'Input - Dairy'!$I$14</f>
        <v>225</v>
      </c>
      <c r="I69" s="2" t="s">
        <v>211</v>
      </c>
      <c r="J69" s="2"/>
      <c r="K69" s="2"/>
      <c r="O69" s="55">
        <f>'Input - Dairy'!$E$18</f>
        <v>550</v>
      </c>
      <c r="P69" s="55">
        <f>'Input - Dairy'!$F$18</f>
        <v>380</v>
      </c>
      <c r="Q69" s="55">
        <f>'Input - Dairy'!$G$18</f>
        <v>155</v>
      </c>
      <c r="R69" s="55">
        <f>'Input - Dairy'!$H$18</f>
        <v>600</v>
      </c>
      <c r="S69" s="55">
        <f>'Input - Dairy'!$I$18</f>
        <v>225</v>
      </c>
      <c r="T69" s="2" t="s">
        <v>211</v>
      </c>
      <c r="U69" s="2"/>
      <c r="V69" s="2"/>
    </row>
    <row r="70" spans="4:22" ht="20.100000000000001" customHeight="1" x14ac:dyDescent="0.25"/>
    <row r="71" spans="4:22" ht="20.100000000000001" customHeight="1" x14ac:dyDescent="0.25">
      <c r="D71" s="104" t="s">
        <v>245</v>
      </c>
      <c r="O71" s="104" t="s">
        <v>247</v>
      </c>
    </row>
    <row r="72" spans="4:22" ht="20.100000000000001" customHeight="1" x14ac:dyDescent="0.25">
      <c r="D72" s="103" t="s">
        <v>246</v>
      </c>
      <c r="O72" s="103" t="s">
        <v>248</v>
      </c>
    </row>
    <row r="73" spans="4:22" ht="20.100000000000001" customHeight="1" x14ac:dyDescent="0.25">
      <c r="D73" s="54" t="s">
        <v>189</v>
      </c>
      <c r="E73" s="54" t="s">
        <v>206</v>
      </c>
      <c r="F73" s="54" t="s">
        <v>207</v>
      </c>
      <c r="G73" s="54" t="s">
        <v>208</v>
      </c>
      <c r="H73" s="54" t="s">
        <v>209</v>
      </c>
      <c r="O73" s="54" t="s">
        <v>189</v>
      </c>
      <c r="P73" s="54" t="s">
        <v>206</v>
      </c>
      <c r="Q73" s="54" t="s">
        <v>207</v>
      </c>
      <c r="R73" s="54" t="s">
        <v>208</v>
      </c>
      <c r="S73" s="54" t="s">
        <v>209</v>
      </c>
    </row>
    <row r="74" spans="4:22" ht="20.100000000000001" customHeight="1" x14ac:dyDescent="0.25">
      <c r="D74" s="55">
        <f>'Input - Dairy'!$E$15</f>
        <v>1.6E-2</v>
      </c>
      <c r="E74" s="55">
        <f>'Input - Dairy'!$F$15</f>
        <v>0.6</v>
      </c>
      <c r="F74" s="55">
        <f>'Input - Dairy'!$G$15</f>
        <v>0.56999999999999995</v>
      </c>
      <c r="G74" s="55">
        <f>'Input - Dairy'!$H$15</f>
        <v>0.1</v>
      </c>
      <c r="H74" s="55">
        <f>'Input - Dairy'!$I$15</f>
        <v>0.8</v>
      </c>
      <c r="I74" s="2" t="s">
        <v>212</v>
      </c>
      <c r="J74" s="2"/>
      <c r="K74" s="2"/>
      <c r="O74" s="55">
        <f>'Input - Dairy'!$E$19</f>
        <v>1.6E-2</v>
      </c>
      <c r="P74" s="55">
        <f>'Input - Dairy'!$F$19</f>
        <v>0.6</v>
      </c>
      <c r="Q74" s="55">
        <f>'Input - Dairy'!$G$19</f>
        <v>0.56999999999999995</v>
      </c>
      <c r="R74" s="55">
        <f>'Input - Dairy'!$H$19</f>
        <v>0.1</v>
      </c>
      <c r="S74" s="55">
        <f>'Input - Dairy'!$I$19</f>
        <v>0.8</v>
      </c>
      <c r="T74" s="2" t="s">
        <v>212</v>
      </c>
      <c r="U74" s="2"/>
      <c r="V74" s="2"/>
    </row>
    <row r="75" spans="4:22" ht="20.100000000000001" customHeight="1" x14ac:dyDescent="0.25"/>
    <row r="76" spans="4:22" ht="20.100000000000001" customHeight="1" x14ac:dyDescent="0.25">
      <c r="D76" s="104" t="s">
        <v>249</v>
      </c>
    </row>
    <row r="77" spans="4:22" ht="20.100000000000001" customHeight="1" x14ac:dyDescent="0.25">
      <c r="D77" s="103" t="s">
        <v>250</v>
      </c>
    </row>
    <row r="78" spans="4:22" ht="20.100000000000001" customHeight="1" x14ac:dyDescent="0.25">
      <c r="D78" s="54" t="s">
        <v>189</v>
      </c>
      <c r="E78" s="54" t="s">
        <v>206</v>
      </c>
      <c r="F78" s="54" t="s">
        <v>207</v>
      </c>
      <c r="G78" s="54" t="s">
        <v>208</v>
      </c>
      <c r="H78" s="54" t="s">
        <v>209</v>
      </c>
    </row>
    <row r="79" spans="4:22" ht="20.100000000000001" customHeight="1" x14ac:dyDescent="0.25">
      <c r="D79" s="55">
        <f>'Constants - Dairy'!$E$108</f>
        <v>1.1000000000000001</v>
      </c>
      <c r="E79" s="55">
        <f>'Constants - Dairy'!$E$109</f>
        <v>1</v>
      </c>
      <c r="F79" s="55">
        <f>'Constants - Dairy'!$E$109</f>
        <v>1</v>
      </c>
      <c r="G79" s="55">
        <f>'Constants - Dairy'!$E$109</f>
        <v>1</v>
      </c>
      <c r="H79" s="55">
        <f>'Constants - Dairy'!$E$109</f>
        <v>1</v>
      </c>
      <c r="I79" s="2" t="s">
        <v>101</v>
      </c>
      <c r="J79" s="2"/>
      <c r="K79" s="2"/>
    </row>
    <row r="80" spans="4:22" ht="20.100000000000001" customHeight="1" x14ac:dyDescent="0.25"/>
    <row r="81" spans="3:23" ht="20.100000000000001" customHeight="1" x14ac:dyDescent="0.25">
      <c r="D81" s="104" t="s">
        <v>116</v>
      </c>
      <c r="O81" s="104" t="s">
        <v>118</v>
      </c>
    </row>
    <row r="82" spans="3:23" ht="20.100000000000001" customHeight="1" x14ac:dyDescent="0.25">
      <c r="D82" s="103" t="s">
        <v>264</v>
      </c>
      <c r="O82" s="103" t="s">
        <v>263</v>
      </c>
    </row>
    <row r="83" spans="3:23" ht="20.100000000000001" customHeight="1" x14ac:dyDescent="0.25">
      <c r="D83" s="54" t="s">
        <v>189</v>
      </c>
      <c r="E83" s="54" t="s">
        <v>206</v>
      </c>
      <c r="F83" s="54" t="s">
        <v>207</v>
      </c>
      <c r="G83" s="54" t="s">
        <v>208</v>
      </c>
      <c r="H83" s="54" t="s">
        <v>209</v>
      </c>
      <c r="O83" s="54" t="s">
        <v>189</v>
      </c>
      <c r="P83" s="54" t="s">
        <v>206</v>
      </c>
      <c r="Q83" s="54" t="s">
        <v>207</v>
      </c>
      <c r="R83" s="54" t="s">
        <v>208</v>
      </c>
      <c r="S83" s="54" t="s">
        <v>209</v>
      </c>
    </row>
    <row r="84" spans="3:23" ht="20.100000000000001" customHeight="1" x14ac:dyDescent="0.25">
      <c r="D84" s="55" cm="1">
        <f t="array" ref="D84">EntericMethane_Dairy_Equations.VEERG_3_3_1_1__3_DryMatterFeedIntake(D69,D74,D79,D49)</f>
        <v>9.4647127858085369</v>
      </c>
      <c r="E84" s="55" cm="1">
        <f t="array" ref="E84">EntericMethane_Dairy_Equations.VEERG_3_3_1_1__3_DryMatterFeedIntake(E69,E74,E79,E49)</f>
        <v>7.4188685375999972</v>
      </c>
      <c r="F84" s="55" cm="1">
        <f t="array" ref="F84">EntericMethane_Dairy_Equations.VEERG_3_3_1_1__3_DryMatterFeedIntake(F69,F74,F79,F49)</f>
        <v>4.0231734662249998</v>
      </c>
      <c r="G84" s="55" cm="1">
        <f t="array" ref="G84">EntericMethane_Dairy_Equations.VEERG_3_3_1_1__3_DryMatterFeedIntake(G69,G74,G79,G49)</f>
        <v>9.0270202499999979</v>
      </c>
      <c r="H84" s="55" cm="1">
        <f t="array" ref="H84">EntericMethane_Dairy_Equations.VEERG_3_3_1_1__3_DryMatterFeedIntake(H69,H74,H79,H49)</f>
        <v>5.4143472656250013</v>
      </c>
      <c r="I84" s="2" t="str">
        <f>$E$59</f>
        <v>kg DM/head/day</v>
      </c>
      <c r="J84" s="2"/>
      <c r="K84" s="2"/>
      <c r="O84" s="55" cm="1">
        <f t="array" ref="O84">EntericMethane_Dairy_Equations.VEERG_3_3_1_1__3_DryMatterFeedIntake(O69,O74,D79,O49)</f>
        <v>9.4647127858085369</v>
      </c>
      <c r="P84" s="55" cm="1">
        <f t="array" ref="P84">EntericMethane_Dairy_Equations.VEERG_3_3_1_1__3_DryMatterFeedIntake(P69,P74,E79,P49)</f>
        <v>7.4188685375999972</v>
      </c>
      <c r="Q84" s="55" cm="1">
        <f t="array" ref="Q84">EntericMethane_Dairy_Equations.VEERG_3_3_1_1__3_DryMatterFeedIntake(Q69,Q74,F79,Q49)</f>
        <v>4.0231734662249998</v>
      </c>
      <c r="R84" s="55" cm="1">
        <f t="array" ref="R84">EntericMethane_Dairy_Equations.VEERG_3_3_1_1__3_DryMatterFeedIntake(R69,R74,G79,R49)</f>
        <v>9.0270202499999979</v>
      </c>
      <c r="S84" s="55" cm="1">
        <f t="array" ref="S84">EntericMethane_Dairy_Equations.VEERG_3_3_1_1__3_DryMatterFeedIntake(S69,S74,H79,S49)</f>
        <v>5.4143472656250013</v>
      </c>
      <c r="T84" s="2" t="str">
        <f>$E$59</f>
        <v>kg DM/head/day</v>
      </c>
      <c r="U84" s="2"/>
      <c r="V84" s="2"/>
    </row>
    <row r="85" spans="3:23" ht="20.100000000000001" customHeight="1" x14ac:dyDescent="0.25"/>
    <row r="86" spans="3:23" ht="20.100000000000001" customHeight="1" x14ac:dyDescent="0.25"/>
    <row r="87" spans="3:23" ht="20.100000000000001" customHeight="1" x14ac:dyDescent="0.25">
      <c r="C87" s="48"/>
      <c r="D87" s="48"/>
      <c r="E87" s="48"/>
      <c r="F87" s="48"/>
      <c r="G87" s="48"/>
      <c r="H87" s="48"/>
      <c r="I87" s="48"/>
      <c r="J87" s="48"/>
      <c r="K87" s="48"/>
      <c r="L87" s="48"/>
      <c r="N87" s="48"/>
      <c r="O87" s="48"/>
      <c r="P87" s="48"/>
      <c r="Q87" s="48"/>
      <c r="R87" s="48"/>
      <c r="S87" s="48"/>
      <c r="T87" s="48"/>
      <c r="U87" s="48"/>
      <c r="V87" s="48"/>
      <c r="W87" s="48"/>
    </row>
    <row r="88" spans="3:23" ht="20.100000000000001" customHeight="1" x14ac:dyDescent="0.25">
      <c r="D88" s="6" t="str" cm="1">
        <f t="array" ref="D88">MMS_Dairy_Methane_Equations.VEERG_4_3_1_1__3_VolatileSolidsForWeanedDairyCattle_Title()</f>
        <v>Volatile solids for weaned dairy cattle</v>
      </c>
    </row>
    <row r="89" spans="3:23" ht="20.100000000000001" customHeight="1" x14ac:dyDescent="0.25">
      <c r="D89" s="5" t="str" cm="1">
        <f t="array" ref="D89">MMS_Dairy_Methane_Equations.VEERG_4_3_1_1__3_VolatileSolidsForWeanedDairyCattle_Source()</f>
        <v>VEERG 2026: 4.3.1.1, Equation (3)</v>
      </c>
    </row>
    <row r="90" spans="3:23" ht="20.100000000000001" customHeight="1" x14ac:dyDescent="0.25">
      <c r="D90" s="13" t="s">
        <v>28</v>
      </c>
      <c r="E90" s="13" t="str" cm="1">
        <f t="array" aca="1" ref="E90" ca="1">Common_InputFunctions.Utility_DisplayFunctionName(D103)</f>
        <v>=MMS_Dairy_Methane_Equations.VEERG_4_3_1_1__3_VolatileSolidsForWeanedDairyCattle</v>
      </c>
    </row>
    <row r="91" spans="3:23" ht="20.100000000000001" customHeight="1" x14ac:dyDescent="0.25"/>
    <row r="92" spans="3:23" ht="20.100000000000001" customHeight="1" x14ac:dyDescent="0.25"/>
    <row r="93" spans="3:23" ht="20.100000000000001" customHeight="1" x14ac:dyDescent="0.25">
      <c r="D93" s="56" t="s">
        <v>31</v>
      </c>
      <c r="E93" s="1" t="str" cm="1">
        <f t="array" ref="E93">MMS_Dairy_Methane_Equations.VEERG_4_3_1_1__3_VolatileSolidsForWeanedDairyCattle_Variable()</f>
        <v>VS_j</v>
      </c>
    </row>
    <row r="94" spans="3:23" ht="20.100000000000001" customHeight="1" x14ac:dyDescent="0.25">
      <c r="D94" s="56" t="s">
        <v>21</v>
      </c>
      <c r="E94" s="57" t="str" cm="1">
        <f t="array" ref="E94">MMS_Dairy_Methane_Equations.VEERG_4_3_1_1__3_VolatileSolidsForWeanedDairyCattle_Unit()</f>
        <v>kg/head/day</v>
      </c>
    </row>
    <row r="95" spans="3:23" ht="20.100000000000001" customHeight="1" x14ac:dyDescent="0.25"/>
    <row r="96" spans="3:23" ht="20.100000000000001" customHeight="1" x14ac:dyDescent="0.25">
      <c r="D96" s="115" t="str" cm="1">
        <f t="array" ref="D96:E98">MMS_Dairy_Methane_Equations.VEERG_4_3_1_1__3_VolatileSolidsForWeanedDairyCattle_Arguments()</f>
        <v>I_j</v>
      </c>
      <c r="E96" s="117" t="str">
        <v>dry matter feed intake (kgDM/head/day)</v>
      </c>
      <c r="F96" s="116"/>
      <c r="G96" s="115" t="str">
        <f>"See " &amp; D81</f>
        <v>See M1_Table_I_j</v>
      </c>
    </row>
    <row r="97" spans="3:23" ht="20.100000000000001" customHeight="1" x14ac:dyDescent="0.25">
      <c r="D97" s="115" t="str">
        <v>DMD_j</v>
      </c>
      <c r="E97" s="117" t="str">
        <v>dry matter digestibility</v>
      </c>
      <c r="F97" s="116"/>
      <c r="G97" s="115" t="str">
        <f>"See " &amp; D15</f>
        <v>See M1_Table_DMD_j</v>
      </c>
    </row>
    <row r="98" spans="3:23" ht="20.100000000000001" customHeight="1" x14ac:dyDescent="0.25">
      <c r="D98" s="115" t="str">
        <v>A</v>
      </c>
      <c r="E98" s="117" t="str">
        <v>ash content of feed intake</v>
      </c>
      <c r="F98" s="116"/>
      <c r="G98" s="60">
        <f>'Constants - Dairy'!$D$188</f>
        <v>0.08</v>
      </c>
    </row>
    <row r="99" spans="3:23" ht="20.100000000000001" customHeight="1" x14ac:dyDescent="0.25"/>
    <row r="100" spans="3:23" ht="20.100000000000001" customHeight="1" x14ac:dyDescent="0.25">
      <c r="D100" s="104" t="s">
        <v>129</v>
      </c>
      <c r="O100" s="104" t="s">
        <v>132</v>
      </c>
    </row>
    <row r="101" spans="3:23" ht="20.100000000000001" customHeight="1" x14ac:dyDescent="0.25">
      <c r="D101" s="103" t="s">
        <v>265</v>
      </c>
      <c r="O101" s="103" t="s">
        <v>266</v>
      </c>
    </row>
    <row r="102" spans="3:23" ht="20.100000000000001" customHeight="1" x14ac:dyDescent="0.25">
      <c r="D102" s="54" t="s">
        <v>189</v>
      </c>
      <c r="E102" s="54" t="s">
        <v>206</v>
      </c>
      <c r="F102" s="54" t="s">
        <v>207</v>
      </c>
      <c r="G102" s="54" t="s">
        <v>208</v>
      </c>
      <c r="H102" s="54" t="s">
        <v>209</v>
      </c>
      <c r="O102" s="54" t="s">
        <v>189</v>
      </c>
      <c r="P102" s="54" t="s">
        <v>206</v>
      </c>
      <c r="Q102" s="54" t="s">
        <v>207</v>
      </c>
      <c r="R102" s="54" t="s">
        <v>208</v>
      </c>
      <c r="S102" s="54" t="s">
        <v>209</v>
      </c>
    </row>
    <row r="103" spans="3:23" ht="20.100000000000001" customHeight="1" x14ac:dyDescent="0.25">
      <c r="D103" s="55" cm="1">
        <f t="array" ref="D103">MMS_Dairy_Methane_Equations.VEERG_4_3_1_1__3_VolatileSolidsForWeanedDairyCattle(D84,D18,$G$98)</f>
        <v>2.525185371253718</v>
      </c>
      <c r="E103" s="55" cm="1">
        <f t="array" ref="E103">MMS_Dairy_Methane_Equations.VEERG_4_3_1_1__3_VolatileSolidsForWeanedDairyCattle(E84,E18,$G$98)</f>
        <v>1.9793541258316791</v>
      </c>
      <c r="F103" s="55" cm="1">
        <f t="array" ref="F103">MMS_Dairy_Methane_Equations.VEERG_4_3_1_1__3_VolatileSolidsForWeanedDairyCattle(F84,F18,$G$98)</f>
        <v>1.07338268078883</v>
      </c>
      <c r="G103" s="55" cm="1">
        <f t="array" ref="G103">MMS_Dairy_Methane_Equations.VEERG_4_3_1_1__3_VolatileSolidsForWeanedDairyCattle(G84,G18,$G$98)</f>
        <v>2.4084090026999996</v>
      </c>
      <c r="H103" s="55" cm="1">
        <f t="array" ref="H103">MMS_Dairy_Methane_Equations.VEERG_4_3_1_1__3_VolatileSolidsForWeanedDairyCattle(H84,H18,$G$98)</f>
        <v>1.4445478504687506</v>
      </c>
      <c r="I103" s="2" t="str">
        <f>$E$94</f>
        <v>kg/head/day</v>
      </c>
      <c r="O103" s="55" cm="1">
        <f t="array" ref="O103">MMS_Dairy_Methane_Equations.VEERG_4_3_1_1__3_VolatileSolidsForWeanedDairyCattle(O84,O18,$G$98)</f>
        <v>2.525185371253718</v>
      </c>
      <c r="P103" s="55" cm="1">
        <f t="array" ref="P103">MMS_Dairy_Methane_Equations.VEERG_4_3_1_1__3_VolatileSolidsForWeanedDairyCattle(P84,P18,$G$98)</f>
        <v>1.9793541258316791</v>
      </c>
      <c r="Q103" s="55" cm="1">
        <f t="array" ref="Q103">MMS_Dairy_Methane_Equations.VEERG_4_3_1_1__3_VolatileSolidsForWeanedDairyCattle(Q84,Q18,$G$98)</f>
        <v>1.07338268078883</v>
      </c>
      <c r="R103" s="55" cm="1">
        <f t="array" ref="R103">MMS_Dairy_Methane_Equations.VEERG_4_3_1_1__3_VolatileSolidsForWeanedDairyCattle(R84,R18,$G$98)</f>
        <v>2.4084090026999996</v>
      </c>
      <c r="S103" s="55" cm="1">
        <f t="array" ref="S103">MMS_Dairy_Methane_Equations.VEERG_4_3_1_1__3_VolatileSolidsForWeanedDairyCattle(S84,S18,$G$98)</f>
        <v>1.4445478504687506</v>
      </c>
      <c r="T103" s="2" t="str">
        <f>$E$94</f>
        <v>kg/head/day</v>
      </c>
    </row>
    <row r="104" spans="3:23" ht="20.100000000000001" customHeight="1" x14ac:dyDescent="0.25"/>
    <row r="105" spans="3:23" ht="20.100000000000001" customHeight="1" x14ac:dyDescent="0.25"/>
    <row r="106" spans="3:23" ht="20.100000000000001" customHeight="1" x14ac:dyDescent="0.25">
      <c r="C106" s="48"/>
      <c r="D106" s="48"/>
      <c r="E106" s="48"/>
      <c r="F106" s="48"/>
      <c r="G106" s="48"/>
      <c r="H106" s="48"/>
      <c r="I106" s="48"/>
      <c r="J106" s="48"/>
      <c r="K106" s="48"/>
      <c r="L106" s="48"/>
      <c r="N106" s="48"/>
      <c r="O106" s="48"/>
      <c r="P106" s="48"/>
      <c r="Q106" s="48"/>
      <c r="R106" s="48"/>
      <c r="S106" s="48"/>
      <c r="T106" s="48"/>
      <c r="U106" s="48"/>
      <c r="V106" s="48"/>
      <c r="W106" s="48"/>
    </row>
    <row r="107" spans="3:23" ht="20.100000000000001" customHeight="1" x14ac:dyDescent="0.25">
      <c r="D107" s="6" t="str" cm="1">
        <f t="array" ref="D107">MMS_Dairy_Methane_Equations.VEERG_4_3_1_1__4_FractionVolatileSolidsNotSolidStorage_Title()</f>
        <v>Fraction of volatile solids in each system other than solid storage</v>
      </c>
    </row>
    <row r="108" spans="3:23" ht="20.100000000000001" customHeight="1" x14ac:dyDescent="0.25">
      <c r="D108" s="5" t="str" cm="1">
        <f t="array" ref="D108">MMS_Dairy_Methane_Equations.VEERG_4_3_1_1__4_FractionVolatileSolidsNotSolidStorage_Source()</f>
        <v>VEERG 2026: 4.3.1.1, Equation (4)</v>
      </c>
      <c r="E108" s="13"/>
    </row>
    <row r="109" spans="3:23" ht="20.100000000000001" customHeight="1" x14ac:dyDescent="0.25">
      <c r="D109" s="13" t="s">
        <v>28</v>
      </c>
      <c r="E109" s="13" t="str" cm="1">
        <f t="array" aca="1" ref="E109" ca="1">Common_InputFunctions.Utility_DisplayFunctionName(F141)</f>
        <v>=MMS_Dairy_Methane_Equations.VEERG_4_3_1_1__4_FractionVolatileSolidsNotSolidStorage</v>
      </c>
    </row>
    <row r="110" spans="3:23" ht="20.100000000000001" customHeight="1" x14ac:dyDescent="0.25">
      <c r="D110" s="6"/>
    </row>
    <row r="111" spans="3:23" ht="20.100000000000001" customHeight="1" x14ac:dyDescent="0.25">
      <c r="F111" s="114" t="s">
        <v>306</v>
      </c>
    </row>
    <row r="112" spans="3:23" ht="20.100000000000001" customHeight="1" x14ac:dyDescent="0.25">
      <c r="D112" s="56" t="s">
        <v>31</v>
      </c>
      <c r="E112" s="1" t="str" cm="1">
        <f t="array" ref="E112">MMS_Dairy_Methane_Equations.VEERG_4_3_1_1__4_FractionVolatileSolidsNotSolidStorage_Variable()</f>
        <v>FVS_jm</v>
      </c>
    </row>
    <row r="113" spans="4:22" ht="20.100000000000001" customHeight="1" x14ac:dyDescent="0.25">
      <c r="D113" s="56" t="s">
        <v>21</v>
      </c>
      <c r="E113" s="57" t="str" cm="1">
        <f t="array" ref="E113">MMS_Dairy_Methane_Equations.VEERG_4_3_1_1__4_FractionVolatileSolidsNotSolidStorage_Unit()</f>
        <v>fraction</v>
      </c>
    </row>
    <row r="114" spans="4:22" ht="20.100000000000001" customHeight="1" x14ac:dyDescent="0.25"/>
    <row r="115" spans="4:22" ht="20.100000000000001" customHeight="1" x14ac:dyDescent="0.25">
      <c r="D115" s="115" t="str" cm="1">
        <f t="array" ref="D115:E116">MMS_Dairy_Methane_Equations.VEERG_4_3_1_1__4_FractionVolatileSolidsNotSolidStorage_Arguments()</f>
        <v>MMS_jm</v>
      </c>
      <c r="E115" s="117" t="str">
        <v>fraction of manure to each primary MMS for each class prior to solid separation</v>
      </c>
      <c r="F115" s="116"/>
      <c r="G115" s="115" t="str">
        <f>"See " &amp; D118</f>
        <v>See M1_Table_MMS_j_m</v>
      </c>
    </row>
    <row r="116" spans="4:22" ht="20.100000000000001" customHeight="1" x14ac:dyDescent="0.25">
      <c r="D116" s="115" t="str">
        <v>SS_m</v>
      </c>
      <c r="E116" s="117" t="str">
        <v>fraction of volatile solids separated to solid storage for each MMS</v>
      </c>
      <c r="F116" s="116"/>
      <c r="G116" s="115" t="str">
        <f>"See " &amp; D128</f>
        <v>See M1_Table_SS_m</v>
      </c>
    </row>
    <row r="117" spans="4:22" ht="20.100000000000001" customHeight="1" x14ac:dyDescent="0.25"/>
    <row r="118" spans="4:22" ht="20.100000000000001" customHeight="1" x14ac:dyDescent="0.25">
      <c r="D118" s="104" t="s">
        <v>271</v>
      </c>
      <c r="O118" s="104" t="s">
        <v>273</v>
      </c>
    </row>
    <row r="119" spans="4:22" ht="20.100000000000001" customHeight="1" x14ac:dyDescent="0.25">
      <c r="D119" s="103" t="s">
        <v>272</v>
      </c>
      <c r="O119" s="103" t="s">
        <v>274</v>
      </c>
    </row>
    <row r="120" spans="4:22" ht="20.100000000000001" customHeight="1" x14ac:dyDescent="0.25">
      <c r="D120" s="54" t="s">
        <v>159</v>
      </c>
      <c r="E120" s="54" t="s">
        <v>69</v>
      </c>
      <c r="F120" s="54" t="s">
        <v>189</v>
      </c>
      <c r="G120" s="54" t="s">
        <v>206</v>
      </c>
      <c r="H120" s="54" t="s">
        <v>207</v>
      </c>
      <c r="I120" s="54" t="s">
        <v>208</v>
      </c>
      <c r="J120" s="54" t="s">
        <v>209</v>
      </c>
      <c r="O120" s="54" t="s">
        <v>159</v>
      </c>
      <c r="P120" s="54" t="s">
        <v>69</v>
      </c>
      <c r="Q120" s="54" t="s">
        <v>189</v>
      </c>
      <c r="R120" s="54" t="s">
        <v>206</v>
      </c>
      <c r="S120" s="54" t="s">
        <v>207</v>
      </c>
      <c r="T120" s="54" t="s">
        <v>208</v>
      </c>
      <c r="U120" s="54" t="s">
        <v>209</v>
      </c>
    </row>
    <row r="121" spans="4:22" ht="20.100000000000001" customHeight="1" x14ac:dyDescent="0.25">
      <c r="D121" s="139" t="str">
        <f>'Input - Dairy'!$D$54</f>
        <v>Milking shed</v>
      </c>
      <c r="E121" s="139" t="str">
        <f>'Input - Dairy'!$D$67</f>
        <v>Anaerobic lagoon</v>
      </c>
      <c r="F121" s="55">
        <f>'Input - Dairy'!E$54*'Input - Dairy'!E67</f>
        <v>2.75E-2</v>
      </c>
      <c r="G121" s="55">
        <f>'Input - Dairy'!F$54*'Input - Dairy'!F67</f>
        <v>2.75E-2</v>
      </c>
      <c r="H121" s="55">
        <f>'Input - Dairy'!G$54*'Input - Dairy'!G67</f>
        <v>2.75E-2</v>
      </c>
      <c r="I121" s="55">
        <f>'Input - Dairy'!H$54*'Input - Dairy'!H67</f>
        <v>2.75E-2</v>
      </c>
      <c r="J121" s="55">
        <f>'Input - Dairy'!I$54*'Input - Dairy'!I67</f>
        <v>2.75E-2</v>
      </c>
      <c r="K121" s="2" t="s">
        <v>101</v>
      </c>
      <c r="O121" s="139" t="str">
        <f>'Input - Dairy'!$D$54</f>
        <v>Milking shed</v>
      </c>
      <c r="P121" s="139" t="str">
        <f>'Input - Dairy'!$D$67</f>
        <v>Anaerobic lagoon</v>
      </c>
      <c r="Q121" s="55">
        <f>'Input - Dairy'!E$59*'Input - Dairy'!E67</f>
        <v>2.75E-2</v>
      </c>
      <c r="R121" s="55">
        <f>'Input - Dairy'!F$59*'Input - Dairy'!F67</f>
        <v>2.75E-2</v>
      </c>
      <c r="S121" s="55">
        <f>'Input - Dairy'!G$59*'Input - Dairy'!G67</f>
        <v>2.75E-2</v>
      </c>
      <c r="T121" s="55">
        <f>'Input - Dairy'!H$59*'Input - Dairy'!H67</f>
        <v>2.75E-2</v>
      </c>
      <c r="U121" s="55">
        <f>'Input - Dairy'!I$59*'Input - Dairy'!I67</f>
        <v>2.75E-2</v>
      </c>
      <c r="V121" s="2" t="s">
        <v>101</v>
      </c>
    </row>
    <row r="122" spans="4:22" ht="20.100000000000001" customHeight="1" x14ac:dyDescent="0.25">
      <c r="D122" s="139" t="str">
        <f>'Input - Dairy'!$D$54</f>
        <v>Milking shed</v>
      </c>
      <c r="E122" s="139" t="str">
        <f>'Input - Dairy'!$D$72</f>
        <v>Sump and dispersal system</v>
      </c>
      <c r="F122" s="55">
        <f>'Input - Dairy'!E$54*'Input - Dairy'!E72</f>
        <v>2.75E-2</v>
      </c>
      <c r="G122" s="55">
        <f>'Input - Dairy'!F$54*'Input - Dairy'!F72</f>
        <v>2.75E-2</v>
      </c>
      <c r="H122" s="55">
        <f>'Input - Dairy'!G$54*'Input - Dairy'!G72</f>
        <v>2.75E-2</v>
      </c>
      <c r="I122" s="55">
        <f>'Input - Dairy'!H$54*'Input - Dairy'!H72</f>
        <v>2.75E-2</v>
      </c>
      <c r="J122" s="55">
        <f>'Input - Dairy'!I$54*'Input - Dairy'!I72</f>
        <v>2.75E-2</v>
      </c>
      <c r="K122" s="2" t="s">
        <v>101</v>
      </c>
      <c r="O122" s="139" t="str">
        <f>'Input - Dairy'!$D$54</f>
        <v>Milking shed</v>
      </c>
      <c r="P122" s="139" t="str">
        <f>'Input - Dairy'!$D$72</f>
        <v>Sump and dispersal system</v>
      </c>
      <c r="Q122" s="55">
        <f>'Input - Dairy'!E$59*'Input - Dairy'!E72</f>
        <v>2.75E-2</v>
      </c>
      <c r="R122" s="55">
        <f>'Input - Dairy'!F$59*'Input - Dairy'!F72</f>
        <v>2.75E-2</v>
      </c>
      <c r="S122" s="55">
        <f>'Input - Dairy'!G$59*'Input - Dairy'!G72</f>
        <v>2.75E-2</v>
      </c>
      <c r="T122" s="55">
        <f>'Input - Dairy'!H$59*'Input - Dairy'!H72</f>
        <v>2.75E-2</v>
      </c>
      <c r="U122" s="55">
        <f>'Input - Dairy'!I$59*'Input - Dairy'!I72</f>
        <v>2.75E-2</v>
      </c>
      <c r="V122" s="2" t="s">
        <v>101</v>
      </c>
    </row>
    <row r="123" spans="4:22" ht="20.100000000000001" customHeight="1" x14ac:dyDescent="0.25">
      <c r="D123" s="139" t="str">
        <f>'Input - Dairy'!$D$54</f>
        <v>Milking shed</v>
      </c>
      <c r="E123" s="139" t="str">
        <f>'Input - Dairy'!$D$77</f>
        <v>Drains to paddock</v>
      </c>
      <c r="F123" s="55">
        <f>'Input - Dairy'!E$54*'Input - Dairy'!E77</f>
        <v>2.75E-2</v>
      </c>
      <c r="G123" s="55">
        <f>'Input - Dairy'!F$54*'Input - Dairy'!F77</f>
        <v>2.75E-2</v>
      </c>
      <c r="H123" s="55">
        <f>'Input - Dairy'!G$54*'Input - Dairy'!G77</f>
        <v>2.75E-2</v>
      </c>
      <c r="I123" s="55">
        <f>'Input - Dairy'!H$54*'Input - Dairy'!H77</f>
        <v>2.75E-2</v>
      </c>
      <c r="J123" s="55">
        <f>'Input - Dairy'!I$54*'Input - Dairy'!I77</f>
        <v>2.75E-2</v>
      </c>
      <c r="K123" s="2" t="s">
        <v>101</v>
      </c>
      <c r="O123" s="139" t="str">
        <f>'Input - Dairy'!$D$54</f>
        <v>Milking shed</v>
      </c>
      <c r="P123" s="139" t="str">
        <f>'Input - Dairy'!$D$77</f>
        <v>Drains to paddock</v>
      </c>
      <c r="Q123" s="55">
        <f>'Input - Dairy'!E$59*'Input - Dairy'!E77</f>
        <v>2.75E-2</v>
      </c>
      <c r="R123" s="55">
        <f>'Input - Dairy'!F$59*'Input - Dairy'!F77</f>
        <v>2.75E-2</v>
      </c>
      <c r="S123" s="55">
        <f>'Input - Dairy'!G$59*'Input - Dairy'!G77</f>
        <v>2.75E-2</v>
      </c>
      <c r="T123" s="55">
        <f>'Input - Dairy'!H$59*'Input - Dairy'!H77</f>
        <v>2.75E-2</v>
      </c>
      <c r="U123" s="55">
        <f>'Input - Dairy'!I$59*'Input - Dairy'!I77</f>
        <v>2.75E-2</v>
      </c>
      <c r="V123" s="2" t="s">
        <v>101</v>
      </c>
    </row>
    <row r="124" spans="4:22" ht="20.100000000000001" customHeight="1" x14ac:dyDescent="0.25">
      <c r="D124" s="139" t="str">
        <f>'Input - Dairy'!$D$55</f>
        <v>Feed pad</v>
      </c>
      <c r="E124" s="139" t="str">
        <f>'Input - Dairy'!$D$101</f>
        <v>Anaerobic lagoon</v>
      </c>
      <c r="F124" s="55">
        <f>'Input - Dairy'!E$55*'Input - Dairy'!E101</f>
        <v>8.8999999999999996E-2</v>
      </c>
      <c r="G124" s="55">
        <f>'Input - Dairy'!F$55*'Input - Dairy'!F101</f>
        <v>8.8999999999999996E-2</v>
      </c>
      <c r="H124" s="55">
        <f>'Input - Dairy'!G$55*'Input - Dairy'!G101</f>
        <v>8.8999999999999996E-2</v>
      </c>
      <c r="I124" s="55">
        <f>'Input - Dairy'!H$55*'Input - Dairy'!H101</f>
        <v>8.8999999999999996E-2</v>
      </c>
      <c r="J124" s="55">
        <f>'Input - Dairy'!I$55*'Input - Dairy'!I101</f>
        <v>8.8999999999999996E-2</v>
      </c>
      <c r="K124" s="2" t="s">
        <v>101</v>
      </c>
      <c r="O124" s="139" t="str">
        <f>'Input - Dairy'!$D$55</f>
        <v>Feed pad</v>
      </c>
      <c r="P124" s="139" t="str">
        <f>'Input - Dairy'!$D$101</f>
        <v>Anaerobic lagoon</v>
      </c>
      <c r="Q124" s="55">
        <f>'Input - Dairy'!E$60*'Input - Dairy'!E101</f>
        <v>8.8999999999999996E-2</v>
      </c>
      <c r="R124" s="55">
        <f>'Input - Dairy'!F$60*'Input - Dairy'!F101</f>
        <v>8.8999999999999996E-2</v>
      </c>
      <c r="S124" s="55">
        <f>'Input - Dairy'!G$60*'Input - Dairy'!G101</f>
        <v>8.8999999999999996E-2</v>
      </c>
      <c r="T124" s="55">
        <f>'Input - Dairy'!H$60*'Input - Dairy'!H101</f>
        <v>8.8999999999999996E-2</v>
      </c>
      <c r="U124" s="55">
        <f>'Input - Dairy'!I$60*'Input - Dairy'!I101</f>
        <v>8.8999999999999996E-2</v>
      </c>
      <c r="V124" s="2" t="s">
        <v>101</v>
      </c>
    </row>
    <row r="125" spans="4:22" ht="20.100000000000001" customHeight="1" x14ac:dyDescent="0.25">
      <c r="D125" s="139" t="str">
        <f>'Input - Dairy'!$D$55</f>
        <v>Feed pad</v>
      </c>
      <c r="E125" s="139" t="str">
        <f>'Input - Dairy'!$D$106</f>
        <v>Sump and dispersal system</v>
      </c>
      <c r="F125" s="55">
        <f>'Input - Dairy'!E$55*'Input - Dairy'!E106</f>
        <v>8.8999999999999996E-2</v>
      </c>
      <c r="G125" s="55">
        <f>'Input - Dairy'!F$55*'Input - Dairy'!F106</f>
        <v>8.8999999999999996E-2</v>
      </c>
      <c r="H125" s="55">
        <f>'Input - Dairy'!G$55*'Input - Dairy'!G106</f>
        <v>8.8999999999999996E-2</v>
      </c>
      <c r="I125" s="55">
        <f>'Input - Dairy'!H$55*'Input - Dairy'!H106</f>
        <v>8.8999999999999996E-2</v>
      </c>
      <c r="J125" s="55">
        <f>'Input - Dairy'!I$55*'Input - Dairy'!I106</f>
        <v>8.8999999999999996E-2</v>
      </c>
      <c r="K125" s="2" t="s">
        <v>101</v>
      </c>
      <c r="O125" s="139" t="str">
        <f>'Input - Dairy'!$D$55</f>
        <v>Feed pad</v>
      </c>
      <c r="P125" s="139" t="str">
        <f>'Input - Dairy'!$D$106</f>
        <v>Sump and dispersal system</v>
      </c>
      <c r="Q125" s="55">
        <f>'Input - Dairy'!E$60*'Input - Dairy'!E106</f>
        <v>8.8999999999999996E-2</v>
      </c>
      <c r="R125" s="55">
        <f>'Input - Dairy'!F$60*'Input - Dairy'!F106</f>
        <v>8.8999999999999996E-2</v>
      </c>
      <c r="S125" s="55">
        <f>'Input - Dairy'!G$60*'Input - Dairy'!G106</f>
        <v>8.8999999999999996E-2</v>
      </c>
      <c r="T125" s="55">
        <f>'Input - Dairy'!H$60*'Input - Dairy'!H106</f>
        <v>8.8999999999999996E-2</v>
      </c>
      <c r="U125" s="55">
        <f>'Input - Dairy'!I$60*'Input - Dairy'!I106</f>
        <v>8.8999999999999996E-2</v>
      </c>
      <c r="V125" s="2" t="s">
        <v>101</v>
      </c>
    </row>
    <row r="126" spans="4:22" ht="20.100000000000001" customHeight="1" x14ac:dyDescent="0.25">
      <c r="D126" s="139" t="str">
        <f>'Input - Dairy'!$D$55</f>
        <v>Feed pad</v>
      </c>
      <c r="E126" s="139" t="str">
        <f>'Input - Dairy'!$D$111</f>
        <v>Drains to paddock</v>
      </c>
      <c r="F126" s="55">
        <f>'Input - Dairy'!E$55*'Input - Dairy'!E111</f>
        <v>8.8999999999999996E-2</v>
      </c>
      <c r="G126" s="55">
        <f>'Input - Dairy'!F$55*'Input - Dairy'!F111</f>
        <v>8.8999999999999996E-2</v>
      </c>
      <c r="H126" s="55">
        <f>'Input - Dairy'!G$55*'Input - Dairy'!G111</f>
        <v>8.8999999999999996E-2</v>
      </c>
      <c r="I126" s="55">
        <f>'Input - Dairy'!H$55*'Input - Dairy'!H111</f>
        <v>8.8999999999999996E-2</v>
      </c>
      <c r="J126" s="55">
        <f>'Input - Dairy'!I$55*'Input - Dairy'!I111</f>
        <v>8.8999999999999996E-2</v>
      </c>
      <c r="K126" s="2" t="s">
        <v>101</v>
      </c>
      <c r="O126" s="139" t="str">
        <f>'Input - Dairy'!$D$55</f>
        <v>Feed pad</v>
      </c>
      <c r="P126" s="139" t="str">
        <f>'Input - Dairy'!$D$111</f>
        <v>Drains to paddock</v>
      </c>
      <c r="Q126" s="55">
        <f>'Input - Dairy'!E$60*'Input - Dairy'!E111</f>
        <v>8.8999999999999996E-2</v>
      </c>
      <c r="R126" s="55">
        <f>'Input - Dairy'!F$60*'Input - Dairy'!F111</f>
        <v>8.8999999999999996E-2</v>
      </c>
      <c r="S126" s="55">
        <f>'Input - Dairy'!G$60*'Input - Dairy'!G111</f>
        <v>8.8999999999999996E-2</v>
      </c>
      <c r="T126" s="55">
        <f>'Input - Dairy'!H$60*'Input - Dairy'!H111</f>
        <v>8.8999999999999996E-2</v>
      </c>
      <c r="U126" s="55">
        <f>'Input - Dairy'!I$60*'Input - Dairy'!I111</f>
        <v>8.8999999999999996E-2</v>
      </c>
      <c r="V126" s="2" t="s">
        <v>101</v>
      </c>
    </row>
    <row r="127" spans="4:22" ht="20.100000000000001" customHeight="1" x14ac:dyDescent="0.25"/>
    <row r="128" spans="4:22" ht="20.100000000000001" customHeight="1" x14ac:dyDescent="0.25">
      <c r="D128" s="104" t="s">
        <v>269</v>
      </c>
      <c r="O128" s="104" t="s">
        <v>275</v>
      </c>
    </row>
    <row r="129" spans="4:22" ht="20.100000000000001" customHeight="1" x14ac:dyDescent="0.25">
      <c r="D129" s="103" t="s">
        <v>278</v>
      </c>
      <c r="O129" s="103" t="s">
        <v>279</v>
      </c>
    </row>
    <row r="130" spans="4:22" ht="20.100000000000001" customHeight="1" x14ac:dyDescent="0.25">
      <c r="D130" s="54" t="s">
        <v>159</v>
      </c>
      <c r="E130" s="54" t="s">
        <v>69</v>
      </c>
      <c r="F130" s="54" t="s">
        <v>270</v>
      </c>
      <c r="O130" s="54" t="s">
        <v>159</v>
      </c>
      <c r="P130" s="54" t="s">
        <v>69</v>
      </c>
      <c r="Q130" s="54" t="s">
        <v>270</v>
      </c>
    </row>
    <row r="131" spans="4:22" ht="20.100000000000001" customHeight="1" x14ac:dyDescent="0.25">
      <c r="D131" s="139" t="str">
        <f>'Input - Dairy'!$D$54</f>
        <v>Milking shed</v>
      </c>
      <c r="E131" s="139" t="str">
        <f>'Input - Dairy'!$D$67</f>
        <v>Anaerobic lagoon</v>
      </c>
      <c r="F131" s="55">
        <f>'Input - Dairy'!$E$69</f>
        <v>0.2</v>
      </c>
      <c r="G131" s="2" t="s">
        <v>101</v>
      </c>
      <c r="O131" s="139" t="str">
        <f>'Input - Dairy'!$D$54</f>
        <v>Milking shed</v>
      </c>
      <c r="P131" s="139" t="str">
        <f>'Input - Dairy'!$D$67</f>
        <v>Anaerobic lagoon</v>
      </c>
      <c r="Q131" s="55">
        <f>'Input - Dairy'!$E$70</f>
        <v>0.2</v>
      </c>
      <c r="R131" s="2" t="s">
        <v>101</v>
      </c>
    </row>
    <row r="132" spans="4:22" ht="20.100000000000001" customHeight="1" x14ac:dyDescent="0.25">
      <c r="D132" s="139" t="str">
        <f>'Input - Dairy'!$D$54</f>
        <v>Milking shed</v>
      </c>
      <c r="E132" s="139" t="str">
        <f>'Input - Dairy'!$D$72</f>
        <v>Sump and dispersal system</v>
      </c>
      <c r="F132" s="55">
        <f>'Input - Dairy'!$E$74</f>
        <v>0.2</v>
      </c>
      <c r="G132" s="2" t="s">
        <v>101</v>
      </c>
      <c r="O132" s="139" t="str">
        <f>'Input - Dairy'!$D$54</f>
        <v>Milking shed</v>
      </c>
      <c r="P132" s="139" t="str">
        <f>'Input - Dairy'!$D$72</f>
        <v>Sump and dispersal system</v>
      </c>
      <c r="Q132" s="55">
        <f>'Input - Dairy'!$E$75</f>
        <v>0.2</v>
      </c>
      <c r="R132" s="2" t="s">
        <v>101</v>
      </c>
    </row>
    <row r="133" spans="4:22" ht="20.100000000000001" customHeight="1" x14ac:dyDescent="0.25">
      <c r="D133" s="139" t="str">
        <f>'Input - Dairy'!$D$54</f>
        <v>Milking shed</v>
      </c>
      <c r="E133" s="139" t="str">
        <f>'Input - Dairy'!$D$77</f>
        <v>Drains to paddock</v>
      </c>
      <c r="F133" s="55">
        <f>'Input - Dairy'!$E$79</f>
        <v>0.2</v>
      </c>
      <c r="G133" s="2" t="s">
        <v>101</v>
      </c>
      <c r="O133" s="139" t="str">
        <f>'Input - Dairy'!$D$54</f>
        <v>Milking shed</v>
      </c>
      <c r="P133" s="139" t="str">
        <f>'Input - Dairy'!$D$77</f>
        <v>Drains to paddock</v>
      </c>
      <c r="Q133" s="55">
        <f>'Input - Dairy'!$E$80</f>
        <v>0.2</v>
      </c>
      <c r="R133" s="2" t="s">
        <v>101</v>
      </c>
    </row>
    <row r="134" spans="4:22" ht="20.100000000000001" customHeight="1" x14ac:dyDescent="0.25">
      <c r="D134" s="139" t="str">
        <f>'Input - Dairy'!$D$55</f>
        <v>Feed pad</v>
      </c>
      <c r="E134" s="139" t="str">
        <f>'Input - Dairy'!$D$101</f>
        <v>Anaerobic lagoon</v>
      </c>
      <c r="F134" s="55">
        <f>'Input - Dairy'!$E$103</f>
        <v>0</v>
      </c>
      <c r="G134" s="2" t="s">
        <v>101</v>
      </c>
      <c r="O134" s="139" t="str">
        <f>'Input - Dairy'!$D$55</f>
        <v>Feed pad</v>
      </c>
      <c r="P134" s="139" t="str">
        <f>'Input - Dairy'!$D$101</f>
        <v>Anaerobic lagoon</v>
      </c>
      <c r="Q134" s="55">
        <f>'Input - Dairy'!$E$104</f>
        <v>0</v>
      </c>
      <c r="R134" s="2" t="s">
        <v>101</v>
      </c>
    </row>
    <row r="135" spans="4:22" ht="20.100000000000001" customHeight="1" x14ac:dyDescent="0.25">
      <c r="D135" s="139" t="str">
        <f>'Input - Dairy'!$D$55</f>
        <v>Feed pad</v>
      </c>
      <c r="E135" s="139" t="str">
        <f>'Input - Dairy'!$D$106</f>
        <v>Sump and dispersal system</v>
      </c>
      <c r="F135" s="55">
        <f>'Input - Dairy'!$E$108</f>
        <v>0.2</v>
      </c>
      <c r="G135" s="2" t="s">
        <v>101</v>
      </c>
      <c r="O135" s="139" t="str">
        <f>'Input - Dairy'!$D$55</f>
        <v>Feed pad</v>
      </c>
      <c r="P135" s="139" t="str">
        <f>'Input - Dairy'!$D$106</f>
        <v>Sump and dispersal system</v>
      </c>
      <c r="Q135" s="55">
        <f>'Input - Dairy'!$E$109</f>
        <v>0.2</v>
      </c>
      <c r="R135" s="2" t="s">
        <v>101</v>
      </c>
    </row>
    <row r="136" spans="4:22" ht="20.100000000000001" customHeight="1" x14ac:dyDescent="0.25">
      <c r="D136" s="139" t="str">
        <f>'Input - Dairy'!$D$55</f>
        <v>Feed pad</v>
      </c>
      <c r="E136" s="139" t="str">
        <f>'Input - Dairy'!$D$111</f>
        <v>Drains to paddock</v>
      </c>
      <c r="F136" s="55">
        <f>'Input - Dairy'!$E$113</f>
        <v>0.2</v>
      </c>
      <c r="G136" s="2" t="s">
        <v>101</v>
      </c>
      <c r="O136" s="139" t="str">
        <f>'Input - Dairy'!$D$55</f>
        <v>Feed pad</v>
      </c>
      <c r="P136" s="139" t="str">
        <f>'Input - Dairy'!$D$111</f>
        <v>Drains to paddock</v>
      </c>
      <c r="Q136" s="55">
        <f>'Input - Dairy'!$E$114</f>
        <v>0.2</v>
      </c>
      <c r="R136" s="2" t="s">
        <v>101</v>
      </c>
    </row>
    <row r="137" spans="4:22" ht="20.100000000000001" customHeight="1" x14ac:dyDescent="0.25"/>
    <row r="138" spans="4:22" ht="20.100000000000001" customHeight="1" x14ac:dyDescent="0.25">
      <c r="D138" s="104" t="s">
        <v>268</v>
      </c>
      <c r="O138" s="104" t="s">
        <v>268</v>
      </c>
    </row>
    <row r="139" spans="4:22" ht="20.100000000000001" customHeight="1" x14ac:dyDescent="0.25">
      <c r="D139" s="103" t="s">
        <v>267</v>
      </c>
      <c r="O139" s="103" t="s">
        <v>267</v>
      </c>
    </row>
    <row r="140" spans="4:22" ht="20.100000000000001" customHeight="1" x14ac:dyDescent="0.25">
      <c r="D140" s="54" t="s">
        <v>159</v>
      </c>
      <c r="E140" s="54" t="s">
        <v>69</v>
      </c>
      <c r="F140" s="54" t="s">
        <v>189</v>
      </c>
      <c r="G140" s="54" t="s">
        <v>206</v>
      </c>
      <c r="H140" s="54" t="s">
        <v>207</v>
      </c>
      <c r="I140" s="54" t="s">
        <v>208</v>
      </c>
      <c r="J140" s="54" t="s">
        <v>209</v>
      </c>
      <c r="O140" s="54" t="s">
        <v>159</v>
      </c>
      <c r="P140" s="54" t="s">
        <v>69</v>
      </c>
      <c r="Q140" s="54" t="s">
        <v>189</v>
      </c>
      <c r="R140" s="54" t="s">
        <v>206</v>
      </c>
      <c r="S140" s="54" t="s">
        <v>207</v>
      </c>
      <c r="T140" s="54" t="s">
        <v>208</v>
      </c>
      <c r="U140" s="54" t="s">
        <v>209</v>
      </c>
    </row>
    <row r="141" spans="4:22" ht="20.100000000000001" customHeight="1" x14ac:dyDescent="0.25">
      <c r="D141" s="139" t="str">
        <f>'Input - Dairy'!$D$54</f>
        <v>Milking shed</v>
      </c>
      <c r="E141" s="139" t="str">
        <f>'Input - Dairy'!$D$67</f>
        <v>Anaerobic lagoon</v>
      </c>
      <c r="F141" s="55" cm="1">
        <f t="array" ref="F141">MMS_Dairy_Methane_Equations.VEERG_4_3_1_1__4_FractionVolatileSolidsNotSolidStorage(F121,$F131)</f>
        <v>2.2000000000000002E-2</v>
      </c>
      <c r="G141" s="55" cm="1">
        <f t="array" ref="G141">MMS_Dairy_Methane_Equations.VEERG_4_3_1_1__4_FractionVolatileSolidsNotSolidStorage(G121,$F131)</f>
        <v>2.2000000000000002E-2</v>
      </c>
      <c r="H141" s="55" cm="1">
        <f t="array" ref="H141">MMS_Dairy_Methane_Equations.VEERG_4_3_1_1__4_FractionVolatileSolidsNotSolidStorage(H121,$F131)</f>
        <v>2.2000000000000002E-2</v>
      </c>
      <c r="I141" s="55" cm="1">
        <f t="array" ref="I141">MMS_Dairy_Methane_Equations.VEERG_4_3_1_1__4_FractionVolatileSolidsNotSolidStorage(I121,$F131)</f>
        <v>2.2000000000000002E-2</v>
      </c>
      <c r="J141" s="55" cm="1">
        <f t="array" ref="J141">MMS_Dairy_Methane_Equations.VEERG_4_3_1_1__4_FractionVolatileSolidsNotSolidStorage(J121,$F131)</f>
        <v>2.2000000000000002E-2</v>
      </c>
      <c r="K141" s="2" t="str">
        <f>$E$113</f>
        <v>fraction</v>
      </c>
      <c r="O141" s="139" t="str">
        <f>'Input - Dairy'!$D$54</f>
        <v>Milking shed</v>
      </c>
      <c r="P141" s="139" t="str">
        <f>'Input - Dairy'!$D$67</f>
        <v>Anaerobic lagoon</v>
      </c>
      <c r="Q141" s="55" cm="1">
        <f t="array" ref="Q141">MMS_Dairy_Methane_Equations.VEERG_4_3_1_1__4_FractionVolatileSolidsNotSolidStorage(Q121,$Q131)</f>
        <v>2.2000000000000002E-2</v>
      </c>
      <c r="R141" s="55" cm="1">
        <f t="array" ref="R141">MMS_Dairy_Methane_Equations.VEERG_4_3_1_1__4_FractionVolatileSolidsNotSolidStorage(R121,$Q131)</f>
        <v>2.2000000000000002E-2</v>
      </c>
      <c r="S141" s="55" cm="1">
        <f t="array" ref="S141">MMS_Dairy_Methane_Equations.VEERG_4_3_1_1__4_FractionVolatileSolidsNotSolidStorage(S121,$Q131)</f>
        <v>2.2000000000000002E-2</v>
      </c>
      <c r="T141" s="55" cm="1">
        <f t="array" ref="T141">MMS_Dairy_Methane_Equations.VEERG_4_3_1_1__4_FractionVolatileSolidsNotSolidStorage(T121,$Q131)</f>
        <v>2.2000000000000002E-2</v>
      </c>
      <c r="U141" s="55" cm="1">
        <f t="array" ref="U141">MMS_Dairy_Methane_Equations.VEERG_4_3_1_1__4_FractionVolatileSolidsNotSolidStorage(U121,$Q131)</f>
        <v>2.2000000000000002E-2</v>
      </c>
      <c r="V141" s="2" t="str">
        <f t="shared" ref="V141:V146" si="0">$E$113</f>
        <v>fraction</v>
      </c>
    </row>
    <row r="142" spans="4:22" ht="20.100000000000001" customHeight="1" x14ac:dyDescent="0.25">
      <c r="D142" s="139" t="str">
        <f>'Input - Dairy'!$D$54</f>
        <v>Milking shed</v>
      </c>
      <c r="E142" s="139" t="str">
        <f>'Input - Dairy'!$D$72</f>
        <v>Sump and dispersal system</v>
      </c>
      <c r="F142" s="55" cm="1">
        <f t="array" ref="F142">MMS_Dairy_Methane_Equations.VEERG_4_3_1_1__4_FractionVolatileSolidsNotSolidStorage(F122,$F132)</f>
        <v>2.2000000000000002E-2</v>
      </c>
      <c r="G142" s="55" cm="1">
        <f t="array" ref="G142">MMS_Dairy_Methane_Equations.VEERG_4_3_1_1__4_FractionVolatileSolidsNotSolidStorage(G122,$F132)</f>
        <v>2.2000000000000002E-2</v>
      </c>
      <c r="H142" s="55" cm="1">
        <f t="array" ref="H142">MMS_Dairy_Methane_Equations.VEERG_4_3_1_1__4_FractionVolatileSolidsNotSolidStorage(H122,$F132)</f>
        <v>2.2000000000000002E-2</v>
      </c>
      <c r="I142" s="55" cm="1">
        <f t="array" ref="I142">MMS_Dairy_Methane_Equations.VEERG_4_3_1_1__4_FractionVolatileSolidsNotSolidStorage(I122,$F132)</f>
        <v>2.2000000000000002E-2</v>
      </c>
      <c r="J142" s="55" cm="1">
        <f t="array" ref="J142">MMS_Dairy_Methane_Equations.VEERG_4_3_1_1__4_FractionVolatileSolidsNotSolidStorage(J122,$F132)</f>
        <v>2.2000000000000002E-2</v>
      </c>
      <c r="K142" s="2" t="str">
        <f t="shared" ref="K142:K146" si="1">$E$113</f>
        <v>fraction</v>
      </c>
      <c r="O142" s="139" t="str">
        <f>'Input - Dairy'!$D$54</f>
        <v>Milking shed</v>
      </c>
      <c r="P142" s="139" t="str">
        <f>'Input - Dairy'!$D$72</f>
        <v>Sump and dispersal system</v>
      </c>
      <c r="Q142" s="55" cm="1">
        <f t="array" ref="Q142">MMS_Dairy_Methane_Equations.VEERG_4_3_1_1__4_FractionVolatileSolidsNotSolidStorage(Q122,$Q132)</f>
        <v>2.2000000000000002E-2</v>
      </c>
      <c r="R142" s="55" cm="1">
        <f t="array" ref="R142">MMS_Dairy_Methane_Equations.VEERG_4_3_1_1__4_FractionVolatileSolidsNotSolidStorage(R122,$Q132)</f>
        <v>2.2000000000000002E-2</v>
      </c>
      <c r="S142" s="55" cm="1">
        <f t="array" ref="S142">MMS_Dairy_Methane_Equations.VEERG_4_3_1_1__4_FractionVolatileSolidsNotSolidStorage(S122,$Q132)</f>
        <v>2.2000000000000002E-2</v>
      </c>
      <c r="T142" s="55" cm="1">
        <f t="array" ref="T142">MMS_Dairy_Methane_Equations.VEERG_4_3_1_1__4_FractionVolatileSolidsNotSolidStorage(T122,$Q132)</f>
        <v>2.2000000000000002E-2</v>
      </c>
      <c r="U142" s="55" cm="1">
        <f t="array" ref="U142">MMS_Dairy_Methane_Equations.VEERG_4_3_1_1__4_FractionVolatileSolidsNotSolidStorage(U122,$Q132)</f>
        <v>2.2000000000000002E-2</v>
      </c>
      <c r="V142" s="2" t="str">
        <f t="shared" si="0"/>
        <v>fraction</v>
      </c>
    </row>
    <row r="143" spans="4:22" ht="20.100000000000001" customHeight="1" x14ac:dyDescent="0.25">
      <c r="D143" s="139" t="str">
        <f>'Input - Dairy'!$D$54</f>
        <v>Milking shed</v>
      </c>
      <c r="E143" s="139" t="str">
        <f>'Input - Dairy'!$D$77</f>
        <v>Drains to paddock</v>
      </c>
      <c r="F143" s="55" cm="1">
        <f t="array" ref="F143">MMS_Dairy_Methane_Equations.VEERG_4_3_1_1__4_FractionVolatileSolidsNotSolidStorage(F123,$F133)</f>
        <v>2.2000000000000002E-2</v>
      </c>
      <c r="G143" s="55" cm="1">
        <f t="array" ref="G143">MMS_Dairy_Methane_Equations.VEERG_4_3_1_1__4_FractionVolatileSolidsNotSolidStorage(G123,$F133)</f>
        <v>2.2000000000000002E-2</v>
      </c>
      <c r="H143" s="55" cm="1">
        <f t="array" ref="H143">MMS_Dairy_Methane_Equations.VEERG_4_3_1_1__4_FractionVolatileSolidsNotSolidStorage(H123,$F133)</f>
        <v>2.2000000000000002E-2</v>
      </c>
      <c r="I143" s="55" cm="1">
        <f t="array" ref="I143">MMS_Dairy_Methane_Equations.VEERG_4_3_1_1__4_FractionVolatileSolidsNotSolidStorage(I123,$F133)</f>
        <v>2.2000000000000002E-2</v>
      </c>
      <c r="J143" s="55" cm="1">
        <f t="array" ref="J143">MMS_Dairy_Methane_Equations.VEERG_4_3_1_1__4_FractionVolatileSolidsNotSolidStorage(J123,$F133)</f>
        <v>2.2000000000000002E-2</v>
      </c>
      <c r="K143" s="2" t="str">
        <f t="shared" si="1"/>
        <v>fraction</v>
      </c>
      <c r="O143" s="139" t="str">
        <f>'Input - Dairy'!$D$54</f>
        <v>Milking shed</v>
      </c>
      <c r="P143" s="139" t="str">
        <f>'Input - Dairy'!$D$77</f>
        <v>Drains to paddock</v>
      </c>
      <c r="Q143" s="55" cm="1">
        <f t="array" ref="Q143">MMS_Dairy_Methane_Equations.VEERG_4_3_1_1__4_FractionVolatileSolidsNotSolidStorage(Q123,$Q133)</f>
        <v>2.2000000000000002E-2</v>
      </c>
      <c r="R143" s="55" cm="1">
        <f t="array" ref="R143">MMS_Dairy_Methane_Equations.VEERG_4_3_1_1__4_FractionVolatileSolidsNotSolidStorage(R123,$Q133)</f>
        <v>2.2000000000000002E-2</v>
      </c>
      <c r="S143" s="55" cm="1">
        <f t="array" ref="S143">MMS_Dairy_Methane_Equations.VEERG_4_3_1_1__4_FractionVolatileSolidsNotSolidStorage(S123,$Q133)</f>
        <v>2.2000000000000002E-2</v>
      </c>
      <c r="T143" s="55" cm="1">
        <f t="array" ref="T143">MMS_Dairy_Methane_Equations.VEERG_4_3_1_1__4_FractionVolatileSolidsNotSolidStorage(T123,$Q133)</f>
        <v>2.2000000000000002E-2</v>
      </c>
      <c r="U143" s="55" cm="1">
        <f t="array" ref="U143">MMS_Dairy_Methane_Equations.VEERG_4_3_1_1__4_FractionVolatileSolidsNotSolidStorage(U123,$Q133)</f>
        <v>2.2000000000000002E-2</v>
      </c>
      <c r="V143" s="2" t="str">
        <f t="shared" si="0"/>
        <v>fraction</v>
      </c>
    </row>
    <row r="144" spans="4:22" ht="20.100000000000001" customHeight="1" x14ac:dyDescent="0.25">
      <c r="D144" s="139" t="str">
        <f>'Input - Dairy'!$D$55</f>
        <v>Feed pad</v>
      </c>
      <c r="E144" s="139" t="str">
        <f>'Input - Dairy'!$D$101</f>
        <v>Anaerobic lagoon</v>
      </c>
      <c r="F144" s="55" cm="1">
        <f t="array" ref="F144">MMS_Dairy_Methane_Equations.VEERG_4_3_1_1__4_FractionVolatileSolidsNotSolidStorage(F124,$F134)</f>
        <v>8.8999999999999996E-2</v>
      </c>
      <c r="G144" s="55" cm="1">
        <f t="array" ref="G144">MMS_Dairy_Methane_Equations.VEERG_4_3_1_1__4_FractionVolatileSolidsNotSolidStorage(G124,$F134)</f>
        <v>8.8999999999999996E-2</v>
      </c>
      <c r="H144" s="55" cm="1">
        <f t="array" ref="H144">MMS_Dairy_Methane_Equations.VEERG_4_3_1_1__4_FractionVolatileSolidsNotSolidStorage(H124,$F134)</f>
        <v>8.8999999999999996E-2</v>
      </c>
      <c r="I144" s="55" cm="1">
        <f t="array" ref="I144">MMS_Dairy_Methane_Equations.VEERG_4_3_1_1__4_FractionVolatileSolidsNotSolidStorage(I124,$F134)</f>
        <v>8.8999999999999996E-2</v>
      </c>
      <c r="J144" s="55" cm="1">
        <f t="array" ref="J144">MMS_Dairy_Methane_Equations.VEERG_4_3_1_1__4_FractionVolatileSolidsNotSolidStorage(J124,$F134)</f>
        <v>8.8999999999999996E-2</v>
      </c>
      <c r="K144" s="2" t="str">
        <f t="shared" si="1"/>
        <v>fraction</v>
      </c>
      <c r="O144" s="139" t="str">
        <f>'Input - Dairy'!$D$55</f>
        <v>Feed pad</v>
      </c>
      <c r="P144" s="139" t="str">
        <f>'Input - Dairy'!$D$101</f>
        <v>Anaerobic lagoon</v>
      </c>
      <c r="Q144" s="55" cm="1">
        <f t="array" ref="Q144">MMS_Dairy_Methane_Equations.VEERG_4_3_1_1__4_FractionVolatileSolidsNotSolidStorage(Q124,$Q134)</f>
        <v>8.8999999999999996E-2</v>
      </c>
      <c r="R144" s="55" cm="1">
        <f t="array" ref="R144">MMS_Dairy_Methane_Equations.VEERG_4_3_1_1__4_FractionVolatileSolidsNotSolidStorage(R124,$Q134)</f>
        <v>8.8999999999999996E-2</v>
      </c>
      <c r="S144" s="55" cm="1">
        <f t="array" ref="S144">MMS_Dairy_Methane_Equations.VEERG_4_3_1_1__4_FractionVolatileSolidsNotSolidStorage(S124,$Q134)</f>
        <v>8.8999999999999996E-2</v>
      </c>
      <c r="T144" s="55" cm="1">
        <f t="array" ref="T144">MMS_Dairy_Methane_Equations.VEERG_4_3_1_1__4_FractionVolatileSolidsNotSolidStorage(T124,$Q134)</f>
        <v>8.8999999999999996E-2</v>
      </c>
      <c r="U144" s="55" cm="1">
        <f t="array" ref="U144">MMS_Dairy_Methane_Equations.VEERG_4_3_1_1__4_FractionVolatileSolidsNotSolidStorage(U124,$Q134)</f>
        <v>8.8999999999999996E-2</v>
      </c>
      <c r="V144" s="2" t="str">
        <f t="shared" si="0"/>
        <v>fraction</v>
      </c>
    </row>
    <row r="145" spans="3:23" ht="20.100000000000001" customHeight="1" x14ac:dyDescent="0.25">
      <c r="D145" s="139" t="str">
        <f>'Input - Dairy'!$D$55</f>
        <v>Feed pad</v>
      </c>
      <c r="E145" s="139" t="str">
        <f>'Input - Dairy'!$D$106</f>
        <v>Sump and dispersal system</v>
      </c>
      <c r="F145" s="55" cm="1">
        <f t="array" ref="F145">MMS_Dairy_Methane_Equations.VEERG_4_3_1_1__4_FractionVolatileSolidsNotSolidStorage(F125,$F135)</f>
        <v>7.1199999999999999E-2</v>
      </c>
      <c r="G145" s="55" cm="1">
        <f t="array" ref="G145">MMS_Dairy_Methane_Equations.VEERG_4_3_1_1__4_FractionVolatileSolidsNotSolidStorage(G125,$F135)</f>
        <v>7.1199999999999999E-2</v>
      </c>
      <c r="H145" s="55" cm="1">
        <f t="array" ref="H145">MMS_Dairy_Methane_Equations.VEERG_4_3_1_1__4_FractionVolatileSolidsNotSolidStorage(H125,$F135)</f>
        <v>7.1199999999999999E-2</v>
      </c>
      <c r="I145" s="55" cm="1">
        <f t="array" ref="I145">MMS_Dairy_Methane_Equations.VEERG_4_3_1_1__4_FractionVolatileSolidsNotSolidStorage(I125,$F135)</f>
        <v>7.1199999999999999E-2</v>
      </c>
      <c r="J145" s="55" cm="1">
        <f t="array" ref="J145">MMS_Dairy_Methane_Equations.VEERG_4_3_1_1__4_FractionVolatileSolidsNotSolidStorage(J125,$F135)</f>
        <v>7.1199999999999999E-2</v>
      </c>
      <c r="K145" s="2" t="str">
        <f t="shared" si="1"/>
        <v>fraction</v>
      </c>
      <c r="O145" s="139" t="str">
        <f>'Input - Dairy'!$D$55</f>
        <v>Feed pad</v>
      </c>
      <c r="P145" s="139" t="str">
        <f>'Input - Dairy'!$D$106</f>
        <v>Sump and dispersal system</v>
      </c>
      <c r="Q145" s="55" cm="1">
        <f t="array" ref="Q145">MMS_Dairy_Methane_Equations.VEERG_4_3_1_1__4_FractionVolatileSolidsNotSolidStorage(Q125,$Q135)</f>
        <v>7.1199999999999999E-2</v>
      </c>
      <c r="R145" s="55" cm="1">
        <f t="array" ref="R145">MMS_Dairy_Methane_Equations.VEERG_4_3_1_1__4_FractionVolatileSolidsNotSolidStorage(R125,$Q135)</f>
        <v>7.1199999999999999E-2</v>
      </c>
      <c r="S145" s="55" cm="1">
        <f t="array" ref="S145">MMS_Dairy_Methane_Equations.VEERG_4_3_1_1__4_FractionVolatileSolidsNotSolidStorage(S125,$Q135)</f>
        <v>7.1199999999999999E-2</v>
      </c>
      <c r="T145" s="55" cm="1">
        <f t="array" ref="T145">MMS_Dairy_Methane_Equations.VEERG_4_3_1_1__4_FractionVolatileSolidsNotSolidStorage(T125,$Q135)</f>
        <v>7.1199999999999999E-2</v>
      </c>
      <c r="U145" s="55" cm="1">
        <f t="array" ref="U145">MMS_Dairy_Methane_Equations.VEERG_4_3_1_1__4_FractionVolatileSolidsNotSolidStorage(U125,$Q135)</f>
        <v>7.1199999999999999E-2</v>
      </c>
      <c r="V145" s="2" t="str">
        <f t="shared" si="0"/>
        <v>fraction</v>
      </c>
    </row>
    <row r="146" spans="3:23" ht="20.100000000000001" customHeight="1" x14ac:dyDescent="0.25">
      <c r="D146" s="139" t="str">
        <f>'Input - Dairy'!$D$55</f>
        <v>Feed pad</v>
      </c>
      <c r="E146" s="139" t="str">
        <f>'Input - Dairy'!$D$111</f>
        <v>Drains to paddock</v>
      </c>
      <c r="F146" s="55" cm="1">
        <f t="array" ref="F146">MMS_Dairy_Methane_Equations.VEERG_4_3_1_1__4_FractionVolatileSolidsNotSolidStorage(F126,$F136)</f>
        <v>7.1199999999999999E-2</v>
      </c>
      <c r="G146" s="55" cm="1">
        <f t="array" ref="G146">MMS_Dairy_Methane_Equations.VEERG_4_3_1_1__4_FractionVolatileSolidsNotSolidStorage(G126,$F136)</f>
        <v>7.1199999999999999E-2</v>
      </c>
      <c r="H146" s="55" cm="1">
        <f t="array" ref="H146">MMS_Dairy_Methane_Equations.VEERG_4_3_1_1__4_FractionVolatileSolidsNotSolidStorage(H126,$F136)</f>
        <v>7.1199999999999999E-2</v>
      </c>
      <c r="I146" s="55" cm="1">
        <f t="array" ref="I146">MMS_Dairy_Methane_Equations.VEERG_4_3_1_1__4_FractionVolatileSolidsNotSolidStorage(I126,$F136)</f>
        <v>7.1199999999999999E-2</v>
      </c>
      <c r="J146" s="55" cm="1">
        <f t="array" ref="J146">MMS_Dairy_Methane_Equations.VEERG_4_3_1_1__4_FractionVolatileSolidsNotSolidStorage(J126,$F136)</f>
        <v>7.1199999999999999E-2</v>
      </c>
      <c r="K146" s="2" t="str">
        <f t="shared" si="1"/>
        <v>fraction</v>
      </c>
      <c r="O146" s="139" t="str">
        <f>'Input - Dairy'!$D$55</f>
        <v>Feed pad</v>
      </c>
      <c r="P146" s="139" t="str">
        <f>'Input - Dairy'!$D$111</f>
        <v>Drains to paddock</v>
      </c>
      <c r="Q146" s="55" cm="1">
        <f t="array" ref="Q146">MMS_Dairy_Methane_Equations.VEERG_4_3_1_1__4_FractionVolatileSolidsNotSolidStorage(Q126,$Q136)</f>
        <v>7.1199999999999999E-2</v>
      </c>
      <c r="R146" s="55" cm="1">
        <f t="array" ref="R146">MMS_Dairy_Methane_Equations.VEERG_4_3_1_1__4_FractionVolatileSolidsNotSolidStorage(R126,$Q136)</f>
        <v>7.1199999999999999E-2</v>
      </c>
      <c r="S146" s="55" cm="1">
        <f t="array" ref="S146">MMS_Dairy_Methane_Equations.VEERG_4_3_1_1__4_FractionVolatileSolidsNotSolidStorage(S126,$Q136)</f>
        <v>7.1199999999999999E-2</v>
      </c>
      <c r="T146" s="55" cm="1">
        <f t="array" ref="T146">MMS_Dairy_Methane_Equations.VEERG_4_3_1_1__4_FractionVolatileSolidsNotSolidStorage(T126,$Q136)</f>
        <v>7.1199999999999999E-2</v>
      </c>
      <c r="U146" s="55" cm="1">
        <f t="array" ref="U146">MMS_Dairy_Methane_Equations.VEERG_4_3_1_1__4_FractionVolatileSolidsNotSolidStorage(U126,$Q136)</f>
        <v>7.1199999999999999E-2</v>
      </c>
      <c r="V146" s="2" t="str">
        <f t="shared" si="0"/>
        <v>fraction</v>
      </c>
    </row>
    <row r="147" spans="3:23" ht="20.100000000000001" customHeight="1" x14ac:dyDescent="0.25"/>
    <row r="148" spans="3:23" ht="20.100000000000001" customHeight="1" x14ac:dyDescent="0.25"/>
    <row r="149" spans="3:23" ht="20.100000000000001" customHeight="1" x14ac:dyDescent="0.25">
      <c r="C149" s="48"/>
      <c r="D149" s="48"/>
      <c r="E149" s="48"/>
      <c r="F149" s="48"/>
      <c r="G149" s="48"/>
      <c r="H149" s="48"/>
      <c r="I149" s="48"/>
      <c r="J149" s="48"/>
      <c r="K149" s="48"/>
      <c r="L149" s="48"/>
      <c r="N149" s="48"/>
      <c r="O149" s="48"/>
      <c r="P149" s="48"/>
      <c r="Q149" s="48"/>
      <c r="R149" s="48"/>
      <c r="S149" s="48"/>
      <c r="T149" s="48"/>
      <c r="U149" s="48"/>
      <c r="V149" s="48"/>
      <c r="W149" s="48"/>
    </row>
    <row r="150" spans="3:23" ht="20.100000000000001" customHeight="1" x14ac:dyDescent="0.25">
      <c r="D150" s="6" t="str" cm="1">
        <f t="array" ref="D150">MMS_Dairy_Methane_Equations.VEERG_4_3_1_1__5_FractionVolatileSolidsSolidStorage_Title()</f>
        <v>Fraction of volatile solids in solid storage</v>
      </c>
    </row>
    <row r="151" spans="3:23" ht="20.100000000000001" customHeight="1" x14ac:dyDescent="0.25">
      <c r="D151" s="5" t="str" cm="1">
        <f t="array" ref="D151">MMS_Dairy_Methane_Equations.VEERG_4_3_1_1__5_FractionVolatileSolidsSolidStorage_Source()</f>
        <v>VEERG 2026: 4.3.1.1, Equation (5)</v>
      </c>
    </row>
    <row r="152" spans="3:23" ht="20.100000000000001" customHeight="1" x14ac:dyDescent="0.25">
      <c r="D152" s="58" t="str" cm="1">
        <f t="array" ref="D152">MMS_Dairy_Methane_Equations.VEERG_4_3_1_1__5_FractionVolatileSolidsSolidStorage_Variation()</f>
        <v>Used separate variables for MMS and SS m 1, 7 and 9.</v>
      </c>
    </row>
    <row r="153" spans="3:23" ht="20.100000000000001" customHeight="1" x14ac:dyDescent="0.25">
      <c r="D153" s="13" t="s">
        <v>28</v>
      </c>
      <c r="E153" s="13" t="str" cm="1">
        <f t="array" aca="1" ref="E153" ca="1">Common_InputFunctions.Utility_DisplayFunctionName($F$172)</f>
        <v>=MMS_Dairy_Methane_Equations.VEERG_4_3_1_1__5_FractionVolatileSolidsSolidStorageVariation</v>
      </c>
    </row>
    <row r="154" spans="3:23" ht="20.100000000000001" customHeight="1" x14ac:dyDescent="0.25"/>
    <row r="155" spans="3:23" ht="20.100000000000001" customHeight="1" x14ac:dyDescent="0.25">
      <c r="D155" s="6"/>
    </row>
    <row r="156" spans="3:23" ht="20.100000000000001" customHeight="1" x14ac:dyDescent="0.25">
      <c r="D156" s="56" t="s">
        <v>31</v>
      </c>
      <c r="E156" s="1" t="str" cm="1">
        <f t="array" ref="E156">MMS_Dairy_Methane_Equations.VEERG_4_3_1_1__5_FractionVolatileSolidsSolidStorage_Variable()</f>
        <v>FVS_jm4</v>
      </c>
    </row>
    <row r="157" spans="3:23" ht="20.100000000000001" customHeight="1" x14ac:dyDescent="0.25">
      <c r="D157" s="56" t="s">
        <v>21</v>
      </c>
      <c r="E157" s="57" t="str" cm="1">
        <f t="array" ref="E157">MMS_Dairy_Methane_Equations.VEERG_4_3_1_1__5_FractionVolatileSolidsSolidStorage_Unit()</f>
        <v>fraction</v>
      </c>
    </row>
    <row r="158" spans="3:23" ht="20.100000000000001" customHeight="1" x14ac:dyDescent="0.25"/>
    <row r="159" spans="3:23" ht="20.100000000000001" customHeight="1" x14ac:dyDescent="0.25">
      <c r="D159" s="60" t="str" cm="1">
        <f t="array" ref="D159:E161">MMS_Dairy_Methane_Equations.VEERG_4_3_1_1__5_FractionVolatileSolidsSolidStorage_Arguments()</f>
        <v>MMS_jm4</v>
      </c>
      <c r="E159" s="61" t="str">
        <v>fraction of volatile solids in solid storage before transfer</v>
      </c>
      <c r="F159" s="62"/>
      <c r="G159" s="60" t="str">
        <f>"See " &amp; D163</f>
        <v>See M1_Table_MMS_j_m-4</v>
      </c>
    </row>
    <row r="160" spans="3:23" ht="20.100000000000001" customHeight="1" x14ac:dyDescent="0.25">
      <c r="D160" s="60" t="str">
        <v>MMS_jm179</v>
      </c>
      <c r="E160" s="61" t="str">
        <v>fraction of volatile solids in MMS m=1,7,9 before transfer</v>
      </c>
      <c r="F160" s="62"/>
      <c r="G160" s="60" t="str">
        <f>"See " &amp; D118</f>
        <v>See M1_Table_MMS_j_m</v>
      </c>
    </row>
    <row r="161" spans="3:23" ht="20.100000000000001" customHeight="1" x14ac:dyDescent="0.25">
      <c r="D161" s="60" t="str">
        <v>SS_m</v>
      </c>
      <c r="E161" s="61" t="str">
        <v>fraction of volatile solids separated to solid storage for each MMS</v>
      </c>
      <c r="F161" s="62"/>
      <c r="G161" s="60" t="str">
        <f>"See " &amp; D128</f>
        <v>See M1_Table_SS_m</v>
      </c>
    </row>
    <row r="162" spans="3:23" ht="20.100000000000001" customHeight="1" x14ac:dyDescent="0.25"/>
    <row r="163" spans="3:23" ht="20.100000000000001" customHeight="1" x14ac:dyDescent="0.25">
      <c r="D163" s="104" t="s">
        <v>276</v>
      </c>
      <c r="O163" s="104" t="s">
        <v>282</v>
      </c>
    </row>
    <row r="164" spans="3:23" ht="20.100000000000001" customHeight="1" x14ac:dyDescent="0.25">
      <c r="D164" s="103" t="s">
        <v>277</v>
      </c>
      <c r="O164" s="103" t="s">
        <v>283</v>
      </c>
    </row>
    <row r="165" spans="3:23" ht="20.100000000000001" customHeight="1" x14ac:dyDescent="0.25">
      <c r="D165" s="54" t="s">
        <v>159</v>
      </c>
      <c r="E165" s="54" t="s">
        <v>69</v>
      </c>
      <c r="F165" s="54" t="s">
        <v>189</v>
      </c>
      <c r="G165" s="54" t="s">
        <v>206</v>
      </c>
      <c r="H165" s="54" t="s">
        <v>207</v>
      </c>
      <c r="I165" s="54" t="s">
        <v>208</v>
      </c>
      <c r="J165" s="54" t="s">
        <v>209</v>
      </c>
      <c r="O165" s="54" t="s">
        <v>159</v>
      </c>
      <c r="P165" s="54" t="s">
        <v>69</v>
      </c>
      <c r="Q165" s="54" t="s">
        <v>189</v>
      </c>
      <c r="R165" s="54" t="s">
        <v>206</v>
      </c>
      <c r="S165" s="54" t="s">
        <v>207</v>
      </c>
      <c r="T165" s="54" t="s">
        <v>208</v>
      </c>
      <c r="U165" s="54" t="s">
        <v>209</v>
      </c>
    </row>
    <row r="166" spans="3:23" ht="20.100000000000001" customHeight="1" x14ac:dyDescent="0.25">
      <c r="D166" s="139" t="str">
        <f>'Input - Dairy'!$D$54</f>
        <v>Milking shed</v>
      </c>
      <c r="E166" s="139" t="str">
        <f>'Input - Dairy'!$D$82</f>
        <v>Solid storage</v>
      </c>
      <c r="F166" s="55">
        <f>'Input - Dairy'!E53*'Input - Dairy'!E82</f>
        <v>0.13350000000000001</v>
      </c>
      <c r="G166" s="55">
        <f>'Input - Dairy'!F53*'Input - Dairy'!F82</f>
        <v>0.13350000000000001</v>
      </c>
      <c r="H166" s="55">
        <f>'Input - Dairy'!G53*'Input - Dairy'!G82</f>
        <v>0.13350000000000001</v>
      </c>
      <c r="I166" s="55">
        <f>'Input - Dairy'!H53*'Input - Dairy'!H82</f>
        <v>0.13350000000000001</v>
      </c>
      <c r="J166" s="55">
        <f>'Input - Dairy'!I53*'Input - Dairy'!I82</f>
        <v>0.13350000000000001</v>
      </c>
      <c r="K166" s="2" t="s">
        <v>101</v>
      </c>
      <c r="O166" s="139" t="str">
        <f>'Input - Dairy'!$D$54</f>
        <v>Milking shed</v>
      </c>
      <c r="P166" s="139" t="str">
        <f>'Input - Dairy'!$D$82</f>
        <v>Solid storage</v>
      </c>
      <c r="Q166" s="138">
        <f>'Input - Dairy'!E59*'Input - Dairy'!E82</f>
        <v>2.75E-2</v>
      </c>
      <c r="R166" s="138">
        <f>'Input - Dairy'!F59*'Input - Dairy'!F82</f>
        <v>2.75E-2</v>
      </c>
      <c r="S166" s="138">
        <f>'Input - Dairy'!G59*'Input - Dairy'!G82</f>
        <v>2.75E-2</v>
      </c>
      <c r="T166" s="138">
        <f>'Input - Dairy'!H59*'Input - Dairy'!H82</f>
        <v>2.75E-2</v>
      </c>
      <c r="U166" s="138">
        <f>'Input - Dairy'!I59*'Input - Dairy'!I82</f>
        <v>2.75E-2</v>
      </c>
      <c r="V166" s="2" t="s">
        <v>101</v>
      </c>
    </row>
    <row r="167" spans="3:23" ht="20.100000000000001" customHeight="1" x14ac:dyDescent="0.25">
      <c r="D167" s="139" t="str">
        <f>'Input - Dairy'!$D$55</f>
        <v>Feed pad</v>
      </c>
      <c r="E167" s="139" t="str">
        <f>'Input - Dairy'!$D$116</f>
        <v>Solid storage</v>
      </c>
      <c r="F167" s="55">
        <f>'Input - Dairy'!E55*'Input - Dairy'!E116</f>
        <v>8.8999999999999996E-2</v>
      </c>
      <c r="G167" s="55">
        <f>'Input - Dairy'!F55*'Input - Dairy'!F116</f>
        <v>8.8999999999999996E-2</v>
      </c>
      <c r="H167" s="55">
        <f>'Input - Dairy'!G55*'Input - Dairy'!G116</f>
        <v>8.8999999999999996E-2</v>
      </c>
      <c r="I167" s="55">
        <f>'Input - Dairy'!H55*'Input - Dairy'!H116</f>
        <v>8.8999999999999996E-2</v>
      </c>
      <c r="J167" s="55">
        <f>'Input - Dairy'!I55*'Input - Dairy'!I116</f>
        <v>8.8999999999999996E-2</v>
      </c>
      <c r="K167" s="2" t="s">
        <v>101</v>
      </c>
      <c r="O167" s="139" t="str">
        <f>'Input - Dairy'!$D$55</f>
        <v>Feed pad</v>
      </c>
      <c r="P167" s="139" t="str">
        <f>'Input - Dairy'!$D$116</f>
        <v>Solid storage</v>
      </c>
      <c r="Q167" s="140">
        <f>'Input - Dairy'!E60*'Input - Dairy'!E116</f>
        <v>8.8999999999999996E-2</v>
      </c>
      <c r="R167" s="140">
        <f>'Input - Dairy'!F60*'Input - Dairy'!F116</f>
        <v>8.8999999999999996E-2</v>
      </c>
      <c r="S167" s="140">
        <f>'Input - Dairy'!G60*'Input - Dairy'!G116</f>
        <v>8.8999999999999996E-2</v>
      </c>
      <c r="T167" s="140">
        <f>'Input - Dairy'!H60*'Input - Dairy'!H116</f>
        <v>8.8999999999999996E-2</v>
      </c>
      <c r="U167" s="140">
        <f>'Input - Dairy'!I60*'Input - Dairy'!I116</f>
        <v>8.8999999999999996E-2</v>
      </c>
      <c r="V167" s="2" t="s">
        <v>101</v>
      </c>
    </row>
    <row r="168" spans="3:23" ht="20.100000000000001" customHeight="1" x14ac:dyDescent="0.25"/>
    <row r="169" spans="3:23" ht="20.100000000000001" customHeight="1" x14ac:dyDescent="0.25">
      <c r="D169" s="104" t="s">
        <v>280</v>
      </c>
      <c r="O169" s="104" t="s">
        <v>284</v>
      </c>
    </row>
    <row r="170" spans="3:23" ht="20.100000000000001" customHeight="1" x14ac:dyDescent="0.25">
      <c r="D170" s="103" t="s">
        <v>281</v>
      </c>
      <c r="O170" s="103" t="s">
        <v>285</v>
      </c>
    </row>
    <row r="171" spans="3:23" ht="20.100000000000001" customHeight="1" x14ac:dyDescent="0.25">
      <c r="D171" s="54" t="s">
        <v>159</v>
      </c>
      <c r="E171" s="54" t="s">
        <v>69</v>
      </c>
      <c r="F171" s="54" t="s">
        <v>189</v>
      </c>
      <c r="G171" s="54" t="s">
        <v>206</v>
      </c>
      <c r="H171" s="54" t="s">
        <v>207</v>
      </c>
      <c r="I171" s="54" t="s">
        <v>208</v>
      </c>
      <c r="J171" s="54" t="s">
        <v>209</v>
      </c>
      <c r="O171" s="54" t="s">
        <v>159</v>
      </c>
      <c r="P171" s="54" t="s">
        <v>69</v>
      </c>
      <c r="Q171" s="54" t="s">
        <v>189</v>
      </c>
      <c r="R171" s="54" t="s">
        <v>206</v>
      </c>
      <c r="S171" s="54" t="s">
        <v>207</v>
      </c>
      <c r="T171" s="54" t="s">
        <v>208</v>
      </c>
      <c r="U171" s="54" t="s">
        <v>209</v>
      </c>
    </row>
    <row r="172" spans="3:23" ht="20.100000000000001" customHeight="1" x14ac:dyDescent="0.25">
      <c r="D172" s="139" t="str">
        <f>'Input - Dairy'!$D$54</f>
        <v>Milking shed</v>
      </c>
      <c r="E172" s="139" t="str">
        <f>'Input - Dairy'!$D$82</f>
        <v>Solid storage</v>
      </c>
      <c r="F172" s="55" cm="1">
        <f t="array" ref="F172">MMS_Dairy_Methane_Equations.VEERG_4_3_1_1__5_FractionVolatileSolidsSolidStorageVariation(F166,F121,$F131,F122,$F132,F123,$F133)</f>
        <v>0.15000000000000002</v>
      </c>
      <c r="G172" s="55" cm="1">
        <f t="array" ref="G172">MMS_Dairy_Methane_Equations.VEERG_4_3_1_1__5_FractionVolatileSolidsSolidStorageVariation(G166,G121,$F131,G122,$F132,G123,$F133)</f>
        <v>0.15000000000000002</v>
      </c>
      <c r="H172" s="55" cm="1">
        <f t="array" ref="H172">MMS_Dairy_Methane_Equations.VEERG_4_3_1_1__5_FractionVolatileSolidsSolidStorageVariation(H166,H121,$F131,H122,$F132,H123,$F133)</f>
        <v>0.15000000000000002</v>
      </c>
      <c r="I172" s="55" cm="1">
        <f t="array" ref="I172">MMS_Dairy_Methane_Equations.VEERG_4_3_1_1__5_FractionVolatileSolidsSolidStorageVariation(I166,I121,$F131,I122,$F132,I123,$F133)</f>
        <v>0.15000000000000002</v>
      </c>
      <c r="J172" s="55" cm="1">
        <f t="array" ref="J172">MMS_Dairy_Methane_Equations.VEERG_4_3_1_1__5_FractionVolatileSolidsSolidStorageVariation(J166,J121,$F131,J122,$F132,J123,$F133)</f>
        <v>0.15000000000000002</v>
      </c>
      <c r="K172" s="2" t="str">
        <f>$E$157</f>
        <v>fraction</v>
      </c>
      <c r="O172" s="139" t="str">
        <f>'Input - Dairy'!$D$54</f>
        <v>Milking shed</v>
      </c>
      <c r="P172" s="139" t="str">
        <f>'Input - Dairy'!$D$82</f>
        <v>Solid storage</v>
      </c>
      <c r="Q172" s="55" cm="1">
        <f t="array" ref="Q172">MMS_Dairy_Methane_Equations.VEERG_4_3_1_1__5_FractionVolatileSolidsSolidStorageVariation(Q166,Q121,$Q131,Q122,$Q132,Q123,$Q133)</f>
        <v>4.3999999999999997E-2</v>
      </c>
      <c r="R172" s="55" cm="1">
        <f t="array" ref="R172">MMS_Dairy_Methane_Equations.VEERG_4_3_1_1__5_FractionVolatileSolidsSolidStorageVariation(R166,R121,$Q131,R122,$Q132,R123,$Q133)</f>
        <v>4.3999999999999997E-2</v>
      </c>
      <c r="S172" s="55" cm="1">
        <f t="array" ref="S172">MMS_Dairy_Methane_Equations.VEERG_4_3_1_1__5_FractionVolatileSolidsSolidStorageVariation(S166,S121,$Q131,S122,$Q132,S123,$Q133)</f>
        <v>4.3999999999999997E-2</v>
      </c>
      <c r="T172" s="55" cm="1">
        <f t="array" ref="T172">MMS_Dairy_Methane_Equations.VEERG_4_3_1_1__5_FractionVolatileSolidsSolidStorageVariation(T166,T121,$Q131,T122,$Q132,T123,$Q133)</f>
        <v>4.3999999999999997E-2</v>
      </c>
      <c r="U172" s="55" cm="1">
        <f t="array" ref="U172">MMS_Dairy_Methane_Equations.VEERG_4_3_1_1__5_FractionVolatileSolidsSolidStorageVariation(U166,U121,$Q131,U122,$Q132,U123,$Q133)</f>
        <v>4.3999999999999997E-2</v>
      </c>
      <c r="V172" s="2" t="str">
        <f t="shared" ref="V172:V173" si="2">$E$157</f>
        <v>fraction</v>
      </c>
    </row>
    <row r="173" spans="3:23" ht="20.100000000000001" customHeight="1" x14ac:dyDescent="0.25">
      <c r="D173" s="139" t="str">
        <f>'Input - Dairy'!$D$55</f>
        <v>Feed pad</v>
      </c>
      <c r="E173" s="139" t="str">
        <f>'Input - Dairy'!$D$116</f>
        <v>Solid storage</v>
      </c>
      <c r="F173" s="55" cm="1">
        <f t="array" ref="F173">MMS_Dairy_Methane_Equations.VEERG_4_3_1_1__5_FractionVolatileSolidsSolidStorageVariation(F167,F124,$F134,F125,$F135,F126,$F136)</f>
        <v>0.12459999999999999</v>
      </c>
      <c r="G173" s="55" cm="1">
        <f t="array" ref="G173">MMS_Dairy_Methane_Equations.VEERG_4_3_1_1__5_FractionVolatileSolidsSolidStorageVariation(G167,G124,$F134,G125,$F135,G126,$F136)</f>
        <v>0.12459999999999999</v>
      </c>
      <c r="H173" s="55" cm="1">
        <f t="array" ref="H173">MMS_Dairy_Methane_Equations.VEERG_4_3_1_1__5_FractionVolatileSolidsSolidStorageVariation(H167,H124,$F134,H125,$F135,H126,$F136)</f>
        <v>0.12459999999999999</v>
      </c>
      <c r="I173" s="55" cm="1">
        <f t="array" ref="I173">MMS_Dairy_Methane_Equations.VEERG_4_3_1_1__5_FractionVolatileSolidsSolidStorageVariation(I167,I124,$F134,I125,$F135,I126,$F136)</f>
        <v>0.12459999999999999</v>
      </c>
      <c r="J173" s="55" cm="1">
        <f t="array" ref="J173">MMS_Dairy_Methane_Equations.VEERG_4_3_1_1__5_FractionVolatileSolidsSolidStorageVariation(J167,J124,$F134,J125,$F135,J126,$F136)</f>
        <v>0.12459999999999999</v>
      </c>
      <c r="K173" s="2" t="str">
        <f>$E$157</f>
        <v>fraction</v>
      </c>
      <c r="O173" s="139" t="str">
        <f>'Input - Dairy'!$D$55</f>
        <v>Feed pad</v>
      </c>
      <c r="P173" s="139" t="str">
        <f>'Input - Dairy'!$D$116</f>
        <v>Solid storage</v>
      </c>
      <c r="Q173" s="55" cm="1">
        <f t="array" ref="Q173">MMS_Dairy_Methane_Equations.VEERG_4_3_1_1__5_FractionVolatileSolidsSolidStorageVariation(Q167,Q124,$Q134,Q125,$Q135,Q126,$Q136)</f>
        <v>0.12459999999999999</v>
      </c>
      <c r="R173" s="55" cm="1">
        <f t="array" ref="R173">MMS_Dairy_Methane_Equations.VEERG_4_3_1_1__5_FractionVolatileSolidsSolidStorageVariation(R167,R124,$Q134,R125,$Q135,R126,$Q136)</f>
        <v>0.12459999999999999</v>
      </c>
      <c r="S173" s="55" cm="1">
        <f t="array" ref="S173">MMS_Dairy_Methane_Equations.VEERG_4_3_1_1__5_FractionVolatileSolidsSolidStorageVariation(S167,S124,$Q134,S125,$Q135,S126,$Q136)</f>
        <v>0.12459999999999999</v>
      </c>
      <c r="T173" s="55" cm="1">
        <f t="array" ref="T173">MMS_Dairy_Methane_Equations.VEERG_4_3_1_1__5_FractionVolatileSolidsSolidStorageVariation(T167,T124,$Q134,T125,$Q135,T126,$Q136)</f>
        <v>0.12459999999999999</v>
      </c>
      <c r="U173" s="55" cm="1">
        <f t="array" ref="U173">MMS_Dairy_Methane_Equations.VEERG_4_3_1_1__5_FractionVolatileSolidsSolidStorageVariation(U167,U124,$Q134,U125,$Q135,U126,$Q136)</f>
        <v>0.12459999999999999</v>
      </c>
      <c r="V173" s="2" t="str">
        <f t="shared" si="2"/>
        <v>fraction</v>
      </c>
    </row>
    <row r="174" spans="3:23" ht="20.100000000000001" customHeight="1" x14ac:dyDescent="0.25"/>
    <row r="175" spans="3:23" ht="20.100000000000001" customHeight="1" x14ac:dyDescent="0.25"/>
    <row r="176" spans="3:23" ht="20.100000000000001" customHeight="1" x14ac:dyDescent="0.25">
      <c r="C176" s="48"/>
      <c r="D176" s="48"/>
      <c r="E176" s="48"/>
      <c r="F176" s="48"/>
      <c r="G176" s="48"/>
      <c r="H176" s="48"/>
      <c r="I176" s="48"/>
      <c r="J176" s="48"/>
      <c r="K176" s="48"/>
      <c r="L176" s="48"/>
      <c r="N176" s="48"/>
      <c r="O176" s="48"/>
      <c r="P176" s="48"/>
      <c r="Q176" s="48"/>
      <c r="R176" s="48"/>
      <c r="S176" s="48"/>
      <c r="T176" s="48"/>
      <c r="U176" s="48"/>
      <c r="V176" s="48"/>
      <c r="W176" s="48"/>
    </row>
    <row r="177" spans="4:23" ht="20.100000000000001" customHeight="1" x14ac:dyDescent="0.25">
      <c r="D177" s="6" t="str" cm="1">
        <f t="array" ref="D177">MMS_Dairy_Methane_Equations.VEERG_4_3_1_1__2_MethaneFromManureProduction_Title()</f>
        <v>Methane from manure production from weaned dairy cattle</v>
      </c>
      <c r="N177" s="141"/>
      <c r="O177" s="141"/>
      <c r="P177" s="141"/>
      <c r="Q177" s="141"/>
      <c r="R177" s="141"/>
      <c r="S177" s="141"/>
      <c r="T177" s="141"/>
      <c r="U177" s="141"/>
      <c r="V177" s="141"/>
      <c r="W177" s="141"/>
    </row>
    <row r="178" spans="4:23" ht="20.100000000000001" customHeight="1" x14ac:dyDescent="0.25">
      <c r="D178" s="5" t="str" cm="1">
        <f t="array" ref="D178">MMS_Dairy_Methane_Equations.VEERG_4_3_1_1__2_MethaneFromManureProduction_Source()</f>
        <v>VEERG 2026: 4.3.1.1, Equation (2)</v>
      </c>
      <c r="N178" s="141"/>
      <c r="O178" s="141"/>
      <c r="P178" s="141"/>
      <c r="Q178" s="141"/>
      <c r="R178" s="141"/>
      <c r="S178" s="141"/>
      <c r="T178" s="141"/>
      <c r="U178" s="141"/>
      <c r="V178" s="141"/>
      <c r="W178" s="141"/>
    </row>
    <row r="179" spans="4:23" ht="20.100000000000001" customHeight="1" x14ac:dyDescent="0.25">
      <c r="D179" s="13" t="s">
        <v>28</v>
      </c>
      <c r="E179" s="13" t="str" cm="1">
        <f t="array" aca="1" ref="E179" ca="1">Common_InputFunctions.Utility_DisplayFunctionName($F$203)</f>
        <v>=MMS_Dairy_Methane_Equations.VEERG_4_3_1_1__2_MethaneFromManureProduction</v>
      </c>
    </row>
    <row r="180" spans="4:23" ht="20.100000000000001" customHeight="1" x14ac:dyDescent="0.25"/>
    <row r="181" spans="4:23" ht="20.100000000000001" customHeight="1" x14ac:dyDescent="0.25">
      <c r="D181" s="6"/>
    </row>
    <row r="182" spans="4:23" ht="20.100000000000001" customHeight="1" x14ac:dyDescent="0.25">
      <c r="D182" s="56" t="s">
        <v>31</v>
      </c>
      <c r="E182" s="1" t="str" cm="1">
        <f t="array" ref="E182">MMS_Dairy_Methane_Equations.VEERG_4_3_1_1__2_MethaneFromManureProduction_Variable()</f>
        <v>M_jm</v>
      </c>
    </row>
    <row r="183" spans="4:23" ht="20.100000000000001" customHeight="1" x14ac:dyDescent="0.25">
      <c r="D183" s="56" t="s">
        <v>21</v>
      </c>
      <c r="E183" s="57" t="str" cm="1">
        <f t="array" ref="E183">MMS_Dairy_Methane_Equations.VEERG_4_3_1_1__2_MethaneFromManureProduction_Unit()</f>
        <v>kg CH4/head/day</v>
      </c>
    </row>
    <row r="184" spans="4:23" ht="20.100000000000001" customHeight="1" x14ac:dyDescent="0.25"/>
    <row r="185" spans="4:23" ht="20.100000000000001" customHeight="1" x14ac:dyDescent="0.25">
      <c r="D185" s="60" t="str" cm="1">
        <f t="array" ref="D185:E190">MMS_Dairy_Methane_Equations.VEERG_4_3_1_1__2_MethaneFromManureProduction_Arguments()</f>
        <v>VS_j</v>
      </c>
      <c r="E185" s="61" t="str">
        <v>daily volatile solids production per head for dairy cattle (kg/head/day)</v>
      </c>
      <c r="F185" s="62"/>
      <c r="G185" s="60" t="str">
        <f>"See " &amp; D100</f>
        <v>See M1_Table_VS_j</v>
      </c>
    </row>
    <row r="186" spans="4:23" ht="20.100000000000001" customHeight="1" x14ac:dyDescent="0.25">
      <c r="D186" s="60" t="str">
        <v>FVS_jmT1</v>
      </c>
      <c r="E186" s="61" t="str">
        <v>fraction of waste from each class in each management system</v>
      </c>
      <c r="F186" s="62"/>
      <c r="G186" s="60" t="str">
        <f>"See " &amp; D138 &amp; " and " &amp; D169</f>
        <v>See M1_Table_FVS_j_m and M1_Table_FVS_j_m-4</v>
      </c>
      <c r="H186" s="114" t="s">
        <v>286</v>
      </c>
    </row>
    <row r="187" spans="4:23" ht="20.100000000000001" customHeight="1" x14ac:dyDescent="0.25">
      <c r="D187" s="60" t="str">
        <v>MCF_im</v>
      </c>
      <c r="E187" s="61" t="str">
        <v>methane conversion factor for temperature zone and MMS</v>
      </c>
      <c r="F187" s="62"/>
      <c r="G187" s="60" t="str">
        <f>"See " &amp; D192</f>
        <v>See M1_Table_MCF_i_m</v>
      </c>
      <c r="H187" s="114" t="s">
        <v>310</v>
      </c>
    </row>
    <row r="188" spans="4:23" ht="20.100000000000001" customHeight="1" x14ac:dyDescent="0.25">
      <c r="D188" s="60" t="str">
        <v>B_o</v>
      </c>
      <c r="E188" s="61" t="str">
        <v>emissions potential (m3 CH4/kgVS)</v>
      </c>
      <c r="F188" s="62"/>
      <c r="G188" s="60">
        <f>'Constants - Dairy'!$D$195</f>
        <v>0.24</v>
      </c>
    </row>
    <row r="189" spans="4:23" ht="20.100000000000001" customHeight="1" x14ac:dyDescent="0.25">
      <c r="D189" s="60" t="str">
        <v>rho</v>
      </c>
      <c r="E189" s="61" t="str">
        <v>density of methane (kg/m3)</v>
      </c>
      <c r="F189" s="62"/>
      <c r="G189" s="60">
        <f>'Constants - Common'!$D$175</f>
        <v>0.6784</v>
      </c>
    </row>
    <row r="190" spans="4:23" ht="20.100000000000001" customHeight="1" x14ac:dyDescent="0.25">
      <c r="D190" s="60" t="str">
        <v>i</v>
      </c>
      <c r="E190" s="61" t="str">
        <v>state</v>
      </c>
      <c r="F190" s="62"/>
      <c r="G190" s="60" t="str" cm="1">
        <f t="array" ref="G190">Common_InputFunctions.Utility_LookupValueInTable('Input - Site'!$E$21, Table_AustralianStates[Common Name],Table_AustralianStates[Abbreviation])</f>
        <v>NSW</v>
      </c>
    </row>
    <row r="191" spans="4:23" ht="20.100000000000001" customHeight="1" x14ac:dyDescent="0.25"/>
    <row r="192" spans="4:23" ht="20.100000000000001" customHeight="1" x14ac:dyDescent="0.25">
      <c r="D192" s="142" t="s">
        <v>287</v>
      </c>
    </row>
    <row r="193" spans="4:22" ht="20.100000000000001" customHeight="1" x14ac:dyDescent="0.25">
      <c r="D193" s="143" t="s">
        <v>288</v>
      </c>
    </row>
    <row r="194" spans="4:22" ht="20.100000000000001" customHeight="1" x14ac:dyDescent="0.25">
      <c r="D194" s="54" t="s">
        <v>69</v>
      </c>
      <c r="E194" s="54" t="s">
        <v>100</v>
      </c>
    </row>
    <row r="195" spans="4:22" ht="20.100000000000001" customHeight="1" x14ac:dyDescent="0.25">
      <c r="D195" s="60" t="str">
        <f>'Constants - Dairy'!D8</f>
        <v>Anaerobic lagoon</v>
      </c>
      <c r="E195" s="55" cm="1">
        <f t="array" ref="E195">CommonLivestock_InputFunctions.Livestock_LookupMCFState(D195,Table_SourceData_Dairy_MCFjm[NIR reference],$G$190,Table_SourceData_Dairy_MCFjm[#Headers],Table_SourceData_Dairy_MCFjm[])</f>
        <v>0.76</v>
      </c>
    </row>
    <row r="196" spans="4:22" ht="20.100000000000001" customHeight="1" x14ac:dyDescent="0.25">
      <c r="D196" s="60" t="str">
        <f>'Constants - Dairy'!D9</f>
        <v>Sump and dispersal system</v>
      </c>
      <c r="E196" s="55" cm="1">
        <f t="array" ref="E196">CommonLivestock_InputFunctions.Livestock_LookupMCFState(D196,Table_SourceData_Dairy_MCFjm[NIR reference],$G$190,Table_SourceData_Dairy_MCFjm[#Headers],Table_SourceData_Dairy_MCFjm[])</f>
        <v>5.0000000000000001E-3</v>
      </c>
    </row>
    <row r="197" spans="4:22" ht="20.100000000000001" customHeight="1" x14ac:dyDescent="0.25">
      <c r="D197" s="60" t="str">
        <f>'Constants - Dairy'!D10</f>
        <v>Drains to paddock</v>
      </c>
      <c r="E197" s="55" cm="1">
        <f t="array" ref="E197">CommonLivestock_InputFunctions.Livestock_LookupMCFState(D197,Table_SourceData_Dairy_MCFjm[NIR reference],$G$190,Table_SourceData_Dairy_MCFjm[#Headers],Table_SourceData_Dairy_MCFjm[])</f>
        <v>0.18</v>
      </c>
    </row>
    <row r="198" spans="4:22" ht="20.100000000000001" customHeight="1" x14ac:dyDescent="0.25">
      <c r="D198" s="60" t="str">
        <f>'Constants - Dairy'!D11</f>
        <v>Solid storage</v>
      </c>
      <c r="E198" s="55" cm="1">
        <f t="array" ref="E198">CommonLivestock_InputFunctions.Livestock_LookupMCFState(D198,Table_SourceData_Dairy_MCFjm[NIR reference],$G$190,Table_SourceData_Dairy_MCFjm[#Headers],Table_SourceData_Dairy_MCFjm[])</f>
        <v>0.02</v>
      </c>
    </row>
    <row r="199" spans="4:22" ht="20.100000000000001" customHeight="1" x14ac:dyDescent="0.25"/>
    <row r="200" spans="4:22" ht="20.100000000000001" customHeight="1" x14ac:dyDescent="0.25">
      <c r="D200" s="144" t="s">
        <v>289</v>
      </c>
      <c r="E200" s="145"/>
      <c r="O200" s="144" t="s">
        <v>303</v>
      </c>
      <c r="P200" s="145"/>
    </row>
    <row r="201" spans="4:22" ht="20.100000000000001" customHeight="1" x14ac:dyDescent="0.25">
      <c r="D201" s="143" t="s">
        <v>305</v>
      </c>
      <c r="O201" s="143" t="s">
        <v>304</v>
      </c>
    </row>
    <row r="202" spans="4:22" ht="20.100000000000001" customHeight="1" x14ac:dyDescent="0.25">
      <c r="D202" s="54" t="s">
        <v>159</v>
      </c>
      <c r="E202" s="54" t="s">
        <v>69</v>
      </c>
      <c r="F202" s="54" t="s">
        <v>189</v>
      </c>
      <c r="G202" s="54" t="s">
        <v>206</v>
      </c>
      <c r="H202" s="54" t="s">
        <v>207</v>
      </c>
      <c r="I202" s="54" t="s">
        <v>208</v>
      </c>
      <c r="J202" s="54" t="s">
        <v>209</v>
      </c>
      <c r="O202" s="54" t="s">
        <v>159</v>
      </c>
      <c r="P202" s="54" t="s">
        <v>69</v>
      </c>
      <c r="Q202" s="54" t="s">
        <v>189</v>
      </c>
      <c r="R202" s="54" t="s">
        <v>206</v>
      </c>
      <c r="S202" s="54" t="s">
        <v>207</v>
      </c>
      <c r="T202" s="54" t="s">
        <v>208</v>
      </c>
      <c r="U202" s="54" t="s">
        <v>209</v>
      </c>
    </row>
    <row r="203" spans="4:22" ht="20.100000000000001" customHeight="1" x14ac:dyDescent="0.25">
      <c r="D203" s="139" t="str">
        <f>'Input - Dairy'!$D$54</f>
        <v>Milking shed</v>
      </c>
      <c r="E203" s="139" t="str">
        <f>'Input - Dairy'!$D$67</f>
        <v>Anaerobic lagoon</v>
      </c>
      <c r="F203" s="55" cm="1">
        <f t="array" ref="F203">MMS_Dairy_Methane_Equations.VEERG_4_3_1_1__2_MethaneFromManureProduction(D$103,F141,$E$195,$G$188,$G$189)</f>
        <v>6.8742705211090795E-3</v>
      </c>
      <c r="G203" s="55" cm="1">
        <f t="array" ref="G203">MMS_Dairy_Methane_Equations.VEERG_4_3_1_1__2_MethaneFromManureProduction(E$103,G141,$E$195,$G$188,$G$189)</f>
        <v>5.3883631169955861E-3</v>
      </c>
      <c r="H203" s="55" cm="1">
        <f t="array" ref="H203">MMS_Dairy_Methane_Equations.VEERG_4_3_1_1__2_MethaneFromManureProduction(F$103,H141,$E$195,$G$188,$G$189)</f>
        <v>2.922051982564853E-3</v>
      </c>
      <c r="I203" s="55" cm="1">
        <f t="array" ref="I203">MMS_Dairy_Methane_Equations.VEERG_4_3_1_1__2_MethaneFromManureProduction(G$103,I141,$E$195,$G$188,$G$189)</f>
        <v>6.556372137469845E-3</v>
      </c>
      <c r="J203" s="55" cm="1">
        <f t="array" ref="J203">MMS_Dairy_Methane_Equations.VEERG_4_3_1_1__2_MethaneFromManureProduction(H$103,J141,$E$195,$G$188,$G$189)</f>
        <v>3.9324688071825046E-3</v>
      </c>
      <c r="K203" s="2" t="str">
        <f>$E$183</f>
        <v>kg CH4/head/day</v>
      </c>
      <c r="O203" s="139" t="str">
        <f>'Input - Dairy'!$D$54</f>
        <v>Milking shed</v>
      </c>
      <c r="P203" s="139" t="str">
        <f>'Input - Dairy'!$D$67</f>
        <v>Anaerobic lagoon</v>
      </c>
      <c r="Q203" s="55" cm="1">
        <f t="array" ref="Q203">MMS_Dairy_Methane_Equations.VEERG_4_3_1_1__2_MethaneFromManureProduction(O$103,Q141,$E$195,$G$188,$G$189)</f>
        <v>6.8742705211090795E-3</v>
      </c>
      <c r="R203" s="55" cm="1">
        <f t="array" ref="R203">MMS_Dairy_Methane_Equations.VEERG_4_3_1_1__2_MethaneFromManureProduction(P$103,R141,$E$195,$G$188,$G$189)</f>
        <v>5.3883631169955861E-3</v>
      </c>
      <c r="S203" s="55" cm="1">
        <f t="array" ref="S203">MMS_Dairy_Methane_Equations.VEERG_4_3_1_1__2_MethaneFromManureProduction(Q$103,S141,$E$195,$G$188,$G$189)</f>
        <v>2.922051982564853E-3</v>
      </c>
      <c r="T203" s="55" cm="1">
        <f t="array" ref="T203">MMS_Dairy_Methane_Equations.VEERG_4_3_1_1__2_MethaneFromManureProduction(R$103,T141,$E$195,$G$188,$G$189)</f>
        <v>6.556372137469845E-3</v>
      </c>
      <c r="U203" s="55" cm="1">
        <f t="array" ref="U203">MMS_Dairy_Methane_Equations.VEERG_4_3_1_1__2_MethaneFromManureProduction(S$103,U141,$E$195,$G$188,$G$189)</f>
        <v>3.9324688071825046E-3</v>
      </c>
      <c r="V203" s="2" t="str">
        <f>$E$183</f>
        <v>kg CH4/head/day</v>
      </c>
    </row>
    <row r="204" spans="4:22" ht="20.100000000000001" customHeight="1" x14ac:dyDescent="0.25">
      <c r="D204" s="139" t="str">
        <f>'Input - Dairy'!$D$54</f>
        <v>Milking shed</v>
      </c>
      <c r="E204" s="139" t="str">
        <f>'Input - Dairy'!$D$72</f>
        <v>Sump and dispersal system</v>
      </c>
      <c r="F204" s="55" cm="1">
        <f t="array" ref="F204">MMS_Dairy_Methane_Equations.VEERG_4_3_1_1__2_MethaneFromManureProduction(D$103,F142,$E$196,$G$188,$G$189)</f>
        <v>4.5225463954664985E-5</v>
      </c>
      <c r="G204" s="55" cm="1">
        <f t="array" ref="G204">MMS_Dairy_Methane_Equations.VEERG_4_3_1_1__2_MethaneFromManureProduction(E$103,G142,$E$196,$G$188,$G$189)</f>
        <v>3.5449757348655176E-5</v>
      </c>
      <c r="H204" s="55" cm="1">
        <f t="array" ref="H204">MMS_Dairy_Methane_Equations.VEERG_4_3_1_1__2_MethaneFromManureProduction(F$103,H142,$E$196,$G$188,$G$189)</f>
        <v>1.9224026201084556E-5</v>
      </c>
      <c r="I204" s="55" cm="1">
        <f t="array" ref="I204">MMS_Dairy_Methane_Equations.VEERG_4_3_1_1__2_MethaneFromManureProduction(G$103,I142,$E$196,$G$188,$G$189)</f>
        <v>4.313402722019635E-5</v>
      </c>
      <c r="J204" s="55" cm="1">
        <f t="array" ref="J204">MMS_Dairy_Methane_Equations.VEERG_4_3_1_1__2_MethaneFromManureProduction(H$103,J142,$E$196,$G$188,$G$189)</f>
        <v>2.587150531041121E-5</v>
      </c>
      <c r="K204" s="2" t="str">
        <f t="shared" ref="K204:K210" si="3">$E$183</f>
        <v>kg CH4/head/day</v>
      </c>
      <c r="O204" s="139" t="str">
        <f>'Input - Dairy'!$D$54</f>
        <v>Milking shed</v>
      </c>
      <c r="P204" s="139" t="str">
        <f>'Input - Dairy'!$D$72</f>
        <v>Sump and dispersal system</v>
      </c>
      <c r="Q204" s="55" cm="1">
        <f t="array" ref="Q204">MMS_Dairy_Methane_Equations.VEERG_4_3_1_1__2_MethaneFromManureProduction(O$103,Q142,$E$196,$G$188,$G$189)</f>
        <v>4.5225463954664985E-5</v>
      </c>
      <c r="R204" s="55" cm="1">
        <f t="array" ref="R204">MMS_Dairy_Methane_Equations.VEERG_4_3_1_1__2_MethaneFromManureProduction(P$103,R142,$E$196,$G$188,$G$189)</f>
        <v>3.5449757348655176E-5</v>
      </c>
      <c r="S204" s="55" cm="1">
        <f t="array" ref="S204">MMS_Dairy_Methane_Equations.VEERG_4_3_1_1__2_MethaneFromManureProduction(Q$103,S142,$E$196,$G$188,$G$189)</f>
        <v>1.9224026201084556E-5</v>
      </c>
      <c r="T204" s="55" cm="1">
        <f t="array" ref="T204">MMS_Dairy_Methane_Equations.VEERG_4_3_1_1__2_MethaneFromManureProduction(R$103,T142,$E$196,$G$188,$G$189)</f>
        <v>4.313402722019635E-5</v>
      </c>
      <c r="U204" s="55" cm="1">
        <f t="array" ref="U204">MMS_Dairy_Methane_Equations.VEERG_4_3_1_1__2_MethaneFromManureProduction(S$103,U142,$E$196,$G$188,$G$189)</f>
        <v>2.587150531041121E-5</v>
      </c>
      <c r="V204" s="2" t="str">
        <f t="shared" ref="V204:V210" si="4">$E$183</f>
        <v>kg CH4/head/day</v>
      </c>
    </row>
    <row r="205" spans="4:22" ht="20.100000000000001" customHeight="1" x14ac:dyDescent="0.25">
      <c r="D205" s="139" t="str">
        <f>'Input - Dairy'!$D$54</f>
        <v>Milking shed</v>
      </c>
      <c r="E205" s="139" t="str">
        <f>'Input - Dairy'!$D$77</f>
        <v>Drains to paddock</v>
      </c>
      <c r="F205" s="55" cm="1">
        <f t="array" ref="F205">MMS_Dairy_Methane_Equations.VEERG_4_3_1_1__2_MethaneFromManureProduction(D$103,F143,$E$197,$G$188,$G$189)</f>
        <v>1.6281167023679398E-3</v>
      </c>
      <c r="G205" s="55" cm="1">
        <f t="array" ref="G205">MMS_Dairy_Methane_Equations.VEERG_4_3_1_1__2_MethaneFromManureProduction(E$103,G143,$E$197,$G$188,$G$189)</f>
        <v>1.2761912645515865E-3</v>
      </c>
      <c r="H205" s="55" cm="1">
        <f t="array" ref="H205">MMS_Dairy_Methane_Equations.VEERG_4_3_1_1__2_MethaneFromManureProduction(F$103,H143,$E$197,$G$188,$G$189)</f>
        <v>6.9206494323904399E-4</v>
      </c>
      <c r="I205" s="55" cm="1">
        <f t="array" ref="I205">MMS_Dairy_Methane_Equations.VEERG_4_3_1_1__2_MethaneFromManureProduction(G$103,I143,$E$197,$G$188,$G$189)</f>
        <v>1.5528249799270685E-3</v>
      </c>
      <c r="J205" s="55" cm="1">
        <f t="array" ref="J205">MMS_Dairy_Methane_Equations.VEERG_4_3_1_1__2_MethaneFromManureProduction(H$103,J143,$E$197,$G$188,$G$189)</f>
        <v>9.3137419117480342E-4</v>
      </c>
      <c r="K205" s="2" t="str">
        <f t="shared" si="3"/>
        <v>kg CH4/head/day</v>
      </c>
      <c r="O205" s="139" t="str">
        <f>'Input - Dairy'!$D$54</f>
        <v>Milking shed</v>
      </c>
      <c r="P205" s="139" t="str">
        <f>'Input - Dairy'!$D$77</f>
        <v>Drains to paddock</v>
      </c>
      <c r="Q205" s="55" cm="1">
        <f t="array" ref="Q205">MMS_Dairy_Methane_Equations.VEERG_4_3_1_1__2_MethaneFromManureProduction(O$103,Q143,$E$197,$G$188,$G$189)</f>
        <v>1.6281167023679398E-3</v>
      </c>
      <c r="R205" s="55" cm="1">
        <f t="array" ref="R205">MMS_Dairy_Methane_Equations.VEERG_4_3_1_1__2_MethaneFromManureProduction(P$103,R143,$E$197,$G$188,$G$189)</f>
        <v>1.2761912645515865E-3</v>
      </c>
      <c r="S205" s="55" cm="1">
        <f t="array" ref="S205">MMS_Dairy_Methane_Equations.VEERG_4_3_1_1__2_MethaneFromManureProduction(Q$103,S143,$E$197,$G$188,$G$189)</f>
        <v>6.9206494323904399E-4</v>
      </c>
      <c r="T205" s="55" cm="1">
        <f t="array" ref="T205">MMS_Dairy_Methane_Equations.VEERG_4_3_1_1__2_MethaneFromManureProduction(R$103,T143,$E$197,$G$188,$G$189)</f>
        <v>1.5528249799270685E-3</v>
      </c>
      <c r="U205" s="55" cm="1">
        <f t="array" ref="U205">MMS_Dairy_Methane_Equations.VEERG_4_3_1_1__2_MethaneFromManureProduction(S$103,U143,$E$197,$G$188,$G$189)</f>
        <v>9.3137419117480342E-4</v>
      </c>
      <c r="V205" s="2" t="str">
        <f t="shared" si="4"/>
        <v>kg CH4/head/day</v>
      </c>
    </row>
    <row r="206" spans="4:22" ht="20.100000000000001" customHeight="1" x14ac:dyDescent="0.25">
      <c r="D206" s="139" t="str">
        <f>'Input - Dairy'!$D$54</f>
        <v>Milking shed</v>
      </c>
      <c r="E206" s="139" t="str">
        <f>'Input - Dairy'!$D$82</f>
        <v>Solid storage</v>
      </c>
      <c r="F206" s="55" cm="1">
        <f t="array" ref="F206">MMS_Dairy_Methane_Equations.VEERG_4_3_1_1__2_MethaneFromManureProduction(D$103,F172,$E$198,$G$188,$G$189)</f>
        <v>1.2334217442181361E-3</v>
      </c>
      <c r="G206" s="55" cm="1">
        <f t="array" ref="G206">MMS_Dairy_Methane_Equations.VEERG_4_3_1_1__2_MethaneFromManureProduction(E$103,G172,$E$198,$G$188,$G$189)</f>
        <v>9.6681156405423207E-4</v>
      </c>
      <c r="H206" s="55" cm="1">
        <f t="array" ref="H206">MMS_Dairy_Methane_Equations.VEERG_4_3_1_1__2_MethaneFromManureProduction(F$103,H172,$E$198,$G$188,$G$189)</f>
        <v>5.2429162366594254E-4</v>
      </c>
      <c r="I206" s="55" cm="1">
        <f t="array" ref="I206">MMS_Dairy_Methane_Equations.VEERG_4_3_1_1__2_MethaneFromManureProduction(G$103,I172,$E$198,$G$188,$G$189)</f>
        <v>1.1763825605508097E-3</v>
      </c>
      <c r="J206" s="55" cm="1">
        <f t="array" ref="J206">MMS_Dairy_Methane_Equations.VEERG_4_3_1_1__2_MethaneFromManureProduction(H$103,J172,$E$198,$G$188,$G$189)</f>
        <v>7.055865084657604E-4</v>
      </c>
      <c r="K206" s="2" t="str">
        <f t="shared" si="3"/>
        <v>kg CH4/head/day</v>
      </c>
      <c r="O206" s="139" t="str">
        <f>'Input - Dairy'!$D$54</f>
        <v>Milking shed</v>
      </c>
      <c r="P206" s="139" t="str">
        <f>'Input - Dairy'!$D$82</f>
        <v>Solid storage</v>
      </c>
      <c r="Q206" s="55" cm="1">
        <f t="array" ref="Q206">MMS_Dairy_Methane_Equations.VEERG_4_3_1_1__2_MethaneFromManureProduction(O$103,Q172,$E$198,$G$188,$G$189)</f>
        <v>3.6180371163731982E-4</v>
      </c>
      <c r="R206" s="55" cm="1">
        <f t="array" ref="R206">MMS_Dairy_Methane_Equations.VEERG_4_3_1_1__2_MethaneFromManureProduction(P$103,R172,$E$198,$G$188,$G$189)</f>
        <v>2.8359805878924141E-4</v>
      </c>
      <c r="S206" s="55" cm="1">
        <f t="array" ref="S206">MMS_Dairy_Methane_Equations.VEERG_4_3_1_1__2_MethaneFromManureProduction(Q$103,S172,$E$198,$G$188,$G$189)</f>
        <v>1.5379220960867642E-4</v>
      </c>
      <c r="T206" s="55" cm="1">
        <f t="array" ref="T206">MMS_Dairy_Methane_Equations.VEERG_4_3_1_1__2_MethaneFromManureProduction(R$103,T172,$E$198,$G$188,$G$189)</f>
        <v>3.4507221776157069E-4</v>
      </c>
      <c r="U206" s="55" cm="1">
        <f t="array" ref="U206">MMS_Dairy_Methane_Equations.VEERG_4_3_1_1__2_MethaneFromManureProduction(S$103,U172,$E$198,$G$188,$G$189)</f>
        <v>2.0697204248328968E-4</v>
      </c>
      <c r="V206" s="2" t="str">
        <f t="shared" si="4"/>
        <v>kg CH4/head/day</v>
      </c>
    </row>
    <row r="207" spans="4:22" ht="20.100000000000001" customHeight="1" x14ac:dyDescent="0.25">
      <c r="D207" s="139" t="str">
        <f>'Input - Dairy'!$D$55</f>
        <v>Feed pad</v>
      </c>
      <c r="E207" s="139" t="str">
        <f>'Input - Dairy'!$D$101</f>
        <v>Anaerobic lagoon</v>
      </c>
      <c r="F207" s="55" cm="1">
        <f t="array" ref="F207">MMS_Dairy_Methane_Equations.VEERG_4_3_1_1__2_MethaneFromManureProduction(D$103,F144,$E$195,$G$188,$G$189)</f>
        <v>2.7809548926304904E-2</v>
      </c>
      <c r="G207" s="55" cm="1">
        <f t="array" ref="G207">MMS_Dairy_Methane_Equations.VEERG_4_3_1_1__2_MethaneFromManureProduction(E$103,G144,$E$195,$G$188,$G$189)</f>
        <v>2.1798378064209416E-2</v>
      </c>
      <c r="H207" s="55" cm="1">
        <f t="array" ref="H207">MMS_Dairy_Methane_Equations.VEERG_4_3_1_1__2_MethaneFromManureProduction(F$103,H144,$E$195,$G$188,$G$189)</f>
        <v>1.1821028474921448E-2</v>
      </c>
      <c r="I207" s="55" cm="1">
        <f t="array" ref="I207">MMS_Dairy_Methane_Equations.VEERG_4_3_1_1__2_MethaneFromManureProduction(G$103,I144,$E$195,$G$188,$G$189)</f>
        <v>2.6523505465218911E-2</v>
      </c>
      <c r="J207" s="55" cm="1">
        <f t="array" ref="J207">MMS_Dairy_Methane_Equations.VEERG_4_3_1_1__2_MethaneFromManureProduction(H$103,J144,$E$195,$G$188,$G$189)</f>
        <v>1.5908623810874673E-2</v>
      </c>
      <c r="K207" s="2" t="str">
        <f t="shared" si="3"/>
        <v>kg CH4/head/day</v>
      </c>
      <c r="O207" s="139" t="str">
        <f>'Input - Dairy'!$D$55</f>
        <v>Feed pad</v>
      </c>
      <c r="P207" s="139" t="str">
        <f>'Input - Dairy'!$D$101</f>
        <v>Anaerobic lagoon</v>
      </c>
      <c r="Q207" s="55" cm="1">
        <f t="array" ref="Q207">MMS_Dairy_Methane_Equations.VEERG_4_3_1_1__2_MethaneFromManureProduction(O$103,Q144,$E$195,$G$188,$G$189)</f>
        <v>2.7809548926304904E-2</v>
      </c>
      <c r="R207" s="55" cm="1">
        <f t="array" ref="R207">MMS_Dairy_Methane_Equations.VEERG_4_3_1_1__2_MethaneFromManureProduction(P$103,R144,$E$195,$G$188,$G$189)</f>
        <v>2.1798378064209416E-2</v>
      </c>
      <c r="S207" s="55" cm="1">
        <f t="array" ref="S207">MMS_Dairy_Methane_Equations.VEERG_4_3_1_1__2_MethaneFromManureProduction(Q$103,S144,$E$195,$G$188,$G$189)</f>
        <v>1.1821028474921448E-2</v>
      </c>
      <c r="T207" s="55" cm="1">
        <f t="array" ref="T207">MMS_Dairy_Methane_Equations.VEERG_4_3_1_1__2_MethaneFromManureProduction(R$103,T144,$E$195,$G$188,$G$189)</f>
        <v>2.6523505465218911E-2</v>
      </c>
      <c r="U207" s="55" cm="1">
        <f t="array" ref="U207">MMS_Dairy_Methane_Equations.VEERG_4_3_1_1__2_MethaneFromManureProduction(S$103,U144,$E$195,$G$188,$G$189)</f>
        <v>1.5908623810874673E-2</v>
      </c>
      <c r="V207" s="2" t="str">
        <f t="shared" si="4"/>
        <v>kg CH4/head/day</v>
      </c>
    </row>
    <row r="208" spans="4:22" ht="20.100000000000001" customHeight="1" x14ac:dyDescent="0.25">
      <c r="D208" s="139" t="str">
        <f>'Input - Dairy'!$D$55</f>
        <v>Feed pad</v>
      </c>
      <c r="E208" s="139" t="str">
        <f>'Input - Dairy'!$D$106</f>
        <v>Sump and dispersal system</v>
      </c>
      <c r="F208" s="55" cm="1">
        <f t="array" ref="F208">MMS_Dairy_Methane_Equations.VEERG_4_3_1_1__2_MethaneFromManureProduction(D$103,F145,$E$196,$G$188,$G$189)</f>
        <v>1.4636604698055217E-4</v>
      </c>
      <c r="G208" s="55" cm="1">
        <f t="array" ref="G208">MMS_Dairy_Methane_Equations.VEERG_4_3_1_1__2_MethaneFromManureProduction(E$103,G145,$E$196,$G$188,$G$189)</f>
        <v>1.1472830560110218E-4</v>
      </c>
      <c r="H208" s="55" cm="1">
        <f t="array" ref="H208">MMS_Dairy_Methane_Equations.VEERG_4_3_1_1__2_MethaneFromManureProduction(F$103,H145,$E$196,$G$188,$G$189)</f>
        <v>6.2215939341691832E-5</v>
      </c>
      <c r="I208" s="55" cm="1">
        <f t="array" ref="I208">MMS_Dairy_Methane_Equations.VEERG_4_3_1_1__2_MethaneFromManureProduction(G$103,I145,$E$196,$G$188,$G$189)</f>
        <v>1.3959739718536268E-4</v>
      </c>
      <c r="J208" s="55" cm="1">
        <f t="array" ref="J208">MMS_Dairy_Methane_Equations.VEERG_4_3_1_1__2_MethaneFromManureProduction(H$103,J145,$E$196,$G$188,$G$189)</f>
        <v>8.3729599004603552E-5</v>
      </c>
      <c r="K208" s="2" t="str">
        <f t="shared" si="3"/>
        <v>kg CH4/head/day</v>
      </c>
      <c r="O208" s="139" t="str">
        <f>'Input - Dairy'!$D$55</f>
        <v>Feed pad</v>
      </c>
      <c r="P208" s="139" t="str">
        <f>'Input - Dairy'!$D$106</f>
        <v>Sump and dispersal system</v>
      </c>
      <c r="Q208" s="55" cm="1">
        <f t="array" ref="Q208">MMS_Dairy_Methane_Equations.VEERG_4_3_1_1__2_MethaneFromManureProduction(O$103,Q145,$E$196,$G$188,$G$189)</f>
        <v>1.4636604698055217E-4</v>
      </c>
      <c r="R208" s="55" cm="1">
        <f t="array" ref="R208">MMS_Dairy_Methane_Equations.VEERG_4_3_1_1__2_MethaneFromManureProduction(P$103,R145,$E$196,$G$188,$G$189)</f>
        <v>1.1472830560110218E-4</v>
      </c>
      <c r="S208" s="55" cm="1">
        <f t="array" ref="S208">MMS_Dairy_Methane_Equations.VEERG_4_3_1_1__2_MethaneFromManureProduction(Q$103,S145,$E$196,$G$188,$G$189)</f>
        <v>6.2215939341691832E-5</v>
      </c>
      <c r="T208" s="55" cm="1">
        <f t="array" ref="T208">MMS_Dairy_Methane_Equations.VEERG_4_3_1_1__2_MethaneFromManureProduction(R$103,T145,$E$196,$G$188,$G$189)</f>
        <v>1.3959739718536268E-4</v>
      </c>
      <c r="U208" s="55" cm="1">
        <f t="array" ref="U208">MMS_Dairy_Methane_Equations.VEERG_4_3_1_1__2_MethaneFromManureProduction(S$103,U145,$E$196,$G$188,$G$189)</f>
        <v>8.3729599004603552E-5</v>
      </c>
      <c r="V208" s="2" t="str">
        <f t="shared" si="4"/>
        <v>kg CH4/head/day</v>
      </c>
    </row>
    <row r="209" spans="3:23" ht="20.100000000000001" customHeight="1" x14ac:dyDescent="0.25">
      <c r="D209" s="139" t="str">
        <f>'Input - Dairy'!$D$55</f>
        <v>Feed pad</v>
      </c>
      <c r="E209" s="139" t="str">
        <f>'Input - Dairy'!$D$111</f>
        <v>Drains to paddock</v>
      </c>
      <c r="F209" s="55" cm="1">
        <f t="array" ref="F209">MMS_Dairy_Methane_Equations.VEERG_4_3_1_1__2_MethaneFromManureProduction(D$103,F146,$E$197,$G$188,$G$189)</f>
        <v>5.2691776912998757E-3</v>
      </c>
      <c r="G209" s="55" cm="1">
        <f t="array" ref="G209">MMS_Dairy_Methane_Equations.VEERG_4_3_1_1__2_MethaneFromManureProduction(E$103,G146,$E$197,$G$188,$G$189)</f>
        <v>4.1302190016396789E-3</v>
      </c>
      <c r="H209" s="55" cm="1">
        <f t="array" ref="H209">MMS_Dairy_Methane_Equations.VEERG_4_3_1_1__2_MethaneFromManureProduction(F$103,H146,$E$197,$G$188,$G$189)</f>
        <v>2.2397738163009058E-3</v>
      </c>
      <c r="I209" s="55" cm="1">
        <f t="array" ref="I209">MMS_Dairy_Methane_Equations.VEERG_4_3_1_1__2_MethaneFromManureProduction(G$103,I146,$E$197,$G$188,$G$189)</f>
        <v>5.0255062986730567E-3</v>
      </c>
      <c r="J209" s="55" cm="1">
        <f t="array" ref="J209">MMS_Dairy_Methane_Equations.VEERG_4_3_1_1__2_MethaneFromManureProduction(H$103,J146,$E$197,$G$188,$G$189)</f>
        <v>3.0142655641657275E-3</v>
      </c>
      <c r="K209" s="2" t="str">
        <f t="shared" si="3"/>
        <v>kg CH4/head/day</v>
      </c>
      <c r="O209" s="139" t="str">
        <f>'Input - Dairy'!$D$55</f>
        <v>Feed pad</v>
      </c>
      <c r="P209" s="139" t="str">
        <f>'Input - Dairy'!$D$111</f>
        <v>Drains to paddock</v>
      </c>
      <c r="Q209" s="55" cm="1">
        <f t="array" ref="Q209">MMS_Dairy_Methane_Equations.VEERG_4_3_1_1__2_MethaneFromManureProduction(O$103,Q146,$E$197,$G$188,$G$189)</f>
        <v>5.2691776912998757E-3</v>
      </c>
      <c r="R209" s="55" cm="1">
        <f t="array" ref="R209">MMS_Dairy_Methane_Equations.VEERG_4_3_1_1__2_MethaneFromManureProduction(P$103,R146,$E$197,$G$188,$G$189)</f>
        <v>4.1302190016396789E-3</v>
      </c>
      <c r="S209" s="55" cm="1">
        <f t="array" ref="S209">MMS_Dairy_Methane_Equations.VEERG_4_3_1_1__2_MethaneFromManureProduction(Q$103,S146,$E$197,$G$188,$G$189)</f>
        <v>2.2397738163009058E-3</v>
      </c>
      <c r="T209" s="55" cm="1">
        <f t="array" ref="T209">MMS_Dairy_Methane_Equations.VEERG_4_3_1_1__2_MethaneFromManureProduction(R$103,T146,$E$197,$G$188,$G$189)</f>
        <v>5.0255062986730567E-3</v>
      </c>
      <c r="U209" s="55" cm="1">
        <f t="array" ref="U209">MMS_Dairy_Methane_Equations.VEERG_4_3_1_1__2_MethaneFromManureProduction(S$103,U146,$E$197,$G$188,$G$189)</f>
        <v>3.0142655641657275E-3</v>
      </c>
      <c r="V209" s="2" t="str">
        <f t="shared" si="4"/>
        <v>kg CH4/head/day</v>
      </c>
    </row>
    <row r="210" spans="3:23" ht="20.100000000000001" customHeight="1" x14ac:dyDescent="0.25">
      <c r="D210" s="139" t="str">
        <f>'Input - Dairy'!$D$55</f>
        <v>Feed pad</v>
      </c>
      <c r="E210" s="139" t="str">
        <f>'Input - Dairy'!$D$116</f>
        <v>Solid storage</v>
      </c>
      <c r="F210" s="55" cm="1">
        <f t="array" ref="F210">MMS_Dairy_Methane_Equations.VEERG_4_3_1_1__2_MethaneFromManureProduction(D$103,F173,$E$198,$G$188,$G$189)</f>
        <v>1.0245623288638649E-3</v>
      </c>
      <c r="G210" s="55" cm="1">
        <f t="array" ref="G210">MMS_Dairy_Methane_Equations.VEERG_4_3_1_1__2_MethaneFromManureProduction(E$103,G173,$E$198,$G$188,$G$189)</f>
        <v>8.0309813920771526E-4</v>
      </c>
      <c r="H210" s="55" cm="1">
        <f t="array" ref="H210">MMS_Dairy_Methane_Equations.VEERG_4_3_1_1__2_MethaneFromManureProduction(F$103,H173,$E$198,$G$188,$G$189)</f>
        <v>4.3551157539184287E-4</v>
      </c>
      <c r="I210" s="55" cm="1">
        <f t="array" ref="I210">MMS_Dairy_Methane_Equations.VEERG_4_3_1_1__2_MethaneFromManureProduction(G$103,I173,$E$198,$G$188,$G$189)</f>
        <v>9.7718178029753897E-4</v>
      </c>
      <c r="J210" s="55" cm="1">
        <f t="array" ref="J210">MMS_Dairy_Methane_Equations.VEERG_4_3_1_1__2_MethaneFromManureProduction(H$103,J173,$E$198,$G$188,$G$189)</f>
        <v>5.8610719303222485E-4</v>
      </c>
      <c r="K210" s="2" t="str">
        <f t="shared" si="3"/>
        <v>kg CH4/head/day</v>
      </c>
      <c r="O210" s="139" t="str">
        <f>'Input - Dairy'!$D$55</f>
        <v>Feed pad</v>
      </c>
      <c r="P210" s="139" t="str">
        <f>'Input - Dairy'!$D$116</f>
        <v>Solid storage</v>
      </c>
      <c r="Q210" s="55" cm="1">
        <f t="array" ref="Q210">MMS_Dairy_Methane_Equations.VEERG_4_3_1_1__2_MethaneFromManureProduction(O$103,Q173,$E$198,$G$188,$G$189)</f>
        <v>1.0245623288638649E-3</v>
      </c>
      <c r="R210" s="55" cm="1">
        <f t="array" ref="R210">MMS_Dairy_Methane_Equations.VEERG_4_3_1_1__2_MethaneFromManureProduction(P$103,R173,$E$198,$G$188,$G$189)</f>
        <v>8.0309813920771526E-4</v>
      </c>
      <c r="S210" s="55" cm="1">
        <f t="array" ref="S210">MMS_Dairy_Methane_Equations.VEERG_4_3_1_1__2_MethaneFromManureProduction(Q$103,S173,$E$198,$G$188,$G$189)</f>
        <v>4.3551157539184287E-4</v>
      </c>
      <c r="T210" s="55" cm="1">
        <f t="array" ref="T210">MMS_Dairy_Methane_Equations.VEERG_4_3_1_1__2_MethaneFromManureProduction(R$103,T173,$E$198,$G$188,$G$189)</f>
        <v>9.7718178029753897E-4</v>
      </c>
      <c r="U210" s="55" cm="1">
        <f t="array" ref="U210">MMS_Dairy_Methane_Equations.VEERG_4_3_1_1__2_MethaneFromManureProduction(S$103,U173,$E$198,$G$188,$G$189)</f>
        <v>5.8610719303222485E-4</v>
      </c>
      <c r="V210" s="2" t="str">
        <f t="shared" si="4"/>
        <v>kg CH4/head/day</v>
      </c>
    </row>
    <row r="211" spans="3:23" ht="20.100000000000001" customHeight="1" x14ac:dyDescent="0.25"/>
    <row r="212" spans="3:23" ht="20.100000000000001" customHeight="1" x14ac:dyDescent="0.25"/>
    <row r="213" spans="3:23" ht="20.100000000000001" customHeight="1" x14ac:dyDescent="0.25">
      <c r="C213" s="48"/>
      <c r="D213" s="48"/>
      <c r="E213" s="48"/>
      <c r="F213" s="48"/>
      <c r="G213" s="48"/>
      <c r="H213" s="48"/>
      <c r="I213" s="48"/>
      <c r="J213" s="48"/>
      <c r="K213" s="48"/>
      <c r="L213" s="48"/>
      <c r="N213" s="48"/>
      <c r="O213" s="48"/>
      <c r="P213" s="48"/>
      <c r="Q213" s="48"/>
      <c r="R213" s="48"/>
      <c r="S213" s="48"/>
      <c r="T213" s="48"/>
      <c r="U213" s="48"/>
      <c r="V213" s="48"/>
      <c r="W213" s="48"/>
    </row>
    <row r="214" spans="3:23" ht="20.100000000000001" customHeight="1" x14ac:dyDescent="0.25">
      <c r="D214" s="6" t="str" cm="1">
        <f t="array" ref="D214">MMS_Dairy_Methane_Equations.VEERG_4_3_1_1__1_TotalAnnualMethaneFromManureManagement_Title()</f>
        <v>Total annual methane production from manure management</v>
      </c>
    </row>
    <row r="215" spans="3:23" ht="20.100000000000001" customHeight="1" x14ac:dyDescent="0.25">
      <c r="D215" s="5" t="str" cm="1">
        <f t="array" ref="D215">MMS_Dairy_Methane_Equations.VEERG_4_3_1_1__1_TotalAnnualMethaneFromManureManagement_Source()</f>
        <v>VEERG 2026: 4.3.1.1, Equation (1)</v>
      </c>
    </row>
    <row r="216" spans="3:23" ht="20.100000000000001" customHeight="1" x14ac:dyDescent="0.25">
      <c r="D216" s="58" t="str" cm="1">
        <f t="array" ref="D216">MMS_Dairy_Methane_Equations.VEERG_4_3_1_1__1_TotalAnnualMethaneFromManureManagement_Variation()</f>
        <v>VARIATION: Used separate variable for duration of stay on farm for pre-weaned heifer and bull calves.</v>
      </c>
    </row>
    <row r="217" spans="3:23" ht="20.100000000000001" customHeight="1" x14ac:dyDescent="0.25">
      <c r="D217" s="13" t="s">
        <v>28</v>
      </c>
      <c r="E217" s="13" t="str" cm="1">
        <f t="array" aca="1" ref="E217" ca="1">Common_InputFunctions.Utility_DisplayFunctionName($F$255)</f>
        <v>=MMS_Dairy_Methane_Equations.VEERG_4_3_1_1__1_TotalAnnualMethaneFromManureManagementVariation</v>
      </c>
    </row>
    <row r="218" spans="3:23" ht="20.100000000000001" customHeight="1" x14ac:dyDescent="0.25">
      <c r="D218" s="6"/>
    </row>
    <row r="219" spans="3:23" ht="20.100000000000001" customHeight="1" x14ac:dyDescent="0.25">
      <c r="D219" s="6"/>
    </row>
    <row r="220" spans="3:23" ht="20.100000000000001" customHeight="1" x14ac:dyDescent="0.25">
      <c r="D220" s="56" t="s">
        <v>31</v>
      </c>
      <c r="E220" s="1" t="str" cm="1">
        <f t="array" ref="E220">MMS_Dairy_Methane_Equations.VEERG_4_3_1_1__1_TotalAnnualMethaneFromManureManagement_Variable()</f>
        <v>E_CH4</v>
      </c>
    </row>
    <row r="221" spans="3:23" ht="20.100000000000001" customHeight="1" x14ac:dyDescent="0.25">
      <c r="D221" s="56" t="s">
        <v>21</v>
      </c>
      <c r="E221" s="57" t="str" cm="1">
        <f t="array" ref="E221">MMS_Dairy_Methane_Equations.VEERG_4_3_1_1__1_TotalAnnualMethaneFromManureManagement_Unit()</f>
        <v>t CH4</v>
      </c>
    </row>
    <row r="222" spans="3:23" ht="20.100000000000001" customHeight="1" x14ac:dyDescent="0.25"/>
    <row r="223" spans="3:23" ht="20.100000000000001" customHeight="1" x14ac:dyDescent="0.25">
      <c r="D223" s="60" t="str" cm="1">
        <f t="array" ref="D223:E230">MMS_Dairy_Methane_Equations.VEERG_4_3_1_1__1_TotalAnnualMethaneFromManureManagement_Arguments()</f>
        <v>N_j124</v>
      </c>
      <c r="E223" s="61" t="str">
        <v>number of dairy cattle in classes j=1,2,4</v>
      </c>
      <c r="F223" s="105"/>
      <c r="G223" s="62"/>
      <c r="H223" s="60" t="str">
        <f>"See " &amp; $D$232</f>
        <v>See Table_N_j</v>
      </c>
    </row>
    <row r="224" spans="3:23" ht="20.100000000000001" customHeight="1" x14ac:dyDescent="0.25">
      <c r="D224" s="60" t="str">
        <v>M_j124m</v>
      </c>
      <c r="E224" s="61" t="str">
        <v>methane production from manure of weaned dairy cattle in classes j=1,2,4 in MMS m (kg CH4/head/day)</v>
      </c>
      <c r="F224" s="105"/>
      <c r="G224" s="62"/>
      <c r="H224" s="60" t="str">
        <f>"See " &amp; $D$200</f>
        <v>See M1_M_j_m</v>
      </c>
    </row>
    <row r="225" spans="4:20" ht="20.100000000000001" customHeight="1" x14ac:dyDescent="0.25">
      <c r="D225" s="60" t="str">
        <v>D_j124</v>
      </c>
      <c r="E225" s="61" t="str">
        <v>duration of stay on farm for classes j=1,2,4 (days)</v>
      </c>
      <c r="F225" s="105"/>
      <c r="G225" s="62"/>
      <c r="H225" s="60" t="str">
        <f>"See " &amp; $D$237</f>
        <v>See M1_Table_D_j</v>
      </c>
    </row>
    <row r="226" spans="4:20" ht="20.100000000000001" customHeight="1" x14ac:dyDescent="0.25">
      <c r="D226" s="60" t="str">
        <v>N_j35</v>
      </c>
      <c r="E226" s="61" t="str">
        <v>number of dairy cattle in classes j=3,5</v>
      </c>
      <c r="F226" s="105"/>
      <c r="G226" s="62"/>
      <c r="H226" s="60" t="str">
        <f>"See " &amp; $D$232</f>
        <v>See Table_N_j</v>
      </c>
    </row>
    <row r="227" spans="4:20" ht="20.100000000000001" customHeight="1" x14ac:dyDescent="0.25">
      <c r="D227" s="60" t="str">
        <v>M_j35m</v>
      </c>
      <c r="E227" s="61" t="str">
        <v>methane production from manure of weaned dairy cattle in classes j=3,5 in MMS m (kg CH4/head/day)</v>
      </c>
      <c r="F227" s="105"/>
      <c r="G227" s="62"/>
      <c r="H227" s="60" t="str">
        <f>"See " &amp; $D$200</f>
        <v>See M1_M_j_m</v>
      </c>
    </row>
    <row r="228" spans="4:20" ht="20.100000000000001" customHeight="1" x14ac:dyDescent="0.25">
      <c r="D228" s="60" t="str">
        <v>D_j35</v>
      </c>
      <c r="E228" s="61" t="str">
        <v>duration of stay on farm for classes j=3,5 (days)</v>
      </c>
      <c r="F228" s="105"/>
      <c r="G228" s="62"/>
      <c r="H228" s="60" t="str">
        <f>"See " &amp; $D$237</f>
        <v>See M1_Table_D_j</v>
      </c>
    </row>
    <row r="229" spans="4:20" ht="20.100000000000001" customHeight="1" x14ac:dyDescent="0.25">
      <c r="D229" s="60" t="str">
        <v>MPW_manure_j35</v>
      </c>
      <c r="E229" s="61" t="str">
        <v>methane production from manure of pre-weaned heifer and bull calves (kg CH4/head/day)</v>
      </c>
      <c r="F229" s="105"/>
      <c r="G229" s="62"/>
      <c r="H229" s="60" t="str">
        <f>"See " &amp; $D$242</f>
        <v>See Table_MPW_manure_j-3-5</v>
      </c>
    </row>
    <row r="230" spans="4:20" ht="20.100000000000001" customHeight="1" x14ac:dyDescent="0.25">
      <c r="D230" s="60" t="str">
        <v>DPW_j35</v>
      </c>
      <c r="E230" s="61" t="str">
        <v>duration of stay on farm for pre-weaned heifer and bull calves (days)</v>
      </c>
      <c r="F230" s="105"/>
      <c r="G230" s="62"/>
      <c r="H230" s="60" t="str">
        <f>"See " &amp; $D$247</f>
        <v>See M1_Table_DPW_j</v>
      </c>
    </row>
    <row r="231" spans="4:20" ht="20.100000000000001" customHeight="1" x14ac:dyDescent="0.25"/>
    <row r="232" spans="4:20" ht="20.100000000000001" customHeight="1" x14ac:dyDescent="0.25">
      <c r="D232" s="104" t="s">
        <v>109</v>
      </c>
    </row>
    <row r="233" spans="4:20" ht="20.100000000000001" customHeight="1" x14ac:dyDescent="0.25">
      <c r="D233" s="103" t="s">
        <v>290</v>
      </c>
    </row>
    <row r="234" spans="4:20" ht="20.100000000000001" customHeight="1" x14ac:dyDescent="0.25">
      <c r="D234" s="54" t="s">
        <v>189</v>
      </c>
      <c r="E234" s="54" t="s">
        <v>206</v>
      </c>
      <c r="F234" s="54" t="s">
        <v>207</v>
      </c>
      <c r="G234" s="54" t="s">
        <v>208</v>
      </c>
      <c r="H234" s="54" t="s">
        <v>209</v>
      </c>
    </row>
    <row r="235" spans="4:20" ht="20.100000000000001" customHeight="1" x14ac:dyDescent="0.25">
      <c r="D235" s="107">
        <f>'Input - Dairy'!$E$10</f>
        <v>100</v>
      </c>
      <c r="E235" s="107">
        <f>'Input - Dairy'!$F$10</f>
        <v>100</v>
      </c>
      <c r="F235" s="107">
        <f>'Input - Dairy'!$G$10</f>
        <v>100</v>
      </c>
      <c r="G235" s="107">
        <f>'Input - Dairy'!$H$10</f>
        <v>100</v>
      </c>
      <c r="H235" s="107">
        <f>'Input - Dairy'!$I$10</f>
        <v>100</v>
      </c>
      <c r="I235" s="2" t="s">
        <v>110</v>
      </c>
    </row>
    <row r="236" spans="4:20" ht="20.100000000000001" customHeight="1" x14ac:dyDescent="0.25"/>
    <row r="237" spans="4:20" ht="20.100000000000001" customHeight="1" x14ac:dyDescent="0.25">
      <c r="D237" s="104" t="s">
        <v>291</v>
      </c>
      <c r="O237" s="104" t="s">
        <v>301</v>
      </c>
    </row>
    <row r="238" spans="4:20" ht="20.100000000000001" customHeight="1" x14ac:dyDescent="0.25">
      <c r="D238" s="103" t="s">
        <v>299</v>
      </c>
      <c r="O238" s="103" t="s">
        <v>302</v>
      </c>
    </row>
    <row r="239" spans="4:20" ht="20.100000000000001" customHeight="1" x14ac:dyDescent="0.25">
      <c r="D239" s="54" t="s">
        <v>189</v>
      </c>
      <c r="E239" s="54" t="s">
        <v>206</v>
      </c>
      <c r="F239" s="54" t="s">
        <v>207</v>
      </c>
      <c r="G239" s="54" t="s">
        <v>208</v>
      </c>
      <c r="H239" s="54" t="s">
        <v>209</v>
      </c>
      <c r="O239" s="54" t="s">
        <v>189</v>
      </c>
      <c r="P239" s="54" t="s">
        <v>206</v>
      </c>
      <c r="Q239" s="54" t="s">
        <v>207</v>
      </c>
      <c r="R239" s="54" t="s">
        <v>208</v>
      </c>
      <c r="S239" s="54" t="s">
        <v>209</v>
      </c>
    </row>
    <row r="240" spans="4:20" ht="20.100000000000001" customHeight="1" x14ac:dyDescent="0.25">
      <c r="D240" s="55">
        <f>'Input - Dairy'!$E$24</f>
        <v>365</v>
      </c>
      <c r="E240" s="55">
        <f>'Input - Dairy'!$F$24</f>
        <v>365</v>
      </c>
      <c r="F240" s="55">
        <f>'Input - Dairy'!$G$24</f>
        <v>281</v>
      </c>
      <c r="G240" s="55">
        <f>'Input - Dairy'!$H$24</f>
        <v>365</v>
      </c>
      <c r="H240" s="55">
        <f>'Input - Dairy'!$I$24</f>
        <v>281</v>
      </c>
      <c r="I240" s="2" t="s">
        <v>56</v>
      </c>
      <c r="O240" s="55">
        <f>'Input - Dairy'!$E$28</f>
        <v>365</v>
      </c>
      <c r="P240" s="55">
        <f>'Input - Dairy'!$F$28</f>
        <v>365</v>
      </c>
      <c r="Q240" s="55">
        <f>'Input - Dairy'!$G$28</f>
        <v>281</v>
      </c>
      <c r="R240" s="55">
        <f>'Input - Dairy'!$H$28</f>
        <v>365</v>
      </c>
      <c r="S240" s="55">
        <f>'Input - Dairy'!$I$28</f>
        <v>281</v>
      </c>
      <c r="T240" s="2" t="s">
        <v>56</v>
      </c>
    </row>
    <row r="241" spans="4:21" ht="20.100000000000001" customHeight="1" x14ac:dyDescent="0.25"/>
    <row r="242" spans="4:21" ht="20.100000000000001" customHeight="1" x14ac:dyDescent="0.25">
      <c r="D242" s="104" t="s">
        <v>293</v>
      </c>
    </row>
    <row r="243" spans="4:21" ht="20.100000000000001" customHeight="1" x14ac:dyDescent="0.25">
      <c r="D243" s="103" t="s">
        <v>294</v>
      </c>
    </row>
    <row r="244" spans="4:21" ht="20.100000000000001" customHeight="1" x14ac:dyDescent="0.25">
      <c r="D244" s="54" t="s">
        <v>189</v>
      </c>
      <c r="E244" s="54" t="s">
        <v>206</v>
      </c>
      <c r="F244" s="54" t="s">
        <v>207</v>
      </c>
      <c r="G244" s="54" t="s">
        <v>208</v>
      </c>
      <c r="H244" s="54" t="s">
        <v>209</v>
      </c>
    </row>
    <row r="245" spans="4:21" ht="20.100000000000001" customHeight="1" x14ac:dyDescent="0.25">
      <c r="D245" s="55">
        <v>0</v>
      </c>
      <c r="E245" s="55">
        <v>0</v>
      </c>
      <c r="F245" s="55">
        <f>'Constants - Dairy'!$E$63</f>
        <v>1.7600000000000001E-2</v>
      </c>
      <c r="G245" s="55">
        <v>0</v>
      </c>
      <c r="H245" s="55">
        <f>'Constants - Dairy'!$E$64</f>
        <v>2.0400000000000001E-2</v>
      </c>
      <c r="I245" s="2" t="s">
        <v>296</v>
      </c>
    </row>
    <row r="246" spans="4:21" ht="20.100000000000001" customHeight="1" x14ac:dyDescent="0.25"/>
    <row r="247" spans="4:21" ht="20.100000000000001" customHeight="1" x14ac:dyDescent="0.25">
      <c r="D247" s="104" t="s">
        <v>292</v>
      </c>
      <c r="O247" s="104" t="s">
        <v>292</v>
      </c>
    </row>
    <row r="248" spans="4:21" ht="20.100000000000001" customHeight="1" x14ac:dyDescent="0.25">
      <c r="D248" s="103" t="s">
        <v>300</v>
      </c>
      <c r="O248" s="103" t="s">
        <v>300</v>
      </c>
    </row>
    <row r="249" spans="4:21" ht="20.100000000000001" customHeight="1" x14ac:dyDescent="0.25">
      <c r="D249" s="54" t="s">
        <v>189</v>
      </c>
      <c r="E249" s="54" t="s">
        <v>206</v>
      </c>
      <c r="F249" s="54" t="s">
        <v>207</v>
      </c>
      <c r="G249" s="54" t="s">
        <v>208</v>
      </c>
      <c r="H249" s="54" t="s">
        <v>209</v>
      </c>
      <c r="O249" s="54" t="s">
        <v>189</v>
      </c>
      <c r="P249" s="54" t="s">
        <v>206</v>
      </c>
      <c r="Q249" s="54" t="s">
        <v>207</v>
      </c>
      <c r="R249" s="54" t="s">
        <v>208</v>
      </c>
      <c r="S249" s="54" t="s">
        <v>209</v>
      </c>
    </row>
    <row r="250" spans="4:21" ht="20.100000000000001" customHeight="1" x14ac:dyDescent="0.25">
      <c r="D250" s="55">
        <f>'Input - Dairy'!$E$25</f>
        <v>0</v>
      </c>
      <c r="E250" s="55">
        <f>'Input - Dairy'!$F$25</f>
        <v>0</v>
      </c>
      <c r="F250" s="55">
        <f>'Input - Dairy'!$G$25</f>
        <v>84</v>
      </c>
      <c r="G250" s="55">
        <f>'Input - Dairy'!$H$25</f>
        <v>0</v>
      </c>
      <c r="H250" s="55">
        <f>'Input - Dairy'!$I$25</f>
        <v>84</v>
      </c>
      <c r="I250" s="2" t="s">
        <v>56</v>
      </c>
      <c r="O250" s="55">
        <f>'Input - Dairy'!$E$29</f>
        <v>0</v>
      </c>
      <c r="P250" s="55">
        <f>'Input - Dairy'!$F$29</f>
        <v>0</v>
      </c>
      <c r="Q250" s="55">
        <f>'Input - Dairy'!$G$29</f>
        <v>84</v>
      </c>
      <c r="R250" s="55">
        <f>'Input - Dairy'!$H$29</f>
        <v>0</v>
      </c>
      <c r="S250" s="55">
        <f>'Input - Dairy'!$I$29</f>
        <v>84</v>
      </c>
      <c r="T250" s="2" t="s">
        <v>56</v>
      </c>
    </row>
    <row r="251" spans="4:21" ht="20.100000000000001" customHeight="1" x14ac:dyDescent="0.25"/>
    <row r="252" spans="4:21" ht="20.100000000000001" customHeight="1" x14ac:dyDescent="0.25">
      <c r="D252" s="104" t="s">
        <v>295</v>
      </c>
      <c r="O252" s="104" t="s">
        <v>295</v>
      </c>
    </row>
    <row r="253" spans="4:21" ht="20.100000000000001" customHeight="1" x14ac:dyDescent="0.25">
      <c r="D253" s="103" t="s">
        <v>307</v>
      </c>
      <c r="O253" s="103" t="s">
        <v>307</v>
      </c>
    </row>
    <row r="254" spans="4:21" ht="20.100000000000001" customHeight="1" x14ac:dyDescent="0.25">
      <c r="D254" s="54" t="s">
        <v>159</v>
      </c>
      <c r="E254" s="54" t="s">
        <v>69</v>
      </c>
      <c r="F254" s="54" t="s">
        <v>189</v>
      </c>
      <c r="G254" s="54" t="s">
        <v>206</v>
      </c>
      <c r="H254" s="54" t="s">
        <v>207</v>
      </c>
      <c r="I254" s="54" t="s">
        <v>208</v>
      </c>
      <c r="J254" s="54" t="s">
        <v>209</v>
      </c>
      <c r="O254" s="54" t="s">
        <v>159</v>
      </c>
      <c r="P254" s="54" t="s">
        <v>69</v>
      </c>
      <c r="Q254" s="54" t="s">
        <v>189</v>
      </c>
      <c r="R254" s="54" t="s">
        <v>206</v>
      </c>
      <c r="S254" s="54" t="s">
        <v>207</v>
      </c>
      <c r="T254" s="54" t="s">
        <v>208</v>
      </c>
      <c r="U254" s="54" t="s">
        <v>209</v>
      </c>
    </row>
    <row r="255" spans="4:21" ht="20.100000000000001" customHeight="1" x14ac:dyDescent="0.25">
      <c r="D255" s="139" t="str">
        <f>'Input - Dairy'!$D$54</f>
        <v>Milking shed</v>
      </c>
      <c r="E255" s="139" t="str">
        <f>'Input - Dairy'!$D$67</f>
        <v>Anaerobic lagoon</v>
      </c>
      <c r="F255" s="55" cm="1">
        <f t="array" ref="F255">MMS_Dairy_Methane_Equations.VEERG_4_3_1_1__1_TotalAnnualMethaneFromManureManagementVariation(D$235,F203,D$240,0,0,0,0,0)</f>
        <v>0.2509108740204814</v>
      </c>
      <c r="G255" s="55" cm="1">
        <f t="array" ref="G255">MMS_Dairy_Methane_Equations.VEERG_4_3_1_1__1_TotalAnnualMethaneFromManureManagementVariation(E$235,G203,E$240,0,0,0,0,0)</f>
        <v>0.1966752537703389</v>
      </c>
      <c r="H255" s="55" cm="1">
        <f t="array" ref="H255">MMS_Dairy_Methane_Equations.VEERG_4_3_1_1__1_TotalAnnualMethaneFromManureManagementVariation(0,0,0,F$235,H203,F$240,F$245,F$250)</f>
        <v>0.22994966071007236</v>
      </c>
      <c r="I255" s="55" cm="1">
        <f t="array" ref="I255">MMS_Dairy_Methane_Equations.VEERG_4_3_1_1__1_TotalAnnualMethaneFromManureManagementVariation(G$235,I203,G$240,0,0,0,0,0)</f>
        <v>0.23930758301764934</v>
      </c>
      <c r="J255" s="55" cm="1">
        <f t="array" ref="J255">MMS_Dairy_Methane_Equations.VEERG_4_3_1_1__1_TotalAnnualMethaneFromManureManagementVariation(0,0,0,H$235,J203,H$240,H$245,H$250)</f>
        <v>0.28186237348182841</v>
      </c>
      <c r="O255" s="139" t="str">
        <f>'Input - Dairy'!$D$54</f>
        <v>Milking shed</v>
      </c>
      <c r="P255" s="139" t="str">
        <f>'Input - Dairy'!$D$67</f>
        <v>Anaerobic lagoon</v>
      </c>
      <c r="Q255" s="55" cm="1">
        <f t="array" ref="Q255">MMS_Dairy_Methane_Equations.VEERG_4_3_1_1__1_TotalAnnualMethaneFromManureManagementVariation(D$235,Q203,O$240,0,0,0,0,0)</f>
        <v>0.2509108740204814</v>
      </c>
      <c r="R255" s="55" cm="1">
        <f t="array" ref="R255">MMS_Dairy_Methane_Equations.VEERG_4_3_1_1__1_TotalAnnualMethaneFromManureManagementVariation(D$235,R203,P$240,0,0,0,0,0)</f>
        <v>0.1966752537703389</v>
      </c>
      <c r="S255" s="55" cm="1">
        <f t="array" ref="S255">MMS_Dairy_Methane_Equations.VEERG_4_3_1_1__1_TotalAnnualMethaneFromManureManagementVariation(0,0,0,F$235,S203,Q$240,F$245,Q$250)</f>
        <v>0.22994966071007236</v>
      </c>
      <c r="T255" s="55" cm="1">
        <f t="array" ref="T255">MMS_Dairy_Methane_Equations.VEERG_4_3_1_1__1_TotalAnnualMethaneFromManureManagementVariation(F$235,T203,R$240,0,0,0,0,0)</f>
        <v>0.23930758301764934</v>
      </c>
      <c r="U255" s="55" cm="1">
        <f t="array" ref="U255">MMS_Dairy_Methane_Equations.VEERG_4_3_1_1__1_TotalAnnualMethaneFromManureManagementVariation(0,0,0,H$235,U203,S$240,H$245,S$250)</f>
        <v>0.28186237348182841</v>
      </c>
    </row>
    <row r="256" spans="4:21" ht="20.100000000000001" customHeight="1" x14ac:dyDescent="0.25">
      <c r="D256" s="139" t="str">
        <f>'Input - Dairy'!$D$54</f>
        <v>Milking shed</v>
      </c>
      <c r="E256" s="139" t="str">
        <f>'Input - Dairy'!$D$72</f>
        <v>Sump and dispersal system</v>
      </c>
      <c r="F256" s="55" cm="1">
        <f t="array" ref="F256">MMS_Dairy_Methane_Equations.VEERG_4_3_1_1__1_TotalAnnualMethaneFromManureManagementVariation(D$235,F204,D$240,0,0,0,0,0)</f>
        <v>1.6507294343452721E-3</v>
      </c>
      <c r="G256" s="55" cm="1">
        <f t="array" ref="G256">MMS_Dairy_Methane_Equations.VEERG_4_3_1_1__1_TotalAnnualMethaneFromManureManagementVariation(E$235,G204,E$240,0,0,0,0,0)</f>
        <v>1.293916143225914E-3</v>
      </c>
      <c r="H256" s="55" cm="1">
        <f t="array" ref="H256">MMS_Dairy_Methane_Equations.VEERG_4_3_1_1__1_TotalAnnualMethaneFromManureManagementVariation(0,0,0,F$235,H204,F$240,F$245,F$250)</f>
        <v>0.14838019513625048</v>
      </c>
      <c r="I256" s="55" cm="1">
        <f t="array" ref="I256">MMS_Dairy_Methane_Equations.VEERG_4_3_1_1__1_TotalAnnualMethaneFromManureManagementVariation(G$235,I204,G$240,0,0,0,0,0)</f>
        <v>1.5743919935371669E-3</v>
      </c>
      <c r="J256" s="55" cm="1">
        <f t="array" ref="J256">MMS_Dairy_Methane_Equations.VEERG_4_3_1_1__1_TotalAnnualMethaneFromManureManagementVariation(0,0,0,H$235,J204,H$240,H$245,H$250)</f>
        <v>0.17208698929922259</v>
      </c>
      <c r="O256" s="139" t="str">
        <f>'Input - Dairy'!$D$54</f>
        <v>Milking shed</v>
      </c>
      <c r="P256" s="139" t="str">
        <f>'Input - Dairy'!$D$72</f>
        <v>Sump and dispersal system</v>
      </c>
      <c r="Q256" s="55" cm="1">
        <f t="array" ref="Q256">MMS_Dairy_Methane_Equations.VEERG_4_3_1_1__1_TotalAnnualMethaneFromManureManagementVariation(D$235,Q204,O$240,0,0,0,0,0)</f>
        <v>1.6507294343452721E-3</v>
      </c>
      <c r="R256" s="55" cm="1">
        <f t="array" ref="R256">MMS_Dairy_Methane_Equations.VEERG_4_3_1_1__1_TotalAnnualMethaneFromManureManagementVariation(D$235,R204,P$240,0,0,0,0,0)</f>
        <v>1.293916143225914E-3</v>
      </c>
      <c r="S256" s="55" cm="1">
        <f t="array" ref="S256">MMS_Dairy_Methane_Equations.VEERG_4_3_1_1__1_TotalAnnualMethaneFromManureManagementVariation(0,0,0,F$235,S204,Q$240,F$245,Q$250)</f>
        <v>0.14838019513625048</v>
      </c>
      <c r="T256" s="55" cm="1">
        <f t="array" ref="T256">MMS_Dairy_Methane_Equations.VEERG_4_3_1_1__1_TotalAnnualMethaneFromManureManagementVariation(F$235,T204,R$240,0,0,0,0,0)</f>
        <v>1.5743919935371669E-3</v>
      </c>
      <c r="U256" s="55" cm="1">
        <f t="array" ref="U256">MMS_Dairy_Methane_Equations.VEERG_4_3_1_1__1_TotalAnnualMethaneFromManureManagementVariation(0,0,0,H$235,U204,S$240,H$245,S$250)</f>
        <v>0.17208698929922259</v>
      </c>
    </row>
    <row r="257" spans="4:21" ht="20.100000000000001" customHeight="1" x14ac:dyDescent="0.25">
      <c r="D257" s="139" t="str">
        <f>'Input - Dairy'!$D$54</f>
        <v>Milking shed</v>
      </c>
      <c r="E257" s="139" t="str">
        <f>'Input - Dairy'!$D$77</f>
        <v>Drains to paddock</v>
      </c>
      <c r="F257" s="55" cm="1">
        <f t="array" ref="F257">MMS_Dairy_Methane_Equations.VEERG_4_3_1_1__1_TotalAnnualMethaneFromManureManagementVariation(D$235,F205,D$240,0,0,0,0,0)</f>
        <v>5.9426259636429807E-2</v>
      </c>
      <c r="G257" s="55" cm="1">
        <f t="array" ref="G257">MMS_Dairy_Methane_Equations.VEERG_4_3_1_1__1_TotalAnnualMethaneFromManureManagementVariation(E$235,G205,E$240,0,0,0,0,0)</f>
        <v>4.6580981156132899E-2</v>
      </c>
      <c r="H257" s="55" cm="1">
        <f t="array" ref="H257">MMS_Dairy_Methane_Equations.VEERG_4_3_1_1__1_TotalAnnualMethaneFromManureManagementVariation(0,0,0,F$235,H205,F$240,F$245,F$250)</f>
        <v>0.16728702490501715</v>
      </c>
      <c r="I257" s="55" cm="1">
        <f t="array" ref="I257">MMS_Dairy_Methane_Equations.VEERG_4_3_1_1__1_TotalAnnualMethaneFromManureManagementVariation(G$235,I205,G$240,0,0,0,0,0)</f>
        <v>5.6678111767338002E-2</v>
      </c>
      <c r="J257" s="55" cm="1">
        <f t="array" ref="J257">MMS_Dairy_Methane_Equations.VEERG_4_3_1_1__1_TotalAnnualMethaneFromManureManagementVariation(0,0,0,H$235,J205,H$240,H$245,H$250)</f>
        <v>0.197531614772012</v>
      </c>
      <c r="O257" s="139" t="str">
        <f>'Input - Dairy'!$D$54</f>
        <v>Milking shed</v>
      </c>
      <c r="P257" s="139" t="str">
        <f>'Input - Dairy'!$D$77</f>
        <v>Drains to paddock</v>
      </c>
      <c r="Q257" s="55" cm="1">
        <f t="array" ref="Q257">MMS_Dairy_Methane_Equations.VEERG_4_3_1_1__1_TotalAnnualMethaneFromManureManagementVariation(D$235,Q205,O$240,0,0,0,0,0)</f>
        <v>5.9426259636429807E-2</v>
      </c>
      <c r="R257" s="55" cm="1">
        <f t="array" ref="R257">MMS_Dairy_Methane_Equations.VEERG_4_3_1_1__1_TotalAnnualMethaneFromManureManagementVariation(D$235,R205,P$240,0,0,0,0,0)</f>
        <v>4.6580981156132899E-2</v>
      </c>
      <c r="S257" s="55" cm="1">
        <f t="array" ref="S257">MMS_Dairy_Methane_Equations.VEERG_4_3_1_1__1_TotalAnnualMethaneFromManureManagementVariation(0,0,0,F$235,S205,Q$240,F$245,Q$250)</f>
        <v>0.16728702490501715</v>
      </c>
      <c r="T257" s="55" cm="1">
        <f t="array" ref="T257">MMS_Dairy_Methane_Equations.VEERG_4_3_1_1__1_TotalAnnualMethaneFromManureManagementVariation(F$235,T205,R$240,0,0,0,0,0)</f>
        <v>5.6678111767338002E-2</v>
      </c>
      <c r="U257" s="55" cm="1">
        <f t="array" ref="U257">MMS_Dairy_Methane_Equations.VEERG_4_3_1_1__1_TotalAnnualMethaneFromManureManagementVariation(0,0,0,H$235,U205,S$240,H$245,S$250)</f>
        <v>0.197531614772012</v>
      </c>
    </row>
    <row r="258" spans="4:21" ht="20.100000000000001" customHeight="1" x14ac:dyDescent="0.25">
      <c r="D258" s="139" t="str">
        <f>'Input - Dairy'!$D$54</f>
        <v>Milking shed</v>
      </c>
      <c r="E258" s="139" t="str">
        <f>'Input - Dairy'!$D$82</f>
        <v>Solid storage</v>
      </c>
      <c r="F258" s="55" cm="1">
        <f t="array" ref="F258">MMS_Dairy_Methane_Equations.VEERG_4_3_1_1__1_TotalAnnualMethaneFromManureManagementVariation(D$235,F206,D$240,0,0,0,0,0)</f>
        <v>4.5019893663961967E-2</v>
      </c>
      <c r="G258" s="55" cm="1">
        <f t="array" ref="G258">MMS_Dairy_Methane_Equations.VEERG_4_3_1_1__1_TotalAnnualMethaneFromManureManagementVariation(E$235,G206,E$240,0,0,0,0,0)</f>
        <v>3.5288622087979477E-2</v>
      </c>
      <c r="H258" s="55" cm="1">
        <f t="array" ref="H258">MMS_Dairy_Methane_Equations.VEERG_4_3_1_1__1_TotalAnnualMethaneFromManureManagementVariation(0,0,0,F$235,H206,F$240,F$245,F$250)</f>
        <v>0.16257259462501297</v>
      </c>
      <c r="I258" s="55" cm="1">
        <f t="array" ref="I258">MMS_Dairy_Methane_Equations.VEERG_4_3_1_1__1_TotalAnnualMethaneFromManureManagementVariation(G$235,I206,G$240,0,0,0,0,0)</f>
        <v>4.2937963460104554E-2</v>
      </c>
      <c r="J258" s="55" cm="1">
        <f t="array" ref="J258">MMS_Dairy_Methane_Equations.VEERG_4_3_1_1__1_TotalAnnualMethaneFromManureManagementVariation(0,0,0,H$235,J206,H$240,H$245,H$250)</f>
        <v>0.19118698088788791</v>
      </c>
      <c r="O258" s="139" t="str">
        <f>'Input - Dairy'!$D$54</f>
        <v>Milking shed</v>
      </c>
      <c r="P258" s="139" t="str">
        <f>'Input - Dairy'!$D$82</f>
        <v>Solid storage</v>
      </c>
      <c r="Q258" s="55" cm="1">
        <f t="array" ref="Q258">MMS_Dairy_Methane_Equations.VEERG_4_3_1_1__1_TotalAnnualMethaneFromManureManagementVariation(D$235,Q206,O$240,0,0,0,0,0)</f>
        <v>1.3205835474762173E-2</v>
      </c>
      <c r="R258" s="55" cm="1">
        <f t="array" ref="R258">MMS_Dairy_Methane_Equations.VEERG_4_3_1_1__1_TotalAnnualMethaneFromManureManagementVariation(D$235,R206,P$240,0,0,0,0,0)</f>
        <v>1.0351329145807312E-2</v>
      </c>
      <c r="S258" s="55" cm="1">
        <f t="array" ref="S258">MMS_Dairy_Methane_Equations.VEERG_4_3_1_1__1_TotalAnnualMethaneFromManureManagementVariation(0,0,0,F$235,S206,Q$240,F$245,Q$250)</f>
        <v>0.15216156109000381</v>
      </c>
      <c r="T258" s="55" cm="1">
        <f t="array" ref="T258">MMS_Dairy_Methane_Equations.VEERG_4_3_1_1__1_TotalAnnualMethaneFromManureManagementVariation(F$235,T206,R$240,0,0,0,0,0)</f>
        <v>1.259513594829733E-2</v>
      </c>
      <c r="U258" s="55" cm="1">
        <f t="array" ref="U258">MMS_Dairy_Methane_Equations.VEERG_4_3_1_1__1_TotalAnnualMethaneFromManureManagementVariation(0,0,0,H$235,U206,S$240,H$245,S$250)</f>
        <v>0.17717591439378047</v>
      </c>
    </row>
    <row r="259" spans="4:21" ht="20.100000000000001" customHeight="1" x14ac:dyDescent="0.25">
      <c r="D259" s="139" t="str">
        <f>'Input - Dairy'!$D$55</f>
        <v>Feed pad</v>
      </c>
      <c r="E259" s="139" t="str">
        <f>'Input - Dairy'!$D$101</f>
        <v>Anaerobic lagoon</v>
      </c>
      <c r="F259" s="55" cm="1">
        <f t="array" ref="F259">MMS_Dairy_Methane_Equations.VEERG_4_3_1_1__1_TotalAnnualMethaneFromManureManagementVariation(D$235,F207,D$240,0,0,0,0,0)</f>
        <v>1.0150485358101291</v>
      </c>
      <c r="G259" s="55" cm="1">
        <f t="array" ref="G259">MMS_Dairy_Methane_Equations.VEERG_4_3_1_1__1_TotalAnnualMethaneFromManureManagementVariation(E$235,G207,E$240,0,0,0,0,0)</f>
        <v>0.79564079934364373</v>
      </c>
      <c r="H259" s="55" cm="1">
        <f t="array" ref="H259">MMS_Dairy_Methane_Equations.VEERG_4_3_1_1__1_TotalAnnualMethaneFromManureManagementVariation(0,0,0,F$235,H207,F$240,F$245,F$250)</f>
        <v>0.48001090014529268</v>
      </c>
      <c r="I259" s="55" cm="1">
        <f t="array" ref="I259">MMS_Dairy_Methane_Equations.VEERG_4_3_1_1__1_TotalAnnualMethaneFromManureManagementVariation(G$235,I207,G$240,0,0,0,0,0)</f>
        <v>0.96810794948049028</v>
      </c>
      <c r="J259" s="55" cm="1">
        <f t="array" ref="J259">MMS_Dairy_Methane_Equations.VEERG_4_3_1_1__1_TotalAnnualMethaneFromManureManagementVariation(0,0,0,H$235,J207,H$240,H$245,H$250)</f>
        <v>0.6183923290855784</v>
      </c>
      <c r="O259" s="139" t="str">
        <f>'Input - Dairy'!$D$55</f>
        <v>Feed pad</v>
      </c>
      <c r="P259" s="139" t="str">
        <f>'Input - Dairy'!$D$101</f>
        <v>Anaerobic lagoon</v>
      </c>
      <c r="Q259" s="55" cm="1">
        <f t="array" ref="Q259">MMS_Dairy_Methane_Equations.VEERG_4_3_1_1__1_TotalAnnualMethaneFromManureManagementVariation(D$235,Q207,O$240,0,0,0,0,0)</f>
        <v>1.0150485358101291</v>
      </c>
      <c r="R259" s="55" cm="1">
        <f t="array" ref="R259">MMS_Dairy_Methane_Equations.VEERG_4_3_1_1__1_TotalAnnualMethaneFromManureManagementVariation(D$235,R207,P$240,0,0,0,0,0)</f>
        <v>0.79564079934364373</v>
      </c>
      <c r="S259" s="55" cm="1">
        <f t="array" ref="S259">MMS_Dairy_Methane_Equations.VEERG_4_3_1_1__1_TotalAnnualMethaneFromManureManagementVariation(0,0,0,F$235,S207,Q$240,F$245,Q$250)</f>
        <v>0.48001090014529268</v>
      </c>
      <c r="T259" s="55" cm="1">
        <f t="array" ref="T259">MMS_Dairy_Methane_Equations.VEERG_4_3_1_1__1_TotalAnnualMethaneFromManureManagementVariation(F$235,T207,R$240,0,0,0,0,0)</f>
        <v>0.96810794948049028</v>
      </c>
      <c r="U259" s="55" cm="1">
        <f t="array" ref="U259">MMS_Dairy_Methane_Equations.VEERG_4_3_1_1__1_TotalAnnualMethaneFromManureManagementVariation(0,0,0,H$235,U207,S$240,H$245,S$250)</f>
        <v>0.6183923290855784</v>
      </c>
    </row>
    <row r="260" spans="4:21" ht="20.100000000000001" customHeight="1" x14ac:dyDescent="0.25">
      <c r="D260" s="139" t="str">
        <f>'Input - Dairy'!$D$55</f>
        <v>Feed pad</v>
      </c>
      <c r="E260" s="139" t="str">
        <f>'Input - Dairy'!$D$106</f>
        <v>Sump and dispersal system</v>
      </c>
      <c r="F260" s="55" cm="1">
        <f t="array" ref="F260">MMS_Dairy_Methane_Equations.VEERG_4_3_1_1__1_TotalAnnualMethaneFromManureManagementVariation(D$235,F208,D$240,0,0,0,0,0)</f>
        <v>5.3423607147901541E-3</v>
      </c>
      <c r="G260" s="55" cm="1">
        <f t="array" ref="G260">MMS_Dairy_Methane_Equations.VEERG_4_3_1_1__1_TotalAnnualMethaneFromManureManagementVariation(E$235,G208,E$240,0,0,0,0,0)</f>
        <v>4.1875831544402296E-3</v>
      </c>
      <c r="H260" s="55" cm="1">
        <f t="array" ref="H260">MMS_Dairy_Methane_Equations.VEERG_4_3_1_1__1_TotalAnnualMethaneFromManureManagementVariation(0,0,0,F$235,H208,F$240,F$245,F$250)</f>
        <v>0.14958826789550153</v>
      </c>
      <c r="I260" s="55" cm="1">
        <f t="array" ref="I260">MMS_Dairy_Methane_Equations.VEERG_4_3_1_1__1_TotalAnnualMethaneFromManureManagementVariation(G$235,I208,G$240,0,0,0,0,0)</f>
        <v>5.095304997265738E-3</v>
      </c>
      <c r="J260" s="55" cm="1">
        <f t="array" ref="J260">MMS_Dairy_Methane_Equations.VEERG_4_3_1_1__1_TotalAnnualMethaneFromManureManagementVariation(0,0,0,H$235,J208,H$240,H$245,H$250)</f>
        <v>0.17371280173202935</v>
      </c>
      <c r="O260" s="139" t="str">
        <f>'Input - Dairy'!$D$55</f>
        <v>Feed pad</v>
      </c>
      <c r="P260" s="139" t="str">
        <f>'Input - Dairy'!$D$106</f>
        <v>Sump and dispersal system</v>
      </c>
      <c r="Q260" s="55" cm="1">
        <f t="array" ref="Q260">MMS_Dairy_Methane_Equations.VEERG_4_3_1_1__1_TotalAnnualMethaneFromManureManagementVariation(D$235,Q208,O$240,0,0,0,0,0)</f>
        <v>5.3423607147901541E-3</v>
      </c>
      <c r="R260" s="55" cm="1">
        <f t="array" ref="R260">MMS_Dairy_Methane_Equations.VEERG_4_3_1_1__1_TotalAnnualMethaneFromManureManagementVariation(D$235,R208,P$240,0,0,0,0,0)</f>
        <v>4.1875831544402296E-3</v>
      </c>
      <c r="S260" s="55" cm="1">
        <f t="array" ref="S260">MMS_Dairy_Methane_Equations.VEERG_4_3_1_1__1_TotalAnnualMethaneFromManureManagementVariation(0,0,0,F$235,S208,Q$240,F$245,Q$250)</f>
        <v>0.14958826789550153</v>
      </c>
      <c r="T260" s="55" cm="1">
        <f t="array" ref="T260">MMS_Dairy_Methane_Equations.VEERG_4_3_1_1__1_TotalAnnualMethaneFromManureManagementVariation(F$235,T208,R$240,0,0,0,0,0)</f>
        <v>5.095304997265738E-3</v>
      </c>
      <c r="U260" s="55" cm="1">
        <f t="array" ref="U260">MMS_Dairy_Methane_Equations.VEERG_4_3_1_1__1_TotalAnnualMethaneFromManureManagementVariation(0,0,0,H$235,U208,S$240,H$245,S$250)</f>
        <v>0.17371280173202935</v>
      </c>
    </row>
    <row r="261" spans="4:21" ht="20.100000000000001" customHeight="1" x14ac:dyDescent="0.25">
      <c r="D261" s="139" t="str">
        <f>'Input - Dairy'!$D$55</f>
        <v>Feed pad</v>
      </c>
      <c r="E261" s="139" t="str">
        <f>'Input - Dairy'!$D$111</f>
        <v>Drains to paddock</v>
      </c>
      <c r="F261" s="55" cm="1">
        <f t="array" ref="F261">MMS_Dairy_Methane_Equations.VEERG_4_3_1_1__1_TotalAnnualMethaneFromManureManagementVariation(D$235,F209,D$240,0,0,0,0,0)</f>
        <v>0.19232498573244547</v>
      </c>
      <c r="G261" s="55" cm="1">
        <f t="array" ref="G261">MMS_Dairy_Methane_Equations.VEERG_4_3_1_1__1_TotalAnnualMethaneFromManureManagementVariation(E$235,G209,E$240,0,0,0,0,0)</f>
        <v>0.15075299355984828</v>
      </c>
      <c r="H261" s="55" cm="1">
        <f t="array" ref="H261">MMS_Dairy_Methane_Equations.VEERG_4_3_1_1__1_TotalAnnualMethaneFromManureManagementVariation(0,0,0,F$235,H209,F$240,F$245,F$250)</f>
        <v>0.21077764423805545</v>
      </c>
      <c r="I261" s="55" cm="1">
        <f t="array" ref="I261">MMS_Dairy_Methane_Equations.VEERG_4_3_1_1__1_TotalAnnualMethaneFromManureManagementVariation(G$235,I209,G$240,0,0,0,0,0)</f>
        <v>0.18343097990156659</v>
      </c>
      <c r="J261" s="55" cm="1">
        <f t="array" ref="J261">MMS_Dairy_Methane_Equations.VEERG_4_3_1_1__1_TotalAnnualMethaneFromManureManagementVariation(0,0,0,H$235,J209,H$240,H$245,H$250)</f>
        <v>0.25606086235305697</v>
      </c>
      <c r="O261" s="139" t="str">
        <f>'Input - Dairy'!$D$55</f>
        <v>Feed pad</v>
      </c>
      <c r="P261" s="139" t="str">
        <f>'Input - Dairy'!$D$111</f>
        <v>Drains to paddock</v>
      </c>
      <c r="Q261" s="55" cm="1">
        <f t="array" ref="Q261">MMS_Dairy_Methane_Equations.VEERG_4_3_1_1__1_TotalAnnualMethaneFromManureManagementVariation(D$235,Q209,O$240,0,0,0,0,0)</f>
        <v>0.19232498573244547</v>
      </c>
      <c r="R261" s="55" cm="1">
        <f t="array" ref="R261">MMS_Dairy_Methane_Equations.VEERG_4_3_1_1__1_TotalAnnualMethaneFromManureManagementVariation(D$235,R209,P$240,0,0,0,0,0)</f>
        <v>0.15075299355984828</v>
      </c>
      <c r="S261" s="55" cm="1">
        <f t="array" ref="S261">MMS_Dairy_Methane_Equations.VEERG_4_3_1_1__1_TotalAnnualMethaneFromManureManagementVariation(0,0,0,F$235,S209,Q$240,F$245,Q$250)</f>
        <v>0.21077764423805545</v>
      </c>
      <c r="T261" s="55" cm="1">
        <f t="array" ref="T261">MMS_Dairy_Methane_Equations.VEERG_4_3_1_1__1_TotalAnnualMethaneFromManureManagementVariation(F$235,T209,R$240,0,0,0,0,0)</f>
        <v>0.18343097990156659</v>
      </c>
      <c r="U261" s="55" cm="1">
        <f t="array" ref="U261">MMS_Dairy_Methane_Equations.VEERG_4_3_1_1__1_TotalAnnualMethaneFromManureManagementVariation(0,0,0,H$235,U209,S$240,H$245,S$250)</f>
        <v>0.25606086235305697</v>
      </c>
    </row>
    <row r="262" spans="4:21" ht="20.100000000000001" customHeight="1" x14ac:dyDescent="0.25">
      <c r="D262" s="139" t="str">
        <f>'Input - Dairy'!$D$55</f>
        <v>Feed pad</v>
      </c>
      <c r="E262" s="139" t="str">
        <f>'Input - Dairy'!$D$116</f>
        <v>Solid storage</v>
      </c>
      <c r="F262" s="55" cm="1">
        <f t="array" ref="F262">MMS_Dairy_Methane_Equations.VEERG_4_3_1_1__1_TotalAnnualMethaneFromManureManagementVariation(D$235,F210,D$240,0,0,0,0,0)</f>
        <v>3.7396525003531071E-2</v>
      </c>
      <c r="G262" s="55" cm="1">
        <f t="array" ref="G262">MMS_Dairy_Methane_Equations.VEERG_4_3_1_1__1_TotalAnnualMethaneFromManureManagementVariation(E$235,G210,E$240,0,0,0,0,0)</f>
        <v>2.9313082081081607E-2</v>
      </c>
      <c r="H262" s="55" cm="1">
        <f t="array" ref="H262">MMS_Dairy_Methane_Equations.VEERG_4_3_1_1__1_TotalAnnualMethaneFromManureManagementVariation(0,0,0,F$235,H210,F$240,F$245,F$250)</f>
        <v>0.16007787526851078</v>
      </c>
      <c r="I262" s="55" cm="1">
        <f t="array" ref="I262">MMS_Dairy_Methane_Equations.VEERG_4_3_1_1__1_TotalAnnualMethaneFromManureManagementVariation(G$235,I210,G$240,0,0,0,0,0)</f>
        <v>3.5667134980860167E-2</v>
      </c>
      <c r="J262" s="55" cm="1">
        <f t="array" ref="J262">MMS_Dairy_Methane_Equations.VEERG_4_3_1_1__1_TotalAnnualMethaneFromManureManagementVariation(0,0,0,H$235,J210,H$240,H$245,H$250)</f>
        <v>0.18782961212420554</v>
      </c>
      <c r="O262" s="139" t="str">
        <f>'Input - Dairy'!$D$55</f>
        <v>Feed pad</v>
      </c>
      <c r="P262" s="139" t="str">
        <f>'Input - Dairy'!$D$116</f>
        <v>Solid storage</v>
      </c>
      <c r="Q262" s="55" cm="1">
        <f t="array" ref="Q262">MMS_Dairy_Methane_Equations.VEERG_4_3_1_1__1_TotalAnnualMethaneFromManureManagementVariation(D$235,Q210,O$240,0,0,0,0,0)</f>
        <v>3.7396525003531071E-2</v>
      </c>
      <c r="R262" s="55" cm="1">
        <f t="array" ref="R262">MMS_Dairy_Methane_Equations.VEERG_4_3_1_1__1_TotalAnnualMethaneFromManureManagementVariation(D$235,R210,P$240,0,0,0,0,0)</f>
        <v>2.9313082081081607E-2</v>
      </c>
      <c r="S262" s="55" cm="1">
        <f t="array" ref="S262">MMS_Dairy_Methane_Equations.VEERG_4_3_1_1__1_TotalAnnualMethaneFromManureManagementVariation(0,0,0,F$235,S210,Q$240,F$245,Q$250)</f>
        <v>0.16007787526851078</v>
      </c>
      <c r="T262" s="55" cm="1">
        <f t="array" ref="T262">MMS_Dairy_Methane_Equations.VEERG_4_3_1_1__1_TotalAnnualMethaneFromManureManagementVariation(F$235,T210,R$240,0,0,0,0,0)</f>
        <v>3.5667134980860167E-2</v>
      </c>
      <c r="U262" s="55" cm="1">
        <f t="array" ref="U262">MMS_Dairy_Methane_Equations.VEERG_4_3_1_1__1_TotalAnnualMethaneFromManureManagementVariation(0,0,0,H$235,U210,S$240,H$245,S$250)</f>
        <v>0.18782961212420554</v>
      </c>
    </row>
    <row r="263" spans="4:21" ht="20.100000000000001" customHeight="1" x14ac:dyDescent="0.25"/>
    <row r="264" spans="4:21" ht="20.100000000000001" customHeight="1" x14ac:dyDescent="0.25">
      <c r="D264" s="108" t="s">
        <v>133</v>
      </c>
      <c r="E264" s="109">
        <f>SUM(F255:J262)</f>
        <v>8.1869605415711497</v>
      </c>
      <c r="F264" s="110" t="str">
        <f>$E$221</f>
        <v>t CH4</v>
      </c>
      <c r="O264" s="108" t="s">
        <v>133</v>
      </c>
      <c r="P264" s="109">
        <f>SUM(Q255:U262)</f>
        <v>8.0754442628988556</v>
      </c>
      <c r="Q264" s="110" t="str">
        <f>$E$221</f>
        <v>t CH4</v>
      </c>
    </row>
    <row r="265" spans="4:21" ht="20.100000000000001" customHeight="1" x14ac:dyDescent="0.25"/>
    <row r="266" spans="4:21" ht="20.100000000000001" customHeight="1" x14ac:dyDescent="0.25">
      <c r="D266" s="60" t="str" cm="1">
        <f t="array" ref="D266:E267">Common_Equations.Common_ConvertCH4ToCO2e_Arguments()</f>
        <v>ECH4</v>
      </c>
      <c r="E266" s="61" t="str">
        <v>Methane emissions (t CH4)</v>
      </c>
      <c r="F266" s="111"/>
      <c r="G266" s="55">
        <f>E264</f>
        <v>8.1869605415711497</v>
      </c>
      <c r="H266" s="2" t="s">
        <v>298</v>
      </c>
      <c r="O266" s="60" t="str" cm="1">
        <f t="array" ref="O266:P267">Common_Equations.Common_ConvertCH4ToCO2e_Arguments()</f>
        <v>ECH4</v>
      </c>
      <c r="P266" s="61" t="str">
        <v>Methane emissions (t CH4)</v>
      </c>
      <c r="Q266" s="111"/>
      <c r="R266" s="55">
        <f>P264</f>
        <v>8.0754442628988556</v>
      </c>
      <c r="S266" s="2" t="s">
        <v>298</v>
      </c>
    </row>
    <row r="267" spans="4:21" ht="20.100000000000001" customHeight="1" x14ac:dyDescent="0.25">
      <c r="D267" s="60" t="str">
        <v>GWPCH4</v>
      </c>
      <c r="E267" s="61" t="str">
        <v>Global warming potential for methane (t CO2-e / t CH4)</v>
      </c>
      <c r="F267" s="111"/>
      <c r="G267" s="55">
        <f>Common_InputFunctions.Utility_LookupValueInTableNumber("CH4",[2]!Table_GWPData[Gas],[2]!Table_GWPData[CO2-e factor])</f>
        <v>28</v>
      </c>
      <c r="O267" s="60" t="str">
        <v>GWPCH4</v>
      </c>
      <c r="P267" s="61" t="str">
        <v>Global warming potential for methane (t CO2-e / t CH4)</v>
      </c>
      <c r="Q267" s="111"/>
      <c r="R267" s="55">
        <f>Common_InputFunctions.Utility_LookupValueInTableNumber("CH4",[2]!Table_GWPData[Gas],[2]!Table_GWPData[CO2-e factor])</f>
        <v>28</v>
      </c>
    </row>
    <row r="268" spans="4:21" ht="20.100000000000001" customHeight="1" x14ac:dyDescent="0.25"/>
    <row r="269" spans="4:21" ht="20.100000000000001" customHeight="1" x14ac:dyDescent="0.25">
      <c r="D269" s="48" t="s">
        <v>134</v>
      </c>
      <c r="E269" s="48" cm="1">
        <f t="array" ref="E269">Common_Equations.Common_ConvertCH4ToCO2e(G266,G267)</f>
        <v>229.23489516399218</v>
      </c>
      <c r="F269" s="112" t="str" cm="1">
        <f t="array" ref="F269">Common_Equations.Common_ConvertN2OToCO2e_Unit()</f>
        <v>t CO2e</v>
      </c>
      <c r="O269" s="48" t="s">
        <v>134</v>
      </c>
      <c r="P269" s="48" cm="1">
        <f t="array" ref="P269">Common_Equations.Common_ConvertCH4ToCO2e(R266,R267)</f>
        <v>226.11243936116796</v>
      </c>
      <c r="Q269" s="112" t="str" cm="1">
        <f t="array" ref="Q269">Common_Equations.Common_ConvertN2OToCO2e_Unit()</f>
        <v>t CO2e</v>
      </c>
    </row>
    <row r="270" spans="4:21" ht="20.100000000000001" customHeight="1" x14ac:dyDescent="0.25"/>
    <row r="271" spans="4:21" ht="20.100000000000001" customHeight="1" x14ac:dyDescent="0.25"/>
  </sheetData>
  <dataValidations disablePrompts="1" count="1">
    <dataValidation operator="equal" allowBlank="1" showInputMessage="1" showErrorMessage="1" sqref="E116:G116 F132:F136 Q122:U126 D154:F154 P60:R60 E121:J121 F122:J126 E131:F131 Q132:Q136 P131:Q131 P121:U121 E141:J141 F142:J146 P141:U141 Q142:U146 E166:J166 F167:J167 E172:J172 F173:J173 Q173:U173 P166:U166 Q167:U167 P172:U172 E206 E203 E258 E255 P206 P203 P258 P255" xr:uid="{AF7BB680-B75F-4AE8-AA2D-EDF03FCB10D8}"/>
  </dataValidations>
  <pageMargins left="0.7" right="0.7" top="0.75" bottom="0.75" header="0.3" footer="0.3"/>
  <pageSetup paperSize="9" orientation="portrait" r:id="rId1"/>
  <ignoredErrors>
    <ignoredError sqref="H255 H256:H262 I255:I262 S255:S262"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zoomScaleNormal="100" workbookViewId="0">
      <selection activeCell="A11" sqref="A1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309</v>
      </c>
    </row>
    <row r="2" spans="1:21" s="9" customFormat="1" ht="20.100000000000001" customHeight="1" x14ac:dyDescent="0.25"/>
    <row r="3" spans="1:21" ht="20.100000000000001" customHeight="1" x14ac:dyDescent="0.25">
      <c r="A3" s="17" t="str">
        <f>HYPERLINK("#'Home'!A1", "Home")</f>
        <v>Home</v>
      </c>
      <c r="C3" s="4"/>
      <c r="D3" s="4" t="s">
        <v>123</v>
      </c>
      <c r="E3" s="4"/>
      <c r="F3" s="4"/>
      <c r="G3" s="4"/>
      <c r="H3" s="4"/>
      <c r="I3" s="4"/>
      <c r="J3" s="4"/>
      <c r="K3" s="4"/>
      <c r="M3" s="4"/>
      <c r="N3" s="4" t="s">
        <v>124</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MMS_Dairy_N2ODirect_Equations.VEERG_4_3_1_3__8_RelativeSize_Title()</f>
        <v>Relative size</v>
      </c>
    </row>
    <row r="6" spans="1:21" ht="20.100000000000001" customHeight="1" x14ac:dyDescent="0.25">
      <c r="A6" s="20" t="s">
        <v>3</v>
      </c>
      <c r="D6" s="5" t="str" cm="1">
        <f t="array" ref="D6">MMS_Dairy_N2ODirect_Equations.VEERG_4_3_1_3__8_RelativeSize_Source()</f>
        <v>VEERG 2026: 4.3.1.3, Equation (8)</v>
      </c>
    </row>
    <row r="7" spans="1:21" ht="20.100000000000001" customHeight="1" x14ac:dyDescent="0.25">
      <c r="A7" s="17" t="str">
        <f>HYPERLINK("#'Input - Site'!A1", "Site")</f>
        <v>Site</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Dairy'!A1", "Dairy")</f>
        <v>Dairy</v>
      </c>
    </row>
    <row r="9" spans="1:21" ht="20.100000000000001" customHeight="1" x14ac:dyDescent="0.25">
      <c r="A9" s="17"/>
    </row>
    <row r="10" spans="1:21" ht="20.100000000000001" customHeight="1" x14ac:dyDescent="0.25">
      <c r="A10" s="19" t="s">
        <v>78</v>
      </c>
      <c r="D10" s="56" t="s">
        <v>31</v>
      </c>
      <c r="E10" s="1" t="str" cm="1">
        <f t="array" ref="E10">MMS_Dairy_N2ODirect_Equations.VEERG_4_3_1_3__8_RelativeSize_Variable()</f>
        <v>Z_j</v>
      </c>
    </row>
    <row r="11" spans="1:21" ht="20.100000000000001" customHeight="1" x14ac:dyDescent="0.25">
      <c r="A11" s="17" t="str">
        <f>HYPERLINK("#'4.3.1.1-2 Methane'!A1", "4.3.1.1-2 Methane")</f>
        <v>4.3.1.1-2 Methane</v>
      </c>
      <c r="D11" s="56" t="s">
        <v>21</v>
      </c>
      <c r="E11" s="57" t="str" cm="1">
        <f t="array" ref="E11">MMS_Dairy_N2ODirect_Equations.VEERG_4_3_1_3__8_RelativeSize_Unit()</f>
        <v>ratio</v>
      </c>
    </row>
    <row r="12" spans="1:21" ht="20.100000000000001" customHeight="1" x14ac:dyDescent="0.25">
      <c r="A12" s="22" t="str">
        <f>HYPERLINK("#'4.3.1.3-4 Direct N20'!A1", "4.3.1.3-4 Direct N2O")</f>
        <v>4.3.1.3-4 Direct N2O</v>
      </c>
    </row>
    <row r="13" spans="1:21" ht="20.100000000000001" customHeight="1" x14ac:dyDescent="0.25">
      <c r="A13" s="17" t="str">
        <f>HYPERLINK("#'4.3.1.5 Atmos Deposition'!A1", "4.3.1.5 Atmospheric deposition")</f>
        <v>4.3.1.5 Atmospheric deposition</v>
      </c>
      <c r="D13" s="60" t="str" cm="1">
        <f t="array" ref="D13:E14">MMS_Dairy_N2ODirect_Equations.VEERG_4_3_1_3__8_RelativeSize_Arguments()</f>
        <v>W_j</v>
      </c>
      <c r="E13" s="60" t="str">
        <v>liveweight (kg)</v>
      </c>
      <c r="F13" s="60" t="str">
        <f>"See " &amp; D16</f>
        <v>See M1_Table_W_j</v>
      </c>
    </row>
    <row r="14" spans="1:21" ht="20.100000000000001" customHeight="1" x14ac:dyDescent="0.25">
      <c r="A14" s="17" t="str">
        <f>HYPERLINK("#'4.3.1.6-7 Leaching and runoff'!A1", "4.3.1.6-7 Leaching and runoff")</f>
        <v>4.3.1.6-7 Leaching and runoff</v>
      </c>
      <c r="D14" s="60" t="str">
        <v>WR_j</v>
      </c>
      <c r="E14" s="60" t="str">
        <v>reference weight (kg)</v>
      </c>
      <c r="F14" s="60" t="str">
        <f>"See " &amp; D21</f>
        <v>See Table_WR_j</v>
      </c>
    </row>
    <row r="15" spans="1:21" ht="20.100000000000001" customHeight="1" x14ac:dyDescent="0.25">
      <c r="A15" s="17" t="str">
        <f>HYPERLINK("#'4.3.1.8 Manure applied to soils'!A1", "4.3.1.8 Manure applied to soils")</f>
        <v>4.3.1.8 Manure applied to soils</v>
      </c>
    </row>
    <row r="16" spans="1:21" ht="20.100000000000001" customHeight="1" x14ac:dyDescent="0.25">
      <c r="A16" s="17" t="str">
        <f>HYPERLINK("#'4.3.1.9 Soil direct N2O'!A1", "4.3.1.9 Soil direct N2O")</f>
        <v>4.3.1.9 Soil direct N2O</v>
      </c>
      <c r="D16" s="104" t="s">
        <v>241</v>
      </c>
      <c r="N16" s="104" t="s">
        <v>243</v>
      </c>
    </row>
    <row r="17" spans="1:21" ht="20.100000000000001" customHeight="1" x14ac:dyDescent="0.25">
      <c r="A17" s="17" t="str">
        <f>HYPERLINK("#'4.3.1.10-11 Soil Atmos Dep'!A1", "4.3.1.10-11 Soil atm. deposition")</f>
        <v>4.3.1.10-11 Soil atm. deposition</v>
      </c>
      <c r="D17" s="103" t="s">
        <v>242</v>
      </c>
      <c r="N17" s="103" t="s">
        <v>244</v>
      </c>
    </row>
    <row r="18" spans="1:21" ht="20.100000000000001" customHeight="1" x14ac:dyDescent="0.25">
      <c r="A18" s="17" t="str">
        <f>HYPERLINK("#'4.3.1.12-13 Soil leach runoff'!A1", "4.3.1.12-13 Soil leach &amp; runoff")</f>
        <v>4.3.1.12-13 Soil leach &amp; runoff</v>
      </c>
      <c r="D18" s="54" t="s">
        <v>189</v>
      </c>
      <c r="E18" s="54" t="s">
        <v>206</v>
      </c>
      <c r="F18" s="54" t="s">
        <v>207</v>
      </c>
      <c r="G18" s="54" t="s">
        <v>208</v>
      </c>
      <c r="H18" s="54" t="s">
        <v>209</v>
      </c>
      <c r="N18" s="54" t="s">
        <v>189</v>
      </c>
      <c r="O18" s="54" t="s">
        <v>206</v>
      </c>
      <c r="P18" s="54" t="s">
        <v>207</v>
      </c>
      <c r="Q18" s="54" t="s">
        <v>208</v>
      </c>
      <c r="R18" s="54" t="s">
        <v>209</v>
      </c>
    </row>
    <row r="19" spans="1:21" ht="20.100000000000001" customHeight="1" x14ac:dyDescent="0.25">
      <c r="A19" s="17"/>
      <c r="D19" s="55">
        <f>'Input - Dairy'!$E$14</f>
        <v>550</v>
      </c>
      <c r="E19" s="55">
        <f>'Input - Dairy'!$F$14</f>
        <v>380</v>
      </c>
      <c r="F19" s="55">
        <f>'Input - Dairy'!$G$14</f>
        <v>155</v>
      </c>
      <c r="G19" s="55">
        <f>'Input - Dairy'!$H$14</f>
        <v>600</v>
      </c>
      <c r="H19" s="55">
        <f>'Input - Dairy'!$I$14</f>
        <v>225</v>
      </c>
      <c r="I19" s="2" t="s">
        <v>211</v>
      </c>
      <c r="N19" s="55">
        <f>'Input - Dairy'!$E$18</f>
        <v>550</v>
      </c>
      <c r="O19" s="55">
        <f>'Input - Dairy'!$F$18</f>
        <v>380</v>
      </c>
      <c r="P19" s="55">
        <f>'Input - Dairy'!$G$18</f>
        <v>155</v>
      </c>
      <c r="Q19" s="55">
        <f>'Input - Dairy'!$H$18</f>
        <v>600</v>
      </c>
      <c r="R19" s="55">
        <f>'Input - Dairy'!$I$18</f>
        <v>225</v>
      </c>
      <c r="S19" s="2" t="s">
        <v>211</v>
      </c>
    </row>
    <row r="20" spans="1:21" ht="20.100000000000001" customHeight="1" x14ac:dyDescent="0.25">
      <c r="A20" s="18" t="s">
        <v>4</v>
      </c>
    </row>
    <row r="21" spans="1:21" ht="20.100000000000001" customHeight="1" x14ac:dyDescent="0.25">
      <c r="A21" s="17" t="str">
        <f>HYPERLINK("#'Constants - Dairy'!A1", "Constants - Dairy")</f>
        <v>Constants - Dairy</v>
      </c>
      <c r="D21" s="104" t="s">
        <v>311</v>
      </c>
    </row>
    <row r="22" spans="1:21" ht="20.100000000000001" customHeight="1" x14ac:dyDescent="0.25">
      <c r="A22" s="17" t="str">
        <f>HYPERLINK("#'Constants - Livestock'!A1", "Constants - Livestock")</f>
        <v>Constants - Livestock</v>
      </c>
      <c r="D22" s="103" t="s">
        <v>312</v>
      </c>
    </row>
    <row r="23" spans="1:21" ht="20.100000000000001" customHeight="1" x14ac:dyDescent="0.25">
      <c r="A23" s="17" t="str">
        <f>HYPERLINK("#'Constants - Common'!A1", "Constants - Common")</f>
        <v>Constants - Common</v>
      </c>
      <c r="D23" s="54" t="s">
        <v>189</v>
      </c>
      <c r="E23" s="54" t="s">
        <v>206</v>
      </c>
      <c r="F23" s="54" t="s">
        <v>207</v>
      </c>
      <c r="G23" s="54" t="s">
        <v>208</v>
      </c>
      <c r="H23" s="54" t="s">
        <v>209</v>
      </c>
    </row>
    <row r="24" spans="1:21" ht="20.100000000000001" customHeight="1" x14ac:dyDescent="0.25">
      <c r="A24" s="17" t="str">
        <f>HYPERLINK("#'Acknowledgements'!A1", "Acknowledgements")</f>
        <v>Acknowledgements</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211</v>
      </c>
    </row>
    <row r="25" spans="1:21" ht="20.100000000000001" customHeight="1" x14ac:dyDescent="0.25"/>
    <row r="26" spans="1:21" ht="20.100000000000001" customHeight="1" x14ac:dyDescent="0.25">
      <c r="D26" s="104" t="s">
        <v>313</v>
      </c>
      <c r="N26" s="104" t="s">
        <v>313</v>
      </c>
    </row>
    <row r="27" spans="1:21" ht="20.100000000000001" customHeight="1" x14ac:dyDescent="0.25">
      <c r="D27" s="103" t="s">
        <v>314</v>
      </c>
      <c r="N27" s="103" t="s">
        <v>314</v>
      </c>
    </row>
    <row r="28" spans="1:21" ht="20.100000000000001" customHeight="1" x14ac:dyDescent="0.25">
      <c r="D28" s="54" t="s">
        <v>189</v>
      </c>
      <c r="E28" s="54" t="s">
        <v>206</v>
      </c>
      <c r="F28" s="54" t="s">
        <v>207</v>
      </c>
      <c r="G28" s="54" t="s">
        <v>208</v>
      </c>
      <c r="H28" s="54" t="s">
        <v>209</v>
      </c>
      <c r="N28" s="54" t="s">
        <v>189</v>
      </c>
      <c r="O28" s="54" t="s">
        <v>206</v>
      </c>
      <c r="P28" s="54" t="s">
        <v>207</v>
      </c>
      <c r="Q28" s="54" t="s">
        <v>208</v>
      </c>
      <c r="R28" s="54" t="s">
        <v>209</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60" t="str" cm="1">
        <f t="array" ref="D42:E45">MMS_Dairy_N2ODirect_Equations.VEERG_4_3_1_3__7_IntakeRelativeToMaintenance_Arguments()</f>
        <v>I_j</v>
      </c>
      <c r="E42" s="61" t="str">
        <v>dry matter intake (kgDM/head/day)</v>
      </c>
      <c r="F42" s="62"/>
      <c r="G42" s="60" t="str">
        <f>"See " &amp; D47</f>
        <v>See M1_Table_I_j</v>
      </c>
    </row>
    <row r="43" spans="4:14" ht="20.100000000000001" customHeight="1" x14ac:dyDescent="0.25">
      <c r="D43" s="60" t="str">
        <v>W_j</v>
      </c>
      <c r="E43" s="61" t="str">
        <v>liveweight (kg)</v>
      </c>
      <c r="F43" s="62"/>
      <c r="G43" s="60" t="str">
        <f>"See " &amp; D16</f>
        <v>See M1_Table_W_j</v>
      </c>
    </row>
    <row r="44" spans="4:14" ht="20.100000000000001" customHeight="1" x14ac:dyDescent="0.25">
      <c r="D44" s="60" t="str">
        <v>MR_j</v>
      </c>
      <c r="E44" s="61" t="str">
        <v>increase in metabolic rate when producing milk</v>
      </c>
      <c r="F44" s="62"/>
      <c r="G44" s="60" t="str">
        <f>"See " &amp; D52</f>
        <v>See Table_MR_j</v>
      </c>
    </row>
    <row r="45" spans="4:14" ht="20.100000000000001" customHeight="1" x14ac:dyDescent="0.25">
      <c r="D45" s="60" t="str">
        <v>MI_j</v>
      </c>
      <c r="E45" s="61" t="str">
        <v>additional intake required for milk production (kgDM/head/day)</v>
      </c>
      <c r="F45" s="62"/>
      <c r="G45" s="60" t="str">
        <f>"See " &amp; D57</f>
        <v>See M1_Table_MI_j</v>
      </c>
    </row>
    <row r="46" spans="4:14" ht="20.100000000000001" customHeight="1" x14ac:dyDescent="0.25"/>
    <row r="47" spans="4:14" ht="20.100000000000001" customHeight="1" x14ac:dyDescent="0.25">
      <c r="D47" s="104" t="s">
        <v>116</v>
      </c>
      <c r="N47" s="104" t="s">
        <v>118</v>
      </c>
    </row>
    <row r="48" spans="4:14" ht="20.100000000000001" customHeight="1" x14ac:dyDescent="0.25">
      <c r="D48" s="103" t="s">
        <v>264</v>
      </c>
      <c r="N48" s="103" t="s">
        <v>263</v>
      </c>
    </row>
    <row r="49" spans="4:19" ht="20.100000000000001" customHeight="1" x14ac:dyDescent="0.25">
      <c r="D49" s="54" t="s">
        <v>189</v>
      </c>
      <c r="E49" s="54" t="s">
        <v>206</v>
      </c>
      <c r="F49" s="54" t="s">
        <v>207</v>
      </c>
      <c r="G49" s="54" t="s">
        <v>208</v>
      </c>
      <c r="H49" s="54" t="s">
        <v>209</v>
      </c>
      <c r="N49" s="54" t="s">
        <v>189</v>
      </c>
      <c r="O49" s="54" t="s">
        <v>206</v>
      </c>
      <c r="P49" s="54" t="s">
        <v>207</v>
      </c>
      <c r="Q49" s="54" t="s">
        <v>208</v>
      </c>
      <c r="R49" s="54" t="s">
        <v>209</v>
      </c>
    </row>
    <row r="50" spans="4:19" ht="20.100000000000001" customHeight="1" x14ac:dyDescent="0.25">
      <c r="D50" s="55">
        <f>'4.3.1.1-2 Methane'!D84</f>
        <v>9.4647127858085369</v>
      </c>
      <c r="E50" s="55">
        <f>'4.3.1.1-2 Methane'!E84</f>
        <v>7.4188685375999972</v>
      </c>
      <c r="F50" s="55">
        <f>'4.3.1.1-2 Methane'!F84</f>
        <v>4.0231734662249998</v>
      </c>
      <c r="G50" s="55">
        <f>'4.3.1.1-2 Methane'!G84</f>
        <v>9.0270202499999979</v>
      </c>
      <c r="H50" s="55">
        <f>'4.3.1.1-2 Methane'!H84</f>
        <v>5.4143472656250013</v>
      </c>
      <c r="I50" s="2" t="str">
        <f>'4.3.1.1-2 Methane'!I84</f>
        <v>kg DM/head/day</v>
      </c>
      <c r="N50" s="55">
        <f>'4.3.1.1-2 Methane'!O84</f>
        <v>9.4647127858085369</v>
      </c>
      <c r="O50" s="55">
        <f>'4.3.1.1-2 Methane'!P84</f>
        <v>7.4188685375999972</v>
      </c>
      <c r="P50" s="55">
        <f>'4.3.1.1-2 Methane'!Q84</f>
        <v>4.0231734662249998</v>
      </c>
      <c r="Q50" s="55">
        <f>'4.3.1.1-2 Methane'!R84</f>
        <v>9.0270202499999979</v>
      </c>
      <c r="R50" s="55">
        <f>'4.3.1.1-2 Methane'!S84</f>
        <v>5.4143472656250013</v>
      </c>
      <c r="S50" s="2" t="str">
        <f>'4.3.1.1-2 Methane'!T84</f>
        <v>kg DM/head/day</v>
      </c>
    </row>
    <row r="51" spans="4:19" ht="20.100000000000001" customHeight="1" x14ac:dyDescent="0.25"/>
    <row r="52" spans="4:19" ht="20.100000000000001" customHeight="1" x14ac:dyDescent="0.25">
      <c r="D52" s="104" t="s">
        <v>249</v>
      </c>
    </row>
    <row r="53" spans="4:19" ht="20.100000000000001" customHeight="1" x14ac:dyDescent="0.25">
      <c r="D53" s="103" t="s">
        <v>250</v>
      </c>
    </row>
    <row r="54" spans="4:19" ht="20.100000000000001" customHeight="1" x14ac:dyDescent="0.25">
      <c r="D54" s="54" t="s">
        <v>189</v>
      </c>
      <c r="E54" s="54" t="s">
        <v>206</v>
      </c>
      <c r="F54" s="54" t="s">
        <v>207</v>
      </c>
      <c r="G54" s="54" t="s">
        <v>208</v>
      </c>
      <c r="H54" s="54" t="s">
        <v>209</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
        <v>101</v>
      </c>
    </row>
    <row r="56" spans="4:19" ht="20.100000000000001" customHeight="1" x14ac:dyDescent="0.25"/>
    <row r="57" spans="4:19" ht="20.100000000000001" customHeight="1" x14ac:dyDescent="0.25">
      <c r="D57" s="104" t="s">
        <v>256</v>
      </c>
    </row>
    <row r="58" spans="4:19" ht="20.100000000000001" customHeight="1" x14ac:dyDescent="0.25">
      <c r="D58" s="103" t="s">
        <v>257</v>
      </c>
    </row>
    <row r="59" spans="4:19" ht="20.100000000000001" customHeight="1" x14ac:dyDescent="0.25">
      <c r="D59" s="54" t="s">
        <v>189</v>
      </c>
      <c r="E59" s="54" t="s">
        <v>206</v>
      </c>
      <c r="F59" s="54" t="s">
        <v>207</v>
      </c>
      <c r="G59" s="54" t="s">
        <v>208</v>
      </c>
      <c r="H59" s="54" t="s">
        <v>209</v>
      </c>
    </row>
    <row r="60" spans="4:19" ht="20.100000000000001" customHeight="1" x14ac:dyDescent="0.25">
      <c r="D60" s="55">
        <f>'4.3.1.1-2 Methane'!D49</f>
        <v>0.21026726504853488</v>
      </c>
      <c r="E60" s="55">
        <f>'4.3.1.1-2 Methane'!E49</f>
        <v>0</v>
      </c>
      <c r="F60" s="55">
        <f>'4.3.1.1-2 Methane'!F49</f>
        <v>0</v>
      </c>
      <c r="G60" s="55">
        <f>'4.3.1.1-2 Methane'!G49</f>
        <v>0</v>
      </c>
      <c r="H60" s="55">
        <f>'4.3.1.1-2 Methane'!H49</f>
        <v>0</v>
      </c>
      <c r="I60" s="2" t="str">
        <f>'4.3.1.1-2 Methane'!I49</f>
        <v>kg DM/head/day</v>
      </c>
    </row>
    <row r="61" spans="4:19" ht="20.100000000000001" customHeight="1" x14ac:dyDescent="0.25"/>
    <row r="62" spans="4:19" ht="20.100000000000001" customHeight="1" x14ac:dyDescent="0.25">
      <c r="D62" s="104" t="s">
        <v>315</v>
      </c>
      <c r="N62" s="104" t="s">
        <v>317</v>
      </c>
    </row>
    <row r="63" spans="4:19" ht="20.100000000000001" customHeight="1" x14ac:dyDescent="0.25">
      <c r="D63" s="103" t="s">
        <v>316</v>
      </c>
      <c r="N63" s="103" t="s">
        <v>318</v>
      </c>
    </row>
    <row r="64" spans="4:19" ht="20.100000000000001" customHeight="1" x14ac:dyDescent="0.25">
      <c r="D64" s="54" t="s">
        <v>189</v>
      </c>
      <c r="E64" s="54" t="s">
        <v>206</v>
      </c>
      <c r="F64" s="54" t="s">
        <v>207</v>
      </c>
      <c r="G64" s="54" t="s">
        <v>208</v>
      </c>
      <c r="H64" s="54" t="s">
        <v>209</v>
      </c>
      <c r="N64" s="54" t="s">
        <v>189</v>
      </c>
      <c r="O64" s="54" t="s">
        <v>206</v>
      </c>
      <c r="P64" s="54" t="s">
        <v>207</v>
      </c>
      <c r="Q64" s="54" t="s">
        <v>208</v>
      </c>
      <c r="R64" s="54" t="s">
        <v>209</v>
      </c>
    </row>
    <row r="65" spans="3:21" ht="20.100000000000001" customHeight="1" x14ac:dyDescent="0.25">
      <c r="D65" s="55" cm="1">
        <f t="array" ref="D65">MMS_Dairy_N2ODirect_Equations.VEERG_4_3_1_3__7_IntakeRelativeToMaintenance(D50,D19,D55,D60)</f>
        <v>1.0034066233551036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1.0034066233551036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8"/>
      <c r="D68" s="48"/>
      <c r="E68" s="48"/>
      <c r="F68" s="48"/>
      <c r="G68" s="48"/>
      <c r="H68" s="48"/>
      <c r="I68" s="48"/>
      <c r="J68" s="48"/>
      <c r="K68" s="48"/>
      <c r="M68" s="48"/>
      <c r="N68" s="48"/>
      <c r="O68" s="48"/>
      <c r="P68" s="48"/>
      <c r="Q68" s="48"/>
      <c r="R68" s="48"/>
      <c r="S68" s="48"/>
      <c r="T68" s="48"/>
      <c r="U68" s="48"/>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13" t="s">
        <v>28</v>
      </c>
      <c r="E71" s="13" t="str" cm="1">
        <f t="array" aca="1" ref="E71" ca="1">Common_InputFunctions.Utility_DisplayFunctionName(D96)</f>
        <v>=MMS_Dairy_N2ODirect_Equations.VEERG_4_3_1_3__6_NitrogenRetainedByBody</v>
      </c>
    </row>
    <row r="72" spans="3:21" ht="20.100000000000001" customHeight="1" x14ac:dyDescent="0.25"/>
    <row r="73" spans="3:21" ht="20.100000000000001" customHeight="1" x14ac:dyDescent="0.25"/>
    <row r="74" spans="3:21" ht="20.100000000000001" customHeight="1" x14ac:dyDescent="0.25"/>
    <row r="75" spans="3:21" ht="20.100000000000001" customHeight="1" x14ac:dyDescent="0.25">
      <c r="D75" s="56" t="s">
        <v>31</v>
      </c>
      <c r="E75" s="1" t="str" cm="1">
        <f t="array" ref="E75">MMS_Dairy_N2ODirect_Equations.VEERG_4_3_1_3__6_NitrogenRetainedByBody_Variable()</f>
        <v>NR_j</v>
      </c>
    </row>
    <row r="76" spans="3:21" ht="20.100000000000001" customHeight="1" x14ac:dyDescent="0.25">
      <c r="D76" s="56" t="s">
        <v>21</v>
      </c>
      <c r="E76" s="57" t="str" cm="1">
        <f t="array" ref="E76">MMS_Dairy_N2ODirect_Equations.VEERG_4_3_1_3__6_NitrogenRetainedByBody_Unit()</f>
        <v>kg N/head/day</v>
      </c>
    </row>
    <row r="77" spans="3:21" ht="20.100000000000001" customHeight="1" x14ac:dyDescent="0.25"/>
    <row r="78" spans="3:21" ht="20.100000000000001" customHeight="1" x14ac:dyDescent="0.25">
      <c r="D78" s="115" t="str" cm="1">
        <f t="array" ref="D78:E81">MMS_Dairy_N2ODirect_Equations.VEERG_4_3_1_3__6_NitrogenRetainedByBody_Arguments()</f>
        <v>MP_j</v>
      </c>
      <c r="E78" s="117" t="str">
        <v>milk production (L/head/day)</v>
      </c>
      <c r="F78" s="116"/>
      <c r="G78" s="115" t="str">
        <f>"See " &amp; D83</f>
        <v>See Table_MP_j</v>
      </c>
    </row>
    <row r="79" spans="3:21" ht="20.100000000000001" customHeight="1" x14ac:dyDescent="0.25">
      <c r="D79" s="115" t="str">
        <v>L_j</v>
      </c>
      <c r="E79" s="117" t="str">
        <v>intake relative to maintenance</v>
      </c>
      <c r="F79" s="116"/>
      <c r="G79" s="115" t="str">
        <f>"See " &amp; D62</f>
        <v>See M1_Table_L_j</v>
      </c>
    </row>
    <row r="80" spans="3:21" ht="20.100000000000001" customHeight="1" x14ac:dyDescent="0.25">
      <c r="D80" s="115" t="str">
        <v>Z_j</v>
      </c>
      <c r="E80" s="117" t="str">
        <v>relative size</v>
      </c>
      <c r="F80" s="116"/>
      <c r="G80" s="115" t="str">
        <f>"See " &amp; D26</f>
        <v>See M1_Table_Z_j</v>
      </c>
    </row>
    <row r="81" spans="4:19" ht="20.100000000000001" customHeight="1" x14ac:dyDescent="0.25">
      <c r="D81" s="115" t="str">
        <v>LWG_j</v>
      </c>
      <c r="E81" s="117" t="str">
        <v>liveweight gain (kg/day)</v>
      </c>
      <c r="F81" s="116"/>
      <c r="G81" s="115" t="str">
        <f>"See " &amp; D88</f>
        <v>See M1_Table_LWG_j</v>
      </c>
    </row>
    <row r="82" spans="4:19" ht="20.100000000000001" customHeight="1" x14ac:dyDescent="0.25"/>
    <row r="83" spans="4:19" ht="20.100000000000001" customHeight="1" x14ac:dyDescent="0.25">
      <c r="D83" s="104" t="s">
        <v>261</v>
      </c>
    </row>
    <row r="84" spans="4:19" ht="20.100000000000001" customHeight="1" x14ac:dyDescent="0.25">
      <c r="D84" s="103" t="s">
        <v>213</v>
      </c>
    </row>
    <row r="85" spans="4:19" ht="20.100000000000001" customHeight="1" x14ac:dyDescent="0.25">
      <c r="D85" s="54" t="s">
        <v>189</v>
      </c>
      <c r="E85" s="54" t="s">
        <v>206</v>
      </c>
      <c r="F85" s="54" t="s">
        <v>207</v>
      </c>
      <c r="G85" s="54" t="s">
        <v>208</v>
      </c>
      <c r="H85" s="54" t="s">
        <v>209</v>
      </c>
    </row>
    <row r="86" spans="4:19" ht="20.100000000000001" customHeight="1" x14ac:dyDescent="0.25">
      <c r="D86" s="55">
        <f>'Input - Dairy'!$E$46</f>
        <v>44</v>
      </c>
      <c r="E86" s="55">
        <v>0</v>
      </c>
      <c r="F86" s="55">
        <v>0</v>
      </c>
      <c r="G86" s="55">
        <v>0</v>
      </c>
      <c r="H86" s="55">
        <v>0</v>
      </c>
      <c r="I86" s="2" t="s">
        <v>258</v>
      </c>
    </row>
    <row r="87" spans="4:19" ht="20.100000000000001" customHeight="1" x14ac:dyDescent="0.25"/>
    <row r="88" spans="4:19" ht="20.100000000000001" customHeight="1" x14ac:dyDescent="0.25">
      <c r="D88" s="104" t="s">
        <v>245</v>
      </c>
      <c r="N88" s="104" t="s">
        <v>247</v>
      </c>
    </row>
    <row r="89" spans="4:19" ht="20.100000000000001" customHeight="1" x14ac:dyDescent="0.25">
      <c r="D89" s="103" t="s">
        <v>246</v>
      </c>
      <c r="N89" s="103" t="s">
        <v>248</v>
      </c>
    </row>
    <row r="90" spans="4:19" ht="20.100000000000001" customHeight="1" x14ac:dyDescent="0.25">
      <c r="D90" s="54" t="s">
        <v>189</v>
      </c>
      <c r="E90" s="54" t="s">
        <v>206</v>
      </c>
      <c r="F90" s="54" t="s">
        <v>207</v>
      </c>
      <c r="G90" s="54" t="s">
        <v>208</v>
      </c>
      <c r="H90" s="54" t="s">
        <v>209</v>
      </c>
      <c r="N90" s="54" t="s">
        <v>189</v>
      </c>
      <c r="O90" s="54" t="s">
        <v>206</v>
      </c>
      <c r="P90" s="54" t="s">
        <v>207</v>
      </c>
      <c r="Q90" s="54" t="s">
        <v>208</v>
      </c>
      <c r="R90" s="54" t="s">
        <v>209</v>
      </c>
    </row>
    <row r="91" spans="4:19" ht="20.100000000000001" customHeight="1" x14ac:dyDescent="0.25">
      <c r="D91" s="55">
        <f>'Input - Dairy'!$E$15</f>
        <v>1.6E-2</v>
      </c>
      <c r="E91" s="55">
        <f>'Input - Dairy'!$F$15</f>
        <v>0.6</v>
      </c>
      <c r="F91" s="55">
        <f>'Input - Dairy'!$G$15</f>
        <v>0.56999999999999995</v>
      </c>
      <c r="G91" s="55">
        <f>'Input - Dairy'!$H$15</f>
        <v>0.1</v>
      </c>
      <c r="H91" s="55">
        <f>'Input - Dairy'!$I$15</f>
        <v>0.8</v>
      </c>
      <c r="I91" s="2" t="s">
        <v>212</v>
      </c>
      <c r="N91" s="55">
        <f>'Input - Dairy'!$E$19</f>
        <v>1.6E-2</v>
      </c>
      <c r="O91" s="55">
        <f>'Input - Dairy'!$F$19</f>
        <v>0.6</v>
      </c>
      <c r="P91" s="55">
        <f>'Input - Dairy'!$G$19</f>
        <v>0.56999999999999995</v>
      </c>
      <c r="Q91" s="55">
        <f>'Input - Dairy'!$H$19</f>
        <v>0.1</v>
      </c>
      <c r="R91" s="55">
        <f>'Input - Dairy'!$I$19</f>
        <v>0.8</v>
      </c>
      <c r="S91" s="2" t="s">
        <v>212</v>
      </c>
    </row>
    <row r="92" spans="4:19" ht="20.100000000000001" customHeight="1" x14ac:dyDescent="0.25"/>
    <row r="93" spans="4:19" ht="20.100000000000001" customHeight="1" x14ac:dyDescent="0.25">
      <c r="D93" s="104" t="s">
        <v>119</v>
      </c>
      <c r="N93" s="104" t="s">
        <v>120</v>
      </c>
    </row>
    <row r="94" spans="4:19" ht="20.100000000000001" customHeight="1" x14ac:dyDescent="0.25">
      <c r="D94" s="103" t="s">
        <v>319</v>
      </c>
      <c r="N94" s="103" t="s">
        <v>320</v>
      </c>
    </row>
    <row r="95" spans="4:19" ht="20.100000000000001" customHeight="1" x14ac:dyDescent="0.25">
      <c r="D95" s="54" t="s">
        <v>189</v>
      </c>
      <c r="E95" s="54" t="s">
        <v>206</v>
      </c>
      <c r="F95" s="54" t="s">
        <v>207</v>
      </c>
      <c r="G95" s="54" t="s">
        <v>208</v>
      </c>
      <c r="H95" s="54" t="s">
        <v>209</v>
      </c>
      <c r="N95" s="54" t="s">
        <v>189</v>
      </c>
      <c r="O95" s="54" t="s">
        <v>206</v>
      </c>
      <c r="P95" s="54" t="s">
        <v>207</v>
      </c>
      <c r="Q95" s="54" t="s">
        <v>208</v>
      </c>
      <c r="R95" s="54" t="s">
        <v>209</v>
      </c>
    </row>
    <row r="96" spans="4:19" ht="20.100000000000001" customHeight="1" x14ac:dyDescent="0.25">
      <c r="D96" s="55" cm="1">
        <f t="array" ref="D96">MMS_Dairy_N2ODirect_Equations.VEERG_4_3_1_3__6_NitrogenRetainedByBody(D86,D65,D29,D91)</f>
        <v>3.6552968231573939E-2</v>
      </c>
      <c r="E96" s="55" cm="1">
        <f t="array" ref="E96">MMS_Dairy_N2ODirect_Equations.VEERG_4_3_1_3__6_NitrogenRetainedByBody(E86,E65,E29,E91)</f>
        <v>8.7932411900846184E-3</v>
      </c>
      <c r="F96" s="55" cm="1">
        <f t="array" ref="F96">MMS_Dairy_N2ODirect_Equations.VEERG_4_3_1_3__6_NitrogenRetainedByBody(F86,F65,F29,F91)</f>
        <v>1.4575548166167214E-2</v>
      </c>
      <c r="G96" s="55" cm="1">
        <f t="array" ref="G96">MMS_Dairy_N2ODirect_Equations.VEERG_4_3_1_3__6_NitrogenRetainedByBody(G86,G65,G29,G91)</f>
        <v>1.2626203146474683E-3</v>
      </c>
      <c r="H96" s="55" cm="1">
        <f t="array" ref="H96">MMS_Dairy_N2ODirect_Equations.VEERG_4_3_1_3__6_NitrogenRetainedByBody(H86,H65,H29,H91)</f>
        <v>1.9757354894894087E-2</v>
      </c>
      <c r="I96" s="2" t="str">
        <f>$E$76</f>
        <v>kg N/head/day</v>
      </c>
      <c r="N96" s="55" cm="1">
        <f t="array" ref="N96">MMS_Dairy_N2ODirect_Equations.VEERG_4_3_1_3__6_NitrogenRetainedByBody(D86,N65,N29,N91)</f>
        <v>3.6552968231573939E-2</v>
      </c>
      <c r="O96" s="55" cm="1">
        <f t="array" ref="O96">MMS_Dairy_N2ODirect_Equations.VEERG_4_3_1_3__6_NitrogenRetainedByBody(E86,O65,O29,O91)</f>
        <v>8.7932411900846184E-3</v>
      </c>
      <c r="P96" s="55" cm="1">
        <f t="array" ref="P96">MMS_Dairy_N2ODirect_Equations.VEERG_4_3_1_3__6_NitrogenRetainedByBody(F86,P65,P29,P91)</f>
        <v>1.4575548166167214E-2</v>
      </c>
      <c r="Q96" s="55" cm="1">
        <f t="array" ref="Q96">MMS_Dairy_N2ODirect_Equations.VEERG_4_3_1_3__6_NitrogenRetainedByBody(G86,Q65,Q29,Q91)</f>
        <v>1.2626203146474683E-3</v>
      </c>
      <c r="R96" s="55" cm="1">
        <f t="array" ref="R96">MMS_Dairy_N2ODirect_Equations.VEERG_4_3_1_3__6_NitrogenRetainedByBody(H86,R65,R29,R91)</f>
        <v>1.9757354894894087E-2</v>
      </c>
      <c r="S96" s="2" t="str">
        <f>$E$76</f>
        <v>kg N/head/day</v>
      </c>
    </row>
    <row r="97" spans="3:21" ht="20.100000000000001" customHeight="1" x14ac:dyDescent="0.25"/>
    <row r="98" spans="3:21" ht="20.100000000000001" customHeight="1" x14ac:dyDescent="0.25"/>
    <row r="99" spans="3:21" ht="20.100000000000001" customHeight="1" x14ac:dyDescent="0.25">
      <c r="C99" s="48"/>
      <c r="D99" s="48"/>
      <c r="E99" s="48"/>
      <c r="F99" s="48"/>
      <c r="G99" s="48"/>
      <c r="H99" s="48"/>
      <c r="I99" s="48"/>
      <c r="J99" s="48"/>
      <c r="K99" s="48"/>
      <c r="M99" s="48"/>
      <c r="N99" s="48"/>
      <c r="O99" s="48"/>
      <c r="P99" s="48"/>
      <c r="Q99" s="48"/>
      <c r="R99" s="48"/>
      <c r="S99" s="48"/>
      <c r="T99" s="48"/>
      <c r="U99" s="48"/>
    </row>
    <row r="100" spans="3:21" ht="20.100000000000001" customHeight="1" x14ac:dyDescent="0.25">
      <c r="D100" s="6" t="str" cm="1">
        <f t="array" ref="D100">MMS_Dairy_N2ODirect_Equations.VEERG_4_3_1_3__5_CrudeProteinIntakeOfDairyCattle_Title()</f>
        <v>Crude protein intake of dairy cattle</v>
      </c>
    </row>
    <row r="101" spans="3:21" ht="20.100000000000001" customHeight="1" x14ac:dyDescent="0.25">
      <c r="D101" s="5" t="str" cm="1">
        <f t="array" ref="D101">MMS_Dairy_N2ODirect_Equations.VEERG_4_3_1_3__5_CrudeProteinIntakeOfDairyCattle_Source()</f>
        <v>VEERG 2026: 4.3.1.3, Equation (5)</v>
      </c>
    </row>
    <row r="102" spans="3:21" ht="20.100000000000001" customHeight="1" x14ac:dyDescent="0.25">
      <c r="D102" s="13" t="s">
        <v>28</v>
      </c>
      <c r="E102" s="13" t="str" cm="1">
        <f t="array" aca="1" ref="E102" ca="1">Common_InputFunctions.Utility_DisplayFunctionName(D119)</f>
        <v>=MMS_Dairy_N2ODirect_Equations.VEERG_4_3_1_3__5_CrudeProteinIntakeOfDairyCattle</v>
      </c>
    </row>
    <row r="103" spans="3:21" ht="20.100000000000001" customHeight="1" x14ac:dyDescent="0.25"/>
    <row r="104" spans="3:21" ht="20.100000000000001" customHeight="1" x14ac:dyDescent="0.25">
      <c r="D104" s="6"/>
    </row>
    <row r="105" spans="3:21" ht="20.100000000000001" customHeight="1" x14ac:dyDescent="0.25">
      <c r="D105" s="56" t="s">
        <v>31</v>
      </c>
      <c r="E105" s="1" t="str" cm="1">
        <f t="array" ref="E105">MMS_Dairy_N2ODirect_Equations.VEERG_4_3_1_3__5_CrudeProteinIntakeOfDairyCattle_Variable()</f>
        <v>CPI_j</v>
      </c>
    </row>
    <row r="106" spans="3:21" ht="20.100000000000001" customHeight="1" x14ac:dyDescent="0.25">
      <c r="D106" s="56" t="s">
        <v>21</v>
      </c>
      <c r="E106" s="57" t="str" cm="1">
        <f t="array" ref="E106">MMS_Dairy_N2ODirect_Equations.VEERG_4_3_1_3__5_CrudeProteinIntakeOfDairyCattle_Unit()</f>
        <v>kg/head/day</v>
      </c>
    </row>
    <row r="107" spans="3:21" ht="20.100000000000001" customHeight="1" x14ac:dyDescent="0.25"/>
    <row r="108" spans="3:21" ht="20.100000000000001" customHeight="1" x14ac:dyDescent="0.25">
      <c r="D108" s="60" t="str" cm="1">
        <f t="array" ref="D108:E109">MMS_Dairy_N2ODirect_Equations.VEERG_4_3_1_3__5_CrudeProteinIntakeOfDairyCattle_Arguments()</f>
        <v>I_j</v>
      </c>
      <c r="E108" s="61" t="str">
        <v>dry matter intake (kgDM/head/day)</v>
      </c>
      <c r="F108" s="62"/>
      <c r="G108" s="60" t="str">
        <f>"See " &amp; D47</f>
        <v>See M1_Table_I_j</v>
      </c>
    </row>
    <row r="109" spans="3:21" ht="20.100000000000001" customHeight="1" x14ac:dyDescent="0.25">
      <c r="D109" s="60" t="str">
        <v>CP_j</v>
      </c>
      <c r="E109" s="61" t="str">
        <v>crude protein content of feed intake (fraction)</v>
      </c>
      <c r="F109" s="62"/>
      <c r="G109" s="60" t="str">
        <f>"See " &amp; D111</f>
        <v>See M1_Table_CP_j</v>
      </c>
    </row>
    <row r="110" spans="3:21" ht="20.100000000000001" customHeight="1" x14ac:dyDescent="0.25"/>
    <row r="111" spans="3:21" ht="20.100000000000001" customHeight="1" x14ac:dyDescent="0.25">
      <c r="D111" s="104" t="s">
        <v>117</v>
      </c>
      <c r="N111" s="104" t="s">
        <v>117</v>
      </c>
    </row>
    <row r="112" spans="3:21" ht="20.100000000000001" customHeight="1" x14ac:dyDescent="0.25">
      <c r="D112" s="103" t="s">
        <v>321</v>
      </c>
      <c r="N112" s="103" t="s">
        <v>321</v>
      </c>
    </row>
    <row r="113" spans="3:21" ht="20.100000000000001" customHeight="1" x14ac:dyDescent="0.25">
      <c r="D113" s="54" t="s">
        <v>189</v>
      </c>
      <c r="E113" s="54" t="s">
        <v>206</v>
      </c>
      <c r="F113" s="54" t="s">
        <v>207</v>
      </c>
      <c r="G113" s="54" t="s">
        <v>208</v>
      </c>
      <c r="H113" s="54" t="s">
        <v>209</v>
      </c>
      <c r="N113" s="54" t="s">
        <v>189</v>
      </c>
      <c r="O113" s="54" t="s">
        <v>206</v>
      </c>
      <c r="P113" s="54" t="s">
        <v>207</v>
      </c>
      <c r="Q113" s="54" t="s">
        <v>208</v>
      </c>
      <c r="R113" s="54" t="s">
        <v>209</v>
      </c>
    </row>
    <row r="114" spans="3:21" ht="20.100000000000001" customHeight="1" x14ac:dyDescent="0.25">
      <c r="D114" s="55">
        <f>'Input - Dairy'!E37</f>
        <v>0.2</v>
      </c>
      <c r="E114" s="55">
        <f>'Input - Dairy'!F37</f>
        <v>0.2</v>
      </c>
      <c r="F114" s="55">
        <f>'Input - Dairy'!G37</f>
        <v>0.2</v>
      </c>
      <c r="G114" s="55">
        <f>'Input - Dairy'!H37</f>
        <v>0.2</v>
      </c>
      <c r="H114" s="55">
        <f>'Input - Dairy'!I37</f>
        <v>0.2</v>
      </c>
      <c r="I114" s="2" t="s">
        <v>101</v>
      </c>
      <c r="N114" s="55">
        <f>'Input - Dairy'!E42</f>
        <v>0.2</v>
      </c>
      <c r="O114" s="55">
        <f>'Input - Dairy'!F42</f>
        <v>0.2</v>
      </c>
      <c r="P114" s="55">
        <f>'Input - Dairy'!G42</f>
        <v>0.2</v>
      </c>
      <c r="Q114" s="55">
        <f>'Input - Dairy'!H42</f>
        <v>0.2</v>
      </c>
      <c r="R114" s="55">
        <f>'Input - Dairy'!I42</f>
        <v>0.2</v>
      </c>
      <c r="S114" s="2" t="s">
        <v>101</v>
      </c>
    </row>
    <row r="115" spans="3:21" ht="20.100000000000001" customHeight="1" x14ac:dyDescent="0.25"/>
    <row r="116" spans="3:21" ht="20.100000000000001" customHeight="1" x14ac:dyDescent="0.25">
      <c r="D116" s="104" t="s">
        <v>322</v>
      </c>
      <c r="N116" s="104" t="s">
        <v>322</v>
      </c>
    </row>
    <row r="117" spans="3:21" ht="20.100000000000001" customHeight="1" x14ac:dyDescent="0.25">
      <c r="D117" s="103" t="s">
        <v>323</v>
      </c>
      <c r="N117" s="103" t="s">
        <v>323</v>
      </c>
    </row>
    <row r="118" spans="3:21" ht="20.100000000000001" customHeight="1" x14ac:dyDescent="0.25">
      <c r="D118" s="54" t="s">
        <v>189</v>
      </c>
      <c r="E118" s="54" t="s">
        <v>206</v>
      </c>
      <c r="F118" s="54" t="s">
        <v>207</v>
      </c>
      <c r="G118" s="54" t="s">
        <v>208</v>
      </c>
      <c r="H118" s="54" t="s">
        <v>209</v>
      </c>
      <c r="N118" s="54" t="s">
        <v>189</v>
      </c>
      <c r="O118" s="54" t="s">
        <v>206</v>
      </c>
      <c r="P118" s="54" t="s">
        <v>207</v>
      </c>
      <c r="Q118" s="54" t="s">
        <v>208</v>
      </c>
      <c r="R118" s="54" t="s">
        <v>209</v>
      </c>
    </row>
    <row r="119" spans="3:21" ht="20.100000000000001" customHeight="1" x14ac:dyDescent="0.25">
      <c r="D119" s="55" cm="1">
        <f t="array" ref="D119">MMS_Dairy_N2ODirect_Equations.VEERG_4_3_1_3__5_CrudeProteinIntakeOfDairyCattle(D50,D114)</f>
        <v>1.8929425571617076</v>
      </c>
      <c r="E119" s="55" cm="1">
        <f t="array" ref="E119">MMS_Dairy_N2ODirect_Equations.VEERG_4_3_1_3__5_CrudeProteinIntakeOfDairyCattle(E50,E114)</f>
        <v>1.4837737075199995</v>
      </c>
      <c r="F119" s="55" cm="1">
        <f t="array" ref="F119">MMS_Dairy_N2ODirect_Equations.VEERG_4_3_1_3__5_CrudeProteinIntakeOfDairyCattle(F50,F114)</f>
        <v>0.80463469324500003</v>
      </c>
      <c r="G119" s="55" cm="1">
        <f t="array" ref="G119">MMS_Dairy_N2ODirect_Equations.VEERG_4_3_1_3__5_CrudeProteinIntakeOfDairyCattle(G50,G114)</f>
        <v>1.8054040499999997</v>
      </c>
      <c r="H119" s="55" cm="1">
        <f t="array" ref="H119">MMS_Dairy_N2ODirect_Equations.VEERG_4_3_1_3__5_CrudeProteinIntakeOfDairyCattle(H50,H114)</f>
        <v>1.0828694531250003</v>
      </c>
      <c r="I119" s="2" t="str">
        <f>$E$106</f>
        <v>kg/head/day</v>
      </c>
      <c r="N119" s="55" cm="1">
        <f t="array" ref="N119">MMS_Dairy_N2ODirect_Equations.VEERG_4_3_1_3__5_CrudeProteinIntakeOfDairyCattle(N50,N114)</f>
        <v>1.8929425571617076</v>
      </c>
      <c r="O119" s="55" cm="1">
        <f t="array" ref="O119">MMS_Dairy_N2ODirect_Equations.VEERG_4_3_1_3__5_CrudeProteinIntakeOfDairyCattle(O50,O114)</f>
        <v>1.4837737075199995</v>
      </c>
      <c r="P119" s="55" cm="1">
        <f t="array" ref="P119">MMS_Dairy_N2ODirect_Equations.VEERG_4_3_1_3__5_CrudeProteinIntakeOfDairyCattle(P50,P114)</f>
        <v>0.80463469324500003</v>
      </c>
      <c r="Q119" s="55" cm="1">
        <f t="array" ref="Q119">MMS_Dairy_N2ODirect_Equations.VEERG_4_3_1_3__5_CrudeProteinIntakeOfDairyCattle(Q50,Q114)</f>
        <v>1.8054040499999997</v>
      </c>
      <c r="R119" s="55" cm="1">
        <f t="array" ref="R119">MMS_Dairy_N2ODirect_Equations.VEERG_4_3_1_3__5_CrudeProteinIntakeOfDairyCattle(R50,R114)</f>
        <v>1.0828694531250003</v>
      </c>
      <c r="S119" s="2" t="str">
        <f>$E$106</f>
        <v>kg/head/day</v>
      </c>
    </row>
    <row r="120" spans="3:21" ht="20.100000000000001" customHeight="1" x14ac:dyDescent="0.25"/>
    <row r="121" spans="3:21" ht="20.100000000000001" customHeight="1" x14ac:dyDescent="0.25"/>
    <row r="122" spans="3:21" ht="20.100000000000001" customHeight="1" x14ac:dyDescent="0.25">
      <c r="C122" s="48"/>
      <c r="D122" s="48"/>
      <c r="E122" s="48"/>
      <c r="F122" s="48"/>
      <c r="G122" s="48"/>
      <c r="H122" s="48"/>
      <c r="I122" s="48"/>
      <c r="J122" s="48"/>
      <c r="K122" s="48"/>
      <c r="M122" s="48"/>
      <c r="N122" s="48"/>
      <c r="O122" s="48"/>
      <c r="P122" s="48"/>
      <c r="Q122" s="48"/>
      <c r="R122" s="48"/>
      <c r="S122" s="48"/>
      <c r="T122" s="48"/>
      <c r="U122" s="48"/>
    </row>
    <row r="123" spans="3:21" ht="20.100000000000001" customHeight="1" x14ac:dyDescent="0.25">
      <c r="D123" s="6" t="str" cm="1">
        <f t="array" ref="D123">MMS_Dairy_N2ODirect_Equations.VEERG_4_3_1_3__4_NitrogenExcretedByDairyCattleGreaterThanOneYear_Title()</f>
        <v>Nitrogen excreted by dairy cattle greater than one year old</v>
      </c>
    </row>
    <row r="124" spans="3:21" ht="20.100000000000001" customHeight="1" x14ac:dyDescent="0.25">
      <c r="D124" s="5" t="str" cm="1">
        <f t="array" ref="D124">MMS_Dairy_N2ODirect_Equations.VEERG_4_3_1_3__4_NitrogenExcretedByDairyCattleGreaterThanOneYear_Source()</f>
        <v>VEERG 2026: 4.3.1.3, Equation (4)</v>
      </c>
    </row>
    <row r="125" spans="3:21" ht="20.100000000000001" customHeight="1" x14ac:dyDescent="0.25">
      <c r="D125" s="13" t="s">
        <v>28</v>
      </c>
      <c r="E125" s="13" t="str" cm="1">
        <f t="array" aca="1" ref="E125" ca="1">Common_InputFunctions.Utility_DisplayFunctionName(D139)</f>
        <v>=MMS_Dairy_N2ODirect_Equations.VEERG_4_3_1_3__4_NitrogenExcretedByDairyCattleGreaterThanOneYear</v>
      </c>
    </row>
    <row r="126" spans="3:21" ht="20.100000000000001" customHeight="1" x14ac:dyDescent="0.25"/>
    <row r="127" spans="3:21" ht="20.100000000000001" customHeight="1" x14ac:dyDescent="0.25">
      <c r="D127" s="6"/>
    </row>
    <row r="128" spans="3:21" ht="20.100000000000001" customHeight="1" x14ac:dyDescent="0.25"/>
    <row r="129" spans="3:21" ht="20.100000000000001" customHeight="1" x14ac:dyDescent="0.25">
      <c r="D129" s="56" t="s">
        <v>31</v>
      </c>
      <c r="E129" s="1" t="str" cm="1">
        <f t="array" ref="E129">MMS_Dairy_N2ODirect_Equations.VEERG_4_3_1_3__4_NitrogenExcretedByDairyCattleGreaterThanOneYear_Variable()</f>
        <v>NE_j</v>
      </c>
    </row>
    <row r="130" spans="3:21" ht="20.100000000000001" customHeight="1" x14ac:dyDescent="0.25">
      <c r="D130" s="56" t="s">
        <v>21</v>
      </c>
      <c r="E130" s="57" t="str" cm="1">
        <f t="array" ref="E130">MMS_Dairy_N2ODirect_Equations.VEERG_4_3_1_3__4_NitrogenExcretedByDairyCattleGreaterThanOneYear_Unit()</f>
        <v>kg N/head/day</v>
      </c>
    </row>
    <row r="131" spans="3:21" ht="20.100000000000001" customHeight="1" x14ac:dyDescent="0.25"/>
    <row r="132" spans="3:21" ht="20.100000000000001" customHeight="1" x14ac:dyDescent="0.25">
      <c r="D132" s="60" t="str" cm="1">
        <f t="array" ref="D132:E134">MMS_Dairy_N2ODirect_Equations.VEERG_4_3_1_3__4_NitrogenExcretedByDairyCattleGreaterThanOneYear_Arguments()</f>
        <v>CPI_j</v>
      </c>
      <c r="E132" s="61" t="str">
        <v>crude protein intake (kg/head/day)</v>
      </c>
      <c r="F132" s="62"/>
      <c r="G132" s="60" t="str">
        <f>"See " &amp;D116</f>
        <v>See M1_Table_CPI_j</v>
      </c>
    </row>
    <row r="133" spans="3:21" ht="20.100000000000001" customHeight="1" x14ac:dyDescent="0.25">
      <c r="D133" s="60" t="str">
        <v>NR_j</v>
      </c>
      <c r="E133" s="61" t="str">
        <v>amount of nitrogen retained by the body (kg N/head/day)</v>
      </c>
      <c r="F133" s="62"/>
      <c r="G133" s="60" t="str">
        <f>"See " &amp; D93</f>
        <v>See M1_Table_NR_j</v>
      </c>
    </row>
    <row r="134" spans="3:21" ht="20.100000000000001" customHeight="1" x14ac:dyDescent="0.25">
      <c r="D134" s="60" t="str">
        <v>W_j</v>
      </c>
      <c r="E134" s="61" t="str">
        <v>liveweight (kg)</v>
      </c>
      <c r="F134" s="62"/>
      <c r="G134" s="60" t="str">
        <f>"See " &amp; D16</f>
        <v>See M1_Table_W_j</v>
      </c>
    </row>
    <row r="135" spans="3:21" ht="20.100000000000001" customHeight="1" x14ac:dyDescent="0.25"/>
    <row r="136" spans="3:21" ht="20.100000000000001" customHeight="1" x14ac:dyDescent="0.25">
      <c r="D136" s="104" t="s">
        <v>121</v>
      </c>
      <c r="N136" s="104" t="s">
        <v>122</v>
      </c>
    </row>
    <row r="137" spans="3:21" ht="20.100000000000001" customHeight="1" x14ac:dyDescent="0.25">
      <c r="D137" s="103" t="s">
        <v>324</v>
      </c>
      <c r="N137" s="103" t="s">
        <v>325</v>
      </c>
    </row>
    <row r="138" spans="3:21" ht="20.100000000000001" customHeight="1" x14ac:dyDescent="0.25">
      <c r="D138" s="54" t="s">
        <v>189</v>
      </c>
      <c r="E138" s="54" t="s">
        <v>206</v>
      </c>
      <c r="F138" s="54" t="s">
        <v>207</v>
      </c>
      <c r="G138" s="54" t="s">
        <v>208</v>
      </c>
      <c r="H138" s="54" t="s">
        <v>209</v>
      </c>
      <c r="N138" s="54" t="s">
        <v>189</v>
      </c>
      <c r="O138" s="54" t="s">
        <v>206</v>
      </c>
      <c r="P138" s="54" t="s">
        <v>207</v>
      </c>
      <c r="Q138" s="54" t="s">
        <v>208</v>
      </c>
      <c r="R138" s="54" t="s">
        <v>209</v>
      </c>
    </row>
    <row r="139" spans="3:21" ht="20.100000000000001" customHeight="1" x14ac:dyDescent="0.25">
      <c r="D139" s="55" cm="1">
        <f t="array" ref="D139">MMS_Dairy_N2ODirect_Equations.VEERG_4_3_1_3__4_NitrogenExcretedByDairyCattleGreaterThanOneYear(D119,D96,D19)</f>
        <v>0.26431897029296131</v>
      </c>
      <c r="E139" s="55" cm="1">
        <f t="array" ref="E139">MMS_Dairy_N2ODirect_Equations.VEERG_4_3_1_3__4_NitrogenExcretedByDairyCattleGreaterThanOneYear(E119,E96,E19)</f>
        <v>0.22709576921272823</v>
      </c>
      <c r="F139" s="55" cm="1">
        <f t="array" ref="F139">MMS_Dairy_N2ODirect_Equations.VEERG_4_3_1_3__4_NitrogenExcretedByDairyCattleGreaterThanOneYear(F119,F96,F19)</f>
        <v>0.1133928568810149</v>
      </c>
      <c r="G139" s="55" cm="1">
        <f t="array" ref="G139">MMS_Dairy_N2ODirect_Equations.VEERG_4_3_1_3__4_NitrogenExcretedByDairyCattleGreaterThanOneYear(G119,G96,G19)</f>
        <v>0.28546836331241399</v>
      </c>
      <c r="H139" s="55" cm="1">
        <f t="array" ref="H139">MMS_Dairy_N2ODirect_Equations.VEERG_4_3_1_3__4_NitrogenExcretedByDairyCattleGreaterThanOneYear(H119,H96,H19)</f>
        <v>0.15247929000170721</v>
      </c>
      <c r="I139" s="2" t="str">
        <f>$E$130</f>
        <v>kg N/head/day</v>
      </c>
      <c r="N139" s="55" cm="1">
        <f t="array" ref="N139">MMS_Dairy_N2ODirect_Equations.VEERG_4_3_1_3__4_NitrogenExcretedByDairyCattleGreaterThanOneYear(N119,N96,N19)</f>
        <v>0.26431897029296131</v>
      </c>
      <c r="O139" s="55" cm="1">
        <f t="array" ref="O139">MMS_Dairy_N2ODirect_Equations.VEERG_4_3_1_3__4_NitrogenExcretedByDairyCattleGreaterThanOneYear(O119,O96,O19)</f>
        <v>0.22709576921272823</v>
      </c>
      <c r="P139" s="55" cm="1">
        <f t="array" ref="P139">MMS_Dairy_N2ODirect_Equations.VEERG_4_3_1_3__4_NitrogenExcretedByDairyCattleGreaterThanOneYear(P119,P96,P19)</f>
        <v>0.1133928568810149</v>
      </c>
      <c r="Q139" s="55" cm="1">
        <f t="array" ref="Q139">MMS_Dairy_N2ODirect_Equations.VEERG_4_3_1_3__4_NitrogenExcretedByDairyCattleGreaterThanOneYear(Q119,Q96,Q19)</f>
        <v>0.28546836331241399</v>
      </c>
      <c r="R139" s="55" cm="1">
        <f t="array" ref="R139">MMS_Dairy_N2ODirect_Equations.VEERG_4_3_1_3__4_NitrogenExcretedByDairyCattleGreaterThanOneYear(R119,R96,R19)</f>
        <v>0.15247929000170721</v>
      </c>
      <c r="S139" s="2" t="str">
        <f>$E$130</f>
        <v>kg N/head/day</v>
      </c>
    </row>
    <row r="140" spans="3:21" ht="20.100000000000001" customHeight="1" x14ac:dyDescent="0.25"/>
    <row r="141" spans="3:21" ht="20.100000000000001" customHeight="1" x14ac:dyDescent="0.25"/>
    <row r="142" spans="3:21" ht="20.100000000000001" customHeight="1" x14ac:dyDescent="0.25">
      <c r="C142" s="48"/>
      <c r="D142" s="48"/>
      <c r="E142" s="48"/>
      <c r="F142" s="48"/>
      <c r="G142" s="48"/>
      <c r="H142" s="48"/>
      <c r="I142" s="48"/>
      <c r="J142" s="48"/>
      <c r="K142" s="48"/>
      <c r="M142" s="48"/>
      <c r="N142" s="48"/>
      <c r="O142" s="48"/>
      <c r="P142" s="48"/>
      <c r="Q142" s="48"/>
      <c r="R142" s="48"/>
      <c r="S142" s="48"/>
      <c r="T142" s="48"/>
      <c r="U142" s="48"/>
    </row>
    <row r="143" spans="3:21" ht="20.100000000000001" customHeight="1" x14ac:dyDescent="0.25">
      <c r="D143" s="6" t="str" cm="1">
        <f t="array" ref="D143">MMS_Dairy_N2ODirect_Equations.VEERG_4_3_1_3__3a_TotalAnnualNitrogenExcretedGreaterThanOneYear_Title()</f>
        <v>Total annual nitrogen excreted by dairy cattle greater than one year old</v>
      </c>
    </row>
    <row r="144" spans="3:21" ht="20.100000000000001" customHeight="1" x14ac:dyDescent="0.25">
      <c r="D144" s="5" t="str" cm="1">
        <f t="array" ref="D144">MMS_Dairy_N2ODirect_Equations.VEERG_4_3_1_3__3a_TotalAnnualNitrogenExcretedGreaterThanOneYear_Source()</f>
        <v>VEERG 2026: 4.3.1.3, Equation (3a)</v>
      </c>
    </row>
    <row r="145" spans="4:9" ht="20.100000000000001" customHeight="1" x14ac:dyDescent="0.25">
      <c r="D145" s="58" t="str" cm="1">
        <f t="array" ref="D145">MMS_Dairy_N2ODirect_Equations.VEERG_4_3_1_3__3a_TotalAnnualNitrogenExcretedGreaterThanOneYear_Variation()</f>
        <v>VARIATION: Used Duration variables instead of hard-coded 365 value.</v>
      </c>
    </row>
    <row r="146" spans="4:9" ht="20.100000000000001" customHeight="1" x14ac:dyDescent="0.25">
      <c r="D146" s="13" t="s">
        <v>28</v>
      </c>
      <c r="E146" s="13" t="str" cm="1">
        <f t="array" aca="1" ref="E146" ca="1">Common_InputFunctions.Utility_DisplayFunctionName(D169)</f>
        <v>=MMS_Dairy_N2ODirect_Equations.VEERG_4_3_1_3__3a_TotalAnnualNitrogenExcretedGreaterThanOneYearVariation</v>
      </c>
    </row>
    <row r="147" spans="4:9" ht="20.100000000000001" customHeight="1" x14ac:dyDescent="0.25"/>
    <row r="148" spans="4:9" ht="20.100000000000001" customHeight="1" x14ac:dyDescent="0.25">
      <c r="D148" s="6"/>
    </row>
    <row r="149" spans="4:9" ht="20.100000000000001" customHeight="1" x14ac:dyDescent="0.25">
      <c r="D149" s="56" t="s">
        <v>31</v>
      </c>
      <c r="E149" s="1" t="str" cm="1">
        <f t="array" ref="E149">MMS_Dairy_N2ODirect_Equations.VEERG_4_3_1_3__3a_TotalAnnualNitrogenExcretedGreaterThanOneYear_Variable()</f>
        <v>AE_j124</v>
      </c>
    </row>
    <row r="150" spans="4:9" ht="20.100000000000001" customHeight="1" x14ac:dyDescent="0.25">
      <c r="D150" s="56" t="s">
        <v>21</v>
      </c>
      <c r="E150" s="57" t="str" cm="1">
        <f t="array" ref="E150">MMS_Dairy_N2ODirect_Equations.VEERG_4_3_1_3__3a_TotalAnnualNitrogenExcretedGreaterThanOneYear_Unit()</f>
        <v>kg N</v>
      </c>
    </row>
    <row r="151" spans="4:9" ht="20.100000000000001" customHeight="1" x14ac:dyDescent="0.25"/>
    <row r="152" spans="4:9" ht="20.100000000000001" customHeight="1" x14ac:dyDescent="0.25">
      <c r="D152" s="115" t="str" cm="1">
        <f t="array" ref="D152:E154">MMS_Dairy_N2ODirect_Equations.VEERG_4_3_1_3__3a_TotalAnnualNitrogenExcretedGreaterThanOneYear_Arguments()</f>
        <v>N_j124</v>
      </c>
      <c r="E152" s="117" t="str">
        <v>number of dairy cattle in classes j=1,2,4</v>
      </c>
      <c r="F152" s="116"/>
      <c r="G152" s="115" t="str">
        <f>"See " &amp; D156</f>
        <v>See Table_N_j</v>
      </c>
    </row>
    <row r="153" spans="4:9" ht="20.100000000000001" customHeight="1" x14ac:dyDescent="0.25">
      <c r="D153" s="115" t="str">
        <v>NE_j124</v>
      </c>
      <c r="E153" s="117" t="str">
        <v>nitrogen excreted by dairy cattle greater than one year old (kg N/head/day)</v>
      </c>
      <c r="F153" s="116"/>
      <c r="G153" s="115" t="str">
        <f>"See " &amp; D136</f>
        <v>See M1_Table_NE_j</v>
      </c>
    </row>
    <row r="154" spans="4:9" ht="20.100000000000001" customHeight="1" x14ac:dyDescent="0.25">
      <c r="D154" s="115" t="str">
        <v>D_j124</v>
      </c>
      <c r="E154" s="117" t="str">
        <v>duration of stay on farm for classes j=1,2,4 (days)</v>
      </c>
      <c r="F154" s="116"/>
      <c r="G154" s="115" t="str">
        <f>"See " &amp; D161</f>
        <v>See M1_Table_D_j-1-2-4</v>
      </c>
    </row>
    <row r="155" spans="4:9" ht="20.100000000000001" customHeight="1" x14ac:dyDescent="0.25"/>
    <row r="156" spans="4:9" ht="20.100000000000001" customHeight="1" x14ac:dyDescent="0.25">
      <c r="D156" s="104" t="s">
        <v>109</v>
      </c>
    </row>
    <row r="157" spans="4:9" ht="20.100000000000001" customHeight="1" x14ac:dyDescent="0.25">
      <c r="D157" s="103" t="s">
        <v>290</v>
      </c>
    </row>
    <row r="158" spans="4:9" ht="20.100000000000001" customHeight="1" x14ac:dyDescent="0.25">
      <c r="D158" s="54" t="s">
        <v>189</v>
      </c>
      <c r="E158" s="54" t="s">
        <v>206</v>
      </c>
      <c r="F158" s="54" t="s">
        <v>207</v>
      </c>
      <c r="G158" s="54" t="s">
        <v>208</v>
      </c>
      <c r="H158" s="54" t="s">
        <v>209</v>
      </c>
    </row>
    <row r="159" spans="4:9" ht="20.100000000000001" customHeight="1" x14ac:dyDescent="0.25">
      <c r="D159" s="107">
        <f>'Input - Dairy'!$E$10</f>
        <v>100</v>
      </c>
      <c r="E159" s="107">
        <f>'Input - Dairy'!$F$10</f>
        <v>100</v>
      </c>
      <c r="F159" s="107">
        <f>'Input - Dairy'!$G$10</f>
        <v>100</v>
      </c>
      <c r="G159" s="107">
        <f>'Input - Dairy'!$H$10</f>
        <v>100</v>
      </c>
      <c r="H159" s="107">
        <f>'Input - Dairy'!$I$10</f>
        <v>100</v>
      </c>
      <c r="I159" s="2" t="s">
        <v>110</v>
      </c>
    </row>
    <row r="160" spans="4:9" ht="20.100000000000001" customHeight="1" x14ac:dyDescent="0.25"/>
    <row r="161" spans="3:21" ht="20.100000000000001" customHeight="1" x14ac:dyDescent="0.25">
      <c r="D161" s="104" t="s">
        <v>297</v>
      </c>
      <c r="N161" s="104" t="s">
        <v>297</v>
      </c>
    </row>
    <row r="162" spans="3:21" ht="20.100000000000001" customHeight="1" x14ac:dyDescent="0.25">
      <c r="D162" s="103" t="s">
        <v>328</v>
      </c>
      <c r="N162" s="103" t="s">
        <v>329</v>
      </c>
    </row>
    <row r="163" spans="3:21" ht="20.100000000000001" customHeight="1" x14ac:dyDescent="0.25">
      <c r="D163" s="54" t="s">
        <v>189</v>
      </c>
      <c r="E163" s="54" t="s">
        <v>206</v>
      </c>
      <c r="F163" s="54" t="s">
        <v>207</v>
      </c>
      <c r="G163" s="54" t="s">
        <v>208</v>
      </c>
      <c r="H163" s="54" t="s">
        <v>209</v>
      </c>
      <c r="N163" s="54" t="s">
        <v>189</v>
      </c>
      <c r="O163" s="54" t="s">
        <v>206</v>
      </c>
      <c r="P163" s="54" t="s">
        <v>207</v>
      </c>
      <c r="Q163" s="54" t="s">
        <v>208</v>
      </c>
      <c r="R163" s="54" t="s">
        <v>209</v>
      </c>
    </row>
    <row r="164" spans="3:21" ht="20.100000000000001" customHeight="1" x14ac:dyDescent="0.25">
      <c r="D164" s="55">
        <f>'Input - Dairy'!$E$24</f>
        <v>365</v>
      </c>
      <c r="E164" s="55">
        <f>'Input - Dairy'!$F$24</f>
        <v>365</v>
      </c>
      <c r="F164" s="55">
        <v>0</v>
      </c>
      <c r="G164" s="55">
        <f>'Input - Dairy'!$H$24</f>
        <v>365</v>
      </c>
      <c r="H164" s="55">
        <v>0</v>
      </c>
      <c r="I164" s="2" t="s">
        <v>56</v>
      </c>
      <c r="N164" s="55">
        <f>'Input - Dairy'!E28</f>
        <v>365</v>
      </c>
      <c r="O164" s="55">
        <f>'Input - Dairy'!F28</f>
        <v>365</v>
      </c>
      <c r="P164" s="55">
        <v>0</v>
      </c>
      <c r="Q164" s="55">
        <f>'Input - Dairy'!H28</f>
        <v>365</v>
      </c>
      <c r="R164" s="55">
        <v>0</v>
      </c>
      <c r="S164" s="2" t="s">
        <v>56</v>
      </c>
    </row>
    <row r="165" spans="3:21" ht="20.100000000000001" customHeight="1" x14ac:dyDescent="0.25"/>
    <row r="166" spans="3:21" ht="20.100000000000001" customHeight="1" x14ac:dyDescent="0.25">
      <c r="D166" s="104" t="s">
        <v>326</v>
      </c>
      <c r="N166" s="104" t="s">
        <v>326</v>
      </c>
    </row>
    <row r="167" spans="3:21" ht="20.100000000000001" customHeight="1" x14ac:dyDescent="0.25">
      <c r="D167" s="103" t="s">
        <v>335</v>
      </c>
      <c r="N167" s="103" t="s">
        <v>327</v>
      </c>
    </row>
    <row r="168" spans="3:21" ht="20.100000000000001" customHeight="1" x14ac:dyDescent="0.25">
      <c r="D168" s="54" t="s">
        <v>189</v>
      </c>
      <c r="E168" s="54" t="s">
        <v>206</v>
      </c>
      <c r="F168" s="54" t="s">
        <v>207</v>
      </c>
      <c r="G168" s="54" t="s">
        <v>208</v>
      </c>
      <c r="H168" s="54" t="s">
        <v>209</v>
      </c>
      <c r="N168" s="54" t="s">
        <v>189</v>
      </c>
      <c r="O168" s="54" t="s">
        <v>206</v>
      </c>
      <c r="P168" s="54" t="s">
        <v>207</v>
      </c>
      <c r="Q168" s="54" t="s">
        <v>208</v>
      </c>
      <c r="R168" s="54" t="s">
        <v>209</v>
      </c>
    </row>
    <row r="169" spans="3:21" ht="20.100000000000001" customHeight="1" x14ac:dyDescent="0.25">
      <c r="D169" s="55" cm="1">
        <f t="array" ref="D169">MMS_Dairy_N2ODirect_Equations.VEERG_4_3_1_3__3a_TotalAnnualNitrogenExcretedGreaterThanOneYearVariation(D159,D139,D164)</f>
        <v>9647.642415693088</v>
      </c>
      <c r="E169" s="55" cm="1">
        <f t="array" ref="E169">MMS_Dairy_N2ODirect_Equations.VEERG_4_3_1_3__3a_TotalAnnualNitrogenExcretedGreaterThanOneYearVariation(E159,E139,E164)</f>
        <v>8288.9955762645804</v>
      </c>
      <c r="F169" s="55" cm="1">
        <f t="array" ref="F169">MMS_Dairy_N2ODirect_Equations.VEERG_4_3_1_3__3a_TotalAnnualNitrogenExcretedGreaterThanOneYearVariation(F159,F139,F164)</f>
        <v>0</v>
      </c>
      <c r="G169" s="55" cm="1">
        <f t="array" ref="G169">MMS_Dairy_N2ODirect_Equations.VEERG_4_3_1_3__3a_TotalAnnualNitrogenExcretedGreaterThanOneYearVariation(G159,G139,G164)</f>
        <v>10419.59526090311</v>
      </c>
      <c r="H169" s="55" cm="1">
        <f t="array" ref="H169">MMS_Dairy_N2ODirect_Equations.VEERG_4_3_1_3__3a_TotalAnnualNitrogenExcretedGreaterThanOneYearVariation(H159,H139,H164)</f>
        <v>0</v>
      </c>
      <c r="I169" s="2" t="str">
        <f>$E$150</f>
        <v>kg N</v>
      </c>
      <c r="N169" s="55" cm="1">
        <f t="array" ref="N169">MMS_Dairy_N2ODirect_Equations.VEERG_4_3_1_3__3a_TotalAnnualNitrogenExcretedGreaterThanOneYearVariation(D159,N139,N164)</f>
        <v>9647.642415693088</v>
      </c>
      <c r="O169" s="55" cm="1">
        <f t="array" ref="O169">MMS_Dairy_N2ODirect_Equations.VEERG_4_3_1_3__3a_TotalAnnualNitrogenExcretedGreaterThanOneYearVariation(E159,O139,O164)</f>
        <v>8288.9955762645804</v>
      </c>
      <c r="P169" s="55" cm="1">
        <f t="array" ref="P169">MMS_Dairy_N2ODirect_Equations.VEERG_4_3_1_3__3a_TotalAnnualNitrogenExcretedGreaterThanOneYearVariation(F159,P139,P164)</f>
        <v>0</v>
      </c>
      <c r="Q169" s="55" cm="1">
        <f t="array" ref="Q169">MMS_Dairy_N2ODirect_Equations.VEERG_4_3_1_3__3a_TotalAnnualNitrogenExcretedGreaterThanOneYearVariation(G159,Q139,Q164)</f>
        <v>10419.59526090311</v>
      </c>
      <c r="R169" s="55" cm="1">
        <f t="array" ref="R169">MMS_Dairy_N2ODirect_Equations.VEERG_4_3_1_3__3a_TotalAnnualNitrogenExcretedGreaterThanOneYearVariation(H159,R139,R164)</f>
        <v>0</v>
      </c>
      <c r="S169" s="2" t="str">
        <f>$E$150</f>
        <v>kg N</v>
      </c>
    </row>
    <row r="170" spans="3:21" ht="20.100000000000001" customHeight="1" x14ac:dyDescent="0.25"/>
    <row r="171" spans="3:21" ht="20.100000000000001" customHeight="1" x14ac:dyDescent="0.25"/>
    <row r="172" spans="3:21" ht="20.100000000000001" customHeight="1" x14ac:dyDescent="0.25">
      <c r="C172" s="48"/>
      <c r="D172" s="48"/>
      <c r="E172" s="48"/>
      <c r="F172" s="48"/>
      <c r="G172" s="48"/>
      <c r="H172" s="48"/>
      <c r="I172" s="48"/>
      <c r="J172" s="48"/>
      <c r="K172" s="48"/>
      <c r="M172" s="48"/>
      <c r="N172" s="48"/>
      <c r="O172" s="48"/>
      <c r="P172" s="48"/>
      <c r="Q172" s="48"/>
      <c r="R172" s="48"/>
      <c r="S172" s="48"/>
      <c r="T172" s="48"/>
      <c r="U172" s="48"/>
    </row>
    <row r="173" spans="3:21" ht="20.100000000000001" customHeight="1" x14ac:dyDescent="0.25">
      <c r="D173" s="6" t="str" cm="1">
        <f t="array" ref="D173">MMS_Dairy_N2ODirect_Equations.VEERG_4_3_1_3__3b_TotalAnnualNitrogenExcretedLessThanOneYear_Title()</f>
        <v>Total annual nitrogen excreted by dairy cattle less than one year old</v>
      </c>
    </row>
    <row r="174" spans="3:21" ht="20.100000000000001" customHeight="1" x14ac:dyDescent="0.25">
      <c r="D174" s="5" t="str" cm="1">
        <f t="array" ref="D174">MMS_Dairy_N2ODirect_Equations.VEERG_4_3_1_3__3b_TotalAnnualNitrogenExcretedLessThanOneYear_Source()</f>
        <v>VEERG 2026: 4.3.1.3, Equation (3b)</v>
      </c>
    </row>
    <row r="175" spans="3:21" ht="20.100000000000001" customHeight="1" x14ac:dyDescent="0.25">
      <c r="D175" s="58" t="str" cm="1">
        <f t="array" ref="D175">MMS_Dairy_N2ODirect_Equations.VEERG_4_3_1_3__3b_TotalAnnualNitrogenExcretedLessThanOneYear_Variation()</f>
        <v>VARIATION: Used Duration variables instead of hard-coded 281 and 84 values.</v>
      </c>
    </row>
    <row r="176" spans="3:21" ht="20.100000000000001" customHeight="1" x14ac:dyDescent="0.25">
      <c r="D176" s="13" t="s">
        <v>28</v>
      </c>
      <c r="E176" s="13" t="str" cm="1">
        <f t="array" aca="1" ref="E176" ca="1">Common_InputFunctions.Utility_DisplayFunctionName(D206)</f>
        <v>=MMS_Dairy_N2ODirect_Equations.VEERG_4_3_1_3__3b_TotalAnnualNitrogenExcretedLessThanOneYearVariation</v>
      </c>
    </row>
    <row r="177" spans="4:9" ht="20.100000000000001" customHeight="1" x14ac:dyDescent="0.25">
      <c r="D177" s="6"/>
    </row>
    <row r="178" spans="4:9" ht="20.100000000000001" customHeight="1" x14ac:dyDescent="0.25">
      <c r="D178" s="6"/>
    </row>
    <row r="179" spans="4:9" ht="20.100000000000001" customHeight="1" x14ac:dyDescent="0.25">
      <c r="D179" s="56" t="s">
        <v>31</v>
      </c>
      <c r="E179" s="1" t="str" cm="1">
        <f t="array" ref="E179">MMS_Dairy_N2ODirect_Equations.VEERG_4_3_1_3__3b_TotalAnnualNitrogenExcretedLessThanOneYear_Variable()</f>
        <v>AE_j35</v>
      </c>
    </row>
    <row r="180" spans="4:9" ht="20.100000000000001" customHeight="1" x14ac:dyDescent="0.25">
      <c r="D180" s="56" t="s">
        <v>21</v>
      </c>
      <c r="E180" s="57" t="str" cm="1">
        <f t="array" ref="E180">MMS_Dairy_N2ODirect_Equations.VEERG_4_3_1_3__3b_TotalAnnualNitrogenExcretedLessThanOneYear_Unit()</f>
        <v>kg N</v>
      </c>
    </row>
    <row r="181" spans="4:9" ht="20.100000000000001" customHeight="1" x14ac:dyDescent="0.25"/>
    <row r="182" spans="4:9" ht="20.100000000000001" customHeight="1" x14ac:dyDescent="0.25">
      <c r="D182" s="60" t="str" cm="1">
        <f t="array" ref="D182:E186">MMS_Dairy_N2ODirect_Equations.VEERG_4_3_1_3__3b_TotalAnnualNitrogenExcretedLessThanOneYear_Arguments()</f>
        <v>N_j35</v>
      </c>
      <c r="E182" s="61" t="str">
        <v>number of dairy cattle in classes j=3,5</v>
      </c>
      <c r="F182" s="62"/>
      <c r="G182" s="60" t="str">
        <f>"See " &amp; D156</f>
        <v>See Table_N_j</v>
      </c>
    </row>
    <row r="183" spans="4:9" ht="20.100000000000001" customHeight="1" x14ac:dyDescent="0.25">
      <c r="D183" s="60" t="str">
        <v>NE_j35</v>
      </c>
      <c r="E183" s="61" t="str">
        <v>nitrogen excreted by weaned dairy cattle less than one year old (kg N/head/day)</v>
      </c>
      <c r="F183" s="62"/>
      <c r="G183" s="60" t="str">
        <f>"See " &amp; D136</f>
        <v>See M1_Table_NE_j</v>
      </c>
    </row>
    <row r="184" spans="4:9" ht="20.100000000000001" customHeight="1" x14ac:dyDescent="0.25">
      <c r="D184" s="60" t="str">
        <v>NPW_j35</v>
      </c>
      <c r="E184" s="61" t="str">
        <v>nitrogen excreted by pre-weaned calves (kg N/head/day)</v>
      </c>
      <c r="F184" s="62"/>
      <c r="G184" s="60" t="str">
        <f>"See " &amp; D188</f>
        <v>See Table_NPW_j-3-5</v>
      </c>
    </row>
    <row r="185" spans="4:9" ht="20.100000000000001" customHeight="1" x14ac:dyDescent="0.25">
      <c r="D185" s="60" t="str">
        <v>D_j35</v>
      </c>
      <c r="E185" s="61" t="str">
        <v>duration of stay on farm for weaned dairy cattle less than one year old (days)</v>
      </c>
      <c r="F185" s="62"/>
      <c r="G185" s="60" t="str">
        <f>"See " &amp; D193</f>
        <v>See M1_Table_D_j-3-5</v>
      </c>
    </row>
    <row r="186" spans="4:9" ht="20.100000000000001" customHeight="1" x14ac:dyDescent="0.25">
      <c r="D186" s="60" t="str">
        <v>DPW_j35</v>
      </c>
      <c r="E186" s="61" t="str">
        <v>duration of stay on farm for pre-weaned calves (days)</v>
      </c>
      <c r="F186" s="62"/>
      <c r="G186" s="60" t="str">
        <f>"See " &amp; D198</f>
        <v>See M1_Table_DPW_j</v>
      </c>
    </row>
    <row r="187" spans="4:9" ht="20.100000000000001" customHeight="1" x14ac:dyDescent="0.25"/>
    <row r="188" spans="4:9" ht="20.100000000000001" customHeight="1" x14ac:dyDescent="0.25">
      <c r="D188" s="104" t="s">
        <v>332</v>
      </c>
    </row>
    <row r="189" spans="4:9" ht="20.100000000000001" customHeight="1" x14ac:dyDescent="0.25">
      <c r="D189" s="103" t="s">
        <v>333</v>
      </c>
    </row>
    <row r="190" spans="4:9" ht="20.100000000000001" customHeight="1" x14ac:dyDescent="0.25">
      <c r="D190" s="54" t="s">
        <v>189</v>
      </c>
      <c r="E190" s="54" t="s">
        <v>206</v>
      </c>
      <c r="F190" s="54" t="s">
        <v>207</v>
      </c>
      <c r="G190" s="54" t="s">
        <v>208</v>
      </c>
      <c r="H190" s="54" t="s">
        <v>209</v>
      </c>
    </row>
    <row r="191" spans="4:9" ht="20.100000000000001" customHeight="1" x14ac:dyDescent="0.25">
      <c r="D191" s="55">
        <v>0</v>
      </c>
      <c r="E191" s="55">
        <v>0</v>
      </c>
      <c r="F191" s="55">
        <f>'Constants - Dairy'!$G$63</f>
        <v>1.37E-2</v>
      </c>
      <c r="G191" s="55">
        <v>0</v>
      </c>
      <c r="H191" s="55">
        <f>'Constants - Dairy'!$G$64</f>
        <v>9.1999999999999998E-3</v>
      </c>
      <c r="I191" s="2" t="s">
        <v>296</v>
      </c>
    </row>
    <row r="192" spans="4:9" ht="20.100000000000001" customHeight="1" x14ac:dyDescent="0.25"/>
    <row r="193" spans="4:19" ht="20.100000000000001" customHeight="1" x14ac:dyDescent="0.25">
      <c r="D193" s="104" t="s">
        <v>330</v>
      </c>
      <c r="N193" s="104" t="s">
        <v>330</v>
      </c>
    </row>
    <row r="194" spans="4:19" ht="20.100000000000001" customHeight="1" x14ac:dyDescent="0.25">
      <c r="D194" s="103" t="s">
        <v>331</v>
      </c>
      <c r="N194" s="103" t="s">
        <v>331</v>
      </c>
    </row>
    <row r="195" spans="4:19" ht="20.100000000000001" customHeight="1" x14ac:dyDescent="0.25">
      <c r="D195" s="54" t="s">
        <v>189</v>
      </c>
      <c r="E195" s="54" t="s">
        <v>206</v>
      </c>
      <c r="F195" s="54" t="s">
        <v>207</v>
      </c>
      <c r="G195" s="54" t="s">
        <v>208</v>
      </c>
      <c r="H195" s="54" t="s">
        <v>209</v>
      </c>
      <c r="N195" s="54" t="s">
        <v>189</v>
      </c>
      <c r="O195" s="54" t="s">
        <v>206</v>
      </c>
      <c r="P195" s="54" t="s">
        <v>207</v>
      </c>
      <c r="Q195" s="54" t="s">
        <v>208</v>
      </c>
      <c r="R195" s="54" t="s">
        <v>209</v>
      </c>
    </row>
    <row r="196" spans="4:19" ht="20.100000000000001" customHeight="1" x14ac:dyDescent="0.25">
      <c r="D196" s="55">
        <v>0</v>
      </c>
      <c r="E196" s="55">
        <v>0</v>
      </c>
      <c r="F196" s="55">
        <f>'Input - Dairy'!$G$24</f>
        <v>281</v>
      </c>
      <c r="G196" s="55">
        <v>0</v>
      </c>
      <c r="H196" s="55">
        <f>'Input - Dairy'!$I$24</f>
        <v>281</v>
      </c>
      <c r="I196" s="2" t="s">
        <v>56</v>
      </c>
      <c r="N196" s="55">
        <v>0</v>
      </c>
      <c r="O196" s="55">
        <v>0</v>
      </c>
      <c r="P196" s="55">
        <f>'Input - Dairy'!G28</f>
        <v>281</v>
      </c>
      <c r="Q196" s="55">
        <v>0</v>
      </c>
      <c r="R196" s="55">
        <f>'Input - Dairy'!I28</f>
        <v>281</v>
      </c>
      <c r="S196" s="2" t="s">
        <v>56</v>
      </c>
    </row>
    <row r="197" spans="4:19" ht="20.100000000000001" customHeight="1" x14ac:dyDescent="0.25"/>
    <row r="198" spans="4:19" ht="20.100000000000001" customHeight="1" x14ac:dyDescent="0.25">
      <c r="D198" s="104" t="s">
        <v>292</v>
      </c>
      <c r="N198" s="104" t="s">
        <v>292</v>
      </c>
    </row>
    <row r="199" spans="4:19" ht="20.100000000000001" customHeight="1" x14ac:dyDescent="0.25">
      <c r="D199" s="103" t="s">
        <v>300</v>
      </c>
      <c r="N199" s="103" t="s">
        <v>300</v>
      </c>
    </row>
    <row r="200" spans="4:19" ht="20.100000000000001" customHeight="1" x14ac:dyDescent="0.25">
      <c r="D200" s="54" t="s">
        <v>189</v>
      </c>
      <c r="E200" s="54" t="s">
        <v>206</v>
      </c>
      <c r="F200" s="54" t="s">
        <v>207</v>
      </c>
      <c r="G200" s="54" t="s">
        <v>208</v>
      </c>
      <c r="H200" s="54" t="s">
        <v>209</v>
      </c>
      <c r="N200" s="54" t="s">
        <v>189</v>
      </c>
      <c r="O200" s="54" t="s">
        <v>206</v>
      </c>
      <c r="P200" s="54" t="s">
        <v>207</v>
      </c>
      <c r="Q200" s="54" t="s">
        <v>208</v>
      </c>
      <c r="R200" s="54" t="s">
        <v>209</v>
      </c>
    </row>
    <row r="201" spans="4:19" ht="20.100000000000001" customHeight="1" x14ac:dyDescent="0.25">
      <c r="D201" s="55">
        <f>'Input - Dairy'!$E$25</f>
        <v>0</v>
      </c>
      <c r="E201" s="55">
        <f>'Input - Dairy'!$F$25</f>
        <v>0</v>
      </c>
      <c r="F201" s="55">
        <f>'Input - Dairy'!$G$25</f>
        <v>84</v>
      </c>
      <c r="G201" s="55">
        <f>'Input - Dairy'!$H$25</f>
        <v>0</v>
      </c>
      <c r="H201" s="55">
        <f>'Input - Dairy'!$I$25</f>
        <v>84</v>
      </c>
      <c r="I201" s="2" t="s">
        <v>56</v>
      </c>
      <c r="N201" s="55">
        <f>'Input - Dairy'!$E$25</f>
        <v>0</v>
      </c>
      <c r="O201" s="55">
        <f>'Input - Dairy'!$F$25</f>
        <v>0</v>
      </c>
      <c r="P201" s="55">
        <f>'Input - Dairy'!G29</f>
        <v>84</v>
      </c>
      <c r="Q201" s="55">
        <f>'Input - Dairy'!$H$25</f>
        <v>0</v>
      </c>
      <c r="R201" s="55">
        <f>'Input - Dairy'!I29</f>
        <v>84</v>
      </c>
      <c r="S201" s="2" t="s">
        <v>56</v>
      </c>
    </row>
    <row r="202" spans="4:19" ht="20.100000000000001" customHeight="1" x14ac:dyDescent="0.25"/>
    <row r="203" spans="4:19" ht="20.100000000000001" customHeight="1" x14ac:dyDescent="0.25">
      <c r="D203" s="104" t="s">
        <v>125</v>
      </c>
      <c r="N203" s="104" t="s">
        <v>125</v>
      </c>
    </row>
    <row r="204" spans="4:19" ht="20.100000000000001" customHeight="1" x14ac:dyDescent="0.25">
      <c r="D204" s="103" t="s">
        <v>334</v>
      </c>
      <c r="N204" s="103" t="s">
        <v>334</v>
      </c>
    </row>
    <row r="205" spans="4:19" ht="20.100000000000001" customHeight="1" x14ac:dyDescent="0.25">
      <c r="D205" s="54" t="s">
        <v>189</v>
      </c>
      <c r="E205" s="54" t="s">
        <v>206</v>
      </c>
      <c r="F205" s="54" t="s">
        <v>207</v>
      </c>
      <c r="G205" s="54" t="s">
        <v>208</v>
      </c>
      <c r="H205" s="54" t="s">
        <v>209</v>
      </c>
      <c r="N205" s="54" t="s">
        <v>189</v>
      </c>
      <c r="O205" s="54" t="s">
        <v>206</v>
      </c>
      <c r="P205" s="54" t="s">
        <v>207</v>
      </c>
      <c r="Q205" s="54" t="s">
        <v>208</v>
      </c>
      <c r="R205" s="54" t="s">
        <v>209</v>
      </c>
    </row>
    <row r="206" spans="4:19" ht="20.100000000000001" customHeight="1" x14ac:dyDescent="0.25">
      <c r="D206" s="55" cm="1">
        <f t="array" ref="D206">MMS_Dairy_N2ODirect_Equations.VEERG_4_3_1_3__3b_TotalAnnualNitrogenExcretedLessThanOneYearVariation(D159,D139,D191,D196,D201)</f>
        <v>0</v>
      </c>
      <c r="E206" s="55" cm="1">
        <f t="array" ref="E206">MMS_Dairy_N2ODirect_Equations.VEERG_4_3_1_3__3b_TotalAnnualNitrogenExcretedLessThanOneYearVariation(E159,E139,E191,E196,E201)</f>
        <v>0</v>
      </c>
      <c r="F206" s="55" cm="1">
        <f t="array" ref="F206">MMS_Dairy_N2ODirect_Equations.VEERG_4_3_1_3__3b_TotalAnnualNitrogenExcretedLessThanOneYearVariation(F159,F139,F191,F196,F201)</f>
        <v>3301.419278356519</v>
      </c>
      <c r="G206" s="55" cm="1">
        <f t="array" ref="G206">MMS_Dairy_N2ODirect_Equations.VEERG_4_3_1_3__3b_TotalAnnualNitrogenExcretedLessThanOneYearVariation(G159,G139,G191,G196,G201)</f>
        <v>0</v>
      </c>
      <c r="H206" s="55" cm="1">
        <f t="array" ref="H206">MMS_Dairy_N2ODirect_Equations.VEERG_4_3_1_3__3b_TotalAnnualNitrogenExcretedLessThanOneYearVariation(H159,H139,H191,H196,H201)</f>
        <v>4361.9480490479727</v>
      </c>
      <c r="I206" s="2" t="str">
        <f>$E$180</f>
        <v>kg N</v>
      </c>
      <c r="N206" s="55" cm="1">
        <f t="array" ref="N206">MMS_Dairy_N2ODirect_Equations.VEERG_4_3_1_3__3b_TotalAnnualNitrogenExcretedLessThanOneYearVariation(D159,N139,D191,N196,N201)</f>
        <v>0</v>
      </c>
      <c r="O206" s="55" cm="1">
        <f t="array" ref="O206">MMS_Dairy_N2ODirect_Equations.VEERG_4_3_1_3__3b_TotalAnnualNitrogenExcretedLessThanOneYearVariation(E159,O139,E191,O196,O201)</f>
        <v>0</v>
      </c>
      <c r="P206" s="55" cm="1">
        <f t="array" ref="P206">MMS_Dairy_N2ODirect_Equations.VEERG_4_3_1_3__3b_TotalAnnualNitrogenExcretedLessThanOneYearVariation(F159,P139,F191,P196,P201)</f>
        <v>3301.419278356519</v>
      </c>
      <c r="Q206" s="55" cm="1">
        <f t="array" ref="Q206">MMS_Dairy_N2ODirect_Equations.VEERG_4_3_1_3__3b_TotalAnnualNitrogenExcretedLessThanOneYearVariation(G159,Q139,G191,Q196,Q201)</f>
        <v>0</v>
      </c>
      <c r="R206" s="55" cm="1">
        <f t="array" ref="R206">MMS_Dairy_N2ODirect_Equations.VEERG_4_3_1_3__3b_TotalAnnualNitrogenExcretedLessThanOneYearVariation(H159,R139,H191,R196,R201)</f>
        <v>4361.9480490479727</v>
      </c>
      <c r="S206" s="2" t="str">
        <f>$E$180</f>
        <v>kg N</v>
      </c>
    </row>
    <row r="207" spans="4:19" ht="20.100000000000001" customHeight="1" x14ac:dyDescent="0.25"/>
    <row r="208" spans="4:19" ht="20.100000000000001" customHeight="1" x14ac:dyDescent="0.25"/>
    <row r="209" spans="3:21" ht="20.100000000000001" customHeight="1" x14ac:dyDescent="0.25">
      <c r="C209" s="48"/>
      <c r="D209" s="48"/>
      <c r="E209" s="48"/>
      <c r="F209" s="48"/>
      <c r="G209" s="48"/>
      <c r="H209" s="48"/>
      <c r="I209" s="48"/>
      <c r="J209" s="48"/>
      <c r="K209" s="48"/>
      <c r="M209" s="48"/>
      <c r="N209" s="48"/>
      <c r="O209" s="48"/>
      <c r="P209" s="48"/>
      <c r="Q209" s="48"/>
      <c r="R209" s="48"/>
      <c r="S209" s="48"/>
      <c r="T209" s="48"/>
      <c r="U209" s="48"/>
    </row>
    <row r="210" spans="3:21" ht="20.100000000000001" customHeight="1" x14ac:dyDescent="0.25">
      <c r="D210" s="6" t="str" cm="1">
        <f t="array" ref="D210">MMS_Dairy_N2ODirect_Equations.VEERG_4_3_1_3__2_TotalNitrogenInEachMMS_Title()</f>
        <v>Total nitrogen in each MMS</v>
      </c>
    </row>
    <row r="211" spans="3:21" ht="20.100000000000001" customHeight="1" x14ac:dyDescent="0.25">
      <c r="D211" s="5" t="str" cm="1">
        <f t="array" ref="D211">MMS_Dairy_N2ODirect_Equations.VEERG_4_3_1_3__2_TotalNitrogenInEachMMS_Source()</f>
        <v>VEERG 2026: 4.3.1.3, Equation (2)</v>
      </c>
    </row>
    <row r="212" spans="3:21" ht="20.100000000000001" customHeight="1" x14ac:dyDescent="0.25">
      <c r="D212" s="13" t="s">
        <v>28</v>
      </c>
      <c r="E212" s="13" t="str" cm="1">
        <f t="array" aca="1" ref="E212" ca="1">Common_InputFunctions.Utility_DisplayFunctionName(F236)</f>
        <v>=MMS_Dairy_N2ODirect_Equations.VEERG_4_3_1_3__2_TotalNitrogenInEachMMS</v>
      </c>
    </row>
    <row r="213" spans="3:21" ht="20.100000000000001" customHeight="1" x14ac:dyDescent="0.25"/>
    <row r="214" spans="3:21" ht="20.100000000000001" customHeight="1" x14ac:dyDescent="0.25">
      <c r="D214" s="6"/>
    </row>
    <row r="215" spans="3:21" ht="20.100000000000001" customHeight="1" x14ac:dyDescent="0.25">
      <c r="D215" s="56" t="s">
        <v>31</v>
      </c>
      <c r="E215" s="1" t="str" cm="1">
        <f t="array" ref="E215">MMS_Dairy_N2ODirect_Equations.VEERG_4_3_1_3__2_TotalNitrogenInEachMMS_Variable()</f>
        <v>MN_jm</v>
      </c>
    </row>
    <row r="216" spans="3:21" ht="20.100000000000001" customHeight="1" x14ac:dyDescent="0.25">
      <c r="D216" s="56" t="s">
        <v>21</v>
      </c>
      <c r="E216" s="57" t="str" cm="1">
        <f t="array" ref="E216">MMS_Dairy_N2ODirect_Equations.VEERG_4_3_1_3__2_TotalNitrogenInEachMMS_Unit()</f>
        <v>kg N</v>
      </c>
    </row>
    <row r="217" spans="3:21" ht="20.100000000000001" customHeight="1" x14ac:dyDescent="0.25"/>
    <row r="218" spans="3:21" ht="20.100000000000001" customHeight="1" x14ac:dyDescent="0.25">
      <c r="D218" s="115" t="str" cm="1">
        <f t="array" ref="D218:E219">MMS_Dairy_N2ODirect_Equations.VEERG_4_3_1_3__2_TotalNitrogenInEachMMS_Arguments()</f>
        <v>AE_j</v>
      </c>
      <c r="E218" s="117" t="str">
        <v>total nitrogen excreted by each dairy class (kg N)</v>
      </c>
      <c r="F218" s="116"/>
      <c r="G218" s="115" t="str">
        <f>"See " &amp; D166 &amp; " and " &amp; D203</f>
        <v>See M1_Table_AE_j-1-2-4 and M1_Table_AE_j</v>
      </c>
    </row>
    <row r="219" spans="3:21" ht="20.100000000000001" customHeight="1" x14ac:dyDescent="0.25">
      <c r="D219" s="115" t="str">
        <v>MMS_jm</v>
      </c>
      <c r="E219" s="117" t="str">
        <v>manure management system fraction for class j and system m</v>
      </c>
      <c r="F219" s="116"/>
      <c r="G219" s="115" t="str">
        <f>"See " &amp; D221</f>
        <v>See M1_Table_MMS_j_m</v>
      </c>
    </row>
    <row r="220" spans="3:21" ht="20.100000000000001" customHeight="1" x14ac:dyDescent="0.25"/>
    <row r="221" spans="3:21" ht="20.100000000000001" customHeight="1" x14ac:dyDescent="0.25">
      <c r="D221" s="104" t="s">
        <v>271</v>
      </c>
      <c r="N221" s="104" t="s">
        <v>273</v>
      </c>
    </row>
    <row r="222" spans="3:21" ht="20.100000000000001" customHeight="1" x14ac:dyDescent="0.25">
      <c r="D222" s="103" t="s">
        <v>336</v>
      </c>
      <c r="N222" s="103" t="s">
        <v>337</v>
      </c>
    </row>
    <row r="223" spans="3:21" ht="20.100000000000001" customHeight="1" x14ac:dyDescent="0.25">
      <c r="D223" s="54" t="s">
        <v>159</v>
      </c>
      <c r="E223" s="54" t="s">
        <v>69</v>
      </c>
      <c r="F223" s="54" t="s">
        <v>189</v>
      </c>
      <c r="G223" s="54" t="s">
        <v>206</v>
      </c>
      <c r="H223" s="54" t="s">
        <v>207</v>
      </c>
      <c r="I223" s="54" t="s">
        <v>208</v>
      </c>
      <c r="J223" s="54" t="s">
        <v>209</v>
      </c>
      <c r="N223" s="54" t="s">
        <v>159</v>
      </c>
      <c r="O223" s="54" t="s">
        <v>69</v>
      </c>
      <c r="P223" s="54" t="s">
        <v>189</v>
      </c>
      <c r="Q223" s="54" t="s">
        <v>206</v>
      </c>
      <c r="R223" s="54" t="s">
        <v>207</v>
      </c>
      <c r="S223" s="54" t="s">
        <v>208</v>
      </c>
      <c r="T223" s="54" t="s">
        <v>209</v>
      </c>
    </row>
    <row r="224" spans="3:21" ht="20.100000000000001" customHeight="1" x14ac:dyDescent="0.25">
      <c r="D224" s="139" t="str">
        <f>'Input - Dairy'!$D$54</f>
        <v>Milking shed</v>
      </c>
      <c r="E224" s="139" t="str">
        <f>'Input - Dairy'!$D$67</f>
        <v>Anaerobic lagoon</v>
      </c>
      <c r="F224" s="55" cm="1">
        <f t="array" ref="F224">InputFunctions_Dairy.CalculateFractionInMMSAfterSolidSeparation('Input - Dairy'!E54,'Input - Dairy'!E67,'Input - Dairy'!$E$69)</f>
        <v>2.2000000000000002E-2</v>
      </c>
      <c r="G224" s="55" cm="1">
        <f t="array" ref="G224">InputFunctions_Dairy.CalculateFractionInMMSAfterSolidSeparation('Input - Dairy'!F54,'Input - Dairy'!F67,'Input - Dairy'!$E$69)</f>
        <v>2.2000000000000002E-2</v>
      </c>
      <c r="H224" s="55" cm="1">
        <f t="array" ref="H224">InputFunctions_Dairy.CalculateFractionInMMSAfterSolidSeparation('Input - Dairy'!G54,'Input - Dairy'!G67,'Input - Dairy'!$E$69)</f>
        <v>2.2000000000000002E-2</v>
      </c>
      <c r="I224" s="55" cm="1">
        <f t="array" ref="I224">InputFunctions_Dairy.CalculateFractionInMMSAfterSolidSeparation('Input - Dairy'!H54,'Input - Dairy'!H67,'Input - Dairy'!$E$69)</f>
        <v>2.2000000000000002E-2</v>
      </c>
      <c r="J224" s="55" cm="1">
        <f t="array" ref="J224">InputFunctions_Dairy.CalculateFractionInMMSAfterSolidSeparation('Input - Dairy'!I54,'Input - Dairy'!I67,'Input - Dairy'!$E$69)</f>
        <v>2.2000000000000002E-2</v>
      </c>
      <c r="N224" s="139" t="str">
        <f>'Input - Dairy'!$D$54</f>
        <v>Milking shed</v>
      </c>
      <c r="O224" s="139" t="str">
        <f>'Input - Dairy'!$D$67</f>
        <v>Anaerobic lagoon</v>
      </c>
      <c r="P224" s="55" cm="1">
        <f t="array" ref="P224">InputFunctions_Dairy.CalculateFractionInMMSAfterSolidSeparation('Input - Dairy'!E59,'Input - Dairy'!E67,'Input - Dairy'!$E$70)</f>
        <v>2.2000000000000002E-2</v>
      </c>
      <c r="Q224" s="55" cm="1">
        <f t="array" ref="Q224">InputFunctions_Dairy.CalculateFractionInMMSAfterSolidSeparation('Input - Dairy'!F59,'Input - Dairy'!F67,'Input - Dairy'!$E$70)</f>
        <v>2.2000000000000002E-2</v>
      </c>
      <c r="R224" s="55" cm="1">
        <f t="array" ref="R224">InputFunctions_Dairy.CalculateFractionInMMSAfterSolidSeparation('Input - Dairy'!G59,'Input - Dairy'!G67,'Input - Dairy'!$E$70)</f>
        <v>2.2000000000000002E-2</v>
      </c>
      <c r="S224" s="55" cm="1">
        <f t="array" ref="S224">InputFunctions_Dairy.CalculateFractionInMMSAfterSolidSeparation('Input - Dairy'!H59,'Input - Dairy'!H67,'Input - Dairy'!$E$70)</f>
        <v>2.2000000000000002E-2</v>
      </c>
      <c r="T224" s="55" cm="1">
        <f t="array" ref="T224">InputFunctions_Dairy.CalculateFractionInMMSAfterSolidSeparation('Input - Dairy'!I59,'Input - Dairy'!I67,'Input - Dairy'!$E$70)</f>
        <v>2.2000000000000002E-2</v>
      </c>
    </row>
    <row r="225" spans="4:20" ht="20.100000000000001" customHeight="1" x14ac:dyDescent="0.25">
      <c r="D225" s="139" t="str">
        <f>'Input - Dairy'!$D$54</f>
        <v>Milking shed</v>
      </c>
      <c r="E225" s="139" t="str">
        <f>'Input - Dairy'!$D$72</f>
        <v>Sump and dispersal system</v>
      </c>
      <c r="F225" s="55" cm="1">
        <f t="array" ref="F225">InputFunctions_Dairy.CalculateFractionInMMSAfterSolidSeparation('Input - Dairy'!E54,'Input - Dairy'!E72,'Input - Dairy'!$E$74)</f>
        <v>2.2000000000000002E-2</v>
      </c>
      <c r="G225" s="55" cm="1">
        <f t="array" ref="G225">InputFunctions_Dairy.CalculateFractionInMMSAfterSolidSeparation('Input - Dairy'!F54,'Input - Dairy'!F72,'Input - Dairy'!$E$74)</f>
        <v>2.2000000000000002E-2</v>
      </c>
      <c r="H225" s="55" cm="1">
        <f t="array" ref="H225">InputFunctions_Dairy.CalculateFractionInMMSAfterSolidSeparation('Input - Dairy'!G54,'Input - Dairy'!G72,'Input - Dairy'!$E$74)</f>
        <v>2.2000000000000002E-2</v>
      </c>
      <c r="I225" s="55" cm="1">
        <f t="array" ref="I225">InputFunctions_Dairy.CalculateFractionInMMSAfterSolidSeparation('Input - Dairy'!H54,'Input - Dairy'!H72,'Input - Dairy'!$E$74)</f>
        <v>2.2000000000000002E-2</v>
      </c>
      <c r="J225" s="55" cm="1">
        <f t="array" ref="J225">InputFunctions_Dairy.CalculateFractionInMMSAfterSolidSeparation('Input - Dairy'!I54,'Input - Dairy'!I72,'Input - Dairy'!$E$74)</f>
        <v>2.2000000000000002E-2</v>
      </c>
      <c r="N225" s="139" t="str">
        <f>'Input - Dairy'!$D$54</f>
        <v>Milking shed</v>
      </c>
      <c r="O225" s="139" t="str">
        <f>'Input - Dairy'!$D$72</f>
        <v>Sump and dispersal system</v>
      </c>
      <c r="P225" s="55" cm="1">
        <f t="array" ref="P225">InputFunctions_Dairy.CalculateFractionInMMSAfterSolidSeparation('Input - Dairy'!E59,'Input - Dairy'!E72,'Input - Dairy'!$E$75)</f>
        <v>2.2000000000000002E-2</v>
      </c>
      <c r="Q225" s="55" cm="1">
        <f t="array" ref="Q225">InputFunctions_Dairy.CalculateFractionInMMSAfterSolidSeparation('Input - Dairy'!F59,'Input - Dairy'!F72,'Input - Dairy'!$E$75)</f>
        <v>2.2000000000000002E-2</v>
      </c>
      <c r="R225" s="55" cm="1">
        <f t="array" ref="R225">InputFunctions_Dairy.CalculateFractionInMMSAfterSolidSeparation('Input - Dairy'!G59,'Input - Dairy'!G72,'Input - Dairy'!$E$75)</f>
        <v>2.2000000000000002E-2</v>
      </c>
      <c r="S225" s="55" cm="1">
        <f t="array" ref="S225">InputFunctions_Dairy.CalculateFractionInMMSAfterSolidSeparation('Input - Dairy'!H59,'Input - Dairy'!H72,'Input - Dairy'!$E$75)</f>
        <v>2.2000000000000002E-2</v>
      </c>
      <c r="T225" s="55" cm="1">
        <f t="array" ref="T225">InputFunctions_Dairy.CalculateFractionInMMSAfterSolidSeparation('Input - Dairy'!I59,'Input - Dairy'!I72,'Input - Dairy'!$E$75)</f>
        <v>2.2000000000000002E-2</v>
      </c>
    </row>
    <row r="226" spans="4:20" ht="20.100000000000001" customHeight="1" x14ac:dyDescent="0.25">
      <c r="D226" s="139" t="str">
        <f>'Input - Dairy'!$D$54</f>
        <v>Milking shed</v>
      </c>
      <c r="E226" s="139" t="str">
        <f>'Input - Dairy'!$D$77</f>
        <v>Drains to paddock</v>
      </c>
      <c r="F226" s="55" cm="1">
        <f t="array" ref="F226">InputFunctions_Dairy.CalculateFractionInMMSAfterSolidSeparation('Input - Dairy'!E54,'Input - Dairy'!E77,'Input - Dairy'!$E$79)</f>
        <v>2.2000000000000002E-2</v>
      </c>
      <c r="G226" s="55" cm="1">
        <f t="array" ref="G226">InputFunctions_Dairy.CalculateFractionInMMSAfterSolidSeparation('Input - Dairy'!F54,'Input - Dairy'!F77,'Input - Dairy'!$E$79)</f>
        <v>2.2000000000000002E-2</v>
      </c>
      <c r="H226" s="55" cm="1">
        <f t="array" ref="H226">InputFunctions_Dairy.CalculateFractionInMMSAfterSolidSeparation('Input - Dairy'!G54,'Input - Dairy'!G77,'Input - Dairy'!$E$79)</f>
        <v>2.2000000000000002E-2</v>
      </c>
      <c r="I226" s="55" cm="1">
        <f t="array" ref="I226">InputFunctions_Dairy.CalculateFractionInMMSAfterSolidSeparation('Input - Dairy'!H54,'Input - Dairy'!H77,'Input - Dairy'!$E$79)</f>
        <v>2.2000000000000002E-2</v>
      </c>
      <c r="J226" s="55" cm="1">
        <f t="array" ref="J226">InputFunctions_Dairy.CalculateFractionInMMSAfterSolidSeparation('Input - Dairy'!I54,'Input - Dairy'!I77,'Input - Dairy'!$E$79)</f>
        <v>2.2000000000000002E-2</v>
      </c>
      <c r="N226" s="139" t="str">
        <f>'Input - Dairy'!$D$54</f>
        <v>Milking shed</v>
      </c>
      <c r="O226" s="139" t="str">
        <f>'Input - Dairy'!$D$77</f>
        <v>Drains to paddock</v>
      </c>
      <c r="P226" s="55" cm="1">
        <f t="array" ref="P226">InputFunctions_Dairy.CalculateFractionInMMSAfterSolidSeparation('Input - Dairy'!E59,'Input - Dairy'!E77,'Input - Dairy'!$E$80)</f>
        <v>2.2000000000000002E-2</v>
      </c>
      <c r="Q226" s="55" cm="1">
        <f t="array" ref="Q226">InputFunctions_Dairy.CalculateFractionInMMSAfterSolidSeparation('Input - Dairy'!F59,'Input - Dairy'!F77,'Input - Dairy'!$E$80)</f>
        <v>2.2000000000000002E-2</v>
      </c>
      <c r="R226" s="55" cm="1">
        <f t="array" ref="R226">InputFunctions_Dairy.CalculateFractionInMMSAfterSolidSeparation('Input - Dairy'!G59,'Input - Dairy'!G77,'Input - Dairy'!$E$80)</f>
        <v>2.2000000000000002E-2</v>
      </c>
      <c r="S226" s="55" cm="1">
        <f t="array" ref="S226">InputFunctions_Dairy.CalculateFractionInMMSAfterSolidSeparation('Input - Dairy'!H59,'Input - Dairy'!H77,'Input - Dairy'!$E$80)</f>
        <v>2.2000000000000002E-2</v>
      </c>
      <c r="T226" s="55" cm="1">
        <f t="array" ref="T226">InputFunctions_Dairy.CalculateFractionInMMSAfterSolidSeparation('Input - Dairy'!I59,'Input - Dairy'!I77,'Input - Dairy'!$E$80)</f>
        <v>2.2000000000000002E-2</v>
      </c>
    </row>
    <row r="227" spans="4:20" ht="20.100000000000001" customHeight="1" x14ac:dyDescent="0.25">
      <c r="D227" s="139" t="str">
        <f>'Input - Dairy'!$D$54</f>
        <v>Milking shed</v>
      </c>
      <c r="E227" s="139" t="str">
        <f>'Input - Dairy'!$D$82</f>
        <v>Solid storage</v>
      </c>
      <c r="F227" s="55" cm="1">
        <f t="array" ref="F227">InputFunctions_Dairy.CalculateFractionInSolidStorage('Input - Dairy'!E54,'Input - Dairy'!E82,'Input - Dairy'!E67,'Input - Dairy'!$E$69,'Input - Dairy'!E72,'Input - Dairy'!$E$74,'Input - Dairy'!E77,'Input - Dairy'!$E$79)</f>
        <v>4.3999999999999997E-2</v>
      </c>
      <c r="G227" s="55" cm="1">
        <f t="array" ref="G227">InputFunctions_Dairy.CalculateFractionInSolidStorage('Input - Dairy'!F54,'Input - Dairy'!F82,'Input - Dairy'!F67,'Input - Dairy'!$E$69,'Input - Dairy'!F72,'Input - Dairy'!$E$74,'Input - Dairy'!F77,'Input - Dairy'!$E$79)</f>
        <v>4.3999999999999997E-2</v>
      </c>
      <c r="H227" s="55" cm="1">
        <f t="array" ref="H227">InputFunctions_Dairy.CalculateFractionInSolidStorage('Input - Dairy'!G54,'Input - Dairy'!G82,'Input - Dairy'!G67,'Input - Dairy'!$E$69,'Input - Dairy'!G72,'Input - Dairy'!$E$74,'Input - Dairy'!G77,'Input - Dairy'!$E$79)</f>
        <v>4.3999999999999997E-2</v>
      </c>
      <c r="I227" s="55" cm="1">
        <f t="array" ref="I227">InputFunctions_Dairy.CalculateFractionInSolidStorage('Input - Dairy'!H54,'Input - Dairy'!H82,'Input - Dairy'!H67,'Input - Dairy'!$E$69,'Input - Dairy'!H72,'Input - Dairy'!$E$74,'Input - Dairy'!H77,'Input - Dairy'!$E$79)</f>
        <v>4.3999999999999997E-2</v>
      </c>
      <c r="J227" s="55" cm="1">
        <f t="array" ref="J227">InputFunctions_Dairy.CalculateFractionInSolidStorage('Input - Dairy'!I54,'Input - Dairy'!I82,'Input - Dairy'!I67,'Input - Dairy'!$E$69,'Input - Dairy'!I72,'Input - Dairy'!$E$74,'Input - Dairy'!I77,'Input - Dairy'!$E$79)</f>
        <v>4.3999999999999997E-2</v>
      </c>
      <c r="N227" s="139" t="str">
        <f>'Input - Dairy'!$D$54</f>
        <v>Milking shed</v>
      </c>
      <c r="O227" s="139" t="str">
        <f>'Input - Dairy'!$D$82</f>
        <v>Solid storage</v>
      </c>
      <c r="P227" s="55" cm="1">
        <f t="array" ref="P227">InputFunctions_Dairy.CalculateFractionInSolidStorage('Input - Dairy'!E59,'Input - Dairy'!E82,'Input - Dairy'!E67,'Input - Dairy'!$E$70,'Input - Dairy'!E72,'Input - Dairy'!$E$75,'Input - Dairy'!E77,'Input - Dairy'!$E$80)</f>
        <v>4.3999999999999997E-2</v>
      </c>
      <c r="Q227" s="55" cm="1">
        <f t="array" ref="Q227">InputFunctions_Dairy.CalculateFractionInSolidStorage('Input - Dairy'!F59,'Input - Dairy'!F82,'Input - Dairy'!F67,'Input - Dairy'!$E$70,'Input - Dairy'!F72,'Input - Dairy'!$E$75,'Input - Dairy'!F77,'Input - Dairy'!$E$80)</f>
        <v>4.3999999999999997E-2</v>
      </c>
      <c r="R227" s="55" cm="1">
        <f t="array" ref="R227">InputFunctions_Dairy.CalculateFractionInSolidStorage('Input - Dairy'!G59,'Input - Dairy'!G82,'Input - Dairy'!G67,'Input - Dairy'!$E$70,'Input - Dairy'!G72,'Input - Dairy'!$E$75,'Input - Dairy'!G77,'Input - Dairy'!$E$80)</f>
        <v>4.3999999999999997E-2</v>
      </c>
      <c r="S227" s="55" cm="1">
        <f t="array" ref="S227">InputFunctions_Dairy.CalculateFractionInSolidStorage('Input - Dairy'!H59,'Input - Dairy'!H82,'Input - Dairy'!H67,'Input - Dairy'!$E$70,'Input - Dairy'!H72,'Input - Dairy'!$E$75,'Input - Dairy'!H77,'Input - Dairy'!$E$80)</f>
        <v>4.3999999999999997E-2</v>
      </c>
      <c r="T227" s="55" cm="1">
        <f t="array" ref="T227">InputFunctions_Dairy.CalculateFractionInSolidStorage('Input - Dairy'!I59,'Input - Dairy'!I82,'Input - Dairy'!I67,'Input - Dairy'!$E$70,'Input - Dairy'!I72,'Input - Dairy'!$E$75,'Input - Dairy'!I77,'Input - Dairy'!$E$80)</f>
        <v>4.3999999999999997E-2</v>
      </c>
    </row>
    <row r="228" spans="4:20" ht="20.100000000000001" customHeight="1" x14ac:dyDescent="0.25">
      <c r="D228" s="139" t="str">
        <f>'Input - Dairy'!$D$55</f>
        <v>Feed pad</v>
      </c>
      <c r="E228" s="139" t="str">
        <f>'Input - Dairy'!$D$101</f>
        <v>Anaerobic lagoon</v>
      </c>
      <c r="F228" s="55" cm="1">
        <f t="array" ref="F228">InputFunctions_Dairy.CalculateFractionInMMSAfterSolidSeparation('Input - Dairy'!E55,'Input - Dairy'!E101,'Input - Dairy'!$E$103)</f>
        <v>8.8999999999999996E-2</v>
      </c>
      <c r="G228" s="55" cm="1">
        <f t="array" ref="G228">InputFunctions_Dairy.CalculateFractionInMMSAfterSolidSeparation('Input - Dairy'!F55,'Input - Dairy'!F101,'Input - Dairy'!$E$103)</f>
        <v>8.8999999999999996E-2</v>
      </c>
      <c r="H228" s="55" cm="1">
        <f t="array" ref="H228">InputFunctions_Dairy.CalculateFractionInMMSAfterSolidSeparation('Input - Dairy'!G55,'Input - Dairy'!G101,'Input - Dairy'!$E$103)</f>
        <v>8.8999999999999996E-2</v>
      </c>
      <c r="I228" s="55" cm="1">
        <f t="array" ref="I228">InputFunctions_Dairy.CalculateFractionInMMSAfterSolidSeparation('Input - Dairy'!H55,'Input - Dairy'!H101,'Input - Dairy'!$E$103)</f>
        <v>8.8999999999999996E-2</v>
      </c>
      <c r="J228" s="55" cm="1">
        <f t="array" ref="J228">InputFunctions_Dairy.CalculateFractionInMMSAfterSolidSeparation('Input - Dairy'!I55,'Input - Dairy'!I101,'Input - Dairy'!$E$103)</f>
        <v>8.8999999999999996E-2</v>
      </c>
      <c r="N228" s="139" t="str">
        <f>'Input - Dairy'!$D$55</f>
        <v>Feed pad</v>
      </c>
      <c r="O228" s="139" t="str">
        <f>'Input - Dairy'!$D$101</f>
        <v>Anaerobic lagoon</v>
      </c>
      <c r="P228" s="55" cm="1">
        <f t="array" ref="P228">InputFunctions_Dairy.CalculateFractionInMMSAfterSolidSeparation('Input - Dairy'!E60,'Input - Dairy'!E101,'Input - Dairy'!$E$104)</f>
        <v>8.8999999999999996E-2</v>
      </c>
      <c r="Q228" s="55" cm="1">
        <f t="array" ref="Q228">InputFunctions_Dairy.CalculateFractionInMMSAfterSolidSeparation('Input - Dairy'!F60,'Input - Dairy'!F101,'Input - Dairy'!$E$104)</f>
        <v>8.8999999999999996E-2</v>
      </c>
      <c r="R228" s="55" cm="1">
        <f t="array" ref="R228">InputFunctions_Dairy.CalculateFractionInMMSAfterSolidSeparation('Input - Dairy'!G60,'Input - Dairy'!G101,'Input - Dairy'!$E$104)</f>
        <v>8.8999999999999996E-2</v>
      </c>
      <c r="S228" s="55" cm="1">
        <f t="array" ref="S228">InputFunctions_Dairy.CalculateFractionInMMSAfterSolidSeparation('Input - Dairy'!H60,'Input - Dairy'!H101,'Input - Dairy'!$E$104)</f>
        <v>8.8999999999999996E-2</v>
      </c>
      <c r="T228" s="55" cm="1">
        <f t="array" ref="T228">InputFunctions_Dairy.CalculateFractionInMMSAfterSolidSeparation('Input - Dairy'!I60,'Input - Dairy'!I101,'Input - Dairy'!$E$104)</f>
        <v>8.8999999999999996E-2</v>
      </c>
    </row>
    <row r="229" spans="4:20" ht="20.100000000000001" customHeight="1" x14ac:dyDescent="0.25">
      <c r="D229" s="139" t="str">
        <f>'Input - Dairy'!$D$55</f>
        <v>Feed pad</v>
      </c>
      <c r="E229" s="139" t="str">
        <f>'Input - Dairy'!$D$106</f>
        <v>Sump and dispersal system</v>
      </c>
      <c r="F229" s="55" cm="1">
        <f t="array" ref="F229">InputFunctions_Dairy.CalculateFractionInMMSAfterSolidSeparation('Input - Dairy'!E55,'Input - Dairy'!E106,'Input - Dairy'!$E$108)</f>
        <v>7.1199999999999999E-2</v>
      </c>
      <c r="G229" s="55" cm="1">
        <f t="array" ref="G229">InputFunctions_Dairy.CalculateFractionInMMSAfterSolidSeparation('Input - Dairy'!F55,'Input - Dairy'!F106,'Input - Dairy'!$E$108)</f>
        <v>7.1199999999999999E-2</v>
      </c>
      <c r="H229" s="55" cm="1">
        <f t="array" ref="H229">InputFunctions_Dairy.CalculateFractionInMMSAfterSolidSeparation('Input - Dairy'!G55,'Input - Dairy'!G106,'Input - Dairy'!$E$108)</f>
        <v>7.1199999999999999E-2</v>
      </c>
      <c r="I229" s="55" cm="1">
        <f t="array" ref="I229">InputFunctions_Dairy.CalculateFractionInMMSAfterSolidSeparation('Input - Dairy'!H55,'Input - Dairy'!H106,'Input - Dairy'!$E$108)</f>
        <v>7.1199999999999999E-2</v>
      </c>
      <c r="J229" s="55" cm="1">
        <f t="array" ref="J229">InputFunctions_Dairy.CalculateFractionInMMSAfterSolidSeparation('Input - Dairy'!I55,'Input - Dairy'!I106,'Input - Dairy'!$E$108)</f>
        <v>7.1199999999999999E-2</v>
      </c>
      <c r="N229" s="139" t="str">
        <f>'Input - Dairy'!$D$55</f>
        <v>Feed pad</v>
      </c>
      <c r="O229" s="139" t="str">
        <f>'Input - Dairy'!$D$106</f>
        <v>Sump and dispersal system</v>
      </c>
      <c r="P229" s="55" cm="1">
        <f t="array" ref="P229">InputFunctions_Dairy.CalculateFractionInMMSAfterSolidSeparation('Input - Dairy'!E60,'Input - Dairy'!E106,'Input - Dairy'!$E$109)</f>
        <v>7.1199999999999999E-2</v>
      </c>
      <c r="Q229" s="55" cm="1">
        <f t="array" ref="Q229">InputFunctions_Dairy.CalculateFractionInMMSAfterSolidSeparation('Input - Dairy'!F60,'Input - Dairy'!F106,'Input - Dairy'!$E$109)</f>
        <v>7.1199999999999999E-2</v>
      </c>
      <c r="R229" s="55" cm="1">
        <f t="array" ref="R229">InputFunctions_Dairy.CalculateFractionInMMSAfterSolidSeparation('Input - Dairy'!G60,'Input - Dairy'!G106,'Input - Dairy'!$E$109)</f>
        <v>7.1199999999999999E-2</v>
      </c>
      <c r="S229" s="55" cm="1">
        <f t="array" ref="S229">InputFunctions_Dairy.CalculateFractionInMMSAfterSolidSeparation('Input - Dairy'!H60,'Input - Dairy'!H106,'Input - Dairy'!$E$109)</f>
        <v>7.1199999999999999E-2</v>
      </c>
      <c r="T229" s="55" cm="1">
        <f t="array" ref="T229">InputFunctions_Dairy.CalculateFractionInMMSAfterSolidSeparation('Input - Dairy'!I60,'Input - Dairy'!I106,'Input - Dairy'!$E$109)</f>
        <v>7.1199999999999999E-2</v>
      </c>
    </row>
    <row r="230" spans="4:20" ht="20.100000000000001" customHeight="1" x14ac:dyDescent="0.25">
      <c r="D230" s="139" t="str">
        <f>'Input - Dairy'!$D$55</f>
        <v>Feed pad</v>
      </c>
      <c r="E230" s="139" t="str">
        <f>'Input - Dairy'!$D$111</f>
        <v>Drains to paddock</v>
      </c>
      <c r="F230" s="55" cm="1">
        <f t="array" ref="F230">InputFunctions_Dairy.CalculateFractionInMMSAfterSolidSeparation('Input - Dairy'!E55,'Input - Dairy'!E111,'Input - Dairy'!$E$113)</f>
        <v>7.1199999999999999E-2</v>
      </c>
      <c r="G230" s="55" cm="1">
        <f t="array" ref="G230">InputFunctions_Dairy.CalculateFractionInMMSAfterSolidSeparation('Input - Dairy'!F55,'Input - Dairy'!F111,'Input - Dairy'!$E$113)</f>
        <v>7.1199999999999999E-2</v>
      </c>
      <c r="H230" s="55" cm="1">
        <f t="array" ref="H230">InputFunctions_Dairy.CalculateFractionInMMSAfterSolidSeparation('Input - Dairy'!G55,'Input - Dairy'!G111,'Input - Dairy'!$E$113)</f>
        <v>7.1199999999999999E-2</v>
      </c>
      <c r="I230" s="55" cm="1">
        <f t="array" ref="I230">InputFunctions_Dairy.CalculateFractionInMMSAfterSolidSeparation('Input - Dairy'!H55,'Input - Dairy'!H111,'Input - Dairy'!$E$113)</f>
        <v>7.1199999999999999E-2</v>
      </c>
      <c r="J230" s="55" cm="1">
        <f t="array" ref="J230">InputFunctions_Dairy.CalculateFractionInMMSAfterSolidSeparation('Input - Dairy'!I55,'Input - Dairy'!I111,'Input - Dairy'!$E$113)</f>
        <v>7.1199999999999999E-2</v>
      </c>
      <c r="N230" s="139" t="str">
        <f>'Input - Dairy'!$D$55</f>
        <v>Feed pad</v>
      </c>
      <c r="O230" s="139" t="str">
        <f>'Input - Dairy'!$D$111</f>
        <v>Drains to paddock</v>
      </c>
      <c r="P230" s="55" cm="1">
        <f t="array" ref="P230">InputFunctions_Dairy.CalculateFractionInMMSAfterSolidSeparation('Input - Dairy'!E60,'Input - Dairy'!E111,'Input - Dairy'!$E$114)</f>
        <v>7.1199999999999999E-2</v>
      </c>
      <c r="Q230" s="55" cm="1">
        <f t="array" ref="Q230">InputFunctions_Dairy.CalculateFractionInMMSAfterSolidSeparation('Input - Dairy'!F60,'Input - Dairy'!F111,'Input - Dairy'!$E$114)</f>
        <v>7.1199999999999999E-2</v>
      </c>
      <c r="R230" s="55" cm="1">
        <f t="array" ref="R230">InputFunctions_Dairy.CalculateFractionInMMSAfterSolidSeparation('Input - Dairy'!G60,'Input - Dairy'!G111,'Input - Dairy'!$E$114)</f>
        <v>7.1199999999999999E-2</v>
      </c>
      <c r="S230" s="55" cm="1">
        <f t="array" ref="S230">InputFunctions_Dairy.CalculateFractionInMMSAfterSolidSeparation('Input - Dairy'!H60,'Input - Dairy'!H111,'Input - Dairy'!$E$114)</f>
        <v>7.1199999999999999E-2</v>
      </c>
      <c r="T230" s="55" cm="1">
        <f t="array" ref="T230">InputFunctions_Dairy.CalculateFractionInMMSAfterSolidSeparation('Input - Dairy'!I60,'Input - Dairy'!I111,'Input - Dairy'!$E$114)</f>
        <v>7.1199999999999999E-2</v>
      </c>
    </row>
    <row r="231" spans="4:20" ht="20.100000000000001" customHeight="1" x14ac:dyDescent="0.25">
      <c r="D231" s="139" t="str">
        <f>'Input - Dairy'!$D$55</f>
        <v>Feed pad</v>
      </c>
      <c r="E231" s="139" t="str">
        <f>'Input - Dairy'!$D$116</f>
        <v>Solid storage</v>
      </c>
      <c r="F231" s="55" cm="1">
        <f t="array" ref="F231">InputFunctions_Dairy.CalculateFractionInSolidStorage('Input - Dairy'!E55,'Input - Dairy'!E116,'Input - Dairy'!E101,'Input - Dairy'!$E$103,'Input - Dairy'!E106,'Input - Dairy'!$E$108,'Input - Dairy'!E111,'Input - Dairy'!$E$113)</f>
        <v>0.12459999999999999</v>
      </c>
      <c r="G231" s="55" cm="1">
        <f t="array" ref="G231">InputFunctions_Dairy.CalculateFractionInSolidStorage('Input - Dairy'!F55,'Input - Dairy'!F116,'Input - Dairy'!F101,'Input - Dairy'!$E$103,'Input - Dairy'!F106,'Input - Dairy'!$E$108,'Input - Dairy'!F111,'Input - Dairy'!$E$113)</f>
        <v>0.12459999999999999</v>
      </c>
      <c r="H231" s="55" cm="1">
        <f t="array" ref="H231">InputFunctions_Dairy.CalculateFractionInSolidStorage('Input - Dairy'!G55,'Input - Dairy'!G116,'Input - Dairy'!G101,'Input - Dairy'!$E$103,'Input - Dairy'!G106,'Input - Dairy'!$E$108,'Input - Dairy'!G111,'Input - Dairy'!$E$113)</f>
        <v>0.12459999999999999</v>
      </c>
      <c r="I231" s="55" cm="1">
        <f t="array" ref="I231">InputFunctions_Dairy.CalculateFractionInSolidStorage('Input - Dairy'!H55,'Input - Dairy'!H116,'Input - Dairy'!H101,'Input - Dairy'!$E$103,'Input - Dairy'!H106,'Input - Dairy'!$E$108,'Input - Dairy'!H111,'Input - Dairy'!$E$113)</f>
        <v>0.12459999999999999</v>
      </c>
      <c r="J231" s="55" cm="1">
        <f t="array" ref="J231">InputFunctions_Dairy.CalculateFractionInSolidStorage('Input - Dairy'!I55,'Input - Dairy'!I116,'Input - Dairy'!I101,'Input - Dairy'!$E$103,'Input - Dairy'!I106,'Input - Dairy'!$E$108,'Input - Dairy'!I111,'Input - Dairy'!$E$113)</f>
        <v>0.12459999999999999</v>
      </c>
      <c r="N231" s="139" t="str">
        <f>'Input - Dairy'!$D$55</f>
        <v>Feed pad</v>
      </c>
      <c r="O231" s="139" t="str">
        <f>'Input - Dairy'!$D$116</f>
        <v>Solid storage</v>
      </c>
      <c r="P231" s="55" cm="1">
        <f t="array" ref="P231">InputFunctions_Dairy.CalculateFractionInSolidStorage('Input - Dairy'!E60,'Input - Dairy'!E116,'Input - Dairy'!E101,'Input - Dairy'!$E$104, 'Input - Dairy'!E106,'Input - Dairy'!$E$109,'Input - Dairy'!E111,'Input - Dairy'!$E$114)</f>
        <v>0.12459999999999999</v>
      </c>
      <c r="Q231" s="55" cm="1">
        <f t="array" ref="Q231">InputFunctions_Dairy.CalculateFractionInSolidStorage('Input - Dairy'!F60,'Input - Dairy'!F116,'Input - Dairy'!F101,'Input - Dairy'!$E$104, 'Input - Dairy'!F106,'Input - Dairy'!$E$109,'Input - Dairy'!F111,'Input - Dairy'!$E$114)</f>
        <v>0.12459999999999999</v>
      </c>
      <c r="R231" s="55" cm="1">
        <f t="array" ref="R231">InputFunctions_Dairy.CalculateFractionInSolidStorage('Input - Dairy'!G60,'Input - Dairy'!G116,'Input - Dairy'!G101,'Input - Dairy'!$E$104, 'Input - Dairy'!G106,'Input - Dairy'!$E$109,'Input - Dairy'!G111,'Input - Dairy'!$E$114)</f>
        <v>0.12459999999999999</v>
      </c>
      <c r="S231" s="55" cm="1">
        <f t="array" ref="S231">InputFunctions_Dairy.CalculateFractionInSolidStorage('Input - Dairy'!H60,'Input - Dairy'!H116,'Input - Dairy'!H101,'Input - Dairy'!$E$104, 'Input - Dairy'!H106,'Input - Dairy'!$E$109,'Input - Dairy'!H111,'Input - Dairy'!$E$114)</f>
        <v>0.12459999999999999</v>
      </c>
      <c r="T231" s="55" cm="1">
        <f t="array" ref="T231">InputFunctions_Dairy.CalculateFractionInSolidStorage('Input - Dairy'!I60,'Input - Dairy'!I116,'Input - Dairy'!I101,'Input - Dairy'!$E$104, 'Input - Dairy'!I106,'Input - Dairy'!$E$109,'Input - Dairy'!I111,'Input - Dairy'!$E$114)</f>
        <v>0.12459999999999999</v>
      </c>
    </row>
    <row r="232" spans="4:20" ht="20.100000000000001" customHeight="1" x14ac:dyDescent="0.25">
      <c r="Q232" s="147"/>
    </row>
    <row r="233" spans="4:20" ht="20.100000000000001" customHeight="1" x14ac:dyDescent="0.25">
      <c r="D233" s="104" t="s">
        <v>338</v>
      </c>
      <c r="N233" s="104" t="s">
        <v>341</v>
      </c>
    </row>
    <row r="234" spans="4:20" ht="20.100000000000001" customHeight="1" x14ac:dyDescent="0.25">
      <c r="D234" s="103" t="s">
        <v>339</v>
      </c>
      <c r="N234" s="103" t="s">
        <v>340</v>
      </c>
    </row>
    <row r="235" spans="4:20" ht="20.100000000000001" customHeight="1" x14ac:dyDescent="0.25">
      <c r="D235" s="54" t="s">
        <v>159</v>
      </c>
      <c r="E235" s="54" t="s">
        <v>69</v>
      </c>
      <c r="F235" s="54" t="s">
        <v>189</v>
      </c>
      <c r="G235" s="54" t="s">
        <v>206</v>
      </c>
      <c r="H235" s="54" t="s">
        <v>207</v>
      </c>
      <c r="I235" s="54" t="s">
        <v>208</v>
      </c>
      <c r="J235" s="54" t="s">
        <v>209</v>
      </c>
      <c r="N235" s="54" t="s">
        <v>159</v>
      </c>
      <c r="O235" s="54" t="s">
        <v>69</v>
      </c>
      <c r="P235" s="54" t="s">
        <v>189</v>
      </c>
      <c r="Q235" s="54" t="s">
        <v>206</v>
      </c>
      <c r="R235" s="54" t="s">
        <v>207</v>
      </c>
      <c r="S235" s="54" t="s">
        <v>208</v>
      </c>
      <c r="T235" s="54" t="s">
        <v>209</v>
      </c>
    </row>
    <row r="236" spans="4:20" ht="20.100000000000001" customHeight="1" x14ac:dyDescent="0.25">
      <c r="D236" s="139" t="str">
        <f>'Input - Dairy'!$D$54</f>
        <v>Milking shed</v>
      </c>
      <c r="E236" s="139" t="str">
        <f>'Input - Dairy'!$D$67</f>
        <v>Anaerobic lagoon</v>
      </c>
      <c r="F236" s="55" cm="1">
        <f t="array" ref="F236">MMS_Dairy_N2ODirect_Equations.VEERG_4_3_1_3__2_TotalNitrogenInEachMMS(D$169,F224)</f>
        <v>212.24813314524795</v>
      </c>
      <c r="G236" s="55" cm="1">
        <f t="array" ref="G236">MMS_Dairy_N2ODirect_Equations.VEERG_4_3_1_3__2_TotalNitrogenInEachMMS(E$169,G224)</f>
        <v>182.35790267782079</v>
      </c>
      <c r="H236" s="55" cm="1">
        <f t="array" ref="H236">MMS_Dairy_N2ODirect_Equations.VEERG_4_3_1_3__2_TotalNitrogenInEachMMS(F$206,H224)</f>
        <v>72.631224123843424</v>
      </c>
      <c r="I236" s="55" cm="1">
        <f t="array" ref="I236">MMS_Dairy_N2ODirect_Equations.VEERG_4_3_1_3__2_TotalNitrogenInEachMMS(G$169,I224)</f>
        <v>229.23109573986844</v>
      </c>
      <c r="J236" s="55" cm="1">
        <f t="array" ref="J236">MMS_Dairy_N2ODirect_Equations.VEERG_4_3_1_3__2_TotalNitrogenInEachMMS(H$206,J224)</f>
        <v>95.962857079055411</v>
      </c>
      <c r="N236" s="139" t="str">
        <f>'Input - Dairy'!$D$54</f>
        <v>Milking shed</v>
      </c>
      <c r="O236" s="139" t="str">
        <f>'Input - Dairy'!$D$67</f>
        <v>Anaerobic lagoon</v>
      </c>
      <c r="P236" s="55" cm="1">
        <f t="array" ref="P236">MMS_Dairy_N2ODirect_Equations.VEERG_4_3_1_3__2_TotalNitrogenInEachMMS(N$169,P224)</f>
        <v>212.24813314524795</v>
      </c>
      <c r="Q236" s="55" cm="1">
        <f t="array" ref="Q236">MMS_Dairy_N2ODirect_Equations.VEERG_4_3_1_3__2_TotalNitrogenInEachMMS(O$169,Q224)</f>
        <v>182.35790267782079</v>
      </c>
      <c r="R236" s="55" cm="1">
        <f t="array" ref="R236">MMS_Dairy_N2ODirect_Equations.VEERG_4_3_1_3__2_TotalNitrogenInEachMMS(P$206,R224)</f>
        <v>72.631224123843424</v>
      </c>
      <c r="S236" s="55" cm="1">
        <f t="array" ref="S236">MMS_Dairy_N2ODirect_Equations.VEERG_4_3_1_3__2_TotalNitrogenInEachMMS(Q$169,S224)</f>
        <v>229.23109573986844</v>
      </c>
      <c r="T236" s="55" cm="1">
        <f t="array" ref="T236">MMS_Dairy_N2ODirect_Equations.VEERG_4_3_1_3__2_TotalNitrogenInEachMMS(R$206,T224)</f>
        <v>95.962857079055411</v>
      </c>
    </row>
    <row r="237" spans="4:20" ht="20.100000000000001" customHeight="1" x14ac:dyDescent="0.25">
      <c r="D237" s="139" t="str">
        <f>'Input - Dairy'!$D$54</f>
        <v>Milking shed</v>
      </c>
      <c r="E237" s="139" t="str">
        <f>'Input - Dairy'!$D$72</f>
        <v>Sump and dispersal system</v>
      </c>
      <c r="F237" s="55" cm="1">
        <f t="array" ref="F237">MMS_Dairy_N2ODirect_Equations.VEERG_4_3_1_3__2_TotalNitrogenInEachMMS(D$169,F225)</f>
        <v>212.24813314524795</v>
      </c>
      <c r="G237" s="55" cm="1">
        <f t="array" ref="G237">MMS_Dairy_N2ODirect_Equations.VEERG_4_3_1_3__2_TotalNitrogenInEachMMS(E$169,G225)</f>
        <v>182.35790267782079</v>
      </c>
      <c r="H237" s="55" cm="1">
        <f t="array" ref="H237">MMS_Dairy_N2ODirect_Equations.VEERG_4_3_1_3__2_TotalNitrogenInEachMMS(F$206,H225)</f>
        <v>72.631224123843424</v>
      </c>
      <c r="I237" s="55" cm="1">
        <f t="array" ref="I237">MMS_Dairy_N2ODirect_Equations.VEERG_4_3_1_3__2_TotalNitrogenInEachMMS(G$169,I225)</f>
        <v>229.23109573986844</v>
      </c>
      <c r="J237" s="55" cm="1">
        <f t="array" ref="J237">MMS_Dairy_N2ODirect_Equations.VEERG_4_3_1_3__2_TotalNitrogenInEachMMS(H$206,J225)</f>
        <v>95.962857079055411</v>
      </c>
      <c r="N237" s="139" t="str">
        <f>'Input - Dairy'!$D$54</f>
        <v>Milking shed</v>
      </c>
      <c r="O237" s="139" t="str">
        <f>'Input - Dairy'!$D$72</f>
        <v>Sump and dispersal system</v>
      </c>
      <c r="P237" s="55" cm="1">
        <f t="array" ref="P237">MMS_Dairy_N2ODirect_Equations.VEERG_4_3_1_3__2_TotalNitrogenInEachMMS(N$169,P225)</f>
        <v>212.24813314524795</v>
      </c>
      <c r="Q237" s="55" cm="1">
        <f t="array" ref="Q237">MMS_Dairy_N2ODirect_Equations.VEERG_4_3_1_3__2_TotalNitrogenInEachMMS(O$169,Q225)</f>
        <v>182.35790267782079</v>
      </c>
      <c r="R237" s="55" cm="1">
        <f t="array" ref="R237">MMS_Dairy_N2ODirect_Equations.VEERG_4_3_1_3__2_TotalNitrogenInEachMMS(P$206,R225)</f>
        <v>72.631224123843424</v>
      </c>
      <c r="S237" s="55" cm="1">
        <f t="array" ref="S237">MMS_Dairy_N2ODirect_Equations.VEERG_4_3_1_3__2_TotalNitrogenInEachMMS(Q$169,S225)</f>
        <v>229.23109573986844</v>
      </c>
      <c r="T237" s="55" cm="1">
        <f t="array" ref="T237">MMS_Dairy_N2ODirect_Equations.VEERG_4_3_1_3__2_TotalNitrogenInEachMMS(R$206,T225)</f>
        <v>95.962857079055411</v>
      </c>
    </row>
    <row r="238" spans="4:20" ht="20.100000000000001" customHeight="1" x14ac:dyDescent="0.25">
      <c r="D238" s="139" t="str">
        <f>'Input - Dairy'!$D$54</f>
        <v>Milking shed</v>
      </c>
      <c r="E238" s="139" t="str">
        <f>'Input - Dairy'!$D$77</f>
        <v>Drains to paddock</v>
      </c>
      <c r="F238" s="55" cm="1">
        <f t="array" ref="F238">MMS_Dairy_N2ODirect_Equations.VEERG_4_3_1_3__2_TotalNitrogenInEachMMS(D$169,F226)</f>
        <v>212.24813314524795</v>
      </c>
      <c r="G238" s="55" cm="1">
        <f t="array" ref="G238">MMS_Dairy_N2ODirect_Equations.VEERG_4_3_1_3__2_TotalNitrogenInEachMMS(E$169,G226)</f>
        <v>182.35790267782079</v>
      </c>
      <c r="H238" s="55" cm="1">
        <f t="array" ref="H238">MMS_Dairy_N2ODirect_Equations.VEERG_4_3_1_3__2_TotalNitrogenInEachMMS(F$206,H226)</f>
        <v>72.631224123843424</v>
      </c>
      <c r="I238" s="55" cm="1">
        <f t="array" ref="I238">MMS_Dairy_N2ODirect_Equations.VEERG_4_3_1_3__2_TotalNitrogenInEachMMS(G$169,I226)</f>
        <v>229.23109573986844</v>
      </c>
      <c r="J238" s="55" cm="1">
        <f t="array" ref="J238">MMS_Dairy_N2ODirect_Equations.VEERG_4_3_1_3__2_TotalNitrogenInEachMMS(H$206,J226)</f>
        <v>95.962857079055411</v>
      </c>
      <c r="N238" s="139" t="str">
        <f>'Input - Dairy'!$D$54</f>
        <v>Milking shed</v>
      </c>
      <c r="O238" s="139" t="str">
        <f>'Input - Dairy'!$D$77</f>
        <v>Drains to paddock</v>
      </c>
      <c r="P238" s="55" cm="1">
        <f t="array" ref="P238">MMS_Dairy_N2ODirect_Equations.VEERG_4_3_1_3__2_TotalNitrogenInEachMMS(N$169,P226)</f>
        <v>212.24813314524795</v>
      </c>
      <c r="Q238" s="55" cm="1">
        <f t="array" ref="Q238">MMS_Dairy_N2ODirect_Equations.VEERG_4_3_1_3__2_TotalNitrogenInEachMMS(O$169,Q226)</f>
        <v>182.35790267782079</v>
      </c>
      <c r="R238" s="55" cm="1">
        <f t="array" ref="R238">MMS_Dairy_N2ODirect_Equations.VEERG_4_3_1_3__2_TotalNitrogenInEachMMS(P$206,R226)</f>
        <v>72.631224123843424</v>
      </c>
      <c r="S238" s="55" cm="1">
        <f t="array" ref="S238">MMS_Dairy_N2ODirect_Equations.VEERG_4_3_1_3__2_TotalNitrogenInEachMMS(Q$169,S226)</f>
        <v>229.23109573986844</v>
      </c>
      <c r="T238" s="55" cm="1">
        <f t="array" ref="T238">MMS_Dairy_N2ODirect_Equations.VEERG_4_3_1_3__2_TotalNitrogenInEachMMS(R$206,T226)</f>
        <v>95.962857079055411</v>
      </c>
    </row>
    <row r="239" spans="4:20" ht="20.100000000000001" customHeight="1" x14ac:dyDescent="0.25">
      <c r="D239" s="139" t="str">
        <f>'Input - Dairy'!$D$54</f>
        <v>Milking shed</v>
      </c>
      <c r="E239" s="139" t="str">
        <f>'Input - Dairy'!$D$82</f>
        <v>Solid storage</v>
      </c>
      <c r="F239" s="55" cm="1">
        <f t="array" ref="F239">MMS_Dairy_N2ODirect_Equations.VEERG_4_3_1_3__2_TotalNitrogenInEachMMS(D$169,F227)</f>
        <v>424.49626629049584</v>
      </c>
      <c r="G239" s="55" cm="1">
        <f t="array" ref="G239">MMS_Dairy_N2ODirect_Equations.VEERG_4_3_1_3__2_TotalNitrogenInEachMMS(E$169,G227)</f>
        <v>364.71580535564152</v>
      </c>
      <c r="H239" s="55" cm="1">
        <f t="array" ref="H239">MMS_Dairy_N2ODirect_Equations.VEERG_4_3_1_3__2_TotalNitrogenInEachMMS(F$206,H227)</f>
        <v>145.26244824768682</v>
      </c>
      <c r="I239" s="55" cm="1">
        <f t="array" ref="I239">MMS_Dairy_N2ODirect_Equations.VEERG_4_3_1_3__2_TotalNitrogenInEachMMS(G$169,I227)</f>
        <v>458.46219147973682</v>
      </c>
      <c r="J239" s="55" cm="1">
        <f t="array" ref="J239">MMS_Dairy_N2ODirect_Equations.VEERG_4_3_1_3__2_TotalNitrogenInEachMMS(H$206,J227)</f>
        <v>191.92571415811079</v>
      </c>
      <c r="N239" s="139" t="str">
        <f>'Input - Dairy'!$D$54</f>
        <v>Milking shed</v>
      </c>
      <c r="O239" s="139" t="str">
        <f>'Input - Dairy'!$D$82</f>
        <v>Solid storage</v>
      </c>
      <c r="P239" s="55" cm="1">
        <f t="array" ref="P239">MMS_Dairy_N2ODirect_Equations.VEERG_4_3_1_3__2_TotalNitrogenInEachMMS(N$169,P227)</f>
        <v>424.49626629049584</v>
      </c>
      <c r="Q239" s="55" cm="1">
        <f t="array" ref="Q239">MMS_Dairy_N2ODirect_Equations.VEERG_4_3_1_3__2_TotalNitrogenInEachMMS(O$169,Q227)</f>
        <v>364.71580535564152</v>
      </c>
      <c r="R239" s="55" cm="1">
        <f t="array" ref="R239">MMS_Dairy_N2ODirect_Equations.VEERG_4_3_1_3__2_TotalNitrogenInEachMMS(P$206,R227)</f>
        <v>145.26244824768682</v>
      </c>
      <c r="S239" s="55" cm="1">
        <f t="array" ref="S239">MMS_Dairy_N2ODirect_Equations.VEERG_4_3_1_3__2_TotalNitrogenInEachMMS(Q$169,S227)</f>
        <v>458.46219147973682</v>
      </c>
      <c r="T239" s="55" cm="1">
        <f t="array" ref="T239">MMS_Dairy_N2ODirect_Equations.VEERG_4_3_1_3__2_TotalNitrogenInEachMMS(R$206,T227)</f>
        <v>191.92571415811079</v>
      </c>
    </row>
    <row r="240" spans="4:20" ht="20.100000000000001" customHeight="1" x14ac:dyDescent="0.25">
      <c r="D240" s="139" t="str">
        <f>'Input - Dairy'!$D$55</f>
        <v>Feed pad</v>
      </c>
      <c r="E240" s="139" t="str">
        <f>'Input - Dairy'!$D$101</f>
        <v>Anaerobic lagoon</v>
      </c>
      <c r="F240" s="55" cm="1">
        <f t="array" ref="F240">MMS_Dairy_N2ODirect_Equations.VEERG_4_3_1_3__2_TotalNitrogenInEachMMS(D$169,F228)</f>
        <v>858.64017499668478</v>
      </c>
      <c r="G240" s="55" cm="1">
        <f t="array" ref="G240">MMS_Dairy_N2ODirect_Equations.VEERG_4_3_1_3__2_TotalNitrogenInEachMMS(E$169,G228)</f>
        <v>737.72060628754764</v>
      </c>
      <c r="H240" s="55" cm="1">
        <f t="array" ref="H240">MMS_Dairy_N2ODirect_Equations.VEERG_4_3_1_3__2_TotalNitrogenInEachMMS(F$206,H228)</f>
        <v>293.82631577373019</v>
      </c>
      <c r="I240" s="55" cm="1">
        <f t="array" ref="I240">MMS_Dairy_N2ODirect_Equations.VEERG_4_3_1_3__2_TotalNitrogenInEachMMS(G$169,I228)</f>
        <v>927.34397822037681</v>
      </c>
      <c r="J240" s="55" cm="1">
        <f t="array" ref="J240">MMS_Dairy_N2ODirect_Equations.VEERG_4_3_1_3__2_TotalNitrogenInEachMMS(H$206,J228)</f>
        <v>388.21337636526954</v>
      </c>
      <c r="N240" s="139" t="str">
        <f>'Input - Dairy'!$D$55</f>
        <v>Feed pad</v>
      </c>
      <c r="O240" s="139" t="str">
        <f>'Input - Dairy'!$D$101</f>
        <v>Anaerobic lagoon</v>
      </c>
      <c r="P240" s="55" cm="1">
        <f t="array" ref="P240">MMS_Dairy_N2ODirect_Equations.VEERG_4_3_1_3__2_TotalNitrogenInEachMMS(N$169,P228)</f>
        <v>858.64017499668478</v>
      </c>
      <c r="Q240" s="55" cm="1">
        <f t="array" ref="Q240">MMS_Dairy_N2ODirect_Equations.VEERG_4_3_1_3__2_TotalNitrogenInEachMMS(O$169,Q228)</f>
        <v>737.72060628754764</v>
      </c>
      <c r="R240" s="55" cm="1">
        <f t="array" ref="R240">MMS_Dairy_N2ODirect_Equations.VEERG_4_3_1_3__2_TotalNitrogenInEachMMS(P$206,R228)</f>
        <v>293.82631577373019</v>
      </c>
      <c r="S240" s="55" cm="1">
        <f t="array" ref="S240">MMS_Dairy_N2ODirect_Equations.VEERG_4_3_1_3__2_TotalNitrogenInEachMMS(Q$169,S228)</f>
        <v>927.34397822037681</v>
      </c>
      <c r="T240" s="55" cm="1">
        <f t="array" ref="T240">MMS_Dairy_N2ODirect_Equations.VEERG_4_3_1_3__2_TotalNitrogenInEachMMS(R$206,T228)</f>
        <v>388.21337636526954</v>
      </c>
    </row>
    <row r="241" spans="3:21" ht="20.100000000000001" customHeight="1" x14ac:dyDescent="0.25">
      <c r="D241" s="139" t="str">
        <f>'Input - Dairy'!$D$55</f>
        <v>Feed pad</v>
      </c>
      <c r="E241" s="139" t="str">
        <f>'Input - Dairy'!$D$106</f>
        <v>Sump and dispersal system</v>
      </c>
      <c r="F241" s="55" cm="1">
        <f t="array" ref="F241">MMS_Dairy_N2ODirect_Equations.VEERG_4_3_1_3__2_TotalNitrogenInEachMMS(D$169,F229)</f>
        <v>686.91213999734782</v>
      </c>
      <c r="G241" s="55" cm="1">
        <f t="array" ref="G241">MMS_Dairy_N2ODirect_Equations.VEERG_4_3_1_3__2_TotalNitrogenInEachMMS(E$169,G229)</f>
        <v>590.17648503003818</v>
      </c>
      <c r="H241" s="55" cm="1">
        <f t="array" ref="H241">MMS_Dairy_N2ODirect_Equations.VEERG_4_3_1_3__2_TotalNitrogenInEachMMS(F$206,H229)</f>
        <v>235.06105261898415</v>
      </c>
      <c r="I241" s="55" cm="1">
        <f t="array" ref="I241">MMS_Dairy_N2ODirect_Equations.VEERG_4_3_1_3__2_TotalNitrogenInEachMMS(G$169,I229)</f>
        <v>741.87518257630143</v>
      </c>
      <c r="J241" s="55" cm="1">
        <f t="array" ref="J241">MMS_Dairy_N2ODirect_Equations.VEERG_4_3_1_3__2_TotalNitrogenInEachMMS(H$206,J229)</f>
        <v>310.57070109221564</v>
      </c>
      <c r="N241" s="139" t="str">
        <f>'Input - Dairy'!$D$55</f>
        <v>Feed pad</v>
      </c>
      <c r="O241" s="139" t="str">
        <f>'Input - Dairy'!$D$106</f>
        <v>Sump and dispersal system</v>
      </c>
      <c r="P241" s="55" cm="1">
        <f t="array" ref="P241">MMS_Dairy_N2ODirect_Equations.VEERG_4_3_1_3__2_TotalNitrogenInEachMMS(N$169,P229)</f>
        <v>686.91213999734782</v>
      </c>
      <c r="Q241" s="55" cm="1">
        <f t="array" ref="Q241">MMS_Dairy_N2ODirect_Equations.VEERG_4_3_1_3__2_TotalNitrogenInEachMMS(O$169,Q229)</f>
        <v>590.17648503003818</v>
      </c>
      <c r="R241" s="55" cm="1">
        <f t="array" ref="R241">MMS_Dairy_N2ODirect_Equations.VEERG_4_3_1_3__2_TotalNitrogenInEachMMS(P$206,R229)</f>
        <v>235.06105261898415</v>
      </c>
      <c r="S241" s="55" cm="1">
        <f t="array" ref="S241">MMS_Dairy_N2ODirect_Equations.VEERG_4_3_1_3__2_TotalNitrogenInEachMMS(Q$169,S229)</f>
        <v>741.87518257630143</v>
      </c>
      <c r="T241" s="55" cm="1">
        <f t="array" ref="T241">MMS_Dairy_N2ODirect_Equations.VEERG_4_3_1_3__2_TotalNitrogenInEachMMS(R$206,T229)</f>
        <v>310.57070109221564</v>
      </c>
    </row>
    <row r="242" spans="3:21" ht="20.100000000000001" customHeight="1" x14ac:dyDescent="0.25">
      <c r="D242" s="139" t="str">
        <f>'Input - Dairy'!$D$55</f>
        <v>Feed pad</v>
      </c>
      <c r="E242" s="139" t="str">
        <f>'Input - Dairy'!$D$111</f>
        <v>Drains to paddock</v>
      </c>
      <c r="F242" s="55" cm="1">
        <f t="array" ref="F242">MMS_Dairy_N2ODirect_Equations.VEERG_4_3_1_3__2_TotalNitrogenInEachMMS(D$169,F230)</f>
        <v>686.91213999734782</v>
      </c>
      <c r="G242" s="55" cm="1">
        <f t="array" ref="G242">MMS_Dairy_N2ODirect_Equations.VEERG_4_3_1_3__2_TotalNitrogenInEachMMS(E$169,G230)</f>
        <v>590.17648503003818</v>
      </c>
      <c r="H242" s="55" cm="1">
        <f t="array" ref="H242">MMS_Dairy_N2ODirect_Equations.VEERG_4_3_1_3__2_TotalNitrogenInEachMMS(F$206,H230)</f>
        <v>235.06105261898415</v>
      </c>
      <c r="I242" s="55" cm="1">
        <f t="array" ref="I242">MMS_Dairy_N2ODirect_Equations.VEERG_4_3_1_3__2_TotalNitrogenInEachMMS(G$169,I230)</f>
        <v>741.87518257630143</v>
      </c>
      <c r="J242" s="55" cm="1">
        <f t="array" ref="J242">MMS_Dairy_N2ODirect_Equations.VEERG_4_3_1_3__2_TotalNitrogenInEachMMS(H$206,J230)</f>
        <v>310.57070109221564</v>
      </c>
      <c r="N242" s="139" t="str">
        <f>'Input - Dairy'!$D$55</f>
        <v>Feed pad</v>
      </c>
      <c r="O242" s="139" t="str">
        <f>'Input - Dairy'!$D$111</f>
        <v>Drains to paddock</v>
      </c>
      <c r="P242" s="55" cm="1">
        <f t="array" ref="P242">MMS_Dairy_N2ODirect_Equations.VEERG_4_3_1_3__2_TotalNitrogenInEachMMS(N$169,P230)</f>
        <v>686.91213999734782</v>
      </c>
      <c r="Q242" s="55" cm="1">
        <f t="array" ref="Q242">MMS_Dairy_N2ODirect_Equations.VEERG_4_3_1_3__2_TotalNitrogenInEachMMS(O$169,Q230)</f>
        <v>590.17648503003818</v>
      </c>
      <c r="R242" s="55" cm="1">
        <f t="array" ref="R242">MMS_Dairy_N2ODirect_Equations.VEERG_4_3_1_3__2_TotalNitrogenInEachMMS(P$206,R230)</f>
        <v>235.06105261898415</v>
      </c>
      <c r="S242" s="55" cm="1">
        <f t="array" ref="S242">MMS_Dairy_N2ODirect_Equations.VEERG_4_3_1_3__2_TotalNitrogenInEachMMS(Q$169,S230)</f>
        <v>741.87518257630143</v>
      </c>
      <c r="T242" s="55" cm="1">
        <f t="array" ref="T242">MMS_Dairy_N2ODirect_Equations.VEERG_4_3_1_3__2_TotalNitrogenInEachMMS(R$206,T230)</f>
        <v>310.57070109221564</v>
      </c>
    </row>
    <row r="243" spans="3:21" ht="20.100000000000001" customHeight="1" x14ac:dyDescent="0.25">
      <c r="D243" s="139" t="str">
        <f>'Input - Dairy'!$D$55</f>
        <v>Feed pad</v>
      </c>
      <c r="E243" s="139" t="str">
        <f>'Input - Dairy'!$D$116</f>
        <v>Solid storage</v>
      </c>
      <c r="F243" s="55" cm="1">
        <f t="array" ref="F243">MMS_Dairy_N2ODirect_Equations.VEERG_4_3_1_3__2_TotalNitrogenInEachMMS(D$169,F231)</f>
        <v>1202.0962449953586</v>
      </c>
      <c r="G243" s="55" cm="1">
        <f t="array" ref="G243">MMS_Dairy_N2ODirect_Equations.VEERG_4_3_1_3__2_TotalNitrogenInEachMMS(E$169,G231)</f>
        <v>1032.8088488025667</v>
      </c>
      <c r="H243" s="55" cm="1">
        <f t="array" ref="H243">MMS_Dairy_N2ODirect_Equations.VEERG_4_3_1_3__2_TotalNitrogenInEachMMS(F$206,H231)</f>
        <v>411.35684208322226</v>
      </c>
      <c r="I243" s="55" cm="1">
        <f t="array" ref="I243">MMS_Dairy_N2ODirect_Equations.VEERG_4_3_1_3__2_TotalNitrogenInEachMMS(G$169,I231)</f>
        <v>1298.2815695085274</v>
      </c>
      <c r="J243" s="55" cm="1">
        <f t="array" ref="J243">MMS_Dairy_N2ODirect_Equations.VEERG_4_3_1_3__2_TotalNitrogenInEachMMS(H$206,J231)</f>
        <v>543.49872691137739</v>
      </c>
      <c r="N243" s="139" t="str">
        <f>'Input - Dairy'!$D$55</f>
        <v>Feed pad</v>
      </c>
      <c r="O243" s="139" t="str">
        <f>'Input - Dairy'!$D$116</f>
        <v>Solid storage</v>
      </c>
      <c r="P243" s="55" cm="1">
        <f t="array" ref="P243">MMS_Dairy_N2ODirect_Equations.VEERG_4_3_1_3__2_TotalNitrogenInEachMMS(N$169,P231)</f>
        <v>1202.0962449953586</v>
      </c>
      <c r="Q243" s="55" cm="1">
        <f t="array" ref="Q243">MMS_Dairy_N2ODirect_Equations.VEERG_4_3_1_3__2_TotalNitrogenInEachMMS(O$169,Q231)</f>
        <v>1032.8088488025667</v>
      </c>
      <c r="R243" s="55" cm="1">
        <f t="array" ref="R243">MMS_Dairy_N2ODirect_Equations.VEERG_4_3_1_3__2_TotalNitrogenInEachMMS(P$206,R231)</f>
        <v>411.35684208322226</v>
      </c>
      <c r="S243" s="55" cm="1">
        <f t="array" ref="S243">MMS_Dairy_N2ODirect_Equations.VEERG_4_3_1_3__2_TotalNitrogenInEachMMS(Q$169,S231)</f>
        <v>1298.2815695085274</v>
      </c>
      <c r="T243" s="55" cm="1">
        <f t="array" ref="T243">MMS_Dairy_N2ODirect_Equations.VEERG_4_3_1_3__2_TotalNitrogenInEachMMS(R$206,T231)</f>
        <v>543.49872691137739</v>
      </c>
    </row>
    <row r="244" spans="3:21" ht="20.100000000000001" customHeight="1" x14ac:dyDescent="0.25"/>
    <row r="245" spans="3:21" ht="20.100000000000001" customHeight="1" x14ac:dyDescent="0.25"/>
    <row r="246" spans="3:21" ht="20.100000000000001" customHeight="1" x14ac:dyDescent="0.25">
      <c r="C246" s="48"/>
      <c r="D246" s="48"/>
      <c r="E246" s="48"/>
      <c r="F246" s="48"/>
      <c r="G246" s="48"/>
      <c r="H246" s="48"/>
      <c r="I246" s="48"/>
      <c r="J246" s="48"/>
      <c r="K246" s="48"/>
      <c r="M246" s="48"/>
      <c r="N246" s="48"/>
      <c r="O246" s="48"/>
      <c r="P246" s="48"/>
      <c r="Q246" s="48"/>
      <c r="R246" s="48"/>
      <c r="S246" s="48"/>
      <c r="T246" s="48"/>
      <c r="U246" s="48"/>
    </row>
    <row r="247" spans="3:21" ht="20.100000000000001" customHeight="1" x14ac:dyDescent="0.25">
      <c r="D247" s="6" t="str" cm="1">
        <f t="array" ref="D247">MMS_Dairy_N2ODirect_Equations.VEERG_4_3_1_3__1_TotalAnnualDirectNitrousOxideEmissionsFromMMS_Title()</f>
        <v>Total annual direct nitrous oxide emissions from manure management systems</v>
      </c>
    </row>
    <row r="248" spans="3:21" ht="20.100000000000001" customHeight="1" x14ac:dyDescent="0.25">
      <c r="D248" s="5" t="str" cm="1">
        <f t="array" ref="D248">MMS_Dairy_N2ODirect_Equations.VEERG_4_3_1_3__1_TotalAnnualDirectNitrousOxideEmissionsFromMMS_Source()</f>
        <v>VEERG 2026: 4.3.1.3, Equation (1)</v>
      </c>
    </row>
    <row r="249" spans="3:21" ht="20.100000000000001" customHeight="1" x14ac:dyDescent="0.25">
      <c r="D249" s="13" t="s">
        <v>28</v>
      </c>
      <c r="E249" s="13" t="str" cm="1">
        <f t="array" aca="1" ref="E249" ca="1">Common_InputFunctions.Utility_DisplayFunctionName(F273)</f>
        <v>=MMS_Dairy_N2ODirect_Equations.VEERG_4_3_1_3__1_TotalAnnualDirectNitrousOxideEmissionsFromMMS</v>
      </c>
    </row>
    <row r="250" spans="3:21" ht="20.100000000000001" customHeight="1" x14ac:dyDescent="0.25"/>
    <row r="251" spans="3:21" ht="20.100000000000001" customHeight="1" x14ac:dyDescent="0.25">
      <c r="D251" s="6"/>
    </row>
    <row r="252" spans="3:21" ht="20.100000000000001" customHeight="1" x14ac:dyDescent="0.25">
      <c r="D252" s="56" t="s">
        <v>31</v>
      </c>
      <c r="E252" s="1" t="str" cm="1">
        <f t="array" ref="E252">MMS_Dairy_N2ODirect_Equations.VEERG_4_3_1_3__1_TotalAnnualDirectNitrousOxideEmissionsFromMMS_Variable()</f>
        <v>E_N2Odir</v>
      </c>
    </row>
    <row r="253" spans="3:21" ht="20.100000000000001" customHeight="1" x14ac:dyDescent="0.25">
      <c r="D253" s="56" t="s">
        <v>21</v>
      </c>
      <c r="E253" s="57" t="str" cm="1">
        <f t="array" ref="E253">MMS_Dairy_N2ODirect_Equations.VEERG_4_3_1_3__1_TotalAnnualDirectNitrousOxideEmissionsFromMMS_Unit()</f>
        <v>t N2O</v>
      </c>
    </row>
    <row r="254" spans="3:21" ht="20.100000000000001" customHeight="1" x14ac:dyDescent="0.25"/>
    <row r="255" spans="3:21" ht="20.100000000000001" customHeight="1" x14ac:dyDescent="0.25">
      <c r="D255" s="60" t="str" cm="1">
        <f t="array" ref="D255:E257">MMS_Dairy_N2ODirect_Equations.VEERG_4_3_1_3__1_TotalAnnualDirectNitrousOxideEmissionsFromMMS_Arguments()</f>
        <v>MN_jm</v>
      </c>
      <c r="E255" s="61" t="str">
        <v>total nitrogen in each MMS for dairy cattle classes (kg N)</v>
      </c>
      <c r="F255" s="62"/>
      <c r="G255" s="60" t="str">
        <f>"See " &amp; D233</f>
        <v>See M1_Table_MN_j_m</v>
      </c>
    </row>
    <row r="256" spans="3:21" ht="20.100000000000001" customHeight="1" x14ac:dyDescent="0.25">
      <c r="D256" s="60" t="str">
        <v>EF_m</v>
      </c>
      <c r="E256" s="61" t="str">
        <v>nitrous oxide emission factor for each MMS (kg N2O-N/kg N deposited)</v>
      </c>
      <c r="F256" s="62"/>
      <c r="G256" s="60" t="str">
        <f>"See " &amp; D259</f>
        <v>See Table_EF_m</v>
      </c>
    </row>
    <row r="257" spans="4:20" ht="20.100000000000001" customHeight="1" x14ac:dyDescent="0.25">
      <c r="D257" s="60" t="str">
        <v>C_N2O</v>
      </c>
      <c r="E257" s="61" t="str">
        <v>factor to convert elemental mass of N2O to molecular mass</v>
      </c>
      <c r="F257" s="62"/>
      <c r="G257" s="60">
        <f>Common_InputFunctions.Utility_LookupValueInTableNumber("N2O",Table_GasToMolecularConversionFactor[Gas],Table_GasToMolecularConversionFactor[Conversion factor combined])</f>
        <v>1.5714285714285714</v>
      </c>
    </row>
    <row r="258" spans="4:20" ht="20.100000000000001" customHeight="1" x14ac:dyDescent="0.25"/>
    <row r="259" spans="4:20" ht="20.100000000000001" customHeight="1" x14ac:dyDescent="0.25">
      <c r="D259" s="104" t="s">
        <v>342</v>
      </c>
    </row>
    <row r="260" spans="4:20" ht="20.100000000000001" customHeight="1" x14ac:dyDescent="0.25">
      <c r="D260" s="103" t="s">
        <v>343</v>
      </c>
    </row>
    <row r="261" spans="4:20" ht="20.100000000000001" customHeight="1" x14ac:dyDescent="0.25">
      <c r="D261" s="54" t="s">
        <v>69</v>
      </c>
      <c r="E261" s="54" t="s">
        <v>344</v>
      </c>
    </row>
    <row r="262" spans="4:20" ht="20.100000000000001" customHeight="1" x14ac:dyDescent="0.25">
      <c r="D262" s="139" t="str" cm="1">
        <f t="array" ref="D262:D266">Table_SourceData_Dairy_EFmFracGASM[NIR reference]</f>
        <v>Pasture range and paddock</v>
      </c>
      <c r="E262" s="139" cm="1">
        <f t="array" ref="E262:E266">Table_SourceData_Dairy_EFmFracGASM[EFm]</f>
        <v>0</v>
      </c>
    </row>
    <row r="263" spans="4:20" ht="20.100000000000001" customHeight="1" x14ac:dyDescent="0.25">
      <c r="D263" s="139" t="str">
        <v>Anaerobic lagoon</v>
      </c>
      <c r="E263" s="139">
        <v>0</v>
      </c>
    </row>
    <row r="264" spans="4:20" ht="20.100000000000001" customHeight="1" x14ac:dyDescent="0.25">
      <c r="D264" s="139" t="str">
        <v>Sump and dispersal system</v>
      </c>
      <c r="E264" s="139">
        <v>0</v>
      </c>
    </row>
    <row r="265" spans="4:20" ht="20.100000000000001" customHeight="1" x14ac:dyDescent="0.25">
      <c r="D265" s="139" t="str">
        <v>Drains to paddock</v>
      </c>
      <c r="E265" s="139">
        <v>0</v>
      </c>
    </row>
    <row r="266" spans="4:20" ht="20.100000000000001" customHeight="1" x14ac:dyDescent="0.25">
      <c r="D266" s="139" t="str">
        <v>Solid storage</v>
      </c>
      <c r="E266" s="139">
        <v>5.0000000000000001E-3</v>
      </c>
    </row>
    <row r="267" spans="4:20" ht="20.100000000000001" customHeight="1" x14ac:dyDescent="0.25"/>
    <row r="268" spans="4:20" ht="20.100000000000001" customHeight="1" x14ac:dyDescent="0.25">
      <c r="D268" s="104" t="s">
        <v>127</v>
      </c>
      <c r="N268" s="104" t="s">
        <v>127</v>
      </c>
    </row>
    <row r="269" spans="4:20" ht="20.100000000000001" customHeight="1" x14ac:dyDescent="0.25">
      <c r="D269" s="103" t="s">
        <v>345</v>
      </c>
      <c r="N269" s="103" t="s">
        <v>345</v>
      </c>
    </row>
    <row r="270" spans="4:20" ht="20.100000000000001" customHeight="1" x14ac:dyDescent="0.25">
      <c r="D270" s="54" t="s">
        <v>159</v>
      </c>
      <c r="E270" s="54" t="s">
        <v>69</v>
      </c>
      <c r="F270" s="54" t="s">
        <v>189</v>
      </c>
      <c r="G270" s="54" t="s">
        <v>206</v>
      </c>
      <c r="H270" s="54" t="s">
        <v>207</v>
      </c>
      <c r="I270" s="54" t="s">
        <v>208</v>
      </c>
      <c r="J270" s="54" t="s">
        <v>209</v>
      </c>
      <c r="N270" s="54" t="s">
        <v>159</v>
      </c>
      <c r="O270" s="54" t="s">
        <v>69</v>
      </c>
      <c r="P270" s="54" t="s">
        <v>189</v>
      </c>
      <c r="Q270" s="54" t="s">
        <v>206</v>
      </c>
      <c r="R270" s="54" t="s">
        <v>207</v>
      </c>
      <c r="S270" s="54" t="s">
        <v>208</v>
      </c>
      <c r="T270" s="54" t="s">
        <v>209</v>
      </c>
    </row>
    <row r="271" spans="4:20" ht="20.100000000000001" customHeight="1" x14ac:dyDescent="0.25">
      <c r="D271" s="139" t="str">
        <f>'Input - Dairy'!$D$54</f>
        <v>Milking shed</v>
      </c>
      <c r="E271" s="139" t="str">
        <f>'Input - Dairy'!$D$67</f>
        <v>Anaerobic lagoon</v>
      </c>
      <c r="F271" s="55" cm="1">
        <f t="array" ref="F271">MMS_Dairy_N2ODirect_Equations.VEERG_4_3_1_3__1_TotalAnnualDirectNitrousOxideEmissionsFromMMS(F236,$E263,$G$257)</f>
        <v>0</v>
      </c>
      <c r="G271" s="55" cm="1">
        <f t="array" ref="G271">MMS_Dairy_N2ODirect_Equations.VEERG_4_3_1_3__1_TotalAnnualDirectNitrousOxideEmissionsFromMMS(G236,$E263,$G$257)</f>
        <v>0</v>
      </c>
      <c r="H271" s="55" cm="1">
        <f t="array" ref="H271">MMS_Dairy_N2ODirect_Equations.VEERG_4_3_1_3__1_TotalAnnualDirectNitrousOxideEmissionsFromMMS(H236,$E263,$G$257)</f>
        <v>0</v>
      </c>
      <c r="I271" s="55" cm="1">
        <f t="array" ref="I271">MMS_Dairy_N2ODirect_Equations.VEERG_4_3_1_3__1_TotalAnnualDirectNitrousOxideEmissionsFromMMS(I236,$E263,$G$257)</f>
        <v>0</v>
      </c>
      <c r="J271" s="55" cm="1">
        <f t="array" ref="J271">MMS_Dairy_N2ODirect_Equations.VEERG_4_3_1_3__1_TotalAnnualDirectNitrousOxideEmissionsFromMMS(J236,$E263,$G$257)</f>
        <v>0</v>
      </c>
      <c r="N271" s="139" t="str">
        <f>'Input - Dairy'!$D$54</f>
        <v>Milking shed</v>
      </c>
      <c r="O271" s="139" t="str">
        <f>'Input - Dairy'!$D$67</f>
        <v>Anaerobic lagoon</v>
      </c>
      <c r="P271" s="55" cm="1">
        <f t="array" ref="P271">MMS_Dairy_N2ODirect_Equations.VEERG_4_3_1_3__1_TotalAnnualDirectNitrousOxideEmissionsFromMMS(P236,$E263,$G$257)</f>
        <v>0</v>
      </c>
      <c r="Q271" s="55" cm="1">
        <f t="array" ref="Q271">MMS_Dairy_N2ODirect_Equations.VEERG_4_3_1_3__1_TotalAnnualDirectNitrousOxideEmissionsFromMMS(Q236,$E263,$G$257)</f>
        <v>0</v>
      </c>
      <c r="R271" s="55" cm="1">
        <f t="array" ref="R271">MMS_Dairy_N2ODirect_Equations.VEERG_4_3_1_3__1_TotalAnnualDirectNitrousOxideEmissionsFromMMS(R236,$E263,$G$257)</f>
        <v>0</v>
      </c>
      <c r="S271" s="55" cm="1">
        <f t="array" ref="S271">MMS_Dairy_N2ODirect_Equations.VEERG_4_3_1_3__1_TotalAnnualDirectNitrousOxideEmissionsFromMMS(S236,$E263,$G$257)</f>
        <v>0</v>
      </c>
      <c r="T271" s="55" cm="1">
        <f t="array" ref="T271">MMS_Dairy_N2ODirect_Equations.VEERG_4_3_1_3__1_TotalAnnualDirectNitrousOxideEmissionsFromMMS(T236,$E263,$G$257)</f>
        <v>0</v>
      </c>
    </row>
    <row r="272" spans="4:20" ht="20.100000000000001" customHeight="1" x14ac:dyDescent="0.25">
      <c r="D272" s="139" t="str">
        <f>'Input - Dairy'!$D$54</f>
        <v>Milking shed</v>
      </c>
      <c r="E272" s="139" t="str">
        <f>'Input - Dairy'!$D$72</f>
        <v>Sump and dispersal system</v>
      </c>
      <c r="F272" s="55" cm="1">
        <f t="array" ref="F272">MMS_Dairy_N2ODirect_Equations.VEERG_4_3_1_3__1_TotalAnnualDirectNitrousOxideEmissionsFromMMS(F237,$E264,$G$257)</f>
        <v>0</v>
      </c>
      <c r="G272" s="55" cm="1">
        <f t="array" ref="G272">MMS_Dairy_N2ODirect_Equations.VEERG_4_3_1_3__1_TotalAnnualDirectNitrousOxideEmissionsFromMMS(G237,$E264,$G$257)</f>
        <v>0</v>
      </c>
      <c r="H272" s="55" cm="1">
        <f t="array" ref="H272">MMS_Dairy_N2ODirect_Equations.VEERG_4_3_1_3__1_TotalAnnualDirectNitrousOxideEmissionsFromMMS(H237,$E264,$G$257)</f>
        <v>0</v>
      </c>
      <c r="I272" s="55" cm="1">
        <f t="array" ref="I272">MMS_Dairy_N2ODirect_Equations.VEERG_4_3_1_3__1_TotalAnnualDirectNitrousOxideEmissionsFromMMS(I237,$E264,$G$257)</f>
        <v>0</v>
      </c>
      <c r="J272" s="55" cm="1">
        <f t="array" ref="J272">MMS_Dairy_N2ODirect_Equations.VEERG_4_3_1_3__1_TotalAnnualDirectNitrousOxideEmissionsFromMMS(J237,$E264,$G$257)</f>
        <v>0</v>
      </c>
      <c r="N272" s="139" t="str">
        <f>'Input - Dairy'!$D$54</f>
        <v>Milking shed</v>
      </c>
      <c r="O272" s="139" t="str">
        <f>'Input - Dairy'!$D$72</f>
        <v>Sump and dispersal system</v>
      </c>
      <c r="P272" s="55" cm="1">
        <f t="array" ref="P272">MMS_Dairy_N2ODirect_Equations.VEERG_4_3_1_3__1_TotalAnnualDirectNitrousOxideEmissionsFromMMS(P237,$E264,$G$257)</f>
        <v>0</v>
      </c>
      <c r="Q272" s="55" cm="1">
        <f t="array" ref="Q272">MMS_Dairy_N2ODirect_Equations.VEERG_4_3_1_3__1_TotalAnnualDirectNitrousOxideEmissionsFromMMS(Q237,$E264,$G$257)</f>
        <v>0</v>
      </c>
      <c r="R272" s="55" cm="1">
        <f t="array" ref="R272">MMS_Dairy_N2ODirect_Equations.VEERG_4_3_1_3__1_TotalAnnualDirectNitrousOxideEmissionsFromMMS(R237,$E264,$G$257)</f>
        <v>0</v>
      </c>
      <c r="S272" s="55" cm="1">
        <f t="array" ref="S272">MMS_Dairy_N2ODirect_Equations.VEERG_4_3_1_3__1_TotalAnnualDirectNitrousOxideEmissionsFromMMS(S237,$E264,$G$257)</f>
        <v>0</v>
      </c>
      <c r="T272" s="55" cm="1">
        <f t="array" ref="T272">MMS_Dairy_N2ODirect_Equations.VEERG_4_3_1_3__1_TotalAnnualDirectNitrousOxideEmissionsFromMMS(T237,$E264,$G$257)</f>
        <v>0</v>
      </c>
    </row>
    <row r="273" spans="4:20" ht="20.100000000000001" customHeight="1" x14ac:dyDescent="0.25">
      <c r="D273" s="139" t="str">
        <f>'Input - Dairy'!$D$54</f>
        <v>Milking shed</v>
      </c>
      <c r="E273" s="139" t="str">
        <f>'Input - Dairy'!$D$77</f>
        <v>Drains to paddock</v>
      </c>
      <c r="F273" s="55" cm="1">
        <f t="array" ref="F273">MMS_Dairy_N2ODirect_Equations.VEERG_4_3_1_3__1_TotalAnnualDirectNitrousOxideEmissionsFromMMS(F238,$E265,$G$257)</f>
        <v>0</v>
      </c>
      <c r="G273" s="55" cm="1">
        <f t="array" ref="G273">MMS_Dairy_N2ODirect_Equations.VEERG_4_3_1_3__1_TotalAnnualDirectNitrousOxideEmissionsFromMMS(G238,$E265,$G$257)</f>
        <v>0</v>
      </c>
      <c r="H273" s="55" cm="1">
        <f t="array" ref="H273">MMS_Dairy_N2ODirect_Equations.VEERG_4_3_1_3__1_TotalAnnualDirectNitrousOxideEmissionsFromMMS(H238,$E265,$G$257)</f>
        <v>0</v>
      </c>
      <c r="I273" s="55" cm="1">
        <f t="array" ref="I273">MMS_Dairy_N2ODirect_Equations.VEERG_4_3_1_3__1_TotalAnnualDirectNitrousOxideEmissionsFromMMS(I238,$E265,$G$257)</f>
        <v>0</v>
      </c>
      <c r="J273" s="55" cm="1">
        <f t="array" ref="J273">MMS_Dairy_N2ODirect_Equations.VEERG_4_3_1_3__1_TotalAnnualDirectNitrousOxideEmissionsFromMMS(J238,$E265,$G$257)</f>
        <v>0</v>
      </c>
      <c r="N273" s="139" t="str">
        <f>'Input - Dairy'!$D$54</f>
        <v>Milking shed</v>
      </c>
      <c r="O273" s="139" t="str">
        <f>'Input - Dairy'!$D$77</f>
        <v>Drains to paddock</v>
      </c>
      <c r="P273" s="55" cm="1">
        <f t="array" ref="P273">MMS_Dairy_N2ODirect_Equations.VEERG_4_3_1_3__1_TotalAnnualDirectNitrousOxideEmissionsFromMMS(P238,$E265,$G$257)</f>
        <v>0</v>
      </c>
      <c r="Q273" s="55" cm="1">
        <f t="array" ref="Q273">MMS_Dairy_N2ODirect_Equations.VEERG_4_3_1_3__1_TotalAnnualDirectNitrousOxideEmissionsFromMMS(Q238,$E265,$G$257)</f>
        <v>0</v>
      </c>
      <c r="R273" s="55" cm="1">
        <f t="array" ref="R273">MMS_Dairy_N2ODirect_Equations.VEERG_4_3_1_3__1_TotalAnnualDirectNitrousOxideEmissionsFromMMS(R238,$E265,$G$257)</f>
        <v>0</v>
      </c>
      <c r="S273" s="55" cm="1">
        <f t="array" ref="S273">MMS_Dairy_N2ODirect_Equations.VEERG_4_3_1_3__1_TotalAnnualDirectNitrousOxideEmissionsFromMMS(S238,$E265,$G$257)</f>
        <v>0</v>
      </c>
      <c r="T273" s="55" cm="1">
        <f t="array" ref="T273">MMS_Dairy_N2ODirect_Equations.VEERG_4_3_1_3__1_TotalAnnualDirectNitrousOxideEmissionsFromMMS(T238,$E265,$G$257)</f>
        <v>0</v>
      </c>
    </row>
    <row r="274" spans="4:20" ht="20.100000000000001" customHeight="1" x14ac:dyDescent="0.25">
      <c r="D274" s="139" t="str">
        <f>'Input - Dairy'!$D$54</f>
        <v>Milking shed</v>
      </c>
      <c r="E274" s="139" t="str">
        <f>'Input - Dairy'!$D$82</f>
        <v>Solid storage</v>
      </c>
      <c r="F274" s="55" cm="1">
        <f t="array" ref="F274">MMS_Dairy_N2ODirect_Equations.VEERG_4_3_1_3__1_TotalAnnualDirectNitrousOxideEmissionsFromMMS(F239,$E266,$G$257)</f>
        <v>3.3353278065681815E-3</v>
      </c>
      <c r="G274" s="55" cm="1">
        <f t="array" ref="G274">MMS_Dairy_N2ODirect_Equations.VEERG_4_3_1_3__1_TotalAnnualDirectNitrousOxideEmissionsFromMMS(G239,$E266,$G$257)</f>
        <v>2.8656241849371834E-3</v>
      </c>
      <c r="H274" s="55" cm="1">
        <f t="array" ref="H274">MMS_Dairy_N2ODirect_Equations.VEERG_4_3_1_3__1_TotalAnnualDirectNitrousOxideEmissionsFromMMS(H239,$E266,$G$257)</f>
        <v>1.1413478076603965E-3</v>
      </c>
      <c r="I274" s="55" cm="1">
        <f t="array" ref="I274">MMS_Dairy_N2ODirect_Equations.VEERG_4_3_1_3__1_TotalAnnualDirectNitrousOxideEmissionsFromMMS(I239,$E266,$G$257)</f>
        <v>3.6022029330550747E-3</v>
      </c>
      <c r="J274" s="55" cm="1">
        <f t="array" ref="J274">MMS_Dairy_N2ODirect_Equations.VEERG_4_3_1_3__1_TotalAnnualDirectNitrousOxideEmissionsFromMMS(J239,$E266,$G$257)</f>
        <v>1.5079877540994421E-3</v>
      </c>
      <c r="N274" s="139" t="str">
        <f>'Input - Dairy'!$D$54</f>
        <v>Milking shed</v>
      </c>
      <c r="O274" s="139" t="str">
        <f>'Input - Dairy'!$D$82</f>
        <v>Solid storage</v>
      </c>
      <c r="P274" s="55" cm="1">
        <f t="array" ref="P274">MMS_Dairy_N2ODirect_Equations.VEERG_4_3_1_3__1_TotalAnnualDirectNitrousOxideEmissionsFromMMS(P239,$E266,$G$257)</f>
        <v>3.3353278065681815E-3</v>
      </c>
      <c r="Q274" s="55" cm="1">
        <f t="array" ref="Q274">MMS_Dairy_N2ODirect_Equations.VEERG_4_3_1_3__1_TotalAnnualDirectNitrousOxideEmissionsFromMMS(Q239,$E266,$G$257)</f>
        <v>2.8656241849371834E-3</v>
      </c>
      <c r="R274" s="55" cm="1">
        <f t="array" ref="R274">MMS_Dairy_N2ODirect_Equations.VEERG_4_3_1_3__1_TotalAnnualDirectNitrousOxideEmissionsFromMMS(R239,$E266,$G$257)</f>
        <v>1.1413478076603965E-3</v>
      </c>
      <c r="S274" s="55" cm="1">
        <f t="array" ref="S274">MMS_Dairy_N2ODirect_Equations.VEERG_4_3_1_3__1_TotalAnnualDirectNitrousOxideEmissionsFromMMS(S239,$E266,$G$257)</f>
        <v>3.6022029330550747E-3</v>
      </c>
      <c r="T274" s="55" cm="1">
        <f t="array" ref="T274">MMS_Dairy_N2ODirect_Equations.VEERG_4_3_1_3__1_TotalAnnualDirectNitrousOxideEmissionsFromMMS(T239,$E266,$G$257)</f>
        <v>1.5079877540994421E-3</v>
      </c>
    </row>
    <row r="275" spans="4:20" ht="20.100000000000001" customHeight="1" x14ac:dyDescent="0.25">
      <c r="D275" s="139" t="str">
        <f>'Input - Dairy'!$D$55</f>
        <v>Feed pad</v>
      </c>
      <c r="E275" s="139" t="str">
        <f>'Input - Dairy'!$D$101</f>
        <v>Anaerobic lagoon</v>
      </c>
      <c r="F275" s="55" cm="1">
        <f t="array" ref="F275">MMS_Dairy_N2ODirect_Equations.VEERG_4_3_1_3__1_TotalAnnualDirectNitrousOxideEmissionsFromMMS(F240,$E263,$G$257)</f>
        <v>0</v>
      </c>
      <c r="G275" s="55" cm="1">
        <f t="array" ref="G275">MMS_Dairy_N2ODirect_Equations.VEERG_4_3_1_3__1_TotalAnnualDirectNitrousOxideEmissionsFromMMS(G240,$E263,$G$257)</f>
        <v>0</v>
      </c>
      <c r="H275" s="55" cm="1">
        <f t="array" ref="H275">MMS_Dairy_N2ODirect_Equations.VEERG_4_3_1_3__1_TotalAnnualDirectNitrousOxideEmissionsFromMMS(H240,$E263,$G$257)</f>
        <v>0</v>
      </c>
      <c r="I275" s="55" cm="1">
        <f t="array" ref="I275">MMS_Dairy_N2ODirect_Equations.VEERG_4_3_1_3__1_TotalAnnualDirectNitrousOxideEmissionsFromMMS(I240,$E263,$G$257)</f>
        <v>0</v>
      </c>
      <c r="J275" s="55" cm="1">
        <f t="array" ref="J275">MMS_Dairy_N2ODirect_Equations.VEERG_4_3_1_3__1_TotalAnnualDirectNitrousOxideEmissionsFromMMS(J240,$E263,$G$257)</f>
        <v>0</v>
      </c>
      <c r="N275" s="139" t="str">
        <f>'Input - Dairy'!$D$55</f>
        <v>Feed pad</v>
      </c>
      <c r="O275" s="139" t="str">
        <f>'Input - Dairy'!$D$101</f>
        <v>Anaerobic lagoon</v>
      </c>
      <c r="P275" s="55" cm="1">
        <f t="array" ref="P275">MMS_Dairy_N2ODirect_Equations.VEERG_4_3_1_3__1_TotalAnnualDirectNitrousOxideEmissionsFromMMS(P240,$E263,$G$257)</f>
        <v>0</v>
      </c>
      <c r="Q275" s="55" cm="1">
        <f t="array" ref="Q275">MMS_Dairy_N2ODirect_Equations.VEERG_4_3_1_3__1_TotalAnnualDirectNitrousOxideEmissionsFromMMS(Q240,$E263,$G$257)</f>
        <v>0</v>
      </c>
      <c r="R275" s="55" cm="1">
        <f t="array" ref="R275">MMS_Dairy_N2ODirect_Equations.VEERG_4_3_1_3__1_TotalAnnualDirectNitrousOxideEmissionsFromMMS(R240,$E263,$G$257)</f>
        <v>0</v>
      </c>
      <c r="S275" s="55" cm="1">
        <f t="array" ref="S275">MMS_Dairy_N2ODirect_Equations.VEERG_4_3_1_3__1_TotalAnnualDirectNitrousOxideEmissionsFromMMS(S240,$E263,$G$257)</f>
        <v>0</v>
      </c>
      <c r="T275" s="55" cm="1">
        <f t="array" ref="T275">MMS_Dairy_N2ODirect_Equations.VEERG_4_3_1_3__1_TotalAnnualDirectNitrousOxideEmissionsFromMMS(T240,$E263,$G$257)</f>
        <v>0</v>
      </c>
    </row>
    <row r="276" spans="4:20" ht="20.100000000000001" customHeight="1" x14ac:dyDescent="0.25">
      <c r="D276" s="139" t="str">
        <f>'Input - Dairy'!$D$55</f>
        <v>Feed pad</v>
      </c>
      <c r="E276" s="139" t="str">
        <f>'Input - Dairy'!$D$106</f>
        <v>Sump and dispersal system</v>
      </c>
      <c r="F276" s="55" cm="1">
        <f t="array" ref="F276">MMS_Dairy_N2ODirect_Equations.VEERG_4_3_1_3__1_TotalAnnualDirectNitrousOxideEmissionsFromMMS(F241,$E264,$G$257)</f>
        <v>0</v>
      </c>
      <c r="G276" s="55" cm="1">
        <f t="array" ref="G276">MMS_Dairy_N2ODirect_Equations.VEERG_4_3_1_3__1_TotalAnnualDirectNitrousOxideEmissionsFromMMS(G241,$E264,$G$257)</f>
        <v>0</v>
      </c>
      <c r="H276" s="55" cm="1">
        <f t="array" ref="H276">MMS_Dairy_N2ODirect_Equations.VEERG_4_3_1_3__1_TotalAnnualDirectNitrousOxideEmissionsFromMMS(H241,$E264,$G$257)</f>
        <v>0</v>
      </c>
      <c r="I276" s="55" cm="1">
        <f t="array" ref="I276">MMS_Dairy_N2ODirect_Equations.VEERG_4_3_1_3__1_TotalAnnualDirectNitrousOxideEmissionsFromMMS(I241,$E264,$G$257)</f>
        <v>0</v>
      </c>
      <c r="J276" s="55" cm="1">
        <f t="array" ref="J276">MMS_Dairy_N2ODirect_Equations.VEERG_4_3_1_3__1_TotalAnnualDirectNitrousOxideEmissionsFromMMS(J241,$E264,$G$257)</f>
        <v>0</v>
      </c>
      <c r="N276" s="139" t="str">
        <f>'Input - Dairy'!$D$55</f>
        <v>Feed pad</v>
      </c>
      <c r="O276" s="139" t="str">
        <f>'Input - Dairy'!$D$106</f>
        <v>Sump and dispersal system</v>
      </c>
      <c r="P276" s="55" cm="1">
        <f t="array" ref="P276">MMS_Dairy_N2ODirect_Equations.VEERG_4_3_1_3__1_TotalAnnualDirectNitrousOxideEmissionsFromMMS(P241,$E264,$G$257)</f>
        <v>0</v>
      </c>
      <c r="Q276" s="55" cm="1">
        <f t="array" ref="Q276">MMS_Dairy_N2ODirect_Equations.VEERG_4_3_1_3__1_TotalAnnualDirectNitrousOxideEmissionsFromMMS(Q241,$E264,$G$257)</f>
        <v>0</v>
      </c>
      <c r="R276" s="55" cm="1">
        <f t="array" ref="R276">MMS_Dairy_N2ODirect_Equations.VEERG_4_3_1_3__1_TotalAnnualDirectNitrousOxideEmissionsFromMMS(R241,$E264,$G$257)</f>
        <v>0</v>
      </c>
      <c r="S276" s="55" cm="1">
        <f t="array" ref="S276">MMS_Dairy_N2ODirect_Equations.VEERG_4_3_1_3__1_TotalAnnualDirectNitrousOxideEmissionsFromMMS(S241,$E264,$G$257)</f>
        <v>0</v>
      </c>
      <c r="T276" s="55" cm="1">
        <f t="array" ref="T276">MMS_Dairy_N2ODirect_Equations.VEERG_4_3_1_3__1_TotalAnnualDirectNitrousOxideEmissionsFromMMS(T241,$E264,$G$257)</f>
        <v>0</v>
      </c>
    </row>
    <row r="277" spans="4:20" ht="20.100000000000001" customHeight="1" x14ac:dyDescent="0.25">
      <c r="D277" s="139" t="str">
        <f>'Input - Dairy'!$D$55</f>
        <v>Feed pad</v>
      </c>
      <c r="E277" s="139" t="str">
        <f>'Input - Dairy'!$D$111</f>
        <v>Drains to paddock</v>
      </c>
      <c r="F277" s="55" cm="1">
        <f t="array" ref="F277">MMS_Dairy_N2ODirect_Equations.VEERG_4_3_1_3__1_TotalAnnualDirectNitrousOxideEmissionsFromMMS(F242,$E265,$G$257)</f>
        <v>0</v>
      </c>
      <c r="G277" s="55" cm="1">
        <f t="array" ref="G277">MMS_Dairy_N2ODirect_Equations.VEERG_4_3_1_3__1_TotalAnnualDirectNitrousOxideEmissionsFromMMS(G242,$E265,$G$257)</f>
        <v>0</v>
      </c>
      <c r="H277" s="55" cm="1">
        <f t="array" ref="H277">MMS_Dairy_N2ODirect_Equations.VEERG_4_3_1_3__1_TotalAnnualDirectNitrousOxideEmissionsFromMMS(H242,$E265,$G$257)</f>
        <v>0</v>
      </c>
      <c r="I277" s="55" cm="1">
        <f t="array" ref="I277">MMS_Dairy_N2ODirect_Equations.VEERG_4_3_1_3__1_TotalAnnualDirectNitrousOxideEmissionsFromMMS(I242,$E265,$G$257)</f>
        <v>0</v>
      </c>
      <c r="J277" s="55" cm="1">
        <f t="array" ref="J277">MMS_Dairy_N2ODirect_Equations.VEERG_4_3_1_3__1_TotalAnnualDirectNitrousOxideEmissionsFromMMS(J242,$E265,$G$257)</f>
        <v>0</v>
      </c>
      <c r="N277" s="139" t="str">
        <f>'Input - Dairy'!$D$55</f>
        <v>Feed pad</v>
      </c>
      <c r="O277" s="139" t="str">
        <f>'Input - Dairy'!$D$111</f>
        <v>Drains to paddock</v>
      </c>
      <c r="P277" s="55" cm="1">
        <f t="array" ref="P277">MMS_Dairy_N2ODirect_Equations.VEERG_4_3_1_3__1_TotalAnnualDirectNitrousOxideEmissionsFromMMS(P242,$E265,$G$257)</f>
        <v>0</v>
      </c>
      <c r="Q277" s="55" cm="1">
        <f t="array" ref="Q277">MMS_Dairy_N2ODirect_Equations.VEERG_4_3_1_3__1_TotalAnnualDirectNitrousOxideEmissionsFromMMS(Q242,$E265,$G$257)</f>
        <v>0</v>
      </c>
      <c r="R277" s="55" cm="1">
        <f t="array" ref="R277">MMS_Dairy_N2ODirect_Equations.VEERG_4_3_1_3__1_TotalAnnualDirectNitrousOxideEmissionsFromMMS(R242,$E265,$G$257)</f>
        <v>0</v>
      </c>
      <c r="S277" s="55" cm="1">
        <f t="array" ref="S277">MMS_Dairy_N2ODirect_Equations.VEERG_4_3_1_3__1_TotalAnnualDirectNitrousOxideEmissionsFromMMS(S242,$E265,$G$257)</f>
        <v>0</v>
      </c>
      <c r="T277" s="55" cm="1">
        <f t="array" ref="T277">MMS_Dairy_N2ODirect_Equations.VEERG_4_3_1_3__1_TotalAnnualDirectNitrousOxideEmissionsFromMMS(T242,$E265,$G$257)</f>
        <v>0</v>
      </c>
    </row>
    <row r="278" spans="4:20" ht="20.100000000000001" customHeight="1" x14ac:dyDescent="0.25">
      <c r="D278" s="139" t="str">
        <f>'Input - Dairy'!$D$55</f>
        <v>Feed pad</v>
      </c>
      <c r="E278" s="139" t="str">
        <f>'Input - Dairy'!$D$116</f>
        <v>Solid storage</v>
      </c>
      <c r="F278" s="55" cm="1">
        <f t="array" ref="F278">MMS_Dairy_N2ODirect_Equations.VEERG_4_3_1_3__1_TotalAnnualDirectNitrousOxideEmissionsFromMMS(F243,$E266,$G$257)</f>
        <v>9.4450419249635324E-3</v>
      </c>
      <c r="G278" s="55" cm="1">
        <f t="array" ref="G278">MMS_Dairy_N2ODirect_Equations.VEERG_4_3_1_3__1_TotalAnnualDirectNitrousOxideEmissionsFromMMS(G243,$E266,$G$257)</f>
        <v>8.1149266691630251E-3</v>
      </c>
      <c r="H278" s="55" cm="1">
        <f t="array" ref="H278">MMS_Dairy_N2ODirect_Equations.VEERG_4_3_1_3__1_TotalAnnualDirectNitrousOxideEmissionsFromMMS(H243,$E266,$G$257)</f>
        <v>3.2320894735110321E-3</v>
      </c>
      <c r="I278" s="55" cm="1">
        <f t="array" ref="I278">MMS_Dairy_N2ODirect_Equations.VEERG_4_3_1_3__1_TotalAnnualDirectNitrousOxideEmissionsFromMMS(I243,$E266,$G$257)</f>
        <v>1.0200783760424144E-2</v>
      </c>
      <c r="J278" s="55" cm="1">
        <f t="array" ref="J278">MMS_Dairy_N2ODirect_Equations.VEERG_4_3_1_3__1_TotalAnnualDirectNitrousOxideEmissionsFromMMS(J243,$E266,$G$257)</f>
        <v>4.2703471400179658E-3</v>
      </c>
      <c r="N278" s="139" t="str">
        <f>'Input - Dairy'!$D$55</f>
        <v>Feed pad</v>
      </c>
      <c r="O278" s="139" t="str">
        <f>'Input - Dairy'!$D$116</f>
        <v>Solid storage</v>
      </c>
      <c r="P278" s="55" cm="1">
        <f t="array" ref="P278">MMS_Dairy_N2ODirect_Equations.VEERG_4_3_1_3__1_TotalAnnualDirectNitrousOxideEmissionsFromMMS(P243,$E266,$G$257)</f>
        <v>9.4450419249635324E-3</v>
      </c>
      <c r="Q278" s="55" cm="1">
        <f t="array" ref="Q278">MMS_Dairy_N2ODirect_Equations.VEERG_4_3_1_3__1_TotalAnnualDirectNitrousOxideEmissionsFromMMS(Q243,$E266,$G$257)</f>
        <v>8.1149266691630251E-3</v>
      </c>
      <c r="R278" s="55" cm="1">
        <f t="array" ref="R278">MMS_Dairy_N2ODirect_Equations.VEERG_4_3_1_3__1_TotalAnnualDirectNitrousOxideEmissionsFromMMS(R243,$E266,$G$257)</f>
        <v>3.2320894735110321E-3</v>
      </c>
      <c r="S278" s="55" cm="1">
        <f t="array" ref="S278">MMS_Dairy_N2ODirect_Equations.VEERG_4_3_1_3__1_TotalAnnualDirectNitrousOxideEmissionsFromMMS(S243,$E266,$G$257)</f>
        <v>1.0200783760424144E-2</v>
      </c>
      <c r="T278" s="55" cm="1">
        <f t="array" ref="T278">MMS_Dairy_N2ODirect_Equations.VEERG_4_3_1_3__1_TotalAnnualDirectNitrousOxideEmissionsFromMMS(T243,$E266,$G$257)</f>
        <v>4.2703471400179658E-3</v>
      </c>
    </row>
    <row r="279" spans="4:20" ht="20.100000000000001" customHeight="1" x14ac:dyDescent="0.25"/>
    <row r="280" spans="4:20" ht="20.100000000000001" customHeight="1" x14ac:dyDescent="0.25">
      <c r="D280" s="108" t="s">
        <v>126</v>
      </c>
      <c r="E280" s="109">
        <f>SUM(E275:G278)</f>
        <v>1.7559968594126556E-2</v>
      </c>
      <c r="F280" s="110" t="str">
        <f>$E$253</f>
        <v>t N2O</v>
      </c>
      <c r="N280" s="108" t="s">
        <v>126</v>
      </c>
      <c r="O280" s="109">
        <f>SUM(O275:Q278)</f>
        <v>1.7559968594126556E-2</v>
      </c>
      <c r="P280" s="110" t="str">
        <f>$E$253</f>
        <v>t N2O</v>
      </c>
    </row>
    <row r="281" spans="4:20" ht="20.100000000000001" customHeight="1" x14ac:dyDescent="0.25"/>
    <row r="282" spans="4:20" ht="20.100000000000001" customHeight="1" x14ac:dyDescent="0.25">
      <c r="D282" s="60" t="str" cm="1">
        <f t="array" ref="D282:E283">Common_Equations.Common_ConvertN2OToCO2e_Arguments()</f>
        <v>EN2O</v>
      </c>
      <c r="E282" s="61" t="str">
        <v>Nitrous oxide emissions (t N2O)</v>
      </c>
      <c r="F282" s="111"/>
      <c r="G282" s="55">
        <f>$E$280</f>
        <v>1.7559968594126556E-2</v>
      </c>
      <c r="N282" s="60" t="str" cm="1">
        <f t="array" ref="N282:O283">Common_Equations.Common_ConvertN2OToCO2e_Arguments()</f>
        <v>EN2O</v>
      </c>
      <c r="O282" s="61" t="str">
        <v>Nitrous oxide emissions (t N2O)</v>
      </c>
      <c r="P282" s="111"/>
      <c r="Q282" s="55">
        <f>$E$280</f>
        <v>1.7559968594126556E-2</v>
      </c>
    </row>
    <row r="283" spans="4:20" ht="20.100000000000001" customHeight="1" x14ac:dyDescent="0.25">
      <c r="D283" s="60" t="str">
        <v>GWPN2O</v>
      </c>
      <c r="E283" s="61" t="str">
        <v>Global warming potential for nitrous oxide (t CO2-e / t N2O)</v>
      </c>
      <c r="F283" s="111"/>
      <c r="G283" s="55">
        <f>Common_InputFunctions.Utility_LookupValueInTableNumber("N2O",Table_GWPData[Gas],Table_GWPData[CO2-e factor])</f>
        <v>265</v>
      </c>
      <c r="N283" s="60" t="str">
        <v>GWPN2O</v>
      </c>
      <c r="O283" s="61" t="str">
        <v>Global warming potential for nitrous oxide (t CO2-e / t N2O)</v>
      </c>
      <c r="P283" s="111"/>
      <c r="Q283" s="55">
        <f>Common_InputFunctions.Utility_LookupValueInTableNumber("N2O",Table_GWPData[Gas],Table_GWPData[CO2-e factor])</f>
        <v>265</v>
      </c>
    </row>
    <row r="284" spans="4:20" ht="20.100000000000001" customHeight="1" x14ac:dyDescent="0.25"/>
    <row r="285" spans="4:20" ht="20.100000000000001" customHeight="1" x14ac:dyDescent="0.25">
      <c r="D285" s="48" t="s">
        <v>111</v>
      </c>
      <c r="E285" s="48" cm="1">
        <f t="array" ref="E285">Common_Equations.Common_ConvertN2OToCO2e(G282,G283)</f>
        <v>4.6533916774435369</v>
      </c>
      <c r="F285" s="112" t="str" cm="1">
        <f t="array" ref="F285">Common_Equations.Common_ConvertN2OToCO2e_Unit()</f>
        <v>t CO2e</v>
      </c>
      <c r="N285" s="48" t="s">
        <v>111</v>
      </c>
      <c r="O285" s="48" cm="1">
        <f t="array" ref="O285">Common_Equations.Common_ConvertN2OToCO2e(Q282,Q283)</f>
        <v>4.6533916774435369</v>
      </c>
      <c r="P285" s="112" t="str" cm="1">
        <f t="array" ref="P285">Common_Equations.Common_ConvertN2OToCO2e_Unit()</f>
        <v>t CO2e</v>
      </c>
    </row>
    <row r="286" spans="4:20" ht="20.100000000000001" customHeight="1" x14ac:dyDescent="0.25"/>
    <row r="287" spans="4:20" ht="20.100000000000001" customHeight="1" x14ac:dyDescent="0.25"/>
    <row r="288" spans="4:20"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O106:T106 F78 N83:P83 D79:E79 E101:J101 E73:F73 F106:J106 E227 E224 O227 O224 E239 E236 O239 O236 E265 E262 E274 E271 O274 O271" xr:uid="{CE18DC45-74F3-46B3-972B-5F44E5579A05}"/>
  </dataValidations>
  <pageMargins left="0.7" right="0.7" top="0.75" bottom="0.75" header="0.3" footer="0.3"/>
  <pageSetup paperSize="9" orientation="portrait" r:id="rId1"/>
  <ignoredErrors>
    <ignoredError sqref="H236:H243"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347</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MMS_Dairy_AtmosphericDeposition_Equations.VEERG_4_3_1_5__2_TotalNitrogenVolatilisedFromMMS_Title()</f>
        <v>Total nitrogen volatilised from MMS</v>
      </c>
      <c r="G5" s="114" t="s">
        <v>356</v>
      </c>
    </row>
    <row r="6" spans="1:23" ht="20.100000000000001" customHeight="1" x14ac:dyDescent="0.25">
      <c r="A6" s="20" t="s">
        <v>3</v>
      </c>
      <c r="D6" s="5" t="str" cm="1">
        <f t="array" ref="D6">MMS_Dairy_AtmosphericDeposition_Equations.VEERG_4_3_1_5__2_TotalNitrogenVolatilisedFromMMS_Source()</f>
        <v>VEERG 2026: 4.3.1.5, Equation (2)</v>
      </c>
    </row>
    <row r="7" spans="1:23" ht="20.100000000000001" customHeight="1" x14ac:dyDescent="0.25">
      <c r="A7" s="17" t="str">
        <f>HYPERLINK("#'Input - Site'!A1", "Site")</f>
        <v>Site</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MMS_Dairy_AtmosphericDeposition_Equations.VEERG_4_3_1_5__2_TotalNitrogenVolatilisedFromMMS_Variable()</f>
        <v>MN_ATMOS</v>
      </c>
    </row>
    <row r="11" spans="1:23" ht="20.100000000000001" customHeight="1" x14ac:dyDescent="0.25">
      <c r="A11" s="17" t="str">
        <f>HYPERLINK("#'4.3.1.1-2 Methane'!A1", "4.3.1.1-2 Methane")</f>
        <v>4.3.1.1-2 Methane</v>
      </c>
      <c r="D11" s="56" t="s">
        <v>21</v>
      </c>
      <c r="E11" s="57" t="str" cm="1">
        <f t="array" ref="E11">MMS_Dairy_AtmosphericDeposition_Equations.VEERG_4_3_1_5__2_TotalNitrogenVolatilisedFromMMS_Unit()</f>
        <v>kg N</v>
      </c>
    </row>
    <row r="12" spans="1:23" ht="20.100000000000001" customHeight="1" x14ac:dyDescent="0.25">
      <c r="A12" s="17" t="str">
        <f>HYPERLINK("#'4.3.1.3-4 Direct N20'!A1", "4.3.1.3-4 Direct N2O")</f>
        <v>4.3.1.3-4 Direct N2O</v>
      </c>
    </row>
    <row r="13" spans="1:23" ht="20.100000000000001" customHeight="1" x14ac:dyDescent="0.25">
      <c r="A13" s="22" t="str">
        <f>HYPERLINK("#'4.3.1.5 Atmos Deposition'!A1", "4.3.1.5 Atmospheric deposition")</f>
        <v>4.3.1.5 Atmospheric deposition</v>
      </c>
      <c r="D13" s="60" t="str" cm="1">
        <f t="array" ref="D13:E14">MMS_Dairy_AtmosphericDeposition_Equations.VEERG_4_3_1_5__2_TotalNitrogenVolatilisedFromMMS_Arguments()</f>
        <v>MN_jm</v>
      </c>
      <c r="E13" s="61" t="str">
        <v>total nitrogen in each MMS for dairy cattle classes (kg N)</v>
      </c>
      <c r="F13" s="62"/>
      <c r="G13" s="60" t="str">
        <f>"See " &amp; $D$16</f>
        <v>See M1_Table_MN_j_m</v>
      </c>
    </row>
    <row r="14" spans="1:23" ht="20.100000000000001" customHeight="1" x14ac:dyDescent="0.25">
      <c r="A14" s="17" t="str">
        <f>HYPERLINK("#'4.3.1.6-7 Leaching and runoff'!A1", "4.3.1.6-7 Leaching and runoff")</f>
        <v>4.3.1.6-7 Leaching and runoff</v>
      </c>
      <c r="D14" s="60" t="str">
        <v>FracGASM_m</v>
      </c>
      <c r="E14" s="61" t="str">
        <v>fraction of N volatilised from MMS (fraction)</v>
      </c>
      <c r="F14" s="62"/>
      <c r="G14" s="60" t="str">
        <f>"See " &amp; $D$28</f>
        <v>See Table_FracGASM_m</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338</v>
      </c>
      <c r="O16" s="104" t="s">
        <v>341</v>
      </c>
    </row>
    <row r="17" spans="1:22" ht="20.100000000000001" customHeight="1" x14ac:dyDescent="0.25">
      <c r="A17" s="17" t="str">
        <f>HYPERLINK("#'4.3.1.10-11 Soil Atmos Dep'!A1", "4.3.1.10-11 Soil atm. deposition")</f>
        <v>4.3.1.10-11 Soil atm. deposition</v>
      </c>
      <c r="D17" s="103" t="s">
        <v>339</v>
      </c>
      <c r="O17" s="103" t="s">
        <v>340</v>
      </c>
    </row>
    <row r="18" spans="1:22" ht="20.100000000000001" customHeight="1" x14ac:dyDescent="0.25">
      <c r="A18" s="17" t="str">
        <f>HYPERLINK("#'4.3.1.12-13 Soil leach runoff'!A1", "4.3.1.12-13 Soil leach &amp; runoff")</f>
        <v>4.3.1.12-13 Soil leach &amp; runoff</v>
      </c>
      <c r="D18" s="54" t="s">
        <v>159</v>
      </c>
      <c r="E18" s="54" t="s">
        <v>69</v>
      </c>
      <c r="F18" s="54" t="s">
        <v>189</v>
      </c>
      <c r="G18" s="54" t="s">
        <v>206</v>
      </c>
      <c r="H18" s="54" t="s">
        <v>207</v>
      </c>
      <c r="I18" s="54" t="s">
        <v>208</v>
      </c>
      <c r="J18" s="54" t="s">
        <v>209</v>
      </c>
      <c r="O18" s="54" t="s">
        <v>159</v>
      </c>
      <c r="P18" s="54" t="s">
        <v>69</v>
      </c>
      <c r="Q18" s="54" t="s">
        <v>189</v>
      </c>
      <c r="R18" s="54" t="s">
        <v>206</v>
      </c>
      <c r="S18" s="54" t="s">
        <v>207</v>
      </c>
      <c r="T18" s="54" t="s">
        <v>208</v>
      </c>
      <c r="U18" s="54" t="s">
        <v>209</v>
      </c>
    </row>
    <row r="19" spans="1:22" ht="20.100000000000001" customHeight="1" x14ac:dyDescent="0.25">
      <c r="A19" s="17"/>
      <c r="D19" s="139" t="str">
        <f>'Input - Dairy'!$D$54</f>
        <v>Milking shed</v>
      </c>
      <c r="E19" s="139" t="str">
        <f>'Input - Dairy'!$D$67</f>
        <v>Anaerobic lagoon</v>
      </c>
      <c r="F19" s="55">
        <f>'4.3.1.3-4 Direct N20'!$F$236</f>
        <v>212.24813314524795</v>
      </c>
      <c r="G19" s="55">
        <f>'4.3.1.3-4 Direct N20'!$G$236</f>
        <v>182.35790267782079</v>
      </c>
      <c r="H19" s="55">
        <f>'4.3.1.3-4 Direct N20'!$H$236</f>
        <v>72.631224123843424</v>
      </c>
      <c r="I19" s="55">
        <f>'4.3.1.3-4 Direct N20'!$I$236</f>
        <v>229.23109573986844</v>
      </c>
      <c r="J19" s="55">
        <f>'4.3.1.3-4 Direct N20'!$J$236</f>
        <v>95.962857079055411</v>
      </c>
      <c r="K19" s="2" t="s">
        <v>135</v>
      </c>
      <c r="O19" s="139" t="str">
        <f>'Input - Dairy'!$D$54</f>
        <v>Milking shed</v>
      </c>
      <c r="P19" s="139" t="str">
        <f>'Input - Dairy'!$D$67</f>
        <v>Anaerobic lagoon</v>
      </c>
      <c r="Q19" s="55">
        <f>'4.3.1.3-4 Direct N20'!$P$236</f>
        <v>212.24813314524795</v>
      </c>
      <c r="R19" s="55">
        <f>'4.3.1.3-4 Direct N20'!$Q$236</f>
        <v>182.35790267782079</v>
      </c>
      <c r="S19" s="55">
        <f>'4.3.1.3-4 Direct N20'!$R$236</f>
        <v>72.631224123843424</v>
      </c>
      <c r="T19" s="55">
        <f>'4.3.1.3-4 Direct N20'!$S$236</f>
        <v>229.23109573986844</v>
      </c>
      <c r="U19" s="55">
        <f>'4.3.1.3-4 Direct N20'!$T$236</f>
        <v>95.962857079055411</v>
      </c>
      <c r="V19" s="2" t="s">
        <v>135</v>
      </c>
    </row>
    <row r="20" spans="1:22" ht="20.100000000000001" customHeight="1" x14ac:dyDescent="0.25">
      <c r="A20" s="18" t="s">
        <v>4</v>
      </c>
      <c r="D20" s="139" t="str">
        <f>'Input - Dairy'!$D$54</f>
        <v>Milking shed</v>
      </c>
      <c r="E20" s="139" t="str">
        <f>'Input - Dairy'!$D$72</f>
        <v>Sump and dispersal system</v>
      </c>
      <c r="F20" s="55">
        <f>'4.3.1.3-4 Direct N20'!$F$237</f>
        <v>212.24813314524795</v>
      </c>
      <c r="G20" s="55">
        <f>'4.3.1.3-4 Direct N20'!$G$237</f>
        <v>182.35790267782079</v>
      </c>
      <c r="H20" s="55">
        <f>'4.3.1.3-4 Direct N20'!$H$237</f>
        <v>72.631224123843424</v>
      </c>
      <c r="I20" s="55">
        <f>'4.3.1.3-4 Direct N20'!$I$237</f>
        <v>229.23109573986844</v>
      </c>
      <c r="J20" s="55">
        <f>'4.3.1.3-4 Direct N20'!$J$237</f>
        <v>95.962857079055411</v>
      </c>
      <c r="K20" s="2" t="s">
        <v>135</v>
      </c>
      <c r="O20" s="139" t="str">
        <f>'Input - Dairy'!$D$54</f>
        <v>Milking shed</v>
      </c>
      <c r="P20" s="139" t="str">
        <f>'Input - Dairy'!$D$72</f>
        <v>Sump and dispersal system</v>
      </c>
      <c r="Q20" s="55">
        <f>'4.3.1.3-4 Direct N20'!$P$237</f>
        <v>212.24813314524795</v>
      </c>
      <c r="R20" s="55">
        <f>'4.3.1.3-4 Direct N20'!$Q$237</f>
        <v>182.35790267782079</v>
      </c>
      <c r="S20" s="55">
        <f>'4.3.1.3-4 Direct N20'!$R$237</f>
        <v>72.631224123843424</v>
      </c>
      <c r="T20" s="55">
        <f>'4.3.1.3-4 Direct N20'!$S$237</f>
        <v>229.23109573986844</v>
      </c>
      <c r="U20" s="55">
        <f>'4.3.1.3-4 Direct N20'!$T$237</f>
        <v>95.962857079055411</v>
      </c>
      <c r="V20" s="2" t="s">
        <v>135</v>
      </c>
    </row>
    <row r="21" spans="1:22" ht="20.100000000000001" customHeight="1" x14ac:dyDescent="0.25">
      <c r="A21" s="17" t="str">
        <f>HYPERLINK("#'Constants - Dairy'!A1", "Constants - Dairy")</f>
        <v>Constants - Dairy</v>
      </c>
      <c r="D21" s="139" t="str">
        <f>'Input - Dairy'!$D$54</f>
        <v>Milking shed</v>
      </c>
      <c r="E21" s="139" t="str">
        <f>'Input - Dairy'!$D$77</f>
        <v>Drains to paddock</v>
      </c>
      <c r="F21" s="55">
        <f>'4.3.1.3-4 Direct N20'!$F$238</f>
        <v>212.24813314524795</v>
      </c>
      <c r="G21" s="55">
        <f>'4.3.1.3-4 Direct N20'!$G$238</f>
        <v>182.35790267782079</v>
      </c>
      <c r="H21" s="55">
        <f>'4.3.1.3-4 Direct N20'!$H$238</f>
        <v>72.631224123843424</v>
      </c>
      <c r="I21" s="55">
        <f>'4.3.1.3-4 Direct N20'!$I$238</f>
        <v>229.23109573986844</v>
      </c>
      <c r="J21" s="55">
        <f>'4.3.1.3-4 Direct N20'!$J$238</f>
        <v>95.962857079055411</v>
      </c>
      <c r="K21" s="2" t="s">
        <v>135</v>
      </c>
      <c r="O21" s="139" t="str">
        <f>'Input - Dairy'!$D$54</f>
        <v>Milking shed</v>
      </c>
      <c r="P21" s="139" t="str">
        <f>'Input - Dairy'!$D$77</f>
        <v>Drains to paddock</v>
      </c>
      <c r="Q21" s="55">
        <f>'4.3.1.3-4 Direct N20'!$P$238</f>
        <v>212.24813314524795</v>
      </c>
      <c r="R21" s="55">
        <f>'4.3.1.3-4 Direct N20'!$Q$238</f>
        <v>182.35790267782079</v>
      </c>
      <c r="S21" s="55">
        <f>'4.3.1.3-4 Direct N20'!$R$238</f>
        <v>72.631224123843424</v>
      </c>
      <c r="T21" s="55">
        <f>'4.3.1.3-4 Direct N20'!$S$238</f>
        <v>229.23109573986844</v>
      </c>
      <c r="U21" s="55">
        <f>'4.3.1.3-4 Direct N20'!$T$238</f>
        <v>95.962857079055411</v>
      </c>
      <c r="V21" s="2" t="s">
        <v>135</v>
      </c>
    </row>
    <row r="22" spans="1:22" ht="20.100000000000001" customHeight="1" x14ac:dyDescent="0.25">
      <c r="A22" s="17" t="str">
        <f>HYPERLINK("#'Constants - Livestock'!A1", "Constants - Livestock")</f>
        <v>Constants - Livestock</v>
      </c>
      <c r="D22" s="139" t="str">
        <f>'Input - Dairy'!$D$54</f>
        <v>Milking shed</v>
      </c>
      <c r="E22" s="139" t="str">
        <f>'Input - Dairy'!$D$82</f>
        <v>Solid storage</v>
      </c>
      <c r="F22" s="55">
        <f>'4.3.1.3-4 Direct N20'!$F$239</f>
        <v>424.49626629049584</v>
      </c>
      <c r="G22" s="55">
        <f>'4.3.1.3-4 Direct N20'!$G$239</f>
        <v>364.71580535564152</v>
      </c>
      <c r="H22" s="55">
        <f>'4.3.1.3-4 Direct N20'!$H$239</f>
        <v>145.26244824768682</v>
      </c>
      <c r="I22" s="55">
        <f>'4.3.1.3-4 Direct N20'!$I$239</f>
        <v>458.46219147973682</v>
      </c>
      <c r="J22" s="55">
        <f>'4.3.1.3-4 Direct N20'!$J$239</f>
        <v>191.92571415811079</v>
      </c>
      <c r="K22" s="2" t="s">
        <v>135</v>
      </c>
      <c r="O22" s="139" t="str">
        <f>'Input - Dairy'!$D$54</f>
        <v>Milking shed</v>
      </c>
      <c r="P22" s="139" t="str">
        <f>'Input - Dairy'!$D$82</f>
        <v>Solid storage</v>
      </c>
      <c r="Q22" s="55">
        <f>'4.3.1.3-4 Direct N20'!$P$239</f>
        <v>424.49626629049584</v>
      </c>
      <c r="R22" s="55">
        <f>'4.3.1.3-4 Direct N20'!$Q$239</f>
        <v>364.71580535564152</v>
      </c>
      <c r="S22" s="55">
        <f>'4.3.1.3-4 Direct N20'!$R$239</f>
        <v>145.26244824768682</v>
      </c>
      <c r="T22" s="55">
        <f>'4.3.1.3-4 Direct N20'!$S$239</f>
        <v>458.46219147973682</v>
      </c>
      <c r="U22" s="55">
        <f>'4.3.1.3-4 Direct N20'!$T$239</f>
        <v>191.92571415811079</v>
      </c>
      <c r="V22" s="2" t="s">
        <v>135</v>
      </c>
    </row>
    <row r="23" spans="1:22" ht="20.100000000000001" customHeight="1" x14ac:dyDescent="0.25">
      <c r="A23" s="17" t="str">
        <f>HYPERLINK("#'Constants - Common'!A1", "Constants - Common")</f>
        <v>Constants - Common</v>
      </c>
      <c r="D23" s="139" t="str">
        <f>'Input - Dairy'!$D$55</f>
        <v>Feed pad</v>
      </c>
      <c r="E23" s="139" t="str">
        <f>'Input - Dairy'!$D$101</f>
        <v>Anaerobic lagoon</v>
      </c>
      <c r="F23" s="55">
        <f>'4.3.1.3-4 Direct N20'!$F$240</f>
        <v>858.64017499668478</v>
      </c>
      <c r="G23" s="55">
        <f>'4.3.1.3-4 Direct N20'!$G$240</f>
        <v>737.72060628754764</v>
      </c>
      <c r="H23" s="55">
        <f>'4.3.1.3-4 Direct N20'!$H$240</f>
        <v>293.82631577373019</v>
      </c>
      <c r="I23" s="55">
        <f>'4.3.1.3-4 Direct N20'!$I$240</f>
        <v>927.34397822037681</v>
      </c>
      <c r="J23" s="55">
        <f>'4.3.1.3-4 Direct N20'!$J$240</f>
        <v>388.21337636526954</v>
      </c>
      <c r="K23" s="2" t="s">
        <v>135</v>
      </c>
      <c r="O23" s="139" t="str">
        <f>'Input - Dairy'!$D$55</f>
        <v>Feed pad</v>
      </c>
      <c r="P23" s="139" t="str">
        <f>'Input - Dairy'!$D$101</f>
        <v>Anaerobic lagoon</v>
      </c>
      <c r="Q23" s="55">
        <f>'4.3.1.3-4 Direct N20'!$P$240</f>
        <v>858.64017499668478</v>
      </c>
      <c r="R23" s="55">
        <f>'4.3.1.3-4 Direct N20'!$Q$240</f>
        <v>737.72060628754764</v>
      </c>
      <c r="S23" s="55">
        <f>'4.3.1.3-4 Direct N20'!$R$240</f>
        <v>293.82631577373019</v>
      </c>
      <c r="T23" s="55">
        <f>'4.3.1.3-4 Direct N20'!$S$240</f>
        <v>927.34397822037681</v>
      </c>
      <c r="U23" s="55">
        <f>'4.3.1.3-4 Direct N20'!$T$240</f>
        <v>388.21337636526954</v>
      </c>
      <c r="V23" s="2" t="s">
        <v>135</v>
      </c>
    </row>
    <row r="24" spans="1:22" ht="20.100000000000001" customHeight="1" x14ac:dyDescent="0.25">
      <c r="A24" s="17" t="str">
        <f>HYPERLINK("#'Acknowledgements'!A1", "Acknowledgements")</f>
        <v>Acknowledgements</v>
      </c>
      <c r="D24" s="139" t="str">
        <f>'Input - Dairy'!$D$55</f>
        <v>Feed pad</v>
      </c>
      <c r="E24" s="139" t="str">
        <f>'Input - Dairy'!$D$106</f>
        <v>Sump and dispersal system</v>
      </c>
      <c r="F24" s="55">
        <f>'4.3.1.3-4 Direct N20'!$F$241</f>
        <v>686.91213999734782</v>
      </c>
      <c r="G24" s="55">
        <f>'4.3.1.3-4 Direct N20'!$G$241</f>
        <v>590.17648503003818</v>
      </c>
      <c r="H24" s="55">
        <f>'4.3.1.3-4 Direct N20'!$H$241</f>
        <v>235.06105261898415</v>
      </c>
      <c r="I24" s="55">
        <f>'4.3.1.3-4 Direct N20'!$I$241</f>
        <v>741.87518257630143</v>
      </c>
      <c r="J24" s="55">
        <f>'4.3.1.3-4 Direct N20'!$J$241</f>
        <v>310.57070109221564</v>
      </c>
      <c r="K24" s="2" t="s">
        <v>135</v>
      </c>
      <c r="O24" s="139" t="str">
        <f>'Input - Dairy'!$D$55</f>
        <v>Feed pad</v>
      </c>
      <c r="P24" s="139" t="str">
        <f>'Input - Dairy'!$D$106</f>
        <v>Sump and dispersal system</v>
      </c>
      <c r="Q24" s="55">
        <f>'4.3.1.3-4 Direct N20'!$P$241</f>
        <v>686.91213999734782</v>
      </c>
      <c r="R24" s="55">
        <f>'4.3.1.3-4 Direct N20'!$Q$241</f>
        <v>590.17648503003818</v>
      </c>
      <c r="S24" s="55">
        <f>'4.3.1.3-4 Direct N20'!$R$241</f>
        <v>235.06105261898415</v>
      </c>
      <c r="T24" s="55">
        <f>'4.3.1.3-4 Direct N20'!$S$241</f>
        <v>741.87518257630143</v>
      </c>
      <c r="U24" s="55">
        <f>'4.3.1.3-4 Direct N20'!$T$241</f>
        <v>310.57070109221564</v>
      </c>
      <c r="V24" s="2" t="s">
        <v>135</v>
      </c>
    </row>
    <row r="25" spans="1:22" ht="20.100000000000001" customHeight="1" x14ac:dyDescent="0.25">
      <c r="D25" s="139" t="str">
        <f>'Input - Dairy'!$D$55</f>
        <v>Feed pad</v>
      </c>
      <c r="E25" s="139" t="str">
        <f>'Input - Dairy'!$D$111</f>
        <v>Drains to paddock</v>
      </c>
      <c r="F25" s="55">
        <f>'4.3.1.3-4 Direct N20'!$F$242</f>
        <v>686.91213999734782</v>
      </c>
      <c r="G25" s="55">
        <f>'4.3.1.3-4 Direct N20'!$G$242</f>
        <v>590.17648503003818</v>
      </c>
      <c r="H25" s="55">
        <f>'4.3.1.3-4 Direct N20'!$H$242</f>
        <v>235.06105261898415</v>
      </c>
      <c r="I25" s="55">
        <f>'4.3.1.3-4 Direct N20'!$I$242</f>
        <v>741.87518257630143</v>
      </c>
      <c r="J25" s="55">
        <f>'4.3.1.3-4 Direct N20'!$J$242</f>
        <v>310.57070109221564</v>
      </c>
      <c r="K25" s="2" t="s">
        <v>135</v>
      </c>
      <c r="O25" s="139" t="str">
        <f>'Input - Dairy'!$D$55</f>
        <v>Feed pad</v>
      </c>
      <c r="P25" s="139" t="str">
        <f>'Input - Dairy'!$D$111</f>
        <v>Drains to paddock</v>
      </c>
      <c r="Q25" s="55">
        <f>'4.3.1.3-4 Direct N20'!$P$242</f>
        <v>686.91213999734782</v>
      </c>
      <c r="R25" s="55">
        <f>'4.3.1.3-4 Direct N20'!$Q$242</f>
        <v>590.17648503003818</v>
      </c>
      <c r="S25" s="55">
        <f>'4.3.1.3-4 Direct N20'!$R$242</f>
        <v>235.06105261898415</v>
      </c>
      <c r="T25" s="55">
        <f>'4.3.1.3-4 Direct N20'!$S$242</f>
        <v>741.87518257630143</v>
      </c>
      <c r="U25" s="55">
        <f>'4.3.1.3-4 Direct N20'!$T$242</f>
        <v>310.57070109221564</v>
      </c>
      <c r="V25" s="2" t="s">
        <v>135</v>
      </c>
    </row>
    <row r="26" spans="1:22" ht="20.100000000000001" customHeight="1" x14ac:dyDescent="0.25">
      <c r="D26" s="139" t="str">
        <f>'Input - Dairy'!$D$55</f>
        <v>Feed pad</v>
      </c>
      <c r="E26" s="139" t="str">
        <f>'Input - Dairy'!$D$116</f>
        <v>Solid storage</v>
      </c>
      <c r="F26" s="55">
        <f>'4.3.1.3-4 Direct N20'!$F$243</f>
        <v>1202.0962449953586</v>
      </c>
      <c r="G26" s="55">
        <f>'4.3.1.3-4 Direct N20'!$G$243</f>
        <v>1032.8088488025667</v>
      </c>
      <c r="H26" s="55">
        <f>'4.3.1.3-4 Direct N20'!$H$243</f>
        <v>411.35684208322226</v>
      </c>
      <c r="I26" s="55">
        <f>'4.3.1.3-4 Direct N20'!$I$243</f>
        <v>1298.2815695085274</v>
      </c>
      <c r="J26" s="55">
        <f>'4.3.1.3-4 Direct N20'!$J$243</f>
        <v>543.49872691137739</v>
      </c>
      <c r="K26" s="2" t="s">
        <v>135</v>
      </c>
      <c r="O26" s="139" t="str">
        <f>'Input - Dairy'!$D$55</f>
        <v>Feed pad</v>
      </c>
      <c r="P26" s="139" t="str">
        <f>'Input - Dairy'!$D$116</f>
        <v>Solid storage</v>
      </c>
      <c r="Q26" s="55">
        <f>'4.3.1.3-4 Direct N20'!$P$243</f>
        <v>1202.0962449953586</v>
      </c>
      <c r="R26" s="55">
        <f>'4.3.1.3-4 Direct N20'!$Q$243</f>
        <v>1032.8088488025667</v>
      </c>
      <c r="S26" s="55">
        <f>'4.3.1.3-4 Direct N20'!$R$243</f>
        <v>411.35684208322226</v>
      </c>
      <c r="T26" s="55">
        <f>'4.3.1.3-4 Direct N20'!$S$243</f>
        <v>1298.2815695085274</v>
      </c>
      <c r="U26" s="55">
        <f>'4.3.1.3-4 Direct N20'!$T$243</f>
        <v>543.49872691137739</v>
      </c>
      <c r="V26" s="2" t="s">
        <v>135</v>
      </c>
    </row>
    <row r="27" spans="1:22" ht="20.100000000000001" customHeight="1" x14ac:dyDescent="0.25"/>
    <row r="28" spans="1:22" ht="20.100000000000001" customHeight="1" x14ac:dyDescent="0.25">
      <c r="D28" s="104" t="s">
        <v>348</v>
      </c>
    </row>
    <row r="29" spans="1:22" ht="20.100000000000001" customHeight="1" x14ac:dyDescent="0.25">
      <c r="D29" s="103" t="s">
        <v>350</v>
      </c>
    </row>
    <row r="30" spans="1:22" ht="20.100000000000001" customHeight="1" x14ac:dyDescent="0.25">
      <c r="D30" s="54" t="s">
        <v>69</v>
      </c>
      <c r="E30" s="54" t="s">
        <v>349</v>
      </c>
    </row>
    <row r="31" spans="1:22" ht="20.100000000000001" customHeight="1" x14ac:dyDescent="0.25">
      <c r="D31" s="139" t="str" cm="1">
        <f t="array" ref="D31:D35">Table_SourceData_Dairy_EFmFracGASM[NIR reference]</f>
        <v>Pasture range and paddock</v>
      </c>
      <c r="E31" s="139" cm="1">
        <f t="array" ref="E31:E35">Table_SourceData_Dairy_EFmFracGASM[FracGASMm]</f>
        <v>0</v>
      </c>
      <c r="F31" s="2" t="str">
        <f>'Constants - Dairy'!$D$84</f>
        <v>kg N2O-N/kg N excreted</v>
      </c>
    </row>
    <row r="32" spans="1:22" ht="20.100000000000001" customHeight="1" x14ac:dyDescent="0.25">
      <c r="D32" s="139" t="str">
        <v>Anaerobic lagoon</v>
      </c>
      <c r="E32" s="139">
        <v>0.35</v>
      </c>
      <c r="F32" s="2" t="str">
        <f>'Constants - Dairy'!$D$84</f>
        <v>kg N2O-N/kg N excreted</v>
      </c>
    </row>
    <row r="33" spans="4:22" ht="20.100000000000001" customHeight="1" x14ac:dyDescent="0.25">
      <c r="D33" s="139" t="str">
        <v>Sump and dispersal system</v>
      </c>
      <c r="E33" s="139">
        <v>7.0000000000000007E-2</v>
      </c>
      <c r="F33" s="2" t="str">
        <f>'Constants - Dairy'!$D$84</f>
        <v>kg N2O-N/kg N excreted</v>
      </c>
    </row>
    <row r="34" spans="4:22" ht="20.100000000000001" customHeight="1" x14ac:dyDescent="0.25">
      <c r="D34" s="139" t="str">
        <v>Drains to paddock</v>
      </c>
      <c r="E34" s="139">
        <v>0.2</v>
      </c>
      <c r="F34" s="2" t="str">
        <f>'Constants - Dairy'!$D$84</f>
        <v>kg N2O-N/kg N excreted</v>
      </c>
    </row>
    <row r="35" spans="4:22" ht="20.100000000000001" customHeight="1" x14ac:dyDescent="0.25">
      <c r="D35" s="139" t="str">
        <v>Solid storage</v>
      </c>
      <c r="E35" s="139">
        <v>0.3</v>
      </c>
      <c r="F35" s="2" t="str">
        <f>'Constants - Dairy'!$D$84</f>
        <v>kg N2O-N/kg N excreted</v>
      </c>
    </row>
    <row r="36" spans="4:22" ht="20.100000000000001" customHeight="1" x14ac:dyDescent="0.25"/>
    <row r="37" spans="4:22" ht="20.100000000000001" customHeight="1" x14ac:dyDescent="0.25">
      <c r="D37" s="104" t="s">
        <v>351</v>
      </c>
      <c r="O37" s="104" t="s">
        <v>353</v>
      </c>
    </row>
    <row r="38" spans="4:22" ht="20.100000000000001" customHeight="1" x14ac:dyDescent="0.25">
      <c r="D38" s="103" t="s">
        <v>352</v>
      </c>
      <c r="O38" s="103" t="s">
        <v>354</v>
      </c>
    </row>
    <row r="39" spans="4:22" ht="20.100000000000001" customHeight="1" x14ac:dyDescent="0.25">
      <c r="D39" s="54" t="s">
        <v>159</v>
      </c>
      <c r="E39" s="54" t="s">
        <v>69</v>
      </c>
      <c r="F39" s="54" t="s">
        <v>189</v>
      </c>
      <c r="G39" s="54" t="s">
        <v>206</v>
      </c>
      <c r="H39" s="54" t="s">
        <v>207</v>
      </c>
      <c r="I39" s="54" t="s">
        <v>208</v>
      </c>
      <c r="J39" s="54" t="s">
        <v>209</v>
      </c>
      <c r="O39" s="54" t="s">
        <v>159</v>
      </c>
      <c r="P39" s="54" t="s">
        <v>69</v>
      </c>
      <c r="Q39" s="54" t="s">
        <v>189</v>
      </c>
      <c r="R39" s="54" t="s">
        <v>206</v>
      </c>
      <c r="S39" s="54" t="s">
        <v>207</v>
      </c>
      <c r="T39" s="54" t="s">
        <v>208</v>
      </c>
      <c r="U39" s="54" t="s">
        <v>209</v>
      </c>
    </row>
    <row r="40" spans="4:22" ht="20.100000000000001" customHeight="1" x14ac:dyDescent="0.25">
      <c r="D40" s="139" t="str">
        <f>'Input - Dairy'!$D$54</f>
        <v>Milking shed</v>
      </c>
      <c r="E40" s="139" t="str">
        <f>'Input - Dairy'!$D$67</f>
        <v>Anaerobic lagoon</v>
      </c>
      <c r="F40" s="55" cm="1">
        <f t="array" ref="F40">MMS_Dairy_AtmosphericDeposition_Equations.VEERG_4_3_1_5__2_TotalNitrogenVolatilisedFromMMS(F19,$E32)</f>
        <v>74.286846600836782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
        <v>135</v>
      </c>
      <c r="O40" s="139" t="str">
        <f>'Input - Dairy'!$D$54</f>
        <v>Milking shed</v>
      </c>
      <c r="P40" s="139" t="str">
        <f>'Input - Dairy'!$D$67</f>
        <v>Anaerobic lagoon</v>
      </c>
      <c r="Q40" s="55" cm="1">
        <f t="array" ref="Q40">MMS_Dairy_AtmosphericDeposition_Equations.VEERG_4_3_1_5__2_TotalNitrogenVolatilisedFromMMS(Q19,$E32)</f>
        <v>74.286846600836782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
        <v>135</v>
      </c>
    </row>
    <row r="41" spans="4:22" ht="20.100000000000001" customHeight="1" x14ac:dyDescent="0.25">
      <c r="D41" s="139" t="str">
        <f>'Input - Dairy'!$D$54</f>
        <v>Milking shed</v>
      </c>
      <c r="E41" s="139" t="str">
        <f>'Input - Dairy'!$D$72</f>
        <v>Sump and dispersal system</v>
      </c>
      <c r="F41" s="55" cm="1">
        <f t="array" ref="F41">MMS_Dairy_AtmosphericDeposition_Equations.VEERG_4_3_1_5__2_TotalNitrogenVolatilisedFromMMS(F20,$E33)</f>
        <v>14.857369320167358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t="s">
        <v>135</v>
      </c>
      <c r="O41" s="139" t="str">
        <f>'Input - Dairy'!$D$54</f>
        <v>Milking shed</v>
      </c>
      <c r="P41" s="139" t="str">
        <f>'Input - Dairy'!$D$72</f>
        <v>Sump and dispersal system</v>
      </c>
      <c r="Q41" s="55" cm="1">
        <f t="array" ref="Q41">MMS_Dairy_AtmosphericDeposition_Equations.VEERG_4_3_1_5__2_TotalNitrogenVolatilisedFromMMS(Q20,$E33)</f>
        <v>14.857369320167358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t="s">
        <v>135</v>
      </c>
    </row>
    <row r="42" spans="4:22" ht="20.100000000000001" customHeight="1" x14ac:dyDescent="0.25">
      <c r="D42" s="139" t="str">
        <f>'Input - Dairy'!$D$54</f>
        <v>Milking shed</v>
      </c>
      <c r="E42" s="139" t="str">
        <f>'Input - Dairy'!$D$77</f>
        <v>Drains to paddock</v>
      </c>
      <c r="F42" s="55" cm="1">
        <f t="array" ref="F42">MMS_Dairy_AtmosphericDeposition_Equations.VEERG_4_3_1_5__2_TotalNitrogenVolatilisedFromMMS(F21,$E34)</f>
        <v>42.44962662904959</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t="s">
        <v>135</v>
      </c>
      <c r="O42" s="139" t="str">
        <f>'Input - Dairy'!$D$54</f>
        <v>Milking shed</v>
      </c>
      <c r="P42" s="139" t="str">
        <f>'Input - Dairy'!$D$77</f>
        <v>Drains to paddock</v>
      </c>
      <c r="Q42" s="55" cm="1">
        <f t="array" ref="Q42">MMS_Dairy_AtmosphericDeposition_Equations.VEERG_4_3_1_5__2_TotalNitrogenVolatilisedFromMMS(Q21,$E34)</f>
        <v>42.44962662904959</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t="s">
        <v>135</v>
      </c>
    </row>
    <row r="43" spans="4:22" ht="20.100000000000001" customHeight="1" x14ac:dyDescent="0.25">
      <c r="D43" s="139" t="str">
        <f>'Input - Dairy'!$D$54</f>
        <v>Milking shed</v>
      </c>
      <c r="E43" s="139" t="str">
        <f>'Input - Dairy'!$D$82</f>
        <v>Solid storage</v>
      </c>
      <c r="F43" s="55" cm="1">
        <f t="array" ref="F43">MMS_Dairy_AtmosphericDeposition_Equations.VEERG_4_3_1_5__2_TotalNitrogenVolatilisedFromMMS(F22,$E35)</f>
        <v>127.34887988714874</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t="s">
        <v>135</v>
      </c>
      <c r="O43" s="139" t="str">
        <f>'Input - Dairy'!$D$54</f>
        <v>Milking shed</v>
      </c>
      <c r="P43" s="139" t="str">
        <f>'Input - Dairy'!$D$82</f>
        <v>Solid storage</v>
      </c>
      <c r="Q43" s="55" cm="1">
        <f t="array" ref="Q43">MMS_Dairy_AtmosphericDeposition_Equations.VEERG_4_3_1_5__2_TotalNitrogenVolatilisedFromMMS(Q22,$E35)</f>
        <v>127.34887988714874</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t="s">
        <v>135</v>
      </c>
    </row>
    <row r="44" spans="4:22" ht="20.100000000000001" customHeight="1" x14ac:dyDescent="0.25">
      <c r="D44" s="139" t="str">
        <f>'Input - Dairy'!$D$55</f>
        <v>Feed pad</v>
      </c>
      <c r="E44" s="139" t="str">
        <f>'Input - Dairy'!$D$101</f>
        <v>Anaerobic lagoon</v>
      </c>
      <c r="F44" s="55" cm="1">
        <f t="array" ref="F44">MMS_Dairy_AtmosphericDeposition_Equations.VEERG_4_3_1_5__2_TotalNitrogenVolatilisedFromMMS(F23, $E32)</f>
        <v>300.52406124883964</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t="s">
        <v>135</v>
      </c>
      <c r="O44" s="139" t="str">
        <f>'Input - Dairy'!$D$55</f>
        <v>Feed pad</v>
      </c>
      <c r="P44" s="139" t="str">
        <f>'Input - Dairy'!$D$101</f>
        <v>Anaerobic lagoon</v>
      </c>
      <c r="Q44" s="55" cm="1">
        <f t="array" ref="Q44">MMS_Dairy_AtmosphericDeposition_Equations.VEERG_4_3_1_5__2_TotalNitrogenVolatilisedFromMMS(Q23, $E32)</f>
        <v>300.52406124883964</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t="s">
        <v>135</v>
      </c>
    </row>
    <row r="45" spans="4:22" ht="20.100000000000001" customHeight="1" x14ac:dyDescent="0.25">
      <c r="D45" s="139" t="str">
        <f>'Input - Dairy'!$D$55</f>
        <v>Feed pad</v>
      </c>
      <c r="E45" s="139" t="str">
        <f>'Input - Dairy'!$D$106</f>
        <v>Sump and dispersal system</v>
      </c>
      <c r="F45" s="55" cm="1">
        <f t="array" ref="F45">MMS_Dairy_AtmosphericDeposition_Equations.VEERG_4_3_1_5__2_TotalNitrogenVolatilisedFromMMS(F24, $E33)</f>
        <v>48.083849799814352</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t="s">
        <v>135</v>
      </c>
      <c r="O45" s="139" t="str">
        <f>'Input - Dairy'!$D$55</f>
        <v>Feed pad</v>
      </c>
      <c r="P45" s="139" t="str">
        <f>'Input - Dairy'!$D$106</f>
        <v>Sump and dispersal system</v>
      </c>
      <c r="Q45" s="55" cm="1">
        <f t="array" ref="Q45">MMS_Dairy_AtmosphericDeposition_Equations.VEERG_4_3_1_5__2_TotalNitrogenVolatilisedFromMMS(Q24, $E33)</f>
        <v>48.083849799814352</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t="s">
        <v>135</v>
      </c>
    </row>
    <row r="46" spans="4:22" ht="20.100000000000001" customHeight="1" x14ac:dyDescent="0.25">
      <c r="D46" s="139" t="str">
        <f>'Input - Dairy'!$D$55</f>
        <v>Feed pad</v>
      </c>
      <c r="E46" s="139" t="str">
        <f>'Input - Dairy'!$D$111</f>
        <v>Drains to paddock</v>
      </c>
      <c r="F46" s="55" cm="1">
        <f t="array" ref="F46">MMS_Dairy_AtmosphericDeposition_Equations.VEERG_4_3_1_5__2_TotalNitrogenVolatilisedFromMMS(F25, $E34)</f>
        <v>137.38242799946957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t="s">
        <v>135</v>
      </c>
      <c r="O46" s="139" t="str">
        <f>'Input - Dairy'!$D$55</f>
        <v>Feed pad</v>
      </c>
      <c r="P46" s="139" t="str">
        <f>'Input - Dairy'!$D$111</f>
        <v>Drains to paddock</v>
      </c>
      <c r="Q46" s="55" cm="1">
        <f t="array" ref="Q46">MMS_Dairy_AtmosphericDeposition_Equations.VEERG_4_3_1_5__2_TotalNitrogenVolatilisedFromMMS(Q25, $E34)</f>
        <v>137.38242799946957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t="s">
        <v>135</v>
      </c>
    </row>
    <row r="47" spans="4:22" ht="20.100000000000001" customHeight="1" x14ac:dyDescent="0.25">
      <c r="D47" s="139" t="str">
        <f>'Input - Dairy'!$D$55</f>
        <v>Feed pad</v>
      </c>
      <c r="E47" s="139" t="str">
        <f>'Input - Dairy'!$D$116</f>
        <v>Solid storage</v>
      </c>
      <c r="F47" s="55" cm="1">
        <f t="array" ref="F47">MMS_Dairy_AtmosphericDeposition_Equations.VEERG_4_3_1_5__2_TotalNitrogenVolatilisedFromMMS(F26, $E35)</f>
        <v>360.62887349860756</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t="s">
        <v>135</v>
      </c>
      <c r="O47" s="139" t="str">
        <f>'Input - Dairy'!$D$55</f>
        <v>Feed pad</v>
      </c>
      <c r="P47" s="139" t="str">
        <f>'Input - Dairy'!$D$116</f>
        <v>Solid storage</v>
      </c>
      <c r="Q47" s="55" cm="1">
        <f t="array" ref="Q47">MMS_Dairy_AtmosphericDeposition_Equations.VEERG_4_3_1_5__2_TotalNitrogenVolatilisedFromMMS(Q26, $E35)</f>
        <v>360.62887349860756</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t="s">
        <v>135</v>
      </c>
    </row>
    <row r="48" spans="4:22" ht="20.100000000000001" customHeight="1" x14ac:dyDescent="0.25"/>
    <row r="49" spans="3:23" ht="20.100000000000001" customHeight="1" x14ac:dyDescent="0.25">
      <c r="D49" s="124" t="s">
        <v>422</v>
      </c>
      <c r="E49" s="150">
        <f>SUM(F40:J47)</f>
        <v>4127.6301088949185</v>
      </c>
      <c r="F49" s="151" t="str">
        <f>$E$11</f>
        <v>kg N</v>
      </c>
      <c r="O49" s="124" t="s">
        <v>422</v>
      </c>
      <c r="P49" s="150">
        <f>SUM(Q40:U47)</f>
        <v>4127.6301088949185</v>
      </c>
      <c r="Q49" s="151" t="str">
        <f>$E$11</f>
        <v>kg N</v>
      </c>
    </row>
    <row r="50" spans="3:23" ht="20.100000000000001" customHeight="1" x14ac:dyDescent="0.25">
      <c r="W50" s="48"/>
    </row>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3:23" ht="20.100000000000001" customHeight="1" x14ac:dyDescent="0.25"/>
    <row r="57" spans="3:23" ht="20.100000000000001" customHeight="1" x14ac:dyDescent="0.25">
      <c r="D57" s="6"/>
    </row>
    <row r="58" spans="3:23" ht="20.100000000000001" customHeight="1" x14ac:dyDescent="0.25">
      <c r="D58" s="56" t="s">
        <v>31</v>
      </c>
      <c r="E58" s="1" t="str" cm="1">
        <f t="array" ref="E58">MMS_Dairy_AtmosphericDeposition_Equations.VEERG_4_3_1_5__1_AnnualAtmosphericDepositionEmissionsFromMMS_Variable()</f>
        <v>E_N2OMMSad</v>
      </c>
    </row>
    <row r="59" spans="3:23" ht="20.100000000000001" customHeight="1" x14ac:dyDescent="0.25">
      <c r="D59" s="56" t="s">
        <v>21</v>
      </c>
      <c r="E59" s="57"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60" t="str" cm="1">
        <f t="array" ref="D61:E66">MMS_Dairy_AtmosphericDeposition_Equations.VEERG_4_3_1_5__1_AnnualAtmosphericDepositionEmissionsFromMMS_Arguments()</f>
        <v>MN_ATMOS</v>
      </c>
      <c r="E61" s="61" t="str">
        <v>mass of N volatilised from MMS (kg N)</v>
      </c>
      <c r="F61" s="62"/>
      <c r="G61" s="60">
        <f>$E$49</f>
        <v>4127.6301088949185</v>
      </c>
      <c r="O61" s="60" t="str">
        <f>D61</f>
        <v>MN_ATMOS</v>
      </c>
      <c r="P61" s="61" t="str">
        <f>E61</f>
        <v>mass of N volatilised from MMS (kg N)</v>
      </c>
      <c r="Q61" s="62"/>
      <c r="R61" s="60">
        <f>$E$49</f>
        <v>4127.6301088949185</v>
      </c>
    </row>
    <row r="62" spans="3:23" ht="20.100000000000001" customHeight="1" x14ac:dyDescent="0.25">
      <c r="D62" s="60" t="str">
        <v>EF_N2O</v>
      </c>
      <c r="E62" s="61" t="str">
        <v>nitrous oxide emission factor for atmospheric deposition (kg N2O-N/kg N)</v>
      </c>
      <c r="F62" s="62"/>
      <c r="G62" s="60">
        <f>Common_InputFunctions.Utility_LookupN2OEFFromProdIrrigationRainfall(G64,G65,G66,Table_SourceData_Common_EFN2O[Production system only],Table_SourceData_Common_EFN2O[Irrigation method],Table_SourceData_Common_EFN2O[Rainfall zone],Table_SourceData_Common_EFN2O[EFN2O])</f>
        <v>5.8999999999999999E-3</v>
      </c>
      <c r="O62" s="60"/>
      <c r="P62" s="61"/>
      <c r="Q62" s="62"/>
      <c r="R62" s="60"/>
    </row>
    <row r="63" spans="3:23" ht="20.100000000000001" customHeight="1" x14ac:dyDescent="0.25">
      <c r="D63" s="60" t="str">
        <v>C_N2O</v>
      </c>
      <c r="E63" s="61" t="str">
        <v>factor to convert elemental mass of N2O to molecular mass</v>
      </c>
      <c r="F63" s="62"/>
      <c r="G63" s="60">
        <f>Common_InputFunctions.Utility_LookupValueInTableNumber("N2O",Table_GasToMolecularConversionFactor[Gas],Table_GasToMolecularConversionFactor[Conversion factor combined])</f>
        <v>1.5714285714285714</v>
      </c>
      <c r="O63" s="60"/>
      <c r="P63" s="61"/>
      <c r="Q63" s="62"/>
      <c r="R63" s="60"/>
    </row>
    <row r="64" spans="3:23" ht="20.100000000000001" customHeight="1" x14ac:dyDescent="0.25">
      <c r="D64" s="60" t="str">
        <v>j</v>
      </c>
      <c r="E64" s="61" t="str">
        <v>production system</v>
      </c>
      <c r="F64" s="62"/>
      <c r="G64" s="60" t="str">
        <f>'Input - Dairy'!$E$183</f>
        <v>Pasture</v>
      </c>
      <c r="O64" s="60"/>
      <c r="P64" s="61"/>
      <c r="Q64" s="62"/>
      <c r="R64" s="60"/>
    </row>
    <row r="65" spans="4:18" ht="20.100000000000001" customHeight="1" x14ac:dyDescent="0.25">
      <c r="D65" s="60" t="str">
        <v>ir</v>
      </c>
      <c r="E65" s="61" t="str">
        <v>irrigation method</v>
      </c>
      <c r="F65" s="62"/>
      <c r="G65" s="60" t="str">
        <f>'Input - Dairy'!$E$184</f>
        <v>Sprinkler irrigation</v>
      </c>
      <c r="O65" s="60"/>
      <c r="P65" s="61"/>
      <c r="Q65" s="62"/>
      <c r="R65" s="60"/>
    </row>
    <row r="66" spans="4:18" ht="20.100000000000001" customHeight="1" x14ac:dyDescent="0.25">
      <c r="D66" s="60" t="str">
        <v>r</v>
      </c>
      <c r="E66" s="61" t="str">
        <v>rainfall region</v>
      </c>
      <c r="F66" s="62"/>
      <c r="G66" s="60" t="str">
        <f>'Input - Site'!$E$30</f>
        <v>High rainfall</v>
      </c>
      <c r="O66" s="60"/>
      <c r="P66" s="61"/>
      <c r="Q66" s="62"/>
      <c r="R66" s="60"/>
    </row>
    <row r="67" spans="4:18" ht="20.100000000000001" customHeight="1" x14ac:dyDescent="0.25"/>
    <row r="68" spans="4:18" ht="20.100000000000001" customHeight="1" x14ac:dyDescent="0.25">
      <c r="D68" s="108" t="s">
        <v>355</v>
      </c>
      <c r="E68" s="109" cm="1">
        <f t="array" ref="E68">MMS_Dairy_AtmosphericDeposition_Equations.VEERG_4_3_1_5__1_AnnualAtmosphericDepositionEmissionsFromMMS($G$61,$G$62,$G$63)</f>
        <v>3.8269027723897175E-2</v>
      </c>
      <c r="F68" s="110" t="str">
        <f>$E$59</f>
        <v>t N2O</v>
      </c>
      <c r="O68" s="108" t="s">
        <v>355</v>
      </c>
      <c r="P68" s="109" cm="1">
        <f t="array" ref="P68">MMS_Dairy_AtmosphericDeposition_Equations.VEERG_4_3_1_5__1_AnnualAtmosphericDepositionEmissionsFromMMS($R$61,$G$62,$G$63)</f>
        <v>3.8269027723897175E-2</v>
      </c>
      <c r="Q68" s="110" t="str">
        <f>$E$59</f>
        <v>t N2O</v>
      </c>
    </row>
    <row r="69" spans="4:18" ht="20.100000000000001" customHeight="1" x14ac:dyDescent="0.25"/>
    <row r="70" spans="4:18" ht="20.100000000000001" customHeight="1" x14ac:dyDescent="0.25">
      <c r="D70" s="60" t="str" cm="1">
        <f t="array" ref="D70:E71">Common_Equations.Common_ConvertN2OToCO2e_Arguments()</f>
        <v>EN2O</v>
      </c>
      <c r="E70" s="61" t="str">
        <v>Nitrous oxide emissions (t N2O)</v>
      </c>
      <c r="F70" s="111"/>
      <c r="G70" s="55">
        <f>$E$68</f>
        <v>3.8269027723897175E-2</v>
      </c>
      <c r="O70" s="60" t="str" cm="1">
        <f t="array" ref="O70:P71">Common_Equations.Common_ConvertN2OToCO2e_Arguments()</f>
        <v>EN2O</v>
      </c>
      <c r="P70" s="61" t="str">
        <v>Nitrous oxide emissions (t N2O)</v>
      </c>
      <c r="Q70" s="111"/>
      <c r="R70" s="55">
        <f>P68</f>
        <v>3.8269027723897175E-2</v>
      </c>
    </row>
    <row r="71" spans="4: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4:18" ht="20.100000000000001" customHeight="1" x14ac:dyDescent="0.25"/>
    <row r="73" spans="4:18" ht="20.100000000000001" customHeight="1" x14ac:dyDescent="0.25">
      <c r="D73" s="48" t="s">
        <v>111</v>
      </c>
      <c r="E73" s="48" cm="1">
        <f t="array" ref="E73">Common_Equations.Common_ConvertN2OToCO2e(G70,G71)</f>
        <v>10.141292346832751</v>
      </c>
      <c r="F73" s="112" t="str" cm="1">
        <f t="array" ref="F73">Common_Equations.Common_ConvertN2OToCO2e_Unit()</f>
        <v>t CO2e</v>
      </c>
      <c r="O73" s="48" t="s">
        <v>111</v>
      </c>
      <c r="P73" s="48" cm="1">
        <f t="array" ref="P73">Common_Equations.Common_ConvertN2OToCO2e(R70,R71)</f>
        <v>10.141292346832751</v>
      </c>
      <c r="Q73" s="112"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34 E31 E22 E19 P22 P19 E43 E40 P43 P40 E74 P74" xr:uid="{7FA3C31B-BFCF-4AA3-9A1C-D3DF345CD246}"/>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393</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Dairy'!A1", "Dairy")</f>
        <v>Dairy</v>
      </c>
      <c r="G8" s="114" t="s">
        <v>356</v>
      </c>
    </row>
    <row r="9" spans="1:23" ht="20.100000000000001" customHeight="1" x14ac:dyDescent="0.25">
      <c r="A9" s="17"/>
    </row>
    <row r="10" spans="1:23" ht="20.100000000000001" customHeight="1" x14ac:dyDescent="0.25">
      <c r="A10" s="19" t="s">
        <v>78</v>
      </c>
      <c r="D10" s="56" t="s">
        <v>31</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MMS_Dairy_LeachingAndRunoff_Equations.VEERG_4_3_1_6__2_MassOfNitrogenLostToLeachingAndRunoffFromSolidStorage_Arguments()</f>
        <v>MN_jm4</v>
      </c>
      <c r="E13" s="61" t="str">
        <v>total nitrogen in solid storage system m=4 (kg N)</v>
      </c>
      <c r="F13" s="105"/>
      <c r="G13" s="62"/>
      <c r="H13" s="60" t="str">
        <f>"See " &amp; D20</f>
        <v>See M1_Table_MN_j_m-4</v>
      </c>
    </row>
    <row r="14" spans="1:23" ht="20.100000000000001" customHeight="1" x14ac:dyDescent="0.25">
      <c r="A14" s="22" t="str">
        <f>HYPERLINK("#'4.3.1.6-7 Leaching and runoff'!A1", "4.3.1.6-7 Leaching and runoff")</f>
        <v>4.3.1.6-7 Leaching and runoff</v>
      </c>
      <c r="D14" s="60" t="str">
        <v>FracWET_i</v>
      </c>
      <c r="E14" s="61" t="str">
        <v>fraction of N that is available for leaching and runoff from the leaching zone z and irrigation type ir (dimensionless)</v>
      </c>
      <c r="F14" s="105"/>
      <c r="G14" s="62"/>
      <c r="H14" s="60" cm="1">
        <f t="array" ref="H14">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FracLEACH_MS</v>
      </c>
      <c r="E15" s="61" t="str">
        <v>fraction of N that is lost through leaching and runoff (dimensionless)</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17"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358</v>
      </c>
      <c r="O20" s="104" t="s">
        <v>360</v>
      </c>
    </row>
    <row r="21" spans="1:22" ht="20.100000000000001" customHeight="1" x14ac:dyDescent="0.25">
      <c r="A21" s="17" t="str">
        <f>HYPERLINK("#'Constants - Dairy'!A1", "Constants - Dairy")</f>
        <v>Constants - Dairy</v>
      </c>
      <c r="D21" s="103" t="s">
        <v>359</v>
      </c>
      <c r="O21" s="103" t="s">
        <v>361</v>
      </c>
    </row>
    <row r="22" spans="1:22" ht="20.100000000000001" customHeight="1" x14ac:dyDescent="0.25">
      <c r="A22" s="17" t="str">
        <f>HYPERLINK("#'Constants - Livestock'!A1", "Constants - Livestock")</f>
        <v>Constants - Livestock</v>
      </c>
      <c r="D22" s="54" t="s">
        <v>159</v>
      </c>
      <c r="E22" s="54" t="s">
        <v>69</v>
      </c>
      <c r="F22" s="54" t="s">
        <v>189</v>
      </c>
      <c r="G22" s="54" t="s">
        <v>206</v>
      </c>
      <c r="H22" s="54" t="s">
        <v>207</v>
      </c>
      <c r="I22" s="54" t="s">
        <v>208</v>
      </c>
      <c r="J22" s="54" t="s">
        <v>209</v>
      </c>
      <c r="O22" s="54" t="s">
        <v>159</v>
      </c>
      <c r="P22" s="54" t="s">
        <v>69</v>
      </c>
      <c r="Q22" s="54" t="s">
        <v>189</v>
      </c>
      <c r="R22" s="54" t="s">
        <v>206</v>
      </c>
      <c r="S22" s="54" t="s">
        <v>207</v>
      </c>
      <c r="T22" s="54" t="s">
        <v>208</v>
      </c>
      <c r="U22" s="54" t="s">
        <v>209</v>
      </c>
    </row>
    <row r="23" spans="1:22" ht="20.100000000000001" customHeight="1" x14ac:dyDescent="0.25">
      <c r="A23" s="17" t="str">
        <f>HYPERLINK("#'Constants - Common'!A1", "Constants - Common")</f>
        <v>Constants - Common</v>
      </c>
      <c r="D23" s="139" t="str">
        <f>'Input - Dairy'!$D$54</f>
        <v>Milking shed</v>
      </c>
      <c r="E23" s="139" t="str">
        <f>'Input - Dairy'!$D$82</f>
        <v>Solid storage</v>
      </c>
      <c r="F23" s="55">
        <f>'4.3.1.3-4 Direct N20'!F239</f>
        <v>424.49626629049584</v>
      </c>
      <c r="G23" s="55">
        <f>'4.3.1.3-4 Direct N20'!G239</f>
        <v>364.71580535564152</v>
      </c>
      <c r="H23" s="55">
        <f>'4.3.1.3-4 Direct N20'!H239</f>
        <v>145.26244824768682</v>
      </c>
      <c r="I23" s="55">
        <f>'4.3.1.3-4 Direct N20'!I239</f>
        <v>458.46219147973682</v>
      </c>
      <c r="J23" s="55">
        <f>'4.3.1.3-4 Direct N20'!J239</f>
        <v>191.92571415811079</v>
      </c>
      <c r="K23" s="2" t="s">
        <v>135</v>
      </c>
      <c r="O23" s="139" t="str">
        <f>'Input - Dairy'!$D$54</f>
        <v>Milking shed</v>
      </c>
      <c r="P23" s="139" t="str">
        <f>'Input - Dairy'!$D$82</f>
        <v>Solid storage</v>
      </c>
      <c r="Q23" s="55">
        <f>'4.3.1.3-4 Direct N20'!P239</f>
        <v>424.49626629049584</v>
      </c>
      <c r="R23" s="55">
        <f>'4.3.1.3-4 Direct N20'!Q239</f>
        <v>364.71580535564152</v>
      </c>
      <c r="S23" s="55">
        <f>'4.3.1.3-4 Direct N20'!R239</f>
        <v>145.26244824768682</v>
      </c>
      <c r="T23" s="55">
        <f>'4.3.1.3-4 Direct N20'!S239</f>
        <v>458.46219147973682</v>
      </c>
      <c r="U23" s="55">
        <f>'4.3.1.3-4 Direct N20'!T239</f>
        <v>191.92571415811079</v>
      </c>
      <c r="V23" s="2" t="s">
        <v>135</v>
      </c>
    </row>
    <row r="24" spans="1:22" ht="20.100000000000001" customHeight="1" x14ac:dyDescent="0.25">
      <c r="A24" s="17" t="str">
        <f>HYPERLINK("#'Acknowledgements'!A1", "Acknowledgements")</f>
        <v>Acknowledgements</v>
      </c>
      <c r="D24" s="139" t="str">
        <f>'Input - Dairy'!$D$55</f>
        <v>Feed pad</v>
      </c>
      <c r="E24" s="139" t="str">
        <f>'Input - Dairy'!$D$116</f>
        <v>Solid storage</v>
      </c>
      <c r="F24" s="55">
        <f>'4.3.1.3-4 Direct N20'!F243</f>
        <v>1202.0962449953586</v>
      </c>
      <c r="G24" s="55">
        <f>'4.3.1.3-4 Direct N20'!G243</f>
        <v>1032.8088488025667</v>
      </c>
      <c r="H24" s="55">
        <f>'4.3.1.3-4 Direct N20'!H243</f>
        <v>411.35684208322226</v>
      </c>
      <c r="I24" s="55">
        <f>'4.3.1.3-4 Direct N20'!I243</f>
        <v>1298.2815695085274</v>
      </c>
      <c r="J24" s="55">
        <f>'4.3.1.3-4 Direct N20'!J243</f>
        <v>543.49872691137739</v>
      </c>
      <c r="K24" s="2" t="s">
        <v>135</v>
      </c>
      <c r="O24" s="139" t="str">
        <f>'Input - Dairy'!$D$55</f>
        <v>Feed pad</v>
      </c>
      <c r="P24" s="139" t="str">
        <f>'Input - Dairy'!$D$116</f>
        <v>Solid storage</v>
      </c>
      <c r="Q24" s="55">
        <f>'4.3.1.3-4 Direct N20'!P243</f>
        <v>1202.0962449953586</v>
      </c>
      <c r="R24" s="55">
        <f>'4.3.1.3-4 Direct N20'!Q243</f>
        <v>1032.8088488025667</v>
      </c>
      <c r="S24" s="55">
        <f>'4.3.1.3-4 Direct N20'!R243</f>
        <v>411.35684208322226</v>
      </c>
      <c r="T24" s="55">
        <f>'4.3.1.3-4 Direct N20'!S243</f>
        <v>1298.2815695085274</v>
      </c>
      <c r="U24" s="55">
        <f>'4.3.1.3-4 Direct N20'!T243</f>
        <v>543.49872691137739</v>
      </c>
      <c r="V24" s="2" t="s">
        <v>135</v>
      </c>
    </row>
    <row r="25" spans="1:22" ht="20.100000000000001" customHeight="1" x14ac:dyDescent="0.25"/>
    <row r="26" spans="1:22" ht="20.100000000000001" customHeight="1" x14ac:dyDescent="0.25">
      <c r="D26" s="104" t="s">
        <v>363</v>
      </c>
      <c r="O26" s="104" t="s">
        <v>364</v>
      </c>
    </row>
    <row r="27" spans="1:22" ht="20.100000000000001" customHeight="1" x14ac:dyDescent="0.25">
      <c r="D27" s="103" t="s">
        <v>362</v>
      </c>
      <c r="O27" s="103" t="s">
        <v>365</v>
      </c>
    </row>
    <row r="28" spans="1:22" ht="20.100000000000001" customHeight="1" x14ac:dyDescent="0.25">
      <c r="D28" s="54" t="s">
        <v>159</v>
      </c>
      <c r="E28" s="54" t="s">
        <v>69</v>
      </c>
      <c r="F28" s="54" t="s">
        <v>189</v>
      </c>
      <c r="G28" s="54" t="s">
        <v>206</v>
      </c>
      <c r="H28" s="54" t="s">
        <v>207</v>
      </c>
      <c r="I28" s="54" t="s">
        <v>208</v>
      </c>
      <c r="J28" s="54" t="s">
        <v>209</v>
      </c>
      <c r="O28" s="54" t="s">
        <v>159</v>
      </c>
      <c r="P28" s="54" t="s">
        <v>69</v>
      </c>
      <c r="Q28" s="54" t="s">
        <v>189</v>
      </c>
      <c r="R28" s="54" t="s">
        <v>206</v>
      </c>
      <c r="S28" s="54" t="s">
        <v>207</v>
      </c>
      <c r="T28" s="54" t="s">
        <v>208</v>
      </c>
      <c r="U28" s="54" t="s">
        <v>209</v>
      </c>
    </row>
    <row r="29" spans="1:22" ht="20.100000000000001" customHeight="1" x14ac:dyDescent="0.25">
      <c r="D29" s="139" t="str">
        <f>'Input - Dairy'!$D$54</f>
        <v>Milking shed</v>
      </c>
      <c r="E29" s="139" t="str">
        <f>'Input - Dairy'!$D$82</f>
        <v>Solid storage</v>
      </c>
      <c r="F29" s="55" cm="1">
        <f t="array" ref="F29">MMS_Dairy_LeachingAndRunoff_Equations.VEERG_4_3_1_6__2_MassOfNitrogenLostToLeachingAndRunoffFromSolidStorage(F23,$H$14,$H$15)</f>
        <v>8.4899253258099172</v>
      </c>
      <c r="G29" s="55" cm="1">
        <f t="array" ref="G29">MMS_Dairy_LeachingAndRunoff_Equations.VEERG_4_3_1_6__2_MassOfNitrogenLostToLeachingAndRunoffFromSolidStorage(G23,$H$14,$H$15)</f>
        <v>7.2943161071128308</v>
      </c>
      <c r="H29" s="55" cm="1">
        <f t="array" ref="H29">MMS_Dairy_LeachingAndRunoff_Equations.VEERG_4_3_1_6__2_MassOfNitrogenLostToLeachingAndRunoffFromSolidStorage(H23,$H$14,$H$15)</f>
        <v>2.9052489649537363</v>
      </c>
      <c r="I29" s="55" cm="1">
        <f t="array" ref="I29">MMS_Dairy_LeachingAndRunoff_Equations.VEERG_4_3_1_6__2_MassOfNitrogenLostToLeachingAndRunoffFromSolidStorage(I23,$H$14,$H$15)</f>
        <v>9.1692438295947358</v>
      </c>
      <c r="J29" s="55" cm="1">
        <f t="array" ref="J29">MMS_Dairy_LeachingAndRunoff_Equations.VEERG_4_3_1_6__2_MassOfNitrogenLostToLeachingAndRunoffFromSolidStorage(J23,$H$14,$H$15)</f>
        <v>3.8385142831622159</v>
      </c>
      <c r="K29" s="2" t="str">
        <f>$E$11</f>
        <v>kg N</v>
      </c>
      <c r="O29" s="139" t="str">
        <f>'Input - Dairy'!$D$54</f>
        <v>Milking shed</v>
      </c>
      <c r="P29" s="139" t="str">
        <f>'Input - Dairy'!$D$82</f>
        <v>Solid storage</v>
      </c>
      <c r="Q29" s="55" cm="1">
        <f t="array" ref="Q29">MMS_Dairy_LeachingAndRunoff_Equations.VEERG_4_3_1_6__2_MassOfNitrogenLostToLeachingAndRunoffFromSolidStorage(Q23,$H$14,$H$15)</f>
        <v>8.4899253258099172</v>
      </c>
      <c r="R29" s="55" cm="1">
        <f t="array" ref="R29">MMS_Dairy_LeachingAndRunoff_Equations.VEERG_4_3_1_6__2_MassOfNitrogenLostToLeachingAndRunoffFromSolidStorage(R23,$H$14,$H$15)</f>
        <v>7.2943161071128308</v>
      </c>
      <c r="S29" s="55" cm="1">
        <f t="array" ref="S29">MMS_Dairy_LeachingAndRunoff_Equations.VEERG_4_3_1_6__2_MassOfNitrogenLostToLeachingAndRunoffFromSolidStorage(S23,$H$14,$H$15)</f>
        <v>2.9052489649537363</v>
      </c>
      <c r="T29" s="55" cm="1">
        <f t="array" ref="T29">MMS_Dairy_LeachingAndRunoff_Equations.VEERG_4_3_1_6__2_MassOfNitrogenLostToLeachingAndRunoffFromSolidStorage(T23,$H$14,$H$15)</f>
        <v>9.1692438295947358</v>
      </c>
      <c r="U29" s="55" cm="1">
        <f t="array" ref="U29">MMS_Dairy_LeachingAndRunoff_Equations.VEERG_4_3_1_6__2_MassOfNitrogenLostToLeachingAndRunoffFromSolidStorage(U23,$H$14,$H$15)</f>
        <v>3.8385142831622159</v>
      </c>
      <c r="V29" s="2" t="str">
        <f t="shared" ref="V29:V30" si="0">$E$11</f>
        <v>kg N</v>
      </c>
    </row>
    <row r="30" spans="1:22" ht="20.100000000000001" customHeight="1" x14ac:dyDescent="0.25">
      <c r="D30" s="139" t="str">
        <f>'Input - Dairy'!$D$55</f>
        <v>Feed pad</v>
      </c>
      <c r="E30" s="139" t="str">
        <f>'Input - Dairy'!$D$116</f>
        <v>Solid storage</v>
      </c>
      <c r="F30" s="55" cm="1">
        <f t="array" ref="F30">MMS_Dairy_LeachingAndRunoff_Equations.VEERG_4_3_1_6__2_MassOfNitrogenLostToLeachingAndRunoffFromSolidStorage(F24,$H$14,$H$15)</f>
        <v>24.041924899907173</v>
      </c>
      <c r="G30" s="55" cm="1">
        <f t="array" ref="G30">MMS_Dairy_LeachingAndRunoff_Equations.VEERG_4_3_1_6__2_MassOfNitrogenLostToLeachingAndRunoffFromSolidStorage(G24,$H$14,$H$15)</f>
        <v>20.656176976051334</v>
      </c>
      <c r="H30" s="55" cm="1">
        <f t="array" ref="H30">MMS_Dairy_LeachingAndRunoff_Equations.VEERG_4_3_1_6__2_MassOfNitrogenLostToLeachingAndRunoffFromSolidStorage(H24,$H$14,$H$15)</f>
        <v>8.2271368416644446</v>
      </c>
      <c r="I30" s="55" cm="1">
        <f t="array" ref="I30">MMS_Dairy_LeachingAndRunoff_Equations.VEERG_4_3_1_6__2_MassOfNitrogenLostToLeachingAndRunoffFromSolidStorage(I24,$H$14,$H$15)</f>
        <v>25.965631390170547</v>
      </c>
      <c r="J30" s="55" cm="1">
        <f t="array" ref="J30">MMS_Dairy_LeachingAndRunoff_Equations.VEERG_4_3_1_6__2_MassOfNitrogenLostToLeachingAndRunoffFromSolidStorage(J24,$H$14,$H$15)</f>
        <v>10.869974538227549</v>
      </c>
      <c r="K30" s="2" t="str">
        <f>$E$11</f>
        <v>kg N</v>
      </c>
      <c r="O30" s="139" t="str">
        <f>'Input - Dairy'!$D$55</f>
        <v>Feed pad</v>
      </c>
      <c r="P30" s="139" t="str">
        <f>'Input - Dairy'!$D$116</f>
        <v>Solid storage</v>
      </c>
      <c r="Q30" s="55" cm="1">
        <f t="array" ref="Q30">MMS_Dairy_LeachingAndRunoff_Equations.VEERG_4_3_1_6__2_MassOfNitrogenLostToLeachingAndRunoffFromSolidStorage(Q24,$H$14,$H$15)</f>
        <v>24.041924899907173</v>
      </c>
      <c r="R30" s="55" cm="1">
        <f t="array" ref="R30">MMS_Dairy_LeachingAndRunoff_Equations.VEERG_4_3_1_6__2_MassOfNitrogenLostToLeachingAndRunoffFromSolidStorage(R24,$H$14,$H$15)</f>
        <v>20.656176976051334</v>
      </c>
      <c r="S30" s="55" cm="1">
        <f t="array" ref="S30">MMS_Dairy_LeachingAndRunoff_Equations.VEERG_4_3_1_6__2_MassOfNitrogenLostToLeachingAndRunoffFromSolidStorage(S24,$H$14,$H$15)</f>
        <v>8.2271368416644446</v>
      </c>
      <c r="T30" s="55" cm="1">
        <f t="array" ref="T30">MMS_Dairy_LeachingAndRunoff_Equations.VEERG_4_3_1_6__2_MassOfNitrogenLostToLeachingAndRunoffFromSolidStorage(T24,$H$14,$H$15)</f>
        <v>25.965631390170547</v>
      </c>
      <c r="U30" s="55" cm="1">
        <f t="array" ref="U30">MMS_Dairy_LeachingAndRunoff_Equations.VEERG_4_3_1_6__2_MassOfNitrogenLostToLeachingAndRunoffFromSolidStorage(U24,$H$14,$H$15)</f>
        <v>10.869974538227549</v>
      </c>
      <c r="V30" s="2" t="str">
        <f t="shared" si="0"/>
        <v>kg N</v>
      </c>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15" t="str" cm="1">
        <f t="array" ref="D42:E44">MMS_Dairy_LeachingAndRunoff_Equations.VEERG_4_3_1_6__1_AnnualEmissionsFromLeachingAndRunoffFromMMS_Arguments()</f>
        <v>MNLeach_jm</v>
      </c>
      <c r="E42" s="117" t="str">
        <v>mass of N lost through leaching and runoff</v>
      </c>
      <c r="F42" s="116"/>
      <c r="G42" s="115" t="str">
        <f>"See " &amp; D26</f>
        <v>See M1_Table_MN_leach_j_m-4</v>
      </c>
    </row>
    <row r="43" spans="3:23" ht="20.100000000000001" customHeight="1" x14ac:dyDescent="0.25">
      <c r="D43" s="115" t="str">
        <v>EF_leach</v>
      </c>
      <c r="E43" s="117" t="str">
        <v>nitrous oxide emission factor for leaching and runoff (kg N2O-N/kg N)</v>
      </c>
      <c r="F43" s="116"/>
      <c r="G43" s="60">
        <f>'Constants - Dairy'!$D$202</f>
        <v>1.0999999999999999E-2</v>
      </c>
    </row>
    <row r="44" spans="3:23" ht="20.100000000000001" customHeight="1" x14ac:dyDescent="0.25">
      <c r="D44" s="115" t="str">
        <v>C_N2O</v>
      </c>
      <c r="E44" s="117" t="str">
        <v>factor to convert elemental mass of N2O to molecular mass</v>
      </c>
      <c r="F44" s="116"/>
      <c r="G44" s="60">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366</v>
      </c>
      <c r="O46" s="104" t="s">
        <v>368</v>
      </c>
    </row>
    <row r="47" spans="3:23" ht="20.100000000000001" customHeight="1" x14ac:dyDescent="0.25">
      <c r="D47" s="103" t="s">
        <v>367</v>
      </c>
      <c r="O47" s="103" t="s">
        <v>369</v>
      </c>
    </row>
    <row r="48" spans="3:23" ht="20.100000000000001" customHeight="1" x14ac:dyDescent="0.25">
      <c r="D48" s="54" t="s">
        <v>159</v>
      </c>
      <c r="E48" s="54" t="s">
        <v>69</v>
      </c>
      <c r="F48" s="54" t="s">
        <v>189</v>
      </c>
      <c r="G48" s="54" t="s">
        <v>206</v>
      </c>
      <c r="H48" s="54" t="s">
        <v>207</v>
      </c>
      <c r="I48" s="54" t="s">
        <v>208</v>
      </c>
      <c r="J48" s="54" t="s">
        <v>209</v>
      </c>
      <c r="O48" s="54" t="s">
        <v>159</v>
      </c>
      <c r="P48" s="54" t="s">
        <v>69</v>
      </c>
      <c r="Q48" s="54" t="s">
        <v>189</v>
      </c>
      <c r="R48" s="54" t="s">
        <v>206</v>
      </c>
      <c r="S48" s="54" t="s">
        <v>207</v>
      </c>
      <c r="T48" s="54" t="s">
        <v>208</v>
      </c>
      <c r="U48" s="54" t="s">
        <v>209</v>
      </c>
    </row>
    <row r="49" spans="4:22" ht="20.100000000000001" customHeight="1" x14ac:dyDescent="0.25">
      <c r="D49" s="139" t="str">
        <f>'Input - Dairy'!$D$54</f>
        <v>Milking shed</v>
      </c>
      <c r="E49" s="139" t="str">
        <f>'Input - Dairy'!$D$82</f>
        <v>Solid storage</v>
      </c>
      <c r="F49" s="55" cm="1">
        <f t="array" ref="F49">MMS_Dairy_LeachingAndRunoff_Equations.VEERG_4_3_1_6__1_AnnualEmissionsFromLeachingAndRunoffFromMMS(F29,$G$43,$G$44)</f>
        <v>1.4675442348899997E-4</v>
      </c>
      <c r="G49" s="55" cm="1">
        <f t="array" ref="G49">MMS_Dairy_LeachingAndRunoff_Equations.VEERG_4_3_1_6__1_AnnualEmissionsFromLeachingAndRunoffFromMMS(G29,$G$43,$G$44)</f>
        <v>1.2608746413723606E-4</v>
      </c>
      <c r="H49" s="55" cm="1">
        <f t="array" ref="H49">MMS_Dairy_LeachingAndRunoff_Equations.VEERG_4_3_1_6__1_AnnualEmissionsFromLeachingAndRunoffFromMMS(H29,$G$43,$G$44)</f>
        <v>5.0219303537057436E-5</v>
      </c>
      <c r="I49" s="55" cm="1">
        <f t="array" ref="I49">MMS_Dairy_LeachingAndRunoff_Equations.VEERG_4_3_1_6__1_AnnualEmissionsFromLeachingAndRunoffFromMMS(I29,$G$43,$G$44)</f>
        <v>1.5849692905442329E-4</v>
      </c>
      <c r="J49" s="55" cm="1">
        <f t="array" ref="J49">MMS_Dairy_LeachingAndRunoff_Equations.VEERG_4_3_1_6__1_AnnualEmissionsFromLeachingAndRunoffFromMMS(J29,$G$43,$G$44)</f>
        <v>6.6351461180375439E-5</v>
      </c>
      <c r="K49" s="2" t="str">
        <f>$E$40</f>
        <v>t N2O</v>
      </c>
      <c r="O49" s="139" t="str">
        <f>'Input - Dairy'!$D$54</f>
        <v>Milking shed</v>
      </c>
      <c r="P49" s="139" t="str">
        <f>'Input - Dairy'!$D$82</f>
        <v>Solid storage</v>
      </c>
      <c r="Q49" s="55" cm="1">
        <f t="array" ref="Q49">MMS_Dairy_LeachingAndRunoff_Equations.VEERG_4_3_1_6__1_AnnualEmissionsFromLeachingAndRunoffFromMMS(Q29,$G$43,$G$44)</f>
        <v>1.4675442348899997E-4</v>
      </c>
      <c r="R49" s="55" cm="1">
        <f t="array" ref="R49">MMS_Dairy_LeachingAndRunoff_Equations.VEERG_4_3_1_6__1_AnnualEmissionsFromLeachingAndRunoffFromMMS(R29,$G$43,$G$44)</f>
        <v>1.2608746413723606E-4</v>
      </c>
      <c r="S49" s="55" cm="1">
        <f t="array" ref="S49">MMS_Dairy_LeachingAndRunoff_Equations.VEERG_4_3_1_6__1_AnnualEmissionsFromLeachingAndRunoffFromMMS(S29,$G$43,$G$44)</f>
        <v>5.0219303537057436E-5</v>
      </c>
      <c r="T49" s="55" cm="1">
        <f t="array" ref="T49">MMS_Dairy_LeachingAndRunoff_Equations.VEERG_4_3_1_6__1_AnnualEmissionsFromLeachingAndRunoffFromMMS(T29,$G$43,$G$44)</f>
        <v>1.5849692905442329E-4</v>
      </c>
      <c r="U49" s="55" cm="1">
        <f t="array" ref="U49">MMS_Dairy_LeachingAndRunoff_Equations.VEERG_4_3_1_6__1_AnnualEmissionsFromLeachingAndRunoffFromMMS(U29,$G$43,$G$44)</f>
        <v>6.6351461180375439E-5</v>
      </c>
      <c r="V49" s="2" t="str">
        <f>$E$40</f>
        <v>t N2O</v>
      </c>
    </row>
    <row r="50" spans="4:22" ht="20.100000000000001" customHeight="1" x14ac:dyDescent="0.25">
      <c r="D50" s="139" t="str">
        <f>'Input - Dairy'!$D$55</f>
        <v>Feed pad</v>
      </c>
      <c r="E50" s="139" t="str">
        <f>'Input - Dairy'!$D$116</f>
        <v>Solid storage</v>
      </c>
      <c r="F50" s="55" cm="1">
        <f t="array" ref="F50">MMS_Dairy_LeachingAndRunoff_Equations.VEERG_4_3_1_6__1_AnnualEmissionsFromLeachingAndRunoffFromMMS(F30,$G$43,$G$44)</f>
        <v>4.1558184469839537E-4</v>
      </c>
      <c r="G50" s="55" cm="1">
        <f t="array" ref="G50">MMS_Dairy_LeachingAndRunoff_Equations.VEERG_4_3_1_6__1_AnnualEmissionsFromLeachingAndRunoffFromMMS(G30,$G$43,$G$44)</f>
        <v>3.5705677344317308E-4</v>
      </c>
      <c r="H50" s="55" cm="1">
        <f t="array" ref="H50">MMS_Dairy_LeachingAndRunoff_Equations.VEERG_4_3_1_6__1_AnnualEmissionsFromLeachingAndRunoffFromMMS(H30,$G$43,$G$44)</f>
        <v>1.4221193683448539E-4</v>
      </c>
      <c r="I50" s="55" cm="1">
        <f t="array" ref="I50">MMS_Dairy_LeachingAndRunoff_Equations.VEERG_4_3_1_6__1_AnnualEmissionsFromLeachingAndRunoffFromMMS(I30,$G$43,$G$44)</f>
        <v>4.4883448545866232E-4</v>
      </c>
      <c r="J50" s="55" cm="1">
        <f t="array" ref="J50">MMS_Dairy_LeachingAndRunoff_Equations.VEERG_4_3_1_6__1_AnnualEmissionsFromLeachingAndRunoffFromMMS(J30,$G$43,$G$44)</f>
        <v>1.8789527416079047E-4</v>
      </c>
      <c r="K50" s="2" t="str">
        <f>$E$40</f>
        <v>t N2O</v>
      </c>
      <c r="O50" s="139" t="str">
        <f>'Input - Dairy'!$D$55</f>
        <v>Feed pad</v>
      </c>
      <c r="P50" s="139" t="str">
        <f>'Input - Dairy'!$D$116</f>
        <v>Solid storage</v>
      </c>
      <c r="Q50" s="55" cm="1">
        <f t="array" ref="Q50">MMS_Dairy_LeachingAndRunoff_Equations.VEERG_4_3_1_6__1_AnnualEmissionsFromLeachingAndRunoffFromMMS(Q30,$G$43,$G$44)</f>
        <v>4.1558184469839537E-4</v>
      </c>
      <c r="R50" s="55" cm="1">
        <f t="array" ref="R50">MMS_Dairy_LeachingAndRunoff_Equations.VEERG_4_3_1_6__1_AnnualEmissionsFromLeachingAndRunoffFromMMS(R30,$G$43,$G$44)</f>
        <v>3.5705677344317308E-4</v>
      </c>
      <c r="S50" s="55" cm="1">
        <f t="array" ref="S50">MMS_Dairy_LeachingAndRunoff_Equations.VEERG_4_3_1_6__1_AnnualEmissionsFromLeachingAndRunoffFromMMS(S30,$G$43,$G$44)</f>
        <v>1.4221193683448539E-4</v>
      </c>
      <c r="T50" s="55" cm="1">
        <f t="array" ref="T50">MMS_Dairy_LeachingAndRunoff_Equations.VEERG_4_3_1_6__1_AnnualEmissionsFromLeachingAndRunoffFromMMS(T30,$G$43,$G$44)</f>
        <v>4.4883448545866232E-4</v>
      </c>
      <c r="U50" s="55" cm="1">
        <f t="array" ref="U50">MMS_Dairy_LeachingAndRunoff_Equations.VEERG_4_3_1_6__1_AnnualEmissionsFromLeachingAndRunoffFromMMS(U30,$G$43,$G$44)</f>
        <v>1.8789527416079047E-4</v>
      </c>
      <c r="V50" s="2" t="str">
        <f>$E$40</f>
        <v>t N2O</v>
      </c>
    </row>
    <row r="51" spans="4:22" ht="20.100000000000001" customHeight="1" x14ac:dyDescent="0.25"/>
    <row r="52" spans="4:22" ht="20.100000000000001" customHeight="1" x14ac:dyDescent="0.25">
      <c r="D52" s="108" t="s">
        <v>355</v>
      </c>
      <c r="E52" s="109">
        <f>SUM(F49:J50)</f>
        <v>2.0994898959935987E-3</v>
      </c>
      <c r="F52" s="110" t="str">
        <f>$E$40</f>
        <v>t N2O</v>
      </c>
      <c r="O52" s="108" t="s">
        <v>355</v>
      </c>
      <c r="P52" s="109">
        <f>SUM(Q49:U50)</f>
        <v>2.0994898959935987E-3</v>
      </c>
      <c r="Q52" s="110" t="str">
        <f>$E$40</f>
        <v>t N2O</v>
      </c>
    </row>
    <row r="53" spans="4:22" ht="20.100000000000001" customHeight="1" x14ac:dyDescent="0.25"/>
    <row r="54" spans="4:22" ht="20.100000000000001" customHeight="1" x14ac:dyDescent="0.25">
      <c r="D54" s="60" t="str" cm="1">
        <f t="array" ref="D54:E55">Common_Equations.Common_ConvertN2OToCO2e_Arguments()</f>
        <v>EN2O</v>
      </c>
      <c r="E54" s="61" t="str">
        <v>Nitrous oxide emissions (t N2O)</v>
      </c>
      <c r="F54" s="111"/>
      <c r="G54" s="55">
        <f>E$52</f>
        <v>2.0994898959935987E-3</v>
      </c>
      <c r="O54" s="60" t="str" cm="1">
        <f t="array" ref="O54:P55">Common_Equations.Common_ConvertN2OToCO2e_Arguments()</f>
        <v>EN2O</v>
      </c>
      <c r="P54" s="61" t="str">
        <v>Nitrous oxide emissions (t N2O)</v>
      </c>
      <c r="Q54" s="111"/>
      <c r="R54" s="55">
        <f>P$52</f>
        <v>2.0994898959935987E-3</v>
      </c>
    </row>
    <row r="55" spans="4: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4:22" ht="20.100000000000001" customHeight="1" x14ac:dyDescent="0.25"/>
    <row r="57" spans="4:22" ht="20.100000000000001" customHeight="1" x14ac:dyDescent="0.25">
      <c r="D57" s="48" t="s">
        <v>111</v>
      </c>
      <c r="E57" s="48" cm="1">
        <f t="array" ref="E57">Common_Equations.Common_ConvertN2OToCO2e(G54,G55)</f>
        <v>0.55636482243830365</v>
      </c>
      <c r="F57" s="112" t="str" cm="1">
        <f t="array" ref="F57">Common_Equations.Common_ConvertN2OToCO2e_Unit()</f>
        <v>t CO2e</v>
      </c>
      <c r="O57" s="48" t="s">
        <v>111</v>
      </c>
      <c r="P57" s="48" cm="1">
        <f t="array" ref="P57">Common_Equations.Common_ConvertN2OToCO2e(R54,R55)</f>
        <v>0.55636482243830365</v>
      </c>
      <c r="Q57" s="112"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E29 P23 P29 E49 P49" xr:uid="{41AE1C4A-D10F-453D-9EBD-FABAB69A8FB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zoomScale="85" zoomScaleNormal="85"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28</v>
      </c>
      <c r="E7" s="13" t="str" cm="1">
        <f t="array" aca="1" ref="E7" ca="1">Common_InputFunctions.Utility_DisplayFunctionName($F$35)</f>
        <v>=MMS_Dairy_LeachingAndRunoff_Equations.VEERG_4_3_1_6__2_MassOfNitrogenLostToLeachingAndRunoffFromSolidStorage</v>
      </c>
    </row>
    <row r="8" spans="1:23" ht="20.100000000000001" customHeight="1" x14ac:dyDescent="0.25">
      <c r="A8" s="17" t="str">
        <f>HYPERLINK("#'Input - Dairy'!A1", "Dairy")</f>
        <v>Dairy</v>
      </c>
      <c r="G8" s="114" t="s">
        <v>356</v>
      </c>
    </row>
    <row r="9" spans="1:23" ht="20.100000000000001" customHeight="1" x14ac:dyDescent="0.25">
      <c r="A9" s="17"/>
    </row>
    <row r="10" spans="1:23" ht="20.100000000000001" customHeight="1" x14ac:dyDescent="0.25">
      <c r="A10" s="19" t="s">
        <v>78</v>
      </c>
      <c r="D10" s="56" t="s">
        <v>31</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48" t="str" cm="1">
        <f t="array" ref="D13:E18">MMS_Dairy_LeachingAndRunoff_Equations.VEERG_4_3_1_6__2_MassOfNitrogenLostToLeachingAndRunoffFromSolidStorage_Arguments()</f>
        <v>MN_jm4</v>
      </c>
      <c r="E13" s="61" t="str">
        <v>total nitrogen in solid storage system m=4 (kg N)</v>
      </c>
      <c r="F13" s="105"/>
      <c r="G13" s="62"/>
      <c r="H13" s="60" t="str">
        <f>"See " &amp; D20</f>
        <v>See M1_Table_MN_j_m</v>
      </c>
      <c r="I13" s="1" t="s">
        <v>379</v>
      </c>
    </row>
    <row r="14" spans="1:23" ht="20.100000000000001" customHeight="1" x14ac:dyDescent="0.25">
      <c r="A14" s="17" t="str">
        <f>HYPERLINK("#'4.3.1.6-7 Leaching and runoff'!A1", "4.3.1.6-7 Leaching and runoff")</f>
        <v>4.3.1.6-7 Leaching and runoff</v>
      </c>
      <c r="D14" s="60" t="str">
        <v>FracWET_i</v>
      </c>
      <c r="E14" s="61" t="str">
        <v>fraction of N that is available for leaching and runoff from the leaching zone z and irrigation type ir (dimensionless)</v>
      </c>
      <c r="F14" s="105"/>
      <c r="G14" s="62"/>
      <c r="H14" s="60" cm="1">
        <f t="array" ref="H14">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22" t="str">
        <f>HYPERLINK("#'4.3.1.8 Manure applied to soils'!A1", "4.3.1.8 Manure applied to soils")</f>
        <v>4.3.1.8 Manure applied to soils</v>
      </c>
      <c r="D15" s="60" t="str">
        <v>FracLEACH_MS</v>
      </c>
      <c r="E15" s="61" t="str">
        <v>fraction of N that is lost through leaching and runoff (dimensionless)</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17"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338</v>
      </c>
      <c r="O20" s="104" t="s">
        <v>341</v>
      </c>
    </row>
    <row r="21" spans="1:22" ht="20.100000000000001" customHeight="1" x14ac:dyDescent="0.25">
      <c r="A21" s="17" t="str">
        <f>HYPERLINK("#'Constants - Dairy'!A1", "Constants - Dairy")</f>
        <v>Constants - Dairy</v>
      </c>
      <c r="D21" s="103" t="s">
        <v>339</v>
      </c>
      <c r="O21" s="103" t="s">
        <v>340</v>
      </c>
    </row>
    <row r="22" spans="1:22" ht="20.100000000000001" customHeight="1" x14ac:dyDescent="0.25">
      <c r="A22" s="17" t="str">
        <f>HYPERLINK("#'Constants - Livestock'!A1", "Constants - Livestock")</f>
        <v>Constants - Livestock</v>
      </c>
      <c r="D22" s="54" t="s">
        <v>159</v>
      </c>
      <c r="E22" s="54" t="s">
        <v>69</v>
      </c>
      <c r="F22" s="54" t="s">
        <v>189</v>
      </c>
      <c r="G22" s="54" t="s">
        <v>206</v>
      </c>
      <c r="H22" s="54" t="s">
        <v>207</v>
      </c>
      <c r="I22" s="54" t="s">
        <v>208</v>
      </c>
      <c r="J22" s="54" t="s">
        <v>209</v>
      </c>
      <c r="O22" s="54" t="s">
        <v>159</v>
      </c>
      <c r="P22" s="54" t="s">
        <v>69</v>
      </c>
      <c r="Q22" s="54" t="s">
        <v>189</v>
      </c>
      <c r="R22" s="54" t="s">
        <v>206</v>
      </c>
      <c r="S22" s="54" t="s">
        <v>207</v>
      </c>
      <c r="T22" s="54" t="s">
        <v>208</v>
      </c>
      <c r="U22" s="54" t="s">
        <v>209</v>
      </c>
    </row>
    <row r="23" spans="1:22" ht="20.100000000000001" customHeight="1" x14ac:dyDescent="0.25">
      <c r="A23" s="17" t="str">
        <f>HYPERLINK("#'Constants - Common'!A1", "Constants - Common")</f>
        <v>Constants - Common</v>
      </c>
      <c r="D23" s="139" t="str">
        <f>'Input - Dairy'!$D$54</f>
        <v>Milking shed</v>
      </c>
      <c r="E23" s="139" t="str">
        <f>'Input - Dairy'!$D$67</f>
        <v>Anaerobic lagoon</v>
      </c>
      <c r="F23" s="55">
        <f>'4.3.1.3-4 Direct N20'!$F$236</f>
        <v>212.24813314524795</v>
      </c>
      <c r="G23" s="55">
        <f>'4.3.1.3-4 Direct N20'!$G$236</f>
        <v>182.35790267782079</v>
      </c>
      <c r="H23" s="55">
        <f>'4.3.1.3-4 Direct N20'!$H$236</f>
        <v>72.631224123843424</v>
      </c>
      <c r="I23" s="55">
        <f>'4.3.1.3-4 Direct N20'!$I$236</f>
        <v>229.23109573986844</v>
      </c>
      <c r="J23" s="55">
        <f>'4.3.1.3-4 Direct N20'!$J$236</f>
        <v>95.962857079055411</v>
      </c>
      <c r="K23" s="2" t="s">
        <v>135</v>
      </c>
      <c r="O23" s="139" t="str">
        <f>'Input - Dairy'!$D$54</f>
        <v>Milking shed</v>
      </c>
      <c r="P23" s="139" t="str">
        <f>'Input - Dairy'!$D$67</f>
        <v>Anaerobic lagoon</v>
      </c>
      <c r="Q23" s="55">
        <f>'4.3.1.3-4 Direct N20'!$P$236</f>
        <v>212.24813314524795</v>
      </c>
      <c r="R23" s="55">
        <f>'4.3.1.3-4 Direct N20'!$Q$236</f>
        <v>182.35790267782079</v>
      </c>
      <c r="S23" s="55">
        <f>'4.3.1.3-4 Direct N20'!$R$236</f>
        <v>72.631224123843424</v>
      </c>
      <c r="T23" s="55">
        <f>'4.3.1.3-4 Direct N20'!$S$236</f>
        <v>229.23109573986844</v>
      </c>
      <c r="U23" s="55">
        <f>'4.3.1.3-4 Direct N20'!$T$236</f>
        <v>95.962857079055411</v>
      </c>
      <c r="V23" s="2" t="s">
        <v>135</v>
      </c>
    </row>
    <row r="24" spans="1:22" ht="20.100000000000001" customHeight="1" x14ac:dyDescent="0.25">
      <c r="A24" s="17" t="str">
        <f>HYPERLINK("#'Acknowledgements'!A1", "Acknowledgements")</f>
        <v>Acknowledgements</v>
      </c>
      <c r="D24" s="139" t="str">
        <f>'Input - Dairy'!$D$54</f>
        <v>Milking shed</v>
      </c>
      <c r="E24" s="139" t="str">
        <f>'Input - Dairy'!$D$72</f>
        <v>Sump and dispersal system</v>
      </c>
      <c r="F24" s="55">
        <f>'4.3.1.3-4 Direct N20'!$F$237</f>
        <v>212.24813314524795</v>
      </c>
      <c r="G24" s="55">
        <f>'4.3.1.3-4 Direct N20'!$G$237</f>
        <v>182.35790267782079</v>
      </c>
      <c r="H24" s="55">
        <f>'4.3.1.3-4 Direct N20'!$H$237</f>
        <v>72.631224123843424</v>
      </c>
      <c r="I24" s="55">
        <f>'4.3.1.3-4 Direct N20'!$I$237</f>
        <v>229.23109573986844</v>
      </c>
      <c r="J24" s="55">
        <f>'4.3.1.3-4 Direct N20'!$J$237</f>
        <v>95.962857079055411</v>
      </c>
      <c r="K24" s="2" t="s">
        <v>135</v>
      </c>
      <c r="O24" s="139" t="str">
        <f>'Input - Dairy'!$D$54</f>
        <v>Milking shed</v>
      </c>
      <c r="P24" s="139" t="str">
        <f>'Input - Dairy'!$D$72</f>
        <v>Sump and dispersal system</v>
      </c>
      <c r="Q24" s="55">
        <f>'4.3.1.3-4 Direct N20'!$P$237</f>
        <v>212.24813314524795</v>
      </c>
      <c r="R24" s="55">
        <f>'4.3.1.3-4 Direct N20'!$Q$237</f>
        <v>182.35790267782079</v>
      </c>
      <c r="S24" s="55">
        <f>'4.3.1.3-4 Direct N20'!$R$237</f>
        <v>72.631224123843424</v>
      </c>
      <c r="T24" s="55">
        <f>'4.3.1.3-4 Direct N20'!$S$237</f>
        <v>229.23109573986844</v>
      </c>
      <c r="U24" s="55">
        <f>'4.3.1.3-4 Direct N20'!$T$237</f>
        <v>95.962857079055411</v>
      </c>
      <c r="V24" s="2" t="s">
        <v>135</v>
      </c>
    </row>
    <row r="25" spans="1:22" ht="20.100000000000001" customHeight="1" x14ac:dyDescent="0.25">
      <c r="D25" s="139" t="str">
        <f>'Input - Dairy'!$D$54</f>
        <v>Milking shed</v>
      </c>
      <c r="E25" s="139" t="str">
        <f>'Input - Dairy'!$D$77</f>
        <v>Drains to paddock</v>
      </c>
      <c r="F25" s="55">
        <f>'4.3.1.3-4 Direct N20'!$F$238</f>
        <v>212.24813314524795</v>
      </c>
      <c r="G25" s="55">
        <f>'4.3.1.3-4 Direct N20'!$G$238</f>
        <v>182.35790267782079</v>
      </c>
      <c r="H25" s="55">
        <f>'4.3.1.3-4 Direct N20'!$H$238</f>
        <v>72.631224123843424</v>
      </c>
      <c r="I25" s="55">
        <f>'4.3.1.3-4 Direct N20'!$I$238</f>
        <v>229.23109573986844</v>
      </c>
      <c r="J25" s="55">
        <f>'4.3.1.3-4 Direct N20'!$J$238</f>
        <v>95.962857079055411</v>
      </c>
      <c r="K25" s="2" t="s">
        <v>135</v>
      </c>
      <c r="O25" s="139" t="str">
        <f>'Input - Dairy'!$D$54</f>
        <v>Milking shed</v>
      </c>
      <c r="P25" s="139" t="str">
        <f>'Input - Dairy'!$D$77</f>
        <v>Drains to paddock</v>
      </c>
      <c r="Q25" s="55">
        <f>'4.3.1.3-4 Direct N20'!$P$238</f>
        <v>212.24813314524795</v>
      </c>
      <c r="R25" s="55">
        <f>'4.3.1.3-4 Direct N20'!$Q$238</f>
        <v>182.35790267782079</v>
      </c>
      <c r="S25" s="55">
        <f>'4.3.1.3-4 Direct N20'!$R$238</f>
        <v>72.631224123843424</v>
      </c>
      <c r="T25" s="55">
        <f>'4.3.1.3-4 Direct N20'!$S$238</f>
        <v>229.23109573986844</v>
      </c>
      <c r="U25" s="55">
        <f>'4.3.1.3-4 Direct N20'!$T$238</f>
        <v>95.962857079055411</v>
      </c>
      <c r="V25" s="2" t="s">
        <v>135</v>
      </c>
    </row>
    <row r="26" spans="1:22" ht="20.100000000000001" customHeight="1" x14ac:dyDescent="0.25">
      <c r="D26" s="139" t="str">
        <f>'Input - Dairy'!$D$54</f>
        <v>Milking shed</v>
      </c>
      <c r="E26" s="139" t="str">
        <f>'Input - Dairy'!$D$82</f>
        <v>Solid storage</v>
      </c>
      <c r="F26" s="55">
        <f>'4.3.1.3-4 Direct N20'!$F$239</f>
        <v>424.49626629049584</v>
      </c>
      <c r="G26" s="55">
        <f>'4.3.1.3-4 Direct N20'!$G$239</f>
        <v>364.71580535564152</v>
      </c>
      <c r="H26" s="55">
        <f>'4.3.1.3-4 Direct N20'!$H$239</f>
        <v>145.26244824768682</v>
      </c>
      <c r="I26" s="55">
        <f>'4.3.1.3-4 Direct N20'!$I$239</f>
        <v>458.46219147973682</v>
      </c>
      <c r="J26" s="55">
        <f>'4.3.1.3-4 Direct N20'!$J$239</f>
        <v>191.92571415811079</v>
      </c>
      <c r="K26" s="2" t="s">
        <v>135</v>
      </c>
      <c r="O26" s="139" t="str">
        <f>'Input - Dairy'!$D$54</f>
        <v>Milking shed</v>
      </c>
      <c r="P26" s="139" t="str">
        <f>'Input - Dairy'!$D$82</f>
        <v>Solid storage</v>
      </c>
      <c r="Q26" s="55">
        <f>'4.3.1.3-4 Direct N20'!$P$239</f>
        <v>424.49626629049584</v>
      </c>
      <c r="R26" s="55">
        <f>'4.3.1.3-4 Direct N20'!$Q$239</f>
        <v>364.71580535564152</v>
      </c>
      <c r="S26" s="55">
        <f>'4.3.1.3-4 Direct N20'!$R$239</f>
        <v>145.26244824768682</v>
      </c>
      <c r="T26" s="55">
        <f>'4.3.1.3-4 Direct N20'!$S$239</f>
        <v>458.46219147973682</v>
      </c>
      <c r="U26" s="55">
        <f>'4.3.1.3-4 Direct N20'!$T$239</f>
        <v>191.92571415811079</v>
      </c>
      <c r="V26" s="2" t="s">
        <v>135</v>
      </c>
    </row>
    <row r="27" spans="1:22" ht="20.100000000000001" customHeight="1" x14ac:dyDescent="0.25">
      <c r="D27" s="139" t="str">
        <f>'Input - Dairy'!$D$55</f>
        <v>Feed pad</v>
      </c>
      <c r="E27" s="139" t="str">
        <f>'Input - Dairy'!$D$101</f>
        <v>Anaerobic lagoon</v>
      </c>
      <c r="F27" s="55">
        <f>'4.3.1.3-4 Direct N20'!$F$240</f>
        <v>858.64017499668478</v>
      </c>
      <c r="G27" s="55">
        <f>'4.3.1.3-4 Direct N20'!$G$240</f>
        <v>737.72060628754764</v>
      </c>
      <c r="H27" s="55">
        <f>'4.3.1.3-4 Direct N20'!$H$240</f>
        <v>293.82631577373019</v>
      </c>
      <c r="I27" s="55">
        <f>'4.3.1.3-4 Direct N20'!$I$240</f>
        <v>927.34397822037681</v>
      </c>
      <c r="J27" s="55">
        <f>'4.3.1.3-4 Direct N20'!$J$240</f>
        <v>388.21337636526954</v>
      </c>
      <c r="K27" s="2" t="s">
        <v>135</v>
      </c>
      <c r="O27" s="139" t="str">
        <f>'Input - Dairy'!$D$55</f>
        <v>Feed pad</v>
      </c>
      <c r="P27" s="139" t="str">
        <f>'Input - Dairy'!$D$101</f>
        <v>Anaerobic lagoon</v>
      </c>
      <c r="Q27" s="55">
        <f>'4.3.1.3-4 Direct N20'!$P$240</f>
        <v>858.64017499668478</v>
      </c>
      <c r="R27" s="55">
        <f>'4.3.1.3-4 Direct N20'!$Q$240</f>
        <v>737.72060628754764</v>
      </c>
      <c r="S27" s="55">
        <f>'4.3.1.3-4 Direct N20'!$R$240</f>
        <v>293.82631577373019</v>
      </c>
      <c r="T27" s="55">
        <f>'4.3.1.3-4 Direct N20'!$S$240</f>
        <v>927.34397822037681</v>
      </c>
      <c r="U27" s="55">
        <f>'4.3.1.3-4 Direct N20'!$T$240</f>
        <v>388.21337636526954</v>
      </c>
      <c r="V27" s="2" t="s">
        <v>135</v>
      </c>
    </row>
    <row r="28" spans="1:22" ht="20.100000000000001" customHeight="1" x14ac:dyDescent="0.25">
      <c r="D28" s="139" t="str">
        <f>'Input - Dairy'!$D$55</f>
        <v>Feed pad</v>
      </c>
      <c r="E28" s="139" t="str">
        <f>'Input - Dairy'!$D$106</f>
        <v>Sump and dispersal system</v>
      </c>
      <c r="F28" s="55">
        <f>'4.3.1.3-4 Direct N20'!$F$241</f>
        <v>686.91213999734782</v>
      </c>
      <c r="G28" s="55">
        <f>'4.3.1.3-4 Direct N20'!$G$241</f>
        <v>590.17648503003818</v>
      </c>
      <c r="H28" s="55">
        <f>'4.3.1.3-4 Direct N20'!$H$241</f>
        <v>235.06105261898415</v>
      </c>
      <c r="I28" s="55">
        <f>'4.3.1.3-4 Direct N20'!$I$241</f>
        <v>741.87518257630143</v>
      </c>
      <c r="J28" s="55">
        <f>'4.3.1.3-4 Direct N20'!$J$241</f>
        <v>310.57070109221564</v>
      </c>
      <c r="K28" s="2" t="s">
        <v>135</v>
      </c>
      <c r="O28" s="139" t="str">
        <f>'Input - Dairy'!$D$55</f>
        <v>Feed pad</v>
      </c>
      <c r="P28" s="139" t="str">
        <f>'Input - Dairy'!$D$106</f>
        <v>Sump and dispersal system</v>
      </c>
      <c r="Q28" s="55">
        <f>'4.3.1.3-4 Direct N20'!$P$241</f>
        <v>686.91213999734782</v>
      </c>
      <c r="R28" s="55">
        <f>'4.3.1.3-4 Direct N20'!$Q$241</f>
        <v>590.17648503003818</v>
      </c>
      <c r="S28" s="55">
        <f>'4.3.1.3-4 Direct N20'!$R$241</f>
        <v>235.06105261898415</v>
      </c>
      <c r="T28" s="55">
        <f>'4.3.1.3-4 Direct N20'!$S$241</f>
        <v>741.87518257630143</v>
      </c>
      <c r="U28" s="55">
        <f>'4.3.1.3-4 Direct N20'!$T$241</f>
        <v>310.57070109221564</v>
      </c>
      <c r="V28" s="2" t="s">
        <v>135</v>
      </c>
    </row>
    <row r="29" spans="1:22" ht="20.100000000000001" customHeight="1" x14ac:dyDescent="0.25">
      <c r="D29" s="139" t="str">
        <f>'Input - Dairy'!$D$55</f>
        <v>Feed pad</v>
      </c>
      <c r="E29" s="139" t="str">
        <f>'Input - Dairy'!$D$111</f>
        <v>Drains to paddock</v>
      </c>
      <c r="F29" s="55">
        <f>'4.3.1.3-4 Direct N20'!$F$242</f>
        <v>686.91213999734782</v>
      </c>
      <c r="G29" s="55">
        <f>'4.3.1.3-4 Direct N20'!$G$242</f>
        <v>590.17648503003818</v>
      </c>
      <c r="H29" s="55">
        <f>'4.3.1.3-4 Direct N20'!$H$242</f>
        <v>235.06105261898415</v>
      </c>
      <c r="I29" s="55">
        <f>'4.3.1.3-4 Direct N20'!$I$242</f>
        <v>741.87518257630143</v>
      </c>
      <c r="J29" s="55">
        <f>'4.3.1.3-4 Direct N20'!$J$242</f>
        <v>310.57070109221564</v>
      </c>
      <c r="K29" s="2" t="s">
        <v>135</v>
      </c>
      <c r="O29" s="139" t="str">
        <f>'Input - Dairy'!$D$55</f>
        <v>Feed pad</v>
      </c>
      <c r="P29" s="139" t="str">
        <f>'Input - Dairy'!$D$111</f>
        <v>Drains to paddock</v>
      </c>
      <c r="Q29" s="55">
        <f>'4.3.1.3-4 Direct N20'!$P$242</f>
        <v>686.91213999734782</v>
      </c>
      <c r="R29" s="55">
        <f>'4.3.1.3-4 Direct N20'!$Q$242</f>
        <v>590.17648503003818</v>
      </c>
      <c r="S29" s="55">
        <f>'4.3.1.3-4 Direct N20'!$R$242</f>
        <v>235.06105261898415</v>
      </c>
      <c r="T29" s="55">
        <f>'4.3.1.3-4 Direct N20'!$S$242</f>
        <v>741.87518257630143</v>
      </c>
      <c r="U29" s="55">
        <f>'4.3.1.3-4 Direct N20'!$T$242</f>
        <v>310.57070109221564</v>
      </c>
      <c r="V29" s="2" t="s">
        <v>135</v>
      </c>
    </row>
    <row r="30" spans="1:22" ht="20.100000000000001" customHeight="1" x14ac:dyDescent="0.25">
      <c r="D30" s="139" t="str">
        <f>'Input - Dairy'!$D$55</f>
        <v>Feed pad</v>
      </c>
      <c r="E30" s="139" t="str">
        <f>'Input - Dairy'!$D$116</f>
        <v>Solid storage</v>
      </c>
      <c r="F30" s="55">
        <f>'4.3.1.3-4 Direct N20'!$F$243</f>
        <v>1202.0962449953586</v>
      </c>
      <c r="G30" s="55">
        <f>'4.3.1.3-4 Direct N20'!$G$243</f>
        <v>1032.8088488025667</v>
      </c>
      <c r="H30" s="55">
        <f>'4.3.1.3-4 Direct N20'!$H$243</f>
        <v>411.35684208322226</v>
      </c>
      <c r="I30" s="55">
        <f>'4.3.1.3-4 Direct N20'!$I$243</f>
        <v>1298.2815695085274</v>
      </c>
      <c r="J30" s="55">
        <f>'4.3.1.3-4 Direct N20'!$J$243</f>
        <v>543.49872691137739</v>
      </c>
      <c r="K30" s="2" t="s">
        <v>135</v>
      </c>
      <c r="O30" s="139" t="str">
        <f>'Input - Dairy'!$D$55</f>
        <v>Feed pad</v>
      </c>
      <c r="P30" s="139" t="str">
        <f>'Input - Dairy'!$D$116</f>
        <v>Solid storage</v>
      </c>
      <c r="Q30" s="55">
        <f>'4.3.1.3-4 Direct N20'!$P$243</f>
        <v>1202.0962449953586</v>
      </c>
      <c r="R30" s="55">
        <f>'4.3.1.3-4 Direct N20'!$Q$243</f>
        <v>1032.8088488025667</v>
      </c>
      <c r="S30" s="55">
        <f>'4.3.1.3-4 Direct N20'!$R$243</f>
        <v>411.35684208322226</v>
      </c>
      <c r="T30" s="55">
        <f>'4.3.1.3-4 Direct N20'!$S$243</f>
        <v>1298.2815695085274</v>
      </c>
      <c r="U30" s="55">
        <f>'4.3.1.3-4 Direct N20'!$T$243</f>
        <v>543.49872691137739</v>
      </c>
      <c r="V30" s="2" t="s">
        <v>135</v>
      </c>
    </row>
    <row r="31" spans="1:22" ht="20.100000000000001" customHeight="1" x14ac:dyDescent="0.25"/>
    <row r="32" spans="1:22" ht="20.100000000000001" customHeight="1" x14ac:dyDescent="0.25">
      <c r="D32" s="104" t="s">
        <v>372</v>
      </c>
      <c r="O32" s="104" t="s">
        <v>373</v>
      </c>
    </row>
    <row r="33" spans="3:23" ht="20.100000000000001" customHeight="1" x14ac:dyDescent="0.25">
      <c r="D33" s="103" t="s">
        <v>375</v>
      </c>
      <c r="O33" s="103" t="s">
        <v>374</v>
      </c>
    </row>
    <row r="34" spans="3:23" ht="20.100000000000001" customHeight="1" x14ac:dyDescent="0.25">
      <c r="D34" s="54" t="s">
        <v>159</v>
      </c>
      <c r="E34" s="54" t="s">
        <v>69</v>
      </c>
      <c r="F34" s="54" t="s">
        <v>189</v>
      </c>
      <c r="G34" s="54" t="s">
        <v>206</v>
      </c>
      <c r="H34" s="54" t="s">
        <v>207</v>
      </c>
      <c r="I34" s="54" t="s">
        <v>208</v>
      </c>
      <c r="J34" s="54" t="s">
        <v>209</v>
      </c>
      <c r="O34" s="54" t="s">
        <v>159</v>
      </c>
      <c r="P34" s="54" t="s">
        <v>69</v>
      </c>
      <c r="Q34" s="54" t="s">
        <v>189</v>
      </c>
      <c r="R34" s="54" t="s">
        <v>206</v>
      </c>
      <c r="S34" s="54" t="s">
        <v>207</v>
      </c>
      <c r="T34" s="54" t="s">
        <v>208</v>
      </c>
      <c r="U34" s="54" t="s">
        <v>209</v>
      </c>
    </row>
    <row r="35" spans="3:23" ht="20.100000000000001" customHeight="1" x14ac:dyDescent="0.25">
      <c r="D35" s="139" t="str">
        <f>'Input - Dairy'!$D$54</f>
        <v>Milking shed</v>
      </c>
      <c r="E35" s="139" t="str">
        <f>'Input - Dairy'!$D$67</f>
        <v>Anaerobic lagoon</v>
      </c>
      <c r="F35" s="55" cm="1">
        <f t="array" ref="F35">MMS_Dairy_LeachingAndRunoff_Equations.VEERG_4_3_1_6__2_MassOfNitrogenLostToLeachingAndRunoffFromSolidStorage(F23,$H$14,$H$15)</f>
        <v>4.2449626629049586</v>
      </c>
      <c r="G35" s="55" cm="1">
        <f t="array" ref="G35">MMS_Dairy_LeachingAndRunoff_Equations.VEERG_4_3_1_6__2_MassOfNitrogenLostToLeachingAndRunoffFromSolidStorage(G23,$H$14,$H$15)</f>
        <v>3.6471580535564159</v>
      </c>
      <c r="H35" s="55" cm="1">
        <f t="array" ref="H35">MMS_Dairy_LeachingAndRunoff_Equations.VEERG_4_3_1_6__2_MassOfNitrogenLostToLeachingAndRunoffFromSolidStorage(H23,$H$14,$H$15)</f>
        <v>1.4526244824768686</v>
      </c>
      <c r="I35" s="55" cm="1">
        <f t="array" ref="I35">MMS_Dairy_LeachingAndRunoff_Equations.VEERG_4_3_1_6__2_MassOfNitrogenLostToLeachingAndRunoffFromSolidStorage(I23,$H$14,$H$15)</f>
        <v>4.5846219147973688</v>
      </c>
      <c r="J35" s="55" cm="1">
        <f t="array" ref="J35">MMS_Dairy_LeachingAndRunoff_Equations.VEERG_4_3_1_6__2_MassOfNitrogenLostToLeachingAndRunoffFromSolidStorage(J23,$H$14,$H$15)</f>
        <v>1.9192571415811082</v>
      </c>
      <c r="K35" s="2" t="str">
        <f>$E$11</f>
        <v>kg N</v>
      </c>
      <c r="O35" s="139" t="str">
        <f>'Input - Dairy'!$D$54</f>
        <v>Milking shed</v>
      </c>
      <c r="P35" s="139" t="str">
        <f>'Input - Dairy'!$D$67</f>
        <v>Anaerobic lagoon</v>
      </c>
      <c r="Q35" s="55" cm="1">
        <f t="array" ref="Q35">MMS_Dairy_LeachingAndRunoff_Equations.VEERG_4_3_1_6__2_MassOfNitrogenLostToLeachingAndRunoffFromSolidStorage(Q23,$H$14,$H$15)</f>
        <v>4.2449626629049586</v>
      </c>
      <c r="R35" s="55" cm="1">
        <f t="array" ref="R35">MMS_Dairy_LeachingAndRunoff_Equations.VEERG_4_3_1_6__2_MassOfNitrogenLostToLeachingAndRunoffFromSolidStorage(R23,$H$14,$H$15)</f>
        <v>3.6471580535564159</v>
      </c>
      <c r="S35" s="55" cm="1">
        <f t="array" ref="S35">MMS_Dairy_LeachingAndRunoff_Equations.VEERG_4_3_1_6__2_MassOfNitrogenLostToLeachingAndRunoffFromSolidStorage(S23,$H$14,$H$15)</f>
        <v>1.4526244824768686</v>
      </c>
      <c r="T35" s="55" cm="1">
        <f t="array" ref="T35">MMS_Dairy_LeachingAndRunoff_Equations.VEERG_4_3_1_6__2_MassOfNitrogenLostToLeachingAndRunoffFromSolidStorage(T23,$H$14,$H$15)</f>
        <v>4.5846219147973688</v>
      </c>
      <c r="U35" s="55" cm="1">
        <f t="array" ref="U35">MMS_Dairy_LeachingAndRunoff_Equations.VEERG_4_3_1_6__2_MassOfNitrogenLostToLeachingAndRunoffFromSolidStorage(U23,$H$14,$H$15)</f>
        <v>1.9192571415811082</v>
      </c>
      <c r="V35" s="2" t="str">
        <f>$E$11</f>
        <v>kg N</v>
      </c>
    </row>
    <row r="36" spans="3:23" ht="20.100000000000001" customHeight="1" x14ac:dyDescent="0.25">
      <c r="D36" s="139" t="str">
        <f>'Input - Dairy'!$D$54</f>
        <v>Milking shed</v>
      </c>
      <c r="E36" s="139" t="str">
        <f>'Input - Dairy'!$D$72</f>
        <v>Sump and dispersal system</v>
      </c>
      <c r="F36" s="55" cm="1">
        <f t="array" ref="F36">MMS_Dairy_LeachingAndRunoff_Equations.VEERG_4_3_1_6__2_MassOfNitrogenLostToLeachingAndRunoffFromSolidStorage(F24,$H$14,$H$15)</f>
        <v>4.2449626629049586</v>
      </c>
      <c r="G36" s="55" cm="1">
        <f t="array" ref="G36">MMS_Dairy_LeachingAndRunoff_Equations.VEERG_4_3_1_6__2_MassOfNitrogenLostToLeachingAndRunoffFromSolidStorage(G24,$H$14,$H$15)</f>
        <v>3.6471580535564159</v>
      </c>
      <c r="H36" s="55" cm="1">
        <f t="array" ref="H36">MMS_Dairy_LeachingAndRunoff_Equations.VEERG_4_3_1_6__2_MassOfNitrogenLostToLeachingAndRunoffFromSolidStorage(H24,$H$14,$H$15)</f>
        <v>1.4526244824768686</v>
      </c>
      <c r="I36" s="55" cm="1">
        <f t="array" ref="I36">MMS_Dairy_LeachingAndRunoff_Equations.VEERG_4_3_1_6__2_MassOfNitrogenLostToLeachingAndRunoffFromSolidStorage(I24,$H$14,$H$15)</f>
        <v>4.5846219147973688</v>
      </c>
      <c r="J36" s="55" cm="1">
        <f t="array" ref="J36">MMS_Dairy_LeachingAndRunoff_Equations.VEERG_4_3_1_6__2_MassOfNitrogenLostToLeachingAndRunoffFromSolidStorage(J24,$H$14,$H$15)</f>
        <v>1.9192571415811082</v>
      </c>
      <c r="K36" s="2" t="str">
        <f t="shared" ref="K36:K42" si="0">$E$11</f>
        <v>kg N</v>
      </c>
      <c r="O36" s="139" t="str">
        <f>'Input - Dairy'!$D$54</f>
        <v>Milking shed</v>
      </c>
      <c r="P36" s="139" t="str">
        <f>'Input - Dairy'!$D$72</f>
        <v>Sump and dispersal system</v>
      </c>
      <c r="Q36" s="55" cm="1">
        <f t="array" ref="Q36">MMS_Dairy_LeachingAndRunoff_Equations.VEERG_4_3_1_6__2_MassOfNitrogenLostToLeachingAndRunoffFromSolidStorage(Q24,$H$14,$H$15)</f>
        <v>4.2449626629049586</v>
      </c>
      <c r="R36" s="55" cm="1">
        <f t="array" ref="R36">MMS_Dairy_LeachingAndRunoff_Equations.VEERG_4_3_1_6__2_MassOfNitrogenLostToLeachingAndRunoffFromSolidStorage(R24,$H$14,$H$15)</f>
        <v>3.6471580535564159</v>
      </c>
      <c r="S36" s="55" cm="1">
        <f t="array" ref="S36">MMS_Dairy_LeachingAndRunoff_Equations.VEERG_4_3_1_6__2_MassOfNitrogenLostToLeachingAndRunoffFromSolidStorage(S24,$H$14,$H$15)</f>
        <v>1.4526244824768686</v>
      </c>
      <c r="T36" s="55" cm="1">
        <f t="array" ref="T36">MMS_Dairy_LeachingAndRunoff_Equations.VEERG_4_3_1_6__2_MassOfNitrogenLostToLeachingAndRunoffFromSolidStorage(T24,$H$14,$H$15)</f>
        <v>4.5846219147973688</v>
      </c>
      <c r="U36" s="55" cm="1">
        <f t="array" ref="U36">MMS_Dairy_LeachingAndRunoff_Equations.VEERG_4_3_1_6__2_MassOfNitrogenLostToLeachingAndRunoffFromSolidStorage(U24,$H$14,$H$15)</f>
        <v>1.9192571415811082</v>
      </c>
      <c r="V36" s="2" t="str">
        <f t="shared" ref="V36:V42" si="1">$E$11</f>
        <v>kg N</v>
      </c>
    </row>
    <row r="37" spans="3:23" ht="20.100000000000001" customHeight="1" x14ac:dyDescent="0.25">
      <c r="D37" s="139" t="str">
        <f>'Input - Dairy'!$D$54</f>
        <v>Milking shed</v>
      </c>
      <c r="E37" s="139" t="str">
        <f>'Input - Dairy'!$D$77</f>
        <v>Drains to paddock</v>
      </c>
      <c r="F37" s="55" cm="1">
        <f t="array" ref="F37">MMS_Dairy_LeachingAndRunoff_Equations.VEERG_4_3_1_6__2_MassOfNitrogenLostToLeachingAndRunoffFromSolidStorage(F25,$H$14,$H$15)</f>
        <v>4.2449626629049586</v>
      </c>
      <c r="G37" s="55" cm="1">
        <f t="array" ref="G37">MMS_Dairy_LeachingAndRunoff_Equations.VEERG_4_3_1_6__2_MassOfNitrogenLostToLeachingAndRunoffFromSolidStorage(G25,$H$14,$H$15)</f>
        <v>3.6471580535564159</v>
      </c>
      <c r="H37" s="55" cm="1">
        <f t="array" ref="H37">MMS_Dairy_LeachingAndRunoff_Equations.VEERG_4_3_1_6__2_MassOfNitrogenLostToLeachingAndRunoffFromSolidStorage(H25,$H$14,$H$15)</f>
        <v>1.4526244824768686</v>
      </c>
      <c r="I37" s="55" cm="1">
        <f t="array" ref="I37">MMS_Dairy_LeachingAndRunoff_Equations.VEERG_4_3_1_6__2_MassOfNitrogenLostToLeachingAndRunoffFromSolidStorage(I25,$H$14,$H$15)</f>
        <v>4.5846219147973688</v>
      </c>
      <c r="J37" s="55" cm="1">
        <f t="array" ref="J37">MMS_Dairy_LeachingAndRunoff_Equations.VEERG_4_3_1_6__2_MassOfNitrogenLostToLeachingAndRunoffFromSolidStorage(J25,$H$14,$H$15)</f>
        <v>1.9192571415811082</v>
      </c>
      <c r="K37" s="2" t="str">
        <f t="shared" si="0"/>
        <v>kg N</v>
      </c>
      <c r="O37" s="139" t="str">
        <f>'Input - Dairy'!$D$54</f>
        <v>Milking shed</v>
      </c>
      <c r="P37" s="139" t="str">
        <f>'Input - Dairy'!$D$77</f>
        <v>Drains to paddock</v>
      </c>
      <c r="Q37" s="55" cm="1">
        <f t="array" ref="Q37">MMS_Dairy_LeachingAndRunoff_Equations.VEERG_4_3_1_6__2_MassOfNitrogenLostToLeachingAndRunoffFromSolidStorage(Q25,$H$14,$H$15)</f>
        <v>4.2449626629049586</v>
      </c>
      <c r="R37" s="55" cm="1">
        <f t="array" ref="R37">MMS_Dairy_LeachingAndRunoff_Equations.VEERG_4_3_1_6__2_MassOfNitrogenLostToLeachingAndRunoffFromSolidStorage(R25,$H$14,$H$15)</f>
        <v>3.6471580535564159</v>
      </c>
      <c r="S37" s="55" cm="1">
        <f t="array" ref="S37">MMS_Dairy_LeachingAndRunoff_Equations.VEERG_4_3_1_6__2_MassOfNitrogenLostToLeachingAndRunoffFromSolidStorage(S25,$H$14,$H$15)</f>
        <v>1.4526244824768686</v>
      </c>
      <c r="T37" s="55" cm="1">
        <f t="array" ref="T37">MMS_Dairy_LeachingAndRunoff_Equations.VEERG_4_3_1_6__2_MassOfNitrogenLostToLeachingAndRunoffFromSolidStorage(T25,$H$14,$H$15)</f>
        <v>4.5846219147973688</v>
      </c>
      <c r="U37" s="55" cm="1">
        <f t="array" ref="U37">MMS_Dairy_LeachingAndRunoff_Equations.VEERG_4_3_1_6__2_MassOfNitrogenLostToLeachingAndRunoffFromSolidStorage(U25,$H$14,$H$15)</f>
        <v>1.9192571415811082</v>
      </c>
      <c r="V37" s="2" t="str">
        <f t="shared" si="1"/>
        <v>kg N</v>
      </c>
    </row>
    <row r="38" spans="3:23" ht="20.100000000000001" customHeight="1" x14ac:dyDescent="0.25">
      <c r="D38" s="139" t="str">
        <f>'Input - Dairy'!$D$54</f>
        <v>Milking shed</v>
      </c>
      <c r="E38" s="139" t="str">
        <f>'Input - Dairy'!$D$82</f>
        <v>Solid storage</v>
      </c>
      <c r="F38" s="55" cm="1">
        <f t="array" ref="F38">MMS_Dairy_LeachingAndRunoff_Equations.VEERG_4_3_1_6__2_MassOfNitrogenLostToLeachingAndRunoffFromSolidStorage(F26,$H$14,$H$15)</f>
        <v>8.4899253258099172</v>
      </c>
      <c r="G38" s="55" cm="1">
        <f t="array" ref="G38">MMS_Dairy_LeachingAndRunoff_Equations.VEERG_4_3_1_6__2_MassOfNitrogenLostToLeachingAndRunoffFromSolidStorage(G26,$H$14,$H$15)</f>
        <v>7.2943161071128308</v>
      </c>
      <c r="H38" s="55" cm="1">
        <f t="array" ref="H38">MMS_Dairy_LeachingAndRunoff_Equations.VEERG_4_3_1_6__2_MassOfNitrogenLostToLeachingAndRunoffFromSolidStorage(H26,$H$14,$H$15)</f>
        <v>2.9052489649537363</v>
      </c>
      <c r="I38" s="55" cm="1">
        <f t="array" ref="I38">MMS_Dairy_LeachingAndRunoff_Equations.VEERG_4_3_1_6__2_MassOfNitrogenLostToLeachingAndRunoffFromSolidStorage(I26,$H$14,$H$15)</f>
        <v>9.1692438295947358</v>
      </c>
      <c r="J38" s="55" cm="1">
        <f t="array" ref="J38">MMS_Dairy_LeachingAndRunoff_Equations.VEERG_4_3_1_6__2_MassOfNitrogenLostToLeachingAndRunoffFromSolidStorage(J26,$H$14,$H$15)</f>
        <v>3.8385142831622159</v>
      </c>
      <c r="K38" s="2" t="str">
        <f t="shared" si="0"/>
        <v>kg N</v>
      </c>
      <c r="O38" s="139" t="str">
        <f>'Input - Dairy'!$D$54</f>
        <v>Milking shed</v>
      </c>
      <c r="P38" s="139" t="str">
        <f>'Input - Dairy'!$D$82</f>
        <v>Solid storage</v>
      </c>
      <c r="Q38" s="55" cm="1">
        <f t="array" ref="Q38">MMS_Dairy_LeachingAndRunoff_Equations.VEERG_4_3_1_6__2_MassOfNitrogenLostToLeachingAndRunoffFromSolidStorage(Q26,$H$14,$H$15)</f>
        <v>8.4899253258099172</v>
      </c>
      <c r="R38" s="55" cm="1">
        <f t="array" ref="R38">MMS_Dairy_LeachingAndRunoff_Equations.VEERG_4_3_1_6__2_MassOfNitrogenLostToLeachingAndRunoffFromSolidStorage(R26,$H$14,$H$15)</f>
        <v>7.2943161071128308</v>
      </c>
      <c r="S38" s="55" cm="1">
        <f t="array" ref="S38">MMS_Dairy_LeachingAndRunoff_Equations.VEERG_4_3_1_6__2_MassOfNitrogenLostToLeachingAndRunoffFromSolidStorage(S26,$H$14,$H$15)</f>
        <v>2.9052489649537363</v>
      </c>
      <c r="T38" s="55" cm="1">
        <f t="array" ref="T38">MMS_Dairy_LeachingAndRunoff_Equations.VEERG_4_3_1_6__2_MassOfNitrogenLostToLeachingAndRunoffFromSolidStorage(T26,$H$14,$H$15)</f>
        <v>9.1692438295947358</v>
      </c>
      <c r="U38" s="55" cm="1">
        <f t="array" ref="U38">MMS_Dairy_LeachingAndRunoff_Equations.VEERG_4_3_1_6__2_MassOfNitrogenLostToLeachingAndRunoffFromSolidStorage(U26,$H$14,$H$15)</f>
        <v>3.8385142831622159</v>
      </c>
      <c r="V38" s="2" t="str">
        <f t="shared" si="1"/>
        <v>kg N</v>
      </c>
    </row>
    <row r="39" spans="3:23" ht="20.100000000000001" customHeight="1" x14ac:dyDescent="0.25">
      <c r="D39" s="139" t="str">
        <f>'Input - Dairy'!$D$55</f>
        <v>Feed pad</v>
      </c>
      <c r="E39" s="139" t="str">
        <f>'Input - Dairy'!$D$101</f>
        <v>Anaerobic lagoon</v>
      </c>
      <c r="F39" s="55" cm="1">
        <f t="array" ref="F39">MMS_Dairy_LeachingAndRunoff_Equations.VEERG_4_3_1_6__2_MassOfNitrogenLostToLeachingAndRunoffFromSolidStorage(F27,$H$14,$H$15)</f>
        <v>17.172803499933696</v>
      </c>
      <c r="G39" s="55" cm="1">
        <f t="array" ref="G39">MMS_Dairy_LeachingAndRunoff_Equations.VEERG_4_3_1_6__2_MassOfNitrogenLostToLeachingAndRunoffFromSolidStorage(G27,$H$14,$H$15)</f>
        <v>14.754412125750953</v>
      </c>
      <c r="H39" s="55" cm="1">
        <f t="array" ref="H39">MMS_Dairy_LeachingAndRunoff_Equations.VEERG_4_3_1_6__2_MassOfNitrogenLostToLeachingAndRunoffFromSolidStorage(H27,$H$14,$H$15)</f>
        <v>5.8765263154746039</v>
      </c>
      <c r="I39" s="55" cm="1">
        <f t="array" ref="I39">MMS_Dairy_LeachingAndRunoff_Equations.VEERG_4_3_1_6__2_MassOfNitrogenLostToLeachingAndRunoffFromSolidStorage(I27,$H$14,$H$15)</f>
        <v>18.546879564407536</v>
      </c>
      <c r="J39" s="55" cm="1">
        <f t="array" ref="J39">MMS_Dairy_LeachingAndRunoff_Equations.VEERG_4_3_1_6__2_MassOfNitrogenLostToLeachingAndRunoffFromSolidStorage(J27,$H$14,$H$15)</f>
        <v>7.7642675273053907</v>
      </c>
      <c r="K39" s="2" t="str">
        <f t="shared" si="0"/>
        <v>kg N</v>
      </c>
      <c r="O39" s="139" t="str">
        <f>'Input - Dairy'!$D$55</f>
        <v>Feed pad</v>
      </c>
      <c r="P39" s="139" t="str">
        <f>'Input - Dairy'!$D$101</f>
        <v>Anaerobic lagoon</v>
      </c>
      <c r="Q39" s="55" cm="1">
        <f t="array" ref="Q39">MMS_Dairy_LeachingAndRunoff_Equations.VEERG_4_3_1_6__2_MassOfNitrogenLostToLeachingAndRunoffFromSolidStorage(Q27,$H$14,$H$15)</f>
        <v>17.172803499933696</v>
      </c>
      <c r="R39" s="55" cm="1">
        <f t="array" ref="R39">MMS_Dairy_LeachingAndRunoff_Equations.VEERG_4_3_1_6__2_MassOfNitrogenLostToLeachingAndRunoffFromSolidStorage(R27,$H$14,$H$15)</f>
        <v>14.754412125750953</v>
      </c>
      <c r="S39" s="55" cm="1">
        <f t="array" ref="S39">MMS_Dairy_LeachingAndRunoff_Equations.VEERG_4_3_1_6__2_MassOfNitrogenLostToLeachingAndRunoffFromSolidStorage(S27,$H$14,$H$15)</f>
        <v>5.8765263154746039</v>
      </c>
      <c r="T39" s="55" cm="1">
        <f t="array" ref="T39">MMS_Dairy_LeachingAndRunoff_Equations.VEERG_4_3_1_6__2_MassOfNitrogenLostToLeachingAndRunoffFromSolidStorage(T27,$H$14,$H$15)</f>
        <v>18.546879564407536</v>
      </c>
      <c r="U39" s="55" cm="1">
        <f t="array" ref="U39">MMS_Dairy_LeachingAndRunoff_Equations.VEERG_4_3_1_6__2_MassOfNitrogenLostToLeachingAndRunoffFromSolidStorage(U27,$H$14,$H$15)</f>
        <v>7.7642675273053907</v>
      </c>
      <c r="V39" s="2" t="str">
        <f t="shared" si="1"/>
        <v>kg N</v>
      </c>
    </row>
    <row r="40" spans="3:23" ht="20.100000000000001" customHeight="1" x14ac:dyDescent="0.25">
      <c r="D40" s="139" t="str">
        <f>'Input - Dairy'!$D$55</f>
        <v>Feed pad</v>
      </c>
      <c r="E40" s="139" t="str">
        <f>'Input - Dairy'!$D$106</f>
        <v>Sump and dispersal system</v>
      </c>
      <c r="F40" s="55" cm="1">
        <f t="array" ref="F40">MMS_Dairy_LeachingAndRunoff_Equations.VEERG_4_3_1_6__2_MassOfNitrogenLostToLeachingAndRunoffFromSolidStorage(F28,$H$14,$H$15)</f>
        <v>13.738242799946956</v>
      </c>
      <c r="G40" s="55" cm="1">
        <f t="array" ref="G40">MMS_Dairy_LeachingAndRunoff_Equations.VEERG_4_3_1_6__2_MassOfNitrogenLostToLeachingAndRunoffFromSolidStorage(G28,$H$14,$H$15)</f>
        <v>11.803529700600764</v>
      </c>
      <c r="H40" s="55" cm="1">
        <f t="array" ref="H40">MMS_Dairy_LeachingAndRunoff_Equations.VEERG_4_3_1_6__2_MassOfNitrogenLostToLeachingAndRunoffFromSolidStorage(H28,$H$14,$H$15)</f>
        <v>4.7012210523796831</v>
      </c>
      <c r="I40" s="55" cm="1">
        <f t="array" ref="I40">MMS_Dairy_LeachingAndRunoff_Equations.VEERG_4_3_1_6__2_MassOfNitrogenLostToLeachingAndRunoffFromSolidStorage(I28,$H$14,$H$15)</f>
        <v>14.837503651526029</v>
      </c>
      <c r="J40" s="55" cm="1">
        <f t="array" ref="J40">MMS_Dairy_LeachingAndRunoff_Equations.VEERG_4_3_1_6__2_MassOfNitrogenLostToLeachingAndRunoffFromSolidStorage(J28,$H$14,$H$15)</f>
        <v>6.2114140218443126</v>
      </c>
      <c r="K40" s="2" t="str">
        <f t="shared" si="0"/>
        <v>kg N</v>
      </c>
      <c r="O40" s="139" t="str">
        <f>'Input - Dairy'!$D$55</f>
        <v>Feed pad</v>
      </c>
      <c r="P40" s="139" t="str">
        <f>'Input - Dairy'!$D$106</f>
        <v>Sump and dispersal system</v>
      </c>
      <c r="Q40" s="55" cm="1">
        <f t="array" ref="Q40">MMS_Dairy_LeachingAndRunoff_Equations.VEERG_4_3_1_6__2_MassOfNitrogenLostToLeachingAndRunoffFromSolidStorage(Q28,$H$14,$H$15)</f>
        <v>13.738242799946956</v>
      </c>
      <c r="R40" s="55" cm="1">
        <f t="array" ref="R40">MMS_Dairy_LeachingAndRunoff_Equations.VEERG_4_3_1_6__2_MassOfNitrogenLostToLeachingAndRunoffFromSolidStorage(R28,$H$14,$H$15)</f>
        <v>11.803529700600764</v>
      </c>
      <c r="S40" s="55" cm="1">
        <f t="array" ref="S40">MMS_Dairy_LeachingAndRunoff_Equations.VEERG_4_3_1_6__2_MassOfNitrogenLostToLeachingAndRunoffFromSolidStorage(S28,$H$14,$H$15)</f>
        <v>4.7012210523796831</v>
      </c>
      <c r="T40" s="55" cm="1">
        <f t="array" ref="T40">MMS_Dairy_LeachingAndRunoff_Equations.VEERG_4_3_1_6__2_MassOfNitrogenLostToLeachingAndRunoffFromSolidStorage(T28,$H$14,$H$15)</f>
        <v>14.837503651526029</v>
      </c>
      <c r="U40" s="55" cm="1">
        <f t="array" ref="U40">MMS_Dairy_LeachingAndRunoff_Equations.VEERG_4_3_1_6__2_MassOfNitrogenLostToLeachingAndRunoffFromSolidStorage(U28,$H$14,$H$15)</f>
        <v>6.2114140218443126</v>
      </c>
      <c r="V40" s="2" t="str">
        <f t="shared" si="1"/>
        <v>kg N</v>
      </c>
    </row>
    <row r="41" spans="3:23" ht="20.100000000000001" customHeight="1" x14ac:dyDescent="0.25">
      <c r="D41" s="139" t="str">
        <f>'Input - Dairy'!$D$55</f>
        <v>Feed pad</v>
      </c>
      <c r="E41" s="139" t="str">
        <f>'Input - Dairy'!$D$111</f>
        <v>Drains to paddock</v>
      </c>
      <c r="F41" s="55" cm="1">
        <f t="array" ref="F41">MMS_Dairy_LeachingAndRunoff_Equations.VEERG_4_3_1_6__2_MassOfNitrogenLostToLeachingAndRunoffFromSolidStorage(F29,$H$14,$H$15)</f>
        <v>13.738242799946956</v>
      </c>
      <c r="G41" s="55" cm="1">
        <f t="array" ref="G41">MMS_Dairy_LeachingAndRunoff_Equations.VEERG_4_3_1_6__2_MassOfNitrogenLostToLeachingAndRunoffFromSolidStorage(G29,$H$14,$H$15)</f>
        <v>11.803529700600764</v>
      </c>
      <c r="H41" s="55" cm="1">
        <f t="array" ref="H41">MMS_Dairy_LeachingAndRunoff_Equations.VEERG_4_3_1_6__2_MassOfNitrogenLostToLeachingAndRunoffFromSolidStorage(H29,$H$14,$H$15)</f>
        <v>4.7012210523796831</v>
      </c>
      <c r="I41" s="55" cm="1">
        <f t="array" ref="I41">MMS_Dairy_LeachingAndRunoff_Equations.VEERG_4_3_1_6__2_MassOfNitrogenLostToLeachingAndRunoffFromSolidStorage(I29,$H$14,$H$15)</f>
        <v>14.837503651526029</v>
      </c>
      <c r="J41" s="55" cm="1">
        <f t="array" ref="J41">MMS_Dairy_LeachingAndRunoff_Equations.VEERG_4_3_1_6__2_MassOfNitrogenLostToLeachingAndRunoffFromSolidStorage(J29,$H$14,$H$15)</f>
        <v>6.2114140218443126</v>
      </c>
      <c r="K41" s="2" t="str">
        <f t="shared" si="0"/>
        <v>kg N</v>
      </c>
      <c r="O41" s="139" t="str">
        <f>'Input - Dairy'!$D$55</f>
        <v>Feed pad</v>
      </c>
      <c r="P41" s="139" t="str">
        <f>'Input - Dairy'!$D$111</f>
        <v>Drains to paddock</v>
      </c>
      <c r="Q41" s="55" cm="1">
        <f t="array" ref="Q41">MMS_Dairy_LeachingAndRunoff_Equations.VEERG_4_3_1_6__2_MassOfNitrogenLostToLeachingAndRunoffFromSolidStorage(Q29,$H$14,$H$15)</f>
        <v>13.738242799946956</v>
      </c>
      <c r="R41" s="55" cm="1">
        <f t="array" ref="R41">MMS_Dairy_LeachingAndRunoff_Equations.VEERG_4_3_1_6__2_MassOfNitrogenLostToLeachingAndRunoffFromSolidStorage(R29,$H$14,$H$15)</f>
        <v>11.803529700600764</v>
      </c>
      <c r="S41" s="55" cm="1">
        <f t="array" ref="S41">MMS_Dairy_LeachingAndRunoff_Equations.VEERG_4_3_1_6__2_MassOfNitrogenLostToLeachingAndRunoffFromSolidStorage(S29,$H$14,$H$15)</f>
        <v>4.7012210523796831</v>
      </c>
      <c r="T41" s="55" cm="1">
        <f t="array" ref="T41">MMS_Dairy_LeachingAndRunoff_Equations.VEERG_4_3_1_6__2_MassOfNitrogenLostToLeachingAndRunoffFromSolidStorage(T29,$H$14,$H$15)</f>
        <v>14.837503651526029</v>
      </c>
      <c r="U41" s="55" cm="1">
        <f t="array" ref="U41">MMS_Dairy_LeachingAndRunoff_Equations.VEERG_4_3_1_6__2_MassOfNitrogenLostToLeachingAndRunoffFromSolidStorage(U29,$H$14,$H$15)</f>
        <v>6.2114140218443126</v>
      </c>
      <c r="V41" s="2" t="str">
        <f t="shared" si="1"/>
        <v>kg N</v>
      </c>
    </row>
    <row r="42" spans="3:23" ht="20.100000000000001" customHeight="1" x14ac:dyDescent="0.25">
      <c r="D42" s="139" t="str">
        <f>'Input - Dairy'!$D$55</f>
        <v>Feed pad</v>
      </c>
      <c r="E42" s="139" t="str">
        <f>'Input - Dairy'!$D$116</f>
        <v>Solid storage</v>
      </c>
      <c r="F42" s="55" cm="1">
        <f t="array" ref="F42">MMS_Dairy_LeachingAndRunoff_Equations.VEERG_4_3_1_6__2_MassOfNitrogenLostToLeachingAndRunoffFromSolidStorage(F30,$H$14,$H$15)</f>
        <v>24.041924899907173</v>
      </c>
      <c r="G42" s="55" cm="1">
        <f t="array" ref="G42">MMS_Dairy_LeachingAndRunoff_Equations.VEERG_4_3_1_6__2_MassOfNitrogenLostToLeachingAndRunoffFromSolidStorage(G30,$H$14,$H$15)</f>
        <v>20.656176976051334</v>
      </c>
      <c r="H42" s="55" cm="1">
        <f t="array" ref="H42">MMS_Dairy_LeachingAndRunoff_Equations.VEERG_4_3_1_6__2_MassOfNitrogenLostToLeachingAndRunoffFromSolidStorage(H30,$H$14,$H$15)</f>
        <v>8.2271368416644446</v>
      </c>
      <c r="I42" s="55" cm="1">
        <f t="array" ref="I42">MMS_Dairy_LeachingAndRunoff_Equations.VEERG_4_3_1_6__2_MassOfNitrogenLostToLeachingAndRunoffFromSolidStorage(I30,$H$14,$H$15)</f>
        <v>25.965631390170547</v>
      </c>
      <c r="J42" s="55" cm="1">
        <f t="array" ref="J42">MMS_Dairy_LeachingAndRunoff_Equations.VEERG_4_3_1_6__2_MassOfNitrogenLostToLeachingAndRunoffFromSolidStorage(J30,$H$14,$H$15)</f>
        <v>10.869974538227549</v>
      </c>
      <c r="K42" s="2" t="str">
        <f t="shared" si="0"/>
        <v>kg N</v>
      </c>
      <c r="O42" s="139" t="str">
        <f>'Input - Dairy'!$D$55</f>
        <v>Feed pad</v>
      </c>
      <c r="P42" s="139" t="str">
        <f>'Input - Dairy'!$D$116</f>
        <v>Solid storage</v>
      </c>
      <c r="Q42" s="55" cm="1">
        <f t="array" ref="Q42">MMS_Dairy_LeachingAndRunoff_Equations.VEERG_4_3_1_6__2_MassOfNitrogenLostToLeachingAndRunoffFromSolidStorage(Q30,$H$14,$H$15)</f>
        <v>24.041924899907173</v>
      </c>
      <c r="R42" s="55" cm="1">
        <f t="array" ref="R42">MMS_Dairy_LeachingAndRunoff_Equations.VEERG_4_3_1_6__2_MassOfNitrogenLostToLeachingAndRunoffFromSolidStorage(R30,$H$14,$H$15)</f>
        <v>20.656176976051334</v>
      </c>
      <c r="S42" s="55" cm="1">
        <f t="array" ref="S42">MMS_Dairy_LeachingAndRunoff_Equations.VEERG_4_3_1_6__2_MassOfNitrogenLostToLeachingAndRunoffFromSolidStorage(S30,$H$14,$H$15)</f>
        <v>8.2271368416644446</v>
      </c>
      <c r="T42" s="55" cm="1">
        <f t="array" ref="T42">MMS_Dairy_LeachingAndRunoff_Equations.VEERG_4_3_1_6__2_MassOfNitrogenLostToLeachingAndRunoffFromSolidStorage(T30,$H$14,$H$15)</f>
        <v>25.965631390170547</v>
      </c>
      <c r="U42" s="55" cm="1">
        <f t="array" ref="U42">MMS_Dairy_LeachingAndRunoff_Equations.VEERG_4_3_1_6__2_MassOfNitrogenLostToLeachingAndRunoffFromSolidStorage(U30,$H$14,$H$15)</f>
        <v>10.869974538227549</v>
      </c>
      <c r="V42" s="2" t="str">
        <f t="shared" si="1"/>
        <v>kg N</v>
      </c>
    </row>
    <row r="43" spans="3:23" ht="20.100000000000001" customHeight="1" x14ac:dyDescent="0.25"/>
    <row r="44" spans="3:23" ht="20.100000000000001" customHeight="1" x14ac:dyDescent="0.25"/>
    <row r="45" spans="3:23" ht="20.100000000000001" customHeight="1" x14ac:dyDescent="0.25">
      <c r="C45" s="48"/>
      <c r="D45" s="48"/>
      <c r="E45" s="48"/>
      <c r="F45" s="48"/>
      <c r="G45" s="48"/>
      <c r="H45" s="48"/>
      <c r="I45" s="48"/>
      <c r="J45" s="48"/>
      <c r="K45" s="48"/>
      <c r="L45" s="48"/>
      <c r="N45" s="48"/>
      <c r="O45" s="48"/>
      <c r="P45" s="48"/>
      <c r="Q45" s="48"/>
      <c r="R45" s="48"/>
      <c r="S45" s="48"/>
      <c r="T45" s="48"/>
      <c r="U45" s="48"/>
      <c r="V45" s="48"/>
      <c r="W45" s="48"/>
    </row>
    <row r="46" spans="3:23" ht="20.100000000000001" customHeight="1" x14ac:dyDescent="0.25">
      <c r="D46" s="6" t="str" cm="1">
        <f t="array" ref="D46">MMS_Dairy_ManureAppliedToSoils_Equations.VEERG_4_3_1_8__1_MassOfNitrogenAppliedToSoilsScope1_Title()</f>
        <v>Mass of nitrogen from manure applied to soils for scope 1 emissions</v>
      </c>
    </row>
    <row r="47" spans="3:23" ht="20.100000000000001" customHeight="1" x14ac:dyDescent="0.25">
      <c r="D47" s="5" t="str" cm="1">
        <f t="array" ref="D47">MMS_Dairy_ManureAppliedToSoils_Equations.VEERG_4_3_1_8__1_MassOfNitrogenAppliedToSoilsScope1_Source()</f>
        <v>VEERG 2026: 4.3.1.8, Equation (1)</v>
      </c>
    </row>
    <row r="48" spans="3:23" ht="20.100000000000001" customHeight="1" x14ac:dyDescent="0.25">
      <c r="D48" s="13" t="s">
        <v>28</v>
      </c>
      <c r="E48" s="13" t="str" cm="1">
        <f t="array" aca="1" ref="E48" ca="1">Common_InputFunctions.Utility_DisplayFunctionName($F$93)</f>
        <v>=MMS_Dairy_ManureAppliedToSoils_Equations.VEERG_4_3_1_8__1_MassOfNitrogenAppliedToSoilsScope1</v>
      </c>
    </row>
    <row r="49" spans="4:8" ht="20.100000000000001" customHeight="1" x14ac:dyDescent="0.25">
      <c r="G49" s="114" t="s">
        <v>376</v>
      </c>
    </row>
    <row r="50" spans="4:8" ht="20.100000000000001" customHeight="1" x14ac:dyDescent="0.25"/>
    <row r="51" spans="4:8" ht="20.100000000000001" customHeight="1" x14ac:dyDescent="0.25">
      <c r="D51" s="56" t="s">
        <v>31</v>
      </c>
      <c r="E51" s="1" t="str" cm="1">
        <f t="array" ref="E51">MMS_Dairy_ManureAppliedToSoils_Equations.VEERG_4_3_1_8__1_MassOfNitrogenAppliedToSoilsScope1_Variable()</f>
        <v>MNSoil_scope1</v>
      </c>
    </row>
    <row r="52" spans="4:8" ht="20.100000000000001" customHeight="1" x14ac:dyDescent="0.25">
      <c r="D52" s="56" t="s">
        <v>21</v>
      </c>
      <c r="E52" s="57" t="str" cm="1">
        <f t="array" ref="E52">MMS_Dairy_ManureAppliedToSoils_Equations.VEERG_4_3_1_8__1_MassOfNitrogenAppliedToSoilsScope1_Unit()</f>
        <v>kg N</v>
      </c>
    </row>
    <row r="53" spans="4:8" ht="20.100000000000001" customHeight="1" x14ac:dyDescent="0.25"/>
    <row r="54" spans="4:8" ht="20.100000000000001" customHeight="1" x14ac:dyDescent="0.25">
      <c r="D54" s="115" t="str" cm="1">
        <f t="array" ref="D54:E58">MMS_Dairy_ManureAppliedToSoils_Equations.VEERG_4_3_1_8__1_MassOfNitrogenAppliedToSoilsScope1_Arguments()</f>
        <v>MN_jm</v>
      </c>
      <c r="E54" s="117" t="str">
        <v>total nitrogen in each MMS for dairy cattle classes (kg N)</v>
      </c>
      <c r="F54" s="116"/>
      <c r="G54" s="115" t="str">
        <f>"See " &amp; $D$20</f>
        <v>See M1_Table_MN_j_m</v>
      </c>
    </row>
    <row r="55" spans="4:8" ht="20.100000000000001" customHeight="1" x14ac:dyDescent="0.25">
      <c r="D55" s="115" t="str">
        <v>EF_m</v>
      </c>
      <c r="E55" s="117" t="str">
        <v>emission factor for nitrous oxide emissions per MMS (kg N2O-N/kg N)</v>
      </c>
      <c r="F55" s="116"/>
      <c r="G55" s="115" t="str">
        <f>"See " &amp; D60</f>
        <v>See Table_EF_m</v>
      </c>
    </row>
    <row r="56" spans="4:8" ht="20.100000000000001" customHeight="1" x14ac:dyDescent="0.25">
      <c r="D56" s="115" t="str">
        <v>FracGASM_m</v>
      </c>
      <c r="E56" s="117" t="str">
        <v>fraction of N volatilised from MMS</v>
      </c>
      <c r="F56" s="116"/>
      <c r="G56" s="115" t="str">
        <f>"See " &amp; D69</f>
        <v>See Table_FracGASM_m</v>
      </c>
    </row>
    <row r="57" spans="4:8" ht="20.100000000000001" customHeight="1" x14ac:dyDescent="0.25">
      <c r="D57" s="115" t="str">
        <v>MNLeach_jm</v>
      </c>
      <c r="E57" s="117" t="str">
        <v>mass of N lost through leaching and runoff from each MMS (kg N)</v>
      </c>
      <c r="F57" s="116"/>
      <c r="G57" s="115" t="str">
        <f>"See " &amp; D32</f>
        <v>See M1_Table_MN_leach_j_m-1-13</v>
      </c>
      <c r="H57" s="114" t="s">
        <v>371</v>
      </c>
    </row>
    <row r="58" spans="4:8" ht="20.100000000000001" customHeight="1" x14ac:dyDescent="0.25">
      <c r="D58" s="115" t="str">
        <v>PF_scope</v>
      </c>
      <c r="E58" s="117" t="str">
        <v>fraction of manure applied to soil within farm boundary</v>
      </c>
      <c r="F58" s="116"/>
      <c r="G58" s="115" t="str">
        <f>"See " &amp; D78</f>
        <v>See Table_PF_scope</v>
      </c>
      <c r="H58" s="114" t="s">
        <v>381</v>
      </c>
    </row>
    <row r="59" spans="4:8" ht="20.100000000000001" customHeight="1" x14ac:dyDescent="0.25"/>
    <row r="60" spans="4:8" ht="20.100000000000001" customHeight="1" x14ac:dyDescent="0.25">
      <c r="D60" s="104" t="s">
        <v>342</v>
      </c>
    </row>
    <row r="61" spans="4:8" ht="20.100000000000001" customHeight="1" x14ac:dyDescent="0.25">
      <c r="D61" s="103" t="s">
        <v>343</v>
      </c>
    </row>
    <row r="62" spans="4:8" ht="20.100000000000001" customHeight="1" x14ac:dyDescent="0.25">
      <c r="D62" s="54" t="s">
        <v>69</v>
      </c>
      <c r="E62" s="54" t="s">
        <v>344</v>
      </c>
    </row>
    <row r="63" spans="4:8" ht="20.100000000000001" customHeight="1" x14ac:dyDescent="0.25">
      <c r="D63" s="139" t="str" cm="1">
        <f t="array" ref="D63:D67">Table_SourceData_Dairy_EFmFracGASM[NIR reference]</f>
        <v>Pasture range and paddock</v>
      </c>
      <c r="E63" s="139" cm="1">
        <f t="array" ref="E63:E67">Table_SourceData_Dairy_EFmFracGASM[EFm]</f>
        <v>0</v>
      </c>
    </row>
    <row r="64" spans="4:8" ht="20.100000000000001" customHeight="1" x14ac:dyDescent="0.25">
      <c r="D64" s="139" t="str">
        <v>Anaerobic lagoon</v>
      </c>
      <c r="E64" s="139">
        <v>0</v>
      </c>
    </row>
    <row r="65" spans="4:10" ht="20.100000000000001" customHeight="1" x14ac:dyDescent="0.25">
      <c r="D65" s="139" t="str">
        <v>Sump and dispersal system</v>
      </c>
      <c r="E65" s="139">
        <v>0</v>
      </c>
    </row>
    <row r="66" spans="4:10" ht="20.100000000000001" customHeight="1" x14ac:dyDescent="0.25">
      <c r="D66" s="139" t="str">
        <v>Drains to paddock</v>
      </c>
      <c r="E66" s="139">
        <v>0</v>
      </c>
    </row>
    <row r="67" spans="4:10" ht="20.100000000000001" customHeight="1" x14ac:dyDescent="0.25">
      <c r="D67" s="139" t="str">
        <v>Solid storage</v>
      </c>
      <c r="E67" s="139">
        <v>5.0000000000000001E-3</v>
      </c>
    </row>
    <row r="68" spans="4:10" ht="20.100000000000001" customHeight="1" x14ac:dyDescent="0.25"/>
    <row r="69" spans="4:10" ht="20.100000000000001" customHeight="1" x14ac:dyDescent="0.25">
      <c r="D69" s="104" t="s">
        <v>348</v>
      </c>
    </row>
    <row r="70" spans="4:10" ht="20.100000000000001" customHeight="1" x14ac:dyDescent="0.25">
      <c r="D70" s="103" t="s">
        <v>350</v>
      </c>
    </row>
    <row r="71" spans="4:10" ht="20.100000000000001" customHeight="1" x14ac:dyDescent="0.25">
      <c r="D71" s="54" t="s">
        <v>69</v>
      </c>
      <c r="E71" s="54" t="s">
        <v>349</v>
      </c>
    </row>
    <row r="72" spans="4:10" ht="20.100000000000001" customHeight="1" x14ac:dyDescent="0.25">
      <c r="D72" s="139" t="str" cm="1">
        <f t="array" ref="D72:D76">Table_SourceData_Dairy_EFmFracGASM[NIR reference]</f>
        <v>Pasture range and paddock</v>
      </c>
      <c r="E72" s="139" cm="1">
        <f t="array" ref="E72:E76">Table_SourceData_Dairy_EFmFracGASM[FracGASMm]</f>
        <v>0</v>
      </c>
      <c r="F72" s="2" t="str">
        <f>'Constants - Dairy'!$D$84</f>
        <v>kg N2O-N/kg N excreted</v>
      </c>
    </row>
    <row r="73" spans="4:10" ht="20.100000000000001" customHeight="1" x14ac:dyDescent="0.25">
      <c r="D73" s="139" t="str">
        <v>Anaerobic lagoon</v>
      </c>
      <c r="E73" s="139">
        <v>0.35</v>
      </c>
      <c r="F73" s="2" t="str">
        <f>'Constants - Dairy'!$D$84</f>
        <v>kg N2O-N/kg N excreted</v>
      </c>
    </row>
    <row r="74" spans="4:10" ht="20.100000000000001" customHeight="1" x14ac:dyDescent="0.25">
      <c r="D74" s="139" t="str">
        <v>Sump and dispersal system</v>
      </c>
      <c r="E74" s="139">
        <v>7.0000000000000007E-2</v>
      </c>
      <c r="F74" s="2" t="str">
        <f>'Constants - Dairy'!$D$84</f>
        <v>kg N2O-N/kg N excreted</v>
      </c>
    </row>
    <row r="75" spans="4:10" ht="20.100000000000001" customHeight="1" x14ac:dyDescent="0.25">
      <c r="D75" s="139" t="str">
        <v>Drains to paddock</v>
      </c>
      <c r="E75" s="139">
        <v>0.2</v>
      </c>
      <c r="F75" s="2" t="str">
        <f>'Constants - Dairy'!$D$84</f>
        <v>kg N2O-N/kg N excreted</v>
      </c>
    </row>
    <row r="76" spans="4:10" ht="20.100000000000001" customHeight="1" x14ac:dyDescent="0.25">
      <c r="D76" s="139" t="str">
        <v>Solid storage</v>
      </c>
      <c r="E76" s="139">
        <v>0.3</v>
      </c>
      <c r="F76" s="2" t="str">
        <f>'Constants - Dairy'!$D$84</f>
        <v>kg N2O-N/kg N excreted</v>
      </c>
    </row>
    <row r="77" spans="4:10" ht="20.100000000000001" customHeight="1" x14ac:dyDescent="0.25"/>
    <row r="78" spans="4:10" ht="20.100000000000001" customHeight="1" x14ac:dyDescent="0.25">
      <c r="D78" s="104" t="s">
        <v>377</v>
      </c>
    </row>
    <row r="79" spans="4:10" ht="20.100000000000001" customHeight="1" x14ac:dyDescent="0.25">
      <c r="D79" s="103" t="s">
        <v>378</v>
      </c>
    </row>
    <row r="80" spans="4:10" ht="20.100000000000001" customHeight="1" x14ac:dyDescent="0.25">
      <c r="D80" s="54" t="s">
        <v>159</v>
      </c>
      <c r="E80" s="54" t="s">
        <v>69</v>
      </c>
      <c r="F80" s="54" t="s">
        <v>189</v>
      </c>
      <c r="G80" s="54" t="s">
        <v>206</v>
      </c>
      <c r="H80" s="54" t="s">
        <v>207</v>
      </c>
      <c r="I80" s="54" t="s">
        <v>208</v>
      </c>
      <c r="J80" s="54" t="s">
        <v>209</v>
      </c>
    </row>
    <row r="81" spans="4:22" ht="20.100000000000001" customHeight="1" x14ac:dyDescent="0.25">
      <c r="D81" s="139" t="str">
        <f>'Input - Dairy'!$D$54</f>
        <v>Milking shed</v>
      </c>
      <c r="E81" s="139" t="str">
        <f>'Input - Dairy'!$D$67</f>
        <v>Anaerobic lagoon</v>
      </c>
      <c r="F81" s="137">
        <f>'Input - Dairy'!E139</f>
        <v>0.5</v>
      </c>
      <c r="G81" s="137">
        <f>'Input - Dairy'!F139</f>
        <v>0.5</v>
      </c>
      <c r="H81" s="137">
        <f>'Input - Dairy'!G139</f>
        <v>0.5</v>
      </c>
      <c r="I81" s="137">
        <f>'Input - Dairy'!H139</f>
        <v>0.5</v>
      </c>
      <c r="J81" s="137">
        <f>'Input - Dairy'!I139</f>
        <v>0.5</v>
      </c>
      <c r="K81" s="2" t="str">
        <f>$E$11</f>
        <v>kg N</v>
      </c>
    </row>
    <row r="82" spans="4:22" ht="20.100000000000001" customHeight="1" x14ac:dyDescent="0.25">
      <c r="D82" s="139" t="str">
        <f>'Input - Dairy'!$D$54</f>
        <v>Milking shed</v>
      </c>
      <c r="E82" s="139" t="str">
        <f>'Input - Dairy'!$D$72</f>
        <v>Sump and dispersal system</v>
      </c>
      <c r="F82" s="137">
        <f>'Input - Dairy'!E144</f>
        <v>0.5</v>
      </c>
      <c r="G82" s="137">
        <f>'Input - Dairy'!F144</f>
        <v>0.5</v>
      </c>
      <c r="H82" s="137">
        <f>'Input - Dairy'!G144</f>
        <v>0.5</v>
      </c>
      <c r="I82" s="137">
        <f>'Input - Dairy'!H144</f>
        <v>0.5</v>
      </c>
      <c r="J82" s="137">
        <f>'Input - Dairy'!I144</f>
        <v>0.5</v>
      </c>
      <c r="K82" s="2" t="str">
        <f t="shared" ref="K82:K88" si="2">$E$11</f>
        <v>kg N</v>
      </c>
    </row>
    <row r="83" spans="4:22" ht="20.100000000000001" customHeight="1" x14ac:dyDescent="0.25">
      <c r="D83" s="139" t="str">
        <f>'Input - Dairy'!$D$54</f>
        <v>Milking shed</v>
      </c>
      <c r="E83" s="139" t="str">
        <f>'Input - Dairy'!$D$77</f>
        <v>Drains to paddock</v>
      </c>
      <c r="F83" s="137">
        <f>'Input - Dairy'!E149</f>
        <v>0.5</v>
      </c>
      <c r="G83" s="137">
        <f>'Input - Dairy'!F149</f>
        <v>0.5</v>
      </c>
      <c r="H83" s="137">
        <f>'Input - Dairy'!G149</f>
        <v>0.5</v>
      </c>
      <c r="I83" s="137">
        <f>'Input - Dairy'!H149</f>
        <v>0.5</v>
      </c>
      <c r="J83" s="137">
        <f>'Input - Dairy'!I149</f>
        <v>0.5</v>
      </c>
      <c r="K83" s="2" t="str">
        <f t="shared" si="2"/>
        <v>kg N</v>
      </c>
    </row>
    <row r="84" spans="4:22" ht="20.100000000000001" customHeight="1" x14ac:dyDescent="0.25">
      <c r="D84" s="139" t="str">
        <f>'Input - Dairy'!$D$54</f>
        <v>Milking shed</v>
      </c>
      <c r="E84" s="139" t="str">
        <f>'Input - Dairy'!$D$82</f>
        <v>Solid storage</v>
      </c>
      <c r="F84" s="137">
        <f>'Input - Dairy'!E154</f>
        <v>0.5</v>
      </c>
      <c r="G84" s="137">
        <f>'Input - Dairy'!F154</f>
        <v>0.5</v>
      </c>
      <c r="H84" s="137">
        <f>'Input - Dairy'!G154</f>
        <v>0.5</v>
      </c>
      <c r="I84" s="137">
        <f>'Input - Dairy'!H154</f>
        <v>0.5</v>
      </c>
      <c r="J84" s="137">
        <f>'Input - Dairy'!I154</f>
        <v>0.5</v>
      </c>
      <c r="K84" s="2" t="str">
        <f t="shared" si="2"/>
        <v>kg N</v>
      </c>
    </row>
    <row r="85" spans="4:22" ht="20.100000000000001" customHeight="1" x14ac:dyDescent="0.25">
      <c r="D85" s="139" t="str">
        <f>'Input - Dairy'!$D$55</f>
        <v>Feed pad</v>
      </c>
      <c r="E85" s="139" t="str">
        <f>'Input - Dairy'!$D$101</f>
        <v>Anaerobic lagoon</v>
      </c>
      <c r="F85" s="137">
        <f>'Input - Dairy'!E163</f>
        <v>0.5</v>
      </c>
      <c r="G85" s="137">
        <f>'Input - Dairy'!F163</f>
        <v>0.5</v>
      </c>
      <c r="H85" s="137">
        <f>'Input - Dairy'!G163</f>
        <v>0.5</v>
      </c>
      <c r="I85" s="137">
        <f>'Input - Dairy'!H163</f>
        <v>0.5</v>
      </c>
      <c r="J85" s="137">
        <f>'Input - Dairy'!I163</f>
        <v>0.5</v>
      </c>
      <c r="K85" s="2" t="str">
        <f t="shared" si="2"/>
        <v>kg N</v>
      </c>
    </row>
    <row r="86" spans="4:22" ht="20.100000000000001" customHeight="1" x14ac:dyDescent="0.25">
      <c r="D86" s="139" t="str">
        <f>'Input - Dairy'!$D$55</f>
        <v>Feed pad</v>
      </c>
      <c r="E86" s="139" t="str">
        <f>'Input - Dairy'!$D$106</f>
        <v>Sump and dispersal system</v>
      </c>
      <c r="F86" s="137">
        <f>'Input - Dairy'!E168</f>
        <v>0.5</v>
      </c>
      <c r="G86" s="137">
        <f>'Input - Dairy'!F168</f>
        <v>0.5</v>
      </c>
      <c r="H86" s="137">
        <f>'Input - Dairy'!G168</f>
        <v>0.5</v>
      </c>
      <c r="I86" s="137">
        <f>'Input - Dairy'!H168</f>
        <v>0.5</v>
      </c>
      <c r="J86" s="137">
        <f>'Input - Dairy'!I168</f>
        <v>0.5</v>
      </c>
      <c r="K86" s="2" t="str">
        <f t="shared" si="2"/>
        <v>kg N</v>
      </c>
    </row>
    <row r="87" spans="4:22" ht="20.100000000000001" customHeight="1" x14ac:dyDescent="0.25">
      <c r="D87" s="139" t="str">
        <f>'Input - Dairy'!$D$55</f>
        <v>Feed pad</v>
      </c>
      <c r="E87" s="139" t="str">
        <f>'Input - Dairy'!$D$111</f>
        <v>Drains to paddock</v>
      </c>
      <c r="F87" s="137">
        <f>'Input - Dairy'!E173</f>
        <v>0.5</v>
      </c>
      <c r="G87" s="137">
        <f>'Input - Dairy'!F173</f>
        <v>0.5</v>
      </c>
      <c r="H87" s="137">
        <f>'Input - Dairy'!G173</f>
        <v>0.5</v>
      </c>
      <c r="I87" s="137">
        <f>'Input - Dairy'!H173</f>
        <v>0.5</v>
      </c>
      <c r="J87" s="137">
        <f>'Input - Dairy'!I173</f>
        <v>0.5</v>
      </c>
      <c r="K87" s="2" t="str">
        <f t="shared" si="2"/>
        <v>kg N</v>
      </c>
    </row>
    <row r="88" spans="4:22" ht="20.100000000000001" customHeight="1" x14ac:dyDescent="0.25">
      <c r="D88" s="139" t="str">
        <f>'Input - Dairy'!$D$55</f>
        <v>Feed pad</v>
      </c>
      <c r="E88" s="139" t="str">
        <f>'Input - Dairy'!$D$116</f>
        <v>Solid storage</v>
      </c>
      <c r="F88" s="137">
        <f>'Input - Dairy'!E178</f>
        <v>0.5</v>
      </c>
      <c r="G88" s="137">
        <f>'Input - Dairy'!F178</f>
        <v>0.5</v>
      </c>
      <c r="H88" s="137">
        <f>'Input - Dairy'!G178</f>
        <v>0.5</v>
      </c>
      <c r="I88" s="137">
        <f>'Input - Dairy'!H178</f>
        <v>0.5</v>
      </c>
      <c r="J88" s="137">
        <f>'Input - Dairy'!I178</f>
        <v>0.5</v>
      </c>
      <c r="K88" s="2" t="str">
        <f t="shared" si="2"/>
        <v>kg N</v>
      </c>
    </row>
    <row r="89" spans="4:22" ht="20.100000000000001" customHeight="1" x14ac:dyDescent="0.25"/>
    <row r="90" spans="4:22" ht="20.100000000000001" customHeight="1" x14ac:dyDescent="0.25">
      <c r="D90" s="104" t="s">
        <v>380</v>
      </c>
      <c r="O90" s="104" t="s">
        <v>385</v>
      </c>
    </row>
    <row r="91" spans="4:22" ht="20.100000000000001" customHeight="1" x14ac:dyDescent="0.25">
      <c r="D91" s="103" t="s">
        <v>384</v>
      </c>
      <c r="O91" s="103" t="s">
        <v>386</v>
      </c>
    </row>
    <row r="92" spans="4:22" ht="20.100000000000001" customHeight="1" x14ac:dyDescent="0.25">
      <c r="D92" s="54" t="s">
        <v>159</v>
      </c>
      <c r="E92" s="54" t="s">
        <v>69</v>
      </c>
      <c r="F92" s="54" t="s">
        <v>189</v>
      </c>
      <c r="G92" s="54" t="s">
        <v>206</v>
      </c>
      <c r="H92" s="54" t="s">
        <v>207</v>
      </c>
      <c r="I92" s="54" t="s">
        <v>208</v>
      </c>
      <c r="J92" s="54" t="s">
        <v>209</v>
      </c>
      <c r="O92" s="54" t="s">
        <v>159</v>
      </c>
      <c r="P92" s="54" t="s">
        <v>69</v>
      </c>
      <c r="Q92" s="54" t="s">
        <v>189</v>
      </c>
      <c r="R92" s="54" t="s">
        <v>206</v>
      </c>
      <c r="S92" s="54" t="s">
        <v>207</v>
      </c>
      <c r="T92" s="54" t="s">
        <v>208</v>
      </c>
      <c r="U92" s="54" t="s">
        <v>209</v>
      </c>
    </row>
    <row r="93" spans="4:22" ht="20.100000000000001" customHeight="1" x14ac:dyDescent="0.25">
      <c r="D93" s="139" t="str">
        <f>'Input - Dairy'!$D$54</f>
        <v>Milking shed</v>
      </c>
      <c r="E93" s="139" t="str">
        <f>'Input - Dairy'!$D$67</f>
        <v>Anaerobic lagoon</v>
      </c>
      <c r="F93" s="55" cm="1">
        <f t="array" ref="F93">MMS_Dairy_ManureAppliedToSoils_Equations.VEERG_4_3_1_8__1_MassOfNitrogenAppliedToSoilsScope1(F23,$E64,$E73,F35,F81)</f>
        <v>66.858161940753106</v>
      </c>
      <c r="G93" s="55" cm="1">
        <f t="array" ref="G93">MMS_Dairy_ManureAppliedToSoils_Equations.VEERG_4_3_1_8__1_MassOfNitrogenAppliedToSoilsScope1(G23,$E64,$E73,G35,G81)</f>
        <v>57.442739343513551</v>
      </c>
      <c r="H93" s="55" cm="1">
        <f t="array" ref="H93">MMS_Dairy_ManureAppliedToSoils_Equations.VEERG_4_3_1_8__1_MassOfNitrogenAppliedToSoilsScope1(H23,$E64,$E73,H35,H81)</f>
        <v>22.878835599010678</v>
      </c>
      <c r="I93" s="55" cm="1">
        <f t="array" ref="I93">MMS_Dairy_ManureAppliedToSoils_Equations.VEERG_4_3_1_8__1_MassOfNitrogenAppliedToSoilsScope1(I23,$E64,$E73,I35,I81)</f>
        <v>72.207795158058559</v>
      </c>
      <c r="J93" s="55" cm="1">
        <f t="array" ref="J93">MMS_Dairy_ManureAppliedToSoils_Equations.VEERG_4_3_1_8__1_MassOfNitrogenAppliedToSoilsScope1(J23,$E64,$E73,J35,J81)</f>
        <v>30.228299979902456</v>
      </c>
      <c r="K93" s="2" t="str">
        <f>$E$52</f>
        <v>kg N</v>
      </c>
      <c r="O93" s="139" t="str">
        <f>'Input - Dairy'!$D$54</f>
        <v>Milking shed</v>
      </c>
      <c r="P93" s="139" t="str">
        <f>'Input - Dairy'!$D$67</f>
        <v>Anaerobic lagoon</v>
      </c>
      <c r="Q93" s="55" cm="1">
        <f t="array" ref="Q93">MMS_Dairy_ManureAppliedToSoils_Equations.VEERG_4_3_1_8__1_MassOfNitrogenAppliedToSoilsScope1(Q23,$E64,$E73,Q35,F81)</f>
        <v>66.858161940753106</v>
      </c>
      <c r="R93" s="55" cm="1">
        <f t="array" ref="R93">MMS_Dairy_ManureAppliedToSoils_Equations.VEERG_4_3_1_8__1_MassOfNitrogenAppliedToSoilsScope1(R23,$E64,$E73,R35,G81)</f>
        <v>57.442739343513551</v>
      </c>
      <c r="S93" s="55" cm="1">
        <f t="array" ref="S93">MMS_Dairy_ManureAppliedToSoils_Equations.VEERG_4_3_1_8__1_MassOfNitrogenAppliedToSoilsScope1(S23,$E64,$E73,S35,H81)</f>
        <v>22.878835599010678</v>
      </c>
      <c r="T93" s="55" cm="1">
        <f t="array" ref="T93">MMS_Dairy_ManureAppliedToSoils_Equations.VEERG_4_3_1_8__1_MassOfNitrogenAppliedToSoilsScope1(T23,$E64,$E73,T35,I81)</f>
        <v>72.207795158058559</v>
      </c>
      <c r="U93" s="55" cm="1">
        <f t="array" ref="U93">MMS_Dairy_ManureAppliedToSoils_Equations.VEERG_4_3_1_8__1_MassOfNitrogenAppliedToSoilsScope1(U23,$E64,$E73,U35,J81)</f>
        <v>30.228299979902456</v>
      </c>
      <c r="V93" s="2" t="str">
        <f>$E$52</f>
        <v>kg N</v>
      </c>
    </row>
    <row r="94" spans="4:22" ht="20.100000000000001" customHeight="1" x14ac:dyDescent="0.25">
      <c r="D94" s="139" t="str">
        <f>'Input - Dairy'!$D$54</f>
        <v>Milking shed</v>
      </c>
      <c r="E94" s="139" t="str">
        <f>'Input - Dairy'!$D$72</f>
        <v>Sump and dispersal system</v>
      </c>
      <c r="F94" s="55" cm="1">
        <f t="array" ref="F94">MMS_Dairy_ManureAppliedToSoils_Equations.VEERG_4_3_1_8__1_MassOfNitrogenAppliedToSoilsScope1(F24,$E65,$E74,F36,F82)</f>
        <v>96.572900581087808</v>
      </c>
      <c r="G94" s="55" cm="1">
        <f t="array" ref="G94">MMS_Dairy_ManureAppliedToSoils_Equations.VEERG_4_3_1_8__1_MassOfNitrogenAppliedToSoilsScope1(G24,$E65,$E74,G36,G82)</f>
        <v>82.97284571840845</v>
      </c>
      <c r="H94" s="55" cm="1">
        <f t="array" ref="H94">MMS_Dairy_ManureAppliedToSoils_Equations.VEERG_4_3_1_8__1_MassOfNitrogenAppliedToSoilsScope1(H24,$E65,$E74,H36,H82)</f>
        <v>33.047206976348761</v>
      </c>
      <c r="I94" s="55" cm="1">
        <f t="array" ref="I94">MMS_Dairy_ManureAppliedToSoils_Equations.VEERG_4_3_1_8__1_MassOfNitrogenAppliedToSoilsScope1(I24,$E65,$E74,I36,I82)</f>
        <v>104.30014856164013</v>
      </c>
      <c r="J94" s="55" cm="1">
        <f t="array" ref="J94">MMS_Dairy_ManureAppliedToSoils_Equations.VEERG_4_3_1_8__1_MassOfNitrogenAppliedToSoilsScope1(J24,$E65,$E74,J36,J82)</f>
        <v>43.663099970970208</v>
      </c>
      <c r="K94" s="2" t="str">
        <f t="shared" ref="K94:K100" si="3">$E$52</f>
        <v>kg N</v>
      </c>
      <c r="O94" s="139" t="str">
        <f>'Input - Dairy'!$D$54</f>
        <v>Milking shed</v>
      </c>
      <c r="P94" s="139" t="str">
        <f>'Input - Dairy'!$D$72</f>
        <v>Sump and dispersal system</v>
      </c>
      <c r="Q94" s="55" cm="1">
        <f t="array" ref="Q94">MMS_Dairy_ManureAppliedToSoils_Equations.VEERG_4_3_1_8__1_MassOfNitrogenAppliedToSoilsScope1(Q24,$E65,$E74,Q36,F82)</f>
        <v>96.572900581087808</v>
      </c>
      <c r="R94" s="55" cm="1">
        <f t="array" ref="R94">MMS_Dairy_ManureAppliedToSoils_Equations.VEERG_4_3_1_8__1_MassOfNitrogenAppliedToSoilsScope1(R24,$E65,$E74,R36,G82)</f>
        <v>82.97284571840845</v>
      </c>
      <c r="S94" s="55" cm="1">
        <f t="array" ref="S94">MMS_Dairy_ManureAppliedToSoils_Equations.VEERG_4_3_1_8__1_MassOfNitrogenAppliedToSoilsScope1(S24,$E65,$E74,S36,H82)</f>
        <v>33.047206976348761</v>
      </c>
      <c r="T94" s="55" cm="1">
        <f t="array" ref="T94">MMS_Dairy_ManureAppliedToSoils_Equations.VEERG_4_3_1_8__1_MassOfNitrogenAppliedToSoilsScope1(T24,$E65,$E74,T36,I82)</f>
        <v>104.30014856164013</v>
      </c>
      <c r="U94" s="55" cm="1">
        <f t="array" ref="U94">MMS_Dairy_ManureAppliedToSoils_Equations.VEERG_4_3_1_8__1_MassOfNitrogenAppliedToSoilsScope1(U24,$E65,$E74,U36,J82)</f>
        <v>43.663099970970208</v>
      </c>
      <c r="V94" s="2" t="str">
        <f t="shared" ref="V94:V100" si="4">$E$52</f>
        <v>kg N</v>
      </c>
    </row>
    <row r="95" spans="4:22" ht="20.100000000000001" customHeight="1" x14ac:dyDescent="0.25">
      <c r="D95" s="139" t="str">
        <f>'Input - Dairy'!$D$54</f>
        <v>Milking shed</v>
      </c>
      <c r="E95" s="139" t="str">
        <f>'Input - Dairy'!$D$77</f>
        <v>Drains to paddock</v>
      </c>
      <c r="F95" s="55" cm="1">
        <f t="array" ref="F95">MMS_Dairy_ManureAppliedToSoils_Equations.VEERG_4_3_1_8__1_MassOfNitrogenAppliedToSoilsScope1(F25,$E66,$E75,F37,F83)</f>
        <v>82.776771926646703</v>
      </c>
      <c r="G95" s="55" cm="1">
        <f t="array" ref="G95">MMS_Dairy_ManureAppliedToSoils_Equations.VEERG_4_3_1_8__1_MassOfNitrogenAppliedToSoilsScope1(G25,$E66,$E75,G37,G83)</f>
        <v>71.119582044350111</v>
      </c>
      <c r="H95" s="55" cm="1">
        <f t="array" ref="H95">MMS_Dairy_ManureAppliedToSoils_Equations.VEERG_4_3_1_8__1_MassOfNitrogenAppliedToSoilsScope1(H25,$E66,$E75,H37,H83)</f>
        <v>28.326177408298935</v>
      </c>
      <c r="I95" s="55" cm="1">
        <f t="array" ref="I95">MMS_Dairy_ManureAppliedToSoils_Equations.VEERG_4_3_1_8__1_MassOfNitrogenAppliedToSoilsScope1(I25,$E66,$E75,I37,I83)</f>
        <v>89.4001273385487</v>
      </c>
      <c r="J95" s="55" cm="1">
        <f t="array" ref="J95">MMS_Dairy_ManureAppliedToSoils_Equations.VEERG_4_3_1_8__1_MassOfNitrogenAppliedToSoilsScope1(J25,$E66,$E75,J37,J83)</f>
        <v>37.425514260831612</v>
      </c>
      <c r="K95" s="2" t="str">
        <f t="shared" si="3"/>
        <v>kg N</v>
      </c>
      <c r="O95" s="139" t="str">
        <f>'Input - Dairy'!$D$54</f>
        <v>Milking shed</v>
      </c>
      <c r="P95" s="139" t="str">
        <f>'Input - Dairy'!$D$77</f>
        <v>Drains to paddock</v>
      </c>
      <c r="Q95" s="55" cm="1">
        <f t="array" ref="Q95">MMS_Dairy_ManureAppliedToSoils_Equations.VEERG_4_3_1_8__1_MassOfNitrogenAppliedToSoilsScope1(Q25,$E66,$E75,Q37,F83)</f>
        <v>82.776771926646703</v>
      </c>
      <c r="R95" s="55" cm="1">
        <f t="array" ref="R95">MMS_Dairy_ManureAppliedToSoils_Equations.VEERG_4_3_1_8__1_MassOfNitrogenAppliedToSoilsScope1(R25,$E66,$E75,R37,G83)</f>
        <v>71.119582044350111</v>
      </c>
      <c r="S95" s="55" cm="1">
        <f t="array" ref="S95">MMS_Dairy_ManureAppliedToSoils_Equations.VEERG_4_3_1_8__1_MassOfNitrogenAppliedToSoilsScope1(S25,$E66,$E75,S37,H83)</f>
        <v>28.326177408298935</v>
      </c>
      <c r="T95" s="55" cm="1">
        <f t="array" ref="T95">MMS_Dairy_ManureAppliedToSoils_Equations.VEERG_4_3_1_8__1_MassOfNitrogenAppliedToSoilsScope1(T25,$E66,$E75,T37,I83)</f>
        <v>89.4001273385487</v>
      </c>
      <c r="U95" s="55" cm="1">
        <f t="array" ref="U95">MMS_Dairy_ManureAppliedToSoils_Equations.VEERG_4_3_1_8__1_MassOfNitrogenAppliedToSoilsScope1(U25,$E66,$E75,U37,J83)</f>
        <v>37.425514260831612</v>
      </c>
      <c r="V95" s="2" t="str">
        <f t="shared" si="4"/>
        <v>kg N</v>
      </c>
    </row>
    <row r="96" spans="4:22" ht="20.100000000000001" customHeight="1" x14ac:dyDescent="0.25">
      <c r="D96" s="139" t="str">
        <f>'Input - Dairy'!$D$54</f>
        <v>Milking shed</v>
      </c>
      <c r="E96" s="139" t="str">
        <f>'Input - Dairy'!$D$82</f>
        <v>Solid storage</v>
      </c>
      <c r="F96" s="55" cm="1">
        <f t="array" ref="F96">MMS_Dairy_ManureAppliedToSoils_Equations.VEERG_4_3_1_8__1_MassOfNitrogenAppliedToSoilsScope1(F26,$E67,$E76,F38,F84)</f>
        <v>143.26748987304236</v>
      </c>
      <c r="G96" s="55" cm="1">
        <f t="array" ref="G96">MMS_Dairy_ManureAppliedToSoils_Equations.VEERG_4_3_1_8__1_MassOfNitrogenAppliedToSoilsScope1(G26,$E67,$E76,G38,G84)</f>
        <v>123.09158430752903</v>
      </c>
      <c r="H96" s="55" cm="1">
        <f t="array" ref="H96">MMS_Dairy_ManureAppliedToSoils_Equations.VEERG_4_3_1_8__1_MassOfNitrogenAppliedToSoilsScope1(H26,$E67,$E76,H38,H84)</f>
        <v>49.0260762835943</v>
      </c>
      <c r="I96" s="55" cm="1">
        <f t="array" ref="I96">MMS_Dairy_ManureAppliedToSoils_Equations.VEERG_4_3_1_8__1_MassOfNitrogenAppliedToSoilsScope1(I26,$E67,$E76,I38,I84)</f>
        <v>154.73098962441119</v>
      </c>
      <c r="J96" s="55" cm="1">
        <f t="array" ref="J96">MMS_Dairy_ManureAppliedToSoils_Equations.VEERG_4_3_1_8__1_MassOfNitrogenAppliedToSoilsScope1(J26,$E67,$E76,J38,J84)</f>
        <v>64.774928528362395</v>
      </c>
      <c r="K96" s="2" t="str">
        <f t="shared" si="3"/>
        <v>kg N</v>
      </c>
      <c r="O96" s="139" t="str">
        <f>'Input - Dairy'!$D$54</f>
        <v>Milking shed</v>
      </c>
      <c r="P96" s="139" t="str">
        <f>'Input - Dairy'!$D$82</f>
        <v>Solid storage</v>
      </c>
      <c r="Q96" s="55" cm="1">
        <f t="array" ref="Q96">MMS_Dairy_ManureAppliedToSoils_Equations.VEERG_4_3_1_8__1_MassOfNitrogenAppliedToSoilsScope1(Q26,$E67,$E76,Q38,F84)</f>
        <v>143.26748987304236</v>
      </c>
      <c r="R96" s="55" cm="1">
        <f t="array" ref="R96">MMS_Dairy_ManureAppliedToSoils_Equations.VEERG_4_3_1_8__1_MassOfNitrogenAppliedToSoilsScope1(R26,$E67,$E76,R38,G84)</f>
        <v>123.09158430752903</v>
      </c>
      <c r="S96" s="55" cm="1">
        <f t="array" ref="S96">MMS_Dairy_ManureAppliedToSoils_Equations.VEERG_4_3_1_8__1_MassOfNitrogenAppliedToSoilsScope1(S26,$E67,$E76,S38,H84)</f>
        <v>49.0260762835943</v>
      </c>
      <c r="T96" s="55" cm="1">
        <f t="array" ref="T96">MMS_Dairy_ManureAppliedToSoils_Equations.VEERG_4_3_1_8__1_MassOfNitrogenAppliedToSoilsScope1(T26,$E67,$E76,T38,I84)</f>
        <v>154.73098962441119</v>
      </c>
      <c r="U96" s="55" cm="1">
        <f t="array" ref="U96">MMS_Dairy_ManureAppliedToSoils_Equations.VEERG_4_3_1_8__1_MassOfNitrogenAppliedToSoilsScope1(U26,$E67,$E76,U38,J84)</f>
        <v>64.774928528362395</v>
      </c>
      <c r="V96" s="2" t="str">
        <f t="shared" si="4"/>
        <v>kg N</v>
      </c>
    </row>
    <row r="97" spans="3:23" ht="20.100000000000001" customHeight="1" x14ac:dyDescent="0.25">
      <c r="D97" s="139" t="str">
        <f>'Input - Dairy'!$D$55</f>
        <v>Feed pad</v>
      </c>
      <c r="E97" s="139" t="str">
        <f>'Input - Dairy'!$D$101</f>
        <v>Anaerobic lagoon</v>
      </c>
      <c r="F97" s="55" cm="1">
        <f t="array" ref="F97">MMS_Dairy_ManureAppliedToSoils_Equations.VEERG_4_3_1_8__1_MassOfNitrogenAppliedToSoilsScope1(F27,$E64,$E73,F39,F85)</f>
        <v>270.47165512395571</v>
      </c>
      <c r="G97" s="55" cm="1">
        <f t="array" ref="G97">MMS_Dairy_ManureAppliedToSoils_Equations.VEERG_4_3_1_8__1_MassOfNitrogenAppliedToSoilsScope1(G27,$E64,$E73,G39,G85)</f>
        <v>232.38199098057751</v>
      </c>
      <c r="H97" s="55" cm="1">
        <f t="array" ref="H97">MMS_Dairy_ManureAppliedToSoils_Equations.VEERG_4_3_1_8__1_MassOfNitrogenAppliedToSoilsScope1(H27,$E64,$E73,H39,H85)</f>
        <v>92.555289468725022</v>
      </c>
      <c r="I97" s="55" cm="1">
        <f t="array" ref="I97">MMS_Dairy_ManureAppliedToSoils_Equations.VEERG_4_3_1_8__1_MassOfNitrogenAppliedToSoilsScope1(I27,$E64,$E73,I39,I85)</f>
        <v>292.11335313941873</v>
      </c>
      <c r="J97" s="55" cm="1">
        <f t="array" ref="J97">MMS_Dairy_ManureAppliedToSoils_Equations.VEERG_4_3_1_8__1_MassOfNitrogenAppliedToSoilsScope1(J27,$E64,$E73,J39,J85)</f>
        <v>122.28721355505992</v>
      </c>
      <c r="K97" s="2" t="str">
        <f t="shared" si="3"/>
        <v>kg N</v>
      </c>
      <c r="O97" s="139" t="str">
        <f>'Input - Dairy'!$D$55</f>
        <v>Feed pad</v>
      </c>
      <c r="P97" s="139" t="str">
        <f>'Input - Dairy'!$D$101</f>
        <v>Anaerobic lagoon</v>
      </c>
      <c r="Q97" s="55" cm="1">
        <f t="array" ref="Q97">MMS_Dairy_ManureAppliedToSoils_Equations.VEERG_4_3_1_8__1_MassOfNitrogenAppliedToSoilsScope1(Q27,$E64,$E73,Q39,F85)</f>
        <v>270.47165512395571</v>
      </c>
      <c r="R97" s="55" cm="1">
        <f t="array" ref="R97">MMS_Dairy_ManureAppliedToSoils_Equations.VEERG_4_3_1_8__1_MassOfNitrogenAppliedToSoilsScope1(R27,$E64,$E73,R39,G85)</f>
        <v>232.38199098057751</v>
      </c>
      <c r="S97" s="55" cm="1">
        <f t="array" ref="S97">MMS_Dairy_ManureAppliedToSoils_Equations.VEERG_4_3_1_8__1_MassOfNitrogenAppliedToSoilsScope1(S27,$E64,$E73,S39,H85)</f>
        <v>92.555289468725022</v>
      </c>
      <c r="T97" s="55" cm="1">
        <f t="array" ref="T97">MMS_Dairy_ManureAppliedToSoils_Equations.VEERG_4_3_1_8__1_MassOfNitrogenAppliedToSoilsScope1(T27,$E64,$E73,T39,I85)</f>
        <v>292.11335313941873</v>
      </c>
      <c r="U97" s="55" cm="1">
        <f t="array" ref="U97">MMS_Dairy_ManureAppliedToSoils_Equations.VEERG_4_3_1_8__1_MassOfNitrogenAppliedToSoilsScope1(U27,$E64,$E73,U39,J85)</f>
        <v>122.28721355505992</v>
      </c>
      <c r="V97" s="2" t="str">
        <f t="shared" si="4"/>
        <v>kg N</v>
      </c>
    </row>
    <row r="98" spans="3:23" ht="20.100000000000001" customHeight="1" x14ac:dyDescent="0.25">
      <c r="D98" s="139" t="str">
        <f>'Input - Dairy'!$D$55</f>
        <v>Feed pad</v>
      </c>
      <c r="E98" s="139" t="str">
        <f>'Input - Dairy'!$D$106</f>
        <v>Sump and dispersal system</v>
      </c>
      <c r="F98" s="55" cm="1">
        <f t="array" ref="F98">MMS_Dairy_ManureAppliedToSoils_Equations.VEERG_4_3_1_8__1_MassOfNitrogenAppliedToSoilsScope1(F28,$E65,$E74,F40,F86)</f>
        <v>312.54502369879322</v>
      </c>
      <c r="G98" s="55" cm="1">
        <f t="array" ref="G98">MMS_Dairy_ManureAppliedToSoils_Equations.VEERG_4_3_1_8__1_MassOfNitrogenAppliedToSoilsScope1(G28,$E65,$E74,G40,G86)</f>
        <v>268.53030068866735</v>
      </c>
      <c r="H98" s="55" cm="1">
        <f t="array" ref="H98">MMS_Dairy_ManureAppliedToSoils_Equations.VEERG_4_3_1_8__1_MassOfNitrogenAppliedToSoilsScope1(H28,$E65,$E74,H40,H86)</f>
        <v>106.95277894163779</v>
      </c>
      <c r="I98" s="55" cm="1">
        <f t="array" ref="I98">MMS_Dairy_ManureAppliedToSoils_Equations.VEERG_4_3_1_8__1_MassOfNitrogenAppliedToSoilsScope1(I28,$E65,$E74,I40,I86)</f>
        <v>337.5532080722171</v>
      </c>
      <c r="J98" s="55" cm="1">
        <f t="array" ref="J98">MMS_Dairy_ManureAppliedToSoils_Equations.VEERG_4_3_1_8__1_MassOfNitrogenAppliedToSoilsScope1(J28,$E65,$E74,J40,J86)</f>
        <v>141.30966899695812</v>
      </c>
      <c r="K98" s="2" t="str">
        <f t="shared" si="3"/>
        <v>kg N</v>
      </c>
      <c r="O98" s="139" t="str">
        <f>'Input - Dairy'!$D$55</f>
        <v>Feed pad</v>
      </c>
      <c r="P98" s="139" t="str">
        <f>'Input - Dairy'!$D$106</f>
        <v>Sump and dispersal system</v>
      </c>
      <c r="Q98" s="55" cm="1">
        <f t="array" ref="Q98">MMS_Dairy_ManureAppliedToSoils_Equations.VEERG_4_3_1_8__1_MassOfNitrogenAppliedToSoilsScope1(Q28,$E65,$E74,Q40,F86)</f>
        <v>312.54502369879322</v>
      </c>
      <c r="R98" s="55" cm="1">
        <f t="array" ref="R98">MMS_Dairy_ManureAppliedToSoils_Equations.VEERG_4_3_1_8__1_MassOfNitrogenAppliedToSoilsScope1(R28,$E65,$E74,R40,G86)</f>
        <v>268.53030068866735</v>
      </c>
      <c r="S98" s="55" cm="1">
        <f t="array" ref="S98">MMS_Dairy_ManureAppliedToSoils_Equations.VEERG_4_3_1_8__1_MassOfNitrogenAppliedToSoilsScope1(S28,$E65,$E74,S40,H86)</f>
        <v>106.95277894163779</v>
      </c>
      <c r="T98" s="55" cm="1">
        <f t="array" ref="T98">MMS_Dairy_ManureAppliedToSoils_Equations.VEERG_4_3_1_8__1_MassOfNitrogenAppliedToSoilsScope1(T28,$E65,$E74,T40,I86)</f>
        <v>337.5532080722171</v>
      </c>
      <c r="U98" s="55" cm="1">
        <f t="array" ref="U98">MMS_Dairy_ManureAppliedToSoils_Equations.VEERG_4_3_1_8__1_MassOfNitrogenAppliedToSoilsScope1(U28,$E65,$E74,U40,J86)</f>
        <v>141.30966899695812</v>
      </c>
      <c r="V98" s="2" t="str">
        <f t="shared" si="4"/>
        <v>kg N</v>
      </c>
    </row>
    <row r="99" spans="3:23" ht="20.100000000000001" customHeight="1" x14ac:dyDescent="0.25">
      <c r="D99" s="139" t="str">
        <f>'Input - Dairy'!$D$55</f>
        <v>Feed pad</v>
      </c>
      <c r="E99" s="139" t="str">
        <f>'Input - Dairy'!$D$111</f>
        <v>Drains to paddock</v>
      </c>
      <c r="F99" s="55" cm="1">
        <f t="array" ref="F99">MMS_Dairy_ManureAppliedToSoils_Equations.VEERG_4_3_1_8__1_MassOfNitrogenAppliedToSoilsScope1(F29,$E66,$E75,F41,F87)</f>
        <v>267.89573459896565</v>
      </c>
      <c r="G99" s="55" cm="1">
        <f t="array" ref="G99">MMS_Dairy_ManureAppliedToSoils_Equations.VEERG_4_3_1_8__1_MassOfNitrogenAppliedToSoilsScope1(G29,$E66,$E75,G41,G87)</f>
        <v>230.16882916171488</v>
      </c>
      <c r="H99" s="55" cm="1">
        <f t="array" ref="H99">MMS_Dairy_ManureAppliedToSoils_Equations.VEERG_4_3_1_8__1_MassOfNitrogenAppliedToSoilsScope1(H29,$E66,$E75,H41,H87)</f>
        <v>91.673810521403823</v>
      </c>
      <c r="I99" s="55" cm="1">
        <f t="array" ref="I99">MMS_Dairy_ManureAppliedToSoils_Equations.VEERG_4_3_1_8__1_MassOfNitrogenAppliedToSoilsScope1(I29,$E66,$E75,I41,I87)</f>
        <v>289.33132120475756</v>
      </c>
      <c r="J99" s="55" cm="1">
        <f t="array" ref="J99">MMS_Dairy_ManureAppliedToSoils_Equations.VEERG_4_3_1_8__1_MassOfNitrogenAppliedToSoilsScope1(J29,$E66,$E75,J41,J87)</f>
        <v>121.12257342596411</v>
      </c>
      <c r="K99" s="2" t="str">
        <f t="shared" si="3"/>
        <v>kg N</v>
      </c>
      <c r="O99" s="139" t="str">
        <f>'Input - Dairy'!$D$55</f>
        <v>Feed pad</v>
      </c>
      <c r="P99" s="139" t="str">
        <f>'Input - Dairy'!$D$111</f>
        <v>Drains to paddock</v>
      </c>
      <c r="Q99" s="55" cm="1">
        <f t="array" ref="Q99">MMS_Dairy_ManureAppliedToSoils_Equations.VEERG_4_3_1_8__1_MassOfNitrogenAppliedToSoilsScope1(Q29,$E66,$E75,Q41,F87)</f>
        <v>267.89573459896565</v>
      </c>
      <c r="R99" s="55" cm="1">
        <f t="array" ref="R99">MMS_Dairy_ManureAppliedToSoils_Equations.VEERG_4_3_1_8__1_MassOfNitrogenAppliedToSoilsScope1(R29,$E66,$E75,R41,G87)</f>
        <v>230.16882916171488</v>
      </c>
      <c r="S99" s="55" cm="1">
        <f t="array" ref="S99">MMS_Dairy_ManureAppliedToSoils_Equations.VEERG_4_3_1_8__1_MassOfNitrogenAppliedToSoilsScope1(S29,$E66,$E75,S41,H87)</f>
        <v>91.673810521403823</v>
      </c>
      <c r="T99" s="55" cm="1">
        <f t="array" ref="T99">MMS_Dairy_ManureAppliedToSoils_Equations.VEERG_4_3_1_8__1_MassOfNitrogenAppliedToSoilsScope1(T29,$E66,$E75,T41,I87)</f>
        <v>289.33132120475756</v>
      </c>
      <c r="U99" s="55" cm="1">
        <f t="array" ref="U99">MMS_Dairy_ManureAppliedToSoils_Equations.VEERG_4_3_1_8__1_MassOfNitrogenAppliedToSoilsScope1(U29,$E66,$E75,U41,J87)</f>
        <v>121.12257342596411</v>
      </c>
      <c r="V99" s="2" t="str">
        <f t="shared" si="4"/>
        <v>kg N</v>
      </c>
    </row>
    <row r="100" spans="3:23" ht="20.100000000000001" customHeight="1" x14ac:dyDescent="0.25">
      <c r="D100" s="139" t="str">
        <f>'Input - Dairy'!$D$55</f>
        <v>Feed pad</v>
      </c>
      <c r="E100" s="139" t="str">
        <f>'Input - Dairy'!$D$116</f>
        <v>Solid storage</v>
      </c>
      <c r="F100" s="55" cm="1">
        <f t="array" ref="F100">MMS_Dairy_ManureAppliedToSoils_Equations.VEERG_4_3_1_8__1_MassOfNitrogenAppliedToSoilsScope1(F30,$E67,$E76,F42,F88)</f>
        <v>405.70748268593354</v>
      </c>
      <c r="G100" s="55" cm="1">
        <f t="array" ref="G100">MMS_Dairy_ManureAppliedToSoils_Equations.VEERG_4_3_1_8__1_MassOfNitrogenAppliedToSoilsScope1(G30,$E67,$E76,G42,G88)</f>
        <v>348.57298647086628</v>
      </c>
      <c r="H100" s="55" cm="1">
        <f t="array" ref="H100">MMS_Dairy_ManureAppliedToSoils_Equations.VEERG_4_3_1_8__1_MassOfNitrogenAppliedToSoilsScope1(H30,$E67,$E76,H42,H88)</f>
        <v>138.83293420308752</v>
      </c>
      <c r="I100" s="55" cm="1">
        <f t="array" ref="I100">MMS_Dairy_ManureAppliedToSoils_Equations.VEERG_4_3_1_8__1_MassOfNitrogenAppliedToSoilsScope1(I30,$E67,$E76,I42,I88)</f>
        <v>438.17002970912802</v>
      </c>
      <c r="J100" s="55" cm="1">
        <f t="array" ref="J100">MMS_Dairy_ManureAppliedToSoils_Equations.VEERG_4_3_1_8__1_MassOfNitrogenAppliedToSoilsScope1(J30,$E67,$E76,J42,J88)</f>
        <v>183.43082033258989</v>
      </c>
      <c r="K100" s="2" t="str">
        <f t="shared" si="3"/>
        <v>kg N</v>
      </c>
      <c r="O100" s="139" t="str">
        <f>'Input - Dairy'!$D$55</f>
        <v>Feed pad</v>
      </c>
      <c r="P100" s="139" t="str">
        <f>'Input - Dairy'!$D$116</f>
        <v>Solid storage</v>
      </c>
      <c r="Q100" s="55" cm="1">
        <f t="array" ref="Q100">MMS_Dairy_ManureAppliedToSoils_Equations.VEERG_4_3_1_8__1_MassOfNitrogenAppliedToSoilsScope1(Q30,$E67,$E76,Q42,F88)</f>
        <v>405.70748268593354</v>
      </c>
      <c r="R100" s="55" cm="1">
        <f t="array" ref="R100">MMS_Dairy_ManureAppliedToSoils_Equations.VEERG_4_3_1_8__1_MassOfNitrogenAppliedToSoilsScope1(R30,$E67,$E76,R42,G88)</f>
        <v>348.57298647086628</v>
      </c>
      <c r="S100" s="55" cm="1">
        <f t="array" ref="S100">MMS_Dairy_ManureAppliedToSoils_Equations.VEERG_4_3_1_8__1_MassOfNitrogenAppliedToSoilsScope1(S30,$E67,$E76,S42,H88)</f>
        <v>138.83293420308752</v>
      </c>
      <c r="T100" s="55" cm="1">
        <f t="array" ref="T100">MMS_Dairy_ManureAppliedToSoils_Equations.VEERG_4_3_1_8__1_MassOfNitrogenAppliedToSoilsScope1(T30,$E67,$E76,T42,I88)</f>
        <v>438.17002970912802</v>
      </c>
      <c r="U100" s="55" cm="1">
        <f t="array" ref="U100">MMS_Dairy_ManureAppliedToSoils_Equations.VEERG_4_3_1_8__1_MassOfNitrogenAppliedToSoilsScope1(U30,$E67,$E76,U42,J88)</f>
        <v>183.43082033258989</v>
      </c>
      <c r="V100" s="2" t="str">
        <f t="shared" si="4"/>
        <v>kg N</v>
      </c>
    </row>
    <row r="101" spans="3:23" ht="20.100000000000001" customHeight="1" x14ac:dyDescent="0.25"/>
    <row r="102" spans="3:23" ht="20.100000000000001" customHeight="1" x14ac:dyDescent="0.25">
      <c r="D102" s="108" t="s">
        <v>136</v>
      </c>
      <c r="E102" s="109">
        <f>SUM(F93:J100)</f>
        <v>6145.7182804057311</v>
      </c>
      <c r="F102" s="110" t="str">
        <f>$E$52</f>
        <v>kg N</v>
      </c>
    </row>
    <row r="103" spans="3:23" ht="20.100000000000001" customHeight="1" x14ac:dyDescent="0.25"/>
    <row r="104" spans="3:23" ht="20.100000000000001" customHeight="1" x14ac:dyDescent="0.25"/>
    <row r="105" spans="3:23" ht="20.100000000000001" customHeight="1" x14ac:dyDescent="0.25">
      <c r="C105" s="48"/>
      <c r="D105" s="48"/>
      <c r="E105" s="48"/>
      <c r="F105" s="48"/>
      <c r="G105" s="48"/>
      <c r="H105" s="48"/>
      <c r="I105" s="48"/>
      <c r="J105" s="48"/>
      <c r="K105" s="48"/>
      <c r="L105" s="48"/>
      <c r="N105" s="48"/>
      <c r="O105" s="48"/>
      <c r="P105" s="48"/>
      <c r="Q105" s="48"/>
      <c r="R105" s="48"/>
      <c r="S105" s="48"/>
      <c r="T105" s="48"/>
      <c r="U105" s="48"/>
      <c r="V105" s="48"/>
      <c r="W105" s="48"/>
    </row>
    <row r="106" spans="3:23" ht="20.100000000000001" customHeight="1" x14ac:dyDescent="0.25">
      <c r="D106" s="6" t="str" cm="1">
        <f t="array" ref="D106">MMS_Dairy_ManureAppliedToSoils_Equations.VEERG_4_3_1_8__2_MassOfNitrogenAppliedToSoilsScope3_Title()</f>
        <v>Mass of nitrogen from manure applied to soils for scope 3 emissions</v>
      </c>
    </row>
    <row r="107" spans="3:23" ht="20.100000000000001" customHeight="1" x14ac:dyDescent="0.25">
      <c r="D107" s="5" t="str" cm="1">
        <f t="array" ref="D107">MMS_Dairy_ManureAppliedToSoils_Equations.VEERG_4_3_1_8__2_MassOfNitrogenAppliedToSoilsScope3_Source()</f>
        <v>VEERG 2026: 4.3.1.8, Equation (2)</v>
      </c>
    </row>
    <row r="108" spans="3:23" ht="20.100000000000001" customHeight="1" x14ac:dyDescent="0.25">
      <c r="D108" s="13" t="s">
        <v>28</v>
      </c>
      <c r="E108" s="13" t="str" cm="1">
        <f t="array" aca="1" ref="E108" ca="1">Common_InputFunctions.Utility_DisplayFunctionName($F$123)</f>
        <v>=MMS_Dairy_ManureAppliedToSoils_Equations.VEERG_4_3_1_8__2_MassOfNitrogenAppliedToSoilsScope3</v>
      </c>
    </row>
    <row r="109" spans="3:23" ht="20.100000000000001" customHeight="1" x14ac:dyDescent="0.25"/>
    <row r="110" spans="3:23" ht="20.100000000000001" customHeight="1" x14ac:dyDescent="0.25">
      <c r="H110" s="114" t="s">
        <v>421</v>
      </c>
    </row>
    <row r="111" spans="3:23" ht="20.100000000000001" customHeight="1" x14ac:dyDescent="0.25">
      <c r="D111" s="56" t="s">
        <v>31</v>
      </c>
      <c r="E111" s="1" t="str" cm="1">
        <f t="array" ref="E111">MMS_Dairy_ManureAppliedToSoils_Equations.VEERG_4_3_1_8__2_MassOfNitrogenAppliedToSoilsScope3_Variable()</f>
        <v>MNSoil_scope3</v>
      </c>
    </row>
    <row r="112" spans="3:23" ht="20.100000000000001" customHeight="1" x14ac:dyDescent="0.25">
      <c r="D112" s="56" t="s">
        <v>21</v>
      </c>
      <c r="E112" s="57" t="str" cm="1">
        <f t="array" ref="E112">MMS_Dairy_ManureAppliedToSoils_Equations.VEERG_4_3_1_8__2_MassOfNitrogenAppliedToSoilsScope3_Unit()</f>
        <v>kg N</v>
      </c>
    </row>
    <row r="113" spans="4:22" ht="20.100000000000001" customHeight="1" x14ac:dyDescent="0.25"/>
    <row r="114" spans="4:22" ht="20.100000000000001" customHeight="1" x14ac:dyDescent="0.25">
      <c r="D114" s="115" t="str" cm="1">
        <f t="array" ref="D114:E118">MMS_Dairy_ManureAppliedToSoils_Equations.VEERG_4_3_1_8__2_MassOfNitrogenAppliedToSoilsScope3_Arguments()</f>
        <v>MN_jm</v>
      </c>
      <c r="E114" s="117" t="str">
        <v>total nitrogen in each MMS for dairy cattle classes (kg N)</v>
      </c>
      <c r="F114" s="149"/>
      <c r="G114" s="116"/>
      <c r="H114" s="115" t="str">
        <f>"See " &amp; $D$20</f>
        <v>See M1_Table_MN_j_m</v>
      </c>
    </row>
    <row r="115" spans="4:22" ht="20.100000000000001" customHeight="1" x14ac:dyDescent="0.25">
      <c r="D115" s="115" t="str">
        <v>EF_m</v>
      </c>
      <c r="E115" s="117" t="str">
        <v>emission factor for nitrous oxide emissions per MMS (kg N2O-N/kg N)</v>
      </c>
      <c r="F115" s="149"/>
      <c r="G115" s="116"/>
      <c r="H115" s="115" t="str">
        <f>"See " &amp; $D$60</f>
        <v>See Table_EF_m</v>
      </c>
    </row>
    <row r="116" spans="4:22" ht="20.100000000000001" customHeight="1" x14ac:dyDescent="0.25">
      <c r="D116" s="115" t="str">
        <v>FracGASM_m</v>
      </c>
      <c r="E116" s="117" t="str">
        <v>fraction of N volatilised from MMS</v>
      </c>
      <c r="F116" s="149"/>
      <c r="G116" s="116"/>
      <c r="H116" s="115" t="str">
        <f>"See " &amp; $D$69</f>
        <v>See Table_FracGASM_m</v>
      </c>
    </row>
    <row r="117" spans="4:22" ht="20.100000000000001" customHeight="1" x14ac:dyDescent="0.25">
      <c r="D117" s="115" t="str">
        <v>MNLeach_jm</v>
      </c>
      <c r="E117" s="117" t="str">
        <v>mass of N lost through leaching and runoff from each MMS (kg N)</v>
      </c>
      <c r="F117" s="149"/>
      <c r="G117" s="116"/>
      <c r="H117" s="115" t="str">
        <f>"See " &amp; $D$32</f>
        <v>See M1_Table_MN_leach_j_m-1-13</v>
      </c>
    </row>
    <row r="118" spans="4:22" ht="20.100000000000001" customHeight="1" x14ac:dyDescent="0.25">
      <c r="D118" s="115" t="str">
        <v>PF</v>
      </c>
      <c r="E118" s="117" t="str">
        <v>fraction of manure applied to soil within farm boundary</v>
      </c>
      <c r="F118" s="149"/>
      <c r="G118" s="116"/>
      <c r="H118" s="115" t="str">
        <f>"See " &amp; D78</f>
        <v>See Table_PF_scope</v>
      </c>
    </row>
    <row r="119" spans="4:22" ht="20.100000000000001" customHeight="1" x14ac:dyDescent="0.25"/>
    <row r="120" spans="4:22" ht="20.100000000000001" customHeight="1" x14ac:dyDescent="0.25">
      <c r="D120" s="104" t="s">
        <v>382</v>
      </c>
      <c r="O120" s="104" t="s">
        <v>388</v>
      </c>
    </row>
    <row r="121" spans="4:22" ht="20.100000000000001" customHeight="1" x14ac:dyDescent="0.25">
      <c r="D121" s="103" t="s">
        <v>383</v>
      </c>
      <c r="O121" s="103" t="s">
        <v>389</v>
      </c>
    </row>
    <row r="122" spans="4:22" ht="20.100000000000001" customHeight="1" x14ac:dyDescent="0.25">
      <c r="D122" s="54" t="s">
        <v>159</v>
      </c>
      <c r="E122" s="54" t="s">
        <v>69</v>
      </c>
      <c r="F122" s="54" t="s">
        <v>189</v>
      </c>
      <c r="G122" s="54" t="s">
        <v>206</v>
      </c>
      <c r="H122" s="54" t="s">
        <v>207</v>
      </c>
      <c r="I122" s="54" t="s">
        <v>208</v>
      </c>
      <c r="J122" s="54" t="s">
        <v>209</v>
      </c>
      <c r="O122" s="54" t="s">
        <v>159</v>
      </c>
      <c r="P122" s="54" t="s">
        <v>69</v>
      </c>
      <c r="Q122" s="54" t="s">
        <v>189</v>
      </c>
      <c r="R122" s="54" t="s">
        <v>206</v>
      </c>
      <c r="S122" s="54" t="s">
        <v>207</v>
      </c>
      <c r="T122" s="54" t="s">
        <v>208</v>
      </c>
      <c r="U122" s="54" t="s">
        <v>209</v>
      </c>
    </row>
    <row r="123" spans="4:22" ht="20.100000000000001" customHeight="1" x14ac:dyDescent="0.25">
      <c r="D123" s="139" t="str">
        <f>'Input - Dairy'!$D$54</f>
        <v>Milking shed</v>
      </c>
      <c r="E123" s="139" t="str">
        <f>'Input - Dairy'!$D$67</f>
        <v>Anaerobic lagoon</v>
      </c>
      <c r="F123" s="55" cm="1">
        <f t="array" ref="F123">MMS_Dairy_ManureAppliedToSoils_Equations.VEERG_4_3_1_8__2_MassOfNitrogenAppliedToSoilsScope3(F23, $E64, $E73, F35,F81)</f>
        <v>66.858161940753106</v>
      </c>
      <c r="G123" s="55" cm="1">
        <f t="array" ref="G123">MMS_Dairy_ManureAppliedToSoils_Equations.VEERG_4_3_1_8__2_MassOfNitrogenAppliedToSoilsScope3(G23, $E64, $E73, G35,G81)</f>
        <v>57.442739343513551</v>
      </c>
      <c r="H123" s="55" cm="1">
        <f t="array" ref="H123">MMS_Dairy_ManureAppliedToSoils_Equations.VEERG_4_3_1_8__2_MassOfNitrogenAppliedToSoilsScope3(H23, $E64, $E73, H35,H81)</f>
        <v>22.878835599010678</v>
      </c>
      <c r="I123" s="55" cm="1">
        <f t="array" ref="I123">MMS_Dairy_ManureAppliedToSoils_Equations.VEERG_4_3_1_8__2_MassOfNitrogenAppliedToSoilsScope3(I23, $E64, $E73, I35,I81)</f>
        <v>72.207795158058559</v>
      </c>
      <c r="J123" s="55" cm="1">
        <f t="array" ref="J123">MMS_Dairy_ManureAppliedToSoils_Equations.VEERG_4_3_1_8__2_MassOfNitrogenAppliedToSoilsScope3(J23, $E64, $E73, J35,J81)</f>
        <v>30.228299979902456</v>
      </c>
      <c r="K123" s="2" t="str">
        <f>$E$112</f>
        <v>kg N</v>
      </c>
      <c r="O123" s="139" t="str">
        <f>'Input - Dairy'!$D$54</f>
        <v>Milking shed</v>
      </c>
      <c r="P123" s="139" t="str">
        <f>'Input - Dairy'!$D$67</f>
        <v>Anaerobic lagoon</v>
      </c>
      <c r="Q123" s="55" cm="1">
        <f t="array" ref="Q123">MMS_Dairy_ManureAppliedToSoils_Equations.VEERG_4_3_1_8__2_MassOfNitrogenAppliedToSoilsScope3(Q23, $E64, $E73, Q35,F81)</f>
        <v>66.858161940753106</v>
      </c>
      <c r="R123" s="55" cm="1">
        <f t="array" ref="R123">MMS_Dairy_ManureAppliedToSoils_Equations.VEERG_4_3_1_8__2_MassOfNitrogenAppliedToSoilsScope3(R23, $E64, $E73, R35,G81)</f>
        <v>57.442739343513551</v>
      </c>
      <c r="S123" s="55" cm="1">
        <f t="array" ref="S123">MMS_Dairy_ManureAppliedToSoils_Equations.VEERG_4_3_1_8__2_MassOfNitrogenAppliedToSoilsScope3(S23, $E64, $E73, S35,H81)</f>
        <v>22.878835599010678</v>
      </c>
      <c r="T123" s="55" cm="1">
        <f t="array" ref="T123">MMS_Dairy_ManureAppliedToSoils_Equations.VEERG_4_3_1_8__2_MassOfNitrogenAppliedToSoilsScope3(T23, $E64, $E73, T35,I81)</f>
        <v>72.207795158058559</v>
      </c>
      <c r="U123" s="55" cm="1">
        <f t="array" ref="U123">MMS_Dairy_ManureAppliedToSoils_Equations.VEERG_4_3_1_8__2_MassOfNitrogenAppliedToSoilsScope3(U23, $E64, $E73, U35,J81)</f>
        <v>30.228299979902456</v>
      </c>
      <c r="V123" s="2" t="str">
        <f t="shared" ref="V123:V130" si="5">$E$112</f>
        <v>kg N</v>
      </c>
    </row>
    <row r="124" spans="4:22" ht="20.100000000000001" customHeight="1" x14ac:dyDescent="0.25">
      <c r="D124" s="139" t="str">
        <f>'Input - Dairy'!$D$54</f>
        <v>Milking shed</v>
      </c>
      <c r="E124" s="139" t="str">
        <f>'Input - Dairy'!$D$72</f>
        <v>Sump and dispersal system</v>
      </c>
      <c r="F124" s="55" cm="1">
        <f t="array" ref="F124">MMS_Dairy_ManureAppliedToSoils_Equations.VEERG_4_3_1_8__2_MassOfNitrogenAppliedToSoilsScope3(F24, $E65, $E74, F36,F82)</f>
        <v>96.572900581087808</v>
      </c>
      <c r="G124" s="55" cm="1">
        <f t="array" ref="G124">MMS_Dairy_ManureAppliedToSoils_Equations.VEERG_4_3_1_8__2_MassOfNitrogenAppliedToSoilsScope3(G24, $E65, $E74, G36,G82)</f>
        <v>82.97284571840845</v>
      </c>
      <c r="H124" s="55" cm="1">
        <f t="array" ref="H124">MMS_Dairy_ManureAppliedToSoils_Equations.VEERG_4_3_1_8__2_MassOfNitrogenAppliedToSoilsScope3(H24, $E65, $E74, H36,H82)</f>
        <v>33.047206976348761</v>
      </c>
      <c r="I124" s="55" cm="1">
        <f t="array" ref="I124">MMS_Dairy_ManureAppliedToSoils_Equations.VEERG_4_3_1_8__2_MassOfNitrogenAppliedToSoilsScope3(I24, $E65, $E74, I36,I82)</f>
        <v>104.30014856164013</v>
      </c>
      <c r="J124" s="55" cm="1">
        <f t="array" ref="J124">MMS_Dairy_ManureAppliedToSoils_Equations.VEERG_4_3_1_8__2_MassOfNitrogenAppliedToSoilsScope3(J24, $E65, $E74, J36,J82)</f>
        <v>43.663099970970208</v>
      </c>
      <c r="K124" s="2" t="str">
        <f t="shared" ref="K124:K130" si="6">$E$112</f>
        <v>kg N</v>
      </c>
      <c r="O124" s="139" t="str">
        <f>'Input - Dairy'!$D$54</f>
        <v>Milking shed</v>
      </c>
      <c r="P124" s="139" t="str">
        <f>'Input - Dairy'!$D$72</f>
        <v>Sump and dispersal system</v>
      </c>
      <c r="Q124" s="55" cm="1">
        <f t="array" ref="Q124">MMS_Dairy_ManureAppliedToSoils_Equations.VEERG_4_3_1_8__2_MassOfNitrogenAppliedToSoilsScope3(Q24, $E65, $E74, Q36,F82)</f>
        <v>96.572900581087808</v>
      </c>
      <c r="R124" s="55" cm="1">
        <f t="array" ref="R124">MMS_Dairy_ManureAppliedToSoils_Equations.VEERG_4_3_1_8__2_MassOfNitrogenAppliedToSoilsScope3(R24, $E65, $E74, R36,G82)</f>
        <v>82.97284571840845</v>
      </c>
      <c r="S124" s="55" cm="1">
        <f t="array" ref="S124">MMS_Dairy_ManureAppliedToSoils_Equations.VEERG_4_3_1_8__2_MassOfNitrogenAppliedToSoilsScope3(S24, $E65, $E74, S36,H82)</f>
        <v>33.047206976348761</v>
      </c>
      <c r="T124" s="55" cm="1">
        <f t="array" ref="T124">MMS_Dairy_ManureAppliedToSoils_Equations.VEERG_4_3_1_8__2_MassOfNitrogenAppliedToSoilsScope3(T24, $E65, $E74, T36,I82)</f>
        <v>104.30014856164013</v>
      </c>
      <c r="U124" s="55" cm="1">
        <f t="array" ref="U124">MMS_Dairy_ManureAppliedToSoils_Equations.VEERG_4_3_1_8__2_MassOfNitrogenAppliedToSoilsScope3(U24, $E65, $E74, U36,J82)</f>
        <v>43.663099970970208</v>
      </c>
      <c r="V124" s="2" t="str">
        <f t="shared" si="5"/>
        <v>kg N</v>
      </c>
    </row>
    <row r="125" spans="4:22" ht="20.100000000000001" customHeight="1" x14ac:dyDescent="0.25">
      <c r="D125" s="139" t="str">
        <f>'Input - Dairy'!$D$54</f>
        <v>Milking shed</v>
      </c>
      <c r="E125" s="139" t="str">
        <f>'Input - Dairy'!$D$77</f>
        <v>Drains to paddock</v>
      </c>
      <c r="F125" s="55" cm="1">
        <f t="array" ref="F125">MMS_Dairy_ManureAppliedToSoils_Equations.VEERG_4_3_1_8__2_MassOfNitrogenAppliedToSoilsScope3(F25, $E66, $E75, F37,F83)</f>
        <v>82.776771926646703</v>
      </c>
      <c r="G125" s="55" cm="1">
        <f t="array" ref="G125">MMS_Dairy_ManureAppliedToSoils_Equations.VEERG_4_3_1_8__2_MassOfNitrogenAppliedToSoilsScope3(G25, $E66, $E75, G37,G83)</f>
        <v>71.119582044350111</v>
      </c>
      <c r="H125" s="55" cm="1">
        <f t="array" ref="H125">MMS_Dairy_ManureAppliedToSoils_Equations.VEERG_4_3_1_8__2_MassOfNitrogenAppliedToSoilsScope3(H25, $E66, $E75, H37,H83)</f>
        <v>28.326177408298935</v>
      </c>
      <c r="I125" s="55" cm="1">
        <f t="array" ref="I125">MMS_Dairy_ManureAppliedToSoils_Equations.VEERG_4_3_1_8__2_MassOfNitrogenAppliedToSoilsScope3(I25, $E66, $E75, I37,I83)</f>
        <v>89.4001273385487</v>
      </c>
      <c r="J125" s="55" cm="1">
        <f t="array" ref="J125">MMS_Dairy_ManureAppliedToSoils_Equations.VEERG_4_3_1_8__2_MassOfNitrogenAppliedToSoilsScope3(J25, $E66, $E75, J37,J83)</f>
        <v>37.425514260831612</v>
      </c>
      <c r="K125" s="2" t="str">
        <f t="shared" si="6"/>
        <v>kg N</v>
      </c>
      <c r="O125" s="139" t="str">
        <f>'Input - Dairy'!$D$54</f>
        <v>Milking shed</v>
      </c>
      <c r="P125" s="139" t="str">
        <f>'Input - Dairy'!$D$77</f>
        <v>Drains to paddock</v>
      </c>
      <c r="Q125" s="55" cm="1">
        <f t="array" ref="Q125">MMS_Dairy_ManureAppliedToSoils_Equations.VEERG_4_3_1_8__2_MassOfNitrogenAppliedToSoilsScope3(Q25, $E66, $E75, Q37,F83)</f>
        <v>82.776771926646703</v>
      </c>
      <c r="R125" s="55" cm="1">
        <f t="array" ref="R125">MMS_Dairy_ManureAppliedToSoils_Equations.VEERG_4_3_1_8__2_MassOfNitrogenAppliedToSoilsScope3(R25, $E66, $E75, R37,G83)</f>
        <v>71.119582044350111</v>
      </c>
      <c r="S125" s="55" cm="1">
        <f t="array" ref="S125">MMS_Dairy_ManureAppliedToSoils_Equations.VEERG_4_3_1_8__2_MassOfNitrogenAppliedToSoilsScope3(S25, $E66, $E75, S37,H83)</f>
        <v>28.326177408298935</v>
      </c>
      <c r="T125" s="55" cm="1">
        <f t="array" ref="T125">MMS_Dairy_ManureAppliedToSoils_Equations.VEERG_4_3_1_8__2_MassOfNitrogenAppliedToSoilsScope3(T25, $E66, $E75, T37,I83)</f>
        <v>89.4001273385487</v>
      </c>
      <c r="U125" s="55" cm="1">
        <f t="array" ref="U125">MMS_Dairy_ManureAppliedToSoils_Equations.VEERG_4_3_1_8__2_MassOfNitrogenAppliedToSoilsScope3(U25, $E66, $E75, U37,J83)</f>
        <v>37.425514260831612</v>
      </c>
      <c r="V125" s="2" t="str">
        <f t="shared" si="5"/>
        <v>kg N</v>
      </c>
    </row>
    <row r="126" spans="4:22" ht="20.100000000000001" customHeight="1" x14ac:dyDescent="0.25">
      <c r="D126" s="139" t="str">
        <f>'Input - Dairy'!$D$54</f>
        <v>Milking shed</v>
      </c>
      <c r="E126" s="139" t="str">
        <f>'Input - Dairy'!$D$82</f>
        <v>Solid storage</v>
      </c>
      <c r="F126" s="55" cm="1">
        <f t="array" ref="F126">MMS_Dairy_ManureAppliedToSoils_Equations.VEERG_4_3_1_8__2_MassOfNitrogenAppliedToSoilsScope3(F26, $E67, $E76, F38,F84)</f>
        <v>143.26748987304236</v>
      </c>
      <c r="G126" s="55" cm="1">
        <f t="array" ref="G126">MMS_Dairy_ManureAppliedToSoils_Equations.VEERG_4_3_1_8__2_MassOfNitrogenAppliedToSoilsScope3(G26, $E67, $E76, G38,G84)</f>
        <v>123.09158430752903</v>
      </c>
      <c r="H126" s="55" cm="1">
        <f t="array" ref="H126">MMS_Dairy_ManureAppliedToSoils_Equations.VEERG_4_3_1_8__2_MassOfNitrogenAppliedToSoilsScope3(H26, $E67, $E76, H38,H84)</f>
        <v>49.0260762835943</v>
      </c>
      <c r="I126" s="55" cm="1">
        <f t="array" ref="I126">MMS_Dairy_ManureAppliedToSoils_Equations.VEERG_4_3_1_8__2_MassOfNitrogenAppliedToSoilsScope3(I26, $E67, $E76, I38,I84)</f>
        <v>154.73098962441119</v>
      </c>
      <c r="J126" s="55" cm="1">
        <f t="array" ref="J126">MMS_Dairy_ManureAppliedToSoils_Equations.VEERG_4_3_1_8__2_MassOfNitrogenAppliedToSoilsScope3(J26, $E67, $E76, J38,J84)</f>
        <v>64.774928528362395</v>
      </c>
      <c r="K126" s="2" t="str">
        <f t="shared" si="6"/>
        <v>kg N</v>
      </c>
      <c r="O126" s="139" t="str">
        <f>'Input - Dairy'!$D$54</f>
        <v>Milking shed</v>
      </c>
      <c r="P126" s="139" t="str">
        <f>'Input - Dairy'!$D$82</f>
        <v>Solid storage</v>
      </c>
      <c r="Q126" s="55" cm="1">
        <f t="array" ref="Q126">MMS_Dairy_ManureAppliedToSoils_Equations.VEERG_4_3_1_8__2_MassOfNitrogenAppliedToSoilsScope3(Q26, $E67, $E76, Q38,F84)</f>
        <v>143.26748987304236</v>
      </c>
      <c r="R126" s="55" cm="1">
        <f t="array" ref="R126">MMS_Dairy_ManureAppliedToSoils_Equations.VEERG_4_3_1_8__2_MassOfNitrogenAppliedToSoilsScope3(R26, $E67, $E76, R38,G84)</f>
        <v>123.09158430752903</v>
      </c>
      <c r="S126" s="55" cm="1">
        <f t="array" ref="S126">MMS_Dairy_ManureAppliedToSoils_Equations.VEERG_4_3_1_8__2_MassOfNitrogenAppliedToSoilsScope3(S26, $E67, $E76, S38,H84)</f>
        <v>49.0260762835943</v>
      </c>
      <c r="T126" s="55" cm="1">
        <f t="array" ref="T126">MMS_Dairy_ManureAppliedToSoils_Equations.VEERG_4_3_1_8__2_MassOfNitrogenAppliedToSoilsScope3(T26, $E67, $E76, T38,I84)</f>
        <v>154.73098962441119</v>
      </c>
      <c r="U126" s="55" cm="1">
        <f t="array" ref="U126">MMS_Dairy_ManureAppliedToSoils_Equations.VEERG_4_3_1_8__2_MassOfNitrogenAppliedToSoilsScope3(U26, $E67, $E76, U38,J84)</f>
        <v>64.774928528362395</v>
      </c>
      <c r="V126" s="2" t="str">
        <f t="shared" si="5"/>
        <v>kg N</v>
      </c>
    </row>
    <row r="127" spans="4:22" ht="20.100000000000001" customHeight="1" x14ac:dyDescent="0.25">
      <c r="D127" s="139" t="str">
        <f>'Input - Dairy'!$D$55</f>
        <v>Feed pad</v>
      </c>
      <c r="E127" s="139" t="str">
        <f>'Input - Dairy'!$D$101</f>
        <v>Anaerobic lagoon</v>
      </c>
      <c r="F127" s="55" cm="1">
        <f t="array" ref="F127">MMS_Dairy_ManureAppliedToSoils_Equations.VEERG_4_3_1_8__2_MassOfNitrogenAppliedToSoilsScope3(F27, $E64, $E73, F39,F85)</f>
        <v>270.47165512395571</v>
      </c>
      <c r="G127" s="55" cm="1">
        <f t="array" ref="G127">MMS_Dairy_ManureAppliedToSoils_Equations.VEERG_4_3_1_8__2_MassOfNitrogenAppliedToSoilsScope3(G27, $E64, $E73, G39,G85)</f>
        <v>232.38199098057751</v>
      </c>
      <c r="H127" s="55" cm="1">
        <f t="array" ref="H127">MMS_Dairy_ManureAppliedToSoils_Equations.VEERG_4_3_1_8__2_MassOfNitrogenAppliedToSoilsScope3(H27, $E64, $E73, H39,H85)</f>
        <v>92.555289468725022</v>
      </c>
      <c r="I127" s="55" cm="1">
        <f t="array" ref="I127">MMS_Dairy_ManureAppliedToSoils_Equations.VEERG_4_3_1_8__2_MassOfNitrogenAppliedToSoilsScope3(I27, $E64, $E73, I39,I85)</f>
        <v>292.11335313941873</v>
      </c>
      <c r="J127" s="55" cm="1">
        <f t="array" ref="J127">MMS_Dairy_ManureAppliedToSoils_Equations.VEERG_4_3_1_8__2_MassOfNitrogenAppliedToSoilsScope3(J27, $E64, $E73, J39,J85)</f>
        <v>122.28721355505992</v>
      </c>
      <c r="K127" s="2" t="str">
        <f t="shared" si="6"/>
        <v>kg N</v>
      </c>
      <c r="O127" s="139" t="str">
        <f>'Input - Dairy'!$D$55</f>
        <v>Feed pad</v>
      </c>
      <c r="P127" s="139" t="str">
        <f>'Input - Dairy'!$D$101</f>
        <v>Anaerobic lagoon</v>
      </c>
      <c r="Q127" s="55" cm="1">
        <f t="array" ref="Q127">MMS_Dairy_ManureAppliedToSoils_Equations.VEERG_4_3_1_8__2_MassOfNitrogenAppliedToSoilsScope3(Q27, $E64, $E73, Q39,F85)</f>
        <v>270.47165512395571</v>
      </c>
      <c r="R127" s="55" cm="1">
        <f t="array" ref="R127">MMS_Dairy_ManureAppliedToSoils_Equations.VEERG_4_3_1_8__2_MassOfNitrogenAppliedToSoilsScope3(R27, $E64, $E73, R39,G85)</f>
        <v>232.38199098057751</v>
      </c>
      <c r="S127" s="55" cm="1">
        <f t="array" ref="S127">MMS_Dairy_ManureAppliedToSoils_Equations.VEERG_4_3_1_8__2_MassOfNitrogenAppliedToSoilsScope3(S27, $E64, $E73, S39,H85)</f>
        <v>92.555289468725022</v>
      </c>
      <c r="T127" s="55" cm="1">
        <f t="array" ref="T127">MMS_Dairy_ManureAppliedToSoils_Equations.VEERG_4_3_1_8__2_MassOfNitrogenAppliedToSoilsScope3(T27, $E64, $E73, T39,I85)</f>
        <v>292.11335313941873</v>
      </c>
      <c r="U127" s="55" cm="1">
        <f t="array" ref="U127">MMS_Dairy_ManureAppliedToSoils_Equations.VEERG_4_3_1_8__2_MassOfNitrogenAppliedToSoilsScope3(U27, $E64, $E73, U39,J85)</f>
        <v>122.28721355505992</v>
      </c>
      <c r="V127" s="2" t="str">
        <f t="shared" si="5"/>
        <v>kg N</v>
      </c>
    </row>
    <row r="128" spans="4:22" ht="20.100000000000001" customHeight="1" x14ac:dyDescent="0.25">
      <c r="D128" s="139" t="str">
        <f>'Input - Dairy'!$D$55</f>
        <v>Feed pad</v>
      </c>
      <c r="E128" s="139" t="str">
        <f>'Input - Dairy'!$D$106</f>
        <v>Sump and dispersal system</v>
      </c>
      <c r="F128" s="55" cm="1">
        <f t="array" ref="F128">MMS_Dairy_ManureAppliedToSoils_Equations.VEERG_4_3_1_8__2_MassOfNitrogenAppliedToSoilsScope3(F28, $E65, $E74, F40,F86)</f>
        <v>312.54502369879322</v>
      </c>
      <c r="G128" s="55" cm="1">
        <f t="array" ref="G128">MMS_Dairy_ManureAppliedToSoils_Equations.VEERG_4_3_1_8__2_MassOfNitrogenAppliedToSoilsScope3(G28, $E65, $E74, G40,G86)</f>
        <v>268.53030068866735</v>
      </c>
      <c r="H128" s="55" cm="1">
        <f t="array" ref="H128">MMS_Dairy_ManureAppliedToSoils_Equations.VEERG_4_3_1_8__2_MassOfNitrogenAppliedToSoilsScope3(H28, $E65, $E74, H40,H86)</f>
        <v>106.95277894163779</v>
      </c>
      <c r="I128" s="55" cm="1">
        <f t="array" ref="I128">MMS_Dairy_ManureAppliedToSoils_Equations.VEERG_4_3_1_8__2_MassOfNitrogenAppliedToSoilsScope3(I28, $E65, $E74, I40,I86)</f>
        <v>337.5532080722171</v>
      </c>
      <c r="J128" s="55" cm="1">
        <f t="array" ref="J128">MMS_Dairy_ManureAppliedToSoils_Equations.VEERG_4_3_1_8__2_MassOfNitrogenAppliedToSoilsScope3(J28, $E65, $E74, J40,J86)</f>
        <v>141.30966899695812</v>
      </c>
      <c r="K128" s="2" t="str">
        <f t="shared" si="6"/>
        <v>kg N</v>
      </c>
      <c r="O128" s="139" t="str">
        <f>'Input - Dairy'!$D$55</f>
        <v>Feed pad</v>
      </c>
      <c r="P128" s="139" t="str">
        <f>'Input - Dairy'!$D$106</f>
        <v>Sump and dispersal system</v>
      </c>
      <c r="Q128" s="55" cm="1">
        <f t="array" ref="Q128">MMS_Dairy_ManureAppliedToSoils_Equations.VEERG_4_3_1_8__2_MassOfNitrogenAppliedToSoilsScope3(Q28, $E65, $E74, Q40,F86)</f>
        <v>312.54502369879322</v>
      </c>
      <c r="R128" s="55" cm="1">
        <f t="array" ref="R128">MMS_Dairy_ManureAppliedToSoils_Equations.VEERG_4_3_1_8__2_MassOfNitrogenAppliedToSoilsScope3(R28, $E65, $E74, R40,G86)</f>
        <v>268.53030068866735</v>
      </c>
      <c r="S128" s="55" cm="1">
        <f t="array" ref="S128">MMS_Dairy_ManureAppliedToSoils_Equations.VEERG_4_3_1_8__2_MassOfNitrogenAppliedToSoilsScope3(S28, $E65, $E74, S40,H86)</f>
        <v>106.95277894163779</v>
      </c>
      <c r="T128" s="55" cm="1">
        <f t="array" ref="T128">MMS_Dairy_ManureAppliedToSoils_Equations.VEERG_4_3_1_8__2_MassOfNitrogenAppliedToSoilsScope3(T28, $E65, $E74, T40,I86)</f>
        <v>337.5532080722171</v>
      </c>
      <c r="U128" s="55" cm="1">
        <f t="array" ref="U128">MMS_Dairy_ManureAppliedToSoils_Equations.VEERG_4_3_1_8__2_MassOfNitrogenAppliedToSoilsScope3(U28, $E65, $E74, U40,J86)</f>
        <v>141.30966899695812</v>
      </c>
      <c r="V128" s="2" t="str">
        <f t="shared" si="5"/>
        <v>kg N</v>
      </c>
    </row>
    <row r="129" spans="3:23" ht="20.100000000000001" customHeight="1" x14ac:dyDescent="0.25">
      <c r="D129" s="139" t="str">
        <f>'Input - Dairy'!$D$55</f>
        <v>Feed pad</v>
      </c>
      <c r="E129" s="139" t="str">
        <f>'Input - Dairy'!$D$111</f>
        <v>Drains to paddock</v>
      </c>
      <c r="F129" s="55" cm="1">
        <f t="array" ref="F129">MMS_Dairy_ManureAppliedToSoils_Equations.VEERG_4_3_1_8__2_MassOfNitrogenAppliedToSoilsScope3(F29, $E66, $E75, F41,F87)</f>
        <v>267.89573459896565</v>
      </c>
      <c r="G129" s="55" cm="1">
        <f t="array" ref="G129">MMS_Dairy_ManureAppliedToSoils_Equations.VEERG_4_3_1_8__2_MassOfNitrogenAppliedToSoilsScope3(G29, $E66, $E75, G41,G87)</f>
        <v>230.16882916171488</v>
      </c>
      <c r="H129" s="55" cm="1">
        <f t="array" ref="H129">MMS_Dairy_ManureAppliedToSoils_Equations.VEERG_4_3_1_8__2_MassOfNitrogenAppliedToSoilsScope3(H29, $E66, $E75, H41,H87)</f>
        <v>91.673810521403823</v>
      </c>
      <c r="I129" s="55" cm="1">
        <f t="array" ref="I129">MMS_Dairy_ManureAppliedToSoils_Equations.VEERG_4_3_1_8__2_MassOfNitrogenAppliedToSoilsScope3(I29, $E66, $E75, I41,I87)</f>
        <v>289.33132120475756</v>
      </c>
      <c r="J129" s="55" cm="1">
        <f t="array" ref="J129">MMS_Dairy_ManureAppliedToSoils_Equations.VEERG_4_3_1_8__2_MassOfNitrogenAppliedToSoilsScope3(J29, $E66, $E75, J41,J87)</f>
        <v>121.12257342596411</v>
      </c>
      <c r="K129" s="2" t="str">
        <f t="shared" si="6"/>
        <v>kg N</v>
      </c>
      <c r="O129" s="139" t="str">
        <f>'Input - Dairy'!$D$55</f>
        <v>Feed pad</v>
      </c>
      <c r="P129" s="139" t="str">
        <f>'Input - Dairy'!$D$111</f>
        <v>Drains to paddock</v>
      </c>
      <c r="Q129" s="55" cm="1">
        <f t="array" ref="Q129">MMS_Dairy_ManureAppliedToSoils_Equations.VEERG_4_3_1_8__2_MassOfNitrogenAppliedToSoilsScope3(Q29, $E66, $E75, Q41,F87)</f>
        <v>267.89573459896565</v>
      </c>
      <c r="R129" s="55" cm="1">
        <f t="array" ref="R129">MMS_Dairy_ManureAppliedToSoils_Equations.VEERG_4_3_1_8__2_MassOfNitrogenAppliedToSoilsScope3(R29, $E66, $E75, R41,G87)</f>
        <v>230.16882916171488</v>
      </c>
      <c r="S129" s="55" cm="1">
        <f t="array" ref="S129">MMS_Dairy_ManureAppliedToSoils_Equations.VEERG_4_3_1_8__2_MassOfNitrogenAppliedToSoilsScope3(S29, $E66, $E75, S41,H87)</f>
        <v>91.673810521403823</v>
      </c>
      <c r="T129" s="55" cm="1">
        <f t="array" ref="T129">MMS_Dairy_ManureAppliedToSoils_Equations.VEERG_4_3_1_8__2_MassOfNitrogenAppliedToSoilsScope3(T29, $E66, $E75, T41,I87)</f>
        <v>289.33132120475756</v>
      </c>
      <c r="U129" s="55" cm="1">
        <f t="array" ref="U129">MMS_Dairy_ManureAppliedToSoils_Equations.VEERG_4_3_1_8__2_MassOfNitrogenAppliedToSoilsScope3(U29, $E66, $E75, U41,J87)</f>
        <v>121.12257342596411</v>
      </c>
      <c r="V129" s="2" t="str">
        <f t="shared" si="5"/>
        <v>kg N</v>
      </c>
    </row>
    <row r="130" spans="3:23" ht="20.100000000000001" customHeight="1" x14ac:dyDescent="0.25">
      <c r="D130" s="139" t="str">
        <f>'Input - Dairy'!$D$55</f>
        <v>Feed pad</v>
      </c>
      <c r="E130" s="139" t="str">
        <f>'Input - Dairy'!$D$116</f>
        <v>Solid storage</v>
      </c>
      <c r="F130" s="55" cm="1">
        <f t="array" ref="F130">MMS_Dairy_ManureAppliedToSoils_Equations.VEERG_4_3_1_8__2_MassOfNitrogenAppliedToSoilsScope3(F30, $E67, $E76, F42,F88)</f>
        <v>405.70748268593354</v>
      </c>
      <c r="G130" s="55" cm="1">
        <f t="array" ref="G130">MMS_Dairy_ManureAppliedToSoils_Equations.VEERG_4_3_1_8__2_MassOfNitrogenAppliedToSoilsScope3(G30, $E67, $E76, G42,G88)</f>
        <v>348.57298647086628</v>
      </c>
      <c r="H130" s="55" cm="1">
        <f t="array" ref="H130">MMS_Dairy_ManureAppliedToSoils_Equations.VEERG_4_3_1_8__2_MassOfNitrogenAppliedToSoilsScope3(H30, $E67, $E76, H42,H88)</f>
        <v>138.83293420308752</v>
      </c>
      <c r="I130" s="55" cm="1">
        <f t="array" ref="I130">MMS_Dairy_ManureAppliedToSoils_Equations.VEERG_4_3_1_8__2_MassOfNitrogenAppliedToSoilsScope3(I30, $E67, $E76, I42,I88)</f>
        <v>438.17002970912802</v>
      </c>
      <c r="J130" s="55" cm="1">
        <f t="array" ref="J130">MMS_Dairy_ManureAppliedToSoils_Equations.VEERG_4_3_1_8__2_MassOfNitrogenAppliedToSoilsScope3(J30, $E67, $E76, J42,J88)</f>
        <v>183.43082033258989</v>
      </c>
      <c r="K130" s="2" t="str">
        <f t="shared" si="6"/>
        <v>kg N</v>
      </c>
      <c r="O130" s="139" t="str">
        <f>'Input - Dairy'!$D$55</f>
        <v>Feed pad</v>
      </c>
      <c r="P130" s="139" t="str">
        <f>'Input - Dairy'!$D$116</f>
        <v>Solid storage</v>
      </c>
      <c r="Q130" s="55" cm="1">
        <f t="array" ref="Q130">MMS_Dairy_ManureAppliedToSoils_Equations.VEERG_4_3_1_8__2_MassOfNitrogenAppliedToSoilsScope3(Q30, $E67, $E76, Q42,F88)</f>
        <v>405.70748268593354</v>
      </c>
      <c r="R130" s="55" cm="1">
        <f t="array" ref="R130">MMS_Dairy_ManureAppliedToSoils_Equations.VEERG_4_3_1_8__2_MassOfNitrogenAppliedToSoilsScope3(R30, $E67, $E76, R42,G88)</f>
        <v>348.57298647086628</v>
      </c>
      <c r="S130" s="55" cm="1">
        <f t="array" ref="S130">MMS_Dairy_ManureAppliedToSoils_Equations.VEERG_4_3_1_8__2_MassOfNitrogenAppliedToSoilsScope3(S30, $E67, $E76, S42,H88)</f>
        <v>138.83293420308752</v>
      </c>
      <c r="T130" s="55" cm="1">
        <f t="array" ref="T130">MMS_Dairy_ManureAppliedToSoils_Equations.VEERG_4_3_1_8__2_MassOfNitrogenAppliedToSoilsScope3(T30, $E67, $E76, T42,I88)</f>
        <v>438.17002970912802</v>
      </c>
      <c r="U130" s="55" cm="1">
        <f t="array" ref="U130">MMS_Dairy_ManureAppliedToSoils_Equations.VEERG_4_3_1_8__2_MassOfNitrogenAppliedToSoilsScope3(U30, $E67, $E76, U42,J88)</f>
        <v>183.43082033258989</v>
      </c>
      <c r="V130" s="2" t="str">
        <f t="shared" si="5"/>
        <v>kg N</v>
      </c>
    </row>
    <row r="131" spans="3:23" ht="20.100000000000001" customHeight="1" x14ac:dyDescent="0.25"/>
    <row r="132" spans="3:23" ht="20.100000000000001" customHeight="1" x14ac:dyDescent="0.25">
      <c r="D132" s="108" t="s">
        <v>387</v>
      </c>
      <c r="E132" s="109">
        <f>SUM(F123:J130)</f>
        <v>6145.7182804057311</v>
      </c>
      <c r="F132" s="110" t="str">
        <f>$E$52</f>
        <v>kg N</v>
      </c>
      <c r="O132" s="108" t="s">
        <v>387</v>
      </c>
      <c r="P132" s="109">
        <f>SUM(Q123:U130)</f>
        <v>6145.7182804057311</v>
      </c>
      <c r="Q132" s="110" t="str">
        <f>$E$52</f>
        <v>kg N</v>
      </c>
    </row>
    <row r="133" spans="3:23" ht="20.100000000000001" customHeight="1" x14ac:dyDescent="0.25"/>
    <row r="134" spans="3:23" ht="20.100000000000001" customHeight="1" x14ac:dyDescent="0.25"/>
    <row r="135" spans="3:23" ht="20.100000000000001" customHeight="1" x14ac:dyDescent="0.25">
      <c r="C135" s="48"/>
      <c r="D135" s="48"/>
      <c r="E135" s="48"/>
      <c r="F135" s="48"/>
      <c r="G135" s="48"/>
      <c r="H135" s="48"/>
      <c r="I135" s="48"/>
      <c r="J135" s="48"/>
      <c r="K135" s="48"/>
      <c r="L135" s="48"/>
      <c r="N135" s="48"/>
      <c r="O135" s="48"/>
      <c r="P135" s="48"/>
      <c r="Q135" s="48"/>
      <c r="R135" s="48"/>
      <c r="S135" s="48"/>
      <c r="T135" s="48"/>
      <c r="U135" s="48"/>
      <c r="V135" s="48"/>
      <c r="W135" s="48"/>
    </row>
    <row r="136" spans="3:23" ht="20.100000000000001" customHeight="1" x14ac:dyDescent="0.25">
      <c r="D136" s="119" t="str">
        <f>"Below are applications of " &amp; D113 &amp; " that are applied to the following contexts:"</f>
        <v>Below are applications of  that are applied to the following contexts:</v>
      </c>
      <c r="E136" s="95"/>
      <c r="F136" s="95"/>
      <c r="G136" s="95"/>
      <c r="H136" s="91"/>
    </row>
    <row r="137" spans="3:23" ht="20.100000000000001" customHeight="1" x14ac:dyDescent="0.25">
      <c r="D137" s="120" t="s">
        <v>390</v>
      </c>
      <c r="E137" s="118"/>
      <c r="F137" s="118"/>
      <c r="G137" s="118"/>
      <c r="H137" s="121"/>
    </row>
    <row r="138" spans="3:23" ht="20.100000000000001" customHeight="1" x14ac:dyDescent="0.25">
      <c r="D138" s="97" t="s">
        <v>391</v>
      </c>
      <c r="E138" s="94"/>
      <c r="F138" s="94"/>
      <c r="G138" s="94"/>
      <c r="H138" s="92"/>
    </row>
    <row r="139" spans="3:23" ht="20.100000000000001" customHeight="1" x14ac:dyDescent="0.25"/>
    <row r="140" spans="3:23" ht="20.100000000000001" customHeight="1" x14ac:dyDescent="0.25">
      <c r="D140" s="6" t="s">
        <v>148</v>
      </c>
    </row>
    <row r="141" spans="3:23" ht="20.100000000000001" customHeight="1" x14ac:dyDescent="0.25"/>
    <row r="142" spans="3:23" ht="20.100000000000001" customHeight="1" x14ac:dyDescent="0.25">
      <c r="D142" s="104" t="s">
        <v>138</v>
      </c>
    </row>
    <row r="143" spans="3:23" ht="20.100000000000001" customHeight="1" x14ac:dyDescent="0.25">
      <c r="D143" s="103" t="s">
        <v>139</v>
      </c>
    </row>
    <row r="144" spans="3:23" ht="20.100000000000001" customHeight="1" x14ac:dyDescent="0.25">
      <c r="D144" s="54" t="s">
        <v>159</v>
      </c>
      <c r="E144" s="54" t="s">
        <v>69</v>
      </c>
      <c r="F144" s="54" t="s">
        <v>189</v>
      </c>
      <c r="G144" s="54" t="s">
        <v>206</v>
      </c>
      <c r="H144" s="54" t="s">
        <v>207</v>
      </c>
      <c r="I144" s="54" t="s">
        <v>208</v>
      </c>
      <c r="J144" s="54" t="s">
        <v>209</v>
      </c>
    </row>
    <row r="145" spans="4:22" ht="20.100000000000001" customHeight="1" x14ac:dyDescent="0.25">
      <c r="D145" s="139" t="str">
        <f>'Input - Dairy'!$D$54</f>
        <v>Milking shed</v>
      </c>
      <c r="E145" s="139" t="str">
        <f>'Input - Dairy'!$D$67</f>
        <v>Anaerobic lagoon</v>
      </c>
      <c r="F145" s="137">
        <f>'Input - Dairy'!E138</f>
        <v>0.25</v>
      </c>
      <c r="G145" s="137">
        <f>'Input - Dairy'!F138</f>
        <v>0.25</v>
      </c>
      <c r="H145" s="137">
        <f>'Input - Dairy'!G138</f>
        <v>0.25</v>
      </c>
      <c r="I145" s="137">
        <f>'Input - Dairy'!H138</f>
        <v>0.25</v>
      </c>
      <c r="J145" s="137">
        <f>'Input - Dairy'!I138</f>
        <v>0.25</v>
      </c>
      <c r="K145" s="2" t="s">
        <v>101</v>
      </c>
    </row>
    <row r="146" spans="4:22" ht="20.100000000000001" customHeight="1" x14ac:dyDescent="0.25">
      <c r="D146" s="139" t="str">
        <f>'Input - Dairy'!$D$54</f>
        <v>Milking shed</v>
      </c>
      <c r="E146" s="139" t="str">
        <f>'Input - Dairy'!$D$72</f>
        <v>Sump and dispersal system</v>
      </c>
      <c r="F146" s="137">
        <f>'Input - Dairy'!E143</f>
        <v>0.25</v>
      </c>
      <c r="G146" s="137">
        <f>'Input - Dairy'!F143</f>
        <v>0.25</v>
      </c>
      <c r="H146" s="137">
        <f>'Input - Dairy'!G143</f>
        <v>0.25</v>
      </c>
      <c r="I146" s="137">
        <f>'Input - Dairy'!H143</f>
        <v>0.25</v>
      </c>
      <c r="J146" s="137">
        <f>'Input - Dairy'!I143</f>
        <v>0.25</v>
      </c>
      <c r="K146" s="2" t="s">
        <v>101</v>
      </c>
    </row>
    <row r="147" spans="4:22" ht="20.100000000000001" customHeight="1" x14ac:dyDescent="0.25">
      <c r="D147" s="139" t="str">
        <f>'Input - Dairy'!$D$54</f>
        <v>Milking shed</v>
      </c>
      <c r="E147" s="139" t="str">
        <f>'Input - Dairy'!$D$77</f>
        <v>Drains to paddock</v>
      </c>
      <c r="F147" s="137">
        <f>'Input - Dairy'!E148</f>
        <v>0.25</v>
      </c>
      <c r="G147" s="137">
        <f>'Input - Dairy'!F148</f>
        <v>0.25</v>
      </c>
      <c r="H147" s="137">
        <f>'Input - Dairy'!G148</f>
        <v>0.25</v>
      </c>
      <c r="I147" s="137">
        <f>'Input - Dairy'!H148</f>
        <v>0.25</v>
      </c>
      <c r="J147" s="137">
        <f>'Input - Dairy'!I148</f>
        <v>0.25</v>
      </c>
      <c r="K147" s="2" t="s">
        <v>101</v>
      </c>
    </row>
    <row r="148" spans="4:22" ht="20.100000000000001" customHeight="1" x14ac:dyDescent="0.25">
      <c r="D148" s="139" t="str">
        <f>'Input - Dairy'!$D$54</f>
        <v>Milking shed</v>
      </c>
      <c r="E148" s="139" t="str">
        <f>'Input - Dairy'!$D$82</f>
        <v>Solid storage</v>
      </c>
      <c r="F148" s="137">
        <f>'Input - Dairy'!E153</f>
        <v>0.25</v>
      </c>
      <c r="G148" s="137">
        <f>'Input - Dairy'!F153</f>
        <v>0.25</v>
      </c>
      <c r="H148" s="137">
        <f>'Input - Dairy'!G153</f>
        <v>0.25</v>
      </c>
      <c r="I148" s="137">
        <f>'Input - Dairy'!H153</f>
        <v>0.25</v>
      </c>
      <c r="J148" s="137">
        <f>'Input - Dairy'!I153</f>
        <v>0.25</v>
      </c>
      <c r="K148" s="2" t="s">
        <v>101</v>
      </c>
    </row>
    <row r="149" spans="4:22" ht="20.100000000000001" customHeight="1" x14ac:dyDescent="0.25">
      <c r="D149" s="139" t="str">
        <f>'Input - Dairy'!$D$55</f>
        <v>Feed pad</v>
      </c>
      <c r="E149" s="139" t="str">
        <f>'Input - Dairy'!$D$101</f>
        <v>Anaerobic lagoon</v>
      </c>
      <c r="F149" s="137">
        <f>'Input - Dairy'!E162</f>
        <v>0.25</v>
      </c>
      <c r="G149" s="137">
        <f>'Input - Dairy'!F162</f>
        <v>0.25</v>
      </c>
      <c r="H149" s="137">
        <f>'Input - Dairy'!G162</f>
        <v>0.25</v>
      </c>
      <c r="I149" s="137">
        <f>'Input - Dairy'!H162</f>
        <v>0.25</v>
      </c>
      <c r="J149" s="137">
        <f>'Input - Dairy'!I162</f>
        <v>0.25</v>
      </c>
      <c r="K149" s="2" t="s">
        <v>101</v>
      </c>
    </row>
    <row r="150" spans="4:22" ht="20.100000000000001" customHeight="1" x14ac:dyDescent="0.25">
      <c r="D150" s="139" t="str">
        <f>'Input - Dairy'!$D$55</f>
        <v>Feed pad</v>
      </c>
      <c r="E150" s="139" t="str">
        <f>'Input - Dairy'!$D$106</f>
        <v>Sump and dispersal system</v>
      </c>
      <c r="F150" s="137">
        <f>'Input - Dairy'!E167</f>
        <v>0.25</v>
      </c>
      <c r="G150" s="137">
        <f>'Input - Dairy'!F167</f>
        <v>0.25</v>
      </c>
      <c r="H150" s="137">
        <f>'Input - Dairy'!G167</f>
        <v>0.25</v>
      </c>
      <c r="I150" s="137">
        <f>'Input - Dairy'!H167</f>
        <v>0.25</v>
      </c>
      <c r="J150" s="137">
        <f>'Input - Dairy'!I167</f>
        <v>0.25</v>
      </c>
      <c r="K150" s="2" t="s">
        <v>101</v>
      </c>
    </row>
    <row r="151" spans="4:22" ht="20.100000000000001" customHeight="1" x14ac:dyDescent="0.25">
      <c r="D151" s="139" t="str">
        <f>'Input - Dairy'!$D$55</f>
        <v>Feed pad</v>
      </c>
      <c r="E151" s="139" t="str">
        <f>'Input - Dairy'!$D$111</f>
        <v>Drains to paddock</v>
      </c>
      <c r="F151" s="137">
        <f>'Input - Dairy'!E172</f>
        <v>0.25</v>
      </c>
      <c r="G151" s="137">
        <f>'Input - Dairy'!F172</f>
        <v>0.25</v>
      </c>
      <c r="H151" s="137">
        <f>'Input - Dairy'!G172</f>
        <v>0.25</v>
      </c>
      <c r="I151" s="137">
        <f>'Input - Dairy'!H172</f>
        <v>0.25</v>
      </c>
      <c r="J151" s="137">
        <f>'Input - Dairy'!I172</f>
        <v>0.25</v>
      </c>
      <c r="K151" s="2" t="s">
        <v>101</v>
      </c>
    </row>
    <row r="152" spans="4:22" ht="20.100000000000001" customHeight="1" x14ac:dyDescent="0.25">
      <c r="D152" s="139" t="str">
        <f>'Input - Dairy'!$D$55</f>
        <v>Feed pad</v>
      </c>
      <c r="E152" s="139" t="str">
        <f>'Input - Dairy'!$D$116</f>
        <v>Solid storage</v>
      </c>
      <c r="F152" s="137">
        <f>'Input - Dairy'!E177</f>
        <v>0.25</v>
      </c>
      <c r="G152" s="137">
        <f>'Input - Dairy'!F177</f>
        <v>0.25</v>
      </c>
      <c r="H152" s="137">
        <f>'Input - Dairy'!G177</f>
        <v>0.25</v>
      </c>
      <c r="I152" s="137">
        <f>'Input - Dairy'!H177</f>
        <v>0.25</v>
      </c>
      <c r="J152" s="137">
        <f>'Input - Dairy'!I177</f>
        <v>0.25</v>
      </c>
      <c r="K152" s="2" t="s">
        <v>101</v>
      </c>
    </row>
    <row r="153" spans="4:22" ht="20.100000000000001" customHeight="1" x14ac:dyDescent="0.25"/>
    <row r="154" spans="4:22" ht="20.100000000000001" customHeight="1" x14ac:dyDescent="0.25">
      <c r="D154" s="104" t="s">
        <v>140</v>
      </c>
      <c r="O154" s="104" t="s">
        <v>141</v>
      </c>
    </row>
    <row r="155" spans="4:22" ht="20.100000000000001" customHeight="1" x14ac:dyDescent="0.25">
      <c r="D155" s="103" t="s">
        <v>143</v>
      </c>
      <c r="O155" s="103" t="s">
        <v>142</v>
      </c>
    </row>
    <row r="156" spans="4:22" ht="20.100000000000001" customHeight="1" x14ac:dyDescent="0.25">
      <c r="D156" s="54" t="s">
        <v>159</v>
      </c>
      <c r="E156" s="54" t="s">
        <v>69</v>
      </c>
      <c r="F156" s="54" t="s">
        <v>189</v>
      </c>
      <c r="G156" s="54" t="s">
        <v>206</v>
      </c>
      <c r="H156" s="54" t="s">
        <v>207</v>
      </c>
      <c r="I156" s="54" t="s">
        <v>208</v>
      </c>
      <c r="J156" s="54" t="s">
        <v>209</v>
      </c>
      <c r="O156" s="54" t="s">
        <v>159</v>
      </c>
      <c r="P156" s="54" t="s">
        <v>69</v>
      </c>
      <c r="Q156" s="54" t="s">
        <v>189</v>
      </c>
      <c r="R156" s="54" t="s">
        <v>206</v>
      </c>
      <c r="S156" s="54" t="s">
        <v>207</v>
      </c>
      <c r="T156" s="54" t="s">
        <v>208</v>
      </c>
      <c r="U156" s="54" t="s">
        <v>209</v>
      </c>
    </row>
    <row r="157" spans="4:22" ht="20.100000000000001" customHeight="1" x14ac:dyDescent="0.25">
      <c r="D157" s="139" t="str">
        <f>'Input - Dairy'!$D$54</f>
        <v>Milking shed</v>
      </c>
      <c r="E157" s="139" t="str">
        <f>'Input - Dairy'!$D$67</f>
        <v>Anaerobic lagoon</v>
      </c>
      <c r="F157" s="55" cm="1">
        <f t="array" ref="F157">MMS_Dairy_ManureAppliedToSoils_Equations.VEERG_4_3_1_8__1_MassOfNitrogenAppliedToSoilsScope1(F23,$E64,$E73,F35,F145)</f>
        <v>33.429080970376553</v>
      </c>
      <c r="G157" s="55" cm="1">
        <f t="array" ref="G157">MMS_Dairy_ManureAppliedToSoils_Equations.VEERG_4_3_1_8__1_MassOfNitrogenAppliedToSoilsScope1(G23,$E64,$E73,G35,G145)</f>
        <v>28.721369671756776</v>
      </c>
      <c r="H157" s="55" cm="1">
        <f t="array" ref="H157">MMS_Dairy_ManureAppliedToSoils_Equations.VEERG_4_3_1_8__1_MassOfNitrogenAppliedToSoilsScope1(H23,$E64,$E73,H35,H145)</f>
        <v>11.439417799505339</v>
      </c>
      <c r="I157" s="55" cm="1">
        <f t="array" ref="I157">MMS_Dairy_ManureAppliedToSoils_Equations.VEERG_4_3_1_8__1_MassOfNitrogenAppliedToSoilsScope1(I23,$E64,$E73,I35,I145)</f>
        <v>36.10389757902928</v>
      </c>
      <c r="J157" s="55" cm="1">
        <f t="array" ref="J157">MMS_Dairy_ManureAppliedToSoils_Equations.VEERG_4_3_1_8__1_MassOfNitrogenAppliedToSoilsScope1(J23,$E64,$E73,J35,J145)</f>
        <v>15.114149989951228</v>
      </c>
      <c r="K157" s="2" t="str">
        <f>$E$112</f>
        <v>kg N</v>
      </c>
      <c r="O157" s="139" t="str">
        <f>'Input - Dairy'!$D$54</f>
        <v>Milking shed</v>
      </c>
      <c r="P157" s="139" t="str">
        <f>'Input - Dairy'!$D$67</f>
        <v>Anaerobic lagoon</v>
      </c>
      <c r="Q157" s="55" cm="1">
        <f t="array" ref="Q157">MMS_Dairy_ManureAppliedToSoils_Equations.VEERG_4_3_1_8__1_MassOfNitrogenAppliedToSoilsScope1(Q23,$E64,$E73,Q35,F145)</f>
        <v>33.429080970376553</v>
      </c>
      <c r="R157" s="55" cm="1">
        <f t="array" ref="R157">MMS_Dairy_ManureAppliedToSoils_Equations.VEERG_4_3_1_8__1_MassOfNitrogenAppliedToSoilsScope1(R23,$E64,$E73,R35,G145)</f>
        <v>28.721369671756776</v>
      </c>
      <c r="S157" s="55" cm="1">
        <f t="array" ref="S157">MMS_Dairy_ManureAppliedToSoils_Equations.VEERG_4_3_1_8__1_MassOfNitrogenAppliedToSoilsScope1(S23,$E64,$E73,S35,H145)</f>
        <v>11.439417799505339</v>
      </c>
      <c r="T157" s="55" cm="1">
        <f t="array" ref="T157">MMS_Dairy_ManureAppliedToSoils_Equations.VEERG_4_3_1_8__1_MassOfNitrogenAppliedToSoilsScope1(T23,$E64,$E73,T35,I145)</f>
        <v>36.10389757902928</v>
      </c>
      <c r="U157" s="55" cm="1">
        <f t="array" ref="U157">MMS_Dairy_ManureAppliedToSoils_Equations.VEERG_4_3_1_8__1_MassOfNitrogenAppliedToSoilsScope1(U23,$E64,$E73,U35,J145)</f>
        <v>15.114149989951228</v>
      </c>
      <c r="V157" s="2" t="str">
        <f>$E$112</f>
        <v>kg N</v>
      </c>
    </row>
    <row r="158" spans="4:22" ht="20.100000000000001" customHeight="1" x14ac:dyDescent="0.25">
      <c r="D158" s="139" t="str">
        <f>'Input - Dairy'!$D$54</f>
        <v>Milking shed</v>
      </c>
      <c r="E158" s="139" t="str">
        <f>'Input - Dairy'!$D$72</f>
        <v>Sump and dispersal system</v>
      </c>
      <c r="F158" s="55" cm="1">
        <f t="array" ref="F158">MMS_Dairy_ManureAppliedToSoils_Equations.VEERG_4_3_1_8__1_MassOfNitrogenAppliedToSoilsScope1(F24,$E65,$E74,F36,F146)</f>
        <v>48.286450290543904</v>
      </c>
      <c r="G158" s="55" cm="1">
        <f t="array" ref="G158">MMS_Dairy_ManureAppliedToSoils_Equations.VEERG_4_3_1_8__1_MassOfNitrogenAppliedToSoilsScope1(G24,$E65,$E74,G36,G146)</f>
        <v>41.486422859204225</v>
      </c>
      <c r="H158" s="55" cm="1">
        <f t="array" ref="H158">MMS_Dairy_ManureAppliedToSoils_Equations.VEERG_4_3_1_8__1_MassOfNitrogenAppliedToSoilsScope1(H24,$E65,$E74,H36,H146)</f>
        <v>16.523603488174381</v>
      </c>
      <c r="I158" s="55" cm="1">
        <f t="array" ref="I158">MMS_Dairy_ManureAppliedToSoils_Equations.VEERG_4_3_1_8__1_MassOfNitrogenAppliedToSoilsScope1(I24,$E65,$E74,I36,I146)</f>
        <v>52.150074280820064</v>
      </c>
      <c r="J158" s="55" cm="1">
        <f t="array" ref="J158">MMS_Dairy_ManureAppliedToSoils_Equations.VEERG_4_3_1_8__1_MassOfNitrogenAppliedToSoilsScope1(J24,$E65,$E74,J36,J146)</f>
        <v>21.831549985485104</v>
      </c>
      <c r="K158" s="2" t="str">
        <f t="shared" ref="K158:K164" si="7">$E$112</f>
        <v>kg N</v>
      </c>
      <c r="O158" s="139" t="str">
        <f>'Input - Dairy'!$D$54</f>
        <v>Milking shed</v>
      </c>
      <c r="P158" s="139" t="str">
        <f>'Input - Dairy'!$D$72</f>
        <v>Sump and dispersal system</v>
      </c>
      <c r="Q158" s="55" cm="1">
        <f t="array" ref="Q158">MMS_Dairy_ManureAppliedToSoils_Equations.VEERG_4_3_1_8__1_MassOfNitrogenAppliedToSoilsScope1(Q24,$E65,$E74,Q36,F146)</f>
        <v>48.286450290543904</v>
      </c>
      <c r="R158" s="55" cm="1">
        <f t="array" ref="R158">MMS_Dairy_ManureAppliedToSoils_Equations.VEERG_4_3_1_8__1_MassOfNitrogenAppliedToSoilsScope1(R24,$E65,$E74,R36,G146)</f>
        <v>41.486422859204225</v>
      </c>
      <c r="S158" s="55" cm="1">
        <f t="array" ref="S158">MMS_Dairy_ManureAppliedToSoils_Equations.VEERG_4_3_1_8__1_MassOfNitrogenAppliedToSoilsScope1(S24,$E65,$E74,S36,H146)</f>
        <v>16.523603488174381</v>
      </c>
      <c r="T158" s="55" cm="1">
        <f t="array" ref="T158">MMS_Dairy_ManureAppliedToSoils_Equations.VEERG_4_3_1_8__1_MassOfNitrogenAppliedToSoilsScope1(T24,$E65,$E74,T36,I146)</f>
        <v>52.150074280820064</v>
      </c>
      <c r="U158" s="55" cm="1">
        <f t="array" ref="U158">MMS_Dairy_ManureAppliedToSoils_Equations.VEERG_4_3_1_8__1_MassOfNitrogenAppliedToSoilsScope1(U24,$E65,$E74,U36,J146)</f>
        <v>21.831549985485104</v>
      </c>
      <c r="V158" s="2" t="str">
        <f t="shared" ref="V158:V164" si="8">$E$112</f>
        <v>kg N</v>
      </c>
    </row>
    <row r="159" spans="4:22" ht="20.100000000000001" customHeight="1" x14ac:dyDescent="0.25">
      <c r="D159" s="139" t="str">
        <f>'Input - Dairy'!$D$54</f>
        <v>Milking shed</v>
      </c>
      <c r="E159" s="139" t="str">
        <f>'Input - Dairy'!$D$77</f>
        <v>Drains to paddock</v>
      </c>
      <c r="F159" s="55" cm="1">
        <f t="array" ref="F159">MMS_Dairy_ManureAppliedToSoils_Equations.VEERG_4_3_1_8__1_MassOfNitrogenAppliedToSoilsScope1(F25,$E66,$E75,F37,F147)</f>
        <v>41.388385963323351</v>
      </c>
      <c r="G159" s="55" cm="1">
        <f t="array" ref="G159">MMS_Dairy_ManureAppliedToSoils_Equations.VEERG_4_3_1_8__1_MassOfNitrogenAppliedToSoilsScope1(G25,$E66,$E75,G37,G147)</f>
        <v>35.559791022175055</v>
      </c>
      <c r="H159" s="55" cm="1">
        <f t="array" ref="H159">MMS_Dairy_ManureAppliedToSoils_Equations.VEERG_4_3_1_8__1_MassOfNitrogenAppliedToSoilsScope1(H25,$E66,$E75,H37,H147)</f>
        <v>14.163088704149468</v>
      </c>
      <c r="I159" s="55" cm="1">
        <f t="array" ref="I159">MMS_Dairy_ManureAppliedToSoils_Equations.VEERG_4_3_1_8__1_MassOfNitrogenAppliedToSoilsScope1(I25,$E66,$E75,I37,I147)</f>
        <v>44.70006366927435</v>
      </c>
      <c r="J159" s="55" cm="1">
        <f t="array" ref="J159">MMS_Dairy_ManureAppliedToSoils_Equations.VEERG_4_3_1_8__1_MassOfNitrogenAppliedToSoilsScope1(J25,$E66,$E75,J37,J147)</f>
        <v>18.712757130415806</v>
      </c>
      <c r="K159" s="2" t="str">
        <f t="shared" si="7"/>
        <v>kg N</v>
      </c>
      <c r="O159" s="139" t="str">
        <f>'Input - Dairy'!$D$54</f>
        <v>Milking shed</v>
      </c>
      <c r="P159" s="139" t="str">
        <f>'Input - Dairy'!$D$77</f>
        <v>Drains to paddock</v>
      </c>
      <c r="Q159" s="55" cm="1">
        <f t="array" ref="Q159">MMS_Dairy_ManureAppliedToSoils_Equations.VEERG_4_3_1_8__1_MassOfNitrogenAppliedToSoilsScope1(Q25,$E66,$E75,Q37,F147)</f>
        <v>41.388385963323351</v>
      </c>
      <c r="R159" s="55" cm="1">
        <f t="array" ref="R159">MMS_Dairy_ManureAppliedToSoils_Equations.VEERG_4_3_1_8__1_MassOfNitrogenAppliedToSoilsScope1(R25,$E66,$E75,R37,G147)</f>
        <v>35.559791022175055</v>
      </c>
      <c r="S159" s="55" cm="1">
        <f t="array" ref="S159">MMS_Dairy_ManureAppliedToSoils_Equations.VEERG_4_3_1_8__1_MassOfNitrogenAppliedToSoilsScope1(S25,$E66,$E75,S37,H147)</f>
        <v>14.163088704149468</v>
      </c>
      <c r="T159" s="55" cm="1">
        <f t="array" ref="T159">MMS_Dairy_ManureAppliedToSoils_Equations.VEERG_4_3_1_8__1_MassOfNitrogenAppliedToSoilsScope1(T25,$E66,$E75,T37,I147)</f>
        <v>44.70006366927435</v>
      </c>
      <c r="U159" s="55" cm="1">
        <f t="array" ref="U159">MMS_Dairy_ManureAppliedToSoils_Equations.VEERG_4_3_1_8__1_MassOfNitrogenAppliedToSoilsScope1(U25,$E66,$E75,U37,J147)</f>
        <v>18.712757130415806</v>
      </c>
      <c r="V159" s="2" t="str">
        <f t="shared" si="8"/>
        <v>kg N</v>
      </c>
    </row>
    <row r="160" spans="4:22" ht="20.100000000000001" customHeight="1" x14ac:dyDescent="0.25">
      <c r="D160" s="139" t="str">
        <f>'Input - Dairy'!$D$54</f>
        <v>Milking shed</v>
      </c>
      <c r="E160" s="139" t="str">
        <f>'Input - Dairy'!$D$82</f>
        <v>Solid storage</v>
      </c>
      <c r="F160" s="55" cm="1">
        <f t="array" ref="F160">MMS_Dairy_ManureAppliedToSoils_Equations.VEERG_4_3_1_8__1_MassOfNitrogenAppliedToSoilsScope1(F26,$E67,$E76,F38,F148)</f>
        <v>71.633744936521182</v>
      </c>
      <c r="G160" s="55" cm="1">
        <f t="array" ref="G160">MMS_Dairy_ManureAppliedToSoils_Equations.VEERG_4_3_1_8__1_MassOfNitrogenAppliedToSoilsScope1(G26,$E67,$E76,G38,G148)</f>
        <v>61.545792153764516</v>
      </c>
      <c r="H160" s="55" cm="1">
        <f t="array" ref="H160">MMS_Dairy_ManureAppliedToSoils_Equations.VEERG_4_3_1_8__1_MassOfNitrogenAppliedToSoilsScope1(H26,$E67,$E76,H38,H148)</f>
        <v>24.51303814179715</v>
      </c>
      <c r="I160" s="55" cm="1">
        <f t="array" ref="I160">MMS_Dairy_ManureAppliedToSoils_Equations.VEERG_4_3_1_8__1_MassOfNitrogenAppliedToSoilsScope1(I26,$E67,$E76,I38,I148)</f>
        <v>77.365494812205597</v>
      </c>
      <c r="J160" s="55" cm="1">
        <f t="array" ref="J160">MMS_Dairy_ManureAppliedToSoils_Equations.VEERG_4_3_1_8__1_MassOfNitrogenAppliedToSoilsScope1(J26,$E67,$E76,J38,J148)</f>
        <v>32.387464264181197</v>
      </c>
      <c r="K160" s="2" t="str">
        <f t="shared" si="7"/>
        <v>kg N</v>
      </c>
      <c r="O160" s="139" t="str">
        <f>'Input - Dairy'!$D$54</f>
        <v>Milking shed</v>
      </c>
      <c r="P160" s="139" t="str">
        <f>'Input - Dairy'!$D$82</f>
        <v>Solid storage</v>
      </c>
      <c r="Q160" s="55" cm="1">
        <f t="array" ref="Q160">MMS_Dairy_ManureAppliedToSoils_Equations.VEERG_4_3_1_8__1_MassOfNitrogenAppliedToSoilsScope1(Q26,$E67,$E76,Q38,F148)</f>
        <v>71.633744936521182</v>
      </c>
      <c r="R160" s="55" cm="1">
        <f t="array" ref="R160">MMS_Dairy_ManureAppliedToSoils_Equations.VEERG_4_3_1_8__1_MassOfNitrogenAppliedToSoilsScope1(R26,$E67,$E76,R38,G148)</f>
        <v>61.545792153764516</v>
      </c>
      <c r="S160" s="55" cm="1">
        <f t="array" ref="S160">MMS_Dairy_ManureAppliedToSoils_Equations.VEERG_4_3_1_8__1_MassOfNitrogenAppliedToSoilsScope1(S26,$E67,$E76,S38,H148)</f>
        <v>24.51303814179715</v>
      </c>
      <c r="T160" s="55" cm="1">
        <f t="array" ref="T160">MMS_Dairy_ManureAppliedToSoils_Equations.VEERG_4_3_1_8__1_MassOfNitrogenAppliedToSoilsScope1(T26,$E67,$E76,T38,I148)</f>
        <v>77.365494812205597</v>
      </c>
      <c r="U160" s="55" cm="1">
        <f t="array" ref="U160">MMS_Dairy_ManureAppliedToSoils_Equations.VEERG_4_3_1_8__1_MassOfNitrogenAppliedToSoilsScope1(U26,$E67,$E76,U38,J148)</f>
        <v>32.387464264181197</v>
      </c>
      <c r="V160" s="2" t="str">
        <f t="shared" si="8"/>
        <v>kg N</v>
      </c>
    </row>
    <row r="161" spans="3:23" ht="20.100000000000001" customHeight="1" x14ac:dyDescent="0.25">
      <c r="D161" s="139" t="str">
        <f>'Input - Dairy'!$D$55</f>
        <v>Feed pad</v>
      </c>
      <c r="E161" s="139" t="str">
        <f>'Input - Dairy'!$D$101</f>
        <v>Anaerobic lagoon</v>
      </c>
      <c r="F161" s="55" cm="1">
        <f t="array" ref="F161">MMS_Dairy_ManureAppliedToSoils_Equations.VEERG_4_3_1_8__1_MassOfNitrogenAppliedToSoilsScope1(F27,$E64,$E73,F39,F149)</f>
        <v>135.23582756197786</v>
      </c>
      <c r="G161" s="55" cm="1">
        <f t="array" ref="G161">MMS_Dairy_ManureAppliedToSoils_Equations.VEERG_4_3_1_8__1_MassOfNitrogenAppliedToSoilsScope1(G27,$E64,$E73,G39,G149)</f>
        <v>116.19099549028876</v>
      </c>
      <c r="H161" s="55" cm="1">
        <f t="array" ref="H161">MMS_Dairy_ManureAppliedToSoils_Equations.VEERG_4_3_1_8__1_MassOfNitrogenAppliedToSoilsScope1(H27,$E64,$E73,H39,H149)</f>
        <v>46.277644734362511</v>
      </c>
      <c r="I161" s="55" cm="1">
        <f t="array" ref="I161">MMS_Dairy_ManureAppliedToSoils_Equations.VEERG_4_3_1_8__1_MassOfNitrogenAppliedToSoilsScope1(I27,$E64,$E73,I39,I149)</f>
        <v>146.05667656970937</v>
      </c>
      <c r="J161" s="55" cm="1">
        <f t="array" ref="J161">MMS_Dairy_ManureAppliedToSoils_Equations.VEERG_4_3_1_8__1_MassOfNitrogenAppliedToSoilsScope1(J27,$E64,$E73,J39,J149)</f>
        <v>61.143606777529961</v>
      </c>
      <c r="K161" s="2" t="str">
        <f t="shared" si="7"/>
        <v>kg N</v>
      </c>
      <c r="O161" s="139" t="str">
        <f>'Input - Dairy'!$D$55</f>
        <v>Feed pad</v>
      </c>
      <c r="P161" s="139" t="str">
        <f>'Input - Dairy'!$D$101</f>
        <v>Anaerobic lagoon</v>
      </c>
      <c r="Q161" s="55" cm="1">
        <f t="array" ref="Q161">MMS_Dairy_ManureAppliedToSoils_Equations.VEERG_4_3_1_8__1_MassOfNitrogenAppliedToSoilsScope1(Q27,$E64,$E73,Q39,F149)</f>
        <v>135.23582756197786</v>
      </c>
      <c r="R161" s="55" cm="1">
        <f t="array" ref="R161">MMS_Dairy_ManureAppliedToSoils_Equations.VEERG_4_3_1_8__1_MassOfNitrogenAppliedToSoilsScope1(R27,$E64,$E73,R39,G149)</f>
        <v>116.19099549028876</v>
      </c>
      <c r="S161" s="55" cm="1">
        <f t="array" ref="S161">MMS_Dairy_ManureAppliedToSoils_Equations.VEERG_4_3_1_8__1_MassOfNitrogenAppliedToSoilsScope1(S27,$E64,$E73,S39,H149)</f>
        <v>46.277644734362511</v>
      </c>
      <c r="T161" s="55" cm="1">
        <f t="array" ref="T161">MMS_Dairy_ManureAppliedToSoils_Equations.VEERG_4_3_1_8__1_MassOfNitrogenAppliedToSoilsScope1(T27,$E64,$E73,T39,I149)</f>
        <v>146.05667656970937</v>
      </c>
      <c r="U161" s="55" cm="1">
        <f t="array" ref="U161">MMS_Dairy_ManureAppliedToSoils_Equations.VEERG_4_3_1_8__1_MassOfNitrogenAppliedToSoilsScope1(U27,$E64,$E73,U39,J149)</f>
        <v>61.143606777529961</v>
      </c>
      <c r="V161" s="2" t="str">
        <f t="shared" si="8"/>
        <v>kg N</v>
      </c>
    </row>
    <row r="162" spans="3:23" ht="20.100000000000001" customHeight="1" x14ac:dyDescent="0.25">
      <c r="D162" s="139" t="str">
        <f>'Input - Dairy'!$D$55</f>
        <v>Feed pad</v>
      </c>
      <c r="E162" s="139" t="str">
        <f>'Input - Dairy'!$D$106</f>
        <v>Sump and dispersal system</v>
      </c>
      <c r="F162" s="55" cm="1">
        <f t="array" ref="F162">MMS_Dairy_ManureAppliedToSoils_Equations.VEERG_4_3_1_8__1_MassOfNitrogenAppliedToSoilsScope1(F28,$E65,$E74,F40,F150)</f>
        <v>156.27251184939661</v>
      </c>
      <c r="G162" s="55" cm="1">
        <f t="array" ref="G162">MMS_Dairy_ManureAppliedToSoils_Equations.VEERG_4_3_1_8__1_MassOfNitrogenAppliedToSoilsScope1(G28,$E65,$E74,G40,G150)</f>
        <v>134.26515034433368</v>
      </c>
      <c r="H162" s="55" cm="1">
        <f t="array" ref="H162">MMS_Dairy_ManureAppliedToSoils_Equations.VEERG_4_3_1_8__1_MassOfNitrogenAppliedToSoilsScope1(H28,$E65,$E74,H40,H150)</f>
        <v>53.476389470818894</v>
      </c>
      <c r="I162" s="55" cm="1">
        <f t="array" ref="I162">MMS_Dairy_ManureAppliedToSoils_Equations.VEERG_4_3_1_8__1_MassOfNitrogenAppliedToSoilsScope1(I28,$E65,$E74,I40,I150)</f>
        <v>168.77660403610855</v>
      </c>
      <c r="J162" s="55" cm="1">
        <f t="array" ref="J162">MMS_Dairy_ManureAppliedToSoils_Equations.VEERG_4_3_1_8__1_MassOfNitrogenAppliedToSoilsScope1(J28,$E65,$E74,J40,J150)</f>
        <v>70.654834498479062</v>
      </c>
      <c r="K162" s="2" t="str">
        <f t="shared" si="7"/>
        <v>kg N</v>
      </c>
      <c r="O162" s="139" t="str">
        <f>'Input - Dairy'!$D$55</f>
        <v>Feed pad</v>
      </c>
      <c r="P162" s="139" t="str">
        <f>'Input - Dairy'!$D$106</f>
        <v>Sump and dispersal system</v>
      </c>
      <c r="Q162" s="55" cm="1">
        <f t="array" ref="Q162">MMS_Dairy_ManureAppliedToSoils_Equations.VEERG_4_3_1_8__1_MassOfNitrogenAppliedToSoilsScope1(Q28,$E65,$E74,Q40,F150)</f>
        <v>156.27251184939661</v>
      </c>
      <c r="R162" s="55" cm="1">
        <f t="array" ref="R162">MMS_Dairy_ManureAppliedToSoils_Equations.VEERG_4_3_1_8__1_MassOfNitrogenAppliedToSoilsScope1(R28,$E65,$E74,R40,G150)</f>
        <v>134.26515034433368</v>
      </c>
      <c r="S162" s="55" cm="1">
        <f t="array" ref="S162">MMS_Dairy_ManureAppliedToSoils_Equations.VEERG_4_3_1_8__1_MassOfNitrogenAppliedToSoilsScope1(S28,$E65,$E74,S40,H150)</f>
        <v>53.476389470818894</v>
      </c>
      <c r="T162" s="55" cm="1">
        <f t="array" ref="T162">MMS_Dairy_ManureAppliedToSoils_Equations.VEERG_4_3_1_8__1_MassOfNitrogenAppliedToSoilsScope1(T28,$E65,$E74,T40,I150)</f>
        <v>168.77660403610855</v>
      </c>
      <c r="U162" s="55" cm="1">
        <f t="array" ref="U162">MMS_Dairy_ManureAppliedToSoils_Equations.VEERG_4_3_1_8__1_MassOfNitrogenAppliedToSoilsScope1(U28,$E65,$E74,U40,J150)</f>
        <v>70.654834498479062</v>
      </c>
      <c r="V162" s="2" t="str">
        <f t="shared" si="8"/>
        <v>kg N</v>
      </c>
    </row>
    <row r="163" spans="3:23" ht="20.100000000000001" customHeight="1" x14ac:dyDescent="0.25">
      <c r="D163" s="139" t="str">
        <f>'Input - Dairy'!$D$55</f>
        <v>Feed pad</v>
      </c>
      <c r="E163" s="139" t="str">
        <f>'Input - Dairy'!$D$111</f>
        <v>Drains to paddock</v>
      </c>
      <c r="F163" s="55" cm="1">
        <f t="array" ref="F163">MMS_Dairy_ManureAppliedToSoils_Equations.VEERG_4_3_1_8__1_MassOfNitrogenAppliedToSoilsScope1(F29,$E66,$E75,F41,F151)</f>
        <v>133.94786729948282</v>
      </c>
      <c r="G163" s="55" cm="1">
        <f t="array" ref="G163">MMS_Dairy_ManureAppliedToSoils_Equations.VEERG_4_3_1_8__1_MassOfNitrogenAppliedToSoilsScope1(G29,$E66,$E75,G41,G151)</f>
        <v>115.08441458085744</v>
      </c>
      <c r="H163" s="55" cm="1">
        <f t="array" ref="H163">MMS_Dairy_ManureAppliedToSoils_Equations.VEERG_4_3_1_8__1_MassOfNitrogenAppliedToSoilsScope1(H29,$E66,$E75,H41,H151)</f>
        <v>45.836905260701911</v>
      </c>
      <c r="I163" s="55" cm="1">
        <f t="array" ref="I163">MMS_Dairy_ManureAppliedToSoils_Equations.VEERG_4_3_1_8__1_MassOfNitrogenAppliedToSoilsScope1(I29,$E66,$E75,I41,I151)</f>
        <v>144.66566060237878</v>
      </c>
      <c r="J163" s="55" cm="1">
        <f t="array" ref="J163">MMS_Dairy_ManureAppliedToSoils_Equations.VEERG_4_3_1_8__1_MassOfNitrogenAppliedToSoilsScope1(J29,$E66,$E75,J41,J151)</f>
        <v>60.561286712982053</v>
      </c>
      <c r="K163" s="2" t="str">
        <f t="shared" si="7"/>
        <v>kg N</v>
      </c>
      <c r="O163" s="139" t="str">
        <f>'Input - Dairy'!$D$55</f>
        <v>Feed pad</v>
      </c>
      <c r="P163" s="139" t="str">
        <f>'Input - Dairy'!$D$111</f>
        <v>Drains to paddock</v>
      </c>
      <c r="Q163" s="55" cm="1">
        <f t="array" ref="Q163">MMS_Dairy_ManureAppliedToSoils_Equations.VEERG_4_3_1_8__1_MassOfNitrogenAppliedToSoilsScope1(Q29,$E66,$E75,Q41,F151)</f>
        <v>133.94786729948282</v>
      </c>
      <c r="R163" s="55" cm="1">
        <f t="array" ref="R163">MMS_Dairy_ManureAppliedToSoils_Equations.VEERG_4_3_1_8__1_MassOfNitrogenAppliedToSoilsScope1(R29,$E66,$E75,R41,G151)</f>
        <v>115.08441458085744</v>
      </c>
      <c r="S163" s="55" cm="1">
        <f t="array" ref="S163">MMS_Dairy_ManureAppliedToSoils_Equations.VEERG_4_3_1_8__1_MassOfNitrogenAppliedToSoilsScope1(S29,$E66,$E75,S41,H151)</f>
        <v>45.836905260701911</v>
      </c>
      <c r="T163" s="55" cm="1">
        <f t="array" ref="T163">MMS_Dairy_ManureAppliedToSoils_Equations.VEERG_4_3_1_8__1_MassOfNitrogenAppliedToSoilsScope1(T29,$E66,$E75,T41,I151)</f>
        <v>144.66566060237878</v>
      </c>
      <c r="U163" s="55" cm="1">
        <f t="array" ref="U163">MMS_Dairy_ManureAppliedToSoils_Equations.VEERG_4_3_1_8__1_MassOfNitrogenAppliedToSoilsScope1(U29,$E66,$E75,U41,J151)</f>
        <v>60.561286712982053</v>
      </c>
      <c r="V163" s="2" t="str">
        <f t="shared" si="8"/>
        <v>kg N</v>
      </c>
    </row>
    <row r="164" spans="3:23" ht="20.100000000000001" customHeight="1" x14ac:dyDescent="0.25">
      <c r="D164" s="139" t="str">
        <f>'Input - Dairy'!$D$55</f>
        <v>Feed pad</v>
      </c>
      <c r="E164" s="139" t="str">
        <f>'Input - Dairy'!$D$116</f>
        <v>Solid storage</v>
      </c>
      <c r="F164" s="55" cm="1">
        <f t="array" ref="F164">MMS_Dairy_ManureAppliedToSoils_Equations.VEERG_4_3_1_8__1_MassOfNitrogenAppliedToSoilsScope1(F30,$E67,$E76,F42,F152)</f>
        <v>202.85374134296677</v>
      </c>
      <c r="G164" s="55" cm="1">
        <f t="array" ref="G164">MMS_Dairy_ManureAppliedToSoils_Equations.VEERG_4_3_1_8__1_MassOfNitrogenAppliedToSoilsScope1(G30,$E67,$E76,G42,G152)</f>
        <v>174.28649323543314</v>
      </c>
      <c r="H164" s="55" cm="1">
        <f t="array" ref="H164">MMS_Dairy_ManureAppliedToSoils_Equations.VEERG_4_3_1_8__1_MassOfNitrogenAppliedToSoilsScope1(H30,$E67,$E76,H42,H152)</f>
        <v>69.416467101543759</v>
      </c>
      <c r="I164" s="55" cm="1">
        <f t="array" ref="I164">MMS_Dairy_ManureAppliedToSoils_Equations.VEERG_4_3_1_8__1_MassOfNitrogenAppliedToSoilsScope1(I30,$E67,$E76,I42,I152)</f>
        <v>219.08501485456401</v>
      </c>
      <c r="J164" s="55" cm="1">
        <f t="array" ref="J164">MMS_Dairy_ManureAppliedToSoils_Equations.VEERG_4_3_1_8__1_MassOfNitrogenAppliedToSoilsScope1(J30,$E67,$E76,J42,J152)</f>
        <v>91.715410166294944</v>
      </c>
      <c r="K164" s="2" t="str">
        <f t="shared" si="7"/>
        <v>kg N</v>
      </c>
      <c r="O164" s="139" t="str">
        <f>'Input - Dairy'!$D$55</f>
        <v>Feed pad</v>
      </c>
      <c r="P164" s="139" t="str">
        <f>'Input - Dairy'!$D$116</f>
        <v>Solid storage</v>
      </c>
      <c r="Q164" s="55" cm="1">
        <f t="array" ref="Q164">MMS_Dairy_ManureAppliedToSoils_Equations.VEERG_4_3_1_8__1_MassOfNitrogenAppliedToSoilsScope1(Q30,$E67,$E76,Q42,F152)</f>
        <v>202.85374134296677</v>
      </c>
      <c r="R164" s="55" cm="1">
        <f t="array" ref="R164">MMS_Dairy_ManureAppliedToSoils_Equations.VEERG_4_3_1_8__1_MassOfNitrogenAppliedToSoilsScope1(R30,$E67,$E76,R42,G152)</f>
        <v>174.28649323543314</v>
      </c>
      <c r="S164" s="55" cm="1">
        <f t="array" ref="S164">MMS_Dairy_ManureAppliedToSoils_Equations.VEERG_4_3_1_8__1_MassOfNitrogenAppliedToSoilsScope1(S30,$E67,$E76,S42,H152)</f>
        <v>69.416467101543759</v>
      </c>
      <c r="T164" s="55" cm="1">
        <f t="array" ref="T164">MMS_Dairy_ManureAppliedToSoils_Equations.VEERG_4_3_1_8__1_MassOfNitrogenAppliedToSoilsScope1(T30,$E67,$E76,T42,I152)</f>
        <v>219.08501485456401</v>
      </c>
      <c r="U164" s="55" cm="1">
        <f t="array" ref="U164">MMS_Dairy_ManureAppliedToSoils_Equations.VEERG_4_3_1_8__1_MassOfNitrogenAppliedToSoilsScope1(U30,$E67,$E76,U42,J152)</f>
        <v>91.715410166294944</v>
      </c>
      <c r="V164" s="2" t="str">
        <f t="shared" si="8"/>
        <v>kg N</v>
      </c>
    </row>
    <row r="165" spans="3:23" ht="20.100000000000001" customHeight="1" x14ac:dyDescent="0.25"/>
    <row r="166" spans="3:23" ht="20.100000000000001" customHeight="1" x14ac:dyDescent="0.25">
      <c r="D166" s="108" t="s">
        <v>151</v>
      </c>
      <c r="E166" s="109">
        <f>SUM(F157:J164)</f>
        <v>3072.8591402028655</v>
      </c>
      <c r="F166" s="110" t="str">
        <f>$E$112</f>
        <v>kg N</v>
      </c>
      <c r="O166" s="108" t="s">
        <v>151</v>
      </c>
      <c r="P166" s="109">
        <f>SUM(Q157:U164)</f>
        <v>3072.8591402028655</v>
      </c>
      <c r="Q166" s="110" t="str">
        <f>$E$112</f>
        <v>kg N</v>
      </c>
    </row>
    <row r="167" spans="3:23" ht="20.100000000000001" customHeight="1" x14ac:dyDescent="0.25"/>
    <row r="168" spans="3:23" ht="20.100000000000001" customHeight="1" x14ac:dyDescent="0.25"/>
    <row r="169" spans="3:23" ht="20.100000000000001" customHeight="1" x14ac:dyDescent="0.25">
      <c r="C169" s="48"/>
      <c r="D169" s="48"/>
      <c r="E169" s="48"/>
      <c r="F169" s="48"/>
      <c r="G169" s="48"/>
      <c r="H169" s="48"/>
      <c r="I169" s="48"/>
      <c r="J169" s="48"/>
      <c r="K169" s="48"/>
      <c r="L169" s="48"/>
      <c r="N169" s="48"/>
      <c r="O169" s="48"/>
      <c r="P169" s="48"/>
      <c r="Q169" s="48"/>
      <c r="R169" s="48"/>
      <c r="S169" s="48"/>
      <c r="T169" s="48"/>
      <c r="U169" s="48"/>
      <c r="V169" s="48"/>
      <c r="W169" s="48"/>
    </row>
    <row r="170" spans="3:23" ht="20.100000000000001" customHeight="1" x14ac:dyDescent="0.25">
      <c r="D170" s="6" t="s">
        <v>149</v>
      </c>
    </row>
    <row r="171" spans="3:23" ht="20.100000000000001" customHeight="1" x14ac:dyDescent="0.25"/>
    <row r="172" spans="3:23" ht="20.100000000000001" customHeight="1" x14ac:dyDescent="0.25">
      <c r="D172" s="104" t="s">
        <v>144</v>
      </c>
    </row>
    <row r="173" spans="3:23" ht="20.100000000000001" customHeight="1" x14ac:dyDescent="0.25">
      <c r="D173" s="103" t="s">
        <v>145</v>
      </c>
    </row>
    <row r="174" spans="3:23" ht="20.100000000000001" customHeight="1" x14ac:dyDescent="0.25">
      <c r="D174" s="54" t="s">
        <v>159</v>
      </c>
      <c r="E174" s="54" t="s">
        <v>69</v>
      </c>
      <c r="F174" s="54" t="s">
        <v>189</v>
      </c>
      <c r="G174" s="54" t="s">
        <v>206</v>
      </c>
      <c r="H174" s="54" t="s">
        <v>207</v>
      </c>
      <c r="I174" s="54" t="s">
        <v>208</v>
      </c>
      <c r="J174" s="54" t="s">
        <v>209</v>
      </c>
    </row>
    <row r="175" spans="3:23" ht="20.100000000000001" customHeight="1" x14ac:dyDescent="0.25">
      <c r="D175" s="139" t="str">
        <f>'Input - Dairy'!$D$54</f>
        <v>Milking shed</v>
      </c>
      <c r="E175" s="139" t="str">
        <f>'Input - Dairy'!$D$67</f>
        <v>Anaerobic lagoon</v>
      </c>
      <c r="F175" s="137">
        <f>'Input - Dairy'!E137</f>
        <v>0.25</v>
      </c>
      <c r="G175" s="137">
        <f>'Input - Dairy'!F137</f>
        <v>0.25</v>
      </c>
      <c r="H175" s="137">
        <f>'Input - Dairy'!G137</f>
        <v>0.25</v>
      </c>
      <c r="I175" s="137">
        <f>'Input - Dairy'!H137</f>
        <v>0.25</v>
      </c>
      <c r="J175" s="137">
        <f>'Input - Dairy'!I137</f>
        <v>0.25</v>
      </c>
      <c r="K175" s="2" t="s">
        <v>101</v>
      </c>
    </row>
    <row r="176" spans="3:23" ht="20.100000000000001" customHeight="1" x14ac:dyDescent="0.25">
      <c r="D176" s="139" t="str">
        <f>'Input - Dairy'!$D$54</f>
        <v>Milking shed</v>
      </c>
      <c r="E176" s="139" t="str">
        <f>'Input - Dairy'!$D$72</f>
        <v>Sump and dispersal system</v>
      </c>
      <c r="F176" s="137">
        <f>'Input - Dairy'!E142</f>
        <v>0.25</v>
      </c>
      <c r="G176" s="137">
        <f>'Input - Dairy'!F142</f>
        <v>0.25</v>
      </c>
      <c r="H176" s="137">
        <f>'Input - Dairy'!G142</f>
        <v>0.25</v>
      </c>
      <c r="I176" s="137">
        <f>'Input - Dairy'!H142</f>
        <v>0.25</v>
      </c>
      <c r="J176" s="137">
        <f>'Input - Dairy'!I142</f>
        <v>0.25</v>
      </c>
      <c r="K176" s="2" t="s">
        <v>101</v>
      </c>
    </row>
    <row r="177" spans="4:22" ht="20.100000000000001" customHeight="1" x14ac:dyDescent="0.25">
      <c r="D177" s="139" t="str">
        <f>'Input - Dairy'!$D$54</f>
        <v>Milking shed</v>
      </c>
      <c r="E177" s="139" t="str">
        <f>'Input - Dairy'!$D$77</f>
        <v>Drains to paddock</v>
      </c>
      <c r="F177" s="137">
        <f>'Input - Dairy'!E147</f>
        <v>0.25</v>
      </c>
      <c r="G177" s="137">
        <f>'Input - Dairy'!F147</f>
        <v>0.25</v>
      </c>
      <c r="H177" s="137">
        <f>'Input - Dairy'!G147</f>
        <v>0.25</v>
      </c>
      <c r="I177" s="137">
        <f>'Input - Dairy'!H147</f>
        <v>0.25</v>
      </c>
      <c r="J177" s="137">
        <f>'Input - Dairy'!I147</f>
        <v>0.25</v>
      </c>
      <c r="K177" s="2" t="s">
        <v>101</v>
      </c>
    </row>
    <row r="178" spans="4:22" ht="20.100000000000001" customHeight="1" x14ac:dyDescent="0.25">
      <c r="D178" s="139" t="str">
        <f>'Input - Dairy'!$D$54</f>
        <v>Milking shed</v>
      </c>
      <c r="E178" s="139" t="str">
        <f>'Input - Dairy'!$D$82</f>
        <v>Solid storage</v>
      </c>
      <c r="F178" s="137">
        <f>'Input - Dairy'!E152</f>
        <v>0.25</v>
      </c>
      <c r="G178" s="137">
        <f>'Input - Dairy'!F152</f>
        <v>0.25</v>
      </c>
      <c r="H178" s="137">
        <f>'Input - Dairy'!G152</f>
        <v>0.25</v>
      </c>
      <c r="I178" s="137">
        <f>'Input - Dairy'!H152</f>
        <v>0.25</v>
      </c>
      <c r="J178" s="137">
        <f>'Input - Dairy'!I152</f>
        <v>0.25</v>
      </c>
      <c r="K178" s="2" t="s">
        <v>101</v>
      </c>
    </row>
    <row r="179" spans="4:22" ht="20.100000000000001" customHeight="1" x14ac:dyDescent="0.25">
      <c r="D179" s="139" t="str">
        <f>'Input - Dairy'!$D$55</f>
        <v>Feed pad</v>
      </c>
      <c r="E179" s="139" t="str">
        <f>'Input - Dairy'!$D$101</f>
        <v>Anaerobic lagoon</v>
      </c>
      <c r="F179" s="137">
        <f>'Input - Dairy'!E161</f>
        <v>0.25</v>
      </c>
      <c r="G179" s="137">
        <f>'Input - Dairy'!F161</f>
        <v>0.25</v>
      </c>
      <c r="H179" s="137">
        <f>'Input - Dairy'!G161</f>
        <v>0.25</v>
      </c>
      <c r="I179" s="137">
        <f>'Input - Dairy'!H161</f>
        <v>0.25</v>
      </c>
      <c r="J179" s="137">
        <f>'Input - Dairy'!I161</f>
        <v>0.25</v>
      </c>
      <c r="K179" s="2" t="s">
        <v>101</v>
      </c>
    </row>
    <row r="180" spans="4:22" ht="20.100000000000001" customHeight="1" x14ac:dyDescent="0.25">
      <c r="D180" s="139" t="str">
        <f>'Input - Dairy'!$D$55</f>
        <v>Feed pad</v>
      </c>
      <c r="E180" s="139" t="str">
        <f>'Input - Dairy'!$D$106</f>
        <v>Sump and dispersal system</v>
      </c>
      <c r="F180" s="137">
        <f>'Input - Dairy'!E166</f>
        <v>0.25</v>
      </c>
      <c r="G180" s="137">
        <f>'Input - Dairy'!F166</f>
        <v>0.25</v>
      </c>
      <c r="H180" s="137">
        <f>'Input - Dairy'!G166</f>
        <v>0.25</v>
      </c>
      <c r="I180" s="137">
        <f>'Input - Dairy'!H166</f>
        <v>0.25</v>
      </c>
      <c r="J180" s="137">
        <f>'Input - Dairy'!I166</f>
        <v>0.25</v>
      </c>
      <c r="K180" s="2" t="s">
        <v>101</v>
      </c>
    </row>
    <row r="181" spans="4:22" ht="20.100000000000001" customHeight="1" x14ac:dyDescent="0.25">
      <c r="D181" s="139" t="str">
        <f>'Input - Dairy'!$D$55</f>
        <v>Feed pad</v>
      </c>
      <c r="E181" s="139" t="str">
        <f>'Input - Dairy'!$D$111</f>
        <v>Drains to paddock</v>
      </c>
      <c r="F181" s="137">
        <f>'Input - Dairy'!E171</f>
        <v>0.25</v>
      </c>
      <c r="G181" s="137">
        <f>'Input - Dairy'!F171</f>
        <v>0.25</v>
      </c>
      <c r="H181" s="137">
        <f>'Input - Dairy'!G171</f>
        <v>0.25</v>
      </c>
      <c r="I181" s="137">
        <f>'Input - Dairy'!H171</f>
        <v>0.25</v>
      </c>
      <c r="J181" s="137">
        <f>'Input - Dairy'!I171</f>
        <v>0.25</v>
      </c>
      <c r="K181" s="2" t="s">
        <v>101</v>
      </c>
    </row>
    <row r="182" spans="4:22" ht="20.100000000000001" customHeight="1" x14ac:dyDescent="0.25">
      <c r="D182" s="139" t="str">
        <f>'Input - Dairy'!$D$55</f>
        <v>Feed pad</v>
      </c>
      <c r="E182" s="139" t="str">
        <f>'Input - Dairy'!$D$116</f>
        <v>Solid storage</v>
      </c>
      <c r="F182" s="137">
        <f>'Input - Dairy'!E176</f>
        <v>0.25</v>
      </c>
      <c r="G182" s="137">
        <f>'Input - Dairy'!F176</f>
        <v>0.25</v>
      </c>
      <c r="H182" s="137">
        <f>'Input - Dairy'!G176</f>
        <v>0.25</v>
      </c>
      <c r="I182" s="137">
        <f>'Input - Dairy'!H176</f>
        <v>0.25</v>
      </c>
      <c r="J182" s="137">
        <f>'Input - Dairy'!I176</f>
        <v>0.25</v>
      </c>
      <c r="K182" s="2" t="s">
        <v>101</v>
      </c>
    </row>
    <row r="183" spans="4:22" ht="20.100000000000001" customHeight="1" x14ac:dyDescent="0.25"/>
    <row r="184" spans="4:22" ht="20.100000000000001" customHeight="1" x14ac:dyDescent="0.25">
      <c r="D184" s="104" t="s">
        <v>146</v>
      </c>
      <c r="O184" s="104" t="s">
        <v>147</v>
      </c>
    </row>
    <row r="185" spans="4:22" ht="20.100000000000001" customHeight="1" x14ac:dyDescent="0.25">
      <c r="D185" s="103" t="s">
        <v>143</v>
      </c>
      <c r="O185" s="103" t="s">
        <v>142</v>
      </c>
    </row>
    <row r="186" spans="4:22" ht="20.100000000000001" customHeight="1" x14ac:dyDescent="0.25">
      <c r="D186" s="54" t="s">
        <v>159</v>
      </c>
      <c r="E186" s="54" t="s">
        <v>69</v>
      </c>
      <c r="F186" s="54" t="s">
        <v>189</v>
      </c>
      <c r="G186" s="54" t="s">
        <v>206</v>
      </c>
      <c r="H186" s="54" t="s">
        <v>207</v>
      </c>
      <c r="I186" s="54" t="s">
        <v>208</v>
      </c>
      <c r="J186" s="54" t="s">
        <v>209</v>
      </c>
      <c r="O186" s="54" t="s">
        <v>159</v>
      </c>
      <c r="P186" s="54" t="s">
        <v>69</v>
      </c>
      <c r="Q186" s="54" t="s">
        <v>189</v>
      </c>
      <c r="R186" s="54" t="s">
        <v>206</v>
      </c>
      <c r="S186" s="54" t="s">
        <v>207</v>
      </c>
      <c r="T186" s="54" t="s">
        <v>208</v>
      </c>
      <c r="U186" s="54" t="s">
        <v>209</v>
      </c>
    </row>
    <row r="187" spans="4:22" ht="20.100000000000001" customHeight="1" x14ac:dyDescent="0.25">
      <c r="D187" s="139" t="str">
        <f>'Input - Dairy'!$D$54</f>
        <v>Milking shed</v>
      </c>
      <c r="E187" s="139" t="str">
        <f>'Input - Dairy'!$D$67</f>
        <v>Anaerobic lagoon</v>
      </c>
      <c r="F187" s="55" cm="1">
        <f t="array" ref="F187">MMS_Dairy_ManureAppliedToSoils_Equations.VEERG_4_3_1_8__1_MassOfNitrogenAppliedToSoilsScope1(F23,$E64,$E73,F35,F175)</f>
        <v>33.429080970376553</v>
      </c>
      <c r="G187" s="55" cm="1">
        <f t="array" ref="G187">MMS_Dairy_ManureAppliedToSoils_Equations.VEERG_4_3_1_8__1_MassOfNitrogenAppliedToSoilsScope1(G23,$E64,$E73,G35,G175)</f>
        <v>28.721369671756776</v>
      </c>
      <c r="H187" s="55" cm="1">
        <f t="array" ref="H187">MMS_Dairy_ManureAppliedToSoils_Equations.VEERG_4_3_1_8__1_MassOfNitrogenAppliedToSoilsScope1(H23,$E64,$E73,H35,H175)</f>
        <v>11.439417799505339</v>
      </c>
      <c r="I187" s="55" cm="1">
        <f t="array" ref="I187">MMS_Dairy_ManureAppliedToSoils_Equations.VEERG_4_3_1_8__1_MassOfNitrogenAppliedToSoilsScope1(I23,$E64,$E73,I35,I175)</f>
        <v>36.10389757902928</v>
      </c>
      <c r="J187" s="55" cm="1">
        <f t="array" ref="J187">MMS_Dairy_ManureAppliedToSoils_Equations.VEERG_4_3_1_8__1_MassOfNitrogenAppliedToSoilsScope1(J23,$E64,$E73,J35,J175)</f>
        <v>15.114149989951228</v>
      </c>
      <c r="K187" s="2" t="str">
        <f>$E$112</f>
        <v>kg N</v>
      </c>
      <c r="O187" s="139" t="str">
        <f>'Input - Dairy'!$D$54</f>
        <v>Milking shed</v>
      </c>
      <c r="P187" s="139" t="str">
        <f>'Input - Dairy'!$D$67</f>
        <v>Anaerobic lagoon</v>
      </c>
      <c r="Q187" s="55" cm="1">
        <f t="array" ref="Q187">MMS_Dairy_ManureAppliedToSoils_Equations.VEERG_4_3_1_8__1_MassOfNitrogenAppliedToSoilsScope1(Q23,$E64,$E73,Q35,F175)</f>
        <v>33.429080970376553</v>
      </c>
      <c r="R187" s="55" cm="1">
        <f t="array" ref="R187">MMS_Dairy_ManureAppliedToSoils_Equations.VEERG_4_3_1_8__1_MassOfNitrogenAppliedToSoilsScope1(R23,$E64,$E73,R35,G175)</f>
        <v>28.721369671756776</v>
      </c>
      <c r="S187" s="55" cm="1">
        <f t="array" ref="S187">MMS_Dairy_ManureAppliedToSoils_Equations.VEERG_4_3_1_8__1_MassOfNitrogenAppliedToSoilsScope1(S23,$E64,$E73,S35,H175)</f>
        <v>11.439417799505339</v>
      </c>
      <c r="T187" s="55" cm="1">
        <f t="array" ref="T187">MMS_Dairy_ManureAppliedToSoils_Equations.VEERG_4_3_1_8__1_MassOfNitrogenAppliedToSoilsScope1(T23,$E64,$E73,T35,I175)</f>
        <v>36.10389757902928</v>
      </c>
      <c r="U187" s="55" cm="1">
        <f t="array" ref="U187">MMS_Dairy_ManureAppliedToSoils_Equations.VEERG_4_3_1_8__1_MassOfNitrogenAppliedToSoilsScope1(U23,$E64,$E73,U35,J175)</f>
        <v>15.114149989951228</v>
      </c>
      <c r="V187" s="2" t="str">
        <f>$E$112</f>
        <v>kg N</v>
      </c>
    </row>
    <row r="188" spans="4:22" ht="20.100000000000001" customHeight="1" x14ac:dyDescent="0.25">
      <c r="D188" s="139" t="str">
        <f>'Input - Dairy'!$D$54</f>
        <v>Milking shed</v>
      </c>
      <c r="E188" s="139" t="str">
        <f>'Input - Dairy'!$D$72</f>
        <v>Sump and dispersal system</v>
      </c>
      <c r="F188" s="55" cm="1">
        <f t="array" ref="F188">MMS_Dairy_ManureAppliedToSoils_Equations.VEERG_4_3_1_8__1_MassOfNitrogenAppliedToSoilsScope1(F24,$E65,$E74,F36,F176)</f>
        <v>48.286450290543904</v>
      </c>
      <c r="G188" s="55" cm="1">
        <f t="array" ref="G188">MMS_Dairy_ManureAppliedToSoils_Equations.VEERG_4_3_1_8__1_MassOfNitrogenAppliedToSoilsScope1(G24,$E65,$E74,G36,G176)</f>
        <v>41.486422859204225</v>
      </c>
      <c r="H188" s="55" cm="1">
        <f t="array" ref="H188">MMS_Dairy_ManureAppliedToSoils_Equations.VEERG_4_3_1_8__1_MassOfNitrogenAppliedToSoilsScope1(H24,$E65,$E74,H36,H176)</f>
        <v>16.523603488174381</v>
      </c>
      <c r="I188" s="55" cm="1">
        <f t="array" ref="I188">MMS_Dairy_ManureAppliedToSoils_Equations.VEERG_4_3_1_8__1_MassOfNitrogenAppliedToSoilsScope1(I24,$E65,$E74,I36,I176)</f>
        <v>52.150074280820064</v>
      </c>
      <c r="J188" s="55" cm="1">
        <f t="array" ref="J188">MMS_Dairy_ManureAppliedToSoils_Equations.VEERG_4_3_1_8__1_MassOfNitrogenAppliedToSoilsScope1(J24,$E65,$E74,J36,J176)</f>
        <v>21.831549985485104</v>
      </c>
      <c r="K188" s="2" t="str">
        <f t="shared" ref="K188:K194" si="9">$E$112</f>
        <v>kg N</v>
      </c>
      <c r="O188" s="139" t="str">
        <f>'Input - Dairy'!$D$54</f>
        <v>Milking shed</v>
      </c>
      <c r="P188" s="139" t="str">
        <f>'Input - Dairy'!$D$72</f>
        <v>Sump and dispersal system</v>
      </c>
      <c r="Q188" s="55" cm="1">
        <f t="array" ref="Q188">MMS_Dairy_ManureAppliedToSoils_Equations.VEERG_4_3_1_8__1_MassOfNitrogenAppliedToSoilsScope1(Q24,$E65,$E74,Q36,F176)</f>
        <v>48.286450290543904</v>
      </c>
      <c r="R188" s="55" cm="1">
        <f t="array" ref="R188">MMS_Dairy_ManureAppliedToSoils_Equations.VEERG_4_3_1_8__1_MassOfNitrogenAppliedToSoilsScope1(R24,$E65,$E74,R36,G176)</f>
        <v>41.486422859204225</v>
      </c>
      <c r="S188" s="55" cm="1">
        <f t="array" ref="S188">MMS_Dairy_ManureAppliedToSoils_Equations.VEERG_4_3_1_8__1_MassOfNitrogenAppliedToSoilsScope1(S24,$E65,$E74,S36,H176)</f>
        <v>16.523603488174381</v>
      </c>
      <c r="T188" s="55" cm="1">
        <f t="array" ref="T188">MMS_Dairy_ManureAppliedToSoils_Equations.VEERG_4_3_1_8__1_MassOfNitrogenAppliedToSoilsScope1(T24,$E65,$E74,T36,I176)</f>
        <v>52.150074280820064</v>
      </c>
      <c r="U188" s="55" cm="1">
        <f t="array" ref="U188">MMS_Dairy_ManureAppliedToSoils_Equations.VEERG_4_3_1_8__1_MassOfNitrogenAppliedToSoilsScope1(U24,$E65,$E74,U36,J176)</f>
        <v>21.831549985485104</v>
      </c>
      <c r="V188" s="2" t="str">
        <f t="shared" ref="V188:V194" si="10">$E$112</f>
        <v>kg N</v>
      </c>
    </row>
    <row r="189" spans="4:22" ht="20.100000000000001" customHeight="1" x14ac:dyDescent="0.25">
      <c r="D189" s="139" t="str">
        <f>'Input - Dairy'!$D$54</f>
        <v>Milking shed</v>
      </c>
      <c r="E189" s="139" t="str">
        <f>'Input - Dairy'!$D$77</f>
        <v>Drains to paddock</v>
      </c>
      <c r="F189" s="55" cm="1">
        <f t="array" ref="F189">MMS_Dairy_ManureAppliedToSoils_Equations.VEERG_4_3_1_8__1_MassOfNitrogenAppliedToSoilsScope1(F25,$E66,$E75,F37,F177)</f>
        <v>41.388385963323351</v>
      </c>
      <c r="G189" s="55" cm="1">
        <f t="array" ref="G189">MMS_Dairy_ManureAppliedToSoils_Equations.VEERG_4_3_1_8__1_MassOfNitrogenAppliedToSoilsScope1(G25,$E66,$E75,G37,G177)</f>
        <v>35.559791022175055</v>
      </c>
      <c r="H189" s="55" cm="1">
        <f t="array" ref="H189">MMS_Dairy_ManureAppliedToSoils_Equations.VEERG_4_3_1_8__1_MassOfNitrogenAppliedToSoilsScope1(H25,$E66,$E75,H37,H177)</f>
        <v>14.163088704149468</v>
      </c>
      <c r="I189" s="55" cm="1">
        <f t="array" ref="I189">MMS_Dairy_ManureAppliedToSoils_Equations.VEERG_4_3_1_8__1_MassOfNitrogenAppliedToSoilsScope1(I25,$E66,$E75,I37,I177)</f>
        <v>44.70006366927435</v>
      </c>
      <c r="J189" s="55" cm="1">
        <f t="array" ref="J189">MMS_Dairy_ManureAppliedToSoils_Equations.VEERG_4_3_1_8__1_MassOfNitrogenAppliedToSoilsScope1(J25,$E66,$E75,J37,J177)</f>
        <v>18.712757130415806</v>
      </c>
      <c r="K189" s="2" t="str">
        <f t="shared" si="9"/>
        <v>kg N</v>
      </c>
      <c r="O189" s="139" t="str">
        <f>'Input - Dairy'!$D$54</f>
        <v>Milking shed</v>
      </c>
      <c r="P189" s="139" t="str">
        <f>'Input - Dairy'!$D$77</f>
        <v>Drains to paddock</v>
      </c>
      <c r="Q189" s="55" cm="1">
        <f t="array" ref="Q189">MMS_Dairy_ManureAppliedToSoils_Equations.VEERG_4_3_1_8__1_MassOfNitrogenAppliedToSoilsScope1(Q25,$E66,$E75,Q37,F177)</f>
        <v>41.388385963323351</v>
      </c>
      <c r="R189" s="55" cm="1">
        <f t="array" ref="R189">MMS_Dairy_ManureAppliedToSoils_Equations.VEERG_4_3_1_8__1_MassOfNitrogenAppliedToSoilsScope1(R25,$E66,$E75,R37,G177)</f>
        <v>35.559791022175055</v>
      </c>
      <c r="S189" s="55" cm="1">
        <f t="array" ref="S189">MMS_Dairy_ManureAppliedToSoils_Equations.VEERG_4_3_1_8__1_MassOfNitrogenAppliedToSoilsScope1(S25,$E66,$E75,S37,H177)</f>
        <v>14.163088704149468</v>
      </c>
      <c r="T189" s="55" cm="1">
        <f t="array" ref="T189">MMS_Dairy_ManureAppliedToSoils_Equations.VEERG_4_3_1_8__1_MassOfNitrogenAppliedToSoilsScope1(T25,$E66,$E75,T37,I177)</f>
        <v>44.70006366927435</v>
      </c>
      <c r="U189" s="55" cm="1">
        <f t="array" ref="U189">MMS_Dairy_ManureAppliedToSoils_Equations.VEERG_4_3_1_8__1_MassOfNitrogenAppliedToSoilsScope1(U25,$E66,$E75,U37,J177)</f>
        <v>18.712757130415806</v>
      </c>
      <c r="V189" s="2" t="str">
        <f t="shared" si="10"/>
        <v>kg N</v>
      </c>
    </row>
    <row r="190" spans="4:22" ht="20.100000000000001" customHeight="1" x14ac:dyDescent="0.25">
      <c r="D190" s="139" t="str">
        <f>'Input - Dairy'!$D$54</f>
        <v>Milking shed</v>
      </c>
      <c r="E190" s="139" t="str">
        <f>'Input - Dairy'!$D$82</f>
        <v>Solid storage</v>
      </c>
      <c r="F190" s="55" cm="1">
        <f t="array" ref="F190">MMS_Dairy_ManureAppliedToSoils_Equations.VEERG_4_3_1_8__1_MassOfNitrogenAppliedToSoilsScope1(F26,$E67,$E76,F38,F178)</f>
        <v>71.633744936521182</v>
      </c>
      <c r="G190" s="55" cm="1">
        <f t="array" ref="G190">MMS_Dairy_ManureAppliedToSoils_Equations.VEERG_4_3_1_8__1_MassOfNitrogenAppliedToSoilsScope1(G26,$E67,$E76,G38,G178)</f>
        <v>61.545792153764516</v>
      </c>
      <c r="H190" s="55" cm="1">
        <f t="array" ref="H190">MMS_Dairy_ManureAppliedToSoils_Equations.VEERG_4_3_1_8__1_MassOfNitrogenAppliedToSoilsScope1(H26,$E67,$E76,H38,H178)</f>
        <v>24.51303814179715</v>
      </c>
      <c r="I190" s="55" cm="1">
        <f t="array" ref="I190">MMS_Dairy_ManureAppliedToSoils_Equations.VEERG_4_3_1_8__1_MassOfNitrogenAppliedToSoilsScope1(I26,$E67,$E76,I38,I178)</f>
        <v>77.365494812205597</v>
      </c>
      <c r="J190" s="55" cm="1">
        <f t="array" ref="J190">MMS_Dairy_ManureAppliedToSoils_Equations.VEERG_4_3_1_8__1_MassOfNitrogenAppliedToSoilsScope1(J26,$E67,$E76,J38,J178)</f>
        <v>32.387464264181197</v>
      </c>
      <c r="K190" s="2" t="str">
        <f t="shared" si="9"/>
        <v>kg N</v>
      </c>
      <c r="O190" s="139" t="str">
        <f>'Input - Dairy'!$D$54</f>
        <v>Milking shed</v>
      </c>
      <c r="P190" s="139" t="str">
        <f>'Input - Dairy'!$D$82</f>
        <v>Solid storage</v>
      </c>
      <c r="Q190" s="55" cm="1">
        <f t="array" ref="Q190">MMS_Dairy_ManureAppliedToSoils_Equations.VEERG_4_3_1_8__1_MassOfNitrogenAppliedToSoilsScope1(Q26,$E67,$E76,Q38,F178)</f>
        <v>71.633744936521182</v>
      </c>
      <c r="R190" s="55" cm="1">
        <f t="array" ref="R190">MMS_Dairy_ManureAppliedToSoils_Equations.VEERG_4_3_1_8__1_MassOfNitrogenAppliedToSoilsScope1(R26,$E67,$E76,R38,G178)</f>
        <v>61.545792153764516</v>
      </c>
      <c r="S190" s="55" cm="1">
        <f t="array" ref="S190">MMS_Dairy_ManureAppliedToSoils_Equations.VEERG_4_3_1_8__1_MassOfNitrogenAppliedToSoilsScope1(S26,$E67,$E76,S38,H178)</f>
        <v>24.51303814179715</v>
      </c>
      <c r="T190" s="55" cm="1">
        <f t="array" ref="T190">MMS_Dairy_ManureAppliedToSoils_Equations.VEERG_4_3_1_8__1_MassOfNitrogenAppliedToSoilsScope1(T26,$E67,$E76,T38,I178)</f>
        <v>77.365494812205597</v>
      </c>
      <c r="U190" s="55" cm="1">
        <f t="array" ref="U190">MMS_Dairy_ManureAppliedToSoils_Equations.VEERG_4_3_1_8__1_MassOfNitrogenAppliedToSoilsScope1(U26,$E67,$E76,U38,J178)</f>
        <v>32.387464264181197</v>
      </c>
      <c r="V190" s="2" t="str">
        <f t="shared" si="10"/>
        <v>kg N</v>
      </c>
    </row>
    <row r="191" spans="4:22" ht="20.100000000000001" customHeight="1" x14ac:dyDescent="0.25">
      <c r="D191" s="139" t="str">
        <f>'Input - Dairy'!$D$55</f>
        <v>Feed pad</v>
      </c>
      <c r="E191" s="139" t="str">
        <f>'Input - Dairy'!$D$101</f>
        <v>Anaerobic lagoon</v>
      </c>
      <c r="F191" s="55" cm="1">
        <f t="array" ref="F191">MMS_Dairy_ManureAppliedToSoils_Equations.VEERG_4_3_1_8__1_MassOfNitrogenAppliedToSoilsScope1(F27,$E64,$E73,F39,F179)</f>
        <v>135.23582756197786</v>
      </c>
      <c r="G191" s="55" cm="1">
        <f t="array" ref="G191">MMS_Dairy_ManureAppliedToSoils_Equations.VEERG_4_3_1_8__1_MassOfNitrogenAppliedToSoilsScope1(G27,$E64,$E73,G39,G179)</f>
        <v>116.19099549028876</v>
      </c>
      <c r="H191" s="55" cm="1">
        <f t="array" ref="H191">MMS_Dairy_ManureAppliedToSoils_Equations.VEERG_4_3_1_8__1_MassOfNitrogenAppliedToSoilsScope1(H27,$E64,$E73,H39,H179)</f>
        <v>46.277644734362511</v>
      </c>
      <c r="I191" s="55" cm="1">
        <f t="array" ref="I191">MMS_Dairy_ManureAppliedToSoils_Equations.VEERG_4_3_1_8__1_MassOfNitrogenAppliedToSoilsScope1(I27,$E64,$E73,I39,I179)</f>
        <v>146.05667656970937</v>
      </c>
      <c r="J191" s="55" cm="1">
        <f t="array" ref="J191">MMS_Dairy_ManureAppliedToSoils_Equations.VEERG_4_3_1_8__1_MassOfNitrogenAppliedToSoilsScope1(J27,$E64,$E73,J39,J179)</f>
        <v>61.143606777529961</v>
      </c>
      <c r="K191" s="2" t="str">
        <f t="shared" si="9"/>
        <v>kg N</v>
      </c>
      <c r="O191" s="139" t="str">
        <f>'Input - Dairy'!$D$55</f>
        <v>Feed pad</v>
      </c>
      <c r="P191" s="139" t="str">
        <f>'Input - Dairy'!$D$101</f>
        <v>Anaerobic lagoon</v>
      </c>
      <c r="Q191" s="55" cm="1">
        <f t="array" ref="Q191">MMS_Dairy_ManureAppliedToSoils_Equations.VEERG_4_3_1_8__1_MassOfNitrogenAppliedToSoilsScope1(Q27,$E64,$E73,Q39,F179)</f>
        <v>135.23582756197786</v>
      </c>
      <c r="R191" s="55" cm="1">
        <f t="array" ref="R191">MMS_Dairy_ManureAppliedToSoils_Equations.VEERG_4_3_1_8__1_MassOfNitrogenAppliedToSoilsScope1(R27,$E64,$E73,R39,G179)</f>
        <v>116.19099549028876</v>
      </c>
      <c r="S191" s="55" cm="1">
        <f t="array" ref="S191">MMS_Dairy_ManureAppliedToSoils_Equations.VEERG_4_3_1_8__1_MassOfNitrogenAppliedToSoilsScope1(S27,$E64,$E73,S39,H179)</f>
        <v>46.277644734362511</v>
      </c>
      <c r="T191" s="55" cm="1">
        <f t="array" ref="T191">MMS_Dairy_ManureAppliedToSoils_Equations.VEERG_4_3_1_8__1_MassOfNitrogenAppliedToSoilsScope1(T27,$E64,$E73,T39,I179)</f>
        <v>146.05667656970937</v>
      </c>
      <c r="U191" s="55" cm="1">
        <f t="array" ref="U191">MMS_Dairy_ManureAppliedToSoils_Equations.VEERG_4_3_1_8__1_MassOfNitrogenAppliedToSoilsScope1(U27,$E64,$E73,U39,J179)</f>
        <v>61.143606777529961</v>
      </c>
      <c r="V191" s="2" t="str">
        <f t="shared" si="10"/>
        <v>kg N</v>
      </c>
    </row>
    <row r="192" spans="4:22" ht="20.100000000000001" customHeight="1" x14ac:dyDescent="0.25">
      <c r="D192" s="139" t="str">
        <f>'Input - Dairy'!$D$55</f>
        <v>Feed pad</v>
      </c>
      <c r="E192" s="139" t="str">
        <f>'Input - Dairy'!$D$106</f>
        <v>Sump and dispersal system</v>
      </c>
      <c r="F192" s="55" cm="1">
        <f t="array" ref="F192">MMS_Dairy_ManureAppliedToSoils_Equations.VEERG_4_3_1_8__1_MassOfNitrogenAppliedToSoilsScope1(F28,$E65,$E74,F40,F180)</f>
        <v>156.27251184939661</v>
      </c>
      <c r="G192" s="55" cm="1">
        <f t="array" ref="G192">MMS_Dairy_ManureAppliedToSoils_Equations.VEERG_4_3_1_8__1_MassOfNitrogenAppliedToSoilsScope1(G28,$E65,$E74,G40,G180)</f>
        <v>134.26515034433368</v>
      </c>
      <c r="H192" s="55" cm="1">
        <f t="array" ref="H192">MMS_Dairy_ManureAppliedToSoils_Equations.VEERG_4_3_1_8__1_MassOfNitrogenAppliedToSoilsScope1(H28,$E65,$E74,H40,H180)</f>
        <v>53.476389470818894</v>
      </c>
      <c r="I192" s="55" cm="1">
        <f t="array" ref="I192">MMS_Dairy_ManureAppliedToSoils_Equations.VEERG_4_3_1_8__1_MassOfNitrogenAppliedToSoilsScope1(I28,$E65,$E74,I40,I180)</f>
        <v>168.77660403610855</v>
      </c>
      <c r="J192" s="55" cm="1">
        <f t="array" ref="J192">MMS_Dairy_ManureAppliedToSoils_Equations.VEERG_4_3_1_8__1_MassOfNitrogenAppliedToSoilsScope1(J28,$E65,$E74,J40,J180)</f>
        <v>70.654834498479062</v>
      </c>
      <c r="K192" s="2" t="str">
        <f t="shared" si="9"/>
        <v>kg N</v>
      </c>
      <c r="O192" s="139" t="str">
        <f>'Input - Dairy'!$D$55</f>
        <v>Feed pad</v>
      </c>
      <c r="P192" s="139" t="str">
        <f>'Input - Dairy'!$D$106</f>
        <v>Sump and dispersal system</v>
      </c>
      <c r="Q192" s="55" cm="1">
        <f t="array" ref="Q192">MMS_Dairy_ManureAppliedToSoils_Equations.VEERG_4_3_1_8__1_MassOfNitrogenAppliedToSoilsScope1(Q28,$E65,$E74,Q40,F180)</f>
        <v>156.27251184939661</v>
      </c>
      <c r="R192" s="55" cm="1">
        <f t="array" ref="R192">MMS_Dairy_ManureAppliedToSoils_Equations.VEERG_4_3_1_8__1_MassOfNitrogenAppliedToSoilsScope1(R28,$E65,$E74,R40,G180)</f>
        <v>134.26515034433368</v>
      </c>
      <c r="S192" s="55" cm="1">
        <f t="array" ref="S192">MMS_Dairy_ManureAppliedToSoils_Equations.VEERG_4_3_1_8__1_MassOfNitrogenAppliedToSoilsScope1(S28,$E65,$E74,S40,H180)</f>
        <v>53.476389470818894</v>
      </c>
      <c r="T192" s="55" cm="1">
        <f t="array" ref="T192">MMS_Dairy_ManureAppliedToSoils_Equations.VEERG_4_3_1_8__1_MassOfNitrogenAppliedToSoilsScope1(T28,$E65,$E74,T40,I180)</f>
        <v>168.77660403610855</v>
      </c>
      <c r="U192" s="55" cm="1">
        <f t="array" ref="U192">MMS_Dairy_ManureAppliedToSoils_Equations.VEERG_4_3_1_8__1_MassOfNitrogenAppliedToSoilsScope1(U28,$E65,$E74,U40,J180)</f>
        <v>70.654834498479062</v>
      </c>
      <c r="V192" s="2" t="str">
        <f t="shared" si="10"/>
        <v>kg N</v>
      </c>
    </row>
    <row r="193" spans="4:22" ht="20.100000000000001" customHeight="1" x14ac:dyDescent="0.25">
      <c r="D193" s="139" t="str">
        <f>'Input - Dairy'!$D$55</f>
        <v>Feed pad</v>
      </c>
      <c r="E193" s="139" t="str">
        <f>'Input - Dairy'!$D$111</f>
        <v>Drains to paddock</v>
      </c>
      <c r="F193" s="55" cm="1">
        <f t="array" ref="F193">MMS_Dairy_ManureAppliedToSoils_Equations.VEERG_4_3_1_8__1_MassOfNitrogenAppliedToSoilsScope1(F29,$E66,$E75,F41,F181)</f>
        <v>133.94786729948282</v>
      </c>
      <c r="G193" s="55" cm="1">
        <f t="array" ref="G193">MMS_Dairy_ManureAppliedToSoils_Equations.VEERG_4_3_1_8__1_MassOfNitrogenAppliedToSoilsScope1(G29,$E66,$E75,G41,G181)</f>
        <v>115.08441458085744</v>
      </c>
      <c r="H193" s="55" cm="1">
        <f t="array" ref="H193">MMS_Dairy_ManureAppliedToSoils_Equations.VEERG_4_3_1_8__1_MassOfNitrogenAppliedToSoilsScope1(H29,$E66,$E75,H41,H181)</f>
        <v>45.836905260701911</v>
      </c>
      <c r="I193" s="55" cm="1">
        <f t="array" ref="I193">MMS_Dairy_ManureAppliedToSoils_Equations.VEERG_4_3_1_8__1_MassOfNitrogenAppliedToSoilsScope1(I29,$E66,$E75,I41,I181)</f>
        <v>144.66566060237878</v>
      </c>
      <c r="J193" s="55" cm="1">
        <f t="array" ref="J193">MMS_Dairy_ManureAppliedToSoils_Equations.VEERG_4_3_1_8__1_MassOfNitrogenAppliedToSoilsScope1(J29,$E66,$E75,J41,J181)</f>
        <v>60.561286712982053</v>
      </c>
      <c r="K193" s="2" t="str">
        <f t="shared" si="9"/>
        <v>kg N</v>
      </c>
      <c r="O193" s="139" t="str">
        <f>'Input - Dairy'!$D$55</f>
        <v>Feed pad</v>
      </c>
      <c r="P193" s="139" t="str">
        <f>'Input - Dairy'!$D$111</f>
        <v>Drains to paddock</v>
      </c>
      <c r="Q193" s="55" cm="1">
        <f t="array" ref="Q193">MMS_Dairy_ManureAppliedToSoils_Equations.VEERG_4_3_1_8__1_MassOfNitrogenAppliedToSoilsScope1(Q29,$E66,$E75,Q41,F181)</f>
        <v>133.94786729948282</v>
      </c>
      <c r="R193" s="55" cm="1">
        <f t="array" ref="R193">MMS_Dairy_ManureAppliedToSoils_Equations.VEERG_4_3_1_8__1_MassOfNitrogenAppliedToSoilsScope1(R29,$E66,$E75,R41,G181)</f>
        <v>115.08441458085744</v>
      </c>
      <c r="S193" s="55" cm="1">
        <f t="array" ref="S193">MMS_Dairy_ManureAppliedToSoils_Equations.VEERG_4_3_1_8__1_MassOfNitrogenAppliedToSoilsScope1(S29,$E66,$E75,S41,H181)</f>
        <v>45.836905260701911</v>
      </c>
      <c r="T193" s="55" cm="1">
        <f t="array" ref="T193">MMS_Dairy_ManureAppliedToSoils_Equations.VEERG_4_3_1_8__1_MassOfNitrogenAppliedToSoilsScope1(T29,$E66,$E75,T41,I181)</f>
        <v>144.66566060237878</v>
      </c>
      <c r="U193" s="55" cm="1">
        <f t="array" ref="U193">MMS_Dairy_ManureAppliedToSoils_Equations.VEERG_4_3_1_8__1_MassOfNitrogenAppliedToSoilsScope1(U29,$E66,$E75,U41,J181)</f>
        <v>60.561286712982053</v>
      </c>
      <c r="V193" s="2" t="str">
        <f t="shared" si="10"/>
        <v>kg N</v>
      </c>
    </row>
    <row r="194" spans="4:22" ht="20.100000000000001" customHeight="1" x14ac:dyDescent="0.25">
      <c r="D194" s="139" t="str">
        <f>'Input - Dairy'!$D$55</f>
        <v>Feed pad</v>
      </c>
      <c r="E194" s="139" t="str">
        <f>'Input - Dairy'!$D$116</f>
        <v>Solid storage</v>
      </c>
      <c r="F194" s="55" cm="1">
        <f t="array" ref="F194">MMS_Dairy_ManureAppliedToSoils_Equations.VEERG_4_3_1_8__1_MassOfNitrogenAppliedToSoilsScope1(F30,$E67,$E76,F42,F182)</f>
        <v>202.85374134296677</v>
      </c>
      <c r="G194" s="55" cm="1">
        <f t="array" ref="G194">MMS_Dairy_ManureAppliedToSoils_Equations.VEERG_4_3_1_8__1_MassOfNitrogenAppliedToSoilsScope1(G30,$E67,$E76,G42,G182)</f>
        <v>174.28649323543314</v>
      </c>
      <c r="H194" s="55" cm="1">
        <f t="array" ref="H194">MMS_Dairy_ManureAppliedToSoils_Equations.VEERG_4_3_1_8__1_MassOfNitrogenAppliedToSoilsScope1(H30,$E67,$E76,H42,H182)</f>
        <v>69.416467101543759</v>
      </c>
      <c r="I194" s="55" cm="1">
        <f t="array" ref="I194">MMS_Dairy_ManureAppliedToSoils_Equations.VEERG_4_3_1_8__1_MassOfNitrogenAppliedToSoilsScope1(I30,$E67,$E76,I42,I182)</f>
        <v>219.08501485456401</v>
      </c>
      <c r="J194" s="55" cm="1">
        <f t="array" ref="J194">MMS_Dairy_ManureAppliedToSoils_Equations.VEERG_4_3_1_8__1_MassOfNitrogenAppliedToSoilsScope1(J30,$E67,$E76,J42,J182)</f>
        <v>91.715410166294944</v>
      </c>
      <c r="K194" s="2" t="str">
        <f t="shared" si="9"/>
        <v>kg N</v>
      </c>
      <c r="O194" s="139" t="str">
        <f>'Input - Dairy'!$D$55</f>
        <v>Feed pad</v>
      </c>
      <c r="P194" s="139" t="str">
        <f>'Input - Dairy'!$D$116</f>
        <v>Solid storage</v>
      </c>
      <c r="Q194" s="55" cm="1">
        <f t="array" ref="Q194">MMS_Dairy_ManureAppliedToSoils_Equations.VEERG_4_3_1_8__1_MassOfNitrogenAppliedToSoilsScope1(Q30,$E67,$E76,Q42,F182)</f>
        <v>202.85374134296677</v>
      </c>
      <c r="R194" s="55" cm="1">
        <f t="array" ref="R194">MMS_Dairy_ManureAppliedToSoils_Equations.VEERG_4_3_1_8__1_MassOfNitrogenAppliedToSoilsScope1(R30,$E67,$E76,R42,G182)</f>
        <v>174.28649323543314</v>
      </c>
      <c r="S194" s="55" cm="1">
        <f t="array" ref="S194">MMS_Dairy_ManureAppliedToSoils_Equations.VEERG_4_3_1_8__1_MassOfNitrogenAppliedToSoilsScope1(S30,$E67,$E76,S42,H182)</f>
        <v>69.416467101543759</v>
      </c>
      <c r="T194" s="55" cm="1">
        <f t="array" ref="T194">MMS_Dairy_ManureAppliedToSoils_Equations.VEERG_4_3_1_8__1_MassOfNitrogenAppliedToSoilsScope1(T30,$E67,$E76,T42,I182)</f>
        <v>219.08501485456401</v>
      </c>
      <c r="U194" s="55" cm="1">
        <f t="array" ref="U194">MMS_Dairy_ManureAppliedToSoils_Equations.VEERG_4_3_1_8__1_MassOfNitrogenAppliedToSoilsScope1(U30,$E67,$E76,U42,J182)</f>
        <v>91.715410166294944</v>
      </c>
      <c r="V194" s="2" t="str">
        <f t="shared" si="10"/>
        <v>kg N</v>
      </c>
    </row>
    <row r="195" spans="4:22" ht="20.100000000000001" customHeight="1" x14ac:dyDescent="0.25"/>
    <row r="196" spans="4:22" ht="20.100000000000001" customHeight="1" x14ac:dyDescent="0.25">
      <c r="D196" s="108" t="s">
        <v>150</v>
      </c>
      <c r="E196" s="109">
        <f>SUM(F187:J194)</f>
        <v>3072.8591402028655</v>
      </c>
      <c r="F196" s="110" t="str">
        <f>$E$112</f>
        <v>kg N</v>
      </c>
      <c r="O196" s="108" t="s">
        <v>150</v>
      </c>
      <c r="P196" s="109">
        <f>SUM(Q187:U194)</f>
        <v>3072.8591402028655</v>
      </c>
      <c r="Q196" s="110" t="str">
        <f>$E$112</f>
        <v>kg N</v>
      </c>
    </row>
    <row r="197" spans="4:22" ht="20.100000000000001" customHeight="1" x14ac:dyDescent="0.25"/>
    <row r="198" spans="4:22" ht="20.100000000000001" customHeight="1" x14ac:dyDescent="0.25"/>
    <row r="199" spans="4:22" ht="20.100000000000001" customHeight="1" x14ac:dyDescent="0.25"/>
    <row r="200" spans="4:22" ht="20.100000000000001" customHeight="1" x14ac:dyDescent="0.25"/>
    <row r="201" spans="4:22" ht="20.100000000000001" customHeight="1" x14ac:dyDescent="0.25"/>
    <row r="202" spans="4:22" ht="20.100000000000001" customHeight="1" x14ac:dyDescent="0.25"/>
    <row r="203" spans="4:22" ht="20.100000000000001" customHeight="1" x14ac:dyDescent="0.25"/>
    <row r="204" spans="4:22" ht="20.100000000000001" customHeight="1" x14ac:dyDescent="0.25"/>
    <row r="205" spans="4:22" ht="20.100000000000001" customHeight="1" x14ac:dyDescent="0.25"/>
    <row r="206" spans="4:22" ht="20.100000000000001" customHeight="1" x14ac:dyDescent="0.25"/>
    <row r="207" spans="4:22" ht="20.100000000000001" customHeight="1" x14ac:dyDescent="0.25"/>
  </sheetData>
  <dataValidations disablePrompts="1" count="1">
    <dataValidation operator="equal" allowBlank="1" showInputMessage="1" showErrorMessage="1" sqref="E26 E23 P26 P23 E66 E63 E75 E72 P93 P96 E35 E38 P35 P38 E81 E84 E93 E96 E123 E126 P123 P126 E145 E148 E157 E160 P157 P160 E175 E178 E187 E190 P187 P190" xr:uid="{3CE1B7AD-39BD-4423-96DF-3D6853CFDB0B}"/>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394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MMS_Dairy_N2ODirect_Equations.VEERG_4_3_1_3__2_TotalNitrogenInEachMMS_Title()</f>
        <v>Total nitrogen in each MMS</v>
      </c>
    </row>
    <row r="6" spans="1:23" ht="20.100000000000001" customHeight="1" x14ac:dyDescent="0.25">
      <c r="A6" s="20" t="s">
        <v>3</v>
      </c>
      <c r="D6" s="5" t="str" cm="1">
        <f t="array" ref="D6">MMS_Dairy_N2ODirect_Equations.VEERG_4_3_1_3__2_TotalNitrogenInEachMMS_Source()</f>
        <v>VEERG 2026: 4.3.1.3, Equation (2)</v>
      </c>
    </row>
    <row r="7" spans="1:23" ht="20.100000000000001" customHeight="1" x14ac:dyDescent="0.25">
      <c r="A7" s="17" t="str">
        <f>HYPERLINK("#'Input - Site'!A1", "Site")</f>
        <v>Site</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Dairy'!A1", "Dairy")</f>
        <v>Dairy</v>
      </c>
    </row>
    <row r="9" spans="1:23" ht="20.100000000000001" customHeight="1" x14ac:dyDescent="0.25">
      <c r="A9" s="17"/>
      <c r="D9" s="6"/>
    </row>
    <row r="10" spans="1:23" ht="20.100000000000001" customHeight="1" x14ac:dyDescent="0.25">
      <c r="A10" s="19" t="s">
        <v>78</v>
      </c>
      <c r="D10" s="56" t="s">
        <v>31</v>
      </c>
      <c r="E10" s="1" t="str" cm="1">
        <f t="array" ref="E10">MMS_Dairy_N2ODirect_Equations.VEERG_4_3_1_3__2_TotalNitrogenInEachMMS_Variable()</f>
        <v>MN_jm</v>
      </c>
    </row>
    <row r="11" spans="1:23" ht="20.100000000000001" customHeight="1" x14ac:dyDescent="0.25">
      <c r="A11" s="17" t="str">
        <f>HYPERLINK("#'4.3.1.1-2 Methane'!A1", "4.3.1.1-2 Methane")</f>
        <v>4.3.1.1-2 Methane</v>
      </c>
      <c r="D11" s="56" t="s">
        <v>21</v>
      </c>
      <c r="E11" s="57" t="str" cm="1">
        <f t="array" ref="E11">MMS_Dairy_N2ODirect_Equations.VEERG_4_3_1_3__2_TotalNitrogenInEachMMS_Unit()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4">MMS_Dairy_N2ODirect_Equations.VEERG_4_3_1_3__2_TotalNitrogenInEachMMS_Arguments()</f>
        <v>AE_j</v>
      </c>
      <c r="E13" s="117" t="str">
        <v>total nitrogen excreted by each dairy class (kg N)</v>
      </c>
      <c r="F13" s="116"/>
      <c r="G13" s="115" t="str">
        <f>"See " &amp; D16</f>
        <v>See M1_Table_AE_j</v>
      </c>
    </row>
    <row r="14" spans="1:23" ht="20.100000000000001" customHeight="1" x14ac:dyDescent="0.25">
      <c r="A14" s="17" t="str">
        <f>HYPERLINK("#'4.3.1.6-7 Leaching and runoff'!A1", "4.3.1.6-7 Leaching and runoff")</f>
        <v>4.3.1.6-7 Leaching and runoff</v>
      </c>
      <c r="D14" s="115" t="str">
        <v>MMS_jm</v>
      </c>
      <c r="E14" s="117" t="str">
        <v>manure management system fraction for class j and system m</v>
      </c>
      <c r="F14" s="116"/>
      <c r="G14" s="115" t="str">
        <f>"See " &amp; D22</f>
        <v>See M1_Table_MMS_j_m-14</v>
      </c>
    </row>
    <row r="15" spans="1:23" ht="20.100000000000001" customHeight="1" x14ac:dyDescent="0.25">
      <c r="A15" s="17" t="str">
        <f>HYPERLINK("#'4.3.1.8 Manure applied to soils'!A1", "4.3.1.8 Manure applied to soils")</f>
        <v>4.3.1.8 Manure applied to soils</v>
      </c>
    </row>
    <row r="16" spans="1:23" ht="20.100000000000001" customHeight="1" x14ac:dyDescent="0.25">
      <c r="A16" s="22" t="str">
        <f>HYPERLINK("#'4.3.1.9 Soil direct N2O'!A1", "4.3.1.9 Soil direct N2O")</f>
        <v>4.3.1.9 Soil direct N2O</v>
      </c>
      <c r="D16" s="104" t="s">
        <v>125</v>
      </c>
    </row>
    <row r="17" spans="1:22" ht="20.100000000000001" customHeight="1" x14ac:dyDescent="0.25">
      <c r="A17" s="17" t="str">
        <f>HYPERLINK("#'4.3.1.10-11 Soil Atmos Dep'!A1", "4.3.1.10-11 Soil atm. deposition")</f>
        <v>4.3.1.10-11 Soil atm. deposition</v>
      </c>
      <c r="D17" s="103" t="s">
        <v>397</v>
      </c>
    </row>
    <row r="18" spans="1:22" ht="20.100000000000001" customHeight="1" x14ac:dyDescent="0.25">
      <c r="A18" s="17" t="str">
        <f>HYPERLINK("#'4.3.1.12-13 Soil leach runoff'!A1", "4.3.1.12-13 Soil leach &amp; runoff")</f>
        <v>4.3.1.12-13 Soil leach &amp; runoff</v>
      </c>
      <c r="D18" s="54" t="s">
        <v>189</v>
      </c>
      <c r="E18" s="54" t="s">
        <v>206</v>
      </c>
      <c r="F18" s="54" t="s">
        <v>207</v>
      </c>
      <c r="G18" s="54" t="s">
        <v>208</v>
      </c>
      <c r="H18" s="54" t="s">
        <v>209</v>
      </c>
    </row>
    <row r="19" spans="1:22" ht="20.100000000000001" customHeight="1" x14ac:dyDescent="0.25">
      <c r="A19" s="17"/>
      <c r="D19" s="55">
        <f>'4.3.1.3-4 Direct N20'!D169</f>
        <v>9647.642415693088</v>
      </c>
      <c r="E19" s="55">
        <f>'4.3.1.3-4 Direct N20'!E169</f>
        <v>8288.9955762645804</v>
      </c>
      <c r="F19" s="55">
        <f>'4.3.1.3-4 Direct N20'!F206</f>
        <v>3301.419278356519</v>
      </c>
      <c r="G19" s="55">
        <f>'4.3.1.3-4 Direct N20'!G169</f>
        <v>10419.59526090311</v>
      </c>
      <c r="H19" s="55">
        <f>'4.3.1.3-4 Direct N20'!H206</f>
        <v>4361.9480490479727</v>
      </c>
      <c r="I19" s="2" t="s">
        <v>135</v>
      </c>
    </row>
    <row r="20" spans="1:22" ht="20.100000000000001" customHeight="1" x14ac:dyDescent="0.25">
      <c r="A20" s="18" t="s">
        <v>4</v>
      </c>
    </row>
    <row r="21" spans="1:22" ht="20.100000000000001" customHeight="1" x14ac:dyDescent="0.25">
      <c r="A21" s="17" t="str">
        <f>HYPERLINK("#'Constants - Dairy'!A1", "Constants - Dairy")</f>
        <v>Constants - Dairy</v>
      </c>
    </row>
    <row r="22" spans="1:22" ht="20.100000000000001" customHeight="1" x14ac:dyDescent="0.25">
      <c r="A22" s="17" t="str">
        <f>HYPERLINK("#'Constants - Livestock'!A1", "Constants - Livestock")</f>
        <v>Constants - Livestock</v>
      </c>
      <c r="D22" s="104" t="s">
        <v>395</v>
      </c>
      <c r="O22" s="104" t="s">
        <v>395</v>
      </c>
    </row>
    <row r="23" spans="1:22" ht="20.100000000000001" customHeight="1" x14ac:dyDescent="0.25">
      <c r="A23" s="17" t="str">
        <f>HYPERLINK("#'Constants - Common'!A1", "Constants - Common")</f>
        <v>Constants - Common</v>
      </c>
      <c r="D23" s="103" t="s">
        <v>396</v>
      </c>
      <c r="O23" s="103" t="s">
        <v>396</v>
      </c>
    </row>
    <row r="24" spans="1:22" ht="20.100000000000001" customHeight="1" x14ac:dyDescent="0.25">
      <c r="A24" s="17" t="str">
        <f>HYPERLINK("#'Acknowledgements'!A1", "Acknowledgements")</f>
        <v>Acknowledgements</v>
      </c>
      <c r="D24" s="54" t="s">
        <v>159</v>
      </c>
      <c r="E24" s="54" t="s">
        <v>69</v>
      </c>
      <c r="F24" s="54" t="s">
        <v>189</v>
      </c>
      <c r="G24" s="54" t="s">
        <v>206</v>
      </c>
      <c r="H24" s="54" t="s">
        <v>207</v>
      </c>
      <c r="I24" s="54" t="s">
        <v>208</v>
      </c>
      <c r="J24" s="54" t="s">
        <v>209</v>
      </c>
      <c r="O24" s="54" t="s">
        <v>159</v>
      </c>
      <c r="P24" s="54" t="s">
        <v>69</v>
      </c>
      <c r="Q24" s="54" t="s">
        <v>189</v>
      </c>
      <c r="R24" s="54" t="s">
        <v>206</v>
      </c>
      <c r="S24" s="54" t="s">
        <v>207</v>
      </c>
      <c r="T24" s="54" t="s">
        <v>208</v>
      </c>
      <c r="U24" s="54" t="s">
        <v>209</v>
      </c>
    </row>
    <row r="25" spans="1:22" ht="20.100000000000001" customHeight="1" x14ac:dyDescent="0.25">
      <c r="D25" s="139" t="str">
        <f>'Input - Dairy'!$D$53</f>
        <v>Pasture</v>
      </c>
      <c r="E25" s="139" t="str">
        <f>'Constants - Livestock'!$E$27</f>
        <v>Pasture range and paddock</v>
      </c>
      <c r="F25" s="55">
        <f>'Input - Dairy'!E53</f>
        <v>0.53400000000000003</v>
      </c>
      <c r="G25" s="55">
        <f>'Input - Dairy'!F53</f>
        <v>0.53400000000000003</v>
      </c>
      <c r="H25" s="55">
        <f>'Input - Dairy'!G53</f>
        <v>0.53400000000000003</v>
      </c>
      <c r="I25" s="55">
        <f>'Input - Dairy'!H53</f>
        <v>0.53400000000000003</v>
      </c>
      <c r="J25" s="55">
        <f>'Input - Dairy'!I53</f>
        <v>0.53400000000000003</v>
      </c>
      <c r="K25" s="2" t="s">
        <v>101</v>
      </c>
      <c r="O25" s="139" t="str">
        <f>'Input - Dairy'!$D$53</f>
        <v>Pasture</v>
      </c>
      <c r="P25" s="139" t="str">
        <f>'Constants - Livestock'!$E$27</f>
        <v>Pasture range and paddock</v>
      </c>
      <c r="Q25" s="55">
        <f>'Input - Dairy'!E58</f>
        <v>0.53400000000000003</v>
      </c>
      <c r="R25" s="55">
        <f>'Input - Dairy'!F58</f>
        <v>0.53400000000000003</v>
      </c>
      <c r="S25" s="55">
        <f>'Input - Dairy'!G58</f>
        <v>0.53400000000000003</v>
      </c>
      <c r="T25" s="55">
        <f>'Input - Dairy'!H58</f>
        <v>0.53400000000000003</v>
      </c>
      <c r="U25" s="55">
        <f>'Input - Dairy'!I58</f>
        <v>0.53400000000000003</v>
      </c>
      <c r="V25" s="2" t="s">
        <v>101</v>
      </c>
    </row>
    <row r="26" spans="1:22" ht="20.100000000000001" customHeight="1" x14ac:dyDescent="0.25"/>
    <row r="27" spans="1:22" ht="20.100000000000001" customHeight="1" x14ac:dyDescent="0.25">
      <c r="Q27" s="147"/>
    </row>
    <row r="28" spans="1:22" ht="20.100000000000001" customHeight="1" x14ac:dyDescent="0.25">
      <c r="D28" s="104" t="s">
        <v>398</v>
      </c>
      <c r="O28" s="104" t="s">
        <v>400</v>
      </c>
    </row>
    <row r="29" spans="1:22" ht="20.100000000000001" customHeight="1" x14ac:dyDescent="0.25">
      <c r="D29" s="103" t="s">
        <v>399</v>
      </c>
      <c r="O29" s="103" t="s">
        <v>401</v>
      </c>
    </row>
    <row r="30" spans="1:22" ht="20.100000000000001" customHeight="1" x14ac:dyDescent="0.25">
      <c r="D30" s="54" t="s">
        <v>159</v>
      </c>
      <c r="E30" s="54" t="s">
        <v>69</v>
      </c>
      <c r="F30" s="54" t="s">
        <v>189</v>
      </c>
      <c r="G30" s="54" t="s">
        <v>206</v>
      </c>
      <c r="H30" s="54" t="s">
        <v>207</v>
      </c>
      <c r="I30" s="54" t="s">
        <v>208</v>
      </c>
      <c r="J30" s="54" t="s">
        <v>209</v>
      </c>
      <c r="O30" s="54" t="s">
        <v>159</v>
      </c>
      <c r="P30" s="54" t="s">
        <v>69</v>
      </c>
      <c r="Q30" s="54" t="s">
        <v>189</v>
      </c>
      <c r="R30" s="54" t="s">
        <v>206</v>
      </c>
      <c r="S30" s="54" t="s">
        <v>207</v>
      </c>
      <c r="T30" s="54" t="s">
        <v>208</v>
      </c>
      <c r="U30" s="54" t="s">
        <v>209</v>
      </c>
    </row>
    <row r="31" spans="1:22" ht="20.100000000000001" customHeight="1" x14ac:dyDescent="0.25">
      <c r="D31" s="139" t="str">
        <f>'Input - Dairy'!$D$53</f>
        <v>Pasture</v>
      </c>
      <c r="E31" s="139" t="str">
        <f>'Constants - Livestock'!$E$27</f>
        <v>Pasture range and paddock</v>
      </c>
      <c r="F31" s="55" cm="1">
        <f t="array" ref="F31">MMS_Dairy_N2ODirect_Equations.VEERG_4_3_1_3__2_TotalNitrogenInEachMMS(D19,F25)</f>
        <v>5151.8410499801093</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139" t="str">
        <f>'Input - Dairy'!$D$53</f>
        <v>Pasture</v>
      </c>
      <c r="P31" s="139" t="str">
        <f>'Constants - Livestock'!$E$27</f>
        <v>Pasture range and paddock</v>
      </c>
      <c r="Q31" s="55" cm="1">
        <f t="array" ref="Q31">MMS_Dairy_N2ODirect_Equations.VEERG_4_3_1_3__2_TotalNitrogenInEachMMS(D19,Q25)</f>
        <v>5151.8410499801093</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60" t="str" cm="1">
        <f t="array" ref="D43:E46">MMS_Dairy_Soil_N2ODirect_Equations.VEERG_4_3_1_9__1_DirectNitrousOxideEmissionsOnPasture_Arguments()</f>
        <v>MN_jm14</v>
      </c>
      <c r="E43" s="61" t="str">
        <v>mass of nitrogen excreted on pasture, range, and paddock for each dairy cattle class (kg N)</v>
      </c>
      <c r="F43" s="105"/>
      <c r="G43" s="62"/>
      <c r="H43" s="60" t="str">
        <f>"See " &amp; D28</f>
        <v>See M1_Table_MN_j_m-14</v>
      </c>
    </row>
    <row r="44" spans="3:23" ht="20.100000000000001" customHeight="1" x14ac:dyDescent="0.25">
      <c r="D44" s="60" t="str">
        <v>EF_PRP</v>
      </c>
      <c r="E44" s="61" t="str">
        <v>emission factor for nitrous oxide emissions for urine and dung deposited on PRP (kg N2O-N/kg N deposited)</v>
      </c>
      <c r="F44" s="105"/>
      <c r="G44" s="62"/>
      <c r="H44" s="60" cm="1">
        <f t="array" ref="H44">Common_InputFunctions.Utility_LookupValueInTable(H46, Table_SourceData_EFPastureRangeAndPaddock[Climate zone],Table_SourceData_EFPastureRangeAndPaddock[EFPRP])</f>
        <v>2E-3</v>
      </c>
    </row>
    <row r="45" spans="3:23" ht="20.100000000000001" customHeight="1" x14ac:dyDescent="0.25">
      <c r="D45" s="60" t="str">
        <v>C_N2O</v>
      </c>
      <c r="E45" s="61" t="str">
        <v>factor to convert elemental mass of N2O to molecular mass</v>
      </c>
      <c r="F45" s="105"/>
      <c r="G45" s="62"/>
      <c r="H45" s="60">
        <f>Common_InputFunctions.Utility_LookupValueInTableNumber("N2O",Table_GasToMolecularConversionFactor[Gas],Table_GasToMolecularConversionFactor[Conversion factor combined])</f>
        <v>1.5714285714285714</v>
      </c>
    </row>
    <row r="46" spans="3:23" ht="20.100000000000001" customHeight="1" x14ac:dyDescent="0.25">
      <c r="D46" s="60" t="str">
        <v>z</v>
      </c>
      <c r="E46" s="61" t="str">
        <v>Wet or dry climate zone</v>
      </c>
      <c r="F46" s="105"/>
      <c r="G46" s="62"/>
      <c r="H46" s="60" t="str">
        <f>'Input - Site'!$E$32</f>
        <v>Dry climate zone</v>
      </c>
    </row>
    <row r="47" spans="3:23" ht="20.100000000000001" customHeight="1" x14ac:dyDescent="0.25"/>
    <row r="48" spans="3:23" ht="20.100000000000001" customHeight="1" x14ac:dyDescent="0.25">
      <c r="D48" s="104" t="s">
        <v>127</v>
      </c>
      <c r="O48" s="104" t="s">
        <v>404</v>
      </c>
    </row>
    <row r="49" spans="4:22" ht="20.100000000000001" customHeight="1" x14ac:dyDescent="0.25">
      <c r="D49" s="103" t="s">
        <v>403</v>
      </c>
      <c r="O49" s="103" t="s">
        <v>405</v>
      </c>
    </row>
    <row r="50" spans="4:22" ht="20.100000000000001" customHeight="1" x14ac:dyDescent="0.25">
      <c r="D50" s="54" t="s">
        <v>159</v>
      </c>
      <c r="E50" s="54" t="s">
        <v>69</v>
      </c>
      <c r="F50" s="54" t="s">
        <v>189</v>
      </c>
      <c r="G50" s="54" t="s">
        <v>206</v>
      </c>
      <c r="H50" s="54" t="s">
        <v>207</v>
      </c>
      <c r="I50" s="54" t="s">
        <v>208</v>
      </c>
      <c r="J50" s="54" t="s">
        <v>209</v>
      </c>
      <c r="O50" s="54" t="s">
        <v>159</v>
      </c>
      <c r="P50" s="54" t="s">
        <v>69</v>
      </c>
      <c r="Q50" s="54" t="s">
        <v>189</v>
      </c>
      <c r="R50" s="54" t="s">
        <v>206</v>
      </c>
      <c r="S50" s="54" t="s">
        <v>207</v>
      </c>
      <c r="T50" s="54" t="s">
        <v>208</v>
      </c>
      <c r="U50" s="54" t="s">
        <v>209</v>
      </c>
    </row>
    <row r="51" spans="4:22" ht="20.100000000000001" customHeight="1" x14ac:dyDescent="0.25">
      <c r="D51" s="139" t="str">
        <f>'Input - Dairy'!$D$53</f>
        <v>Pasture</v>
      </c>
      <c r="E51" s="139" t="str">
        <f>'Constants - Livestock'!$E$27</f>
        <v>Pasture range and paddock</v>
      </c>
      <c r="F51" s="55" cm="1">
        <f t="array" ref="F51">MMS_Dairy_Soil_N2ODirect_Equations.VEERG_4_3_1_9__1_DirectNitrousOxideEmissionsOnPasture(F31,$H$44,$H$45)</f>
        <v>1.6191500442794628E-2</v>
      </c>
      <c r="G51" s="55" cm="1">
        <f t="array" ref="G51">MMS_Dairy_Soil_N2ODirect_Equations.VEERG_4_3_1_9__1_DirectNitrousOxideEmissionsOnPasture(G31,$H$44,$H$45)</f>
        <v>1.3911302861422326E-2</v>
      </c>
      <c r="H51" s="55" cm="1">
        <f t="array" ref="H51">MMS_Dairy_Soil_N2ODirect_Equations.VEERG_4_3_1_9__1_DirectNitrousOxideEmissionsOnPasture(H31,$H$44,$H$45)</f>
        <v>5.5407248117331984E-3</v>
      </c>
      <c r="I51" s="55" cm="1">
        <f t="array" ref="I51">MMS_Dairy_Soil_N2ODirect_Equations.VEERG_4_3_1_9__1_DirectNitrousOxideEmissionsOnPasture(I31,$H$44,$H$45)</f>
        <v>1.7487057875012819E-2</v>
      </c>
      <c r="J51" s="55" cm="1">
        <f t="array" ref="J51">MMS_Dairy_Soil_N2ODirect_Equations.VEERG_4_3_1_9__1_DirectNitrousOxideEmissionsOnPasture(J31,$H$44,$H$45)</f>
        <v>7.3205950971736563E-3</v>
      </c>
      <c r="K51" s="2" t="str">
        <f>$E$41</f>
        <v>t N2O</v>
      </c>
      <c r="O51" s="139" t="str">
        <f>'Input - Dairy'!$D$53</f>
        <v>Pasture</v>
      </c>
      <c r="P51" s="139" t="str">
        <f>'Constants - Livestock'!$E$27</f>
        <v>Pasture range and paddock</v>
      </c>
      <c r="Q51" s="55" cm="1">
        <f t="array" ref="Q51">MMS_Dairy_Soil_N2ODirect_Equations.VEERG_4_3_1_9__1_DirectNitrousOxideEmissionsOnPasture(Q31,$H$44,$H$45)</f>
        <v>1.6191500442794628E-2</v>
      </c>
      <c r="R51" s="55" cm="1">
        <f t="array" ref="R51">MMS_Dairy_Soil_N2ODirect_Equations.VEERG_4_3_1_9__1_DirectNitrousOxideEmissionsOnPasture(R31,$H$44,$H$45)</f>
        <v>1.3911302861422326E-2</v>
      </c>
      <c r="S51" s="55" cm="1">
        <f t="array" ref="S51">MMS_Dairy_Soil_N2ODirect_Equations.VEERG_4_3_1_9__1_DirectNitrousOxideEmissionsOnPasture(S31,$H$44,$H$45)</f>
        <v>5.5407248117331984E-3</v>
      </c>
      <c r="T51" s="55" cm="1">
        <f t="array" ref="T51">MMS_Dairy_Soil_N2ODirect_Equations.VEERG_4_3_1_9__1_DirectNitrousOxideEmissionsOnPasture(T31,$H$44,$H$45)</f>
        <v>1.7487057875012819E-2</v>
      </c>
      <c r="U51" s="55" cm="1">
        <f t="array" ref="U51">MMS_Dairy_Soil_N2ODirect_Equations.VEERG_4_3_1_9__1_DirectNitrousOxideEmissionsOnPasture(U31,$H$44,$H$45)</f>
        <v>7.3205950971736563E-3</v>
      </c>
      <c r="V51" s="2" t="str">
        <f>$E$41</f>
        <v>t N2O</v>
      </c>
    </row>
    <row r="52" spans="4:22" ht="20.100000000000001" customHeight="1" x14ac:dyDescent="0.25"/>
    <row r="53" spans="4:22" ht="20.100000000000001" customHeight="1" x14ac:dyDescent="0.25">
      <c r="D53" s="108" t="s">
        <v>126</v>
      </c>
      <c r="E53" s="109">
        <f>SUM(F51:J51)</f>
        <v>6.045118108813663E-2</v>
      </c>
      <c r="F53" s="110" t="str">
        <f>$E$41</f>
        <v>t N2O</v>
      </c>
      <c r="O53" s="108" t="s">
        <v>126</v>
      </c>
      <c r="P53" s="109">
        <f>SUM(Q51:U51)</f>
        <v>6.045118108813663E-2</v>
      </c>
      <c r="Q53" s="110" t="str">
        <f>$E$41</f>
        <v>t N2O</v>
      </c>
    </row>
    <row r="54" spans="4:22" ht="20.100000000000001" customHeight="1" x14ac:dyDescent="0.25"/>
    <row r="55" spans="4:22" ht="20.100000000000001" customHeight="1" x14ac:dyDescent="0.25">
      <c r="D55" s="60" t="str" cm="1">
        <f t="array" ref="D55:E56">Common_Equations.Common_ConvertN2OToCO2e_Arguments()</f>
        <v>EN2O</v>
      </c>
      <c r="E55" s="61" t="str">
        <v>Nitrous oxide emissions (t N2O)</v>
      </c>
      <c r="F55" s="111"/>
      <c r="G55" s="55">
        <f>E53</f>
        <v>6.045118108813663E-2</v>
      </c>
      <c r="O55" s="60" t="str" cm="1">
        <f t="array" ref="O55:P56">Common_Equations.Common_ConvertN2OToCO2e_Arguments()</f>
        <v>EN2O</v>
      </c>
      <c r="P55" s="61" t="str">
        <v>Nitrous oxide emissions (t N2O)</v>
      </c>
      <c r="Q55" s="111"/>
      <c r="R55" s="55">
        <f>P53</f>
        <v>6.045118108813663E-2</v>
      </c>
    </row>
    <row r="56" spans="4: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4:22" ht="20.100000000000001" customHeight="1" x14ac:dyDescent="0.25"/>
    <row r="58" spans="4:22" ht="20.100000000000001" customHeight="1" x14ac:dyDescent="0.25">
      <c r="D58" s="48" t="s">
        <v>111</v>
      </c>
      <c r="E58" s="48" cm="1">
        <f t="array" ref="E58">Common_Equations.Common_ConvertN2OToCO2e(G55,G56)</f>
        <v>16.019562988356206</v>
      </c>
      <c r="F58" s="112" t="str" cm="1">
        <f t="array" ref="F58">Common_Equations.Common_ConvertN2OToCO2e_Unit()</f>
        <v>t CO2e</v>
      </c>
      <c r="O58" s="48" t="s">
        <v>111</v>
      </c>
      <c r="P58" s="48" cm="1">
        <f t="array" ref="P58">Common_Equations.Common_ConvertN2OToCO2e(R55,R56)</f>
        <v>16.019562988356206</v>
      </c>
      <c r="Q58" s="112"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413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20" t="s">
        <v>3</v>
      </c>
      <c r="D6" s="5" t="str" cm="1">
        <f t="array" ref="D6">MMS_Dairy_Soil_AtmosphericDeposition_Equations.VEERG_4_3_1_10__2_MassOfNitrogenVolatilisedOnPasture_Source()</f>
        <v>VEERG 2026: 4.3.1.10, Equation (2)</v>
      </c>
    </row>
    <row r="7" spans="1:23" ht="20.100000000000001" customHeight="1" x14ac:dyDescent="0.25">
      <c r="A7" s="17" t="str">
        <f>HYPERLINK("#'Input - Site'!A1", "Site")</f>
        <v>Site</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MMS_Dairy_Soil_AtmosphericDeposition_Equations.VEERG_4_3_1_10__2_MassOfNitrogenVolatilisedOnPasture_Variable()</f>
        <v>M_vol_m14</v>
      </c>
    </row>
    <row r="11" spans="1:23" ht="20.100000000000001" customHeight="1" x14ac:dyDescent="0.25">
      <c r="A11" s="17" t="str">
        <f>HYPERLINK("#'4.3.1.1-2 Methane'!A1", "4.3.1.1-2 Methane")</f>
        <v>4.3.1.1-2 Methane</v>
      </c>
      <c r="D11" s="56" t="s">
        <v>21</v>
      </c>
      <c r="E11" s="57" t="str" cm="1">
        <f t="array" ref="E11">MMS_Dairy_Soil_AtmosphericDeposition_Equations.VEERG_4_3_1_10__2_MassOfNitrogenVolatilisedOnPasture_Unit()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4">MMS_Dairy_Soil_AtmosphericDeposition_Equations.VEERG_4_3_1_10__2_MassOfNitrogenVolatilisedOnPasture_Arguments()</f>
        <v>MN_jm14</v>
      </c>
      <c r="E13" s="61" t="str">
        <v>mass of nitrogen excreted on pasture, range and paddock for each dairy class (kg N)</v>
      </c>
      <c r="F13" s="105"/>
      <c r="G13" s="62"/>
      <c r="H13" s="60" t="str">
        <f>"See " &amp; D16</f>
        <v>See M1_Table_MN_j_m-14</v>
      </c>
    </row>
    <row r="14" spans="1:23" ht="20.100000000000001" customHeight="1" x14ac:dyDescent="0.25">
      <c r="A14" s="17" t="str">
        <f>HYPERLINK("#'4.3.1.6-7 Leaching and runoff'!A1", "4.3.1.6-7 Leaching and runoff")</f>
        <v>4.3.1.6-7 Leaching and runoff</v>
      </c>
      <c r="D14" s="60" t="str">
        <v>FracGASMsoil</v>
      </c>
      <c r="E14" s="61" t="str">
        <v>fraction of nitrogen volatilised from urine and faeces deposited on pasture ((kg NH3-N + NOx-N)/kg N)</v>
      </c>
      <c r="F14" s="105"/>
      <c r="G14" s="62"/>
      <c r="H14" s="60">
        <f>'Constants - Dairy'!$D$215</f>
        <v>0.21</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398</v>
      </c>
      <c r="M16" s="59"/>
      <c r="O16" s="104" t="s">
        <v>400</v>
      </c>
    </row>
    <row r="17" spans="1:23" ht="20.100000000000001" customHeight="1" x14ac:dyDescent="0.25">
      <c r="A17" s="22" t="str">
        <f>HYPERLINK("#'4.3.1.10-11 Soil Atmos Dep'!A1", "4.3.1.10-11 Soil atm. deposition")</f>
        <v>4.3.1.10-11 Soil atm. deposition</v>
      </c>
      <c r="D17" s="103" t="s">
        <v>399</v>
      </c>
      <c r="M17" s="59"/>
      <c r="O17" s="103" t="s">
        <v>401</v>
      </c>
    </row>
    <row r="18" spans="1:23" ht="20.100000000000001" customHeight="1" x14ac:dyDescent="0.25">
      <c r="A18" s="17" t="str">
        <f>HYPERLINK("#'4.3.1.12-13 Soil leach runoff'!A1", "4.3.1.12-13 Soil leach &amp; runoff")</f>
        <v>4.3.1.12-13 Soil leach &amp; runoff</v>
      </c>
      <c r="D18" s="54" t="s">
        <v>159</v>
      </c>
      <c r="E18" s="54" t="s">
        <v>69</v>
      </c>
      <c r="F18" s="54" t="s">
        <v>189</v>
      </c>
      <c r="G18" s="54" t="s">
        <v>206</v>
      </c>
      <c r="H18" s="54" t="s">
        <v>207</v>
      </c>
      <c r="I18" s="54" t="s">
        <v>208</v>
      </c>
      <c r="J18" s="54" t="s">
        <v>209</v>
      </c>
      <c r="M18" s="59"/>
      <c r="O18" s="54" t="s">
        <v>159</v>
      </c>
      <c r="P18" s="54" t="s">
        <v>69</v>
      </c>
      <c r="Q18" s="54" t="s">
        <v>189</v>
      </c>
      <c r="R18" s="54" t="s">
        <v>206</v>
      </c>
      <c r="S18" s="54" t="s">
        <v>207</v>
      </c>
      <c r="T18" s="54" t="s">
        <v>208</v>
      </c>
      <c r="U18" s="54" t="s">
        <v>209</v>
      </c>
    </row>
    <row r="19" spans="1:23" ht="20.100000000000001" customHeight="1" x14ac:dyDescent="0.25">
      <c r="A19" s="17"/>
      <c r="D19" s="139" t="str">
        <f>'Input - Dairy'!$D$53</f>
        <v>Pasture</v>
      </c>
      <c r="E19" s="139" t="str">
        <f>'Constants - Livestock'!$E$27</f>
        <v>Pasture range and paddock</v>
      </c>
      <c r="F19" s="55">
        <f>'4.3.1.9 Soil direct N2O'!$F$31</f>
        <v>5151.8410499801093</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139" t="str">
        <f>'Input - Dairy'!$D$53</f>
        <v>Pasture</v>
      </c>
      <c r="P19" s="139" t="str">
        <f>'Constants - Livestock'!$E$27</f>
        <v>Pasture range and paddock</v>
      </c>
      <c r="Q19" s="55">
        <f>'4.3.1.9 Soil direct N2O'!$Q$31</f>
        <v>5151.8410499801093</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8" t="s">
        <v>4</v>
      </c>
    </row>
    <row r="21" spans="1:23" ht="20.100000000000001" customHeight="1" x14ac:dyDescent="0.25">
      <c r="A21" s="17" t="str">
        <f>HYPERLINK("#'Constants - Dairy'!A1", "Constants - Dairy")</f>
        <v>Constants - Dairy</v>
      </c>
      <c r="D21" s="104" t="s">
        <v>406</v>
      </c>
      <c r="O21" s="104" t="s">
        <v>408</v>
      </c>
    </row>
    <row r="22" spans="1:23" ht="20.100000000000001" customHeight="1" x14ac:dyDescent="0.25">
      <c r="A22" s="17" t="str">
        <f>HYPERLINK("#'Constants - Livestock'!A1", "Constants - Livestock")</f>
        <v>Constants - Livestock</v>
      </c>
      <c r="D22" s="103" t="s">
        <v>407</v>
      </c>
      <c r="O22" s="103" t="s">
        <v>409</v>
      </c>
    </row>
    <row r="23" spans="1:23" ht="20.100000000000001" customHeight="1" x14ac:dyDescent="0.25">
      <c r="A23" s="17" t="str">
        <f>HYPERLINK("#'Constants - Common'!A1", "Constants - Common")</f>
        <v>Constants - Common</v>
      </c>
      <c r="D23" s="54" t="s">
        <v>159</v>
      </c>
      <c r="E23" s="54" t="s">
        <v>69</v>
      </c>
      <c r="F23" s="54" t="s">
        <v>189</v>
      </c>
      <c r="G23" s="54" t="s">
        <v>206</v>
      </c>
      <c r="H23" s="54" t="s">
        <v>207</v>
      </c>
      <c r="I23" s="54" t="s">
        <v>208</v>
      </c>
      <c r="J23" s="54" t="s">
        <v>209</v>
      </c>
      <c r="O23" s="54" t="s">
        <v>159</v>
      </c>
      <c r="P23" s="54" t="s">
        <v>69</v>
      </c>
      <c r="Q23" s="54" t="s">
        <v>189</v>
      </c>
      <c r="R23" s="54" t="s">
        <v>206</v>
      </c>
      <c r="S23" s="54" t="s">
        <v>207</v>
      </c>
      <c r="T23" s="54" t="s">
        <v>208</v>
      </c>
      <c r="U23" s="54" t="s">
        <v>209</v>
      </c>
    </row>
    <row r="24" spans="1:23" ht="20.100000000000001" customHeight="1" x14ac:dyDescent="0.25">
      <c r="A24" s="17" t="str">
        <f>HYPERLINK("#'Acknowledgements'!A1", "Acknowledgements")</f>
        <v>Acknowledgements</v>
      </c>
      <c r="D24" s="139" t="str">
        <f>'Input - Dairy'!$D$53</f>
        <v>Pasture</v>
      </c>
      <c r="E24" s="139" t="str">
        <f>'Constants - Livestock'!$E$27</f>
        <v>Pasture range and paddock</v>
      </c>
      <c r="F24" s="55" cm="1">
        <f t="array" ref="F24">MMS_Dairy_Soil_AtmosphericDeposition_Equations.VEERG_4_3_1_10__2_MassOfNitrogenVolatilisedOnPasture(F19,$H$14)</f>
        <v>1081.8866204958229</v>
      </c>
      <c r="G24" s="55" cm="1">
        <f t="array" ref="G24">MMS_Dairy_Soil_AtmosphericDeposition_Equations.VEERG_4_3_1_10__2_MassOfNitrogenVolatilisedOnPasture(G19,$H$14)</f>
        <v>929.52796392231005</v>
      </c>
      <c r="H24" s="55" cm="1">
        <f t="array" ref="H24">MMS_Dairy_Soil_AtmosphericDeposition_Equations.VEERG_4_3_1_10__2_MassOfNitrogenVolatilisedOnPasture(H19,$H$14)</f>
        <v>370.22115787490003</v>
      </c>
      <c r="I24" s="55" cm="1">
        <f t="array" ref="I24">MMS_Dairy_Soil_AtmosphericDeposition_Equations.VEERG_4_3_1_10__2_MassOfNitrogenVolatilisedOnPasture(I19,$H$14)</f>
        <v>1168.4534125576747</v>
      </c>
      <c r="J24" s="55" cm="1">
        <f t="array" ref="J24">MMS_Dairy_Soil_AtmosphericDeposition_Equations.VEERG_4_3_1_10__2_MassOfNitrogenVolatilisedOnPasture(J19,$H$14)</f>
        <v>489.14885422023968</v>
      </c>
      <c r="K24" s="2" t="str">
        <f>$E$11</f>
        <v>kg N</v>
      </c>
      <c r="O24" s="139" t="str">
        <f>'Input - Dairy'!$D$53</f>
        <v>Pasture</v>
      </c>
      <c r="P24" s="139" t="str">
        <f>'Constants - Livestock'!$E$27</f>
        <v>Pasture range and paddock</v>
      </c>
      <c r="Q24" s="55" cm="1">
        <f t="array" ref="Q24">MMS_Dairy_Soil_AtmosphericDeposition_Equations.VEERG_4_3_1_10__2_MassOfNitrogenVolatilisedOnPasture(Q19,$H$14)</f>
        <v>1081.8866204958229</v>
      </c>
      <c r="R24" s="55" cm="1">
        <f t="array" ref="R24">MMS_Dairy_Soil_AtmosphericDeposition_Equations.VEERG_4_3_1_10__2_MassOfNitrogenVolatilisedOnPasture(R19,$H$14)</f>
        <v>929.52796392231005</v>
      </c>
      <c r="S24" s="55" cm="1">
        <f t="array" ref="S24">MMS_Dairy_Soil_AtmosphericDeposition_Equations.VEERG_4_3_1_10__2_MassOfNitrogenVolatilisedOnPasture(S19,$H$14)</f>
        <v>370.22115787490003</v>
      </c>
      <c r="T24" s="55" cm="1">
        <f t="array" ref="T24">MMS_Dairy_Soil_AtmosphericDeposition_Equations.VEERG_4_3_1_10__2_MassOfNitrogenVolatilisedOnPasture(T19,$H$14)</f>
        <v>1168.4534125576747</v>
      </c>
      <c r="U24" s="55" cm="1">
        <f t="array" ref="U24">MMS_Dairy_Soil_AtmosphericDeposition_Equations.VEERG_4_3_1_10__2_MassOfNitrogenVolatilisedOnPasture(U19,$H$14)</f>
        <v>489.14885422023968</v>
      </c>
      <c r="V24" s="2" t="str">
        <f>$E$11</f>
        <v>kg N</v>
      </c>
    </row>
    <row r="25" spans="1:23" ht="20.100000000000001" customHeight="1" x14ac:dyDescent="0.25"/>
    <row r="26" spans="1:23" ht="20.100000000000001" customHeight="1" x14ac:dyDescent="0.25">
      <c r="D26" s="124" t="s">
        <v>420</v>
      </c>
      <c r="E26" s="150">
        <f>SUM(F24:J24)</f>
        <v>4039.2380090709476</v>
      </c>
      <c r="F26" s="151" t="str">
        <f>$E$11</f>
        <v>kg N</v>
      </c>
      <c r="O26" s="124" t="s">
        <v>420</v>
      </c>
      <c r="P26" s="150">
        <f>SUM(Q24:U24)</f>
        <v>4039.2380090709476</v>
      </c>
      <c r="Q26" s="151"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60" t="str" cm="1">
        <f t="array" ref="D38:E43">MMS_Dairy_Soil_AtmosphericDeposition_Equations.VEERG_4_3_1_10__1_AtmosphericDepositionEmissionsFromUrineAndDungOnPasture_Arguments()</f>
        <v>M_vol_m14</v>
      </c>
      <c r="E38" s="60" t="str">
        <v>mass of nitrogen volatilised from urine and faeces deposited on pasture (kg N)</v>
      </c>
      <c r="F38" s="61"/>
      <c r="G38" s="62"/>
      <c r="H38" s="60">
        <f>$E$26</f>
        <v>4039.2380090709476</v>
      </c>
      <c r="O38" s="60" t="str">
        <f>D38</f>
        <v>M_vol_m14</v>
      </c>
      <c r="P38" s="60" t="str">
        <f>E38</f>
        <v>mass of nitrogen volatilised from urine and faeces deposited on pasture (kg N)</v>
      </c>
      <c r="Q38" s="61"/>
      <c r="R38" s="62"/>
      <c r="S38" s="60">
        <f>$P$26</f>
        <v>4039.2380090709476</v>
      </c>
    </row>
    <row r="39" spans="4:19" ht="20.100000000000001" customHeight="1" x14ac:dyDescent="0.25">
      <c r="D39" s="60" t="str">
        <v>EF_N2O</v>
      </c>
      <c r="E39" s="60" t="str">
        <v>nitrous oxide emission factor for atmospheric deposition (kg N2O-N/kg N)</v>
      </c>
      <c r="F39" s="61"/>
      <c r="G39" s="62"/>
      <c r="H39" s="60">
        <f>Common_InputFunctions.Utility_LookupN2OEFFromProdIrrigationRainfall(H41,H42,H43,Table_SourceData_Common_EFN2O[Production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60" t="str">
        <v>C_N2O</v>
      </c>
      <c r="E40" s="60" t="str">
        <v>factor to convert elemental mass of N2O to molecular mass</v>
      </c>
      <c r="F40" s="61"/>
      <c r="G40" s="62"/>
      <c r="H40" s="60">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60" t="str">
        <v>j</v>
      </c>
      <c r="E41" s="61" t="str">
        <v>production system</v>
      </c>
      <c r="F41" s="105"/>
      <c r="G41" s="62"/>
      <c r="H41" s="60" t="str">
        <f>'Input - Dairy'!$E$183</f>
        <v>Pasture</v>
      </c>
      <c r="O41" s="60"/>
      <c r="P41" s="61"/>
      <c r="Q41" s="105"/>
      <c r="R41" s="62"/>
      <c r="S41" s="60"/>
    </row>
    <row r="42" spans="4:19" ht="20.100000000000001" customHeight="1" x14ac:dyDescent="0.25">
      <c r="D42" s="60" t="str">
        <v>ir</v>
      </c>
      <c r="E42" s="61" t="str">
        <v>irrigation method</v>
      </c>
      <c r="F42" s="105"/>
      <c r="G42" s="62"/>
      <c r="H42" s="60" t="str">
        <f>'Input - Dairy'!$E$184</f>
        <v>Sprinkler irrigation</v>
      </c>
      <c r="O42" s="60"/>
      <c r="P42" s="61"/>
      <c r="Q42" s="105"/>
      <c r="R42" s="62"/>
      <c r="S42" s="60"/>
    </row>
    <row r="43" spans="4:19" ht="20.100000000000001" customHeight="1" x14ac:dyDescent="0.25">
      <c r="D43" s="60" t="str">
        <v>r</v>
      </c>
      <c r="E43" s="61" t="str">
        <v>rainfall region</v>
      </c>
      <c r="F43" s="105"/>
      <c r="G43" s="62"/>
      <c r="H43" s="60" t="str">
        <f>'Input - Site'!$E$30</f>
        <v>High rainfall</v>
      </c>
      <c r="O43" s="60"/>
      <c r="P43" s="61"/>
      <c r="Q43" s="105"/>
      <c r="R43" s="62"/>
      <c r="S43" s="60"/>
    </row>
    <row r="44" spans="4:19" ht="20.100000000000001" customHeight="1" x14ac:dyDescent="0.25"/>
    <row r="45" spans="4:19" ht="20.100000000000001" customHeight="1" x14ac:dyDescent="0.25">
      <c r="D45" s="108" t="s">
        <v>166</v>
      </c>
      <c r="E45" s="109" cm="1">
        <f t="array" ref="E45">MMS_Dairy_Soil_AtmosphericDeposition_Equations.VEERG_4_3_1_10__1_AtmosphericDepositionEmissionsFromUrineAndDungOnPasture($H$38,$H$39,$H$40)</f>
        <v>3.7449506684100645E-2</v>
      </c>
      <c r="F45" s="110" t="str">
        <f>$E$36</f>
        <v>t N2O</v>
      </c>
      <c r="O45" s="108" t="s">
        <v>166</v>
      </c>
      <c r="P45" s="109" cm="1">
        <f t="array" ref="P45">MMS_Dairy_Soil_AtmosphericDeposition_Equations.VEERG_4_3_1_10__1_AtmosphericDepositionEmissionsFromUrineAndDungOnPasture($S$38,$H$39,$H$40)</f>
        <v>3.7449506684100645E-2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3.7449506684100645E-2</v>
      </c>
      <c r="O47" s="60" t="str" cm="1">
        <f t="array" ref="O47:P48">Common_Equations.Common_ConvertN2OToCO2e_Arguments()</f>
        <v>EN2O</v>
      </c>
      <c r="P47" s="61" t="str">
        <v>Nitrous oxide emissions (t N2O)</v>
      </c>
      <c r="Q47" s="111"/>
      <c r="R47" s="55">
        <f>P45</f>
        <v>3.7449506684100645E-2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4:17" ht="20.100000000000001" customHeight="1" x14ac:dyDescent="0.25"/>
    <row r="50" spans="4:17" ht="20.100000000000001" customHeight="1" x14ac:dyDescent="0.25">
      <c r="D50" s="48" t="s">
        <v>111</v>
      </c>
      <c r="E50" s="48" cm="1">
        <f t="array" ref="E50">Common_Equations.Common_ConvertN2OToCO2e(G47,G48)</f>
        <v>9.9241192712866706</v>
      </c>
      <c r="F50" s="112" t="str" cm="1">
        <f t="array" ref="F50">Common_Equations.Common_ConvertN2OToCO2e_Unit()</f>
        <v>t CO2e</v>
      </c>
      <c r="O50" s="48" t="s">
        <v>111</v>
      </c>
      <c r="P50" s="48" cm="1">
        <f t="array" ref="P50">Common_Equations.Common_ConvertN2OToCO2e(R47,R48)</f>
        <v>9.9241192712866706</v>
      </c>
      <c r="Q50" s="112"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412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20" t="s">
        <v>3</v>
      </c>
      <c r="D6" s="5" t="str" cm="1">
        <f t="array" ref="D6">MMS_Dairy_Soil_LeachingAndRunoff.VEERG_4_3_1_12__2_MassOfNitrogenLostToLeachingAndRunoffOnPasture_Source()</f>
        <v>VEERG 2026: 4.3.1.12, Equation (2)</v>
      </c>
    </row>
    <row r="7" spans="1:23" ht="20.100000000000001" customHeight="1" x14ac:dyDescent="0.25">
      <c r="A7" s="17" t="str">
        <f>HYPERLINK("#'Input - Site'!A1", "Site")</f>
        <v>Site</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Dairy'!A1", "Dairy")</f>
        <v>Dairy</v>
      </c>
      <c r="E8" s="1" t="s">
        <v>18</v>
      </c>
    </row>
    <row r="9" spans="1:23" ht="20.100000000000001" customHeight="1" x14ac:dyDescent="0.25">
      <c r="A9" s="17"/>
    </row>
    <row r="10" spans="1:23" ht="20.100000000000001" customHeight="1" x14ac:dyDescent="0.25">
      <c r="A10" s="19" t="s">
        <v>78</v>
      </c>
      <c r="D10" s="56" t="s">
        <v>31</v>
      </c>
      <c r="E10" s="1" t="str" cm="1">
        <f t="array" ref="E10">MMS_Dairy_Soil_LeachingAndRunoff.VEERG_4_3_1_12__2_MassOfNitrogenLostToLeachingAndRunoffOnPasture_Variable()</f>
        <v>M_leach_m14</v>
      </c>
    </row>
    <row r="11" spans="1:23" ht="20.100000000000001" customHeight="1" x14ac:dyDescent="0.25">
      <c r="A11" s="17" t="str">
        <f>HYPERLINK("#'4.3.1.1-2 Methane'!A1", "4.3.1.1-2 Methane")</f>
        <v>4.3.1.1-2 Methane</v>
      </c>
      <c r="D11" s="56" t="s">
        <v>21</v>
      </c>
      <c r="E11" s="57" t="str" cm="1">
        <f t="array" ref="E11">MMS_Dairy_Soil_LeachingAndRunoff.VEERG_4_3_1_12__2_MassOfNitrogenLostToLeachingAndRunoffOnPasture_Unit()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MMS_Dairy_Soil_LeachingAndRunoff.VEERG_4_3_1_12__2_MassOfNitrogenLostToLeachingAndRunoffOnPasture_Arguments()</f>
        <v>MN_jm14</v>
      </c>
      <c r="E13" s="61" t="str">
        <v>mass of nitrogen excreted on pasture, range and paddock for each dairy class (kg N)</v>
      </c>
      <c r="F13" s="105"/>
      <c r="G13" s="62"/>
      <c r="H13" s="60" t="str">
        <f>"See " &amp; D20</f>
        <v>See M1_Table_MN_j_m-14</v>
      </c>
    </row>
    <row r="14" spans="1:23" ht="20.100000000000001" customHeight="1" x14ac:dyDescent="0.25">
      <c r="A14" s="17" t="str">
        <f>HYPERLINK("#'4.3.1.6-7 Leaching and runoff'!A1", "4.3.1.6-7 Leaching and runoff")</f>
        <v>4.3.1.6-7 Leaching and runoff</v>
      </c>
      <c r="D14" s="60" t="str">
        <v>FracWet</v>
      </c>
      <c r="E14" s="61" t="str">
        <v>fraction of N available for leaching and runoff</v>
      </c>
      <c r="F14" s="105"/>
      <c r="G14" s="62"/>
      <c r="H14" s="60" cm="1">
        <f t="array" ref="H14">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v>
      </c>
      <c r="E15" s="61" t="str">
        <v>fraction of N lost through leaching and runoff</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22"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398</v>
      </c>
      <c r="M20" s="59"/>
      <c r="O20" s="104" t="s">
        <v>400</v>
      </c>
    </row>
    <row r="21" spans="1:22" ht="20.100000000000001" customHeight="1" x14ac:dyDescent="0.25">
      <c r="A21" s="17" t="str">
        <f>HYPERLINK("#'Constants - Dairy'!A1", "Constants - Dairy")</f>
        <v>Constants - Dairy</v>
      </c>
      <c r="D21" s="103" t="s">
        <v>399</v>
      </c>
      <c r="M21" s="59"/>
      <c r="O21" s="103" t="s">
        <v>401</v>
      </c>
    </row>
    <row r="22" spans="1:22" ht="20.100000000000001" customHeight="1" x14ac:dyDescent="0.25">
      <c r="A22" s="17" t="str">
        <f>HYPERLINK("#'Constants - Livestock'!A1", "Constants - Livestock")</f>
        <v>Constants - Livestock</v>
      </c>
      <c r="D22" s="54" t="s">
        <v>159</v>
      </c>
      <c r="E22" s="54" t="s">
        <v>69</v>
      </c>
      <c r="F22" s="54" t="s">
        <v>189</v>
      </c>
      <c r="G22" s="54" t="s">
        <v>206</v>
      </c>
      <c r="H22" s="54" t="s">
        <v>207</v>
      </c>
      <c r="I22" s="54" t="s">
        <v>208</v>
      </c>
      <c r="J22" s="54" t="s">
        <v>209</v>
      </c>
      <c r="M22" s="59"/>
      <c r="O22" s="54" t="s">
        <v>159</v>
      </c>
      <c r="P22" s="54" t="s">
        <v>69</v>
      </c>
      <c r="Q22" s="54" t="s">
        <v>189</v>
      </c>
      <c r="R22" s="54" t="s">
        <v>206</v>
      </c>
      <c r="S22" s="54" t="s">
        <v>207</v>
      </c>
      <c r="T22" s="54" t="s">
        <v>208</v>
      </c>
      <c r="U22" s="54" t="s">
        <v>209</v>
      </c>
    </row>
    <row r="23" spans="1:22" ht="20.100000000000001" customHeight="1" x14ac:dyDescent="0.25">
      <c r="A23" s="17" t="str">
        <f>HYPERLINK("#'Constants - Common'!A1", "Constants - Common")</f>
        <v>Constants - Common</v>
      </c>
      <c r="D23" s="139" t="str">
        <f>'Input - Dairy'!$D$53</f>
        <v>Pasture</v>
      </c>
      <c r="E23" s="139" t="str">
        <f>'Constants - Livestock'!$E$27</f>
        <v>Pasture range and paddock</v>
      </c>
      <c r="F23" s="55">
        <f>'4.3.1.9 Soil direct N2O'!$F$31</f>
        <v>5151.8410499801093</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139" t="str">
        <f>'Input - Dairy'!$D$53</f>
        <v>Pasture</v>
      </c>
      <c r="P23" s="139" t="str">
        <f>'Constants - Livestock'!$E$27</f>
        <v>Pasture range and paddock</v>
      </c>
      <c r="Q23" s="55">
        <f>'4.3.1.9 Soil direct N2O'!$Q$31</f>
        <v>5151.8410499801093</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HYPERLINK("#'Acknowledgements'!A1", "Acknowledgements")</f>
        <v>Acknowledgements</v>
      </c>
    </row>
    <row r="25" spans="1:22" ht="20.100000000000001" customHeight="1" x14ac:dyDescent="0.25">
      <c r="D25" s="104" t="s">
        <v>414</v>
      </c>
      <c r="O25" s="104" t="s">
        <v>416</v>
      </c>
    </row>
    <row r="26" spans="1:22" ht="20.100000000000001" customHeight="1" x14ac:dyDescent="0.25">
      <c r="D26" s="103" t="s">
        <v>415</v>
      </c>
      <c r="O26" s="103" t="s">
        <v>417</v>
      </c>
    </row>
    <row r="27" spans="1:22" ht="20.100000000000001" customHeight="1" x14ac:dyDescent="0.25">
      <c r="D27" s="54" t="s">
        <v>159</v>
      </c>
      <c r="E27" s="54" t="s">
        <v>69</v>
      </c>
      <c r="F27" s="54" t="s">
        <v>189</v>
      </c>
      <c r="G27" s="54" t="s">
        <v>206</v>
      </c>
      <c r="H27" s="54" t="s">
        <v>207</v>
      </c>
      <c r="I27" s="54" t="s">
        <v>208</v>
      </c>
      <c r="J27" s="54" t="s">
        <v>209</v>
      </c>
      <c r="O27" s="54" t="s">
        <v>159</v>
      </c>
      <c r="P27" s="54" t="s">
        <v>69</v>
      </c>
      <c r="Q27" s="54" t="s">
        <v>189</v>
      </c>
      <c r="R27" s="54" t="s">
        <v>206</v>
      </c>
      <c r="S27" s="54" t="s">
        <v>207</v>
      </c>
      <c r="T27" s="54" t="s">
        <v>208</v>
      </c>
      <c r="U27" s="54" t="s">
        <v>209</v>
      </c>
    </row>
    <row r="28" spans="1:22" ht="20.100000000000001" customHeight="1" x14ac:dyDescent="0.25">
      <c r="D28" s="139" t="str">
        <f>'Input - Dairy'!$D$53</f>
        <v>Pasture</v>
      </c>
      <c r="E28" s="139" t="str">
        <f>'Constants - Livestock'!$E$27</f>
        <v>Pasture range and paddock</v>
      </c>
      <c r="F28" s="55" cm="1">
        <f t="array" ref="F28">MMS_Dairy_Soil_LeachingAndRunoff.VEERG_4_3_1_12__2_MassOfNitrogenLostToLeachingAndRunoffOnPasture(F23,$H$14,$H$15)</f>
        <v>103.03682099960218</v>
      </c>
      <c r="G28" s="55" cm="1">
        <f t="array" ref="G28">MMS_Dairy_Soil_LeachingAndRunoff.VEERG_4_3_1_12__2_MassOfNitrogenLostToLeachingAndRunoffOnPasture(G23,$H$14,$H$15)</f>
        <v>88.526472754505718</v>
      </c>
      <c r="H28" s="55" cm="1">
        <f t="array" ref="H28">MMS_Dairy_Soil_LeachingAndRunoff.VEERG_4_3_1_12__2_MassOfNitrogenLostToLeachingAndRunoffOnPasture(H23,$H$14,$H$15)</f>
        <v>35.259157892847625</v>
      </c>
      <c r="I28" s="55" cm="1">
        <f t="array" ref="I28">MMS_Dairy_Soil_LeachingAndRunoff.VEERG_4_3_1_12__2_MassOfNitrogenLostToLeachingAndRunoffOnPasture(I23,$H$14,$H$15)</f>
        <v>111.28127738644523</v>
      </c>
      <c r="J28" s="55" cm="1">
        <f t="array" ref="J28">MMS_Dairy_Soil_LeachingAndRunoff.VEERG_4_3_1_12__2_MassOfNitrogenLostToLeachingAndRunoffOnPasture(J23,$H$14,$H$15)</f>
        <v>46.585605163832355</v>
      </c>
      <c r="K28" s="2" t="str">
        <f>$E$11</f>
        <v>kg N</v>
      </c>
      <c r="O28" s="139" t="str">
        <f>'Input - Dairy'!$D$53</f>
        <v>Pasture</v>
      </c>
      <c r="P28" s="139" t="str">
        <f>'Constants - Livestock'!$E$27</f>
        <v>Pasture range and paddock</v>
      </c>
      <c r="Q28" s="55" cm="1">
        <f t="array" ref="Q28">MMS_Dairy_Soil_LeachingAndRunoff.VEERG_4_3_1_12__2_MassOfNitrogenLostToLeachingAndRunoffOnPasture(Q23,$H$14,$H$15)</f>
        <v>103.03682099960218</v>
      </c>
      <c r="R28" s="55" cm="1">
        <f t="array" ref="R28">MMS_Dairy_Soil_LeachingAndRunoff.VEERG_4_3_1_12__2_MassOfNitrogenLostToLeachingAndRunoffOnPasture(R23,$H$14,$H$15)</f>
        <v>88.526472754505718</v>
      </c>
      <c r="S28" s="55" cm="1">
        <f t="array" ref="S28">MMS_Dairy_Soil_LeachingAndRunoff.VEERG_4_3_1_12__2_MassOfNitrogenLostToLeachingAndRunoffOnPasture(S23,$H$14,$H$15)</f>
        <v>35.259157892847625</v>
      </c>
      <c r="T28" s="55" cm="1">
        <f t="array" ref="T28">MMS_Dairy_Soil_LeachingAndRunoff.VEERG_4_3_1_12__2_MassOfNitrogenLostToLeachingAndRunoffOnPasture(T23,$H$14,$H$15)</f>
        <v>111.28127738644523</v>
      </c>
      <c r="U28" s="55" cm="1">
        <f t="array" ref="U28">MMS_Dairy_Soil_LeachingAndRunoff.VEERG_4_3_1_12__2_MassOfNitrogenLostToLeachingAndRunoffOnPasture(U23,$H$14,$H$15)</f>
        <v>46.585605163832355</v>
      </c>
      <c r="V28" s="2" t="str">
        <f>$E$11</f>
        <v>kg N</v>
      </c>
    </row>
    <row r="29" spans="1:22" ht="20.100000000000001" customHeight="1" x14ac:dyDescent="0.25"/>
    <row r="30" spans="1:22" ht="20.100000000000001" customHeight="1" x14ac:dyDescent="0.25">
      <c r="D30" s="124" t="s">
        <v>419</v>
      </c>
      <c r="E30" s="150">
        <f>SUM(F28:J28)</f>
        <v>384.68933419723317</v>
      </c>
      <c r="F30" s="151" t="str">
        <f>$E$11</f>
        <v>kg N</v>
      </c>
      <c r="O30" s="124" t="s">
        <v>419</v>
      </c>
      <c r="P30" s="150">
        <f>SUM(Q28:U28)</f>
        <v>384.68933419723317</v>
      </c>
      <c r="Q30" s="151"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15" t="str" cm="1">
        <f t="array" ref="D43:E45">MMS_Dairy_Soil_LeachingAndRunoff.VEERG_4_3_1_12__1_LeachingAndRunoffEmissionsFromUrineAndDungOnPasture_Arguments()</f>
        <v>M_leach_m14</v>
      </c>
      <c r="E43" s="117" t="str">
        <v>mass of nitrogen lost to leaching and runoff from urine and faeces deposited on pasture (kg N)</v>
      </c>
      <c r="F43" s="149"/>
      <c r="G43" s="116"/>
      <c r="H43" s="60">
        <f>$E$30</f>
        <v>384.68933419723317</v>
      </c>
      <c r="O43" s="115" t="str">
        <f>D43</f>
        <v>M_leach_m14</v>
      </c>
      <c r="P43" s="115" t="str">
        <f>E43</f>
        <v>mass of nitrogen lost to leaching and runoff from urine and faeces deposited on pasture (kg N)</v>
      </c>
      <c r="Q43" s="149"/>
      <c r="R43" s="116"/>
      <c r="S43" s="60">
        <f>$P$30</f>
        <v>384.68933419723317</v>
      </c>
    </row>
    <row r="44" spans="3:23" ht="20.100000000000001" customHeight="1" x14ac:dyDescent="0.25">
      <c r="D44" s="115" t="str">
        <v>EF_leach</v>
      </c>
      <c r="E44" s="117" t="str">
        <v>nitrous oxide emission factor for leaching and runoff (kg N2O-N/kg N)</v>
      </c>
      <c r="F44" s="149"/>
      <c r="G44" s="116"/>
      <c r="H44" s="60">
        <f>'Constants - Dairy'!$D$202</f>
        <v>1.0999999999999999E-2</v>
      </c>
      <c r="O44" s="115"/>
      <c r="P44" s="117"/>
      <c r="Q44" s="149"/>
      <c r="R44" s="116"/>
      <c r="S44" s="60"/>
    </row>
    <row r="45" spans="3:23" ht="20.100000000000001" customHeight="1" x14ac:dyDescent="0.25">
      <c r="D45" s="115" t="str">
        <v>C_N2O</v>
      </c>
      <c r="E45" s="117" t="str">
        <v>factor to convert elemental mass of N2O to molecular mass</v>
      </c>
      <c r="F45" s="149"/>
      <c r="G45" s="116"/>
      <c r="H45" s="60">
        <f>Common_InputFunctions.Utility_LookupValueInTableNumber("N2O",Table_GasToMolecularConversionFactor[Gas],Table_GasToMolecularConversionFactor[Conversion factor combined])</f>
        <v>1.5714285714285714</v>
      </c>
      <c r="O45" s="115"/>
      <c r="P45" s="117"/>
      <c r="Q45" s="149"/>
      <c r="R45" s="116"/>
      <c r="S45" s="60"/>
    </row>
    <row r="46" spans="3:23" ht="20.100000000000001" customHeight="1" x14ac:dyDescent="0.25"/>
    <row r="47" spans="3:23" ht="20.100000000000001" customHeight="1" x14ac:dyDescent="0.25">
      <c r="D47" s="108" t="s">
        <v>418</v>
      </c>
      <c r="E47" s="109" cm="1">
        <f t="array" ref="E47">MMS_Dairy_Soil_LeachingAndRunoff.VEERG_4_3_1_12__1_LeachingAndRunoffEmissionsFromUrineAndDungOnPasture($H$43,$H$44,$H$45)</f>
        <v>6.64962991969503E-3</v>
      </c>
      <c r="F47" s="110" t="str">
        <f>$E$41</f>
        <v>t N2O</v>
      </c>
      <c r="O47" s="108" t="s">
        <v>418</v>
      </c>
      <c r="P47" s="109" cm="1">
        <f t="array" ref="P47">MMS_Dairy_Soil_LeachingAndRunoff.VEERG_4_3_1_12__1_LeachingAndRunoffEmissionsFromUrineAndDungOnPasture($S$43,$H$44,$H$45)</f>
        <v>6.64962991969503E-3</v>
      </c>
      <c r="Q47" s="110" t="str">
        <f>$E$41</f>
        <v>t N2O</v>
      </c>
    </row>
    <row r="48" spans="3:23" ht="20.100000000000001" customHeight="1" x14ac:dyDescent="0.25"/>
    <row r="49" spans="4:18" ht="20.100000000000001" customHeight="1" x14ac:dyDescent="0.25">
      <c r="D49" s="60" t="str" cm="1">
        <f t="array" ref="D49:E50">Common_Equations.Common_ConvertN2OToCO2e_Arguments()</f>
        <v>EN2O</v>
      </c>
      <c r="E49" s="61" t="str">
        <v>Nitrous oxide emissions (t N2O)</v>
      </c>
      <c r="F49" s="111"/>
      <c r="G49" s="55">
        <f>E47</f>
        <v>6.64962991969503E-3</v>
      </c>
      <c r="O49" s="60" t="str" cm="1">
        <f t="array" ref="O49:P50">Common_Equations.Common_ConvertN2OToCO2e_Arguments()</f>
        <v>EN2O</v>
      </c>
      <c r="P49" s="61" t="str">
        <v>Nitrous oxide emissions (t N2O)</v>
      </c>
      <c r="Q49" s="111"/>
      <c r="R49" s="55">
        <f>P47</f>
        <v>6.64962991969503E-3</v>
      </c>
    </row>
    <row r="50" spans="4: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4:18" ht="20.100000000000001" customHeight="1" x14ac:dyDescent="0.25"/>
    <row r="52" spans="4:18" ht="20.100000000000001" customHeight="1" x14ac:dyDescent="0.25">
      <c r="D52" s="48" t="s">
        <v>111</v>
      </c>
      <c r="E52" s="48" cm="1">
        <f t="array" ref="E52">Common_Equations.Common_ConvertN2OToCO2e(G49,G50)</f>
        <v>1.7621519287191829</v>
      </c>
      <c r="F52" s="112" t="str" cm="1">
        <f t="array" ref="F52">Common_Equations.Common_ConvertN2OToCO2e_Unit()</f>
        <v>t CO2e</v>
      </c>
      <c r="O52" s="48" t="s">
        <v>111</v>
      </c>
      <c r="P52" s="48" cm="1">
        <f t="array" ref="P52">Common_Equations.Common_ConvertN2OToCO2e(R49,R50)</f>
        <v>1.7621519287191829</v>
      </c>
      <c r="Q52" s="112"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115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4"/>
    </row>
    <row r="5" spans="1:21" ht="20.100000000000001" customHeight="1" x14ac:dyDescent="0.25">
      <c r="A5" s="16"/>
      <c r="D5" s="6" t="s">
        <v>186</v>
      </c>
      <c r="G5" s="6" t="s">
        <v>187</v>
      </c>
      <c r="J5" s="6" t="s">
        <v>160</v>
      </c>
      <c r="M5" s="1"/>
    </row>
    <row r="6" spans="1:21" ht="20.100000000000001" customHeight="1" x14ac:dyDescent="0.25">
      <c r="A6" s="20" t="s">
        <v>3</v>
      </c>
      <c r="M6" s="1"/>
    </row>
    <row r="7" spans="1:21" ht="20.100000000000001" customHeight="1" x14ac:dyDescent="0.25">
      <c r="A7" s="17" t="str">
        <f>HYPERLINK("#'Input - Site'!A1", "Site")</f>
        <v>Site</v>
      </c>
      <c r="D7" s="102" t="s">
        <v>69</v>
      </c>
      <c r="E7" s="39" t="s">
        <v>83</v>
      </c>
      <c r="G7" s="39" t="s">
        <v>159</v>
      </c>
      <c r="J7" s="39" t="s">
        <v>157</v>
      </c>
      <c r="M7" s="1"/>
    </row>
    <row r="8" spans="1:21" ht="20.100000000000001" customHeight="1" x14ac:dyDescent="0.25">
      <c r="A8" s="17" t="str">
        <f>HYPERLINK("#'Input - Dairy'!A1", "Dairy")</f>
        <v>Dairy</v>
      </c>
      <c r="D8" s="39" t="str">
        <f>'Constants - Livestock'!$E$10</f>
        <v>Anaerobic lagoon</v>
      </c>
      <c r="E8" s="39" t="str">
        <f>'Constants - Livestock'!$F$10</f>
        <v>Anaerobic lagoon (m=1)</v>
      </c>
      <c r="G8" s="39" t="str">
        <f>'Constants - Common'!$F$187</f>
        <v>Pasture</v>
      </c>
      <c r="J8" s="39" t="s">
        <v>161</v>
      </c>
      <c r="M8" s="1"/>
    </row>
    <row r="9" spans="1:21" ht="20.100000000000001" customHeight="1" x14ac:dyDescent="0.25">
      <c r="A9" s="17"/>
      <c r="D9" s="39" t="str">
        <f>'Constants - Livestock'!$E$13</f>
        <v>Sump and dispersal system</v>
      </c>
      <c r="E9" s="39" t="str">
        <f>'Constants - Livestock'!$F$13</f>
        <v>Sump and dispersal system (m=3a)</v>
      </c>
      <c r="G9" s="1" t="str">
        <f>'Constants - Common'!$F$188</f>
        <v>Crop</v>
      </c>
      <c r="J9" s="39" t="s">
        <v>162</v>
      </c>
      <c r="M9" s="1"/>
    </row>
    <row r="10" spans="1:21" ht="20.100000000000001" customHeight="1" x14ac:dyDescent="0.25">
      <c r="A10" s="19" t="s">
        <v>78</v>
      </c>
      <c r="D10" s="39" t="str">
        <f>'Constants - Livestock'!$E$14</f>
        <v>Drains to paddock</v>
      </c>
      <c r="E10" s="39" t="str">
        <f>'Constants - Livestock'!$F$14</f>
        <v>Drains to paddock (m=3b)</v>
      </c>
      <c r="J10" s="1" t="s">
        <v>163</v>
      </c>
      <c r="M10" s="1"/>
    </row>
    <row r="11" spans="1:21" ht="20.100000000000001" customHeight="1" x14ac:dyDescent="0.25">
      <c r="A11" s="17" t="str">
        <f>HYPERLINK("#'4.3.1.1-2 Methane'!A1", "4.3.1.1-2 Methane")</f>
        <v>4.3.1.1-2 Methane</v>
      </c>
      <c r="D11" s="39" t="str">
        <f>'Constants - Livestock'!$E$15</f>
        <v>Solid storage</v>
      </c>
      <c r="E11" s="39" t="str">
        <f>'Constants - Livestock'!$F$15</f>
        <v>Solid storage (m=4)</v>
      </c>
      <c r="J11" s="1" t="s">
        <v>164</v>
      </c>
      <c r="M11" s="1"/>
    </row>
    <row r="12" spans="1:21" ht="20.100000000000001" customHeight="1" x14ac:dyDescent="0.25">
      <c r="A12" s="17" t="str">
        <f>HYPERLINK("#'4.3.1.3-4 Direct N20'!A1", "4.3.1.3-4 Direct N2O")</f>
        <v>4.3.1.3-4 Direct N2O</v>
      </c>
      <c r="J12" s="1" t="s">
        <v>165</v>
      </c>
      <c r="M12" s="1"/>
    </row>
    <row r="13" spans="1:21" ht="20.100000000000001" customHeight="1" x14ac:dyDescent="0.25">
      <c r="A13" s="17" t="str">
        <f>HYPERLINK("#'4.3.1.5 Atmos Deposition'!A1", "4.3.1.5 Atmospheric deposition")</f>
        <v>4.3.1.5 Atmospheric deposition</v>
      </c>
      <c r="M13" s="1"/>
    </row>
    <row r="14" spans="1:21" ht="20.100000000000001" customHeight="1" x14ac:dyDescent="0.25">
      <c r="A14" s="17" t="str">
        <f>HYPERLINK("#'4.3.1.6-7 Leaching and runoff'!A1", "4.3.1.6-7 Leaching and runoff")</f>
        <v>4.3.1.6-7 Leaching and runoff</v>
      </c>
      <c r="M14" s="1"/>
    </row>
    <row r="15" spans="1:21" ht="20.100000000000001" customHeight="1" x14ac:dyDescent="0.25">
      <c r="A15" s="17" t="str">
        <f>HYPERLINK("#'4.3.1.8 Manure applied to soils'!A1", "4.3.1.8 Manure applied to soils")</f>
        <v>4.3.1.8 Manure applied to soils</v>
      </c>
      <c r="M15" s="1"/>
    </row>
    <row r="16" spans="1:21" ht="20.100000000000001" customHeight="1" x14ac:dyDescent="0.25">
      <c r="A16" s="17" t="str">
        <f>HYPERLINK("#'4.3.1.9 Soil direct N2O'!A1", "4.3.1.9 Soil direct N2O")</f>
        <v>4.3.1.9 Soil direct N2O</v>
      </c>
      <c r="D16" s="6" t="str" cm="1">
        <f t="array" ref="D16">SourceData_Dairy.SourceData_Dairy_LiveweightCowsAndHeifers_Title()</f>
        <v>Table A.1.3.1: Dairy cattle - Liveweight (kg) - Cows and Heifers (Wj)</v>
      </c>
      <c r="M16" s="1"/>
    </row>
    <row r="17" spans="1:13" ht="20.100000000000001" customHeight="1" x14ac:dyDescent="0.25">
      <c r="A17" s="17" t="str">
        <f>HYPERLINK("#'4.3.1.10-11 Soil Atmos Dep'!A1", "4.3.1.10-11 Soil atm. deposition")</f>
        <v>4.3.1.10-11 Soil atm. deposition</v>
      </c>
      <c r="D17" s="5" t="str" cm="1">
        <f t="array" ref="D17">SourceData_Dairy.SourceData_Dairy_LiveweightCowsAndHeifers_Source()</f>
        <v>VEERG 2026: Table A.1.3.1</v>
      </c>
      <c r="M17" s="1"/>
    </row>
    <row r="18" spans="1:13" ht="20.100000000000001" customHeight="1" x14ac:dyDescent="0.25">
      <c r="A18" s="17" t="str">
        <f>HYPERLINK("#'4.3.1.12-13 Soil leach runoff'!A1", "4.3.1.12-13 Soil leach &amp; runoff")</f>
        <v>4.3.1.12-13 Soil leach &amp; runoff</v>
      </c>
      <c r="D18" s="1" t="str" cm="1">
        <f t="array" ref="D18">SourceData_Dairy.SourceData_Dairy_LiveweightCowsAndHeifers_Variable()</f>
        <v>Wj</v>
      </c>
      <c r="M18" s="1"/>
    </row>
    <row r="19" spans="1:13" ht="20.100000000000001" customHeight="1" x14ac:dyDescent="0.25">
      <c r="A19" s="17"/>
      <c r="D19" s="57" t="str" cm="1">
        <f t="array" ref="D19">SourceData_Dairy.SourceData_Dairy_LiveweightCowsAndHeifers_Unit()</f>
        <v>kg</v>
      </c>
      <c r="M19" s="1"/>
    </row>
    <row r="20" spans="1:13" ht="20.100000000000001" customHeight="1" x14ac:dyDescent="0.25">
      <c r="A20" s="18" t="s">
        <v>4</v>
      </c>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72" t="str">
        <f>HYPERLINK("#'Constants - Dairy'!A1", "Constants - Dairy")</f>
        <v>Constants - Dairy</v>
      </c>
      <c r="D21" s="131" t="s">
        <v>188</v>
      </c>
      <c r="E21" s="131" t="s">
        <v>189</v>
      </c>
      <c r="F21" s="131" t="s">
        <v>190</v>
      </c>
      <c r="G21" s="131" t="s">
        <v>191</v>
      </c>
      <c r="M21" s="1"/>
    </row>
    <row r="22" spans="1:13" ht="20.100000000000001" customHeight="1" x14ac:dyDescent="0.25">
      <c r="A22" s="17" t="str">
        <f>HYPERLINK("#'Constants - Livestock'!A1", "Constants - Livestock")</f>
        <v>Constants - Livestock</v>
      </c>
      <c r="D22" s="131" t="str" cm="1">
        <f t="array" ref="D22">Common_InputFunctions.Utility_DisplayArrayInTable(SourceData_Dairy.SourceData_Dairy_LiveweightCowsAndHeifers_Data(), Table_SourceData_Dairy_WjCowsHeifers[[#Headers],[Breed]], 0)</f>
        <v>Medium Friesian</v>
      </c>
      <c r="E22" s="131" cm="1">
        <f t="array" ref="E22">Common_InputFunctions.Utility_DisplayArrayInTable(SourceData_Dairy.SourceData_Dairy_LiveweightCowsAndHeifers_Data(), Table_SourceData_Dairy_WjCowsHeifers[[#Headers],[Breed]], 0)</f>
        <v>550</v>
      </c>
      <c r="F22" s="131" cm="1">
        <f t="array" ref="F22">Common_InputFunctions.Utility_DisplayArrayInTable(SourceData_Dairy.SourceData_Dairy_LiveweightCowsAndHeifers_Data(), Table_SourceData_Dairy_WjCowsHeifers[[#Headers],[Breed]], 0)</f>
        <v>380</v>
      </c>
      <c r="G22" s="131"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Common'!A1", "Constants - Common")</f>
        <v>Constants - Common</v>
      </c>
      <c r="D23" s="131"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HYPERLINK("#'Acknowledgements'!A1", "Acknowledgements")</f>
        <v>Acknowledgements</v>
      </c>
      <c r="D24" s="131"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131"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131"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131"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131"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131"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131"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131"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131" t="s">
        <v>188</v>
      </c>
      <c r="E38" s="131" t="s">
        <v>193</v>
      </c>
      <c r="F38" s="131" t="s">
        <v>192</v>
      </c>
      <c r="M38" s="1"/>
    </row>
    <row r="39" spans="4:13" ht="20.100000000000001" customHeight="1" x14ac:dyDescent="0.25">
      <c r="D39" s="131" t="str" cm="1">
        <f t="array" ref="D39">Common_InputFunctions.Utility_DisplayArrayInTable(SourceData_Dairy.SourceData_Dairy_LiveweightBulls_Data(), Table_SourceData_Dairy_WjBulls[[#Headers],[Breed]], 0)</f>
        <v>All breeds</v>
      </c>
      <c r="E39" s="131" cm="1">
        <f t="array" ref="E39">Common_InputFunctions.Utility_DisplayArrayInTable(SourceData_Dairy.SourceData_Dairy_LiveweightBulls_Data(), Table_SourceData_Dairy_WjBulls[[#Headers],[Breed]], 0)</f>
        <v>600</v>
      </c>
      <c r="F39" s="131"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131" t="s">
        <v>189</v>
      </c>
      <c r="E46" s="131" t="s">
        <v>190</v>
      </c>
      <c r="F46" s="131" t="s">
        <v>191</v>
      </c>
      <c r="G46" s="131" t="s">
        <v>193</v>
      </c>
      <c r="H46" s="131" t="s">
        <v>192</v>
      </c>
      <c r="M46" s="1"/>
    </row>
    <row r="47" spans="4:13" ht="20.100000000000001" customHeight="1" x14ac:dyDescent="0.25">
      <c r="D47" s="131" cm="1">
        <f t="array" ref="D47">Common_InputFunctions.Utility_DisplayArrayInTable(SourceData_Dairy.SourceData_Dairy_LiveweightGain_Data(), Table_SourceData_Dairy_LWGj[[#Headers],[Milking cows]], 0)</f>
        <v>1.6E-2</v>
      </c>
      <c r="E47" s="131" cm="1">
        <f t="array" ref="E47">Common_InputFunctions.Utility_DisplayArrayInTable(SourceData_Dairy.SourceData_Dairy_LiveweightGain_Data(), Table_SourceData_Dairy_LWGj[[#Headers],[Milking cows]], 0)</f>
        <v>0.6</v>
      </c>
      <c r="F47" s="131" cm="1">
        <f t="array" ref="F47">Common_InputFunctions.Utility_DisplayArrayInTable(SourceData_Dairy.SourceData_Dairy_LiveweightGain_Data(), Table_SourceData_Dairy_LWGj[[#Headers],[Milking cows]], 0)</f>
        <v>0.56999999999999995</v>
      </c>
      <c r="G47" s="131" cm="1">
        <f t="array" ref="G47">Common_InputFunctions.Utility_DisplayArrayInTable(SourceData_Dairy.SourceData_Dairy_LiveweightGain_Data(), Table_SourceData_Dairy_LWGj[[#Headers],[Milking cows]], 0)</f>
        <v>0.1</v>
      </c>
      <c r="H47" s="131"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7" t="str" cm="1">
        <f t="array" ref="D53">SourceData_Dairy.SourceData_Dairy_ReferenceWeights_Unit()</f>
        <v>kg</v>
      </c>
      <c r="M53" s="1"/>
    </row>
    <row r="54" spans="4:13" ht="20.100000000000001" customHeight="1" x14ac:dyDescent="0.25">
      <c r="D54" s="132" t="s">
        <v>189</v>
      </c>
      <c r="E54" s="132" t="s">
        <v>190</v>
      </c>
      <c r="F54" s="132" t="s">
        <v>191</v>
      </c>
      <c r="G54" s="132" t="s">
        <v>193</v>
      </c>
      <c r="H54" s="132" t="s">
        <v>192</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7" t="str" cm="1">
        <f t="array" ref="D61">SourceData_Dairy.SourceData_Dairy_PreWeanedCalves_Unit()</f>
        <v>kg/day</v>
      </c>
      <c r="M61" s="1"/>
    </row>
    <row r="62" spans="4:13" ht="20.100000000000001" customHeight="1" x14ac:dyDescent="0.25">
      <c r="D62" s="131" t="s">
        <v>194</v>
      </c>
      <c r="E62" s="131" t="s">
        <v>195</v>
      </c>
      <c r="F62" s="131" t="s">
        <v>196</v>
      </c>
      <c r="G62" s="131" t="s">
        <v>197</v>
      </c>
      <c r="M62" s="1"/>
    </row>
    <row r="63" spans="4:13" ht="20.100000000000001" customHeight="1" x14ac:dyDescent="0.25">
      <c r="D63" s="131" t="str" cm="1">
        <f t="array" ref="D63">Common_InputFunctions.Utility_DisplayArrayInTable(SourceData_Dairy.SourceData_Dairy_PreWeanedCalves_Data(), Table_SourceData_Dairy_DataPreWeaned[[#Headers],[Animal class j]], -1)</f>
        <v>Heifers&lt;1</v>
      </c>
      <c r="E63" s="131" cm="1">
        <f t="array" ref="E63">Common_InputFunctions.Utility_DisplayArrayInTable(SourceData_Dairy.SourceData_Dairy_PreWeanedCalves_Data(), Table_SourceData_Dairy_DataPreWeaned[[#Headers],[Animal class j]], -1)</f>
        <v>1.7600000000000001E-2</v>
      </c>
      <c r="F63" s="131" cm="1">
        <f t="array" ref="F63">Common_InputFunctions.Utility_DisplayArrayInTable(SourceData_Dairy.SourceData_Dairy_PreWeanedCalves_Data(), Table_SourceData_Dairy_DataPreWeaned[[#Headers],[Animal class j]], -1)</f>
        <v>0.26850000000000002</v>
      </c>
      <c r="G63" s="131"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131" t="str" cm="1">
        <f t="array" ref="D64">Common_InputFunctions.Utility_DisplayArrayInTable(SourceData_Dairy.SourceData_Dairy_PreWeanedCalves_Data(), Table_SourceData_Dairy_DataPreWeaned[[#Headers],[Animal class j]], -1)</f>
        <v>Bulls&lt;1</v>
      </c>
      <c r="E64" s="131" cm="1">
        <f t="array" ref="E64">Common_InputFunctions.Utility_DisplayArrayInTable(SourceData_Dairy.SourceData_Dairy_PreWeanedCalves_Data(), Table_SourceData_Dairy_DataPreWeaned[[#Headers],[Animal class j]], -1)</f>
        <v>2.0400000000000001E-2</v>
      </c>
      <c r="F64" s="131" cm="1">
        <f t="array" ref="F64">Common_InputFunctions.Utility_DisplayArrayInTable(SourceData_Dairy.SourceData_Dairy_PreWeanedCalves_Data(), Table_SourceData_Dairy_DataPreWeaned[[#Headers],[Animal class j]], -1)</f>
        <v>0.30030000000000001</v>
      </c>
      <c r="G64" s="131"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7" t="str" cm="1">
        <f t="array" ref="D70">SourceData_Dairy.SourceData_Dairy_MCF_Unit()</f>
        <v>fraction</v>
      </c>
      <c r="M70" s="1"/>
    </row>
    <row r="71" spans="4:22" ht="20.100000000000001" customHeight="1" x14ac:dyDescent="0.25">
      <c r="D71" s="58" t="str" cm="1">
        <f t="array" ref="D71">SourceData_Dairy.SourceData_Dairy_MCF_Variation()</f>
        <v>VARIATION OF SOURCE: Added 'NIR reference' column to aid lookup</v>
      </c>
      <c r="M71" s="1"/>
      <c r="V71" s="1"/>
    </row>
    <row r="72" spans="4:22" ht="20.100000000000001" customHeight="1" x14ac:dyDescent="0.25">
      <c r="D72" s="131" t="s">
        <v>102</v>
      </c>
      <c r="E72" s="131" t="s">
        <v>84</v>
      </c>
      <c r="F72" s="131" t="s">
        <v>85</v>
      </c>
      <c r="G72" s="131" t="s">
        <v>86</v>
      </c>
      <c r="H72" s="131" t="s">
        <v>87</v>
      </c>
      <c r="I72" s="131" t="s">
        <v>88</v>
      </c>
      <c r="J72" s="131" t="s">
        <v>89</v>
      </c>
      <c r="K72" s="131" t="s">
        <v>90</v>
      </c>
      <c r="L72" s="131" t="s">
        <v>91</v>
      </c>
      <c r="M72" s="131" t="s">
        <v>205</v>
      </c>
      <c r="V72" s="1"/>
    </row>
    <row r="73" spans="4:22" ht="20.100000000000001" customHeight="1" x14ac:dyDescent="0.25">
      <c r="D73" s="131" t="str" cm="1">
        <f t="array" ref="D73">Common_InputFunctions.Utility_DisplayArrayInTable(SourceData_Dairy.SourceData_Dairy_MCF_Data(), Table_SourceData_Dairy_MCFjm[[#Headers],[MMS m]], 0)</f>
        <v>Pasture</v>
      </c>
      <c r="E73" s="131" cm="1">
        <f t="array" ref="E73">Common_InputFunctions.Utility_DisplayArrayInTable(SourceData_Dairy.SourceData_Dairy_MCF_Data(), Table_SourceData_Dairy_MCFjm[[#Headers],[MMS m]], 0)</f>
        <v>0.01</v>
      </c>
      <c r="F73" s="131" cm="1">
        <f t="array" ref="F73">Common_InputFunctions.Utility_DisplayArrayInTable(SourceData_Dairy.SourceData_Dairy_MCF_Data(), Table_SourceData_Dairy_MCFjm[[#Headers],[MMS m]], 0)</f>
        <v>0.01</v>
      </c>
      <c r="G73" s="131" cm="1">
        <f t="array" ref="G73">Common_InputFunctions.Utility_DisplayArrayInTable(SourceData_Dairy.SourceData_Dairy_MCF_Data(), Table_SourceData_Dairy_MCFjm[[#Headers],[MMS m]], 0)</f>
        <v>0.02</v>
      </c>
      <c r="H73" s="131" cm="1">
        <f t="array" ref="H73">Common_InputFunctions.Utility_DisplayArrayInTable(SourceData_Dairy.SourceData_Dairy_MCF_Data(), Table_SourceData_Dairy_MCFjm[[#Headers],[MMS m]], 0)</f>
        <v>0.01</v>
      </c>
      <c r="I73" s="131" cm="1">
        <f t="array" ref="I73">Common_InputFunctions.Utility_DisplayArrayInTable(SourceData_Dairy.SourceData_Dairy_MCF_Data(), Table_SourceData_Dairy_MCFjm[[#Headers],[MMS m]], 0)</f>
        <v>0.01</v>
      </c>
      <c r="J73" s="131" cm="1">
        <f t="array" ref="J73">Common_InputFunctions.Utility_DisplayArrayInTable(SourceData_Dairy.SourceData_Dairy_MCF_Data(), Table_SourceData_Dairy_MCFjm[[#Headers],[MMS m]], 0)</f>
        <v>0.01</v>
      </c>
      <c r="K73" s="131" cm="1">
        <f t="array" ref="K73">Common_InputFunctions.Utility_DisplayArrayInTable(SourceData_Dairy.SourceData_Dairy_MCF_Data(), Table_SourceData_Dairy_MCFjm[[#Headers],[MMS m]], 0)</f>
        <v>0.01</v>
      </c>
      <c r="L73" s="131" cm="1">
        <f t="array" ref="L73">Common_InputFunctions.Utility_DisplayArrayInTable(SourceData_Dairy.SourceData_Dairy_MCF_Data(), Table_SourceData_Dairy_MCFjm[[#Headers],[MMS m]], 0)</f>
        <v>0.01</v>
      </c>
      <c r="M73" s="131"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131"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131"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131"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131"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131"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131" t="s">
        <v>102</v>
      </c>
      <c r="E86" s="131" t="s">
        <v>198</v>
      </c>
      <c r="F86" s="131" t="s">
        <v>199</v>
      </c>
      <c r="G86" s="131" t="s">
        <v>205</v>
      </c>
      <c r="M86" s="1"/>
      <c r="V86" s="1"/>
    </row>
    <row r="87" spans="4:22" ht="20.100000000000001" customHeight="1" x14ac:dyDescent="0.25">
      <c r="D87" s="131" t="str" cm="1">
        <f t="array" ref="D87">Common_InputFunctions.Utility_DisplayArrayInTable(SourceData_Dairy.SourceData_Dairy_NitrousOxideEFsAndFracGASM_Data(), Table_SourceData_Dairy_EFmFracGASM[[#Headers],[MMS m]], 0)</f>
        <v>M=14 Pasture</v>
      </c>
      <c r="E87" s="131" cm="1">
        <f t="array" ref="E87">Common_InputFunctions.Utility_DisplayArrayInTable(SourceData_Dairy.SourceData_Dairy_NitrousOxideEFsAndFracGASM_Data(), Table_SourceData_Dairy_EFmFracGASM[[#Headers],[MMS m]], 0)</f>
        <v>0</v>
      </c>
      <c r="F87" s="131" cm="1">
        <f t="array" ref="F87">Common_InputFunctions.Utility_DisplayArrayInTable(SourceData_Dairy.SourceData_Dairy_NitrousOxideEFsAndFracGASM_Data(), Table_SourceData_Dairy_EFmFracGASM[[#Headers],[MMS m]], 0)</f>
        <v>0</v>
      </c>
      <c r="G87" s="131"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131"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131"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131"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131"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7" t="str" cm="1">
        <f t="array" ref="D97">SourceData_Dairy.SourceData_Dairy_MethaneProductionPreWeanedCalves_Unit()</f>
        <v>kg CH4/head/day</v>
      </c>
      <c r="M97" s="1"/>
    </row>
    <row r="98" spans="4:13" ht="20.100000000000001" customHeight="1" x14ac:dyDescent="0.25">
      <c r="D98" s="131" t="s">
        <v>194</v>
      </c>
      <c r="E98" s="131" t="s">
        <v>200</v>
      </c>
      <c r="M98" s="1"/>
    </row>
    <row r="99" spans="4:13" ht="20.100000000000001" customHeight="1" x14ac:dyDescent="0.25">
      <c r="D99" s="131" t="str" cm="1">
        <f t="array" ref="D99">Common_InputFunctions.Utility_DisplayArrayInTable(SourceData_Dairy.SourceData_Dairy_MethaneProductionPreWeanedCalves_Data(), Table_SourceData_Dairy_MPWENTERIC[[#Headers],[Animal class j]], 0)</f>
        <v>Heifers &lt; 1 year</v>
      </c>
      <c r="E99" s="131"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(kg DM/head/day)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7" t="str" cm="1">
        <f t="array" ref="D106">SourceData_Dairy.SourceData_Dairy_IncreasedMetabolicRateMilk_Unit()</f>
        <v>kg DM/head/day</v>
      </c>
      <c r="M106" s="1"/>
    </row>
    <row r="107" spans="4:13" ht="20.100000000000001" customHeight="1" x14ac:dyDescent="0.25">
      <c r="D107" s="131" t="s">
        <v>194</v>
      </c>
      <c r="E107" s="131" t="s">
        <v>201</v>
      </c>
      <c r="M107" s="1"/>
    </row>
    <row r="108" spans="4:13" ht="20.100000000000001" customHeight="1" x14ac:dyDescent="0.25">
      <c r="D108" s="131" t="str" cm="1">
        <f t="array" ref="D108">Common_InputFunctions.Utility_DisplayArrayInTable(SourceData_Dairy.SourceData_Dairy_IncreasedMetabolicRateMilk_Data(), Table_SourceData_Dairy_MRj[[#Headers],[Animal class j]], 0)</f>
        <v>Milking cows, and house cows</v>
      </c>
      <c r="E108" s="131"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131" t="s">
        <v>202</v>
      </c>
      <c r="E116" s="131" t="s">
        <v>158</v>
      </c>
      <c r="F116" s="131" t="s">
        <v>203</v>
      </c>
      <c r="G116" s="131" t="s">
        <v>204</v>
      </c>
      <c r="M116" s="1"/>
      <c r="V116" s="1"/>
    </row>
    <row r="117" spans="4:22" ht="20.100000000000001" customHeight="1" x14ac:dyDescent="0.25">
      <c r="D117" s="131" t="str" cm="1">
        <f t="array" ref="D117">Common_InputFunctions.Utility_DisplayArrayInTable(SourceData_Dairy.SourceData_Dairy_FractionVolatileSolidsVoidedMMS_Data(), Table_SourceData_Dairy_ProductionSystemTemplates[[#Headers],[Area]], 0)</f>
        <v>System 1: Grazed Only</v>
      </c>
      <c r="E117" s="131" cm="1">
        <f t="array" ref="E117">Common_InputFunctions.Utility_DisplayArrayInTable(SourceData_Dairy.SourceData_Dairy_FractionVolatileSolidsVoidedMMS_Data(), Table_SourceData_Dairy_ProductionSystemTemplates[[#Headers],[Area]], 0)</f>
        <v>0.89</v>
      </c>
      <c r="F117" s="131" cm="1">
        <f t="array" ref="F117">Common_InputFunctions.Utility_DisplayArrayInTable(SourceData_Dairy.SourceData_Dairy_FractionVolatileSolidsVoidedMMS_Data(), Table_SourceData_Dairy_ProductionSystemTemplates[[#Headers],[Area]], 0)</f>
        <v>0.11</v>
      </c>
      <c r="G117" s="131"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131" t="s">
        <v>102</v>
      </c>
      <c r="E128" s="131" t="s">
        <v>198</v>
      </c>
      <c r="F128" s="131" t="s">
        <v>205</v>
      </c>
      <c r="G128" s="114" t="s">
        <v>221</v>
      </c>
      <c r="M128" s="1"/>
      <c r="N128" s="24"/>
      <c r="V128" s="1"/>
    </row>
    <row r="129" spans="4:22" ht="20.100000000000001" customHeight="1" x14ac:dyDescent="0.25">
      <c r="D129" s="131" t="str" cm="1">
        <f t="array" ref="D129">Common_InputFunctions.Utility_DisplayArrayInTable(SourceData_Dairy.SourceData_Dairy_EFNitrousOxidePerMMS_Data(), Table_SourceData_Dairy_EFm[[#Headers],[MMS m]], 0)</f>
        <v>m=14 Pasture</v>
      </c>
      <c r="E129" s="131" cm="1">
        <f t="array" ref="E129">Common_InputFunctions.Utility_DisplayArrayInTable(SourceData_Dairy.SourceData_Dairy_EFNitrousOxidePerMMS_Data(), Table_SourceData_Dairy_EFm[[#Headers],[MMS m]], 0)</f>
        <v>0</v>
      </c>
      <c r="F129" s="131" t="str" cm="1">
        <f t="array" ref="F129">Common_InputFunctions.Utility_DisplayArrayInTable(SourceData_Dairy.SourceData_Dairy_EFNitrousOxidePerMMS_Data(), Table_SourceData_Dairy_EFm[[#Headers],[MMS m]], 0)</f>
        <v>Pasture range and paddock</v>
      </c>
      <c r="M129" s="1"/>
      <c r="N129" s="24"/>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131" t="str" cm="1">
        <f t="array" ref="F130">Common_InputFunctions.Utility_DisplayArrayInTable(SourceData_Dairy.SourceData_Dairy_EFNitrousOxidePerMMS_Data(), Table_SourceData_Dairy_EFm[[#Headers],[MMS m]], 0)</f>
        <v>Anaerobic lagoon</v>
      </c>
      <c r="M130" s="1"/>
      <c r="N130" s="24"/>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131" t="str" cm="1">
        <f t="array" ref="F131">Common_InputFunctions.Utility_DisplayArrayInTable(SourceData_Dairy.SourceData_Dairy_EFNitrousOxidePerMMS_Data(), Table_SourceData_Dairy_EFm[[#Headers],[MMS m]], 0)</f>
        <v>Sump and dispersal system</v>
      </c>
      <c r="M131" s="1"/>
      <c r="N131" s="24"/>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131" t="str" cm="1">
        <f t="array" ref="F132">Common_InputFunctions.Utility_DisplayArrayInTable(SourceData_Dairy.SourceData_Dairy_EFNitrousOxidePerMMS_Data(), Table_SourceData_Dairy_EFm[[#Headers],[MMS m]], 0)</f>
        <v>Drains to paddock</v>
      </c>
      <c r="M132" s="24"/>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131" t="str" cm="1">
        <f t="array" ref="F133">Common_InputFunctions.Utility_DisplayArrayInTable(SourceData_Dairy.SourceData_Dairy_EFNitrousOxidePerMMS_Data(), Table_SourceData_Dairy_EFm[[#Headers],[MMS m]], 0)</f>
        <v>Solid storage</v>
      </c>
      <c r="M133" s="24"/>
    </row>
    <row r="134" spans="4:22" ht="20.100000000000001" customHeight="1" x14ac:dyDescent="0.25">
      <c r="M134" s="24"/>
    </row>
    <row r="135" spans="4:22" ht="20.100000000000001" customHeight="1" x14ac:dyDescent="0.25">
      <c r="M135" s="24"/>
    </row>
    <row r="136" spans="4:22" ht="20.100000000000001" customHeight="1" x14ac:dyDescent="0.25">
      <c r="D136" s="6" t="str" cm="1">
        <f t="array" ref="D136">SourceData_Dairy.SourceData_Dairy_DurationOfStay_Title()</f>
        <v>Duration of stay for each dairy cattle input class</v>
      </c>
      <c r="M136" s="24"/>
    </row>
    <row r="137" spans="4:22" ht="20.100000000000001" customHeight="1" x14ac:dyDescent="0.25">
      <c r="D137" s="5" t="str" cm="1">
        <f t="array" ref="D137">SourceData_Dairy.SourceData_Dairy_DurationOfStay_Source()</f>
        <v>VEERG 2026: 4.3.2.2	DATA (METHOD 1 AND 2 OPTIONS)</v>
      </c>
      <c r="M137" s="24"/>
    </row>
    <row r="138" spans="4:22" ht="20.100000000000001" customHeight="1" x14ac:dyDescent="0.25">
      <c r="D138" s="1" t="str" cm="1">
        <f t="array" ref="D138">SourceData_Dairy.SourceData_Dairy_DurationOfStay_Variable()</f>
        <v>D</v>
      </c>
      <c r="M138" s="24"/>
    </row>
    <row r="139" spans="4:22" ht="20.100000000000001" customHeight="1" x14ac:dyDescent="0.25">
      <c r="D139" s="57" t="str" cm="1">
        <f t="array" ref="D139">SourceData_Dairy.SourceData_Dairy_DurationOfStay_Unit()</f>
        <v>days</v>
      </c>
      <c r="M139" s="24"/>
    </row>
    <row r="140" spans="4:22" ht="20.100000000000001" customHeight="1" x14ac:dyDescent="0.25">
      <c r="D140" s="58" t="str" cm="1">
        <f t="array" ref="D140">SourceData_Dairy.SourceData_Dairy_DurationOfStay_Variation()</f>
        <v>VARIATION OF SOURCE: Converted free text in document to table, matching livestock class names.</v>
      </c>
      <c r="M140" s="24"/>
    </row>
    <row r="141" spans="4:22" ht="20.100000000000001" customHeight="1" x14ac:dyDescent="0.25">
      <c r="D141" s="131" t="s">
        <v>194</v>
      </c>
      <c r="E141" s="131" t="s">
        <v>216</v>
      </c>
      <c r="F141" s="131" t="s">
        <v>217</v>
      </c>
      <c r="M141" s="24"/>
    </row>
    <row r="142" spans="4:22" ht="20.100000000000001" customHeight="1" x14ac:dyDescent="0.25">
      <c r="D142" s="131" t="str" cm="1">
        <f t="array" ref="D142">Common_InputFunctions.Utility_DisplayArrayInTable(SourceData_Dairy.SourceData_Dairy_DurationOfStay_Data(), Table_SourceData_Dairy_Duration[[#Headers],[Animal class j]], 0)</f>
        <v>Milking cows</v>
      </c>
      <c r="E142" s="131" cm="1">
        <f t="array" ref="E142">Common_InputFunctions.Utility_DisplayArrayInTable(SourceData_Dairy.SourceData_Dairy_DurationOfStay_Data(), Table_SourceData_Dairy_Duration[[#Headers],[Animal class j]], 0)</f>
        <v>365</v>
      </c>
      <c r="F142" s="131" cm="1">
        <f t="array" ref="F142">Common_InputFunctions.Utility_DisplayArrayInTable(SourceData_Dairy.SourceData_Dairy_DurationOfStay_Data(), Table_SourceData_Dairy_Duration[[#Headers],[Animal class j]], 0)</f>
        <v>0</v>
      </c>
      <c r="M142" s="24"/>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4:13" ht="20.100000000000001" customHeight="1" x14ac:dyDescent="0.25">
      <c r="M161" s="24"/>
    </row>
    <row r="162" spans="4:13" ht="20.100000000000001" customHeight="1" x14ac:dyDescent="0.25">
      <c r="M162" s="24"/>
    </row>
    <row r="163" spans="4:13" ht="20.100000000000001" customHeight="1" x14ac:dyDescent="0.25">
      <c r="D163" s="6" t="str" cm="1">
        <f t="array" ref="D163">SourceData_Dairy.SourceData_Dairy_NetEnergy_Title()</f>
        <v>Net energy required for milk production</v>
      </c>
      <c r="M163" s="24"/>
    </row>
    <row r="164" spans="4:13" ht="20.100000000000001" customHeight="1" x14ac:dyDescent="0.25">
      <c r="D164" s="5" t="str" cm="1">
        <f t="array" ref="D164">SourceData_Dairy.SourceData_Dairy_NetEnergy_Source()</f>
        <v>VEERG 2026: 3.3.2.3 CONSTANTS</v>
      </c>
      <c r="M164" s="24"/>
    </row>
    <row r="165" spans="4:13" ht="20.100000000000001" customHeight="1" x14ac:dyDescent="0.25">
      <c r="D165" s="1" t="str" cm="1">
        <f t="array" ref="D165">SourceData_Dairy.SourceData_Dairy_NetEnergy_Variable()</f>
        <v>NE</v>
      </c>
      <c r="M165" s="24"/>
    </row>
    <row r="166" spans="4:13" x14ac:dyDescent="0.25">
      <c r="D166" s="57" t="str" cm="1">
        <f t="array" ref="D166">SourceData_Dairy.SourceData_Dairy_NetEnergy_Unit()</f>
        <v>MJ net energy / kg milk</v>
      </c>
      <c r="M166" s="24"/>
    </row>
    <row r="167" spans="4:13" x14ac:dyDescent="0.25">
      <c r="D167" s="56" cm="1">
        <f t="array" ref="D167">SourceData_Dairy.SourceData_Dairy_NetEnergy_Data()</f>
        <v>3.0539999999999998</v>
      </c>
      <c r="M167" s="24"/>
    </row>
    <row r="168" spans="4:13" x14ac:dyDescent="0.25">
      <c r="M168" s="24"/>
    </row>
    <row r="169" spans="4:13" x14ac:dyDescent="0.25">
      <c r="M169" s="24"/>
    </row>
    <row r="170" spans="4:13" ht="23.25" x14ac:dyDescent="0.25">
      <c r="D170" s="6" t="str" cm="1">
        <f t="array" ref="D170">SourceData_Dairy.SourceData_Dairy_GrossEnergyContent_Title()</f>
        <v>Gross energy content of feed dry matter</v>
      </c>
      <c r="M170" s="24"/>
    </row>
    <row r="171" spans="4:13" x14ac:dyDescent="0.25">
      <c r="D171" s="5" t="str" cm="1">
        <f t="array" ref="D171">SourceData_Dairy.SourceData_Dairy_GrossEnergyContent_Source()</f>
        <v>VEERG 2026: 3.3.2.3 CONSTANTS</v>
      </c>
      <c r="M171" s="24"/>
    </row>
    <row r="172" spans="4:13" x14ac:dyDescent="0.25">
      <c r="D172" s="1" t="str" cm="1">
        <f t="array" ref="D172">SourceData_Dairy.SourceData_Dairy_GrossEnergyContent_Variable()</f>
        <v>GEC</v>
      </c>
      <c r="M172" s="24"/>
    </row>
    <row r="173" spans="4:13" x14ac:dyDescent="0.25">
      <c r="D173" s="57" t="str" cm="1">
        <f t="array" ref="D173">SourceData_Dairy.SourceData_Dairy_GrossEnergyContent_Unit()</f>
        <v>MJ / kgDM</v>
      </c>
      <c r="M173" s="24"/>
    </row>
    <row r="174" spans="4:13" x14ac:dyDescent="0.25">
      <c r="D174" s="56" cm="1">
        <f t="array" ref="D174">SourceData_Dairy.SourceData_Dairy_GrossEnergyContent_Data()</f>
        <v>18.399999999999999</v>
      </c>
      <c r="M174" s="24"/>
    </row>
    <row r="175" spans="4:13" x14ac:dyDescent="0.25">
      <c r="M175" s="24"/>
    </row>
    <row r="176" spans="4: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4:13" x14ac:dyDescent="0.25">
      <c r="D209" s="56" cm="1">
        <f t="array" ref="D209">SourceData_Dairy.SourceData_Dairy_FractionOfNitrogenLostThroughLeachingAndRunoff_Data()</f>
        <v>0.02</v>
      </c>
      <c r="M209" s="24"/>
    </row>
    <row r="210" spans="4:13" x14ac:dyDescent="0.25">
      <c r="M210" s="24"/>
    </row>
    <row r="211" spans="4:13" ht="23.25" x14ac:dyDescent="0.25">
      <c r="D211" s="6" t="str" cm="1">
        <f t="array" ref="D211">SourceData_Dairy.SourceData_Dairy_FracGASMSoil_Title()</f>
        <v>Fraction of nitrogen volatilized from urine and faeces deposited on pasture</v>
      </c>
      <c r="M211" s="24"/>
    </row>
    <row r="212" spans="4:13" x14ac:dyDescent="0.25">
      <c r="D212" s="5" t="str" cm="1">
        <f t="array" ref="D212">SourceData_Dairy.SourceData_Dairy_FracGASMSoil_Source()</f>
        <v>VEERG 2026: 4.3.2.3 CONSTANTS</v>
      </c>
      <c r="M212" s="24"/>
    </row>
    <row r="213" spans="4:13" x14ac:dyDescent="0.25">
      <c r="D213" s="1" t="str" cm="1">
        <f t="array" ref="D213">SourceData_Dairy.SourceData_Dairy_FracGASMSoil_Variable()</f>
        <v>FracGASMsoil</v>
      </c>
      <c r="M213" s="24"/>
    </row>
    <row r="214" spans="4:13" x14ac:dyDescent="0.25">
      <c r="D214" s="57" t="str" cm="1">
        <f t="array" ref="D214">SourceData_Dairy.SourceData_Dairy_FracGASMSoil_Unit()</f>
        <v>(kg NH3-N + NOx-N)/kg N</v>
      </c>
      <c r="M214" s="24"/>
    </row>
    <row r="215" spans="4:13" x14ac:dyDescent="0.25">
      <c r="D215" s="56" cm="1">
        <f t="array" ref="D215">SourceData_Dairy.SourceData_Dairy_FracGASMSoil_Data()</f>
        <v>0.21</v>
      </c>
      <c r="M215" s="24"/>
    </row>
    <row r="216" spans="4:13" x14ac:dyDescent="0.25">
      <c r="M216" s="24"/>
    </row>
    <row r="217" spans="4:13" x14ac:dyDescent="0.25">
      <c r="M217" s="24"/>
    </row>
    <row r="218" spans="4:13" x14ac:dyDescent="0.25">
      <c r="M218" s="24"/>
    </row>
    <row r="219" spans="4:13" x14ac:dyDescent="0.25">
      <c r="M219" s="24"/>
    </row>
    <row r="220" spans="4:13" x14ac:dyDescent="0.25">
      <c r="M220" s="24"/>
    </row>
    <row r="221" spans="4:13" x14ac:dyDescent="0.25">
      <c r="M221" s="24"/>
    </row>
    <row r="222" spans="4:13" x14ac:dyDescent="0.25">
      <c r="M222" s="24"/>
    </row>
    <row r="223" spans="4:13" x14ac:dyDescent="0.25">
      <c r="M223" s="24"/>
    </row>
    <row r="224" spans="4: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46AF-EF07-489E-9218-499E0ED230A9}">
  <dimension ref="A1:BX208"/>
  <sheetViews>
    <sheetView showGridLines="0" zoomScale="85" zoomScaleNormal="85" workbookViewId="0">
      <selection activeCell="A23" sqref="A2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16" width="20.7109375" style="1" customWidth="1"/>
    <col min="17" max="17" width="17.28515625" style="1" customWidth="1"/>
    <col min="18" max="19" width="20.7109375" style="1" customWidth="1"/>
    <col min="20" max="20" width="4.7109375" style="1" customWidth="1"/>
    <col min="21" max="32" width="20.7109375" style="7" customWidth="1"/>
    <col min="33" max="38" width="21.85546875" style="7" customWidth="1"/>
    <col min="39" max="43" width="20.7109375" style="7" customWidth="1"/>
    <col min="44" max="64" width="9.140625" style="7"/>
    <col min="65" max="16384" width="9.140625" style="3"/>
  </cols>
  <sheetData>
    <row r="1" spans="1:64" s="8" customFormat="1" ht="30" customHeight="1" x14ac:dyDescent="0.35">
      <c r="A1" s="8" t="e" vm="1">
        <v>#VALUE!</v>
      </c>
      <c r="C1" s="8" t="s">
        <v>79</v>
      </c>
    </row>
    <row r="2" spans="1:64" s="9" customFormat="1" ht="20.100000000000001" customHeight="1" x14ac:dyDescent="0.25"/>
    <row r="3" spans="1:64" ht="20.100000000000001" customHeight="1" x14ac:dyDescent="0.25">
      <c r="A3" s="17" t="str">
        <f>HYPERLINK("#'Home'!A1", "Home")</f>
        <v>Home</v>
      </c>
      <c r="C3" s="4"/>
      <c r="D3" s="4"/>
      <c r="E3" s="4"/>
      <c r="F3" s="4"/>
      <c r="G3" s="4"/>
      <c r="H3" s="4"/>
      <c r="I3" s="4"/>
      <c r="J3" s="4"/>
      <c r="K3" s="4"/>
      <c r="L3" s="4"/>
      <c r="M3" s="4"/>
      <c r="N3" s="4"/>
      <c r="O3" s="4"/>
      <c r="P3" s="4"/>
      <c r="Q3" s="4"/>
      <c r="R3" s="4"/>
      <c r="S3" s="4"/>
      <c r="T3" s="4"/>
      <c r="U3" s="11"/>
      <c r="V3" s="11"/>
    </row>
    <row r="4" spans="1:64" ht="20.100000000000001" customHeight="1" x14ac:dyDescent="0.25">
      <c r="A4" s="17" t="str">
        <f>HYPERLINK("#'Results'!A1", "Results")</f>
        <v>Results</v>
      </c>
      <c r="BL4" s="3"/>
    </row>
    <row r="5" spans="1:64" ht="20.100000000000001" customHeight="1" x14ac:dyDescent="0.25">
      <c r="A5" s="16"/>
      <c r="D5" s="6" t="str" cm="1">
        <f t="array" ref="D5">Common_SourceData.Common_SourceData_AustralianStatesTerritories_Title()</f>
        <v>Australian states and territories</v>
      </c>
      <c r="BL5" s="3"/>
    </row>
    <row r="6" spans="1:64" ht="20.100000000000001" customHeight="1" x14ac:dyDescent="0.25">
      <c r="A6" s="20" t="s">
        <v>3</v>
      </c>
      <c r="D6" s="39" t="s">
        <v>23</v>
      </c>
      <c r="E6" s="39" t="s">
        <v>24</v>
      </c>
      <c r="F6" s="39" t="s">
        <v>25</v>
      </c>
    </row>
    <row r="7" spans="1:64" ht="20.100000000000001" customHeight="1" x14ac:dyDescent="0.25">
      <c r="A7" s="17" t="str">
        <f>HYPERLINK("#'Input - Site'!A1", "Site")</f>
        <v>Site</v>
      </c>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4" ht="20.100000000000001" customHeight="1" x14ac:dyDescent="0.25">
      <c r="A8" s="17" t="str">
        <f>HYPERLINK("#'Input - Dairy'!A1", "Dairy")</f>
        <v>Dairy</v>
      </c>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4" ht="20.100000000000001" customHeight="1" x14ac:dyDescent="0.25">
      <c r="A9" s="17"/>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4" ht="20.100000000000001" customHeight="1" x14ac:dyDescent="0.25">
      <c r="A10" s="19" t="s">
        <v>78</v>
      </c>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4" ht="20.100000000000001" customHeight="1" x14ac:dyDescent="0.25">
      <c r="A11" s="17" t="str">
        <f>HYPERLINK("#'4.3.1.1-2 Methane'!A1", "4.3.1.1-2 Methane")</f>
        <v>4.3.1.1-2 Methane</v>
      </c>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L11" s="3"/>
    </row>
    <row r="12" spans="1:64" ht="20.100000000000001" customHeight="1" x14ac:dyDescent="0.25">
      <c r="A12" s="17" t="str">
        <f>HYPERLINK("#'4.3.1.3-4 Direct N20'!A1", "4.3.1.3-4 Direct N2O")</f>
        <v>4.3.1.3-4 Direct N2O</v>
      </c>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L12" s="3"/>
    </row>
    <row r="13" spans="1:64" ht="20.100000000000001" customHeight="1" x14ac:dyDescent="0.25">
      <c r="A13" s="17" t="str">
        <f>HYPERLINK("#'4.3.1.5 Atmos Deposition'!A1", "4.3.1.5 Atmospheric deposition")</f>
        <v>4.3.1.5 Atmospheric deposition</v>
      </c>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4" ht="20.100000000000001" customHeight="1" x14ac:dyDescent="0.25">
      <c r="A14" s="17" t="str">
        <f>HYPERLINK("#'4.3.1.6-7 Leaching and runoff'!A1", "4.3.1.6-7 Leaching and runoff")</f>
        <v>4.3.1.6-7 Leaching and runoff</v>
      </c>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4" ht="20.100000000000001" customHeight="1" x14ac:dyDescent="0.25">
      <c r="A15" s="17" t="str">
        <f>HYPERLINK("#'4.3.1.8 Manure applied to soils'!A1", "4.3.1.8 Manure applied to soils")</f>
        <v>4.3.1.8 Manure applied to soils</v>
      </c>
    </row>
    <row r="16" spans="1:64" ht="20.100000000000001" customHeight="1" x14ac:dyDescent="0.25">
      <c r="A16" s="17" t="str">
        <f>HYPERLINK("#'4.3.1.9 Soil direct N2O'!A1", "4.3.1.9 Soil direct N2O")</f>
        <v>4.3.1.9 Soil direct N2O</v>
      </c>
    </row>
    <row r="17" spans="1:4" ht="20.100000000000001" customHeight="1" x14ac:dyDescent="0.25">
      <c r="A17" s="17" t="str">
        <f>HYPERLINK("#'4.3.1.10-11 Soil Atmos Dep'!A1", "4.3.1.10-11 Soil atm. deposition")</f>
        <v>4.3.1.10-11 Soil atm. deposition</v>
      </c>
    </row>
    <row r="18" spans="1:4" ht="20.100000000000001" customHeight="1" x14ac:dyDescent="0.25">
      <c r="A18" s="17" t="str">
        <f>HYPERLINK("#'4.3.1.12-13 Soil leach runoff'!A1", "4.3.1.12-13 Soil leach &amp; runoff")</f>
        <v>4.3.1.12-13 Soil leach &amp; runoff</v>
      </c>
      <c r="D18" s="6" t="str" cm="1">
        <f t="array" ref="D18">Common_SourceData.Common_SourceData_WASA4Areas_Title()</f>
        <v>ABS Statistcal Areas Level 4 - Western Australia</v>
      </c>
    </row>
    <row r="19" spans="1:4" ht="20.100000000000001" customHeight="1" x14ac:dyDescent="0.25">
      <c r="A19" s="17"/>
      <c r="D19" s="5" t="str" cm="1">
        <f t="array" ref="D19">Common_SourceData.Common_SourceData_WASA4Areas_Source()</f>
        <v>Australian Bureau of Statistics (ABS) - Statistical Areas Level 2 - 2021 - Shapefile</v>
      </c>
    </row>
    <row r="20" spans="1:4" ht="20.100000000000001" customHeight="1" x14ac:dyDescent="0.25">
      <c r="A20" s="18" t="s">
        <v>4</v>
      </c>
      <c r="D20" s="39" t="s">
        <v>26</v>
      </c>
    </row>
    <row r="21" spans="1:4" ht="20.100000000000001" customHeight="1" x14ac:dyDescent="0.25">
      <c r="A21" s="17" t="str">
        <f>HYPERLINK("#'Constants - Dairy'!A1", "Constants - Dairy")</f>
        <v>Constants - Dairy</v>
      </c>
      <c r="D21" s="39"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Livestock'!A1", "Constants - Livestock")</f>
        <v>Constants - Livestock</v>
      </c>
      <c r="D22" s="39" t="str" cm="1">
        <f t="array" ref="D22">Common_InputFunctions.Utility_DisplayArrayInTable(Common_SourceData.Common_SourceData_WASA4Areas_Data(), Table_WASA4Areas[[#Headers],[SA 4 Name]], 0)</f>
        <v>Mandurah</v>
      </c>
    </row>
    <row r="23" spans="1:4" ht="20.100000000000001" customHeight="1" x14ac:dyDescent="0.25">
      <c r="A23" s="72" t="str">
        <f>HYPERLINK("#'Constants - Common'!A1", "Constants - Common")</f>
        <v>Constants - Common</v>
      </c>
      <c r="D23" s="39" t="str" cm="1">
        <f t="array" ref="D23">Common_InputFunctions.Utility_DisplayArrayInTable(Common_SourceData.Common_SourceData_WASA4Areas_Data(), Table_WASA4Areas[[#Headers],[SA 4 Name]], 0)</f>
        <v>Perth - Inner</v>
      </c>
    </row>
    <row r="24" spans="1:4" ht="20.100000000000001" customHeight="1" x14ac:dyDescent="0.25">
      <c r="A24" s="17" t="str">
        <f>HYPERLINK("#'Acknowledgements'!A1", "Acknowledgements")</f>
        <v>Acknowledgements</v>
      </c>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19" ht="20.100000000000001" customHeight="1" x14ac:dyDescent="0.25">
      <c r="D81" s="6" t="str" cm="1">
        <f t="array" ref="D81">Common_SourceData.Common_SourceData_ClimateZones_Title()</f>
        <v>VEERG Australian climate zones</v>
      </c>
    </row>
    <row r="82" spans="4:19" ht="20.100000000000001" customHeight="1" x14ac:dyDescent="0.25">
      <c r="D82" s="5" t="str" cm="1">
        <f t="array" ref="D82">Common_SourceData.Common_SourceData_ClimateZones_Source()</f>
        <v>VEERG 2026: Table 1.3: Climate and Rainfall zone classifications and definitions</v>
      </c>
    </row>
    <row r="83" spans="4:19" ht="20.100000000000001" customHeight="1" x14ac:dyDescent="0.25">
      <c r="D83" s="58" t="str" cm="1">
        <f t="array" ref="D83:D87">"⚠️" &amp; Common_SourceData.Common_SourceData_ClimateZones_Variation()</f>
        <v>⚠️VARIATION OF SOURCE DATA:</v>
      </c>
    </row>
    <row r="84" spans="4:19" ht="20.100000000000001" customHeight="1" x14ac:dyDescent="0.25">
      <c r="D84" s="58" t="str">
        <v>⚠️Added warm / cool temperate moist / dry - low frost and high temp classes to accommodate climate scenarios excluded by VEERG criteria.</v>
      </c>
    </row>
    <row r="85" spans="4:19" ht="20.100000000000001" customHeight="1" x14ac:dyDescent="0.25">
      <c r="D85" s="58" t="str">
        <v>⚠️Fixed typo in MAT value for warm temperate dry - changed 10 to 11.</v>
      </c>
    </row>
    <row r="86" spans="4:19" ht="20.100000000000001" customHeight="1" x14ac:dyDescent="0.25">
      <c r="D86" s="58" t="str">
        <v>⚠️Added min and max columns for MAT, MAP, frost days per year, elevation, MAP:PET to calculate zones from real climate data.</v>
      </c>
    </row>
    <row r="87" spans="4:19" ht="20.100000000000001" customHeight="1" x14ac:dyDescent="0.25">
      <c r="D87" s="58" t="str">
        <v>⚠️GAF accepts rainfall as a proxy for precipitation.</v>
      </c>
    </row>
    <row r="88" spans="4:19" ht="20.100000000000001" customHeight="1" x14ac:dyDescent="0.25"/>
    <row r="89" spans="4:19"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row>
    <row r="90" spans="4:19"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row>
    <row r="91" spans="4:19"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row>
    <row r="92" spans="4:19"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row>
    <row r="93" spans="4:19"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row>
    <row r="94" spans="4:19"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row>
    <row r="95" spans="4:19"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row>
    <row r="96" spans="4:19"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row>
    <row r="97" spans="4:19"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row>
    <row r="98" spans="4:19" ht="20.100000000000001" customHeight="1" x14ac:dyDescent="0.25">
      <c r="D98" s="57" t="str" cm="1">
        <f t="array" ref="D98:D101">Common_SourceData.Common_SourceData_ClimateZones_Appendices()</f>
        <v>Note:</v>
      </c>
    </row>
    <row r="99" spans="4:19" ht="20.100000000000001" customHeight="1" x14ac:dyDescent="0.25">
      <c r="D99" s="57" t="str">
        <v>MAT = mean annual temperature</v>
      </c>
    </row>
    <row r="100" spans="4:19" ht="20.100000000000001" customHeight="1" x14ac:dyDescent="0.25">
      <c r="D100" s="57" t="str">
        <v>MAP = mean annual precipitation</v>
      </c>
    </row>
    <row r="101" spans="4:19" ht="20.100000000000001" customHeight="1" x14ac:dyDescent="0.25">
      <c r="D101" s="57" t="str">
        <v>PET = potential evapotranspiration</v>
      </c>
    </row>
    <row r="102" spans="4:19" ht="20.100000000000001" customHeight="1" x14ac:dyDescent="0.25">
      <c r="D102" s="57"/>
    </row>
    <row r="103" spans="4:19" ht="20.100000000000001" customHeight="1" x14ac:dyDescent="0.25"/>
    <row r="104" spans="4:19" ht="20.100000000000001" customHeight="1" x14ac:dyDescent="0.25"/>
    <row r="105" spans="4:19" ht="20.100000000000001" customHeight="1" x14ac:dyDescent="0.25">
      <c r="D105" s="6" t="str" cm="1">
        <f t="array" ref="D105">Common_SourceData.Common_SourceData_TemperatureZones_Title()</f>
        <v>VEERG Australian temperature zones</v>
      </c>
    </row>
    <row r="106" spans="4:19" ht="20.100000000000001" customHeight="1" x14ac:dyDescent="0.25">
      <c r="D106" s="5" t="str" cm="1">
        <f t="array" ref="D106">Common_SourceData.Common_SourceData_TemperatureZones_Source()</f>
        <v>VEERG 2026: Table 1.3: Climate and Rainfall zone classifications and definitions</v>
      </c>
    </row>
    <row r="107" spans="4:19"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19" ht="20.100000000000001" customHeight="1" x14ac:dyDescent="0.25"/>
    <row r="109" spans="4:19" ht="20.100000000000001" customHeight="1" x14ac:dyDescent="0.25">
      <c r="D109" s="39" t="s">
        <v>57</v>
      </c>
      <c r="E109" s="39" t="s">
        <v>38</v>
      </c>
      <c r="F109" s="39" t="s">
        <v>58</v>
      </c>
      <c r="G109" s="39" t="s">
        <v>59</v>
      </c>
    </row>
    <row r="110" spans="4:19"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19"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19"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5" ht="20.100000000000001" customHeight="1" x14ac:dyDescent="0.25"/>
    <row r="114" spans="4:65" ht="20.100000000000001" customHeight="1" x14ac:dyDescent="0.25"/>
    <row r="115" spans="4:65" ht="20.100000000000001" customHeight="1" x14ac:dyDescent="0.25">
      <c r="D115" s="6" t="str" cm="1">
        <f t="array" ref="D115">Common_SourceData.Common_SourceData_RainfallZones_Title()</f>
        <v>VEERG Australian rainfall zones</v>
      </c>
      <c r="BM115" s="7"/>
    </row>
    <row r="116" spans="4:65" ht="20.100000000000001" customHeight="1" x14ac:dyDescent="0.25">
      <c r="D116" s="5" t="str" cm="1">
        <f t="array" ref="D116">Common_SourceData.Common_SourceData_RainfallZones_Source()</f>
        <v>VEERG 2026: Table 1.3: Climate and Rainfall zone classifications and definitions</v>
      </c>
      <c r="BM116" s="7"/>
    </row>
    <row r="117" spans="4:65"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M117" s="7"/>
    </row>
    <row r="118" spans="4:65" ht="20.100000000000001" customHeight="1" x14ac:dyDescent="0.25">
      <c r="BM118" s="7"/>
    </row>
    <row r="119" spans="4:65" ht="20.100000000000001" customHeight="1" x14ac:dyDescent="0.25">
      <c r="D119" s="39" t="s">
        <v>60</v>
      </c>
      <c r="E119" s="39" t="s">
        <v>61</v>
      </c>
      <c r="F119" s="39" t="s">
        <v>45</v>
      </c>
      <c r="G119" s="39" t="s">
        <v>46</v>
      </c>
      <c r="BM119" s="7"/>
    </row>
    <row r="120" spans="4:65"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M120" s="7"/>
    </row>
    <row r="121" spans="4:65"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M121" s="7"/>
    </row>
    <row r="122" spans="4:65" ht="20.100000000000001" customHeight="1" x14ac:dyDescent="0.25">
      <c r="BM122" s="7"/>
    </row>
    <row r="123" spans="4:65" ht="20.100000000000001" customHeight="1" x14ac:dyDescent="0.25"/>
    <row r="124" spans="4:65" ht="20.100000000000001" customHeight="1" x14ac:dyDescent="0.25">
      <c r="D124" s="6" t="str" cm="1">
        <f t="array" ref="D124">Common_SourceData.Common_SourceData_LeachingZones_Title()</f>
        <v>VEERG Australian leaching zones</v>
      </c>
    </row>
    <row r="125" spans="4:65" ht="20.100000000000001" customHeight="1" x14ac:dyDescent="0.25">
      <c r="D125" s="5" t="str" cm="1">
        <f t="array" ref="D125">Common_SourceData.Common_SourceData_LeachingZones_Source()</f>
        <v>VEERG 2026: Table 1.3: Climate and Rainfall zone classifications and definitions</v>
      </c>
    </row>
    <row r="126" spans="4:65" ht="20.100000000000001" customHeight="1" x14ac:dyDescent="0.25"/>
    <row r="127" spans="4:65" ht="20.100000000000001" customHeight="1" x14ac:dyDescent="0.25">
      <c r="D127" s="39" t="s">
        <v>67</v>
      </c>
      <c r="E127" s="39" t="s">
        <v>68</v>
      </c>
    </row>
    <row r="128" spans="4:65"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6"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6" ht="20.100000000000001" customHeight="1" x14ac:dyDescent="0.25"/>
    <row r="131" spans="4:76" ht="20.100000000000001" customHeight="1" x14ac:dyDescent="0.25"/>
    <row r="132" spans="4:76" ht="20.100000000000001" customHeight="1" x14ac:dyDescent="0.25">
      <c r="D132" s="6" t="str" cm="1">
        <f t="array" ref="D132">Common_SourceData.Common_SourceData_FracWET_Title()</f>
        <v>Fraction of N that is available for leaching and runoff</v>
      </c>
      <c r="E132" s="24"/>
    </row>
    <row r="133" spans="4:76" ht="20.100000000000001" customHeight="1" x14ac:dyDescent="0.25">
      <c r="D133" s="5" t="str" cm="1">
        <f t="array" ref="D133">Common_SourceData.Common_SourceData_FracWET_Source()</f>
        <v>VEERG 2026:5.5.2.3 Constant Parameters</v>
      </c>
      <c r="E133" s="24"/>
    </row>
    <row r="134" spans="4:76" ht="20.100000000000001" customHeight="1" x14ac:dyDescent="0.25">
      <c r="D134" t="s">
        <v>95</v>
      </c>
      <c r="E134" t="s">
        <v>96</v>
      </c>
    </row>
    <row r="135" spans="4:76"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6"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6" ht="20.100000000000001" customHeight="1" x14ac:dyDescent="0.25"/>
    <row r="138" spans="4:76" ht="20.100000000000001" customHeight="1" x14ac:dyDescent="0.25">
      <c r="BM138" s="7"/>
      <c r="BN138" s="7"/>
      <c r="BO138" s="7"/>
      <c r="BP138" s="7"/>
      <c r="BQ138" s="7"/>
      <c r="BR138" s="7"/>
      <c r="BS138" s="7"/>
      <c r="BT138" s="7"/>
      <c r="BU138" s="7"/>
      <c r="BV138" s="7"/>
      <c r="BW138" s="7"/>
      <c r="BX138" s="7"/>
    </row>
    <row r="139" spans="4:76" ht="20.100000000000001" customHeight="1" x14ac:dyDescent="0.25">
      <c r="D139" s="6" t="str" cm="1">
        <f t="array" ref="D139">Common_SourceData.Common_SourceData_FracWETIrrigation_Title()</f>
        <v>FracWET for irrigation types</v>
      </c>
      <c r="BM139" s="7"/>
      <c r="BN139" s="7"/>
      <c r="BO139" s="7"/>
      <c r="BP139" s="7"/>
      <c r="BQ139" s="7"/>
      <c r="BR139" s="7"/>
      <c r="BS139" s="7"/>
      <c r="BT139" s="7"/>
      <c r="BU139" s="7"/>
      <c r="BV139" s="7"/>
      <c r="BW139" s="7"/>
      <c r="BX139" s="7"/>
    </row>
    <row r="140" spans="4:76" ht="20.100000000000001" customHeight="1" x14ac:dyDescent="0.25">
      <c r="D140" s="5" t="str" cm="1">
        <f t="array" ref="D140">Common_SourceData.Common_SourceData_FracWETIrrigation_Source()</f>
        <v>VEERG 2026: Chapter 1, section 1.8.2 Leaching, climate and rainfall zones</v>
      </c>
      <c r="BM140" s="7"/>
      <c r="BN140" s="7"/>
      <c r="BO140" s="7"/>
      <c r="BP140" s="7"/>
      <c r="BQ140" s="7"/>
      <c r="BR140" s="7"/>
      <c r="BS140" s="7"/>
      <c r="BT140" s="7"/>
      <c r="BU140" s="7"/>
      <c r="BV140" s="7"/>
      <c r="BW140" s="7"/>
      <c r="BX140" s="7"/>
    </row>
    <row r="141" spans="4:76"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M141" s="7"/>
    </row>
    <row r="142" spans="4:76" ht="20.100000000000001" customHeight="1" x14ac:dyDescent="0.25">
      <c r="D142" s="39" t="s">
        <v>357</v>
      </c>
      <c r="E142" s="39" t="s">
        <v>96</v>
      </c>
      <c r="BM142" s="7"/>
    </row>
    <row r="143" spans="4:76"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M143" s="7"/>
    </row>
    <row r="144" spans="4:76"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M144" s="7"/>
    </row>
    <row r="145" spans="4:65"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M145" s="7"/>
    </row>
    <row r="146" spans="4:65"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M146" s="7"/>
    </row>
    <row r="147" spans="4:65"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M147" s="7"/>
    </row>
    <row r="148" spans="4:65" ht="20.100000000000001" customHeight="1" x14ac:dyDescent="0.25">
      <c r="BM148" s="7"/>
    </row>
    <row r="149" spans="4:65" ht="20.100000000000001" customHeight="1" x14ac:dyDescent="0.25">
      <c r="BM149" s="7"/>
    </row>
    <row r="150" spans="4:65" ht="20.100000000000001" customHeight="1" x14ac:dyDescent="0.25">
      <c r="D150" s="6" t="str" cm="1">
        <f t="array" ref="D150">Common_SourceData.Common_SourceData_DataScores_Scope3_Title()</f>
        <v>Australian data scores for scope 3</v>
      </c>
      <c r="BM150" s="7"/>
    </row>
    <row r="151" spans="4:65" ht="20.100000000000001" customHeight="1" x14ac:dyDescent="0.25">
      <c r="D151" s="5" t="str" cm="1">
        <f t="array" ref="D151">Common_SourceData.Common_SourceData_DataScores_Scope3_Source()</f>
        <v>VEERG 2026: XXXXXXXX</v>
      </c>
      <c r="BM151" s="7"/>
    </row>
    <row r="152" spans="4:65" ht="20.100000000000001" customHeight="1" x14ac:dyDescent="0.25">
      <c r="BM152" s="7"/>
    </row>
    <row r="153" spans="4:65" ht="20.100000000000001" customHeight="1" x14ac:dyDescent="0.25">
      <c r="D153" s="39" t="s">
        <v>70</v>
      </c>
      <c r="E153" s="39" t="s">
        <v>71</v>
      </c>
      <c r="BB153" s="3"/>
      <c r="BC153" s="3"/>
      <c r="BD153" s="3"/>
      <c r="BE153" s="3"/>
      <c r="BF153" s="3"/>
      <c r="BG153" s="3"/>
      <c r="BH153" s="3"/>
      <c r="BI153" s="3"/>
      <c r="BJ153" s="3"/>
      <c r="BK153" s="3"/>
      <c r="BL153" s="3"/>
    </row>
    <row r="154" spans="4:65"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B154" s="3"/>
      <c r="BC154" s="3"/>
      <c r="BD154" s="3"/>
      <c r="BE154" s="3"/>
      <c r="BF154" s="3"/>
      <c r="BG154" s="3"/>
      <c r="BH154" s="3"/>
      <c r="BI154" s="3"/>
      <c r="BJ154" s="3"/>
      <c r="BK154" s="3"/>
      <c r="BL154" s="3"/>
    </row>
    <row r="155" spans="4:65"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B155" s="3"/>
      <c r="BC155" s="3"/>
      <c r="BD155" s="3"/>
      <c r="BE155" s="3"/>
      <c r="BF155" s="3"/>
      <c r="BG155" s="3"/>
      <c r="BH155" s="3"/>
      <c r="BI155" s="3"/>
      <c r="BJ155" s="3"/>
      <c r="BK155" s="3"/>
      <c r="BL155" s="3"/>
    </row>
    <row r="156" spans="4:65"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5"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5"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5" ht="20.100000000000001" customHeight="1" x14ac:dyDescent="0.25"/>
    <row r="160" spans="4:65" ht="20.100000000000001" customHeight="1" x14ac:dyDescent="0.25"/>
    <row r="161" spans="4:67" ht="20.100000000000001" customHeight="1" x14ac:dyDescent="0.25">
      <c r="D161" s="6" t="str" cm="1">
        <f t="array" ref="D161">Common_SourceData.Common_SourceData_FracLEACH_Title()</f>
        <v>Fraction of N that is available for leaching and runoff</v>
      </c>
      <c r="E161" s="24"/>
    </row>
    <row r="162" spans="4:67" ht="20.100000000000001" customHeight="1" x14ac:dyDescent="0.25">
      <c r="D162" s="5" t="str" cm="1">
        <f t="array" ref="D162">Common_SourceData.Common_SourceData_FracLEACH_Source()</f>
        <v>VEERG 2026:5.5.2.3 Constant Parameters</v>
      </c>
      <c r="E162" s="24"/>
    </row>
    <row r="163" spans="4:67" ht="20.100000000000001" customHeight="1" x14ac:dyDescent="0.25">
      <c r="D163" s="5" t="str" cm="1">
        <f t="array" ref="D163">Common_SourceData.Common_SourceData_FracLEACH_NIRReference()</f>
        <v>National Inventory Report Volume 1: Leaching and runoff (3.D.b.2)</v>
      </c>
      <c r="E163" s="24"/>
    </row>
    <row r="164" spans="4:67" ht="20.100000000000001" customHeight="1" x14ac:dyDescent="0.25">
      <c r="D164" s="24" t="str" cm="1">
        <f t="array" ref="D164:E164">Common_SourceData.Common_SourceData_FracLEACH_Data()</f>
        <v>FracLEACH</v>
      </c>
      <c r="E164" s="24">
        <v>0.24</v>
      </c>
    </row>
    <row r="165" spans="4:67" ht="20.100000000000001" customHeight="1" x14ac:dyDescent="0.25">
      <c r="BM165" s="7"/>
      <c r="BN165" s="7"/>
      <c r="BO165" s="7"/>
    </row>
    <row r="166" spans="4:67" ht="20.100000000000001" customHeight="1" x14ac:dyDescent="0.25">
      <c r="BM166" s="7"/>
      <c r="BN166" s="7"/>
      <c r="BO166" s="7"/>
    </row>
    <row r="167" spans="4:67" ht="20.100000000000001" customHeight="1" x14ac:dyDescent="0.25">
      <c r="D167" s="6" t="str" cm="1">
        <f t="array" ref="D167">Common_SourceData.Common_SourceData_EFleach_Title()</f>
        <v>Emission factor for nitrogen leaching and runoff</v>
      </c>
      <c r="BM167" s="7"/>
      <c r="BN167" s="7"/>
      <c r="BO167" s="7"/>
    </row>
    <row r="168" spans="4:67" ht="20.100000000000001" customHeight="1" x14ac:dyDescent="0.25">
      <c r="D168" s="5" t="str" cm="1">
        <f t="array" ref="D168">Common_SourceData.Common_SourceData_EFleach_Source()</f>
        <v>VEERG 2026:5.5.2.3 Constant Parameters</v>
      </c>
      <c r="BM168" s="7"/>
      <c r="BN168" s="7"/>
      <c r="BO168" s="7"/>
    </row>
    <row r="169" spans="4:67" ht="20.100000000000001" customHeight="1" x14ac:dyDescent="0.25">
      <c r="D169" s="5" t="str" cm="1">
        <f t="array" ref="D169">Common_SourceData.Common_SourceData_EFleach_NIRReference()</f>
        <v>National Inventory Report Volume 1: Equation 3.D.B_10</v>
      </c>
      <c r="BM169" s="7"/>
      <c r="BN169" s="7"/>
      <c r="BO169" s="7"/>
    </row>
    <row r="170" spans="4:67" ht="20.100000000000001" customHeight="1" x14ac:dyDescent="0.25">
      <c r="D170" s="1" t="str" cm="1">
        <f t="array" ref="D170:E170">Common_SourceData.Common_SourceData_EFleach_Data()</f>
        <v>EFleach</v>
      </c>
      <c r="E170" s="1">
        <v>1.0999999999999999E-2</v>
      </c>
      <c r="BM170" s="7"/>
      <c r="BN170" s="7"/>
      <c r="BO170" s="7"/>
    </row>
    <row r="171" spans="4:67" ht="20.100000000000001" customHeight="1" x14ac:dyDescent="0.25">
      <c r="BM171" s="7"/>
      <c r="BN171" s="7"/>
      <c r="BO171" s="7"/>
    </row>
    <row r="172" spans="4:67" ht="20.100000000000001" customHeight="1" x14ac:dyDescent="0.25">
      <c r="BM172" s="7"/>
      <c r="BN172" s="7"/>
      <c r="BO172" s="7"/>
    </row>
    <row r="173" spans="4:67" ht="20.100000000000001" customHeight="1" x14ac:dyDescent="0.25">
      <c r="D173" s="6" t="str" cm="1">
        <f t="array" ref="D173">Common_SourceData.Common_SourceData_DensityOfMethane_Title()</f>
        <v>p = density of methane</v>
      </c>
      <c r="BM173" s="7"/>
      <c r="BN173" s="7"/>
      <c r="BO173" s="7"/>
    </row>
    <row r="174" spans="4:67" ht="20.100000000000001" customHeight="1" x14ac:dyDescent="0.25">
      <c r="D174" s="5" t="str" cm="1">
        <f t="array" ref="D174">Common_SourceData.Common_SourceData_DensityOfMethane_Source()</f>
        <v>National Inventory Report 2023 Volume 1: Equations 3.B.1a_2, 3.B.1c_2, 3.B.3_1, 3.B.4g_2</v>
      </c>
      <c r="BM174" s="7"/>
      <c r="BN174" s="7"/>
      <c r="BO174" s="7"/>
    </row>
    <row r="175" spans="4:67" ht="20.100000000000001" customHeight="1" x14ac:dyDescent="0.25">
      <c r="D175" s="1" cm="1">
        <f t="array" ref="D175">Common_SourceData.Common_SourceData_DensityOfMethane_Data()</f>
        <v>0.6784</v>
      </c>
      <c r="E175" s="57" t="str" cm="1">
        <f t="array" ref="E175">Common_SourceData.Common_SourceData_DensityOfMethane_Unit()</f>
        <v>kg/m3</v>
      </c>
      <c r="BM175" s="7"/>
      <c r="BN175" s="7"/>
      <c r="BO175" s="7"/>
    </row>
    <row r="176" spans="4:67" ht="20.100000000000001" customHeight="1" x14ac:dyDescent="0.25">
      <c r="BM176" s="7"/>
      <c r="BN176" s="7"/>
      <c r="BO176" s="7"/>
    </row>
    <row r="177" spans="4:67" ht="20.100000000000001" customHeight="1" x14ac:dyDescent="0.25">
      <c r="BM177" s="7"/>
      <c r="BN177" s="7"/>
      <c r="BO177" s="7"/>
    </row>
    <row r="178" spans="4:67" ht="20.100000000000001" customHeight="1" x14ac:dyDescent="0.25">
      <c r="D178" s="6" t="str" cm="1">
        <f t="array" ref="D178">Common_SourceData.Common_SourceData_EFN2O_Title()</f>
        <v>Nitrous oxide emission factors for inorganic fertiliser application</v>
      </c>
      <c r="BM178" s="7"/>
      <c r="BN178" s="7"/>
      <c r="BO178" s="7"/>
    </row>
    <row r="179" spans="4:67" ht="20.100000000000001" customHeight="1" x14ac:dyDescent="0.25">
      <c r="D179" s="5" t="str" cm="1">
        <f t="array" ref="D179">Common_SourceData.Common_SourceData_EFN2O_Source()</f>
        <v>VEERG 2026: Table A.2.2.1</v>
      </c>
      <c r="BM179" s="7"/>
      <c r="BN179" s="7"/>
      <c r="BO179" s="7"/>
    </row>
    <row r="180" spans="4:67" ht="20.100000000000001" customHeight="1" x14ac:dyDescent="0.25">
      <c r="D180" s="57" t="str" cm="1">
        <f t="array" ref="D180">Common_SourceData.Common_SourceData_EFN2O_Unit()</f>
        <v>(kg N2O-N / kg N</v>
      </c>
    </row>
    <row r="181" spans="4:67" ht="20.100000000000001" customHeight="1" x14ac:dyDescent="0.25">
      <c r="D181" s="58" t="str" cm="1">
        <f t="array" ref="D181:D185">Common_SourceData.Common_SourceData_EFN2O_Variation()</f>
        <v>VARIATION OF SOURCE DATA:</v>
      </c>
    </row>
    <row r="182" spans="4:67" ht="20.100000000000001" customHeight="1" x14ac:dyDescent="0.25">
      <c r="D182" s="58" t="str">
        <v>Removed duplicate 'Aquaculture' row.</v>
      </c>
    </row>
    <row r="183" spans="4:67" ht="20.100000000000001" customHeight="1" x14ac:dyDescent="0.25">
      <c r="D183" s="58" t="str">
        <v>Removed asterisks to aid lookup.</v>
      </c>
    </row>
    <row r="184" spans="4:67" ht="20.100000000000001" customHeight="1" x14ac:dyDescent="0.25">
      <c r="D184" s="58" t="str">
        <v>Added 'production system only', 'rainfall zone' and 'irrigation method' columns to aid lookup.</v>
      </c>
    </row>
    <row r="185" spans="4:67" ht="20.100000000000001" customHeight="1" x14ac:dyDescent="0.25">
      <c r="D185" s="58" t="str">
        <v>Duplicated 'non-irrigated pasture' row with same EF for low and high rainfall zones to aid lookup.</v>
      </c>
    </row>
    <row r="186" spans="4:67" ht="20.100000000000001" customHeight="1" x14ac:dyDescent="0.25">
      <c r="D186" s="39" t="s">
        <v>154</v>
      </c>
      <c r="E186" s="39" t="s">
        <v>155</v>
      </c>
      <c r="F186" s="39" t="s">
        <v>156</v>
      </c>
      <c r="G186" s="39" t="s">
        <v>157</v>
      </c>
      <c r="H186" s="39" t="s">
        <v>37</v>
      </c>
    </row>
    <row r="187" spans="4:67"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7"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7"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7"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7"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7"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402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Dairy'!A1", "Dairy")</f>
        <v>Dairy</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8" t="s">
        <v>82</v>
      </c>
      <c r="E9" s="39" t="s">
        <v>22</v>
      </c>
      <c r="F9" s="39" t="s">
        <v>83</v>
      </c>
      <c r="G9" s="3"/>
    </row>
    <row r="10" spans="1:13" ht="20.100000000000001" customHeight="1" x14ac:dyDescent="0.25">
      <c r="A10" s="19" t="s">
        <v>78</v>
      </c>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HYPERLINK("#'4.3.1.1-2 Methane'!A1", "4.3.1.1-2 Methane")</f>
        <v>4.3.1.1-2 Methane</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HYPERLINK("#'4.3.1.3-4 Direct N20'!A1", "4.3.1.3-4 Direct N2O")</f>
        <v>4.3.1.3-4 Direct N2O</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HYPERLINK("#'4.3.1.5 Atmos Deposition'!A1", "4.3.1.5 Atmospheric deposition")</f>
        <v>4.3.1.5 Atmospheric deposition</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HYPERLINK("#'4.3.1.6-7 Leaching and runoff'!A1", "4.3.1.6-7 Leaching and runoff")</f>
        <v>4.3.1.6-7 Leaching and runoff</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HYPERLINK("#'4.3.1.8 Manure applied to soils'!A1", "4.3.1.8 Manure applied to soils")</f>
        <v>4.3.1.8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HYPERLINK("#'4.3.1.9 Soil direct N2O'!A1", "4.3.1.9 Soil direct N2O")</f>
        <v>4.3.1.9 Soil direct N2O</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HYPERLINK("#'4.3.1.10-11 Soil Atmos Dep'!A1", "4.3.1.10-11 Soil atm. deposition")</f>
        <v>4.3.1.10-11 Soil atm. deposition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HYPERLINK("#'4.3.1.12-13 Soil leach runoff'!A1", "4.3.1.12-13 Soil leach &amp; runoff")</f>
        <v>4.3.1.12-13 Soil leach &amp; runoff</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8" t="s">
        <v>4</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Dairy'!A1", "Constants - Dairy")</f>
        <v>Constants - Dairy</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72" t="str">
        <f>HYPERLINK("#'Constants - Livestock'!A1", "Constants - Livestock")</f>
        <v>Constants - Livestock</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AAIA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AnAFIAZQBmAGUAcgBlAG4AYwBlACcALAAgAGEAcwAgAHQAaABlACAAdgBhAGwAdQBlACAAaQBzACAAYwBvAG4AcwBpAHMAdABlAG4AdABsAHkAIAAnAEQAYQBpAHIAeQAgAEEAdQBzAHQAcgBhAGwAaQBhACAAWwAxAF0AJ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A+ADEAXAAiACwAIABcACIASABlAGkAZgBlAHIAcwAgADw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PgAxAFwAIgAsACAAXAAiAEIAdQBsAGwAcwAgADw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A+ADEAXAAiACwAIABcACIASABlAGkAZgBlAHIAcwAgADwAMQAgACgAdwBlAGEAbgBlAGQAKQBcACIALAAgAFwAIgBCAHUAbABsAHMAIAA+ADEAXAAiACwAIABcACIAQgB1AGwAbABzACAAPA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A+ADEAXAAiACwAIABcACIASABlAGkAZgBlAHIAcwAgADwAMQAgACgAdwBlAGEAbgBlAGQAKQBcACIALAAgAFwAIgBCAHUAbABsAHMAIAA+ADEAXAAiACwAIABcACIAQgB1AGwAbABzACAAPA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CcAQQBuAGkAbQBhAGwAIABjAGwAYQBzAHMAIABqAC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PAAxAFwAIgAsACAAMAAuADAAMQA3ADYALAAgADAALgAyADYAOAA1ACwAIAAwAC4AMAAxADMANwA7AFwAbgAgACAAIAAgACAAIAAgACAAIAAgAFwAIgBCAHUAbABsAHMAPA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A8ACAAMQAgAHkAZQBhAHIAXAAiACwAIAAwAC4AMAAxADcANgA7AFwAbgAgACAAIAAgACAAIAAgACAAIAAgAFwAIgBCAHUAbABsAHMAIAA8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GsAZwAgAEQATQAvAGgAZQBhAGQALwBkAGEAeQAp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GsAZwAgAEQATQAvAGgAZQBhAGQALwBkAGEAeQ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QAaQBtAGUAbgBzAGkAbwBuAGwAZQBzAHM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yACwAXABuACAAIAAgACAAIAAgAEwAQQBNAEIARABBACgAcgAsAGMALABcAG4AIAAgACAAIAAgACAAIAAgAEkATgBEAEUAWAAoAHsAXABuACAAIAAgACAAIAAgACAAIAAgACAAXAAiAE0ATgBfAEEAVABNAE8AUwBcACIALAAgAFwAIgBtAGEAcwBzACAAbwBmACAATgAgAHYAbwBsAGEAdABpAGwAaQBzAGUAZAAgAGYAcgBvAG0AIABNAE0AUw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yAFwAIgAsACAAXAAiAGkAcgByAGkAZwBhAHQAaQBvAG4AIABtAGUAdABoAG8AZABcACIAOwBcAG4AIAAgACAAIAAgACAAIAAgACAAIABcACIAcgBcACIALAAgAFwAIgByAGEAaQBuAGYAYQBsAGwAIAByAGUAZwBpAG8AbgBcACIAXABuACAAIAAgACAAIAAgACAAIAB9ACwAIAByACwAIABjACkAXABuACAAIAAgACAAIAAgACkAXABuACAAIAAgACAAKQBcAG4AIAAgACkAOwBcAG4AXABuAC8AKgBcAG4ALQAtAC0ALQAtAC0ALQAtAC0ALQAtAC0ALQAtAC0ALQAtAC0ALQAtAC0ALQAtAC0ALQAtAC0ALQAtAC0ALQAtAC0ALQAtAC0ALQAtAFwAbgBWAEUARQBSAEcAXwA0AF8AMwBfADEAXwA1AF8AXwAyAF8AVABvAHQAYQBsAE4AaQB0AHIAbwBnAGUAbgBWAG8AbABhAHQAaQBsAGkAcwBlAGQARgByAG8AbQBNAE0AUwBcAG4AVABvAHQAYQBsACAAbgBpAHQAcgBvAGcAZQBuACAAdgBvAGwAYQB0AGkAbABpAHMAZQBkACAAZgByAG8AbQAgAE0ATQBTAFwAbgBNAE4AXwBBAFQATQBPAFMAXABuAGsAZwAgAE4AXABuAE0ATgBfAHsAQQBUAE0ATwBTAH0APQBNAE4AXwB7AGoAbQB9AFwAXAB0AGkAbQBlAHMAIABGAHIAYQBjAEcAQQBTAE0AXwBtAFwAbgBNAE4AXwBqAG0AIAA9ACAAdABvAHQAYQBsACAAbgBpAHQAcgBvAGcAZQBuACAAaQBuACAAZQBhAGMAaAAgAE0ATQBTACAAZgBvAHIAIABkAGEAaQByAHkAIABjAGEAdAB0AGwAZQAgAGMAbABhAHMAcwBlAHMAIAAoAGsAZwAgAE4AKQBcAG4ARgByAGEAYwBHAEEAUwBNAF8AbQAgAD0AIABmAHIAYQBjAHQAaQBvAG4AIABvAGYAIABOACAAdgBvAGwAYQB0AGkAbABpAHMAZQBkACAAZgByAG8AbQAgAE0ATQBTACAAKABmAHIAYQBjAHQAaQBvAG4AKQBcAG4ALQAtAC0ALQAtAC0ALQAtAC0ALQAtAC0ALQAtAC0ALQAtAC0ALQAtAC0ALQAtAC0ALQAtAC0ALQAtAC0ALQAtAC0ALQAtAC0ALQAtAFwAbgAqAC8AXABuAFwAbgBWAEUARQBSAEcAXwA0AF8AMwBfADEAXwA1AF8AXwAyAF8AVABvAHQAYQBsAE4AaQB0AHIAbwBnAGUAbgBWAG8AbABhAHQAaQBsAGkAcwBlAGQARgByAG8AbQBNAE0AUwBcAG4AIAAgAD0ATABBAE0AQgBEAEEAKABcAG4AIAAgACAAIABNAE4AXwBqAG0ALAAgAEYAcgBhAGMARwBBAFMATQBfAG0ALABcAG4AIAAgACAAIABNAE4AXwBqAG0AIAAqACAARgByAGEAYwBHAEEAUwBNAF8AbQBcAG4AIAAgACkAOwBcAG4AXABuAFYARQBFAFIARwBfADQAXwAz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zAF8AMQBfADUAXwBfADIAXwBUAG8AdABhAGwATgBpAHQAcgBvAGcAZQBuAFYAbwBsAGEAdABpAGwAaQBzAGUAZABGAHIAbwBtAE0ATQBTAF8AVgBhAHIAaQBhAGIAbABlAFwAbgAgACAAPQBMAEEATQBCAEQAQQAoAFwAIgBNAE4AXwBBAFQATQBPAFMAXAAiACkAOwBcAG4AXABuAFYARQBFAFIARwBfADQAXwAzAF8AMQBfADUAXwBfADIAXwBUAG8AdABhAGwATgBpAHQAcgBvAGcAZQBuAFYAbwBsAGEAdABpAGwAaQBzAGUAZABGAHIAbwBtAE0ATQBTAF8AVQBuAGkAdABcAG4AIAAgAD0ATABBAE0AQgBEAEEAKABcACIAawBnACAATgBcACIAKQA7AFwAbgBcAG4AVgBFAEUAUgBHAF8ANABfADMAXwAxAF8ANQBfAF8AMgBfAFQAbwB0AGEAbABOAGkAdAByAG8AZwBlAG4AVgBvAGwAYQB0AGkAbABpAHMAZQBkAEYAcgBvAG0ATQBNAFMAXwBTAG8AdQByAGMAZQBcAG4AIAAgAD0ATABBAE0AQgBEAEEAKABcACIAVgBFAEUAUgBHACAAMgAwADIANgA6ACAANAAuADMALgAxAC4ANQAsACAARQBxAHUAYQB0AGkAbwBuACAAKAAyACkAXAAiACkAOwBcAG4AXABuAFYARQBFAFIARwBfADQAXwAzAF8AMQBfADUAXwBfADIAXwBUAG8AdABhAGwATgBpAHQAcgBvAGcAZQBuAFYAbwBsAGEAdABpAGwAaQBzAGUAZABGAHIAbwBtAE0ATQBTAF8ATgBJAFIAUgBlAGYAZQByAGUAbgBjAGUAXABuACAAIAA9AEwAQQBNAEIARABBACgAXAAiAFwAIgApADsAXABuAFwAbgBWAEUARQBSAEcAXwA0AF8AMwBfADEAXwA1AF8AXwAyAF8AVABvAHQAYQBsAE4AaQB0AHIAbwBnAGUAbgBWAG8AbABhAHQAaQBsAGkAcwBlAGQARgByAG8AbQBNAE0AUwBfAEwAYQB0AGUAeABFAHEAdQBhAHQAaQBvAG4AXABuACAAIAA9AEwAQQBNAEIARABBACgAXAAiAE0ATgBfAHsAQQBUAE0ATwBTAH0APQBcAFwAcwB1AG0AXABcAG4AbwBsAGkAbQBpAHQAcwBfAHsAagB9AFwAXABzAHUAbQBcAFwAbgBvAGwAaQBtAGkAdABzAF8AewBtAH0AKABNAE4AXwB7AGoAbQB9AFwAXAB0AGkAbQBlAHMAIABGAHIAYQBjAEcAQQBTAE0AXwBtACkAXAAiACkAOwBcAG4AXABuAFYARQBFAFIARwBfADQAXwAzAF8AMQBfADUAXwBfADIAXwBUAG8AdABhAGwATgBpAHQAcgBvAGcAZQBuAFYAbwBsAGEAdABpAGwAaQBzAGUAZABGAHIAbwBtAE0ATQBTAF8AQQByAGcAdQBtAGUAbgB0AHMAXABuACAAIAA9AEwAQQBNAEIARABBACgAXABuACAAIAAgACAATQBBAEsARQBBAFIAUgBBAFkAKAAyACwAIAAy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AgACgAawBnACAATgApAFwAIgA7AFwAbgAgACAAIAAgACAAIAAgACAAIAAgAFwAIgBGAHIAYQBjAEcAQQBTAE0AXwBtAFwAIgAsACAAXAAiAGYAcgBhAGMAdABpAG8AbgAgAG8AZgAgAE4AIAB2AG8AbABhAHQAaQBsAGkAcwBlAGQAIABmAHIAbwBtACAATQBNAFMAIAAoAGYAcgBhAGMAdABpAG8AbgAp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y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AgACgAawBnACAATgApAFwAIgA7AFwAbgAgACAAIAAgACAAIAAgACAAIAAgAFwAIgBFAEYAXwBtAFwAIgAsACAAXAAiAGUAbQBpAHMAcwBpAG8AbgAgAGYAYQBjAHQAbwByACAAZgBvAHIAIABuAGkAdAByAG8AdQBzACAAbwB4AGkAZABlACAAZQBtAGkAcwBzAGkAbwBuAHMAIABwAGUAcgAgAE0ATQBTACAAKABrAGcAIABOADIATwAtAE4ALwBrAGcAIABOACkAXAAiADsAXABuACAAIAAgACAAIAAgACAAIAAgACAAXAAiAEYAcgBhAGMARwBBAFMATQBfAG0AXAAiACwAIABcACIAZgByAGEAYwB0AGkAbwBuACAAbwBmACAATgAgAHYAbwBsAGEAdABpAGwAaQBzAGUAZAAgAGYAcgBvAG0AIABNAE0AUwBcACIAOwBcAG4AIAAgACAAIAAgACAAIAAgACAAIABcACIATQBOAEwAZQBhAGMAaABfAGoAbQBcACIALAAgAFwAIgBtAGEAcwBzACAAbwBmACAATgAgAGwAbwBzAHQAIAB0AGgAcgBvAHUAZwBoACAAbABlAGEAYwBoAGkAbgBnACAAYQBuAGQAIAByAHUAbgBvAGYAZgAgAGYAcgBvAG0AIABlAGEAYwBoACAATQBNAFMAIAAoAGsAZwAgAE4AKQBcACIAOwBcAG4AIAAgACAAIAAgACAAIAAgACAAIABcACIAUABGAF8AcwBjAG8AcABlAFwAIgAsACAAXAAiAGYAcgBhAGMAdABpAG8AbgAgAG8AZgAgAG0AYQBuAHUAcgBlACAAYQBwAHAAbABpAGUAZAAgAHQAbwAgAHMAbwBpAGwAIAB3AGkAdABoAGkAbgAgAGYAYQByAG0AIABiAG8AdQBuAGQAYQByAHkAXAAiAFwAbgAgACAAIAAgACAAIAAgACAAfQAsACAAcgAsACAAYwApAFwAbgAgACAAIAAgACAAIAApAFwAbgAgACAAIAAgACkAXABuACAAIAApADsAXABuAFwAbgAvACoAXABuAC0ALQAtAC0ALQAtAC0ALQAtAC0ALQAtAC0ALQAtAC0ALQAtAC0ALQAtAC0ALQAtAC0ALQAtAC0ALQAtAC0ALQAtAC0ALQAtAC0ALQBcAG4AVgBFAEUAUgBHAF8ANABfADMAXwAxAF8AOABfAF8AMgBfAE0AYQBzAHMATwBmAE4AaQB0AHIAbwBnAGUAbgBBAHAAcABsAGkAZQBkAFQAbwBTAG8AaQBsAHMAUwBjAG8AcABlADMAXABuAE0AYQBzAHMAIABvAGYAIABuAGkAdAByAG8AZwBlAG4AIABmAHIAbwBtACAAbQBhAG4AdQByAGUAIABhAHAAcABsAGkAZQBkACAAdABvACAAcwBvAGkAbABzACAAZgBvAHIAIABzAGMAbwBwAGUAIAAzACAAZQBtAGkAcwBzAGkAbwBuAHMAXABuAE0ATgBTAG8AaQBsAF8AcwBjAG8AcABlADMAXABuAGsAZwAgAE4AXABuAE0ATgBTAG8AaQBsAF8AewBzAGMAbwBwAGUAMwB9AD0AKABNAE4AXwB7AGoAbQB9AFwAXAB0AGkAbQBlAHMAIAAoADEALQBFAEYAXwBtAC0ARgByAGEAYwBHAEEAUwBNAF8AbQApAC0ATQBOAEwAZQBhAGMAaABfAGoAbQApAFwAXAB0AGkAbQBlAHMAIAAoADEALQBQAEYAK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yAF8ATQBhAHMAcwBPAGYATgBpAHQAcgBvAGcAZQBuAEEAcABwAGwAaQBlAGQAVABvAFMAbwBpAGwAcwBTAGMAbwBwAGUAMwBcAG4AIAAgAD0ATABBAE0AQgBEAEEAKABcAG4AIAAgACAAIABNAE4AXwBqAG0ALAAgAEUARgBfAG0ALAAgAEYAcgBhAGMARwBBAFMATQBfAG0ALAAgAE0ATgBMAGUAYQBjAGgAXwBqAG0ALAAgAFAARgAsAFwAbgAgACAAIAAgACgATQBOAF8AagBtACAAKgAgACgAMQAgAC0AIABFAEYAXwBtACAALQAgAEYAcgBhAGMARwBBAFMATQBfAG0AKQAgAC0AIABNAE4ATABlAGEAYwBoAF8AagBtACkAIAAqACAAKAAxACAALQAgAFAARgApAFwAbgAgACAAKQA7AFwAbgBcAG4AVgBFAEUAUgBHAF8ANABfADMAXwAxAF8AOABfAF8AMgBfAE0AYQBzAHMATwBmAE4AaQB0AHIAbwBnAGUAbgBBAHAAcABsAGkAZQBkAFQAbwBTAG8AaQBsAHMAUwBjAG8AcABlADMAXwBUAGkAdABsAGUAXABuACAAIAA9AEwAQQBNAEIARABBACgAXAAiAE0AYQBzAHMAIABvAGYAIABuAGkAdAByAG8AZwBlAG4AIABmAHIAbwBtACAAbQBhAG4AdQByAGUAIABhAHAAcABsAGkAZQBkACAAdABvACAAcwBvAGkAbABzACAAZgBvAHIAIABzAGMAbwBwAGUAIAAzACAAZQBtAGkAcwBzAGkAbwBuAHMAXAAiACkAOwBcAG4AXABuAFYARQBFAFIARwBfADQAXwAzAF8AMQBfADgAXwBfADIAXwBNAGEAcwBzAE8AZgBOAGkAdAByAG8AZwBlAG4AQQBwAHAAbABpAGUAZABUAG8AUwBvAGkAbABzAFMAYwBvAHAAZQAzAF8AVgBhAHIAaQBhAGIAbABlAFwAbgAgACAAPQBMAEEATQBCAEQAQQAoAFwAIgBNAE4AUwBvAGkAbABfAHMAYwBvAHAAZQAzAFwAIgApADsAXABuAFwAbgBWAEUARQBSAEcAXwA0AF8AMwBfADEAXwA4AF8AXwAyAF8ATQBhAHMAcwBPAGYATgBpAHQAcgBvAGcAZQBuAEEAcABwAGwAaQBlAGQAVABvAFMAbwBpAGwAcwBTAGMAbwBwAGUAMwBfAFUAbgBpAHQAXABuACAAIAA9AEwAQQBNAEIARABBACgAXAAiAGsAZwAgAE4AXAAiACkAOwBcAG4AXABuAFYARQBFAFIARwBfADQAXwAzAF8AMQBfADgAXwBfADIAXwBNAGEAcwBzAE8AZgBOAGkAdAByAG8AZwBlAG4AQQBwAHAAbABpAGUAZABUAG8AUwBvAGkAbABzAFMAYwBvAHAAZQAzAF8AUwBvAHUAcgBjAGUAXABuACAAIAA9AEwAQQBNAEIARABBACgAXAAiAFYARQBFAFIARwAgADIAMAAyADYAOgAgADQALgAzAC4AMQAuADgALAAgAEUAcQB1AGEAdABpAG8AbgAgACgAMgApAFwAIgApADsAXABuAFwAbgBWAEUARQBSAEcAXwA0AF8AMwBfADEAXwA4AF8AXwAyAF8ATQBhAHMAcwBPAGYATgBpAHQAcgBvAGcAZQBuAEEAcABwAGwAaQBlAGQAVABvAFMAbwBpAGwAcwBTAGMAbwBwAGUAMwBfAE4ASQBSAFIAZQBmAGUAcgBlAG4AYwBlAFwAbgAgACAAPQBMAEEATQBCAEQAQQAoAFwAIgBcACIAKQA7AFwAbgBcAG4AVgBFAEUAUgBHAF8ANABfADMAXwAxAF8AOABfAF8AMgBfAE0AYQBzAHMATwBmAE4AaQB0AHIAbwBnAGUAbgBBAHAAcABsAGkAZQBkAFQAbwBTAG8AaQBsAHMAUwBjAG8AcABlADMAXwBMAGEAdABlAHgARQBxAHUAYQB0AGkAbwBuAFwAbgAgACAAPQBMAEEATQBCAEQAQQAoAFwAIgBNAE4AUwBvAGkAbABfAHsAcwBjAG8AcABlADM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CgAMQAtAFAARgApAFwAIgApADsAXABuAFwAbgBWAEUARQBSAEcAXwA0AF8AMwBfADEAXwA4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QBGAF8AbQBcACIALAAgAFwAIgBlAG0AaQBzAHMAaQBvAG4AIABmAGEAYwB0AG8AcgAgAGYAbwByACAAbgBpAHQAcgBvAHUAcwAgAG8AeABpAGQAZQAgAGUAbQBpAHMAcwBpAG8AbgBzACAAcABlAHIAIABNAE0AUwAgACgAawBnACAATgAyAE8ALQBOAC8AawBnACAATgApAFwAIgA7AFwAbgAgACAAIAAgACAAIAAgACAAIAAgAFwAIgBGAHIAYQBjAEcAQQBTAE0AXwBtAFwAIgAsACAAXAAiAGYAcgBhAGMAdABpAG8AbgAgAG8AZgAgAE4AIAB2AG8AbABhAHQAaQBsAGkAcwBlAGQAIABmAHIAbwBtACAATQBNAFMAXAAiADsAXABuACAAIAAgACAAIAAgACAAIAAgACAAXAAiAE0ATgBMAGUAYQBjAGgAXwBqAG0AXAAiACwAIABcACIAbQBhAHMAcwAgAG8AZgAgAE4AIABsAG8AcwB0ACAAdABoAHIAbwB1AGcAaAAgAGwAZQBhAGMAaABpAG4AZwAgAGEAbgBkACAAcgB1AG4AbwBmAGYAIABmAHIAbwBtACAAZQBhAGMAaAAgAE0ATQBTACAAKABrAGcAIABOACkAXAAiADsAXABuACAAIAAgACAAIAAgACAAIAAgACAAXAAiAFAARgBcACIALAAgAFwAIgBmAHIAYQBjAHQAaQBvAG4AIABvAGYAIABtAGEAbgB1AHIAZQAgAGEAcABwAGwAaQBlAGQAIAB0AG8AIABzAG8AaQBsACAAdwBpAHQAaABpAG4AIABmAGEAcgBtACAAYgBvAHUAbgBkAGEAcgB5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CAAKABrAGcAIABDAEgANAAvAGgAZQBhAGQALwBkAGEAeQApAFwAIgA7AFwAbgAgACAAIAAgACAAIAAgACAAIAAgAFwAIgBEAF8AagAxADIANABcACIALAAgAFwAIgBkAHUAcgBhAHQAaQBvAG4AIABvAGYAIABzAHQAYQB5ACAAbwBuACAAZgBhAHIAbQAgAGYAbwByACAAYwBsAGEAcwBzAGUAcwAgAGoAPQAxACwAMgAsADQAIAAoAGQAYQB5AHMAKQBcACIAOwBcAG4AIAAgACAAIAAgACAAIAAgACAAIABcACIATgBfAGoAMwA1AFwAIgAsACAAXAAiAG4AdQBtAGIAZQByACAAbwBmACAAZABhAGkAcgB5ACAAYwBhAHQAdABsAGUAIABpAG4AIABjAGwAYQBzAHMAZQBzACAAagA9ADMALAA1AFwAIgA7AFwAbgAgACAAIAAgACAAIAAgACAAIAAgAFwAIgBNAF8AagAzADUAbQBcACIALAAgAFwAIgBtAGUAdABoAGEAbgBlACAAcAByAG8AZAB1AGMAdABpAG8AbgAgAGYAcgBvAG0AIABtAGEAbgB1AHIAZQAgAG8AZgAgAHcAZQBhAG4AZQBkACAAZABhAGkAcgB5ACAAYwBhAHQAdABsAGUAIABpAG4AIABjAGwAYQBzAHMAZQBzACAAagA9ADMALAA1ACAAaQBuACAATQBNAFMAIABtACAAKABrAGcAIABDAEgANAAvAGgAZQBhAGQALwBkAGEAeQApAFwAIgA7AFwAbgAgACAAIAAgACAAIAAgACAAIAAgAFwAIgBEAF8AagAzADUAXAAiACwAIABcACIAZAB1AHIAYQB0AGkAbwBuACAAbwBmACAAcwB0AGEAeQAgAG8AbgAgAGYAYQByAG0AIABmAG8AcgAgAGMAbABhAHMAcwBlAHMAIABqAD0AMwAsADUAIAAoAGQAYQB5AHMAKQBcACIAOwBcAG4AIAAgACAAIAAgACAAIAAgACAAIABcACIATQBQAFcAXwBtAGEAbgB1AHIAZQBfAGoAMwA1AFwAIgAsACAAXAAiAG0AZQB0AGgAYQBuAGUAIABwAHIAbwBkAHUAYwB0AGkAbwBuACAAZgByAG8AbQAgAG0AYQBuAHUAcgBlACAAbwBmACAAcAByAGUALQB3AGUAYQBuAGUAZAAgAGgAZQBpAGYAZQByACAAYQBuAGQAIABiAHUAbABsACAAYwBhAGwAdgBlAHMAIAAoAGsAZwAgAEMASAA0AC8AaABlAGEAZAAvAGQAYQB5ACkAXAAiADsAXABuACAAIAAgACAAIAAgACAAIAAgACAAXAAiAEQAUABXAF8AagAzADUAXAAiACwAIABcACIAZAB1AHIAYQB0AGkAbwBuACAAbwBmACAAcwB0AGEAeQAgAG8AbgAgAGYAYQByAG0AIABmAG8AcgAgAHAAcgBlAC0AdwBlAGEAbgBlAGQAIABoAGUAaQBmAGUAcgAgAGEAbgBkACAAYgB1AGwAbAAgAGMAYQBsAHYAZQBzACAAKABkAGEAeQBzACkAXAAiAFwAbgAgACAAIAAgACAAIAAgACAAfQAsACAAcgAsACAAYwApAFwAbgAgACAAIAAgACAAIAApAFwAbgAgACAAIAAgACkAXABuACAAIAApADsAXABuAFwAbgBWAEUARQBSAEcAXwA0AF8AMwBfADEAXwAxAF8AXwAxAF8AVABvAHQAYQBsAEEAbgBuAHUAYQBsAE0AZQB0AGgAYQBuAGUARgByAG8AbQBNAGEAbgB1AHIAZQBNAGEAbgBhAGcAZQBtAGUAbgB0AF8AVgBhAHIAaQBhAHQAaQBvAG4AXABuACAAIAA9AEwAQQBNAEIARABBACgAXAAiAFYAQQBSAEkAQQBUAEkATwBOADoAIABVAHMAZQBkACAAcwBlAHAAYQByAGEAdABlACAAdgBhAHIAaQBhAGIAbABlACAAZgBvAHIAIABkAHUAcgBhAHQAaQBvAG4AIABvAGYAIABzAHQAYQB5ACAAbwBuACAAZgBhAHIAbQAgAGYAbwByACAAcAByAGUALQB3AGUAYQBuAGUAZAAgAGgAZQBpAGYAZQByACAAYQBuAGQAIABiAHUAbABsACAAYwBhAGwAdgBlAHMALgBcACIAKQA7AFwAbgBcAG4ALwAqAFwAbgAtAC0ALQAtAC0ALQAtAC0ALQAtAC0ALQAtAC0ALQAtAC0ALQAtAC0ALQAtAC0ALQAtAC0ALQAtAC0ALQAtAC0ALQAtAC0ALQAtAC0AXABuAFYARQBFAFIARwBfADQAXwAzAF8AMQBfADEAXwBfADIAXwBNAGUAdABoAGEAbgBlAEYAcgBvAG0ATQBhAG4AdQByAGUAUAByAG8AZAB1AGMAdABpAG8AbgBcAG4ATQBlAHQAaABhAG4AZQAgAGYAcgBvAG0AIABtAGEAbgB1AHIAZQAgAHAAcgBvAGQAdQBjAHQAaQBvAG4AIABmAHIAbwBtACAAdwBlAGEAbgBlAGQAIABkAGEAaQByAHkAIABjAGEAdAB0AGwAZQBcAG4ATQBfAGoAbQBcAG4AawBnACAAQwBIADQALwBoAGUAYQBkAC8AZABhAHkAXABuAE0AXwB7AGoAbQB9AD0AVgBTAF8AagBcAFwAdABpAG0AZQBzACAARgBWAFMAXwB7AGoAbQAsAFQAPQAxAH0AXABcAHQAaQBtAGUAcwAgAE0AQwBGAF8AewBpAG0AfQBcAFwAdABpAG0AZQBzACAAQgBfAG8AXABcAHQAaQBtAGUAcwAgAFwAXAByAGgAbwBcAG4AVgBTAF8AagAgAD0AIABkAGEAaQBsAHkAIAB2AG8AbABhAHQAaQBsAGUAIABzAG8AbABpAGQAcwAgAHAAcgBvAGQAdQBjAHQAaQBvAG4AIABwAGUAcgAgAGgAZQBhAGQAIABmAG8AcgAgAGQAYQBpAHIAeQAgAGMAYQB0AHQAbABlACAAKABrAGcALwBoAGUAYQBkAC8AZABhAHkAKQBcAG4ARgBWAFMAXwBqAG0AVAAxACAAPQAgAGYAcgBhAGMAdABpAG8AbgAgAG8AZgAgAHcAYQBzAHQAZQAgAGYAcgBvAG0AIABlAGEAYwBoACAAYwBsAGEAcwBzACAAaQBuACAAZQBhAGMAaAAgAG0AYQBuAGEAZwBlAG0AZQBuAHQAIABzAHkAcwB0AGUAbQBcAG4ATQBDAEYAXwBpAG0AIAA9ACAAbQBlAHQAaABhAG4AZQAgAGMAbwBuAHYAZQByAHMAaQBvAG4AIABmAGEAYwB0AG8AcgAgAGYAbwByACAAdABlAG0AcABlAHIAYQB0AHUAcgBlACAAegBvAG4AZQAgAGEAbgBkACAATQBNAFMAXABuAEIAXwBvACAAPQAgAGUAbQBpAHMAcwBpAG8AbgBzACAAcABvAHQAZQBuAHQAaQBhAGwAIAAoAG0AMwAgAEMASAA0AC8AawBnAFYAUwApAFwAbgByAGgAbwAgAD0AIABkAGUAbgBzAGkAdAB5ACAAbwBmACAAbQBlAHQAaABhAG4AZQAgACgAawBnAC8AbQAzACkAXABuAC0ALQAtAC0ALQAtAC0ALQAtAC0ALQAtAC0ALQAtAC0ALQAtAC0ALQAtAC0ALQAtAC0ALQAtAC0ALQAtAC0ALQAtAC0ALQAtAC0ALQBcAG4AKgAvAFwAbgBcAG4AVgBFAEUAUgBHAF8ANABfADMAXwAxAF8AMQBfAF8AMgBfAE0AZQB0AGgAYQBuAGUARgByAG8AbQBNAGEAbgB1AHIAZQBQAHIAbwBkAHUAYwB0AGkAbwBuAFwAbgAgACAAPQBMAEEATQBCAEQAQQAoAFwAbgAgACAAIAAgAFYAUwBfAGoALAAgAEYAVgBTAF8AagBtAFQAMQAsACAATQBDAEYAXwBpAG0ALAAgAEIAXwBvACwAIAByAGgAbwAsAFwAbgAgACAAIAAgAFYAUwBfAGoAIAAqACAARgBWAFMAXwBqAG0AVAAxACAAKgAgAE0AQwBGAF8AaQBtACAAKgAgAEIAXwBvACAAKgAgAHIAaABvAFwAbgAgACAAKQA7AFwAbgBcAG4AVgBFAEUAUgBHAF8ANABfADMAXwAxAF8AMQBfAF8AMgBfAE0AZQB0AGgAYQBuAGUARgByAG8AbQBNAGEAbgB1AHIAZQBQAHIAbwBkAHUAYwB0AGkAbwBuAF8AVABpAHQAbABlAFwAbgAgACAAPQBMAEEATQBCAEQAQQAoAFwAIgBNAGUAdABoAGEAbgBlACAAZgByAG8AbQAgAG0AYQBuAHUAcgBlACAAcAByAG8AZAB1AGMAdABpAG8AbgAgAGYAcgBvAG0AIAB3AGUAYQBuAGUAZAAgAGQAYQBpAHIAeQAgAGMAYQB0AHQAbABlAFwAIgApADsAXABuAFwAbgBWAEUARQBSAEcAXwA0AF8AMwBfADEAXwAxAF8AXwAyAF8ATQBlAHQAaABhAG4AZQBGAHIAbwBtAE0AYQBuAHUAcgBlAFAAcgBvAGQAdQBjAHQAaQBvAG4AXwBWAGEAcgBpAGEAYgBsAGUAXABuACAAIAA9AEwAQQBNAEIARABBACgAXAAiAE0AXwBqAG0AXAAiACkAOwBcAG4AXABuAFYARQBFAFIARwBfADQAXwAzAF8AMQBfADEAXwBfADIAXwBNAGUAdABoAGEAbgBlAEYAcgBvAG0ATQBhAG4AdQByAGUAUAByAG8AZAB1AGMAdABpAG8AbgBfAFUAbgBpAHQAXABuACAAIAA9AEwAQQBNAEIARABBACgAXAAiAGsAZwAgAEMASAA0AC8AaABlAGEAZAAvAGQAYQB5AFwAIgApADsAXABuAFwAbgBWAEUARQBSAEcAXwA0AF8AMwBfADEAXwAxAF8AXwAyAF8ATQBlAHQAaABhAG4AZQBGAHIAbwBtAE0AYQBuAHUAcgBlAFAAcgBvAGQAdQBjAHQAaQBvAG4AXwBTAG8AdQByAGMAZQBcAG4AIAAgAD0ATABBAE0AQgBEAEEAKABcACIAVgBFAEUAUgBHACAAMgAwADIANgA6ACAANAAuADMALgAxAC4AMQAsACAARQBxAHUAYQB0AGkAbwBuACAAKAAyACkAXAAiACkAOwBcAG4AXABuAFYARQBFAFIARwBfADQAXwAzAF8AMQBfADEAXwBfADIAXwBNAGUAdABoAGEAbgBlAEYAcgBvAG0ATQBhAG4AdQByAGUAUAByAG8AZAB1AGMAdABpAG8AbgBfAE4ASQBSAFIAZQBmAGUAcgBlAG4AYwBlAFwAbgAgACAAPQBMAEEATQBCAEQAQQAoAFwAIgBcACIAKQA7AFwAbgBcAG4AVgBFAEUAUgBHAF8ANABfADMAXwAxAF8AMQBfAF8AMgBfAE0AZQB0AGgAYQBuAGUARgByAG8AbQBNAGEAbgB1AHIAZQBQAHIAbwBkAHUAYwB0AGkAbwBuAF8ATABhAHQAZQB4AEUAcQB1AGEAdABpAG8AbgBcAG4AIAAgAD0ATABBAE0AQgBEAEEAKABcACIATQBfAHsAagBtAH0APQBWAFMAXwBqAFwAXAB0AGkAbQBlAHMAIABGAFYAUwBfAHsAagBtACwAVAA9ADEAfQBcAFwAdABpAG0AZQBzACAATQBDAEYAXwB7AGkAbQB9AFwAXAB0AGkAbQBlAHMAIABCAF8AbwBcAFwAdABpAG0AZQBzACAAXABcAHIAaABvAFwAIgApADsAXABuAFwAbgBWAEUARQBSAEcAXwA0AF8AMwBfADEAXwAxAF8AXwAyAF8ATQBlAHQAaABhAG4AZQBGAHIAbwBtAE0AYQBuAHUAc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OwBcAG4AIAAgACAAIAAgACAAIAAgACAAIABcACIARgBWAFMAXwBqAG0AVAAxAFwAIgAsACAAXAAiAGYAcgBhAGMAdABpAG8AbgAgAG8AZgAgAHcAYQBzAHQAZQAgAGYAcgBvAG0AIABlAGEAYwBoACAAYwBsAGEAcwBzACAAaQBuACAAZQBhAGMAaAAgAG0AYQBuAGEAZwBlAG0AZQBuAHQAIABzAHkAcwB0AGUAbQBcACIAOwBcAG4AIAAgACAAIAAgACAAIAAgACAAIABcACIATQBDAEYAXwBpAG0AXAAiACwAIABcACIAbQBlAHQAaABhAG4AZQAgAGMAbwBuAHYAZQByAHMAaQBvAG4AIABmAGEAYwB0AG8AcgAgAGYAbwByACAAdABlAG0AcABlAHIAYQB0AHUAcgBlACAAegBvAG4AZQAgAGEAbgBkACAATQBNAFMAXAAiADsAXABuACAAIAAgACAAIAAgACAAIAAgACAAXAAiAEIAXwBvAFwAIgAsACAAXAAiAGUAbQBpAHMAcwBpAG8AbgBzACAAcABvAHQAZQBuAHQAaQBhAGwAIAAoAG0AMwAgAEMASAA0AC8AawBnAFYAUwApAFwAIgA7AFwAbgAgACAAIAAgACAAIAAgACAAIAAgAFwAIgByAGgAbwBcACIALAAgAFwAIgBkAGUAbgBzAGkAdAB5ACAAbwBmACAAbQBlAHQAaABhAG4AZQAgACgAawBnAC8AbQAzACk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IALABcAG4AIAAgACAAIAAgACAATABBAE0AQgBEAEEAKAByACwAYwAsAFwAbgAgACAAIAAgACAAIAAgACAASQBOAEQARQBYACgAewBcAG4AIAAgACAAIAAgACAAIAAgACAAIABcACIASQBfAGoAXAAiACwAIABcACIAZAByAHkAIABtAGEAdAB0AGUAcgAgAGYAZQBlAGQAIABpAG4AdABhAGsAZQAgACgAawBnAEQATQAvAGgAZQBhAGQALwBkAGEAeQApAFwAIgA7AFwAbgAgACAAIAAgACAAIAAgACAAIAAgAFwAIgBEAE0ARABfAGoAXAAiACwAIABcACIAZAByAHkAIABtAGEAdAB0AGUAcgAgAGQAaQBnAGUAcwB0AGkAYgBpAGwAaQB0AHkAXAAiADsAXABuACAAIAAgACAAIAAgACAAIAAgACAAXAAiAEEAXAAiACwAIABcACIAYQBzAGgAIABjAG8AbgB0AGUAbgB0ACAAbwBmACAAZgBlAGUAZAAgAGkAbgB0AGEAawBl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y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DsAXABuACAAIAAgACAAIAAgACAAIAAgACAAXAAiAFMAUwBfAG0AXAAiACwAIABcACIAZgByAGEAYwB0AGkAbwBuACAAbwBmACAAdgBvAGwAYQB0AGkAbABlACAAcwBvAGwAaQBkAHMAIABzAGUAcABhAHIAYQB0AGUAZAAgAHQAbwAgAHMAbwBsAGkAZAAgAHMAdABvAHIAYQBnAGUAIABmAG8AcgAgAGUAYQBjAGgAIABNAE0AUw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1AF8ARgByAGEAYwB0AGkAbwBuAFYAbwBsAGEAdABpAGwAZQBTAG8AbABpAGQAcwBTAG8AbABpAGQAUwB0AG8AcgBhAGcAZQBcAG4ARgByAGEAYwB0AGkAbwBuACAAbwBmACAAdgBvAGwAYQB0AGkAbABlACAAcwBvAGwAaQBkAHMAIABpAG4AIABzAG8AbABpAGQAIABzAHQAbwByAGEAZwBlAFwAbgBGAFYAUwBfAGoAbQA0AFwAbgBmAHIAYQBjAHQAaQBvAG4AXABuAEYAVgBTAF8AewBqAG0APQA0AH0APQBNAE0AUwBfAHsAagBtAD0ANAB9ACsAKABNAE0AUwBfAHsAagBtAD0AMQAsADcALAA5AH0AXABcAHQAaQBtAGUAcwAgAFMAUwBfAG0AKQBcAG4ATQBNAFMAXwBqAG0ANAAgAD0AIABmAHIAYQBjAHQAaQBvAG4AIABvAGYAIAB2AG8AbABhAHQAaQBsAGUAIABzAG8AbABpAGQAcwAgAGkAbgAgAHMAbwBsAGkAZAAgAHMAdABvAHIAYQBnAGUAIABiAGUAZgBvAHIAZQAgAHQAcgBhAG4AcwBmAGUAcgBcAG4ATQBNAFMAXwBqAG0AMQA3ADkAIAA9ACAAZgByAGEAYwB0AGkAbwBuACAAbwBmACAAdgBvAGwAYQB0AGkAbABlACAAcwBvAGwAaQBkAHMAIABpAG4AIABNAE0AUwAgAG0APQAxACwANwAsADkAIABiAGUAZgBvAHIAZQAgAHQAcgBhAG4AcwBmAGUAcgBcAG4AUwBTAF8AbQAgAD0AIABmAHIAYQBjAHQAaQBvAG4AIABvAGYAIAB2AG8AbABhAHQAaQBsAGUAIABzAG8AbABpAGQAcwAgAHMAZQBwAGEAcgBhAHQAZQBkACAAdABvACAAcwBvAGwAaQBkACAAcwB0AG8AcgBhAGcAZQAgAGYAbwByACAAZQBhAGMAaAAgAE0ATQBTAFwAbgAtAC0ALQAtAC0ALQAtAC0ALQAtAC0ALQAtAC0ALQAtAC0ALQAtAC0ALQAtAC0ALQAtAC0ALQAtAC0ALQAtAC0ALQAtAC0ALQAtAC0AXABuACoALwBcAG4AXABuAFYARQBFAFIARwBfADQAXwAzAF8AMQBfADEAXwBfADUAXwBGAHIAYQBjAHQAaQBvAG4AVgBvAGwAYQB0AGkAbABlAFMAbwBsAGkAZABzAFMAbwBsAGkAZABTAHQAbwByAGEAZwBlAFwAbgAgACAAPQBMAEEATQBCAEQAQQAoAFwAbgAgACAAIAAgAE0ATQBTAF8AagBtADQALAAgAE0ATQBTAF8AagBtADEANwA5ACwAIABTAFMAXwBtACwAXABuACAAIAAgACAATQBNAFMAXwBqAG0ANAAgACsAIAAoAE0ATQBTAF8AagBtADEANwA5ACAAKgAgAFMAUwBfAG0AKQBcAG4AIAAgACkAOwBcAG4AXABuAFYARQBFAFIARwBfADQAXwAzAF8AMQBfADEAXwBfADUAXwBGAHIAYQBjAHQAaQBvAG4AVgBvAGwAYQB0AGkAbABlAFMAbwBsAGkAZABzAFMAbwBsAGkAZABTAHQAbwByAGEAZwBlAFYAYQByAGkAYQB0AGkAbwBuAFwAbgAgACAAPQBMAEEATQBCAEQAQQAoAFwAbgAgACAAIAAgAE0ATQBTAF8AagBtADQALAAgAE0ATQBTAF8AagBtADEALAAgAE0ATQBTAF8AagBtADcALAAgAE0ATQBTAF8AagBtADkALAAgAFMAUwBfAG0AMQAsACAAUwBTAF8AbQA3ACwAIABTAFMAXwBtADkALABcAG4AIAAgACAAIABNAE0AUwBfAGoAbQA0ACAAKwAgACgATQBNAFMAXwBqAG0AMQAgACoAIABTAFMAXwBtADEAKQAgACsAIAAoAE0ATQBTAF8AagBtADcAIAAqACAAUwBTAF8AbQA3ACkAIAArACAAKABNAE0AUwBfAGoAbQA5ACAAKgAgAFMAUwBfAG0AOQApAFwAbgAgACAAKQA7AFwAbgBcAG4AXABuAFYARQBFAFIARwBfADQAXwAz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zAF8AMQBfADEAXwBfADUAXwBGAHIAYQBjAHQAaQBvAG4AVgBvAGwAYQB0AGkAbABlAFMAbwBsAGkAZABzAFMAbwBsAGkAZABTAHQAbwByAGEAZwBlAF8AVgBhAHIAaQBhAGIAbABlAFwAbgAgACAAPQBMAEEATQBCAEQAQQAoAFwAIgBGAFYAUwBfAGoAbQA0AFwAIgApADsAXABuAFwAbgBWAEUARQBSAEcAXwA0AF8AMwBfADEAXwAxAF8AXwA1AF8ARgByAGEAYwB0AGkAbwBuAFYAbwBsAGEAdABpAGwAZQBTAG8AbABpAGQAcwBTAG8AbABpAGQAUwB0AG8AcgBhAGcAZQBfAFUAbgBpAHQAXABuACAAIAA9AEwAQQBNAEIARABBACgAXAAiAGYAcgBhAGMAdABpAG8AbgBcACIAKQA7AFwAbgBcAG4AVgBFAEUAUgBHAF8ANABfADMAXwAxAF8AMQBfAF8ANQBfAEYAcgBhAGMAdABpAG8AbgBWAG8AbABhAHQAaQBsAGUAUwBvAGwAaQBkAHMAUwBvAGwAaQBkAFMAdABvAHIAYQBnAGUAXwBTAG8AdQByAGMAZQBcAG4AIAAgAD0ATABBAE0AQgBEAEEAKABcACIAVgBFAEUAUgBHACAAMgAwADIANgA6ACAANAAuADMALgAxAC4AMQAsACAARQBxAHUAYQB0AGkAbwBuACAAKAA1ACkAXAAiACkAOwBcAG4AXABuAFYARQBFAFIARwBfADQAXwAzAF8AMQBfADEAXwBfADUAXwBGAHIAYQBjAHQAaQBvAG4AVgBvAGwAYQB0AGkAbABlAFMAbwBsAGkAZABzAFMAbwBsAGkAZABTAHQAbwByAGEAZwBlAF8ATgBJAFIAUgBlAGYAZQByAGUAbgBjAGUAXABuACAAIAA9AEwAQQBNAEIARABBACgAXAAiAFwAIgApADsAXABuAFwAbgBWAEUARQBSAEcAXwA0AF8AMwBfADEAXwAxAF8AXwA1AF8ARgByAGEAYwB0AGkAbwBuAFYAbwBsAGEAdABpAGwAZQBTAG8AbABpAGQAcwBTAG8AbABpAGQAUwB0AG8AcgBhAGcAZQBfAEwAYQB0AGUAeABFAHEAdQBhAHQAaQBvAG4AXABuACAAIAA9AEwAQQBNAEIARABBACgAXAAiAEYAVgBTAF8AewBqAG0APQA0AH0APQBNAE0AUwBfAHsAagBtAD0ANAB9ACsAKABNAE0AUwBfAHsAagBtAD0AMQAsADcALAA5AH0AXABcAHQAaQBtAGUAcwAgAFMAUwBfAG0AKQBcACIAKQA7AFwAbgBcAG4AVgBFAEUAUgBHAF8ANABfADMAXwAxAF8AMQBfAF8ANQBfAEYAcgBhAGMAdABpAG8AbgBWAG8AbABhAHQAaQBsAGUAUwBvAGwAaQBkAHMAUwBvAGwAaQBkAFMAdABvAHIAYQBnAGUAXwBMAGEAdABlAHgARQBxAHUAYQB0AGkAbwBuAFYAYQByAGkAYQB0AGkAbwBuAFwAbgAgACAAPQBMAEEATQBCAEQAQQAoAFwAIgBGAFYAUwBfAHsAagBtAD0ANAB9AD0ATQBNAFMAXwB7AGoAbQA9ADQAfQArACgATQBNAFMAXwB7AGoAbQA9ADEAfQBcAFwAdABpAG0AZQBzACAAUwBTAF8AewBtAD0AMQB9ACkAKwAoAE0ATQBTAF8AewBqAG0APQA3AH0AXABcAHQAaQBtAGUAcwAgAFMAUwBfAHsAbQA9ADcAfQApACsAKABNAE0AUwBfAHsAagBtAD0AOQB9AFwAXAB0AGkAbQBlAHMAIABTAFMAXwB7AG0APQA5AH0AKQBcACIAKQA7AFwAbgBcAG4AVgBFAEUAUgBHAF8ANABfADMAXwAxAF8AMQBfAF8ANQBfAEYAcgBhAGMAdABpAG8AbgBWAG8AbABhAHQAaQBsAGUAUwBvAGwAaQBkAHM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XwBqAG0ANABcACIALAAgAFwAIgBmAHIAYQBjAHQAaQBvAG4AIABvAGYAIAB2AG8AbABhAHQAaQBsAGUAIABzAG8AbABpAGQAcwAgAGkAbgAgAHMAbwBsAGkAZAAgAHMAdABvAHIAYQBnAGUAIABiAGUAZgBvAHIAZQAgAHQAcgBhAG4AcwBmAGUAcgBcACIAOwBcAG4AIAAgACAAIAAgACAAIAAgACAAIABcACIATQBNAFMAXwBqAG0AMQA3ADkAXAAiACwAIABcACIAZgByAGEAYwB0AGkAbwBuACAAbwBmACAAdgBvAGwAYQB0AGkAbABlACAAcwBvAGwAaQBkAHMAIABpAG4AIABNAE0AUwAgAG0APQAxACwANwAsADkAIABiAGUAZgBvAHIAZQAgAHQAcgBhAG4AcwBmAGUAcgBcACIAOwBcAG4AIAAgACAAIAAgACAAIAAgACAAIABcACIAUwBTAF8AbQBcACIALAAgAFwAIgBmAHIAYQBjAHQAaQBvAG4AIABvAGYAIAB2AG8AbABhAHQAaQBsAGUAIABzAG8AbABpAGQAcwAgAHMAZQBwAGEAcgBhAHQAZQBkACAAdABvACAAcwBvAGwAaQBkACAAcwB0AG8AcgBhAGcAZQAgAGYAbwByACAAZQBhAGMAaAAgAE0ATQBTAFwAIgBcAG4AIAAgACAAIAAgACAAIAAgAH0ALAAgAHIALAAgAGMAKQBcAG4AIAAgACAAIAAgACAAKQBcAG4AIAAgACAAIAApAFwAbgAgACAAKQA7AFwAbgBcAG4AVgBFAEUAUgBHAF8ANABfADMAXwAxAF8AMQBfAF8ANQBfAEYAcgBhAGMAdABpAG8AbgBWAG8AbABhAHQAaQBsAGUAUwBvAGwAaQBkAHMAUwBvAGwAaQBkAFMAdABvAHIAYQBnAGUAXwBWAGEAcgBpAGEAdABpAG8AbgBcAG4AIAAgAD0ATABBAE0AQgBEAEEAKABcACIAVQBzAGUAZAAgAHMAZQBwAGEAcgBhAHQAZQAgAHYAYQByAGkAYQBiAGwAZQBzACAAZgBvAHIAIABNAE0AUwAgAGEAbgBkACAAUwBTACAAbQAgADEALAAgADcAIABhAG4AZAAgADkALgBcACIAKQA7AFwAbgBcAG4AIgB9ACwAewAiAHAAYQB0AGgAIgA6ACIALwBwAHIAbwBqAGUAYwB0AHMALwBNAE0AUwBfAEQAYQBp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MAIABNAGUAdABoAG8AZAAgADEAIAAtACAATQBhAG4AdQByAGU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NAE4AXwB7AGoAbQB9AFwAXAB0AGkAbQBlAHMAIABFAEYAXwBtAFwAXAB0AGkAbQBlAHMAIABDAF8AewBOADIATwB9AFwAXAB0AGkAbQBlAHMAIAAxADAAXgB7AC0AMwB9AFwAbgBNAE4AXwBqAG0AIAA9ACAAdABvAHQAYQBsACAAbgBpAHQAcgBvAGcAZQBuACAAaQBuACAAZQBhAGMAaAAgAE0ATQBTACAAZgBvAHIAIABkAGEAaQByAHkAIABjAGEAdAB0AGwAZQAgAGMAbABhAHMAcwBlAHMAIAAoAGsAZwAgAE4AKQBcAG4ARQBGAF8AbQAgAD0AIABuAGkAdAByAG8AdQBzACAAbwB4AGkAZABlACAAZQBtAGkAcwBzAGkAbwBuACAAZgBhAGMAdABvAHIAIABmAG8AcgAgAGUAYQBjAGgAIABNAE0AUw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zAF8AXwAxAF8AVABvAHQAYQBsAEEAbgBuAHUAYQBsAEQAaQByAGUAYwB0AE4AaQB0AHIAbwB1AHMATwB4AGkAZABlAEUAbQBpAHMAcwBpAG8AbgBzAEYAcgBvAG0ATQBNAFMAXABuACAAIAA9AEwAQQBNAEIARABBACgAXABuACAAIAAgACAATQBOAF8AagBtACwAIABFAEYAXwBtACwAIABDAF8ATgAyAE8ALABcAG4AIAAgACAAIABNAE4AXwBqAG0AIAAqACAARQBGAF8AbQAgACoAIABDAF8ATgAyAE8AIAAqACAAMQAwACAAXgAgAC0AMwBcAG4AIAAgACkAOwBcAG4AXABuAFYARQBFAFIARwBfADQAXwAz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wBfADEAXwAzAF8AXwAxAF8AVABvAHQAYQBsAEEAbgBuAHUAYQBsAEQAaQByAGUAYwB0AE4AaQB0AHIAbwB1AHMATwB4AGkAZABlAEUAbQBpAHMAcwBpAG8AbgBzAEYAcgBvAG0ATQBNAFMAXwBWAGEAcgBpAGEAYgBsAGUAXABuACAAIAA9AEwAQQBNAEIARABBACgAXAAiAEUAXwBOADIATwBkAGkAcgBcACIAKQA7AFwAbgBcAG4AVgBFAEUAUgBHAF8ANABfADMAXwAxAF8AMwBfAF8AMQBfAFQAbwB0AGEAbABBAG4AbgB1AGEAbABEAGkAcgBlAGMAdABOAGkAdAByAG8AdQBzAE8AeABpAGQAZQBFAG0AaQBzAHMAaQBvAG4AcwBGAHIAbwBtAE0ATQBTAF8AVQBuAGkAdABcAG4AIAAgAD0ATABBAE0AQgBEAEEAKABcACIAdAAgAE4AMgBPAFwAIgApADsAXABuAFwAbgBWAEUARQBSAEcAXwA0AF8AMwBfADEAXwAzAF8AXwAxAF8AVABvAHQAYQBsAEEAbgBuAHUAYQBsAEQAaQByAGUAYwB0AE4AaQB0AHIAbwB1AHMATwB4AGkAZABlAEUAbQBpAHMAcwBpAG8AbgBzAEYAcgBvAG0ATQBNAFMAXwBTAG8AdQByAGMAZQBcAG4AIAAgAD0ATABBAE0AQgBEAEEAKABcACIAVgBFAEUAUgBHACAAMgAwADIANgA6ACAANAAuADMALgAxAC4AMwAsACAARQBxAHUAYQB0AGkAbwBuACAAKAAxACkAXAAiACkAOwBcAG4AXABuAFYARQBFAFIARwBfADQAXwAzAF8AMQBfADMAXwBfADEAXwBUAG8AdABhAGwAQQBuAG4AdQBhAGwARABpAHIAZQBjAHQATgBpAHQAcgBvAHUAcwBPAHgAaQBkAGUARQBtAGkAcwBzAGkAbwBuAHMARgByAG8AbQBNAE0AUwBfAE4ASQBSAFIAZQBmAGUAcgBlAG4AYwBlAFwAbgAgACAAPQBMAEEATQBCAEQAQQAoAFwAIgBcACIAKQA7AFwAbgBcAG4AVgBFAEUAUgBHAF8ANABfADMAXwAxAF8AMwBfAF8AMQBfAFQAbwB0AGEAbABBAG4AbgB1AGEAbABEAGkAcgBlAGMAdABOAGkAdAByAG8AdQBzAE8AeABpAGQAZQBFAG0AaQBzAHMAaQBvAG4AcwBGAHIAbwBtAE0ATQBTAF8ATABhAHQAZQB4AEUAcQB1AGEAdABpAG8AbgBcAG4AIAAgAD0ATABBAE0AQgBEAEEAKABcACIARQBfAHsATgAyAE8ALABkAGkAcgB9AD0AXABcAHMAdQBtAFwAXABuAG8AbABpAG0AaQB0AHMAXwB7AGoAfQBcAFwAcwB1AG0AXABcAG4AbwBsAGkAbQBpAHQAcwBfAHsAbQB9ACgATQBOAF8AewBqAG0AfQBcAFwAdABpAG0AZQBzACAARQBGAF8AbQBcAFwAdABpAG0AZQBzACAAQwBfAHsATgAyAE8AfQBcAFwAdABpAG0AZQBzACAAMQAwAF4AewAtADMAfQApAFwAIgApADsAXABuAFwAbgBWAEUARQBSAEcAXwA0AF8AMwBfADEAXwAzAF8AXwAxAF8AVABvAHQAYQBsAEEAbgBuAHUAYQBsAEQAaQByAGUAYwB0AE4AaQB0AHIAbwB1AHMATwB4AGkAZABlAEUAbQBpAHMAcwBpAG8AbgBzAEYAcgBvAG0ATQBNAFMAXwBBAHIAZwB1AG0AZQBuAHQAcwBcAG4AIAAgAD0ATABBAE0AQgBEAEEAKABcAG4AIAAgACAAIABNAEEASwBFAEEAUgBSAEEAWQAoADM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bgBpAHQAcgBvAHUAcwAgAG8AeABpAGQAZQAgAGUAbQBpAHMAcwBpAG8AbgAgAGYAYQBjAHQAbwByACAAZgBvAHIAIABlAGEAYwBoACAATQBNAFMAIAAoAGsAZwAgAE4AMgBPAC0ATgAvAGsAZwAgAE4AIABkAGUAcABvAHMAaQB0AGUAZA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MgAsAFwAbgAgACAAIAAgACAAIABMAEEATQBCAEQAQQAoAHIALABjACwAXABuACAAIAAgACAAIAAgACAAIABJAE4ARABFAFgAKAB7AFwAbgAgACAAIAAgACAAIAAgACAAIAAgAFwAIgBBAEUAXwBqAFwAIgAsACAAXAAiAHQAbwB0AGEAbAAgAG4AaQB0AHIAbwBnAGUAbgAgAGUAeABjAHIAZQB0AGUAZAAgAGIAeQAgAGUAYQBjAGgAIABkAGEAaQByAHkAIABjAGwAYQBzAHMAIAAoAGsAZwAgAE4AKQBcACIAOwBcAG4AIAAgACAAIAAgACAAIAAgACAAIABcACIATQBNAFMAXwBqAG0AXAAiACwAIABcACIAbQBhAG4AdQByAGUAIABtAGEAbgBhAGcAZQBtAGUAbgB0ACAAcwB5AHMAdABlAG0AIABmAHIAYQBjAHQAaQBvAG4AIABmAG8AcgAgAGMAbABhAHMAcwAgAGoAIABhAG4AZAAgAHMAeQBzAHQAZQBtACAAb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zAGEAXwBUAG8AdABhAGwAQQBuAG4AdQBhAGwATgBpAHQAcgBvAGcAZQBuAEUAeABjAHIAZQB0AGUAZABHAHIAZQBhAHQAZQByAFQAaABhAG4ATwBuAGUAWQBlAGEAcgBcAG4AVABvAHQAYQBsACAAYQBuAG4AdQBhAGwAIABuAGkAdAByAG8AZwBlAG4AIABlAHgAYwByAGUAdABlAGQAIABiAHkAIABkAGEAaQByAHkAIABjAGEAdAB0AGwAZQAgAD4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Pg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7AFwAbgAgACAAIAAgACAAIAAgACAAIAAgAFwAIgBEAF8AagAxADIANABcACIALAAgAFwAIgBkAHUAcgBhAHQAaQBvAG4AIABvAGYAIABzAHQAYQB5ACAAbwBuACAAZgBhAHIAbQAgAGYAbwByACAAYwBsAGEAcwBzAGUAcwAgAGoAPQAxACwAMgAsADQAIAAoAGQAYQB5AHMAKQ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IALABcAG4AIAAgACAAIAAgACAATABBAE0AQgBEAEEAKAByACwAYwAsAFwAbgAgACAAIAAgACAAIAAgACAASQBOAEQARQBYACgAewBcAG4AIAAgACAAIAAgACAAIAAgACAAIABcACIATgBfAGoAMwA1AFwAIgAsACAAXAAiAG4AdQBtAGIAZQByACAAbwBmACAAZABhAGkAcgB5ACAAYwBhAHQAdABsAGUAIABpAG4AIABjAGwAYQBzAHMAZQBzACAAagA9ADMALAA1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7AFwAbgAgACAAIAAgACAAIAAgACAAIAAgAFwAIgBOAFAAVwBfAGoAMwA1AFwAIgAsACAAXAAiAG4AaQB0AHIAbwBnAGUAbgAgAGUAeABjAHIAZQB0AGUAZAAgAGIAeQAgAHAAcgBlAC0AdwBlAGEAbgBlAGQAIABjAGEAbAB2AGUAcwAgACgAawBnACAATgAvAGgAZQBhAGQALwBkAGEAeQAp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DsAXABuACAAIAAgACAAIAAgACAAIAAgACAAXAAiAEQAUABXAF8AagAzADUAXAAiACwAIABcACIAZAB1AHIAYQB0AGkAbwBuACAAbwBmACAAcwB0AGEAeQAgAG8AbgAgAGYAYQByAG0AIABmAG8AcgAgAHAAcgBlAC0AdwBlAGEAbgBlAGQAIABjAGEAbAB2AGUAcwAgACgAZABhAHkAcwAp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D4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QwBQAEkAXwBqAFwAIgAsACAAXAAiAGMAcgB1AGQAZQAgAHAAcgBvAHQAZQBpAG4AIABpAG4AdABhAGsAZQAgACgAawBnAC8AaABlAGEAZAAvAGQAYQB5ACkAXAAiADsAXABuACAAIAAgACAAIAAgACAAIAAgACAAXAAiAE4AUgBfAGoAXAAiACwAIABcACIAYQBtAG8AdQBuAHQAIABvAGYAIABuAGkAdAByAG8AZwBlAG4AIAByAGUAdABhAGkAbgBlAGQAIABiAHkAIAB0AGgAZQAgAGIAbwBkAHkAIAAoAGsAZwAgAE4ALwBoAGUAYQBkAC8AZABhAHkAKQBcACIAOwBcAG4AIAAgACAAIAAgACAAIAAgACAAIABcACIAVwBfAGoAXAAiACwAIABcACIAbABpAHYAZQB3AGUAaQBnAGgAdAAgACgAawBn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yACwAXABuACAAIAAgACAAIAAgAEwAQQBNAEIARABBACgAcgAsAGMALABcAG4AIAAgACAAIAAgACAAIAAgAEkATgBEAEUAWAAoAHsAXABuACAAIAAgACAAIAAgACAAIAAgACAAXAAiAEkAXwBqAFwAIgAsACAAXAAiAGQAcgB5ACAAbQBhAHQAdABlAHIAIABpAG4AdABhAGsAZQAgACgAawBnAEQATQAvAGgAZQBhAGQALwBkAGEAeQApAFwAIgA7AFwAbgAgACAAIAAgACAAIAAgACAAIAAgAFwAIgBDAFAAXwBqAFwAIgAsACAAXAAiAGMAcgB1AGQAZQAgAHAAcgBvAHQAZQBpAG4AIABjAG8AbgB0AGUAbgB0ACAAbwBmACAAZgBlAGUAZAAgAGkAbgB0AGEAawBlACAAKABmAHIAYQBjAHQAaQBvAG4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cACIALAAgAFwAIgBtAGkAbABrACAAcAByAG8AZAB1AGMAdABpAG8AbgAgACgATAAvAGgAZQBhAGQALwBkAGEAeQApAFwAIgA7AFwAbgAgACAAIAAgACAAIAAgACAAIAAgAFwAIgBMAF8AagBcACIALAAgAFwAIgBpAG4AdABhAGsAZQAgAHIAZQBsAGEAdABpAHYAZQAgAHQAbwAgAG0AYQBpAG4AdABlAG4AYQBuAGMAZQBcACIAOwBcAG4AIAAgACAAIAAgACAAIAAgACAAIABcACIAWgBfAGoAXAAiACwAIABcACIAcgBlAGwAYQB0AGkAdgBlACAAcwBpAHoAZQBcACIAOwBcAG4AIAAgACAAIAAgACAAIAAgACAAIABcACIATABXAEcAXwBqAFwAIgAsACAAXAAiAGwAaQB2AGUAdwBlAGkAZwBoAHQAIABnAGEAaQBuACAAKABrAGc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IALABcAG4AIAAgACAAIAAgACAATABBAE0AQgBEAEEAKAByACwAYwAsAFwAbgAgACAAIAAgACAAIAAgACAASQBOAEQARQBYACgAewBcAG4AIAAgACAAIAAgACAAIAAgACAAIABcACIASQBfAGoAXAAiACwAIABcACIAZAByAHkAIABtAGEAdAB0AGUAcgAgAGkAbgB0AGEAawBlACAAKABrAGcARABNAC8AaABlAGEAZAAvAGQAYQB5ACkAXAAiADsAXABuACAAIAAgACAAIAAgACAAIAAgACAAXAAiAFcAXwBqAFwAIgAsACAAXAAiAGwAaQB2AGUAdwBlAGkAZwBoAHQAIAAoAGsAZwApAFwAIgA7AFwAbgAgACAAIAAgACAAIAAgACAAIAAgAFwAIgBNAFIAXwBqAFwAIgAsACAAXAAiAGkAbgBjAHIAZQBhAHMAZQAgAGkAbgAgAG0AZQB0AGEAYgBvAGwAaQBjACAAcgBhAHQAZQAgAHcAaABlAG4AIABwAHIAbwBkAHUAYwBpAG4AZwAgAG0AaQBsAGsAXAAiADsAXABuACAAIAAgACAAIAAgACAAIAAgACAAXAAiAE0ASQBfAGoAXAAiACwAIABcACIAYQBkAGQAaQB0AGkAbwBuAGEAbAAgAGkAbgB0AGEAawBlACAAcgBlAHEAdQBpAHIAZQBkACAAZgBvAHIAIABtAGkAbABrACAAcAByAG8AZAB1AGMAdABpAG8AbgAgACgAawBn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IALABcAG4AIAAgACAAIAAgACAATABBAE0AQgBEAEEAKAByACwAYwAsAFwAbgAgACAAIAAgACAAIAAgACAASQBOAEQARQBYACgAewBcAG4AIAAgACAAIAAgACAAIAAgACAAIABcACIAVwBfAGoAXAAiACwAIABcACIAbABpAHYAZQB3AGUAaQBnAGgAdAAgACgAawBnACkAXAAiADsAXABuACAAIAAgACAAIAAgACAAIAAgACAAXAAiAFcAUgBfAGoAXAAiACwAIABcACIAcgBlAGYAZQByAGUAbgBjAGUAIAB3AGUAaQBnAGgAdAAgACgAawBnACk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c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CAAKABoAGUAYQBkACkAXAAiADsAXABuACAAIAAgACAAIAAgACAAIAAgACAAXAAiAE0AXwBqADEAMgA0AFwAIgAsACAAXAAiAGQAYQBpAGwAeQAgAGUAbgB0AGUAcgBpAGMAIABtAGUAdABoAGEAbgBlACAAcAByAG8AZAB1AGMAdABpAG8AbgAgAGYAbwByACAAYwBsAGEAcwBzAGUAcwAgAGoAPQAxACwAMgAsADQAIAAoAGsAZwAgAEMASAA0AC8AaABlAGEAZAAvAGQAYQB5ACkAXAAiADsAXABuACAAIAAgACAAIAAgACAAIAAgACAAXAAiAEQAXwBqADEAMgA0AFwAIgAsACAAXAAiAGQAdQByAGEAdABpAG8AbgAgAG8AZgAgAHMAdABhAHkAIABvAG4AIAB0AGgAZQAgAGYAYQByAG0AIABmAG8AcgAgAGMAbABhAHMAcwBlAHMAIABqAD0AMQAsADIALAA0ACAAKABkAGEAeQBzACkAXAAiADsAXABuACAAIAAgACAAIAAgACAAIAAgACAAXAAiAE4AXwBqADMANQBcACIALAAgAFwAIgBuAHUAbQBiAGUAcgAgAG8AZgAgAGQAYQBpAHIAeQAgAGMAYQB0AHQAbABlACAAaQBuACAAYwBsAGEAcwBzAGUAcwAgAGoAPQAzACwANQAgACgAaABlAGEAZAApAFwAIgA7AFwAbgAgACAAIAAgACAAIAAgACAAIAAgAFwAIgBNAF8AagAzADUAXAAiACwAIABcACIAZABhAGkAbAB5ACAAZQBuAHQAZQByAGkAYwAgAG0AZQB0AGgAYQBuAGUAIABwAHIAbwBkAHUAYwB0AGkAbwBuACAAZgBvAHIAIABjAGwAYQBzAHMAZQBzACAAagA9ADMALAA1ACAAKABrAGcAIABDAEgANAAvAGgAZQBhAGQALwBkAGEAeQApAFwAIgA7AFwAbgAgACAAIAAgACAAIAAgACAAIAAgAFwAIgBEAF8AagAzADUAXAAiACwAIABcACIAZAB1AHIAYQB0AGkAbwBuACAAbwBmACAAcwB0AGEAeQAgAG8AbgAgAHQAaABlACAAZgBhAHIAbQAgAGYAbwByACAAYwBsAGEAcwBzAGUAcwAgAGoAPQAzACwANQAgACgAZABhAHkAcwApAFwAIgA7AFwAbgAgACAAIAAgACAAIAAgACAAIAAgAFwAIgBNAFAAVwBfAEUATgBUAEUAUgBJAEMAXwBqADMANQBcACIALAAgAFwAIgBkAGEAaQBsAHkAIABtAGUAdABoAGEAbgBlACAAcAByAG8AZAB1AGMAdABpAG8AbgAgAGYAbwByACAAcAByAGUALQB3AGUAYQBuAGUAZAAgAGgAZQBpAGYAZQByACAAYQBuAGQAIABiAHUAbABsACAAYwBhAGwAdgBlAHMAIAAoAGsAZwAgAEMASAA0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IALABcAG4AIAAgACAAIAAgACAATABBAE0AQgBEAEEAKAByACwAYwAsAFwAbgAgACAAIAAgACAAIAAgACAASQBOAEQARQBYACgAewBcAG4AIAAgACAAIAAgACAAIAAgACAAIABcACIASQBfAGoAXAAiACwAIABcACIAZAByAHkAIABtAGEAdAB0AGUAcgAgAGYAZQBlAGQAIABpAG4AdABhAGsAZQAgACgAawBnACAARA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AgAGIAYQBzAGUAZAAgAG8AbgAgAE0AaQBuAHMAbwBuACAAYQBuAGQAIABNAGMARABvAG4AYQBsAGQAIAAoADEAOQA4ADcAK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CAAYgBhAHMAZQBkACAAbwBuACAATQBpAG4AcwBvAG4AIABhAG4AZAAgAE0AYwBEAG8AbgBhAGwAZAAgACgAMQA5ADgANwAp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TQBpAG4AcwBvAG4AIABhAG4AZAAgAE0AYwBEAG8AbgBhAGwAZAAgACgAMQA5ADgANwAp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yACwAXABuACAAIAAgACAAIAAgAEwAQQBNAEIARABBACgAcgAsAGMALABcAG4AIAAgACAAIAAgACAAIAAgAEkATgBEAEUAWAAoAHsAXABuACAAIAAgACAAIAAgACAAIAAgACAAXAAiAFcAXwBqAFwAIgAsACAAXAAiAGwAaQB2AGUAdwBlAGkAZwBoAHQAIAAoAGsAZwApAFwAIgA7AFwAbgAgACAAIAAgACAAIAAgACAAIAAgAFwAIgBMAFcARwBfAGoAXAAiACwAIABcACIAbABpAHYAZQB3AGUAaQBnAGgAdAAgAGcAYQBpAG4AIAAoAGsAZwAvAGgAZQBhAGQALwBkAGEAeQApAFwAIgA7AFwAbgAgACAAIAAgACAAIAAgACAAIAAgAFwAIgBNAFIAXwBqAFwAIgAsACAAXAAiAGkAbgBjAHIAZQBhAHMAZQAgAGkAbgAgAG0AZQB0AGEAYgBvAGwAaQBjACAAcgBhAHQAZQAgAHcAaABlAG4AIABwAHIAbwBkAHUAYwBpAG4AZwAgAG0AaQBsAGsAIAAoAGYAcgBhAGMAdABpAG8AbgApAFwAIgA7AFwAbgAgACAAIAAgACAAIAAgACAAIAAgAFwAIgBNAEkAXwBqAFwAIgAsACAAXAAiAGEAZABkAGkAdABpAG8AbgBhAGwAIABpAG4AdABhAGsAZQAgAHIAZQBxAHUAaQByAGUAZAAgAGYAbwByACAAbQBpAGwAawAgAHAAcgBvAGQAdQBjAHQAaQBvAG4AIAAoAGsAZwAg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1ACwAIAAyACwAXABuACAAIAAgACAAIAAgAEwAQQBNAEIARABBACgAcgAsAGMALABcAG4AIAAgACAAIAAgACAAIAAgAEkATgBEAEUAWAAoAHsAXABuACAAIAAgACAAIAAgACAAIAAgACAAXAAiAE0AUABfAGoAXAAiACwAIABcACIAbQBpAGwAawAgAHAAcgBvAGQAdQBjAHQAaQBvAG4AIAAoAEwALwBoAGUAYQBkAC8AZABhAHkAKQBcACIAOwBcAG4AIAAgACAAIAAgACAAIAAgACAAIABcACIATgBFAFwAIgAsACAAXAAiAG4AZQB0ACAAZQBuAGUAcgBnAHkAIAAoAE0ASgAgAG4AZQB0ACAAZQBuAGUAcgBnAHkALwBrAGcAIABtAGkAbABrACkAXAAiADsAXABuACAAIAAgACAAIAAgACAAIAAgACAAXAAiAEcARQBDAFwAIgAsACAAXAAiAGcAcgBvAHMAcwAgAGUAbgBlAHIAZwB5ACAAYwBvAG4AdABlAG4AdAAgACgATQBKAC8AawBnAEQATQApAFwAIgA7AFwAbgAgACAAIAAgACAAIAAgACAAIAAgAFwAIgBrAFwAIgAsACAAXAAiAGUAZgBmAGkAYwBpAGUAbgBjAHkAIABvAGYAIABtAGUAdABhAGIAbwBsAGkAegBhAGIAbABlACAAZQBuAGUAcgBnAHkAIAB1AHMAZQAgAGYAbwByACAAbQBpAGwAawAgAHAAcgBvAGQAdQBjAHQAaQBvAG4AIAAoAGYAcgBhAGMAdABpAG8AbgApAFwAIgA7AFwAbgAgACAAIAAgACAAIAAgACAAIAAgAFwAIgBxAG0AXwBqAFwAIgAsACAAXAAiAG0AZQB0AGEAYgBvAGwAaQBzAGEAYgBpAGwAaQB0AHkAIABvAGYAIAB0AGgAZQAgAGQAaQBlAHQAIAAoAGYAcgBhAGMAdABpAG8Abg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E0AUwBfAGoALwAoADAALgAwADEAXABcAHQAaQBtAGUAcwAgACgARgBDAF8AagArAFAAQwBfAGoAKQApAFwAIgApADsAXABuAFwAbgBWAEUARQBSAEcAXwAzAF8AMwBfADEAXwAxAF8AXwA1AF8ATQBpAGwAawBQAHIAbwBkAHUAYwB0AGkAbwBuAEYAcgBvAG0ATQBpAGwAawBTAG8AbABpAGQAcwBfAEEAcgBnAHUAbQBlAG4AdABzAFwAbgAgACAAPQBMAEEATQBCAEQAQQAoAFwAbgAgACAAIAAgAE0AQQBLAEUAQQBSAFIAQQBZACgAMwAsACAAMgAsAFwAbgAgACAAIAAgACAAIABMAEEATQBCAEQAQQAoAHIALABjACwAXABuACAAIAAgACAAIAAgACAAIABJAE4ARABFAFgAKAB7AFwAbgAgACAAIAAgACAAIAAgACAAIAAgAFwAIgBNAFMAXwBqAFwAIgAsACAAXAAiAGQAYQBpAGwAeQAgAHAAcgBvAGQAdQBjAHQAaQBvAG4AIABvAGYAIABtAGkAbABrACAAcwBvAGwAaQBkAHMAIAAoAGsAZwAgAE0AUwAvAGgAZQBhAGQALwBkAGEAeQApAFwAIgA7AFwAbgAgACAAIAAgACAAIAAgACAAIAAgAFwAIgBGAEMAXwBqAFwAIgAsACAAXAAiAGYAYQB0ACAAYwBvAG4AdABlAG4AdAAgAGkAbgAgAGYAYQB0ACAAYQBuAGQAIABwAHIAbwB0AGUAaQBuACAAYwBvAHIAcgBlAGMAdABlAGQAIABtAGkAbABrACAAKABwAGUAcgAgAGMAZQBuAHQAKQBcACIAOwBcAG4AIAAgACAAIAAgACAAIAAgACAAIABcACIAUABDAF8AagBcACIALAAgAFwAIgBwAHIAbwB0AGUAaQBuACAAYwBvAG4AdABlAG4AdAAgAGkAbgAgAGYAYQB0ACAAYQBuAGQAIABwAHIAbwB0AGUAaQBuACAAYwBvAHIAcgBlAGMAdABlAGQAIABtAGkAbABrACAAKABwAGUAcgAgAGMAZQBuAH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HQAaABlACAAZABpAGUAdAAgAGIAYQBzAGUAZAAgAG8AbgAgAE0AaQBuAHMAbwBuACAAYQBuAGQAIABNAGMARABvAG4AYQBsAGQAIAAoADEAOQA4ADcAKQ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fAFQAaQB0AGwAZQBcAG4AIAAgAD0ATABBAE0AQgBEAEEAKABcACIATQBlAHQAYQBiAG8AbABpAHMAYQBiAGkAbABpAHQAeQAgAG8AZgAgAHQAaABlACAAZABpAGUAdAAgAGIAYQBzAGUAZAAgAG8AbgAgAE0AaQBuAHMAbwBuACAAYQBuAGQAIABNAGMARABvAG4AYQBsAGQAIAAoADEAOQA4ADcAKQ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TQBpAG4AcwBvAG4AIABhAG4AZAAgAE0AYwBEAG8AbgBhAGwAZAAgACgAMQA5ADgANwAp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y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XABuACAAIAAgACAAIAAgACAAIAB9ACwAIAByACwAIABjACkAXABuACAAIAAgACAAIAAgACkAXABuACAAIAAgACAAKQBcAG4AIAAg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I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OwBcAG4AIAAgACAAIAAgACAAIAAgACAAIABcACIARQBGAF8AbABlAGEAYwBoAFwAIgAsACAAXAAiAG4AaQB0AHIAbwB1AHMAIABvAHgAaQBkAGUAIA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y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IAAoAGQAaQBtAGUAbgBzAGkAbwBuAGwAZQBzAHMAKQBcACIAOwBcAG4AIAAgACAAIAAgACAAIAAgACAAIABcACIARgByAGEAYwBMAEUAQQBDAEgAXwBNAFMAXAAiACwAIABcACIAZgByAGEAYwB0AGkAbwBuACAAbwBmACAATgAgAHQAaABhAHQAIABpAHMAIABsAG8AcwB0ACAAdABoAHIAbwB1AGcAaAAgAGwAZQBhAGMAaABpAG4AZwAgAGEAbgBkACAAcgB1AG4AbwBmAGYAIAAoAGQAaQBtAGUAbgBzAGkAbwBuAGwAZQBzAHMAKQ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y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IAAoAGsAZwAgAE4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AiADsAXABuACAAIAAgACAAIAAgACAAIAAgACAAXAAiAEMAXwBOADIATwBcACIALAAgAFwAIgBmAGEAYwB0AG8AcgAgAHQAbwAgAGMAbwBuAHYAZQByAHQAIABlAGwAZQBtAGUAbgB0AGEAbAAgAG0AYQBzAHMAIABvAGYAIABOADIATwAgAHQAbwAgAG0AbwBsAGUAYwB1AGwAYQByACAAbQBhAHMAcwBcACIAOwBcAG4AIAAgACAAIAAgACAAIAAgACAAIABcACIAegBcACIALABcACIAVwBlAHQAIABvAHIAIABkAHIAeQAgAGMAbABpAG0AYQB0AGUAIAB6AG8AbgBl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CAAKABrAGcAIABOACkAXAAiADsAXABuACAAIAAgACAAIAAgACAAIAAgACAAXAAiAEUARgBfAE4AMgBPAFwAIgAsACAAXAAiAG4AaQB0AHIAbwB1AHMAIABvAHgAaQBkAGUAIABlAG0AaQBzAHMAaQBvAG4AIABmAGEAYwB0AG8AcgAgAGYAbwByACAAYQB0AG0AbwBzAHAAaABlAHIAaQBjACAAZABlAHAAbwBzAGkAdABpAG8AbgAgACgAawBnACAATgAyAE8ALQBOAC8AawBnACAATgApAFwAIgA7AFwAbgAgACAAIAAgACAAIAAgACAAIAAgAFwAIgBDAF8ATgAyAE8AXAAiACwAIABcACIAZgBhAGMAdABvAHIAIAB0AG8AIABjAG8AbgB2AGUAcgB0ACAAZQBsAGUAbQBlAG4AdABhAGwAIABtAGEAcwBzACAAbwBmACAATgAyAE8AIAB0AG8AIABtAG8AbABlAGMAdQBsAGEAcgAgAG0AYQBzAHM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Mg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IAAoAGsAZwAgAE4AKQBcACIAOwBcAG4AIAAgACAAIAAgACAAIAAgACAAIABcACIARQBGAF8AbABlAGEAYwBoAFwAIgAsACAAXAAiAG4AaQB0AHIAbwB1AHMAIABvAHgAaQBkAGUAIA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O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BAHIAZwB1AG0AZQBuAHQAcw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2026-04-08T01:25:04Z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