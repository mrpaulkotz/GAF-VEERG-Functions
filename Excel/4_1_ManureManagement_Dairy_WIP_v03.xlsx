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23BE5504-90A1-42BB-9323-ADFF7A53854C}" xr6:coauthVersionLast="47" xr6:coauthVersionMax="47" xr10:uidLastSave="{00000000-0000-0000-0000-000000000000}"/>
  <bookViews>
    <workbookView xWindow="615" yWindow="240" windowWidth="37755" windowHeight="20445" activeTab="8" xr2:uid="{992023F3-CAB7-4E5B-A348-08D563A0EF40}"/>
  </bookViews>
  <sheets>
    <sheet name="Home" sheetId="71" r:id="rId1"/>
    <sheet name="Results" sheetId="13" r:id="rId2"/>
    <sheet name="Input - Site" sheetId="15" r:id="rId3"/>
    <sheet name="Input - Dairy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Dairy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_Direct_Equations.VEERG_4_1_1_3__1_TotalAnnualDirectNitrousOxideEmissions">_xlfn.LAMBDA(_xlpm.MN_jmT,_xlpm.EF_jm,_xlpm.C_N2O, SUMPRODUCT(_xlpm.MN_jmT, _xlpm.EF_jm, _xlpm.C_N2O) * 10 ^ -3)</definedName>
    <definedName name="MMS_Feedlot_N2O_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_Direct_Equations.VEERG_4_1_1_3__1_TotalAnnualDirectNitrousOxideEmissions_LatexEquation">_xlfn.LAMBDA("E_{N2O,dir}=\sum_{j}\sum_{m}\sum_{T}(MN_{jmT}\times EF_{jm}\times C_{N2O})\times10^{-3}")</definedName>
    <definedName name="MMS_Feedlot_N2O_Direct_Equations.VEERG_4_1_1_3__1_TotalAnnualDirectNitrousOxideEmissions_NIRReference">_xlfn.LAMBDA("")</definedName>
    <definedName name="MMS_Feedlot_N2O_Direct_Equations.VEERG_4_1_1_3__1_TotalAnnualDirectNitrousOxideEmissions_Source">_xlfn.LAMBDA("VEERG 2026: 4.1.1.3, Equation (1)")</definedName>
    <definedName name="MMS_Feedlot_N2O_Direct_Equations.VEERG_4_1_1_3__1_TotalAnnualDirectNitrousOxideEmissions_Title">_xlfn.LAMBDA("Total annual direct nitrous oxide emissions from manure management systems")</definedName>
    <definedName name="MMS_Feedlot_N2O_Direct_Equations.VEERG_4_1_1_3__1_TotalAnnualDirectNitrousOxideEmissions_Unit">_xlfn.LAMBDA("t N2O")</definedName>
    <definedName name="MMS_Feedlot_N2O_Direct_Equations.VEERG_4_1_1_3__1_TotalAnnualDirectNitrousOxideEmissions_Variable">_xlfn.LAMBDA("E_N2Odir")</definedName>
    <definedName name="MMS_Feedlot_N2O_Direct_Equations.VEERG_4_1_1_3__2_Stage1NitrogenInMMSDrylot">_xlfn.LAMBDA(_xlpm.AE_j,_xlpm.MMS_jm5T1, _xlpm.AE_j * _xlpm.MMS_jm5T1)</definedName>
    <definedName name="MMS_Feedlot_N2O_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_Direct_Equations.VEERG_4_1_1_3__2_Stage1NitrogenInMMSDrylot_LatexEquation">_xlfn.LAMBDA("MN_{jm=5,T=1}=AE_{j}\times MMS_{jm=5,T=1}")</definedName>
    <definedName name="MMS_Feedlot_N2O_Direct_Equations.VEERG_4_1_1_3__2_Stage1NitrogenInMMSDrylot_NIRReference">_xlfn.LAMBDA("")</definedName>
    <definedName name="MMS_Feedlot_N2O_Direct_Equations.VEERG_4_1_1_3__2_Stage1NitrogenInMMSDrylot_Source">_xlfn.LAMBDA("VEERG 2026: 4.1.1.3, Equation (2)")</definedName>
    <definedName name="MMS_Feedlot_N2O_Direct_Equations.VEERG_4_1_1_3__2_Stage1NitrogenInMMSDrylot_Title">_xlfn.LAMBDA("Nitrogen in treatment stage 1 MMS")</definedName>
    <definedName name="MMS_Feedlot_N2O_Direct_Equations.VEERG_4_1_1_3__2_Stage1NitrogenInMMSDrylot_Unit">_xlfn.LAMBDA("kg N")</definedName>
    <definedName name="MMS_Feedlot_N2O_Direct_Equations.VEERG_4_1_1_3__2_Stage1NitrogenInMMSDrylot_Variable">_xlfn.LAMBDA("MN_jm5T1")</definedName>
    <definedName name="MMS_Feedlot_N2O_Direct_Equations.VEERG_4_1_1_3__3_AnnualNitrogenExcretion">_xlfn.LAMBDA(_xlpm.N_j,_xlpm.NE_j,_xlpm.D_j, _xlpm.N_j * _xlpm.NE_j * _xlpm.D_j)</definedName>
    <definedName name="MMS_Feedlot_N2O_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_Direct_Equations.VEERG_4_1_1_3__3_AnnualNitrogenExcretion_LatexEquation">_xlfn.LAMBDA("AE_{j}=N_{j}\times NE_{j}\times D_{j}")</definedName>
    <definedName name="MMS_Feedlot_N2O_Direct_Equations.VEERG_4_1_1_3__3_AnnualNitrogenExcretion_NIRReference">_xlfn.LAMBDA("")</definedName>
    <definedName name="MMS_Feedlot_N2O_Direct_Equations.VEERG_4_1_1_3__3_AnnualNitrogenExcretion_Source">_xlfn.LAMBDA("VEERG 2026: 4.1.1.3, Equation (3)")</definedName>
    <definedName name="MMS_Feedlot_N2O_Direct_Equations.VEERG_4_1_1_3__3_AnnualNitrogenExcretion_Title">_xlfn.LAMBDA("Annual nitrogen excretion from each feedlot cattle group")</definedName>
    <definedName name="MMS_Feedlot_N2O_Direct_Equations.VEERG_4_1_1_3__3_AnnualNitrogenExcretion_Unit">_xlfn.LAMBDA("kg N")</definedName>
    <definedName name="MMS_Feedlot_N2O_Direct_Equations.VEERG_4_1_1_3__3_AnnualNitrogenExcretion_Variable">_xlfn.LAMBDA("AE_j")</definedName>
    <definedName name="MMS_Feedlot_N2O_Direct_Equations.VEERG_4_1_1_3__4_NitrogenExcretionPerHead">_xlfn.LAMBDA(_xlpm.NI_j,_xlpm.NR_j, _xlpm.NI_j * (1 - _xlpm.NR_j))</definedName>
    <definedName name="MMS_Feedlot_N2O_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_Direct_Equations.VEERG_4_1_1_3__4_NitrogenExcretionPerHead_LatexEquation">_xlfn.LAMBDA("NE_{j}=NI_{j}\times(1-NR_{j})")</definedName>
    <definedName name="MMS_Feedlot_N2O_Direct_Equations.VEERG_4_1_1_3__4_NitrogenExcretionPerHead_NIRReference">_xlfn.LAMBDA("")</definedName>
    <definedName name="MMS_Feedlot_N2O_Direct_Equations.VEERG_4_1_1_3__4_NitrogenExcretionPerHead_Source">_xlfn.LAMBDA("VEERG 2026: 4.1.1.3, Equation (4)")</definedName>
    <definedName name="MMS_Feedlot_N2O_Direct_Equations.VEERG_4_1_1_3__4_NitrogenExcretionPerHead_Title">_xlfn.LAMBDA("Nitrogen excretion per head per day")</definedName>
    <definedName name="MMS_Feedlot_N2O_Direct_Equations.VEERG_4_1_1_3__4_NitrogenExcretionPerHead_Unit">_xlfn.LAMBDA("kg N/head/day")</definedName>
    <definedName name="MMS_Feedlot_N2O_Direct_Equations.VEERG_4_1_1_3__4_NitrogenExcretionPerHead_Variable">_xlfn.LAMBDA("NE_j")</definedName>
    <definedName name="MMS_Feedlot_N2O_Direct_Equations.VEERG_4_1_1_3__5_NitrogenIntake">_xlfn.LAMBDA(_xlpm.I_j,_xlpm.CP_j, _xlpm.I_j * _xlpm.CP_j / 6.25)</definedName>
    <definedName name="MMS_Feedlot_N2O_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_Direct_Equations.VEERG_4_1_1_3__5_NitrogenIntake_LatexEquation">_xlfn.LAMBDA("NI_{j}=I_{j}\times CP_{j}\div 6.25")</definedName>
    <definedName name="MMS_Feedlot_N2O_Direct_Equations.VEERG_4_1_1_3__5_NitrogenIntake_NIRReference">_xlfn.LAMBDA("")</definedName>
    <definedName name="MMS_Feedlot_N2O_Direct_Equations.VEERG_4_1_1_3__5_NitrogenIntake_Source">_xlfn.LAMBDA("VEERG 2026: 4.1.1.3, Equation (5)")</definedName>
    <definedName name="MMS_Feedlot_N2O_Direct_Equations.VEERG_4_1_1_3__5_NitrogenIntake_Title">_xlfn.LAMBDA("Nitrogen intake of feedlot cattle")</definedName>
    <definedName name="MMS_Feedlot_N2O_Direct_Equations.VEERG_4_1_1_3__5_NitrogenIntake_Unit">_xlfn.LAMBDA("kg N/head/day")</definedName>
    <definedName name="MMS_Feedlot_N2O_Direct_Equations.VEERG_4_1_1_3__5_NitrogenIntake_Variable">_xlfn.LAMBDA("NI_j")</definedName>
    <definedName name="MMS_Feedlot_N2O_Direct_Equations.VEERG_4_1_1_3__6_Stage2NitrogenInMMS">_xlfn.LAMBDA(_xlpm.NT_jmT2,_xlpm.MMS_jmT2, _xlpm.NT_jmT2 * _xlpm.MMS_jmT2)</definedName>
    <definedName name="MMS_Feedlot_N2O_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_Direct_Equations.VEERG_4_1_1_3__6_Stage2NitrogenInMMS_LatexEquation">_xlfn.LAMBDA("MN_{jm,T=2}=NT_{jm,T=2}\times MMS_{jm,T=2}")</definedName>
    <definedName name="MMS_Feedlot_N2O_Direct_Equations.VEERG_4_1_1_3__6_Stage2NitrogenInMMS_NIRReference">_xlfn.LAMBDA("")</definedName>
    <definedName name="MMS_Feedlot_N2O_Direct_Equations.VEERG_4_1_1_3__6_Stage2NitrogenInMMS_Source">_xlfn.LAMBDA("VEERG 2026: 4.1.1.3, Equation (6)")</definedName>
    <definedName name="MMS_Feedlot_N2O_Direct_Equations.VEERG_4_1_1_3__6_Stage2NitrogenInMMS_Title">_xlfn.LAMBDA("Nitrogen in treatment stage 2 MMS")</definedName>
    <definedName name="MMS_Feedlot_N2O_Direct_Equations.VEERG_4_1_1_3__6_Stage2NitrogenInMMS_Unit">_xlfn.LAMBDA("kg N")</definedName>
    <definedName name="MMS_Feedlot_N2O_Direct_Equations.VEERG_4_1_1_3__6_Stage2NitrogenInMMS_Variable">_xlfn.LAMBDA("MN_jmT2")</definedName>
    <definedName name="MMS_Feedlot_N2O_Direct_Equations.VEERG_4_1_1_3__7_NitrogenTransferredToStage2">_xlfn.LAMBDA(_xlpm.MN_jm5T1,_xlpm.FracGASM_m5,_xlpm.EF_m5,_xlpm.MN_jmT3, (_xlpm.MN_jm5T1 * (1 - _xlpm.FracGASM_m5 - _xlpm.EF_m5)) - _xlpm.MN_jmT3)</definedName>
    <definedName name="MMS_Feedlot_N2O_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_Direct_Equations.VEERG_4_1_1_3__7_NitrogenTransferredToStage2_LatexEquation">_xlfn.LAMBDA("NT_{jm,T=2}=(MN_{jm=5,T=1}\times(1-FracGASM_{m=5}-EF_{m=5}))-MN_{jm,T=3}")</definedName>
    <definedName name="MMS_Feedlot_N2O_Direct_Equations.VEERG_4_1_1_3__7_NitrogenTransferredToStage2_NIRReference">_xlfn.LAMBDA("")</definedName>
    <definedName name="MMS_Feedlot_N2O_Direct_Equations.VEERG_4_1_1_3__7_NitrogenTransferredToStage2_Source">_xlfn.LAMBDA("VEERG 2026: 4.1.1.3, Equation (7)")</definedName>
    <definedName name="MMS_Feedlot_N2O_Direct_Equations.VEERG_4_1_1_3__7_NitrogenTransferredToStage2_Title">_xlfn.LAMBDA("Nitrogen transferred to treatment stage 2 MMS")</definedName>
    <definedName name="MMS_Feedlot_N2O_Direct_Equations.VEERG_4_1_1_3__7_NitrogenTransferredToStage2_Unit">_xlfn.LAMBDA("kg N")</definedName>
    <definedName name="MMS_Feedlot_N2O_Direct_Equations.VEERG_4_1_1_3__7_NitrogenTransferredToStage2_Variable">_xlfn.LAMBDA("NT_jmT2")</definedName>
    <definedName name="MMS_Feedlot_N2O_Direct_Equations.VEERG_4_1_1_3__8_Stage3NitrogenInMMSAnaerobicLagoon">_xlfn.LAMBDA(_xlpm.AE_j,_xlpm.MMS_jm1T3, _xlpm.AE_j * _xlpm.MMS_jm1T3)</definedName>
    <definedName name="MMS_Feedlot_N2O_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_Direct_Equations.VEERG_4_1_1_3__8_Stage3NitrogenInMMSAnaerobicLagoon_LatexEquation">_xlfn.LAMBDA("MN_{jm=1,T=3}=AE_{j}\times MMS_{jm=1,T=3}")</definedName>
    <definedName name="MMS_Feedlot_N2O_Direct_Equations.VEERG_4_1_1_3__8_Stage3NitrogenInMMSAnaerobicLagoon_NIRReference">_xlfn.LAMBDA("")</definedName>
    <definedName name="MMS_Feedlot_N2O_Direct_Equations.VEERG_4_1_1_3__8_Stage3NitrogenInMMSAnaerobicLagoon_Source">_xlfn.LAMBDA("VEERG 2026: 4.1.1.3, Equation (8)")</definedName>
    <definedName name="MMS_Feedlot_N2O_Direct_Equations.VEERG_4_1_1_3__8_Stage3NitrogenInMMSAnaerobicLagoon_Title">_xlfn.LAMBDA("Nitrogen in treatment stage 3 MMS")</definedName>
    <definedName name="MMS_Feedlot_N2O_Direct_Equations.VEERG_4_1_1_3__8_Stage3NitrogenInMMSAnaerobicLagoon_Unit">_xlfn.LAMBDA("kg N")</definedName>
    <definedName name="MMS_Feedlot_N2O_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70" l="1"/>
  <c r="A8" i="70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4" i="70"/>
  <c r="A13" i="70"/>
  <c r="A12" i="70"/>
  <c r="A11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H15" i="13"/>
  <c r="E22" i="13"/>
  <c r="F22" i="13"/>
  <c r="E23" i="13"/>
  <c r="F23" i="13"/>
  <c r="F21" i="13"/>
  <c r="E21" i="13"/>
  <c r="H12" i="13"/>
  <c r="H11" i="13"/>
  <c r="G12" i="13"/>
  <c r="G11" i="13"/>
  <c r="F12" i="13"/>
  <c r="F11" i="13"/>
  <c r="N65" i="82" a="1"/>
  <c r="N65" i="82" s="1"/>
  <c r="O63" i="82"/>
  <c r="O62" i="82"/>
  <c r="M65" i="82" s="1" a="1"/>
  <c r="M65" i="82" s="1"/>
  <c r="L62" i="82" a="1"/>
  <c r="L62" i="82" s="1"/>
  <c r="F65" i="82" a="1"/>
  <c r="F65" i="82" s="1"/>
  <c r="G63" i="82"/>
  <c r="G62" i="82"/>
  <c r="E65" i="82" s="1" a="1"/>
  <c r="E65" i="82" s="1"/>
  <c r="D62" i="82" a="1"/>
  <c r="D62" i="82" s="1"/>
  <c r="N60" i="82"/>
  <c r="F60" i="82"/>
  <c r="E12" i="13"/>
  <c r="E11" i="13"/>
  <c r="M41" i="82"/>
  <c r="O53" i="82"/>
  <c r="O58" i="82"/>
  <c r="O57" i="82"/>
  <c r="O56" i="82"/>
  <c r="O55" i="82"/>
  <c r="O54" i="82"/>
  <c r="M60" i="82" a="1"/>
  <c r="M60" i="82" s="1"/>
  <c r="L53" i="82" a="1"/>
  <c r="L53" i="82" s="1"/>
  <c r="G54" i="82"/>
  <c r="E60" i="82" s="1" a="1"/>
  <c r="E60" i="82" s="1"/>
  <c r="D46" i="82" a="1"/>
  <c r="D46" i="82" s="1"/>
  <c r="G28" i="79"/>
  <c r="H109" i="69"/>
  <c r="G74" i="69"/>
  <c r="G46" i="69"/>
  <c r="H188" i="93" a="1"/>
  <c r="H188" i="93" s="1"/>
  <c r="G188" i="93" a="1"/>
  <c r="G188" i="93" s="1"/>
  <c r="F188" i="93" a="1"/>
  <c r="F188" i="93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E187" i="93" a="1"/>
  <c r="E187" i="93" s="1"/>
  <c r="D187" i="93" a="1"/>
  <c r="D187" i="93" s="1"/>
  <c r="H186" i="93" a="1"/>
  <c r="H186" i="93" s="1"/>
  <c r="G186" i="93" a="1"/>
  <c r="G186" i="93" s="1"/>
  <c r="F186" i="93" a="1"/>
  <c r="F186" i="93" s="1"/>
  <c r="E186" i="93" a="1"/>
  <c r="E186" i="93" s="1"/>
  <c r="D186" i="93" a="1"/>
  <c r="D186" i="93" s="1"/>
  <c r="H185" i="93" a="1"/>
  <c r="H185" i="93" s="1"/>
  <c r="G185" i="93" a="1"/>
  <c r="G185" i="93" s="1"/>
  <c r="F185" i="93" a="1"/>
  <c r="F185" i="93" s="1"/>
  <c r="E185" i="93" a="1"/>
  <c r="E185" i="93" s="1"/>
  <c r="D185" i="93" a="1"/>
  <c r="D185" i="93" s="1"/>
  <c r="H184" i="93" a="1"/>
  <c r="H184" i="93" s="1"/>
  <c r="G184" i="93" a="1"/>
  <c r="G184" i="93" s="1"/>
  <c r="F184" i="93" a="1"/>
  <c r="F184" i="93" s="1"/>
  <c r="E184" i="93" a="1"/>
  <c r="E184" i="93" s="1"/>
  <c r="D184" i="93" a="1"/>
  <c r="D184" i="93" s="1"/>
  <c r="H183" i="93" a="1"/>
  <c r="H183" i="93" s="1"/>
  <c r="G183" i="93" a="1"/>
  <c r="G183" i="93" s="1"/>
  <c r="F183" i="93" a="1"/>
  <c r="F183" i="93" s="1"/>
  <c r="E183" i="93" a="1"/>
  <c r="E183" i="93" s="1"/>
  <c r="D183" i="93" a="1"/>
  <c r="D183" i="93" s="1"/>
  <c r="H182" i="93" a="1"/>
  <c r="H182" i="93" s="1"/>
  <c r="G182" i="93" a="1"/>
  <c r="G182" i="93" s="1"/>
  <c r="F182" i="93" a="1"/>
  <c r="F182" i="93" s="1"/>
  <c r="E182" i="93" a="1"/>
  <c r="E182" i="93" s="1"/>
  <c r="D182" i="93" a="1"/>
  <c r="D182" i="93" s="1"/>
  <c r="H181" i="93" a="1"/>
  <c r="H181" i="93" s="1"/>
  <c r="G181" i="93" a="1"/>
  <c r="G181" i="93" s="1"/>
  <c r="F181" i="93" a="1"/>
  <c r="F181" i="93" s="1"/>
  <c r="E181" i="93" a="1"/>
  <c r="E181" i="93" s="1"/>
  <c r="D181" i="93" a="1"/>
  <c r="D181" i="93" s="1"/>
  <c r="H180" i="93" a="1"/>
  <c r="H180" i="93" s="1"/>
  <c r="G180" i="93" a="1"/>
  <c r="G180" i="93" s="1"/>
  <c r="F180" i="93" a="1"/>
  <c r="F180" i="93" s="1"/>
  <c r="E180" i="93" a="1"/>
  <c r="E180" i="93" s="1"/>
  <c r="D180" i="93" a="1"/>
  <c r="D180" i="93" s="1"/>
  <c r="H179" i="93" a="1"/>
  <c r="H179" i="93" s="1"/>
  <c r="G179" i="93" a="1"/>
  <c r="G179" i="93" s="1"/>
  <c r="F179" i="93" a="1"/>
  <c r="F179" i="93" s="1"/>
  <c r="E179" i="93" a="1"/>
  <c r="E179" i="93" s="1"/>
  <c r="D179" i="93" a="1"/>
  <c r="D179" i="93" s="1"/>
  <c r="H178" i="93" a="1"/>
  <c r="H178" i="93" s="1"/>
  <c r="G178" i="93" a="1"/>
  <c r="G178" i="93" s="1"/>
  <c r="F178" i="93" a="1"/>
  <c r="F178" i="93" s="1"/>
  <c r="E178" i="93" a="1"/>
  <c r="E178" i="93" s="1"/>
  <c r="D178" i="93" a="1"/>
  <c r="D178" i="93" s="1"/>
  <c r="H177" i="93" a="1"/>
  <c r="H177" i="93" s="1"/>
  <c r="G177" i="93" a="1"/>
  <c r="G177" i="93" s="1"/>
  <c r="F177" i="93" a="1"/>
  <c r="F177" i="93" s="1"/>
  <c r="E177" i="93" a="1"/>
  <c r="E177" i="93" s="1"/>
  <c r="D177" i="93" a="1"/>
  <c r="D177" i="93" s="1"/>
  <c r="H176" i="93" a="1"/>
  <c r="H176" i="93" s="1"/>
  <c r="G176" i="93" a="1"/>
  <c r="G176" i="93" s="1"/>
  <c r="F176" i="93" a="1"/>
  <c r="F176" i="93" s="1"/>
  <c r="G29" i="79" s="1"/>
  <c r="E176" i="93" a="1"/>
  <c r="E176" i="93" s="1"/>
  <c r="D176" i="93" a="1"/>
  <c r="D176" i="93" s="1"/>
  <c r="D170" i="93" a="1"/>
  <c r="D170" i="93" s="1"/>
  <c r="D169" i="93" a="1"/>
  <c r="D169" i="93" s="1"/>
  <c r="D168" i="93" a="1"/>
  <c r="D168" i="93" s="1"/>
  <c r="D167" i="93" a="1"/>
  <c r="D167" i="93" s="1"/>
  <c r="E164" i="93" a="1"/>
  <c r="E164" i="93" s="1"/>
  <c r="D164" i="93" a="1"/>
  <c r="D164" i="93" s="1"/>
  <c r="D163" i="93" a="1"/>
  <c r="D163" i="93" s="1"/>
  <c r="D162" i="93" a="1"/>
  <c r="D162" i="93" s="1"/>
  <c r="D159" i="93" a="1"/>
  <c r="D159" i="93" s="1"/>
  <c r="D158" i="93" a="1"/>
  <c r="D158" i="93" s="1"/>
  <c r="D157" i="93" a="1"/>
  <c r="D157" i="93" s="1"/>
  <c r="D156" i="93" a="1"/>
  <c r="D156" i="93" s="1"/>
  <c r="D153" i="93" a="1"/>
  <c r="D153" i="93" s="1"/>
  <c r="D152" i="93" a="1"/>
  <c r="D152" i="93" s="1"/>
  <c r="D151" i="93" a="1"/>
  <c r="D151" i="93" s="1"/>
  <c r="D150" i="93" a="1"/>
  <c r="D150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0" i="93" a="1"/>
  <c r="D140" i="93" s="1"/>
  <c r="D139" i="93" a="1"/>
  <c r="D139" i="93" s="1"/>
  <c r="E136" i="93" a="1"/>
  <c r="E136" i="93" s="1"/>
  <c r="D136" i="93" a="1"/>
  <c r="D136" i="93" s="1"/>
  <c r="E135" i="93" a="1"/>
  <c r="E135" i="93" s="1"/>
  <c r="D135" i="93" a="1"/>
  <c r="D135" i="93" s="1"/>
  <c r="D133" i="93"/>
  <c r="D133" i="93" a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/>
  <c r="D46" i="93" a="1"/>
  <c r="D45" i="93"/>
  <c r="D45" i="93" a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P167" i="69" s="1"/>
  <c r="D35" i="93" a="1"/>
  <c r="D35" i="93" s="1"/>
  <c r="D34" i="93"/>
  <c r="D34" i="93" a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/>
  <c r="D19" i="93" a="1"/>
  <c r="D18" i="93"/>
  <c r="D18" i="93" a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56" i="82"/>
  <c r="G57" i="82"/>
  <c r="E47" i="82" a="1"/>
  <c r="E47" i="82" l="1"/>
  <c r="H110" i="69"/>
  <c r="E31" i="15"/>
  <c r="E32" i="15" s="1"/>
  <c r="E30" i="15"/>
  <c r="G58" i="82" s="1"/>
  <c r="E33" i="15"/>
  <c r="G210" i="76"/>
  <c r="O210" i="76"/>
  <c r="G47" i="69"/>
  <c r="G75" i="69"/>
  <c r="G167" i="69"/>
  <c r="H54" i="93"/>
  <c r="H50" i="93"/>
  <c r="G55" i="82" s="1"/>
  <c r="H51" i="93"/>
  <c r="H52" i="93"/>
  <c r="H48" i="93"/>
  <c r="H53" i="93"/>
  <c r="H49" i="93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G114" i="81"/>
  <c r="F114" i="81"/>
  <c r="E114" i="81"/>
  <c r="G113" i="81"/>
  <c r="F113" i="81"/>
  <c r="E113" i="81"/>
  <c r="G112" i="81"/>
  <c r="F112" i="81"/>
  <c r="E112" i="81"/>
  <c r="H72" i="81"/>
  <c r="H71" i="81"/>
  <c r="H70" i="81"/>
  <c r="H69" i="81"/>
  <c r="H17" i="81"/>
  <c r="H16" i="81"/>
  <c r="H15" i="81"/>
  <c r="H14" i="81"/>
  <c r="D61" i="81" a="1"/>
  <c r="D61" i="81" s="1"/>
  <c r="D85" i="81" s="1"/>
  <c r="E66" i="81" a="1"/>
  <c r="E66" i="81" s="1"/>
  <c r="E67" i="81" a="1"/>
  <c r="E67" i="81" s="1"/>
  <c r="D69" i="81" a="1"/>
  <c r="D69" i="81" s="1"/>
  <c r="D60" i="81" a="1"/>
  <c r="D60" i="81" s="1"/>
  <c r="G95" i="81"/>
  <c r="F95" i="81"/>
  <c r="E95" i="81"/>
  <c r="G94" i="81"/>
  <c r="F94" i="81"/>
  <c r="E94" i="81"/>
  <c r="G93" i="81"/>
  <c r="F93" i="81"/>
  <c r="E93" i="81"/>
  <c r="D58" i="70"/>
  <c r="D53" i="70"/>
  <c r="D48" i="70"/>
  <c r="D60" i="70"/>
  <c r="D6" i="81" a="1"/>
  <c r="D6" i="81" s="1"/>
  <c r="G47" i="81"/>
  <c r="F47" i="81"/>
  <c r="G59" i="70"/>
  <c r="F59" i="70"/>
  <c r="E59" i="70"/>
  <c r="E47" i="81" s="1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H8" i="13" s="1"/>
  <c r="M166" i="69" a="1"/>
  <c r="M166" i="69" s="1"/>
  <c r="N158" i="69"/>
  <c r="N145" i="69"/>
  <c r="M57" i="69"/>
  <c r="N212" i="76" a="1"/>
  <c r="N212" i="76" s="1"/>
  <c r="H10" i="13" s="1"/>
  <c r="L209" i="76" a="1"/>
  <c r="L209" i="76" s="1"/>
  <c r="L202" i="76"/>
  <c r="D209" i="76" a="1"/>
  <c r="D209" i="76" s="1"/>
  <c r="F212" i="76" a="1"/>
  <c r="F212" i="76" s="1"/>
  <c r="H9" i="13" s="1"/>
  <c r="D202" i="76"/>
  <c r="G188" i="76"/>
  <c r="D194" i="76"/>
  <c r="G187" i="76"/>
  <c r="E7" i="81" a="1"/>
  <c r="E62" i="81" a="1"/>
  <c r="E7" i="82" a="1"/>
  <c r="E180" i="76" a="1"/>
  <c r="G189" i="76" l="1"/>
  <c r="H37" i="82"/>
  <c r="H38" i="82"/>
  <c r="H39" i="82"/>
  <c r="H53" i="81"/>
  <c r="H36" i="82"/>
  <c r="N41" i="82"/>
  <c r="P121" i="81"/>
  <c r="E7" i="82"/>
  <c r="F123" i="81"/>
  <c r="N123" i="81"/>
  <c r="P52" i="81"/>
  <c r="P54" i="81"/>
  <c r="N56" i="81"/>
  <c r="P101" i="81"/>
  <c r="P102" i="81"/>
  <c r="N81" i="81"/>
  <c r="E62" i="81"/>
  <c r="E7" i="81"/>
  <c r="H77" i="81"/>
  <c r="H119" i="81"/>
  <c r="H79" i="81"/>
  <c r="H100" i="81"/>
  <c r="H120" i="81"/>
  <c r="H101" i="81"/>
  <c r="P120" i="81"/>
  <c r="H78" i="81"/>
  <c r="P119" i="81"/>
  <c r="P77" i="81"/>
  <c r="P78" i="81"/>
  <c r="H52" i="81"/>
  <c r="H102" i="81"/>
  <c r="P100" i="81"/>
  <c r="H121" i="81"/>
  <c r="P79" i="81"/>
  <c r="H54" i="81"/>
  <c r="P53" i="81"/>
  <c r="F104" i="81"/>
  <c r="N104" i="81"/>
  <c r="F56" i="81"/>
  <c r="E180" i="76"/>
  <c r="D179" i="76" l="1" a="1"/>
  <c r="D179" i="76" s="1"/>
  <c r="E185" i="76" a="1"/>
  <c r="E185" i="76" s="1"/>
  <c r="E184" i="76" a="1"/>
  <c r="E184" i="76" s="1"/>
  <c r="D187" i="76" a="1"/>
  <c r="D187" i="76" s="1"/>
  <c r="D178" i="76" a="1"/>
  <c r="D178" i="76" s="1"/>
  <c r="G161" i="76"/>
  <c r="G144" i="76"/>
  <c r="D153" i="76" a="1"/>
  <c r="D153" i="76" s="1"/>
  <c r="G119" i="76"/>
  <c r="G118" i="76"/>
  <c r="G95" i="76"/>
  <c r="D111" i="76" a="1"/>
  <c r="D111" i="76" s="1"/>
  <c r="E115" i="76" a="1"/>
  <c r="E115" i="76" s="1"/>
  <c r="E116" i="76" a="1"/>
  <c r="E116" i="76" s="1"/>
  <c r="G149" i="76" s="1"/>
  <c r="D118" i="76" a="1"/>
  <c r="D118" i="76" s="1"/>
  <c r="D110" i="76" a="1"/>
  <c r="D110" i="76" s="1"/>
  <c r="G141" i="76"/>
  <c r="D134" i="76" a="1"/>
  <c r="D134" i="76" s="1"/>
  <c r="E138" i="76" a="1"/>
  <c r="E138" i="76" s="1"/>
  <c r="E139" i="76" a="1"/>
  <c r="E139" i="76" s="1"/>
  <c r="D141" i="76" a="1"/>
  <c r="D141" i="76" s="1"/>
  <c r="D133" i="76" a="1"/>
  <c r="D133" i="76" s="1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D154" i="76" a="1"/>
  <c r="D154" i="76" s="1"/>
  <c r="E158" i="76" a="1"/>
  <c r="E158" i="76" s="1"/>
  <c r="E159" i="76" a="1"/>
  <c r="E159" i="76" s="1"/>
  <c r="D161" i="76" a="1"/>
  <c r="D161" i="76" s="1"/>
  <c r="L106" i="76"/>
  <c r="E101" i="76"/>
  <c r="D106" i="76"/>
  <c r="G96" i="76"/>
  <c r="G101" i="76"/>
  <c r="F101" i="76"/>
  <c r="D101" i="76"/>
  <c r="D88" i="76" a="1"/>
  <c r="D88" i="76" s="1"/>
  <c r="E92" i="76" a="1"/>
  <c r="E92" i="76" s="1"/>
  <c r="E93" i="76" a="1"/>
  <c r="E93" i="76" s="1"/>
  <c r="P106" i="76" s="1"/>
  <c r="D95" i="76" a="1"/>
  <c r="D95" i="76" s="1"/>
  <c r="D87" i="76" a="1"/>
  <c r="D87" i="76" s="1"/>
  <c r="G66" i="76"/>
  <c r="F73" i="76"/>
  <c r="E73" i="76"/>
  <c r="D73" i="76"/>
  <c r="G68" i="76"/>
  <c r="F78" i="76"/>
  <c r="E78" i="76"/>
  <c r="D78" i="76"/>
  <c r="G67" i="76"/>
  <c r="D59" i="76" a="1"/>
  <c r="D59" i="76" s="1"/>
  <c r="E63" i="76" a="1"/>
  <c r="E63" i="76" s="1"/>
  <c r="E64" i="76" a="1"/>
  <c r="E64" i="76" s="1"/>
  <c r="O83" i="76" s="1"/>
  <c r="D66" i="76" a="1"/>
  <c r="D66" i="76" s="1"/>
  <c r="D58" i="76" a="1"/>
  <c r="D58" i="76" s="1"/>
  <c r="G44" i="76"/>
  <c r="G43" i="76"/>
  <c r="D35" i="76" a="1"/>
  <c r="D35" i="76" s="1"/>
  <c r="E41" i="76" a="1"/>
  <c r="E41" i="76" s="1"/>
  <c r="O54" i="76" s="1"/>
  <c r="E40" i="76" a="1"/>
  <c r="E40" i="76" s="1"/>
  <c r="D43" i="76" a="1"/>
  <c r="D43" i="76" s="1"/>
  <c r="D34" i="76" a="1"/>
  <c r="D34" i="76" s="1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D6" i="76" a="1"/>
  <c r="D6" i="76" s="1"/>
  <c r="E11" i="76" a="1"/>
  <c r="E11" i="76" s="1"/>
  <c r="O30" i="76" s="1"/>
  <c r="E10" i="76" a="1"/>
  <c r="E10" i="76" s="1"/>
  <c r="D13" i="76" a="1"/>
  <c r="D13" i="76" s="1"/>
  <c r="D5" i="76" a="1"/>
  <c r="D5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60" i="76" a="1"/>
  <c r="E89" i="76" a="1"/>
  <c r="E36" i="76" a="1"/>
  <c r="E112" i="76" a="1"/>
  <c r="E7" i="76" a="1"/>
  <c r="E155" i="76" a="1"/>
  <c r="E135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F10" i="13" s="1"/>
  <c r="P205" i="76"/>
  <c r="F207" i="76"/>
  <c r="F9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G45" i="81" s="1"/>
  <c r="F49" i="70"/>
  <c r="F45" i="81" s="1"/>
  <c r="E49" i="70"/>
  <c r="E45" i="81" s="1"/>
  <c r="G54" i="70"/>
  <c r="G46" i="81" s="1"/>
  <c r="F54" i="70"/>
  <c r="F46" i="81" s="1"/>
  <c r="E54" i="70"/>
  <c r="E46" i="81" s="1"/>
  <c r="D34" i="70"/>
  <c r="E158" i="69"/>
  <c r="D166" i="69" a="1"/>
  <c r="D166" i="69" s="1"/>
  <c r="F169" i="69" a="1"/>
  <c r="F169" i="69" s="1"/>
  <c r="H7" i="13" s="1"/>
  <c r="E126" i="69" a="1"/>
  <c r="M20" i="69" l="1"/>
  <c r="L20" i="76"/>
  <c r="L30" i="76" s="1" a="1"/>
  <c r="L30" i="76" s="1"/>
  <c r="L54" i="76" s="1" a="1"/>
  <c r="L54" i="76" s="1"/>
  <c r="L83" i="76" s="1" a="1"/>
  <c r="L83" i="76" s="1"/>
  <c r="M106" i="76" s="1" a="1"/>
  <c r="M106" i="76" s="1"/>
  <c r="M20" i="82" s="1"/>
  <c r="M36" i="82" s="1" a="1"/>
  <c r="M36" i="82" s="1"/>
  <c r="N20" i="69"/>
  <c r="M20" i="76"/>
  <c r="M30" i="76" s="1" a="1"/>
  <c r="M30" i="76" s="1"/>
  <c r="M54" i="76" s="1" a="1"/>
  <c r="M54" i="76" s="1"/>
  <c r="M83" i="76" s="1" a="1"/>
  <c r="M83" i="76" s="1"/>
  <c r="N106" i="76" s="1" a="1"/>
  <c r="N106" i="76" s="1"/>
  <c r="N20" i="82" s="1"/>
  <c r="N36" i="82" s="1" a="1"/>
  <c r="N36" i="82" s="1"/>
  <c r="O20" i="69"/>
  <c r="N20" i="76"/>
  <c r="N30" i="76" s="1" a="1"/>
  <c r="N30" i="76" s="1"/>
  <c r="N54" i="76" s="1" a="1"/>
  <c r="N54" i="76" s="1"/>
  <c r="N83" i="76" s="1" a="1"/>
  <c r="N83" i="76" s="1"/>
  <c r="O106" i="76" s="1" a="1"/>
  <c r="O106" i="76" s="1"/>
  <c r="O20" i="82" s="1"/>
  <c r="O36" i="82" s="1" a="1"/>
  <c r="O36" i="82" s="1"/>
  <c r="F30" i="76" a="1"/>
  <c r="F30" i="76" s="1"/>
  <c r="F54" i="76" s="1" a="1"/>
  <c r="F54" i="76" s="1"/>
  <c r="F83" i="76" s="1" a="1"/>
  <c r="F83" i="76" s="1"/>
  <c r="E30" i="76" a="1"/>
  <c r="E30" i="76" s="1"/>
  <c r="E54" i="76" s="1" a="1"/>
  <c r="E54" i="76" s="1"/>
  <c r="E83" i="76" s="1" a="1"/>
  <c r="E83" i="76" s="1"/>
  <c r="D30" i="76" a="1"/>
  <c r="D30" i="76" s="1"/>
  <c r="D54" i="76" s="1" a="1"/>
  <c r="D54" i="76" s="1"/>
  <c r="D83" i="76" s="1" a="1"/>
  <c r="D83" i="76" s="1"/>
  <c r="E126" i="69"/>
  <c r="E106" i="76" l="1" a="1"/>
  <c r="E106" i="76" s="1"/>
  <c r="E20" i="82" s="1"/>
  <c r="E36" i="82" s="1" a="1"/>
  <c r="E36" i="82" s="1"/>
  <c r="G106" i="76" a="1"/>
  <c r="G106" i="76" s="1"/>
  <c r="G20" i="82" s="1"/>
  <c r="G36" i="82" s="1" a="1"/>
  <c r="G36" i="82" s="1"/>
  <c r="F106" i="76" a="1"/>
  <c r="F106" i="76" s="1"/>
  <c r="F20" i="82" s="1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E131" i="69" l="1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G30" i="69" l="1"/>
  <c r="P30" i="69"/>
  <c r="G45" i="69"/>
  <c r="R158" i="69"/>
  <c r="H166" i="69"/>
  <c r="Q166" i="69"/>
  <c r="I161" i="69"/>
  <c r="I160" i="69"/>
  <c r="I159" i="69"/>
  <c r="I158" i="69"/>
  <c r="O164" i="69"/>
  <c r="F8" i="13" s="1"/>
  <c r="F164" i="69"/>
  <c r="F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36" i="69" a="1"/>
  <c r="E7" i="69" a="1"/>
  <c r="D30" i="69" l="1" a="1"/>
  <c r="D30" i="69" s="1"/>
  <c r="O202" i="76" a="1"/>
  <c r="O202" i="76" s="1"/>
  <c r="N202" i="76" a="1"/>
  <c r="N202" i="76" s="1"/>
  <c r="M202" i="76" a="1"/>
  <c r="M202" i="76" s="1"/>
  <c r="F202" i="76" a="1"/>
  <c r="F202" i="76" s="1"/>
  <c r="G202" i="76" a="1"/>
  <c r="G202" i="76" s="1"/>
  <c r="E202" i="76" a="1"/>
  <c r="E202" i="76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E120" i="69" l="1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N129" i="76" a="1"/>
  <c r="N129" i="76" s="1"/>
  <c r="F129" i="76" a="1"/>
  <c r="F129" i="76" s="1"/>
  <c r="F23" i="82" s="1"/>
  <c r="O129" i="76" a="1"/>
  <c r="O129" i="76" s="1"/>
  <c r="G129" i="76" a="1"/>
  <c r="G129" i="76" s="1"/>
  <c r="G23" i="82" s="1"/>
  <c r="P120" i="69" a="1"/>
  <c r="P120" i="69" s="1"/>
  <c r="Q148" i="69" s="1"/>
  <c r="Q161" i="69" s="1" a="1"/>
  <c r="Q161" i="69" s="1"/>
  <c r="M129" i="76" a="1"/>
  <c r="M129" i="76" s="1"/>
  <c r="E129" i="76" a="1"/>
  <c r="E129" i="76" s="1"/>
  <c r="E23" i="82" s="1"/>
  <c r="M24" i="81" l="1"/>
  <c r="M23" i="82"/>
  <c r="O24" i="81"/>
  <c r="O23" i="82"/>
  <c r="N24" i="81"/>
  <c r="N23" i="82"/>
  <c r="E24" i="81"/>
  <c r="F24" i="81"/>
  <c r="G24" i="81"/>
  <c r="D149" i="76" a="1"/>
  <c r="D149" i="76" s="1"/>
  <c r="L149" i="76" a="1"/>
  <c r="L149" i="76" s="1"/>
  <c r="F149" i="76" a="1"/>
  <c r="F149" i="76" s="1"/>
  <c r="N149" i="76" a="1"/>
  <c r="N149" i="76" s="1"/>
  <c r="E149" i="76" a="1"/>
  <c r="E149" i="76" s="1"/>
  <c r="M149" i="76" a="1"/>
  <c r="M149" i="76" s="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N173" i="76" l="1" a="1"/>
  <c r="N173" i="76" s="1"/>
  <c r="N174" i="76" a="1"/>
  <c r="N174" i="76" s="1"/>
  <c r="F173" i="76" a="1"/>
  <c r="F173" i="76" s="1"/>
  <c r="F174" i="76" a="1"/>
  <c r="F174" i="76" s="1"/>
  <c r="F22" i="82" s="1"/>
  <c r="D29" i="79"/>
  <c r="D35" i="70" s="1"/>
  <c r="O174" i="76" a="1"/>
  <c r="O174" i="76" s="1"/>
  <c r="O173" i="76" a="1"/>
  <c r="O173" i="76" s="1"/>
  <c r="G174" i="76" a="1"/>
  <c r="G174" i="76" s="1"/>
  <c r="G22" i="82" s="1"/>
  <c r="G173" i="76" a="1"/>
  <c r="G173" i="76" s="1"/>
  <c r="M173" i="76" a="1"/>
  <c r="M173" i="76" s="1"/>
  <c r="M174" i="76" a="1"/>
  <c r="M174" i="76" s="1"/>
  <c r="D30" i="79"/>
  <c r="D36" i="70" s="1"/>
  <c r="E174" i="76" a="1"/>
  <c r="E174" i="76" s="1"/>
  <c r="E22" i="82" s="1"/>
  <c r="E173" i="76" a="1"/>
  <c r="E173" i="76" s="1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100" i="81"/>
  <c r="L52" i="81"/>
  <c r="D52" i="81"/>
  <c r="L77" i="81"/>
  <c r="D100" i="81"/>
  <c r="D93" i="81"/>
  <c r="L119" i="81"/>
  <c r="D119" i="81"/>
  <c r="D77" i="81"/>
  <c r="L22" i="81"/>
  <c r="D112" i="81"/>
  <c r="L79" i="81"/>
  <c r="D121" i="81"/>
  <c r="D102" i="81"/>
  <c r="L54" i="81"/>
  <c r="D79" i="81"/>
  <c r="D95" i="81"/>
  <c r="L24" i="81"/>
  <c r="L102" i="81"/>
  <c r="D54" i="81"/>
  <c r="D114" i="81"/>
  <c r="L121" i="81"/>
  <c r="D56" i="70"/>
  <c r="L120" i="81"/>
  <c r="D101" i="81"/>
  <c r="D120" i="81"/>
  <c r="D94" i="81"/>
  <c r="L78" i="81"/>
  <c r="L53" i="81"/>
  <c r="D113" i="81"/>
  <c r="D53" i="81"/>
  <c r="D78" i="81"/>
  <c r="L23" i="81"/>
  <c r="L101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F204" i="76" s="1" a="1"/>
  <c r="F204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M37" i="82" l="1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E119" i="81" a="1"/>
  <c r="E119" i="81" s="1"/>
  <c r="F38" i="82" a="1"/>
  <c r="F38" i="82" s="1"/>
  <c r="F37" i="82" a="1"/>
  <c r="F37" i="82" s="1"/>
  <c r="M120" i="81" a="1"/>
  <c r="M120" i="81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100" i="81" a="1"/>
  <c r="F100" i="81" s="1"/>
  <c r="M121" i="81" a="1"/>
  <c r="M121" i="81" s="1"/>
  <c r="O121" i="81" a="1"/>
  <c r="O121" i="81" s="1"/>
  <c r="N121" i="81" a="1"/>
  <c r="N121" i="81" s="1"/>
  <c r="G121" i="81" a="1"/>
  <c r="G121" i="81" s="1"/>
  <c r="F121" i="81" a="1"/>
  <c r="F121" i="81" s="1"/>
  <c r="E121" i="81" a="1"/>
  <c r="E121" i="81" s="1"/>
  <c r="N100" i="81" a="1"/>
  <c r="N100" i="81" s="1"/>
  <c r="N119" i="81" a="1"/>
  <c r="N119" i="81" s="1"/>
  <c r="N53" i="81" a="1"/>
  <c r="N53" i="81" s="1"/>
  <c r="O119" i="81" a="1"/>
  <c r="O119" i="81" s="1"/>
  <c r="G119" i="81" a="1"/>
  <c r="G119" i="81" s="1"/>
  <c r="N120" i="81" a="1"/>
  <c r="N120" i="81" s="1"/>
  <c r="F119" i="81" a="1"/>
  <c r="F119" i="81" s="1"/>
  <c r="E120" i="81" a="1"/>
  <c r="E120" i="81" s="1"/>
  <c r="O120" i="81" a="1"/>
  <c r="O120" i="81" s="1"/>
  <c r="F120" i="81" a="1"/>
  <c r="F120" i="81" s="1"/>
  <c r="M119" i="81" a="1"/>
  <c r="M119" i="81" s="1"/>
  <c r="G120" i="81" a="1"/>
  <c r="G120" i="81" s="1"/>
  <c r="M78" i="81" a="1"/>
  <c r="M78" i="81" s="1"/>
  <c r="N101" i="81" a="1"/>
  <c r="N101" i="81" s="1"/>
  <c r="O77" i="81" a="1"/>
  <c r="O77" i="81" s="1"/>
  <c r="M52" i="81" a="1"/>
  <c r="M52" i="81" s="1"/>
  <c r="E100" i="81" a="1"/>
  <c r="E100" i="81" s="1"/>
  <c r="F77" i="81" a="1"/>
  <c r="F77" i="81" s="1"/>
  <c r="F78" i="81" a="1"/>
  <c r="F78" i="81" s="1"/>
  <c r="F101" i="81" a="1"/>
  <c r="F101" i="81" s="1"/>
  <c r="G78" i="81" a="1"/>
  <c r="G78" i="81" s="1"/>
  <c r="G101" i="81" a="1"/>
  <c r="G101" i="81" s="1"/>
  <c r="G77" i="81" a="1"/>
  <c r="G77" i="81" s="1"/>
  <c r="N77" i="81" a="1"/>
  <c r="N77" i="81" s="1"/>
  <c r="M102" i="81" a="1"/>
  <c r="M102" i="81" s="1"/>
  <c r="M79" i="81" a="1"/>
  <c r="M79" i="81" s="1"/>
  <c r="O102" i="81" a="1"/>
  <c r="O102" i="81" s="1"/>
  <c r="O79" i="81" a="1"/>
  <c r="O79" i="81" s="1"/>
  <c r="N79" i="81" a="1"/>
  <c r="N79" i="81" s="1"/>
  <c r="N102" i="81" a="1"/>
  <c r="N102" i="81" s="1"/>
  <c r="E79" i="81" a="1"/>
  <c r="E79" i="81" s="1"/>
  <c r="E102" i="81" a="1"/>
  <c r="E102" i="81" s="1"/>
  <c r="G79" i="81" a="1"/>
  <c r="G79" i="81" s="1"/>
  <c r="G102" i="81" a="1"/>
  <c r="G102" i="81" s="1"/>
  <c r="F79" i="81" a="1"/>
  <c r="F79" i="81" s="1"/>
  <c r="F102" i="81" a="1"/>
  <c r="F102" i="81" s="1"/>
  <c r="G100" i="81" a="1"/>
  <c r="G100" i="81" s="1"/>
  <c r="O52" i="81" a="1"/>
  <c r="O52" i="81" s="1"/>
  <c r="O100" i="81" a="1"/>
  <c r="O100" i="81" s="1"/>
  <c r="E101" i="81" a="1"/>
  <c r="E101" i="81" s="1"/>
  <c r="E78" i="81" a="1"/>
  <c r="E78" i="81" s="1"/>
  <c r="M77" i="81" a="1"/>
  <c r="M77" i="81" s="1"/>
  <c r="O101" i="81" a="1"/>
  <c r="O101" i="81" s="1"/>
  <c r="M101" i="81" a="1"/>
  <c r="M101" i="81" s="1"/>
  <c r="N78" i="81" a="1"/>
  <c r="N78" i="81" s="1"/>
  <c r="E77" i="81" a="1"/>
  <c r="E77" i="81" s="1"/>
  <c r="M100" i="81" a="1"/>
  <c r="M100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O204" i="76" a="1"/>
  <c r="O204" i="76" s="1"/>
  <c r="G204" i="76" a="1"/>
  <c r="G204" i="76" s="1"/>
  <c r="E204" i="76" a="1"/>
  <c r="E204" i="76" s="1"/>
  <c r="N204" i="76" a="1"/>
  <c r="N204" i="76" s="1"/>
  <c r="E195" i="76"/>
  <c r="O203" i="76" s="1" a="1"/>
  <c r="O203" i="76" s="1"/>
  <c r="F93" i="69" a="1"/>
  <c r="F93" i="69" s="1"/>
  <c r="G147" i="69" s="1"/>
  <c r="G160" i="69" s="1" a="1"/>
  <c r="G160" i="69" s="1"/>
  <c r="M204" i="76" a="1"/>
  <c r="M204" i="76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205" i="76" a="1"/>
  <c r="E205" i="76" s="1"/>
  <c r="M205" i="76" a="1"/>
  <c r="M205" i="76" s="1"/>
  <c r="G205" i="76" a="1"/>
  <c r="G205" i="76" s="1"/>
  <c r="O205" i="76" a="1"/>
  <c r="O205" i="76" s="1"/>
  <c r="F205" i="76" a="1"/>
  <c r="F205" i="76" s="1"/>
  <c r="N205" i="76" a="1"/>
  <c r="N205" i="76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E41" i="82" l="1"/>
  <c r="G53" i="82" s="1"/>
  <c r="E123" i="81"/>
  <c r="M123" i="81"/>
  <c r="M56" i="81"/>
  <c r="M104" i="81"/>
  <c r="E81" i="81"/>
  <c r="E104" i="81"/>
  <c r="M81" i="81"/>
  <c r="E56" i="81"/>
  <c r="E203" i="76" a="1"/>
  <c r="E203" i="76" s="1"/>
  <c r="N203" i="76" a="1"/>
  <c r="N203" i="76" s="1"/>
  <c r="F203" i="76" a="1"/>
  <c r="F203" i="76" s="1"/>
  <c r="M203" i="76" a="1"/>
  <c r="M203" i="76" s="1"/>
  <c r="E164" i="69"/>
  <c r="G203" i="76" a="1"/>
  <c r="G203" i="76" s="1"/>
  <c r="N164" i="69"/>
  <c r="E29" i="15"/>
  <c r="P166" i="69" l="1"/>
  <c r="N169" i="69" s="1" a="1"/>
  <c r="N169" i="69" s="1"/>
  <c r="G8" i="13" s="1"/>
  <c r="E8" i="13"/>
  <c r="G166" i="69"/>
  <c r="E169" i="69" s="1" a="1"/>
  <c r="E169" i="69" s="1"/>
  <c r="G7" i="13" s="1"/>
  <c r="E7" i="13"/>
  <c r="M207" i="76"/>
  <c r="E207" i="76"/>
  <c r="G209" i="76" l="1"/>
  <c r="E212" i="76" s="1" a="1"/>
  <c r="E212" i="76" s="1"/>
  <c r="G9" i="13" s="1"/>
  <c r="E9" i="13"/>
  <c r="O209" i="76"/>
  <c r="M212" i="76" s="1" a="1"/>
  <c r="M212" i="76" s="1"/>
  <c r="G10" i="13" s="1"/>
  <c r="G15" i="13" s="1"/>
  <c r="E10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<sst xmlns="http://schemas.openxmlformats.org/spreadsheetml/2006/main" count="851" uniqueCount="344">
  <si>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</si>
  <si>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</si>
  <si>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</si>
  <si>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</si>
  <si>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</si>
  <si>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</si>
  <si>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</si>
  <si>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</si>
  <si>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</si>
  <si>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</si>
  <si>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</si>
  <si>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</si>
  <si>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</si>
  <si>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</si>
  <si>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</si>
  <si>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</si>
  <si>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</si>
  <si>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</si>
  <si>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</si>
  <si>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</si>
  <si>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</si>
  <si>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</si>
  <si>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</si>
  <si>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</si>
  <si>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</si>
  <si>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</si>
  <si>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</si>
  <si>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</si>
  <si>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</si>
  <si>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</si>
  <si>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</si>
  <si>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</si>
  <si>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</si>
  <si>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</si>
  <si>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</si>
  <si>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</si>
  <si>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</si>
  <si>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</si>
  <si>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</si>
  <si>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</si>
  <si>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</si>
  <si>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</si>
  <si>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</si>
  <si>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</si>
  <si>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</si>
  <si>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</si>
  <si>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</si>
  <si>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</si>
  <si>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</si>
  <si>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</si>
  <si>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</si>
  <si>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</si>
  <si>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</si>
  <si>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</si>
  <si>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</si>
  <si>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</si>
  <si>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</si>
  <si>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</si>
  <si>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</si>
  <si>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</si>
  <si>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</si>
  <si>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</si>
  <si>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</si>
  <si>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</si>
  <si>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</si>
  <si>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</si>
  <si>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</si>
  <si>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</si>
  <si>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</si>
  <si>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</si>
  <si>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</si>
  <si>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</si>
  <si>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</si>
  <si>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</si>
  <si>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</si>
  <si>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</si>
  <si>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</si>
  <si>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</si>
  <si>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</si>
  <si>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</si>
  <si>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</si>
  <si>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</si>
  <si>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</si>
  <si>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</si>
  <si>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</si>
  <si>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</si>
  <si>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</si>
  <si>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</si>
  <si>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</si>
  <si>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</si>
  <si>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</si>
  <si>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</si>
  <si>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</si>
  <si>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</si>
  <si>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</si>
  <si>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</si>
  <si>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</si>
  <si>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</si>
  <si>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</si>
  <si>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</si>
  <si>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</si>
  <si>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</si>
  <si>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</si>
  <si>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</si>
  <si>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</si>
  <si>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</si>
  <si>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</si>
  <si>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</si>
  <si>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No MMS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</si>
  <si>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</si>
  <si>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</si>
  <si>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</si>
  <si>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</si>
  <si>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</si>
  <si>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</si>
  <si>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</si>
  <si>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</si>
  <si>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</si>
  <si>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</si>
  <si>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</si>
  <si>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</si>
  <si>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</si>
  <si>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</si>
  <si>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</si>
  <si>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</si>
  <si>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</si>
  <si>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</si>
  <si>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</si>
  <si>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</si>
  <si>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</si>
  <si>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</si>
  <si>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</si>
  <si>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</si>
  <si>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</si>
  <si>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</si>
  <si>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</si>
  <si>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</si>
  <si>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</si>
  <si>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</si>
  <si>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</si>
  <si>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</si>
  <si>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</si>
  <si>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</si>
  <si>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</si>
  <si>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</si>
  <si>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</si>
  <si>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</si>
  <si>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</si>
  <si>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</si>
  <si>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</si>
  <si>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</si>
  <si>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</si>
  <si>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</si>
  <si>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Method 1 default values</t>
  </si>
  <si>
    <t>Method 2 custom values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</si>
  <si>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</si>
  <si>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</si>
  <si>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</si>
  <si>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</si>
  <si>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</si>
  <si>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</si>
  <si>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</si>
  <si>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</si>
  <si>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</si>
  <si>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</si>
  <si>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</si>
  <si>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</si>
  <si>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</si>
  <si>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</si>
  <si>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</si>
  <si>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</si>
  <si>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</si>
  <si>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</si>
  <si>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</si>
  <si>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</si>
  <si>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</si>
  <si>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</si>
  <si>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</si>
  <si>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</si>
  <si>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</si>
  <si>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</si>
  <si>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</si>
  <si>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</si>
  <si>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</si>
  <si>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</si>
  <si>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</si>
  <si>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</si>
  <si>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</si>
  <si>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</si>
  <si>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</si>
  <si>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</si>
  <si>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</si>
  <si>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</si>
  <si>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</si>
  <si>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</si>
  <si>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</si>
  <si>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</si>
  <si>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</si>
  <si>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</si>
  <si>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</si>
  <si>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</si>
  <si>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</si>
  <si>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</si>
  <si>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</si>
  <si>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</si>
  <si>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</si>
  <si>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</si>
  <si>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</si>
  <si>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</si>
  <si>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</si>
  <si>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</si>
  <si>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</si>
  <si>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</si>
  <si>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</si>
  <si>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</si>
  <si>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</si>
  <si>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</si>
  <si>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</si>
  <si>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</si>
  <si>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</si>
  <si>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</si>
  <si>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</si>
  <si>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</si>
  <si>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</si>
  <si>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</si>
  <si>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</si>
  <si>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</si>
  <si>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</si>
  <si>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</si>
  <si>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</si>
  <si>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</si>
  <si>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</si>
  <si>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</si>
  <si>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</si>
  <si>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</si>
  <si>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</si>
  <si>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</si>
  <si>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</si>
  <si>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</si>
  <si>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</si>
  <si>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</si>
  <si>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</si>
  <si>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</si>
  <si>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</si>
  <si>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</si>
  <si>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</si>
  <si>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</si>
  <si>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</si>
  <si>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</si>
  <si>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</si>
  <si>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</si>
  <si>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</si>
  <si>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</si>
  <si>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</si>
  <si>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</si>
  <si>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</si>
  <si>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</si>
  <si>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</si>
  <si>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</si>
  <si>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</si>
  <si>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</si>
  <si>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</si>
  <si>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</si>
  <si>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</si>
  <si>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</si>
  <si>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</si>
  <si>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</si>
  <si>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</si>
  <si>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</si>
  <si>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</si>
  <si>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</si>
  <si>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</si>
  <si>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</si>
  <si>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Table_PF_sold</t>
  </si>
  <si>
    <t>Fraction of manure sold</t>
  </si>
  <si>
    <t>M1_Table_MNSoil_scope3_sold</t>
  </si>
  <si>
    <t>M2_Table_MNSoil_scope3_sold</t>
  </si>
  <si>
    <t>Mass of N sold as fertiliser (Method 2)</t>
  </si>
  <si>
    <t>Mass of N sold as fertiliser (Method 1)</t>
  </si>
  <si>
    <t>Mass of nitrogen applied as fertiliser on own farm</t>
  </si>
  <si>
    <t>Mass of nitrogen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</si>
  <si>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scope3,sold</t>
    </r>
  </si>
  <si>
    <t>* Manure that is removed from stage 2 and 3 MMS and used as fertiliser on the farm, for other enterprises (eg crops)</t>
  </si>
  <si>
    <t>* Manure that is removed from stage 2 and 3 MMS that is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</si>
  <si>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</si>
  <si>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</si>
  <si>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</si>
  <si>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</si>
  <si>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</si>
  <si>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</si>
  <si>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</si>
  <si>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</si>
  <si>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</si>
  <si>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</si>
  <si>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</si>
  <si>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</si>
  <si>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</si>
  <si>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</si>
  <si>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</si>
  <si>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</si>
  <si>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</si>
  <si>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</si>
  <si>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</si>
  <si>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</si>
  <si>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</si>
  <si>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Where deposited on farm soils as waste, what is the closest match?</t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</si>
  <si>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</si>
  <si>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</si>
  <si>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</si>
  <si>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</si>
  <si>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</si>
  <si>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</si>
  <si>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</si>
  <si>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</si>
  <si>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</si>
  <si>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</si>
  <si>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</si>
  <si>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</si>
  <si>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</si>
  <si>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</si>
  <si>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test</t>
  </si>
  <si>
    <t>test 2</t>
  </si>
  <si>
    <t>test 3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</si>
  <si>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</si>
  <si>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</si>
  <si>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</si>
  <si>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</si>
  <si>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</si>
  <si>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This feedlot</t>
  </si>
  <si>
    <t>Manure nitrogen sold</t>
  </si>
  <si>
    <t>Scope 3 (downstream)</t>
  </si>
  <si>
    <t>Crops or pasture that use manure as fertiliser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</si>
  <si>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</si>
  <si>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</si>
  <si>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</si>
  <si>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</si>
  <si>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</si>
  <si>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Manure nitrogen deposited on farm soils with no other purpose (aka waste)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</si>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</sst>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/>
      <top/>
      <bottom/>
      <diagonal/>
    </border>
    <border>
      <left/>
      <right style="thin">
        <color theme="3" tint="0.749961851863155"/>
      </right>
      <top/>
      <bottom/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9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0" xfId="41" applyBorder="1">
      <alignment horizontal="left" vertical="center"/>
    </xf>
    <xf numFmtId="0" fontId="47" fillId="13" borderId="10" xfId="41" applyBorder="1">
      <alignment horizontal="left" vertical="center"/>
    </xf>
    <xf numFmtId="0" fontId="47" fillId="13" borderId="21" xfId="41" applyBorder="1">
      <alignment horizontal="left" vertical="center"/>
    </xf>
    <xf numFmtId="0" fontId="47" fillId="13" borderId="22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18" fillId="0" borderId="0" xfId="34" applyAlignment="1">
      <alignment horizontal="left" vertical="center" indent="1"/>
    </xf>
    <xf numFmtId="0" fontId="63" fillId="0" borderId="0" xfId="2" applyFont="1"/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5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6"/>
      <tableStyleElement type="headerRow" dxfId="55"/>
      <tableStyleElement type="totalRow" dxfId="54"/>
      <tableStyleElement type="firstColumn" dxfId="53"/>
      <tableStyleElement type="firstRowStripe" dxfId="52"/>
      <tableStyleElement type="secondRowStripe" dxfId="51"/>
    </tableStyle>
    <tableStyle name="Equation table" pivot="0" count="6" xr9:uid="{B247698E-E41D-4CCD-AA0A-C14817E9DE65}">
      <tableStyleElement type="wholeTable" dxfId="50"/>
      <tableStyleElement type="headerRow" dxfId="49"/>
      <tableStyleElement type="totalRow" dxfId="48"/>
      <tableStyleElement type="firstColumn" dxfId="47"/>
      <tableStyleElement type="firstRowStripe" dxfId="46"/>
      <tableStyleElement type="secondRowStripe" dxfId="45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3" totalsRowShown="0">
  <autoFilter ref="D27:E33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1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1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1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1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1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1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1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3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3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3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3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3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3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3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29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28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7" sqref="A7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8" t="s">
        <v>343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6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5" t="s">
        <v>295</v>
      </c>
      <c r="E6" s="135" t="s">
        <v>293</v>
      </c>
      <c r="F6" s="135" t="s">
        <v>326</v>
      </c>
      <c r="G6" s="135" t="s">
        <v>294</v>
      </c>
      <c r="H6" s="135" t="s">
        <v>327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285</v>
      </c>
      <c r="E7" s="128">
        <f>'4.1.1.1-2 Methane'!E164</f>
        <v>2.7938769470975995</v>
      </c>
      <c r="F7" s="57" t="str">
        <f>'4.1.1.1-2 Methane'!F164</f>
        <v>t CH4</v>
      </c>
      <c r="G7" s="128">
        <f>'4.1.1.1-2 Methane'!E169</f>
        <v>78.228554518732778</v>
      </c>
      <c r="H7" s="57" t="str">
        <f>'4.1.1.1-2 Methane'!F169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286</v>
      </c>
      <c r="E8" s="128">
        <f>'4.1.1.1-2 Methane'!N164</f>
        <v>2.7938769470975995</v>
      </c>
      <c r="F8" s="57" t="str">
        <f>'4.1.1.1-2 Methane'!O164</f>
        <v>t CH4</v>
      </c>
      <c r="G8" s="128">
        <f>'4.1.1.1-2 Methane'!N169</f>
        <v>78.228554518732778</v>
      </c>
      <c r="H8" s="57" t="str">
        <f>'4.1.1.1-2 Methane'!O169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287</v>
      </c>
      <c r="E9" s="128">
        <f>'4.1.1.3-4 Direct N20'!E207</f>
        <v>1.0745527700847912</v>
      </c>
      <c r="F9" s="57" t="str">
        <f>'4.1.1.3-4 Direct N20'!F207</f>
        <v>t N2O</v>
      </c>
      <c r="G9" s="128">
        <f>'4.1.1.3-4 Direct N20'!E212</f>
        <v>284.75648407246968</v>
      </c>
      <c r="H9" s="57" t="str">
        <f>'4.1.1.3-4 Direct N20'!F212</f>
        <v>t CO2e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288</v>
      </c>
      <c r="E10" s="128">
        <f>'4.1.1.3-4 Direct N20'!M207</f>
        <v>1.0745527700847912</v>
      </c>
      <c r="F10" s="57" t="str">
        <f>'4.1.1.3-4 Direct N20'!N207</f>
        <v>t N2O</v>
      </c>
      <c r="G10" s="128">
        <f>'4.1.1.3-4 Direct N20'!M212</f>
        <v>284.75648407246968</v>
      </c>
      <c r="H10" s="57" t="str">
        <f>'4.1.1.3-4 Direct N20'!N212</f>
        <v>t CO2e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289</v>
      </c>
      <c r="E11" s="128">
        <f>'4.1.1.5-6 Atmos Deposition'!$E$60</f>
        <v>0.16441385070403455</v>
      </c>
      <c r="F11" s="57" t="str">
        <f>'4.1.1.5-6 Atmos Deposition'!$F$60</f>
        <v>t N2O</v>
      </c>
      <c r="G11" s="128">
        <f>'4.1.1.5-6 Atmos Deposition'!$E$65</f>
        <v>43.569670436569155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290</v>
      </c>
      <c r="E12" s="128">
        <f>'4.1.1.5-6 Atmos Deposition'!$M$60</f>
        <v>0.16441385070403455</v>
      </c>
      <c r="F12" s="57" t="str">
        <f>'4.1.1.5-6 Atmos Deposition'!$N$60</f>
        <v>t N2O</v>
      </c>
      <c r="G12" s="128">
        <f>'4.1.1.5-6 Atmos Deposition'!$M$65</f>
        <v>43.569670436569155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291</v>
      </c>
      <c r="E13" s="128" t="s">
        <v>342</v>
      </c>
      <c r="F13" s="57" t="s">
        <v>342</v>
      </c>
      <c r="G13" s="128">
        <v>0</v>
      </c>
      <c r="H13" s="57" t="s">
        <v>342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292</v>
      </c>
      <c r="E14" s="128" t="s">
        <v>342</v>
      </c>
      <c r="F14" s="57" t="s">
        <v>342</v>
      </c>
      <c r="G14" s="128">
        <v>0</v>
      </c>
      <c r="H14" s="57" t="s">
        <v>342</v>
      </c>
      <c r="I14" s="1"/>
      <c r="J14" s="24"/>
      <c r="K14" s="24"/>
    </row>
    <row r="15" spans="1:11" ht="20.100000000000001" customHeight="1" x14ac:dyDescent="0.3">
      <c r="C15" s="24"/>
      <c r="D15" s="31" t="s">
        <v>324</v>
      </c>
      <c r="E15" s="25"/>
      <c r="F15" s="31"/>
      <c r="G15" s="132">
        <f>SUM(G7:G14)</f>
        <v>813.10941805554319</v>
      </c>
      <c r="H15" s="114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5" t="s">
        <v>334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3" t="s">
        <v>341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5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5" t="s">
        <v>335</v>
      </c>
      <c r="E20" s="135" t="s">
        <v>332</v>
      </c>
      <c r="F20" s="135" t="s">
        <v>333</v>
      </c>
      <c r="G20" s="135" t="s">
        <v>325</v>
      </c>
      <c r="H20" s="135" t="s">
        <v>340</v>
      </c>
      <c r="I20" s="1"/>
      <c r="J20" s="24"/>
      <c r="K20" s="24"/>
    </row>
    <row r="21" spans="1:11" ht="20.100000000000001" customHeight="1" x14ac:dyDescent="0.25">
      <c r="C21" s="24"/>
      <c r="D21" s="1" t="s">
        <v>337</v>
      </c>
      <c r="E21" s="134">
        <f>'4.1.1.9 Manure applied to soils'!$E$56</f>
        <v>9574.3563485022751</v>
      </c>
      <c r="F21" s="57" t="str">
        <f>'4.1.1.9 Manure applied to soils'!$F$56</f>
        <v>kg N</v>
      </c>
      <c r="G21" s="1" t="s">
        <v>328</v>
      </c>
      <c r="H21" s="1" t="s">
        <v>339</v>
      </c>
      <c r="I21" s="1"/>
      <c r="J21" s="24"/>
      <c r="K21" s="24"/>
    </row>
    <row r="22" spans="1:11" ht="20.100000000000001" customHeight="1" x14ac:dyDescent="0.25">
      <c r="C22" s="24"/>
      <c r="D22" s="1" t="s">
        <v>336</v>
      </c>
      <c r="E22" s="134">
        <f>'4.1.1.9 Manure applied to soils'!$E$104</f>
        <v>4787.1781742511375</v>
      </c>
      <c r="F22" s="57" t="str">
        <f>'4.1.1.9 Manure applied to soils'!$F$104</f>
        <v>kg N</v>
      </c>
      <c r="G22" s="1" t="s">
        <v>331</v>
      </c>
      <c r="H22" s="1" t="s">
        <v>339</v>
      </c>
      <c r="I22" s="1"/>
      <c r="J22" s="24"/>
      <c r="K22" s="24"/>
    </row>
    <row r="23" spans="1:11" ht="20.100000000000001" customHeight="1" x14ac:dyDescent="0.25">
      <c r="C23" s="24"/>
      <c r="D23" s="1" t="s">
        <v>329</v>
      </c>
      <c r="E23" s="134">
        <f>'4.1.1.9 Manure applied to soils'!$E$123</f>
        <v>4787.1781742511375</v>
      </c>
      <c r="F23" s="57" t="str">
        <f>'4.1.1.9 Manure applied to soils'!$F$123</f>
        <v>kg N</v>
      </c>
      <c r="G23" s="1" t="s">
        <v>330</v>
      </c>
      <c r="H23" s="1" t="s">
        <v>338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7"/>
      <c r="J38" s="127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7"/>
      <c r="J39" s="127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7"/>
      <c r="J40" s="127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7"/>
      <c r="J41" s="127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7"/>
      <c r="J42" s="127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7"/>
      <c r="J43" s="127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7"/>
      <c r="J44" s="127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7"/>
      <c r="J45" s="127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7"/>
      <c r="J46" s="127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7"/>
      <c r="J47" s="127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7"/>
      <c r="J48" s="127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7"/>
      <c r="I49" s="127"/>
      <c r="J49" s="127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7"/>
      <c r="I50" s="127"/>
      <c r="J50" s="127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7"/>
      <c r="I51" s="127"/>
      <c r="J51" s="127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7"/>
      <c r="I52" s="127"/>
      <c r="J52" s="127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7"/>
      <c r="I53" s="127"/>
      <c r="J53" s="127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121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workbookViewId="0">
      <selection activeCell="A18" sqref="A1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111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125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149</v>
      </c>
      <c r="F7" s="41" t="s">
        <v>150</v>
      </c>
      <c r="G7" s="41" t="s">
        <v>151</v>
      </c>
    </row>
    <row r="8" spans="1:18" ht="20.100000000000001" customHeight="1" x14ac:dyDescent="0.25">
      <c r="A8" s="21" t="str">
        <f>HYPERLINK("#'Input - Dairy'!A1", "Dairy")</f>
        <v>Dairy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127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153</v>
      </c>
      <c r="E13" s="41" t="s">
        <v>149</v>
      </c>
      <c r="F13" s="41" t="s">
        <v>150</v>
      </c>
      <c r="G13" s="41" t="s">
        <v>151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157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112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142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37" t="str">
        <f>HYPERLINK("#'Constants - Dairy'!A1", "Constants - Dairy")</f>
        <v>Constants - Dairy</v>
      </c>
      <c r="D17" s="1" t="s">
        <v>161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162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154</v>
      </c>
      <c r="E19" s="41" t="s">
        <v>149</v>
      </c>
      <c r="F19" s="41" t="s">
        <v>150</v>
      </c>
      <c r="G19" s="41" t="s">
        <v>151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157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112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142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161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162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116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128</v>
      </c>
    </row>
    <row r="28" spans="1:8" ht="20.100000000000001" customHeight="1" x14ac:dyDescent="0.25">
      <c r="A28" s="17"/>
      <c r="D28" s="66" t="s">
        <v>110</v>
      </c>
      <c r="E28" s="101" t="s">
        <v>149</v>
      </c>
      <c r="F28" s="101" t="s">
        <v>150</v>
      </c>
      <c r="G28" s="101" t="s">
        <v>151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129</v>
      </c>
    </row>
    <row r="33" spans="1:8" ht="20.100000000000001" customHeight="1" x14ac:dyDescent="0.25">
      <c r="A33" s="17"/>
      <c r="D33" s="101" t="s">
        <v>105</v>
      </c>
      <c r="E33" s="101" t="s">
        <v>149</v>
      </c>
      <c r="F33" s="101" t="s">
        <v>150</v>
      </c>
      <c r="G33" s="101" t="s">
        <v>151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Dairy'!D29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Dairy'!D30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130</v>
      </c>
    </row>
    <row r="40" spans="1:8" ht="20.100000000000001" customHeight="1" x14ac:dyDescent="0.25">
      <c r="D40" s="66" t="s">
        <v>123</v>
      </c>
      <c r="E40" s="101" t="s">
        <v>149</v>
      </c>
      <c r="F40" s="101" t="s">
        <v>150</v>
      </c>
      <c r="G40" s="101" t="s">
        <v>151</v>
      </c>
    </row>
    <row r="41" spans="1:8" ht="20.100000000000001" customHeight="1" x14ac:dyDescent="0.25">
      <c r="A41" s="47"/>
      <c r="D41" s="1" t="str">
        <f>'Constants - Dairy'!$D$32</f>
        <v>Anaerobic lagoon</v>
      </c>
      <c r="E41" s="102">
        <f>'Constants - Dairy'!$E$12</f>
        <v>0.02</v>
      </c>
      <c r="F41" s="102">
        <f>'Constants - Dairy'!$E$12</f>
        <v>0.02</v>
      </c>
      <c r="G41" s="102">
        <f>'Constants - Dairy'!$E$12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123</v>
      </c>
      <c r="E45" s="101" t="s">
        <v>149</v>
      </c>
      <c r="F45" s="101" t="s">
        <v>150</v>
      </c>
      <c r="G45" s="101" t="s">
        <v>151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140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tr">
        <f>"Applied to farm soils as fertiliser" &amp; IF(SUM($E$48:$G$48)&gt;0, "⚠️", "")</f>
        <v>Applied to farm soils as fertiliser⚠️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258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140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tr">
        <f>"Applied to farm soils as fertiliser" &amp; IF(SUM($E$53:$G$53)&gt;0, "⚠️", "")</f>
        <v>Applied to farm soils as fertiliser⚠️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258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140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tr">
        <f>"Applied to farm soils as fertiliser" &amp; IF(SUM($E$53:$G$53)&gt;0, "⚠️", "")</f>
        <v>Applied to farm soils as fertiliser⚠️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258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 t="str">
        <f>IF((SUM(E48:G48)+SUM($E$53:$G$53)+SUM($E$58:$G$58))&gt;0,"⚠️ Alert: manure applied to farm soils as fertiliser needs to be accounted for against the relevant crop or herd","")</f>
        <v>⚠️ Alert: manure applied to farm soils as fertiliser needs to be accounted for against the relevant crop or herd</v>
      </c>
    </row>
    <row r="61" spans="4:8" ht="20.100000000000001" customHeight="1" x14ac:dyDescent="0.25"/>
    <row r="62" spans="4:8" ht="20.100000000000001" customHeight="1" x14ac:dyDescent="0.25"/>
    <row r="63" spans="4:8" ht="20.100000000000001" customHeight="1" x14ac:dyDescent="0.25">
      <c r="D63" s="1" t="s">
        <v>305</v>
      </c>
      <c r="E63" s="42" t="s">
        <v>311</v>
      </c>
      <c r="F63" s="2" t="s">
        <v>11</v>
      </c>
    </row>
    <row r="64" spans="4:8" ht="20.100000000000001" customHeight="1" x14ac:dyDescent="0.25">
      <c r="E64" s="42" t="s">
        <v>315</v>
      </c>
      <c r="F64" s="2" t="s">
        <v>11</v>
      </c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3" xr:uid="{AF94BFC8-A9BD-4286-932B-111409BF1EB6}">
      <formula1>INDIRECT("Table_SourceData_Feedlot_CropProdSystems[Production system]")</formula1>
    </dataValidation>
    <dataValidation type="list" allowBlank="1" showInputMessage="1" showErrorMessage="1" sqref="E64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Dairy'!$D$32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X169"/>
  <sheetViews>
    <sheetView showGridLines="0" workbookViewId="0">
      <selection activeCell="A12" sqref="A1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23" width="30.7109375" style="1" customWidth="1"/>
    <col min="24" max="24" width="4.7109375" style="1" customWidth="1"/>
  </cols>
  <sheetData>
    <row r="1" spans="1:24" s="8" customFormat="1" ht="30" customHeight="1" x14ac:dyDescent="0.35">
      <c r="A1" s="71" t="e" vm="1">
        <v>#VALUE!</v>
      </c>
      <c r="C1" s="8" t="s">
        <v>296</v>
      </c>
    </row>
    <row r="2" spans="1:24" s="9" customFormat="1" ht="20.100000000000001" customHeight="1" x14ac:dyDescent="0.25"/>
    <row r="3" spans="1:24" ht="20.100000000000001" customHeight="1" x14ac:dyDescent="0.25">
      <c r="A3" s="17" t="str">
        <f>HYPERLINK("#'Home'!A1", "Home")</f>
        <v>Home</v>
      </c>
      <c r="C3" s="4"/>
      <c r="D3" s="4" t="s">
        <v>173</v>
      </c>
      <c r="E3" s="4"/>
      <c r="F3" s="4"/>
      <c r="G3" s="4"/>
      <c r="H3" s="4"/>
      <c r="I3" s="4"/>
      <c r="J3" s="4"/>
      <c r="L3" s="4"/>
      <c r="M3" s="4" t="s">
        <v>174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20.100000000000001" customHeight="1" x14ac:dyDescent="0.25">
      <c r="A4" s="17" t="str">
        <f>HYPERLINK("#'Results'!A1", "Results")</f>
        <v>Results</v>
      </c>
    </row>
    <row r="5" spans="1:24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24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24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24" ht="20.100000000000001" customHeight="1" x14ac:dyDescent="0.25">
      <c r="A8" s="17" t="str">
        <f>HYPERLINK("#'Input - Feedlot'!A1", "Feedlot")</f>
        <v>Feedlot</v>
      </c>
    </row>
    <row r="9" spans="1:24" ht="20.100000000000001" customHeight="1" x14ac:dyDescent="0.25">
      <c r="A9" s="17"/>
    </row>
    <row r="10" spans="1:24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24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24" ht="20.100000000000001" customHeight="1" x14ac:dyDescent="0.25">
      <c r="A12" s="17" t="str">
        <f>HYPERLINK("#'4.1.1.3-4 Direct N20'!A1", "4.1.1.3-4 Direct N2O")</f>
        <v>4.1.1.3-4 Direct N2O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24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Dairy'!$E$17</f>
        <v>0.16</v>
      </c>
    </row>
    <row r="16" spans="1:24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163</v>
      </c>
      <c r="M17" s="105" t="s">
        <v>166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211</v>
      </c>
      <c r="M18" s="104" t="s">
        <v>212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149</v>
      </c>
      <c r="E19" s="54" t="s">
        <v>150</v>
      </c>
      <c r="F19" s="54" t="s">
        <v>151</v>
      </c>
      <c r="M19" s="54" t="s">
        <v>149</v>
      </c>
      <c r="N19" s="54" t="s">
        <v>150</v>
      </c>
      <c r="O19" s="54" t="s">
        <v>151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Dairy'!$E$14</f>
        <v>10.4</v>
      </c>
      <c r="E20" s="55">
        <f>'Input - Dairy'!$F$14</f>
        <v>10.8</v>
      </c>
      <c r="F20" s="55">
        <f>'Input - Dairy'!$G$14</f>
        <v>8.1999999999999993</v>
      </c>
      <c r="G20" s="2" t="s">
        <v>107</v>
      </c>
      <c r="M20" s="55">
        <f>'Input - Dairy'!$E$20</f>
        <v>10.4</v>
      </c>
      <c r="N20" s="55">
        <f>'Input - Dairy'!$F$20</f>
        <v>10.8</v>
      </c>
      <c r="O20" s="55">
        <f>'Input - Dairy'!$G$20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215</v>
      </c>
      <c r="M22" s="105" t="s">
        <v>219</v>
      </c>
    </row>
    <row r="23" spans="1:16" ht="20.100000000000001" customHeight="1" x14ac:dyDescent="0.25">
      <c r="D23" s="104" t="s">
        <v>218</v>
      </c>
      <c r="M23" s="104" t="s">
        <v>218</v>
      </c>
    </row>
    <row r="24" spans="1:16" ht="20.100000000000001" customHeight="1" x14ac:dyDescent="0.25">
      <c r="D24" s="54" t="s">
        <v>149</v>
      </c>
      <c r="E24" s="54" t="s">
        <v>150</v>
      </c>
      <c r="F24" s="54" t="s">
        <v>151</v>
      </c>
      <c r="M24" s="54" t="s">
        <v>149</v>
      </c>
      <c r="N24" s="54" t="s">
        <v>150</v>
      </c>
      <c r="O24" s="54" t="s">
        <v>151</v>
      </c>
    </row>
    <row r="25" spans="1:16" ht="20.100000000000001" customHeight="1" x14ac:dyDescent="0.25">
      <c r="D25" s="55">
        <f>'Input - Dairy'!$E$15</f>
        <v>0.81</v>
      </c>
      <c r="E25" s="55">
        <f>'Input - Dairy'!$F$15</f>
        <v>0.81</v>
      </c>
      <c r="F25" s="55">
        <f>'Input - Dairy'!$G$15</f>
        <v>0.81</v>
      </c>
      <c r="G25" s="2" t="s">
        <v>101</v>
      </c>
      <c r="M25" s="55">
        <f>'Input - Dairy'!$E$21</f>
        <v>0.81</v>
      </c>
      <c r="N25" s="55">
        <f>'Input - Dairy'!$F$21</f>
        <v>0.81</v>
      </c>
      <c r="O25" s="55">
        <f>'Input - Dairy'!$G$21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216</v>
      </c>
      <c r="M27" s="105" t="s">
        <v>220</v>
      </c>
    </row>
    <row r="28" spans="1:16" ht="20.100000000000001" customHeight="1" x14ac:dyDescent="0.25">
      <c r="D28" s="104" t="s">
        <v>217</v>
      </c>
      <c r="M28" s="104" t="s">
        <v>221</v>
      </c>
    </row>
    <row r="29" spans="1:16" ht="20.100000000000001" customHeight="1" x14ac:dyDescent="0.25">
      <c r="D29" s="54" t="s">
        <v>149</v>
      </c>
      <c r="E29" s="54" t="s">
        <v>150</v>
      </c>
      <c r="F29" s="54" t="s">
        <v>151</v>
      </c>
      <c r="M29" s="54" t="s">
        <v>149</v>
      </c>
      <c r="N29" s="54" t="s">
        <v>150</v>
      </c>
      <c r="O29" s="54" t="s">
        <v>151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9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  <c r="S33" s="48"/>
    </row>
    <row r="34" spans="3:19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9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9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9" ht="20.100000000000001" customHeight="1" x14ac:dyDescent="0.25"/>
    <row r="38" spans="3:19" ht="20.100000000000001" customHeight="1" x14ac:dyDescent="0.25"/>
    <row r="39" spans="3:19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9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9" ht="20.100000000000001" customHeight="1" x14ac:dyDescent="0.25"/>
    <row r="42" spans="3:19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9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Dairy'!$E$22</f>
        <v>0.19</v>
      </c>
    </row>
    <row r="44" spans="3:19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9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9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Common'!$D$164</f>
        <v>0.6784</v>
      </c>
    </row>
    <row r="47" spans="3:19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9" ht="20.100000000000001" customHeight="1" x14ac:dyDescent="0.25"/>
    <row r="49" spans="3:20" ht="20.100000000000001" customHeight="1" x14ac:dyDescent="0.25">
      <c r="D49" s="105" t="s">
        <v>115</v>
      </c>
    </row>
    <row r="50" spans="3:20" ht="20.100000000000001" customHeight="1" x14ac:dyDescent="0.25">
      <c r="D50" s="104" t="s">
        <v>113</v>
      </c>
    </row>
    <row r="51" spans="3:20" ht="20.100000000000001" customHeight="1" x14ac:dyDescent="0.25">
      <c r="D51" s="54" t="s">
        <v>110</v>
      </c>
      <c r="E51" s="54" t="s">
        <v>149</v>
      </c>
      <c r="F51" s="54" t="s">
        <v>150</v>
      </c>
      <c r="G51" s="54" t="s">
        <v>151</v>
      </c>
    </row>
    <row r="52" spans="3:20" ht="20.100000000000001" customHeight="1" x14ac:dyDescent="0.25">
      <c r="D52" s="55" t="str">
        <f>'Input - Dairy'!$D$29</f>
        <v>Drylot (feed pad)</v>
      </c>
      <c r="E52" s="55">
        <f>'Input - Dairy'!$E$29</f>
        <v>1</v>
      </c>
      <c r="F52" s="55">
        <f>'Input - Dairy'!$F$29</f>
        <v>1</v>
      </c>
      <c r="G52" s="55">
        <f>'Input - Dairy'!$G$29</f>
        <v>1</v>
      </c>
      <c r="H52" s="2" t="s">
        <v>101</v>
      </c>
    </row>
    <row r="53" spans="3:20" ht="20.100000000000001" customHeight="1" x14ac:dyDescent="0.25"/>
    <row r="54" spans="3:20" ht="20.100000000000001" customHeight="1" x14ac:dyDescent="0.25">
      <c r="D54" s="105" t="s">
        <v>222</v>
      </c>
      <c r="M54" s="105" t="s">
        <v>224</v>
      </c>
    </row>
    <row r="55" spans="3:20" ht="20.100000000000001" customHeight="1" x14ac:dyDescent="0.25">
      <c r="D55" s="104" t="s">
        <v>223</v>
      </c>
      <c r="M55" s="104" t="s">
        <v>225</v>
      </c>
    </row>
    <row r="56" spans="3:20" ht="20.100000000000001" customHeight="1" x14ac:dyDescent="0.25">
      <c r="D56" s="54" t="s">
        <v>110</v>
      </c>
      <c r="E56" s="54" t="s">
        <v>149</v>
      </c>
      <c r="F56" s="54" t="s">
        <v>150</v>
      </c>
      <c r="G56" s="54" t="s">
        <v>151</v>
      </c>
      <c r="M56" s="54" t="s">
        <v>110</v>
      </c>
      <c r="N56" s="54" t="s">
        <v>149</v>
      </c>
      <c r="O56" s="54" t="s">
        <v>150</v>
      </c>
      <c r="P56" s="54" t="s">
        <v>151</v>
      </c>
    </row>
    <row r="57" spans="3:20" ht="20.100000000000001" customHeight="1" x14ac:dyDescent="0.25">
      <c r="D57" s="55" t="str">
        <f>'Input - Dairy'!$D$29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Dairy'!$D$29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20" ht="20.100000000000001" customHeight="1" x14ac:dyDescent="0.25">
      <c r="D58" s="106" t="str">
        <f>IF(ISNUMBER($G$45),"", "⚠️ ALERT: No MCFim5 data provided. Zero is used instead.")</f>
        <v/>
      </c>
    </row>
    <row r="59" spans="3:20" ht="20.100000000000001" customHeight="1" x14ac:dyDescent="0.25"/>
    <row r="60" spans="3:20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  <c r="S60" s="48"/>
      <c r="T60" s="48"/>
    </row>
    <row r="61" spans="3:20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20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20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20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Dairy'!$E$7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Dairy'!$E$22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182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Common'!$D$164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117</v>
      </c>
    </row>
    <row r="78" spans="4:9" ht="20.100000000000001" customHeight="1" x14ac:dyDescent="0.25">
      <c r="D78" s="104" t="s">
        <v>118</v>
      </c>
    </row>
    <row r="79" spans="4:9" ht="20.100000000000001" customHeight="1" x14ac:dyDescent="0.25">
      <c r="D79" s="54" t="s">
        <v>110</v>
      </c>
      <c r="E79" s="54" t="s">
        <v>105</v>
      </c>
      <c r="F79" s="54" t="s">
        <v>149</v>
      </c>
      <c r="G79" s="54" t="s">
        <v>150</v>
      </c>
      <c r="H79" s="54" t="s">
        <v>151</v>
      </c>
    </row>
    <row r="80" spans="4:9" ht="20.100000000000001" customHeight="1" x14ac:dyDescent="0.25">
      <c r="D80" s="55" t="str">
        <f>'Input - Dairy'!$D$29</f>
        <v>Drylot (feed pad)</v>
      </c>
      <c r="E80" s="55" t="str">
        <f>'Input - Dairy'!$D$35</f>
        <v>Solid storage</v>
      </c>
      <c r="F80" s="55">
        <f>'Input - Dairy'!$E$35</f>
        <v>0.2</v>
      </c>
      <c r="G80" s="55">
        <f>'Input - Dairy'!$F$35</f>
        <v>0.2</v>
      </c>
      <c r="H80" s="55">
        <f>'Input - Dairy'!$G$35</f>
        <v>0.2</v>
      </c>
      <c r="I80" s="2" t="s">
        <v>101</v>
      </c>
    </row>
    <row r="81" spans="3:19" ht="20.100000000000001" customHeight="1" x14ac:dyDescent="0.25">
      <c r="D81" s="55" t="str">
        <f>'Input - Dairy'!$D$29</f>
        <v>Drylot (feed pad)</v>
      </c>
      <c r="E81" s="55" t="str">
        <f>'Input - Dairy'!$D$36</f>
        <v>Composting (passive windrow)</v>
      </c>
      <c r="F81" s="55">
        <f>'Input - Dairy'!$E$36</f>
        <v>0.8</v>
      </c>
      <c r="G81" s="55">
        <f>'Input - Dairy'!$F$36</f>
        <v>0.8</v>
      </c>
      <c r="H81" s="55">
        <f>'Input - Dairy'!$G$36</f>
        <v>0.8</v>
      </c>
      <c r="I81" s="2" t="s">
        <v>101</v>
      </c>
    </row>
    <row r="82" spans="3:19" ht="20.100000000000001" customHeight="1" x14ac:dyDescent="0.25"/>
    <row r="83" spans="3:19" ht="20.100000000000001" customHeight="1" x14ac:dyDescent="0.25">
      <c r="D83" s="105" t="s">
        <v>102</v>
      </c>
    </row>
    <row r="84" spans="3:19" ht="20.100000000000001" customHeight="1" x14ac:dyDescent="0.25">
      <c r="D84" s="104" t="s">
        <v>120</v>
      </c>
    </row>
    <row r="85" spans="3:19" ht="20.100000000000001" customHeight="1" x14ac:dyDescent="0.25">
      <c r="D85" s="54" t="s">
        <v>110</v>
      </c>
      <c r="E85" s="54" t="s">
        <v>105</v>
      </c>
      <c r="F85" s="54" t="s">
        <v>99</v>
      </c>
    </row>
    <row r="86" spans="3:19" ht="20.100000000000001" customHeight="1" x14ac:dyDescent="0.25">
      <c r="D86" s="55" t="str">
        <f>'Input - Dairy'!$D$29</f>
        <v>Drylot (feed pad)</v>
      </c>
      <c r="E86" s="55" t="str">
        <f>'Input - Dairy'!$D$35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9" ht="20.100000000000001" customHeight="1" x14ac:dyDescent="0.25">
      <c r="D87" s="55" t="str">
        <f>'Input - Dairy'!$D$29</f>
        <v>Drylot (feed pad)</v>
      </c>
      <c r="E87" s="55" t="str">
        <f>'Input - Dairy'!$D$36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9" ht="20.100000000000001" customHeight="1" x14ac:dyDescent="0.25"/>
    <row r="89" spans="3:19" ht="20.100000000000001" customHeight="1" x14ac:dyDescent="0.25">
      <c r="D89" s="105" t="s">
        <v>226</v>
      </c>
      <c r="M89" s="105" t="s">
        <v>228</v>
      </c>
    </row>
    <row r="90" spans="3:19" ht="20.100000000000001" customHeight="1" x14ac:dyDescent="0.25">
      <c r="D90" s="104" t="s">
        <v>227</v>
      </c>
      <c r="M90" s="104" t="s">
        <v>229</v>
      </c>
    </row>
    <row r="91" spans="3:19" ht="20.100000000000001" customHeight="1" x14ac:dyDescent="0.25">
      <c r="D91" s="54" t="s">
        <v>105</v>
      </c>
      <c r="E91" s="54" t="s">
        <v>149</v>
      </c>
      <c r="F91" s="54" t="s">
        <v>150</v>
      </c>
      <c r="G91" s="54" t="s">
        <v>151</v>
      </c>
      <c r="M91" s="54" t="s">
        <v>105</v>
      </c>
      <c r="N91" s="54" t="s">
        <v>149</v>
      </c>
      <c r="O91" s="54" t="s">
        <v>150</v>
      </c>
      <c r="P91" s="54" t="s">
        <v>151</v>
      </c>
    </row>
    <row r="92" spans="3:19" ht="20.100000000000001" customHeight="1" x14ac:dyDescent="0.25">
      <c r="D92" s="55" t="str">
        <f>'Input - Dairy'!$D$35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Dairy'!$D$35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9" ht="20.100000000000001" customHeight="1" x14ac:dyDescent="0.25">
      <c r="D93" s="55" t="str">
        <f>'Input - Dairy'!$D$36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Dairy'!$D$36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9" ht="20.100000000000001" customHeight="1" x14ac:dyDescent="0.25"/>
    <row r="95" spans="3:19" ht="20.100000000000001" customHeight="1" x14ac:dyDescent="0.25"/>
    <row r="96" spans="3:19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  <c r="S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Dairy'!$E$22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Common'!$D$164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122</v>
      </c>
    </row>
    <row r="113" spans="3:20" ht="20.100000000000001" customHeight="1" x14ac:dyDescent="0.25">
      <c r="D113" s="104" t="s">
        <v>124</v>
      </c>
    </row>
    <row r="114" spans="3:20" ht="20.100000000000001" customHeight="1" x14ac:dyDescent="0.25">
      <c r="D114" s="54" t="s">
        <v>123</v>
      </c>
      <c r="E114" s="54" t="s">
        <v>149</v>
      </c>
      <c r="F114" s="54" t="s">
        <v>150</v>
      </c>
      <c r="G114" s="54" t="s">
        <v>151</v>
      </c>
    </row>
    <row r="115" spans="3:20" ht="20.100000000000001" customHeight="1" x14ac:dyDescent="0.25">
      <c r="D115" s="55" t="str">
        <f>'Input - Dairy'!$D$41</f>
        <v>Anaerobic lagoon</v>
      </c>
      <c r="E115" s="55">
        <f>'Input - Dairy'!E41</f>
        <v>0.02</v>
      </c>
      <c r="F115" s="55">
        <f>'Input - Dairy'!F41</f>
        <v>0.02</v>
      </c>
      <c r="G115" s="55">
        <f>'Input - Dairy'!G41</f>
        <v>0.02</v>
      </c>
      <c r="H115" s="2" t="s">
        <v>101</v>
      </c>
    </row>
    <row r="116" spans="3:20" ht="20.100000000000001" customHeight="1" x14ac:dyDescent="0.25"/>
    <row r="117" spans="3:20" ht="20.100000000000001" customHeight="1" x14ac:dyDescent="0.25">
      <c r="D117" s="105" t="s">
        <v>230</v>
      </c>
      <c r="M117" s="105" t="s">
        <v>232</v>
      </c>
    </row>
    <row r="118" spans="3:20" ht="20.100000000000001" customHeight="1" x14ac:dyDescent="0.25">
      <c r="D118" s="104" t="s">
        <v>231</v>
      </c>
      <c r="M118" s="104" t="s">
        <v>233</v>
      </c>
    </row>
    <row r="119" spans="3:20" ht="20.100000000000001" customHeight="1" x14ac:dyDescent="0.25">
      <c r="D119" s="54" t="s">
        <v>123</v>
      </c>
      <c r="E119" s="54" t="s">
        <v>149</v>
      </c>
      <c r="F119" s="54" t="s">
        <v>150</v>
      </c>
      <c r="G119" s="54" t="s">
        <v>151</v>
      </c>
      <c r="M119" s="54" t="s">
        <v>123</v>
      </c>
      <c r="N119" s="54" t="s">
        <v>149</v>
      </c>
      <c r="O119" s="54" t="s">
        <v>150</v>
      </c>
      <c r="P119" s="54" t="s">
        <v>151</v>
      </c>
    </row>
    <row r="120" spans="3:20" ht="20.100000000000001" customHeight="1" x14ac:dyDescent="0.25">
      <c r="D120" s="55" t="str">
        <f>'Input - Dairy'!$D$41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Dairy'!$D$41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20" ht="20.100000000000001" customHeight="1" x14ac:dyDescent="0.25"/>
    <row r="122" spans="3:20" ht="20.100000000000001" customHeight="1" x14ac:dyDescent="0.25"/>
    <row r="123" spans="3:20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  <c r="S123" s="48"/>
      <c r="T123" s="48"/>
    </row>
    <row r="124" spans="3:20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20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20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20" ht="20.100000000000001" customHeight="1" x14ac:dyDescent="0.25"/>
    <row r="128" spans="3:20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131</v>
      </c>
    </row>
    <row r="138" spans="4:17" ht="20.100000000000001" customHeight="1" x14ac:dyDescent="0.25">
      <c r="D138" s="104" t="s">
        <v>126</v>
      </c>
    </row>
    <row r="139" spans="4:17" ht="20.100000000000001" customHeight="1" x14ac:dyDescent="0.25">
      <c r="D139" s="54" t="s">
        <v>149</v>
      </c>
      <c r="E139" s="54" t="s">
        <v>150</v>
      </c>
      <c r="F139" s="54" t="s">
        <v>151</v>
      </c>
    </row>
    <row r="140" spans="4:17" ht="20.100000000000001" customHeight="1" x14ac:dyDescent="0.25">
      <c r="D140" s="109">
        <f>'Input - Dairy'!$E$9</f>
        <v>90</v>
      </c>
      <c r="E140" s="109">
        <f>'Input - Dairy'!$F$9</f>
        <v>140</v>
      </c>
      <c r="F140" s="109">
        <f>'Input - Dairy'!$G$9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234</v>
      </c>
      <c r="M142" s="105" t="s">
        <v>236</v>
      </c>
    </row>
    <row r="143" spans="4:17" ht="20.100000000000001" customHeight="1" x14ac:dyDescent="0.25">
      <c r="D143" s="104" t="s">
        <v>235</v>
      </c>
      <c r="M143" s="104" t="s">
        <v>237</v>
      </c>
    </row>
    <row r="144" spans="4:17" ht="20.100000000000001" customHeight="1" x14ac:dyDescent="0.25">
      <c r="D144" s="54" t="s">
        <v>135</v>
      </c>
      <c r="E144" s="54" t="s">
        <v>68</v>
      </c>
      <c r="F144" s="54" t="s">
        <v>149</v>
      </c>
      <c r="G144" s="54" t="s">
        <v>150</v>
      </c>
      <c r="H144" s="54" t="s">
        <v>151</v>
      </c>
      <c r="M144" s="54" t="s">
        <v>135</v>
      </c>
      <c r="N144" s="54" t="s">
        <v>68</v>
      </c>
      <c r="O144" s="54" t="s">
        <v>149</v>
      </c>
      <c r="P144" s="54" t="s">
        <v>150</v>
      </c>
      <c r="Q144" s="54" t="s">
        <v>151</v>
      </c>
    </row>
    <row r="145" spans="4:18" ht="20.100000000000001" customHeight="1" x14ac:dyDescent="0.25">
      <c r="D145" s="55">
        <v>1</v>
      </c>
      <c r="E145" s="55" t="str">
        <f>'Input - Dairy'!$D$29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136</v>
      </c>
      <c r="M145" s="55">
        <v>1</v>
      </c>
      <c r="N145" s="55" t="str">
        <f>'Input - Dairy'!$D$29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136</v>
      </c>
    </row>
    <row r="146" spans="4:18" ht="20.100000000000001" customHeight="1" x14ac:dyDescent="0.25">
      <c r="D146" s="55">
        <v>2</v>
      </c>
      <c r="E146" s="55" t="str">
        <f>'Input - Dairy'!$D$35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136</v>
      </c>
      <c r="M146" s="55">
        <v>2</v>
      </c>
      <c r="N146" s="55" t="str">
        <f>'Input - Dairy'!$D$35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136</v>
      </c>
    </row>
    <row r="147" spans="4:18" ht="20.100000000000001" customHeight="1" x14ac:dyDescent="0.25">
      <c r="D147" s="55">
        <v>2</v>
      </c>
      <c r="E147" s="55" t="str">
        <f>'Input - Dairy'!$D$36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136</v>
      </c>
      <c r="M147" s="55">
        <v>2</v>
      </c>
      <c r="N147" s="55" t="str">
        <f>'Input - Dairy'!$D$36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136</v>
      </c>
    </row>
    <row r="148" spans="4:18" ht="20.100000000000001" customHeight="1" x14ac:dyDescent="0.25">
      <c r="D148" s="55">
        <v>3</v>
      </c>
      <c r="E148" s="55" t="str">
        <f>'Input - Dairy'!$D$41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136</v>
      </c>
      <c r="M148" s="55">
        <v>3</v>
      </c>
      <c r="N148" s="55" t="str">
        <f>'Input - Dairy'!$D$41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136</v>
      </c>
    </row>
    <row r="149" spans="4:18" ht="20.100000000000001" customHeight="1" x14ac:dyDescent="0.25"/>
    <row r="150" spans="4:18" ht="20.100000000000001" customHeight="1" x14ac:dyDescent="0.25">
      <c r="D150" s="105" t="s">
        <v>132</v>
      </c>
    </row>
    <row r="151" spans="4:18" ht="20.100000000000001" customHeight="1" x14ac:dyDescent="0.25">
      <c r="D151" s="104" t="s">
        <v>133</v>
      </c>
    </row>
    <row r="152" spans="4:18" ht="20.100000000000001" customHeight="1" x14ac:dyDescent="0.25">
      <c r="D152" s="54" t="s">
        <v>149</v>
      </c>
      <c r="E152" s="54" t="s">
        <v>150</v>
      </c>
      <c r="F152" s="54" t="s">
        <v>151</v>
      </c>
    </row>
    <row r="153" spans="4:18" ht="20.100000000000001" customHeight="1" x14ac:dyDescent="0.25">
      <c r="D153" s="109">
        <f>'Input - Dairy'!$E$8</f>
        <v>4300</v>
      </c>
      <c r="E153" s="109">
        <f>'Input - Dairy'!$F$8</f>
        <v>100</v>
      </c>
      <c r="F153" s="109">
        <f>'Input - Dairy'!$G$8</f>
        <v>100</v>
      </c>
      <c r="G153" s="2" t="s">
        <v>134</v>
      </c>
    </row>
    <row r="154" spans="4:18" ht="20.100000000000001" customHeight="1" x14ac:dyDescent="0.25"/>
    <row r="155" spans="4:18" ht="20.100000000000001" customHeight="1" x14ac:dyDescent="0.25">
      <c r="D155" s="105" t="s">
        <v>138</v>
      </c>
      <c r="M155" s="105" t="s">
        <v>138</v>
      </c>
    </row>
    <row r="156" spans="4:18" ht="20.100000000000001" customHeight="1" x14ac:dyDescent="0.25">
      <c r="D156" s="104" t="s">
        <v>139</v>
      </c>
      <c r="M156" s="104" t="s">
        <v>139</v>
      </c>
    </row>
    <row r="157" spans="4:18" ht="20.100000000000001" customHeight="1" x14ac:dyDescent="0.25">
      <c r="D157" s="54" t="s">
        <v>135</v>
      </c>
      <c r="E157" s="54" t="s">
        <v>68</v>
      </c>
      <c r="F157" s="54" t="s">
        <v>149</v>
      </c>
      <c r="G157" s="54" t="s">
        <v>150</v>
      </c>
      <c r="H157" s="54" t="s">
        <v>151</v>
      </c>
      <c r="M157" s="54" t="s">
        <v>135</v>
      </c>
      <c r="N157" s="54" t="s">
        <v>68</v>
      </c>
      <c r="O157" s="54" t="s">
        <v>149</v>
      </c>
      <c r="P157" s="54" t="s">
        <v>150</v>
      </c>
      <c r="Q157" s="54" t="s">
        <v>151</v>
      </c>
    </row>
    <row r="158" spans="4:18" ht="20.100000000000001" customHeight="1" x14ac:dyDescent="0.25">
      <c r="D158" s="55">
        <v>1</v>
      </c>
      <c r="E158" s="55" t="str">
        <f>'Input - Dairy'!$D$29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Dairy'!$D$29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Dairy'!$D$35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Dairy'!$D$35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Dairy'!$D$36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Dairy'!$D$36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Dairy'!$D$41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Dairy'!$D$41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238</v>
      </c>
      <c r="E164" s="111">
        <f>SUM(F158:H161)</f>
        <v>2.7938769470975995</v>
      </c>
      <c r="F164" s="112" t="str">
        <f>$E$131</f>
        <v>t CH4</v>
      </c>
      <c r="M164" s="110" t="s">
        <v>239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240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241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297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173</v>
      </c>
      <c r="E3" s="4"/>
      <c r="F3" s="4"/>
      <c r="G3" s="4"/>
      <c r="H3" s="4"/>
      <c r="I3" s="4"/>
      <c r="K3" s="4"/>
      <c r="L3" s="4" t="s">
        <v>174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MMS_Feedlot_N2O_Direct_Equations.VEERG_4_1_1_3__5_NitrogenIntake_Title()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MMS_Feedlot_N2O_Direct_Equations.VEERG_4_1_1_3__5_NitrogenIntake_Source()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141</v>
      </c>
      <c r="E7" s="13" t="str" cm="1">
        <f t="array" aca="1" ref="E7" ca="1">Common_InputFunctions.Utility_DisplayFunctionName(D30)</f>
        <v>=MMS_Feedlot_N2O_Direct_Equations.VEERG_4_1_1_3__5_NitrogenIntake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MMS_Feedlot_N2O_Direct_Equations.VEERG_4_1_1_3__5_NitrogenIntake_Variable()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MMS_Feedlot_N2O_Direct_Equations.VEERG_4_1_1_3__5_NitrogenIntake_Unit()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MMS_Feedlot_N2O_Direct_Equations.VEERG_4_1_1_3__5_NitrogenIntake_Arguments()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163</v>
      </c>
      <c r="L17" s="105" t="s">
        <v>166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211</v>
      </c>
      <c r="L18" s="104" t="s">
        <v>212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149</v>
      </c>
      <c r="E19" s="54" t="s">
        <v>150</v>
      </c>
      <c r="F19" s="54" t="s">
        <v>151</v>
      </c>
      <c r="L19" s="54" t="s">
        <v>149</v>
      </c>
      <c r="M19" s="54" t="s">
        <v>150</v>
      </c>
      <c r="N19" s="54" t="s">
        <v>151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Dairy'!$E$14</f>
        <v>10.4</v>
      </c>
      <c r="E20" s="55">
        <f>'Input - Dairy'!$F$14</f>
        <v>10.8</v>
      </c>
      <c r="F20" s="55">
        <f>'Input - Dairy'!$G$14</f>
        <v>8.1999999999999993</v>
      </c>
      <c r="G20" s="2" t="s">
        <v>107</v>
      </c>
      <c r="H20" s="2"/>
      <c r="L20" s="55">
        <f>'Input - Dairy'!$E$20</f>
        <v>10.4</v>
      </c>
      <c r="M20" s="55">
        <f>'Input - Dairy'!$F$20</f>
        <v>10.8</v>
      </c>
      <c r="N20" s="55">
        <f>'Input - Dairy'!$G$20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164</v>
      </c>
      <c r="L22" s="105" t="s">
        <v>167</v>
      </c>
    </row>
    <row r="23" spans="1:16" ht="20.100000000000001" customHeight="1" x14ac:dyDescent="0.25">
      <c r="D23" s="104" t="s">
        <v>210</v>
      </c>
      <c r="L23" s="104" t="s">
        <v>213</v>
      </c>
    </row>
    <row r="24" spans="1:16" ht="20.100000000000001" customHeight="1" x14ac:dyDescent="0.25">
      <c r="D24" s="54" t="s">
        <v>149</v>
      </c>
      <c r="E24" s="54" t="s">
        <v>150</v>
      </c>
      <c r="F24" s="54" t="s">
        <v>151</v>
      </c>
      <c r="L24" s="54" t="s">
        <v>149</v>
      </c>
      <c r="M24" s="54" t="s">
        <v>150</v>
      </c>
      <c r="N24" s="54" t="s">
        <v>151</v>
      </c>
    </row>
    <row r="25" spans="1:16" ht="20.100000000000001" customHeight="1" x14ac:dyDescent="0.25">
      <c r="D25" s="55">
        <f>'Input - Dairy'!$E$16</f>
        <v>0.14000000000000001</v>
      </c>
      <c r="E25" s="55">
        <f>'Input - Dairy'!$F$16</f>
        <v>0.12</v>
      </c>
      <c r="F25" s="55">
        <f>'Input - Dairy'!$G$16</f>
        <v>0.12</v>
      </c>
      <c r="G25" s="2" t="s">
        <v>101</v>
      </c>
      <c r="H25" s="2"/>
      <c r="L25" s="55">
        <f>'Input - Dairy'!$E$22</f>
        <v>0.14000000000000001</v>
      </c>
      <c r="M25" s="55">
        <f>'Input - Dairy'!$F$22</f>
        <v>0.12</v>
      </c>
      <c r="N25" s="55">
        <f>'Input - Dairy'!$G$22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165</v>
      </c>
      <c r="L27" s="105" t="s">
        <v>168</v>
      </c>
    </row>
    <row r="28" spans="1:16" ht="20.100000000000001" customHeight="1" x14ac:dyDescent="0.25">
      <c r="D28" s="104" t="s">
        <v>209</v>
      </c>
      <c r="L28" s="104" t="s">
        <v>214</v>
      </c>
    </row>
    <row r="29" spans="1:16" ht="20.100000000000001" customHeight="1" x14ac:dyDescent="0.25">
      <c r="D29" s="54" t="s">
        <v>149</v>
      </c>
      <c r="E29" s="54" t="s">
        <v>150</v>
      </c>
      <c r="F29" s="54" t="s">
        <v>151</v>
      </c>
      <c r="L29" s="54" t="s">
        <v>149</v>
      </c>
      <c r="M29" s="54" t="s">
        <v>150</v>
      </c>
      <c r="N29" s="54" t="s">
        <v>151</v>
      </c>
    </row>
    <row r="30" spans="1:16" ht="20.100000000000001" customHeight="1" x14ac:dyDescent="0.25">
      <c r="D30" s="55" cm="1">
        <f t="array" ref="D30">MMS_Feedlot_N2O_Direct_Equations.VEERG_4_1_1_3__5_NitrogenIntake(D20,D25)</f>
        <v>0.23296000000000003</v>
      </c>
      <c r="E30" s="55" cm="1">
        <f t="array" ref="E30">MMS_Feedlot_N2O_Direct_Equations.VEERG_4_1_1_3__5_NitrogenIntake(E20,E25)</f>
        <v>0.20736000000000002</v>
      </c>
      <c r="F30" s="55" cm="1">
        <f t="array" ref="F30">MMS_Feedlot_N2O_Direct_Equations.VEERG_4_1_1_3__5_NitrogenIntake(F20,F25)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MMS_Feedlot_N2O_Direct_Equations.VEERG_4_1_1_3__5_NitrogenIntake(L20,L25)</f>
        <v>0.23296000000000003</v>
      </c>
      <c r="M30" s="55" cm="1">
        <f t="array" ref="M30">MMS_Feedlot_N2O_Direct_Equations.VEERG_4_1_1_3__5_NitrogenIntake(M20,M25)</f>
        <v>0.20736000000000002</v>
      </c>
      <c r="N30" s="55" cm="1">
        <f t="array" ref="N30">MMS_Feedlot_N2O_Direct_Equations.VEERG_4_1_1_3__5_NitrogenIntake(N20,N25)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MMS_Feedlot_N2O_Direct_Equations.VEERG_4_1_1_3__4_NitrogenExcretionPerHead_Title()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MMS_Feedlot_N2O_Direct_Equations.VEERG_4_1_1_3__4_NitrogenExcretionPerHead_Source()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=MMS_Feedlot_N2O_Direct_Equations.VEERG_4_1_1_3__4_NitrogenExcretionPerHead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MMS_Feedlot_N2O_Direct_Equations.VEERG_4_1_1_3__4_NitrogenExcretionPerHead_Variable()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MMS_Feedlot_N2O_Direct_Equations.VEERG_4_1_1_3__4_NitrogenExcretionPerHead_Unit()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MMS_Feedlot_N2O_Direct_Equations.VEERG_4_1_1_3__4_NitrogenExcretionPerHead_Arguments()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169</v>
      </c>
      <c r="E46" s="117" t="s">
        <v>250</v>
      </c>
      <c r="L46" s="105" t="s">
        <v>170</v>
      </c>
      <c r="M46" s="117" t="s">
        <v>250</v>
      </c>
    </row>
    <row r="47" spans="3:17" ht="20.100000000000001" customHeight="1" x14ac:dyDescent="0.25">
      <c r="D47" s="104" t="s">
        <v>207</v>
      </c>
      <c r="L47" s="104" t="s">
        <v>208</v>
      </c>
    </row>
    <row r="48" spans="3:17" ht="20.100000000000001" customHeight="1" x14ac:dyDescent="0.25">
      <c r="D48" s="54" t="s">
        <v>149</v>
      </c>
      <c r="E48" s="54" t="s">
        <v>150</v>
      </c>
      <c r="F48" s="54" t="s">
        <v>151</v>
      </c>
      <c r="L48" s="54" t="s">
        <v>149</v>
      </c>
      <c r="M48" s="54" t="s">
        <v>150</v>
      </c>
      <c r="N48" s="54" t="s">
        <v>151</v>
      </c>
    </row>
    <row r="49" spans="3:17" ht="20.100000000000001" customHeight="1" x14ac:dyDescent="0.25">
      <c r="D49" s="55">
        <f>'Input - Dairy'!$E$17/100</f>
        <v>0.20399999999999999</v>
      </c>
      <c r="E49" s="55">
        <f>'Input - Dairy'!$F$17/100</f>
        <v>0.127</v>
      </c>
      <c r="F49" s="55">
        <f>'Input - Dairy'!$G$17/100</f>
        <v>7.0000000000000007E-2</v>
      </c>
      <c r="G49" s="2" t="s">
        <v>175</v>
      </c>
      <c r="H49" s="2"/>
      <c r="L49" s="55">
        <f>'Input - Dairy'!$E$23/100</f>
        <v>0.20399999999999999</v>
      </c>
      <c r="M49" s="55">
        <f>'Input - Dairy'!$F$23/100</f>
        <v>0.127</v>
      </c>
      <c r="N49" s="55">
        <f>'Input - Dairy'!$G$23/100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171</v>
      </c>
      <c r="L51" s="105" t="s">
        <v>172</v>
      </c>
    </row>
    <row r="52" spans="3:17" ht="20.100000000000001" customHeight="1" x14ac:dyDescent="0.25">
      <c r="D52" s="104" t="s">
        <v>207</v>
      </c>
      <c r="L52" s="104" t="s">
        <v>208</v>
      </c>
    </row>
    <row r="53" spans="3:17" ht="20.100000000000001" customHeight="1" x14ac:dyDescent="0.25">
      <c r="D53" s="54" t="s">
        <v>149</v>
      </c>
      <c r="E53" s="54" t="s">
        <v>150</v>
      </c>
      <c r="F53" s="54" t="s">
        <v>151</v>
      </c>
      <c r="L53" s="54" t="s">
        <v>149</v>
      </c>
      <c r="M53" s="54" t="s">
        <v>150</v>
      </c>
      <c r="N53" s="54" t="s">
        <v>151</v>
      </c>
    </row>
    <row r="54" spans="3:17" ht="20.100000000000001" customHeight="1" x14ac:dyDescent="0.25">
      <c r="D54" s="55" cm="1">
        <f t="array" ref="D54">MMS_Feedlot_N2O_Direct_Equations.VEERG_4_1_1_3__4_NitrogenExcretionPerHead(D30,D49)</f>
        <v>0.18543616000000004</v>
      </c>
      <c r="E54" s="55" cm="1">
        <f t="array" ref="E54">MMS_Feedlot_N2O_Direct_Equations.VEERG_4_1_1_3__4_NitrogenExcretionPerHead(E30,E49)</f>
        <v>0.18102528000000001</v>
      </c>
      <c r="F54" s="55" cm="1">
        <f t="array" ref="F54">MMS_Feedlot_N2O_Direct_Equations.VEERG_4_1_1_3__4_NitrogenExcretionPerHead(F30,F49)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MMS_Feedlot_N2O_Direct_Equations.VEERG_4_1_1_3__4_NitrogenExcretionPerHead(L30,L49)</f>
        <v>0.18543616000000004</v>
      </c>
      <c r="M54" s="55" cm="1">
        <f t="array" ref="M54">MMS_Feedlot_N2O_Direct_Equations.VEERG_4_1_1_3__4_NitrogenExcretionPerHead(M30,M49)</f>
        <v>0.18102528000000001</v>
      </c>
      <c r="N54" s="55" cm="1">
        <f t="array" ref="N54">MMS_Feedlot_N2O_Direct_Equations.VEERG_4_1_1_3__4_NitrogenExcretionPerHead(N30,N49)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MMS_Feedlot_N2O_Direct_Equations.VEERG_4_1_1_3__3_AnnualNitrogenExcretion_Title()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MMS_Feedlot_N2O_Direct_Equations.VEERG_4_1_1_3__3_AnnualNitrogenExcretion_Source()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=MMS_Feedlot_N2O_Direct_Equations.VEERG_4_1_1_3__3_AnnualNitrogenExcretion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MMS_Feedlot_N2O_Direct_Equations.VEERG_4_1_1_3__3_AnnualNitrogenExcretion_Variable()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MMS_Feedlot_N2O_Direct_Equations.VEERG_4_1_1_3__3_AnnualNitrogenExcretion_Unit()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MMS_Feedlot_N2O_Direct_Equations.VEERG_4_1_1_3__3_AnnualNitrogenExcretion_Arguments()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132</v>
      </c>
    </row>
    <row r="71" spans="4:12" ht="20.100000000000001" customHeight="1" x14ac:dyDescent="0.25">
      <c r="D71" s="104" t="s">
        <v>133</v>
      </c>
    </row>
    <row r="72" spans="4:12" ht="20.100000000000001" customHeight="1" x14ac:dyDescent="0.25">
      <c r="D72" s="54" t="s">
        <v>149</v>
      </c>
      <c r="E72" s="54" t="s">
        <v>150</v>
      </c>
      <c r="F72" s="54" t="s">
        <v>151</v>
      </c>
    </row>
    <row r="73" spans="4:12" ht="20.100000000000001" customHeight="1" x14ac:dyDescent="0.25">
      <c r="D73" s="109">
        <f>'Input - Dairy'!$E$8</f>
        <v>4300</v>
      </c>
      <c r="E73" s="109">
        <f>'Input - Dairy'!$F$8</f>
        <v>100</v>
      </c>
      <c r="F73" s="109">
        <f>'Input - Dairy'!$G$8</f>
        <v>100</v>
      </c>
      <c r="G73" s="2" t="s">
        <v>134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131</v>
      </c>
    </row>
    <row r="76" spans="4:12" ht="20.100000000000001" customHeight="1" x14ac:dyDescent="0.25">
      <c r="D76" s="104" t="s">
        <v>126</v>
      </c>
    </row>
    <row r="77" spans="4:12" ht="20.100000000000001" customHeight="1" x14ac:dyDescent="0.25">
      <c r="D77" s="54" t="s">
        <v>149</v>
      </c>
      <c r="E77" s="54" t="s">
        <v>150</v>
      </c>
      <c r="F77" s="54" t="s">
        <v>151</v>
      </c>
    </row>
    <row r="78" spans="4:12" ht="20.100000000000001" customHeight="1" x14ac:dyDescent="0.25">
      <c r="D78" s="109">
        <f>'Input - Dairy'!$E$9</f>
        <v>90</v>
      </c>
      <c r="E78" s="109">
        <f>'Input - Dairy'!$F$9</f>
        <v>140</v>
      </c>
      <c r="F78" s="109">
        <f>'Input - Dairy'!$G$9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176</v>
      </c>
      <c r="L80" s="105" t="s">
        <v>177</v>
      </c>
    </row>
    <row r="81" spans="3:17" ht="20.100000000000001" customHeight="1" x14ac:dyDescent="0.25">
      <c r="D81" s="104" t="s">
        <v>205</v>
      </c>
      <c r="L81" s="104" t="s">
        <v>206</v>
      </c>
    </row>
    <row r="82" spans="3:17" ht="20.100000000000001" customHeight="1" x14ac:dyDescent="0.25">
      <c r="D82" s="54" t="s">
        <v>149</v>
      </c>
      <c r="E82" s="54" t="s">
        <v>150</v>
      </c>
      <c r="F82" s="54" t="s">
        <v>151</v>
      </c>
      <c r="L82" s="54" t="s">
        <v>149</v>
      </c>
      <c r="M82" s="54" t="s">
        <v>150</v>
      </c>
      <c r="N82" s="54" t="s">
        <v>151</v>
      </c>
    </row>
    <row r="83" spans="3:17" ht="20.100000000000001" customHeight="1" x14ac:dyDescent="0.25">
      <c r="D83" s="109" cm="1">
        <f t="array" ref="D83">MMS_Feedlot_N2O_Direct_Equations.VEERG_4_1_1_3__3_AnnualNitrogenExcretion(D73,D54,D78)</f>
        <v>71763.793920000026</v>
      </c>
      <c r="E83" s="109" cm="1">
        <f t="array" ref="E83">MMS_Feedlot_N2O_Direct_Equations.VEERG_4_1_1_3__3_AnnualNitrogenExcretion(E73,E54,E78)</f>
        <v>2534.35392</v>
      </c>
      <c r="F83" s="109" cm="1">
        <f t="array" ref="F83">MMS_Feedlot_N2O_Direct_Equations.VEERG_4_1_1_3__3_AnnualNitrogenExcretion(F73,F54,F78)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MMS_Feedlot_N2O_Direct_Equations.VEERG_4_1_1_3__3_AnnualNitrogenExcretion(D73,L54,D78)</f>
        <v>71763.793920000026</v>
      </c>
      <c r="M83" s="109" cm="1">
        <f t="array" ref="M83">MMS_Feedlot_N2O_Direct_Equations.VEERG_4_1_1_3__3_AnnualNitrogenExcretion(E73,M54,E78)</f>
        <v>2534.35392</v>
      </c>
      <c r="N83" s="109" cm="1">
        <f t="array" ref="N83">MMS_Feedlot_N2O_Direct_Equations.VEERG_4_1_1_3__3_AnnualNitrogenExcretion(F73,N54,F78)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MMS_Feedlot_N2O_Direct_Equations.VEERG_4_1_1_3__2_Stage1NitrogenInMMSDrylot_Title()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MMS_Feedlot_N2O_Direct_Equations.VEERG_4_1_1_3__2_Stage1NitrogenInMMSDrylot_Source()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=MMS_Feedlot_N2O_Direct_Equations.VEERG_4_1_1_3__2_Stage1NitrogenInMMSDrylot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MMS_Feedlot_N2O_Direct_Equations.VEERG_4_1_1_3__2_Stage1NitrogenInMMSDrylot_Variable()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MMS_Feedlot_N2O_Direct_Equations.VEERG_4_1_1_3__2_Stage1NitrogenInMMSDrylot_Unit()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MMS_Feedlot_N2O_Direct_Equations.VEERG_4_1_1_3__2_Stage1NitrogenInMMSDrylot_Arguments()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178</v>
      </c>
    </row>
    <row r="99" spans="3:17" ht="20.100000000000001" customHeight="1" x14ac:dyDescent="0.25">
      <c r="D99" s="104" t="s">
        <v>113</v>
      </c>
    </row>
    <row r="100" spans="3:17" ht="20.100000000000001" customHeight="1" x14ac:dyDescent="0.25">
      <c r="D100" s="54" t="s">
        <v>110</v>
      </c>
      <c r="E100" s="54" t="s">
        <v>149</v>
      </c>
      <c r="F100" s="54" t="s">
        <v>150</v>
      </c>
      <c r="G100" s="54" t="s">
        <v>151</v>
      </c>
    </row>
    <row r="101" spans="3:17" ht="20.100000000000001" customHeight="1" x14ac:dyDescent="0.25">
      <c r="D101" s="55" t="str">
        <f>'Input - Dairy'!$D$29</f>
        <v>Drylot (feed pad)</v>
      </c>
      <c r="E101" s="55">
        <f>'Input - Dairy'!$E$29</f>
        <v>1</v>
      </c>
      <c r="F101" s="55">
        <f>'Input - Dairy'!$F$29</f>
        <v>1</v>
      </c>
      <c r="G101" s="55">
        <f>'Input - Dairy'!$G$29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179</v>
      </c>
      <c r="L103" s="105" t="s">
        <v>180</v>
      </c>
    </row>
    <row r="104" spans="3:17" ht="20.100000000000001" customHeight="1" x14ac:dyDescent="0.25">
      <c r="D104" s="104" t="s">
        <v>203</v>
      </c>
      <c r="L104" s="104" t="s">
        <v>204</v>
      </c>
    </row>
    <row r="105" spans="3:17" ht="20.100000000000001" customHeight="1" x14ac:dyDescent="0.25">
      <c r="D105" s="54" t="s">
        <v>110</v>
      </c>
      <c r="E105" s="54" t="s">
        <v>149</v>
      </c>
      <c r="F105" s="54" t="s">
        <v>150</v>
      </c>
      <c r="G105" s="54" t="s">
        <v>151</v>
      </c>
      <c r="L105" s="54" t="s">
        <v>110</v>
      </c>
      <c r="M105" s="54" t="s">
        <v>149</v>
      </c>
      <c r="N105" s="54" t="s">
        <v>150</v>
      </c>
      <c r="O105" s="54" t="s">
        <v>151</v>
      </c>
    </row>
    <row r="106" spans="3:17" ht="20.100000000000001" customHeight="1" x14ac:dyDescent="0.25">
      <c r="D106" s="55" t="str">
        <f>'Input - Dairy'!$D$29</f>
        <v>Drylot (feed pad)</v>
      </c>
      <c r="E106" s="55" cm="1">
        <f t="array" ref="E106">MMS_Feedlot_N2O_Direct_Equations.VEERG_4_1_1_3__2_Stage1NitrogenInMMSDrylot(D83,E101)</f>
        <v>71763.793920000026</v>
      </c>
      <c r="F106" s="55" cm="1">
        <f t="array" ref="F106">MMS_Feedlot_N2O_Direct_Equations.VEERG_4_1_1_3__2_Stage1NitrogenInMMSDrylot(E83,F101)</f>
        <v>2534.35392</v>
      </c>
      <c r="G106" s="55" cm="1">
        <f t="array" ref="G106">MMS_Feedlot_N2O_Direct_Equations.VEERG_4_1_1_3__2_Stage1NitrogenInMMSDrylot(F83,G101)</f>
        <v>3660.4799999999991</v>
      </c>
      <c r="H106" s="2" t="str">
        <f>$E$93</f>
        <v>kg N</v>
      </c>
      <c r="L106" s="55" t="str">
        <f>'Input - Dairy'!$D$29</f>
        <v>Drylot (feed pad)</v>
      </c>
      <c r="M106" s="55" cm="1">
        <f t="array" ref="M106">MMS_Feedlot_N2O_Direct_Equations.VEERG_4_1_1_3__2_Stage1NitrogenInMMSDrylot(L83,E101)</f>
        <v>71763.793920000026</v>
      </c>
      <c r="N106" s="55" cm="1">
        <f t="array" ref="N106">MMS_Feedlot_N2O_Direct_Equations.VEERG_4_1_1_3__2_Stage1NitrogenInMMSDrylot(M83,F101)</f>
        <v>2534.35392</v>
      </c>
      <c r="O106" s="55" cm="1">
        <f t="array" ref="O106">MMS_Feedlot_N2O_Direct_Equations.VEERG_4_1_1_3__2_Stage1NitrogenInMMSDrylot(N83,G101)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MMS_Feedlot_N2O_Direct_Equations.VEERG_4_1_1_3__8_Stage3NitrogenInMMSAnaerobicLagoon_Title()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MMS_Feedlot_N2O_Direct_Equations.VEERG_4_1_1_3__8_Stage3NitrogenInMMSAnaerobicLagoon_Source()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=MMS_Feedlot_N2O_Direct_Equations.VEERG_4_1_1_3__7_NitrogenTransferredToStage2_Variable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MMS_Feedlot_N2O_Direct_Equations.VEERG_4_1_1_3__8_Stage3NitrogenInMMSAnaerobicLagoon_Variable()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MMS_Feedlot_N2O_Direct_Equations.VEERG_4_1_1_3__8_Stage3NitrogenInMMSAnaerobicLagoon_Unit()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MMS_Feedlot_N2O_Direct_Equations.VEERG_4_1_1_3__8_Stage3NitrogenInMMSAnaerobicLagoon_Arguments()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184</v>
      </c>
    </row>
    <row r="122" spans="4:15" ht="20.100000000000001" customHeight="1" x14ac:dyDescent="0.25">
      <c r="D122" s="104" t="s">
        <v>183</v>
      </c>
    </row>
    <row r="123" spans="4:15" ht="20.100000000000001" customHeight="1" x14ac:dyDescent="0.25">
      <c r="D123" s="54" t="s">
        <v>123</v>
      </c>
      <c r="E123" s="54" t="s">
        <v>149</v>
      </c>
      <c r="F123" s="54" t="s">
        <v>150</v>
      </c>
      <c r="G123" s="54" t="s">
        <v>151</v>
      </c>
    </row>
    <row r="124" spans="4:15" ht="20.100000000000001" customHeight="1" x14ac:dyDescent="0.25">
      <c r="D124" s="55" t="str">
        <f>'Input - Dairy'!$D$41</f>
        <v>Anaerobic lagoon</v>
      </c>
      <c r="E124" s="55">
        <f>'Input - Dairy'!$E$41</f>
        <v>0.02</v>
      </c>
      <c r="F124" s="55">
        <f>'Input - Dairy'!$F$41</f>
        <v>0.02</v>
      </c>
      <c r="G124" s="55">
        <f>'Input - Dairy'!$G$41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189</v>
      </c>
      <c r="L126" s="105" t="s">
        <v>190</v>
      </c>
    </row>
    <row r="127" spans="4:15" ht="20.100000000000001" customHeight="1" x14ac:dyDescent="0.25">
      <c r="D127" s="104" t="s">
        <v>201</v>
      </c>
      <c r="L127" s="104" t="s">
        <v>202</v>
      </c>
    </row>
    <row r="128" spans="4:15" ht="20.100000000000001" customHeight="1" x14ac:dyDescent="0.25">
      <c r="D128" s="54" t="s">
        <v>123</v>
      </c>
      <c r="E128" s="54" t="s">
        <v>149</v>
      </c>
      <c r="F128" s="54" t="s">
        <v>150</v>
      </c>
      <c r="G128" s="54" t="s">
        <v>151</v>
      </c>
      <c r="L128" s="54" t="s">
        <v>123</v>
      </c>
      <c r="M128" s="54" t="s">
        <v>149</v>
      </c>
      <c r="N128" s="54" t="s">
        <v>150</v>
      </c>
      <c r="O128" s="54" t="s">
        <v>151</v>
      </c>
    </row>
    <row r="129" spans="3:17" ht="20.100000000000001" customHeight="1" x14ac:dyDescent="0.25">
      <c r="D129" s="55" t="str">
        <f>'Input - Dairy'!$D$41</f>
        <v>Anaerobic lagoon</v>
      </c>
      <c r="E129" s="55" cm="1">
        <f t="array" ref="E129">MMS_Feedlot_N2O_Direct_Equations.VEERG_4_1_1_3__8_Stage3NitrogenInMMSAnaerobicLagoon(D83,E124)</f>
        <v>1435.2758784000005</v>
      </c>
      <c r="F129" s="55" cm="1">
        <f t="array" ref="F129">MMS_Feedlot_N2O_Direct_Equations.VEERG_4_1_1_3__8_Stage3NitrogenInMMSAnaerobicLagoon(E83,F124)</f>
        <v>50.687078400000004</v>
      </c>
      <c r="G129" s="55" cm="1">
        <f t="array" ref="G129">MMS_Feedlot_N2O_Direct_Equations.VEERG_4_1_1_3__8_Stage3NitrogenInMMSAnaerobicLagoon(F83,G124)</f>
        <v>73.20959999999998</v>
      </c>
      <c r="H129" s="2" t="str">
        <f>$E$116</f>
        <v>kg N</v>
      </c>
      <c r="L129" s="55" t="str">
        <f>'Input - Dairy'!$D$41</f>
        <v>Anaerobic lagoon</v>
      </c>
      <c r="M129" s="55" cm="1">
        <f t="array" ref="M129">MMS_Feedlot_N2O_Direct_Equations.VEERG_4_1_1_3__8_Stage3NitrogenInMMSAnaerobicLagoon(L83,E124)</f>
        <v>1435.2758784000005</v>
      </c>
      <c r="N129" s="55" cm="1">
        <f t="array" ref="N129">MMS_Feedlot_N2O_Direct_Equations.VEERG_4_1_1_3__8_Stage3NitrogenInMMSAnaerobicLagoon(M83,F124)</f>
        <v>50.687078400000004</v>
      </c>
      <c r="O129" s="55" cm="1">
        <f t="array" ref="O129">MMS_Feedlot_N2O_Direct_Equations.VEERG_4_1_1_3__8_Stage3NitrogenInMMSAnaerobicLagoon(N83,G124)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MMS_Feedlot_N2O_Direct_Equations.VEERG_4_1_1_3__7_NitrogenTransferredToStage2_Title()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MMS_Feedlot_N2O_Direct_Equations.VEERG_4_1_1_3__7_NitrogenTransferredToStage2_Source()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=MMS_Feedlot_N2O_Direct_Equations.VEERG_4_1_1_3__7_NitrogenTransferredToStage2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MMS_Feedlot_N2O_Direct_Equations.VEERG_4_1_1_3__7_NitrogenTransferredToStage2_Variable()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MMS_Feedlot_N2O_Direct_Equations.VEERG_4_1_1_3__7_NitrogenTransferredToStage2_Unit()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MMS_Feedlot_N2O_Direct_Equations.VEERG_4_1_1_3__7_NitrogenTransferredToStage2_Arguments()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Dairy'!$F$113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Dairy'!$F$101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191</v>
      </c>
      <c r="L146" s="105" t="s">
        <v>192</v>
      </c>
    </row>
    <row r="147" spans="3:17" ht="20.100000000000001" customHeight="1" x14ac:dyDescent="0.25">
      <c r="D147" s="104" t="s">
        <v>199</v>
      </c>
      <c r="L147" s="104" t="s">
        <v>200</v>
      </c>
    </row>
    <row r="148" spans="3:17" ht="20.100000000000001" customHeight="1" x14ac:dyDescent="0.25">
      <c r="D148" s="54" t="s">
        <v>149</v>
      </c>
      <c r="E148" s="54" t="s">
        <v>150</v>
      </c>
      <c r="F148" s="54" t="s">
        <v>151</v>
      </c>
      <c r="L148" s="54" t="s">
        <v>149</v>
      </c>
      <c r="M148" s="54" t="s">
        <v>150</v>
      </c>
      <c r="N148" s="54" t="s">
        <v>151</v>
      </c>
    </row>
    <row r="149" spans="3:17" ht="20.100000000000001" customHeight="1" x14ac:dyDescent="0.25">
      <c r="D149" s="55" cm="1">
        <f t="array" ref="D149">MMS_Feedlot_N2O_Direct_Equations.VEERG_4_1_1_3__7_NitrogenTransferredToStage2(E106,$G$142,$G$143,E129)</f>
        <v>26882.71720243201</v>
      </c>
      <c r="E149" s="55" cm="1">
        <f t="array" ref="E149">MMS_Feedlot_N2O_Direct_Equations.VEERG_4_1_1_3__7_NitrogenTransferredToStage2(F106,$G$142,$G$143,F129)</f>
        <v>949.36897843199995</v>
      </c>
      <c r="F149" s="55" cm="1">
        <f t="array" ref="F149">MMS_Feedlot_N2O_Direct_Equations.VEERG_4_1_1_3__7_NitrogenTransferredToStage2(G106,$G$142,$G$143,G129)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MMS_Feedlot_N2O_Direct_Equations.VEERG_4_1_1_3__7_NitrogenTransferredToStage2(M106,$G$142,$G$143,M129)</f>
        <v>26882.71720243201</v>
      </c>
      <c r="M149" s="55" cm="1">
        <f t="array" ref="M149">MMS_Feedlot_N2O_Direct_Equations.VEERG_4_1_1_3__7_NitrogenTransferredToStage2(N106,$G$142,$G$143,N129)</f>
        <v>949.36897843199995</v>
      </c>
      <c r="N149" s="55" cm="1">
        <f t="array" ref="N149">MMS_Feedlot_N2O_Direct_Equations.VEERG_4_1_1_3__7_NitrogenTransferredToStage2(O106,$G$142,$G$143,O129)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MMS_Feedlot_N2O_Direct_Equations.VEERG_4_1_1_3__6_Stage2NitrogenInMMS_Title()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MMS_Feedlot_N2O_Direct_Equations.VEERG_4_1_1_3__6_Stage2NitrogenInMMS_Source()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=MMS_Feedlot_N2O_Direct_Equations.VEERG_4_1_1_3__6_Stage2NitrogenInMMS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MMS_Feedlot_N2O_Direct_Equations.VEERG_4_1_1_3__6_Stage2NitrogenInMMS_Variable()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MMS_Feedlot_N2O_Direct_Equations.VEERG_4_1_1_3__6_Stage2NitrogenInMMS_Unit()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MMS_Feedlot_N2O_Direct_Equations.VEERG_4_1_1_3__6_Stage2NitrogenInMMS_Arguments()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181</v>
      </c>
      <c r="I164" s="2"/>
    </row>
    <row r="165" spans="4:16" ht="20.100000000000001" customHeight="1" x14ac:dyDescent="0.25">
      <c r="D165" s="104" t="s">
        <v>118</v>
      </c>
    </row>
    <row r="166" spans="4:16" ht="20.100000000000001" customHeight="1" x14ac:dyDescent="0.25">
      <c r="D166" s="54" t="s">
        <v>105</v>
      </c>
      <c r="E166" s="54" t="s">
        <v>149</v>
      </c>
      <c r="F166" s="54" t="s">
        <v>150</v>
      </c>
      <c r="G166" s="54" t="s">
        <v>151</v>
      </c>
    </row>
    <row r="167" spans="4:16" ht="20.100000000000001" customHeight="1" x14ac:dyDescent="0.25">
      <c r="D167" s="55" t="str">
        <f>'Input - Dairy'!$D$35</f>
        <v>Solid storage</v>
      </c>
      <c r="E167" s="55">
        <f>'Input - Dairy'!$E$35</f>
        <v>0.2</v>
      </c>
      <c r="F167" s="55">
        <f>'Input - Dairy'!$F$35</f>
        <v>0.2</v>
      </c>
      <c r="G167" s="55">
        <f>'Input - Dairy'!$G$35</f>
        <v>0.2</v>
      </c>
      <c r="H167" s="2" t="s">
        <v>101</v>
      </c>
    </row>
    <row r="168" spans="4:16" ht="20.100000000000001" customHeight="1" x14ac:dyDescent="0.25">
      <c r="D168" s="55" t="str">
        <f>'Input - Dairy'!$D$36</f>
        <v>Composting (passive windrow)</v>
      </c>
      <c r="E168" s="55">
        <f>'Input - Dairy'!$E$36</f>
        <v>0.8</v>
      </c>
      <c r="F168" s="55">
        <f>'Input - Dairy'!$F$36</f>
        <v>0.8</v>
      </c>
      <c r="G168" s="55">
        <f>'Input - Dairy'!$G$36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193</v>
      </c>
      <c r="L170" s="105" t="s">
        <v>193</v>
      </c>
    </row>
    <row r="171" spans="4:16" ht="20.100000000000001" customHeight="1" x14ac:dyDescent="0.25">
      <c r="D171" s="104" t="s">
        <v>197</v>
      </c>
      <c r="L171" s="104" t="s">
        <v>198</v>
      </c>
    </row>
    <row r="172" spans="4:16" ht="20.100000000000001" customHeight="1" x14ac:dyDescent="0.25">
      <c r="D172" s="54" t="s">
        <v>105</v>
      </c>
      <c r="E172" s="54" t="s">
        <v>149</v>
      </c>
      <c r="F172" s="54" t="s">
        <v>150</v>
      </c>
      <c r="G172" s="54" t="s">
        <v>151</v>
      </c>
      <c r="L172" s="54" t="s">
        <v>105</v>
      </c>
      <c r="M172" s="54" t="s">
        <v>149</v>
      </c>
      <c r="N172" s="54" t="s">
        <v>150</v>
      </c>
      <c r="O172" s="54" t="s">
        <v>151</v>
      </c>
    </row>
    <row r="173" spans="4:16" ht="20.100000000000001" customHeight="1" x14ac:dyDescent="0.25">
      <c r="D173" s="55" t="str">
        <f>'Input - Dairy'!$D$35</f>
        <v>Solid storage</v>
      </c>
      <c r="E173" s="55" cm="1">
        <f t="array" ref="E173">MMS_Feedlot_N2O_Direct_Equations.VEERG_4_1_1_3__6_Stage2NitrogenInMMS(D$149,E167)</f>
        <v>5376.5434404864027</v>
      </c>
      <c r="F173" s="55" cm="1">
        <f t="array" ref="F173">MMS_Feedlot_N2O_Direct_Equations.VEERG_4_1_1_3__6_Stage2NitrogenInMMS(E$149,F167)</f>
        <v>189.8737956864</v>
      </c>
      <c r="G173" s="55" cm="1">
        <f t="array" ref="G173">MMS_Feedlot_N2O_Direct_Equations.VEERG_4_1_1_3__6_Stage2NitrogenInMMS(F$149,G167)</f>
        <v>274.24316159999995</v>
      </c>
      <c r="H173" s="2" t="str">
        <f>$E$159</f>
        <v>kg N</v>
      </c>
      <c r="L173" s="55" t="str">
        <f>'Input - Dairy'!$D$35</f>
        <v>Solid storage</v>
      </c>
      <c r="M173" s="55" cm="1">
        <f t="array" ref="M173">MMS_Feedlot_N2O_Direct_Equations.VEERG_4_1_1_3__6_Stage2NitrogenInMMS(L$149,E167)</f>
        <v>5376.5434404864027</v>
      </c>
      <c r="N173" s="55" cm="1">
        <f t="array" ref="N173">MMS_Feedlot_N2O_Direct_Equations.VEERG_4_1_1_3__6_Stage2NitrogenInMMS(M$149,F167)</f>
        <v>189.8737956864</v>
      </c>
      <c r="O173" s="55" cm="1">
        <f t="array" ref="O173">MMS_Feedlot_N2O_Direct_Equations.VEERG_4_1_1_3__6_Stage2NitrogenInMMS(N$149,G167)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Dairy'!$D$36</f>
        <v>Composting (passive windrow)</v>
      </c>
      <c r="E174" s="55" cm="1">
        <f t="array" ref="E174">MMS_Feedlot_N2O_Direct_Equations.VEERG_4_1_1_3__6_Stage2NitrogenInMMS(D$149,E168)</f>
        <v>21506.173761945611</v>
      </c>
      <c r="F174" s="55" cm="1">
        <f t="array" ref="F174">MMS_Feedlot_N2O_Direct_Equations.VEERG_4_1_1_3__6_Stage2NitrogenInMMS(E$149,F168)</f>
        <v>759.4951827456</v>
      </c>
      <c r="G174" s="55" cm="1">
        <f t="array" ref="G174">MMS_Feedlot_N2O_Direct_Equations.VEERG_4_1_1_3__6_Stage2NitrogenInMMS(F$149,G168)</f>
        <v>1096.9726463999998</v>
      </c>
      <c r="H174" s="2" t="str">
        <f>$E$159</f>
        <v>kg N</v>
      </c>
      <c r="L174" s="55" t="str">
        <f>'Input - Dairy'!$D$36</f>
        <v>Composting (passive windrow)</v>
      </c>
      <c r="M174" s="55" cm="1">
        <f t="array" ref="M174">MMS_Feedlot_N2O_Direct_Equations.VEERG_4_1_1_3__6_Stage2NitrogenInMMS(L$149,E168)</f>
        <v>21506.173761945611</v>
      </c>
      <c r="N174" s="55" cm="1">
        <f t="array" ref="N174">MMS_Feedlot_N2O_Direct_Equations.VEERG_4_1_1_3__6_Stage2NitrogenInMMS(M$149,F168)</f>
        <v>759.4951827456</v>
      </c>
      <c r="O174" s="55" cm="1">
        <f t="array" ref="O174">MMS_Feedlot_N2O_Direct_Equations.VEERG_4_1_1_3__6_Stage2NitrogenInMMS(N$149,G168)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MMS_Feedlot_N2O_Direct_Equations.VEERG_4_1_1_3__1_TotalAnnualDirectNitrousOxideEmissions_Title()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MMS_Feedlot_N2O_Direct_Equations.VEERG_4_1_1_3__1_TotalAnnualDirectNitrousOxideEmissions_Source()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=MMS_Feedlot_N2O_Direct_Equations.VEERG_4_1_1_3__1_TotalAnnualDirectNitrousOxideEmissions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MMS_Feedlot_N2O_Direct_Equations.VEERG_4_1_1_3__1_TotalAnnualDirectNitrousOxideEmissions_Variable()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MMS_Feedlot_N2O_Direct_Equations.VEERG_4_1_1_3__1_TotalAnnualDirectNitrousOxideEmissions_Unit()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MMS_Feedlot_N2O_Direct_Equations.VEERG_4_1_1_3__1_TotalAnnualDirectNitrousOxideEmissions_Arguments()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185</v>
      </c>
    </row>
    <row r="192" spans="3:17" ht="20.100000000000001" customHeight="1" x14ac:dyDescent="0.25">
      <c r="D192" s="104" t="s">
        <v>186</v>
      </c>
    </row>
    <row r="193" spans="4:16" ht="20.100000000000001" customHeight="1" x14ac:dyDescent="0.25">
      <c r="D193" s="121" t="s">
        <v>68</v>
      </c>
      <c r="E193" s="121" t="s">
        <v>187</v>
      </c>
    </row>
    <row r="194" spans="4:16" ht="20.100000000000001" customHeight="1" x14ac:dyDescent="0.25">
      <c r="D194" s="55" t="str">
        <f>'Input - Dairy'!$D$29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Dairy'!$D$35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Dairy'!$D$36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Dairy'!$D$41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194</v>
      </c>
      <c r="L199" s="105" t="s">
        <v>194</v>
      </c>
    </row>
    <row r="200" spans="4:16" ht="20.100000000000001" customHeight="1" x14ac:dyDescent="0.25">
      <c r="D200" s="104" t="s">
        <v>195</v>
      </c>
      <c r="L200" s="104" t="s">
        <v>196</v>
      </c>
    </row>
    <row r="201" spans="4:16" ht="20.100000000000001" customHeight="1" x14ac:dyDescent="0.25">
      <c r="D201" s="121" t="s">
        <v>68</v>
      </c>
      <c r="E201" s="54" t="s">
        <v>149</v>
      </c>
      <c r="F201" s="54" t="s">
        <v>150</v>
      </c>
      <c r="G201" s="54" t="s">
        <v>151</v>
      </c>
      <c r="L201" s="121" t="s">
        <v>68</v>
      </c>
      <c r="M201" s="54" t="s">
        <v>149</v>
      </c>
      <c r="N201" s="54" t="s">
        <v>150</v>
      </c>
      <c r="O201" s="54" t="s">
        <v>151</v>
      </c>
    </row>
    <row r="202" spans="4:16" ht="20.100000000000001" customHeight="1" x14ac:dyDescent="0.25">
      <c r="D202" s="55" t="str">
        <f>'Input - Dairy'!$D$29</f>
        <v>Drylot (feed pad)</v>
      </c>
      <c r="E202" s="55" cm="1">
        <f t="array" ref="E202">MMS_Feedlot_N2O_Direct_Equations.VEERG_4_1_1_3__1_TotalAnnualDirectNitrousOxideEmissions(E$106,$E194,$G$189)</f>
        <v>0.6089670512640003</v>
      </c>
      <c r="F202" s="55" cm="1">
        <f t="array" ref="F202">MMS_Feedlot_N2O_Direct_Equations.VEERG_4_1_1_3__1_TotalAnnualDirectNitrousOxideEmissions(F$106,$E194,$G$189)</f>
        <v>2.1505803264000003E-2</v>
      </c>
      <c r="G202" s="55" cm="1">
        <f t="array" ref="G202">MMS_Feedlot_N2O_Direct_Equations.VEERG_4_1_1_3__1_TotalAnnualDirectNitrousOxideEmissions(G$106,$E194,$G$189)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Dairy'!$D$29</f>
        <v>Drylot (feed pad)</v>
      </c>
      <c r="M202" s="55" cm="1">
        <f t="array" ref="M202">MMS_Feedlot_N2O_Direct_Equations.VEERG_4_1_1_3__1_TotalAnnualDirectNitrousOxideEmissions(M$106,$E194,$G$189)</f>
        <v>0.6089670512640003</v>
      </c>
      <c r="N202" s="55" cm="1">
        <f t="array" ref="N202">MMS_Feedlot_N2O_Direct_Equations.VEERG_4_1_1_3__1_TotalAnnualDirectNitrousOxideEmissions(N$106,$E194,$G$189)</f>
        <v>2.1505803264000003E-2</v>
      </c>
      <c r="O202" s="55" cm="1">
        <f t="array" ref="O202">MMS_Feedlot_N2O_Direct_Equations.VEERG_4_1_1_3__1_TotalAnnualDirectNitrousOxideEmissions(O$106,$E194,$G$189)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Dairy'!$D$35</f>
        <v>Solid storage</v>
      </c>
      <c r="E203" s="55" cm="1">
        <f t="array" ref="E203">MMS_Feedlot_N2O_Direct_Equations.VEERG_4_1_1_3__1_TotalAnnualDirectNitrousOxideEmissions(E$173,$E195,$G$189)</f>
        <v>4.2244269889536022E-2</v>
      </c>
      <c r="F203" s="55" cm="1">
        <f t="array" ref="F203">MMS_Feedlot_N2O_Direct_Equations.VEERG_4_1_1_3__1_TotalAnnualDirectNitrousOxideEmissions(F$173,$E195,$G$189)</f>
        <v>1.4918655375360003E-3</v>
      </c>
      <c r="G203" s="55" cm="1">
        <f t="array" ref="G203">MMS_Feedlot_N2O_Direct_Equations.VEERG_4_1_1_3__1_TotalAnnualDirectNitrousOxideEmissions(G$173,$E195,$G$189)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Dairy'!$D$35</f>
        <v>Solid storage</v>
      </c>
      <c r="M203" s="55" cm="1">
        <f t="array" ref="M203">MMS_Feedlot_N2O_Direct_Equations.VEERG_4_1_1_3__1_TotalAnnualDirectNitrousOxideEmissions(M$173,$E195,$G$189)</f>
        <v>4.2244269889536022E-2</v>
      </c>
      <c r="N203" s="55" cm="1">
        <f t="array" ref="N203">MMS_Feedlot_N2O_Direct_Equations.VEERG_4_1_1_3__1_TotalAnnualDirectNitrousOxideEmissions(N$173,$E195,$G$189)</f>
        <v>1.4918655375360003E-3</v>
      </c>
      <c r="O203" s="55" cm="1">
        <f t="array" ref="O203">MMS_Feedlot_N2O_Direct_Equations.VEERG_4_1_1_3__1_TotalAnnualDirectNitrousOxideEmissions(O$173,$E195,$G$189)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Dairy'!$D$36</f>
        <v>Composting (passive windrow)</v>
      </c>
      <c r="E204" s="55" cm="1">
        <f t="array" ref="E204">MMS_Feedlot_N2O_Direct_Equations.VEERG_4_1_1_3__1_TotalAnnualDirectNitrousOxideEmissions(E$174,$E196,$G$189)</f>
        <v>0.33795415911628818</v>
      </c>
      <c r="F204" s="55" cm="1">
        <f t="array" ref="F204">MMS_Feedlot_N2O_Direct_Equations.VEERG_4_1_1_3__1_TotalAnnualDirectNitrousOxideEmissions(F$174,$E196,$G$189)</f>
        <v>1.1934924300288002E-2</v>
      </c>
      <c r="G204" s="55" cm="1">
        <f t="array" ref="G204">MMS_Feedlot_N2O_Direct_Equations.VEERG_4_1_1_3__1_TotalAnnualDirectNitrousOxideEmissions(G$174,$E196,$G$189)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Dairy'!$D$36</f>
        <v>Composting (passive windrow)</v>
      </c>
      <c r="M204" s="55" cm="1">
        <f t="array" ref="M204">MMS_Feedlot_N2O_Direct_Equations.VEERG_4_1_1_3__1_TotalAnnualDirectNitrousOxideEmissions(M$174,$E196,$G$189)</f>
        <v>0.33795415911628818</v>
      </c>
      <c r="N204" s="55" cm="1">
        <f t="array" ref="N204">MMS_Feedlot_N2O_Direct_Equations.VEERG_4_1_1_3__1_TotalAnnualDirectNitrousOxideEmissions(N$174,$E196,$G$189)</f>
        <v>1.1934924300288002E-2</v>
      </c>
      <c r="O204" s="55" cm="1">
        <f t="array" ref="O204">MMS_Feedlot_N2O_Direct_Equations.VEERG_4_1_1_3__1_TotalAnnualDirectNitrousOxideEmissions(O$174,$E196,$G$189)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Dairy'!$D$41</f>
        <v>Anaerobic lagoon</v>
      </c>
      <c r="E205" s="55" cm="1">
        <f t="array" ref="E205">MMS_Feedlot_N2O_Direct_Equations.VEERG_4_1_1_3__1_TotalAnnualDirectNitrousOxideEmissions(E$129,$E197,$G$189)</f>
        <v>0</v>
      </c>
      <c r="F205" s="55" cm="1">
        <f t="array" ref="F205">MMS_Feedlot_N2O_Direct_Equations.VEERG_4_1_1_3__1_TotalAnnualDirectNitrousOxideEmissions(F$129,$E197,$G$189)</f>
        <v>0</v>
      </c>
      <c r="G205" s="55" cm="1">
        <f t="array" ref="G205">MMS_Feedlot_N2O_Direct_Equations.VEERG_4_1_1_3__1_TotalAnnualDirectNitrousOxideEmissions(G$129,$E197,$G$189)</f>
        <v>0</v>
      </c>
      <c r="H205" s="2" t="str">
        <f t="shared" si="0"/>
        <v>t N2O</v>
      </c>
      <c r="L205" s="55" t="str">
        <f>'Input - Dairy'!$D$41</f>
        <v>Anaerobic lagoon</v>
      </c>
      <c r="M205" s="55" cm="1">
        <f t="array" ref="M205">MMS_Feedlot_N2O_Direct_Equations.VEERG_4_1_1_3__1_TotalAnnualDirectNitrousOxideEmissions(M$129,$E197,$G$189)</f>
        <v>0</v>
      </c>
      <c r="N205" s="55" cm="1">
        <f t="array" ref="N205">MMS_Feedlot_N2O_Direct_Equations.VEERG_4_1_1_3__1_TotalAnnualDirectNitrousOxideEmissions(N$129,$E197,$G$189)</f>
        <v>0</v>
      </c>
      <c r="O205" s="55" cm="1">
        <f t="array" ref="O205">MMS_Feedlot_N2O_Direct_Equations.VEERG_4_1_1_3__1_TotalAnnualDirectNitrousOxideEmissions(O$129,$E197,$G$189)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188</v>
      </c>
      <c r="E207" s="111">
        <f>SUM(E202:G205)</f>
        <v>1.0745527700847912</v>
      </c>
      <c r="F207" s="112" t="str">
        <f>$E$185</f>
        <v>t N2O</v>
      </c>
      <c r="L207" s="110" t="s">
        <v>188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137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137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workbookViewId="0">
      <selection activeCell="A14" sqref="A1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298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173</v>
      </c>
      <c r="E3" s="4"/>
      <c r="F3" s="4"/>
      <c r="G3" s="4"/>
      <c r="H3" s="4"/>
      <c r="I3" s="4"/>
      <c r="K3" s="4"/>
      <c r="L3" s="4" t="s">
        <v>174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299</v>
      </c>
      <c r="L17" s="105" t="s">
        <v>302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301</v>
      </c>
      <c r="L18" s="104" t="s">
        <v>303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149</v>
      </c>
      <c r="F19" s="54" t="s">
        <v>150</v>
      </c>
      <c r="G19" s="54" t="s">
        <v>151</v>
      </c>
      <c r="L19" s="121" t="s">
        <v>68</v>
      </c>
      <c r="M19" s="54" t="s">
        <v>149</v>
      </c>
      <c r="N19" s="54" t="s">
        <v>150</v>
      </c>
      <c r="O19" s="54" t="s">
        <v>151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Dairy'!$D$29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243</v>
      </c>
      <c r="L20" s="55" t="str">
        <f>'Input - Dairy'!$D$29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243</v>
      </c>
    </row>
    <row r="21" spans="1:16" ht="20.100000000000001" customHeight="1" x14ac:dyDescent="0.25">
      <c r="D21" s="55" t="str">
        <f>'Input - Dairy'!$D$35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243</v>
      </c>
      <c r="L21" s="55" t="str">
        <f>'Input - Dairy'!$D$35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243</v>
      </c>
    </row>
    <row r="22" spans="1:16" ht="20.100000000000001" customHeight="1" x14ac:dyDescent="0.25">
      <c r="D22" s="55" t="str">
        <f>'Input - Dairy'!$D$36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243</v>
      </c>
      <c r="L22" s="55" t="str">
        <f>'Input - Dairy'!$D$36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243</v>
      </c>
    </row>
    <row r="23" spans="1:16" ht="20.100000000000001" customHeight="1" x14ac:dyDescent="0.25">
      <c r="D23" s="55" t="str">
        <f>'Input - Dairy'!$D$41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243</v>
      </c>
      <c r="L23" s="55" t="str">
        <f>'Input - Dairy'!$D$41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243</v>
      </c>
    </row>
    <row r="24" spans="1:16" ht="20.100000000000001" customHeight="1" x14ac:dyDescent="0.25"/>
    <row r="25" spans="1:16" ht="20.100000000000001" customHeight="1" x14ac:dyDescent="0.25">
      <c r="D25" s="105" t="s">
        <v>245</v>
      </c>
    </row>
    <row r="26" spans="1:16" ht="20.100000000000001" customHeight="1" x14ac:dyDescent="0.25">
      <c r="D26" s="104" t="s">
        <v>247</v>
      </c>
    </row>
    <row r="27" spans="1:16" ht="20.100000000000001" customHeight="1" x14ac:dyDescent="0.25">
      <c r="D27" s="121" t="s">
        <v>68</v>
      </c>
      <c r="E27" s="121" t="s">
        <v>187</v>
      </c>
    </row>
    <row r="28" spans="1:16" ht="20.100000000000001" customHeight="1" x14ac:dyDescent="0.25">
      <c r="D28" s="55" t="str">
        <f>'Input - Dairy'!$D$29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252</v>
      </c>
    </row>
    <row r="29" spans="1:16" ht="20.100000000000001" customHeight="1" x14ac:dyDescent="0.25">
      <c r="D29" s="55" t="str">
        <f>'Input - Dairy'!$D$35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252</v>
      </c>
    </row>
    <row r="30" spans="1:16" ht="20.100000000000001" customHeight="1" x14ac:dyDescent="0.25">
      <c r="D30" s="55" t="str">
        <f>'Input - Dairy'!$D$36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252</v>
      </c>
    </row>
    <row r="31" spans="1:16" ht="20.100000000000001" customHeight="1" x14ac:dyDescent="0.25">
      <c r="D31" s="55" t="str">
        <f>'Input - Dairy'!$D$41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252</v>
      </c>
    </row>
    <row r="32" spans="1:16" ht="20.100000000000001" customHeight="1" x14ac:dyDescent="0.25"/>
    <row r="33" spans="3:17" ht="20.100000000000001" customHeight="1" x14ac:dyDescent="0.25">
      <c r="D33" s="105" t="s">
        <v>300</v>
      </c>
      <c r="L33" s="105" t="s">
        <v>300</v>
      </c>
    </row>
    <row r="34" spans="3:17" ht="20.100000000000001" customHeight="1" x14ac:dyDescent="0.25">
      <c r="D34" s="104" t="s">
        <v>301</v>
      </c>
      <c r="L34" s="104" t="s">
        <v>301</v>
      </c>
    </row>
    <row r="35" spans="3:17" ht="20.100000000000001" customHeight="1" x14ac:dyDescent="0.25">
      <c r="D35" s="121" t="s">
        <v>68</v>
      </c>
      <c r="E35" s="54" t="s">
        <v>149</v>
      </c>
      <c r="F35" s="54" t="s">
        <v>150</v>
      </c>
      <c r="G35" s="54" t="s">
        <v>151</v>
      </c>
      <c r="L35" s="121" t="s">
        <v>68</v>
      </c>
      <c r="M35" s="54" t="s">
        <v>149</v>
      </c>
      <c r="N35" s="54" t="s">
        <v>150</v>
      </c>
      <c r="O35" s="54" t="s">
        <v>151</v>
      </c>
    </row>
    <row r="36" spans="3:17" ht="20.100000000000001" customHeight="1" x14ac:dyDescent="0.25">
      <c r="D36" s="55" t="str">
        <f>'Input - Dairy'!$D$29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Dairy'!$D$29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243</v>
      </c>
    </row>
    <row r="37" spans="3:17" ht="20.100000000000001" customHeight="1" x14ac:dyDescent="0.25">
      <c r="D37" s="55" t="str">
        <f>'Input - Dairy'!$D$35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Dairy'!$D$35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243</v>
      </c>
    </row>
    <row r="38" spans="3:17" ht="20.100000000000001" customHeight="1" x14ac:dyDescent="0.25">
      <c r="D38" s="55" t="str">
        <f>'Input - Dairy'!$D$36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Dairy'!$D$36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243</v>
      </c>
    </row>
    <row r="39" spans="3:17" ht="20.100000000000001" customHeight="1" x14ac:dyDescent="0.25">
      <c r="D39" s="55" t="str">
        <f>'Input - Dairy'!$D$41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Dairy'!$D$41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243</v>
      </c>
    </row>
    <row r="40" spans="3:17" ht="20.100000000000001" customHeight="1" x14ac:dyDescent="0.25"/>
    <row r="41" spans="3:17" ht="20.100000000000001" customHeight="1" x14ac:dyDescent="0.25">
      <c r="D41" s="131" t="s">
        <v>304</v>
      </c>
      <c r="E41" s="48">
        <f>SUM(E36:G39)</f>
        <v>58126.108834759696</v>
      </c>
      <c r="F41" s="129" t="str">
        <f>$E$12</f>
        <v>kg N</v>
      </c>
      <c r="L41" s="131" t="s">
        <v>304</v>
      </c>
      <c r="M41" s="48">
        <f>SUM(M36:O39)</f>
        <v>58126.108834759696</v>
      </c>
      <c r="N41" s="129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30"/>
      <c r="D43" s="130"/>
      <c r="E43" s="130"/>
      <c r="F43" s="130"/>
      <c r="G43" s="130"/>
      <c r="H43" s="130"/>
      <c r="I43" s="130"/>
      <c r="K43" s="130"/>
      <c r="L43" s="130"/>
      <c r="M43" s="130"/>
      <c r="N43" s="130"/>
      <c r="O43" s="130"/>
      <c r="P43" s="130"/>
      <c r="Q43" s="130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306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Dairy'!$E$63</f>
        <v>Pasture</v>
      </c>
      <c r="L56" s="60" t="str">
        <v>j</v>
      </c>
      <c r="M56" s="61" t="str">
        <v>production system</v>
      </c>
      <c r="N56" s="62"/>
      <c r="O56" s="60" t="str">
        <f>'Input - Dairy'!$E$63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Dairy'!$E$64</f>
        <v>Not irrigated</v>
      </c>
      <c r="L57" s="60" t="str">
        <v>i</v>
      </c>
      <c r="M57" s="61" t="str">
        <v>irrigation method</v>
      </c>
      <c r="N57" s="62"/>
      <c r="O57" s="60" t="str">
        <f>'Input - Dairy'!$E$64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323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323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137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137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workbookViewId="0">
      <selection activeCell="A8" sqref="A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242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173</v>
      </c>
      <c r="E3" s="4"/>
      <c r="F3" s="4"/>
      <c r="G3" s="4"/>
      <c r="H3" s="4"/>
      <c r="I3" s="4"/>
      <c r="K3" s="4"/>
      <c r="L3" s="4" t="s">
        <v>174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244</v>
      </c>
      <c r="L19" s="105" t="s">
        <v>253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255</v>
      </c>
      <c r="L20" s="104" t="s">
        <v>254</v>
      </c>
    </row>
    <row r="21" spans="1:16" ht="20.100000000000001" customHeight="1" x14ac:dyDescent="0.25">
      <c r="D21" s="54" t="s">
        <v>68</v>
      </c>
      <c r="E21" s="54" t="s">
        <v>149</v>
      </c>
      <c r="F21" s="54" t="s">
        <v>150</v>
      </c>
      <c r="G21" s="54" t="s">
        <v>151</v>
      </c>
      <c r="L21" s="54" t="s">
        <v>68</v>
      </c>
      <c r="M21" s="54" t="s">
        <v>149</v>
      </c>
      <c r="N21" s="54" t="s">
        <v>150</v>
      </c>
      <c r="O21" s="54" t="s">
        <v>151</v>
      </c>
    </row>
    <row r="22" spans="1:16" ht="20.100000000000001" customHeight="1" x14ac:dyDescent="0.25">
      <c r="D22" s="55" t="str">
        <f>'Input - Dairy'!$D$35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243</v>
      </c>
      <c r="L22" s="55" t="str">
        <f>'Input - Dairy'!$D$35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243</v>
      </c>
    </row>
    <row r="23" spans="1:16" ht="20.100000000000001" customHeight="1" x14ac:dyDescent="0.25">
      <c r="D23" s="55" t="str">
        <f>'Input - Dairy'!$D$36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243</v>
      </c>
      <c r="L23" s="55" t="str">
        <f>'Input - Dairy'!$D$36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243</v>
      </c>
    </row>
    <row r="24" spans="1:16" ht="20.100000000000001" customHeight="1" x14ac:dyDescent="0.25">
      <c r="D24" s="55" t="str">
        <f>'Input - Dairy'!$D$41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243</v>
      </c>
      <c r="L24" s="55" t="str">
        <f>'Input - Dairy'!$D$41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243</v>
      </c>
    </row>
    <row r="25" spans="1:16" ht="20.100000000000001" customHeight="1" x14ac:dyDescent="0.25"/>
    <row r="26" spans="1:16" ht="20.100000000000001" customHeight="1" x14ac:dyDescent="0.25">
      <c r="D26" s="105" t="s">
        <v>246</v>
      </c>
    </row>
    <row r="27" spans="1:16" ht="20.100000000000001" customHeight="1" x14ac:dyDescent="0.25">
      <c r="D27" s="104" t="s">
        <v>186</v>
      </c>
    </row>
    <row r="28" spans="1:16" ht="20.100000000000001" customHeight="1" x14ac:dyDescent="0.25">
      <c r="D28" s="121" t="s">
        <v>68</v>
      </c>
      <c r="E28" s="121" t="s">
        <v>187</v>
      </c>
    </row>
    <row r="29" spans="1:16" ht="20.100000000000001" customHeight="1" x14ac:dyDescent="0.25">
      <c r="D29" s="55" t="str">
        <f>'Input - Dairy'!$D$29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251</v>
      </c>
    </row>
    <row r="30" spans="1:16" ht="20.100000000000001" customHeight="1" x14ac:dyDescent="0.25">
      <c r="D30" s="55" t="str">
        <f>'Input - Dairy'!$D$35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251</v>
      </c>
    </row>
    <row r="31" spans="1:16" ht="20.100000000000001" customHeight="1" x14ac:dyDescent="0.25">
      <c r="D31" s="55" t="str">
        <f>'Input - Dairy'!$D$36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251</v>
      </c>
    </row>
    <row r="32" spans="1:16" ht="20.100000000000001" customHeight="1" x14ac:dyDescent="0.25">
      <c r="D32" s="55" t="str">
        <f>'Input - Dairy'!$D$41</f>
        <v>Anaerobic lagoon</v>
      </c>
      <c r="E32" s="55">
        <f>_xlfn.XLOOKUP($D$32, Table_SourceData_Feedlot_NO2EFs[NIR definition], Table_SourceData_Feedlot_NO2EFs[EF mT])</f>
        <v>0</v>
      </c>
      <c r="F32" s="2" t="s">
        <v>251</v>
      </c>
    </row>
    <row r="33" spans="4:8" ht="20.100000000000001" customHeight="1" x14ac:dyDescent="0.25"/>
    <row r="34" spans="4:8" ht="20.100000000000001" customHeight="1" x14ac:dyDescent="0.25">
      <c r="D34" s="105" t="s">
        <v>245</v>
      </c>
    </row>
    <row r="35" spans="4:8" ht="20.100000000000001" customHeight="1" x14ac:dyDescent="0.25">
      <c r="D35" s="104" t="s">
        <v>247</v>
      </c>
    </row>
    <row r="36" spans="4:8" ht="20.100000000000001" customHeight="1" x14ac:dyDescent="0.25">
      <c r="D36" s="121" t="s">
        <v>68</v>
      </c>
      <c r="E36" s="121" t="s">
        <v>187</v>
      </c>
    </row>
    <row r="37" spans="4:8" ht="20.100000000000001" customHeight="1" x14ac:dyDescent="0.25">
      <c r="D37" s="55" t="str">
        <f>'Input - Dairy'!$D$29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252</v>
      </c>
    </row>
    <row r="38" spans="4:8" ht="20.100000000000001" customHeight="1" x14ac:dyDescent="0.25">
      <c r="D38" s="55" t="str">
        <f>'Input - Dairy'!$D$35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252</v>
      </c>
    </row>
    <row r="39" spans="4:8" ht="20.100000000000001" customHeight="1" x14ac:dyDescent="0.25">
      <c r="D39" s="55" t="str">
        <f>'Input - Dairy'!$D$36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252</v>
      </c>
    </row>
    <row r="40" spans="4:8" ht="20.100000000000001" customHeight="1" x14ac:dyDescent="0.25">
      <c r="D40" s="55" t="str">
        <f>'Input - Dairy'!$D$41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252</v>
      </c>
    </row>
    <row r="41" spans="4:8" ht="20.100000000000001" customHeight="1" x14ac:dyDescent="0.25"/>
    <row r="42" spans="4:8" ht="20.100000000000001" customHeight="1" x14ac:dyDescent="0.25">
      <c r="D42" s="105" t="s">
        <v>248</v>
      </c>
    </row>
    <row r="43" spans="4:8" ht="20.100000000000001" customHeight="1" x14ac:dyDescent="0.25">
      <c r="D43" s="104" t="s">
        <v>249</v>
      </c>
    </row>
    <row r="44" spans="4:8" ht="20.100000000000001" customHeight="1" x14ac:dyDescent="0.25">
      <c r="D44" s="54" t="s">
        <v>68</v>
      </c>
      <c r="E44" s="54" t="s">
        <v>149</v>
      </c>
      <c r="F44" s="54" t="s">
        <v>150</v>
      </c>
      <c r="G44" s="54" t="s">
        <v>151</v>
      </c>
    </row>
    <row r="45" spans="4:8" ht="20.100000000000001" customHeight="1" x14ac:dyDescent="0.25">
      <c r="D45" s="55" t="str">
        <f>'Input - Dairy'!$D$35</f>
        <v>Solid storage</v>
      </c>
      <c r="E45" s="55">
        <f>'Input - Dairy'!E49</f>
        <v>0.5</v>
      </c>
      <c r="F45" s="55">
        <f>'Input - Dairy'!F49</f>
        <v>0.5</v>
      </c>
      <c r="G45" s="55">
        <f>'Input - Dairy'!G49</f>
        <v>0.5</v>
      </c>
      <c r="H45" s="2" t="s">
        <v>101</v>
      </c>
    </row>
    <row r="46" spans="4:8" ht="20.100000000000001" customHeight="1" x14ac:dyDescent="0.25">
      <c r="D46" s="55" t="str">
        <f>'Input - Dairy'!$D$36</f>
        <v>Composting (passive windrow)</v>
      </c>
      <c r="E46" s="55">
        <f>'Input - Dairy'!E54</f>
        <v>0.5</v>
      </c>
      <c r="F46" s="55">
        <f>'Input - Dairy'!F54</f>
        <v>0.5</v>
      </c>
      <c r="G46" s="55">
        <f>'Input - Dairy'!G54</f>
        <v>0.5</v>
      </c>
      <c r="H46" s="2" t="s">
        <v>101</v>
      </c>
    </row>
    <row r="47" spans="4:8" ht="20.100000000000001" customHeight="1" x14ac:dyDescent="0.25">
      <c r="D47" s="55" t="str">
        <f>'Input - Dairy'!$D$41</f>
        <v>Anaerobic lagoon</v>
      </c>
      <c r="E47" s="55">
        <f>'Input - Dairy'!E59</f>
        <v>0.5</v>
      </c>
      <c r="F47" s="55">
        <f>'Input - Dairy'!F59</f>
        <v>0.5</v>
      </c>
      <c r="G47" s="55">
        <f>'Input - Dairy'!G59</f>
        <v>0.5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256</v>
      </c>
      <c r="L49" s="105" t="s">
        <v>270</v>
      </c>
    </row>
    <row r="50" spans="3:17" ht="20.100000000000001" customHeight="1" x14ac:dyDescent="0.25">
      <c r="D50" s="104" t="s">
        <v>272</v>
      </c>
      <c r="L50" s="104" t="s">
        <v>271</v>
      </c>
    </row>
    <row r="51" spans="3:17" ht="20.100000000000001" customHeight="1" x14ac:dyDescent="0.25">
      <c r="D51" s="54" t="s">
        <v>68</v>
      </c>
      <c r="E51" s="54" t="s">
        <v>149</v>
      </c>
      <c r="F51" s="54" t="s">
        <v>150</v>
      </c>
      <c r="G51" s="54" t="s">
        <v>151</v>
      </c>
      <c r="L51" s="54" t="s">
        <v>68</v>
      </c>
      <c r="M51" s="54" t="s">
        <v>149</v>
      </c>
      <c r="N51" s="54" t="s">
        <v>150</v>
      </c>
      <c r="O51" s="54" t="s">
        <v>151</v>
      </c>
    </row>
    <row r="52" spans="3:17" ht="20.100000000000001" customHeight="1" x14ac:dyDescent="0.25">
      <c r="D52" s="55" t="str">
        <f>'Input - Dairy'!$D$35</f>
        <v>Solid storage</v>
      </c>
      <c r="E52" s="55" cm="1">
        <f t="array" ref="E52">MMS_Feedlot_ManureAppliedToSoils_Equations.VEERG_4_1_1_9__1_MassOfNitrogenAppliedToSoilsScope1(E22,$E$30,$E$38,E45)</f>
        <v>2002.762431581185</v>
      </c>
      <c r="F52" s="55" cm="1">
        <f t="array" ref="F52">MMS_Feedlot_ManureAppliedToSoils_Equations.VEERG_4_1_1_9__1_MassOfNitrogenAppliedToSoilsScope1(F22,$E$30,$E$38,F45)</f>
        <v>70.727988893184005</v>
      </c>
      <c r="G52" s="55" cm="1">
        <f t="array" ref="G52">MMS_Feedlot_ManureAppliedToSoils_Equations.VEERG_4_1_1_9__1_MassOfNitrogenAppliedToSoilsScope1(G22,$E$30,$E$38,G45)</f>
        <v>102.15557769599998</v>
      </c>
      <c r="H52" s="2" t="str">
        <f>$E$12</f>
        <v>kg N</v>
      </c>
      <c r="L52" s="55" t="str">
        <f>'Input - Dairy'!$D$35</f>
        <v>Solid storage</v>
      </c>
      <c r="M52" s="55" cm="1">
        <f t="array" ref="M52">MMS_Feedlot_ManureAppliedToSoils_Equations.VEERG_4_1_1_9__1_MassOfNitrogenAppliedToSoilsScope1(M22,$E$30,$E$38,E45)</f>
        <v>2002.762431581185</v>
      </c>
      <c r="N52" s="55" cm="1">
        <f t="array" ref="N52">MMS_Feedlot_ManureAppliedToSoils_Equations.VEERG_4_1_1_9__1_MassOfNitrogenAppliedToSoilsScope1(N22,$E$30,$E$38,F45)</f>
        <v>70.727988893184005</v>
      </c>
      <c r="O52" s="55" cm="1">
        <f t="array" ref="O52">MMS_Feedlot_ManureAppliedToSoils_Equations.VEERG_4_1_1_9__1_MassOfNitrogenAppliedToSoilsScope1(O22,$E$30,$E$38,G45)</f>
        <v>102.15557769599998</v>
      </c>
      <c r="P52" s="2" t="str">
        <f>$E$12</f>
        <v>kg N</v>
      </c>
    </row>
    <row r="53" spans="3:17" ht="20.100000000000001" customHeight="1" x14ac:dyDescent="0.25">
      <c r="D53" s="55" t="str">
        <f>'Input - Dairy'!$D$36</f>
        <v>Composting (passive windrow)</v>
      </c>
      <c r="E53" s="55" cm="1">
        <f t="array" ref="E53">MMS_Feedlot_ManureAppliedToSoils_Equations.VEERG_4_1_1_9__1_MassOfNitrogenAppliedToSoilsScope1(E23,$E$31,$E$39,E46)</f>
        <v>6344.3212597739548</v>
      </c>
      <c r="F53" s="55" cm="1">
        <f t="array" ref="F53">MMS_Feedlot_ManureAppliedToSoils_Equations.VEERG_4_1_1_9__1_MassOfNitrogenAppliedToSoilsScope1(F23,$E$31,$E$39,F46)</f>
        <v>224.051078909952</v>
      </c>
      <c r="G53" s="55" cm="1">
        <f t="array" ref="G53">MMS_Feedlot_ManureAppliedToSoils_Equations.VEERG_4_1_1_9__1_MassOfNitrogenAppliedToSoilsScope1(G23,$E$31,$E$39,G46)</f>
        <v>323.60693068799992</v>
      </c>
      <c r="H53" s="2" t="str">
        <f>$E$12</f>
        <v>kg N</v>
      </c>
      <c r="L53" s="55" t="str">
        <f>'Input - Dairy'!$D$36</f>
        <v>Composting (passive windrow)</v>
      </c>
      <c r="M53" s="55" cm="1">
        <f t="array" ref="M53">MMS_Feedlot_ManureAppliedToSoils_Equations.VEERG_4_1_1_9__1_MassOfNitrogenAppliedToSoilsScope1(M23,$E$31,$E$39,E46)</f>
        <v>6344.3212597739548</v>
      </c>
      <c r="N53" s="55" cm="1">
        <f t="array" ref="N53">MMS_Feedlot_ManureAppliedToSoils_Equations.VEERG_4_1_1_9__1_MassOfNitrogenAppliedToSoilsScope1(N23,$E$31,$E$39,F46)</f>
        <v>224.051078909952</v>
      </c>
      <c r="O53" s="55" cm="1">
        <f t="array" ref="O53">MMS_Feedlot_ManureAppliedToSoils_Equations.VEERG_4_1_1_9__1_MassOfNitrogenAppliedToSoilsScope1(O23,$E$31,$E$39,G46)</f>
        <v>323.60693068799992</v>
      </c>
      <c r="P53" s="2" t="str">
        <f>$E$12</f>
        <v>kg N</v>
      </c>
    </row>
    <row r="54" spans="3:17" ht="20.100000000000001" customHeight="1" x14ac:dyDescent="0.25">
      <c r="D54" s="55" t="str">
        <f>'Input - Dairy'!$D$41</f>
        <v>Anaerobic lagoon</v>
      </c>
      <c r="E54" s="55" cm="1">
        <f t="array" ref="E54">MMS_Feedlot_ManureAppliedToSoils_Equations.VEERG_4_1_1_9__1_MassOfNitrogenAppliedToSoilsScope1(E24,$E$32,$E$40,E47)</f>
        <v>466.46466048000019</v>
      </c>
      <c r="F54" s="55" cm="1">
        <f t="array" ref="F54">MMS_Feedlot_ManureAppliedToSoils_Equations.VEERG_4_1_1_9__1_MassOfNitrogenAppliedToSoilsScope1(F24,$E$32,$E$40,F47)</f>
        <v>16.473300480000002</v>
      </c>
      <c r="G54" s="55" cm="1">
        <f t="array" ref="G54">MMS_Feedlot_ManureAppliedToSoils_Equations.VEERG_4_1_1_9__1_MassOfNitrogenAppliedToSoilsScope1(G24,$E$32,$E$40,G47)</f>
        <v>23.793119999999995</v>
      </c>
      <c r="H54" s="2" t="str">
        <f>$E$12</f>
        <v>kg N</v>
      </c>
      <c r="L54" s="55" t="str">
        <f>'Input - Dairy'!$D$41</f>
        <v>Anaerobic lagoon</v>
      </c>
      <c r="M54" s="55" cm="1">
        <f t="array" ref="M54">MMS_Feedlot_ManureAppliedToSoils_Equations.VEERG_4_1_1_9__1_MassOfNitrogenAppliedToSoilsScope1(M24,$E$32,$E$40,E47)</f>
        <v>466.46466048000019</v>
      </c>
      <c r="N54" s="55" cm="1">
        <f t="array" ref="N54">MMS_Feedlot_ManureAppliedToSoils_Equations.VEERG_4_1_1_9__1_MassOfNitrogenAppliedToSoilsScope1(N24,$E$32,$E$40,F47)</f>
        <v>16.473300480000002</v>
      </c>
      <c r="O54" s="55" cm="1">
        <f t="array" ref="O54">MMS_Feedlot_ManureAppliedToSoils_Equations.VEERG_4_1_1_9__1_MassOfNitrogenAppliedToSoilsScope1(O24,$E$32,$E$40,G47)</f>
        <v>23.793119999999995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257</v>
      </c>
      <c r="E56" s="111">
        <f>SUM(E52:G54)</f>
        <v>9574.3563485022751</v>
      </c>
      <c r="F56" s="112" t="str">
        <f>$E$12</f>
        <v>kg N</v>
      </c>
      <c r="L56" s="110" t="s">
        <v>257</v>
      </c>
      <c r="M56" s="111">
        <f>SUM(M52:O54)</f>
        <v>9574.3563485022751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261</v>
      </c>
      <c r="L74" s="105" t="s">
        <v>266</v>
      </c>
    </row>
    <row r="75" spans="4:16" ht="20.100000000000001" customHeight="1" x14ac:dyDescent="0.25">
      <c r="D75" s="104" t="s">
        <v>269</v>
      </c>
      <c r="L75" s="104" t="s">
        <v>267</v>
      </c>
    </row>
    <row r="76" spans="4:16" ht="20.100000000000001" customHeight="1" x14ac:dyDescent="0.25">
      <c r="D76" s="54" t="s">
        <v>68</v>
      </c>
      <c r="E76" s="54" t="s">
        <v>149</v>
      </c>
      <c r="F76" s="54" t="s">
        <v>150</v>
      </c>
      <c r="G76" s="54" t="s">
        <v>151</v>
      </c>
      <c r="L76" s="54" t="s">
        <v>68</v>
      </c>
      <c r="M76" s="54" t="s">
        <v>149</v>
      </c>
      <c r="N76" s="54" t="s">
        <v>150</v>
      </c>
      <c r="O76" s="54" t="s">
        <v>151</v>
      </c>
    </row>
    <row r="77" spans="4:16" ht="20.100000000000001" customHeight="1" x14ac:dyDescent="0.25">
      <c r="D77" s="55" t="str">
        <f>'Input - Dairy'!$D$35</f>
        <v>Solid storage</v>
      </c>
      <c r="E77" s="55" cm="1">
        <f t="array" ref="E77">MMS_Feedlot_ManureAppliedToSoils_Equations.VEERG_4_1_1_9__2_MassOfNitrogenAppliedToSoilsScope3(E22,$E30,$E38,E45)</f>
        <v>2002.762431581185</v>
      </c>
      <c r="F77" s="55" cm="1">
        <f t="array" ref="F77">MMS_Feedlot_ManureAppliedToSoils_Equations.VEERG_4_1_1_9__2_MassOfNitrogenAppliedToSoilsScope3(F22,$E30,$E38,F45)</f>
        <v>70.727988893184005</v>
      </c>
      <c r="G77" s="55" cm="1">
        <f t="array" ref="G77">MMS_Feedlot_ManureAppliedToSoils_Equations.VEERG_4_1_1_9__2_MassOfNitrogenAppliedToSoilsScope3(G22,$E30,$E38,G45)</f>
        <v>102.15557769599998</v>
      </c>
      <c r="H77" s="2" t="str">
        <f>$E$12</f>
        <v>kg N</v>
      </c>
      <c r="L77" s="55" t="str">
        <f>'Input - Dairy'!$D$35</f>
        <v>Solid storage</v>
      </c>
      <c r="M77" s="55" cm="1">
        <f t="array" ref="M77">MMS_Feedlot_ManureAppliedToSoils_Equations.VEERG_4_1_1_9__2_MassOfNitrogenAppliedToSoilsScope3(M22,$E30,$E38,E45)</f>
        <v>2002.762431581185</v>
      </c>
      <c r="N77" s="55" cm="1">
        <f t="array" ref="N77">MMS_Feedlot_ManureAppliedToSoils_Equations.VEERG_4_1_1_9__2_MassOfNitrogenAppliedToSoilsScope3(N22,$E30,$E38,F45)</f>
        <v>70.727988893184005</v>
      </c>
      <c r="O77" s="55" cm="1">
        <f t="array" ref="O77">MMS_Feedlot_ManureAppliedToSoils_Equations.VEERG_4_1_1_9__2_MassOfNitrogenAppliedToSoilsScope3(O22,$E30,$E38,G45)</f>
        <v>102.15557769599998</v>
      </c>
      <c r="P77" s="2" t="str">
        <f>$E$12</f>
        <v>kg N</v>
      </c>
    </row>
    <row r="78" spans="4:16" ht="20.100000000000001" customHeight="1" x14ac:dyDescent="0.25">
      <c r="D78" s="55" t="str">
        <f>'Input - Dairy'!$D$36</f>
        <v>Composting (passive windrow)</v>
      </c>
      <c r="E78" s="55" cm="1">
        <f t="array" ref="E78">MMS_Feedlot_ManureAppliedToSoils_Equations.VEERG_4_1_1_9__2_MassOfNitrogenAppliedToSoilsScope3(E23,$E31,$E39,E46)</f>
        <v>6344.3212597739548</v>
      </c>
      <c r="F78" s="55" cm="1">
        <f t="array" ref="F78">MMS_Feedlot_ManureAppliedToSoils_Equations.VEERG_4_1_1_9__2_MassOfNitrogenAppliedToSoilsScope3(F23,$E31,$E39,F46)</f>
        <v>224.051078909952</v>
      </c>
      <c r="G78" s="55" cm="1">
        <f t="array" ref="G78">MMS_Feedlot_ManureAppliedToSoils_Equations.VEERG_4_1_1_9__2_MassOfNitrogenAppliedToSoilsScope3(G23,$E31,$E39,G46)</f>
        <v>323.60693068799992</v>
      </c>
      <c r="H78" s="2" t="str">
        <f>$E$12</f>
        <v>kg N</v>
      </c>
      <c r="L78" s="55" t="str">
        <f>'Input - Dairy'!$D$36</f>
        <v>Composting (passive windrow)</v>
      </c>
      <c r="M78" s="55" cm="1">
        <f t="array" ref="M78">MMS_Feedlot_ManureAppliedToSoils_Equations.VEERG_4_1_1_9__2_MassOfNitrogenAppliedToSoilsScope3(M23,$E31,$E39,E46)</f>
        <v>6344.3212597739548</v>
      </c>
      <c r="N78" s="55" cm="1">
        <f t="array" ref="N78">MMS_Feedlot_ManureAppliedToSoils_Equations.VEERG_4_1_1_9__2_MassOfNitrogenAppliedToSoilsScope3(N23,$E31,$E39,F46)</f>
        <v>224.051078909952</v>
      </c>
      <c r="O78" s="55" cm="1">
        <f t="array" ref="O78">MMS_Feedlot_ManureAppliedToSoils_Equations.VEERG_4_1_1_9__2_MassOfNitrogenAppliedToSoilsScope3(O23,$E31,$E39,G46)</f>
        <v>323.60693068799992</v>
      </c>
      <c r="P78" s="2" t="str">
        <f>$E$12</f>
        <v>kg N</v>
      </c>
    </row>
    <row r="79" spans="4:16" ht="20.100000000000001" customHeight="1" x14ac:dyDescent="0.25">
      <c r="D79" s="55" t="str">
        <f>'Input - Dairy'!$D$41</f>
        <v>Anaerobic lagoon</v>
      </c>
      <c r="E79" s="55" cm="1">
        <f t="array" ref="E79">MMS_Feedlot_ManureAppliedToSoils_Equations.VEERG_4_1_1_9__2_MassOfNitrogenAppliedToSoilsScope3(E24,$E32,$E40,E47)</f>
        <v>466.46466048000019</v>
      </c>
      <c r="F79" s="55" cm="1">
        <f t="array" ref="F79">MMS_Feedlot_ManureAppliedToSoils_Equations.VEERG_4_1_1_9__2_MassOfNitrogenAppliedToSoilsScope3(F24,$E32,$E40,F47)</f>
        <v>16.473300480000002</v>
      </c>
      <c r="G79" s="55" cm="1">
        <f t="array" ref="G79">MMS_Feedlot_ManureAppliedToSoils_Equations.VEERG_4_1_1_9__2_MassOfNitrogenAppliedToSoilsScope3(G24,$E32,$E40,G47)</f>
        <v>23.793119999999995</v>
      </c>
      <c r="H79" s="2" t="str">
        <f>$E$12</f>
        <v>kg N</v>
      </c>
      <c r="L79" s="55" t="str">
        <f>'Input - Dairy'!$D$41</f>
        <v>Anaerobic lagoon</v>
      </c>
      <c r="M79" s="55" cm="1">
        <f t="array" ref="M79">MMS_Feedlot_ManureAppliedToSoils_Equations.VEERG_4_1_1_9__2_MassOfNitrogenAppliedToSoilsScope3(M24,$E32,$E40,E47)</f>
        <v>466.46466048000019</v>
      </c>
      <c r="N79" s="55" cm="1">
        <f t="array" ref="N79">MMS_Feedlot_ManureAppliedToSoils_Equations.VEERG_4_1_1_9__2_MassOfNitrogenAppliedToSoilsScope3(N24,$E32,$E40,F47)</f>
        <v>16.473300480000002</v>
      </c>
      <c r="O79" s="55" cm="1">
        <f t="array" ref="O79">MMS_Feedlot_ManureAppliedToSoils_Equations.VEERG_4_1_1_9__2_MassOfNitrogenAppliedToSoilsScope3(O24,$E32,$E40,G47)</f>
        <v>23.793119999999995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263</v>
      </c>
      <c r="E81" s="111">
        <f>SUM(E77:G79)</f>
        <v>9574.3563485022751</v>
      </c>
      <c r="F81" s="112" t="str">
        <f>$E$12</f>
        <v>kg N</v>
      </c>
      <c r="L81" s="110" t="s">
        <v>263</v>
      </c>
      <c r="M81" s="111">
        <f>SUM(M77:O79)</f>
        <v>9574.3563485022751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6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3" t="str">
        <f>"Below are applications of " &amp; D61 &amp; " that are applied to the following contexts:"</f>
        <v>Below are applications of VEERG 2026: 4.1.1.9, Equation (2)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124" t="s">
        <v>282</v>
      </c>
      <c r="E86" s="122"/>
      <c r="F86" s="122"/>
      <c r="G86" s="122"/>
      <c r="H86" s="125"/>
    </row>
    <row r="87" spans="3:17" ht="20.100000000000001" customHeight="1" x14ac:dyDescent="0.25">
      <c r="D87" s="97" t="s">
        <v>283</v>
      </c>
      <c r="E87" s="94"/>
      <c r="F87" s="94"/>
      <c r="G87" s="94"/>
      <c r="H87" s="92"/>
    </row>
    <row r="88" spans="3:17" ht="20.100000000000001" customHeight="1" x14ac:dyDescent="0.25"/>
    <row r="89" spans="3:17" ht="20.100000000000001" customHeight="1" x14ac:dyDescent="0.25">
      <c r="D89" s="6" t="s">
        <v>279</v>
      </c>
    </row>
    <row r="90" spans="3:17" ht="20.100000000000001" customHeight="1" x14ac:dyDescent="0.25">
      <c r="D90" s="105" t="s">
        <v>259</v>
      </c>
    </row>
    <row r="91" spans="3:17" ht="20.100000000000001" customHeight="1" x14ac:dyDescent="0.25">
      <c r="D91" s="104" t="s">
        <v>260</v>
      </c>
    </row>
    <row r="92" spans="3:17" ht="20.100000000000001" customHeight="1" x14ac:dyDescent="0.25">
      <c r="D92" s="54" t="s">
        <v>68</v>
      </c>
      <c r="E92" s="54" t="s">
        <v>149</v>
      </c>
      <c r="F92" s="54" t="s">
        <v>150</v>
      </c>
      <c r="G92" s="54" t="s">
        <v>151</v>
      </c>
      <c r="H92" s="48"/>
    </row>
    <row r="93" spans="3:17" ht="20.100000000000001" customHeight="1" x14ac:dyDescent="0.25">
      <c r="D93" s="55" t="str">
        <f>'Input - Dairy'!$D$35</f>
        <v>Solid storage</v>
      </c>
      <c r="E93" s="55">
        <f>'Input - Dairy'!E48</f>
        <v>0.25</v>
      </c>
      <c r="F93" s="55">
        <f>'Input - Dairy'!F48</f>
        <v>0.25</v>
      </c>
      <c r="G93" s="55">
        <f>'Input - Dairy'!G48</f>
        <v>0.25</v>
      </c>
      <c r="H93" s="2" t="s">
        <v>101</v>
      </c>
    </row>
    <row r="94" spans="3:17" ht="20.100000000000001" customHeight="1" x14ac:dyDescent="0.25">
      <c r="D94" s="55" t="str">
        <f>'Input - Dairy'!$D$36</f>
        <v>Composting (passive windrow)</v>
      </c>
      <c r="E94" s="55">
        <f>'Input - Dairy'!E53</f>
        <v>0.25</v>
      </c>
      <c r="F94" s="55">
        <f>'Input - Dairy'!F53</f>
        <v>0.25</v>
      </c>
      <c r="G94" s="55">
        <f>'Input - Dairy'!G53</f>
        <v>0.25</v>
      </c>
      <c r="H94" s="2" t="s">
        <v>101</v>
      </c>
    </row>
    <row r="95" spans="3:17" ht="20.100000000000001" customHeight="1" x14ac:dyDescent="0.25">
      <c r="D95" s="55" t="str">
        <f>'Input - Dairy'!$D$41</f>
        <v>Anaerobic lagoon</v>
      </c>
      <c r="E95" s="55">
        <f>'Input - Dairy'!E58</f>
        <v>0.25</v>
      </c>
      <c r="F95" s="55">
        <f>'Input - Dairy'!F58</f>
        <v>0.25</v>
      </c>
      <c r="G95" s="55">
        <f>'Input - Dairy'!G58</f>
        <v>0.25</v>
      </c>
      <c r="H95" s="2" t="s">
        <v>101</v>
      </c>
    </row>
    <row r="96" spans="3:17" ht="20.100000000000001" customHeight="1" x14ac:dyDescent="0.25"/>
    <row r="97" spans="3:17" ht="20.100000000000001" customHeight="1" x14ac:dyDescent="0.25">
      <c r="D97" s="105" t="s">
        <v>262</v>
      </c>
      <c r="L97" s="105" t="s">
        <v>264</v>
      </c>
    </row>
    <row r="98" spans="3:17" ht="20.100000000000001" customHeight="1" x14ac:dyDescent="0.25">
      <c r="D98" s="104" t="s">
        <v>268</v>
      </c>
      <c r="L98" s="104" t="s">
        <v>265</v>
      </c>
    </row>
    <row r="99" spans="3:17" ht="20.100000000000001" customHeight="1" x14ac:dyDescent="0.25">
      <c r="D99" s="54" t="s">
        <v>68</v>
      </c>
      <c r="E99" s="54" t="s">
        <v>149</v>
      </c>
      <c r="F99" s="54" t="s">
        <v>150</v>
      </c>
      <c r="G99" s="54" t="s">
        <v>151</v>
      </c>
      <c r="L99" s="54" t="s">
        <v>68</v>
      </c>
      <c r="M99" s="54" t="s">
        <v>149</v>
      </c>
      <c r="N99" s="54" t="s">
        <v>150</v>
      </c>
      <c r="O99" s="54" t="s">
        <v>151</v>
      </c>
    </row>
    <row r="100" spans="3:17" ht="20.100000000000001" customHeight="1" x14ac:dyDescent="0.25">
      <c r="D100" s="55" t="str">
        <f>'Input - Dairy'!$D$35</f>
        <v>Solid storage</v>
      </c>
      <c r="E100" s="55" cm="1">
        <f t="array" ref="E100">MMS_Feedlot_ManureAppliedToSoils_Equations.VEERG_4_1_1_9__1_MassOfNitrogenAppliedToSoilsScope1(E22,$E$30,$E$38,E93)</f>
        <v>1001.3812157905925</v>
      </c>
      <c r="F100" s="55" cm="1">
        <f t="array" ref="F100">MMS_Feedlot_ManureAppliedToSoils_Equations.VEERG_4_1_1_9__1_MassOfNitrogenAppliedToSoilsScope1(F22,$E$30,$E$38,F93)</f>
        <v>35.363994446592002</v>
      </c>
      <c r="G100" s="55" cm="1">
        <f t="array" ref="G100">MMS_Feedlot_ManureAppliedToSoils_Equations.VEERG_4_1_1_9__1_MassOfNitrogenAppliedToSoilsScope1(G22,$E$30,$E$38,G93)</f>
        <v>51.07778884799999</v>
      </c>
      <c r="H100" s="2" t="str">
        <f>$E$12</f>
        <v>kg N</v>
      </c>
      <c r="L100" s="55" t="str">
        <f>'Input - Dairy'!$D$35</f>
        <v>Solid storage</v>
      </c>
      <c r="M100" s="55" cm="1">
        <f t="array" ref="M100">MMS_Feedlot_ManureAppliedToSoils_Equations.VEERG_4_1_1_9__1_MassOfNitrogenAppliedToSoilsScope1(M22,$E$30,$E$38,E93)</f>
        <v>1001.3812157905925</v>
      </c>
      <c r="N100" s="55" cm="1">
        <f t="array" ref="N100">MMS_Feedlot_ManureAppliedToSoils_Equations.VEERG_4_1_1_9__1_MassOfNitrogenAppliedToSoilsScope1(N22,$E$30,$E$38,F93)</f>
        <v>35.363994446592002</v>
      </c>
      <c r="O100" s="55" cm="1">
        <f t="array" ref="O100">MMS_Feedlot_ManureAppliedToSoils_Equations.VEERG_4_1_1_9__1_MassOfNitrogenAppliedToSoilsScope1(O22,$E$30,$E$38,G93)</f>
        <v>51.07778884799999</v>
      </c>
      <c r="P100" s="2" t="str">
        <f>$E$12</f>
        <v>kg N</v>
      </c>
    </row>
    <row r="101" spans="3:17" ht="20.100000000000001" customHeight="1" x14ac:dyDescent="0.25">
      <c r="D101" s="55" t="str">
        <f>'Input - Dairy'!$D$36</f>
        <v>Composting (passive windrow)</v>
      </c>
      <c r="E101" s="55" cm="1">
        <f t="array" ref="E101">MMS_Feedlot_ManureAppliedToSoils_Equations.VEERG_4_1_1_9__1_MassOfNitrogenAppliedToSoilsScope1(E23,$E$31,$E$39,E94)</f>
        <v>3172.1606298869774</v>
      </c>
      <c r="F101" s="55" cm="1">
        <f t="array" ref="F101">MMS_Feedlot_ManureAppliedToSoils_Equations.VEERG_4_1_1_9__1_MassOfNitrogenAppliedToSoilsScope1(F23,$E$31,$E$39,F94)</f>
        <v>112.025539454976</v>
      </c>
      <c r="G101" s="55" cm="1">
        <f t="array" ref="G101">MMS_Feedlot_ManureAppliedToSoils_Equations.VEERG_4_1_1_9__1_MassOfNitrogenAppliedToSoilsScope1(G23,$E$31,$E$39,G94)</f>
        <v>161.80346534399996</v>
      </c>
      <c r="H101" s="2" t="str">
        <f>$E$12</f>
        <v>kg N</v>
      </c>
      <c r="L101" s="55" t="str">
        <f>'Input - Dairy'!$D$36</f>
        <v>Composting (passive windrow)</v>
      </c>
      <c r="M101" s="55" cm="1">
        <f t="array" ref="M101">MMS_Feedlot_ManureAppliedToSoils_Equations.VEERG_4_1_1_9__1_MassOfNitrogenAppliedToSoilsScope1(M23,$E$31,$E$39,E94)</f>
        <v>3172.1606298869774</v>
      </c>
      <c r="N101" s="55" cm="1">
        <f t="array" ref="N101">MMS_Feedlot_ManureAppliedToSoils_Equations.VEERG_4_1_1_9__1_MassOfNitrogenAppliedToSoilsScope1(N23,$E$31,$E$39,F94)</f>
        <v>112.025539454976</v>
      </c>
      <c r="O101" s="55" cm="1">
        <f t="array" ref="O101">MMS_Feedlot_ManureAppliedToSoils_Equations.VEERG_4_1_1_9__1_MassOfNitrogenAppliedToSoilsScope1(O23,$E$31,$E$39,G94)</f>
        <v>161.80346534399996</v>
      </c>
      <c r="P101" s="2" t="str">
        <f>$E$12</f>
        <v>kg N</v>
      </c>
    </row>
    <row r="102" spans="3:17" ht="20.100000000000001" customHeight="1" x14ac:dyDescent="0.25">
      <c r="D102" s="55" t="str">
        <f>'Input - Dairy'!$D$41</f>
        <v>Anaerobic lagoon</v>
      </c>
      <c r="E102" s="55" cm="1">
        <f t="array" ref="E102">MMS_Feedlot_ManureAppliedToSoils_Equations.VEERG_4_1_1_9__1_MassOfNitrogenAppliedToSoilsScope1(E24,$E$32,$E$40,E95)</f>
        <v>233.2323302400001</v>
      </c>
      <c r="F102" s="55" cm="1">
        <f t="array" ref="F102">MMS_Feedlot_ManureAppliedToSoils_Equations.VEERG_4_1_1_9__1_MassOfNitrogenAppliedToSoilsScope1(F24,$E$32,$E$40,F95)</f>
        <v>8.2366502400000012</v>
      </c>
      <c r="G102" s="55" cm="1">
        <f t="array" ref="G102">MMS_Feedlot_ManureAppliedToSoils_Equations.VEERG_4_1_1_9__1_MassOfNitrogenAppliedToSoilsScope1(G24,$E$32,$E$40,G95)</f>
        <v>11.896559999999997</v>
      </c>
      <c r="H102" s="2" t="str">
        <f>$E$12</f>
        <v>kg N</v>
      </c>
      <c r="L102" s="55" t="str">
        <f>'Input - Dairy'!$D$41</f>
        <v>Anaerobic lagoon</v>
      </c>
      <c r="M102" s="55" cm="1">
        <f t="array" ref="M102">MMS_Feedlot_ManureAppliedToSoils_Equations.VEERG_4_1_1_9__1_MassOfNitrogenAppliedToSoilsScope1(M24,$E$32,$E$40,E95)</f>
        <v>233.2323302400001</v>
      </c>
      <c r="N102" s="55" cm="1">
        <f t="array" ref="N102">MMS_Feedlot_ManureAppliedToSoils_Equations.VEERG_4_1_1_9__1_MassOfNitrogenAppliedToSoilsScope1(N24,$E$32,$E$40,F95)</f>
        <v>8.2366502400000012</v>
      </c>
      <c r="O102" s="55" cm="1">
        <f t="array" ref="O102">MMS_Feedlot_ManureAppliedToSoils_Equations.VEERG_4_1_1_9__1_MassOfNitrogenAppliedToSoilsScope1(O24,$E$32,$E$40,G95)</f>
        <v>11.896559999999997</v>
      </c>
      <c r="P102" s="2" t="str">
        <f>$E$12</f>
        <v>kg N</v>
      </c>
    </row>
    <row r="103" spans="3:17" ht="20.100000000000001" customHeight="1" x14ac:dyDescent="0.25"/>
    <row r="104" spans="3:17" ht="20.100000000000001" customHeight="1" x14ac:dyDescent="0.25">
      <c r="D104" s="110" t="s">
        <v>284</v>
      </c>
      <c r="E104" s="111">
        <f>SUM(E100:G102)</f>
        <v>4787.1781742511375</v>
      </c>
      <c r="F104" s="112" t="str">
        <f>$E$12</f>
        <v>kg N</v>
      </c>
      <c r="L104" s="110" t="s">
        <v>284</v>
      </c>
      <c r="M104" s="111">
        <f>SUM(M100:O102)</f>
        <v>4787.1781742511375</v>
      </c>
      <c r="N104" s="112" t="str">
        <f>$E$12</f>
        <v>kg N</v>
      </c>
    </row>
    <row r="105" spans="3:17" ht="20.100000000000001" customHeight="1" x14ac:dyDescent="0.25"/>
    <row r="106" spans="3:17" ht="20.100000000000001" customHeight="1" x14ac:dyDescent="0.25"/>
    <row r="107" spans="3:17" ht="20.100000000000001" customHeight="1" x14ac:dyDescent="0.25">
      <c r="C107" s="48"/>
      <c r="D107" s="48"/>
      <c r="E107" s="48"/>
      <c r="F107" s="48"/>
      <c r="G107" s="48"/>
      <c r="H107" s="48"/>
      <c r="I107" s="48"/>
      <c r="K107" s="48"/>
      <c r="L107" s="48"/>
      <c r="M107" s="48"/>
      <c r="N107" s="48"/>
      <c r="O107" s="48"/>
      <c r="P107" s="48"/>
      <c r="Q107" s="48"/>
    </row>
    <row r="108" spans="3:17" ht="20.100000000000001" customHeight="1" x14ac:dyDescent="0.25">
      <c r="D108" s="6" t="s">
        <v>280</v>
      </c>
    </row>
    <row r="109" spans="3:17" ht="20.100000000000001" customHeight="1" x14ac:dyDescent="0.25">
      <c r="D109" s="105" t="s">
        <v>273</v>
      </c>
    </row>
    <row r="110" spans="3:17" ht="20.100000000000001" customHeight="1" x14ac:dyDescent="0.25">
      <c r="D110" s="104" t="s">
        <v>274</v>
      </c>
    </row>
    <row r="111" spans="3:17" ht="20.100000000000001" customHeight="1" x14ac:dyDescent="0.25">
      <c r="D111" s="54" t="s">
        <v>68</v>
      </c>
      <c r="E111" s="54" t="s">
        <v>149</v>
      </c>
      <c r="F111" s="54" t="s">
        <v>150</v>
      </c>
      <c r="G111" s="54" t="s">
        <v>151</v>
      </c>
    </row>
    <row r="112" spans="3:17" ht="20.100000000000001" customHeight="1" x14ac:dyDescent="0.25">
      <c r="D112" s="55" t="str">
        <f>'Input - Dairy'!$D$35</f>
        <v>Solid storage</v>
      </c>
      <c r="E112" s="55">
        <f>'Input - Dairy'!E47</f>
        <v>0.25</v>
      </c>
      <c r="F112" s="55">
        <f>'Input - Dairy'!F47</f>
        <v>0.25</v>
      </c>
      <c r="G112" s="55">
        <f>'Input - Dairy'!G47</f>
        <v>0.25</v>
      </c>
      <c r="H112" s="2" t="s">
        <v>101</v>
      </c>
    </row>
    <row r="113" spans="4:16" ht="20.100000000000001" customHeight="1" x14ac:dyDescent="0.25">
      <c r="D113" s="55" t="str">
        <f>'Input - Dairy'!$D$36</f>
        <v>Composting (passive windrow)</v>
      </c>
      <c r="E113" s="55">
        <f>'Input - Dairy'!E52</f>
        <v>0.25</v>
      </c>
      <c r="F113" s="55">
        <f>'Input - Dairy'!F52</f>
        <v>0.25</v>
      </c>
      <c r="G113" s="55">
        <f>'Input - Dairy'!G52</f>
        <v>0.25</v>
      </c>
      <c r="H113" s="2" t="s">
        <v>101</v>
      </c>
    </row>
    <row r="114" spans="4:16" ht="20.100000000000001" customHeight="1" x14ac:dyDescent="0.25">
      <c r="D114" s="55" t="str">
        <f>'Input - Dairy'!$D$41</f>
        <v>Anaerobic lagoon</v>
      </c>
      <c r="E114" s="55">
        <f>'Input - Dairy'!E57</f>
        <v>0.25</v>
      </c>
      <c r="F114" s="55">
        <f>'Input - Dairy'!F57</f>
        <v>0.25</v>
      </c>
      <c r="G114" s="55">
        <f>'Input - Dairy'!G57</f>
        <v>0.25</v>
      </c>
      <c r="H114" s="2" t="s">
        <v>101</v>
      </c>
    </row>
    <row r="115" spans="4:16" ht="20.100000000000001" customHeight="1" x14ac:dyDescent="0.25"/>
    <row r="116" spans="4:16" ht="20.100000000000001" customHeight="1" x14ac:dyDescent="0.25">
      <c r="D116" s="105" t="s">
        <v>275</v>
      </c>
      <c r="L116" s="105" t="s">
        <v>276</v>
      </c>
    </row>
    <row r="117" spans="4:16" ht="20.100000000000001" customHeight="1" x14ac:dyDescent="0.25">
      <c r="D117" s="104" t="s">
        <v>278</v>
      </c>
      <c r="L117" s="104" t="s">
        <v>277</v>
      </c>
    </row>
    <row r="118" spans="4:16" ht="20.100000000000001" customHeight="1" x14ac:dyDescent="0.25">
      <c r="D118" s="54" t="s">
        <v>68</v>
      </c>
      <c r="E118" s="54" t="s">
        <v>149</v>
      </c>
      <c r="F118" s="54" t="s">
        <v>150</v>
      </c>
      <c r="G118" s="54" t="s">
        <v>151</v>
      </c>
      <c r="L118" s="54" t="s">
        <v>68</v>
      </c>
      <c r="M118" s="54" t="s">
        <v>149</v>
      </c>
      <c r="N118" s="54" t="s">
        <v>150</v>
      </c>
      <c r="O118" s="54" t="s">
        <v>151</v>
      </c>
    </row>
    <row r="119" spans="4:16" ht="20.100000000000001" customHeight="1" x14ac:dyDescent="0.25">
      <c r="D119" s="55" t="str">
        <f>'Input - Dairy'!$D$35</f>
        <v>Solid storage</v>
      </c>
      <c r="E119" s="55" cm="1">
        <f t="array" ref="E119">MMS_Feedlot_ManureAppliedToSoils_Equations.VEERG_4_1_1_9__1_MassOfNitrogenAppliedToSoilsScope1(E22,$E$30,$E$38,E112)</f>
        <v>1001.3812157905925</v>
      </c>
      <c r="F119" s="55" cm="1">
        <f t="array" ref="F119">MMS_Feedlot_ManureAppliedToSoils_Equations.VEERG_4_1_1_9__1_MassOfNitrogenAppliedToSoilsScope1(F22,$E$30,$E$38,F112)</f>
        <v>35.363994446592002</v>
      </c>
      <c r="G119" s="55" cm="1">
        <f t="array" ref="G119">MMS_Feedlot_ManureAppliedToSoils_Equations.VEERG_4_1_1_9__1_MassOfNitrogenAppliedToSoilsScope1(G22,$E$30,$E$38,G112)</f>
        <v>51.07778884799999</v>
      </c>
      <c r="H119" s="2" t="str">
        <f>$E$12</f>
        <v>kg N</v>
      </c>
      <c r="L119" s="55" t="str">
        <f>'Input - Dairy'!$D$35</f>
        <v>Solid storage</v>
      </c>
      <c r="M119" s="55" cm="1">
        <f t="array" ref="M119">MMS_Feedlot_ManureAppliedToSoils_Equations.VEERG_4_1_1_9__1_MassOfNitrogenAppliedToSoilsScope1(M22,$E$30,$E$38,E112)</f>
        <v>1001.3812157905925</v>
      </c>
      <c r="N119" s="55" cm="1">
        <f t="array" ref="N119">MMS_Feedlot_ManureAppliedToSoils_Equations.VEERG_4_1_1_9__1_MassOfNitrogenAppliedToSoilsScope1(N22,$E$30,$E$38,F112)</f>
        <v>35.363994446592002</v>
      </c>
      <c r="O119" s="55" cm="1">
        <f t="array" ref="O119">MMS_Feedlot_ManureAppliedToSoils_Equations.VEERG_4_1_1_9__1_MassOfNitrogenAppliedToSoilsScope1(O22,$E$30,$E$38,G112)</f>
        <v>51.07778884799999</v>
      </c>
      <c r="P119" s="2" t="str">
        <f>$E$12</f>
        <v>kg N</v>
      </c>
    </row>
    <row r="120" spans="4:16" ht="20.100000000000001" customHeight="1" x14ac:dyDescent="0.25">
      <c r="D120" s="55" t="str">
        <f>'Input - Dairy'!$D$36</f>
        <v>Composting (passive windrow)</v>
      </c>
      <c r="E120" s="55" cm="1">
        <f t="array" ref="E120">MMS_Feedlot_ManureAppliedToSoils_Equations.VEERG_4_1_1_9__1_MassOfNitrogenAppliedToSoilsScope1(E23,$E$31,$E$39,E113)</f>
        <v>3172.1606298869774</v>
      </c>
      <c r="F120" s="55" cm="1">
        <f t="array" ref="F120">MMS_Feedlot_ManureAppliedToSoils_Equations.VEERG_4_1_1_9__1_MassOfNitrogenAppliedToSoilsScope1(F23,$E$31,$E$39,F113)</f>
        <v>112.025539454976</v>
      </c>
      <c r="G120" s="55" cm="1">
        <f t="array" ref="G120">MMS_Feedlot_ManureAppliedToSoils_Equations.VEERG_4_1_1_9__1_MassOfNitrogenAppliedToSoilsScope1(G23,$E$31,$E$39,G113)</f>
        <v>161.80346534399996</v>
      </c>
      <c r="H120" s="2" t="str">
        <f>$E$12</f>
        <v>kg N</v>
      </c>
      <c r="L120" s="55" t="str">
        <f>'Input - Dairy'!$D$36</f>
        <v>Composting (passive windrow)</v>
      </c>
      <c r="M120" s="55" cm="1">
        <f t="array" ref="M120">MMS_Feedlot_ManureAppliedToSoils_Equations.VEERG_4_1_1_9__1_MassOfNitrogenAppliedToSoilsScope1(M23,$E$31,$E$39,E113)</f>
        <v>3172.1606298869774</v>
      </c>
      <c r="N120" s="55" cm="1">
        <f t="array" ref="N120">MMS_Feedlot_ManureAppliedToSoils_Equations.VEERG_4_1_1_9__1_MassOfNitrogenAppliedToSoilsScope1(N23,$E$31,$E$39,F113)</f>
        <v>112.025539454976</v>
      </c>
      <c r="O120" s="55" cm="1">
        <f t="array" ref="O120">MMS_Feedlot_ManureAppliedToSoils_Equations.VEERG_4_1_1_9__1_MassOfNitrogenAppliedToSoilsScope1(O23,$E$31,$E$39,G113)</f>
        <v>161.80346534399996</v>
      </c>
      <c r="P120" s="2" t="str">
        <f>$E$12</f>
        <v>kg N</v>
      </c>
    </row>
    <row r="121" spans="4:16" ht="20.100000000000001" customHeight="1" x14ac:dyDescent="0.25">
      <c r="D121" s="55" t="str">
        <f>'Input - Dairy'!$D$41</f>
        <v>Anaerobic lagoon</v>
      </c>
      <c r="E121" s="55" cm="1">
        <f t="array" ref="E121">MMS_Feedlot_ManureAppliedToSoils_Equations.VEERG_4_1_1_9__1_MassOfNitrogenAppliedToSoilsScope1(E24,$E$32,$E$40,E114)</f>
        <v>233.2323302400001</v>
      </c>
      <c r="F121" s="55" cm="1">
        <f t="array" ref="F121">MMS_Feedlot_ManureAppliedToSoils_Equations.VEERG_4_1_1_9__1_MassOfNitrogenAppliedToSoilsScope1(F24,$E$32,$E$40,F114)</f>
        <v>8.2366502400000012</v>
      </c>
      <c r="G121" s="55" cm="1">
        <f t="array" ref="G121">MMS_Feedlot_ManureAppliedToSoils_Equations.VEERG_4_1_1_9__1_MassOfNitrogenAppliedToSoilsScope1(G24,$E$32,$E$40,G114)</f>
        <v>11.896559999999997</v>
      </c>
      <c r="H121" s="2" t="str">
        <f>$E$12</f>
        <v>kg N</v>
      </c>
      <c r="L121" s="55" t="str">
        <f>'Input - Dairy'!$D$41</f>
        <v>Anaerobic lagoon</v>
      </c>
      <c r="M121" s="55" cm="1">
        <f t="array" ref="M121">MMS_Feedlot_ManureAppliedToSoils_Equations.VEERG_4_1_1_9__1_MassOfNitrogenAppliedToSoilsScope1(M24,$E$32,$E$40,E114)</f>
        <v>233.2323302400001</v>
      </c>
      <c r="N121" s="55" cm="1">
        <f t="array" ref="N121">MMS_Feedlot_ManureAppliedToSoils_Equations.VEERG_4_1_1_9__1_MassOfNitrogenAppliedToSoilsScope1(N24,$E$32,$E$40,F114)</f>
        <v>8.2366502400000012</v>
      </c>
      <c r="O121" s="55" cm="1">
        <f t="array" ref="O121">MMS_Feedlot_ManureAppliedToSoils_Equations.VEERG_4_1_1_9__1_MassOfNitrogenAppliedToSoilsScope1(O24,$E$32,$E$40,G114)</f>
        <v>11.896559999999997</v>
      </c>
      <c r="P121" s="2" t="str">
        <f>$E$12</f>
        <v>kg N</v>
      </c>
    </row>
    <row r="122" spans="4:16" ht="20.100000000000001" customHeight="1" x14ac:dyDescent="0.25"/>
    <row r="123" spans="4:16" ht="20.100000000000001" customHeight="1" x14ac:dyDescent="0.25">
      <c r="D123" s="110" t="s">
        <v>281</v>
      </c>
      <c r="E123" s="111">
        <f>SUM(E119:G121)</f>
        <v>4787.1781742511375</v>
      </c>
      <c r="F123" s="112" t="str">
        <f>$E$12</f>
        <v>kg N</v>
      </c>
      <c r="L123" s="110" t="s">
        <v>281</v>
      </c>
      <c r="M123" s="111">
        <f>SUM(M119:O121)</f>
        <v>4787.1781742511375</v>
      </c>
      <c r="N123" s="112" t="str">
        <f>$E$12</f>
        <v>kg N</v>
      </c>
    </row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abSelected="1" workbookViewId="0">
      <selection activeCell="A29" sqref="A2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148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119</v>
      </c>
      <c r="G25" s="6" t="s">
        <v>312</v>
      </c>
      <c r="J25" s="6" t="s">
        <v>314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313</v>
      </c>
      <c r="J27" s="39" t="s">
        <v>310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Common'!$F$175</f>
        <v>Production system only</v>
      </c>
      <c r="J28" s="39" t="s">
        <v>315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Common'!$F$176</f>
        <v>Pasture</v>
      </c>
      <c r="J29" s="39" t="s">
        <v>316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317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318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319</v>
      </c>
      <c r="M32" s="1"/>
    </row>
    <row r="33" spans="4:13" ht="20.100000000000001" customHeight="1" x14ac:dyDescent="0.25">
      <c r="D33" s="1" t="s">
        <v>108</v>
      </c>
      <c r="E33" s="39" t="s">
        <v>108</v>
      </c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143</v>
      </c>
      <c r="E38" s="39" t="s">
        <v>158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143</v>
      </c>
      <c r="E49" s="39" t="s">
        <v>155</v>
      </c>
      <c r="F49" s="39" t="s">
        <v>20</v>
      </c>
      <c r="G49" s="39" t="s">
        <v>156</v>
      </c>
      <c r="H49" s="39" t="s">
        <v>145</v>
      </c>
      <c r="I49" s="39" t="s">
        <v>146</v>
      </c>
      <c r="J49" s="39" t="s">
        <v>147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143</v>
      </c>
      <c r="E66" s="39" t="s">
        <v>144</v>
      </c>
      <c r="F66" s="39" t="s">
        <v>20</v>
      </c>
      <c r="G66" s="39" t="s">
        <v>145</v>
      </c>
      <c r="H66" s="39" t="s">
        <v>146</v>
      </c>
      <c r="I66" s="39" t="s">
        <v>147</v>
      </c>
      <c r="J66" s="39" t="s">
        <v>152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114</v>
      </c>
      <c r="E88" s="39" t="s">
        <v>109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39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39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39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39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39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39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39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39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39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39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M94" s="24"/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114</v>
      </c>
      <c r="E100" s="39" t="s">
        <v>109</v>
      </c>
      <c r="F100" s="39" t="s">
        <v>159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114</v>
      </c>
      <c r="E112" s="116" t="s">
        <v>109</v>
      </c>
      <c r="F112" s="116" t="s">
        <v>160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196"/>
  <sheetViews>
    <sheetView showGridLines="0" zoomScale="85" zoomScaleNormal="85" workbookViewId="0">
      <selection activeCell="A31" sqref="A31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Common_SourceData.Common_SourceData_DataScores_Scope3_Title()</f>
        <v>Australian data scores for scope 3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Common_SourceData.Common_SourceData_DataScores_Scope3_Source()</f>
        <v>VEERG 2026: XXXXXXXX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BM141" s="7"/>
    </row>
    <row r="142" spans="4:76" ht="20.100000000000001" customHeight="1" x14ac:dyDescent="0.25">
      <c r="D142" s="39" t="s">
        <v>69</v>
      </c>
      <c r="E142" s="39" t="s">
        <v>70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39" cm="1">
        <f t="array" ref="E143">Common_InputFunctions.Utility_DisplayArrayInTable(Common_SourceData.Common_SourceData_DataScores_Scope3_Data(), Table_SourceData_DataScores_Scope3[[#Headers],[Data source]], 0)</f>
        <v>1</v>
      </c>
      <c r="BM143" s="7"/>
    </row>
    <row r="144" spans="4:76" ht="20.100000000000001" customHeight="1" x14ac:dyDescent="0.25">
      <c r="D144" s="39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39" cm="1">
        <f t="array" ref="E144">Common_InputFunctions.Utility_DisplayArrayInTable(Common_SourceData.Common_SourceData_DataScores_Scope3_Data(), Table_SourceData_DataScores_Scope3[[#Headers],[Data source]], 0)</f>
        <v>2</v>
      </c>
      <c r="BM144" s="7"/>
    </row>
    <row r="145" spans="4:65" ht="20.100000000000001" customHeight="1" x14ac:dyDescent="0.25">
      <c r="D145" s="39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39" cm="1">
        <f t="array" ref="E145">Common_InputFunctions.Utility_DisplayArrayInTable(Common_SourceData.Common_SourceData_DataScores_Scope3_Data(), Table_SourceData_DataScores_Scope3[[#Headers],[Data source]], 0)</f>
        <v>3</v>
      </c>
      <c r="BM145" s="7"/>
    </row>
    <row r="146" spans="4:65" ht="20.100000000000001" customHeight="1" x14ac:dyDescent="0.25">
      <c r="D146" s="39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39" cm="1">
        <f t="array" ref="E146">Common_InputFunctions.Utility_DisplayArrayInTable(Common_SourceData.Common_SourceData_DataScores_Scope3_Data(), Table_SourceData_DataScores_Scope3[[#Headers],[Data source]], 0)</f>
        <v>4</v>
      </c>
      <c r="BM146" s="7"/>
    </row>
    <row r="147" spans="4:65" ht="20.100000000000001" customHeight="1" x14ac:dyDescent="0.25">
      <c r="D147" s="39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39" cm="1">
        <f t="array" ref="E147">Common_InputFunctions.Utility_DisplayArrayInTable(Common_SourceData.Common_SourceData_DataScores_Scope3_Data(), Table_SourceData_DataScores_Scope3[[#Headers],[Data source]], 0)</f>
        <v>5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Common_SourceData.Common_SourceData_FracLEACH_Title()</f>
        <v>Fraction of N that is available for leaching and runoff</v>
      </c>
      <c r="E150" s="24"/>
      <c r="BM150" s="7"/>
    </row>
    <row r="151" spans="4:65" ht="20.100000000000001" customHeight="1" x14ac:dyDescent="0.25">
      <c r="D151" s="5" t="str" cm="1">
        <f t="array" ref="D151">Common_SourceData.Common_SourceData_FracLEACH_Source()</f>
        <v>VEERG 2026:5.5.2.3 Constant Parameters</v>
      </c>
      <c r="E151" s="24"/>
      <c r="BM151" s="7"/>
    </row>
    <row r="152" spans="4:65" ht="20.100000000000001" customHeight="1" x14ac:dyDescent="0.25">
      <c r="D152" s="5" t="str" cm="1">
        <f t="array" ref="D152">Common_SourceData.Common_SourceData_FracLEACH_NIRReference()</f>
        <v>National Inventory Report Volume 1: Leaching and runoff (3.D.b.2)</v>
      </c>
      <c r="E152" s="24"/>
      <c r="BM152" s="7"/>
    </row>
    <row r="153" spans="4:65" ht="20.100000000000001" customHeight="1" x14ac:dyDescent="0.25">
      <c r="D153" s="24" t="str" cm="1">
        <f t="array" ref="D153:E153">Common_SourceData.Common_SourceData_FracLEACH_Data()</f>
        <v>FracLEACH</v>
      </c>
      <c r="E153" s="24">
        <v>0.24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6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5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5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6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5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57" t="str" cm="1">
        <f t="array" ref="E164">Common_SourceData.Common_SourceData_DensityOfMethane_Unit()</f>
        <v>kg/m3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Common_SourceData.Common_SourceData_EFN2O_Title()</f>
        <v>Nitrous oxide emission factors for inorganic fertiliser application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Common_SourceData.Common_SourceData_EFN2O_Source()</f>
        <v>VEERG 2026: Table A.2.2.1</v>
      </c>
      <c r="BM168" s="7"/>
      <c r="BN168" s="7"/>
      <c r="BO168" s="7"/>
    </row>
    <row r="169" spans="4:67" ht="20.100000000000001" customHeight="1" x14ac:dyDescent="0.25">
      <c r="D169" s="57" t="str" cm="1">
        <f t="array" ref="D169">Common_SourceData.Common_SourceData_EFN2O_Unit()</f>
        <v>(kg N2O-N / kg N</v>
      </c>
      <c r="BM169" s="7"/>
      <c r="BN169" s="7"/>
      <c r="BO169" s="7"/>
    </row>
    <row r="170" spans="4:67" ht="20.100000000000001" customHeight="1" x14ac:dyDescent="0.25">
      <c r="D170" s="58" t="str" cm="1">
        <f t="array" ref="D170:D174">Common_SourceData.Common_SourceData_EFN2O_Variation()</f>
        <v>VARIATION OF SOURCE DATA:</v>
      </c>
      <c r="BM170" s="7"/>
      <c r="BN170" s="7"/>
      <c r="BO170" s="7"/>
    </row>
    <row r="171" spans="4:67" ht="20.100000000000001" customHeight="1" x14ac:dyDescent="0.25">
      <c r="D171" s="58" t="str">
        <v>Removed duplicate 'Aquaculture' row.</v>
      </c>
      <c r="BM171" s="7"/>
      <c r="BN171" s="7"/>
      <c r="BO171" s="7"/>
    </row>
    <row r="172" spans="4:67" ht="20.100000000000001" customHeight="1" x14ac:dyDescent="0.25">
      <c r="D172" s="58" t="str">
        <v>Removed asterisks to aid lookup.</v>
      </c>
      <c r="BM172" s="7"/>
      <c r="BN172" s="7"/>
      <c r="BO172" s="7"/>
    </row>
    <row r="173" spans="4:67" ht="20.100000000000001" customHeight="1" x14ac:dyDescent="0.25">
      <c r="D173" s="58" t="str">
        <v>Added 'production system only', 'rainfall zone' and 'irrigation method' columns to aid lookup.</v>
      </c>
      <c r="BM173" s="7"/>
      <c r="BN173" s="7"/>
      <c r="BO173" s="7"/>
    </row>
    <row r="174" spans="4:67" ht="20.100000000000001" customHeight="1" x14ac:dyDescent="0.25">
      <c r="D174" s="58" t="str">
        <v>Duplicated 'non-irrigated pasture' row with same EF for low and high rainfall zones to aid lookup.</v>
      </c>
      <c r="BM174" s="7"/>
      <c r="BN174" s="7"/>
      <c r="BO174" s="7"/>
    </row>
    <row r="175" spans="4:67" ht="20.100000000000001" customHeight="1" x14ac:dyDescent="0.25">
      <c r="D175" s="39" t="s">
        <v>307</v>
      </c>
      <c r="E175" s="39" t="s">
        <v>308</v>
      </c>
      <c r="F175" s="39" t="s">
        <v>309</v>
      </c>
      <c r="G175" s="39" t="s">
        <v>310</v>
      </c>
      <c r="H175" s="39" t="s">
        <v>36</v>
      </c>
      <c r="J175" s="1" t="s">
        <v>320</v>
      </c>
      <c r="BM175" s="7"/>
      <c r="BN175" s="7"/>
      <c r="BO175" s="7"/>
    </row>
    <row r="176" spans="4:67" ht="20.100000000000001" customHeight="1" x14ac:dyDescent="0.25">
      <c r="D176" s="39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39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39" t="str" cm="1">
        <f t="array" ref="F176">Common_InputFunctions.Utility_DisplayArrayInTable(Common_SourceData.Common_SourceData_EFN2O_Data(), Table_SourceData_Common_EFN2O[[#Headers],[Production system j]], 0)</f>
        <v>Pasture</v>
      </c>
      <c r="G176" s="39" t="str" cm="1">
        <f t="array" ref="G176">Common_InputFunctions.Utility_DisplayArrayInTable(Common_SourceData.Common_SourceData_EFN2O_Data(), Table_SourceData_Common_EFN2O[[#Headers],[Production system j]], 0)</f>
        <v>Any</v>
      </c>
      <c r="H176" s="39" t="str" cm="1">
        <f t="array" ref="H176">Common_InputFunctions.Utility_DisplayArrayInTable(Common_SourceData.Common_SourceData_EFN2O_Data(), Table_SourceData_Common_EFN2O[[#Headers],[Production system j]], 0)</f>
        <v>Any</v>
      </c>
      <c r="J176" s="1" t="s">
        <v>321</v>
      </c>
      <c r="BM176" s="7"/>
      <c r="BN176" s="7"/>
      <c r="BO176" s="7"/>
    </row>
    <row r="177" spans="4:67" ht="20.100000000000001" customHeight="1" x14ac:dyDescent="0.25">
      <c r="D177" s="39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39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39" t="str" cm="1">
        <f t="array" ref="F177">Common_InputFunctions.Utility_DisplayArrayInTable(Common_SourceData.Common_SourceData_EFN2O_Data(), Table_SourceData_Common_EFN2O[[#Headers],[Production system j]], 0)</f>
        <v>Crop</v>
      </c>
      <c r="G177" s="39" t="str" cm="1">
        <f t="array" ref="G177">Common_InputFunctions.Utility_DisplayArrayInTable(Common_SourceData.Common_SourceData_EFN2O_Data(), Table_SourceData_Common_EFN2O[[#Headers],[Production system j]], 0)</f>
        <v>Any</v>
      </c>
      <c r="H177" s="39" t="str" cm="1">
        <f t="array" ref="H177">Common_InputFunctions.Utility_DisplayArrayInTable(Common_SourceData.Common_SourceData_EFN2O_Data(), Table_SourceData_Common_EFN2O[[#Headers],[Production system j]], 0)</f>
        <v>Any</v>
      </c>
      <c r="J177" s="1" t="s">
        <v>322</v>
      </c>
      <c r="BM177" s="7"/>
      <c r="BN177" s="7"/>
      <c r="BO177" s="7"/>
    </row>
    <row r="178" spans="4:67" ht="20.100000000000001" customHeight="1" x14ac:dyDescent="0.25">
      <c r="D178" s="39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39" cm="1">
        <f t="array" ref="E178">Common_InputFunctions.Utility_DisplayArrayInTable(Common_SourceData.Common_SourceData_EFN2O_Data(), Table_SourceData_Common_EFN2O[[#Headers],[Production system j]], 0)</f>
        <v>1.8E-3</v>
      </c>
      <c r="F178" s="39" t="str" cm="1">
        <f t="array" ref="F178">Common_InputFunctions.Utility_DisplayArrayInTable(Common_SourceData.Common_SourceData_EFN2O_Data(), Table_SourceData_Common_EFN2O[[#Headers],[Production system j]], 0)</f>
        <v>Pasture</v>
      </c>
      <c r="G178" s="39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39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7"/>
      <c r="BN178" s="7"/>
      <c r="BO178" s="7"/>
    </row>
    <row r="179" spans="4:67" ht="20.100000000000001" customHeight="1" x14ac:dyDescent="0.25">
      <c r="D179" s="39" t="str" cm="1">
        <f t="array" ref="D179">Common_InputFunctions.Utility_DisplayArrayInTable(Common_SourceData.Common_SourceData_EFN2O_Data(), Table_SourceData_Common_EFN2O[[#Headers],[Production system j]], 0)</f>
        <v>Non-irrigated pasture</v>
      </c>
      <c r="E179" s="39" cm="1">
        <f t="array" ref="E179">Common_InputFunctions.Utility_DisplayArrayInTable(Common_SourceData.Common_SourceData_EFN2O_Data(), Table_SourceData_Common_EFN2O[[#Headers],[Production system j]], 0)</f>
        <v>1.8E-3</v>
      </c>
      <c r="F179" s="39" t="str" cm="1">
        <f t="array" ref="F179">Common_InputFunctions.Utility_DisplayArrayInTable(Common_SourceData.Common_SourceData_EFN2O_Data(), Table_SourceData_Common_EFN2O[[#Headers],[Production system j]], 0)</f>
        <v>Pasture</v>
      </c>
      <c r="G179" s="39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39" t="str" cm="1">
        <f t="array" ref="H179">Common_InputFunctions.Utility_DisplayArrayInTable(Common_SourceData.Common_SourceData_EFN2O_Data(), Table_SourceData_Common_EFN2O[[#Headers],[Production system j]], 0)</f>
        <v>High rainfall</v>
      </c>
      <c r="BM179" s="7"/>
      <c r="BN179" s="7"/>
      <c r="BO179" s="7"/>
    </row>
    <row r="180" spans="4:67" ht="20.100000000000001" customHeight="1" x14ac:dyDescent="0.25">
      <c r="D180" s="39" t="str" cm="1">
        <f t="array" ref="D180">Common_InputFunctions.Utility_DisplayArrayInTable(Common_SourceData.Common_SourceData_EFN2O_Data(), Table_SourceData_Common_EFN2O[[#Headers],[Production system j]], 0)</f>
        <v>Non-irrigated crop (low rainfall)</v>
      </c>
      <c r="E180" s="39" cm="1">
        <f t="array" ref="E180">Common_InputFunctions.Utility_DisplayArrayInTable(Common_SourceData.Common_SourceData_EFN2O_Data(), Table_SourceData_Common_EFN2O[[#Headers],[Production system j]], 0)</f>
        <v>2.8999999999999998E-3</v>
      </c>
      <c r="F180" s="39" t="str" cm="1">
        <f t="array" ref="F180">Common_InputFunctions.Utility_DisplayArrayInTable(Common_SourceData.Common_SourceData_EFN2O_Data(), Table_SourceData_Common_EFN2O[[#Headers],[Production system j]], 0)</f>
        <v>Crop</v>
      </c>
      <c r="G180" s="39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39" t="str" cm="1">
        <f t="array" ref="H180">Common_InputFunctions.Utility_DisplayArrayInTable(Common_SourceData.Common_SourceData_EFN2O_Data(), Table_SourceData_Common_EFN2O[[#Headers],[Production system j]], 0)</f>
        <v>Low rainfall</v>
      </c>
    </row>
    <row r="181" spans="4:67" ht="20.100000000000001" customHeight="1" x14ac:dyDescent="0.25">
      <c r="D181" s="39" t="str" cm="1">
        <f t="array" ref="D181">Common_InputFunctions.Utility_DisplayArrayInTable(Common_SourceData.Common_SourceData_EFN2O_Data(), Table_SourceData_Common_EFN2O[[#Headers],[Production system j]], 0)</f>
        <v>Non-irrigated crop (high rainfall)</v>
      </c>
      <c r="E181" s="39" cm="1">
        <f t="array" ref="E181">Common_InputFunctions.Utility_DisplayArrayInTable(Common_SourceData.Common_SourceData_EFN2O_Data(), Table_SourceData_Common_EFN2O[[#Headers],[Production system j]], 0)</f>
        <v>8.0000000000000002E-3</v>
      </c>
      <c r="F181" s="39" t="str" cm="1">
        <f t="array" ref="F181">Common_InputFunctions.Utility_DisplayArrayInTable(Common_SourceData.Common_SourceData_EFN2O_Data(), Table_SourceData_Common_EFN2O[[#Headers],[Production system j]], 0)</f>
        <v>Crop</v>
      </c>
      <c r="G181" s="39" t="str" cm="1">
        <f t="array" ref="G181">Common_InputFunctions.Utility_DisplayArrayInTable(Common_SourceData.Common_SourceData_EFN2O_Data(), Table_SourceData_Common_EFN2O[[#Headers],[Production system j]], 0)</f>
        <v>Not irrigated</v>
      </c>
      <c r="H181" s="39" t="str" cm="1">
        <f t="array" ref="H181">Common_InputFunctions.Utility_DisplayArrayInTable(Common_SourceData.Common_SourceData_EFN2O_Data(), Table_SourceData_Common_EFN2O[[#Headers],[Production system j]], 0)</f>
        <v>High rainfall</v>
      </c>
    </row>
    <row r="182" spans="4:67" ht="20.100000000000001" customHeight="1" x14ac:dyDescent="0.25">
      <c r="D182" s="39" t="str" cm="1">
        <f t="array" ref="D182">Common_InputFunctions.Utility_DisplayArrayInTable(Common_SourceData.Common_SourceData_EFN2O_Data(), Table_SourceData_Common_EFN2O[[#Headers],[Production system j]], 0)</f>
        <v>Sugar</v>
      </c>
      <c r="E182" s="39" cm="1">
        <f t="array" ref="E182">Common_InputFunctions.Utility_DisplayArrayInTable(Common_SourceData.Common_SourceData_EFN2O_Data(), Table_SourceData_Common_EFN2O[[#Headers],[Production system j]], 0)</f>
        <v>1.9900000000000001E-2</v>
      </c>
      <c r="F182" s="39" t="str" cm="1">
        <f t="array" ref="F182">Common_InputFunctions.Utility_DisplayArrayInTable(Common_SourceData.Common_SourceData_EFN2O_Data(), Table_SourceData_Common_EFN2O[[#Headers],[Production system j]], 0)</f>
        <v>Sugar</v>
      </c>
      <c r="G182" s="39" t="str" cm="1">
        <f t="array" ref="G182">Common_InputFunctions.Utility_DisplayArrayInTable(Common_SourceData.Common_SourceData_EFN2O_Data(), Table_SourceData_Common_EFN2O[[#Headers],[Production system j]], 0)</f>
        <v>Any</v>
      </c>
      <c r="H182" s="39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39" t="str" cm="1">
        <f t="array" ref="D183">Common_InputFunctions.Utility_DisplayArrayInTable(Common_SourceData.Common_SourceData_EFN2O_Data(), Table_SourceData_Common_EFN2O[[#Headers],[Production system j]], 0)</f>
        <v>Cotton</v>
      </c>
      <c r="E183" s="39" cm="1">
        <f t="array" ref="E183">Common_InputFunctions.Utility_DisplayArrayInTable(Common_SourceData.Common_SourceData_EFN2O_Data(), Table_SourceData_Common_EFN2O[[#Headers],[Production system j]], 0)</f>
        <v>5.3E-3</v>
      </c>
      <c r="F183" s="39" t="str" cm="1">
        <f t="array" ref="F183">Common_InputFunctions.Utility_DisplayArrayInTable(Common_SourceData.Common_SourceData_EFN2O_Data(), Table_SourceData_Common_EFN2O[[#Headers],[Production system j]], 0)</f>
        <v>Cotton</v>
      </c>
      <c r="G183" s="39" t="str" cm="1">
        <f t="array" ref="G183">Common_InputFunctions.Utility_DisplayArrayInTable(Common_SourceData.Common_SourceData_EFN2O_Data(), Table_SourceData_Common_EFN2O[[#Headers],[Production system j]], 0)</f>
        <v>Any</v>
      </c>
      <c r="H183" s="39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39" t="str" cm="1">
        <f t="array" ref="D184">Common_InputFunctions.Utility_DisplayArrayInTable(Common_SourceData.Common_SourceData_EFN2O_Data(), Table_SourceData_Common_EFN2O[[#Headers],[Production system j]], 0)</f>
        <v>Horticultural crops</v>
      </c>
      <c r="E184" s="39" cm="1">
        <f t="array" ref="E184">Common_InputFunctions.Utility_DisplayArrayInTable(Common_SourceData.Common_SourceData_EFN2O_Data(), Table_SourceData_Common_EFN2O[[#Headers],[Production system j]], 0)</f>
        <v>6.4000000000000003E-3</v>
      </c>
      <c r="F184" s="39" t="str" cm="1">
        <f t="array" ref="F184">Common_InputFunctions.Utility_DisplayArrayInTable(Common_SourceData.Common_SourceData_EFN2O_Data(), Table_SourceData_Common_EFN2O[[#Headers],[Production system j]], 0)</f>
        <v>Horticultural crops</v>
      </c>
      <c r="G184" s="39" t="str" cm="1">
        <f t="array" ref="G184">Common_InputFunctions.Utility_DisplayArrayInTable(Common_SourceData.Common_SourceData_EFN2O_Data(), Table_SourceData_Common_EFN2O[[#Headers],[Production system j]], 0)</f>
        <v>Any</v>
      </c>
      <c r="H184" s="39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39" t="str" cm="1">
        <f t="array" ref="D185">Common_InputFunctions.Utility_DisplayArrayInTable(Common_SourceData.Common_SourceData_EFN2O_Data(), Table_SourceData_Common_EFN2O[[#Headers],[Production system j]], 0)</f>
        <v>Rice (continuous flooding)</v>
      </c>
      <c r="E185" s="39" cm="1">
        <f t="array" ref="E185">Common_InputFunctions.Utility_DisplayArrayInTable(Common_SourceData.Common_SourceData_EFN2O_Data(), Table_SourceData_Common_EFN2O[[#Headers],[Production system j]], 0)</f>
        <v>3.0000000000000001E-3</v>
      </c>
      <c r="F185" s="39" t="str" cm="1">
        <f t="array" ref="F185">Common_InputFunctions.Utility_DisplayArrayInTable(Common_SourceData.Common_SourceData_EFN2O_Data(), Table_SourceData_Common_EFN2O[[#Headers],[Production system j]], 0)</f>
        <v>Rice</v>
      </c>
      <c r="G185" s="39" t="str" cm="1">
        <f t="array" ref="G185">Common_InputFunctions.Utility_DisplayArrayInTable(Common_SourceData.Common_SourceData_EFN2O_Data(), Table_SourceData_Common_EFN2O[[#Headers],[Production system j]], 0)</f>
        <v>Continuous flooding</v>
      </c>
      <c r="H185" s="39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39" t="str" cm="1">
        <f t="array" ref="D186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6" s="39" cm="1">
        <f t="array" ref="E186">Common_InputFunctions.Utility_DisplayArrayInTable(Common_SourceData.Common_SourceData_EFN2O_Data(), Table_SourceData_Common_EFN2O[[#Headers],[Production system j]], 0)</f>
        <v>5.0000000000000001E-3</v>
      </c>
      <c r="F186" s="39" t="str" cm="1">
        <f t="array" ref="F186">Common_InputFunctions.Utility_DisplayArrayInTable(Common_SourceData.Common_SourceData_EFN2O_Data(), Table_SourceData_Common_EFN2O[[#Headers],[Production system j]], 0)</f>
        <v>Rice</v>
      </c>
      <c r="G186" s="39" t="str" cm="1">
        <f t="array" ref="G186">Common_InputFunctions.Utility_DisplayArrayInTable(Common_SourceData.Common_SourceData_EFN2O_Data(), Table_SourceData_Common_EFN2O[[#Headers],[Production system j]], 0)</f>
        <v>Single and multiple drainage, or alternate wetting and drying</v>
      </c>
      <c r="H186" s="39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Aquaculture</v>
      </c>
      <c r="E187" s="39" cm="1">
        <f t="array" ref="E187">Common_InputFunctions.Utility_DisplayArrayInTable(Common_SourceData.Common_SourceData_EFN2O_Data(), Table_SourceData_Common_EFN2O[[#Headers],[Production system j]], 0)</f>
        <v>2.5999999999999999E-3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Aquaculture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Forestry</v>
      </c>
      <c r="E188" s="39" cm="1">
        <f t="array" ref="E188">Common_InputFunctions.Utility_DisplayArrayInTable(Common_SourceData.Common_SourceData_EFN2O_Data(), Table_SourceData_Common_EFN2O[[#Headers],[Production system j]], 0)</f>
        <v>1.8E-3</v>
      </c>
      <c r="F188" s="39" t="str" cm="1">
        <f t="array" ref="F188">Common_InputFunctions.Utility_DisplayArrayInTable(Common_SourceData.Common_SourceData_EFN2O_Data(), Table_SourceData_Common_EFN2O[[#Headers],[Production system j]], 0)</f>
        <v>Forestry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+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+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AnAGMAaABhAHIAYQBjAHQAZQByAGkAcwB0AGkAYwAnACAAYwBvAGwAdQBtAG4AIAAtACAAbwByAGkAZwBpAG4AYQBsACAAaABhAHMAIABoAGUAYQBkAGUAcgAgACcAVQBuAGkAdAAn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An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CcAbgBvACAAZABhAHQAYQAnACAAdgBhAGwAdQBlAHM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FwAIgBOAG8AIABkAGEAdABhAFwAIgAsACAAMAAuADAAMQAsACAAMAAuADAAMQAsACAAMAAuADAAMQAsACAAXAAiAE4AbwAgAGQAYQB0AGEAXAAiACwAIABcACIARAByAHkAbABvAHQAIAAoAGYAZQBlAGQAIABwAGEAZAApAFwAIgA7ACAAXABuACAAIAAgACAAIAAgACAAIAAgACAAXAAiAFMAZQBjAG8AbgBkAGEAcgB5AFwAIgAsACAAXAAiAFMAbwBsAGkAZAAgAFMAdABvAHIAYQBnAGUAIAAoAFMAdABvAGMAawBwAGkAbABlACkAXAAiACwAIAAwAC4AMAAyACwAIAAwAC4AMAAyACwAIAAwAC4AMAAyACwAIABcACIATgBvACAAZABhAHQAYQBcACIALAAgADAALgAwADIALAAgADAALgAwADIALAAgADAALgAwADIALAAgAFwAIgBOAG8AIABkAGEAdABhAFwAIgAsACAAXAAiAFMAbwBsAGkAZAAgAHMAdABvAHIAYQBnAGUAXAAiADsAIABcAG4AIAAgACAAIAAgACAAIAAgACAAIABcACIAUwBlAGMAbwBuAGQAYQByAHkAXAAiACwAIABcACIAQwBvAG0AcABvAHMAdABpAG4AZwAgACgAUABhAHMAcwBpAHYAZQAgAFcAaQBuAGQAcgBvAHcAKQBcACIALAAgADAALgAwADEALAAgADAALgAwADEALAAgADAALgAwADEALAAgAFwAIgBOAG8AIABkAGEAdABhAFwAIgAsACAAMAAuADAAMQAsACAAMAAuADAAMQAsACAAMAAuADAAMQAsACAAXAAiAE4AbwAgAGQAYQB0AGEAXAAiACwAIABcACIAQwBvAG0AcABvAHMAdABpAG4AZwAgACgAcABhAHMAcwBpAHYAZQAgAHcAaQBuAGQAcgBvAHcAKQBcACIAOwAgAFwAbgAgACAAIAAgACAAIAAgACAAIAAgAFwAIgBTAGUAYwBvAG4AZABhAHIAeQBcACIALAAgAFwAIgBEAGkAcgBlAGMAdAAgAEEAcABwAGwAaQBjAGEAdABpAG8AbgAgAHQAbwAgAHMAbwBpAGwAXAAiACwAIAAwACwAIAAwACwAIAAwACwAIABcACIATgBvACAAZABhAHQAYQBcACIALAAgADAALAAgADAALAAgADAALAAgAFwAIgBOAG8AIABkAGEAdABhAFwAIg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FwAIgBOAG8AIABkAGEAdABhAFwAIgAsACAAMAAuADcANQAsACAAMAAuADcANQAsACAAMAAuADcANwAsACAAXAAiAE4AbwAgAGQAYQB0AGEAXAAi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NAE0AUwBfAEYAZQBlAGQAbABvAHQ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QAgAE0AZQB0AGgAbwBkACAAMQAgAC0AIABNAGEAbgB1AHIAZQAgAE0AZQB0AGgAYQBuAGU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ewBFAH0AXwB7AEMASAA0AH0APQBcAFwAcwB1AG0AXwB7AGoAfQBcAFwAcwB1AG0AXwB7AG0AfQBcAFwAcwB1AG0AXwB7AFQAfQAoAEQAXwB7AGoAfQBcAFwAdABpAG0AZQBzACAATQBfAHsAagBtAFQAfQBcAFwAdABpAG0AZQBzACAATgBfAHsAagB9ACkAXABcAHQAaQBtAGUAcwAxADAAXgB7AC0AMwB9AFwAbgBEAF8AagAgAD0AIABsAGUAbgBnAHQAaAAgAG8AZgAgAHMAdABhAHkAIABvAGYAIABlAGEAYwBoACAAYwBhAHQAdABsAGUAIABnAHIAbwB1AHAAIAA6ACAAZABhAHkAcwBcAG4ATQBfAGoAbQBUACAAPQAgAG0AZQB0AGgAYQBuAGUAIABwAHIAbwBkAHUAYwB0AGkAbwBuACAAZgByAG8AbQAgAG0AYQBuAHUAcgBlACAAcABlAHIAIABjAGEAdAB0AGwAZQAgAGcAcgBvAHUAcAAsACAATQBNAFMALAAgAGEAbgBkACAAdAByAGUAYQB0AG0AZQBuAHQAIABzAHQAYQBnAGUAIAA6ACAAawBnACAAQwBIADQALwBoAGUAYQBkAC8AZABhAHkAXABuAE4AXwBqACAAPQAgAG4AdQBtAGIAZQByAHMAIABvAGYAIABiAGUAZQBmACAAYwBhAHQAdABsAGUAIABpAG4AIABlAGEAYwBoACAAZwByAG8AdQBwACAAOgAgAGgAZQBhAGQAXABuAC0ALQAtAC0ALQAtAC0ALQAtAC0ALQAtAC0ALQAtAC0ALQAtAC0ALQAtAC0ALQAtAC0ALQAtAC0ALQAtAC0ALQAtAC0ALQAtAC0ALQBcAG4AKgAvAFwAbgBcAG4AVgBFAEUAUgBHAF8ANABfADEAXwAxAF8AMQBfAF8AMQBfAFQAbwB0AGEAbABBAG4AbgB1AGEAbABNAGUAdABoAGEAbgBlAEUAbQBpAHMAcwBpAG8AbgBzAFwAbgAgACAAPQBMAEEATQBCAEQAQQAoAFwAbgAgACAAIAAgAEQAXwBqACwAIABNAF8AagBtAFQALAAgAE4AXwBqACwAXABuACAAIAAgACAAKABEAF8AagAgACoAIABNAF8AagBtAFQAIAAqACAATgBfAGoAKQAgACoAIAAxADAAIABeACAALQAzAFwAbgAgACAAKQA7AFwAbgBcAG4AVgBFAEUAUgBHAF8ANABfADE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xAF8AMQBfADEAXwBfADEAXwBUAG8AdABhAGwAQQBuAG4AdQBhAGwATQBlAHQAaABhAG4AZQBFAG0AaQBzAHMAaQBvAG4AcwBfAFYAYQByAGkAYQBiAGwAZQBcAG4AIAAgAD0ATABBAE0AQgBEAEEAKABcACIARQBfAEMASAA0AFwAIgApADsAXABuAFwAbgBWAEUARQBSAEcAXwA0AF8AMQBfADEAXwAxAF8AXwAxAF8AVABvAHQAYQBsAEEAbgBuAHUAYQBsAE0AZQB0AGgAYQBuAGUARQBtAGkAcwBzAGkAbwBuAHMAXwBVAG4AaQB0AFwAbgAgACAAPQBMAEEATQBCAEQAQQAoAFwAIgB0ACAAQwBIADQAXAAiACkAOwBcAG4AXABuAFYARQBFAFIARwBfADQAXwAxAF8AMQBfADEAXwBfADEAXwBUAG8AdABhAGwAQQBuAG4AdQBhAGwATQBlAHQAaABhAG4AZQBFAG0AaQBzAHMAaQBvAG4AcwBfAFMAbwB1AHIAYwBlAFwAbgAgACAAPQBMAEEATQBCAEQAQQAoAFwAIgBWAEUARQBSAEcAIAAyADAAMgA2ADoAIAA0AC4AMQAuADEALgAxACwAIABFAHEAdQBhAHQAaQBvAG4AIAAoADEAKQBcACIAKQA7AFwAbgBcAG4AVgBFAEUAUgBHAF8ANABfADEAXwAxAF8AMQBfAF8AMQBfAFQAbwB0AGEAbABBAG4AbgB1AGEAbABNAGUAdABoAGEAbgBlAEUAbQBpAHMAcwBpAG8AbgBzAF8ATgBJAFIAUgBlAGYAZQByAGUAbgBjAGUAXABuACAAIAA9AEwAQQBNAEIARABBACgAXAAiAFwAIgApADsAXABuAFwAbgBWAEUARQBSAEcAXwA0AF8AMQBfADEAXwAxAF8AXwAxAF8AVABvAHQAYQBsAEEAbgBuAHUAYQBsAE0AZQB0AGgAYQBuAGUARQBtAGkAcwBzAGkAbwBuAHMAXwBMAGEAdABlAHgARQBxAHUAYQB0AGkAbwBuAFwAbgAgACAAPQBMAEEATQBCAEQAQQAoAFwAIgB7AEUAfQBfAHsAQwBIADQAfQA9AFwAXABzAHUAbQBfAHsAagB9AFwAXABzAHUAbQBfAHsAbQB9AFwAXABzAHUAbQBfAHsAVAB9ACgARABfAHsAagB9AFwAXAB0AGkAbQBlAHMAIABNAF8AewBqAG0AVAB9AFwAXAB0AGkAbQBlAHMAIABOAF8AewBqAH0AKQBcAFwAdABpAG0AZQBzADEAMABeAHsALQAzAH0AXAAiACkAOwBcAG4AXABuAFYARQBFAFIARwBfADQAXwAxAF8AMQBfADEAXwBfADEAXwBUAG8AdABhAGwAQQBuAG4AdQBhAGwATQBlAHQAaABhAG4AZQBFAG0AaQBzAHMAaQBvAG4AcwBfAEEAcgBnAHUAbQBlAG4AdABzAFwAbgAgACAAPQBMAEEATQBCAEQAQQAoAFwAbgAgACAAIAAgAE0AQQBLAEUAQQBSAFIAQQBZACgAMwAsACAAMgAsAFwAbgAgACAAIAAgACAAIABMAEEATQBCAEQAQQAoAHIALABjACwAXABuACAAIAAgACAAIAAgACAAIABJAE4ARABFAFgAKAB7AFwAbgAgACAAIAAgACAAIAAgACAAIAAgAFwAIgBEAF8AagBcACIALABcACIAbABlAG4AZwB0AGgAIABvAGYAIABzAHQAYQB5ACAAbwBmACAAZQBhAGMAaAAgAGMAYQB0AHQAbABlACAAZwByAG8AdQBwACAAOgAgAGQAYQB5AHMAXAAiADsAXABuACAAIAAgACAAIAAgACAAIAAgACAAXAAiAE0AXwBqAG0AVABcACIALABcACIAbQBlAHQAaABhAG4AZQAgAHAAcgBvAGQAdQBjAHQAaQBvAG4AIABmAHIAbwBtACAAbQBhAG4AdQByAGUAIABwAGUAcgAgAGMAYQB0AHQAbABlACAAZwByAG8AdQBwACwAIABNAE0AUwAsACAAYQBuAGQAIAB0AHIAZQBhAHQAbQBlAG4AdAAgAHMAdABhAGcAZQAgADoAIABrAGcAIABDAEgANAAvAGgAZQBhAGQALwBkAGEAeQBcACIAOwBcAG4AIAAgACAAIAAgACAAIAAgACAAIABcACIATgBfAGoAXAAiACwAXAAiAG4AdQBtAGIAZQByAHMAIABvAGYAIABiAGUAZQBmACAAYwBhAHQAdABsAGUAIABpAG4AIABlAGEAYwBoACAAZwByAG8AdQBw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0AGUAbQBwAGUAcgBhAHQAdQByAGUAIAB6AG8Ab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DUAVAAxAFwAIgAsAFwAIgBmAHIAYQBjAHQAaQBvAG4AIABvAGYAIABtAGEAbgB1AHIAZQAgAGkAbgAgAHAAcgBpAG0AYQByAHkAIABzAHkAcwB0AGUAbQAgAGQAcgB5AGwAbwB0ACAATQBNAFMAIAA6ACAAZgByAGEAYwB0AGkAbwBuAFwAIgA7AFwAbgAgACAAIAAgACAAIAAgACAAIAAgAFwAIgBNAEMARgBfAGkAbQA1AFwAIgAsAFwAIgBtAGUAdABoAGEAbgBlACAAYwBvAG4AdgBlAHIAcwBpAG8AbgAgAGYAYQBjAHQAbwByACAAZgBvAHIAIAB0AGUAbQBwAGUAcgBhAHQAdQByAGUAIAB6AG8AbgBlACAAYQBuAGQAIABkAHIAeQBsAG8AdA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MAXwBTAHQAYQBnAGUAMgBNAGUAdABoAGEAbgBlAFAAcgBvAGQAdQBjAHQAaQBvAG4AXABuACAAIAA9AEwAQQBNAEIARABBACgAXABuACAAIAAgACAAVgBTAEwALAAgAFYAUwBfAGoALAAgAEIATwAsACAATQBNAFMAXwBtAFQAMgAsACAATQBDAEYAXwBpAG0ALAAgAHIAaABvACwAXABuACAAIAAgACAAKAAxACAALQAgAFYAUwBMACkAIAAqACAAVgBTAF8AagAgACoAIABCAE8AIAAqACAATQBNAFMAXwBtAFQAMgAgACoAIABNAEMARgBfAGkAbQAgACoAIAByAGgAbwBcAG4AIAAgACkAOwBcAG4AXABuAFYARQBFAFIARwBfADQAXwAx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xAF8AMQBfADEAXwBfADMAXwBTAHQAYQBnAGUAMgBNAGUAdABoAGEAbgBlAFAAcgBvAGQAdQBjAHQAaQBvAG4AXwBWAGEAcgBpAGEAYgBsAGUAXABuACAAIAA9AEwAQQBNAEIARABBACgAXAAiAE0AXwBqAG0AVAAyAFwAIgApADsAXABuAFwAbgBWAEUARQBSAEcAXwA0AF8AMQBfADEAXwAxAF8AXwAzAF8AUwB0AGEAZwBlADIATQBlAHQAaABhAG4AZQBQAHIAbwBkAHUAYwB0AGkAbwBuAF8AVQBuAGkAdABcAG4AIAAgAD0ATABBAE0AQgBEAEEAKABcACIAawBnACAAQwBIADQALwBoAGUAYQBkAC8AZABhAHkAXAAiACkAOwBcAG4AXABuAFYARQBFAFIARwBfADQAXwAxAF8AMQBfADEAXwBfADMAXwBTAHQAYQBnAGUAMgBNAGUAdABoAGEAbgBlAFAAcgBvAGQAdQBjAHQAaQBvAG4AXwBTAG8AdQByAGMAZQBcAG4AIAAgAD0ATABBAE0AQgBEAEEAKABcACIAVgBFAEUAUgBHACAAMgAwADIANgA6ACAANAAuADEALgAxAC4AMQAsACAARQBxAHUAYQB0AGkAbwBuACAAKAAzACkAXAAiACkAOwBcAG4AXABuAFYARQBFAFIARwBfADQAXwAxAF8AMQBfADEAXwBfADMAXwBTAHQAYQBnAGUAMgBNAGUAdABoAGEAbgBlAFAAcgBvAGQAdQBjAHQAaQBvAG4AXwBOAEkAUgBSAGUAZgBlAHIAZQBuAGMAZQBcAG4AIAAgAD0ATABBAE0AQgBEAEEAKABcACIAXAAiACkAOwBcAG4AXABuAFYARQBFAFIARwBfADQAXwAxAF8AMQBfADEAXwBfADMAXwBTAHQAYQBnAGUAMgBNAGUAdABoAGEAbgBlAFAAcgBvAGQAdQBjAHQAaQBvAG4AXwBMAGEAdABlAHgARQBxAHUAYQB0AGkAbwBuAFwAbgAgACAAPQBMAEEATQBCAEQAQQAoAFwAIgBNAF8AewBqAG0AVAA9ADIAfQA9ACgAMQAtAFYAUwBMACkAXABcAHQAaQBtAGUAcwAgAFYAUwBfAHsAagB9AFwAXAB0AGkAbQBlAHMAIABCAE8AXABcAHQAaQBtAGUAcwAgAE0ATQBTAF8AewBtAFQAPQAyAH0AXABcAHQAaQBtAGUAcwAgAE0AQwBGAF8AewBpAG0AfQBcAFwAdABpAG0AZQBzACAAXABcAHIAaABvAFwAIgApADsAXABuAFwAbgBWAEUARQBSAEcAXwA0AF8AMQBfADEAXwAxAF8AXwAzAF8AUwB0AGEAZwBlADIATQBlAHQAaABhAG4AZQBQAHIAbwBkAHUAYwB0AGkAbwBuAF8AQQByAGcAdQBtAGUAbgB0AHMAXABuACAAIAA9AEwAQQBNAEIARABBACgAXABuACAAIAAgACAATQBBAEsARQBBAFIAUgBBAFkAKAA3ACwAIAAy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AgADoAIABmAHIAYQBjAHQAaQBvAG4AXAAiAD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FQAMgBcACIALABcACIAZgByAGEAYwB0AGkAbwBuACAAbwBmACAAbQBhAG4AdQByAGUAIABpAG4AIABlAGEAYwBoACAAcwBlAGMAbwBuAGQ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QAXwBTAHQAYQBnAGUAMwBNAGUAdABoAGEAbgBlAFAAcgBvAGQAdQBjAHQAaQBvAG4AQQBuAGEAZQByAG8AYgBpAGMATABhAGcAbwBvAG4AXABuAFAAcgBvAGQAdQBjAHQAaQBvAG4AIABvAGYAIABtAGUAdABoAGEAbgBlACAAaQBuACAAdAByAGUAYQB0AG0AZQBuAHQAIABzAHQAYQBnAGUAIAAzACAATQBNAFMAXABuAE0AXwBqAG0AMQBUADMAXABuAGsAZwAgAEMASAA0AC8AaABlAGEAZAAvAGQAYQB5AFwAbgBNAF8AewBqAG0APQAxACwAVAA9ADMAfQA9AFYAUwBfAHsAagB9AFwAXAB0AGkAbQBlAHMAIABCAE8AXABcAHQAaQBtAGUAcwAgAE0ATQBTAF8AewBtAD0AMQAsAFQAPQAzAH0AXABcAHQAaQBtAGUAcwAgAE0AQwBGAF8AewBpAG0APQAx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EAVAAzACAAPQAgAGYAcgBhAGMAdABpAG8AbgAgAG8AZgAgAG0AYQBuAHUAcgBlACAAdABvACAAdABlAHIAdABpAGEAcgB5ACAAYQBuAGEAZQByAG8AYgBpAGMAIABsAGEAZwBvAG8AbgAgAHMAeQBzAHQAZQBtACAAOgAgAGYAcgBhAGMAdABpAG8AbgBcAG4ATQBDAEYAXwBpAG0AMQAgAD0AIABtAGUAdABoAGEAbgBlACAAYwBvAG4AdgBlAHIAcwBpAG8AbgAgAGYAYQBjAHQAbwByACAAZgBvAHIAIAB0AGUAbQBwAGUAcgBhAHQAdQByAGUAIAB6AG8Ab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IAA6ACAAawBnAC8AaABlAGEAZAAvAGQAYQB5AFwAIgA7AFwAbgAgACAAIAAgACAAIAAgACAAIAAgAFwAIgBCAE8AXAAiACwAXAAiAGUAbQBpAHMAcwBpAG8AbgBzACAAcABvAHQAZQBuAHQAaQBhAGwAIAA6ACAAbQAzACAAQwBIADQALwBrAGcAIABWAFMAXAAiADsAXABuACAAIAAgACAAIAAgACAAIAAgACAAXAAiAE0ATQBTAF8AbQAxAFQAMwBcACIALABcACIAZgByAGEAYwB0AGkAbwBuACAAbwBmACAAbQBhAG4AdQByAGUAIAB0AG8AIAB0AGUAcgB0AGkAYQByAHkAIABhAG4AYQBlAHIAbwBiAGkAYwAgAGwAYQBnAG8AbwBuACAAcwB5AHMAdABlAG0AIAA6ACAAZgByAGEAYwB0AGkAbwBuAFwAIgA7AFwAbgAgACAAIAAgACAAIAAgACAAIAAgAFwAIgBNAEMARgBfAGkAbQAxAFwAIgAsAFwAIgBtAGUAdABoAGEAbgBlACAAYwBvAG4AdgBlAHIAcwBpAG8AbgAgAGYAYQBjAHQAbwByACAAZgBvAHIAIAB0AGUAbQBwAGUAcgBhAHQAdQByAGUAIAB6AG8AbgBlACAAYQBuAGQAIABhAG4AYQBlAHIAbwBiAGkAYwAgAGwAYQBnAG8AbwBu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F8AagBcACIALABcACIAZAByAHkAIABtAGEAdAB0AGUAcgAgAGkAbgB0AGEAawBlACAAZgBvAHIAIABlAGEAYwBoACAAZwByAG8AdQBwACAAagAgADoAIABrAGcAIABEAE0ALwBoAGUAYQBkAC8AZABhAHkAXAAiADsAXABuACAAIAAgACAAIAAgACAAIAAgACAAXAAiAEQATQBEAF8AagBcACIALABcACIAZAByAHkAIABtAGEAdAB0AGUAcgAgAGQAaQBnAGUAcwB0AGkAYgBpAGwAaQB0AHkAIABmAG8AcgAgAGUAYQBjAGgAIABnAHIAbwB1AHAAIABqACAAOgAgAGYAcgBhAGMAdABpAG8AbgBcACIAOwBcAG4AIAAgACAAIAAgACAAIAAgACAAIABcACIAQQBcACIALABcACIAYQBzAGgAIABjAG8AbgB0AGUAbgB0ACAAbwBmACAAbQBhAG4AdQByAGUAIAA6ACAAZgByAGEAYwB0AGkAbwBuAFwAIgBcAG4AIAAgACAAIAAgACAAIAAgAH0ALAAgAHIALAAgAGMAKQBcAG4AIAAgACAAIAAgACAAKQBcAG4AIAAgACAAIAApAFwAbgAgACAAKQA7AFwAbgBcAG4AXABuAFwAbgBcAG4AXABuAFwAbgAiAH0ALAB7ACIAcABhAHQAaAAiADoAIgAvAHAAcgBvAGoAZQBjAHQAcwAvAE0ATQBTAF8ARgBlAGUAZABsAG8AdABfAE4AMgBPAF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wBfAFMAdABhAGcAZQAyAE0AZQB0AGgAYQBuAGUAUAByAG8AZAB1AGMAdABpAG8AbgAiACwAIgBNAE0AUwBfAEYAZQBlAGQAbABvAHQAXwBNAGUAdABoAGEAbgBlAF8ARQBxAHUAYQB0AGkAbwBuAHMALgBWAEUARQBSAEcAXwA0AF8AMQBfADEAXwAxAF8AXwAzAF8AUwB0AGEAZwBlADIATQBlAHQAaABhAG4AZQBQAHIAbwBkAHUAYwB0AGkAbwBuAF8AVABpAHQAbABlACIALAAiAE0ATQBTAF8ARgBlAGUAZABsAG8AdABfAE0AZQB0AGgAYQBuAGUAXwBFAHEAdQBhAHQAaQBvAG4AcwAuAFYARQBFAFIARwBfADQAXwAxAF8AMQBfADEAXwBfADMAXwBTAHQAYQBnAGUAMgBNAGUAdABoAGEAbgBlAFAAcgBvAGQAdQBjAHQAaQBvAG4AXwBWAGEAcgBpAGEAYgBsAGUAIgAsACIATQBNAFMAXwBGAGUAZQBkAGwAbwB0AF8ATQBlAHQAaABhAG4AZQBfAEUAcQB1AGEAdABpAG8AbgBzAC4AVgBFAEUAUgBHAF8ANABfADEAXwAxAF8AMQBfAF8AMwBfAFMAdABhAGcAZQAyAE0AZQB0AGgAYQBuAGUAUAByAG8AZAB1AGMAdABpAG8AbgBfAFUAbgBpAHQAIgAsACIATQBNAFMAXwBGAGUAZQBkAGwAbwB0AF8ATQBlAHQAaABhAG4AZQBfAEUAcQB1AGEAdABpAG8AbgBzAC4AVgBFAEUAUgBHAF8ANABfADEAXwAxAF8AMQBfAF8AMwBfAFMAdABhAGcAZQAyAE0AZQB0AGgAYQBuAGUAUAByAG8AZAB1AGMAdABpAG8AbgBfAFMAbwB1AHIAYwBlACIALAAiAE0ATQBTAF8ARgBlAGUAZABsAG8AdABfAE0AZQB0AGgAYQBuAGUAXwBFAHEAdQBhAHQAaQBvAG4AcwAuAFYARQBFAFIARwBfADQAXwAxAF8AMQBfADEAXwBfADMAXwBTAHQAYQBnAGUAMgBNAGUAdABoAGEAbgBlAFAAcgBvAGQAdQBjAHQAaQBvAG4AXwBOAEkAUgBSAGUAZgBlAHIAZQBuAGMAZQAiACwAIgBNAE0AUwBfAEYAZQBlAGQAbABvAHQAXwBNAGUAdABoAGEAbgBlAF8ARQBxAHUAYQB0AGkAbwBuAHMALgBWAEUARQBSAEcAXwA0AF8AMQBfADEAXwAxAF8AXwAzAF8AUwB0AGEAZwBlADIATQBlAHQAaABhAG4AZQBQAHIAbwBkAHUAYwB0AGkAbwBuAF8ATABhAHQAZQB4AEUAcQB1AGEAdABpAG8AbgAiACwAIgBNAE0AUwBfAEYAZQBlAGQAbABvAHQAXwBNAGUAdABoAGEAbgBlAF8ARQBxAHUAYQB0AGkAbwBuAHMALgBWAEUARQBSAEcAXwA0AF8AMQBfADEAXwAxAF8AXwAzAF8AUwB0AGEAZwBlADIATQBlAHQAaABhAG4AZQBQAHIAbwBkAHUAYwB0AGkAbwBuAF8AQQByAGcAdQBtAGUAbgB0AHM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gAyAE8AXwBEAGkAcgBlAGMAdABfAEUAcQB1AGEAdABpAG8AbgBzAC4AVgBFAEUAUgBHAF8ANABfADEAXwAxAF8AMwBfAF8AMQBfAFQAbwB0AGEAbABBAG4AbgB1AGEAbABEAGkAcgBlAGMAdABOAGkAdAByAG8AdQBzAE8AeABpAGQAZQBFAG0AaQBzAHMAaQBvAG4AcwAiACwAIgBNAE0AUwBfAEYAZQBlAGQAbABvAHQAXwBOADIATwBfAEQAaQByAGUAYwB0AF8ARQBxAHUAYQB0AGkAbwBuAHMALgBWAEUARQBSAEcAXwA0AF8AMQBfADEAXwAzAF8AXwAxAF8AVABvAHQAYQBsAEEAbgBuAHUAYQBsAEQAaQByAGUAYwB0AE4AaQB0AHIAbwB1AHMATwB4AGkAZABlAEUAbQBpAHMAcwBpAG8AbgBzAF8AVABpAHQAbABlACIALAAiAE0ATQBTAF8ARgBlAGUAZABsAG8AdABfAE4AMgBPAF8ARABpAHIAZQBjAHQAXwBFAHEAdQBhAHQAaQBvAG4AcwAuAFYARQBFAFIARwBfADQAXwAxAF8AMQBfADMAXwBfADEAXwBUAG8AdABhAGwAQQBuAG4AdQBhAGwARABpAHIAZQBjAHQATgBpAHQAcgBvAHUAcwBPAHgAaQBkAGUARQBtAGkAcwBzAGkAbwBuAHMAXwBWAGEAcgBpAGEAYgBsAGUAIgAsACIATQBNAFMAXwBGAGUAZQBkAGwAbwB0AF8ATgAyAE8AXwBEAGkAcgBlAGMAdABfAEUAcQB1AGEAdABpAG8AbgBzAC4AVgBFAEUAUgBHAF8ANABfADEAXwAxAF8AMwBfAF8AMQBfAFQAbwB0AGEAbABBAG4AbgB1AGEAbABEAGkAcgBlAGMAdABOAGkAdAByAG8AdQBzAE8AeABpAGQAZQBFAG0AaQBzAHMAaQBvAG4AcwBfAFUAbgBpAHQAIgAsACIATQBNAFMAXwBGAGUAZQBkAGwAbwB0AF8ATgAyAE8AXwBEAGkAcgBlAGMAdABfAEUAcQB1AGEAdABpAG8AbgBzAC4AVgBFAEUAUgBHAF8ANABfADEAXwAxAF8AMwBfAF8AMQBfAFQAbwB0AGEAbABBAG4AbgB1AGEAbABEAGkAcgBlAGMAdABOAGkAdAByAG8AdQBzAE8AeABpAGQAZQBFAG0AaQBzAHMAaQBvAG4AcwBfAFMAbwB1AHIAYwBlACIALAAiAE0ATQBTAF8ARgBlAGUAZABsAG8AdABfAE4AMgBPAF8ARABpAHIAZQBjAHQAXwBFAHEAdQBhAHQAaQBvAG4AcwAuAFYARQBFAFIARwBfADQAXwAxAF8AMQBfADMAXwBfADEAXwBUAG8AdABhAGwAQQBuAG4AdQBhAGwARABpAHIAZQBjAHQATgBpAHQAcgBvAHUAcwBPAHgAaQBkAGUARQBtAGkAcwBzAGkAbwBuAHMAXwBOAEkAUgBSAGUAZgBlAHIAZQBuAGMAZQAiACwAIgBNAE0AUwBfAEYAZQBlAGQAbABvAHQAXwBOADIATwBfAEQAaQByAGUAYwB0AF8ARQBxAHUAYQB0AGkAbwBuAHMALgBWAEUARQBSAEcAXwA0AF8AMQBfADEAXwAzAF8AXwAxAF8AVABvAHQAYQBsAEEAbgBuAHUAYQBsAEQAaQByAGUAYwB0AE4AaQB0AHIAbwB1AHMATwB4AGkAZABlAEUAbQBpAHMAcwBpAG8AbgBzAF8ATABhAHQAZQB4AEUAcQB1AGEAdABpAG8AbgAiACwAIgBNAE0AUwBfAEYAZQBlAGQAbABvAHQAXwBOADIATwBfAEQAaQByAGUAYwB0AF8ARQBxAHUAYQB0AGkAbwBuAHMALgBWAEUARQBSAEcAXwA0AF8AMQBfADEAXwAzAF8AXwAxAF8AVABvAHQAYQBsAEEAbgBuAHUAYQBsAEQAaQByAGUAYwB0AE4AaQB0AHIAbwB1AHMATwB4AGkAZABlAEUAbQBpAHMAcwBpAG8AbgBzAF8AQQByAGcAdQBtAGUAbgB0AHMAIgAsACIATQBNAFMAXwBGAGUAZQBkAGwAbwB0AF8ATgAyAE8AXwBEAGkAcgBlAGMAdABfAEUAcQB1AGEAdABpAG8AbgBzAC4AVgBFAEUAUgBHAF8ANABfADEAXwAxAF8AMwBfAF8AMgBfAFMAdABhAGcAZQAxAE4AaQB0AHIAbwBnAGUAbgBJAG4ATQBNAFMARAByAHkAbABvAHQAIgAsACIATQBNAFMAXwBGAGUAZQBkAGwAbwB0AF8ATgAyAE8AXwBEAGkAcgBlAGMAdABfAEUAcQB1AGEAdABpAG8AbgBzAC4AVgBFAEUAUgBHAF8ANABfADEAXwAxAF8AMwBfAF8AMgBfAFMAdABhAGcAZQAxAE4AaQB0AHIAbwBnAGUAbgBJAG4ATQBNAFMARAByAHkAbABvAHQAXwBUAGkAdABsAGUAIgAsACIATQBNAFMAXwBGAGUAZQBkAGwAbwB0AF8ATgAyAE8AXwBEAGkAcgBlAGMAdABfAEUAcQB1AGEAdABpAG8AbgBzAC4AVgBFAEUAUgBHAF8ANABfADEAXwAxAF8AMwBfAF8AMgBfAFMAdABhAGcAZQAxAE4AaQB0AHIAbwBnAGUAbgBJAG4ATQBNAFMARAByAHkAbABvAHQAXwBWAGEAcgBpAGEAYgBsAGUAIgAsACIATQBNAFMAXwBGAGUAZQBkAGwAbwB0AF8ATgAyAE8AXwBEAGkAcgBlAGMAdABfAEUAcQB1AGEAdABpAG8AbgBzAC4AVgBFAEUAUgBHAF8ANABfADEAXwAxAF8AMwBfAF8AMgBfAFMAdABhAGcAZQAxAE4AaQB0AHIAbwBnAGUAbgBJAG4ATQBNAFMARAByAHkAbABvAHQAXwBVAG4AaQB0ACIALAAiAE0ATQBTAF8ARgBlAGUAZABsAG8AdABfAE4AMgBPAF8ARABpAHIAZQBjAHQAXwBFAHEAdQBhAHQAaQBvAG4AcwAuAFYARQBFAFIARwBfADQAXwAxAF8AMQBfADMAXwBfADIAXwBTAHQAYQBnAGUAMQBOAGkAdAByAG8AZwBlAG4ASQBuAE0ATQBTAEQAcgB5AGwAbwB0AF8AUwBvAHUAcgBjAGUAIgAsACIATQBNAFMAXwBGAGUAZQBkAGwAbwB0AF8ATgAyAE8AXwBEAGkAcgBlAGMAdABfAEUAcQB1AGEAdABpAG8AbgBzAC4AVgBFAEUAUgBHAF8ANABfADEAXwAxAF8AMwBfAF8AMgBfAFMAdABhAGcAZQAxAE4AaQB0AHIAbwBnAGUAbgBJAG4ATQBNAFMARAByAHkAbABvAHQAXwBOAEkAUgBSAGUAZgBlAHIAZQBuAGMAZQAiACwAIgBNAE0AUwBfAEYAZQBlAGQAbABvAHQAXwBOADIATwBfAEQAaQByAGUAYwB0AF8ARQBxAHUAYQB0AGkAbwBuAHMALgBWAEUARQBSAEcAXwA0AF8AMQBfADEAXwAzAF8AXwAyAF8AUwB0AGEAZwBlADEATgBpAHQAcgBvAGcAZQBuAEkAbgBNAE0AUwBEAHIAeQBsAG8AdABfAEwAYQB0AGUAeABFAHEAdQBhAHQAaQBvAG4AIgAsACIATQBNAFMAXwBGAGUAZQBkAGwAbwB0AF8ATgAyAE8AXwBEAGkAcgBlAGMAdABfAEUAcQB1AGEAdABpAG8AbgBzAC4AVgBFAEUAUgBHAF8ANABfADEAXwAxAF8AMwBfAF8AMgBfAFMAdABhAGcAZQAxAE4AaQB0AHIAbwBnAGUAbgBJAG4ATQBNAFMARAByAHkAbABvAHQAXwBBAHIAZwB1AG0AZQBuAHQAcwAiACwAIgBNAE0AUwBfAEYAZQBlAGQAbABvAHQAXwBOADIATwBfAEQAaQByAGUAYwB0AF8ARQBxAHUAYQB0AGkAbwBuAHMALgBWAEUARQBSAEcAXwA0AF8AMQBfADEAXwAzAF8AXwAzAF8AQQBuAG4AdQBhAGwATgBpAHQAcgBvAGcAZQBuAEUAeABjAHIAZQB0AGkAbwBuACIALAAiAE0ATQBTAF8ARgBlAGUAZABsAG8AdABfAE4AMgBPAF8ARABpAHIAZQBjAHQAXwBFAHEAdQBhAHQAaQBvAG4AcwAuAFYARQBFAFIARwBfADQAXwAxAF8AMQBfADMAXwBfADMAXwBBAG4AbgB1AGEAbABOAGkAdAByAG8AZwBlAG4ARQB4AGMAcgBlAHQAaQBvAG4AXwBUAGkAdABsAGUAIgAsACIATQBNAFMAXwBGAGUAZQBkAGwAbwB0AF8ATgAyAE8AXwBEAGkAcgBlAGMAdABfAEUAcQB1AGEAdABpAG8AbgBzAC4AVgBFAEUAUgBHAF8ANABfADEAXwAxAF8AMwBfAF8AMwBfAEEAbgBuAHUAYQBsAE4AaQB0AHIAbwBnAGUAbgBFAHgAYwByAGUAdABpAG8AbgBfAFYAYQByAGkAYQBiAGwAZQAiACwAIgBNAE0AUwBfAEYAZQBlAGQAbABvAHQAXwBOADIATwBfAEQAaQByAGUAYwB0AF8ARQBxAHUAYQB0AGkAbwBuAHMALgBWAEUARQBSAEcAXwA0AF8AMQBfADEAXwAzAF8AXwAzAF8AQQBuAG4AdQBhAGwATgBpAHQAcgBvAGcAZQBuAEUAeABjAHIAZQB0AGkAbwBuAF8AVQBuAGkAdAAiACwAIgBNAE0AUwBfAEYAZQBlAGQAbABvAHQAXwBOADIATwBfAEQAaQByAGUAYwB0AF8ARQBxAHUAYQB0AGkAbwBuAHMALgBWAEUARQBSAEcAXwA0AF8AMQBfADEAXwAzAF8AXwAzAF8AQQBuAG4AdQBhAGwATgBpAHQAcgBvAGcAZQBuAEUAeABjAHIAZQB0AGkAbwBuAF8AUwBvAHUAcgBjAGUAIgAsACIATQBNAFMAXwBGAGUAZQBkAGwAbwB0AF8ATgAyAE8AXwBEAGkAcgBlAGMAdABfAEUAcQB1AGEAdABpAG8AbgBzAC4AVgBFAEUAUgBHAF8ANABfADEAXwAxAF8AMwBfAF8AMwBfAEEAbgBuAHUAYQBsAE4AaQB0AHIAbwBnAGUAbgBFAHgAYwByAGUAdABpAG8AbgBfAE4ASQBSAFIAZQBmAGUAcgBlAG4AYwBlACIALAAiAE0ATQBTAF8ARgBlAGUAZABsAG8AdABfAE4AMgBPAF8ARABpAHIAZQBjAHQAXwBFAHEAdQBhAHQAaQBvAG4AcwAuAFYARQBFAFIARwBfADQAXwAxAF8AMQBfADMAXwBfADMAXwBBAG4AbgB1AGEAbABOAGkAdAByAG8AZwBlAG4ARQB4AGMAcgBlAHQAaQBvAG4AXwBMAGEAdABlAHgARQBxAHUAYQB0AGkAbwBuACIALAAiAE0ATQBTAF8ARgBlAGUAZABsAG8AdABfAE4AMgBPAF8ARABpAHIAZQBjAHQAXwBFAHEAdQBhAHQAaQBvAG4AcwAuAFYARQBFAFIARwBfADQAXwAxAF8AMQBfADMAXwBfADMAXwBBAG4AbgB1AGEAbABOAGkAdAByAG8AZwBlAG4ARQB4AGMAcgBlAHQAaQBvAG4AXwBBAHIAZwB1AG0AZQBuAHQAcwAiACwAIgBNAE0AUwBfAEYAZQBlAGQAbABvAHQAXwBOADIATwBfAEQAaQByAGUAYwB0AF8ARQBxAHUAYQB0AGkAbwBuAHMALgBWAEUARQBSAEcAXwA0AF8AMQBfADEAXwAzAF8AXwA0AF8ATgBpAHQAcgBvAGcAZQBuAEUAeABjAHIAZQB0AGkAbwBuAFAAZQByAEgAZQBhAGQAIgAsACIATQBNAFMAXwBGAGUAZQBkAGwAbwB0AF8ATgAyAE8AXwBEAGkAcgBlAGMAdABfAEUAcQB1AGEAdABpAG8AbgBzAC4AVgBFAEUAUgBHAF8ANABfADEAXwAxAF8AMwBfAF8ANABfAE4AaQB0AHIAbwBnAGUAbgBFAHgAYwByAGUAdABpAG8AbgBQAGUAcgBIAGUAYQBkAF8AVABpAHQAbABlACIALAAiAE0ATQBTAF8ARgBlAGUAZABsAG8AdABfAE4AMgBPAF8ARABpAHIAZQBjAHQAXwBFAHEAdQBhAHQAaQBvAG4AcwAuAFYARQBFAFIARwBfADQAXwAxAF8AMQBfADMAXwBfADQAXwBOAGkAdAByAG8AZwBlAG4ARQB4AGMAcgBlAHQAaQBvAG4AUABlAHIASABlAGEAZABfAFYAYQByAGkAYQBiAGwAZQAiACwAIgBNAE0AUwBfAEYAZQBlAGQAbABvAHQAXwBOADIATwBfAEQAaQByAGUAYwB0AF8ARQBxAHUAYQB0AGkAbwBuAHMALgBWAEUARQBSAEcAXwA0AF8AMQBfADEAXwAzAF8AXwA0AF8ATgBpAHQAcgBvAGcAZQBuAEUAeABjAHIAZQB0AGkAbwBuAFAAZQByAEgAZQBhAGQAXwBVAG4AaQB0ACIALAAiAE0ATQBTAF8ARgBlAGUAZABsAG8AdABfAE4AMgBPAF8ARABpAHIAZQBjAHQAXwBFAHEAdQBhAHQAaQBvAG4AcwAuAFYARQBFAFIARwBfADQAXwAxAF8AMQBfADMAXwBfADQAXwBOAGkAdAByAG8AZwBlAG4ARQB4AGMAcgBlAHQAaQBvAG4AUABlAHIASABlAGEAZABfAFMAbwB1AHIAYwBlACIALAAiAE0ATQBTAF8ARgBlAGUAZABsAG8AdABfAE4AMgBPAF8ARABpAHIAZQBjAHQAXwBFAHEAdQBhAHQAaQBvAG4AcwAuAFYARQBFAFIARwBfADQAXwAxAF8AMQBfADMAXwBfADQAXwBOAGkAdAByAG8AZwBlAG4ARQB4AGMAcgBlAHQAaQBvAG4AUABlAHIASABlAGEAZABfAE4ASQBSAFIAZQBmAGUAcgBlAG4AYwBlACIALAAiAE0ATQBTAF8ARgBlAGUAZABsAG8AdABfAE4AMgBPAF8ARABpAHIAZQBjAHQAXwBFAHEAdQBhAHQAaQBvAG4AcwAuAFYARQBFAFIARwBfADQAXwAxAF8AMQBfADMAXwBfADQAXwBOAGkAdAByAG8AZwBlAG4ARQB4AGMAcgBlAHQAaQBvAG4AUABlAHIASABlAGEAZABfAEwAYQB0AGUAeABFAHEAdQBhAHQAaQBvAG4AIgAsACIATQBNAFMAXwBGAGUAZQBkAGwAbwB0AF8ATgAyAE8AXwBEAGkAcgBlAGMAdABfAEUAcQB1AGEAdABpAG8AbgBzAC4AVgBFAEUAUgBHAF8ANABfADEAXwAxAF8AMwBfAF8ANABfAE4AaQB0AHIAbwBnAGUAbgBFAHgAYwByAGUAdABpAG8AbgBQAGUAcgBIAGUAYQBkAF8AQQByAGcAdQBtAGUAbgB0AHMAIgAsACIATQBNAFMAXwBGAGUAZQBkAGwAbwB0AF8ATgAyAE8AXwBEAGkAcgBlAGMAdABfAEUAcQB1AGEAdABpAG8AbgBzAC4AVgBFAEUAUgBHAF8ANABfADEAXwAxAF8AMwBfAF8ANQBfAE4AaQB0AHIAbwBnAGUAbgBJAG4AdABhAGsAZQAiACwAIgBNAE0AUwBfAEYAZQBlAGQAbABvAHQAXwBOADIATwBfAEQAaQByAGUAYwB0AF8ARQBxAHUAYQB0AGkAbwBuAHMALgBWAEUARQBSAEcAXwA0AF8AMQBfADEAXwAzAF8AXwA1AF8ATgBpAHQAcgBvAGcAZQBuAEkAbgB0AGEAawBlAF8AVABpAHQAbABlACIALAAiAE0ATQBTAF8ARgBlAGUAZABsAG8AdABfAE4AMgBPAF8ARABpAHIAZQBjAHQAXwBFAHEAdQBhAHQAaQBvAG4AcwAuAFYARQBFAFIARwBfADQAXwAxAF8AMQBfADMAXwBfADUAXwBOAGkAdAByAG8AZwBlAG4ASQBuAHQAYQBrAGUAXwBWAGEAcgBpAGEAYgBsAGUAIgAsACIATQBNAFMAXwBGAGUAZQBkAGwAbwB0AF8ATgAyAE8AXwBEAGkAcgBlAGMAdABfAEUAcQB1AGEAdABpAG8AbgBzAC4AVgBFAEUAUgBHAF8ANABfADEAXwAxAF8AMwBfAF8ANQBfAE4AaQB0AHIAbwBnAGUAbgBJAG4AdABhAGsAZQBfAFUAbgBpAHQAIgAsACIATQBNAFMAXwBGAGUAZQBkAGwAbwB0AF8ATgAyAE8AXwBEAGkAcgBlAGMAdABfAEUAcQB1AGEAdABpAG8AbgBzAC4AVgBFAEUAUgBHAF8ANABfADEAXwAxAF8AMwBfAF8ANQBfAE4AaQB0AHIAbwBnAGUAbgBJAG4AdABhAGsAZQBfAFMAbwB1AHIAYwBlACIALAAiAE0ATQBTAF8ARgBlAGUAZABsAG8AdABfAE4AMgBPAF8ARABpAHIAZQBjAHQAXwBFAHEAdQBhAHQAaQBvAG4AcwAuAFYARQBFAFIARwBfADQAXwAxAF8AMQBfADMAXwBfADUAXwBOAGkAdAByAG8AZwBlAG4ASQBuAHQAYQBrAGUAXwBOAEkAUgBSAGUAZgBlAHIAZQBuAGMAZQAiACwAIgBNAE0AUwBfAEYAZQBlAGQAbABvAHQAXwBOADIATwBfAEQAaQByAGUAYwB0AF8ARQBxAHUAYQB0AGkAbwBuAHMALgBWAEUARQBSAEcAXwA0AF8AMQBfADEAXwAzAF8AXwA1AF8ATgBpAHQAcgBvAGcAZQBuAEkAbgB0AGEAawBlAF8ATABhAHQAZQB4AEUAcQB1AGEAdABpAG8AbgAiACwAIgBNAE0AUwBfAEYAZQBlAGQAbABvAHQAXwBOADIATwBfAEQAaQByAGUAYwB0AF8ARQBxAHUAYQB0AGkAbwBuAHMALgBWAEUARQBSAEcAXwA0AF8AMQBfADEAXwAzAF8AXwA1AF8ATgBpAHQAcgBvAGcAZQBuAEkAbgB0AGEAawBlAF8AQQByAGcAdQBtAGUAbgB0AHMAIgAsACIATQBNAFMAXwBGAGUAZQBkAGwAbwB0AF8ATgAyAE8AXwBEAGkAcgBlAGMAdABfAEUAcQB1AGEAdABpAG8AbgBzAC4AVgBFAEUAUgBHAF8ANABfADEAXwAxAF8AMwBfAF8ANgBfAFMAdABhAGcAZQAyAE4AaQB0AHIAbwBnAGUAbgBJAG4ATQBNAFMAIgAsACIATQBNAFMAXwBGAGUAZQBkAGwAbwB0AF8ATgAyAE8AXwBEAGkAcgBlAGMAdABfAEUAcQB1AGEAdABpAG8AbgBzAC4AVgBFAEUAUgBHAF8ANABfADEAXwAxAF8AMwBfAF8ANgBfAFMAdABhAGcAZQAyAE4AaQB0AHIAbwBnAGUAbgBJAG4ATQBNAFMAXwBUAGkAdABsAGUAIgAsACIATQBNAFMAXwBGAGUAZQBkAGwAbwB0AF8ATgAyAE8AXwBEAGkAcgBlAGMAdABfAEUAcQB1AGEAdABpAG8AbgBzAC4AVgBFAEUAUgBHAF8ANABfADEAXwAxAF8AMwBfAF8ANgBfAFMAdABhAGcAZQAyAE4AaQB0AHIAbwBnAGUAbgBJAG4ATQBNAFMAXwBWAGEAcgBpAGEAYgBsAGUAIgAsACIATQBNAFMAXwBGAGUAZQBkAGwAbwB0AF8ATgAyAE8AXwBEAGkAcgBlAGMAdABfAEUAcQB1AGEAdABpAG8AbgBzAC4AVgBFAEUAUgBHAF8ANABfADEAXwAxAF8AMwBfAF8ANgBfAFMAdABhAGcAZQAyAE4AaQB0AHIAbwBnAGUAbgBJAG4ATQBNAFMAXwBVAG4AaQB0ACIALAAiAE0ATQBTAF8ARgBlAGUAZABsAG8AdABfAE4AMgBPAF8ARABpAHIAZQBjAHQAXwBFAHEAdQBhAHQAaQBvAG4AcwAuAFYARQBFAFIARwBfADQAXwAxAF8AMQBfADMAXwBfADYAXwBTAHQAYQBnAGUAMgBOAGkAdAByAG8AZwBlAG4ASQBuAE0ATQBTAF8AUwBvAHUAcgBjAGUAIgAsACIATQBNAFMAXwBGAGUAZQBkAGwAbwB0AF8ATgAyAE8AXwBEAGkAcgBlAGMAdABfAEUAcQB1AGEAdABpAG8AbgBzAC4AVgBFAEUAUgBHAF8ANABfADEAXwAxAF8AMwBfAF8ANgBfAFMAdABhAGcAZQAyAE4AaQB0AHIAbwBnAGUAbgBJAG4ATQBNAFMAXwBOAEkAUgBSAGUAZgBlAHIAZQBuAGMAZQAiACwAIgBNAE0AUwBfAEYAZQBlAGQAbABvAHQAXwBOADIATwBfAEQAaQByAGUAYwB0AF8ARQBxAHUAYQB0AGkAbwBuAHMALgBWAEUARQBSAEcAXwA0AF8AMQBfADEAXwAzAF8AXwA2AF8AUwB0AGEAZwBlADIATgBpAHQAcgBvAGcAZQBuAEkAbgBNAE0AUwBfAEwAYQB0AGUAeABFAHEAdQBhAHQAaQBvAG4AIgAsACIATQBNAFMAXwBGAGUAZQBkAGwAbwB0AF8ATgAyAE8AXwBEAGkAcgBlAGMAdABfAEUAcQB1AGEAdABpAG8AbgBzAC4AVgBFAEUAUgBHAF8ANABfADEAXwAxAF8AMwBfAF8ANgBfAFMAdABhAGcAZQAyAE4AaQB0AHIAbwBnAGUAbgBJAG4ATQBNAFMAXwBBAHIAZwB1AG0AZQBuAHQAcwAiACwAIgBNAE0AUwBfAEYAZQBlAGQAbABvAHQAXwBOADIATwBfAEQAaQByAGUAYwB0AF8ARQBxAHUAYQB0AGkAbwBuAHMALgBWAEUARQBSAEcAXwA0AF8AMQBfADEAXwAzAF8AXwA3AF8ATgBpAHQAcgBvAGcAZQBuAFQAcgBhAG4AcwBmAGUAcgByAGUAZABUAG8AUwB0AGEAZwBlADIAIgAsACIATQBNAFMAXwBGAGUAZQBkAGwAbwB0AF8ATgAyAE8AXwBEAGkAcgBlAGMAdABfAEUAcQB1AGEAdABpAG8AbgBzAC4AVgBFAEUAUgBHAF8ANABfADEAXwAxAF8AMwBfAF8ANwBfAE4AaQB0AHIAbwBnAGUAbgBUAHIAYQBuAHMAZgBlAHIAcgBlAGQAVABvAFMAdABhAGcAZQAyAF8AVABpAHQAbABlACIALAAiAE0ATQBTAF8ARgBlAGUAZABsAG8AdABfAE4AMgBPAF8ARABpAHIAZQBjAHQAXwBFAHEAdQBhAHQAaQBvAG4AcwAuAFYARQBFAFIARwBfADQAXwAxAF8AMQBfADMAXwBfADcAXwBOAGkAdAByAG8AZwBlAG4AVAByAGEAbgBzAGYAZQByAHIAZQBkAFQAbwBTAHQAYQBnAGUAMgBfAFYAYQByAGkAYQBiAGwAZQAiACwAIgBNAE0AUwBfAEYAZQBlAGQAbABvAHQAXwBOADIATwBfAEQAaQByAGUAYwB0AF8ARQBxAHUAYQB0AGkAbwBuAHMALgBWAEUARQBSAEcAXwA0AF8AMQBfADEAXwAzAF8AXwA3AF8ATgBpAHQAcgBvAGcAZQBuAFQAcgBhAG4AcwBmAGUAcgByAGUAZABUAG8AUwB0AGEAZwBlADIAXwBVAG4AaQB0ACIALAAiAE0ATQBTAF8ARgBlAGUAZABsAG8AdABfAE4AMgBPAF8ARABpAHIAZQBjAHQAXwBFAHEAdQBhAHQAaQBvAG4AcwAuAFYARQBFAFIARwBfADQAXwAxAF8AMQBfADMAXwBfADcAXwBOAGkAdAByAG8AZwBlAG4AVAByAGEAbgBzAGYAZQByAHIAZQBkAFQAbwBTAHQAYQBnAGUAMgBfAFMAbwB1AHIAYwBlACIALAAiAE0ATQBTAF8ARgBlAGUAZABsAG8AdABfAE4AMgBPAF8ARABpAHIAZQBjAHQAXwBFAHEAdQBhAHQAaQBvAG4AcwAuAFYARQBFAFIARwBfADQAXwAxAF8AMQBfADMAXwBfADcAXwBOAGkAdAByAG8AZwBlAG4AVAByAGEAbgBzAGYAZQByAHIAZQBkAFQAbwBTAHQAYQBnAGUAMgBfAE4ASQBSAFIAZQBmAGUAcgBlAG4AYwBlACIALAAiAE0ATQBTAF8ARgBlAGUAZABsAG8AdABfAE4AMgBPAF8ARABpAHIAZQBjAHQAXwBFAHEAdQBhAHQAaQBvAG4AcwAuAFYARQBFAFIARwBfADQAXwAxAF8AMQBfADMAXwBfADcAXwBOAGkAdAByAG8AZwBlAG4AVAByAGEAbgBzAGYAZQByAHIAZQBkAFQAbwBTAHQAYQBnAGUAMgBfAEwAYQB0AGUAeABFAHEAdQBhAHQAaQBvAG4AIgAsACIATQBNAFMAXwBGAGUAZQBkAGwAbwB0AF8ATgAyAE8AXwBEAGkAcgBlAGMAdABfAEUAcQB1AGEAdABpAG8AbgBzAC4AVgBFAEUAUgBHAF8ANABfADEAXwAxAF8AMwBfAF8ANwBfAE4AaQB0AHIAbwBnAGUAbgBUAHIAYQBuAHMAZgBlAHIAcgBlAGQAVABvAFMAdABhAGcAZQAyAF8AQQByAGcAdQBtAGUAbgB0AHMAIgAsACIATQBNAFMAXwBGAGUAZQBkAGwAbwB0AF8ATgAyAE8AXwBEAGkAcgBlAGMAdABfAEUAcQB1AGEAdABpAG8AbgBzAC4AVgBFAEUAUgBHAF8ANABfADEAXwAxAF8AMwBfAF8AOABfAFMAdABhAGcAZQAzAE4AaQB0AHIAbwBnAGUAbgBJAG4ATQBNAFMAQQBuAGEAZQByAG8AYgBpAGMATABhAGcAbwBvAG4AIgAsACIATQBNAFMAXwBGAGUAZQBkAGwAbwB0AF8ATgAyAE8AXwBEAGkAcgBlAGMAdABfAEUAcQB1AGEAdABpAG8AbgBzAC4AVgBFAEUAUgBHAF8ANABfADEAXwAxAF8AMwBfAF8AOABfAFMAdABhAGcAZQAzAE4AaQB0AHIAbwBnAGUAbgBJAG4ATQBNAFMAQQBuAGEAZQByAG8AYgBpAGMATABhAGcAbwBvAG4AXwBUAGkAdABsAGUAIgAsACIATQBNAFMAXwBGAGUAZQBkAGwAbwB0AF8ATgAyAE8AXwBEAGkAcgBlAGMAdABfAEUAcQB1AGEAdABpAG8AbgBzAC4AVgBFAEUAUgBHAF8ANABfADEAXwAxAF8AMwBfAF8AOABfAFMAdABhAGcAZQAzAE4AaQB0AHIAbwBnAGUAbgBJAG4ATQBNAFMAQQBuAGEAZQByAG8AYgBpAGMATABhAGcAbwBvAG4AXwBWAGEAcgBpAGEAYgBsAGUAIgAsACIATQBNAFMAXwBGAGUAZQBkAGwAbwB0AF8ATgAyAE8AXwBEAGkAcgBlAGMAdABfAEUAcQB1AGEAdABpAG8AbgBzAC4AVgBFAEUAUgBHAF8ANABfADEAXwAxAF8AMwBfAF8AOABfAFMAdABhAGcAZQAzAE4AaQB0AHIAbwBnAGUAbgBJAG4ATQBNAFMAQQBuAGEAZQByAG8AYgBpAGMATABhAGcAbwBvAG4AXwBVAG4AaQB0ACIALAAiAE0ATQBTAF8ARgBlAGUAZABsAG8AdABfAE4AMgBPAF8ARABpAHIAZQBjAHQAXwBFAHEAdQBhAHQAaQBvAG4AcwAuAFYARQBFAFIARwBfADQAXwAxAF8AMQBfADMAXwBfADgAXwBTAHQAYQBnAGUAMwBOAGkAdAByAG8AZwBlAG4ASQBuAE0ATQBTAEEAbgBhAGUAcgBvAGIAaQBjAEwAYQBnAG8AbwBuAF8AUwBvAHUAcgBjAGUAIgAsACIATQBNAFMAXwBGAGUAZQBkAGwAbwB0AF8ATgAyAE8AXwBEAGkAcgBlAGMAdABfAEUAcQB1AGEAdABpAG8AbgBzAC4AVgBFAEUAUgBHAF8ANABfADEAXwAxAF8AMwBfAF8AOABfAFMAdABhAGcAZQAzAE4AaQB0AHIAbwBnAGUAbgBJAG4ATQBNAFMAQQBuAGEAZQByAG8AYgBpAGMATABhAGcAbwBvAG4AXwBOAEkAUgBSAGUAZgBlAHIAZQBuAGMAZQAiACwAIgBNAE0AUwBfAEYAZQBlAGQAbABvAHQAXwBOADIATwBfAEQAaQByAGUAYwB0AF8ARQBxAHUAYQB0AGkAbwBuAHMALgBWAEUARQBSAEcAXwA0AF8AMQBfADEAXwAzAF8AXwA4AF8AUwB0AGEAZwBlADMATgBpAHQAcgBvAGcAZQBuAEkAbgBNAE0AUwBBAG4AYQBlAHIAbwBiAGkAYwBMAGEAZwBvAG8AbgBfAEwAYQB0AGUAeABFAHEAdQBhAHQAaQBvAG4AIgAsACIATQBNAFMAXwBGAGUAZQBkAGwAbwB0AF8ATgAyAE8AXwBEAGkAcgBlAGMAdABfAEUAcQB1AGEAdABpAG8AbgBzAC4AVgBFAEUAUgBHAF8ANABfADEAXwAxAF8AMwBfAF8AOABfAFMAdABhAGcAZQAzAE4AaQB0AHIAbwBnAGUAbgBJAG4ATQBNAFMAQQBuAGEAZQByAG8AYgBpAGMATABhAGcAbw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Dairy</vt:lpstr>
      <vt:lpstr>4.1.1.1-2 Methane</vt:lpstr>
      <vt:lpstr>4.1.1.3-4 Direct N20</vt:lpstr>
      <vt:lpstr>4.1.1.5-6 Atmos Deposition</vt:lpstr>
      <vt:lpstr>4.1.1.9 Manure applied to soils</vt:lpstr>
      <vt:lpstr>Constants - Dairy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2026-04-01T02:57:56Z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