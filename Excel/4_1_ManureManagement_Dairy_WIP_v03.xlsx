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F6B3496E-4A6E-4FE6-B660-754D49875D1E}" xr6:coauthVersionLast="47" xr6:coauthVersionMax="47" xr10:uidLastSave="{00000000-0000-0000-0000-000000000000}"/>
  <bookViews>
    <workbookView xWindow="615" yWindow="240" windowWidth="37755" windowHeight="20445" firstSheet="2" activeTab="4" xr2:uid="{992023F3-CAB7-4E5B-A348-08D563A0EF40}"/>
  </bookViews>
  <sheets>
    <sheet name="Home" sheetId="71" r:id="rId1"/>
    <sheet name="Results" sheetId="13" r:id="rId2"/>
    <sheet name="Input - Site" sheetId="15" r:id="rId3"/>
    <sheet name="Input - Dairy" sheetId="70" r:id="rId4"/>
    <sheet name="4.1.1.1-2 Methane" sheetId="69" r:id="rId5"/>
    <sheet name="4.1.1.3-4 Direct N20" sheetId="76" r:id="rId6"/>
    <sheet name="4.1.1.5-6 Atmos Deposition" sheetId="82" r:id="rId7"/>
    <sheet name="4.1.1.9 Manure applied to soils" sheetId="81" r:id="rId8"/>
    <sheet name="Constants - Dairy" sheetId="79" r:id="rId9"/>
    <sheet name="Constants - Common" sheetId="93" r:id="rId10"/>
    <sheet name="Constants - Livestock" sheetId="43" r:id="rId11"/>
    <sheet name="Acknowledgements" sheetId="72" r:id="rId12"/>
    <sheet name="Tab template" sheetId="74" r:id="rId13"/>
  </sheets>
  <externalReferences>
    <externalReference r:id="rId14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AtmosphericDeposition_Equations.VEERG_4_1_1_5__1_TotalAnnualAtmosphericDepositionEmissions">_xlfn.LAMBDA(_xlpm.MMS_ATMOS,_xlpm.EF_N2O,_xlpm.C_N2O, (_xlpm.MMS_ATMOS * _xlpm.EF_N2O * _xlpm.C_N2O) * 10 ^ -3)</definedName>
    <definedName name="MMS_Feedlot_AtmosphericDeposition_Equations.VEERG_4_1_1_5__1_TotalAnnualAtmosphericDepositionEmissions_Arguments">_xlfn.LAMBDA(_xlfn.MAKEARRAY(6, 2, _xlfn.LAMBDA(_xlpm.r,_xlpm.c, INDEX({"MMS_ATMOS","mass of N volatilised from MMS : kg N";"EF_N2O","nitrous oxide emission factor for atmospheric deposition : kg N2O-N/kg N";"C_N2O","factor to convert elemental mass of nitrous oxide to molecular mass : ratio";"j","production system";"i","irrigation method";"r","rainfall zone"}, _xlpm.r, _xlpm.c))))</definedName>
    <definedName name="MMS_Feedlot_AtmosphericDeposition_Equations.VEERG_4_1_1_5__1_TotalAnnualAtmosphericDepositionEmissions_LatexEquation">_xlfn.LAMBDA("E_{N2O,ad}=(MMS_{ATMOS}\times EF_{N2O}\times C_{N2O})\times10^{-3}")</definedName>
    <definedName name="MMS_Feedlot_AtmosphericDeposition_Equations.VEERG_4_1_1_5__1_TotalAnnualAtmosphericDepositionEmissions_NIRReference">_xlfn.LAMBDA("")</definedName>
    <definedName name="MMS_Feedlot_AtmosphericDeposition_Equations.VEERG_4_1_1_5__1_TotalAnnualAtmosphericDepositionEmissions_Source">_xlfn.LAMBDA("VEERG 2026: 4.1.1.5, Equation (1)")</definedName>
    <definedName name="MMS_Feedlot_AtmosphericDeposition_Equations.VEERG_4_1_1_5__1_TotalAnnualAtmosphericDepositionEmissions_Title">_xlfn.LAMBDA("Total annual atmospheric deposition emissions from manure management")</definedName>
    <definedName name="MMS_Feedlot_AtmosphericDeposition_Equations.VEERG_4_1_1_5__1_TotalAnnualAtmosphericDepositionEmissions_Unit">_xlfn.LAMBDA("t N2O")</definedName>
    <definedName name="MMS_Feedlot_AtmosphericDeposition_Equations.VEERG_4_1_1_5__1_TotalAnnualAtmosphericDepositionEmissions_Variable">_xlfn.LAMBDA("E_N2Oad")</definedName>
    <definedName name="MMS_Feedlot_AtmosphericDeposition_Equations.VEERG_4_1_1_5__2_VolatilisedNitrogenFromManureManagement">_xlfn.LAMBDA(_xlpm.MN_jmT,_xlpm.FracGASM_mT, _xlpm.MN_jmT * _xlpm.FracGASM_mT)</definedName>
    <definedName name="MMS_Feedlot_AtmosphericDeposition_Equations.VEERG_4_1_1_5__2_VolatilisedNitrogenFromManureManagement_Arguments">_xlfn.LAMBDA(_xlfn.MAKEARRAY(2, 2, _xlfn.LAMBDA(_xlpm.r,_xlpm.c, INDEX({"MN_jmT","nitrogen in each treatment stage MMS (excluding MN_ijm13T2) : kg N";"FracGASM_mT","fraction of N volatilised in each MMS : (kg NH3-N + NOx-N)/kg N"}, _xlpm.r, _xlpm.c))))</definedName>
    <definedName name="MMS_Feedlot_AtmosphericDeposition_Equations.VEERG_4_1_1_5__2_VolatilisedNitrogenFromManureManagement_LatexEquation">_xlfn.LAMBDA("MMS_{ATMOS}=\sum_{j}\sum_{m}\sum_{T}(MN_{jmT}\times FracGASM_{mT})")</definedName>
    <definedName name="MMS_Feedlot_AtmosphericDeposition_Equations.VEERG_4_1_1_5__2_VolatilisedNitrogenFromManureManagement_NIRReference">_xlfn.LAMBDA("")</definedName>
    <definedName name="MMS_Feedlot_AtmosphericDeposition_Equations.VEERG_4_1_1_5__2_VolatilisedNitrogenFromManureManagement_Source">_xlfn.LAMBDA("VEERG 2026: 4.1.1.5, Equation (2)")</definedName>
    <definedName name="MMS_Feedlot_AtmosphericDeposition_Equations.VEERG_4_1_1_5__2_VolatilisedNitrogenFromManureManagement_Title">_xlfn.LAMBDA("Volatilised nitrogen from manure management")</definedName>
    <definedName name="MMS_Feedlot_AtmosphericDeposition_Equations.VEERG_4_1_1_5__2_VolatilisedNitrogenFromManureManagement_Unit">_xlfn.LAMBDA("kg N")</definedName>
    <definedName name="MMS_Feedlot_AtmosphericDeposition_Equations.VEERG_4_1_1_5__2_VolatilisedNitrogenFromManureManagement_Variable">_xlfn.LAMBDA("MMS_ATMOS")</definedName>
    <definedName name="MMS_Feedlot_ManureAppliedToSoils_Equations.VEERG_4_1_1_9__1_MassOfNitrogenAppliedToSoilsScope1">_xlfn.LAMBDA(_xlpm.MN_jmT23,_xlpm.EF_mT23,_xlpm.FracGASM_mT23,_xlpm.PF, (_xlpm.MN_jmT23 * (1 - _xlpm.EF_mT23 - _xlpm.FracGASM_mT23)) * _xlpm.PF)</definedName>
    <definedName name="MMS_Feedlot_ManureAppliedToSoils_Equations.VEERG_4_1_1_9__1_MassOfNitrogenAppliedToSoilsScope1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1_MassOfNitrogenAppliedToSoilsScope1_LatexEquation">_xlfn.LAMBDA("MNSoil_{scope1}=\sum_{j}\sum_{m}\sum_{T}(MN_{jmT=2,3}\times(1-EF_{mT=2,3}-FracGASM_{mT=2,3}))\times PF")</definedName>
    <definedName name="MMS_Feedlot_ManureAppliedToSoils_Equations.VEERG_4_1_1_9__1_MassOfNitrogenAppliedToSoilsScope1_NIRReference">_xlfn.LAMBDA("")</definedName>
    <definedName name="MMS_Feedlot_ManureAppliedToSoils_Equations.VEERG_4_1_1_9__1_MassOfNitrogenAppliedToSoilsScope1_Source">_xlfn.LAMBDA("VEERG 2026: 4.1.1.9, Equation (1)")</definedName>
    <definedName name="MMS_Feedlot_ManureAppliedToSoils_Equations.VEERG_4_1_1_9__1_MassOfNitrogenAppliedToSoilsScope1_Title">_xlfn.LAMBDA("Mass of nitrogen applied to soils for scope 1 emissions")</definedName>
    <definedName name="MMS_Feedlot_ManureAppliedToSoils_Equations.VEERG_4_1_1_9__1_MassOfNitrogenAppliedToSoilsScope1_Unit">_xlfn.LAMBDA("kg N")</definedName>
    <definedName name="MMS_Feedlot_ManureAppliedToSoils_Equations.VEERG_4_1_1_9__1_MassOfNitrogenAppliedToSoilsScope1_Variable">_xlfn.LAMBDA("MNSoil_scope1")</definedName>
    <definedName name="MMS_Feedlot_ManureAppliedToSoils_Equations.VEERG_4_1_1_9__2_MassOfNitrogenAppliedToSoilsScope3">_xlfn.LAMBDA(_xlpm.MN_jmT23,_xlpm.EF_mT23,_xlpm.FracGASM_mT23,_xlpm.PF, (_xlpm.MN_jmT23 * (1 - _xlpm.EF_mT23 - _xlpm.FracGASM_mT23)) * (1 - _xlpm.PF))</definedName>
    <definedName name="MMS_Feedlot_ManureAppliedToSoils_Equations.VEERG_4_1_1_9__2_MassOfNitrogenAppliedToSoilsScope3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2_MassOfNitrogenAppliedToSoilsScope3_LatexEquation">_xlfn.LAMBDA("MNSoil_{scope3}=\sum_{j}\sum_{m}\sum_{T}(MN_{jmT=2,3}\times(1-EF_{mT=2,3}-FracGASM_{mT=2,3}))\times(1-PF)")</definedName>
    <definedName name="MMS_Feedlot_ManureAppliedToSoils_Equations.VEERG_4_1_1_9__2_MassOfNitrogenAppliedToSoilsScope3_NIRReference">_xlfn.LAMBDA("")</definedName>
    <definedName name="MMS_Feedlot_ManureAppliedToSoils_Equations.VEERG_4_1_1_9__2_MassOfNitrogenAppliedToSoilsScope3_Source">_xlfn.LAMBDA("VEERG 2026: 4.1.1.9, Equation (2)")</definedName>
    <definedName name="MMS_Feedlot_ManureAppliedToSoils_Equations.VEERG_4_1_1_9__2_MassOfNitrogenAppliedToSoilsScope3_Title">_xlfn.LAMBDA("Mass of nitrogen applied to soils for scope 3 emissions")</definedName>
    <definedName name="MMS_Feedlot_ManureAppliedToSoils_Equations.VEERG_4_1_1_9__2_MassOfNitrogenAppliedToSoilsScope3_Unit">_xlfn.LAMBDA("kg N")</definedName>
    <definedName name="MMS_Feedlot_ManureAppliedToSoils_Equations.VEERG_4_1_1_9__2_MassOfNitrogenAppliedToSoilsScope3_Variable">_xlfn.LAMBDA("MNSoil_scope3")</definedName>
    <definedName name="MMS_Feedlot_Methane_Equations.VEERG_4_1_1_1__1_TotalAnnualMethaneEmissions">_xlfn.LAMBDA(_xlpm.D_j,_xlpm.M_jmT,_xlpm.N_j, (_xlpm.D_j * _xlpm.M_jmT * _xlpm.N_j) * 10 ^ -3)</definedName>
    <definedName name="MMS_Feedlot_Methane_Equations.VEERG_4_1_1_1__1_TotalAnnualMethaneEmissions_Arguments">_xlfn.LAMBDA(_xlfn.MAKEARRAY(3, 2, _xlfn.LAMBDA(_xlpm.r,_xlpm.c, INDEX({"D_j","length of stay of each cattle group : days";"M_jmT","methane production from manure per cattle group, MMS, and treatment stage : kg CH4/head/day";"N_j","numbers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_xlfn.LAMBDA("E_CH4")</definedName>
    <definedName name="MMS_Feedlot_Methane_Equations.VEERG_4_1_1_1__2_Stage1MethaneProductionDrylot">_xlfn.LAMBDA(_xlpm.VS_j,_xlpm.BO,_xlpm.MMS_m5T1,_xlpm.MCF_im5,_xlpm.rho, _xlfn.LET(_xlpm.MCF_im5, IF(ISNUMBER(_xlpm.MCF_im5), _xlpm.MCF_im5, 0), _xlpm.VS_j * _xlpm.BO * _xlpm.MMS_m5T1 * _xlpm.MCF_im5 * _xlpm.rho))</definedName>
    <definedName name="MMS_Feedlot_Methane_Equations.VEERG_4_1_1_1__2_Stage1MethaneProductionDrylot_Arguments">_xlfn.LAMBDA(_xlfn.MAKEARRAY(6, 2, _xlfn.LAMBDA(_xlpm.r,_xlpm.c, INDEX({"VS_j","volatile solid production from feedlot cattle in each group : kg/head/day";"BO","emissions potential : m3 CH4/kg VS";"MMS_m5T1","fraction of manure in primary system drylot MMS : fraction";"MCF_im5","methane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_xlfn.LAMBDA("M_jm5T1")</definedName>
    <definedName name="MMS_Feedlot_Methane_Equations.VEERG_4_1_1_1__3_Stage2MethaneProduction">_xlfn.LAMBDA(_xlpm.VSL,_xlpm.VS_j,_xlpm.BO,_xlpm.MMS_mT2,_xlpm.MCF_im,_xlpm.rho, (1 - _xlpm.VSL) * _xlpm.VS_j * _xlpm.BO * _xlpm.MMS_mT2 * _xlpm.MCF_im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fraction";"VS_j","volatile solid production from feedlot cattle in each group : kg/head/day";"BO","emissions potential : m3 CH4/kg VS";"MMS_mT2","fraction of manure in each secondary system : fraction";"MCF_im","methane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_xlfn.LAMBDA("M_jmT2")</definedName>
    <definedName name="MMS_Feedlot_Methane_Equations.VEERG_4_1_1_1__4_Stage3MethaneProductionAnaerobicLagoon">_xlfn.LAMBDA(_xlpm.VS_j,_xlpm.BO,_xlpm.MMS_m1T3,_xlpm.MCF_im1,_xlpm.rho, _xlpm.VS_j * _xlpm.BO * _xlpm.MMS_m1T3 * _xlpm.MCF_im1 * _xlpm.rho)</definedName>
    <definedName name="MMS_Feedlot_Methane_Equations.VEERG_4_1_1_1__4_Stage3MethaneProductionAnaerobicLagoon_Arguments">_xlfn.LAMBDA(_xlfn.MAKEARRAY(6, 2, _xlfn.LAMBDA(_xlpm.r,_xlpm.c, INDEX({"VS_j","volatile solid production from feedlot cattle in each group j : kg/head/day";"BO","emissions potential : m3 CH4/kg VS";"MMS_m1T3","fraction of manure to tertiary anaerobic lagoon system : fraction";"MCF_im1","methane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_xlfn.LAMBDA("M_jm1T3")</definedName>
    <definedName name="MMS_Feedlot_Methane_Equations.VEERG_4_1_1_1__5_VolatileSolidProduction">_xlfn.LAMBDA(_xlpm.I_j,_xlpm.DMD_j,_xlpm.A, _xlpm.I_j * (1 - _xlpm.DMD_j) * (1 - _xlpm.A))</definedName>
    <definedName name="MMS_Feedlot_Methane_Equations.VEERG_4_1_1_1__5_VolatileSolidProduction_Arguments">_xlfn.LAMBDA(_xlfn.MAKEARRAY(3, 2, _xlfn.LAMBDA(_xlpm.r,_xlpm.c, INDEX({"I_j","dry matter intake for each group j : kg DM/head/day";"DMD_j","dry matter digestibility for each group j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_xlfn.LAMBDA("VS_j")</definedName>
    <definedName name="MMS_Feedlot_N2O_Direct_Equations.VEERG_4_1_1_3__1_TotalAnnualDirectNitrousOxideEmissions">_xlfn.LAMBDA(_xlpm.MN_jmT,_xlpm.EF_jm,_xlpm.C_N2O, SUMPRODUCT(_xlpm.MN_jmT, _xlpm.EF_jm, _xlpm.C_N2O) * 10 ^ -3)</definedName>
    <definedName name="MMS_Feedlot_N2O_Direct_Equations.VEERG_4_1_1_3__1_TotalAnnualDirectNitrousOxideEmissions_Arguments">_xlfn.LAMBDA(_xlfn.MAKEARRAY(3, 2, _xlfn.LAMBDA(_xlpm.r,_xlpm.c, INDEX({"MN_jmT","nitrogen per cattle group, MMS and treatment stage : kg N";"EF_jm","nitrous oxide emission factor for MMS : kg N2O-N/kg N";"C_N2O","factor to convert elemental mass of nitrous oxide to molecular mass : ratio"}, _xlpm.r, _xlpm.c))))</definedName>
    <definedName name="MMS_Feedlot_N2O_Direct_Equations.VEERG_4_1_1_3__1_TotalAnnualDirectNitrousOxideEmissions_LatexEquation">_xlfn.LAMBDA("E_{N2O,dir}=\sum_{j}\sum_{m}\sum_{T}(MN_{jmT}\times EF_{jm}\times C_{N2O})\times10^{-3}")</definedName>
    <definedName name="MMS_Feedlot_N2O_Direct_Equations.VEERG_4_1_1_3__1_TotalAnnualDirectNitrousOxideEmissions_NIRReference">_xlfn.LAMBDA("")</definedName>
    <definedName name="MMS_Feedlot_N2O_Direct_Equations.VEERG_4_1_1_3__1_TotalAnnualDirectNitrousOxideEmissions_Source">_xlfn.LAMBDA("VEERG 2026: 4.1.1.3, Equation (1)")</definedName>
    <definedName name="MMS_Feedlot_N2O_Direct_Equations.VEERG_4_1_1_3__1_TotalAnnualDirectNitrousOxideEmissions_Title">_xlfn.LAMBDA("Total annual direct nitrous oxide emissions from manure management systems")</definedName>
    <definedName name="MMS_Feedlot_N2O_Direct_Equations.VEERG_4_1_1_3__1_TotalAnnualDirectNitrousOxideEmissions_Unit">_xlfn.LAMBDA("t N2O")</definedName>
    <definedName name="MMS_Feedlot_N2O_Direct_Equations.VEERG_4_1_1_3__1_TotalAnnualDirectNitrousOxideEmissions_Variable">_xlfn.LAMBDA("E_N2Odir")</definedName>
    <definedName name="MMS_Feedlot_N2O_Direct_Equations.VEERG_4_1_1_3__2_Stage1NitrogenInMMSDrylot">_xlfn.LAMBDA(_xlpm.AE_j,_xlpm.MMS_jm5T1, _xlpm.AE_j * _xlpm.MMS_jm5T1)</definedName>
    <definedName name="MMS_Feedlot_N2O_Direct_Equations.VEERG_4_1_1_3__2_Stage1NitrogenInMMSDrylot_Arguments">_xlfn.LAMBDA(_xlfn.MAKEARRAY(2, 2, _xlfn.LAMBDA(_xlpm.r,_xlpm.c, INDEX({"AE_j","total nitrogen excreted by each cattle group : kg N";"MMS_jm5T1","fraction of manure in primary system drylot MMS : fraction"}, _xlpm.r, _xlpm.c))))</definedName>
    <definedName name="MMS_Feedlot_N2O_Direct_Equations.VEERG_4_1_1_3__2_Stage1NitrogenInMMSDrylot_LatexEquation">_xlfn.LAMBDA("MN_{jm=5,T=1}=AE_{j}\times MMS_{jm=5,T=1}")</definedName>
    <definedName name="MMS_Feedlot_N2O_Direct_Equations.VEERG_4_1_1_3__2_Stage1NitrogenInMMSDrylot_NIRReference">_xlfn.LAMBDA("")</definedName>
    <definedName name="MMS_Feedlot_N2O_Direct_Equations.VEERG_4_1_1_3__2_Stage1NitrogenInMMSDrylot_Source">_xlfn.LAMBDA("VEERG 2026: 4.1.1.3, Equation (2)")</definedName>
    <definedName name="MMS_Feedlot_N2O_Direct_Equations.VEERG_4_1_1_3__2_Stage1NitrogenInMMSDrylot_Title">_xlfn.LAMBDA("Nitrogen in treatment stage 1 MMS")</definedName>
    <definedName name="MMS_Feedlot_N2O_Direct_Equations.VEERG_4_1_1_3__2_Stage1NitrogenInMMSDrylot_Unit">_xlfn.LAMBDA("kg N")</definedName>
    <definedName name="MMS_Feedlot_N2O_Direct_Equations.VEERG_4_1_1_3__2_Stage1NitrogenInMMSDrylot_Variable">_xlfn.LAMBDA("MN_jm5T1")</definedName>
    <definedName name="MMS_Feedlot_N2O_Direct_Equations.VEERG_4_1_1_3__3_AnnualNitrogenExcretion">_xlfn.LAMBDA(_xlpm.N_j,_xlpm.NE_j,_xlpm.D_j, _xlpm.N_j * _xlpm.NE_j * _xlpm.D_j)</definedName>
    <definedName name="MMS_Feedlot_N2O_Direct_Equations.VEERG_4_1_1_3__3_AnnualNitrogenExcretion_Arguments">_xlfn.LAMBDA(_xlfn.MAKEARRAY(3, 2, _xlfn.LAMBDA(_xlpm.r,_xlpm.c, INDEX({"N_j","number of cattle in each group : head";"NE_j","nitrogen excretion : kg N/head/day";"D_j","duration of stay of cattle group : days"}, _xlpm.r, _xlpm.c))))</definedName>
    <definedName name="MMS_Feedlot_N2O_Direct_Equations.VEERG_4_1_1_3__3_AnnualNitrogenExcretion_LatexEquation">_xlfn.LAMBDA("AE_{j}=N_{j}\times NE_{j}\times D_{j}")</definedName>
    <definedName name="MMS_Feedlot_N2O_Direct_Equations.VEERG_4_1_1_3__3_AnnualNitrogenExcretion_NIRReference">_xlfn.LAMBDA("")</definedName>
    <definedName name="MMS_Feedlot_N2O_Direct_Equations.VEERG_4_1_1_3__3_AnnualNitrogenExcretion_Source">_xlfn.LAMBDA("VEERG 2026: 4.1.1.3, Equation (3)")</definedName>
    <definedName name="MMS_Feedlot_N2O_Direct_Equations.VEERG_4_1_1_3__3_AnnualNitrogenExcretion_Title">_xlfn.LAMBDA("Annual nitrogen excretion from each feedlot cattle group")</definedName>
    <definedName name="MMS_Feedlot_N2O_Direct_Equations.VEERG_4_1_1_3__3_AnnualNitrogenExcretion_Unit">_xlfn.LAMBDA("kg N")</definedName>
    <definedName name="MMS_Feedlot_N2O_Direct_Equations.VEERG_4_1_1_3__3_AnnualNitrogenExcretion_Variable">_xlfn.LAMBDA("AE_j")</definedName>
    <definedName name="MMS_Feedlot_N2O_Direct_Equations.VEERG_4_1_1_3__4_NitrogenExcretionPerHead">_xlfn.LAMBDA(_xlpm.NI_j,_xlpm.NR_j, _xlpm.NI_j * (1 - _xlpm.NR_j))</definedName>
    <definedName name="MMS_Feedlot_N2O_Direct_Equations.VEERG_4_1_1_3__4_NitrogenExcretionPerHead_Arguments">_xlfn.LAMBDA(_xlfn.MAKEARRAY(2, 2, _xlfn.LAMBDA(_xlpm.r,_xlpm.c, INDEX({"NI_j","nitrogen intake : kg N/head/day";"NR_j","nitrogen retention expressed as a fraction of intake : fraction"}, _xlpm.r, _xlpm.c))))</definedName>
    <definedName name="MMS_Feedlot_N2O_Direct_Equations.VEERG_4_1_1_3__4_NitrogenExcretionPerHead_LatexEquation">_xlfn.LAMBDA("NE_{j}=NI_{j}\times(1-NR_{j})")</definedName>
    <definedName name="MMS_Feedlot_N2O_Direct_Equations.VEERG_4_1_1_3__4_NitrogenExcretionPerHead_NIRReference">_xlfn.LAMBDA("")</definedName>
    <definedName name="MMS_Feedlot_N2O_Direct_Equations.VEERG_4_1_1_3__4_NitrogenExcretionPerHead_Source">_xlfn.LAMBDA("VEERG 2026: 4.1.1.3, Equation (4)")</definedName>
    <definedName name="MMS_Feedlot_N2O_Direct_Equations.VEERG_4_1_1_3__4_NitrogenExcretionPerHead_Title">_xlfn.LAMBDA("Nitrogen excretion per head per day")</definedName>
    <definedName name="MMS_Feedlot_N2O_Direct_Equations.VEERG_4_1_1_3__4_NitrogenExcretionPerHead_Unit">_xlfn.LAMBDA("kg N/head/day")</definedName>
    <definedName name="MMS_Feedlot_N2O_Direct_Equations.VEERG_4_1_1_3__4_NitrogenExcretionPerHead_Variable">_xlfn.LAMBDA("NE_j")</definedName>
    <definedName name="MMS_Feedlot_N2O_Direct_Equations.VEERG_4_1_1_3__5_NitrogenIntake">_xlfn.LAMBDA(_xlpm.I_j,_xlpm.CP_j, _xlpm.I_j * _xlpm.CP_j / 6.25)</definedName>
    <definedName name="MMS_Feedlot_N2O_Direct_Equations.VEERG_4_1_1_3__5_NitrogenIntake_Arguments">_xlfn.LAMBDA(_xlfn.MAKEARRAY(3, 2, _xlfn.LAMBDA(_xlpm.r,_xlpm.c, INDEX({"I_j","dry matter intake : kg DM/head/day";"CP_j","crude protein content of feed : fraction";"6.25","factor for converting crude protein into nitrogen : ratio"}, _xlpm.r, _xlpm.c))))</definedName>
    <definedName name="MMS_Feedlot_N2O_Direct_Equations.VEERG_4_1_1_3__5_NitrogenIntake_LatexEquation">_xlfn.LAMBDA("NI_{j}=I_{j}\times CP_{j}\div 6.25")</definedName>
    <definedName name="MMS_Feedlot_N2O_Direct_Equations.VEERG_4_1_1_3__5_NitrogenIntake_NIRReference">_xlfn.LAMBDA("")</definedName>
    <definedName name="MMS_Feedlot_N2O_Direct_Equations.VEERG_4_1_1_3__5_NitrogenIntake_Source">_xlfn.LAMBDA("VEERG 2026: 4.1.1.3, Equation (5)")</definedName>
    <definedName name="MMS_Feedlot_N2O_Direct_Equations.VEERG_4_1_1_3__5_NitrogenIntake_Title">_xlfn.LAMBDA("Nitrogen intake of feedlot cattle")</definedName>
    <definedName name="MMS_Feedlot_N2O_Direct_Equations.VEERG_4_1_1_3__5_NitrogenIntake_Unit">_xlfn.LAMBDA("kg N/head/day")</definedName>
    <definedName name="MMS_Feedlot_N2O_Direct_Equations.VEERG_4_1_1_3__5_NitrogenIntake_Variable">_xlfn.LAMBDA("NI_j")</definedName>
    <definedName name="MMS_Feedlot_N2O_Direct_Equations.VEERG_4_1_1_3__6_Stage2NitrogenInMMS">_xlfn.LAMBDA(_xlpm.NT_jmT2,_xlpm.MMS_jmT2, _xlpm.NT_jmT2 * _xlpm.MMS_jmT2)</definedName>
    <definedName name="MMS_Feedlot_N2O_Direct_Equations.VEERG_4_1_1_3__6_Stage2NitrogenInMMS_Arguments">_xlfn.LAMBDA(_xlfn.MAKEARRAY(2, 2, _xlfn.LAMBDA(_xlpm.r,_xlpm.c, INDEX({"NT_jmT2","nitrogen transferred to secondary treatment MMS : kg N";"MMS_jmT2","fraction of manure in each secondary system : fraction"}, _xlpm.r, _xlpm.c))))</definedName>
    <definedName name="MMS_Feedlot_N2O_Direct_Equations.VEERG_4_1_1_3__6_Stage2NitrogenInMMS_LatexEquation">_xlfn.LAMBDA("MN_{jm,T=2}=NT_{jm,T=2}\times MMS_{jm,T=2}")</definedName>
    <definedName name="MMS_Feedlot_N2O_Direct_Equations.VEERG_4_1_1_3__6_Stage2NitrogenInMMS_NIRReference">_xlfn.LAMBDA("")</definedName>
    <definedName name="MMS_Feedlot_N2O_Direct_Equations.VEERG_4_1_1_3__6_Stage2NitrogenInMMS_Source">_xlfn.LAMBDA("VEERG 2026: 4.1.1.3, Equation (6)")</definedName>
    <definedName name="MMS_Feedlot_N2O_Direct_Equations.VEERG_4_1_1_3__6_Stage2NitrogenInMMS_Title">_xlfn.LAMBDA("Nitrogen in treatment stage 2 MMS")</definedName>
    <definedName name="MMS_Feedlot_N2O_Direct_Equations.VEERG_4_1_1_3__6_Stage2NitrogenInMMS_Unit">_xlfn.LAMBDA("kg N")</definedName>
    <definedName name="MMS_Feedlot_N2O_Direct_Equations.VEERG_4_1_1_3__6_Stage2NitrogenInMMS_Variable">_xlfn.LAMBDA("MN_jmT2")</definedName>
    <definedName name="MMS_Feedlot_N2O_Direct_Equations.VEERG_4_1_1_3__7_NitrogenTransferredToStage2">_xlfn.LAMBDA(_xlpm.MN_jm5T1,_xlpm.FracGASM_m5,_xlpm.EF_m5,_xlpm.MN_jmT3, (_xlpm.MN_jm5T1 * (1 - _xlpm.FracGASM_m5 - _xlpm.EF_m5)) - _xlpm.MN_jmT3)</definedName>
    <definedName name="MMS_Feedlot_N2O_Direct_Equations.VEERG_4_1_1_3__7_NitrogenTransferredToStage2_Arguments">_xlfn.LAMBDA(_xlfn.MAKEARRAY(4, 2, _xlfn.LAMBDA(_xlpm.r,_xlpm.c, INDEX({"MN_jm5T1","nitrogen in MMS treatment stage 1 : kg N";"FracGASM_m5","fraction of N volatilised from drylot MMS : fraction";"EF_m5","nitrous oxide emission factor for drylot MMS : kg N2O-N/kg N deposited";"MN_jmT3","nitrogen in MMS treatment stage 3 : kg N"}, _xlpm.r, _xlpm.c))))</definedName>
    <definedName name="MMS_Feedlot_N2O_Direct_Equations.VEERG_4_1_1_3__7_NitrogenTransferredToStage2_LatexEquation">_xlfn.LAMBDA("NT_{jm,T=2}=(MN_{jm=5,T=1}\times(1-FracGASM_{m=5}-EF_{m=5}))-MN_{jm,T=3}")</definedName>
    <definedName name="MMS_Feedlot_N2O_Direct_Equations.VEERG_4_1_1_3__7_NitrogenTransferredToStage2_NIRReference">_xlfn.LAMBDA("")</definedName>
    <definedName name="MMS_Feedlot_N2O_Direct_Equations.VEERG_4_1_1_3__7_NitrogenTransferredToStage2_Source">_xlfn.LAMBDA("VEERG 2026: 4.1.1.3, Equation (7)")</definedName>
    <definedName name="MMS_Feedlot_N2O_Direct_Equations.VEERG_4_1_1_3__7_NitrogenTransferredToStage2_Title">_xlfn.LAMBDA("Nitrogen transferred to treatment stage 2 MMS")</definedName>
    <definedName name="MMS_Feedlot_N2O_Direct_Equations.VEERG_4_1_1_3__7_NitrogenTransferredToStage2_Unit">_xlfn.LAMBDA("kg N")</definedName>
    <definedName name="MMS_Feedlot_N2O_Direct_Equations.VEERG_4_1_1_3__7_NitrogenTransferredToStage2_Variable">_xlfn.LAMBDA("NT_jmT2")</definedName>
    <definedName name="MMS_Feedlot_N2O_Direct_Equations.VEERG_4_1_1_3__8_Stage3NitrogenInMMSAnaerobicLagoon">_xlfn.LAMBDA(_xlpm.AE_j,_xlpm.MMS_jm1T3, _xlpm.AE_j * _xlpm.MMS_jm1T3)</definedName>
    <definedName name="MMS_Feedlot_N2O_Direct_Equations.VEERG_4_1_1_3__8_Stage3NitrogenInMMSAnaerobicLagoon_Arguments">_xlfn.LAMBDA(_xlfn.MAKEARRAY(2, 2, _xlfn.LAMBDA(_xlpm.r,_xlpm.c, INDEX({"AE_j","total nitrogen excreted by each cattle group : kg N";"MMS_jm1T3","fraction of manure to tertiary anaerobic lagoon system : fraction"}, _xlpm.r, _xlpm.c))))</definedName>
    <definedName name="MMS_Feedlot_N2O_Direct_Equations.VEERG_4_1_1_3__8_Stage3NitrogenInMMSAnaerobicLagoon_LatexEquation">_xlfn.LAMBDA("MN_{jm=1,T=3}=AE_{j}\times MMS_{jm=1,T=3}")</definedName>
    <definedName name="MMS_Feedlot_N2O_Direct_Equations.VEERG_4_1_1_3__8_Stage3NitrogenInMMSAnaerobicLagoon_NIRReference">_xlfn.LAMBDA("")</definedName>
    <definedName name="MMS_Feedlot_N2O_Direct_Equations.VEERG_4_1_1_3__8_Stage3NitrogenInMMSAnaerobicLagoon_Source">_xlfn.LAMBDA("VEERG 2026: 4.1.1.3, Equation (8)")</definedName>
    <definedName name="MMS_Feedlot_N2O_Direct_Equations.VEERG_4_1_1_3__8_Stage3NitrogenInMMSAnaerobicLagoon_Title">_xlfn.LAMBDA("Nitrogen in treatment stage 3 MMS")</definedName>
    <definedName name="MMS_Feedlot_N2O_Direct_Equations.VEERG_4_1_1_3__8_Stage3NitrogenInMMSAnaerobicLagoon_Unit">_xlfn.LAMBDA("kg N")</definedName>
    <definedName name="MMS_Feedlot_N2O_Direct_Equations.VEERG_4_1_1_3__8_Stage3NitrogenInMMSAnaerobicLagoon_Variable">_xlfn.LAMBDA("MN_jm1T3")</definedName>
    <definedName name="Range_LivestockStartingValues">#REF!</definedName>
    <definedName name="SourceData_Dairy.SourceData_Dairy_DurationOfStay_Data">_xlfn.LAMBDA(_xlfn.MAKEARRAY(6, 3, _xlfn.LAMBDA(_xlpm.r,_xlpm.c, INDEX({"Animal class j","Duration (weaned)","Duration (pre-weaned)";"Milking cows",365,0;"Heifers &gt; 1 year",365,0;"Heifers &lt; 1 year",281,84;"Bulls &gt; 1 year",365,0;"Bulls &lt; 1 year",281,84}, _xlpm.r, _xlpm.c))))</definedName>
    <definedName name="SourceData_Dairy.SourceData_Dairy_DurationOfStay_Source">_xlfn.LAMBDA("VEERG 2026: 4.3.2.2	DATA (METHOD 1 AND 2 OPTIONS)")</definedName>
    <definedName name="SourceData_Dairy.SourceData_Dairy_DurationOfStay_Title">_xlfn.LAMBDA("Duration of stay for each dairy cattle input class")</definedName>
    <definedName name="SourceData_Dairy.SourceData_Dairy_DurationOfStay_Unit">_xlfn.LAMBDA("days")</definedName>
    <definedName name="SourceData_Dairy.SourceData_Dairy_DurationOfStay_Variable">_xlfn.LAMBDA("D")</definedName>
    <definedName name="SourceData_Dairy.SourceData_Dairy_DurationOfStay_Variation">_xlfn.LAMBDA("VARIATION OF SOURCE: Converted free text in document to table, matching livestock class names.")</definedName>
    <definedName name="SourceData_Dairy.SourceData_Dairy_EFNitrousOxidePerMMS_Data">_xlfn.LAMBDA(_xlfn.MAKEARRAY(6, 3, _xlfn.LAMBDA(_xlpm.r,_xlpm.c, INDEX({"MMS m","EFm","NIR reference";"m=14 Pasture",0,"Pasture range and paddock";"m=1 Anerobic Lagoon",0,"Anaerobic lagoon";"m=2 Daily Spread: Sump and dispersal",0,"Sump and dispersal system";"m=3 Daily Spread: Drains to paddocks",0,"Drains to paddock";"m=4 Solid Storage",0.005,"Solid storage"}, _xlpm.r, _xlpm.c))))</definedName>
    <definedName name="SourceData_Dairy.SourceData_Dairy_EFNitrousOxidePerMMS_Source">_xlfn.LAMBDA("VEERG 2026: Table A.1.3.11")</definedName>
    <definedName name="SourceData_Dairy.SourceData_Dairy_EFNitrousOxidePerMMS_Title">_xlfn.LAMBDA("Table A.1.3.11: Dairy cattle - EF for nitrous oxide per MMS (kg N2O-N/kg N) (EFm)")</definedName>
    <definedName name="SourceData_Dairy.SourceData_Dairy_EFNitrousOxidePerMMS_Unit">_xlfn.LAMBDA("kg N2O-N/kg N")</definedName>
    <definedName name="SourceData_Dairy.SourceData_Dairy_EFNitrousOxidePerMMS_Variable">_xlfn.LAMBDA("EFm")</definedName>
    <definedName name="SourceData_Dairy.SourceData_Dairy_EFNitrousOxidePerMMS_Variation">_xlfn.LAMBDA("VARIATION OF SOURCE: Added 'NIR reference' column to aid lookup")</definedName>
    <definedName name="SourceData_Dairy.SourceData_Dairy_FractionVolatileSolidsVoidedMMS_Data">_xlfn.LAMBDA(_xlfn.MAKEARRAY(5, 4, _xlfn.LAMBDA(_xlpm.r,_xlpm.c, INDEX({"Area","Pasture","Milking Shed","Feedpad";"System 1: Grazed Only",0.89,0.11,0;"System 2: On feedpad for &lt;10 hr/day for &lt;3 months/year",0.79,0.11,0.1;"System 3: Pasture-grazed 3-9 months/year",0.534,0.11,0.356;"System 4: Zero grazing",0,0.11,0.89}, _xlpm.r, _xlpm.c))))</definedName>
    <definedName name="SourceData_Dairy.SourceData_Dairy_FractionVolatileSolidsVoidedMMS_Source">_xlfn.LAMBDA("VEERG 2026: Table A.1.3.10")</definedName>
    <definedName name="SourceData_Dairy.SourceData_Dairy_FractionVolatileSolidsVoidedMMS_Title">_xlfn.LAMBDA("Table A.1.3.10: Dairy cattle - Fraction of volatile solids voided to each manure management system (fraction) (MMSjm)")</definedName>
    <definedName name="SourceData_Dairy.SourceData_Dairy_FractionVolatileSolidsVoidedMMS_Unit">_xlfn.LAMBDA("fraction")</definedName>
    <definedName name="SourceData_Dairy.SourceData_Dairy_FractionVolatileSolidsVoidedMMS_Variable">_xlfn.LAMBDA("MMSjm")</definedName>
    <definedName name="SourceData_Dairy.SourceData_Dairy_FractionVolatileSolidsVoidedMMS_Variation">_xlfn.LAMBDA("VARIATION OF SOURCE: Excluded 'Annual fraction of time spent per area' row as this information is in the table title.")</definedName>
    <definedName name="SourceData_Dairy.SourceData_Dairy_IncreasedMetabolicRateMilk_Data">_xlfn.LAMBDA(_xlfn.MAKEARRAY(3, 2, _xlfn.LAMBDA(_xlpm.r,_xlpm.c, INDEX({"Animal Class j","MRj";"Milking cows, and house cows",1.1;"All other cattle classes",1}, _xlpm.r, _xlpm.c))))</definedName>
    <definedName name="SourceData_Dairy.SourceData_Dairy_IncreasedMetabolicRateMilk_Source">_xlfn.LAMBDA("VEERG 2026: Table A.1.3.9")</definedName>
    <definedName name="SourceData_Dairy.SourceData_Dairy_IncreasedMetabolicRateMilk_Title">_xlfn.LAMBDA("Table A.1.3.9: Dairy cattle - Increased metabolic rate when producing milk (kg DM/head/day) (MRj)")</definedName>
    <definedName name="SourceData_Dairy.SourceData_Dairy_IncreasedMetabolicRateMilk_Unit">_xlfn.LAMBDA("kg DM/head/day")</definedName>
    <definedName name="SourceData_Dairy.SourceData_Dairy_IncreasedMetabolicRateMilk_Variable">_xlfn.LAMBDA("MRj")</definedName>
    <definedName name="SourceData_Dairy.SourceData_Dairy_IncreasedMetabolicRateMilk_Variation">_xlfn.LAMBDA("")</definedName>
    <definedName name="SourceData_Dairy.SourceData_Dairy_LiveweightBulls_Data">_xlfn.LAMBDA(_xlfn.MAKEARRAY(2, 3, _xlfn.LAMBDA(_xlpm.r,_xlpm.c, INDEX({"Breed","Bulls &gt;1","Bulls &lt;1 (weaned)";"All breeds",600,225}, _xlpm.r, _xlpm.c))))</definedName>
    <definedName name="SourceData_Dairy.SourceData_Dairy_LiveweightBulls_Source">_xlfn.LAMBDA("VEERG 2026: Table A.1.3.2")</definedName>
    <definedName name="SourceData_Dairy.SourceData_Dairy_LiveweightBulls_Title">_xlfn.LAMBDA("Table A.1.3.2: Dairy cattle - Liveweight (kg) - Bulls (Wj)")</definedName>
    <definedName name="SourceData_Dairy.SourceData_Dairy_LiveweightBulls_Unit">_xlfn.LAMBDA("kg")</definedName>
    <definedName name="SourceData_Dairy.SourceData_Dairy_LiveweightBulls_Variable">_xlfn.LAMBDA("Wj")</definedName>
    <definedName name="SourceData_Dairy.SourceData_Dairy_LiveweightBulls_Variation">_xlfn.LAMBDA("")</definedName>
    <definedName name="SourceData_Dairy.SourceData_Dairy_LiveweightCowsAndHeifers_Data">_xlfn.LAMBDA(_xlfn.MAKEARRAY(11, 4, _xlfn.LAMBDA(_xlpm.r,_xlpm.c, INDEX({"Breed","Milking Cows","Heifers &gt;1","Heifers &lt;1 (weaned)";"Medium Friesian",550,380,155;"Large Friesian",600,415,170;"Holstein-Friesian",650,450,185;"Friesian crossbred",500,350,145;"Jersey",400,275,115;"Jersey crossbred",450,315,130;"Ayrshire",540,375,150;"Guernsey",480,335,140;"Brown Swiss",600,415,170;"Illawarra/Aussie Red",550,375,150}, _xlpm.r, _xlpm.c))))</definedName>
    <definedName name="SourceData_Dairy.SourceData_Dairy_LiveweightCowsAndHeifers_Source">_xlfn.LAMBDA("VEERG 2026: Table A.1.3.1")</definedName>
    <definedName name="SourceData_Dairy.SourceData_Dairy_LiveweightCowsAndHeifers_Title">_xlfn.LAMBDA("Table A.1.3.1: Dairy cattle - Liveweight (kg) - Cows and Heifers (Wj)")</definedName>
    <definedName name="SourceData_Dairy.SourceData_Dairy_LiveweightCowsAndHeifers_Unit">_xlfn.LAMBDA("kg")</definedName>
    <definedName name="SourceData_Dairy.SourceData_Dairy_LiveweightCowsAndHeifers_Variable">_xlfn.LAMBDA("Wj")</definedName>
    <definedName name="SourceData_Dairy.SourceData_Dairy_LiveweightCowsAndHeifers_Variation">_xlfn.LAMBDA("VARIATION OF SOURCE: Excluded 'Reference', as the value is consistently 'Dairy Australia [1]' and is not used in calculation.")</definedName>
    <definedName name="SourceData_Dairy.SourceData_Dairy_LiveweightGain_Data">_xlfn.LAMBDA(_xlfn.MAKEARRAY(2, 5, _xlfn.LAMBDA(_xlpm.r,_xlpm.c, INDEX({"Milking Cows","Heifers &gt;1","Heifers &lt;1 (weaned)","Bulls &gt;1","Bulls &lt;1 (weaned)";0.016,0.6,0.57,0.1,0.8}, _xlpm.r, _xlpm.c))))</definedName>
    <definedName name="SourceData_Dairy.SourceData_Dairy_LiveweightGain_Source">_xlfn.LAMBDA("VEERG 2026: Table A.1.3.3")</definedName>
    <definedName name="SourceData_Dairy.SourceData_Dairy_LiveweightGain_Title">_xlfn.LAMBDA("Table A.1.3.3: Dairy cattle - Liveweight gain (kg) (LWGj)")</definedName>
    <definedName name="SourceData_Dairy.SourceData_Dairy_LiveweightGain_Unit">_xlfn.LAMBDA("kg")</definedName>
    <definedName name="SourceData_Dairy.SourceData_Dairy_LiveweightGain_Variable">_xlfn.LAMBDA("LWGj")</definedName>
    <definedName name="SourceData_Dairy.SourceData_Dairy_LiveweightGain_Variation">_xlfn.LAMBDA("")</definedName>
    <definedName name="SourceData_Dairy.SourceData_Dairy_MCF_Data">_xlfn.LAMBDA(_xlfn.MAKEARRAY(7, 10, _xlfn.LAMBDA(_xlpm.r,_xlpm.c, INDEX({"MMS m","ACT","NSW","NT","QLD","SA","TAS","VIC","WA","NIR reference";"Pasture",0.01,0.01,0.02,0.01,0.01,0.01,0.01,0.01,"Pasture range and paddock";"Anaerobic lagoon",0.72,0.76,0.8,0.78,0.74,0.69,0.73,0.76,"Anaerobic lagoon";"Daily spread - Sump and dispersal systems",0.005,0.005,0.01,0.005,0.005,0.001,0.005,0.005,"Sump and dispersal system";"Daily spread - Drains to paddocks (a)",0.15,0.18,0.5,0.24,0.17,0.13,0.17,0.18,"Drains to paddock";"Solid Storage",0.02,0.02,0.02,0.02,0.02,0.02,0.02,0.02,"Solid storage";"Direct Application to soil",0,0,0,0,0,0,0,0,"Direct application"}, _xlpm.r, _xlpm.c))))</definedName>
    <definedName name="SourceData_Dairy.SourceData_Dairy_MCF_Source">_xlfn.LAMBDA("VEERG 2026: Table A.1.3.6")</definedName>
    <definedName name="SourceData_Dairy.SourceData_Dairy_MCF_Title">_xlfn.LAMBDA("Table A.1.3.6: Dairy cattle - Dairy cattle - MCFs (fraction) (MCFjm)")</definedName>
    <definedName name="SourceData_Dairy.SourceData_Dairy_MCF_Unit">_xlfn.LAMBDA("fraction")</definedName>
    <definedName name="SourceData_Dairy.SourceData_Dairy_MCF_Variable">_xlfn.LAMBDA("MCFjm")</definedName>
    <definedName name="SourceData_Dairy.SourceData_Dairy_MCF_Variation">_xlfn.LAMBDA("VARIATION OF SOURCE: Added 'NIR reference' column to aid lookup")</definedName>
    <definedName name="SourceData_Dairy.SourceData_Dairy_MethaneProductionPreWeanedCalves_Data">_xlfn.LAMBDA(_xlfn.MAKEARRAY(3, 2, _xlfn.LAMBDA(_xlpm.r,_xlpm.c, INDEX({"Animal Class j","MPWENTERIC";"Heifers &lt; 1 year",0.0176;"Bulls &lt; 1 year",0.0204}, _xlpm.r, _xlpm.c))))</definedName>
    <definedName name="SourceData_Dairy.SourceData_Dairy_MethaneProductionPreWeanedCalves_Source">_xlfn.LAMBDA("VEERG 2026: Table A.1.3.8")</definedName>
    <definedName name="SourceData_Dairy.SourceData_Dairy_MethaneProductionPreWeanedCalves_Title">_xlfn.LAMBDA("Table A.1.3.8: Dairy cattle - Methane production for pre-weaned heifer and bull calves (kg CH4/head/day) (MPWENTERIC,j=3,5)")</definedName>
    <definedName name="SourceData_Dairy.SourceData_Dairy_MethaneProductionPreWeanedCalves_Unit">_xlfn.LAMBDA("kg CH4/head/day")</definedName>
    <definedName name="SourceData_Dairy.SourceData_Dairy_MethaneProductionPreWeanedCalves_Variable">_xlfn.LAMBDA("MPWENTERIC,j=3,5")</definedName>
    <definedName name="SourceData_Dairy.SourceData_Dairy_MethaneProductionPreWeanedCalves_Variation">_xlfn.LAMBDA("")</definedName>
    <definedName name="SourceData_Dairy.SourceData_Dairy_NitrousOxideEFsAndFracGASM_Data">_xlfn.LAMBDA(_xlfn.MAKEARRAY(6, 4, _xlfn.LAMBDA(_xlpm.r,_xlpm.c, INDEX({"MMS m","EFm (kg N2O-N/kg N excreted)","FracGASMm (kg N2O-N/kg N excreted)","NIR reference";"M=14 Pasture",0,0,"Pasture range and paddock";"M=1 Anaerobic lagoon",0,0.35,"Anaerobic lagoon";"M=2 Daily Spread - Sump and Dispersal",0,0.07,"Sump and dispersal system";"M=3 Daily Spread - Drains to Paddock",0,0.2,"Drains to paddock";"M=3 Solid Storage",0.005,0.3,"Solid storage"}, _xlpm.r, _xlpm.c))))</definedName>
    <definedName name="SourceData_Dairy.SourceData_Dairy_NitrousOxideEFsAndFracGASM_Source">_xlfn.LAMBDA("VEERG 2026: Table A.1.3.7")</definedName>
    <definedName name="SourceData_Dairy.SourceData_Dairy_NitrousOxideEFsAndFracGASM_Title">_xlfn.LAMBDA("Table A.1.3.7: Dairy cattle - Nitrous oxide EFs and fraction of N volatilised by MMS")</definedName>
    <definedName name="SourceData_Dairy.SourceData_Dairy_NitrousOxideEFsAndFracGASM_Unit">_xlfn.LAMBDA("kg N2O-N/kg N excreted")</definedName>
    <definedName name="SourceData_Dairy.SourceData_Dairy_NitrousOxideEFsAndFracGASM_Variable">_xlfn.LAMBDA("EFm; FracGASMm")</definedName>
    <definedName name="SourceData_Dairy.SourceData_Dairy_NitrousOxideEFsAndFracGASM_Variation">_xlfn.LAMBDA("VARIATION OF SOURCE: Added 'NIR reference' column to aid lookup")</definedName>
    <definedName name="SourceData_Dairy.SourceData_Dairy_PreWeanedCalves_Data">_xlfn.LAMBDA(_xlfn.MAKEARRAY(4, 4, _xlfn.LAMBDA(_xlpm.r,_xlpm.c, INDEX({"Animal class j","CH4 production","Volatile solids (VSj=3,5)","Nitrogen Excreted (NPWj=3,5)";"","(kg/day)","(kg/day)","(kg/day)";"Heifers&lt;1",0.0176,0.2685,0.0137;"Bulls&lt;1",0.0204,0.3003,0.0092}, _xlpm.r, _xlpm.c))))</definedName>
    <definedName name="SourceData_Dairy.SourceData_Dairy_PreWeanedCalves_Source">_xlfn.LAMBDA("VEERG 2026: Table A.1.3.5")</definedName>
    <definedName name="SourceData_Dairy.SourceData_Dairy_PreWeanedCalves_Title">_xlfn.LAMBDA("Table A.1.3.5: Dairy cattle - Data for pre - weaned calves")</definedName>
    <definedName name="SourceData_Dairy.SourceData_Dairy_PreWeanedCalves_Unit">_xlfn.LAMBDA("kg/day")</definedName>
    <definedName name="SourceData_Dairy.SourceData_Dairy_PreWeanedCalves_Variable">_xlfn.LAMBDA("VSj=3,5; NPWj=3,5")</definedName>
    <definedName name="SourceData_Dairy.SourceData_Dairy_PreWeanedCalves_Variation">_xlfn.LAMBDA("VARIATION OF SOURCE: Added 'Animal class j' column header")</definedName>
    <definedName name="SourceData_Dairy.SourceData_Dairy_ReferenceWeights_Data">_xlfn.LAMBDA(_xlfn.MAKEARRAY(2, 5, _xlfn.LAMBDA(_xlpm.r,_xlpm.c, INDEX({"Milking Cows","Heifers &gt;1","Heifers &lt;1 (weaned)","Bulls &gt;1","Bulls &lt;1 (weaned)";590,590,590,770,770}, _xlpm.r, _xlpm.c))))</definedName>
    <definedName name="SourceData_Dairy.SourceData_Dairy_ReferenceWeights_Source">_xlfn.LAMBDA("VEERG 2026: Table A.1.3.4")</definedName>
    <definedName name="SourceData_Dairy.SourceData_Dairy_ReferenceWeights_Title">_xlfn.LAMBDA("Table A.1.3.4: Dairy cattle - Reference weights (kg) (WRj)")</definedName>
    <definedName name="SourceData_Dairy.SourceData_Dairy_ReferenceWeights_Unit">_xlfn.LAMBDA("kg")</definedName>
    <definedName name="SourceData_Dairy.SourceData_Dairy_ReferenceWeights_Variable">_xlfn.LAMBDA("WRj")</definedName>
    <definedName name="SourceData_Dairy.SourceData_Dairy_ReferenceWeights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70" l="1"/>
  <c r="I155" i="70"/>
  <c r="H155" i="70"/>
  <c r="G155" i="70"/>
  <c r="F155" i="70"/>
  <c r="E155" i="70"/>
  <c r="I150" i="70"/>
  <c r="H150" i="70"/>
  <c r="G150" i="70"/>
  <c r="F150" i="70"/>
  <c r="E150" i="70"/>
  <c r="I145" i="70"/>
  <c r="H145" i="70"/>
  <c r="G145" i="70"/>
  <c r="F145" i="70"/>
  <c r="E145" i="70"/>
  <c r="I140" i="70"/>
  <c r="H140" i="70"/>
  <c r="G140" i="70"/>
  <c r="F140" i="70"/>
  <c r="E140" i="70"/>
  <c r="G103" i="70"/>
  <c r="F103" i="70"/>
  <c r="E103" i="70"/>
  <c r="I96" i="70"/>
  <c r="F96" i="70"/>
  <c r="I95" i="70"/>
  <c r="H94" i="70"/>
  <c r="G94" i="70"/>
  <c r="F94" i="70"/>
  <c r="E94" i="70"/>
  <c r="E91" i="70"/>
  <c r="I103" i="70" s="1"/>
  <c r="E90" i="70"/>
  <c r="H96" i="70" s="1"/>
  <c r="E86" i="70"/>
  <c r="F102" i="70" s="1"/>
  <c r="E85" i="70"/>
  <c r="H95" i="70" s="1"/>
  <c r="E81" i="70"/>
  <c r="H101" i="70" s="1"/>
  <c r="E80" i="70"/>
  <c r="D41" i="70"/>
  <c r="D75" i="70"/>
  <c r="D101" i="70"/>
  <c r="D94" i="70"/>
  <c r="D93" i="70"/>
  <c r="D88" i="70"/>
  <c r="D83" i="70"/>
  <c r="D80" i="70"/>
  <c r="D79" i="70"/>
  <c r="D78" i="70"/>
  <c r="I131" i="70"/>
  <c r="H131" i="70"/>
  <c r="G131" i="70"/>
  <c r="F131" i="70"/>
  <c r="E131" i="70"/>
  <c r="I70" i="70"/>
  <c r="I72" i="70" s="1"/>
  <c r="F70" i="70"/>
  <c r="F72" i="70" s="1"/>
  <c r="I69" i="70"/>
  <c r="H69" i="70"/>
  <c r="G69" i="70"/>
  <c r="F69" i="70"/>
  <c r="E69" i="70"/>
  <c r="I68" i="70"/>
  <c r="H68" i="70"/>
  <c r="H70" i="70" s="1"/>
  <c r="H72" i="70" s="1"/>
  <c r="G68" i="70"/>
  <c r="G70" i="70" s="1"/>
  <c r="G72" i="70" s="1"/>
  <c r="F68" i="70"/>
  <c r="E68" i="70"/>
  <c r="E70" i="70" s="1"/>
  <c r="E72" i="70" s="1"/>
  <c r="I67" i="70"/>
  <c r="H67" i="70"/>
  <c r="G67" i="70"/>
  <c r="F67" i="70"/>
  <c r="E67" i="70"/>
  <c r="D67" i="70"/>
  <c r="D60" i="70"/>
  <c r="D51" i="70"/>
  <c r="D45" i="70"/>
  <c r="I62" i="70"/>
  <c r="H62" i="70"/>
  <c r="G62" i="70"/>
  <c r="F62" i="70"/>
  <c r="E62" i="70"/>
  <c r="I61" i="70"/>
  <c r="I63" i="70" s="1"/>
  <c r="H61" i="70"/>
  <c r="G61" i="70"/>
  <c r="F61" i="70"/>
  <c r="E61" i="70"/>
  <c r="I60" i="70"/>
  <c r="H60" i="70"/>
  <c r="H63" i="70" s="1"/>
  <c r="G60" i="70"/>
  <c r="G63" i="70" s="1"/>
  <c r="G65" i="70" s="1"/>
  <c r="F60" i="70"/>
  <c r="F63" i="70" s="1"/>
  <c r="F65" i="70" s="1"/>
  <c r="E60" i="70"/>
  <c r="E63" i="70" s="1"/>
  <c r="D44" i="70"/>
  <c r="D137" i="70" s="1"/>
  <c r="D49" i="70"/>
  <c r="D86" i="70" s="1"/>
  <c r="D54" i="70"/>
  <c r="D55" i="70" s="1"/>
  <c r="D59" i="70"/>
  <c r="D128" i="70" s="1"/>
  <c r="E11" i="79"/>
  <c r="E10" i="79"/>
  <c r="E9" i="79"/>
  <c r="E8" i="79"/>
  <c r="D11" i="79"/>
  <c r="D10" i="79"/>
  <c r="D9" i="79"/>
  <c r="D8" i="79"/>
  <c r="I37" i="70" a="1"/>
  <c r="I37" i="70" s="1"/>
  <c r="H37" i="70" a="1"/>
  <c r="H37" i="70" s="1"/>
  <c r="G37" i="70" a="1"/>
  <c r="G37" i="70" s="1"/>
  <c r="F37" i="70" a="1"/>
  <c r="F37" i="70" s="1"/>
  <c r="E37" i="70" a="1"/>
  <c r="E37" i="70" s="1"/>
  <c r="I36" i="70" a="1"/>
  <c r="I36" i="70" s="1"/>
  <c r="H36" i="70" a="1"/>
  <c r="H36" i="70" s="1"/>
  <c r="G36" i="70" a="1"/>
  <c r="G36" i="70" s="1"/>
  <c r="F36" i="70" a="1"/>
  <c r="F36" i="70" s="1"/>
  <c r="E36" i="70" a="1"/>
  <c r="E36" i="70" s="1"/>
  <c r="I35" i="70" a="1"/>
  <c r="I35" i="70" s="1"/>
  <c r="H35" i="70" a="1"/>
  <c r="H35" i="70" s="1"/>
  <c r="G35" i="70" a="1"/>
  <c r="G35" i="70" s="1"/>
  <c r="F35" i="70" a="1"/>
  <c r="F35" i="70" s="1"/>
  <c r="E35" i="70" a="1"/>
  <c r="E35" i="70" s="1"/>
  <c r="I32" i="70" a="1"/>
  <c r="I32" i="70" s="1"/>
  <c r="H32" i="70" a="1"/>
  <c r="H32" i="70" s="1"/>
  <c r="G32" i="70" a="1"/>
  <c r="G32" i="70" s="1"/>
  <c r="F32" i="70" a="1"/>
  <c r="F32" i="70" s="1"/>
  <c r="E32" i="70" a="1"/>
  <c r="E32" i="70" s="1"/>
  <c r="I31" i="70" a="1"/>
  <c r="I31" i="70" s="1"/>
  <c r="H31" i="70" a="1"/>
  <c r="H31" i="70" s="1"/>
  <c r="G31" i="70" a="1"/>
  <c r="G31" i="70" s="1"/>
  <c r="F31" i="70" a="1"/>
  <c r="F31" i="70" s="1"/>
  <c r="E31" i="70" a="1"/>
  <c r="E31" i="70" s="1"/>
  <c r="I30" i="70" a="1"/>
  <c r="I30" i="70" s="1"/>
  <c r="H30" i="70" a="1"/>
  <c r="H30" i="70" s="1"/>
  <c r="G30" i="70" a="1"/>
  <c r="G30" i="70" s="1"/>
  <c r="F30" i="70" a="1"/>
  <c r="F30" i="70" s="1"/>
  <c r="E30" i="70" a="1"/>
  <c r="E30" i="70" s="1"/>
  <c r="H97" i="70" l="1"/>
  <c r="E65" i="70"/>
  <c r="D56" i="70"/>
  <c r="D89" i="70"/>
  <c r="E96" i="70"/>
  <c r="E102" i="70"/>
  <c r="D91" i="70"/>
  <c r="G96" i="70"/>
  <c r="G102" i="70"/>
  <c r="D90" i="70"/>
  <c r="H65" i="70"/>
  <c r="D61" i="70"/>
  <c r="H102" i="70"/>
  <c r="H104" i="70" s="1"/>
  <c r="H106" i="70" s="1"/>
  <c r="D142" i="70"/>
  <c r="D152" i="70"/>
  <c r="D47" i="70"/>
  <c r="D81" i="70"/>
  <c r="D102" i="70"/>
  <c r="I94" i="70"/>
  <c r="I97" i="70" s="1"/>
  <c r="I99" i="70" s="1"/>
  <c r="H103" i="70"/>
  <c r="I65" i="70"/>
  <c r="I102" i="70"/>
  <c r="D69" i="70"/>
  <c r="D46" i="70"/>
  <c r="D103" i="70"/>
  <c r="E95" i="70"/>
  <c r="E97" i="70" s="1"/>
  <c r="E99" i="70" s="1"/>
  <c r="E101" i="70"/>
  <c r="E104" i="70" s="1"/>
  <c r="I101" i="70"/>
  <c r="D57" i="70"/>
  <c r="D95" i="70"/>
  <c r="D68" i="70"/>
  <c r="D96" i="70"/>
  <c r="D50" i="70"/>
  <c r="D118" i="70"/>
  <c r="D84" i="70"/>
  <c r="F95" i="70"/>
  <c r="F97" i="70" s="1"/>
  <c r="F99" i="70" s="1"/>
  <c r="F101" i="70"/>
  <c r="F104" i="70" s="1"/>
  <c r="F106" i="70" s="1"/>
  <c r="D147" i="70"/>
  <c r="E106" i="70"/>
  <c r="D52" i="70"/>
  <c r="D123" i="70"/>
  <c r="D85" i="70"/>
  <c r="G95" i="70"/>
  <c r="G97" i="70" s="1"/>
  <c r="G99" i="70" s="1"/>
  <c r="G101" i="70"/>
  <c r="D113" i="70"/>
  <c r="D62" i="70"/>
  <c r="H99" i="70"/>
  <c r="I104" i="70" l="1"/>
  <c r="I106" i="70" s="1"/>
  <c r="G104" i="70"/>
  <c r="G106" i="70" s="1"/>
  <c r="G17" i="70" l="1" a="1"/>
  <c r="G17" i="70" s="1"/>
  <c r="G14" i="70" a="1"/>
  <c r="G14" i="70" s="1"/>
  <c r="D146" i="79" a="1"/>
  <c r="D146" i="79" s="1"/>
  <c r="E146" i="79" a="1"/>
  <c r="E146" i="79" s="1"/>
  <c r="F146" i="79" a="1"/>
  <c r="F146" i="79" s="1"/>
  <c r="D145" i="79" a="1"/>
  <c r="D145" i="79" s="1"/>
  <c r="E145" i="79" a="1"/>
  <c r="E145" i="79" s="1"/>
  <c r="F145" i="79" a="1"/>
  <c r="F145" i="79" s="1"/>
  <c r="D144" i="79" a="1"/>
  <c r="D144" i="79" s="1"/>
  <c r="E144" i="79" a="1"/>
  <c r="E144" i="79" s="1"/>
  <c r="F144" i="79" a="1"/>
  <c r="F144" i="79" s="1"/>
  <c r="D143" i="79" a="1"/>
  <c r="D143" i="79" s="1"/>
  <c r="E143" i="79" a="1"/>
  <c r="E143" i="79" s="1"/>
  <c r="F143" i="79" a="1"/>
  <c r="F143" i="79" s="1"/>
  <c r="F142" i="79" a="1"/>
  <c r="F142" i="79" s="1"/>
  <c r="E142" i="79" a="1"/>
  <c r="E142" i="79" s="1"/>
  <c r="E17" i="70" s="1" a="1"/>
  <c r="E17" i="70" s="1"/>
  <c r="D142" i="79" a="1"/>
  <c r="D142" i="79" s="1"/>
  <c r="I18" i="70" s="1" a="1"/>
  <c r="I18" i="70" s="1"/>
  <c r="D137" i="79" a="1"/>
  <c r="D137" i="79" s="1"/>
  <c r="D138" i="79" a="1"/>
  <c r="D138" i="79" s="1"/>
  <c r="D139" i="79" a="1"/>
  <c r="D139" i="79" s="1"/>
  <c r="D140" i="79" a="1"/>
  <c r="D140" i="79" s="1"/>
  <c r="D136" i="79" a="1"/>
  <c r="D136" i="79" s="1"/>
  <c r="D18" i="70"/>
  <c r="D17" i="70"/>
  <c r="D13" i="70"/>
  <c r="D14" i="70"/>
  <c r="D8" i="70"/>
  <c r="H14" i="70" l="1" a="1"/>
  <c r="H14" i="70" s="1"/>
  <c r="H17" i="70" a="1"/>
  <c r="H17" i="70" s="1"/>
  <c r="I14" i="70" a="1"/>
  <c r="I14" i="70" s="1"/>
  <c r="F14" i="70" a="1"/>
  <c r="F14" i="70" s="1"/>
  <c r="F17" i="70" a="1"/>
  <c r="F17" i="70" s="1"/>
  <c r="E13" i="70" a="1"/>
  <c r="E13" i="70" s="1"/>
  <c r="I17" i="70" a="1"/>
  <c r="I17" i="70" s="1"/>
  <c r="F13" i="70" a="1"/>
  <c r="F13" i="70" s="1"/>
  <c r="E18" i="70" a="1"/>
  <c r="E18" i="70" s="1"/>
  <c r="G13" i="70" a="1"/>
  <c r="G13" i="70" s="1"/>
  <c r="F18" i="70" a="1"/>
  <c r="F18" i="70" s="1"/>
  <c r="H13" i="70" a="1"/>
  <c r="H13" i="70" s="1"/>
  <c r="G18" i="70" a="1"/>
  <c r="G18" i="70" s="1"/>
  <c r="I13" i="70" a="1"/>
  <c r="I13" i="70" s="1"/>
  <c r="H18" i="70" a="1"/>
  <c r="H18" i="70" s="1"/>
  <c r="E14" i="70" a="1"/>
  <c r="E14" i="70" s="1"/>
  <c r="I121" i="70" l="1"/>
  <c r="H121" i="70"/>
  <c r="I126" i="70"/>
  <c r="H126" i="70"/>
  <c r="I116" i="70"/>
  <c r="H116" i="70"/>
  <c r="D71" i="79" a="1"/>
  <c r="D71" i="79" s="1"/>
  <c r="M78" i="79" a="1"/>
  <c r="M78" i="79" s="1"/>
  <c r="M77" i="79" a="1"/>
  <c r="M77" i="79" s="1"/>
  <c r="M76" i="79" a="1"/>
  <c r="M76" i="79" s="1"/>
  <c r="M75" i="79" a="1"/>
  <c r="M75" i="79" s="1"/>
  <c r="M74" i="79" a="1"/>
  <c r="M74" i="79" s="1"/>
  <c r="M73" i="79" a="1"/>
  <c r="M73" i="79" s="1"/>
  <c r="G91" i="79" a="1"/>
  <c r="G91" i="79" s="1"/>
  <c r="G90" i="79" a="1"/>
  <c r="G90" i="79" s="1"/>
  <c r="G89" i="79" a="1"/>
  <c r="G89" i="79" s="1"/>
  <c r="G88" i="79" a="1"/>
  <c r="G88" i="79" s="1"/>
  <c r="G87" i="79" a="1"/>
  <c r="G87" i="79" s="1"/>
  <c r="D85" i="79" a="1"/>
  <c r="D85" i="79" s="1"/>
  <c r="D127" i="79" a="1"/>
  <c r="D127" i="79" s="1"/>
  <c r="F133" i="79" a="1"/>
  <c r="F133" i="79" s="1"/>
  <c r="F132" i="79" a="1"/>
  <c r="F132" i="79" s="1"/>
  <c r="F131" i="79" a="1"/>
  <c r="F131" i="79" s="1"/>
  <c r="F130" i="79" a="1"/>
  <c r="F130" i="79" s="1"/>
  <c r="F129" i="79" a="1"/>
  <c r="F129" i="79" s="1"/>
  <c r="D124" i="79" a="1"/>
  <c r="D124" i="79" s="1"/>
  <c r="D125" i="79" a="1"/>
  <c r="D125" i="79" s="1"/>
  <c r="D126" i="79" a="1"/>
  <c r="D126" i="79" s="1"/>
  <c r="D133" i="79" a="1"/>
  <c r="D133" i="79" s="1"/>
  <c r="E133" i="79" a="1"/>
  <c r="E133" i="79" s="1"/>
  <c r="D132" i="79" a="1"/>
  <c r="D132" i="79" s="1"/>
  <c r="E132" i="79" a="1"/>
  <c r="E132" i="79" s="1"/>
  <c r="D131" i="79" a="1"/>
  <c r="D131" i="79" s="1"/>
  <c r="E131" i="79" a="1"/>
  <c r="E131" i="79" s="1"/>
  <c r="D130" i="79" a="1"/>
  <c r="D130" i="79" s="1"/>
  <c r="E130" i="79" a="1"/>
  <c r="E130" i="79" s="1"/>
  <c r="E129" i="79" a="1"/>
  <c r="E129" i="79" s="1"/>
  <c r="D129" i="79" a="1"/>
  <c r="D129" i="79" s="1"/>
  <c r="D123" i="79" a="1"/>
  <c r="D123" i="79" s="1"/>
  <c r="D113" i="79" a="1"/>
  <c r="D113" i="79" s="1"/>
  <c r="D114" i="79" a="1"/>
  <c r="D114" i="79" s="1"/>
  <c r="D115" i="79" a="1"/>
  <c r="D115" i="79" s="1"/>
  <c r="D120" i="79" a="1"/>
  <c r="D120" i="79" s="1"/>
  <c r="E120" i="79" a="1"/>
  <c r="E120" i="79" s="1"/>
  <c r="F120" i="79" a="1"/>
  <c r="F120" i="79" s="1"/>
  <c r="G120" i="79" a="1"/>
  <c r="G120" i="79" s="1"/>
  <c r="D119" i="79" a="1"/>
  <c r="D119" i="79" s="1"/>
  <c r="E119" i="79" a="1"/>
  <c r="E119" i="79" s="1"/>
  <c r="F119" i="79" a="1"/>
  <c r="F119" i="79" s="1"/>
  <c r="G119" i="79" a="1"/>
  <c r="G119" i="79" s="1"/>
  <c r="D118" i="79" a="1"/>
  <c r="D118" i="79" s="1"/>
  <c r="E118" i="79" a="1"/>
  <c r="E118" i="79" s="1"/>
  <c r="F118" i="79" a="1"/>
  <c r="F118" i="79" s="1"/>
  <c r="G118" i="79" a="1"/>
  <c r="G118" i="79" s="1"/>
  <c r="G117" i="79" a="1"/>
  <c r="G117" i="79" s="1"/>
  <c r="F117" i="79" a="1"/>
  <c r="F117" i="79" s="1"/>
  <c r="E117" i="79" a="1"/>
  <c r="E117" i="79" s="1"/>
  <c r="D117" i="79" a="1"/>
  <c r="D117" i="79" s="1"/>
  <c r="D112" i="79" a="1"/>
  <c r="D112" i="79" s="1"/>
  <c r="D104" i="79" a="1"/>
  <c r="D104" i="79" s="1"/>
  <c r="D105" i="79" a="1"/>
  <c r="D105" i="79" s="1"/>
  <c r="D106" i="79" a="1"/>
  <c r="D106" i="79" s="1"/>
  <c r="D109" i="79" a="1"/>
  <c r="D109" i="79" s="1"/>
  <c r="E109" i="79" a="1"/>
  <c r="E109" i="79" s="1"/>
  <c r="E108" i="79" a="1"/>
  <c r="E108" i="79" s="1"/>
  <c r="D108" i="79" a="1"/>
  <c r="D108" i="79" s="1"/>
  <c r="D103" i="79" a="1"/>
  <c r="D103" i="79" s="1"/>
  <c r="D95" i="79" a="1"/>
  <c r="D95" i="79" s="1"/>
  <c r="D96" i="79" a="1"/>
  <c r="D96" i="79" s="1"/>
  <c r="D97" i="79" a="1"/>
  <c r="D97" i="79" s="1"/>
  <c r="D100" i="79" a="1"/>
  <c r="D100" i="79" s="1"/>
  <c r="E100" i="79" a="1"/>
  <c r="E100" i="79" s="1"/>
  <c r="E99" i="79" a="1"/>
  <c r="E99" i="79" s="1"/>
  <c r="D99" i="79" a="1"/>
  <c r="D99" i="79" s="1"/>
  <c r="D94" i="79" a="1"/>
  <c r="D94" i="79" s="1"/>
  <c r="D91" i="79" a="1"/>
  <c r="D91" i="79" s="1"/>
  <c r="E91" i="79" a="1"/>
  <c r="E91" i="79" s="1"/>
  <c r="F91" i="79" a="1"/>
  <c r="F91" i="79" s="1"/>
  <c r="D90" i="79" a="1"/>
  <c r="D90" i="79" s="1"/>
  <c r="E90" i="79" a="1"/>
  <c r="E90" i="79" s="1"/>
  <c r="F90" i="79" a="1"/>
  <c r="F90" i="79" s="1"/>
  <c r="D89" i="79" a="1"/>
  <c r="D89" i="79" s="1"/>
  <c r="E89" i="79" a="1"/>
  <c r="E89" i="79" s="1"/>
  <c r="F89" i="79" a="1"/>
  <c r="F89" i="79" s="1"/>
  <c r="D88" i="79" a="1"/>
  <c r="D88" i="79" s="1"/>
  <c r="E88" i="79" a="1"/>
  <c r="E88" i="79" s="1"/>
  <c r="F88" i="79" a="1"/>
  <c r="F88" i="79" s="1"/>
  <c r="F87" i="79" a="1"/>
  <c r="F87" i="79" s="1"/>
  <c r="E87" i="79" a="1"/>
  <c r="E87" i="79" s="1"/>
  <c r="D87" i="79" a="1"/>
  <c r="D87" i="79" s="1"/>
  <c r="D82" i="79" a="1"/>
  <c r="D82" i="79" s="1"/>
  <c r="D83" i="79" a="1"/>
  <c r="D83" i="79" s="1"/>
  <c r="D84" i="79" a="1"/>
  <c r="D84" i="79" s="1"/>
  <c r="D81" i="79" a="1"/>
  <c r="D81" i="79" s="1"/>
  <c r="D68" i="79" a="1"/>
  <c r="D68" i="79" s="1"/>
  <c r="D69" i="79" a="1"/>
  <c r="D69" i="79" s="1"/>
  <c r="D70" i="79" a="1"/>
  <c r="D70" i="79" s="1"/>
  <c r="D78" i="79" a="1"/>
  <c r="D78" i="79" s="1"/>
  <c r="E78" i="79" a="1"/>
  <c r="E78" i="79" s="1"/>
  <c r="F78" i="79" a="1"/>
  <c r="F78" i="79" s="1"/>
  <c r="G78" i="79" a="1"/>
  <c r="G78" i="79" s="1"/>
  <c r="H78" i="79" a="1"/>
  <c r="H78" i="79" s="1"/>
  <c r="I78" i="79" a="1"/>
  <c r="I78" i="79" s="1"/>
  <c r="J78" i="79" a="1"/>
  <c r="J78" i="79" s="1"/>
  <c r="K78" i="79" a="1"/>
  <c r="K78" i="79" s="1"/>
  <c r="L78" i="79" a="1"/>
  <c r="L78" i="79" s="1"/>
  <c r="D77" i="79" a="1"/>
  <c r="D77" i="79" s="1"/>
  <c r="E77" i="79" a="1"/>
  <c r="E77" i="79" s="1"/>
  <c r="F77" i="79" a="1"/>
  <c r="F77" i="79" s="1"/>
  <c r="G77" i="79" a="1"/>
  <c r="G77" i="79" s="1"/>
  <c r="H77" i="79" a="1"/>
  <c r="H77" i="79" s="1"/>
  <c r="I77" i="79" a="1"/>
  <c r="I77" i="79" s="1"/>
  <c r="J77" i="79" a="1"/>
  <c r="J77" i="79" s="1"/>
  <c r="K77" i="79" a="1"/>
  <c r="K77" i="79" s="1"/>
  <c r="L77" i="79" a="1"/>
  <c r="L77" i="79" s="1"/>
  <c r="D76" i="79" a="1"/>
  <c r="D76" i="79" s="1"/>
  <c r="E76" i="79" a="1"/>
  <c r="E76" i="79" s="1"/>
  <c r="F76" i="79" a="1"/>
  <c r="F76" i="79" s="1"/>
  <c r="G76" i="79" a="1"/>
  <c r="G76" i="79" s="1"/>
  <c r="H76" i="79" a="1"/>
  <c r="H76" i="79" s="1"/>
  <c r="I76" i="79" a="1"/>
  <c r="I76" i="79" s="1"/>
  <c r="J76" i="79" a="1"/>
  <c r="J76" i="79" s="1"/>
  <c r="K76" i="79" a="1"/>
  <c r="K76" i="79" s="1"/>
  <c r="L76" i="79" a="1"/>
  <c r="L76" i="79" s="1"/>
  <c r="D75" i="79" a="1"/>
  <c r="D75" i="79" s="1"/>
  <c r="E75" i="79" a="1"/>
  <c r="E75" i="79" s="1"/>
  <c r="F75" i="79" a="1"/>
  <c r="F75" i="79" s="1"/>
  <c r="G75" i="79" a="1"/>
  <c r="G75" i="79" s="1"/>
  <c r="H75" i="79" a="1"/>
  <c r="H75" i="79" s="1"/>
  <c r="I75" i="79" a="1"/>
  <c r="I75" i="79" s="1"/>
  <c r="J75" i="79" a="1"/>
  <c r="J75" i="79" s="1"/>
  <c r="K75" i="79" a="1"/>
  <c r="K75" i="79" s="1"/>
  <c r="L75" i="79" a="1"/>
  <c r="L75" i="79" s="1"/>
  <c r="D74" i="79" a="1"/>
  <c r="D74" i="79" s="1"/>
  <c r="E74" i="79" a="1"/>
  <c r="E74" i="79" s="1"/>
  <c r="F74" i="79" a="1"/>
  <c r="F74" i="79" s="1"/>
  <c r="G74" i="79" a="1"/>
  <c r="G74" i="79" s="1"/>
  <c r="H74" i="79" a="1"/>
  <c r="H74" i="79" s="1"/>
  <c r="I74" i="79" a="1"/>
  <c r="I74" i="79" s="1"/>
  <c r="J74" i="79" a="1"/>
  <c r="J74" i="79" s="1"/>
  <c r="K74" i="79" a="1"/>
  <c r="K74" i="79" s="1"/>
  <c r="L74" i="79" a="1"/>
  <c r="L74" i="79" s="1"/>
  <c r="L73" i="79" a="1"/>
  <c r="L73" i="79" s="1"/>
  <c r="K73" i="79" a="1"/>
  <c r="K73" i="79" s="1"/>
  <c r="J73" i="79" a="1"/>
  <c r="J73" i="79" s="1"/>
  <c r="I73" i="79" a="1"/>
  <c r="I73" i="79" s="1"/>
  <c r="H73" i="79" a="1"/>
  <c r="H73" i="79" s="1"/>
  <c r="G73" i="79" a="1"/>
  <c r="G73" i="79" s="1"/>
  <c r="F73" i="79" a="1"/>
  <c r="F73" i="79" s="1"/>
  <c r="E73" i="79" a="1"/>
  <c r="E73" i="79" s="1"/>
  <c r="D73" i="79" a="1"/>
  <c r="D73" i="79" s="1"/>
  <c r="D67" i="79" a="1"/>
  <c r="D67" i="79" s="1"/>
  <c r="G64" i="79" a="1"/>
  <c r="G64" i="79" s="1"/>
  <c r="F64" i="79" a="1"/>
  <c r="F64" i="79" s="1"/>
  <c r="E64" i="79" a="1"/>
  <c r="E64" i="79" s="1"/>
  <c r="D64" i="79" a="1"/>
  <c r="D64" i="79" s="1"/>
  <c r="G63" i="79" a="1"/>
  <c r="G63" i="79" s="1"/>
  <c r="F63" i="79" a="1"/>
  <c r="F63" i="79" s="1"/>
  <c r="E63" i="79" a="1"/>
  <c r="E63" i="79" s="1"/>
  <c r="D63" i="79" a="1"/>
  <c r="D63" i="79" s="1"/>
  <c r="D59" i="79" a="1"/>
  <c r="D59" i="79" s="1"/>
  <c r="D60" i="79" a="1"/>
  <c r="D60" i="79" s="1"/>
  <c r="D61" i="79" a="1"/>
  <c r="D61" i="79" s="1"/>
  <c r="D58" i="79" a="1"/>
  <c r="D58" i="79" s="1"/>
  <c r="H55" i="79" a="1"/>
  <c r="H55" i="79" s="1"/>
  <c r="G55" i="79" a="1"/>
  <c r="G55" i="79" s="1"/>
  <c r="F55" i="79" a="1"/>
  <c r="F55" i="79" s="1"/>
  <c r="E55" i="79" a="1"/>
  <c r="E55" i="79" s="1"/>
  <c r="D55" i="79" a="1"/>
  <c r="D55" i="79" s="1"/>
  <c r="D51" i="79" a="1"/>
  <c r="D51" i="79" s="1"/>
  <c r="D52" i="79" a="1"/>
  <c r="D52" i="79" s="1"/>
  <c r="D53" i="79" a="1"/>
  <c r="D53" i="79" s="1"/>
  <c r="D50" i="79" a="1"/>
  <c r="D50" i="79" s="1"/>
  <c r="D43" i="79" a="1"/>
  <c r="D43" i="79" s="1"/>
  <c r="D44" i="79" a="1"/>
  <c r="D44" i="79" s="1"/>
  <c r="D45" i="79" a="1"/>
  <c r="D45" i="79" s="1"/>
  <c r="H47" i="79" a="1"/>
  <c r="H47" i="79" s="1"/>
  <c r="G47" i="79" a="1"/>
  <c r="G47" i="79" s="1"/>
  <c r="F47" i="79" a="1"/>
  <c r="F47" i="79" s="1"/>
  <c r="E47" i="79" a="1"/>
  <c r="E47" i="79" s="1"/>
  <c r="D47" i="79" a="1"/>
  <c r="D47" i="79" s="1"/>
  <c r="D42" i="79" a="1"/>
  <c r="D42" i="79" s="1"/>
  <c r="F39" i="79" a="1"/>
  <c r="F39" i="79" s="1"/>
  <c r="E39" i="79" a="1"/>
  <c r="E39" i="79" s="1"/>
  <c r="D39" i="79" a="1"/>
  <c r="D39" i="79" s="1"/>
  <c r="D35" i="79" a="1"/>
  <c r="D35" i="79" s="1"/>
  <c r="D36" i="79" a="1"/>
  <c r="D36" i="79" s="1"/>
  <c r="D37" i="79" a="1"/>
  <c r="D37" i="79" s="1"/>
  <c r="D34" i="79" a="1"/>
  <c r="D34" i="79" s="1"/>
  <c r="D20" i="79" a="1"/>
  <c r="D20" i="79" s="1"/>
  <c r="D31" i="79" a="1"/>
  <c r="D31" i="79" s="1"/>
  <c r="E31" i="79" a="1"/>
  <c r="E31" i="79" s="1"/>
  <c r="F31" i="79" a="1"/>
  <c r="F31" i="79" s="1"/>
  <c r="G31" i="79" a="1"/>
  <c r="G31" i="79" s="1"/>
  <c r="D30" i="79" a="1"/>
  <c r="D30" i="79" s="1"/>
  <c r="E30" i="79" a="1"/>
  <c r="E30" i="79" s="1"/>
  <c r="F30" i="79" a="1"/>
  <c r="F30" i="79" s="1"/>
  <c r="G30" i="79" a="1"/>
  <c r="G30" i="79" s="1"/>
  <c r="D29" i="79" a="1"/>
  <c r="D29" i="79" s="1"/>
  <c r="E29" i="79" a="1"/>
  <c r="E29" i="79" s="1"/>
  <c r="F29" i="79" a="1"/>
  <c r="F29" i="79" s="1"/>
  <c r="G29" i="79" a="1"/>
  <c r="G29" i="79" s="1"/>
  <c r="D28" i="79" a="1"/>
  <c r="D28" i="79" s="1"/>
  <c r="E28" i="79" a="1"/>
  <c r="E28" i="79" s="1"/>
  <c r="F28" i="79" a="1"/>
  <c r="F28" i="79" s="1"/>
  <c r="G28" i="79" a="1"/>
  <c r="G28" i="79" s="1"/>
  <c r="D27" i="79" a="1"/>
  <c r="D27" i="79" s="1"/>
  <c r="E27" i="79" a="1"/>
  <c r="E27" i="79" s="1"/>
  <c r="F27" i="79" a="1"/>
  <c r="F27" i="79" s="1"/>
  <c r="G27" i="79" a="1"/>
  <c r="G27" i="79" s="1"/>
  <c r="D26" i="79" a="1"/>
  <c r="D26" i="79" s="1"/>
  <c r="E26" i="79" a="1"/>
  <c r="E26" i="79" s="1"/>
  <c r="F26" i="79" a="1"/>
  <c r="F26" i="79" s="1"/>
  <c r="G26" i="79" a="1"/>
  <c r="G26" i="79" s="1"/>
  <c r="D25" i="79" a="1"/>
  <c r="D25" i="79" s="1"/>
  <c r="E25" i="79" a="1"/>
  <c r="E25" i="79" s="1"/>
  <c r="F25" i="79" a="1"/>
  <c r="F25" i="79" s="1"/>
  <c r="G25" i="79" a="1"/>
  <c r="G25" i="79" s="1"/>
  <c r="D24" i="79" a="1"/>
  <c r="D24" i="79" s="1"/>
  <c r="E24" i="79" a="1"/>
  <c r="E24" i="79" s="1"/>
  <c r="F24" i="79" a="1"/>
  <c r="F24" i="79" s="1"/>
  <c r="G24" i="79" a="1"/>
  <c r="G24" i="79" s="1"/>
  <c r="D23" i="79" a="1"/>
  <c r="D23" i="79" s="1"/>
  <c r="E23" i="79" a="1"/>
  <c r="E23" i="79" s="1"/>
  <c r="F23" i="79" a="1"/>
  <c r="F23" i="79" s="1"/>
  <c r="G23" i="79" a="1"/>
  <c r="G23" i="79" s="1"/>
  <c r="G22" i="79" a="1"/>
  <c r="G22" i="79" s="1"/>
  <c r="F22" i="79" a="1"/>
  <c r="F22" i="79" s="1"/>
  <c r="E22" i="79" a="1"/>
  <c r="E22" i="79" s="1"/>
  <c r="D22" i="79" a="1"/>
  <c r="D22" i="79" s="1"/>
  <c r="D19" i="79" a="1"/>
  <c r="D19" i="79" s="1"/>
  <c r="D18" i="79" a="1"/>
  <c r="D18" i="79" s="1"/>
  <c r="D17" i="79" a="1"/>
  <c r="D17" i="79" s="1"/>
  <c r="D16" i="79" a="1"/>
  <c r="D16" i="79" s="1"/>
  <c r="G9" i="79"/>
  <c r="G8" i="79"/>
  <c r="A17" i="70" l="1"/>
  <c r="A8" i="70"/>
  <c r="A20" i="79"/>
  <c r="A19" i="79"/>
  <c r="A18" i="79"/>
  <c r="A17" i="79"/>
  <c r="A14" i="79"/>
  <c r="A13" i="79"/>
  <c r="A12" i="79"/>
  <c r="A11" i="79"/>
  <c r="A8" i="79"/>
  <c r="A7" i="79"/>
  <c r="A4" i="79"/>
  <c r="A3" i="79"/>
  <c r="A20" i="81"/>
  <c r="A19" i="81"/>
  <c r="A18" i="81"/>
  <c r="A17" i="81"/>
  <c r="A14" i="81"/>
  <c r="A13" i="81"/>
  <c r="A12" i="81"/>
  <c r="A11" i="81"/>
  <c r="A8" i="81"/>
  <c r="A7" i="81"/>
  <c r="A4" i="81"/>
  <c r="A3" i="81"/>
  <c r="A20" i="82"/>
  <c r="A19" i="82"/>
  <c r="A18" i="82"/>
  <c r="A17" i="82"/>
  <c r="A14" i="82"/>
  <c r="A13" i="82"/>
  <c r="A12" i="82"/>
  <c r="A11" i="82"/>
  <c r="A8" i="82"/>
  <c r="A7" i="82"/>
  <c r="A4" i="82"/>
  <c r="A3" i="82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4" i="70"/>
  <c r="A13" i="70"/>
  <c r="A12" i="70"/>
  <c r="A11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17" i="13"/>
  <c r="A14" i="13"/>
  <c r="A11" i="13"/>
  <c r="A12" i="13"/>
  <c r="A13" i="13"/>
  <c r="A8" i="13"/>
  <c r="H15" i="13"/>
  <c r="F22" i="13"/>
  <c r="F23" i="13"/>
  <c r="F21" i="13"/>
  <c r="H12" i="13"/>
  <c r="H11" i="13"/>
  <c r="F12" i="13"/>
  <c r="F11" i="13"/>
  <c r="N65" i="82" a="1"/>
  <c r="N65" i="82" s="1"/>
  <c r="O63" i="82"/>
  <c r="L62" i="82" a="1"/>
  <c r="L62" i="82" s="1"/>
  <c r="F65" i="82" a="1"/>
  <c r="F65" i="82" s="1"/>
  <c r="G63" i="82"/>
  <c r="D62" i="82" a="1"/>
  <c r="D62" i="82" s="1"/>
  <c r="N60" i="82"/>
  <c r="F60" i="82"/>
  <c r="O58" i="82"/>
  <c r="O57" i="82"/>
  <c r="O56" i="82"/>
  <c r="O55" i="82"/>
  <c r="L53" i="82" a="1"/>
  <c r="L53" i="82" s="1"/>
  <c r="D46" i="82" a="1"/>
  <c r="D46" i="82" s="1"/>
  <c r="H188" i="93" a="1"/>
  <c r="H188" i="93" s="1"/>
  <c r="G188" i="93" a="1"/>
  <c r="G188" i="93" s="1"/>
  <c r="F188" i="93" a="1"/>
  <c r="F188" i="93" s="1"/>
  <c r="E188" i="93" a="1"/>
  <c r="E188" i="93" s="1"/>
  <c r="D188" i="93" a="1"/>
  <c r="D188" i="93" s="1"/>
  <c r="H187" i="93" a="1"/>
  <c r="H187" i="93" s="1"/>
  <c r="G187" i="93" a="1"/>
  <c r="G187" i="93" s="1"/>
  <c r="F187" i="93" a="1"/>
  <c r="F187" i="93" s="1"/>
  <c r="E187" i="93" a="1"/>
  <c r="E187" i="93" s="1"/>
  <c r="D187" i="93" a="1"/>
  <c r="D187" i="93" s="1"/>
  <c r="H186" i="93" a="1"/>
  <c r="H186" i="93" s="1"/>
  <c r="G186" i="93" a="1"/>
  <c r="G186" i="93" s="1"/>
  <c r="F186" i="93" a="1"/>
  <c r="F186" i="93" s="1"/>
  <c r="E186" i="93" a="1"/>
  <c r="E186" i="93" s="1"/>
  <c r="D186" i="93" a="1"/>
  <c r="D186" i="93" s="1"/>
  <c r="H185" i="93" a="1"/>
  <c r="H185" i="93" s="1"/>
  <c r="G185" i="93" a="1"/>
  <c r="G185" i="93" s="1"/>
  <c r="F185" i="93" a="1"/>
  <c r="F185" i="93" s="1"/>
  <c r="E185" i="93" a="1"/>
  <c r="E185" i="93" s="1"/>
  <c r="D185" i="93" a="1"/>
  <c r="D185" i="93" s="1"/>
  <c r="H184" i="93" a="1"/>
  <c r="H184" i="93" s="1"/>
  <c r="G184" i="93" a="1"/>
  <c r="G184" i="93" s="1"/>
  <c r="F184" i="93" a="1"/>
  <c r="F184" i="93" s="1"/>
  <c r="E184" i="93" a="1"/>
  <c r="E184" i="93" s="1"/>
  <c r="D184" i="93" a="1"/>
  <c r="D184" i="93" s="1"/>
  <c r="H183" i="93" a="1"/>
  <c r="H183" i="93" s="1"/>
  <c r="G183" i="93" a="1"/>
  <c r="G183" i="93" s="1"/>
  <c r="F183" i="93" a="1"/>
  <c r="F183" i="93" s="1"/>
  <c r="E183" i="93" a="1"/>
  <c r="E183" i="93" s="1"/>
  <c r="D183" i="93" a="1"/>
  <c r="D183" i="93" s="1"/>
  <c r="H182" i="93" a="1"/>
  <c r="H182" i="93" s="1"/>
  <c r="G182" i="93" a="1"/>
  <c r="G182" i="93" s="1"/>
  <c r="F182" i="93" a="1"/>
  <c r="F182" i="93" s="1"/>
  <c r="E182" i="93" a="1"/>
  <c r="E182" i="93" s="1"/>
  <c r="D182" i="93" a="1"/>
  <c r="D182" i="93" s="1"/>
  <c r="H181" i="93" a="1"/>
  <c r="H181" i="93" s="1"/>
  <c r="G181" i="93" a="1"/>
  <c r="G181" i="93" s="1"/>
  <c r="F181" i="93" a="1"/>
  <c r="F181" i="93" s="1"/>
  <c r="E181" i="93" a="1"/>
  <c r="E181" i="93" s="1"/>
  <c r="D181" i="93" a="1"/>
  <c r="D181" i="93" s="1"/>
  <c r="H180" i="93" a="1"/>
  <c r="H180" i="93" s="1"/>
  <c r="G180" i="93" a="1"/>
  <c r="G180" i="93" s="1"/>
  <c r="F180" i="93" a="1"/>
  <c r="F180" i="93" s="1"/>
  <c r="E180" i="93" a="1"/>
  <c r="E180" i="93" s="1"/>
  <c r="D180" i="93" a="1"/>
  <c r="D180" i="93" s="1"/>
  <c r="H179" i="93" a="1"/>
  <c r="H179" i="93" s="1"/>
  <c r="G179" i="93" a="1"/>
  <c r="G179" i="93" s="1"/>
  <c r="F179" i="93" a="1"/>
  <c r="F179" i="93" s="1"/>
  <c r="E179" i="93" a="1"/>
  <c r="E179" i="93" s="1"/>
  <c r="D179" i="93" a="1"/>
  <c r="D179" i="93" s="1"/>
  <c r="H178" i="93" a="1"/>
  <c r="H178" i="93" s="1"/>
  <c r="G178" i="93" a="1"/>
  <c r="G178" i="93" s="1"/>
  <c r="F178" i="93" a="1"/>
  <c r="F178" i="93" s="1"/>
  <c r="E178" i="93" a="1"/>
  <c r="E178" i="93" s="1"/>
  <c r="D178" i="93" a="1"/>
  <c r="D178" i="93" s="1"/>
  <c r="H177" i="93" a="1"/>
  <c r="H177" i="93" s="1"/>
  <c r="G177" i="93" a="1"/>
  <c r="G177" i="93" s="1"/>
  <c r="F177" i="93" a="1"/>
  <c r="F177" i="93" s="1"/>
  <c r="E177" i="93" a="1"/>
  <c r="E177" i="93" s="1"/>
  <c r="D177" i="93" a="1"/>
  <c r="D177" i="93" s="1"/>
  <c r="H176" i="93" a="1"/>
  <c r="H176" i="93" s="1"/>
  <c r="G176" i="93" a="1"/>
  <c r="G176" i="93" s="1"/>
  <c r="F176" i="93" a="1"/>
  <c r="F176" i="93" s="1"/>
  <c r="E176" i="93" a="1"/>
  <c r="E176" i="93" s="1"/>
  <c r="D176" i="93" a="1"/>
  <c r="D176" i="93" s="1"/>
  <c r="D170" i="93" a="1"/>
  <c r="D170" i="93" s="1"/>
  <c r="D169" i="93" a="1"/>
  <c r="D169" i="93" s="1"/>
  <c r="D168" i="93" a="1"/>
  <c r="D168" i="93" s="1"/>
  <c r="D167" i="93" a="1"/>
  <c r="D167" i="93" s="1"/>
  <c r="E164" i="93" a="1"/>
  <c r="E164" i="93" s="1"/>
  <c r="D164" i="93" a="1"/>
  <c r="D164" i="93" s="1"/>
  <c r="D163" i="93" a="1"/>
  <c r="D163" i="93" s="1"/>
  <c r="D162" i="93" a="1"/>
  <c r="D162" i="93" s="1"/>
  <c r="D159" i="93" a="1"/>
  <c r="D159" i="93" s="1"/>
  <c r="D158" i="93" a="1"/>
  <c r="D158" i="93" s="1"/>
  <c r="D157" i="93" a="1"/>
  <c r="D157" i="93" s="1"/>
  <c r="D156" i="93" a="1"/>
  <c r="D156" i="93" s="1"/>
  <c r="D153" i="93" a="1"/>
  <c r="D153" i="93" s="1"/>
  <c r="D152" i="93" a="1"/>
  <c r="D152" i="93" s="1"/>
  <c r="D151" i="93" a="1"/>
  <c r="D151" i="93" s="1"/>
  <c r="D150" i="93" a="1"/>
  <c r="D150" i="93" s="1"/>
  <c r="E147" i="93" a="1"/>
  <c r="E147" i="93" s="1"/>
  <c r="D147" i="93" a="1"/>
  <c r="D147" i="93" s="1"/>
  <c r="E146" i="93" a="1"/>
  <c r="E146" i="93" s="1"/>
  <c r="D146" i="93" a="1"/>
  <c r="D146" i="93" s="1"/>
  <c r="E145" i="93" a="1"/>
  <c r="E145" i="93" s="1"/>
  <c r="D145" i="93" a="1"/>
  <c r="D145" i="93" s="1"/>
  <c r="E144" i="93" a="1"/>
  <c r="E144" i="93" s="1"/>
  <c r="D144" i="93" a="1"/>
  <c r="D144" i="93" s="1"/>
  <c r="E143" i="93" a="1"/>
  <c r="E143" i="93" s="1"/>
  <c r="D143" i="93" a="1"/>
  <c r="D143" i="93" s="1"/>
  <c r="D140" i="93" a="1"/>
  <c r="D140" i="93" s="1"/>
  <c r="D139" i="93" a="1"/>
  <c r="D139" i="93" s="1"/>
  <c r="E136" i="93" a="1"/>
  <c r="E136" i="93" s="1"/>
  <c r="D136" i="93" a="1"/>
  <c r="D136" i="93" s="1"/>
  <c r="E135" i="93" a="1"/>
  <c r="E135" i="93" s="1"/>
  <c r="D135" i="93" a="1"/>
  <c r="D135" i="93" s="1"/>
  <c r="D133" i="93"/>
  <c r="D133" i="93" a="1"/>
  <c r="D132" i="93" a="1"/>
  <c r="D132" i="93" s="1"/>
  <c r="E129" i="93" a="1"/>
  <c r="E129" i="93" s="1"/>
  <c r="D129" i="93" a="1"/>
  <c r="D129" i="93" s="1"/>
  <c r="E128" i="93" a="1"/>
  <c r="E128" i="93" s="1"/>
  <c r="D128" i="93" a="1"/>
  <c r="D128" i="93" s="1"/>
  <c r="D125" i="93" a="1"/>
  <c r="D125" i="93" s="1"/>
  <c r="D124" i="93" a="1"/>
  <c r="D124" i="93" s="1"/>
  <c r="G121" i="93" a="1"/>
  <c r="G121" i="93" s="1"/>
  <c r="F121" i="93" a="1"/>
  <c r="F121" i="93" s="1"/>
  <c r="E121" i="93" a="1"/>
  <c r="E121" i="93" s="1"/>
  <c r="D121" i="93" a="1"/>
  <c r="D121" i="93" s="1"/>
  <c r="G120" i="93" a="1"/>
  <c r="G120" i="93" s="1"/>
  <c r="F120" i="93" a="1"/>
  <c r="F120" i="93" s="1"/>
  <c r="E120" i="93" a="1"/>
  <c r="E120" i="93" s="1"/>
  <c r="D120" i="93" a="1"/>
  <c r="D120" i="93" s="1"/>
  <c r="D117" i="93" a="1"/>
  <c r="D117" i="93" s="1"/>
  <c r="D116" i="93" a="1"/>
  <c r="D116" i="93" s="1"/>
  <c r="D115" i="93" a="1"/>
  <c r="D115" i="93" s="1"/>
  <c r="G112" i="93" a="1"/>
  <c r="G112" i="93" s="1"/>
  <c r="F112" i="93" a="1"/>
  <c r="F112" i="93" s="1"/>
  <c r="E112" i="93" a="1"/>
  <c r="E112" i="93" s="1"/>
  <c r="D112" i="93" a="1"/>
  <c r="D112" i="93" s="1"/>
  <c r="G111" i="93" a="1"/>
  <c r="G111" i="93" s="1"/>
  <c r="F111" i="93" a="1"/>
  <c r="F111" i="93" s="1"/>
  <c r="E111" i="93" a="1"/>
  <c r="E111" i="93" s="1"/>
  <c r="D111" i="93" a="1"/>
  <c r="D111" i="93" s="1"/>
  <c r="G110" i="93" a="1"/>
  <c r="G110" i="93" s="1"/>
  <c r="F110" i="93" a="1"/>
  <c r="F110" i="93" s="1"/>
  <c r="E110" i="93" a="1"/>
  <c r="E110" i="93" s="1"/>
  <c r="D110" i="93" a="1"/>
  <c r="D110" i="93" s="1"/>
  <c r="D107" i="93" a="1"/>
  <c r="D107" i="93" s="1"/>
  <c r="D106" i="93" a="1"/>
  <c r="D106" i="93" s="1"/>
  <c r="D105" i="93" a="1"/>
  <c r="D105" i="93" s="1"/>
  <c r="D98" i="93" a="1"/>
  <c r="D98" i="93" s="1"/>
  <c r="S97" i="93" a="1"/>
  <c r="S97" i="93" s="1"/>
  <c r="R97" i="93" a="1"/>
  <c r="R97" i="93" s="1"/>
  <c r="Q97" i="93" a="1"/>
  <c r="Q97" i="93" s="1"/>
  <c r="P97" i="93" a="1"/>
  <c r="P97" i="93" s="1"/>
  <c r="O97" i="93" a="1"/>
  <c r="O97" i="93" s="1"/>
  <c r="N97" i="93" a="1"/>
  <c r="N97" i="93" s="1"/>
  <c r="M97" i="93" a="1"/>
  <c r="M97" i="93" s="1"/>
  <c r="L97" i="93" a="1"/>
  <c r="L97" i="93" s="1"/>
  <c r="K97" i="93" a="1"/>
  <c r="K97" i="93" s="1"/>
  <c r="J97" i="93" a="1"/>
  <c r="J97" i="93" s="1"/>
  <c r="I97" i="93" a="1"/>
  <c r="I97" i="93" s="1"/>
  <c r="H97" i="93" a="1"/>
  <c r="H97" i="93" s="1"/>
  <c r="G97" i="93" a="1"/>
  <c r="G97" i="93" s="1"/>
  <c r="F97" i="93" a="1"/>
  <c r="F97" i="93" s="1"/>
  <c r="E97" i="93" a="1"/>
  <c r="E97" i="93" s="1"/>
  <c r="D97" i="93" a="1"/>
  <c r="D97" i="93" s="1"/>
  <c r="S96" i="93" a="1"/>
  <c r="S96" i="93" s="1"/>
  <c r="R96" i="93" a="1"/>
  <c r="R96" i="93" s="1"/>
  <c r="Q96" i="93" a="1"/>
  <c r="Q96" i="93" s="1"/>
  <c r="P96" i="93" a="1"/>
  <c r="P96" i="93" s="1"/>
  <c r="O96" i="93" a="1"/>
  <c r="O96" i="93" s="1"/>
  <c r="N96" i="93" a="1"/>
  <c r="N96" i="93" s="1"/>
  <c r="M96" i="93" a="1"/>
  <c r="M96" i="93" s="1"/>
  <c r="L96" i="93" a="1"/>
  <c r="L96" i="93" s="1"/>
  <c r="K96" i="93" a="1"/>
  <c r="K96" i="93" s="1"/>
  <c r="J96" i="93" a="1"/>
  <c r="J96" i="93" s="1"/>
  <c r="I96" i="93" a="1"/>
  <c r="I96" i="93" s="1"/>
  <c r="H96" i="93" a="1"/>
  <c r="H96" i="93" s="1"/>
  <c r="G96" i="93" a="1"/>
  <c r="G96" i="93" s="1"/>
  <c r="F96" i="93" a="1"/>
  <c r="F96" i="93" s="1"/>
  <c r="E96" i="93" a="1"/>
  <c r="E96" i="93" s="1"/>
  <c r="D96" i="93" a="1"/>
  <c r="D96" i="93" s="1"/>
  <c r="S95" i="93" a="1"/>
  <c r="S95" i="93" s="1"/>
  <c r="R95" i="93" a="1"/>
  <c r="R95" i="93" s="1"/>
  <c r="Q95" i="93" a="1"/>
  <c r="Q95" i="93" s="1"/>
  <c r="P95" i="93" a="1"/>
  <c r="P95" i="93" s="1"/>
  <c r="O95" i="93" a="1"/>
  <c r="O95" i="93" s="1"/>
  <c r="N95" i="93" a="1"/>
  <c r="N95" i="93" s="1"/>
  <c r="M95" i="93" a="1"/>
  <c r="M95" i="93" s="1"/>
  <c r="L95" i="93" a="1"/>
  <c r="L95" i="93" s="1"/>
  <c r="K95" i="93" a="1"/>
  <c r="K95" i="93" s="1"/>
  <c r="J95" i="93" a="1"/>
  <c r="J95" i="93" s="1"/>
  <c r="I95" i="93" a="1"/>
  <c r="I95" i="93" s="1"/>
  <c r="H95" i="93" a="1"/>
  <c r="H95" i="93" s="1"/>
  <c r="G95" i="93" a="1"/>
  <c r="G95" i="93" s="1"/>
  <c r="F95" i="93" a="1"/>
  <c r="F95" i="93" s="1"/>
  <c r="E95" i="93" a="1"/>
  <c r="E95" i="93" s="1"/>
  <c r="D95" i="93" a="1"/>
  <c r="D95" i="93" s="1"/>
  <c r="S94" i="93" a="1"/>
  <c r="S94" i="93" s="1"/>
  <c r="R94" i="93" a="1"/>
  <c r="R94" i="93" s="1"/>
  <c r="Q94" i="93" a="1"/>
  <c r="Q94" i="93" s="1"/>
  <c r="P94" i="93" a="1"/>
  <c r="P94" i="93" s="1"/>
  <c r="O94" i="93" a="1"/>
  <c r="O94" i="93" s="1"/>
  <c r="N94" i="93" a="1"/>
  <c r="N94" i="93" s="1"/>
  <c r="M94" i="93" a="1"/>
  <c r="M94" i="93" s="1"/>
  <c r="L94" i="93" a="1"/>
  <c r="L94" i="93" s="1"/>
  <c r="K94" i="93" a="1"/>
  <c r="K94" i="93" s="1"/>
  <c r="J94" i="93" a="1"/>
  <c r="J94" i="93" s="1"/>
  <c r="I94" i="93" a="1"/>
  <c r="I94" i="93" s="1"/>
  <c r="H94" i="93" a="1"/>
  <c r="H94" i="93" s="1"/>
  <c r="G94" i="93" a="1"/>
  <c r="G94" i="93" s="1"/>
  <c r="F94" i="93" a="1"/>
  <c r="F94" i="93" s="1"/>
  <c r="E94" i="93" a="1"/>
  <c r="E94" i="93" s="1"/>
  <c r="D94" i="93" a="1"/>
  <c r="D94" i="93" s="1"/>
  <c r="S93" i="93" a="1"/>
  <c r="S93" i="93" s="1"/>
  <c r="R93" i="93" a="1"/>
  <c r="R93" i="93" s="1"/>
  <c r="Q93" i="93" a="1"/>
  <c r="Q93" i="93" s="1"/>
  <c r="P93" i="93" a="1"/>
  <c r="P93" i="93" s="1"/>
  <c r="O93" i="93" a="1"/>
  <c r="O93" i="93" s="1"/>
  <c r="N93" i="93" a="1"/>
  <c r="N93" i="93" s="1"/>
  <c r="M93" i="93" a="1"/>
  <c r="M93" i="93" s="1"/>
  <c r="L93" i="93" a="1"/>
  <c r="L93" i="93" s="1"/>
  <c r="K93" i="93" a="1"/>
  <c r="K93" i="93" s="1"/>
  <c r="J93" i="93" a="1"/>
  <c r="J93" i="93" s="1"/>
  <c r="I93" i="93" a="1"/>
  <c r="I93" i="93" s="1"/>
  <c r="H93" i="93" a="1"/>
  <c r="H93" i="93" s="1"/>
  <c r="G93" i="93" a="1"/>
  <c r="G93" i="93" s="1"/>
  <c r="F93" i="93" a="1"/>
  <c r="F93" i="93" s="1"/>
  <c r="E93" i="93" a="1"/>
  <c r="E93" i="93" s="1"/>
  <c r="D93" i="93" a="1"/>
  <c r="D93" i="93" s="1"/>
  <c r="S92" i="93" a="1"/>
  <c r="S92" i="93" s="1"/>
  <c r="R92" i="93" a="1"/>
  <c r="R92" i="93" s="1"/>
  <c r="Q92" i="93" a="1"/>
  <c r="Q92" i="93" s="1"/>
  <c r="P92" i="93" a="1"/>
  <c r="P92" i="93" s="1"/>
  <c r="O92" i="93" a="1"/>
  <c r="O92" i="93" s="1"/>
  <c r="N92" i="93" a="1"/>
  <c r="N92" i="93" s="1"/>
  <c r="M92" i="93" a="1"/>
  <c r="M92" i="93" s="1"/>
  <c r="L92" i="93" a="1"/>
  <c r="L92" i="93" s="1"/>
  <c r="K92" i="93" a="1"/>
  <c r="K92" i="93" s="1"/>
  <c r="J92" i="93" a="1"/>
  <c r="J92" i="93" s="1"/>
  <c r="I92" i="93" a="1"/>
  <c r="I92" i="93" s="1"/>
  <c r="H92" i="93" a="1"/>
  <c r="H92" i="93" s="1"/>
  <c r="G92" i="93" a="1"/>
  <c r="G92" i="93" s="1"/>
  <c r="F92" i="93" a="1"/>
  <c r="F92" i="93" s="1"/>
  <c r="E92" i="93" a="1"/>
  <c r="E92" i="93" s="1"/>
  <c r="D92" i="93" a="1"/>
  <c r="D92" i="93" s="1"/>
  <c r="S91" i="93" a="1"/>
  <c r="S91" i="93" s="1"/>
  <c r="R91" i="93" a="1"/>
  <c r="R91" i="93" s="1"/>
  <c r="Q91" i="93" a="1"/>
  <c r="Q91" i="93" s="1"/>
  <c r="P91" i="93" a="1"/>
  <c r="P91" i="93" s="1"/>
  <c r="O91" i="93" a="1"/>
  <c r="O91" i="93" s="1"/>
  <c r="N91" i="93" a="1"/>
  <c r="N91" i="93" s="1"/>
  <c r="M91" i="93" a="1"/>
  <c r="M91" i="93" s="1"/>
  <c r="L91" i="93" a="1"/>
  <c r="L91" i="93" s="1"/>
  <c r="K91" i="93" a="1"/>
  <c r="K91" i="93" s="1"/>
  <c r="J91" i="93" a="1"/>
  <c r="J91" i="93" s="1"/>
  <c r="I91" i="93" a="1"/>
  <c r="I91" i="93" s="1"/>
  <c r="H91" i="93" a="1"/>
  <c r="H91" i="93" s="1"/>
  <c r="G91" i="93" a="1"/>
  <c r="G91" i="93" s="1"/>
  <c r="F91" i="93" a="1"/>
  <c r="F91" i="93" s="1"/>
  <c r="E91" i="93" a="1"/>
  <c r="E91" i="93" s="1"/>
  <c r="D91" i="93" a="1"/>
  <c r="D91" i="93" s="1"/>
  <c r="S90" i="93" a="1"/>
  <c r="S90" i="93" s="1"/>
  <c r="R90" i="93" a="1"/>
  <c r="R90" i="93" s="1"/>
  <c r="Q90" i="93" a="1"/>
  <c r="Q90" i="93" s="1"/>
  <c r="P90" i="93" a="1"/>
  <c r="P90" i="93" s="1"/>
  <c r="O90" i="93" a="1"/>
  <c r="O90" i="93" s="1"/>
  <c r="N90" i="93" a="1"/>
  <c r="N90" i="93" s="1"/>
  <c r="M90" i="93" a="1"/>
  <c r="M90" i="93" s="1"/>
  <c r="L90" i="93" a="1"/>
  <c r="L90" i="93" s="1"/>
  <c r="K90" i="93" a="1"/>
  <c r="K90" i="93" s="1"/>
  <c r="J90" i="93" a="1"/>
  <c r="J90" i="93" s="1"/>
  <c r="I90" i="93" a="1"/>
  <c r="I90" i="93" s="1"/>
  <c r="H90" i="93" a="1"/>
  <c r="H90" i="93" s="1"/>
  <c r="G90" i="93" a="1"/>
  <c r="G90" i="93" s="1"/>
  <c r="F90" i="93" a="1"/>
  <c r="F90" i="93" s="1"/>
  <c r="E90" i="93" a="1"/>
  <c r="E90" i="93" s="1"/>
  <c r="D90" i="93" a="1"/>
  <c r="D90" i="93" s="1"/>
  <c r="D83" i="93" a="1"/>
  <c r="D83" i="93" s="1"/>
  <c r="D82" i="93" a="1"/>
  <c r="D82" i="93" s="1"/>
  <c r="D81" i="93" a="1"/>
  <c r="D81" i="93" s="1"/>
  <c r="E77" i="93" a="1"/>
  <c r="E77" i="93" s="1"/>
  <c r="D77" i="93" a="1"/>
  <c r="D77" i="93" s="1"/>
  <c r="E76" i="93" a="1"/>
  <c r="E76" i="93" s="1"/>
  <c r="D76" i="93" a="1"/>
  <c r="D76" i="93" s="1"/>
  <c r="E75" i="93" a="1"/>
  <c r="E75" i="93" s="1"/>
  <c r="D75" i="93" a="1"/>
  <c r="D75" i="93" s="1"/>
  <c r="E74" i="93" a="1"/>
  <c r="E74" i="93" s="1"/>
  <c r="D74" i="93" a="1"/>
  <c r="D74" i="93" s="1"/>
  <c r="E73" i="93" a="1"/>
  <c r="E73" i="93" s="1"/>
  <c r="D73" i="93" a="1"/>
  <c r="D73" i="93" s="1"/>
  <c r="E72" i="93" a="1"/>
  <c r="E72" i="93" s="1"/>
  <c r="D72" i="93" a="1"/>
  <c r="D72" i="93" s="1"/>
  <c r="E71" i="93" a="1"/>
  <c r="E71" i="93" s="1"/>
  <c r="D71" i="93" a="1"/>
  <c r="D71" i="93" s="1"/>
  <c r="E70" i="93" a="1"/>
  <c r="E70" i="93" s="1"/>
  <c r="D70" i="93" a="1"/>
  <c r="D70" i="93" s="1"/>
  <c r="E69" i="93" a="1"/>
  <c r="E69" i="93" s="1"/>
  <c r="D69" i="93" a="1"/>
  <c r="D69" i="93" s="1"/>
  <c r="E68" i="93" a="1"/>
  <c r="E68" i="93" s="1"/>
  <c r="D68" i="93" a="1"/>
  <c r="D68" i="93" s="1"/>
  <c r="E67" i="93" a="1"/>
  <c r="E67" i="93" s="1"/>
  <c r="D67" i="93" a="1"/>
  <c r="D67" i="93" s="1"/>
  <c r="E66" i="93" a="1"/>
  <c r="E66" i="93" s="1"/>
  <c r="D66" i="93" a="1"/>
  <c r="D66" i="93" s="1"/>
  <c r="E65" i="93" a="1"/>
  <c r="E65" i="93" s="1"/>
  <c r="D65" i="93" a="1"/>
  <c r="D65" i="93" s="1"/>
  <c r="E64" i="93" a="1"/>
  <c r="E64" i="93" s="1"/>
  <c r="D64" i="93" a="1"/>
  <c r="D64" i="93" s="1"/>
  <c r="D59" i="93" a="1"/>
  <c r="D59" i="93" s="1"/>
  <c r="D58" i="93" a="1"/>
  <c r="D58" i="93" s="1"/>
  <c r="D57" i="93" a="1"/>
  <c r="D57" i="93" s="1"/>
  <c r="G54" i="93" a="1"/>
  <c r="G54" i="93" s="1"/>
  <c r="F54" i="93" a="1"/>
  <c r="F54" i="93" s="1"/>
  <c r="E54" i="93" a="1"/>
  <c r="E54" i="93" s="1"/>
  <c r="D54" i="93" a="1"/>
  <c r="D54" i="93" s="1"/>
  <c r="G53" i="93" a="1"/>
  <c r="G53" i="93" s="1"/>
  <c r="F53" i="93" a="1"/>
  <c r="F53" i="93" s="1"/>
  <c r="E53" i="93" a="1"/>
  <c r="E53" i="93" s="1"/>
  <c r="D53" i="93" a="1"/>
  <c r="D53" i="93" s="1"/>
  <c r="G52" i="93" a="1"/>
  <c r="G52" i="93" s="1"/>
  <c r="F52" i="93" a="1"/>
  <c r="F52" i="93" s="1"/>
  <c r="E52" i="93" a="1"/>
  <c r="E52" i="93" s="1"/>
  <c r="D52" i="93" a="1"/>
  <c r="D52" i="93" s="1"/>
  <c r="G51" i="93" a="1"/>
  <c r="G51" i="93" s="1"/>
  <c r="F51" i="93" a="1"/>
  <c r="F51" i="93" s="1"/>
  <c r="E51" i="93" a="1"/>
  <c r="E51" i="93" s="1"/>
  <c r="D51" i="93" a="1"/>
  <c r="D51" i="93" s="1"/>
  <c r="G50" i="93" a="1"/>
  <c r="G50" i="93" s="1"/>
  <c r="F50" i="93" a="1"/>
  <c r="F50" i="93" s="1"/>
  <c r="E50" i="93" a="1"/>
  <c r="E50" i="93" s="1"/>
  <c r="D50" i="93" a="1"/>
  <c r="D50" i="93" s="1"/>
  <c r="G49" i="93" a="1"/>
  <c r="G49" i="93" s="1"/>
  <c r="F49" i="93" a="1"/>
  <c r="F49" i="93" s="1"/>
  <c r="E49" i="93" a="1"/>
  <c r="E49" i="93" s="1"/>
  <c r="D49" i="93" a="1"/>
  <c r="D49" i="93" s="1"/>
  <c r="G48" i="93" a="1"/>
  <c r="G48" i="93" s="1"/>
  <c r="F48" i="93" a="1"/>
  <c r="F48" i="93" s="1"/>
  <c r="E48" i="93" a="1"/>
  <c r="E48" i="93" s="1"/>
  <c r="D48" i="93" a="1"/>
  <c r="D48" i="93" s="1"/>
  <c r="D46" i="93"/>
  <c r="D46" i="93" a="1"/>
  <c r="D45" i="93"/>
  <c r="D45" i="93" a="1"/>
  <c r="E43" i="93" a="1"/>
  <c r="E43" i="93" s="1"/>
  <c r="D43" i="93" a="1"/>
  <c r="D43" i="93" s="1"/>
  <c r="E42" i="93" a="1"/>
  <c r="E42" i="93" s="1"/>
  <c r="D42" i="93" a="1"/>
  <c r="D42" i="93" s="1"/>
  <c r="E41" i="93" a="1"/>
  <c r="E41" i="93" s="1"/>
  <c r="D41" i="93" a="1"/>
  <c r="D41" i="93" s="1"/>
  <c r="E40" i="93" a="1"/>
  <c r="E40" i="93" s="1"/>
  <c r="D40" i="93" a="1"/>
  <c r="D40" i="93" s="1"/>
  <c r="E39" i="93" a="1"/>
  <c r="E39" i="93" s="1"/>
  <c r="D39" i="93" a="1"/>
  <c r="D39" i="93" s="1"/>
  <c r="E38" i="93" a="1"/>
  <c r="E38" i="93" s="1"/>
  <c r="D38" i="93" a="1"/>
  <c r="D38" i="93" s="1"/>
  <c r="E37" i="93" a="1"/>
  <c r="E37" i="93" s="1"/>
  <c r="D37" i="93" a="1"/>
  <c r="D37" i="93" s="1"/>
  <c r="D35" i="93" a="1"/>
  <c r="D35" i="93" s="1"/>
  <c r="D34" i="93"/>
  <c r="D34" i="93" a="1"/>
  <c r="D30" i="93" a="1"/>
  <c r="D30" i="93" s="1"/>
  <c r="D29" i="93" a="1"/>
  <c r="D29" i="93" s="1"/>
  <c r="D28" i="93" a="1"/>
  <c r="D28" i="93" s="1"/>
  <c r="D27" i="93" a="1"/>
  <c r="D27" i="93" s="1"/>
  <c r="D26" i="93" a="1"/>
  <c r="D26" i="93" s="1"/>
  <c r="D25" i="93" a="1"/>
  <c r="D25" i="93" s="1"/>
  <c r="D24" i="93" a="1"/>
  <c r="D24" i="93" s="1"/>
  <c r="D23" i="93" a="1"/>
  <c r="D23" i="93" s="1"/>
  <c r="D22" i="93" a="1"/>
  <c r="D22" i="93" s="1"/>
  <c r="D21" i="93" a="1"/>
  <c r="D21" i="93" s="1"/>
  <c r="D19" i="93"/>
  <c r="D19" i="93" a="1"/>
  <c r="D18" i="93"/>
  <c r="D18" i="93" a="1"/>
  <c r="F14" i="93" a="1"/>
  <c r="F14" i="93" s="1"/>
  <c r="E14" i="93" a="1"/>
  <c r="E14" i="93" s="1"/>
  <c r="D14" i="93" a="1"/>
  <c r="D14" i="93" s="1"/>
  <c r="F13" i="93" a="1"/>
  <c r="F13" i="93" s="1"/>
  <c r="E13" i="93" a="1"/>
  <c r="E13" i="93" s="1"/>
  <c r="D13" i="93" a="1"/>
  <c r="D13" i="93" s="1"/>
  <c r="F12" i="93" a="1"/>
  <c r="F12" i="93" s="1"/>
  <c r="E12" i="93" a="1"/>
  <c r="E12" i="93" s="1"/>
  <c r="D12" i="93" a="1"/>
  <c r="D12" i="93" s="1"/>
  <c r="F11" i="93" a="1"/>
  <c r="F11" i="93" s="1"/>
  <c r="E11" i="93" a="1"/>
  <c r="E11" i="93" s="1"/>
  <c r="D11" i="93" a="1"/>
  <c r="D11" i="93" s="1"/>
  <c r="F10" i="93" a="1"/>
  <c r="F10" i="93" s="1"/>
  <c r="E10" i="93" a="1"/>
  <c r="E10" i="93" s="1"/>
  <c r="D10" i="93" a="1"/>
  <c r="D10" i="93" s="1"/>
  <c r="F9" i="93" a="1"/>
  <c r="F9" i="93" s="1"/>
  <c r="E9" i="93" a="1"/>
  <c r="E9" i="93" s="1"/>
  <c r="D9" i="93" a="1"/>
  <c r="D9" i="93" s="1"/>
  <c r="F8" i="93" a="1"/>
  <c r="F8" i="93" s="1"/>
  <c r="E8" i="93" a="1"/>
  <c r="E8" i="93" s="1"/>
  <c r="D8" i="93" a="1"/>
  <c r="D8" i="93" s="1"/>
  <c r="F7" i="93" a="1"/>
  <c r="F7" i="93" s="1"/>
  <c r="E7" i="93" a="1"/>
  <c r="E7" i="93" s="1"/>
  <c r="D7" i="93" a="1"/>
  <c r="D7" i="93" s="1"/>
  <c r="D5" i="93" a="1"/>
  <c r="D5" i="93" s="1"/>
  <c r="G56" i="82"/>
  <c r="G57" i="82"/>
  <c r="G54" i="82" s="1"/>
  <c r="E47" i="82" a="1"/>
  <c r="O54" i="82" l="1"/>
  <c r="E47" i="82"/>
  <c r="E31" i="15"/>
  <c r="E32" i="15" s="1"/>
  <c r="E30" i="15"/>
  <c r="G58" i="82" s="1"/>
  <c r="E33" i="15"/>
  <c r="G210" i="76"/>
  <c r="O210" i="76"/>
  <c r="H54" i="93"/>
  <c r="H50" i="93"/>
  <c r="G55" i="82" s="1"/>
  <c r="H51" i="93"/>
  <c r="H52" i="93"/>
  <c r="H48" i="93"/>
  <c r="H53" i="93"/>
  <c r="H49" i="93"/>
  <c r="E51" i="82" a="1"/>
  <c r="E51" i="82" s="1"/>
  <c r="E50" i="82" a="1"/>
  <c r="E50" i="82" s="1"/>
  <c r="D53" i="82" a="1"/>
  <c r="D53" i="82" s="1"/>
  <c r="D45" i="82" a="1"/>
  <c r="D45" i="82" s="1"/>
  <c r="L36" i="82"/>
  <c r="L20" i="82"/>
  <c r="D36" i="82"/>
  <c r="G15" i="82"/>
  <c r="D28" i="82"/>
  <c r="G14" i="82"/>
  <c r="D20" i="82"/>
  <c r="D6" i="82" a="1"/>
  <c r="D6" i="82" s="1"/>
  <c r="E11" i="82" a="1"/>
  <c r="E11" i="82" s="1"/>
  <c r="E12" i="82" a="1"/>
  <c r="E12" i="82" s="1"/>
  <c r="F41" i="82" s="1"/>
  <c r="D14" i="82" a="1"/>
  <c r="D14" i="82" s="1"/>
  <c r="D5" i="82" a="1"/>
  <c r="D5" i="82" s="1"/>
  <c r="G114" i="81"/>
  <c r="F114" i="81"/>
  <c r="E114" i="81"/>
  <c r="G113" i="81"/>
  <c r="F113" i="81"/>
  <c r="E113" i="81"/>
  <c r="G112" i="81"/>
  <c r="F112" i="81"/>
  <c r="E112" i="81"/>
  <c r="H72" i="81"/>
  <c r="H71" i="81"/>
  <c r="H70" i="81"/>
  <c r="H69" i="81"/>
  <c r="H17" i="81"/>
  <c r="H16" i="81"/>
  <c r="H15" i="81"/>
  <c r="H14" i="81"/>
  <c r="D61" i="81" a="1"/>
  <c r="D61" i="81" s="1"/>
  <c r="D85" i="81" s="1"/>
  <c r="E66" i="81" a="1"/>
  <c r="E66" i="81" s="1"/>
  <c r="E67" i="81" a="1"/>
  <c r="E67" i="81" s="1"/>
  <c r="D69" i="81" a="1"/>
  <c r="D69" i="81" s="1"/>
  <c r="D60" i="81" a="1"/>
  <c r="D60" i="81" s="1"/>
  <c r="G95" i="81"/>
  <c r="F95" i="81"/>
  <c r="E95" i="81"/>
  <c r="G94" i="81"/>
  <c r="F94" i="81"/>
  <c r="E94" i="81"/>
  <c r="G93" i="81"/>
  <c r="F93" i="81"/>
  <c r="E93" i="81"/>
  <c r="D6" i="81" a="1"/>
  <c r="D6" i="81" s="1"/>
  <c r="G126" i="70"/>
  <c r="G47" i="81" s="1"/>
  <c r="F126" i="70"/>
  <c r="F47" i="81" s="1"/>
  <c r="E126" i="70"/>
  <c r="E47" i="81" s="1"/>
  <c r="D37" i="81"/>
  <c r="D29" i="81"/>
  <c r="E11" i="81" a="1"/>
  <c r="E11" i="81" s="1"/>
  <c r="E12" i="81" a="1"/>
  <c r="E12" i="81" s="1"/>
  <c r="F81" i="81" s="1"/>
  <c r="D14" i="81" a="1"/>
  <c r="D14" i="81" s="1"/>
  <c r="D5" i="81" a="1"/>
  <c r="D5" i="81" s="1"/>
  <c r="H8" i="13"/>
  <c r="N212" i="76" a="1"/>
  <c r="N212" i="76" s="1"/>
  <c r="H10" i="13" s="1"/>
  <c r="L209" i="76" a="1"/>
  <c r="L209" i="76" s="1"/>
  <c r="L202" i="76"/>
  <c r="D209" i="76" a="1"/>
  <c r="D209" i="76" s="1"/>
  <c r="F212" i="76" a="1"/>
  <c r="F212" i="76" s="1"/>
  <c r="H9" i="13" s="1"/>
  <c r="D202" i="76"/>
  <c r="G188" i="76"/>
  <c r="D194" i="76"/>
  <c r="G187" i="76"/>
  <c r="E7" i="81" a="1"/>
  <c r="E62" i="81" a="1"/>
  <c r="E7" i="82" a="1"/>
  <c r="E180" i="76" a="1"/>
  <c r="G189" i="76" l="1"/>
  <c r="H37" i="82"/>
  <c r="H38" i="82"/>
  <c r="H39" i="82"/>
  <c r="H53" i="81"/>
  <c r="H36" i="82"/>
  <c r="N41" i="82"/>
  <c r="P121" i="81"/>
  <c r="E7" i="82"/>
  <c r="F123" i="81"/>
  <c r="N123" i="81"/>
  <c r="P52" i="81"/>
  <c r="P54" i="81"/>
  <c r="N56" i="81"/>
  <c r="P101" i="81"/>
  <c r="P102" i="81"/>
  <c r="N81" i="81"/>
  <c r="E62" i="81"/>
  <c r="E7" i="81"/>
  <c r="H77" i="81"/>
  <c r="H119" i="81"/>
  <c r="H79" i="81"/>
  <c r="H100" i="81"/>
  <c r="H120" i="81"/>
  <c r="H101" i="81"/>
  <c r="P120" i="81"/>
  <c r="H78" i="81"/>
  <c r="P119" i="81"/>
  <c r="P77" i="81"/>
  <c r="P78" i="81"/>
  <c r="H52" i="81"/>
  <c r="H102" i="81"/>
  <c r="P100" i="81"/>
  <c r="H121" i="81"/>
  <c r="P79" i="81"/>
  <c r="H54" i="81"/>
  <c r="P53" i="81"/>
  <c r="F104" i="81"/>
  <c r="N104" i="81"/>
  <c r="F56" i="81"/>
  <c r="E180" i="76"/>
  <c r="D179" i="76" l="1" a="1"/>
  <c r="D179" i="76" s="1"/>
  <c r="E185" i="76" a="1"/>
  <c r="E185" i="76" s="1"/>
  <c r="E184" i="76" a="1"/>
  <c r="E184" i="76" s="1"/>
  <c r="D187" i="76" a="1"/>
  <c r="D187" i="76" s="1"/>
  <c r="D178" i="76" a="1"/>
  <c r="D178" i="76" s="1"/>
  <c r="G161" i="76"/>
  <c r="G144" i="76"/>
  <c r="D153" i="76" a="1"/>
  <c r="D153" i="76" s="1"/>
  <c r="G119" i="76"/>
  <c r="G118" i="76"/>
  <c r="G95" i="76"/>
  <c r="D111" i="76" a="1"/>
  <c r="D111" i="76" s="1"/>
  <c r="E115" i="76" a="1"/>
  <c r="E115" i="76" s="1"/>
  <c r="E116" i="76" a="1"/>
  <c r="E116" i="76" s="1"/>
  <c r="G149" i="76" s="1"/>
  <c r="D118" i="76" a="1"/>
  <c r="D118" i="76" s="1"/>
  <c r="D110" i="76" a="1"/>
  <c r="D110" i="76" s="1"/>
  <c r="G141" i="76"/>
  <c r="D134" i="76" a="1"/>
  <c r="D134" i="76" s="1"/>
  <c r="E138" i="76" a="1"/>
  <c r="E138" i="76" s="1"/>
  <c r="E139" i="76" a="1"/>
  <c r="E139" i="76" s="1"/>
  <c r="D141" i="76" a="1"/>
  <c r="D141" i="76" s="1"/>
  <c r="D133" i="76" a="1"/>
  <c r="D133" i="76" s="1"/>
  <c r="G162" i="76"/>
  <c r="G168" i="76"/>
  <c r="F168" i="76"/>
  <c r="E168" i="76"/>
  <c r="G167" i="76"/>
  <c r="F167" i="76"/>
  <c r="E167" i="76"/>
  <c r="D154" i="76" a="1"/>
  <c r="D154" i="76" s="1"/>
  <c r="E158" i="76" a="1"/>
  <c r="E158" i="76" s="1"/>
  <c r="E159" i="76" a="1"/>
  <c r="E159" i="76" s="1"/>
  <c r="D161" i="76" a="1"/>
  <c r="D161" i="76" s="1"/>
  <c r="L106" i="76"/>
  <c r="E101" i="76"/>
  <c r="D106" i="76"/>
  <c r="G96" i="76"/>
  <c r="G101" i="76"/>
  <c r="F101" i="76"/>
  <c r="D101" i="76"/>
  <c r="D88" i="76" a="1"/>
  <c r="D88" i="76" s="1"/>
  <c r="E92" i="76" a="1"/>
  <c r="E92" i="76" s="1"/>
  <c r="E93" i="76" a="1"/>
  <c r="E93" i="76" s="1"/>
  <c r="P106" i="76" s="1"/>
  <c r="D95" i="76" a="1"/>
  <c r="D95" i="76" s="1"/>
  <c r="D87" i="76" a="1"/>
  <c r="D87" i="76" s="1"/>
  <c r="G66" i="76"/>
  <c r="F73" i="76"/>
  <c r="E73" i="76"/>
  <c r="D73" i="76"/>
  <c r="G68" i="76"/>
  <c r="F78" i="76"/>
  <c r="E78" i="76"/>
  <c r="D78" i="76"/>
  <c r="G67" i="76"/>
  <c r="D59" i="76" a="1"/>
  <c r="D59" i="76" s="1"/>
  <c r="E63" i="76" a="1"/>
  <c r="E63" i="76" s="1"/>
  <c r="E64" i="76" a="1"/>
  <c r="E64" i="76" s="1"/>
  <c r="O83" i="76" s="1"/>
  <c r="D66" i="76" a="1"/>
  <c r="D66" i="76" s="1"/>
  <c r="D58" i="76" a="1"/>
  <c r="D58" i="76" s="1"/>
  <c r="G44" i="76"/>
  <c r="G43" i="76"/>
  <c r="D35" i="76" a="1"/>
  <c r="D35" i="76" s="1"/>
  <c r="E41" i="76" a="1"/>
  <c r="E41" i="76" s="1"/>
  <c r="O54" i="76" s="1"/>
  <c r="E40" i="76" a="1"/>
  <c r="E40" i="76" s="1"/>
  <c r="D43" i="76" a="1"/>
  <c r="D43" i="76" s="1"/>
  <c r="D34" i="76" a="1"/>
  <c r="D34" i="76" s="1"/>
  <c r="G142" i="76"/>
  <c r="G143" i="76"/>
  <c r="G14" i="76"/>
  <c r="G13" i="76"/>
  <c r="D6" i="76" a="1"/>
  <c r="D6" i="76" s="1"/>
  <c r="E11" i="76" a="1"/>
  <c r="E11" i="76" s="1"/>
  <c r="O30" i="76" s="1"/>
  <c r="E10" i="76" a="1"/>
  <c r="E10" i="76" s="1"/>
  <c r="D13" i="76" a="1"/>
  <c r="D13" i="76" s="1"/>
  <c r="D5" i="76" a="1"/>
  <c r="D5" i="76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E60" i="76" a="1"/>
  <c r="E89" i="76" a="1"/>
  <c r="E36" i="76" a="1"/>
  <c r="E112" i="76" a="1"/>
  <c r="E7" i="76" a="1"/>
  <c r="E155" i="76" a="1"/>
  <c r="E135" i="76" a="1"/>
  <c r="H129" i="76" l="1"/>
  <c r="E28" i="82"/>
  <c r="E194" i="76"/>
  <c r="E29" i="81"/>
  <c r="F49" i="76"/>
  <c r="E37" i="81"/>
  <c r="L49" i="76"/>
  <c r="M49" i="76"/>
  <c r="N49" i="76"/>
  <c r="D49" i="76"/>
  <c r="E49" i="76"/>
  <c r="P174" i="76"/>
  <c r="P173" i="76"/>
  <c r="H173" i="76"/>
  <c r="H174" i="76"/>
  <c r="P129" i="76"/>
  <c r="O149" i="76"/>
  <c r="P203" i="76"/>
  <c r="N207" i="76"/>
  <c r="F10" i="13" s="1"/>
  <c r="P205" i="76"/>
  <c r="F207" i="76"/>
  <c r="F9" i="13" s="1"/>
  <c r="P204" i="76"/>
  <c r="H205" i="76"/>
  <c r="H204" i="76"/>
  <c r="H203" i="76"/>
  <c r="H202" i="76"/>
  <c r="P202" i="76"/>
  <c r="E155" i="76"/>
  <c r="E135" i="76"/>
  <c r="E112" i="76"/>
  <c r="H106" i="76"/>
  <c r="E60" i="76"/>
  <c r="E89" i="76"/>
  <c r="G83" i="76"/>
  <c r="G30" i="76"/>
  <c r="G54" i="76"/>
  <c r="E36" i="76"/>
  <c r="E7" i="76"/>
  <c r="F20" i="76"/>
  <c r="E20" i="76"/>
  <c r="D20" i="76"/>
  <c r="N25" i="76"/>
  <c r="D25" i="76"/>
  <c r="E25" i="76"/>
  <c r="F25" i="76"/>
  <c r="L25" i="76"/>
  <c r="M25" i="76"/>
  <c r="G15" i="76"/>
  <c r="G116" i="70"/>
  <c r="G45" i="81" s="1"/>
  <c r="F116" i="70"/>
  <c r="F45" i="81" s="1"/>
  <c r="E116" i="70"/>
  <c r="E45" i="81" s="1"/>
  <c r="G121" i="70"/>
  <c r="G46" i="81" s="1"/>
  <c r="F121" i="70"/>
  <c r="F46" i="81" s="1"/>
  <c r="E121" i="70"/>
  <c r="E46" i="81" s="1"/>
  <c r="H7" i="13"/>
  <c r="L20" i="76" l="1"/>
  <c r="L30" i="76" s="1" a="1"/>
  <c r="L30" i="76" s="1"/>
  <c r="L54" i="76" s="1" a="1"/>
  <c r="L54" i="76" s="1"/>
  <c r="L83" i="76" s="1" a="1"/>
  <c r="L83" i="76" s="1"/>
  <c r="M106" i="76" s="1" a="1"/>
  <c r="M106" i="76" s="1"/>
  <c r="M20" i="82" s="1"/>
  <c r="M36" i="82" s="1" a="1"/>
  <c r="M36" i="82" s="1"/>
  <c r="M41" i="82" s="1"/>
  <c r="O53" i="82" s="1"/>
  <c r="M60" i="82" s="1" a="1"/>
  <c r="M60" i="82" s="1"/>
  <c r="M20" i="76"/>
  <c r="M30" i="76" s="1" a="1"/>
  <c r="M30" i="76" s="1"/>
  <c r="M54" i="76" s="1" a="1"/>
  <c r="M54" i="76" s="1"/>
  <c r="M83" i="76" s="1" a="1"/>
  <c r="M83" i="76" s="1"/>
  <c r="N106" i="76" s="1" a="1"/>
  <c r="N106" i="76" s="1"/>
  <c r="N20" i="82" s="1"/>
  <c r="N36" i="82" s="1" a="1"/>
  <c r="N36" i="82" s="1"/>
  <c r="N20" i="76"/>
  <c r="N30" i="76" s="1" a="1"/>
  <c r="N30" i="76" s="1"/>
  <c r="N54" i="76" s="1" a="1"/>
  <c r="N54" i="76" s="1"/>
  <c r="N83" i="76" s="1" a="1"/>
  <c r="N83" i="76" s="1"/>
  <c r="O106" i="76" s="1" a="1"/>
  <c r="O106" i="76" s="1"/>
  <c r="O20" i="82" s="1"/>
  <c r="O36" i="82" s="1" a="1"/>
  <c r="O36" i="82" s="1"/>
  <c r="F30" i="76" a="1"/>
  <c r="F30" i="76" s="1"/>
  <c r="F54" i="76" s="1" a="1"/>
  <c r="F54" i="76" s="1"/>
  <c r="F83" i="76" s="1" a="1"/>
  <c r="F83" i="76" s="1"/>
  <c r="E30" i="76" a="1"/>
  <c r="E30" i="76" s="1"/>
  <c r="E54" i="76" s="1" a="1"/>
  <c r="E54" i="76" s="1"/>
  <c r="E83" i="76" s="1" a="1"/>
  <c r="E83" i="76" s="1"/>
  <c r="D30" i="76" a="1"/>
  <c r="D30" i="76" s="1"/>
  <c r="D54" i="76" s="1" a="1"/>
  <c r="D54" i="76" s="1"/>
  <c r="D83" i="76" s="1" a="1"/>
  <c r="D83" i="76" s="1"/>
  <c r="O62" i="82" l="1"/>
  <c r="M65" i="82" s="1" a="1"/>
  <c r="M65" i="82" s="1"/>
  <c r="G12" i="13" s="1"/>
  <c r="E12" i="13"/>
  <c r="E106" i="76" a="1"/>
  <c r="E106" i="76" s="1"/>
  <c r="E20" i="82" s="1"/>
  <c r="E36" i="82" s="1" a="1"/>
  <c r="E36" i="82" s="1"/>
  <c r="G106" i="76" a="1"/>
  <c r="G106" i="76" s="1"/>
  <c r="G20" i="82" s="1"/>
  <c r="G36" i="82" s="1" a="1"/>
  <c r="G36" i="82" s="1"/>
  <c r="F106" i="76" a="1"/>
  <c r="F106" i="76" s="1"/>
  <c r="F20" i="82" s="1"/>
  <c r="F36" i="82" s="1" a="1"/>
  <c r="F36" i="82" s="1"/>
  <c r="A20" i="13" l="1"/>
  <c r="A18" i="13"/>
  <c r="A19" i="13"/>
  <c r="A7" i="13"/>
  <c r="A4" i="13"/>
  <c r="A3" i="13"/>
  <c r="F8" i="13" l="1"/>
  <c r="F7" i="13"/>
  <c r="O202" i="76" l="1" a="1"/>
  <c r="O202" i="76" s="1"/>
  <c r="N202" i="76" a="1"/>
  <c r="N202" i="76" s="1"/>
  <c r="M202" i="76" a="1"/>
  <c r="M202" i="76" s="1"/>
  <c r="F202" i="76" a="1"/>
  <c r="F202" i="76" s="1"/>
  <c r="G202" i="76" a="1"/>
  <c r="G202" i="76" s="1"/>
  <c r="E202" i="76" a="1"/>
  <c r="E202" i="76" s="1"/>
  <c r="E124" i="76" l="1"/>
  <c r="F124" i="76"/>
  <c r="G124" i="76"/>
  <c r="N129" i="76" l="1" a="1"/>
  <c r="N129" i="76" s="1"/>
  <c r="F129" i="76" a="1"/>
  <c r="F129" i="76" s="1"/>
  <c r="F23" i="82" s="1"/>
  <c r="O129" i="76" a="1"/>
  <c r="O129" i="76" s="1"/>
  <c r="G129" i="76" a="1"/>
  <c r="G129" i="76" s="1"/>
  <c r="G23" i="82" s="1"/>
  <c r="M129" i="76" a="1"/>
  <c r="M129" i="76" s="1"/>
  <c r="E129" i="76" a="1"/>
  <c r="E129" i="76" s="1"/>
  <c r="E23" i="82" s="1"/>
  <c r="M24" i="81" l="1"/>
  <c r="M23" i="82"/>
  <c r="O24" i="81"/>
  <c r="O23" i="82"/>
  <c r="N24" i="81"/>
  <c r="N23" i="82"/>
  <c r="E24" i="81"/>
  <c r="F24" i="81"/>
  <c r="G24" i="81"/>
  <c r="D149" i="76" a="1"/>
  <c r="D149" i="76" s="1"/>
  <c r="L149" i="76" a="1"/>
  <c r="L149" i="76" s="1"/>
  <c r="F149" i="76" a="1"/>
  <c r="F149" i="76" s="1"/>
  <c r="N149" i="76" a="1"/>
  <c r="N149" i="76" s="1"/>
  <c r="E149" i="76" a="1"/>
  <c r="E149" i="76" s="1"/>
  <c r="M149" i="76" a="1"/>
  <c r="M149" i="76" s="1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N173" i="76" l="1" a="1"/>
  <c r="N173" i="76" s="1"/>
  <c r="N174" i="76" a="1"/>
  <c r="N174" i="76" s="1"/>
  <c r="F173" i="76" a="1"/>
  <c r="F173" i="76" s="1"/>
  <c r="F174" i="76" a="1"/>
  <c r="F174" i="76" s="1"/>
  <c r="F22" i="82" s="1"/>
  <c r="O174" i="76" a="1"/>
  <c r="O174" i="76" s="1"/>
  <c r="O173" i="76" a="1"/>
  <c r="O173" i="76" s="1"/>
  <c r="G174" i="76" a="1"/>
  <c r="G174" i="76" s="1"/>
  <c r="G22" i="82" s="1"/>
  <c r="G173" i="76" a="1"/>
  <c r="G173" i="76" s="1"/>
  <c r="M173" i="76" a="1"/>
  <c r="M173" i="76" s="1"/>
  <c r="M174" i="76" a="1"/>
  <c r="M174" i="76" s="1"/>
  <c r="E174" i="76" a="1"/>
  <c r="E174" i="76" s="1"/>
  <c r="E22" i="82" s="1"/>
  <c r="E173" i="76" a="1"/>
  <c r="E173" i="76" s="1"/>
  <c r="L37" i="82" l="1"/>
  <c r="D21" i="82"/>
  <c r="D29" i="82"/>
  <c r="E29" i="82" s="1"/>
  <c r="L21" i="82"/>
  <c r="D37" i="82"/>
  <c r="G22" i="81"/>
  <c r="G21" i="82"/>
  <c r="F22" i="81"/>
  <c r="F21" i="82"/>
  <c r="N23" i="81"/>
  <c r="N22" i="82"/>
  <c r="M22" i="81"/>
  <c r="M21" i="82"/>
  <c r="O22" i="81"/>
  <c r="O21" i="82"/>
  <c r="N22" i="81"/>
  <c r="N21" i="82"/>
  <c r="E22" i="81"/>
  <c r="E21" i="82"/>
  <c r="M23" i="81"/>
  <c r="M22" i="82"/>
  <c r="O23" i="81"/>
  <c r="O22" i="82"/>
  <c r="L23" i="82"/>
  <c r="D39" i="82"/>
  <c r="D23" i="82"/>
  <c r="L39" i="82"/>
  <c r="D31" i="82"/>
  <c r="E31" i="82" s="1"/>
  <c r="L22" i="82"/>
  <c r="D38" i="82"/>
  <c r="D30" i="82"/>
  <c r="E30" i="82" s="1"/>
  <c r="G38" i="82" s="1" a="1"/>
  <c r="G38" i="82" s="1"/>
  <c r="L38" i="82"/>
  <c r="D22" i="82"/>
  <c r="L100" i="81"/>
  <c r="L52" i="81"/>
  <c r="D52" i="81"/>
  <c r="L77" i="81"/>
  <c r="D100" i="81"/>
  <c r="D93" i="81"/>
  <c r="L119" i="81"/>
  <c r="D119" i="81"/>
  <c r="D77" i="81"/>
  <c r="L22" i="81"/>
  <c r="D112" i="81"/>
  <c r="L79" i="81"/>
  <c r="D121" i="81"/>
  <c r="D102" i="81"/>
  <c r="L54" i="81"/>
  <c r="D79" i="81"/>
  <c r="D95" i="81"/>
  <c r="L24" i="81"/>
  <c r="L102" i="81"/>
  <c r="D54" i="81"/>
  <c r="D114" i="81"/>
  <c r="L121" i="81"/>
  <c r="L120" i="81"/>
  <c r="D101" i="81"/>
  <c r="D120" i="81"/>
  <c r="D94" i="81"/>
  <c r="L78" i="81"/>
  <c r="L53" i="81"/>
  <c r="D113" i="81"/>
  <c r="D53" i="81"/>
  <c r="D78" i="81"/>
  <c r="L23" i="81"/>
  <c r="L101" i="81"/>
  <c r="D23" i="81"/>
  <c r="D46" i="81"/>
  <c r="D39" i="81"/>
  <c r="E39" i="81" s="1"/>
  <c r="D31" i="81"/>
  <c r="E31" i="81" s="1"/>
  <c r="D30" i="81"/>
  <c r="E30" i="81" s="1"/>
  <c r="D22" i="81"/>
  <c r="D45" i="81"/>
  <c r="D38" i="81"/>
  <c r="E38" i="81" s="1"/>
  <c r="D32" i="81"/>
  <c r="E32" i="81" s="1"/>
  <c r="D24" i="81"/>
  <c r="D47" i="81"/>
  <c r="D40" i="81"/>
  <c r="E40" i="81" s="1"/>
  <c r="G23" i="81"/>
  <c r="F23" i="81"/>
  <c r="E23" i="81"/>
  <c r="L204" i="76"/>
  <c r="L174" i="76"/>
  <c r="D196" i="76"/>
  <c r="E196" i="76" s="1"/>
  <c r="F204" i="76" s="1" a="1"/>
  <c r="F204" i="76" s="1"/>
  <c r="D204" i="76"/>
  <c r="D174" i="76"/>
  <c r="D168" i="76"/>
  <c r="L203" i="76"/>
  <c r="L173" i="76"/>
  <c r="D195" i="76"/>
  <c r="D203" i="76"/>
  <c r="D167" i="76"/>
  <c r="D173" i="76"/>
  <c r="L205" i="76"/>
  <c r="D197" i="76"/>
  <c r="E197" i="76" s="1"/>
  <c r="L129" i="76"/>
  <c r="D205" i="76"/>
  <c r="D129" i="76"/>
  <c r="D124" i="76"/>
  <c r="M37" i="82" l="1" a="1"/>
  <c r="M37" i="82" s="1"/>
  <c r="N37" i="82" a="1"/>
  <c r="N37" i="82" s="1"/>
  <c r="N38" i="82" a="1"/>
  <c r="N38" i="82" s="1"/>
  <c r="O38" i="82" a="1"/>
  <c r="O38" i="82" s="1"/>
  <c r="G37" i="82" a="1"/>
  <c r="G37" i="82" s="1"/>
  <c r="E37" i="82" a="1"/>
  <c r="E37" i="82" s="1"/>
  <c r="M38" i="82" a="1"/>
  <c r="M38" i="82" s="1"/>
  <c r="E38" i="82" a="1"/>
  <c r="E38" i="82" s="1"/>
  <c r="E119" i="81" a="1"/>
  <c r="E119" i="81" s="1"/>
  <c r="F38" i="82" a="1"/>
  <c r="F38" i="82" s="1"/>
  <c r="F37" i="82" a="1"/>
  <c r="F37" i="82" s="1"/>
  <c r="M120" i="81" a="1"/>
  <c r="M120" i="81" s="1"/>
  <c r="E39" i="82" a="1"/>
  <c r="E39" i="82" s="1"/>
  <c r="G39" i="82" a="1"/>
  <c r="G39" i="82" s="1"/>
  <c r="F39" i="82" a="1"/>
  <c r="F39" i="82" s="1"/>
  <c r="O39" i="82" a="1"/>
  <c r="O39" i="82" s="1"/>
  <c r="N39" i="82" a="1"/>
  <c r="N39" i="82" s="1"/>
  <c r="M39" i="82" a="1"/>
  <c r="M39" i="82" s="1"/>
  <c r="O37" i="82" a="1"/>
  <c r="O37" i="82" s="1"/>
  <c r="F100" i="81" a="1"/>
  <c r="F100" i="81" s="1"/>
  <c r="M121" i="81" a="1"/>
  <c r="M121" i="81" s="1"/>
  <c r="O121" i="81" a="1"/>
  <c r="O121" i="81" s="1"/>
  <c r="N121" i="81" a="1"/>
  <c r="N121" i="81" s="1"/>
  <c r="G121" i="81" a="1"/>
  <c r="G121" i="81" s="1"/>
  <c r="F121" i="81" a="1"/>
  <c r="F121" i="81" s="1"/>
  <c r="E121" i="81" a="1"/>
  <c r="E121" i="81" s="1"/>
  <c r="N100" i="81" a="1"/>
  <c r="N100" i="81" s="1"/>
  <c r="N119" i="81" a="1"/>
  <c r="N119" i="81" s="1"/>
  <c r="N53" i="81" a="1"/>
  <c r="N53" i="81" s="1"/>
  <c r="O119" i="81" a="1"/>
  <c r="O119" i="81" s="1"/>
  <c r="G119" i="81" a="1"/>
  <c r="G119" i="81" s="1"/>
  <c r="N120" i="81" a="1"/>
  <c r="N120" i="81" s="1"/>
  <c r="F119" i="81" a="1"/>
  <c r="F119" i="81" s="1"/>
  <c r="E120" i="81" a="1"/>
  <c r="E120" i="81" s="1"/>
  <c r="O120" i="81" a="1"/>
  <c r="O120" i="81" s="1"/>
  <c r="F120" i="81" a="1"/>
  <c r="F120" i="81" s="1"/>
  <c r="M119" i="81" a="1"/>
  <c r="M119" i="81" s="1"/>
  <c r="G120" i="81" a="1"/>
  <c r="G120" i="81" s="1"/>
  <c r="M78" i="81" a="1"/>
  <c r="M78" i="81" s="1"/>
  <c r="N101" i="81" a="1"/>
  <c r="N101" i="81" s="1"/>
  <c r="O77" i="81" a="1"/>
  <c r="O77" i="81" s="1"/>
  <c r="M52" i="81" a="1"/>
  <c r="M52" i="81" s="1"/>
  <c r="E100" i="81" a="1"/>
  <c r="E100" i="81" s="1"/>
  <c r="F77" i="81" a="1"/>
  <c r="F77" i="81" s="1"/>
  <c r="F78" i="81" a="1"/>
  <c r="F78" i="81" s="1"/>
  <c r="F101" i="81" a="1"/>
  <c r="F101" i="81" s="1"/>
  <c r="G78" i="81" a="1"/>
  <c r="G78" i="81" s="1"/>
  <c r="G101" i="81" a="1"/>
  <c r="G101" i="81" s="1"/>
  <c r="G77" i="81" a="1"/>
  <c r="G77" i="81" s="1"/>
  <c r="N77" i="81" a="1"/>
  <c r="N77" i="81" s="1"/>
  <c r="M102" i="81" a="1"/>
  <c r="M102" i="81" s="1"/>
  <c r="M79" i="81" a="1"/>
  <c r="M79" i="81" s="1"/>
  <c r="O102" i="81" a="1"/>
  <c r="O102" i="81" s="1"/>
  <c r="O79" i="81" a="1"/>
  <c r="O79" i="81" s="1"/>
  <c r="N79" i="81" a="1"/>
  <c r="N79" i="81" s="1"/>
  <c r="N102" i="81" a="1"/>
  <c r="N102" i="81" s="1"/>
  <c r="E79" i="81" a="1"/>
  <c r="E79" i="81" s="1"/>
  <c r="E102" i="81" a="1"/>
  <c r="E102" i="81" s="1"/>
  <c r="G79" i="81" a="1"/>
  <c r="G79" i="81" s="1"/>
  <c r="G102" i="81" a="1"/>
  <c r="G102" i="81" s="1"/>
  <c r="F79" i="81" a="1"/>
  <c r="F79" i="81" s="1"/>
  <c r="F102" i="81" a="1"/>
  <c r="F102" i="81" s="1"/>
  <c r="G100" i="81" a="1"/>
  <c r="G100" i="81" s="1"/>
  <c r="O52" i="81" a="1"/>
  <c r="O52" i="81" s="1"/>
  <c r="O100" i="81" a="1"/>
  <c r="O100" i="81" s="1"/>
  <c r="E101" i="81" a="1"/>
  <c r="E101" i="81" s="1"/>
  <c r="E78" i="81" a="1"/>
  <c r="E78" i="81" s="1"/>
  <c r="M77" i="81" a="1"/>
  <c r="M77" i="81" s="1"/>
  <c r="O101" i="81" a="1"/>
  <c r="O101" i="81" s="1"/>
  <c r="M101" i="81" a="1"/>
  <c r="M101" i="81" s="1"/>
  <c r="N78" i="81" a="1"/>
  <c r="N78" i="81" s="1"/>
  <c r="E77" i="81" a="1"/>
  <c r="E77" i="81" s="1"/>
  <c r="M100" i="81" a="1"/>
  <c r="M100" i="81" s="1"/>
  <c r="O78" i="81" a="1"/>
  <c r="O78" i="81" s="1"/>
  <c r="F53" i="81" a="1"/>
  <c r="F53" i="81" s="1"/>
  <c r="E52" i="81" a="1"/>
  <c r="E52" i="81" s="1"/>
  <c r="G53" i="81" a="1"/>
  <c r="G53" i="81" s="1"/>
  <c r="M53" i="81" a="1"/>
  <c r="M53" i="81" s="1"/>
  <c r="O53" i="81" a="1"/>
  <c r="O53" i="81" s="1"/>
  <c r="N52" i="81" a="1"/>
  <c r="N52" i="81" s="1"/>
  <c r="M54" i="81" a="1"/>
  <c r="M54" i="81" s="1"/>
  <c r="O54" i="81" a="1"/>
  <c r="O54" i="81" s="1"/>
  <c r="N54" i="81" a="1"/>
  <c r="N54" i="81" s="1"/>
  <c r="G54" i="81" a="1"/>
  <c r="G54" i="81" s="1"/>
  <c r="F54" i="81" a="1"/>
  <c r="F54" i="81" s="1"/>
  <c r="E54" i="81" a="1"/>
  <c r="E54" i="81" s="1"/>
  <c r="F52" i="81" a="1"/>
  <c r="F52" i="81" s="1"/>
  <c r="G52" i="81" a="1"/>
  <c r="G52" i="81" s="1"/>
  <c r="E53" i="81" a="1"/>
  <c r="E53" i="81" s="1"/>
  <c r="O204" i="76" a="1"/>
  <c r="O204" i="76" s="1"/>
  <c r="G204" i="76" a="1"/>
  <c r="G204" i="76" s="1"/>
  <c r="E204" i="76" a="1"/>
  <c r="E204" i="76" s="1"/>
  <c r="N204" i="76" a="1"/>
  <c r="N204" i="76" s="1"/>
  <c r="E195" i="76"/>
  <c r="O203" i="76" s="1" a="1"/>
  <c r="O203" i="76" s="1"/>
  <c r="M204" i="76" a="1"/>
  <c r="M204" i="76" s="1"/>
  <c r="E205" i="76" a="1"/>
  <c r="E205" i="76" s="1"/>
  <c r="M205" i="76" a="1"/>
  <c r="M205" i="76" s="1"/>
  <c r="G205" i="76" a="1"/>
  <c r="G205" i="76" s="1"/>
  <c r="O205" i="76" a="1"/>
  <c r="O205" i="76" s="1"/>
  <c r="F205" i="76" a="1"/>
  <c r="F205" i="76" s="1"/>
  <c r="N205" i="76" a="1"/>
  <c r="N205" i="76" s="1"/>
  <c r="E41" i="82" l="1"/>
  <c r="G53" i="82" s="1"/>
  <c r="E60" i="82" s="1" a="1"/>
  <c r="E60" i="82" s="1"/>
  <c r="E123" i="81"/>
  <c r="E23" i="13" s="1"/>
  <c r="M123" i="81"/>
  <c r="M56" i="81"/>
  <c r="M104" i="81"/>
  <c r="E81" i="81"/>
  <c r="E104" i="81"/>
  <c r="E22" i="13" s="1"/>
  <c r="M81" i="81"/>
  <c r="E56" i="81"/>
  <c r="E21" i="13" s="1"/>
  <c r="E203" i="76" a="1"/>
  <c r="E203" i="76" s="1"/>
  <c r="N203" i="76" a="1"/>
  <c r="N203" i="76" s="1"/>
  <c r="F203" i="76" a="1"/>
  <c r="F203" i="76" s="1"/>
  <c r="M203" i="76" a="1"/>
  <c r="M203" i="76" s="1"/>
  <c r="G203" i="76" a="1"/>
  <c r="G203" i="76" s="1"/>
  <c r="E29" i="15"/>
  <c r="E11" i="13" l="1"/>
  <c r="G62" i="82"/>
  <c r="E65" i="82" s="1" a="1"/>
  <c r="E65" i="82" s="1"/>
  <c r="G11" i="13" s="1"/>
  <c r="G8" i="13"/>
  <c r="E8" i="13"/>
  <c r="G7" i="13"/>
  <c r="E7" i="13"/>
  <c r="M207" i="76"/>
  <c r="E207" i="76"/>
  <c r="G209" i="76" l="1"/>
  <c r="E212" i="76" s="1" a="1"/>
  <c r="E212" i="76" s="1"/>
  <c r="G9" i="13" s="1"/>
  <c r="E9" i="13"/>
  <c r="O209" i="76"/>
  <c r="M212" i="76" s="1" a="1"/>
  <c r="M212" i="76" s="1"/>
  <c r="G10" i="13" s="1"/>
  <c r="G15" i="13" s="1"/>
  <c r="E10" i="13"/>
  <c r="E13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<sst xmlns="http://schemas.openxmlformats.org/spreadsheetml/2006/main" count="815" uniqueCount="321">
  <si>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</si>
  <si>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</si>
  <si>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</si>
  <si>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</si>
  <si>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</si>
  <si>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</si>
  <si>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</si>
  <si>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</si>
  <si>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</si>
  <si>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</si>
  <si>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</si>
  <si>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</si>
  <si>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</si>
  <si>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</si>
  <si>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</si>
  <si>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</si>
  <si>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</si>
  <si>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</si>
  <si>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</si>
  <si>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</si>
  <si>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</si>
  <si>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</si>
  <si>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</si>
  <si>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</si>
  <si>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</si>
  <si>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</si>
  <si>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</si>
  <si>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</si>
  <si>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</si>
  <si>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</si>
  <si>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</si>
  <si>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</si>
  <si>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</si>
  <si>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</si>
  <si>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</si>
  <si>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</si>
  <si>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</si>
  <si>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</si>
  <si>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</si>
  <si>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</si>
  <si>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</si>
  <si>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</si>
  <si>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</si>
  <si>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</si>
  <si>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</si>
  <si>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</si>
  <si>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</si>
  <si>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</si>
  <si>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</si>
  <si>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</si>
  <si>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</si>
  <si>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</si>
  <si>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</si>
  <si>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</si>
  <si>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</si>
  <si>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</si>
  <si>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</si>
  <si>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</si>
  <si>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</si>
  <si>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</si>
  <si>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</si>
  <si>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</si>
  <si>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</si>
  <si>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</si>
  <si>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</si>
  <si>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</si>
  <si>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</si>
  <si>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</si>
  <si>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</si>
  <si>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</si>
  <si>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</si>
  <si>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</si>
  <si>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</si>
  <si>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</si>
  <si>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</si>
  <si>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</si>
  <si>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</si>
  <si>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</si>
  <si>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</si>
  <si>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</si>
  <si>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</si>
  <si>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</si>
  <si>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</si>
  <si>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</si>
  <si>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</si>
  <si>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</si>
  <si>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</si>
  <si>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</si>
  <si>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</si>
  <si>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</si>
  <si>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</si>
  <si>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</si>
  <si>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</si>
  <si>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</si>
  <si>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</si>
  <si>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</si>
  <si>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</si>
  <si>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</si>
  <si>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t>Fraction</t>
  </si>
  <si>
    <t>Stage 2 MMS</t>
  </si>
  <si>
    <t>kg DM/head/day</t>
  </si>
  <si>
    <t>MMS m</t>
  </si>
  <si>
    <t>Stage 1 MMS</t>
  </si>
  <si>
    <t>Fraction of manure in primary system drylot</t>
  </si>
  <si>
    <t>Manure management systems</t>
  </si>
  <si>
    <t>Fraction of manure sent to stage 2 MMS</t>
  </si>
  <si>
    <t>New South Wales</t>
  </si>
  <si>
    <t>Stage 3 MMS</t>
  </si>
  <si>
    <t>Herd movement</t>
  </si>
  <si>
    <t>Duration of stay</t>
  </si>
  <si>
    <t>head</t>
  </si>
  <si>
    <t>Table_D_j</t>
  </si>
  <si>
    <t>Table_N_j</t>
  </si>
  <si>
    <t>Number of head in each group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</si>
  <si>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</si>
  <si>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</si>
  <si>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Sold as fertiliser</t>
  </si>
  <si>
    <t>Formula name</t>
  </si>
  <si>
    <t>Source Data - Feedlot</t>
  </si>
  <si>
    <t>Domestic</t>
  </si>
  <si>
    <t>Mid-fed</t>
  </si>
  <si>
    <t>Long-fed</t>
  </si>
  <si>
    <t>M1_Table_I_j</t>
  </si>
  <si>
    <t>M1_Table_CP_j</t>
  </si>
  <si>
    <t>M1_Table_NI_j</t>
  </si>
  <si>
    <t>M2_Table_I_j</t>
  </si>
  <si>
    <t>M2_Table_CP_j</t>
  </si>
  <si>
    <t>M2_Table_NI_j</t>
  </si>
  <si>
    <t>M1_Table_NR_j</t>
  </si>
  <si>
    <t>M2_Table_NR_j</t>
  </si>
  <si>
    <t>M1_Table_NE_j</t>
  </si>
  <si>
    <t>M2_Table_NE_j</t>
  </si>
  <si>
    <t>Method 1</t>
  </si>
  <si>
    <t>Method 2</t>
  </si>
  <si>
    <t>Fraction of intake</t>
  </si>
  <si>
    <t>M1_Table_AE_j</t>
  </si>
  <si>
    <t>M2_Table_AE_j</t>
  </si>
  <si>
    <t>Table_MMS_j_m-5_T-1</t>
  </si>
  <si>
    <t>M1_Table_MN_j_m-5_T-1</t>
  </si>
  <si>
    <t>M2_Table_MN_j_m-5_T-1</t>
  </si>
  <si>
    <t>Table_MMS_j_m_T-2</t>
  </si>
  <si>
    <t>Fraction of manure sent to stage 3 MMS</t>
  </si>
  <si>
    <t>Table_MMS_j_m-1_T-3</t>
  </si>
  <si>
    <t>Table_EF_j_m</t>
  </si>
  <si>
    <t>EFs for MMS</t>
  </si>
  <si>
    <r>
      <t>EF</t>
    </r>
    <r>
      <rPr>
        <b/>
        <vertAlign val="subscript"/>
        <sz val="11"/>
        <color rgb="FF183C1B"/>
        <rFont val="Times New Roman"/>
        <family val="1"/>
      </rPr>
      <t>jm</t>
    </r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</si>
  <si>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</si>
  <si>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M1_Table_MN_j_m-1_T-3</t>
  </si>
  <si>
    <t>M2_Table_MN_j_m-1_T-3</t>
  </si>
  <si>
    <t>M1_Table_NT_j_m-_T-2</t>
  </si>
  <si>
    <t>M2_Table_NT_j_m-_T-2</t>
  </si>
  <si>
    <t>M1_Table_MN_j_m_T-2</t>
  </si>
  <si>
    <t>M1_Table_E_N2O_dir</t>
  </si>
  <si>
    <t>Total annual N2O emissions (Method 1)</t>
  </si>
  <si>
    <t>Total annual N2O emissions (Method 2)</t>
  </si>
  <si>
    <t>Nitrogen in stage 2 MMS (Method 1)</t>
  </si>
  <si>
    <t>Nitrogen in stage 2 MMS (Method 2)</t>
  </si>
  <si>
    <t>Nitrogen transferred to stage 2 MMS (Method 1)</t>
  </si>
  <si>
    <t>Nitrogen transferred to stage 2 MMS (Method 2)</t>
  </si>
  <si>
    <t>Nitrogen in stage 3 MMS (Method 1)</t>
  </si>
  <si>
    <t>Nitrogen in stage 3 MMS (Method 2)</t>
  </si>
  <si>
    <t>Nitrogen in stage 1 MMS (Method 1)</t>
  </si>
  <si>
    <t>Nitrogen in stage 1 MMS (Method 2)</t>
  </si>
  <si>
    <t>Annual nitrogen excretion (Method 1)</t>
  </si>
  <si>
    <t>Annual nitrogen excretion (Method 2)</t>
  </si>
  <si>
    <t>Nitrogen retention (Method 1)</t>
  </si>
  <si>
    <t>Nitrogen retention (Method 2)</t>
  </si>
  <si>
    <t>Nitrogen intake (Method 1)</t>
  </si>
  <si>
    <t>Crude protein content of feed (Method 1)</t>
  </si>
  <si>
    <t>Dry matter intake (Method 1)</t>
  </si>
  <si>
    <t>Dry matter intake (Method 2)</t>
  </si>
  <si>
    <t>Crude protein content of feed (Method 2)</t>
  </si>
  <si>
    <t>Nitrogen intake (Method 2)</t>
  </si>
  <si>
    <t>4.1.1.9 Manure applied to soils</t>
  </si>
  <si>
    <t>kg N</t>
  </si>
  <si>
    <t>M1_Table_MN_j_m_T-2-3</t>
  </si>
  <si>
    <t>Table_FracGASM_m_T-2-3</t>
  </si>
  <si>
    <t>Table_EF_j_m_T-2-3</t>
  </si>
  <si>
    <t>Fraction of N volatilised in each MMS</t>
  </si>
  <si>
    <t>Table_PF</t>
  </si>
  <si>
    <t>Fraction of manure applied to soil from MMS</t>
  </si>
  <si>
    <t>Percent of intake needs converting to faction of intake before going to equation - needs conversion in equation or change of input unit</t>
  </si>
  <si>
    <t>kg N2O/kg N</t>
  </si>
  <si>
    <t>(kg NH3-N + NOx-N)/kg N</t>
  </si>
  <si>
    <t>M2_Table_MN_j_m_T-2-3</t>
  </si>
  <si>
    <t>Mass on N in stage 2 and 3 MMS (Method 2)</t>
  </si>
  <si>
    <t>Mass on N in stage 2 and 3 MMS (Method 1)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</si>
  <si>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</si>
  <si>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</si>
  <si>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Deposited on farm soils as waste (Direct application MMS)</t>
  </si>
  <si>
    <t>Table_PF_fert</t>
  </si>
  <si>
    <t>Fraction of manure applied to as fertiliser on own farm from MMS</t>
  </si>
  <si>
    <t>M1_Table_MNSoil_scope3</t>
  </si>
  <si>
    <t>M1_Table_MNSoil_scope3_fert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</si>
  <si>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fert,scope3</t>
    </r>
  </si>
  <si>
    <t>M2_Table_MNSoil_scope3_fert</t>
  </si>
  <si>
    <t>Mass of N applied to own farm as fertiliser (Method 2)</t>
  </si>
  <si>
    <t>M2_Table_MNSoil_scope3</t>
  </si>
  <si>
    <t>Mass of N applied to soils as fertiliser (Method 2)</t>
  </si>
  <si>
    <t>Mass of N applied to own farm as fertiliser (Method 1)</t>
  </si>
  <si>
    <t>Mass of N applied to soils as fertiliser (Method 1)</t>
  </si>
  <si>
    <t>M2_Table_MNSoil_scope1</t>
  </si>
  <si>
    <t>Mass of N applied to soils (Method 2)</t>
  </si>
  <si>
    <t>Mass of N applied to soils (Method 1)</t>
  </si>
  <si>
    <t>Table_PF_sold</t>
  </si>
  <si>
    <t>Fraction of manure sold</t>
  </si>
  <si>
    <t>M1_Table_MNSoil_scope3_sold</t>
  </si>
  <si>
    <t>M2_Table_MNSoil_scope3_sold</t>
  </si>
  <si>
    <t>Mass of N sold as fertiliser (Method 2)</t>
  </si>
  <si>
    <t>Mass of N sold as fertiliser (Method 1)</t>
  </si>
  <si>
    <t>Mass of nitrogen applied as fertiliser on own farm</t>
  </si>
  <si>
    <t>Mass of nitrogen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</si>
  <si>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scope3,sold</t>
    </r>
  </si>
  <si>
    <t>* Manure that is removed from stage 2 and 3 MMS and used as fertiliser on the farm, for other enterprises (eg crops)</t>
  </si>
  <si>
    <t>* Manure that is removed from stage 2 and 3 MMS that is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</si>
  <si>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scope3,fert</t>
    </r>
  </si>
  <si>
    <t>4.1.1.1 Method 1 Manure methane</t>
  </si>
  <si>
    <t>4.1.1.2 Method 2 Manure methane</t>
  </si>
  <si>
    <t>4.1.1.3 Method 1 Manure direct N2O</t>
  </si>
  <si>
    <t>4.1.1.4 Method 2 Manure direct N2O</t>
  </si>
  <si>
    <t>4.1.1.5 Method 1 Manure atmospheric deposition</t>
  </si>
  <si>
    <t>4.1.1.6 Method 2 Manure atmospheric deposition</t>
  </si>
  <si>
    <t>4.1.1.7 Method 1 Manure leaching and runoff</t>
  </si>
  <si>
    <t>4.1.1.8 Method 1 Manure leaching and runoff</t>
  </si>
  <si>
    <t>GHG emissions</t>
  </si>
  <si>
    <t>CO2-e emissions</t>
  </si>
  <si>
    <t>Scope 1 source</t>
  </si>
  <si>
    <t>4.1.1.1-2 Manure Methane</t>
  </si>
  <si>
    <t>4.1.1.3-4 Manure Direct N2O</t>
  </si>
  <si>
    <t>4.1.1.5-6 Manure Atmospheric Deposition</t>
  </si>
  <si>
    <t>M1_Table_MN_j_m_T</t>
  </si>
  <si>
    <t>M1_Table_MMS_ATMOS</t>
  </si>
  <si>
    <t>Nitrogen in each MMS excluding direct application (Method 1)</t>
  </si>
  <si>
    <t>M2_Table_MN_j_m_T</t>
  </si>
  <si>
    <t>Nitrogen in each MMS excluding direct application (Method 2)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</si>
  <si>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</si>
  <si>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Where deposited on farm soils as waste, what is the closest match?</t>
  </si>
  <si>
    <t>lacking subscripts</t>
  </si>
  <si>
    <t>Production system j</t>
  </si>
  <si>
    <t>EFN2O</t>
  </si>
  <si>
    <t>Production system only</t>
  </si>
  <si>
    <t>Irrigation method</t>
  </si>
  <si>
    <t>Pasture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</si>
  <si>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</si>
  <si>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</si>
  <si>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</si>
  <si>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</si>
  <si>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</si>
  <si>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</si>
  <si>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</si>
  <si>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t>test</t>
  </si>
  <si>
    <t>test 2</t>
  </si>
  <si>
    <t>test 3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</si>
  <si>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N2O,ad</t>
    </r>
  </si>
  <si>
    <t>Total</t>
  </si>
  <si>
    <t>Emissions allocated to</t>
  </si>
  <si>
    <t>GHG Unit</t>
  </si>
  <si>
    <t>CO2-e unit</t>
  </si>
  <si>
    <t>This feedlot</t>
  </si>
  <si>
    <t>Manure nitrogen sold</t>
  </si>
  <si>
    <t>Scope 3 (downstream)</t>
  </si>
  <si>
    <t>Crops or pasture that use manure as fertiliser</t>
  </si>
  <si>
    <t>Amount of N in manure</t>
  </si>
  <si>
    <t>N unit</t>
  </si>
  <si>
    <t>WARNING: Manure nitrogen that was applied to soils must be accounted for</t>
  </si>
  <si>
    <t>Manure nitrogen use</t>
  </si>
  <si>
    <t>Manure nitrogen deposited on farm soils as fertiliser for other farm enterpsies (eg crops)</t>
  </si>
  <si>
    <t>Manure nitrogen deposited on farm soils with no other purpose (aka waste)</t>
  </si>
  <si>
    <t>15.13.1.1 (1), 5.2.2.1 (1), 5.4.1.3 (1, 2), 5.5.1.1 (1, 3)</t>
  </si>
  <si>
    <t>5.2.2.1 (1), 5.4.1.3 (1, 2), 5.5.1.1 (1, 3)</t>
  </si>
  <si>
    <t>VEERG Calculation method</t>
  </si>
  <si>
    <t>See the table below for how to account for manure applied to soils for scope 1 and 3.</t>
  </si>
  <si>
    <t>N/A</t>
  </si>
  <si>
    <t>4.1 Manure management: Beef Feedlot: Results</t>
  </si>
  <si>
    <t>Dairy manure management systems</t>
  </si>
  <si>
    <t>Dairy crop or pasture production systems</t>
  </si>
  <si>
    <t>Breed</t>
  </si>
  <si>
    <t>Milking cows</t>
  </si>
  <si>
    <t>Heifers &gt; 1</t>
  </si>
  <si>
    <t>Heifers &lt; 1 (weaned)</t>
  </si>
  <si>
    <t>Bulls &lt; 1 (weaned)</t>
  </si>
  <si>
    <t>Bulls &gt; 1</t>
  </si>
  <si>
    <t>Animal class j</t>
  </si>
  <si>
    <t>CH4 production</t>
  </si>
  <si>
    <t>Volatile solids (VSj=3,5)</t>
  </si>
  <si>
    <t>Nitrogen Excreted (NPWj=3,5)</t>
  </si>
  <si>
    <t>EFm</t>
  </si>
  <si>
    <t>FracGASMm</t>
  </si>
  <si>
    <t>MPW ENTERIC</t>
  </si>
  <si>
    <t>MRj</t>
  </si>
  <si>
    <t>Area</t>
  </si>
  <si>
    <t>Milking shed</t>
  </si>
  <si>
    <t>Feedpad</t>
  </si>
  <si>
    <t>NIR reference</t>
  </si>
  <si>
    <t>Heifers &gt; 1 year</t>
  </si>
  <si>
    <t>Heifers &lt; 1 year</t>
  </si>
  <si>
    <t>Bulls &gt; 1 year</t>
  </si>
  <si>
    <t>Bulls &lt; 1 year</t>
  </si>
  <si>
    <t>Input -Dairy</t>
  </si>
  <si>
    <t>Milk production</t>
  </si>
  <si>
    <t>Average daily milk production</t>
  </si>
  <si>
    <t>litres/head/day</t>
  </si>
  <si>
    <t>Duration (weaned)</t>
  </si>
  <si>
    <t>Duration (pre-weaned)</t>
  </si>
  <si>
    <t>Time spent in production systems</t>
  </si>
  <si>
    <t>Feed pad</t>
  </si>
  <si>
    <t>Production system template</t>
  </si>
  <si>
    <t>Duplicate of data in table 1.3.7</t>
  </si>
  <si>
    <t>Method 2 custom values (Edit if known)</t>
  </si>
  <si>
    <t>Method 1 default values (Do not edit)</t>
  </si>
  <si>
    <t>Yes</t>
  </si>
  <si>
    <t>Total manure sent to MMS (Must equal 100%)  (Method 1)</t>
  </si>
  <si>
    <t>Total percent sent to solid storage (Method 1)</t>
  </si>
  <si>
    <t>Total percent sent to solid storage (Method 2)</t>
  </si>
  <si>
    <t>Total manure sent to MMS (Must equal 100%)  (Method 2)</t>
  </si>
  <si>
    <t>From the milking shed</t>
  </si>
  <si>
    <t>Post treatment destinations</t>
  </si>
  <si>
    <t>Production systems</t>
  </si>
  <si>
    <t>No</t>
  </si>
  <si>
    <t>System 3: Pasture-grazed 3-9 months/year</t>
  </si>
  <si>
    <t>Applied to farm soils as fertiliser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</si>
</sst>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2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sz val="11"/>
      <color theme="1"/>
      <name val="Times New Roman"/>
      <family val="2"/>
      <scheme val="minor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sz val="12"/>
      <color rgb="FFCC6600"/>
      <name val="Times New Roman"/>
      <family val="1"/>
    </font>
    <font>
      <b/>
      <sz val="20"/>
      <color theme="4" tint="-0.24997711111789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/>
      <top/>
      <bottom/>
      <diagonal/>
    </border>
    <border>
      <left/>
      <right style="thin">
        <color theme="3" tint="0.749961851863155"/>
      </right>
      <top/>
      <bottom/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9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40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46" fillId="13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8" xfId="55" applyBorder="1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1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9" xfId="41" applyBorder="1">
      <alignment horizontal="left" vertical="center"/>
    </xf>
    <xf numFmtId="0" fontId="47" fillId="13" borderId="10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5" fillId="4" borderId="2" xfId="55" applyNumberFormat="1">
      <alignment horizontal="center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20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7" xfId="55" applyBorder="1" applyAlignment="1">
      <alignment vertical="center"/>
    </xf>
    <xf numFmtId="0" fontId="35" fillId="4" borderId="8" xfId="55" applyBorder="1" applyAlignment="1">
      <alignment vertical="center"/>
    </xf>
    <xf numFmtId="0" fontId="5" fillId="2" borderId="0" xfId="1">
      <alignment horizontal="left" vertical="center" indent="1"/>
      <protection locked="0"/>
    </xf>
    <xf numFmtId="0" fontId="46" fillId="13" borderId="0" xfId="41" applyBorder="1">
      <alignment horizontal="left" vertical="center"/>
    </xf>
    <xf numFmtId="0" fontId="46" fillId="13" borderId="10" xfId="41" applyBorder="1">
      <alignment horizontal="left" vertical="center"/>
    </xf>
    <xf numFmtId="0" fontId="46" fillId="13" borderId="21" xfId="41" applyBorder="1">
      <alignment horizontal="left" vertical="center"/>
    </xf>
    <xf numFmtId="0" fontId="46" fillId="13" borderId="22" xfId="41" applyBorder="1">
      <alignment horizontal="left" vertical="center"/>
    </xf>
    <xf numFmtId="0" fontId="0" fillId="0" borderId="1" xfId="0" applyBorder="1"/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6" fillId="4" borderId="1" xfId="12" applyBorder="1">
      <alignment horizontal="left" vertical="center" indent="1"/>
    </xf>
    <xf numFmtId="0" fontId="40" fillId="4" borderId="6" xfId="8" applyBorder="1">
      <alignment horizontal="left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60" fillId="4" borderId="0" xfId="62" applyFont="1">
      <alignment horizontal="left" vertical="center"/>
    </xf>
    <xf numFmtId="0" fontId="40" fillId="4" borderId="0" xfId="8" applyAlignment="1">
      <alignment horizontal="center" vertical="center"/>
    </xf>
    <xf numFmtId="0" fontId="48" fillId="11" borderId="0" xfId="63">
      <alignment horizontal="center" vertical="center"/>
    </xf>
    <xf numFmtId="0" fontId="22" fillId="11" borderId="0" xfId="64">
      <alignment horizontal="left" vertical="center" indent="1"/>
    </xf>
    <xf numFmtId="0" fontId="18" fillId="0" borderId="0" xfId="34" applyAlignment="1">
      <alignment horizontal="left" vertical="center" indent="1"/>
    </xf>
    <xf numFmtId="0" fontId="61" fillId="0" borderId="0" xfId="2" applyFont="1"/>
    <xf numFmtId="0" fontId="0" fillId="0" borderId="0" xfId="8" applyFont="1" applyFill="1" applyBorder="1">
      <alignment horizontal="left" vertical="center"/>
    </xf>
    <xf numFmtId="0" fontId="57" fillId="2" borderId="0" xfId="8" applyNumberFormat="1" applyFont="1" applyFill="1" applyBorder="1" applyAlignment="1">
      <alignment horizontal="left" vertical="center"/>
    </xf>
    <xf numFmtId="0" fontId="17" fillId="4" borderId="0" xfId="32" applyFill="1">
      <alignment vertical="center"/>
    </xf>
    <xf numFmtId="9" fontId="2" fillId="0" borderId="2" xfId="14" applyFont="1" applyBorder="1" applyAlignment="1">
      <alignment horizontal="center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89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numFmt numFmtId="0" formatCode="General"/>
      <fill>
        <patternFill patternType="solid">
          <fgColor indexed="64"/>
          <bgColor rgb="FFB2D49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88"/>
      <tableStyleElement type="headerRow" dxfId="87"/>
      <tableStyleElement type="totalRow" dxfId="86"/>
      <tableStyleElement type="firstColumn" dxfId="85"/>
      <tableStyleElement type="firstRowStripe" dxfId="84"/>
      <tableStyleElement type="secondRowStripe" dxfId="83"/>
    </tableStyle>
    <tableStyle name="Equation table" pivot="0" count="6" xr9:uid="{B247698E-E41D-4CCD-AA0A-C14817E9DE65}">
      <tableStyleElement type="wholeTable" dxfId="82"/>
      <tableStyleElement type="headerRow" dxfId="81"/>
      <tableStyleElement type="totalRow" dxfId="80"/>
      <tableStyleElement type="firstColumn" dxfId="79"/>
      <tableStyleElement type="firstRowStripe" dxfId="78"/>
      <tableStyleElement type="secondRowStripe" dxfId="77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Types" Target="richData/rdRichValueTypes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166687</xdr:rowOff>
    </xdr:from>
    <xdr:ext cx="130939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𝑁𝐼_𝑗=𝐼_𝑗×𝐶𝑃_𝑗÷6.25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36</xdr:row>
      <xdr:rowOff>204787</xdr:rowOff>
    </xdr:from>
    <xdr:ext cx="142455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𝑁𝐸_𝑗=𝑁𝐼_𝑗×(1−𝑁𝑅_𝑗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61912</xdr:colOff>
      <xdr:row>60</xdr:row>
      <xdr:rowOff>138112</xdr:rowOff>
    </xdr:from>
    <xdr:ext cx="126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𝐴𝐸_𝑗=𝑁_𝑗×𝑁𝐸_𝑗×𝐷_𝑗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89</xdr:row>
      <xdr:rowOff>52387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𝑀𝑁_(𝑗𝑚=5,𝑇=1)=𝐴𝐸_𝑗×𝑀𝑀𝑆_(𝑗𝑚=5,𝑇=1)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155</xdr:row>
      <xdr:rowOff>147637</xdr:rowOff>
    </xdr:from>
    <xdr:ext cx="216982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135</xdr:row>
      <xdr:rowOff>90487</xdr:rowOff>
    </xdr:from>
    <xdr:ext cx="4350422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𝐹𝑟𝑎𝑐𝐺𝐴𝑆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𝑁𝑇_(𝑗𝑚,𝑇=2)=(𝑀𝑁_(𝑗𝑚=5,𝑇=1)×(1−𝐹𝑟𝑎𝑐𝐺𝐴𝑆𝑀_(𝑚=5)−𝐸𝐹_(𝑚=5) ))−𝑀𝑁_(𝑗𝑚,𝑇=3)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112</xdr:row>
      <xdr:rowOff>138112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𝑀𝑁_(𝑗𝑚=1,𝑇=3)=𝐴𝐸_𝑗×𝑀𝑀𝑆_(𝑗𝑚=1,𝑇=3)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180</xdr:row>
      <xdr:rowOff>138112</xdr:rowOff>
    </xdr:from>
    <xdr:ext cx="323678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𝐸_(𝑁2𝑂,𝑑𝑖𝑟)=∑8_𝑗▒∑8_𝑚▒∑8_𝑇▒(𝑀𝑁_𝑗𝑚𝑇×𝐸𝐹_𝑗𝑚×𝐶_𝑁2𝑂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166687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47</xdr:row>
      <xdr:rowOff>138112</xdr:rowOff>
    </xdr:from>
    <xdr:ext cx="2914836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138112</xdr:rowOff>
    </xdr:from>
    <xdr:ext cx="508177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𝑀𝑁𝑆𝑜𝑖𝑙_𝑠𝑐𝑜𝑝𝑒1=∑8_𝑗▒∑8_𝑚▒∑8_𝑇▒(𝑀𝑁_(𝑗𝑚𝑇=2,3)×(1−𝐸𝐹_(𝑚𝑇=2,3)−𝐹𝑟𝑎𝑐𝐺𝐴𝑆𝑀_(𝑚𝑇=2,3) ))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62</xdr:row>
      <xdr:rowOff>147637</xdr:rowOff>
    </xdr:from>
    <xdr:ext cx="5445080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𝑀𝑁𝑆𝑜𝑖𝑙_𝑠𝑐𝑜𝑝𝑒3=∑8_𝑗▒∑8_𝑚▒∑8_𝑇▒(𝑀𝑁_(𝑗𝑚𝑇=2,3)×(1−𝐸𝐹_(𝑚𝑇=2,3)−𝐹𝑟𝑎𝑐𝐺𝐴𝑆𝑀_(𝑚𝑇=2,3) ))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GAF2-Template-WIP-v30.xlsx" TargetMode="External"/><Relationship Id="rId1" Type="http://schemas.openxmlformats.org/officeDocument/2006/relationships/externalLinkPath" Target="GAF2-Template-WIP-v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- MMS - Feedlot"/>
      <sheetName val="Calcs - CH4 MMS Feedlot"/>
      <sheetName val="Input - MMS - Poultry"/>
      <sheetName val="Calcs - CH4 MMS Poultry"/>
      <sheetName val="Input - Herd - Swine"/>
      <sheetName val="Input - MMS - Swine"/>
      <sheetName val="Calcs - CH4 MMS Swine"/>
      <sheetName val="Tab template"/>
      <sheetName val="Results"/>
      <sheetName val="Input - Site"/>
      <sheetName val="Input - Production"/>
      <sheetName val="Input - Herd - Dairy"/>
      <sheetName val="Input - Feed - Dairy"/>
      <sheetName val="Input - Herd - Feedlot"/>
      <sheetName val="Input - Grains"/>
      <sheetName val="Input - Pasture"/>
      <sheetName val="Input - Fert Lime Chem"/>
      <sheetName val="Input - Fuel &amp; Energy"/>
      <sheetName val="Input - Other Farm Inputs"/>
      <sheetName val="Input - Aquaculture"/>
      <sheetName val="Input - Data Quality"/>
      <sheetName val="Input - LULUCF"/>
      <sheetName val="Calcs - Fert Lime"/>
      <sheetName val="Calcs - Residue mgmt - Crop"/>
      <sheetName val="Calcs - Residue mgmt - Pasture"/>
      <sheetName val="Calcs - Field burning"/>
      <sheetName val="Calcs - Fuel"/>
      <sheetName val="Calcs - Electricity"/>
      <sheetName val="Calcs - Refrigerants"/>
      <sheetName val="Calcs - Scope 3"/>
      <sheetName val="Constants - Common"/>
      <sheetName val="Constants - Cropping"/>
      <sheetName val="Constants - Livestock"/>
      <sheetName val="Constants - Dairy"/>
      <sheetName val="Constants - Feedlot"/>
      <sheetName val="Sty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E7" t="str">
            <v>Milking cows</v>
          </cell>
          <cell r="F7" t="str">
            <v>Heifers &gt; 1 year</v>
          </cell>
          <cell r="G7" t="str">
            <v>Heifers &lt; 1 year</v>
          </cell>
          <cell r="H7" t="str">
            <v>Bulls &gt; 1 year</v>
          </cell>
          <cell r="I7" t="str">
            <v>Bulls &lt; 1 year</v>
          </cell>
        </row>
        <row r="8">
          <cell r="D8" t="str">
            <v>January 2024</v>
          </cell>
          <cell r="E8">
            <v>120</v>
          </cell>
          <cell r="F8">
            <v>75</v>
          </cell>
          <cell r="G8">
            <v>55</v>
          </cell>
          <cell r="H8">
            <v>3</v>
          </cell>
          <cell r="I8">
            <v>3</v>
          </cell>
        </row>
        <row r="9">
          <cell r="D9" t="str">
            <v>February 2024</v>
          </cell>
          <cell r="E9">
            <v>120</v>
          </cell>
          <cell r="F9">
            <v>75</v>
          </cell>
          <cell r="G9">
            <v>55</v>
          </cell>
          <cell r="H9">
            <v>3</v>
          </cell>
          <cell r="I9">
            <v>3</v>
          </cell>
        </row>
        <row r="10">
          <cell r="D10" t="str">
            <v>March 2024</v>
          </cell>
          <cell r="E10">
            <v>120</v>
          </cell>
          <cell r="F10">
            <v>75</v>
          </cell>
          <cell r="G10">
            <v>55</v>
          </cell>
          <cell r="H10">
            <v>3</v>
          </cell>
          <cell r="I10">
            <v>3</v>
          </cell>
        </row>
        <row r="11">
          <cell r="D11" t="str">
            <v>April 2024</v>
          </cell>
          <cell r="E11">
            <v>120</v>
          </cell>
          <cell r="F11">
            <v>75</v>
          </cell>
          <cell r="G11">
            <v>55</v>
          </cell>
          <cell r="H11">
            <v>3</v>
          </cell>
          <cell r="I11">
            <v>3</v>
          </cell>
        </row>
        <row r="12">
          <cell r="D12" t="str">
            <v>May 2024</v>
          </cell>
          <cell r="E12">
            <v>120</v>
          </cell>
          <cell r="F12">
            <v>75</v>
          </cell>
          <cell r="G12">
            <v>55</v>
          </cell>
          <cell r="H12">
            <v>3</v>
          </cell>
          <cell r="I12">
            <v>3</v>
          </cell>
        </row>
        <row r="13">
          <cell r="D13" t="str">
            <v>June 2024</v>
          </cell>
          <cell r="E13">
            <v>120</v>
          </cell>
          <cell r="F13">
            <v>75</v>
          </cell>
          <cell r="G13">
            <v>55</v>
          </cell>
          <cell r="H13">
            <v>3</v>
          </cell>
          <cell r="I13">
            <v>3</v>
          </cell>
        </row>
        <row r="14">
          <cell r="D14" t="str">
            <v>July 2024</v>
          </cell>
          <cell r="E14">
            <v>120</v>
          </cell>
          <cell r="F14">
            <v>75</v>
          </cell>
          <cell r="G14">
            <v>55</v>
          </cell>
          <cell r="H14">
            <v>3</v>
          </cell>
          <cell r="I14">
            <v>3</v>
          </cell>
        </row>
        <row r="15">
          <cell r="D15" t="str">
            <v>August 2024</v>
          </cell>
          <cell r="E15">
            <v>120</v>
          </cell>
          <cell r="F15">
            <v>75</v>
          </cell>
          <cell r="G15">
            <v>55</v>
          </cell>
          <cell r="H15">
            <v>3</v>
          </cell>
          <cell r="I15">
            <v>3</v>
          </cell>
        </row>
        <row r="16">
          <cell r="D16" t="str">
            <v>September 2024</v>
          </cell>
          <cell r="E16">
            <v>120</v>
          </cell>
          <cell r="F16">
            <v>103</v>
          </cell>
          <cell r="G16">
            <v>57.5</v>
          </cell>
          <cell r="H16">
            <v>4.5</v>
          </cell>
          <cell r="I16">
            <v>31.5</v>
          </cell>
        </row>
        <row r="17">
          <cell r="D17" t="str">
            <v>October 2024</v>
          </cell>
          <cell r="E17">
            <v>120</v>
          </cell>
          <cell r="F17">
            <v>130</v>
          </cell>
          <cell r="G17">
            <v>60</v>
          </cell>
          <cell r="H17">
            <v>8</v>
          </cell>
          <cell r="I17">
            <v>60</v>
          </cell>
        </row>
        <row r="18">
          <cell r="D18" t="str">
            <v>November 2024</v>
          </cell>
          <cell r="E18">
            <v>120</v>
          </cell>
          <cell r="F18">
            <v>130</v>
          </cell>
          <cell r="G18">
            <v>60</v>
          </cell>
          <cell r="H18">
            <v>6</v>
          </cell>
          <cell r="I18">
            <v>32.5</v>
          </cell>
        </row>
        <row r="19">
          <cell r="D19" t="str">
            <v>December 2024</v>
          </cell>
          <cell r="E19">
            <v>120</v>
          </cell>
          <cell r="F19">
            <v>130</v>
          </cell>
          <cell r="G19">
            <v>60</v>
          </cell>
          <cell r="H19">
            <v>6</v>
          </cell>
          <cell r="I19">
            <v>5</v>
          </cell>
        </row>
        <row r="24">
          <cell r="E24" t="str">
            <v>Milking cows</v>
          </cell>
          <cell r="F24" t="str">
            <v>Heifers &gt; 1 year</v>
          </cell>
          <cell r="G24" t="str">
            <v>Heifers &lt; 1 year</v>
          </cell>
          <cell r="H24" t="str">
            <v>Bulls &gt; 1 year</v>
          </cell>
          <cell r="I24" t="str">
            <v>Bulls &lt; 1 year</v>
          </cell>
        </row>
        <row r="25">
          <cell r="D25" t="str">
            <v>January 2024</v>
          </cell>
          <cell r="E25">
            <v>510</v>
          </cell>
          <cell r="F25">
            <v>452.16999999999996</v>
          </cell>
          <cell r="G25">
            <v>215.52054794520546</v>
          </cell>
          <cell r="H25">
            <v>500.21232876712327</v>
          </cell>
          <cell r="I25">
            <v>215.94520547945206</v>
          </cell>
        </row>
        <row r="26">
          <cell r="D26" t="str">
            <v>February 2024</v>
          </cell>
          <cell r="E26">
            <v>510</v>
          </cell>
          <cell r="F26">
            <v>456.37</v>
          </cell>
          <cell r="G26">
            <v>226.20547945205479</v>
          </cell>
          <cell r="H26">
            <v>500.6232876712329</v>
          </cell>
          <cell r="I26">
            <v>227.45205479452056</v>
          </cell>
        </row>
        <row r="27">
          <cell r="D27" t="str">
            <v>March 2024</v>
          </cell>
          <cell r="E27">
            <v>510</v>
          </cell>
          <cell r="F27">
            <v>460.56999999999994</v>
          </cell>
          <cell r="G27">
            <v>236.89041095890411</v>
          </cell>
          <cell r="H27">
            <v>501.03424657534254</v>
          </cell>
          <cell r="I27">
            <v>238.95890410958904</v>
          </cell>
        </row>
        <row r="28">
          <cell r="D28" t="str">
            <v>April 2024</v>
          </cell>
          <cell r="E28">
            <v>510</v>
          </cell>
          <cell r="F28">
            <v>464.83999999999992</v>
          </cell>
          <cell r="G28">
            <v>247.75342465753425</v>
          </cell>
          <cell r="H28">
            <v>501.45205479452056</v>
          </cell>
          <cell r="I28">
            <v>250.65753424657532</v>
          </cell>
        </row>
        <row r="29">
          <cell r="D29" t="str">
            <v>May 2024</v>
          </cell>
          <cell r="E29">
            <v>510</v>
          </cell>
          <cell r="F29">
            <v>469.1099999999999</v>
          </cell>
          <cell r="G29">
            <v>258.61643835616439</v>
          </cell>
          <cell r="H29">
            <v>501.8698630136987</v>
          </cell>
          <cell r="I29">
            <v>262.35616438356163</v>
          </cell>
        </row>
        <row r="30">
          <cell r="D30" t="str">
            <v>June 2024</v>
          </cell>
          <cell r="E30">
            <v>510</v>
          </cell>
          <cell r="F30">
            <v>473.37999999999988</v>
          </cell>
          <cell r="G30">
            <v>269.47945205479448</v>
          </cell>
          <cell r="H30">
            <v>502.28767123287673</v>
          </cell>
          <cell r="I30">
            <v>274.05479452054794</v>
          </cell>
        </row>
        <row r="31">
          <cell r="D31" t="str">
            <v>July 2024</v>
          </cell>
          <cell r="E31">
            <v>510</v>
          </cell>
          <cell r="F31">
            <v>477.64999999999986</v>
          </cell>
          <cell r="G31">
            <v>280.34246575342462</v>
          </cell>
          <cell r="H31">
            <v>502.70547945205487</v>
          </cell>
          <cell r="I31">
            <v>285.75342465753425</v>
          </cell>
        </row>
        <row r="32">
          <cell r="D32" t="str">
            <v>August 2024</v>
          </cell>
          <cell r="E32">
            <v>510</v>
          </cell>
          <cell r="F32">
            <v>481.9899999999999</v>
          </cell>
          <cell r="G32">
            <v>291.38356164383555</v>
          </cell>
          <cell r="H32">
            <v>503.13013698630141</v>
          </cell>
          <cell r="I32">
            <v>297.64383561643837</v>
          </cell>
        </row>
        <row r="33">
          <cell r="D33" t="str">
            <v>September 2024</v>
          </cell>
          <cell r="E33">
            <v>510</v>
          </cell>
          <cell r="F33">
            <v>455.29076923076911</v>
          </cell>
          <cell r="G33">
            <v>201.945205479452</v>
          </cell>
          <cell r="H33">
            <v>465.15753424657544</v>
          </cell>
          <cell r="I33">
            <v>205.47945205479454</v>
          </cell>
        </row>
        <row r="34">
          <cell r="D34" t="str">
            <v>October 2024</v>
          </cell>
          <cell r="E34">
            <v>510</v>
          </cell>
          <cell r="F34">
            <v>428.59153846153833</v>
          </cell>
          <cell r="G34">
            <v>112.50684931506849</v>
          </cell>
          <cell r="H34">
            <v>427.18493150684935</v>
          </cell>
          <cell r="I34">
            <v>113.31506849315069</v>
          </cell>
        </row>
        <row r="35">
          <cell r="D35" t="str">
            <v>November 2024</v>
          </cell>
          <cell r="E35">
            <v>510</v>
          </cell>
          <cell r="F35">
            <v>432.86153846153832</v>
          </cell>
          <cell r="G35">
            <v>123.36986301369863</v>
          </cell>
          <cell r="H35">
            <v>427.60273972602749</v>
          </cell>
          <cell r="I35">
            <v>125.01369863013699</v>
          </cell>
        </row>
        <row r="36">
          <cell r="D36" t="str">
            <v>December 2024</v>
          </cell>
          <cell r="E36">
            <v>510</v>
          </cell>
          <cell r="F36">
            <v>437.1315384615383</v>
          </cell>
          <cell r="G36">
            <v>134.23287671232879</v>
          </cell>
          <cell r="H36">
            <v>428.02054794520552</v>
          </cell>
          <cell r="I36">
            <v>136.7123287671233</v>
          </cell>
        </row>
        <row r="41">
          <cell r="E41" t="str">
            <v>Milking cows</v>
          </cell>
          <cell r="F41" t="str">
            <v>Heifers &gt; 1 year</v>
          </cell>
          <cell r="G41" t="str">
            <v>Heifers &lt; 1 year</v>
          </cell>
          <cell r="H41" t="str">
            <v>Bulls &gt; 1 year</v>
          </cell>
          <cell r="I41" t="str">
            <v>Bulls &lt; 1 year</v>
          </cell>
        </row>
        <row r="42">
          <cell r="D42" t="str">
            <v>January 2024</v>
          </cell>
          <cell r="E42">
            <v>0</v>
          </cell>
          <cell r="F42">
            <v>0.14000000000000001</v>
          </cell>
          <cell r="G42">
            <v>0.35616438356164382</v>
          </cell>
          <cell r="H42">
            <v>1.3698630136986301E-2</v>
          </cell>
          <cell r="I42">
            <v>0.38356164383561642</v>
          </cell>
        </row>
        <row r="43">
          <cell r="D43" t="str">
            <v>February 2024</v>
          </cell>
          <cell r="E43">
            <v>0</v>
          </cell>
          <cell r="F43">
            <v>0.14000000000000001</v>
          </cell>
          <cell r="G43">
            <v>0.35616438356164382</v>
          </cell>
          <cell r="H43">
            <v>1.3698630136986301E-2</v>
          </cell>
          <cell r="I43">
            <v>0.38356164383561642</v>
          </cell>
        </row>
        <row r="44">
          <cell r="D44" t="str">
            <v>March 2024</v>
          </cell>
          <cell r="E44">
            <v>0</v>
          </cell>
          <cell r="F44">
            <v>0.14000000000000001</v>
          </cell>
          <cell r="G44">
            <v>0.35616438356164382</v>
          </cell>
          <cell r="H44">
            <v>1.3698630136986301E-2</v>
          </cell>
          <cell r="I44">
            <v>0.38356164383561642</v>
          </cell>
        </row>
        <row r="45">
          <cell r="D45" t="str">
            <v>April 2024</v>
          </cell>
          <cell r="E45">
            <v>0</v>
          </cell>
          <cell r="F45">
            <v>0.14000000000000001</v>
          </cell>
          <cell r="G45">
            <v>0.35616438356164382</v>
          </cell>
          <cell r="H45">
            <v>1.3698630136986301E-2</v>
          </cell>
          <cell r="I45">
            <v>0.38356164383561642</v>
          </cell>
        </row>
        <row r="46">
          <cell r="D46" t="str">
            <v>May 2024</v>
          </cell>
          <cell r="E46">
            <v>0</v>
          </cell>
          <cell r="F46">
            <v>0.14000000000000001</v>
          </cell>
          <cell r="G46">
            <v>0.35616438356164382</v>
          </cell>
          <cell r="H46">
            <v>1.3698630136986301E-2</v>
          </cell>
          <cell r="I46">
            <v>0.38356164383561642</v>
          </cell>
        </row>
        <row r="47">
          <cell r="D47" t="str">
            <v>June 2024</v>
          </cell>
          <cell r="E47">
            <v>0</v>
          </cell>
          <cell r="F47">
            <v>0.14000000000000001</v>
          </cell>
          <cell r="G47">
            <v>0.35616438356164382</v>
          </cell>
          <cell r="H47">
            <v>1.3698630136986301E-2</v>
          </cell>
          <cell r="I47">
            <v>0.38356164383561642</v>
          </cell>
        </row>
        <row r="48">
          <cell r="D48" t="str">
            <v>July 2024</v>
          </cell>
          <cell r="E48">
            <v>0</v>
          </cell>
          <cell r="F48">
            <v>0.14000000000000001</v>
          </cell>
          <cell r="G48">
            <v>0.35616438356164382</v>
          </cell>
          <cell r="H48">
            <v>1.3698630136986301E-2</v>
          </cell>
          <cell r="I48">
            <v>0.38356164383561642</v>
          </cell>
        </row>
        <row r="49">
          <cell r="D49" t="str">
            <v>August 2024</v>
          </cell>
          <cell r="E49">
            <v>0</v>
          </cell>
          <cell r="F49">
            <v>0.14000000000000001</v>
          </cell>
          <cell r="G49">
            <v>0.35616438356164382</v>
          </cell>
          <cell r="H49">
            <v>1.3698630136986301E-2</v>
          </cell>
          <cell r="I49">
            <v>0.38356164383561642</v>
          </cell>
        </row>
        <row r="50">
          <cell r="D50" t="str">
            <v>September 2024</v>
          </cell>
          <cell r="E50">
            <v>0</v>
          </cell>
          <cell r="F50">
            <v>0.14000000000000001</v>
          </cell>
          <cell r="G50">
            <v>0.35616438356164382</v>
          </cell>
          <cell r="H50">
            <v>1.3698630136986301E-2</v>
          </cell>
          <cell r="I50">
            <v>0.38356164383561642</v>
          </cell>
        </row>
        <row r="51">
          <cell r="D51" t="str">
            <v>October 2024</v>
          </cell>
          <cell r="E51">
            <v>0</v>
          </cell>
          <cell r="F51">
            <v>0.14000000000000001</v>
          </cell>
          <cell r="G51">
            <v>0.35616438356164382</v>
          </cell>
          <cell r="H51">
            <v>1.3698630136986301E-2</v>
          </cell>
          <cell r="I51">
            <v>0.38356164383561642</v>
          </cell>
        </row>
        <row r="52">
          <cell r="D52" t="str">
            <v>November 2024</v>
          </cell>
          <cell r="E52">
            <v>0</v>
          </cell>
          <cell r="F52">
            <v>0.14000000000000001</v>
          </cell>
          <cell r="G52">
            <v>0.35616438356164382</v>
          </cell>
          <cell r="H52">
            <v>1.3698630136986301E-2</v>
          </cell>
          <cell r="I52">
            <v>0.38356164383561642</v>
          </cell>
        </row>
        <row r="53">
          <cell r="D53" t="str">
            <v>December 2024</v>
          </cell>
          <cell r="E53">
            <v>0</v>
          </cell>
          <cell r="F53">
            <v>0.14000000000000001</v>
          </cell>
          <cell r="G53">
            <v>0.35616438356164382</v>
          </cell>
          <cell r="H53">
            <v>1.3698630136986301E-2</v>
          </cell>
          <cell r="I53">
            <v>0.38356164383561642</v>
          </cell>
        </row>
        <row r="58">
          <cell r="E58" t="str">
            <v>Milking cows</v>
          </cell>
        </row>
        <row r="59">
          <cell r="D59" t="str">
            <v>January 2024</v>
          </cell>
          <cell r="E59">
            <v>0</v>
          </cell>
        </row>
        <row r="60">
          <cell r="D60" t="str">
            <v>February 2024</v>
          </cell>
          <cell r="E60">
            <v>0</v>
          </cell>
        </row>
        <row r="61">
          <cell r="D61" t="str">
            <v>March 2024</v>
          </cell>
          <cell r="E61">
            <v>0</v>
          </cell>
        </row>
        <row r="62">
          <cell r="D62" t="str">
            <v>April 2024</v>
          </cell>
          <cell r="E62">
            <v>0</v>
          </cell>
        </row>
        <row r="63">
          <cell r="D63" t="str">
            <v>May 2024</v>
          </cell>
          <cell r="E63">
            <v>0</v>
          </cell>
        </row>
        <row r="64">
          <cell r="D64" t="str">
            <v>June 2024</v>
          </cell>
          <cell r="E64">
            <v>0</v>
          </cell>
        </row>
        <row r="65">
          <cell r="D65" t="str">
            <v>July 2024</v>
          </cell>
          <cell r="E65">
            <v>0</v>
          </cell>
        </row>
        <row r="66">
          <cell r="D66" t="str">
            <v>August 2024</v>
          </cell>
          <cell r="E66">
            <v>0</v>
          </cell>
        </row>
        <row r="67">
          <cell r="D67" t="str">
            <v>September 2024</v>
          </cell>
          <cell r="E67">
            <v>1</v>
          </cell>
        </row>
        <row r="68">
          <cell r="D68" t="str">
            <v>October 2024</v>
          </cell>
          <cell r="E68">
            <v>0</v>
          </cell>
        </row>
        <row r="69">
          <cell r="D69" t="str">
            <v>November 2024</v>
          </cell>
          <cell r="E69">
            <v>0</v>
          </cell>
        </row>
        <row r="70">
          <cell r="D70" t="str">
            <v>December 2024</v>
          </cell>
          <cell r="E70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Dairy_MMS" displayName="Table_SourceData_Dairy_MMS" ref="D7:E11" totalsRowShown="0">
  <autoFilter ref="D7:E11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23" dataCellStyle="Content normal"/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Dairy_CropProdSystems" displayName="Table_SourceData_Dairy_CropProdSystems" ref="G7:G9" totalsRowShown="0">
  <autoFilter ref="G7:G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Dairy_IrrigationMethods" displayName="Table_SourceData_Dairy_IrrigationMethods" ref="J7:J12" totalsRowShown="0">
  <autoFilter ref="J7:J1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7AC8BB-7677-48EA-BDB5-2C0BC5B0F947}" name="Table_SourceData_Dairy_WjCowsHeifers" displayName="Table_SourceData_Dairy_WjCowsHeifers" ref="D21:G31" totalsRowShown="0">
  <autoFilter ref="D21:G31" xr:uid="{967AC8BB-7677-48EA-BDB5-2C0BC5B0F947}">
    <filterColumn colId="0" hiddenButton="1"/>
    <filterColumn colId="1" hiddenButton="1"/>
    <filterColumn colId="2" hiddenButton="1"/>
    <filterColumn colId="3" hiddenButton="1"/>
  </autoFilter>
  <tableColumns count="4">
    <tableColumn id="1" xr3:uid="{CAC4C566-E7DF-44B3-BDB4-4B1785D5F9F0}" name="Breed">
      <calculatedColumnFormula array="1">Common_InputFunctions.Utility_DisplayArrayInTable(SourceData_Dairy.SourceData_Dairy_LiveweightCowsAndHeifers_Data(), Table_SourceData_Dairy_WjCowsHeifers[[#Headers],[Breed]], 0)</calculatedColumnFormula>
    </tableColumn>
    <tableColumn id="2" xr3:uid="{4C5541D8-40C3-436A-815B-7A3D9D154BB6}" name="Milking cows" dataDxfId="59" dataCellStyle="Content normal">
      <calculatedColumnFormula array="1">Common_InputFunctions.Utility_DisplayArrayInTable(SourceData_Dairy.SourceData_Dairy_LiveweightCowsAndHeifers_Data(), Table_SourceData_Dairy_WjCowsHeifers[[#Headers],[Breed]], 0)</calculatedColumnFormula>
    </tableColumn>
    <tableColumn id="3" xr3:uid="{A8A468F3-E260-4E60-AC14-8F50FD33B46B}" name="Heifers &gt; 1" dataDxfId="58" dataCellStyle="Content normal">
      <calculatedColumnFormula array="1">Common_InputFunctions.Utility_DisplayArrayInTable(SourceData_Dairy.SourceData_Dairy_LiveweightCowsAndHeifers_Data(), Table_SourceData_Dairy_WjCowsHeifers[[#Headers],[Breed]], 0)</calculatedColumnFormula>
    </tableColumn>
    <tableColumn id="4" xr3:uid="{2081FE2E-69DF-48BF-9561-91AC655332BC}" name="Heifers &lt; 1 (weaned)" dataDxfId="57" dataCellStyle="Content normal">
      <calculatedColumnFormula array="1">Common_InputFunctions.Utility_DisplayArrayInTable(SourceData_Dairy.SourceData_Dairy_LiveweightCowsAndHeifers_Data(), Table_SourceData_Dairy_WjCowsHeifers[[#Headers],[Breed]],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7576A8-349F-4CC0-92AE-D91A1F2F1417}" name="Table_SourceData_Dairy_WjBulls" displayName="Table_SourceData_Dairy_WjBulls" ref="D38:F39" totalsRowShown="0">
  <autoFilter ref="D38:F39" xr:uid="{AF7576A8-349F-4CC0-92AE-D91A1F2F1417}">
    <filterColumn colId="0" hiddenButton="1"/>
    <filterColumn colId="1" hiddenButton="1"/>
    <filterColumn colId="2" hiddenButton="1"/>
  </autoFilter>
  <tableColumns count="3">
    <tableColumn id="1" xr3:uid="{40374F5E-9BC3-4080-A28F-8B1F65DE1774}" name="Breed">
      <calculatedColumnFormula array="1">Common_InputFunctions.Utility_DisplayArrayInTable(SourceData_Dairy.SourceData_Dairy_LiveweightBulls_Data(), Table_SourceData_Dairy_WjBulls[[#Headers],[Breed]], 0)</calculatedColumnFormula>
    </tableColumn>
    <tableColumn id="2" xr3:uid="{C20ABB8A-524B-457C-86CD-D1ADCBCD6339}" name="Bulls &gt; 1" dataDxfId="56" dataCellStyle="Content normal">
      <calculatedColumnFormula array="1">Common_InputFunctions.Utility_DisplayArrayInTable(SourceData_Dairy.SourceData_Dairy_LiveweightBulls_Data(), Table_SourceData_Dairy_WjBulls[[#Headers],[Breed]], 0)</calculatedColumnFormula>
    </tableColumn>
    <tableColumn id="3" xr3:uid="{7E843FE2-40FC-4270-88C9-9204E6D4AFBC}" name="Bulls &lt; 1 (weaned)" dataDxfId="55" dataCellStyle="Content normal">
      <calculatedColumnFormula array="1">Common_InputFunctions.Utility_DisplayArrayInTable(SourceData_Dairy.SourceData_Dairy_LiveweightBulls_Data(), Table_SourceData_Dairy_WjBulls[[#Headers],[Breed]],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CFB773-B7EE-42F8-AC7C-31621B260645}" name="Table_SourceData_Dairy_LWGj" displayName="Table_SourceData_Dairy_LWGj" ref="D46:H47" totalsRowShown="0">
  <autoFilter ref="D46:H47" xr:uid="{8FCFB773-B7EE-42F8-AC7C-31621B2606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9C0AC05-6C13-494A-8124-C36C4B6D01B6}" name="Milking cows">
      <calculatedColumnFormula array="1">Common_InputFunctions.Utility_DisplayArrayInTable(SourceData_Dairy.SourceData_Dairy_LiveweightGain_Data(), Table_SourceData_Dairy_LWGj[[#Headers],[Milking cows]], 0)</calculatedColumnFormula>
    </tableColumn>
    <tableColumn id="2" xr3:uid="{6F9B3B56-C4EB-4BB7-8805-05635494D786}" name="Heifers &gt; 1" dataDxfId="54" dataCellStyle="Content normal">
      <calculatedColumnFormula array="1">Common_InputFunctions.Utility_DisplayArrayInTable(SourceData_Dairy.SourceData_Dairy_LiveweightGain_Data(), Table_SourceData_Dairy_LWGj[[#Headers],[Milking cows]], 0)</calculatedColumnFormula>
    </tableColumn>
    <tableColumn id="3" xr3:uid="{9CCB5E7F-697E-47C8-A2FC-07B0CCA18EF6}" name="Heifers &lt; 1 (weaned)" dataDxfId="53" dataCellStyle="Content normal">
      <calculatedColumnFormula array="1">Common_InputFunctions.Utility_DisplayArrayInTable(SourceData_Dairy.SourceData_Dairy_LiveweightGain_Data(), Table_SourceData_Dairy_LWGj[[#Headers],[Milking cows]], 0)</calculatedColumnFormula>
    </tableColumn>
    <tableColumn id="4" xr3:uid="{E2F3229F-1A83-4902-9C97-123E692B43D6}" name="Bulls &gt; 1" dataDxfId="52" dataCellStyle="Content normal">
      <calculatedColumnFormula array="1">Common_InputFunctions.Utility_DisplayArrayInTable(SourceData_Dairy.SourceData_Dairy_LiveweightGain_Data(), Table_SourceData_Dairy_LWGj[[#Headers],[Milking cows]], 0)</calculatedColumnFormula>
    </tableColumn>
    <tableColumn id="5" xr3:uid="{409BDD9D-D084-43BF-B34D-A29B0DFF00E7}" name="Bulls &lt; 1 (weaned)" dataDxfId="51" dataCellStyle="Content normal">
      <calculatedColumnFormula array="1">Common_InputFunctions.Utility_DisplayArrayInTable(SourceData_Dairy.SourceData_Dairy_LiveweightGain_Data(), Table_SourceData_Dairy_LWGj[[#Headers],[Milking cows]],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6C6784-8B86-412A-92D3-E911DE28757C}" name="Table_SourceData_Dairy_WRj" displayName="Table_SourceData_Dairy_WRj" ref="D54:H55" totalsRowShown="0" headerRowDxfId="50" headerRowCellStyle="Content normal" dataCellStyle="Content normal">
  <autoFilter ref="D54:H55" xr:uid="{296C6784-8B86-412A-92D3-E911DE28757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AC95D93-D298-4573-B050-1788F492B878}" name="Milking cows" dataCellStyle="Content normal">
      <calculatedColumnFormula array="1">Common_InputFunctions.Utility_DisplayArrayInTable(SourceData_Dairy.SourceData_Dairy_ReferenceWeights_Data(), Table_SourceData_Dairy_WRj[[#Headers],[Milking cows]], 0)</calculatedColumnFormula>
    </tableColumn>
    <tableColumn id="2" xr3:uid="{991629E4-B0F0-475C-93F7-4A12ED668A18}" name="Heifers &gt; 1" dataCellStyle="Content normal">
      <calculatedColumnFormula array="1">Common_InputFunctions.Utility_DisplayArrayInTable(SourceData_Dairy.SourceData_Dairy_ReferenceWeights_Data(), Table_SourceData_Dairy_WRj[[#Headers],[Milking cows]], 0)</calculatedColumnFormula>
    </tableColumn>
    <tableColumn id="3" xr3:uid="{6C94EF39-6711-4487-81B0-B42EDB4594D8}" name="Heifers &lt; 1 (weaned)" dataCellStyle="Content normal">
      <calculatedColumnFormula array="1">Common_InputFunctions.Utility_DisplayArrayInTable(SourceData_Dairy.SourceData_Dairy_ReferenceWeights_Data(), Table_SourceData_Dairy_WRj[[#Headers],[Milking cows]], 0)</calculatedColumnFormula>
    </tableColumn>
    <tableColumn id="4" xr3:uid="{C3DD81A6-AACD-494F-AF05-233BBF18C20E}" name="Bulls &gt; 1" dataCellStyle="Content normal">
      <calculatedColumnFormula array="1">Common_InputFunctions.Utility_DisplayArrayInTable(SourceData_Dairy.SourceData_Dairy_ReferenceWeights_Data(), Table_SourceData_Dairy_WRj[[#Headers],[Milking cows]], 0)</calculatedColumnFormula>
    </tableColumn>
    <tableColumn id="5" xr3:uid="{094C9E2A-1500-4255-BA17-5A613FBA8EBC}" name="Bulls &lt; 1 (weaned)" dataCellStyle="Content normal">
      <calculatedColumnFormula array="1">Common_InputFunctions.Utility_DisplayArrayInTable(SourceData_Dairy.SourceData_Dairy_ReferenceWeights_Data(), Table_SourceData_Dairy_WRj[[#Headers],[Milking cows]],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BB314-DB2C-4CA2-BAA9-E66557777E59}" name="Table_SourceData_Dairy_DataPreWeaned" displayName="Table_SourceData_Dairy_DataPreWeaned" ref="D62:G64" totalsRowShown="0" dataDxfId="45" dataCellStyle="Content normal">
  <autoFilter ref="D62:G64" xr:uid="{968BB314-DB2C-4CA2-BAA9-E66557777E59}">
    <filterColumn colId="0" hiddenButton="1"/>
    <filterColumn colId="1" hiddenButton="1"/>
    <filterColumn colId="2" hiddenButton="1"/>
    <filterColumn colId="3" hiddenButton="1"/>
  </autoFilter>
  <tableColumns count="4">
    <tableColumn id="1" xr3:uid="{598A8529-B449-4014-BE34-ECB667ED42D5}" name="Animal class j" dataDxfId="49" dataCellStyle="Content normal">
      <calculatedColumnFormula array="1">Common_InputFunctions.Utility_DisplayArrayInTable(SourceData_Dairy.SourceData_Dairy_PreWeanedCalves_Data(), Table_SourceData_Dairy_DataPreWeaned[[#Headers],[Animal class j]], 0)</calculatedColumnFormula>
    </tableColumn>
    <tableColumn id="2" xr3:uid="{5C0E8AAB-9E7B-4D2E-B948-D2A0CC665284}" name="CH4 production" dataDxfId="48" dataCellStyle="Content normal">
      <calculatedColumnFormula array="1">Common_InputFunctions.Utility_DisplayArrayInTable(SourceData_Dairy.SourceData_Dairy_PreWeanedCalves_Data(), Table_SourceData_Dairy_DataPreWeaned[[#Headers],[Animal class j]], 0)</calculatedColumnFormula>
    </tableColumn>
    <tableColumn id="3" xr3:uid="{945A18DE-556C-4BC4-A6F6-B0601941462E}" name="Volatile solids (VSj=3,5)" dataDxfId="47" dataCellStyle="Content normal">
      <calculatedColumnFormula array="1">Common_InputFunctions.Utility_DisplayArrayInTable(SourceData_Dairy.SourceData_Dairy_PreWeanedCalves_Data(), Table_SourceData_Dairy_DataPreWeaned[[#Headers],[Animal class j]], 0)</calculatedColumnFormula>
    </tableColumn>
    <tableColumn id="4" xr3:uid="{8FC08B28-B758-4413-861D-9585CC484979}" name="Nitrogen Excreted (NPWj=3,5)" dataDxfId="46" dataCellStyle="Content normal">
      <calculatedColumnFormula array="1">Common_InputFunctions.Utility_DisplayArrayInTable(SourceData_Dairy.SourceData_Dairy_PreWeanedCalves_Data(), Table_SourceData_Dairy_DataPreWeaned[[#Headers],[Animal class j]],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FB1D80F-8BB0-4A20-AF5A-A288BBED76EB}" name="Table_SourceData_Dairy_MCFjm" displayName="Table_SourceData_Dairy_MCFjm" ref="D72:M78" totalsRowShown="0">
  <autoFilter ref="D72:M78" xr:uid="{AFB1D80F-8BB0-4A20-AF5A-A288BBED76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54F6170-CD83-454D-874A-2A78490F2BD1}" name="MMS m">
      <calculatedColumnFormula array="1">Common_InputFunctions.Utility_DisplayArrayInTable(SourceData_Dairy.SourceData_Dairy_MCF_Data(), Table_SourceData_Dairy_MCFjm[[#Headers],[MMS m]], 0)</calculatedColumnFormula>
    </tableColumn>
    <tableColumn id="2" xr3:uid="{B29E40EC-DE00-4962-8467-1C7A786C3DE4}" name="ACT" dataDxfId="44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3" xr3:uid="{1ABF48E7-6948-4398-A069-F461406208B9}" name="NSW" dataDxfId="43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4" xr3:uid="{A3DDB858-97C5-4EC8-955B-D48536431CC8}" name="NT" dataDxfId="42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5" xr3:uid="{64B146B6-1E4C-4E4E-A22B-B3F33B7F2C8D}" name="QLD" dataDxfId="41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6" xr3:uid="{4AC061FD-3D5D-4347-80B4-437EEDDA407C}" name="SA" dataDxfId="40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7" xr3:uid="{58DE1EF2-ABA1-4507-A5A2-10DBB72C5360}" name="TAS" dataDxfId="39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8" xr3:uid="{BA557B69-47EC-4B41-B9CC-12F16489EFF2}" name="VIC" dataDxfId="38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9" xr3:uid="{1830500E-FEC6-4240-A1B1-EB7C6052507D}" name="WA" dataDxfId="37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10" xr3:uid="{32D3BCE1-C338-4B12-B792-DFD9C2DF0EAC}" name="NIR reference" dataDxfId="28" dataCellStyle="Content normal">
      <calculatedColumnFormula array="1">Common_InputFunctions.Utility_DisplayArrayInTable(SourceData_Dairy.SourceData_Dairy_MCF_Data(), Table_SourceData_Dairy_MCFjm[[#Headers],[MMS m]],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A92AE0-614A-46D8-9E98-33BA2B8E3C1D}" name="Table_SourceData_Dairy_EFmFracGASM" displayName="Table_SourceData_Dairy_EFmFracGASM" ref="D86:G91" totalsRowShown="0">
  <autoFilter ref="D86:G91" xr:uid="{9FA92AE0-614A-46D8-9E98-33BA2B8E3C1D}">
    <filterColumn colId="0" hiddenButton="1"/>
    <filterColumn colId="1" hiddenButton="1"/>
    <filterColumn colId="2" hiddenButton="1"/>
    <filterColumn colId="3" hiddenButton="1"/>
  </autoFilter>
  <tableColumns count="4">
    <tableColumn id="1" xr3:uid="{8ACEF380-8A1A-411E-A23A-665A769E20C7}" name="MMS m">
      <calculatedColumnFormula array="1">Common_InputFunctions.Utility_DisplayArrayInTable(SourceData_Dairy.SourceData_Dairy_NitrousOxideEFsAndFracGASM_Data(), Table_SourceData_Dairy_EFmFracGASM[[#Headers],[MMS m]], 0)</calculatedColumnFormula>
    </tableColumn>
    <tableColumn id="2" xr3:uid="{1898B440-928B-49CE-BE96-215FD9903B4D}" name="EFm" dataDxfId="36" dataCellStyle="Content normal">
      <calculatedColumnFormula array="1">Common_InputFunctions.Utility_DisplayArrayInTable(SourceData_Dairy.SourceData_Dairy_NitrousOxideEFsAndFracGASM_Data(), Table_SourceData_Dairy_EFmFracGASM[[#Headers],[MMS m]], 0)</calculatedColumnFormula>
    </tableColumn>
    <tableColumn id="3" xr3:uid="{E38469E4-0572-4872-BE43-36C7BBE75007}" name="FracGASMm" dataDxfId="35" dataCellStyle="Content normal">
      <calculatedColumnFormula array="1">Common_InputFunctions.Utility_DisplayArrayInTable(SourceData_Dairy.SourceData_Dairy_NitrousOxideEFsAndFracGASM_Data(), Table_SourceData_Dairy_EFmFracGASM[[#Headers],[MMS m]], 0)</calculatedColumnFormula>
    </tableColumn>
    <tableColumn id="4" xr3:uid="{2136786A-A3D3-4E62-B5A7-46AAC51855AD}" name="NIR reference" dataDxfId="29" dataCellStyle="Content normal">
      <calculatedColumnFormula array="1">Common_InputFunctions.Utility_DisplayArrayInTable(SourceData_Dairy.SourceData_Dairy_NitrousOxideEFsAndFracGASM_Data(), Table_SourceData_Dairy_EFmFracGASM[[#Headers],[MMS m]],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6563E6-CB80-4A05-BFA1-062176052592}" name="Table_SourceData_Dairy_MPWENTERIC" displayName="Table_SourceData_Dairy_MPWENTERIC" ref="D98:E100" totalsRowShown="0">
  <autoFilter ref="D98:E100" xr:uid="{486563E6-CB80-4A05-BFA1-062176052592}">
    <filterColumn colId="0" hiddenButton="1"/>
    <filterColumn colId="1" hiddenButton="1"/>
  </autoFilter>
  <tableColumns count="2">
    <tableColumn id="1" xr3:uid="{34872B36-E9B0-443E-A8EC-EC35C2572085}" name="Animal class j">
      <calculatedColumnFormula array="1">Common_InputFunctions.Utility_DisplayArrayInTable(SourceData_Dairy.SourceData_Dairy_MethaneProductionPreWeanedCalves_Data(), Table_SourceData_Dairy_MPWENTERIC[[#Headers],[Animal class j]], 0)</calculatedColumnFormula>
    </tableColumn>
    <tableColumn id="2" xr3:uid="{5BF46DC3-A57C-4E83-B386-D48BB1DB64E1}" name="MPW ENTERIC" dataDxfId="34" dataCellStyle="Content normal">
      <calculatedColumnFormula array="1">Common_InputFunctions.Utility_DisplayArrayInTable(SourceData_Dairy.SourceData_Dairy_MethaneProductionPreWeanedCalves_Data(), Table_SourceData_Dairy_MPWENTERIC[[#Headers],[Animal class j]],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28AB58-EB72-448B-B56E-C8B9764D38F9}" name="Table_SourceData_Dairy_MRj" displayName="Table_SourceData_Dairy_MRj" ref="D107:E109" totalsRowShown="0">
  <autoFilter ref="D107:E109" xr:uid="{2C28AB58-EB72-448B-B56E-C8B9764D38F9}">
    <filterColumn colId="0" hiddenButton="1"/>
    <filterColumn colId="1" hiddenButton="1"/>
  </autoFilter>
  <tableColumns count="2">
    <tableColumn id="1" xr3:uid="{B2383F7B-29D1-4559-9E34-4E2C127CFB5C}" name="Animal class j">
      <calculatedColumnFormula array="1">Common_InputFunctions.Utility_DisplayArrayInTable(SourceData_Dairy.SourceData_Dairy_IncreasedMetabolicRateMilk_Data(), Table_SourceData_Dairy_MRj[[#Headers],[Animal class j]], 0)</calculatedColumnFormula>
    </tableColumn>
    <tableColumn id="2" xr3:uid="{D1C6DB76-173B-4192-987A-A32F6D0D0E1A}" name="MRj" dataDxfId="33" dataCellStyle="Content normal">
      <calculatedColumnFormula array="1">Common_InputFunctions.Utility_DisplayArrayInTable(SourceData_Dairy.SourceData_Dairy_IncreasedMetabolicRateMilk_Data(), Table_SourceData_Dairy_MRj[[#Headers],[Animal class j]],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FB5F0D9-A87E-4E79-A32C-4BDDD47665B0}" name="Table_SourceData_Dairy_ProductionSystemTemplates" displayName="Table_SourceData_Dairy_ProductionSystemTemplates" ref="D116:G120" totalsRowShown="0">
  <autoFilter ref="D116:G120" xr:uid="{1FB5F0D9-A87E-4E79-A32C-4BDDD47665B0}">
    <filterColumn colId="0" hiddenButton="1"/>
    <filterColumn colId="1" hiddenButton="1"/>
    <filterColumn colId="2" hiddenButton="1"/>
    <filterColumn colId="3" hiddenButton="1"/>
  </autoFilter>
  <tableColumns count="4">
    <tableColumn id="1" xr3:uid="{A4A196FD-DBDB-46C0-83CE-7C77F2C477B3}" name="Area">
      <calculatedColumnFormula array="1">Common_InputFunctions.Utility_DisplayArrayInTable(SourceData_Dairy.SourceData_Dairy_FractionVolatileSolidsVoidedMMS_Data(), Table_SourceData_Dairy_ProductionSystemTemplates[[#Headers],[Area]], 0)</calculatedColumnFormula>
    </tableColumn>
    <tableColumn id="2" xr3:uid="{53A25CAD-C5FE-4619-A71E-7D4EE15E4A88}" name="Pasture" dataDxfId="32" dataCellStyle="Content normal">
      <calculatedColumnFormula array="1">Common_InputFunctions.Utility_DisplayArrayInTable(SourceData_Dairy.SourceData_Dairy_FractionVolatileSolidsVoidedMMS_Data(), Table_SourceData_Dairy_ProductionSystemTemplates[[#Headers],[Area]], 0)</calculatedColumnFormula>
    </tableColumn>
    <tableColumn id="3" xr3:uid="{9DFD752F-089A-45B1-A1B3-329B65BC5650}" name="Milking shed" dataDxfId="31" dataCellStyle="Content normal">
      <calculatedColumnFormula array="1">Common_InputFunctions.Utility_DisplayArrayInTable(SourceData_Dairy.SourceData_Dairy_FractionVolatileSolidsVoidedMMS_Data(), Table_SourceData_Dairy_ProductionSystemTemplates[[#Headers],[Area]], 0)</calculatedColumnFormula>
    </tableColumn>
    <tableColumn id="4" xr3:uid="{37872FA9-DEFB-4D6F-848C-F92D7B048A75}" name="Feedpad" dataDxfId="30" dataCellStyle="Content normal">
      <calculatedColumnFormula array="1">Common_InputFunctions.Utility_DisplayArrayInTable(SourceData_Dairy.SourceData_Dairy_FractionVolatileSolidsVoidedMMS_Data(), Table_SourceData_Dairy_ProductionSystemTemplates[[#Headers],[Area]],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FB5B8DA-9F8D-4436-A441-EA112190025D}" name="Table_SourceData_Dairy_EFm" displayName="Table_SourceData_Dairy_EFm" ref="D128:F133" totalsRowShown="0">
  <autoFilter ref="D128:F133" xr:uid="{9FB5B8DA-9F8D-4436-A441-EA112190025D}">
    <filterColumn colId="0" hiddenButton="1"/>
    <filterColumn colId="1" hiddenButton="1"/>
    <filterColumn colId="2" hiddenButton="1"/>
  </autoFilter>
  <tableColumns count="3">
    <tableColumn id="1" xr3:uid="{D85FDEBC-2FC0-45F1-BCD6-4464E2C22E94}" name="MMS m">
      <calculatedColumnFormula array="1">Common_InputFunctions.Utility_DisplayArrayInTable(SourceData_Dairy.SourceData_Dairy_EFNitrousOxidePerMMS_Data(), Table_SourceData_Dairy_EFm[[#Headers],[MMS m]], 0)</calculatedColumnFormula>
    </tableColumn>
    <tableColumn id="2" xr3:uid="{A21A17E4-5CBE-457C-83F6-E66794AB20C1}" name="EFm" dataDxfId="25" dataCellStyle="Content normal">
      <calculatedColumnFormula array="1">Common_InputFunctions.Utility_DisplayArrayInTable(SourceData_Dairy.SourceData_Dairy_EFNitrousOxidePerMMS_Data(), Table_SourceData_Dairy_EFm[[#Headers],[MMS m]], 0)</calculatedColumnFormula>
    </tableColumn>
    <tableColumn id="3" xr3:uid="{0552581B-C2BB-481C-87D1-7C1129F487A9}" name="NIR reference" dataDxfId="24" dataCellStyle="Content normal">
      <calculatedColumnFormula array="1">Common_InputFunctions.Utility_DisplayArrayInTable(SourceData_Dairy.SourceData_Dairy_EFNitrousOxidePerMMS_Data(), Table_SourceData_Dairy_EFm[[#Headers],[MMS m]],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B1ACE7A-AFF1-4870-9774-9D68332837FF}" name="Table_SourceData_Dairy_Duration" displayName="Table_SourceData_Dairy_Duration" ref="D141:F146" totalsRowShown="0">
  <autoFilter ref="D141:F146" xr:uid="{BB1ACE7A-AFF1-4870-9774-9D68332837FF}">
    <filterColumn colId="0" hiddenButton="1"/>
    <filterColumn colId="1" hiddenButton="1"/>
    <filterColumn colId="2" hiddenButton="1"/>
  </autoFilter>
  <tableColumns count="3">
    <tableColumn id="1" xr3:uid="{C1D0CE9E-4549-48D9-9C0F-1310FC73ABC5}" name="Animal class j">
      <calculatedColumnFormula array="1">Common_InputFunctions.Utility_DisplayArrayInTable(SourceData_Dairy.SourceData_Dairy_DurationOfStay_Data(), Table_SourceData_Dairy_Duration[[#Headers],[Animal class j]], 0)</calculatedColumnFormula>
    </tableColumn>
    <tableColumn id="2" xr3:uid="{1396CED3-63B3-4B3F-8629-5350DAE232F8}" name="Duration (weaned)" dataDxfId="27" dataCellStyle="Content normal">
      <calculatedColumnFormula array="1">Common_InputFunctions.Utility_DisplayArrayInTable(SourceData_Dairy.SourceData_Dairy_DurationOfStay_Data(), Table_SourceData_Dairy_Duration[[#Headers],[Animal class j]], 0)</calculatedColumnFormula>
    </tableColumn>
    <tableColumn id="3" xr3:uid="{9A35A34C-C373-43B3-B087-AB054A306734}" name="Duration (pre-weaned)" dataDxfId="26" dataCellStyle="Content normal">
      <calculatedColumnFormula array="1">Common_InputFunctions.Utility_DisplayArrayInTable(SourceData_Dairy.SourceData_Dairy_DurationOfStay_Data(), Table_SourceData_Dairy_Duration[[#Headers],[Animal class j]],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1D9596-4A7C-4460-A4E2-1688577D9442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B8BAC5D1-23E3-4DB2-8231-02AE565241F4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7CAD7769-A700-4ED9-89D7-A6EC0CE835AA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75245601-8082-46DE-9750-76309BBC867A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4939D8F-475E-42A2-B10E-5709CBC115DE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990D7C09-F4E7-401D-8508-814A4472E75C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AB4A3EE-7803-4DC5-B74C-A649206C36F0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877405C9-449F-4281-8E55-7000A79F03DC}" name="Gas">
      <calculatedColumnFormula array="1">Common_InputFunctions.Utility_DisplayArrayInTable(Common_SourceData.Common_SourceData_GWP_Data(), Table_GWPData[[#Headers],[Gas]], 0)</calculatedColumnFormula>
    </tableColumn>
    <tableColumn id="2" xr3:uid="{2282FF16-6D22-4CED-9CF9-CA4FE3B5B66A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FE892B-D8EA-4AC3-B1C7-B633CA716EB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EEB08C-2BF5-40FA-AB44-3DF21389038B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0D7F477B-380A-4884-AB7F-3C338F71878C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F390ECDF-7FCD-4F38-8419-96F2A2FA0895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57CCC2A-D1AB-4A5B-ACA6-AAFCD2BFF5E4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E1FE507D-935A-4704-9DCB-E4A740E3017F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466D456-A36F-49B2-95BF-C04AF73063BA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9672771-6091-4FA5-86EA-395E240FF5D2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7E0CB869-00AE-4755-8478-34C0A24DACCC}" name="MAT" totalsRowDxfId="7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EEBB7F36-38AB-43CA-89EE-CBF9D2B12C70}" name="MAP" totalsRowDxfId="7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3010F3BA-675E-4D83-9AAD-FBE9EC6F9CF0}" name="Frost days per year" totalsRowDxfId="7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3F1B2FE9-64D5-41E9-9332-E943400478C4}" name="Elevation" totalsRowDxfId="7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C4BB9839-93FF-42DA-A517-F34E10C70484}" name="MAP:PET" totalsRowDxfId="7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A01F6B36-D801-484C-A91E-3EFD0F4A77C0}" name="Min temp" totalsRowDxfId="7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033C9484-1852-4D2B-88A9-02D24D40BB22}" name="Max temp" totalsRowDxfId="7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C54AFCDF-470B-41E8-8CB5-A1938A000F27}" name="Min rainfall" totalsRowDxfId="6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E235B24A-0205-4131-BBC7-FD5B69336BB5}" name="Max rainfall" totalsRowDxfId="6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2236A619-E104-4738-8E09-41B8930DF78A}" name="Min frost days" totalsRowDxfId="6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85D18FF3-E59D-404A-A2E0-032D9A5E0B84}" name="Max frost days" totalsRowDxfId="6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82A7ECE5-EF70-4355-AA39-B204B086F753}" name="Min elevation" totalsRowDxfId="6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D75C68D2-6308-4B32-BFEC-DFF390DB8E53}" name="Max elevation" totalsRowDxfId="6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36486A17-D0A0-48BD-A954-F404E9596B7F}" name="Min MAP:PET" totalsRowDxfId="6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99A2031C-68A9-4CB7-9470-3CF073E8938E}" name="Max MAP:PET" totalsRowDxfId="6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C95AB78-06E7-4C32-AD35-CD50562C88DD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BBF6521-99F9-49EC-9C13-C6835493D245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0DDE2867-2EF4-48CD-8D28-92B0EFFA35E5}" name="Wet or Dry Zone" totalsRowDxfId="6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5D7090B-AAEA-4808-BC5D-086CCF4BBAEB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8AAE3F64-7F01-4FED-AE2A-4CC0A0AFC425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AEA33916-A881-48B9-9513-C775740C2271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46A7C8CC-F651-4E5A-8816-00DC7155E41F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94E1B2C5-8CA3-4911-9490-BDB7B5E410DF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FBCB2EB-CB69-4536-B093-D2999F8975C6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DD0F9C16-1557-47D4-A2E0-F011F3665C9A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DEE86EB2-7147-48E0-99E2-B80F395D5907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792F58AE-8E56-4C6B-A91C-FD6F4909C46B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CF837850-D32D-4DE9-AF76-D2BCB4CBC578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F44C9C9-843A-4986-9A15-FCC4C7226F0B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12ACC7FC-E427-49E6-A389-0791A8DCD704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3A3F842A-200A-4D57-B914-198436D6BAC2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90FA315-08A3-4F5F-8258-83CA4D06C97E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91B4DCCC-63F9-4DE8-A00A-E63F34A4D1A6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D68051CE-5DD8-42C0-84E4-5AA8F823F65C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4AC07FE-F7F3-41D7-B120-CF3992BE87B8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CC796C2-63D2-47F7-9053-D908618080F5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DAA00D67-052D-437D-8304-FCF408B01074}" name="FracWET" dataDxfId="6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C0C0055-156C-4515-918D-A7318F9FFE4A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060F504-EC73-483B-8A81-F1C43606FEEA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574B37D8-1169-4165-A77A-24E1AAFF4980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1D0F0020-9E5D-466E-A545-6A2C8753D1A8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333334E3-27E0-4C5F-931E-5AA744E7E65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BE721098-7E6E-446D-B004-47690C85F608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12" Type="http://schemas.openxmlformats.org/officeDocument/2006/relationships/table" Target="../tables/table27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11" Type="http://schemas.openxmlformats.org/officeDocument/2006/relationships/table" Target="../tables/table26.xml"/><Relationship Id="rId5" Type="http://schemas.openxmlformats.org/officeDocument/2006/relationships/table" Target="../tables/table20.xml"/><Relationship Id="rId10" Type="http://schemas.openxmlformats.org/officeDocument/2006/relationships/table" Target="../tables/table25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A7" sqref="A7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6" width="28.7109375" customWidth="1"/>
    <col min="7" max="7" width="40.28515625" customWidth="1"/>
    <col min="8" max="8" width="59.7109375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71" t="e" vm="1">
        <v>#VALUE!</v>
      </c>
      <c r="C1" s="135" t="s">
        <v>273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ht="20.100000000000001" customHeight="1" x14ac:dyDescent="0.25">
      <c r="A4" s="133" t="str">
        <f>HYPERLINK("#'Results'!A1", "Results")</f>
        <v>Results</v>
      </c>
      <c r="C4" s="24"/>
      <c r="D4" s="6" t="s">
        <v>5</v>
      </c>
      <c r="E4" s="26"/>
      <c r="F4" s="26"/>
      <c r="G4" s="26"/>
      <c r="H4" s="6"/>
      <c r="I4" s="6"/>
      <c r="J4" s="6"/>
      <c r="K4" s="27"/>
    </row>
    <row r="5" spans="1:11" ht="20.100000000000001" customHeight="1" x14ac:dyDescent="0.3">
      <c r="A5" s="16"/>
      <c r="C5" s="24"/>
      <c r="D5" s="28"/>
      <c r="E5" s="29"/>
      <c r="F5" s="29"/>
      <c r="G5" s="29"/>
      <c r="H5" s="26"/>
      <c r="I5" s="24"/>
      <c r="J5" s="24"/>
      <c r="K5" s="24"/>
    </row>
    <row r="6" spans="1:11" ht="20.100000000000001" customHeight="1" x14ac:dyDescent="0.25">
      <c r="A6" s="20" t="s">
        <v>3</v>
      </c>
      <c r="C6" s="24"/>
      <c r="D6" s="132" t="s">
        <v>226</v>
      </c>
      <c r="E6" s="132" t="s">
        <v>224</v>
      </c>
      <c r="F6" s="132" t="s">
        <v>256</v>
      </c>
      <c r="G6" s="132" t="s">
        <v>225</v>
      </c>
      <c r="H6" s="132" t="s">
        <v>257</v>
      </c>
      <c r="I6" s="1"/>
      <c r="J6" s="24"/>
      <c r="K6" s="24"/>
    </row>
    <row r="7" spans="1:11" ht="20.100000000000001" customHeight="1" x14ac:dyDescent="0.25">
      <c r="A7" s="17" t="str">
        <f>HYPERLINK("#'Input - Site'!A1", "Site")</f>
        <v>Site</v>
      </c>
      <c r="C7" s="24"/>
      <c r="D7" s="1" t="s">
        <v>216</v>
      </c>
      <c r="E7" s="125">
        <f>'4.1.1.1-2 Methane'!E164</f>
        <v>0</v>
      </c>
      <c r="F7" s="57">
        <f>'4.1.1.1-2 Methane'!F164</f>
        <v>0</v>
      </c>
      <c r="G7" s="125">
        <f>'4.1.1.1-2 Methane'!E169</f>
        <v>0</v>
      </c>
      <c r="H7" s="57">
        <f>'4.1.1.1-2 Methane'!F169</f>
        <v>0</v>
      </c>
      <c r="I7" s="1"/>
      <c r="J7" s="24"/>
      <c r="K7" s="24"/>
    </row>
    <row r="8" spans="1:11" ht="20.100000000000001" customHeight="1" x14ac:dyDescent="0.25">
      <c r="A8" s="17" t="str">
        <f>HYPERLINK("#'Input - Feedlot'!A1", "Feedlot")</f>
        <v>Feedlot</v>
      </c>
      <c r="C8" s="24"/>
      <c r="D8" s="1" t="s">
        <v>217</v>
      </c>
      <c r="E8" s="125">
        <f>'4.1.1.1-2 Methane'!N164</f>
        <v>0</v>
      </c>
      <c r="F8" s="57">
        <f>'4.1.1.1-2 Methane'!O164</f>
        <v>0</v>
      </c>
      <c r="G8" s="125">
        <f>'4.1.1.1-2 Methane'!N169</f>
        <v>0</v>
      </c>
      <c r="H8" s="57">
        <f>'4.1.1.1-2 Methane'!O169</f>
        <v>0</v>
      </c>
      <c r="I8" s="1"/>
      <c r="J8" s="24"/>
      <c r="K8" s="24"/>
    </row>
    <row r="9" spans="1:11" ht="20.100000000000001" customHeight="1" x14ac:dyDescent="0.25">
      <c r="A9" s="17"/>
      <c r="C9" s="24"/>
      <c r="D9" s="1" t="s">
        <v>218</v>
      </c>
      <c r="E9" s="125" t="e">
        <f>'4.1.1.3-4 Direct N20'!E207</f>
        <v>#REF!</v>
      </c>
      <c r="F9" s="57" t="str">
        <f>'4.1.1.3-4 Direct N20'!F207</f>
        <v>t N2O</v>
      </c>
      <c r="G9" s="125" t="e">
        <f>'4.1.1.3-4 Direct N20'!E212</f>
        <v>#REF!</v>
      </c>
      <c r="H9" s="57" t="str">
        <f>'4.1.1.3-4 Direct N20'!F212</f>
        <v>t CO2e</v>
      </c>
      <c r="I9" s="1"/>
      <c r="J9" s="24"/>
      <c r="K9" s="24"/>
    </row>
    <row r="10" spans="1:11" ht="20.100000000000001" customHeight="1" x14ac:dyDescent="0.25">
      <c r="A10" s="19" t="s">
        <v>76</v>
      </c>
      <c r="C10" s="24"/>
      <c r="D10" s="1" t="s">
        <v>219</v>
      </c>
      <c r="E10" s="125" t="e">
        <f>'4.1.1.3-4 Direct N20'!M207</f>
        <v>#REF!</v>
      </c>
      <c r="F10" s="57" t="str">
        <f>'4.1.1.3-4 Direct N20'!N207</f>
        <v>t N2O</v>
      </c>
      <c r="G10" s="125" t="e">
        <f>'4.1.1.3-4 Direct N20'!M212</f>
        <v>#REF!</v>
      </c>
      <c r="H10" s="57" t="str">
        <f>'4.1.1.3-4 Direct N20'!N212</f>
        <v>t CO2e</v>
      </c>
      <c r="I10" s="1"/>
      <c r="J10" s="24"/>
      <c r="K10" s="24"/>
    </row>
    <row r="11" spans="1:11" ht="20.100000000000001" customHeight="1" x14ac:dyDescent="0.25">
      <c r="A11" s="17" t="str">
        <f>HYPERLINK("#'4.1.1.1-2 Methane'!A1", "4.1.1.1-2 Methane")</f>
        <v>4.1.1.1-2 Methane</v>
      </c>
      <c r="C11" s="24"/>
      <c r="D11" s="1" t="s">
        <v>220</v>
      </c>
      <c r="E11" s="125" t="e">
        <f>'4.1.1.5-6 Atmos Deposition'!$E$60</f>
        <v>#REF!</v>
      </c>
      <c r="F11" s="57" t="str">
        <f>'4.1.1.5-6 Atmos Deposition'!$F$60</f>
        <v>t N2O</v>
      </c>
      <c r="G11" s="125" t="e">
        <f>'4.1.1.5-6 Atmos Deposition'!$E$65</f>
        <v>#REF!</v>
      </c>
      <c r="H11" s="57" t="str">
        <f>'4.1.1.5-6 Atmos Deposition'!$F$65</f>
        <v>t CO2e</v>
      </c>
      <c r="I11" s="1"/>
      <c r="J11" s="24"/>
      <c r="K11" s="24"/>
    </row>
    <row r="12" spans="1:11" ht="20.100000000000001" customHeight="1" x14ac:dyDescent="0.25">
      <c r="A12" s="17" t="str">
        <f>HYPERLINK("#'4.1.1.3-4 Direct N20'!A1", "4.1.1.3-4 Direct N2O")</f>
        <v>4.1.1.3-4 Direct N2O</v>
      </c>
      <c r="C12" s="24"/>
      <c r="D12" s="1" t="s">
        <v>221</v>
      </c>
      <c r="E12" s="125" t="e">
        <f>'4.1.1.5-6 Atmos Deposition'!$M$60</f>
        <v>#REF!</v>
      </c>
      <c r="F12" s="57" t="str">
        <f>'4.1.1.5-6 Atmos Deposition'!$N$60</f>
        <v>t N2O</v>
      </c>
      <c r="G12" s="125" t="e">
        <f>'4.1.1.5-6 Atmos Deposition'!$M$65</f>
        <v>#REF!</v>
      </c>
      <c r="H12" s="57" t="str">
        <f>'4.1.1.5-6 Atmos Deposition'!$N$65</f>
        <v>t CO2e</v>
      </c>
      <c r="I12" s="1"/>
      <c r="J12" s="24"/>
      <c r="K12" s="24"/>
    </row>
    <row r="13" spans="1:11" ht="20.100000000000001" customHeight="1" x14ac:dyDescent="0.25">
      <c r="A13" s="17" t="str">
        <f>HYPERLINK("#'4.1.1.5-6 Atmos Deposition'!A1", "4.1.1.5-6 Atmospheric deposition")</f>
        <v>4.1.1.5-6 Atmospheric deposition</v>
      </c>
      <c r="C13" s="24"/>
      <c r="D13" s="1" t="s">
        <v>222</v>
      </c>
      <c r="E13" s="125" t="s">
        <v>272</v>
      </c>
      <c r="F13" s="57" t="s">
        <v>272</v>
      </c>
      <c r="G13" s="125">
        <v>0</v>
      </c>
      <c r="H13" s="57" t="s">
        <v>272</v>
      </c>
      <c r="I13" s="1"/>
      <c r="J13" s="24"/>
      <c r="K13" s="24"/>
    </row>
    <row r="14" spans="1:11" ht="20.100000000000001" customHeight="1" x14ac:dyDescent="0.25">
      <c r="A14" s="17" t="str">
        <f>HYPERLINK("#'4.1.1.9 Manure applied to soils'!A1", "4.1.1.9 Manure applied to soils")</f>
        <v>4.1.1.9 Manure applied to soils</v>
      </c>
      <c r="C14" s="24"/>
      <c r="D14" s="1" t="s">
        <v>223</v>
      </c>
      <c r="E14" s="125" t="s">
        <v>272</v>
      </c>
      <c r="F14" s="57" t="s">
        <v>272</v>
      </c>
      <c r="G14" s="125">
        <v>0</v>
      </c>
      <c r="H14" s="57" t="s">
        <v>272</v>
      </c>
      <c r="I14" s="1"/>
      <c r="J14" s="24"/>
      <c r="K14" s="24"/>
    </row>
    <row r="15" spans="1:11" ht="20.100000000000001" customHeight="1" x14ac:dyDescent="0.3">
      <c r="C15" s="24"/>
      <c r="D15" s="31" t="s">
        <v>254</v>
      </c>
      <c r="E15" s="25"/>
      <c r="F15" s="31"/>
      <c r="G15" s="129" t="e">
        <f>SUM(G7:G14)</f>
        <v>#REF!</v>
      </c>
      <c r="H15" s="112" t="str">
        <f>'4.1.1.5-6 Atmos Deposition'!$N$65</f>
        <v>t CO2e</v>
      </c>
      <c r="I15" s="1"/>
      <c r="J15" s="24"/>
      <c r="K15" s="24"/>
    </row>
    <row r="16" spans="1:11" ht="20.100000000000001" customHeight="1" x14ac:dyDescent="0.25">
      <c r="A16" s="18" t="s">
        <v>4</v>
      </c>
      <c r="C16" s="24"/>
      <c r="D16" s="1"/>
      <c r="E16" s="1"/>
      <c r="F16" s="1"/>
      <c r="G16" s="26"/>
      <c r="H16" s="24"/>
      <c r="I16" s="1"/>
      <c r="J16" s="24"/>
      <c r="K16" s="24"/>
    </row>
    <row r="17" spans="1:11" ht="20.100000000000001" customHeight="1" x14ac:dyDescent="0.25">
      <c r="A17" s="17" t="str">
        <f>HYPERLINK("#'Constants - Feedlot'!A1", "Constants - Feedlot")</f>
        <v>Constants - Feedlot</v>
      </c>
      <c r="C17" s="24"/>
      <c r="D17" s="113" t="s">
        <v>264</v>
      </c>
      <c r="E17" s="1"/>
      <c r="F17" s="1"/>
      <c r="G17" s="1"/>
      <c r="H17" s="26"/>
      <c r="I17" s="24"/>
      <c r="J17" s="24"/>
      <c r="K17" s="24"/>
    </row>
    <row r="18" spans="1:11" ht="20.100000000000001" customHeight="1" x14ac:dyDescent="0.25">
      <c r="A18" s="17" t="str">
        <f>HYPERLINK("#'Constants - Livestock'!A1", "Constants - Livestock")</f>
        <v>Constants - Livestock</v>
      </c>
      <c r="C18" s="24"/>
      <c r="D18" s="130" t="s">
        <v>271</v>
      </c>
      <c r="E18" s="1"/>
      <c r="F18" s="1"/>
      <c r="G18" s="1"/>
      <c r="H18" s="1"/>
      <c r="I18" s="1"/>
      <c r="J18" s="24"/>
      <c r="K18" s="24"/>
    </row>
    <row r="19" spans="1:11" ht="20.100000000000001" customHeight="1" x14ac:dyDescent="0.25">
      <c r="A19" s="17" t="str">
        <f>HYPERLINK("#'Constants - Common'!A1", "Constants - Common")</f>
        <v>Constants - Common</v>
      </c>
      <c r="C19" s="24"/>
      <c r="D19" s="113"/>
      <c r="E19" s="1"/>
      <c r="F19" s="1"/>
      <c r="G19" s="1"/>
      <c r="H19" s="1"/>
      <c r="I19" s="1"/>
      <c r="J19" s="24"/>
      <c r="K19" s="24"/>
    </row>
    <row r="20" spans="1:11" ht="20.100000000000001" customHeight="1" x14ac:dyDescent="0.25">
      <c r="A20" s="17" t="str">
        <f>HYPERLINK("#'Acknowledgements'!A1", "Acknowledgements")</f>
        <v>Acknowledgements</v>
      </c>
      <c r="C20" s="24"/>
      <c r="D20" s="132" t="s">
        <v>265</v>
      </c>
      <c r="E20" s="132" t="s">
        <v>262</v>
      </c>
      <c r="F20" s="132" t="s">
        <v>263</v>
      </c>
      <c r="G20" s="132" t="s">
        <v>255</v>
      </c>
      <c r="H20" s="132" t="s">
        <v>270</v>
      </c>
      <c r="I20" s="1"/>
      <c r="J20" s="24"/>
      <c r="K20" s="24"/>
    </row>
    <row r="21" spans="1:11" ht="20.100000000000001" customHeight="1" x14ac:dyDescent="0.25">
      <c r="C21" s="24"/>
      <c r="D21" s="1" t="s">
        <v>267</v>
      </c>
      <c r="E21" s="131" t="e">
        <f>'4.1.1.9 Manure applied to soils'!$E$56</f>
        <v>#REF!</v>
      </c>
      <c r="F21" s="57" t="str">
        <f>'4.1.1.9 Manure applied to soils'!$F$56</f>
        <v>kg N</v>
      </c>
      <c r="G21" s="1" t="s">
        <v>258</v>
      </c>
      <c r="H21" s="1" t="s">
        <v>269</v>
      </c>
      <c r="I21" s="1"/>
      <c r="J21" s="24"/>
      <c r="K21" s="24"/>
    </row>
    <row r="22" spans="1:11" ht="20.100000000000001" customHeight="1" x14ac:dyDescent="0.25">
      <c r="C22" s="24"/>
      <c r="D22" s="1" t="s">
        <v>266</v>
      </c>
      <c r="E22" s="131" t="e">
        <f>'4.1.1.9 Manure applied to soils'!$E$104</f>
        <v>#REF!</v>
      </c>
      <c r="F22" s="57" t="str">
        <f>'4.1.1.9 Manure applied to soils'!$F$104</f>
        <v>kg N</v>
      </c>
      <c r="G22" s="1" t="s">
        <v>261</v>
      </c>
      <c r="H22" s="1" t="s">
        <v>269</v>
      </c>
      <c r="I22" s="1"/>
      <c r="J22" s="24"/>
      <c r="K22" s="24"/>
    </row>
    <row r="23" spans="1:11" ht="20.100000000000001" customHeight="1" x14ac:dyDescent="0.25">
      <c r="C23" s="24"/>
      <c r="D23" s="1" t="s">
        <v>259</v>
      </c>
      <c r="E23" s="131" t="e">
        <f>'4.1.1.9 Manure applied to soils'!$E$123</f>
        <v>#REF!</v>
      </c>
      <c r="F23" s="57" t="str">
        <f>'4.1.1.9 Manure applied to soils'!$F$123</f>
        <v>kg N</v>
      </c>
      <c r="G23" s="1" t="s">
        <v>260</v>
      </c>
      <c r="H23" s="1" t="s">
        <v>268</v>
      </c>
      <c r="I23" s="1"/>
      <c r="J23" s="24"/>
      <c r="K23" s="24"/>
    </row>
    <row r="24" spans="1:11" ht="20.100000000000001" customHeight="1" x14ac:dyDescent="0.25">
      <c r="C24" s="24"/>
      <c r="D24" s="1"/>
      <c r="E24" s="1"/>
      <c r="F24" s="1"/>
      <c r="G24" s="1"/>
      <c r="H24" s="1"/>
      <c r="I24" s="1"/>
      <c r="J24" s="24"/>
      <c r="K24" s="24"/>
    </row>
    <row r="25" spans="1:11" ht="20.100000000000001" customHeight="1" x14ac:dyDescent="0.25">
      <c r="C25" s="24"/>
      <c r="D25" s="1"/>
      <c r="E25" s="1"/>
      <c r="F25" s="1"/>
      <c r="G25" s="1"/>
      <c r="H25" s="1"/>
      <c r="I25" s="1"/>
      <c r="J25" s="24"/>
      <c r="K25" s="24"/>
    </row>
    <row r="26" spans="1:11" ht="20.100000000000001" customHeight="1" x14ac:dyDescent="0.25">
      <c r="C26" s="24"/>
      <c r="D26" s="1"/>
      <c r="E26" s="1"/>
      <c r="F26" s="1"/>
      <c r="G26" s="1"/>
      <c r="H26" s="1"/>
      <c r="I26" s="1"/>
      <c r="J26" s="24"/>
      <c r="K26" s="24"/>
    </row>
    <row r="27" spans="1:11" ht="20.100000000000001" customHeight="1" x14ac:dyDescent="0.25">
      <c r="C27" s="24"/>
      <c r="D27" s="1"/>
      <c r="E27" s="1"/>
      <c r="F27" s="1"/>
      <c r="G27" s="1"/>
      <c r="H27" s="1"/>
      <c r="I27" s="1"/>
      <c r="J27" s="24"/>
      <c r="K27" s="24"/>
    </row>
    <row r="28" spans="1:11" ht="20.100000000000001" customHeight="1" x14ac:dyDescent="0.25">
      <c r="C28" s="24"/>
      <c r="D28" s="1"/>
      <c r="E28" s="1"/>
      <c r="F28" s="1"/>
      <c r="G28" s="1"/>
      <c r="H28" s="1"/>
      <c r="I28" s="1"/>
      <c r="J28" s="24"/>
      <c r="K28" s="24"/>
    </row>
    <row r="29" spans="1:11" ht="20.100000000000001" customHeight="1" x14ac:dyDescent="0.25">
      <c r="C29" s="24"/>
      <c r="D29" s="1"/>
      <c r="E29" s="1"/>
      <c r="F29" s="1"/>
      <c r="G29" s="1"/>
      <c r="H29" s="24"/>
      <c r="I29" s="24"/>
      <c r="J29" s="24"/>
      <c r="K29" s="24"/>
    </row>
    <row r="30" spans="1:11" ht="20.100000000000001" customHeight="1" x14ac:dyDescent="0.25">
      <c r="C30" s="24"/>
      <c r="D30" s="1"/>
      <c r="E30" s="1"/>
      <c r="F30" s="1"/>
      <c r="G30" s="1"/>
      <c r="H30" s="24"/>
      <c r="I30" s="24"/>
      <c r="J30" s="24"/>
      <c r="K30" s="24"/>
    </row>
    <row r="31" spans="1:11" ht="20.100000000000001" customHeight="1" x14ac:dyDescent="0.25">
      <c r="C31" s="24"/>
      <c r="D31" s="1"/>
      <c r="E31" s="1"/>
      <c r="F31" s="1"/>
      <c r="G31" s="1"/>
      <c r="H31" s="24"/>
      <c r="I31" s="24"/>
      <c r="J31" s="24"/>
      <c r="K31" s="24"/>
    </row>
    <row r="32" spans="1:11" ht="20.100000000000001" customHeight="1" x14ac:dyDescent="0.25">
      <c r="C32" s="24"/>
      <c r="D32" s="1"/>
      <c r="E32" s="1"/>
      <c r="F32" s="1"/>
      <c r="G32" s="1"/>
      <c r="H32" s="26"/>
      <c r="I32" s="24"/>
      <c r="J32" s="24"/>
      <c r="K32" s="24"/>
    </row>
    <row r="33" spans="3:11" ht="20.100000000000001" customHeight="1" x14ac:dyDescent="0.3">
      <c r="C33" s="24"/>
      <c r="D33" s="1"/>
      <c r="E33" s="1"/>
      <c r="F33" s="1"/>
      <c r="G33" s="1"/>
      <c r="H33" s="29"/>
      <c r="I33" s="24"/>
      <c r="J33" s="24"/>
      <c r="K33" s="24"/>
    </row>
    <row r="34" spans="3:11" ht="20.100000000000001" customHeight="1" x14ac:dyDescent="0.25">
      <c r="C34" s="24"/>
      <c r="D34" s="1"/>
      <c r="E34" s="1"/>
      <c r="F34" s="1"/>
      <c r="G34" s="1"/>
      <c r="H34" s="1"/>
      <c r="I34" s="24"/>
      <c r="J34" s="24"/>
      <c r="K34" s="24"/>
    </row>
    <row r="35" spans="3:11" ht="20.100000000000001" customHeight="1" x14ac:dyDescent="0.25">
      <c r="C35" s="24"/>
      <c r="D35" s="1"/>
      <c r="E35" s="1"/>
      <c r="F35" s="1"/>
      <c r="G35" s="1"/>
      <c r="H35" s="1"/>
      <c r="I35" s="24"/>
      <c r="J35" s="24"/>
      <c r="K35" s="24"/>
    </row>
    <row r="36" spans="3:11" ht="20.100000000000001" customHeight="1" x14ac:dyDescent="0.25">
      <c r="C36" s="24"/>
      <c r="D36" s="1"/>
      <c r="E36" s="1"/>
      <c r="F36" s="1"/>
      <c r="G36" s="1"/>
      <c r="H36" s="1"/>
      <c r="I36" s="24"/>
      <c r="J36" s="24"/>
      <c r="K36" s="24"/>
    </row>
    <row r="37" spans="3:11" ht="20.100000000000001" customHeight="1" x14ac:dyDescent="0.25">
      <c r="C37" s="24"/>
      <c r="D37" s="1"/>
      <c r="E37" s="1"/>
      <c r="F37" s="1"/>
      <c r="G37" s="1"/>
      <c r="H37" s="1"/>
      <c r="I37" s="24"/>
      <c r="J37" s="24"/>
      <c r="K37" s="24"/>
    </row>
    <row r="38" spans="3:11" ht="20.100000000000001" customHeight="1" x14ac:dyDescent="0.25">
      <c r="C38" s="24"/>
      <c r="D38" s="1"/>
      <c r="E38" s="1"/>
      <c r="F38" s="1"/>
      <c r="G38" s="1"/>
      <c r="H38" s="1"/>
      <c r="I38" s="124"/>
      <c r="J38" s="124"/>
      <c r="K38" s="24"/>
    </row>
    <row r="39" spans="3:11" ht="20.100000000000001" customHeight="1" x14ac:dyDescent="0.25">
      <c r="C39" s="24"/>
      <c r="D39" s="1"/>
      <c r="E39" s="1"/>
      <c r="F39" s="1"/>
      <c r="G39" s="1"/>
      <c r="H39" s="1"/>
      <c r="I39" s="124"/>
      <c r="J39" s="124"/>
      <c r="K39" s="24"/>
    </row>
    <row r="40" spans="3:11" ht="20.100000000000001" customHeight="1" x14ac:dyDescent="0.25">
      <c r="C40" s="24"/>
      <c r="D40" s="1"/>
      <c r="E40" s="1"/>
      <c r="F40" s="1"/>
      <c r="G40" s="1"/>
      <c r="H40" s="1"/>
      <c r="I40" s="124"/>
      <c r="J40" s="124"/>
      <c r="K40" s="24"/>
    </row>
    <row r="41" spans="3:11" ht="20.100000000000001" customHeight="1" x14ac:dyDescent="0.25">
      <c r="C41" s="24"/>
      <c r="D41" s="1"/>
      <c r="E41" s="1"/>
      <c r="F41" s="1"/>
      <c r="G41" s="1"/>
      <c r="H41" s="1"/>
      <c r="I41" s="124"/>
      <c r="J41" s="124"/>
      <c r="K41" s="24"/>
    </row>
    <row r="42" spans="3:11" ht="20.100000000000001" customHeight="1" x14ac:dyDescent="0.25">
      <c r="C42" s="24"/>
      <c r="D42" s="1"/>
      <c r="E42" s="1"/>
      <c r="F42" s="1"/>
      <c r="G42" s="1"/>
      <c r="H42" s="1"/>
      <c r="I42" s="124"/>
      <c r="J42" s="124"/>
      <c r="K42" s="24"/>
    </row>
    <row r="43" spans="3:11" ht="20.100000000000001" customHeight="1" x14ac:dyDescent="0.25">
      <c r="C43" s="24"/>
      <c r="D43" s="1"/>
      <c r="E43" s="1"/>
      <c r="F43" s="1"/>
      <c r="G43" s="1"/>
      <c r="H43" s="1"/>
      <c r="I43" s="124"/>
      <c r="J43" s="124"/>
      <c r="K43" s="24"/>
    </row>
    <row r="44" spans="3:11" ht="20.100000000000001" customHeight="1" x14ac:dyDescent="0.25">
      <c r="C44" s="24"/>
      <c r="D44" s="1"/>
      <c r="E44" s="1"/>
      <c r="F44" s="1"/>
      <c r="G44" s="1"/>
      <c r="H44" s="1"/>
      <c r="I44" s="124"/>
      <c r="J44" s="124"/>
      <c r="K44" s="24"/>
    </row>
    <row r="45" spans="3:11" ht="20.100000000000001" customHeight="1" x14ac:dyDescent="0.25">
      <c r="C45" s="24"/>
      <c r="D45" s="1"/>
      <c r="E45" s="1"/>
      <c r="F45" s="1"/>
      <c r="G45" s="1"/>
      <c r="H45" s="1"/>
      <c r="I45" s="124"/>
      <c r="J45" s="124"/>
      <c r="K45" s="24"/>
    </row>
    <row r="46" spans="3:11" ht="20.100000000000001" customHeight="1" x14ac:dyDescent="0.25">
      <c r="C46" s="24"/>
      <c r="D46" s="1"/>
      <c r="E46" s="1"/>
      <c r="F46" s="1"/>
      <c r="G46" s="1"/>
      <c r="H46" s="1"/>
      <c r="I46" s="124"/>
      <c r="J46" s="124"/>
      <c r="K46" s="24"/>
    </row>
    <row r="47" spans="3:11" ht="20.100000000000001" customHeight="1" x14ac:dyDescent="0.25">
      <c r="C47" s="24"/>
      <c r="D47" s="1"/>
      <c r="E47" s="1"/>
      <c r="F47" s="1"/>
      <c r="G47" s="1"/>
      <c r="H47" s="1"/>
      <c r="I47" s="124"/>
      <c r="J47" s="124"/>
      <c r="K47" s="24"/>
    </row>
    <row r="48" spans="3:11" ht="20.100000000000001" customHeight="1" x14ac:dyDescent="0.25">
      <c r="C48" s="24"/>
      <c r="D48" s="1"/>
      <c r="E48" s="1"/>
      <c r="F48" s="1"/>
      <c r="G48" s="1"/>
      <c r="H48" s="1"/>
      <c r="I48" s="124"/>
      <c r="J48" s="124"/>
      <c r="K48" s="24"/>
    </row>
    <row r="49" spans="3:11" ht="20.100000000000001" customHeight="1" x14ac:dyDescent="0.25">
      <c r="C49" s="24"/>
      <c r="D49" s="1"/>
      <c r="E49" s="1"/>
      <c r="F49" s="1"/>
      <c r="G49" s="1"/>
      <c r="H49" s="124"/>
      <c r="I49" s="124"/>
      <c r="J49" s="124"/>
      <c r="K49" s="24"/>
    </row>
    <row r="50" spans="3:11" ht="20.100000000000001" customHeight="1" x14ac:dyDescent="0.25">
      <c r="C50" s="24"/>
      <c r="D50" s="1"/>
      <c r="E50" s="1"/>
      <c r="F50" s="1"/>
      <c r="G50" s="1"/>
      <c r="H50" s="124"/>
      <c r="I50" s="124"/>
      <c r="J50" s="124"/>
      <c r="K50" s="24"/>
    </row>
    <row r="51" spans="3:11" ht="20.100000000000001" customHeight="1" x14ac:dyDescent="0.25">
      <c r="C51" s="24"/>
      <c r="D51" s="1"/>
      <c r="E51" s="1"/>
      <c r="F51" s="1"/>
      <c r="G51" s="1"/>
      <c r="H51" s="124"/>
      <c r="I51" s="124"/>
      <c r="J51" s="124"/>
      <c r="K51" s="24"/>
    </row>
    <row r="52" spans="3:11" ht="20.100000000000001" customHeight="1" x14ac:dyDescent="0.25">
      <c r="C52" s="24"/>
      <c r="D52" s="1"/>
      <c r="E52" s="1"/>
      <c r="F52" s="1"/>
      <c r="G52" s="1"/>
      <c r="H52" s="124"/>
      <c r="I52" s="124"/>
      <c r="J52" s="124"/>
      <c r="K52" s="24"/>
    </row>
    <row r="53" spans="3:11" ht="20.100000000000001" customHeight="1" x14ac:dyDescent="0.25">
      <c r="C53" s="24"/>
      <c r="D53" s="1"/>
      <c r="E53" s="1"/>
      <c r="F53" s="1"/>
      <c r="G53" s="1"/>
      <c r="H53" s="124"/>
      <c r="I53" s="124"/>
      <c r="J53" s="124"/>
      <c r="K53" s="24"/>
    </row>
    <row r="54" spans="3:11" ht="20.100000000000001" customHeight="1" x14ac:dyDescent="0.25">
      <c r="C54" s="24"/>
      <c r="D54" s="1"/>
      <c r="E54" s="1"/>
      <c r="F54" s="1"/>
      <c r="G54" s="1"/>
      <c r="H54" s="24"/>
      <c r="I54" s="24"/>
      <c r="J54" s="24"/>
      <c r="K54" s="24"/>
    </row>
    <row r="55" spans="3:11" ht="20.100000000000001" customHeight="1" x14ac:dyDescent="0.25">
      <c r="C55" s="24"/>
      <c r="D55" s="1"/>
      <c r="E55" s="1"/>
      <c r="F55" s="1"/>
      <c r="G55" s="1"/>
      <c r="H55" s="24"/>
      <c r="I55" s="24"/>
      <c r="J55" s="24"/>
      <c r="K55" s="24"/>
    </row>
    <row r="56" spans="3:11" ht="20.100000000000001" customHeight="1" x14ac:dyDescent="0.25">
      <c r="C56" s="24"/>
      <c r="D56" s="1"/>
      <c r="E56" s="1"/>
      <c r="F56" s="1"/>
      <c r="G56" s="1"/>
      <c r="H56" s="24"/>
      <c r="I56" s="24"/>
      <c r="J56" s="24"/>
      <c r="K56" s="24"/>
    </row>
    <row r="57" spans="3:11" ht="20.100000000000001" customHeight="1" x14ac:dyDescent="0.25">
      <c r="C57" s="24"/>
      <c r="D57" s="1"/>
      <c r="E57" s="1"/>
      <c r="F57" s="1"/>
      <c r="G57" s="1"/>
      <c r="H57" s="24"/>
      <c r="I57" s="24"/>
      <c r="J57" s="24"/>
      <c r="K57" s="24"/>
    </row>
    <row r="58" spans="3:11" ht="20.100000000000001" customHeight="1" x14ac:dyDescent="0.25">
      <c r="C58" s="24"/>
      <c r="D58" s="1"/>
      <c r="E58" s="32"/>
      <c r="F58" s="30"/>
      <c r="G58" s="24"/>
      <c r="H58" s="24"/>
      <c r="I58" s="24"/>
      <c r="J58" s="24"/>
      <c r="K58" s="24"/>
    </row>
    <row r="59" spans="3:11" ht="20.100000000000001" customHeight="1" x14ac:dyDescent="0.25">
      <c r="C59" s="24"/>
      <c r="D59" s="1"/>
      <c r="E59" s="1"/>
      <c r="F59" s="1"/>
      <c r="G59" s="1"/>
      <c r="H59" s="1"/>
      <c r="I59" s="1"/>
      <c r="J59" s="1"/>
      <c r="K59" s="24"/>
    </row>
    <row r="60" spans="3:11" ht="20.100000000000001" customHeight="1" x14ac:dyDescent="0.25">
      <c r="C60" s="24"/>
      <c r="D60" s="1"/>
      <c r="E60" s="1"/>
      <c r="F60" s="1"/>
      <c r="G60" s="1"/>
      <c r="H60" s="1"/>
      <c r="I60" s="1"/>
      <c r="J60" s="1"/>
      <c r="K60" s="24"/>
    </row>
    <row r="61" spans="3:11" ht="20.100000000000001" customHeight="1" x14ac:dyDescent="0.25">
      <c r="C61" s="24"/>
      <c r="D61" s="1"/>
      <c r="E61" s="1"/>
      <c r="F61" s="1"/>
      <c r="G61" s="1"/>
      <c r="H61" s="1"/>
      <c r="I61" s="1"/>
      <c r="J61" s="1"/>
      <c r="K61" s="24"/>
    </row>
    <row r="62" spans="3:11" ht="20.100000000000001" customHeight="1" x14ac:dyDescent="0.25">
      <c r="C62" s="24"/>
      <c r="D62" s="1"/>
      <c r="E62" s="1"/>
      <c r="F62" s="1"/>
      <c r="G62" s="1"/>
      <c r="H62" s="1"/>
      <c r="I62" s="1"/>
      <c r="J62" s="1"/>
      <c r="K62" s="24"/>
    </row>
    <row r="63" spans="3:11" ht="20.100000000000001" customHeight="1" x14ac:dyDescent="0.25">
      <c r="C63" s="24"/>
      <c r="D63" s="1"/>
      <c r="E63" s="1"/>
      <c r="F63" s="1"/>
      <c r="G63" s="1"/>
      <c r="H63" s="1"/>
      <c r="I63" s="1"/>
      <c r="J63" s="1"/>
      <c r="K63" s="24"/>
    </row>
    <row r="64" spans="3:11" ht="20.100000000000001" customHeight="1" x14ac:dyDescent="0.25">
      <c r="C64" s="24"/>
      <c r="D64" s="1"/>
      <c r="E64" s="1"/>
      <c r="F64" s="1"/>
      <c r="G64" s="1"/>
      <c r="H64" s="1"/>
      <c r="I64" s="1"/>
      <c r="J64" s="1"/>
      <c r="K64" s="24"/>
    </row>
    <row r="65" spans="3:11" ht="20.100000000000001" customHeight="1" x14ac:dyDescent="0.25">
      <c r="C65" s="24"/>
      <c r="D65" s="1"/>
      <c r="E65" s="1"/>
      <c r="F65" s="1"/>
      <c r="G65" s="1"/>
      <c r="H65" s="1"/>
      <c r="I65" s="1"/>
      <c r="J65" s="1"/>
      <c r="K65" s="24"/>
    </row>
    <row r="66" spans="3:11" ht="20.100000000000001" customHeight="1" x14ac:dyDescent="0.25">
      <c r="C66" s="24"/>
      <c r="D66" s="1"/>
      <c r="E66" s="1"/>
      <c r="F66" s="1"/>
      <c r="G66" s="1"/>
      <c r="H66" s="1"/>
      <c r="I66" s="1"/>
      <c r="J66" s="1"/>
      <c r="K66" s="24"/>
    </row>
    <row r="67" spans="3:11" ht="20.100000000000001" customHeight="1" x14ac:dyDescent="0.25">
      <c r="C67" s="24"/>
      <c r="D67" s="1"/>
      <c r="E67" s="1"/>
      <c r="F67" s="1"/>
      <c r="G67" s="1"/>
      <c r="H67" s="1"/>
      <c r="I67" s="1"/>
      <c r="J67" s="1"/>
      <c r="K67" s="24"/>
    </row>
    <row r="68" spans="3:11" ht="20.100000000000001" customHeight="1" x14ac:dyDescent="0.25">
      <c r="C68" s="24"/>
      <c r="D68" s="1"/>
      <c r="E68" s="1"/>
      <c r="F68" s="1"/>
      <c r="G68" s="1"/>
      <c r="H68" s="1"/>
      <c r="I68" s="1"/>
      <c r="J68" s="1"/>
      <c r="K68" s="24"/>
    </row>
    <row r="69" spans="3:11" ht="20.100000000000001" customHeight="1" x14ac:dyDescent="0.25">
      <c r="C69" s="24"/>
      <c r="D69" s="1"/>
      <c r="E69" s="1"/>
      <c r="F69" s="1"/>
      <c r="G69" s="1"/>
      <c r="H69" s="1"/>
      <c r="I69" s="1"/>
      <c r="J69" s="1"/>
      <c r="K69" s="24"/>
    </row>
    <row r="70" spans="3:11" ht="20.100000000000001" customHeight="1" x14ac:dyDescent="0.25">
      <c r="C70" s="24"/>
      <c r="D70" s="1"/>
      <c r="E70" s="1"/>
      <c r="F70" s="1"/>
      <c r="G70" s="1"/>
      <c r="H70" s="1"/>
      <c r="I70" s="1"/>
      <c r="J70" s="1"/>
      <c r="K70" s="24"/>
    </row>
    <row r="71" spans="3:11" ht="20.100000000000001" customHeight="1" x14ac:dyDescent="0.25">
      <c r="C71" s="24"/>
      <c r="D71" s="1"/>
      <c r="E71" s="1"/>
      <c r="F71" s="1"/>
      <c r="G71" s="1"/>
      <c r="H71" s="1"/>
      <c r="I71" s="1"/>
      <c r="J71" s="1"/>
      <c r="K71" s="24"/>
    </row>
    <row r="72" spans="3:11" ht="20.100000000000001" customHeight="1" x14ac:dyDescent="0.25">
      <c r="C72" s="24"/>
      <c r="D72" s="1"/>
      <c r="E72" s="1"/>
      <c r="F72" s="1"/>
      <c r="G72" s="1"/>
      <c r="H72" s="1"/>
      <c r="I72" s="1"/>
      <c r="J72" s="1"/>
      <c r="K72" s="24"/>
    </row>
    <row r="73" spans="3:11" ht="20.100000000000001" customHeight="1" x14ac:dyDescent="0.25">
      <c r="C73" s="24"/>
      <c r="D73" s="1"/>
      <c r="E73" s="1"/>
      <c r="F73" s="1"/>
      <c r="G73" s="1"/>
      <c r="H73" s="1"/>
      <c r="I73" s="1"/>
      <c r="J73" s="1"/>
      <c r="K73" s="24"/>
    </row>
    <row r="74" spans="3:11" ht="20.100000000000001" customHeight="1" x14ac:dyDescent="0.25">
      <c r="C74" s="24"/>
      <c r="D74" s="1"/>
      <c r="E74" s="1"/>
      <c r="F74" s="1"/>
      <c r="G74" s="1"/>
      <c r="H74" s="1"/>
      <c r="I74" s="1"/>
      <c r="J74" s="1"/>
      <c r="K74" s="24"/>
    </row>
    <row r="75" spans="3:11" ht="20.100000000000001" customHeight="1" x14ac:dyDescent="0.25">
      <c r="C75" s="24"/>
      <c r="D75" s="1"/>
      <c r="E75" s="1"/>
      <c r="F75" s="1"/>
      <c r="G75" s="1"/>
      <c r="H75" s="1"/>
      <c r="I75" s="1"/>
      <c r="J75" s="1"/>
      <c r="K75" s="24"/>
    </row>
    <row r="76" spans="3:11" ht="15.75" x14ac:dyDescent="0.25">
      <c r="C76" s="24"/>
      <c r="D76" s="1"/>
      <c r="E76" s="1"/>
      <c r="F76" s="1"/>
      <c r="G76" s="1"/>
      <c r="H76" s="1"/>
      <c r="I76" s="1"/>
      <c r="J76" s="1"/>
      <c r="K76" s="24"/>
    </row>
    <row r="77" spans="3:11" ht="15.75" x14ac:dyDescent="0.25">
      <c r="C77" s="24"/>
      <c r="D77" s="1"/>
      <c r="E77" s="1"/>
      <c r="F77" s="1"/>
      <c r="G77" s="1"/>
      <c r="H77" s="1"/>
      <c r="I77" s="1"/>
      <c r="J77" s="1"/>
      <c r="K77" s="24"/>
    </row>
    <row r="78" spans="3:11" ht="15.75" x14ac:dyDescent="0.25">
      <c r="C78" s="24"/>
      <c r="D78" s="1"/>
      <c r="E78" s="1"/>
      <c r="F78" s="1"/>
      <c r="G78" s="1"/>
      <c r="H78" s="1"/>
      <c r="I78" s="1"/>
      <c r="J78" s="1"/>
      <c r="K78" s="24"/>
    </row>
    <row r="79" spans="3:11" ht="15.75" x14ac:dyDescent="0.25">
      <c r="C79" s="24"/>
      <c r="D79" s="1"/>
      <c r="E79" s="1"/>
      <c r="F79" s="1"/>
      <c r="G79" s="1"/>
      <c r="H79" s="1"/>
      <c r="I79" s="1"/>
      <c r="J79" s="1"/>
      <c r="K79" s="24"/>
    </row>
    <row r="80" spans="3:11" ht="15.75" x14ac:dyDescent="0.25">
      <c r="C80" s="24"/>
      <c r="D80" s="1"/>
      <c r="E80" s="1"/>
      <c r="F80" s="1"/>
      <c r="G80" s="1"/>
      <c r="H80" s="1"/>
      <c r="I80" s="1"/>
      <c r="J80" s="1"/>
      <c r="K80" s="24"/>
    </row>
    <row r="81" spans="3:11" ht="15.75" x14ac:dyDescent="0.25">
      <c r="C81" s="24"/>
      <c r="D81" s="1"/>
      <c r="E81" s="1"/>
      <c r="F81" s="1"/>
      <c r="G81" s="1"/>
      <c r="H81" s="1"/>
      <c r="I81" s="1"/>
      <c r="J81" s="1"/>
      <c r="K81" s="24"/>
    </row>
    <row r="82" spans="3:11" ht="15.75" x14ac:dyDescent="0.25">
      <c r="C82" s="24"/>
      <c r="D82" s="1"/>
      <c r="E82" s="1"/>
      <c r="F82" s="1"/>
      <c r="G82" s="1"/>
      <c r="H82" s="1"/>
      <c r="I82" s="1"/>
      <c r="J82" s="1"/>
      <c r="K82" s="24"/>
    </row>
    <row r="83" spans="3:11" ht="15.75" x14ac:dyDescent="0.25">
      <c r="C83" s="24"/>
      <c r="D83" s="1"/>
      <c r="E83" s="1"/>
      <c r="F83" s="1"/>
      <c r="G83" s="1"/>
      <c r="H83" s="1"/>
      <c r="I83" s="1"/>
      <c r="J83" s="1"/>
      <c r="K83" s="24"/>
    </row>
    <row r="84" spans="3:11" ht="15.75" x14ac:dyDescent="0.25">
      <c r="C84" s="24"/>
      <c r="D84" s="1"/>
      <c r="E84" s="1"/>
      <c r="F84" s="1"/>
      <c r="G84" s="1"/>
      <c r="H84" s="1"/>
      <c r="I84" s="1"/>
      <c r="J84" s="1"/>
      <c r="K84" s="24"/>
    </row>
    <row r="85" spans="3:11" ht="15.75" x14ac:dyDescent="0.25">
      <c r="C85" s="24"/>
      <c r="D85" s="1"/>
      <c r="E85" s="1"/>
      <c r="F85" s="1"/>
      <c r="G85" s="1"/>
      <c r="H85" s="1"/>
      <c r="I85" s="1"/>
      <c r="J85" s="1"/>
      <c r="K85" s="24"/>
    </row>
    <row r="86" spans="3:11" x14ac:dyDescent="0.25">
      <c r="C86" s="24"/>
      <c r="D86" s="24"/>
      <c r="E86" s="24"/>
      <c r="F86" s="24"/>
      <c r="G86" s="24"/>
      <c r="H86" s="24"/>
      <c r="I86" s="24"/>
      <c r="J86" s="24"/>
      <c r="K86" s="24"/>
    </row>
    <row r="87" spans="3:11" x14ac:dyDescent="0.25">
      <c r="C87" s="24"/>
      <c r="D87" s="24"/>
      <c r="E87" s="24"/>
      <c r="F87" s="24"/>
      <c r="G87" s="24"/>
      <c r="H87" s="24"/>
      <c r="I87" s="24"/>
      <c r="J87" s="24"/>
      <c r="K87" s="2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F23" sqref="F23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71" t="e" vm="1">
        <v>#VALUE!</v>
      </c>
      <c r="C1" s="12" t="s">
        <v>91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73"/>
      <c r="D4" s="73"/>
      <c r="E4" s="73"/>
      <c r="F4" s="73"/>
      <c r="G4" s="73"/>
      <c r="H4" s="73"/>
      <c r="I4" s="73"/>
      <c r="J4" s="73"/>
      <c r="K4" s="73"/>
    </row>
    <row r="5" spans="1:24" ht="20.100000000000001" customHeight="1" x14ac:dyDescent="0.25">
      <c r="D5" s="6" t="s">
        <v>15</v>
      </c>
      <c r="N5" s="43"/>
    </row>
    <row r="6" spans="1:24" ht="20.100000000000001" customHeight="1" x14ac:dyDescent="0.25">
      <c r="A6" s="20" t="s">
        <v>3</v>
      </c>
      <c r="D6" s="14"/>
      <c r="N6" s="44"/>
    </row>
    <row r="7" spans="1:24" ht="20.100000000000001" customHeight="1" x14ac:dyDescent="0.25">
      <c r="A7" s="21" t="str">
        <f>HYPERLINK("#'Input - Site'!A1", "Site")</f>
        <v>Site</v>
      </c>
      <c r="D7" s="1" t="s">
        <v>7</v>
      </c>
      <c r="E7" s="35" t="s">
        <v>6</v>
      </c>
      <c r="F7" s="2"/>
    </row>
    <row r="8" spans="1:24" ht="20.100000000000001" customHeight="1" x14ac:dyDescent="0.25">
      <c r="A8" s="17" t="str">
        <f>HYPERLINK("#'Input - Feedlot'!A1", "Feedlot")</f>
        <v>Feedlot</v>
      </c>
      <c r="D8" s="10" t="s">
        <v>72</v>
      </c>
      <c r="E8" s="35" t="s">
        <v>73</v>
      </c>
    </row>
    <row r="9" spans="1:24" ht="20.100000000000001" customHeight="1" x14ac:dyDescent="0.25">
      <c r="A9" s="17"/>
      <c r="N9" s="45"/>
    </row>
    <row r="10" spans="1:24" ht="20.100000000000001" customHeight="1" x14ac:dyDescent="0.25">
      <c r="A10" s="19" t="s">
        <v>76</v>
      </c>
      <c r="D10" s="98" t="s">
        <v>90</v>
      </c>
      <c r="E10" s="96"/>
      <c r="F10" s="99"/>
      <c r="G10" s="93"/>
      <c r="N10" s="45"/>
    </row>
    <row r="11" spans="1:24" ht="20.100000000000001" customHeight="1" x14ac:dyDescent="0.25">
      <c r="A11" s="17" t="str">
        <f>HYPERLINK("#'4.1.1.1-2 Methane'!A1", "4.1.1.1-2 Methane")</f>
        <v>4.1.1.1-2 Methane</v>
      </c>
      <c r="N11" s="46"/>
    </row>
    <row r="12" spans="1:24" ht="20.100000000000001" customHeight="1" x14ac:dyDescent="0.25">
      <c r="A12" s="17" t="str">
        <f>HYPERLINK("#'4.1.1.3-4 Direct N20'!A1", "4.1.1.3-4 Direct N2O")</f>
        <v>4.1.1.3-4 Direct N2O</v>
      </c>
      <c r="D12" s="10" t="s">
        <v>96</v>
      </c>
      <c r="E12" s="67">
        <v>45292</v>
      </c>
      <c r="F12" s="2" t="s">
        <v>70</v>
      </c>
    </row>
    <row r="13" spans="1:24" ht="20.100000000000001" customHeight="1" x14ac:dyDescent="0.25">
      <c r="A13" s="17" t="str">
        <f>HYPERLINK("#'4.1.1.5-6 Atmos Deposition'!A1", "4.1.1.5-6 Atmospheric deposition")</f>
        <v>4.1.1.5-6 Atmospheric deposition</v>
      </c>
      <c r="D13" s="10" t="s">
        <v>97</v>
      </c>
      <c r="E13" s="74">
        <f>DATE(YEAR(E12)+1,MONTH(E12),DAY(E12))-1</f>
        <v>45657</v>
      </c>
      <c r="F13" s="2" t="s">
        <v>17</v>
      </c>
      <c r="N13" s="40"/>
      <c r="O13" s="40"/>
    </row>
    <row r="14" spans="1:24" ht="20.100000000000001" customHeight="1" x14ac:dyDescent="0.25">
      <c r="A14" s="17" t="str">
        <f>HYPERLINK("#'4.1.1.9 Manure applied to soils'!A1", "4.1.1.9 Manure applied to soils")</f>
        <v>4.1.1.9 Manure applied to soils</v>
      </c>
      <c r="N14" s="40"/>
      <c r="O14" s="40"/>
    </row>
    <row r="15" spans="1:24" ht="20.100000000000001" customHeight="1" x14ac:dyDescent="0.25">
      <c r="A15"/>
      <c r="N15" s="40"/>
      <c r="O15" s="40"/>
    </row>
    <row r="16" spans="1:24" ht="20.100000000000001" customHeight="1" x14ac:dyDescent="0.25">
      <c r="A16" s="18" t="s">
        <v>4</v>
      </c>
      <c r="D16" s="6" t="s">
        <v>14</v>
      </c>
      <c r="N16" s="40"/>
      <c r="O16" s="40"/>
    </row>
    <row r="17" spans="1:25" ht="20.100000000000001" customHeight="1" x14ac:dyDescent="0.25">
      <c r="A17" s="17" t="str">
        <f>HYPERLINK("#'Constants - Feedlot'!A1", "Constants - Feedlot")</f>
        <v>Constants - Feedlot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100" t="s">
        <v>16</v>
      </c>
      <c r="E18" s="95"/>
      <c r="F18" s="95"/>
      <c r="G18" s="91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7" t="s">
        <v>71</v>
      </c>
      <c r="E19" s="94"/>
      <c r="F19" s="94"/>
      <c r="G19" s="92"/>
      <c r="N19" s="43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3"/>
      <c r="F20" s="2"/>
      <c r="N20" s="44"/>
    </row>
    <row r="21" spans="1:25" ht="20.100000000000001" customHeight="1" x14ac:dyDescent="0.25">
      <c r="A21"/>
      <c r="D21" s="1" t="s">
        <v>8</v>
      </c>
      <c r="E21" s="42" t="s">
        <v>106</v>
      </c>
      <c r="F21" s="2" t="s">
        <v>11</v>
      </c>
    </row>
    <row r="22" spans="1:25" ht="20.100000000000001" customHeight="1" x14ac:dyDescent="0.25">
      <c r="A22"/>
      <c r="D22" s="1" t="s">
        <v>25</v>
      </c>
      <c r="E22" s="42" t="s">
        <v>34</v>
      </c>
      <c r="F22" s="2" t="s">
        <v>11</v>
      </c>
      <c r="G22" s="1"/>
    </row>
    <row r="23" spans="1:25" ht="20.100000000000001" customHeight="1" x14ac:dyDescent="0.25">
      <c r="A23"/>
      <c r="D23" s="1" t="s">
        <v>9</v>
      </c>
      <c r="E23" s="42" t="s">
        <v>95</v>
      </c>
      <c r="F23" s="2" t="s">
        <v>11</v>
      </c>
    </row>
    <row r="24" spans="1:25" ht="20.100000000000001" customHeight="1" x14ac:dyDescent="0.25">
      <c r="A24"/>
      <c r="D24" s="1" t="s">
        <v>39</v>
      </c>
      <c r="E24" s="35">
        <v>307.7</v>
      </c>
      <c r="F24" s="2" t="s">
        <v>53</v>
      </c>
    </row>
    <row r="25" spans="1:25" ht="20.100000000000001" customHeight="1" x14ac:dyDescent="0.25">
      <c r="A25"/>
      <c r="D25" s="1" t="s">
        <v>61</v>
      </c>
      <c r="E25" s="35">
        <v>18</v>
      </c>
      <c r="F25" s="2" t="s">
        <v>12</v>
      </c>
      <c r="N25" s="44"/>
    </row>
    <row r="26" spans="1:25" ht="20.100000000000001" customHeight="1" x14ac:dyDescent="0.25">
      <c r="A26"/>
      <c r="D26" s="1" t="s">
        <v>62</v>
      </c>
      <c r="E26" s="35">
        <v>601</v>
      </c>
      <c r="F26" s="2" t="s">
        <v>13</v>
      </c>
    </row>
    <row r="27" spans="1:25" ht="20.100000000000001" customHeight="1" x14ac:dyDescent="0.25">
      <c r="A27"/>
      <c r="D27" s="10" t="s">
        <v>63</v>
      </c>
      <c r="E27" s="35">
        <v>1326</v>
      </c>
      <c r="F27" s="2" t="s">
        <v>13</v>
      </c>
    </row>
    <row r="28" spans="1:25" ht="20.100000000000001" customHeight="1" x14ac:dyDescent="0.25">
      <c r="A28"/>
      <c r="D28" s="1" t="s">
        <v>64</v>
      </c>
      <c r="E28" s="35">
        <v>7</v>
      </c>
      <c r="F28" s="2" t="s">
        <v>54</v>
      </c>
    </row>
    <row r="29" spans="1:25" ht="20.100000000000001" customHeight="1" x14ac:dyDescent="0.25">
      <c r="A29"/>
      <c r="D29" s="10" t="s">
        <v>60</v>
      </c>
      <c r="E29" s="55">
        <f>E26/E27</f>
        <v>0.45324283559577677</v>
      </c>
      <c r="F29" s="2"/>
    </row>
    <row r="30" spans="1:25" ht="20.100000000000001" customHeight="1" x14ac:dyDescent="0.25">
      <c r="A30"/>
      <c r="D30" s="10" t="s">
        <v>35</v>
      </c>
      <c r="E30" s="55" t="str">
        <f>Common_InputFunctions.Utility_LookupItemFromMinMax(E26,Table_SourceData_RainfallZones[Min rainfall],Table_SourceData_RainfallZones[Max rainfall],Table_SourceData_RainfallZones[Rainfall Zone])</f>
        <v>High rainfall</v>
      </c>
      <c r="G30" s="34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20.100000000000001" customHeight="1" x14ac:dyDescent="0.25">
      <c r="A31"/>
      <c r="D31" s="1" t="s">
        <v>10</v>
      </c>
      <c r="E31" s="55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3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20.100000000000001" customHeight="1" x14ac:dyDescent="0.25">
      <c r="A32"/>
      <c r="D32" s="1" t="s">
        <v>92</v>
      </c>
      <c r="E32" s="55" t="str">
        <f>Common_InputFunctions.Utility_LookupValueInTable($E$31,Table_SourceData_WetDryZones[Climate zone],Table_SourceData_WetDryZones[Wet or Dry Zone])</f>
        <v>Dry climate zone</v>
      </c>
      <c r="F32" s="1"/>
      <c r="G32" s="33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20.100000000000001" customHeight="1" x14ac:dyDescent="0.25">
      <c r="A33"/>
      <c r="D33" s="1" t="s">
        <v>52</v>
      </c>
      <c r="E33" s="55" t="str">
        <f>Common_InputFunctions.Utility_LookupItemFromMinMax(E25,Table_SourceData_TemperatureZones[Min MAT],Table_SourceData_TemperatureZones[Max MAT],Table_SourceData_TemperatureZones[Temperature Zone])</f>
        <v>Temperate</v>
      </c>
      <c r="G33" s="75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20.100000000000001" customHeight="1" x14ac:dyDescent="0.25">
      <c r="A34"/>
      <c r="J34" s="64"/>
      <c r="K34" s="78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ht="20.100000000000001" customHeight="1" x14ac:dyDescent="0.25">
      <c r="A35"/>
      <c r="J35" s="64"/>
      <c r="K35" s="78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ht="20.100000000000001" customHeight="1" x14ac:dyDescent="0.25">
      <c r="A36"/>
      <c r="D36" s="76"/>
      <c r="E36" s="76"/>
      <c r="F36" s="77"/>
      <c r="G36" s="64"/>
      <c r="H36" s="64"/>
      <c r="I36" s="65"/>
      <c r="J36" s="64"/>
      <c r="K36" s="78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ht="20.100000000000001" customHeight="1" x14ac:dyDescent="0.25">
      <c r="A37"/>
      <c r="D37" s="76"/>
      <c r="E37" s="76"/>
      <c r="F37" s="77"/>
      <c r="G37" s="64"/>
      <c r="H37" s="64"/>
      <c r="I37" s="65"/>
      <c r="J37" s="64"/>
      <c r="K37" s="78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20.100000000000001" customHeight="1" x14ac:dyDescent="0.25">
      <c r="A38"/>
      <c r="D38" s="76"/>
      <c r="E38" s="76"/>
      <c r="F38" s="77"/>
      <c r="G38" s="64"/>
      <c r="H38" s="64"/>
      <c r="I38" s="65"/>
      <c r="J38" s="64"/>
      <c r="K38" s="78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ht="20.100000000000001" customHeight="1" x14ac:dyDescent="0.25">
      <c r="A39"/>
      <c r="D39" s="76"/>
      <c r="E39" s="76"/>
      <c r="F39" s="77"/>
      <c r="G39" s="64"/>
      <c r="H39" s="64"/>
      <c r="I39" s="65"/>
      <c r="J39" s="64"/>
      <c r="K39" s="78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20.100000000000001" customHeight="1" x14ac:dyDescent="0.25">
      <c r="A40"/>
      <c r="D40" s="79"/>
      <c r="E40" s="79"/>
      <c r="F40" s="79"/>
      <c r="G40" s="80"/>
      <c r="H40" s="81"/>
      <c r="I40" s="81"/>
      <c r="J40" s="81"/>
      <c r="K40" s="81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3"/>
    </row>
    <row r="47" spans="1:25" ht="20.100000000000001" customHeight="1" x14ac:dyDescent="0.25">
      <c r="D47" s="82"/>
      <c r="E47" s="82"/>
      <c r="F47" s="82"/>
      <c r="G47" s="82"/>
      <c r="H47" s="82"/>
    </row>
    <row r="48" spans="1:25" ht="20.100000000000001" customHeight="1" x14ac:dyDescent="0.25">
      <c r="D48" s="36"/>
      <c r="E48" s="36"/>
      <c r="F48" s="37"/>
      <c r="G48" s="37"/>
      <c r="H48" s="36"/>
    </row>
    <row r="49" spans="4:8" ht="20.100000000000001" customHeight="1" x14ac:dyDescent="0.25">
      <c r="D49" s="36"/>
      <c r="E49" s="36"/>
      <c r="F49" s="37"/>
      <c r="G49" s="37"/>
      <c r="H49" s="36"/>
    </row>
    <row r="50" spans="4:8" ht="20.100000000000001" customHeight="1" x14ac:dyDescent="0.25">
      <c r="D50" s="36"/>
      <c r="E50" s="36"/>
      <c r="F50" s="37"/>
      <c r="G50" s="37"/>
      <c r="H50" s="36"/>
    </row>
    <row r="51" spans="4:8" ht="20.100000000000001" customHeight="1" x14ac:dyDescent="0.25">
      <c r="D51" s="83"/>
      <c r="E51" s="84"/>
      <c r="F51" s="84"/>
      <c r="G51" s="84"/>
      <c r="H51" s="85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6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3"/>
      <c r="F57" s="87"/>
    </row>
    <row r="58" spans="4:8" ht="20.100000000000001" customHeight="1" x14ac:dyDescent="0.25">
      <c r="D58" s="1"/>
      <c r="E58" s="88"/>
    </row>
    <row r="59" spans="4:8" ht="20.100000000000001" customHeight="1" x14ac:dyDescent="0.25">
      <c r="D59" s="1"/>
      <c r="E59" s="88"/>
    </row>
    <row r="60" spans="4:8" ht="20.100000000000001" customHeight="1" x14ac:dyDescent="0.25">
      <c r="D60" s="1"/>
      <c r="E60" s="89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3"/>
    </row>
    <row r="64" spans="4:8" ht="20.100000000000001" customHeight="1" x14ac:dyDescent="0.25">
      <c r="D64" s="1"/>
      <c r="E64" s="88"/>
    </row>
    <row r="65" spans="4:9" ht="20.100000000000001" customHeight="1" x14ac:dyDescent="0.25">
      <c r="D65" s="1"/>
      <c r="E65" s="88"/>
    </row>
    <row r="66" spans="4:9" ht="20.100000000000001" customHeight="1" x14ac:dyDescent="0.25">
      <c r="D66" s="1"/>
      <c r="E66" s="89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3"/>
      <c r="E69" s="63"/>
      <c r="F69" s="63"/>
      <c r="G69" s="63"/>
      <c r="H69" s="63"/>
      <c r="I69" s="63"/>
    </row>
    <row r="70" spans="4:9" ht="20.100000000000001" customHeight="1" x14ac:dyDescent="0.25">
      <c r="D70" s="63"/>
      <c r="E70" s="63"/>
      <c r="F70" s="63"/>
      <c r="G70" s="63"/>
      <c r="H70" s="63"/>
      <c r="I70" s="63"/>
    </row>
    <row r="71" spans="4:9" ht="20.100000000000001" customHeight="1" x14ac:dyDescent="0.25">
      <c r="D71" s="63"/>
      <c r="E71" s="63"/>
      <c r="F71" s="63"/>
      <c r="G71" s="63"/>
      <c r="H71" s="63"/>
      <c r="I71" s="63"/>
    </row>
    <row r="72" spans="4:9" ht="20.100000000000001" customHeight="1" x14ac:dyDescent="0.25">
      <c r="D72" s="63"/>
      <c r="E72" s="63"/>
      <c r="F72" s="63"/>
      <c r="G72" s="63"/>
      <c r="H72" s="63"/>
      <c r="I72" s="63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90"/>
    </row>
    <row r="79" spans="4:9" ht="20.100000000000001" customHeight="1" x14ac:dyDescent="0.25">
      <c r="D79" s="90"/>
    </row>
    <row r="80" spans="4:9" ht="20.100000000000001" customHeight="1" x14ac:dyDescent="0.25">
      <c r="D80" s="90"/>
    </row>
    <row r="81" spans="4:4" ht="20.100000000000001" customHeight="1" x14ac:dyDescent="0.25">
      <c r="D81" s="90"/>
    </row>
    <row r="82" spans="4:4" ht="20.100000000000001" customHeight="1" x14ac:dyDescent="0.25">
      <c r="D82" s="90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T165"/>
  <sheetViews>
    <sheetView showGridLines="0" topLeftCell="A82" workbookViewId="0">
      <selection activeCell="D44" sqref="D4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10" width="30.7109375" style="1" customWidth="1"/>
    <col min="11" max="11" width="4.7109375" style="1" customWidth="1"/>
    <col min="12" max="13" width="4.7109375" style="59" customWidth="1"/>
    <col min="14" max="19" width="30.7109375" style="59" customWidth="1"/>
    <col min="20" max="20" width="4.7109375" style="59" customWidth="1"/>
  </cols>
  <sheetData>
    <row r="1" spans="1:20" s="71" customFormat="1" ht="30" customHeight="1" x14ac:dyDescent="0.35">
      <c r="A1" s="71" t="e" vm="1">
        <v>#VALUE!</v>
      </c>
      <c r="C1" s="71" t="s">
        <v>298</v>
      </c>
      <c r="L1" s="59"/>
      <c r="M1" s="59"/>
      <c r="N1" s="59"/>
      <c r="O1" s="59"/>
      <c r="P1" s="59"/>
      <c r="Q1" s="59"/>
      <c r="R1" s="59"/>
      <c r="S1" s="59"/>
      <c r="T1" s="59"/>
    </row>
    <row r="2" spans="1:20" s="9" customFormat="1" ht="20.100000000000001" customHeight="1" x14ac:dyDescent="0.25">
      <c r="L2" s="59"/>
      <c r="M2" s="59"/>
      <c r="N2" s="59"/>
      <c r="O2" s="59"/>
      <c r="P2" s="59"/>
      <c r="Q2" s="59"/>
      <c r="R2" s="59"/>
      <c r="S2" s="59"/>
      <c r="T2" s="59"/>
    </row>
    <row r="3" spans="1:20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</row>
    <row r="4" spans="1:20" ht="20.100000000000001" customHeight="1" x14ac:dyDescent="0.25">
      <c r="A4" s="17" t="str">
        <f>HYPERLINK("#'Results'!A1", "Results")</f>
        <v>Results</v>
      </c>
    </row>
    <row r="5" spans="1:20" ht="20.100000000000001" customHeight="1" x14ac:dyDescent="0.25">
      <c r="A5" s="16"/>
      <c r="D5" s="6" t="s">
        <v>108</v>
      </c>
      <c r="K5" s="3"/>
      <c r="O5" s="7"/>
    </row>
    <row r="6" spans="1:20" ht="20.100000000000001" customHeight="1" x14ac:dyDescent="0.25">
      <c r="A6" s="20" t="s">
        <v>3</v>
      </c>
      <c r="K6" s="3"/>
      <c r="O6" s="7"/>
    </row>
    <row r="7" spans="1:20" ht="20.100000000000001" customHeight="1" x14ac:dyDescent="0.25">
      <c r="A7" s="17" t="str">
        <f>HYPERLINK("#'Input - Site'!A1", "Site")</f>
        <v>Site</v>
      </c>
      <c r="D7" s="66"/>
      <c r="E7" s="41" t="s">
        <v>277</v>
      </c>
      <c r="F7" s="41" t="s">
        <v>294</v>
      </c>
      <c r="G7" s="41" t="s">
        <v>295</v>
      </c>
      <c r="H7" s="41" t="s">
        <v>296</v>
      </c>
      <c r="I7" s="41" t="s">
        <v>297</v>
      </c>
      <c r="K7" s="3"/>
      <c r="O7" s="7"/>
    </row>
    <row r="8" spans="1:20" ht="20.100000000000001" customHeight="1" x14ac:dyDescent="0.25">
      <c r="A8" s="21" t="str">
        <f>HYPERLINK("#'Input - Dairy'!A1", "Dairy")</f>
        <v>Dairy</v>
      </c>
      <c r="D8" s="1" t="str">
        <f>"Average number of head between " &amp; TEXT('Input - Site'!$E$12, "dd mmm yy") &amp; " and " &amp; TEXT('Input - Site'!$E$13, "dd mmm yy")</f>
        <v>Average number of head between 01 Jan 24 and 31 Dec 24</v>
      </c>
      <c r="E8" s="106">
        <v>100</v>
      </c>
      <c r="F8" s="106">
        <v>100</v>
      </c>
      <c r="G8" s="106">
        <v>100</v>
      </c>
      <c r="H8" s="106">
        <v>100</v>
      </c>
      <c r="I8" s="106">
        <v>100</v>
      </c>
      <c r="J8" s="2" t="s">
        <v>110</v>
      </c>
      <c r="K8" s="3"/>
      <c r="O8" s="7"/>
    </row>
    <row r="9" spans="1:20" ht="20.100000000000001" customHeight="1" x14ac:dyDescent="0.25">
      <c r="A9" s="17"/>
      <c r="O9" s="7"/>
    </row>
    <row r="10" spans="1:20" ht="20.100000000000001" customHeight="1" x14ac:dyDescent="0.25">
      <c r="A10" s="19" t="s">
        <v>76</v>
      </c>
      <c r="D10" s="51" t="s">
        <v>109</v>
      </c>
      <c r="O10" s="7"/>
    </row>
    <row r="11" spans="1:20" ht="20.100000000000001" customHeight="1" x14ac:dyDescent="0.25">
      <c r="A11" s="17" t="str">
        <f>HYPERLINK("#'4.1.1.1-2 Methane'!A1", "4.1.1.1-2 Methane")</f>
        <v>4.1.1.1-2 Methane</v>
      </c>
      <c r="O11" s="7"/>
    </row>
    <row r="12" spans="1:20" ht="20.100000000000001" customHeight="1" x14ac:dyDescent="0.25">
      <c r="A12" s="17" t="str">
        <f>HYPERLINK("#'4.1.1.3-4 Direct N20'!A1", "4.1.1.3-4 Direct N2O")</f>
        <v>4.1.1.3-4 Direct N2O</v>
      </c>
      <c r="D12" s="66" t="s">
        <v>309</v>
      </c>
      <c r="E12" s="41" t="s">
        <v>277</v>
      </c>
      <c r="F12" s="41" t="s">
        <v>294</v>
      </c>
      <c r="G12" s="41" t="s">
        <v>295</v>
      </c>
      <c r="H12" s="41" t="s">
        <v>296</v>
      </c>
      <c r="I12" s="41" t="s">
        <v>297</v>
      </c>
      <c r="O12" s="7"/>
    </row>
    <row r="13" spans="1:20" ht="20.100000000000001" customHeight="1" x14ac:dyDescent="0.25">
      <c r="A13" s="17" t="str">
        <f>HYPERLINK("#'4.1.1.5-6 Atmos Deposition'!A1", "4.1.1.5-6 Atmospheric deposition")</f>
        <v>4.1.1.5-6 Atmospheric deposition</v>
      </c>
      <c r="D13" s="1" t="str">
        <f>"Average duration of stay between " &amp; TEXT('Input - Site'!$E$12, "dd mmm yy") &amp; " and " &amp; TEXT('Input - Site'!$E$13, "dd mmm yy") &amp; " weaned livestock"</f>
        <v>Average duration of stay between 01 Jan 24 and 31 Dec 24 weaned livestock</v>
      </c>
      <c r="E13" s="55" cm="1">
        <f t="array" ref="E13">Common_InputFunctions.Utility_LookupValueInTableNumber(E12,Table_SourceData_Dairy_Duration[Animal class j],Table_SourceData_Dairy_Duration[Duration (weaned)])</f>
        <v>365</v>
      </c>
      <c r="F13" s="55" cm="1">
        <f t="array" ref="F13">Common_InputFunctions.Utility_LookupValueInTableNumber(F12,Table_SourceData_Dairy_Duration[Animal class j],Table_SourceData_Dairy_Duration[Duration (weaned)])</f>
        <v>365</v>
      </c>
      <c r="G13" s="55" cm="1">
        <f t="array" ref="G13">Common_InputFunctions.Utility_LookupValueInTableNumber(G12,Table_SourceData_Dairy_Duration[Animal class j],Table_SourceData_Dairy_Duration[Duration (weaned)])</f>
        <v>281</v>
      </c>
      <c r="H13" s="55" cm="1">
        <f t="array" ref="H13">Common_InputFunctions.Utility_LookupValueInTableNumber(H12,Table_SourceData_Dairy_Duration[Animal class j],Table_SourceData_Dairy_Duration[Duration (weaned)])</f>
        <v>365</v>
      </c>
      <c r="I13" s="55" cm="1">
        <f t="array" ref="I13">Common_InputFunctions.Utility_LookupValueInTableNumber(I12,Table_SourceData_Dairy_Duration[Animal class j],Table_SourceData_Dairy_Duration[Duration (weaned)])</f>
        <v>281</v>
      </c>
      <c r="J13" s="2" t="s">
        <v>54</v>
      </c>
      <c r="O13" s="40"/>
    </row>
    <row r="14" spans="1:20" ht="20.100000000000001" customHeight="1" x14ac:dyDescent="0.25">
      <c r="A14" s="17" t="str">
        <f>HYPERLINK("#'4.1.1.9 Manure applied to soils'!A1", "4.1.1.9 Manure applied to soils")</f>
        <v>4.1.1.9 Manure applied to soils</v>
      </c>
      <c r="D14" s="1" t="str">
        <f>"Average duration of stay between " &amp; TEXT('Input - Site'!$E$12, "dd mmm yy") &amp; " and " &amp; TEXT('Input - Site'!$E$13, "dd mmm yy") &amp; " pre-weaned livestock"</f>
        <v>Average duration of stay between 01 Jan 24 and 31 Dec 24 pre-weaned livestock</v>
      </c>
      <c r="E14" s="55" cm="1">
        <f t="array" ref="E14">Common_InputFunctions.Utility_LookupValueInTableNumber(E12,Table_SourceData_Dairy_Duration[Animal class j],Table_SourceData_Dairy_Duration[Duration (pre-weaned)])</f>
        <v>0</v>
      </c>
      <c r="F14" s="55" cm="1">
        <f t="array" ref="F14">Common_InputFunctions.Utility_LookupValueInTableNumber(F12,Table_SourceData_Dairy_Duration[Animal class j],Table_SourceData_Dairy_Duration[Duration (pre-weaned)])</f>
        <v>0</v>
      </c>
      <c r="G14" s="55" cm="1">
        <f t="array" ref="G14">Common_InputFunctions.Utility_LookupValueInTableNumber(G12,Table_SourceData_Dairy_Duration[Animal class j],Table_SourceData_Dairy_Duration[Duration (pre-weaned)])</f>
        <v>84</v>
      </c>
      <c r="H14" s="55" cm="1">
        <f t="array" ref="H14">Common_InputFunctions.Utility_LookupValueInTableNumber(H12,Table_SourceData_Dairy_Duration[Animal class j],Table_SourceData_Dairy_Duration[Duration (pre-weaned)])</f>
        <v>0</v>
      </c>
      <c r="I14" s="55" cm="1">
        <f t="array" ref="I14">Common_InputFunctions.Utility_LookupValueInTableNumber(I12,Table_SourceData_Dairy_Duration[Animal class j],Table_SourceData_Dairy_Duration[Duration (pre-weaned)])</f>
        <v>84</v>
      </c>
      <c r="J14" s="2" t="s">
        <v>54</v>
      </c>
      <c r="O14" s="40"/>
    </row>
    <row r="15" spans="1:20" ht="20.100000000000001" customHeight="1" x14ac:dyDescent="0.25">
      <c r="O15" s="40"/>
    </row>
    <row r="16" spans="1:20" ht="20.100000000000001" customHeight="1" x14ac:dyDescent="0.25">
      <c r="A16" s="18" t="s">
        <v>4</v>
      </c>
      <c r="D16" s="66" t="s">
        <v>308</v>
      </c>
      <c r="E16" s="41" t="s">
        <v>277</v>
      </c>
      <c r="F16" s="41" t="s">
        <v>294</v>
      </c>
      <c r="G16" s="41" t="s">
        <v>295</v>
      </c>
      <c r="H16" s="41" t="s">
        <v>296</v>
      </c>
      <c r="I16" s="41" t="s">
        <v>297</v>
      </c>
      <c r="O16" s="40"/>
    </row>
    <row r="17" spans="1:15" ht="20.100000000000001" customHeight="1" x14ac:dyDescent="0.25">
      <c r="A17" s="134" t="str">
        <f>HYPERLINK("#'Constants - Dairy'!A1", "Constants - Dairy")</f>
        <v>Constants - Dairy</v>
      </c>
      <c r="D17" s="1" t="str">
        <f>"Average duration of stay between " &amp; TEXT('Input - Site'!$E$12, "dd mmm yy") &amp; " and " &amp; TEXT('Input - Site'!$E$13, "dd mmm yy") &amp; " weaned livestock"</f>
        <v>Average duration of stay between 01 Jan 24 and 31 Dec 24 weaned livestock</v>
      </c>
      <c r="E17" s="69" cm="1">
        <f t="array" ref="E17">Common_InputFunctions.Utility_LookupValueInTableNumber(E16,Table_SourceData_Dairy_Duration[Animal class j],Table_SourceData_Dairy_Duration[Duration (weaned)])</f>
        <v>365</v>
      </c>
      <c r="F17" s="69" cm="1">
        <f t="array" ref="F17">Common_InputFunctions.Utility_LookupValueInTableNumber(F16,Table_SourceData_Dairy_Duration[Animal class j],Table_SourceData_Dairy_Duration[Duration (weaned)])</f>
        <v>365</v>
      </c>
      <c r="G17" s="69" cm="1">
        <f t="array" ref="G17">Common_InputFunctions.Utility_LookupValueInTableNumber(G16,Table_SourceData_Dairy_Duration[Animal class j],Table_SourceData_Dairy_Duration[Duration (weaned)])</f>
        <v>281</v>
      </c>
      <c r="H17" s="69" cm="1">
        <f t="array" ref="H17">Common_InputFunctions.Utility_LookupValueInTableNumber(H16,Table_SourceData_Dairy_Duration[Animal class j],Table_SourceData_Dairy_Duration[Duration (weaned)])</f>
        <v>365</v>
      </c>
      <c r="I17" s="69" cm="1">
        <f t="array" ref="I17">Common_InputFunctions.Utility_LookupValueInTableNumber(I16,Table_SourceData_Dairy_Duration[Animal class j],Table_SourceData_Dairy_Duration[Duration (weaned)])</f>
        <v>281</v>
      </c>
      <c r="J17" s="2" t="s">
        <v>54</v>
      </c>
      <c r="O17" s="7"/>
    </row>
    <row r="18" spans="1:15" ht="20.100000000000001" customHeight="1" x14ac:dyDescent="0.25">
      <c r="A18" s="17" t="str">
        <f>HYPERLINK("#'Constants - Livestock'!A1", "Constants - Livestock")</f>
        <v>Constants - Livestock</v>
      </c>
      <c r="D18" s="1" t="str">
        <f>"Average duration of stay between " &amp; TEXT('Input - Site'!$E$12, "dd mmm yy") &amp; " and " &amp; TEXT('Input - Site'!$E$13, "dd mmm yy") &amp; " pre-weaned livestock"</f>
        <v>Average duration of stay between 01 Jan 24 and 31 Dec 24 pre-weaned livestock</v>
      </c>
      <c r="E18" s="69" cm="1">
        <f t="array" ref="E18">Common_InputFunctions.Utility_LookupValueInTableNumber(E16,Table_SourceData_Dairy_Duration[Animal class j],Table_SourceData_Dairy_Duration[Duration (pre-weaned)])</f>
        <v>0</v>
      </c>
      <c r="F18" s="69" cm="1">
        <f t="array" ref="F18">Common_InputFunctions.Utility_LookupValueInTableNumber(F16,Table_SourceData_Dairy_Duration[Animal class j],Table_SourceData_Dairy_Duration[Duration (pre-weaned)])</f>
        <v>0</v>
      </c>
      <c r="G18" s="69" cm="1">
        <f t="array" ref="G18">Common_InputFunctions.Utility_LookupValueInTableNumber(G16,Table_SourceData_Dairy_Duration[Animal class j],Table_SourceData_Dairy_Duration[Duration (pre-weaned)])</f>
        <v>84</v>
      </c>
      <c r="H18" s="69" cm="1">
        <f t="array" ref="H18">Common_InputFunctions.Utility_LookupValueInTableNumber(H16,Table_SourceData_Dairy_Duration[Animal class j],Table_SourceData_Dairy_Duration[Duration (pre-weaned)])</f>
        <v>0</v>
      </c>
      <c r="I18" s="69" cm="1">
        <f t="array" ref="I18">Common_InputFunctions.Utility_LookupValueInTableNumber(I16,Table_SourceData_Dairy_Duration[Animal class j],Table_SourceData_Dairy_Duration[Duration (pre-weaned)])</f>
        <v>84</v>
      </c>
      <c r="J18" s="2" t="s">
        <v>54</v>
      </c>
      <c r="O18" s="7"/>
    </row>
    <row r="19" spans="1:15" ht="20.100000000000001" customHeight="1" x14ac:dyDescent="0.25">
      <c r="A19" s="17" t="str">
        <f>HYPERLINK("#'Constants - Common'!A1", "Constants - Common")</f>
        <v>Constants - Common</v>
      </c>
      <c r="O19" s="7"/>
    </row>
    <row r="20" spans="1:15" ht="20.100000000000001" customHeight="1" x14ac:dyDescent="0.25">
      <c r="A20" s="17" t="str">
        <f>HYPERLINK("#'Acknowledgements'!A1", "Acknowledgements")</f>
        <v>Acknowledgements</v>
      </c>
      <c r="O20" s="7"/>
    </row>
    <row r="21" spans="1:15" ht="20.100000000000001" customHeight="1" x14ac:dyDescent="0.25">
      <c r="D21" s="6" t="s">
        <v>299</v>
      </c>
      <c r="E21" s="3"/>
      <c r="F21" s="3"/>
      <c r="G21" s="3"/>
      <c r="H21" s="3"/>
      <c r="I21" s="3"/>
      <c r="J21" s="3"/>
      <c r="O21" s="7"/>
    </row>
    <row r="22" spans="1:15" ht="20.100000000000001" customHeight="1" x14ac:dyDescent="0.25">
      <c r="D22" s="1" t="s">
        <v>300</v>
      </c>
      <c r="E22" s="69">
        <v>44</v>
      </c>
      <c r="F22" s="2" t="s">
        <v>301</v>
      </c>
      <c r="G22" s="6"/>
      <c r="H22" s="6"/>
      <c r="I22" s="6"/>
      <c r="J22" s="138"/>
      <c r="O22" s="7"/>
    </row>
    <row r="23" spans="1:15" ht="20.100000000000001" customHeight="1" x14ac:dyDescent="0.25">
      <c r="D23" s="3"/>
      <c r="E23" s="3"/>
      <c r="F23" s="3"/>
      <c r="G23" s="3"/>
      <c r="H23" s="3"/>
      <c r="I23" s="3"/>
      <c r="J23" s="3"/>
      <c r="O23" s="7"/>
    </row>
    <row r="24" spans="1:15" ht="20.100000000000001" customHeight="1" x14ac:dyDescent="0.25">
      <c r="O24" s="7"/>
    </row>
    <row r="25" spans="1:15" ht="20.100000000000001" customHeight="1" x14ac:dyDescent="0.25">
      <c r="A25" s="17"/>
      <c r="D25" s="6" t="s">
        <v>317</v>
      </c>
      <c r="O25" s="7"/>
    </row>
    <row r="26" spans="1:15" ht="20.100000000000001" customHeight="1" x14ac:dyDescent="0.25">
      <c r="A26" s="17"/>
      <c r="D26" s="51" t="s">
        <v>304</v>
      </c>
      <c r="O26" s="7"/>
    </row>
    <row r="27" spans="1:15" ht="20.100000000000001" customHeight="1" x14ac:dyDescent="0.25">
      <c r="A27" s="17"/>
      <c r="D27" s="1" t="s">
        <v>306</v>
      </c>
      <c r="E27" s="42" t="s">
        <v>319</v>
      </c>
      <c r="F27" s="2" t="s">
        <v>11</v>
      </c>
      <c r="O27" s="7"/>
    </row>
    <row r="28" spans="1:15" ht="20.100000000000001" customHeight="1" x14ac:dyDescent="0.25">
      <c r="A28" s="17"/>
      <c r="O28" s="7"/>
    </row>
    <row r="29" spans="1:15" ht="20.100000000000001" customHeight="1" x14ac:dyDescent="0.25">
      <c r="A29" s="17"/>
      <c r="D29" s="66" t="s">
        <v>309</v>
      </c>
      <c r="E29" s="41" t="s">
        <v>277</v>
      </c>
      <c r="F29" s="41" t="s">
        <v>294</v>
      </c>
      <c r="G29" s="41" t="s">
        <v>295</v>
      </c>
      <c r="H29" s="41" t="s">
        <v>296</v>
      </c>
      <c r="I29" s="41" t="s">
        <v>297</v>
      </c>
      <c r="O29" s="7"/>
    </row>
    <row r="30" spans="1:15" ht="20.100000000000001" customHeight="1" x14ac:dyDescent="0.25">
      <c r="A30" s="17"/>
      <c r="D30" s="1" t="s">
        <v>242</v>
      </c>
      <c r="E30" s="101" cm="1">
        <f t="array" ref="E30">Common_InputFunctions.Utility_LookupValueInTableNumber($E$27, Table_SourceData_Dairy_ProductionSystemTemplates[Area],Table_SourceData_Dairy_ProductionSystemTemplates[Pasture])</f>
        <v>0.53400000000000003</v>
      </c>
      <c r="F30" s="101" cm="1">
        <f t="array" ref="F30">Common_InputFunctions.Utility_LookupValueInTableNumber($E$27, Table_SourceData_Dairy_ProductionSystemTemplates[Area],Table_SourceData_Dairy_ProductionSystemTemplates[Pasture])</f>
        <v>0.53400000000000003</v>
      </c>
      <c r="G30" s="101" cm="1">
        <f t="array" ref="G30">Common_InputFunctions.Utility_LookupValueInTableNumber($E$27, Table_SourceData_Dairy_ProductionSystemTemplates[Area],Table_SourceData_Dairy_ProductionSystemTemplates[Pasture])</f>
        <v>0.53400000000000003</v>
      </c>
      <c r="H30" s="101" cm="1">
        <f t="array" ref="H30">Common_InputFunctions.Utility_LookupValueInTableNumber($E$27, Table_SourceData_Dairy_ProductionSystemTemplates[Area],Table_SourceData_Dairy_ProductionSystemTemplates[Pasture])</f>
        <v>0.53400000000000003</v>
      </c>
      <c r="I30" s="101" cm="1">
        <f t="array" ref="I30">Common_InputFunctions.Utility_LookupValueInTableNumber($E$27, Table_SourceData_Dairy_ProductionSystemTemplates[Area],Table_SourceData_Dairy_ProductionSystemTemplates[Pasture])</f>
        <v>0.53400000000000003</v>
      </c>
      <c r="J30" s="2" t="s">
        <v>18</v>
      </c>
      <c r="O30" s="7"/>
    </row>
    <row r="31" spans="1:15" ht="20.100000000000001" customHeight="1" x14ac:dyDescent="0.25">
      <c r="A31" s="70"/>
      <c r="D31" s="1" t="s">
        <v>291</v>
      </c>
      <c r="E31" s="101" cm="1">
        <f t="array" ref="E31">Common_InputFunctions.Utility_LookupValueInTableNumber($E$27, Table_SourceData_Dairy_ProductionSystemTemplates[Area],Table_SourceData_Dairy_ProductionSystemTemplates[Milking shed])</f>
        <v>0.11</v>
      </c>
      <c r="F31" s="101" cm="1">
        <f t="array" ref="F31">Common_InputFunctions.Utility_LookupValueInTableNumber($E$27, Table_SourceData_Dairy_ProductionSystemTemplates[Area],Table_SourceData_Dairy_ProductionSystemTemplates[Milking shed])</f>
        <v>0.11</v>
      </c>
      <c r="G31" s="101" cm="1">
        <f t="array" ref="G31">Common_InputFunctions.Utility_LookupValueInTableNumber($E$27, Table_SourceData_Dairy_ProductionSystemTemplates[Area],Table_SourceData_Dairy_ProductionSystemTemplates[Milking shed])</f>
        <v>0.11</v>
      </c>
      <c r="H31" s="101" cm="1">
        <f t="array" ref="H31">Common_InputFunctions.Utility_LookupValueInTableNumber($E$27, Table_SourceData_Dairy_ProductionSystemTemplates[Area],Table_SourceData_Dairy_ProductionSystemTemplates[Milking shed])</f>
        <v>0.11</v>
      </c>
      <c r="I31" s="101" cm="1">
        <f t="array" ref="I31">Common_InputFunctions.Utility_LookupValueInTableNumber($E$27, Table_SourceData_Dairy_ProductionSystemTemplates[Area],Table_SourceData_Dairy_ProductionSystemTemplates[Milking shed])</f>
        <v>0.11</v>
      </c>
      <c r="J31" s="2" t="s">
        <v>18</v>
      </c>
      <c r="O31" s="7"/>
    </row>
    <row r="32" spans="1:15" ht="20.100000000000001" customHeight="1" x14ac:dyDescent="0.25">
      <c r="A32" s="70"/>
      <c r="D32" s="1" t="s">
        <v>305</v>
      </c>
      <c r="E32" s="101" cm="1">
        <f t="array" ref="E32">Common_InputFunctions.Utility_LookupValueInTableNumber($E$27, Table_SourceData_Dairy_ProductionSystemTemplates[Area],Table_SourceData_Dairy_ProductionSystemTemplates[Feedpad])</f>
        <v>0.35599999999999998</v>
      </c>
      <c r="F32" s="101" cm="1">
        <f t="array" ref="F32">Common_InputFunctions.Utility_LookupValueInTableNumber($E$27, Table_SourceData_Dairy_ProductionSystemTemplates[Area],Table_SourceData_Dairy_ProductionSystemTemplates[Feedpad])</f>
        <v>0.35599999999999998</v>
      </c>
      <c r="G32" s="101" cm="1">
        <f t="array" ref="G32">Common_InputFunctions.Utility_LookupValueInTableNumber($E$27, Table_SourceData_Dairy_ProductionSystemTemplates[Area],Table_SourceData_Dairy_ProductionSystemTemplates[Feedpad])</f>
        <v>0.35599999999999998</v>
      </c>
      <c r="H32" s="101" cm="1">
        <f t="array" ref="H32">Common_InputFunctions.Utility_LookupValueInTableNumber($E$27, Table_SourceData_Dairy_ProductionSystemTemplates[Area],Table_SourceData_Dairy_ProductionSystemTemplates[Feedpad])</f>
        <v>0.35599999999999998</v>
      </c>
      <c r="I32" s="101" cm="1">
        <f t="array" ref="I32">Common_InputFunctions.Utility_LookupValueInTableNumber($E$27, Table_SourceData_Dairy_ProductionSystemTemplates[Area],Table_SourceData_Dairy_ProductionSystemTemplates[Feedpad])</f>
        <v>0.35599999999999998</v>
      </c>
      <c r="J32" s="2" t="s">
        <v>18</v>
      </c>
      <c r="O32" s="7"/>
    </row>
    <row r="33" spans="1:15" ht="20.100000000000001" customHeight="1" x14ac:dyDescent="0.25">
      <c r="A33" s="17"/>
      <c r="O33" s="7"/>
    </row>
    <row r="34" spans="1:15" ht="20.100000000000001" customHeight="1" x14ac:dyDescent="0.25">
      <c r="D34" s="66" t="s">
        <v>308</v>
      </c>
      <c r="E34" s="41" t="s">
        <v>277</v>
      </c>
      <c r="F34" s="41" t="s">
        <v>294</v>
      </c>
      <c r="G34" s="41" t="s">
        <v>295</v>
      </c>
      <c r="H34" s="41" t="s">
        <v>296</v>
      </c>
      <c r="I34" s="41" t="s">
        <v>297</v>
      </c>
      <c r="O34" s="7"/>
    </row>
    <row r="35" spans="1:15" ht="20.100000000000001" customHeight="1" x14ac:dyDescent="0.25">
      <c r="D35" s="1" t="s">
        <v>242</v>
      </c>
      <c r="E35" s="139" cm="1">
        <f t="array" ref="E35">Common_InputFunctions.Utility_LookupValueInTableNumber($E$27, Table_SourceData_Dairy_ProductionSystemTemplates[Area],Table_SourceData_Dairy_ProductionSystemTemplates[Pasture])</f>
        <v>0.53400000000000003</v>
      </c>
      <c r="F35" s="139" cm="1">
        <f t="array" ref="F35">Common_InputFunctions.Utility_LookupValueInTableNumber($E$27, Table_SourceData_Dairy_ProductionSystemTemplates[Area],Table_SourceData_Dairy_ProductionSystemTemplates[Pasture])</f>
        <v>0.53400000000000003</v>
      </c>
      <c r="G35" s="139" cm="1">
        <f t="array" ref="G35">Common_InputFunctions.Utility_LookupValueInTableNumber($E$27, Table_SourceData_Dairy_ProductionSystemTemplates[Area],Table_SourceData_Dairy_ProductionSystemTemplates[Pasture])</f>
        <v>0.53400000000000003</v>
      </c>
      <c r="H35" s="139" cm="1">
        <f t="array" ref="H35">Common_InputFunctions.Utility_LookupValueInTableNumber($E$27, Table_SourceData_Dairy_ProductionSystemTemplates[Area],Table_SourceData_Dairy_ProductionSystemTemplates[Pasture])</f>
        <v>0.53400000000000003</v>
      </c>
      <c r="I35" s="139" cm="1">
        <f t="array" ref="I35">Common_InputFunctions.Utility_LookupValueInTableNumber($E$27, Table_SourceData_Dairy_ProductionSystemTemplates[Area],Table_SourceData_Dairy_ProductionSystemTemplates[Pasture])</f>
        <v>0.53400000000000003</v>
      </c>
      <c r="J35" s="2" t="s">
        <v>18</v>
      </c>
      <c r="O35" s="7"/>
    </row>
    <row r="36" spans="1:15" ht="20.100000000000001" customHeight="1" x14ac:dyDescent="0.25">
      <c r="D36" s="1" t="s">
        <v>291</v>
      </c>
      <c r="E36" s="139" cm="1">
        <f t="array" ref="E36">Common_InputFunctions.Utility_LookupValueInTableNumber($E$27, Table_SourceData_Dairy_ProductionSystemTemplates[Area],Table_SourceData_Dairy_ProductionSystemTemplates[Milking shed])</f>
        <v>0.11</v>
      </c>
      <c r="F36" s="139" cm="1">
        <f t="array" ref="F36">Common_InputFunctions.Utility_LookupValueInTableNumber($E$27, Table_SourceData_Dairy_ProductionSystemTemplates[Area],Table_SourceData_Dairy_ProductionSystemTemplates[Milking shed])</f>
        <v>0.11</v>
      </c>
      <c r="G36" s="139" cm="1">
        <f t="array" ref="G36">Common_InputFunctions.Utility_LookupValueInTableNumber($E$27, Table_SourceData_Dairy_ProductionSystemTemplates[Area],Table_SourceData_Dairy_ProductionSystemTemplates[Milking shed])</f>
        <v>0.11</v>
      </c>
      <c r="H36" s="139" cm="1">
        <f t="array" ref="H36">Common_InputFunctions.Utility_LookupValueInTableNumber($E$27, Table_SourceData_Dairy_ProductionSystemTemplates[Area],Table_SourceData_Dairy_ProductionSystemTemplates[Milking shed])</f>
        <v>0.11</v>
      </c>
      <c r="I36" s="139" cm="1">
        <f t="array" ref="I36">Common_InputFunctions.Utility_LookupValueInTableNumber($E$27, Table_SourceData_Dairy_ProductionSystemTemplates[Area],Table_SourceData_Dairy_ProductionSystemTemplates[Milking shed])</f>
        <v>0.11</v>
      </c>
      <c r="J36" s="2" t="s">
        <v>18</v>
      </c>
      <c r="O36" s="7"/>
    </row>
    <row r="37" spans="1:15" ht="20.100000000000001" customHeight="1" x14ac:dyDescent="0.25">
      <c r="D37" s="1" t="s">
        <v>305</v>
      </c>
      <c r="E37" s="139" cm="1">
        <f t="array" ref="E37">Common_InputFunctions.Utility_LookupValueInTableNumber($E$27, Table_SourceData_Dairy_ProductionSystemTemplates[Area],Table_SourceData_Dairy_ProductionSystemTemplates[Feedpad])</f>
        <v>0.35599999999999998</v>
      </c>
      <c r="F37" s="139" cm="1">
        <f t="array" ref="F37">Common_InputFunctions.Utility_LookupValueInTableNumber($E$27, Table_SourceData_Dairy_ProductionSystemTemplates[Area],Table_SourceData_Dairy_ProductionSystemTemplates[Feedpad])</f>
        <v>0.35599999999999998</v>
      </c>
      <c r="G37" s="139" cm="1">
        <f t="array" ref="G37">Common_InputFunctions.Utility_LookupValueInTableNumber($E$27, Table_SourceData_Dairy_ProductionSystemTemplates[Area],Table_SourceData_Dairy_ProductionSystemTemplates[Feedpad])</f>
        <v>0.35599999999999998</v>
      </c>
      <c r="H37" s="139" cm="1">
        <f t="array" ref="H37">Common_InputFunctions.Utility_LookupValueInTableNumber($E$27, Table_SourceData_Dairy_ProductionSystemTemplates[Area],Table_SourceData_Dairy_ProductionSystemTemplates[Feedpad])</f>
        <v>0.35599999999999998</v>
      </c>
      <c r="I37" s="139" cm="1">
        <f t="array" ref="I37">Common_InputFunctions.Utility_LookupValueInTableNumber($E$27, Table_SourceData_Dairy_ProductionSystemTemplates[Area],Table_SourceData_Dairy_ProductionSystemTemplates[Feedpad])</f>
        <v>0.35599999999999998</v>
      </c>
      <c r="J37" s="2" t="s">
        <v>18</v>
      </c>
      <c r="O37" s="7"/>
    </row>
    <row r="38" spans="1:15" ht="20.100000000000001" customHeight="1" x14ac:dyDescent="0.25">
      <c r="O38" s="7"/>
    </row>
    <row r="39" spans="1:15" ht="20.100000000000001" customHeight="1" x14ac:dyDescent="0.25">
      <c r="A39" s="17"/>
      <c r="O39" s="7"/>
    </row>
    <row r="40" spans="1:15" ht="20.100000000000001" customHeight="1" x14ac:dyDescent="0.25">
      <c r="D40" s="6" t="s">
        <v>104</v>
      </c>
      <c r="O40" s="7"/>
    </row>
    <row r="41" spans="1:15" ht="20.100000000000001" customHeight="1" x14ac:dyDescent="0.25">
      <c r="A41" s="47"/>
      <c r="D41" s="51" t="str">
        <f>"From " &amp; $D$31</f>
        <v>From Milking shed</v>
      </c>
      <c r="O41" s="7"/>
    </row>
    <row r="42" spans="1:15" ht="20.100000000000001" customHeight="1" x14ac:dyDescent="0.25">
      <c r="O42" s="7"/>
    </row>
    <row r="43" spans="1:15" ht="20.100000000000001" customHeight="1" x14ac:dyDescent="0.25">
      <c r="D43" s="66" t="s">
        <v>102</v>
      </c>
      <c r="E43" s="41" t="s">
        <v>277</v>
      </c>
      <c r="F43" s="41" t="s">
        <v>294</v>
      </c>
      <c r="G43" s="41" t="s">
        <v>295</v>
      </c>
      <c r="H43" s="41" t="s">
        <v>296</v>
      </c>
      <c r="I43" s="41" t="s">
        <v>297</v>
      </c>
      <c r="O43" s="7"/>
    </row>
    <row r="44" spans="1:15" ht="20.100000000000001" customHeight="1" x14ac:dyDescent="0.25">
      <c r="D44" s="56" t="str">
        <f>'Constants - Dairy'!$D$8</f>
        <v>Anaerobic lagoon</v>
      </c>
      <c r="E44" s="49">
        <v>0.25</v>
      </c>
      <c r="F44" s="49">
        <v>0.25</v>
      </c>
      <c r="G44" s="49">
        <v>0.25</v>
      </c>
      <c r="H44" s="49">
        <v>0.25</v>
      </c>
      <c r="I44" s="49">
        <v>0.25</v>
      </c>
      <c r="J44" s="2" t="s">
        <v>18</v>
      </c>
      <c r="O44" s="7"/>
    </row>
    <row r="45" spans="1:15" ht="20.100000000000001" customHeight="1" x14ac:dyDescent="0.25">
      <c r="D45" s="1" t="str">
        <f>"Were solids separated from " &amp; $D$44 &amp; "?"</f>
        <v>Were solids separated from Anaerobic lagoon?</v>
      </c>
      <c r="E45" s="42" t="s">
        <v>310</v>
      </c>
      <c r="F45" s="2" t="s">
        <v>11</v>
      </c>
      <c r="O45" s="7"/>
    </row>
    <row r="46" spans="1:15" ht="20.100000000000001" customHeight="1" x14ac:dyDescent="0.25">
      <c r="D46" s="1" t="str">
        <f>"Percent solids separated from " &amp; $D$44 &amp; " (Method 1 - Do not edit)"</f>
        <v>Percent solids separated from Anaerobic lagoon (Method 1 - Do not edit)</v>
      </c>
      <c r="E46" s="101">
        <v>0.2</v>
      </c>
      <c r="F46" s="2" t="s">
        <v>18</v>
      </c>
      <c r="O46" s="7"/>
    </row>
    <row r="47" spans="1:15" ht="20.100000000000001" customHeight="1" x14ac:dyDescent="0.25">
      <c r="D47" s="1" t="str">
        <f>"Percent solids separated from " &amp; $D$44 &amp; " (Method 2 - Edit if known)"</f>
        <v>Percent solids separated from Anaerobic lagoon (Method 2 - Edit if known)</v>
      </c>
      <c r="E47" s="49">
        <v>0.2</v>
      </c>
      <c r="F47" s="2" t="s">
        <v>18</v>
      </c>
      <c r="O47" s="7"/>
    </row>
    <row r="48" spans="1:15" ht="20.100000000000001" customHeight="1" x14ac:dyDescent="0.25">
      <c r="O48" s="7"/>
    </row>
    <row r="49" spans="4:15" ht="20.100000000000001" customHeight="1" x14ac:dyDescent="0.25">
      <c r="D49" s="56" t="str">
        <f>'Constants - Dairy'!$D$9</f>
        <v>Sump and dispersal system</v>
      </c>
      <c r="E49" s="49">
        <v>0.25</v>
      </c>
      <c r="F49" s="49">
        <v>0.25</v>
      </c>
      <c r="G49" s="49">
        <v>0.25</v>
      </c>
      <c r="H49" s="49">
        <v>0.25</v>
      </c>
      <c r="I49" s="49">
        <v>0.25</v>
      </c>
      <c r="J49" s="2" t="s">
        <v>18</v>
      </c>
      <c r="O49" s="7"/>
    </row>
    <row r="50" spans="4:15" ht="20.100000000000001" customHeight="1" x14ac:dyDescent="0.25">
      <c r="D50" s="1" t="str">
        <f>"Were solids separated from " &amp; $D$49 &amp; "?"</f>
        <v>Were solids separated from Sump and dispersal system?</v>
      </c>
      <c r="E50" s="42" t="s">
        <v>310</v>
      </c>
      <c r="F50" s="2" t="s">
        <v>11</v>
      </c>
      <c r="K50" s="3"/>
      <c r="O50" s="7"/>
    </row>
    <row r="51" spans="4:15" ht="20.100000000000001" customHeight="1" x14ac:dyDescent="0.25">
      <c r="D51" s="1" t="str">
        <f>"Percent solids separated from " &amp; $D$49 &amp; " (Method 1 - Do not edit)"</f>
        <v>Percent solids separated from Sump and dispersal system (Method 1 - Do not edit)</v>
      </c>
      <c r="E51" s="101">
        <v>0.2</v>
      </c>
      <c r="F51" s="2" t="s">
        <v>18</v>
      </c>
      <c r="K51" s="3"/>
      <c r="O51" s="7"/>
    </row>
    <row r="52" spans="4:15" ht="20.100000000000001" customHeight="1" x14ac:dyDescent="0.25">
      <c r="D52" s="1" t="str">
        <f>"Percent solids separated from " &amp; $D$49 &amp; " (Method 2 - Edit if known)"</f>
        <v>Percent solids separated from Sump and dispersal system (Method 2 - Edit if known)</v>
      </c>
      <c r="E52" s="49">
        <v>0.2</v>
      </c>
      <c r="F52" s="2" t="s">
        <v>18</v>
      </c>
      <c r="K52" s="3"/>
      <c r="O52" s="7"/>
    </row>
    <row r="53" spans="4:15" ht="20.100000000000001" customHeight="1" x14ac:dyDescent="0.25">
      <c r="K53" s="3"/>
      <c r="O53" s="7"/>
    </row>
    <row r="54" spans="4:15" ht="20.100000000000001" customHeight="1" x14ac:dyDescent="0.25">
      <c r="D54" s="56" t="str">
        <f>'Constants - Dairy'!$D$10</f>
        <v>Drains to paddock</v>
      </c>
      <c r="E54" s="49">
        <v>0.25</v>
      </c>
      <c r="F54" s="49">
        <v>0.25</v>
      </c>
      <c r="G54" s="49">
        <v>0.25</v>
      </c>
      <c r="H54" s="49">
        <v>0.25</v>
      </c>
      <c r="I54" s="49">
        <v>0.25</v>
      </c>
      <c r="J54" s="2" t="s">
        <v>18</v>
      </c>
      <c r="K54" s="3"/>
      <c r="O54" s="7"/>
    </row>
    <row r="55" spans="4:15" ht="20.100000000000001" customHeight="1" x14ac:dyDescent="0.25">
      <c r="D55" s="1" t="str">
        <f>"Were solids separated from " &amp; $D$54 &amp; "?"</f>
        <v>Were solids separated from Drains to paddock?</v>
      </c>
      <c r="E55" s="42" t="s">
        <v>310</v>
      </c>
      <c r="F55" s="2" t="s">
        <v>11</v>
      </c>
      <c r="K55" s="3"/>
      <c r="O55" s="7"/>
    </row>
    <row r="56" spans="4:15" ht="20.100000000000001" customHeight="1" x14ac:dyDescent="0.25">
      <c r="D56" s="1" t="str">
        <f>"Percent solids separated from " &amp; $D$54 &amp; " (Method 1 - Do not edit)"</f>
        <v>Percent solids separated from Drains to paddock (Method 1 - Do not edit)</v>
      </c>
      <c r="E56" s="101">
        <v>0.2</v>
      </c>
      <c r="F56" s="2" t="s">
        <v>18</v>
      </c>
      <c r="K56" s="3"/>
      <c r="O56" s="7"/>
    </row>
    <row r="57" spans="4:15" ht="20.100000000000001" customHeight="1" x14ac:dyDescent="0.25">
      <c r="D57" s="1" t="str">
        <f>"Percent solids separated from " &amp; $D$54 &amp; " (Method 2 - Edit if known)"</f>
        <v>Percent solids separated from Drains to paddock (Method 2 - Edit if known)</v>
      </c>
      <c r="E57" s="49">
        <v>0.2</v>
      </c>
      <c r="F57" s="2" t="s">
        <v>18</v>
      </c>
      <c r="K57" s="3"/>
      <c r="O57" s="7"/>
    </row>
    <row r="58" spans="4:15" ht="20.100000000000001" customHeight="1" x14ac:dyDescent="0.25">
      <c r="K58" s="3"/>
      <c r="O58" s="7"/>
    </row>
    <row r="59" spans="4:15" ht="20.100000000000001" customHeight="1" x14ac:dyDescent="0.25">
      <c r="D59" s="56" t="str">
        <f>'Constants - Dairy'!$D$11</f>
        <v>Solid storage</v>
      </c>
      <c r="E59" s="49">
        <v>0.25</v>
      </c>
      <c r="F59" s="49">
        <v>0.25</v>
      </c>
      <c r="G59" s="49">
        <v>0.25</v>
      </c>
      <c r="H59" s="49">
        <v>0.25</v>
      </c>
      <c r="I59" s="49">
        <v>0.25</v>
      </c>
      <c r="J59" s="2" t="s">
        <v>18</v>
      </c>
      <c r="K59" s="3"/>
      <c r="O59" s="7"/>
    </row>
    <row r="60" spans="4:15" ht="20.100000000000001" customHeight="1" x14ac:dyDescent="0.25">
      <c r="D60" s="1" t="str">
        <f>"Perecnt separated from " &amp; $D$44 &amp; " (Method 1)"</f>
        <v>Perecnt separated from Anaerobic lagoon (Method 1)</v>
      </c>
      <c r="E60" s="101">
        <f>E44*$E$46</f>
        <v>0.05</v>
      </c>
      <c r="F60" s="101">
        <f>F44*$E$46</f>
        <v>0.05</v>
      </c>
      <c r="G60" s="101">
        <f>G44*$E$46</f>
        <v>0.05</v>
      </c>
      <c r="H60" s="101">
        <f>H44*$E$46</f>
        <v>0.05</v>
      </c>
      <c r="I60" s="101">
        <f>I44*$E$46</f>
        <v>0.05</v>
      </c>
      <c r="J60" s="2" t="s">
        <v>18</v>
      </c>
      <c r="K60" s="3"/>
      <c r="O60" s="7"/>
    </row>
    <row r="61" spans="4:15" ht="20.100000000000001" customHeight="1" x14ac:dyDescent="0.25">
      <c r="D61" s="1" t="str">
        <f>"Perecnt separated from " &amp; $D$49 &amp; " (Method 1)"</f>
        <v>Perecnt separated from Sump and dispersal system (Method 1)</v>
      </c>
      <c r="E61" s="101">
        <f>E49*$E$51</f>
        <v>0.05</v>
      </c>
      <c r="F61" s="101">
        <f>F49*$E$51</f>
        <v>0.05</v>
      </c>
      <c r="G61" s="101">
        <f>G49*$E$51</f>
        <v>0.05</v>
      </c>
      <c r="H61" s="101">
        <f>H49*$E$51</f>
        <v>0.05</v>
      </c>
      <c r="I61" s="101">
        <f>I49*$E$51</f>
        <v>0.05</v>
      </c>
      <c r="J61" s="2" t="s">
        <v>18</v>
      </c>
      <c r="K61" s="3"/>
      <c r="O61" s="7"/>
    </row>
    <row r="62" spans="4:15" ht="20.100000000000001" customHeight="1" x14ac:dyDescent="0.25">
      <c r="D62" s="1" t="str">
        <f>"Perecnt separated from " &amp; $D$54 &amp; " (Method 1)"</f>
        <v>Perecnt separated from Drains to paddock (Method 1)</v>
      </c>
      <c r="E62" s="101">
        <f>E54*$E$56</f>
        <v>0.05</v>
      </c>
      <c r="F62" s="101">
        <f>F54*$E$56</f>
        <v>0.05</v>
      </c>
      <c r="G62" s="101">
        <f>G54*$E$56</f>
        <v>0.05</v>
      </c>
      <c r="H62" s="101">
        <f>H54*$E$56</f>
        <v>0.05</v>
      </c>
      <c r="I62" s="101">
        <f>I54*$E$56</f>
        <v>0.05</v>
      </c>
      <c r="J62" s="2" t="s">
        <v>18</v>
      </c>
      <c r="K62" s="3"/>
      <c r="O62" s="7"/>
    </row>
    <row r="63" spans="4:15" ht="20.100000000000001" customHeight="1" x14ac:dyDescent="0.25">
      <c r="D63" s="1" t="s">
        <v>312</v>
      </c>
      <c r="E63" s="101">
        <f>E$59+SUM(E60:E62)</f>
        <v>0.4</v>
      </c>
      <c r="F63" s="101">
        <f>F$59+SUM(F60:F62)</f>
        <v>0.4</v>
      </c>
      <c r="G63" s="101">
        <f>G$59+SUM(G60:G62)</f>
        <v>0.4</v>
      </c>
      <c r="H63" s="101">
        <f>H$59+SUM(H60:H62)</f>
        <v>0.4</v>
      </c>
      <c r="I63" s="101">
        <f>I$59+SUM(I60:I62)</f>
        <v>0.4</v>
      </c>
      <c r="J63" s="2" t="s">
        <v>18</v>
      </c>
      <c r="K63" s="3"/>
      <c r="O63" s="7"/>
    </row>
    <row r="64" spans="4:15" ht="20.100000000000001" customHeight="1" x14ac:dyDescent="0.25">
      <c r="K64" s="3"/>
      <c r="O64" s="7"/>
    </row>
    <row r="65" spans="4:15" ht="20.100000000000001" customHeight="1" x14ac:dyDescent="0.25">
      <c r="D65" s="1" t="s">
        <v>311</v>
      </c>
      <c r="E65" s="101">
        <f>(E44-(E44*$E$46))+(E49-(E49*$E$51))+(E54-(E54*$E$56))+E63</f>
        <v>1</v>
      </c>
      <c r="F65" s="101">
        <f>(F44-(F44*$E$46))+(F49-(F49*$E$51))+(F54-(F54*$E$56))+F63</f>
        <v>1</v>
      </c>
      <c r="G65" s="101">
        <f>(G44-(G44*$E$46))+(G49-(G49*$E$51))+(G54-(G54*$E$56))+G63</f>
        <v>1</v>
      </c>
      <c r="H65" s="101">
        <f>(H44-(H44*$E$46))+(H49-(H49*$E$51))+(H54-(H54*$E$56))+H63</f>
        <v>1</v>
      </c>
      <c r="I65" s="101">
        <f>(I44-(I44*$E$46))+(I49-(I49*$E$51))+(I54-(I54*$E$56))+I63</f>
        <v>1</v>
      </c>
      <c r="J65" s="2" t="s">
        <v>18</v>
      </c>
      <c r="K65" s="3"/>
      <c r="O65" s="7"/>
    </row>
    <row r="66" spans="4:15" ht="20.100000000000001" customHeight="1" x14ac:dyDescent="0.25">
      <c r="K66" s="3"/>
      <c r="O66" s="7"/>
    </row>
    <row r="67" spans="4:15" ht="20.100000000000001" customHeight="1" x14ac:dyDescent="0.25">
      <c r="D67" s="1" t="str">
        <f>"Perecnt separated from " &amp; $D$44 &amp; " (Method 2)"</f>
        <v>Perecnt separated from Anaerobic lagoon (Method 2)</v>
      </c>
      <c r="E67" s="101">
        <f>E44*$E$47</f>
        <v>0.05</v>
      </c>
      <c r="F67" s="101">
        <f>F44*$E$47</f>
        <v>0.05</v>
      </c>
      <c r="G67" s="101">
        <f>G44*$E$47</f>
        <v>0.05</v>
      </c>
      <c r="H67" s="101">
        <f>H44*$E$47</f>
        <v>0.05</v>
      </c>
      <c r="I67" s="101">
        <f>I44*$E$47</f>
        <v>0.05</v>
      </c>
      <c r="J67" s="2" t="s">
        <v>18</v>
      </c>
      <c r="K67" s="3"/>
      <c r="O67" s="7"/>
    </row>
    <row r="68" spans="4:15" ht="20.100000000000001" customHeight="1" x14ac:dyDescent="0.25">
      <c r="D68" s="1" t="str">
        <f>"Perecnt separated from " &amp; $D$49 &amp; " (Method 2)"</f>
        <v>Perecnt separated from Sump and dispersal system (Method 2)</v>
      </c>
      <c r="E68" s="101">
        <f>E49*$E$52</f>
        <v>0.05</v>
      </c>
      <c r="F68" s="101">
        <f>F49*$E$52</f>
        <v>0.05</v>
      </c>
      <c r="G68" s="101">
        <f>G49*$E$52</f>
        <v>0.05</v>
      </c>
      <c r="H68" s="101">
        <f>H49*$E$52</f>
        <v>0.05</v>
      </c>
      <c r="I68" s="101">
        <f>I49*$E$52</f>
        <v>0.05</v>
      </c>
      <c r="J68" s="2" t="s">
        <v>18</v>
      </c>
      <c r="K68" s="3"/>
      <c r="O68" s="7"/>
    </row>
    <row r="69" spans="4:15" ht="20.100000000000001" customHeight="1" x14ac:dyDescent="0.25">
      <c r="D69" s="1" t="str">
        <f>"Perecnt separated from " &amp; $D$54 &amp; " (Method 2)"</f>
        <v>Perecnt separated from Drains to paddock (Method 2)</v>
      </c>
      <c r="E69" s="101">
        <f>E54*$E$57</f>
        <v>0.05</v>
      </c>
      <c r="F69" s="101">
        <f>F54*$E$57</f>
        <v>0.05</v>
      </c>
      <c r="G69" s="101">
        <f>G54*$E$57</f>
        <v>0.05</v>
      </c>
      <c r="H69" s="101">
        <f>H54*$E$57</f>
        <v>0.05</v>
      </c>
      <c r="I69" s="101">
        <f>I54*$E$57</f>
        <v>0.05</v>
      </c>
      <c r="J69" s="2" t="s">
        <v>18</v>
      </c>
      <c r="K69" s="3"/>
      <c r="O69" s="7"/>
    </row>
    <row r="70" spans="4:15" ht="20.100000000000001" customHeight="1" x14ac:dyDescent="0.25">
      <c r="D70" s="1" t="s">
        <v>313</v>
      </c>
      <c r="E70" s="101">
        <f>E$59+SUM(E67:E69)</f>
        <v>0.4</v>
      </c>
      <c r="F70" s="101">
        <f>F$59+SUM(F67:F69)</f>
        <v>0.4</v>
      </c>
      <c r="G70" s="101">
        <f>G$59+SUM(G67:G69)</f>
        <v>0.4</v>
      </c>
      <c r="H70" s="101">
        <f>H$59+SUM(H67:H69)</f>
        <v>0.4</v>
      </c>
      <c r="I70" s="101">
        <f>I$59+SUM(I67:I69)</f>
        <v>0.4</v>
      </c>
      <c r="J70" s="2" t="s">
        <v>18</v>
      </c>
      <c r="K70" s="3"/>
      <c r="O70" s="7"/>
    </row>
    <row r="71" spans="4:15" ht="20.100000000000001" customHeight="1" x14ac:dyDescent="0.25">
      <c r="K71" s="3"/>
      <c r="O71" s="7"/>
    </row>
    <row r="72" spans="4:15" ht="20.100000000000001" customHeight="1" x14ac:dyDescent="0.25">
      <c r="D72" s="1" t="s">
        <v>314</v>
      </c>
      <c r="E72" s="101">
        <f>(E44-(E44*$E$47))+(E49-(E49*$E$52))+(E54-(E54*$E$57))+E70</f>
        <v>1</v>
      </c>
      <c r="F72" s="101">
        <f>(F44-(F44*$E$47))+(F49-(F49*$E$52))+(F54-(F54*$E$57))+F70</f>
        <v>1</v>
      </c>
      <c r="G72" s="101">
        <f>(G44-(G44*$E$47))+(G49-(G49*$E$52))+(G54-(G54*$E$57))+G70</f>
        <v>1</v>
      </c>
      <c r="H72" s="101">
        <f>(H44-(H44*$E$47))+(H49-(H49*$E$52))+(H54-(H54*$E$57))+H70</f>
        <v>1</v>
      </c>
      <c r="I72" s="101">
        <f>(I44-(I44*$E$47))+(I49-(I49*$E$52))+(I54-(I54*$E$57))+I70</f>
        <v>1</v>
      </c>
      <c r="J72" s="2" t="s">
        <v>18</v>
      </c>
      <c r="O72" s="7"/>
    </row>
    <row r="73" spans="4:15" ht="20.100000000000001" customHeight="1" x14ac:dyDescent="0.25">
      <c r="O73" s="7"/>
    </row>
    <row r="74" spans="4:15" ht="20.100000000000001" customHeight="1" x14ac:dyDescent="0.25">
      <c r="O74" s="7"/>
    </row>
    <row r="75" spans="4:15" ht="20.100000000000001" customHeight="1" x14ac:dyDescent="0.25">
      <c r="D75" s="51" t="str">
        <f>"From " &amp; $D$32</f>
        <v>From Feed pad</v>
      </c>
      <c r="O75" s="7"/>
    </row>
    <row r="76" spans="4:15" ht="20.100000000000001" customHeight="1" x14ac:dyDescent="0.25">
      <c r="O76" s="7"/>
    </row>
    <row r="77" spans="4:15" ht="20.100000000000001" customHeight="1" x14ac:dyDescent="0.25">
      <c r="D77" s="66" t="s">
        <v>102</v>
      </c>
      <c r="E77" s="41" t="s">
        <v>277</v>
      </c>
      <c r="F77" s="41" t="s">
        <v>294</v>
      </c>
      <c r="G77" s="41" t="s">
        <v>295</v>
      </c>
      <c r="H77" s="41" t="s">
        <v>296</v>
      </c>
      <c r="I77" s="41" t="s">
        <v>297</v>
      </c>
      <c r="O77" s="7"/>
    </row>
    <row r="78" spans="4:15" ht="20.100000000000001" customHeight="1" x14ac:dyDescent="0.25">
      <c r="D78" s="56" t="str">
        <f>'Constants - Dairy'!$D$8</f>
        <v>Anaerobic lagoon</v>
      </c>
      <c r="E78" s="49">
        <v>0.25</v>
      </c>
      <c r="F78" s="49">
        <v>0.25</v>
      </c>
      <c r="G78" s="49">
        <v>0.25</v>
      </c>
      <c r="H78" s="49">
        <v>0.25</v>
      </c>
      <c r="I78" s="49">
        <v>0.25</v>
      </c>
      <c r="J78" s="2" t="s">
        <v>18</v>
      </c>
      <c r="O78" s="7"/>
    </row>
    <row r="79" spans="4:15" ht="20.100000000000001" customHeight="1" x14ac:dyDescent="0.25">
      <c r="D79" s="1" t="str">
        <f>"Were solids separated from " &amp; $D$44 &amp; "?"</f>
        <v>Were solids separated from Anaerobic lagoon?</v>
      </c>
      <c r="E79" s="42" t="s">
        <v>318</v>
      </c>
      <c r="F79" s="2" t="s">
        <v>11</v>
      </c>
      <c r="O79" s="7"/>
    </row>
    <row r="80" spans="4:15" ht="20.100000000000001" customHeight="1" x14ac:dyDescent="0.25">
      <c r="D80" s="1" t="str">
        <f>"Percent solids separated from " &amp; $D$44 &amp; " (Method 1 - Do not edit)"</f>
        <v>Percent solids separated from Anaerobic lagoon (Method 1 - Do not edit)</v>
      </c>
      <c r="E80" s="101">
        <f>IF(E79="Yes", 20%, 0)</f>
        <v>0</v>
      </c>
      <c r="F80" s="2" t="s">
        <v>18</v>
      </c>
      <c r="O80" s="7"/>
    </row>
    <row r="81" spans="4:15" ht="20.100000000000001" customHeight="1" x14ac:dyDescent="0.25">
      <c r="D81" s="1" t="str">
        <f>"Percent solids separated from " &amp; $D$44 &amp; " (Method 2 - Edit if known)"</f>
        <v>Percent solids separated from Anaerobic lagoon (Method 2 - Edit if known)</v>
      </c>
      <c r="E81" s="49">
        <f>IF(E79="Yes", 20%, 0)</f>
        <v>0</v>
      </c>
      <c r="F81" s="2" t="s">
        <v>18</v>
      </c>
      <c r="O81" s="7"/>
    </row>
    <row r="82" spans="4:15" ht="20.100000000000001" customHeight="1" x14ac:dyDescent="0.25">
      <c r="O82" s="7"/>
    </row>
    <row r="83" spans="4:15" ht="20.100000000000001" customHeight="1" x14ac:dyDescent="0.25">
      <c r="D83" s="56" t="str">
        <f>'Constants - Dairy'!$D$9</f>
        <v>Sump and dispersal system</v>
      </c>
      <c r="E83" s="49">
        <v>0.25</v>
      </c>
      <c r="F83" s="49">
        <v>0.25</v>
      </c>
      <c r="G83" s="49">
        <v>0.25</v>
      </c>
      <c r="H83" s="49">
        <v>0.25</v>
      </c>
      <c r="I83" s="49">
        <v>0.25</v>
      </c>
      <c r="J83" s="2" t="s">
        <v>18</v>
      </c>
      <c r="O83" s="7"/>
    </row>
    <row r="84" spans="4:15" ht="20.100000000000001" customHeight="1" x14ac:dyDescent="0.25">
      <c r="D84" s="1" t="str">
        <f>"Were solids separated from " &amp; $D$49 &amp; "?"</f>
        <v>Were solids separated from Sump and dispersal system?</v>
      </c>
      <c r="E84" s="42" t="s">
        <v>310</v>
      </c>
      <c r="F84" s="2" t="s">
        <v>11</v>
      </c>
      <c r="O84" s="7"/>
    </row>
    <row r="85" spans="4:15" ht="20.100000000000001" customHeight="1" x14ac:dyDescent="0.25">
      <c r="D85" s="1" t="str">
        <f>"Percent solids separated from " &amp; $D$49 &amp; " (Method 1 - Do not edit)"</f>
        <v>Percent solids separated from Sump and dispersal system (Method 1 - Do not edit)</v>
      </c>
      <c r="E85" s="101">
        <f>IF(E84="Yes", 20%, 0)</f>
        <v>0.2</v>
      </c>
      <c r="F85" s="2" t="s">
        <v>18</v>
      </c>
      <c r="O85" s="7"/>
    </row>
    <row r="86" spans="4:15" ht="20.100000000000001" customHeight="1" x14ac:dyDescent="0.25">
      <c r="D86" s="1" t="str">
        <f>"Percent solids separated from " &amp; $D$49 &amp; " (Method 2 - Edit if known)"</f>
        <v>Percent solids separated from Sump and dispersal system (Method 2 - Edit if known)</v>
      </c>
      <c r="E86" s="49">
        <f>IF(E84="Yes", 20%, 0)</f>
        <v>0.2</v>
      </c>
      <c r="F86" s="2" t="s">
        <v>18</v>
      </c>
      <c r="O86" s="7"/>
    </row>
    <row r="87" spans="4:15" ht="20.100000000000001" customHeight="1" x14ac:dyDescent="0.25">
      <c r="O87" s="7"/>
    </row>
    <row r="88" spans="4:15" ht="20.100000000000001" customHeight="1" x14ac:dyDescent="0.25">
      <c r="D88" s="56" t="str">
        <f>'Constants - Dairy'!$D$10</f>
        <v>Drains to paddock</v>
      </c>
      <c r="E88" s="49">
        <v>0.25</v>
      </c>
      <c r="F88" s="49">
        <v>0.25</v>
      </c>
      <c r="G88" s="49">
        <v>0.25</v>
      </c>
      <c r="H88" s="49">
        <v>0.25</v>
      </c>
      <c r="I88" s="49">
        <v>0.25</v>
      </c>
      <c r="J88" s="2" t="s">
        <v>18</v>
      </c>
      <c r="O88" s="7"/>
    </row>
    <row r="89" spans="4:15" ht="20.100000000000001" customHeight="1" x14ac:dyDescent="0.25">
      <c r="D89" s="1" t="str">
        <f>"Were solids separated from " &amp; $D$54 &amp; "?"</f>
        <v>Were solids separated from Drains to paddock?</v>
      </c>
      <c r="E89" s="42" t="s">
        <v>310</v>
      </c>
      <c r="F89" s="2" t="s">
        <v>11</v>
      </c>
      <c r="O89" s="7"/>
    </row>
    <row r="90" spans="4:15" ht="20.100000000000001" customHeight="1" x14ac:dyDescent="0.25">
      <c r="D90" s="1" t="str">
        <f>"Percent solids separated from " &amp; $D$54 &amp; " (Method 1 - Do not edit)"</f>
        <v>Percent solids separated from Drains to paddock (Method 1 - Do not edit)</v>
      </c>
      <c r="E90" s="101">
        <f>IF(E89="Yes", 20%, 0)</f>
        <v>0.2</v>
      </c>
      <c r="F90" s="2" t="s">
        <v>18</v>
      </c>
      <c r="O90" s="7"/>
    </row>
    <row r="91" spans="4:15" ht="20.100000000000001" customHeight="1" x14ac:dyDescent="0.25">
      <c r="D91" s="1" t="str">
        <f>"Percent solids separated from " &amp; $D$54 &amp; " (Method 2 - Edit if known)"</f>
        <v>Percent solids separated from Drains to paddock (Method 2 - Edit if known)</v>
      </c>
      <c r="E91" s="49">
        <f>IF(E89="Yes", 20%, 0)</f>
        <v>0.2</v>
      </c>
      <c r="F91" s="2" t="s">
        <v>18</v>
      </c>
      <c r="O91" s="7"/>
    </row>
    <row r="92" spans="4:15" ht="20.100000000000001" customHeight="1" x14ac:dyDescent="0.25">
      <c r="O92" s="7"/>
    </row>
    <row r="93" spans="4:15" ht="20.100000000000001" customHeight="1" x14ac:dyDescent="0.25">
      <c r="D93" s="56" t="str">
        <f>'Constants - Dairy'!$D$11</f>
        <v>Solid storage</v>
      </c>
      <c r="E93" s="49">
        <v>0.25</v>
      </c>
      <c r="F93" s="49">
        <v>0.25</v>
      </c>
      <c r="G93" s="49">
        <v>0.25</v>
      </c>
      <c r="H93" s="49">
        <v>0.25</v>
      </c>
      <c r="I93" s="49">
        <v>0.25</v>
      </c>
      <c r="J93" s="2" t="s">
        <v>18</v>
      </c>
      <c r="O93" s="7"/>
    </row>
    <row r="94" spans="4:15" ht="20.100000000000001" customHeight="1" x14ac:dyDescent="0.25">
      <c r="D94" s="1" t="str">
        <f>"Perecnt separated from " &amp; $D$44 &amp; " (Method 1)"</f>
        <v>Perecnt separated from Anaerobic lagoon (Method 1)</v>
      </c>
      <c r="E94" s="101">
        <f>E78*$E$80</f>
        <v>0</v>
      </c>
      <c r="F94" s="101">
        <f>F78*$E$80</f>
        <v>0</v>
      </c>
      <c r="G94" s="101">
        <f>G78*$E$80</f>
        <v>0</v>
      </c>
      <c r="H94" s="101">
        <f>H78*$E$80</f>
        <v>0</v>
      </c>
      <c r="I94" s="101">
        <f>I78*$E$80</f>
        <v>0</v>
      </c>
      <c r="J94" s="2" t="s">
        <v>18</v>
      </c>
      <c r="O94" s="7"/>
    </row>
    <row r="95" spans="4:15" ht="20.100000000000001" customHeight="1" x14ac:dyDescent="0.25">
      <c r="D95" s="1" t="str">
        <f>"Perecnt separated from " &amp; $D$49 &amp; " (Method 1)"</f>
        <v>Perecnt separated from Sump and dispersal system (Method 1)</v>
      </c>
      <c r="E95" s="101">
        <f>E83*$E$85</f>
        <v>0.05</v>
      </c>
      <c r="F95" s="101">
        <f>F83*$E$85</f>
        <v>0.05</v>
      </c>
      <c r="G95" s="101">
        <f>G83*$E$85</f>
        <v>0.05</v>
      </c>
      <c r="H95" s="101">
        <f>H83*$E$85</f>
        <v>0.05</v>
      </c>
      <c r="I95" s="101">
        <f>I83*$E$85</f>
        <v>0.05</v>
      </c>
      <c r="J95" s="2" t="s">
        <v>18</v>
      </c>
      <c r="O95" s="7"/>
    </row>
    <row r="96" spans="4:15" ht="20.100000000000001" customHeight="1" x14ac:dyDescent="0.25">
      <c r="D96" s="1" t="str">
        <f>"Perecnt separated from " &amp; $D$54 &amp; " (Method 1)"</f>
        <v>Perecnt separated from Drains to paddock (Method 1)</v>
      </c>
      <c r="E96" s="101">
        <f>E88*$E$90</f>
        <v>0.05</v>
      </c>
      <c r="F96" s="101">
        <f>F88*$E$90</f>
        <v>0.05</v>
      </c>
      <c r="G96" s="101">
        <f>G88*$E$90</f>
        <v>0.05</v>
      </c>
      <c r="H96" s="101">
        <f>H88*$E$90</f>
        <v>0.05</v>
      </c>
      <c r="I96" s="101">
        <f>I88*$E$90</f>
        <v>0.05</v>
      </c>
      <c r="J96" s="2" t="s">
        <v>18</v>
      </c>
      <c r="O96" s="7"/>
    </row>
    <row r="97" spans="4:15" ht="20.100000000000001" customHeight="1" x14ac:dyDescent="0.25">
      <c r="D97" s="1" t="s">
        <v>312</v>
      </c>
      <c r="E97" s="101">
        <f>E$93+SUM(E94:E96)</f>
        <v>0.35</v>
      </c>
      <c r="F97" s="101">
        <f>F$93+SUM(F94:F96)</f>
        <v>0.35</v>
      </c>
      <c r="G97" s="101">
        <f>G$93+SUM(G94:G96)</f>
        <v>0.35</v>
      </c>
      <c r="H97" s="101">
        <f>H$93+SUM(H94:H96)</f>
        <v>0.35</v>
      </c>
      <c r="I97" s="101">
        <f>I$93+SUM(I94:I96)</f>
        <v>0.35</v>
      </c>
      <c r="J97" s="2" t="s">
        <v>18</v>
      </c>
      <c r="O97" s="7"/>
    </row>
    <row r="98" spans="4:15" ht="20.100000000000001" customHeight="1" x14ac:dyDescent="0.25">
      <c r="O98" s="7"/>
    </row>
    <row r="99" spans="4:15" ht="20.100000000000001" customHeight="1" x14ac:dyDescent="0.25">
      <c r="D99" s="1" t="s">
        <v>311</v>
      </c>
      <c r="E99" s="101">
        <f>(E78-(E78*$E$80))+(E83-(E83*$E$85))+(E88-(E88*$E$90))+E97</f>
        <v>1</v>
      </c>
      <c r="F99" s="101">
        <f>(F78-(F78*$E$80))+(F83-(F83*$E$85))+(F88-(F88*$E$90))+F97</f>
        <v>1</v>
      </c>
      <c r="G99" s="101">
        <f>(G78-(G78*$E$80))+(G83-(G83*$E$85))+(G88-(G88*$E$90))+G97</f>
        <v>1</v>
      </c>
      <c r="H99" s="101">
        <f>(H78-(H78*$E$80))+(H83-(H83*$E$85))+(H88-(H88*$E$90))+H97</f>
        <v>1</v>
      </c>
      <c r="I99" s="101">
        <f>(I78-(I78*$E$80))+(I83-(I83*$E$85))+(I88-(I88*$E$90))+I97</f>
        <v>1</v>
      </c>
      <c r="J99" s="2" t="s">
        <v>18</v>
      </c>
      <c r="O99" s="7"/>
    </row>
    <row r="100" spans="4:15" ht="20.100000000000001" customHeight="1" x14ac:dyDescent="0.25">
      <c r="O100" s="7"/>
    </row>
    <row r="101" spans="4:15" ht="20.100000000000001" customHeight="1" x14ac:dyDescent="0.25">
      <c r="D101" s="1" t="str">
        <f>"Perecnt separated from " &amp; $D$44 &amp; " (Method 2)"</f>
        <v>Perecnt separated from Anaerobic lagoon (Method 2)</v>
      </c>
      <c r="E101" s="101">
        <f>E78*$E$81</f>
        <v>0</v>
      </c>
      <c r="F101" s="101">
        <f>F78*$E$81</f>
        <v>0</v>
      </c>
      <c r="G101" s="101">
        <f>G78*$E$81</f>
        <v>0</v>
      </c>
      <c r="H101" s="101">
        <f>H78*$E$81</f>
        <v>0</v>
      </c>
      <c r="I101" s="101">
        <f>I78*$E$81</f>
        <v>0</v>
      </c>
      <c r="J101" s="2" t="s">
        <v>18</v>
      </c>
      <c r="O101" s="7"/>
    </row>
    <row r="102" spans="4:15" ht="20.100000000000001" customHeight="1" x14ac:dyDescent="0.25">
      <c r="D102" s="1" t="str">
        <f>"Perecnt separated from " &amp; $D$49 &amp; " (Method 2)"</f>
        <v>Perecnt separated from Sump and dispersal system (Method 2)</v>
      </c>
      <c r="E102" s="101">
        <f>E83*$E$86</f>
        <v>0.05</v>
      </c>
      <c r="F102" s="101">
        <f>F83*$E$86</f>
        <v>0.05</v>
      </c>
      <c r="G102" s="101">
        <f>G83*$E$86</f>
        <v>0.05</v>
      </c>
      <c r="H102" s="101">
        <f>H83*$E$86</f>
        <v>0.05</v>
      </c>
      <c r="I102" s="101">
        <f>I83*$E$86</f>
        <v>0.05</v>
      </c>
      <c r="J102" s="2" t="s">
        <v>18</v>
      </c>
      <c r="O102" s="7"/>
    </row>
    <row r="103" spans="4:15" ht="20.100000000000001" customHeight="1" x14ac:dyDescent="0.25">
      <c r="D103" s="1" t="str">
        <f>"Perecnt separated from " &amp; $D$54 &amp; " (Method 2)"</f>
        <v>Perecnt separated from Drains to paddock (Method 2)</v>
      </c>
      <c r="E103" s="101">
        <f>E88*$E$91</f>
        <v>0.05</v>
      </c>
      <c r="F103" s="101">
        <f>F88*$E$91</f>
        <v>0.05</v>
      </c>
      <c r="G103" s="101">
        <f>G88*$E$91</f>
        <v>0.05</v>
      </c>
      <c r="H103" s="101">
        <f>H88*$E$91</f>
        <v>0.05</v>
      </c>
      <c r="I103" s="101">
        <f>I88*$E$91</f>
        <v>0.05</v>
      </c>
      <c r="J103" s="2" t="s">
        <v>18</v>
      </c>
      <c r="O103" s="7"/>
    </row>
    <row r="104" spans="4:15" ht="20.100000000000001" customHeight="1" x14ac:dyDescent="0.25">
      <c r="D104" s="1" t="s">
        <v>313</v>
      </c>
      <c r="E104" s="101">
        <f>E$93+SUM(E101:E103)</f>
        <v>0.35</v>
      </c>
      <c r="F104" s="101">
        <f>F$93+SUM(F101:F103)</f>
        <v>0.35</v>
      </c>
      <c r="G104" s="101">
        <f>G$93+SUM(G101:G103)</f>
        <v>0.35</v>
      </c>
      <c r="H104" s="101">
        <f>H$93+SUM(H101:H103)</f>
        <v>0.35</v>
      </c>
      <c r="I104" s="101">
        <f>I$93+SUM(I101:I103)</f>
        <v>0.35</v>
      </c>
      <c r="J104" s="2" t="s">
        <v>18</v>
      </c>
      <c r="O104" s="7"/>
    </row>
    <row r="105" spans="4:15" ht="20.100000000000001" customHeight="1" x14ac:dyDescent="0.25">
      <c r="O105" s="7"/>
    </row>
    <row r="106" spans="4:15" ht="20.100000000000001" customHeight="1" x14ac:dyDescent="0.25">
      <c r="D106" s="1" t="s">
        <v>314</v>
      </c>
      <c r="E106" s="101">
        <f>(E78-(E78*$E$81))+(E83-(E83*$E$86))+(E88-(E88*$E$91))+E104</f>
        <v>1</v>
      </c>
      <c r="F106" s="101">
        <f>(F78-(F78*$E$81))+(F83-(F83*$E$86))+(F88-(F88*$E$91))+F104</f>
        <v>1</v>
      </c>
      <c r="G106" s="101">
        <f>(G78-(G78*$E$81))+(G83-(G83*$E$86))+(G88-(G88*$E$91))+G104</f>
        <v>1</v>
      </c>
      <c r="H106" s="101">
        <f>(H78-(H78*$E$81))+(H83-(H83*$E$86))+(H88-(H88*$E$91))+H104</f>
        <v>1</v>
      </c>
      <c r="I106" s="101">
        <f>(I78-(I78*$E$81))+(I83-(I83*$E$86))+(I88-(I88*$E$91))+I104</f>
        <v>1</v>
      </c>
      <c r="J106" s="2" t="s">
        <v>18</v>
      </c>
      <c r="O106" s="7"/>
    </row>
    <row r="107" spans="4:15" ht="20.100000000000001" customHeight="1" x14ac:dyDescent="0.25"/>
    <row r="108" spans="4:15" ht="20.100000000000001" customHeight="1" x14ac:dyDescent="0.25"/>
    <row r="109" spans="4:15" ht="20.100000000000001" customHeight="1" x14ac:dyDescent="0.25">
      <c r="D109" s="6" t="s">
        <v>316</v>
      </c>
    </row>
    <row r="110" spans="4:15" ht="20.100000000000001" customHeight="1" x14ac:dyDescent="0.25">
      <c r="D110" s="51" t="s">
        <v>315</v>
      </c>
    </row>
    <row r="111" spans="4:15" ht="20.100000000000001" customHeight="1" x14ac:dyDescent="0.25"/>
    <row r="112" spans="4:15" ht="20.100000000000001" customHeight="1" x14ac:dyDescent="0.25">
      <c r="D112" s="66" t="s">
        <v>102</v>
      </c>
      <c r="E112" s="41" t="s">
        <v>277</v>
      </c>
      <c r="F112" s="41" t="s">
        <v>294</v>
      </c>
      <c r="G112" s="41" t="s">
        <v>295</v>
      </c>
      <c r="H112" s="41" t="s">
        <v>296</v>
      </c>
      <c r="I112" s="41" t="s">
        <v>297</v>
      </c>
    </row>
    <row r="113" spans="4:10" ht="20.100000000000001" customHeight="1" x14ac:dyDescent="0.25">
      <c r="D113" s="56" t="str">
        <f>"Sent from stage 1: " &amp; $D$44 &amp; " to:"</f>
        <v>Sent from stage 1: Anaerobic lagoon to:</v>
      </c>
      <c r="E113" s="58"/>
    </row>
    <row r="114" spans="4:10" ht="20.100000000000001" customHeight="1" x14ac:dyDescent="0.25">
      <c r="D114" s="1" t="s">
        <v>116</v>
      </c>
      <c r="E114" s="49">
        <v>0.25</v>
      </c>
      <c r="F114" s="49">
        <v>0.25</v>
      </c>
      <c r="G114" s="49">
        <v>0.25</v>
      </c>
      <c r="H114" s="49">
        <v>0.25</v>
      </c>
      <c r="I114" s="49">
        <v>0.25</v>
      </c>
      <c r="J114" s="2" t="s">
        <v>18</v>
      </c>
    </row>
    <row r="115" spans="4:10" ht="20.100000000000001" customHeight="1" x14ac:dyDescent="0.25">
      <c r="D115" s="1" t="s">
        <v>320</v>
      </c>
      <c r="E115" s="49">
        <v>0.25</v>
      </c>
      <c r="F115" s="49">
        <v>0.25</v>
      </c>
      <c r="G115" s="49">
        <v>0.25</v>
      </c>
      <c r="H115" s="49">
        <v>0.25</v>
      </c>
      <c r="I115" s="49">
        <v>0.25</v>
      </c>
      <c r="J115" s="2" t="s">
        <v>18</v>
      </c>
    </row>
    <row r="116" spans="4:10" ht="20.100000000000001" customHeight="1" x14ac:dyDescent="0.25">
      <c r="D116" s="1" t="s">
        <v>189</v>
      </c>
      <c r="E116" s="101">
        <f t="shared" ref="E116:I116" si="0">1-SUM(E114:E115)</f>
        <v>0.5</v>
      </c>
      <c r="F116" s="101">
        <f t="shared" si="0"/>
        <v>0.5</v>
      </c>
      <c r="G116" s="101">
        <f t="shared" si="0"/>
        <v>0.5</v>
      </c>
      <c r="H116" s="101">
        <f t="shared" si="0"/>
        <v>0.5</v>
      </c>
      <c r="I116" s="101">
        <f t="shared" si="0"/>
        <v>0.5</v>
      </c>
      <c r="J116" s="2" t="s">
        <v>18</v>
      </c>
    </row>
    <row r="117" spans="4:10" ht="20.100000000000001" customHeight="1" x14ac:dyDescent="0.25"/>
    <row r="118" spans="4:10" ht="20.100000000000001" customHeight="1" x14ac:dyDescent="0.25">
      <c r="D118" s="56" t="str">
        <f>"Sent from stage 1: " &amp; $D$49 &amp; " to:"</f>
        <v>Sent from stage 1: Sump and dispersal system to:</v>
      </c>
    </row>
    <row r="119" spans="4:10" ht="20.100000000000001" customHeight="1" x14ac:dyDescent="0.25">
      <c r="D119" s="1" t="s">
        <v>116</v>
      </c>
      <c r="E119" s="49">
        <v>0.25</v>
      </c>
      <c r="F119" s="49">
        <v>0.25</v>
      </c>
      <c r="G119" s="49">
        <v>0.25</v>
      </c>
      <c r="H119" s="49">
        <v>0.25</v>
      </c>
      <c r="I119" s="49">
        <v>0.25</v>
      </c>
      <c r="J119" s="2" t="s">
        <v>18</v>
      </c>
    </row>
    <row r="120" spans="4:10" ht="20.100000000000001" customHeight="1" x14ac:dyDescent="0.25">
      <c r="D120" s="1" t="s">
        <v>320</v>
      </c>
      <c r="E120" s="49">
        <v>0.25</v>
      </c>
      <c r="F120" s="49">
        <v>0.25</v>
      </c>
      <c r="G120" s="49">
        <v>0.25</v>
      </c>
      <c r="H120" s="49">
        <v>0.25</v>
      </c>
      <c r="I120" s="49">
        <v>0.25</v>
      </c>
      <c r="J120" s="2" t="s">
        <v>18</v>
      </c>
    </row>
    <row r="121" spans="4:10" ht="20.100000000000001" customHeight="1" x14ac:dyDescent="0.25">
      <c r="D121" s="1" t="s">
        <v>189</v>
      </c>
      <c r="E121" s="101">
        <f>1-SUM(E119:E120)</f>
        <v>0.5</v>
      </c>
      <c r="F121" s="101">
        <f t="shared" ref="F121:I121" si="1">1-SUM(F119:F120)</f>
        <v>0.5</v>
      </c>
      <c r="G121" s="101">
        <f t="shared" si="1"/>
        <v>0.5</v>
      </c>
      <c r="H121" s="101">
        <f t="shared" si="1"/>
        <v>0.5</v>
      </c>
      <c r="I121" s="101">
        <f t="shared" si="1"/>
        <v>0.5</v>
      </c>
      <c r="J121" s="2" t="s">
        <v>18</v>
      </c>
    </row>
    <row r="122" spans="4:10" ht="20.100000000000001" customHeight="1" x14ac:dyDescent="0.25"/>
    <row r="123" spans="4:10" ht="20.100000000000001" customHeight="1" x14ac:dyDescent="0.25">
      <c r="D123" s="56" t="str">
        <f>"Sent from stage 1: " &amp; $D$54 &amp; " to:"</f>
        <v>Sent from stage 1: Drains to paddock to:</v>
      </c>
    </row>
    <row r="124" spans="4:10" ht="20.100000000000001" customHeight="1" x14ac:dyDescent="0.25">
      <c r="D124" s="1" t="s">
        <v>116</v>
      </c>
      <c r="E124" s="49">
        <v>0.25</v>
      </c>
      <c r="F124" s="49">
        <v>0.25</v>
      </c>
      <c r="G124" s="49">
        <v>0.25</v>
      </c>
      <c r="H124" s="49">
        <v>0.25</v>
      </c>
      <c r="I124" s="49">
        <v>0.25</v>
      </c>
      <c r="J124" s="2" t="s">
        <v>18</v>
      </c>
    </row>
    <row r="125" spans="4:10" ht="20.100000000000001" customHeight="1" x14ac:dyDescent="0.25">
      <c r="D125" s="1" t="s">
        <v>320</v>
      </c>
      <c r="E125" s="49">
        <v>0.25</v>
      </c>
      <c r="F125" s="49">
        <v>0.25</v>
      </c>
      <c r="G125" s="49">
        <v>0.25</v>
      </c>
      <c r="H125" s="49">
        <v>0.25</v>
      </c>
      <c r="I125" s="49">
        <v>0.25</v>
      </c>
      <c r="J125" s="2" t="s">
        <v>18</v>
      </c>
    </row>
    <row r="126" spans="4:10" ht="20.100000000000001" customHeight="1" x14ac:dyDescent="0.25">
      <c r="D126" s="1" t="s">
        <v>189</v>
      </c>
      <c r="E126" s="101">
        <f>1-SUM(E124:E125)</f>
        <v>0.5</v>
      </c>
      <c r="F126" s="101">
        <f t="shared" ref="F126:I126" si="2">1-SUM(F124:F125)</f>
        <v>0.5</v>
      </c>
      <c r="G126" s="101">
        <f t="shared" si="2"/>
        <v>0.5</v>
      </c>
      <c r="H126" s="101">
        <f t="shared" si="2"/>
        <v>0.5</v>
      </c>
      <c r="I126" s="101">
        <f t="shared" si="2"/>
        <v>0.5</v>
      </c>
      <c r="J126" s="2" t="s">
        <v>18</v>
      </c>
    </row>
    <row r="127" spans="4:10" ht="20.100000000000001" customHeight="1" x14ac:dyDescent="0.25"/>
    <row r="128" spans="4:10" ht="20.100000000000001" customHeight="1" x14ac:dyDescent="0.25">
      <c r="D128" s="56" t="str">
        <f>"Sent from stage 1: " &amp; $D$59 &amp; " to:"</f>
        <v>Sent from stage 1: Solid storage to:</v>
      </c>
    </row>
    <row r="129" spans="4:10" ht="20.100000000000001" customHeight="1" x14ac:dyDescent="0.25">
      <c r="D129" s="1" t="s">
        <v>116</v>
      </c>
      <c r="E129" s="49">
        <v>0.25</v>
      </c>
      <c r="F129" s="49">
        <v>0.25</v>
      </c>
      <c r="G129" s="49">
        <v>0.25</v>
      </c>
      <c r="H129" s="49">
        <v>0.25</v>
      </c>
      <c r="I129" s="49">
        <v>0.25</v>
      </c>
      <c r="J129" s="2" t="s">
        <v>18</v>
      </c>
    </row>
    <row r="130" spans="4:10" ht="20.100000000000001" customHeight="1" x14ac:dyDescent="0.25">
      <c r="D130" s="1" t="s">
        <v>320</v>
      </c>
      <c r="E130" s="49">
        <v>0.25</v>
      </c>
      <c r="F130" s="49">
        <v>0.25</v>
      </c>
      <c r="G130" s="49">
        <v>0.25</v>
      </c>
      <c r="H130" s="49">
        <v>0.25</v>
      </c>
      <c r="I130" s="49">
        <v>0.25</v>
      </c>
      <c r="J130" s="2" t="s">
        <v>18</v>
      </c>
    </row>
    <row r="131" spans="4:10" ht="20.100000000000001" customHeight="1" x14ac:dyDescent="0.25">
      <c r="D131" s="1" t="s">
        <v>189</v>
      </c>
      <c r="E131" s="101">
        <f>1-SUM(E129:E130)</f>
        <v>0.5</v>
      </c>
      <c r="F131" s="101">
        <f t="shared" ref="F131:I131" si="3">1-SUM(F129:F130)</f>
        <v>0.5</v>
      </c>
      <c r="G131" s="101">
        <f t="shared" si="3"/>
        <v>0.5</v>
      </c>
      <c r="H131" s="101">
        <f t="shared" si="3"/>
        <v>0.5</v>
      </c>
      <c r="I131" s="101">
        <f t="shared" si="3"/>
        <v>0.5</v>
      </c>
      <c r="J131" s="2" t="s">
        <v>18</v>
      </c>
    </row>
    <row r="132" spans="4:10" ht="20.100000000000001" customHeight="1" x14ac:dyDescent="0.25"/>
    <row r="133" spans="4:10" ht="20.100000000000001" customHeight="1" x14ac:dyDescent="0.25">
      <c r="D133" s="113"/>
    </row>
    <row r="134" spans="4:10" ht="20.100000000000001" customHeight="1" x14ac:dyDescent="0.25">
      <c r="D134" s="51" t="str">
        <f>"From " &amp; $D$31</f>
        <v>From Milking shed</v>
      </c>
    </row>
    <row r="135" spans="4:10" ht="20.100000000000001" customHeight="1" x14ac:dyDescent="0.25"/>
    <row r="136" spans="4:10" ht="20.100000000000001" customHeight="1" x14ac:dyDescent="0.25">
      <c r="D136" s="66" t="s">
        <v>102</v>
      </c>
      <c r="E136" s="41" t="s">
        <v>277</v>
      </c>
      <c r="F136" s="41" t="s">
        <v>294</v>
      </c>
      <c r="G136" s="41" t="s">
        <v>295</v>
      </c>
      <c r="H136" s="41" t="s">
        <v>296</v>
      </c>
      <c r="I136" s="41" t="s">
        <v>297</v>
      </c>
    </row>
    <row r="137" spans="4:10" ht="20.100000000000001" customHeight="1" x14ac:dyDescent="0.25">
      <c r="D137" s="56" t="str">
        <f>"Sent from stage 1: " &amp; $D$44 &amp; " to:"</f>
        <v>Sent from stage 1: Anaerobic lagoon to:</v>
      </c>
      <c r="E137" s="58"/>
    </row>
    <row r="138" spans="4:10" ht="20.100000000000001" customHeight="1" x14ac:dyDescent="0.25">
      <c r="D138" s="1" t="s">
        <v>116</v>
      </c>
      <c r="E138" s="49">
        <v>0.25</v>
      </c>
      <c r="F138" s="49">
        <v>0.25</v>
      </c>
      <c r="G138" s="49">
        <v>0.25</v>
      </c>
      <c r="H138" s="49">
        <v>0.25</v>
      </c>
      <c r="I138" s="49">
        <v>0.25</v>
      </c>
      <c r="J138" s="2" t="s">
        <v>18</v>
      </c>
    </row>
    <row r="139" spans="4:10" ht="20.100000000000001" customHeight="1" x14ac:dyDescent="0.25">
      <c r="D139" s="1" t="s">
        <v>320</v>
      </c>
      <c r="E139" s="49">
        <v>0.25</v>
      </c>
      <c r="F139" s="49">
        <v>0.25</v>
      </c>
      <c r="G139" s="49">
        <v>0.25</v>
      </c>
      <c r="H139" s="49">
        <v>0.25</v>
      </c>
      <c r="I139" s="49">
        <v>0.25</v>
      </c>
      <c r="J139" s="2" t="s">
        <v>18</v>
      </c>
    </row>
    <row r="140" spans="4:10" ht="20.100000000000001" customHeight="1" x14ac:dyDescent="0.25">
      <c r="D140" s="1" t="s">
        <v>189</v>
      </c>
      <c r="E140" s="101">
        <f t="shared" ref="E140:I140" si="4">1-SUM(E138:E139)</f>
        <v>0.5</v>
      </c>
      <c r="F140" s="101">
        <f t="shared" si="4"/>
        <v>0.5</v>
      </c>
      <c r="G140" s="101">
        <f t="shared" si="4"/>
        <v>0.5</v>
      </c>
      <c r="H140" s="101">
        <f t="shared" si="4"/>
        <v>0.5</v>
      </c>
      <c r="I140" s="101">
        <f t="shared" si="4"/>
        <v>0.5</v>
      </c>
      <c r="J140" s="2" t="s">
        <v>18</v>
      </c>
    </row>
    <row r="141" spans="4:10" ht="20.100000000000001" customHeight="1" x14ac:dyDescent="0.25"/>
    <row r="142" spans="4:10" ht="20.100000000000001" customHeight="1" x14ac:dyDescent="0.25">
      <c r="D142" s="56" t="str">
        <f>"Sent from stage 1: " &amp; $D$49 &amp; " to:"</f>
        <v>Sent from stage 1: Sump and dispersal system to:</v>
      </c>
    </row>
    <row r="143" spans="4:10" ht="20.100000000000001" customHeight="1" x14ac:dyDescent="0.25">
      <c r="D143" s="1" t="s">
        <v>116</v>
      </c>
      <c r="E143" s="49">
        <v>0.25</v>
      </c>
      <c r="F143" s="49">
        <v>0.25</v>
      </c>
      <c r="G143" s="49">
        <v>0.25</v>
      </c>
      <c r="H143" s="49">
        <v>0.25</v>
      </c>
      <c r="I143" s="49">
        <v>0.25</v>
      </c>
      <c r="J143" s="2" t="s">
        <v>18</v>
      </c>
    </row>
    <row r="144" spans="4:10" ht="20.100000000000001" customHeight="1" x14ac:dyDescent="0.25">
      <c r="D144" s="1" t="s">
        <v>320</v>
      </c>
      <c r="E144" s="49">
        <v>0.25</v>
      </c>
      <c r="F144" s="49">
        <v>0.25</v>
      </c>
      <c r="G144" s="49">
        <v>0.25</v>
      </c>
      <c r="H144" s="49">
        <v>0.25</v>
      </c>
      <c r="I144" s="49">
        <v>0.25</v>
      </c>
      <c r="J144" s="2" t="s">
        <v>18</v>
      </c>
    </row>
    <row r="145" spans="4:10" ht="20.100000000000001" customHeight="1" x14ac:dyDescent="0.25">
      <c r="D145" s="1" t="s">
        <v>189</v>
      </c>
      <c r="E145" s="101">
        <f>1-SUM(E143:E144)</f>
        <v>0.5</v>
      </c>
      <c r="F145" s="101">
        <f t="shared" ref="F145:I145" si="5">1-SUM(F143:F144)</f>
        <v>0.5</v>
      </c>
      <c r="G145" s="101">
        <f t="shared" si="5"/>
        <v>0.5</v>
      </c>
      <c r="H145" s="101">
        <f t="shared" si="5"/>
        <v>0.5</v>
      </c>
      <c r="I145" s="101">
        <f t="shared" si="5"/>
        <v>0.5</v>
      </c>
      <c r="J145" s="2" t="s">
        <v>18</v>
      </c>
    </row>
    <row r="146" spans="4:10" ht="20.100000000000001" customHeight="1" x14ac:dyDescent="0.25"/>
    <row r="147" spans="4:10" ht="20.100000000000001" customHeight="1" x14ac:dyDescent="0.25">
      <c r="D147" s="56" t="str">
        <f>"Sent from stage 1: " &amp; $D$54 &amp; " to:"</f>
        <v>Sent from stage 1: Drains to paddock to:</v>
      </c>
    </row>
    <row r="148" spans="4:10" ht="20.100000000000001" customHeight="1" x14ac:dyDescent="0.25">
      <c r="D148" s="1" t="s">
        <v>116</v>
      </c>
      <c r="E148" s="49">
        <v>0.25</v>
      </c>
      <c r="F148" s="49">
        <v>0.25</v>
      </c>
      <c r="G148" s="49">
        <v>0.25</v>
      </c>
      <c r="H148" s="49">
        <v>0.25</v>
      </c>
      <c r="I148" s="49">
        <v>0.25</v>
      </c>
      <c r="J148" s="2" t="s">
        <v>18</v>
      </c>
    </row>
    <row r="149" spans="4:10" ht="20.100000000000001" customHeight="1" x14ac:dyDescent="0.25">
      <c r="D149" s="1" t="s">
        <v>320</v>
      </c>
      <c r="E149" s="49">
        <v>0.25</v>
      </c>
      <c r="F149" s="49">
        <v>0.25</v>
      </c>
      <c r="G149" s="49">
        <v>0.25</v>
      </c>
      <c r="H149" s="49">
        <v>0.25</v>
      </c>
      <c r="I149" s="49">
        <v>0.25</v>
      </c>
      <c r="J149" s="2" t="s">
        <v>18</v>
      </c>
    </row>
    <row r="150" spans="4:10" ht="20.100000000000001" customHeight="1" x14ac:dyDescent="0.25">
      <c r="D150" s="1" t="s">
        <v>189</v>
      </c>
      <c r="E150" s="101">
        <f>1-SUM(E148:E149)</f>
        <v>0.5</v>
      </c>
      <c r="F150" s="101">
        <f t="shared" ref="F150:I150" si="6">1-SUM(F148:F149)</f>
        <v>0.5</v>
      </c>
      <c r="G150" s="101">
        <f t="shared" si="6"/>
        <v>0.5</v>
      </c>
      <c r="H150" s="101">
        <f t="shared" si="6"/>
        <v>0.5</v>
      </c>
      <c r="I150" s="101">
        <f t="shared" si="6"/>
        <v>0.5</v>
      </c>
      <c r="J150" s="2" t="s">
        <v>18</v>
      </c>
    </row>
    <row r="151" spans="4:10" ht="20.100000000000001" customHeight="1" x14ac:dyDescent="0.25"/>
    <row r="152" spans="4:10" ht="20.100000000000001" customHeight="1" x14ac:dyDescent="0.25">
      <c r="D152" s="56" t="str">
        <f>"Sent from stage 1: " &amp; $D$59 &amp; " to:"</f>
        <v>Sent from stage 1: Solid storage to:</v>
      </c>
    </row>
    <row r="153" spans="4:10" ht="20.100000000000001" customHeight="1" x14ac:dyDescent="0.25">
      <c r="D153" s="1" t="s">
        <v>116</v>
      </c>
      <c r="E153" s="49">
        <v>0.25</v>
      </c>
      <c r="F153" s="49">
        <v>0.25</v>
      </c>
      <c r="G153" s="49">
        <v>0.25</v>
      </c>
      <c r="H153" s="49">
        <v>0.25</v>
      </c>
      <c r="I153" s="49">
        <v>0.25</v>
      </c>
      <c r="J153" s="2" t="s">
        <v>18</v>
      </c>
    </row>
    <row r="154" spans="4:10" ht="20.100000000000001" customHeight="1" x14ac:dyDescent="0.25">
      <c r="D154" s="1" t="s">
        <v>320</v>
      </c>
      <c r="E154" s="49">
        <v>0.25</v>
      </c>
      <c r="F154" s="49">
        <v>0.25</v>
      </c>
      <c r="G154" s="49">
        <v>0.25</v>
      </c>
      <c r="H154" s="49">
        <v>0.25</v>
      </c>
      <c r="I154" s="49">
        <v>0.25</v>
      </c>
      <c r="J154" s="2" t="s">
        <v>18</v>
      </c>
    </row>
    <row r="155" spans="4:10" ht="20.100000000000001" customHeight="1" x14ac:dyDescent="0.25">
      <c r="D155" s="1" t="s">
        <v>189</v>
      </c>
      <c r="E155" s="101">
        <f>1-SUM(E153:E154)</f>
        <v>0.5</v>
      </c>
      <c r="F155" s="101">
        <f t="shared" ref="F155:I155" si="7">1-SUM(F153:F154)</f>
        <v>0.5</v>
      </c>
      <c r="G155" s="101">
        <f t="shared" si="7"/>
        <v>0.5</v>
      </c>
      <c r="H155" s="101">
        <f t="shared" si="7"/>
        <v>0.5</v>
      </c>
      <c r="I155" s="101">
        <f t="shared" si="7"/>
        <v>0.5</v>
      </c>
      <c r="J155" s="2" t="s">
        <v>18</v>
      </c>
    </row>
    <row r="156" spans="4:10" ht="20.100000000000001" customHeight="1" x14ac:dyDescent="0.25"/>
    <row r="157" spans="4:10" ht="20.100000000000001" customHeight="1" x14ac:dyDescent="0.25">
      <c r="D157" s="113"/>
    </row>
    <row r="158" spans="4:10" ht="20.100000000000001" customHeight="1" x14ac:dyDescent="0.25"/>
    <row r="159" spans="4:10" ht="20.100000000000001" customHeight="1" x14ac:dyDescent="0.25"/>
    <row r="160" spans="4:10" ht="20.100000000000001" customHeight="1" x14ac:dyDescent="0.25">
      <c r="D160" s="1" t="s">
        <v>236</v>
      </c>
      <c r="E160" s="42" t="s">
        <v>242</v>
      </c>
      <c r="F160" s="2" t="s">
        <v>11</v>
      </c>
    </row>
    <row r="161" spans="5:6" ht="20.100000000000001" customHeight="1" x14ac:dyDescent="0.25">
      <c r="E161" s="42" t="s">
        <v>245</v>
      </c>
      <c r="F161" s="2" t="s">
        <v>11</v>
      </c>
    </row>
    <row r="162" spans="5:6" ht="20.100000000000001" customHeight="1" x14ac:dyDescent="0.25"/>
    <row r="163" spans="5:6" ht="20.100000000000001" customHeight="1" x14ac:dyDescent="0.25"/>
    <row r="164" spans="5:6" ht="20.100000000000001" customHeight="1" x14ac:dyDescent="0.25"/>
    <row r="165" spans="5:6" ht="20.100000000000001" customHeight="1" x14ac:dyDescent="0.25"/>
  </sheetData>
  <conditionalFormatting sqref="E8:J8 E13:J14 E17:J18 J44 J49 J54 J59:J63">
    <cfRule type="cellIs" dxfId="22" priority="23" operator="lessThan">
      <formula>0</formula>
    </cfRule>
  </conditionalFormatting>
  <conditionalFormatting sqref="K43:M43">
    <cfRule type="cellIs" dxfId="21" priority="24" operator="lessThan">
      <formula>0</formula>
    </cfRule>
  </conditionalFormatting>
  <conditionalFormatting sqref="J30:J32">
    <cfRule type="cellIs" dxfId="20" priority="17" operator="lessThan">
      <formula>0</formula>
    </cfRule>
  </conditionalFormatting>
  <conditionalFormatting sqref="J35:J37">
    <cfRule type="cellIs" dxfId="19" priority="16" operator="lessThan">
      <formula>0</formula>
    </cfRule>
  </conditionalFormatting>
  <conditionalFormatting sqref="F46:F47">
    <cfRule type="cellIs" dxfId="18" priority="14" operator="lessThan">
      <formula>0</formula>
    </cfRule>
  </conditionalFormatting>
  <conditionalFormatting sqref="F51:F52">
    <cfRule type="cellIs" dxfId="17" priority="13" operator="lessThan">
      <formula>0</formula>
    </cfRule>
  </conditionalFormatting>
  <conditionalFormatting sqref="F56:F57">
    <cfRule type="cellIs" dxfId="16" priority="12" operator="lessThan">
      <formula>0</formula>
    </cfRule>
  </conditionalFormatting>
  <conditionalFormatting sqref="J65">
    <cfRule type="cellIs" dxfId="9" priority="10" operator="lessThan">
      <formula>0</formula>
    </cfRule>
  </conditionalFormatting>
  <conditionalFormatting sqref="J67:J70">
    <cfRule type="cellIs" dxfId="8" priority="9" operator="lessThan">
      <formula>0</formula>
    </cfRule>
  </conditionalFormatting>
  <conditionalFormatting sqref="J72">
    <cfRule type="cellIs" dxfId="7" priority="8" operator="lessThan">
      <formula>0</formula>
    </cfRule>
  </conditionalFormatting>
  <conditionalFormatting sqref="J78 J83 J88 J93:J97">
    <cfRule type="cellIs" dxfId="6" priority="7" operator="lessThan">
      <formula>0</formula>
    </cfRule>
  </conditionalFormatting>
  <conditionalFormatting sqref="F80:F81">
    <cfRule type="cellIs" dxfId="5" priority="6" operator="lessThan">
      <formula>0</formula>
    </cfRule>
  </conditionalFormatting>
  <conditionalFormatting sqref="F85:F86">
    <cfRule type="cellIs" dxfId="4" priority="5" operator="lessThan">
      <formula>0</formula>
    </cfRule>
  </conditionalFormatting>
  <conditionalFormatting sqref="F90:F91">
    <cfRule type="cellIs" dxfId="3" priority="4" operator="lessThan">
      <formula>0</formula>
    </cfRule>
  </conditionalFormatting>
  <conditionalFormatting sqref="J99">
    <cfRule type="cellIs" dxfId="2" priority="3" operator="lessThan">
      <formula>0</formula>
    </cfRule>
  </conditionalFormatting>
  <conditionalFormatting sqref="J101:J104">
    <cfRule type="cellIs" dxfId="1" priority="2" operator="lessThan">
      <formula>0</formula>
    </cfRule>
  </conditionalFormatting>
  <conditionalFormatting sqref="J106">
    <cfRule type="cellIs" dxfId="0" priority="1" operator="lessThan">
      <formula>0</formula>
    </cfRule>
  </conditionalFormatting>
  <dataValidations count="5">
    <dataValidation type="list" allowBlank="1" showInputMessage="1" showErrorMessage="1" sqref="D73" xr:uid="{4E913AB3-F90B-4C35-BCE1-5DBB8FC05107}">
      <formula1>INDIRECT("Table_SourceData_PoultryMMSStage1[MMS]")</formula1>
    </dataValidation>
    <dataValidation type="list" allowBlank="1" showInputMessage="1" showErrorMessage="1" sqref="E160" xr:uid="{AF94BFC8-A9BD-4286-932B-111409BF1EB6}">
      <formula1>INDIRECT("Table_SourceData_Feedlot_CropProdSystems[Production system]")</formula1>
    </dataValidation>
    <dataValidation type="list" allowBlank="1" showInputMessage="1" showErrorMessage="1" sqref="E161" xr:uid="{20E9D9A1-CABD-46A5-B149-02F06B30AA0E}">
      <formula1>INDIRECT("Table_SourceData_Feedlot_IrrigationMethods[Irrigation method]")</formula1>
    </dataValidation>
    <dataValidation type="list" allowBlank="1" showInputMessage="1" showErrorMessage="1" sqref="E27" xr:uid="{9FB53635-991F-44AA-A123-E8ABEF9EE0A6}">
      <formula1>INDIRECT("Table_SourceData_Dairy_ProductionSystemTemplates[Area]")</formula1>
    </dataValidation>
    <dataValidation type="list" allowBlank="1" showInputMessage="1" showErrorMessage="1" sqref="E45 E50 E55 E89 E84 E79" xr:uid="{00A4EA4C-90D3-4150-979D-4D71C7F37A31}">
      <formula1>"Yes, No"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X165"/>
  <sheetViews>
    <sheetView showGridLines="0" tabSelected="1" topLeftCell="I154" workbookViewId="0">
      <selection activeCell="Q181" sqref="Q18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23" width="30.7109375" style="1" customWidth="1"/>
    <col min="24" max="24" width="4.7109375" style="1" customWidth="1"/>
  </cols>
  <sheetData>
    <row r="1" spans="1:24" s="8" customFormat="1" ht="30" customHeight="1" x14ac:dyDescent="0.35">
      <c r="A1" s="71" t="e" vm="1">
        <v>#VALUE!</v>
      </c>
      <c r="C1" s="8" t="s">
        <v>227</v>
      </c>
    </row>
    <row r="2" spans="1:24" s="9" customFormat="1" ht="20.100000000000001" customHeight="1" x14ac:dyDescent="0.25"/>
    <row r="3" spans="1:24" ht="20.100000000000001" customHeight="1" x14ac:dyDescent="0.25">
      <c r="A3" s="17" t="str">
        <f>HYPERLINK("#'Home'!A1", "Home")</f>
        <v>Home</v>
      </c>
      <c r="C3" s="4"/>
      <c r="D3" s="4" t="s">
        <v>132</v>
      </c>
      <c r="E3" s="4"/>
      <c r="F3" s="4"/>
      <c r="G3" s="4"/>
      <c r="H3" s="4"/>
      <c r="I3" s="4"/>
      <c r="J3" s="4"/>
      <c r="L3" s="4"/>
      <c r="M3" s="4" t="s">
        <v>133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0.100000000000001" customHeight="1" x14ac:dyDescent="0.25">
      <c r="A4" s="17" t="str">
        <f>HYPERLINK("#'Results'!A1", "Results")</f>
        <v>Results</v>
      </c>
    </row>
    <row r="5" spans="1:24" ht="20.100000000000001" customHeight="1" x14ac:dyDescent="0.25">
      <c r="A5" s="16"/>
    </row>
    <row r="6" spans="1:24" ht="20.100000000000001" customHeight="1" x14ac:dyDescent="0.25">
      <c r="A6" s="20" t="s">
        <v>3</v>
      </c>
    </row>
    <row r="7" spans="1:24" ht="20.100000000000001" customHeight="1" x14ac:dyDescent="0.25">
      <c r="A7" s="17" t="str">
        <f>HYPERLINK("#'Input - Site'!A1", "Site")</f>
        <v>Site</v>
      </c>
    </row>
    <row r="8" spans="1:24" ht="20.100000000000001" customHeight="1" x14ac:dyDescent="0.25">
      <c r="A8" s="17" t="str">
        <f>HYPERLINK("#'Input - Feedlot'!A1", "Feedlot")</f>
        <v>Feedlot</v>
      </c>
    </row>
    <row r="9" spans="1:24" ht="20.100000000000001" customHeight="1" x14ac:dyDescent="0.25">
      <c r="A9" s="17"/>
    </row>
    <row r="10" spans="1:24" ht="20.100000000000001" customHeight="1" x14ac:dyDescent="0.25">
      <c r="A10" s="19" t="s">
        <v>76</v>
      </c>
    </row>
    <row r="11" spans="1:24" ht="20.100000000000001" customHeight="1" x14ac:dyDescent="0.25">
      <c r="A11" s="22" t="str">
        <f>HYPERLINK("#'4.1.1.1-2 Methane'!A1", "4.1.1.1-2 Methane")</f>
        <v>4.1.1.1-2 Methane</v>
      </c>
    </row>
    <row r="12" spans="1:24" ht="20.100000000000001" customHeight="1" x14ac:dyDescent="0.25">
      <c r="A12" s="17" t="str">
        <f>HYPERLINK("#'4.1.1.3-4 Direct N20'!A1", "4.1.1.3-4 Direct N2O")</f>
        <v>4.1.1.3-4 Direct N2O</v>
      </c>
    </row>
    <row r="13" spans="1:24" ht="20.100000000000001" customHeight="1" x14ac:dyDescent="0.25">
      <c r="A13" s="17" t="str">
        <f>HYPERLINK("#'4.1.1.5-6 Atmos Deposition'!A1", "4.1.1.5-6 Atmospheric deposition")</f>
        <v>4.1.1.5-6 Atmospheric deposition</v>
      </c>
    </row>
    <row r="14" spans="1:24" ht="20.100000000000001" customHeight="1" x14ac:dyDescent="0.25">
      <c r="A14" s="17" t="str">
        <f>HYPERLINK("#'4.1.1.9 Manure applied to soils'!A1", "4.1.1.9 Manure applied to soils")</f>
        <v>4.1.1.9 Manure applied to soils</v>
      </c>
    </row>
    <row r="15" spans="1:24" ht="20.100000000000001" customHeight="1" x14ac:dyDescent="0.25"/>
    <row r="16" spans="1:24" ht="20.100000000000001" customHeight="1" x14ac:dyDescent="0.25">
      <c r="A16" s="18" t="s">
        <v>4</v>
      </c>
    </row>
    <row r="17" spans="1:1" ht="20.100000000000001" customHeight="1" x14ac:dyDescent="0.25">
      <c r="A17" s="17" t="str">
        <f>HYPERLINK("#'Constants - Feedlot'!A1", "Constants - Feedlot")</f>
        <v>Constants - Feedlot</v>
      </c>
    </row>
    <row r="18" spans="1:1" ht="20.100000000000001" customHeight="1" x14ac:dyDescent="0.25">
      <c r="A18" s="17" t="str">
        <f>HYPERLINK("#'Constants - Livestock'!A1", "Constants - Livestock")</f>
        <v>Constants - Livestock</v>
      </c>
    </row>
    <row r="19" spans="1:1" ht="20.100000000000001" customHeight="1" x14ac:dyDescent="0.25">
      <c r="A19" s="17" t="str">
        <f>HYPERLINK("#'Constants - Common'!A1", "Constants - Common")</f>
        <v>Constants - Common</v>
      </c>
    </row>
    <row r="20" spans="1:1" ht="20.100000000000001" customHeight="1" x14ac:dyDescent="0.25">
      <c r="A20" s="17" t="str">
        <f>HYPERLINK("#'Acknowledgements'!A1", "Acknowledgements")</f>
        <v>Acknowledgements</v>
      </c>
    </row>
    <row r="21" spans="1:1" ht="20.100000000000001" customHeight="1" x14ac:dyDescent="0.25"/>
    <row r="22" spans="1:1" ht="20.100000000000001" customHeight="1" x14ac:dyDescent="0.25"/>
    <row r="23" spans="1:1" ht="20.100000000000001" customHeight="1" x14ac:dyDescent="0.25"/>
    <row r="24" spans="1:1" ht="20.100000000000001" customHeight="1" x14ac:dyDescent="0.25"/>
    <row r="25" spans="1:1" ht="20.100000000000001" customHeight="1" x14ac:dyDescent="0.25"/>
    <row r="26" spans="1:1" ht="20.100000000000001" customHeight="1" x14ac:dyDescent="0.25"/>
    <row r="27" spans="1:1" ht="20.100000000000001" customHeight="1" x14ac:dyDescent="0.25"/>
    <row r="28" spans="1:1" ht="20.100000000000001" customHeight="1" x14ac:dyDescent="0.25"/>
    <row r="29" spans="1:1" ht="20.100000000000001" customHeight="1" x14ac:dyDescent="0.25"/>
    <row r="30" spans="1:1" ht="20.100000000000001" customHeight="1" x14ac:dyDescent="0.25"/>
    <row r="31" spans="1:1" ht="20.100000000000001" customHeight="1" x14ac:dyDescent="0.25"/>
    <row r="32" spans="1:1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disablePrompts="1" count="1">
    <dataValidation operator="equal" allowBlank="1" showInputMessage="1" showErrorMessage="1" sqref="E52:G52 E57:G57 E115:G115 E120:G120 D140:F140 D153:F153 N57:P57 N120:P120" xr:uid="{AF7BB680-B75F-4AE8-AA2D-EDF03FCB10D8}"/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Q217"/>
  <sheetViews>
    <sheetView showGridLines="0" topLeftCell="A92" workbookViewId="0">
      <selection activeCell="G33" sqref="G3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71" t="e" vm="1">
        <v>#VALUE!</v>
      </c>
      <c r="C1" s="8" t="s">
        <v>228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132</v>
      </c>
      <c r="E3" s="4"/>
      <c r="F3" s="4"/>
      <c r="G3" s="4"/>
      <c r="H3" s="4"/>
      <c r="I3" s="4"/>
      <c r="K3" s="4"/>
      <c r="L3" s="4" t="s">
        <v>133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MMS_Feedlot_N2O_Direct_Equations.VEERG_4_1_1_3__5_NitrogenIntake_Title()</f>
        <v>Nitrogen intake of feedlot cattle</v>
      </c>
    </row>
    <row r="6" spans="1:17" ht="20.100000000000001" customHeight="1" x14ac:dyDescent="0.25">
      <c r="A6" s="20" t="s">
        <v>3</v>
      </c>
      <c r="D6" s="5" t="str" cm="1">
        <f t="array" ref="D6">MMS_Feedlot_N2O_Direct_Equations.VEERG_4_1_1_3__5_NitrogenIntake_Source()</f>
        <v>VEERG 2026: 4.1.1.3, Equation (5)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117</v>
      </c>
      <c r="E7" s="13" t="str" cm="1">
        <f t="array" aca="1" ref="E7" ca="1">Common_InputFunctions.Utility_DisplayFunctionName(D30)</f>
        <v>=MMS_Feedlot_N2O_Direct_Equations.VEERG_4_1_1_3__5_NitrogenIntake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76</v>
      </c>
      <c r="D10" s="56" t="s">
        <v>29</v>
      </c>
      <c r="E10" s="1" t="str" cm="1">
        <f t="array" ref="E10">MMS_Feedlot_N2O_Direct_Equations.VEERG_4_1_1_3__5_NitrogenIntake_Variable()</f>
        <v>NI_j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19</v>
      </c>
      <c r="E11" s="57" t="str" cm="1">
        <f t="array" ref="E11">MMS_Feedlot_N2O_Direct_Equations.VEERG_4_1_1_3__5_NitrogenIntake_Unit()</f>
        <v>kg N/head/day</v>
      </c>
    </row>
    <row r="12" spans="1:17" ht="20.100000000000001" customHeight="1" x14ac:dyDescent="0.25">
      <c r="A12" s="22" t="str">
        <f>HYPERLINK("#'4.1.1.3-4 Direct N20'!A1", "4.1.1.3-4 Direct N2O")</f>
        <v>4.1.1.3-4 Direct N2O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MMS_Feedlot_N2O_Direct_Equations.VEERG_4_1_1_3__5_NitrogenIntake_Arguments()</f>
        <v>I_j</v>
      </c>
      <c r="E13" s="61" t="str">
        <v>dry matter intake : kg DM/head/day</v>
      </c>
      <c r="F13" s="62"/>
      <c r="G13" s="60" t="str">
        <f>"See " &amp;D17</f>
        <v>See M1_Table_I_j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CP_j</v>
      </c>
      <c r="E14" s="61" t="str">
        <v>crude protein content of feed : fraction</v>
      </c>
      <c r="F14" s="62"/>
      <c r="G14" s="60" t="str">
        <f>"See " &amp; D22</f>
        <v>See M1_Table_CP_j</v>
      </c>
    </row>
    <row r="15" spans="1:17" ht="20.100000000000001" customHeight="1" x14ac:dyDescent="0.25">
      <c r="D15" s="60" t="str">
        <v>6.25</v>
      </c>
      <c r="E15" s="61" t="str">
        <v>factor for converting crude protein into nitrogen : ratio</v>
      </c>
      <c r="F15" s="62"/>
      <c r="G15" s="60" t="str">
        <f>D15</f>
        <v>6.25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4" t="s">
        <v>122</v>
      </c>
      <c r="L17" s="104" t="s">
        <v>125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3" t="s">
        <v>169</v>
      </c>
      <c r="L18" s="103" t="s">
        <v>170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54" t="s">
        <v>119</v>
      </c>
      <c r="E19" s="54" t="s">
        <v>120</v>
      </c>
      <c r="F19" s="54" t="s">
        <v>121</v>
      </c>
      <c r="L19" s="54" t="s">
        <v>119</v>
      </c>
      <c r="M19" s="54" t="s">
        <v>120</v>
      </c>
      <c r="N19" s="54" t="s">
        <v>121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Dairy'!$E$17</f>
        <v>365</v>
      </c>
      <c r="E20" s="55">
        <f>'Input - Dairy'!$F$17</f>
        <v>365</v>
      </c>
      <c r="F20" s="55">
        <f>'Input - Dairy'!$G$17</f>
        <v>281</v>
      </c>
      <c r="G20" s="2" t="s">
        <v>100</v>
      </c>
      <c r="H20" s="2"/>
      <c r="L20" s="55" t="e">
        <f>'Input - Dairy'!#REF!</f>
        <v>#REF!</v>
      </c>
      <c r="M20" s="55" t="e">
        <f>'Input - Dairy'!#REF!</f>
        <v>#REF!</v>
      </c>
      <c r="N20" s="55" t="e">
        <f>'Input - Dairy'!#REF!</f>
        <v>#REF!</v>
      </c>
      <c r="O20" s="2" t="s">
        <v>100</v>
      </c>
      <c r="P20" s="2"/>
    </row>
    <row r="21" spans="1:16" ht="20.100000000000001" customHeight="1" x14ac:dyDescent="0.25"/>
    <row r="22" spans="1:16" ht="20.100000000000001" customHeight="1" x14ac:dyDescent="0.25">
      <c r="D22" s="104" t="s">
        <v>123</v>
      </c>
      <c r="L22" s="104" t="s">
        <v>126</v>
      </c>
    </row>
    <row r="23" spans="1:16" ht="20.100000000000001" customHeight="1" x14ac:dyDescent="0.25">
      <c r="D23" s="103" t="s">
        <v>168</v>
      </c>
      <c r="L23" s="103" t="s">
        <v>171</v>
      </c>
    </row>
    <row r="24" spans="1:16" ht="20.100000000000001" customHeight="1" x14ac:dyDescent="0.25">
      <c r="D24" s="54" t="s">
        <v>119</v>
      </c>
      <c r="E24" s="54" t="s">
        <v>120</v>
      </c>
      <c r="F24" s="54" t="s">
        <v>121</v>
      </c>
      <c r="L24" s="54" t="s">
        <v>119</v>
      </c>
      <c r="M24" s="54" t="s">
        <v>120</v>
      </c>
      <c r="N24" s="54" t="s">
        <v>121</v>
      </c>
    </row>
    <row r="25" spans="1:16" ht="20.100000000000001" customHeight="1" x14ac:dyDescent="0.25">
      <c r="D25" s="55" t="e">
        <f>'Input - Dairy'!#REF!</f>
        <v>#REF!</v>
      </c>
      <c r="E25" s="55" t="e">
        <f>'Input - Dairy'!#REF!</f>
        <v>#REF!</v>
      </c>
      <c r="F25" s="55" t="e">
        <f>'Input - Dairy'!#REF!</f>
        <v>#REF!</v>
      </c>
      <c r="G25" s="2" t="s">
        <v>98</v>
      </c>
      <c r="H25" s="2"/>
      <c r="L25" s="55" t="e">
        <f>'Input - Dairy'!#REF!</f>
        <v>#REF!</v>
      </c>
      <c r="M25" s="55" t="e">
        <f>'Input - Dairy'!#REF!</f>
        <v>#REF!</v>
      </c>
      <c r="N25" s="55" t="e">
        <f>'Input - Dairy'!#REF!</f>
        <v>#REF!</v>
      </c>
      <c r="O25" s="2" t="s">
        <v>98</v>
      </c>
      <c r="P25" s="2"/>
    </row>
    <row r="26" spans="1:16" ht="20.100000000000001" customHeight="1" x14ac:dyDescent="0.25"/>
    <row r="27" spans="1:16" ht="20.100000000000001" customHeight="1" x14ac:dyDescent="0.25">
      <c r="D27" s="104" t="s">
        <v>124</v>
      </c>
      <c r="L27" s="104" t="s">
        <v>127</v>
      </c>
    </row>
    <row r="28" spans="1:16" ht="20.100000000000001" customHeight="1" x14ac:dyDescent="0.25">
      <c r="D28" s="103" t="s">
        <v>167</v>
      </c>
      <c r="L28" s="103" t="s">
        <v>172</v>
      </c>
    </row>
    <row r="29" spans="1:16" ht="20.100000000000001" customHeight="1" x14ac:dyDescent="0.25">
      <c r="D29" s="54" t="s">
        <v>119</v>
      </c>
      <c r="E29" s="54" t="s">
        <v>120</v>
      </c>
      <c r="F29" s="54" t="s">
        <v>121</v>
      </c>
      <c r="L29" s="54" t="s">
        <v>119</v>
      </c>
      <c r="M29" s="54" t="s">
        <v>120</v>
      </c>
      <c r="N29" s="54" t="s">
        <v>121</v>
      </c>
    </row>
    <row r="30" spans="1:16" ht="20.100000000000001" customHeight="1" x14ac:dyDescent="0.25">
      <c r="D30" s="55" t="e" cm="1">
        <f t="array" ref="D30">MMS_Feedlot_N2O_Direct_Equations.VEERG_4_1_1_3__5_NitrogenIntake(D20,D25)</f>
        <v>#REF!</v>
      </c>
      <c r="E30" s="55" t="e" cm="1">
        <f t="array" ref="E30">MMS_Feedlot_N2O_Direct_Equations.VEERG_4_1_1_3__5_NitrogenIntake(E20,E25)</f>
        <v>#REF!</v>
      </c>
      <c r="F30" s="55" t="e" cm="1">
        <f t="array" ref="F30">MMS_Feedlot_N2O_Direct_Equations.VEERG_4_1_1_3__5_NitrogenIntake(F20,F25)</f>
        <v>#REF!</v>
      </c>
      <c r="G30" s="2" t="str">
        <f>$E$11</f>
        <v>kg N/head/day</v>
      </c>
      <c r="H30" s="2"/>
      <c r="L30" s="55" t="e" cm="1">
        <f t="array" ref="L30">MMS_Feedlot_N2O_Direct_Equations.VEERG_4_1_1_3__5_NitrogenIntake(L20,L25)</f>
        <v>#REF!</v>
      </c>
      <c r="M30" s="55" t="e" cm="1">
        <f t="array" ref="M30">MMS_Feedlot_N2O_Direct_Equations.VEERG_4_1_1_3__5_NitrogenIntake(M20,M25)</f>
        <v>#REF!</v>
      </c>
      <c r="N30" s="55" t="e" cm="1">
        <f t="array" ref="N30">MMS_Feedlot_N2O_Direct_Equations.VEERG_4_1_1_3__5_NitrogenIntake(N20,N25)</f>
        <v>#REF!</v>
      </c>
      <c r="O30" s="2" t="str">
        <f>$E$11</f>
        <v>kg N/head/day</v>
      </c>
      <c r="P30" s="2"/>
    </row>
    <row r="31" spans="1:16" ht="20.100000000000001" customHeight="1" x14ac:dyDescent="0.25"/>
    <row r="32" spans="1:16" ht="20.100000000000001" customHeight="1" x14ac:dyDescent="0.25"/>
    <row r="33" spans="3:17" ht="20.100000000000001" customHeight="1" x14ac:dyDescent="0.25">
      <c r="C33" s="48"/>
      <c r="D33" s="48"/>
      <c r="E33" s="48"/>
      <c r="F33" s="48"/>
      <c r="G33" s="48"/>
      <c r="H33" s="48"/>
      <c r="I33" s="48"/>
      <c r="K33" s="48"/>
      <c r="L33" s="48"/>
      <c r="M33" s="48"/>
      <c r="N33" s="48"/>
      <c r="O33" s="48"/>
      <c r="P33" s="48"/>
      <c r="Q33" s="48"/>
    </row>
    <row r="34" spans="3:17" ht="20.100000000000001" customHeight="1" x14ac:dyDescent="0.25">
      <c r="D34" s="6" t="str" cm="1">
        <f t="array" ref="D34">MMS_Feedlot_N2O_Direct_Equations.VEERG_4_1_1_3__4_NitrogenExcretionPerHead_Title()</f>
        <v>Nitrogen excretion per head per day</v>
      </c>
    </row>
    <row r="35" spans="3:17" ht="20.100000000000001" customHeight="1" x14ac:dyDescent="0.25">
      <c r="D35" s="5" t="str" cm="1">
        <f t="array" ref="D35">MMS_Feedlot_N2O_Direct_Equations.VEERG_4_1_1_3__4_NitrogenExcretionPerHead_Source()</f>
        <v>VEERG 2026: 4.1.1.3, Equation (4)</v>
      </c>
    </row>
    <row r="36" spans="3:17" ht="20.100000000000001" customHeight="1" x14ac:dyDescent="0.25">
      <c r="D36" s="13" t="s">
        <v>26</v>
      </c>
      <c r="E36" s="13" t="str" cm="1">
        <f t="array" aca="1" ref="E36" ca="1">Common_InputFunctions.Utility_DisplayFunctionName(D54)</f>
        <v>=MMS_Feedlot_N2O_Direct_Equations.VEERG_4_1_1_3__4_NitrogenExcretionPerHead</v>
      </c>
    </row>
    <row r="37" spans="3:17" ht="20.100000000000001" customHeight="1" x14ac:dyDescent="0.25"/>
    <row r="38" spans="3:17" ht="20.100000000000001" customHeight="1" x14ac:dyDescent="0.25">
      <c r="D38" s="6"/>
    </row>
    <row r="39" spans="3:17" ht="20.100000000000001" customHeight="1" x14ac:dyDescent="0.25"/>
    <row r="40" spans="3:17" ht="20.100000000000001" customHeight="1" x14ac:dyDescent="0.25">
      <c r="D40" s="56" t="s">
        <v>29</v>
      </c>
      <c r="E40" s="1" t="str" cm="1">
        <f t="array" ref="E40">MMS_Feedlot_N2O_Direct_Equations.VEERG_4_1_1_3__4_NitrogenExcretionPerHead_Variable()</f>
        <v>NE_j</v>
      </c>
    </row>
    <row r="41" spans="3:17" ht="20.100000000000001" customHeight="1" x14ac:dyDescent="0.25">
      <c r="D41" s="56" t="s">
        <v>19</v>
      </c>
      <c r="E41" s="57" t="str" cm="1">
        <f t="array" ref="E41">MMS_Feedlot_N2O_Direct_Equations.VEERG_4_1_1_3__4_NitrogenExcretionPerHead_Unit()</f>
        <v>kg N/head/day</v>
      </c>
    </row>
    <row r="42" spans="3:17" ht="20.100000000000001" customHeight="1" x14ac:dyDescent="0.25"/>
    <row r="43" spans="3:17" ht="20.100000000000001" customHeight="1" x14ac:dyDescent="0.25">
      <c r="D43" s="60" t="str" cm="1">
        <f t="array" ref="D43:E44">MMS_Feedlot_N2O_Direct_Equations.VEERG_4_1_1_3__4_NitrogenExcretionPerHead_Arguments()</f>
        <v>NI_j</v>
      </c>
      <c r="E43" s="61" t="str">
        <v>nitrogen intake : kg N/head/day</v>
      </c>
      <c r="F43" s="62"/>
      <c r="G43" s="60" t="str">
        <f>"See " &amp; D27</f>
        <v>See M1_Table_NI_j</v>
      </c>
    </row>
    <row r="44" spans="3:17" ht="20.100000000000001" customHeight="1" x14ac:dyDescent="0.25">
      <c r="D44" s="60" t="str">
        <v>NR_j</v>
      </c>
      <c r="E44" s="61" t="str">
        <v>nitrogen retention expressed as a fraction of intake : fraction</v>
      </c>
      <c r="F44" s="62"/>
      <c r="G44" s="60" t="str">
        <f>"See " &amp; D46</f>
        <v>See M1_Table_NR_j</v>
      </c>
    </row>
    <row r="45" spans="3:17" ht="20.100000000000001" customHeight="1" x14ac:dyDescent="0.25"/>
    <row r="46" spans="3:17" ht="20.100000000000001" customHeight="1" x14ac:dyDescent="0.25">
      <c r="D46" s="104" t="s">
        <v>128</v>
      </c>
      <c r="E46" s="114" t="s">
        <v>181</v>
      </c>
      <c r="L46" s="104" t="s">
        <v>129</v>
      </c>
      <c r="M46" s="114" t="s">
        <v>181</v>
      </c>
    </row>
    <row r="47" spans="3:17" ht="20.100000000000001" customHeight="1" x14ac:dyDescent="0.25">
      <c r="D47" s="103" t="s">
        <v>165</v>
      </c>
      <c r="L47" s="103" t="s">
        <v>166</v>
      </c>
    </row>
    <row r="48" spans="3:17" ht="20.100000000000001" customHeight="1" x14ac:dyDescent="0.25">
      <c r="D48" s="54" t="s">
        <v>119</v>
      </c>
      <c r="E48" s="54" t="s">
        <v>120</v>
      </c>
      <c r="F48" s="54" t="s">
        <v>121</v>
      </c>
      <c r="L48" s="54" t="s">
        <v>119</v>
      </c>
      <c r="M48" s="54" t="s">
        <v>120</v>
      </c>
      <c r="N48" s="54" t="s">
        <v>121</v>
      </c>
    </row>
    <row r="49" spans="3:17" ht="20.100000000000001" customHeight="1" x14ac:dyDescent="0.25">
      <c r="D49" s="55" t="e">
        <f>'Input - Dairy'!#REF!/100</f>
        <v>#REF!</v>
      </c>
      <c r="E49" s="55" t="e">
        <f>'Input - Dairy'!#REF!/100</f>
        <v>#REF!</v>
      </c>
      <c r="F49" s="55" t="e">
        <f>'Input - Dairy'!#REF!/100</f>
        <v>#REF!</v>
      </c>
      <c r="G49" s="2" t="s">
        <v>134</v>
      </c>
      <c r="H49" s="2"/>
      <c r="L49" s="55" t="e">
        <f>'Input - Dairy'!#REF!/100</f>
        <v>#REF!</v>
      </c>
      <c r="M49" s="55" t="e">
        <f>'Input - Dairy'!#REF!/100</f>
        <v>#REF!</v>
      </c>
      <c r="N49" s="55" t="e">
        <f>'Input - Dairy'!#REF!/100</f>
        <v>#REF!</v>
      </c>
      <c r="O49" s="2" t="s">
        <v>98</v>
      </c>
      <c r="P49" s="2"/>
    </row>
    <row r="50" spans="3:17" ht="20.100000000000001" customHeight="1" x14ac:dyDescent="0.25"/>
    <row r="51" spans="3:17" ht="20.100000000000001" customHeight="1" x14ac:dyDescent="0.25">
      <c r="D51" s="104" t="s">
        <v>130</v>
      </c>
      <c r="L51" s="104" t="s">
        <v>131</v>
      </c>
    </row>
    <row r="52" spans="3:17" ht="20.100000000000001" customHeight="1" x14ac:dyDescent="0.25">
      <c r="D52" s="103" t="s">
        <v>165</v>
      </c>
      <c r="L52" s="103" t="s">
        <v>166</v>
      </c>
    </row>
    <row r="53" spans="3:17" ht="20.100000000000001" customHeight="1" x14ac:dyDescent="0.25">
      <c r="D53" s="54" t="s">
        <v>119</v>
      </c>
      <c r="E53" s="54" t="s">
        <v>120</v>
      </c>
      <c r="F53" s="54" t="s">
        <v>121</v>
      </c>
      <c r="L53" s="54" t="s">
        <v>119</v>
      </c>
      <c r="M53" s="54" t="s">
        <v>120</v>
      </c>
      <c r="N53" s="54" t="s">
        <v>121</v>
      </c>
    </row>
    <row r="54" spans="3:17" ht="20.100000000000001" customHeight="1" x14ac:dyDescent="0.25">
      <c r="D54" s="55" t="e" cm="1">
        <f t="array" ref="D54">MMS_Feedlot_N2O_Direct_Equations.VEERG_4_1_1_3__4_NitrogenExcretionPerHead(D30,D49)</f>
        <v>#REF!</v>
      </c>
      <c r="E54" s="55" t="e" cm="1">
        <f t="array" ref="E54">MMS_Feedlot_N2O_Direct_Equations.VEERG_4_1_1_3__4_NitrogenExcretionPerHead(E30,E49)</f>
        <v>#REF!</v>
      </c>
      <c r="F54" s="55" t="e" cm="1">
        <f t="array" ref="F54">MMS_Feedlot_N2O_Direct_Equations.VEERG_4_1_1_3__4_NitrogenExcretionPerHead(F30,F49)</f>
        <v>#REF!</v>
      </c>
      <c r="G54" s="2" t="str">
        <f>$E$41</f>
        <v>kg N/head/day</v>
      </c>
      <c r="H54" s="2"/>
      <c r="L54" s="55" t="e" cm="1">
        <f t="array" ref="L54">MMS_Feedlot_N2O_Direct_Equations.VEERG_4_1_1_3__4_NitrogenExcretionPerHead(L30,L49)</f>
        <v>#REF!</v>
      </c>
      <c r="M54" s="55" t="e" cm="1">
        <f t="array" ref="M54">MMS_Feedlot_N2O_Direct_Equations.VEERG_4_1_1_3__4_NitrogenExcretionPerHead(M30,M49)</f>
        <v>#REF!</v>
      </c>
      <c r="N54" s="55" t="e" cm="1">
        <f t="array" ref="N54">MMS_Feedlot_N2O_Direct_Equations.VEERG_4_1_1_3__4_NitrogenExcretionPerHead(N30,N49)</f>
        <v>#REF!</v>
      </c>
      <c r="O54" s="2" t="str">
        <f>$E$41</f>
        <v>kg N/head/day</v>
      </c>
      <c r="P54" s="2"/>
    </row>
    <row r="55" spans="3:17" ht="20.100000000000001" customHeight="1" x14ac:dyDescent="0.25"/>
    <row r="56" spans="3:17" ht="20.100000000000001" customHeight="1" x14ac:dyDescent="0.25"/>
    <row r="57" spans="3:17" ht="20.100000000000001" customHeight="1" x14ac:dyDescent="0.25">
      <c r="C57" s="48"/>
      <c r="D57" s="48"/>
      <c r="E57" s="48"/>
      <c r="F57" s="48"/>
      <c r="G57" s="48"/>
      <c r="H57" s="48"/>
      <c r="I57" s="48"/>
      <c r="K57" s="48"/>
      <c r="L57" s="48"/>
      <c r="M57" s="48"/>
      <c r="N57" s="48"/>
      <c r="O57" s="48"/>
      <c r="P57" s="48"/>
      <c r="Q57" s="48"/>
    </row>
    <row r="58" spans="3:17" ht="20.100000000000001" customHeight="1" x14ac:dyDescent="0.25">
      <c r="D58" s="6" t="str" cm="1">
        <f t="array" ref="D58">MMS_Feedlot_N2O_Direct_Equations.VEERG_4_1_1_3__3_AnnualNitrogenExcretion_Title()</f>
        <v>Annual nitrogen excretion from each feedlot cattle group</v>
      </c>
    </row>
    <row r="59" spans="3:17" ht="20.100000000000001" customHeight="1" x14ac:dyDescent="0.25">
      <c r="D59" s="5" t="str" cm="1">
        <f t="array" ref="D59">MMS_Feedlot_N2O_Direct_Equations.VEERG_4_1_1_3__3_AnnualNitrogenExcretion_Source()</f>
        <v>VEERG 2026: 4.1.1.3, Equation (3)</v>
      </c>
    </row>
    <row r="60" spans="3:17" ht="20.100000000000001" customHeight="1" x14ac:dyDescent="0.25">
      <c r="D60" s="13" t="s">
        <v>26</v>
      </c>
      <c r="E60" s="13" t="str" cm="1">
        <f t="array" aca="1" ref="E60" ca="1">Common_InputFunctions.Utility_DisplayFunctionName(D83)</f>
        <v>=MMS_Feedlot_N2O_Direct_Equations.VEERG_4_1_1_3__3_AnnualNitrogenExcretion</v>
      </c>
    </row>
    <row r="61" spans="3:17" ht="20.100000000000001" customHeight="1" x14ac:dyDescent="0.25"/>
    <row r="62" spans="3:17" ht="20.100000000000001" customHeight="1" x14ac:dyDescent="0.25">
      <c r="D62" s="6"/>
    </row>
    <row r="63" spans="3:17" ht="20.100000000000001" customHeight="1" x14ac:dyDescent="0.25">
      <c r="D63" s="56" t="s">
        <v>29</v>
      </c>
      <c r="E63" s="1" t="str" cm="1">
        <f t="array" ref="E63">MMS_Feedlot_N2O_Direct_Equations.VEERG_4_1_1_3__3_AnnualNitrogenExcretion_Variable()</f>
        <v>AE_j</v>
      </c>
    </row>
    <row r="64" spans="3:17" ht="20.100000000000001" customHeight="1" x14ac:dyDescent="0.25">
      <c r="D64" s="56" t="s">
        <v>19</v>
      </c>
      <c r="E64" s="57" t="str" cm="1">
        <f t="array" ref="E64">MMS_Feedlot_N2O_Direct_Equations.VEERG_4_1_1_3__3_AnnualNitrogenExcretion_Unit()</f>
        <v>kg N</v>
      </c>
    </row>
    <row r="65" spans="4:12" ht="20.100000000000001" customHeight="1" x14ac:dyDescent="0.25"/>
    <row r="66" spans="4:12" ht="20.100000000000001" customHeight="1" x14ac:dyDescent="0.25">
      <c r="D66" s="115" t="str" cm="1">
        <f t="array" ref="D66:E68">MMS_Feedlot_N2O_Direct_Equations.VEERG_4_1_1_3__3_AnnualNitrogenExcretion_Arguments()</f>
        <v>N_j</v>
      </c>
      <c r="E66" s="117" t="str">
        <v>number of cattle in each group : head</v>
      </c>
      <c r="F66" s="116"/>
      <c r="G66" s="115" t="str">
        <f>"See " &amp; D70</f>
        <v>See Table_N_j</v>
      </c>
    </row>
    <row r="67" spans="4:12" ht="20.100000000000001" customHeight="1" x14ac:dyDescent="0.25">
      <c r="D67" s="115" t="str">
        <v>NE_j</v>
      </c>
      <c r="E67" s="117" t="str">
        <v>nitrogen excretion : kg N/head/day</v>
      </c>
      <c r="F67" s="116"/>
      <c r="G67" s="115" t="str">
        <f>"See " &amp; D51</f>
        <v>See M1_Table_NE_j</v>
      </c>
    </row>
    <row r="68" spans="4:12" ht="20.100000000000001" customHeight="1" x14ac:dyDescent="0.25">
      <c r="D68" s="115" t="str">
        <v>D_j</v>
      </c>
      <c r="E68" s="117" t="str">
        <v>duration of stay of cattle group : days</v>
      </c>
      <c r="F68" s="116"/>
      <c r="G68" s="115" t="str">
        <f>"See " &amp; D75</f>
        <v>See Table_D_j</v>
      </c>
    </row>
    <row r="69" spans="4:12" ht="20.100000000000001" customHeight="1" x14ac:dyDescent="0.25"/>
    <row r="70" spans="4:12" ht="20.100000000000001" customHeight="1" x14ac:dyDescent="0.25">
      <c r="D70" s="104" t="s">
        <v>112</v>
      </c>
    </row>
    <row r="71" spans="4:12" ht="20.100000000000001" customHeight="1" x14ac:dyDescent="0.25">
      <c r="D71" s="103" t="s">
        <v>113</v>
      </c>
    </row>
    <row r="72" spans="4:12" ht="20.100000000000001" customHeight="1" x14ac:dyDescent="0.25">
      <c r="D72" s="54" t="s">
        <v>119</v>
      </c>
      <c r="E72" s="54" t="s">
        <v>120</v>
      </c>
      <c r="F72" s="54" t="s">
        <v>121</v>
      </c>
    </row>
    <row r="73" spans="4:12" ht="20.100000000000001" customHeight="1" x14ac:dyDescent="0.25">
      <c r="D73" s="107">
        <f>'Input - Dairy'!$E$8</f>
        <v>100</v>
      </c>
      <c r="E73" s="107">
        <f>'Input - Dairy'!$F$8</f>
        <v>100</v>
      </c>
      <c r="F73" s="107">
        <f>'Input - Dairy'!$G$8</f>
        <v>100</v>
      </c>
      <c r="G73" s="2" t="s">
        <v>114</v>
      </c>
      <c r="H73" s="2"/>
    </row>
    <row r="74" spans="4:12" ht="20.100000000000001" customHeight="1" x14ac:dyDescent="0.25"/>
    <row r="75" spans="4:12" ht="20.100000000000001" customHeight="1" x14ac:dyDescent="0.25">
      <c r="D75" s="104" t="s">
        <v>111</v>
      </c>
    </row>
    <row r="76" spans="4:12" ht="20.100000000000001" customHeight="1" x14ac:dyDescent="0.25">
      <c r="D76" s="103" t="s">
        <v>109</v>
      </c>
    </row>
    <row r="77" spans="4:12" ht="20.100000000000001" customHeight="1" x14ac:dyDescent="0.25">
      <c r="D77" s="54" t="s">
        <v>119</v>
      </c>
      <c r="E77" s="54" t="s">
        <v>120</v>
      </c>
      <c r="F77" s="54" t="s">
        <v>121</v>
      </c>
    </row>
    <row r="78" spans="4:12" ht="20.100000000000001" customHeight="1" x14ac:dyDescent="0.25">
      <c r="D78" s="107">
        <f>'Input - Dairy'!$E$13</f>
        <v>365</v>
      </c>
      <c r="E78" s="107">
        <f>'Input - Dairy'!$F$13</f>
        <v>365</v>
      </c>
      <c r="F78" s="107">
        <f>'Input - Dairy'!$G$13</f>
        <v>281</v>
      </c>
      <c r="G78" s="2" t="s">
        <v>54</v>
      </c>
      <c r="H78" s="2"/>
    </row>
    <row r="79" spans="4:12" ht="20.100000000000001" customHeight="1" x14ac:dyDescent="0.25"/>
    <row r="80" spans="4:12" ht="20.100000000000001" customHeight="1" x14ac:dyDescent="0.25">
      <c r="D80" s="104" t="s">
        <v>135</v>
      </c>
      <c r="L80" s="104" t="s">
        <v>136</v>
      </c>
    </row>
    <row r="81" spans="3:17" ht="20.100000000000001" customHeight="1" x14ac:dyDescent="0.25">
      <c r="D81" s="103" t="s">
        <v>163</v>
      </c>
      <c r="L81" s="103" t="s">
        <v>164</v>
      </c>
    </row>
    <row r="82" spans="3:17" ht="20.100000000000001" customHeight="1" x14ac:dyDescent="0.25">
      <c r="D82" s="54" t="s">
        <v>119</v>
      </c>
      <c r="E82" s="54" t="s">
        <v>120</v>
      </c>
      <c r="F82" s="54" t="s">
        <v>121</v>
      </c>
      <c r="L82" s="54" t="s">
        <v>119</v>
      </c>
      <c r="M82" s="54" t="s">
        <v>120</v>
      </c>
      <c r="N82" s="54" t="s">
        <v>121</v>
      </c>
    </row>
    <row r="83" spans="3:17" ht="20.100000000000001" customHeight="1" x14ac:dyDescent="0.25">
      <c r="D83" s="107" t="e" cm="1">
        <f t="array" ref="D83">MMS_Feedlot_N2O_Direct_Equations.VEERG_4_1_1_3__3_AnnualNitrogenExcretion(D73,D54,D78)</f>
        <v>#REF!</v>
      </c>
      <c r="E83" s="107" t="e" cm="1">
        <f t="array" ref="E83">MMS_Feedlot_N2O_Direct_Equations.VEERG_4_1_1_3__3_AnnualNitrogenExcretion(E73,E54,E78)</f>
        <v>#REF!</v>
      </c>
      <c r="F83" s="107" t="e" cm="1">
        <f t="array" ref="F83">MMS_Feedlot_N2O_Direct_Equations.VEERG_4_1_1_3__3_AnnualNitrogenExcretion(F73,F54,F78)</f>
        <v>#REF!</v>
      </c>
      <c r="G83" s="2" t="str">
        <f>$E$64</f>
        <v>kg N</v>
      </c>
      <c r="H83" s="2"/>
      <c r="L83" s="107" t="e" cm="1">
        <f t="array" ref="L83">MMS_Feedlot_N2O_Direct_Equations.VEERG_4_1_1_3__3_AnnualNitrogenExcretion(D73,L54,D78)</f>
        <v>#REF!</v>
      </c>
      <c r="M83" s="107" t="e" cm="1">
        <f t="array" ref="M83">MMS_Feedlot_N2O_Direct_Equations.VEERG_4_1_1_3__3_AnnualNitrogenExcretion(E73,M54,E78)</f>
        <v>#REF!</v>
      </c>
      <c r="N83" s="107" t="e" cm="1">
        <f t="array" ref="N83">MMS_Feedlot_N2O_Direct_Equations.VEERG_4_1_1_3__3_AnnualNitrogenExcretion(F73,N54,F78)</f>
        <v>#REF!</v>
      </c>
      <c r="O83" s="2" t="str">
        <f>$E$64</f>
        <v>kg N</v>
      </c>
      <c r="P83" s="2"/>
    </row>
    <row r="84" spans="3:17" ht="20.100000000000001" customHeight="1" x14ac:dyDescent="0.25"/>
    <row r="85" spans="3:17" ht="20.100000000000001" customHeight="1" x14ac:dyDescent="0.25"/>
    <row r="86" spans="3:17" ht="20.100000000000001" customHeight="1" x14ac:dyDescent="0.25">
      <c r="C86" s="48"/>
      <c r="D86" s="48"/>
      <c r="E86" s="48"/>
      <c r="F86" s="48"/>
      <c r="G86" s="48"/>
      <c r="H86" s="48"/>
      <c r="I86" s="48"/>
      <c r="K86" s="48"/>
      <c r="L86" s="48"/>
      <c r="M86" s="48"/>
      <c r="N86" s="48"/>
      <c r="O86" s="48"/>
      <c r="P86" s="48"/>
      <c r="Q86" s="48"/>
    </row>
    <row r="87" spans="3:17" ht="20.100000000000001" customHeight="1" x14ac:dyDescent="0.25">
      <c r="D87" s="6" t="str" cm="1">
        <f t="array" ref="D87">MMS_Feedlot_N2O_Direct_Equations.VEERG_4_1_1_3__2_Stage1NitrogenInMMSDrylot_Title()</f>
        <v>Nitrogen in treatment stage 1 MMS</v>
      </c>
    </row>
    <row r="88" spans="3:17" ht="20.100000000000001" customHeight="1" x14ac:dyDescent="0.25">
      <c r="D88" s="5" t="str" cm="1">
        <f t="array" ref="D88">MMS_Feedlot_N2O_Direct_Equations.VEERG_4_1_1_3__2_Stage1NitrogenInMMSDrylot_Source()</f>
        <v>VEERG 2026: 4.1.1.3, Equation (2)</v>
      </c>
    </row>
    <row r="89" spans="3:17" ht="20.100000000000001" customHeight="1" x14ac:dyDescent="0.25">
      <c r="D89" s="13" t="s">
        <v>26</v>
      </c>
      <c r="E89" s="13" t="str" cm="1">
        <f t="array" aca="1" ref="E89" ca="1">Common_InputFunctions.Utility_DisplayFunctionName(E106)</f>
        <v>=MMS_Feedlot_N2O_Direct_Equations.VEERG_4_1_1_3__2_Stage1NitrogenInMMSDrylot</v>
      </c>
    </row>
    <row r="90" spans="3:17" ht="20.100000000000001" customHeight="1" x14ac:dyDescent="0.25"/>
    <row r="91" spans="3:17" ht="20.100000000000001" customHeight="1" x14ac:dyDescent="0.25">
      <c r="D91" s="6"/>
    </row>
    <row r="92" spans="3:17" ht="20.100000000000001" customHeight="1" x14ac:dyDescent="0.25">
      <c r="D92" s="56" t="s">
        <v>29</v>
      </c>
      <c r="E92" s="1" t="str" cm="1">
        <f t="array" ref="E92">MMS_Feedlot_N2O_Direct_Equations.VEERG_4_1_1_3__2_Stage1NitrogenInMMSDrylot_Variable()</f>
        <v>MN_jm5T1</v>
      </c>
    </row>
    <row r="93" spans="3:17" ht="20.100000000000001" customHeight="1" x14ac:dyDescent="0.25">
      <c r="D93" s="56" t="s">
        <v>19</v>
      </c>
      <c r="E93" s="57" t="str" cm="1">
        <f t="array" ref="E93">MMS_Feedlot_N2O_Direct_Equations.VEERG_4_1_1_3__2_Stage1NitrogenInMMSDrylot_Unit()</f>
        <v>kg N</v>
      </c>
    </row>
    <row r="94" spans="3:17" ht="20.100000000000001" customHeight="1" x14ac:dyDescent="0.25"/>
    <row r="95" spans="3:17" ht="20.100000000000001" customHeight="1" x14ac:dyDescent="0.25">
      <c r="D95" s="60" t="str" cm="1">
        <f t="array" ref="D95:E96">MMS_Feedlot_N2O_Direct_Equations.VEERG_4_1_1_3__2_Stage1NitrogenInMMSDrylot_Arguments()</f>
        <v>AE_j</v>
      </c>
      <c r="E95" s="61" t="str">
        <v>total nitrogen excreted by each cattle group : kg N</v>
      </c>
      <c r="F95" s="62"/>
      <c r="G95" s="60" t="str">
        <f>"See " &amp; $D$80</f>
        <v>See M1_Table_AE_j</v>
      </c>
    </row>
    <row r="96" spans="3:17" ht="20.100000000000001" customHeight="1" x14ac:dyDescent="0.25">
      <c r="D96" s="60" t="str">
        <v>MMS_jm5T1</v>
      </c>
      <c r="E96" s="61" t="str">
        <v>fraction of manure in primary system drylot MMS : fraction</v>
      </c>
      <c r="F96" s="62"/>
      <c r="G96" s="60" t="str">
        <f>"See " &amp; D98</f>
        <v>See Table_MMS_j_m-5_T-1</v>
      </c>
    </row>
    <row r="97" spans="3:17" ht="20.100000000000001" customHeight="1" x14ac:dyDescent="0.25"/>
    <row r="98" spans="3:17" ht="20.100000000000001" customHeight="1" x14ac:dyDescent="0.25">
      <c r="D98" s="104" t="s">
        <v>137</v>
      </c>
    </row>
    <row r="99" spans="3:17" ht="20.100000000000001" customHeight="1" x14ac:dyDescent="0.25">
      <c r="D99" s="103" t="s">
        <v>103</v>
      </c>
    </row>
    <row r="100" spans="3:17" ht="20.100000000000001" customHeight="1" x14ac:dyDescent="0.25">
      <c r="D100" s="54" t="s">
        <v>102</v>
      </c>
      <c r="E100" s="54" t="s">
        <v>119</v>
      </c>
      <c r="F100" s="54" t="s">
        <v>120</v>
      </c>
      <c r="G100" s="54" t="s">
        <v>121</v>
      </c>
    </row>
    <row r="101" spans="3:17" ht="20.100000000000001" customHeight="1" x14ac:dyDescent="0.25">
      <c r="D101" s="55" t="str">
        <f>'Input - Dairy'!$D$72</f>
        <v>Total manure sent to MMS (Must equal 100%)  (Method 2)</v>
      </c>
      <c r="E101" s="55">
        <f>'Input - Dairy'!$E$72</f>
        <v>1</v>
      </c>
      <c r="F101" s="55">
        <f>'Input - Dairy'!$F$72</f>
        <v>1</v>
      </c>
      <c r="G101" s="55">
        <f>'Input - Dairy'!$G$72</f>
        <v>1</v>
      </c>
      <c r="H101" s="2" t="s">
        <v>98</v>
      </c>
    </row>
    <row r="102" spans="3:17" ht="20.100000000000001" customHeight="1" x14ac:dyDescent="0.25"/>
    <row r="103" spans="3:17" ht="20.100000000000001" customHeight="1" x14ac:dyDescent="0.25">
      <c r="D103" s="104" t="s">
        <v>138</v>
      </c>
      <c r="L103" s="104" t="s">
        <v>139</v>
      </c>
    </row>
    <row r="104" spans="3:17" ht="20.100000000000001" customHeight="1" x14ac:dyDescent="0.25">
      <c r="D104" s="103" t="s">
        <v>161</v>
      </c>
      <c r="L104" s="103" t="s">
        <v>162</v>
      </c>
    </row>
    <row r="105" spans="3:17" ht="20.100000000000001" customHeight="1" x14ac:dyDescent="0.25">
      <c r="D105" s="54" t="s">
        <v>102</v>
      </c>
      <c r="E105" s="54" t="s">
        <v>119</v>
      </c>
      <c r="F105" s="54" t="s">
        <v>120</v>
      </c>
      <c r="G105" s="54" t="s">
        <v>121</v>
      </c>
      <c r="L105" s="54" t="s">
        <v>102</v>
      </c>
      <c r="M105" s="54" t="s">
        <v>119</v>
      </c>
      <c r="N105" s="54" t="s">
        <v>120</v>
      </c>
      <c r="O105" s="54" t="s">
        <v>121</v>
      </c>
    </row>
    <row r="106" spans="3:17" ht="20.100000000000001" customHeight="1" x14ac:dyDescent="0.25">
      <c r="D106" s="55" t="str">
        <f>'Input - Dairy'!$D$72</f>
        <v>Total manure sent to MMS (Must equal 100%)  (Method 2)</v>
      </c>
      <c r="E106" s="55" t="e" cm="1">
        <f t="array" ref="E106">MMS_Feedlot_N2O_Direct_Equations.VEERG_4_1_1_3__2_Stage1NitrogenInMMSDrylot(D83,E101)</f>
        <v>#REF!</v>
      </c>
      <c r="F106" s="55" t="e" cm="1">
        <f t="array" ref="F106">MMS_Feedlot_N2O_Direct_Equations.VEERG_4_1_1_3__2_Stage1NitrogenInMMSDrylot(E83,F101)</f>
        <v>#REF!</v>
      </c>
      <c r="G106" s="55" t="e" cm="1">
        <f t="array" ref="G106">MMS_Feedlot_N2O_Direct_Equations.VEERG_4_1_1_3__2_Stage1NitrogenInMMSDrylot(F83,G101)</f>
        <v>#REF!</v>
      </c>
      <c r="H106" s="2" t="str">
        <f>$E$93</f>
        <v>kg N</v>
      </c>
      <c r="L106" s="55" t="str">
        <f>'Input - Dairy'!$D$72</f>
        <v>Total manure sent to MMS (Must equal 100%)  (Method 2)</v>
      </c>
      <c r="M106" s="55" t="e" cm="1">
        <f t="array" ref="M106">MMS_Feedlot_N2O_Direct_Equations.VEERG_4_1_1_3__2_Stage1NitrogenInMMSDrylot(L83,E101)</f>
        <v>#REF!</v>
      </c>
      <c r="N106" s="55" t="e" cm="1">
        <f t="array" ref="N106">MMS_Feedlot_N2O_Direct_Equations.VEERG_4_1_1_3__2_Stage1NitrogenInMMSDrylot(M83,F101)</f>
        <v>#REF!</v>
      </c>
      <c r="O106" s="55" t="e" cm="1">
        <f t="array" ref="O106">MMS_Feedlot_N2O_Direct_Equations.VEERG_4_1_1_3__2_Stage1NitrogenInMMSDrylot(N83,G101)</f>
        <v>#REF!</v>
      </c>
      <c r="P106" s="2" t="str">
        <f>$E$93</f>
        <v>kg N</v>
      </c>
    </row>
    <row r="107" spans="3:17" ht="20.100000000000001" customHeight="1" x14ac:dyDescent="0.25"/>
    <row r="108" spans="3:17" ht="20.100000000000001" customHeight="1" x14ac:dyDescent="0.25"/>
    <row r="109" spans="3:17" ht="20.100000000000001" customHeight="1" x14ac:dyDescent="0.25">
      <c r="C109" s="48"/>
      <c r="D109" s="48"/>
      <c r="E109" s="48"/>
      <c r="F109" s="48"/>
      <c r="G109" s="48"/>
      <c r="H109" s="48"/>
      <c r="I109" s="48"/>
      <c r="K109" s="48"/>
      <c r="L109" s="48"/>
      <c r="M109" s="48"/>
      <c r="N109" s="48"/>
      <c r="O109" s="48"/>
      <c r="P109" s="48"/>
      <c r="Q109" s="48"/>
    </row>
    <row r="110" spans="3:17" ht="20.100000000000001" customHeight="1" x14ac:dyDescent="0.25">
      <c r="D110" s="6" t="str" cm="1">
        <f t="array" ref="D110">MMS_Feedlot_N2O_Direct_Equations.VEERG_4_1_1_3__8_Stage3NitrogenInMMSAnaerobicLagoon_Title()</f>
        <v>Nitrogen in treatment stage 3 MMS</v>
      </c>
    </row>
    <row r="111" spans="3:17" ht="20.100000000000001" customHeight="1" x14ac:dyDescent="0.25">
      <c r="D111" s="5" t="str" cm="1">
        <f t="array" ref="D111">MMS_Feedlot_N2O_Direct_Equations.VEERG_4_1_1_3__8_Stage3NitrogenInMMSAnaerobicLagoon_Source()</f>
        <v>VEERG 2026: 4.1.1.3, Equation (8)</v>
      </c>
    </row>
    <row r="112" spans="3:17" ht="20.100000000000001" customHeight="1" x14ac:dyDescent="0.25">
      <c r="D112" s="13" t="s">
        <v>26</v>
      </c>
      <c r="E112" s="13" t="str" cm="1">
        <f t="array" aca="1" ref="E112" ca="1">Common_InputFunctions.Utility_DisplayFunctionName(E138)</f>
        <v>=MMS_Feedlot_N2O_Direct_Equations.VEERG_4_1_1_3__7_NitrogenTransferredToStage2_Variable</v>
      </c>
    </row>
    <row r="113" spans="4:15" ht="20.100000000000001" customHeight="1" x14ac:dyDescent="0.25">
      <c r="D113" s="6"/>
    </row>
    <row r="114" spans="4:15" ht="20.100000000000001" customHeight="1" x14ac:dyDescent="0.25"/>
    <row r="115" spans="4:15" ht="20.100000000000001" customHeight="1" x14ac:dyDescent="0.25">
      <c r="D115" s="56" t="s">
        <v>29</v>
      </c>
      <c r="E115" s="1" t="str" cm="1">
        <f t="array" ref="E115">MMS_Feedlot_N2O_Direct_Equations.VEERG_4_1_1_3__8_Stage3NitrogenInMMSAnaerobicLagoon_Variable()</f>
        <v>MN_jm1T3</v>
      </c>
    </row>
    <row r="116" spans="4:15" ht="20.100000000000001" customHeight="1" x14ac:dyDescent="0.25">
      <c r="D116" s="56" t="s">
        <v>19</v>
      </c>
      <c r="E116" s="57" t="str" cm="1">
        <f t="array" ref="E116">MMS_Feedlot_N2O_Direct_Equations.VEERG_4_1_1_3__8_Stage3NitrogenInMMSAnaerobicLagoon_Unit()</f>
        <v>kg N</v>
      </c>
    </row>
    <row r="117" spans="4:15" ht="20.100000000000001" customHeight="1" x14ac:dyDescent="0.25"/>
    <row r="118" spans="4:15" ht="20.100000000000001" customHeight="1" x14ac:dyDescent="0.25">
      <c r="D118" s="60" t="str" cm="1">
        <f t="array" ref="D118:E119">MMS_Feedlot_N2O_Direct_Equations.VEERG_4_1_1_3__8_Stage3NitrogenInMMSAnaerobicLagoon_Arguments()</f>
        <v>AE_j</v>
      </c>
      <c r="E118" s="61" t="str">
        <v>total nitrogen excreted by each cattle group : kg N</v>
      </c>
      <c r="F118" s="62"/>
      <c r="G118" s="60" t="str">
        <f>"See " &amp; $D$80</f>
        <v>See M1_Table_AE_j</v>
      </c>
    </row>
    <row r="119" spans="4:15" ht="20.100000000000001" customHeight="1" x14ac:dyDescent="0.25">
      <c r="D119" s="60" t="str">
        <v>MMS_jm1T3</v>
      </c>
      <c r="E119" s="61" t="str">
        <v>fraction of manure to tertiary anaerobic lagoon system : fraction</v>
      </c>
      <c r="F119" s="62"/>
      <c r="G119" s="60" t="str">
        <f>"See " &amp; D121</f>
        <v>See Table_MMS_j_m-1_T-3</v>
      </c>
    </row>
    <row r="120" spans="4:15" ht="20.100000000000001" customHeight="1" x14ac:dyDescent="0.25"/>
    <row r="121" spans="4:15" ht="20.100000000000001" customHeight="1" x14ac:dyDescent="0.25">
      <c r="D121" s="104" t="s">
        <v>142</v>
      </c>
    </row>
    <row r="122" spans="4:15" ht="20.100000000000001" customHeight="1" x14ac:dyDescent="0.25">
      <c r="D122" s="103" t="s">
        <v>141</v>
      </c>
    </row>
    <row r="123" spans="4:15" ht="20.100000000000001" customHeight="1" x14ac:dyDescent="0.25">
      <c r="D123" s="54" t="s">
        <v>107</v>
      </c>
      <c r="E123" s="54" t="s">
        <v>119</v>
      </c>
      <c r="F123" s="54" t="s">
        <v>120</v>
      </c>
      <c r="G123" s="54" t="s">
        <v>121</v>
      </c>
    </row>
    <row r="124" spans="4:15" ht="20.100000000000001" customHeight="1" x14ac:dyDescent="0.25">
      <c r="D124" s="55" t="str">
        <f>'Input - Dairy'!$D$84</f>
        <v>Were solids separated from Sump and dispersal system?</v>
      </c>
      <c r="E124" s="55" t="str">
        <f>'Input - Dairy'!$E$84</f>
        <v>Yes</v>
      </c>
      <c r="F124" s="55" t="str">
        <f>'Input - Dairy'!$F$84</f>
        <v>← Please select</v>
      </c>
      <c r="G124" s="55">
        <f>'Input - Dairy'!$G$84</f>
        <v>0</v>
      </c>
      <c r="H124" s="2" t="s">
        <v>98</v>
      </c>
    </row>
    <row r="125" spans="4:15" ht="20.100000000000001" customHeight="1" x14ac:dyDescent="0.25"/>
    <row r="126" spans="4:15" ht="20.100000000000001" customHeight="1" x14ac:dyDescent="0.25">
      <c r="D126" s="104" t="s">
        <v>147</v>
      </c>
      <c r="L126" s="104" t="s">
        <v>148</v>
      </c>
    </row>
    <row r="127" spans="4:15" ht="20.100000000000001" customHeight="1" x14ac:dyDescent="0.25">
      <c r="D127" s="103" t="s">
        <v>159</v>
      </c>
      <c r="L127" s="103" t="s">
        <v>160</v>
      </c>
    </row>
    <row r="128" spans="4:15" ht="20.100000000000001" customHeight="1" x14ac:dyDescent="0.25">
      <c r="D128" s="54" t="s">
        <v>107</v>
      </c>
      <c r="E128" s="54" t="s">
        <v>119</v>
      </c>
      <c r="F128" s="54" t="s">
        <v>120</v>
      </c>
      <c r="G128" s="54" t="s">
        <v>121</v>
      </c>
      <c r="L128" s="54" t="s">
        <v>107</v>
      </c>
      <c r="M128" s="54" t="s">
        <v>119</v>
      </c>
      <c r="N128" s="54" t="s">
        <v>120</v>
      </c>
      <c r="O128" s="54" t="s">
        <v>121</v>
      </c>
    </row>
    <row r="129" spans="3:17" ht="20.100000000000001" customHeight="1" x14ac:dyDescent="0.25">
      <c r="D129" s="55" t="str">
        <f>'Input - Dairy'!$D$84</f>
        <v>Were solids separated from Sump and dispersal system?</v>
      </c>
      <c r="E129" s="55" t="e" cm="1">
        <f t="array" ref="E129">MMS_Feedlot_N2O_Direct_Equations.VEERG_4_1_1_3__8_Stage3NitrogenInMMSAnaerobicLagoon(D83,E124)</f>
        <v>#REF!</v>
      </c>
      <c r="F129" s="55" t="e" cm="1">
        <f t="array" ref="F129">MMS_Feedlot_N2O_Direct_Equations.VEERG_4_1_1_3__8_Stage3NitrogenInMMSAnaerobicLagoon(E83,F124)</f>
        <v>#REF!</v>
      </c>
      <c r="G129" s="55" t="e" cm="1">
        <f t="array" ref="G129">MMS_Feedlot_N2O_Direct_Equations.VEERG_4_1_1_3__8_Stage3NitrogenInMMSAnaerobicLagoon(F83,G124)</f>
        <v>#REF!</v>
      </c>
      <c r="H129" s="2" t="str">
        <f>$E$116</f>
        <v>kg N</v>
      </c>
      <c r="L129" s="55" t="str">
        <f>'Input - Dairy'!$D$84</f>
        <v>Were solids separated from Sump and dispersal system?</v>
      </c>
      <c r="M129" s="55" t="e" cm="1">
        <f t="array" ref="M129">MMS_Feedlot_N2O_Direct_Equations.VEERG_4_1_1_3__8_Stage3NitrogenInMMSAnaerobicLagoon(L83,E124)</f>
        <v>#REF!</v>
      </c>
      <c r="N129" s="55" t="e" cm="1">
        <f t="array" ref="N129">MMS_Feedlot_N2O_Direct_Equations.VEERG_4_1_1_3__8_Stage3NitrogenInMMSAnaerobicLagoon(M83,F124)</f>
        <v>#REF!</v>
      </c>
      <c r="O129" s="55" t="e" cm="1">
        <f t="array" ref="O129">MMS_Feedlot_N2O_Direct_Equations.VEERG_4_1_1_3__8_Stage3NitrogenInMMSAnaerobicLagoon(N83,G124)</f>
        <v>#REF!</v>
      </c>
      <c r="P129" s="2" t="str">
        <f>$E$116</f>
        <v>kg N</v>
      </c>
    </row>
    <row r="130" spans="3:17" ht="20.100000000000001" customHeight="1" x14ac:dyDescent="0.25"/>
    <row r="131" spans="3:17" ht="20.100000000000001" customHeight="1" x14ac:dyDescent="0.25"/>
    <row r="132" spans="3:17" ht="20.100000000000001" customHeight="1" x14ac:dyDescent="0.25">
      <c r="C132" s="48"/>
      <c r="D132" s="48"/>
      <c r="E132" s="48"/>
      <c r="F132" s="48"/>
      <c r="G132" s="48"/>
      <c r="H132" s="48"/>
      <c r="I132" s="48"/>
      <c r="K132" s="48"/>
      <c r="L132" s="48"/>
      <c r="M132" s="48"/>
      <c r="N132" s="48"/>
      <c r="O132" s="48"/>
      <c r="P132" s="48"/>
      <c r="Q132" s="48"/>
    </row>
    <row r="133" spans="3:17" ht="20.100000000000001" customHeight="1" x14ac:dyDescent="0.25">
      <c r="D133" s="6" t="str" cm="1">
        <f t="array" ref="D133">MMS_Feedlot_N2O_Direct_Equations.VEERG_4_1_1_3__7_NitrogenTransferredToStage2_Title()</f>
        <v>Nitrogen transferred to treatment stage 2 MMS</v>
      </c>
    </row>
    <row r="134" spans="3:17" ht="20.100000000000001" customHeight="1" x14ac:dyDescent="0.25">
      <c r="D134" s="5" t="str" cm="1">
        <f t="array" ref="D134">MMS_Feedlot_N2O_Direct_Equations.VEERG_4_1_1_3__7_NitrogenTransferredToStage2_Source()</f>
        <v>VEERG 2026: 4.1.1.3, Equation (7)</v>
      </c>
    </row>
    <row r="135" spans="3:17" ht="20.100000000000001" customHeight="1" x14ac:dyDescent="0.25">
      <c r="D135" s="13" t="s">
        <v>26</v>
      </c>
      <c r="E135" s="13" t="str" cm="1">
        <f t="array" aca="1" ref="E135" ca="1">Common_InputFunctions.Utility_DisplayFunctionName(D149)</f>
        <v>=MMS_Feedlot_N2O_Direct_Equations.VEERG_4_1_1_3__7_NitrogenTransferredToStage2</v>
      </c>
    </row>
    <row r="136" spans="3:17" ht="20.100000000000001" customHeight="1" x14ac:dyDescent="0.25"/>
    <row r="137" spans="3:17" ht="20.100000000000001" customHeight="1" x14ac:dyDescent="0.25">
      <c r="D137" s="6"/>
    </row>
    <row r="138" spans="3:17" ht="20.100000000000001" customHeight="1" x14ac:dyDescent="0.25">
      <c r="D138" s="56" t="s">
        <v>29</v>
      </c>
      <c r="E138" s="1" t="str" cm="1">
        <f t="array" ref="E138">MMS_Feedlot_N2O_Direct_Equations.VEERG_4_1_1_3__7_NitrogenTransferredToStage2_Variable()</f>
        <v>NT_jmT2</v>
      </c>
    </row>
    <row r="139" spans="3:17" ht="20.100000000000001" customHeight="1" x14ac:dyDescent="0.25">
      <c r="D139" s="56" t="s">
        <v>19</v>
      </c>
      <c r="E139" s="57" t="str" cm="1">
        <f t="array" ref="E139">MMS_Feedlot_N2O_Direct_Equations.VEERG_4_1_1_3__7_NitrogenTransferredToStage2_Unit()</f>
        <v>kg N</v>
      </c>
    </row>
    <row r="140" spans="3:17" ht="20.100000000000001" customHeight="1" x14ac:dyDescent="0.25"/>
    <row r="141" spans="3:17" ht="20.100000000000001" customHeight="1" x14ac:dyDescent="0.25">
      <c r="D141" s="60" t="str" cm="1">
        <f t="array" ref="D141:E144">MMS_Feedlot_N2O_Direct_Equations.VEERG_4_1_1_3__7_NitrogenTransferredToStage2_Arguments()</f>
        <v>MN_jm5T1</v>
      </c>
      <c r="E141" s="60" t="str">
        <v>nitrogen in MMS treatment stage 1 : kg N</v>
      </c>
      <c r="F141" s="60"/>
      <c r="G141" s="60" t="str">
        <f>"See " &amp; D103</f>
        <v>See M1_Table_MN_j_m-5_T-1</v>
      </c>
    </row>
    <row r="142" spans="3:17" ht="20.100000000000001" customHeight="1" x14ac:dyDescent="0.25">
      <c r="D142" s="60" t="str">
        <v>FracGASM_m5</v>
      </c>
      <c r="E142" s="60" t="str">
        <v>fraction of N volatilised from drylot MMS : fraction</v>
      </c>
      <c r="F142" s="60"/>
      <c r="G142" s="60">
        <f>'Constants - Dairy'!$F$124</f>
        <v>0</v>
      </c>
    </row>
    <row r="143" spans="3:17" ht="20.100000000000001" customHeight="1" x14ac:dyDescent="0.25">
      <c r="D143" s="60" t="str">
        <v>EF_m5</v>
      </c>
      <c r="E143" s="60" t="str">
        <v>nitrous oxide emission factor for drylot MMS : kg N2O-N/kg N deposited</v>
      </c>
      <c r="F143" s="60"/>
      <c r="G143" s="60">
        <f>'Constants - Dairy'!$F$112</f>
        <v>0</v>
      </c>
    </row>
    <row r="144" spans="3:17" ht="20.100000000000001" customHeight="1" x14ac:dyDescent="0.25">
      <c r="D144" s="60" t="str">
        <v>MN_jmT3</v>
      </c>
      <c r="E144" s="60" t="str">
        <v>nitrogen in MMS treatment stage 3 : kg N</v>
      </c>
      <c r="F144" s="60"/>
      <c r="G144" s="60" t="str">
        <f>"See " &amp; D126</f>
        <v>See M1_Table_MN_j_m-1_T-3</v>
      </c>
    </row>
    <row r="145" spans="3:17" ht="20.100000000000001" customHeight="1" x14ac:dyDescent="0.25"/>
    <row r="146" spans="3:17" ht="20.100000000000001" customHeight="1" x14ac:dyDescent="0.25">
      <c r="D146" s="104" t="s">
        <v>149</v>
      </c>
      <c r="L146" s="104" t="s">
        <v>150</v>
      </c>
    </row>
    <row r="147" spans="3:17" ht="20.100000000000001" customHeight="1" x14ac:dyDescent="0.25">
      <c r="D147" s="103" t="s">
        <v>157</v>
      </c>
      <c r="L147" s="103" t="s">
        <v>158</v>
      </c>
    </row>
    <row r="148" spans="3:17" ht="20.100000000000001" customHeight="1" x14ac:dyDescent="0.25">
      <c r="D148" s="54" t="s">
        <v>119</v>
      </c>
      <c r="E148" s="54" t="s">
        <v>120</v>
      </c>
      <c r="F148" s="54" t="s">
        <v>121</v>
      </c>
      <c r="L148" s="54" t="s">
        <v>119</v>
      </c>
      <c r="M148" s="54" t="s">
        <v>120</v>
      </c>
      <c r="N148" s="54" t="s">
        <v>121</v>
      </c>
    </row>
    <row r="149" spans="3:17" ht="20.100000000000001" customHeight="1" x14ac:dyDescent="0.25">
      <c r="D149" s="55" t="e" cm="1">
        <f t="array" ref="D149">MMS_Feedlot_N2O_Direct_Equations.VEERG_4_1_1_3__7_NitrogenTransferredToStage2(E106,$G$142,$G$143,E129)</f>
        <v>#REF!</v>
      </c>
      <c r="E149" s="55" t="e" cm="1">
        <f t="array" ref="E149">MMS_Feedlot_N2O_Direct_Equations.VEERG_4_1_1_3__7_NitrogenTransferredToStage2(F106,$G$142,$G$143,F129)</f>
        <v>#REF!</v>
      </c>
      <c r="F149" s="55" t="e" cm="1">
        <f t="array" ref="F149">MMS_Feedlot_N2O_Direct_Equations.VEERG_4_1_1_3__7_NitrogenTransferredToStage2(G106,$G$142,$G$143,G129)</f>
        <v>#REF!</v>
      </c>
      <c r="G149" s="2" t="str">
        <f>$E$116</f>
        <v>kg N</v>
      </c>
      <c r="L149" s="55" t="e" cm="1">
        <f t="array" ref="L149">MMS_Feedlot_N2O_Direct_Equations.VEERG_4_1_1_3__7_NitrogenTransferredToStage2(M106,$G$142,$G$143,M129)</f>
        <v>#REF!</v>
      </c>
      <c r="M149" s="55" t="e" cm="1">
        <f t="array" ref="M149">MMS_Feedlot_N2O_Direct_Equations.VEERG_4_1_1_3__7_NitrogenTransferredToStage2(N106,$G$142,$G$143,N129)</f>
        <v>#REF!</v>
      </c>
      <c r="N149" s="55" t="e" cm="1">
        <f t="array" ref="N149">MMS_Feedlot_N2O_Direct_Equations.VEERG_4_1_1_3__7_NitrogenTransferredToStage2(O106,$G$142,$G$143,O129)</f>
        <v>#REF!</v>
      </c>
      <c r="O149" s="2" t="str">
        <f>$E$116</f>
        <v>kg N</v>
      </c>
    </row>
    <row r="150" spans="3:17" ht="20.100000000000001" customHeight="1" x14ac:dyDescent="0.25"/>
    <row r="151" spans="3:17" ht="20.100000000000001" customHeight="1" x14ac:dyDescent="0.25"/>
    <row r="152" spans="3:17" ht="20.100000000000001" customHeight="1" x14ac:dyDescent="0.25">
      <c r="C152" s="48"/>
      <c r="D152" s="48"/>
      <c r="E152" s="48"/>
      <c r="F152" s="48"/>
      <c r="G152" s="48"/>
      <c r="H152" s="48"/>
      <c r="I152" s="48"/>
      <c r="K152" s="48"/>
      <c r="L152" s="48"/>
      <c r="M152" s="48"/>
      <c r="N152" s="48"/>
      <c r="O152" s="48"/>
      <c r="P152" s="48"/>
      <c r="Q152" s="48"/>
    </row>
    <row r="153" spans="3:17" ht="20.100000000000001" customHeight="1" x14ac:dyDescent="0.25">
      <c r="D153" s="6" t="str" cm="1">
        <f t="array" ref="D153">MMS_Feedlot_N2O_Direct_Equations.VEERG_4_1_1_3__6_Stage2NitrogenInMMS_Title()</f>
        <v>Nitrogen in treatment stage 2 MMS</v>
      </c>
    </row>
    <row r="154" spans="3:17" ht="20.100000000000001" customHeight="1" x14ac:dyDescent="0.25">
      <c r="D154" s="5" t="str" cm="1">
        <f t="array" ref="D154">MMS_Feedlot_N2O_Direct_Equations.VEERG_4_1_1_3__6_Stage2NitrogenInMMS_Source()</f>
        <v>VEERG 2026: 4.1.1.3, Equation (6)</v>
      </c>
    </row>
    <row r="155" spans="3:17" ht="20.100000000000001" customHeight="1" x14ac:dyDescent="0.25">
      <c r="D155" s="13" t="s">
        <v>26</v>
      </c>
      <c r="E155" s="13" t="str" cm="1">
        <f t="array" aca="1" ref="E155" ca="1">Common_InputFunctions.Utility_DisplayFunctionName(E173)</f>
        <v>=MMS_Feedlot_N2O_Direct_Equations.VEERG_4_1_1_3__6_Stage2NitrogenInMMS</v>
      </c>
    </row>
    <row r="156" spans="3:17" ht="20.100000000000001" customHeight="1" x14ac:dyDescent="0.25"/>
    <row r="157" spans="3:17" ht="20.100000000000001" customHeight="1" x14ac:dyDescent="0.25">
      <c r="D157" s="6"/>
    </row>
    <row r="158" spans="3:17" ht="20.100000000000001" customHeight="1" x14ac:dyDescent="0.25">
      <c r="D158" s="56" t="s">
        <v>29</v>
      </c>
      <c r="E158" s="1" t="str" cm="1">
        <f t="array" ref="E158">MMS_Feedlot_N2O_Direct_Equations.VEERG_4_1_1_3__6_Stage2NitrogenInMMS_Variable()</f>
        <v>MN_jmT2</v>
      </c>
    </row>
    <row r="159" spans="3:17" ht="20.100000000000001" customHeight="1" x14ac:dyDescent="0.25">
      <c r="D159" s="56" t="s">
        <v>19</v>
      </c>
      <c r="E159" s="57" t="str" cm="1">
        <f t="array" ref="E159">MMS_Feedlot_N2O_Direct_Equations.VEERG_4_1_1_3__6_Stage2NitrogenInMMS_Unit()</f>
        <v>kg N</v>
      </c>
    </row>
    <row r="160" spans="3:17" ht="20.100000000000001" customHeight="1" x14ac:dyDescent="0.25"/>
    <row r="161" spans="4:16" ht="20.100000000000001" customHeight="1" x14ac:dyDescent="0.25">
      <c r="D161" s="60" t="str" cm="1">
        <f t="array" ref="D161:E162">MMS_Feedlot_N2O_Direct_Equations.VEERG_4_1_1_3__6_Stage2NitrogenInMMS_Arguments()</f>
        <v>NT_jmT2</v>
      </c>
      <c r="E161" s="61" t="str">
        <v>nitrogen transferred to secondary treatment MMS : kg N</v>
      </c>
      <c r="F161" s="62"/>
      <c r="G161" s="60" t="str">
        <f>"See " &amp; D146</f>
        <v>See M1_Table_NT_j_m-_T-2</v>
      </c>
    </row>
    <row r="162" spans="4:16" ht="20.100000000000001" customHeight="1" x14ac:dyDescent="0.25">
      <c r="D162" s="60" t="str">
        <v>MMS_jmT2</v>
      </c>
      <c r="E162" s="61" t="str">
        <v>fraction of manure in each secondary system : fraction</v>
      </c>
      <c r="F162" s="62"/>
      <c r="G162" s="60" t="str">
        <f>"See " &amp; D164</f>
        <v>See Table_MMS_j_m_T-2</v>
      </c>
    </row>
    <row r="163" spans="4:16" ht="20.100000000000001" customHeight="1" x14ac:dyDescent="0.25">
      <c r="I163" s="2"/>
    </row>
    <row r="164" spans="4:16" ht="20.100000000000001" customHeight="1" x14ac:dyDescent="0.25">
      <c r="D164" s="104" t="s">
        <v>140</v>
      </c>
      <c r="I164" s="2"/>
    </row>
    <row r="165" spans="4:16" ht="20.100000000000001" customHeight="1" x14ac:dyDescent="0.25">
      <c r="D165" s="103" t="s">
        <v>105</v>
      </c>
    </row>
    <row r="166" spans="4:16" ht="20.100000000000001" customHeight="1" x14ac:dyDescent="0.25">
      <c r="D166" s="54" t="s">
        <v>99</v>
      </c>
      <c r="E166" s="54" t="s">
        <v>119</v>
      </c>
      <c r="F166" s="54" t="s">
        <v>120</v>
      </c>
      <c r="G166" s="54" t="s">
        <v>121</v>
      </c>
    </row>
    <row r="167" spans="4:16" ht="20.100000000000001" customHeight="1" x14ac:dyDescent="0.25">
      <c r="D167" s="55" t="str">
        <f>'Input - Dairy'!$D$78</f>
        <v>Anaerobic lagoon</v>
      </c>
      <c r="E167" s="55">
        <f>'Input - Dairy'!$E$78</f>
        <v>0.25</v>
      </c>
      <c r="F167" s="55">
        <f>'Input - Dairy'!$F$78</f>
        <v>0.25</v>
      </c>
      <c r="G167" s="55">
        <f>'Input - Dairy'!$G$78</f>
        <v>0.25</v>
      </c>
      <c r="H167" s="2" t="s">
        <v>98</v>
      </c>
    </row>
    <row r="168" spans="4:16" ht="20.100000000000001" customHeight="1" x14ac:dyDescent="0.25">
      <c r="D168" s="55" t="str">
        <f>'Input - Dairy'!$D$79</f>
        <v>Were solids separated from Anaerobic lagoon?</v>
      </c>
      <c r="E168" s="55" t="str">
        <f>'Input - Dairy'!$E$79</f>
        <v>No</v>
      </c>
      <c r="F168" s="55" t="str">
        <f>'Input - Dairy'!$F$79</f>
        <v>← Please select</v>
      </c>
      <c r="G168" s="55">
        <f>'Input - Dairy'!$G$79</f>
        <v>0</v>
      </c>
      <c r="H168" s="2" t="s">
        <v>98</v>
      </c>
    </row>
    <row r="169" spans="4:16" ht="20.100000000000001" customHeight="1" x14ac:dyDescent="0.25"/>
    <row r="170" spans="4:16" ht="20.100000000000001" customHeight="1" x14ac:dyDescent="0.25">
      <c r="D170" s="104" t="s">
        <v>151</v>
      </c>
      <c r="L170" s="104" t="s">
        <v>151</v>
      </c>
    </row>
    <row r="171" spans="4:16" ht="20.100000000000001" customHeight="1" x14ac:dyDescent="0.25">
      <c r="D171" s="103" t="s">
        <v>155</v>
      </c>
      <c r="L171" s="103" t="s">
        <v>156</v>
      </c>
    </row>
    <row r="172" spans="4:16" ht="20.100000000000001" customHeight="1" x14ac:dyDescent="0.25">
      <c r="D172" s="54" t="s">
        <v>99</v>
      </c>
      <c r="E172" s="54" t="s">
        <v>119</v>
      </c>
      <c r="F172" s="54" t="s">
        <v>120</v>
      </c>
      <c r="G172" s="54" t="s">
        <v>121</v>
      </c>
      <c r="L172" s="54" t="s">
        <v>99</v>
      </c>
      <c r="M172" s="54" t="s">
        <v>119</v>
      </c>
      <c r="N172" s="54" t="s">
        <v>120</v>
      </c>
      <c r="O172" s="54" t="s">
        <v>121</v>
      </c>
    </row>
    <row r="173" spans="4:16" ht="20.100000000000001" customHeight="1" x14ac:dyDescent="0.25">
      <c r="D173" s="55" t="str">
        <f>'Input - Dairy'!$D$78</f>
        <v>Anaerobic lagoon</v>
      </c>
      <c r="E173" s="55" t="e" cm="1">
        <f t="array" ref="E173">MMS_Feedlot_N2O_Direct_Equations.VEERG_4_1_1_3__6_Stage2NitrogenInMMS(D$149,E167)</f>
        <v>#REF!</v>
      </c>
      <c r="F173" s="55" t="e" cm="1">
        <f t="array" ref="F173">MMS_Feedlot_N2O_Direct_Equations.VEERG_4_1_1_3__6_Stage2NitrogenInMMS(E$149,F167)</f>
        <v>#REF!</v>
      </c>
      <c r="G173" s="55" t="e" cm="1">
        <f t="array" ref="G173">MMS_Feedlot_N2O_Direct_Equations.VEERG_4_1_1_3__6_Stage2NitrogenInMMS(F$149,G167)</f>
        <v>#REF!</v>
      </c>
      <c r="H173" s="2" t="str">
        <f>$E$159</f>
        <v>kg N</v>
      </c>
      <c r="L173" s="55" t="str">
        <f>'Input - Dairy'!$D$78</f>
        <v>Anaerobic lagoon</v>
      </c>
      <c r="M173" s="55" t="e" cm="1">
        <f t="array" ref="M173">MMS_Feedlot_N2O_Direct_Equations.VEERG_4_1_1_3__6_Stage2NitrogenInMMS(L$149,E167)</f>
        <v>#REF!</v>
      </c>
      <c r="N173" s="55" t="e" cm="1">
        <f t="array" ref="N173">MMS_Feedlot_N2O_Direct_Equations.VEERG_4_1_1_3__6_Stage2NitrogenInMMS(M$149,F167)</f>
        <v>#REF!</v>
      </c>
      <c r="O173" s="55" t="e" cm="1">
        <f t="array" ref="O173">MMS_Feedlot_N2O_Direct_Equations.VEERG_4_1_1_3__6_Stage2NitrogenInMMS(N$149,G167)</f>
        <v>#REF!</v>
      </c>
      <c r="P173" s="2" t="str">
        <f>$E$159</f>
        <v>kg N</v>
      </c>
    </row>
    <row r="174" spans="4:16" ht="20.100000000000001" customHeight="1" x14ac:dyDescent="0.25">
      <c r="D174" s="55" t="str">
        <f>'Input - Dairy'!$D$79</f>
        <v>Were solids separated from Anaerobic lagoon?</v>
      </c>
      <c r="E174" s="55" t="e" cm="1">
        <f t="array" ref="E174">MMS_Feedlot_N2O_Direct_Equations.VEERG_4_1_1_3__6_Stage2NitrogenInMMS(D$149,E168)</f>
        <v>#REF!</v>
      </c>
      <c r="F174" s="55" t="e" cm="1">
        <f t="array" ref="F174">MMS_Feedlot_N2O_Direct_Equations.VEERG_4_1_1_3__6_Stage2NitrogenInMMS(E$149,F168)</f>
        <v>#REF!</v>
      </c>
      <c r="G174" s="55" t="e" cm="1">
        <f t="array" ref="G174">MMS_Feedlot_N2O_Direct_Equations.VEERG_4_1_1_3__6_Stage2NitrogenInMMS(F$149,G168)</f>
        <v>#REF!</v>
      </c>
      <c r="H174" s="2" t="str">
        <f>$E$159</f>
        <v>kg N</v>
      </c>
      <c r="L174" s="55" t="str">
        <f>'Input - Dairy'!$D$79</f>
        <v>Were solids separated from Anaerobic lagoon?</v>
      </c>
      <c r="M174" s="55" t="e" cm="1">
        <f t="array" ref="M174">MMS_Feedlot_N2O_Direct_Equations.VEERG_4_1_1_3__6_Stage2NitrogenInMMS(L$149,E168)</f>
        <v>#REF!</v>
      </c>
      <c r="N174" s="55" t="e" cm="1">
        <f t="array" ref="N174">MMS_Feedlot_N2O_Direct_Equations.VEERG_4_1_1_3__6_Stage2NitrogenInMMS(M$149,F168)</f>
        <v>#REF!</v>
      </c>
      <c r="O174" s="55" t="e" cm="1">
        <f t="array" ref="O174">MMS_Feedlot_N2O_Direct_Equations.VEERG_4_1_1_3__6_Stage2NitrogenInMMS(N$149,G168)</f>
        <v>#REF!</v>
      </c>
      <c r="P174" s="2" t="str">
        <f>$E$159</f>
        <v>kg N</v>
      </c>
    </row>
    <row r="175" spans="4:16" ht="20.100000000000001" customHeight="1" x14ac:dyDescent="0.25"/>
    <row r="176" spans="4:16" ht="20.100000000000001" customHeight="1" x14ac:dyDescent="0.25"/>
    <row r="177" spans="3:17" ht="20.100000000000001" customHeight="1" x14ac:dyDescent="0.25">
      <c r="C177" s="48"/>
      <c r="D177" s="48"/>
      <c r="E177" s="48"/>
      <c r="F177" s="48"/>
      <c r="G177" s="48"/>
      <c r="H177" s="48"/>
      <c r="I177" s="48"/>
      <c r="K177" s="48"/>
      <c r="L177" s="48"/>
      <c r="M177" s="48"/>
      <c r="N177" s="48"/>
      <c r="O177" s="48"/>
      <c r="P177" s="48"/>
      <c r="Q177" s="48"/>
    </row>
    <row r="178" spans="3:17" ht="20.100000000000001" customHeight="1" x14ac:dyDescent="0.25">
      <c r="D178" s="6" t="str" cm="1">
        <f t="array" ref="D178">MMS_Feedlot_N2O_Direct_Equations.VEERG_4_1_1_3__1_TotalAnnualDirectNitrousOxideEmissions_Title()</f>
        <v>Total annual direct nitrous oxide emissions from manure management systems</v>
      </c>
    </row>
    <row r="179" spans="3:17" ht="20.100000000000001" customHeight="1" x14ac:dyDescent="0.25">
      <c r="D179" s="5" t="str" cm="1">
        <f t="array" ref="D179">MMS_Feedlot_N2O_Direct_Equations.VEERG_4_1_1_3__1_TotalAnnualDirectNitrousOxideEmissions_Source()</f>
        <v>VEERG 2026: 4.1.1.3, Equation (1)</v>
      </c>
    </row>
    <row r="180" spans="3:17" ht="20.100000000000001" customHeight="1" x14ac:dyDescent="0.25">
      <c r="D180" s="13" t="s">
        <v>26</v>
      </c>
      <c r="E180" s="13" t="str" cm="1">
        <f t="array" aca="1" ref="E180" ca="1">Common_InputFunctions.Utility_DisplayFunctionName(E202)</f>
        <v>=MMS_Feedlot_N2O_Direct_Equations.VEERG_4_1_1_3__1_TotalAnnualDirectNitrousOxideEmissions</v>
      </c>
    </row>
    <row r="181" spans="3:17" ht="20.100000000000001" customHeight="1" x14ac:dyDescent="0.25"/>
    <row r="182" spans="3:17" ht="20.100000000000001" customHeight="1" x14ac:dyDescent="0.25">
      <c r="D182" s="6"/>
    </row>
    <row r="183" spans="3:17" ht="20.100000000000001" customHeight="1" x14ac:dyDescent="0.25"/>
    <row r="184" spans="3:17" ht="20.100000000000001" customHeight="1" x14ac:dyDescent="0.25">
      <c r="D184" s="56" t="s">
        <v>29</v>
      </c>
      <c r="E184" s="1" t="str" cm="1">
        <f t="array" ref="E184">MMS_Feedlot_N2O_Direct_Equations.VEERG_4_1_1_3__1_TotalAnnualDirectNitrousOxideEmissions_Variable()</f>
        <v>E_N2Odir</v>
      </c>
    </row>
    <row r="185" spans="3:17" ht="20.100000000000001" customHeight="1" x14ac:dyDescent="0.25">
      <c r="D185" s="56" t="s">
        <v>19</v>
      </c>
      <c r="E185" s="57" t="str" cm="1">
        <f t="array" ref="E185">MMS_Feedlot_N2O_Direct_Equations.VEERG_4_1_1_3__1_TotalAnnualDirectNitrousOxideEmissions_Unit()</f>
        <v>t N2O</v>
      </c>
    </row>
    <row r="186" spans="3:17" ht="20.100000000000001" customHeight="1" x14ac:dyDescent="0.25"/>
    <row r="187" spans="3:17" ht="20.100000000000001" customHeight="1" x14ac:dyDescent="0.25">
      <c r="D187" s="115" t="str" cm="1">
        <f t="array" ref="D187:E189">MMS_Feedlot_N2O_Direct_Equations.VEERG_4_1_1_3__1_TotalAnnualDirectNitrousOxideEmissions_Arguments()</f>
        <v>MN_jmT</v>
      </c>
      <c r="E187" s="117" t="str">
        <v>nitrogen per cattle group, MMS and treatment stage : kg N</v>
      </c>
      <c r="F187" s="116"/>
      <c r="G187" s="61" t="str">
        <f>"See " &amp; D103 &amp; ", " &amp; D170 &amp; ", " &amp; D126</f>
        <v>See M1_Table_MN_j_m-5_T-1, M1_Table_MN_j_m_T-2, M1_Table_MN_j_m-1_T-3</v>
      </c>
      <c r="H187" s="62"/>
    </row>
    <row r="188" spans="3:17" ht="20.100000000000001" customHeight="1" x14ac:dyDescent="0.25">
      <c r="D188" s="115" t="str">
        <v>EF_jm</v>
      </c>
      <c r="E188" s="117" t="str">
        <v>nitrous oxide emission factor for MMS : kg N2O-N/kg N</v>
      </c>
      <c r="F188" s="116"/>
      <c r="G188" s="61" t="str">
        <f>"See " &amp; D191</f>
        <v>See Table_EF_j_m</v>
      </c>
      <c r="H188" s="62"/>
    </row>
    <row r="189" spans="3:17" ht="20.100000000000001" customHeight="1" x14ac:dyDescent="0.25">
      <c r="D189" s="115" t="str">
        <v>C_N2O</v>
      </c>
      <c r="E189" s="117" t="str">
        <v>factor to convert elemental mass of nitrous oxide to molecular mass : ratio</v>
      </c>
      <c r="F189" s="116"/>
      <c r="G189" s="61">
        <f>Common_InputFunctions.Utility_LookupValueInTableNumber("N2O",Table_GasToMolecularConversionFactor[Gas],Table_GasToMolecularConversionFactor[Conversion factor combined])</f>
        <v>1.5714285714285714</v>
      </c>
      <c r="H189" s="62"/>
    </row>
    <row r="190" spans="3:17" ht="20.100000000000001" customHeight="1" x14ac:dyDescent="0.25"/>
    <row r="191" spans="3:17" ht="20.100000000000001" customHeight="1" x14ac:dyDescent="0.25">
      <c r="D191" s="104" t="s">
        <v>143</v>
      </c>
    </row>
    <row r="192" spans="3:17" ht="20.100000000000001" customHeight="1" x14ac:dyDescent="0.25">
      <c r="D192" s="103" t="s">
        <v>144</v>
      </c>
    </row>
    <row r="193" spans="4:16" ht="20.100000000000001" customHeight="1" x14ac:dyDescent="0.25">
      <c r="D193" s="118" t="s">
        <v>67</v>
      </c>
      <c r="E193" s="118" t="s">
        <v>145</v>
      </c>
    </row>
    <row r="194" spans="4:16" ht="20.100000000000001" customHeight="1" x14ac:dyDescent="0.25">
      <c r="D194" s="55" t="str">
        <f>'Input - Dairy'!$D$72</f>
        <v>Total manure sent to MMS (Must equal 100%)  (Method 2)</v>
      </c>
      <c r="E194" s="55" t="e">
        <f>_xlfn.XLOOKUP($D$194, #REF!, #REF!)</f>
        <v>#REF!</v>
      </c>
    </row>
    <row r="195" spans="4:16" ht="20.100000000000001" customHeight="1" x14ac:dyDescent="0.25">
      <c r="D195" s="55" t="str">
        <f>'Input - Dairy'!$D$78</f>
        <v>Anaerobic lagoon</v>
      </c>
      <c r="E195" s="55" t="e">
        <f>_xlfn.XLOOKUP($D$195, #REF!, #REF!)</f>
        <v>#REF!</v>
      </c>
    </row>
    <row r="196" spans="4:16" ht="20.100000000000001" customHeight="1" x14ac:dyDescent="0.25">
      <c r="D196" s="55" t="str">
        <f>'Input - Dairy'!$D$79</f>
        <v>Were solids separated from Anaerobic lagoon?</v>
      </c>
      <c r="E196" s="55" t="e">
        <f>_xlfn.XLOOKUP($D$196, #REF!, #REF!)</f>
        <v>#REF!</v>
      </c>
    </row>
    <row r="197" spans="4:16" ht="20.100000000000001" customHeight="1" x14ac:dyDescent="0.25">
      <c r="D197" s="55" t="str">
        <f>'Input - Dairy'!$D$84</f>
        <v>Were solids separated from Sump and dispersal system?</v>
      </c>
      <c r="E197" s="55" t="e">
        <f>_xlfn.XLOOKUP($D$197, #REF!, #REF!)</f>
        <v>#REF!</v>
      </c>
    </row>
    <row r="198" spans="4:16" ht="20.100000000000001" customHeight="1" x14ac:dyDescent="0.25"/>
    <row r="199" spans="4:16" ht="20.100000000000001" customHeight="1" x14ac:dyDescent="0.25">
      <c r="D199" s="104" t="s">
        <v>152</v>
      </c>
      <c r="L199" s="104" t="s">
        <v>152</v>
      </c>
    </row>
    <row r="200" spans="4:16" ht="20.100000000000001" customHeight="1" x14ac:dyDescent="0.25">
      <c r="D200" s="103" t="s">
        <v>153</v>
      </c>
      <c r="L200" s="103" t="s">
        <v>154</v>
      </c>
    </row>
    <row r="201" spans="4:16" ht="20.100000000000001" customHeight="1" x14ac:dyDescent="0.25">
      <c r="D201" s="118" t="s">
        <v>67</v>
      </c>
      <c r="E201" s="54" t="s">
        <v>119</v>
      </c>
      <c r="F201" s="54" t="s">
        <v>120</v>
      </c>
      <c r="G201" s="54" t="s">
        <v>121</v>
      </c>
      <c r="L201" s="118" t="s">
        <v>67</v>
      </c>
      <c r="M201" s="54" t="s">
        <v>119</v>
      </c>
      <c r="N201" s="54" t="s">
        <v>120</v>
      </c>
      <c r="O201" s="54" t="s">
        <v>121</v>
      </c>
    </row>
    <row r="202" spans="4:16" ht="20.100000000000001" customHeight="1" x14ac:dyDescent="0.25">
      <c r="D202" s="55" t="str">
        <f>'Input - Dairy'!$D$72</f>
        <v>Total manure sent to MMS (Must equal 100%)  (Method 2)</v>
      </c>
      <c r="E202" s="55" t="e" cm="1">
        <f t="array" ref="E202">MMS_Feedlot_N2O_Direct_Equations.VEERG_4_1_1_3__1_TotalAnnualDirectNitrousOxideEmissions(E$106,$E194,$G$189)</f>
        <v>#REF!</v>
      </c>
      <c r="F202" s="55" t="e" cm="1">
        <f t="array" ref="F202">MMS_Feedlot_N2O_Direct_Equations.VEERG_4_1_1_3__1_TotalAnnualDirectNitrousOxideEmissions(F$106,$E194,$G$189)</f>
        <v>#REF!</v>
      </c>
      <c r="G202" s="55" t="e" cm="1">
        <f t="array" ref="G202">MMS_Feedlot_N2O_Direct_Equations.VEERG_4_1_1_3__1_TotalAnnualDirectNitrousOxideEmissions(G$106,$E194,$G$189)</f>
        <v>#REF!</v>
      </c>
      <c r="H202" s="2" t="str">
        <f>$E$185</f>
        <v>t N2O</v>
      </c>
      <c r="L202" s="55" t="str">
        <f>'Input - Dairy'!$D$72</f>
        <v>Total manure sent to MMS (Must equal 100%)  (Method 2)</v>
      </c>
      <c r="M202" s="55" t="e" cm="1">
        <f t="array" ref="M202">MMS_Feedlot_N2O_Direct_Equations.VEERG_4_1_1_3__1_TotalAnnualDirectNitrousOxideEmissions(M$106,$E194,$G$189)</f>
        <v>#REF!</v>
      </c>
      <c r="N202" s="55" t="e" cm="1">
        <f t="array" ref="N202">MMS_Feedlot_N2O_Direct_Equations.VEERG_4_1_1_3__1_TotalAnnualDirectNitrousOxideEmissions(N$106,$E194,$G$189)</f>
        <v>#REF!</v>
      </c>
      <c r="O202" s="55" t="e" cm="1">
        <f t="array" ref="O202">MMS_Feedlot_N2O_Direct_Equations.VEERG_4_1_1_3__1_TotalAnnualDirectNitrousOxideEmissions(O$106,$E194,$G$189)</f>
        <v>#REF!</v>
      </c>
      <c r="P202" s="2" t="str">
        <f>$E$185</f>
        <v>t N2O</v>
      </c>
    </row>
    <row r="203" spans="4:16" ht="20.100000000000001" customHeight="1" x14ac:dyDescent="0.25">
      <c r="D203" s="55" t="str">
        <f>'Input - Dairy'!$D$78</f>
        <v>Anaerobic lagoon</v>
      </c>
      <c r="E203" s="55" t="e" cm="1">
        <f t="array" ref="E203">MMS_Feedlot_N2O_Direct_Equations.VEERG_4_1_1_3__1_TotalAnnualDirectNitrousOxideEmissions(E$173,$E195,$G$189)</f>
        <v>#REF!</v>
      </c>
      <c r="F203" s="55" t="e" cm="1">
        <f t="array" ref="F203">MMS_Feedlot_N2O_Direct_Equations.VEERG_4_1_1_3__1_TotalAnnualDirectNitrousOxideEmissions(F$173,$E195,$G$189)</f>
        <v>#REF!</v>
      </c>
      <c r="G203" s="55" t="e" cm="1">
        <f t="array" ref="G203">MMS_Feedlot_N2O_Direct_Equations.VEERG_4_1_1_3__1_TotalAnnualDirectNitrousOxideEmissions(G$173,$E195,$G$189)</f>
        <v>#REF!</v>
      </c>
      <c r="H203" s="2" t="str">
        <f t="shared" ref="H203:H205" si="0">$E$185</f>
        <v>t N2O</v>
      </c>
      <c r="L203" s="55" t="str">
        <f>'Input - Dairy'!$D$78</f>
        <v>Anaerobic lagoon</v>
      </c>
      <c r="M203" s="55" t="e" cm="1">
        <f t="array" ref="M203">MMS_Feedlot_N2O_Direct_Equations.VEERG_4_1_1_3__1_TotalAnnualDirectNitrousOxideEmissions(M$173,$E195,$G$189)</f>
        <v>#REF!</v>
      </c>
      <c r="N203" s="55" t="e" cm="1">
        <f t="array" ref="N203">MMS_Feedlot_N2O_Direct_Equations.VEERG_4_1_1_3__1_TotalAnnualDirectNitrousOxideEmissions(N$173,$E195,$G$189)</f>
        <v>#REF!</v>
      </c>
      <c r="O203" s="55" t="e" cm="1">
        <f t="array" ref="O203">MMS_Feedlot_N2O_Direct_Equations.VEERG_4_1_1_3__1_TotalAnnualDirectNitrousOxideEmissions(O$173,$E195,$G$189)</f>
        <v>#REF!</v>
      </c>
      <c r="P203" s="2" t="str">
        <f t="shared" ref="P203:P205" si="1">$E$185</f>
        <v>t N2O</v>
      </c>
    </row>
    <row r="204" spans="4:16" ht="20.100000000000001" customHeight="1" x14ac:dyDescent="0.25">
      <c r="D204" s="55" t="str">
        <f>'Input - Dairy'!$D$79</f>
        <v>Were solids separated from Anaerobic lagoon?</v>
      </c>
      <c r="E204" s="55" t="e" cm="1">
        <f t="array" ref="E204">MMS_Feedlot_N2O_Direct_Equations.VEERG_4_1_1_3__1_TotalAnnualDirectNitrousOxideEmissions(E$174,$E196,$G$189)</f>
        <v>#REF!</v>
      </c>
      <c r="F204" s="55" t="e" cm="1">
        <f t="array" ref="F204">MMS_Feedlot_N2O_Direct_Equations.VEERG_4_1_1_3__1_TotalAnnualDirectNitrousOxideEmissions(F$174,$E196,$G$189)</f>
        <v>#REF!</v>
      </c>
      <c r="G204" s="55" t="e" cm="1">
        <f t="array" ref="G204">MMS_Feedlot_N2O_Direct_Equations.VEERG_4_1_1_3__1_TotalAnnualDirectNitrousOxideEmissions(G$174,$E196,$G$189)</f>
        <v>#REF!</v>
      </c>
      <c r="H204" s="2" t="str">
        <f t="shared" si="0"/>
        <v>t N2O</v>
      </c>
      <c r="L204" s="55" t="str">
        <f>'Input - Dairy'!$D$79</f>
        <v>Were solids separated from Anaerobic lagoon?</v>
      </c>
      <c r="M204" s="55" t="e" cm="1">
        <f t="array" ref="M204">MMS_Feedlot_N2O_Direct_Equations.VEERG_4_1_1_3__1_TotalAnnualDirectNitrousOxideEmissions(M$174,$E196,$G$189)</f>
        <v>#REF!</v>
      </c>
      <c r="N204" s="55" t="e" cm="1">
        <f t="array" ref="N204">MMS_Feedlot_N2O_Direct_Equations.VEERG_4_1_1_3__1_TotalAnnualDirectNitrousOxideEmissions(N$174,$E196,$G$189)</f>
        <v>#REF!</v>
      </c>
      <c r="O204" s="55" t="e" cm="1">
        <f t="array" ref="O204">MMS_Feedlot_N2O_Direct_Equations.VEERG_4_1_1_3__1_TotalAnnualDirectNitrousOxideEmissions(O$174,$E196,$G$189)</f>
        <v>#REF!</v>
      </c>
      <c r="P204" s="2" t="str">
        <f t="shared" si="1"/>
        <v>t N2O</v>
      </c>
    </row>
    <row r="205" spans="4:16" ht="20.100000000000001" customHeight="1" x14ac:dyDescent="0.25">
      <c r="D205" s="55" t="str">
        <f>'Input - Dairy'!$D$84</f>
        <v>Were solids separated from Sump and dispersal system?</v>
      </c>
      <c r="E205" s="55" t="e" cm="1">
        <f t="array" ref="E205">MMS_Feedlot_N2O_Direct_Equations.VEERG_4_1_1_3__1_TotalAnnualDirectNitrousOxideEmissions(E$129,$E197,$G$189)</f>
        <v>#REF!</v>
      </c>
      <c r="F205" s="55" t="e" cm="1">
        <f t="array" ref="F205">MMS_Feedlot_N2O_Direct_Equations.VEERG_4_1_1_3__1_TotalAnnualDirectNitrousOxideEmissions(F$129,$E197,$G$189)</f>
        <v>#REF!</v>
      </c>
      <c r="G205" s="55" t="e" cm="1">
        <f t="array" ref="G205">MMS_Feedlot_N2O_Direct_Equations.VEERG_4_1_1_3__1_TotalAnnualDirectNitrousOxideEmissions(G$129,$E197,$G$189)</f>
        <v>#REF!</v>
      </c>
      <c r="H205" s="2" t="str">
        <f t="shared" si="0"/>
        <v>t N2O</v>
      </c>
      <c r="L205" s="55" t="str">
        <f>'Input - Dairy'!$D$84</f>
        <v>Were solids separated from Sump and dispersal system?</v>
      </c>
      <c r="M205" s="55" t="e" cm="1">
        <f t="array" ref="M205">MMS_Feedlot_N2O_Direct_Equations.VEERG_4_1_1_3__1_TotalAnnualDirectNitrousOxideEmissions(M$129,$E197,$G$189)</f>
        <v>#REF!</v>
      </c>
      <c r="N205" s="55" t="e" cm="1">
        <f t="array" ref="N205">MMS_Feedlot_N2O_Direct_Equations.VEERG_4_1_1_3__1_TotalAnnualDirectNitrousOxideEmissions(N$129,$E197,$G$189)</f>
        <v>#REF!</v>
      </c>
      <c r="O205" s="55" t="e" cm="1">
        <f t="array" ref="O205">MMS_Feedlot_N2O_Direct_Equations.VEERG_4_1_1_3__1_TotalAnnualDirectNitrousOxideEmissions(O$129,$E197,$G$189)</f>
        <v>#REF!</v>
      </c>
      <c r="P205" s="2" t="str">
        <f t="shared" si="1"/>
        <v>t N2O</v>
      </c>
    </row>
    <row r="206" spans="4:16" ht="20.100000000000001" customHeight="1" x14ac:dyDescent="0.25"/>
    <row r="207" spans="4:16" ht="20.100000000000001" customHeight="1" x14ac:dyDescent="0.25">
      <c r="D207" s="108" t="s">
        <v>146</v>
      </c>
      <c r="E207" s="109" t="e">
        <f>SUM(E202:G205)</f>
        <v>#REF!</v>
      </c>
      <c r="F207" s="110" t="str">
        <f>$E$185</f>
        <v>t N2O</v>
      </c>
      <c r="L207" s="108" t="s">
        <v>146</v>
      </c>
      <c r="M207" s="109" t="e">
        <f>SUM(M202:O205)</f>
        <v>#REF!</v>
      </c>
      <c r="N207" s="110" t="str">
        <f>$E$185</f>
        <v>t N2O</v>
      </c>
    </row>
    <row r="208" spans="4:16" ht="20.100000000000001" customHeight="1" x14ac:dyDescent="0.25"/>
    <row r="209" spans="4:15" ht="20.100000000000001" customHeight="1" x14ac:dyDescent="0.25">
      <c r="D209" s="60" t="str" cm="1">
        <f t="array" ref="D209:E210">Common_Equations.Common_ConvertN2OToCO2e_Arguments()</f>
        <v>EN2O</v>
      </c>
      <c r="E209" s="61" t="str">
        <v>Nitrous oxide emissions (t N2O)</v>
      </c>
      <c r="F209" s="111"/>
      <c r="G209" s="55" t="e">
        <f>E207</f>
        <v>#REF!</v>
      </c>
      <c r="L209" s="60" t="str" cm="1">
        <f t="array" ref="L209:M210">Common_Equations.Common_ConvertN2OToCO2e_Arguments()</f>
        <v>EN2O</v>
      </c>
      <c r="M209" s="61" t="str">
        <v>Nitrous oxide emissions (t N2O)</v>
      </c>
      <c r="N209" s="111"/>
      <c r="O209" s="55" t="e">
        <f>M207</f>
        <v>#REF!</v>
      </c>
    </row>
    <row r="210" spans="4:15" ht="20.100000000000001" customHeight="1" x14ac:dyDescent="0.25">
      <c r="D210" s="60" t="str">
        <v>GWPN2O</v>
      </c>
      <c r="E210" s="61" t="str">
        <v>Global warming potential for nitrous oxide (t CO2-e / t N2O)</v>
      </c>
      <c r="F210" s="111"/>
      <c r="G210" s="55">
        <f>Common_InputFunctions.Utility_LookupValueInTableNumber("N2O",Table_GWPData[Gas],Table_GWPData[CO2-e factor])</f>
        <v>265</v>
      </c>
      <c r="L210" s="60" t="str">
        <v>GWPN2O</v>
      </c>
      <c r="M210" s="61" t="str">
        <v>Global warming potential for nitrous oxide (t CO2-e / t N2O)</v>
      </c>
      <c r="N210" s="111"/>
      <c r="O210" s="55">
        <f>Common_InputFunctions.Utility_LookupValueInTableNumber("N2O",Table_GWPData[Gas],Table_GWPData[CO2-e factor])</f>
        <v>265</v>
      </c>
    </row>
    <row r="211" spans="4:15" ht="20.100000000000001" customHeight="1" x14ac:dyDescent="0.25"/>
    <row r="212" spans="4:15" ht="20.100000000000001" customHeight="1" x14ac:dyDescent="0.25">
      <c r="D212" s="48" t="s">
        <v>115</v>
      </c>
      <c r="E212" s="48" t="e" cm="1">
        <f t="array" ref="E212">Common_Equations.Common_ConvertN2OToCO2e(G209,G210)</f>
        <v>#REF!</v>
      </c>
      <c r="F212" s="112" t="str" cm="1">
        <f t="array" ref="F212">Common_Equations.Common_ConvertN2OToCO2e_Unit()</f>
        <v>t CO2e</v>
      </c>
      <c r="L212" s="48" t="s">
        <v>115</v>
      </c>
      <c r="M212" s="48" t="e" cm="1">
        <f t="array" ref="M212">Common_Equations.Common_ConvertN2OToCO2e(O209,O210)</f>
        <v>#REF!</v>
      </c>
      <c r="N212" s="112" t="str" cm="1">
        <f t="array" ref="N212">Common_Equations.Common_ConvertN2OToCO2e_Unit()</f>
        <v>t CO2e</v>
      </c>
    </row>
    <row r="213" spans="4:15" ht="20.100000000000001" customHeight="1" x14ac:dyDescent="0.25"/>
    <row r="214" spans="4:15" ht="20.100000000000001" customHeight="1" x14ac:dyDescent="0.25"/>
    <row r="215" spans="4:15" ht="20.100000000000001" customHeight="1" x14ac:dyDescent="0.25"/>
    <row r="216" spans="4:15" ht="20.100000000000001" customHeight="1" x14ac:dyDescent="0.25"/>
    <row r="217" spans="4:15" ht="20.100000000000001" customHeight="1" x14ac:dyDescent="0.25"/>
  </sheetData>
  <dataValidations disablePrompts="1" count="1">
    <dataValidation operator="equal" allowBlank="1" showInputMessage="1" showErrorMessage="1" sqref="D78:F78 D73:F73 D83:F83 L83:N83 E106:H106 E101:H101 M106:P106" xr:uid="{CE18DC45-74F3-46B3-972B-5F44E5579A05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B313-50E2-4B94-9781-2A2897CB38F7}">
  <dimension ref="A1:Q165"/>
  <sheetViews>
    <sheetView showGridLines="0" topLeftCell="A34" workbookViewId="0">
      <selection activeCell="A14" sqref="A1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229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132</v>
      </c>
      <c r="E3" s="4"/>
      <c r="F3" s="4"/>
      <c r="G3" s="4"/>
      <c r="H3" s="4"/>
      <c r="I3" s="4"/>
      <c r="K3" s="4"/>
      <c r="L3" s="4" t="s">
        <v>133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MMS_Feedlot_AtmosphericDeposition_Equations.VEERG_4_1_1_5__2_VolatilisedNitrogenFromManureManagement_Title()</f>
        <v>Volatilised nitrogen from manure management</v>
      </c>
    </row>
    <row r="6" spans="1:17" ht="20.100000000000001" customHeight="1" x14ac:dyDescent="0.25">
      <c r="A6" s="20" t="s">
        <v>3</v>
      </c>
      <c r="D6" s="5" t="str" cm="1">
        <f t="array" ref="D6">MMS_Feedlot_AtmosphericDeposition_Equations.VEERG_4_1_1_5__2_VolatilisedNitrogenFromManureManagement_Source()</f>
        <v>VEERG 2026: 4.1.1.5, Equation (2)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Common_InputFunctions.Utility_DisplayFunctionName(E36)</f>
        <v>=MMS_Feedlot_AtmosphericDeposition_Equations.VEERG_4_1_1_5__2_VolatilisedNitrogenFromManureManagement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76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29</v>
      </c>
      <c r="E11" s="1" t="str" cm="1">
        <f t="array" ref="E11">MMS_Feedlot_AtmosphericDeposition_Equations.VEERG_4_1_1_5__2_VolatilisedNitrogenFromManureManagement_Variable()</f>
        <v>MMS_ATMOS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19</v>
      </c>
      <c r="E12" s="57" t="str" cm="1">
        <f t="array" ref="E12">MMS_Feedlot_AtmosphericDeposition_Equations.VEERG_4_1_1_5__2_VolatilisedNitrogenFromManureManagement_Unit()</f>
        <v>kg N</v>
      </c>
    </row>
    <row r="13" spans="1:17" ht="20.100000000000001" customHeight="1" x14ac:dyDescent="0.25">
      <c r="A13" s="22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 cm="1">
        <f t="array" ref="D14:E15">MMS_Feedlot_AtmosphericDeposition_Equations.VEERG_4_1_1_5__2_VolatilisedNitrogenFromManureManagement_Arguments()</f>
        <v>MN_jmT</v>
      </c>
      <c r="E14" s="61" t="str">
        <v>nitrogen in each treatment stage MMS (excluding MN_ijm13T2) : kg N</v>
      </c>
      <c r="F14" s="62"/>
      <c r="G14" s="60" t="str">
        <f>"See " &amp; D17</f>
        <v>See M1_Table_MN_j_m_T</v>
      </c>
    </row>
    <row r="15" spans="1:17" ht="20.100000000000001" customHeight="1" x14ac:dyDescent="0.25">
      <c r="D15" s="60" t="str">
        <v>FracGASM_mT</v>
      </c>
      <c r="E15" s="61" t="str">
        <v>fraction of N volatilised in each MMS : (kg NH3-N + NOx-N)/kg N</v>
      </c>
      <c r="F15" s="62"/>
      <c r="G15" s="60" t="str">
        <f>"See " &amp; D25</f>
        <v>See Table_FracGASM_m_T-2-3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4" t="s">
        <v>230</v>
      </c>
      <c r="L17" s="104" t="s">
        <v>233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3" t="s">
        <v>232</v>
      </c>
      <c r="L18" s="103" t="s">
        <v>234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18" t="s">
        <v>67</v>
      </c>
      <c r="E19" s="54" t="s">
        <v>119</v>
      </c>
      <c r="F19" s="54" t="s">
        <v>120</v>
      </c>
      <c r="G19" s="54" t="s">
        <v>121</v>
      </c>
      <c r="L19" s="118" t="s">
        <v>67</v>
      </c>
      <c r="M19" s="54" t="s">
        <v>119</v>
      </c>
      <c r="N19" s="54" t="s">
        <v>120</v>
      </c>
      <c r="O19" s="54" t="s">
        <v>121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 t="str">
        <f>'Input - Dairy'!$D$72</f>
        <v>Total manure sent to MMS (Must equal 100%)  (Method 2)</v>
      </c>
      <c r="E20" s="55" t="e">
        <f>'4.1.1.3-4 Direct N20'!$E$106</f>
        <v>#REF!</v>
      </c>
      <c r="F20" s="55" t="e">
        <f>'4.1.1.3-4 Direct N20'!$F$106</f>
        <v>#REF!</v>
      </c>
      <c r="G20" s="55" t="e">
        <f>'4.1.1.3-4 Direct N20'!$G$106</f>
        <v>#REF!</v>
      </c>
      <c r="H20" s="2" t="s">
        <v>174</v>
      </c>
      <c r="L20" s="55" t="str">
        <f>'Input - Dairy'!$D$72</f>
        <v>Total manure sent to MMS (Must equal 100%)  (Method 2)</v>
      </c>
      <c r="M20" s="55" t="e">
        <f>'4.1.1.3-4 Direct N20'!$M$106</f>
        <v>#REF!</v>
      </c>
      <c r="N20" s="55" t="e">
        <f>'4.1.1.3-4 Direct N20'!$N$106</f>
        <v>#REF!</v>
      </c>
      <c r="O20" s="55" t="e">
        <f>'4.1.1.3-4 Direct N20'!$O$106</f>
        <v>#REF!</v>
      </c>
      <c r="P20" s="2" t="s">
        <v>174</v>
      </c>
    </row>
    <row r="21" spans="1:16" ht="20.100000000000001" customHeight="1" x14ac:dyDescent="0.25">
      <c r="D21" s="55" t="str">
        <f>'Input - Dairy'!$D$78</f>
        <v>Anaerobic lagoon</v>
      </c>
      <c r="E21" s="55" t="e">
        <f>'4.1.1.3-4 Direct N20'!$E$173</f>
        <v>#REF!</v>
      </c>
      <c r="F21" s="55" t="e">
        <f>'4.1.1.3-4 Direct N20'!$F$173</f>
        <v>#REF!</v>
      </c>
      <c r="G21" s="55" t="e">
        <f>'4.1.1.3-4 Direct N20'!$G$173</f>
        <v>#REF!</v>
      </c>
      <c r="H21" s="2" t="s">
        <v>174</v>
      </c>
      <c r="L21" s="55" t="str">
        <f>'Input - Dairy'!$D$78</f>
        <v>Anaerobic lagoon</v>
      </c>
      <c r="M21" s="55" t="e">
        <f>'4.1.1.3-4 Direct N20'!$M$173</f>
        <v>#REF!</v>
      </c>
      <c r="N21" s="55" t="e">
        <f>'4.1.1.3-4 Direct N20'!$N$173</f>
        <v>#REF!</v>
      </c>
      <c r="O21" s="55" t="e">
        <f>'4.1.1.3-4 Direct N20'!$O$173</f>
        <v>#REF!</v>
      </c>
      <c r="P21" s="2" t="s">
        <v>174</v>
      </c>
    </row>
    <row r="22" spans="1:16" ht="20.100000000000001" customHeight="1" x14ac:dyDescent="0.25">
      <c r="D22" s="55" t="str">
        <f>'Input - Dairy'!$D$79</f>
        <v>Were solids separated from Anaerobic lagoon?</v>
      </c>
      <c r="E22" s="55" t="e">
        <f>'4.1.1.3-4 Direct N20'!$E$174</f>
        <v>#REF!</v>
      </c>
      <c r="F22" s="55" t="e">
        <f>'4.1.1.3-4 Direct N20'!$F$174</f>
        <v>#REF!</v>
      </c>
      <c r="G22" s="55" t="e">
        <f>'4.1.1.3-4 Direct N20'!$G$174</f>
        <v>#REF!</v>
      </c>
      <c r="H22" s="2" t="s">
        <v>174</v>
      </c>
      <c r="L22" s="55" t="str">
        <f>'Input - Dairy'!$D$79</f>
        <v>Were solids separated from Anaerobic lagoon?</v>
      </c>
      <c r="M22" s="55" t="e">
        <f>'4.1.1.3-4 Direct N20'!$M$174</f>
        <v>#REF!</v>
      </c>
      <c r="N22" s="55" t="e">
        <f>'4.1.1.3-4 Direct N20'!$N$174</f>
        <v>#REF!</v>
      </c>
      <c r="O22" s="55" t="e">
        <f>'4.1.1.3-4 Direct N20'!$O$174</f>
        <v>#REF!</v>
      </c>
      <c r="P22" s="2" t="s">
        <v>174</v>
      </c>
    </row>
    <row r="23" spans="1:16" ht="20.100000000000001" customHeight="1" x14ac:dyDescent="0.25">
      <c r="D23" s="55" t="str">
        <f>'Input - Dairy'!$D$84</f>
        <v>Were solids separated from Sump and dispersal system?</v>
      </c>
      <c r="E23" s="55" t="e">
        <f>'4.1.1.3-4 Direct N20'!$E$129</f>
        <v>#REF!</v>
      </c>
      <c r="F23" s="55" t="e">
        <f>'4.1.1.3-4 Direct N20'!$F$129</f>
        <v>#REF!</v>
      </c>
      <c r="G23" s="55" t="e">
        <f>'4.1.1.3-4 Direct N20'!$G$129</f>
        <v>#REF!</v>
      </c>
      <c r="H23" s="2" t="s">
        <v>174</v>
      </c>
      <c r="L23" s="55" t="str">
        <f>'Input - Dairy'!$D$84</f>
        <v>Were solids separated from Sump and dispersal system?</v>
      </c>
      <c r="M23" s="55" t="e">
        <f>'4.1.1.3-4 Direct N20'!$M$129</f>
        <v>#REF!</v>
      </c>
      <c r="N23" s="55" t="e">
        <f>'4.1.1.3-4 Direct N20'!$N$129</f>
        <v>#REF!</v>
      </c>
      <c r="O23" s="55" t="e">
        <f>'4.1.1.3-4 Direct N20'!$O$129</f>
        <v>#REF!</v>
      </c>
      <c r="P23" s="2" t="s">
        <v>174</v>
      </c>
    </row>
    <row r="24" spans="1:16" ht="20.100000000000001" customHeight="1" x14ac:dyDescent="0.25"/>
    <row r="25" spans="1:16" ht="20.100000000000001" customHeight="1" x14ac:dyDescent="0.25">
      <c r="D25" s="104" t="s">
        <v>176</v>
      </c>
    </row>
    <row r="26" spans="1:16" ht="20.100000000000001" customHeight="1" x14ac:dyDescent="0.25">
      <c r="D26" s="103" t="s">
        <v>178</v>
      </c>
    </row>
    <row r="27" spans="1:16" ht="20.100000000000001" customHeight="1" x14ac:dyDescent="0.25">
      <c r="D27" s="118" t="s">
        <v>67</v>
      </c>
      <c r="E27" s="118" t="s">
        <v>145</v>
      </c>
    </row>
    <row r="28" spans="1:16" ht="20.100000000000001" customHeight="1" x14ac:dyDescent="0.25">
      <c r="D28" s="55" t="str">
        <f>'Input - Dairy'!$D$72</f>
        <v>Total manure sent to MMS (Must equal 100%)  (Method 2)</v>
      </c>
      <c r="E28" s="55" t="e">
        <f>_xlfn.XLOOKUP(D28, #REF!, #REF!)</f>
        <v>#REF!</v>
      </c>
      <c r="F28" s="2" t="s">
        <v>183</v>
      </c>
    </row>
    <row r="29" spans="1:16" ht="20.100000000000001" customHeight="1" x14ac:dyDescent="0.25">
      <c r="D29" s="55" t="str">
        <f>'Input - Dairy'!$D$78</f>
        <v>Anaerobic lagoon</v>
      </c>
      <c r="E29" s="55" t="e">
        <f>_xlfn.XLOOKUP(D29, #REF!, #REF!)</f>
        <v>#REF!</v>
      </c>
      <c r="F29" s="2" t="s">
        <v>183</v>
      </c>
    </row>
    <row r="30" spans="1:16" ht="20.100000000000001" customHeight="1" x14ac:dyDescent="0.25">
      <c r="D30" s="55" t="str">
        <f>'Input - Dairy'!$D$79</f>
        <v>Were solids separated from Anaerobic lagoon?</v>
      </c>
      <c r="E30" s="55" t="e">
        <f>_xlfn.XLOOKUP(D30, #REF!, #REF!)</f>
        <v>#REF!</v>
      </c>
      <c r="F30" s="2" t="s">
        <v>183</v>
      </c>
    </row>
    <row r="31" spans="1:16" ht="20.100000000000001" customHeight="1" x14ac:dyDescent="0.25">
      <c r="D31" s="55" t="str">
        <f>'Input - Dairy'!$D$84</f>
        <v>Were solids separated from Sump and dispersal system?</v>
      </c>
      <c r="E31" s="55" t="e">
        <f>_xlfn.XLOOKUP(D31, #REF!, #REF!)</f>
        <v>#REF!</v>
      </c>
      <c r="F31" s="2" t="s">
        <v>183</v>
      </c>
    </row>
    <row r="32" spans="1:16" ht="20.100000000000001" customHeight="1" x14ac:dyDescent="0.25"/>
    <row r="33" spans="3:17" ht="20.100000000000001" customHeight="1" x14ac:dyDescent="0.25">
      <c r="D33" s="104" t="s">
        <v>231</v>
      </c>
      <c r="L33" s="104" t="s">
        <v>231</v>
      </c>
    </row>
    <row r="34" spans="3:17" ht="20.100000000000001" customHeight="1" x14ac:dyDescent="0.25">
      <c r="D34" s="103" t="s">
        <v>232</v>
      </c>
      <c r="L34" s="103" t="s">
        <v>232</v>
      </c>
    </row>
    <row r="35" spans="3:17" ht="20.100000000000001" customHeight="1" x14ac:dyDescent="0.25">
      <c r="D35" s="118" t="s">
        <v>67</v>
      </c>
      <c r="E35" s="54" t="s">
        <v>119</v>
      </c>
      <c r="F35" s="54" t="s">
        <v>120</v>
      </c>
      <c r="G35" s="54" t="s">
        <v>121</v>
      </c>
      <c r="L35" s="118" t="s">
        <v>67</v>
      </c>
      <c r="M35" s="54" t="s">
        <v>119</v>
      </c>
      <c r="N35" s="54" t="s">
        <v>120</v>
      </c>
      <c r="O35" s="54" t="s">
        <v>121</v>
      </c>
    </row>
    <row r="36" spans="3:17" ht="20.100000000000001" customHeight="1" x14ac:dyDescent="0.25">
      <c r="D36" s="55" t="str">
        <f>'Input - Dairy'!$D$72</f>
        <v>Total manure sent to MMS (Must equal 100%)  (Method 2)</v>
      </c>
      <c r="E36" s="55" t="e" cm="1">
        <f t="array" ref="E36">MMS_Feedlot_AtmosphericDeposition_Equations.VEERG_4_1_1_5__2_VolatilisedNitrogenFromManureManagement(E20,$E28)</f>
        <v>#REF!</v>
      </c>
      <c r="F36" s="55" t="e" cm="1">
        <f t="array" ref="F36">MMS_Feedlot_AtmosphericDeposition_Equations.VEERG_4_1_1_5__2_VolatilisedNitrogenFromManureManagement(F20,$E28)</f>
        <v>#REF!</v>
      </c>
      <c r="G36" s="55" t="e" cm="1">
        <f t="array" ref="G36">MMS_Feedlot_AtmosphericDeposition_Equations.VEERG_4_1_1_5__2_VolatilisedNitrogenFromManureManagement(G20,$E28)</f>
        <v>#REF!</v>
      </c>
      <c r="H36" s="2" t="str">
        <f>$E$12</f>
        <v>kg N</v>
      </c>
      <c r="L36" s="55" t="str">
        <f>'Input - Dairy'!$D$72</f>
        <v>Total manure sent to MMS (Must equal 100%)  (Method 2)</v>
      </c>
      <c r="M36" s="55" t="e" cm="1">
        <f t="array" ref="M36">MMS_Feedlot_AtmosphericDeposition_Equations.VEERG_4_1_1_5__2_VolatilisedNitrogenFromManureManagement(M20,$E28)</f>
        <v>#REF!</v>
      </c>
      <c r="N36" s="55" t="e" cm="1">
        <f t="array" ref="N36">MMS_Feedlot_AtmosphericDeposition_Equations.VEERG_4_1_1_5__2_VolatilisedNitrogenFromManureManagement(N20,$E28)</f>
        <v>#REF!</v>
      </c>
      <c r="O36" s="55" t="e" cm="1">
        <f t="array" ref="O36">MMS_Feedlot_AtmosphericDeposition_Equations.VEERG_4_1_1_5__2_VolatilisedNitrogenFromManureManagement(O20,$E28)</f>
        <v>#REF!</v>
      </c>
      <c r="P36" s="2" t="s">
        <v>174</v>
      </c>
    </row>
    <row r="37" spans="3:17" ht="20.100000000000001" customHeight="1" x14ac:dyDescent="0.25">
      <c r="D37" s="55" t="str">
        <f>'Input - Dairy'!$D$78</f>
        <v>Anaerobic lagoon</v>
      </c>
      <c r="E37" s="55" t="e" cm="1">
        <f t="array" ref="E37">MMS_Feedlot_AtmosphericDeposition_Equations.VEERG_4_1_1_5__2_VolatilisedNitrogenFromManureManagement(E21,$E29)</f>
        <v>#REF!</v>
      </c>
      <c r="F37" s="55" t="e" cm="1">
        <f t="array" ref="F37">MMS_Feedlot_AtmosphericDeposition_Equations.VEERG_4_1_1_5__2_VolatilisedNitrogenFromManureManagement(F21,$E29)</f>
        <v>#REF!</v>
      </c>
      <c r="G37" s="55" t="e" cm="1">
        <f t="array" ref="G37">MMS_Feedlot_AtmosphericDeposition_Equations.VEERG_4_1_1_5__2_VolatilisedNitrogenFromManureManagement(G21,$E29)</f>
        <v>#REF!</v>
      </c>
      <c r="H37" s="2" t="str">
        <f t="shared" ref="H37:H39" si="0">$E$12</f>
        <v>kg N</v>
      </c>
      <c r="L37" s="55" t="str">
        <f>'Input - Dairy'!$D$78</f>
        <v>Anaerobic lagoon</v>
      </c>
      <c r="M37" s="55" t="e" cm="1">
        <f t="array" ref="M37">MMS_Feedlot_AtmosphericDeposition_Equations.VEERG_4_1_1_5__2_VolatilisedNitrogenFromManureManagement(M21,$E29)</f>
        <v>#REF!</v>
      </c>
      <c r="N37" s="55" t="e" cm="1">
        <f t="array" ref="N37">MMS_Feedlot_AtmosphericDeposition_Equations.VEERG_4_1_1_5__2_VolatilisedNitrogenFromManureManagement(N21,$E29)</f>
        <v>#REF!</v>
      </c>
      <c r="O37" s="55" t="e" cm="1">
        <f t="array" ref="O37">MMS_Feedlot_AtmosphericDeposition_Equations.VEERG_4_1_1_5__2_VolatilisedNitrogenFromManureManagement(O21,$E29)</f>
        <v>#REF!</v>
      </c>
      <c r="P37" s="2" t="s">
        <v>174</v>
      </c>
    </row>
    <row r="38" spans="3:17" ht="20.100000000000001" customHeight="1" x14ac:dyDescent="0.25">
      <c r="D38" s="55" t="str">
        <f>'Input - Dairy'!$D$79</f>
        <v>Were solids separated from Anaerobic lagoon?</v>
      </c>
      <c r="E38" s="55" t="e" cm="1">
        <f t="array" ref="E38">MMS_Feedlot_AtmosphericDeposition_Equations.VEERG_4_1_1_5__2_VolatilisedNitrogenFromManureManagement(E22,$E30)</f>
        <v>#REF!</v>
      </c>
      <c r="F38" s="55" t="e" cm="1">
        <f t="array" ref="F38">MMS_Feedlot_AtmosphericDeposition_Equations.VEERG_4_1_1_5__2_VolatilisedNitrogenFromManureManagement(F22,$E30)</f>
        <v>#REF!</v>
      </c>
      <c r="G38" s="55" t="e" cm="1">
        <f t="array" ref="G38">MMS_Feedlot_AtmosphericDeposition_Equations.VEERG_4_1_1_5__2_VolatilisedNitrogenFromManureManagement(G22,$E30)</f>
        <v>#REF!</v>
      </c>
      <c r="H38" s="2" t="str">
        <f t="shared" si="0"/>
        <v>kg N</v>
      </c>
      <c r="L38" s="55" t="str">
        <f>'Input - Dairy'!$D$79</f>
        <v>Were solids separated from Anaerobic lagoon?</v>
      </c>
      <c r="M38" s="55" t="e" cm="1">
        <f t="array" ref="M38">MMS_Feedlot_AtmosphericDeposition_Equations.VEERG_4_1_1_5__2_VolatilisedNitrogenFromManureManagement(M22,$E30)</f>
        <v>#REF!</v>
      </c>
      <c r="N38" s="55" t="e" cm="1">
        <f t="array" ref="N38">MMS_Feedlot_AtmosphericDeposition_Equations.VEERG_4_1_1_5__2_VolatilisedNitrogenFromManureManagement(N22,$E30)</f>
        <v>#REF!</v>
      </c>
      <c r="O38" s="55" t="e" cm="1">
        <f t="array" ref="O38">MMS_Feedlot_AtmosphericDeposition_Equations.VEERG_4_1_1_5__2_VolatilisedNitrogenFromManureManagement(O22,$E30)</f>
        <v>#REF!</v>
      </c>
      <c r="P38" s="2" t="s">
        <v>174</v>
      </c>
    </row>
    <row r="39" spans="3:17" ht="20.100000000000001" customHeight="1" x14ac:dyDescent="0.25">
      <c r="D39" s="55" t="str">
        <f>'Input - Dairy'!$D$84</f>
        <v>Were solids separated from Sump and dispersal system?</v>
      </c>
      <c r="E39" s="55" t="e" cm="1">
        <f t="array" ref="E39">MMS_Feedlot_AtmosphericDeposition_Equations.VEERG_4_1_1_5__2_VolatilisedNitrogenFromManureManagement(E23,$E31)</f>
        <v>#REF!</v>
      </c>
      <c r="F39" s="55" t="e" cm="1">
        <f t="array" ref="F39">MMS_Feedlot_AtmosphericDeposition_Equations.VEERG_4_1_1_5__2_VolatilisedNitrogenFromManureManagement(F23,$E31)</f>
        <v>#REF!</v>
      </c>
      <c r="G39" s="55" t="e" cm="1">
        <f t="array" ref="G39">MMS_Feedlot_AtmosphericDeposition_Equations.VEERG_4_1_1_5__2_VolatilisedNitrogenFromManureManagement(G23,$E31)</f>
        <v>#REF!</v>
      </c>
      <c r="H39" s="2" t="str">
        <f t="shared" si="0"/>
        <v>kg N</v>
      </c>
      <c r="L39" s="55" t="str">
        <f>'Input - Dairy'!$D$84</f>
        <v>Were solids separated from Sump and dispersal system?</v>
      </c>
      <c r="M39" s="55" t="e" cm="1">
        <f t="array" ref="M39">MMS_Feedlot_AtmosphericDeposition_Equations.VEERG_4_1_1_5__2_VolatilisedNitrogenFromManureManagement(M23,$E31)</f>
        <v>#REF!</v>
      </c>
      <c r="N39" s="55" t="e" cm="1">
        <f t="array" ref="N39">MMS_Feedlot_AtmosphericDeposition_Equations.VEERG_4_1_1_5__2_VolatilisedNitrogenFromManureManagement(N23,$E31)</f>
        <v>#REF!</v>
      </c>
      <c r="O39" s="55" t="e" cm="1">
        <f t="array" ref="O39">MMS_Feedlot_AtmosphericDeposition_Equations.VEERG_4_1_1_5__2_VolatilisedNitrogenFromManureManagement(O23,$E31)</f>
        <v>#REF!</v>
      </c>
      <c r="P39" s="2" t="s">
        <v>174</v>
      </c>
    </row>
    <row r="40" spans="3:17" ht="20.100000000000001" customHeight="1" x14ac:dyDescent="0.25"/>
    <row r="41" spans="3:17" ht="20.100000000000001" customHeight="1" x14ac:dyDescent="0.25">
      <c r="D41" s="128" t="s">
        <v>235</v>
      </c>
      <c r="E41" s="48" t="e">
        <f>SUM(E36:G39)</f>
        <v>#REF!</v>
      </c>
      <c r="F41" s="126" t="str">
        <f>$E$12</f>
        <v>kg N</v>
      </c>
      <c r="L41" s="128" t="s">
        <v>235</v>
      </c>
      <c r="M41" s="48" t="e">
        <f>SUM(M36:O39)</f>
        <v>#REF!</v>
      </c>
      <c r="N41" s="126" t="str">
        <f>$E$12</f>
        <v>kg N</v>
      </c>
    </row>
    <row r="42" spans="3:17" ht="20.100000000000001" customHeight="1" x14ac:dyDescent="0.25"/>
    <row r="43" spans="3:17" ht="20.100000000000001" customHeight="1" x14ac:dyDescent="0.25">
      <c r="C43" s="127"/>
      <c r="D43" s="127"/>
      <c r="E43" s="127"/>
      <c r="F43" s="127"/>
      <c r="G43" s="127"/>
      <c r="H43" s="127"/>
      <c r="I43" s="127"/>
      <c r="K43" s="127"/>
      <c r="L43" s="127"/>
      <c r="M43" s="127"/>
      <c r="N43" s="127"/>
      <c r="O43" s="127"/>
      <c r="P43" s="127"/>
      <c r="Q43" s="127"/>
    </row>
    <row r="44" spans="3:17" ht="20.100000000000001" customHeight="1" x14ac:dyDescent="0.25"/>
    <row r="45" spans="3:17" ht="20.100000000000001" customHeight="1" x14ac:dyDescent="0.25">
      <c r="D45" s="6" t="str" cm="1">
        <f t="array" ref="D45">MMS_Feedlot_AtmosphericDeposition_Equations.VEERG_4_1_1_5__1_TotalAnnualAtmosphericDepositionEmissions_Title()</f>
        <v>Total annual atmospheric deposition emissions from manure management</v>
      </c>
    </row>
    <row r="46" spans="3:17" ht="20.100000000000001" customHeight="1" x14ac:dyDescent="0.25">
      <c r="D46" s="5" t="str" cm="1">
        <f t="array" ref="D46">MMS_Feedlot_AtmosphericDeposition_Equations.VEERG_4_1_1_5__1_TotalAnnualAtmosphericDepositionEmissions_Source()</f>
        <v>VEERG 2026: 4.1.1.5, Equation (1)</v>
      </c>
    </row>
    <row r="47" spans="3:17" ht="20.100000000000001" customHeight="1" x14ac:dyDescent="0.25">
      <c r="D47" s="13" t="s">
        <v>26</v>
      </c>
      <c r="E47" s="13" t="str" cm="1">
        <f t="array" aca="1" ref="E47" ca="1">Common_InputFunctions.Utility_DisplayFunctionName(E60)</f>
        <v>=MMS_Feedlot_AtmosphericDeposition_Equations.VEERG_4_1_1_5__1_TotalAnnualAtmosphericDepositionEmissions</v>
      </c>
    </row>
    <row r="48" spans="3:17" ht="20.100000000000001" customHeight="1" x14ac:dyDescent="0.25"/>
    <row r="49" spans="4:15" ht="20.100000000000001" customHeight="1" x14ac:dyDescent="0.25">
      <c r="D49" s="6"/>
    </row>
    <row r="50" spans="4:15" ht="20.100000000000001" customHeight="1" x14ac:dyDescent="0.25">
      <c r="D50" s="56" t="s">
        <v>29</v>
      </c>
      <c r="E50" s="1" t="str" cm="1">
        <f t="array" ref="E50">MMS_Feedlot_AtmosphericDeposition_Equations.VEERG_4_1_1_5__1_TotalAnnualAtmosphericDepositionEmissions_Variable()</f>
        <v>E_N2Oad</v>
      </c>
    </row>
    <row r="51" spans="4:15" ht="20.100000000000001" customHeight="1" x14ac:dyDescent="0.25">
      <c r="D51" s="56" t="s">
        <v>19</v>
      </c>
      <c r="E51" s="57" t="str" cm="1">
        <f t="array" ref="E51">MMS_Feedlot_AtmosphericDeposition_Equations.VEERG_4_1_1_5__1_TotalAnnualAtmosphericDepositionEmissions_Unit()</f>
        <v>t N2O</v>
      </c>
    </row>
    <row r="52" spans="4:15" ht="20.100000000000001" customHeight="1" x14ac:dyDescent="0.25"/>
    <row r="53" spans="4:15" ht="20.100000000000001" customHeight="1" x14ac:dyDescent="0.25">
      <c r="D53" s="60" t="str" cm="1">
        <f t="array" ref="D53:E58">MMS_Feedlot_AtmosphericDeposition_Equations.VEERG_4_1_1_5__1_TotalAnnualAtmosphericDepositionEmissions_Arguments()</f>
        <v>MMS_ATMOS</v>
      </c>
      <c r="E53" s="61" t="str">
        <v>mass of N volatilised from MMS : kg N</v>
      </c>
      <c r="F53" s="62"/>
      <c r="G53" s="60" t="e">
        <f>$E$41</f>
        <v>#REF!</v>
      </c>
      <c r="L53" s="60" t="str" cm="1">
        <f t="array" ref="L53:M58">MMS_Feedlot_AtmosphericDeposition_Equations.VEERG_4_1_1_5__1_TotalAnnualAtmosphericDepositionEmissions_Arguments()</f>
        <v>MMS_ATMOS</v>
      </c>
      <c r="M53" s="61" t="str">
        <v>mass of N volatilised from MMS : kg N</v>
      </c>
      <c r="N53" s="62"/>
      <c r="O53" s="60" t="e">
        <f>$M$41</f>
        <v>#REF!</v>
      </c>
    </row>
    <row r="54" spans="4:15" ht="20.100000000000001" customHeight="1" x14ac:dyDescent="0.25">
      <c r="D54" s="60" t="str">
        <v>EF_N2O</v>
      </c>
      <c r="E54" s="61" t="str">
        <v>nitrous oxide emission factor for atmospheric deposition : kg N2O-N/kg N</v>
      </c>
      <c r="F54" s="62"/>
      <c r="G54" s="60">
        <f>Common_InputFunctions.Utility_LookupN2OEFFromProdIrrigationRainfall($G$56,$G$57,$G$58,Table_SourceData_Common_EFN2O[Production system only],Table_SourceData_Common_EFN2O[Irrigation method],Table_SourceData_Common_EFN2O[Rainfall zone],Table_SourceData_Common_EFN2O[EFN2O])</f>
        <v>1.8E-3</v>
      </c>
      <c r="H54" s="114" t="s">
        <v>237</v>
      </c>
      <c r="L54" s="60" t="str">
        <v>EF_N2O</v>
      </c>
      <c r="M54" s="61" t="str">
        <v>nitrous oxide emission factor for atmospheric deposition : kg N2O-N/kg N</v>
      </c>
      <c r="N54" s="62"/>
      <c r="O54" s="60">
        <f>Common_InputFunctions.Utility_LookupN2OEFFromProdIrrigationRainfall($G$56,$G$57,$G$58,Table_SourceData_Common_EFN2O[Production system only],Table_SourceData_Common_EFN2O[Irrigation method],Table_SourceData_Common_EFN2O[Rainfall zone],Table_SourceData_Common_EFN2O[EFN2O])</f>
        <v>1.8E-3</v>
      </c>
    </row>
    <row r="55" spans="4:15" ht="20.100000000000001" customHeight="1" x14ac:dyDescent="0.25">
      <c r="D55" s="60" t="str">
        <v>C_N2O</v>
      </c>
      <c r="E55" s="61" t="str">
        <v>factor to convert elemental mass of nitrous oxide to molecular mass : ratio</v>
      </c>
      <c r="F55" s="62"/>
      <c r="G55" s="60">
        <f>Common_InputFunctions.Utility_LookupValueInTableNumber("N2O",Table_GasToMolecularConversionFactor[Gas],Table_GasToMolecularConversionFactor[Conversion factor combined])</f>
        <v>1.5714285714285714</v>
      </c>
      <c r="L55" s="60" t="str">
        <v>C_N2O</v>
      </c>
      <c r="M55" s="61" t="str">
        <v>factor to convert elemental mass of nitrous oxide to molecular mass : ratio</v>
      </c>
      <c r="N55" s="62"/>
      <c r="O55" s="60">
        <f>Common_InputFunctions.Utility_LookupValueInTableNumber("N2O",Table_GasToMolecularConversionFactor[Gas],Table_GasToMolecularConversionFactor[Conversion factor combined])</f>
        <v>1.5714285714285714</v>
      </c>
    </row>
    <row r="56" spans="4:15" ht="20.100000000000001" customHeight="1" x14ac:dyDescent="0.25">
      <c r="D56" s="60" t="str">
        <v>j</v>
      </c>
      <c r="E56" s="61" t="str">
        <v>production system</v>
      </c>
      <c r="F56" s="62"/>
      <c r="G56" s="60" t="str">
        <f>'Input - Dairy'!$E$160</f>
        <v>Pasture</v>
      </c>
      <c r="L56" s="60" t="str">
        <v>j</v>
      </c>
      <c r="M56" s="61" t="str">
        <v>production system</v>
      </c>
      <c r="N56" s="62"/>
      <c r="O56" s="60" t="str">
        <f>'Input - Dairy'!$E$160</f>
        <v>Pasture</v>
      </c>
    </row>
    <row r="57" spans="4:15" ht="20.100000000000001" customHeight="1" x14ac:dyDescent="0.25">
      <c r="D57" s="60" t="str">
        <v>i</v>
      </c>
      <c r="E57" s="61" t="str">
        <v>irrigation method</v>
      </c>
      <c r="F57" s="62"/>
      <c r="G57" s="60" t="str">
        <f>'Input - Dairy'!$E$161</f>
        <v>Not irrigated</v>
      </c>
      <c r="L57" s="60" t="str">
        <v>i</v>
      </c>
      <c r="M57" s="61" t="str">
        <v>irrigation method</v>
      </c>
      <c r="N57" s="62"/>
      <c r="O57" s="60" t="str">
        <f>'Input - Dairy'!$E$161</f>
        <v>Not irrigated</v>
      </c>
    </row>
    <row r="58" spans="4:15" ht="20.100000000000001" customHeight="1" x14ac:dyDescent="0.25">
      <c r="D58" s="61" t="str">
        <v>r</v>
      </c>
      <c r="E58" s="61" t="str">
        <v>rainfall zone</v>
      </c>
      <c r="F58" s="105"/>
      <c r="G58" s="60" t="str">
        <f>'Input - Site'!$E$30</f>
        <v>High rainfall</v>
      </c>
      <c r="L58" s="61" t="str">
        <v>r</v>
      </c>
      <c r="M58" s="61" t="str">
        <v>rainfall zone</v>
      </c>
      <c r="N58" s="105"/>
      <c r="O58" s="60" t="str">
        <f>'Input - Site'!$E$30</f>
        <v>High rainfall</v>
      </c>
    </row>
    <row r="59" spans="4:15" ht="20.100000000000001" customHeight="1" x14ac:dyDescent="0.25"/>
    <row r="60" spans="4:15" ht="20.100000000000001" customHeight="1" x14ac:dyDescent="0.25">
      <c r="D60" s="108" t="s">
        <v>253</v>
      </c>
      <c r="E60" s="109" t="e" cm="1">
        <f t="array" ref="E60">MMS_Feedlot_AtmosphericDeposition_Equations.VEERG_4_1_1_5__1_TotalAnnualAtmosphericDepositionEmissions(G53,G54,G55)</f>
        <v>#REF!</v>
      </c>
      <c r="F60" s="110" t="str">
        <f>$E$51</f>
        <v>t N2O</v>
      </c>
      <c r="L60" s="108" t="s">
        <v>253</v>
      </c>
      <c r="M60" s="109" t="e" cm="1">
        <f t="array" ref="M60">MMS_Feedlot_AtmosphericDeposition_Equations.VEERG_4_1_1_5__1_TotalAnnualAtmosphericDepositionEmissions(O53,O54,O55)</f>
        <v>#REF!</v>
      </c>
      <c r="N60" s="110" t="str">
        <f>$E$51</f>
        <v>t N2O</v>
      </c>
    </row>
    <row r="61" spans="4:15" ht="20.100000000000001" customHeight="1" x14ac:dyDescent="0.25"/>
    <row r="62" spans="4:15" ht="20.100000000000001" customHeight="1" x14ac:dyDescent="0.25">
      <c r="D62" s="60" t="str" cm="1">
        <f t="array" ref="D62:E63">Common_Equations.Common_ConvertN2OToCO2e_Arguments()</f>
        <v>EN2O</v>
      </c>
      <c r="E62" s="61" t="str">
        <v>Nitrous oxide emissions (t N2O)</v>
      </c>
      <c r="F62" s="111"/>
      <c r="G62" s="55" t="e">
        <f>E60</f>
        <v>#REF!</v>
      </c>
      <c r="L62" s="60" t="str" cm="1">
        <f t="array" ref="L62:M63">Common_Equations.Common_ConvertN2OToCO2e_Arguments()</f>
        <v>EN2O</v>
      </c>
      <c r="M62" s="61" t="str">
        <v>Nitrous oxide emissions (t N2O)</v>
      </c>
      <c r="N62" s="111"/>
      <c r="O62" s="55" t="e">
        <f>M60</f>
        <v>#REF!</v>
      </c>
    </row>
    <row r="63" spans="4:15" ht="20.100000000000001" customHeight="1" x14ac:dyDescent="0.25">
      <c r="D63" s="60" t="str">
        <v>GWPN2O</v>
      </c>
      <c r="E63" s="61" t="str">
        <v>Global warming potential for nitrous oxide (t CO2-e / t N2O)</v>
      </c>
      <c r="F63" s="111"/>
      <c r="G63" s="55">
        <f>Common_InputFunctions.Utility_LookupValueInTableNumber("N2O",Table_GWPData[Gas],Table_GWPData[CO2-e factor])</f>
        <v>265</v>
      </c>
      <c r="L63" s="60" t="str">
        <v>GWPN2O</v>
      </c>
      <c r="M63" s="61" t="str">
        <v>Global warming potential for nitrous oxide (t CO2-e / t N2O)</v>
      </c>
      <c r="N63" s="111"/>
      <c r="O63" s="55">
        <f>Common_InputFunctions.Utility_LookupValueInTableNumber("N2O",Table_GWPData[Gas],Table_GWPData[CO2-e factor])</f>
        <v>265</v>
      </c>
    </row>
    <row r="64" spans="4:15" ht="20.100000000000001" customHeight="1" x14ac:dyDescent="0.25"/>
    <row r="65" spans="4:14" ht="20.100000000000001" customHeight="1" x14ac:dyDescent="0.25">
      <c r="D65" s="48" t="s">
        <v>115</v>
      </c>
      <c r="E65" s="48" t="e" cm="1">
        <f t="array" ref="E65">Common_Equations.Common_ConvertN2OToCO2e(G62,G63)</f>
        <v>#REF!</v>
      </c>
      <c r="F65" s="112" t="str" cm="1">
        <f t="array" ref="F65">Common_Equations.Common_ConvertN2OToCO2e_Unit()</f>
        <v>t CO2e</v>
      </c>
      <c r="L65" s="48" t="s">
        <v>115</v>
      </c>
      <c r="M65" s="48" t="e" cm="1">
        <f t="array" ref="M65">Common_Equations.Common_ConvertN2OToCO2e(O62,O63)</f>
        <v>#REF!</v>
      </c>
      <c r="N65" s="112" t="str" cm="1">
        <f t="array" ref="N65">Common_Equations.Common_ConvertN2OToCO2e_Unit()</f>
        <v>t CO2e</v>
      </c>
    </row>
    <row r="66" spans="4:14" ht="20.100000000000001" customHeight="1" x14ac:dyDescent="0.25"/>
    <row r="67" spans="4:14" ht="20.100000000000001" customHeight="1" x14ac:dyDescent="0.25"/>
    <row r="68" spans="4:14" ht="20.100000000000001" customHeight="1" x14ac:dyDescent="0.25"/>
    <row r="69" spans="4:14" ht="20.100000000000001" customHeight="1" x14ac:dyDescent="0.25"/>
    <row r="70" spans="4:14" ht="20.100000000000001" customHeight="1" x14ac:dyDescent="0.25"/>
    <row r="71" spans="4:14" ht="20.100000000000001" customHeight="1" x14ac:dyDescent="0.25"/>
    <row r="72" spans="4:14" ht="20.100000000000001" customHeight="1" x14ac:dyDescent="0.25"/>
    <row r="73" spans="4:14" ht="20.100000000000001" customHeight="1" x14ac:dyDescent="0.25"/>
    <row r="74" spans="4:14" ht="20.100000000000001" customHeight="1" x14ac:dyDescent="0.25"/>
    <row r="75" spans="4:14" ht="20.100000000000001" customHeight="1" x14ac:dyDescent="0.25"/>
    <row r="76" spans="4:14" ht="20.100000000000001" customHeight="1" x14ac:dyDescent="0.25"/>
    <row r="77" spans="4:14" ht="20.100000000000001" customHeight="1" x14ac:dyDescent="0.25"/>
    <row r="78" spans="4:14" ht="20.100000000000001" customHeight="1" x14ac:dyDescent="0.25"/>
    <row r="79" spans="4:14" ht="20.100000000000001" customHeight="1" x14ac:dyDescent="0.25"/>
    <row r="80" spans="4:14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9EE4-6811-4EE3-BAA2-11924CEC7522}">
  <dimension ref="A1:Q165"/>
  <sheetViews>
    <sheetView showGridLines="0" topLeftCell="A94" workbookViewId="0">
      <selection activeCell="A8" sqref="A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173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132</v>
      </c>
      <c r="E3" s="4"/>
      <c r="F3" s="4"/>
      <c r="G3" s="4"/>
      <c r="H3" s="4"/>
      <c r="I3" s="4"/>
      <c r="K3" s="4"/>
      <c r="L3" s="4" t="s">
        <v>133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MMS_Feedlot_ManureAppliedToSoils_Equations.VEERG_4_1_1_9__1_MassOfNitrogenAppliedToSoilsScope1_Title()</f>
        <v>Mass of nitrogen applied to soils for scope 1 emissions</v>
      </c>
    </row>
    <row r="6" spans="1:17" ht="20.100000000000001" customHeight="1" x14ac:dyDescent="0.25">
      <c r="A6" s="20" t="s">
        <v>3</v>
      </c>
      <c r="D6" s="5" t="str" cm="1">
        <f t="array" ref="D6">MMS_Feedlot_ManureAppliedToSoils_Equations.VEERG_4_1_1_9__1_MassOfNitrogenAppliedToSoilsScope1_Source()</f>
        <v>VEERG 2026: 4.1.1.9, Equation (1)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Common_InputFunctions.Utility_DisplayFunctionName(E52)</f>
        <v>=MMS_Feedlot_ManureAppliedToSoils_Equations.VEERG_4_1_1_9__1_MassOfNitrogenAppliedToSoilsScope1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  <c r="D9" s="6"/>
    </row>
    <row r="10" spans="1:17" ht="20.100000000000001" customHeight="1" x14ac:dyDescent="0.25">
      <c r="A10" s="19" t="s">
        <v>76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29</v>
      </c>
      <c r="E11" s="1" t="str" cm="1">
        <f t="array" ref="E11">MMS_Feedlot_ManureAppliedToSoils_Equations.VEERG_4_1_1_9__1_MassOfNitrogenAppliedToSoilsScope1_Variable()</f>
        <v>MNSoil_scope1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19</v>
      </c>
      <c r="E12" s="57" t="str" cm="1">
        <f t="array" ref="E12">MMS_Feedlot_ManureAppliedToSoils_Equations.VEERG_4_1_1_9__1_MassOfNitrogenAppliedToSoilsScope1_Unit()</f>
        <v>kg N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22" t="str">
        <f>HYPERLINK("#'4.1.1.9 Manure applied to soils'!A1", "4.1.1.9 Manure applied to soils")</f>
        <v>4.1.1.9 Manure applied to soils</v>
      </c>
      <c r="D14" s="60" t="str" cm="1">
        <f t="array" ref="D14:E17">MMS_Feedlot_ManureAppliedToSoils_Equations.VEERG_4_1_1_9__1_MassOfNitrogenAppliedToSoilsScope1_Arguments()</f>
        <v>MN_jmT23</v>
      </c>
      <c r="E14" s="61" t="str">
        <v>mass of N in secondary and tertiary treatment MMS stages as calculated for manure management : kg N</v>
      </c>
      <c r="F14" s="105"/>
      <c r="G14" s="62"/>
      <c r="H14" s="60" t="str">
        <f>"See " &amp; $D$19</f>
        <v>See M1_Table_MN_j_m_T-2-3</v>
      </c>
    </row>
    <row r="15" spans="1:17" ht="20.100000000000001" customHeight="1" x14ac:dyDescent="0.25">
      <c r="D15" s="60" t="str">
        <v>EF_mT23</v>
      </c>
      <c r="E15" s="61" t="str">
        <v>nitrous oxide emission factor for each MMS : kg N2O-N/kg N</v>
      </c>
      <c r="F15" s="105"/>
      <c r="G15" s="62"/>
      <c r="H15" s="60" t="str">
        <f>"See " &amp; $D$26</f>
        <v>See Table_EF_j_m_T-2-3</v>
      </c>
    </row>
    <row r="16" spans="1:17" ht="20.100000000000001" customHeight="1" x14ac:dyDescent="0.25">
      <c r="A16" s="18" t="s">
        <v>4</v>
      </c>
      <c r="D16" s="60" t="str">
        <v>FracGASM_mT23</v>
      </c>
      <c r="E16" s="61" t="str">
        <v>fraction of animal waste N volatilised in each MMS for each cattle group : (kg NH3-N + NOx-N)/kg N</v>
      </c>
      <c r="F16" s="105"/>
      <c r="G16" s="62"/>
      <c r="H16" s="60" t="str">
        <f>"See " &amp; $D$34</f>
        <v>See Table_FracGASM_m_T-2-3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60" t="str">
        <v>PF</v>
      </c>
      <c r="E17" s="61" t="str">
        <v>fraction of manure applied to soil within the feedlot boundary : fraction</v>
      </c>
      <c r="F17" s="105"/>
      <c r="G17" s="62"/>
      <c r="H17" s="60" t="str">
        <f>"See " &amp; $D$42</f>
        <v>See Table_PF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04" t="s">
        <v>175</v>
      </c>
      <c r="L19" s="104" t="s">
        <v>184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103" t="s">
        <v>186</v>
      </c>
      <c r="L20" s="103" t="s">
        <v>185</v>
      </c>
    </row>
    <row r="21" spans="1:16" ht="20.100000000000001" customHeight="1" x14ac:dyDescent="0.25">
      <c r="D21" s="54" t="s">
        <v>67</v>
      </c>
      <c r="E21" s="54" t="s">
        <v>119</v>
      </c>
      <c r="F21" s="54" t="s">
        <v>120</v>
      </c>
      <c r="G21" s="54" t="s">
        <v>121</v>
      </c>
      <c r="L21" s="54" t="s">
        <v>67</v>
      </c>
      <c r="M21" s="54" t="s">
        <v>119</v>
      </c>
      <c r="N21" s="54" t="s">
        <v>120</v>
      </c>
      <c r="O21" s="54" t="s">
        <v>121</v>
      </c>
    </row>
    <row r="22" spans="1:16" ht="20.100000000000001" customHeight="1" x14ac:dyDescent="0.25">
      <c r="D22" s="55" t="str">
        <f>'Input - Dairy'!$D$78</f>
        <v>Anaerobic lagoon</v>
      </c>
      <c r="E22" s="55" t="e">
        <f>'4.1.1.3-4 Direct N20'!$E$173</f>
        <v>#REF!</v>
      </c>
      <c r="F22" s="55" t="e">
        <f>'4.1.1.3-4 Direct N20'!$F$173</f>
        <v>#REF!</v>
      </c>
      <c r="G22" s="55" t="e">
        <f>'4.1.1.3-4 Direct N20'!$G$173</f>
        <v>#REF!</v>
      </c>
      <c r="H22" s="2" t="s">
        <v>174</v>
      </c>
      <c r="L22" s="55" t="str">
        <f>'Input - Dairy'!$D$78</f>
        <v>Anaerobic lagoon</v>
      </c>
      <c r="M22" s="55" t="e">
        <f>'4.1.1.3-4 Direct N20'!$M$173</f>
        <v>#REF!</v>
      </c>
      <c r="N22" s="55" t="e">
        <f>'4.1.1.3-4 Direct N20'!$N$173</f>
        <v>#REF!</v>
      </c>
      <c r="O22" s="55" t="e">
        <f>'4.1.1.3-4 Direct N20'!$O$173</f>
        <v>#REF!</v>
      </c>
      <c r="P22" s="2" t="s">
        <v>174</v>
      </c>
    </row>
    <row r="23" spans="1:16" ht="20.100000000000001" customHeight="1" x14ac:dyDescent="0.25">
      <c r="D23" s="55" t="str">
        <f>'Input - Dairy'!$D$79</f>
        <v>Were solids separated from Anaerobic lagoon?</v>
      </c>
      <c r="E23" s="55" t="e">
        <f>'4.1.1.3-4 Direct N20'!$E$174</f>
        <v>#REF!</v>
      </c>
      <c r="F23" s="55" t="e">
        <f>'4.1.1.3-4 Direct N20'!$F$174</f>
        <v>#REF!</v>
      </c>
      <c r="G23" s="55" t="e">
        <f>'4.1.1.3-4 Direct N20'!$G$174</f>
        <v>#REF!</v>
      </c>
      <c r="H23" s="2" t="s">
        <v>174</v>
      </c>
      <c r="L23" s="55" t="str">
        <f>'Input - Dairy'!$D$79</f>
        <v>Were solids separated from Anaerobic lagoon?</v>
      </c>
      <c r="M23" s="55" t="e">
        <f>'4.1.1.3-4 Direct N20'!$M$174</f>
        <v>#REF!</v>
      </c>
      <c r="N23" s="55" t="e">
        <f>'4.1.1.3-4 Direct N20'!$N$174</f>
        <v>#REF!</v>
      </c>
      <c r="O23" s="55" t="e">
        <f>'4.1.1.3-4 Direct N20'!$O$174</f>
        <v>#REF!</v>
      </c>
      <c r="P23" s="2" t="s">
        <v>174</v>
      </c>
    </row>
    <row r="24" spans="1:16" ht="20.100000000000001" customHeight="1" x14ac:dyDescent="0.25">
      <c r="D24" s="55" t="str">
        <f>'Input - Dairy'!$D$84</f>
        <v>Were solids separated from Sump and dispersal system?</v>
      </c>
      <c r="E24" s="55" t="e">
        <f>'4.1.1.3-4 Direct N20'!$E$129</f>
        <v>#REF!</v>
      </c>
      <c r="F24" s="55" t="e">
        <f>'4.1.1.3-4 Direct N20'!$F$129</f>
        <v>#REF!</v>
      </c>
      <c r="G24" s="55" t="e">
        <f>'4.1.1.3-4 Direct N20'!$G$129</f>
        <v>#REF!</v>
      </c>
      <c r="H24" s="2" t="s">
        <v>174</v>
      </c>
      <c r="L24" s="55" t="str">
        <f>'Input - Dairy'!$D$84</f>
        <v>Were solids separated from Sump and dispersal system?</v>
      </c>
      <c r="M24" s="55" t="e">
        <f>'4.1.1.3-4 Direct N20'!$M$129</f>
        <v>#REF!</v>
      </c>
      <c r="N24" s="55" t="e">
        <f>'4.1.1.3-4 Direct N20'!$N$129</f>
        <v>#REF!</v>
      </c>
      <c r="O24" s="55" t="e">
        <f>'4.1.1.3-4 Direct N20'!$O$129</f>
        <v>#REF!</v>
      </c>
      <c r="P24" s="2" t="s">
        <v>174</v>
      </c>
    </row>
    <row r="25" spans="1:16" ht="20.100000000000001" customHeight="1" x14ac:dyDescent="0.25"/>
    <row r="26" spans="1:16" ht="20.100000000000001" customHeight="1" x14ac:dyDescent="0.25">
      <c r="D26" s="104" t="s">
        <v>177</v>
      </c>
    </row>
    <row r="27" spans="1:16" ht="20.100000000000001" customHeight="1" x14ac:dyDescent="0.25">
      <c r="D27" s="103" t="s">
        <v>144</v>
      </c>
    </row>
    <row r="28" spans="1:16" ht="20.100000000000001" customHeight="1" x14ac:dyDescent="0.25">
      <c r="D28" s="118" t="s">
        <v>67</v>
      </c>
      <c r="E28" s="118" t="s">
        <v>145</v>
      </c>
    </row>
    <row r="29" spans="1:16" ht="20.100000000000001" customHeight="1" x14ac:dyDescent="0.25">
      <c r="D29" s="55" t="str">
        <f>'Input - Dairy'!$D$72</f>
        <v>Total manure sent to MMS (Must equal 100%)  (Method 2)</v>
      </c>
      <c r="E29" s="55" t="e">
        <f>_xlfn.XLOOKUP(D29, #REF!, #REF!)</f>
        <v>#REF!</v>
      </c>
      <c r="F29" s="2" t="s">
        <v>182</v>
      </c>
    </row>
    <row r="30" spans="1:16" ht="20.100000000000001" customHeight="1" x14ac:dyDescent="0.25">
      <c r="D30" s="55" t="str">
        <f>'Input - Dairy'!$D$78</f>
        <v>Anaerobic lagoon</v>
      </c>
      <c r="E30" s="55" t="e">
        <f>_xlfn.XLOOKUP($D$30, #REF!, #REF!)</f>
        <v>#REF!</v>
      </c>
      <c r="F30" s="2" t="s">
        <v>182</v>
      </c>
    </row>
    <row r="31" spans="1:16" ht="20.100000000000001" customHeight="1" x14ac:dyDescent="0.25">
      <c r="D31" s="55" t="str">
        <f>'Input - Dairy'!$D$79</f>
        <v>Were solids separated from Anaerobic lagoon?</v>
      </c>
      <c r="E31" s="55" t="e">
        <f>_xlfn.XLOOKUP($D$31, #REF!, #REF!)</f>
        <v>#REF!</v>
      </c>
      <c r="F31" s="2" t="s">
        <v>182</v>
      </c>
    </row>
    <row r="32" spans="1:16" ht="20.100000000000001" customHeight="1" x14ac:dyDescent="0.25">
      <c r="D32" s="55" t="str">
        <f>'Input - Dairy'!$D$84</f>
        <v>Were solids separated from Sump and dispersal system?</v>
      </c>
      <c r="E32" s="55" t="e">
        <f>_xlfn.XLOOKUP($D$32, #REF!, #REF!)</f>
        <v>#REF!</v>
      </c>
      <c r="F32" s="2" t="s">
        <v>182</v>
      </c>
    </row>
    <row r="33" spans="4:8" ht="20.100000000000001" customHeight="1" x14ac:dyDescent="0.25"/>
    <row r="34" spans="4:8" ht="20.100000000000001" customHeight="1" x14ac:dyDescent="0.25">
      <c r="D34" s="104" t="s">
        <v>176</v>
      </c>
    </row>
    <row r="35" spans="4:8" ht="20.100000000000001" customHeight="1" x14ac:dyDescent="0.25">
      <c r="D35" s="103" t="s">
        <v>178</v>
      </c>
    </row>
    <row r="36" spans="4:8" ht="20.100000000000001" customHeight="1" x14ac:dyDescent="0.25">
      <c r="D36" s="118" t="s">
        <v>67</v>
      </c>
      <c r="E36" s="118" t="s">
        <v>145</v>
      </c>
    </row>
    <row r="37" spans="4:8" ht="20.100000000000001" customHeight="1" x14ac:dyDescent="0.25">
      <c r="D37" s="55" t="str">
        <f>'Input - Dairy'!$D$72</f>
        <v>Total manure sent to MMS (Must equal 100%)  (Method 2)</v>
      </c>
      <c r="E37" s="55" t="e">
        <f>_xlfn.XLOOKUP(D37, #REF!, #REF!)</f>
        <v>#REF!</v>
      </c>
      <c r="F37" s="2" t="s">
        <v>183</v>
      </c>
    </row>
    <row r="38" spans="4:8" ht="20.100000000000001" customHeight="1" x14ac:dyDescent="0.25">
      <c r="D38" s="55" t="str">
        <f>'Input - Dairy'!$D$78</f>
        <v>Anaerobic lagoon</v>
      </c>
      <c r="E38" s="55" t="e">
        <f>_xlfn.XLOOKUP(D38, #REF!, #REF!)</f>
        <v>#REF!</v>
      </c>
      <c r="F38" s="2" t="s">
        <v>183</v>
      </c>
    </row>
    <row r="39" spans="4:8" ht="20.100000000000001" customHeight="1" x14ac:dyDescent="0.25">
      <c r="D39" s="55" t="str">
        <f>'Input - Dairy'!$D$79</f>
        <v>Were solids separated from Anaerobic lagoon?</v>
      </c>
      <c r="E39" s="55" t="e">
        <f>_xlfn.XLOOKUP(D39, #REF!, #REF!)</f>
        <v>#REF!</v>
      </c>
      <c r="F39" s="2" t="s">
        <v>183</v>
      </c>
    </row>
    <row r="40" spans="4:8" ht="20.100000000000001" customHeight="1" x14ac:dyDescent="0.25">
      <c r="D40" s="55" t="str">
        <f>'Input - Dairy'!$D$84</f>
        <v>Were solids separated from Sump and dispersal system?</v>
      </c>
      <c r="E40" s="55" t="e">
        <f>_xlfn.XLOOKUP(D40, #REF!, #REF!)</f>
        <v>#REF!</v>
      </c>
      <c r="F40" s="2" t="s">
        <v>183</v>
      </c>
    </row>
    <row r="41" spans="4:8" ht="20.100000000000001" customHeight="1" x14ac:dyDescent="0.25"/>
    <row r="42" spans="4:8" ht="20.100000000000001" customHeight="1" x14ac:dyDescent="0.25">
      <c r="D42" s="104" t="s">
        <v>179</v>
      </c>
    </row>
    <row r="43" spans="4:8" ht="20.100000000000001" customHeight="1" x14ac:dyDescent="0.25">
      <c r="D43" s="103" t="s">
        <v>180</v>
      </c>
    </row>
    <row r="44" spans="4:8" ht="20.100000000000001" customHeight="1" x14ac:dyDescent="0.25">
      <c r="D44" s="54" t="s">
        <v>67</v>
      </c>
      <c r="E44" s="54" t="s">
        <v>119</v>
      </c>
      <c r="F44" s="54" t="s">
        <v>120</v>
      </c>
      <c r="G44" s="54" t="s">
        <v>121</v>
      </c>
    </row>
    <row r="45" spans="4:8" ht="20.100000000000001" customHeight="1" x14ac:dyDescent="0.25">
      <c r="D45" s="55" t="str">
        <f>'Input - Dairy'!$D$78</f>
        <v>Anaerobic lagoon</v>
      </c>
      <c r="E45" s="55">
        <f>'Input - Dairy'!E116</f>
        <v>0.5</v>
      </c>
      <c r="F45" s="55">
        <f>'Input - Dairy'!F116</f>
        <v>0.5</v>
      </c>
      <c r="G45" s="55">
        <f>'Input - Dairy'!G116</f>
        <v>0.5</v>
      </c>
      <c r="H45" s="2" t="s">
        <v>98</v>
      </c>
    </row>
    <row r="46" spans="4:8" ht="20.100000000000001" customHeight="1" x14ac:dyDescent="0.25">
      <c r="D46" s="55" t="str">
        <f>'Input - Dairy'!$D$79</f>
        <v>Were solids separated from Anaerobic lagoon?</v>
      </c>
      <c r="E46" s="55">
        <f>'Input - Dairy'!E121</f>
        <v>0.5</v>
      </c>
      <c r="F46" s="55">
        <f>'Input - Dairy'!F121</f>
        <v>0.5</v>
      </c>
      <c r="G46" s="55">
        <f>'Input - Dairy'!G121</f>
        <v>0.5</v>
      </c>
      <c r="H46" s="2" t="s">
        <v>98</v>
      </c>
    </row>
    <row r="47" spans="4:8" ht="20.100000000000001" customHeight="1" x14ac:dyDescent="0.25">
      <c r="D47" s="55" t="str">
        <f>'Input - Dairy'!$D$84</f>
        <v>Were solids separated from Sump and dispersal system?</v>
      </c>
      <c r="E47" s="55">
        <f>'Input - Dairy'!E126</f>
        <v>0.5</v>
      </c>
      <c r="F47" s="55">
        <f>'Input - Dairy'!F126</f>
        <v>0.5</v>
      </c>
      <c r="G47" s="55">
        <f>'Input - Dairy'!G126</f>
        <v>0.5</v>
      </c>
      <c r="H47" s="2" t="s">
        <v>98</v>
      </c>
    </row>
    <row r="48" spans="4:8" ht="20.100000000000001" customHeight="1" x14ac:dyDescent="0.25"/>
    <row r="49" spans="3:17" ht="20.100000000000001" customHeight="1" x14ac:dyDescent="0.25">
      <c r="D49" s="104" t="s">
        <v>187</v>
      </c>
      <c r="L49" s="104" t="s">
        <v>201</v>
      </c>
    </row>
    <row r="50" spans="3:17" ht="20.100000000000001" customHeight="1" x14ac:dyDescent="0.25">
      <c r="D50" s="103" t="s">
        <v>203</v>
      </c>
      <c r="L50" s="103" t="s">
        <v>202</v>
      </c>
    </row>
    <row r="51" spans="3:17" ht="20.100000000000001" customHeight="1" x14ac:dyDescent="0.25">
      <c r="D51" s="54" t="s">
        <v>67</v>
      </c>
      <c r="E51" s="54" t="s">
        <v>119</v>
      </c>
      <c r="F51" s="54" t="s">
        <v>120</v>
      </c>
      <c r="G51" s="54" t="s">
        <v>121</v>
      </c>
      <c r="L51" s="54" t="s">
        <v>67</v>
      </c>
      <c r="M51" s="54" t="s">
        <v>119</v>
      </c>
      <c r="N51" s="54" t="s">
        <v>120</v>
      </c>
      <c r="O51" s="54" t="s">
        <v>121</v>
      </c>
    </row>
    <row r="52" spans="3:17" ht="20.100000000000001" customHeight="1" x14ac:dyDescent="0.25">
      <c r="D52" s="55" t="str">
        <f>'Input - Dairy'!$D$78</f>
        <v>Anaerobic lagoon</v>
      </c>
      <c r="E52" s="55" t="e" cm="1">
        <f t="array" ref="E52">MMS_Feedlot_ManureAppliedToSoils_Equations.VEERG_4_1_1_9__1_MassOfNitrogenAppliedToSoilsScope1(E22,$E$30,$E$38,E45)</f>
        <v>#REF!</v>
      </c>
      <c r="F52" s="55" t="e" cm="1">
        <f t="array" ref="F52">MMS_Feedlot_ManureAppliedToSoils_Equations.VEERG_4_1_1_9__1_MassOfNitrogenAppliedToSoilsScope1(F22,$E$30,$E$38,F45)</f>
        <v>#REF!</v>
      </c>
      <c r="G52" s="55" t="e" cm="1">
        <f t="array" ref="G52">MMS_Feedlot_ManureAppliedToSoils_Equations.VEERG_4_1_1_9__1_MassOfNitrogenAppliedToSoilsScope1(G22,$E$30,$E$38,G45)</f>
        <v>#REF!</v>
      </c>
      <c r="H52" s="2" t="str">
        <f>$E$12</f>
        <v>kg N</v>
      </c>
      <c r="L52" s="55" t="str">
        <f>'Input - Dairy'!$D$78</f>
        <v>Anaerobic lagoon</v>
      </c>
      <c r="M52" s="55" t="e" cm="1">
        <f t="array" ref="M52">MMS_Feedlot_ManureAppliedToSoils_Equations.VEERG_4_1_1_9__1_MassOfNitrogenAppliedToSoilsScope1(M22,$E$30,$E$38,E45)</f>
        <v>#REF!</v>
      </c>
      <c r="N52" s="55" t="e" cm="1">
        <f t="array" ref="N52">MMS_Feedlot_ManureAppliedToSoils_Equations.VEERG_4_1_1_9__1_MassOfNitrogenAppliedToSoilsScope1(N22,$E$30,$E$38,F45)</f>
        <v>#REF!</v>
      </c>
      <c r="O52" s="55" t="e" cm="1">
        <f t="array" ref="O52">MMS_Feedlot_ManureAppliedToSoils_Equations.VEERG_4_1_1_9__1_MassOfNitrogenAppliedToSoilsScope1(O22,$E$30,$E$38,G45)</f>
        <v>#REF!</v>
      </c>
      <c r="P52" s="2" t="str">
        <f>$E$12</f>
        <v>kg N</v>
      </c>
    </row>
    <row r="53" spans="3:17" ht="20.100000000000001" customHeight="1" x14ac:dyDescent="0.25">
      <c r="D53" s="55" t="str">
        <f>'Input - Dairy'!$D$79</f>
        <v>Were solids separated from Anaerobic lagoon?</v>
      </c>
      <c r="E53" s="55" t="e" cm="1">
        <f t="array" ref="E53">MMS_Feedlot_ManureAppliedToSoils_Equations.VEERG_4_1_1_9__1_MassOfNitrogenAppliedToSoilsScope1(E23,$E$31,$E$39,E46)</f>
        <v>#REF!</v>
      </c>
      <c r="F53" s="55" t="e" cm="1">
        <f t="array" ref="F53">MMS_Feedlot_ManureAppliedToSoils_Equations.VEERG_4_1_1_9__1_MassOfNitrogenAppliedToSoilsScope1(F23,$E$31,$E$39,F46)</f>
        <v>#REF!</v>
      </c>
      <c r="G53" s="55" t="e" cm="1">
        <f t="array" ref="G53">MMS_Feedlot_ManureAppliedToSoils_Equations.VEERG_4_1_1_9__1_MassOfNitrogenAppliedToSoilsScope1(G23,$E$31,$E$39,G46)</f>
        <v>#REF!</v>
      </c>
      <c r="H53" s="2" t="str">
        <f>$E$12</f>
        <v>kg N</v>
      </c>
      <c r="L53" s="55" t="str">
        <f>'Input - Dairy'!$D$79</f>
        <v>Were solids separated from Anaerobic lagoon?</v>
      </c>
      <c r="M53" s="55" t="e" cm="1">
        <f t="array" ref="M53">MMS_Feedlot_ManureAppliedToSoils_Equations.VEERG_4_1_1_9__1_MassOfNitrogenAppliedToSoilsScope1(M23,$E$31,$E$39,E46)</f>
        <v>#REF!</v>
      </c>
      <c r="N53" s="55" t="e" cm="1">
        <f t="array" ref="N53">MMS_Feedlot_ManureAppliedToSoils_Equations.VEERG_4_1_1_9__1_MassOfNitrogenAppliedToSoilsScope1(N23,$E$31,$E$39,F46)</f>
        <v>#REF!</v>
      </c>
      <c r="O53" s="55" t="e" cm="1">
        <f t="array" ref="O53">MMS_Feedlot_ManureAppliedToSoils_Equations.VEERG_4_1_1_9__1_MassOfNitrogenAppliedToSoilsScope1(O23,$E$31,$E$39,G46)</f>
        <v>#REF!</v>
      </c>
      <c r="P53" s="2" t="str">
        <f>$E$12</f>
        <v>kg N</v>
      </c>
    </row>
    <row r="54" spans="3:17" ht="20.100000000000001" customHeight="1" x14ac:dyDescent="0.25">
      <c r="D54" s="55" t="str">
        <f>'Input - Dairy'!$D$84</f>
        <v>Were solids separated from Sump and dispersal system?</v>
      </c>
      <c r="E54" s="55" t="e" cm="1">
        <f t="array" ref="E54">MMS_Feedlot_ManureAppliedToSoils_Equations.VEERG_4_1_1_9__1_MassOfNitrogenAppliedToSoilsScope1(E24,$E$32,$E$40,E47)</f>
        <v>#REF!</v>
      </c>
      <c r="F54" s="55" t="e" cm="1">
        <f t="array" ref="F54">MMS_Feedlot_ManureAppliedToSoils_Equations.VEERG_4_1_1_9__1_MassOfNitrogenAppliedToSoilsScope1(F24,$E$32,$E$40,F47)</f>
        <v>#REF!</v>
      </c>
      <c r="G54" s="55" t="e" cm="1">
        <f t="array" ref="G54">MMS_Feedlot_ManureAppliedToSoils_Equations.VEERG_4_1_1_9__1_MassOfNitrogenAppliedToSoilsScope1(G24,$E$32,$E$40,G47)</f>
        <v>#REF!</v>
      </c>
      <c r="H54" s="2" t="str">
        <f>$E$12</f>
        <v>kg N</v>
      </c>
      <c r="L54" s="55" t="str">
        <f>'Input - Dairy'!$D$84</f>
        <v>Were solids separated from Sump and dispersal system?</v>
      </c>
      <c r="M54" s="55" t="e" cm="1">
        <f t="array" ref="M54">MMS_Feedlot_ManureAppliedToSoils_Equations.VEERG_4_1_1_9__1_MassOfNitrogenAppliedToSoilsScope1(M24,$E$32,$E$40,E47)</f>
        <v>#REF!</v>
      </c>
      <c r="N54" s="55" t="e" cm="1">
        <f t="array" ref="N54">MMS_Feedlot_ManureAppliedToSoils_Equations.VEERG_4_1_1_9__1_MassOfNitrogenAppliedToSoilsScope1(N24,$E$32,$E$40,F47)</f>
        <v>#REF!</v>
      </c>
      <c r="O54" s="55" t="e" cm="1">
        <f t="array" ref="O54">MMS_Feedlot_ManureAppliedToSoils_Equations.VEERG_4_1_1_9__1_MassOfNitrogenAppliedToSoilsScope1(O24,$E$32,$E$40,G47)</f>
        <v>#REF!</v>
      </c>
      <c r="P54" s="2" t="str">
        <f>$E$12</f>
        <v>kg N</v>
      </c>
    </row>
    <row r="55" spans="3:17" ht="20.100000000000001" customHeight="1" x14ac:dyDescent="0.25"/>
    <row r="56" spans="3:17" ht="20.100000000000001" customHeight="1" x14ac:dyDescent="0.25">
      <c r="D56" s="108" t="s">
        <v>188</v>
      </c>
      <c r="E56" s="109" t="e">
        <f>SUM(E52:G54)</f>
        <v>#REF!</v>
      </c>
      <c r="F56" s="110" t="str">
        <f>$E$12</f>
        <v>kg N</v>
      </c>
      <c r="L56" s="108" t="s">
        <v>188</v>
      </c>
      <c r="M56" s="109" t="e">
        <f>SUM(M52:O54)</f>
        <v>#REF!</v>
      </c>
      <c r="N56" s="110" t="str">
        <f>$E$12</f>
        <v>kg N</v>
      </c>
    </row>
    <row r="57" spans="3:17" ht="20.100000000000001" customHeight="1" x14ac:dyDescent="0.25"/>
    <row r="58" spans="3:17" ht="20.100000000000001" customHeight="1" x14ac:dyDescent="0.25"/>
    <row r="59" spans="3:17" ht="20.100000000000001" customHeight="1" x14ac:dyDescent="0.25">
      <c r="C59" s="48"/>
      <c r="D59" s="48"/>
      <c r="E59" s="48"/>
      <c r="F59" s="48"/>
      <c r="G59" s="48"/>
      <c r="H59" s="48"/>
      <c r="I59" s="48"/>
      <c r="K59" s="48"/>
      <c r="L59" s="48"/>
      <c r="M59" s="48"/>
      <c r="N59" s="48"/>
      <c r="O59" s="48"/>
      <c r="P59" s="48"/>
      <c r="Q59" s="48"/>
    </row>
    <row r="60" spans="3:17" ht="20.100000000000001" customHeight="1" x14ac:dyDescent="0.25">
      <c r="D60" s="6" t="str" cm="1">
        <f t="array" ref="D60">MMS_Feedlot_ManureAppliedToSoils_Equations.VEERG_4_1_1_9__2_MassOfNitrogenAppliedToSoilsScope3_Title()</f>
        <v>Mass of nitrogen applied to soils for scope 3 emissions</v>
      </c>
    </row>
    <row r="61" spans="3:17" ht="20.100000000000001" customHeight="1" x14ac:dyDescent="0.25">
      <c r="D61" s="5" t="str" cm="1">
        <f t="array" ref="D61">MMS_Feedlot_ManureAppliedToSoils_Equations.VEERG_4_1_1_9__2_MassOfNitrogenAppliedToSoilsScope3_Source()</f>
        <v>VEERG 2026: 4.1.1.9, Equation (2)</v>
      </c>
    </row>
    <row r="62" spans="3:17" ht="20.100000000000001" customHeight="1" x14ac:dyDescent="0.25">
      <c r="D62" s="13" t="s">
        <v>26</v>
      </c>
      <c r="E62" s="13" t="str" cm="1">
        <f t="array" aca="1" ref="E62" ca="1">Common_InputFunctions.Utility_DisplayFunctionName(E77)</f>
        <v>=MMS_Feedlot_ManureAppliedToSoils_Equations.VEERG_4_1_1_9__2_MassOfNitrogenAppliedToSoilsScope3</v>
      </c>
    </row>
    <row r="63" spans="3:17" ht="20.100000000000001" customHeight="1" x14ac:dyDescent="0.25"/>
    <row r="64" spans="3:17" ht="20.100000000000001" customHeight="1" x14ac:dyDescent="0.25">
      <c r="D64" s="6"/>
    </row>
    <row r="65" spans="4:16" ht="20.100000000000001" customHeight="1" x14ac:dyDescent="0.25"/>
    <row r="66" spans="4:16" ht="20.100000000000001" customHeight="1" x14ac:dyDescent="0.25">
      <c r="D66" s="56" t="s">
        <v>29</v>
      </c>
      <c r="E66" s="1" t="str" cm="1">
        <f t="array" ref="E66">MMS_Feedlot_ManureAppliedToSoils_Equations.VEERG_4_1_1_9__2_MassOfNitrogenAppliedToSoilsScope3_Variable()</f>
        <v>MNSoil_scope3</v>
      </c>
    </row>
    <row r="67" spans="4:16" ht="20.100000000000001" customHeight="1" x14ac:dyDescent="0.25">
      <c r="D67" s="56" t="s">
        <v>19</v>
      </c>
      <c r="E67" s="57" t="str" cm="1">
        <f t="array" ref="E67">MMS_Feedlot_ManureAppliedToSoils_Equations.VEERG_4_1_1_9__2_MassOfNitrogenAppliedToSoilsScope3_Unit()</f>
        <v>kg N</v>
      </c>
    </row>
    <row r="68" spans="4:16" ht="20.100000000000001" customHeight="1" x14ac:dyDescent="0.25"/>
    <row r="69" spans="4:16" ht="20.100000000000001" customHeight="1" x14ac:dyDescent="0.25">
      <c r="D69" s="60" t="str" cm="1">
        <f t="array" ref="D69:E72">MMS_Feedlot_ManureAppliedToSoils_Equations.VEERG_4_1_1_9__2_MassOfNitrogenAppliedToSoilsScope3_Arguments()</f>
        <v>MN_jmT23</v>
      </c>
      <c r="E69" s="61" t="str">
        <v>mass of N in secondary and tertiary treatment MMS stages as calculated for manure management : kg N</v>
      </c>
      <c r="F69" s="105"/>
      <c r="G69" s="62"/>
      <c r="H69" s="60" t="str">
        <f>"See " &amp; $D$19</f>
        <v>See M1_Table_MN_j_m_T-2-3</v>
      </c>
    </row>
    <row r="70" spans="4:16" ht="20.100000000000001" customHeight="1" x14ac:dyDescent="0.25">
      <c r="D70" s="60" t="str">
        <v>EF_mT23</v>
      </c>
      <c r="E70" s="61" t="str">
        <v>nitrous oxide emission factor for each MMS : kg N2O-N/kg N</v>
      </c>
      <c r="F70" s="105"/>
      <c r="G70" s="62"/>
      <c r="H70" s="60" t="str">
        <f>"See " &amp; $D$26</f>
        <v>See Table_EF_j_m_T-2-3</v>
      </c>
    </row>
    <row r="71" spans="4:16" ht="20.100000000000001" customHeight="1" x14ac:dyDescent="0.25">
      <c r="D71" s="60" t="str">
        <v>FracGASM_mT23</v>
      </c>
      <c r="E71" s="61" t="str">
        <v>fraction of animal waste N volatilised in each MMS for each cattle group : (kg NH3-N + NOx-N)/kg N</v>
      </c>
      <c r="F71" s="105"/>
      <c r="G71" s="62"/>
      <c r="H71" s="60" t="str">
        <f>"See " &amp; $D$34</f>
        <v>See Table_FracGASM_m_T-2-3</v>
      </c>
    </row>
    <row r="72" spans="4:16" ht="20.100000000000001" customHeight="1" x14ac:dyDescent="0.25">
      <c r="D72" s="60" t="str">
        <v>PF</v>
      </c>
      <c r="E72" s="61" t="str">
        <v>fraction of manure applied to soil within the feedlot boundary : fraction</v>
      </c>
      <c r="F72" s="105"/>
      <c r="G72" s="62"/>
      <c r="H72" s="60" t="str">
        <f>"See " &amp; $D$42</f>
        <v>See Table_PF</v>
      </c>
    </row>
    <row r="73" spans="4:16" ht="20.100000000000001" customHeight="1" x14ac:dyDescent="0.25"/>
    <row r="74" spans="4:16" ht="20.100000000000001" customHeight="1" x14ac:dyDescent="0.25">
      <c r="D74" s="104" t="s">
        <v>192</v>
      </c>
      <c r="L74" s="104" t="s">
        <v>197</v>
      </c>
    </row>
    <row r="75" spans="4:16" ht="20.100000000000001" customHeight="1" x14ac:dyDescent="0.25">
      <c r="D75" s="103" t="s">
        <v>200</v>
      </c>
      <c r="L75" s="103" t="s">
        <v>198</v>
      </c>
    </row>
    <row r="76" spans="4:16" ht="20.100000000000001" customHeight="1" x14ac:dyDescent="0.25">
      <c r="D76" s="54" t="s">
        <v>67</v>
      </c>
      <c r="E76" s="54" t="s">
        <v>119</v>
      </c>
      <c r="F76" s="54" t="s">
        <v>120</v>
      </c>
      <c r="G76" s="54" t="s">
        <v>121</v>
      </c>
      <c r="L76" s="54" t="s">
        <v>67</v>
      </c>
      <c r="M76" s="54" t="s">
        <v>119</v>
      </c>
      <c r="N76" s="54" t="s">
        <v>120</v>
      </c>
      <c r="O76" s="54" t="s">
        <v>121</v>
      </c>
    </row>
    <row r="77" spans="4:16" ht="20.100000000000001" customHeight="1" x14ac:dyDescent="0.25">
      <c r="D77" s="55" t="str">
        <f>'Input - Dairy'!$D$78</f>
        <v>Anaerobic lagoon</v>
      </c>
      <c r="E77" s="55" t="e" cm="1">
        <f t="array" ref="E77">MMS_Feedlot_ManureAppliedToSoils_Equations.VEERG_4_1_1_9__2_MassOfNitrogenAppliedToSoilsScope3(E22,$E30,$E38,E45)</f>
        <v>#REF!</v>
      </c>
      <c r="F77" s="55" t="e" cm="1">
        <f t="array" ref="F77">MMS_Feedlot_ManureAppliedToSoils_Equations.VEERG_4_1_1_9__2_MassOfNitrogenAppliedToSoilsScope3(F22,$E30,$E38,F45)</f>
        <v>#REF!</v>
      </c>
      <c r="G77" s="55" t="e" cm="1">
        <f t="array" ref="G77">MMS_Feedlot_ManureAppliedToSoils_Equations.VEERG_4_1_1_9__2_MassOfNitrogenAppliedToSoilsScope3(G22,$E30,$E38,G45)</f>
        <v>#REF!</v>
      </c>
      <c r="H77" s="2" t="str">
        <f>$E$12</f>
        <v>kg N</v>
      </c>
      <c r="L77" s="55" t="str">
        <f>'Input - Dairy'!$D$78</f>
        <v>Anaerobic lagoon</v>
      </c>
      <c r="M77" s="55" t="e" cm="1">
        <f t="array" ref="M77">MMS_Feedlot_ManureAppliedToSoils_Equations.VEERG_4_1_1_9__2_MassOfNitrogenAppliedToSoilsScope3(M22,$E30,$E38,E45)</f>
        <v>#REF!</v>
      </c>
      <c r="N77" s="55" t="e" cm="1">
        <f t="array" ref="N77">MMS_Feedlot_ManureAppliedToSoils_Equations.VEERG_4_1_1_9__2_MassOfNitrogenAppliedToSoilsScope3(N22,$E30,$E38,F45)</f>
        <v>#REF!</v>
      </c>
      <c r="O77" s="55" t="e" cm="1">
        <f t="array" ref="O77">MMS_Feedlot_ManureAppliedToSoils_Equations.VEERG_4_1_1_9__2_MassOfNitrogenAppliedToSoilsScope3(O22,$E30,$E38,G45)</f>
        <v>#REF!</v>
      </c>
      <c r="P77" s="2" t="str">
        <f>$E$12</f>
        <v>kg N</v>
      </c>
    </row>
    <row r="78" spans="4:16" ht="20.100000000000001" customHeight="1" x14ac:dyDescent="0.25">
      <c r="D78" s="55" t="str">
        <f>'Input - Dairy'!$D$79</f>
        <v>Were solids separated from Anaerobic lagoon?</v>
      </c>
      <c r="E78" s="55" t="e" cm="1">
        <f t="array" ref="E78">MMS_Feedlot_ManureAppliedToSoils_Equations.VEERG_4_1_1_9__2_MassOfNitrogenAppliedToSoilsScope3(E23,$E31,$E39,E46)</f>
        <v>#REF!</v>
      </c>
      <c r="F78" s="55" t="e" cm="1">
        <f t="array" ref="F78">MMS_Feedlot_ManureAppliedToSoils_Equations.VEERG_4_1_1_9__2_MassOfNitrogenAppliedToSoilsScope3(F23,$E31,$E39,F46)</f>
        <v>#REF!</v>
      </c>
      <c r="G78" s="55" t="e" cm="1">
        <f t="array" ref="G78">MMS_Feedlot_ManureAppliedToSoils_Equations.VEERG_4_1_1_9__2_MassOfNitrogenAppliedToSoilsScope3(G23,$E31,$E39,G46)</f>
        <v>#REF!</v>
      </c>
      <c r="H78" s="2" t="str">
        <f>$E$12</f>
        <v>kg N</v>
      </c>
      <c r="L78" s="55" t="str">
        <f>'Input - Dairy'!$D$79</f>
        <v>Were solids separated from Anaerobic lagoon?</v>
      </c>
      <c r="M78" s="55" t="e" cm="1">
        <f t="array" ref="M78">MMS_Feedlot_ManureAppliedToSoils_Equations.VEERG_4_1_1_9__2_MassOfNitrogenAppliedToSoilsScope3(M23,$E31,$E39,E46)</f>
        <v>#REF!</v>
      </c>
      <c r="N78" s="55" t="e" cm="1">
        <f t="array" ref="N78">MMS_Feedlot_ManureAppliedToSoils_Equations.VEERG_4_1_1_9__2_MassOfNitrogenAppliedToSoilsScope3(N23,$E31,$E39,F46)</f>
        <v>#REF!</v>
      </c>
      <c r="O78" s="55" t="e" cm="1">
        <f t="array" ref="O78">MMS_Feedlot_ManureAppliedToSoils_Equations.VEERG_4_1_1_9__2_MassOfNitrogenAppliedToSoilsScope3(O23,$E31,$E39,G46)</f>
        <v>#REF!</v>
      </c>
      <c r="P78" s="2" t="str">
        <f>$E$12</f>
        <v>kg N</v>
      </c>
    </row>
    <row r="79" spans="4:16" ht="20.100000000000001" customHeight="1" x14ac:dyDescent="0.25">
      <c r="D79" s="55" t="str">
        <f>'Input - Dairy'!$D$84</f>
        <v>Were solids separated from Sump and dispersal system?</v>
      </c>
      <c r="E79" s="55" t="e" cm="1">
        <f t="array" ref="E79">MMS_Feedlot_ManureAppliedToSoils_Equations.VEERG_4_1_1_9__2_MassOfNitrogenAppliedToSoilsScope3(E24,$E32,$E40,E47)</f>
        <v>#REF!</v>
      </c>
      <c r="F79" s="55" t="e" cm="1">
        <f t="array" ref="F79">MMS_Feedlot_ManureAppliedToSoils_Equations.VEERG_4_1_1_9__2_MassOfNitrogenAppliedToSoilsScope3(F24,$E32,$E40,F47)</f>
        <v>#REF!</v>
      </c>
      <c r="G79" s="55" t="e" cm="1">
        <f t="array" ref="G79">MMS_Feedlot_ManureAppliedToSoils_Equations.VEERG_4_1_1_9__2_MassOfNitrogenAppliedToSoilsScope3(G24,$E32,$E40,G47)</f>
        <v>#REF!</v>
      </c>
      <c r="H79" s="2" t="str">
        <f>$E$12</f>
        <v>kg N</v>
      </c>
      <c r="L79" s="55" t="str">
        <f>'Input - Dairy'!$D$84</f>
        <v>Were solids separated from Sump and dispersal system?</v>
      </c>
      <c r="M79" s="55" t="e" cm="1">
        <f t="array" ref="M79">MMS_Feedlot_ManureAppliedToSoils_Equations.VEERG_4_1_1_9__2_MassOfNitrogenAppliedToSoilsScope3(M24,$E32,$E40,E47)</f>
        <v>#REF!</v>
      </c>
      <c r="N79" s="55" t="e" cm="1">
        <f t="array" ref="N79">MMS_Feedlot_ManureAppliedToSoils_Equations.VEERG_4_1_1_9__2_MassOfNitrogenAppliedToSoilsScope3(N24,$E32,$E40,F47)</f>
        <v>#REF!</v>
      </c>
      <c r="O79" s="55" t="e" cm="1">
        <f t="array" ref="O79">MMS_Feedlot_ManureAppliedToSoils_Equations.VEERG_4_1_1_9__2_MassOfNitrogenAppliedToSoilsScope3(O24,$E32,$E40,G47)</f>
        <v>#REF!</v>
      </c>
      <c r="P79" s="2" t="str">
        <f>$E$12</f>
        <v>kg N</v>
      </c>
    </row>
    <row r="80" spans="4:16" ht="20.100000000000001" customHeight="1" x14ac:dyDescent="0.25"/>
    <row r="81" spans="3:17" ht="20.100000000000001" customHeight="1" x14ac:dyDescent="0.25">
      <c r="D81" s="108" t="s">
        <v>194</v>
      </c>
      <c r="E81" s="109" t="e">
        <f>SUM(E77:G79)</f>
        <v>#REF!</v>
      </c>
      <c r="F81" s="110" t="str">
        <f>$E$12</f>
        <v>kg N</v>
      </c>
      <c r="L81" s="108" t="s">
        <v>194</v>
      </c>
      <c r="M81" s="109" t="e">
        <f>SUM(M77:O79)</f>
        <v>#REF!</v>
      </c>
      <c r="N81" s="110" t="str">
        <f>$E$12</f>
        <v>kg N</v>
      </c>
    </row>
    <row r="82" spans="3:17" ht="20.100000000000001" customHeight="1" x14ac:dyDescent="0.25"/>
    <row r="83" spans="3:17" ht="20.100000000000001" customHeight="1" x14ac:dyDescent="0.25"/>
    <row r="84" spans="3:17" ht="20.100000000000001" customHeight="1" x14ac:dyDescent="0.25">
      <c r="C84" s="48"/>
      <c r="D84" s="48"/>
      <c r="E84" s="48"/>
      <c r="F84" s="48"/>
      <c r="G84" s="48"/>
      <c r="H84" s="48"/>
      <c r="I84" s="48"/>
      <c r="J84" s="123"/>
      <c r="K84" s="48"/>
      <c r="L84" s="48"/>
      <c r="M84" s="48"/>
      <c r="N84" s="48"/>
      <c r="O84" s="48"/>
      <c r="P84" s="48"/>
      <c r="Q84" s="48"/>
    </row>
    <row r="85" spans="3:17" ht="20.100000000000001" customHeight="1" x14ac:dyDescent="0.25">
      <c r="D85" s="120" t="str">
        <f>"Below are applications of " &amp; D61 &amp; " that are applied to the following contexts:"</f>
        <v>Below are applications of VEERG 2026: 4.1.1.9, Equation (2) that are applied to the following contexts:</v>
      </c>
      <c r="E85" s="95"/>
      <c r="F85" s="95"/>
      <c r="G85" s="95"/>
      <c r="H85" s="91"/>
    </row>
    <row r="86" spans="3:17" ht="20.100000000000001" customHeight="1" x14ac:dyDescent="0.25">
      <c r="D86" s="121" t="s">
        <v>213</v>
      </c>
      <c r="E86" s="119"/>
      <c r="F86" s="119"/>
      <c r="G86" s="119"/>
      <c r="H86" s="122"/>
    </row>
    <row r="87" spans="3:17" ht="20.100000000000001" customHeight="1" x14ac:dyDescent="0.25">
      <c r="D87" s="97" t="s">
        <v>214</v>
      </c>
      <c r="E87" s="94"/>
      <c r="F87" s="94"/>
      <c r="G87" s="94"/>
      <c r="H87" s="92"/>
    </row>
    <row r="88" spans="3:17" ht="20.100000000000001" customHeight="1" x14ac:dyDescent="0.25"/>
    <row r="89" spans="3:17" ht="20.100000000000001" customHeight="1" x14ac:dyDescent="0.25">
      <c r="D89" s="6" t="s">
        <v>210</v>
      </c>
    </row>
    <row r="90" spans="3:17" ht="20.100000000000001" customHeight="1" x14ac:dyDescent="0.25">
      <c r="D90" s="104" t="s">
        <v>190</v>
      </c>
    </row>
    <row r="91" spans="3:17" ht="20.100000000000001" customHeight="1" x14ac:dyDescent="0.25">
      <c r="D91" s="103" t="s">
        <v>191</v>
      </c>
    </row>
    <row r="92" spans="3:17" ht="20.100000000000001" customHeight="1" x14ac:dyDescent="0.25">
      <c r="D92" s="54" t="s">
        <v>67</v>
      </c>
      <c r="E92" s="54" t="s">
        <v>119</v>
      </c>
      <c r="F92" s="54" t="s">
        <v>120</v>
      </c>
      <c r="G92" s="54" t="s">
        <v>121</v>
      </c>
      <c r="H92" s="48"/>
    </row>
    <row r="93" spans="3:17" ht="20.100000000000001" customHeight="1" x14ac:dyDescent="0.25">
      <c r="D93" s="55" t="str">
        <f>'Input - Dairy'!$D$78</f>
        <v>Anaerobic lagoon</v>
      </c>
      <c r="E93" s="55">
        <f>'Input - Dairy'!E115</f>
        <v>0.25</v>
      </c>
      <c r="F93" s="55">
        <f>'Input - Dairy'!F115</f>
        <v>0.25</v>
      </c>
      <c r="G93" s="55">
        <f>'Input - Dairy'!G115</f>
        <v>0.25</v>
      </c>
      <c r="H93" s="2" t="s">
        <v>98</v>
      </c>
    </row>
    <row r="94" spans="3:17" ht="20.100000000000001" customHeight="1" x14ac:dyDescent="0.25">
      <c r="D94" s="55" t="str">
        <f>'Input - Dairy'!$D$79</f>
        <v>Were solids separated from Anaerobic lagoon?</v>
      </c>
      <c r="E94" s="55">
        <f>'Input - Dairy'!E120</f>
        <v>0.25</v>
      </c>
      <c r="F94" s="55">
        <f>'Input - Dairy'!F120</f>
        <v>0.25</v>
      </c>
      <c r="G94" s="55">
        <f>'Input - Dairy'!G120</f>
        <v>0.25</v>
      </c>
      <c r="H94" s="2" t="s">
        <v>98</v>
      </c>
    </row>
    <row r="95" spans="3:17" ht="20.100000000000001" customHeight="1" x14ac:dyDescent="0.25">
      <c r="D95" s="55" t="str">
        <f>'Input - Dairy'!$D$84</f>
        <v>Were solids separated from Sump and dispersal system?</v>
      </c>
      <c r="E95" s="55">
        <f>'Input - Dairy'!E125</f>
        <v>0.25</v>
      </c>
      <c r="F95" s="55">
        <f>'Input - Dairy'!F125</f>
        <v>0.25</v>
      </c>
      <c r="G95" s="55">
        <f>'Input - Dairy'!G125</f>
        <v>0.25</v>
      </c>
      <c r="H95" s="2" t="s">
        <v>98</v>
      </c>
    </row>
    <row r="96" spans="3:17" ht="20.100000000000001" customHeight="1" x14ac:dyDescent="0.25"/>
    <row r="97" spans="3:17" ht="20.100000000000001" customHeight="1" x14ac:dyDescent="0.25">
      <c r="D97" s="104" t="s">
        <v>193</v>
      </c>
      <c r="L97" s="104" t="s">
        <v>195</v>
      </c>
    </row>
    <row r="98" spans="3:17" ht="20.100000000000001" customHeight="1" x14ac:dyDescent="0.25">
      <c r="D98" s="103" t="s">
        <v>199</v>
      </c>
      <c r="L98" s="103" t="s">
        <v>196</v>
      </c>
    </row>
    <row r="99" spans="3:17" ht="20.100000000000001" customHeight="1" x14ac:dyDescent="0.25">
      <c r="D99" s="54" t="s">
        <v>67</v>
      </c>
      <c r="E99" s="54" t="s">
        <v>119</v>
      </c>
      <c r="F99" s="54" t="s">
        <v>120</v>
      </c>
      <c r="G99" s="54" t="s">
        <v>121</v>
      </c>
      <c r="L99" s="54" t="s">
        <v>67</v>
      </c>
      <c r="M99" s="54" t="s">
        <v>119</v>
      </c>
      <c r="N99" s="54" t="s">
        <v>120</v>
      </c>
      <c r="O99" s="54" t="s">
        <v>121</v>
      </c>
    </row>
    <row r="100" spans="3:17" ht="20.100000000000001" customHeight="1" x14ac:dyDescent="0.25">
      <c r="D100" s="55" t="str">
        <f>'Input - Dairy'!$D$78</f>
        <v>Anaerobic lagoon</v>
      </c>
      <c r="E100" s="55" t="e" cm="1">
        <f t="array" ref="E100">MMS_Feedlot_ManureAppliedToSoils_Equations.VEERG_4_1_1_9__1_MassOfNitrogenAppliedToSoilsScope1(E22,$E$30,$E$38,E93)</f>
        <v>#REF!</v>
      </c>
      <c r="F100" s="55" t="e" cm="1">
        <f t="array" ref="F100">MMS_Feedlot_ManureAppliedToSoils_Equations.VEERG_4_1_1_9__1_MassOfNitrogenAppliedToSoilsScope1(F22,$E$30,$E$38,F93)</f>
        <v>#REF!</v>
      </c>
      <c r="G100" s="55" t="e" cm="1">
        <f t="array" ref="G100">MMS_Feedlot_ManureAppliedToSoils_Equations.VEERG_4_1_1_9__1_MassOfNitrogenAppliedToSoilsScope1(G22,$E$30,$E$38,G93)</f>
        <v>#REF!</v>
      </c>
      <c r="H100" s="2" t="str">
        <f>$E$12</f>
        <v>kg N</v>
      </c>
      <c r="L100" s="55" t="str">
        <f>'Input - Dairy'!$D$78</f>
        <v>Anaerobic lagoon</v>
      </c>
      <c r="M100" s="55" t="e" cm="1">
        <f t="array" ref="M100">MMS_Feedlot_ManureAppliedToSoils_Equations.VEERG_4_1_1_9__1_MassOfNitrogenAppliedToSoilsScope1(M22,$E$30,$E$38,E93)</f>
        <v>#REF!</v>
      </c>
      <c r="N100" s="55" t="e" cm="1">
        <f t="array" ref="N100">MMS_Feedlot_ManureAppliedToSoils_Equations.VEERG_4_1_1_9__1_MassOfNitrogenAppliedToSoilsScope1(N22,$E$30,$E$38,F93)</f>
        <v>#REF!</v>
      </c>
      <c r="O100" s="55" t="e" cm="1">
        <f t="array" ref="O100">MMS_Feedlot_ManureAppliedToSoils_Equations.VEERG_4_1_1_9__1_MassOfNitrogenAppliedToSoilsScope1(O22,$E$30,$E$38,G93)</f>
        <v>#REF!</v>
      </c>
      <c r="P100" s="2" t="str">
        <f>$E$12</f>
        <v>kg N</v>
      </c>
    </row>
    <row r="101" spans="3:17" ht="20.100000000000001" customHeight="1" x14ac:dyDescent="0.25">
      <c r="D101" s="55" t="str">
        <f>'Input - Dairy'!$D$79</f>
        <v>Were solids separated from Anaerobic lagoon?</v>
      </c>
      <c r="E101" s="55" t="e" cm="1">
        <f t="array" ref="E101">MMS_Feedlot_ManureAppliedToSoils_Equations.VEERG_4_1_1_9__1_MassOfNitrogenAppliedToSoilsScope1(E23,$E$31,$E$39,E94)</f>
        <v>#REF!</v>
      </c>
      <c r="F101" s="55" t="e" cm="1">
        <f t="array" ref="F101">MMS_Feedlot_ManureAppliedToSoils_Equations.VEERG_4_1_1_9__1_MassOfNitrogenAppliedToSoilsScope1(F23,$E$31,$E$39,F94)</f>
        <v>#REF!</v>
      </c>
      <c r="G101" s="55" t="e" cm="1">
        <f t="array" ref="G101">MMS_Feedlot_ManureAppliedToSoils_Equations.VEERG_4_1_1_9__1_MassOfNitrogenAppliedToSoilsScope1(G23,$E$31,$E$39,G94)</f>
        <v>#REF!</v>
      </c>
      <c r="H101" s="2" t="str">
        <f>$E$12</f>
        <v>kg N</v>
      </c>
      <c r="L101" s="55" t="str">
        <f>'Input - Dairy'!$D$79</f>
        <v>Were solids separated from Anaerobic lagoon?</v>
      </c>
      <c r="M101" s="55" t="e" cm="1">
        <f t="array" ref="M101">MMS_Feedlot_ManureAppliedToSoils_Equations.VEERG_4_1_1_9__1_MassOfNitrogenAppliedToSoilsScope1(M23,$E$31,$E$39,E94)</f>
        <v>#REF!</v>
      </c>
      <c r="N101" s="55" t="e" cm="1">
        <f t="array" ref="N101">MMS_Feedlot_ManureAppliedToSoils_Equations.VEERG_4_1_1_9__1_MassOfNitrogenAppliedToSoilsScope1(N23,$E$31,$E$39,F94)</f>
        <v>#REF!</v>
      </c>
      <c r="O101" s="55" t="e" cm="1">
        <f t="array" ref="O101">MMS_Feedlot_ManureAppliedToSoils_Equations.VEERG_4_1_1_9__1_MassOfNitrogenAppliedToSoilsScope1(O23,$E$31,$E$39,G94)</f>
        <v>#REF!</v>
      </c>
      <c r="P101" s="2" t="str">
        <f>$E$12</f>
        <v>kg N</v>
      </c>
    </row>
    <row r="102" spans="3:17" ht="20.100000000000001" customHeight="1" x14ac:dyDescent="0.25">
      <c r="D102" s="55" t="str">
        <f>'Input - Dairy'!$D$84</f>
        <v>Were solids separated from Sump and dispersal system?</v>
      </c>
      <c r="E102" s="55" t="e" cm="1">
        <f t="array" ref="E102">MMS_Feedlot_ManureAppliedToSoils_Equations.VEERG_4_1_1_9__1_MassOfNitrogenAppliedToSoilsScope1(E24,$E$32,$E$40,E95)</f>
        <v>#REF!</v>
      </c>
      <c r="F102" s="55" t="e" cm="1">
        <f t="array" ref="F102">MMS_Feedlot_ManureAppliedToSoils_Equations.VEERG_4_1_1_9__1_MassOfNitrogenAppliedToSoilsScope1(F24,$E$32,$E$40,F95)</f>
        <v>#REF!</v>
      </c>
      <c r="G102" s="55" t="e" cm="1">
        <f t="array" ref="G102">MMS_Feedlot_ManureAppliedToSoils_Equations.VEERG_4_1_1_9__1_MassOfNitrogenAppliedToSoilsScope1(G24,$E$32,$E$40,G95)</f>
        <v>#REF!</v>
      </c>
      <c r="H102" s="2" t="str">
        <f>$E$12</f>
        <v>kg N</v>
      </c>
      <c r="L102" s="55" t="str">
        <f>'Input - Dairy'!$D$84</f>
        <v>Were solids separated from Sump and dispersal system?</v>
      </c>
      <c r="M102" s="55" t="e" cm="1">
        <f t="array" ref="M102">MMS_Feedlot_ManureAppliedToSoils_Equations.VEERG_4_1_1_9__1_MassOfNitrogenAppliedToSoilsScope1(M24,$E$32,$E$40,E95)</f>
        <v>#REF!</v>
      </c>
      <c r="N102" s="55" t="e" cm="1">
        <f t="array" ref="N102">MMS_Feedlot_ManureAppliedToSoils_Equations.VEERG_4_1_1_9__1_MassOfNitrogenAppliedToSoilsScope1(N24,$E$32,$E$40,F95)</f>
        <v>#REF!</v>
      </c>
      <c r="O102" s="55" t="e" cm="1">
        <f t="array" ref="O102">MMS_Feedlot_ManureAppliedToSoils_Equations.VEERG_4_1_1_9__1_MassOfNitrogenAppliedToSoilsScope1(O24,$E$32,$E$40,G95)</f>
        <v>#REF!</v>
      </c>
      <c r="P102" s="2" t="str">
        <f>$E$12</f>
        <v>kg N</v>
      </c>
    </row>
    <row r="103" spans="3:17" ht="20.100000000000001" customHeight="1" x14ac:dyDescent="0.25"/>
    <row r="104" spans="3:17" ht="20.100000000000001" customHeight="1" x14ac:dyDescent="0.25">
      <c r="D104" s="108" t="s">
        <v>215</v>
      </c>
      <c r="E104" s="109" t="e">
        <f>SUM(E100:G102)</f>
        <v>#REF!</v>
      </c>
      <c r="F104" s="110" t="str">
        <f>$E$12</f>
        <v>kg N</v>
      </c>
      <c r="L104" s="108" t="s">
        <v>215</v>
      </c>
      <c r="M104" s="109" t="e">
        <f>SUM(M100:O102)</f>
        <v>#REF!</v>
      </c>
      <c r="N104" s="110" t="str">
        <f>$E$12</f>
        <v>kg N</v>
      </c>
    </row>
    <row r="105" spans="3:17" ht="20.100000000000001" customHeight="1" x14ac:dyDescent="0.25"/>
    <row r="106" spans="3:17" ht="20.100000000000001" customHeight="1" x14ac:dyDescent="0.25"/>
    <row r="107" spans="3:17" ht="20.100000000000001" customHeight="1" x14ac:dyDescent="0.25">
      <c r="C107" s="48"/>
      <c r="D107" s="48"/>
      <c r="E107" s="48"/>
      <c r="F107" s="48"/>
      <c r="G107" s="48"/>
      <c r="H107" s="48"/>
      <c r="I107" s="48"/>
      <c r="K107" s="48"/>
      <c r="L107" s="48"/>
      <c r="M107" s="48"/>
      <c r="N107" s="48"/>
      <c r="O107" s="48"/>
      <c r="P107" s="48"/>
      <c r="Q107" s="48"/>
    </row>
    <row r="108" spans="3:17" ht="20.100000000000001" customHeight="1" x14ac:dyDescent="0.25">
      <c r="D108" s="6" t="s">
        <v>211</v>
      </c>
    </row>
    <row r="109" spans="3:17" ht="20.100000000000001" customHeight="1" x14ac:dyDescent="0.25">
      <c r="D109" s="104" t="s">
        <v>204</v>
      </c>
    </row>
    <row r="110" spans="3:17" ht="20.100000000000001" customHeight="1" x14ac:dyDescent="0.25">
      <c r="D110" s="103" t="s">
        <v>205</v>
      </c>
    </row>
    <row r="111" spans="3:17" ht="20.100000000000001" customHeight="1" x14ac:dyDescent="0.25">
      <c r="D111" s="54" t="s">
        <v>67</v>
      </c>
      <c r="E111" s="54" t="s">
        <v>119</v>
      </c>
      <c r="F111" s="54" t="s">
        <v>120</v>
      </c>
      <c r="G111" s="54" t="s">
        <v>121</v>
      </c>
    </row>
    <row r="112" spans="3:17" ht="20.100000000000001" customHeight="1" x14ac:dyDescent="0.25">
      <c r="D112" s="55" t="str">
        <f>'Input - Dairy'!$D$78</f>
        <v>Anaerobic lagoon</v>
      </c>
      <c r="E112" s="55">
        <f>'Input - Dairy'!E114</f>
        <v>0.25</v>
      </c>
      <c r="F112" s="55">
        <f>'Input - Dairy'!F114</f>
        <v>0.25</v>
      </c>
      <c r="G112" s="55">
        <f>'Input - Dairy'!G114</f>
        <v>0.25</v>
      </c>
      <c r="H112" s="2" t="s">
        <v>98</v>
      </c>
    </row>
    <row r="113" spans="4:16" ht="20.100000000000001" customHeight="1" x14ac:dyDescent="0.25">
      <c r="D113" s="55" t="str">
        <f>'Input - Dairy'!$D$79</f>
        <v>Were solids separated from Anaerobic lagoon?</v>
      </c>
      <c r="E113" s="55">
        <f>'Input - Dairy'!E119</f>
        <v>0.25</v>
      </c>
      <c r="F113" s="55">
        <f>'Input - Dairy'!F119</f>
        <v>0.25</v>
      </c>
      <c r="G113" s="55">
        <f>'Input - Dairy'!G119</f>
        <v>0.25</v>
      </c>
      <c r="H113" s="2" t="s">
        <v>98</v>
      </c>
    </row>
    <row r="114" spans="4:16" ht="20.100000000000001" customHeight="1" x14ac:dyDescent="0.25">
      <c r="D114" s="55" t="str">
        <f>'Input - Dairy'!$D$84</f>
        <v>Were solids separated from Sump and dispersal system?</v>
      </c>
      <c r="E114" s="55">
        <f>'Input - Dairy'!E124</f>
        <v>0.25</v>
      </c>
      <c r="F114" s="55">
        <f>'Input - Dairy'!F124</f>
        <v>0.25</v>
      </c>
      <c r="G114" s="55">
        <f>'Input - Dairy'!G124</f>
        <v>0.25</v>
      </c>
      <c r="H114" s="2" t="s">
        <v>98</v>
      </c>
    </row>
    <row r="115" spans="4:16" ht="20.100000000000001" customHeight="1" x14ac:dyDescent="0.25"/>
    <row r="116" spans="4:16" ht="20.100000000000001" customHeight="1" x14ac:dyDescent="0.25">
      <c r="D116" s="104" t="s">
        <v>206</v>
      </c>
      <c r="L116" s="104" t="s">
        <v>207</v>
      </c>
    </row>
    <row r="117" spans="4:16" ht="20.100000000000001" customHeight="1" x14ac:dyDescent="0.25">
      <c r="D117" s="103" t="s">
        <v>209</v>
      </c>
      <c r="L117" s="103" t="s">
        <v>208</v>
      </c>
    </row>
    <row r="118" spans="4:16" ht="20.100000000000001" customHeight="1" x14ac:dyDescent="0.25">
      <c r="D118" s="54" t="s">
        <v>67</v>
      </c>
      <c r="E118" s="54" t="s">
        <v>119</v>
      </c>
      <c r="F118" s="54" t="s">
        <v>120</v>
      </c>
      <c r="G118" s="54" t="s">
        <v>121</v>
      </c>
      <c r="L118" s="54" t="s">
        <v>67</v>
      </c>
      <c r="M118" s="54" t="s">
        <v>119</v>
      </c>
      <c r="N118" s="54" t="s">
        <v>120</v>
      </c>
      <c r="O118" s="54" t="s">
        <v>121</v>
      </c>
    </row>
    <row r="119" spans="4:16" ht="20.100000000000001" customHeight="1" x14ac:dyDescent="0.25">
      <c r="D119" s="55" t="str">
        <f>'Input - Dairy'!$D$78</f>
        <v>Anaerobic lagoon</v>
      </c>
      <c r="E119" s="55" t="e" cm="1">
        <f t="array" ref="E119">MMS_Feedlot_ManureAppliedToSoils_Equations.VEERG_4_1_1_9__1_MassOfNitrogenAppliedToSoilsScope1(E22,$E$30,$E$38,E112)</f>
        <v>#REF!</v>
      </c>
      <c r="F119" s="55" t="e" cm="1">
        <f t="array" ref="F119">MMS_Feedlot_ManureAppliedToSoils_Equations.VEERG_4_1_1_9__1_MassOfNitrogenAppliedToSoilsScope1(F22,$E$30,$E$38,F112)</f>
        <v>#REF!</v>
      </c>
      <c r="G119" s="55" t="e" cm="1">
        <f t="array" ref="G119">MMS_Feedlot_ManureAppliedToSoils_Equations.VEERG_4_1_1_9__1_MassOfNitrogenAppliedToSoilsScope1(G22,$E$30,$E$38,G112)</f>
        <v>#REF!</v>
      </c>
      <c r="H119" s="2" t="str">
        <f>$E$12</f>
        <v>kg N</v>
      </c>
      <c r="L119" s="55" t="str">
        <f>'Input - Dairy'!$D$78</f>
        <v>Anaerobic lagoon</v>
      </c>
      <c r="M119" s="55" t="e" cm="1">
        <f t="array" ref="M119">MMS_Feedlot_ManureAppliedToSoils_Equations.VEERG_4_1_1_9__1_MassOfNitrogenAppliedToSoilsScope1(M22,$E$30,$E$38,E112)</f>
        <v>#REF!</v>
      </c>
      <c r="N119" s="55" t="e" cm="1">
        <f t="array" ref="N119">MMS_Feedlot_ManureAppliedToSoils_Equations.VEERG_4_1_1_9__1_MassOfNitrogenAppliedToSoilsScope1(N22,$E$30,$E$38,F112)</f>
        <v>#REF!</v>
      </c>
      <c r="O119" s="55" t="e" cm="1">
        <f t="array" ref="O119">MMS_Feedlot_ManureAppliedToSoils_Equations.VEERG_4_1_1_9__1_MassOfNitrogenAppliedToSoilsScope1(O22,$E$30,$E$38,G112)</f>
        <v>#REF!</v>
      </c>
      <c r="P119" s="2" t="str">
        <f>$E$12</f>
        <v>kg N</v>
      </c>
    </row>
    <row r="120" spans="4:16" ht="20.100000000000001" customHeight="1" x14ac:dyDescent="0.25">
      <c r="D120" s="55" t="str">
        <f>'Input - Dairy'!$D$79</f>
        <v>Were solids separated from Anaerobic lagoon?</v>
      </c>
      <c r="E120" s="55" t="e" cm="1">
        <f t="array" ref="E120">MMS_Feedlot_ManureAppliedToSoils_Equations.VEERG_4_1_1_9__1_MassOfNitrogenAppliedToSoilsScope1(E23,$E$31,$E$39,E113)</f>
        <v>#REF!</v>
      </c>
      <c r="F120" s="55" t="e" cm="1">
        <f t="array" ref="F120">MMS_Feedlot_ManureAppliedToSoils_Equations.VEERG_4_1_1_9__1_MassOfNitrogenAppliedToSoilsScope1(F23,$E$31,$E$39,F113)</f>
        <v>#REF!</v>
      </c>
      <c r="G120" s="55" t="e" cm="1">
        <f t="array" ref="G120">MMS_Feedlot_ManureAppliedToSoils_Equations.VEERG_4_1_1_9__1_MassOfNitrogenAppliedToSoilsScope1(G23,$E$31,$E$39,G113)</f>
        <v>#REF!</v>
      </c>
      <c r="H120" s="2" t="str">
        <f>$E$12</f>
        <v>kg N</v>
      </c>
      <c r="L120" s="55" t="str">
        <f>'Input - Dairy'!$D$79</f>
        <v>Were solids separated from Anaerobic lagoon?</v>
      </c>
      <c r="M120" s="55" t="e" cm="1">
        <f t="array" ref="M120">MMS_Feedlot_ManureAppliedToSoils_Equations.VEERG_4_1_1_9__1_MassOfNitrogenAppliedToSoilsScope1(M23,$E$31,$E$39,E113)</f>
        <v>#REF!</v>
      </c>
      <c r="N120" s="55" t="e" cm="1">
        <f t="array" ref="N120">MMS_Feedlot_ManureAppliedToSoils_Equations.VEERG_4_1_1_9__1_MassOfNitrogenAppliedToSoilsScope1(N23,$E$31,$E$39,F113)</f>
        <v>#REF!</v>
      </c>
      <c r="O120" s="55" t="e" cm="1">
        <f t="array" ref="O120">MMS_Feedlot_ManureAppliedToSoils_Equations.VEERG_4_1_1_9__1_MassOfNitrogenAppliedToSoilsScope1(O23,$E$31,$E$39,G113)</f>
        <v>#REF!</v>
      </c>
      <c r="P120" s="2" t="str">
        <f>$E$12</f>
        <v>kg N</v>
      </c>
    </row>
    <row r="121" spans="4:16" ht="20.100000000000001" customHeight="1" x14ac:dyDescent="0.25">
      <c r="D121" s="55" t="str">
        <f>'Input - Dairy'!$D$84</f>
        <v>Were solids separated from Sump and dispersal system?</v>
      </c>
      <c r="E121" s="55" t="e" cm="1">
        <f t="array" ref="E121">MMS_Feedlot_ManureAppliedToSoils_Equations.VEERG_4_1_1_9__1_MassOfNitrogenAppliedToSoilsScope1(E24,$E$32,$E$40,E114)</f>
        <v>#REF!</v>
      </c>
      <c r="F121" s="55" t="e" cm="1">
        <f t="array" ref="F121">MMS_Feedlot_ManureAppliedToSoils_Equations.VEERG_4_1_1_9__1_MassOfNitrogenAppliedToSoilsScope1(F24,$E$32,$E$40,F114)</f>
        <v>#REF!</v>
      </c>
      <c r="G121" s="55" t="e" cm="1">
        <f t="array" ref="G121">MMS_Feedlot_ManureAppliedToSoils_Equations.VEERG_4_1_1_9__1_MassOfNitrogenAppliedToSoilsScope1(G24,$E$32,$E$40,G114)</f>
        <v>#REF!</v>
      </c>
      <c r="H121" s="2" t="str">
        <f>$E$12</f>
        <v>kg N</v>
      </c>
      <c r="L121" s="55" t="str">
        <f>'Input - Dairy'!$D$84</f>
        <v>Were solids separated from Sump and dispersal system?</v>
      </c>
      <c r="M121" s="55" t="e" cm="1">
        <f t="array" ref="M121">MMS_Feedlot_ManureAppliedToSoils_Equations.VEERG_4_1_1_9__1_MassOfNitrogenAppliedToSoilsScope1(M24,$E$32,$E$40,E114)</f>
        <v>#REF!</v>
      </c>
      <c r="N121" s="55" t="e" cm="1">
        <f t="array" ref="N121">MMS_Feedlot_ManureAppliedToSoils_Equations.VEERG_4_1_1_9__1_MassOfNitrogenAppliedToSoilsScope1(N24,$E$32,$E$40,F114)</f>
        <v>#REF!</v>
      </c>
      <c r="O121" s="55" t="e" cm="1">
        <f t="array" ref="O121">MMS_Feedlot_ManureAppliedToSoils_Equations.VEERG_4_1_1_9__1_MassOfNitrogenAppliedToSoilsScope1(O24,$E$32,$E$40,G114)</f>
        <v>#REF!</v>
      </c>
      <c r="P121" s="2" t="str">
        <f>$E$12</f>
        <v>kg N</v>
      </c>
    </row>
    <row r="122" spans="4:16" ht="20.100000000000001" customHeight="1" x14ac:dyDescent="0.25"/>
    <row r="123" spans="4:16" ht="20.100000000000001" customHeight="1" x14ac:dyDescent="0.25">
      <c r="D123" s="108" t="s">
        <v>212</v>
      </c>
      <c r="E123" s="109" t="e">
        <f>SUM(E119:G121)</f>
        <v>#REF!</v>
      </c>
      <c r="F123" s="110" t="str">
        <f>$E$12</f>
        <v>kg N</v>
      </c>
      <c r="L123" s="108" t="s">
        <v>212</v>
      </c>
      <c r="M123" s="109" t="e">
        <f>SUM(M119:O121)</f>
        <v>#REF!</v>
      </c>
      <c r="N123" s="110" t="str">
        <f>$E$12</f>
        <v>kg N</v>
      </c>
    </row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288"/>
  <sheetViews>
    <sheetView showGridLines="0" zoomScale="85" zoomScaleNormal="85" workbookViewId="0">
      <selection activeCell="L64" sqref="L64:L6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6" width="30.710937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118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4"/>
    </row>
    <row r="5" spans="1:21" ht="20.100000000000001" customHeight="1" x14ac:dyDescent="0.25">
      <c r="A5" s="16"/>
      <c r="D5" s="6" t="s">
        <v>274</v>
      </c>
      <c r="G5" s="6" t="s">
        <v>275</v>
      </c>
      <c r="J5" s="6" t="s">
        <v>244</v>
      </c>
      <c r="M5" s="1"/>
    </row>
    <row r="6" spans="1:21" ht="20.100000000000001" customHeight="1" x14ac:dyDescent="0.25">
      <c r="A6" s="20" t="s">
        <v>3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102" t="s">
        <v>67</v>
      </c>
      <c r="E7" s="39" t="s">
        <v>81</v>
      </c>
      <c r="G7" s="39" t="s">
        <v>243</v>
      </c>
      <c r="J7" s="39" t="s">
        <v>241</v>
      </c>
      <c r="M7" s="1"/>
    </row>
    <row r="8" spans="1:21" ht="20.100000000000001" customHeight="1" x14ac:dyDescent="0.25">
      <c r="A8" s="17" t="str">
        <f>HYPERLINK("#'Input - Feedlot'!A1", "Feedlot")</f>
        <v>Feedlot</v>
      </c>
      <c r="D8" s="39" t="str">
        <f>'Constants - Livestock'!$E$10</f>
        <v>Anaerobic lagoon</v>
      </c>
      <c r="E8" s="39" t="str">
        <f>'Constants - Livestock'!$F$10</f>
        <v>Anaerobic lagoon (m=1)</v>
      </c>
      <c r="G8" s="39" t="str">
        <f>'Constants - Common'!$F$176</f>
        <v>Pasture</v>
      </c>
      <c r="J8" s="39" t="s">
        <v>245</v>
      </c>
      <c r="M8" s="1"/>
    </row>
    <row r="9" spans="1:21" ht="20.100000000000001" customHeight="1" x14ac:dyDescent="0.25">
      <c r="A9" s="17"/>
      <c r="D9" s="39" t="str">
        <f>'Constants - Livestock'!$E$13</f>
        <v>Sump and dispersal system</v>
      </c>
      <c r="E9" s="39" t="str">
        <f>'Constants - Livestock'!$F$13</f>
        <v>Sump and dispersal system (m=3a)</v>
      </c>
      <c r="G9" s="1" t="str">
        <f>'Constants - Common'!$F$177</f>
        <v>Crop</v>
      </c>
      <c r="J9" s="39" t="s">
        <v>246</v>
      </c>
      <c r="M9" s="1"/>
    </row>
    <row r="10" spans="1:21" ht="20.100000000000001" customHeight="1" x14ac:dyDescent="0.25">
      <c r="A10" s="19" t="s">
        <v>76</v>
      </c>
      <c r="D10" s="39" t="str">
        <f>'Constants - Livestock'!$E$14</f>
        <v>Drains to paddock</v>
      </c>
      <c r="E10" s="39" t="str">
        <f>'Constants - Livestock'!$F$14</f>
        <v>Drains to paddock (m=3b)</v>
      </c>
      <c r="J10" s="1" t="s">
        <v>247</v>
      </c>
      <c r="M10" s="1"/>
    </row>
    <row r="11" spans="1:21" ht="20.100000000000001" customHeight="1" x14ac:dyDescent="0.25">
      <c r="A11" s="17" t="str">
        <f>HYPERLINK("#'4.1.1.1-2 Methane'!A1", "4.1.1.1-2 Methane")</f>
        <v>4.1.1.1-2 Methane</v>
      </c>
      <c r="D11" s="39" t="str">
        <f>'Constants - Livestock'!$E$15</f>
        <v>Solid storage</v>
      </c>
      <c r="E11" s="39" t="str">
        <f>'Constants - Livestock'!$F$15</f>
        <v>Solid storage (m=4)</v>
      </c>
      <c r="J11" s="1" t="s">
        <v>248</v>
      </c>
      <c r="M11" s="1"/>
    </row>
    <row r="12" spans="1:21" ht="20.100000000000001" customHeight="1" x14ac:dyDescent="0.25">
      <c r="A12" s="17" t="str">
        <f>HYPERLINK("#'4.1.1.3-4 Direct N20'!A1", "4.1.1.3-4 Direct N2O")</f>
        <v>4.1.1.3-4 Direct N2O</v>
      </c>
      <c r="J12" s="1" t="s">
        <v>249</v>
      </c>
      <c r="M12" s="1"/>
    </row>
    <row r="13" spans="1:21" ht="20.100000000000001" customHeight="1" x14ac:dyDescent="0.25">
      <c r="A13" s="17" t="str">
        <f>HYPERLINK("#'4.1.1.5-6 Atmos Deposition'!A1", "4.1.1.5-6 Atmospheric deposition")</f>
        <v>4.1.1.5-6 Atmospheric deposition</v>
      </c>
      <c r="M13" s="1"/>
    </row>
    <row r="14" spans="1:21" ht="20.100000000000001" customHeight="1" x14ac:dyDescent="0.25">
      <c r="A14" s="17" t="str">
        <f>HYPERLINK("#'4.1.1.9 Manure applied to soils'!A1", "4.1.1.9 Manure applied to soils")</f>
        <v>4.1.1.9 Manure applied to soils</v>
      </c>
      <c r="M14" s="1"/>
    </row>
    <row r="15" spans="1:21" ht="20.100000000000001" customHeight="1" x14ac:dyDescent="0.25">
      <c r="M15" s="1"/>
    </row>
    <row r="16" spans="1:21" ht="20.100000000000001" customHeight="1" x14ac:dyDescent="0.25">
      <c r="A16" s="18" t="s">
        <v>4</v>
      </c>
      <c r="D16" s="6" t="str" cm="1">
        <f t="array" ref="D16">SourceData_Dairy.SourceData_Dairy_LiveweightCowsAndHeifers_Title()</f>
        <v>Table A.1.3.1: Dairy cattle - Liveweight (kg) - Cows and Heifers (Wj)</v>
      </c>
      <c r="M16" s="1"/>
    </row>
    <row r="17" spans="1:13" ht="20.100000000000001" customHeight="1" x14ac:dyDescent="0.25">
      <c r="A17" s="72" t="str">
        <f>HYPERLINK("#'Constants - Feedlot'!A1", "Constants - Feedlot")</f>
        <v>Constants - Feedlot</v>
      </c>
      <c r="D17" s="5" t="str" cm="1">
        <f t="array" ref="D17">SourceData_Dairy.SourceData_Dairy_LiveweightCowsAndHeifers_Source()</f>
        <v>VEERG 2026: Table A.1.3.1</v>
      </c>
      <c r="M17" s="1"/>
    </row>
    <row r="18" spans="1:13" ht="20.100000000000001" customHeight="1" x14ac:dyDescent="0.25">
      <c r="A18" s="17" t="str">
        <f>HYPERLINK("#'Constants - Livestock'!A1", "Constants - Livestock")</f>
        <v>Constants - Livestock</v>
      </c>
      <c r="D18" s="1" t="str" cm="1">
        <f t="array" ref="D18">SourceData_Dairy.SourceData_Dairy_LiveweightCowsAndHeifers_Variable()</f>
        <v>Wj</v>
      </c>
      <c r="M18" s="1"/>
    </row>
    <row r="19" spans="1:13" ht="20.100000000000001" customHeight="1" x14ac:dyDescent="0.25">
      <c r="A19" s="17" t="str">
        <f>HYPERLINK("#'Constants - Common'!A1", "Constants - Common")</f>
        <v>Constants - Common</v>
      </c>
      <c r="D19" s="57" t="str" cm="1">
        <f t="array" ref="D19">SourceData_Dairy.SourceData_Dairy_LiveweightCowsAndHeifers_Unit()</f>
        <v>kg</v>
      </c>
      <c r="M19" s="1"/>
    </row>
    <row r="20" spans="1:13" ht="20.100000000000001" customHeight="1" x14ac:dyDescent="0.25">
      <c r="A20" s="17" t="str">
        <f>HYPERLINK("#'Acknowledgements'!A1", "Acknowledgements")</f>
        <v>Acknowledgements</v>
      </c>
      <c r="D20" s="58" t="str" cm="1">
        <f t="array" ref="D20">SourceData_Dairy.SourceData_Dairy_LiveweightCowsAndHeifers_Variation()</f>
        <v>VARIATION OF SOURCE: Excluded 'Reference', as the value is consistently 'Dairy Australia [1]' and is not used in calculation.</v>
      </c>
      <c r="M20" s="1"/>
    </row>
    <row r="21" spans="1:13" ht="20.100000000000001" customHeight="1" x14ac:dyDescent="0.25">
      <c r="D21" s="136" t="s">
        <v>276</v>
      </c>
      <c r="E21" s="136" t="s">
        <v>277</v>
      </c>
      <c r="F21" s="136" t="s">
        <v>278</v>
      </c>
      <c r="G21" s="136" t="s">
        <v>279</v>
      </c>
      <c r="M21" s="1"/>
    </row>
    <row r="22" spans="1:13" ht="20.100000000000001" customHeight="1" x14ac:dyDescent="0.25">
      <c r="D22" s="136" t="str" cm="1">
        <f t="array" ref="D22">Common_InputFunctions.Utility_DisplayArrayInTable(SourceData_Dairy.SourceData_Dairy_LiveweightCowsAndHeifers_Data(), Table_SourceData_Dairy_WjCowsHeifers[[#Headers],[Breed]], 0)</f>
        <v>Medium Friesian</v>
      </c>
      <c r="E22" s="136" cm="1">
        <f t="array" ref="E22">Common_InputFunctions.Utility_DisplayArrayInTable(SourceData_Dairy.SourceData_Dairy_LiveweightCowsAndHeifers_Data(), Table_SourceData_Dairy_WjCowsHeifers[[#Headers],[Breed]], 0)</f>
        <v>550</v>
      </c>
      <c r="F22" s="136" cm="1">
        <f t="array" ref="F22">Common_InputFunctions.Utility_DisplayArrayInTable(SourceData_Dairy.SourceData_Dairy_LiveweightCowsAndHeifers_Data(), Table_SourceData_Dairy_WjCowsHeifers[[#Headers],[Breed]], 0)</f>
        <v>380</v>
      </c>
      <c r="G22" s="136" cm="1">
        <f t="array" ref="G22">Common_InputFunctions.Utility_DisplayArrayInTable(SourceData_Dairy.SourceData_Dairy_LiveweightCowsAndHeifers_Data(), Table_SourceData_Dairy_WjCowsHeifers[[#Headers],[Breed]], 0)</f>
        <v>155</v>
      </c>
      <c r="M22" s="1"/>
    </row>
    <row r="23" spans="1:13" ht="20.100000000000001" customHeight="1" x14ac:dyDescent="0.25">
      <c r="D23" s="136" t="str" cm="1">
        <f t="array" ref="D23">Common_InputFunctions.Utility_DisplayArrayInTable(SourceData_Dairy.SourceData_Dairy_LiveweightCowsAndHeifers_Data(), Table_SourceData_Dairy_WjCowsHeifers[[#Headers],[Breed]], 0)</f>
        <v>Large Friesian</v>
      </c>
      <c r="E23" s="39" cm="1">
        <f t="array" ref="E23">Common_InputFunctions.Utility_DisplayArrayInTable(SourceData_Dairy.SourceData_Dairy_LiveweightCowsAndHeifers_Data(), Table_SourceData_Dairy_WjCowsHeifers[[#Headers],[Breed]], 0)</f>
        <v>600</v>
      </c>
      <c r="F23" s="39" cm="1">
        <f t="array" ref="F23">Common_InputFunctions.Utility_DisplayArrayInTable(SourceData_Dairy.SourceData_Dairy_LiveweightCowsAndHeifers_Data(), Table_SourceData_Dairy_WjCowsHeifers[[#Headers],[Breed]], 0)</f>
        <v>415</v>
      </c>
      <c r="G23" s="39" cm="1">
        <f t="array" ref="G23">Common_InputFunctions.Utility_DisplayArrayInTable(SourceData_Dairy.SourceData_Dairy_LiveweightCowsAndHeifers_Data(), Table_SourceData_Dairy_WjCowsHeifers[[#Headers],[Breed]], 0)</f>
        <v>170</v>
      </c>
      <c r="M23" s="1"/>
    </row>
    <row r="24" spans="1:13" ht="20.100000000000001" customHeight="1" x14ac:dyDescent="0.25">
      <c r="D24" s="136" t="str" cm="1">
        <f t="array" ref="D24">Common_InputFunctions.Utility_DisplayArrayInTable(SourceData_Dairy.SourceData_Dairy_LiveweightCowsAndHeifers_Data(), Table_SourceData_Dairy_WjCowsHeifers[[#Headers],[Breed]], 0)</f>
        <v>Holstein-Friesian</v>
      </c>
      <c r="E24" s="39" cm="1">
        <f t="array" ref="E24">Common_InputFunctions.Utility_DisplayArrayInTable(SourceData_Dairy.SourceData_Dairy_LiveweightCowsAndHeifers_Data(), Table_SourceData_Dairy_WjCowsHeifers[[#Headers],[Breed]], 0)</f>
        <v>650</v>
      </c>
      <c r="F24" s="39" cm="1">
        <f t="array" ref="F24">Common_InputFunctions.Utility_DisplayArrayInTable(SourceData_Dairy.SourceData_Dairy_LiveweightCowsAndHeifers_Data(), Table_SourceData_Dairy_WjCowsHeifers[[#Headers],[Breed]], 0)</f>
        <v>450</v>
      </c>
      <c r="G24" s="39" cm="1">
        <f t="array" ref="G24">Common_InputFunctions.Utility_DisplayArrayInTable(SourceData_Dairy.SourceData_Dairy_LiveweightCowsAndHeifers_Data(), Table_SourceData_Dairy_WjCowsHeifers[[#Headers],[Breed]], 0)</f>
        <v>185</v>
      </c>
      <c r="M24" s="1"/>
    </row>
    <row r="25" spans="1:13" ht="20.100000000000001" customHeight="1" x14ac:dyDescent="0.25">
      <c r="D25" s="136" t="str" cm="1">
        <f t="array" ref="D25">Common_InputFunctions.Utility_DisplayArrayInTable(SourceData_Dairy.SourceData_Dairy_LiveweightCowsAndHeifers_Data(), Table_SourceData_Dairy_WjCowsHeifers[[#Headers],[Breed]], 0)</f>
        <v>Friesian crossbred</v>
      </c>
      <c r="E25" s="39" cm="1">
        <f t="array" ref="E25">Common_InputFunctions.Utility_DisplayArrayInTable(SourceData_Dairy.SourceData_Dairy_LiveweightCowsAndHeifers_Data(), Table_SourceData_Dairy_WjCowsHeifers[[#Headers],[Breed]], 0)</f>
        <v>500</v>
      </c>
      <c r="F25" s="39" cm="1">
        <f t="array" ref="F25">Common_InputFunctions.Utility_DisplayArrayInTable(SourceData_Dairy.SourceData_Dairy_LiveweightCowsAndHeifers_Data(), Table_SourceData_Dairy_WjCowsHeifers[[#Headers],[Breed]], 0)</f>
        <v>350</v>
      </c>
      <c r="G25" s="39" cm="1">
        <f t="array" ref="G25">Common_InputFunctions.Utility_DisplayArrayInTable(SourceData_Dairy.SourceData_Dairy_LiveweightCowsAndHeifers_Data(), Table_SourceData_Dairy_WjCowsHeifers[[#Headers],[Breed]], 0)</f>
        <v>145</v>
      </c>
      <c r="M25" s="1"/>
    </row>
    <row r="26" spans="1:13" ht="20.100000000000001" customHeight="1" x14ac:dyDescent="0.25">
      <c r="D26" s="136" t="str" cm="1">
        <f t="array" ref="D26">Common_InputFunctions.Utility_DisplayArrayInTable(SourceData_Dairy.SourceData_Dairy_LiveweightCowsAndHeifers_Data(), Table_SourceData_Dairy_WjCowsHeifers[[#Headers],[Breed]], 0)</f>
        <v>Jersey</v>
      </c>
      <c r="E26" s="39" cm="1">
        <f t="array" ref="E26">Common_InputFunctions.Utility_DisplayArrayInTable(SourceData_Dairy.SourceData_Dairy_LiveweightCowsAndHeifers_Data(), Table_SourceData_Dairy_WjCowsHeifers[[#Headers],[Breed]], 0)</f>
        <v>400</v>
      </c>
      <c r="F26" s="39" cm="1">
        <f t="array" ref="F26">Common_InputFunctions.Utility_DisplayArrayInTable(SourceData_Dairy.SourceData_Dairy_LiveweightCowsAndHeifers_Data(), Table_SourceData_Dairy_WjCowsHeifers[[#Headers],[Breed]], 0)</f>
        <v>275</v>
      </c>
      <c r="G26" s="39" cm="1">
        <f t="array" ref="G26">Common_InputFunctions.Utility_DisplayArrayInTable(SourceData_Dairy.SourceData_Dairy_LiveweightCowsAndHeifers_Data(), Table_SourceData_Dairy_WjCowsHeifers[[#Headers],[Breed]], 0)</f>
        <v>115</v>
      </c>
      <c r="M26" s="1"/>
    </row>
    <row r="27" spans="1:13" ht="20.100000000000001" customHeight="1" x14ac:dyDescent="0.25">
      <c r="D27" s="136" t="str" cm="1">
        <f t="array" ref="D27">Common_InputFunctions.Utility_DisplayArrayInTable(SourceData_Dairy.SourceData_Dairy_LiveweightCowsAndHeifers_Data(), Table_SourceData_Dairy_WjCowsHeifers[[#Headers],[Breed]], 0)</f>
        <v>Jersey crossbred</v>
      </c>
      <c r="E27" s="39" cm="1">
        <f t="array" ref="E27">Common_InputFunctions.Utility_DisplayArrayInTable(SourceData_Dairy.SourceData_Dairy_LiveweightCowsAndHeifers_Data(), Table_SourceData_Dairy_WjCowsHeifers[[#Headers],[Breed]], 0)</f>
        <v>450</v>
      </c>
      <c r="F27" s="39" cm="1">
        <f t="array" ref="F27">Common_InputFunctions.Utility_DisplayArrayInTable(SourceData_Dairy.SourceData_Dairy_LiveweightCowsAndHeifers_Data(), Table_SourceData_Dairy_WjCowsHeifers[[#Headers],[Breed]], 0)</f>
        <v>315</v>
      </c>
      <c r="G27" s="39" cm="1">
        <f t="array" ref="G27">Common_InputFunctions.Utility_DisplayArrayInTable(SourceData_Dairy.SourceData_Dairy_LiveweightCowsAndHeifers_Data(), Table_SourceData_Dairy_WjCowsHeifers[[#Headers],[Breed]], 0)</f>
        <v>130</v>
      </c>
      <c r="M27" s="1"/>
    </row>
    <row r="28" spans="1:13" ht="20.100000000000001" customHeight="1" x14ac:dyDescent="0.25">
      <c r="D28" s="136" t="str" cm="1">
        <f t="array" ref="D28">Common_InputFunctions.Utility_DisplayArrayInTable(SourceData_Dairy.SourceData_Dairy_LiveweightCowsAndHeifers_Data(), Table_SourceData_Dairy_WjCowsHeifers[[#Headers],[Breed]], 0)</f>
        <v>Ayrshire</v>
      </c>
      <c r="E28" s="39" cm="1">
        <f t="array" ref="E28">Common_InputFunctions.Utility_DisplayArrayInTable(SourceData_Dairy.SourceData_Dairy_LiveweightCowsAndHeifers_Data(), Table_SourceData_Dairy_WjCowsHeifers[[#Headers],[Breed]], 0)</f>
        <v>540</v>
      </c>
      <c r="F28" s="39" cm="1">
        <f t="array" ref="F28">Common_InputFunctions.Utility_DisplayArrayInTable(SourceData_Dairy.SourceData_Dairy_LiveweightCowsAndHeifers_Data(), Table_SourceData_Dairy_WjCowsHeifers[[#Headers],[Breed]], 0)</f>
        <v>375</v>
      </c>
      <c r="G28" s="39" cm="1">
        <f t="array" ref="G28">Common_InputFunctions.Utility_DisplayArrayInTable(SourceData_Dairy.SourceData_Dairy_LiveweightCowsAndHeifers_Data(), Table_SourceData_Dairy_WjCowsHeifers[[#Headers],[Breed]], 0)</f>
        <v>150</v>
      </c>
      <c r="M28" s="1"/>
    </row>
    <row r="29" spans="1:13" ht="20.100000000000001" customHeight="1" x14ac:dyDescent="0.25">
      <c r="D29" s="136" t="str" cm="1">
        <f t="array" ref="D29">Common_InputFunctions.Utility_DisplayArrayInTable(SourceData_Dairy.SourceData_Dairy_LiveweightCowsAndHeifers_Data(), Table_SourceData_Dairy_WjCowsHeifers[[#Headers],[Breed]], 0)</f>
        <v>Guernsey</v>
      </c>
      <c r="E29" s="39" cm="1">
        <f t="array" ref="E29">Common_InputFunctions.Utility_DisplayArrayInTable(SourceData_Dairy.SourceData_Dairy_LiveweightCowsAndHeifers_Data(), Table_SourceData_Dairy_WjCowsHeifers[[#Headers],[Breed]], 0)</f>
        <v>480</v>
      </c>
      <c r="F29" s="39" cm="1">
        <f t="array" ref="F29">Common_InputFunctions.Utility_DisplayArrayInTable(SourceData_Dairy.SourceData_Dairy_LiveweightCowsAndHeifers_Data(), Table_SourceData_Dairy_WjCowsHeifers[[#Headers],[Breed]], 0)</f>
        <v>335</v>
      </c>
      <c r="G29" s="39" cm="1">
        <f t="array" ref="G29">Common_InputFunctions.Utility_DisplayArrayInTable(SourceData_Dairy.SourceData_Dairy_LiveweightCowsAndHeifers_Data(), Table_SourceData_Dairy_WjCowsHeifers[[#Headers],[Breed]], 0)</f>
        <v>140</v>
      </c>
      <c r="M29" s="1"/>
    </row>
    <row r="30" spans="1:13" ht="20.100000000000001" customHeight="1" x14ac:dyDescent="0.25">
      <c r="D30" s="136" t="str" cm="1">
        <f t="array" ref="D30">Common_InputFunctions.Utility_DisplayArrayInTable(SourceData_Dairy.SourceData_Dairy_LiveweightCowsAndHeifers_Data(), Table_SourceData_Dairy_WjCowsHeifers[[#Headers],[Breed]], 0)</f>
        <v>Brown Swiss</v>
      </c>
      <c r="E30" s="39" cm="1">
        <f t="array" ref="E30">Common_InputFunctions.Utility_DisplayArrayInTable(SourceData_Dairy.SourceData_Dairy_LiveweightCowsAndHeifers_Data(), Table_SourceData_Dairy_WjCowsHeifers[[#Headers],[Breed]], 0)</f>
        <v>600</v>
      </c>
      <c r="F30" s="39" cm="1">
        <f t="array" ref="F30">Common_InputFunctions.Utility_DisplayArrayInTable(SourceData_Dairy.SourceData_Dairy_LiveweightCowsAndHeifers_Data(), Table_SourceData_Dairy_WjCowsHeifers[[#Headers],[Breed]], 0)</f>
        <v>415</v>
      </c>
      <c r="G30" s="39" cm="1">
        <f t="array" ref="G30">Common_InputFunctions.Utility_DisplayArrayInTable(SourceData_Dairy.SourceData_Dairy_LiveweightCowsAndHeifers_Data(), Table_SourceData_Dairy_WjCowsHeifers[[#Headers],[Breed]], 0)</f>
        <v>170</v>
      </c>
      <c r="M30" s="1"/>
    </row>
    <row r="31" spans="1:13" ht="20.100000000000001" customHeight="1" x14ac:dyDescent="0.25">
      <c r="D31" s="136" t="str" cm="1">
        <f t="array" ref="D31">Common_InputFunctions.Utility_DisplayArrayInTable(SourceData_Dairy.SourceData_Dairy_LiveweightCowsAndHeifers_Data(), Table_SourceData_Dairy_WjCowsHeifers[[#Headers],[Breed]], 0)</f>
        <v>Illawarra/Aussie Red</v>
      </c>
      <c r="E31" s="39" cm="1">
        <f t="array" ref="E31">Common_InputFunctions.Utility_DisplayArrayInTable(SourceData_Dairy.SourceData_Dairy_LiveweightCowsAndHeifers_Data(), Table_SourceData_Dairy_WjCowsHeifers[[#Headers],[Breed]], 0)</f>
        <v>550</v>
      </c>
      <c r="F31" s="39" cm="1">
        <f t="array" ref="F31">Common_InputFunctions.Utility_DisplayArrayInTable(SourceData_Dairy.SourceData_Dairy_LiveweightCowsAndHeifers_Data(), Table_SourceData_Dairy_WjCowsHeifers[[#Headers],[Breed]], 0)</f>
        <v>375</v>
      </c>
      <c r="G31" s="39" cm="1">
        <f t="array" ref="G31">Common_InputFunctions.Utility_DisplayArrayInTable(SourceData_Dairy.SourceData_Dairy_LiveweightCowsAndHeifers_Data(), Table_SourceData_Dairy_WjCowsHeifers[[#Headers],[Breed]], 0)</f>
        <v>150</v>
      </c>
      <c r="M31" s="1"/>
    </row>
    <row r="32" spans="1:13" ht="20.100000000000001" customHeight="1" x14ac:dyDescent="0.25">
      <c r="M32" s="1"/>
    </row>
    <row r="33" spans="4:13" ht="20.100000000000001" customHeight="1" x14ac:dyDescent="0.25">
      <c r="M33" s="1"/>
    </row>
    <row r="34" spans="4:13" ht="20.100000000000001" customHeight="1" x14ac:dyDescent="0.25">
      <c r="D34" s="6" t="str" cm="1">
        <f t="array" ref="D34">SourceData_Dairy.SourceData_Dairy_LiveweightBulls_Title()</f>
        <v>Table A.1.3.2: Dairy cattle - Liveweight (kg) - Bulls (Wj)</v>
      </c>
      <c r="M34" s="1"/>
    </row>
    <row r="35" spans="4:13" ht="20.100000000000001" customHeight="1" x14ac:dyDescent="0.25">
      <c r="D35" s="5" t="str" cm="1">
        <f t="array" ref="D35">SourceData_Dairy.SourceData_Dairy_LiveweightBulls_Source()</f>
        <v>VEERG 2026: Table A.1.3.2</v>
      </c>
      <c r="M35" s="1"/>
    </row>
    <row r="36" spans="4:13" ht="20.100000000000001" customHeight="1" x14ac:dyDescent="0.25">
      <c r="D36" s="1" t="str" cm="1">
        <f t="array" ref="D36">SourceData_Dairy.SourceData_Dairy_LiveweightBulls_Variable()</f>
        <v>Wj</v>
      </c>
      <c r="M36" s="1"/>
    </row>
    <row r="37" spans="4:13" ht="20.100000000000001" customHeight="1" x14ac:dyDescent="0.25">
      <c r="D37" s="57" t="str" cm="1">
        <f t="array" ref="D37">SourceData_Dairy.SourceData_Dairy_LiveweightBulls_Unit()</f>
        <v>kg</v>
      </c>
      <c r="M37" s="1"/>
    </row>
    <row r="38" spans="4:13" ht="20.100000000000001" customHeight="1" x14ac:dyDescent="0.25">
      <c r="D38" s="136" t="s">
        <v>276</v>
      </c>
      <c r="E38" s="136" t="s">
        <v>281</v>
      </c>
      <c r="F38" s="136" t="s">
        <v>280</v>
      </c>
      <c r="M38" s="1"/>
    </row>
    <row r="39" spans="4:13" ht="20.100000000000001" customHeight="1" x14ac:dyDescent="0.25">
      <c r="D39" s="136" t="str" cm="1">
        <f t="array" ref="D39">Common_InputFunctions.Utility_DisplayArrayInTable(SourceData_Dairy.SourceData_Dairy_LiveweightBulls_Data(), Table_SourceData_Dairy_WjBulls[[#Headers],[Breed]], 0)</f>
        <v>All breeds</v>
      </c>
      <c r="E39" s="136" cm="1">
        <f t="array" ref="E39">Common_InputFunctions.Utility_DisplayArrayInTable(SourceData_Dairy.SourceData_Dairy_LiveweightBulls_Data(), Table_SourceData_Dairy_WjBulls[[#Headers],[Breed]], 0)</f>
        <v>600</v>
      </c>
      <c r="F39" s="136" cm="1">
        <f t="array" ref="F39">Common_InputFunctions.Utility_DisplayArrayInTable(SourceData_Dairy.SourceData_Dairy_LiveweightBulls_Data(), Table_SourceData_Dairy_WjBulls[[#Headers],[Breed]], 0)</f>
        <v>225</v>
      </c>
      <c r="M39" s="1"/>
    </row>
    <row r="40" spans="4:13" ht="20.100000000000001" customHeight="1" x14ac:dyDescent="0.25">
      <c r="M40" s="1"/>
    </row>
    <row r="41" spans="4:13" ht="20.100000000000001" customHeight="1" x14ac:dyDescent="0.25">
      <c r="M41" s="1"/>
    </row>
    <row r="42" spans="4:13" ht="20.100000000000001" customHeight="1" x14ac:dyDescent="0.25">
      <c r="D42" s="6" t="str" cm="1">
        <f t="array" ref="D42">SourceData_Dairy.SourceData_Dairy_LiveweightGain_Title()</f>
        <v>Table A.1.3.3: Dairy cattle - Liveweight gain (kg) (LWGj)</v>
      </c>
      <c r="M42" s="1"/>
    </row>
    <row r="43" spans="4:13" ht="20.100000000000001" customHeight="1" x14ac:dyDescent="0.25">
      <c r="D43" s="5" t="str" cm="1">
        <f t="array" ref="D43">SourceData_Dairy.SourceData_Dairy_LiveweightGain_Source()</f>
        <v>VEERG 2026: Table A.1.3.3</v>
      </c>
      <c r="M43" s="1"/>
    </row>
    <row r="44" spans="4:13" ht="20.100000000000001" customHeight="1" x14ac:dyDescent="0.25">
      <c r="D44" s="1" t="str" cm="1">
        <f t="array" ref="D44">SourceData_Dairy.SourceData_Dairy_LiveweightGain_Variable()</f>
        <v>LWGj</v>
      </c>
      <c r="M44" s="1"/>
    </row>
    <row r="45" spans="4:13" ht="20.100000000000001" customHeight="1" x14ac:dyDescent="0.25">
      <c r="D45" s="57" t="str" cm="1">
        <f t="array" ref="D45">SourceData_Dairy.SourceData_Dairy_LiveweightGain_Unit()</f>
        <v>kg</v>
      </c>
      <c r="M45" s="1"/>
    </row>
    <row r="46" spans="4:13" ht="20.100000000000001" customHeight="1" x14ac:dyDescent="0.25">
      <c r="D46" s="136" t="s">
        <v>277</v>
      </c>
      <c r="E46" s="136" t="s">
        <v>278</v>
      </c>
      <c r="F46" s="136" t="s">
        <v>279</v>
      </c>
      <c r="G46" s="136" t="s">
        <v>281</v>
      </c>
      <c r="H46" s="136" t="s">
        <v>280</v>
      </c>
      <c r="M46" s="1"/>
    </row>
    <row r="47" spans="4:13" ht="20.100000000000001" customHeight="1" x14ac:dyDescent="0.25">
      <c r="D47" s="136" cm="1">
        <f t="array" ref="D47">Common_InputFunctions.Utility_DisplayArrayInTable(SourceData_Dairy.SourceData_Dairy_LiveweightGain_Data(), Table_SourceData_Dairy_LWGj[[#Headers],[Milking cows]], 0)</f>
        <v>1.6E-2</v>
      </c>
      <c r="E47" s="136" cm="1">
        <f t="array" ref="E47">Common_InputFunctions.Utility_DisplayArrayInTable(SourceData_Dairy.SourceData_Dairy_LiveweightGain_Data(), Table_SourceData_Dairy_LWGj[[#Headers],[Milking cows]], 0)</f>
        <v>0.6</v>
      </c>
      <c r="F47" s="136" cm="1">
        <f t="array" ref="F47">Common_InputFunctions.Utility_DisplayArrayInTable(SourceData_Dairy.SourceData_Dairy_LiveweightGain_Data(), Table_SourceData_Dairy_LWGj[[#Headers],[Milking cows]], 0)</f>
        <v>0.56999999999999995</v>
      </c>
      <c r="G47" s="136" cm="1">
        <f t="array" ref="G47">Common_InputFunctions.Utility_DisplayArrayInTable(SourceData_Dairy.SourceData_Dairy_LiveweightGain_Data(), Table_SourceData_Dairy_LWGj[[#Headers],[Milking cows]], 0)</f>
        <v>0.1</v>
      </c>
      <c r="H47" s="136" cm="1">
        <f t="array" ref="H47">Common_InputFunctions.Utility_DisplayArrayInTable(SourceData_Dairy.SourceData_Dairy_LiveweightGain_Data(), Table_SourceData_Dairy_LWGj[[#Headers],[Milking cows]], 0)</f>
        <v>0.8</v>
      </c>
      <c r="M47" s="1"/>
    </row>
    <row r="48" spans="4:13" ht="20.100000000000001" customHeight="1" x14ac:dyDescent="0.25">
      <c r="M48" s="1"/>
    </row>
    <row r="49" spans="4:13" ht="20.100000000000001" customHeight="1" x14ac:dyDescent="0.25">
      <c r="M49" s="1"/>
    </row>
    <row r="50" spans="4:13" ht="20.100000000000001" customHeight="1" x14ac:dyDescent="0.25">
      <c r="D50" s="6" t="str" cm="1">
        <f t="array" ref="D50">SourceData_Dairy.SourceData_Dairy_ReferenceWeights_Title()</f>
        <v>Table A.1.3.4: Dairy cattle - Reference weights (kg) (WRj)</v>
      </c>
      <c r="M50" s="1"/>
    </row>
    <row r="51" spans="4:13" ht="20.100000000000001" customHeight="1" x14ac:dyDescent="0.25">
      <c r="D51" s="5" t="str" cm="1">
        <f t="array" ref="D51">SourceData_Dairy.SourceData_Dairy_ReferenceWeights_Source()</f>
        <v>VEERG 2026: Table A.1.3.4</v>
      </c>
      <c r="M51" s="1"/>
    </row>
    <row r="52" spans="4:13" ht="20.100000000000001" customHeight="1" x14ac:dyDescent="0.25">
      <c r="D52" s="1" t="str" cm="1">
        <f t="array" ref="D52">SourceData_Dairy.SourceData_Dairy_ReferenceWeights_Variable()</f>
        <v>WRj</v>
      </c>
      <c r="M52" s="1"/>
    </row>
    <row r="53" spans="4:13" ht="20.100000000000001" customHeight="1" x14ac:dyDescent="0.25">
      <c r="D53" s="57" t="str" cm="1">
        <f t="array" ref="D53">SourceData_Dairy.SourceData_Dairy_ReferenceWeights_Unit()</f>
        <v>kg</v>
      </c>
      <c r="M53" s="1"/>
    </row>
    <row r="54" spans="4:13" ht="20.100000000000001" customHeight="1" x14ac:dyDescent="0.25">
      <c r="D54" s="137" t="s">
        <v>277</v>
      </c>
      <c r="E54" s="137" t="s">
        <v>278</v>
      </c>
      <c r="F54" s="137" t="s">
        <v>279</v>
      </c>
      <c r="G54" s="137" t="s">
        <v>281</v>
      </c>
      <c r="H54" s="137" t="s">
        <v>280</v>
      </c>
      <c r="M54" s="1"/>
    </row>
    <row r="55" spans="4:13" ht="20.100000000000001" customHeight="1" x14ac:dyDescent="0.25">
      <c r="D55" s="1" cm="1">
        <f t="array" ref="D55">Common_InputFunctions.Utility_DisplayArrayInTable(SourceData_Dairy.SourceData_Dairy_ReferenceWeights_Data(), Table_SourceData_Dairy_WRj[[#Headers],[Milking cows]], 0)</f>
        <v>590</v>
      </c>
      <c r="E55" s="1" cm="1">
        <f t="array" ref="E55">Common_InputFunctions.Utility_DisplayArrayInTable(SourceData_Dairy.SourceData_Dairy_ReferenceWeights_Data(), Table_SourceData_Dairy_WRj[[#Headers],[Milking cows]], 0)</f>
        <v>590</v>
      </c>
      <c r="F55" s="1" cm="1">
        <f t="array" ref="F55">Common_InputFunctions.Utility_DisplayArrayInTable(SourceData_Dairy.SourceData_Dairy_ReferenceWeights_Data(), Table_SourceData_Dairy_WRj[[#Headers],[Milking cows]], 0)</f>
        <v>590</v>
      </c>
      <c r="G55" s="1" cm="1">
        <f t="array" ref="G55">Common_InputFunctions.Utility_DisplayArrayInTable(SourceData_Dairy.SourceData_Dairy_ReferenceWeights_Data(), Table_SourceData_Dairy_WRj[[#Headers],[Milking cows]], 0)</f>
        <v>770</v>
      </c>
      <c r="H55" s="1" cm="1">
        <f t="array" ref="H55">Common_InputFunctions.Utility_DisplayArrayInTable(SourceData_Dairy.SourceData_Dairy_ReferenceWeights_Data(), Table_SourceData_Dairy_WRj[[#Headers],[Milking cows]], 0)</f>
        <v>770</v>
      </c>
      <c r="M55" s="1"/>
    </row>
    <row r="56" spans="4:13" ht="20.100000000000001" customHeight="1" x14ac:dyDescent="0.25">
      <c r="M56" s="1"/>
    </row>
    <row r="57" spans="4:13" ht="20.100000000000001" customHeight="1" x14ac:dyDescent="0.25">
      <c r="M57" s="1"/>
    </row>
    <row r="58" spans="4:13" ht="20.100000000000001" customHeight="1" x14ac:dyDescent="0.25">
      <c r="D58" s="6" t="str" cm="1">
        <f t="array" ref="D58">SourceData_Dairy.SourceData_Dairy_PreWeanedCalves_Title()</f>
        <v>Table A.1.3.5: Dairy cattle - Data for pre - weaned calves</v>
      </c>
      <c r="M58" s="1"/>
    </row>
    <row r="59" spans="4:13" ht="20.100000000000001" customHeight="1" x14ac:dyDescent="0.25">
      <c r="D59" s="5" t="str" cm="1">
        <f t="array" ref="D59">SourceData_Dairy.SourceData_Dairy_PreWeanedCalves_Source()</f>
        <v>VEERG 2026: Table A.1.3.5</v>
      </c>
      <c r="M59" s="1"/>
    </row>
    <row r="60" spans="4:13" ht="20.100000000000001" customHeight="1" x14ac:dyDescent="0.25">
      <c r="D60" s="1" t="str" cm="1">
        <f t="array" ref="D60">SourceData_Dairy.SourceData_Dairy_PreWeanedCalves_Variable()</f>
        <v>VSj=3,5; NPWj=3,5</v>
      </c>
      <c r="M60" s="1"/>
    </row>
    <row r="61" spans="4:13" ht="20.100000000000001" customHeight="1" x14ac:dyDescent="0.25">
      <c r="D61" s="57" t="str" cm="1">
        <f t="array" ref="D61">SourceData_Dairy.SourceData_Dairy_PreWeanedCalves_Unit()</f>
        <v>kg/day</v>
      </c>
      <c r="M61" s="1"/>
    </row>
    <row r="62" spans="4:13" ht="20.100000000000001" customHeight="1" x14ac:dyDescent="0.25">
      <c r="D62" s="136" t="s">
        <v>282</v>
      </c>
      <c r="E62" s="136" t="s">
        <v>283</v>
      </c>
      <c r="F62" s="136" t="s">
        <v>284</v>
      </c>
      <c r="G62" s="136" t="s">
        <v>285</v>
      </c>
      <c r="M62" s="1"/>
    </row>
    <row r="63" spans="4:13" ht="20.100000000000001" customHeight="1" x14ac:dyDescent="0.25">
      <c r="D63" s="136" t="str" cm="1">
        <f t="array" ref="D63">Common_InputFunctions.Utility_DisplayArrayInTable(SourceData_Dairy.SourceData_Dairy_PreWeanedCalves_Data(), Table_SourceData_Dairy_DataPreWeaned[[#Headers],[Animal class j]], -1)</f>
        <v>Heifers&lt;1</v>
      </c>
      <c r="E63" s="136" cm="1">
        <f t="array" ref="E63">Common_InputFunctions.Utility_DisplayArrayInTable(SourceData_Dairy.SourceData_Dairy_PreWeanedCalves_Data(), Table_SourceData_Dairy_DataPreWeaned[[#Headers],[Animal class j]], -1)</f>
        <v>1.7600000000000001E-2</v>
      </c>
      <c r="F63" s="136" cm="1">
        <f t="array" ref="F63">Common_InputFunctions.Utility_DisplayArrayInTable(SourceData_Dairy.SourceData_Dairy_PreWeanedCalves_Data(), Table_SourceData_Dairy_DataPreWeaned[[#Headers],[Animal class j]], -1)</f>
        <v>0.26850000000000002</v>
      </c>
      <c r="G63" s="136" cm="1">
        <f t="array" ref="G63">Common_InputFunctions.Utility_DisplayArrayInTable(SourceData_Dairy.SourceData_Dairy_PreWeanedCalves_Data(), Table_SourceData_Dairy_DataPreWeaned[[#Headers],[Animal class j]], -1)</f>
        <v>1.37E-2</v>
      </c>
      <c r="M63" s="1"/>
    </row>
    <row r="64" spans="4:13" ht="20.100000000000001" customHeight="1" x14ac:dyDescent="0.25">
      <c r="D64" s="136" t="str" cm="1">
        <f t="array" ref="D64">Common_InputFunctions.Utility_DisplayArrayInTable(SourceData_Dairy.SourceData_Dairy_PreWeanedCalves_Data(), Table_SourceData_Dairy_DataPreWeaned[[#Headers],[Animal class j]], -1)</f>
        <v>Bulls&lt;1</v>
      </c>
      <c r="E64" s="136" cm="1">
        <f t="array" ref="E64">Common_InputFunctions.Utility_DisplayArrayInTable(SourceData_Dairy.SourceData_Dairy_PreWeanedCalves_Data(), Table_SourceData_Dairy_DataPreWeaned[[#Headers],[Animal class j]], -1)</f>
        <v>2.0400000000000001E-2</v>
      </c>
      <c r="F64" s="136" cm="1">
        <f t="array" ref="F64">Common_InputFunctions.Utility_DisplayArrayInTable(SourceData_Dairy.SourceData_Dairy_PreWeanedCalves_Data(), Table_SourceData_Dairy_DataPreWeaned[[#Headers],[Animal class j]], -1)</f>
        <v>0.30030000000000001</v>
      </c>
      <c r="G64" s="136" cm="1">
        <f t="array" ref="G64">Common_InputFunctions.Utility_DisplayArrayInTable(SourceData_Dairy.SourceData_Dairy_PreWeanedCalves_Data(), Table_SourceData_Dairy_DataPreWeaned[[#Headers],[Animal class j]], -1)</f>
        <v>9.1999999999999998E-3</v>
      </c>
      <c r="M64" s="1"/>
    </row>
    <row r="65" spans="4:22" ht="20.100000000000001" customHeight="1" x14ac:dyDescent="0.25">
      <c r="M65" s="1"/>
    </row>
    <row r="66" spans="4:22" ht="20.100000000000001" customHeight="1" x14ac:dyDescent="0.25">
      <c r="M66" s="1"/>
    </row>
    <row r="67" spans="4:22" ht="20.100000000000001" customHeight="1" x14ac:dyDescent="0.25">
      <c r="D67" s="6" t="str" cm="1">
        <f t="array" ref="D67">SourceData_Dairy.SourceData_Dairy_MCF_Title()</f>
        <v>Table A.1.3.6: Dairy cattle - Dairy cattle - MCFs (fraction) (MCFjm)</v>
      </c>
      <c r="M67" s="1"/>
    </row>
    <row r="68" spans="4:22" ht="20.100000000000001" customHeight="1" x14ac:dyDescent="0.25">
      <c r="D68" s="5" t="str" cm="1">
        <f t="array" ref="D68">SourceData_Dairy.SourceData_Dairy_MCF_Source()</f>
        <v>VEERG 2026: Table A.1.3.6</v>
      </c>
      <c r="M68" s="1"/>
    </row>
    <row r="69" spans="4:22" ht="20.100000000000001" customHeight="1" x14ac:dyDescent="0.25">
      <c r="D69" s="1" t="str" cm="1">
        <f t="array" ref="D69">SourceData_Dairy.SourceData_Dairy_MCF_Variable()</f>
        <v>MCFjm</v>
      </c>
      <c r="M69" s="1"/>
    </row>
    <row r="70" spans="4:22" ht="20.100000000000001" customHeight="1" x14ac:dyDescent="0.25">
      <c r="D70" s="57" t="str" cm="1">
        <f t="array" ref="D70">SourceData_Dairy.SourceData_Dairy_MCF_Unit()</f>
        <v>fraction</v>
      </c>
      <c r="M70" s="1"/>
    </row>
    <row r="71" spans="4:22" ht="20.100000000000001" customHeight="1" x14ac:dyDescent="0.25">
      <c r="D71" s="58" t="str" cm="1">
        <f t="array" ref="D71">SourceData_Dairy.SourceData_Dairy_MCF_Variation()</f>
        <v>VARIATION OF SOURCE: Added 'NIR reference' column to aid lookup</v>
      </c>
      <c r="M71" s="1"/>
      <c r="V71" s="1"/>
    </row>
    <row r="72" spans="4:22" ht="20.100000000000001" customHeight="1" x14ac:dyDescent="0.25">
      <c r="D72" s="136" t="s">
        <v>101</v>
      </c>
      <c r="E72" s="136" t="s">
        <v>82</v>
      </c>
      <c r="F72" s="136" t="s">
        <v>83</v>
      </c>
      <c r="G72" s="136" t="s">
        <v>84</v>
      </c>
      <c r="H72" s="136" t="s">
        <v>85</v>
      </c>
      <c r="I72" s="136" t="s">
        <v>86</v>
      </c>
      <c r="J72" s="136" t="s">
        <v>87</v>
      </c>
      <c r="K72" s="136" t="s">
        <v>88</v>
      </c>
      <c r="L72" s="136" t="s">
        <v>89</v>
      </c>
      <c r="M72" s="136" t="s">
        <v>293</v>
      </c>
      <c r="V72" s="1"/>
    </row>
    <row r="73" spans="4:22" ht="20.100000000000001" customHeight="1" x14ac:dyDescent="0.25">
      <c r="D73" s="136" t="str" cm="1">
        <f t="array" ref="D73">Common_InputFunctions.Utility_DisplayArrayInTable(SourceData_Dairy.SourceData_Dairy_MCF_Data(), Table_SourceData_Dairy_MCFjm[[#Headers],[MMS m]], 0)</f>
        <v>Pasture</v>
      </c>
      <c r="E73" s="136" cm="1">
        <f t="array" ref="E73">Common_InputFunctions.Utility_DisplayArrayInTable(SourceData_Dairy.SourceData_Dairy_MCF_Data(), Table_SourceData_Dairy_MCFjm[[#Headers],[MMS m]], 0)</f>
        <v>0.01</v>
      </c>
      <c r="F73" s="136" cm="1">
        <f t="array" ref="F73">Common_InputFunctions.Utility_DisplayArrayInTable(SourceData_Dairy.SourceData_Dairy_MCF_Data(), Table_SourceData_Dairy_MCFjm[[#Headers],[MMS m]], 0)</f>
        <v>0.01</v>
      </c>
      <c r="G73" s="136" cm="1">
        <f t="array" ref="G73">Common_InputFunctions.Utility_DisplayArrayInTable(SourceData_Dairy.SourceData_Dairy_MCF_Data(), Table_SourceData_Dairy_MCFjm[[#Headers],[MMS m]], 0)</f>
        <v>0.02</v>
      </c>
      <c r="H73" s="136" cm="1">
        <f t="array" ref="H73">Common_InputFunctions.Utility_DisplayArrayInTable(SourceData_Dairy.SourceData_Dairy_MCF_Data(), Table_SourceData_Dairy_MCFjm[[#Headers],[MMS m]], 0)</f>
        <v>0.01</v>
      </c>
      <c r="I73" s="136" cm="1">
        <f t="array" ref="I73">Common_InputFunctions.Utility_DisplayArrayInTable(SourceData_Dairy.SourceData_Dairy_MCF_Data(), Table_SourceData_Dairy_MCFjm[[#Headers],[MMS m]], 0)</f>
        <v>0.01</v>
      </c>
      <c r="J73" s="136" cm="1">
        <f t="array" ref="J73">Common_InputFunctions.Utility_DisplayArrayInTable(SourceData_Dairy.SourceData_Dairy_MCF_Data(), Table_SourceData_Dairy_MCFjm[[#Headers],[MMS m]], 0)</f>
        <v>0.01</v>
      </c>
      <c r="K73" s="136" cm="1">
        <f t="array" ref="K73">Common_InputFunctions.Utility_DisplayArrayInTable(SourceData_Dairy.SourceData_Dairy_MCF_Data(), Table_SourceData_Dairy_MCFjm[[#Headers],[MMS m]], 0)</f>
        <v>0.01</v>
      </c>
      <c r="L73" s="136" cm="1">
        <f t="array" ref="L73">Common_InputFunctions.Utility_DisplayArrayInTable(SourceData_Dairy.SourceData_Dairy_MCF_Data(), Table_SourceData_Dairy_MCFjm[[#Headers],[MMS m]], 0)</f>
        <v>0.01</v>
      </c>
      <c r="M73" s="136" t="str" cm="1">
        <f t="array" ref="M73">Common_InputFunctions.Utility_DisplayArrayInTable(SourceData_Dairy.SourceData_Dairy_MCF_Data(), Table_SourceData_Dairy_MCFjm[[#Headers],[MMS m]], 0)</f>
        <v>Pasture range and paddock</v>
      </c>
      <c r="V73" s="1"/>
    </row>
    <row r="74" spans="4:22" ht="20.100000000000001" customHeight="1" x14ac:dyDescent="0.25">
      <c r="D74" s="1" t="str" cm="1">
        <f t="array" ref="D74">Common_InputFunctions.Utility_DisplayArrayInTable(SourceData_Dairy.SourceData_Dairy_MCF_Data(), Table_SourceData_Dairy_MCFjm[[#Headers],[MMS m]], 0)</f>
        <v>Anaerobic lagoon</v>
      </c>
      <c r="E74" s="39" cm="1">
        <f t="array" ref="E74">Common_InputFunctions.Utility_DisplayArrayInTable(SourceData_Dairy.SourceData_Dairy_MCF_Data(), Table_SourceData_Dairy_MCFjm[[#Headers],[MMS m]], 0)</f>
        <v>0.72</v>
      </c>
      <c r="F74" s="39" cm="1">
        <f t="array" ref="F74">Common_InputFunctions.Utility_DisplayArrayInTable(SourceData_Dairy.SourceData_Dairy_MCF_Data(), Table_SourceData_Dairy_MCFjm[[#Headers],[MMS m]], 0)</f>
        <v>0.76</v>
      </c>
      <c r="G74" s="39" cm="1">
        <f t="array" ref="G74">Common_InputFunctions.Utility_DisplayArrayInTable(SourceData_Dairy.SourceData_Dairy_MCF_Data(), Table_SourceData_Dairy_MCFjm[[#Headers],[MMS m]], 0)</f>
        <v>0.8</v>
      </c>
      <c r="H74" s="39" cm="1">
        <f t="array" ref="H74">Common_InputFunctions.Utility_DisplayArrayInTable(SourceData_Dairy.SourceData_Dairy_MCF_Data(), Table_SourceData_Dairy_MCFjm[[#Headers],[MMS m]], 0)</f>
        <v>0.78</v>
      </c>
      <c r="I74" s="39" cm="1">
        <f t="array" ref="I74">Common_InputFunctions.Utility_DisplayArrayInTable(SourceData_Dairy.SourceData_Dairy_MCF_Data(), Table_SourceData_Dairy_MCFjm[[#Headers],[MMS m]], 0)</f>
        <v>0.74</v>
      </c>
      <c r="J74" s="39" cm="1">
        <f t="array" ref="J74">Common_InputFunctions.Utility_DisplayArrayInTable(SourceData_Dairy.SourceData_Dairy_MCF_Data(), Table_SourceData_Dairy_MCFjm[[#Headers],[MMS m]], 0)</f>
        <v>0.69</v>
      </c>
      <c r="K74" s="39" cm="1">
        <f t="array" ref="K74">Common_InputFunctions.Utility_DisplayArrayInTable(SourceData_Dairy.SourceData_Dairy_MCF_Data(), Table_SourceData_Dairy_MCFjm[[#Headers],[MMS m]], 0)</f>
        <v>0.73</v>
      </c>
      <c r="L74" s="39" cm="1">
        <f t="array" ref="L74">Common_InputFunctions.Utility_DisplayArrayInTable(SourceData_Dairy.SourceData_Dairy_MCF_Data(), Table_SourceData_Dairy_MCFjm[[#Headers],[MMS m]], 0)</f>
        <v>0.76</v>
      </c>
      <c r="M74" s="136" t="str" cm="1">
        <f t="array" ref="M74">Common_InputFunctions.Utility_DisplayArrayInTable(SourceData_Dairy.SourceData_Dairy_MCF_Data(), Table_SourceData_Dairy_MCFjm[[#Headers],[MMS m]], 0)</f>
        <v>Anaerobic lagoon</v>
      </c>
      <c r="V74" s="1"/>
    </row>
    <row r="75" spans="4:22" ht="20.100000000000001" customHeight="1" x14ac:dyDescent="0.25">
      <c r="D75" s="1" t="str" cm="1">
        <f t="array" ref="D75">Common_InputFunctions.Utility_DisplayArrayInTable(SourceData_Dairy.SourceData_Dairy_MCF_Data(), Table_SourceData_Dairy_MCFjm[[#Headers],[MMS m]], 0)</f>
        <v>Daily spread - Sump and dispersal systems</v>
      </c>
      <c r="E75" s="39" cm="1">
        <f t="array" ref="E75">Common_InputFunctions.Utility_DisplayArrayInTable(SourceData_Dairy.SourceData_Dairy_MCF_Data(), Table_SourceData_Dairy_MCFjm[[#Headers],[MMS m]], 0)</f>
        <v>5.0000000000000001E-3</v>
      </c>
      <c r="F75" s="39" cm="1">
        <f t="array" ref="F75">Common_InputFunctions.Utility_DisplayArrayInTable(SourceData_Dairy.SourceData_Dairy_MCF_Data(), Table_SourceData_Dairy_MCFjm[[#Headers],[MMS m]], 0)</f>
        <v>5.0000000000000001E-3</v>
      </c>
      <c r="G75" s="39" cm="1">
        <f t="array" ref="G75">Common_InputFunctions.Utility_DisplayArrayInTable(SourceData_Dairy.SourceData_Dairy_MCF_Data(), Table_SourceData_Dairy_MCFjm[[#Headers],[MMS m]], 0)</f>
        <v>0.01</v>
      </c>
      <c r="H75" s="39" cm="1">
        <f t="array" ref="H75">Common_InputFunctions.Utility_DisplayArrayInTable(SourceData_Dairy.SourceData_Dairy_MCF_Data(), Table_SourceData_Dairy_MCFjm[[#Headers],[MMS m]], 0)</f>
        <v>5.0000000000000001E-3</v>
      </c>
      <c r="I75" s="39" cm="1">
        <f t="array" ref="I75">Common_InputFunctions.Utility_DisplayArrayInTable(SourceData_Dairy.SourceData_Dairy_MCF_Data(), Table_SourceData_Dairy_MCFjm[[#Headers],[MMS m]], 0)</f>
        <v>5.0000000000000001E-3</v>
      </c>
      <c r="J75" s="39" cm="1">
        <f t="array" ref="J75">Common_InputFunctions.Utility_DisplayArrayInTable(SourceData_Dairy.SourceData_Dairy_MCF_Data(), Table_SourceData_Dairy_MCFjm[[#Headers],[MMS m]], 0)</f>
        <v>1E-3</v>
      </c>
      <c r="K75" s="39" cm="1">
        <f t="array" ref="K75">Common_InputFunctions.Utility_DisplayArrayInTable(SourceData_Dairy.SourceData_Dairy_MCF_Data(), Table_SourceData_Dairy_MCFjm[[#Headers],[MMS m]], 0)</f>
        <v>5.0000000000000001E-3</v>
      </c>
      <c r="L75" s="39" cm="1">
        <f t="array" ref="L75">Common_InputFunctions.Utility_DisplayArrayInTable(SourceData_Dairy.SourceData_Dairy_MCF_Data(), Table_SourceData_Dairy_MCFjm[[#Headers],[MMS m]], 0)</f>
        <v>5.0000000000000001E-3</v>
      </c>
      <c r="M75" s="136" t="str" cm="1">
        <f t="array" ref="M75">Common_InputFunctions.Utility_DisplayArrayInTable(SourceData_Dairy.SourceData_Dairy_MCF_Data(), Table_SourceData_Dairy_MCFjm[[#Headers],[MMS m]], 0)</f>
        <v>Sump and dispersal system</v>
      </c>
      <c r="V75" s="1"/>
    </row>
    <row r="76" spans="4:22" ht="20.100000000000001" customHeight="1" x14ac:dyDescent="0.25">
      <c r="D76" s="1" t="str" cm="1">
        <f t="array" ref="D76">Common_InputFunctions.Utility_DisplayArrayInTable(SourceData_Dairy.SourceData_Dairy_MCF_Data(), Table_SourceData_Dairy_MCFjm[[#Headers],[MMS m]], 0)</f>
        <v>Daily spread - Drains to paddocks (a)</v>
      </c>
      <c r="E76" s="39" cm="1">
        <f t="array" ref="E76">Common_InputFunctions.Utility_DisplayArrayInTable(SourceData_Dairy.SourceData_Dairy_MCF_Data(), Table_SourceData_Dairy_MCFjm[[#Headers],[MMS m]], 0)</f>
        <v>0.15</v>
      </c>
      <c r="F76" s="39" cm="1">
        <f t="array" ref="F76">Common_InputFunctions.Utility_DisplayArrayInTable(SourceData_Dairy.SourceData_Dairy_MCF_Data(), Table_SourceData_Dairy_MCFjm[[#Headers],[MMS m]], 0)</f>
        <v>0.18</v>
      </c>
      <c r="G76" s="39" cm="1">
        <f t="array" ref="G76">Common_InputFunctions.Utility_DisplayArrayInTable(SourceData_Dairy.SourceData_Dairy_MCF_Data(), Table_SourceData_Dairy_MCFjm[[#Headers],[MMS m]], 0)</f>
        <v>0.5</v>
      </c>
      <c r="H76" s="39" cm="1">
        <f t="array" ref="H76">Common_InputFunctions.Utility_DisplayArrayInTable(SourceData_Dairy.SourceData_Dairy_MCF_Data(), Table_SourceData_Dairy_MCFjm[[#Headers],[MMS m]], 0)</f>
        <v>0.24</v>
      </c>
      <c r="I76" s="39" cm="1">
        <f t="array" ref="I76">Common_InputFunctions.Utility_DisplayArrayInTable(SourceData_Dairy.SourceData_Dairy_MCF_Data(), Table_SourceData_Dairy_MCFjm[[#Headers],[MMS m]], 0)</f>
        <v>0.17</v>
      </c>
      <c r="J76" s="39" cm="1">
        <f t="array" ref="J76">Common_InputFunctions.Utility_DisplayArrayInTable(SourceData_Dairy.SourceData_Dairy_MCF_Data(), Table_SourceData_Dairy_MCFjm[[#Headers],[MMS m]], 0)</f>
        <v>0.13</v>
      </c>
      <c r="K76" s="39" cm="1">
        <f t="array" ref="K76">Common_InputFunctions.Utility_DisplayArrayInTable(SourceData_Dairy.SourceData_Dairy_MCF_Data(), Table_SourceData_Dairy_MCFjm[[#Headers],[MMS m]], 0)</f>
        <v>0.17</v>
      </c>
      <c r="L76" s="39" cm="1">
        <f t="array" ref="L76">Common_InputFunctions.Utility_DisplayArrayInTable(SourceData_Dairy.SourceData_Dairy_MCF_Data(), Table_SourceData_Dairy_MCFjm[[#Headers],[MMS m]], 0)</f>
        <v>0.18</v>
      </c>
      <c r="M76" s="136" t="str" cm="1">
        <f t="array" ref="M76">Common_InputFunctions.Utility_DisplayArrayInTable(SourceData_Dairy.SourceData_Dairy_MCF_Data(), Table_SourceData_Dairy_MCFjm[[#Headers],[MMS m]], 0)</f>
        <v>Drains to paddock</v>
      </c>
      <c r="V76" s="1"/>
    </row>
    <row r="77" spans="4:22" ht="20.100000000000001" customHeight="1" x14ac:dyDescent="0.25">
      <c r="D77" s="1" t="str" cm="1">
        <f t="array" ref="D77">Common_InputFunctions.Utility_DisplayArrayInTable(SourceData_Dairy.SourceData_Dairy_MCF_Data(), Table_SourceData_Dairy_MCFjm[[#Headers],[MMS m]], 0)</f>
        <v>Solid Storage</v>
      </c>
      <c r="E77" s="39" cm="1">
        <f t="array" ref="E77">Common_InputFunctions.Utility_DisplayArrayInTable(SourceData_Dairy.SourceData_Dairy_MCF_Data(), Table_SourceData_Dairy_MCFjm[[#Headers],[MMS m]], 0)</f>
        <v>0.02</v>
      </c>
      <c r="F77" s="39" cm="1">
        <f t="array" ref="F77">Common_InputFunctions.Utility_DisplayArrayInTable(SourceData_Dairy.SourceData_Dairy_MCF_Data(), Table_SourceData_Dairy_MCFjm[[#Headers],[MMS m]], 0)</f>
        <v>0.02</v>
      </c>
      <c r="G77" s="39" cm="1">
        <f t="array" ref="G77">Common_InputFunctions.Utility_DisplayArrayInTable(SourceData_Dairy.SourceData_Dairy_MCF_Data(), Table_SourceData_Dairy_MCFjm[[#Headers],[MMS m]], 0)</f>
        <v>0.02</v>
      </c>
      <c r="H77" s="39" cm="1">
        <f t="array" ref="H77">Common_InputFunctions.Utility_DisplayArrayInTable(SourceData_Dairy.SourceData_Dairy_MCF_Data(), Table_SourceData_Dairy_MCFjm[[#Headers],[MMS m]], 0)</f>
        <v>0.02</v>
      </c>
      <c r="I77" s="39" cm="1">
        <f t="array" ref="I77">Common_InputFunctions.Utility_DisplayArrayInTable(SourceData_Dairy.SourceData_Dairy_MCF_Data(), Table_SourceData_Dairy_MCFjm[[#Headers],[MMS m]], 0)</f>
        <v>0.02</v>
      </c>
      <c r="J77" s="39" cm="1">
        <f t="array" ref="J77">Common_InputFunctions.Utility_DisplayArrayInTable(SourceData_Dairy.SourceData_Dairy_MCF_Data(), Table_SourceData_Dairy_MCFjm[[#Headers],[MMS m]], 0)</f>
        <v>0.02</v>
      </c>
      <c r="K77" s="39" cm="1">
        <f t="array" ref="K77">Common_InputFunctions.Utility_DisplayArrayInTable(SourceData_Dairy.SourceData_Dairy_MCF_Data(), Table_SourceData_Dairy_MCFjm[[#Headers],[MMS m]], 0)</f>
        <v>0.02</v>
      </c>
      <c r="L77" s="39" cm="1">
        <f t="array" ref="L77">Common_InputFunctions.Utility_DisplayArrayInTable(SourceData_Dairy.SourceData_Dairy_MCF_Data(), Table_SourceData_Dairy_MCFjm[[#Headers],[MMS m]], 0)</f>
        <v>0.02</v>
      </c>
      <c r="M77" s="136" t="str" cm="1">
        <f t="array" ref="M77">Common_InputFunctions.Utility_DisplayArrayInTable(SourceData_Dairy.SourceData_Dairy_MCF_Data(), Table_SourceData_Dairy_MCFjm[[#Headers],[MMS m]], 0)</f>
        <v>Solid storage</v>
      </c>
      <c r="V77" s="1"/>
    </row>
    <row r="78" spans="4:22" ht="20.100000000000001" customHeight="1" x14ac:dyDescent="0.25">
      <c r="D78" s="1" t="str" cm="1">
        <f t="array" ref="D78">Common_InputFunctions.Utility_DisplayArrayInTable(SourceData_Dairy.SourceData_Dairy_MCF_Data(), Table_SourceData_Dairy_MCFjm[[#Headers],[MMS m]], 0)</f>
        <v>Direct Application to soil</v>
      </c>
      <c r="E78" s="39" cm="1">
        <f t="array" ref="E78">Common_InputFunctions.Utility_DisplayArrayInTable(SourceData_Dairy.SourceData_Dairy_MCF_Data(), Table_SourceData_Dairy_MCFjm[[#Headers],[MMS m]], 0)</f>
        <v>0</v>
      </c>
      <c r="F78" s="39" cm="1">
        <f t="array" ref="F78">Common_InputFunctions.Utility_DisplayArrayInTable(SourceData_Dairy.SourceData_Dairy_MCF_Data(), Table_SourceData_Dairy_MCFjm[[#Headers],[MMS m]], 0)</f>
        <v>0</v>
      </c>
      <c r="G78" s="39" cm="1">
        <f t="array" ref="G78">Common_InputFunctions.Utility_DisplayArrayInTable(SourceData_Dairy.SourceData_Dairy_MCF_Data(), Table_SourceData_Dairy_MCFjm[[#Headers],[MMS m]], 0)</f>
        <v>0</v>
      </c>
      <c r="H78" s="39" cm="1">
        <f t="array" ref="H78">Common_InputFunctions.Utility_DisplayArrayInTable(SourceData_Dairy.SourceData_Dairy_MCF_Data(), Table_SourceData_Dairy_MCFjm[[#Headers],[MMS m]], 0)</f>
        <v>0</v>
      </c>
      <c r="I78" s="39" cm="1">
        <f t="array" ref="I78">Common_InputFunctions.Utility_DisplayArrayInTable(SourceData_Dairy.SourceData_Dairy_MCF_Data(), Table_SourceData_Dairy_MCFjm[[#Headers],[MMS m]], 0)</f>
        <v>0</v>
      </c>
      <c r="J78" s="39" cm="1">
        <f t="array" ref="J78">Common_InputFunctions.Utility_DisplayArrayInTable(SourceData_Dairy.SourceData_Dairy_MCF_Data(), Table_SourceData_Dairy_MCFjm[[#Headers],[MMS m]], 0)</f>
        <v>0</v>
      </c>
      <c r="K78" s="39" cm="1">
        <f t="array" ref="K78">Common_InputFunctions.Utility_DisplayArrayInTable(SourceData_Dairy.SourceData_Dairy_MCF_Data(), Table_SourceData_Dairy_MCFjm[[#Headers],[MMS m]], 0)</f>
        <v>0</v>
      </c>
      <c r="L78" s="39" cm="1">
        <f t="array" ref="L78">Common_InputFunctions.Utility_DisplayArrayInTable(SourceData_Dairy.SourceData_Dairy_MCF_Data(), Table_SourceData_Dairy_MCFjm[[#Headers],[MMS m]], 0)</f>
        <v>0</v>
      </c>
      <c r="M78" s="136" t="str" cm="1">
        <f t="array" ref="M78">Common_InputFunctions.Utility_DisplayArrayInTable(SourceData_Dairy.SourceData_Dairy_MCF_Data(), Table_SourceData_Dairy_MCFjm[[#Headers],[MMS m]], 0)</f>
        <v>Direct application</v>
      </c>
    </row>
    <row r="79" spans="4:22" ht="20.100000000000001" customHeight="1" x14ac:dyDescent="0.25">
      <c r="M79" s="1"/>
    </row>
    <row r="80" spans="4:22" ht="20.100000000000001" customHeight="1" x14ac:dyDescent="0.25">
      <c r="M80" s="1"/>
    </row>
    <row r="81" spans="4:22" ht="20.100000000000001" customHeight="1" x14ac:dyDescent="0.25">
      <c r="D81" s="6" t="str" cm="1">
        <f t="array" ref="D81">SourceData_Dairy.SourceData_Dairy_NitrousOxideEFsAndFracGASM_Title()</f>
        <v>Table A.1.3.7: Dairy cattle - Nitrous oxide EFs and fraction of N volatilised by MMS</v>
      </c>
      <c r="M81" s="1"/>
    </row>
    <row r="82" spans="4:22" ht="20.100000000000001" customHeight="1" x14ac:dyDescent="0.25">
      <c r="D82" s="5" t="str" cm="1">
        <f t="array" ref="D82">SourceData_Dairy.SourceData_Dairy_NitrousOxideEFsAndFracGASM_Source()</f>
        <v>VEERG 2026: Table A.1.3.7</v>
      </c>
      <c r="M82" s="1"/>
    </row>
    <row r="83" spans="4:22" ht="20.100000000000001" customHeight="1" x14ac:dyDescent="0.25">
      <c r="D83" s="1" t="str" cm="1">
        <f t="array" ref="D83">SourceData_Dairy.SourceData_Dairy_NitrousOxideEFsAndFracGASM_Variable()</f>
        <v>EFm; FracGASMm</v>
      </c>
      <c r="M83" s="1"/>
    </row>
    <row r="84" spans="4:22" ht="20.100000000000001" customHeight="1" x14ac:dyDescent="0.25">
      <c r="D84" s="57" t="str" cm="1">
        <f t="array" ref="D84">SourceData_Dairy.SourceData_Dairy_NitrousOxideEFsAndFracGASM_Unit()</f>
        <v>kg N2O-N/kg N excreted</v>
      </c>
      <c r="M84" s="1"/>
    </row>
    <row r="85" spans="4:22" ht="20.100000000000001" customHeight="1" x14ac:dyDescent="0.25">
      <c r="D85" s="58" t="str" cm="1">
        <f t="array" ref="D85">SourceData_Dairy.SourceData_Dairy_NitrousOxideEFsAndFracGASM_Variation()</f>
        <v>VARIATION OF SOURCE: Added 'NIR reference' column to aid lookup</v>
      </c>
      <c r="M85" s="1"/>
      <c r="V85" s="1"/>
    </row>
    <row r="86" spans="4:22" ht="20.100000000000001" customHeight="1" x14ac:dyDescent="0.25">
      <c r="D86" s="136" t="s">
        <v>101</v>
      </c>
      <c r="E86" s="136" t="s">
        <v>286</v>
      </c>
      <c r="F86" s="136" t="s">
        <v>287</v>
      </c>
      <c r="G86" s="136" t="s">
        <v>293</v>
      </c>
      <c r="M86" s="1"/>
      <c r="V86" s="1"/>
    </row>
    <row r="87" spans="4:22" ht="20.100000000000001" customHeight="1" x14ac:dyDescent="0.25">
      <c r="D87" s="136" t="str" cm="1">
        <f t="array" ref="D87">Common_InputFunctions.Utility_DisplayArrayInTable(SourceData_Dairy.SourceData_Dairy_NitrousOxideEFsAndFracGASM_Data(), Table_SourceData_Dairy_EFmFracGASM[[#Headers],[MMS m]], 0)</f>
        <v>M=14 Pasture</v>
      </c>
      <c r="E87" s="136" cm="1">
        <f t="array" ref="E87">Common_InputFunctions.Utility_DisplayArrayInTable(SourceData_Dairy.SourceData_Dairy_NitrousOxideEFsAndFracGASM_Data(), Table_SourceData_Dairy_EFmFracGASM[[#Headers],[MMS m]], 0)</f>
        <v>0</v>
      </c>
      <c r="F87" s="136" cm="1">
        <f t="array" ref="F87">Common_InputFunctions.Utility_DisplayArrayInTable(SourceData_Dairy.SourceData_Dairy_NitrousOxideEFsAndFracGASM_Data(), Table_SourceData_Dairy_EFmFracGASM[[#Headers],[MMS m]], 0)</f>
        <v>0</v>
      </c>
      <c r="G87" s="136" t="str" cm="1">
        <f t="array" ref="G87">Common_InputFunctions.Utility_DisplayArrayInTable(SourceData_Dairy.SourceData_Dairy_NitrousOxideEFsAndFracGASM_Data(), Table_SourceData_Dairy_EFmFracGASM[[#Headers],[MMS m]], 0)</f>
        <v>Pasture range and paddock</v>
      </c>
      <c r="M87" s="1"/>
      <c r="V87" s="1"/>
    </row>
    <row r="88" spans="4:22" ht="20.100000000000001" customHeight="1" x14ac:dyDescent="0.25">
      <c r="D88" s="1" t="str" cm="1">
        <f t="array" ref="D88">Common_InputFunctions.Utility_DisplayArrayInTable(SourceData_Dairy.SourceData_Dairy_NitrousOxideEFsAndFracGASM_Data(), Table_SourceData_Dairy_EFmFracGASM[[#Headers],[MMS m]], 0)</f>
        <v>M=1 Anaerobic lagoon</v>
      </c>
      <c r="E88" s="39" cm="1">
        <f t="array" ref="E88">Common_InputFunctions.Utility_DisplayArrayInTable(SourceData_Dairy.SourceData_Dairy_NitrousOxideEFsAndFracGASM_Data(), Table_SourceData_Dairy_EFmFracGASM[[#Headers],[MMS m]], 0)</f>
        <v>0</v>
      </c>
      <c r="F88" s="39" cm="1">
        <f t="array" ref="F88">Common_InputFunctions.Utility_DisplayArrayInTable(SourceData_Dairy.SourceData_Dairy_NitrousOxideEFsAndFracGASM_Data(), Table_SourceData_Dairy_EFmFracGASM[[#Headers],[MMS m]], 0)</f>
        <v>0.35</v>
      </c>
      <c r="G88" s="136" t="str" cm="1">
        <f t="array" ref="G88">Common_InputFunctions.Utility_DisplayArrayInTable(SourceData_Dairy.SourceData_Dairy_NitrousOxideEFsAndFracGASM_Data(), Table_SourceData_Dairy_EFmFracGASM[[#Headers],[MMS m]], 0)</f>
        <v>Anaerobic lagoon</v>
      </c>
      <c r="M88" s="1"/>
      <c r="V88" s="1"/>
    </row>
    <row r="89" spans="4:22" ht="20.100000000000001" customHeight="1" x14ac:dyDescent="0.25">
      <c r="D89" s="1" t="str" cm="1">
        <f t="array" ref="D89">Common_InputFunctions.Utility_DisplayArrayInTable(SourceData_Dairy.SourceData_Dairy_NitrousOxideEFsAndFracGASM_Data(), Table_SourceData_Dairy_EFmFracGASM[[#Headers],[MMS m]], 0)</f>
        <v>M=2 Daily Spread - Sump and Dispersal</v>
      </c>
      <c r="E89" s="39" cm="1">
        <f t="array" ref="E89">Common_InputFunctions.Utility_DisplayArrayInTable(SourceData_Dairy.SourceData_Dairy_NitrousOxideEFsAndFracGASM_Data(), Table_SourceData_Dairy_EFmFracGASM[[#Headers],[MMS m]], 0)</f>
        <v>0</v>
      </c>
      <c r="F89" s="39" cm="1">
        <f t="array" ref="F89">Common_InputFunctions.Utility_DisplayArrayInTable(SourceData_Dairy.SourceData_Dairy_NitrousOxideEFsAndFracGASM_Data(), Table_SourceData_Dairy_EFmFracGASM[[#Headers],[MMS m]], 0)</f>
        <v>7.0000000000000007E-2</v>
      </c>
      <c r="G89" s="136" t="str" cm="1">
        <f t="array" ref="G89">Common_InputFunctions.Utility_DisplayArrayInTable(SourceData_Dairy.SourceData_Dairy_NitrousOxideEFsAndFracGASM_Data(), Table_SourceData_Dairy_EFmFracGASM[[#Headers],[MMS m]], 0)</f>
        <v>Sump and dispersal system</v>
      </c>
      <c r="M89" s="1"/>
      <c r="V89" s="1"/>
    </row>
    <row r="90" spans="4:22" ht="20.100000000000001" customHeight="1" x14ac:dyDescent="0.25">
      <c r="D90" s="1" t="str" cm="1">
        <f t="array" ref="D90">Common_InputFunctions.Utility_DisplayArrayInTable(SourceData_Dairy.SourceData_Dairy_NitrousOxideEFsAndFracGASM_Data(), Table_SourceData_Dairy_EFmFracGASM[[#Headers],[MMS m]], 0)</f>
        <v>M=3 Daily Spread - Drains to Paddock</v>
      </c>
      <c r="E90" s="39" cm="1">
        <f t="array" ref="E90">Common_InputFunctions.Utility_DisplayArrayInTable(SourceData_Dairy.SourceData_Dairy_NitrousOxideEFsAndFracGASM_Data(), Table_SourceData_Dairy_EFmFracGASM[[#Headers],[MMS m]], 0)</f>
        <v>0</v>
      </c>
      <c r="F90" s="39" cm="1">
        <f t="array" ref="F90">Common_InputFunctions.Utility_DisplayArrayInTable(SourceData_Dairy.SourceData_Dairy_NitrousOxideEFsAndFracGASM_Data(), Table_SourceData_Dairy_EFmFracGASM[[#Headers],[MMS m]], 0)</f>
        <v>0.2</v>
      </c>
      <c r="G90" s="136" t="str" cm="1">
        <f t="array" ref="G90">Common_InputFunctions.Utility_DisplayArrayInTable(SourceData_Dairy.SourceData_Dairy_NitrousOxideEFsAndFracGASM_Data(), Table_SourceData_Dairy_EFmFracGASM[[#Headers],[MMS m]], 0)</f>
        <v>Drains to paddock</v>
      </c>
      <c r="M90" s="1"/>
      <c r="V90" s="1"/>
    </row>
    <row r="91" spans="4:22" ht="20.100000000000001" customHeight="1" x14ac:dyDescent="0.25">
      <c r="D91" s="1" t="str" cm="1">
        <f t="array" ref="D91">Common_InputFunctions.Utility_DisplayArrayInTable(SourceData_Dairy.SourceData_Dairy_NitrousOxideEFsAndFracGASM_Data(), Table_SourceData_Dairy_EFmFracGASM[[#Headers],[MMS m]], 0)</f>
        <v>M=3 Solid Storage</v>
      </c>
      <c r="E91" s="39" cm="1">
        <f t="array" ref="E91">Common_InputFunctions.Utility_DisplayArrayInTable(SourceData_Dairy.SourceData_Dairy_NitrousOxideEFsAndFracGASM_Data(), Table_SourceData_Dairy_EFmFracGASM[[#Headers],[MMS m]], 0)</f>
        <v>5.0000000000000001E-3</v>
      </c>
      <c r="F91" s="39" cm="1">
        <f t="array" ref="F91">Common_InputFunctions.Utility_DisplayArrayInTable(SourceData_Dairy.SourceData_Dairy_NitrousOxideEFsAndFracGASM_Data(), Table_SourceData_Dairy_EFmFracGASM[[#Headers],[MMS m]], 0)</f>
        <v>0.3</v>
      </c>
      <c r="G91" s="136" t="str" cm="1">
        <f t="array" ref="G91">Common_InputFunctions.Utility_DisplayArrayInTable(SourceData_Dairy.SourceData_Dairy_NitrousOxideEFsAndFracGASM_Data(), Table_SourceData_Dairy_EFmFracGASM[[#Headers],[MMS m]], 0)</f>
        <v>Solid storage</v>
      </c>
      <c r="M91" s="1"/>
    </row>
    <row r="92" spans="4:22" ht="20.100000000000001" customHeight="1" x14ac:dyDescent="0.25">
      <c r="M92" s="1"/>
    </row>
    <row r="93" spans="4:22" ht="20.100000000000001" customHeight="1" x14ac:dyDescent="0.25">
      <c r="M93" s="1"/>
    </row>
    <row r="94" spans="4:22" ht="20.100000000000001" customHeight="1" x14ac:dyDescent="0.25">
      <c r="D94" s="6" t="str" cm="1">
        <f t="array" ref="D94">SourceData_Dairy.SourceData_Dairy_MethaneProductionPreWeanedCalves_Title()</f>
        <v>Table A.1.3.8: Dairy cattle - Methane production for pre-weaned heifer and bull calves (kg CH4/head/day) (MPWENTERIC,j=3,5)</v>
      </c>
      <c r="M94" s="1"/>
    </row>
    <row r="95" spans="4:22" ht="20.100000000000001" customHeight="1" x14ac:dyDescent="0.25">
      <c r="D95" s="5" t="str" cm="1">
        <f t="array" ref="D95">SourceData_Dairy.SourceData_Dairy_MethaneProductionPreWeanedCalves_Source()</f>
        <v>VEERG 2026: Table A.1.3.8</v>
      </c>
      <c r="M95" s="1"/>
    </row>
    <row r="96" spans="4:22" ht="20.100000000000001" customHeight="1" x14ac:dyDescent="0.25">
      <c r="D96" s="1" t="str" cm="1">
        <f t="array" ref="D96">SourceData_Dairy.SourceData_Dairy_MethaneProductionPreWeanedCalves_Variable()</f>
        <v>MPWENTERIC,j=3,5</v>
      </c>
      <c r="M96" s="1"/>
    </row>
    <row r="97" spans="4:13" ht="20.100000000000001" customHeight="1" x14ac:dyDescent="0.25">
      <c r="D97" s="57" t="str" cm="1">
        <f t="array" ref="D97">SourceData_Dairy.SourceData_Dairy_MethaneProductionPreWeanedCalves_Unit()</f>
        <v>kg CH4/head/day</v>
      </c>
      <c r="M97" s="1"/>
    </row>
    <row r="98" spans="4:13" ht="20.100000000000001" customHeight="1" x14ac:dyDescent="0.25">
      <c r="D98" s="136" t="s">
        <v>282</v>
      </c>
      <c r="E98" s="136" t="s">
        <v>288</v>
      </c>
      <c r="M98" s="1"/>
    </row>
    <row r="99" spans="4:13" ht="20.100000000000001" customHeight="1" x14ac:dyDescent="0.25">
      <c r="D99" s="136" t="str" cm="1">
        <f t="array" ref="D99">Common_InputFunctions.Utility_DisplayArrayInTable(SourceData_Dairy.SourceData_Dairy_MethaneProductionPreWeanedCalves_Data(), Table_SourceData_Dairy_MPWENTERIC[[#Headers],[Animal class j]], 0)</f>
        <v>Heifers &lt; 1 year</v>
      </c>
      <c r="E99" s="136" cm="1">
        <f t="array" ref="E99">Common_InputFunctions.Utility_DisplayArrayInTable(SourceData_Dairy.SourceData_Dairy_MethaneProductionPreWeanedCalves_Data(), Table_SourceData_Dairy_MPWENTERIC[[#Headers],[Animal class j]], 0)</f>
        <v>1.7600000000000001E-2</v>
      </c>
      <c r="M99" s="1"/>
    </row>
    <row r="100" spans="4:13" ht="20.100000000000001" customHeight="1" x14ac:dyDescent="0.25">
      <c r="D100" s="1" t="str" cm="1">
        <f t="array" ref="D100">Common_InputFunctions.Utility_DisplayArrayInTable(SourceData_Dairy.SourceData_Dairy_MethaneProductionPreWeanedCalves_Data(), Table_SourceData_Dairy_MPWENTERIC[[#Headers],[Animal class j]], 0)</f>
        <v>Bulls &lt; 1 year</v>
      </c>
      <c r="E100" s="39" cm="1">
        <f t="array" ref="E100">Common_InputFunctions.Utility_DisplayArrayInTable(SourceData_Dairy.SourceData_Dairy_MethaneProductionPreWeanedCalves_Data(), Table_SourceData_Dairy_MPWENTERIC[[#Headers],[Animal class j]], 0)</f>
        <v>2.0400000000000001E-2</v>
      </c>
      <c r="M100" s="1"/>
    </row>
    <row r="101" spans="4:13" ht="20.100000000000001" customHeight="1" x14ac:dyDescent="0.25">
      <c r="M101" s="1"/>
    </row>
    <row r="102" spans="4:13" ht="20.100000000000001" customHeight="1" x14ac:dyDescent="0.25">
      <c r="M102" s="1"/>
    </row>
    <row r="103" spans="4:13" ht="20.100000000000001" customHeight="1" x14ac:dyDescent="0.25">
      <c r="D103" s="6" t="str" cm="1">
        <f t="array" ref="D103">SourceData_Dairy.SourceData_Dairy_IncreasedMetabolicRateMilk_Title()</f>
        <v>Table A.1.3.9: Dairy cattle - Increased metabolic rate when producing milk (kg DM/head/day) (MRj)</v>
      </c>
      <c r="M103" s="1"/>
    </row>
    <row r="104" spans="4:13" ht="20.100000000000001" customHeight="1" x14ac:dyDescent="0.25">
      <c r="D104" s="5" t="str" cm="1">
        <f t="array" ref="D104">SourceData_Dairy.SourceData_Dairy_IncreasedMetabolicRateMilk_Source()</f>
        <v>VEERG 2026: Table A.1.3.9</v>
      </c>
      <c r="M104" s="1"/>
    </row>
    <row r="105" spans="4:13" ht="20.100000000000001" customHeight="1" x14ac:dyDescent="0.25">
      <c r="D105" s="1" t="str" cm="1">
        <f t="array" ref="D105">SourceData_Dairy.SourceData_Dairy_IncreasedMetabolicRateMilk_Variable()</f>
        <v>MRj</v>
      </c>
      <c r="M105" s="1"/>
    </row>
    <row r="106" spans="4:13" ht="20.100000000000001" customHeight="1" x14ac:dyDescent="0.25">
      <c r="D106" s="57" t="str" cm="1">
        <f t="array" ref="D106">SourceData_Dairy.SourceData_Dairy_IncreasedMetabolicRateMilk_Unit()</f>
        <v>kg DM/head/day</v>
      </c>
      <c r="M106" s="1"/>
    </row>
    <row r="107" spans="4:13" ht="20.100000000000001" customHeight="1" x14ac:dyDescent="0.25">
      <c r="D107" s="136" t="s">
        <v>282</v>
      </c>
      <c r="E107" s="136" t="s">
        <v>289</v>
      </c>
      <c r="M107" s="1"/>
    </row>
    <row r="108" spans="4:13" ht="20.100000000000001" customHeight="1" x14ac:dyDescent="0.25">
      <c r="D108" s="136" t="str" cm="1">
        <f t="array" ref="D108">Common_InputFunctions.Utility_DisplayArrayInTable(SourceData_Dairy.SourceData_Dairy_IncreasedMetabolicRateMilk_Data(), Table_SourceData_Dairy_MRj[[#Headers],[Animal class j]], 0)</f>
        <v>Milking cows, and house cows</v>
      </c>
      <c r="E108" s="136" cm="1">
        <f t="array" ref="E108">Common_InputFunctions.Utility_DisplayArrayInTable(SourceData_Dairy.SourceData_Dairy_IncreasedMetabolicRateMilk_Data(), Table_SourceData_Dairy_MRj[[#Headers],[Animal class j]], 0)</f>
        <v>1.1000000000000001</v>
      </c>
      <c r="M108" s="1"/>
    </row>
    <row r="109" spans="4:13" ht="20.100000000000001" customHeight="1" x14ac:dyDescent="0.25">
      <c r="D109" s="1" t="str" cm="1">
        <f t="array" ref="D109">Common_InputFunctions.Utility_DisplayArrayInTable(SourceData_Dairy.SourceData_Dairy_IncreasedMetabolicRateMilk_Data(), Table_SourceData_Dairy_MRj[[#Headers],[Animal class j]], 0)</f>
        <v>All other cattle classes</v>
      </c>
      <c r="E109" s="39" cm="1">
        <f t="array" ref="E109">Common_InputFunctions.Utility_DisplayArrayInTable(SourceData_Dairy.SourceData_Dairy_IncreasedMetabolicRateMilk_Data(), Table_SourceData_Dairy_MRj[[#Headers],[Animal class j]], 0)</f>
        <v>1</v>
      </c>
      <c r="M109" s="1"/>
    </row>
    <row r="110" spans="4:13" ht="20.100000000000001" customHeight="1" x14ac:dyDescent="0.25">
      <c r="M110" s="1"/>
    </row>
    <row r="111" spans="4:13" ht="20.100000000000001" customHeight="1" x14ac:dyDescent="0.25">
      <c r="M111" s="1"/>
    </row>
    <row r="112" spans="4:13" ht="20.100000000000001" customHeight="1" x14ac:dyDescent="0.25">
      <c r="D112" s="6" t="str" cm="1">
        <f t="array" ref="D112">SourceData_Dairy.SourceData_Dairy_FractionVolatileSolidsVoidedMMS_Title()</f>
        <v>Table A.1.3.10: Dairy cattle - Fraction of volatile solids voided to each manure management system (fraction) (MMSjm)</v>
      </c>
      <c r="M112" s="1"/>
    </row>
    <row r="113" spans="4:22" ht="20.100000000000001" customHeight="1" x14ac:dyDescent="0.25">
      <c r="D113" s="5" t="str" cm="1">
        <f t="array" ref="D113">SourceData_Dairy.SourceData_Dairy_FractionVolatileSolidsVoidedMMS_Source()</f>
        <v>VEERG 2026: Table A.1.3.10</v>
      </c>
      <c r="M113" s="1"/>
    </row>
    <row r="114" spans="4:22" ht="20.100000000000001" customHeight="1" x14ac:dyDescent="0.25">
      <c r="D114" s="1" t="str" cm="1">
        <f t="array" ref="D114">SourceData_Dairy.SourceData_Dairy_FractionVolatileSolidsVoidedMMS_Variable()</f>
        <v>MMSjm</v>
      </c>
      <c r="M114" s="1"/>
    </row>
    <row r="115" spans="4:22" ht="20.100000000000001" customHeight="1" x14ac:dyDescent="0.25">
      <c r="D115" s="57" t="str" cm="1">
        <f t="array" ref="D115">SourceData_Dairy.SourceData_Dairy_FractionVolatileSolidsVoidedMMS_Unit()</f>
        <v>fraction</v>
      </c>
      <c r="M115" s="1"/>
      <c r="V115" s="1"/>
    </row>
    <row r="116" spans="4:22" ht="20.100000000000001" customHeight="1" x14ac:dyDescent="0.25">
      <c r="D116" s="136" t="s">
        <v>290</v>
      </c>
      <c r="E116" s="136" t="s">
        <v>242</v>
      </c>
      <c r="F116" s="136" t="s">
        <v>291</v>
      </c>
      <c r="G116" s="136" t="s">
        <v>292</v>
      </c>
      <c r="M116" s="1"/>
      <c r="V116" s="1"/>
    </row>
    <row r="117" spans="4:22" ht="20.100000000000001" customHeight="1" x14ac:dyDescent="0.25">
      <c r="D117" s="136" t="str" cm="1">
        <f t="array" ref="D117">Common_InputFunctions.Utility_DisplayArrayInTable(SourceData_Dairy.SourceData_Dairy_FractionVolatileSolidsVoidedMMS_Data(), Table_SourceData_Dairy_ProductionSystemTemplates[[#Headers],[Area]], 0)</f>
        <v>System 1: Grazed Only</v>
      </c>
      <c r="E117" s="136" cm="1">
        <f t="array" ref="E117">Common_InputFunctions.Utility_DisplayArrayInTable(SourceData_Dairy.SourceData_Dairy_FractionVolatileSolidsVoidedMMS_Data(), Table_SourceData_Dairy_ProductionSystemTemplates[[#Headers],[Area]], 0)</f>
        <v>0.89</v>
      </c>
      <c r="F117" s="136" cm="1">
        <f t="array" ref="F117">Common_InputFunctions.Utility_DisplayArrayInTable(SourceData_Dairy.SourceData_Dairy_FractionVolatileSolidsVoidedMMS_Data(), Table_SourceData_Dairy_ProductionSystemTemplates[[#Headers],[Area]], 0)</f>
        <v>0.11</v>
      </c>
      <c r="G117" s="136" cm="1">
        <f t="array" ref="G117">Common_InputFunctions.Utility_DisplayArrayInTable(SourceData_Dairy.SourceData_Dairy_FractionVolatileSolidsVoidedMMS_Data(), Table_SourceData_Dairy_ProductionSystemTemplates[[#Headers],[Area]], 0)</f>
        <v>0</v>
      </c>
      <c r="M117" s="1"/>
      <c r="V117" s="1"/>
    </row>
    <row r="118" spans="4:22" ht="20.100000000000001" customHeight="1" x14ac:dyDescent="0.25">
      <c r="D118" s="1" t="str" cm="1">
        <f t="array" ref="D118">Common_InputFunctions.Utility_DisplayArrayInTable(SourceData_Dairy.SourceData_Dairy_FractionVolatileSolidsVoidedMMS_Data(), Table_SourceData_Dairy_ProductionSystemTemplates[[#Headers],[Area]], 0)</f>
        <v>System 2: On feedpad for &lt;10 hr/day for &lt;3 months/year</v>
      </c>
      <c r="E118" s="39" cm="1">
        <f t="array" ref="E118">Common_InputFunctions.Utility_DisplayArrayInTable(SourceData_Dairy.SourceData_Dairy_FractionVolatileSolidsVoidedMMS_Data(), Table_SourceData_Dairy_ProductionSystemTemplates[[#Headers],[Area]], 0)</f>
        <v>0.79</v>
      </c>
      <c r="F118" s="39" cm="1">
        <f t="array" ref="F118">Common_InputFunctions.Utility_DisplayArrayInTable(SourceData_Dairy.SourceData_Dairy_FractionVolatileSolidsVoidedMMS_Data(), Table_SourceData_Dairy_ProductionSystemTemplates[[#Headers],[Area]], 0)</f>
        <v>0.11</v>
      </c>
      <c r="G118" s="39" cm="1">
        <f t="array" ref="G118">Common_InputFunctions.Utility_DisplayArrayInTable(SourceData_Dairy.SourceData_Dairy_FractionVolatileSolidsVoidedMMS_Data(), Table_SourceData_Dairy_ProductionSystemTemplates[[#Headers],[Area]], 0)</f>
        <v>0.1</v>
      </c>
      <c r="M118" s="1"/>
    </row>
    <row r="119" spans="4:22" ht="20.100000000000001" customHeight="1" x14ac:dyDescent="0.25">
      <c r="D119" s="1" t="str" cm="1">
        <f t="array" ref="D119">Common_InputFunctions.Utility_DisplayArrayInTable(SourceData_Dairy.SourceData_Dairy_FractionVolatileSolidsVoidedMMS_Data(), Table_SourceData_Dairy_ProductionSystemTemplates[[#Headers],[Area]], 0)</f>
        <v>System 3: Pasture-grazed 3-9 months/year</v>
      </c>
      <c r="E119" s="39" cm="1">
        <f t="array" ref="E119">Common_InputFunctions.Utility_DisplayArrayInTable(SourceData_Dairy.SourceData_Dairy_FractionVolatileSolidsVoidedMMS_Data(), Table_SourceData_Dairy_ProductionSystemTemplates[[#Headers],[Area]], 0)</f>
        <v>0.53400000000000003</v>
      </c>
      <c r="F119" s="39" cm="1">
        <f t="array" ref="F119">Common_InputFunctions.Utility_DisplayArrayInTable(SourceData_Dairy.SourceData_Dairy_FractionVolatileSolidsVoidedMMS_Data(), Table_SourceData_Dairy_ProductionSystemTemplates[[#Headers],[Area]], 0)</f>
        <v>0.11</v>
      </c>
      <c r="G119" s="39" cm="1">
        <f t="array" ref="G119">Common_InputFunctions.Utility_DisplayArrayInTable(SourceData_Dairy.SourceData_Dairy_FractionVolatileSolidsVoidedMMS_Data(), Table_SourceData_Dairy_ProductionSystemTemplates[[#Headers],[Area]], 0)</f>
        <v>0.35599999999999998</v>
      </c>
      <c r="M119" s="1"/>
    </row>
    <row r="120" spans="4:22" ht="20.100000000000001" customHeight="1" x14ac:dyDescent="0.25">
      <c r="D120" s="1" t="str" cm="1">
        <f t="array" ref="D120">Common_InputFunctions.Utility_DisplayArrayInTable(SourceData_Dairy.SourceData_Dairy_FractionVolatileSolidsVoidedMMS_Data(), Table_SourceData_Dairy_ProductionSystemTemplates[[#Headers],[Area]], 0)</f>
        <v>System 4: Zero grazing</v>
      </c>
      <c r="E120" s="39" cm="1">
        <f t="array" ref="E120">Common_InputFunctions.Utility_DisplayArrayInTable(SourceData_Dairy.SourceData_Dairy_FractionVolatileSolidsVoidedMMS_Data(), Table_SourceData_Dairy_ProductionSystemTemplates[[#Headers],[Area]], 0)</f>
        <v>0</v>
      </c>
      <c r="F120" s="39" cm="1">
        <f t="array" ref="F120">Common_InputFunctions.Utility_DisplayArrayInTable(SourceData_Dairy.SourceData_Dairy_FractionVolatileSolidsVoidedMMS_Data(), Table_SourceData_Dairy_ProductionSystemTemplates[[#Headers],[Area]], 0)</f>
        <v>0.11</v>
      </c>
      <c r="G120" s="39" cm="1">
        <f t="array" ref="G120">Common_InputFunctions.Utility_DisplayArrayInTable(SourceData_Dairy.SourceData_Dairy_FractionVolatileSolidsVoidedMMS_Data(), Table_SourceData_Dairy_ProductionSystemTemplates[[#Headers],[Area]], 0)</f>
        <v>0.89</v>
      </c>
      <c r="M120" s="1"/>
    </row>
    <row r="121" spans="4:22" ht="20.100000000000001" customHeight="1" x14ac:dyDescent="0.25">
      <c r="M121" s="1"/>
    </row>
    <row r="122" spans="4:22" ht="20.100000000000001" customHeight="1" x14ac:dyDescent="0.25">
      <c r="M122" s="1"/>
    </row>
    <row r="123" spans="4:22" ht="20.100000000000001" customHeight="1" x14ac:dyDescent="0.25">
      <c r="D123" s="6" t="str" cm="1">
        <f t="array" ref="D123">SourceData_Dairy.SourceData_Dairy_EFNitrousOxidePerMMS_Title()</f>
        <v>Table A.1.3.11: Dairy cattle - EF for nitrous oxide per MMS (kg N2O-N/kg N) (EFm)</v>
      </c>
      <c r="M123" s="1"/>
    </row>
    <row r="124" spans="4:22" ht="20.100000000000001" customHeight="1" x14ac:dyDescent="0.25">
      <c r="D124" s="5" t="str" cm="1">
        <f t="array" ref="D124">SourceData_Dairy.SourceData_Dairy_EFNitrousOxidePerMMS_Source()</f>
        <v>VEERG 2026: Table A.1.3.11</v>
      </c>
      <c r="M124" s="1"/>
    </row>
    <row r="125" spans="4:22" ht="20.100000000000001" customHeight="1" x14ac:dyDescent="0.25">
      <c r="D125" s="1" t="str" cm="1">
        <f t="array" ref="D125">SourceData_Dairy.SourceData_Dairy_EFNitrousOxidePerMMS_Variable()</f>
        <v>EFm</v>
      </c>
      <c r="M125" s="1"/>
      <c r="V125" s="1"/>
    </row>
    <row r="126" spans="4:22" ht="20.100000000000001" customHeight="1" x14ac:dyDescent="0.25">
      <c r="D126" s="57" t="str" cm="1">
        <f t="array" ref="D126">SourceData_Dairy.SourceData_Dairy_EFNitrousOxidePerMMS_Unit()</f>
        <v>kg N2O-N/kg N</v>
      </c>
      <c r="M126" s="1"/>
      <c r="V126" s="1"/>
    </row>
    <row r="127" spans="4:22" ht="20.100000000000001" customHeight="1" x14ac:dyDescent="0.25">
      <c r="D127" s="58" t="str" cm="1">
        <f t="array" ref="D127">SourceData_Dairy.SourceData_Dairy_EFNitrousOxidePerMMS_Variation()</f>
        <v>VARIATION OF SOURCE: Added 'NIR reference' column to aid lookup</v>
      </c>
      <c r="M127" s="1"/>
      <c r="V127" s="1"/>
    </row>
    <row r="128" spans="4:22" ht="20.100000000000001" customHeight="1" x14ac:dyDescent="0.25">
      <c r="D128" s="136" t="s">
        <v>101</v>
      </c>
      <c r="E128" s="136" t="s">
        <v>286</v>
      </c>
      <c r="F128" s="136" t="s">
        <v>293</v>
      </c>
      <c r="G128" s="114" t="s">
        <v>307</v>
      </c>
      <c r="M128" s="1"/>
      <c r="N128" s="24"/>
      <c r="V128" s="1"/>
    </row>
    <row r="129" spans="4:22" ht="20.100000000000001" customHeight="1" x14ac:dyDescent="0.25">
      <c r="D129" s="136" t="str" cm="1">
        <f t="array" ref="D129">Common_InputFunctions.Utility_DisplayArrayInTable(SourceData_Dairy.SourceData_Dairy_EFNitrousOxidePerMMS_Data(), Table_SourceData_Dairy_EFm[[#Headers],[MMS m]], 0)</f>
        <v>m=14 Pasture</v>
      </c>
      <c r="E129" s="136" cm="1">
        <f t="array" ref="E129">Common_InputFunctions.Utility_DisplayArrayInTable(SourceData_Dairy.SourceData_Dairy_EFNitrousOxidePerMMS_Data(), Table_SourceData_Dairy_EFm[[#Headers],[MMS m]], 0)</f>
        <v>0</v>
      </c>
      <c r="F129" s="136" t="str" cm="1">
        <f t="array" ref="F129">Common_InputFunctions.Utility_DisplayArrayInTable(SourceData_Dairy.SourceData_Dairy_EFNitrousOxidePerMMS_Data(), Table_SourceData_Dairy_EFm[[#Headers],[MMS m]], 0)</f>
        <v>Pasture range and paddock</v>
      </c>
      <c r="M129" s="1"/>
      <c r="N129" s="24"/>
      <c r="V129" s="1"/>
    </row>
    <row r="130" spans="4:22" ht="20.100000000000001" customHeight="1" x14ac:dyDescent="0.25">
      <c r="D130" s="1" t="str" cm="1">
        <f t="array" ref="D130">Common_InputFunctions.Utility_DisplayArrayInTable(SourceData_Dairy.SourceData_Dairy_EFNitrousOxidePerMMS_Data(), Table_SourceData_Dairy_EFm[[#Headers],[MMS m]], 0)</f>
        <v>m=1 Anerobic Lagoon</v>
      </c>
      <c r="E130" s="39" cm="1">
        <f t="array" ref="E130">Common_InputFunctions.Utility_DisplayArrayInTable(SourceData_Dairy.SourceData_Dairy_EFNitrousOxidePerMMS_Data(), Table_SourceData_Dairy_EFm[[#Headers],[MMS m]], 0)</f>
        <v>0</v>
      </c>
      <c r="F130" s="136" t="str" cm="1">
        <f t="array" ref="F130">Common_InputFunctions.Utility_DisplayArrayInTable(SourceData_Dairy.SourceData_Dairy_EFNitrousOxidePerMMS_Data(), Table_SourceData_Dairy_EFm[[#Headers],[MMS m]], 0)</f>
        <v>Anaerobic lagoon</v>
      </c>
      <c r="M130" s="1"/>
      <c r="N130" s="24"/>
      <c r="V130" s="1"/>
    </row>
    <row r="131" spans="4:22" ht="20.100000000000001" customHeight="1" x14ac:dyDescent="0.25">
      <c r="D131" s="1" t="str" cm="1">
        <f t="array" ref="D131">Common_InputFunctions.Utility_DisplayArrayInTable(SourceData_Dairy.SourceData_Dairy_EFNitrousOxidePerMMS_Data(), Table_SourceData_Dairy_EFm[[#Headers],[MMS m]], 0)</f>
        <v>m=2 Daily Spread: Sump and dispersal</v>
      </c>
      <c r="E131" s="39" cm="1">
        <f t="array" ref="E131">Common_InputFunctions.Utility_DisplayArrayInTable(SourceData_Dairy.SourceData_Dairy_EFNitrousOxidePerMMS_Data(), Table_SourceData_Dairy_EFm[[#Headers],[MMS m]], 0)</f>
        <v>0</v>
      </c>
      <c r="F131" s="136" t="str" cm="1">
        <f t="array" ref="F131">Common_InputFunctions.Utility_DisplayArrayInTable(SourceData_Dairy.SourceData_Dairy_EFNitrousOxidePerMMS_Data(), Table_SourceData_Dairy_EFm[[#Headers],[MMS m]], 0)</f>
        <v>Sump and dispersal system</v>
      </c>
      <c r="M131" s="1"/>
      <c r="N131" s="24"/>
    </row>
    <row r="132" spans="4:22" ht="20.100000000000001" customHeight="1" x14ac:dyDescent="0.25">
      <c r="D132" s="1" t="str" cm="1">
        <f t="array" ref="D132">Common_InputFunctions.Utility_DisplayArrayInTable(SourceData_Dairy.SourceData_Dairy_EFNitrousOxidePerMMS_Data(), Table_SourceData_Dairy_EFm[[#Headers],[MMS m]], 0)</f>
        <v>m=3 Daily Spread: Drains to paddocks</v>
      </c>
      <c r="E132" s="39" cm="1">
        <f t="array" ref="E132">Common_InputFunctions.Utility_DisplayArrayInTable(SourceData_Dairy.SourceData_Dairy_EFNitrousOxidePerMMS_Data(), Table_SourceData_Dairy_EFm[[#Headers],[MMS m]], 0)</f>
        <v>0</v>
      </c>
      <c r="F132" s="136" t="str" cm="1">
        <f t="array" ref="F132">Common_InputFunctions.Utility_DisplayArrayInTable(SourceData_Dairy.SourceData_Dairy_EFNitrousOxidePerMMS_Data(), Table_SourceData_Dairy_EFm[[#Headers],[MMS m]], 0)</f>
        <v>Drains to paddock</v>
      </c>
      <c r="M132" s="24"/>
    </row>
    <row r="133" spans="4:22" ht="20.100000000000001" customHeight="1" x14ac:dyDescent="0.25">
      <c r="D133" s="1" t="str" cm="1">
        <f t="array" ref="D133">Common_InputFunctions.Utility_DisplayArrayInTable(SourceData_Dairy.SourceData_Dairy_EFNitrousOxidePerMMS_Data(), Table_SourceData_Dairy_EFm[[#Headers],[MMS m]], 0)</f>
        <v>m=4 Solid Storage</v>
      </c>
      <c r="E133" s="39" cm="1">
        <f t="array" ref="E133">Common_InputFunctions.Utility_DisplayArrayInTable(SourceData_Dairy.SourceData_Dairy_EFNitrousOxidePerMMS_Data(), Table_SourceData_Dairy_EFm[[#Headers],[MMS m]], 0)</f>
        <v>5.0000000000000001E-3</v>
      </c>
      <c r="F133" s="136" t="str" cm="1">
        <f t="array" ref="F133">Common_InputFunctions.Utility_DisplayArrayInTable(SourceData_Dairy.SourceData_Dairy_EFNitrousOxidePerMMS_Data(), Table_SourceData_Dairy_EFm[[#Headers],[MMS m]], 0)</f>
        <v>Solid storage</v>
      </c>
      <c r="M133" s="24"/>
    </row>
    <row r="134" spans="4:22" ht="20.100000000000001" customHeight="1" x14ac:dyDescent="0.25">
      <c r="M134" s="24"/>
    </row>
    <row r="135" spans="4:22" ht="20.100000000000001" customHeight="1" x14ac:dyDescent="0.25">
      <c r="M135" s="24"/>
    </row>
    <row r="136" spans="4:22" ht="20.100000000000001" customHeight="1" x14ac:dyDescent="0.25">
      <c r="D136" s="6" t="str" cm="1">
        <f t="array" ref="D136">SourceData_Dairy.SourceData_Dairy_DurationOfStay_Title()</f>
        <v>Duration of stay for each dairy cattle input class</v>
      </c>
      <c r="M136" s="24"/>
    </row>
    <row r="137" spans="4:22" ht="20.100000000000001" customHeight="1" x14ac:dyDescent="0.25">
      <c r="D137" s="5" t="str" cm="1">
        <f t="array" ref="D137">SourceData_Dairy.SourceData_Dairy_DurationOfStay_Source()</f>
        <v>VEERG 2026: 4.3.2.2	DATA (METHOD 1 AND 2 OPTIONS)</v>
      </c>
      <c r="M137" s="24"/>
    </row>
    <row r="138" spans="4:22" ht="20.100000000000001" customHeight="1" x14ac:dyDescent="0.25">
      <c r="D138" s="1" t="str" cm="1">
        <f t="array" ref="D138">SourceData_Dairy.SourceData_Dairy_DurationOfStay_Variable()</f>
        <v>D</v>
      </c>
      <c r="M138" s="24"/>
    </row>
    <row r="139" spans="4:22" ht="20.100000000000001" customHeight="1" x14ac:dyDescent="0.25">
      <c r="D139" s="57" t="str" cm="1">
        <f t="array" ref="D139">SourceData_Dairy.SourceData_Dairy_DurationOfStay_Unit()</f>
        <v>days</v>
      </c>
      <c r="M139" s="24"/>
    </row>
    <row r="140" spans="4:22" ht="20.100000000000001" customHeight="1" x14ac:dyDescent="0.25">
      <c r="D140" s="58" t="str" cm="1">
        <f t="array" ref="D140">SourceData_Dairy.SourceData_Dairy_DurationOfStay_Variation()</f>
        <v>VARIATION OF SOURCE: Converted free text in document to table, matching livestock class names.</v>
      </c>
      <c r="M140" s="24"/>
    </row>
    <row r="141" spans="4:22" ht="20.100000000000001" customHeight="1" x14ac:dyDescent="0.25">
      <c r="D141" s="136" t="s">
        <v>282</v>
      </c>
      <c r="E141" s="136" t="s">
        <v>302</v>
      </c>
      <c r="F141" s="136" t="s">
        <v>303</v>
      </c>
      <c r="M141" s="24"/>
    </row>
    <row r="142" spans="4:22" ht="20.100000000000001" customHeight="1" x14ac:dyDescent="0.25">
      <c r="D142" s="136" t="str" cm="1">
        <f t="array" ref="D142">Common_InputFunctions.Utility_DisplayArrayInTable(SourceData_Dairy.SourceData_Dairy_DurationOfStay_Data(), Table_SourceData_Dairy_Duration[[#Headers],[Animal class j]], 0)</f>
        <v>Milking cows</v>
      </c>
      <c r="E142" s="136" cm="1">
        <f t="array" ref="E142">Common_InputFunctions.Utility_DisplayArrayInTable(SourceData_Dairy.SourceData_Dairy_DurationOfStay_Data(), Table_SourceData_Dairy_Duration[[#Headers],[Animal class j]], 0)</f>
        <v>365</v>
      </c>
      <c r="F142" s="136" cm="1">
        <f t="array" ref="F142">Common_InputFunctions.Utility_DisplayArrayInTable(SourceData_Dairy.SourceData_Dairy_DurationOfStay_Data(), Table_SourceData_Dairy_Duration[[#Headers],[Animal class j]], 0)</f>
        <v>0</v>
      </c>
      <c r="M142" s="24"/>
    </row>
    <row r="143" spans="4:22" ht="20.100000000000001" customHeight="1" x14ac:dyDescent="0.25">
      <c r="D143" s="1" t="str" cm="1">
        <f t="array" ref="D143">Common_InputFunctions.Utility_DisplayArrayInTable(SourceData_Dairy.SourceData_Dairy_DurationOfStay_Data(), Table_SourceData_Dairy_Duration[[#Headers],[Animal class j]], 0)</f>
        <v>Heifers &gt; 1 year</v>
      </c>
      <c r="E143" s="39" cm="1">
        <f t="array" ref="E143">Common_InputFunctions.Utility_DisplayArrayInTable(SourceData_Dairy.SourceData_Dairy_DurationOfStay_Data(), Table_SourceData_Dairy_Duration[[#Headers],[Animal class j]], 0)</f>
        <v>365</v>
      </c>
      <c r="F143" s="39" cm="1">
        <f t="array" ref="F143">Common_InputFunctions.Utility_DisplayArrayInTable(SourceData_Dairy.SourceData_Dairy_DurationOfStay_Data(), Table_SourceData_Dairy_Duration[[#Headers],[Animal class j]], 0)</f>
        <v>0</v>
      </c>
      <c r="M143" s="24"/>
    </row>
    <row r="144" spans="4:22" ht="20.100000000000001" customHeight="1" x14ac:dyDescent="0.25">
      <c r="D144" s="1" t="str" cm="1">
        <f t="array" ref="D144">Common_InputFunctions.Utility_DisplayArrayInTable(SourceData_Dairy.SourceData_Dairy_DurationOfStay_Data(), Table_SourceData_Dairy_Duration[[#Headers],[Animal class j]], 0)</f>
        <v>Heifers &lt; 1 year</v>
      </c>
      <c r="E144" s="39" cm="1">
        <f t="array" ref="E144">Common_InputFunctions.Utility_DisplayArrayInTable(SourceData_Dairy.SourceData_Dairy_DurationOfStay_Data(), Table_SourceData_Dairy_Duration[[#Headers],[Animal class j]], 0)</f>
        <v>281</v>
      </c>
      <c r="F144" s="39" cm="1">
        <f t="array" ref="F144">Common_InputFunctions.Utility_DisplayArrayInTable(SourceData_Dairy.SourceData_Dairy_DurationOfStay_Data(), Table_SourceData_Dairy_Duration[[#Headers],[Animal class j]], 0)</f>
        <v>84</v>
      </c>
      <c r="M144" s="24"/>
    </row>
    <row r="145" spans="4:13" ht="20.100000000000001" customHeight="1" x14ac:dyDescent="0.25">
      <c r="D145" s="1" t="str" cm="1">
        <f t="array" ref="D145">Common_InputFunctions.Utility_DisplayArrayInTable(SourceData_Dairy.SourceData_Dairy_DurationOfStay_Data(), Table_SourceData_Dairy_Duration[[#Headers],[Animal class j]], 0)</f>
        <v>Bulls &gt; 1 year</v>
      </c>
      <c r="E145" s="39" cm="1">
        <f t="array" ref="E145">Common_InputFunctions.Utility_DisplayArrayInTable(SourceData_Dairy.SourceData_Dairy_DurationOfStay_Data(), Table_SourceData_Dairy_Duration[[#Headers],[Animal class j]], 0)</f>
        <v>365</v>
      </c>
      <c r="F145" s="39" cm="1">
        <f t="array" ref="F145">Common_InputFunctions.Utility_DisplayArrayInTable(SourceData_Dairy.SourceData_Dairy_DurationOfStay_Data(), Table_SourceData_Dairy_Duration[[#Headers],[Animal class j]], 0)</f>
        <v>0</v>
      </c>
      <c r="M145" s="24"/>
    </row>
    <row r="146" spans="4:13" ht="20.100000000000001" customHeight="1" x14ac:dyDescent="0.25">
      <c r="D146" s="1" t="str" cm="1">
        <f t="array" ref="D146">Common_InputFunctions.Utility_DisplayArrayInTable(SourceData_Dairy.SourceData_Dairy_DurationOfStay_Data(), Table_SourceData_Dairy_Duration[[#Headers],[Animal class j]], 0)</f>
        <v>Bulls &lt; 1 year</v>
      </c>
      <c r="E146" s="39" cm="1">
        <f t="array" ref="E146">Common_InputFunctions.Utility_DisplayArrayInTable(SourceData_Dairy.SourceData_Dairy_DurationOfStay_Data(), Table_SourceData_Dairy_Duration[[#Headers],[Animal class j]], 0)</f>
        <v>281</v>
      </c>
      <c r="F146" s="39" cm="1">
        <f t="array" ref="F146">Common_InputFunctions.Utility_DisplayArrayInTable(SourceData_Dairy.SourceData_Dairy_DurationOfStay_Data(), Table_SourceData_Dairy_Duration[[#Headers],[Animal class j]], 0)</f>
        <v>84</v>
      </c>
      <c r="M146" s="24"/>
    </row>
    <row r="147" spans="4:13" ht="20.100000000000001" customHeight="1" x14ac:dyDescent="0.25">
      <c r="M147" s="24"/>
    </row>
    <row r="148" spans="4:13" ht="20.100000000000001" customHeight="1" x14ac:dyDescent="0.25">
      <c r="M148" s="24"/>
    </row>
    <row r="149" spans="4:13" ht="20.100000000000001" customHeight="1" x14ac:dyDescent="0.25">
      <c r="M149" s="24"/>
    </row>
    <row r="150" spans="4:13" ht="20.100000000000001" customHeight="1" x14ac:dyDescent="0.25">
      <c r="M150" s="24"/>
    </row>
    <row r="151" spans="4:13" ht="20.100000000000001" customHeight="1" x14ac:dyDescent="0.25">
      <c r="M151" s="24"/>
    </row>
    <row r="152" spans="4:13" ht="20.100000000000001" customHeight="1" x14ac:dyDescent="0.25">
      <c r="M152" s="24"/>
    </row>
    <row r="153" spans="4:13" ht="20.100000000000001" customHeight="1" x14ac:dyDescent="0.25">
      <c r="M153" s="24"/>
    </row>
    <row r="154" spans="4:13" ht="20.100000000000001" customHeight="1" x14ac:dyDescent="0.25">
      <c r="M154" s="24"/>
    </row>
    <row r="155" spans="4:13" ht="20.100000000000001" customHeight="1" x14ac:dyDescent="0.25">
      <c r="M155" s="24"/>
    </row>
    <row r="156" spans="4:13" ht="20.100000000000001" customHeight="1" x14ac:dyDescent="0.25">
      <c r="M156" s="24"/>
    </row>
    <row r="157" spans="4:13" ht="20.100000000000001" customHeight="1" x14ac:dyDescent="0.25">
      <c r="M157" s="24"/>
    </row>
    <row r="158" spans="4:13" ht="20.100000000000001" customHeight="1" x14ac:dyDescent="0.25">
      <c r="M158" s="24"/>
    </row>
    <row r="159" spans="4:13" ht="20.100000000000001" customHeight="1" x14ac:dyDescent="0.25">
      <c r="M159" s="24"/>
    </row>
    <row r="160" spans="4:13" ht="20.100000000000001" customHeight="1" x14ac:dyDescent="0.25">
      <c r="M160" s="24"/>
    </row>
    <row r="161" spans="13:13" ht="20.100000000000001" customHeight="1" x14ac:dyDescent="0.25">
      <c r="M161" s="24"/>
    </row>
    <row r="162" spans="13:13" ht="20.100000000000001" customHeight="1" x14ac:dyDescent="0.25">
      <c r="M162" s="24"/>
    </row>
    <row r="163" spans="13:13" ht="20.100000000000001" customHeight="1" x14ac:dyDescent="0.25">
      <c r="M163" s="24"/>
    </row>
    <row r="164" spans="13:13" ht="20.100000000000001" customHeight="1" x14ac:dyDescent="0.25">
      <c r="M164" s="24"/>
    </row>
    <row r="165" spans="13:13" ht="20.100000000000001" customHeight="1" x14ac:dyDescent="0.25">
      <c r="M165" s="24"/>
    </row>
    <row r="166" spans="13:13" x14ac:dyDescent="0.25">
      <c r="M166" s="24"/>
    </row>
    <row r="167" spans="13:13" x14ac:dyDescent="0.25">
      <c r="M167" s="24"/>
    </row>
    <row r="168" spans="13:13" x14ac:dyDescent="0.25">
      <c r="M168" s="24"/>
    </row>
    <row r="169" spans="13:13" x14ac:dyDescent="0.25">
      <c r="M169" s="24"/>
    </row>
    <row r="170" spans="13:13" x14ac:dyDescent="0.25">
      <c r="M170" s="24"/>
    </row>
    <row r="171" spans="13:13" x14ac:dyDescent="0.25">
      <c r="M171" s="24"/>
    </row>
    <row r="172" spans="13:13" x14ac:dyDescent="0.25">
      <c r="M172" s="24"/>
    </row>
    <row r="173" spans="13:13" x14ac:dyDescent="0.25">
      <c r="M173" s="24"/>
    </row>
    <row r="174" spans="13:13" x14ac:dyDescent="0.25">
      <c r="M174" s="24"/>
    </row>
    <row r="175" spans="13:13" x14ac:dyDescent="0.25">
      <c r="M175" s="24"/>
    </row>
    <row r="176" spans="13:13" x14ac:dyDescent="0.25">
      <c r="M176" s="24"/>
    </row>
    <row r="177" spans="13:13" x14ac:dyDescent="0.25">
      <c r="M177" s="24"/>
    </row>
    <row r="178" spans="13:13" x14ac:dyDescent="0.25">
      <c r="M178" s="24"/>
    </row>
    <row r="179" spans="13:13" x14ac:dyDescent="0.25">
      <c r="M179" s="24"/>
    </row>
    <row r="180" spans="13:13" x14ac:dyDescent="0.25">
      <c r="M180" s="24"/>
    </row>
    <row r="181" spans="13:13" x14ac:dyDescent="0.25">
      <c r="M181" s="24"/>
    </row>
    <row r="182" spans="13:13" x14ac:dyDescent="0.25">
      <c r="M182" s="24"/>
    </row>
    <row r="183" spans="13:13" x14ac:dyDescent="0.25">
      <c r="M183" s="24"/>
    </row>
    <row r="184" spans="13:13" x14ac:dyDescent="0.25">
      <c r="M184" s="24"/>
    </row>
    <row r="185" spans="13:13" x14ac:dyDescent="0.25">
      <c r="M185" s="24"/>
    </row>
    <row r="186" spans="13:13" x14ac:dyDescent="0.25">
      <c r="M186" s="24"/>
    </row>
    <row r="187" spans="13:13" x14ac:dyDescent="0.25">
      <c r="M187" s="24"/>
    </row>
    <row r="188" spans="13:13" x14ac:dyDescent="0.25">
      <c r="M188" s="24"/>
    </row>
    <row r="189" spans="13:13" x14ac:dyDescent="0.25">
      <c r="M189" s="24"/>
    </row>
    <row r="190" spans="13:13" x14ac:dyDescent="0.25">
      <c r="M190" s="24"/>
    </row>
    <row r="191" spans="13:13" x14ac:dyDescent="0.25">
      <c r="M191" s="24"/>
    </row>
    <row r="192" spans="13:13" x14ac:dyDescent="0.25">
      <c r="M192" s="24"/>
    </row>
    <row r="193" spans="13:13" x14ac:dyDescent="0.25">
      <c r="M193" s="24"/>
    </row>
    <row r="194" spans="13:13" x14ac:dyDescent="0.25">
      <c r="M194" s="24"/>
    </row>
    <row r="195" spans="13:13" x14ac:dyDescent="0.25">
      <c r="M195" s="24"/>
    </row>
    <row r="196" spans="13:13" x14ac:dyDescent="0.25">
      <c r="M196" s="24"/>
    </row>
    <row r="197" spans="13:13" x14ac:dyDescent="0.25">
      <c r="M197" s="24"/>
    </row>
    <row r="198" spans="13:13" x14ac:dyDescent="0.25">
      <c r="M198" s="24"/>
    </row>
    <row r="199" spans="13:13" x14ac:dyDescent="0.25">
      <c r="M199" s="24"/>
    </row>
    <row r="200" spans="13:13" x14ac:dyDescent="0.25">
      <c r="M200" s="24"/>
    </row>
    <row r="201" spans="13:13" x14ac:dyDescent="0.25">
      <c r="M201" s="24"/>
    </row>
    <row r="202" spans="13:13" x14ac:dyDescent="0.25">
      <c r="M202" s="24"/>
    </row>
    <row r="203" spans="13:13" x14ac:dyDescent="0.25">
      <c r="M203" s="24"/>
    </row>
    <row r="204" spans="13:13" x14ac:dyDescent="0.25">
      <c r="M204" s="24"/>
    </row>
    <row r="205" spans="13:13" x14ac:dyDescent="0.25">
      <c r="M205" s="24"/>
    </row>
    <row r="206" spans="13:13" x14ac:dyDescent="0.25">
      <c r="M206" s="24"/>
    </row>
    <row r="207" spans="13:13" x14ac:dyDescent="0.25">
      <c r="M207" s="24"/>
    </row>
    <row r="208" spans="13:13" x14ac:dyDescent="0.25">
      <c r="M208" s="24"/>
    </row>
    <row r="209" spans="13:13" x14ac:dyDescent="0.25">
      <c r="M209" s="24"/>
    </row>
    <row r="210" spans="13:13" x14ac:dyDescent="0.25">
      <c r="M210" s="24"/>
    </row>
    <row r="211" spans="13:13" x14ac:dyDescent="0.25">
      <c r="M211" s="24"/>
    </row>
    <row r="212" spans="13:13" x14ac:dyDescent="0.25">
      <c r="M212" s="24"/>
    </row>
    <row r="213" spans="13:13" x14ac:dyDescent="0.25">
      <c r="M213" s="24"/>
    </row>
    <row r="214" spans="13:13" x14ac:dyDescent="0.25">
      <c r="M214" s="24"/>
    </row>
    <row r="215" spans="13:13" x14ac:dyDescent="0.25">
      <c r="M215" s="24"/>
    </row>
    <row r="216" spans="13:13" x14ac:dyDescent="0.25">
      <c r="M216" s="24"/>
    </row>
    <row r="217" spans="13:13" x14ac:dyDescent="0.25">
      <c r="M217" s="24"/>
    </row>
    <row r="218" spans="13:13" x14ac:dyDescent="0.25">
      <c r="M218" s="24"/>
    </row>
    <row r="219" spans="13:13" x14ac:dyDescent="0.25">
      <c r="M219" s="24"/>
    </row>
    <row r="220" spans="13:13" x14ac:dyDescent="0.25">
      <c r="M220" s="24"/>
    </row>
    <row r="221" spans="13:13" x14ac:dyDescent="0.25">
      <c r="M221" s="24"/>
    </row>
    <row r="222" spans="13:13" x14ac:dyDescent="0.25">
      <c r="M222" s="24"/>
    </row>
    <row r="223" spans="13:13" x14ac:dyDescent="0.25">
      <c r="M223" s="24"/>
    </row>
    <row r="224" spans="13:13" x14ac:dyDescent="0.25">
      <c r="M224" s="24"/>
    </row>
    <row r="225" spans="13:13" x14ac:dyDescent="0.25">
      <c r="M225" s="24"/>
    </row>
    <row r="226" spans="13:13" x14ac:dyDescent="0.25">
      <c r="M226" s="24"/>
    </row>
    <row r="227" spans="13:13" x14ac:dyDescent="0.25">
      <c r="M227" s="24"/>
    </row>
    <row r="228" spans="13:13" x14ac:dyDescent="0.25">
      <c r="M228" s="24"/>
    </row>
    <row r="229" spans="13:13" x14ac:dyDescent="0.25">
      <c r="M229" s="24"/>
    </row>
    <row r="230" spans="13:13" x14ac:dyDescent="0.25">
      <c r="M230" s="24"/>
    </row>
    <row r="231" spans="13:13" x14ac:dyDescent="0.25">
      <c r="M231" s="24"/>
    </row>
    <row r="232" spans="13:13" x14ac:dyDescent="0.25">
      <c r="M232" s="24"/>
    </row>
    <row r="233" spans="13:13" x14ac:dyDescent="0.25">
      <c r="M233" s="24"/>
    </row>
    <row r="234" spans="13:13" x14ac:dyDescent="0.25">
      <c r="M234" s="24"/>
    </row>
    <row r="235" spans="13:13" x14ac:dyDescent="0.25">
      <c r="M235" s="24"/>
    </row>
    <row r="236" spans="13:13" x14ac:dyDescent="0.25">
      <c r="M236" s="24"/>
    </row>
    <row r="237" spans="13:13" x14ac:dyDescent="0.25">
      <c r="M237" s="24"/>
    </row>
    <row r="238" spans="13:13" x14ac:dyDescent="0.25">
      <c r="M238" s="24"/>
    </row>
    <row r="239" spans="13:13" x14ac:dyDescent="0.25">
      <c r="M239" s="24"/>
    </row>
    <row r="240" spans="13:13" x14ac:dyDescent="0.25">
      <c r="M240" s="24"/>
    </row>
    <row r="241" spans="13:13" x14ac:dyDescent="0.25">
      <c r="M241" s="24"/>
    </row>
    <row r="242" spans="13:13" x14ac:dyDescent="0.25">
      <c r="M242" s="24"/>
    </row>
    <row r="243" spans="13:13" x14ac:dyDescent="0.25">
      <c r="M243" s="24"/>
    </row>
    <row r="244" spans="13:13" x14ac:dyDescent="0.25">
      <c r="M244" s="24"/>
    </row>
    <row r="245" spans="13:13" x14ac:dyDescent="0.25">
      <c r="M245" s="24"/>
    </row>
    <row r="246" spans="13:13" x14ac:dyDescent="0.25">
      <c r="M246" s="24"/>
    </row>
    <row r="247" spans="13:13" x14ac:dyDescent="0.25">
      <c r="M247" s="24"/>
    </row>
    <row r="248" spans="13:13" x14ac:dyDescent="0.25">
      <c r="M248" s="24"/>
    </row>
    <row r="249" spans="13:13" x14ac:dyDescent="0.25">
      <c r="M249" s="24"/>
    </row>
    <row r="250" spans="13:13" x14ac:dyDescent="0.25">
      <c r="M250" s="24"/>
    </row>
    <row r="251" spans="13:13" x14ac:dyDescent="0.25">
      <c r="M251" s="24"/>
    </row>
    <row r="252" spans="13:13" x14ac:dyDescent="0.25">
      <c r="M252" s="24"/>
    </row>
    <row r="253" spans="13:13" x14ac:dyDescent="0.25">
      <c r="M253" s="24"/>
    </row>
    <row r="254" spans="13:13" x14ac:dyDescent="0.25">
      <c r="M254" s="24"/>
    </row>
    <row r="255" spans="13:13" x14ac:dyDescent="0.25">
      <c r="M255" s="24"/>
    </row>
    <row r="256" spans="13:13" x14ac:dyDescent="0.25">
      <c r="M256" s="24"/>
    </row>
    <row r="257" spans="13:13" x14ac:dyDescent="0.25">
      <c r="M257" s="24"/>
    </row>
    <row r="258" spans="13:13" x14ac:dyDescent="0.25">
      <c r="M258" s="24"/>
    </row>
    <row r="259" spans="13:13" x14ac:dyDescent="0.25">
      <c r="M259" s="24"/>
    </row>
    <row r="260" spans="13:13" x14ac:dyDescent="0.25">
      <c r="M260" s="24"/>
    </row>
    <row r="261" spans="13:13" x14ac:dyDescent="0.25">
      <c r="M261" s="24"/>
    </row>
    <row r="262" spans="13:13" x14ac:dyDescent="0.25">
      <c r="M262" s="24"/>
    </row>
    <row r="263" spans="13:13" x14ac:dyDescent="0.25">
      <c r="M263" s="24"/>
    </row>
    <row r="264" spans="13:13" x14ac:dyDescent="0.25">
      <c r="M264" s="24"/>
    </row>
    <row r="265" spans="13:13" x14ac:dyDescent="0.25">
      <c r="M265" s="24"/>
    </row>
    <row r="266" spans="13:13" x14ac:dyDescent="0.25">
      <c r="M266" s="24"/>
    </row>
    <row r="267" spans="13:13" x14ac:dyDescent="0.25">
      <c r="M267" s="24"/>
    </row>
    <row r="268" spans="13:13" x14ac:dyDescent="0.25">
      <c r="M268" s="24"/>
    </row>
    <row r="269" spans="13:13" x14ac:dyDescent="0.25">
      <c r="M269" s="24"/>
    </row>
    <row r="270" spans="13:13" x14ac:dyDescent="0.25">
      <c r="M270" s="24"/>
    </row>
    <row r="271" spans="13:13" x14ac:dyDescent="0.25">
      <c r="M271" s="24"/>
    </row>
    <row r="272" spans="13:13" x14ac:dyDescent="0.25">
      <c r="M272" s="24"/>
    </row>
    <row r="273" spans="13:13" x14ac:dyDescent="0.25">
      <c r="M273" s="24"/>
    </row>
    <row r="274" spans="13:13" x14ac:dyDescent="0.25">
      <c r="M274" s="24"/>
    </row>
    <row r="275" spans="13:13" x14ac:dyDescent="0.25">
      <c r="M275" s="24"/>
    </row>
    <row r="276" spans="13:13" x14ac:dyDescent="0.25">
      <c r="M276" s="24"/>
    </row>
    <row r="277" spans="13:13" x14ac:dyDescent="0.25">
      <c r="M277" s="24"/>
    </row>
    <row r="278" spans="13:13" x14ac:dyDescent="0.25">
      <c r="M278" s="24"/>
    </row>
    <row r="279" spans="13:13" x14ac:dyDescent="0.25">
      <c r="M279" s="24"/>
    </row>
    <row r="280" spans="13:13" x14ac:dyDescent="0.25">
      <c r="M280" s="24"/>
    </row>
    <row r="281" spans="13:13" x14ac:dyDescent="0.25">
      <c r="M281" s="24"/>
    </row>
    <row r="282" spans="13:13" x14ac:dyDescent="0.25">
      <c r="M282" s="24"/>
    </row>
    <row r="283" spans="13:13" x14ac:dyDescent="0.25">
      <c r="M283" s="24"/>
    </row>
    <row r="284" spans="13:13" x14ac:dyDescent="0.25">
      <c r="M284" s="24"/>
    </row>
    <row r="285" spans="13:13" x14ac:dyDescent="0.25">
      <c r="M285" s="24"/>
    </row>
    <row r="286" spans="13:13" x14ac:dyDescent="0.25">
      <c r="M286" s="24"/>
    </row>
    <row r="287" spans="13:13" x14ac:dyDescent="0.25">
      <c r="M287" s="24"/>
    </row>
    <row r="288" spans="13:13" x14ac:dyDescent="0.25">
      <c r="M288" s="24"/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46AF-EF07-489E-9218-499E0ED230A9}">
  <dimension ref="A1:BX196"/>
  <sheetViews>
    <sheetView showGridLines="0" topLeftCell="A44" zoomScale="85" zoomScaleNormal="85" workbookViewId="0">
      <selection activeCell="A31" sqref="A31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77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9" t="s">
        <v>21</v>
      </c>
      <c r="E6" s="39" t="s">
        <v>22</v>
      </c>
      <c r="F6" s="39" t="s">
        <v>23</v>
      </c>
    </row>
    <row r="7" spans="1:64" ht="20.100000000000001" customHeight="1" x14ac:dyDescent="0.25">
      <c r="A7"/>
      <c r="D7" s="39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9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9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9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9" t="str" cm="1">
        <f t="array" ref="E8">Common_InputFunctions.Utility_DisplayArrayInTable(Common_SourceData.Common_SourceData_AustralianStatesTerritories_Data(),Table_AustralianStates[[#Headers],[State/Territory]],0)</f>
        <v>ACT</v>
      </c>
      <c r="F8" s="39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9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9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9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9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9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9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9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9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9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9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9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9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9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9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9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9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9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9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9" t="s">
        <v>24</v>
      </c>
    </row>
    <row r="21" spans="1:4" ht="20.100000000000001" customHeight="1" x14ac:dyDescent="0.25">
      <c r="A21"/>
      <c r="D21" s="39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9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9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9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9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9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9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9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9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9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9" t="s">
        <v>27</v>
      </c>
      <c r="E36" s="39" t="s">
        <v>28</v>
      </c>
    </row>
    <row r="37" spans="1:8" ht="20.100000000000001" customHeight="1" x14ac:dyDescent="0.25">
      <c r="A37"/>
      <c r="D37" s="39" t="str" cm="1">
        <f t="array" ref="D37">Common_InputFunctions.Utility_DisplayArrayInTable(Common_SourceData.Common_SourceData_GWP_Data(), Table_GWPData[[#Headers],[Gas]], 0)</f>
        <v>CO2</v>
      </c>
      <c r="E37" s="39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9" t="str" cm="1">
        <f t="array" ref="D38">Common_InputFunctions.Utility_DisplayArrayInTable(Common_SourceData.Common_SourceData_GWP_Data(), Table_GWPData[[#Headers],[Gas]], 0)</f>
        <v>CH4</v>
      </c>
      <c r="E38" s="39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9" t="str" cm="1">
        <f t="array" ref="D39">Common_InputFunctions.Utility_DisplayArrayInTable(Common_SourceData.Common_SourceData_GWP_Data(), Table_GWPData[[#Headers],[Gas]], 0)</f>
        <v>N2O</v>
      </c>
      <c r="E39" s="39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9" t="str" cm="1">
        <f t="array" ref="D40">Common_InputFunctions.Utility_DisplayArrayInTable(Common_SourceData.Common_SourceData_GWP_Data(), Table_GWPData[[#Headers],[Gas]], 0)</f>
        <v>CF4</v>
      </c>
      <c r="E40" s="39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9" t="str" cm="1">
        <f t="array" ref="D41">Common_InputFunctions.Utility_DisplayArrayInTable(Common_SourceData.Common_SourceData_GWP_Data(), Table_GWPData[[#Headers],[Gas]], 0)</f>
        <v>C2F6</v>
      </c>
      <c r="E41" s="39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9" t="str" cm="1">
        <f t="array" ref="D42">Common_InputFunctions.Utility_DisplayArrayInTable(Common_SourceData.Common_SourceData_GWP_Data(), Table_GWPData[[#Headers],[Gas]], 0)</f>
        <v>SF6</v>
      </c>
      <c r="E42" s="39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9" t="str" cm="1">
        <f t="array" ref="D43">Common_InputFunctions.Utility_DisplayArrayInTable(Common_SourceData.Common_SourceData_GWP_Data(), Table_GWPData[[#Headers],[Gas]], 0)</f>
        <v>NF3</v>
      </c>
      <c r="E43" s="39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9" t="s">
        <v>27</v>
      </c>
      <c r="E47" s="39" t="s">
        <v>30</v>
      </c>
      <c r="F47" s="39" t="s">
        <v>31</v>
      </c>
      <c r="G47" s="39" t="s">
        <v>32</v>
      </c>
      <c r="H47" s="39" t="s">
        <v>33</v>
      </c>
    </row>
    <row r="48" spans="1:8" ht="20.100000000000001" customHeight="1" x14ac:dyDescent="0.25">
      <c r="D48" s="39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9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9" cm="1">
        <f t="array" ref="F48">Common_InputFunctions.Utility_DisplayArrayInTable(Common_SourceData.Common_SourceData_ConvertGasElementalToMolecular_Data(),Table_GasToMolecularConversionFactor[[#Headers],[Gas]], 0)</f>
        <v>44</v>
      </c>
      <c r="G48" s="39" cm="1">
        <f t="array" ref="G48">Common_InputFunctions.Utility_DisplayArrayInTable(Common_SourceData.Common_SourceData_ConvertGasElementalToMolecular_Data(),Table_GasToMolecularConversionFactor[[#Headers],[Gas]], 0)</f>
        <v>12</v>
      </c>
      <c r="H48" s="39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9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9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9" cm="1">
        <f t="array" ref="F49">Common_InputFunctions.Utility_DisplayArrayInTable(Common_SourceData.Common_SourceData_ConvertGasElementalToMolecular_Data(),Table_GasToMolecularConversionFactor[[#Headers],[Gas]], 0)</f>
        <v>16</v>
      </c>
      <c r="G49" s="39" cm="1">
        <f t="array" ref="G49">Common_InputFunctions.Utility_DisplayArrayInTable(Common_SourceData.Common_SourceData_ConvertGasElementalToMolecular_Data(),Table_GasToMolecularConversionFactor[[#Headers],[Gas]], 0)</f>
        <v>12</v>
      </c>
      <c r="H49" s="39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9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9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9" cm="1">
        <f t="array" ref="F50">Common_InputFunctions.Utility_DisplayArrayInTable(Common_SourceData.Common_SourceData_ConvertGasElementalToMolecular_Data(),Table_GasToMolecularConversionFactor[[#Headers],[Gas]], 0)</f>
        <v>44</v>
      </c>
      <c r="G50" s="39" cm="1">
        <f t="array" ref="G50">Common_InputFunctions.Utility_DisplayArrayInTable(Common_SourceData.Common_SourceData_ConvertGasElementalToMolecular_Data(),Table_GasToMolecularConversionFactor[[#Headers],[Gas]], 0)</f>
        <v>28</v>
      </c>
      <c r="H50" s="39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9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9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9" cm="1">
        <f t="array" ref="F51">Common_InputFunctions.Utility_DisplayArrayInTable(Common_SourceData.Common_SourceData_ConvertGasElementalToMolecular_Data(),Table_GasToMolecularConversionFactor[[#Headers],[Gas]], 0)</f>
        <v>46</v>
      </c>
      <c r="G51" s="39" cm="1">
        <f t="array" ref="G51">Common_InputFunctions.Utility_DisplayArrayInTable(Common_SourceData.Common_SourceData_ConvertGasElementalToMolecular_Data(),Table_GasToMolecularConversionFactor[[#Headers],[Gas]], 0)</f>
        <v>14</v>
      </c>
      <c r="H51" s="39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9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9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9" cm="1">
        <f t="array" ref="F52">Common_InputFunctions.Utility_DisplayArrayInTable(Common_SourceData.Common_SourceData_ConvertGasElementalToMolecular_Data(),Table_GasToMolecularConversionFactor[[#Headers],[Gas]], 0)</f>
        <v>28</v>
      </c>
      <c r="G52" s="39" cm="1">
        <f t="array" ref="G52">Common_InputFunctions.Utility_DisplayArrayInTable(Common_SourceData.Common_SourceData_ConvertGasElementalToMolecular_Data(),Table_GasToMolecularConversionFactor[[#Headers],[Gas]], 0)</f>
        <v>12</v>
      </c>
      <c r="H52" s="39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9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9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9" cm="1">
        <f t="array" ref="F53">Common_InputFunctions.Utility_DisplayArrayInTable(Common_SourceData.Common_SourceData_ConvertGasElementalToMolecular_Data(),Table_GasToMolecularConversionFactor[[#Headers],[Gas]], 0)</f>
        <v>44</v>
      </c>
      <c r="G53" s="39" cm="1">
        <f t="array" ref="G53">Common_InputFunctions.Utility_DisplayArrayInTable(Common_SourceData.Common_SourceData_ConvertGasElementalToMolecular_Data(),Table_GasToMolecularConversionFactor[[#Headers],[Gas]], 0)</f>
        <v>12</v>
      </c>
      <c r="H53" s="39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9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9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9" cm="1">
        <f t="array" ref="F54">Common_InputFunctions.Utility_DisplayArrayInTable(Common_SourceData.Common_SourceData_ConvertGasElementalToMolecular_Data(),Table_GasToMolecularConversionFactor[[#Headers],[Gas]], 0)</f>
        <v>14</v>
      </c>
      <c r="G54" s="39" cm="1">
        <f t="array" ref="G54">Common_InputFunctions.Utility_DisplayArrayInTable(Common_SourceData.Common_SourceData_ConvertGasElementalToMolecular_Data(),Table_GasToMolecularConversionFactor[[#Headers],[Gas]], 0)</f>
        <v>12</v>
      </c>
      <c r="H54" s="39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8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8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8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9" t="s">
        <v>10</v>
      </c>
      <c r="E63" s="39" t="s">
        <v>48</v>
      </c>
    </row>
    <row r="64" spans="4:8" ht="20.100000000000001" customHeight="1" x14ac:dyDescent="0.25">
      <c r="D64" s="39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9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9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9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9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9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9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9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9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9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9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9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9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9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9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9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9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9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9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9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9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9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9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9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9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9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9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9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8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8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8" t="str">
        <v>⚠️Fixed typo in MAT value for warm temperate dry - changed 10 to 11.</v>
      </c>
    </row>
    <row r="86" spans="4:19" ht="20.100000000000001" customHeight="1" x14ac:dyDescent="0.25">
      <c r="D86" s="58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8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9" t="s">
        <v>10</v>
      </c>
      <c r="E89" s="39" t="s">
        <v>36</v>
      </c>
      <c r="F89" s="39" t="s">
        <v>37</v>
      </c>
      <c r="G89" s="39" t="s">
        <v>38</v>
      </c>
      <c r="H89" s="39" t="s">
        <v>39</v>
      </c>
      <c r="I89" s="39" t="s">
        <v>40</v>
      </c>
      <c r="J89" s="39" t="s">
        <v>41</v>
      </c>
      <c r="K89" s="39" t="s">
        <v>42</v>
      </c>
      <c r="L89" s="39" t="s">
        <v>43</v>
      </c>
      <c r="M89" s="39" t="s">
        <v>44</v>
      </c>
      <c r="N89" s="39" t="s">
        <v>45</v>
      </c>
      <c r="O89" s="39" t="s">
        <v>49</v>
      </c>
      <c r="P89" s="39" t="s">
        <v>46</v>
      </c>
      <c r="Q89" s="39" t="s">
        <v>50</v>
      </c>
      <c r="R89" s="39" t="s">
        <v>47</v>
      </c>
      <c r="S89" s="39" t="s">
        <v>51</v>
      </c>
    </row>
    <row r="90" spans="4:19" ht="20.100000000000001" customHeight="1" x14ac:dyDescent="0.25">
      <c r="D90" s="39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9" t="str" cm="1">
        <f t="array" ref="E90">Common_InputFunctions.Utility_DisplayArrayInTable(Common_SourceData.Common_SourceData_ClimateZones_Data(), Table_SourceData_ClimateZones[[#Headers],[Climate zone]], 0)</f>
        <v>&gt; 18 C</v>
      </c>
      <c r="F90" s="39" t="str" cm="1">
        <f t="array" ref="F90">Common_InputFunctions.Utility_DisplayArrayInTable(Common_SourceData.Common_SourceData_ClimateZones_Data(), Table_SourceData_ClimateZones[[#Headers],[Climate zone]], 0)</f>
        <v>Any</v>
      </c>
      <c r="G90" s="39" t="str" cm="1">
        <f t="array" ref="G90">Common_InputFunctions.Utility_DisplayArrayInTable(Common_SourceData.Common_SourceData_ClimateZones_Data(), Table_SourceData_ClimateZones[[#Headers],[Climate zone]], 0)</f>
        <v>≤ 7</v>
      </c>
      <c r="H90" s="39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9" t="str" cm="1">
        <f t="array" ref="I90">Common_InputFunctions.Utility_DisplayArrayInTable(Common_SourceData.Common_SourceData_ClimateZones_Data(), Table_SourceData_ClimateZones[[#Headers],[Climate zone]], 0)</f>
        <v>Any</v>
      </c>
      <c r="J90" s="39" cm="1">
        <f t="array" ref="J90">Common_InputFunctions.Utility_DisplayArrayInTable(Common_SourceData.Common_SourceData_ClimateZones_Data(), Table_SourceData_ClimateZones[[#Headers],[Climate zone]], 0)</f>
        <v>18.001000000000001</v>
      </c>
      <c r="K90" s="39" cm="1">
        <f t="array" ref="K90">Common_InputFunctions.Utility_DisplayArrayInTable(Common_SourceData.Common_SourceData_ClimateZones_Data(), Table_SourceData_ClimateZones[[#Headers],[Climate zone]], 0)</f>
        <v>999999</v>
      </c>
      <c r="L90" s="39" cm="1">
        <f t="array" ref="L90">Common_InputFunctions.Utility_DisplayArrayInTable(Common_SourceData.Common_SourceData_ClimateZones_Data(), Table_SourceData_ClimateZones[[#Headers],[Climate zone]], 0)</f>
        <v>-999999</v>
      </c>
      <c r="M90" s="39" cm="1">
        <f t="array" ref="M90">Common_InputFunctions.Utility_DisplayArrayInTable(Common_SourceData.Common_SourceData_ClimateZones_Data(), Table_SourceData_ClimateZones[[#Headers],[Climate zone]], 0)</f>
        <v>999999</v>
      </c>
      <c r="N90" s="39" cm="1">
        <f t="array" ref="N90">Common_InputFunctions.Utility_DisplayArrayInTable(Common_SourceData.Common_SourceData_ClimateZones_Data(), Table_SourceData_ClimateZones[[#Headers],[Climate zone]], 0)</f>
        <v>-999999</v>
      </c>
      <c r="O90" s="39" cm="1">
        <f t="array" ref="O90">Common_InputFunctions.Utility_DisplayArrayInTable(Common_SourceData.Common_SourceData_ClimateZones_Data(), Table_SourceData_ClimateZones[[#Headers],[Climate zone]], 0)</f>
        <v>7</v>
      </c>
      <c r="P90" s="39" cm="1">
        <f t="array" ref="P90">Common_InputFunctions.Utility_DisplayArrayInTable(Common_SourceData.Common_SourceData_ClimateZones_Data(), Table_SourceData_ClimateZones[[#Headers],[Climate zone]], 0)</f>
        <v>1000</v>
      </c>
      <c r="Q90" s="39" cm="1">
        <f t="array" ref="Q90">Common_InputFunctions.Utility_DisplayArrayInTable(Common_SourceData.Common_SourceData_ClimateZones_Data(), Table_SourceData_ClimateZones[[#Headers],[Climate zone]], 0)</f>
        <v>999999</v>
      </c>
      <c r="R90" s="39" cm="1">
        <f t="array" ref="R90">Common_InputFunctions.Utility_DisplayArrayInTable(Common_SourceData.Common_SourceData_ClimateZones_Data(), Table_SourceData_ClimateZones[[#Headers],[Climate zone]], 0)</f>
        <v>-999999</v>
      </c>
      <c r="S90" s="39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9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9" t="str" cm="1">
        <f t="array" ref="E91">Common_InputFunctions.Utility_DisplayArrayInTable(Common_SourceData.Common_SourceData_ClimateZones_Data(), Table_SourceData_ClimateZones[[#Headers],[Climate zone]], 0)</f>
        <v>&gt; 18 C</v>
      </c>
      <c r="F91" s="39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9" t="str" cm="1">
        <f t="array" ref="G91">Common_InputFunctions.Utility_DisplayArrayInTable(Common_SourceData.Common_SourceData_ClimateZones_Data(), Table_SourceData_ClimateZones[[#Headers],[Climate zone]], 0)</f>
        <v>≤ 7</v>
      </c>
      <c r="H91" s="39" t="str" cm="1">
        <f t="array" ref="H91">Common_InputFunctions.Utility_DisplayArrayInTable(Common_SourceData.Common_SourceData_ClimateZones_Data(), Table_SourceData_ClimateZones[[#Headers],[Climate zone]], 0)</f>
        <v>≤ 1000 m</v>
      </c>
      <c r="I91" s="39" t="str" cm="1">
        <f t="array" ref="I91">Common_InputFunctions.Utility_DisplayArrayInTable(Common_SourceData.Common_SourceData_ClimateZones_Data(), Table_SourceData_ClimateZones[[#Headers],[Climate zone]], 0)</f>
        <v>Any</v>
      </c>
      <c r="J91" s="39" cm="1">
        <f t="array" ref="J91">Common_InputFunctions.Utility_DisplayArrayInTable(Common_SourceData.Common_SourceData_ClimateZones_Data(), Table_SourceData_ClimateZones[[#Headers],[Climate zone]], 0)</f>
        <v>18.001000000000001</v>
      </c>
      <c r="K91" s="39" cm="1">
        <f t="array" ref="K91">Common_InputFunctions.Utility_DisplayArrayInTable(Common_SourceData.Common_SourceData_ClimateZones_Data(), Table_SourceData_ClimateZones[[#Headers],[Climate zone]], 0)</f>
        <v>999999</v>
      </c>
      <c r="L91" s="39" cm="1">
        <f t="array" ref="L91">Common_InputFunctions.Utility_DisplayArrayInTable(Common_SourceData.Common_SourceData_ClimateZones_Data(), Table_SourceData_ClimateZones[[#Headers],[Climate zone]], 0)</f>
        <v>2000.001</v>
      </c>
      <c r="M91" s="39" cm="1">
        <f t="array" ref="M91">Common_InputFunctions.Utility_DisplayArrayInTable(Common_SourceData.Common_SourceData_ClimateZones_Data(), Table_SourceData_ClimateZones[[#Headers],[Climate zone]], 0)</f>
        <v>999999</v>
      </c>
      <c r="N91" s="39" cm="1">
        <f t="array" ref="N91">Common_InputFunctions.Utility_DisplayArrayInTable(Common_SourceData.Common_SourceData_ClimateZones_Data(), Table_SourceData_ClimateZones[[#Headers],[Climate zone]], 0)</f>
        <v>-999999</v>
      </c>
      <c r="O91" s="39" cm="1">
        <f t="array" ref="O91">Common_InputFunctions.Utility_DisplayArrayInTable(Common_SourceData.Common_SourceData_ClimateZones_Data(), Table_SourceData_ClimateZones[[#Headers],[Climate zone]], 0)</f>
        <v>7</v>
      </c>
      <c r="P91" s="39" cm="1">
        <f t="array" ref="P91">Common_InputFunctions.Utility_DisplayArrayInTable(Common_SourceData.Common_SourceData_ClimateZones_Data(), Table_SourceData_ClimateZones[[#Headers],[Climate zone]], 0)</f>
        <v>-999999</v>
      </c>
      <c r="Q91" s="39" cm="1">
        <f t="array" ref="Q91">Common_InputFunctions.Utility_DisplayArrayInTable(Common_SourceData.Common_SourceData_ClimateZones_Data(), Table_SourceData_ClimateZones[[#Headers],[Climate zone]], 0)</f>
        <v>999.99900000000002</v>
      </c>
      <c r="R91" s="39" cm="1">
        <f t="array" ref="R91">Common_InputFunctions.Utility_DisplayArrayInTable(Common_SourceData.Common_SourceData_ClimateZones_Data(), Table_SourceData_ClimateZones[[#Headers],[Climate zone]], 0)</f>
        <v>-999999</v>
      </c>
      <c r="S91" s="39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9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9" t="str" cm="1">
        <f t="array" ref="E92">Common_InputFunctions.Utility_DisplayArrayInTable(Common_SourceData.Common_SourceData_ClimateZones_Data(), Table_SourceData_ClimateZones[[#Headers],[Climate zone]], 0)</f>
        <v>&gt; 18 C</v>
      </c>
      <c r="F92" s="39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9" t="str" cm="1">
        <f t="array" ref="G92">Common_InputFunctions.Utility_DisplayArrayInTable(Common_SourceData.Common_SourceData_ClimateZones_Data(), Table_SourceData_ClimateZones[[#Headers],[Climate zone]], 0)</f>
        <v>≤ 7</v>
      </c>
      <c r="H92" s="39" t="str" cm="1">
        <f t="array" ref="H92">Common_InputFunctions.Utility_DisplayArrayInTable(Common_SourceData.Common_SourceData_ClimateZones_Data(), Table_SourceData_ClimateZones[[#Headers],[Climate zone]], 0)</f>
        <v>≤ 1000 m</v>
      </c>
      <c r="I92" s="39" t="str" cm="1">
        <f t="array" ref="I92">Common_InputFunctions.Utility_DisplayArrayInTable(Common_SourceData.Common_SourceData_ClimateZones_Data(), Table_SourceData_ClimateZones[[#Headers],[Climate zone]], 0)</f>
        <v>Any</v>
      </c>
      <c r="J92" s="39" cm="1">
        <f t="array" ref="J92">Common_InputFunctions.Utility_DisplayArrayInTable(Common_SourceData.Common_SourceData_ClimateZones_Data(), Table_SourceData_ClimateZones[[#Headers],[Climate zone]], 0)</f>
        <v>18.001000000000001</v>
      </c>
      <c r="K92" s="39" cm="1">
        <f t="array" ref="K92">Common_InputFunctions.Utility_DisplayArrayInTable(Common_SourceData.Common_SourceData_ClimateZones_Data(), Table_SourceData_ClimateZones[[#Headers],[Climate zone]], 0)</f>
        <v>999999</v>
      </c>
      <c r="L92" s="39" cm="1">
        <f t="array" ref="L92">Common_InputFunctions.Utility_DisplayArrayInTable(Common_SourceData.Common_SourceData_ClimateZones_Data(), Table_SourceData_ClimateZones[[#Headers],[Climate zone]], 0)</f>
        <v>1000.001</v>
      </c>
      <c r="M92" s="39" cm="1">
        <f t="array" ref="M92">Common_InputFunctions.Utility_DisplayArrayInTable(Common_SourceData.Common_SourceData_ClimateZones_Data(), Table_SourceData_ClimateZones[[#Headers],[Climate zone]], 0)</f>
        <v>2000</v>
      </c>
      <c r="N92" s="39" cm="1">
        <f t="array" ref="N92">Common_InputFunctions.Utility_DisplayArrayInTable(Common_SourceData.Common_SourceData_ClimateZones_Data(), Table_SourceData_ClimateZones[[#Headers],[Climate zone]], 0)</f>
        <v>-999999</v>
      </c>
      <c r="O92" s="39" cm="1">
        <f t="array" ref="O92">Common_InputFunctions.Utility_DisplayArrayInTable(Common_SourceData.Common_SourceData_ClimateZones_Data(), Table_SourceData_ClimateZones[[#Headers],[Climate zone]], 0)</f>
        <v>7</v>
      </c>
      <c r="P92" s="39" cm="1">
        <f t="array" ref="P92">Common_InputFunctions.Utility_DisplayArrayInTable(Common_SourceData.Common_SourceData_ClimateZones_Data(), Table_SourceData_ClimateZones[[#Headers],[Climate zone]], 0)</f>
        <v>-999999</v>
      </c>
      <c r="Q92" s="39" cm="1">
        <f t="array" ref="Q92">Common_InputFunctions.Utility_DisplayArrayInTable(Common_SourceData.Common_SourceData_ClimateZones_Data(), Table_SourceData_ClimateZones[[#Headers],[Climate zone]], 0)</f>
        <v>999.99900000000002</v>
      </c>
      <c r="R92" s="39" cm="1">
        <f t="array" ref="R92">Common_InputFunctions.Utility_DisplayArrayInTable(Common_SourceData.Common_SourceData_ClimateZones_Data(), Table_SourceData_ClimateZones[[#Headers],[Climate zone]], 0)</f>
        <v>-999999</v>
      </c>
      <c r="S92" s="39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9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9" t="str" cm="1">
        <f t="array" ref="E93">Common_InputFunctions.Utility_DisplayArrayInTable(Common_SourceData.Common_SourceData_ClimateZones_Data(), Table_SourceData_ClimateZones[[#Headers],[Climate zone]], 0)</f>
        <v>&gt; 18 C</v>
      </c>
      <c r="F93" s="39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9" t="str" cm="1">
        <f t="array" ref="G93">Common_InputFunctions.Utility_DisplayArrayInTable(Common_SourceData.Common_SourceData_ClimateZones_Data(), Table_SourceData_ClimateZones[[#Headers],[Climate zone]], 0)</f>
        <v>≤ 7</v>
      </c>
      <c r="H93" s="39" t="str" cm="1">
        <f t="array" ref="H93">Common_InputFunctions.Utility_DisplayArrayInTable(Common_SourceData.Common_SourceData_ClimateZones_Data(), Table_SourceData_ClimateZones[[#Headers],[Climate zone]], 0)</f>
        <v>≤ 1000 m</v>
      </c>
      <c r="I93" s="39" t="str" cm="1">
        <f t="array" ref="I93">Common_InputFunctions.Utility_DisplayArrayInTable(Common_SourceData.Common_SourceData_ClimateZones_Data(), Table_SourceData_ClimateZones[[#Headers],[Climate zone]], 0)</f>
        <v>Any</v>
      </c>
      <c r="J93" s="39" cm="1">
        <f t="array" ref="J93">Common_InputFunctions.Utility_DisplayArrayInTable(Common_SourceData.Common_SourceData_ClimateZones_Data(), Table_SourceData_ClimateZones[[#Headers],[Climate zone]], 0)</f>
        <v>18.001000000000001</v>
      </c>
      <c r="K93" s="39" cm="1">
        <f t="array" ref="K93">Common_InputFunctions.Utility_DisplayArrayInTable(Common_SourceData.Common_SourceData_ClimateZones_Data(), Table_SourceData_ClimateZones[[#Headers],[Climate zone]], 0)</f>
        <v>999999</v>
      </c>
      <c r="L93" s="39" cm="1">
        <f t="array" ref="L93">Common_InputFunctions.Utility_DisplayArrayInTable(Common_SourceData.Common_SourceData_ClimateZones_Data(), Table_SourceData_ClimateZones[[#Headers],[Climate zone]], 0)</f>
        <v>-999999</v>
      </c>
      <c r="M93" s="39" cm="1">
        <f t="array" ref="M93">Common_InputFunctions.Utility_DisplayArrayInTable(Common_SourceData.Common_SourceData_ClimateZones_Data(), Table_SourceData_ClimateZones[[#Headers],[Climate zone]], 0)</f>
        <v>1000</v>
      </c>
      <c r="N93" s="39" cm="1">
        <f t="array" ref="N93">Common_InputFunctions.Utility_DisplayArrayInTable(Common_SourceData.Common_SourceData_ClimateZones_Data(), Table_SourceData_ClimateZones[[#Headers],[Climate zone]], 0)</f>
        <v>-999999</v>
      </c>
      <c r="O93" s="39" cm="1">
        <f t="array" ref="O93">Common_InputFunctions.Utility_DisplayArrayInTable(Common_SourceData.Common_SourceData_ClimateZones_Data(), Table_SourceData_ClimateZones[[#Headers],[Climate zone]], 0)</f>
        <v>7</v>
      </c>
      <c r="P93" s="39" cm="1">
        <f t="array" ref="P93">Common_InputFunctions.Utility_DisplayArrayInTable(Common_SourceData.Common_SourceData_ClimateZones_Data(), Table_SourceData_ClimateZones[[#Headers],[Climate zone]], 0)</f>
        <v>-999999</v>
      </c>
      <c r="Q93" s="39" cm="1">
        <f t="array" ref="Q93">Common_InputFunctions.Utility_DisplayArrayInTable(Common_SourceData.Common_SourceData_ClimateZones_Data(), Table_SourceData_ClimateZones[[#Headers],[Climate zone]], 0)</f>
        <v>999.99900000000002</v>
      </c>
      <c r="R93" s="39" cm="1">
        <f t="array" ref="R93">Common_InputFunctions.Utility_DisplayArrayInTable(Common_SourceData.Common_SourceData_ClimateZones_Data(), Table_SourceData_ClimateZones[[#Headers],[Climate zone]], 0)</f>
        <v>-999999</v>
      </c>
      <c r="S93" s="39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9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9" t="str" cm="1">
        <f t="array" ref="E94">Common_InputFunctions.Utility_DisplayArrayInTable(Common_SourceData.Common_SourceData_ClimateZones_Data(), Table_SourceData_ClimateZones[[#Headers],[Climate zone]], 0)</f>
        <v>&gt; 10 C</v>
      </c>
      <c r="F94" s="39" t="str" cm="1">
        <f t="array" ref="F94">Common_InputFunctions.Utility_DisplayArrayInTable(Common_SourceData.Common_SourceData_ClimateZones_Data(), Table_SourceData_ClimateZones[[#Headers],[Climate zone]], 0)</f>
        <v>Any</v>
      </c>
      <c r="G94" s="39" t="str" cm="1">
        <f t="array" ref="G94">Common_InputFunctions.Utility_DisplayArrayInTable(Common_SourceData.Common_SourceData_ClimateZones_Data(), Table_SourceData_ClimateZones[[#Headers],[Climate zone]], 0)</f>
        <v>Any</v>
      </c>
      <c r="H94" s="39" t="str" cm="1">
        <f t="array" ref="H94">Common_InputFunctions.Utility_DisplayArrayInTable(Common_SourceData.Common_SourceData_ClimateZones_Data(), Table_SourceData_ClimateZones[[#Headers],[Climate zone]], 0)</f>
        <v>Any</v>
      </c>
      <c r="I94" s="39" t="str" cm="1">
        <f t="array" ref="I94">Common_InputFunctions.Utility_DisplayArrayInTable(Common_SourceData.Common_SourceData_ClimateZones_Data(), Table_SourceData_ClimateZones[[#Headers],[Climate zone]], 0)</f>
        <v>&gt; 1</v>
      </c>
      <c r="J94" s="39" cm="1">
        <f t="array" ref="J94">Common_InputFunctions.Utility_DisplayArrayInTable(Common_SourceData.Common_SourceData_ClimateZones_Data(), Table_SourceData_ClimateZones[[#Headers],[Climate zone]], 0)</f>
        <v>10.000999999999999</v>
      </c>
      <c r="K94" s="39" cm="1">
        <f t="array" ref="K94">Common_InputFunctions.Utility_DisplayArrayInTable(Common_SourceData.Common_SourceData_ClimateZones_Data(), Table_SourceData_ClimateZones[[#Headers],[Climate zone]], 0)</f>
        <v>999999</v>
      </c>
      <c r="L94" s="39" cm="1">
        <f t="array" ref="L94">Common_InputFunctions.Utility_DisplayArrayInTable(Common_SourceData.Common_SourceData_ClimateZones_Data(), Table_SourceData_ClimateZones[[#Headers],[Climate zone]], 0)</f>
        <v>-999999</v>
      </c>
      <c r="M94" s="39" cm="1">
        <f t="array" ref="M94">Common_InputFunctions.Utility_DisplayArrayInTable(Common_SourceData.Common_SourceData_ClimateZones_Data(), Table_SourceData_ClimateZones[[#Headers],[Climate zone]], 0)</f>
        <v>999999</v>
      </c>
      <c r="N94" s="39" cm="1">
        <f t="array" ref="N94">Common_InputFunctions.Utility_DisplayArrayInTable(Common_SourceData.Common_SourceData_ClimateZones_Data(), Table_SourceData_ClimateZones[[#Headers],[Climate zone]], 0)</f>
        <v>-999999</v>
      </c>
      <c r="O94" s="39" cm="1">
        <f t="array" ref="O94">Common_InputFunctions.Utility_DisplayArrayInTable(Common_SourceData.Common_SourceData_ClimateZones_Data(), Table_SourceData_ClimateZones[[#Headers],[Climate zone]], 0)</f>
        <v>999999</v>
      </c>
      <c r="P94" s="39" cm="1">
        <f t="array" ref="P94">Common_InputFunctions.Utility_DisplayArrayInTable(Common_SourceData.Common_SourceData_ClimateZones_Data(), Table_SourceData_ClimateZones[[#Headers],[Climate zone]], 0)</f>
        <v>-999999</v>
      </c>
      <c r="Q94" s="39" cm="1">
        <f t="array" ref="Q94">Common_InputFunctions.Utility_DisplayArrayInTable(Common_SourceData.Common_SourceData_ClimateZones_Data(), Table_SourceData_ClimateZones[[#Headers],[Climate zone]], 0)</f>
        <v>999999</v>
      </c>
      <c r="R94" s="39" cm="1">
        <f t="array" ref="R94">Common_InputFunctions.Utility_DisplayArrayInTable(Common_SourceData.Common_SourceData_ClimateZones_Data(), Table_SourceData_ClimateZones[[#Headers],[Climate zone]], 0)</f>
        <v>1.0009999999999999</v>
      </c>
      <c r="S94" s="39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9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9" t="str" cm="1">
        <f t="array" ref="E95">Common_InputFunctions.Utility_DisplayArrayInTable(Common_SourceData.Common_SourceData_ClimateZones_Data(), Table_SourceData_ClimateZones[[#Headers],[Climate zone]], 0)</f>
        <v>&gt; 10 C</v>
      </c>
      <c r="F95" s="39" t="str" cm="1">
        <f t="array" ref="F95">Common_InputFunctions.Utility_DisplayArrayInTable(Common_SourceData.Common_SourceData_ClimateZones_Data(), Table_SourceData_ClimateZones[[#Headers],[Climate zone]], 0)</f>
        <v>Any</v>
      </c>
      <c r="G95" s="39" t="str" cm="1">
        <f t="array" ref="G95">Common_InputFunctions.Utility_DisplayArrayInTable(Common_SourceData.Common_SourceData_ClimateZones_Data(), Table_SourceData_ClimateZones[[#Headers],[Climate zone]], 0)</f>
        <v>Any</v>
      </c>
      <c r="H95" s="39" t="str" cm="1">
        <f t="array" ref="H95">Common_InputFunctions.Utility_DisplayArrayInTable(Common_SourceData.Common_SourceData_ClimateZones_Data(), Table_SourceData_ClimateZones[[#Headers],[Climate zone]], 0)</f>
        <v>Any</v>
      </c>
      <c r="I95" s="39" t="str" cm="1">
        <f t="array" ref="I95">Common_InputFunctions.Utility_DisplayArrayInTable(Common_SourceData.Common_SourceData_ClimateZones_Data(), Table_SourceData_ClimateZones[[#Headers],[Climate zone]], 0)</f>
        <v>≤ 1</v>
      </c>
      <c r="J95" s="39" cm="1">
        <f t="array" ref="J95">Common_InputFunctions.Utility_DisplayArrayInTable(Common_SourceData.Common_SourceData_ClimateZones_Data(), Table_SourceData_ClimateZones[[#Headers],[Climate zone]], 0)</f>
        <v>10.000999999999999</v>
      </c>
      <c r="K95" s="39" cm="1">
        <f t="array" ref="K95">Common_InputFunctions.Utility_DisplayArrayInTable(Common_SourceData.Common_SourceData_ClimateZones_Data(), Table_SourceData_ClimateZones[[#Headers],[Climate zone]], 0)</f>
        <v>999999</v>
      </c>
      <c r="L95" s="39" cm="1">
        <f t="array" ref="L95">Common_InputFunctions.Utility_DisplayArrayInTable(Common_SourceData.Common_SourceData_ClimateZones_Data(), Table_SourceData_ClimateZones[[#Headers],[Climate zone]], 0)</f>
        <v>-999999</v>
      </c>
      <c r="M95" s="39" cm="1">
        <f t="array" ref="M95">Common_InputFunctions.Utility_DisplayArrayInTable(Common_SourceData.Common_SourceData_ClimateZones_Data(), Table_SourceData_ClimateZones[[#Headers],[Climate zone]], 0)</f>
        <v>999999</v>
      </c>
      <c r="N95" s="39" cm="1">
        <f t="array" ref="N95">Common_InputFunctions.Utility_DisplayArrayInTable(Common_SourceData.Common_SourceData_ClimateZones_Data(), Table_SourceData_ClimateZones[[#Headers],[Climate zone]], 0)</f>
        <v>-999999</v>
      </c>
      <c r="O95" s="39" cm="1">
        <f t="array" ref="O95">Common_InputFunctions.Utility_DisplayArrayInTable(Common_SourceData.Common_SourceData_ClimateZones_Data(), Table_SourceData_ClimateZones[[#Headers],[Climate zone]], 0)</f>
        <v>999999</v>
      </c>
      <c r="P95" s="39" cm="1">
        <f t="array" ref="P95">Common_InputFunctions.Utility_DisplayArrayInTable(Common_SourceData.Common_SourceData_ClimateZones_Data(), Table_SourceData_ClimateZones[[#Headers],[Climate zone]], 0)</f>
        <v>-999999</v>
      </c>
      <c r="Q95" s="39" cm="1">
        <f t="array" ref="Q95">Common_InputFunctions.Utility_DisplayArrayInTable(Common_SourceData.Common_SourceData_ClimateZones_Data(), Table_SourceData_ClimateZones[[#Headers],[Climate zone]], 0)</f>
        <v>999999</v>
      </c>
      <c r="R95" s="39" cm="1">
        <f t="array" ref="R95">Common_InputFunctions.Utility_DisplayArrayInTable(Common_SourceData.Common_SourceData_ClimateZones_Data(), Table_SourceData_ClimateZones[[#Headers],[Climate zone]], 0)</f>
        <v>-999999</v>
      </c>
      <c r="S95" s="39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9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9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9" t="str" cm="1">
        <f t="array" ref="F96">Common_InputFunctions.Utility_DisplayArrayInTable(Common_SourceData.Common_SourceData_ClimateZones_Data(), Table_SourceData_ClimateZones[[#Headers],[Climate zone]], 0)</f>
        <v>Any</v>
      </c>
      <c r="G96" s="39" t="str" cm="1">
        <f t="array" ref="G96">Common_InputFunctions.Utility_DisplayArrayInTable(Common_SourceData.Common_SourceData_ClimateZones_Data(), Table_SourceData_ClimateZones[[#Headers],[Climate zone]], 0)</f>
        <v>Any</v>
      </c>
      <c r="H96" s="39" t="str" cm="1">
        <f t="array" ref="H96">Common_InputFunctions.Utility_DisplayArrayInTable(Common_SourceData.Common_SourceData_ClimateZones_Data(), Table_SourceData_ClimateZones[[#Headers],[Climate zone]], 0)</f>
        <v>Any</v>
      </c>
      <c r="I96" s="39" t="str" cm="1">
        <f t="array" ref="I96">Common_InputFunctions.Utility_DisplayArrayInTable(Common_SourceData.Common_SourceData_ClimateZones_Data(), Table_SourceData_ClimateZones[[#Headers],[Climate zone]], 0)</f>
        <v>&gt; 1</v>
      </c>
      <c r="J96" s="39" cm="1">
        <f t="array" ref="J96">Common_InputFunctions.Utility_DisplayArrayInTable(Common_SourceData.Common_SourceData_ClimateZones_Data(), Table_SourceData_ClimateZones[[#Headers],[Climate zone]], 0)</f>
        <v>-999999</v>
      </c>
      <c r="K96" s="39" cm="1">
        <f t="array" ref="K96">Common_InputFunctions.Utility_DisplayArrayInTable(Common_SourceData.Common_SourceData_ClimateZones_Data(), Table_SourceData_ClimateZones[[#Headers],[Climate zone]], 0)</f>
        <v>10</v>
      </c>
      <c r="L96" s="39" cm="1">
        <f t="array" ref="L96">Common_InputFunctions.Utility_DisplayArrayInTable(Common_SourceData.Common_SourceData_ClimateZones_Data(), Table_SourceData_ClimateZones[[#Headers],[Climate zone]], 0)</f>
        <v>-999999</v>
      </c>
      <c r="M96" s="39" cm="1">
        <f t="array" ref="M96">Common_InputFunctions.Utility_DisplayArrayInTable(Common_SourceData.Common_SourceData_ClimateZones_Data(), Table_SourceData_ClimateZones[[#Headers],[Climate zone]], 0)</f>
        <v>999999</v>
      </c>
      <c r="N96" s="39" cm="1">
        <f t="array" ref="N96">Common_InputFunctions.Utility_DisplayArrayInTable(Common_SourceData.Common_SourceData_ClimateZones_Data(), Table_SourceData_ClimateZones[[#Headers],[Climate zone]], 0)</f>
        <v>-999999</v>
      </c>
      <c r="O96" s="39" cm="1">
        <f t="array" ref="O96">Common_InputFunctions.Utility_DisplayArrayInTable(Common_SourceData.Common_SourceData_ClimateZones_Data(), Table_SourceData_ClimateZones[[#Headers],[Climate zone]], 0)</f>
        <v>999999</v>
      </c>
      <c r="P96" s="39" cm="1">
        <f t="array" ref="P96">Common_InputFunctions.Utility_DisplayArrayInTable(Common_SourceData.Common_SourceData_ClimateZones_Data(), Table_SourceData_ClimateZones[[#Headers],[Climate zone]], 0)</f>
        <v>-999999</v>
      </c>
      <c r="Q96" s="39" cm="1">
        <f t="array" ref="Q96">Common_InputFunctions.Utility_DisplayArrayInTable(Common_SourceData.Common_SourceData_ClimateZones_Data(), Table_SourceData_ClimateZones[[#Headers],[Climate zone]], 0)</f>
        <v>999999</v>
      </c>
      <c r="R96" s="39" cm="1">
        <f t="array" ref="R96">Common_InputFunctions.Utility_DisplayArrayInTable(Common_SourceData.Common_SourceData_ClimateZones_Data(), Table_SourceData_ClimateZones[[#Headers],[Climate zone]], 0)</f>
        <v>1.0009999999999999</v>
      </c>
      <c r="S96" s="39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9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9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9" t="str" cm="1">
        <f t="array" ref="F97">Common_InputFunctions.Utility_DisplayArrayInTable(Common_SourceData.Common_SourceData_ClimateZones_Data(), Table_SourceData_ClimateZones[[#Headers],[Climate zone]], 0)</f>
        <v>Any</v>
      </c>
      <c r="G97" s="39" t="str" cm="1">
        <f t="array" ref="G97">Common_InputFunctions.Utility_DisplayArrayInTable(Common_SourceData.Common_SourceData_ClimateZones_Data(), Table_SourceData_ClimateZones[[#Headers],[Climate zone]], 0)</f>
        <v>Any</v>
      </c>
      <c r="H97" s="39" t="str" cm="1">
        <f t="array" ref="H97">Common_InputFunctions.Utility_DisplayArrayInTable(Common_SourceData.Common_SourceData_ClimateZones_Data(), Table_SourceData_ClimateZones[[#Headers],[Climate zone]], 0)</f>
        <v>Any</v>
      </c>
      <c r="I97" s="39" t="str" cm="1">
        <f t="array" ref="I97">Common_InputFunctions.Utility_DisplayArrayInTable(Common_SourceData.Common_SourceData_ClimateZones_Data(), Table_SourceData_ClimateZones[[#Headers],[Climate zone]], 0)</f>
        <v>≤ 1</v>
      </c>
      <c r="J97" s="39" cm="1">
        <f t="array" ref="J97">Common_InputFunctions.Utility_DisplayArrayInTable(Common_SourceData.Common_SourceData_ClimateZones_Data(), Table_SourceData_ClimateZones[[#Headers],[Climate zone]], 0)</f>
        <v>-999999</v>
      </c>
      <c r="K97" s="39" cm="1">
        <f t="array" ref="K97">Common_InputFunctions.Utility_DisplayArrayInTable(Common_SourceData.Common_SourceData_ClimateZones_Data(), Table_SourceData_ClimateZones[[#Headers],[Climate zone]], 0)</f>
        <v>10</v>
      </c>
      <c r="L97" s="39" cm="1">
        <f t="array" ref="L97">Common_InputFunctions.Utility_DisplayArrayInTable(Common_SourceData.Common_SourceData_ClimateZones_Data(), Table_SourceData_ClimateZones[[#Headers],[Climate zone]], 0)</f>
        <v>-999999</v>
      </c>
      <c r="M97" s="39" cm="1">
        <f t="array" ref="M97">Common_InputFunctions.Utility_DisplayArrayInTable(Common_SourceData.Common_SourceData_ClimateZones_Data(), Table_SourceData_ClimateZones[[#Headers],[Climate zone]], 0)</f>
        <v>999999</v>
      </c>
      <c r="N97" s="39" cm="1">
        <f t="array" ref="N97">Common_InputFunctions.Utility_DisplayArrayInTable(Common_SourceData.Common_SourceData_ClimateZones_Data(), Table_SourceData_ClimateZones[[#Headers],[Climate zone]], 0)</f>
        <v>-999999</v>
      </c>
      <c r="O97" s="39" cm="1">
        <f t="array" ref="O97">Common_InputFunctions.Utility_DisplayArrayInTable(Common_SourceData.Common_SourceData_ClimateZones_Data(), Table_SourceData_ClimateZones[[#Headers],[Climate zone]], 0)</f>
        <v>999999</v>
      </c>
      <c r="P97" s="39" cm="1">
        <f t="array" ref="P97">Common_InputFunctions.Utility_DisplayArrayInTable(Common_SourceData.Common_SourceData_ClimateZones_Data(), Table_SourceData_ClimateZones[[#Headers],[Climate zone]], 0)</f>
        <v>-999999</v>
      </c>
      <c r="Q97" s="39" cm="1">
        <f t="array" ref="Q97">Common_InputFunctions.Utility_DisplayArrayInTable(Common_SourceData.Common_SourceData_ClimateZones_Data(), Table_SourceData_ClimateZones[[#Headers],[Climate zone]], 0)</f>
        <v>999999</v>
      </c>
      <c r="R97" s="39" cm="1">
        <f t="array" ref="R97">Common_InputFunctions.Utility_DisplayArrayInTable(Common_SourceData.Common_SourceData_ClimateZones_Data(), Table_SourceData_ClimateZones[[#Headers],[Climate zone]], 0)</f>
        <v>-999999</v>
      </c>
      <c r="S97" s="39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7" t="str" cm="1">
        <f t="array" ref="D98:D101">Common_SourceData.Common_SourceData_ClimateZones_Appendices()</f>
        <v>Note:</v>
      </c>
    </row>
    <row r="99" spans="4:19" ht="20.100000000000001" customHeight="1" x14ac:dyDescent="0.25">
      <c r="D99" s="57" t="str">
        <v>MAT = mean annual temperature</v>
      </c>
    </row>
    <row r="100" spans="4:19" ht="20.100000000000001" customHeight="1" x14ac:dyDescent="0.25">
      <c r="D100" s="57" t="str">
        <v>MAP = mean annual precipitation</v>
      </c>
    </row>
    <row r="101" spans="4:19" ht="20.100000000000001" customHeight="1" x14ac:dyDescent="0.25">
      <c r="D101" s="57" t="str">
        <v>PET = potential evapotranspiration</v>
      </c>
    </row>
    <row r="102" spans="4:19" ht="20.100000000000001" customHeight="1" x14ac:dyDescent="0.25">
      <c r="D102" s="57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8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9" t="s">
        <v>55</v>
      </c>
      <c r="E109" s="39" t="s">
        <v>36</v>
      </c>
      <c r="F109" s="39" t="s">
        <v>56</v>
      </c>
      <c r="G109" s="39" t="s">
        <v>57</v>
      </c>
    </row>
    <row r="110" spans="4:19" ht="20.100000000000001" customHeight="1" x14ac:dyDescent="0.25">
      <c r="D110" s="39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9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9" cm="1">
        <f t="array" ref="F110">Common_InputFunctions.Utility_DisplayArrayInTable(Common_SourceData.Common_SourceData_TemperatureZones_Data(),Table_SourceData_TemperatureZones[[#Headers],[Temperature Zone]],0)</f>
        <v>26</v>
      </c>
      <c r="G110" s="39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9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9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9" cm="1">
        <f t="array" ref="F111">Common_InputFunctions.Utility_DisplayArrayInTable(Common_SourceData.Common_SourceData_TemperatureZones_Data(),Table_SourceData_TemperatureZones[[#Headers],[Temperature Zone]],0)</f>
        <v>15</v>
      </c>
      <c r="G111" s="39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9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9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9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9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8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9" t="s">
        <v>58</v>
      </c>
      <c r="E119" s="39" t="s">
        <v>59</v>
      </c>
      <c r="F119" s="39" t="s">
        <v>43</v>
      </c>
      <c r="G119" s="39" t="s">
        <v>44</v>
      </c>
      <c r="BM119" s="7"/>
    </row>
    <row r="120" spans="4:65" ht="20.100000000000001" customHeight="1" x14ac:dyDescent="0.25">
      <c r="D120" s="39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9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9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9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9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9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9" cm="1">
        <f t="array" ref="F121">Common_InputFunctions.Utility_DisplayArrayInTable(Common_SourceData.Common_SourceData_RainfallZones_Data(),Table_SourceData_RainfallZones[[#Headers],[Rainfall Zone]],0)</f>
        <v>-999999</v>
      </c>
      <c r="G121" s="39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9" t="s">
        <v>65</v>
      </c>
      <c r="E127" s="39" t="s">
        <v>66</v>
      </c>
    </row>
    <row r="128" spans="4:65" ht="20.100000000000001" customHeight="1" x14ac:dyDescent="0.25">
      <c r="D128" s="39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9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9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9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4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4"/>
    </row>
    <row r="134" spans="4:76" ht="20.100000000000001" customHeight="1" x14ac:dyDescent="0.25">
      <c r="D134" t="s">
        <v>93</v>
      </c>
      <c r="E134" t="s">
        <v>94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9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Common_SourceData.Common_SourceData_DataScores_Scope3_Title()</f>
        <v>Australian data scores for scope 3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Common_SourceData.Common_SourceData_DataScores_Scope3_Source()</f>
        <v>VEERG 2026: XXXXXXXX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BM141" s="7"/>
    </row>
    <row r="142" spans="4:76" ht="20.100000000000001" customHeight="1" x14ac:dyDescent="0.25">
      <c r="D142" s="39" t="s">
        <v>68</v>
      </c>
      <c r="E142" s="39" t="s">
        <v>69</v>
      </c>
      <c r="BM142" s="7"/>
    </row>
    <row r="143" spans="4:76" ht="20.100000000000001" customHeight="1" x14ac:dyDescent="0.25">
      <c r="D143" s="39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39" cm="1">
        <f t="array" ref="E143">Common_InputFunctions.Utility_DisplayArrayInTable(Common_SourceData.Common_SourceData_DataScores_Scope3_Data(), Table_SourceData_DataScores_Scope3[[#Headers],[Data source]], 0)</f>
        <v>1</v>
      </c>
      <c r="BM143" s="7"/>
    </row>
    <row r="144" spans="4:76" ht="20.100000000000001" customHeight="1" x14ac:dyDescent="0.25">
      <c r="D144" s="39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39" cm="1">
        <f t="array" ref="E144">Common_InputFunctions.Utility_DisplayArrayInTable(Common_SourceData.Common_SourceData_DataScores_Scope3_Data(), Table_SourceData_DataScores_Scope3[[#Headers],[Data source]], 0)</f>
        <v>2</v>
      </c>
      <c r="BM144" s="7"/>
    </row>
    <row r="145" spans="4:65" ht="20.100000000000001" customHeight="1" x14ac:dyDescent="0.25">
      <c r="D145" s="39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39" cm="1">
        <f t="array" ref="E145">Common_InputFunctions.Utility_DisplayArrayInTable(Common_SourceData.Common_SourceData_DataScores_Scope3_Data(), Table_SourceData_DataScores_Scope3[[#Headers],[Data source]], 0)</f>
        <v>3</v>
      </c>
      <c r="BM145" s="7"/>
    </row>
    <row r="146" spans="4:65" ht="20.100000000000001" customHeight="1" x14ac:dyDescent="0.25">
      <c r="D146" s="39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39" cm="1">
        <f t="array" ref="E146">Common_InputFunctions.Utility_DisplayArrayInTable(Common_SourceData.Common_SourceData_DataScores_Scope3_Data(), Table_SourceData_DataScores_Scope3[[#Headers],[Data source]], 0)</f>
        <v>4</v>
      </c>
      <c r="BM146" s="7"/>
    </row>
    <row r="147" spans="4:65" ht="20.100000000000001" customHeight="1" x14ac:dyDescent="0.25">
      <c r="D147" s="39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39" cm="1">
        <f t="array" ref="E147">Common_InputFunctions.Utility_DisplayArrayInTable(Common_SourceData.Common_SourceData_DataScores_Scope3_Data(), Table_SourceData_DataScores_Scope3[[#Headers],[Data source]], 0)</f>
        <v>5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Common_SourceData.Common_SourceData_FracLEACH_Title()</f>
        <v>Fraction of N that is available for leaching and runoff</v>
      </c>
      <c r="E150" s="24"/>
      <c r="BM150" s="7"/>
    </row>
    <row r="151" spans="4:65" ht="20.100000000000001" customHeight="1" x14ac:dyDescent="0.25">
      <c r="D151" s="5" t="str" cm="1">
        <f t="array" ref="D151">Common_SourceData.Common_SourceData_FracLEACH_Source()</f>
        <v>VEERG 2026:5.5.2.3 Constant Parameters</v>
      </c>
      <c r="E151" s="24"/>
      <c r="BM151" s="7"/>
    </row>
    <row r="152" spans="4:65" ht="20.100000000000001" customHeight="1" x14ac:dyDescent="0.25">
      <c r="D152" s="5" t="str" cm="1">
        <f t="array" ref="D152">Common_SourceData.Common_SourceData_FracLEACH_NIRReference()</f>
        <v>National Inventory Report Volume 1: Leaching and runoff (3.D.b.2)</v>
      </c>
      <c r="E152" s="24"/>
      <c r="BM152" s="7"/>
    </row>
    <row r="153" spans="4:65" ht="20.100000000000001" customHeight="1" x14ac:dyDescent="0.25">
      <c r="D153" s="24" t="str" cm="1">
        <f t="array" ref="D153:E153">Common_SourceData.Common_SourceData_FracLEACH_Data()</f>
        <v>FracLEACH</v>
      </c>
      <c r="E153" s="24">
        <v>0.24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6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5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5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6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5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57" t="str" cm="1">
        <f t="array" ref="E164">Common_SourceData.Common_SourceData_DensityOfMethane_Unit()</f>
        <v>kg/m3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Common_SourceData.Common_SourceData_EFN2O_Title()</f>
        <v>Nitrous oxide emission factors for inorganic fertiliser application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Common_SourceData.Common_SourceData_EFN2O_Source()</f>
        <v>VEERG 2026: Table A.2.2.1</v>
      </c>
      <c r="BM168" s="7"/>
      <c r="BN168" s="7"/>
      <c r="BO168" s="7"/>
    </row>
    <row r="169" spans="4:67" ht="20.100000000000001" customHeight="1" x14ac:dyDescent="0.25">
      <c r="D169" s="57" t="str" cm="1">
        <f t="array" ref="D169">Common_SourceData.Common_SourceData_EFN2O_Unit()</f>
        <v>(kg N2O-N / kg N</v>
      </c>
      <c r="BM169" s="7"/>
      <c r="BN169" s="7"/>
      <c r="BO169" s="7"/>
    </row>
    <row r="170" spans="4:67" ht="20.100000000000001" customHeight="1" x14ac:dyDescent="0.25">
      <c r="D170" s="58" t="str" cm="1">
        <f t="array" ref="D170:D174">Common_SourceData.Common_SourceData_EFN2O_Variation()</f>
        <v>VARIATION OF SOURCE DATA:</v>
      </c>
      <c r="BM170" s="7"/>
      <c r="BN170" s="7"/>
      <c r="BO170" s="7"/>
    </row>
    <row r="171" spans="4:67" ht="20.100000000000001" customHeight="1" x14ac:dyDescent="0.25">
      <c r="D171" s="58" t="str">
        <v>Removed duplicate 'Aquaculture' row.</v>
      </c>
      <c r="BM171" s="7"/>
      <c r="BN171" s="7"/>
      <c r="BO171" s="7"/>
    </row>
    <row r="172" spans="4:67" ht="20.100000000000001" customHeight="1" x14ac:dyDescent="0.25">
      <c r="D172" s="58" t="str">
        <v>Removed asterisks to aid lookup.</v>
      </c>
      <c r="BM172" s="7"/>
      <c r="BN172" s="7"/>
      <c r="BO172" s="7"/>
    </row>
    <row r="173" spans="4:67" ht="20.100000000000001" customHeight="1" x14ac:dyDescent="0.25">
      <c r="D173" s="58" t="str">
        <v>Added 'production system only', 'rainfall zone' and 'irrigation method' columns to aid lookup.</v>
      </c>
      <c r="BM173" s="7"/>
      <c r="BN173" s="7"/>
      <c r="BO173" s="7"/>
    </row>
    <row r="174" spans="4:67" ht="20.100000000000001" customHeight="1" x14ac:dyDescent="0.25">
      <c r="D174" s="58" t="str">
        <v>Duplicated 'non-irrigated pasture' row with same EF for low and high rainfall zones to aid lookup.</v>
      </c>
      <c r="BM174" s="7"/>
      <c r="BN174" s="7"/>
      <c r="BO174" s="7"/>
    </row>
    <row r="175" spans="4:67" ht="20.100000000000001" customHeight="1" x14ac:dyDescent="0.25">
      <c r="D175" s="39" t="s">
        <v>238</v>
      </c>
      <c r="E175" s="39" t="s">
        <v>239</v>
      </c>
      <c r="F175" s="39" t="s">
        <v>240</v>
      </c>
      <c r="G175" s="39" t="s">
        <v>241</v>
      </c>
      <c r="H175" s="39" t="s">
        <v>35</v>
      </c>
      <c r="J175" s="1" t="s">
        <v>250</v>
      </c>
      <c r="BM175" s="7"/>
      <c r="BN175" s="7"/>
      <c r="BO175" s="7"/>
    </row>
    <row r="176" spans="4:67" ht="20.100000000000001" customHeight="1" x14ac:dyDescent="0.25">
      <c r="D176" s="39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39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39" t="str" cm="1">
        <f t="array" ref="F176">Common_InputFunctions.Utility_DisplayArrayInTable(Common_SourceData.Common_SourceData_EFN2O_Data(), Table_SourceData_Common_EFN2O[[#Headers],[Production system j]], 0)</f>
        <v>Pasture</v>
      </c>
      <c r="G176" s="39" t="str" cm="1">
        <f t="array" ref="G176">Common_InputFunctions.Utility_DisplayArrayInTable(Common_SourceData.Common_SourceData_EFN2O_Data(), Table_SourceData_Common_EFN2O[[#Headers],[Production system j]], 0)</f>
        <v>Any</v>
      </c>
      <c r="H176" s="39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251</v>
      </c>
      <c r="BM176" s="7"/>
      <c r="BN176" s="7"/>
      <c r="BO176" s="7"/>
    </row>
    <row r="177" spans="4:67" ht="20.100000000000001" customHeight="1" x14ac:dyDescent="0.25">
      <c r="D177" s="39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39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39" t="str" cm="1">
        <f t="array" ref="F177">Common_InputFunctions.Utility_DisplayArrayInTable(Common_SourceData.Common_SourceData_EFN2O_Data(), Table_SourceData_Common_EFN2O[[#Headers],[Production system j]], 0)</f>
        <v>Crop</v>
      </c>
      <c r="G177" s="39" t="str" cm="1">
        <f t="array" ref="G177">Common_InputFunctions.Utility_DisplayArrayInTable(Common_SourceData.Common_SourceData_EFN2O_Data(), Table_SourceData_Common_EFN2O[[#Headers],[Production system j]], 0)</f>
        <v>Any</v>
      </c>
      <c r="H177" s="39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252</v>
      </c>
      <c r="BM177" s="7"/>
      <c r="BN177" s="7"/>
      <c r="BO177" s="7"/>
    </row>
    <row r="178" spans="4:67" ht="20.100000000000001" customHeight="1" x14ac:dyDescent="0.25">
      <c r="D178" s="39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39" cm="1">
        <f t="array" ref="E178">Common_InputFunctions.Utility_DisplayArrayInTable(Common_SourceData.Common_SourceData_EFN2O_Data(), Table_SourceData_Common_EFN2O[[#Headers],[Production system j]], 0)</f>
        <v>1.8E-3</v>
      </c>
      <c r="F178" s="39" t="str" cm="1">
        <f t="array" ref="F178">Common_InputFunctions.Utility_DisplayArrayInTable(Common_SourceData.Common_SourceData_EFN2O_Data(), Table_SourceData_Common_EFN2O[[#Headers],[Production system j]], 0)</f>
        <v>Pasture</v>
      </c>
      <c r="G178" s="39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39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7"/>
      <c r="BN178" s="7"/>
      <c r="BO178" s="7"/>
    </row>
    <row r="179" spans="4:67" ht="20.100000000000001" customHeight="1" x14ac:dyDescent="0.25">
      <c r="D179" s="39" t="str" cm="1">
        <f t="array" ref="D179">Common_InputFunctions.Utility_DisplayArrayInTable(Common_SourceData.Common_SourceData_EFN2O_Data(), Table_SourceData_Common_EFN2O[[#Headers],[Production system j]], 0)</f>
        <v>Non-irrigated pasture</v>
      </c>
      <c r="E179" s="39" cm="1">
        <f t="array" ref="E179">Common_InputFunctions.Utility_DisplayArrayInTable(Common_SourceData.Common_SourceData_EFN2O_Data(), Table_SourceData_Common_EFN2O[[#Headers],[Production system j]], 0)</f>
        <v>1.8E-3</v>
      </c>
      <c r="F179" s="39" t="str" cm="1">
        <f t="array" ref="F179">Common_InputFunctions.Utility_DisplayArrayInTable(Common_SourceData.Common_SourceData_EFN2O_Data(), Table_SourceData_Common_EFN2O[[#Headers],[Production system j]], 0)</f>
        <v>Pasture</v>
      </c>
      <c r="G179" s="39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39" t="str" cm="1">
        <f t="array" ref="H179">Common_InputFunctions.Utility_DisplayArrayInTable(Common_SourceData.Common_SourceData_EFN2O_Data(), Table_SourceData_Common_EFN2O[[#Headers],[Production system j]], 0)</f>
        <v>High rainfall</v>
      </c>
      <c r="BM179" s="7"/>
      <c r="BN179" s="7"/>
      <c r="BO179" s="7"/>
    </row>
    <row r="180" spans="4:67" ht="20.100000000000001" customHeight="1" x14ac:dyDescent="0.25">
      <c r="D180" s="39" t="str" cm="1">
        <f t="array" ref="D180">Common_InputFunctions.Utility_DisplayArrayInTable(Common_SourceData.Common_SourceData_EFN2O_Data(), Table_SourceData_Common_EFN2O[[#Headers],[Production system j]], 0)</f>
        <v>Non-irrigated crop (low rainfall)</v>
      </c>
      <c r="E180" s="39" cm="1">
        <f t="array" ref="E180">Common_InputFunctions.Utility_DisplayArrayInTable(Common_SourceData.Common_SourceData_EFN2O_Data(), Table_SourceData_Common_EFN2O[[#Headers],[Production system j]], 0)</f>
        <v>2.8999999999999998E-3</v>
      </c>
      <c r="F180" s="39" t="str" cm="1">
        <f t="array" ref="F180">Common_InputFunctions.Utility_DisplayArrayInTable(Common_SourceData.Common_SourceData_EFN2O_Data(), Table_SourceData_Common_EFN2O[[#Headers],[Production system j]], 0)</f>
        <v>Crop</v>
      </c>
      <c r="G180" s="39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39" t="str" cm="1">
        <f t="array" ref="H180">Common_InputFunctions.Utility_DisplayArrayInTable(Common_SourceData.Common_SourceData_EFN2O_Data(), Table_SourceData_Common_EFN2O[[#Headers],[Production system j]], 0)</f>
        <v>Low rainfall</v>
      </c>
    </row>
    <row r="181" spans="4:67" ht="20.100000000000001" customHeight="1" x14ac:dyDescent="0.25">
      <c r="D181" s="39" t="str" cm="1">
        <f t="array" ref="D181">Common_InputFunctions.Utility_DisplayArrayInTable(Common_SourceData.Common_SourceData_EFN2O_Data(), Table_SourceData_Common_EFN2O[[#Headers],[Production system j]], 0)</f>
        <v>Non-irrigated crop (high rainfall)</v>
      </c>
      <c r="E181" s="39" cm="1">
        <f t="array" ref="E181">Common_InputFunctions.Utility_DisplayArrayInTable(Common_SourceData.Common_SourceData_EFN2O_Data(), Table_SourceData_Common_EFN2O[[#Headers],[Production system j]], 0)</f>
        <v>8.0000000000000002E-3</v>
      </c>
      <c r="F181" s="39" t="str" cm="1">
        <f t="array" ref="F181">Common_InputFunctions.Utility_DisplayArrayInTable(Common_SourceData.Common_SourceData_EFN2O_Data(), Table_SourceData_Common_EFN2O[[#Headers],[Production system j]], 0)</f>
        <v>Crop</v>
      </c>
      <c r="G181" s="39" t="str" cm="1">
        <f t="array" ref="G181">Common_InputFunctions.Utility_DisplayArrayInTable(Common_SourceData.Common_SourceData_EFN2O_Data(), Table_SourceData_Common_EFN2O[[#Headers],[Production system j]], 0)</f>
        <v>Not irrigated</v>
      </c>
      <c r="H181" s="39" t="str" cm="1">
        <f t="array" ref="H181">Common_InputFunctions.Utility_DisplayArrayInTable(Common_SourceData.Common_SourceData_EFN2O_Data(), Table_SourceData_Common_EFN2O[[#Headers],[Production system j]], 0)</f>
        <v>High rainfall</v>
      </c>
    </row>
    <row r="182" spans="4:67" ht="20.100000000000001" customHeight="1" x14ac:dyDescent="0.25">
      <c r="D182" s="39" t="str" cm="1">
        <f t="array" ref="D182">Common_InputFunctions.Utility_DisplayArrayInTable(Common_SourceData.Common_SourceData_EFN2O_Data(), Table_SourceData_Common_EFN2O[[#Headers],[Production system j]], 0)</f>
        <v>Sugar</v>
      </c>
      <c r="E182" s="39" cm="1">
        <f t="array" ref="E182">Common_InputFunctions.Utility_DisplayArrayInTable(Common_SourceData.Common_SourceData_EFN2O_Data(), Table_SourceData_Common_EFN2O[[#Headers],[Production system j]], 0)</f>
        <v>1.9900000000000001E-2</v>
      </c>
      <c r="F182" s="39" t="str" cm="1">
        <f t="array" ref="F182">Common_InputFunctions.Utility_DisplayArrayInTable(Common_SourceData.Common_SourceData_EFN2O_Data(), Table_SourceData_Common_EFN2O[[#Headers],[Production system j]], 0)</f>
        <v>Sugar</v>
      </c>
      <c r="G182" s="39" t="str" cm="1">
        <f t="array" ref="G182">Common_InputFunctions.Utility_DisplayArrayInTable(Common_SourceData.Common_SourceData_EFN2O_Data(), Table_SourceData_Common_EFN2O[[#Headers],[Production system j]], 0)</f>
        <v>Any</v>
      </c>
      <c r="H182" s="39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39" t="str" cm="1">
        <f t="array" ref="D183">Common_InputFunctions.Utility_DisplayArrayInTable(Common_SourceData.Common_SourceData_EFN2O_Data(), Table_SourceData_Common_EFN2O[[#Headers],[Production system j]], 0)</f>
        <v>Cotton</v>
      </c>
      <c r="E183" s="39" cm="1">
        <f t="array" ref="E183">Common_InputFunctions.Utility_DisplayArrayInTable(Common_SourceData.Common_SourceData_EFN2O_Data(), Table_SourceData_Common_EFN2O[[#Headers],[Production system j]], 0)</f>
        <v>5.3E-3</v>
      </c>
      <c r="F183" s="39" t="str" cm="1">
        <f t="array" ref="F183">Common_InputFunctions.Utility_DisplayArrayInTable(Common_SourceData.Common_SourceData_EFN2O_Data(), Table_SourceData_Common_EFN2O[[#Headers],[Production system j]], 0)</f>
        <v>Cotton</v>
      </c>
      <c r="G183" s="39" t="str" cm="1">
        <f t="array" ref="G183">Common_InputFunctions.Utility_DisplayArrayInTable(Common_SourceData.Common_SourceData_EFN2O_Data(), Table_SourceData_Common_EFN2O[[#Headers],[Production system j]], 0)</f>
        <v>Any</v>
      </c>
      <c r="H183" s="39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39" t="str" cm="1">
        <f t="array" ref="D184">Common_InputFunctions.Utility_DisplayArrayInTable(Common_SourceData.Common_SourceData_EFN2O_Data(), Table_SourceData_Common_EFN2O[[#Headers],[Production system j]], 0)</f>
        <v>Horticultural crops</v>
      </c>
      <c r="E184" s="39" cm="1">
        <f t="array" ref="E184">Common_InputFunctions.Utility_DisplayArrayInTable(Common_SourceData.Common_SourceData_EFN2O_Data(), Table_SourceData_Common_EFN2O[[#Headers],[Production system j]], 0)</f>
        <v>6.4000000000000003E-3</v>
      </c>
      <c r="F184" s="39" t="str" cm="1">
        <f t="array" ref="F184">Common_InputFunctions.Utility_DisplayArrayInTable(Common_SourceData.Common_SourceData_EFN2O_Data(), Table_SourceData_Common_EFN2O[[#Headers],[Production system j]], 0)</f>
        <v>Horticultural crops</v>
      </c>
      <c r="G184" s="39" t="str" cm="1">
        <f t="array" ref="G184">Common_InputFunctions.Utility_DisplayArrayInTable(Common_SourceData.Common_SourceData_EFN2O_Data(), Table_SourceData_Common_EFN2O[[#Headers],[Production system j]], 0)</f>
        <v>Any</v>
      </c>
      <c r="H184" s="39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39" t="str" cm="1">
        <f t="array" ref="D185">Common_InputFunctions.Utility_DisplayArrayInTable(Common_SourceData.Common_SourceData_EFN2O_Data(), Table_SourceData_Common_EFN2O[[#Headers],[Production system j]], 0)</f>
        <v>Rice (continuous flooding)</v>
      </c>
      <c r="E185" s="39" cm="1">
        <f t="array" ref="E185">Common_InputFunctions.Utility_DisplayArrayInTable(Common_SourceData.Common_SourceData_EFN2O_Data(), Table_SourceData_Common_EFN2O[[#Headers],[Production system j]], 0)</f>
        <v>3.0000000000000001E-3</v>
      </c>
      <c r="F185" s="39" t="str" cm="1">
        <f t="array" ref="F185">Common_InputFunctions.Utility_DisplayArrayInTable(Common_SourceData.Common_SourceData_EFN2O_Data(), Table_SourceData_Common_EFN2O[[#Headers],[Production system j]], 0)</f>
        <v>Rice</v>
      </c>
      <c r="G185" s="39" t="str" cm="1">
        <f t="array" ref="G185">Common_InputFunctions.Utility_DisplayArrayInTable(Common_SourceData.Common_SourceData_EFN2O_Data(), Table_SourceData_Common_EFN2O[[#Headers],[Production system j]], 0)</f>
        <v>Continuous flooding</v>
      </c>
      <c r="H185" s="39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39" t="str" cm="1">
        <f t="array" ref="D186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6" s="39" cm="1">
        <f t="array" ref="E186">Common_InputFunctions.Utility_DisplayArrayInTable(Common_SourceData.Common_SourceData_EFN2O_Data(), Table_SourceData_Common_EFN2O[[#Headers],[Production system j]], 0)</f>
        <v>5.0000000000000001E-3</v>
      </c>
      <c r="F186" s="39" t="str" cm="1">
        <f t="array" ref="F186">Common_InputFunctions.Utility_DisplayArrayInTable(Common_SourceData.Common_SourceData_EFN2O_Data(), Table_SourceData_Common_EFN2O[[#Headers],[Production system j]], 0)</f>
        <v>Rice</v>
      </c>
      <c r="G186" s="39" t="str" cm="1">
        <f t="array" ref="G186">Common_InputFunctions.Utility_DisplayArrayInTable(Common_SourceData.Common_SourceData_EFN2O_Data(), Table_SourceData_Common_EFN2O[[#Headers],[Production system j]], 0)</f>
        <v>Single and multiple drainage, or alternate wetting and drying</v>
      </c>
      <c r="H186" s="39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39" t="str" cm="1">
        <f t="array" ref="D187">Common_InputFunctions.Utility_DisplayArrayInTable(Common_SourceData.Common_SourceData_EFN2O_Data(), Table_SourceData_Common_EFN2O[[#Headers],[Production system j]], 0)</f>
        <v>Aquaculture</v>
      </c>
      <c r="E187" s="39" cm="1">
        <f t="array" ref="E187">Common_InputFunctions.Utility_DisplayArrayInTable(Common_SourceData.Common_SourceData_EFN2O_Data(), Table_SourceData_Common_EFN2O[[#Headers],[Production system j]], 0)</f>
        <v>2.5999999999999999E-3</v>
      </c>
      <c r="F187" s="39" t="str" cm="1">
        <f t="array" ref="F187">Common_InputFunctions.Utility_DisplayArrayInTable(Common_SourceData.Common_SourceData_EFN2O_Data(), Table_SourceData_Common_EFN2O[[#Headers],[Production system j]], 0)</f>
        <v>Aquaculture</v>
      </c>
      <c r="G187" s="39" t="str" cm="1">
        <f t="array" ref="G187">Common_InputFunctions.Utility_DisplayArrayInTable(Common_SourceData.Common_SourceData_EFN2O_Data(), Table_SourceData_Common_EFN2O[[#Headers],[Production system j]], 0)</f>
        <v>Any</v>
      </c>
      <c r="H187" s="39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9" t="str" cm="1">
        <f t="array" ref="D188">Common_InputFunctions.Utility_DisplayArrayInTable(Common_SourceData.Common_SourceData_EFN2O_Data(), Table_SourceData_Common_EFN2O[[#Headers],[Production system j]], 0)</f>
        <v>Forestry</v>
      </c>
      <c r="E188" s="39" cm="1">
        <f t="array" ref="E188">Common_InputFunctions.Utility_DisplayArrayInTable(Common_SourceData.Common_SourceData_EFN2O_Data(), Table_SourceData_Common_EFN2O[[#Headers],[Production system j]], 0)</f>
        <v>1.8E-3</v>
      </c>
      <c r="F188" s="39" t="str" cm="1">
        <f t="array" ref="F188">Common_InputFunctions.Utility_DisplayArrayInTable(Common_SourceData.Common_SourceData_EFN2O_Data(), Table_SourceData_Common_EFN2O[[#Headers],[Production system j]], 0)</f>
        <v>Forestry</v>
      </c>
      <c r="G188" s="39" t="str" cm="1">
        <f t="array" ref="G188">Common_InputFunctions.Utility_DisplayArrayInTable(Common_SourceData.Common_SourceData_EFN2O_Data(), Table_SourceData_Common_EFN2O[[#Headers],[Production system j]], 0)</f>
        <v>Any</v>
      </c>
      <c r="H188" s="39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G16" sqref="G1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8" t="e" vm="1">
        <v>#VALUE!</v>
      </c>
      <c r="C1" s="8" t="s">
        <v>79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/>
    <row r="5" spans="1:13" ht="20.100000000000001" customHeight="1" x14ac:dyDescent="0.25"/>
    <row r="6" spans="1:13" ht="20.100000000000001" customHeight="1" x14ac:dyDescent="0.25"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D9" s="38" t="s">
        <v>80</v>
      </c>
      <c r="E9" s="39" t="s">
        <v>20</v>
      </c>
      <c r="F9" s="39" t="s">
        <v>81</v>
      </c>
      <c r="G9" s="3"/>
    </row>
    <row r="10" spans="1:13" ht="20.100000000000001" customHeight="1" x14ac:dyDescent="0.25">
      <c r="D10" s="38" t="str" cm="1">
        <f t="array" ref="D10">Common_InputFunctions.Utility_DisplayArrayInTable(CommonLivestock_SourceData.SourceData_Livestock_Common_SymbolsMMS_Data(), Table_Data_MMSSymbols[[#Headers],[Symbol]], 0)</f>
        <v>1</v>
      </c>
      <c r="E10" s="38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8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D11" s="38" t="str" cm="1">
        <f t="array" ref="D11">Common_InputFunctions.Utility_DisplayArrayInTable(CommonLivestock_SourceData.SourceData_Livestock_Common_SymbolsMMS_Data(), Table_Data_MMSSymbols[[#Headers],[Symbol]], 0)</f>
        <v>2</v>
      </c>
      <c r="E11" s="38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8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D12" s="39" t="str" cm="1">
        <f t="array" ref="D12">Common_InputFunctions.Utility_DisplayArrayInTable(CommonLivestock_SourceData.SourceData_Livestock_Common_SymbolsMMS_Data(), Table_Data_MMSSymbols[[#Headers],[Symbol]], 0)</f>
        <v>3</v>
      </c>
      <c r="E12" s="39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9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D13" s="39" t="str" cm="1">
        <f t="array" ref="D13">Common_InputFunctions.Utility_DisplayArrayInTable(CommonLivestock_SourceData.SourceData_Livestock_Common_SymbolsMMS_Data(), Table_Data_MMSSymbols[[#Headers],[Symbol]], 0)</f>
        <v>3a</v>
      </c>
      <c r="E13" s="39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9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D14" s="39" t="str" cm="1">
        <f t="array" ref="D14">Common_InputFunctions.Utility_DisplayArrayInTable(CommonLivestock_SourceData.SourceData_Livestock_Common_SymbolsMMS_Data(), Table_Data_MMSSymbols[[#Headers],[Symbol]], 0)</f>
        <v>3b</v>
      </c>
      <c r="E14" s="39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9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D15" s="39" t="str" cm="1">
        <f t="array" ref="D15">Common_InputFunctions.Utility_DisplayArrayInTable(CommonLivestock_SourceData.SourceData_Livestock_Common_SymbolsMMS_Data(), Table_Data_MMSSymbols[[#Headers],[Symbol]], 0)</f>
        <v>4</v>
      </c>
      <c r="E15" s="39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9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9" t="str" cm="1">
        <f t="array" ref="D16">Common_InputFunctions.Utility_DisplayArrayInTable(CommonLivestock_SourceData.SourceData_Livestock_Common_SymbolsMMS_Data(), Table_Data_MMSSymbols[[#Headers],[Symbol]], 0)</f>
        <v>5</v>
      </c>
      <c r="E16" s="39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9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4:8" ht="20.100000000000001" customHeight="1" x14ac:dyDescent="0.25">
      <c r="D17" s="39" t="str" cm="1">
        <f t="array" ref="D17">Common_InputFunctions.Utility_DisplayArrayInTable(CommonLivestock_SourceData.SourceData_Livestock_Common_SymbolsMMS_Data(), Table_Data_MMSSymbols[[#Headers],[Symbol]], 0)</f>
        <v>6</v>
      </c>
      <c r="E17" s="39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9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4:8" ht="20.100000000000001" customHeight="1" x14ac:dyDescent="0.25">
      <c r="D18" s="39" t="str" cm="1">
        <f t="array" ref="D18">Common_InputFunctions.Utility_DisplayArrayInTable(CommonLivestock_SourceData.SourceData_Livestock_Common_SymbolsMMS_Data(), Table_Data_MMSSymbols[[#Headers],[Symbol]], 0)</f>
        <v>7</v>
      </c>
      <c r="E18" s="39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9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4:8" ht="20.100000000000001" customHeight="1" x14ac:dyDescent="0.25">
      <c r="D19" s="39" t="str" cm="1">
        <f t="array" ref="D19">Common_InputFunctions.Utility_DisplayArrayInTable(CommonLivestock_SourceData.SourceData_Livestock_Common_SymbolsMMS_Data(), Table_Data_MMSSymbols[[#Headers],[Symbol]], 0)</f>
        <v>8</v>
      </c>
      <c r="E19" s="39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9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4:8" ht="20.100000000000001" customHeight="1" x14ac:dyDescent="0.25">
      <c r="D20" s="39" t="str" cm="1">
        <f t="array" ref="D20">Common_InputFunctions.Utility_DisplayArrayInTable(CommonLivestock_SourceData.SourceData_Livestock_Common_SymbolsMMS_Data(), Table_Data_MMSSymbols[[#Headers],[Symbol]], 0)</f>
        <v>9</v>
      </c>
      <c r="E20" s="39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9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4:8" ht="20.100000000000001" customHeight="1" x14ac:dyDescent="0.25">
      <c r="D21" s="39" t="str" cm="1">
        <f t="array" ref="D21">Common_InputFunctions.Utility_DisplayArrayInTable(CommonLivestock_SourceData.SourceData_Livestock_Common_SymbolsMMS_Data(), Table_Data_MMSSymbols[[#Headers],[Symbol]], 0)</f>
        <v>10</v>
      </c>
      <c r="E21" s="39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9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4:8" ht="20.100000000000001" customHeight="1" x14ac:dyDescent="0.25">
      <c r="D22" s="39" t="str" cm="1">
        <f t="array" ref="D22">Common_InputFunctions.Utility_DisplayArrayInTable(CommonLivestock_SourceData.SourceData_Livestock_Common_SymbolsMMS_Data(), Table_Data_MMSSymbols[[#Headers],[Symbol]], 0)</f>
        <v>11</v>
      </c>
      <c r="E22" s="39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9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4:8" ht="20.100000000000001" customHeight="1" x14ac:dyDescent="0.25">
      <c r="D23" s="39" t="str" cm="1">
        <f t="array" ref="D23">Common_InputFunctions.Utility_DisplayArrayInTable(CommonLivestock_SourceData.SourceData_Livestock_Common_SymbolsMMS_Data(), Table_Data_MMSSymbols[[#Headers],[Symbol]], 0)</f>
        <v>11a</v>
      </c>
      <c r="E23" s="39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9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4:8" ht="20.100000000000001" customHeight="1" x14ac:dyDescent="0.25">
      <c r="D24" s="39" t="str" cm="1">
        <f t="array" ref="D24">Common_InputFunctions.Utility_DisplayArrayInTable(CommonLivestock_SourceData.SourceData_Livestock_Common_SymbolsMMS_Data(), Table_Data_MMSSymbols[[#Headers],[Symbol]], 0)</f>
        <v>11b</v>
      </c>
      <c r="E24" s="39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9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4:8" ht="20.100000000000001" customHeight="1" x14ac:dyDescent="0.25">
      <c r="D25" s="39" t="str" cm="1">
        <f t="array" ref="D25">Common_InputFunctions.Utility_DisplayArrayInTable(CommonLivestock_SourceData.SourceData_Livestock_Common_SymbolsMMS_Data(), Table_Data_MMSSymbols[[#Headers],[Symbol]], 0)</f>
        <v>12</v>
      </c>
      <c r="E25" s="39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9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4:8" ht="20.100000000000001" customHeight="1" x14ac:dyDescent="0.25">
      <c r="D26" s="39" t="str" cm="1">
        <f t="array" ref="D26">Common_InputFunctions.Utility_DisplayArrayInTable(CommonLivestock_SourceData.SourceData_Livestock_Common_SymbolsMMS_Data(), Table_Data_MMSSymbols[[#Headers],[Symbol]], 0)</f>
        <v>13</v>
      </c>
      <c r="E26" s="39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9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4:8" ht="20.100000000000001" customHeight="1" x14ac:dyDescent="0.25">
      <c r="D27" s="39" t="str" cm="1">
        <f t="array" ref="D27">Common_InputFunctions.Utility_DisplayArrayInTable(CommonLivestock_SourceData.SourceData_Livestock_Common_SymbolsMMS_Data(), Table_Data_MMSSymbols[[#Headers],[Symbol]], 0)</f>
        <v>14</v>
      </c>
      <c r="E27" s="39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9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4:8" ht="20.100000000000001" customHeight="1" x14ac:dyDescent="0.25">
      <c r="G28" s="3"/>
      <c r="H28" s="3"/>
    </row>
    <row r="29" spans="4:8" ht="20.100000000000001" customHeight="1" x14ac:dyDescent="0.25"/>
    <row r="30" spans="4:8" ht="20.100000000000001" customHeight="1" x14ac:dyDescent="0.25"/>
    <row r="31" spans="4:8" ht="20.100000000000001" customHeight="1" x14ac:dyDescent="0.25"/>
    <row r="32" spans="4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70" t="s">
        <v>78</v>
      </c>
    </row>
    <row r="17" spans="1:1" ht="20.100000000000001" customHeight="1" x14ac:dyDescent="0.25">
      <c r="A17" s="70" t="s">
        <v>74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76</v>
      </c>
    </row>
    <row r="22" spans="1:1" ht="20.100000000000001" customHeight="1" x14ac:dyDescent="0.25">
      <c r="A22" s="70" t="s">
        <v>1</v>
      </c>
    </row>
    <row r="23" spans="1:1" ht="20.100000000000001" customHeight="1" x14ac:dyDescent="0.25">
      <c r="A23" s="70" t="s">
        <v>75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70" t="s">
        <v>78</v>
      </c>
    </row>
    <row r="32" spans="1:1" ht="20.100000000000001" customHeight="1" x14ac:dyDescent="0.25">
      <c r="A32" s="70" t="s">
        <v>74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0" t="s">
        <v>2</v>
      </c>
    </row>
    <row r="41" spans="1:1" ht="20.100000000000001" customHeight="1" x14ac:dyDescent="0.25">
      <c r="A41" s="47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AAIA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+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A8ACAAUwApACwAXABuACAAIAAgACAAIAAgACAAIABsAGEAcwB0AFkAZQBhAHIALAB5AGIALQAoAEQAQQBUAEUAKAB5AGIALABtACwAZAApAD4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CcAdAAgAG8AdgBlAHIAbABhAHAAOwAgAG0AbwB2AGUAIAB0AG8AIABuAGUAeAB0ACAAeQBlAGEAcgAqAC8AXABuACAAIAAgACAAIAAgACAAIABmAGkAcgBzAHQAWQBlAGEAcgAsAHkAYQArACgAUABlAHIAaQBvAGQARQBuAGQAKABEAEEAVABFACgAeQBhACwAbQAsAGQAKQApADwAUwApACwAIAAvACoAaQBmACAAdABoAGUAIABhAG4AYwBoAG8AcgAgAGYAbwByACAAeQBiACAAcwB0AGEAcgB0AHMAIABhAGYAdABlAHIAIABFACwAaQB0ACAAYwBhAG4AJwB0ACAAbwB2AGUAcgBsAGEAcAA7ACAAbQBvAHYAZQAgAHQAbwAgAHAAcgBlAHYAaQBvAHUAcwAgAHkAZQBhAHIAKgAvAFwAbgAgACAAIAAgACAAIAAgACAAbABhAHMAdABZAGUAYQByACwAeQBiAC0AKABEAEEAVABFACgAeQBiACwAbQAsAGQAKQA+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AmACAAXAAiACAAdABvACAAXAAiACAAJgAgAGUAbgBkAHMAVABlAHgAdAAgAC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CwAewAiAHAAYQB0AGgAIgA6ACIALwBwAHIAbwBqAGUAYwB0AHMALwBNAE0AUwBfAEYAZQBlAGQAbABvAHQ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QAgAE0AZQB0AGgAbwBkACAAMQAgAC0AIABNAGEAbgB1AHIAZQAgAE0AZQB0AGgAYQBuAGU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ewBFAH0AXwB7AEMASAA0AH0APQBcAFwAcwB1AG0AXwB7AGoAfQBcAFwAcwB1AG0AXwB7AG0AfQBcAFwAcwB1AG0AXwB7AFQAfQAoAEQAXwB7AGoAfQBcAFwAdABpAG0AZQBzACAATQBfAHsAagBtAFQAfQBcAFwAdABpAG0AZQBzACAATgBfAHsAagB9ACkAXABcAHQAaQBtAGUAcwAxADAAXgB7AC0AMwB9AFwAbgBEAF8AagAgAD0AIABsAGUAbgBnAHQAaAAgAG8AZgAgAHMAdABhAHkAIABvAGYAIABlAGEAYwBoACAAYwBhAHQAdABsAGUAIABnAHIAbwB1AHAAIAA6ACAAZABhAHkAcwBcAG4ATQBfAGoAbQBUACAAPQAgAG0AZQB0AGgAYQBuAGUAIABwAHIAbwBkAHUAYwB0AGkAbwBuACAAZgByAG8AbQAgAG0AYQBuAHUAcgBlACAAcABlAHIAIABjAGEAdAB0AGwAZQAgAGcAcgBvAHUAcAAsACAATQBNAFMALAAgAGEAbgBkACAAdAByAGUAYQB0AG0AZQBuAHQAIABzAHQAYQBnAGUAIAA6ACAAawBnACAAQwBIADQALwBoAGUAYQBkAC8AZABhAHkAXABuAE4AXwBqACAAPQAgAG4AdQBtAGIAZQByAHMAIABvAGYAIABiAGUAZQBmACAAYwBhAHQAdABsAGUAIABpAG4AIABlAGEAYwBoACAAZwByAG8AdQBwACAAOgAgAGgAZQBhAGQAXABuAC0ALQAtAC0ALQAtAC0ALQAtAC0ALQAtAC0ALQAtAC0ALQAtAC0ALQAtAC0ALQAtAC0ALQAtAC0ALQAtAC0ALQAtAC0ALQAtAC0ALQBcAG4AKgAvAFwAbgBcAG4AVgBFAEUAUgBHAF8ANABfADEAXwAxAF8AMQBfAF8AMQBfAFQAbwB0AGEAbABBAG4AbgB1AGEAbABNAGUAdABoAGEAbgBlAEUAbQBpAHMAcwBpAG8AbgBzAFwAbgAgACAAPQBMAEEATQBCAEQAQQAoAFwAbgAgACAAIAAgAEQAXwBqACwAIABNAF8AagBtAFQALAAgAE4AXwBqACwAXABuACAAIAAgACAAKABEAF8AagAgACoAIABNAF8AagBtAFQAIAAqACAATgBfAGoAKQAgACoAIAAxADAAIABeACAALQAzAFwAbgAgACAAKQA7AFwAbgBcAG4AVgBFAEUAUgBHAF8ANABfADE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xAF8AMQBfADEAXwBfADEAXwBUAG8AdABhAGwAQQBuAG4AdQBhAGwATQBlAHQAaABhAG4AZQBFAG0AaQBzAHMAaQBvAG4AcwBfAFYAYQByAGkAYQBiAGwAZQBcAG4AIAAgAD0ATABBAE0AQgBEAEEAKABcACIARQBfAEMASAA0AFwAIgApADsAXABuAFwAbgBWAEUARQBSAEcAXwA0AF8AMQBfADEAXwAxAF8AXwAxAF8AVABvAHQAYQBsAEEAbgBuAHUAYQBsAE0AZQB0AGgAYQBuAGUARQBtAGkAcwBzAGkAbwBuAHMAXwBVAG4AaQB0AFwAbgAgACAAPQBMAEEATQBCAEQAQQAoAFwAIgB0ACAAQwBIADQAXAAiACkAOwBcAG4AXABuAFYARQBFAFIARwBfADQAXwAxAF8AMQBfADEAXwBfADEAXwBUAG8AdABhAGwAQQBuAG4AdQBhAGwATQBlAHQAaABhAG4AZQBFAG0AaQBzAHMAaQBvAG4AcwBfAFMAbwB1AHIAYwBlAFwAbgAgACAAPQBMAEEATQBCAEQAQQAoAFwAIgBWAEUARQBSAEcAIAAyADAAMgA2ADoAIAA0AC4AMQAuADEALgAxACwAIABFAHEAdQBhAHQAaQBvAG4AIAAoADEAKQBcACIAKQA7AFwAbgBcAG4AVgBFAEUAUgBHAF8ANABfADEAXwAxAF8AMQBfAF8AMQBfAFQAbwB0AGEAbABBAG4AbgB1AGEAbABNAGUAdABoAGEAbgBlAEUAbQBpAHMAcwBpAG8AbgBzAF8ATgBJAFIAUgBlAGYAZQByAGUAbgBjAGUAXABuACAAIAA9AEwAQQBNAEIARABBACgAXAAiAFwAIgApADsAXABuAFwAbgBWAEUARQBSAEcAXwA0AF8AMQBfADEAXwAxAF8AXwAxAF8AVABvAHQAYQBsAEEAbgBuAHUAYQBsAE0AZQB0AGgAYQBuAGUARQBtAGkAcwBzAGkAbwBuAHMAXwBMAGEAdABlAHgARQBxAHUAYQB0AGkAbwBuAFwAbgAgACAAPQBMAEEATQBCAEQAQQAoAFwAIgB7AEUAfQBfAHsAQwBIADQAfQA9AFwAXABzAHUAbQBfAHsAagB9AFwAXABzAHUAbQBfAHsAbQB9AFwAXABzAHUAbQBfAHsAVAB9ACgARABfAHsAagB9AFwAXAB0AGkAbQBlAHMAIABNAF8AewBqAG0AVAB9AFwAXAB0AGkAbQBlAHMAIABOAF8AewBqAH0AKQBcAFwAdABpAG0AZQBzADEAMABeAHsALQAzAH0AXAAiACkAOwBcAG4AXABuAFYARQBFAFIARwBfADQAXwAxAF8AMQBfADEAXwBfADEAXwBUAG8AdABhAGwAQQBuAG4AdQBhAGwATQBlAHQAaABhAG4AZQBFAG0AaQBzAHMAaQBvAG4AcwBfAEEAcgBnAHUAbQBlAG4AdABzAFwAbgAgACAAPQBMAEEATQBCAEQAQQAoAFwAbgAgACAAIAAgAE0AQQBLAEUAQQBSAFIAQQBZACgAMwAsACAAMgAsAFwAbgAgACAAIAAgACAAIABMAEEATQBCAEQAQQAoAHIALABjACwAXABuACAAIAAgACAAIAAgACAAIABJAE4ARABFAFgAKAB7AFwAbgAgACAAIAAgACAAIAAgACAAIAAgAFwAIgBEAF8AagBcACIALABcACIAbABlAG4AZwB0AGgAIABvAGYAIABzAHQAYQB5ACAAbwBmACAAZQBhAGMAaAAgAGMAYQB0AHQAbABlACAAZwByAG8AdQBwACAAOgAgAGQAYQB5AHMAXAAiADsAXABuACAAIAAgACAAIAAgACAAIAAgACAAXAAiAE0AXwBqAG0AVABcACIALABcACIAbQBlAHQAaABhAG4AZQAgAHAAcgBvAGQAdQBjAHQAaQBvAG4AIABmAHIAbwBtACAAbQBhAG4AdQByAGUAIABwAGUAcgAgAGMAYQB0AHQAbABlACAAZwByAG8AdQBwACwAIABNAE0AUwAsACAAYQBuAGQAIAB0AHIAZQBhAHQAbQBlAG4AdAAgAHMAdABhAGcAZQAgADoAIABrAGcAIABDAEgANAAvAGgAZQBhAGQALwBkAGEAeQBcACIAOwBcAG4AIAAgACAAIAAgACAAIAAgACAAIABcACIATgBfAGoAXAAiACwAXAAiAG4AdQBtAGIAZQByAHMAIABvAGYAIABiAGUAZQBmACAAYwBhAHQAdABsAGUAIABpAG4AIABlAGEAYwBoACAAZwByAG8AdQBw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0AGUAbQBwAGUAcgBhAHQAdQByAGUAIAB6AG8Ab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DUAVAAxAFwAIgAsAFwAIgBmAHIAYQBjAHQAaQBvAG4AIABvAGYAIABtAGEAbgB1AHIAZQAgAGkAbgAgAHAAcgBpAG0AYQByAHkAIABzAHkAcwB0AGUAbQAgAGQAcgB5AGwAbwB0ACAATQBNAFMAIAA6ACAAZgByAGEAYwB0AGkAbwBuAFwAIgA7AFwAbgAgACAAIAAgACAAIAAgACAAIAAgAFwAIgBNAEMARgBfAGkAbQA1AFwAIgAsAFwAIgBtAGUAdABoAGEAbgBlACAAYwBvAG4AdgBlAHIAcwBpAG8AbgAgAGYAYQBjAHQAbwByACAAZgBvAHIAIAB0AGUAbQBwAGUAcgBhAHQAdQByAGUAIAB6AG8AbgBlACAAYQBuAGQAIABkAHIAeQBsAG8AdA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MAXwBTAHQAYQBnAGUAMgBNAGUAdABoAGEAbgBlAFAAcgBvAGQAdQBjAHQAaQBvAG4AXABuACAAIAA9AEwAQQBNAEIARABBACgAXABuACAAIAAgACAAVgBTAEwALAAgAFYAUwBfAGoALAAgAEIATwAsACAATQBNAFMAXwBtAFQAMgAsACAATQBDAEYAXwBpAG0ALAAgAHIAaABvACwAXABuACAAIAAgACAAKAAxACAALQAgAFYAUwBMACkAIAAqACAAVgBTAF8AagAgACoAIABCAE8AIAAqACAATQBNAFMAXwBtAFQAMgAgACoAIABNAEMARgBfAGkAbQAgACoAIAByAGgAbwBcAG4AIAAgACkAOwBcAG4AXABuAFYARQBFAFIARwBfADQAXwAx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xAF8AMQBfADEAXwBfADMAXwBTAHQAYQBnAGUAMgBNAGUAdABoAGEAbgBlAFAAcgBvAGQAdQBjAHQAaQBvAG4AXwBWAGEAcgBpAGEAYgBsAGUAXABuACAAIAA9AEwAQQBNAEIARABBACgAXAAiAE0AXwBqAG0AVAAyAFwAIgApADsAXABuAFwAbgBWAEUARQBSAEcAXwA0AF8AMQBfADEAXwAxAF8AXwAzAF8AUwB0AGEAZwBlADIATQBlAHQAaABhAG4AZQBQAHIAbwBkAHUAYwB0AGkAbwBuAF8AVQBuAGkAdABcAG4AIAAgAD0ATABBAE0AQgBEAEEAKABcACIAawBnACAAQwBIADQALwBoAGUAYQBkAC8AZABhAHkAXAAiACkAOwBcAG4AXABuAFYARQBFAFIARwBfADQAXwAxAF8AMQBfADEAXwBfADMAXwBTAHQAYQBnAGUAMgBNAGUAdABoAGEAbgBlAFAAcgBvAGQAdQBjAHQAaQBvAG4AXwBTAG8AdQByAGMAZQBcAG4AIAAgAD0ATABBAE0AQgBEAEEAKABcACIAVgBFAEUAUgBHACAAMgAwADIANgA6ACAANAAuADEALgAxAC4AMQAsACAARQBxAHUAYQB0AGkAbwBuACAAKAAzACkAXAAiACkAOwBcAG4AXABuAFYARQBFAFIARwBfADQAXwAxAF8AMQBfADEAXwBfADMAXwBTAHQAYQBnAGUAMgBNAGUAdABoAGEAbgBlAFAAcgBvAGQAdQBjAHQAaQBvAG4AXwBOAEkAUgBSAGUAZgBlAHIAZQBuAGMAZQBcAG4AIAAgAD0ATABBAE0AQgBEAEEAKABcACIAXAAiACkAOwBcAG4AXABuAFYARQBFAFIARwBfADQAXwAxAF8AMQBfADEAXwBfADMAXwBTAHQAYQBnAGUAMgBNAGUAdABoAGEAbgBlAFAAcgBvAGQAdQBjAHQAaQBvAG4AXwBMAGEAdABlAHgARQBxAHUAYQB0AGkAbwBuAFwAbgAgACAAPQBMAEEATQBCAEQAQQAoAFwAIgBNAF8AewBqAG0AVAA9ADIAfQA9ACgAMQAtAFYAUwBMACkAXABcAHQAaQBtAGUAcwAgAFYAUwBfAHsAagB9AFwAXAB0AGkAbQBlAHMAIABCAE8AXABcAHQAaQBtAGUAcwAgAE0ATQBTAF8AewBtAFQAPQAyAH0AXABcAHQAaQBtAGUAcwAgAE0AQwBGAF8AewBpAG0AfQBcAFwAdABpAG0AZQBzACAAXABcAHIAaABvAFwAIgApADsAXABuAFwAbgBWAEUARQBSAEcAXwA0AF8AMQBfADEAXwAxAF8AXwAzAF8AUwB0AGEAZwBlADIATQBlAHQAaABhAG4AZQBQAHIAbwBkAHUAYwB0AGkAbwBuAF8AQQByAGcAdQBtAGUAbgB0AHMAXABuACAAIAA9AEwAQQBNAEIARABBACgAXABuACAAIAAgACAATQBBAEsARQBBAFIAUgBBAFkAKAA3ACwAIAAy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AgADoAIABmAHIAYQBjAHQAaQBvAG4AXAAiAD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FQAMgBcACIALABcACIAZgByAGEAYwB0AGkAbwBuACAAbwBmACAAbQBhAG4AdQByAGUAIABpAG4AIABlAGEAYwBoACAAcwBlAGMAbwBuAGQ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QAXwBTAHQAYQBnAGUAMwBNAGUAdABoAGEAbgBlAFAAcgBvAGQAdQBjAHQAaQBvAG4AQQBuAGEAZQByAG8AYgBpAGMATABhAGcAbwBvAG4AXABuAFAAcgBvAGQAdQBjAHQAaQBvAG4AIABvAGYAIABtAGUAdABoAGEAbgBlACAAaQBuACAAdAByAGUAYQB0AG0AZQBuAHQAIABzAHQAYQBnAGUAIAAzACAATQBNAFMAXABuAE0AXwBqAG0AMQBUADMAXABuAGsAZwAgAEMASAA0AC8AaABlAGEAZAAvAGQAYQB5AFwAbgBNAF8AewBqAG0APQAxACwAVAA9ADMAfQA9AFYAUwBfAHsAagB9AFwAXAB0AGkAbQBlAHMAIABCAE8AXABcAHQAaQBtAGUAcwAgAE0ATQBTAF8AewBtAD0AMQAsAFQAPQAzAH0AXABcAHQAaQBtAGUAcwAgAE0AQwBGAF8AewBpAG0APQAx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EAVAAzACAAPQAgAGYAcgBhAGMAdABpAG8AbgAgAG8AZgAgAG0AYQBuAHUAcgBlACAAdABvACAAdABlAHIAdABpAGEAcgB5ACAAYQBuAGEAZQByAG8AYgBpAGMAIABsAGEAZwBvAG8AbgAgAHMAeQBzAHQAZQBtACAAOgAgAGYAcgBhAGMAdABpAG8AbgBcAG4ATQBDAEYAXwBpAG0AMQAgAD0AIABtAGUAdABoAGEAbgBlACAAYwBvAG4AdgBlAHIAcwBpAG8AbgAgAGYAYQBjAHQAbwByACAAZgBvAHIAIAB0AGUAbQBwAGUAcgBhAHQAdQByAGUAIAB6AG8Ab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IAA6ACAAawBnAC8AaABlAGEAZAAvAGQAYQB5AFwAIgA7AFwAbgAgACAAIAAgACAAIAAgACAAIAAgAFwAIgBCAE8AXAAiACwAXAAiAGUAbQBpAHMAcwBpAG8AbgBzACAAcABvAHQAZQBuAHQAaQBhAGwAIAA6ACAAbQAzACAAQwBIADQALwBrAGcAIABWAFMAXAAiADsAXABuACAAIAAgACAAIAAgACAAIAAgACAAXAAiAE0ATQBTAF8AbQAxAFQAMwBcACIALABcACIAZgByAGEAYwB0AGkAbwBuACAAbwBmACAAbQBhAG4AdQByAGUAIAB0AG8AIAB0AGUAcgB0AGkAYQByAHkAIABhAG4AYQBlAHIAbwBiAGkAYwAgAGwAYQBnAG8AbwBuACAAcwB5AHMAdABlAG0AIAA6ACAAZgByAGEAYwB0AGkAbwBuAFwAIgA7AFwAbgAgACAAIAAgACAAIAAgACAAIAAgAFwAIgBNAEMARgBfAGkAbQAxAFwAIgAsAFwAIgBtAGUAdABoAGEAbgBlACAAYwBvAG4AdgBlAHIAcwBpAG8AbgAgAGYAYQBjAHQAbwByACAAZgBvAHIAIAB0AGUAbQBwAGUAcgBhAHQAdQByAGUAIAB6AG8AbgBlACAAYQBuAGQAIABhAG4AYQBlAHIAbwBiAGkAYwAgAGwAYQBnAG8AbwBu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F8AagBcACIALABcACIAZAByAHkAIABtAGEAdAB0AGUAcgAgAGkAbgB0AGEAawBlACAAZgBvAHIAIABlAGEAYwBoACAAZwByAG8AdQBwACAAagAgADoAIABrAGcAIABEAE0ALwBoAGUAYQBkAC8AZABhAHkAXAAiADsAXABuACAAIAAgACAAIAAgACAAIAAgACAAXAAiAEQATQBEAF8AagBcACIALABcACIAZAByAHkAIABtAGEAdAB0AGUAcgAgAGQAaQBnAGUAcwB0AGkAYgBpAGwAaQB0AHkAIABmAG8AcgAgAGUAYQBjAGgAIABnAHIAbwB1AHAAIABqACAAOgAgAGYAcgBhAGMAdABpAG8AbgBcACIAOwBcAG4AIAAgACAAIAAgACAAIAAgACAAIABcACIAQQBcACIALABcACIAYQBzAGgAIABjAG8AbgB0AGUAbgB0ACAAbwBmACAAbQBhAG4AdQByAGUAIAA6ACAAZgByAGEAYwB0AGkAbwBuAFwAIgBcAG4AIAAgACAAIAAgACAAIAAgAH0ALAAgAHIALAAgAGMAKQBcAG4AIAAgACAAIAAgACAAKQBcAG4AIAAgACAAIAApAFwAbgAgACAAKQA7AFwAbgBcAG4AXABuAFwAbgBcAG4AXABuAFwAbgAiAH0ALAB7ACIAcABhAHQAaAAiADoAIgAvAHAAcgBvAGoAZQBjAHQAcwAvAE0ATQBTAF8ARgBlAGUAZABsAG8AdABfAE4AMgBPAF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zACAATQBlAHQAaABvAGQAIAAxACAALQAgAE0AYQBuAHUAcgBlACAARABpAHIAZQBjAHQAIABOADIATw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wBfAF8AMQBfAFQAbwB0AGEAbABBAG4AbgB1AGEAbABEAGkAcgBlAGMAdABOAGkAdAByAG8AdQBzAE8AeABpAGQAZQBFAG0AaQBzAHMAaQBvAG4Ac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tAH0AXABcAHMAdQBtAF8AewBUAH0AKABNAE4AXwB7AGoAbQBUAH0AXABcAHQAaQBtAGUAcwAgAEUARgBfAHsAagBtAH0AXABcAHQAaQBtAGUAcwAgAEMAXwB7AE4AMgBPAH0AKQBcAFwAdABpAG0AZQBzADEAMABeAHsALQAzAH0AXABuAE0ATgBfAGoAbQBUACAAPQAgAG4AaQB0AHIAbwBnAGUAbgAgAHAAZQByACAAYwBhAHQAdABsAGUAIABnAHIAbwB1AHA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EAXwAxAF8AMwBfAF8AMQBfAFQAbwB0AGEAbABBAG4AbgB1AGEAbABEAGkAcgBlAGMAdABOAGkAdAByAG8AdQBzAE8AeABpAGQAZQBFAG0AaQBzAHMAaQBvAG4AcwBcAG4AIAAgAD0ATABBAE0AQgBEAEEAKABcAG4AIAAgACAAIABNAE4AXwBqAG0AVAAsACAARQBGAF8AagBtACwAIABDAF8ATgAyAE8ALABcAG4AIAAgACAAIABTAFUATQBQAFIATwBEAFUAQwBUACgATQBOAF8AagBtAFQALAAgAEUARgBfAGoAbQAsACAAQwBfAE4AMgBPACkAIAAqACAAMQAwACAAXgAgAC0AMwBcAG4AIAAgACkAOwBcAG4AXABuAFYARQBFAFIARwBfADQAXwAxAF8AMQBfADMAXwBfADEAXwBUAG8AdABhAGwAQQBuAG4AdQBhAGwARABpAHIAZQBjAHQATgBpAHQAcgBvAHUAcwBPAHgAaQBkAGUARQBtAGkAcwBzAGkAbwBuAH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EAXwAxAF8AMwBfAF8AMQBfAFQAbwB0AGEAbABBAG4AbgB1AGEAbABEAGkAcgBlAGMAdABOAGkAdAByAG8AdQBzAE8AeABpAGQAZQBFAG0AaQBzAHMAaQBvAG4AcwBfAFYAYQByAGkAYQBiAGwAZQBcAG4AIAAgAD0ATABBAE0AQgBEAEEAKABcACIARQBfAE4AMgBPAGQAaQByAFwAIgApADsAXABuAFwAbgBWAEUARQBSAEcAXwA0AF8AMQBfADEAXwAzAF8AXwAxAF8AVABvAHQAYQBsAEEAbgBuAHUAYQBsAEQAaQByAGUAYwB0AE4AaQB0AHIAbwB1AHMATwB4AGkAZABlAEUAbQBpAHMAcwBpAG8AbgBzAF8AVQBuAGkAdABcAG4AIAAgAD0ATABBAE0AQgBEAEEAKABcACIAdAAgAE4AMgBPAFwAIgApADsAXABuAFwAbgBWAEUARQBSAEcAXwA0AF8AMQBfADEAXwAzAF8AXwAxAF8AVABvAHQAYQBsAEEAbgBuAHUAYQBsAEQAaQByAGUAYwB0AE4AaQB0AHIAbwB1AHMATwB4AGkAZABlAEUAbQBpAHMAcwBpAG8AbgBzAF8AUwBvAHUAcgBjAGUAXABuACAAIAA9AEwAQQBNAEIARABBACgAXAAiAFYARQBFAFIARwAgADIAMAAyADYAOgAgADQALgAxAC4AMQAuADMALAAgAEUAcQB1AGEAdABpAG8AbgAgACgAMQApAFwAIgApADsAXABuAFwAbgBWAEUARQBSAEcAXwA0AF8AMQBfADEAXwAzAF8AXwAxAF8AVABvAHQAYQBsAEEAbgBuAHUAYQBsAEQAaQByAGUAYwB0AE4AaQB0AHIAbwB1AHMATwB4AGkAZABlAEUAbQBpAHMAcwBpAG8AbgBzAF8ATgBJAFIAUgBlAGYAZQByAGUAbgBjAGUAXABuACAAIAA9AEwAQQBNAEIARABBACgAXAAiAFwAIgApADsAXABuAFwAbgBWAEUARQBSAEcAXwA0AF8AMQBfADEAXwAzAF8AXwAxAF8AVABvAHQAYQBsAEEAbgBuAHUAYQBsAEQAaQByAGUAYwB0AE4AaQB0AHIAbwB1AHMATwB4AGkAZABlAEUAbQBpAHMAcwBpAG8AbgBzAF8ATABhAHQAZQB4AEUAcQB1AGEAdABpAG8AbgBcAG4AIAAgAD0ATABBAE0AQgBEAEEAKABcACIARQBfAHsATgAyAE8ALABkAGkAcgB9AD0AXABcAHMAdQBtAF8AewBqAH0AXABcAHMAdQBtAF8AewBtAH0AXABcAHMAdQBtAF8AewBUAH0AKABNAE4AXwB7AGoAbQBUAH0AXABcAHQAaQBtAGUAcwAgAEUARgBfAHsAagBtAH0AXABcAHQAaQBtAGUAcwAgAEMAXwB7AE4AMgBPAH0AKQBcAFwAdABpAG0AZQBzADEAMABeAHsALQAzAH0AXAAiACkAOwBcAG4AXABuAFYARQBFAFIARwBfADQAXwAxAF8AMQBfADMAXwBfADEAXwBUAG8AdABhAGwAQQBuAG4AdQBhAGwARABpAHIAZQBjAHQATgBpAHQAcgBvAHUAcwBPAHgAaQBkAGUARQBtAGkAcwBzAGkAbwBuAHMAXwBBAHIAZwB1AG0AZQBuAHQAcwBcAG4AIAAgAD0ATABBAE0AQgBEAEEAKABcAG4AIAAgACAAIABNAEEASwBFAEEAUgBSAEEAWQAoADMALAAgADIALABcAG4AIAAgACAAIAAgACAATABBAE0AQgBEAEEAKAByACwAYwAsAFwAbgAgACAAIAAgACAAIAAgACAASQBOAEQARQBYACgAewBcAG4AIAAgACAAIAAgACAAIAAgACAAIABcACIATQBOAF8AagBtAFQAXAAiACwAXAAiAG4AaQB0AHIAbwBnAGUAbgAgAHAAZQByACAAYwBhAHQAdABsAGUAIABnAHIAbwB1AHAALAAgAE0ATQBTACAAYQBuAGQAIAB0AHIAZQBhAHQAbQBlAG4AdAAgAHMAdABhAGcAZQAgADoAIABrAGcAIABOAFwAIgA7AFwAbgAgACAAIAAgACAAIAAgACAAIAAgAFwAIgBFAEYAXwBqAG0AXAAiACwAXAAiAG4AaQB0AHIAbwB1AHMAIABvAHgAaQBkAGUAIABlAG0AaQBzAHMAaQBvAG4AIABmAGEAYwB0AG8AcgAgAGYAbwByACAATQBNAFM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IALABcAG4AIAAgACAAIAAgACAATABBAE0AQgBEAEEAKAByACwAYwAsAFwAbgAgACAAIAAgACAAIAAgACAASQBOAEQARQBYACgAewBcAG4AIAAgACAAIAAgACAAIAAgACAAIABcACIAQQBFAF8AagBcACIALABcACIAdABvAHQAYQBsACAAbgBpAHQAcgBvAGcAZQBuACAAZQB4AGMAcgBlAHQAZQBkACAAYgB5ACAAZQBhAGMAaAAgAGMAYQB0AHQAbABlACAAZwByAG8AdQBwACAAOgAgAGsAZwAgAE4AXAAiADsAXABuACAAIAAgACAAIAAgACAAIAAgACAAXAAiAE0ATQBTAF8AagBtADUAVAAxAFwAIgAsAFwAIgBmAHIAYQBjAHQAaQBvAG4AIABvAGYAIABtAGEAbgB1AHIAZQAgAGkAbgAgAHAAcgBpAG0AYQByAHkAIABzAHkAcwB0AGUAbQAgAGQAcgB5AGwAbwB0ACAATQBNAFM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MAXwBBAG4AbgB1AGEAbABOAGkAdAByAG8AZwBlAG4ARQB4AGMAcgBlAHQAaQBvAG4AXABuAEEAbgBuAHUAYQBsACAAbgBpAHQAcgBvAGcAZQBuACAAZQB4AGMAcgBlAHQAaQBvAG4AIABmAHIAbwBtACAAZQBhAGMAaAAgAGYAZQBlAGQAbABvAHQAIABjAGEAdAB0AGwAZQAgAGcAcgBvAHUAcABcAG4AQQBFAF8AagBcAG4AawBnACAATgBcAG4AQQBFAF8AewBqAH0APQBOAF8AewBqAH0AXABcAHQAaQBtAGUAcwAgAE4ARQBfAHsAagB9AFwAXAB0AGkAbQBlAHMAIABEAF8AewBqAH0AXABuAE4AXwBqACAAPQAgAG4AdQBtAGIAZQByACAAbwBmACAAYwBhAHQAdABsAGUAIABpAG4AIABlAGEAYwBoACAAZwByAG8AdQBwACAAOgAgAGgAZQBhAGQAXABuAE4ARQBfAGoAIAA9ACAAbgBpAHQAcgBvAGcAZQBuACAAZQB4AGMAcgBlAHQAaQBvAG4AIAA6ACAAawBnACAATgAvAGgAZQBhAGQALwBkAGEAeQBcAG4ARABfAGoAIAA9ACAAZAB1AHIAYQB0AGkAbwBuACAAbwBmACAAcwB0AGEAeQAgAG8AZgAgAGMAYQB0AHQAbABlACAAZwByAG8AdQBwACAAOgAgAGQAYQB5AHMAXABuAC0ALQAtAC0ALQAtAC0ALQAtAC0ALQAtAC0ALQAtAC0ALQAtAC0ALQAtAC0ALQAtAC0ALQAtAC0ALQAtAC0ALQAtAC0ALQAtAC0ALQBcAG4AKgAvAFwAbgBcAG4AVgBFAEUAUgBHAF8ANABfADEAXwAxAF8AMwBfAF8AMwBfAEEAbgBuAHUAYQBsAE4AaQB0AHIAbwBnAGUAbgBFAHgAYwByAGUAdABpAG8AbgBcAG4AIAAgAD0ATABBAE0AQgBEAEEAKABcAG4AIAAgACAAIABOAF8AagAsACAATgBFAF8AagAsACAARABfAGoALABcAG4AIAAgACAAIABOAF8AagAgACoAIABOAEUAXwBqACAAKgAgAEQAXwBqAFwAbgAgACAAKQA7AFwAbgBcAG4AVgBFAEUAUgBHAF8ANABfADEAXwAxAF8AMwBfAF8AMwBfAEEAbgBuAHUAYQBsAE4AaQB0AHIAbwBnAGUAbgBFAHgAYwByAGUAdABpAG8AbgBfAFQAaQB0AGwAZQBcAG4AIAAgAD0ATABBAE0AQgBEAEEAKABcACIAQQBuAG4AdQBhAGwAIABuAGkAdAByAG8AZwBlAG4AIABlAHgAYwByAGUAdABpAG8AbgAgAGYAcgBvAG0AIABlAGEAYwBoACAAZgBlAGUAZABsAG8AdAAgAGMAYQB0AHQAbABlACAAZwByAG8AdQBwAFwAIgApADsAXABuAFwAbgBWAEUARQBSAEcAXwA0AF8AMQBfADEAXwAzAF8AXwAzAF8AQQBuAG4AdQBhAGwATgBpAHQAcgBvAGcAZQBuAEUAeABjAHIAZQB0AGkAbwBuAF8AVgBhAHIAaQBhAGIAbABlAFwAbgAgACAAPQBMAEEATQBCAEQAQQAoAFwAIgBBAEUAXwBqAFwAIgApADsAXABuAFwAbgBWAEUARQBSAEcAXwA0AF8AMQBfADEAXwAzAF8AXwAzAF8AQQBuAG4AdQBhAGwATgBpAHQAcgBvAGcAZQBuAEUAeABjAHIAZQB0AGkAbwBuAF8AVQBuAGkAdABcAG4AIAAgAD0ATABBAE0AQgBEAEEAKABcACIAawBnACAATgBcACIAKQA7AFwAbgBcAG4AVgBFAEUAUgBHAF8ANABfADEAXwAxAF8AMwBfAF8AMwBfAEEAbgBuAHUAYQBsAE4AaQB0AHIAbwBnAGUAbgBFAHgAYwByAGUAdABpAG8AbgBfAFMAbwB1AHIAYwBlAFwAbgAgACAAPQBMAEEATQBCAEQAQQAoAFwAIgBWAEUARQBSAEcAIAAyADAAMgA2ADoAIAA0AC4AMQAuADEALgAzACwAIABFAHEAdQBhAHQAaQBvAG4AIAAoADMAKQBcACIAKQA7AFwAbgBcAG4AVgBFAEUAUgBHAF8ANABfADEAXwAxAF8AMwBfAF8AMwBfAEEAbgBuAHUAYQBsAE4AaQB0AHIAbwBnAGUAbgBFAHgAYwByAGUAdABpAG8AbgBfAE4ASQBSAFIAZQBmAGUAcgBlAG4AYwBlAFwAbgAgACAAPQBMAEEATQBCAEQAQQAoAFwAIgBcACIAKQA7AFwAbgBcAG4AVgBFAEUAUgBHAF8ANABfADEAXwAxAF8AMwBfAF8AMwBfAEEAbgBuAHUAYQBsAE4AaQB0AHIAbwBnAGUAbgBFAHgAYwByAGUAdABpAG8AbgBfAEwAYQB0AGUAeABFAHEAdQBhAHQAaQBvAG4AXABuACAAIAA9AEwAQQBNAEIARABBACgAXAAiAEEARQBfAHsAagB9AD0ATgBfAHsAagB9AFwAXAB0AGkAbQBlAHMAIABOAEUAXwB7AGoAfQBcAFwAdABpAG0AZQBzACAARABfAHsAagB9AFwAIgApADsAXABuAFwAbgBWAEUARQBSAEcAXwA0AF8AMQBfADEAXwAzAF8AXwAzAF8AQQBuAG4AdQBhAGwATgBpAHQAcgBvAGcAZQBuAEUAeABjAHIAZQB0AGkAbwBuAF8AQQByAGcAdQBtAGUAbgB0AHMAXABuACAAIAA9AEwAQQBNAEIARABBACgAXABuACAAIAAgACAATQBBAEsARQBBAFIAUgBBAFkAKAAzACwAIAAyACwAXABuACAAIAAgACAAIAAgAEwAQQBNAEIARABBACgAcgAsAGMALABcAG4AIAAgACAAIAAgACAAIAAgAEkATgBEAEUAWAAoAHsAXABuACAAIAAgACAAIAAgACAAIAAgACAAXAAiAE4AXwBqAFwAIgAsAFwAIgBuAHUAbQBiAGUAcgAgAG8AZgAgAGMAYQB0AHQAbABlACAAaQBuACAAZQBhAGMAaAAgAGcAcgBvAHUAcAAgADoAIABoAGUAYQBkAFwAIgA7AFwAbgAgACAAIAAgACAAIAAgACAAIAAgAFwAIgBOAEUAXwBqAFwAIgAsAFwAIgBuAGkAdAByAG8AZwBlAG4AIABlAHgAYwByAGUAdABpAG8AbgAgADoAIABrAGcAIABOAC8AaABlAGEAZAAvAGQAYQB5AFwAIgA7AFwAbgAgACAAIAAgACAAIAAgACAAIAAgAFwAIgBEAF8AagBcACIALABcACIAZAB1AHIAYQB0AGkAbwBuACAAbwBmACAAcwB0AGEAeQAgAG8AZgAgAGMAYQB0AHQAbABlACAAZwByAG8AdQBwACAAOgAgAGQAYQB5AHM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MgAsAFwAbgAgACAAIAAgACAAIABMAEEATQBCAEQAQQAoAHIALABjACwAXABuACAAIAAgACAAIAAgACAAIABJAE4ARABFAFgAKAB7AFwAbgAgACAAIAAgACAAIAAgACAAIAAgAFwAIgBOAEkAXwBqAFwAIgAsAFwAIgBuAGkAdAByAG8AZwBlAG4AIABpAG4AdABhAGsAZQAgADoAIABrAGcAIABOAC8AaABlAGEAZAAvAGQAYQB5AFwAIgA7AFwAbgAgACAAIAAgACAAIAAgACAAIAAgAFwAIgBOAFIAXwBqAFwAIgAsAFwAIgBuAGkAdAByAG8AZwBlAG4AIAByAGUAdABlAG4AdABpAG8AbgAgAGUAeABwAHIAZQBzAHMAZQBkACAAYQBzACAAYQAgAGYAcgBhAGMAdABpAG8AbgAgAG8AZgAgAGkAbgB0AGEAawBl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1AF8ATgBpAHQAcgBvAGcAZQBuAEkAbgB0AGEAawBlAFwAbgBOAGkAdAByAG8AZwBlAG4AIABpAG4AdABhAGsAZQAgAG8AZgAgAGYAZQBlAGQAbABvAHQAIABjAGEAdAB0AGwAZQBcAG4ATgBJAF8AagBcAG4AawBnACAATgAvAGgAZQBhAGQALwBkAGEAeQBcAG4ATgBJAF8AewBqAH0APQBJAF8AewBqAH0AXABcAHQAaQBtAGUAcwAgAEMAUABfAHsAagB9AFwAXABkAGkAdgAgADYALgAyADUAXABuAEkAXwBqACAAPQAgAGQAcgB5ACAAbQBhAHQAdABlAHIAIABpAG4AdABhAGsAZQAgADoAIABrAGcAIABEAE0ALwBoAGUAYQBkAC8AZABhAHkAXABuAEMAUABfAGo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MQBfADEAXwAzAF8AXwA1AF8ATgBpAHQAcgBvAGcAZQBuAEkAbgB0AGEAawBlAFwAbgAgACAAPQBMAEEATQBCAEQAQQAoAFwAbgAgACAAIAAgAEkAXwBqACwAIABDAFAAXwBqACwAXABuACAAIAAgACAASQBfAGoAIAAqACAAQwBQAF8AagAgAC8AIAA2AC4AMgA1AFwAbgAgACAAKQA7AFwAbgBcAG4AVgBFAEUAUgBHAF8ANABfADEAXwAxAF8AMwBfAF8ANQBfAE4AaQB0AHIAbwBnAGUAbgBJAG4AdABhAGsAZQBfAFQAaQB0AGwAZQBcAG4AIAAgAD0ATABBAE0AQgBEAEEAKABcACIATgBpAHQAcgBvAGcAZQBuACAAaQBuAHQAYQBrAGUAIABvAGYAIABmAGUAZQBkAGwAbwB0ACAAYwBhAHQAdABsAGUAXAAiACkAOwBcAG4AXABuAFYARQBFAFIARwBfADQAXwAxAF8AMQBfADMAXwBfADUAXwBOAGkAdAByAG8AZwBlAG4ASQBuAHQAYQBrAGUAXwBWAGEAcgBpAGEAYgBsAGUAXABuACAAIAA9AEwAQQBNAEIARABBACgAXAAiAE4ASQBfAGoAXAAiACkAOwBcAG4AXABuAFYARQBFAFIARwBfADQAXwAxAF8AMQBfADMAXwBfADUAXwBOAGkAdAByAG8AZwBlAG4ASQBuAHQAYQBrAGUAXwBVAG4AaQB0AFwAbgAgACAAPQBMAEEATQBCAEQAQQAoAFwAIgBrAGcAIABOAC8AaABlAGEAZAAvAGQAYQB5AFwAIgApADsAXABuAFwAbgBWAEUARQBSAEcAXwA0AF8AMQBfADEAXwAzAF8AXwA1AF8ATgBpAHQAcgBvAGcAZQBuAEkAbgB0AGEAawBlAF8AUwBvAHUAcgBjAGUAXABuACAAIAA9AEwAQQBNAEIARABBACgAXAAiAFYARQBFAFIARwAgADIAMAAyADYAOgAgADQALgAxAC4AMQAuADMALAAgAEUAcQB1AGEAdABpAG8AbgAgACgANQApAFwAIgApADsAXABuAFwAbgBWAEUARQBSAEcAXwA0AF8AMQBfADEAXwAzAF8AXwA1AF8ATgBpAHQAcgBvAGcAZQBuAEkAbgB0AGEAawBlAF8ATgBJAFIAUgBlAGYAZQByAGUAbgBjAGUAXABuACAAIAA9AEwAQQBNAEIARABBACgAXAAiAFwAIgApADsAXABuAFwAbgBWAEUARQBSAEcAXwA0AF8AMQBfADEAXwAzAF8AXwA1AF8ATgBpAHQAcgBvAGcAZQBuAEkAbgB0AGEAawBlAF8ATABhAHQAZQB4AEUAcQB1AGEAdABpAG8AbgBcAG4AIAAgAD0ATABBAE0AQgBEAEEAKABcACIATgBJAF8AewBqAH0APQBJAF8AewBqAH0AXABcAHQAaQBtAGUAcwAgAEMAUABfAHsAagB9AFwAXABkAGkAdgAgADYALgAyADUAXAAiACkAOwBcAG4AXABuAFYARQBFAFIARwBfADQAXwAxAF8AMQBfADMAXwBfADUAXwBOAGkAdAByAG8AZwBlAG4ASQBuAHQAYQBrAGUAXwBBAHIAZwB1AG0AZQBuAHQAcwBcAG4AIAAgAD0ATABBAE0AQgBEAEEAKABcAG4AIAAgACAAIABNAEEASwBFAEEAUgBSAEEAWQAoADMALAAgADIALABcAG4AIAAgACAAIAAgACAATABBAE0AQgBEAEEAKAByACwAYwAsAFwAbgAgACAAIAAgACAAIAAgACAASQBOAEQARQBYACgAewBcAG4AIAAgACAAIAAgACAAIAAgACAAIABcACIASQBfAGoAXAAiACwAXAAiAGQAcgB5ACAAbQBhAHQAdABlAHIAIABpAG4AdABhAGsAZQAgADoAIABrAGcAIABEAE0ALwBoAGUAYQBkAC8AZABhAHkAXAAiADsAXABuACAAIAAgACAAIAAgACAAIAAgACAAXAAiAEMAUABfAGoAXAAiACwAXAAiAGMAcgB1AGQAZQAgAHAAcgBvAHQAZQBpAG4AIABjAG8AbgB0AGUAbgB0ACAAbwBmACAAZgBlAGUAZAAgADoAIABmAHIAYQBjAHQAaQBvAG4AXAAiADsAXABuACAAIAAgACAAIAAgACAAIAAgACAAXAAiADYALgAyADUAXAAiACwAXAAiAGYAYQBjAHQAbwByACAAZgBvAHIAIABjAG8AbgB2AGUAcgB0AGkAbgBnACAAYwByAHUAZABlACAAcAByAG8AdABlAGkAbgAgAGkAbgB0AG8AIABuAGkAdAByAG8AZwBlAG4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6ACAAawBnACAATgBcAG4ATQBNAFMAXwBqAG0AVAAyACAAPQAgAGYAcgBhAGMAdABpAG8AbgAgAG8AZgAgAG0AYQBuAHUAcgBlACAAaQBuACAAZQBhAGMAaAAgAHMAZQBjAG8AbgBkAGEAcgB5ACAAcwB5AHMAdABlAG0AIAA6ACAAZgByAGEAYwB0AGkAbwBuAFwAbgAtAC0ALQAtAC0ALQAtAC0ALQAtAC0ALQAtAC0ALQAtAC0ALQAtAC0ALQAtAC0ALQAtAC0ALQAtAC0ALQAtAC0ALQAtAC0ALQAtAC0AXABuACoALwBcAG4AXABuAFYARQBFAFIARwBfADQAXwAx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EAXwAxAF8AMwBfAF8ANgBfAFMAdABhAGcAZQAyAE4AaQB0AHIAbwBnAGUAbgBJAG4ATQBNAFMAXwBUAGkAdABsAGUAXABuACAAIAA9AEwAQQBNAEIARABBACgAXAAiAE4AaQB0AHIAbwBnAGUAbgAgAGkAbgAgAHQAcgBlAGEAdABtAGUAbgB0ACAAcwB0AGEAZwBlACAAMgAgAE0ATQBTAFwAIgApADsAXABuAFwAbgBWAEUARQBSAEcAXwA0AF8AMQBfADEAXwAzAF8AXwA2AF8AUwB0AGEAZwBlADIATgBpAHQAcgBvAGcAZQBuAEkAbgBNAE0AUwBfAFYAYQByAGkAYQBiAGwAZQBcAG4AIAAgAD0ATABBAE0AQgBEAEEAKABcACIATQBOAF8AagBtAFQAMgBcACIAKQA7AFwAbgBcAG4AVgBFAEUAUgBHAF8ANABfADEAXwAxAF8AMwBfAF8ANgBfAFMAdABhAGcAZQAyAE4AaQB0AHIAbwBnAGUAbgBJAG4ATQBNAFMAXwBVAG4AaQB0AFwAbgAgACAAPQBMAEEATQBCAEQAQQAoAFwAIgBrAGcAIABOAFwAIgApADsAXABuAFwAbgBWAEUARQBSAEcAXwA0AF8AMQBfADEAXwAzAF8AXwA2AF8AUwB0AGEAZwBlADIATgBpAHQAcgBvAGcAZQBuAEkAbgBNAE0AUwBfAFMAbwB1AHIAYwBlAFwAbgAgACAAPQBMAEEATQBCAEQAQQAoAFwAIgBWAEUARQBSAEcAIAAyADAAMgA2ADoAIAA0AC4AMQAuADEALgAzACwAIABFAHEAdQBhAHQAaQBvAG4AIAAoADYAKQBcACIAKQA7AFwAbgBcAG4AVgBFAEUAUgBHAF8ANABfADEAXwAxAF8AMwBfAF8ANgBfAFMAdABhAGcAZQAyAE4AaQB0AHIAbwBnAGUAbgBJAG4ATQBNAFMAXwBOAEkAUgBSAGUAZgBlAHIAZQBuAGMAZQBcAG4AIAAgAD0ATABBAE0AQgBEAEEAKABcACIAXAAiACkAOwBcAG4AXABuAFYARQBFAFIARwBfADQAXwAx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EAXwAxAF8AMwBfAF8ANgBfAFMAdABhAGcAZQAy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TgBUAF8AagBtAFQAMgBcACIALABcACIAbgBpAHQAcgBvAGcAZQBuACAAdAByAGEAbgBzAGYAZQByAHIAZQBkACAAdABvACAAcwBlAGMAbwBuAGQAYQByAHkAIAB0AHIAZQBhAHQAbQBlAG4AdAAgAE0ATQBTACAAOgAgAGsAZwAgAE4AXAAiADsAXABuACAAIAAgACAAIAAgACAAIAAgACAAXAAiAE0ATQBTAF8AagBtAFQAMgBcACIALABcACIAZgByAGEAYwB0AGkAbwBuACAAbwBmACAAbQBhAG4AdQByAGUAIABpAG4AIABlAGEAYwBoACAAcwBlAGMAbwBuAGQAYQByAHkAIABzAHkAcwB0AGUAb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wBfAE4AaQB0AHIAbwBnAGUAbgBUAHIAYQBuAHMAZgBlAHIAcgBlAGQAVABvAFMAdABhAGcAZQAyAFwAbgBOAGkAdAByAG8AZwBlAG4AIAB0AHIAYQBuAHMAZgBlAHIAcgBlAGQAIAB0AG8AIAB0AHIAZQBhAHQAbQBlAG4AdAAgAHMAdABhAGcAZQAgADIAIABNAE0AUwBcAG4ATgBUAF8AagBtAFQAMgBcAG4AawBnACAATgBcAG4ATgBUAF8AewBqAG0ALABUAD0AMgB9AD0AKABNAE4AXwB7AGoAbQA9ADUALABUAD0AMQB9AFwAXAB0AGkAbQBlAHMAKAAxAC0ARgByAGEAYwBHAEEAUwBNAF8AewBtAD0ANQB9AC0ARQBGAF8AewBtAD0ANQB9ACkAKQAtAE0ATgBfAHsAagBtACwAVAA9ADMAfQBcAG4ATQBOAF8AagBtADUAVAAxACAAPQAgAG4AaQB0AHIAbwBnAGUAbgAgAGkAbgAgAE0ATQBTACAAdAByAGUAYQB0AG0AZQBuAHQAIABzAHQAYQBnAGUAIAAxACAAOgAgAGsAZwAgAE4AXABuAEYAcgBhAGMARwBBAFMATQBfAG0ANQAgAD0AIABmAHIAYQBjAHQAaQBvAG4AIABvAGYAIABOACAAdgBvAGwAYQB0AGkAbABpAHMAZQBkACAAZgByAG8AbQAgAGQAcgB5AGwAbwB0ACAATQBNAFMAIAA6ACAAZgByAGEAYwB0AGkAbwBuAFwAbgBFAEYAXwBtADUAIAA9ACAAbgBpAHQAcgBvAHUAcwAgAG8AeABpAGQAZQAgAGUAbQBpAHMAcwBpAG8AbgAgAGYAYQBjAHQAbwByACAAZgBvAHIAIABkAHIAeQBsAG8AdAAgAE0ATQBTACAAOgAgAGsAZwAgAE4AMgBPAC0ATgAvAGsAZwAgAE4AIABkAGUAcABvAHMAaQB0AGUAZABcAG4ATQBOAF8AagBtAFQAMwAgAD0AIABuAGkAdAByAG8AZwBlAG4AIABpAG4AIABNAE0AUwAgAHQAcgBlAGEAdABtAGUAbgB0ACAAcwB0AGEAZwBlACAAMwAgADoAIABrAGcAIABOAFwAbgAtAC0ALQAtAC0ALQAtAC0ALQAtAC0ALQAtAC0ALQAtAC0ALQAtAC0ALQAtAC0ALQAtAC0ALQAtAC0ALQAtAC0ALQAtAC0ALQAtAC0AXABuACoALwBcAG4AXABuAFYARQBFAFIARwBfADQAXwAxAF8AMQBfADMAXwBfADcAXwBOAGkAdAByAG8AZwBlAG4AVAByAGEAbgBzAGYAZQByAHIAZQBkAFQAbwBTAHQAYQBnAGUAMgBcAG4AIAAgAD0ATABBAE0AQgBEAEEAKABcAG4AIAAgACAAIABNAE4AXwBqAG0ANQBUADEALAAgAEYAcgBhAGMARwBBAFMATQBfAG0ANQAsACAARQBGAF8AbQA1ACwAIABNAE4AXwBqAG0AVAAzACwAXABuACAAIAAgACAAKABNAE4AXwBqAG0ANQBUADEAIAAqACAAKAAxACAALQAgAEYAcgBhAGMARwBBAFMATQBfAG0ANQAgAC0AIABFAEYAXwBtADUAKQApACAALQAgAE0ATgBfAGoAbQBUADMAXABuACAAIAApADsAXABuAFwAbgBWAEUARQBSAEcAXwA0AF8AMQBfADEAXwAzAF8AXwA3AF8ATgBpAHQAcgBvAGcAZQBuAFQAcgBhAG4AcwBmAGUAcgByAGUAZABUAG8AUwB0AGEAZwBlADIAXwBUAGkAdABsAGUAXABuACAAIAA9AEwAQQBNAEIARABBACgAXAAiAE4AaQB0AHIAbwBnAGUAbgAgAHQAcgBhAG4AcwBmAGUAcgByAGUAZAAgAHQAbwAgAHQAcgBlAGEAdABtAGUAbgB0ACAAcwB0AGEAZwBlACAAMgAgAE0ATQBTAFwAIgApADsAXABuAFwAbgBWAEUARQBSAEcAXwA0AF8AMQBfADEAXwAzAF8AXwA3AF8ATgBpAHQAcgBvAGcAZQBuAFQAcgBhAG4AcwBmAGUAcgByAGUAZABUAG8AUwB0AGEAZwBlADIAXwBWAGEAcgBpAGEAYgBsAGUAXABuACAAIAA9AEwAQQBNAEIARABBACgAXAAiAE4AVABfAGoAbQBUADIAXAAiACkAOwBcAG4AXABuAFYARQBFAFIARwBfADQAXwAxAF8AMQBfADMAXwBfADcAXwBOAGkAdAByAG8AZwBlAG4AVAByAGEAbgBzAGYAZQByAHIAZQBkAFQAbwBTAHQAYQBnAGUAMgBfAFUAbgBpAHQAXABuACAAIAA9AEwAQQBNAEIARABBACgAXAAiAGsAZwAgAE4AXAAiACkAOwBcAG4AXABuAFYARQBFAFIARwBfADQAXwAxAF8AMQBfADMAXwBfADcAXwBOAGkAdAByAG8AZwBlAG4AVAByAGEAbgBzAGYAZQByAHIAZQBkAFQAbwBTAHQAYQBnAGUAMgBfAFMAbwB1AHIAYwBlAFwAbgAgACAAPQBMAEEATQBCAEQAQQAoAFwAIgBWAEUARQBSAEcAIAAyADAAMgA2ADoAIAA0AC4AMQAuADEALgAzACwAIABFAHEAdQBhAHQAaQBvAG4AIAAoADcAKQBcACIAKQA7AFwAbgBcAG4AVgBFAEUAUgBHAF8ANABfADEAXwAxAF8AMwBfAF8ANwBfAE4AaQB0AHIAbwBnAGUAbgBUAHIAYQBuAHMAZgBlAHIAcgBlAGQAVABvAFMAdABhAGcAZQAyAF8ATgBJAFIAUgBlAGYAZQByAGUAbgBjAGUAXABuACAAIAA9AEwAQQBNAEIARABBACgAXAAiAFwAIgApADsAXABuAFwAbgBWAEUARQBSAEcAXwA0AF8AMQBfADEAXwAzAF8AXwA3AF8ATgBpAHQAcgBvAGcAZQBuAFQAcgBhAG4AcwBmAGUAcgByAGUAZABUAG8AUwB0AGEAZwBlADIAXwBMAGEAdABlAHgARQBxAHUAYQB0AGkAbwBuAFwAbgAgACAAPQBMAEEATQBCAEQAQQAoAFwAIgBOAFQAXwB7AGoAbQAsAFQAPQAyAH0APQAoAE0ATgBfAHsAagBtAD0ANQAsAFQAPQAxAH0AXABcAHQAaQBtAGUAcwAoADEALQBGAHIAYQBjAEcAQQBTAE0AXwB7AG0APQA1AH0ALQBFAEYAXwB7AG0APQA1AH0AKQApAC0ATQBOAF8AewBqAG0ALABUAD0AMwB9AFwAIgApADsAXABuAFwAbgBWAEUARQBSAEcAXwA0AF8AMQBfADEAXwAzAF8AXwA3AF8ATgBpAHQAcgBvAGcAZQBuAFQAcgBhAG4AcwBmAGUAcgByAGUAZABUAG8AUwB0AGEAZwBlADIAXwBBAHIAZwB1AG0AZQBuAHQAcwBcAG4AIAAgAD0ATABBAE0AQgBEAEEAKABcAG4AIAAgACAAIABNAEEASwBFAEEAUgBSAEEAWQAoADQALAAgADIALABcAG4AIAAgACAAIAAgACAATABBAE0AQgBEAEEAKAByACwAYwAsAFwAbgAgACAAIAAgACAAIAAgACAASQBOAEQARQBYACgAewBcAG4AIAAgACAAIAAgACAAIAAgACAAIABcACIATQBOAF8AagBtADUAVAAxAFwAIgAsAFwAIgBuAGkAdAByAG8AZwBlAG4AIABpAG4AIABNAE0AUwAgAHQAcgBlAGEAdABtAGUAbgB0ACAAcwB0AGEAZwBlACAAMQAgADoAIABrAGcAIABOAFwAIgA7AFwAbgAgACAAIAAgACAAIAAgACAAIAAgAFwAIgBGAHIAYQBjAEcAQQBTAE0AXwBtADUAXAAiACwAXAAiAGYAcgBhAGMAdABpAG8AbgAgAG8AZgAgAE4AIAB2AG8AbABhAHQAaQBsAGkAcwBlAGQAIABmAHIAbwBtACAAZAByAHkAbABvAHQAIABNAE0AUwAgADoAIABmAHIAYQBjAHQAaQBvAG4AXAAiADsAXABuACAAIAAgACAAIAAgACAAIAAgACAAXAAiAEUARgBfAG0ANQBcACIALABcACIAbgBpAHQAcgBvAHUAcwAgAG8AeABpAGQAZQAgAGUAbQBpAHMAcwBpAG8AbgAgAGYAYQBjAHQAbwByACAAZgBvAHIAIABkAHIAeQBsAG8AdAAgAE0ATQBTACAAOgAgAGsAZwAgAE4AMgBPAC0ATgAvAGsAZwAgAE4AIABkAGUAcABvAHMAaQB0AGUAZABcACIAOwBcAG4AIAAgACAAIAAgACAAIAAgACAAIABcACIATQBOAF8AagBtAFQAMwBcACIALABcACIAbgBpAHQAcgBvAGcAZQBuACAAaQBuACAATQBNAFMAIAB0AHIAZQBhAHQAbQBlAG4AdAAgAHMAdABhAGcAZQAgADMAIAA6ACAAawBnACAAT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4AF8AUwB0AGEAZwBlADMATgBpAHQAcgBvAGcAZQBuAEkAbgBNAE0AUwBBAG4AYQBlAHIAbwBiAGkAYwBMAGEAZwBvAG8AbgBcAG4ATgBpAHQAcgBvAGcAZQBuACAAaQBuACAAdAByAGUAYQB0AG0AZQBuAHQAIABzAHQAYQBnAGUAIAAzACAATQBNAFMAXABuAE0ATgBfAGoAbQAxAFQAMwBcAG4AawBnACAATgBcAG4ATQBOAF8AewBqAG0APQAxACwAVAA9ADMAfQA9AEEARQBfAHsAagB9AFwAXAB0AGkAbQBlAHMAIABNAE0AUwBfAHsAagBtAD0AMQAsAFQAPQAzAH0AXABuAEEARQBfAGoAIAA9ACAAdABvAHQAYQBsACAAbgBpAHQAcgBvAGcAZQBuACAAZQB4AGMAcgBlAHQAZQBkACAAYgB5ACAAZQBhAGMAaAAgAGMAYQB0AHQAbABlACAAZwByAG8AdQBwACAAOgAgAGsAZwAgAE4AXABuAE0ATQBTAF8AagBtADEAVAAzACAAPQAgAGYAcgBhAGMAdABpAG8AbgAgAG8AZgAgAG0AYQBuAHUAcgBlACAAdABvACAAdABlAHIAdABpAGEAcgB5ACAAYQBuAGEAZQByAG8AYgBpAGMAIABsAGEAZwBvAG8AbgAgAHMAeQBzAHQAZQBtACAAOgAgAGYAcgBhAGMAdABpAG8AbgBcAG4ALQAtAC0ALQAtAC0ALQAtAC0ALQAtAC0ALQAtAC0ALQAtAC0ALQAtAC0ALQAtAC0ALQAtAC0ALQAtAC0ALQAtAC0ALQAtAC0ALQAtAFwAbgAqAC8AXABuAFwAbgBWAEUARQBSAEcAXwA0AF8AMQBfADEAXwAzAF8AXwA4AF8AUwB0AGEAZwBlADMATgBpAHQAcgBvAGcAZQBuAEkAbgBNAE0AUwBBAG4AYQBlAHIAbwBiAGkAYwBMAGEAZwBvAG8AbgBcAG4AIAAgAD0ATABBAE0AQgBEAEEAKABcAG4AIAAgACAAIABBAEUAXwBqACwAIABNAE0AUwBfAGoAbQAxAFQAMwAsAFwAbgAgACAAIAAgAEEARQBfAGoAIAAqACAATQBNAFMAXwBqAG0AMQBUADMAXABuACAAIAApADsAXABuAFwAbgBWAEUARQBSAEcAXwA0AF8AMQBfADEAXwAzAF8AXwA4AF8AUwB0AGEAZwBlADMATgBpAHQAcgBvAGcAZQBuAEkAbgBNAE0AUwBBAG4AYQBlAHIAbwBiAGkAYwBMAGEAZwBvAG8AbgBfAFQAaQB0AGwAZQBcAG4AIAAgAD0ATABBAE0AQgBEAEEAKABcACIATgBpAHQAcgBvAGcAZQBuACAAaQBuACAAdAByAGUAYQB0AG0AZQBuAHQAIABzAHQAYQBnAGUAIAAzACAATQBNAFMAXAAiACkAOwBcAG4AXABuAFYARQBFAFIARwBfADQAXwAxAF8AMQBfADMAXwBfADgAXwBTAHQAYQBnAGUAMwBOAGkAdAByAG8AZwBlAG4ASQBuAE0ATQBTAEEAbgBhAGUAcgBvAGIAaQBjAEwAYQBnAG8AbwBuAF8AVgBhAHIAaQBhAGIAbABlAFwAbgAgACAAPQBMAEEATQBCAEQAQQAoAFwAIgBNAE4AXwBqAG0AMQBUADMAXAAiACkAOwBcAG4AXABuAFYARQBFAFIARwBfADQAXwAxAF8AMQBfADMAXwBfADgAXwBTAHQAYQBnAGUAMwBOAGkAdAByAG8AZwBlAG4ASQBuAE0ATQBTAEEAbgBhAGUAcgBvAGIAaQBjAEwAYQBnAG8AbwBuAF8AVQBuAGkAdABcAG4AIAAgAD0ATABBAE0AQgBEAEEAKABcACIAawBnACAATgBcACIAKQA7AFwAbgBcAG4AVgBFAEUAUgBHAF8ANABfADEAXwAxAF8AMwBfAF8AOABfAFMAdABhAGcAZQAzAE4AaQB0AHIAbwBnAGUAbgBJAG4ATQBNAFMAQQBuAGEAZQByAG8AYgBpAGMATABhAGcAbwBvAG4AXwBTAG8AdQByAGMAZQBcAG4AIAAgAD0ATABBAE0AQgBEAEEAKABcACIAVgBFAEUAUgBHACAAMgAwADIANgA6ACAANAAuADEALgAxAC4AMwAsACAARQBxAHUAYQB0AGkAbwBuACAAKAA4ACkAXAAiACkAOwBcAG4AXABuAFYARQBFAFIARwBfADQAXwAxAF8AMQBfADMAXwBfADgAXwBTAHQAYQBnAGUAMwBOAGkAdAByAG8AZwBlAG4ASQBuAE0ATQBTAEEAbgBhAGUAcgBvAGIAaQBjAEwAYQBnAG8AbwBuAF8ATgBJAFIAUgBlAGYAZQByAGUAbgBjAGUAXABuACAAIAA9AEwAQQBNAEIARABBACgAXAAiAFwAIgApADsAXABuAFwAbgBWAEUARQBSAEcAXwA0AF8AMQBfADEAXwAzAF8AXwA4AF8AUwB0AGEAZwBlADMATgBpAHQAcgBvAGcAZQBuAEkAbgBNAE0AUwBBAG4AYQBlAHIAbwBiAGkAYwBMAGEAZwBvAG8AbgBfAEwAYQB0AGUAeABFAHEAdQBhAHQAaQBvAG4AXABuACAAIAA9AEwAQQBNAEIARABBACgAXAAiAE0ATgBfAHsAagBtAD0AMQAsAFQAPQAzAH0APQBBAEUAXwB7AGoAfQBcAFwAdABpAG0AZQBzACAATQBNAFMAXwB7AGoAbQA9ADEALABUAD0AMwB9AFwAIgApADsAXABuAFwAbgBWAEUARQBSAEcAXwA0AF8AMQBfADEAXwAzAF8AXwA4AF8AUwB0AGEAZwBlADMATgBpAHQAcgBvAGcAZQBuAEkAbgBNAE0AUwBBAG4AYQBlAHIAbwBiAGkAYwBMAGEAZwBvAG8AbgBfAEEAcgBnAHUAbQBlAG4AdABzAFwAbgAgACAAPQBMAEEATQBCAEQAQQAoAFwAbgAgACAAIAAgAE0AQQBLAEUAQQBSAFIAQQBZACgAMgAsACAAMgAsAFwAbgAgACAAIAAgACAAIABMAEEATQBCAEQAQQAoAHIALABjACwAXABuACAAIAAgACAAIAAgACAAIABJAE4ARABFAFgAKAB7AFwAbgAgACAAIAAgACAAIAAgACAAIAAgAFwAIgBBAEUAXwBqAFwAIgAsAFwAIgB0AG8AdABhAGwAIABuAGkAdAByAG8AZwBlAG4AIABlAHgAYwByAGUAdABlAGQAIABiAHkAIABlAGEAYwBoACAAYwBhAHQAdABsAGUAIABnAHIAbwB1AHAAIAA6ACAAawBnACAATgBcACIAOwBcAG4AIAAgACAAIAAgACAAIAAgACAAIABcACIATQBNAFMAXwBqAG0AMQBUADMAXAAiACwAXAAiAGYAcgBhAGMAdABpAG8AbgAgAG8AZgAgAG0AYQBuAHUAcgBlACAAdABvACAAdABlAHIAdABpAGEAcgB5ACAAYQBuAGEAZQByAG8AYgBpAGMAIABsAGEAZwBvAG8AbgAgAHMAeQBzAHQAZQBtACAAOgAgAGYAcgBhAGMAdABpAG8AbgBcACIAXABuACAAIAAgACAAIAAgACAAIAB9ACwAIAByACwAIABjACkAXABuACAAIAAgACAAIAAgACkAXABuACAAIAAgACAAKQBcAG4AIAAgACkAOwBcAG4AXABuACIAfQAsAHsAIgBwAGEAdABoACIAOgAiAC8AcAByAG8AagBlAGMAdABzAC8ATQBNAFMAXwBGAGUAZQBkAGwAbwB0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QBfAE0AYQBzAHMATwBmAE4AaQB0AHIAbwBnAGUAbgBBAHAAcABsAGkAZQBkAFQAbwBTAG8AaQBsAHMAUwBjAG8AcABlADE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BQAEYAXABuACAAIAApADsAXABuAFwAbgBWAEUARQBSAEcAXwA0AF8AM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EAXwAxAF8AOQBfAF8AMQBfAE0AYQBzAHMATwBmAE4AaQB0AHIAbwBnAGUAbgBBAHAAcABsAGkAZQBkAFQAbwBTAG8AaQBsAHMAUwBjAG8AcABlADEAXwBWAGEAcgBpAGEAYgBsAGUAXABuACAAIAA9AEwAQQBNAEIARABBACgAXAAiAE0ATgBTAG8AaQBsAF8AcwBjAG8AcABlADEAXAAiACkAOwBcAG4AXABuAFYARQBFAFIARwBfADQAXwAxAF8AMQBfADkAXwBfADEAXwBNAGEAcwBzAE8AZgBOAGkAdAByAG8AZwBlAG4AQQBwAHAAbABpAGUAZABUAG8AUwBvAGkAbABzAFMAYwBvAHAAZQAxAF8AVQBuAGkAdABcAG4AIAAgAD0ATABBAE0AQgBEAEEAKABcACIAawBnACAATgBcACIAKQA7AFwAbgBcAG4AVgBFAEUAUgBHAF8ANABfADEAXwAxAF8AOQBfAF8AMQBfAE0AYQBzAHMATwBmAE4AaQB0AHIAbwBnAGUAbgBBAHAAcABsAGkAZQBkAFQAbwBTAG8AaQBsAHMAUwBjAG8AcABlADEAXwBTAG8AdQByAGMAZQBcAG4AIAAgAD0ATABBAE0AQgBEAEEAKABcACIAVgBFAEUAUgBHACAAMgAwADIANgA6ACAANAAuADEALgAxAC4AOQAsACAARQBxAHUAYQB0AGkAbwBuACAAKAAxACkAXAAiACkAOwBcAG4AXABuAFYARQBFAFIARwBfADQAXwAxAF8AMQBfADkAXwBfADEAXwBNAGEAcwBzAE8AZgBOAGkAdAByAG8AZwBlAG4AQQBwAHAAbABpAGUAZABUAG8AUwBvAGkAbABzAFMAYwBvAHAAZQAxAF8ATgBJAFIAUgBlAGYAZQByAGUAbgBjAGUAXABuACAAIAA9AEwAQQBNAEIARABBACgAXAAiAFwAIgApADsAXABuAFwAbgBWAEUARQBSAEcAXwA0AF8AMQBfADEAXwA5AF8AXwAxAF8ATQBhAHMAcwBPAGYATgBpAHQAcgBvAGcAZQBuAEEAcABwAGwAaQBlAGQAVABvAFMAbwBpAGwAcwBTAGMAbwBwAGUAMQBfAEwAYQB0AGUAeABFAHEAdQBhAHQAaQBvAG4AXABuACAAIAA9AEwAQQBNAEIARABBACgAXAAi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CIAKQA7AFwAbgBcAG4AVgBFAEUAUgBHAF8ANABfADEAXwAxAF8AOQBfAF8AMQBfAE0AYQBzAHMATwBmAE4AaQB0AHIAbwBnAGUAbgBBAHAAcABsAGkAZQBkAFQAbwBTAG8AaQBsAHMAUwBjAG8AcABlADEAXwBBAHIAZwB1AG0AZQBuAHQAcwBcAG4AIAAgAD0ATABBAE0AQgBEAEEAKABcAG4AIAAgACAAIABNAEEASwBFAEEAUgBSAEEAWQAoADQALAAgADI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IAA6ACAAawBnACAATgBcACIAOwBcAG4AIAAgACAAIAAgACAAIAAgACAAIABcACIARQBGAF8AbQBUADIAMwBcACIALABcACIAbgBpAHQAcgBvAHUAcwAgAG8AeABpAGQAZQAgAGUAbQBpAHMAcwBpAG8AbgAgAGYAYQBjAHQAbwByACAAZgBvAHIAIABlAGEAYwBoACAATQBNAFMAIAA6ACAAawBnACAATgAyAE8ALQBOAC8AawBnACAATg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IAA6ACAAKABrAGcAIABOAEgAMwAtAE4AIAArACAATgBPAHgALQBOACkALwBrAGcAIABOAFwAIgA7AFwAbgAgACAAIAAgACAAIAAgACAAIAAgAFwAIgBQAEYAXAAiACwAXAAiAGYAcgBhAGMAdABpAG8AbgAgAG8AZgAgAG0AYQBuAHUAcgBlACAAYQBwAHAAbABpAGUAZAAgAHQAbwAgAHMAbwBpAGwAIAB3AGkAdABoAGkAbgAgAHQAaABlACAAZgBlAGUAZABsAG8AdAAgAGIAbwB1AG4AZABhAHIAe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G4ATQBOAF8AagBtAFQAMgAzACAAPQAgAG0AYQBzAHMAIABvAGYAIABOACAAaQBuACAAcwBlAGMAbwBuAGQAYQByAHkAIABhAG4AZAAgAHQAZQByAHQAaQBhAHIAeQAgAHQAcgBlAGEAdABtAGUAbgB0ACAATQBNAFMAIABzAHQAYQBnAGUAcwAgAGEAcwAgAGMAYQBsAGMAdQBsAGEAdABlAGQAIABmAG8AcgAgAG0AYQBuAHUAcgBlACAAbQBhAG4AYQBnAGUAbQBlAG4AdAAgADoAIABrAGcAIABOAFwAbgBFAEYAXwBtAFQAMgAzACAAPQAgAG4AaQB0AHIAbwB1AHMAIABvAHgAaQBkAGUAIABlAG0AaQBzAHMAaQBvAG4AIABmAGEAYwB0AG8AcgAgAGYAbwByACAAZQBhAGMAaAAgAE0ATQBTACAAOgAgAGsAZwAgAE4AMgBPAC0ATgAvAGsAZwAgAE4AXABuAEYAcgBhAGMARwBBAFMATQBfAG0AVAAyADMAIAA9ACAAZgByAGEAYwB0AGkAbwBuACAAbwBmACAAYQBuAGkAbQBhAGwAIAB3AGEAcwB0AGUAIABOACAAdgBvAGwAYQB0AGkAbABpAHMAZQBkACAAaQBuACAAZQBhAGMAaAAgAE0ATQBTACAAZgBvAHIAIABlAGEAYwBoACAAYwBhAHQAdABsAGUAIABnAHIAbwB1AHAAIAA6ACAAKABrAGcAIABOAEgAMwAtAE4AIAArACAATgBPAHgALQBOACkALwBrAGcAIABOAFwAbgBQAEYAIAA9ACAAZgByAGEAYwB0AGkAbwBuACAAbwBmACAAbQBhAG4AdQByAGUAIABhAHAAcABsAGkAZQBkACAAdABvACAAcwBvAGkAbAAgAHcAaQB0AGgAaQBuACAAdABoAGUAIABmAGUAZQBkAGwAbwB0ACAAYgBvAHUAbgBkAGEAcgB5ACAAOgAgAGYAcgBhAGMAdABpAG8AbgBcAG4ALQAtAC0ALQAtAC0ALQAtAC0ALQAtAC0ALQAtAC0ALQAtAC0ALQAtAC0ALQAtAC0ALQAtAC0ALQAtAC0ALQAtAC0ALQAtAC0ALQAtAFwAbgAqAC8AXABuAFwAbgBWAEUARQBSAEcAXwA0AF8AMQBfADEAXwA5AF8AXwAyAF8ATQBhAHMAcwBPAGYATgBpAHQAcgBvAGcAZQBuAEEAcABwAGwAaQBlAGQAVABvAFMAbwBpAGwAcwBTAGMAbwBwAGUAMwBcAG4AIAAgAD0ATABBAE0AQgBEAEEAKABcAG4AIAAgACAAIABNAE4AXwBqAG0AVAAyADMALAAgAEUARgBfAG0AVAAyADMALAAgAEYAcgBhAGMARwBBAFMATQBfAG0AVAAyADMALAAgAFAARgAsAFwAbgAgACAAIAAgACgATQBOAF8AagBtAFQAMgAzACAAKgAgACgAMQAgAC0AIABFAEYAXwBtAFQAMgAzACAALQAgAEYAcgBhAGMARwBBAFMATQBfAG0AVAAyADMAKQApACAAKgAgACgAMQAgAC0AIABQAEYAKQBcAG4AIAAgACkAOwBcAG4AXABuAFYARQBFAFIARwBfADQAXwAx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MQBfADEAXwA5AF8AXwAyAF8ATQBhAHMAcwBPAGYATgBpAHQAcgBvAGcAZQBuAEEAcABwAGwAaQBlAGQAVABvAFMAbwBpAGwAcwBTAGMAbwBwAGUAMwBfAFYAYQByAGkAYQBiAGwAZQBcAG4AIAAgAD0ATABBAE0AQgBEAEEAKABcACIATQBOAFMAbwBpAGwAXwBzAGMAbwBwAGUAMwBcACIAKQA7AFwAbgBcAG4AVgBFAEUAUgBHAF8ANABfADEAXwAxAF8AOQBfAF8AMgBfAE0AYQBzAHMATwBmAE4AaQB0AHIAbwBnAGUAbgBBAHAAcABsAGkAZQBkAFQAbwBTAG8AaQBsAHMAUwBjAG8AcABlADMAXwBVAG4AaQB0AFwAbgAgACAAPQBMAEEATQBCAEQAQQAoAFwAIgBrAGcAIABOAFwAIgApADsAXABuAFwAbgBWAEUARQBSAEcAXwA0AF8AMQBfADEAXwA5AF8AXwAyAF8ATQBhAHMAcwBPAGYATgBpAHQAcgBvAGcAZQBuAEEAcABwAGwAaQBlAGQAVABvAFMAbwBpAGwAcwBTAGMAbwBwAGUAMwBfAFMAbwB1AHIAYwBlAFwAbgAgACAAPQBMAEEATQBCAEQAQQAoAFwAIgBWAEUARQBSAEcAIAAyADAAMgA2ADoAIAA0AC4AMQAuADEALgA5ACwAIABFAHEAdQBhAHQAaQBvAG4AIAAoADIAKQBcACIAKQA7AFwAbgBcAG4AVgBFAEUAUgBHAF8ANABfADEAXwAxAF8AOQBfAF8AMgBfAE0AYQBzAHMATwBmAE4AaQB0AHIAbwBnAGUAbgBBAHAAcABsAGkAZQBkAFQAbwBTAG8AaQBsAHMAUwBjAG8AcABlADMAXwBOAEkAUgBSAGUAZgBlAHIAZQBuAGMAZQBcAG4AIAAgAD0ATABBAE0AQgBEAEEAKABcACIAXAAiACkAOwBcAG4AXABuAFYARQBFAFIARwBfADQAXwAxAF8AMQBfADkAXwBfADIAXwBNAGEAcwBzAE8AZgBOAGkAdAByAG8AZwBlAG4AQQBwAHAAbABpAGUAZABUAG8AUwBvAGkAbABzAFMAYwBvAHAAZQAzAF8ATABhAHQAZQB4AEUAcQB1AGEAdABpAG8AbgBcAG4AIAAgAD0ATABBAE0AQgBEAEEAKABcACI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IgApADsAXABuAFwAbgBWAEUARQBSAEcAXwA0AF8AMQBfADEAXwA5AF8AXwAyAF8ATQBhAHMAcwBPAGYATgBpAHQAcgBvAGcAZQBuAEEAcABwAGwAaQBlAGQAVABvAFMAbwBpAGwAcwBTAGMAbwBwAGUAMwBfAEEAcgBnAHUAbQBlAG4AdABzAFwAbgAgACAAPQBMAEEATQBCAEQAQQAoAFwAbgAgACAAIAAgAE0AQQBLAEUAQQBSAFIAQQBZACgANAAsACAAMgAsAFwAbgAgACAAIAAgACAAIABMAEEATQBCAEQAQQAoAHIALABjACwAXABuACAAIAAgACAAIAAgACAAIABJAE4ARABFAFgAKAB7AFwAbgAgACAAIAAgACAAIAAgACAAIAAgAFwAIgBNAE4AXwBqAG0AVAAyADMAXAAiACwAXAAiAG0AYQBzAHMAIABvAGYAIABOACAAaQBuACAAcwBlAGMAbwBuAGQAYQByAHkAIABhAG4AZAAgAHQAZQByAHQAaQBhAHIAeQAgAHQAcgBlAGEAdABtAGUAbgB0ACAATQBNAFMAIABzAHQAYQBnAGUAcwAgAGEAcwAgAGMAYQBsAGMAdQBsAGEAdABlAGQAIABmAG8AcgAgAG0AYQBuAHUAcgBlACAAbQBhAG4AYQBnAGUAbQBlAG4AdAAgADoAIABrAGcAIABOAFwAIgA7AFwAbgAgACAAIAAgACAAIAAgACAAIAAgAFwAIgBFAEYAXwBtAFQAMgAzAFwAIgAsAFwAIgBuAGkAdAByAG8AdQBzACAAbwB4AGkAZABlACAAZQBtAGkAcwBzAGkAbwBuACAAZgBhAGMAdABvAHIAIABmAG8AcgAgAGUAYQBjAGgAIABNAE0AUwAgADoAIABrAGcAIABOADIATwAtAE4ALwBrAGcAIABOAFwAIgA7AFwAbgAgACAAIAAgACAAIAAgACAAIAAgAFwAIgBGAHIAYQBjAEcAQQBTAE0AXwBtAFQAMgAzAFwAIgAsAFwAIgBmAHIAYQBjAHQAaQBvAG4AIABvAGYAIABhAG4AaQBtAGEAbAAgAHcAYQBzAHQAZQAgAE4AIAB2AG8AbABhAHQAaQBsAGkAcwBlAGQAIABpAG4AIABlAGEAYwBoACAATQBNAFMAIABmAG8AcgAgAGUAYQBjAGgAIABjAGEAdAB0AGwAZQAgAGcAcgBvAHUAcAAgADoAIAAoAGsAZwAgAE4ASAAzAC0ATgAgACsAIABOAE8AeAAtAE4AKQAvAGsAZwAgAE4AXAAiADsAXABuACAAIAAgACAAIAAgACAAIAAgACAAXAAiAFAARgBcACIALABcACIAZgByAGEAYwB0AGkAbwBuACAAbwBmACAAbQBhAG4AdQByAGUAIABhAHAAcABsAGkAZQBkACAAdABvACAAcwBvAGkAbAAgAHcAaQB0AGgAaQBuACAAdABoAGUAIABmAGUAZQBkAGwAbwB0ACAAYgBvAHUAbgBkAGEAcgB5ACAAOgAgAGYAcgBhAGMAdABpAG8Abg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IALABcAG4AIAAgACAAIAAgACAATABBAE0AQgBEAEEAKAByACwAYwAsAFwAbgAgACAAIAAgACAAIAAgACAASQBOAEQARQBYACgAewBcAG4AIAAgACAAIAAgACAAIAAgACAAIABcACIATQBNAFMAXwBBAFQATQBPAFMAXAAiACwAXAAiAG0AYQBzAHMAIABvAGYAIABOACAAdgBvAGwAYQB0AGkAbABpAHMAZQBkACAAZgByAG8AbQAgAE0ATQBTACAAOgAgAGsAZwAgAE4AXAAiADsAXABuACAAIAAgACAAIAAgACAAIAAgACAAXAAiAEUARgBfAE4AMgBPAFwAIgAsAFwAIgBuAGkAdAByAG8AdQBzACAAbwB4AGkAZABlACAAZQBtAGkAcwBzAGkAbwBuACAAZgBhAGMAdABvAHIAIABmAG8AcgAgAGEAdABtAG8AcwBwAGgAZQByAGkAYwAgAGQAZQBwAG8AcwBpAHQAaQBvAG4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OwBcAG4AIAAgACAAIAAgACAAIAAgACAAIABcACIAagBcACIALAAgAFwAIgBwAHIAbwBkAHUAYwB0AGkAbwBuACAAcwB5AHMAdABlAG0AXAAiADsAXABuACAAIAAgACAAIAAgACAAIAAgACAAXAAiAGkAXAAiACwAIABcACIAaQByAHIAaQBnAGEAdABpAG8AbgAgAG0AZQB0AGgAbwBkAFwAIgA7AFwAbgAgACAAIAAgACAAIAAgACAAIAAgAFwAIgByAFwAIgAsACAAXAAiAHIAYQBpAG4AZgBhAGwAbAAgAHoAbwBuAGU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Mg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CAAOgAgAGsAZwAgAE4AXAAiADsAXABuACAAIAAgACAAIAAgACAAIAAgACAAXAAiAEYAcgBhAGMARwBBAFMATQBfAG0AVABcACIALABcACIAZgByAGEAYwB0AGkAbwBuACAAbwBmACAATgAgAHYAbwBsAGEAdABpAGwAaQBzAGUAZAAgAGkAbgAgAGUAYQBjAGgAIABNAE0AUwAgADoAIAAoAGsAZwAgAE4ASAAzAC0ATgAgACsAIABOAE8AeAAtAE4AKQAvAGsAZwAgAE4AXAAiAFwAbgAgACAAIAAgACAAIAAgACAAfQAsACAAcgAsACAAYwApAFwAbgAgACAAIAAgACAAIAApAFwAbgAgACAAIAAgACkAXABuACAAIAApADsAXABu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rAGcAIABEAE0ALwBoAGUAYQBkAC8AZABhAHkAKQ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rAGcAIABEAE0ALwBoAGUAYQBkAC8AZABhAHk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CcAQQBuAG4AdQBhAGwAIABmAHIAYQBjAHQAaQBvAG4AIABvAGYAIAB0AGkAbQBlACAAcwBwAGUAbgB0ACAAcABlAHIAIABhAHIAZQBhAC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A8ADEAMAAgAGgAcgAvAGQAYQB5ACAAZgBvAHIAIAA8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PgAgADEAIAB5AGUAYQByAFwAIgAsACAAMwA2ADUALAAgADAAOwBcAG4AIAAgACAAIAAgACAAIAAgACAAIABcACIASABlAGkAZgBlAHIAcwAgADwAIAAxACAAeQBlAGEAcgBcACIALAAgADIAOAAxACwAIAA4ADQAOwBcAG4AIAAgACAAIAAgACAAIAAgACAAIABcACIAQgB1AGwAbABzACAAPgAgADEAIAB5AGUAYQByAFwAIgAsACAAMwA2ADUALAAgADAAOwBcAG4AIAAgACAAIAAgACAAIAAgACAAIABcACIAQgB1AGwAbABzACAAPAAgADEAIAB5AGUAYQByAFwAIgAsACAAMgA4ADEALAAgADgANABcAG4AIAAgACAAIAAgACAAIAAgAH0ALAAgAHIALAAgAGMAKQBcAG4AIAAgACAAIAAgACAAKQBcAG4AIAAgACAAIAApAFwAbgAgACA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GAGUAZQBkAGwAbwB0AF8ATQBlAHQAaABhAG4AZQBfAEUAcQB1AGEAdABpAG8AbgBzAC4AVgBFAEUAUgBHAF8ANABfADEAXwAxAF8AMQBfAF8AMQBfAFQAbwB0AGEAbABBAG4AbgB1AGEAbABNAGUAdABoAGEAbgBlAEUAbQBpAHMAcwBpAG8AbgBzACIALAAiAE0ATQBTAF8ARgBlAGUAZABsAG8AdABfAE0AZQB0AGgAYQBuAGUAXwBFAHEAdQBhAHQAaQBvAG4AcwAuAFYARQBFAFIARwBfADQAXwAxAF8AMQBfADEAXwBfADEAXwBUAG8AdABhAGwAQQBuAG4AdQBhAGwATQBlAHQAaABhAG4AZQBFAG0AaQBzAHMAaQBvAG4AcwBfAFQAaQB0AGwAZQAiACwAIgBNAE0AUwBfAEYAZQBlAGQAbABvAHQAXwBNAGUAdABoAGEAbgBlAF8ARQBxAHUAYQB0AGkAbwBuAHMALgBWAEUARQBSAEcAXwA0AF8AMQBfADEAXwAxAF8AXwAxAF8AVABvAHQAYQBsAEEAbgBuAHUAYQBsAE0AZQB0AGgAYQBuAGUARQBtAGkAcwBzAGkAbwBuAHMAXwBWAGEAcgBpAGEAYgBsAGUAIgAsACIATQBNAFMAXwBGAGUAZQBkAGwAbwB0AF8ATQBlAHQAaABhAG4AZQBfAEUAcQB1AGEAdABpAG8AbgBzAC4AVgBFAEUAUgBHAF8ANABfADEAXwAxAF8AMQBfAF8AMQBfAFQAbwB0AGEAbABBAG4AbgB1AGEAbABNAGUAdABoAGEAbgBlAEUAbQBpAHMAcwBpAG8AbgBzAF8AVQBuAGkAdAAiACwAIgBNAE0AUwBfAEYAZQBlAGQAbABvAHQAXwBNAGUAdABoAGEAbgBlAF8ARQBxAHUAYQB0AGkAbwBuAHMALgBWAEUARQBSAEcAXwA0AF8AMQBfADEAXwAxAF8AXwAxAF8AVABvAHQAYQBsAEEAbgBuAHUAYQBsAE0AZQB0AGgAYQBuAGUARQBtAGkAcwBzAGkAbwBuAHMAXwBTAG8AdQByAGMAZQAiACwAIgBNAE0AUwBfAEYAZQBlAGQAbABvAHQAXwBNAGUAdABoAGEAbgBlAF8ARQBxAHUAYQB0AGkAbwBuAHMALgBWAEUARQBSAEcAXwA0AF8AMQBfADEAXwAxAF8AXwAxAF8AVABvAHQAYQBsAEEAbgBuAHUAYQBsAE0AZQB0AGgAYQBuAGUARQBtAGkAcwBzAGkAbwBuAHMAXwBOAEkAUgBSAGUAZgBlAHIAZQBuAGMAZQAiACwAIgBNAE0AUwBfAEYAZQBlAGQAbABvAHQAXwBNAGUAdABoAGEAbgBlAF8ARQBxAHUAYQB0AGkAbwBuAHMALgBWAEUARQBSAEcAXwA0AF8AMQBfADEAXwAxAF8AXwAxAF8AVABvAHQAYQBsAEEAbgBuAHUAYQBsAE0AZQB0AGgAYQBuAGUARQBtAGkAcwBzAGkAbwBuAHMAXwBMAGEAdABlAHgARQBxAHUAYQB0AGkAbwBuACIALAAiAE0ATQBTAF8ARgBlAGUAZABsAG8AdABfAE0AZQB0AGgAYQBuAGUAXwBFAHEAdQBhAHQAaQBvAG4AcwAuAFYARQBFAFIARwBfADQAXwAxAF8AMQBfADEAXwBfADEAXwBUAG8AdABhAGwAQQBuAG4AdQBhAGwATQBlAHQAaABhAG4AZQBFAG0AaQBzAHMAaQBvAG4AcwBfAEEAcgBnAHUAbQBlAG4AdABzACIALAAiAE0ATQBTAF8ARgBlAGUAZABsAG8AdABfAE0AZQB0AGgAYQBuAGUAXwBFAHEAdQBhAHQAaQBvAG4AcwAuAFYARQBFAFIARwBfADQAXwAxAF8AMQBfADEAXwBfADIAXwBTAHQAYQBnAGUAMQBNAGUAdABoAGEAbgBlAFAAcgBvAGQAdQBjAHQAaQBvAG4ARAByAHkAbABvAHQAIgAsACIATQBNAFMAXwBGAGUAZQBkAGwAbwB0AF8ATQBlAHQAaABhAG4AZQBfAEUAcQB1AGEAdABpAG8AbgBzAC4AVgBFAEUAUgBHAF8ANABfADEAXwAxAF8AMQBfAF8AMgBfAFMAdABhAGcAZQAxAE0AZQB0AGgAYQBuAGUAUAByAG8AZAB1AGMAdABpAG8AbgBEAHIAeQBsAG8AdABfAFQAaQB0AGwAZQAiACwAIgBNAE0AUwBfAEYAZQBlAGQAbABvAHQAXwBNAGUAdABoAGEAbgBlAF8ARQBxAHUAYQB0AGkAbwBuAHMALgBWAEUARQBSAEcAXwA0AF8AMQBfADEAXwAxAF8AXwAyAF8AUwB0AGEAZwBlADEATQBlAHQAaABhAG4AZQBQAHIAbwBkAHUAYwB0AGkAbwBuAEQAcgB5AGwAbwB0AF8AVgBhAHIAaQBhAGIAbABlACIALAAiAE0ATQBTAF8ARgBlAGUAZABsAG8AdABfAE0AZQB0AGgAYQBuAGUAXwBFAHEAdQBhAHQAaQBvAG4AcwAuAFYARQBFAFIARwBfADQAXwAxAF8AMQBfADEAXwBfADIAXwBTAHQAYQBnAGUAMQBNAGUAdABoAGEAbgBlAFAAcgBvAGQAdQBjAHQAaQBvAG4ARAByAHkAbABvAHQAXwBVAG4AaQB0ACIALAAiAE0ATQBTAF8ARgBlAGUAZABsAG8AdABfAE0AZQB0AGgAYQBuAGUAXwBFAHEAdQBhAHQAaQBvAG4AcwAuAFYARQBFAFIARwBfADQAXwAxAF8AMQBfADEAXwBfADIAXwBTAHQAYQBnAGUAMQBNAGUAdABoAGEAbgBlAFAAcgBvAGQAdQBjAHQAaQBvAG4ARAByAHkAbABvAHQAXwBTAG8AdQByAGMAZQAiACwAIgBNAE0AUwBfAEYAZQBlAGQAbABvAHQAXwBNAGUAdABoAGEAbgBlAF8ARQBxAHUAYQB0AGkAbwBuAHMALgBWAEUARQBSAEcAXwA0AF8AMQBfADEAXwAxAF8AXwAyAF8AUwB0AGEAZwBlADEATQBlAHQAaABhAG4AZQBQAHIAbwBkAHUAYwB0AGkAbwBuAEQAcgB5AGwAbwB0AF8ATgBJAFIAUgBlAGYAZQByAGUAbgBjAGUAIgAsACIATQBNAFMAXwBGAGUAZQBkAGwAbwB0AF8ATQBlAHQAaABhAG4AZQBfAEUAcQB1AGEAdABpAG8AbgBzAC4AVgBFAEUAUgBHAF8ANABfADEAXwAxAF8AMQBfAF8AMgBfAFMAdABhAGcAZQAxAE0AZQB0AGgAYQBuAGUAUAByAG8AZAB1AGMAdABpAG8AbgBEAHIAeQBsAG8AdABfAEwAYQB0AGUAeABFAHEAdQBhAHQAaQBvAG4AIgAsACIATQBNAFMAXwBGAGUAZQBkAGwAbwB0AF8ATQBlAHQAaABhAG4AZQBfAEUAcQB1AGEAdABpAG8AbgBzAC4AVgBFAEUAUgBHAF8ANABfADEAXwAxAF8AMQBfAF8AMgBfAFMAdABhAGcAZQAxAE0AZQB0AGgAYQBuAGUAUAByAG8AZAB1AGMAdABpAG8AbgBEAHIAeQBsAG8AdABfAEEAcgBnAHUAbQBlAG4AdABzACIALAAiAE0ATQBTAF8ARgBlAGUAZABsAG8AdABfAE0AZQB0AGgAYQBuAGUAXwBFAHEAdQBhAHQAaQBvAG4AcwAuAFYARQBFAFIARwBfADQAXwAxAF8AMQBfADEAXwBfADMAXwBTAHQAYQBnAGUAMgBNAGUAdABoAGEAbgBlAFAAcgBvAGQAdQBjAHQAaQBvAG4AIgAsACIATQBNAFMAXwBGAGUAZQBkAGwAbwB0AF8ATQBlAHQAaABhAG4AZQBfAEUAcQB1AGEAdABpAG8AbgBzAC4AVgBFAEUAUgBHAF8ANABfADEAXwAxAF8AMQBfAF8AMwBfAFMAdABhAGcAZQAyAE0AZQB0AGgAYQBuAGUAUAByAG8AZAB1AGMAdABpAG8AbgBfAFQAaQB0AGwAZQAiACwAIgBNAE0AUwBfAEYAZQBlAGQAbABvAHQAXwBNAGUAdABoAGEAbgBlAF8ARQBxAHUAYQB0AGkAbwBuAHMALgBWAEUARQBSAEcAXwA0AF8AMQBfADEAXwAxAF8AXwAzAF8AUwB0AGEAZwBlADIATQBlAHQAaABhAG4AZQBQAHIAbwBkAHUAYwB0AGkAbwBuAF8AVgBhAHIAaQBhAGIAbABlACIALAAiAE0ATQBTAF8ARgBlAGUAZABsAG8AdABfAE0AZQB0AGgAYQBuAGUAXwBFAHEAdQBhAHQAaQBvAG4AcwAuAFYARQBFAFIARwBfADQAXwAxAF8AMQBfADEAXwBfADMAXwBTAHQAYQBnAGUAMgBNAGUAdABoAGEAbgBlAFAAcgBvAGQAdQBjAHQAaQBvAG4AXwBVAG4AaQB0ACIALAAiAE0ATQBTAF8ARgBlAGUAZABsAG8AdABfAE0AZQB0AGgAYQBuAGUAXwBFAHEAdQBhAHQAaQBvAG4AcwAuAFYARQBFAFIARwBfADQAXwAxAF8AMQBfADEAXwBfADMAXwBTAHQAYQBnAGUAMgBNAGUAdABoAGEAbgBlAFAAcgBvAGQAdQBjAHQAaQBvAG4AXwBTAG8AdQByAGMAZQAiACwAIgBNAE0AUwBfAEYAZQBlAGQAbABvAHQAXwBNAGUAdABoAGEAbgBlAF8ARQBxAHUAYQB0AGkAbwBuAHMALgBWAEUARQBSAEcAXwA0AF8AMQBfADEAXwAxAF8AXwAzAF8AUwB0AGEAZwBlADIATQBlAHQAaABhAG4AZQBQAHIAbwBkAHUAYwB0AGkAbwBuAF8ATgBJAFIAUgBlAGYAZQByAGUAbgBjAGUAIgAsACIATQBNAFMAXwBGAGUAZQBkAGwAbwB0AF8ATQBlAHQAaABhAG4AZQBfAEUAcQB1AGEAdABpAG8AbgBzAC4AVgBFAEUAUgBHAF8ANABfADEAXwAxAF8AMQBfAF8AMwBfAFMAdABhAGcAZQAyAE0AZQB0AGgAYQBuAGUAUAByAG8AZAB1AGMAdABpAG8AbgBfAEwAYQB0AGUAeABFAHEAdQBhAHQAaQBvAG4AIgAsACIATQBNAFMAXwBGAGUAZQBkAGwAbwB0AF8ATQBlAHQAaABhAG4AZQBfAEUAcQB1AGEAdABpAG8AbgBzAC4AVgBFAEUAUgBHAF8ANABfADEAXwAxAF8AMQBfAF8AMwBfAFMAdABhAGcAZQAyAE0AZQB0AGgAYQBuAGUAUAByAG8AZAB1AGMAdABpAG8AbgBfAEEAcgBnAHUAbQBlAG4AdABz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UAXwBWAG8AbABhAHQAaQBsAGUAUwBvAGwAaQBkAFAAcgBvAGQAdQBjAHQAaQBvAG4AIgAsACIATQBNAFMAXwBGAGUAZQBkAGwAbwB0AF8ATQBlAHQAaABhAG4AZQBfAEUAcQB1AGEAdABpAG8AbgBzAC4AVgBFAEUAUgBHAF8ANABfADEAXwAxAF8AMQBfAF8ANQBfAFYAbwBsAGEAdABpAGwAZQBTAG8AbABpAGQAUAByAG8AZAB1AGMAdABpAG8AbgBfAFQAaQB0AGwAZQAiACwAIgBNAE0AUwBfAEYAZQBlAGQAbABvAHQAXwBNAGUAdABoAGEAbgBlAF8ARQBxAHUAYQB0AGkAbwBuAHMALgBWAEUARQBSAEcAXwA0AF8AMQBfADEAXwAxAF8AXwA1AF8AVgBvAGwAYQB0AGkAbABlAFMAbwBsAGkAZABQAHIAbwBkAHUAYwB0AGkAbwBuAF8AVgBhAHIAaQBhAGIAbABlACIALAAiAE0ATQBTAF8ARgBlAGUAZABsAG8AdABfAE0AZQB0AGgAYQBuAGUAXwBFAHEAdQBhAHQAaQBvAG4AcwAuAFYARQBFAFIARwBfADQAXwAxAF8AMQBfADEAXwBfADUAXwBWAG8AbABhAHQAaQBsAGUAUwBvAGwAaQBkAFAAcgBvAGQAdQBjAHQAaQBvAG4AXwBVAG4AaQB0ACIALAAiAE0ATQBTAF8ARgBlAGUAZABsAG8AdABfAE0AZQB0AGgAYQBuAGUAXwBFAHEAdQBhAHQAaQBvAG4AcwAuAFYARQBFAFIARwBfADQAXwAxAF8AMQBfADEAXwBfADUAXwBWAG8AbABhAHQAaQBsAGUAUwBvAGwAaQBkAFAAcgBvAGQAdQBjAHQAaQBvAG4AXwBTAG8AdQByAGMAZQAiACwAIgBNAE0AUwBfAEYAZQBlAGQAbABvAHQAXwBNAGUAdABoAGEAbgBlAF8ARQBxAHUAYQB0AGkAbwBuAHMALgBWAEUARQBSAEcAXwA0AF8AMQBfADEAXwAxAF8AXwA1AF8AVgBvAGwAYQB0AGkAbABlAFMAbwBsAGkAZABQAHIAbwBkAHUAYwB0AGkAbwBuAF8ATgBJAFIAUgBlAGYAZQByAGUAbgBjAGUAIgAsACIATQBNAFMAXwBGAGUAZQBkAGwAbwB0AF8ATQBlAHQAaABhAG4AZQBfAEUAcQB1AGEAdABpAG8AbgBzAC4AVgBFAEUAUgBHAF8ANABfADEAXwAxAF8AMQBfAF8ANQBfAFYAbwBsAGEAdABpAGwAZQBTAG8AbABpAGQAUAByAG8AZAB1AGMAdABpAG8AbgBfAEwAYQB0AGUAeABFAHEAdQBhAHQAaQBvAG4AIgAsACIATQBNAFMAXwBGAGUAZQBkAGwAbwB0AF8ATQBlAHQAaABhAG4AZQBfAEUAcQB1AGEAdABpAG8AbgBzAC4AVgBFAEUAUgBHAF8ANABfADEAXwAxAF8AMQBfAF8ANQBfAFYAbwBsAGEAdABpAGwAZQBTAG8AbABpAGQAUAByAG8AZAB1AGMAdABpAG8AbgBfAEEAcgBnAHUAbQBlAG4AdABzACIALAAiAE0ATQBTAF8ARgBlAGUAZABsAG8AdABfAE4AMgBPAF8ARABpAHIAZQBjAHQAXwBFAHEAdQBhAHQAaQBvAG4AcwAuAFYARQBFAFIARwBfADQAXwAxAF8AMQBfADMAXwBfADEAXwBUAG8AdABhAGwAQQBuAG4AdQBhAGwARABpAHIAZQBjAHQATgBpAHQAcgBvAHUAcwBPAHgAaQBkAGUARQBtAGkAcwBzAGkAbwBuAHMAIgAsACIATQBNAFMAXwBGAGUAZQBkAGwAbwB0AF8ATgAyAE8AXwBEAGkAcgBlAGMAdABfAEUAcQB1AGEAdABpAG8AbgBzAC4AVgBFAEUAUgBHAF8ANABfADEAXwAxAF8AMwBfAF8AMQBfAFQAbwB0AGEAbABBAG4AbgB1AGEAbABEAGkAcgBlAGMAdABOAGkAdAByAG8AdQBzAE8AeABpAGQAZQBFAG0AaQBzAHMAaQBvAG4AcwBfAFQAaQB0AGwAZQAiACwAIgBNAE0AUwBfAEYAZQBlAGQAbABvAHQAXwBOADIATwBfAEQAaQByAGUAYwB0AF8ARQBxAHUAYQB0AGkAbwBuAHMALgBWAEUARQBSAEcAXwA0AF8AMQBfADEAXwAzAF8AXwAxAF8AVABvAHQAYQBsAEEAbgBuAHUAYQBsAEQAaQByAGUAYwB0AE4AaQB0AHIAbwB1AHMATwB4AGkAZABlAEUAbQBpAHMAcwBpAG8AbgBzAF8AVgBhAHIAaQBhAGIAbABlACIALAAiAE0ATQBTAF8ARgBlAGUAZABsAG8AdABfAE4AMgBPAF8ARABpAHIAZQBjAHQAXwBFAHEAdQBhAHQAaQBvAG4AcwAuAFYARQBFAFIARwBfADQAXwAxAF8AMQBfADMAXwBfADEAXwBUAG8AdABhAGwAQQBuAG4AdQBhAGwARABpAHIAZQBjAHQATgBpAHQAcgBvAHUAcwBPAHgAaQBkAGUARQBtAGkAcwBzAGkAbwBuAHMAXwBVAG4AaQB0ACIALAAiAE0ATQBTAF8ARgBlAGUAZABsAG8AdABfAE4AMgBPAF8ARABpAHIAZQBjAHQAXwBFAHEAdQBhAHQAaQBvAG4AcwAuAFYARQBFAFIARwBfADQAXwAxAF8AMQBfADMAXwBfADEAXwBUAG8AdABhAGwAQQBuAG4AdQBhAGwARABpAHIAZQBjAHQATgBpAHQAcgBvAHUAcwBPAHgAaQBkAGUARQBtAGkAcwBzAGkAbwBuAHMAXwBTAG8AdQByAGMAZQAiACwAIgBNAE0AUwBfAEYAZQBlAGQAbABvAHQAXwBOADIATwBfAEQAaQByAGUAYwB0AF8ARQBxAHUAYQB0AGkAbwBuAHMALgBWAEUARQBSAEcAXwA0AF8AMQBfADEAXwAzAF8AXwAxAF8AVABvAHQAYQBsAEEAbgBuAHUAYQBsAEQAaQByAGUAYwB0AE4AaQB0AHIAbwB1AHMATwB4AGkAZABlAEUAbQBpAHMAcwBpAG8AbgBzAF8ATgBJAFIAUgBlAGYAZQByAGUAbgBjAGUAIgAsACIATQBNAFMAXwBGAGUAZQBkAGwAbwB0AF8ATgAyAE8AXwBEAGkAcgBlAGMAdABfAEUAcQB1AGEAdABpAG8AbgBzAC4AVgBFAEUAUgBHAF8ANABfADEAXwAxAF8AMwBfAF8AMQBfAFQAbwB0AGEAbABBAG4AbgB1AGEAbABEAGkAcgBlAGMAdABOAGkAdAByAG8AdQBzAE8AeABpAGQAZQBFAG0AaQBzAHMAaQBvAG4AcwBfAEwAYQB0AGUAeABFAHEAdQBhAHQAaQBvAG4AIgAsACIATQBNAFMAXwBGAGUAZQBkAGwAbwB0AF8ATgAyAE8AXwBEAGkAcgBlAGMAdABfAEUAcQB1AGEAdABpAG8AbgBzAC4AVgBFAEUAUgBHAF8ANABfADEAXwAxAF8AMwBfAF8AMQBfAFQAbwB0AGEAbABBAG4AbgB1AGEAbABEAGkAcgBlAGMAdABOAGkAdAByAG8AdQBzAE8AeABpAGQAZQBFAG0AaQBzAHMAaQBvAG4AcwBfAEEAcgBnAHUAbQBlAG4AdABzACIALAAiAE0ATQBTAF8ARgBlAGUAZABsAG8AdABfAE4AMgBPAF8ARABpAHIAZQBjAHQAXwBFAHEAdQBhAHQAaQBvAG4AcwAuAFYARQBFAFIARwBfADQAXwAxAF8AMQBfADMAXwBfADIAXwBTAHQAYQBnAGUAMQBOAGkAdAByAG8AZwBlAG4ASQBuAE0ATQBTAEQAcgB5AGwAbwB0ACIALAAiAE0ATQBTAF8ARgBlAGUAZABsAG8AdABfAE4AMgBPAF8ARABpAHIAZQBjAHQAXwBFAHEAdQBhAHQAaQBvAG4AcwAuAFYARQBFAFIARwBfADQAXwAxAF8AMQBfADMAXwBfADIAXwBTAHQAYQBnAGUAMQBOAGkAdAByAG8AZwBlAG4ASQBuAE0ATQBTAEQAcgB5AGwAbwB0AF8AVABpAHQAbABlACIALAAiAE0ATQBTAF8ARgBlAGUAZABsAG8AdABfAE4AMgBPAF8ARABpAHIAZQBjAHQAXwBFAHEAdQBhAHQAaQBvAG4AcwAuAFYARQBFAFIARwBfADQAXwAxAF8AMQBfADMAXwBfADIAXwBTAHQAYQBnAGUAMQBOAGkAdAByAG8AZwBlAG4ASQBuAE0ATQBTAEQAcgB5AGwAbwB0AF8AVgBhAHIAaQBhAGIAbABlACIALAAiAE0ATQBTAF8ARgBlAGUAZABsAG8AdABfAE4AMgBPAF8ARABpAHIAZQBjAHQAXwBFAHEAdQBhAHQAaQBvAG4AcwAuAFYARQBFAFIARwBfADQAXwAxAF8AMQBfADMAXwBfADIAXwBTAHQAYQBnAGUAMQBOAGkAdAByAG8AZwBlAG4ASQBuAE0ATQBTAEQAcgB5AGwAbwB0AF8AVQBuAGkAdAAiACwAIgBNAE0AUwBfAEYAZQBlAGQAbABvAHQAXwBOADIATwBfAEQAaQByAGUAYwB0AF8ARQBxAHUAYQB0AGkAbwBuAHMALgBWAEUARQBSAEcAXwA0AF8AMQBfADEAXwAzAF8AXwAyAF8AUwB0AGEAZwBlADEATgBpAHQAcgBvAGcAZQBuAEkAbgBNAE0AUwBEAHIAeQBsAG8AdABfAFMAbwB1AHIAYwBlACIALAAiAE0ATQBTAF8ARgBlAGUAZABsAG8AdABfAE4AMgBPAF8ARABpAHIAZQBjAHQAXwBFAHEAdQBhAHQAaQBvAG4AcwAuAFYARQBFAFIARwBfADQAXwAxAF8AMQBfADMAXwBfADIAXwBTAHQAYQBnAGUAMQBOAGkAdAByAG8AZwBlAG4ASQBuAE0ATQBTAEQAcgB5AGwAbwB0AF8ATgBJAFIAUgBlAGYAZQByAGUAbgBjAGUAIgAsACIATQBNAFMAXwBGAGUAZQBkAGwAbwB0AF8ATgAyAE8AXwBEAGkAcgBlAGMAdABfAEUAcQB1AGEAdABpAG8AbgBzAC4AVgBFAEUAUgBHAF8ANABfADEAXwAxAF8AMwBfAF8AMgBfAFMAdABhAGcAZQAxAE4AaQB0AHIAbwBnAGUAbgBJAG4ATQBNAFMARAByAHkAbABvAHQAXwBMAGEAdABlAHgARQBxAHUAYQB0AGkAbwBuACIALAAiAE0ATQBTAF8ARgBlAGUAZABsAG8AdABfAE4AMgBPAF8ARABpAHIAZQBjAHQAXwBFAHEAdQBhAHQAaQBvAG4AcwAuAFYARQBFAFIARwBfADQAXwAxAF8AMQBfADMAXwBfADIAXwBTAHQAYQBnAGUAMQBOAGkAdAByAG8AZwBlAG4ASQBuAE0ATQBTAEQAcgB5AGwAbwB0AF8AQQByAGcAdQBtAGUAbgB0AHMAIgAsACIATQBNAFMAXwBGAGUAZQBkAGwAbwB0AF8ATgAyAE8AXwBEAGkAcgBlAGMAdABfAEUAcQB1AGEAdABpAG8AbgBzAC4AVgBFAEUAUgBHAF8ANABfADEAXwAxAF8AMwBfAF8AMwBfAEEAbgBuAHUAYQBsAE4AaQB0AHIAbwBnAGUAbgBFAHgAYwByAGUAdABpAG8AbgAiACwAIgBNAE0AUwBfAEYAZQBlAGQAbABvAHQAXwBOADIATwBfAEQAaQByAGUAYwB0AF8ARQBxAHUAYQB0AGkAbwBuAHMALgBWAEUARQBSAEcAXwA0AF8AMQBfADEAXwAzAF8AXwAzAF8AQQBuAG4AdQBhAGwATgBpAHQAcgBvAGcAZQBuAEUAeABjAHIAZQB0AGkAbwBuAF8AVABpAHQAbABlACIALAAiAE0ATQBTAF8ARgBlAGUAZABsAG8AdABfAE4AMgBPAF8ARABpAHIAZQBjAHQAXwBFAHEAdQBhAHQAaQBvAG4AcwAuAFYARQBFAFIARwBfADQAXwAxAF8AMQBfADMAXwBfADMAXwBBAG4AbgB1AGEAbABOAGkAdAByAG8AZwBlAG4ARQB4AGMAcgBlAHQAaQBvAG4AXwBWAGEAcgBpAGEAYgBsAGUAIgAsACIATQBNAFMAXwBGAGUAZQBkAGwAbwB0AF8ATgAyAE8AXwBEAGkAcgBlAGMAdABfAEUAcQB1AGEAdABpAG8AbgBzAC4AVgBFAEUAUgBHAF8ANABfADEAXwAxAF8AMwBfAF8AMwBfAEEAbgBuAHUAYQBsAE4AaQB0AHIAbwBnAGUAbgBFAHgAYwByAGUAdABpAG8AbgBfAFUAbgBpAHQAIgAsACIATQBNAFMAXwBGAGUAZQBkAGwAbwB0AF8ATgAyAE8AXwBEAGkAcgBlAGMAdABfAEUAcQB1AGEAdABpAG8AbgBzAC4AVgBFAEUAUgBHAF8ANABfADEAXwAxAF8AMwBfAF8AMwBfAEEAbgBuAHUAYQBsAE4AaQB0AHIAbwBnAGUAbgBFAHgAYwByAGUAdABpAG8AbgBfAFMAbwB1AHIAYwBlACIALAAiAE0ATQBTAF8ARgBlAGUAZABsAG8AdABfAE4AMgBPAF8ARABpAHIAZQBjAHQAXwBFAHEAdQBhAHQAaQBvAG4AcwAuAFYARQBFAFIARwBfADQAXwAxAF8AMQBfADMAXwBfADMAXwBBAG4AbgB1AGEAbABOAGkAdAByAG8AZwBlAG4ARQB4AGMAcgBlAHQAaQBvAG4AXwBOAEkAUgBSAGUAZgBlAHIAZQBuAGMAZQAiACwAIgBNAE0AUwBfAEYAZQBlAGQAbABvAHQAXwBOADIATwBfAEQAaQByAGUAYwB0AF8ARQBxAHUAYQB0AGkAbwBuAHMALgBWAEUARQBSAEcAXwA0AF8AMQBfADEAXwAzAF8AXwAzAF8AQQBuAG4AdQBhAGwATgBpAHQAcgBvAGcAZQBuAEUAeABjAHIAZQB0AGkAbwBuAF8ATABhAHQAZQB4AEUAcQB1AGEAdABpAG8AbgAiACwAIgBNAE0AUwBfAEYAZQBlAGQAbABvAHQAXwBOADIATwBfAEQAaQByAGUAYwB0AF8ARQBxAHUAYQB0AGkAbwBuAHMALgBWAEUARQBSAEcAXwA0AF8AMQBfADEAXwAzAF8AXwAzAF8AQQBuAG4AdQBhAGwATgBpAHQAcgBvAGcAZQBuAEUAeABjAHIAZQB0AGkAbwBuAF8AQQByAGcAdQBtAGUAbgB0AHMAIgAsACIATQBNAFMAXwBGAGUAZQBkAGwAbwB0AF8ATgAyAE8AXwBEAGkAcgBlAGMAdABfAEUAcQB1AGEAdABpAG8AbgBzAC4AVgBFAEUAUgBHAF8ANABfADEAXwAxAF8AMwBfAF8ANABfAE4AaQB0AHIAbwBnAGUAbgBFAHgAYwByAGUAdABpAG8AbgBQAGUAcgBIAGUAYQBkACIALAAiAE0ATQBTAF8ARgBlAGUAZABsAG8AdABfAE4AMgBPAF8ARABpAHIAZQBjAHQAXwBFAHEAdQBhAHQAaQBvAG4AcwAuAFYARQBFAFIARwBfADQAXwAxAF8AMQBfADMAXwBfADQAXwBOAGkAdAByAG8AZwBlAG4ARQB4AGMAcgBlAHQAaQBvAG4AUABlAHIASABlAGEAZABfAFQAaQB0AGwAZQAiACwAIgBNAE0AUwBfAEYAZQBlAGQAbABvAHQAXwBOADIATwBfAEQAaQByAGUAYwB0AF8ARQBxAHUAYQB0AGkAbwBuAHMALgBWAEUARQBSAEcAXwA0AF8AMQBfADEAXwAzAF8AXwA0AF8ATgBpAHQAcgBvAGcAZQBuAEUAeABjAHIAZQB0AGkAbwBuAFAAZQByAEgAZQBhAGQAXwBWAGEAcgBpAGEAYgBsAGUAIgAsACIATQBNAFMAXwBGAGUAZQBkAGwAbwB0AF8ATgAyAE8AXwBEAGkAcgBlAGMAdABfAEUAcQB1AGEAdABpAG8AbgBzAC4AVgBFAEUAUgBHAF8ANABfADEAXwAxAF8AMwBfAF8ANABfAE4AaQB0AHIAbwBnAGUAbgBFAHgAYwByAGUAdABpAG8AbgBQAGUAcgBIAGUAYQBkAF8AVQBuAGkAdAAiACwAIgBNAE0AUwBfAEYAZQBlAGQAbABvAHQAXwBOADIATwBfAEQAaQByAGUAYwB0AF8ARQBxAHUAYQB0AGkAbwBuAHMALgBWAEUARQBSAEcAXwA0AF8AMQBfADEAXwAzAF8AXwA0AF8ATgBpAHQAcgBvAGcAZQBuAEUAeABjAHIAZQB0AGkAbwBuAFAAZQByAEgAZQBhAGQAXwBTAG8AdQByAGMAZQAiACwAIgBNAE0AUwBfAEYAZQBlAGQAbABvAHQAXwBOADIATwBfAEQAaQByAGUAYwB0AF8ARQBxAHUAYQB0AGkAbwBuAHMALgBWAEUARQBSAEcAXwA0AF8AMQBfADEAXwAzAF8AXwA0AF8ATgBpAHQAcgBvAGcAZQBuAEUAeABjAHIAZQB0AGkAbwBuAFAAZQByAEgAZQBhAGQAXwBOAEkAUgBSAGUAZgBlAHIAZQBuAGMAZQAiACwAIgBNAE0AUwBfAEYAZQBlAGQAbABvAHQAXwBOADIATwBfAEQAaQByAGUAYwB0AF8ARQBxAHUAYQB0AGkAbwBuAHMALgBWAEUARQBSAEcAXwA0AF8AMQBfADEAXwAzAF8AXwA0AF8ATgBpAHQAcgBvAGcAZQBuAEUAeABjAHIAZQB0AGkAbwBuAFAAZQByAEgAZQBhAGQAXwBMAGEAdABlAHgARQBxAHUAYQB0AGkAbwBuACIALAAiAE0ATQBTAF8ARgBlAGUAZABsAG8AdABfAE4AMgBPAF8ARABpAHIAZQBjAHQAXwBFAHEAdQBhAHQAaQBvAG4AcwAuAFYARQBFAFIARwBfADQAXwAxAF8AMQBfADMAXwBfADQAXwBOAGkAdAByAG8AZwBlAG4ARQB4AGMAcgBlAHQAaQBvAG4AUABlAHIASABlAGEAZABfAEEAcgBnAHUAbQBlAG4AdABzACIALAAiAE0ATQBTAF8ARgBlAGUAZABsAG8AdABfAE4AMgBPAF8ARABpAHIAZQBjAHQAXwBFAHEAdQBhAHQAaQBvAG4AcwAuAFYARQBFAFIARwBfADQAXwAxAF8AMQBfADMAXwBfADUAXwBOAGkAdAByAG8AZwBlAG4ASQBuAHQAYQBrAGUAIgAsACIATQBNAFMAXwBGAGUAZQBkAGwAbwB0AF8ATgAyAE8AXwBEAGkAcgBlAGMAdABfAEUAcQB1AGEAdABpAG8AbgBzAC4AVgBFAEUAUgBHAF8ANABfADEAXwAxAF8AMwBfAF8ANQBfAE4AaQB0AHIAbwBnAGUAbgBJAG4AdABhAGsAZQBfAFQAaQB0AGwAZQAiACwAIgBNAE0AUwBfAEYAZQBlAGQAbABvAHQAXwBOADIATwBfAEQAaQByAGUAYwB0AF8ARQBxAHUAYQB0AGkAbwBuAHMALgBWAEUARQBSAEcAXwA0AF8AMQBfADEAXwAzAF8AXwA1AF8ATgBpAHQAcgBvAGcAZQBuAEkAbgB0AGEAawBlAF8AVgBhAHIAaQBhAGIAbABlACIALAAiAE0ATQBTAF8ARgBlAGUAZABsAG8AdABfAE4AMgBPAF8ARABpAHIAZQBjAHQAXwBFAHEAdQBhAHQAaQBvAG4AcwAuAFYARQBFAFIARwBfADQAXwAxAF8AMQBfADMAXwBfADUAXwBOAGkAdAByAG8AZwBlAG4ASQBuAHQAYQBrAGUAXwBVAG4AaQB0ACIALAAiAE0ATQBTAF8ARgBlAGUAZABsAG8AdABfAE4AMgBPAF8ARABpAHIAZQBjAHQAXwBFAHEAdQBhAHQAaQBvAG4AcwAuAFYARQBFAFIARwBfADQAXwAxAF8AMQBfADMAXwBfADUAXwBOAGkAdAByAG8AZwBlAG4ASQBuAHQAYQBrAGUAXwBTAG8AdQByAGMAZQAiACwAIgBNAE0AUwBfAEYAZQBlAGQAbABvAHQAXwBOADIATwBfAEQAaQByAGUAYwB0AF8ARQBxAHUAYQB0AGkAbwBuAHMALgBWAEUARQBSAEcAXwA0AF8AMQBfADEAXwAzAF8AXwA1AF8ATgBpAHQAcgBvAGcAZQBuAEkAbgB0AGEAawBlAF8ATgBJAFIAUgBlAGYAZQByAGUAbgBjAGUAIgAsACIATQBNAFMAXwBGAGUAZQBkAGwAbwB0AF8ATgAyAE8AXwBEAGkAcgBlAGMAdABfAEUAcQB1AGEAdABpAG8AbgBzAC4AVgBFAEUAUgBHAF8ANABfADEAXwAxAF8AMwBfAF8ANQBfAE4AaQB0AHIAbwBnAGUAbgBJAG4AdABhAGsAZQBfAEwAYQB0AGUAeABFAHEAdQBhAHQAaQBvAG4AIgAsACIATQBNAFMAXwBGAGUAZQBkAGwAbwB0AF8ATgAyAE8AXwBEAGkAcgBlAGMAdABfAEUAcQB1AGEAdABpAG8AbgBzAC4AVgBFAEUAUgBHAF8ANABfADEAXwAxAF8AMwBfAF8ANQBfAE4AaQB0AHIAbwBnAGUAbgBJAG4AdABhAGsAZQBfAEEAcgBnAHUAbQBlAG4AdABzACIALAAiAE0ATQBTAF8ARgBlAGUAZABsAG8AdABfAE4AMgBPAF8ARABpAHIAZQBjAHQAXwBFAHEAdQBhAHQAaQBvAG4AcwAuAFYARQBFAFIARwBfADQAXwAxAF8AMQBfADMAXwBfADYAXwBTAHQAYQBnAGUAMgBOAGkAdAByAG8AZwBlAG4ASQBuAE0ATQBTACIALAAiAE0ATQBTAF8ARgBlAGUAZABsAG8AdABfAE4AMgBPAF8ARABpAHIAZQBjAHQAXwBFAHEAdQBhAHQAaQBvAG4AcwAuAFYARQBFAFIARwBfADQAXwAxAF8AMQBfADMAXwBfADYAXwBTAHQAYQBnAGUAMgBOAGkAdAByAG8AZwBlAG4ASQBuAE0ATQBTAF8AVABpAHQAbABlACIALAAiAE0ATQBTAF8ARgBlAGUAZABsAG8AdABfAE4AMgBPAF8ARABpAHIAZQBjAHQAXwBFAHEAdQBhAHQAaQBvAG4AcwAuAFYARQBFAFIARwBfADQAXwAxAF8AMQBfADMAXwBfADYAXwBTAHQAYQBnAGUAMgBOAGkAdAByAG8AZwBlAG4ASQBuAE0ATQBTAF8AVgBhAHIAaQBhAGIAbABlACIALAAiAE0ATQBTAF8ARgBlAGUAZABsAG8AdABfAE4AMgBPAF8ARABpAHIAZQBjAHQAXwBFAHEAdQBhAHQAaQBvAG4AcwAuAFYARQBFAFIARwBfADQAXwAxAF8AMQBfADMAXwBfADYAXwBTAHQAYQBnAGUAMgBOAGkAdAByAG8AZwBlAG4ASQBuAE0ATQBTAF8AVQBuAGkAdAAiACwAIgBNAE0AUwBfAEYAZQBlAGQAbABvAHQAXwBOADIATwBfAEQAaQByAGUAYwB0AF8ARQBxAHUAYQB0AGkAbwBuAHMALgBWAEUARQBSAEcAXwA0AF8AMQBfADEAXwAzAF8AXwA2AF8AUwB0AGEAZwBlADIATgBpAHQAcgBvAGcAZQBuAEkAbgBNAE0AUwBfAFMAbwB1AHIAYwBlACIALAAiAE0ATQBTAF8ARgBlAGUAZABsAG8AdABfAE4AMgBPAF8ARABpAHIAZQBjAHQAXwBFAHEAdQBhAHQAaQBvAG4AcwAuAFYARQBFAFIARwBfADQAXwAxAF8AMQBfADMAXwBfADYAXwBTAHQAYQBnAGUAMgBOAGkAdAByAG8AZwBlAG4ASQBuAE0ATQBTAF8ATgBJAFIAUgBlAGYAZQByAGUAbgBjAGUAIgAsACIATQBNAFMAXwBGAGUAZQBkAGwAbwB0AF8ATgAyAE8AXwBEAGkAcgBlAGMAdABfAEUAcQB1AGEAdABpAG8AbgBzAC4AVgBFAEUAUgBHAF8ANABfADEAXwAxAF8AMwBfAF8ANgBfAFMAdABhAGcAZQAyAE4AaQB0AHIAbwBnAGUAbgBJAG4ATQBNAFMAXwBMAGEAdABlAHgARQBxAHUAYQB0AGkAbwBuACIALAAiAE0ATQBTAF8ARgBlAGUAZABsAG8AdABfAE4AMgBPAF8ARABpAHIAZQBjAHQAXwBFAHEAdQBhAHQAaQBvAG4AcwAuAFYARQBFAFIARwBfADQAXwAxAF8AMQBfADMAXwBfADYAXwBTAHQAYQBnAGUAMgBOAGkAdAByAG8AZwBlAG4ASQBuAE0ATQBTAF8AQQByAGcAdQBtAGUAbgB0AHMAIgAsACIATQBNAFMAXwBGAGUAZQBkAGwAbwB0AF8ATgAyAE8AXwBEAGkAcgBlAGMAdABfAEUAcQB1AGEAdABpAG8AbgBzAC4AVgBFAEUAUgBHAF8ANABfADEAXwAxAF8AMwBfAF8ANwBfAE4AaQB0AHIAbwBnAGUAbgBUAHIAYQBuAHMAZgBlAHIAcgBlAGQAVABvAFMAdABhAGcAZQAyACIALAAiAE0ATQBTAF8ARgBlAGUAZABsAG8AdABfAE4AMgBPAF8ARABpAHIAZQBjAHQAXwBFAHEAdQBhAHQAaQBvAG4AcwAuAFYARQBFAFIARwBfADQAXwAxAF8AMQBfADMAXwBfADcAXwBOAGkAdAByAG8AZwBlAG4AVAByAGEAbgBzAGYAZQByAHIAZQBkAFQAbwBTAHQAYQBnAGUAMgBfAFQAaQB0AGwAZQAiACwAIgBNAE0AUwBfAEYAZQBlAGQAbABvAHQAXwBOADIATwBfAEQAaQByAGUAYwB0AF8ARQBxAHUAYQB0AGkAbwBuAHMALgBWAEUARQBSAEcAXwA0AF8AMQBfADEAXwAzAF8AXwA3AF8ATgBpAHQAcgBvAGcAZQBuAFQAcgBhAG4AcwBmAGUAcgByAGUAZABUAG8AUwB0AGEAZwBlADIAXwBWAGEAcgBpAGEAYgBsAGUAIgAsACIATQBNAFMAXwBGAGUAZQBkAGwAbwB0AF8ATgAyAE8AXwBEAGkAcgBlAGMAdABfAEUAcQB1AGEAdABpAG8AbgBzAC4AVgBFAEUAUgBHAF8ANABfADEAXwAxAF8AMwBfAF8ANwBfAE4AaQB0AHIAbwBnAGUAbgBUAHIAYQBuAHMAZgBlAHIAcgBlAGQAVABvAFMAdABhAGcAZQAyAF8AVQBuAGkAdAAiACwAIgBNAE0AUwBfAEYAZQBlAGQAbABvAHQAXwBOADIATwBfAEQAaQByAGUAYwB0AF8ARQBxAHUAYQB0AGkAbwBuAHMALgBWAEUARQBSAEcAXwA0AF8AMQBfADEAXwAzAF8AXwA3AF8ATgBpAHQAcgBvAGcAZQBuAFQAcgBhAG4AcwBmAGUAcgByAGUAZABUAG8AUwB0AGEAZwBlADIAXwBTAG8AdQByAGMAZQAiACwAIgBNAE0AUwBfAEYAZQBlAGQAbABvAHQAXwBOADIATwBfAEQAaQByAGUAYwB0AF8ARQBxAHUAYQB0AGkAbwBuAHMALgBWAEUARQBSAEcAXwA0AF8AMQBfADEAXwAzAF8AXwA3AF8ATgBpAHQAcgBvAGcAZQBuAFQAcgBhAG4AcwBmAGUAcgByAGUAZABUAG8AUwB0AGEAZwBlADIAXwBOAEkAUgBSAGUAZgBlAHIAZQBuAGMAZQAiACwAIgBNAE0AUwBfAEYAZQBlAGQAbABvAHQAXwBOADIATwBfAEQAaQByAGUAYwB0AF8ARQBxAHUAYQB0AGkAbwBuAHMALgBWAEUARQBSAEcAXwA0AF8AMQBfADEAXwAzAF8AXwA3AF8ATgBpAHQAcgBvAGcAZQBuAFQAcgBhAG4AcwBmAGUAcgByAGUAZABUAG8AUwB0AGEAZwBlADIAXwBMAGEAdABlAHgARQBxAHUAYQB0AGkAbwBuACIALAAiAE0ATQBTAF8ARgBlAGUAZABsAG8AdABfAE4AMgBPAF8ARABpAHIAZQBjAHQAXwBFAHEAdQBhAHQAaQBvAG4AcwAuAFYARQBFAFIARwBfADQAXwAxAF8AMQBfADMAXwBfADcAXwBOAGkAdAByAG8AZwBlAG4AVAByAGEAbgBzAGYAZQByAHIAZQBkAFQAbwBTAHQAYQBnAGUAMgBfAEEAcgBnAHUAbQBlAG4AdABzACIALAAiAE0ATQBTAF8ARgBlAGUAZABsAG8AdABfAE4AMgBPAF8ARABpAHIAZQBjAHQAXwBFAHEAdQBhAHQAaQBvAG4AcwAuAFYARQBFAFIARwBfADQAXwAxAF8AMQBfADMAXwBfADgAXwBTAHQAYQBnAGUAMwBOAGkAdAByAG8AZwBlAG4ASQBuAE0ATQBTAEEAbgBhAGUAcgBvAGIAaQBjAEwAYQBnAG8AbwBuACIALAAiAE0ATQBTAF8ARgBlAGUAZABsAG8AdABfAE4AMgBPAF8ARABpAHIAZQBjAHQAXwBFAHEAdQBhAHQAaQBvAG4AcwAuAFYARQBFAFIARwBfADQAXwAxAF8AMQBfADMAXwBfADgAXwBTAHQAYQBnAGUAMwBOAGkAdAByAG8AZwBlAG4ASQBuAE0ATQBTAEEAbgBhAGUAcgBvAGIAaQBjAEwAYQBnAG8AbwBuAF8AVABpAHQAbABlACIALAAiAE0ATQBTAF8ARgBlAGUAZABsAG8AdABfAE4AMgBPAF8ARABpAHIAZQBjAHQAXwBFAHEAdQBhAHQAaQBvAG4AcwAuAFYARQBFAFIARwBfADQAXwAxAF8AMQBfADMAXwBfADgAXwBTAHQAYQBnAGUAMwBOAGkAdAByAG8AZwBlAG4ASQBuAE0ATQBTAEEAbgBhAGUAcgBvAGIAaQBjAEwAYQBnAG8AbwBuAF8AVgBhAHIAaQBhAGIAbABlACIALAAiAE0ATQBTAF8ARgBlAGUAZABsAG8AdABfAE4AMgBPAF8ARABpAHIAZQBjAHQAXwBFAHEAdQBhAHQAaQBvAG4AcwAuAFYARQBFAFIARwBfADQAXwAxAF8AMQBfADMAXwBfADgAXwBTAHQAYQBnAGUAMwBOAGkAdAByAG8AZwBlAG4ASQBuAE0ATQBTAEEAbgBhAGUAcgBvAGIAaQBjAEwAYQBnAG8AbwBuAF8AVQBuAGkAdAAiACwAIgBNAE0AUwBfAEYAZQBlAGQAbABvAHQAXwBOADIATwBfAEQAaQByAGUAYwB0AF8ARQBxAHUAYQB0AGkAbwBuAHMALgBWAEUARQBSAEcAXwA0AF8AMQBfADEAXwAzAF8AXwA4AF8AUwB0AGEAZwBlADMATgBpAHQAcgBvAGcAZQBuAEkAbgBNAE0AUwBBAG4AYQBlAHIAbwBiAGkAYwBMAGEAZwBvAG8AbgBfAFMAbwB1AHIAYwBlACIALAAiAE0ATQBTAF8ARgBlAGUAZABsAG8AdABfAE4AMgBPAF8ARABpAHIAZQBjAHQAXwBFAHEAdQBhAHQAaQBvAG4AcwAuAFYARQBFAFIARwBfADQAXwAxAF8AMQBfADMAXwBfADgAXwBTAHQAYQBnAGUAMwBOAGkAdAByAG8AZwBlAG4ASQBuAE0ATQBTAEEAbgBhAGUAcgBvAGIAaQBjAEwAYQBnAG8AbwBuAF8ATgBJAFIAUgBlAGYAZQByAGUAbgBjAGUAIgAsACIATQBNAFMAXwBGAGUAZQBkAGwAbwB0AF8ATgAyAE8AXwBEAGkAcgBlAGMAdABfAEUAcQB1AGEAdABpAG8AbgBzAC4AVgBFAEUAUgBHAF8ANABfADEAXwAxAF8AMwBfAF8AOABfAFMAdABhAGcAZQAzAE4AaQB0AHIAbwBnAGUAbgBJAG4ATQBNAFMAQQBuAGEAZQByAG8AYgBpAGMATABhAGcAbwBvAG4AXwBMAGEAdABlAHgARQBxAHUAYQB0AGkAbwBuACIALAAiAE0ATQBTAF8ARgBlAGUAZABsAG8AdABfAE4AMgBPAF8ARABpAHIAZQBjAHQAXwBFAHEAdQBhAHQAaQBvAG4AcwAuAFYARQBFAFIARwBfADQAXwAxAF8AMQBfADMAXwBfADgAXwBTAHQAYQBnAGUAMwBOAGkAdAByAG8AZwBlAG4ASQBuAE0ATQBTAEEAbgBhAGUAcgBvAGIAaQBjAEwAYQBnAG8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Dairy</vt:lpstr>
      <vt:lpstr>4.1.1.1-2 Methane</vt:lpstr>
      <vt:lpstr>4.1.1.3-4 Direct N20</vt:lpstr>
      <vt:lpstr>4.1.1.5-6 Atmos Deposition</vt:lpstr>
      <vt:lpstr>4.1.1.9 Manure applied to soils</vt:lpstr>
      <vt:lpstr>Constants - Dairy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2026-04-01T07:31:15Z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