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6F0FFF1-D619-47F4-A440-2FAE4371A21D}" xr6:coauthVersionLast="47" xr6:coauthVersionMax="47" xr10:uidLastSave="{00000000-0000-0000-0000-000000000000}"/>
  <bookViews>
    <workbookView xWindow="480" yWindow="0" windowWidth="37335" windowHeight="19740" firstSheet="4"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70" l="1"/>
  <c r="G39" i="70" s="1"/>
  <c r="K39" i="70"/>
  <c r="F28" i="70"/>
  <c r="G28" i="70" s="1"/>
  <c r="P28" i="70"/>
  <c r="G50" i="70"/>
  <c r="H50" i="70"/>
  <c r="I50" i="70" s="1"/>
  <c r="H22" i="70"/>
  <c r="H21" i="70"/>
  <c r="H20" i="70"/>
  <c r="H19" i="70"/>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H18"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60" i="116"/>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c r="I16"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3" a="1"/>
  <c r="E43" i="115" a="1"/>
  <c r="E38" i="113" a="1"/>
  <c r="E7" i="114" a="1"/>
  <c r="E7" i="115" a="1"/>
  <c r="E118" i="115" a="1"/>
  <c r="E90" i="115"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S71" i="69"/>
  <c r="T54" i="69"/>
  <c r="T53" i="69"/>
  <c r="N50" i="69" a="1"/>
  <c r="N50" i="69" s="1"/>
  <c r="N45" i="69" a="1"/>
  <c r="N45" i="69" s="1"/>
  <c r="S73" i="69"/>
  <c r="S70" i="69"/>
  <c r="F85" i="69" a="1"/>
  <c r="F85" i="69" s="1"/>
  <c r="D82" i="69" a="1"/>
  <c r="D82" i="69" s="1"/>
  <c r="E7" i="74" a="1"/>
  <c r="E42" i="69" a="1"/>
  <c r="N60"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J54" i="115"/>
  <c r="I129" i="115"/>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2" i="69"/>
  <c r="I54" i="69"/>
  <c r="I50" i="69"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E30" i="116" s="1"/>
  <c r="F30" i="116" s="1" a="1"/>
  <c r="F30" i="116" s="1"/>
  <c r="E22" i="74" a="1"/>
  <c r="E22" i="74" s="1"/>
  <c r="G22" i="74" s="1" a="1"/>
  <c r="G22" i="74" s="1"/>
  <c r="E61" i="74" s="1" a="1"/>
  <c r="E61" i="74" s="1"/>
  <c r="E19" i="74" a="1"/>
  <c r="E19" i="74" s="1"/>
  <c r="G19" i="74" s="1" a="1"/>
  <c r="G19" i="74" s="1"/>
  <c r="E58" i="74" s="1" a="1"/>
  <c r="E58" i="74" s="1"/>
  <c r="G20" i="69" a="1"/>
  <c r="G20" i="69" s="1"/>
  <c r="E24" i="116" s="1"/>
  <c r="F24" i="116" s="1" a="1"/>
  <c r="F24" i="116" s="1"/>
  <c r="E31" i="74" a="1"/>
  <c r="E31" i="74" s="1"/>
  <c r="G31" i="74" s="1" a="1"/>
  <c r="G31" i="74" s="1"/>
  <c r="E70" i="74" s="1" a="1"/>
  <c r="E70" i="74" s="1"/>
  <c r="E35" i="74" a="1"/>
  <c r="E35" i="74" s="1"/>
  <c r="G35" i="74" s="1" a="1"/>
  <c r="G35" i="74" s="1"/>
  <c r="E74" i="74" s="1" a="1"/>
  <c r="E74" i="74" s="1"/>
  <c r="G25" i="69" a="1"/>
  <c r="G25" i="69" s="1"/>
  <c r="E29" i="116" s="1"/>
  <c r="F29" i="116" s="1" a="1"/>
  <c r="F29" i="116" s="1"/>
  <c r="G23" i="69" a="1"/>
  <c r="G23" i="69" s="1"/>
  <c r="E27" i="116"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31" i="116" s="1"/>
  <c r="F31" i="116" s="1" a="1"/>
  <c r="F31" i="116" s="1"/>
  <c r="E21" i="74" a="1"/>
  <c r="E21" i="74" s="1"/>
  <c r="G21" i="74" s="1" a="1"/>
  <c r="G21" i="74" s="1"/>
  <c r="E60" i="74" s="1" a="1"/>
  <c r="E60" i="74" s="1"/>
  <c r="G21" i="69" a="1"/>
  <c r="G21" i="69" s="1"/>
  <c r="E25" i="116" s="1"/>
  <c r="F25" i="116" s="1" a="1"/>
  <c r="F25" i="116" s="1"/>
  <c r="E28" i="74" a="1"/>
  <c r="E28" i="74" s="1"/>
  <c r="G28" i="74" s="1" a="1"/>
  <c r="G28" i="74" s="1"/>
  <c r="E67" i="74" s="1" a="1"/>
  <c r="E67" i="74" s="1"/>
  <c r="G29" i="69" a="1"/>
  <c r="G29" i="69" s="1"/>
  <c r="E33" i="116" s="1"/>
  <c r="F33" i="116" s="1" a="1"/>
  <c r="F33" i="116" s="1"/>
  <c r="G28" i="69" a="1"/>
  <c r="G28" i="69" s="1"/>
  <c r="E32" i="116" s="1"/>
  <c r="F32" i="116" s="1" a="1"/>
  <c r="F32" i="116" s="1"/>
  <c r="G35" i="69" a="1"/>
  <c r="G35" i="69" s="1"/>
  <c r="E39" i="116" s="1"/>
  <c r="F39" i="116" s="1" a="1"/>
  <c r="F39" i="116" s="1"/>
  <c r="G31" i="69"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E23" i="116" s="1"/>
  <c r="F23" i="116" s="1" a="1"/>
  <c r="F23" i="116" s="1"/>
  <c r="E32" i="74" a="1"/>
  <c r="E32" i="74" s="1"/>
  <c r="G32" i="74" s="1" a="1"/>
  <c r="G32" i="74" s="1"/>
  <c r="E71" i="74" s="1" a="1"/>
  <c r="E71" i="74" s="1"/>
  <c r="G34" i="69" a="1"/>
  <c r="G34" i="69" s="1"/>
  <c r="E38" i="116" s="1"/>
  <c r="F38" i="116" s="1" a="1"/>
  <c r="F38" i="116" s="1"/>
  <c r="E20" i="74" a="1"/>
  <c r="E20" i="74" s="1"/>
  <c r="G20" i="74" s="1" a="1"/>
  <c r="G20" i="74" s="1"/>
  <c r="E59" i="74" s="1" a="1"/>
  <c r="E59" i="74" s="1"/>
  <c r="G33" i="69" a="1"/>
  <c r="G33" i="69" s="1"/>
  <c r="E37" i="116" s="1"/>
  <c r="F37" i="116" s="1" a="1"/>
  <c r="F37" i="116" s="1"/>
  <c r="G32" i="69" a="1"/>
  <c r="G32" i="69" s="1"/>
  <c r="E36" i="116" s="1"/>
  <c r="F36" i="116" s="1" a="1"/>
  <c r="F36" i="116" s="1"/>
  <c r="G30" i="69" a="1"/>
  <c r="G30" i="69" s="1"/>
  <c r="E34" i="116" s="1"/>
  <c r="F34" i="116" s="1" a="1"/>
  <c r="F34" i="116" s="1"/>
  <c r="E27" i="74" a="1"/>
  <c r="E27" i="74" s="1"/>
  <c r="G27" i="74" s="1" a="1"/>
  <c r="G27" i="74" s="1"/>
  <c r="E66" i="74" s="1" a="1"/>
  <c r="E66" i="74" s="1"/>
  <c r="G22" i="69" a="1"/>
  <c r="G22" i="69" s="1"/>
  <c r="E26" i="116" s="1"/>
  <c r="F26" i="116" s="1" a="1"/>
  <c r="F26" i="116" s="1"/>
  <c r="E24" i="74" a="1"/>
  <c r="E24" i="74" s="1"/>
  <c r="G24" i="74" s="1" a="1"/>
  <c r="G24" i="74" s="1"/>
  <c r="E63" i="74" s="1" a="1"/>
  <c r="E63" i="74" s="1"/>
  <c r="G24" i="69" a="1"/>
  <c r="G24" i="69" s="1"/>
  <c r="E28" i="116" s="1"/>
  <c r="F28" i="116" s="1" a="1"/>
  <c r="F28" i="116" s="1"/>
  <c r="G36" i="69" a="1"/>
  <c r="G36" i="69" s="1"/>
  <c r="E40" i="116"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S74" i="69"/>
  <c r="I55" i="69"/>
  <c r="E78" i="69" s="1"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K48"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<sst xmlns="http://schemas.openxmlformats.org/spreadsheetml/2006/main" count="547" uniqueCount="328">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</sst>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8.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0.1431067</v>
      </c>
      <c r="F9" s="170">
        <f>'5.1.1.1-2 Inorganic fert N2O'!$N$88</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75.808333333333337</v>
      </c>
      <c r="F12" s="170">
        <f>E12</f>
        <v>75.808333333333337</v>
      </c>
      <c r="G12" s="52" t="s">
        <v>260</v>
      </c>
      <c r="H12" s="102">
        <f>'5.3.1.1-2 Lime CO2'!$E$31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topLeftCell="A7" zoomScale="85" zoomScaleNormal="85" workbookViewId="0">
      <selection activeCell="F22" sqref="F19:G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61" zoomScaleNormal="100" workbookViewId="0">
      <selection activeCell="N88" sqref="N8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61" workbookViewId="0">
      <selection activeCell="E78" sqref="E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F62" sqref="F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2" workbookViewId="0">
      <selection activeCell="E31" sqref="E3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21"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'5.1.1.1-2 Inorganic fert N2O'!G28</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'5.1.1.1-2 Inorganic fert N2O'!G37</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Sprinkler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Sprinkler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32" zoomScaleNormal="100" workbookViewId="0">
      <selection activeCell="I100" sqref="I1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'5.1.1.1-2 Inorganic fert N2O'!G28</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'5.1.1.1-2 Inorganic fert N2O'!G37</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72</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60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D85" zoomScaleNormal="100" workbookViewId="0">
      <selection activeCell="N99" sqref="E99:N9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25</vt:i4>
      </vt:variant>
    </vt:vector>
  </HeadingPairs>
  <TitlesOfParts>
    <vt:vector size="3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2026-06-17T06:32:15Z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