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C9FC705-8CAE-41E5-B85E-9A4B2C46234D}" xr6:coauthVersionLast="47" xr6:coauthVersionMax="47" xr10:uidLastSave="{00000000-0000-0000-0000-000000000000}"/>
  <bookViews>
    <workbookView xWindow="0" yWindow="0" windowWidth="28800" windowHeight="17280" firstSheet="6" activeTab="10"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9"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0" i="116" l="1"/>
  <c r="I59" i="116"/>
  <c r="I58" i="116"/>
  <c r="I18" i="116"/>
  <c r="I17" i="116"/>
  <c r="I16" i="116"/>
  <c r="J54" i="115"/>
  <c r="J53" i="115"/>
  <c r="J52" i="115"/>
  <c r="I129" i="115"/>
  <c r="I128" i="115"/>
  <c r="I127" i="115"/>
  <c r="K48" i="113"/>
  <c r="K47" i="113"/>
  <c r="I52" i="74"/>
  <c r="S74" i="69"/>
  <c r="S73" i="69"/>
  <c r="S71" i="69"/>
  <c r="S70" i="69"/>
  <c r="I55" i="69"/>
  <c r="I54" i="69"/>
  <c r="I52" i="69"/>
  <c r="H18" i="70"/>
  <c r="H19" i="70"/>
  <c r="H20" i="70"/>
  <c r="H21" i="70"/>
  <c r="H22" i="70"/>
  <c r="F39" i="70" l="1"/>
  <c r="G39" i="70" s="1"/>
  <c r="K39" i="70"/>
  <c r="F28" i="70"/>
  <c r="G28" i="70" s="1"/>
  <c r="P28" i="70"/>
  <c r="G50" i="70"/>
  <c r="H50" i="70"/>
  <c r="I50" i="70" s="1"/>
  <c r="K45" i="113"/>
  <c r="W54" i="69"/>
  <c r="W53" i="69"/>
  <c r="E30" i="15"/>
  <c r="E33" i="15"/>
  <c r="E32" i="15"/>
  <c r="E31" i="15"/>
  <c r="J92" i="116"/>
  <c r="I126" i="115"/>
  <c r="J51" i="115"/>
  <c r="I20" i="114"/>
  <c r="K46" i="113"/>
  <c r="I51" i="74"/>
  <c r="S69" i="69"/>
  <c r="I51" i="69"/>
  <c r="G97" i="116"/>
  <c r="G149" i="115"/>
  <c r="G82" i="115"/>
  <c r="G53" i="113"/>
  <c r="P91" i="69"/>
  <c r="G83" i="69"/>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c r="D227" i="119" a="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H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c r="D18" i="119" a="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J50" i="70" l="1"/>
  <c r="H52" i="119"/>
  <c r="H51" i="119"/>
  <c r="H48" i="119"/>
  <c r="H50" i="119"/>
  <c r="H49" i="119"/>
  <c r="H53" i="119"/>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F94"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6"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4" i="116"/>
  <c r="E83" i="116" a="1"/>
  <c r="E7" i="116" a="1"/>
  <c r="E49"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5" i="115"/>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0" i="115"/>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D67" i="116" s="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43" i="115" a="1"/>
  <c r="E7" i="115" a="1"/>
  <c r="E90" i="115" a="1"/>
  <c r="E7" i="113" a="1"/>
  <c r="E118" i="115" a="1"/>
  <c r="E7" i="114" a="1"/>
  <c r="E38" i="113" a="1"/>
  <c r="E105" i="115" l="1"/>
  <c r="E68" i="116"/>
  <c r="E110" i="115"/>
  <c r="E111" i="115"/>
  <c r="E112" i="115"/>
  <c r="E75" i="116"/>
  <c r="E107" i="115"/>
  <c r="E108" i="115"/>
  <c r="F108" i="115" s="1" a="1"/>
  <c r="F108" i="115" s="1"/>
  <c r="E140" i="115" s="1"/>
  <c r="E109" i="115"/>
  <c r="F109" i="115" s="1" a="1"/>
  <c r="F109" i="115" s="1"/>
  <c r="E141" i="115" s="1"/>
  <c r="F111" i="115" a="1"/>
  <c r="F111" i="115" s="1"/>
  <c r="E143" i="115" s="1"/>
  <c r="G20" i="113" a="1"/>
  <c r="G20" i="113" s="1"/>
  <c r="I20" i="113" s="1" a="1"/>
  <c r="I20" i="113" s="1"/>
  <c r="E65" i="116" s="1"/>
  <c r="D20" i="113"/>
  <c r="D65" i="116" s="1"/>
  <c r="D66" i="116"/>
  <c r="F43" i="116"/>
  <c r="F112" i="115" a="1"/>
  <c r="F112" i="115" s="1"/>
  <c r="E144" i="115" s="1"/>
  <c r="F105" i="115" a="1"/>
  <c r="F105" i="115" s="1"/>
  <c r="E137" i="115" s="1"/>
  <c r="F107" i="115" a="1"/>
  <c r="F107" i="115" s="1"/>
  <c r="E139"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I22" i="113" l="1" a="1"/>
  <c r="I22" i="113" s="1"/>
  <c r="E104" i="115" s="1"/>
  <c r="F104" i="115" s="1" a="1"/>
  <c r="F104" i="115" s="1"/>
  <c r="E136" i="115" s="1"/>
  <c r="I21" i="113" a="1"/>
  <c r="I21" i="113" s="1"/>
  <c r="E66" i="116" s="1"/>
  <c r="E102" i="115"/>
  <c r="F102" i="115" s="1" a="1"/>
  <c r="F102" i="115" s="1"/>
  <c r="E134" i="115" s="1"/>
  <c r="E67" i="116" l="1"/>
  <c r="E32" i="113"/>
  <c r="K44" i="113" s="1"/>
  <c r="E103" i="115"/>
  <c r="F103" i="115" s="1"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T54" i="69"/>
  <c r="T53" i="69"/>
  <c r="N50" i="69" a="1"/>
  <c r="N50" i="69" s="1"/>
  <c r="N45" i="69" a="1"/>
  <c r="N45" i="69" s="1"/>
  <c r="F85" i="69" a="1"/>
  <c r="F85" i="69" s="1"/>
  <c r="D82" i="69" a="1"/>
  <c r="D82" i="69" s="1"/>
  <c r="N60" i="69" a="1"/>
  <c r="E42" i="69" a="1"/>
  <c r="E7" i="74"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H12" i="13" l="1"/>
  <c r="I12" i="13" s="1"/>
  <c r="E12" i="13"/>
  <c r="F12" i="13" s="1"/>
  <c r="I50" i="69"/>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F22" i="70" l="1"/>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19" i="69" a="1"/>
  <c r="E19"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W51" i="69" l="1"/>
  <c r="W52" i="69"/>
  <c r="T52" i="69"/>
  <c r="U52" i="69" s="1"/>
  <c r="Q52" i="69"/>
  <c r="S52" i="69" a="1"/>
  <c r="S52" i="69" s="1"/>
  <c r="R52" i="69" a="1"/>
  <c r="R52" i="69" s="1"/>
  <c r="E37" i="74" a="1"/>
  <c r="E37" i="74" s="1"/>
  <c r="G37" i="74" s="1" a="1"/>
  <c r="G37" i="74" s="1"/>
  <c r="E76" i="74" s="1" a="1"/>
  <c r="E76" i="74" s="1"/>
  <c r="G26" i="69" a="1"/>
  <c r="G26" i="69" s="1"/>
  <c r="E30" i="116" s="1"/>
  <c r="F30" i="116" s="1" a="1"/>
  <c r="F30" i="116" s="1"/>
  <c r="E22" i="74" a="1"/>
  <c r="E22" i="74" s="1"/>
  <c r="G22" i="74" s="1" a="1"/>
  <c r="G22" i="74" s="1"/>
  <c r="E61" i="74" s="1" a="1"/>
  <c r="E61" i="74" s="1"/>
  <c r="E19" i="74" a="1"/>
  <c r="E19" i="74" s="1"/>
  <c r="G19" i="74" s="1" a="1"/>
  <c r="G19" i="74" s="1"/>
  <c r="E58" i="74" s="1" a="1"/>
  <c r="E58" i="74" s="1"/>
  <c r="G20" i="69" a="1"/>
  <c r="G20" i="69" s="1"/>
  <c r="E24" i="116" s="1"/>
  <c r="F24" i="116" s="1" a="1"/>
  <c r="F24" i="116" s="1"/>
  <c r="E31" i="74" a="1"/>
  <c r="E31" i="74" s="1"/>
  <c r="G31" i="74" s="1" a="1"/>
  <c r="G31" i="74" s="1"/>
  <c r="E70" i="74" s="1" a="1"/>
  <c r="E70" i="74" s="1"/>
  <c r="E35" i="74" a="1"/>
  <c r="E35" i="74" s="1"/>
  <c r="G35" i="74" s="1" a="1"/>
  <c r="G35" i="74" s="1"/>
  <c r="E74" i="74" s="1" a="1"/>
  <c r="E74" i="74" s="1"/>
  <c r="G25" i="69" a="1"/>
  <c r="G25" i="69" s="1"/>
  <c r="E29" i="116" s="1"/>
  <c r="F29" i="116" s="1" a="1"/>
  <c r="F29" i="116" s="1"/>
  <c r="G23" i="69" a="1"/>
  <c r="G23" i="69" s="1"/>
  <c r="E27" i="116" s="1"/>
  <c r="F27" i="116" s="1" a="1"/>
  <c r="F27" i="116"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31" i="116" s="1"/>
  <c r="F31" i="116" s="1" a="1"/>
  <c r="F31" i="116" s="1"/>
  <c r="E21" i="74" a="1"/>
  <c r="E21" i="74" s="1"/>
  <c r="G21" i="74" s="1" a="1"/>
  <c r="G21" i="74" s="1"/>
  <c r="E60" i="74" s="1" a="1"/>
  <c r="E60" i="74" s="1"/>
  <c r="G21" i="69" a="1"/>
  <c r="G21" i="69" s="1"/>
  <c r="E25" i="116" s="1"/>
  <c r="F25" i="116" s="1" a="1"/>
  <c r="F25" i="116" s="1"/>
  <c r="E28" i="74" a="1"/>
  <c r="E28" i="74" s="1"/>
  <c r="G28" i="74" s="1" a="1"/>
  <c r="G28" i="74" s="1"/>
  <c r="E67" i="74" s="1" a="1"/>
  <c r="E67" i="74" s="1"/>
  <c r="G29" i="69" a="1"/>
  <c r="G29" i="69" s="1"/>
  <c r="E33" i="116" s="1"/>
  <c r="F33" i="116" s="1" a="1"/>
  <c r="F33" i="116" s="1"/>
  <c r="G28" i="69" a="1"/>
  <c r="G28" i="69" s="1"/>
  <c r="E32" i="116" s="1"/>
  <c r="F32" i="116" s="1" a="1"/>
  <c r="F32" i="116" s="1"/>
  <c r="G35" i="69" a="1"/>
  <c r="G35" i="69" s="1"/>
  <c r="E39" i="116" s="1"/>
  <c r="F39" i="116" s="1" a="1"/>
  <c r="F39" i="116" s="1"/>
  <c r="G31" i="69" a="1"/>
  <c r="G31" i="69" s="1"/>
  <c r="E35" i="116"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G19" i="69" a="1"/>
  <c r="G19" i="69" s="1"/>
  <c r="E23" i="116" s="1"/>
  <c r="F23" i="116" s="1" a="1"/>
  <c r="F23" i="116" s="1"/>
  <c r="E32" i="74" a="1"/>
  <c r="E32" i="74" s="1"/>
  <c r="G32" i="74" s="1" a="1"/>
  <c r="G32" i="74" s="1"/>
  <c r="E71" i="74" s="1" a="1"/>
  <c r="E71" i="74" s="1"/>
  <c r="G34" i="69" a="1"/>
  <c r="G34" i="69" s="1"/>
  <c r="E38" i="116" s="1"/>
  <c r="F38" i="116" s="1" a="1"/>
  <c r="F38" i="116" s="1"/>
  <c r="E20" i="74" a="1"/>
  <c r="E20" i="74" s="1"/>
  <c r="G20" i="74" s="1" a="1"/>
  <c r="G20" i="74" s="1"/>
  <c r="E59" i="74" s="1" a="1"/>
  <c r="E59" i="74" s="1"/>
  <c r="G33" i="69" a="1"/>
  <c r="G33" i="69" s="1"/>
  <c r="E37" i="116" s="1"/>
  <c r="F37" i="116" s="1" a="1"/>
  <c r="F37" i="116" s="1"/>
  <c r="G32" i="69" a="1"/>
  <c r="G32" i="69" s="1"/>
  <c r="E36" i="116" s="1"/>
  <c r="F36" i="116" s="1" a="1"/>
  <c r="F36" i="116" s="1"/>
  <c r="G30" i="69" a="1"/>
  <c r="G30" i="69" s="1"/>
  <c r="E34" i="116" s="1"/>
  <c r="F34" i="116" s="1" a="1"/>
  <c r="F34" i="116" s="1"/>
  <c r="E27" i="74" a="1"/>
  <c r="E27" i="74" s="1"/>
  <c r="G27" i="74" s="1" a="1"/>
  <c r="G27" i="74" s="1"/>
  <c r="E66" i="74" s="1" a="1"/>
  <c r="E66" i="74" s="1"/>
  <c r="G22" i="69" a="1"/>
  <c r="G22" i="69" s="1"/>
  <c r="E26" i="116" s="1"/>
  <c r="F26" i="116" s="1" a="1"/>
  <c r="F26" i="116" s="1"/>
  <c r="E24" i="74" a="1"/>
  <c r="E24" i="74" s="1"/>
  <c r="G24" i="74" s="1" a="1"/>
  <c r="G24" i="74" s="1"/>
  <c r="E63" i="74" s="1" a="1"/>
  <c r="E63" i="74" s="1"/>
  <c r="G24" i="69" a="1"/>
  <c r="G24" i="69" s="1"/>
  <c r="E28" i="116" s="1"/>
  <c r="F28" i="116" s="1" a="1"/>
  <c r="F28" i="116" s="1"/>
  <c r="G36" i="69" a="1"/>
  <c r="G36" i="69" s="1"/>
  <c r="E40" i="116" s="1"/>
  <c r="F40" i="116" s="1" a="1"/>
  <c r="F40" i="116" s="1"/>
  <c r="O50" i="69"/>
  <c r="Q51" i="69"/>
  <c r="T51" i="69"/>
  <c r="U51" i="69" s="1"/>
  <c r="S51" i="69" a="1"/>
  <c r="S51" i="69" s="1"/>
  <c r="R51" i="69" a="1"/>
  <c r="R51" i="69" s="1"/>
  <c r="O45" i="69" a="1"/>
  <c r="G30" i="74" a="1"/>
  <c r="G30" i="74" s="1"/>
  <c r="E69" i="74" s="1" a="1"/>
  <c r="E69" i="74" s="1"/>
  <c r="V52" i="69" l="1" a="1"/>
  <c r="V52" i="69" s="1"/>
  <c r="W49" i="69"/>
  <c r="S49" i="69" a="1"/>
  <c r="S49" i="69" s="1"/>
  <c r="T49" i="69"/>
  <c r="U49" i="69" s="1"/>
  <c r="R49" i="69" a="1"/>
  <c r="R49" i="69" s="1"/>
  <c r="Q49" i="69"/>
  <c r="W47" i="69"/>
  <c r="W48" i="69"/>
  <c r="R48" i="69" a="1"/>
  <c r="R48" i="69" s="1"/>
  <c r="T48" i="69"/>
  <c r="U48" i="69" s="1"/>
  <c r="S48" i="69" a="1"/>
  <c r="S48" i="69" s="1"/>
  <c r="Q48" i="69"/>
  <c r="S47" i="69" a="1"/>
  <c r="S47" i="69" s="1"/>
  <c r="W46" i="69"/>
  <c r="T50" i="69"/>
  <c r="U50" i="69" s="1"/>
  <c r="W50" i="69"/>
  <c r="E37" i="115"/>
  <c r="H37" i="115" s="1" a="1"/>
  <c r="H37" i="115" s="1"/>
  <c r="E77" i="115" s="1"/>
  <c r="F77" i="115" s="1" a="1"/>
  <c r="F77" i="115" s="1"/>
  <c r="E41" i="116"/>
  <c r="F41" i="116" s="1" a="1"/>
  <c r="F41" i="116" s="1"/>
  <c r="E43" i="116" s="1"/>
  <c r="J89" i="116" s="1"/>
  <c r="E94" i="116" s="1" a="1"/>
  <c r="E94" i="116" s="1"/>
  <c r="E78" i="74"/>
  <c r="S50" i="69" a="1"/>
  <c r="S50" i="69" s="1"/>
  <c r="R50" i="69" a="1"/>
  <c r="R50" i="69" s="1"/>
  <c r="Q50" i="69"/>
  <c r="V51" i="69" a="1"/>
  <c r="V51" i="69" s="1"/>
  <c r="E29" i="115"/>
  <c r="H29" i="115" s="1" a="1"/>
  <c r="H29" i="115" s="1"/>
  <c r="E69" i="115" s="1"/>
  <c r="F69" i="115" s="1" a="1"/>
  <c r="F69" i="115" s="1"/>
  <c r="E22" i="115"/>
  <c r="H22" i="115" s="1" a="1"/>
  <c r="H22" i="115" s="1"/>
  <c r="E62" i="115" s="1"/>
  <c r="F62" i="115" s="1" a="1"/>
  <c r="F62" i="115" s="1"/>
  <c r="E25" i="115"/>
  <c r="H25" i="115" s="1" a="1"/>
  <c r="H25" i="115" s="1"/>
  <c r="E65" i="115" s="1"/>
  <c r="F65" i="115" s="1" a="1"/>
  <c r="F65" i="115" s="1"/>
  <c r="E34" i="115"/>
  <c r="H34" i="115" s="1" a="1"/>
  <c r="H34" i="115" s="1"/>
  <c r="E74" i="115" s="1"/>
  <c r="F74" i="115" s="1" a="1"/>
  <c r="F74" i="115" s="1"/>
  <c r="E26" i="115"/>
  <c r="H26" i="115" s="1" a="1"/>
  <c r="H26" i="115" s="1"/>
  <c r="E66" i="115" s="1"/>
  <c r="F66" i="115" s="1" a="1"/>
  <c r="F66" i="115" s="1"/>
  <c r="E24" i="115"/>
  <c r="H24" i="115" s="1" a="1"/>
  <c r="H24" i="115" s="1"/>
  <c r="E64" i="115" s="1"/>
  <c r="F64" i="115" s="1" a="1"/>
  <c r="F64" i="115" s="1"/>
  <c r="E35" i="115"/>
  <c r="H35" i="115" s="1" a="1"/>
  <c r="H35" i="115" s="1"/>
  <c r="E75" i="115" s="1"/>
  <c r="F75" i="115" s="1" a="1"/>
  <c r="F75" i="115" s="1"/>
  <c r="E23" i="115"/>
  <c r="H23" i="115" s="1" a="1"/>
  <c r="H23" i="115" s="1"/>
  <c r="E63" i="115" s="1"/>
  <c r="F63" i="115" s="1" a="1"/>
  <c r="F63" i="115" s="1"/>
  <c r="E21" i="115"/>
  <c r="H21" i="115" s="1" a="1"/>
  <c r="H21" i="115" s="1"/>
  <c r="E61" i="115" s="1"/>
  <c r="F61" i="115" s="1" a="1"/>
  <c r="F61" i="115" s="1"/>
  <c r="E19" i="115"/>
  <c r="H19" i="115" s="1" a="1"/>
  <c r="H19" i="115" s="1"/>
  <c r="E59" i="115" s="1"/>
  <c r="F59" i="115" s="1" a="1"/>
  <c r="F59" i="115" s="1"/>
  <c r="E27" i="115"/>
  <c r="H27" i="115" s="1" a="1"/>
  <c r="H27" i="115" s="1"/>
  <c r="E67" i="115" s="1"/>
  <c r="F67" i="115" s="1" a="1"/>
  <c r="F67" i="115" s="1"/>
  <c r="E30" i="115"/>
  <c r="H30" i="115" s="1" a="1"/>
  <c r="H30" i="115" s="1"/>
  <c r="E70" i="115" s="1"/>
  <c r="F70" i="115" s="1" a="1"/>
  <c r="F70" i="115" s="1"/>
  <c r="E28" i="115"/>
  <c r="H28" i="115" s="1" a="1"/>
  <c r="H28" i="115" s="1"/>
  <c r="E68" i="115" s="1"/>
  <c r="F68" i="115" s="1" a="1"/>
  <c r="F68" i="115" s="1"/>
  <c r="E33" i="115"/>
  <c r="H33" i="115" s="1" a="1"/>
  <c r="H33" i="115" s="1"/>
  <c r="E73" i="115" s="1"/>
  <c r="F73" i="115" s="1" a="1"/>
  <c r="F73" i="115" s="1"/>
  <c r="E32" i="115"/>
  <c r="H32" i="115" s="1" a="1"/>
  <c r="H32" i="115" s="1"/>
  <c r="E72" i="115" s="1"/>
  <c r="F72" i="115" s="1" a="1"/>
  <c r="F72" i="115" s="1"/>
  <c r="E31" i="115"/>
  <c r="H31" i="115" s="1" a="1"/>
  <c r="H31" i="115" s="1"/>
  <c r="E71" i="115" s="1"/>
  <c r="F71" i="115" s="1" a="1"/>
  <c r="F71" i="115" s="1"/>
  <c r="E36" i="115"/>
  <c r="H36" i="115" s="1" a="1"/>
  <c r="H36" i="115" s="1"/>
  <c r="E76" i="115" s="1"/>
  <c r="F76" i="115" s="1" a="1"/>
  <c r="F76" i="115" s="1"/>
  <c r="E20" i="115"/>
  <c r="H20" i="115" s="1" a="1"/>
  <c r="H20" i="115" s="1"/>
  <c r="E60" i="115" s="1"/>
  <c r="F60" i="115" s="1" a="1"/>
  <c r="F60" i="115" s="1"/>
  <c r="Q46" i="69"/>
  <c r="T46" i="69"/>
  <c r="U46" i="69" s="1"/>
  <c r="S46" i="69" a="1"/>
  <c r="S46" i="69" s="1"/>
  <c r="R46" i="69" a="1"/>
  <c r="R46" i="69" s="1"/>
  <c r="T47" i="69"/>
  <c r="U47" i="69" s="1"/>
  <c r="O45" i="69"/>
  <c r="R47" i="69" a="1"/>
  <c r="R47" i="69" s="1"/>
  <c r="Q47" i="69"/>
  <c r="V48" i="69" l="1" a="1"/>
  <c r="V48" i="69" s="1"/>
  <c r="V49" i="69" a="1"/>
  <c r="V49" i="69" s="1"/>
  <c r="S45" i="69" a="1"/>
  <c r="S45" i="69" s="1"/>
  <c r="W45" i="69"/>
  <c r="V50" i="69" a="1"/>
  <c r="V50" i="69" s="1"/>
  <c r="E79" i="115"/>
  <c r="E13" i="13" s="1"/>
  <c r="F13" i="13" s="1"/>
  <c r="T45" i="69"/>
  <c r="U45" i="69" s="1"/>
  <c r="H10" i="13"/>
  <c r="I10" i="13" s="1"/>
  <c r="E10" i="13"/>
  <c r="F10" i="13" s="1"/>
  <c r="E14" i="13"/>
  <c r="F14" i="13" s="1"/>
  <c r="G96" i="116"/>
  <c r="E99" i="116" s="1" a="1"/>
  <c r="E99" i="116" s="1"/>
  <c r="H14" i="13" s="1"/>
  <c r="I14" i="13" s="1"/>
  <c r="Q45" i="69"/>
  <c r="R45" i="69" a="1"/>
  <c r="R45" i="69" s="1"/>
  <c r="V46" i="69" a="1"/>
  <c r="V46" i="69" s="1"/>
  <c r="V47" i="69" a="1"/>
  <c r="V47" i="69" s="1"/>
  <c r="E78" i="69" a="1"/>
  <c r="E78" i="69" s="1"/>
  <c r="G81" i="115" l="1"/>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50" i="113" s="1" a="1"/>
  <c r="E50" i="113" s="1"/>
  <c r="E80" i="69" l="1"/>
  <c r="G52" i="113"/>
  <c r="E55" i="113" s="1" a="1"/>
  <c r="E55" i="113" s="1"/>
  <c r="H11" i="13" s="1"/>
  <c r="I11" i="13" s="1"/>
  <c r="E11" i="13"/>
  <c r="F11" i="13" s="1"/>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E9" i="13"/>
  <c r="N88" i="69"/>
  <c r="P90" i="69" l="1"/>
  <c r="N93" i="69" s="1" a="1"/>
  <c r="N93" i="69" s="1"/>
  <c r="I9" i="13" s="1"/>
  <c r="I15" i="13" s="1"/>
  <c r="F9" i="13"/>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<sst xmlns="http://schemas.openxmlformats.org/spreadsheetml/2006/main" count="547" uniqueCount="328">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</sst>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91" dataDxfId="190" totalsRowDxfId="18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52" dataDxfId="151">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39" dataDxfId="138"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129" dataDxfId="128"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303C5C-3BB9-41A7-829D-8B4E71E0023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D75A020-5BB0-44A8-9D5E-DCC83AB1977D}" name="State/Territory">
      <calculatedColumnFormula array="1">Common_InputFunctions.Utility_DisplayArrayInTable(Common_SourceData.Common_SourceData_AustralianStatesTerritories_Data(),Table_AustralianStates[[#Headers],[State/Territory]],0)</calculatedColumnFormula>
    </tableColumn>
    <tableColumn id="2" xr3:uid="{79D55B61-ED45-4135-883D-FD347526CAB3}" name="Common Name">
      <calculatedColumnFormula array="1">Common_InputFunctions.Utility_DisplayArrayInTable(Common_SourceData.Common_SourceData_AustralianStatesTerritories_Data(),Table_AustralianStates[[#Headers],[State/Territory]],0)</calculatedColumnFormula>
    </tableColumn>
    <tableColumn id="3" xr3:uid="{B88E055F-8E5A-4C53-93A9-C24E776591B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2DCD54D-7E93-4099-957D-AEA1DE4C4926}" name="Table_WASA4Areas" displayName="Table_WASA4Areas" ref="D20:D30" totalsRowShown="0">
  <autoFilter ref="D20:D30" xr:uid="{5FA81339-C6C8-4D36-BEEA-6C4AEDD9E676}">
    <filterColumn colId="0" hiddenButton="1"/>
  </autoFilter>
  <tableColumns count="1">
    <tableColumn id="1" xr3:uid="{65003749-65F5-40E3-99A9-AB401F699E3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DAA5495-4917-46C2-A299-A4345A855465}" name="Table_GWPData" displayName="Table_GWPData" ref="D36:E43" totalsRowShown="0">
  <autoFilter ref="D36:E43" xr:uid="{B8E87A66-3E41-4AD3-925D-01EE21B43D7A}">
    <filterColumn colId="0" hiddenButton="1"/>
    <filterColumn colId="1" hiddenButton="1"/>
  </autoFilter>
  <tableColumns count="2">
    <tableColumn id="1" xr3:uid="{A2C3F369-C535-498B-A609-D1951E259632}" name="Gas">
      <calculatedColumnFormula array="1">Common_InputFunctions.Utility_DisplayArrayInTable(Common_SourceData.Common_SourceData_GWP_Data(), Table_GWPData[[#Headers],[Gas]], 0)</calculatedColumnFormula>
    </tableColumn>
    <tableColumn id="2" xr3:uid="{30431AA3-A8E1-4BCB-8FF3-815AAD620A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E6CF9E-A072-44BF-8684-471FB964FF1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D021D2-50B6-4052-8C28-07DE2821E241}" name="Gas">
      <calculatedColumnFormula array="1">Common_InputFunctions.Utility_DisplayArrayInTable(Common_SourceData.Common_SourceData_ConvertGasElementalToMolecular_Data(),Table_GasToMolecularConversionFactor[[#Headers],[Gas]], 0)</calculatedColumnFormula>
    </tableColumn>
    <tableColumn id="5" xr3:uid="{070B0089-E010-406C-A163-96667EDF65BA}" name="Conversion factor">
      <calculatedColumnFormula array="1">Common_InputFunctions.Utility_DisplayArrayInTable(Common_SourceData.Common_SourceData_ConvertGasElementalToMolecular_Data(),Table_GasToMolecularConversionFactor[[#Headers],[Gas]], 0)</calculatedColumnFormula>
    </tableColumn>
    <tableColumn id="2" xr3:uid="{442EC396-0F56-4AF3-9A40-5AC804CD7A8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267475D-1B2F-4109-BB45-941B0A1E668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8B0D998-60A5-4C5C-BCEA-2617B46A5BC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074C5BD-0896-455B-9D7F-FAEDC2D126E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41C3266-3F73-4EFD-88FE-8C44F498CB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5553DB-5721-4C92-8D20-DFA036B0E73C}"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0B330E80-A0C8-4CA7-8BED-30357374226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F6D8D7BA-481D-44A8-8D63-7344999032D7}"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B51575DF-B51A-45A0-96F6-B09CF6CB796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3DDF4932-CE19-401E-B9A8-96D6019290D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CA67A8C2-1493-47C7-9556-E9B2171FF313}"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3DD9A77-6AFB-476B-9830-FB62437E21B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D0C7F044-AC25-4B4D-A6C8-191E6D7ADEFB}"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BE35E95-CD11-4907-B665-EDDFF05DF5F7}"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11FE130C-5EF5-4800-8D82-01037B7D141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D89184E1-5386-41A5-BC9C-23989AB9D394}"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4326D09A-0A99-4588-A2C1-359761D54EEE}"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4E8012CE-78A2-408D-84F0-804357D82CC1}"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54E6EF5-ABEB-4638-B06C-3EC0281E4117}"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8D917470-7CB8-4F3E-9726-6CE629E62415}"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678D10-2267-4767-B2BC-D4CF7912B8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4B9A861-A4AC-43D8-95CF-3562409A13E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E1A5654-2BB4-449B-8063-4EFB15F850C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EA5653C-11FE-4C3B-AC4C-03EBB0DDB74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C58373F-C785-4CF1-8C2C-1E8E7D608BF7}" name="Temperature Zone">
      <calculatedColumnFormula array="1">Common_InputFunctions.Utility_DisplayArrayInTable(Common_SourceData.Common_SourceData_TemperatureZones_Data(),Table_SourceData_TemperatureZones[[#Headers],[Temperature Zone]],0)</calculatedColumnFormula>
    </tableColumn>
    <tableColumn id="2" xr3:uid="{649DD81D-C070-4231-A7C0-B2F0F7667E2F}" name="MAT">
      <calculatedColumnFormula array="1">Common_InputFunctions.Utility_DisplayArrayInTable(Common_SourceData.Common_SourceData_TemperatureZones_Data(),Table_SourceData_TemperatureZones[[#Headers],[Temperature Zone]],0)</calculatedColumnFormula>
    </tableColumn>
    <tableColumn id="3" xr3:uid="{DCD1BE3E-0888-493D-ACAD-62FBCE7729EB}" name="Min MAT">
      <calculatedColumnFormula array="1">Common_InputFunctions.Utility_DisplayArrayInTable(Common_SourceData.Common_SourceData_TemperatureZones_Data(),Table_SourceData_TemperatureZones[[#Headers],[Temperature Zone]],0)</calculatedColumnFormula>
    </tableColumn>
    <tableColumn id="4" xr3:uid="{CE0C0D38-37FF-481A-9FB9-827AA8CD7F8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7E81831-5117-4090-8BF7-5BEFD02F929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427149-E8ED-4BC1-AEB7-88F0CC97E9DB}" name="Rainfall Zone">
      <calculatedColumnFormula array="1">Common_InputFunctions.Utility_DisplayArrayInTable(Common_SourceData.Common_SourceData_RainfallZones_Data(),Table_SourceData_RainfallZones[[#Headers],[Rainfall Zone]],0)</calculatedColumnFormula>
    </tableColumn>
    <tableColumn id="2" xr3:uid="{81706516-3381-4116-99E4-C08301492CE2}" name="Annual rainfall">
      <calculatedColumnFormula array="1">Common_InputFunctions.Utility_DisplayArrayInTable(Common_SourceData.Common_SourceData_RainfallZones_Data(),Table_SourceData_RainfallZones[[#Headers],[Rainfall Zone]],0)</calculatedColumnFormula>
    </tableColumn>
    <tableColumn id="3" xr3:uid="{7BD63AA6-3FB3-4581-86D4-EE2C3CEBB7AC}" name="Min rainfall">
      <calculatedColumnFormula array="1">Common_InputFunctions.Utility_DisplayArrayInTable(Common_SourceData.Common_SourceData_RainfallZones_Data(),Table_SourceData_RainfallZones[[#Headers],[Rainfall Zone]],0)</calculatedColumnFormula>
    </tableColumn>
    <tableColumn id="4" xr3:uid="{C0567C99-BC40-42B5-889D-DAEECBD90DE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086F55-DE85-4F7D-8526-BE62523F58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27CE5D0-E1EA-4DB3-A493-2EC5AEB4703D}" name="Leaching Zone">
      <calculatedColumnFormula array="1">Common_InputFunctions.Utility_DisplayArrayInTable(Common_SourceData.Common_SourceData_LeachingZones_Data(), Table_SourceData_LeachingZones[[#Headers],[Leaching Zone]], 0)</calculatedColumnFormula>
    </tableColumn>
    <tableColumn id="2" xr3:uid="{D8E6DC6E-BECE-44EF-B523-A58739CC0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65EAD74-4B83-4097-9BDE-7556255EDAF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831C4-1539-4B53-B4AD-9B4B6F6F16C7}" name="Data source">
      <calculatedColumnFormula array="1">Common_InputFunctions.Utility_DisplayArrayInTable(Common_SourceData.Common_SourceData_DataScores_Scope3_Data(), Table_SourceData_DataScores_Scope3[[#Headers],[Data source]], 0)</calculatedColumnFormula>
    </tableColumn>
    <tableColumn id="2" xr3:uid="{F78C92C4-8776-468E-83A7-F98862DA41B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F81CC99-EAC1-40C9-8D7E-9168752371DC}" name="Table_SourceData_FracWET" displayName="Table_SourceData_FracWET" ref="D134:E136" totalsRowShown="0">
  <autoFilter ref="D134:E136" xr:uid="{308E99BE-FE1F-47A4-B2CA-97217277C4E9}">
    <filterColumn colId="0" hiddenButton="1"/>
    <filterColumn colId="1" hiddenButton="1"/>
  </autoFilter>
  <tableColumns count="2">
    <tableColumn id="1" xr3:uid="{F32063F1-EC88-4F0F-8F0A-B391307FF85C}" name="Is in leaching zone">
      <calculatedColumnFormula array="1">Common_InputFunctions.Utility_DisplayArrayInTable(Common_SourceData.Common_SourceData_FracWET_Data(),Table_SourceData_FracWET[[#Headers],[Is in leaching zone]],0)</calculatedColumnFormula>
    </tableColumn>
    <tableColumn id="2" xr3:uid="{09F091BD-97D5-43A1-8BB9-00012C759188}"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2680C3E-4B2E-49D0-BACF-C2E6D85E3F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F004299-C7F5-47A6-B260-7F03DF27BA88}" name="Production system j">
      <calculatedColumnFormula array="1">Common_InputFunctions.Utility_DisplayArrayInTable(Common_SourceData.Common_SourceData_EFN2O_Data(), Table_SourceData_Common_EFN2O[[#Headers],[Production system j]], 0)</calculatedColumnFormula>
    </tableColumn>
    <tableColumn id="2" xr3:uid="{36A09B2D-C9D2-445D-AB07-5C85F8BF1D35}" name="EFN2O">
      <calculatedColumnFormula array="1">Common_InputFunctions.Utility_DisplayArrayInTable(Common_SourceData.Common_SourceData_EFN2O_Data(), Table_SourceData_Common_EFN2O[[#Headers],[Production system j]], 0)</calculatedColumnFormula>
    </tableColumn>
    <tableColumn id="3" xr3:uid="{DFD45054-FFD9-4A71-A7AE-17A809E0600D}" name="Production system only">
      <calculatedColumnFormula array="1">Common_InputFunctions.Utility_DisplayArrayInTable(Common_SourceData.Common_SourceData_EFN2O_Data(), Table_SourceData_Common_EFN2O[[#Headers],[Production system j]], 0)</calculatedColumnFormula>
    </tableColumn>
    <tableColumn id="4" xr3:uid="{E8477363-F8DF-4E44-85E9-468E6D6380D2}" name="Irrigation method">
      <calculatedColumnFormula array="1">Common_InputFunctions.Utility_DisplayArrayInTable(Common_SourceData.Common_SourceData_EFN2O_Data(), Table_SourceData_Common_EFN2O[[#Headers],[Production system j]], 0)</calculatedColumnFormula>
    </tableColumn>
    <tableColumn id="5" xr3:uid="{2CFFE5DA-1518-4535-899F-2A441D32C48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85A0BD2-14AC-47A4-A7AF-D9C28AEE7B4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46B9AA9-CD98-409A-BD73-434C4F5F1023}" name="Irrigation type i">
      <calculatedColumnFormula array="1">Common_InputFunctions.Utility_DisplayArrayInTable(Common_SourceData.Common_SourceData_FracWETIrrigation_Data(), Table_SourceData_FracWETIrrigation[[#Headers],[Irrigation type i]], 0)</calculatedColumnFormula>
    </tableColumn>
    <tableColumn id="2" xr3:uid="{1D68E429-9D7F-421A-9CCF-668294663360}"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10042AE-3EB0-4D68-898F-6C5816D107E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82EDB4D-37AD-4BC8-9C9A-CC6FEF117D7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672EC2F-8C4B-4AFF-A1E4-BE047C61617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484DE43-0F81-478C-97BA-CC8374389B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EA26847-8B3D-4DF4-8ADE-78E4EC630C5A}" name="Month">
      <calculatedColumnFormula array="1">Common_InputFunctions.Utility_DisplayArrayInTable(Common_SourceData.Common_SourceData_MonthsToSeasons_Data(), Table_SourceData_Common_MonthToSeason[[#Headers],[Month]], 0)</calculatedColumnFormula>
    </tableColumn>
    <tableColumn id="2" xr3:uid="{B705B015-0041-4AD0-9029-1863E16227A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924471B-5177-4414-BE7A-49BBFED20B4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DEEF8A-EC35-471D-89A0-A6BA1F7A54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79B7AC7-3F7E-49D8-B01B-A1C3EB4912C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E4CE2D-2FE2-47DC-B6BD-DE03D82C861E}"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716FB8-8AA0-4D71-9B6C-49CD860DA80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E699B1-A897-4C7C-9053-14F92CB09765}"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C26D90F-586A-4313-9D17-EA3F60F99D2E}"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23E660D-A90B-49D4-AD7B-781A673A8FD5}"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16A1A7-44B7-45E9-91D9-4739F51D9FC6}"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04D1E3F-F230-4E26-9BED-D398A2E5CAA9}"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450748-AF1A-42C8-9336-0130FD209D1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932D931-70D8-448F-80B2-93723DE26EAC}"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5CFC33E-60D4-4A44-8150-8CFDA042CE5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83848-F85A-43D7-819D-147BD613425F}"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3CFBF4-3E47-4442-8228-E9B7F32619AA}"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7D115C9-47BF-454F-BD88-0F416A297DB5}"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1599500-9827-47B6-AFE3-FE282D0DD776}"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7C1E6FA-DC54-45F2-950D-3354F6DA5C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1C74287-9A68-47DF-9071-644BE837B8E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944139-C90F-4A21-812E-0B5FDA4DDA26}"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'5.1.1.1-2 Inorganic fert N2O'!$E$80</f>
        <v>0.1431067</v>
      </c>
      <c r="F9" s="170">
        <f>'5.1.1.1-2 Inorganic fert N2O'!$N$88</f>
        <v>0.1431067</v>
      </c>
      <c r="G9" s="52" t="s">
        <v>101</v>
      </c>
      <c r="H9" s="102">
        <f>'5.1.1.1-2 Inorganic fert N2O'!E85</f>
        <v>37.923275500000003</v>
      </c>
      <c r="I9" s="102">
        <f>'5.1.1.1-2 Inorganic fert N2O'!N93</f>
        <v>37.923275500000003</v>
      </c>
      <c r="J9" s="52" t="s">
        <v>93</v>
      </c>
      <c r="K9" s="22"/>
    </row>
    <row r="10" spans="1:11" ht="20.100000000000001" customHeight="1" x14ac:dyDescent="0.25">
      <c r="A10" s="17"/>
      <c r="C10" s="22"/>
      <c r="D10" s="1" t="s">
        <v>296</v>
      </c>
      <c r="E10" s="170">
        <f>'5.1.1.3-4 Inorganic fert CO2'!$E$78</f>
        <v>7.333333333333333</v>
      </c>
      <c r="F10" s="170">
        <f>E10</f>
        <v>7.333333333333333</v>
      </c>
      <c r="G10" s="52" t="s">
        <v>260</v>
      </c>
      <c r="H10" s="102">
        <f>'5.1.1.3-4 Inorganic fert CO2'!$E$78</f>
        <v>7.333333333333333</v>
      </c>
      <c r="I10" s="102">
        <f>H10</f>
        <v>7.333333333333333</v>
      </c>
      <c r="J10" s="52" t="s">
        <v>93</v>
      </c>
      <c r="K10" s="22"/>
    </row>
    <row r="11" spans="1:11" ht="20.100000000000001" customHeight="1" x14ac:dyDescent="0.25">
      <c r="A11" s="19" t="s">
        <v>69</v>
      </c>
      <c r="C11" s="22"/>
      <c r="D11" s="1" t="s">
        <v>297</v>
      </c>
      <c r="E11" s="170">
        <f>'5.2.1.1-2 Organic Fert N2O'!$E$50</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'5.3.1.1-2 Lime CO2'!$E$31</f>
        <v>75.808333333333337</v>
      </c>
      <c r="F12" s="170">
        <f>E12</f>
        <v>75.808333333333337</v>
      </c>
      <c r="G12" s="52" t="s">
        <v>260</v>
      </c>
      <c r="H12" s="102">
        <f>'5.3.1.1-2 Lime CO2'!$E$31</f>
        <v>75.808333333333337</v>
      </c>
      <c r="I12" s="102">
        <f>H12</f>
        <v>75.808333333333337</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1.5692930000000001E-2</v>
      </c>
      <c r="F13" s="170">
        <f>E13</f>
        <v>1.5692930000000001E-2</v>
      </c>
      <c r="G13" s="52" t="s">
        <v>101</v>
      </c>
      <c r="H13" s="102">
        <f>'5.4.1.1-4 Atmos deposition'!E84 + '5.4.1.1-4 Atmos deposition'!$E$151</f>
        <v>4.1586264499999999</v>
      </c>
      <c r="I13" s="102">
        <f>H13</f>
        <v>4.1586264499999999</v>
      </c>
      <c r="J13" s="52" t="s">
        <v>93</v>
      </c>
      <c r="K13" s="22"/>
    </row>
    <row r="14" spans="1:11" ht="20.100000000000001" customHeight="1" x14ac:dyDescent="0.25">
      <c r="A14" s="17" t="str">
        <f>HYPERLINK("#'5.2.1.1-2 Organic Fert N2O'!A1", "5.2.1.1-2 Organic Fert N2O")</f>
        <v>5.2.1.1-2 Organic Fert N2O</v>
      </c>
      <c r="C14" s="22"/>
      <c r="D14" s="1" t="s">
        <v>300</v>
      </c>
      <c r="E14" s="170">
        <f>'5.5.1.1-2 Leaching and runoff'!$E$94</f>
        <v>5.6917155428571425E-2</v>
      </c>
      <c r="F14" s="170">
        <f>E14</f>
        <v>5.6917155428571425E-2</v>
      </c>
      <c r="G14" s="52" t="s">
        <v>101</v>
      </c>
      <c r="H14" s="102">
        <f>'5.5.1.1-2 Leaching and runoff'!$E$99</f>
        <v>15.083046188571428</v>
      </c>
      <c r="I14" s="102">
        <f>H14</f>
        <v>15.083046188571428</v>
      </c>
      <c r="J14" s="52" t="s">
        <v>93</v>
      </c>
      <c r="K14" s="22"/>
    </row>
    <row r="15" spans="1:11" ht="20.100000000000001" customHeight="1" x14ac:dyDescent="0.3">
      <c r="A15" s="17" t="str">
        <f>HYPERLINK("#'5.3.1.1-2 Lime CO2'!A1", "5.3.1.1-2 Lime CO2")</f>
        <v>5.3.1.1-2 Lime CO2</v>
      </c>
      <c r="C15" s="22"/>
      <c r="D15" s="29" t="s">
        <v>88</v>
      </c>
      <c r="E15" s="23"/>
      <c r="F15" s="23"/>
      <c r="G15" s="29"/>
      <c r="H15" s="103">
        <f>SUM(H9:H14)</f>
        <v>141.78493623380953</v>
      </c>
      <c r="I15" s="103">
        <f>SUM(I9:I14)</f>
        <v>141.78493623380953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E29" sqref="E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opLeftCell="A5" zoomScale="85" zoomScaleNormal="85" workbookViewId="0">
      <selection activeCell="D18" sqref="D18:D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132</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4"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4"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18" t="s">
        <v>2</v>
      </c>
      <c r="D19" s="122" t="s">
        <v>321</v>
      </c>
      <c r="E19" s="123">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4" ht="36" customHeight="1" x14ac:dyDescent="0.25">
      <c r="A20" s="17" t="str">
        <f>HYPERLINK("#'Constants - Fertiliser'!A1", "Constants - Fertiliser")</f>
        <v>Constants - Fertiliser</v>
      </c>
      <c r="D20" s="122" t="s">
        <v>321</v>
      </c>
      <c r="E20" s="123">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4" ht="36" customHeight="1" x14ac:dyDescent="0.25">
      <c r="A21" s="17" t="str">
        <f>HYPERLINK("#'Constants - Common'!A1", "Constants - Common")</f>
        <v>Constants - Common</v>
      </c>
      <c r="D21" s="122" t="s">
        <v>323</v>
      </c>
      <c r="E21" s="123">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4" ht="36" customHeight="1" x14ac:dyDescent="0.25">
      <c r="D22" s="122" t="s">
        <v>322</v>
      </c>
      <c r="E22" s="123">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4"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4" ht="36" customHeight="1" x14ac:dyDescent="0.25">
      <c r="D24" s="131" t="s">
        <v>153</v>
      </c>
      <c r="E24" s="132"/>
      <c r="F24" s="132"/>
      <c r="G24" s="132"/>
      <c r="H24" s="132"/>
      <c r="I24" s="132"/>
      <c r="J24" s="132"/>
      <c r="K24" s="132"/>
      <c r="L24" s="132"/>
      <c r="M24" s="132"/>
      <c r="N24" s="130"/>
      <c r="O24" s="130"/>
      <c r="P24" s="130"/>
      <c r="Q24" s="130"/>
      <c r="R24" s="130"/>
      <c r="S24" s="130"/>
      <c r="T24" s="130"/>
      <c r="V24" s="130"/>
      <c r="W24" s="130"/>
      <c r="X24" s="130"/>
    </row>
    <row r="25" spans="1:24"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V25" s="130"/>
      <c r="W25" s="130"/>
      <c r="X25" s="130"/>
    </row>
    <row r="26" spans="1:24"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0.5</v>
      </c>
      <c r="J26" s="134" t="s">
        <v>316</v>
      </c>
      <c r="K26" s="137">
        <v>0.2</v>
      </c>
      <c r="L26" s="134" t="s">
        <v>157</v>
      </c>
      <c r="M26" s="137">
        <v>0.2</v>
      </c>
      <c r="N26" s="135" t="s">
        <v>158</v>
      </c>
      <c r="O26" s="168">
        <v>0.1</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9"/>
      <c r="R26" s="39"/>
      <c r="T26" s="51"/>
    </row>
    <row r="27" spans="1:24"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c r="W27" s="51"/>
    </row>
    <row r="28" spans="1:24" ht="20.100000000000001" customHeight="1" x14ac:dyDescent="0.25">
      <c r="D28" s="33" t="s">
        <v>325</v>
      </c>
      <c r="E28" s="117">
        <v>100</v>
      </c>
      <c r="F28" s="180">
        <f>$E$9</f>
        <v>100</v>
      </c>
      <c r="G28" s="124">
        <f>Table_Input_InorganicFertiliser_Custom[[#This Row],[Amount applied (kg / ha)]]*Table_Input_InorganicFertiliser_Custom[[#This Row],[Application area (ha)]]</f>
        <v>10000</v>
      </c>
      <c r="H28" s="134" t="s">
        <v>326</v>
      </c>
      <c r="I28" s="169">
        <v>0.5</v>
      </c>
      <c r="J28" s="134"/>
      <c r="K28" s="169"/>
      <c r="L28" s="134"/>
      <c r="M28" s="169"/>
      <c r="N28" s="135"/>
      <c r="O28" s="168"/>
      <c r="P28"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9"/>
      <c r="R28" s="39"/>
    </row>
    <row r="29" spans="1:24" ht="20.100000000000001" customHeight="1" x14ac:dyDescent="0.25">
      <c r="A29" s="17"/>
      <c r="V29" s="51"/>
    </row>
    <row r="30" spans="1:24" ht="20.100000000000001" customHeight="1" x14ac:dyDescent="0.25">
      <c r="A30" s="17"/>
      <c r="D30" s="6" t="s">
        <v>317</v>
      </c>
      <c r="E30" s="3"/>
      <c r="F30" s="3"/>
      <c r="G30" s="3"/>
      <c r="H30" s="3"/>
      <c r="I30" s="3"/>
      <c r="J30" s="3"/>
      <c r="K30" s="22"/>
      <c r="L30" s="22"/>
      <c r="M30" s="22"/>
    </row>
    <row r="31" spans="1:24" ht="20.100000000000001" customHeight="1" x14ac:dyDescent="0.25">
      <c r="A31" s="61"/>
      <c r="D31" s="22"/>
      <c r="E31" s="22"/>
      <c r="F31" s="22"/>
      <c r="G31" s="22"/>
      <c r="H31" s="22"/>
      <c r="I31" s="22"/>
      <c r="J31" s="22"/>
      <c r="K31" s="22"/>
      <c r="L31" s="22"/>
      <c r="M31" s="3"/>
    </row>
    <row r="32" spans="1:24" ht="30" customHeight="1" x14ac:dyDescent="0.25">
      <c r="A32" s="61"/>
      <c r="D32" s="106" t="s">
        <v>187</v>
      </c>
      <c r="E32" s="85"/>
      <c r="F32" s="81"/>
      <c r="G32" s="106"/>
      <c r="H32" s="81"/>
      <c r="I32" s="3"/>
      <c r="J32" s="3"/>
      <c r="K32" s="22"/>
      <c r="L32" s="22"/>
      <c r="M32" s="22"/>
    </row>
    <row r="33" spans="1:25" ht="36" customHeight="1" x14ac:dyDescent="0.25">
      <c r="A33" s="17"/>
      <c r="D33" s="161" t="s">
        <v>188</v>
      </c>
      <c r="E33" s="162"/>
      <c r="F33" s="163"/>
      <c r="G33" s="161"/>
      <c r="H33" s="163"/>
      <c r="I33" s="22"/>
      <c r="J33" s="22"/>
      <c r="K33" s="22"/>
      <c r="L33" s="22"/>
      <c r="M33" s="3"/>
    </row>
    <row r="34" spans="1:25" ht="36" customHeight="1" x14ac:dyDescent="0.25">
      <c r="D34" s="87" t="s">
        <v>148</v>
      </c>
      <c r="E34" s="84"/>
      <c r="F34" s="84"/>
      <c r="G34" s="84"/>
      <c r="H34" s="82"/>
      <c r="I34" s="22"/>
      <c r="J34" s="22"/>
      <c r="K34" s="22"/>
      <c r="L34" s="22"/>
      <c r="M34" s="3"/>
    </row>
    <row r="35" spans="1:25" ht="36" customHeight="1" x14ac:dyDescent="0.25">
      <c r="D35" s="99" t="str">
        <f>IF(MAX(Table_Input_Lime[Total]) &gt; 1, "There can not be more than 100% ingredients in a product. Check the table below.", "")</f>
        <v/>
      </c>
    </row>
    <row r="36" spans="1:25" ht="36" customHeight="1" x14ac:dyDescent="0.25">
      <c r="D36" s="140" t="s">
        <v>114</v>
      </c>
      <c r="E36" s="140" t="s">
        <v>189</v>
      </c>
      <c r="F36" s="140" t="s">
        <v>151</v>
      </c>
      <c r="G36" s="140" t="s">
        <v>190</v>
      </c>
      <c r="H36" s="140" t="s">
        <v>191</v>
      </c>
      <c r="I36" s="140" t="s">
        <v>192</v>
      </c>
      <c r="J36" s="140" t="s">
        <v>193</v>
      </c>
      <c r="K36" s="140" t="s">
        <v>88</v>
      </c>
    </row>
    <row r="37" spans="1:25" ht="20.100000000000001" customHeight="1" x14ac:dyDescent="0.25">
      <c r="D37" s="141" t="s">
        <v>264</v>
      </c>
      <c r="E37" s="123">
        <v>1</v>
      </c>
      <c r="F37" s="123">
        <f>$E$9</f>
        <v>100</v>
      </c>
      <c r="G37" s="124">
        <f>IFERROR(Table_Input_Lime[[#This Row],[Amount applied (t/hectare)]]*Table_Input_Lime[[#This Row],[Application area (ha)]], 0)</f>
        <v>100</v>
      </c>
      <c r="H37" s="142">
        <v>0.8</v>
      </c>
      <c r="I37" s="142">
        <v>0.1</v>
      </c>
      <c r="J37" s="142">
        <v>0.1</v>
      </c>
      <c r="K37" s="164">
        <f>SUM(Table_Input_Lime[[#This Row],[Percent Lime CaCO3]:[Percent Gypsum]])</f>
        <v>1</v>
      </c>
    </row>
    <row r="38" spans="1:25" ht="20.100000000000001" customHeight="1" x14ac:dyDescent="0.25">
      <c r="C38" s="130"/>
      <c r="D38" s="141" t="s">
        <v>265</v>
      </c>
      <c r="E38" s="123">
        <v>1</v>
      </c>
      <c r="F38" s="123">
        <f>$E$9</f>
        <v>100</v>
      </c>
      <c r="G38" s="124">
        <f>IFERROR(Table_Input_Lime[[#This Row],[Amount applied (t/hectare)]]*Table_Input_Lime[[#This Row],[Application area (ha)]], 0)</f>
        <v>100</v>
      </c>
      <c r="H38" s="142">
        <v>1</v>
      </c>
      <c r="I38" s="142"/>
      <c r="J38" s="142"/>
      <c r="K38" s="164">
        <f>SUM(Table_Input_Lime[[#This Row],[Percent Lime CaCO3]:[Percent Gypsum]])</f>
        <v>1</v>
      </c>
      <c r="L38" s="3"/>
    </row>
    <row r="39" spans="1:25" ht="20.100000000000001" customHeight="1" x14ac:dyDescent="0.25">
      <c r="A39" s="17"/>
      <c r="C39" s="130"/>
      <c r="D39" s="141" t="s">
        <v>327</v>
      </c>
      <c r="E39" s="123">
        <v>1</v>
      </c>
      <c r="F39" s="123">
        <f>$E$9</f>
        <v>100</v>
      </c>
      <c r="G39" s="124">
        <f>IFERROR(Table_Input_Lime[[#This Row],[Amount applied (t/hectare)]]*Table_Input_Lime[[#This Row],[Application area (ha)]], 0)</f>
        <v>100</v>
      </c>
      <c r="H39" s="142">
        <v>0</v>
      </c>
      <c r="I39" s="142"/>
      <c r="J39" s="142">
        <v>1</v>
      </c>
      <c r="K39" s="164">
        <f>SUM(Table_Input_Lime[[#This Row],[Percent Lime CaCO3]:[Percent Gypsum]])</f>
        <v>1</v>
      </c>
      <c r="L39" s="3"/>
      <c r="M39" s="3"/>
    </row>
    <row r="40" spans="1:25" s="133" customFormat="1" ht="20.100000000000001" customHeight="1" x14ac:dyDescent="0.25">
      <c r="C40" s="1"/>
      <c r="D40" s="22"/>
      <c r="E40" s="22"/>
      <c r="F40" s="22"/>
      <c r="G40" s="22"/>
      <c r="H40" s="22"/>
      <c r="I40" s="22"/>
      <c r="J40" s="22"/>
      <c r="K40" s="1"/>
      <c r="L40" s="22"/>
      <c r="M40" s="3"/>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139"/>
      <c r="K41" s="3"/>
      <c r="L41" s="22"/>
      <c r="M41" s="22"/>
      <c r="N41" s="1"/>
      <c r="O41" s="1"/>
      <c r="P41" s="1"/>
      <c r="Q41" s="1"/>
      <c r="R41" s="1"/>
      <c r="S41" s="1"/>
      <c r="T41" s="1"/>
      <c r="U41" s="1"/>
      <c r="V41" s="1"/>
      <c r="W41" s="1"/>
      <c r="X41" s="1"/>
      <c r="Y41" s="1"/>
    </row>
    <row r="42" spans="1:25" ht="30" customHeight="1" x14ac:dyDescent="0.25">
      <c r="D42" s="6" t="s">
        <v>194</v>
      </c>
      <c r="E42" s="3"/>
      <c r="F42" s="3"/>
      <c r="G42" s="3"/>
      <c r="H42" s="22"/>
      <c r="I42" s="22"/>
      <c r="J42" s="22"/>
      <c r="K42" s="22"/>
      <c r="L42" s="22"/>
      <c r="M42" s="22"/>
      <c r="S42" s="130"/>
    </row>
    <row r="43" spans="1:25" ht="36" customHeight="1" x14ac:dyDescent="0.25">
      <c r="D43" s="22"/>
      <c r="E43" s="22"/>
      <c r="F43" s="22"/>
      <c r="G43" s="22"/>
      <c r="H43" s="22"/>
      <c r="I43" s="22"/>
      <c r="J43" s="22"/>
      <c r="K43" s="22"/>
      <c r="L43" s="22"/>
      <c r="M43" s="22"/>
      <c r="Q43" s="130"/>
      <c r="R43" s="130"/>
      <c r="S43" s="130"/>
    </row>
    <row r="44" spans="1:25" ht="36" customHeight="1" x14ac:dyDescent="0.25">
      <c r="A44" s="157" t="str">
        <f>HYPERLINK("#A1", "▲ Back to top")</f>
        <v>▲ Back to top</v>
      </c>
      <c r="D44" s="106" t="s">
        <v>187</v>
      </c>
      <c r="E44" s="85"/>
      <c r="F44" s="85"/>
      <c r="G44" s="85"/>
      <c r="H44" s="81"/>
      <c r="I44" s="22"/>
      <c r="J44" s="22"/>
      <c r="K44" s="22"/>
      <c r="L44" s="22"/>
      <c r="M44" s="22"/>
      <c r="O44" s="130"/>
      <c r="P44" s="130"/>
      <c r="Q44" s="130"/>
      <c r="R44" s="130"/>
    </row>
    <row r="45" spans="1:25" ht="36" customHeight="1" x14ac:dyDescent="0.25">
      <c r="D45" s="87" t="s">
        <v>148</v>
      </c>
      <c r="E45" s="84"/>
      <c r="F45" s="84"/>
      <c r="G45" s="84"/>
      <c r="H45" s="82"/>
      <c r="I45" s="22"/>
      <c r="J45" s="22"/>
      <c r="K45" s="22"/>
      <c r="L45" s="132"/>
      <c r="M45" s="130"/>
      <c r="N45" s="130"/>
      <c r="O45" s="130"/>
      <c r="P45" s="130"/>
    </row>
    <row r="46" spans="1:25" ht="36" customHeight="1" x14ac:dyDescent="0.25">
      <c r="D46" s="22"/>
      <c r="E46" s="22"/>
      <c r="F46" s="22"/>
      <c r="G46" s="22"/>
      <c r="H46" s="22"/>
      <c r="I46" s="22"/>
      <c r="J46" s="22"/>
      <c r="K46" s="22"/>
      <c r="L46" s="132"/>
      <c r="M46" s="130"/>
      <c r="N46" s="130"/>
    </row>
    <row r="47" spans="1:25" ht="20.100000000000001" customHeight="1" x14ac:dyDescent="0.25">
      <c r="D47" s="140" t="s">
        <v>195</v>
      </c>
      <c r="E47" s="140" t="s">
        <v>196</v>
      </c>
      <c r="F47" s="140" t="s">
        <v>197</v>
      </c>
      <c r="G47" s="140" t="s">
        <v>198</v>
      </c>
      <c r="H47" s="140" t="s">
        <v>151</v>
      </c>
      <c r="I47" s="140" t="s">
        <v>199</v>
      </c>
      <c r="J47" s="140" t="s">
        <v>200</v>
      </c>
      <c r="K47" s="132"/>
    </row>
    <row r="48" spans="1:25" ht="20.100000000000001" customHeight="1" x14ac:dyDescent="0.25">
      <c r="D48" s="122" t="s">
        <v>241</v>
      </c>
      <c r="E48" s="142">
        <v>0.3</v>
      </c>
      <c r="F48" s="123">
        <v>10</v>
      </c>
      <c r="G48" s="124">
        <f>Table_Input_OrganicFertiliser[[#This Row],[Amount applied (kg/hectare)]]*Table_Input_OrganicFertiliser[[#This Row],[Percentage of N in fertiliser]]</f>
        <v>3</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300</v>
      </c>
      <c r="K48" s="132"/>
    </row>
    <row r="49" spans="4:10" ht="20.100000000000001" customHeight="1" x14ac:dyDescent="0.25">
      <c r="D49" s="122" t="s">
        <v>239</v>
      </c>
      <c r="E49" s="142">
        <v>0.25</v>
      </c>
      <c r="F49" s="123">
        <v>10</v>
      </c>
      <c r="G49" s="124">
        <f>Table_Input_OrganicFertiliser[[#This Row],[Amount applied (kg/hectare)]]*Table_Input_OrganicFertiliser[[#This Row],[Percentage of N in fertiliser]]</f>
        <v>2.5</v>
      </c>
      <c r="H49" s="123">
        <f>$E$9</f>
        <v>100</v>
      </c>
      <c r="I49" s="124">
        <f>Table_Input_OrganicFertiliser[[#This Row],[Amount applied (kg/hectare)]]*Table_Input_OrganicFertiliser[[#This Row],[Application area (ha)]]</f>
        <v>1000</v>
      </c>
      <c r="J49" s="124">
        <f>IFERROR(Table_Input_OrganicFertiliser[[#This Row],[Amount N applied (kg/hectare)]]*Table_Input_OrganicFertiliser[[#This Row],[Application area (ha)]], 0)</f>
        <v>250</v>
      </c>
    </row>
    <row r="50" spans="4:10" ht="20.100000000000001" customHeight="1" x14ac:dyDescent="0.25">
      <c r="D50" s="122" t="s">
        <v>242</v>
      </c>
      <c r="E50" s="142">
        <v>0.16</v>
      </c>
      <c r="F50" s="123">
        <v>10</v>
      </c>
      <c r="G50" s="124">
        <f>Table_Input_OrganicFertiliser[[#This Row],[Amount applied (kg/hectare)]]*Table_Input_OrganicFertiliser[[#This Row],[Percentage of N in fertiliser]]</f>
        <v>1.6</v>
      </c>
      <c r="H50" s="123">
        <f>$E$9</f>
        <v>100</v>
      </c>
      <c r="I50" s="124">
        <f>Table_Input_OrganicFertiliser[[#This Row],[Amount applied (kg/hectare)]]*Table_Input_OrganicFertiliser[[#This Row],[Application area (ha)]]</f>
        <v>1000</v>
      </c>
      <c r="J50" s="12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9"/>
    </row>
  </sheetData>
  <conditionalFormatting sqref="F52 L186 K188 L190:L191 K192:K193 L194:L195 K196:K197 L200:L201 K202:K203 L204:L205 K206:K207 L211:L216 K213">
    <cfRule type="cellIs" dxfId="27" priority="62" operator="lessThan">
      <formula>0</formula>
    </cfRule>
  </conditionalFormatting>
  <conditionalFormatting sqref="F155:F156">
    <cfRule type="cellIs" dxfId="26" priority="19" operator="lessThan">
      <formula>0</formula>
    </cfRule>
  </conditionalFormatting>
  <conditionalFormatting sqref="F167:F168">
    <cfRule type="cellIs" dxfId="25" priority="18" operator="lessThan">
      <formula>0</formula>
    </cfRule>
  </conditionalFormatting>
  <conditionalFormatting sqref="F255:F256">
    <cfRule type="cellIs" dxfId="24" priority="93" operator="lessThan">
      <formula>0</formula>
    </cfRule>
  </conditionalFormatting>
  <conditionalFormatting sqref="F260:F261">
    <cfRule type="cellIs" dxfId="23" priority="92" operator="lessThan">
      <formula>0</formula>
    </cfRule>
  </conditionalFormatting>
  <conditionalFormatting sqref="F265:F266">
    <cfRule type="cellIs" dxfId="22" priority="91" operator="lessThan">
      <formula>0</formula>
    </cfRule>
  </conditionalFormatting>
  <conditionalFormatting sqref="F289:F290">
    <cfRule type="cellIs" dxfId="21" priority="85" operator="lessThan">
      <formula>0</formula>
    </cfRule>
  </conditionalFormatting>
  <conditionalFormatting sqref="F294:F295">
    <cfRule type="cellIs" dxfId="20" priority="84" operator="lessThan">
      <formula>0</formula>
    </cfRule>
  </conditionalFormatting>
  <conditionalFormatting sqref="F299:F300">
    <cfRule type="cellIs" dxfId="19" priority="83" operator="lessThan">
      <formula>0</formula>
    </cfRule>
  </conditionalFormatting>
  <conditionalFormatting sqref="H47:H50 F131:F132">
    <cfRule type="cellIs" dxfId="18"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79" operator="lessThan">
      <formula>0</formula>
    </cfRule>
  </conditionalFormatting>
  <conditionalFormatting sqref="I36:I41 F143:F144">
    <cfRule type="cellIs" dxfId="16" priority="20" operator="lessThan">
      <formula>0</formula>
    </cfRule>
  </conditionalFormatting>
  <conditionalFormatting sqref="I62:I66">
    <cfRule type="cellIs" dxfId="15" priority="5"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G77" sqref="G7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4117.5</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775</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2">Table_Input_InorganicFertiliser_Custom[Custom blend name]</f>
        <v>My first custom blend</v>
      </c>
      <c r="O50" s="50" cm="1">
        <f t="array" ref="O50:O52">Table_Input_InorganicFertiliser_Custom[N application rate (kg/ha)]</f>
        <v>7.75</v>
      </c>
      <c r="P50" s="50" cm="1">
        <f t="array" ref="P50:P52">Table_Input_InorganicFertiliser_Custom[Application area (ha)]</f>
        <v>100</v>
      </c>
      <c r="Q50" s="50">
        <f t="shared" si="2"/>
        <v>775</v>
      </c>
      <c r="R50" s="50" cm="1">
        <f t="array" ref="R50">IF(O50&gt;0, Fertiliser_Equations_InorganicN2O.VEERG_5_1_1_2__1_EmissionFactorIrrigatedMaize(O50), 0)</f>
        <v>-1.00125E-3</v>
      </c>
      <c r="S50" s="50" cm="1">
        <f t="array" ref="S50">IF(O50&gt;0, Fertiliser_Equations_InorganicN2O.VEERG_5_1_1_2__2_EmissionFactorNonIrrigatedGrainsHighRainfall(O50), 0)</f>
        <v>1.36225E-3</v>
      </c>
      <c r="T50" s="50">
        <f t="shared" si="0"/>
        <v>7.75</v>
      </c>
      <c r="U50" s="50">
        <f t="shared" si="1"/>
        <v>775</v>
      </c>
      <c r="V50" s="50" cm="1">
        <f t="array" ref="V50">IF(O50&gt;0, Fertiliser_Equations_InorganicN2O.VEERG_5_1_1_2__3_EmissionFactorCotton(T50), 0)</f>
        <v>2.9029995329592254E-5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X_Cell_Fertiliser_ProductionSystem</f>
        <v>Crop</v>
      </c>
      <c r="M52" s="50" t="s">
        <v>175</v>
      </c>
      <c r="N52" s="50" t="str">
        <v>My third custom blend</v>
      </c>
      <c r="O52" s="50">
        <v>41.174999999999997</v>
      </c>
      <c r="P52" s="50">
        <v>100</v>
      </c>
      <c r="Q52" s="50">
        <f t="shared" si="2"/>
        <v>4117.5</v>
      </c>
      <c r="R52" s="50" cm="1">
        <f t="array" ref="R52">IF(O52&gt;0, Fertiliser_Equations_InorganicN2O.VEERG_5_1_1_2__1_EmissionFactorIrrigatedMaize(O52), 0)</f>
        <v>1.0376749999999998E-3</v>
      </c>
      <c r="S52" s="50" cm="1">
        <f t="array" ref="S52">IF(O52&gt;0, Fertiliser_Equations_InorganicN2O.VEERG_5_1_1_2__2_EmissionFactorNonIrrigatedGrainsHighRainfall(O52), 0)</f>
        <v>3.8691250000000002E-3</v>
      </c>
      <c r="T52" s="50">
        <f t="shared" si="0"/>
        <v>41.174999999999997</v>
      </c>
      <c r="U52" s="50">
        <f t="shared" si="1"/>
        <v>4117.5</v>
      </c>
      <c r="V52" s="50" cm="1">
        <f t="array" ref="V52">IF(O52&gt;0, Fertiliser_Equations_InorganicN2O.VEERG_5_1_1_2__3_EmissionFactorCotton(T52), 0)</f>
        <v>2.9061000580963132E-5</v>
      </c>
      <c r="W52" s="5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X_Cell_Fertiliser_IrrigationMethod</f>
        <v>Sprinkler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X_Cell_Site_RainfallZone</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2.1779999999999997E-2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1.6909200000000003E-2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X_Cell_Fertiliser_ProductionSystem</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X_Cell_Fertiliser_CropType</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X_Cell_Fertiliser_IrrigationMethod</f>
        <v>Sprinkler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X_Cell_Site_RainfallZone</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4.5292500000000006E-2</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8.5250000000000013E-3</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0.1431067</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0.1431067</v>
      </c>
      <c r="M82" s="50" t="s">
        <v>175</v>
      </c>
      <c r="N82" s="50" t="str" cm="1">
        <f t="array" ref="N82:N84">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8.5250000000000013E-3</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t="str">
        <v>My third custom blend</v>
      </c>
      <c r="O84" s="50" cm="1">
        <f t="array" ref="O84">_xlfn.XLOOKUP(N84,$N$45:$N$54,_xlfn.XLOOKUP($S$68,$R$44:$W$44,$R$45:$W$54))</f>
        <v>7.0000000000000001E-3</v>
      </c>
      <c r="P84" s="50" cm="1">
        <f t="array" ref="P84">Fertiliser_Equations_InorganicN2O.VEERG_5_1_1_1__1_InorganicFertiliserApplicationN2OEmissions(Q52,O84,$S$69)</f>
        <v>4.5292500000000006E-2</v>
      </c>
    </row>
    <row r="85" spans="1:16" ht="20.100000000000001" customHeight="1" x14ac:dyDescent="0.25">
      <c r="D85" s="44" t="s">
        <v>79</v>
      </c>
      <c r="E85" s="44" cm="1">
        <f t="array" ref="E85">Common_Equations.Common_ConvertN2OToCO2e(G82,G83)</f>
        <v>37.923275500000003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0.1431067</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0.1431067</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37.923275500000003</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workbookViewId="0">
      <selection activeCell="I53" sqref="I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X_Cell_Fertiliser_ProductionSystem</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workbookViewId="0">
      <selection activeCell="K49" sqref="K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X_Cell_Fertiliser_ProductionSystem</f>
        <v>Crop</v>
      </c>
    </row>
    <row r="48" spans="1:12" ht="20.100000000000001" customHeight="1" x14ac:dyDescent="0.25">
      <c r="D48" s="147" t="str">
        <v>i</v>
      </c>
      <c r="E48" s="154" t="str">
        <v>Wet or dry climate zone</v>
      </c>
      <c r="F48" s="155"/>
      <c r="G48" s="155"/>
      <c r="H48" s="153"/>
      <c r="I48" s="147" t="str">
        <v/>
      </c>
      <c r="J48" s="120" t="str">
        <v>Input</v>
      </c>
      <c r="K48" s="147" t="str">
        <f>X_Cell_Site_WetOrDryClimateZone</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workbookViewId="0">
      <selection activeCell="H25" sqref="H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12" t="s">
        <v>254</v>
      </c>
      <c r="E24" s="112" t="s">
        <v>255</v>
      </c>
      <c r="F24" s="112" t="s">
        <v>256</v>
      </c>
      <c r="G24" s="112" t="s">
        <v>257</v>
      </c>
      <c r="H24" s="49" t="s">
        <v>258</v>
      </c>
    </row>
    <row r="25" spans="1:9" ht="20.100000000000001" customHeight="1" x14ac:dyDescent="0.25">
      <c r="D25" s="50" t="str" cm="1">
        <f t="array" ref="D25:D27">Table_Input_Lime[Product]</f>
        <v>Lime product 1</v>
      </c>
      <c r="E25" s="158" cm="1">
        <f t="array" ref="E25:E27">Table_Input_Lime[Total amount applied (t)]*10^3</f>
        <v>100000</v>
      </c>
      <c r="F25" s="159" cm="1">
        <f t="array" ref="F25:F27">Table_Input_Lime[Percent Lime CaCO3]</f>
        <v>0.8</v>
      </c>
      <c r="G25" s="159" cm="1">
        <f t="array" ref="G25:G27">Table_Input_Lime[Percent Dolomite CaMg(CO3)2]</f>
        <v>0.1</v>
      </c>
      <c r="H25" s="50" cm="1">
        <f t="array" ref="H25">Fertiliser_Equations_Lime.VEERG_5_3_1_1__1_LimeApplicationCO2Emissions(E25,F25,$I$15,$I$16,G25,$I$18,$I$19,$I$20)</f>
        <v>36.208333333333329</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t="str">
        <v>Lime product 3</v>
      </c>
      <c r="E27" s="50">
        <v>100000</v>
      </c>
      <c r="F27" s="50">
        <v>0</v>
      </c>
      <c r="G27" s="50">
        <v>0</v>
      </c>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5">
        <f>SUM(H25:H29)</f>
        <v>75.808333333333337</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37" zoomScale="85" zoomScaleNormal="85" workbookViewId="0">
      <selection activeCell="I133" sqref="I13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'5.1.1.1-2 Inorganic fert N2O'!G19</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'5.1.1.1-2 Inorganic fert N2O'!G20</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'5.1.1.1-2 Inorganic fert N2O'!G21</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'5.1.1.1-2 Inorganic fert N2O'!G22</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'5.1.1.1-2 Inorganic fert N2O'!G23</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'5.1.1.1-2 Inorganic fert N2O'!G24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'5.1.1.1-2 Inorganic fert N2O'!G25</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'5.1.1.1-2 Inorganic fert N2O'!G26</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'5.1.1.1-2 Inorganic fert N2O'!G27</f>
        <v>1980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19.8</v>
      </c>
    </row>
    <row r="28" spans="1:8" ht="20.100000000000001" customHeight="1" x14ac:dyDescent="0.25">
      <c r="D28" s="50" t="str">
        <v>Nitrogen - Generic</v>
      </c>
      <c r="E28" s="50">
        <f>'5.1.1.1-2 Inorganic fert N2O'!G28</f>
        <v>1537.2</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230.57999999999998</v>
      </c>
    </row>
    <row r="29" spans="1:8" ht="20.100000000000001" customHeight="1" x14ac:dyDescent="0.25">
      <c r="D29" s="50" t="str">
        <v>Phosphorus - Generic</v>
      </c>
      <c r="E29" s="50">
        <f>'5.1.1.1-2 Inorganic fert N2O'!G29</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'5.1.1.1-2 Inorganic fert N2O'!G30</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'5.1.1.1-2 Inorganic fert N2O'!G31</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'5.1.1.1-2 Inorganic fert N2O'!G32</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'5.1.1.1-2 Inorganic fert N2O'!G33</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'5.1.1.1-2 Inorganic fert N2O'!G34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'5.1.1.1-2 Inorganic fert N2O'!G35</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'5.1.1.1-2 Inorganic fert N2O'!G36</f>
        <v>4117.5</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329.40000000000003</v>
      </c>
    </row>
    <row r="37" spans="1:12" ht="20.100000000000001" customHeight="1" x14ac:dyDescent="0.25">
      <c r="D37" s="50" t="str">
        <v>Calcium nitrate</v>
      </c>
      <c r="E37" s="50">
        <f>'5.1.1.1-2 Inorganic fert N2O'!G37</f>
        <v>775</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X_Cell_Fertiliser_ProductionSystem</f>
        <v>Crop</v>
      </c>
    </row>
    <row r="53" spans="1:10" ht="20.100000000000001" customHeight="1" x14ac:dyDescent="0.25">
      <c r="D53" s="147" t="str">
        <v>ir</v>
      </c>
      <c r="E53" s="154" t="str">
        <v>irrigation method</v>
      </c>
      <c r="F53" s="155"/>
      <c r="G53" s="153"/>
      <c r="H53" s="147" t="str">
        <v/>
      </c>
      <c r="I53" s="120" t="str">
        <v>Input</v>
      </c>
      <c r="J53" s="147" t="str">
        <f>X_Cell_Fertiliser_IrrigationMethod</f>
        <v>Sprinkler irrigation</v>
      </c>
    </row>
    <row r="54" spans="1:10" ht="20.100000000000001" customHeight="1" x14ac:dyDescent="0.25">
      <c r="D54" s="147" t="str">
        <v>r</v>
      </c>
      <c r="E54" s="154" t="str">
        <v>rainfall region</v>
      </c>
      <c r="F54" s="155"/>
      <c r="G54" s="153"/>
      <c r="H54" s="147" t="str">
        <v/>
      </c>
      <c r="I54" s="120" t="str">
        <v>Input</v>
      </c>
      <c r="J54" s="147" t="str">
        <f>X_Cell_Site_RainfallZone</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19.8</v>
      </c>
      <c r="F67" s="50" cm="1">
        <f t="array" ref="F67">Fertiliser_Equations_AtmosphericDeposition.VEERG_5_4_1_1__1_InorganicFertiliserAtmosphericDepositionN2OEmissions(E67,$J$50,$J$51)</f>
        <v>2.1780000000000001E-4</v>
      </c>
    </row>
    <row r="68" spans="4:6" ht="20.100000000000001" customHeight="1" x14ac:dyDescent="0.25">
      <c r="D68" s="50" t="str">
        <v>Nitrogen - Generic</v>
      </c>
      <c r="E68" s="50">
        <f t="shared" si="0"/>
        <v>230.57999999999998</v>
      </c>
      <c r="F68" s="50" cm="1">
        <f t="array" ref="F68">Fertiliser_Equations_AtmosphericDeposition.VEERG_5_4_1_1__1_InorganicFertiliserAtmosphericDepositionN2OEmissions(E68,$J$50,$J$51)</f>
        <v>2.53638E-3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329.40000000000003</v>
      </c>
      <c r="F76" s="50" cm="1">
        <f t="array" ref="F76">Fertiliser_Equations_AtmosphericDeposition.VEERG_5_4_1_1__1_InorganicFertiliserAtmosphericDepositionN2OEmissions(E76,$J$50,$J$51)</f>
        <v>3.6234000000000001E-3</v>
      </c>
    </row>
    <row r="77" spans="4:6" ht="20.100000000000001" customHeight="1" x14ac:dyDescent="0.25">
      <c r="D77" s="50" t="str">
        <v>Calcium nitrate</v>
      </c>
      <c r="E77" s="50">
        <f t="shared" si="0"/>
        <v>7.75</v>
      </c>
      <c r="F77" s="5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4" t="s">
        <v>278</v>
      </c>
      <c r="E79" s="95">
        <f>SUM(F59:F77)</f>
        <v>1.4052830000000001E-2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1.4052830000000001E-2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3.7239999500000001</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'5.2.1.1-2 Organic Fert N2O'!I20</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'5.2.1.1-2 Organic Fert N2O'!I21</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'5.2.1.1-2 Organic Fert N2O'!I22</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X_Cell_Fertiliser_ProductionSystem</f>
        <v>Crop</v>
      </c>
    </row>
    <row r="128" spans="3:12" ht="20.100000000000001" customHeight="1" x14ac:dyDescent="0.25">
      <c r="D128" s="147" t="str">
        <v>ir</v>
      </c>
      <c r="E128" s="154" t="str">
        <v>irrigation method</v>
      </c>
      <c r="F128" s="153"/>
      <c r="G128" s="147" t="str">
        <v/>
      </c>
      <c r="H128" s="120" t="str">
        <v>Input</v>
      </c>
      <c r="I128" s="147" t="str">
        <f>X_Cell_Fertiliser_IrrigationMethod</f>
        <v>Sprinkler irrigation</v>
      </c>
    </row>
    <row r="129" spans="4:9" ht="20.100000000000001" customHeight="1" x14ac:dyDescent="0.25">
      <c r="D129" s="147" t="str">
        <v>r</v>
      </c>
      <c r="E129" s="154" t="str">
        <v>rainfall region</v>
      </c>
      <c r="F129" s="153"/>
      <c r="G129" s="147" t="str">
        <v/>
      </c>
      <c r="H129" s="120" t="str">
        <v>Input</v>
      </c>
      <c r="I129" s="147" t="str">
        <f>X_Cell_Site_RainfallZone</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abSelected="1" topLeftCell="A17" zoomScaleNormal="100" workbookViewId="0">
      <selection activeCell="D65" sqref="D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X_Cell_Site_LeachingZone</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X_Cell_Fertiliser_ProductionSystem</f>
        <v>Crop</v>
      </c>
    </row>
    <row r="18" spans="1:9" ht="20.100000000000001" customHeight="1" x14ac:dyDescent="0.25">
      <c r="D18" s="147" t="str">
        <v>ir</v>
      </c>
      <c r="E18" s="154" t="str">
        <v>irrigation method</v>
      </c>
      <c r="F18" s="153"/>
      <c r="G18" s="147" t="str">
        <v/>
      </c>
      <c r="H18" s="120" t="str">
        <v>Input</v>
      </c>
      <c r="I18" s="147" t="str">
        <f>X_Cell_Fertiliser_IrrigationMethod</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'5.1.1.1-2 Inorganic fert N2O'!G19</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'5.1.1.1-2 Inorganic fert N2O'!G20</f>
        <v>0</v>
      </c>
      <c r="F24" s="50" cm="1">
        <f t="array" ref="F24">Fertiliser_Equations_LeachingAndRunoff.VEERG_5_5_1_1__2_MassOfNitrogenLeachedFromInorganicFertiliser(E24, $I$14, $I$15)</f>
        <v>0</v>
      </c>
    </row>
    <row r="25" spans="1:9" ht="20.100000000000001" customHeight="1" x14ac:dyDescent="0.25">
      <c r="D25" s="50" t="str">
        <v>Urea</v>
      </c>
      <c r="E25" s="50">
        <f>'5.1.1.1-2 Inorganic fert N2O'!G21</f>
        <v>4600</v>
      </c>
      <c r="F25" s="50" cm="1">
        <f t="array" ref="F25">Fertiliser_Equations_LeachingAndRunoff.VEERG_5_5_1_1__2_MassOfNitrogenLeachedFromInorganicFertiliser(E25, $I$14, $I$15)</f>
        <v>1104</v>
      </c>
    </row>
    <row r="26" spans="1:9" ht="20.100000000000001" customHeight="1" x14ac:dyDescent="0.25">
      <c r="D26" s="50" t="str">
        <v>Sulphate of ammonia (SOA)</v>
      </c>
      <c r="E26" s="50">
        <f>'5.1.1.1-2 Inorganic fert N2O'!G22</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'5.1.1.1-2 Inorganic fert N2O'!G23</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'5.1.1.1-2 Inorganic fert N2O'!G24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'5.1.1.1-2 Inorganic fert N2O'!G25</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'5.1.1.1-2 Inorganic fert N2O'!G26</f>
        <v>0</v>
      </c>
      <c r="F30" s="50" cm="1">
        <f t="array" ref="F30">Fertiliser_Equations_LeachingAndRunoff.VEERG_5_5_1_1__2_MassOfNitrogenLeachedFromInorganicFertiliser(E30, $I$14, $I$15)</f>
        <v>0</v>
      </c>
    </row>
    <row r="31" spans="1:9" ht="20.100000000000001" customHeight="1" x14ac:dyDescent="0.25">
      <c r="D31" s="50" t="str">
        <v>Nitrogen - Nitrate</v>
      </c>
      <c r="E31" s="50">
        <f>'5.1.1.1-2 Inorganic fert N2O'!G27</f>
        <v>1980</v>
      </c>
      <c r="F31" s="50" cm="1">
        <f t="array" ref="F31">Fertiliser_Equations_LeachingAndRunoff.VEERG_5_5_1_1__2_MassOfNitrogenLeachedFromInorganicFertiliser(E31, $I$14, $I$15)</f>
        <v>475.2</v>
      </c>
    </row>
    <row r="32" spans="1:9" ht="20.100000000000001" customHeight="1" x14ac:dyDescent="0.25">
      <c r="D32" s="50" t="str">
        <v>Nitrogen - Generic</v>
      </c>
      <c r="E32" s="50">
        <f>'5.1.1.1-2 Inorganic fert N2O'!G28</f>
        <v>1537.2</v>
      </c>
      <c r="F32" s="50" cm="1">
        <f t="array" ref="F32">Fertiliser_Equations_LeachingAndRunoff.VEERG_5_5_1_1__2_MassOfNitrogenLeachedFromInorganicFertiliser(E32, $I$14, $I$15)</f>
        <v>368.928</v>
      </c>
    </row>
    <row r="33" spans="1:11" ht="20.100000000000001" customHeight="1" x14ac:dyDescent="0.25">
      <c r="D33" s="50" t="str">
        <v>Phosphorus - Generic</v>
      </c>
      <c r="E33" s="50">
        <f>'5.1.1.1-2 Inorganic fert N2O'!G29</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'5.1.1.1-2 Inorganic fert N2O'!G30</f>
        <v>0</v>
      </c>
      <c r="F34" s="50" cm="1">
        <f t="array" ref="F34">Fertiliser_Equations_LeachingAndRunoff.VEERG_5_5_1_1__2_MassOfNitrogenLeachedFromInorganicFertiliser(E34, $I$14, $I$15)</f>
        <v>0</v>
      </c>
    </row>
    <row r="35" spans="1:11" ht="20.100000000000001" customHeight="1" x14ac:dyDescent="0.25">
      <c r="D35" s="50" t="str">
        <v>Sulfur - Generic</v>
      </c>
      <c r="E35" s="50">
        <f>'5.1.1.1-2 Inorganic fert N2O'!G31</f>
        <v>0</v>
      </c>
      <c r="F35" s="50" cm="1">
        <f t="array" ref="F35">Fertiliser_Equations_LeachingAndRunoff.VEERG_5_5_1_1__2_MassOfNitrogenLeachedFromInorganicFertiliser(E35, $I$14, $I$15)</f>
        <v>0</v>
      </c>
    </row>
    <row r="36" spans="1:11" ht="20.100000000000001" customHeight="1" x14ac:dyDescent="0.25">
      <c r="D36" s="50" t="str">
        <v>Zinc - Generic</v>
      </c>
      <c r="E36" s="50">
        <f>'5.1.1.1-2 Inorganic fert N2O'!G32</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'5.1.1.1-2 Inorganic fert N2O'!G33</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'5.1.1.1-2 Inorganic fert N2O'!G34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'5.1.1.1-2 Inorganic fert N2O'!G35</f>
        <v>0</v>
      </c>
      <c r="F39" s="50" cm="1">
        <f t="array" ref="F39">Fertiliser_Equations_LeachingAndRunoff.VEERG_5_5_1_1__2_MassOfNitrogenLeachedFromInorganicFertiliser(E39, $I$14, $I$15)</f>
        <v>0</v>
      </c>
    </row>
    <row r="40" spans="1:11" ht="20.100000000000001" customHeight="1" x14ac:dyDescent="0.25">
      <c r="D40" s="50" t="str">
        <v>Ammonia</v>
      </c>
      <c r="E40" s="50">
        <f>'5.1.1.1-2 Inorganic fert N2O'!G36</f>
        <v>4117.5</v>
      </c>
      <c r="F40" s="50" cm="1">
        <f t="array" ref="F40">Fertiliser_Equations_LeachingAndRunoff.VEERG_5_5_1_1__2_MassOfNitrogenLeachedFromInorganicFertiliser(E40, $I$14, $I$15)</f>
        <v>988.19999999999993</v>
      </c>
    </row>
    <row r="41" spans="1:11" ht="20.100000000000001" customHeight="1" x14ac:dyDescent="0.25">
      <c r="D41" s="50" t="str">
        <v>Calcium nitrate</v>
      </c>
      <c r="E41" s="50">
        <f>'5.1.1.1-2 Inorganic fert N2O'!G37</f>
        <v>775</v>
      </c>
      <c r="F41" s="5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149" t="s">
        <v>288</v>
      </c>
      <c r="E43" s="44">
        <f>SUM(F23:F41)</f>
        <v>3122.328</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1</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X_Cell_Site_LeachingZone</f>
        <v>NO - Not in leaching zone</v>
      </c>
    </row>
    <row r="59" spans="4:9" ht="20.100000000000001" customHeight="1" x14ac:dyDescent="0.25">
      <c r="D59" s="147" t="str">
        <v>j</v>
      </c>
      <c r="E59" s="154" t="str">
        <v>production system</v>
      </c>
      <c r="F59" s="153"/>
      <c r="G59" s="147" t="str">
        <v/>
      </c>
      <c r="H59" s="120" t="str">
        <v>Input</v>
      </c>
      <c r="I59" s="147" t="str">
        <f>X_Cell_Fertiliser_ProductionSystem</f>
        <v>Crop</v>
      </c>
    </row>
    <row r="60" spans="4:9" ht="20.100000000000001" customHeight="1" x14ac:dyDescent="0.25">
      <c r="D60" s="147" t="str">
        <v>ir</v>
      </c>
      <c r="E60" s="154" t="str">
        <v>irrigation method</v>
      </c>
      <c r="F60" s="153"/>
      <c r="G60" s="147" t="str">
        <v/>
      </c>
      <c r="H60" s="120" t="str">
        <v>Input</v>
      </c>
      <c r="I60" s="147" t="str">
        <f>X_Cell_Fertiliser_IrrigationMethod</f>
        <v>Sprinkler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'5.2.1.1-2 Organic Fert N2O'!D20</f>
        <v>Manure - Other</v>
      </c>
      <c r="E65" s="50">
        <f>'5.2.1.1-2 Organic Fert N2O'!I20</f>
        <v>300</v>
      </c>
      <c r="F65" s="50" cm="1">
        <f t="array" ref="F65">Fertiliser_Equations_LeachingAndRunoff.VEERG_5_5_1_1__3_MassOfNitrogenLeachedFromOrganicFertiliser(E65,$I$56, $I$57)</f>
        <v>72</v>
      </c>
    </row>
    <row r="66" spans="1:11" ht="20.100000000000001" customHeight="1" x14ac:dyDescent="0.25">
      <c r="D66" s="50" t="str">
        <f>'5.2.1.1-2 Organic Fert N2O'!D21</f>
        <v>Manure - Poultry</v>
      </c>
      <c r="E66" s="50">
        <f>'5.2.1.1-2 Organic Fert N2O'!I21</f>
        <v>250</v>
      </c>
      <c r="F66" s="50" cm="1">
        <f t="array" ref="F66">Fertiliser_Equations_LeachingAndRunoff.VEERG_5_5_1_1__3_MassOfNitrogenLeachedFromOrganicFertiliser(E66,$I$56, $I$57)</f>
        <v>60</v>
      </c>
    </row>
    <row r="67" spans="1:11" ht="20.100000000000001" customHeight="1" x14ac:dyDescent="0.25">
      <c r="D67" s="50" t="str">
        <f>'5.2.1.1-2 Organic Fert N2O'!D22</f>
        <v>Other organic fertiliser</v>
      </c>
      <c r="E67" s="50">
        <f>'5.2.1.1-2 Organic Fert N2O'!I22</f>
        <v>160</v>
      </c>
      <c r="F67" s="50" cm="1">
        <f t="array" ref="F67">Fertiliser_Equations_LeachingAndRunoff.VEERG_5_5_1_1__3_MassOfNitrogenLeachedFromOrganicFertiliser(E67,$I$56, $I$57)</f>
        <v>38.4</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170.4</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3122.328</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170.4</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5.6917155428571425E-2</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5.6917155428571425E-2</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15.083046188571428</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E6C86-3575-4401-8297-289E0384C5A2}">
  <dimension ref="A1:BY259"/>
  <sheetViews>
    <sheetView showGridLines="0" zoomScale="85" zoomScaleNormal="85" workbookViewId="0">
      <selection activeCell="D21" sqref="D21:D3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30</vt:i4>
      </vt:variant>
    </vt:vector>
  </HeadingPairs>
  <TitlesOfParts>
    <vt:vector size="43"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2026-07-08T05:24:08Z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