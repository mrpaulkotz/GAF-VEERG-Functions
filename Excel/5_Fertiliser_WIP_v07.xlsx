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49B295A-8709-4BC6-A557-932BCC2F6F43}" xr6:coauthVersionLast="47" xr6:coauthVersionMax="47" xr10:uidLastSave="{00000000-0000-0000-0000-000000000000}"/>
  <bookViews>
    <workbookView xWindow="1560" yWindow="1560" windowWidth="36255" windowHeight="19140" firstSheet="2"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20"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13" l="1"/>
  <c r="K45" i="113"/>
  <c r="I56" i="116"/>
  <c r="I14" i="116"/>
  <c r="I125" i="115"/>
  <c r="J50" i="115"/>
  <c r="I50" i="69"/>
  <c r="W54" i="69"/>
  <c r="W53" i="69"/>
  <c r="E30" i="15"/>
  <c r="E33" i="15"/>
  <c r="E32" i="15"/>
  <c r="E31" i="15"/>
  <c r="J92" i="116"/>
  <c r="I126" i="115"/>
  <c r="J51" i="115"/>
  <c r="I20" i="114"/>
  <c r="K46" i="113"/>
  <c r="I51" i="74"/>
  <c r="S69" i="69"/>
  <c r="I51" i="69"/>
  <c r="G97" i="116"/>
  <c r="G149" i="115"/>
  <c r="G82" i="115"/>
  <c r="G53" i="113"/>
  <c r="P91" i="69"/>
  <c r="G83" i="69"/>
  <c r="E259" i="120" a="1"/>
  <c r="E259" i="120" s="1"/>
  <c r="D259" i="120" a="1"/>
  <c r="D259" i="120" s="1"/>
  <c r="E258" i="120" a="1"/>
  <c r="E258" i="120" s="1"/>
  <c r="D258" i="120" a="1"/>
  <c r="D258" i="120" s="1"/>
  <c r="D256" i="120" a="1"/>
  <c r="D256" i="120" s="1"/>
  <c r="D255" i="120" a="1"/>
  <c r="D255" i="120" s="1"/>
  <c r="D254" i="120" a="1"/>
  <c r="D254" i="120" s="1"/>
  <c r="D253" i="120" a="1"/>
  <c r="D253" i="120" s="1"/>
  <c r="S250" i="120" a="1"/>
  <c r="S250" i="120" s="1"/>
  <c r="R250" i="120" a="1"/>
  <c r="R250" i="120" s="1"/>
  <c r="Q250" i="120" a="1"/>
  <c r="Q250" i="120" s="1"/>
  <c r="P250" i="120" a="1"/>
  <c r="P250" i="120" s="1"/>
  <c r="O250" i="120" a="1"/>
  <c r="O250" i="120" s="1"/>
  <c r="N250" i="120" a="1"/>
  <c r="N250" i="120" s="1"/>
  <c r="M250" i="120" a="1"/>
  <c r="M250" i="120" s="1"/>
  <c r="L250" i="120" a="1"/>
  <c r="L250" i="120" s="1"/>
  <c r="K250" i="120" a="1"/>
  <c r="K250" i="120" s="1"/>
  <c r="J250" i="120" a="1"/>
  <c r="J250" i="120" s="1"/>
  <c r="I250" i="120" a="1"/>
  <c r="I250" i="120" s="1"/>
  <c r="H250" i="120" a="1"/>
  <c r="H250" i="120" s="1"/>
  <c r="G250" i="120" a="1"/>
  <c r="G250" i="120" s="1"/>
  <c r="F250" i="120" a="1"/>
  <c r="F250" i="120" s="1"/>
  <c r="E250" i="120" a="1"/>
  <c r="E250" i="120" s="1"/>
  <c r="D250" i="120" a="1"/>
  <c r="D250" i="120" s="1"/>
  <c r="S249" i="120" a="1"/>
  <c r="S249" i="120" s="1"/>
  <c r="R249" i="120" a="1"/>
  <c r="R249" i="120" s="1"/>
  <c r="Q249" i="120" a="1"/>
  <c r="Q249" i="120" s="1"/>
  <c r="P249" i="120" a="1"/>
  <c r="P249" i="120" s="1"/>
  <c r="O249" i="120" a="1"/>
  <c r="O249" i="120" s="1"/>
  <c r="N249" i="120" a="1"/>
  <c r="N249" i="120" s="1"/>
  <c r="M249" i="120" a="1"/>
  <c r="M249" i="120" s="1"/>
  <c r="L249" i="120" a="1"/>
  <c r="L249" i="120" s="1"/>
  <c r="K249" i="120" a="1"/>
  <c r="K249" i="120" s="1"/>
  <c r="J249" i="120" a="1"/>
  <c r="J249" i="120" s="1"/>
  <c r="I249" i="120" a="1"/>
  <c r="I249" i="120" s="1"/>
  <c r="H249" i="120" a="1"/>
  <c r="H249" i="120" s="1"/>
  <c r="G249" i="120" a="1"/>
  <c r="G249" i="120" s="1"/>
  <c r="F249" i="120" a="1"/>
  <c r="F249" i="120" s="1"/>
  <c r="E249" i="120" a="1"/>
  <c r="E249" i="120" s="1"/>
  <c r="D249" i="120" a="1"/>
  <c r="D249" i="120" s="1"/>
  <c r="S248" i="120" a="1"/>
  <c r="S248" i="120" s="1"/>
  <c r="R248" i="120" a="1"/>
  <c r="R248" i="120" s="1"/>
  <c r="Q248" i="120" a="1"/>
  <c r="Q248" i="120" s="1"/>
  <c r="P248" i="120" a="1"/>
  <c r="P248" i="120" s="1"/>
  <c r="O248" i="120" a="1"/>
  <c r="O248" i="120" s="1"/>
  <c r="N248" i="120" a="1"/>
  <c r="N248" i="120" s="1"/>
  <c r="M248" i="120" a="1"/>
  <c r="M248" i="120" s="1"/>
  <c r="L248" i="120" a="1"/>
  <c r="L248" i="120" s="1"/>
  <c r="K248" i="120" a="1"/>
  <c r="K248" i="120" s="1"/>
  <c r="J248" i="120" a="1"/>
  <c r="J248" i="120" s="1"/>
  <c r="I248" i="120" a="1"/>
  <c r="I248" i="120" s="1"/>
  <c r="H248" i="120" a="1"/>
  <c r="H248" i="120" s="1"/>
  <c r="G248" i="120" a="1"/>
  <c r="G248" i="120" s="1"/>
  <c r="F248" i="120" a="1"/>
  <c r="F248" i="120" s="1"/>
  <c r="E248" i="120" a="1"/>
  <c r="E248" i="120" s="1"/>
  <c r="D248" i="120" a="1"/>
  <c r="D248" i="120" s="1"/>
  <c r="S247" i="120" a="1"/>
  <c r="S247" i="120" s="1"/>
  <c r="R247" i="120" a="1"/>
  <c r="R247" i="120" s="1"/>
  <c r="Q247" i="120" a="1"/>
  <c r="Q247" i="120" s="1"/>
  <c r="P247" i="120" a="1"/>
  <c r="P247" i="120" s="1"/>
  <c r="O247" i="120" a="1"/>
  <c r="O247" i="120" s="1"/>
  <c r="N247" i="120" a="1"/>
  <c r="N247" i="120" s="1"/>
  <c r="M247" i="120" a="1"/>
  <c r="M247" i="120" s="1"/>
  <c r="L247" i="120" a="1"/>
  <c r="L247" i="120" s="1"/>
  <c r="K247" i="120" a="1"/>
  <c r="K247" i="120" s="1"/>
  <c r="J247" i="120" a="1"/>
  <c r="J247" i="120" s="1"/>
  <c r="I247" i="120" a="1"/>
  <c r="I247" i="120" s="1"/>
  <c r="H247" i="120" a="1"/>
  <c r="H247" i="120" s="1"/>
  <c r="G247" i="120" a="1"/>
  <c r="G247" i="120" s="1"/>
  <c r="F247" i="120" a="1"/>
  <c r="F247" i="120" s="1"/>
  <c r="E247" i="120" a="1"/>
  <c r="E247" i="120" s="1"/>
  <c r="D247" i="120" a="1"/>
  <c r="D247" i="120" s="1"/>
  <c r="S246" i="120" a="1"/>
  <c r="S246" i="120" s="1"/>
  <c r="R246" i="120" a="1"/>
  <c r="R246" i="120" s="1"/>
  <c r="Q246" i="120" a="1"/>
  <c r="Q246" i="120" s="1"/>
  <c r="P246" i="120" a="1"/>
  <c r="P246" i="120" s="1"/>
  <c r="O246" i="120" a="1"/>
  <c r="O246" i="120" s="1"/>
  <c r="N246" i="120" a="1"/>
  <c r="N246" i="120" s="1"/>
  <c r="M246" i="120" a="1"/>
  <c r="M246" i="120" s="1"/>
  <c r="L246" i="120" a="1"/>
  <c r="L246" i="120" s="1"/>
  <c r="K246" i="120" a="1"/>
  <c r="K246" i="120" s="1"/>
  <c r="J246" i="120" a="1"/>
  <c r="J246" i="120" s="1"/>
  <c r="I246" i="120" a="1"/>
  <c r="I246" i="120" s="1"/>
  <c r="H246" i="120" a="1"/>
  <c r="H246" i="120" s="1"/>
  <c r="G246" i="120" a="1"/>
  <c r="G246" i="120" s="1"/>
  <c r="F246" i="120" a="1"/>
  <c r="F246" i="120" s="1"/>
  <c r="E246" i="120" a="1"/>
  <c r="E246" i="120" s="1"/>
  <c r="D246" i="120" a="1"/>
  <c r="D246" i="120" s="1"/>
  <c r="S245" i="120" a="1"/>
  <c r="S245" i="120" s="1"/>
  <c r="R245" i="120" a="1"/>
  <c r="R245" i="120" s="1"/>
  <c r="Q245" i="120" a="1"/>
  <c r="Q245" i="120" s="1"/>
  <c r="P245" i="120" a="1"/>
  <c r="P245" i="120" s="1"/>
  <c r="O245" i="120" a="1"/>
  <c r="O245" i="120" s="1"/>
  <c r="N245" i="120" a="1"/>
  <c r="N245" i="120" s="1"/>
  <c r="M245" i="120" a="1"/>
  <c r="M245" i="120" s="1"/>
  <c r="L245" i="120" a="1"/>
  <c r="L245" i="120" s="1"/>
  <c r="K245" i="120" a="1"/>
  <c r="K245" i="120" s="1"/>
  <c r="J245" i="120" a="1"/>
  <c r="J245" i="120" s="1"/>
  <c r="I245" i="120" a="1"/>
  <c r="I245" i="120" s="1"/>
  <c r="H245" i="120" a="1"/>
  <c r="H245" i="120" s="1"/>
  <c r="G245" i="120" a="1"/>
  <c r="G245" i="120" s="1"/>
  <c r="F245" i="120" a="1"/>
  <c r="F245" i="120" s="1"/>
  <c r="E245" i="120" a="1"/>
  <c r="E245" i="120" s="1"/>
  <c r="D245" i="120" a="1"/>
  <c r="D245" i="120" s="1"/>
  <c r="S244" i="120" a="1"/>
  <c r="S244" i="120" s="1"/>
  <c r="R244" i="120" a="1"/>
  <c r="R244" i="120" s="1"/>
  <c r="Q244" i="120" a="1"/>
  <c r="Q244" i="120" s="1"/>
  <c r="P244" i="120" a="1"/>
  <c r="P244" i="120" s="1"/>
  <c r="O244" i="120" a="1"/>
  <c r="O244" i="120" s="1"/>
  <c r="N244" i="120" a="1"/>
  <c r="N244" i="120" s="1"/>
  <c r="M244" i="120" a="1"/>
  <c r="M244" i="120" s="1"/>
  <c r="L244" i="120" a="1"/>
  <c r="L244" i="120" s="1"/>
  <c r="K244" i="120" a="1"/>
  <c r="K244" i="120" s="1"/>
  <c r="J244" i="120" a="1"/>
  <c r="J244" i="120" s="1"/>
  <c r="I244" i="120" a="1"/>
  <c r="I244" i="120" s="1"/>
  <c r="H244" i="120" a="1"/>
  <c r="H244" i="120" s="1"/>
  <c r="G244" i="120" a="1"/>
  <c r="G244" i="120" s="1"/>
  <c r="F244" i="120" a="1"/>
  <c r="F244" i="120" s="1"/>
  <c r="E244" i="120" a="1"/>
  <c r="E244" i="120" s="1"/>
  <c r="D244" i="120" a="1"/>
  <c r="D244" i="120" s="1"/>
  <c r="S243" i="120" a="1"/>
  <c r="S243" i="120" s="1"/>
  <c r="R243" i="120" a="1"/>
  <c r="R243" i="120" s="1"/>
  <c r="Q243" i="120" a="1"/>
  <c r="Q243" i="120" s="1"/>
  <c r="P243" i="120" a="1"/>
  <c r="P243" i="120" s="1"/>
  <c r="O243" i="120" a="1"/>
  <c r="O243" i="120" s="1"/>
  <c r="N243" i="120" a="1"/>
  <c r="N243" i="120" s="1"/>
  <c r="M243" i="120" a="1"/>
  <c r="M243" i="120" s="1"/>
  <c r="L243" i="120" a="1"/>
  <c r="L243" i="120" s="1"/>
  <c r="K243" i="120" a="1"/>
  <c r="K243" i="120" s="1"/>
  <c r="J243" i="120" a="1"/>
  <c r="J243" i="120" s="1"/>
  <c r="I243" i="120" a="1"/>
  <c r="I243" i="120" s="1"/>
  <c r="H243" i="120" a="1"/>
  <c r="H243" i="120" s="1"/>
  <c r="G243" i="120" a="1"/>
  <c r="G243" i="120" s="1"/>
  <c r="F243" i="120" a="1"/>
  <c r="F243" i="120" s="1"/>
  <c r="E243" i="120" a="1"/>
  <c r="E243" i="120" s="1"/>
  <c r="D243" i="120" a="1"/>
  <c r="D243" i="120" s="1"/>
  <c r="S242" i="120" a="1"/>
  <c r="S242" i="120" s="1"/>
  <c r="R242" i="120" a="1"/>
  <c r="R242" i="120" s="1"/>
  <c r="Q242" i="120" a="1"/>
  <c r="Q242" i="120" s="1"/>
  <c r="P242" i="120" a="1"/>
  <c r="P242" i="120" s="1"/>
  <c r="O242" i="120" a="1"/>
  <c r="O242" i="120" s="1"/>
  <c r="N242" i="120" a="1"/>
  <c r="N242" i="120" s="1"/>
  <c r="M242" i="120" a="1"/>
  <c r="M242" i="120" s="1"/>
  <c r="L242" i="120" a="1"/>
  <c r="L242" i="120" s="1"/>
  <c r="K242" i="120" a="1"/>
  <c r="K242" i="120" s="1"/>
  <c r="J242" i="120" a="1"/>
  <c r="J242" i="120" s="1"/>
  <c r="I242" i="120" a="1"/>
  <c r="I242" i="120" s="1"/>
  <c r="H242" i="120" a="1"/>
  <c r="H242" i="120" s="1"/>
  <c r="G242" i="120" a="1"/>
  <c r="G242" i="120" s="1"/>
  <c r="F242" i="120" a="1"/>
  <c r="F242" i="120" s="1"/>
  <c r="E242" i="120" a="1"/>
  <c r="E242" i="120" s="1"/>
  <c r="D242" i="120" a="1"/>
  <c r="D242" i="120" s="1"/>
  <c r="S241" i="120" a="1"/>
  <c r="S241" i="120" s="1"/>
  <c r="R241" i="120" a="1"/>
  <c r="R241" i="120" s="1"/>
  <c r="Q241" i="120" a="1"/>
  <c r="Q241" i="120" s="1"/>
  <c r="P241" i="120" a="1"/>
  <c r="P241" i="120" s="1"/>
  <c r="O241" i="120" a="1"/>
  <c r="O241" i="120" s="1"/>
  <c r="N241" i="120" a="1"/>
  <c r="N241" i="120" s="1"/>
  <c r="M241" i="120" a="1"/>
  <c r="M241" i="120" s="1"/>
  <c r="L241" i="120" a="1"/>
  <c r="L241" i="120" s="1"/>
  <c r="K241" i="120" a="1"/>
  <c r="K241" i="120" s="1"/>
  <c r="J241" i="120" a="1"/>
  <c r="J241" i="120" s="1"/>
  <c r="I241" i="120" a="1"/>
  <c r="I241" i="120" s="1"/>
  <c r="H241" i="120" a="1"/>
  <c r="H241" i="120" s="1"/>
  <c r="G241" i="120" a="1"/>
  <c r="G241" i="120" s="1"/>
  <c r="F241" i="120" a="1"/>
  <c r="F241" i="120" s="1"/>
  <c r="E241" i="120" a="1"/>
  <c r="E241" i="120" s="1"/>
  <c r="D241" i="120" a="1"/>
  <c r="D241" i="120" s="1"/>
  <c r="S240" i="120" a="1"/>
  <c r="S240" i="120" s="1"/>
  <c r="R240" i="120" a="1"/>
  <c r="R240" i="120" s="1"/>
  <c r="Q240" i="120" a="1"/>
  <c r="Q240" i="120" s="1"/>
  <c r="P240" i="120" a="1"/>
  <c r="P240" i="120" s="1"/>
  <c r="O240" i="120" a="1"/>
  <c r="O240" i="120" s="1"/>
  <c r="N240" i="120" a="1"/>
  <c r="N240" i="120" s="1"/>
  <c r="M240" i="120" a="1"/>
  <c r="M240" i="120" s="1"/>
  <c r="L240" i="120" a="1"/>
  <c r="L240" i="120" s="1"/>
  <c r="K240" i="120" a="1"/>
  <c r="K240" i="120" s="1"/>
  <c r="J240" i="120" a="1"/>
  <c r="J240" i="120" s="1"/>
  <c r="I240" i="120" a="1"/>
  <c r="I240" i="120" s="1"/>
  <c r="H240" i="120" a="1"/>
  <c r="H240" i="120" s="1"/>
  <c r="G240" i="120" a="1"/>
  <c r="G240" i="120" s="1"/>
  <c r="F240" i="120" a="1"/>
  <c r="F240" i="120" s="1"/>
  <c r="E240" i="120" a="1"/>
  <c r="E240" i="120" s="1"/>
  <c r="D240" i="120" a="1"/>
  <c r="D240" i="120" s="1"/>
  <c r="S239" i="120" a="1"/>
  <c r="S239" i="120" s="1"/>
  <c r="R239" i="120" a="1"/>
  <c r="R239" i="120" s="1"/>
  <c r="Q239" i="120" a="1"/>
  <c r="Q239" i="120" s="1"/>
  <c r="P239" i="120" a="1"/>
  <c r="P239" i="120" s="1"/>
  <c r="O239" i="120" a="1"/>
  <c r="O239" i="120" s="1"/>
  <c r="N239" i="120" a="1"/>
  <c r="N239" i="120" s="1"/>
  <c r="M239" i="120" a="1"/>
  <c r="M239" i="120" s="1"/>
  <c r="L239" i="120" a="1"/>
  <c r="L239" i="120" s="1"/>
  <c r="K239" i="120" a="1"/>
  <c r="K239" i="120" s="1"/>
  <c r="J239" i="120" a="1"/>
  <c r="J239" i="120" s="1"/>
  <c r="I239" i="120" a="1"/>
  <c r="I239" i="120" s="1"/>
  <c r="H239" i="120" a="1"/>
  <c r="H239" i="120" s="1"/>
  <c r="G239" i="120" a="1"/>
  <c r="G239" i="120" s="1"/>
  <c r="F239" i="120" a="1"/>
  <c r="F239" i="120" s="1"/>
  <c r="E239" i="120" a="1"/>
  <c r="E239" i="120" s="1"/>
  <c r="D239" i="120" a="1"/>
  <c r="D239" i="120" s="1"/>
  <c r="S238" i="120" a="1"/>
  <c r="S238" i="120" s="1"/>
  <c r="R238" i="120" a="1"/>
  <c r="R238" i="120" s="1"/>
  <c r="Q238" i="120" a="1"/>
  <c r="Q238" i="120" s="1"/>
  <c r="P238" i="120" a="1"/>
  <c r="P238" i="120" s="1"/>
  <c r="O238" i="120" a="1"/>
  <c r="O238" i="120" s="1"/>
  <c r="N238" i="120" a="1"/>
  <c r="N238" i="120" s="1"/>
  <c r="M238" i="120" a="1"/>
  <c r="M238" i="120" s="1"/>
  <c r="L238" i="120" a="1"/>
  <c r="L238" i="120" s="1"/>
  <c r="K238" i="120" a="1"/>
  <c r="K238" i="120" s="1"/>
  <c r="J238" i="120" a="1"/>
  <c r="J238" i="120" s="1"/>
  <c r="I238" i="120" a="1"/>
  <c r="I238" i="120" s="1"/>
  <c r="H238" i="120" a="1"/>
  <c r="H238" i="120" s="1"/>
  <c r="G238" i="120" a="1"/>
  <c r="G238" i="120" s="1"/>
  <c r="F238" i="120" a="1"/>
  <c r="F238" i="120" s="1"/>
  <c r="E238" i="120" a="1"/>
  <c r="E238" i="120" s="1"/>
  <c r="D238" i="120" a="1"/>
  <c r="D238" i="120" s="1"/>
  <c r="S237" i="120" a="1"/>
  <c r="S237" i="120" s="1"/>
  <c r="R237" i="120" a="1"/>
  <c r="R237" i="120" s="1"/>
  <c r="Q237" i="120" a="1"/>
  <c r="Q237" i="120" s="1"/>
  <c r="P237" i="120" a="1"/>
  <c r="P237" i="120" s="1"/>
  <c r="O237" i="120" a="1"/>
  <c r="O237" i="120" s="1"/>
  <c r="N237" i="120" a="1"/>
  <c r="N237" i="120" s="1"/>
  <c r="M237" i="120" a="1"/>
  <c r="M237" i="120" s="1"/>
  <c r="L237" i="120" a="1"/>
  <c r="L237" i="120" s="1"/>
  <c r="K237" i="120" a="1"/>
  <c r="K237" i="120" s="1"/>
  <c r="J237" i="120" a="1"/>
  <c r="J237" i="120" s="1"/>
  <c r="I237" i="120" a="1"/>
  <c r="I237" i="120" s="1"/>
  <c r="H237" i="120" a="1"/>
  <c r="H237" i="120" s="1"/>
  <c r="G237" i="120" a="1"/>
  <c r="G237" i="120" s="1"/>
  <c r="F237" i="120" a="1"/>
  <c r="F237" i="120" s="1"/>
  <c r="E237" i="120" a="1"/>
  <c r="E237" i="120" s="1"/>
  <c r="D237" i="120" a="1"/>
  <c r="D237" i="120" s="1"/>
  <c r="S236" i="120" a="1"/>
  <c r="S236" i="120" s="1"/>
  <c r="R236" i="120" a="1"/>
  <c r="R236" i="120" s="1"/>
  <c r="Q236" i="120" a="1"/>
  <c r="Q236" i="120" s="1"/>
  <c r="P236" i="120" a="1"/>
  <c r="P236" i="120" s="1"/>
  <c r="O236" i="120" a="1"/>
  <c r="O236" i="120" s="1"/>
  <c r="N236" i="120" a="1"/>
  <c r="N236" i="120" s="1"/>
  <c r="M236" i="120" a="1"/>
  <c r="M236" i="120" s="1"/>
  <c r="L236" i="120" a="1"/>
  <c r="L236" i="120" s="1"/>
  <c r="K236" i="120" a="1"/>
  <c r="K236" i="120" s="1"/>
  <c r="J236" i="120" a="1"/>
  <c r="J236" i="120" s="1"/>
  <c r="I236" i="120" a="1"/>
  <c r="I236" i="120" s="1"/>
  <c r="H236" i="120" a="1"/>
  <c r="H236" i="120" s="1"/>
  <c r="G236" i="120" a="1"/>
  <c r="G236" i="120" s="1"/>
  <c r="F236" i="120" a="1"/>
  <c r="F236" i="120" s="1"/>
  <c r="E236" i="120" a="1"/>
  <c r="E236" i="120" s="1"/>
  <c r="D236" i="120" a="1"/>
  <c r="D236" i="120" s="1"/>
  <c r="S235" i="120" a="1"/>
  <c r="S235" i="120" s="1"/>
  <c r="R235" i="120" a="1"/>
  <c r="R235" i="120" s="1"/>
  <c r="Q235" i="120" a="1"/>
  <c r="Q235" i="120" s="1"/>
  <c r="P235" i="120" a="1"/>
  <c r="P235" i="120" s="1"/>
  <c r="O235" i="120" a="1"/>
  <c r="O235" i="120" s="1"/>
  <c r="N235" i="120" a="1"/>
  <c r="N235" i="120" s="1"/>
  <c r="M235" i="120" a="1"/>
  <c r="M235" i="120" s="1"/>
  <c r="L235" i="120" a="1"/>
  <c r="L235" i="120" s="1"/>
  <c r="K235" i="120" a="1"/>
  <c r="K235" i="120" s="1"/>
  <c r="J235" i="120" a="1"/>
  <c r="J235" i="120" s="1"/>
  <c r="I235" i="120" a="1"/>
  <c r="I235" i="120" s="1"/>
  <c r="H235" i="120" a="1"/>
  <c r="H235" i="120" s="1"/>
  <c r="G235" i="120" a="1"/>
  <c r="G235" i="120" s="1"/>
  <c r="F235" i="120" a="1"/>
  <c r="F235" i="120" s="1"/>
  <c r="E235" i="120" a="1"/>
  <c r="E235" i="120" s="1"/>
  <c r="D235" i="120" a="1"/>
  <c r="D235" i="120" s="1"/>
  <c r="S234" i="120" a="1"/>
  <c r="S234" i="120" s="1"/>
  <c r="R234" i="120" a="1"/>
  <c r="R234" i="120" s="1"/>
  <c r="Q234" i="120" a="1"/>
  <c r="Q234" i="120" s="1"/>
  <c r="P234" i="120" a="1"/>
  <c r="P234" i="120" s="1"/>
  <c r="O234" i="120" a="1"/>
  <c r="O234" i="120" s="1"/>
  <c r="N234" i="120" a="1"/>
  <c r="N234" i="120" s="1"/>
  <c r="M234" i="120" a="1"/>
  <c r="M234" i="120" s="1"/>
  <c r="L234" i="120" a="1"/>
  <c r="L234" i="120" s="1"/>
  <c r="K234" i="120" a="1"/>
  <c r="K234" i="120" s="1"/>
  <c r="J234" i="120" a="1"/>
  <c r="J234" i="120" s="1"/>
  <c r="I234" i="120" a="1"/>
  <c r="I234" i="120" s="1"/>
  <c r="H234" i="120" a="1"/>
  <c r="H234" i="120" s="1"/>
  <c r="G234" i="120" a="1"/>
  <c r="G234" i="120" s="1"/>
  <c r="F234" i="120" a="1"/>
  <c r="F234" i="120" s="1"/>
  <c r="E234" i="120" a="1"/>
  <c r="E234" i="120" s="1"/>
  <c r="D234" i="120" a="1"/>
  <c r="D234" i="120" s="1"/>
  <c r="S233" i="120" a="1"/>
  <c r="S233" i="120" s="1"/>
  <c r="R233" i="120" a="1"/>
  <c r="R233" i="120" s="1"/>
  <c r="Q233" i="120" a="1"/>
  <c r="Q233" i="120" s="1"/>
  <c r="P233" i="120" a="1"/>
  <c r="P233" i="120" s="1"/>
  <c r="O233" i="120" a="1"/>
  <c r="O233" i="120" s="1"/>
  <c r="N233" i="120" a="1"/>
  <c r="N233" i="120" s="1"/>
  <c r="M233" i="120" a="1"/>
  <c r="M233" i="120" s="1"/>
  <c r="L233" i="120" a="1"/>
  <c r="L233" i="120" s="1"/>
  <c r="K233" i="120" a="1"/>
  <c r="K233" i="120" s="1"/>
  <c r="J233" i="120" a="1"/>
  <c r="J233" i="120" s="1"/>
  <c r="I233" i="120" a="1"/>
  <c r="I233" i="120" s="1"/>
  <c r="H233" i="120" a="1"/>
  <c r="H233" i="120" s="1"/>
  <c r="G233" i="120" a="1"/>
  <c r="G233" i="120" s="1"/>
  <c r="F233" i="120" a="1"/>
  <c r="F233" i="120" s="1"/>
  <c r="E233" i="120" a="1"/>
  <c r="E233" i="120" s="1"/>
  <c r="D233" i="120" a="1"/>
  <c r="D233" i="120" s="1"/>
  <c r="S232" i="120" a="1"/>
  <c r="S232" i="120" s="1"/>
  <c r="R232" i="120" a="1"/>
  <c r="R232" i="120" s="1"/>
  <c r="Q232" i="120" a="1"/>
  <c r="Q232" i="120" s="1"/>
  <c r="P232" i="120" a="1"/>
  <c r="P232" i="120" s="1"/>
  <c r="O232" i="120" a="1"/>
  <c r="O232" i="120" s="1"/>
  <c r="N232" i="120" a="1"/>
  <c r="N232" i="120" s="1"/>
  <c r="M232" i="120" a="1"/>
  <c r="M232" i="120" s="1"/>
  <c r="L232" i="120" a="1"/>
  <c r="L232" i="120" s="1"/>
  <c r="K232" i="120" a="1"/>
  <c r="K232" i="120" s="1"/>
  <c r="J232" i="120" a="1"/>
  <c r="J232" i="120" s="1"/>
  <c r="I232" i="120" a="1"/>
  <c r="I232" i="120" s="1"/>
  <c r="H232" i="120" a="1"/>
  <c r="H232" i="120" s="1"/>
  <c r="G232" i="120" a="1"/>
  <c r="G232" i="120" s="1"/>
  <c r="F232" i="120" a="1"/>
  <c r="F232" i="120" s="1"/>
  <c r="E232" i="120" a="1"/>
  <c r="E232" i="120" s="1"/>
  <c r="D232" i="120" a="1"/>
  <c r="D232" i="120" s="1"/>
  <c r="D229" i="120" a="1"/>
  <c r="D229" i="120" s="1"/>
  <c r="D228" i="120" a="1"/>
  <c r="D228" i="120" s="1"/>
  <c r="D227" i="120" a="1"/>
  <c r="D227" i="120" s="1"/>
  <c r="E224" i="120" a="1"/>
  <c r="E224" i="120" s="1"/>
  <c r="D224" i="120" a="1"/>
  <c r="D224" i="120" s="1"/>
  <c r="E223" i="120" a="1"/>
  <c r="E223" i="120" s="1"/>
  <c r="D223" i="120" a="1"/>
  <c r="D223" i="120" s="1"/>
  <c r="E222" i="120" a="1"/>
  <c r="E222" i="120" s="1"/>
  <c r="D222" i="120" a="1"/>
  <c r="D222" i="120" s="1"/>
  <c r="E221" i="120" a="1"/>
  <c r="E221" i="120" s="1"/>
  <c r="D221" i="120" a="1"/>
  <c r="D221" i="120" s="1"/>
  <c r="E220" i="120" a="1"/>
  <c r="E220" i="120" s="1"/>
  <c r="D220" i="120" a="1"/>
  <c r="D220" i="120" s="1"/>
  <c r="E219" i="120" a="1"/>
  <c r="E219" i="120" s="1"/>
  <c r="D219" i="120" a="1"/>
  <c r="D219" i="120" s="1"/>
  <c r="E218" i="120" a="1"/>
  <c r="E218" i="120" s="1"/>
  <c r="D218" i="120" a="1"/>
  <c r="D218" i="120" s="1"/>
  <c r="E217" i="120" a="1"/>
  <c r="E217" i="120" s="1"/>
  <c r="D217" i="120" a="1"/>
  <c r="D217" i="120" s="1"/>
  <c r="E216" i="120" a="1"/>
  <c r="E216" i="120" s="1"/>
  <c r="D216" i="120" a="1"/>
  <c r="D216" i="120" s="1"/>
  <c r="E215" i="120" a="1"/>
  <c r="E215" i="120" s="1"/>
  <c r="D215" i="120" a="1"/>
  <c r="D215" i="120" s="1"/>
  <c r="E214" i="120" a="1"/>
  <c r="E214" i="120" s="1"/>
  <c r="D214" i="120" a="1"/>
  <c r="D214" i="120" s="1"/>
  <c r="E213" i="120" a="1"/>
  <c r="E213" i="120" s="1"/>
  <c r="D213" i="120" a="1"/>
  <c r="D213" i="120" s="1"/>
  <c r="D211" i="120" a="1"/>
  <c r="D211" i="120" s="1"/>
  <c r="E208" i="120" a="1"/>
  <c r="E208" i="120" s="1"/>
  <c r="D208" i="120" a="1"/>
  <c r="D208" i="120" s="1"/>
  <c r="E207" i="120" a="1"/>
  <c r="E207" i="120" s="1"/>
  <c r="D207" i="120" a="1"/>
  <c r="D207" i="120" s="1"/>
  <c r="D205" i="120" a="1"/>
  <c r="D205" i="120" s="1"/>
  <c r="D204" i="120" a="1"/>
  <c r="D204" i="120" s="1"/>
  <c r="D203" i="120" a="1"/>
  <c r="D203" i="120" s="1"/>
  <c r="D202" i="120" a="1"/>
  <c r="D202" i="120" s="1"/>
  <c r="H199" i="120" a="1"/>
  <c r="H199" i="120" s="1"/>
  <c r="G199" i="120" a="1"/>
  <c r="G199" i="120" s="1"/>
  <c r="F199" i="120" a="1"/>
  <c r="F199" i="120" s="1"/>
  <c r="E199" i="120" a="1"/>
  <c r="E199" i="120" s="1"/>
  <c r="D199" i="120" a="1"/>
  <c r="D199" i="120" s="1"/>
  <c r="H198" i="120" a="1"/>
  <c r="H198" i="120" s="1"/>
  <c r="G198" i="120" a="1"/>
  <c r="G198" i="120" s="1"/>
  <c r="F198" i="120" a="1"/>
  <c r="F198" i="120" s="1"/>
  <c r="E198" i="120" a="1"/>
  <c r="E198" i="120" s="1"/>
  <c r="D198" i="120" a="1"/>
  <c r="D198" i="120" s="1"/>
  <c r="H197" i="120" a="1"/>
  <c r="H197" i="120" s="1"/>
  <c r="G197" i="120" a="1"/>
  <c r="G197" i="120" s="1"/>
  <c r="F197" i="120" a="1"/>
  <c r="F197" i="120" s="1"/>
  <c r="E197" i="120" a="1"/>
  <c r="E197" i="120" s="1"/>
  <c r="D197" i="120" a="1"/>
  <c r="D197" i="120" s="1"/>
  <c r="H196" i="120" a="1"/>
  <c r="H196" i="120" s="1"/>
  <c r="G196" i="120" a="1"/>
  <c r="G196" i="120" s="1"/>
  <c r="F196" i="120" a="1"/>
  <c r="F196" i="120" s="1"/>
  <c r="E196" i="120" a="1"/>
  <c r="E196" i="120" s="1"/>
  <c r="D196" i="120" a="1"/>
  <c r="D196" i="120" s="1"/>
  <c r="H195" i="120" a="1"/>
  <c r="H195" i="120" s="1"/>
  <c r="G195" i="120" a="1"/>
  <c r="G195" i="120" s="1"/>
  <c r="F195" i="120" a="1"/>
  <c r="F195" i="120" s="1"/>
  <c r="E195" i="120" a="1"/>
  <c r="E195" i="120" s="1"/>
  <c r="D195" i="120" a="1"/>
  <c r="D195" i="120" s="1"/>
  <c r="H194" i="120" a="1"/>
  <c r="H194" i="120" s="1"/>
  <c r="G194" i="120" a="1"/>
  <c r="G194" i="120" s="1"/>
  <c r="F194" i="120" a="1"/>
  <c r="F194" i="120" s="1"/>
  <c r="E194" i="120" a="1"/>
  <c r="E194" i="120" s="1"/>
  <c r="D194" i="120" a="1"/>
  <c r="D194" i="120" s="1"/>
  <c r="H193" i="120" a="1"/>
  <c r="H193" i="120" s="1"/>
  <c r="G193" i="120" a="1"/>
  <c r="G193" i="120" s="1"/>
  <c r="F193" i="120" a="1"/>
  <c r="F193" i="120" s="1"/>
  <c r="E193" i="120" a="1"/>
  <c r="E193" i="120" s="1"/>
  <c r="D193" i="120" a="1"/>
  <c r="D193" i="120" s="1"/>
  <c r="H192" i="120" a="1"/>
  <c r="H192" i="120" s="1"/>
  <c r="G192" i="120" a="1"/>
  <c r="G192" i="120" s="1"/>
  <c r="F192" i="120" a="1"/>
  <c r="F192" i="120" s="1"/>
  <c r="E192" i="120" a="1"/>
  <c r="E192" i="120" s="1"/>
  <c r="D192" i="120" a="1"/>
  <c r="D192" i="120" s="1"/>
  <c r="H191" i="120" a="1"/>
  <c r="H191" i="120" s="1"/>
  <c r="G191" i="120" a="1"/>
  <c r="G191" i="120" s="1"/>
  <c r="F191" i="120" a="1"/>
  <c r="F191" i="120" s="1"/>
  <c r="E191" i="120" a="1"/>
  <c r="E191" i="120" s="1"/>
  <c r="D191" i="120" a="1"/>
  <c r="D191" i="120" s="1"/>
  <c r="H190" i="120" a="1"/>
  <c r="H190" i="120" s="1"/>
  <c r="G190" i="120" a="1"/>
  <c r="G190" i="120" s="1"/>
  <c r="F190" i="120" a="1"/>
  <c r="F190" i="120" s="1"/>
  <c r="E190" i="120" a="1"/>
  <c r="E190" i="120" s="1"/>
  <c r="D190" i="120" a="1"/>
  <c r="D190" i="120" s="1"/>
  <c r="H189" i="120" a="1"/>
  <c r="H189" i="120" s="1"/>
  <c r="G189" i="120" a="1"/>
  <c r="G189" i="120" s="1"/>
  <c r="F189" i="120" a="1"/>
  <c r="F189" i="120" s="1"/>
  <c r="E189" i="120" a="1"/>
  <c r="E189" i="120" s="1"/>
  <c r="D189" i="120" a="1"/>
  <c r="D189" i="120" s="1"/>
  <c r="H188" i="120" a="1"/>
  <c r="H188" i="120" s="1"/>
  <c r="G188" i="120" a="1"/>
  <c r="G188" i="120" s="1"/>
  <c r="F188" i="120" a="1"/>
  <c r="F188" i="120" s="1"/>
  <c r="E188" i="120" a="1"/>
  <c r="E188" i="120" s="1"/>
  <c r="D188" i="120" a="1"/>
  <c r="D188" i="120" s="1"/>
  <c r="H187" i="120" a="1"/>
  <c r="H187" i="120" s="1"/>
  <c r="G187" i="120" a="1"/>
  <c r="G187" i="120" s="1"/>
  <c r="F187" i="120" a="1"/>
  <c r="F187" i="120" s="1"/>
  <c r="E187" i="120" a="1"/>
  <c r="E187" i="120" s="1"/>
  <c r="D187" i="120" a="1"/>
  <c r="D187" i="120" s="1"/>
  <c r="D181" i="120" a="1"/>
  <c r="D181" i="120" s="1"/>
  <c r="D180" i="120" a="1"/>
  <c r="D180" i="120" s="1"/>
  <c r="D179" i="120" a="1"/>
  <c r="D179" i="120" s="1"/>
  <c r="D178" i="120" a="1"/>
  <c r="D178" i="120" s="1"/>
  <c r="E175" i="120" a="1"/>
  <c r="E175" i="120" s="1"/>
  <c r="D175" i="120" a="1"/>
  <c r="D175" i="120" s="1"/>
  <c r="D174" i="120" a="1"/>
  <c r="D174" i="120" s="1"/>
  <c r="D173" i="120" a="1"/>
  <c r="D173" i="120" s="1"/>
  <c r="D170" i="120" a="1"/>
  <c r="D170" i="120" s="1"/>
  <c r="D169" i="120" a="1"/>
  <c r="D169" i="120" s="1"/>
  <c r="D168" i="120" a="1"/>
  <c r="D168" i="120" s="1"/>
  <c r="D167" i="120" a="1"/>
  <c r="D167" i="120" s="1"/>
  <c r="D164" i="120" a="1"/>
  <c r="D164" i="120" s="1"/>
  <c r="D163" i="120" a="1"/>
  <c r="D163" i="120" s="1"/>
  <c r="D162" i="120" a="1"/>
  <c r="D162" i="120" s="1"/>
  <c r="D161" i="120" a="1"/>
  <c r="D161" i="120" s="1"/>
  <c r="E158" i="120" a="1"/>
  <c r="E158" i="120" s="1"/>
  <c r="D158" i="120" a="1"/>
  <c r="D158" i="120" s="1"/>
  <c r="E157" i="120" a="1"/>
  <c r="E157" i="120" s="1"/>
  <c r="D157" i="120" a="1"/>
  <c r="D157" i="120" s="1"/>
  <c r="E156" i="120" a="1"/>
  <c r="E156" i="120" s="1"/>
  <c r="D156" i="120" a="1"/>
  <c r="D156" i="120" s="1"/>
  <c r="E155" i="120" a="1"/>
  <c r="E155" i="120" s="1"/>
  <c r="D155" i="120" a="1"/>
  <c r="D155" i="120" s="1"/>
  <c r="E154" i="120" a="1"/>
  <c r="E154" i="120" s="1"/>
  <c r="D154" i="120" a="1"/>
  <c r="D154" i="120" s="1"/>
  <c r="D151" i="120" a="1"/>
  <c r="D151" i="120" s="1"/>
  <c r="D150" i="120" a="1"/>
  <c r="D150" i="120" s="1"/>
  <c r="E147" i="120" a="1"/>
  <c r="E147" i="120" s="1"/>
  <c r="D147" i="120" a="1"/>
  <c r="D147" i="120" s="1"/>
  <c r="E146" i="120" a="1"/>
  <c r="E146" i="120" s="1"/>
  <c r="D146" i="120" a="1"/>
  <c r="D146" i="120" s="1"/>
  <c r="E145" i="120" a="1"/>
  <c r="E145" i="120" s="1"/>
  <c r="D145" i="120" a="1"/>
  <c r="D145" i="120" s="1"/>
  <c r="E144" i="120" a="1"/>
  <c r="E144" i="120" s="1"/>
  <c r="D144" i="120" a="1"/>
  <c r="D144" i="120" s="1"/>
  <c r="E143" i="120" a="1"/>
  <c r="E143" i="120" s="1"/>
  <c r="D143" i="120" a="1"/>
  <c r="D143" i="120" s="1"/>
  <c r="D141" i="120" a="1"/>
  <c r="D141" i="120" s="1"/>
  <c r="D140" i="120" a="1"/>
  <c r="D140" i="120" s="1"/>
  <c r="D139" i="120" a="1"/>
  <c r="D139" i="120" s="1"/>
  <c r="E136" i="120" a="1"/>
  <c r="E136" i="120" s="1"/>
  <c r="D136" i="120" a="1"/>
  <c r="D136" i="120" s="1"/>
  <c r="E135" i="120" a="1"/>
  <c r="E135" i="120" s="1"/>
  <c r="D135" i="120" a="1"/>
  <c r="D135" i="120" s="1"/>
  <c r="D133" i="120" a="1"/>
  <c r="D133" i="120" s="1"/>
  <c r="D132" i="120" a="1"/>
  <c r="D132" i="120" s="1"/>
  <c r="E129" i="120" a="1"/>
  <c r="E129" i="120" s="1"/>
  <c r="D129" i="120" a="1"/>
  <c r="D129" i="120" s="1"/>
  <c r="E128" i="120" a="1"/>
  <c r="E128" i="120" s="1"/>
  <c r="D128" i="120" a="1"/>
  <c r="D128" i="120" s="1"/>
  <c r="D125" i="120" a="1"/>
  <c r="D125" i="120" s="1"/>
  <c r="D124" i="120" a="1"/>
  <c r="D124" i="120" s="1"/>
  <c r="G121" i="120" a="1"/>
  <c r="G121" i="120" s="1"/>
  <c r="F121" i="120" a="1"/>
  <c r="F121" i="120" s="1"/>
  <c r="E121" i="120" a="1"/>
  <c r="E121" i="120" s="1"/>
  <c r="D121" i="120" a="1"/>
  <c r="D121" i="120" s="1"/>
  <c r="G120" i="120" a="1"/>
  <c r="G120" i="120" s="1"/>
  <c r="F120" i="120" a="1"/>
  <c r="F120" i="120" s="1"/>
  <c r="E120" i="120" a="1"/>
  <c r="E120" i="120" s="1"/>
  <c r="D120" i="120" a="1"/>
  <c r="D120" i="120" s="1"/>
  <c r="D117" i="120" a="1"/>
  <c r="D117" i="120" s="1"/>
  <c r="D116" i="120" a="1"/>
  <c r="D116" i="120" s="1"/>
  <c r="D115" i="120" a="1"/>
  <c r="D115" i="120" s="1"/>
  <c r="G112" i="120" a="1"/>
  <c r="G112" i="120" s="1"/>
  <c r="F112" i="120" a="1"/>
  <c r="F112" i="120" s="1"/>
  <c r="E112" i="120" a="1"/>
  <c r="E112" i="120" s="1"/>
  <c r="D112" i="120" a="1"/>
  <c r="D112" i="120" s="1"/>
  <c r="G111" i="120" a="1"/>
  <c r="G111" i="120" s="1"/>
  <c r="F111" i="120" a="1"/>
  <c r="F111" i="120" s="1"/>
  <c r="E111" i="120" a="1"/>
  <c r="E111" i="120" s="1"/>
  <c r="D111" i="120" a="1"/>
  <c r="D111" i="120" s="1"/>
  <c r="G110" i="120" a="1"/>
  <c r="G110" i="120" s="1"/>
  <c r="F110" i="120" a="1"/>
  <c r="F110" i="120" s="1"/>
  <c r="E110" i="120" a="1"/>
  <c r="E110" i="120" s="1"/>
  <c r="D110" i="120" a="1"/>
  <c r="D110" i="120" s="1"/>
  <c r="D107" i="120" a="1"/>
  <c r="D107" i="120" s="1"/>
  <c r="D106" i="120" a="1"/>
  <c r="D106" i="120" s="1"/>
  <c r="D105" i="120" a="1"/>
  <c r="D105" i="120" s="1"/>
  <c r="D99" i="120" a="1"/>
  <c r="D99" i="120" s="1"/>
  <c r="S97" i="120" a="1"/>
  <c r="S97" i="120" s="1"/>
  <c r="R97" i="120" a="1"/>
  <c r="R97" i="120" s="1"/>
  <c r="Q97" i="120" a="1"/>
  <c r="Q97" i="120" s="1"/>
  <c r="P97" i="120" a="1"/>
  <c r="P97" i="120" s="1"/>
  <c r="O97" i="120" a="1"/>
  <c r="O97" i="120" s="1"/>
  <c r="N97" i="120" a="1"/>
  <c r="N97" i="120" s="1"/>
  <c r="M97" i="120" a="1"/>
  <c r="M97" i="120" s="1"/>
  <c r="L97" i="120" a="1"/>
  <c r="L97" i="120" s="1"/>
  <c r="K97" i="120" a="1"/>
  <c r="K97" i="120" s="1"/>
  <c r="J97" i="120" a="1"/>
  <c r="J97" i="120" s="1"/>
  <c r="I97" i="120" a="1"/>
  <c r="I97" i="120" s="1"/>
  <c r="H97" i="120" a="1"/>
  <c r="H97" i="120" s="1"/>
  <c r="G97" i="120" a="1"/>
  <c r="G97" i="120" s="1"/>
  <c r="F97" i="120" a="1"/>
  <c r="F97" i="120" s="1"/>
  <c r="E97" i="120" a="1"/>
  <c r="E97" i="120" s="1"/>
  <c r="D97" i="120" a="1"/>
  <c r="D97" i="120" s="1"/>
  <c r="S96" i="120" a="1"/>
  <c r="S96" i="120" s="1"/>
  <c r="R96" i="120" a="1"/>
  <c r="R96" i="120" s="1"/>
  <c r="Q96" i="120" a="1"/>
  <c r="Q96" i="120" s="1"/>
  <c r="P96" i="120" a="1"/>
  <c r="P96" i="120" s="1"/>
  <c r="O96" i="120" a="1"/>
  <c r="O96" i="120" s="1"/>
  <c r="N96" i="120" a="1"/>
  <c r="N96" i="120" s="1"/>
  <c r="M96" i="120" a="1"/>
  <c r="M96" i="120" s="1"/>
  <c r="L96" i="120" a="1"/>
  <c r="L96" i="120" s="1"/>
  <c r="K96" i="120" a="1"/>
  <c r="K96" i="120" s="1"/>
  <c r="J96" i="120" a="1"/>
  <c r="J96" i="120" s="1"/>
  <c r="I96" i="120" a="1"/>
  <c r="I96" i="120" s="1"/>
  <c r="H96" i="120" a="1"/>
  <c r="H96" i="120" s="1"/>
  <c r="G96" i="120" a="1"/>
  <c r="G96" i="120" s="1"/>
  <c r="F96" i="120" a="1"/>
  <c r="F96" i="120" s="1"/>
  <c r="E96" i="120" a="1"/>
  <c r="E96" i="120" s="1"/>
  <c r="D96" i="120" a="1"/>
  <c r="D96" i="120" s="1"/>
  <c r="S95" i="120" a="1"/>
  <c r="S95" i="120" s="1"/>
  <c r="R95" i="120" a="1"/>
  <c r="R95" i="120" s="1"/>
  <c r="Q95" i="120" a="1"/>
  <c r="Q95" i="120" s="1"/>
  <c r="P95" i="120" a="1"/>
  <c r="P95" i="120" s="1"/>
  <c r="O95" i="120" a="1"/>
  <c r="O95" i="120" s="1"/>
  <c r="N95" i="120" a="1"/>
  <c r="N95" i="120" s="1"/>
  <c r="M95" i="120" a="1"/>
  <c r="M95" i="120" s="1"/>
  <c r="L95" i="120" a="1"/>
  <c r="L95" i="120" s="1"/>
  <c r="K95" i="120" a="1"/>
  <c r="K95" i="120" s="1"/>
  <c r="J95" i="120" a="1"/>
  <c r="J95" i="120" s="1"/>
  <c r="I95" i="120" a="1"/>
  <c r="I95" i="120" s="1"/>
  <c r="H95" i="120" a="1"/>
  <c r="H95" i="120" s="1"/>
  <c r="G95" i="120" a="1"/>
  <c r="G95" i="120" s="1"/>
  <c r="F95" i="120" a="1"/>
  <c r="F95" i="120" s="1"/>
  <c r="E95" i="120" a="1"/>
  <c r="E95" i="120" s="1"/>
  <c r="D95" i="120" a="1"/>
  <c r="D95" i="120" s="1"/>
  <c r="S94" i="120" a="1"/>
  <c r="S94" i="120" s="1"/>
  <c r="R94" i="120" a="1"/>
  <c r="R94" i="120" s="1"/>
  <c r="Q94" i="120" a="1"/>
  <c r="Q94" i="120" s="1"/>
  <c r="P94" i="120" a="1"/>
  <c r="P94" i="120" s="1"/>
  <c r="O94" i="120" a="1"/>
  <c r="O94" i="120" s="1"/>
  <c r="N94" i="120" a="1"/>
  <c r="N94" i="120" s="1"/>
  <c r="M94" i="120" a="1"/>
  <c r="M94" i="120" s="1"/>
  <c r="L94" i="120" a="1"/>
  <c r="L94" i="120" s="1"/>
  <c r="K94" i="120" a="1"/>
  <c r="K94" i="120" s="1"/>
  <c r="J94" i="120" a="1"/>
  <c r="J94" i="120" s="1"/>
  <c r="I94" i="120" a="1"/>
  <c r="I94" i="120" s="1"/>
  <c r="H94" i="120" a="1"/>
  <c r="H94" i="120" s="1"/>
  <c r="G94" i="120" a="1"/>
  <c r="G94" i="120" s="1"/>
  <c r="F94" i="120" a="1"/>
  <c r="F94" i="120" s="1"/>
  <c r="E94" i="120" a="1"/>
  <c r="E94" i="120" s="1"/>
  <c r="D94" i="120" a="1"/>
  <c r="D94" i="120" s="1"/>
  <c r="S93" i="120" a="1"/>
  <c r="S93" i="120" s="1"/>
  <c r="R93" i="120" a="1"/>
  <c r="R93" i="120" s="1"/>
  <c r="Q93" i="120" a="1"/>
  <c r="Q93" i="120" s="1"/>
  <c r="P93" i="120" a="1"/>
  <c r="P93" i="120" s="1"/>
  <c r="O93" i="120" a="1"/>
  <c r="O93" i="120" s="1"/>
  <c r="N93" i="120" a="1"/>
  <c r="N93" i="120" s="1"/>
  <c r="M93" i="120" a="1"/>
  <c r="M93" i="120" s="1"/>
  <c r="L93" i="120" a="1"/>
  <c r="L93" i="120" s="1"/>
  <c r="K93" i="120" a="1"/>
  <c r="K93" i="120" s="1"/>
  <c r="J93" i="120" a="1"/>
  <c r="J93" i="120" s="1"/>
  <c r="I93" i="120" a="1"/>
  <c r="I93" i="120" s="1"/>
  <c r="H93" i="120" a="1"/>
  <c r="H93" i="120" s="1"/>
  <c r="G93" i="120" a="1"/>
  <c r="G93" i="120" s="1"/>
  <c r="F93" i="120" a="1"/>
  <c r="F93" i="120" s="1"/>
  <c r="E93" i="120" a="1"/>
  <c r="E93" i="120" s="1"/>
  <c r="D93" i="120" a="1"/>
  <c r="D93" i="120" s="1"/>
  <c r="S92" i="120" a="1"/>
  <c r="S92" i="120" s="1"/>
  <c r="R92" i="120" a="1"/>
  <c r="R92" i="120" s="1"/>
  <c r="Q92" i="120" a="1"/>
  <c r="Q92" i="120" s="1"/>
  <c r="P92" i="120" a="1"/>
  <c r="P92" i="120" s="1"/>
  <c r="O92" i="120" a="1"/>
  <c r="O92" i="120" s="1"/>
  <c r="N92" i="120" a="1"/>
  <c r="N92" i="120" s="1"/>
  <c r="M92" i="120" a="1"/>
  <c r="M92" i="120" s="1"/>
  <c r="L92" i="120" a="1"/>
  <c r="L92" i="120" s="1"/>
  <c r="K92" i="120" a="1"/>
  <c r="K92" i="120" s="1"/>
  <c r="J92" i="120" a="1"/>
  <c r="J92" i="120" s="1"/>
  <c r="I92" i="120" a="1"/>
  <c r="I92" i="120" s="1"/>
  <c r="H92" i="120" a="1"/>
  <c r="H92" i="120" s="1"/>
  <c r="G92" i="120" a="1"/>
  <c r="G92" i="120" s="1"/>
  <c r="F92" i="120" a="1"/>
  <c r="F92" i="120" s="1"/>
  <c r="E92" i="120" a="1"/>
  <c r="E92" i="120" s="1"/>
  <c r="D92" i="120" a="1"/>
  <c r="D92" i="120" s="1"/>
  <c r="S91" i="120" a="1"/>
  <c r="S91" i="120" s="1"/>
  <c r="R91" i="120" a="1"/>
  <c r="R91" i="120" s="1"/>
  <c r="Q91" i="120" a="1"/>
  <c r="Q91" i="120" s="1"/>
  <c r="P91" i="120" a="1"/>
  <c r="P91" i="120" s="1"/>
  <c r="O91" i="120" a="1"/>
  <c r="O91" i="120" s="1"/>
  <c r="N91" i="120" a="1"/>
  <c r="N91" i="120" s="1"/>
  <c r="M91" i="120" a="1"/>
  <c r="M91" i="120" s="1"/>
  <c r="L91" i="120" a="1"/>
  <c r="L91" i="120" s="1"/>
  <c r="K91" i="120" a="1"/>
  <c r="K91" i="120" s="1"/>
  <c r="J91" i="120" a="1"/>
  <c r="J91" i="120" s="1"/>
  <c r="I91" i="120" a="1"/>
  <c r="I91" i="120" s="1"/>
  <c r="H91" i="120" a="1"/>
  <c r="H91" i="120" s="1"/>
  <c r="G91" i="120" a="1"/>
  <c r="G91" i="120" s="1"/>
  <c r="F91" i="120" a="1"/>
  <c r="F91" i="120" s="1"/>
  <c r="E91" i="120" a="1"/>
  <c r="E91" i="120" s="1"/>
  <c r="D91" i="120" a="1"/>
  <c r="D91" i="120" s="1"/>
  <c r="S90" i="120" a="1"/>
  <c r="S90" i="120" s="1"/>
  <c r="R90" i="120" a="1"/>
  <c r="R90" i="120" s="1"/>
  <c r="Q90" i="120" a="1"/>
  <c r="Q90" i="120" s="1"/>
  <c r="P90" i="120" a="1"/>
  <c r="P90" i="120" s="1"/>
  <c r="O90" i="120" a="1"/>
  <c r="O90" i="120" s="1"/>
  <c r="N90" i="120" a="1"/>
  <c r="N90" i="120" s="1"/>
  <c r="M90" i="120" a="1"/>
  <c r="M90" i="120" s="1"/>
  <c r="L90" i="120" a="1"/>
  <c r="L90" i="120" s="1"/>
  <c r="K90" i="120" a="1"/>
  <c r="K90" i="120" s="1"/>
  <c r="J90" i="120" a="1"/>
  <c r="J90" i="120" s="1"/>
  <c r="I90" i="120" a="1"/>
  <c r="I90" i="120" s="1"/>
  <c r="H90" i="120" a="1"/>
  <c r="H90" i="120" s="1"/>
  <c r="G90" i="120" a="1"/>
  <c r="G90" i="120" s="1"/>
  <c r="F90" i="120" a="1"/>
  <c r="F90" i="120" s="1"/>
  <c r="E90" i="120" a="1"/>
  <c r="E90" i="120" s="1"/>
  <c r="D90" i="120" a="1"/>
  <c r="D90" i="120" s="1"/>
  <c r="D83" i="120" a="1"/>
  <c r="D83" i="120" s="1"/>
  <c r="D82" i="120" a="1"/>
  <c r="D82" i="120" s="1"/>
  <c r="D81" i="120" a="1"/>
  <c r="D81" i="120" s="1"/>
  <c r="E77" i="120" a="1"/>
  <c r="E77" i="120" s="1"/>
  <c r="D77" i="120" a="1"/>
  <c r="D77" i="120" s="1"/>
  <c r="E76" i="120" a="1"/>
  <c r="E76" i="120" s="1"/>
  <c r="D76" i="120" a="1"/>
  <c r="D76" i="120" s="1"/>
  <c r="E75" i="120" a="1"/>
  <c r="E75" i="120" s="1"/>
  <c r="D75" i="120" a="1"/>
  <c r="D75" i="120" s="1"/>
  <c r="E74" i="120" a="1"/>
  <c r="E74" i="120" s="1"/>
  <c r="D74" i="120" a="1"/>
  <c r="D74" i="120" s="1"/>
  <c r="E73" i="120" a="1"/>
  <c r="E73" i="120" s="1"/>
  <c r="D73" i="120" a="1"/>
  <c r="D73" i="120" s="1"/>
  <c r="E72" i="120" a="1"/>
  <c r="E72" i="120" s="1"/>
  <c r="D72" i="120" a="1"/>
  <c r="D72" i="120" s="1"/>
  <c r="E71" i="120" a="1"/>
  <c r="E71" i="120" s="1"/>
  <c r="D71" i="120" a="1"/>
  <c r="D71" i="120" s="1"/>
  <c r="E70" i="120" a="1"/>
  <c r="E70" i="120" s="1"/>
  <c r="D70" i="120" a="1"/>
  <c r="D70" i="120" s="1"/>
  <c r="E69" i="120" a="1"/>
  <c r="E69" i="120" s="1"/>
  <c r="D69" i="120" a="1"/>
  <c r="D69" i="120" s="1"/>
  <c r="E68" i="120" a="1"/>
  <c r="E68" i="120" s="1"/>
  <c r="D68" i="120" a="1"/>
  <c r="D68" i="120" s="1"/>
  <c r="E67" i="120" a="1"/>
  <c r="E67" i="120" s="1"/>
  <c r="D67" i="120" a="1"/>
  <c r="D67" i="120" s="1"/>
  <c r="E66" i="120" a="1"/>
  <c r="E66" i="120" s="1"/>
  <c r="D66" i="120" a="1"/>
  <c r="D66" i="120" s="1"/>
  <c r="E65" i="120" a="1"/>
  <c r="E65" i="120" s="1"/>
  <c r="D65" i="120" a="1"/>
  <c r="D65" i="120" s="1"/>
  <c r="E64" i="120" a="1"/>
  <c r="E64" i="120" s="1"/>
  <c r="D64" i="120" a="1"/>
  <c r="D64" i="120" s="1"/>
  <c r="D59" i="120" a="1"/>
  <c r="D59" i="120" s="1"/>
  <c r="D58" i="120" a="1"/>
  <c r="D58" i="120" s="1"/>
  <c r="D57" i="120" a="1"/>
  <c r="D57" i="120" s="1"/>
  <c r="G54" i="120" a="1"/>
  <c r="G54" i="120" s="1"/>
  <c r="F54" i="120" a="1"/>
  <c r="F54" i="120" s="1"/>
  <c r="E54" i="120" a="1"/>
  <c r="E54" i="120" s="1"/>
  <c r="D54" i="120" a="1"/>
  <c r="D54" i="120" s="1"/>
  <c r="G53" i="120" a="1"/>
  <c r="G53" i="120" s="1"/>
  <c r="F53" i="120" a="1"/>
  <c r="F53" i="120" s="1"/>
  <c r="E53" i="120" a="1"/>
  <c r="E53" i="120" s="1"/>
  <c r="D53" i="120" a="1"/>
  <c r="D53" i="120" s="1"/>
  <c r="G52" i="120" a="1"/>
  <c r="G52" i="120" s="1"/>
  <c r="F52" i="120" a="1"/>
  <c r="F52" i="120" s="1"/>
  <c r="E52" i="120" a="1"/>
  <c r="E52" i="120" s="1"/>
  <c r="D52" i="120" a="1"/>
  <c r="D52" i="120" s="1"/>
  <c r="G51" i="120" a="1"/>
  <c r="G51" i="120" s="1"/>
  <c r="F51" i="120" a="1"/>
  <c r="F51" i="120" s="1"/>
  <c r="E51" i="120" a="1"/>
  <c r="E51" i="120" s="1"/>
  <c r="D51" i="120" a="1"/>
  <c r="D51" i="120" s="1"/>
  <c r="G50" i="120" a="1"/>
  <c r="G50" i="120" s="1"/>
  <c r="F50" i="120" a="1"/>
  <c r="F50" i="120" s="1"/>
  <c r="E50" i="120" a="1"/>
  <c r="E50" i="120" s="1"/>
  <c r="D50" i="120" a="1"/>
  <c r="D50" i="120" s="1"/>
  <c r="G49" i="120" a="1"/>
  <c r="G49" i="120" s="1"/>
  <c r="F49" i="120" a="1"/>
  <c r="F49" i="120" s="1"/>
  <c r="E49" i="120" a="1"/>
  <c r="E49" i="120" s="1"/>
  <c r="D49" i="120" a="1"/>
  <c r="D49" i="120" s="1"/>
  <c r="G48" i="120" a="1"/>
  <c r="G48" i="120" s="1"/>
  <c r="F48" i="120" a="1"/>
  <c r="F48" i="120" s="1"/>
  <c r="H48" i="120" s="1"/>
  <c r="E48" i="120" a="1"/>
  <c r="E48" i="120" s="1"/>
  <c r="D48" i="120" a="1"/>
  <c r="D48" i="120" s="1"/>
  <c r="D46" i="120" a="1"/>
  <c r="D46" i="120" s="1"/>
  <c r="D45" i="120" a="1"/>
  <c r="D45" i="120" s="1"/>
  <c r="E43" i="120" a="1"/>
  <c r="E43" i="120" s="1"/>
  <c r="D43" i="120" a="1"/>
  <c r="D43" i="120" s="1"/>
  <c r="E42" i="120" a="1"/>
  <c r="E42" i="120" s="1"/>
  <c r="D42" i="120" a="1"/>
  <c r="D42" i="120" s="1"/>
  <c r="E41" i="120" a="1"/>
  <c r="E41" i="120" s="1"/>
  <c r="D41" i="120" a="1"/>
  <c r="D41" i="120" s="1"/>
  <c r="E40" i="120" a="1"/>
  <c r="E40" i="120" s="1"/>
  <c r="D40" i="120" a="1"/>
  <c r="D40" i="120" s="1"/>
  <c r="E39" i="120" a="1"/>
  <c r="E39" i="120" s="1"/>
  <c r="D39" i="120" a="1"/>
  <c r="D39" i="120" s="1"/>
  <c r="E38" i="120" a="1"/>
  <c r="E38" i="120" s="1"/>
  <c r="D38" i="120" a="1"/>
  <c r="D38" i="120" s="1"/>
  <c r="E37" i="120" a="1"/>
  <c r="E37" i="120" s="1"/>
  <c r="D37" i="120" a="1"/>
  <c r="D37" i="120" s="1"/>
  <c r="D35" i="120" a="1"/>
  <c r="D35" i="120" s="1"/>
  <c r="D34" i="120" a="1"/>
  <c r="D34" i="120" s="1"/>
  <c r="D30" i="120" a="1"/>
  <c r="D30" i="120" s="1"/>
  <c r="D29" i="120" a="1"/>
  <c r="D29" i="120" s="1"/>
  <c r="D28" i="120" a="1"/>
  <c r="D28" i="120" s="1"/>
  <c r="D27" i="120" a="1"/>
  <c r="D27" i="120" s="1"/>
  <c r="D26" i="120" a="1"/>
  <c r="D26" i="120" s="1"/>
  <c r="D25" i="120" a="1"/>
  <c r="D25" i="120" s="1"/>
  <c r="D24" i="120" a="1"/>
  <c r="D24" i="120" s="1"/>
  <c r="D23" i="120" a="1"/>
  <c r="D23" i="120" s="1"/>
  <c r="D22" i="120" a="1"/>
  <c r="D22" i="120" s="1"/>
  <c r="D21" i="120" a="1"/>
  <c r="D21" i="120" s="1"/>
  <c r="D19" i="120" a="1"/>
  <c r="D19" i="120" s="1"/>
  <c r="D18" i="120" a="1"/>
  <c r="D18" i="120" s="1"/>
  <c r="F14" i="120" a="1"/>
  <c r="F14" i="120" s="1"/>
  <c r="E14" i="120" a="1"/>
  <c r="E14" i="120" s="1"/>
  <c r="D14" i="120" a="1"/>
  <c r="D14" i="120" s="1"/>
  <c r="F13" i="120" a="1"/>
  <c r="F13" i="120" s="1"/>
  <c r="E13" i="120" a="1"/>
  <c r="E13" i="120" s="1"/>
  <c r="D13" i="120" a="1"/>
  <c r="D13" i="120" s="1"/>
  <c r="F12" i="120" a="1"/>
  <c r="F12" i="120" s="1"/>
  <c r="E12" i="120" a="1"/>
  <c r="E12" i="120" s="1"/>
  <c r="D12" i="120" a="1"/>
  <c r="D12" i="120" s="1"/>
  <c r="F11" i="120" a="1"/>
  <c r="F11" i="120" s="1"/>
  <c r="E11" i="120" a="1"/>
  <c r="E11" i="120" s="1"/>
  <c r="D11" i="120" a="1"/>
  <c r="D11" i="120" s="1"/>
  <c r="F10" i="120" a="1"/>
  <c r="F10" i="120" s="1"/>
  <c r="E10" i="120" a="1"/>
  <c r="E10" i="120" s="1"/>
  <c r="D10" i="120" a="1"/>
  <c r="D10" i="120" s="1"/>
  <c r="F9" i="120" a="1"/>
  <c r="F9" i="120" s="1"/>
  <c r="E9" i="120" a="1"/>
  <c r="E9" i="120" s="1"/>
  <c r="D9" i="120" a="1"/>
  <c r="D9" i="120" s="1"/>
  <c r="F8" i="120" a="1"/>
  <c r="F8" i="120" s="1"/>
  <c r="E8" i="120" a="1"/>
  <c r="E8" i="120" s="1"/>
  <c r="D8" i="120" a="1"/>
  <c r="D8" i="120" s="1"/>
  <c r="F7" i="120" a="1"/>
  <c r="F7" i="120" s="1"/>
  <c r="E7" i="120" a="1"/>
  <c r="E7" i="120" s="1"/>
  <c r="D7" i="120" a="1"/>
  <c r="D7" i="120" s="1"/>
  <c r="D5" i="120" a="1"/>
  <c r="D5" i="120" s="1"/>
  <c r="D67" i="116"/>
  <c r="D66" i="116"/>
  <c r="D65" i="116"/>
  <c r="I60" i="116"/>
  <c r="I59" i="116"/>
  <c r="I58" i="116"/>
  <c r="I18" i="116"/>
  <c r="I17" i="116"/>
  <c r="I16" i="116"/>
  <c r="J53" i="115"/>
  <c r="J52" i="115"/>
  <c r="I128" i="115"/>
  <c r="I127" i="115"/>
  <c r="K47" i="113"/>
  <c r="I52" i="74"/>
  <c r="S73" i="69"/>
  <c r="S71" i="69"/>
  <c r="S70" i="69"/>
  <c r="I54" i="69"/>
  <c r="I52" i="69"/>
  <c r="H18" i="70"/>
  <c r="H19" i="70"/>
  <c r="H20" i="70"/>
  <c r="H21" i="70"/>
  <c r="H22" i="70"/>
  <c r="H51" i="120" l="1"/>
  <c r="H53" i="120"/>
  <c r="H50" i="120"/>
  <c r="H54" i="120"/>
  <c r="H52" i="120"/>
  <c r="H49" i="120"/>
  <c r="F39" i="70"/>
  <c r="G39" i="70" s="1"/>
  <c r="K39" i="70"/>
  <c r="F28" i="70"/>
  <c r="G28" i="70" s="1"/>
  <c r="G50" i="70"/>
  <c r="H50" i="70"/>
  <c r="I50" i="70" s="1"/>
  <c r="I129" i="115" l="1"/>
  <c r="K48" i="113"/>
  <c r="I55" i="69"/>
  <c r="J54" i="115"/>
  <c r="S74" i="69"/>
  <c r="J50"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E49" i="116" a="1"/>
  <c r="E83" i="116" a="1"/>
  <c r="E7"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90" i="115" a="1"/>
  <c r="E7" i="114" a="1"/>
  <c r="E43" i="115" a="1"/>
  <c r="E118" i="115" a="1"/>
  <c r="E7" i="113" a="1"/>
  <c r="E38" i="113" a="1"/>
  <c r="E7" i="115" a="1"/>
  <c r="E105" i="115" l="1"/>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E65" i="116" l="1"/>
  <c r="E102" i="115"/>
  <c r="F102" i="115" s="1" a="1"/>
  <c r="F102" i="115" s="1"/>
  <c r="E134" i="115" s="1"/>
  <c r="I22" i="113" a="1"/>
  <c r="I22" i="113" s="1"/>
  <c r="I21" i="113" a="1"/>
  <c r="I21" i="113" s="1"/>
  <c r="E66" i="116" l="1"/>
  <c r="E103" i="115"/>
  <c r="F104" i="115" a="1"/>
  <c r="F104" i="115" s="1"/>
  <c r="E136" i="115" s="1"/>
  <c r="E67" i="116"/>
  <c r="E104" i="115"/>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T54" i="69"/>
  <c r="T53" i="69"/>
  <c r="N50" i="69" a="1"/>
  <c r="N50" i="69" s="1"/>
  <c r="N45" i="69" a="1"/>
  <c r="N45" i="69" s="1"/>
  <c r="F85" i="69" a="1"/>
  <c r="F85" i="69" s="1"/>
  <c r="D82" i="69" a="1"/>
  <c r="D82" i="69" s="1"/>
  <c r="E42" i="69" a="1"/>
  <c r="E7" i="74" a="1"/>
  <c r="N60" i="69"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E12" i="13" l="1"/>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8" i="70" l="1"/>
  <c r="F22" i="70"/>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6" i="69" l="1"/>
  <c r="W49" i="69"/>
  <c r="W48" i="69"/>
  <c r="W47" i="69"/>
  <c r="E21" i="115"/>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4" i="13" s="1"/>
  <c r="F14" i="13" s="1"/>
  <c r="E10" i="13"/>
  <c r="F10" i="13" s="1"/>
  <c r="H10" i="13"/>
  <c r="I10" i="13" s="1"/>
  <c r="V48" i="69" a="1"/>
  <c r="V48" i="69" s="1"/>
  <c r="V49" i="69" a="1"/>
  <c r="V49" i="69" s="1"/>
  <c r="S45" i="69" a="1"/>
  <c r="S45" i="69" s="1"/>
  <c r="V50" i="69" a="1"/>
  <c r="V50" i="69" s="1"/>
  <c r="E79" i="115"/>
  <c r="F13" i="13" s="1"/>
  <c r="T45" i="69"/>
  <c r="U45" i="69" s="1"/>
  <c r="Q45" i="69"/>
  <c r="R45" i="69" a="1"/>
  <c r="R45" i="69" s="1"/>
  <c r="V46" i="69" a="1"/>
  <c r="V46" i="69" s="1"/>
  <c r="V47" i="69" a="1"/>
  <c r="V47" i="69" s="1"/>
  <c r="E78" i="69" a="1"/>
  <c r="E78" i="69" s="1"/>
  <c r="G96" i="116" l="1"/>
  <c r="E99" i="116" s="1" a="1"/>
  <c r="E99" i="116" s="1"/>
  <c r="H14" i="13" s="1"/>
  <c r="I14" i="13" s="1"/>
  <c r="G81" i="115"/>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50" i="113" s="1" a="1"/>
  <c r="E50" i="113" s="1"/>
  <c r="E11" i="13" s="1"/>
  <c r="E80" i="69" l="1"/>
  <c r="E9" i="13" s="1"/>
  <c r="G52" i="113"/>
  <c r="E55" i="113" s="1"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N88" i="69"/>
  <c r="F9" i="13" s="1"/>
  <c r="P90" i="69" l="1"/>
  <c r="N93" i="69" s="1" a="1"/>
  <c r="N93" i="69" s="1"/>
  <c r="I9" i="13" s="1"/>
  <c r="I15" i="13" s="1"/>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<sst xmlns="http://schemas.openxmlformats.org/spreadsheetml/2006/main" count="547" uniqueCount="328">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</sst>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B37FE4-2DE1-418C-B7F0-AC17788A8265}"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98723F7-5890-40E7-8E97-AA509353FE2B}" name="State/Territory">
      <calculatedColumnFormula array="1">Common_InputFunctions.Utility_DisplayArrayInTable(Common_SourceData.Common_SourceData_AustralianStatesTerritories_Data(),Table_AustralianStates[[#Headers],[State/Territory]],0)</calculatedColumnFormula>
    </tableColumn>
    <tableColumn id="2" xr3:uid="{7353996B-515F-4E3C-BD07-502C8DAA5B3E}" name="Common Name">
      <calculatedColumnFormula array="1">Common_InputFunctions.Utility_DisplayArrayInTable(Common_SourceData.Common_SourceData_AustralianStatesTerritories_Data(),Table_AustralianStates[[#Headers],[State/Territory]],0)</calculatedColumnFormula>
    </tableColumn>
    <tableColumn id="3" xr3:uid="{B24729D5-50BA-4BB5-B3F4-547DCBC3EC9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9D021BC-4D7D-4AFC-B97D-5010F1DAA8C9}" name="Table_WASA4Areas" displayName="Table_WASA4Areas" ref="D20:D30" totalsRowShown="0">
  <autoFilter ref="D20:D30" xr:uid="{5FA81339-C6C8-4D36-BEEA-6C4AEDD9E676}">
    <filterColumn colId="0" hiddenButton="1"/>
  </autoFilter>
  <tableColumns count="1">
    <tableColumn id="1" xr3:uid="{607FF152-149B-41B4-B165-4C40F292AE47}"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CCCBB27-3240-46A9-85C6-90E3C6EA870A}" name="Table_GWPData" displayName="Table_GWPData" ref="D36:E43" totalsRowShown="0">
  <autoFilter ref="D36:E43" xr:uid="{B8E87A66-3E41-4AD3-925D-01EE21B43D7A}">
    <filterColumn colId="0" hiddenButton="1"/>
    <filterColumn colId="1" hiddenButton="1"/>
  </autoFilter>
  <tableColumns count="2">
    <tableColumn id="1" xr3:uid="{B13E031D-75CB-47D2-A89F-C14129B45EC3}" name="Gas">
      <calculatedColumnFormula array="1">Common_InputFunctions.Utility_DisplayArrayInTable(Common_SourceData.Common_SourceData_GWP_Data(), Table_GWPData[[#Headers],[Gas]], 0)</calculatedColumnFormula>
    </tableColumn>
    <tableColumn id="2" xr3:uid="{D6BEEBA2-60A0-4E2B-A33C-7B7D5FFE406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C53897B-004F-4811-BE24-4B885C276424}"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6BDE728-0791-4954-8158-B66594A51246}" name="Gas">
      <calculatedColumnFormula array="1">Common_InputFunctions.Utility_DisplayArrayInTable(Common_SourceData.Common_SourceData_ConvertGasElementalToMolecular_Data(),Table_GasToMolecularConversionFactor[[#Headers],[Gas]], 0)</calculatedColumnFormula>
    </tableColumn>
    <tableColumn id="5" xr3:uid="{9E75D736-ADE2-40B5-86B1-EADE9CDDA8BE}" name="Conversion factor">
      <calculatedColumnFormula array="1">Common_InputFunctions.Utility_DisplayArrayInTable(Common_SourceData.Common_SourceData_ConvertGasElementalToMolecular_Data(),Table_GasToMolecularConversionFactor[[#Headers],[Gas]], 0)</calculatedColumnFormula>
    </tableColumn>
    <tableColumn id="2" xr3:uid="{3C6F50B1-FDDD-4E59-8E23-0BAD1E7B8D64}" name="Conversion factor 1">
      <calculatedColumnFormula array="1">Common_InputFunctions.Utility_DisplayArrayInTable(Common_SourceData.Common_SourceData_ConvertGasElementalToMolecular_Data(),Table_GasToMolecularConversionFactor[[#Headers],[Gas]], 0)</calculatedColumnFormula>
    </tableColumn>
    <tableColumn id="3" xr3:uid="{9D24852F-B653-4DB6-B44A-C70BE1E1F66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35E125D-476E-4C11-95F5-EF3FA5D116B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123D7A0-CF55-4E71-8705-A8B434134D7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1937E1-302A-42BC-926E-E36373ED313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6EE02E6-25EE-427E-9799-872F363B8EE6}"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603FBB37-3622-46EE-90F3-0543DE9E4FA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5F8E11F4-BAC9-4206-A8E2-0787D8B41503}"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D224A692-080E-4EFA-B86E-30863EC577D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F8F406DE-F02E-4541-8FEB-003636131DD6}"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5E4B621F-A8F9-47A0-B5BD-84AEE330239A}"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D6D41CB1-2276-4BEE-B2AC-4F0FDF6BE3A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EDF7B967-3712-420D-85B1-D8F56F22DE28}"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298F5B6E-60B6-42AC-A9FA-FEEC406F1DFA}"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D06FF22F-6333-4ADB-AEA7-1D93067F5699}"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40741D10-39D7-49E8-9EB1-77F548CDFCB7}"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3D59DB45-A5C1-48DC-BC26-BF75030D1C8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F4A9F7E5-550B-47AB-A2E6-1B3E6D7D4FE6}"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3CD17FE9-16D5-4E88-97D8-167C84C8022B}"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7BCCC7CB-3077-4370-8803-6EA45D09433B}"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173FA9F-B0B4-4B9C-A0BF-6624B051F66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B722C554-0DC6-4427-8956-125D86CD024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9E2BC156-61FD-4D1E-BA62-AA433385649B}"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66874153-AB39-4F05-9742-88D35993EF5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F29E199-8F84-4F11-9FC9-F1EF5C7B6EC1}" name="Temperature Zone">
      <calculatedColumnFormula array="1">Common_InputFunctions.Utility_DisplayArrayInTable(Common_SourceData.Common_SourceData_TemperatureZones_Data(),Table_SourceData_TemperatureZones[[#Headers],[Temperature Zone]],0)</calculatedColumnFormula>
    </tableColumn>
    <tableColumn id="2" xr3:uid="{5E4A59A0-CBE5-4F11-ADC6-F68F8CBBDD0B}" name="MAT">
      <calculatedColumnFormula array="1">Common_InputFunctions.Utility_DisplayArrayInTable(Common_SourceData.Common_SourceData_TemperatureZones_Data(),Table_SourceData_TemperatureZones[[#Headers],[Temperature Zone]],0)</calculatedColumnFormula>
    </tableColumn>
    <tableColumn id="3" xr3:uid="{E7E6DE8E-5D84-42C8-B758-EADF117E0DA6}" name="Min MAT">
      <calculatedColumnFormula array="1">Common_InputFunctions.Utility_DisplayArrayInTable(Common_SourceData.Common_SourceData_TemperatureZones_Data(),Table_SourceData_TemperatureZones[[#Headers],[Temperature Zone]],0)</calculatedColumnFormula>
    </tableColumn>
    <tableColumn id="4" xr3:uid="{35ADE4E5-28F9-4A1D-96FF-60071AE3727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86CC02E-AC1E-4CFC-ACBE-56D358B13BA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C46DB5C4-AA15-49B3-AC0B-D34545F7FACB}" name="Rainfall Zone">
      <calculatedColumnFormula array="1">Common_InputFunctions.Utility_DisplayArrayInTable(Common_SourceData.Common_SourceData_RainfallZones_Data(),Table_SourceData_RainfallZones[[#Headers],[Rainfall Zone]],0)</calculatedColumnFormula>
    </tableColumn>
    <tableColumn id="2" xr3:uid="{555A3D7C-041C-4767-812F-74EE8C2E5B3D}" name="Annual rainfall">
      <calculatedColumnFormula array="1">Common_InputFunctions.Utility_DisplayArrayInTable(Common_SourceData.Common_SourceData_RainfallZones_Data(),Table_SourceData_RainfallZones[[#Headers],[Rainfall Zone]],0)</calculatedColumnFormula>
    </tableColumn>
    <tableColumn id="3" xr3:uid="{ED275937-5062-4783-8EFD-841689F368ED}" name="Min rainfall">
      <calculatedColumnFormula array="1">Common_InputFunctions.Utility_DisplayArrayInTable(Common_SourceData.Common_SourceData_RainfallZones_Data(),Table_SourceData_RainfallZones[[#Headers],[Rainfall Zone]],0)</calculatedColumnFormula>
    </tableColumn>
    <tableColumn id="4" xr3:uid="{8C2B265C-442C-47BA-AD87-4FEF242548A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AB06814-BC9C-43DE-A3DD-61FD8BAA4C9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2C2859C-5A70-4B6D-97FE-216B14F7E72F}" name="Leaching Zone">
      <calculatedColumnFormula array="1">Common_InputFunctions.Utility_DisplayArrayInTable(Common_SourceData.Common_SourceData_LeachingZones_Data(), Table_SourceData_LeachingZones[[#Headers],[Leaching Zone]], 0)</calculatedColumnFormula>
    </tableColumn>
    <tableColumn id="2" xr3:uid="{5C6B61F9-A090-4604-8733-4A811C82A51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2FBEF34-2B47-44AA-B9B4-94DC541E97C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70A2884-1E14-4445-9CC7-0AC602575E6F}" name="Data source">
      <calculatedColumnFormula array="1">Common_InputFunctions.Utility_DisplayArrayInTable(Common_SourceData.Common_SourceData_DataScores_Scope3_Data(), Table_SourceData_DataScores_Scope3[[#Headers],[Data source]], 0)</calculatedColumnFormula>
    </tableColumn>
    <tableColumn id="2" xr3:uid="{0CAEB7FE-4BBA-43F3-A7E8-71064BB54F6B}"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C6D2422-0C57-40DB-9E82-B2131B3155BC}" name="Table_SourceData_FracWET" displayName="Table_SourceData_FracWET" ref="D134:E136" totalsRowShown="0">
  <autoFilter ref="D134:E136" xr:uid="{308E99BE-FE1F-47A4-B2CA-97217277C4E9}">
    <filterColumn colId="0" hiddenButton="1"/>
    <filterColumn colId="1" hiddenButton="1"/>
  </autoFilter>
  <tableColumns count="2">
    <tableColumn id="1" xr3:uid="{EFE145A9-9201-4DDC-B6F4-235F7E7A5894}" name="Is in leaching zone">
      <calculatedColumnFormula array="1">Common_InputFunctions.Utility_DisplayArrayInTable(Common_SourceData.Common_SourceData_FracWET_Data(),Table_SourceData_FracWET[[#Headers],[Is in leaching zone]],0)</calculatedColumnFormula>
    </tableColumn>
    <tableColumn id="2" xr3:uid="{B0EF3425-B1D1-4DEE-9439-FDEBD7654A3C}"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45CFC47-20BB-4F8A-B4BC-182684142C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A78D026-4B65-4D58-B2B1-B599DC09C113}" name="Production system j">
      <calculatedColumnFormula array="1">Common_InputFunctions.Utility_DisplayArrayInTable(Common_SourceData.Common_SourceData_EFN2O_Data(), Table_SourceData_Common_EFN2O[[#Headers],[Production system j]], 0)</calculatedColumnFormula>
    </tableColumn>
    <tableColumn id="2" xr3:uid="{011A1A33-0D70-4C2E-A8DE-008D3C3F44B8}" name="EFN2O">
      <calculatedColumnFormula array="1">Common_InputFunctions.Utility_DisplayArrayInTable(Common_SourceData.Common_SourceData_EFN2O_Data(), Table_SourceData_Common_EFN2O[[#Headers],[Production system j]], 0)</calculatedColumnFormula>
    </tableColumn>
    <tableColumn id="3" xr3:uid="{CA2FC6C1-ACA0-4BF3-8879-9E2128C12016}" name="Production system only">
      <calculatedColumnFormula array="1">Common_InputFunctions.Utility_DisplayArrayInTable(Common_SourceData.Common_SourceData_EFN2O_Data(), Table_SourceData_Common_EFN2O[[#Headers],[Production system j]], 0)</calculatedColumnFormula>
    </tableColumn>
    <tableColumn id="4" xr3:uid="{A140CA67-697A-4922-9CB4-9BC0E9E447F7}" name="Irrigation method">
      <calculatedColumnFormula array="1">Common_InputFunctions.Utility_DisplayArrayInTable(Common_SourceData.Common_SourceData_EFN2O_Data(), Table_SourceData_Common_EFN2O[[#Headers],[Production system j]], 0)</calculatedColumnFormula>
    </tableColumn>
    <tableColumn id="5" xr3:uid="{55D67C4D-5118-4CD1-B0CC-4C673609BA3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4C49D1B-F162-4EEA-BBA9-D942A6F957A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13C740BF-DCAC-40AF-826C-635DBF170443}" name="Irrigation type i">
      <calculatedColumnFormula array="1">Common_InputFunctions.Utility_DisplayArrayInTable(Common_SourceData.Common_SourceData_FracWETIrrigation_Data(), Table_SourceData_FracWETIrrigation[[#Headers],[Irrigation type i]], 0)</calculatedColumnFormula>
    </tableColumn>
    <tableColumn id="2" xr3:uid="{391C8750-695E-43CB-8674-564F51CAA686}"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C9F3125A-2DDF-415D-9F63-14592A8BE0F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6C653B0-9DDC-4FC5-A34F-784CFF066526}"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03DC924-36E0-4447-BB70-52A48B5D19FD}"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3198819-1ADF-45A9-9726-AF9CD243501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945D830F-6D1C-4E08-B857-E4F8F5D68C1E}" name="Month">
      <calculatedColumnFormula array="1">Common_InputFunctions.Utility_DisplayArrayInTable(Common_SourceData.Common_SourceData_MonthsToSeasons_Data(), Table_SourceData_Common_MonthToSeason[[#Headers],[Month]], 0)</calculatedColumnFormula>
    </tableColumn>
    <tableColumn id="2" xr3:uid="{081A3076-3604-4906-9914-D9B4EA2BD2D5}"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D9726EC-4603-4AA9-B84F-EEF00C3708C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F25188B-83A4-4D32-B30F-E27170A59E13}"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2F4B1CF-E2D5-4D85-9CFB-271C6CB9283D}"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BF08ACC-4294-4FE7-8922-C415C7DAAA10}"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1AC4F4C-77A9-4EF9-8534-805DCA05F3C1}"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FB43BCC3-1394-4461-B776-681EB17234E3}"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71A2936A-7C50-4F99-8ADB-BA1A06F6FB52}"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A92687-2240-45D4-AB1D-C3AF67C8B4D6}"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342C101-EA8A-4872-8B0D-B906BB421D29}"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D35EF1F3-52C6-49C2-823B-A9AD508B6C15}"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E83DFC4-DF34-4F3C-9BCC-7B4CB8FD16E1}"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C8541-7715-4E89-B44C-85B554B6EA33}"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FEFB06C-233F-4E80-A9A8-53ACCCBE6811}"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F64649C-067A-4839-B4D5-3889FA475E0E}"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E56827B-0773-4D55-A1A3-864F291B92C5}"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E676297-953D-4A11-A68C-19E5FE5BD106}"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0EA6E89-D119-42B6-AC0F-6E6FF903761C}"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1BDABE70-008F-4D0E-862B-7A4583C6328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F1C02F9-1ACE-40C4-B4F8-CE19DEA71D8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99D8170-D653-4DA6-834F-CBD145970584}"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306</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308</v>
      </c>
      <c r="E5" s="85"/>
      <c r="F5" s="85"/>
      <c r="G5" s="85"/>
      <c r="H5" s="85"/>
      <c r="I5" s="85"/>
      <c r="J5" s="85"/>
      <c r="K5" s="85"/>
      <c r="L5" s="85"/>
      <c r="M5" s="85"/>
      <c r="N5" s="85"/>
      <c r="O5" s="81"/>
    </row>
    <row r="6" spans="1:42" ht="20.100000000000001" customHeight="1" x14ac:dyDescent="0.25">
      <c r="A6" s="16"/>
      <c r="D6" s="175" t="s">
        <v>309</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69</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H9" sqref="H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307</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302</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82</v>
      </c>
      <c r="E8" s="104" t="s">
        <v>95</v>
      </c>
      <c r="F8" s="104" t="s">
        <v>96</v>
      </c>
      <c r="G8" s="104" t="s">
        <v>89</v>
      </c>
      <c r="H8" s="104" t="s">
        <v>97</v>
      </c>
      <c r="I8" s="104" t="s">
        <v>98</v>
      </c>
      <c r="J8" s="104" t="s">
        <v>90</v>
      </c>
      <c r="K8" s="22"/>
    </row>
    <row r="9" spans="1:11" ht="20.100000000000001" customHeight="1" x14ac:dyDescent="0.25">
      <c r="A9" s="17" t="str">
        <f>HYPERLINK("#'Input - Fertiliser'!A1", "Fertiliser")</f>
        <v>Fertiliser</v>
      </c>
      <c r="C9" s="22"/>
      <c r="D9" s="1" t="s">
        <v>295</v>
      </c>
      <c r="E9" s="170">
        <f>VEERG_5_1_1_1__1_InorganicFertiliserApplicationN2OEmissions_Result_Method1</f>
        <v>0.1431067</v>
      </c>
      <c r="F9" s="170">
        <f>VEERG_5_1_1_1__1_InorganicFertiliserApplicationN2OEmissions_Result_Method2</f>
        <v>0.1431067</v>
      </c>
      <c r="G9" s="52" t="s">
        <v>101</v>
      </c>
      <c r="H9" s="102">
        <f>'5.1.1.1-2 Inorganic fert N2O'!E85</f>
        <v>37.923275500000003</v>
      </c>
      <c r="I9" s="102">
        <f>'5.1.1.1-2 Inorganic fert N2O'!N93</f>
        <v>37.923275500000003</v>
      </c>
      <c r="J9" s="52" t="s">
        <v>93</v>
      </c>
      <c r="K9" s="22"/>
    </row>
    <row r="10" spans="1:11" ht="20.100000000000001" customHeight="1" x14ac:dyDescent="0.25">
      <c r="A10" s="17"/>
      <c r="C10" s="22"/>
      <c r="D10" s="1" t="s">
        <v>296</v>
      </c>
      <c r="E10" s="170">
        <f>VEERG_5_1_1_3__1_InorganicFertiliserApplicationCO2Emissions_Result_Method1</f>
        <v>7.333333333333333</v>
      </c>
      <c r="F10" s="170">
        <f>E10</f>
        <v>7.333333333333333</v>
      </c>
      <c r="G10" s="52" t="s">
        <v>260</v>
      </c>
      <c r="H10" s="102">
        <f>VEERG_5_1_1_3__1_InorganicFertiliserApplicationCO2Emissions_Result_Method1</f>
        <v>7.333333333333333</v>
      </c>
      <c r="I10" s="102">
        <f>H10</f>
        <v>7.333333333333333</v>
      </c>
      <c r="J10" s="52" t="s">
        <v>93</v>
      </c>
      <c r="K10" s="22"/>
    </row>
    <row r="11" spans="1:11" ht="20.100000000000001" customHeight="1" x14ac:dyDescent="0.25">
      <c r="A11" s="19" t="s">
        <v>69</v>
      </c>
      <c r="C11" s="22"/>
      <c r="D11" s="1" t="s">
        <v>297</v>
      </c>
      <c r="E11" s="170">
        <f>VEERG_5_2_1_1__2_MassOfNitrogenInOrganicFertiliser_Result_Method1</f>
        <v>5.5785714285714293E-3</v>
      </c>
      <c r="F11" s="170">
        <f>E11</f>
        <v>5.5785714285714293E-3</v>
      </c>
      <c r="G11" s="52" t="s">
        <v>101</v>
      </c>
      <c r="H11" s="102">
        <f>'5.2.1.1-2 Organic Fert N2O'!$E$55</f>
        <v>1.4783214285714288</v>
      </c>
      <c r="I11" s="102">
        <f>H11</f>
        <v>1.4783214285714288</v>
      </c>
      <c r="J11" s="52" t="s">
        <v>93</v>
      </c>
      <c r="K11" s="22"/>
    </row>
    <row r="12" spans="1:11" ht="20.100000000000001" customHeight="1" x14ac:dyDescent="0.25">
      <c r="A12" s="17" t="str">
        <f>HYPERLINK("#'5.1.1.1-2 Inorganic Fert N2O'!A1", "5.1.1.1-2 Inorganic Fert N2O")</f>
        <v>5.1.1.1-2 Inorganic Fert N2O</v>
      </c>
      <c r="C12" s="22"/>
      <c r="D12" s="1" t="s">
        <v>298</v>
      </c>
      <c r="E12" s="170">
        <f>VEERG_5_3_1_1__1_LimeApplicationCO2Emissions_Result_Method1</f>
        <v>75.808333333333337</v>
      </c>
      <c r="F12" s="170">
        <f>E12</f>
        <v>75.808333333333337</v>
      </c>
      <c r="G12" s="52" t="s">
        <v>260</v>
      </c>
      <c r="H12" s="102">
        <f>VEERG_5_3_1_1__1_LimeApplicationCO2Emissions_Result_Method1</f>
        <v>75.808333333333337</v>
      </c>
      <c r="I12" s="102">
        <f>H12</f>
        <v>75.808333333333337</v>
      </c>
      <c r="J12" s="52" t="s">
        <v>93</v>
      </c>
      <c r="K12" s="22"/>
    </row>
    <row r="13" spans="1:11" ht="20.100000000000001" customHeight="1" x14ac:dyDescent="0.25">
      <c r="A13" s="17" t="str">
        <f>HYPERLINK("#'5.1.1.3-4 Inorganic fert CO2'!A1", "5.1.1.3-4 Inorganic fert CO2")</f>
        <v>5.1.1.3-4 Inorganic fert CO2</v>
      </c>
      <c r="C13" s="22"/>
      <c r="D13" s="1" t="s">
        <v>299</v>
      </c>
      <c r="E13" s="170">
        <f>VEERG_5_4_1_1__1_InorganicFertiliserAtmosphericDepositionN2OEmissions_Result_Method1 + VEERG_5_4_1_3__1_OrganicFertiliserAtmosphericDepositionN2OEmissions_Result_Method1</f>
        <v>1.5692930000000001E-2</v>
      </c>
      <c r="F13" s="170">
        <f>E13</f>
        <v>1.5692930000000001E-2</v>
      </c>
      <c r="G13" s="52" t="s">
        <v>101</v>
      </c>
      <c r="H13" s="102">
        <f>'5.4.1.1-4 Atmos deposition'!E84 + '5.4.1.1-4 Atmos deposition'!$E$151</f>
        <v>4.1586264499999999</v>
      </c>
      <c r="I13" s="102">
        <f>H13</f>
        <v>4.1586264499999999</v>
      </c>
      <c r="J13" s="52" t="s">
        <v>93</v>
      </c>
      <c r="K13" s="22"/>
    </row>
    <row r="14" spans="1:11" ht="20.100000000000001" customHeight="1" x14ac:dyDescent="0.25">
      <c r="A14" s="17" t="str">
        <f>HYPERLINK("#'5.2.1.1-2 Organic Fert N2O'!A1", "5.2.1.1-2 Organic Fert N2O")</f>
        <v>5.2.1.1-2 Organic Fert N2O</v>
      </c>
      <c r="C14" s="22"/>
      <c r="D14" s="1" t="s">
        <v>300</v>
      </c>
      <c r="E14" s="170">
        <f>VEERG_5_5_1_1__1_FertiliserLeachingAndRunoffN2OEmissions_Result_Method1</f>
        <v>5.6917155428571425E-2</v>
      </c>
      <c r="F14" s="170">
        <f>E14</f>
        <v>5.6917155428571425E-2</v>
      </c>
      <c r="G14" s="52" t="s">
        <v>101</v>
      </c>
      <c r="H14" s="102">
        <f>'5.5.1.1-2 Leaching and runoff'!$E$99</f>
        <v>15.083046188571428</v>
      </c>
      <c r="I14" s="102">
        <f>H14</f>
        <v>15.083046188571428</v>
      </c>
      <c r="J14" s="52" t="s">
        <v>93</v>
      </c>
      <c r="K14" s="22"/>
    </row>
    <row r="15" spans="1:11" ht="20.100000000000001" customHeight="1" x14ac:dyDescent="0.3">
      <c r="A15" s="17" t="str">
        <f>HYPERLINK("#'5.3.1.1-2 Lime CO2'!A1", "5.3.1.1-2 Lime CO2")</f>
        <v>5.3.1.1-2 Lime CO2</v>
      </c>
      <c r="C15" s="22"/>
      <c r="D15" s="29" t="s">
        <v>88</v>
      </c>
      <c r="E15" s="23"/>
      <c r="F15" s="23"/>
      <c r="G15" s="29"/>
      <c r="H15" s="103">
        <f>SUM(H9:H14)</f>
        <v>141.78493623380953</v>
      </c>
      <c r="I15" s="103">
        <f>SUM(I9:I14)</f>
        <v>141.78493623380953</v>
      </c>
      <c r="J15" s="98" t="s">
        <v>93</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8" t="str">
        <f>HYPERLINK("#'Input - Site'!A1", "Site")</f>
        <v>Site</v>
      </c>
      <c r="D8" s="10" t="s">
        <v>67</v>
      </c>
      <c r="E8" s="33" t="s">
        <v>68</v>
      </c>
    </row>
    <row r="9" spans="1:24" ht="20.100000000000001" customHeight="1" x14ac:dyDescent="0.25">
      <c r="A9" s="17" t="str">
        <f>HYPERLINK("#'Input - Fertiliser'!A1", "Fertiliser")</f>
        <v>Fertiliser</v>
      </c>
      <c r="N9" s="42"/>
    </row>
    <row r="10" spans="1:24" ht="20.100000000000001" customHeight="1" x14ac:dyDescent="0.25">
      <c r="A10" s="17"/>
      <c r="D10" s="88" t="s">
        <v>71</v>
      </c>
      <c r="E10" s="86"/>
      <c r="F10" s="89"/>
      <c r="G10" s="83"/>
      <c r="N10" s="42"/>
    </row>
    <row r="11" spans="1:24" ht="20.100000000000001" customHeight="1" x14ac:dyDescent="0.25">
      <c r="A11" s="19" t="s">
        <v>69</v>
      </c>
      <c r="N11" s="43"/>
    </row>
    <row r="12" spans="1:24" ht="20.100000000000001" customHeight="1" x14ac:dyDescent="0.25">
      <c r="A12" s="17" t="str">
        <f>HYPERLINK("#'5.1.1.1-2 Inorganic Fert N2O'!A1", "5.1.1.1-2 Inorganic Fert N2O")</f>
        <v>5.1.1.1-2 Inorganic Fert N2O</v>
      </c>
      <c r="D12" s="10" t="s">
        <v>77</v>
      </c>
      <c r="E12" s="60">
        <v>45292</v>
      </c>
      <c r="F12" s="2" t="s">
        <v>65</v>
      </c>
    </row>
    <row r="13" spans="1:24" ht="20.100000000000001" customHeight="1" x14ac:dyDescent="0.25">
      <c r="A13" s="17" t="str">
        <f>HYPERLINK("#'5.1.1.3-4 Inorganic fert CO2'!A1", "5.1.1.3-4 Inorganic fert CO2")</f>
        <v>5.1.1.3-4 Inorganic fert CO2</v>
      </c>
      <c r="D13" s="10" t="s">
        <v>78</v>
      </c>
      <c r="E13" s="64">
        <f>DATE(YEAR(E12)+1,MONTH(E12),DAY(E12))-1</f>
        <v>45657</v>
      </c>
      <c r="F13" s="2" t="s">
        <v>15</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12</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14</v>
      </c>
      <c r="E18" s="85"/>
      <c r="F18" s="85"/>
      <c r="G18" s="81"/>
    </row>
    <row r="19" spans="1:25" ht="20.100000000000001" customHeight="1" x14ac:dyDescent="0.25">
      <c r="A19" s="18" t="s">
        <v>2</v>
      </c>
      <c r="D19" s="87" t="s">
        <v>66</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6</v>
      </c>
      <c r="E21" s="39" t="s">
        <v>100</v>
      </c>
      <c r="F21" s="2" t="s">
        <v>9</v>
      </c>
    </row>
    <row r="22" spans="1:25" ht="20.100000000000001" customHeight="1" x14ac:dyDescent="0.25">
      <c r="A22"/>
      <c r="D22" s="1" t="s">
        <v>21</v>
      </c>
      <c r="E22" s="39" t="s">
        <v>30</v>
      </c>
      <c r="F22" s="2" t="s">
        <v>9</v>
      </c>
      <c r="G22" s="1"/>
    </row>
    <row r="23" spans="1:25" ht="20.100000000000001" customHeight="1" x14ac:dyDescent="0.25">
      <c r="A23" s="17"/>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zoomScale="85" zoomScaleNormal="85" workbookViewId="0">
      <selection activeCell="H12" sqref="H1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305</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87</v>
      </c>
      <c r="E6" s="39" t="s">
        <v>131</v>
      </c>
      <c r="F6" s="2" t="s">
        <v>9</v>
      </c>
    </row>
    <row r="7" spans="1:25" ht="20.100000000000001" customHeight="1" x14ac:dyDescent="0.25">
      <c r="A7" s="20" t="s">
        <v>1</v>
      </c>
      <c r="D7" s="1" t="s">
        <v>164</v>
      </c>
      <c r="E7" s="39" t="s">
        <v>141</v>
      </c>
      <c r="F7" s="2" t="s">
        <v>9</v>
      </c>
    </row>
    <row r="8" spans="1:25" ht="20.100000000000001" customHeight="1" x14ac:dyDescent="0.25">
      <c r="A8" s="17" t="str">
        <f>HYPERLINK("#'Input - Site'!A1", "Site")</f>
        <v>Site</v>
      </c>
      <c r="D8" s="1" t="s">
        <v>86</v>
      </c>
      <c r="E8" s="39" t="s">
        <v>132</v>
      </c>
      <c r="F8" s="2" t="s">
        <v>9</v>
      </c>
    </row>
    <row r="9" spans="1:25" ht="20.100000000000001" customHeight="1" x14ac:dyDescent="0.25">
      <c r="A9" s="108" t="str">
        <f>HYPERLINK("#'Input - Fertiliser'!A1", "Fertiliser")</f>
        <v>Fertiliser</v>
      </c>
      <c r="D9" s="1" t="s">
        <v>186</v>
      </c>
      <c r="E9" s="136">
        <v>100</v>
      </c>
      <c r="F9" s="2" t="s">
        <v>178</v>
      </c>
    </row>
    <row r="10" spans="1:25" ht="20.100000000000001" customHeight="1" x14ac:dyDescent="0.25">
      <c r="A10" s="17"/>
    </row>
    <row r="11" spans="1:25" ht="20.100000000000001" customHeight="1" x14ac:dyDescent="0.25">
      <c r="A11" s="19" t="s">
        <v>69</v>
      </c>
      <c r="D11" s="6" t="s">
        <v>146</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147</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148</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149</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150</v>
      </c>
      <c r="E17" s="117" t="s">
        <v>320</v>
      </c>
      <c r="F17" s="179" t="s">
        <v>311</v>
      </c>
      <c r="G17" s="179" t="s">
        <v>312</v>
      </c>
      <c r="H17" s="117" t="s">
        <v>151</v>
      </c>
      <c r="I17" s="117" t="s">
        <v>152</v>
      </c>
      <c r="J17" s="116" t="s">
        <v>115</v>
      </c>
      <c r="K17" s="116" t="s">
        <v>116</v>
      </c>
      <c r="L17" s="116" t="s">
        <v>117</v>
      </c>
      <c r="M17" s="116" t="s">
        <v>118</v>
      </c>
      <c r="N17" s="116" t="s">
        <v>119</v>
      </c>
      <c r="O17" s="116" t="s">
        <v>120</v>
      </c>
      <c r="P17" s="116" t="s">
        <v>121</v>
      </c>
      <c r="Q17" s="116" t="s">
        <v>122</v>
      </c>
      <c r="R17" s="116" t="s">
        <v>123</v>
      </c>
      <c r="S17" s="116" t="s">
        <v>124</v>
      </c>
      <c r="T17" s="116" t="s">
        <v>125</v>
      </c>
      <c r="U17" s="116" t="s">
        <v>126</v>
      </c>
      <c r="V17" s="116" t="s">
        <v>165</v>
      </c>
      <c r="W17" s="178" t="s">
        <v>231</v>
      </c>
      <c r="X17" s="178" t="s">
        <v>232</v>
      </c>
    </row>
    <row r="18" spans="1:24" ht="36" customHeight="1" x14ac:dyDescent="0.25">
      <c r="D18" s="122" t="s">
        <v>301</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321</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321</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323</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322</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153</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154</v>
      </c>
      <c r="E25" s="117" t="s">
        <v>159</v>
      </c>
      <c r="F25" s="117" t="s">
        <v>151</v>
      </c>
      <c r="G25" s="117" t="s">
        <v>152</v>
      </c>
      <c r="H25" s="117" t="s">
        <v>155</v>
      </c>
      <c r="I25" s="117" t="s">
        <v>116</v>
      </c>
      <c r="J25" s="117" t="s">
        <v>117</v>
      </c>
      <c r="K25" s="117" t="s">
        <v>118</v>
      </c>
      <c r="L25" s="117" t="s">
        <v>119</v>
      </c>
      <c r="M25" s="117" t="s">
        <v>120</v>
      </c>
      <c r="N25" s="117" t="s">
        <v>121</v>
      </c>
      <c r="O25" s="117" t="s">
        <v>122</v>
      </c>
      <c r="P25" s="117" t="s">
        <v>165</v>
      </c>
      <c r="Q25" s="178" t="s">
        <v>313</v>
      </c>
      <c r="R25" s="178" t="s">
        <v>314</v>
      </c>
      <c r="S25" s="130"/>
      <c r="T25" s="130"/>
      <c r="V25" s="130"/>
      <c r="W25" s="130"/>
      <c r="X25" s="130"/>
    </row>
    <row r="26" spans="1:24" ht="36" customHeight="1" x14ac:dyDescent="0.25">
      <c r="D26" s="33" t="s">
        <v>156</v>
      </c>
      <c r="E26" s="117">
        <v>100</v>
      </c>
      <c r="F26" s="123">
        <f>$E$9</f>
        <v>100</v>
      </c>
      <c r="G26" s="124">
        <f>Table_Input_InorganicFertiliser_Custom[[#This Row],[Amount applied (kg / ha)]]*Table_Input_InorganicFertiliser_Custom[[#This Row],[Application area (ha)]]</f>
        <v>10000</v>
      </c>
      <c r="H26" s="134" t="s">
        <v>315</v>
      </c>
      <c r="I26" s="137">
        <v>0.5</v>
      </c>
      <c r="J26" s="134" t="s">
        <v>316</v>
      </c>
      <c r="K26" s="137">
        <v>0.2</v>
      </c>
      <c r="L26" s="134" t="s">
        <v>157</v>
      </c>
      <c r="M26" s="137">
        <v>0.2</v>
      </c>
      <c r="N26" s="135" t="s">
        <v>158</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318</v>
      </c>
      <c r="E27" s="117">
        <v>100</v>
      </c>
      <c r="F27" s="180">
        <f>$E$9</f>
        <v>100</v>
      </c>
      <c r="G27" s="124">
        <f>Table_Input_InorganicFertiliser_Custom[[#This Row],[Amount applied (kg / ha)]]*Table_Input_InorganicFertiliser_Custom[[#This Row],[Application area (ha)]]</f>
        <v>10000</v>
      </c>
      <c r="H27" s="134" t="s">
        <v>319</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325</v>
      </c>
      <c r="E28" s="117">
        <v>100</v>
      </c>
      <c r="F28" s="180">
        <f>$E$9</f>
        <v>100</v>
      </c>
      <c r="G28" s="124">
        <f>Table_Input_InorganicFertiliser_Custom[[#This Row],[Amount applied (kg / ha)]]*Table_Input_InorganicFertiliser_Custom[[#This Row],[Application area (ha)]]</f>
        <v>10000</v>
      </c>
      <c r="H28" s="134" t="s">
        <v>326</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317</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187</v>
      </c>
      <c r="E32" s="85"/>
      <c r="F32" s="81"/>
      <c r="G32" s="106"/>
      <c r="H32" s="81"/>
      <c r="I32" s="3"/>
      <c r="J32" s="3"/>
      <c r="K32" s="22"/>
      <c r="L32" s="22"/>
      <c r="M32" s="22"/>
    </row>
    <row r="33" spans="1:25" ht="36" customHeight="1" x14ac:dyDescent="0.25">
      <c r="A33" s="17"/>
      <c r="D33" s="161" t="s">
        <v>188</v>
      </c>
      <c r="E33" s="162"/>
      <c r="F33" s="163"/>
      <c r="G33" s="161"/>
      <c r="H33" s="163"/>
      <c r="I33" s="22"/>
      <c r="J33" s="22"/>
      <c r="K33" s="22"/>
      <c r="L33" s="22"/>
      <c r="M33" s="3"/>
    </row>
    <row r="34" spans="1:25" ht="36" customHeight="1" x14ac:dyDescent="0.25">
      <c r="D34" s="87" t="s">
        <v>148</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114</v>
      </c>
      <c r="E36" s="140" t="s">
        <v>189</v>
      </c>
      <c r="F36" s="140" t="s">
        <v>151</v>
      </c>
      <c r="G36" s="140" t="s">
        <v>190</v>
      </c>
      <c r="H36" s="140" t="s">
        <v>191</v>
      </c>
      <c r="I36" s="140" t="s">
        <v>192</v>
      </c>
      <c r="J36" s="140" t="s">
        <v>193</v>
      </c>
      <c r="K36" s="140" t="s">
        <v>88</v>
      </c>
    </row>
    <row r="37" spans="1:25" ht="20.100000000000001" customHeight="1" x14ac:dyDescent="0.25">
      <c r="D37" s="141" t="s">
        <v>264</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265</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327</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194</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187</v>
      </c>
      <c r="E44" s="85"/>
      <c r="F44" s="85"/>
      <c r="G44" s="85"/>
      <c r="H44" s="81"/>
      <c r="I44" s="22"/>
      <c r="J44" s="22"/>
      <c r="K44" s="22"/>
      <c r="L44" s="22"/>
      <c r="M44" s="22"/>
      <c r="O44" s="130"/>
      <c r="P44" s="130"/>
      <c r="Q44" s="130"/>
      <c r="R44" s="130"/>
    </row>
    <row r="45" spans="1:25" ht="36" customHeight="1" x14ac:dyDescent="0.25">
      <c r="D45" s="87" t="s">
        <v>148</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195</v>
      </c>
      <c r="E47" s="140" t="s">
        <v>196</v>
      </c>
      <c r="F47" s="140" t="s">
        <v>197</v>
      </c>
      <c r="G47" s="140" t="s">
        <v>198</v>
      </c>
      <c r="H47" s="140" t="s">
        <v>151</v>
      </c>
      <c r="I47" s="140" t="s">
        <v>199</v>
      </c>
      <c r="J47" s="140" t="s">
        <v>200</v>
      </c>
      <c r="K47" s="132"/>
    </row>
    <row r="48" spans="1:25" ht="20.100000000000001" customHeight="1" x14ac:dyDescent="0.25">
      <c r="D48" s="122" t="s">
        <v>241</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239</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242</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G77" sqref="G7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202</v>
      </c>
      <c r="K1"/>
    </row>
    <row r="2" spans="1:24" s="9" customFormat="1" ht="20.100000000000001" customHeight="1" x14ac:dyDescent="0.25">
      <c r="K2"/>
    </row>
    <row r="3" spans="1:24" ht="20.100000000000001" customHeight="1" x14ac:dyDescent="0.25">
      <c r="A3" s="17" t="str">
        <f>HYPERLINK("#'Home'!A1", "Home")</f>
        <v>Home</v>
      </c>
      <c r="C3" s="4"/>
      <c r="D3" s="4" t="s">
        <v>80</v>
      </c>
      <c r="E3" s="4"/>
      <c r="F3" s="4"/>
      <c r="G3" s="4"/>
      <c r="H3" s="4"/>
      <c r="I3" s="4"/>
      <c r="J3" s="4"/>
      <c r="L3" s="4"/>
      <c r="M3" s="4" t="s">
        <v>81</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22</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25</v>
      </c>
      <c r="N9" s="1" t="str" cm="1">
        <f t="array" ref="N9">Fertiliser_Equations_InorganicN2O.VEERG_5_1_1_2__1_EmissionFactorIrrigatedMaize_Variable()</f>
        <v>EF_fjIrrigatedMaizeN2O</v>
      </c>
    </row>
    <row r="10" spans="1:24" ht="20.100000000000001" customHeight="1" x14ac:dyDescent="0.25">
      <c r="A10" s="17"/>
      <c r="D10" s="51" t="s">
        <v>25</v>
      </c>
      <c r="E10" s="1" t="str" cm="1">
        <f t="array" ref="E10">Fertiliser_Equations_InorganicN2O.VEERG_5_1_1_1__2_MassOfNitrogenInInorganicFertiliser_Variable()</f>
        <v>MN_jf</v>
      </c>
      <c r="M10" s="51" t="s">
        <v>16</v>
      </c>
      <c r="N10" s="52" t="str" cm="1">
        <f t="array" ref="N10">Fertiliser_Equations_InorganicN2O.VEERG_5_1_1_2__1_EmissionFactorIrrigatedMaize_Unit()</f>
        <v>kg N2O-N/kg N applied</v>
      </c>
    </row>
    <row r="11" spans="1:24" ht="20.100000000000001" customHeight="1" x14ac:dyDescent="0.25">
      <c r="A11" s="19" t="s">
        <v>69</v>
      </c>
      <c r="D11" s="51" t="s">
        <v>16</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173</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145</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161</v>
      </c>
      <c r="M17" s="5" t="str" cm="1">
        <f t="array" ref="M17">Fertiliser_Equations_InorganicN2O.VEERG_5_1_1_2__2_EmissionFactorNonIrrigatedGrainsHighRainfall_Source()</f>
        <v>VEERG 2026: 5.1.1.2, Equation (2)</v>
      </c>
    </row>
    <row r="18" spans="1:19" ht="20.100000000000001" customHeight="1" x14ac:dyDescent="0.25">
      <c r="D18" s="49" t="s">
        <v>112</v>
      </c>
      <c r="E18" s="112" t="s">
        <v>144</v>
      </c>
      <c r="F18" s="49" t="s">
        <v>143</v>
      </c>
      <c r="G18" s="49" t="s">
        <v>160</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25</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16</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173</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25</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16</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173</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182</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174</v>
      </c>
      <c r="T41" s="100" t="s">
        <v>201</v>
      </c>
    </row>
    <row r="42" spans="1:23" ht="20.100000000000001" customHeight="1" x14ac:dyDescent="0.25">
      <c r="D42" s="13" t="s">
        <v>22</v>
      </c>
      <c r="E42" s="13" t="str" cm="1">
        <f t="array" aca="1" ref="E42" ca="1">Common_InputFunctions.Utility_DisplayFunctionName($E$60)</f>
        <v>=Fertiliser_Equations_InorganicN2O.VEERG_5_1_1_1__1_InorganicFertiliserApplicationN2OEmissions</v>
      </c>
      <c r="F42" s="2"/>
      <c r="M42" s="91" t="s">
        <v>172</v>
      </c>
    </row>
    <row r="43" spans="1:23" ht="20.100000000000001" customHeight="1" x14ac:dyDescent="0.25">
      <c r="F43" s="2"/>
      <c r="O43" s="118" t="s">
        <v>179</v>
      </c>
      <c r="P43" s="118" t="s">
        <v>178</v>
      </c>
      <c r="Q43" s="118" t="s">
        <v>142</v>
      </c>
      <c r="R43" s="118" t="str">
        <f>$N$10</f>
        <v>kg N2O-N/kg N applied</v>
      </c>
      <c r="S43" s="118" t="str">
        <f>$N$21</f>
        <v>kg N2O-N/kg N applied</v>
      </c>
      <c r="T43" s="118" t="s">
        <v>179</v>
      </c>
      <c r="U43" s="118" t="s">
        <v>142</v>
      </c>
      <c r="V43" s="118" t="str">
        <f>$N$33</f>
        <v>kg N2O-N/kg N applied</v>
      </c>
      <c r="W43" s="118" t="s">
        <v>180</v>
      </c>
    </row>
    <row r="44" spans="1:23" ht="20.100000000000001" customHeight="1" x14ac:dyDescent="0.25">
      <c r="F44" s="2"/>
      <c r="M44" s="49" t="s">
        <v>171</v>
      </c>
      <c r="N44" s="112" t="s">
        <v>171</v>
      </c>
      <c r="O44" s="112" t="s">
        <v>166</v>
      </c>
      <c r="P44" s="112" t="s">
        <v>167</v>
      </c>
      <c r="Q44" s="49" t="s">
        <v>168</v>
      </c>
      <c r="R44" s="49" t="str">
        <f>N9</f>
        <v>EF_fjIrrigatedMaizeN2O</v>
      </c>
      <c r="S44" s="49" t="str">
        <f>N20</f>
        <v>EF_fjNonIrrigatedGrainsN2O</v>
      </c>
      <c r="T44" s="49" t="s">
        <v>181</v>
      </c>
      <c r="U44" s="49" t="s">
        <v>177</v>
      </c>
      <c r="V44" s="49" t="str">
        <f>N32</f>
        <v>EF_fjCottonN2O</v>
      </c>
      <c r="W44" s="49" t="s">
        <v>233</v>
      </c>
    </row>
    <row r="45" spans="1:23" ht="20.100000000000001" customHeight="1" x14ac:dyDescent="0.25">
      <c r="F45" s="2"/>
      <c r="M45" s="50" t="s">
        <v>176</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25</v>
      </c>
      <c r="E46" s="1" t="str" cm="1">
        <f t="array" ref="E46">Fertiliser_Equations_InorganicN2O.VEERG_5_1_1_1__1_InorganicFertiliserApplicationN2OEmissions_Variable()</f>
        <v>E_N2O</v>
      </c>
      <c r="F46" s="2"/>
      <c r="M46" s="50" t="s">
        <v>176</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16</v>
      </c>
      <c r="E47" s="52" t="str" cm="1">
        <f t="array" ref="E47">Fertiliser_Equations_InorganicN2O.VEERG_5_1_1_1__1_InorganicFertiliserApplicationN2OEmissions_Unit()</f>
        <v>t N2O</v>
      </c>
      <c r="F47" s="2"/>
      <c r="M47" s="50" t="s">
        <v>176</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176</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176</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175</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175</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X_Cell_Fertiliser_ProductionSystem</f>
        <v>Crop</v>
      </c>
      <c r="M52" s="50" t="s">
        <v>175</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175</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X_Cell_Fertiliser_IrrigationMethod</f>
        <v>Sprinkler irrigation</v>
      </c>
      <c r="M54" s="50" t="s">
        <v>175</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X_Cell_Site_RainfallZone</f>
        <v>Low rainfall</v>
      </c>
    </row>
    <row r="56" spans="4:24" ht="20.100000000000001" customHeight="1" x14ac:dyDescent="0.25">
      <c r="F56" s="2"/>
    </row>
    <row r="57" spans="4:24" ht="20.100000000000001" customHeight="1" x14ac:dyDescent="0.25">
      <c r="D57" s="92" t="s">
        <v>169</v>
      </c>
      <c r="F57" s="2"/>
      <c r="L57" s="44"/>
      <c r="M57" s="44"/>
      <c r="N57" s="44"/>
      <c r="O57" s="44"/>
      <c r="P57" s="44"/>
      <c r="Q57" s="44"/>
      <c r="R57" s="44"/>
      <c r="S57" s="44"/>
      <c r="T57" s="44"/>
      <c r="U57" s="44"/>
      <c r="V57" s="44"/>
      <c r="W57" s="44"/>
      <c r="X57" s="44"/>
    </row>
    <row r="58" spans="4:24" ht="20.100000000000001" customHeight="1" x14ac:dyDescent="0.25">
      <c r="D58" s="91" t="s">
        <v>170</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112</v>
      </c>
      <c r="E59" s="49" t="s">
        <v>183</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22</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25</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16</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X_Cell_Fertiliser_ProductionSystem</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X_Cell_Fertiliser_CropType</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185</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X_Cell_Fertiliser_IrrigationMethod</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X_Cell_Site_RainfallZone</f>
        <v>Low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171</v>
      </c>
      <c r="N76" s="49" t="s">
        <v>171</v>
      </c>
      <c r="O76" s="49" t="s">
        <v>184</v>
      </c>
      <c r="P76" s="49" t="s">
        <v>183</v>
      </c>
    </row>
    <row r="77" spans="4:19" ht="20.100000000000001" customHeight="1" x14ac:dyDescent="0.25">
      <c r="D77" s="50" t="str">
        <v>Ammonia</v>
      </c>
      <c r="E77" s="50" cm="1">
        <f t="array" ref="E77">Fertiliser_Equations_InorganicN2O.VEERG_5_1_1_1__1_InorganicFertiliserApplicationN2OEmissions(G36,$I$50,$I$51)</f>
        <v>4.5292500000000006E-2</v>
      </c>
      <c r="M77" s="50" t="s">
        <v>176</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176</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176</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162</v>
      </c>
      <c r="E80" s="95">
        <f>SUM(E60:E78)</f>
        <v>0.1431067</v>
      </c>
      <c r="F80" s="96" t="str">
        <f>$E$47</f>
        <v>t N2O</v>
      </c>
      <c r="M80" s="50" t="s">
        <v>176</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176</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175</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175</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175</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79</v>
      </c>
      <c r="E85" s="44" cm="1">
        <f t="array" ref="E85">Common_Equations.Common_ConvertN2OToCO2e(G82,G83)</f>
        <v>37.923275500000003</v>
      </c>
      <c r="F85" s="98" t="str" cm="1">
        <f t="array" ref="F85">Common_Equations.Common_ConvertN2OToCO2e_Unit()</f>
        <v>t CO2e</v>
      </c>
      <c r="M85" s="50" t="s">
        <v>175</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175</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162</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79</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workbookViewId="0">
      <selection activeCell="I53" sqref="I5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22</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Fertiliser_Equations_InorganicCO2.VEERG_5_1_1_3__2_MassOfUreaInInorganicFertiliser_Variable()</f>
        <v>MU_jf</v>
      </c>
    </row>
    <row r="11" spans="1:21" ht="20.100000000000001" customHeight="1" x14ac:dyDescent="0.25">
      <c r="A11" s="19" t="s">
        <v>69</v>
      </c>
      <c r="D11" s="51" t="s">
        <v>16</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204</v>
      </c>
    </row>
    <row r="17" spans="1:7" ht="20.100000000000001" customHeight="1" x14ac:dyDescent="0.25">
      <c r="A17" s="17" t="str">
        <f>HYPERLINK("#'5.5.1.1-2 Leaching and runoff'!A1", "5.5.1.1-2 Leaching and runoff")</f>
        <v>5.5.1.1-2 Leaching and runoff</v>
      </c>
      <c r="D17" s="91" t="s">
        <v>205</v>
      </c>
    </row>
    <row r="18" spans="1:7" ht="20.100000000000001" customHeight="1" x14ac:dyDescent="0.25">
      <c r="D18" s="49" t="s">
        <v>112</v>
      </c>
      <c r="E18" s="112" t="s">
        <v>144</v>
      </c>
      <c r="F18" s="49" t="s">
        <v>206</v>
      </c>
      <c r="G18" s="49" t="s">
        <v>209</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22</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Fertiliser_Equations_InorganicCO2.VEERG_5_1_1_3__1_InorganicFertiliserApplicationCO2Emissions_Variable()</f>
        <v>E_CO2</v>
      </c>
    </row>
    <row r="47" spans="1:12" ht="20.100000000000001" customHeight="1" x14ac:dyDescent="0.25">
      <c r="D47" s="51" t="s">
        <v>16</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X_Cell_Fertiliser_ProductionSystem</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207</v>
      </c>
    </row>
    <row r="56" spans="4:9" ht="20.100000000000001" customHeight="1" x14ac:dyDescent="0.25">
      <c r="D56" s="91" t="s">
        <v>208</v>
      </c>
    </row>
    <row r="57" spans="4:9" ht="20.100000000000001" customHeight="1" x14ac:dyDescent="0.25">
      <c r="D57" s="49" t="s">
        <v>112</v>
      </c>
      <c r="E57" s="49" t="s">
        <v>183</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234</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K49" sqref="K4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235</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22</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Fertiliser_Equations_OrganicN2O.VEERG_5_2_1_1__2_MassOfNitrogenInOrganicFertiliser_Variable()</f>
        <v>MNSoil_jf</v>
      </c>
    </row>
    <row r="11" spans="1:21" ht="20.100000000000001" customHeight="1" x14ac:dyDescent="0.25">
      <c r="A11" s="19" t="s">
        <v>69</v>
      </c>
      <c r="D11" s="51" t="s">
        <v>16</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243</v>
      </c>
    </row>
    <row r="18" spans="1:10" ht="20.100000000000001" customHeight="1" x14ac:dyDescent="0.25">
      <c r="D18" s="91" t="s">
        <v>250</v>
      </c>
    </row>
    <row r="19" spans="1:10" ht="20.100000000000001" customHeight="1" x14ac:dyDescent="0.25">
      <c r="A19" s="18" t="s">
        <v>2</v>
      </c>
      <c r="D19" s="112" t="s">
        <v>244</v>
      </c>
      <c r="E19" s="112" t="s">
        <v>245</v>
      </c>
      <c r="F19" s="112" t="s">
        <v>151</v>
      </c>
      <c r="G19" s="148" t="s">
        <v>246</v>
      </c>
      <c r="H19" s="148" t="s">
        <v>247</v>
      </c>
      <c r="I19" s="148" t="s">
        <v>248</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249</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22</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25</v>
      </c>
      <c r="E41" s="1" t="str" cm="1">
        <f t="array" ref="E41">Fertiliser_Equations_OrganicN2O.VEERG_5_2_1_1__1_OrganicFertiliserApplicationN2OEmissions_Variable()</f>
        <v>E_N2O</v>
      </c>
    </row>
    <row r="42" spans="1:12" ht="20.100000000000001" customHeight="1" x14ac:dyDescent="0.25">
      <c r="D42" s="51" t="s">
        <v>16</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X_Cell_Fertiliser_ProductionSystem</f>
        <v>Crop</v>
      </c>
    </row>
    <row r="48" spans="1:12" ht="20.100000000000001" customHeight="1" x14ac:dyDescent="0.25">
      <c r="D48" s="147" t="str">
        <v>i</v>
      </c>
      <c r="E48" s="154" t="str">
        <v>Wet or dry climate zone</v>
      </c>
      <c r="F48" s="155"/>
      <c r="G48" s="155"/>
      <c r="H48" s="153"/>
      <c r="I48" s="147" t="str">
        <v/>
      </c>
      <c r="J48" s="120" t="str">
        <v>Input</v>
      </c>
      <c r="K48" s="147" t="str">
        <f>X_Cell_Site_WetOrDryClimateZone</f>
        <v>Dry climate zone</v>
      </c>
    </row>
    <row r="49" spans="1:7" ht="20.100000000000001" customHeight="1" x14ac:dyDescent="0.25"/>
    <row r="50" spans="1:7" ht="20.100000000000001" customHeight="1" x14ac:dyDescent="0.25">
      <c r="D50" s="94" t="s">
        <v>162</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79</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workbookViewId="0">
      <selection activeCell="H25" sqref="H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253</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22</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Fertiliser_Equations_Lime.VEERG_5_3_1_1__1_LimeApplicationCO2Emissions_Variable()</f>
        <v>E_lime</v>
      </c>
    </row>
    <row r="11" spans="1:21" ht="20.100000000000001" customHeight="1" x14ac:dyDescent="0.25">
      <c r="A11" s="19" t="s">
        <v>69</v>
      </c>
      <c r="D11" s="51" t="s">
        <v>16</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261</v>
      </c>
    </row>
    <row r="23" spans="1:9" ht="20.100000000000001" customHeight="1" x14ac:dyDescent="0.25">
      <c r="A23" s="17"/>
      <c r="D23" s="91" t="s">
        <v>266</v>
      </c>
    </row>
    <row r="24" spans="1:9" ht="20.100000000000001" customHeight="1" x14ac:dyDescent="0.25">
      <c r="D24" s="112" t="s">
        <v>254</v>
      </c>
      <c r="E24" s="112" t="s">
        <v>255</v>
      </c>
      <c r="F24" s="112" t="s">
        <v>256</v>
      </c>
      <c r="G24" s="112" t="s">
        <v>257</v>
      </c>
      <c r="H24" s="49" t="s">
        <v>258</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259</v>
      </c>
      <c r="E31" s="95">
        <f>SUM(H25:H29)</f>
        <v>75.808333333333337</v>
      </c>
      <c r="F31" s="160" t="s">
        <v>260</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07" zoomScale="85" zoomScaleNormal="85"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284</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L3" s="4"/>
      <c r="N3" s="4"/>
      <c r="O3" s="4" t="s">
        <v>81</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22</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25</v>
      </c>
      <c r="E10" s="1" t="str" cm="1">
        <f t="array" ref="E10">Fertiliser_Equations_AtmosphericDeposition.VEERG_5_4_1_1__2_MassOfNitrogenVolatilisedFromInorganicFertiliser_Variable()</f>
        <v>M_volinorganicjf</v>
      </c>
    </row>
    <row r="11" spans="1:21" ht="20.100000000000001" customHeight="1" x14ac:dyDescent="0.25">
      <c r="A11" s="19" t="s">
        <v>69</v>
      </c>
      <c r="D11" s="51" t="s">
        <v>16</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271</v>
      </c>
    </row>
    <row r="17" spans="1:8" ht="20.100000000000001" customHeight="1" x14ac:dyDescent="0.25">
      <c r="A17" s="17" t="str">
        <f>HYPERLINK("#'5.5.1.1-2 Leaching and runoff'!A1", "5.5.1.1-2 Leaching and runoff")</f>
        <v>5.5.1.1-2 Leaching and runoff</v>
      </c>
      <c r="D17" s="91" t="s">
        <v>272</v>
      </c>
    </row>
    <row r="18" spans="1:8" ht="20.100000000000001" customHeight="1" x14ac:dyDescent="0.25">
      <c r="D18" s="49" t="s">
        <v>267</v>
      </c>
      <c r="E18" s="49" t="s">
        <v>268</v>
      </c>
      <c r="F18" s="49" t="s">
        <v>110</v>
      </c>
      <c r="G18" s="165" t="s">
        <v>269</v>
      </c>
      <c r="H18" s="165" t="s">
        <v>270</v>
      </c>
    </row>
    <row r="19" spans="1:8" ht="20.100000000000001" customHeight="1" x14ac:dyDescent="0.25">
      <c r="A19" s="18" t="s">
        <v>2</v>
      </c>
      <c r="D19" s="50" t="str" cm="1">
        <f t="array" ref="D19:D37">Table_Fertiliser_ChemicalCompounds[Fertiliser type f]</f>
        <v>Monoammonium phosphate (MAP)</v>
      </c>
      <c r="E19" s="50">
        <f>INDEX(Table_MN_j_f,2,4)</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INDEX(Table_MN_j_f,3,4)</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INDEX(Table_MN_j_f,4,4)</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INDEX(Table_MN_j_f,5,4)</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INDEX(Table_MN_j_f,6,4)</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INDEX(Table_MN_j_f,7,4)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INDEX(Table_MN_j_f,8,4)</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INDEX(Table_MN_j_f,9,4)</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INDEX(Table_MN_j_f,10,4)</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INDEX(Table_MN_j_f,11,4)</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INDEX(Table_MN_j_f,12,4)</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INDEX(Table_MN_j_f,13,4)</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INDEX(Table_MN_j_f,14,4)</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INDEX(Table_MN_j_f,15,4)</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INDEX(Table_MN_j_f,16,4)</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INDEX(Table_MN_j_f,17,4)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INDEX(Table_MN_j_f,18,4)</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INDEX(Table_MN_j_f,19,4)</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INDEX(Table_MN_j_f,20,4)</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22</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25</v>
      </c>
      <c r="E46" s="1" t="str" cm="1">
        <f t="array" ref="E46">Fertiliser_Equations_AtmosphericDeposition.VEERG_5_4_1_1__1_InorganicFertiliserAtmosphericDepositionN2OEmissions_Variable()</f>
        <v>E_adinorganic</v>
      </c>
    </row>
    <row r="47" spans="1:12" ht="20.100000000000001" customHeight="1" x14ac:dyDescent="0.25">
      <c r="D47" s="51" t="s">
        <v>16</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X_Cell_Fertiliser_ProductionSystem</f>
        <v>Crop</v>
      </c>
    </row>
    <row r="53" spans="1:10" ht="20.100000000000001" customHeight="1" x14ac:dyDescent="0.25">
      <c r="D53" s="147" t="str">
        <v>ir</v>
      </c>
      <c r="E53" s="154" t="str">
        <v>irrigation method</v>
      </c>
      <c r="F53" s="155"/>
      <c r="G53" s="153"/>
      <c r="H53" s="147" t="str">
        <v/>
      </c>
      <c r="I53" s="120" t="str">
        <v>Input</v>
      </c>
      <c r="J53" s="147" t="str">
        <f>X_Cell_Fertiliser_IrrigationMethod</f>
        <v>Sprinkler irrigation</v>
      </c>
    </row>
    <row r="54" spans="1:10" ht="20.100000000000001" customHeight="1" x14ac:dyDescent="0.25">
      <c r="D54" s="147" t="str">
        <v>r</v>
      </c>
      <c r="E54" s="154" t="str">
        <v>rainfall region</v>
      </c>
      <c r="F54" s="155"/>
      <c r="G54" s="153"/>
      <c r="H54" s="147" t="str">
        <v/>
      </c>
      <c r="I54" s="120" t="str">
        <v>Input</v>
      </c>
      <c r="J54" s="147" t="str">
        <f>X_Cell_Site_RainfallZone</f>
        <v>Low rainfall</v>
      </c>
    </row>
    <row r="55" spans="1:10" ht="20.100000000000001" customHeight="1" x14ac:dyDescent="0.25">
      <c r="A55" s="157" t="str">
        <f>HYPERLINK("#A1", "▲ Back to top")</f>
        <v>▲ Back to top</v>
      </c>
    </row>
    <row r="56" spans="1:10" ht="20.100000000000001" customHeight="1" x14ac:dyDescent="0.25">
      <c r="D56" s="92" t="s">
        <v>280</v>
      </c>
    </row>
    <row r="57" spans="1:10" ht="20.100000000000001" customHeight="1" x14ac:dyDescent="0.25">
      <c r="D57" s="91" t="s">
        <v>281</v>
      </c>
    </row>
    <row r="58" spans="1:10" ht="20.100000000000001" customHeight="1" x14ac:dyDescent="0.25">
      <c r="D58" s="49" t="s">
        <v>267</v>
      </c>
      <c r="E58" s="165" t="s">
        <v>270</v>
      </c>
      <c r="F58" s="165" t="s">
        <v>273</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278</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79</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22</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25</v>
      </c>
      <c r="E93" s="1" t="str" cm="1">
        <f t="array" ref="E93">Fertiliser_Equations_AtmosphericDeposition.VEERG_5_4_1_3__2_MassOfNitrogenVolatilisedFromOrganicFertiliser_Variable()</f>
        <v>M_volorganicjf</v>
      </c>
    </row>
    <row r="94" spans="3:12" ht="20.100000000000001" customHeight="1" x14ac:dyDescent="0.25">
      <c r="D94" s="51" t="s">
        <v>16</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274</v>
      </c>
    </row>
    <row r="100" spans="4:9" ht="20.100000000000001" customHeight="1" x14ac:dyDescent="0.25">
      <c r="D100" s="91" t="s">
        <v>275</v>
      </c>
    </row>
    <row r="101" spans="4:9" ht="20.100000000000001" customHeight="1" x14ac:dyDescent="0.25">
      <c r="D101" s="112" t="s">
        <v>244</v>
      </c>
      <c r="E101" s="148" t="s">
        <v>248</v>
      </c>
      <c r="F101" s="148" t="s">
        <v>277</v>
      </c>
    </row>
    <row r="102" spans="4:9" ht="20.100000000000001" customHeight="1" x14ac:dyDescent="0.25">
      <c r="D102" s="50" t="str" cm="1">
        <f t="array" ref="D102:D104">Table_Input_OrganicFertiliser[Organic fertiliser type (select)]</f>
        <v>Manure - Other</v>
      </c>
      <c r="E102" s="50">
        <f>INDEX(Table_MNSoil_j_f,2,6)</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INDEX(Table_MNSoil_j_f,3,6)</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INDEX(Table_MNSoil_j_f,4,6)</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22</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25</v>
      </c>
      <c r="E121" s="1" t="str" cm="1">
        <f t="array" ref="E121">Fertiliser_Equations_AtmosphericDeposition.VEERG_5_4_1_3__1_OrganicFertiliserAtmosphericDepositionN2OEmissions_Variable()</f>
        <v>E_adorganic</v>
      </c>
    </row>
    <row r="122" spans="3:12" ht="20.100000000000001" customHeight="1" x14ac:dyDescent="0.25">
      <c r="D122" s="51" t="s">
        <v>16</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X_Cell_Fertiliser_ProductionSystem</f>
        <v>Crop</v>
      </c>
    </row>
    <row r="128" spans="3:12" ht="20.100000000000001" customHeight="1" x14ac:dyDescent="0.25">
      <c r="D128" s="147" t="str">
        <v>ir</v>
      </c>
      <c r="E128" s="154" t="str">
        <v>irrigation method</v>
      </c>
      <c r="F128" s="153"/>
      <c r="G128" s="147" t="str">
        <v/>
      </c>
      <c r="H128" s="120" t="str">
        <v>Input</v>
      </c>
      <c r="I128" s="147" t="str">
        <f>X_Cell_Fertiliser_IrrigationMethod</f>
        <v>Sprinkler irrigation</v>
      </c>
    </row>
    <row r="129" spans="4:9" ht="20.100000000000001" customHeight="1" x14ac:dyDescent="0.25">
      <c r="D129" s="147" t="str">
        <v>r</v>
      </c>
      <c r="E129" s="154" t="str">
        <v>rainfall region</v>
      </c>
      <c r="F129" s="153"/>
      <c r="G129" s="147" t="str">
        <v/>
      </c>
      <c r="H129" s="120" t="str">
        <v>Input</v>
      </c>
      <c r="I129" s="147" t="str">
        <f>X_Cell_Site_RainfallZone</f>
        <v>Low rainfall</v>
      </c>
    </row>
    <row r="130" spans="4:9" ht="20.100000000000001" customHeight="1" x14ac:dyDescent="0.25"/>
    <row r="131" spans="4:9" ht="20.100000000000001" customHeight="1" x14ac:dyDescent="0.25">
      <c r="D131" s="92" t="s">
        <v>282</v>
      </c>
    </row>
    <row r="132" spans="4:9" ht="20.100000000000001" customHeight="1" x14ac:dyDescent="0.25">
      <c r="D132" s="91" t="s">
        <v>283</v>
      </c>
    </row>
    <row r="133" spans="4:9" ht="20.100000000000001" customHeight="1" x14ac:dyDescent="0.25">
      <c r="D133" s="112" t="s">
        <v>244</v>
      </c>
      <c r="E133" s="148" t="s">
        <v>277</v>
      </c>
      <c r="F133" s="148" t="s">
        <v>276</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279</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79</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5"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285</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22</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25</v>
      </c>
      <c r="E10" s="1" t="str" cm="1">
        <f t="array" ref="E10">Fertiliser_Equations_LeachingAndRunoff.VEERG_5_5_1_1__2_MassOfNitrogenLeachedFromInorganicFertiliser_Variable()</f>
        <v>M_leachinorganicj</v>
      </c>
    </row>
    <row r="11" spans="1:20" ht="20.100000000000001" customHeight="1" x14ac:dyDescent="0.25">
      <c r="A11" s="19" t="s">
        <v>69</v>
      </c>
      <c r="D11" s="51" t="s">
        <v>16</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X_Cell_Site_LeachingZone</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X_Cell_Fertiliser_ProductionSystem</f>
        <v>Crop</v>
      </c>
    </row>
    <row r="18" spans="1:9" ht="20.100000000000001" customHeight="1" x14ac:dyDescent="0.25">
      <c r="D18" s="147" t="str">
        <v>ir</v>
      </c>
      <c r="E18" s="154" t="str">
        <v>irrigation method</v>
      </c>
      <c r="F18" s="153"/>
      <c r="G18" s="147" t="str">
        <v/>
      </c>
      <c r="H18" s="120" t="str">
        <v>Input</v>
      </c>
      <c r="I18" s="147" t="str">
        <f>X_Cell_Fertiliser_IrrigationMethod</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287</v>
      </c>
    </row>
    <row r="21" spans="1:9" ht="20.100000000000001" customHeight="1" x14ac:dyDescent="0.25">
      <c r="A21" s="17" t="str">
        <f>HYPERLINK("#'Constants - Common'!A1", "Constants - Common")</f>
        <v>Constants - Common</v>
      </c>
      <c r="D21" s="91" t="s">
        <v>290</v>
      </c>
    </row>
    <row r="22" spans="1:9" ht="20.100000000000001" customHeight="1" x14ac:dyDescent="0.25">
      <c r="D22" s="49" t="s">
        <v>112</v>
      </c>
      <c r="E22" s="49" t="s">
        <v>268</v>
      </c>
      <c r="F22" s="49" t="s">
        <v>286</v>
      </c>
    </row>
    <row r="23" spans="1:9" ht="20.100000000000001" customHeight="1" x14ac:dyDescent="0.25">
      <c r="A23" s="17"/>
      <c r="D23" s="50" t="str" cm="1">
        <f t="array" ref="D23:D41">Table_Fertiliser_ChemicalCompounds[Fertiliser type f]</f>
        <v>Monoammonium phosphate (MAP)</v>
      </c>
      <c r="E23" s="50">
        <f>INDEX(Table_MN_j_f,2,4)</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INDEX(Table_MN_j_f,3,4)</f>
        <v>0</v>
      </c>
      <c r="F24" s="50" cm="1">
        <f t="array" ref="F24">Fertiliser_Equations_LeachingAndRunoff.VEERG_5_5_1_1__2_MassOfNitrogenLeachedFromInorganicFertiliser(E24, $I$14, $I$15)</f>
        <v>0</v>
      </c>
    </row>
    <row r="25" spans="1:9" ht="20.100000000000001" customHeight="1" x14ac:dyDescent="0.25">
      <c r="D25" s="50" t="str">
        <v>Urea</v>
      </c>
      <c r="E25" s="50">
        <f>INDEX(Table_MN_j_f,4,4)</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INDEX(Table_MN_j_f,5,4)</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INDEX(Table_MN_j_f,6,4)</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INDEX(Table_MN_j_f,7,4)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INDEX(Table_MN_j_f,8,4)</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INDEX(Table_MN_j_f,9,4)</f>
        <v>0</v>
      </c>
      <c r="F30" s="50" cm="1">
        <f t="array" ref="F30">Fertiliser_Equations_LeachingAndRunoff.VEERG_5_5_1_1__2_MassOfNitrogenLeachedFromInorganicFertiliser(E30, $I$14, $I$15)</f>
        <v>0</v>
      </c>
    </row>
    <row r="31" spans="1:9" ht="20.100000000000001" customHeight="1" x14ac:dyDescent="0.25">
      <c r="D31" s="50" t="str">
        <v>Nitrogen - Nitrate</v>
      </c>
      <c r="E31" s="50">
        <f>INDEX(Table_MN_j_f,10,4)</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INDEX(Table_MN_j_f,11,4)</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INDEX(Table_MN_j_f,12,4)</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INDEX(Table_MN_j_f,13,4)</f>
        <v>0</v>
      </c>
      <c r="F34" s="50" cm="1">
        <f t="array" ref="F34">Fertiliser_Equations_LeachingAndRunoff.VEERG_5_5_1_1__2_MassOfNitrogenLeachedFromInorganicFertiliser(E34, $I$14, $I$15)</f>
        <v>0</v>
      </c>
    </row>
    <row r="35" spans="1:11" ht="20.100000000000001" customHeight="1" x14ac:dyDescent="0.25">
      <c r="D35" s="50" t="str">
        <v>Sulfur - Generic</v>
      </c>
      <c r="E35" s="50">
        <f>INDEX(Table_MN_j_f,14,4)</f>
        <v>0</v>
      </c>
      <c r="F35" s="50" cm="1">
        <f t="array" ref="F35">Fertiliser_Equations_LeachingAndRunoff.VEERG_5_5_1_1__2_MassOfNitrogenLeachedFromInorganicFertiliser(E35, $I$14, $I$15)</f>
        <v>0</v>
      </c>
    </row>
    <row r="36" spans="1:11" ht="20.100000000000001" customHeight="1" x14ac:dyDescent="0.25">
      <c r="D36" s="50" t="str">
        <v>Zinc - Generic</v>
      </c>
      <c r="E36" s="50">
        <f>INDEX(Table_MN_j_f,15,4)</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INDEX(Table_MN_j_f,16,4)</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INDEX(Table_MN_j_f,17,4)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INDEX(Table_MN_j_f,18,4)</f>
        <v>0</v>
      </c>
      <c r="F39" s="50" cm="1">
        <f t="array" ref="F39">Fertiliser_Equations_LeachingAndRunoff.VEERG_5_5_1_1__2_MassOfNitrogenLeachedFromInorganicFertiliser(E39, $I$14, $I$15)</f>
        <v>0</v>
      </c>
    </row>
    <row r="40" spans="1:11" ht="20.100000000000001" customHeight="1" x14ac:dyDescent="0.25">
      <c r="D40" s="50" t="str">
        <v>Ammonia</v>
      </c>
      <c r="E40" s="50">
        <f>INDEX(Table_MN_j_f,19,4)</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INDEX(Table_MN_j_f,20,4)</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288</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22</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25</v>
      </c>
      <c r="E52" s="1" t="str" cm="1">
        <f t="array" ref="E52">Fertiliser_Equations_LeachingAndRunoff.VEERG_5_5_1_1__3_MassOfNitrogenLeachedFromOrganicFertiliser_Variable()</f>
        <v>M_leachorganicj</v>
      </c>
    </row>
    <row r="53" spans="4:9" ht="20.100000000000001" customHeight="1" x14ac:dyDescent="0.25">
      <c r="D53" s="51" t="s">
        <v>16</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X_Cell_Site_LeachingZone</f>
        <v>NO - Not in leaching zone</v>
      </c>
    </row>
    <row r="59" spans="4:9" ht="20.100000000000001" customHeight="1" x14ac:dyDescent="0.25">
      <c r="D59" s="147" t="str">
        <v>j</v>
      </c>
      <c r="E59" s="154" t="str">
        <v>production system</v>
      </c>
      <c r="F59" s="153"/>
      <c r="G59" s="147" t="str">
        <v/>
      </c>
      <c r="H59" s="120" t="str">
        <v>Input</v>
      </c>
      <c r="I59" s="147" t="str">
        <f>X_Cell_Fertiliser_ProductionSystem</f>
        <v>Crop</v>
      </c>
    </row>
    <row r="60" spans="4:9" ht="20.100000000000001" customHeight="1" x14ac:dyDescent="0.25">
      <c r="D60" s="147" t="str">
        <v>ir</v>
      </c>
      <c r="E60" s="154" t="str">
        <v>irrigation method</v>
      </c>
      <c r="F60" s="153"/>
      <c r="G60" s="147" t="str">
        <v/>
      </c>
      <c r="H60" s="120" t="str">
        <v>Input</v>
      </c>
      <c r="I60" s="147" t="str">
        <f>X_Cell_Fertiliser_IrrigationMethod</f>
        <v>Sprinkler irrigation</v>
      </c>
    </row>
    <row r="61" spans="4:9" ht="20.100000000000001" customHeight="1" x14ac:dyDescent="0.25"/>
    <row r="62" spans="4:9" ht="20.100000000000001" customHeight="1" x14ac:dyDescent="0.25">
      <c r="D62" s="92" t="s">
        <v>289</v>
      </c>
    </row>
    <row r="63" spans="4:9" ht="20.100000000000001" customHeight="1" x14ac:dyDescent="0.25">
      <c r="D63" s="91" t="s">
        <v>291</v>
      </c>
    </row>
    <row r="64" spans="4:9" ht="20.100000000000001" customHeight="1" x14ac:dyDescent="0.25">
      <c r="D64" s="112" t="s">
        <v>244</v>
      </c>
      <c r="E64" s="167" t="s">
        <v>248</v>
      </c>
      <c r="F64" s="49" t="s">
        <v>292</v>
      </c>
    </row>
    <row r="65" spans="1:11" ht="20.100000000000001" customHeight="1" x14ac:dyDescent="0.25">
      <c r="D65" s="50" t="str">
        <f>INDEX(Table_MNSoil_j_f,2,1)</f>
        <v>Manure - Other</v>
      </c>
      <c r="E65" s="50">
        <f>INDEX(Table_MNSoil_j_f,2,6)</f>
        <v>300</v>
      </c>
      <c r="F65" s="50" cm="1">
        <f t="array" ref="F65">Fertiliser_Equations_LeachingAndRunoff.VEERG_5_5_1_1__3_MassOfNitrogenLeachedFromOrganicFertiliser(E65,$I$56, $I$57)</f>
        <v>72</v>
      </c>
    </row>
    <row r="66" spans="1:11" ht="20.100000000000001" customHeight="1" x14ac:dyDescent="0.25">
      <c r="D66" s="50" t="str">
        <f>INDEX(Table_MNSoil_j_f,3,1)</f>
        <v>Manure - Poultry</v>
      </c>
      <c r="E66" s="50">
        <f>INDEX(Table_MNSoil_j_f,3,6)</f>
        <v>250</v>
      </c>
      <c r="F66" s="50" cm="1">
        <f t="array" ref="F66">Fertiliser_Equations_LeachingAndRunoff.VEERG_5_5_1_1__3_MassOfNitrogenLeachedFromOrganicFertiliser(E66,$I$56, $I$57)</f>
        <v>60</v>
      </c>
    </row>
    <row r="67" spans="1:11" ht="20.100000000000001" customHeight="1" x14ac:dyDescent="0.25">
      <c r="D67" s="50" t="str">
        <f>INDEX(Table_MNSoil_j_f,4,1)</f>
        <v>Other organic fertiliser</v>
      </c>
      <c r="E67" s="50">
        <f>INDEX(Table_MNSoil_j_f,4,6)</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293</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22</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25</v>
      </c>
      <c r="E86" s="1" t="str" cm="1">
        <f t="array" ref="E86">Fertiliser_Equations_LeachingAndRunoff.VEERG_5_5_1_1__1_FertiliserLeachingAndRunoffN2OEmissions_Variable()</f>
        <v>E_fertleach</v>
      </c>
    </row>
    <row r="87" spans="4:10" ht="20.100000000000001" customHeight="1" x14ac:dyDescent="0.25">
      <c r="D87" s="51" t="s">
        <v>16</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294</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79</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109</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69</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112</v>
      </c>
      <c r="E19" t="s">
        <v>128</v>
      </c>
      <c r="F19" t="s">
        <v>127</v>
      </c>
      <c r="G19" t="s">
        <v>110</v>
      </c>
      <c r="H19" t="s">
        <v>129</v>
      </c>
      <c r="I19" t="s">
        <v>111</v>
      </c>
      <c r="K19" s="37" t="s">
        <v>112</v>
      </c>
      <c r="L19" s="37" t="s">
        <v>128</v>
      </c>
      <c r="Q19" s="37" t="s">
        <v>112</v>
      </c>
      <c r="R19" s="37" t="s">
        <v>128</v>
      </c>
      <c r="V19" s="37" t="s">
        <v>111</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310</v>
      </c>
      <c r="F40" s="6" t="s">
        <v>163</v>
      </c>
      <c r="H40" s="6" t="s">
        <v>133</v>
      </c>
      <c r="J40" s="6" t="s">
        <v>236</v>
      </c>
    </row>
    <row r="41" spans="4:10" ht="20.100000000000001" customHeight="1" x14ac:dyDescent="0.25">
      <c r="D41" s="37" t="s">
        <v>87</v>
      </c>
      <c r="F41" s="37" t="s">
        <v>87</v>
      </c>
      <c r="H41" s="37" t="s">
        <v>86</v>
      </c>
      <c r="J41" s="37" t="s">
        <v>237</v>
      </c>
    </row>
    <row r="42" spans="4:10" ht="20.100000000000001" customHeight="1" x14ac:dyDescent="0.25">
      <c r="D42" s="37" t="s">
        <v>134</v>
      </c>
      <c r="F42" s="37" t="s">
        <v>134</v>
      </c>
      <c r="H42" s="37" t="s">
        <v>135</v>
      </c>
      <c r="J42" s="37" t="s">
        <v>238</v>
      </c>
    </row>
    <row r="43" spans="4:10" ht="20.100000000000001" customHeight="1" x14ac:dyDescent="0.25">
      <c r="D43" s="1" t="s">
        <v>131</v>
      </c>
      <c r="F43" s="1" t="s">
        <v>141</v>
      </c>
      <c r="H43" s="37" t="s">
        <v>136</v>
      </c>
      <c r="J43" s="1" t="s">
        <v>239</v>
      </c>
    </row>
    <row r="44" spans="4:10" ht="20.100000000000001" customHeight="1" x14ac:dyDescent="0.25">
      <c r="F44" s="1" t="s">
        <v>139</v>
      </c>
      <c r="H44" s="1" t="s">
        <v>132</v>
      </c>
      <c r="J44" s="1" t="s">
        <v>240</v>
      </c>
    </row>
    <row r="45" spans="4:10" ht="20.100000000000001" customHeight="1" x14ac:dyDescent="0.25">
      <c r="F45" s="1" t="s">
        <v>140</v>
      </c>
      <c r="H45" s="1" t="s">
        <v>137</v>
      </c>
      <c r="J45" s="1" t="s">
        <v>241</v>
      </c>
    </row>
    <row r="46" spans="4:10" ht="20.100000000000001" customHeight="1" x14ac:dyDescent="0.25">
      <c r="H46" s="1" t="s">
        <v>138</v>
      </c>
      <c r="J46" s="1" t="s">
        <v>242</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NH3-N + NOx-N)/kg N) (FracGASFf)</v>
      </c>
      <c r="G49" s="110"/>
    </row>
    <row r="50" spans="4:8" ht="20.100000000000001" customHeight="1" x14ac:dyDescent="0.25">
      <c r="D50" s="37" t="s">
        <v>112</v>
      </c>
      <c r="E50" s="37" t="s">
        <v>130</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254</v>
      </c>
      <c r="E65" s="37" t="s">
        <v>262</v>
      </c>
      <c r="F65" s="37" t="s">
        <v>263</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324</v>
      </c>
    </row>
    <row r="87" spans="4:31" ht="20.100000000000001" customHeight="1" x14ac:dyDescent="0.25">
      <c r="D87" s="6" t="s">
        <v>113</v>
      </c>
      <c r="E87" s="110"/>
      <c r="F87" s="110"/>
      <c r="G87" s="110"/>
      <c r="H87" s="110"/>
      <c r="I87" s="110"/>
      <c r="J87" s="110"/>
      <c r="K87" s="110"/>
      <c r="L87" s="110"/>
      <c r="N87" s="110" t="s">
        <v>324</v>
      </c>
      <c r="O87" s="110"/>
      <c r="P87" s="110"/>
      <c r="Q87" s="110"/>
      <c r="R87" s="110"/>
      <c r="S87" s="110"/>
      <c r="T87" s="110"/>
      <c r="U87" s="110"/>
    </row>
    <row r="88" spans="4:31" ht="20.100000000000001" customHeight="1" x14ac:dyDescent="0.25">
      <c r="D88" s="110"/>
    </row>
    <row r="89" spans="4:31" ht="20.100000000000001" customHeight="1" x14ac:dyDescent="0.25">
      <c r="D89" s="144" t="s">
        <v>226</v>
      </c>
      <c r="E89" s="37" t="s">
        <v>227</v>
      </c>
      <c r="F89" s="37" t="s">
        <v>228</v>
      </c>
      <c r="G89" s="117" t="s">
        <v>229</v>
      </c>
      <c r="H89" s="117" t="s">
        <v>16</v>
      </c>
      <c r="I89" s="117" t="s">
        <v>230</v>
      </c>
      <c r="J89" s="117" t="s">
        <v>231</v>
      </c>
      <c r="K89" s="117" t="s">
        <v>232</v>
      </c>
      <c r="L89" s="117" t="s">
        <v>115</v>
      </c>
      <c r="M89" s="117" t="s">
        <v>116</v>
      </c>
      <c r="N89" s="117" t="s">
        <v>117</v>
      </c>
      <c r="O89" s="37" t="s">
        <v>118</v>
      </c>
      <c r="P89" s="37" t="s">
        <v>119</v>
      </c>
      <c r="Q89" s="37" t="s">
        <v>120</v>
      </c>
      <c r="R89" s="117" t="s">
        <v>121</v>
      </c>
      <c r="S89" s="117" t="s">
        <v>122</v>
      </c>
      <c r="T89" s="37" t="s">
        <v>123</v>
      </c>
      <c r="U89" s="117" t="s">
        <v>124</v>
      </c>
      <c r="V89" s="117" t="s">
        <v>125</v>
      </c>
      <c r="W89" s="117" t="s">
        <v>126</v>
      </c>
      <c r="X89" s="117" t="s">
        <v>218</v>
      </c>
      <c r="Y89" s="117" t="s">
        <v>219</v>
      </c>
      <c r="Z89" s="37" t="s">
        <v>220</v>
      </c>
      <c r="AA89" s="37" t="s">
        <v>221</v>
      </c>
      <c r="AB89" s="37" t="s">
        <v>222</v>
      </c>
      <c r="AC89" s="37" t="s">
        <v>223</v>
      </c>
      <c r="AD89" s="37" t="s">
        <v>224</v>
      </c>
      <c r="AE89" s="37" t="s">
        <v>225</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85D-0990-4134-B092-26C658D4C1EB}">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92</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94</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91</v>
      </c>
      <c r="E212" s="37" t="s">
        <v>99</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210</v>
      </c>
      <c r="F231" s="36" t="s">
        <v>211</v>
      </c>
      <c r="G231" s="37" t="s">
        <v>105</v>
      </c>
      <c r="H231" s="37" t="s">
        <v>212</v>
      </c>
      <c r="I231" s="37" t="s">
        <v>213</v>
      </c>
      <c r="J231" s="37" t="s">
        <v>104</v>
      </c>
      <c r="K231" s="37" t="s">
        <v>103</v>
      </c>
      <c r="L231" s="37" t="s">
        <v>214</v>
      </c>
      <c r="M231" s="37" t="s">
        <v>215</v>
      </c>
      <c r="N231" s="37" t="s">
        <v>102</v>
      </c>
      <c r="O231" s="37" t="s">
        <v>216</v>
      </c>
      <c r="P231" s="37" t="s">
        <v>107</v>
      </c>
      <c r="Q231" s="37" t="s">
        <v>108</v>
      </c>
      <c r="R231" s="37" t="s">
        <v>106</v>
      </c>
      <c r="S231" s="37" t="s">
        <v>217</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251</v>
      </c>
      <c r="E257" s="37" t="s">
        <v>252</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45</vt:i4>
      </vt:variant>
    </vt:vector>
  </HeadingPairs>
  <TitlesOfParts>
    <vt:vector size="5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2026-07-28T07:36:56Z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