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1C9EA5E-4707-4388-8AE4-F3ADA5D42704}" xr6:coauthVersionLast="47" xr6:coauthVersionMax="47" xr10:uidLastSave="{00000000-0000-0000-0000-000000000000}"/>
  <bookViews>
    <workbookView xWindow="4680" yWindow="4680" windowWidth="28800" windowHeight="15345" firstSheet="9" activeTab="12"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21"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121" l="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K45" i="113"/>
  <c r="I56" i="116"/>
  <c r="I14" i="116"/>
  <c r="I125" i="115"/>
  <c r="J50" i="115"/>
  <c r="I50" i="69"/>
  <c r="W54" i="69"/>
  <c r="W53" i="69"/>
  <c r="W52" i="69"/>
  <c r="W51" i="69"/>
  <c r="W50" i="69"/>
  <c r="W49" i="69"/>
  <c r="W48" i="69"/>
  <c r="W47" i="69"/>
  <c r="W46" i="69"/>
  <c r="W45" i="69"/>
  <c r="E30" i="15"/>
  <c r="E33" i="15"/>
  <c r="E32" i="15"/>
  <c r="E31" i="15"/>
  <c r="J92" i="116"/>
  <c r="I126" i="115"/>
  <c r="J51" i="115"/>
  <c r="I20" i="114"/>
  <c r="K46" i="113"/>
  <c r="I51" i="74"/>
  <c r="S69" i="69"/>
  <c r="I51" i="69"/>
  <c r="G97" i="116"/>
  <c r="G149" i="115"/>
  <c r="G82" i="115"/>
  <c r="G53" i="113"/>
  <c r="P9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67" i="116"/>
  <c r="D66" i="116"/>
  <c r="D65" i="116"/>
  <c r="I60" i="116"/>
  <c r="I59" i="116"/>
  <c r="I58" i="116"/>
  <c r="I18" i="116"/>
  <c r="I17" i="116"/>
  <c r="I16" i="116"/>
  <c r="J53" i="115"/>
  <c r="J52" i="115"/>
  <c r="I128" i="115"/>
  <c r="I127" i="115"/>
  <c r="K47" i="113"/>
  <c r="I52" i="74"/>
  <c r="S73" i="69"/>
  <c r="S71" i="69"/>
  <c r="S70" i="69"/>
  <c r="I54" i="69"/>
  <c r="I52" i="69"/>
  <c r="H18" i="70"/>
  <c r="H19" i="70"/>
  <c r="H20" i="70"/>
  <c r="H21" i="70"/>
  <c r="H22" i="70"/>
  <c r="H54" i="121" l="1"/>
  <c r="H53" i="121"/>
  <c r="H49" i="121"/>
  <c r="H52" i="121"/>
  <c r="H48" i="121"/>
  <c r="H50" i="121"/>
  <c r="H51" i="121"/>
  <c r="F39" i="70"/>
  <c r="G39" i="70" s="1"/>
  <c r="K39" i="70"/>
  <c r="F28" i="70"/>
  <c r="G28" i="70" s="1"/>
  <c r="G50" i="70"/>
  <c r="H50" i="70"/>
  <c r="I50" i="70" s="1"/>
  <c r="I129" i="115" l="1"/>
  <c r="K48" i="113"/>
  <c r="I55" i="69"/>
  <c r="J54" i="115"/>
  <c r="S74" i="69"/>
  <c r="J50"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E49" i="116" a="1"/>
  <c r="E7" i="116" a="1"/>
  <c r="E83" i="116" a="1"/>
  <c r="I57" i="116" l="1"/>
  <c r="E83"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43" i="115" a="1"/>
  <c r="E90" i="115" a="1"/>
  <c r="E7" i="113" a="1"/>
  <c r="E7" i="115" a="1"/>
  <c r="E38" i="113" a="1"/>
  <c r="E7" i="114" a="1"/>
  <c r="E105" i="115" l="1"/>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E65" i="116" l="1"/>
  <c r="E102" i="115"/>
  <c r="F102" i="115" s="1" a="1"/>
  <c r="F102" i="115" s="1"/>
  <c r="E134" i="115" s="1"/>
  <c r="I22" i="113" a="1"/>
  <c r="I22" i="113" s="1"/>
  <c r="I21" i="113" a="1"/>
  <c r="I21" i="113" s="1"/>
  <c r="E66" i="116" l="1"/>
  <c r="E103" i="115"/>
  <c r="E67" i="116"/>
  <c r="E104" i="115"/>
  <c r="F104" i="115" s="1" a="1"/>
  <c r="F104" i="115" s="1"/>
  <c r="E136" i="115" s="1"/>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42" i="69" a="1"/>
  <c r="E7" i="74" a="1"/>
  <c r="N60"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E12" i="13" l="1"/>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8" i="70" l="1"/>
  <c r="F22" i="70"/>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E19" i="69" l="1"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Q51" i="69"/>
  <c r="T51" i="69"/>
  <c r="U51" i="69" s="1"/>
  <c r="S51" i="69" a="1"/>
  <c r="S51" i="69" s="1"/>
  <c r="R51" i="69" a="1"/>
  <c r="R51" i="69" s="1"/>
  <c r="O45" i="69" a="1"/>
  <c r="G30" i="74" a="1"/>
  <c r="G30" i="74" s="1"/>
  <c r="E69" i="74" s="1" a="1"/>
  <c r="E69" i="74" s="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R47" i="69" a="1"/>
  <c r="R47" i="69" s="1"/>
  <c r="Q47" i="69"/>
  <c r="E43" i="116" l="1"/>
  <c r="J89" i="116" s="1"/>
  <c r="E94" i="116" s="1" a="1"/>
  <c r="E94" i="116" s="1"/>
  <c r="E14" i="13" s="1"/>
  <c r="F14" i="13" s="1"/>
  <c r="E10" i="13"/>
  <c r="F10" i="13" s="1"/>
  <c r="H10" i="13"/>
  <c r="I10" i="13" s="1"/>
  <c r="V48" i="69" a="1"/>
  <c r="V48" i="69" s="1"/>
  <c r="V49" i="69" a="1"/>
  <c r="V49" i="69" s="1"/>
  <c r="S45" i="69" a="1"/>
  <c r="S45" i="69" s="1"/>
  <c r="V50" i="69" a="1"/>
  <c r="V50" i="69" s="1"/>
  <c r="E79" i="115"/>
  <c r="T45" i="69"/>
  <c r="U45" i="69" s="1"/>
  <c r="Q45" i="69"/>
  <c r="R45" i="69" a="1"/>
  <c r="R45" i="69" s="1"/>
  <c r="V46" i="69" a="1"/>
  <c r="V46" i="69" s="1"/>
  <c r="V47" i="69" a="1"/>
  <c r="V47" i="69" s="1"/>
  <c r="E78" i="69" a="1"/>
  <c r="E78" i="69" s="1"/>
  <c r="E13" i="13" l="1"/>
  <c r="F13" i="13" s="1"/>
  <c r="G96" i="116"/>
  <c r="E99" i="116" s="1" a="1"/>
  <c r="E99" i="116" s="1"/>
  <c r="H14" i="13" s="1"/>
  <c r="I14" i="13" s="1"/>
  <c r="G81" i="115"/>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11" i="13" s="1"/>
  <c r="E80" i="69" l="1"/>
  <c r="E9" i="13" s="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F9" i="13" s="1"/>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<sst xmlns="http://schemas.openxmlformats.org/spreadsheetml/2006/main" count="552" uniqueCount="327">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</sst>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9"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8" fillId="0" borderId="2" xfId="18" applyFont="1" applyAlignment="1">
      <alignment horizontal="center" vertical="center" wrapText="1"/>
    </xf>
    <xf numFmtId="0" fontId="70"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55" dataDxfId="154" totalsRowDxfId="153">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52" totalsRowDxfId="151" dataCellStyle="Input select"/>
    <tableColumn id="23" xr3:uid="{59B08BC3-EF27-48EB-BCEA-84F2987787EF}" name="Amount applied per hectare" totalsRowFunction="custom" dataDxfId="150" totalsRowDxfId="149">
      <totalsRowFormula>SUM(Table_Input_InorganicFertiliser_Brands[[#Headers],[#Data],[Amount applied per hectare]])</totalsRowFormula>
    </tableColumn>
    <tableColumn id="12" xr3:uid="{80233E62-DDAA-41E2-908D-8BF8A861A382}" name="Application unit" dataDxfId="148" totalsRowDxfId="147"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46" totalsRowDxfId="145"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44" totalsRowDxfId="143">
      <calculatedColumnFormula>$E$9</calculatedColumnFormula>
    </tableColumn>
    <tableColumn id="1" xr3:uid="{3BF774D0-ADA2-40B3-9242-8DFBBB9443B7}" name="Total applied (kg)" dataDxfId="142" totalsRowDxfId="14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40" totalsRowDxfId="13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38" totalsRowDxfId="137"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36"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35" totalsRowDxfId="134"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33" totalsRowDxfId="132"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1" totalsRowDxfId="130"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29" totalsRowDxfId="128"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27"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26"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25"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24"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23"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22" totalsRowDxfId="121"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20" totalsRowDxfId="119"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18" totalsRowDxfId="117"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16" dataDxfId="115">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14"/>
    <tableColumn id="3" xr3:uid="{7EF8A17B-D965-4D18-A7A2-D90F9F680015}" name="Application area (ha)" dataDxfId="113" dataCellStyle="Input number 2 decimal places">
      <calculatedColumnFormula>$E$9</calculatedColumnFormula>
    </tableColumn>
    <tableColumn id="4" xr3:uid="{B5004E38-6D68-4E13-BED4-CB556D548532}" name="Total applied (kg)" dataDxfId="112"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11" dataCellStyle="Input select"/>
    <tableColumn id="6" xr3:uid="{E4FC8E72-0059-40E6-A5E8-C29893BBF371}" name="Ingredient 1 percent" dataDxfId="110"/>
    <tableColumn id="8" xr3:uid="{3568E299-41D5-4DA4-822C-91EFC2C68B68}" name="Ingredient 2" dataDxfId="109" dataCellStyle="Input select"/>
    <tableColumn id="9" xr3:uid="{9DFD8E7A-8101-4927-89BF-3E994EB31F96}" name="Ingredient 2 percent" dataDxfId="108"/>
    <tableColumn id="11" xr3:uid="{A7F2C8C6-1FC3-42D4-A36B-254F6E195571}" name="Ingredient 3" dataDxfId="107" dataCellStyle="Input select"/>
    <tableColumn id="12" xr3:uid="{43F6AA9D-3E97-4BA6-8E27-81AE530E1428}" name="Ingredient 3 percent" dataDxfId="106"/>
    <tableColumn id="14" xr3:uid="{AAE79728-DB2A-45E8-B9AB-496D82682D02}" name="Ingredient 4" dataDxfId="105" dataCellStyle="Input select"/>
    <tableColumn id="15" xr3:uid="{48BA5E25-4596-49E4-8F81-BC0D52974ECA}" name="Ingredient 4 percent" dataCellStyle="Input percent"/>
    <tableColumn id="7" xr3:uid="{8A68B805-7FB6-49A9-B9BB-58ADF30E43B7}" name="N application rate (kg/ha)" dataDxfId="10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03" dataDxfId="102"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01"/>
    <tableColumn id="2" xr3:uid="{B4EAD8A0-4563-4BA4-8C32-F444D747B623}" name="Amount applied (t/hectare)" dataDxfId="100"/>
    <tableColumn id="4" xr3:uid="{AEB6AB68-6478-4B2B-9B85-2B6FAFAF4B19}" name="Application area (ha)" dataDxfId="99">
      <calculatedColumnFormula>$E$9</calculatedColumnFormula>
    </tableColumn>
    <tableColumn id="3" xr3:uid="{CB52F796-ECF9-4D56-B08E-72C1A090ECED}" name="Total amount applied (t)" dataDxfId="98"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97"/>
    <tableColumn id="8" xr3:uid="{E6AC5B83-E41F-4CA3-8CB5-DAE2C8D31386}" name="Percent Dolomite CaMg(CO3)2" dataDxfId="96"/>
    <tableColumn id="7" xr3:uid="{C2FA7C98-73DF-4B0B-9D0B-AF335608BA35}" name="Percent Gypsum" dataDxfId="95"/>
    <tableColumn id="10" xr3:uid="{4BF71EEB-80F3-4DB1-B0D1-D4D93983D919}" name="Total" dataDxfId="94"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93" dataDxfId="92"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91" dataCellStyle="Input select"/>
    <tableColumn id="5" xr3:uid="{A4835DDC-D01F-4121-BA81-061BD582AD81}" name="Percentage of N in fertiliser" dataDxfId="90"/>
    <tableColumn id="2" xr3:uid="{78F23607-4221-4C96-AE58-1738D148B281}" name="Amount applied (kg/hectare)" dataDxfId="89"/>
    <tableColumn id="11" xr3:uid="{743E34BE-5366-4C2E-A066-60503FC1C110}" name="Amount N applied (kg/hectare)" dataDxfId="88"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87">
      <calculatedColumnFormula>$E$9</calculatedColumnFormula>
    </tableColumn>
    <tableColumn id="7" xr3:uid="{7CBB769C-0807-447F-BE25-34DAD65EC446}" name="Total organic fertliser applied" dataDxfId="86"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8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84" totalsRowDxfId="83">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82" totalsRowDxfId="81">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80" totalsRowDxfId="79">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78" totalsRowDxfId="77">
      <calculatedColumnFormula array="1">Common_InputFunctions.Utility_DisplayArrayInTable(Fertiliser_SourceData.Fertiliser_Products_Data1(),FertiliserProducts[[#Headers],[Include or Exclude]], 0)</calculatedColumnFormula>
    </tableColumn>
    <tableColumn id="5" xr3:uid="{1DD9CD43-0FC6-467F-B81B-17F2B18D92A6}" name="Unit" dataDxfId="76" totalsRowDxfId="75">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74" totalsRowDxfId="73">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72" totalsRowDxfId="71">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70" totalsRowDxfId="69">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68" totalsRowDxfId="67">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66" totalsRowDxfId="65">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64" totalsRowDxfId="63">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62" totalsRowDxfId="61">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60" totalsRowDxfId="59">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58" totalsRowDxfId="57">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56" totalsRowDxfId="55">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54" totalsRowDxfId="53">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52" totalsRowDxfId="51">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50" totalsRowDxfId="49">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48" totalsRowDxfId="47">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46" totalsRowDxfId="45">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44">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43">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42">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41">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40">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39">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38">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3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3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3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3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33" dataCellStyle="Content normal">
  <autoFilter ref="K19:L28" xr:uid="{27B93029-EB1F-4C4A-A946-CD673A8A6C46}">
    <filterColumn colId="0" hiddenButton="1"/>
    <filterColumn colId="1" hiddenButton="1"/>
  </autoFilter>
  <tableColumns count="2">
    <tableColumn id="1" xr3:uid="{7C622051-66CC-4C8F-B655-8BA4CF50466E}" name="Fertiliser type f" dataDxfId="32"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3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30" dataCellStyle="Content normal">
  <autoFilter ref="Q19:R28" xr:uid="{791CEA59-796C-47AB-86BC-41E8F699030C}">
    <filterColumn colId="0" hiddenButton="1"/>
    <filterColumn colId="1" hiddenButton="1"/>
  </autoFilter>
  <tableColumns count="2">
    <tableColumn id="1" xr3:uid="{31D81A30-DB50-4875-A5AB-DFA2E5C18375}" name="Fertiliser type f" dataDxfId="29"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2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191"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1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1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1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1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1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1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1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7"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305</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307</v>
      </c>
      <c r="E5" s="83"/>
      <c r="F5" s="83"/>
      <c r="G5" s="83"/>
      <c r="H5" s="83"/>
      <c r="I5" s="83"/>
      <c r="J5" s="83"/>
      <c r="K5" s="83"/>
      <c r="L5" s="83"/>
      <c r="M5" s="83"/>
      <c r="N5" s="83"/>
      <c r="O5" s="79"/>
    </row>
    <row r="6" spans="1:42" ht="20.100000000000001" customHeight="1" x14ac:dyDescent="0.25">
      <c r="D6" s="171" t="s">
        <v>308</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7"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301</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294</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295</v>
      </c>
      <c r="E10" s="166">
        <f>VEERG_5_1_1_3__1_InorganicFertiliserApplicationCO2Emissions_Result_Method1</f>
        <v>7.333333333333333</v>
      </c>
      <c r="F10" s="166">
        <f>E10</f>
        <v>7.333333333333333</v>
      </c>
      <c r="G10" s="51" t="s">
        <v>259</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296</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297</v>
      </c>
      <c r="E12" s="166">
        <f>VEERG_5_3_1_1__1_LimeApplicationCO2Emissions_Result_Method1</f>
        <v>75.808333333333337</v>
      </c>
      <c r="F12" s="166">
        <f>E12</f>
        <v>75.808333333333337</v>
      </c>
      <c r="G12" s="51" t="s">
        <v>259</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298</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299</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7"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DATE(YEAR(E12)+1,MONTH(E12),DAY(E12))-1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7"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E26/E27</f>
        <v>0.45173453996983409</v>
      </c>
      <c r="F29" s="2"/>
    </row>
    <row r="30" spans="1:25" ht="20.100000000000001" customHeight="1" x14ac:dyDescent="0.25">
      <c r="A30"/>
      <c r="D30" s="10" t="s">
        <v>30</v>
      </c>
      <c r="E30" s="49" t="str">
        <f>Common_InputFunctions.Utility_LookupItemFromMinMax(E26,Table_SourceData_RainfallZones[Min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Common_InputFunctions.Utility_LookupValueInTable($E$31,Table_SourceData_WetDryZones[Climate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Common_InputFunctions.Utility_LookupItemFromMinMax(E25,Table_SourceData_TemperatureZones[Min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304</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D6" s="1" t="s">
        <v>86</v>
      </c>
      <c r="E6" s="38" t="s">
        <v>130</v>
      </c>
      <c r="F6" s="2" t="s">
        <v>8</v>
      </c>
    </row>
    <row r="7" spans="1:25" ht="20.100000000000001" customHeight="1" x14ac:dyDescent="0.25">
      <c r="D7" s="1" t="s">
        <v>163</v>
      </c>
      <c r="E7" s="38" t="s">
        <v>140</v>
      </c>
      <c r="F7" s="2" t="s">
        <v>8</v>
      </c>
    </row>
    <row r="8" spans="1:25" ht="20.100000000000001" customHeight="1" x14ac:dyDescent="0.25">
      <c r="A8" s="19" t="s">
        <v>0</v>
      </c>
      <c r="D8" s="1" t="s">
        <v>85</v>
      </c>
      <c r="E8" s="38" t="s">
        <v>131</v>
      </c>
      <c r="F8" s="2" t="s">
        <v>8</v>
      </c>
    </row>
    <row r="9" spans="1:25" ht="20.100000000000001" customHeight="1" x14ac:dyDescent="0.25">
      <c r="A9" s="17" t="str">
        <f>HYPERLINK("#'Input - Site'!A1", "Site")</f>
        <v>Site</v>
      </c>
      <c r="D9" s="1" t="s">
        <v>185</v>
      </c>
      <c r="E9" s="134">
        <v>100</v>
      </c>
      <c r="F9" s="2" t="s">
        <v>177</v>
      </c>
    </row>
    <row r="10" spans="1:25" ht="20.100000000000001" customHeight="1" x14ac:dyDescent="0.25">
      <c r="A10" s="106" t="str">
        <f>HYPERLINK("#'Input - Fertiliser'!A1", "Fertiliser")</f>
        <v>Fertiliser</v>
      </c>
    </row>
    <row r="11" spans="1:25" ht="20.100000000000001" customHeight="1" x14ac:dyDescent="0.25">
      <c r="D11" s="6" t="s">
        <v>145</v>
      </c>
      <c r="E11" s="3"/>
      <c r="F11" s="3"/>
      <c r="G11" s="3"/>
      <c r="H11" s="3"/>
      <c r="I11" s="3"/>
      <c r="J11" s="3"/>
      <c r="K11" s="3"/>
      <c r="L11" s="3"/>
      <c r="M11" s="3"/>
    </row>
    <row r="12" spans="1:25" ht="20.100000000000001" customHeight="1" x14ac:dyDescent="0.25">
      <c r="D12" s="21"/>
      <c r="E12" s="21"/>
      <c r="F12" s="21"/>
      <c r="G12" s="21"/>
      <c r="H12" s="21"/>
      <c r="I12" s="21"/>
      <c r="J12" s="21"/>
      <c r="K12" s="21"/>
      <c r="L12" s="21"/>
      <c r="M12" s="21"/>
    </row>
    <row r="13" spans="1:25" ht="20.100000000000001" customHeight="1" x14ac:dyDescent="0.25">
      <c r="A13" s="18" t="s">
        <v>68</v>
      </c>
      <c r="D13" s="104" t="s">
        <v>146</v>
      </c>
      <c r="E13" s="83"/>
      <c r="F13" s="83"/>
      <c r="G13" s="83"/>
      <c r="H13" s="79"/>
      <c r="I13" s="111"/>
      <c r="J13" s="112"/>
      <c r="K13" s="113"/>
      <c r="L13" s="113"/>
      <c r="M13" s="113"/>
    </row>
    <row r="14" spans="1:25" ht="20.100000000000001" customHeight="1" x14ac:dyDescent="0.25">
      <c r="A14" s="17" t="str">
        <f>HYPERLINK("#'5.1.1.1-2 Inorganic fert N2O'!A1", "5.1.1.1-2 Inorganic fert N2O")</f>
        <v>5.1.1.1-2 Inorganic fert N2O</v>
      </c>
      <c r="D14" s="85" t="s">
        <v>147</v>
      </c>
      <c r="E14" s="82"/>
      <c r="F14" s="82"/>
      <c r="G14" s="80"/>
      <c r="H14" s="136"/>
      <c r="I14" s="21"/>
      <c r="J14" s="21"/>
      <c r="K14" s="21"/>
      <c r="L14" s="21"/>
      <c r="M14" s="21"/>
    </row>
    <row r="15" spans="1:25" ht="20.100000000000001" customHeight="1" x14ac:dyDescent="0.25">
      <c r="A15" s="17"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17" t="str">
        <f>HYPERLINK("#'5.2.1.1-2 Organic Fert N2O'!A1", "5.2.1.1-2 Organic Fert N2O")</f>
        <v>5.2.1.1-2 Organic Fert N2O</v>
      </c>
      <c r="D16" s="45" t="s">
        <v>148</v>
      </c>
      <c r="E16" s="21"/>
      <c r="F16" s="21"/>
      <c r="G16" s="21"/>
      <c r="H16" s="21"/>
      <c r="I16" s="21"/>
      <c r="J16" s="21"/>
      <c r="K16" s="21"/>
      <c r="L16" s="21"/>
      <c r="M16" s="21"/>
    </row>
    <row r="17" spans="1:24" ht="36" customHeight="1" x14ac:dyDescent="0.25">
      <c r="A17" s="17" t="str">
        <f>HYPERLINK("#'5.3.1.1-2 Lime CO2'!A1", "5.3.1.1-2 Lime CO2")</f>
        <v>5.3.1.1-2 Lime CO2</v>
      </c>
      <c r="D17" s="114" t="s">
        <v>149</v>
      </c>
      <c r="E17" s="115" t="s">
        <v>319</v>
      </c>
      <c r="F17" s="175" t="s">
        <v>310</v>
      </c>
      <c r="G17" s="175" t="s">
        <v>311</v>
      </c>
      <c r="H17" s="115" t="s">
        <v>150</v>
      </c>
      <c r="I17" s="115" t="s">
        <v>151</v>
      </c>
      <c r="J17" s="114" t="s">
        <v>114</v>
      </c>
      <c r="K17" s="114" t="s">
        <v>115</v>
      </c>
      <c r="L17" s="114" t="s">
        <v>116</v>
      </c>
      <c r="M17" s="114" t="s">
        <v>117</v>
      </c>
      <c r="N17" s="114" t="s">
        <v>118</v>
      </c>
      <c r="O17" s="114" t="s">
        <v>119</v>
      </c>
      <c r="P17" s="114" t="s">
        <v>120</v>
      </c>
      <c r="Q17" s="114" t="s">
        <v>121</v>
      </c>
      <c r="R17" s="114" t="s">
        <v>122</v>
      </c>
      <c r="S17" s="114" t="s">
        <v>123</v>
      </c>
      <c r="T17" s="114" t="s">
        <v>124</v>
      </c>
      <c r="U17" s="114" t="s">
        <v>125</v>
      </c>
      <c r="V17" s="114" t="s">
        <v>164</v>
      </c>
      <c r="W17" s="174" t="s">
        <v>230</v>
      </c>
      <c r="X17" s="174" t="s">
        <v>231</v>
      </c>
    </row>
    <row r="18" spans="1:24" ht="36" customHeight="1" x14ac:dyDescent="0.25">
      <c r="A18" s="17" t="str">
        <f>HYPERLINK("#'5.4.1.1-4 Atmos deposition'!A1", "5.4.1.1-4 Atmos deposition")</f>
        <v>5.4.1.1-4 Atmos deposition</v>
      </c>
      <c r="D18" s="120" t="s">
        <v>300</v>
      </c>
      <c r="E18" s="121">
        <v>100</v>
      </c>
      <c r="F18" s="49" t="str">
        <f>_xlfn.XLOOKUP(Table_Input_InorganicFertiliser_Brands[[#This Row],[Product (select)]],FertiliserProducts[Product name],FertiliserProducts[Unit])</f>
        <v>L</v>
      </c>
      <c r="G18" s="49">
        <f>_xlfn.XLOOKUP(Table_Input_InorganicFertiliser_Brands[[#This Row],[Product (select)]],FertiliserProducts[Product name],FertiliserProducts[Density / gravity])</f>
        <v>1.26</v>
      </c>
      <c r="H18" s="121">
        <f>$E$9</f>
        <v>100</v>
      </c>
      <c r="I18" s="122">
        <f>(Table_Input_InorganicFertiliser_Brands[[#This Row],[Amount applied per hectare]]*Table_Input_InorganicFertiliser_Brands[[#This Row],[Density]])*Table_Input_InorganicFertiliser_Brands[[#This Row],[Application area (ha)]]</f>
        <v>12600</v>
      </c>
      <c r="J18" s="122"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2"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2"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2"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2"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2"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2"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2"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2"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2"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2"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2"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9" t="str">
        <f>_xlfn.XLOOKUP(Table_Input_InorganicFertiliser_Brands[[#This Row],[Product (select)]],FertiliserProducts[Product name],FertiliserProducts[Urea source])</f>
        <v/>
      </c>
      <c r="X18" s="49" t="str">
        <f>_xlfn.XLOOKUP(Table_Input_InorganicFertiliser_Brands[[#This Row],[Product (select)]],FertiliserProducts[Product name],FertiliserProducts[Ammonia source])</f>
        <v/>
      </c>
    </row>
    <row r="19" spans="1:24" ht="36" customHeight="1" x14ac:dyDescent="0.25">
      <c r="A19" s="17" t="str">
        <f>HYPERLINK("#'5.5.1.1-2 Leaching and runoff'!A1", "5.5.1.1-2 Leaching and runoff")</f>
        <v>5.5.1.1-2 Leaching and runoff</v>
      </c>
      <c r="D19" s="120" t="s">
        <v>320</v>
      </c>
      <c r="E19" s="121">
        <v>100</v>
      </c>
      <c r="F19" s="49" t="str">
        <f>_xlfn.XLOOKUP(Table_Input_InorganicFertiliser_Brands[[#This Row],[Product (select)]],FertiliserProducts[Product name],FertiliserProducts[Unit])</f>
        <v>L</v>
      </c>
      <c r="G19" s="49">
        <f>_xlfn.XLOOKUP(Table_Input_InorganicFertiliser_Brands[[#This Row],[Product (select)]],FertiliserProducts[Product name],FertiliserProducts[Density / gravity])</f>
        <v>1.2849999999999999</v>
      </c>
      <c r="H19" s="121">
        <f>$E$9</f>
        <v>100</v>
      </c>
      <c r="I19" s="122">
        <f>(Table_Input_InorganicFertiliser_Brands[[#This Row],[Amount applied per hectare]]*Table_Input_InorganicFertiliser_Brands[[#This Row],[Density]])*Table_Input_InorganicFertiliser_Brands[[#This Row],[Application area (ha)]]</f>
        <v>12850</v>
      </c>
      <c r="J19" s="122"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2"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2"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2"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2"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2"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2"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2"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2"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2"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2"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2"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2" t="str">
        <f>_xlfn.XLOOKUP(Table_Input_InorganicFertiliser_Brands[[#This Row],[Product (select)]],FertiliserProducts[Product name],FertiliserProducts[Urea source])</f>
        <v/>
      </c>
      <c r="X19" s="122" t="str">
        <f>_xlfn.XLOOKUP(Table_Input_InorganicFertiliser_Brands[[#This Row],[Product (select)]],FertiliserProducts[Product name],FertiliserProducts[Ammonia source])</f>
        <v/>
      </c>
    </row>
    <row r="20" spans="1:24" ht="36" customHeight="1" x14ac:dyDescent="0.25">
      <c r="D20" s="120" t="s">
        <v>320</v>
      </c>
      <c r="E20" s="121">
        <v>100</v>
      </c>
      <c r="F20" s="49" t="str">
        <f>_xlfn.XLOOKUP(Table_Input_InorganicFertiliser_Brands[[#This Row],[Product (select)]],FertiliserProducts[Product name],FertiliserProducts[Unit])</f>
        <v>L</v>
      </c>
      <c r="G20" s="49">
        <f>_xlfn.XLOOKUP(Table_Input_InorganicFertiliser_Brands[[#This Row],[Product (select)]],FertiliserProducts[Product name],FertiliserProducts[Density / gravity])</f>
        <v>1.2849999999999999</v>
      </c>
      <c r="H20" s="121">
        <f>$E$9</f>
        <v>100</v>
      </c>
      <c r="I20" s="122">
        <f>(Table_Input_InorganicFertiliser_Brands[[#This Row],[Amount applied per hectare]]*Table_Input_InorganicFertiliser_Brands[[#This Row],[Density]])*Table_Input_InorganicFertiliser_Brands[[#This Row],[Application area (ha)]]</f>
        <v>12850</v>
      </c>
      <c r="J20" s="122"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2"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2"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2"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2"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2"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2"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2"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2"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2"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2"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2"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2" t="str">
        <f>_xlfn.XLOOKUP(Table_Input_InorganicFertiliser_Brands[[#This Row],[Product (select)]],FertiliserProducts[Product name],FertiliserProducts[Urea source])</f>
        <v/>
      </c>
      <c r="X20" s="122" t="str">
        <f>_xlfn.XLOOKUP(Table_Input_InorganicFertiliser_Brands[[#This Row],[Product (select)]],FertiliserProducts[Product name],FertiliserProducts[Ammonia source])</f>
        <v/>
      </c>
    </row>
    <row r="21" spans="1:24" ht="36" customHeight="1" x14ac:dyDescent="0.25">
      <c r="D21" s="120" t="s">
        <v>322</v>
      </c>
      <c r="E21" s="121">
        <v>100</v>
      </c>
      <c r="F21" s="49" t="str">
        <f>_xlfn.XLOOKUP(Table_Input_InorganicFertiliser_Brands[[#This Row],[Product (select)]],FertiliserProducts[Product name],FertiliserProducts[Unit])</f>
        <v>L</v>
      </c>
      <c r="G21" s="49">
        <f>_xlfn.XLOOKUP(Table_Input_InorganicFertiliser_Brands[[#This Row],[Product (select)]],FertiliserProducts[Product name],FertiliserProducts[Density / gravity])</f>
        <v>1.26</v>
      </c>
      <c r="H21" s="121">
        <f>$E$9</f>
        <v>100</v>
      </c>
      <c r="I21" s="122">
        <f>(Table_Input_InorganicFertiliser_Brands[[#This Row],[Amount applied per hectare]]*Table_Input_InorganicFertiliser_Brands[[#This Row],[Density]])*Table_Input_InorganicFertiliser_Brands[[#This Row],[Application area (ha)]]</f>
        <v>12600</v>
      </c>
      <c r="J21" s="122"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2"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2"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2"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2"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2"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2"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2"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2"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2"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2"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2"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2" t="str">
        <f>_xlfn.XLOOKUP(Table_Input_InorganicFertiliser_Brands[[#This Row],[Product (select)]],FertiliserProducts[Product name],FertiliserProducts[Urea source])</f>
        <v/>
      </c>
      <c r="X21" s="122" t="str">
        <f>_xlfn.XLOOKUP(Table_Input_InorganicFertiliser_Brands[[#This Row],[Product (select)]],FertiliserProducts[Product name],FertiliserProducts[Ammonia source])</f>
        <v/>
      </c>
    </row>
    <row r="22" spans="1:24" ht="36" customHeight="1" x14ac:dyDescent="0.25">
      <c r="A22" s="177" t="s">
        <v>1</v>
      </c>
      <c r="D22" s="120" t="s">
        <v>321</v>
      </c>
      <c r="E22" s="121">
        <v>100</v>
      </c>
      <c r="F22" s="49" t="str">
        <f>_xlfn.XLOOKUP(Table_Input_InorganicFertiliser_Brands[[#This Row],[Product (select)]],FertiliserProducts[Product name],FertiliserProducts[Unit])</f>
        <v>L</v>
      </c>
      <c r="G22" s="49">
        <f>_xlfn.XLOOKUP(Table_Input_InorganicFertiliser_Brands[[#This Row],[Product (select)]],FertiliserProducts[Product name],FertiliserProducts[Density / gravity])</f>
        <v>1.5</v>
      </c>
      <c r="H22" s="121">
        <f>$E$9</f>
        <v>100</v>
      </c>
      <c r="I22" s="122">
        <f>(Table_Input_InorganicFertiliser_Brands[[#This Row],[Amount applied per hectare]]*Table_Input_InorganicFertiliser_Brands[[#This Row],[Density]])*Table_Input_InorganicFertiliser_Brands[[#This Row],[Application area (ha)]]</f>
        <v>15000</v>
      </c>
      <c r="J22" s="122"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2"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2"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2"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2"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2"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2"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2"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2"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2"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2"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2"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2" t="str">
        <f>_xlfn.XLOOKUP(Table_Input_InorganicFertiliser_Brands[[#This Row],[Product (select)]],FertiliserProducts[Product name],FertiliserProducts[Urea source])</f>
        <v/>
      </c>
      <c r="X22" s="122" t="str">
        <f>_xlfn.XLOOKUP(Table_Input_InorganicFertiliser_Brands[[#This Row],[Product (select)]],FertiliserProducts[Product name],FertiliserProducts[Ammonia source])</f>
        <v/>
      </c>
    </row>
    <row r="23" spans="1:24" ht="36" customHeight="1" x14ac:dyDescent="0.25">
      <c r="A23" s="17" t="str">
        <f>HYPERLINK("#'Constants - Fertiliser'!A1", "Constants - Fertiliser")</f>
        <v>Constants - Fertiliser</v>
      </c>
      <c r="D23" s="123"/>
      <c r="E23" s="124"/>
      <c r="F23" s="125"/>
      <c r="G23" s="125"/>
      <c r="H23" s="125"/>
      <c r="I23" s="125"/>
      <c r="J23" s="126"/>
      <c r="K23" s="126"/>
      <c r="L23" s="127"/>
      <c r="M23" s="127"/>
      <c r="N23" s="128"/>
      <c r="O23" s="128"/>
      <c r="P23" s="128"/>
      <c r="Q23" s="128"/>
      <c r="R23" s="128"/>
      <c r="S23" s="128"/>
      <c r="T23" s="128"/>
      <c r="U23" s="128"/>
      <c r="V23" s="128"/>
      <c r="W23" s="128"/>
      <c r="X23" s="128"/>
    </row>
    <row r="24" spans="1:24" ht="36" customHeight="1" x14ac:dyDescent="0.25">
      <c r="A24" s="17" t="str">
        <f>HYPERLINK("#'Constants - Common'!A1", "Constants - Common")</f>
        <v>Constants - Common</v>
      </c>
      <c r="D24" s="129" t="s">
        <v>152</v>
      </c>
      <c r="E24" s="130"/>
      <c r="F24" s="130"/>
      <c r="G24" s="130"/>
      <c r="H24" s="130"/>
      <c r="I24" s="130"/>
      <c r="J24" s="130"/>
      <c r="K24" s="130"/>
      <c r="L24" s="130"/>
      <c r="M24" s="130"/>
      <c r="N24" s="128"/>
      <c r="O24" s="128"/>
      <c r="P24" s="128"/>
      <c r="Q24" s="128"/>
      <c r="R24" s="128"/>
      <c r="S24" s="128"/>
      <c r="T24" s="128"/>
      <c r="V24" s="128"/>
      <c r="W24" s="128"/>
      <c r="X24" s="128"/>
    </row>
    <row r="25" spans="1:24" ht="36" customHeight="1" x14ac:dyDescent="0.25">
      <c r="D25" s="115" t="s">
        <v>153</v>
      </c>
      <c r="E25" s="115" t="s">
        <v>158</v>
      </c>
      <c r="F25" s="115" t="s">
        <v>150</v>
      </c>
      <c r="G25" s="115" t="s">
        <v>151</v>
      </c>
      <c r="H25" s="115" t="s">
        <v>154</v>
      </c>
      <c r="I25" s="115" t="s">
        <v>115</v>
      </c>
      <c r="J25" s="115" t="s">
        <v>116</v>
      </c>
      <c r="K25" s="115" t="s">
        <v>117</v>
      </c>
      <c r="L25" s="115" t="s">
        <v>118</v>
      </c>
      <c r="M25" s="115" t="s">
        <v>119</v>
      </c>
      <c r="N25" s="115" t="s">
        <v>120</v>
      </c>
      <c r="O25" s="115" t="s">
        <v>121</v>
      </c>
      <c r="P25" s="115" t="s">
        <v>164</v>
      </c>
      <c r="Q25" s="174" t="s">
        <v>312</v>
      </c>
      <c r="R25" s="174" t="s">
        <v>313</v>
      </c>
      <c r="S25" s="128"/>
      <c r="T25" s="128"/>
      <c r="V25" s="128"/>
      <c r="W25" s="128"/>
      <c r="X25" s="128"/>
    </row>
    <row r="26" spans="1:24" ht="36" customHeight="1" x14ac:dyDescent="0.25">
      <c r="D26" s="32" t="s">
        <v>155</v>
      </c>
      <c r="E26" s="115">
        <v>100</v>
      </c>
      <c r="F26" s="121">
        <f>$E$9</f>
        <v>100</v>
      </c>
      <c r="G26" s="122">
        <f>Table_Input_InorganicFertiliser_Custom[[#This Row],[Amount applied (kg / ha)]]*Table_Input_InorganicFertiliser_Custom[[#This Row],[Application area (ha)]]</f>
        <v>10000</v>
      </c>
      <c r="H26" s="132" t="s">
        <v>314</v>
      </c>
      <c r="I26" s="135">
        <v>0.5</v>
      </c>
      <c r="J26" s="132" t="s">
        <v>315</v>
      </c>
      <c r="K26" s="135">
        <v>0.2</v>
      </c>
      <c r="L26" s="132" t="s">
        <v>156</v>
      </c>
      <c r="M26" s="135">
        <v>0.2</v>
      </c>
      <c r="N26" s="133" t="s">
        <v>157</v>
      </c>
      <c r="O26" s="164">
        <v>0.1</v>
      </c>
      <c r="P26"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8"/>
      <c r="R26" s="38"/>
      <c r="T26" s="50"/>
    </row>
    <row r="27" spans="1:24" ht="20.100000000000001" customHeight="1" x14ac:dyDescent="0.25">
      <c r="D27" s="32" t="s">
        <v>317</v>
      </c>
      <c r="E27" s="115">
        <v>100</v>
      </c>
      <c r="F27" s="176">
        <f>$E$9</f>
        <v>100</v>
      </c>
      <c r="G27" s="122">
        <f>Table_Input_InorganicFertiliser_Custom[[#This Row],[Amount applied (kg / ha)]]*Table_Input_InorganicFertiliser_Custom[[#This Row],[Application area (ha)]]</f>
        <v>10000</v>
      </c>
      <c r="H27" s="132" t="s">
        <v>318</v>
      </c>
      <c r="I27" s="165">
        <v>1</v>
      </c>
      <c r="J27" s="132"/>
      <c r="K27" s="165"/>
      <c r="L27" s="132"/>
      <c r="M27" s="165"/>
      <c r="N27" s="133"/>
      <c r="O27" s="164"/>
      <c r="P27"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8"/>
      <c r="R27" s="38"/>
      <c r="W27" s="50"/>
    </row>
    <row r="28" spans="1:24" ht="20.100000000000001" customHeight="1" x14ac:dyDescent="0.25">
      <c r="D28" s="32" t="s">
        <v>324</v>
      </c>
      <c r="E28" s="115">
        <v>100</v>
      </c>
      <c r="F28" s="176">
        <f>$E$9</f>
        <v>100</v>
      </c>
      <c r="G28" s="122">
        <f>Table_Input_InorganicFertiliser_Custom[[#This Row],[Amount applied (kg / ha)]]*Table_Input_InorganicFertiliser_Custom[[#This Row],[Application area (ha)]]</f>
        <v>10000</v>
      </c>
      <c r="H28" s="132" t="s">
        <v>325</v>
      </c>
      <c r="I28" s="165">
        <v>0.5</v>
      </c>
      <c r="J28" s="132"/>
      <c r="K28" s="165"/>
      <c r="L28" s="132"/>
      <c r="M28" s="165"/>
      <c r="N28" s="133"/>
      <c r="O28" s="164"/>
      <c r="P28"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8"/>
      <c r="R28" s="38"/>
    </row>
    <row r="29" spans="1:24" ht="20.100000000000001" customHeight="1" x14ac:dyDescent="0.25">
      <c r="V29" s="50"/>
    </row>
    <row r="30" spans="1:24" ht="20.100000000000001" customHeight="1" x14ac:dyDescent="0.25">
      <c r="D30" s="6" t="s">
        <v>316</v>
      </c>
      <c r="E30" s="3"/>
      <c r="F30" s="3"/>
      <c r="G30" s="3"/>
      <c r="H30" s="3"/>
      <c r="I30" s="3"/>
      <c r="J30" s="3"/>
      <c r="K30" s="21"/>
      <c r="L30" s="21"/>
      <c r="M30" s="21"/>
    </row>
    <row r="31" spans="1:24" ht="20.100000000000001" customHeight="1" x14ac:dyDescent="0.25">
      <c r="D31" s="21"/>
      <c r="E31" s="21"/>
      <c r="F31" s="21"/>
      <c r="G31" s="21"/>
      <c r="H31" s="21"/>
      <c r="I31" s="21"/>
      <c r="J31" s="21"/>
      <c r="K31" s="21"/>
      <c r="L31" s="21"/>
      <c r="M31" s="3"/>
    </row>
    <row r="32" spans="1:24" ht="30" customHeight="1" x14ac:dyDescent="0.25">
      <c r="D32" s="104" t="s">
        <v>186</v>
      </c>
      <c r="E32" s="83"/>
      <c r="F32" s="79"/>
      <c r="G32" s="104"/>
      <c r="H32" s="79"/>
      <c r="I32" s="3"/>
      <c r="J32" s="3"/>
      <c r="K32" s="21"/>
      <c r="L32" s="21"/>
      <c r="M32" s="21"/>
    </row>
    <row r="33" spans="1:25" ht="36" customHeight="1" x14ac:dyDescent="0.25">
      <c r="D33" s="157" t="s">
        <v>187</v>
      </c>
      <c r="E33" s="158"/>
      <c r="F33" s="159"/>
      <c r="G33" s="157"/>
      <c r="H33" s="159"/>
      <c r="I33" s="21"/>
      <c r="J33" s="21"/>
      <c r="K33" s="21"/>
      <c r="L33" s="21"/>
      <c r="M33" s="3"/>
    </row>
    <row r="34" spans="1:25" ht="36" customHeight="1" x14ac:dyDescent="0.25">
      <c r="D34" s="85" t="s">
        <v>147</v>
      </c>
      <c r="E34" s="82"/>
      <c r="F34" s="82"/>
      <c r="G34" s="82"/>
      <c r="H34" s="80"/>
      <c r="I34" s="21"/>
      <c r="J34" s="21"/>
      <c r="K34" s="21"/>
      <c r="L34" s="21"/>
      <c r="M34" s="3"/>
    </row>
    <row r="35" spans="1:25" ht="36" customHeight="1" x14ac:dyDescent="0.25">
      <c r="D35" s="97" t="str">
        <f>IF(MAX(Table_Input_Lime[Total]) &gt; 1, "There can not be more than 100% ingredients in a product. Check the table below.", "")</f>
        <v/>
      </c>
    </row>
    <row r="36" spans="1:25" ht="36" customHeight="1" x14ac:dyDescent="0.25">
      <c r="D36" s="138" t="s">
        <v>113</v>
      </c>
      <c r="E36" s="138" t="s">
        <v>188</v>
      </c>
      <c r="F36" s="138" t="s">
        <v>150</v>
      </c>
      <c r="G36" s="138" t="s">
        <v>189</v>
      </c>
      <c r="H36" s="138" t="s">
        <v>190</v>
      </c>
      <c r="I36" s="138" t="s">
        <v>191</v>
      </c>
      <c r="J36" s="138" t="s">
        <v>192</v>
      </c>
      <c r="K36" s="138" t="s">
        <v>87</v>
      </c>
    </row>
    <row r="37" spans="1:25" ht="20.100000000000001" customHeight="1" x14ac:dyDescent="0.25">
      <c r="D37" s="139" t="s">
        <v>263</v>
      </c>
      <c r="E37" s="121">
        <v>1</v>
      </c>
      <c r="F37" s="121">
        <f>$E$9</f>
        <v>100</v>
      </c>
      <c r="G37" s="122">
        <f>IFERROR(Table_Input_Lime[[#This Row],[Amount applied (t/hectare)]]*Table_Input_Lime[[#This Row],[Application area (ha)]], 0)</f>
        <v>100</v>
      </c>
      <c r="H37" s="140">
        <v>0.8</v>
      </c>
      <c r="I37" s="140">
        <v>0.1</v>
      </c>
      <c r="J37" s="140">
        <v>0.1</v>
      </c>
      <c r="K37" s="160">
        <f>SUM(Table_Input_Lime[[#This Row],[Percent Lime CaCO3]:[Percent Gypsum]])</f>
        <v>1</v>
      </c>
    </row>
    <row r="38" spans="1:25" ht="20.100000000000001" customHeight="1" x14ac:dyDescent="0.25">
      <c r="C38" s="128"/>
      <c r="D38" s="139" t="s">
        <v>264</v>
      </c>
      <c r="E38" s="121">
        <v>1</v>
      </c>
      <c r="F38" s="121">
        <f>$E$9</f>
        <v>100</v>
      </c>
      <c r="G38" s="122">
        <f>IFERROR(Table_Input_Lime[[#This Row],[Amount applied (t/hectare)]]*Table_Input_Lime[[#This Row],[Application area (ha)]], 0)</f>
        <v>100</v>
      </c>
      <c r="H38" s="140">
        <v>1</v>
      </c>
      <c r="I38" s="140"/>
      <c r="J38" s="140"/>
      <c r="K38" s="160">
        <f>SUM(Table_Input_Lime[[#This Row],[Percent Lime CaCO3]:[Percent Gypsum]])</f>
        <v>1</v>
      </c>
      <c r="L38" s="3"/>
    </row>
    <row r="39" spans="1:25" ht="20.100000000000001" customHeight="1" x14ac:dyDescent="0.25">
      <c r="C39" s="128"/>
      <c r="D39" s="139" t="s">
        <v>326</v>
      </c>
      <c r="E39" s="121">
        <v>1</v>
      </c>
      <c r="F39" s="121">
        <f>$E$9</f>
        <v>100</v>
      </c>
      <c r="G39" s="122">
        <f>IFERROR(Table_Input_Lime[[#This Row],[Amount applied (t/hectare)]]*Table_Input_Lime[[#This Row],[Application area (ha)]], 0)</f>
        <v>100</v>
      </c>
      <c r="H39" s="140">
        <v>0</v>
      </c>
      <c r="I39" s="140"/>
      <c r="J39" s="140">
        <v>1</v>
      </c>
      <c r="K39" s="160">
        <f>SUM(Table_Input_Lime[[#This Row],[Percent Lime CaCO3]:[Percent Gypsum]])</f>
        <v>1</v>
      </c>
      <c r="L39" s="3"/>
      <c r="M39" s="3"/>
    </row>
    <row r="40" spans="1:25" s="131" customFormat="1" ht="20.100000000000001" customHeight="1" x14ac:dyDescent="0.25">
      <c r="A40"/>
      <c r="C40" s="1"/>
      <c r="D40" s="21"/>
      <c r="E40" s="21"/>
      <c r="F40" s="21"/>
      <c r="G40" s="21"/>
      <c r="H40" s="21"/>
      <c r="I40" s="21"/>
      <c r="J40" s="21"/>
      <c r="K40" s="1"/>
      <c r="L40" s="21"/>
      <c r="M40" s="3"/>
      <c r="N40" s="1"/>
      <c r="O40" s="1"/>
      <c r="P40" s="1"/>
      <c r="Q40" s="1"/>
      <c r="R40" s="1"/>
      <c r="S40" s="1"/>
      <c r="T40" s="1"/>
      <c r="U40" s="1"/>
      <c r="V40" s="1"/>
      <c r="W40" s="1"/>
      <c r="X40" s="1"/>
      <c r="Y40" s="1"/>
    </row>
    <row r="41" spans="1:25" s="131" customFormat="1" ht="20.100000000000001" customHeight="1" x14ac:dyDescent="0.25">
      <c r="A41"/>
      <c r="C41" s="1"/>
      <c r="D41" s="21"/>
      <c r="E41" s="21"/>
      <c r="F41" s="21"/>
      <c r="G41" s="21"/>
      <c r="H41" s="21"/>
      <c r="I41" s="21"/>
      <c r="J41" s="137"/>
      <c r="K41" s="3"/>
      <c r="L41" s="21"/>
      <c r="M41" s="21"/>
      <c r="N41" s="1"/>
      <c r="O41" s="1"/>
      <c r="P41" s="1"/>
      <c r="Q41" s="1"/>
      <c r="R41" s="1"/>
      <c r="S41" s="1"/>
      <c r="T41" s="1"/>
      <c r="U41" s="1"/>
      <c r="V41" s="1"/>
      <c r="W41" s="1"/>
      <c r="X41" s="1"/>
      <c r="Y41" s="1"/>
    </row>
    <row r="42" spans="1:25" ht="30" customHeight="1" x14ac:dyDescent="0.25">
      <c r="D42" s="6" t="s">
        <v>193</v>
      </c>
      <c r="E42" s="3"/>
      <c r="F42" s="3"/>
      <c r="G42" s="3"/>
      <c r="H42" s="21"/>
      <c r="I42" s="21"/>
      <c r="J42" s="21"/>
      <c r="K42" s="21"/>
      <c r="L42" s="21"/>
      <c r="M42" s="21"/>
      <c r="S42" s="128"/>
    </row>
    <row r="43" spans="1:25" ht="36" customHeight="1" x14ac:dyDescent="0.25">
      <c r="D43" s="21"/>
      <c r="E43" s="21"/>
      <c r="F43" s="21"/>
      <c r="G43" s="21"/>
      <c r="H43" s="21"/>
      <c r="I43" s="21"/>
      <c r="J43" s="21"/>
      <c r="K43" s="21"/>
      <c r="L43" s="21"/>
      <c r="M43" s="21"/>
      <c r="Q43" s="128"/>
      <c r="R43" s="128"/>
      <c r="S43" s="128"/>
    </row>
    <row r="44" spans="1:25" ht="36" customHeight="1" x14ac:dyDescent="0.25">
      <c r="D44" s="104" t="s">
        <v>186</v>
      </c>
      <c r="E44" s="83"/>
      <c r="F44" s="83"/>
      <c r="G44" s="83"/>
      <c r="H44" s="79"/>
      <c r="I44" s="21"/>
      <c r="J44" s="21"/>
      <c r="K44" s="21"/>
      <c r="L44" s="21"/>
      <c r="M44" s="21"/>
      <c r="O44" s="128"/>
      <c r="P44" s="128"/>
      <c r="Q44" s="128"/>
      <c r="R44" s="128"/>
    </row>
    <row r="45" spans="1:25" ht="36" customHeight="1" x14ac:dyDescent="0.25">
      <c r="D45" s="85" t="s">
        <v>147</v>
      </c>
      <c r="E45" s="82"/>
      <c r="F45" s="82"/>
      <c r="G45" s="82"/>
      <c r="H45" s="80"/>
      <c r="I45" s="21"/>
      <c r="J45" s="21"/>
      <c r="K45" s="21"/>
      <c r="L45" s="130"/>
      <c r="M45" s="128"/>
      <c r="N45" s="128"/>
      <c r="O45" s="128"/>
      <c r="P45" s="128"/>
    </row>
    <row r="46" spans="1:25" ht="36" customHeight="1" x14ac:dyDescent="0.25">
      <c r="D46" s="21"/>
      <c r="E46" s="21"/>
      <c r="F46" s="21"/>
      <c r="G46" s="21"/>
      <c r="H46" s="21"/>
      <c r="I46" s="21"/>
      <c r="J46" s="21"/>
      <c r="K46" s="21"/>
      <c r="L46" s="130"/>
      <c r="M46" s="128"/>
      <c r="N46" s="128"/>
    </row>
    <row r="47" spans="1:25" ht="20.100000000000001" customHeight="1" x14ac:dyDescent="0.25">
      <c r="D47" s="138" t="s">
        <v>194</v>
      </c>
      <c r="E47" s="138" t="s">
        <v>195</v>
      </c>
      <c r="F47" s="138" t="s">
        <v>196</v>
      </c>
      <c r="G47" s="138" t="s">
        <v>197</v>
      </c>
      <c r="H47" s="138" t="s">
        <v>150</v>
      </c>
      <c r="I47" s="138" t="s">
        <v>198</v>
      </c>
      <c r="J47" s="138" t="s">
        <v>199</v>
      </c>
      <c r="K47" s="130"/>
    </row>
    <row r="48" spans="1:25" ht="20.100000000000001" customHeight="1" x14ac:dyDescent="0.25">
      <c r="D48" s="120" t="s">
        <v>240</v>
      </c>
      <c r="E48" s="140">
        <v>0.3</v>
      </c>
      <c r="F48" s="121">
        <v>10</v>
      </c>
      <c r="G48" s="122">
        <f>Table_Input_OrganicFertiliser[[#This Row],[Amount applied (kg/hectare)]]*Table_Input_OrganicFertiliser[[#This Row],[Percentage of N in fertiliser]]</f>
        <v>3</v>
      </c>
      <c r="H48" s="121">
        <f>$E$9</f>
        <v>100</v>
      </c>
      <c r="I48" s="122">
        <f>Table_Input_OrganicFertiliser[[#This Row],[Amount applied (kg/hectare)]]*Table_Input_OrganicFertiliser[[#This Row],[Application area (ha)]]</f>
        <v>1000</v>
      </c>
      <c r="J48" s="122">
        <f>IFERROR(Table_Input_OrganicFertiliser[[#This Row],[Amount N applied (kg/hectare)]]*Table_Input_OrganicFertiliser[[#This Row],[Application area (ha)]], 0)</f>
        <v>300</v>
      </c>
      <c r="K48" s="130"/>
    </row>
    <row r="49" spans="4:10" ht="20.100000000000001" customHeight="1" x14ac:dyDescent="0.25">
      <c r="D49" s="120" t="s">
        <v>238</v>
      </c>
      <c r="E49" s="140">
        <v>0.25</v>
      </c>
      <c r="F49" s="121">
        <v>10</v>
      </c>
      <c r="G49" s="122">
        <f>Table_Input_OrganicFertiliser[[#This Row],[Amount applied (kg/hectare)]]*Table_Input_OrganicFertiliser[[#This Row],[Percentage of N in fertiliser]]</f>
        <v>2.5</v>
      </c>
      <c r="H49" s="121">
        <f>$E$9</f>
        <v>100</v>
      </c>
      <c r="I49" s="122">
        <f>Table_Input_OrganicFertiliser[[#This Row],[Amount applied (kg/hectare)]]*Table_Input_OrganicFertiliser[[#This Row],[Application area (ha)]]</f>
        <v>1000</v>
      </c>
      <c r="J49" s="122">
        <f>IFERROR(Table_Input_OrganicFertiliser[[#This Row],[Amount N applied (kg/hectare)]]*Table_Input_OrganicFertiliser[[#This Row],[Application area (ha)]], 0)</f>
        <v>250</v>
      </c>
    </row>
    <row r="50" spans="4:10" ht="20.100000000000001" customHeight="1" x14ac:dyDescent="0.25">
      <c r="D50" s="120" t="s">
        <v>241</v>
      </c>
      <c r="E50" s="140">
        <v>0.16</v>
      </c>
      <c r="F50" s="121">
        <v>10</v>
      </c>
      <c r="G50" s="122">
        <f>Table_Input_OrganicFertiliser[[#This Row],[Amount applied (kg/hectare)]]*Table_Input_OrganicFertiliser[[#This Row],[Percentage of N in fertiliser]]</f>
        <v>1.6</v>
      </c>
      <c r="H50" s="121">
        <f>$E$9</f>
        <v>100</v>
      </c>
      <c r="I50" s="122">
        <f>Table_Input_OrganicFertiliser[[#This Row],[Amount applied (kg/hectare)]]*Table_Input_OrganicFertiliser[[#This Row],[Application area (ha)]]</f>
        <v>1000</v>
      </c>
      <c r="J50" s="122">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7"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E80</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N88</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7"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'Constants - Fertiliser'!$E$60</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249</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45" t="s">
        <v>246</v>
      </c>
      <c r="I19" s="145" t="s">
        <v>247</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7"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248</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E50</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7" t="s">
        <v>1</v>
      </c>
      <c r="D22" s="90" t="s">
        <v>260</v>
      </c>
    </row>
    <row r="23" spans="1:9" ht="20.100000000000001" customHeight="1" x14ac:dyDescent="0.25">
      <c r="A23" s="17" t="str">
        <f>HYPERLINK("#'Constants - Fertiliser'!A1", "Constants - Fertiliser")</f>
        <v>Constants - Fertiliser</v>
      </c>
      <c r="D23" s="89" t="s">
        <v>265</v>
      </c>
    </row>
    <row r="24" spans="1:9" ht="20.100000000000001" customHeight="1" x14ac:dyDescent="0.25">
      <c r="A24" s="17" t="str">
        <f>HYPERLINK("#'Constants - Common'!A1", "Constants - Common")</f>
        <v>Constants - Common</v>
      </c>
      <c r="D24" s="110" t="s">
        <v>253</v>
      </c>
      <c r="E24" s="110" t="s">
        <v>254</v>
      </c>
      <c r="F24" s="110" t="s">
        <v>255</v>
      </c>
      <c r="G24" s="110" t="s">
        <v>256</v>
      </c>
      <c r="H24" s="48" t="s">
        <v>257</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258</v>
      </c>
      <c r="E31" s="93">
        <f>SUM(H25:H29)</f>
        <v>75.808333333333337</v>
      </c>
      <c r="F31" s="156" t="s">
        <v>259</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283</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270</v>
      </c>
    </row>
    <row r="17" spans="1:8" ht="20.100000000000001" customHeight="1" x14ac:dyDescent="0.25">
      <c r="A17" s="17" t="str">
        <f>HYPERLINK("#'5.3.1.1-2 Lime CO2'!A1", "5.3.1.1-2 Lime CO2")</f>
        <v>5.3.1.1-2 Lime CO2</v>
      </c>
      <c r="D17" s="89" t="s">
        <v>271</v>
      </c>
    </row>
    <row r="18" spans="1:8" ht="20.100000000000001" customHeight="1" x14ac:dyDescent="0.25">
      <c r="A18" s="172" t="str">
        <f>HYPERLINK("#'5.4.1.1-4 Atmos deposition'!A1", "5.4.1.1-4 Atmos deposition")</f>
        <v>5.4.1.1-4 Atmos deposition</v>
      </c>
      <c r="D18" s="48" t="s">
        <v>266</v>
      </c>
      <c r="E18" s="48" t="s">
        <v>267</v>
      </c>
      <c r="F18" s="48" t="s">
        <v>109</v>
      </c>
      <c r="G18" s="161" t="s">
        <v>268</v>
      </c>
      <c r="H18" s="161" t="s">
        <v>269</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7"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279</v>
      </c>
    </row>
    <row r="57" spans="4:10" ht="20.100000000000001" customHeight="1" x14ac:dyDescent="0.25">
      <c r="D57" s="89" t="s">
        <v>280</v>
      </c>
    </row>
    <row r="58" spans="4:10" ht="20.100000000000001" customHeight="1" x14ac:dyDescent="0.25">
      <c r="D58" s="48" t="s">
        <v>266</v>
      </c>
      <c r="E58" s="161" t="s">
        <v>269</v>
      </c>
      <c r="F58" s="161" t="s">
        <v>272</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277</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E79</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'Constants - Fertiliser'!$E$73</f>
        <v>0.21</v>
      </c>
    </row>
    <row r="98" spans="4:9" ht="20.100000000000001" customHeight="1" x14ac:dyDescent="0.25"/>
    <row r="99" spans="4:9" ht="20.100000000000001" customHeight="1" x14ac:dyDescent="0.25">
      <c r="D99" s="90" t="s">
        <v>273</v>
      </c>
    </row>
    <row r="100" spans="4:9" ht="20.100000000000001" customHeight="1" x14ac:dyDescent="0.25">
      <c r="D100" s="89" t="s">
        <v>274</v>
      </c>
    </row>
    <row r="101" spans="4:9" ht="20.100000000000001" customHeight="1" x14ac:dyDescent="0.25">
      <c r="D101" s="110" t="s">
        <v>243</v>
      </c>
      <c r="E101" s="145" t="s">
        <v>247</v>
      </c>
      <c r="F101" s="145" t="s">
        <v>276</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281</v>
      </c>
    </row>
    <row r="132" spans="4:9" ht="20.100000000000001" customHeight="1" x14ac:dyDescent="0.25">
      <c r="D132" s="89" t="s">
        <v>282</v>
      </c>
    </row>
    <row r="133" spans="4:9" ht="20.100000000000001" customHeight="1" x14ac:dyDescent="0.25">
      <c r="D133" s="110" t="s">
        <v>243</v>
      </c>
      <c r="E133" s="145" t="s">
        <v>276</v>
      </c>
      <c r="F133" s="145" t="s">
        <v>275</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278</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E146</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7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Common_InputFunctions.CommonCropping_GetFracWET(I16,I18,#REF!,#REF!,Table_SourceData_FracWETIrrigation[Irrigation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'Constants - Fertiliser'!$E$78</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286</v>
      </c>
    </row>
    <row r="21" spans="1:9" ht="20.100000000000001" customHeight="1" x14ac:dyDescent="0.25">
      <c r="D21" s="89" t="s">
        <v>289</v>
      </c>
    </row>
    <row r="22" spans="1:9" ht="20.100000000000001" customHeight="1" x14ac:dyDescent="0.25">
      <c r="A22" s="177" t="s">
        <v>1</v>
      </c>
      <c r="D22" s="48" t="s">
        <v>111</v>
      </c>
      <c r="E22" s="48" t="s">
        <v>267</v>
      </c>
      <c r="F22" s="48" t="s">
        <v>285</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287</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Common_InputFunctions.CommonCropping_GetFracWET(I58,I60,#REF!,#REF!,Table_SourceData_FracWETIrrigation[Irrigation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'Constants - Fertiliser'!$E$78</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288</v>
      </c>
    </row>
    <row r="63" spans="4:9" ht="20.100000000000001" customHeight="1" x14ac:dyDescent="0.25">
      <c r="D63" s="89" t="s">
        <v>290</v>
      </c>
    </row>
    <row r="64" spans="4:9" ht="20.100000000000001" customHeight="1" x14ac:dyDescent="0.25">
      <c r="D64" s="110" t="s">
        <v>243</v>
      </c>
      <c r="E64" s="163" t="s">
        <v>247</v>
      </c>
      <c r="F64" s="48" t="s">
        <v>291</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292</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'Constants - Fertiliser'!$E$83</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293</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E94</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7"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309</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253</v>
      </c>
      <c r="E65" s="36" t="s">
        <v>261</v>
      </c>
      <c r="F65" s="36" t="s">
        <v>262</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323</v>
      </c>
    </row>
    <row r="87" spans="4:31" ht="20.100000000000001" customHeight="1" x14ac:dyDescent="0.25">
      <c r="D87" s="6" t="s">
        <v>112</v>
      </c>
      <c r="E87" s="108"/>
      <c r="F87" s="108"/>
      <c r="G87" s="108"/>
      <c r="H87" s="108"/>
      <c r="I87" s="108"/>
      <c r="J87" s="108"/>
      <c r="K87" s="108"/>
      <c r="L87" s="108"/>
      <c r="N87" s="108" t="s">
        <v>323</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tabSelected="1" topLeftCell="A86"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7"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3"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250</v>
      </c>
      <c r="E257" s="36" t="s">
        <v>251</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45</vt:i4>
      </vt:variant>
    </vt:vector>
  </HeadingPairs>
  <TitlesOfParts>
    <vt:vector size="5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