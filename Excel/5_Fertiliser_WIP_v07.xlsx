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A908024-3C8E-4197-8F1F-6ED065D322E7}" xr6:coauthVersionLast="47" xr6:coauthVersionMax="47" xr10:uidLastSave="{00000000-0000-0000-0000-000000000000}"/>
  <bookViews>
    <workbookView xWindow="1380" yWindow="1275" windowWidth="33915" windowHeight="17775" firstSheet="4" activeTab="5"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19" r:id="rId13"/>
  </sheet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PotentialEvapotranspiration">'Input - Site'!$E$27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otalRainfall">'Input - Site'!$E$26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8" i="70" l="1"/>
  <c r="H48" i="70"/>
  <c r="I48" i="70" s="1"/>
  <c r="H22" i="70"/>
  <c r="H21" i="70"/>
  <c r="H20" i="70"/>
  <c r="H19" i="70"/>
  <c r="K45" i="113"/>
  <c r="W54" i="69"/>
  <c r="W53" i="69"/>
  <c r="W52" i="69"/>
  <c r="E30" i="15"/>
  <c r="E33" i="15"/>
  <c r="E32" i="15"/>
  <c r="E31" i="15"/>
  <c r="J92" i="116"/>
  <c r="I126" i="115"/>
  <c r="J51" i="115"/>
  <c r="I20" i="114"/>
  <c r="K46" i="113"/>
  <c r="I51" i="74"/>
  <c r="S69" i="69"/>
  <c r="I51" i="69"/>
  <c r="G97" i="116"/>
  <c r="G149" i="115"/>
  <c r="G82" i="115"/>
  <c r="G53" i="113"/>
  <c r="P91" i="69"/>
  <c r="G83" i="69"/>
  <c r="E259" i="119" a="1"/>
  <c r="E259" i="119" s="1"/>
  <c r="D259" i="119" a="1"/>
  <c r="D259" i="119" s="1"/>
  <c r="E258" i="119" a="1"/>
  <c r="E258" i="119" s="1"/>
  <c r="D258" i="119" a="1"/>
  <c r="D258" i="119" s="1"/>
  <c r="D256" i="119" a="1"/>
  <c r="D256" i="119" s="1"/>
  <c r="D255" i="119" a="1"/>
  <c r="D255" i="119" s="1"/>
  <c r="D254" i="119" a="1"/>
  <c r="D254" i="119" s="1"/>
  <c r="D253" i="119" a="1"/>
  <c r="D253" i="119" s="1"/>
  <c r="S250" i="119" a="1"/>
  <c r="S250" i="119" s="1"/>
  <c r="R250" i="119" a="1"/>
  <c r="R250" i="119" s="1"/>
  <c r="Q250" i="119" a="1"/>
  <c r="Q250" i="119" s="1"/>
  <c r="P250" i="119" a="1"/>
  <c r="P250" i="119" s="1"/>
  <c r="O250" i="119" a="1"/>
  <c r="O250" i="119" s="1"/>
  <c r="N250" i="119" a="1"/>
  <c r="N250" i="119" s="1"/>
  <c r="M250" i="119" a="1"/>
  <c r="M250" i="119" s="1"/>
  <c r="L250" i="119" a="1"/>
  <c r="L250" i="119" s="1"/>
  <c r="K250" i="119" a="1"/>
  <c r="K250" i="119" s="1"/>
  <c r="J250" i="119" a="1"/>
  <c r="J250" i="119" s="1"/>
  <c r="I250" i="119" a="1"/>
  <c r="I250" i="119" s="1"/>
  <c r="H250" i="119" a="1"/>
  <c r="H250" i="119" s="1"/>
  <c r="G250" i="119" a="1"/>
  <c r="G250" i="119" s="1"/>
  <c r="F250" i="119" a="1"/>
  <c r="F250" i="119" s="1"/>
  <c r="E250" i="119" a="1"/>
  <c r="E250" i="119" s="1"/>
  <c r="D250" i="119" a="1"/>
  <c r="D250" i="119" s="1"/>
  <c r="S249" i="119" a="1"/>
  <c r="S249" i="119" s="1"/>
  <c r="R249" i="119" a="1"/>
  <c r="R249" i="119" s="1"/>
  <c r="Q249" i="119" a="1"/>
  <c r="Q249" i="119" s="1"/>
  <c r="P249" i="119" a="1"/>
  <c r="P249" i="119" s="1"/>
  <c r="O249" i="119" a="1"/>
  <c r="O249" i="119" s="1"/>
  <c r="N249" i="119" a="1"/>
  <c r="N249" i="119" s="1"/>
  <c r="M249" i="119" a="1"/>
  <c r="M249" i="119" s="1"/>
  <c r="L249" i="119" a="1"/>
  <c r="L249" i="119" s="1"/>
  <c r="K249" i="119" a="1"/>
  <c r="K249" i="119" s="1"/>
  <c r="J249" i="119" a="1"/>
  <c r="J249" i="119" s="1"/>
  <c r="I249" i="119" a="1"/>
  <c r="I249" i="119" s="1"/>
  <c r="H249" i="119" a="1"/>
  <c r="H249" i="119" s="1"/>
  <c r="G249" i="119" a="1"/>
  <c r="G249" i="119" s="1"/>
  <c r="F249" i="119" a="1"/>
  <c r="F249" i="119" s="1"/>
  <c r="E249" i="119" a="1"/>
  <c r="E249" i="119" s="1"/>
  <c r="D249" i="119" a="1"/>
  <c r="D249" i="119" s="1"/>
  <c r="S248" i="119" a="1"/>
  <c r="S248" i="119" s="1"/>
  <c r="R248" i="119" a="1"/>
  <c r="R248" i="119" s="1"/>
  <c r="Q248" i="119" a="1"/>
  <c r="Q248" i="119" s="1"/>
  <c r="P248" i="119" a="1"/>
  <c r="P248" i="119" s="1"/>
  <c r="O248" i="119" a="1"/>
  <c r="O248" i="119" s="1"/>
  <c r="N248" i="119" a="1"/>
  <c r="N248" i="119" s="1"/>
  <c r="M248" i="119" a="1"/>
  <c r="M248" i="119" s="1"/>
  <c r="L248" i="119" a="1"/>
  <c r="L248" i="119" s="1"/>
  <c r="K248" i="119" a="1"/>
  <c r="K248" i="119" s="1"/>
  <c r="J248" i="119" a="1"/>
  <c r="J248" i="119" s="1"/>
  <c r="I248" i="119" a="1"/>
  <c r="I248" i="119" s="1"/>
  <c r="H248" i="119" a="1"/>
  <c r="H248" i="119" s="1"/>
  <c r="G248" i="119" a="1"/>
  <c r="G248" i="119" s="1"/>
  <c r="F248" i="119" a="1"/>
  <c r="F248" i="119" s="1"/>
  <c r="E248" i="119" a="1"/>
  <c r="E248" i="119" s="1"/>
  <c r="D248" i="119" a="1"/>
  <c r="D248" i="119" s="1"/>
  <c r="S247" i="119" a="1"/>
  <c r="S247" i="119" s="1"/>
  <c r="R247" i="119" a="1"/>
  <c r="R247" i="119" s="1"/>
  <c r="Q247" i="119" a="1"/>
  <c r="Q247" i="119" s="1"/>
  <c r="P247" i="119" a="1"/>
  <c r="P247" i="119" s="1"/>
  <c r="O247" i="119" a="1"/>
  <c r="O247" i="119" s="1"/>
  <c r="N247" i="119" a="1"/>
  <c r="N247" i="119" s="1"/>
  <c r="M247" i="119" a="1"/>
  <c r="M247" i="119" s="1"/>
  <c r="L247" i="119" a="1"/>
  <c r="L247" i="119" s="1"/>
  <c r="K247" i="119" a="1"/>
  <c r="K247" i="119" s="1"/>
  <c r="J247" i="119" a="1"/>
  <c r="J247" i="119" s="1"/>
  <c r="I247" i="119" a="1"/>
  <c r="I247" i="119" s="1"/>
  <c r="H247" i="119" a="1"/>
  <c r="H247" i="119" s="1"/>
  <c r="G247" i="119" a="1"/>
  <c r="G247" i="119" s="1"/>
  <c r="F247" i="119" a="1"/>
  <c r="F247" i="119" s="1"/>
  <c r="E247" i="119" a="1"/>
  <c r="E247" i="119" s="1"/>
  <c r="D247" i="119" a="1"/>
  <c r="D247" i="119" s="1"/>
  <c r="S246" i="119" a="1"/>
  <c r="S246" i="119" s="1"/>
  <c r="R246" i="119" a="1"/>
  <c r="R246" i="119" s="1"/>
  <c r="Q246" i="119" a="1"/>
  <c r="Q246" i="119" s="1"/>
  <c r="P246" i="119" a="1"/>
  <c r="P246" i="119" s="1"/>
  <c r="O246" i="119" a="1"/>
  <c r="O246" i="119" s="1"/>
  <c r="N246" i="119" a="1"/>
  <c r="N246" i="119" s="1"/>
  <c r="M246" i="119" a="1"/>
  <c r="M246" i="119" s="1"/>
  <c r="L246" i="119" a="1"/>
  <c r="L246" i="119" s="1"/>
  <c r="K246" i="119" a="1"/>
  <c r="K246" i="119" s="1"/>
  <c r="J246" i="119" a="1"/>
  <c r="J246" i="119" s="1"/>
  <c r="I246" i="119" a="1"/>
  <c r="I246" i="119" s="1"/>
  <c r="H246" i="119" a="1"/>
  <c r="H246" i="119" s="1"/>
  <c r="G246" i="119" a="1"/>
  <c r="G246" i="119" s="1"/>
  <c r="F246" i="119" a="1"/>
  <c r="F246" i="119" s="1"/>
  <c r="E246" i="119" a="1"/>
  <c r="E246" i="119" s="1"/>
  <c r="D246" i="119" a="1"/>
  <c r="D246" i="119" s="1"/>
  <c r="S245" i="119" a="1"/>
  <c r="S245" i="119" s="1"/>
  <c r="R245" i="119" a="1"/>
  <c r="R245" i="119" s="1"/>
  <c r="Q245" i="119" a="1"/>
  <c r="Q245" i="119" s="1"/>
  <c r="P245" i="119" a="1"/>
  <c r="P245" i="119" s="1"/>
  <c r="O245" i="119" a="1"/>
  <c r="O245" i="119" s="1"/>
  <c r="N245" i="119" a="1"/>
  <c r="N245" i="119" s="1"/>
  <c r="M245" i="119" a="1"/>
  <c r="M245" i="119" s="1"/>
  <c r="L245" i="119" a="1"/>
  <c r="L245" i="119" s="1"/>
  <c r="K245" i="119" a="1"/>
  <c r="K245" i="119" s="1"/>
  <c r="J245" i="119" a="1"/>
  <c r="J245" i="119" s="1"/>
  <c r="I245" i="119" a="1"/>
  <c r="I245" i="119" s="1"/>
  <c r="H245" i="119" a="1"/>
  <c r="H245" i="119" s="1"/>
  <c r="G245" i="119" a="1"/>
  <c r="G245" i="119" s="1"/>
  <c r="F245" i="119" a="1"/>
  <c r="F245" i="119" s="1"/>
  <c r="E245" i="119" a="1"/>
  <c r="E245" i="119" s="1"/>
  <c r="D245" i="119" a="1"/>
  <c r="D245" i="119" s="1"/>
  <c r="S244" i="119" a="1"/>
  <c r="S244" i="119" s="1"/>
  <c r="R244" i="119" a="1"/>
  <c r="R244" i="119" s="1"/>
  <c r="Q244" i="119" a="1"/>
  <c r="Q244" i="119" s="1"/>
  <c r="P244" i="119" a="1"/>
  <c r="P244" i="119" s="1"/>
  <c r="O244" i="119" a="1"/>
  <c r="O244" i="119" s="1"/>
  <c r="N244" i="119" a="1"/>
  <c r="N244" i="119" s="1"/>
  <c r="M244" i="119" a="1"/>
  <c r="M244" i="119" s="1"/>
  <c r="L244" i="119" a="1"/>
  <c r="L244" i="119" s="1"/>
  <c r="K244" i="119" a="1"/>
  <c r="K244" i="119" s="1"/>
  <c r="J244" i="119" a="1"/>
  <c r="J244" i="119" s="1"/>
  <c r="I244" i="119" a="1"/>
  <c r="I244" i="119" s="1"/>
  <c r="H244" i="119" a="1"/>
  <c r="H244" i="119" s="1"/>
  <c r="G244" i="119" a="1"/>
  <c r="G244" i="119" s="1"/>
  <c r="F244" i="119" a="1"/>
  <c r="F244" i="119" s="1"/>
  <c r="E244" i="119" a="1"/>
  <c r="E244" i="119" s="1"/>
  <c r="D244" i="119" a="1"/>
  <c r="D244" i="119" s="1"/>
  <c r="S243" i="119" a="1"/>
  <c r="S243" i="119" s="1"/>
  <c r="R243" i="119" a="1"/>
  <c r="R243" i="119" s="1"/>
  <c r="Q243" i="119" a="1"/>
  <c r="Q243" i="119" s="1"/>
  <c r="P243" i="119" a="1"/>
  <c r="P243" i="119" s="1"/>
  <c r="O243" i="119" a="1"/>
  <c r="O243" i="119" s="1"/>
  <c r="N243" i="119" a="1"/>
  <c r="N243" i="119" s="1"/>
  <c r="M243" i="119" a="1"/>
  <c r="M243" i="119" s="1"/>
  <c r="L243" i="119" a="1"/>
  <c r="L243" i="119" s="1"/>
  <c r="K243" i="119" a="1"/>
  <c r="K243" i="119" s="1"/>
  <c r="J243" i="119" a="1"/>
  <c r="J243" i="119" s="1"/>
  <c r="I243" i="119" a="1"/>
  <c r="I243" i="119" s="1"/>
  <c r="H243" i="119" a="1"/>
  <c r="H243" i="119" s="1"/>
  <c r="G243" i="119" a="1"/>
  <c r="G243" i="119" s="1"/>
  <c r="F243" i="119" a="1"/>
  <c r="F243" i="119" s="1"/>
  <c r="E243" i="119" a="1"/>
  <c r="E243" i="119" s="1"/>
  <c r="D243" i="119" a="1"/>
  <c r="D243" i="119" s="1"/>
  <c r="S242" i="119" a="1"/>
  <c r="S242" i="119" s="1"/>
  <c r="R242" i="119" a="1"/>
  <c r="R242" i="119" s="1"/>
  <c r="Q242" i="119" a="1"/>
  <c r="Q242" i="119" s="1"/>
  <c r="P242" i="119" a="1"/>
  <c r="P242" i="119" s="1"/>
  <c r="O242" i="119" a="1"/>
  <c r="O242" i="119" s="1"/>
  <c r="N242" i="119" a="1"/>
  <c r="N242" i="119" s="1"/>
  <c r="M242" i="119" a="1"/>
  <c r="M242" i="119" s="1"/>
  <c r="L242" i="119" a="1"/>
  <c r="L242" i="119" s="1"/>
  <c r="K242" i="119" a="1"/>
  <c r="K242" i="119" s="1"/>
  <c r="J242" i="119" a="1"/>
  <c r="J242" i="119" s="1"/>
  <c r="I242" i="119" a="1"/>
  <c r="I242" i="119" s="1"/>
  <c r="H242" i="119" a="1"/>
  <c r="H242" i="119" s="1"/>
  <c r="G242" i="119" a="1"/>
  <c r="G242" i="119" s="1"/>
  <c r="F242" i="119" a="1"/>
  <c r="F242" i="119" s="1"/>
  <c r="E242" i="119" a="1"/>
  <c r="E242" i="119" s="1"/>
  <c r="D242" i="119" a="1"/>
  <c r="D242" i="119" s="1"/>
  <c r="S241" i="119" a="1"/>
  <c r="S241" i="119" s="1"/>
  <c r="R241" i="119" a="1"/>
  <c r="R241" i="119" s="1"/>
  <c r="Q241" i="119" a="1"/>
  <c r="Q241" i="119" s="1"/>
  <c r="P241" i="119" a="1"/>
  <c r="P241" i="119" s="1"/>
  <c r="O241" i="119" a="1"/>
  <c r="O241" i="119" s="1"/>
  <c r="N241" i="119" a="1"/>
  <c r="N241" i="119" s="1"/>
  <c r="M241" i="119" a="1"/>
  <c r="M241" i="119" s="1"/>
  <c r="L241" i="119" a="1"/>
  <c r="L241" i="119" s="1"/>
  <c r="K241" i="119" a="1"/>
  <c r="K241" i="119" s="1"/>
  <c r="J241" i="119" a="1"/>
  <c r="J241" i="119" s="1"/>
  <c r="I241" i="119" a="1"/>
  <c r="I241" i="119" s="1"/>
  <c r="H241" i="119" a="1"/>
  <c r="H241" i="119" s="1"/>
  <c r="G241" i="119" a="1"/>
  <c r="G241" i="119" s="1"/>
  <c r="F241" i="119" a="1"/>
  <c r="F241" i="119" s="1"/>
  <c r="E241" i="119" a="1"/>
  <c r="E241" i="119" s="1"/>
  <c r="D241" i="119" a="1"/>
  <c r="D241" i="119" s="1"/>
  <c r="S240" i="119" a="1"/>
  <c r="S240" i="119" s="1"/>
  <c r="R240" i="119" a="1"/>
  <c r="R240" i="119" s="1"/>
  <c r="Q240" i="119" a="1"/>
  <c r="Q240" i="119" s="1"/>
  <c r="P240" i="119" a="1"/>
  <c r="P240" i="119" s="1"/>
  <c r="O240" i="119" a="1"/>
  <c r="O240" i="119" s="1"/>
  <c r="N240" i="119" a="1"/>
  <c r="N240" i="119" s="1"/>
  <c r="M240" i="119" a="1"/>
  <c r="M240" i="119" s="1"/>
  <c r="L240" i="119" a="1"/>
  <c r="L240" i="119" s="1"/>
  <c r="K240" i="119" a="1"/>
  <c r="K240" i="119" s="1"/>
  <c r="J240" i="119" a="1"/>
  <c r="J240" i="119" s="1"/>
  <c r="I240" i="119" a="1"/>
  <c r="I240" i="119" s="1"/>
  <c r="H240" i="119" a="1"/>
  <c r="H240" i="119" s="1"/>
  <c r="G240" i="119" a="1"/>
  <c r="G240" i="119" s="1"/>
  <c r="F240" i="119" a="1"/>
  <c r="F240" i="119" s="1"/>
  <c r="E240" i="119" a="1"/>
  <c r="E240" i="119" s="1"/>
  <c r="D240" i="119" a="1"/>
  <c r="D240" i="119" s="1"/>
  <c r="S239" i="119" a="1"/>
  <c r="S239" i="119" s="1"/>
  <c r="R239" i="119" a="1"/>
  <c r="R239" i="119" s="1"/>
  <c r="Q239" i="119" a="1"/>
  <c r="Q239" i="119" s="1"/>
  <c r="P239" i="119" a="1"/>
  <c r="P239" i="119" s="1"/>
  <c r="O239" i="119" a="1"/>
  <c r="O239" i="119" s="1"/>
  <c r="N239" i="119" a="1"/>
  <c r="N239" i="119" s="1"/>
  <c r="M239" i="119" a="1"/>
  <c r="M239" i="119" s="1"/>
  <c r="L239" i="119" a="1"/>
  <c r="L239" i="119" s="1"/>
  <c r="K239" i="119" a="1"/>
  <c r="K239" i="119" s="1"/>
  <c r="J239" i="119" a="1"/>
  <c r="J239" i="119" s="1"/>
  <c r="I239" i="119" a="1"/>
  <c r="I239" i="119" s="1"/>
  <c r="H239" i="119" a="1"/>
  <c r="H239" i="119" s="1"/>
  <c r="G239" i="119" a="1"/>
  <c r="G239" i="119" s="1"/>
  <c r="F239" i="119" a="1"/>
  <c r="F239" i="119" s="1"/>
  <c r="E239" i="119" a="1"/>
  <c r="E239" i="119" s="1"/>
  <c r="D239" i="119" a="1"/>
  <c r="D239" i="119" s="1"/>
  <c r="S238" i="119" a="1"/>
  <c r="S238" i="119" s="1"/>
  <c r="R238" i="119" a="1"/>
  <c r="R238" i="119" s="1"/>
  <c r="Q238" i="119" a="1"/>
  <c r="Q238" i="119" s="1"/>
  <c r="P238" i="119" a="1"/>
  <c r="P238" i="119" s="1"/>
  <c r="O238" i="119" a="1"/>
  <c r="O238" i="119" s="1"/>
  <c r="N238" i="119" a="1"/>
  <c r="N238" i="119" s="1"/>
  <c r="M238" i="119" a="1"/>
  <c r="M238" i="119" s="1"/>
  <c r="L238" i="119" a="1"/>
  <c r="L238" i="119" s="1"/>
  <c r="K238" i="119" a="1"/>
  <c r="K238" i="119" s="1"/>
  <c r="J238" i="119" a="1"/>
  <c r="J238" i="119" s="1"/>
  <c r="I238" i="119" a="1"/>
  <c r="I238" i="119" s="1"/>
  <c r="H238" i="119" a="1"/>
  <c r="H238" i="119" s="1"/>
  <c r="G238" i="119" a="1"/>
  <c r="G238" i="119" s="1"/>
  <c r="F238" i="119" a="1"/>
  <c r="F238" i="119" s="1"/>
  <c r="E238" i="119" a="1"/>
  <c r="E238" i="119" s="1"/>
  <c r="D238" i="119" a="1"/>
  <c r="D238" i="119" s="1"/>
  <c r="S237" i="119" a="1"/>
  <c r="S237" i="119" s="1"/>
  <c r="R237" i="119" a="1"/>
  <c r="R237" i="119" s="1"/>
  <c r="Q237" i="119" a="1"/>
  <c r="Q237" i="119" s="1"/>
  <c r="P237" i="119" a="1"/>
  <c r="P237" i="119" s="1"/>
  <c r="O237" i="119" a="1"/>
  <c r="O237" i="119" s="1"/>
  <c r="N237" i="119" a="1"/>
  <c r="N237" i="119" s="1"/>
  <c r="M237" i="119" a="1"/>
  <c r="M237" i="119" s="1"/>
  <c r="L237" i="119" a="1"/>
  <c r="L237" i="119" s="1"/>
  <c r="K237" i="119" a="1"/>
  <c r="K237" i="119" s="1"/>
  <c r="J237" i="119" a="1"/>
  <c r="J237" i="119" s="1"/>
  <c r="I237" i="119" a="1"/>
  <c r="I237" i="119" s="1"/>
  <c r="H237" i="119" a="1"/>
  <c r="H237" i="119" s="1"/>
  <c r="G237" i="119" a="1"/>
  <c r="G237" i="119" s="1"/>
  <c r="F237" i="119" a="1"/>
  <c r="F237" i="119" s="1"/>
  <c r="E237" i="119" a="1"/>
  <c r="E237" i="119" s="1"/>
  <c r="D237" i="119" a="1"/>
  <c r="D237" i="119" s="1"/>
  <c r="S236" i="119" a="1"/>
  <c r="S236" i="119" s="1"/>
  <c r="R236" i="119" a="1"/>
  <c r="R236" i="119" s="1"/>
  <c r="Q236" i="119" a="1"/>
  <c r="Q236" i="119" s="1"/>
  <c r="P236" i="119" a="1"/>
  <c r="P236" i="119" s="1"/>
  <c r="O236" i="119" a="1"/>
  <c r="O236" i="119" s="1"/>
  <c r="N236" i="119" a="1"/>
  <c r="N236" i="119" s="1"/>
  <c r="M236" i="119" a="1"/>
  <c r="M236" i="119" s="1"/>
  <c r="L236" i="119" a="1"/>
  <c r="L236" i="119" s="1"/>
  <c r="K236" i="119" a="1"/>
  <c r="K236" i="119" s="1"/>
  <c r="J236" i="119" a="1"/>
  <c r="J236" i="119" s="1"/>
  <c r="I236" i="119" a="1"/>
  <c r="I236" i="119" s="1"/>
  <c r="H236" i="119" a="1"/>
  <c r="H236" i="119" s="1"/>
  <c r="G236" i="119" a="1"/>
  <c r="G236" i="119" s="1"/>
  <c r="F236" i="119" a="1"/>
  <c r="F236" i="119" s="1"/>
  <c r="E236" i="119" a="1"/>
  <c r="E236" i="119" s="1"/>
  <c r="D236" i="119" a="1"/>
  <c r="D236" i="119" s="1"/>
  <c r="S235" i="119" a="1"/>
  <c r="S235" i="119" s="1"/>
  <c r="R235" i="119" a="1"/>
  <c r="R235" i="119" s="1"/>
  <c r="Q235" i="119" a="1"/>
  <c r="Q235" i="119" s="1"/>
  <c r="P235" i="119" a="1"/>
  <c r="P235" i="119" s="1"/>
  <c r="O235" i="119" a="1"/>
  <c r="O235" i="119" s="1"/>
  <c r="N235" i="119" a="1"/>
  <c r="N235" i="119" s="1"/>
  <c r="M235" i="119" a="1"/>
  <c r="M235" i="119" s="1"/>
  <c r="L235" i="119" a="1"/>
  <c r="L235" i="119" s="1"/>
  <c r="K235" i="119" a="1"/>
  <c r="K235" i="119" s="1"/>
  <c r="J235" i="119" a="1"/>
  <c r="J235" i="119" s="1"/>
  <c r="I235" i="119" a="1"/>
  <c r="I235" i="119" s="1"/>
  <c r="H235" i="119" a="1"/>
  <c r="H235" i="119" s="1"/>
  <c r="G235" i="119" a="1"/>
  <c r="G235" i="119" s="1"/>
  <c r="F235" i="119" a="1"/>
  <c r="F235" i="119" s="1"/>
  <c r="E235" i="119" a="1"/>
  <c r="E235" i="119" s="1"/>
  <c r="D235" i="119" a="1"/>
  <c r="D235" i="119" s="1"/>
  <c r="S234" i="119" a="1"/>
  <c r="S234" i="119" s="1"/>
  <c r="R234" i="119" a="1"/>
  <c r="R234" i="119" s="1"/>
  <c r="Q234" i="119" a="1"/>
  <c r="Q234" i="119" s="1"/>
  <c r="P234" i="119" a="1"/>
  <c r="P234" i="119" s="1"/>
  <c r="O234" i="119" a="1"/>
  <c r="O234" i="119" s="1"/>
  <c r="N234" i="119" a="1"/>
  <c r="N234" i="119" s="1"/>
  <c r="M234" i="119" a="1"/>
  <c r="M234" i="119" s="1"/>
  <c r="L234" i="119" a="1"/>
  <c r="L234" i="119" s="1"/>
  <c r="K234" i="119" a="1"/>
  <c r="K234" i="119" s="1"/>
  <c r="J234" i="119" a="1"/>
  <c r="J234" i="119" s="1"/>
  <c r="I234" i="119" a="1"/>
  <c r="I234" i="119" s="1"/>
  <c r="H234" i="119" a="1"/>
  <c r="H234" i="119" s="1"/>
  <c r="G234" i="119" a="1"/>
  <c r="G234" i="119" s="1"/>
  <c r="F234" i="119" a="1"/>
  <c r="F234" i="119" s="1"/>
  <c r="E234" i="119" a="1"/>
  <c r="E234" i="119" s="1"/>
  <c r="D234" i="119" a="1"/>
  <c r="D234" i="119" s="1"/>
  <c r="S233" i="119" a="1"/>
  <c r="S233" i="119" s="1"/>
  <c r="R233" i="119" a="1"/>
  <c r="R233" i="119" s="1"/>
  <c r="Q233" i="119" a="1"/>
  <c r="Q233" i="119" s="1"/>
  <c r="P233" i="119" a="1"/>
  <c r="P233" i="119" s="1"/>
  <c r="O233" i="119" a="1"/>
  <c r="O233" i="119" s="1"/>
  <c r="N233" i="119" a="1"/>
  <c r="N233" i="119" s="1"/>
  <c r="M233" i="119" a="1"/>
  <c r="M233" i="119" s="1"/>
  <c r="L233" i="119" a="1"/>
  <c r="L233" i="119" s="1"/>
  <c r="K233" i="119" a="1"/>
  <c r="K233" i="119" s="1"/>
  <c r="J233" i="119" a="1"/>
  <c r="J233" i="119" s="1"/>
  <c r="I233" i="119" a="1"/>
  <c r="I233" i="119" s="1"/>
  <c r="H233" i="119" a="1"/>
  <c r="H233" i="119" s="1"/>
  <c r="G233" i="119" a="1"/>
  <c r="G233" i="119" s="1"/>
  <c r="F233" i="119" a="1"/>
  <c r="F233" i="119" s="1"/>
  <c r="E233" i="119" a="1"/>
  <c r="E233" i="119" s="1"/>
  <c r="D233" i="119" a="1"/>
  <c r="D233" i="119" s="1"/>
  <c r="S232" i="119" a="1"/>
  <c r="S232" i="119" s="1"/>
  <c r="R232" i="119" a="1"/>
  <c r="R232" i="119" s="1"/>
  <c r="Q232" i="119" a="1"/>
  <c r="Q232" i="119" s="1"/>
  <c r="P232" i="119" a="1"/>
  <c r="P232" i="119" s="1"/>
  <c r="O232" i="119" a="1"/>
  <c r="O232" i="119" s="1"/>
  <c r="N232" i="119" a="1"/>
  <c r="N232" i="119" s="1"/>
  <c r="M232" i="119" a="1"/>
  <c r="M232" i="119" s="1"/>
  <c r="L232" i="119" a="1"/>
  <c r="L232" i="119" s="1"/>
  <c r="K232" i="119" a="1"/>
  <c r="K232" i="119" s="1"/>
  <c r="J232" i="119" a="1"/>
  <c r="J232" i="119" s="1"/>
  <c r="I232" i="119" a="1"/>
  <c r="I232" i="119" s="1"/>
  <c r="H232" i="119" a="1"/>
  <c r="H232" i="119" s="1"/>
  <c r="G232" i="119" a="1"/>
  <c r="G232" i="119" s="1"/>
  <c r="F232" i="119" a="1"/>
  <c r="F232" i="119" s="1"/>
  <c r="E232" i="119" a="1"/>
  <c r="E232" i="119" s="1"/>
  <c r="D232" i="119" a="1"/>
  <c r="D232" i="119" s="1"/>
  <c r="D229" i="119" a="1"/>
  <c r="D229" i="119" s="1"/>
  <c r="D228" i="119" a="1"/>
  <c r="D228" i="119" s="1"/>
  <c r="D227" i="119"/>
  <c r="D227" i="119" a="1"/>
  <c r="E224" i="119" a="1"/>
  <c r="E224" i="119" s="1"/>
  <c r="D224" i="119" a="1"/>
  <c r="D224" i="119" s="1"/>
  <c r="E223" i="119" a="1"/>
  <c r="E223" i="119" s="1"/>
  <c r="D223" i="119" a="1"/>
  <c r="D223" i="119" s="1"/>
  <c r="E222" i="119" a="1"/>
  <c r="E222" i="119" s="1"/>
  <c r="D222" i="119" a="1"/>
  <c r="D222" i="119" s="1"/>
  <c r="E221" i="119" a="1"/>
  <c r="E221" i="119" s="1"/>
  <c r="D221" i="119" a="1"/>
  <c r="D221" i="119" s="1"/>
  <c r="E220" i="119" a="1"/>
  <c r="E220" i="119" s="1"/>
  <c r="D220" i="119" a="1"/>
  <c r="D220" i="119" s="1"/>
  <c r="E219" i="119" a="1"/>
  <c r="E219" i="119" s="1"/>
  <c r="D219" i="119" a="1"/>
  <c r="D219" i="119" s="1"/>
  <c r="E218" i="119" a="1"/>
  <c r="E218" i="119" s="1"/>
  <c r="D218" i="119" a="1"/>
  <c r="D218" i="119" s="1"/>
  <c r="E217" i="119" a="1"/>
  <c r="E217" i="119" s="1"/>
  <c r="D217" i="119" a="1"/>
  <c r="D217" i="119" s="1"/>
  <c r="E216" i="119" a="1"/>
  <c r="E216" i="119" s="1"/>
  <c r="D216" i="119" a="1"/>
  <c r="D216" i="119" s="1"/>
  <c r="E215" i="119" a="1"/>
  <c r="E215" i="119" s="1"/>
  <c r="D215" i="119" a="1"/>
  <c r="D215" i="119" s="1"/>
  <c r="E214" i="119" a="1"/>
  <c r="E214" i="119" s="1"/>
  <c r="D214" i="119" a="1"/>
  <c r="D214" i="119" s="1"/>
  <c r="E213" i="119" a="1"/>
  <c r="E213" i="119" s="1"/>
  <c r="D213" i="119" a="1"/>
  <c r="D213" i="119" s="1"/>
  <c r="D211" i="119" a="1"/>
  <c r="D211" i="119" s="1"/>
  <c r="E208" i="119" a="1"/>
  <c r="E208" i="119" s="1"/>
  <c r="D208" i="119" a="1"/>
  <c r="D208" i="119" s="1"/>
  <c r="E207" i="119" a="1"/>
  <c r="E207" i="119" s="1"/>
  <c r="D207" i="119" a="1"/>
  <c r="D207" i="119" s="1"/>
  <c r="D205" i="119" a="1"/>
  <c r="D205" i="119" s="1"/>
  <c r="D204" i="119" a="1"/>
  <c r="D204" i="119" s="1"/>
  <c r="D203" i="119" a="1"/>
  <c r="D203" i="119" s="1"/>
  <c r="D202" i="119" a="1"/>
  <c r="D202" i="119" s="1"/>
  <c r="H199" i="119" a="1"/>
  <c r="H199" i="119" s="1"/>
  <c r="G199" i="119" a="1"/>
  <c r="G199" i="119" s="1"/>
  <c r="F199" i="119" a="1"/>
  <c r="F199" i="119" s="1"/>
  <c r="E199" i="119" a="1"/>
  <c r="E199" i="119" s="1"/>
  <c r="D199" i="119" a="1"/>
  <c r="D199" i="119" s="1"/>
  <c r="H198" i="119" a="1"/>
  <c r="H198" i="119" s="1"/>
  <c r="G198" i="119" a="1"/>
  <c r="G198" i="119" s="1"/>
  <c r="F198" i="119" a="1"/>
  <c r="F198" i="119" s="1"/>
  <c r="E198" i="119" a="1"/>
  <c r="E198" i="119" s="1"/>
  <c r="D198" i="119" a="1"/>
  <c r="D198" i="119" s="1"/>
  <c r="H197" i="119" a="1"/>
  <c r="H197" i="119" s="1"/>
  <c r="G197" i="119" a="1"/>
  <c r="G197" i="119" s="1"/>
  <c r="F197" i="119" a="1"/>
  <c r="F197" i="119" s="1"/>
  <c r="E197" i="119" a="1"/>
  <c r="E197" i="119" s="1"/>
  <c r="D197" i="119" a="1"/>
  <c r="D197" i="119" s="1"/>
  <c r="H196" i="119" a="1"/>
  <c r="H196" i="119" s="1"/>
  <c r="G196" i="119" a="1"/>
  <c r="G196" i="119" s="1"/>
  <c r="F196" i="119" a="1"/>
  <c r="F196" i="119" s="1"/>
  <c r="E196" i="119" a="1"/>
  <c r="E196" i="119" s="1"/>
  <c r="D196" i="119" a="1"/>
  <c r="D196" i="119" s="1"/>
  <c r="H195" i="119" a="1"/>
  <c r="H195" i="119" s="1"/>
  <c r="G195" i="119" a="1"/>
  <c r="G195" i="119" s="1"/>
  <c r="F195" i="119" a="1"/>
  <c r="F195" i="119" s="1"/>
  <c r="E195" i="119" a="1"/>
  <c r="E195" i="119" s="1"/>
  <c r="D195" i="119" a="1"/>
  <c r="D195" i="119" s="1"/>
  <c r="H194" i="119" a="1"/>
  <c r="H194" i="119" s="1"/>
  <c r="G194" i="119" a="1"/>
  <c r="G194" i="119" s="1"/>
  <c r="F194" i="119" a="1"/>
  <c r="F194" i="119" s="1"/>
  <c r="E194" i="119" a="1"/>
  <c r="E194" i="119" s="1"/>
  <c r="D194" i="119" a="1"/>
  <c r="D194" i="119" s="1"/>
  <c r="H193" i="119" a="1"/>
  <c r="H193" i="119" s="1"/>
  <c r="G193" i="119" a="1"/>
  <c r="G193" i="119" s="1"/>
  <c r="F193" i="119" a="1"/>
  <c r="F193" i="119" s="1"/>
  <c r="E193" i="119" a="1"/>
  <c r="E193" i="119" s="1"/>
  <c r="D193" i="119" a="1"/>
  <c r="D193" i="119" s="1"/>
  <c r="H192" i="119" a="1"/>
  <c r="H192" i="119" s="1"/>
  <c r="G192" i="119" a="1"/>
  <c r="G192" i="119" s="1"/>
  <c r="F192" i="119" a="1"/>
  <c r="F192" i="119" s="1"/>
  <c r="E192" i="119" a="1"/>
  <c r="E192" i="119" s="1"/>
  <c r="D192" i="119" a="1"/>
  <c r="D192" i="119" s="1"/>
  <c r="H191" i="119" a="1"/>
  <c r="H191" i="119" s="1"/>
  <c r="G191" i="119" a="1"/>
  <c r="G191" i="119" s="1"/>
  <c r="F191" i="119" a="1"/>
  <c r="F191" i="119" s="1"/>
  <c r="E191" i="119" a="1"/>
  <c r="E191" i="119" s="1"/>
  <c r="D191" i="119" a="1"/>
  <c r="D191" i="119" s="1"/>
  <c r="H190" i="119" a="1"/>
  <c r="H190" i="119" s="1"/>
  <c r="G190" i="119" a="1"/>
  <c r="G190" i="119" s="1"/>
  <c r="F190" i="119" a="1"/>
  <c r="F190" i="119" s="1"/>
  <c r="E190" i="119" a="1"/>
  <c r="E190" i="119" s="1"/>
  <c r="D190" i="119" a="1"/>
  <c r="D190" i="119" s="1"/>
  <c r="H189" i="119" a="1"/>
  <c r="H189" i="119" s="1"/>
  <c r="G189" i="119" a="1"/>
  <c r="G189" i="119" s="1"/>
  <c r="F189" i="119" a="1"/>
  <c r="F189" i="119" s="1"/>
  <c r="E189" i="119" a="1"/>
  <c r="E189" i="119" s="1"/>
  <c r="D189" i="119" a="1"/>
  <c r="D189" i="119" s="1"/>
  <c r="H188" i="119" a="1"/>
  <c r="H188" i="119" s="1"/>
  <c r="G188" i="119" a="1"/>
  <c r="G188" i="119" s="1"/>
  <c r="F188" i="119" a="1"/>
  <c r="F188" i="119" s="1"/>
  <c r="E188" i="119" a="1"/>
  <c r="E188" i="119" s="1"/>
  <c r="D188" i="119" a="1"/>
  <c r="D188" i="119" s="1"/>
  <c r="H187" i="119" a="1"/>
  <c r="H187" i="119" s="1"/>
  <c r="G187" i="119" a="1"/>
  <c r="G187" i="119" s="1"/>
  <c r="F187" i="119" a="1"/>
  <c r="F187" i="119" s="1"/>
  <c r="E187" i="119" a="1"/>
  <c r="E187" i="119" s="1"/>
  <c r="D187" i="119" a="1"/>
  <c r="D187" i="119" s="1"/>
  <c r="D181" i="119" a="1"/>
  <c r="D181" i="119" s="1"/>
  <c r="D180" i="119" a="1"/>
  <c r="D180" i="119" s="1"/>
  <c r="D179" i="119" a="1"/>
  <c r="D179" i="119" s="1"/>
  <c r="D178" i="119" a="1"/>
  <c r="D178" i="119" s="1"/>
  <c r="E175" i="119" a="1"/>
  <c r="E175" i="119" s="1"/>
  <c r="D175" i="119" a="1"/>
  <c r="D175" i="119" s="1"/>
  <c r="D174" i="119" a="1"/>
  <c r="D174" i="119" s="1"/>
  <c r="D173" i="119" a="1"/>
  <c r="D173" i="119" s="1"/>
  <c r="D170" i="119" a="1"/>
  <c r="D170" i="119" s="1"/>
  <c r="D169" i="119" a="1"/>
  <c r="D169" i="119" s="1"/>
  <c r="D168" i="119" a="1"/>
  <c r="D168" i="119" s="1"/>
  <c r="D167" i="119" a="1"/>
  <c r="D167" i="119" s="1"/>
  <c r="D164" i="119" a="1"/>
  <c r="D164" i="119" s="1"/>
  <c r="D163" i="119" a="1"/>
  <c r="D163" i="119" s="1"/>
  <c r="D162" i="119" a="1"/>
  <c r="D162" i="119" s="1"/>
  <c r="D161" i="119" a="1"/>
  <c r="D161" i="119" s="1"/>
  <c r="E158" i="119" a="1"/>
  <c r="E158" i="119" s="1"/>
  <c r="D158" i="119" a="1"/>
  <c r="D158" i="119" s="1"/>
  <c r="E157" i="119" a="1"/>
  <c r="E157" i="119" s="1"/>
  <c r="D157" i="119" a="1"/>
  <c r="D157" i="119" s="1"/>
  <c r="E156" i="119" a="1"/>
  <c r="E156" i="119" s="1"/>
  <c r="D156" i="119" a="1"/>
  <c r="D156" i="119" s="1"/>
  <c r="E155" i="119" a="1"/>
  <c r="E155" i="119" s="1"/>
  <c r="D155" i="119" a="1"/>
  <c r="D155" i="119" s="1"/>
  <c r="E154" i="119" a="1"/>
  <c r="E154" i="119" s="1"/>
  <c r="D154" i="119" a="1"/>
  <c r="D154" i="119" s="1"/>
  <c r="D151" i="119" a="1"/>
  <c r="D151" i="119" s="1"/>
  <c r="D150" i="119" a="1"/>
  <c r="D150" i="119" s="1"/>
  <c r="E147" i="119" a="1"/>
  <c r="E147" i="119" s="1"/>
  <c r="D147" i="119" a="1"/>
  <c r="D147" i="119" s="1"/>
  <c r="E146" i="119" a="1"/>
  <c r="E146" i="119" s="1"/>
  <c r="D146" i="119" a="1"/>
  <c r="D146" i="119" s="1"/>
  <c r="E145" i="119" a="1"/>
  <c r="E145" i="119" s="1"/>
  <c r="D145" i="119" a="1"/>
  <c r="D145" i="119" s="1"/>
  <c r="E144" i="119" a="1"/>
  <c r="E144" i="119" s="1"/>
  <c r="D144" i="119" a="1"/>
  <c r="D144" i="119" s="1"/>
  <c r="E143" i="119" a="1"/>
  <c r="E143" i="119" s="1"/>
  <c r="D143" i="119" a="1"/>
  <c r="D143" i="119" s="1"/>
  <c r="D141" i="119" a="1"/>
  <c r="D141" i="119" s="1"/>
  <c r="D140" i="119" a="1"/>
  <c r="D140" i="119" s="1"/>
  <c r="D139" i="119" a="1"/>
  <c r="D139" i="119" s="1"/>
  <c r="E136" i="119" a="1"/>
  <c r="E136" i="119" s="1"/>
  <c r="D136" i="119" a="1"/>
  <c r="D136" i="119" s="1"/>
  <c r="E135" i="119" a="1"/>
  <c r="E135" i="119" s="1"/>
  <c r="D135" i="119" a="1"/>
  <c r="D135" i="119" s="1"/>
  <c r="D133" i="119" a="1"/>
  <c r="D133" i="119" s="1"/>
  <c r="D132" i="119" a="1"/>
  <c r="D132" i="119" s="1"/>
  <c r="E129" i="119" a="1"/>
  <c r="E129" i="119" s="1"/>
  <c r="D129" i="119" a="1"/>
  <c r="D129" i="119" s="1"/>
  <c r="E128" i="119" a="1"/>
  <c r="E128" i="119" s="1"/>
  <c r="D128" i="119" a="1"/>
  <c r="D128" i="119" s="1"/>
  <c r="D125" i="119" a="1"/>
  <c r="D125" i="119" s="1"/>
  <c r="D124" i="119" a="1"/>
  <c r="D124" i="119" s="1"/>
  <c r="G121" i="119" a="1"/>
  <c r="G121" i="119" s="1"/>
  <c r="F121" i="119" a="1"/>
  <c r="F121" i="119" s="1"/>
  <c r="E121" i="119" a="1"/>
  <c r="E121" i="119" s="1"/>
  <c r="D121" i="119" a="1"/>
  <c r="D121" i="119" s="1"/>
  <c r="G120" i="119" a="1"/>
  <c r="G120" i="119" s="1"/>
  <c r="F120" i="119" a="1"/>
  <c r="F120" i="119" s="1"/>
  <c r="E120" i="119" a="1"/>
  <c r="E120" i="119" s="1"/>
  <c r="D120" i="119" a="1"/>
  <c r="D120" i="119" s="1"/>
  <c r="D117" i="119" a="1"/>
  <c r="D117" i="119" s="1"/>
  <c r="D116" i="119" a="1"/>
  <c r="D116" i="119" s="1"/>
  <c r="D115" i="119" a="1"/>
  <c r="D115" i="119" s="1"/>
  <c r="G112" i="119" a="1"/>
  <c r="G112" i="119" s="1"/>
  <c r="F112" i="119" a="1"/>
  <c r="F112" i="119" s="1"/>
  <c r="E112" i="119" a="1"/>
  <c r="E112" i="119" s="1"/>
  <c r="D112" i="119" a="1"/>
  <c r="D112" i="119" s="1"/>
  <c r="G111" i="119" a="1"/>
  <c r="G111" i="119" s="1"/>
  <c r="F111" i="119" a="1"/>
  <c r="F111" i="119" s="1"/>
  <c r="E111" i="119" a="1"/>
  <c r="E111" i="119" s="1"/>
  <c r="D111" i="119" a="1"/>
  <c r="D111" i="119" s="1"/>
  <c r="G110" i="119" a="1"/>
  <c r="G110" i="119" s="1"/>
  <c r="F110" i="119" a="1"/>
  <c r="F110" i="119" s="1"/>
  <c r="E110" i="119" a="1"/>
  <c r="E110" i="119" s="1"/>
  <c r="D110" i="119" a="1"/>
  <c r="D110" i="119" s="1"/>
  <c r="D107" i="119" a="1"/>
  <c r="D107" i="119" s="1"/>
  <c r="D106" i="119" a="1"/>
  <c r="D106" i="119" s="1"/>
  <c r="D105" i="119" a="1"/>
  <c r="D105" i="119" s="1"/>
  <c r="D99" i="119" a="1"/>
  <c r="D99" i="119" s="1"/>
  <c r="S97" i="119" a="1"/>
  <c r="S97" i="119" s="1"/>
  <c r="R97" i="119" a="1"/>
  <c r="R97" i="119" s="1"/>
  <c r="Q97" i="119" a="1"/>
  <c r="Q97" i="119" s="1"/>
  <c r="P97" i="119" a="1"/>
  <c r="P97" i="119" s="1"/>
  <c r="O97" i="119" a="1"/>
  <c r="O97" i="119" s="1"/>
  <c r="N97" i="119" a="1"/>
  <c r="N97" i="119" s="1"/>
  <c r="M97" i="119" a="1"/>
  <c r="M97" i="119" s="1"/>
  <c r="L97" i="119" a="1"/>
  <c r="L97" i="119" s="1"/>
  <c r="K97" i="119" a="1"/>
  <c r="K97" i="119" s="1"/>
  <c r="J97" i="119" a="1"/>
  <c r="J97" i="119" s="1"/>
  <c r="I97" i="119" a="1"/>
  <c r="I97" i="119" s="1"/>
  <c r="H97" i="119" a="1"/>
  <c r="H97" i="119" s="1"/>
  <c r="G97" i="119" a="1"/>
  <c r="G97" i="119" s="1"/>
  <c r="F97" i="119" a="1"/>
  <c r="F97" i="119" s="1"/>
  <c r="E97" i="119" a="1"/>
  <c r="E97" i="119" s="1"/>
  <c r="D97" i="119" a="1"/>
  <c r="D97" i="119" s="1"/>
  <c r="S96" i="119" a="1"/>
  <c r="S96" i="119" s="1"/>
  <c r="R96" i="119" a="1"/>
  <c r="R96" i="119" s="1"/>
  <c r="Q96" i="119" a="1"/>
  <c r="Q96" i="119" s="1"/>
  <c r="P96" i="119" a="1"/>
  <c r="P96" i="119" s="1"/>
  <c r="O96" i="119" a="1"/>
  <c r="O96" i="119" s="1"/>
  <c r="N96" i="119" a="1"/>
  <c r="N96" i="119" s="1"/>
  <c r="M96" i="119" a="1"/>
  <c r="M96" i="119" s="1"/>
  <c r="L96" i="119" a="1"/>
  <c r="L96" i="119" s="1"/>
  <c r="K96" i="119" a="1"/>
  <c r="K96" i="119" s="1"/>
  <c r="J96" i="119" a="1"/>
  <c r="J96" i="119" s="1"/>
  <c r="I96" i="119" a="1"/>
  <c r="I96" i="119" s="1"/>
  <c r="H96" i="119" a="1"/>
  <c r="H96" i="119" s="1"/>
  <c r="G96" i="119" a="1"/>
  <c r="G96" i="119" s="1"/>
  <c r="F96" i="119" a="1"/>
  <c r="F96" i="119" s="1"/>
  <c r="E96" i="119" a="1"/>
  <c r="E96" i="119" s="1"/>
  <c r="D96" i="119" a="1"/>
  <c r="D96" i="119" s="1"/>
  <c r="S95" i="119" a="1"/>
  <c r="S95" i="119" s="1"/>
  <c r="R95" i="119" a="1"/>
  <c r="R95" i="119" s="1"/>
  <c r="Q95" i="119" a="1"/>
  <c r="Q95" i="119" s="1"/>
  <c r="P95" i="119" a="1"/>
  <c r="P95" i="119" s="1"/>
  <c r="O95" i="119" a="1"/>
  <c r="O95" i="119" s="1"/>
  <c r="N95" i="119" a="1"/>
  <c r="N95" i="119" s="1"/>
  <c r="M95" i="119" a="1"/>
  <c r="M95" i="119" s="1"/>
  <c r="L95" i="119" a="1"/>
  <c r="L95" i="119" s="1"/>
  <c r="K95" i="119" a="1"/>
  <c r="K95" i="119" s="1"/>
  <c r="J95" i="119" a="1"/>
  <c r="J95" i="119" s="1"/>
  <c r="I95" i="119" a="1"/>
  <c r="I95" i="119" s="1"/>
  <c r="H95" i="119" a="1"/>
  <c r="H95" i="119" s="1"/>
  <c r="G95" i="119" a="1"/>
  <c r="G95" i="119" s="1"/>
  <c r="F95" i="119" a="1"/>
  <c r="F95" i="119" s="1"/>
  <c r="E95" i="119" a="1"/>
  <c r="E95" i="119" s="1"/>
  <c r="D95" i="119" a="1"/>
  <c r="D95" i="119" s="1"/>
  <c r="S94" i="119" a="1"/>
  <c r="S94" i="119" s="1"/>
  <c r="R94" i="119" a="1"/>
  <c r="R94" i="119" s="1"/>
  <c r="Q94" i="119" a="1"/>
  <c r="Q94" i="119" s="1"/>
  <c r="P94" i="119" a="1"/>
  <c r="P94" i="119" s="1"/>
  <c r="O94" i="119" a="1"/>
  <c r="O94" i="119" s="1"/>
  <c r="N94" i="119" a="1"/>
  <c r="N94" i="119" s="1"/>
  <c r="M94" i="119" a="1"/>
  <c r="M94" i="119" s="1"/>
  <c r="L94" i="119" a="1"/>
  <c r="L94" i="119" s="1"/>
  <c r="K94" i="119" a="1"/>
  <c r="K94" i="119" s="1"/>
  <c r="J94" i="119" a="1"/>
  <c r="J94" i="119" s="1"/>
  <c r="I94" i="119" a="1"/>
  <c r="I94" i="119" s="1"/>
  <c r="H94" i="119" a="1"/>
  <c r="H94" i="119" s="1"/>
  <c r="G94" i="119" a="1"/>
  <c r="G94" i="119" s="1"/>
  <c r="F94" i="119" a="1"/>
  <c r="F94" i="119" s="1"/>
  <c r="E94" i="119" a="1"/>
  <c r="E94" i="119" s="1"/>
  <c r="D94" i="119" a="1"/>
  <c r="D94" i="119" s="1"/>
  <c r="S93" i="119" a="1"/>
  <c r="S93" i="119" s="1"/>
  <c r="R93" i="119" a="1"/>
  <c r="R93" i="119" s="1"/>
  <c r="Q93" i="119" a="1"/>
  <c r="Q93" i="119" s="1"/>
  <c r="P93" i="119" a="1"/>
  <c r="P93" i="119" s="1"/>
  <c r="O93" i="119" a="1"/>
  <c r="O93" i="119" s="1"/>
  <c r="N93" i="119" a="1"/>
  <c r="N93" i="119" s="1"/>
  <c r="M93" i="119" a="1"/>
  <c r="M93" i="119" s="1"/>
  <c r="L93" i="119" a="1"/>
  <c r="L93" i="119" s="1"/>
  <c r="K93" i="119" a="1"/>
  <c r="K93" i="119" s="1"/>
  <c r="J93" i="119" a="1"/>
  <c r="J93" i="119" s="1"/>
  <c r="I93" i="119" a="1"/>
  <c r="I93" i="119" s="1"/>
  <c r="H93" i="119" a="1"/>
  <c r="H93" i="119" s="1"/>
  <c r="G93" i="119" a="1"/>
  <c r="G93" i="119" s="1"/>
  <c r="F93" i="119" a="1"/>
  <c r="F93" i="119" s="1"/>
  <c r="E93" i="119" a="1"/>
  <c r="E93" i="119" s="1"/>
  <c r="D93" i="119" a="1"/>
  <c r="D93" i="119" s="1"/>
  <c r="S92" i="119" a="1"/>
  <c r="S92" i="119" s="1"/>
  <c r="R92" i="119" a="1"/>
  <c r="R92" i="119" s="1"/>
  <c r="Q92" i="119" a="1"/>
  <c r="Q92" i="119" s="1"/>
  <c r="P92" i="119" a="1"/>
  <c r="P92" i="119" s="1"/>
  <c r="O92" i="119" a="1"/>
  <c r="O92" i="119" s="1"/>
  <c r="N92" i="119" a="1"/>
  <c r="N92" i="119" s="1"/>
  <c r="M92" i="119" a="1"/>
  <c r="M92" i="119" s="1"/>
  <c r="L92" i="119" a="1"/>
  <c r="L92" i="119" s="1"/>
  <c r="K92" i="119" a="1"/>
  <c r="K92" i="119" s="1"/>
  <c r="J92" i="119" a="1"/>
  <c r="J92" i="119" s="1"/>
  <c r="I92" i="119" a="1"/>
  <c r="I92" i="119" s="1"/>
  <c r="H92" i="119" a="1"/>
  <c r="H92" i="119" s="1"/>
  <c r="G92" i="119" a="1"/>
  <c r="G92" i="119" s="1"/>
  <c r="F92" i="119" a="1"/>
  <c r="F92" i="119" s="1"/>
  <c r="E92" i="119" a="1"/>
  <c r="E92" i="119" s="1"/>
  <c r="D92" i="119" a="1"/>
  <c r="D92" i="119" s="1"/>
  <c r="S91" i="119" a="1"/>
  <c r="S91" i="119" s="1"/>
  <c r="R91" i="119" a="1"/>
  <c r="R91" i="119" s="1"/>
  <c r="Q91" i="119" a="1"/>
  <c r="Q91" i="119" s="1"/>
  <c r="P91" i="119" a="1"/>
  <c r="P91" i="119" s="1"/>
  <c r="O91" i="119" a="1"/>
  <c r="O91" i="119" s="1"/>
  <c r="N91" i="119" a="1"/>
  <c r="N91" i="119" s="1"/>
  <c r="M91" i="119" a="1"/>
  <c r="M91" i="119" s="1"/>
  <c r="L91" i="119" a="1"/>
  <c r="L91" i="119" s="1"/>
  <c r="K91" i="119" a="1"/>
  <c r="K91" i="119" s="1"/>
  <c r="J91" i="119" a="1"/>
  <c r="J91" i="119" s="1"/>
  <c r="I91" i="119" a="1"/>
  <c r="I91" i="119" s="1"/>
  <c r="H91" i="119" a="1"/>
  <c r="H91" i="119" s="1"/>
  <c r="G91" i="119" a="1"/>
  <c r="G91" i="119" s="1"/>
  <c r="F91" i="119" a="1"/>
  <c r="F91" i="119" s="1"/>
  <c r="E91" i="119" a="1"/>
  <c r="E91" i="119" s="1"/>
  <c r="D91" i="119" a="1"/>
  <c r="D91" i="119" s="1"/>
  <c r="S90" i="119" a="1"/>
  <c r="S90" i="119" s="1"/>
  <c r="R90" i="119" a="1"/>
  <c r="R90" i="119" s="1"/>
  <c r="Q90" i="119" a="1"/>
  <c r="Q90" i="119" s="1"/>
  <c r="P90" i="119" a="1"/>
  <c r="P90" i="119" s="1"/>
  <c r="O90" i="119" a="1"/>
  <c r="O90" i="119" s="1"/>
  <c r="N90" i="119" a="1"/>
  <c r="N90" i="119" s="1"/>
  <c r="M90" i="119" a="1"/>
  <c r="M90" i="119" s="1"/>
  <c r="L90" i="119" a="1"/>
  <c r="L90" i="119" s="1"/>
  <c r="K90" i="119" a="1"/>
  <c r="K90" i="119" s="1"/>
  <c r="J90" i="119" a="1"/>
  <c r="J90" i="119" s="1"/>
  <c r="I90" i="119" a="1"/>
  <c r="I90" i="119" s="1"/>
  <c r="H90" i="119" a="1"/>
  <c r="H90" i="119" s="1"/>
  <c r="G90" i="119" a="1"/>
  <c r="G90" i="119" s="1"/>
  <c r="F90" i="119" a="1"/>
  <c r="F90" i="119" s="1"/>
  <c r="E90" i="119" a="1"/>
  <c r="E90" i="119" s="1"/>
  <c r="D90" i="119" a="1"/>
  <c r="D90" i="119" s="1"/>
  <c r="D83" i="119" a="1"/>
  <c r="D83" i="119" s="1"/>
  <c r="D82" i="119" a="1"/>
  <c r="D82" i="119" s="1"/>
  <c r="D81" i="119" a="1"/>
  <c r="D81" i="119" s="1"/>
  <c r="E77" i="119" a="1"/>
  <c r="E77" i="119" s="1"/>
  <c r="D77" i="119" a="1"/>
  <c r="D77" i="119" s="1"/>
  <c r="E76" i="119" a="1"/>
  <c r="E76" i="119" s="1"/>
  <c r="D76" i="119" a="1"/>
  <c r="D76" i="119" s="1"/>
  <c r="E75" i="119" a="1"/>
  <c r="E75" i="119" s="1"/>
  <c r="D75" i="119" a="1"/>
  <c r="D75" i="119" s="1"/>
  <c r="E74" i="119" a="1"/>
  <c r="E74" i="119" s="1"/>
  <c r="D74" i="119" a="1"/>
  <c r="D74" i="119" s="1"/>
  <c r="E73" i="119" a="1"/>
  <c r="E73" i="119" s="1"/>
  <c r="D73" i="119" a="1"/>
  <c r="D73" i="119" s="1"/>
  <c r="E72" i="119" a="1"/>
  <c r="E72" i="119" s="1"/>
  <c r="D72" i="119" a="1"/>
  <c r="D72" i="119" s="1"/>
  <c r="E71" i="119" a="1"/>
  <c r="E71" i="119" s="1"/>
  <c r="D71" i="119" a="1"/>
  <c r="D71" i="119" s="1"/>
  <c r="E70" i="119" a="1"/>
  <c r="E70" i="119" s="1"/>
  <c r="D70" i="119" a="1"/>
  <c r="D70" i="119" s="1"/>
  <c r="E69" i="119" a="1"/>
  <c r="E69" i="119" s="1"/>
  <c r="D69" i="119" a="1"/>
  <c r="D69" i="119" s="1"/>
  <c r="E68" i="119" a="1"/>
  <c r="E68" i="119" s="1"/>
  <c r="D68" i="119" a="1"/>
  <c r="D68" i="119" s="1"/>
  <c r="E67" i="119" a="1"/>
  <c r="E67" i="119" s="1"/>
  <c r="D67" i="119" a="1"/>
  <c r="D67" i="119" s="1"/>
  <c r="E66" i="119" a="1"/>
  <c r="E66" i="119" s="1"/>
  <c r="D66" i="119" a="1"/>
  <c r="D66" i="119" s="1"/>
  <c r="E65" i="119" a="1"/>
  <c r="E65" i="119" s="1"/>
  <c r="D65" i="119" a="1"/>
  <c r="D65" i="119" s="1"/>
  <c r="E64" i="119" a="1"/>
  <c r="E64" i="119" s="1"/>
  <c r="D64" i="119" a="1"/>
  <c r="D64" i="119" s="1"/>
  <c r="D59" i="119" a="1"/>
  <c r="D59" i="119" s="1"/>
  <c r="D58" i="119" a="1"/>
  <c r="D58" i="119" s="1"/>
  <c r="D57" i="119" a="1"/>
  <c r="D57" i="119" s="1"/>
  <c r="G54" i="119" a="1"/>
  <c r="G54" i="119" s="1"/>
  <c r="F54" i="119" a="1"/>
  <c r="F54" i="119" s="1"/>
  <c r="H54" i="119" s="1"/>
  <c r="E54" i="119" a="1"/>
  <c r="E54" i="119" s="1"/>
  <c r="D54" i="119" a="1"/>
  <c r="D54" i="119" s="1"/>
  <c r="G53" i="119" a="1"/>
  <c r="G53" i="119" s="1"/>
  <c r="F53" i="119" a="1"/>
  <c r="F53" i="119" s="1"/>
  <c r="E53" i="119" a="1"/>
  <c r="E53" i="119" s="1"/>
  <c r="D53" i="119" a="1"/>
  <c r="D53" i="119" s="1"/>
  <c r="G52" i="119" a="1"/>
  <c r="G52" i="119" s="1"/>
  <c r="F52" i="119" a="1"/>
  <c r="F52" i="119" s="1"/>
  <c r="E52" i="119" a="1"/>
  <c r="E52" i="119" s="1"/>
  <c r="D52" i="119" a="1"/>
  <c r="D52" i="119" s="1"/>
  <c r="G51" i="119" a="1"/>
  <c r="G51" i="119" s="1"/>
  <c r="F51" i="119" a="1"/>
  <c r="F51" i="119" s="1"/>
  <c r="E51" i="119" a="1"/>
  <c r="E51" i="119" s="1"/>
  <c r="D51" i="119" a="1"/>
  <c r="D51" i="119" s="1"/>
  <c r="G50" i="119" a="1"/>
  <c r="G50" i="119" s="1"/>
  <c r="F50" i="119" a="1"/>
  <c r="F50" i="119" s="1"/>
  <c r="E50" i="119" a="1"/>
  <c r="E50" i="119" s="1"/>
  <c r="D50" i="119" a="1"/>
  <c r="D50" i="119" s="1"/>
  <c r="G49" i="119" a="1"/>
  <c r="G49" i="119" s="1"/>
  <c r="F49" i="119" a="1"/>
  <c r="F49" i="119" s="1"/>
  <c r="E49" i="119" a="1"/>
  <c r="E49" i="119" s="1"/>
  <c r="D49" i="119" a="1"/>
  <c r="D49" i="119" s="1"/>
  <c r="G48" i="119" a="1"/>
  <c r="G48" i="119" s="1"/>
  <c r="F48" i="119" a="1"/>
  <c r="F48" i="119" s="1"/>
  <c r="E48" i="119" a="1"/>
  <c r="E48" i="119" s="1"/>
  <c r="D48" i="119" a="1"/>
  <c r="D48" i="119" s="1"/>
  <c r="D46" i="119" a="1"/>
  <c r="D46" i="119" s="1"/>
  <c r="D45" i="119" a="1"/>
  <c r="D45" i="119" s="1"/>
  <c r="E43" i="119" a="1"/>
  <c r="E43" i="119" s="1"/>
  <c r="D43" i="119" a="1"/>
  <c r="D43" i="119" s="1"/>
  <c r="E42" i="119" a="1"/>
  <c r="E42" i="119" s="1"/>
  <c r="D42" i="119" a="1"/>
  <c r="D42" i="119" s="1"/>
  <c r="E41" i="119" a="1"/>
  <c r="E41" i="119" s="1"/>
  <c r="D41" i="119" a="1"/>
  <c r="D41" i="119" s="1"/>
  <c r="E40" i="119" a="1"/>
  <c r="E40" i="119" s="1"/>
  <c r="D40" i="119" a="1"/>
  <c r="D40" i="119" s="1"/>
  <c r="E39" i="119" a="1"/>
  <c r="E39" i="119" s="1"/>
  <c r="D39" i="119" a="1"/>
  <c r="D39" i="119" s="1"/>
  <c r="E38" i="119" a="1"/>
  <c r="E38" i="119" s="1"/>
  <c r="D38" i="119" a="1"/>
  <c r="D38" i="119" s="1"/>
  <c r="E37" i="119" a="1"/>
  <c r="E37" i="119" s="1"/>
  <c r="D37" i="119" a="1"/>
  <c r="D37" i="119" s="1"/>
  <c r="D35" i="119" a="1"/>
  <c r="D35" i="119" s="1"/>
  <c r="D34" i="119" a="1"/>
  <c r="D34" i="119" s="1"/>
  <c r="D30" i="119" a="1"/>
  <c r="D30" i="119" s="1"/>
  <c r="D29" i="119" a="1"/>
  <c r="D29" i="119" s="1"/>
  <c r="D28" i="119" a="1"/>
  <c r="D28" i="119" s="1"/>
  <c r="D27" i="119" a="1"/>
  <c r="D27" i="119" s="1"/>
  <c r="D26" i="119" a="1"/>
  <c r="D26" i="119" s="1"/>
  <c r="D25" i="119" a="1"/>
  <c r="D25" i="119" s="1"/>
  <c r="D24" i="119" a="1"/>
  <c r="D24" i="119" s="1"/>
  <c r="D23" i="119" a="1"/>
  <c r="D23" i="119" s="1"/>
  <c r="D22" i="119" a="1"/>
  <c r="D22" i="119" s="1"/>
  <c r="D21" i="119" a="1"/>
  <c r="D21" i="119" s="1"/>
  <c r="D19" i="119" a="1"/>
  <c r="D19" i="119" s="1"/>
  <c r="D18" i="119"/>
  <c r="D18" i="119" a="1"/>
  <c r="F14" i="119" a="1"/>
  <c r="F14" i="119" s="1"/>
  <c r="E14" i="119" a="1"/>
  <c r="E14" i="119" s="1"/>
  <c r="D14" i="119" a="1"/>
  <c r="D14" i="119" s="1"/>
  <c r="F13" i="119" a="1"/>
  <c r="F13" i="119" s="1"/>
  <c r="E13" i="119" a="1"/>
  <c r="E13" i="119" s="1"/>
  <c r="D13" i="119" a="1"/>
  <c r="D13" i="119" s="1"/>
  <c r="F12" i="119" a="1"/>
  <c r="F12" i="119" s="1"/>
  <c r="E12" i="119" a="1"/>
  <c r="E12" i="119" s="1"/>
  <c r="D12" i="119" a="1"/>
  <c r="D12" i="119" s="1"/>
  <c r="F11" i="119" a="1"/>
  <c r="F11" i="119" s="1"/>
  <c r="E11" i="119" a="1"/>
  <c r="E11" i="119" s="1"/>
  <c r="D11" i="119" a="1"/>
  <c r="D11" i="119" s="1"/>
  <c r="F10" i="119" a="1"/>
  <c r="F10" i="119" s="1"/>
  <c r="E10" i="119" a="1"/>
  <c r="E10" i="119" s="1"/>
  <c r="D10" i="119" a="1"/>
  <c r="D10" i="119" s="1"/>
  <c r="F9" i="119" a="1"/>
  <c r="F9" i="119" s="1"/>
  <c r="E9" i="119" a="1"/>
  <c r="E9" i="119" s="1"/>
  <c r="D9" i="119" a="1"/>
  <c r="D9" i="119" s="1"/>
  <c r="F8" i="119" a="1"/>
  <c r="F8" i="119" s="1"/>
  <c r="E8" i="119" a="1"/>
  <c r="E8" i="119" s="1"/>
  <c r="D8" i="119" a="1"/>
  <c r="D8" i="119" s="1"/>
  <c r="F7" i="119" a="1"/>
  <c r="F7" i="119" s="1"/>
  <c r="E7" i="119" a="1"/>
  <c r="E7" i="119" s="1"/>
  <c r="D7" i="119" a="1"/>
  <c r="D7" i="119" s="1"/>
  <c r="D5" i="119" a="1"/>
  <c r="D5" i="119" s="1"/>
  <c r="J48" i="70" l="1"/>
  <c r="H52" i="119"/>
  <c r="H51" i="119"/>
  <c r="H48" i="119"/>
  <c r="H50" i="119"/>
  <c r="H49" i="119"/>
  <c r="H53" i="119"/>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7" i="70" l="1"/>
  <c r="G37" i="70"/>
  <c r="K37" i="70"/>
  <c r="K36" i="70"/>
  <c r="D38" i="110" a="1"/>
  <c r="D38" i="110" s="1"/>
  <c r="E38" i="110" a="1"/>
  <c r="E38" i="110" s="1"/>
  <c r="F38" i="110" a="1"/>
  <c r="F38" i="110" s="1"/>
  <c r="G38" i="110" a="1"/>
  <c r="G38" i="110" s="1"/>
  <c r="H38" i="110" a="1"/>
  <c r="H38" i="110" s="1"/>
  <c r="I38" i="110" a="1"/>
  <c r="I38" i="110" s="1"/>
  <c r="F27" i="70"/>
  <c r="G27" i="70" s="1"/>
  <c r="H18" i="70"/>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F94" i="116"/>
  <c r="H89" i="116" a="1"/>
  <c r="H89" i="116" s="1"/>
  <c r="D89" i="116" a="1"/>
  <c r="D89" i="116" s="1"/>
  <c r="E87" i="116" a="1"/>
  <c r="E87"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60" i="116"/>
  <c r="I56" i="116" s="1"/>
  <c r="I59" i="116"/>
  <c r="I58" i="116"/>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I127" i="115"/>
  <c r="J52" i="115"/>
  <c r="I17" i="116"/>
  <c r="I18" i="116"/>
  <c r="I14" i="116" s="1"/>
  <c r="I16" i="116"/>
  <c r="E83" i="116" a="1"/>
  <c r="E7" i="116" a="1"/>
  <c r="E49"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I128" i="115"/>
  <c r="I125"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53" i="115"/>
  <c r="J50"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6"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K47" i="113"/>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7" i="70"/>
  <c r="H47" i="70"/>
  <c r="I47" i="70" s="1"/>
  <c r="H46" i="70"/>
  <c r="G46" i="70"/>
  <c r="H20" i="113" a="1"/>
  <c r="H20" i="113" s="1"/>
  <c r="E20" i="113" a="1"/>
  <c r="E20" i="113" s="1"/>
  <c r="D20" i="113" a="1"/>
  <c r="D67" i="116" s="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118" i="115" a="1"/>
  <c r="E90" i="115" a="1"/>
  <c r="E7" i="113" a="1"/>
  <c r="E43" i="115" a="1"/>
  <c r="E38" i="113" a="1"/>
  <c r="E7" i="114" a="1"/>
  <c r="E7" i="115" a="1"/>
  <c r="E105" i="115" l="1"/>
  <c r="E68" i="116"/>
  <c r="E110" i="115"/>
  <c r="E111" i="115"/>
  <c r="E112" i="115"/>
  <c r="E75" i="116"/>
  <c r="E107" i="115"/>
  <c r="E108" i="115"/>
  <c r="F108" i="115" s="1" a="1"/>
  <c r="F108" i="115" s="1"/>
  <c r="E140" i="115" s="1"/>
  <c r="E109" i="115"/>
  <c r="F109" i="115" s="1" a="1"/>
  <c r="F109" i="115" s="1"/>
  <c r="E141" i="115" s="1"/>
  <c r="F111" i="115" a="1"/>
  <c r="F111" i="115" s="1"/>
  <c r="E143" i="115" s="1"/>
  <c r="G20" i="113" a="1"/>
  <c r="G20" i="113" s="1"/>
  <c r="I20" i="113" s="1" a="1"/>
  <c r="I20" i="113" s="1"/>
  <c r="E65" i="116" s="1"/>
  <c r="D20" i="113"/>
  <c r="D65" i="116" s="1"/>
  <c r="D66" i="116"/>
  <c r="F43" i="116"/>
  <c r="F112" i="115" a="1"/>
  <c r="F112" i="115" s="1"/>
  <c r="E144" i="115" s="1"/>
  <c r="F105" i="115" a="1"/>
  <c r="F105" i="115" s="1"/>
  <c r="E137" i="115" s="1"/>
  <c r="F107" i="115" a="1"/>
  <c r="F107" i="115" s="1"/>
  <c r="E139"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7" i="70"/>
  <c r="I22" i="113" l="1" a="1"/>
  <c r="I22" i="113" s="1"/>
  <c r="E104" i="115" s="1"/>
  <c r="F104" i="115" s="1" a="1"/>
  <c r="F104" i="115" s="1"/>
  <c r="E136" i="115" s="1"/>
  <c r="I21" i="113" a="1"/>
  <c r="I21" i="113" s="1"/>
  <c r="E66" i="116" s="1"/>
  <c r="E102" i="115"/>
  <c r="F102" i="115" s="1" a="1"/>
  <c r="F102" i="115" s="1"/>
  <c r="E134" i="115" s="1"/>
  <c r="E67" i="116" l="1"/>
  <c r="E32" i="113"/>
  <c r="K44" i="113" s="1"/>
  <c r="E103" i="115"/>
  <c r="F103" i="115" s="1"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I52" i="74"/>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V52" i="69" a="1"/>
  <c r="V52" i="69" s="1"/>
  <c r="S52" i="69" a="1"/>
  <c r="S52" i="69" s="1"/>
  <c r="R52" i="69" a="1"/>
  <c r="R52"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6" i="70"/>
  <c r="G36" i="70"/>
  <c r="E25" i="114" s="1" a="1"/>
  <c r="E25" i="114" s="1"/>
  <c r="Q54" i="69"/>
  <c r="Q53" i="69"/>
  <c r="Q52" i="69"/>
  <c r="F26" i="70"/>
  <c r="O93" i="69" a="1"/>
  <c r="O93" i="69" s="1"/>
  <c r="M90" i="69" a="1"/>
  <c r="M90" i="69" s="1"/>
  <c r="N82" i="69" a="1"/>
  <c r="N82" i="69" s="1"/>
  <c r="N77" i="69" a="1"/>
  <c r="N77" i="69" s="1"/>
  <c r="S71" i="69"/>
  <c r="T54" i="69"/>
  <c r="T53" i="69"/>
  <c r="T52" i="69"/>
  <c r="U52" i="69" s="1"/>
  <c r="N50" i="69" a="1"/>
  <c r="N50" i="69" s="1"/>
  <c r="N45" i="69" a="1"/>
  <c r="N45" i="69" s="1"/>
  <c r="S73" i="69"/>
  <c r="S70" i="69"/>
  <c r="F85" i="69" a="1"/>
  <c r="F85" i="69" s="1"/>
  <c r="D82" i="69" a="1"/>
  <c r="D82" i="69" s="1"/>
  <c r="N60" i="69" a="1"/>
  <c r="E7" i="74" a="1"/>
  <c r="E42" i="69" a="1"/>
  <c r="F58" i="74" l="1"/>
  <c r="F78" i="74"/>
  <c r="J46"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J54" i="115"/>
  <c r="I129" i="115"/>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H12" i="13" l="1"/>
  <c r="I12" i="13" s="1"/>
  <c r="E12" i="13"/>
  <c r="F12" i="13" s="1"/>
  <c r="I52" i="69"/>
  <c r="I54" i="69"/>
  <c r="I50" i="69"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F22" i="70" l="1"/>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V21" i="70" l="1"/>
  <c r="V18" i="70"/>
  <c r="V20" i="70"/>
  <c r="V22" i="70"/>
  <c r="V19" i="70"/>
  <c r="E30" i="74" a="1"/>
  <c r="E30" i="74" s="1"/>
  <c r="O50" i="69" a="1"/>
  <c r="W51" i="69" s="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E37" i="74" l="1" a="1"/>
  <c r="E37" i="74" s="1"/>
  <c r="G37" i="74" s="1" a="1"/>
  <c r="G37" i="74" s="1"/>
  <c r="E76" i="74" s="1" a="1"/>
  <c r="E76" i="74" s="1"/>
  <c r="E26" i="69" a="1"/>
  <c r="E26" i="69" s="1"/>
  <c r="G26" i="69" s="1" a="1"/>
  <c r="G26" i="69" s="1"/>
  <c r="E30" i="116" s="1"/>
  <c r="F30" i="116" s="1" a="1"/>
  <c r="F30" i="116" s="1"/>
  <c r="E22" i="74" a="1"/>
  <c r="E22" i="74" s="1"/>
  <c r="G22" i="74" s="1" a="1"/>
  <c r="G22" i="74" s="1"/>
  <c r="E61" i="74" s="1" a="1"/>
  <c r="E61" i="74" s="1"/>
  <c r="E19" i="74" a="1"/>
  <c r="E19" i="74" s="1"/>
  <c r="G19" i="74" s="1" a="1"/>
  <c r="G19" i="74" s="1"/>
  <c r="E58" i="74" s="1" a="1"/>
  <c r="E58" i="74" s="1"/>
  <c r="E20" i="69" a="1"/>
  <c r="E20" i="69" s="1"/>
  <c r="G20" i="69" s="1" a="1"/>
  <c r="G20" i="69" s="1"/>
  <c r="E24" i="116" s="1"/>
  <c r="F24" i="116" s="1" a="1"/>
  <c r="F24" i="116" s="1"/>
  <c r="E31" i="74" a="1"/>
  <c r="E31" i="74" s="1"/>
  <c r="G31" i="74" s="1" a="1"/>
  <c r="G31" i="74" s="1"/>
  <c r="E70" i="74" s="1" a="1"/>
  <c r="E70" i="74" s="1"/>
  <c r="E35" i="74" a="1"/>
  <c r="E35" i="74" s="1"/>
  <c r="G35" i="74" s="1" a="1"/>
  <c r="G35" i="74" s="1"/>
  <c r="E74" i="74" s="1" a="1"/>
  <c r="E74" i="74" s="1"/>
  <c r="E25" i="69" a="1"/>
  <c r="E25" i="69" s="1"/>
  <c r="G25" i="69" s="1" a="1"/>
  <c r="G25" i="69" s="1"/>
  <c r="E29" i="116" s="1"/>
  <c r="F29" i="116" s="1" a="1"/>
  <c r="F29" i="116" s="1"/>
  <c r="E23" i="69" a="1"/>
  <c r="E23" i="69" s="1"/>
  <c r="G23" i="69" s="1" a="1"/>
  <c r="G23" i="69" s="1"/>
  <c r="E27" i="116" s="1"/>
  <c r="F27" i="116" s="1" a="1"/>
  <c r="F27" i="116" s="1"/>
  <c r="E37" i="69" a="1"/>
  <c r="E37" i="69" s="1"/>
  <c r="G37" i="69" s="1"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E27" i="69" a="1"/>
  <c r="E27" i="69" s="1"/>
  <c r="G27" i="69" s="1" a="1"/>
  <c r="G27" i="69" s="1"/>
  <c r="E31" i="116" s="1"/>
  <c r="F31" i="116" s="1" a="1"/>
  <c r="F31" i="116" s="1"/>
  <c r="E21" i="74" a="1"/>
  <c r="E21" i="74" s="1"/>
  <c r="G21" i="74" s="1" a="1"/>
  <c r="G21" i="74" s="1"/>
  <c r="E60" i="74" s="1" a="1"/>
  <c r="E60" i="74" s="1"/>
  <c r="E21" i="69" a="1"/>
  <c r="E21" i="69" s="1"/>
  <c r="G21" i="69" s="1" a="1"/>
  <c r="G21" i="69" s="1"/>
  <c r="E25" i="116" s="1"/>
  <c r="F25" i="116" s="1" a="1"/>
  <c r="F25" i="116" s="1"/>
  <c r="E28" i="74" a="1"/>
  <c r="E28" i="74" s="1"/>
  <c r="G28" i="74" s="1" a="1"/>
  <c r="G28" i="74" s="1"/>
  <c r="E67" i="74" s="1" a="1"/>
  <c r="E67" i="74" s="1"/>
  <c r="E29" i="69" a="1"/>
  <c r="E29" i="69" s="1"/>
  <c r="G29" i="69" s="1" a="1"/>
  <c r="G29" i="69" s="1"/>
  <c r="E33" i="116" s="1"/>
  <c r="F33" i="116" s="1" a="1"/>
  <c r="F33" i="116" s="1"/>
  <c r="E28" i="69" a="1"/>
  <c r="E28" i="69" s="1"/>
  <c r="G28" i="69" s="1" a="1"/>
  <c r="G28" i="69" s="1"/>
  <c r="E32" i="116" s="1"/>
  <c r="F32" i="116" s="1" a="1"/>
  <c r="F32" i="116" s="1"/>
  <c r="E35" i="69" a="1"/>
  <c r="E35" i="69" s="1"/>
  <c r="G35" i="69" s="1" a="1"/>
  <c r="G35" i="69" s="1"/>
  <c r="E39" i="116" s="1"/>
  <c r="F39" i="116" s="1" a="1"/>
  <c r="F39" i="116" s="1"/>
  <c r="E31" i="69" a="1"/>
  <c r="E31" i="69" s="1"/>
  <c r="G31" i="69" s="1" a="1"/>
  <c r="G31" i="69" s="1"/>
  <c r="E35" i="116" s="1"/>
  <c r="F35" i="116" s="1" a="1"/>
  <c r="F35" i="116"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19" i="69" a="1"/>
  <c r="E19" i="69" s="1"/>
  <c r="G19" i="69" s="1" a="1"/>
  <c r="G19" i="69" s="1"/>
  <c r="E23" i="116" s="1"/>
  <c r="F23" i="116" s="1" a="1"/>
  <c r="F23" i="116" s="1"/>
  <c r="E32" i="74" a="1"/>
  <c r="E32" i="74" s="1"/>
  <c r="G32" i="74" s="1" a="1"/>
  <c r="G32" i="74" s="1"/>
  <c r="E71" i="74" s="1" a="1"/>
  <c r="E71" i="74" s="1"/>
  <c r="E34" i="69" a="1"/>
  <c r="E34" i="69" s="1"/>
  <c r="G34" i="69" s="1" a="1"/>
  <c r="G34" i="69" s="1"/>
  <c r="E38" i="116" s="1"/>
  <c r="F38" i="116" s="1" a="1"/>
  <c r="F38" i="116" s="1"/>
  <c r="E20" i="74" a="1"/>
  <c r="E20" i="74" s="1"/>
  <c r="G20" i="74" s="1" a="1"/>
  <c r="G20" i="74" s="1"/>
  <c r="E59" i="74" s="1" a="1"/>
  <c r="E59" i="74" s="1"/>
  <c r="E33" i="69" a="1"/>
  <c r="E33" i="69" s="1"/>
  <c r="G33" i="69" s="1" a="1"/>
  <c r="G33" i="69" s="1"/>
  <c r="E37" i="116" s="1"/>
  <c r="F37" i="116" s="1" a="1"/>
  <c r="F37" i="116" s="1"/>
  <c r="E32" i="69" a="1"/>
  <c r="E32" i="69" s="1"/>
  <c r="G32" i="69" s="1" a="1"/>
  <c r="G32" i="69" s="1"/>
  <c r="E36" i="116" s="1"/>
  <c r="F36" i="116" s="1" a="1"/>
  <c r="F36" i="116" s="1"/>
  <c r="E30" i="69" a="1"/>
  <c r="E30" i="69" s="1"/>
  <c r="G30" i="69" s="1" a="1"/>
  <c r="G30" i="69" s="1"/>
  <c r="E34" i="116" s="1"/>
  <c r="F34" i="116" s="1" a="1"/>
  <c r="F34" i="116" s="1"/>
  <c r="E27" i="74" a="1"/>
  <c r="E27" i="74" s="1"/>
  <c r="G27" i="74" s="1" a="1"/>
  <c r="G27" i="74" s="1"/>
  <c r="E66" i="74" s="1" a="1"/>
  <c r="E66" i="74" s="1"/>
  <c r="E22" i="69" a="1"/>
  <c r="E22" i="69" s="1"/>
  <c r="G22" i="69" s="1" a="1"/>
  <c r="G22" i="69" s="1"/>
  <c r="E26" i="116" s="1"/>
  <c r="F26" i="116" s="1" a="1"/>
  <c r="F26" i="116" s="1"/>
  <c r="E24" i="74" a="1"/>
  <c r="E24" i="74" s="1"/>
  <c r="G24" i="74" s="1" a="1"/>
  <c r="G24" i="74" s="1"/>
  <c r="E63" i="74" s="1" a="1"/>
  <c r="E63" i="74" s="1"/>
  <c r="E24" i="69" a="1"/>
  <c r="E24" i="69" s="1"/>
  <c r="G24" i="69" s="1" a="1"/>
  <c r="G24" i="69" s="1"/>
  <c r="E28" i="116" s="1"/>
  <c r="F28" i="116" s="1" a="1"/>
  <c r="F28" i="116" s="1"/>
  <c r="E36" i="69" a="1"/>
  <c r="E36" i="69" s="1"/>
  <c r="G36" i="69" s="1" a="1"/>
  <c r="G36" i="69" s="1"/>
  <c r="E40" i="116" s="1"/>
  <c r="F40" i="116" s="1" a="1"/>
  <c r="F40" i="116" s="1"/>
  <c r="O50" i="69"/>
  <c r="Q51" i="69"/>
  <c r="T51" i="69"/>
  <c r="U51" i="69" s="1"/>
  <c r="S51" i="69" a="1"/>
  <c r="S51" i="69" s="1"/>
  <c r="R51" i="69" a="1"/>
  <c r="R51" i="69" s="1"/>
  <c r="O45" i="69" a="1"/>
  <c r="G30" i="74" a="1"/>
  <c r="G30" i="74" s="1"/>
  <c r="E69" i="74" s="1" a="1"/>
  <c r="E69" i="74" s="1"/>
  <c r="W49" i="69" l="1"/>
  <c r="S49" i="69" a="1"/>
  <c r="S49" i="69" s="1"/>
  <c r="T49" i="69"/>
  <c r="U49" i="69" s="1"/>
  <c r="R49" i="69" a="1"/>
  <c r="R49" i="69" s="1"/>
  <c r="Q49" i="69"/>
  <c r="W47" i="69"/>
  <c r="W48" i="69"/>
  <c r="R48" i="69" a="1"/>
  <c r="R48" i="69" s="1"/>
  <c r="T48" i="69"/>
  <c r="U48" i="69" s="1"/>
  <c r="S48" i="69" a="1"/>
  <c r="S48" i="69" s="1"/>
  <c r="Q48" i="69"/>
  <c r="S47" i="69" a="1"/>
  <c r="S47" i="69" s="1"/>
  <c r="W46" i="69"/>
  <c r="T50" i="69"/>
  <c r="U50" i="69" s="1"/>
  <c r="W50" i="69"/>
  <c r="E37" i="115"/>
  <c r="H37" i="115" s="1" a="1"/>
  <c r="H37" i="115" s="1"/>
  <c r="E77" i="115" s="1"/>
  <c r="F77" i="115" s="1" a="1"/>
  <c r="F77" i="115" s="1"/>
  <c r="E41" i="116"/>
  <c r="F41" i="116" s="1" a="1"/>
  <c r="F41" i="116" s="1"/>
  <c r="E43" i="116" s="1"/>
  <c r="J89" i="116" s="1"/>
  <c r="E94" i="116" s="1" a="1"/>
  <c r="E94" i="116" s="1"/>
  <c r="E78" i="74"/>
  <c r="S50" i="69" a="1"/>
  <c r="S50" i="69" s="1"/>
  <c r="R50" i="69" a="1"/>
  <c r="R50" i="69" s="1"/>
  <c r="Q50" i="69"/>
  <c r="V51" i="69" a="1"/>
  <c r="V51" i="69" s="1"/>
  <c r="E29" i="115"/>
  <c r="H29" i="115" s="1" a="1"/>
  <c r="H29" i="115" s="1"/>
  <c r="E69" i="115" s="1"/>
  <c r="F69" i="115" s="1" a="1"/>
  <c r="F69" i="115" s="1"/>
  <c r="E22" i="115"/>
  <c r="H22" i="115" s="1" a="1"/>
  <c r="H22" i="115" s="1"/>
  <c r="E62" i="115" s="1"/>
  <c r="F62" i="115" s="1" a="1"/>
  <c r="F62" i="115" s="1"/>
  <c r="E25" i="115"/>
  <c r="H25" i="115" s="1" a="1"/>
  <c r="H25" i="115" s="1"/>
  <c r="E65" i="115" s="1"/>
  <c r="F65" i="115" s="1" a="1"/>
  <c r="F65" i="115" s="1"/>
  <c r="E34" i="115"/>
  <c r="H34" i="115" s="1" a="1"/>
  <c r="H34" i="115" s="1"/>
  <c r="E74" i="115" s="1"/>
  <c r="F74" i="115" s="1" a="1"/>
  <c r="F74" i="115" s="1"/>
  <c r="E26" i="115"/>
  <c r="H26" i="115" s="1" a="1"/>
  <c r="H26" i="115" s="1"/>
  <c r="E66" i="115" s="1"/>
  <c r="F66" i="115" s="1" a="1"/>
  <c r="F66" i="115" s="1"/>
  <c r="E24" i="115"/>
  <c r="H24" i="115" s="1" a="1"/>
  <c r="H24" i="115" s="1"/>
  <c r="E64" i="115" s="1"/>
  <c r="F64" i="115" s="1" a="1"/>
  <c r="F64" i="115" s="1"/>
  <c r="E35" i="115"/>
  <c r="H35" i="115" s="1" a="1"/>
  <c r="H35" i="115" s="1"/>
  <c r="E75" i="115" s="1"/>
  <c r="F75" i="115" s="1" a="1"/>
  <c r="F75" i="115" s="1"/>
  <c r="E23" i="115"/>
  <c r="H23" i="115" s="1" a="1"/>
  <c r="H23" i="115" s="1"/>
  <c r="E63" i="115" s="1"/>
  <c r="F63" i="115" s="1" a="1"/>
  <c r="F63" i="115" s="1"/>
  <c r="E21" i="115"/>
  <c r="H21" i="115" s="1" a="1"/>
  <c r="H21" i="115" s="1"/>
  <c r="E61" i="115" s="1"/>
  <c r="F61" i="115" s="1" a="1"/>
  <c r="F61" i="115" s="1"/>
  <c r="E19" i="115"/>
  <c r="H19" i="115" s="1" a="1"/>
  <c r="H19" i="115" s="1"/>
  <c r="E59" i="115" s="1"/>
  <c r="F59" i="115" s="1" a="1"/>
  <c r="F59" i="115" s="1"/>
  <c r="E27" i="115"/>
  <c r="H27" i="115" s="1" a="1"/>
  <c r="H27" i="115" s="1"/>
  <c r="E67" i="115" s="1"/>
  <c r="F67" i="115" s="1" a="1"/>
  <c r="F67" i="115" s="1"/>
  <c r="E30" i="115"/>
  <c r="H30" i="115" s="1" a="1"/>
  <c r="H30" i="115" s="1"/>
  <c r="E70" i="115" s="1"/>
  <c r="F70" i="115" s="1" a="1"/>
  <c r="F70" i="115" s="1"/>
  <c r="E28" i="115"/>
  <c r="H28" i="115" s="1" a="1"/>
  <c r="H28" i="115" s="1"/>
  <c r="E68" i="115" s="1"/>
  <c r="F68" i="115" s="1" a="1"/>
  <c r="F68" i="115" s="1"/>
  <c r="E33" i="115"/>
  <c r="H33" i="115" s="1" a="1"/>
  <c r="H33" i="115" s="1"/>
  <c r="E73" i="115" s="1"/>
  <c r="F73" i="115" s="1" a="1"/>
  <c r="F73" i="115" s="1"/>
  <c r="E32" i="115"/>
  <c r="H32" i="115" s="1" a="1"/>
  <c r="H32" i="115" s="1"/>
  <c r="E72" i="115" s="1"/>
  <c r="F72" i="115" s="1" a="1"/>
  <c r="F72" i="115" s="1"/>
  <c r="E31" i="115"/>
  <c r="H31" i="115" s="1" a="1"/>
  <c r="H31" i="115" s="1"/>
  <c r="E71" i="115" s="1"/>
  <c r="F71" i="115" s="1" a="1"/>
  <c r="F71" i="115" s="1"/>
  <c r="E36" i="115"/>
  <c r="H36" i="115" s="1" a="1"/>
  <c r="H36" i="115" s="1"/>
  <c r="E76" i="115" s="1"/>
  <c r="F76" i="115" s="1" a="1"/>
  <c r="F76" i="115" s="1"/>
  <c r="E20" i="115"/>
  <c r="H20" i="115" s="1" a="1"/>
  <c r="H20" i="115" s="1"/>
  <c r="E60" i="115" s="1"/>
  <c r="F60" i="115" s="1" a="1"/>
  <c r="F60" i="115" s="1"/>
  <c r="Q46" i="69"/>
  <c r="T46" i="69"/>
  <c r="U46" i="69" s="1"/>
  <c r="S46" i="69" a="1"/>
  <c r="S46" i="69" s="1"/>
  <c r="R46" i="69" a="1"/>
  <c r="R46" i="69" s="1"/>
  <c r="T47" i="69"/>
  <c r="U47" i="69" s="1"/>
  <c r="O45" i="69"/>
  <c r="R47" i="69" a="1"/>
  <c r="R47" i="69" s="1"/>
  <c r="Q47" i="69"/>
  <c r="V48" i="69" l="1" a="1"/>
  <c r="V48" i="69" s="1"/>
  <c r="V49" i="69" a="1"/>
  <c r="V49" i="69" s="1"/>
  <c r="S45" i="69" a="1"/>
  <c r="S45" i="69" s="1"/>
  <c r="W45" i="69"/>
  <c r="V50" i="69" a="1"/>
  <c r="V50" i="69" s="1"/>
  <c r="E79" i="115"/>
  <c r="E13" i="13" s="1"/>
  <c r="F13" i="13" s="1"/>
  <c r="T45" i="69"/>
  <c r="U45" i="69" s="1"/>
  <c r="H10" i="13"/>
  <c r="I10" i="13" s="1"/>
  <c r="E10" i="13"/>
  <c r="F10" i="13" s="1"/>
  <c r="E14" i="13"/>
  <c r="F14" i="13" s="1"/>
  <c r="G96" i="116"/>
  <c r="E99" i="116" s="1" a="1"/>
  <c r="E99" i="116" s="1"/>
  <c r="H14" i="13" s="1"/>
  <c r="I14" i="13" s="1"/>
  <c r="Q45" i="69"/>
  <c r="R45" i="69" a="1"/>
  <c r="R45" i="69" s="1"/>
  <c r="V46" i="69" a="1"/>
  <c r="V46" i="69" s="1"/>
  <c r="V47" i="69" a="1"/>
  <c r="V47" i="69" s="1"/>
  <c r="S74" i="69"/>
  <c r="I55" i="69"/>
  <c r="E78" i="69" s="1" a="1"/>
  <c r="E78" i="69" s="1"/>
  <c r="G81" i="115" l="1"/>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K48" i="113" s="1"/>
  <c r="E50" i="113" s="1" a="1"/>
  <c r="E50" i="113" s="1"/>
  <c r="E80" i="69" l="1"/>
  <c r="G52" i="113"/>
  <c r="E55" i="113" s="1" a="1"/>
  <c r="E55" i="113" s="1"/>
  <c r="H11" i="13" s="1"/>
  <c r="I11" i="13" s="1"/>
  <c r="E11" i="13"/>
  <c r="F11" i="13" s="1"/>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E9" i="13"/>
  <c r="N88" i="69"/>
  <c r="P90" i="69" l="1"/>
  <c r="N93" i="69" s="1" a="1"/>
  <c r="N93" i="69" s="1"/>
  <c r="I9" i="13" s="1"/>
  <c r="I15" i="13" s="1"/>
  <c r="F9" i="13"/>
  <c r="D34"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<sst xmlns="http://schemas.openxmlformats.org/spreadsheetml/2006/main" count="544" uniqueCount="325">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</sst>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xf numFmtId="4" fontId="0"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91" dataDxfId="190" totalsRowDxfId="18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7" totalsRowShown="0" headerRowDxfId="152" dataDxfId="151">
  <autoFilter ref="D25:R27"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5:K37" totalsRowShown="0" headerRowDxfId="139" dataDxfId="138" headerRowCellStyle="Input table column header">
  <autoFilter ref="D35:K37"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5:J48" totalsRowShown="0" headerRowDxfId="129" dataDxfId="128" headerRowCellStyle="Input table column header">
  <autoFilter ref="D45:J48"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303C5C-3BB9-41A7-829D-8B4E71E0023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D75A020-5BB0-44A8-9D5E-DCC83AB1977D}" name="State/Territory">
      <calculatedColumnFormula array="1">Common_InputFunctions.Utility_DisplayArrayInTable(Common_SourceData.Common_SourceData_AustralianStatesTerritories_Data(),Table_AustralianStates[[#Headers],[State/Territory]],0)</calculatedColumnFormula>
    </tableColumn>
    <tableColumn id="2" xr3:uid="{79D55B61-ED45-4135-883D-FD347526CAB3}" name="Common Name">
      <calculatedColumnFormula array="1">Common_InputFunctions.Utility_DisplayArrayInTable(Common_SourceData.Common_SourceData_AustralianStatesTerritories_Data(),Table_AustralianStates[[#Headers],[State/Territory]],0)</calculatedColumnFormula>
    </tableColumn>
    <tableColumn id="3" xr3:uid="{B88E055F-8E5A-4C53-93A9-C24E776591B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2DCD54D-7E93-4099-957D-AEA1DE4C4926}" name="Table_WASA4Areas" displayName="Table_WASA4Areas" ref="D20:D30" totalsRowShown="0">
  <autoFilter ref="D20:D30" xr:uid="{5FA81339-C6C8-4D36-BEEA-6C4AEDD9E676}">
    <filterColumn colId="0" hiddenButton="1"/>
  </autoFilter>
  <tableColumns count="1">
    <tableColumn id="1" xr3:uid="{65003749-65F5-40E3-99A9-AB401F699E36}"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DAA5495-4917-46C2-A299-A4345A855465}" name="Table_GWPData" displayName="Table_GWPData" ref="D36:E43" totalsRowShown="0">
  <autoFilter ref="D36:E43" xr:uid="{B8E87A66-3E41-4AD3-925D-01EE21B43D7A}">
    <filterColumn colId="0" hiddenButton="1"/>
    <filterColumn colId="1" hiddenButton="1"/>
  </autoFilter>
  <tableColumns count="2">
    <tableColumn id="1" xr3:uid="{A2C3F369-C535-498B-A609-D1951E259632}" name="Gas">
      <calculatedColumnFormula array="1">Common_InputFunctions.Utility_DisplayArrayInTable(Common_SourceData.Common_SourceData_GWP_Data(), Table_GWPData[[#Headers],[Gas]], 0)</calculatedColumnFormula>
    </tableColumn>
    <tableColumn id="2" xr3:uid="{30431AA3-A8E1-4BCB-8FF3-815AAD620AF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E6CF9E-A072-44BF-8684-471FB964FF1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AD021D2-50B6-4052-8C28-07DE2821E241}" name="Gas">
      <calculatedColumnFormula array="1">Common_InputFunctions.Utility_DisplayArrayInTable(Common_SourceData.Common_SourceData_ConvertGasElementalToMolecular_Data(),Table_GasToMolecularConversionFactor[[#Headers],[Gas]], 0)</calculatedColumnFormula>
    </tableColumn>
    <tableColumn id="5" xr3:uid="{070B0089-E010-406C-A163-96667EDF65BA}" name="Conversion factor">
      <calculatedColumnFormula array="1">Common_InputFunctions.Utility_DisplayArrayInTable(Common_SourceData.Common_SourceData_ConvertGasElementalToMolecular_Data(),Table_GasToMolecularConversionFactor[[#Headers],[Gas]], 0)</calculatedColumnFormula>
    </tableColumn>
    <tableColumn id="2" xr3:uid="{442EC396-0F56-4AF3-9A40-5AC804CD7A8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A267475D-1B2F-4109-BB45-941B0A1E668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8B0D998-60A5-4C5C-BCEA-2617B46A5BC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074C5BD-0896-455B-9D7F-FAEDC2D126E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41C3266-3F73-4EFD-88FE-8C44F498CB25}"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E5553DB-5721-4C92-8D20-DFA036B0E73C}" name="MAT"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3" xr3:uid="{0B330E80-A0C8-4CA7-8BED-303573742262}" name="MAP"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4" xr3:uid="{F6D8D7BA-481D-44A8-8D63-7344999032D7}" name="Frost days per year"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5" xr3:uid="{B51575DF-B51A-45A0-96F6-B09CF6CB7960}" name="Elevation"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6" xr3:uid="{3DDF4932-CE19-401E-B9A8-96D6019290D4}" name="MAP:PE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7" xr3:uid="{CA67A8C2-1493-47C7-9556-E9B2171FF313}" name="Min tem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8" xr3:uid="{13DD9A77-6AFB-476B-9830-FB62437E21B4}" name="Max tem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9" xr3:uid="{D0C7F044-AC25-4B4D-A6C8-191E6D7ADEFB}" name="Min rainfall"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0" xr3:uid="{7BE35E95-CD11-4907-B665-EDDFF05DF5F7}" name="Max rainfall"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1" xr3:uid="{11FE130C-5EF5-4800-8D82-01037B7D1418}" name="Min frost days"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5" xr3:uid="{D89184E1-5386-41A5-BC9C-23989AB9D394}" name="Max frost days"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2" xr3:uid="{4326D09A-0A99-4588-A2C1-359761D54EEE}" name="Min 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6" xr3:uid="{4E8012CE-78A2-408D-84F0-804357D82CC1}" name="Max elevation"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3" xr3:uid="{B54E6EF5-ABEB-4638-B06C-3EC0281E4117}" name="Min MAP:PET"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7" xr3:uid="{8D917470-7CB8-4F3E-9726-6CE629E62415}" name="Max 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7678D10-2267-4767-B2BC-D4CF7912B8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4B9A861-A4AC-43D8-95CF-3562409A13E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3E1A5654-2BB4-449B-8063-4EFB15F850C3}" name="Wet or Dry Zone" totalsRowDxfId="4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EA5653C-11FE-4C3B-AC4C-03EBB0DDB74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C58373F-C785-4CF1-8C2C-1E8E7D608BF7}" name="Temperature Zone">
      <calculatedColumnFormula array="1">Common_InputFunctions.Utility_DisplayArrayInTable(Common_SourceData.Common_SourceData_TemperatureZones_Data(),Table_SourceData_TemperatureZones[[#Headers],[Temperature Zone]],0)</calculatedColumnFormula>
    </tableColumn>
    <tableColumn id="2" xr3:uid="{649DD81D-C070-4231-A7C0-B2F0F7667E2F}" name="MAT">
      <calculatedColumnFormula array="1">Common_InputFunctions.Utility_DisplayArrayInTable(Common_SourceData.Common_SourceData_TemperatureZones_Data(),Table_SourceData_TemperatureZones[[#Headers],[Temperature Zone]],0)</calculatedColumnFormula>
    </tableColumn>
    <tableColumn id="3" xr3:uid="{DCD1BE3E-0888-493D-ACAD-62FBCE7729EB}" name="Min MAT">
      <calculatedColumnFormula array="1">Common_InputFunctions.Utility_DisplayArrayInTable(Common_SourceData.Common_SourceData_TemperatureZones_Data(),Table_SourceData_TemperatureZones[[#Headers],[Temperature Zone]],0)</calculatedColumnFormula>
    </tableColumn>
    <tableColumn id="4" xr3:uid="{CE0C0D38-37FF-481A-9FB9-827AA8CD7F8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7E81831-5117-4090-8BF7-5BEFD02F929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D7427149-E8ED-4BC1-AEB7-88F0CC97E9DB}" name="Rainfall Zone">
      <calculatedColumnFormula array="1">Common_InputFunctions.Utility_DisplayArrayInTable(Common_SourceData.Common_SourceData_RainfallZones_Data(),Table_SourceData_RainfallZones[[#Headers],[Rainfall Zone]],0)</calculatedColumnFormula>
    </tableColumn>
    <tableColumn id="2" xr3:uid="{81706516-3381-4116-99E4-C08301492CE2}" name="Annual rainfall">
      <calculatedColumnFormula array="1">Common_InputFunctions.Utility_DisplayArrayInTable(Common_SourceData.Common_SourceData_RainfallZones_Data(),Table_SourceData_RainfallZones[[#Headers],[Rainfall Zone]],0)</calculatedColumnFormula>
    </tableColumn>
    <tableColumn id="3" xr3:uid="{7BD63AA6-3FB3-4581-86D4-EE2C3CEBB7AC}" name="Min rainfall">
      <calculatedColumnFormula array="1">Common_InputFunctions.Utility_DisplayArrayInTable(Common_SourceData.Common_SourceData_RainfallZones_Data(),Table_SourceData_RainfallZones[[#Headers],[Rainfall Zone]],0)</calculatedColumnFormula>
    </tableColumn>
    <tableColumn id="4" xr3:uid="{C0567C99-BC40-42B5-889D-DAEECBD90DE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0086F55-DE85-4F7D-8526-BE62523F581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927CE5D0-E1EA-4DB3-A493-2EC5AEB4703D}" name="Leaching Zone">
      <calculatedColumnFormula array="1">Common_InputFunctions.Utility_DisplayArrayInTable(Common_SourceData.Common_SourceData_LeachingZones_Data(), Table_SourceData_LeachingZones[[#Headers],[Leaching Zone]], 0)</calculatedColumnFormula>
    </tableColumn>
    <tableColumn id="2" xr3:uid="{D8E6DC6E-BECE-44EF-B523-A58739CC076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65EAD74-4B83-4097-9BDE-7556255EDAF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831C4-1539-4B53-B4AD-9B4B6F6F16C7}" name="Data source">
      <calculatedColumnFormula array="1">Common_InputFunctions.Utility_DisplayArrayInTable(Common_SourceData.Common_SourceData_DataScores_Scope3_Data(), Table_SourceData_DataScores_Scope3[[#Headers],[Data source]], 0)</calculatedColumnFormula>
    </tableColumn>
    <tableColumn id="2" xr3:uid="{F78C92C4-8776-468E-83A7-F98862DA41B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F81CC99-EAC1-40C9-8D7E-9168752371DC}" name="Table_SourceData_FracWET" displayName="Table_SourceData_FracWET" ref="D134:E136" totalsRowShown="0">
  <autoFilter ref="D134:E136" xr:uid="{308E99BE-FE1F-47A4-B2CA-97217277C4E9}">
    <filterColumn colId="0" hiddenButton="1"/>
    <filterColumn colId="1" hiddenButton="1"/>
  </autoFilter>
  <tableColumns count="2">
    <tableColumn id="1" xr3:uid="{F32063F1-EC88-4F0F-8F0A-B391307FF85C}" name="Is in leaching zone">
      <calculatedColumnFormula array="1">Common_InputFunctions.Utility_DisplayArrayInTable(Common_SourceData.Common_SourceData_FracWET_Data(),Table_SourceData_FracWET[[#Headers],[Is in leaching zone]],0)</calculatedColumnFormula>
    </tableColumn>
    <tableColumn id="2" xr3:uid="{09F091BD-97D5-43A1-8BB9-00012C759188}" name="FracWET" dataDxfId="4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2680C3E-4B2E-49D0-BACF-C2E6D85E3F12}"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F004299-C7F5-47A6-B260-7F03DF27BA88}" name="Production system j">
      <calculatedColumnFormula array="1">Common_InputFunctions.Utility_DisplayArrayInTable(Common_SourceData.Common_SourceData_EFN2O_Data(), Table_SourceData_Common_EFN2O[[#Headers],[Production system j]], 0)</calculatedColumnFormula>
    </tableColumn>
    <tableColumn id="2" xr3:uid="{36A09B2D-C9D2-445D-AB07-5C85F8BF1D35}" name="EFN2O">
      <calculatedColumnFormula array="1">Common_InputFunctions.Utility_DisplayArrayInTable(Common_SourceData.Common_SourceData_EFN2O_Data(), Table_SourceData_Common_EFN2O[[#Headers],[Production system j]], 0)</calculatedColumnFormula>
    </tableColumn>
    <tableColumn id="3" xr3:uid="{DFD45054-FFD9-4A71-A7AE-17A809E0600D}" name="Production system only">
      <calculatedColumnFormula array="1">Common_InputFunctions.Utility_DisplayArrayInTable(Common_SourceData.Common_SourceData_EFN2O_Data(), Table_SourceData_Common_EFN2O[[#Headers],[Production system j]], 0)</calculatedColumnFormula>
    </tableColumn>
    <tableColumn id="4" xr3:uid="{E8477363-F8DF-4E44-85E9-468E6D6380D2}" name="Irrigation method">
      <calculatedColumnFormula array="1">Common_InputFunctions.Utility_DisplayArrayInTable(Common_SourceData.Common_SourceData_EFN2O_Data(), Table_SourceData_Common_EFN2O[[#Headers],[Production system j]], 0)</calculatedColumnFormula>
    </tableColumn>
    <tableColumn id="5" xr3:uid="{2CFFE5DA-1518-4535-899F-2A441D32C48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685A0BD2-14AC-47A4-A7AF-D9C28AEE7B4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46B9AA9-CD98-409A-BD73-434C4F5F1023}" name="Irrigation type i">
      <calculatedColumnFormula array="1">Common_InputFunctions.Utility_DisplayArrayInTable(Common_SourceData.Common_SourceData_FracWETIrrigation_Data(), Table_SourceData_FracWETIrrigation[[#Headers],[Irrigation type i]], 0)</calculatedColumnFormula>
    </tableColumn>
    <tableColumn id="2" xr3:uid="{1D68E429-9D7F-421A-9CCF-668294663360}" name="FracWET" dataDxfId="4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10042AE-3EB0-4D68-898F-6C5816D107E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82EDB4D-37AD-4BC8-9C9A-CC6FEF117D7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2672EC2F-8C4B-4AFF-A1E4-BE047C616172}" name="EFPRP" dataDxfId="4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484DE43-0F81-478C-97BA-CC8374389BA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EA26847-8B3D-4DF4-8ADE-78E4EC630C5A}" name="Month">
      <calculatedColumnFormula array="1">Common_InputFunctions.Utility_DisplayArrayInTable(Common_SourceData.Common_SourceData_MonthsToSeasons_Data(), Table_SourceData_Common_MonthToSeason[[#Headers],[Month]], 0)</calculatedColumnFormula>
    </tableColumn>
    <tableColumn id="2" xr3:uid="{B705B015-0041-4AD0-9029-1863E16227A8}" name="Season" dataDxfId="4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924471B-5177-4414-BE7A-49BBFED20B4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8DEEF8A-EC35-471D-89A0-A6BA1F7A541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79B7AC7-3F7E-49D8-B01B-A1C3EB4912C4}" name="MAT (ºC)"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FBE4CE2D-2FE2-47DC-B6BD-DE03D82C861E}" name="Anaerobic lagoon"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716FB8-8AA0-4D71-9B6C-49CD860DA800}" name="Digester / covered lagoons"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0E699B1-A897-4C7C-9053-14F92CB09765}" name="Liquid systems"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C26D90F-586A-4313-9D17-EA3F60F99D2E}" name="Daily spread"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23E660D-A90B-49D4-AD7B-781A673A8FD5}" name="Composting (passive windrow)"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816A1A7-44B7-45E9-91D9-4739F51D9FC6}" name="Solid storage"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04D1E3F-F230-4E26-9BED-D398A2E5CAA9}" name="Pit storage"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450748-AF1A-42C8-9336-0130FD209D15}" name="Deep litter"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932D931-70D8-448F-80B2-93723DE26EAC}" name="Poultry manure with bedding"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5CFC33E-60D4-4A44-8150-8CFDA042CE5C}" name="Poultry manure without bedding"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4983848-F85A-43D7-819D-147BD613425F}" name="Direct processing"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13CFBF4-3E47-4442-8228-E9B7F32619AA}" name="Direct application"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7D115C9-47BF-454F-BD88-0F416A297DB5}" name="Pasture range and paddock"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1599500-9827-47B6-AFE3-FE282D0DD776}" name="MAT raw"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7C1E6FA-DC54-45F2-950D-3354F6DA5C8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1C74287-9A68-47DF-9071-644BE837B8E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5944139-C90F-4A21-812E-0B5FDA4DDA26}" name="EFNi &amp; EFN2Oi" dataDxfId="2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5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table" Target="../tables/table5.xml"/><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'5.1.1.1-2 Inorganic fert N2O'!$E$80</f>
        <v>0.121625592</v>
      </c>
      <c r="F9" s="170">
        <f>'5.1.1.1-2 Inorganic fert N2O'!$N$88</f>
        <v>0.10633919999999999</v>
      </c>
      <c r="G9" s="52" t="s">
        <v>101</v>
      </c>
      <c r="H9" s="102">
        <f>'5.1.1.1-2 Inorganic fert N2O'!E85</f>
        <v>32.230781880000002</v>
      </c>
      <c r="I9" s="102">
        <f>'5.1.1.1-2 Inorganic fert N2O'!N93</f>
        <v>28.179887999999998</v>
      </c>
      <c r="J9" s="52" t="s">
        <v>93</v>
      </c>
      <c r="K9" s="22"/>
    </row>
    <row r="10" spans="1:11" ht="20.100000000000001" customHeight="1" x14ac:dyDescent="0.25">
      <c r="A10" s="17"/>
      <c r="C10" s="22"/>
      <c r="D10" s="1" t="s">
        <v>296</v>
      </c>
      <c r="E10" s="170">
        <f>'5.1.1.3-4 Inorganic fert CO2'!$E$78</f>
        <v>7.333333333333333</v>
      </c>
      <c r="F10" s="170">
        <f>E10</f>
        <v>7.333333333333333</v>
      </c>
      <c r="G10" s="52" t="s">
        <v>260</v>
      </c>
      <c r="H10" s="102">
        <f>'5.1.1.3-4 Inorganic fert CO2'!$E$78</f>
        <v>7.333333333333333</v>
      </c>
      <c r="I10" s="102">
        <f>H10</f>
        <v>7.333333333333333</v>
      </c>
      <c r="J10" s="52" t="s">
        <v>93</v>
      </c>
      <c r="K10" s="22"/>
    </row>
    <row r="11" spans="1:11" ht="20.100000000000001" customHeight="1" x14ac:dyDescent="0.25">
      <c r="A11" s="19" t="s">
        <v>69</v>
      </c>
      <c r="C11" s="22"/>
      <c r="D11" s="1" t="s">
        <v>297</v>
      </c>
      <c r="E11" s="170">
        <f>'5.2.1.1-2 Organic Fert N2O'!$E$50</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'5.3.1.1-2 Lime CO2'!$E$31</f>
        <v>79.2</v>
      </c>
      <c r="F12" s="170">
        <f>E12</f>
        <v>79.2</v>
      </c>
      <c r="G12" s="52" t="s">
        <v>260</v>
      </c>
      <c r="H12" s="102">
        <f>'5.3.1.1-2 Lime CO2'!$E$31</f>
        <v>79.2</v>
      </c>
      <c r="I12" s="102">
        <f>H12</f>
        <v>79.2</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1.2923138800000001E-2</v>
      </c>
      <c r="F13" s="170">
        <f>E13</f>
        <v>1.2923138800000001E-2</v>
      </c>
      <c r="G13" s="52" t="s">
        <v>101</v>
      </c>
      <c r="H13" s="102">
        <f>'5.4.1.1-4 Atmos deposition'!E84 + '5.4.1.1-4 Atmos deposition'!$E$151</f>
        <v>3.4246317820000005</v>
      </c>
      <c r="I13" s="102">
        <f>H13</f>
        <v>3.4246317820000005</v>
      </c>
      <c r="J13" s="52" t="s">
        <v>93</v>
      </c>
      <c r="K13" s="22"/>
    </row>
    <row r="14" spans="1:11" ht="20.100000000000001" customHeight="1" x14ac:dyDescent="0.25">
      <c r="A14" s="17" t="str">
        <f>HYPERLINK("#'5.2.1.1-2 Organic Fert N2O'!A1", "5.2.1.1-2 Organic Fert N2O")</f>
        <v>5.2.1.1-2 Organic Fert N2O</v>
      </c>
      <c r="C14" s="22"/>
      <c r="D14" s="1" t="s">
        <v>300</v>
      </c>
      <c r="E14" s="170">
        <f>'5.5.1.1-2 Leaching and runoff'!$E$94</f>
        <v>0</v>
      </c>
      <c r="F14" s="170">
        <f>E14</f>
        <v>0</v>
      </c>
      <c r="G14" s="52" t="s">
        <v>101</v>
      </c>
      <c r="H14" s="102">
        <f>'5.5.1.1-2 Leaching and runoff'!$E$99</f>
        <v>0</v>
      </c>
      <c r="I14" s="102">
        <f>H14</f>
        <v>0</v>
      </c>
      <c r="J14" s="52" t="s">
        <v>93</v>
      </c>
      <c r="K14" s="22"/>
    </row>
    <row r="15" spans="1:11" ht="20.100000000000001" customHeight="1" x14ac:dyDescent="0.3">
      <c r="A15" s="17" t="str">
        <f>HYPERLINK("#'5.3.1.1-2 Lime CO2'!A1", "5.3.1.1-2 Lime CO2")</f>
        <v>5.3.1.1-2 Lime CO2</v>
      </c>
      <c r="C15" s="22"/>
      <c r="D15" s="29" t="s">
        <v>88</v>
      </c>
      <c r="E15" s="23"/>
      <c r="F15" s="23"/>
      <c r="G15" s="29"/>
      <c r="H15" s="103">
        <f>SUM(H9:H14)</f>
        <v>123.66706842390477</v>
      </c>
      <c r="I15" s="103">
        <f>SUM(I9:I14)</f>
        <v>119.61617454390478</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8" sqref="E28"/>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4"/>
  <sheetViews>
    <sheetView showGridLines="0" topLeftCell="D12" zoomScale="85" zoomScaleNormal="85" workbookViewId="0">
      <selection activeCell="D18" sqref="D18"/>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136</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5"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5"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5" ht="36" customHeight="1" x14ac:dyDescent="0.25">
      <c r="A19" s="18" t="s">
        <v>2</v>
      </c>
      <c r="D19" s="122" t="s">
        <v>321</v>
      </c>
      <c r="E19" s="123">
        <v>100</v>
      </c>
      <c r="F19" s="181" t="str">
        <f>_xlfn.XLOOKUP(Table_Input_InorganicFertiliser_Brands[[#This Row],[Product (select)]],FertiliserProducts[Product name],FertiliserProducts[Unit])</f>
        <v>L</v>
      </c>
      <c r="G19" s="181">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5" ht="36" customHeight="1" x14ac:dyDescent="0.25">
      <c r="A20" s="17" t="str">
        <f>HYPERLINK("#'Constants - Fertiliser'!A1", "Constants - Fertiliser")</f>
        <v>Constants - Fertiliser</v>
      </c>
      <c r="D20" s="122" t="s">
        <v>321</v>
      </c>
      <c r="E20" s="123">
        <v>100</v>
      </c>
      <c r="F20" s="181" t="str">
        <f>_xlfn.XLOOKUP(Table_Input_InorganicFertiliser_Brands[[#This Row],[Product (select)]],FertiliserProducts[Product name],FertiliserProducts[Unit])</f>
        <v>L</v>
      </c>
      <c r="G20" s="181">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5" ht="36" customHeight="1" x14ac:dyDescent="0.25">
      <c r="A21" s="17" t="str">
        <f>HYPERLINK("#'Constants - Common'!A1", "Constants - Common")</f>
        <v>Constants - Common</v>
      </c>
      <c r="D21" s="122" t="s">
        <v>323</v>
      </c>
      <c r="E21" s="123">
        <v>100</v>
      </c>
      <c r="F21" s="181" t="str">
        <f>_xlfn.XLOOKUP(Table_Input_InorganicFertiliser_Brands[[#This Row],[Product (select)]],FertiliserProducts[Product name],FertiliserProducts[Unit])</f>
        <v>L</v>
      </c>
      <c r="G21" s="181">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5" ht="36" customHeight="1" x14ac:dyDescent="0.25">
      <c r="D22" s="122" t="s">
        <v>322</v>
      </c>
      <c r="E22" s="123">
        <v>100</v>
      </c>
      <c r="F22" s="181" t="str">
        <f>_xlfn.XLOOKUP(Table_Input_InorganicFertiliser_Brands[[#This Row],[Product (select)]],FertiliserProducts[Product name],FertiliserProducts[Unit])</f>
        <v>L</v>
      </c>
      <c r="G22" s="181">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5"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5" ht="36" customHeight="1" x14ac:dyDescent="0.25">
      <c r="D24" s="131" t="s">
        <v>153</v>
      </c>
      <c r="E24" s="132"/>
      <c r="F24" s="132"/>
      <c r="G24" s="132"/>
      <c r="H24" s="132"/>
      <c r="I24" s="132"/>
      <c r="J24" s="132"/>
      <c r="K24" s="132"/>
      <c r="L24" s="132"/>
      <c r="M24" s="132"/>
      <c r="N24" s="130"/>
      <c r="O24" s="130"/>
      <c r="P24" s="130"/>
      <c r="Q24" s="130"/>
      <c r="R24" s="130"/>
      <c r="S24" s="130"/>
      <c r="T24" s="130"/>
      <c r="U24" s="130"/>
      <c r="V24" s="130"/>
      <c r="W24" s="130"/>
      <c r="X24" s="130"/>
    </row>
    <row r="25" spans="1:25"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U25" s="130"/>
      <c r="V25" s="130"/>
      <c r="W25" s="130"/>
      <c r="X25" s="130"/>
    </row>
    <row r="26" spans="1:25"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1</v>
      </c>
      <c r="J26" s="134" t="s">
        <v>316</v>
      </c>
      <c r="K26" s="137">
        <v>0</v>
      </c>
      <c r="L26" s="134" t="s">
        <v>157</v>
      </c>
      <c r="M26" s="137">
        <v>0</v>
      </c>
      <c r="N26" s="135" t="s">
        <v>158</v>
      </c>
      <c r="O26" s="168">
        <v>0</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15.5</v>
      </c>
      <c r="Q26" s="39"/>
      <c r="R26" s="39"/>
    </row>
    <row r="27" spans="1:25"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row>
    <row r="28" spans="1:25" ht="20.100000000000001" customHeight="1" x14ac:dyDescent="0.25"/>
    <row r="29" spans="1:25" ht="20.100000000000001" customHeight="1" x14ac:dyDescent="0.25">
      <c r="A29" s="17"/>
      <c r="D29" s="6" t="s">
        <v>317</v>
      </c>
      <c r="E29" s="3"/>
      <c r="F29" s="3"/>
      <c r="G29" s="3"/>
      <c r="H29" s="3"/>
      <c r="I29" s="3"/>
      <c r="J29" s="3"/>
      <c r="K29" s="22"/>
      <c r="L29" s="22"/>
      <c r="M29" s="22"/>
    </row>
    <row r="30" spans="1:25" ht="20.100000000000001" customHeight="1" x14ac:dyDescent="0.25">
      <c r="A30" s="17"/>
      <c r="D30" s="22"/>
      <c r="E30" s="22"/>
      <c r="F30" s="22"/>
      <c r="G30" s="22"/>
      <c r="H30" s="22"/>
      <c r="I30" s="22"/>
      <c r="J30" s="22"/>
      <c r="K30" s="22"/>
      <c r="L30" s="22"/>
      <c r="M30" s="3"/>
    </row>
    <row r="31" spans="1:25" ht="20.100000000000001" customHeight="1" x14ac:dyDescent="0.25">
      <c r="A31" s="61"/>
      <c r="D31" s="106" t="s">
        <v>187</v>
      </c>
      <c r="E31" s="85"/>
      <c r="F31" s="81"/>
      <c r="G31" s="106"/>
      <c r="H31" s="81"/>
      <c r="I31" s="3"/>
      <c r="J31" s="3"/>
      <c r="K31" s="22"/>
      <c r="L31" s="22"/>
      <c r="M31" s="22"/>
    </row>
    <row r="32" spans="1:25" ht="30" customHeight="1" x14ac:dyDescent="0.25">
      <c r="A32" s="61"/>
      <c r="D32" s="161" t="s">
        <v>188</v>
      </c>
      <c r="E32" s="162"/>
      <c r="F32" s="163"/>
      <c r="G32" s="161"/>
      <c r="H32" s="163"/>
      <c r="I32" s="22"/>
      <c r="J32" s="22"/>
      <c r="K32" s="22"/>
      <c r="L32" s="22"/>
      <c r="M32" s="3"/>
      <c r="Y32"/>
    </row>
    <row r="33" spans="1:25" ht="36" customHeight="1" x14ac:dyDescent="0.25">
      <c r="A33" s="17"/>
      <c r="D33" s="87" t="s">
        <v>148</v>
      </c>
      <c r="E33" s="84"/>
      <c r="F33" s="84"/>
      <c r="G33" s="84"/>
      <c r="H33" s="82"/>
      <c r="I33" s="22"/>
      <c r="J33" s="22"/>
      <c r="K33" s="22"/>
      <c r="L33" s="22"/>
      <c r="M33" s="3"/>
      <c r="Y33"/>
    </row>
    <row r="34" spans="1:25" ht="36" customHeight="1" x14ac:dyDescent="0.25">
      <c r="D34" s="99" t="str">
        <f>IF(MAX(Table_Input_Lime[Total]) &gt; 1, "There can not be more than 100% ingredients in a product. Check the table below.", "")</f>
        <v/>
      </c>
    </row>
    <row r="35" spans="1:25" ht="36" customHeight="1" x14ac:dyDescent="0.25">
      <c r="D35" s="140" t="s">
        <v>114</v>
      </c>
      <c r="E35" s="140" t="s">
        <v>189</v>
      </c>
      <c r="F35" s="140" t="s">
        <v>151</v>
      </c>
      <c r="G35" s="140" t="s">
        <v>190</v>
      </c>
      <c r="H35" s="140" t="s">
        <v>191</v>
      </c>
      <c r="I35" s="140" t="s">
        <v>192</v>
      </c>
      <c r="J35" s="140" t="s">
        <v>193</v>
      </c>
      <c r="K35" s="140" t="s">
        <v>88</v>
      </c>
    </row>
    <row r="36" spans="1:25" ht="36" customHeight="1" x14ac:dyDescent="0.25">
      <c r="D36" s="141" t="s">
        <v>264</v>
      </c>
      <c r="E36" s="123">
        <v>1</v>
      </c>
      <c r="F36" s="123">
        <f>$E$9</f>
        <v>100</v>
      </c>
      <c r="G36" s="124">
        <f>IFERROR(Table_Input_Lime[[#This Row],[Amount applied (t/hectare)]]*Table_Input_Lime[[#This Row],[Application area (ha)]], 0)</f>
        <v>100</v>
      </c>
      <c r="H36" s="142">
        <v>1</v>
      </c>
      <c r="I36" s="142">
        <v>0</v>
      </c>
      <c r="J36" s="142">
        <v>0</v>
      </c>
      <c r="K36" s="164">
        <f>SUM(Table_Input_Lime[[#This Row],[Percent Lime CaCO3]:[Percent Gypsum]])</f>
        <v>1</v>
      </c>
    </row>
    <row r="37" spans="1:25" ht="20.100000000000001" customHeight="1" x14ac:dyDescent="0.25">
      <c r="D37" s="141" t="s">
        <v>265</v>
      </c>
      <c r="E37" s="123">
        <v>1</v>
      </c>
      <c r="F37" s="123">
        <f>$E$9</f>
        <v>100</v>
      </c>
      <c r="G37" s="124">
        <f>IFERROR(Table_Input_Lime[[#This Row],[Amount applied (t/hectare)]]*Table_Input_Lime[[#This Row],[Application area (ha)]], 0)</f>
        <v>100</v>
      </c>
      <c r="H37" s="142">
        <v>1</v>
      </c>
      <c r="I37" s="142"/>
      <c r="J37" s="142"/>
      <c r="K37" s="164">
        <f>SUM(Table_Input_Lime[[#This Row],[Percent Lime CaCO3]:[Percent Gypsum]])</f>
        <v>1</v>
      </c>
      <c r="L37" s="3"/>
    </row>
    <row r="38" spans="1:25" ht="20.100000000000001" customHeight="1" x14ac:dyDescent="0.25">
      <c r="C38" s="130"/>
      <c r="D38" s="22"/>
      <c r="E38" s="22"/>
      <c r="F38" s="22"/>
      <c r="G38" s="22"/>
      <c r="H38" s="22"/>
      <c r="I38" s="22"/>
      <c r="J38" s="22"/>
      <c r="L38" s="3"/>
      <c r="M38" s="3"/>
    </row>
    <row r="39" spans="1:25" ht="20.100000000000001" customHeight="1" x14ac:dyDescent="0.25">
      <c r="A39" s="17"/>
      <c r="C39" s="130"/>
      <c r="D39" s="22"/>
      <c r="E39" s="22"/>
      <c r="F39" s="22"/>
      <c r="G39" s="22"/>
      <c r="H39" s="22"/>
      <c r="I39" s="22"/>
      <c r="J39" s="139"/>
      <c r="K39" s="3"/>
      <c r="L39" s="22"/>
      <c r="M39" s="3"/>
    </row>
    <row r="40" spans="1:25" s="133" customFormat="1" ht="20.100000000000001" customHeight="1" x14ac:dyDescent="0.25">
      <c r="C40" s="1"/>
      <c r="D40" s="6" t="s">
        <v>194</v>
      </c>
      <c r="E40" s="3"/>
      <c r="F40" s="3"/>
      <c r="G40" s="3"/>
      <c r="H40" s="22"/>
      <c r="I40" s="22"/>
      <c r="J40" s="22"/>
      <c r="K40" s="22"/>
      <c r="L40" s="22"/>
      <c r="M40" s="22"/>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22"/>
      <c r="K41" s="22"/>
      <c r="L41" s="22"/>
      <c r="M41" s="22"/>
      <c r="N41" s="1"/>
      <c r="O41" s="1"/>
      <c r="P41" s="1"/>
      <c r="Q41" s="1"/>
      <c r="R41" s="1"/>
      <c r="S41" s="1"/>
      <c r="T41" s="1"/>
      <c r="U41" s="1"/>
      <c r="V41" s="1"/>
      <c r="W41" s="1"/>
      <c r="X41" s="1"/>
      <c r="Y41" s="1"/>
    </row>
    <row r="42" spans="1:25" ht="30" customHeight="1" x14ac:dyDescent="0.25">
      <c r="D42" s="106" t="s">
        <v>187</v>
      </c>
      <c r="E42" s="85"/>
      <c r="F42" s="85"/>
      <c r="G42" s="85"/>
      <c r="H42" s="81"/>
      <c r="I42" s="22"/>
      <c r="J42" s="22"/>
      <c r="K42" s="22"/>
      <c r="L42" s="22"/>
      <c r="M42" s="22"/>
      <c r="Q42" s="130"/>
      <c r="R42" s="130"/>
      <c r="S42" s="130"/>
    </row>
    <row r="43" spans="1:25" ht="36" customHeight="1" x14ac:dyDescent="0.25">
      <c r="D43" s="87" t="s">
        <v>148</v>
      </c>
      <c r="E43" s="84"/>
      <c r="F43" s="84"/>
      <c r="G43" s="84"/>
      <c r="H43" s="82"/>
      <c r="I43" s="22"/>
      <c r="J43" s="22"/>
      <c r="K43" s="22"/>
      <c r="L43" s="22"/>
      <c r="M43" s="22"/>
      <c r="O43" s="130"/>
      <c r="P43" s="130"/>
      <c r="Q43" s="130"/>
      <c r="R43" s="130"/>
      <c r="S43" s="130"/>
    </row>
    <row r="44" spans="1:25" ht="36" customHeight="1" x14ac:dyDescent="0.25">
      <c r="A44" s="157" t="str">
        <f>HYPERLINK("#A1", "▲ Back to top")</f>
        <v>▲ Back to top</v>
      </c>
      <c r="D44" s="22"/>
      <c r="E44" s="22"/>
      <c r="F44" s="22"/>
      <c r="G44" s="22"/>
      <c r="H44" s="22"/>
      <c r="I44" s="22"/>
      <c r="J44" s="22"/>
      <c r="K44" s="22"/>
      <c r="L44" s="132"/>
      <c r="M44" s="130"/>
      <c r="N44" s="130"/>
      <c r="O44" s="130"/>
      <c r="P44" s="130"/>
    </row>
    <row r="45" spans="1:25" ht="36" customHeight="1" x14ac:dyDescent="0.25">
      <c r="D45" s="140" t="s">
        <v>195</v>
      </c>
      <c r="E45" s="140" t="s">
        <v>196</v>
      </c>
      <c r="F45" s="140" t="s">
        <v>197</v>
      </c>
      <c r="G45" s="140" t="s">
        <v>198</v>
      </c>
      <c r="H45" s="140" t="s">
        <v>151</v>
      </c>
      <c r="I45" s="140" t="s">
        <v>199</v>
      </c>
      <c r="J45" s="140" t="s">
        <v>200</v>
      </c>
      <c r="K45" s="132"/>
      <c r="L45" s="132"/>
      <c r="M45" s="130"/>
      <c r="N45" s="130"/>
    </row>
    <row r="46" spans="1:25" ht="36" customHeight="1" x14ac:dyDescent="0.25">
      <c r="D46" s="122" t="s">
        <v>241</v>
      </c>
      <c r="E46" s="142">
        <v>0.3</v>
      </c>
      <c r="F46" s="123">
        <v>10</v>
      </c>
      <c r="G46" s="124">
        <f>Table_Input_OrganicFertiliser[[#This Row],[Amount applied (kg/hectare)]]*Table_Input_OrganicFertiliser[[#This Row],[Percentage of N in fertiliser]]</f>
        <v>3</v>
      </c>
      <c r="H46" s="123">
        <f>$E$9</f>
        <v>100</v>
      </c>
      <c r="I46" s="124">
        <f>Table_Input_OrganicFertiliser[[#This Row],[Amount applied (kg/hectare)]]*Table_Input_OrganicFertiliser[[#This Row],[Application area (ha)]]</f>
        <v>1000</v>
      </c>
      <c r="J46" s="124">
        <f>IFERROR(Table_Input_OrganicFertiliser[[#This Row],[Amount N applied (kg/hectare)]]*Table_Input_OrganicFertiliser[[#This Row],[Application area (ha)]], 0)</f>
        <v>300</v>
      </c>
      <c r="K46" s="132"/>
    </row>
    <row r="47" spans="1:25" ht="20.100000000000001" customHeight="1" x14ac:dyDescent="0.25">
      <c r="D47" s="122" t="s">
        <v>239</v>
      </c>
      <c r="E47" s="142">
        <v>0.25</v>
      </c>
      <c r="F47" s="123">
        <v>10</v>
      </c>
      <c r="G47" s="124">
        <f>Table_Input_OrganicFertiliser[[#This Row],[Amount applied (kg/hectare)]]*Table_Input_OrganicFertiliser[[#This Row],[Percentage of N in fertiliser]]</f>
        <v>2.5</v>
      </c>
      <c r="H47" s="123">
        <f>$E$9</f>
        <v>100</v>
      </c>
      <c r="I47" s="124">
        <f>Table_Input_OrganicFertiliser[[#This Row],[Amount applied (kg/hectare)]]*Table_Input_OrganicFertiliser[[#This Row],[Application area (ha)]]</f>
        <v>1000</v>
      </c>
      <c r="J47" s="124">
        <f>IFERROR(Table_Input_OrganicFertiliser[[#This Row],[Amount N applied (kg/hectare)]]*Table_Input_OrganicFertiliser[[#This Row],[Application area (ha)]], 0)</f>
        <v>250</v>
      </c>
    </row>
    <row r="48" spans="1:25" ht="20.100000000000001" customHeight="1" x14ac:dyDescent="0.25">
      <c r="D48" s="122" t="s">
        <v>242</v>
      </c>
      <c r="E48" s="142">
        <v>0.16</v>
      </c>
      <c r="F48" s="123">
        <v>10</v>
      </c>
      <c r="G48" s="124">
        <f>Table_Input_OrganicFertiliser[[#This Row],[Amount applied (kg/hectare)]]*Table_Input_OrganicFertiliser[[#This Row],[Percentage of N in fertiliser]]</f>
        <v>1.6</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160</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1" spans="12:12" x14ac:dyDescent="0.25">
      <c r="L211" s="2"/>
    </row>
    <row r="212" spans="12:12" x14ac:dyDescent="0.25">
      <c r="L212" s="2"/>
    </row>
    <row r="213" spans="12:12" x14ac:dyDescent="0.25">
      <c r="L213" s="2"/>
    </row>
    <row r="214" spans="12:12" x14ac:dyDescent="0.25">
      <c r="L214" s="2"/>
    </row>
    <row r="215" spans="12:12" x14ac:dyDescent="0.25">
      <c r="L215" s="2"/>
    </row>
    <row r="217" spans="12:12" x14ac:dyDescent="0.25">
      <c r="L217" s="2"/>
    </row>
    <row r="219" spans="12:12" x14ac:dyDescent="0.25">
      <c r="L219" s="2"/>
    </row>
    <row r="220" spans="12:12" x14ac:dyDescent="0.25">
      <c r="L220" s="2"/>
    </row>
    <row r="221" spans="12:12" x14ac:dyDescent="0.25">
      <c r="L221" s="2"/>
    </row>
    <row r="222" spans="12:12" x14ac:dyDescent="0.25">
      <c r="L222" s="2"/>
    </row>
    <row r="224" spans="12:12" x14ac:dyDescent="0.25">
      <c r="L224"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L243" s="2"/>
    </row>
    <row r="244" spans="11:12" x14ac:dyDescent="0.25">
      <c r="L244" s="2"/>
    </row>
    <row r="247" spans="11:12" x14ac:dyDescent="0.25">
      <c r="L247" s="2"/>
    </row>
    <row r="248" spans="11:12" x14ac:dyDescent="0.25">
      <c r="L248" s="2"/>
    </row>
    <row r="249" spans="11:12" x14ac:dyDescent="0.25">
      <c r="K249" s="2"/>
      <c r="L249" s="2"/>
    </row>
    <row r="254" spans="11:12" x14ac:dyDescent="0.25">
      <c r="K254" s="2"/>
    </row>
    <row r="256" spans="11:12" x14ac:dyDescent="0.25">
      <c r="L256" s="2"/>
    </row>
    <row r="257" spans="11:12" x14ac:dyDescent="0.25">
      <c r="L257" s="2"/>
    </row>
    <row r="258" spans="11:12" x14ac:dyDescent="0.25">
      <c r="L258" s="2"/>
    </row>
    <row r="259" spans="11:12" x14ac:dyDescent="0.25">
      <c r="K259" s="2"/>
    </row>
    <row r="261" spans="11:12" x14ac:dyDescent="0.25">
      <c r="L261" s="2"/>
    </row>
    <row r="262" spans="11:12" x14ac:dyDescent="0.25">
      <c r="L262" s="2"/>
    </row>
    <row r="263" spans="11:12" x14ac:dyDescent="0.25">
      <c r="L263" s="2"/>
    </row>
    <row r="264" spans="11:12" x14ac:dyDescent="0.25">
      <c r="K264" s="2"/>
    </row>
    <row r="265" spans="11:12" x14ac:dyDescent="0.25">
      <c r="K265" s="2"/>
    </row>
    <row r="266" spans="11:12" x14ac:dyDescent="0.25">
      <c r="K266" s="2"/>
      <c r="L266" s="2"/>
    </row>
    <row r="267" spans="11:12" x14ac:dyDescent="0.25">
      <c r="K267" s="2"/>
      <c r="L267" s="2"/>
    </row>
    <row r="268" spans="11:12" x14ac:dyDescent="0.25">
      <c r="K268" s="2"/>
      <c r="L268" s="2"/>
    </row>
    <row r="270" spans="11:12" x14ac:dyDescent="0.25">
      <c r="K270" s="2"/>
    </row>
    <row r="271" spans="11:12" x14ac:dyDescent="0.25">
      <c r="L271" s="2"/>
    </row>
    <row r="272" spans="11:12" x14ac:dyDescent="0.25">
      <c r="K272" s="2"/>
      <c r="L272" s="2"/>
    </row>
    <row r="273" spans="11:12" x14ac:dyDescent="0.25">
      <c r="K273" s="2"/>
      <c r="L273" s="2"/>
    </row>
    <row r="274" spans="11:12" x14ac:dyDescent="0.25">
      <c r="K274" s="2"/>
    </row>
    <row r="275" spans="11:12" x14ac:dyDescent="0.25">
      <c r="K275" s="2"/>
    </row>
    <row r="277" spans="11:12" x14ac:dyDescent="0.25">
      <c r="K277" s="2"/>
    </row>
    <row r="283" spans="11:12" x14ac:dyDescent="0.25">
      <c r="K283" s="2"/>
    </row>
    <row r="288" spans="11:12" x14ac:dyDescent="0.25">
      <c r="K288" s="2"/>
    </row>
    <row r="293" spans="11:11" x14ac:dyDescent="0.25">
      <c r="K293" s="2"/>
    </row>
    <row r="298" spans="11:11" x14ac:dyDescent="0.25">
      <c r="K298" s="2"/>
    </row>
    <row r="299" spans="11:11" x14ac:dyDescent="0.25">
      <c r="K299" s="2"/>
    </row>
    <row r="300" spans="11:11" x14ac:dyDescent="0.25">
      <c r="K300" s="2"/>
    </row>
    <row r="301" spans="11:11" x14ac:dyDescent="0.25">
      <c r="K301" s="2"/>
    </row>
    <row r="302" spans="11:11" x14ac:dyDescent="0.25">
      <c r="K302" s="2"/>
    </row>
    <row r="304" spans="11:11" x14ac:dyDescent="0.25">
      <c r="K304" s="2"/>
    </row>
    <row r="306" spans="11:11" x14ac:dyDescent="0.25">
      <c r="K306" s="2"/>
    </row>
    <row r="307" spans="11:11" x14ac:dyDescent="0.25">
      <c r="K307" s="2"/>
    </row>
    <row r="308" spans="11:11" x14ac:dyDescent="0.25">
      <c r="K308" s="2"/>
    </row>
    <row r="309" spans="11:11" x14ac:dyDescent="0.25">
      <c r="K309" s="2"/>
    </row>
    <row r="311" spans="11:11" x14ac:dyDescent="0.25">
      <c r="K311" s="2"/>
    </row>
    <row r="319" spans="11:11" x14ac:dyDescent="0.25">
      <c r="K319" s="2"/>
    </row>
    <row r="320" spans="11:11" x14ac:dyDescent="0.25">
      <c r="K320" s="2"/>
    </row>
    <row r="321" spans="11:11" x14ac:dyDescent="0.25">
      <c r="K321" s="2"/>
    </row>
    <row r="324" spans="11:11" x14ac:dyDescent="0.25">
      <c r="K324" s="2"/>
    </row>
    <row r="325" spans="11:11" x14ac:dyDescent="0.25">
      <c r="K325" s="2"/>
    </row>
    <row r="326" spans="11:11" x14ac:dyDescent="0.25">
      <c r="K326" s="2"/>
    </row>
    <row r="329" spans="11:11" x14ac:dyDescent="0.25">
      <c r="K329" s="2"/>
    </row>
    <row r="330" spans="11:11" x14ac:dyDescent="0.25">
      <c r="K330" s="2"/>
    </row>
    <row r="331" spans="11:11" x14ac:dyDescent="0.25">
      <c r="K331" s="2"/>
    </row>
    <row r="334" spans="11:11" x14ac:dyDescent="0.25">
      <c r="K334" s="2"/>
    </row>
    <row r="335" spans="11:11" x14ac:dyDescent="0.25">
      <c r="K335" s="2"/>
    </row>
    <row r="336" spans="11:11" x14ac:dyDescent="0.25">
      <c r="K336" s="2"/>
    </row>
    <row r="343" spans="11:11" x14ac:dyDescent="0.25">
      <c r="K343" s="2"/>
    </row>
    <row r="344" spans="11:11" x14ac:dyDescent="0.25">
      <c r="K344" s="2"/>
    </row>
    <row r="345" spans="11:11" x14ac:dyDescent="0.25">
      <c r="K345" s="2"/>
    </row>
    <row r="348" spans="11:11" x14ac:dyDescent="0.25">
      <c r="K348" s="2"/>
    </row>
    <row r="349" spans="11:11" x14ac:dyDescent="0.25">
      <c r="K349" s="2"/>
    </row>
    <row r="350" spans="11:11" x14ac:dyDescent="0.25">
      <c r="K350" s="2"/>
    </row>
    <row r="353" spans="4:11" x14ac:dyDescent="0.25">
      <c r="K353" s="2"/>
    </row>
    <row r="354" spans="4:11" x14ac:dyDescent="0.25">
      <c r="K354" s="2"/>
    </row>
    <row r="355" spans="4:11" x14ac:dyDescent="0.25">
      <c r="K355" s="2"/>
    </row>
    <row r="358" spans="4:11" x14ac:dyDescent="0.25">
      <c r="K358" s="2"/>
    </row>
    <row r="359" spans="4:11" x14ac:dyDescent="0.25">
      <c r="K359" s="2"/>
    </row>
    <row r="360" spans="4:11" x14ac:dyDescent="0.25">
      <c r="K360" s="2"/>
    </row>
    <row r="364" spans="4:11" x14ac:dyDescent="0.25">
      <c r="D364" s="99"/>
    </row>
  </sheetData>
  <conditionalFormatting sqref="F141:F142">
    <cfRule type="cellIs" dxfId="27" priority="20" operator="lessThan">
      <formula>0</formula>
    </cfRule>
  </conditionalFormatting>
  <conditionalFormatting sqref="F153:F154">
    <cfRule type="cellIs" dxfId="26" priority="19" operator="lessThan">
      <formula>0</formula>
    </cfRule>
  </conditionalFormatting>
  <conditionalFormatting sqref="F165:F166">
    <cfRule type="cellIs" dxfId="25" priority="18" operator="lessThan">
      <formula>0</formula>
    </cfRule>
  </conditionalFormatting>
  <conditionalFormatting sqref="F253:F254">
    <cfRule type="cellIs" dxfId="24" priority="93" operator="lessThan">
      <formula>0</formula>
    </cfRule>
  </conditionalFormatting>
  <conditionalFormatting sqref="F258:F259">
    <cfRule type="cellIs" dxfId="23" priority="92" operator="lessThan">
      <formula>0</formula>
    </cfRule>
  </conditionalFormatting>
  <conditionalFormatting sqref="F263:F264">
    <cfRule type="cellIs" dxfId="22" priority="91" operator="lessThan">
      <formula>0</formula>
    </cfRule>
  </conditionalFormatting>
  <conditionalFormatting sqref="F287:F288">
    <cfRule type="cellIs" dxfId="21" priority="85" operator="lessThan">
      <formula>0</formula>
    </cfRule>
  </conditionalFormatting>
  <conditionalFormatting sqref="F292:F293">
    <cfRule type="cellIs" dxfId="20" priority="84" operator="lessThan">
      <formula>0</formula>
    </cfRule>
  </conditionalFormatting>
  <conditionalFormatting sqref="F297:F298">
    <cfRule type="cellIs" dxfId="19" priority="83" operator="lessThan">
      <formula>0</formula>
    </cfRule>
  </conditionalFormatting>
  <conditionalFormatting sqref="H45:H48 F129:F130">
    <cfRule type="cellIs" dxfId="18" priority="21" operator="lessThan">
      <formula>0</formula>
    </cfRule>
  </conditionalFormatting>
  <conditionalFormatting sqref="I33 I43:I44 O46 N47 I49 I51:I53 I55:I56 I207:J207 E213:G213 I213:J213 K249 J251 K254 J256 K259 J261 K264:K268 J266:J270 K270 J272 K272:K275 J274:J277 K277 J279 K283 J285 K288 J290 K293 J295 K298:K302 J300:J304 K304 J306 K306:K309 J308:J311 K311 J313">
    <cfRule type="cellIs" dxfId="17" priority="79" operator="lessThan">
      <formula>0</formula>
    </cfRule>
  </conditionalFormatting>
  <conditionalFormatting sqref="I35:I39 F50 L185 K186 L189:L190 K190:K191 L193:L194 K194:K195 L199:L200 K200:K201 L203:L204 K204:K205 L210:L215 K211">
    <cfRule type="cellIs" dxfId="16" priority="62" operator="lessThan">
      <formula>0</formula>
    </cfRule>
  </conditionalFormatting>
  <conditionalFormatting sqref="I60:I64">
    <cfRule type="cellIs" dxfId="15" priority="5" operator="lessThan">
      <formula>0</formula>
    </cfRule>
  </conditionalFormatting>
  <conditionalFormatting sqref="I68 M106 I127:J127">
    <cfRule type="cellIs" dxfId="14" priority="74" operator="lessThan">
      <formula>0</formula>
    </cfRule>
  </conditionalFormatting>
  <conditionalFormatting sqref="I79:I81">
    <cfRule type="cellIs" dxfId="13" priority="4" operator="lessThan">
      <formula>0</formula>
    </cfRule>
  </conditionalFormatting>
  <conditionalFormatting sqref="I85:I88">
    <cfRule type="cellIs" dxfId="12" priority="3" operator="lessThan">
      <formula>0</formula>
    </cfRule>
  </conditionalFormatting>
  <conditionalFormatting sqref="I92:I96">
    <cfRule type="cellIs" dxfId="11" priority="1" operator="lessThan">
      <formula>0</formula>
    </cfRule>
  </conditionalFormatting>
  <conditionalFormatting sqref="J155">
    <cfRule type="cellIs" dxfId="10" priority="24" operator="lessThan">
      <formula>0</formula>
    </cfRule>
  </conditionalFormatting>
  <conditionalFormatting sqref="L118:L121">
    <cfRule type="cellIs" dxfId="9" priority="11" operator="lessThan">
      <formula>0</formula>
    </cfRule>
  </conditionalFormatting>
  <conditionalFormatting sqref="L124">
    <cfRule type="cellIs" dxfId="8" priority="17" operator="lessThan">
      <formula>0</formula>
    </cfRule>
  </conditionalFormatting>
  <conditionalFormatting sqref="L130:L133">
    <cfRule type="cellIs" dxfId="7" priority="10" operator="lessThan">
      <formula>0</formula>
    </cfRule>
  </conditionalFormatting>
  <conditionalFormatting sqref="L136">
    <cfRule type="cellIs" dxfId="6" priority="16" operator="lessThan">
      <formula>0</formula>
    </cfRule>
  </conditionalFormatting>
  <conditionalFormatting sqref="L142:L145">
    <cfRule type="cellIs" dxfId="5" priority="9" operator="lessThan">
      <formula>0</formula>
    </cfRule>
  </conditionalFormatting>
  <conditionalFormatting sqref="L148">
    <cfRule type="cellIs" dxfId="4" priority="15" operator="lessThan">
      <formula>0</formula>
    </cfRule>
  </conditionalFormatting>
  <conditionalFormatting sqref="L154:L157">
    <cfRule type="cellIs" dxfId="3" priority="8" operator="lessThan">
      <formula>0</formula>
    </cfRule>
  </conditionalFormatting>
  <conditionalFormatting sqref="L160">
    <cfRule type="cellIs" dxfId="2" priority="14" operator="lessThan">
      <formula>0</formula>
    </cfRule>
  </conditionalFormatting>
  <conditionalFormatting sqref="L164:L165">
    <cfRule type="cellIs" dxfId="1" priority="12" operator="lessThan">
      <formula>0</formula>
    </cfRule>
  </conditionalFormatting>
  <conditionalFormatting sqref="L217 L219:L222 L224 J231:J233 J236:J238">
    <cfRule type="cellIs" dxfId="0" priority="102" operator="lessThan">
      <formula>0</formula>
    </cfRule>
  </conditionalFormatting>
  <dataValidations count="12">
    <dataValidation type="list" allowBlank="1" showInputMessage="1" showErrorMessage="1" sqref="D280" xr:uid="{4E913AB3-F90B-4C35-BCE1-5DBB8FC05107}">
      <formula1>INDIRECT("Table_SourceData_PoultryMMSStage1[MMS]")</formula1>
    </dataValidation>
    <dataValidation type="list" allowBlank="1" showInputMessage="1" showErrorMessage="1" sqref="E228" xr:uid="{9FB53635-991F-44AA-A123-E8ABEF9EE0A6}">
      <formula1>INDIRECT("Table_SourceData_Dairy_ProductionSystemTemplates[Area]")</formula1>
    </dataValidation>
    <dataValidation type="list" allowBlank="1" showInputMessage="1" showErrorMessage="1" sqref="E252 E257 E262 E296 E291 E286 E164 E152 E128 E140" xr:uid="{00A4EA4C-90D3-4150-979D-4D71C7F37A31}">
      <formula1>"Yes, No"</formula1>
    </dataValidation>
    <dataValidation type="list" allowBlank="1" showInputMessage="1" showErrorMessage="1" sqref="E68" xr:uid="{DBA884B0-B52E-420E-8FD2-21B082EB75E2}">
      <formula1>INDIRECT("Table_SourceData_Swine_IrrigationMethods[Irrigation method]")</formula1>
    </dataValidation>
    <dataValidation type="list" allowBlank="1" showInputMessage="1" showErrorMessage="1" sqref="E67"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7 J26:J27 L26:L27 N26:N27" xr:uid="{4A7ED0FB-DC6D-4B9E-B043-37B0C0BD600A}">
      <formula1>INDIRECT("Table_Fertiliser_ChemicalCompounds[Fertiliser type f]")</formula1>
    </dataValidation>
    <dataValidation type="list" allowBlank="1" showInputMessage="1" showErrorMessage="1" sqref="D46:D48"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7"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abSelected="1" topLeftCell="A61" zoomScaleNormal="100" workbookViewId="0">
      <selection activeCell="G78" sqref="G7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2970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1936.8719999999998</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5239.08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0</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1550</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1">Table_Input_InorganicFertiliser_Custom[Custom blend name]</f>
        <v>My first custom blend</v>
      </c>
      <c r="O50" s="50" cm="1">
        <f t="array" ref="O50:O51">Table_Input_InorganicFertiliser_Custom[N application rate (kg/ha)]</f>
        <v>15.5</v>
      </c>
      <c r="P50" s="50" cm="1">
        <f t="array" ref="P50:P51">Table_Input_InorganicFertiliser_Custom[Application area (ha)]</f>
        <v>100</v>
      </c>
      <c r="Q50" s="50">
        <f t="shared" si="2"/>
        <v>1550</v>
      </c>
      <c r="R50" s="50" cm="1">
        <f t="array" ref="R50">IF(O50&gt;0, Fertiliser_Equations_InorganicN2O.VEERG_5_1_1_2__1_EmissionFactorIrrigatedMaize(O50), 0)</f>
        <v>-5.285E-4</v>
      </c>
      <c r="S50" s="50" cm="1">
        <f t="array" ref="S50">IF(O50&gt;0, Fertiliser_Equations_InorganicN2O.VEERG_5_1_1_2__2_EmissionFactorNonIrrigatedGrainsHighRainfall(O50), 0)</f>
        <v>1.9434999999999999E-3</v>
      </c>
      <c r="T50" s="50">
        <f t="shared" si="0"/>
        <v>15.5</v>
      </c>
      <c r="U50" s="50">
        <f t="shared" si="1"/>
        <v>1550</v>
      </c>
      <c r="V50" s="50" cm="1">
        <f t="array" ref="V50">IF(O50&gt;0, Fertiliser_Equations_InorganicN2O.VEERG_5_1_1_2__3_EmissionFactorCotton(T50), 0)</f>
        <v>2.903497592132757E-5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'Input - Fertiliser'!$E$6</f>
        <v>Crop</v>
      </c>
      <c r="M52" s="50" t="s">
        <v>175</v>
      </c>
      <c r="N52" s="50"/>
      <c r="O52" s="50"/>
      <c r="P52" s="50"/>
      <c r="Q52" s="50">
        <f t="shared" si="2"/>
        <v>0</v>
      </c>
      <c r="R52" s="50" cm="1">
        <f t="array" ref="R52">IF(O52&gt;0, Fertiliser_Equations_InorganicN2O.VEERG_5_1_1_2__1_EmissionFactorIrrigatedMaize(O52), 0)</f>
        <v>0</v>
      </c>
      <c r="S52" s="50" cm="1">
        <f t="array" ref="S52">IF(O52&gt;0, Fertiliser_Equations_InorganicN2O.VEERG_5_1_1_2__2_EmissionFactorNonIrrigatedGrainsHighRainfall(O52), 0)</f>
        <v>0</v>
      </c>
      <c r="T52" s="50">
        <f t="shared" si="0"/>
        <v>0</v>
      </c>
      <c r="U52" s="50">
        <f t="shared" si="1"/>
        <v>0</v>
      </c>
      <c r="V52" s="50" cm="1">
        <f t="array" ref="V52">IF(O52&gt;0, Fertiliser_Equations_InorganicN2O.VEERG_5_1_1_2__3_EmissionFactorCotton(T52), 0)</f>
        <v>0</v>
      </c>
      <c r="W52" s="50">
        <f>IF(O52&gt;0,Common_InputFunctions.Utility_LookupN2OEFFromProdIrrigationRainfall($S$70,$S$73,$S$74,Table_SourceData_Common_EFN2O[Production system only],Table_SourceData_Common_EFN2O[Irrigation method],Table_SourceData_Common_EFN2O[Rainfall zone],Table_SourceData_Common_EFN2O[EFN2O]), 0)</f>
        <v>0</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'Input - Fertiliser'!$E$8</f>
        <v>Drip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'Input - Site'!$E$30</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3.2669999999999998E-2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2.1305591999999998E-2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'Input - Fertiliser'!$E$6</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'Input - Fertiliser'!$E$7</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'Input - Fertiliser'!$E$8</f>
        <v>Drip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'Input - Site'!$E$30</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0</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1.7050000000000003E-2</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0.121625592</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0.121625592</v>
      </c>
      <c r="M82" s="50" t="s">
        <v>175</v>
      </c>
      <c r="N82" s="50" t="str" cm="1">
        <f t="array" ref="N82:N83">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1.7050000000000003E-2</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c r="O84" s="50" cm="1">
        <f t="array" ref="O84">_xlfn.XLOOKUP(N84,$N$45:$N$54,_xlfn.XLOOKUP($S$68,$R$44:$W$44,$R$45:$W$54))</f>
        <v>0</v>
      </c>
      <c r="P84" s="50" cm="1">
        <f t="array" ref="P84">Fertiliser_Equations_InorganicN2O.VEERG_5_1_1_1__1_InorganicFertiliserApplicationN2OEmissions(Q52,O84,$S$69)</f>
        <v>0</v>
      </c>
    </row>
    <row r="85" spans="1:16" ht="20.100000000000001" customHeight="1" x14ac:dyDescent="0.25">
      <c r="D85" s="44" t="s">
        <v>79</v>
      </c>
      <c r="E85" s="44" cm="1">
        <f t="array" ref="E85">Common_Equations.Common_ConvertN2OToCO2e(G82,G83)</f>
        <v>32.230781880000002</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0.10633919999999999</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0.10633919999999999</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28.179887999999998</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6" workbookViewId="0">
      <selection activeCell="E79" sqref="E7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'Input - Fertiliser'!$E$6</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workbookViewId="0">
      <selection activeCell="H58" sqref="H5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'Input - Fertiliser'!$E$6</f>
        <v>Crop</v>
      </c>
    </row>
    <row r="48" spans="1:12" ht="20.100000000000001" customHeight="1" x14ac:dyDescent="0.25">
      <c r="D48" s="147" t="str">
        <v>i</v>
      </c>
      <c r="E48" s="154" t="str">
        <v>Wet or dry climate zone</v>
      </c>
      <c r="F48" s="155"/>
      <c r="G48" s="155"/>
      <c r="H48" s="153"/>
      <c r="I48" s="147" t="str">
        <v/>
      </c>
      <c r="J48" s="120" t="str">
        <v>Input</v>
      </c>
      <c r="K48" s="147" t="str">
        <f>'Input - Site'!$E$32</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workbookViewId="0">
      <selection activeCell="E25" sqref="E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48" t="s">
        <v>254</v>
      </c>
      <c r="E24" s="49" t="s">
        <v>255</v>
      </c>
      <c r="F24" s="49" t="s">
        <v>256</v>
      </c>
      <c r="G24" s="49" t="s">
        <v>257</v>
      </c>
      <c r="H24" s="49" t="s">
        <v>258</v>
      </c>
    </row>
    <row r="25" spans="1:9" ht="20.100000000000001" customHeight="1" x14ac:dyDescent="0.25">
      <c r="D25" s="50" t="str" cm="1">
        <f t="array" ref="D25:D26">Table_Input_Lime[Product]</f>
        <v>Lime product 1</v>
      </c>
      <c r="E25" s="158" cm="1">
        <f t="array" ref="E25:E26">Table_Input_Lime[Total amount applied (t)]*10^3</f>
        <v>100000</v>
      </c>
      <c r="F25" s="159" cm="1">
        <f t="array" ref="F25:F26">Table_Input_Lime[Percent Lime CaCO3]</f>
        <v>1</v>
      </c>
      <c r="G25" s="159" cm="1">
        <f t="array" ref="G25:G26">Table_Input_Lime[Percent Dolomite CaMg(CO3)2]</f>
        <v>0</v>
      </c>
      <c r="H25" s="50" cm="1">
        <f t="array" ref="H25">Fertiliser_Equations_Lime.VEERG_5_3_1_1__1_LimeApplicationCO2Emissions(E25,F25,$I$15,$I$16,G25,$I$18,$I$19,$I$20)</f>
        <v>39.6</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c r="E27" s="50"/>
      <c r="F27" s="50"/>
      <c r="G27" s="50"/>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4">
        <f>SUM(H25:H29)</f>
        <v>79.2</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66" workbookViewId="0">
      <selection activeCell="E146" sqref="E1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'5.1.1.1-2 Inorganic fert N2O'!G19</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'5.1.1.1-2 Inorganic fert N2O'!G20</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'5.1.1.1-2 Inorganic fert N2O'!G21</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'5.1.1.1-2 Inorganic fert N2O'!G22</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'5.1.1.1-2 Inorganic fert N2O'!G23</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'5.1.1.1-2 Inorganic fert N2O'!G24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'5.1.1.1-2 Inorganic fert N2O'!G25</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'5.1.1.1-2 Inorganic fert N2O'!G26</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'5.1.1.1-2 Inorganic fert N2O'!G27</f>
        <v>2970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29.7</v>
      </c>
    </row>
    <row r="28" spans="1:8" ht="20.100000000000001" customHeight="1" x14ac:dyDescent="0.25">
      <c r="D28" s="50" t="str">
        <v>Nitrogen - Generic</v>
      </c>
      <c r="E28" s="50">
        <f>'5.1.1.1-2 Inorganic fert N2O'!G28</f>
        <v>1936.8719999999998</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290.53079999999994</v>
      </c>
    </row>
    <row r="29" spans="1:8" ht="20.100000000000001" customHeight="1" x14ac:dyDescent="0.25">
      <c r="D29" s="50" t="str">
        <v>Phosphorus - Generic</v>
      </c>
      <c r="E29" s="50">
        <f>'5.1.1.1-2 Inorganic fert N2O'!G29</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'5.1.1.1-2 Inorganic fert N2O'!G30</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'5.1.1.1-2 Inorganic fert N2O'!G31</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'5.1.1.1-2 Inorganic fert N2O'!G32</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'5.1.1.1-2 Inorganic fert N2O'!G33</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'5.1.1.1-2 Inorganic fert N2O'!G34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'5.1.1.1-2 Inorganic fert N2O'!G35</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'5.1.1.1-2 Inorganic fert N2O'!G36</f>
        <v>0</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0</v>
      </c>
    </row>
    <row r="37" spans="1:12" ht="20.100000000000001" customHeight="1" x14ac:dyDescent="0.25">
      <c r="D37" s="50" t="str">
        <v>Calcium nitrate</v>
      </c>
      <c r="E37" s="50">
        <f>'5.1.1.1-2 Inorganic fert N2O'!G37</f>
        <v>1550</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15.5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'Input - Fertiliser'!$E$6</f>
        <v>Crop</v>
      </c>
    </row>
    <row r="53" spans="1:10" ht="20.100000000000001" customHeight="1" x14ac:dyDescent="0.25">
      <c r="D53" s="147" t="str">
        <v>ir</v>
      </c>
      <c r="E53" s="154" t="str">
        <v>irrigation method</v>
      </c>
      <c r="F53" s="155"/>
      <c r="G53" s="153"/>
      <c r="H53" s="147" t="str">
        <v/>
      </c>
      <c r="I53" s="120" t="str">
        <v>Input</v>
      </c>
      <c r="J53" s="147" t="str">
        <f>'Input - Fertiliser'!$E$8</f>
        <v>Drip irrigation</v>
      </c>
    </row>
    <row r="54" spans="1:10" ht="20.100000000000001" customHeight="1" x14ac:dyDescent="0.25">
      <c r="D54" s="147" t="str">
        <v>r</v>
      </c>
      <c r="E54" s="154" t="str">
        <v>rainfall region</v>
      </c>
      <c r="F54" s="155"/>
      <c r="G54" s="153"/>
      <c r="H54" s="147" t="str">
        <v/>
      </c>
      <c r="I54" s="120" t="str">
        <v>Input</v>
      </c>
      <c r="J54" s="147" t="str">
        <f>'Input - Site'!$E$30</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29.7</v>
      </c>
      <c r="F67" s="50" cm="1">
        <f t="array" ref="F67">Fertiliser_Equations_AtmosphericDeposition.VEERG_5_4_1_1__1_InorganicFertiliserAtmosphericDepositionN2OEmissions(E67,$J$50,$J$51)</f>
        <v>3.2669999999999997E-4</v>
      </c>
    </row>
    <row r="68" spans="4:6" ht="20.100000000000001" customHeight="1" x14ac:dyDescent="0.25">
      <c r="D68" s="50" t="str">
        <v>Nitrogen - Generic</v>
      </c>
      <c r="E68" s="50">
        <f t="shared" si="0"/>
        <v>290.53079999999994</v>
      </c>
      <c r="F68" s="50" cm="1">
        <f t="array" ref="F68">Fertiliser_Equations_AtmosphericDeposition.VEERG_5_4_1_1__1_InorganicFertiliserAtmosphericDepositionN2OEmissions(E68,$J$50,$J$51)</f>
        <v>3.1958387999999997E-3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0</v>
      </c>
      <c r="F76" s="50" cm="1">
        <f t="array" ref="F76">Fertiliser_Equations_AtmosphericDeposition.VEERG_5_4_1_1__1_InorganicFertiliserAtmosphericDepositionN2OEmissions(E76,$J$50,$J$51)</f>
        <v>0</v>
      </c>
    </row>
    <row r="77" spans="4:6" ht="20.100000000000001" customHeight="1" x14ac:dyDescent="0.25">
      <c r="D77" s="50" t="str">
        <v>Calcium nitrate</v>
      </c>
      <c r="E77" s="50">
        <f t="shared" si="0"/>
        <v>15.5</v>
      </c>
      <c r="F77" s="50" cm="1">
        <f t="array" ref="F77">Fertiliser_Equations_AtmosphericDeposition.VEERG_5_4_1_1__1_InorganicFertiliserAtmosphericDepositionN2OEmissions(E77,$J$50,$J$51)</f>
        <v>1.705E-4</v>
      </c>
    </row>
    <row r="78" spans="4:6" ht="20.100000000000001" customHeight="1" x14ac:dyDescent="0.25"/>
    <row r="79" spans="4:6" ht="20.100000000000001" customHeight="1" x14ac:dyDescent="0.25">
      <c r="D79" s="94" t="s">
        <v>278</v>
      </c>
      <c r="E79" s="95">
        <f>SUM(F59:F77)</f>
        <v>1.1283038800000001E-2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1.1283038800000001E-2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2.9900052820000003</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'5.2.1.1-2 Organic Fert N2O'!I20</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'5.2.1.1-2 Organic Fert N2O'!I21</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'5.2.1.1-2 Organic Fert N2O'!I22</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'Input - Fertiliser'!$E$6</f>
        <v>Crop</v>
      </c>
    </row>
    <row r="128" spans="3:12" ht="20.100000000000001" customHeight="1" x14ac:dyDescent="0.25">
      <c r="D128" s="147" t="str">
        <v>ir</v>
      </c>
      <c r="E128" s="154" t="str">
        <v>irrigation method</v>
      </c>
      <c r="F128" s="153"/>
      <c r="G128" s="147" t="str">
        <v/>
      </c>
      <c r="H128" s="120" t="str">
        <v>Input</v>
      </c>
      <c r="I128" s="147" t="str">
        <f>'Input - Fertiliser'!$E$8</f>
        <v>Drip irrigation</v>
      </c>
    </row>
    <row r="129" spans="4:9" ht="20.100000000000001" customHeight="1" x14ac:dyDescent="0.25">
      <c r="D129" s="147" t="str">
        <v>r</v>
      </c>
      <c r="E129" s="154" t="str">
        <v>rainfall region</v>
      </c>
      <c r="F129" s="153"/>
      <c r="G129" s="147" t="str">
        <v/>
      </c>
      <c r="H129" s="120" t="str">
        <v>Input</v>
      </c>
      <c r="I129" s="147" t="str">
        <f>'Input - Site'!$E$30</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topLeftCell="A78"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0</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'Input - Site'!$E$23</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'Input - Fertiliser'!$E$6</f>
        <v>Crop</v>
      </c>
    </row>
    <row r="18" spans="1:9" ht="20.100000000000001" customHeight="1" x14ac:dyDescent="0.25">
      <c r="D18" s="147" t="str">
        <v>ir</v>
      </c>
      <c r="E18" s="154" t="str">
        <v>irrigation method</v>
      </c>
      <c r="F18" s="153"/>
      <c r="G18" s="147" t="str">
        <v/>
      </c>
      <c r="H18" s="120" t="str">
        <v>Input</v>
      </c>
      <c r="I18" s="147" t="str">
        <f>'Input - Fertiliser'!$E$8</f>
        <v>Drip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'5.1.1.1-2 Inorganic fert N2O'!G19</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'5.1.1.1-2 Inorganic fert N2O'!G20</f>
        <v>0</v>
      </c>
      <c r="F24" s="50" cm="1">
        <f t="array" ref="F24">Fertiliser_Equations_LeachingAndRunoff.VEERG_5_5_1_1__2_MassOfNitrogenLeachedFromInorganicFertiliser(E24, $I$14, $I$15)</f>
        <v>0</v>
      </c>
    </row>
    <row r="25" spans="1:9" ht="20.100000000000001" customHeight="1" x14ac:dyDescent="0.25">
      <c r="D25" s="50" t="str">
        <v>Urea</v>
      </c>
      <c r="E25" s="50">
        <f>'5.1.1.1-2 Inorganic fert N2O'!G21</f>
        <v>4600</v>
      </c>
      <c r="F25" s="50" cm="1">
        <f t="array" ref="F25">Fertiliser_Equations_LeachingAndRunoff.VEERG_5_5_1_1__2_MassOfNitrogenLeachedFromInorganicFertiliser(E25, $I$14, $I$15)</f>
        <v>0</v>
      </c>
    </row>
    <row r="26" spans="1:9" ht="20.100000000000001" customHeight="1" x14ac:dyDescent="0.25">
      <c r="D26" s="50" t="str">
        <v>Sulphate of ammonia (SOA)</v>
      </c>
      <c r="E26" s="50">
        <f>'5.1.1.1-2 Inorganic fert N2O'!G22</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'5.1.1.1-2 Inorganic fert N2O'!G23</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'5.1.1.1-2 Inorganic fert N2O'!G24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'5.1.1.1-2 Inorganic fert N2O'!G25</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'5.1.1.1-2 Inorganic fert N2O'!G26</f>
        <v>0</v>
      </c>
      <c r="F30" s="50" cm="1">
        <f t="array" ref="F30">Fertiliser_Equations_LeachingAndRunoff.VEERG_5_5_1_1__2_MassOfNitrogenLeachedFromInorganicFertiliser(E30, $I$14, $I$15)</f>
        <v>0</v>
      </c>
    </row>
    <row r="31" spans="1:9" ht="20.100000000000001" customHeight="1" x14ac:dyDescent="0.25">
      <c r="D31" s="50" t="str">
        <v>Nitrogen - Nitrate</v>
      </c>
      <c r="E31" s="50">
        <f>'5.1.1.1-2 Inorganic fert N2O'!G27</f>
        <v>2970</v>
      </c>
      <c r="F31" s="50" cm="1">
        <f t="array" ref="F31">Fertiliser_Equations_LeachingAndRunoff.VEERG_5_5_1_1__2_MassOfNitrogenLeachedFromInorganicFertiliser(E31, $I$14, $I$15)</f>
        <v>0</v>
      </c>
    </row>
    <row r="32" spans="1:9" ht="20.100000000000001" customHeight="1" x14ac:dyDescent="0.25">
      <c r="D32" s="50" t="str">
        <v>Nitrogen - Generic</v>
      </c>
      <c r="E32" s="50">
        <f>'5.1.1.1-2 Inorganic fert N2O'!G28</f>
        <v>1936.8719999999998</v>
      </c>
      <c r="F32" s="50" cm="1">
        <f t="array" ref="F32">Fertiliser_Equations_LeachingAndRunoff.VEERG_5_5_1_1__2_MassOfNitrogenLeachedFromInorganicFertiliser(E32, $I$14, $I$15)</f>
        <v>0</v>
      </c>
    </row>
    <row r="33" spans="1:11" ht="20.100000000000001" customHeight="1" x14ac:dyDescent="0.25">
      <c r="D33" s="50" t="str">
        <v>Phosphorus - Generic</v>
      </c>
      <c r="E33" s="50">
        <f>'5.1.1.1-2 Inorganic fert N2O'!G29</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'5.1.1.1-2 Inorganic fert N2O'!G30</f>
        <v>0</v>
      </c>
      <c r="F34" s="50" cm="1">
        <f t="array" ref="F34">Fertiliser_Equations_LeachingAndRunoff.VEERG_5_5_1_1__2_MassOfNitrogenLeachedFromInorganicFertiliser(E34, $I$14, $I$15)</f>
        <v>0</v>
      </c>
    </row>
    <row r="35" spans="1:11" ht="20.100000000000001" customHeight="1" x14ac:dyDescent="0.25">
      <c r="D35" s="50" t="str">
        <v>Sulfur - Generic</v>
      </c>
      <c r="E35" s="50">
        <f>'5.1.1.1-2 Inorganic fert N2O'!G31</f>
        <v>0</v>
      </c>
      <c r="F35" s="50" cm="1">
        <f t="array" ref="F35">Fertiliser_Equations_LeachingAndRunoff.VEERG_5_5_1_1__2_MassOfNitrogenLeachedFromInorganicFertiliser(E35, $I$14, $I$15)</f>
        <v>0</v>
      </c>
    </row>
    <row r="36" spans="1:11" ht="20.100000000000001" customHeight="1" x14ac:dyDescent="0.25">
      <c r="D36" s="50" t="str">
        <v>Zinc - Generic</v>
      </c>
      <c r="E36" s="50">
        <f>'5.1.1.1-2 Inorganic fert N2O'!G32</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'5.1.1.1-2 Inorganic fert N2O'!G33</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'5.1.1.1-2 Inorganic fert N2O'!G34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'5.1.1.1-2 Inorganic fert N2O'!G35</f>
        <v>0</v>
      </c>
      <c r="F39" s="50" cm="1">
        <f t="array" ref="F39">Fertiliser_Equations_LeachingAndRunoff.VEERG_5_5_1_1__2_MassOfNitrogenLeachedFromInorganicFertiliser(E39, $I$14, $I$15)</f>
        <v>0</v>
      </c>
    </row>
    <row r="40" spans="1:11" ht="20.100000000000001" customHeight="1" x14ac:dyDescent="0.25">
      <c r="D40" s="50" t="str">
        <v>Ammonia</v>
      </c>
      <c r="E40" s="50">
        <f>'5.1.1.1-2 Inorganic fert N2O'!G36</f>
        <v>0</v>
      </c>
      <c r="F40" s="50" cm="1">
        <f t="array" ref="F40">Fertiliser_Equations_LeachingAndRunoff.VEERG_5_5_1_1__2_MassOfNitrogenLeachedFromInorganicFertiliser(E40, $I$14, $I$15)</f>
        <v>0</v>
      </c>
    </row>
    <row r="41" spans="1:11" ht="20.100000000000001" customHeight="1" x14ac:dyDescent="0.25">
      <c r="D41" s="50" t="str">
        <v>Calcium nitrate</v>
      </c>
      <c r="E41" s="50">
        <f>'5.1.1.1-2 Inorganic fert N2O'!G37</f>
        <v>1550</v>
      </c>
      <c r="F41" s="50" cm="1">
        <f t="array" ref="F41">Fertiliser_Equations_LeachingAndRunoff.VEERG_5_5_1_1__2_MassOfNitrogenLeachedFromInorganicFertiliser(E41, $I$14, $I$15)</f>
        <v>0</v>
      </c>
    </row>
    <row r="42" spans="1:11" ht="20.100000000000001" customHeight="1" x14ac:dyDescent="0.25"/>
    <row r="43" spans="1:11" ht="20.100000000000001" customHeight="1" x14ac:dyDescent="0.25">
      <c r="D43" s="149" t="s">
        <v>288</v>
      </c>
      <c r="E43" s="44">
        <f>SUM(F23:F41)</f>
        <v>0</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0</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'Input - Site'!$E$23</f>
        <v>NO - Not in leaching zone</v>
      </c>
    </row>
    <row r="59" spans="4:9" ht="20.100000000000001" customHeight="1" x14ac:dyDescent="0.25">
      <c r="D59" s="147" t="str">
        <v>j</v>
      </c>
      <c r="E59" s="154" t="str">
        <v>production system</v>
      </c>
      <c r="F59" s="153"/>
      <c r="G59" s="147" t="str">
        <v/>
      </c>
      <c r="H59" s="120" t="str">
        <v>Input</v>
      </c>
      <c r="I59" s="147" t="str">
        <f>'Input - Fertiliser'!$E$6</f>
        <v>Crop</v>
      </c>
    </row>
    <row r="60" spans="4:9" ht="20.100000000000001" customHeight="1" x14ac:dyDescent="0.25">
      <c r="D60" s="147" t="str">
        <v>ir</v>
      </c>
      <c r="E60" s="154" t="str">
        <v>irrigation method</v>
      </c>
      <c r="F60" s="153"/>
      <c r="G60" s="147" t="str">
        <v/>
      </c>
      <c r="H60" s="120" t="str">
        <v>Input</v>
      </c>
      <c r="I60" s="147" t="str">
        <f>'Input - Fertiliser'!$E$8</f>
        <v>Drip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'5.2.1.1-2 Organic Fert N2O'!D20</f>
        <v>Manure - Other</v>
      </c>
      <c r="E65" s="50">
        <f>'5.2.1.1-2 Organic Fert N2O'!I20</f>
        <v>300</v>
      </c>
      <c r="F65" s="50" cm="1">
        <f t="array" ref="F65">Fertiliser_Equations_LeachingAndRunoff.VEERG_5_5_1_1__3_MassOfNitrogenLeachedFromOrganicFertiliser(E65,$I$56, $I$57)</f>
        <v>0</v>
      </c>
    </row>
    <row r="66" spans="1:11" ht="20.100000000000001" customHeight="1" x14ac:dyDescent="0.25">
      <c r="D66" s="50" t="str">
        <f>'5.2.1.1-2 Organic Fert N2O'!D21</f>
        <v>Manure - Poultry</v>
      </c>
      <c r="E66" s="50">
        <f>'5.2.1.1-2 Organic Fert N2O'!I21</f>
        <v>250</v>
      </c>
      <c r="F66" s="50" cm="1">
        <f t="array" ref="F66">Fertiliser_Equations_LeachingAndRunoff.VEERG_5_5_1_1__3_MassOfNitrogenLeachedFromOrganicFertiliser(E66,$I$56, $I$57)</f>
        <v>0</v>
      </c>
    </row>
    <row r="67" spans="1:11" ht="20.100000000000001" customHeight="1" x14ac:dyDescent="0.25">
      <c r="D67" s="50" t="str">
        <f>'5.2.1.1-2 Organic Fert N2O'!D22</f>
        <v>Other organic fertiliser</v>
      </c>
      <c r="E67" s="50">
        <f>'5.2.1.1-2 Organic Fert N2O'!I22</f>
        <v>160</v>
      </c>
      <c r="F67" s="50" cm="1">
        <f t="array" ref="F67">Fertiliser_Equations_LeachingAndRunoff.VEERG_5_5_1_1__3_MassOfNitrogenLeachedFromOrganicFertiliser(E67,$I$56, $I$57)</f>
        <v>0</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0</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0</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0</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0</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0</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0</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D85" zoomScaleNormal="100" workbookViewId="0">
      <selection activeCell="N99" sqref="E99:N99"/>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E6C86-3575-4401-8297-289E0384C5A2}">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D4AIAAyACUAXAAiACwAXAAiAFwAIgAsAFwAIgBDAGEAbQBwAGIAZQBsAGwAcwAgAGYAZQByAHQAaQBsAGkAcwBlAHIAcwAgAEEAdQBzAHQAcgBhAGwAaQBhAFwAIgAsAFwAIgBCAHUAZAAtAFcAaQBzAGUAcgAgAEQAcgB5AFwAIgAsAFwAIgBCAHUAZAAtAFcAaQBzAGUAcgAgAEQAcgB5ACAALQAgAEMAYQBtAHAAYgBlAGwAbABzACAARgBlAHIAdABpAGwAaQBzAGUAcgBzACAAQQB1AHMAdAByAGEAbABhAHMAaQBhAFwAIgAsAFwAIgBcACIALABcACIAXAAiACwAXAAiAGsAZwBcACIALABcACI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gBpAHQAIABDAFwAIgAsAFwAIgBDAGEAbABiAGkAdAAgAEM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wBhAGwAYwBpAHUAbQAgADEANwA1AFwAIgAsAFwAIgBDAGEAbABjAGkAdQBtACAAMQA3ADUAIAAtACAAQwBhAG0AcABiAGUAbABsAHMAIABGAGUAcgB0AGkAbABpAHMAZQByAHMAIABBAHUAcwB0AHIAYQBsAGEAcwBpAGEAXAAiACwAXAAiAFwAIgAsAFwAIgBOAG8AdAAgAGYAZQByAHQAaQBsAGkAcwBlAHIAIAAtACAARABvACAAbgBvAHQAIABpAG4AYwBsAHUAZABl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MAYQBsAFAAaABvAHMAXAAiACwAXAAiAEMAYQBsAHAAaABvAHMAIAAtACAAQwBhAG0AcABiAGUAbABsAHMAIABGAGUAcgB0AGkAbABpAHMAZQByAHMAIABBAHUAcwB0AHIAYQBsAGEAcwBpAGEAXAAiACwAXAAiAFcAZQBiAHMAaQB0AGUAXAAiACwAXAAiAFwAIgAsAFwAIgBMAFwAIgAsADEALgAyADgANQAsAFwAIgBcACI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sAFwAIgBcACIALABcACIAXAAiACwAXAAiAEUATgBEACAAUgBPAFcAXAAiAFwAbgAgACAAfQAsACAAcgAsACAAYwApAFwAbgApACkAKQA7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VAHIAZQBhAEEAbQBtAG8AbgBpAGEAUwBvAHUAcgBjAGUAUgBlAGcAaQBvAG4AcwBfAFQAaQB0AGwAZQAiACwAIgBGAGUAcgB0AGkAbABpAHMAZQByAF8AUwBvAHUAcgBjAGUARABhAHQAYQAuAEYAZQByAHQAaQBsAGkAcwBlAHIAXwBVAHIAZQBhAEEAbQBtAG8AbgBpAGEAUwBvAHUAcgBjAGUAUgBlAGcAaQBvAG4AcwBfAFMAbwB1AHIAYwBlACIALAAiAEYAZQByAHQAaQBsAGkAcwBlAHIAXwBTAG8AdQByAGMAZQBEAGEAdABhAC4ARgBlAHIAdABpAGwAaQBzAGUAcgBfAFUAcgBlAGEAQQBtAG0AbwBuAGkAYQBTAG8AdQByAGMAZQBSAGUAZwBpAG8AbgBzAF8ARABhAHQAYQ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YAZQByAHQAaQBsAGkAcwBlAHIAXwBJAG4AcAB1AHQARgB1AG4AYwB0AGkAbwBuAHMALgBGAGUAcgB0AGkAbABpAHMAZQByAF8AVABvAHQAYQBsAEEAYwB0AGkAdgBlAEkAbgBnAHIAZQBkAGkAZQBuAHQAQQBwAHAAbABpAGUAZABBAGwAbABJAG4AZwByAGUAZABpAGUAbgB0AHMAIgAsACIARgBlAHIAdABpAGwAaQBzAGUAcgBfAEUAcQB1AGEAdABpAG8AbgBzAF8ASQBuAG8AcgBnAGEAbgBpAGMATgAyAE8ALgBWAEUARQBSAEcAXwA1AF8AMQBfADEAXwAxAF8AXwAxAF8ASQBuAG8AcgBnAGEAbgBpAGMARgBlAHIAdABpAGwAaQBzAGUAcgBBAHAAcABsAGkAYwBhAHQAaQBvAG4ATgAyAE8ARQBtAGkAcwBzAGkAbwBuAHMAIgAsACIARgBlAHIAdABpAGwAaQBzAGUAcgBfAEUAcQB1AGEAdABpAG8AbgBzAF8ASQBuAG8AcgBnAGEAbgBpAGMATgAyAE8ALgBWAEUARQBSAEcAXwA1AF8AMQBfADEAXwAxAF8AXwAxAF8ASQBuAG8AcgBnAGEAbgBpAGMARgBlAHIAdABpAGwAaQBzAGUAcgBBAHAAcABsAGkAYwBhAHQAaQBvAG4ATgAyAE8ARQBtAGkAcwBzAGkAbwBuAHMAXwBUAGkAdABsAGUAIgAsACIARgBlAHIAdABpAGwAaQBzAGUAcgBfAEUAcQB1AGEAdABpAG8AbgBzAF8ASQBuAG8AcgBnAGEAbgBpAGMATgAyAE8ALgBWAEUARQBSAEcAXwA1AF8AMQBfADEAXwAxAF8AXwAxAF8ASQBuAG8AcgBnAGEAbgBpAGMARgBlAHIAdABpAGwAaQBzAGUAcgBBAHAAcABsAGkAYwBhAHQAaQBvAG4ATgAyAE8ARQBtAGkAcwBzAGkAbwBuAHMAXwBWAGEAcgBpAGEAYgBsAGUAIgAsACIARgBlAHIAdABpAGwAaQBzAGUAcgBfAEUAcQB1AGEAdABpAG8AbgBzAF8ASQBuAG8AcgBnAGEAbgBpAGMATgAyAE8ALgBWAEUARQBSAEcAXwA1AF8AMQBfADEAXwAxAF8AXwAxAF8ASQBuAG8AcgBnAGEAbgBpAGMARgBlAHIAdABpAGwAaQBzAGUAcgBBAHAAcABsAGkAYwBhAHQAaQBvAG4ATgAyAE8ARQBtAGkAcwBzAGkAbwBuAHMAXwBVAG4AaQB0ACIALAAiAEYAZQByAHQAaQBsAGkAcwBlAHIAXwBFAHEAdQBhAHQAaQBvAG4AcwBfAEkAbgBvAHIAZwBhAG4AaQBjAE4AMgBPAC4AVgBFAEUAUgBHAF8ANQBfADEAXwAxAF8AMQBfAF8AMQBfAEkAbgBvAHIAZwBhAG4AaQBjAEYAZQByAHQAaQBsAGkAcwBlAHIAQQBwAHAAbABpAGMAYQB0AGkAbwBuAE4AMgBPAEUAbQBpAHMAcwBpAG8AbgBzAF8AUwBvAHUAcgBjAGUAIgAsACIARgBlAHIAdABpAGwAaQBzAGUAcgBfAEUAcQB1AGEAdABpAG8AbgBzAF8ASQBuAG8AcgBnAGEAbgBpAGMATgAyAE8ALgBWAEUARQBSAEcAXwA1AF8AMQBfADEAXwAxAF8AXwAxAF8ASQBuAG8AcgBnAGEAbgBpAGMARgBlAHIAdABpAGwAaQBzAGUAcgBBAHAAcABsAGkAYwBhAHQAaQBvAG4ATgAyAE8ARQBtAGkAcwBzAGkAbwBuAHMAXwBOAEkAUgBSAGUAZgBlAHIAZQBuAGMAZQAiACwAIgBGAGUAcgB0AGkAbABpAHMAZQByAF8ARQBxAHUAYQB0AGkAbwBuAHMAXwBJAG4AbwByAGcAYQBuAGkAYwBOADIATwAuAFYARQBFAFIARwBfADUAXwAxAF8AMQBfADEAXwBfADEAXwBJAG4AbwByAGcAYQBuAGkAYwBGAGUAcgB0AGkAbABpAHMAZQByAEEAcABwAGwAaQBjAGEAdABpAG8AbgBOADIATwBFAG0AaQBzAHMAaQBvAG4AcwBfAEwAYQB0AGUAeABFAHEAdQBhAHQAaQBvAG4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AiACwAIgBGAGUAcgB0AGkAbABpAHMAZQByAF8ARQBxAHUAYQB0AGkAbwBuAHMAXwBJAG4AbwByAGcAYQBuAGkAYwBOADIATwAuAFYARQBFAFIARwBfADUAXwAxAF8AMQBfADEAXwBfADEAXwBJAG4AbwByAGcAYQBuAGkAYwBGAGUAcgB0AGkAbABpAHMAZQByAEEAcABwAGwAaQBjAGEAdABpAG8AbgBOADIATwBFAG0AaQBzAHMAaQBvAG4AcwBfAEEAcgBnAHUAbQBlAG4AdABzAF8ATQBlAHQAaABvAGQAMgAiACwAIgBGAGUAcgB0AGkAbABpAHMAZQByAF8ARQBxAHUAYQB0AGkAbwBuAHMAXwBJAG4AbwByAGcAYQBuAGkAYwBOADIATwAuAFYARQBFAFIARwBfADUAXwAxAF8AMQBfADEAXwBfADIAXwBNAGEAcwBzAE8AZgBOAGkAdAByAG8AZwBlAG4ASQBuAEkAbgBvAHIAZwBhAG4AaQBjAEYAZQByAHQAaQBsAGkAcwBlAHIAIgAsACIARgBlAHIAdABpAGwAaQBzAGUAcgBfAEUAcQB1AGEAdABpAG8AbgBzAF8ASQBuAG8AcgBnAGEAbgBpAGMATgAyAE8ALgBWAEUARQBSAEcAXwA1AF8AMQBfADEAXwAxAF8AXwAyAF8ATQBhAHMAcwBPAGYATgBpAHQAcgBvAGcAZQBuAEkAbgBJAG4AbwByAGcAYQBuAGkAYwBGAGUAcgB0AGkAbABpAHMAZQByAF8AVABpAHQAbABlACIALAAiAEYAZQByAHQAaQBsAGkAcwBlAHIAXwBFAHEAdQBhAHQAaQBvAG4AcwBfAEkAbgBvAHIAZwBhAG4AaQBjAE4AMgBPAC4AVgBFAEUAUgBHAF8ANQBfADEAXwAxAF8AMQBfAF8AMgBfAE0AYQBzAHMATwBmAE4AaQB0AHIAbwBnAGUAbgBJAG4ASQBuAG8AcgBnAGEAbgBpAGMARgBlAHIAdABpAGwAaQBzAGUAcgBfAFYAYQByAGkAYQBiAGwAZQAiACwAIgBGAGUAcgB0AGkAbABpAHMAZQByAF8ARQBxAHUAYQB0AGkAbwBuAHMAXwBJAG4AbwByAGcAYQBuAGkAYwBOADIATwAuAFYARQBFAFIARwBfADUAXwAxAF8AMQBfADEAXwBfADIAXwBNAGEAcwBzAE8AZgBOAGkAdAByAG8AZwBlAG4ASQBuAEkAbgBvAHIAZwBhAG4AaQBjAEYAZQByAHQAaQBsAGkAcwBlAHIAXwBVAG4AaQB0ACIALAAiAEYAZQByAHQAaQBsAGkAcwBlAHIAXwBFAHEAdQBhAHQAaQBvAG4AcwBfAEkAbgBvAHIAZwBhAG4AaQBjAE4AMgBPAC4AVgBFAEUAUgBHAF8ANQBfADEAXwAxAF8AMQBfAF8AMgBfAE0AYQBzAHMATwBmAE4AaQB0AHIAbwBnAGUAbgBJAG4ASQBuAG8AcgBnAGEAbgBpAGMARgBlAHIAdABpAGwAaQBzAGUAcgBfAFMAbwB1AHIAYwBlACIALAAiAEYAZQByAHQAaQBsAGkAcwBlAHIAXwBFAHEAdQBhAHQAaQBvAG4AcwBfAEkAbgBvAHIAZwBhAG4AaQBjAE4AMgBPAC4AVgBFAEUAUgBHAF8ANQBfADEAXwAxAF8AMQBfAF8AMgBfAE0AYQBzAHMATwBmAE4AaQB0AHIAbwBnAGUAbgBJAG4ASQBuAG8AcgBnAGEAbgBpAGMARgBlAHIAdABpAGwAaQBzAGUAcgBfAE4ASQBSAFIAZQBmAGUAcgBlAG4AYwBlACIALAAiAEYAZQByAHQAaQBsAGkAcwBlAHIAXwBFAHEAdQBhAHQAaQBvAG4AcwBfAEkAbgBvAHIAZwBhAG4AaQBjAE4AMgBPAC4AVgBFAEUAUgBHAF8ANQBfADEAXwAxAF8AMQBfAF8AMgBfAE0AYQBzAHMATwBmAE4AaQB0AHIAbwBnAGUAbgBJAG4ASQBuAG8AcgBnAGEAbgBpAGMARgBlAHIAdABpAGwAaQBzAGUAcgBfAEwAYQB0AGUAeABFAHEAdQBhAHQAaQBvAG4AIgAsACIARgBlAHIAdABpAGwAaQBzAGUAcgBfAEUAcQB1AGEAdABpAG8AbgBzAF8ASQBuAG8AcgBnAGEAbgBpAGMATgAyAE8ALgBWAEUARQBSAEcAXwA1AF8AMQBfADEAXwAxAF8AXwAyAF8ATQBhAHMAcwBPAGYATgBpAHQAcgBvAGcAZQBuAEkAbgBJAG4AbwByAGcAYQBuAGkAYwBGAGUAcgB0AGkAbABpAHMAZQByAF8AQQByAGcAdQBtAGUAbgB0AHMAIgAsACIARgBlAHIAdABpAGwAaQBzAGUAcgBfAEUAcQB1AGEAdABpAG8AbgBzAF8ASQBuAG8AcgBnAGEAbgBpAGMATgAyAE8ALgBWAEUARQBSAEcAXwA1AF8AMQBfADEAXwAyAF8AXwAxAF8ARQBtAGkAcwBzAGkAbwBuAEYAYQBjAHQAbwByAEkAcgByAGkAZwBhAHQAZQBkAE0AYQBpAHoAZQAiACwAIgBGAGUAcgB0AGkAbABpAHMAZQByAF8ARQBxAHUAYQB0AGkAbwBuAHMAXwBJAG4AbwByAGcAYQBuAGkAYwBOADIATwAuAFYARQBFAFIARwBfADUAXwAxAF8AMQBfADIAXwBfADEAXwBFAG0AaQBzAHMAaQBvAG4ARgBhAGMAdABvAHIASQByAHIAaQBnAGEAdABlAGQATQBhAGkAegBlAF8AVABpAHQAbABlACIALAAiAEYAZQByAHQAaQBsAGkAcwBlAHIAXwBFAHEAdQBhAHQAaQBvAG4AcwBfAEkAbgBvAHIAZwBhAG4AaQBjAE4AMgBPAC4AVgBFAEUAUgBHAF8ANQBfADEAXwAxAF8AMgBfAF8AMQBfAEUAbQBpAHMAcwBpAG8AbgBGAGEAYwB0AG8AcgBJAHIAcgBpAGcAYQB0AGUAZABNAGEAaQB6AGUAXwBWAGEAcgBpAGEAYgBsAGUAIgAsACIARgBlAHIAdABpAGwAaQBzAGUAcgBfAEUAcQB1AGEAdABpAG8AbgBzAF8ASQBuAG8AcgBnAGEAbgBpAGMATgAyAE8ALgBWAEUARQBSAEcAXwA1AF8AMQBfADEAXwAyAF8AXwAxAF8ARQBtAGkAcwBzAGkAbwBuAEYAYQBjAHQAbwByAEkAcgByAGkAZwBhAHQAZQBkAE0AYQBpAHoAZQBfAFUAbgBpAHQAIgAsACIARgBlAHIAdABpAGwAaQBzAGUAcgBfAEUAcQB1AGEAdABpAG8AbgBzAF8ASQBuAG8AcgBnAGEAbgBpAGMATgAyAE8ALgBWAEUARQBSAEcAXwA1AF8AMQBfADEAXwAyAF8AXwAxAF8ARQBtAGkAcwBzAGkAbwBuAEYAYQBjAHQAbwByAEkAcgByAGkAZwBhAHQAZQBkAE0AYQBpAHoAZQBfAFMAbwB1AHIAYwBlACIALAAiAEYAZQByAHQAaQBsAGkAcwBlAHIAXwBFAHEAdQBhAHQAaQBvAG4AcwBfAEkAbgBvAHIAZwBhAG4AaQBjAE4AMgBPAC4AVgBFAEUAUgBHAF8ANQBfADEAXwAxAF8AMgBfAF8AMQBfAEUAbQBpAHMAcwBpAG8AbgBGAGEAYwB0AG8AcgBJAHIAcgBpAGcAYQB0AGUAZABNAGEAaQB6AGUAXwBOAEkAUgBSAGUAZgBlAHIAZQBuAGMAZQAiACwAIgBGAGUAcgB0AGkAbABpAHMAZQByAF8ARQBxAHUAYQB0AGkAbwBuAHMAXwBJAG4AbwByAGcAYQBuAGkAYwBOADIATwAuAFYARQBFAFIARwBfADUAXwAxAF8AMQBfADIAXwBfADEAXwBFAG0AaQBzAHMAaQBvAG4ARgBhAGMAdABvAHIASQByAHIAaQBnAGEAdABlAGQATQBhAGkAegBlAF8ATABhAHQAZQB4AEUAcQB1AGEAdABpAG8AbgAiACwAIgBGAGUAcgB0AGkAbABpAHMAZQByAF8ARQBxAHUAYQB0AGkAbwBuAHMAXwBJAG4AbwByAGcAYQBuAGkAYwBOADIATwAuAFYARQBFAFIARwBfADUAXwAxAF8AMQBfADIAXwBfADEAXwBFAG0AaQBzAHMAaQBvAG4ARgBhAGMAdABvAHIASQByAHIAaQBnAGEAdABlAGQATQBhAGkAegBlAF8AQQByAGcAdQBtAGUAbgB0AHMAIgAsACIARgBlAHIAdABpAGwAaQBzAGUAcgBfAEUAcQB1AGEAdABpAG8AbgBzAF8ASQBuAG8AcgBnAGEAbgBpAGMATgAyAE8ALgBWAEUARQBSAEcAXwA1AF8AMQBfADEAXwAyAF8AXwAyAF8ARQBtAGkAcwBzAGkAbwBuAEYAYQBjAHQAbwByAE4AbwBuAEkAcgByAGkAZwBhAHQAZQBkAEcAcgBhAGkAbgBzAEgAaQBnAGgAUgBhAGkAbgBmAGEAbABsACIALAAiAEYAZQByAHQAaQBsAGkAcwBlAHIAXwBFAHEAdQBhAHQAaQBvAG4AcwBfAEkAbgBvAHIAZwBhAG4AaQBjAE4AMgBPAC4AVgBFAEUAUgBHAF8ANQBfADEAXwAxAF8AMgBfAF8AMgBfAEUAbQBpAHMAcwBpAG8AbgBGAGEAYwB0AG8AcgBOAG8AbgBJAHIAcgBpAGcAYQB0AGUAZABHAHIAYQBpAG4AcwBIAGkAZwBoAFIAYQBpAG4AZgBhAGwAbABfAFQAaQB0AGwAZQAiACwAIgBGAGUAcgB0AGkAbABpAHMAZQByAF8ARQBxAHUAYQB0AGkAbwBuAHMAXwBJAG4AbwByAGcAYQBuAGkAYwBOADIATwAuAFYARQBFAFIARwBfADUAXwAxAF8AMQBfADIAXwBfADIAXwBFAG0AaQBzAHMAaQBvAG4ARgBhAGMAdABvAHIATgBvAG4ASQByAHIAaQBnAGEAdABlAGQARwByAGEAaQBuAHMASABpAGcAaABSAGEAaQBuAGYAYQBsAGwAXwBWAGEAcgBpAGEAYgBsAGUAIgAsACIARgBlAHIAdABpAGwAaQBzAGUAcgBfAEUAcQB1AGEAdABpAG8AbgBzAF8ASQBuAG8AcgBnAGEAbgBpAGMATgAyAE8ALgBWAEUARQBSAEcAXwA1AF8AMQBfADEAXwAyAF8AXwAyAF8ARQBtAGkAcwBzAGkAbwBuAEYAYQBjAHQAbwByAE4AbwBuAEkAcgByAGkAZwBhAHQAZQBkAEcAcgBhAGkAbgBzAEgAaQBnAGgAUgBhAGkAbgBmAGEAbABsAF8AVQBuAGkAdAAiACwAIgBGAGUAcgB0AGkAbABpAHMAZQByAF8ARQBxAHUAYQB0AGkAbwBuAHMAXwBJAG4AbwByAGcAYQBuAGkAYwBOADIATwAuAFYARQBFAFIARwBfADUAXwAxAF8AMQBfADIAXwBfADIAXwBFAG0AaQBzAHMAaQBvAG4ARgBhAGMAdABvAHIATgBvAG4ASQByAHIAaQBnAGEAdABlAGQARwByAGEAaQBuAHMASABpAGcAaABSAGEAaQBuAGYAYQBsAGwAXwBTAG8AdQByAGMAZQAiACwAIgBGAGUAcgB0AGkAbABpAHMAZQByAF8ARQBxAHUAYQB0AGkAbwBuAHMAXwBJAG4AbwByAGcAYQBuAGkAYwBOADIATwAuAFYARQBFAFIARwBfADUAXwAxAF8AMQBfADIAXwBfADIAXwBFAG0AaQBzAHMAaQBvAG4ARgBhAGMAdABvAHIATgBvAG4ASQByAHIAaQBnAGEAdABlAGQARwByAGEAaQBuAHMASABpAGcAaABSAGEAaQBuAGYAYQBsAGwAXwBOAEkAUgBSAGUAZgBlAHIAZQBuAGMAZQAiACwAIgBGAGUAcgB0AGkAbABpAHMAZQByAF8ARQBxAHUAYQB0AGkAbwBuAHMAXwBJAG4AbwByAGcAYQBuAGkAYwBOADIATwAuAFYARQBFAFIARwBfADUAXwAxAF8AMQBfADIAXwBfADIAXwBFAG0AaQBzAHMAaQBvAG4ARgBhAGMAdABvAHIATgBvAG4ASQByAHIAaQBnAGEAdABlAGQARwByAGEAaQBuAHMASABpAGcAaABSAGEAaQBuAGYAYQBsAGwAXwBMAGEAdABlAHgARQBxAHUAYQB0AGkAbwBuACIALAAiAEYAZQByAHQAaQBsAGkAcwBlAHIAXwBFAHEAdQBhAHQAaQBvAG4AcwBfAEkAbgBvAHIAZwBhAG4AaQBjAE4AMgBPAC4AVgBFAEUAUgBHAF8ANQBfADEAXwAxAF8AMgBfAF8AMgBfAEUAbQBpAHMAcwBpAG8AbgBGAGEAYwB0AG8AcgBOAG8AbgBJAHIAcgBpAGcAYQB0AGUAZABHAHIAYQBpAG4AcwBIAGkAZwBoAFIAYQBpAG4AZgBhAGwAbABfAEEAcgBnAHUAbQBlAG4AdABzACIALAAiAEYAZQByAHQAaQBsAGkAcwBlAHIAXwBFAHEAdQBhAHQAaQBvAG4AcwBfAEkAbgBvAHIAZwBhAG4AaQBjAE4AMgBPAC4AVgBFAEUAUgBHAF8ANQBfADEAXwAxAF8AMgBfAF8AMwBfAEUAbQBpAHMAcwBpAG8AbgBGAGEAYwB0AG8AcgBDAG8AdAB0AG8AbgAiACwAIgBGAGUAcgB0AGkAbABpAHMAZQByAF8ARQBxAHUAYQB0AGkAbwBuAHMAXwBJAG4AbwByAGcAYQBuAGkAYwBOADIATwAuAFYARQBFAFIARwBfADUAXwAxAF8AMQBfADIAXwBfADMAXwBFAG0AaQBzAHMAaQBvAG4ARgBhAGMAdABvAHIAQwBvAHQAdABvAG4AXwBUAGkAdABsAGUAIgAsACIARgBlAHIAdABpAGwAaQBzAGUAcgBfAEUAcQB1AGEAdABpAG8AbgBzAF8ASQBuAG8AcgBnAGEAbgBpAGMATgAyAE8ALgBWAEUARQBSAEcAXwA1AF8AMQBfADEAXwAyAF8AXwAzAF8ARQBtAGkAcwBzAGkAbwBuAEYAYQBjAHQAbwByAEMAbwB0AHQAbwBuAF8AVgBhAHIAaQBhAGIAbABlACIALAAiAEYAZQByAHQAaQBsAGkAcwBlAHIAXwBFAHEAdQBhAHQAaQBvAG4AcwBfAEkAbgBvAHIAZwBhAG4AaQBjAE4AMgBPAC4AVgBFAEUAUgBHAF8ANQBfADEAXwAxAF8AMgBfAF8AMwBfAEUAbQBpAHMAcwBpAG8AbgBGAGEAYwB0AG8AcgBDAG8AdAB0AG8AbgBfAFUAbgBpAHQAIgAsACIARgBlAHIAdABpAGwAaQBzAGUAcgBfAEUAcQB1AGEAdABpAG8AbgBzAF8ASQBuAG8AcgBnAGEAbgBpAGMATgAyAE8ALgBWAEUARQBSAEcAXwA1AF8AMQBfADEAXwAyAF8AXwAzAF8ARQBtAGkAcwBzAGkAbwBuAEYAYQBjAHQAbwByAEMAbwB0AHQAbwBuAF8AUwBvAHUAcgBjAGUAIgAsACIARgBlAHIAdABpAGwAaQBzAGUAcgBfAEUAcQB1AGEAdABpAG8AbgBzAF8ASQBuAG8AcgBnAGEAbgBpAGMATgAyAE8ALgBWAEUARQBSAEcAXwA1AF8AMQBfADEAXwAyAF8AXwAzAF8ARQBtAGkAcwBzAGkAbwBuAEYAYQBjAHQAbwByAEMAbwB0AHQAbwBuAF8ATgBJAFIAUgBlAGYAZQByAGUAbgBjAGUAIgAsACIARgBlAHIAdABpAGwAaQBzAGUAcgBfAEUAcQB1AGEAdABpAG8AbgBzAF8ASQBuAG8AcgBnAGEAbgBpAGMATgAyAE8ALgBWAEUARQBSAEcAXwA1AF8AMQBfADEAXwAyAF8AXwAzAF8ARQBtAGkAcwBzAGkAbwBuAEYAYQBjAHQAbwByAEMAbwB0AHQAbwBuAF8ATABhAHQAZQB4AEUAcQB1AGEAdABpAG8AbgAiACwAIgBGAGUAcgB0AGkAbABpAHMAZQByAF8ARQBxAHUAYQB0AGkAbwBuAHMAXwBJAG4AbwByAGcAYQBuAGkAYwBOADIATwAuAFYARQBFAFIARwBfADUAXwAxAF8AMQBfADIAXwBfADMAXwBFAG0AaQBzAHMAaQBvAG4ARgBhAGMAdABvAHIAQwBvAHQAdABvAG4AXwBBAHIAZwB1AG0AZQBuAHQAcwAiACwAIgBGAGUAcgB0AGkAbABpAHMAZQByAF8ARQBxAHUAYQB0AGkAbwBuAHMAXwBJAG4AbwByAGcAYQBuAGkAYwBDAE8AMgAuAFYARQBFAFIARwBfADUAXwAxAF8AMQBfADMAXwBfADEAXwBJAG4AbwByAGcAYQBuAGkAYwBGAGUAcgB0AGkAbABpAHMAZQByAEEAcABwAGwAaQBjAGEAdABpAG8AbgBDAE8AMgBFAG0AaQBzAHMAaQBvAG4AcwAiACwAIgBGAGUAcgB0AGkAbABpAHMAZQByAF8ARQBxAHUAYQB0AGkAbwBuAHMAXwBJAG4AbwByAGcAYQBuAGkAYwBDAE8AMgAuAFYARQBFAFIARwBfADUAXwAxAF8AMQBfADMAXwBfADEAXwBJAG4AbwByAGcAYQBuAGkAYwBGAGUAcgB0AGkAbABpAHMAZQByAEEAcABwAGwAaQBjAGEAdABpAG8AbgBDAE8AMgBFAG0AaQBzAHMAaQBvAG4AcwBfAFQAaQB0AGwAZQAiACwAIgBGAGUAcgB0AGkAbABpAHMAZQByAF8ARQBxAHUAYQB0AGkAbwBuAHMAXwBJAG4AbwByAGcAYQBuAGkAYwBDAE8AMgAuAFYARQBFAFIARwBfADUAXwAxAF8AMQBfADMAXwBfADEAXwBJAG4AbwByAGcAYQBuAGkAYwBGAGUAcgB0AGkAbABpAHMAZQByAEEAcABwAGwAaQBjAGEAdABpAG8AbgBDAE8AMgBFAG0AaQBzAHMAaQBvAG4AcwBfAFYAYQByAGkAYQBiAGwAZQAiACwAIgBGAGUAcgB0AGkAbABpAHMAZQByAF8ARQBxAHUAYQB0AGkAbwBuAHMAXwBJAG4AbwByAGcAYQBuAGkAYwBDAE8AMgAuAFYARQBFAFIARwBfADUAXwAxAF8AMQBfADMAXwBfADEAXwBJAG4AbwByAGcAYQBuAGkAYwBGAGUAcgB0AGkAbABpAHMAZQByAEEAcABwAGwAaQBjAGEAdABpAG8AbgBDAE8AMgBFAG0AaQBzAHMAaQBvAG4AcwBfAFUAbgBpAHQAIgAsACIARgBlAHIAdABpAGwAaQBzAGUAcgBfAEUAcQB1AGEAdABpAG8AbgBzAF8ASQBuAG8AcgBnAGEAbgBpAGMAQwBPADIALgBWAEUARQBSAEcAXwA1AF8AMQBfADEAXwAzAF8AXwAxAF8ASQBuAG8AcgBnAGEAbgBpAGMARgBlAHIAdABpAGwAaQBzAGUAcgBBAHAAcABsAGkAYwBhAHQAaQBvAG4AQwBPADIARQBtAGkAcwBzAGkAbwBuAHMAXwBTAG8AdQByAGMAZQAiACwAIgBGAGUAcgB0AGkAbABpAHMAZQByAF8ARQBxAHUAYQB0AGkAbwBuAHMAXwBJAG4AbwByAGcAYQBuAGkAYwBDAE8AMgAuAFYARQBFAFIARwBfADUAXwAxAF8AMQBfADMAXwBfADEAXwBJAG4AbwByAGcAYQBuAGkAYwBGAGUAcgB0AGkAbABpAHMAZQByAEEAcABwAGwAaQBjAGEAdABpAG8AbgBDAE8AMgBFAG0AaQBzAHMAaQBvAG4AcwBfAE4ASQBSAFIAZQBmAGUAcgBlAG4AYwBlACIALAAiAEYAZQByAHQAaQBsAGkAcwBlAHIAXwBFAHEAdQBhAHQAaQBvAG4AcwBfAEkAbgBvAHIAZwBhAG4AaQBjAEMATwAyAC4AVgBFAEUAUgBHAF8ANQBfADEAXwAxAF8AMwBfAF8AMQBfAEkAbgBvAHIAZwBhAG4AaQBjAEYAZQByAHQAaQBsAGkAcwBlAHIAQQBwAHAAbABpAGMAYQB0AGkAbwBuAEMATwAyAEUAbQBpAHMAcwBpAG8AbgBzAF8ATABhAHQAZQB4AEUAcQB1AGEAdABpAG8AbgAiACwAIgBGAGUAcgB0AGkAbABpAHMAZQByAF8ARQBxAHUAYQB0AGkAbwBuAHMAXwBJAG4AbwByAGcAYQBuAGkAYwBDAE8AMgAuAFYARQBFAFIARwBfADUAXwAxAF8AMQBfADMAXwBfADEAXwBJAG4AbwByAGcAYQBuAGkAYwBGAGUAcgB0AGkAbABpAHMAZQByAEEAcABwAGwAaQBjAGEAdABpAG8AbgBDAE8AMgBFAG0AaQBzAHMAaQBvAG4AcwBfAEEAcgBnAHUAbQBlAG4AdABzACIALAAiAEYAZQByAHQAaQBsAGkAcwBlAHIAXwBFAHEAdQBhAHQAaQBvAG4AcwBfAEkAbgBvAHIAZwBhAG4AaQBjAEMATwAyAC4AVgBFAEUAUgBHAF8ANQBfADEAXwAxAF8AMwBfAF8AMgBfAE0AYQBzAHMATwBmAFUAcgBlAGEASQBuAEkAbgBvAHIAZwBhAG4AaQBjAEYAZQByAHQAaQBsAGkAcwBlAHIAIgAsACIARgBlAHIAdABpAGwAaQBzAGUAcgBfAEUAcQB1AGEAdABpAG8AbgBzAF8ASQBuAG8AcgBnAGEAbgBpAGMAQwBPADIALgBWAEUARQBSAEcAXwA1AF8AMQBfADEAXwAzAF8AXwAyAF8ATQBhAHMAcwBPAGYAVQByAGUAYQBJAG4ASQBuAG8AcgBnAGEAbgBpAGMARgBlAHIAdABpAGwAaQBzAGUAcgBfAFQAaQB0AGwAZQAiACwAIgBGAGUAcgB0AGkAbABpAHMAZQByAF8ARQBxAHUAYQB0AGkAbwBuAHMAXwBJAG4AbwByAGcAYQBuAGkAYwBDAE8AMgAuAFYARQBFAFIARwBfADUAXwAxAF8AMQBfADMAXwBfADIAXwBNAGEAcwBzAE8AZgBVAHIAZQBhAEkAbgBJAG4AbwByAGcAYQBuAGkAYwBGAGUAcgB0AGkAbABpAHMAZQByAF8AVgBhAHIAaQBhAGIAbABlACIALAAiAEYAZQByAHQAaQBsAGkAcwBlAHIAXwBFAHEAdQBhAHQAaQBvAG4AcwBfAEkAbgBvAHIAZwBhAG4AaQBjAEMATwAyAC4AVgBFAEUAUgBHAF8ANQBfADEAXwAxAF8AMwBfAF8AMgBfAE0AYQBzAHMATwBmAFUAcgBlAGEASQBuAEkAbgBvAHIAZwBhAG4AaQBjAEYAZQByAHQAaQBsAGkAcwBlAHIAXwBVAG4AaQB0ACIALAAiAEYAZQByAHQAaQBsAGkAcwBlAHIAXwBFAHEAdQBhAHQAaQBvAG4AcwBfAEkAbgBvAHIAZwBhAG4AaQBjAEMATwAyAC4AVgBFAEUAUgBHAF8ANQBfADEAXwAxAF8AMwBfAF8AMgBfAE0AYQBzAHMATwBmAFUAcgBlAGEASQBuAEkAbgBvAHIAZwBhAG4AaQBjAEYAZQByAHQAaQBsAGkAcwBlAHIAXwBTAG8AdQByAGMAZQAiACwAIgBGAGUAcgB0AGkAbABpAHMAZQByAF8ARQBxAHUAYQB0AGkAbwBuAHMAXwBJAG4AbwByAGcAYQBuAGkAYwBDAE8AMgAuAFYARQBFAFIARwBfADUAXwAxAF8AMQBfADMAXwBfADIAXwBNAGEAcwBzAE8AZgBVAHIAZQBhAEkAbgBJAG4AbwByAGcAYQBuAGkAYwBGAGUAcgB0AGkAbABpAHMAZQByAF8ATgBJAFIAUgBlAGYAZQByAGUAbgBjAGUAIgAsACIARgBlAHIAdABpAGwAaQBzAGUAcgBfAEUAcQB1AGEAdABpAG8AbgBzAF8ASQBuAG8AcgBnAGEAbgBpAGMAQwBPADIALgBWAEUARQBSAEcAXwA1AF8AMQBfADEAXwAzAF8AXwAyAF8ATQBhAHMAcwBPAGYAVQByAGUAYQBJAG4ASQBuAG8AcgBnAGEAbgBpAGMARgBlAHIAdABpAGwAaQBzAGUAcgBfAEwAYQB0AGUAeABFAHEAdQBhAHQAaQBvAG4AIgAsACIARgBlAHIAdABpAGwAaQBzAGUAcgBfAEUAcQB1AGEAdABpAG8AbgBzAF8ASQBuAG8AcgBnAGEAbgBpAGMAQwBPADIALgBWAEUARQBSAEcAXwA1AF8AMQBfADEAXwAzAF8AXwAyAF8ATQBhAHMAcwBPAGYAVQByAGUAYQBJAG4ASQBuAG8AcgBnAGEAbgBpAGMARgBlAHIAdABpAGwAaQBzAGUAcg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EMATwAyAEUAbQBpAHMAcwBpAG8AbgBzACIALAAiAEYAZQByAHQAaQBsAGkAcwBlAHIAXwBFAHEAdQBhAHQAaQBvAG4AcwBfAEwAaQBtAGUALgBWAEUARQBSAEcAXwA1AF8AMwBfADEAXwAxAF8AXwAxAF8ATABpAG0AZQBBAHAAcABsAGkAYwBhAHQAaQBvAG4AQwBPADIARQBtAGkAcwBzAGkAbwBuAHMAXwBUAGkAdABsAGUAIgAsACIARgBlAHIAdABpAGwAaQBzAGUAcgBfAEUAcQB1AGEAdABpAG8AbgBzAF8ATABpAG0AZQAuAFYARQBFAFIARwBfADUAXwAzAF8AMQBfADEAXwBfADEAXwBMAGkAbQBlAEEAcABwAGwAaQBjAGEAdABpAG8AbgBDAE8AMgBFAG0AaQBzAHMAaQBvAG4AcwBfAFYAYQByAGkAYQBiAGwAZQAiACwAIgBGAGUAcgB0AGkAbABpAHMAZQByAF8ARQBxAHUAYQB0AGkAbwBuAHMAXwBMAGkAbQBlAC4AVgBFAEUAUgBHAF8ANQBfADMAXwAxAF8AMQBfAF8AMQBfAEwAaQBtAGUAQQBwAHAAbABpAGMAYQB0AGkAbwBuAEMATwAyAEUAbQBpAHMAcwBpAG8AbgBzAF8AVQBuAGkAdAAiACwAIgBGAGUAcgB0AGkAbABpAHMAZQByAF8ARQBxAHUAYQB0AGkAbwBuAHMAXwBMAGkAbQBlAC4AVgBFAEUAUgBHAF8ANQBfADMAXwAxAF8AMQBfAF8AMQBfAEwAaQBtAGUAQQBwAHAAbABpAGMAYQB0AGkAbwBuAEMATwAyAEUAbQBpAHMAcwBpAG8AbgBzAF8AUwBvAHUAcgBjAGUAIgAsACIARgBlAHIAdABpAGwAaQBzAGUAcgBfAEUAcQB1AGEAdABpAG8AbgBzAF8ATABpAG0AZQAuAFYARQBFAFIARwBfADUAXwAzAF8AMQBfADEAXwBfADEAXwBMAGkAbQBlAEEAcABwAGwAaQBjAGEAdABpAG8AbgBDAE8AMgBFAG0AaQBzAHMAaQBvAG4AcwBfAE4ASQBSAFIAZQBmAGUAcgBlAG4AYwBlACIALAAiAEYAZQByAHQAaQBsAGkAcwBlAHIAXwBFAHEAdQBhAHQAaQBvAG4AcwBfAEwAaQBtAGUALgBWAEUARQBSAEcAXwA1AF8AMwBfADEAXwAxAF8AXwAxAF8ATABpAG0AZQBBAHAAcABsAGkAYwBhAHQAaQBvAG4AQwBPADIARQBtAGkAcwBzAGkAbwBuAHMAXwBMAGEAdABlAHgARQBxAHUAYQB0AGkAbwBuACIALAAiAEYAZQByAHQAaQBsAGkAcwBlAHIAXwBFAHEAdQBhAHQAaQBvAG4AcwBfAEwAaQBtAGUALgBWAEUARQBSAEcAXwA1AF8AMwBfADEAXwAxAF8AXwAxAF8ATABpAG0AZQBBAHAAcABsAGkAYwBhAHQAaQBvAG4AQwBPADIARQBtAGkAcwBzAGkAbwBuAHM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19</vt:i4>
      </vt:variant>
    </vt:vector>
  </HeadingPairs>
  <TitlesOfParts>
    <vt:vector size="32"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VEERG_5_1_1_1__1_InorganicFertiliserApplicationN2OEmissions_Result_Method1</vt:lpstr>
      <vt:lpstr>VEERG_5_1_1_1__1_InorganicFertiliserApplicationN2OEmissions_Result_Method2</vt:lpstr>
      <vt:lpstr>X_Cell_Fertiliser_AreaUnderCropping</vt:lpstr>
      <vt:lpstr>X_Cell_Fertiliser_CropType</vt:lpstr>
      <vt:lpstr>X_Cell_Fertiliser_IrrigationMethod</vt:lpstr>
      <vt:lpstr>X_Cell_Fertiliser_ProductionSystem</vt:lpstr>
      <vt:lpstr>X_Cell_Site_AverageTemperature</vt:lpstr>
      <vt:lpstr>X_Cell_Site_Elevation</vt:lpstr>
      <vt:lpstr>X_Cell_Site_FarmName</vt:lpstr>
      <vt:lpstr>X_Cell_Site_FrostDays</vt:lpstr>
      <vt:lpstr>X_Cell_Site_LeachingZone</vt:lpstr>
      <vt:lpstr>X_Cell_Site_PotentialEvapotranspiration</vt:lpstr>
      <vt:lpstr>X_Cell_Site_Region</vt:lpstr>
      <vt:lpstr>X_Cell_Site_ReportingEntityName</vt:lpstr>
      <vt:lpstr>X_Cell_Site_StartDate</vt:lpstr>
      <vt:lpstr>X_Cell_Site_State</vt:lpstr>
      <vt:lpstr>X_Cell_Site_TotalRainfall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2026-06-16T11:54:15Z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