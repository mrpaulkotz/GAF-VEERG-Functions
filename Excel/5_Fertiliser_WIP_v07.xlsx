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12B1B2B-E172-4486-A618-3A9F4C69B36F}" xr6:coauthVersionLast="47" xr6:coauthVersionMax="47" xr10:uidLastSave="{00000000-0000-0000-0000-000000000000}"/>
  <bookViews>
    <workbookView xWindow="1350" yWindow="360" windowWidth="36255" windowHeight="19140" firstSheet="3"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 i="116" l="1"/>
  <c r="D67" i="116"/>
  <c r="E66" i="116"/>
  <c r="D66" i="116"/>
  <c r="E65" i="116"/>
  <c r="D65" i="116"/>
  <c r="E41" i="116"/>
  <c r="E40" i="116"/>
  <c r="E39" i="116"/>
  <c r="E38" i="116"/>
  <c r="E37" i="116"/>
  <c r="E36" i="116"/>
  <c r="E35" i="116"/>
  <c r="E34" i="116"/>
  <c r="E33" i="116"/>
  <c r="E32" i="116"/>
  <c r="E31" i="116"/>
  <c r="E30" i="116"/>
  <c r="E29" i="116"/>
  <c r="E28" i="116"/>
  <c r="E27" i="116"/>
  <c r="E26" i="116"/>
  <c r="E25" i="116"/>
  <c r="E24" i="116"/>
  <c r="E23" i="116"/>
  <c r="E104" i="115"/>
  <c r="E103" i="115"/>
  <c r="E102" i="115"/>
  <c r="E37" i="115"/>
  <c r="E36" i="115"/>
  <c r="E35" i="115"/>
  <c r="E34" i="115"/>
  <c r="E33" i="115"/>
  <c r="E32" i="115"/>
  <c r="E31" i="115"/>
  <c r="E30" i="115"/>
  <c r="E29" i="115"/>
  <c r="E28" i="115"/>
  <c r="E27" i="115"/>
  <c r="E26" i="115"/>
  <c r="E25" i="115"/>
  <c r="E24" i="115"/>
  <c r="E23" i="115"/>
  <c r="E22" i="115"/>
  <c r="E21" i="115"/>
  <c r="E20" i="115"/>
  <c r="E19" i="115"/>
  <c r="H12" i="13"/>
  <c r="E12" i="13"/>
  <c r="E11" i="13"/>
  <c r="H10" i="13"/>
  <c r="E10" i="13"/>
  <c r="F9" i="13"/>
  <c r="E9" i="13"/>
  <c r="I60" i="116"/>
  <c r="I59" i="116"/>
  <c r="I58" i="116"/>
  <c r="I18" i="116"/>
  <c r="I17" i="116"/>
  <c r="I16" i="116"/>
  <c r="J54" i="115"/>
  <c r="J53" i="115"/>
  <c r="J52" i="115"/>
  <c r="I129" i="115"/>
  <c r="I128" i="115"/>
  <c r="I127" i="115"/>
  <c r="K48" i="113"/>
  <c r="K47" i="113"/>
  <c r="I52" i="74"/>
  <c r="S74" i="69"/>
  <c r="S73" i="69"/>
  <c r="S71" i="69"/>
  <c r="S70" i="69"/>
  <c r="I55" i="69"/>
  <c r="I54" i="69"/>
  <c r="I52" i="69"/>
  <c r="H18" i="70"/>
  <c r="H19" i="70"/>
  <c r="H20" i="70"/>
  <c r="H21" i="70"/>
  <c r="H22" i="70"/>
  <c r="F39" i="70" l="1"/>
  <c r="G39" i="70" s="1"/>
  <c r="K39" i="70"/>
  <c r="F28" i="70"/>
  <c r="G28" i="70" s="1"/>
  <c r="P28" i="70"/>
  <c r="G50" i="70"/>
  <c r="H50" i="70"/>
  <c r="I50" i="70" s="1"/>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6"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4" i="116"/>
  <c r="E49" i="116" a="1"/>
  <c r="E83" i="116" a="1"/>
  <c r="E7"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5" i="115"/>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0" i="115"/>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43" i="115" a="1"/>
  <c r="E90" i="115" a="1"/>
  <c r="E38" i="113" a="1"/>
  <c r="E7" i="113" a="1"/>
  <c r="E7" i="115" a="1"/>
  <c r="E7" i="114" a="1"/>
  <c r="E118" i="115"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D20" i="113"/>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F104" i="115" s="1" a="1"/>
  <c r="F104" i="115" s="1"/>
  <c r="E136" i="115" s="1"/>
  <c r="I21" i="113" a="1"/>
  <c r="I21" i="113" s="1"/>
  <c r="F102" i="115" a="1"/>
  <c r="F102" i="115" s="1"/>
  <c r="E134" i="115" s="1"/>
  <c r="E32" i="113" l="1"/>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E7" i="74" a="1"/>
  <c r="E42" i="69" a="1"/>
  <c r="N60"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I12" i="13" l="1"/>
  <c r="F12" i="13"/>
  <c r="I50"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F30" i="116" s="1" a="1"/>
  <c r="F30" i="116" s="1"/>
  <c r="E22" i="74" a="1"/>
  <c r="E22" i="74" s="1"/>
  <c r="G22" i="74" s="1" a="1"/>
  <c r="G22" i="74" s="1"/>
  <c r="E61" i="74" s="1" a="1"/>
  <c r="E61" i="74" s="1"/>
  <c r="E19" i="74" a="1"/>
  <c r="E19" i="74" s="1"/>
  <c r="G19" i="74" s="1" a="1"/>
  <c r="G19" i="74" s="1"/>
  <c r="E58" i="74" s="1" a="1"/>
  <c r="E58" i="74" s="1"/>
  <c r="G20" i="69" a="1"/>
  <c r="G20" i="69" s="1"/>
  <c r="F24" i="116" s="1" a="1"/>
  <c r="F24" i="116" s="1"/>
  <c r="E31" i="74" a="1"/>
  <c r="E31" i="74" s="1"/>
  <c r="G31" i="74" s="1" a="1"/>
  <c r="G31" i="74" s="1"/>
  <c r="E70" i="74" s="1" a="1"/>
  <c r="E70" i="74" s="1"/>
  <c r="E35" i="74" a="1"/>
  <c r="E35" i="74" s="1"/>
  <c r="G35" i="74" s="1" a="1"/>
  <c r="G35" i="74" s="1"/>
  <c r="E74" i="74" s="1" a="1"/>
  <c r="E74" i="74" s="1"/>
  <c r="G25" i="69" a="1"/>
  <c r="G25" i="69" s="1"/>
  <c r="F29" i="116" s="1" a="1"/>
  <c r="F29" i="116" s="1"/>
  <c r="G23" i="69" a="1"/>
  <c r="G23" i="69"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F31" i="116" s="1" a="1"/>
  <c r="F31" i="116" s="1"/>
  <c r="E21" i="74" a="1"/>
  <c r="E21" i="74" s="1"/>
  <c r="G21" i="74" s="1" a="1"/>
  <c r="G21" i="74" s="1"/>
  <c r="E60" i="74" s="1" a="1"/>
  <c r="E60" i="74" s="1"/>
  <c r="G21" i="69" a="1"/>
  <c r="G21" i="69" s="1"/>
  <c r="F25" i="116" s="1" a="1"/>
  <c r="F25" i="116" s="1"/>
  <c r="E28" i="74" a="1"/>
  <c r="E28" i="74" s="1"/>
  <c r="G28" i="74" s="1" a="1"/>
  <c r="G28" i="74" s="1"/>
  <c r="E67" i="74" s="1" a="1"/>
  <c r="E67" i="74" s="1"/>
  <c r="G29" i="69" a="1"/>
  <c r="G29" i="69" s="1"/>
  <c r="F33" i="116" s="1" a="1"/>
  <c r="F33" i="116" s="1"/>
  <c r="G28" i="69" a="1"/>
  <c r="G28" i="69" s="1"/>
  <c r="F32" i="116" s="1" a="1"/>
  <c r="F32" i="116" s="1"/>
  <c r="G35" i="69" a="1"/>
  <c r="G35" i="69" s="1"/>
  <c r="F39" i="116" s="1" a="1"/>
  <c r="F39" i="116" s="1"/>
  <c r="G31" i="69" a="1"/>
  <c r="G31" i="69"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F23" i="116" s="1" a="1"/>
  <c r="F23" i="116" s="1"/>
  <c r="E32" i="74" a="1"/>
  <c r="E32" i="74" s="1"/>
  <c r="G32" i="74" s="1" a="1"/>
  <c r="G32" i="74" s="1"/>
  <c r="E71" i="74" s="1" a="1"/>
  <c r="E71" i="74" s="1"/>
  <c r="G34" i="69" a="1"/>
  <c r="G34" i="69" s="1"/>
  <c r="F38" i="116" s="1" a="1"/>
  <c r="F38" i="116" s="1"/>
  <c r="E20" i="74" a="1"/>
  <c r="E20" i="74" s="1"/>
  <c r="G20" i="74" s="1" a="1"/>
  <c r="G20" i="74" s="1"/>
  <c r="E59" i="74" s="1" a="1"/>
  <c r="E59" i="74" s="1"/>
  <c r="G33" i="69" a="1"/>
  <c r="G33" i="69" s="1"/>
  <c r="F37" i="116" s="1" a="1"/>
  <c r="F37" i="116" s="1"/>
  <c r="G32" i="69" a="1"/>
  <c r="G32" i="69" s="1"/>
  <c r="F36" i="116" s="1" a="1"/>
  <c r="F36" i="116" s="1"/>
  <c r="G30" i="69" a="1"/>
  <c r="G30" i="69" s="1"/>
  <c r="F34" i="116" s="1" a="1"/>
  <c r="F34" i="116" s="1"/>
  <c r="E27" i="74" a="1"/>
  <c r="E27" i="74" s="1"/>
  <c r="G27" i="74" s="1" a="1"/>
  <c r="G27" i="74" s="1"/>
  <c r="E66" i="74" s="1" a="1"/>
  <c r="E66" i="74" s="1"/>
  <c r="G22" i="69" a="1"/>
  <c r="G22" i="69" s="1"/>
  <c r="F26" i="116" s="1" a="1"/>
  <c r="F26" i="116" s="1"/>
  <c r="E24" i="74" a="1"/>
  <c r="E24" i="74" s="1"/>
  <c r="G24" i="74" s="1" a="1"/>
  <c r="G24" i="74" s="1"/>
  <c r="E63" i="74" s="1" a="1"/>
  <c r="E63" i="74" s="1"/>
  <c r="G24" i="69" a="1"/>
  <c r="G24" i="69" s="1"/>
  <c r="F28" i="116" s="1" a="1"/>
  <c r="F28" i="116" s="1"/>
  <c r="G36" i="69" a="1"/>
  <c r="G36" i="69"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H37" i="115" a="1"/>
  <c r="H37" i="115" s="1"/>
  <c r="E77" i="115" s="1"/>
  <c r="F77" i="115" s="1" a="1"/>
  <c r="F77" i="115" s="1"/>
  <c r="F41" i="116" a="1"/>
  <c r="F41" i="116" s="1"/>
  <c r="E43" i="116" s="1"/>
  <c r="J89" i="116" s="1"/>
  <c r="E94" i="116" s="1" a="1"/>
  <c r="E94" i="116" s="1"/>
  <c r="E14" i="13" s="1"/>
  <c r="E78" i="74"/>
  <c r="S50" i="69" a="1"/>
  <c r="S50" i="69" s="1"/>
  <c r="R50" i="69" a="1"/>
  <c r="R50" i="69" s="1"/>
  <c r="Q50" i="69"/>
  <c r="V51" i="69" a="1"/>
  <c r="V51" i="69" s="1"/>
  <c r="H29" i="115" a="1"/>
  <c r="H29" i="115" s="1"/>
  <c r="E69" i="115" s="1"/>
  <c r="F69" i="115" s="1" a="1"/>
  <c r="F69" i="115" s="1"/>
  <c r="H22" i="115" a="1"/>
  <c r="H22" i="115" s="1"/>
  <c r="E62" i="115" s="1"/>
  <c r="F62" i="115" s="1" a="1"/>
  <c r="F62" i="115" s="1"/>
  <c r="H25" i="115" a="1"/>
  <c r="H25" i="115" s="1"/>
  <c r="E65" i="115" s="1"/>
  <c r="F65" i="115" s="1" a="1"/>
  <c r="F65" i="115" s="1"/>
  <c r="H34" i="115" a="1"/>
  <c r="H34" i="115" s="1"/>
  <c r="E74" i="115" s="1"/>
  <c r="F74" i="115" s="1" a="1"/>
  <c r="F74" i="115" s="1"/>
  <c r="H26" i="115" a="1"/>
  <c r="H26" i="115" s="1"/>
  <c r="E66" i="115" s="1"/>
  <c r="F66" i="115" s="1" a="1"/>
  <c r="F66" i="115" s="1"/>
  <c r="H24" i="115" a="1"/>
  <c r="H24" i="115" s="1"/>
  <c r="E64" i="115" s="1"/>
  <c r="F64" i="115" s="1" a="1"/>
  <c r="F64" i="115" s="1"/>
  <c r="H35" i="115" a="1"/>
  <c r="H35" i="115" s="1"/>
  <c r="E75" i="115" s="1"/>
  <c r="F75" i="115" s="1" a="1"/>
  <c r="F75" i="115" s="1"/>
  <c r="H23" i="115" a="1"/>
  <c r="H23" i="115" s="1"/>
  <c r="E63" i="115" s="1"/>
  <c r="F63" i="115" s="1" a="1"/>
  <c r="F63" i="115" s="1"/>
  <c r="H21" i="115" a="1"/>
  <c r="H21" i="115" s="1"/>
  <c r="E61" i="115" s="1"/>
  <c r="F61" i="115" s="1" a="1"/>
  <c r="F61" i="115" s="1"/>
  <c r="H19" i="115" a="1"/>
  <c r="H19" i="115" s="1"/>
  <c r="E59" i="115" s="1"/>
  <c r="F59" i="115" s="1" a="1"/>
  <c r="F59" i="115" s="1"/>
  <c r="H27" i="115" a="1"/>
  <c r="H27" i="115" s="1"/>
  <c r="E67" i="115" s="1"/>
  <c r="F67" i="115" s="1" a="1"/>
  <c r="F67" i="115" s="1"/>
  <c r="H30" i="115" a="1"/>
  <c r="H30" i="115" s="1"/>
  <c r="E70" i="115" s="1"/>
  <c r="F70" i="115" s="1" a="1"/>
  <c r="F70" i="115" s="1"/>
  <c r="H28" i="115" a="1"/>
  <c r="H28" i="115" s="1"/>
  <c r="E68" i="115" s="1"/>
  <c r="F68" i="115" s="1" a="1"/>
  <c r="F68" i="115" s="1"/>
  <c r="H33" i="115" a="1"/>
  <c r="H33" i="115" s="1"/>
  <c r="E73" i="115" s="1"/>
  <c r="F73" i="115" s="1" a="1"/>
  <c r="F73" i="115" s="1"/>
  <c r="H32" i="115" a="1"/>
  <c r="H32" i="115" s="1"/>
  <c r="E72" i="115" s="1"/>
  <c r="F72" i="115" s="1" a="1"/>
  <c r="F72" i="115" s="1"/>
  <c r="H31" i="115" a="1"/>
  <c r="H31" i="115" s="1"/>
  <c r="E71" i="115" s="1"/>
  <c r="F71" i="115" s="1" a="1"/>
  <c r="F71" i="115" s="1"/>
  <c r="H36" i="115" a="1"/>
  <c r="H36" i="115" s="1"/>
  <c r="E76" i="115" s="1"/>
  <c r="F76" i="115" s="1" a="1"/>
  <c r="F76" i="115" s="1"/>
  <c r="H20" i="115"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I10" i="13"/>
  <c r="F10" i="13"/>
  <c r="F14" i="13"/>
  <c r="G96" i="116"/>
  <c r="E99" i="116" s="1" a="1"/>
  <c r="E99" i="116" s="1"/>
  <c r="H14" i="13" s="1"/>
  <c r="I14" i="13" s="1"/>
  <c r="Q45" i="69"/>
  <c r="R45" i="69" a="1"/>
  <c r="R45" i="69" s="1"/>
  <c r="V46" i="69" a="1"/>
  <c r="V46" i="69" s="1"/>
  <c r="V47" i="69" a="1"/>
  <c r="V47" i="69" s="1"/>
  <c r="E78" i="69"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80" i="69" l="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P90" i="69" l="1"/>
  <c r="N93" i="69" s="1" a="1"/>
  <c r="N93" i="69" s="1"/>
  <c r="I9" i="13" s="1"/>
  <c r="I15" i="13" s="1"/>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<sst xmlns="http://schemas.openxmlformats.org/spreadsheetml/2006/main" count="547" uniqueCount="328">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</sst>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VEERG_5_1_1_1__1_InorganicFertiliserApplicationN2OEmissions_Result_Method1</f>
        <v>0.1431067</v>
      </c>
      <c r="F9" s="170">
        <f>VEERG_5_1_1_1__1_InorganicFertiliserApplicationN2OEmissions_Result_Method2</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VEERG_5_1_1_3__1_InorganicFertiliserApplicationCO2Emissions_Result_Method1</f>
        <v>7.333333333333333</v>
      </c>
      <c r="F10" s="170">
        <f>E10</f>
        <v>7.333333333333333</v>
      </c>
      <c r="G10" s="52" t="s">
        <v>260</v>
      </c>
      <c r="H10" s="102">
        <f>VEERG_5_1_1_3__1_InorganicFertiliserApplicationCO2Emissions_Result_Method1</f>
        <v>7.333333333333333</v>
      </c>
      <c r="I10" s="102">
        <f>H10</f>
        <v>7.333333333333333</v>
      </c>
      <c r="J10" s="52" t="s">
        <v>93</v>
      </c>
      <c r="K10" s="22"/>
    </row>
    <row r="11" spans="1:11" ht="20.100000000000001" customHeight="1" x14ac:dyDescent="0.25">
      <c r="A11" s="19" t="s">
        <v>69</v>
      </c>
      <c r="C11" s="22"/>
      <c r="D11" s="1" t="s">
        <v>297</v>
      </c>
      <c r="E11" s="170">
        <f>VEERG_5_2_1_1__2_MassOfNitrogenInOrganicFertiliser_Result_Method1</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VEERG_5_3_1_1__1_LimeApplicationCO2Emissions_Result_Method1</f>
        <v>75.808333333333337</v>
      </c>
      <c r="F12" s="170">
        <f>E12</f>
        <v>75.808333333333337</v>
      </c>
      <c r="G12" s="52" t="s">
        <v>260</v>
      </c>
      <c r="H12" s="102">
        <f>VEERG_5_3_1_1__1_LimeApplicationCO2Emissions_Result_Method1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VEERG_5_5_1_1__1_FertiliserLeachingAndRunoffN2OEmissions_result_Method1</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topLeftCell="A5" zoomScale="85" zoomScaleNormal="85" workbookViewId="0">
      <selection activeCell="E9" sqref="E9"/>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X_Cell_Fertiliser_ProductionSystem</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X_Cell_Fertiliser_IrrigationMethod</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X_Cell_Site_RainfallZone</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X_Cell_Fertiliser_ProductionSystem</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X_Cell_Fertiliser_CropType</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X_Cell_Fertiliser_IrrigationMethod</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X_Cell_Site_RainfallZone</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X_Cell_Fertiliser_ProductionSystem</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X_Cell_Fertiliser_ProductionSystem</f>
        <v>Crop</v>
      </c>
    </row>
    <row r="48" spans="1:12" ht="20.100000000000001" customHeight="1" x14ac:dyDescent="0.25">
      <c r="D48" s="147" t="str">
        <v>i</v>
      </c>
      <c r="E48" s="154" t="str">
        <v>Wet or dry climate zone</v>
      </c>
      <c r="F48" s="155"/>
      <c r="G48" s="155"/>
      <c r="H48" s="153"/>
      <c r="I48" s="147" t="str">
        <v/>
      </c>
      <c r="J48" s="120" t="str">
        <v>Input</v>
      </c>
      <c r="K48" s="147" t="str">
        <f>X_Cell_Site_WetOrDryClimateZone</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12" t="s">
        <v>254</v>
      </c>
      <c r="E24" s="112" t="s">
        <v>255</v>
      </c>
      <c r="F24" s="112" t="s">
        <v>256</v>
      </c>
      <c r="G24" s="112"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INDEX(Table_MN_j_f,2,4)</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INDEX(Table_MN_j_f,3,4)</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INDEX(Table_MN_j_f,4,4)</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INDEX(Table_MN_j_f,5,4)</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INDEX(Table_MN_j_f,6,4)</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INDEX(Table_MN_j_f,7,4)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INDEX(Table_MN_j_f,8,4)</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INDEX(Table_MN_j_f,9,4)</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INDEX(Table_MN_j_f,10,4)</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INDEX(Table_MN_j_f,11,4)</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INDEX(Table_MN_j_f,12,4)</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INDEX(Table_MN_j_f,13,4)</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INDEX(Table_MN_j_f,14,4)</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INDEX(Table_MN_j_f,15,4)</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INDEX(Table_MN_j_f,16,4)</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INDEX(Table_MN_j_f,17,4)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INDEX(Table_MN_j_f,18,4)</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INDEX(Table_MN_j_f,19,4)</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INDEX(Table_MN_j_f,20,4)</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X_Cell_Fertiliser_ProductionSystem</f>
        <v>Crop</v>
      </c>
    </row>
    <row r="53" spans="1:10" ht="20.100000000000001" customHeight="1" x14ac:dyDescent="0.25">
      <c r="D53" s="147" t="str">
        <v>ir</v>
      </c>
      <c r="E53" s="154" t="str">
        <v>irrigation method</v>
      </c>
      <c r="F53" s="155"/>
      <c r="G53" s="153"/>
      <c r="H53" s="147" t="str">
        <v/>
      </c>
      <c r="I53" s="120" t="str">
        <v>Input</v>
      </c>
      <c r="J53" s="147" t="str">
        <f>X_Cell_Fertiliser_IrrigationMethod</f>
        <v>Sprinkler irrigation</v>
      </c>
    </row>
    <row r="54" spans="1:10" ht="20.100000000000001" customHeight="1" x14ac:dyDescent="0.25">
      <c r="D54" s="147" t="str">
        <v>r</v>
      </c>
      <c r="E54" s="154" t="str">
        <v>rainfall region</v>
      </c>
      <c r="F54" s="155"/>
      <c r="G54" s="153"/>
      <c r="H54" s="147" t="str">
        <v/>
      </c>
      <c r="I54" s="120" t="str">
        <v>Input</v>
      </c>
      <c r="J54" s="147" t="str">
        <f>X_Cell_Site_RainfallZone</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INDEX(Table_MNSoil_j_f,2,6)</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INDEX(Table_MNSoil_j_f,3,6)</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INDEX(Table_MNSoil_j_f,4,6)</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X_Cell_Fertiliser_ProductionSystem</f>
        <v>Crop</v>
      </c>
    </row>
    <row r="128" spans="3:12" ht="20.100000000000001" customHeight="1" x14ac:dyDescent="0.25">
      <c r="D128" s="147" t="str">
        <v>ir</v>
      </c>
      <c r="E128" s="154" t="str">
        <v>irrigation method</v>
      </c>
      <c r="F128" s="153"/>
      <c r="G128" s="147" t="str">
        <v/>
      </c>
      <c r="H128" s="120" t="str">
        <v>Input</v>
      </c>
      <c r="I128" s="147" t="str">
        <f>X_Cell_Fertiliser_IrrigationMethod</f>
        <v>Sprinkler irrigation</v>
      </c>
    </row>
    <row r="129" spans="4:9" ht="20.100000000000001" customHeight="1" x14ac:dyDescent="0.25">
      <c r="D129" s="147" t="str">
        <v>r</v>
      </c>
      <c r="E129" s="154" t="str">
        <v>rainfall region</v>
      </c>
      <c r="F129" s="153"/>
      <c r="G129" s="147" t="str">
        <v/>
      </c>
      <c r="H129" s="120" t="str">
        <v>Input</v>
      </c>
      <c r="I129" s="147" t="str">
        <f>X_Cell_Site_RainfallZone</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X_Cell_Site_LeachingZone</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X_Cell_Fertiliser_ProductionSystem</f>
        <v>Crop</v>
      </c>
    </row>
    <row r="18" spans="1:9" ht="20.100000000000001" customHeight="1" x14ac:dyDescent="0.25">
      <c r="D18" s="147" t="str">
        <v>ir</v>
      </c>
      <c r="E18" s="154" t="str">
        <v>irrigation method</v>
      </c>
      <c r="F18" s="153"/>
      <c r="G18" s="147" t="str">
        <v/>
      </c>
      <c r="H18" s="120" t="str">
        <v>Input</v>
      </c>
      <c r="I18" s="147" t="str">
        <f>X_Cell_Fertiliser_IrrigationMethod</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INDEX(Table_MN_j_f,2,4)</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INDEX(Table_MN_j_f,3,4)</f>
        <v>0</v>
      </c>
      <c r="F24" s="50" cm="1">
        <f t="array" ref="F24">Fertiliser_Equations_LeachingAndRunoff.VEERG_5_5_1_1__2_MassOfNitrogenLeachedFromInorganicFertiliser(E24, $I$14, $I$15)</f>
        <v>0</v>
      </c>
    </row>
    <row r="25" spans="1:9" ht="20.100000000000001" customHeight="1" x14ac:dyDescent="0.25">
      <c r="D25" s="50" t="str">
        <v>Urea</v>
      </c>
      <c r="E25" s="50">
        <f>INDEX(Table_MN_j_f,4,4)</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INDEX(Table_MN_j_f,5,4)</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INDEX(Table_MN_j_f,6,4)</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INDEX(Table_MN_j_f,7,4)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INDEX(Table_MN_j_f,8,4)</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INDEX(Table_MN_j_f,9,4)</f>
        <v>0</v>
      </c>
      <c r="F30" s="50" cm="1">
        <f t="array" ref="F30">Fertiliser_Equations_LeachingAndRunoff.VEERG_5_5_1_1__2_MassOfNitrogenLeachedFromInorganicFertiliser(E30, $I$14, $I$15)</f>
        <v>0</v>
      </c>
    </row>
    <row r="31" spans="1:9" ht="20.100000000000001" customHeight="1" x14ac:dyDescent="0.25">
      <c r="D31" s="50" t="str">
        <v>Nitrogen - Nitrate</v>
      </c>
      <c r="E31" s="50">
        <f>INDEX(Table_MN_j_f,10,4)</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INDEX(Table_MN_j_f,11,4)</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INDEX(Table_MN_j_f,12,4)</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INDEX(Table_MN_j_f,13,4)</f>
        <v>0</v>
      </c>
      <c r="F34" s="50" cm="1">
        <f t="array" ref="F34">Fertiliser_Equations_LeachingAndRunoff.VEERG_5_5_1_1__2_MassOfNitrogenLeachedFromInorganicFertiliser(E34, $I$14, $I$15)</f>
        <v>0</v>
      </c>
    </row>
    <row r="35" spans="1:11" ht="20.100000000000001" customHeight="1" x14ac:dyDescent="0.25">
      <c r="D35" s="50" t="str">
        <v>Sulfur - Generic</v>
      </c>
      <c r="E35" s="50">
        <f>INDEX(Table_MN_j_f,14,4)</f>
        <v>0</v>
      </c>
      <c r="F35" s="50" cm="1">
        <f t="array" ref="F35">Fertiliser_Equations_LeachingAndRunoff.VEERG_5_5_1_1__2_MassOfNitrogenLeachedFromInorganicFertiliser(E35, $I$14, $I$15)</f>
        <v>0</v>
      </c>
    </row>
    <row r="36" spans="1:11" ht="20.100000000000001" customHeight="1" x14ac:dyDescent="0.25">
      <c r="D36" s="50" t="str">
        <v>Zinc - Generic</v>
      </c>
      <c r="E36" s="50">
        <f>INDEX(Table_MN_j_f,15,4)</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INDEX(Table_MN_j_f,16,4)</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INDEX(Table_MN_j_f,17,4)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INDEX(Table_MN_j_f,18,4)</f>
        <v>0</v>
      </c>
      <c r="F39" s="50" cm="1">
        <f t="array" ref="F39">Fertiliser_Equations_LeachingAndRunoff.VEERG_5_5_1_1__2_MassOfNitrogenLeachedFromInorganicFertiliser(E39, $I$14, $I$15)</f>
        <v>0</v>
      </c>
    </row>
    <row r="40" spans="1:11" ht="20.100000000000001" customHeight="1" x14ac:dyDescent="0.25">
      <c r="D40" s="50" t="str">
        <v>Ammonia</v>
      </c>
      <c r="E40" s="50">
        <f>INDEX(Table_MN_j_f,19,4)</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INDEX(Table_MN_j_f,20,4)</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X_Cell_Site_LeachingZone</f>
        <v>NO - Not in leaching zone</v>
      </c>
    </row>
    <row r="59" spans="4:9" ht="20.100000000000001" customHeight="1" x14ac:dyDescent="0.25">
      <c r="D59" s="147" t="str">
        <v>j</v>
      </c>
      <c r="E59" s="154" t="str">
        <v>production system</v>
      </c>
      <c r="F59" s="153"/>
      <c r="G59" s="147" t="str">
        <v/>
      </c>
      <c r="H59" s="120" t="str">
        <v>Input</v>
      </c>
      <c r="I59" s="147" t="str">
        <f>X_Cell_Fertiliser_ProductionSystem</f>
        <v>Crop</v>
      </c>
    </row>
    <row r="60" spans="4:9" ht="20.100000000000001" customHeight="1" x14ac:dyDescent="0.25">
      <c r="D60" s="147" t="str">
        <v>ir</v>
      </c>
      <c r="E60" s="154" t="str">
        <v>irrigation method</v>
      </c>
      <c r="F60" s="153"/>
      <c r="G60" s="147" t="str">
        <v/>
      </c>
      <c r="H60" s="120" t="str">
        <v>Input</v>
      </c>
      <c r="I60" s="147" t="str">
        <f>X_Cell_Fertiliser_IrrigationMethod</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INDEX(Table_MNSoil_j_f,2,1)</f>
        <v>Manure - Other</v>
      </c>
      <c r="E65" s="50">
        <f>INDEX(Table_MNSoil_j_f,2,6)</f>
        <v>300</v>
      </c>
      <c r="F65" s="50" cm="1">
        <f t="array" ref="F65">Fertiliser_Equations_LeachingAndRunoff.VEERG_5_5_1_1__3_MassOfNitrogenLeachedFromOrganicFertiliser(E65,$I$56, $I$57)</f>
        <v>72</v>
      </c>
    </row>
    <row r="66" spans="1:11" ht="20.100000000000001" customHeight="1" x14ac:dyDescent="0.25">
      <c r="D66" s="50" t="str">
        <f>INDEX(Table_MNSoil_j_f,3,1)</f>
        <v>Manure - Poultry</v>
      </c>
      <c r="E66" s="50">
        <f>INDEX(Table_MNSoil_j_f,3,6)</f>
        <v>250</v>
      </c>
      <c r="F66" s="50" cm="1">
        <f t="array" ref="F66">Fertiliser_Equations_LeachingAndRunoff.VEERG_5_5_1_1__3_MassOfNitrogenLeachedFromOrganicFertiliser(E66,$I$56, $I$57)</f>
        <v>60</v>
      </c>
    </row>
    <row r="67" spans="1:11" ht="20.100000000000001" customHeight="1" x14ac:dyDescent="0.25">
      <c r="D67" s="50" t="str">
        <f>INDEX(Table_MNSoil_j_f,4,1)</f>
        <v>Other organic fertiliser</v>
      </c>
      <c r="E67" s="50">
        <f>INDEX(Table_MNSoil_j_f,4,6)</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zoomScale="85" zoomScaleNormal="85" workbookViewId="0">
      <selection activeCell="D21" sqref="D21:D3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45</vt:i4>
      </vt:variant>
    </vt:vector>
  </HeadingPairs>
  <TitlesOfParts>
    <vt:vector size="5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