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931C84A-75D9-4CD0-9522-3951470F2DFE}" xr6:coauthVersionLast="47" xr6:coauthVersionMax="47" xr10:uidLastSave="{00000000-0000-0000-0000-000000000000}"/>
  <bookViews>
    <workbookView xWindow="3120" yWindow="3120" windowWidth="28800" windowHeight="15345" firstSheet="1"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9"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1" i="70" l="1"/>
  <c r="E180" i="70"/>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13" i="15"/>
  <c r="A20" i="72"/>
  <c r="A19" i="72"/>
  <c r="A18" i="72"/>
  <c r="A17" i="72"/>
  <c r="A13" i="72"/>
  <c r="A9" i="72"/>
  <c r="A8" i="72"/>
  <c r="A4" i="72"/>
  <c r="A3" i="72"/>
  <c r="A20" i="43"/>
  <c r="A19" i="43"/>
  <c r="A18" i="43"/>
  <c r="A17" i="43"/>
  <c r="A13" i="43"/>
  <c r="A9" i="43"/>
  <c r="A8" i="43"/>
  <c r="A4" i="43"/>
  <c r="A3" i="43"/>
  <c r="A20" i="109"/>
  <c r="A19" i="109"/>
  <c r="A18" i="109"/>
  <c r="A17" i="109"/>
  <c r="A13" i="109"/>
  <c r="A9" i="109"/>
  <c r="A8" i="109"/>
  <c r="A4" i="109"/>
  <c r="A3" i="109"/>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A20" i="71"/>
  <c r="A19" i="71"/>
  <c r="A18" i="71"/>
  <c r="A17" i="71"/>
  <c r="A13" i="71"/>
  <c r="A9" i="71"/>
  <c r="A8" i="71"/>
  <c r="A4" i="71"/>
  <c r="A3" i="71"/>
  <c r="D9" i="79"/>
  <c r="D8" i="79"/>
  <c r="X164" i="69"/>
  <c r="G131"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H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c r="D34" i="109" a="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c r="D5" i="109" a="1"/>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G128" i="70"/>
  <c r="F128" i="70"/>
  <c r="E128" i="70"/>
  <c r="D125" i="70"/>
  <c r="K124" i="70"/>
  <c r="J124" i="70"/>
  <c r="K123" i="70"/>
  <c r="J123" i="70"/>
  <c r="K122" i="70"/>
  <c r="J122" i="70"/>
  <c r="K121" i="70"/>
  <c r="J121" i="70"/>
  <c r="E121" i="70"/>
  <c r="D127" i="70" s="1"/>
  <c r="D128" i="70" s="1"/>
  <c r="E120" i="70"/>
  <c r="D126" i="70" s="1"/>
  <c r="M114" i="70"/>
  <c r="L114" i="70"/>
  <c r="M113" i="70"/>
  <c r="L113" i="70"/>
  <c r="M112" i="70"/>
  <c r="L112" i="70"/>
  <c r="M111" i="70"/>
  <c r="L111"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M31" i="70"/>
  <c r="L31" i="70"/>
  <c r="D31" i="70"/>
  <c r="F31" i="70" s="1"/>
  <c r="D30" i="70"/>
  <c r="H30" i="70" s="1"/>
  <c r="D29" i="70"/>
  <c r="F29" i="70" s="1"/>
  <c r="D28" i="70"/>
  <c r="N28" i="70" s="1"/>
  <c r="D27" i="70"/>
  <c r="I27" i="70" s="1"/>
  <c r="D26" i="70"/>
  <c r="I26" i="70" s="1"/>
  <c r="D25" i="70"/>
  <c r="I25" i="70" s="1"/>
  <c r="D24" i="70"/>
  <c r="K24" i="70" s="1"/>
  <c r="D23" i="70"/>
  <c r="H23" i="70" s="1"/>
  <c r="E7" i="70"/>
  <c r="M122" i="70" l="1"/>
  <c r="L122" i="70"/>
  <c r="L123" i="70"/>
  <c r="M121" i="70"/>
  <c r="N25" i="70"/>
  <c r="M123" i="70"/>
  <c r="N123" i="70" s="1"/>
  <c r="O123" i="70" s="1"/>
  <c r="M124" i="70"/>
  <c r="H48" i="109"/>
  <c r="H50" i="109"/>
  <c r="M32" i="70"/>
  <c r="H53" i="109"/>
  <c r="N27" i="70"/>
  <c r="F27" i="70"/>
  <c r="F25" i="70"/>
  <c r="M34" i="70"/>
  <c r="G25" i="70"/>
  <c r="H27" i="70"/>
  <c r="F34" i="70"/>
  <c r="G34" i="70"/>
  <c r="E25" i="70"/>
  <c r="H34" i="70"/>
  <c r="M28" i="70"/>
  <c r="H49" i="109"/>
  <c r="E34" i="70"/>
  <c r="L28" i="70"/>
  <c r="H25" i="70"/>
  <c r="H54" i="109"/>
  <c r="H51" i="109"/>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21" i="70"/>
  <c r="M29" i="70"/>
  <c r="K29" i="70"/>
  <c r="J29" i="70"/>
  <c r="I29" i="70"/>
  <c r="H29" i="70"/>
  <c r="E31" i="70"/>
  <c r="N31" i="70"/>
  <c r="E29" i="70"/>
  <c r="G31" i="70"/>
  <c r="N122" i="70"/>
  <c r="O122" i="70" s="1"/>
  <c r="L24" i="70"/>
  <c r="J24" i="70"/>
  <c r="I24" i="70"/>
  <c r="H24" i="70"/>
  <c r="G24" i="70"/>
  <c r="N30" i="70"/>
  <c r="M30" i="70"/>
  <c r="L30" i="70"/>
  <c r="K30" i="70"/>
  <c r="K33" i="70"/>
  <c r="I33" i="70"/>
  <c r="H33" i="70"/>
  <c r="G33" i="70"/>
  <c r="F33" i="70"/>
  <c r="E24" i="70"/>
  <c r="E33" i="70"/>
  <c r="F24" i="70"/>
  <c r="N29" i="70"/>
  <c r="K31" i="70"/>
  <c r="J33" i="70"/>
  <c r="M24" i="70"/>
  <c r="L124"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24" i="70" l="1"/>
  <c r="O124" i="70" s="1"/>
  <c r="N121" i="70"/>
  <c r="O121"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O115" i="69" l="1"/>
  <c r="O107" i="69"/>
  <c r="F128" i="69"/>
  <c r="AF117" i="69"/>
  <c r="AF149" i="69"/>
  <c r="O85" i="69"/>
  <c r="E94" i="69"/>
  <c r="E73" i="69"/>
  <c r="D21" i="69" l="1"/>
  <c r="E29" i="69" s="1" a="1"/>
  <c r="E29" i="69" s="1"/>
  <c r="U23" i="69"/>
  <c r="U22"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6" i="69" l="1" a="1"/>
  <c r="W166" i="69" s="1"/>
  <c r="U163" i="69" a="1"/>
  <c r="U163"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l="1"/>
  <c r="G130" i="69"/>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E133" i="69" a="1"/>
  <c r="E133" i="69" s="1"/>
  <c r="H7" i="13" s="1"/>
  <c r="F7" i="13" l="1"/>
  <c r="X163" i="69"/>
  <c r="V166" i="69" a="1"/>
  <c r="V166"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<sst xmlns="http://schemas.openxmlformats.org/spreadsheetml/2006/main" count="1176" uniqueCount="304">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</sst>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4A4AD8-D37F-44A9-84F4-A59BC0A6848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46C230-F63E-4B2E-ACA5-B2857E87A884}" name="State/Territory">
      <calculatedColumnFormula array="1">Common_InputFunctions.Utility_DisplayArrayInTable(Common_SourceData.Common_SourceData_AustralianStatesTerritories_Data(),Table_AustralianStates[[#Headers],[State/Territory]],0)</calculatedColumnFormula>
    </tableColumn>
    <tableColumn id="2" xr3:uid="{910B531D-BF25-4447-941F-B63CDA018252}" name="Common Name">
      <calculatedColumnFormula array="1">Common_InputFunctions.Utility_DisplayArrayInTable(Common_SourceData.Common_SourceData_AustralianStatesTerritories_Data(),Table_AustralianStates[[#Headers],[State/Territory]],0)</calculatedColumnFormula>
    </tableColumn>
    <tableColumn id="3" xr3:uid="{8F67BDCC-3AD0-4EB1-9194-8B9E9E233F4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9E21B2-3CAE-4D68-8065-FDC9D9E947E8}" name="Table_WASA4Areas" displayName="Table_WASA4Areas" ref="D20:D30" totalsRowShown="0">
  <autoFilter ref="D20:D30" xr:uid="{5FA81339-C6C8-4D36-BEEA-6C4AEDD9E676}">
    <filterColumn colId="0" hiddenButton="1"/>
  </autoFilter>
  <tableColumns count="1">
    <tableColumn id="1" xr3:uid="{31276103-29EA-4DA2-9C0B-ED1DC171EA9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E06579-D408-48CD-AC44-5FF27E5735C8}" name="Table_GWPData" displayName="Table_GWPData" ref="D36:E43" totalsRowShown="0">
  <autoFilter ref="D36:E43" xr:uid="{B8E87A66-3E41-4AD3-925D-01EE21B43D7A}">
    <filterColumn colId="0" hiddenButton="1"/>
    <filterColumn colId="1" hiddenButton="1"/>
  </autoFilter>
  <tableColumns count="2">
    <tableColumn id="1" xr3:uid="{63E97C28-E1DB-495C-9034-F5AB7C2498CD}" name="Gas">
      <calculatedColumnFormula array="1">Common_InputFunctions.Utility_DisplayArrayInTable(Common_SourceData.Common_SourceData_GWP_Data(), Table_GWPData[[#Headers],[Gas]], 0)</calculatedColumnFormula>
    </tableColumn>
    <tableColumn id="2" xr3:uid="{3E5BE3E3-AF06-4307-A9A2-FBCC1DBADD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4F6272-D155-4BA3-99B0-C9F6E7463AF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D4B9280-ABFD-47EB-AEB3-5A13A4E2E367}" name="Gas">
      <calculatedColumnFormula array="1">Common_InputFunctions.Utility_DisplayArrayInTable(Common_SourceData.Common_SourceData_ConvertGasElementalToMolecular_Data(),Table_GasToMolecularConversionFactor[[#Headers],[Gas]], 0)</calculatedColumnFormula>
    </tableColumn>
    <tableColumn id="5" xr3:uid="{0B3FD21F-D9A0-465D-840B-0597FA3C6A27}" name="Conversion factor">
      <calculatedColumnFormula array="1">Common_InputFunctions.Utility_DisplayArrayInTable(Common_SourceData.Common_SourceData_ConvertGasElementalToMolecular_Data(),Table_GasToMolecularConversionFactor[[#Headers],[Gas]], 0)</calculatedColumnFormula>
    </tableColumn>
    <tableColumn id="2" xr3:uid="{2C38FB22-EF63-4B06-B565-98A8C3FC36D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2F957DE-9BE1-480C-A6C9-9BD9CAB217D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6940B4A-5A02-4300-82BC-96F672D3098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1ADE98F-9FAE-4DB7-B481-483885409BD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B9844FE-EB5C-44CC-9088-8DC4F212CB3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6F39DDC-F3E5-4613-90F5-5D7AA6EA889D}"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DF59FA5C-53A9-491F-9769-0C308660EAAD}"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1E1CC794-BDEE-4201-98B3-52B3C8E326B6}"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3787A44D-D2C9-4708-9FFC-11F628169C0D}"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E06AB760-AF56-4E50-AD1B-1E861BBC0B39}"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51BF2A73-1EE7-418A-9A4D-7E49D944E3BD}"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E29091F2-919D-48E1-9F8B-A5488BEC706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A5ABE2CE-D46A-4478-9F2A-51D3795113A2}"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C3FC9DDE-8242-4CB8-BAE8-52C782B7D9BE}"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C34F942A-F0B9-48A7-96A1-94EED6121AFE}"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E3B92838-94F6-4121-A5EF-64BE93D9CB9A}"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D3524A52-0657-452F-850B-69A506439B6E}"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CF670D3D-5678-496A-96E7-3517EA18CB58}"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7AF214CB-0EA5-4772-BDAD-8EB463CF8068}"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6714CD2F-CABE-495E-BF65-55674E59BCE3}"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0A2712-941F-4B34-B8BE-4D7D129413A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80F95A0-0C48-4FA1-9A63-7AB683AC07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8D2238E-C2B8-4705-8625-CFA1EDB08D98}"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8E89933-EDBF-45C0-85E7-E95F18A8EE4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0C1258A-D012-49B8-9BB8-0C2C964731E4}" name="Temperature Zone">
      <calculatedColumnFormula array="1">Common_InputFunctions.Utility_DisplayArrayInTable(Common_SourceData.Common_SourceData_TemperatureZones_Data(),Table_SourceData_TemperatureZones[[#Headers],[Temperature Zone]],0)</calculatedColumnFormula>
    </tableColumn>
    <tableColumn id="2" xr3:uid="{7181AE95-72D1-4D72-814C-97AA98D1B240}" name="MAT">
      <calculatedColumnFormula array="1">Common_InputFunctions.Utility_DisplayArrayInTable(Common_SourceData.Common_SourceData_TemperatureZones_Data(),Table_SourceData_TemperatureZones[[#Headers],[Temperature Zone]],0)</calculatedColumnFormula>
    </tableColumn>
    <tableColumn id="3" xr3:uid="{BCE718A9-3B1F-4BD2-80F9-C2742BA2018C}" name="Min MAT">
      <calculatedColumnFormula array="1">Common_InputFunctions.Utility_DisplayArrayInTable(Common_SourceData.Common_SourceData_TemperatureZones_Data(),Table_SourceData_TemperatureZones[[#Headers],[Temperature Zone]],0)</calculatedColumnFormula>
    </tableColumn>
    <tableColumn id="4" xr3:uid="{4A695658-AF3B-46FC-BED9-35B6DD742EB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E010B1-4497-435F-8E08-AD01F4811AF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8E673AF-8FBF-434D-BDE1-B95E681B5DFB}" name="Rainfall Zone">
      <calculatedColumnFormula array="1">Common_InputFunctions.Utility_DisplayArrayInTable(Common_SourceData.Common_SourceData_RainfallZones_Data(),Table_SourceData_RainfallZones[[#Headers],[Rainfall Zone]],0)</calculatedColumnFormula>
    </tableColumn>
    <tableColumn id="2" xr3:uid="{C92E7EFE-240C-40FA-973D-6725E047B6EB}" name="Annual rainfall">
      <calculatedColumnFormula array="1">Common_InputFunctions.Utility_DisplayArrayInTable(Common_SourceData.Common_SourceData_RainfallZones_Data(),Table_SourceData_RainfallZones[[#Headers],[Rainfall Zone]],0)</calculatedColumnFormula>
    </tableColumn>
    <tableColumn id="3" xr3:uid="{EF921746-B038-4CF7-BE15-8C64F3B00FE7}" name="Min rainfall">
      <calculatedColumnFormula array="1">Common_InputFunctions.Utility_DisplayArrayInTable(Common_SourceData.Common_SourceData_RainfallZones_Data(),Table_SourceData_RainfallZones[[#Headers],[Rainfall Zone]],0)</calculatedColumnFormula>
    </tableColumn>
    <tableColumn id="4" xr3:uid="{54D062E7-1434-42FD-B814-5108D800151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EEB92-631D-49A8-9FB7-141C834229D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F8C29DC-49BF-419F-8011-4361AE8BD017}" name="Leaching Zone">
      <calculatedColumnFormula array="1">Common_InputFunctions.Utility_DisplayArrayInTable(Common_SourceData.Common_SourceData_LeachingZones_Data(), Table_SourceData_LeachingZones[[#Headers],[Leaching Zone]], 0)</calculatedColumnFormula>
    </tableColumn>
    <tableColumn id="2" xr3:uid="{509CFCDE-F9E6-4637-8120-894163CA07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423CB63-B684-4925-BDCE-3BD9A715CF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E42A113-6683-4AC8-B2CE-FBCF71DCAC97}" name="Data source">
      <calculatedColumnFormula array="1">Common_InputFunctions.Utility_DisplayArrayInTable(Common_SourceData.Common_SourceData_DataScores_Scope3_Data(), Table_SourceData_DataScores_Scope3[[#Headers],[Data source]], 0)</calculatedColumnFormula>
    </tableColumn>
    <tableColumn id="2" xr3:uid="{29E436E6-73FE-4473-842D-E16872FFEF8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03C1137-7186-414A-B000-03A0AC011680}" name="Table_SourceData_FracWET" displayName="Table_SourceData_FracWET" ref="D134:E136" totalsRowShown="0">
  <autoFilter ref="D134:E136" xr:uid="{308E99BE-FE1F-47A4-B2CA-97217277C4E9}">
    <filterColumn colId="0" hiddenButton="1"/>
    <filterColumn colId="1" hiddenButton="1"/>
  </autoFilter>
  <tableColumns count="2">
    <tableColumn id="1" xr3:uid="{DE0327F0-F5B2-42B6-A175-92633730D2A1}" name="Is in leaching zone">
      <calculatedColumnFormula array="1">Common_InputFunctions.Utility_DisplayArrayInTable(Common_SourceData.Common_SourceData_FracWET_Data(),Table_SourceData_FracWET[[#Headers],[Is in leaching zone]],0)</calculatedColumnFormula>
    </tableColumn>
    <tableColumn id="2" xr3:uid="{9F84E7CA-9812-4E8C-BBFF-CAD384C5DDFC}"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D3BE446-D951-4309-9838-2B861636038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2836BEA-2CD1-453A-947D-A152145BC8DB}" name="Production system j">
      <calculatedColumnFormula array="1">Common_InputFunctions.Utility_DisplayArrayInTable(Common_SourceData.Common_SourceData_EFN2O_Data(), Table_SourceData_Common_EFN2O[[#Headers],[Production system j]], 0)</calculatedColumnFormula>
    </tableColumn>
    <tableColumn id="2" xr3:uid="{883D6495-4E12-4C93-B44C-63A826F006E2}" name="EFN2O">
      <calculatedColumnFormula array="1">Common_InputFunctions.Utility_DisplayArrayInTable(Common_SourceData.Common_SourceData_EFN2O_Data(), Table_SourceData_Common_EFN2O[[#Headers],[Production system j]], 0)</calculatedColumnFormula>
    </tableColumn>
    <tableColumn id="3" xr3:uid="{778A6AEF-6F18-4901-BED1-EFCF4ABCA8D2}" name="Production system only">
      <calculatedColumnFormula array="1">Common_InputFunctions.Utility_DisplayArrayInTable(Common_SourceData.Common_SourceData_EFN2O_Data(), Table_SourceData_Common_EFN2O[[#Headers],[Production system j]], 0)</calculatedColumnFormula>
    </tableColumn>
    <tableColumn id="4" xr3:uid="{53667FE9-07D3-42D0-A5D6-05A4202964D9}" name="Irrigation method">
      <calculatedColumnFormula array="1">Common_InputFunctions.Utility_DisplayArrayInTable(Common_SourceData.Common_SourceData_EFN2O_Data(), Table_SourceData_Common_EFN2O[[#Headers],[Production system j]], 0)</calculatedColumnFormula>
    </tableColumn>
    <tableColumn id="5" xr3:uid="{E47B793B-7103-4156-8040-24DE67F3DBB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6857E24-F5FC-4AFE-8759-12CF86A7C2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2994B13-61B9-4E3B-8452-4D3FEF3BD7B2}"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E5413-4B6B-40C3-9F89-AEFD920CB11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62E7CF4-610E-4376-8F88-B570EB2D470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0C446C-C766-46E9-97D7-D4E67EC769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935F0A5-E00B-4BBD-8B70-5440E793549B}"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C6C6EC3-C3B5-42D6-8253-BAF7DD546A8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BC52D0A-8301-4540-A51E-458BE91D3414}" name="Month">
      <calculatedColumnFormula array="1">Common_InputFunctions.Utility_DisplayArrayInTable(Common_SourceData.Common_SourceData_MonthsToSeasons_Data(), Table_SourceData_Common_MonthToSeason[[#Headers],[Month]], 0)</calculatedColumnFormula>
    </tableColumn>
    <tableColumn id="2" xr3:uid="{3CF3E42F-4A1C-433C-A7B1-13B558F713D6}"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D1DDAF2-BE30-48C3-8708-13965853440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91E3D79-1DC9-488F-8571-89E94C584D4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16709FA-7F6C-41F2-8969-8A4676C9A91C}"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41CB6D5-618C-415C-BE78-F8D92C70A008}"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B6DB359-6A60-4C58-A997-E566294B8FEB}"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D115F14-9D3B-49DA-B1EC-FC0AD8E91255}"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3DA7235-6486-4740-83ED-70BF54A9BA4A}"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1B6FD7A-D12B-4C65-BF50-47FCE7C02A24}"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652731-FAE1-496F-82D7-897600EF2CDA}"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6E268F1-F6E7-4E19-AE9F-546BC55CB87F}"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EA7F2C2-4F93-4ADB-ADC2-D5049C7508E3}"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9BA32E6-08D2-416D-9B9F-2D0EDB6B5638}"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7FCAA7E-9538-4060-8FA4-55F61E36DD2D}"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FD1685-A5D4-4835-82B1-D115D7662492}"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8A2E75D-A196-495E-8C57-E8A46FC4E710}"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6C029AD-C7C0-4DB8-9F63-0A5C1CCE12C5}"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814589B-335A-408E-AB59-3ED061607E41}"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F55AFF-F114-4D7A-AF25-81B1AE98711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9477084-2CDC-46A4-BD3F-4E3F6298E12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D016D6C-B452-4DB0-946C-0519F5F9DDB2}"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4" dataCellStyle="Content normal">
  <autoFilter ref="D43:E50" xr:uid="{F711E95C-01C8-48A7-BB52-9F827483965C}"/>
  <tableColumns count="2">
    <tableColumn id="1" xr3:uid="{08B90907-6C3E-412D-8433-9F6039F4029A}"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1" dataCellStyle="Content normal">
  <autoFilter ref="D54:E55" xr:uid="{2A75A840-CA11-4C7B-8899-C3A821D14E27}"/>
  <tableColumns count="2">
    <tableColumn id="1" xr3:uid="{F170FD6C-DD1B-4B8F-AF9E-3B62B67338A0}"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8" dataCellStyle="Content normal">
  <autoFilter ref="D59:E60" xr:uid="{2D888E1E-7753-4DC0-B298-BEAC22F6BD88}"/>
  <tableColumns count="2">
    <tableColumn id="1" xr3:uid="{C9C3D59B-D677-4AA1-B0C2-2067DFB471D5}"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5" dataCellStyle="Content normal">
  <autoFilter ref="D64:E65" xr:uid="{4DB6C08B-3AF7-4AD1-AB80-46559AA7950B}"/>
  <tableColumns count="2">
    <tableColumn id="1" xr3:uid="{89BE89CD-FE25-4013-84CD-7E8828148DA3}"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5.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16"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t="e">
        <f>VEERG_3_2_1_1__1_TotalAnnualMethaneFromEntericFermentation_Result</f>
        <v>#NAME?</v>
      </c>
      <c r="F7" s="101">
        <f ca="1">VEERG_3_2_1_1__1_TotalAnnualMethaneFromEntericFermentation_Result_Method2</f>
        <v>54.699181903674365</v>
      </c>
      <c r="G7" s="51" t="s">
        <v>116</v>
      </c>
      <c r="H7" s="101">
        <f ca="1">'3.2.1.1-2 Enteric Methane'!E133</f>
        <v>1528.6811521013833</v>
      </c>
      <c r="I7" s="101">
        <f ca="1">'3.2.1.1-2 Enteric Methane'!V166</f>
        <v>1531.5770933028823</v>
      </c>
      <c r="J7" s="51" t="s">
        <v>119</v>
      </c>
      <c r="K7" s="21"/>
    </row>
    <row r="8" spans="1:11" ht="20.100000000000001" customHeight="1" x14ac:dyDescent="0.3">
      <c r="A8" s="17" t="str">
        <f>HYPERLINK("#'Input - Site'!A1", "Site")</f>
        <v>Site</v>
      </c>
      <c r="C8" s="21"/>
      <c r="D8" s="28" t="s">
        <v>98</v>
      </c>
      <c r="E8" s="22"/>
      <c r="F8" s="22"/>
      <c r="G8" s="28"/>
      <c r="H8" s="102">
        <f ca="1">SUM(H7:H7)</f>
        <v>1528.6811521013833</v>
      </c>
      <c r="I8" s="102">
        <f ca="1">SUM(I7:I7)</f>
        <v>1531.5770933028823</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0" sqref="A2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abSelected="1" topLeftCell="B184" zoomScaleNormal="100" workbookViewId="0">
      <selection activeCell="D198" sqref="D19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190</v>
      </c>
      <c r="K103" s="2"/>
      <c r="L103" s="2"/>
      <c r="M103" s="2"/>
      <c r="N103" s="2"/>
      <c r="O103" s="2"/>
      <c r="T103" s="7"/>
    </row>
    <row r="104" spans="4:20" ht="20.100000000000001" customHeight="1" x14ac:dyDescent="0.25">
      <c r="D104" s="59" t="s">
        <v>107</v>
      </c>
      <c r="E104" s="59"/>
      <c r="F104" s="59"/>
      <c r="G104" s="59"/>
      <c r="T104" s="7"/>
    </row>
    <row r="105" spans="4:20" ht="20.100000000000001" customHeight="1" x14ac:dyDescent="0.25">
      <c r="D105" s="1" t="s">
        <v>207</v>
      </c>
      <c r="E105" s="37" t="s">
        <v>137</v>
      </c>
      <c r="F105" s="2" t="s">
        <v>7</v>
      </c>
      <c r="T105" s="7"/>
    </row>
    <row r="106" spans="4:20" ht="20.100000000000001" customHeight="1" x14ac:dyDescent="0.25">
      <c r="T106" s="7"/>
    </row>
    <row r="107" spans="4:20" ht="20.100000000000001" customHeight="1" x14ac:dyDescent="0.25"/>
    <row r="108" spans="4:20" ht="20.100000000000001" customHeight="1" x14ac:dyDescent="0.25">
      <c r="K108" s="1" t="s">
        <v>295</v>
      </c>
    </row>
    <row r="109" spans="4:20" ht="20.100000000000001" customHeight="1" x14ac:dyDescent="0.25"/>
    <row r="110" spans="4:20" ht="20.100000000000001" customHeight="1" x14ac:dyDescent="0.25">
      <c r="E110" s="59" t="s">
        <v>296</v>
      </c>
      <c r="F110" s="59" t="s">
        <v>127</v>
      </c>
      <c r="G110" s="59" t="s">
        <v>128</v>
      </c>
      <c r="H110" s="59" t="s">
        <v>129</v>
      </c>
      <c r="L110" s="1" t="s">
        <v>126</v>
      </c>
      <c r="M110" s="1" t="s">
        <v>130</v>
      </c>
      <c r="N110" s="2"/>
      <c r="O110" s="2"/>
    </row>
    <row r="111" spans="4:20" ht="20.100000000000001" customHeight="1" x14ac:dyDescent="0.25">
      <c r="D111" s="1" t="str">
        <f>"Proportion of cows &gt; 1 years in calf in " &amp; E105</f>
        <v>Proportion of cows &gt; 1 years in calf in Winter</v>
      </c>
      <c r="E111" s="37" t="s">
        <v>297</v>
      </c>
      <c r="F111" s="43">
        <v>0.7</v>
      </c>
      <c r="G111" s="43">
        <v>0.5</v>
      </c>
      <c r="H111" s="43">
        <v>0.5</v>
      </c>
      <c r="I111" s="2" t="s">
        <v>13</v>
      </c>
      <c r="L111" s="49">
        <f>MAX(0, G42-G41)</f>
        <v>0</v>
      </c>
      <c r="M111" s="49">
        <f>MAX(0,K42-K41)</f>
        <v>0</v>
      </c>
      <c r="N111" s="2"/>
      <c r="O111" s="2"/>
    </row>
    <row r="112" spans="4:20" ht="20.100000000000001" customHeight="1" x14ac:dyDescent="0.25">
      <c r="D112" s="1" t="s">
        <v>134</v>
      </c>
      <c r="E112" s="37" t="s">
        <v>297</v>
      </c>
      <c r="F112" s="43">
        <v>0.1</v>
      </c>
      <c r="G112" s="43">
        <v>0.4</v>
      </c>
      <c r="H112" s="43">
        <v>0.4</v>
      </c>
      <c r="I112" s="2" t="s">
        <v>13</v>
      </c>
      <c r="L112" s="49">
        <f>MAX(0, G39-G42)</f>
        <v>0</v>
      </c>
      <c r="M112" s="49">
        <f>MAX(0,K39-K42)</f>
        <v>0</v>
      </c>
    </row>
    <row r="113" spans="4:15" ht="20.100000000000001" customHeight="1" x14ac:dyDescent="0.25">
      <c r="D113" s="1" t="s">
        <v>135</v>
      </c>
      <c r="E113" s="37" t="s">
        <v>297</v>
      </c>
      <c r="F113" s="43">
        <v>0.1</v>
      </c>
      <c r="G113" s="43">
        <v>0</v>
      </c>
      <c r="H113" s="43">
        <v>0</v>
      </c>
      <c r="I113" s="2" t="s">
        <v>13</v>
      </c>
      <c r="L113" s="49">
        <f>MAX(0, G40-G39)</f>
        <v>0</v>
      </c>
      <c r="M113" s="49">
        <f>MAX(0,K40-K39)</f>
        <v>0</v>
      </c>
    </row>
    <row r="114" spans="4:15" ht="20.100000000000001" customHeight="1" x14ac:dyDescent="0.25">
      <c r="D114" s="1" t="s">
        <v>136</v>
      </c>
      <c r="E114" s="37" t="s">
        <v>110</v>
      </c>
      <c r="F114" s="43">
        <v>0</v>
      </c>
      <c r="G114" s="43">
        <v>0</v>
      </c>
      <c r="H114" s="43">
        <v>0</v>
      </c>
      <c r="I114" s="2" t="s">
        <v>13</v>
      </c>
      <c r="L114" s="49">
        <f>MAX(0,G41-G40)</f>
        <v>0</v>
      </c>
      <c r="M114" s="49">
        <f>MAX(0,K41-K40)</f>
        <v>0</v>
      </c>
    </row>
    <row r="115" spans="4:15" ht="20.100000000000001" customHeight="1" x14ac:dyDescent="0.25">
      <c r="J115" s="1" t="s">
        <v>298</v>
      </c>
    </row>
    <row r="116" spans="4:15" ht="20.100000000000001" customHeight="1" x14ac:dyDescent="0.25"/>
    <row r="117" spans="4:15" ht="20.100000000000001" customHeight="1" x14ac:dyDescent="0.25"/>
    <row r="118" spans="4:15" ht="20.100000000000001" customHeight="1" x14ac:dyDescent="0.25">
      <c r="D118" s="59" t="s">
        <v>108</v>
      </c>
      <c r="E118" s="59"/>
      <c r="F118" s="59"/>
      <c r="G118" s="59"/>
      <c r="L118" s="119" t="s">
        <v>299</v>
      </c>
    </row>
    <row r="119" spans="4:15" ht="20.100000000000001" customHeight="1" x14ac:dyDescent="0.25">
      <c r="D119" s="1" t="s">
        <v>253</v>
      </c>
      <c r="E119" s="37" t="s">
        <v>251</v>
      </c>
      <c r="F119" s="2" t="s">
        <v>7</v>
      </c>
      <c r="J119" s="50" t="s">
        <v>103</v>
      </c>
    </row>
    <row r="120" spans="4:15" ht="20.100000000000001" customHeight="1" x14ac:dyDescent="0.25">
      <c r="D120" s="1" t="s">
        <v>249</v>
      </c>
      <c r="E120" s="49" t="str">
        <f>TEXT(EDATE(E119,1), "mmmm yyyy")</f>
        <v>September 2024</v>
      </c>
      <c r="J120" s="1" t="s">
        <v>81</v>
      </c>
      <c r="K120" s="1" t="s">
        <v>300</v>
      </c>
      <c r="L120" s="1" t="s">
        <v>298</v>
      </c>
      <c r="M120" s="1" t="s">
        <v>301</v>
      </c>
      <c r="N120" s="1" t="s">
        <v>302</v>
      </c>
      <c r="O120" s="1" t="s">
        <v>303</v>
      </c>
    </row>
    <row r="121" spans="4:15" ht="20.100000000000001" customHeight="1" x14ac:dyDescent="0.25">
      <c r="D121" s="1" t="s">
        <v>250</v>
      </c>
      <c r="E121" s="49" t="str">
        <f>TEXT(EDATE(E119,2), "mmmm yyyy")</f>
        <v>October 2024</v>
      </c>
      <c r="J121" s="49">
        <f>E39</f>
        <v>100</v>
      </c>
      <c r="K121" s="49">
        <f>MAX(0, E39-E42)</f>
        <v>0</v>
      </c>
      <c r="L121" s="1">
        <f>K121/J121</f>
        <v>0</v>
      </c>
      <c r="M121" s="1">
        <f>K124/J121</f>
        <v>0</v>
      </c>
      <c r="N121" s="2">
        <f>1-(L121+M121)</f>
        <v>1</v>
      </c>
      <c r="O121" s="50">
        <f>(L121*6)+(M121*4)+(N121*0)</f>
        <v>0</v>
      </c>
    </row>
    <row r="122" spans="4:15" ht="20.100000000000001" customHeight="1" x14ac:dyDescent="0.25">
      <c r="J122" s="49">
        <f>E40</f>
        <v>100</v>
      </c>
      <c r="K122" s="49">
        <f>MAX(0, E40-E39)</f>
        <v>0</v>
      </c>
      <c r="L122" s="1">
        <f>K122/J122</f>
        <v>0</v>
      </c>
      <c r="M122" s="1">
        <f>K121/J122</f>
        <v>0</v>
      </c>
      <c r="N122" s="2">
        <f>1-(L122+M122)</f>
        <v>1</v>
      </c>
      <c r="O122" s="50">
        <f t="shared" ref="O122:O124" si="1">(L122*6)+(M122*4)+(N122*0)</f>
        <v>0</v>
      </c>
    </row>
    <row r="123" spans="4:15" ht="20.100000000000001" customHeight="1" x14ac:dyDescent="0.25">
      <c r="J123" s="49">
        <f>E41</f>
        <v>100</v>
      </c>
      <c r="K123" s="49">
        <f>MAX(0,E41-E40)</f>
        <v>0</v>
      </c>
      <c r="L123" s="1">
        <f>K123/J123</f>
        <v>0</v>
      </c>
      <c r="M123" s="1">
        <f>K122/J123</f>
        <v>0</v>
      </c>
      <c r="N123" s="2">
        <f>1-(L123+M123)</f>
        <v>1</v>
      </c>
      <c r="O123" s="50">
        <f t="shared" si="1"/>
        <v>0</v>
      </c>
    </row>
    <row r="124" spans="4:15" ht="20.100000000000001" customHeight="1" x14ac:dyDescent="0.25">
      <c r="E124" s="59" t="s">
        <v>127</v>
      </c>
      <c r="F124" s="59" t="s">
        <v>128</v>
      </c>
      <c r="G124" s="59" t="s">
        <v>129</v>
      </c>
      <c r="J124" s="49">
        <f>E42</f>
        <v>100</v>
      </c>
      <c r="K124" s="49">
        <f>MAX(0, E42-E41)</f>
        <v>0</v>
      </c>
      <c r="L124" s="1">
        <f>K124/J124</f>
        <v>0</v>
      </c>
      <c r="M124" s="2">
        <f>K123/J124</f>
        <v>0</v>
      </c>
      <c r="N124" s="2">
        <f>1-(L124+M124)</f>
        <v>1</v>
      </c>
      <c r="O124" s="50">
        <f t="shared" si="1"/>
        <v>0</v>
      </c>
    </row>
    <row r="125" spans="4:15" ht="20.100000000000001" customHeight="1" x14ac:dyDescent="0.25">
      <c r="D125" s="1" t="str">
        <f>E119</f>
        <v>August 2024</v>
      </c>
      <c r="E125" s="43">
        <v>0.25</v>
      </c>
      <c r="F125" s="43">
        <v>0.25</v>
      </c>
      <c r="G125" s="43">
        <v>0.25</v>
      </c>
      <c r="H125" s="2" t="s">
        <v>13</v>
      </c>
      <c r="L125" s="2"/>
      <c r="M125" s="2"/>
      <c r="N125" s="2"/>
      <c r="O125" s="2"/>
    </row>
    <row r="126" spans="4:15" ht="20.100000000000001" customHeight="1" x14ac:dyDescent="0.25">
      <c r="D126" s="1" t="str">
        <f>E120</f>
        <v>September 2024</v>
      </c>
      <c r="E126" s="43">
        <v>0.25</v>
      </c>
      <c r="F126" s="43">
        <v>0.25</v>
      </c>
      <c r="G126" s="43">
        <v>0.25</v>
      </c>
      <c r="H126" s="2" t="s">
        <v>13</v>
      </c>
    </row>
    <row r="127" spans="4:15" ht="20.100000000000001" customHeight="1" x14ac:dyDescent="0.25">
      <c r="D127" s="1" t="str">
        <f>E121</f>
        <v>October 2024</v>
      </c>
      <c r="E127" s="43">
        <v>0.25</v>
      </c>
      <c r="F127" s="43">
        <v>0.25</v>
      </c>
      <c r="G127" s="43">
        <v>0.25</v>
      </c>
      <c r="H127" s="2" t="s">
        <v>13</v>
      </c>
    </row>
    <row r="128" spans="4:15" ht="20.100000000000001" customHeight="1" x14ac:dyDescent="0.25">
      <c r="D128" s="1" t="str">
        <f>"Proportion of cows &gt; 1 years in calf in " &amp; D125 &amp; " to " &amp; D127</f>
        <v>Proportion of cows &gt; 1 years in calf in August 2024 to October 2024</v>
      </c>
      <c r="E128" s="90">
        <f>SUM(E125:E127)</f>
        <v>0.75</v>
      </c>
      <c r="F128" s="90">
        <f>SUM(F125:F127)</f>
        <v>0.75</v>
      </c>
      <c r="G128" s="90">
        <f>SUM(G125:G127)</f>
        <v>0.75</v>
      </c>
      <c r="H128" s="2" t="s">
        <v>13</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5" t="s">
        <v>12</v>
      </c>
      <c r="K131" s="2"/>
      <c r="L131" s="2"/>
      <c r="M131" s="2"/>
      <c r="N131" s="2"/>
      <c r="O131" s="2"/>
    </row>
    <row r="132" spans="4:15" ht="20.100000000000001" customHeight="1" x14ac:dyDescent="0.25">
      <c r="D132" s="59" t="s">
        <v>140</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
        <v>134</v>
      </c>
      <c r="E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49">
        <f>InputFunctions_PastureBeef.LookupValueFromStateRegionSeason($E$7,X_Cell_PastureBeef_ProductionRegion,$D133,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112</v>
      </c>
    </row>
    <row r="134" spans="4:15" ht="20.100000000000001" customHeight="1" x14ac:dyDescent="0.25">
      <c r="D134" s="1" t="s">
        <v>135</v>
      </c>
      <c r="E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49">
        <f>InputFunctions_PastureBeef.LookupValueFromStateRegionSeason($E$7,X_Cell_PastureBeef_ProductionRegion,$D134,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112</v>
      </c>
    </row>
    <row r="135" spans="4:15" ht="20.100000000000001" customHeight="1" x14ac:dyDescent="0.25">
      <c r="D135" s="1" t="s">
        <v>136</v>
      </c>
      <c r="E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49">
        <f>InputFunctions_PastureBeef.LookupValueFromStateRegionSeason($E$7,X_Cell_PastureBeef_ProductionRegion,$D135,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112</v>
      </c>
    </row>
    <row r="136" spans="4:15" ht="20.100000000000001" customHeight="1" x14ac:dyDescent="0.25">
      <c r="D136" s="1" t="s">
        <v>137</v>
      </c>
      <c r="E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49">
        <f>InputFunctions_PastureBeef.LookupValueFromStateRegionSeason($E$7,X_Cell_PastureBeef_ProductionRegion,$D136,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112</v>
      </c>
    </row>
    <row r="137" spans="4:15" ht="20.100000000000001" customHeight="1" x14ac:dyDescent="0.25"/>
    <row r="138" spans="4:15" ht="20.100000000000001" customHeight="1" x14ac:dyDescent="0.25">
      <c r="D138" s="59" t="s">
        <v>141</v>
      </c>
      <c r="E138" s="59" t="s">
        <v>103</v>
      </c>
      <c r="F138" s="59" t="s">
        <v>102</v>
      </c>
      <c r="G138" s="59" t="s">
        <v>126</v>
      </c>
      <c r="H138" s="59" t="s">
        <v>127</v>
      </c>
      <c r="I138" s="59" t="s">
        <v>128</v>
      </c>
      <c r="J138" s="59" t="s">
        <v>129</v>
      </c>
      <c r="K138" s="59" t="s">
        <v>130</v>
      </c>
      <c r="L138" s="59" t="s">
        <v>131</v>
      </c>
      <c r="M138" s="59" t="s">
        <v>132</v>
      </c>
      <c r="N138" s="59" t="s">
        <v>133</v>
      </c>
    </row>
    <row r="139" spans="4:15" ht="20.100000000000001" customHeight="1" x14ac:dyDescent="0.25">
      <c r="D139" s="1" t="str">
        <f>TEXT(X_Cell_Site_StartDate, "mmmm yyyy")</f>
        <v>January 2024</v>
      </c>
      <c r="E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1">
        <f>InputFunctions_PastureBeef.LookupValueFromStateRegionMonth($E$7,X_Cell_PastureBeef_ProductionRegion,$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112</v>
      </c>
    </row>
    <row r="140" spans="4:15" ht="20.100000000000001" customHeight="1" x14ac:dyDescent="0.25">
      <c r="D140" s="1" t="str">
        <f>TEXT(EDATE(X_Cell_Site_StartDate,1), "mmmm yyyy")</f>
        <v>February 2024</v>
      </c>
      <c r="E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1">
        <f>InputFunctions_PastureBeef.LookupValueFromStateRegionMonth($E$7,X_Cell_PastureBeef_ProductionRegion,$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112</v>
      </c>
    </row>
    <row r="141" spans="4:15" ht="20.100000000000001" customHeight="1" x14ac:dyDescent="0.25">
      <c r="D141" s="1" t="str">
        <f>TEXT(EDATE(X_Cell_Site_StartDate,2), "mmmm yyyy")</f>
        <v>March 2024</v>
      </c>
      <c r="E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1">
        <f>InputFunctions_PastureBeef.LookupValueFromStateRegionMonth($E$7,X_Cell_PastureBeef_ProductionRegion,$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112</v>
      </c>
    </row>
    <row r="142" spans="4:15" ht="20.100000000000001" customHeight="1" x14ac:dyDescent="0.25">
      <c r="D142" s="1" t="str">
        <f>TEXT(EDATE(X_Cell_Site_StartDate,3), "mmmm yyyy")</f>
        <v>April 2024</v>
      </c>
      <c r="E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1">
        <f>InputFunctions_PastureBeef.LookupValueFromStateRegionMonth($E$7,X_Cell_PastureBeef_ProductionRegion,$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112</v>
      </c>
    </row>
    <row r="143" spans="4:15" ht="20.100000000000001" customHeight="1" x14ac:dyDescent="0.25">
      <c r="D143" s="1" t="str">
        <f>TEXT(EDATE(X_Cell_Site_StartDate,4), "mmmm yyyy")</f>
        <v>May 2024</v>
      </c>
      <c r="E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1">
        <f>InputFunctions_PastureBeef.LookupValueFromStateRegionMonth($E$7,X_Cell_PastureBeef_ProductionRegion,$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112</v>
      </c>
    </row>
    <row r="144" spans="4:15" ht="20.100000000000001" customHeight="1" x14ac:dyDescent="0.25">
      <c r="D144" s="1" t="str">
        <f>TEXT(EDATE(X_Cell_Site_StartDate,5), "mmmm yyyy")</f>
        <v>June 2024</v>
      </c>
      <c r="E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1">
        <f>InputFunctions_PastureBeef.LookupValueFromStateRegionMonth($E$7,X_Cell_PastureBeef_ProductionRegion,$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112</v>
      </c>
    </row>
    <row r="145" spans="4:15" ht="20.100000000000001" customHeight="1" x14ac:dyDescent="0.25">
      <c r="D145" s="1" t="str">
        <f>TEXT(EDATE(X_Cell_Site_StartDate,6), "mmmm yyyy")</f>
        <v>July 2024</v>
      </c>
      <c r="E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1">
        <f>InputFunctions_PastureBeef.LookupValueFromStateRegionMonth($E$7,X_Cell_PastureBeef_ProductionRegion,$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112</v>
      </c>
    </row>
    <row r="146" spans="4:15" ht="20.100000000000001" customHeight="1" x14ac:dyDescent="0.25">
      <c r="D146" s="1" t="str">
        <f>TEXT(EDATE(X_Cell_Site_StartDate,7), "mmmm yyyy")</f>
        <v>August 2024</v>
      </c>
      <c r="E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1">
        <f>InputFunctions_PastureBeef.LookupValueFromStateRegionMonth($E$7,X_Cell_PastureBeef_ProductionRegion,$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112</v>
      </c>
    </row>
    <row r="147" spans="4:15" ht="20.100000000000001" customHeight="1" x14ac:dyDescent="0.25">
      <c r="D147" s="1" t="str">
        <f>TEXT(EDATE(X_Cell_Site_StartDate,8), "mmmm yyyy")</f>
        <v>September 2024</v>
      </c>
      <c r="E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1">
        <f>InputFunctions_PastureBeef.LookupValueFromStateRegionMonth($E$7,X_Cell_PastureBeef_ProductionRegion,$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112</v>
      </c>
    </row>
    <row r="148" spans="4:15" ht="20.100000000000001" customHeight="1" x14ac:dyDescent="0.25">
      <c r="D148" s="1" t="str">
        <f>TEXT(EDATE(X_Cell_Site_StartDate,9), "mmmm yyyy")</f>
        <v>October 2024</v>
      </c>
      <c r="E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1">
        <f>InputFunctions_PastureBeef.LookupValueFromStateRegionMonth($E$7,X_Cell_PastureBeef_ProductionRegion,$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112</v>
      </c>
    </row>
    <row r="149" spans="4:15" ht="20.100000000000001" customHeight="1" x14ac:dyDescent="0.25">
      <c r="D149" s="1" t="str">
        <f>TEXT(EDATE(X_Cell_Site_StartDate,10), "mmmm yyyy")</f>
        <v>November 2024</v>
      </c>
      <c r="E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1">
        <f>InputFunctions_PastureBeef.LookupValueFromStateRegionMonth($E$7,X_Cell_PastureBeef_ProductionRegion,$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112</v>
      </c>
    </row>
    <row r="150" spans="4:15" ht="20.100000000000001" customHeight="1" x14ac:dyDescent="0.25">
      <c r="D150" s="1" t="str">
        <f>TEXT(EDATE(X_Cell_Site_StartDate,11), "mmmm yyyy")</f>
        <v>December 2024</v>
      </c>
      <c r="E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1">
        <f>InputFunctions_PastureBeef.LookupValueFromStateRegionMonth($E$7,X_Cell_PastureBeef_ProductionRegion,$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112</v>
      </c>
    </row>
    <row r="151" spans="4:15" ht="20.100000000000001" customHeight="1" x14ac:dyDescent="0.25"/>
    <row r="152" spans="4:15" ht="20.100000000000001" customHeight="1" x14ac:dyDescent="0.25"/>
    <row r="153" spans="4:15" ht="20.100000000000001" customHeight="1" x14ac:dyDescent="0.25">
      <c r="D153" s="45" t="s">
        <v>83</v>
      </c>
      <c r="K153" s="2"/>
      <c r="L153" s="2"/>
      <c r="M153" s="2"/>
      <c r="N153" s="2"/>
      <c r="O153" s="2"/>
    </row>
    <row r="154" spans="4:15" ht="20.100000000000001" customHeight="1" x14ac:dyDescent="0.25">
      <c r="D154" s="59" t="s">
        <v>140</v>
      </c>
      <c r="E154" s="59" t="s">
        <v>103</v>
      </c>
      <c r="F154" s="59" t="s">
        <v>102</v>
      </c>
      <c r="G154" s="59" t="s">
        <v>126</v>
      </c>
      <c r="H154" s="59" t="s">
        <v>127</v>
      </c>
      <c r="I154" s="59" t="s">
        <v>128</v>
      </c>
      <c r="J154" s="59" t="s">
        <v>129</v>
      </c>
      <c r="K154" s="59" t="s">
        <v>130</v>
      </c>
      <c r="L154" s="59" t="s">
        <v>131</v>
      </c>
      <c r="M154" s="59" t="s">
        <v>132</v>
      </c>
      <c r="N154" s="59" t="s">
        <v>133</v>
      </c>
    </row>
    <row r="155" spans="4:15" ht="20.100000000000001" customHeight="1" x14ac:dyDescent="0.25">
      <c r="D155" s="1" t="s">
        <v>134</v>
      </c>
      <c r="E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F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G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H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I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J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K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L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M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N155" s="49">
        <f>InputFunctions_PastureBeef.LookupValueFromStateRegionSeason($E$7,X_Cell_PastureBeef_ProductionRegion,$D155, Table_SourceData_PastureBeef_CrudeProtein[State],Table_SourceData_PastureBeef_CrudeProtein[Region],Table_SourceData_PastureBeef_CrudeProtein[#Headers],Table_SourceData_PastureBeef_CrudeProtein[],Table_AustralianStates[Common Name],Table_AustralianStates[Abbreviation])</f>
        <v>0.2</v>
      </c>
      <c r="O155" s="2" t="s">
        <v>112</v>
      </c>
    </row>
    <row r="156" spans="4:15" ht="20.100000000000001" customHeight="1" x14ac:dyDescent="0.25">
      <c r="D156" s="1" t="s">
        <v>135</v>
      </c>
      <c r="E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F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G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H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I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J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K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L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M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N156" s="49">
        <f>InputFunctions_PastureBeef.LookupValueFromStateRegionSeason($E$7,X_Cell_PastureBeef_ProductionRegion,$D156,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112</v>
      </c>
    </row>
    <row r="157" spans="4:15" ht="20.100000000000001" customHeight="1" x14ac:dyDescent="0.25">
      <c r="D157" s="1" t="s">
        <v>136</v>
      </c>
      <c r="E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F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G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H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I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J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K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L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M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N157" s="49">
        <f>InputFunctions_PastureBeef.LookupValueFromStateRegionSeason($E$7,X_Cell_PastureBeef_ProductionRegion,$D157,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112</v>
      </c>
    </row>
    <row r="158" spans="4:15" ht="20.100000000000001" customHeight="1" x14ac:dyDescent="0.25">
      <c r="D158" s="1" t="s">
        <v>137</v>
      </c>
      <c r="E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F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G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H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I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J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K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L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M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N158" s="49">
        <f>InputFunctions_PastureBeef.LookupValueFromStateRegionSeason($E$7,X_Cell_PastureBeef_ProductionRegion,$D158, Table_SourceData_PastureBeef_CrudeProtein[State],Table_SourceData_PastureBeef_CrudeProtein[Region],Table_SourceData_PastureBeef_CrudeProtein[#Headers],Table_SourceData_PastureBeef_CrudeProtein[],Table_AustralianStates[Common Name],Table_AustralianStates[Abbreviation])</f>
        <v>0.2</v>
      </c>
      <c r="O158" s="2" t="s">
        <v>112</v>
      </c>
    </row>
    <row r="159" spans="4:15" ht="20.100000000000001" customHeight="1" x14ac:dyDescent="0.25"/>
    <row r="160" spans="4:15" ht="20.100000000000001" customHeight="1" x14ac:dyDescent="0.25">
      <c r="D160" s="59" t="s">
        <v>141</v>
      </c>
      <c r="E160" s="59" t="s">
        <v>103</v>
      </c>
      <c r="F160" s="59" t="s">
        <v>102</v>
      </c>
      <c r="G160" s="59" t="s">
        <v>126</v>
      </c>
      <c r="H160" s="59" t="s">
        <v>127</v>
      </c>
      <c r="I160" s="59" t="s">
        <v>128</v>
      </c>
      <c r="J160" s="59" t="s">
        <v>129</v>
      </c>
      <c r="K160" s="59" t="s">
        <v>130</v>
      </c>
      <c r="L160" s="59" t="s">
        <v>131</v>
      </c>
      <c r="M160" s="59" t="s">
        <v>132</v>
      </c>
      <c r="N160" s="59" t="s">
        <v>133</v>
      </c>
    </row>
    <row r="161" spans="4:15" ht="20.100000000000001" customHeight="1" x14ac:dyDescent="0.25">
      <c r="D161" s="1" t="str">
        <f>TEXT(X_Cell_Site_StartDate, "mmmm yyyy")</f>
        <v>January 2024</v>
      </c>
      <c r="E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1">
        <f>InputFunctions_PastureBeef.LookupValueFromStateRegionMonth($E$7,X_Cell_PastureBeef_ProductionRegion,$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112</v>
      </c>
    </row>
    <row r="162" spans="4:15" ht="20.100000000000001" customHeight="1" x14ac:dyDescent="0.25">
      <c r="D162" s="1" t="str">
        <f>TEXT(EDATE(X_Cell_Site_StartDate,1), "mmmm yyyy")</f>
        <v>February 2024</v>
      </c>
      <c r="E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1">
        <f>InputFunctions_PastureBeef.LookupValueFromStateRegionMonth($E$7,X_Cell_PastureBeef_ProductionRegion,$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112</v>
      </c>
    </row>
    <row r="163" spans="4:15" ht="20.100000000000001" customHeight="1" x14ac:dyDescent="0.25">
      <c r="D163" s="1" t="str">
        <f>TEXT(EDATE(X_Cell_Site_StartDate,2), "mmmm yyyy")</f>
        <v>March 2024</v>
      </c>
      <c r="E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1">
        <f>InputFunctions_PastureBeef.LookupValueFromStateRegionMonth($E$7,X_Cell_PastureBeef_ProductionRegion,$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112</v>
      </c>
    </row>
    <row r="164" spans="4:15" ht="20.100000000000001" customHeight="1" x14ac:dyDescent="0.25">
      <c r="D164" s="1" t="str">
        <f>TEXT(EDATE(X_Cell_Site_StartDate,3), "mmmm yyyy")</f>
        <v>April 2024</v>
      </c>
      <c r="E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1">
        <f>InputFunctions_PastureBeef.LookupValueFromStateRegionMonth($E$7,X_Cell_PastureBeef_ProductionRegion,$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112</v>
      </c>
    </row>
    <row r="165" spans="4:15" ht="20.100000000000001" customHeight="1" x14ac:dyDescent="0.25">
      <c r="D165" s="1" t="str">
        <f>TEXT(EDATE(X_Cell_Site_StartDate,4), "mmmm yyyy")</f>
        <v>May 2024</v>
      </c>
      <c r="E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1">
        <f>InputFunctions_PastureBeef.LookupValueFromStateRegionMonth($E$7,X_Cell_PastureBeef_ProductionRegion,$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112</v>
      </c>
    </row>
    <row r="166" spans="4:15" ht="20.100000000000001" customHeight="1" x14ac:dyDescent="0.25">
      <c r="D166" s="1" t="str">
        <f>TEXT(EDATE(X_Cell_Site_StartDate,5), "mmmm yyyy")</f>
        <v>June 2024</v>
      </c>
      <c r="E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1">
        <f>InputFunctions_PastureBeef.LookupValueFromStateRegionMonth($E$7,X_Cell_PastureBeef_ProductionRegion,$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112</v>
      </c>
    </row>
    <row r="167" spans="4:15" ht="20.100000000000001" customHeight="1" x14ac:dyDescent="0.25">
      <c r="D167" s="1" t="str">
        <f>TEXT(EDATE(X_Cell_Site_StartDate,6), "mmmm yyyy")</f>
        <v>July 2024</v>
      </c>
      <c r="E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1">
        <f>InputFunctions_PastureBeef.LookupValueFromStateRegionMonth($E$7,X_Cell_PastureBeef_ProductionRegion,$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112</v>
      </c>
    </row>
    <row r="168" spans="4:15" ht="20.100000000000001" customHeight="1" x14ac:dyDescent="0.25">
      <c r="D168" s="1" t="str">
        <f>TEXT(EDATE(X_Cell_Site_StartDate,7), "mmmm yyyy")</f>
        <v>August 2024</v>
      </c>
      <c r="E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1">
        <f>InputFunctions_PastureBeef.LookupValueFromStateRegionMonth($E$7,X_Cell_PastureBeef_ProductionRegion,$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112</v>
      </c>
    </row>
    <row r="169" spans="4:15" ht="20.100000000000001" customHeight="1" x14ac:dyDescent="0.25">
      <c r="D169" s="1" t="str">
        <f>TEXT(EDATE(X_Cell_Site_StartDate,8), "mmmm yyyy")</f>
        <v>September 2024</v>
      </c>
      <c r="E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1">
        <f>InputFunctions_PastureBeef.LookupValueFromStateRegionMonth($E$7,X_Cell_PastureBeef_ProductionRegion,$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112</v>
      </c>
    </row>
    <row r="170" spans="4:15" ht="20.100000000000001" customHeight="1" x14ac:dyDescent="0.25">
      <c r="D170" s="1" t="str">
        <f>TEXT(EDATE(X_Cell_Site_StartDate,9), "mmmm yyyy")</f>
        <v>October 2024</v>
      </c>
      <c r="E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1">
        <f>InputFunctions_PastureBeef.LookupValueFromStateRegionMonth($E$7,X_Cell_PastureBeef_ProductionRegion,$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112</v>
      </c>
    </row>
    <row r="171" spans="4:15" ht="20.100000000000001" customHeight="1" x14ac:dyDescent="0.25">
      <c r="D171" s="1" t="str">
        <f>TEXT(EDATE(X_Cell_Site_StartDate,10), "mmmm yyyy")</f>
        <v>November 2024</v>
      </c>
      <c r="E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1">
        <f>InputFunctions_PastureBeef.LookupValueFromStateRegionMonth($E$7,X_Cell_PastureBeef_ProductionRegion,$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112</v>
      </c>
    </row>
    <row r="172" spans="4:15" ht="20.100000000000001" customHeight="1" x14ac:dyDescent="0.25">
      <c r="D172" s="1" t="str">
        <f>TEXT(EDATE(X_Cell_Site_StartDate,11), "mmmm yyyy")</f>
        <v>December 2024</v>
      </c>
      <c r="E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1">
        <f>InputFunctions_PastureBeef.LookupValueFromStateRegionMonth($E$7,X_Cell_PastureBeef_ProductionRegion,$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112</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5" t="s">
        <v>219</v>
      </c>
      <c r="L175" s="2"/>
      <c r="M175" s="2"/>
      <c r="N175" s="2"/>
      <c r="O175" s="2"/>
    </row>
    <row r="176" spans="4:15" ht="20.100000000000001" customHeight="1" x14ac:dyDescent="0.25"/>
    <row r="177" spans="4:15" ht="20.100000000000001" customHeight="1" x14ac:dyDescent="0.25">
      <c r="D177" s="1" t="s">
        <v>220</v>
      </c>
      <c r="E177" s="37" t="s">
        <v>110</v>
      </c>
      <c r="F177" s="2" t="s">
        <v>7</v>
      </c>
      <c r="L177" s="2"/>
      <c r="M177" s="2"/>
      <c r="N177" s="2"/>
      <c r="O177" s="2"/>
    </row>
    <row r="178" spans="4:15" ht="20.100000000000001" customHeight="1" x14ac:dyDescent="0.25"/>
    <row r="179" spans="4:15" ht="20.100000000000001" customHeight="1" x14ac:dyDescent="0.25">
      <c r="D179" s="59" t="s">
        <v>15</v>
      </c>
      <c r="E179" s="59" t="s">
        <v>221</v>
      </c>
      <c r="L179" s="2"/>
      <c r="M179" s="2"/>
      <c r="N179" s="2"/>
      <c r="O179" s="2"/>
    </row>
    <row r="180" spans="4:15" ht="20.100000000000001" customHeight="1" x14ac:dyDescent="0.25">
      <c r="D180" s="1" t="s">
        <v>109</v>
      </c>
      <c r="E180"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80" s="2" t="s">
        <v>13</v>
      </c>
      <c r="L180" s="2"/>
      <c r="M180" s="2"/>
      <c r="N180" s="2"/>
      <c r="O180" s="2"/>
    </row>
    <row r="181" spans="4:15" ht="20.100000000000001" customHeight="1" x14ac:dyDescent="0.25">
      <c r="D181" s="1" t="s">
        <v>222</v>
      </c>
      <c r="E181"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81" s="2" t="s">
        <v>13</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232</v>
      </c>
      <c r="E184" s="37" t="s">
        <v>234</v>
      </c>
      <c r="F184" s="2" t="s">
        <v>7</v>
      </c>
      <c r="L184" s="2"/>
      <c r="M184" s="2"/>
      <c r="N184" s="2"/>
      <c r="O184" s="2"/>
    </row>
    <row r="185" spans="4:15" ht="20.100000000000001" customHeight="1" x14ac:dyDescent="0.25">
      <c r="E185" s="37" t="s">
        <v>95</v>
      </c>
      <c r="F185" s="2" t="s">
        <v>7</v>
      </c>
    </row>
    <row r="186" spans="4:15" ht="20.100000000000001" customHeight="1" x14ac:dyDescent="0.25"/>
    <row r="187" spans="4:15" ht="20.100000000000001" customHeight="1" x14ac:dyDescent="0.25"/>
    <row r="188" spans="4:15" ht="20.100000000000001" customHeight="1" x14ac:dyDescent="0.25">
      <c r="D188" s="6"/>
    </row>
    <row r="189" spans="4:15" ht="20.100000000000001" customHeight="1" x14ac:dyDescent="0.25">
      <c r="D189" s="98"/>
    </row>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E103:O103 L110:O111 M124:N124 I125 L125:O125 L173:O175 L177:O177 L179:O182 L184:O184 J203:J205 J208:J210 J223:K223 J228:K228 J233:K233 J238:K242 J244:K244 J246:K249 J251:K251 J257:K257 J262:K262 J267:K267 J272:K276 J278:K278 J280:K283 J285:K285">
    <cfRule type="cellIs" dxfId="12" priority="12" operator="lessThan">
      <formula>0</formula>
    </cfRule>
  </conditionalFormatting>
  <conditionalFormatting sqref="F217:F218">
    <cfRule type="cellIs" dxfId="11" priority="11" operator="lessThan">
      <formula>0</formula>
    </cfRule>
  </conditionalFormatting>
  <conditionalFormatting sqref="F222:F223">
    <cfRule type="cellIs" dxfId="10" priority="10" operator="lessThan">
      <formula>0</formula>
    </cfRule>
  </conditionalFormatting>
  <conditionalFormatting sqref="F227:F228">
    <cfRule type="cellIs" dxfId="9" priority="9" operator="lessThan">
      <formula>0</formula>
    </cfRule>
  </conditionalFormatting>
  <conditionalFormatting sqref="F251:F252">
    <cfRule type="cellIs" dxfId="8" priority="8" operator="lessThan">
      <formula>0</formula>
    </cfRule>
  </conditionalFormatting>
  <conditionalFormatting sqref="F256:F257">
    <cfRule type="cellIs" dxfId="7" priority="7" operator="lessThan">
      <formula>0</formula>
    </cfRule>
  </conditionalFormatting>
  <conditionalFormatting sqref="F261:F262">
    <cfRule type="cellIs" dxfId="6" priority="6" operator="lessThan">
      <formula>0</formula>
    </cfRule>
  </conditionalFormatting>
  <conditionalFormatting sqref="H124:K124">
    <cfRule type="cellIs" dxfId="5" priority="4" operator="lessThan">
      <formula>0</formula>
    </cfRule>
  </conditionalFormatting>
  <conditionalFormatting sqref="I130:O131">
    <cfRule type="cellIs" dxfId="4" priority="5" operator="lessThan">
      <formula>0</formula>
    </cfRule>
  </conditionalFormatting>
  <conditionalFormatting sqref="I153:O153">
    <cfRule type="cellIs" dxfId="3" priority="3" operator="lessThan">
      <formula>0</formula>
    </cfRule>
  </conditionalFormatting>
  <conditionalFormatting sqref="K123:K124">
    <cfRule type="cellIs" dxfId="2" priority="2" operator="lessThan">
      <formula>0</formula>
    </cfRule>
  </conditionalFormatting>
  <conditionalFormatting sqref="N121:N123">
    <cfRule type="cellIs" dxfId="1" priority="1" operator="lessThan">
      <formula>0</formula>
    </cfRule>
  </conditionalFormatting>
  <conditionalFormatting sqref="P43:R43">
    <cfRule type="cellIs" dxfId="0"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77"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85" xr:uid="{D6935CAF-CAA8-4362-9192-56F01D97F0AB}">
      <formula1>INDIRECT("Table_SourceData_PastureBeef_IrrigationMethods[Irrigation method]")</formula1>
    </dataValidation>
    <dataValidation type="list" allowBlank="1" showInputMessage="1" showErrorMessage="1" sqref="E184" xr:uid="{632BA6BA-B408-4F6F-8243-A59FC8B93ABC}">
      <formula1>INDIRECT("Table_SourceData_PastureBeef_CropProdSystems[Production system]")</formula1>
    </dataValidation>
    <dataValidation type="list" allowBlank="1" showInputMessage="1" showErrorMessage="1" sqref="E105" xr:uid="{9B2EE8FF-3BDF-438F-B28E-8412387560DB}">
      <formula1>"Spring, Summer, Autumn, Winter"</formula1>
    </dataValidation>
    <dataValidation type="list" allowBlank="1" showInputMessage="1" showErrorMessage="1" sqref="E119"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J133"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f>'Input - Pasture Beef'!$E$104</f>
        <v>0</v>
      </c>
      <c r="E21" s="49">
        <f>'Input - Pasture Beef'!$E$107</f>
        <v>0</v>
      </c>
      <c r="F21" s="49">
        <f>'Input - Pasture Beef'!$F$107</f>
        <v>0</v>
      </c>
      <c r="G21" s="49">
        <f>'Input - Pasture Beef'!$G$107</f>
        <v>0</v>
      </c>
      <c r="H21" s="2" t="s">
        <v>79</v>
      </c>
      <c r="U21" s="48" t="s">
        <v>104</v>
      </c>
      <c r="V21" s="111" t="s">
        <v>127</v>
      </c>
      <c r="W21" s="111" t="s">
        <v>128</v>
      </c>
      <c r="X21" s="111" t="s">
        <v>129</v>
      </c>
    </row>
    <row r="22" spans="1:34" ht="20.100000000000001" customHeight="1" x14ac:dyDescent="0.25">
      <c r="U22" s="49" t="e">
        <f>TEXT(EDATE('Input - Pasture Beef'!$D$117,0), "mmmm") &amp; ", " &amp; TEXT(EDATE('Input - Pasture Beef'!$D$118,0), "mmmm") &amp; ", " &amp; TEXT(EDATE('Input - Pasture Beef'!$D$119,0), "mmmm")</f>
        <v>#VALUE!</v>
      </c>
      <c r="V22" s="49" t="str">
        <f>'Input - Pasture Beef'!$E$120</f>
        <v>September 2024</v>
      </c>
      <c r="W22" s="49">
        <f>'Input - Pasture Beef'!$F$120</f>
        <v>0</v>
      </c>
      <c r="X22" s="49">
        <f>'Input - Pasture Beef'!$G$120</f>
        <v>0</v>
      </c>
      <c r="Y22" s="2" t="s">
        <v>79</v>
      </c>
    </row>
    <row r="23" spans="1:34" ht="20.100000000000001" customHeight="1" x14ac:dyDescent="0.25">
      <c r="D23" s="92" t="s">
        <v>201</v>
      </c>
      <c r="U23" s="49" t="e">
        <f>TEXT(EDATE('Input - Pasture Beef'!$D$119,1), "mmmm") &amp; ", " &amp; TEXT(EDATE('Input - Pasture Beef'!$D$119,2), "mmmm") &amp; ", " &amp; TEXT(EDATE('Input - Pasture Beef'!$D$119,3), "mmmm")</f>
        <v>#VALUE!</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e" cm="1">
        <f t="array" ref="E26">_xlfn.IFS(D21=D26, "Calving season", D21=D29, "Season after calving", D21=D27, "", D21=D28, "")</f>
        <v>#N/A</v>
      </c>
      <c r="F26" s="49" t="e" cm="1">
        <f t="array" ref="F26">_xlfn.IFS(E26="Calving season", $J$14, E26="Season after calving", $J$15, E26="", "")</f>
        <v>#N/A</v>
      </c>
      <c r="G26" s="49">
        <v>1</v>
      </c>
      <c r="H26" s="49">
        <v>1</v>
      </c>
      <c r="I26" s="49">
        <v>1</v>
      </c>
      <c r="J26" s="49" cm="1">
        <f t="array" ref="J26">IFERROR(EntericMethane_PastureBeef_Equations.VEERG_3_2_1_1__4_AdditionalIntakeForMilkProduction(E$21,$F26), 1)</f>
        <v>1</v>
      </c>
      <c r="K26" s="49" cm="1">
        <f t="array" ref="K26">IFERROR(EntericMethane_PastureBeef_Equations.VEERG_3_2_1_1__4_AdditionalIntakeForMilkProduction(F$21,$F26), 1)</f>
        <v>1</v>
      </c>
      <c r="L26" s="49" cm="1">
        <f t="array" ref="L26">IFERROR(EntericMethane_PastureBeef_Equations.VEERG_3_2_1_1__4_AdditionalIntakeForMilkProduction(G$21,$F26), 1)</f>
        <v>1</v>
      </c>
      <c r="M26" s="49">
        <v>1</v>
      </c>
      <c r="N26" s="49">
        <v>1</v>
      </c>
      <c r="O26" s="49">
        <v>1</v>
      </c>
      <c r="P26" s="49">
        <v>1</v>
      </c>
      <c r="Q26" s="2" t="str">
        <f>$E$11</f>
        <v>fraction</v>
      </c>
      <c r="U26" s="91" t="s">
        <v>213</v>
      </c>
    </row>
    <row r="27" spans="1:34" ht="20.100000000000001" customHeight="1" x14ac:dyDescent="0.25">
      <c r="D27" s="49" t="s">
        <v>135</v>
      </c>
      <c r="E27" s="49" t="e" cm="1">
        <f t="array" ref="E27">_xlfn.IFS(D21=D27, "Calving season", D21=D26, "Season after calving", D21=D28, "", D21=D29, "")</f>
        <v>#N/A</v>
      </c>
      <c r="F27" s="49" t="e" cm="1">
        <f t="array" ref="F27">_xlfn.IFS(E27="Calving season", $J$14, E27="Season after calving", $J$15, E27="", "")</f>
        <v>#N/A</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e" cm="1">
        <f t="array" ref="E28">_xlfn.IFS(D21=D28, "Calving season", D21=D27, "Season after calving", D21=D29, "", D21=D26, "")</f>
        <v>#N/A</v>
      </c>
      <c r="F28" s="49" t="e" cm="1">
        <f t="array" ref="F28">_xlfn.IFS(E28="Calving season", $J$14, E28="Season after calving", $J$15, E28="", "")</f>
        <v>#N/A</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e" cm="1">
        <f t="array" ref="E29">_xlfn.IFS(D21=D29, "Calving season", D21=D28, "Season after calving", D21=D26, "", D21=D27, "")</f>
        <v>#N/A</v>
      </c>
      <c r="F29" s="49" t="e" cm="1">
        <f t="array" ref="F29">_xlfn.IFS(E29="Calving season", $J$14, E29="Season after calving", $J$15, E29="", "")</f>
        <v>#N/A</v>
      </c>
      <c r="G29" s="49">
        <v>1</v>
      </c>
      <c r="H29" s="49">
        <v>1</v>
      </c>
      <c r="I29" s="49">
        <v>1</v>
      </c>
      <c r="J29" s="49" cm="1">
        <f t="array" ref="J29">IFERROR(EntericMethane_PastureBeef_Equations.VEERG_3_2_1_1__4_AdditionalIntakeForMilkProduction(E$21,$F29), 1)</f>
        <v>1</v>
      </c>
      <c r="K29" s="49" cm="1">
        <f t="array" ref="K29">IFERROR(EntericMethane_PastureBeef_Equations.VEERG_3_2_1_1__4_AdditionalIntakeForMilkProduction(F$21,$F29), 1)</f>
        <v>1</v>
      </c>
      <c r="L29" s="49" cm="1">
        <f t="array" ref="L29">IFERROR(EntericMethane_PastureBeef_Equations.VEERG_3_2_1_1__4_AdditionalIntakeForMilkProduction(G$21,$F29), 1)</f>
        <v>1</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
      </c>
      <c r="W35" s="49" t="str" cm="1">
        <f t="array" ref="W35">_xlfn.IFS(V35="Calving season", $J$14, V35="Season after calving", $J$15, V35="", "")</f>
        <v/>
      </c>
      <c r="X35" s="49">
        <v>1</v>
      </c>
      <c r="Y35" s="49">
        <v>1</v>
      </c>
      <c r="Z35" s="49">
        <v>1</v>
      </c>
      <c r="AA35" s="49" cm="1">
        <f t="array" ref="AA35">IFERROR(EntericMethane_PastureBeef_Equations.VEERG_3_2_1_1__4_AdditionalIntakeForMilkProduction(V$22,$W35), 1)</f>
        <v>1</v>
      </c>
      <c r="AB35" s="49" cm="1">
        <f t="array" ref="AB35">IFERROR(EntericMethane_PastureBeef_Equations.VEERG_3_2_1_1__4_AdditionalIntakeForMilkProduction(W$22,$W35), 1)</f>
        <v>1</v>
      </c>
      <c r="AC35" s="49" cm="1">
        <f t="array" ref="AC35">IFERROR(EntericMethane_PastureBeef_Equations.VEERG_3_2_1_1__4_AdditionalIntakeForMilkProduction(X$22,$W35), 1)</f>
        <v>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
      </c>
      <c r="W36" s="49" t="str" cm="1">
        <f t="array" ref="W36">_xlfn.IFS(V36="Calving season", $J$14, V36="Season after calving", $J$15, V36="", "")</f>
        <v/>
      </c>
      <c r="X36" s="49">
        <v>1</v>
      </c>
      <c r="Y36" s="49">
        <v>1</v>
      </c>
      <c r="Z36" s="49">
        <v>1</v>
      </c>
      <c r="AA36" s="49" cm="1">
        <f t="array" ref="AA36">IFERROR(EntericMethane_PastureBeef_Equations.VEERG_3_2_1_1__4_AdditionalIntakeForMilkProduction(V$22,$W36), 1)</f>
        <v>1</v>
      </c>
      <c r="AB36" s="49" cm="1">
        <f t="array" ref="AB36">IFERROR(EntericMethane_PastureBeef_Equations.VEERG_3_2_1_1__4_AdditionalIntakeForMilkProduction(W$22,$W36), 1)</f>
        <v>1</v>
      </c>
      <c r="AC36" s="49" cm="1">
        <f t="array" ref="AC36">IFERROR(EntericMethane_PastureBeef_Equations.VEERG_3_2_1_1__4_AdditionalIntakeForMilkProduction(X$22,$W36), 1)</f>
        <v>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
      </c>
      <c r="W37" s="49" t="str" cm="1">
        <f t="array" ref="W37">_xlfn.IFS(V37="Calving season", $J$14, V37="Season after calving", $J$15, V37="", "")</f>
        <v/>
      </c>
      <c r="X37" s="49">
        <v>1</v>
      </c>
      <c r="Y37" s="49">
        <v>1</v>
      </c>
      <c r="Z37" s="49">
        <v>1</v>
      </c>
      <c r="AA37" s="49" cm="1">
        <f t="array" ref="AA37">IFERROR(EntericMethane_PastureBeef_Equations.VEERG_3_2_1_1__4_AdditionalIntakeForMilkProduction(V$22,$W37), 1)</f>
        <v>1</v>
      </c>
      <c r="AB37" s="49" cm="1">
        <f t="array" ref="AB37">IFERROR(EntericMethane_PastureBeef_Equations.VEERG_3_2_1_1__4_AdditionalIntakeForMilkProduction(W$22,$W37), 1)</f>
        <v>1</v>
      </c>
      <c r="AC37" s="49" cm="1">
        <f t="array" ref="AC37">IFERROR(EntericMethane_PastureBeef_Equations.VEERG_3_2_1_1__4_AdditionalIntakeForMilkProduction(X$22,$W37), 1)</f>
        <v>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
      </c>
      <c r="W38" s="49" t="str" cm="1">
        <f t="array" ref="W38">_xlfn.IFS(V38="Calving season", $J$14, V38="Season after calving", $J$15, V38="", "")</f>
        <v/>
      </c>
      <c r="X38" s="49">
        <v>1</v>
      </c>
      <c r="Y38" s="49">
        <v>1</v>
      </c>
      <c r="Z38" s="49">
        <v>1</v>
      </c>
      <c r="AA38" s="49" cm="1">
        <f t="array" ref="AA38">IFERROR(EntericMethane_PastureBeef_Equations.VEERG_3_2_1_1__4_AdditionalIntakeForMilkProduction(V$22,$W38), 1)</f>
        <v>1</v>
      </c>
      <c r="AB38" s="49" cm="1">
        <f t="array" ref="AB38">IFERROR(EntericMethane_PastureBeef_Equations.VEERG_3_2_1_1__4_AdditionalIntakeForMilkProduction(W$22,$W38), 1)</f>
        <v>1</v>
      </c>
      <c r="AC38" s="49" cm="1">
        <f t="array" ref="AC38">IFERROR(EntericMethane_PastureBeef_Equations.VEERG_3_2_1_1__4_AdditionalIntakeForMilkProduction(X$22,$W38), 1)</f>
        <v>1</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8.6730839001000017</v>
      </c>
      <c r="I64" s="49" cm="1">
        <f t="array" aca="1" ref="I64" ca="1">EntericMethane_PastureBeef_Equations.VEERG_3_2_1_1__3_FeedIntakeForGrazingBeef(I48,I56,K26)</f>
        <v>9.6310915600000016</v>
      </c>
      <c r="J64" s="49" cm="1">
        <f t="array" aca="1" ref="J64" ca="1">EntericMethane_PastureBeef_Equations.VEERG_3_2_1_1__3_FeedIntakeForGrazingBeef(J48,J56,L26)</f>
        <v>9.6310915600000016</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5.9278127841000021</v>
      </c>
      <c r="I67" s="49" cm="1">
        <f t="array" aca="1" ref="I67" ca="1">EntericMethane_PastureBeef_Equations.VEERG_3_2_1_1__3_FeedIntakeForGrazingBeef(I51,I59,K29)</f>
        <v>7.952343600099999</v>
      </c>
      <c r="J67" s="49" cm="1">
        <f t="array" aca="1" ref="J67" ca="1">EntericMethane_PastureBeef_Equations.VEERG_3_2_1_1__3_FeedIntakeForGrazingBeef(J51,J59,L29)</f>
        <v>7.952343600099999</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5.9278127841000021</v>
      </c>
      <c r="Z83" s="49" cm="1">
        <f t="array" aca="1" ref="Z83" ca="1">EntericMethane_PastureBeef_Equations.VEERG_3_2_1_1__3_FeedIntakeForGrazingBeef(Z51,Z67,AB35)</f>
        <v>7.952343600099999</v>
      </c>
      <c r="AA83" s="49" cm="1">
        <f t="array" aca="1" ref="AA83" ca="1">EntericMethane_PastureBeef_Equations.VEERG_3_2_1_1__3_FeedIntakeForGrazingBeef(AA51,AA67,AC35)</f>
        <v>7.952343600099999</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8.6730839001000017</v>
      </c>
      <c r="Z84" s="49" cm="1">
        <f t="array" aca="1" ref="Z84" ca="1">EntericMethane_PastureBeef_Equations.VEERG_3_2_1_1__3_FeedIntakeForGrazingBeef(Z52,Z68,AB36)</f>
        <v>9.6310915600000016</v>
      </c>
      <c r="AA84" s="49" cm="1">
        <f t="array" aca="1" ref="AA84" ca="1">EntericMethane_PastureBeef_Equations.VEERG_3_2_1_1__3_FeedIntakeForGrazingBeef(AA52,AA68,AC36)</f>
        <v>9.6310915600000016</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0.17953283673207002</v>
      </c>
      <c r="I85" s="49" cm="1">
        <f t="array" aca="1" ref="I85" ca="1">EntericMethane_PastureBeef_Equations.VEERG_3_2_1_1__2_DailyEntericMethaneProduction(I64)</f>
        <v>0.19936359529200001</v>
      </c>
      <c r="J85" s="49" cm="1">
        <f t="array" aca="1" ref="J85" ca="1">EntericMethane_PastureBeef_Equations.VEERG_3_2_1_1__2_DailyEntericMethaneProduction(J64)</f>
        <v>0.19936359529200001</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8.6730839001000017</v>
      </c>
      <c r="Z85" s="49" cm="1">
        <f t="array" aca="1" ref="Z85" ca="1">EntericMethane_PastureBeef_Equations.VEERG_3_2_1_1__3_FeedIntakeForGrazingBeef(Z53,Z69,AB37)</f>
        <v>9.6310915600000016</v>
      </c>
      <c r="AA85" s="49" cm="1">
        <f t="array" aca="1" ref="AA85" ca="1">EntericMethane_PastureBeef_Equations.VEERG_3_2_1_1__3_FeedIntakeForGrazingBeef(AA53,AA69,AC37)</f>
        <v>9.6310915600000016</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8.6730839001000017</v>
      </c>
      <c r="Z86" s="49" cm="1">
        <f t="array" aca="1" ref="Z86" ca="1">EntericMethane_PastureBeef_Equations.VEERG_3_2_1_1__3_FeedIntakeForGrazingBeef(Z54,Z70,AB38)</f>
        <v>9.6310915600000016</v>
      </c>
      <c r="AA86" s="49" cm="1">
        <f t="array" aca="1" ref="AA86" ca="1">EntericMethane_PastureBeef_Equations.VEERG_3_2_1_1__3_FeedIntakeForGrazingBeef(AA54,AA70,AC38)</f>
        <v>9.6310915600000016</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0.12270572463087004</v>
      </c>
      <c r="I88" s="49" cm="1">
        <f t="array" aca="1" ref="I88" ca="1">EntericMethane_PastureBeef_Equations.VEERG_3_2_1_1__2_DailyEntericMethaneProduction(I67)</f>
        <v>0.16461351252206999</v>
      </c>
      <c r="J88" s="49" cm="1">
        <f t="array" aca="1" ref="J88" ca="1">EntericMethane_PastureBeef_Equations.VEERG_3_2_1_1__2_DailyEntericMethaneProduction(J67)</f>
        <v>0.16461351252206999</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0.12270572463087004</v>
      </c>
      <c r="Z104" s="49" cm="1">
        <f t="array" aca="1" ref="Z104" ca="1">EntericMethane_PastureBeef_Equations.VEERG_3_2_1_1__2_DailyEntericMethaneProduction(Z83)</f>
        <v>0.16461351252206999</v>
      </c>
      <c r="AA104" s="49" cm="1">
        <f t="array" aca="1" ref="AA104" ca="1">EntericMethane_PastureBeef_Equations.VEERG_3_2_1_1__2_DailyEntericMethaneProduction(AA83)</f>
        <v>0.16461351252206999</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0.17953283673207002</v>
      </c>
      <c r="Z105" s="49" cm="1">
        <f t="array" aca="1" ref="Z105" ca="1">EntericMethane_PastureBeef_Equations.VEERG_3_2_1_1__2_DailyEntericMethaneProduction(Z84)</f>
        <v>0.19936359529200001</v>
      </c>
      <c r="AA105" s="49" cm="1">
        <f t="array" aca="1" ref="AA105" ca="1">EntericMethane_PastureBeef_Equations.VEERG_3_2_1_1__2_DailyEntericMethaneProduction(AA84)</f>
        <v>0.19936359529200001</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0.17953283673207002</v>
      </c>
      <c r="Z106" s="49" cm="1">
        <f t="array" aca="1" ref="Z106" ca="1">EntericMethane_PastureBeef_Equations.VEERG_3_2_1_1__2_DailyEntericMethaneProduction(Z85)</f>
        <v>0.19936359529200001</v>
      </c>
      <c r="AA106" s="49" cm="1">
        <f t="array" aca="1" ref="AA106" ca="1">EntericMethane_PastureBeef_Equations.VEERG_3_2_1_1__2_DailyEntericMethaneProduction(AA85)</f>
        <v>0.19936359529200001</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0.17953283673207002</v>
      </c>
      <c r="Z107" s="49" cm="1">
        <f t="array" aca="1" ref="Z107" ca="1">EntericMethane_PastureBeef_Equations.VEERG_3_2_1_1__2_DailyEntericMethaneProduction(Z86)</f>
        <v>0.19936359529200001</v>
      </c>
      <c r="AA107" s="49" cm="1">
        <f t="array" aca="1" ref="AA107" ca="1">EntericMethane_PastureBeef_Equations.VEERG_3_2_1_1__2_DailyEntericMethaneProduction(AA86)</f>
        <v>0.19936359529200001</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1.638237135180139</v>
      </c>
      <c r="I123" s="49" cm="1">
        <f t="array" aca="1" ref="I123" ca="1">EntericMethane_PastureBeef_Equations.VEERG_3_2_1_1__1_TotalAnnualMethaneFromEntericFermentation(I115,I85,I107)</f>
        <v>1.8191928070395003</v>
      </c>
      <c r="J123" s="49" cm="1">
        <f t="array" aca="1" ref="J123" ca="1">EntericMethane_PastureBeef_Equations.VEERG_3_2_1_1__1_TotalAnnualMethaneFromEntericFermentation(J115,J85,J107)</f>
        <v>1.8191928070395003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1.1196897372566892</v>
      </c>
      <c r="I126" s="49" cm="1">
        <f t="array" aca="1" ref="I126" ca="1">EntericMethane_PastureBeef_Equations.VEERG_3_2_1_1__1_TotalAnnualMethaneFromEntericFermentation(I118,I88,I110)</f>
        <v>1.5020983017638887</v>
      </c>
      <c r="J126" s="49" cm="1">
        <f t="array" aca="1" ref="J126" ca="1">EntericMethane_PastureBeef_Equations.VEERG_3_2_1_1__1_TotalAnnualMethaneFromEntericFermentation(J118,J88,J110)</f>
        <v>1.5020983017638887</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54.595755432192263</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54.595755432192263</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1528.6811521013833</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0.38038774635569711</v>
      </c>
      <c r="Z156" s="49" cm="1">
        <f t="array" aca="1" ref="Z156" ca="1">EntericMethane_PastureBeef_Equations.VEERG_3_2_1_1__1_TotalAnnualMethaneFromEntericFermentation(Z140,Z104,Z124)</f>
        <v>0.51030188881841698</v>
      </c>
      <c r="AA156" s="49" cm="1">
        <f t="array" aca="1" ref="AA156" ca="1">EntericMethane_PastureBeef_Equations.VEERG_3_2_1_1__1_TotalAnnualMethaneFromEntericFermentation(AA140,AA104,AA124)</f>
        <v>0.51030188881841698</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0.53859851019621008</v>
      </c>
      <c r="Z157" s="49" cm="1">
        <f t="array" aca="1" ref="Z157" ca="1">EntericMethane_PastureBeef_Equations.VEERG_3_2_1_1__1_TotalAnnualMethaneFromEntericFermentation(Z141,Z105,Z125)</f>
        <v>0.59809078587600006</v>
      </c>
      <c r="AA157" s="49" cm="1">
        <f t="array" aca="1" ref="AA157" ca="1">EntericMethane_PastureBeef_Equations.VEERG_3_2_1_1__1_TotalAnnualMethaneFromEntericFermentation(AA141,AA105,AA125)</f>
        <v>0.59809078587600006</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0.556551793869417</v>
      </c>
      <c r="Z158" s="49" cm="1">
        <f t="array" aca="1" ref="Z158" ca="1">EntericMethane_PastureBeef_Equations.VEERG_3_2_1_1__1_TotalAnnualMethaneFromEntericFermentation(Z142,Z106,Z126)</f>
        <v>0.6180271454052001</v>
      </c>
      <c r="AA158" s="49" cm="1">
        <f t="array" aca="1" ref="AA158" ca="1">EntericMethane_PastureBeef_Equations.VEERG_3_2_1_1__1_TotalAnnualMethaneFromEntericFermentation(AA142,AA106,AA126)</f>
        <v>0.6180271454052001</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0.53859851019621008</v>
      </c>
      <c r="Z159" s="49" cm="1">
        <f t="array" aca="1" ref="Z159" ca="1">EntericMethane_PastureBeef_Equations.VEERG_3_2_1_1__1_TotalAnnualMethaneFromEntericFermentation(Z143,Z107,Z127)</f>
        <v>0.59809078587600006</v>
      </c>
      <c r="AA159" s="49" cm="1">
        <f t="array" aca="1" ref="AA159" ca="1">EntericMethane_PastureBeef_Equations.VEERG_3_2_1_1__1_TotalAnnualMethaneFromEntericFermentation(AA143,AA107,AA127)</f>
        <v>0.59809078587600006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c r="U161" s="93" t="s">
        <v>231</v>
      </c>
      <c r="V161" s="94">
        <f ca="1">SUM(V149:AE160)</f>
        <v>54.699181903674365</v>
      </c>
      <c r="W161" s="95">
        <f ca="1">V140</f>
        <v>31</v>
      </c>
    </row>
    <row r="162" spans="21:24" ht="20.100000000000001" customHeight="1" x14ac:dyDescent="0.25"/>
    <row r="163" spans="21:24" ht="20.100000000000001" customHeight="1" x14ac:dyDescent="0.25">
      <c r="U163" s="54" t="str" cm="1">
        <f t="array" ref="U163:V164">Common_Equations.Common_ConvertCH4ToCO2e_Arguments()</f>
        <v>ECH4</v>
      </c>
      <c r="V163" s="55" t="str">
        <v>Methane emissions (t CH4)</v>
      </c>
      <c r="W163" s="96"/>
      <c r="X163" s="49">
        <f ca="1">VEERG_3_2_1_1__1_TotalAnnualMethaneFromEntericFermentation_Result_Method2</f>
        <v>54.699181903674365</v>
      </c>
    </row>
    <row r="164" spans="21:24" ht="20.100000000000001" customHeight="1" x14ac:dyDescent="0.25">
      <c r="U164" s="54" t="str">
        <v>GWPCH4</v>
      </c>
      <c r="V164" s="55" t="str">
        <v>Global warming potential for methane (t CO2-e / t CH4)</v>
      </c>
      <c r="W164" s="96"/>
      <c r="X164" s="49">
        <f>Common_InputFunctions.Utility_LookupValueInTableNumber("CH4",Table_GWPData[Gas],Table_GWPData[CO2-e factor])</f>
        <v>28</v>
      </c>
    </row>
    <row r="165" spans="21:24" ht="20.100000000000001" customHeight="1" x14ac:dyDescent="0.25"/>
    <row r="166" spans="21:24" ht="20.100000000000001" customHeight="1" x14ac:dyDescent="0.25">
      <c r="U166" s="42" t="s">
        <v>82</v>
      </c>
      <c r="V166" s="42" cm="1">
        <f t="array" aca="1" ref="V166" ca="1">Common_Equations.Common_ConvertN2OToCO2e(X163,X164)</f>
        <v>1531.5770933028823</v>
      </c>
      <c r="W166" s="97"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13459-717D-4FCB-B9F7-5E7F6D53E66D}">
  <dimension ref="A1:BY259"/>
  <sheetViews>
    <sheetView showGridLines="0" topLeftCell="A86" zoomScaleNormal="100" workbookViewId="0">
      <selection activeCell="A19" sqref="A1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2"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HYPERLINK("#'Results'!A1", "Results")</f>
        <v>Results</v>
      </c>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16</v>
      </c>
      <c r="E6" s="35" t="s">
        <v>17</v>
      </c>
      <c r="F6" s="35" t="s">
        <v>18</v>
      </c>
    </row>
    <row r="7" spans="1:65" ht="20.100000000000001" customHeight="1" x14ac:dyDescent="0.25">
      <c r="A7" s="19" t="s">
        <v>0</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Pasture Beef'!A1", "Pasture Beef")</f>
        <v>Pasture Beef</v>
      </c>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8" t="s">
        <v>60</v>
      </c>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7" t="str">
        <f>HYPERLINK("#'3.2.1.1-2 Enteric Methane'!A1", "3.2.1.1-2 Enteric Methane")</f>
        <v>3.2.1.1-2 Enteric Methane</v>
      </c>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120" t="s">
        <v>1</v>
      </c>
    </row>
    <row r="17" spans="1:4" ht="20.100000000000001" customHeight="1" x14ac:dyDescent="0.25">
      <c r="A17" s="17" t="str">
        <f>HYPERLINK("#'Constants - Pasture Beef'!A1", "Constants - Pasture Beef")</f>
        <v>Constants - Pasture Beef</v>
      </c>
    </row>
    <row r="18" spans="1:4" ht="20.100000000000001" customHeight="1" x14ac:dyDescent="0.25">
      <c r="A18" s="118" t="str">
        <f>HYPERLINK("#'Constants - Common'!A1", "Constants - Common")</f>
        <v>Constants - Common</v>
      </c>
      <c r="D18" s="6" t="str" cm="1">
        <f t="array" ref="D18">Common_SourceData.Common_SourceData_WASA4Areas_Title()</f>
        <v>ABS Statistcal Areas Level 4 - Western Australia</v>
      </c>
    </row>
    <row r="19" spans="1:4" ht="20.100000000000001" customHeight="1" x14ac:dyDescent="0.25">
      <c r="A19" s="17" t="str">
        <f>HYPERLINK("#'Constants - Common Livestock'!A1", "Constants - Common Livestock")</f>
        <v>Constants - Common Livestock</v>
      </c>
      <c r="D19" s="5" t="str" cm="1">
        <f t="array" ref="D19">Common_SourceData.Common_SourceData_WASA4Areas_Source()</f>
        <v>Australian Bureau of Statistics (ABS) - Statistical Areas Level 2 - 2021 - Shapefile</v>
      </c>
    </row>
    <row r="20" spans="1:4" ht="20.100000000000001" customHeight="1" x14ac:dyDescent="0.25">
      <c r="A20" s="17" t="str">
        <f>HYPERLINK("#'Acknowledgements'!A1", "Acknowledgements")</f>
        <v>Acknowledgements</v>
      </c>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5" t="s">
        <v>267</v>
      </c>
      <c r="E257" s="35" t="s">
        <v>268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7"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2026-07-31T06:01:10Z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