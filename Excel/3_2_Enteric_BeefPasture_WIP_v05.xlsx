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drawings/drawing2.xml" ContentType="application/vnd.openxmlformats-officedocument.drawing+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tables/table22.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tables/table26.xml" ContentType="application/vnd.openxmlformats-officedocument.spreadsheetml.table+xml"/>
  <Override PartName="/xl/tables/table27.xml" ContentType="application/vnd.openxmlformats-officedocument.spreadsheetml.table+xml"/>
  <Override PartName="/xl/tables/table28.xml" ContentType="application/vnd.openxmlformats-officedocument.spreadsheetml.table+xml"/>
  <Override PartName="/xl/tables/table29.xml" ContentType="application/vnd.openxmlformats-officedocument.spreadsheetml.table+xml"/>
  <Override PartName="/xl/tables/table30.xml" ContentType="application/vnd.openxmlformats-officedocument.spreadsheetml.table+xml"/>
  <Override PartName="/xl/tables/table31.xml" ContentType="application/vnd.openxmlformats-officedocument.spreadsheetml.table+xml"/>
  <Override PartName="/xl/tables/table32.xml" ContentType="application/vnd.openxmlformats-officedocument.spreadsheetml.table+xml"/>
  <Override PartName="/xl/tables/table33.xml" ContentType="application/vnd.openxmlformats-officedocument.spreadsheetml.table+xml"/>
  <Override PartName="/xl/tables/table34.xml" ContentType="application/vnd.openxmlformats-officedocument.spreadsheetml.table+xml"/>
  <Override PartName="/xl/tables/table35.xml" ContentType="application/vnd.openxmlformats-officedocument.spreadsheetml.table+xml"/>
  <Override PartName="/xl/tables/table36.xml" ContentType="application/vnd.openxmlformats-officedocument.spreadsheetml.table+xml"/>
  <Override PartName="/xl/tables/table37.xml" ContentType="application/vnd.openxmlformats-officedocument.spreadsheetml.table+xml"/>
  <Override PartName="/xl/tables/table38.xml" ContentType="application/vnd.openxmlformats-officedocument.spreadsheetml.table+xml"/>
  <Override PartName="/xl/tables/table39.xml" ContentType="application/vnd.openxmlformats-officedocument.spreadsheetml.table+xml"/>
  <Override PartName="/xl/tables/table40.xml" ContentType="application/vnd.openxmlformats-officedocument.spreadsheetml.table+xml"/>
  <Override PartName="/xl/tables/table41.xml" ContentType="application/vnd.openxmlformats-officedocument.spreadsheetml.table+xml"/>
  <Override PartName="/xl/tables/table42.xml" ContentType="application/vnd.openxmlformats-officedocument.spreadsheetml.table+xml"/>
  <Override PartName="/xl/tables/table43.xml" ContentType="application/vnd.openxmlformats-officedocument.spreadsheetml.table+xml"/>
  <Override PartName="/xl/tables/table44.xml" ContentType="application/vnd.openxmlformats-officedocument.spreadsheetml.table+xml"/>
  <Override PartName="/xl/tables/table45.xml" ContentType="application/vnd.openxmlformats-officedocument.spreadsheetml.table+xml"/>
  <Override PartName="/xl/tables/table46.xml" ContentType="application/vnd.openxmlformats-officedocument.spreadsheetml.table+xml"/>
  <Override PartName="/xl/tables/table47.xml" ContentType="application/vnd.openxmlformats-officedocument.spreadsheetml.table+xml"/>
  <Override PartName="/xl/tables/table48.xml" ContentType="application/vnd.openxmlformats-officedocument.spreadsheetml.table+xml"/>
  <Override PartName="/xl/tables/table49.xml" ContentType="application/vnd.openxmlformats-officedocument.spreadsheetml.table+xml"/>
  <Override PartName="/xl/tables/table50.xml" ContentType="application/vnd.openxmlformats-officedocument.spreadsheetml.table+xml"/>
  <Override PartName="/xl/tables/table51.xml" ContentType="application/vnd.openxmlformats-officedocument.spreadsheetml.table+xml"/>
  <Override PartName="/xl/tables/table52.xml" ContentType="application/vnd.openxmlformats-officedocument.spreadsheetml.table+xml"/>
  <Override PartName="/xl/tables/table53.xml" ContentType="application/vnd.openxmlformats-officedocument.spreadsheetml.table+xml"/>
  <Override PartName="/xl/tables/table54.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codeName="ThisWorkbook"/>
  <mc:AlternateContent xmlns:mc="http://schemas.openxmlformats.org/markup-compatibility/2006">
    <mc:Choice Requires="x15">
      <x15ac:absPath xmlns:x15ac="http://schemas.microsoft.com/office/spreadsheetml/2010/11/ac" url="C:\htdocs\zneagcrc\GAF-VEERG-Functions\Excel\"/>
    </mc:Choice>
  </mc:AlternateContent>
  <xr:revisionPtr revIDLastSave="0" documentId="13_ncr:1_{7DD19BE8-1945-4D38-8D63-81A07DC16FC3}" xr6:coauthVersionLast="47" xr6:coauthVersionMax="47" xr10:uidLastSave="{00000000-0000-0000-0000-000000000000}"/>
  <bookViews>
    <workbookView xWindow="3120" yWindow="3120" windowWidth="28800" windowHeight="15345" firstSheet="6" activeTab="6" xr2:uid="{992023F3-CAB7-4E5B-A348-08D563A0EF40}"/>
  </bookViews>
  <sheets>
    <sheet name="Home" sheetId="71" r:id="rId1"/>
    <sheet name="Results" sheetId="13" r:id="rId2"/>
    <sheet name="Input - Site" sheetId="15" r:id="rId3"/>
    <sheet name="Input - Pasture Beef" sheetId="70" r:id="rId4"/>
    <sheet name="3.2.1.1-2 Enteric Methane" sheetId="69" r:id="rId5"/>
    <sheet name="Constants - Pasture Beef" sheetId="79" r:id="rId6"/>
    <sheet name="Constants - Common" sheetId="111" r:id="rId7"/>
    <sheet name="Constants - Common Livestock" sheetId="43" r:id="rId8"/>
    <sheet name="Acknowledgements" sheetId="72" r:id="rId9"/>
  </sheets>
  <externalReferences>
    <externalReference r:id="rId10"/>
  </externalReferences>
  <definedNames>
    <definedName name="Common_Equations.Common_ConvertCH4ToCO2e">_xlfn.LAMBDA(_xlpm.E_CH4,_xlpm.GWP_CH4, _xlpm.E_CH4 * _xlpm.GWP_CH4)</definedName>
    <definedName name="Common_Equations.Common_ConvertCH4ToCO2e_Arguments">_xlfn.LAMBDA(_xlfn.MAKEARRAY(2, 2, _xlfn.LAMBDA(_xlpm.r,_xlpm.c, INDEX({"ECH4","Methane emissions (t CH4)";"GWPCH4","Global warming potential for methane (t CO2-e / t CH4)"}, _xlpm.r, _xlpm.c))))</definedName>
    <definedName name="Common_Equations.Common_ConvertCH4ToCO2e_LatexEquation">_xlfn.LAMBDA("CO2_e = E_{CH4} \times GWP_{CH4}")</definedName>
    <definedName name="Common_Equations.Common_ConvertCH4ToCO2e_NIRReference">_xlfn.LAMBDA("")</definedName>
    <definedName name="Common_Equations.Common_ConvertCH4ToCO2e_Title">_xlfn.LAMBDA("Convert methane emissions to carbon dioxide equivalent emissions")</definedName>
    <definedName name="Common_Equations.Common_ConvertCH4ToCO2e_Unit">_xlfn.LAMBDA("t CO2e")</definedName>
    <definedName name="Common_Equations.Common_ConvertCH4ToCO2e_Variable">_xlfn.LAMBDA("ECH4 CO2e")</definedName>
    <definedName name="Common_Equations.Common_ConvertN2OToCO2e">_xlfn.LAMBDA(_xlpm.E_N2O,_xlpm.GWP_N2O, _xlpm.E_N2O * _xlpm.GWP_N2O)</definedName>
    <definedName name="Common_Equations.Common_ConvertN2OToCO2e_Arguments">_xlfn.LAMBDA(_xlfn.MAKEARRAY(2, 2, _xlfn.LAMBDA(_xlpm.r,_xlpm.c, INDEX({"EN2O","Nitrous oxide emissions (t N2O)";"GWPN2O","Global warming potential for nitrous oxide (t CO2-e / t N2O)"}, _xlpm.r, _xlpm.c))))</definedName>
    <definedName name="Common_Equations.Common_ConvertN2OToCO2e_LatexEquation">_xlfn.LAMBDA("CO2_e = E_{N2O} \times GWP_{N2O}")</definedName>
    <definedName name="Common_Equations.Common_ConvertN2OToCO2e_NIRReference">_xlfn.LAMBDA("")</definedName>
    <definedName name="Common_Equations.Common_ConvertN2OToCO2e_Title">_xlfn.LAMBDA("Convert nitrous oxide emissions to carbon dioxide equivalent emissions")</definedName>
    <definedName name="Common_Equations.Common_ConvertN2OToCO2e_Unit">_xlfn.LAMBDA("t CO2e")</definedName>
    <definedName name="Common_Equations.Common_ConvertN2OToCO2e_Variable">_xlfn.LAMBDA("EN2O CO2e")</definedName>
    <definedName name="Common_InputFunctions.Common_GetMCFTemperatureZone">_xlfn.LAMBDA(_xlpm.Temperature,_xlpm.MMS,_xlpm.TemperatureArray,_xlpm.MMSArray,_xlpm.ReturnArray,
    _xlfn.XLOOKUP(
        MEDIAN(
            ROUND(_xlpm.Temperature, 0),
            MIN(_xlpm.TemperatureArray),
            MAX(_xlpm.TemperatureArray)
        ),
        _xlpm.TemperatureArray,
        _xlfn.XLOOKUP(_xlpm.MMS, _xlpm.MMSArray, _xlpm.ReturnArray)
    )
)</definedName>
    <definedName name="Common_InputFunctions.CommonCropping_GetFracWET">_xlfn.LAMBDA(_xlpm.LeachingZone,_xlpm.ProductionSystem,_xlpm.LeachingZoneLookup,_xlpm.LeachingZoneFracWETLookup,_xlpm.ProductionSystemLookup,_xlpm.ProductionSystemFracWETLookup, _xlfn.LET(_xlpm.LeachingZoneFracWET, Common_InputFunctions.Utility_LookupValueInTableNumber(_xlpm.LeachingZone, _xlpm.LeachingZoneLookup, _xlpm.LeachingZoneFracWETLookup), _xlpm.ProductionSystemFracWET, Common_InputFunctions.Utility_LookupValueInTableNumber(_xlpm.ProductionSystem, _xlpm.ProductionSystemLookup, _xlpm.ProductionSystemFracWETLookup), IF(_xlpm.LeachingZoneFracWET + _xlpm.ProductionSystemFracWET &gt; 0, 1, 0)))</definedName>
    <definedName name="Common_InputFunctions.getOverlappingReportingCycles">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MAX(0, _xlpm.lastYear - _xlpm.firstYear + 1)))</definedName>
    <definedName name="Common_InputFunctions.getOverlappingReportingPeriods">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_xlpm.n, MAX(0, _xlpm.lastYear - _xlpm.firstYear + 1), _xlpm.yrs, _xlfn.SEQUENCE(_xlpm.n, 1, _xlpm.firstYear, 1), _xlpm.starts, DATE(_xlpm.yrs, _xlpm.m, _xlpm.d), _xlpm.ends, _xlfn.MAP(_xlpm.starts, _xlpm.PeriodEnd), _xlpm.tag, IF(_xlpm.starts = _xlpm.ReportingCycleStart, " (This reporting cycle)", ""), _xlpm.startsText, TEXT(_xlpm.starts, "dd mmm yyyy"), _xlpm.endsText, TEXT(_xlpm.ends, "dd mmm yyyy"), IF(_xlpm.n = 0, "", _xlfn.HSTACK(_xlpm.startsText &amp; " to " &amp; _xlpm.endsText &amp; _xlpm.tag))))</definedName>
    <definedName name="Common_InputFunctions.Utility_ConvertStateCommonNameToAbbreviation">_xlfn.LAMBDA(_xlpm.StateCommonName,_xlpm.StateCommonNameArray,_xlpm.StateAbbreviationArray, _xlfn.XLOOKUP(_xlpm.StateCommonName, _xlpm.StateCommonNameArray, _xlpm.StateAbbreviationArray, ""))</definedName>
    <definedName name="Common_InputFunctions.Utility_DisplayArguments_1_2">_xlfn.LAMBDA(_xlpm.ArgumentsArray, _xlfn.CHOOSECOLS(_xlpm.ArgumentsArray, 1, 2))</definedName>
    <definedName name="Common_InputFunctions.Utility_DisplayArguments_3_4">_xlfn.LAMBDA(_xlpm.ArgumentsArray, _xlfn.CHOOSECOLS(_xlpm.ArgumentsArray, 3, 4))</definedName>
    <definedName name="Common_InputFunctions.Utility_DisplayArrayInTable">_xlfn.LAMBDA(_xlpm.ArrayData,_xlpm.TableheaderCell,_xlpm.RowsBetweenHeaderandArray,_xlop.ColumnsBetweenHeaderAndArray, IFERROR(INDEX(_xlfn.UNIQUE(_xlpm.ArrayData), ROW() - Common_InputFunctions.Utility_GetArrayTableRowStartNumber(_xlpm.TableheaderCell, _xlpm.RowsBetweenHeaderandArray), COLUMN() - Common_InputFunctions.Utility_GetArrayTableColumnStartNumber(_xlpm.TableheaderCell) + IF(_xlfn.ISOMITTED(_xlpm.ColumnsBetweenHeaderAndArray), 1, _xlpm.ColumnsBetweenHeaderAndArray)), ""))</definedName>
    <definedName name="Common_InputFunctions.Utility_DisplayFunctionName">_xlfn.LAMBDA(_xlpm.Function, _xlfn.TEXTBEFORE(_xlfn.FORMULATEXT(_xlpm.Function), "("))</definedName>
    <definedName name="Common_InputFunctions.Utility_GetArrayTableColumnStartNumber">_xlfn.LAMBDA(_xlpm.TableHeaderCell, COLUMN(_xlpm.TableHeaderCell))</definedName>
    <definedName name="Common_InputFunctions.Utility_GetArrayTableRowStartNumber">_xlfn.LAMBDA(_xlpm.TableheaderCell,_xlpm.RowsBetweenHeaderandArray, ROW(_xlpm.TableheaderCell) + _xlpm.RowsBetweenHeaderandArray - 1)</definedName>
    <definedName name="Common_InputFunctions.Utility_GetClimateZone">_xlfn.LAMBDA(_xlpm.avgTemp,_xlpm.avgRain,_xlpm.frostDays,_xlpm.elev,_xlpm.map_pet,_xlpm.minTempArray,_xlpm.maxTempArray,_xlpm.minRainfallArray,_xlpm.maxRainfallArray,_xlpm.minFrostArray,_xlpm.maxFrostArray,_xlpm.minElevationArray,_xlpm.maxElevationArray,_xlpm.minPETArray,_xlpm.maxPETArray,_xlpm.climateZoneArray, _xlfn.LET(_xlpm.mask, (VALUE(_xlpm.minTempArray) &lt;= _xlpm.avgTemp) * (VALUE(_xlpm.maxTempArray) &gt;= _xlpm.avgTemp) * (VALUE(_xlpm.minRainfallArray) &lt;= _xlpm.avgRain) * (VALUE(_xlpm.maxRainfallArray) &gt;= _xlpm.avgRain) * (VALUE(_xlpm.minFrostArray) &lt;= _xlpm.frostDays) * (VALUE(_xlpm.maxFrostArray) &gt;= _xlpm.frostDays) * (VALUE(_xlpm.minElevationArray) &lt;= _xlpm.elev) * (VALUE(_xlpm.maxElevationArray) &gt;= _xlpm.elev) * (VALUE(_xlpm.minPETArray) &lt;= _xlpm.map_pet) * (VALUE(_xlpm.maxPETArray) &gt;= _xlpm.map_pet), _xlfn.TAKE(_xlfn._xlws.FILTER(_xlpm.climateZoneArray, _xlpm.mask, "No match"), 1)))</definedName>
    <definedName name="Common_InputFunctions.Utility_LookupItemFromMinMax">_xlfn.LAMBDA(_xlpm.LookupValue,_xlpm.MinArray,_xlpm.MaxArray,_xlpm.ItemArray, _xlfn.LET(_xlpm.mask, (VALUE(_xlpm.MinArray) &lt;= _xlpm.LookupValue) * (VALUE(_xlpm.MaxArray) &gt;= _xlpm.LookupValue), _xlfn._xlws.FILTER(_xlpm.ItemArray, _xlpm.mask, "No match")))</definedName>
    <definedName name="Common_InputFunctions.Utility_LookupN2OEFFromProdIrrigationRainfall">_xlfn.LAMBDA(_xlpm.ProductionSystem,_xlpm.IrrigationMethod,_xlpm.RainfallZone,_xlpm.ProductionSystemArray,_xlpm.IrrigationMethodArray,_xlpm.RainfallZoneArray,_xlpm.ReturnArray, _xlfn.LET(_xlpm.IrrigationMethod, IF(_xlpm.IrrigationMethod = "Not irrigated", "Not irrigated", "Any"), _xlpm.RainfallZone, IF(_xlpm.IrrigationMethod = "Not irrigated", _xlpm.RainfallZone, "Any"), _xlfn.XLOOKUP(1, (_xlpm.ProductionSystemArray = _xlpm.ProductionSystem) * (_xlpm.IrrigationMethodArray = _xlpm.IrrigationMethod) * (_xlpm.RainfallZoneArray = _xlpm.RainfallZone), _xlpm.ReturnArray)))</definedName>
    <definedName name="Common_InputFunctions.Utility_LookupValueInTable">_xlfn.LAMBDA(_xlpm.LookupValue,_xlpm.LookupArray,_xlpm.ReturnArray, _xlfn.XLOOKUP(_xlpm.LookupValue, _xlpm.LookupArray, _xlpm.ReturnArray, ""))</definedName>
    <definedName name="Common_InputFunctions.Utility_LookupValueInTableNumber">_xlfn.LAMBDA(_xlpm.LookupValue,_xlpm.LookupArray,_xlpm.ReturnArray, IF(ISNUMBER(_xlfn.XLOOKUP(_xlpm.LookupValue, _xlpm.LookupArray, _xlpm.ReturnArray, "")), _xlfn.XLOOKUP(_xlpm.LookupValue, _xlpm.LookupArray, _xlpm.ReturnArray, ""), 0))</definedName>
    <definedName name="Common_InputFunctions.Utility_LookupValueInTableOneColumnAndHeader">_xlfn.LAMBDA(_xlpm.LookupValue1,_xlpm.LookupValue2,_xlpm.LookupArray1,_xlpm.LookupArray2,_xlpm.ReturnArray,_xlop.ValueIfFalse,
    IFERROR(
        _xlfn.XLOOKUP(_xlpm.LookupValue1, _xlpm.LookupArray1,
            _xlfn.XLOOKUP(_xlpm.LookupValue2, _xlpm.LookupArray2, _xlpm.ReturnArray)
        ),
        IF(_xlfn.ISOMITTED(_xlpm.ValueIfFalse), "", _xlpm.ValueIfFalse)
    )
)</definedName>
    <definedName name="Common_InputFunctions.Utility_LookupValueInTableTwoColumns">_xlfn.LAMBDA(_xlpm.LookupValue1,_xlpm.LookupValue2,_xlpm.LookupArray1,_xlpm.LookupArray2,_xlpm.ReturnArray,_xlop.ValueIFFalse,
    _xlfn.XLOOKUP(1, (_xlpm.LookupArray1=_xlpm.LookupValue1)*(_xlpm.LookupArray2=_xlpm.LookupValue2), _xlpm.ReturnArray, IF(_xlfn.ISOMITTED(_xlpm.ValueIFFalse), "", _xlpm.ValueIFFalse))
)</definedName>
    <definedName name="Common_InputFunctions.Utility_ResultsItemFromEquationTitleAndSource">_xlfn.LAMBDA(_xlpm.TitleCell,_xlpm.SourceCell, SUBSTITUTE(LEFT(_xlpm.SourceCell, FIND(",", _xlpm.SourceCell) - 1), "VEERG 2026: ", "") &amp; " " &amp; _xlpm.TitleCell)</definedName>
    <definedName name="Common_InputFunctions.Utility_SourceHyperlink">_xlfn.LAMBDA(_xlpm.TargetCell, _xlfn.LET(_xlpm.sh, _xlfn.TEXTAFTER(CELL("filename", _xlpm.TargetCell), "]"), _xlpm.addr, CELL("address", _xlpm.TargetCell), "#'" &amp; _xlpm.sh &amp; "'!" &amp; _xlpm.addr))</definedName>
    <definedName name="Common_InputFunctions.Utility_SourceHyperlinkDifferentSheet">_xlfn.LAMBDA(_xlpm.TargetCell, _xlfn.LET(_xlpm.sh, _xlfn.TEXTAFTER(CELL("filename", _xlpm.TargetCell), "]"), _xlpm.addr, CELL("address", _xlpm.TargetCell), "#" &amp; _xlpm.addr))</definedName>
    <definedName name="Common_InputFunctions.Utility_SplitStringIntoArray">_xlfn.LAMBDA(_xlpm.Cell,_xlpm.Delimiter,_xlop.CharacterToRemove1,_xlop.CharacterToRemove2, _xlfn.FILTERXML("&lt;t&gt;&lt;s&gt;" &amp; SUBSTITUTE(SUBSTITUTE(SUBSTITUTE(_xlpm.Cell, _xlpm.CharacterToRemove1, ""), _xlpm.CharacterToRemove2, ""), _xlpm.Delimiter, "&lt;/s&gt;&lt;s&gt;") &amp; "&lt;/s&gt;&lt;/t&gt;", "//s"))</definedName>
    <definedName name="Common_InputFunctions.Utility_SumQuantityFromCriteria">_xlfn.LAMBDA(_xlpm.Criteria1,_xlpm.Criteria1TypeArray,_xlpm.Quantity,_xlop.Multiplier,_xlop.Criteria2,_xlop.Criteria2Array, _xlfn.LET(_xlpm.multiplier, IF(_xlfn.ISOMITTED(_xlpm.Multiplier), 1, _xlpm.Multiplier), _xlpm.quantity, _xlpm.Quantity * _xlpm.multiplier, _xlpm.criteria1, --(_xlpm.Criteria1TypeArray = _xlpm.Criteria1), _xlpm.criteria2, IF(_xlfn.ISOMITTED(_xlpm.Criteria2), 1, --(_xlpm.Criteria2Array = _xlpm.Criteria2)), SUMPRODUCT(_xlpm.criteria1 * _xlpm.criteria2 * _xlpm.quantity)))</definedName>
    <definedName name="Common_SourceData.Common_SourceData_AustralianStatesTerritories_Data">_xlfn.LAMBDA(_xlfn.MAKEARRAY(9, 3, _xlfn.LAMBDA(_xlpm.r,_xlpm.c, INDEX({"State/Territory","Common Name","Abbreviation";"New South Wales","New South Wales","NSW";"Australian Capital Territory","ACT","ACT";"Victoria","Victoria","VIC";"Queensland","Queensland","QLD";"South Australia","South Australia","SA";"Western Australia","Western Australia","WA";"Tasmania","Tasmania","TAS";"Northern Territory","Northern Territory","NT"}, _xlpm.r, _xlpm.c))))</definedName>
    <definedName name="Common_SourceData.Common_SourceData_AustralianStatesTerritories_Source">_xlfn.LAMBDA("")</definedName>
    <definedName name="Common_SourceData.Common_SourceData_AustralianStatesTerritories_Title">_xlfn.LAMBDA("Australian states and territories")</definedName>
    <definedName name="Common_SourceData.Common_SourceData_AustralianStatesTerritories_Unit">_xlfn.LAMBDA("")</definedName>
    <definedName name="Common_SourceData.Common_SourceData_AustralianStatesTerritories_Variable">_xlfn.LAMBDA("")</definedName>
    <definedName name="Common_SourceData.Common_SourceData_ClimateZones_Appendices">_xlfn.LAMBDA(_xlfn.MAKEARRAY(4, 1, _xlfn.LAMBDA(_xlpm.r,_xlpm.c, INDEX({"Note:";"MAT = mean annual temperature";"MAP = mean annual precipitation";"PET = potential evapotranspiration"}, _xlpm.r, _xlpm.c))))</definedName>
    <definedName name="Common_SourceData.Common_SourceData_ClimateZones_Data">_xlfn.LAMBDA(_xlfn.MAKEARRAY(9, 16, _xlfn.LAMBDA(_xlpm.r,_xlpm.c, INDEX({"Climate Zone","MAT","MAP","Frost days per year","Elevation","MAP:PET","Min temp","Max temp","Min rainfall","Max rainfall","Min frost days","Max frost days","Min elevation","Max elevation","Min MAP:PET","Min MAP:PET";"Tropical montane","&gt; 18 C","Any","≤ 7","&gt; 1000 m","Any",18.001,999999,-999999,999999,-999999,7,1000,999999,-999999,999999;"Tropical wet","&gt; 18 C","&gt; 2000 mm","≤ 7","≤ 1000 m","Any",18.001,999999,2000.001,999999,-999999,7,-999999,999.999,-999999,999999;"Tropical moist","&gt; 18 C","&gt; 1000 mm - ≤ 2000 mm","≤ 7","≤ 1000 m","Any",18.001,999999,1000.001,2000,-999999,7,-999999,999.999,-999999,999999;"Tropical dry","&gt; 18 C","≤ 1000 mm","≤ 7","≤ 1000 m","Any",18.001,999999,-999999,1000,-999999,7,-999999,999.999,-999999,999999;"Warm temperate moist","&gt; 10 C","Any","Any","Any","&gt; 1",10.001,999999,-999999,999999,-999999,999999,-999999,999999,1.001,999999;"Warm temperate dry","&gt; 10 C","Any","Any","Any","≤ 1",10.001,999999,-999999,999999,-999999,999999,-999999,999999,-999999,1;"Cool temperate moist","&gt; 0 C - ≤ 10 C","Any","Any","Any","&gt; 1",-999999,10,-999999,999999,-999999,999999,-999999,999999,1.001,999999;"Cool temperate dry","&gt; 0 C - ≤ 10 C","Any","Any","Any","≤ 1",-999999,10,-999999,999999,-999999,999999,-999999,999999,-999999,1}, _xlpm.r, _xlpm.c))))</definedName>
    <definedName name="Common_SourceData.Common_SourceData_ClimateZones_Source">_xlfn.LAMBDA("VEERG 2026: Table 1.3: Climate and Rainfall zone classifications and definitions")</definedName>
    <definedName name="Common_SourceData.Common_SourceData_ClimateZones_Title">_xlfn.LAMBDA("VEERG Australian climate zones")</definedName>
    <definedName name="Common_SourceData.Common_SourceData_ClimateZones_Unit">_xlfn.LAMBDA("")</definedName>
    <definedName name="Common_SourceData.Common_SourceData_ClimateZones_Variable">_xlfn.LAMBDA("")</definedName>
    <definedName name="Common_SourceData.Common_SourceData_ClimateZones_Variation">_xlfn.LAMBDA(_xlfn.MAKEARRAY(5, 1, _xlfn.LAMBDA(_xlpm.r,_xlpm.c, INDEX({"VARIATION OF SOURCE DATA:";"Added warm / cool temperate moist / dry - low frost and high temp classes to accommodate climate scenarios excluded by VEERG criteria.";"Fixed typo in MAT value for warm temperate dry - changed 10 to 11.";"Added min and max columns for MAT, MAP, frost days per year, elevation, MAP:PET to calculate zones from real climate data.";"GAF accepts rainfall as a proxy for precipitation."}, _xlpm.r, _xlpm.c))))</definedName>
    <definedName name="Common_SourceData.Common_SourceData_ConvertGasElementalToMolecular_Data">_xlfn.LAMBDA(_xlfn.MAKEARRAY(8, 4, _xlfn.LAMBDA(_xlpm.r,_xlpm.c, INDEX({"Gas","Conversion factor","Conversion factor 1","Conversion factor 2";"CO2","44/12",44,12;"CH4","16/12",16,12;"N2O","44/28",44,28;"Nox","46/14",46,14;"CO","28/12",28,12;"CO2 Lime","44/12",44,12;"NMVOC","14/12",14,12}, _xlpm.r, _xlpm.c))))</definedName>
    <definedName name="Common_SourceData.Common_SourceData_ConvertGasElementalToMolecular_Source">_xlfn.LAMBDA("XXXXXXX")</definedName>
    <definedName name="Common_SourceData.Common_SourceData_ConvertGasElementalToMolecular_Title">_xlfn.LAMBDA("Factor to convert elemental mass of gas to molecular mass")</definedName>
    <definedName name="Common_SourceData.Common_SourceData_ConvertGasElementalToMolecular_Unit">_xlfn.LAMBDA("factor")</definedName>
    <definedName name="Common_SourceData.Common_SourceData_ConvertGasElementalToMolecular_Variable">_xlfn.LAMBDA("Cg")</definedName>
    <definedName name="Common_SourceData.Common_SourceData_ConvertN2oElementalToMolecularCg_Data">_xlfn.LAMBDA(44 / 28)</definedName>
    <definedName name="Common_SourceData.Common_SourceData_ConvertN2oElementalToMolecularCg_Source">_xlfn.LAMBDA("National Inventory Report 2023 Volume 1")</definedName>
    <definedName name="Common_SourceData.Common_SourceData_ConvertN2oElementalToMolecularCg_Title">_xlfn.LAMBDA("Factor to convert elemental mass of N2O to molecular mass")</definedName>
    <definedName name="Common_SourceData.Common_SourceData_ConvertN2oElementalToMolecularCg_Unit">_xlfn.LAMBDA("factor")</definedName>
    <definedName name="Common_SourceData.Common_SourceData_ConvertN2oElementalToMolecularCg_Variable">_xlfn.LAMBDA("CgN2O")</definedName>
    <definedName name="Common_SourceData.Common_SourceData_DataScores_Scope3_Data">_xlfn.LAMBDA(_xlfn.MAKEARRAY(6, 2, _xlfn.LAMBDA(_xlpm.r,_xlpm.c, INDEX({"Data source","Data score";"International scope 3 database",1;"Australian scope 3 database",2;"State or regional scope 3 database",3;"Emissions intensity calculated from approved method",4;"Verified credential matching ISO14067",5}, _xlpm.r, _xlpm.c))))</definedName>
    <definedName name="Common_SourceData.Common_SourceData_DataScores_Scope3_Source">_xlfn.LAMBDA("VEERG 2026: XXXXXXXX")</definedName>
    <definedName name="Common_SourceData.Common_SourceData_DataScores_Scope3_Title">_xlfn.LAMBDA("Australian data scores for scope 3")</definedName>
    <definedName name="Common_SourceData.Common_SourceData_DataScores_Scope3_Unit">_xlfn.LAMBDA("")</definedName>
    <definedName name="Common_SourceData.Common_SourceData_DataScores_Scope3_Variable">_xlfn.LAMBDA("")</definedName>
    <definedName name="Common_SourceData.Common_SourceData_DataScores_Scope3_Variation">_xlfn.LAMBDA("")</definedName>
    <definedName name="Common_SourceData.Common_SourceData_DensityOfMethane_Data">_xlfn.LAMBDA(0.6784)</definedName>
    <definedName name="Common_SourceData.Common_SourceData_DensityOfMethane_Source">_xlfn.LAMBDA("National Inventory Report 2023 Volume 1: Equations 3.B.1a_2, 3.B.1c_2, 3.B.3_1, 3.B.4g_2")</definedName>
    <definedName name="Common_SourceData.Common_SourceData_DensityOfMethane_Title">_xlfn.LAMBDA("p = density of methane")</definedName>
    <definedName name="Common_SourceData.Common_SourceData_DensityOfMethane_Unit">_xlfn.LAMBDA("kg/m3")</definedName>
    <definedName name="Common_SourceData.Common_SourceData_EFleach_Data">_xlfn.LAMBDA(_xlfn.MAKEARRAY(1, 2, _xlfn.LAMBDA(_xlpm.r,_xlpm.c, INDEX({"EFleach",0.011}, _xlpm.r, _xlpm.c))))</definedName>
    <definedName name="Common_SourceData.Common_SourceData_EFleach_NIRReference">_xlfn.LAMBDA("National Inventory Report Volume 1: Equation 3.D.B_10")</definedName>
    <definedName name="Common_SourceData.Common_SourceData_EFleach_Source">_xlfn.LAMBDA("VEERG 2026:5.5.2.3 Constant Parameters")</definedName>
    <definedName name="Common_SourceData.Common_SourceData_EFleach_Title">_xlfn.LAMBDA("Emission factor for nitrogen leaching and runoff")</definedName>
    <definedName name="Common_SourceData.Common_SourceData_EFleach_Unit">_xlfn.LAMBDA("(kg N2O-N / kg N")</definedName>
    <definedName name="Common_SourceData.Common_SourceData_EFleach_Variation">_xlfn.LAMBDA((""))</definedName>
    <definedName name="Common_SourceData.Common_SourceData_EFN2O_Data">_xlfn.LAMBDA(
    _xlfn.MAKEARRAY(14, 5,
      _xlfn.LAMBDA(_xlpm.r,_xlpm.c,
        INDEX({"Production system j","EFN2O","Production system only","Irrigation method","Rainfall zone";"Irrigated pasture",0.0059,"Pasture","Any","Any";"Irrigated crop",0.007,"Crop","Any","Any";"Non-irrigated pasture",0.0018,"Pasture","Not irrigated","Low rainfall";"Non-irrigated pasture",0.0018,"Pasture","Not irrigated","High rainfall";"Non-irrigated crop (low rainfall)",0.0029,"Crop","Not irrigated","Low rainfall";"Non-irrigated crop (high rainfall)",0.008,"Crop","Not irrigated","High rainfall";"Sugar",0.0199,"Sugar","Any","Any";"Cotton",0.0053,"Cotton","Any","Any";"Horticultural crops",0.0064,"Horticultural crops","Any","Any";"Rice (continuous flooding)",0.003,"Rice","Continuous flooding","Any";"Rice (single and multiple drainage, or alternate wetting and drying)",0.005,"Rice","Single and multiple drainage, or alternate wetting and drying","Any";"Aquaculture",0.0026,"Aquaculture","Any","Any";"Forestry",0.0018,"Forestry","Any","Any"}, _xlpm.r, _xlpm.c)
      )
    )
  )</definedName>
    <definedName name="Common_SourceData.Common_SourceData_EFN2O_NIRReference">_xlfn.LAMBDA("")</definedName>
    <definedName name="Common_SourceData.Common_SourceData_EFN2O_Source">_xlfn.LAMBDA("VEERG 2026: Table A.2.2.1")</definedName>
    <definedName name="Common_SourceData.Common_SourceData_EFN2O_Title">_xlfn.LAMBDA("Nitrous oxide emission factors for inorganic fertiliser application")</definedName>
    <definedName name="Common_SourceData.Common_SourceData_EFN2O_Unit">_xlfn.LAMBDA("(kg N2O-N / kg N")</definedName>
    <definedName name="Common_SourceData.Common_SourceData_EFN2O_Variation">_xlfn.LAMBDA(_xlfn.MAKEARRAY(5, 1, _xlfn.LAMBDA(_xlpm.r,_xlpm.c, INDEX({"VARIATION OF SOURCE DATA:";"Removed duplicate 'Aquaculture' row.";"Removed asterisks to aid lookup.";"Added 'production system only', 'rainfall zone' and 'irrigation method' columns to aid lookup.";"Duplicated 'non-irrigated pasture' row with same EF for low and high rainfall zones to aid lookup."}, _xlpm.r, _xlpm.c))))</definedName>
    <definedName name="Common_SourceData.Common_SourceData_EFOrganicFertiliserAndCropResidues_Data">_xlfn.LAMBDA(_xlfn.MAKEARRAY(3, 2, _xlfn.LAMBDA(_xlpm.r,_xlpm.c, INDEX({"Climate zone","EFNi &amp; EFN2O";"Wet climate zone",0.006;"Dry climate zone",0.005}, _xlpm.r, _xlpm.c))))</definedName>
    <definedName name="Common_SourceData.Common_SourceData_EFOrganicFertiliserAndCropResidues_NIRReference">_xlfn.LAMBDA("")</definedName>
    <definedName name="Common_SourceData.Common_SourceData_EFOrganicFertiliserAndCropResidues_Source">_xlfn.LAMBDA("VEERG 2026: Table A.2.1.4")</definedName>
    <definedName name="Common_SourceData.Common_SourceData_EFOrganicFertiliserAndCropResidues_Title">_xlfn.LAMBDA("Emission factor for organic fertiliser and crop residues returned to the soil")</definedName>
    <definedName name="Common_SourceData.Common_SourceData_EFOrganicFertiliserAndCropResidues_Unit">_xlfn.LAMBDA("kg N2O - N / kg N")</definedName>
    <definedName name="Common_SourceData.Common_SourceData_EFOrganicFertiliserAndCropResidues_Variable">_xlfn.LAMBDA("EFNi &amp; EFN2Oi")</definedName>
    <definedName name="Common_SourceData.Common_SourceData_EFOrganicFertiliserAndCropResidues_Variation">_xlfn.LAMBDA("")</definedName>
    <definedName name="Common_SourceData.Common_SourceData_EFPastureRangeAndPaddock_Data">_xlfn.LAMBDA(_xlfn.MAKEARRAY(3, 2, _xlfn.LAMBDA(_xlpm.r,_xlpm.c, INDEX({"Climate zone","EFPRP";"Wet climate zone",0.006;"Dry climate zone",0.002}, _xlpm.r, _xlpm.c))))</definedName>
    <definedName name="Common_SourceData.Common_SourceData_EFPastureRangeAndPaddock_NIRReference">_xlfn.LAMBDA("")</definedName>
    <definedName name="Common_SourceData.Common_SourceData_EFPastureRangeAndPaddock_Source">_xlfn.LAMBDA("VEERG 2026: Table A.2.2.2")</definedName>
    <definedName name="Common_SourceData.Common_SourceData_EFPastureRangeAndPaddock_Title">_xlfn.LAMBDA("Emission factor for urine and dung deposited on pasture, range or paddock")</definedName>
    <definedName name="Common_SourceData.Common_SourceData_EFPastureRangeAndPaddock_Unit">_xlfn.LAMBDA("kg N2O - N / kg N")</definedName>
    <definedName name="Common_SourceData.Common_SourceData_EFPastureRangeAndPaddock_Variation">_xlfn.LAMBDA("VARIATION FROM SOURCE DATA: Changed 'Dry climate zones' to singular 'Dry climate zone' to aid lookup.")</definedName>
    <definedName name="Common_SourceData.Common_SourceData_FracLEACH_Data">_xlfn.LAMBDA(_xlfn.MAKEARRAY(1, 2, _xlfn.LAMBDA(_xlpm.r,_xlpm.c, INDEX({"FracLEACH",0.24}, _xlpm.r, _xlpm.c))))</definedName>
    <definedName name="Common_SourceData.Common_SourceData_FracLEACH_NIRReference">_xlfn.LAMBDA("National Inventory Report Volume 1: Leaching and runoff (3.D.b.2)")</definedName>
    <definedName name="Common_SourceData.Common_SourceData_FracLEACH_Source">_xlfn.LAMBDA("VEERG 2026:5.5.2.3 Constant Parameters")</definedName>
    <definedName name="Common_SourceData.Common_SourceData_FracLEACH_Title">_xlfn.LAMBDA("Fraction of N that is available for leaching and runoff")</definedName>
    <definedName name="Common_SourceData.Common_SourceData_FracLEACH_Unit">_xlfn.LAMBDA("(Dimensionless")</definedName>
    <definedName name="Common_SourceData.Common_SourceData_FracLEACH_Variation">_xlfn.LAMBDA((""))</definedName>
    <definedName name="Common_SourceData.Common_SourceData_FracWET_Data">_xlfn.LAMBDA(_xlfn.MAKEARRAY(3, 2, _xlfn.LAMBDA(_xlpm.r,_xlpm.c, INDEX({"Is in leaching zone","FracWET";"Yes - in leaching zone",1;"No - not in leaching zone",0}, _xlpm.r, _xlpm.c))))</definedName>
    <definedName name="Common_SourceData.Common_SourceData_FracWET_NIRReference">_xlfn.LAMBDA("")</definedName>
    <definedName name="Common_SourceData.Common_SourceData_FracWET_Source">_xlfn.LAMBDA("VEERG 2026:5.5.2.3 Constant Parameters")</definedName>
    <definedName name="Common_SourceData.Common_SourceData_FracWET_Title">_xlfn.LAMBDA("Fraction of N that is available for leaching and runoff")</definedName>
    <definedName name="Common_SourceData.Common_SourceData_FracWET_Unit">_xlfn.LAMBDA("(Dimensionless")</definedName>
    <definedName name="Common_SourceData.Common_SourceData_FracWET_Variation">_xlfn.LAMBDA((""))</definedName>
    <definedName name="Common_SourceData.Common_SourceData_FracWETIrrigation_Data">_xlfn.LAMBDA(_xlfn.MAKEARRAY(6, 2, _xlfn.LAMBDA(_xlpm.r,_xlpm.c, INDEX({"Irrigation type ir","FracWET";"Not irrigated",0;"Drip irrigation",0;"Sprinkler irrigation",1;"Surface irrigation",1;"Other irrigation",1}, _xlpm.r, _xlpm.c))))</definedName>
    <definedName name="Common_SourceData.Common_SourceData_FracWETIrrigation_NIRReference">_xlfn.LAMBDA("IPCC 2019 Refinement Volume 4: Chapter 11: N2O Emissions from Managed Soils, and CO2 Emissions from Lime and Urea Application")</definedName>
    <definedName name="Common_SourceData.Common_SourceData_FracWETIrrigation_Source">_xlfn.LAMBDA("VEERG 2026: Chapter 1, section 1.8.2 Leaching, climate and rainfall zones")</definedName>
    <definedName name="Common_SourceData.Common_SourceData_FracWETIrrigation_Title">_xlfn.LAMBDA("FracWET for irrigation types")</definedName>
    <definedName name="Common_SourceData.Common_SourceData_FracWETIrrigation_Unit">_xlfn.LAMBDA("dimensionless")</definedName>
    <definedName name="Common_SourceData.Common_SourceData_FracWETIrrigation_Variation">_xlfn.LAMBDA("VARIATION FROM SOURCE DATA: Table created based on VEERG text 'Areas are subject to leaching (i.e., in the leaching zone) when... the land is irrigated (except drip irrigation).'")</definedName>
    <definedName name="Common_SourceData.Common_SourceData_GWP_Data">_xlfn.LAMBDA(_xlfn.MAKEARRAY(8, 2, _xlfn.LAMBDA(_xlpm.r,_xlpm.c, INDEX({"Gas","CO2-e factor";"CO2",1;"CH4",28;"N2O",265;"CF4",6630;"C2F6",12200;"SF6",22800;"NF3",17200}, _xlpm.r, _xlpm.c))))</definedName>
    <definedName name="Common_SourceData.Common_SourceData_GWP_Source">_xlfn.LAMBDA("XXXXXXX")</definedName>
    <definedName name="Common_SourceData.Common_SourceData_GWP_Title">_xlfn.LAMBDA("Global warming potential for greenhouse gases")</definedName>
    <definedName name="Common_SourceData.Common_SourceData_GWP_Unit">_xlfn.LAMBDA("factor")</definedName>
    <definedName name="Common_SourceData.Common_SourceData_GWP_Variable">_xlfn.LAMBDA("GWPN2O")</definedName>
    <definedName name="Common_SourceData.Common_SourceData_LeachingZones_Data">_xlfn.LAMBDA(
    _xlfn.MAKEARRAY(3, 2,
      _xlfn.LAMBDA(_xlpm.r,_xlpm.c,
        INDEX({"Leaching Zone","Leaching criteria";"Leaching occurs","Σ(𝑟𝑎𝑖𝑛)&gt;Σ(𝐸𝑇0)+𝑠𝑜𝑖𝑙 𝑤𝑎𝑡𝑒𝑟 ℎ𝑜𝑙𝑑𝑖𝑛𝑔 𝑐𝑎𝑝𝑎𝑐𝑖𝑡𝑦";"Leaching does not occur","Σ(𝑟𝑎𝑖𝑛)≤Σ(𝐸𝑇0)+𝑠𝑜𝑖𝑙 𝑤𝑎𝑡𝑒𝑟 ℎ𝑜𝑙𝑑𝑖𝑛𝑔 𝑐𝑎𝑝𝑎𝑐𝑖𝑡𝑦"}, _xlpm.r, _xlpm.c)
      )
    )
  )</definedName>
    <definedName name="Common_SourceData.Common_SourceData_LeachingZones_Source">_xlfn.LAMBDA("VEERG 2026: Table 1.3: Climate and Rainfall zone classifications and definitions")</definedName>
    <definedName name="Common_SourceData.Common_SourceData_LeachingZones_Title">_xlfn.LAMBDA("VEERG Australian leaching zones")</definedName>
    <definedName name="Common_SourceData.Common_SourceData_LeachingZones_Unit">_xlfn.LAMBDA("")</definedName>
    <definedName name="Common_SourceData.Common_SourceData_LeachingZones_Variable">_xlfn.LAMBDA("")</definedName>
    <definedName name="Common_SourceData.Common_SourceData_LeachingZones_Variation">_xlfn.LAMBDA("")</definedName>
    <definedName name="Common_SourceData.Common_SourceData_MCFTemperatureZone_Data">_xlfn.LAMBDA(
    _xlfn.MAKEARRAY(21, 16,
      _xlfn.LAMBDA(_xlpm.r,_xlpm.c,
        INDEX({"Temperature zone","MAT (ºC)","Uncovered anerobic lagoon","Covered lagoon","Liquid Slurry (without natural crust)","Daily spread (b)","Composting (passive windrow)","Solid Storage","Pit Storage &lt;1 month","Deep Litter","Poultry Manure (with/without litter)","","Direct processing into pelletized fertiliser","Direct application to soil","Pasture, Range and Paddock (c)(d)","MAT raw";"Cool","≤10",0.66,0.1,0.1,0.001,0.005,0.02,0.03,0.04,0.015,0.015,0,0,0.0047,10;"Cool",11,0.68,0.1,0.11,0.001,0.005,0.02,0.03,0.04,0.015,0.015,0,0,0.0047,11;"Cool",12,0.7,0.1,0.13,0.001,0.005,0.02,0.03,0.04,0.015,0.015,0,0,0.0047,12;"Cool",13,0.71,0.1,0.14,0.001,0.005,0.02,0.03,0.04,0.015,0.015,0,0,0.0047,13;"Cool",14,0.73,0.1,0.15,0.001,0.005,0.02,0.03,0.04,0.015,0.015,0,0,0.0047,14;"Temperate",15,0.74,0.1,0.17,0.005,0.01,0.02,0.03,0.04,0.015,0.015,0,0,0.0047,15;"Temperate",16,0.75,0.1,0.18,0.005,0.01,0.02,0.03,0.04,0.015,0.015,0,0,0.0047,16;"Temperate",17,0.76,0.1,0.2,0.005,0.01,0.02,0.03,0.04,0.015,0.015,0,0,0.0047,17;"Temperate",18,0.77,0.1,0.22,0.005,0.01,0.02,0.03,0.04,0.015,0.015,0,0,0.0047,18;"Temperate",19,0.77,0.1,0.24,0.005,0.01,0.02,0.03,0.04,0.015,0.015,0,0,0.0047,19;"Temperate",20,0.78,0.1,0.26,0.005,0.01,0.02,0.03,0.04,0.015,0.015,0,0,0.0047,20;"Temperate",21,0.78,0.1,0.29,0.005,0.01,0.02,0.03,0.04,0.015,0.015,0,0,0.0047,21;"Temperate",22,0.78,0.1,0.31,0.005,0.01,0.02,0.03,0.04,0.015,0.015,0,0,0.0047,22;"Temperate",23,0.79,0.1,0.34,0.005,0.01,0.02,0.03,0.04,0.015,0.015,0,0,0.0047,23;"Temperate",24,0.79,0.1,0.37,0.005,0.01,0.02,0.03,0.04,0.015,0.015,0,0,0.0047,24;"Temperate",25,0.79,0.1,0.41,0.005,0.01,0.02,0.03,0.04,0.015,0.015,0,0,0.0047,25;"Warm",26,0.79,0.1,0.44,0.01,0.015,0.02,0.03,0.04,0.015,0.015,0,0,0.0047,26;"Warm",27,0.8,0.1,0.48,0.01,0.015,0.02,0.03,0.04,0.015,0.015,0,0,0.0047,27;"Warm","≥28",0.8,0.1,0.5,0.01,0.015,0.02,0.03,0.04,0.015,0.015,0,0,0.0047,28;"","","Anaerobic lagoon","Digester / covered lagoons","Liquid systems","Daily spread","Composting (passive windrow)","Solid storage","Pit storage","Deep litter","Poultry manure with bedding","Poultry manure without bedding","Direct processing","Direct application","Pasture range and paddock","MAT raw"}, _xlpm.r, _xlpm.c)
      )
    )
  )</definedName>
    <definedName name="Common_SourceData.Common_SourceData_MCFTemperatureZone_Source">_xlfn.LAMBDA("VEERG 2026: Table A.1.8.1")</definedName>
    <definedName name="Common_SourceData.Common_SourceData_MCFTemperatureZone_Title">_xlfn.LAMBDA("Manure Management – Methane conversion factor per temperature zone (fraction) (MCFim)")</definedName>
    <definedName name="Common_SourceData.Common_SourceData_MCFTemperatureZone_Unit">_xlfn.LAMBDA("fraction")</definedName>
    <definedName name="Common_SourceData.Common_SourceData_MCFTemperatureZone_Variation">_xlfn.LAMBDA("VARIATION FROM SOURCE: Added row of NIR MMA definitions to aid lookup. Duplicated 'Poultry with and without litter' column with separate NIR definitions to aid lookup. Added 'MAT raw' column to allow lookup of numbers.")</definedName>
    <definedName name="Common_SourceData.Common_SourceData_MonthsToSeasons_Data">_xlfn.LAMBDA(_xlfn.MAKEARRAY(13, 2, _xlfn.LAMBDA(_xlpm.r,_xlpm.c, INDEX({"Month","Season";"January","Summer";"February","Summer";"March","Autumn";"April","Autumn";"May","Autumn";"June","Winter";"July","Winter";"August","Winter";"September","Spring";"October","Spring";"November","Spring";"December","Summer"}, _xlpm.r, _xlpm.c))))</definedName>
    <definedName name="Common_SourceData.Common_SourceData_MonthsToSeasons_NIRReference">_xlfn.LAMBDA("")</definedName>
    <definedName name="Common_SourceData.Common_SourceData_MonthsToSeasons_Source">_xlfn.LAMBDA("")</definedName>
    <definedName name="Common_SourceData.Common_SourceData_MonthsToSeasons_Title">_xlfn.LAMBDA("Months to Seasons Mapping")</definedName>
    <definedName name="Common_SourceData.Common_SourceData_MonthsToSeasons_Unit">_xlfn.LAMBDA("")</definedName>
    <definedName name="Common_SourceData.Common_SourceData_MonthsToSeasons_Variation">_xlfn.LAMBDA("")</definedName>
    <definedName name="Common_SourceData.Common_SourceData_RainfallZones_Data">_xlfn.LAMBDA(_xlfn.MAKEARRAY(3, 4, _xlfn.LAMBDA(_xlpm.r,_xlpm.c, INDEX({"Rainfall Zone","Annual rainfall","Rainfall min","Rainfall max";"High rainfall","Annual rainfall &gt; 600mm",600.001,999999;"Low rainfall","Annual rainfall ≤ 600mm",-999999,600}, _xlpm.r, _xlpm.c))))</definedName>
    <definedName name="Common_SourceData.Common_SourceData_RainfallZones_Source">_xlfn.LAMBDA("VEERG 2026: Table 1.3: Climate and Rainfall zone classifications and definitions")</definedName>
    <definedName name="Common_SourceData.Common_SourceData_RainfallZones_Title">_xlfn.LAMBDA("VEERG Australian rainfall zones")</definedName>
    <definedName name="Common_SourceData.Common_SourceData_RainfallZones_Unit">_xlfn.LAMBDA("")</definedName>
    <definedName name="Common_SourceData.Common_SourceData_RainfallZones_Variable">_xlfn.LAMBDA("")</definedName>
    <definedName name="Common_SourceData.Common_SourceData_RainfallZones_Variation">_xlfn.LAMBDA("VARIATION OF SOURCE DATA: Added extra Rainfall min and Rainfall max columns to calculate zone from real rainfall data.")</definedName>
    <definedName name="Common_SourceData.Common_SourceData_TemperatureZones_Data">_xlfn.LAMBDA(_xlfn.MAKEARRAY(4, 4, _xlfn.LAMBDA(_xlpm.r,_xlpm.c, INDEX({"Temperature Zone","Median Annual Temperature (MAT)","Min MAT","Max MAT";"Warm","≥ 26 C",26,999999;"Temperate","15 - 25 C",15,25.999;"Cool","≤ 14 C",-999999,14.999}, _xlpm.r, _xlpm.c))))</definedName>
    <definedName name="Common_SourceData.Common_SourceData_TemperatureZones_Source">_xlfn.LAMBDA("VEERG 2026: Table 1.3: Climate and Rainfall zone classifications and definitions")</definedName>
    <definedName name="Common_SourceData.Common_SourceData_TemperatureZones_Title">_xlfn.LAMBDA("VEERG Australian temperature zones")</definedName>
    <definedName name="Common_SourceData.Common_SourceData_TemperatureZones_Unit">_xlfn.LAMBDA("")</definedName>
    <definedName name="Common_SourceData.Common_SourceData_TemperatureZones_Variable">_xlfn.LAMBDA("")</definedName>
    <definedName name="Common_SourceData.Common_SourceData_TemperatureZones_Variation">_xlfn.LAMBDA("VARIATION OF SOURCE DATA: Added extra MAT min and MAT max columns to calculate zone from real temperature data.")</definedName>
    <definedName name="Common_SourceData.Common_SourceData_WASA4Areas_Data">_xlfn.LAMBDA(_xlfn.MAKEARRAY(11, 1, _xlfn.LAMBDA(_xlpm.r,_xlpm.c, INDEX({"SA 4 Name";"Bunbury";"Mandurah";"Perth - Inner";"Perth - North East";"Perth - North West";"Perth - South East";"Perth - South West";"Western Australia - Wheat Belt";"Western Australia - Outback (North)";"Western Australia - Outback (South)"}, _xlpm.r, _xlpm.c))))</definedName>
    <definedName name="Common_SourceData.Common_SourceData_WASA4Areas_Source">_xlfn.LAMBDA("Australian Bureau of Statistics (ABS) - Statistical Areas Level 2 - 2021 - Shapefile")</definedName>
    <definedName name="Common_SourceData.Common_SourceData_WASA4Areas_Title">_xlfn.LAMBDA("ABS Statistcal Areas Level 4 - Western Australia")</definedName>
    <definedName name="Common_SourceData.Common_SourceData_WASA4Areas_Unit">_xlfn.LAMBDA("")</definedName>
    <definedName name="Common_SourceData.Common_SourceData_WASA4Areas_Variable">_xlfn.LAMBDA("")</definedName>
    <definedName name="Common_SourceData.Common_SourceData_WetAndDryZones_Data">_xlfn.LAMBDA(_xlfn.MAKEARRAY(15, 2, _xlfn.LAMBDA(_xlpm.r,_xlpm.c, INDEX({"Climate Zone","Wet or Dry Zone";"Tropical montane","Wet climate zone";"Tropical wet","Wet climate zone";"Tropical moist","Wet climate zone";"Tropical dry","Dry climate zone";"Warm temperate moist","Wet climate zone";"Warm temperate dry","Dry climate zone";"Cool temperate moist","Wet climate zone";"Cool temperate dry","Dry climate zone";"Warm temperate moist - low frost","Wet climate zone";"Warm temperate dry - low frost","Dry climate zone";"Warm temperate moist - high temp","Wet climate zone";"Warm temperate dry - high temp","Dry climate zone";"Cool temperate moist - low frost","Wet climate zone";"Cool temperate dry - low frost","Dry climate zone"}, _xlpm.r, _xlpm.c))))</definedName>
    <definedName name="Common_SourceData.Common_SourceData_WetAndDryZones_Source">_xlfn.LAMBDA("VEERG 2026: Table 1.2: Translating climate zones to wet and dry zones")</definedName>
    <definedName name="Common_SourceData.Common_SourceData_WetAndDryZones_Title">_xlfn.LAMBDA("VEERG Australian wet and dry zones")</definedName>
    <definedName name="Common_SourceData.Common_SourceData_WetAndDryZones_Unit">_xlfn.LAMBDA("")</definedName>
    <definedName name="Common_SourceData.Common_SourceData_WetAndDryZones_Variable">_xlfn.LAMBDA("")</definedName>
    <definedName name="Common_SourceData.Common_SourceData_WetAndDryZones_Variation">_xlfn.LAMBDA(_xlfn.MAKEARRAY(3, 1, _xlfn.LAMBDA(_xlpm.r,_xlpm.c, INDEX({"VARIATION OF SOURCE DATA:";"Added warm / cool temperate moist / dry - low frost and high temp classes to accommodate climate scenarios excluded by VEERG criteria.";"Fixed typo - Changed 'Fry' to 'Dry'."}, _xlpm.r, _xlpm.c))))</definedName>
    <definedName name="Common_SourceData_DensityOfMethane_Data">'Constants - Common'!$D$175</definedName>
    <definedName name="CommonCropping_InputFunctions.CommonCropping_CalculateFractionResidueRemoved">_xlfn.LAMBDA(_xlpm.TotalResidue,_xlpm.AmountRemoved, (_xlpm.AmountRemoved * 10 ^ 3) / (_xlpm.TotalResidue * 10 ^ 3))</definedName>
    <definedName name="CommonCropping_InputFunctions.CommonCropping_CalculateHarvestIndex">_xlfn.LAMBDA(_xlpm.CropType,_xlpm.CropTypeArray,_xlpm.ResidueCropRatioArray, 1 / (1 + Common_InputFunctions.Utility_LookupValueInTableNumber(_xlpm.CropType, _xlpm.CropTypeArray, _xlpm.ResidueCropRatioArray)))</definedName>
    <definedName name="CommonCropping_InputFunctions.CommonCropping_CalculateResidueCropRatio">_xlfn.LAMBDA(_xlpm.HarvestIndex, (1 - _xlpm.HarvestIndex) / _xlpm.HarvestIndex)</definedName>
    <definedName name="CommonCropping_InputFunctions.CommonCropping_GetFracWET">_xlfn.LAMBDA(_xlpm.LeachingZone,_xlpm.ProductionSystem,_xlpm.LeachingZoneLookup,_xlpm.LeachingZoneFracWETLookup,_xlpm.ProductionSystemLookup,_xlpm.ProductionSystemFracWETLookup, _xlfn.LET(_xlpm.LeachingZoneFracWET, Common_InputFunctions.Utility_LookupValueInTableNumber(_xlpm.LeachingZone, _xlpm.LeachingZoneLookup, _xlpm.LeachingZoneFracWETLookup), _xlpm.ProductionSystemFracWET, Common_InputFunctions.Utility_LookupValueInTableNumber(_xlpm.ProductionSystem, _xlpm.ProductionSystemLookup, _xlpm.ProductionSystemFracWETLookup), IF(_xlpm.LeachingZoneFracWET + _xlpm.ProductionSystemFracWET &gt; 0, 1, 0)))</definedName>
    <definedName name="CommonLivestock_InputFunctions.AverageLiveweightEndOfMonth">_xlfn.LAMBDA(_xlpm.Month,_xlpm.LivestockClass,_xlpm.HeadAtStart,_xlpm.LiveweightAtStart,_xlpm.LiveweightGain, [0]!CommonLivestock_InputFunctions.LivestockMovement_ProportionalAverageLiveweightAddedDuringMonth(_xlpm.Month, _xlpm.LivestockClass, _xlpm.HeadAtStart) + [0]!CommonLivestock_InputFunctions.LivestockMovement_ProportionalAverageLiveweightRemainingAtEndOfMonth(_xlpm.Month, _xlpm.LivestockClass, _xlpm.HeadAtStart, _xlpm.LiveweightAtStart, _xlpm.LiveweightGain))</definedName>
    <definedName name="CommonLivestock_InputFunctions.Livestock_LookupMCFState">_xlfn.LAMBDA(_xlpm.MMS,_xlpm.MMSArray,_xlpm.State,_xlpm.StateArray,_xlpm.ReturnArray, _xlfn.XLOOKUP(_xlpm.MMS, _xlpm.MMSArray, _xlfn.XLOOKUP(_xlpm.State, _xlpm.StateArray, _xlpm.ReturnArray)))</definedName>
    <definedName name="CommonLivestock_InputFunctions.LivestockMovement_AverageLiveweightAddedDuringMonth">_xlfn.LAMBDA(_xlpm.Month,_xlpm.LivestockClass, IFERROR([0]!CommonLivestock_InputFunctions.LivestockMovement_TotalLiveweightAddedDuringMonth(_xlpm.Month, _xlpm.LivestockClass) / [0]!CommonLivestock_InputFunctions.LivestockMovement_HeadAddedDuringMonth(_xlpm.Month, _xlpm.LivestockClass), 0))</definedName>
    <definedName name="CommonLivestock_InputFunctions.LivestockMovement_GetMovementLiveweightGain" localSheetId="6">_xlfn.LAMBDA(_xlpm.LivestockClass,_xlpm.MovementDate, _xlfn.LET(_xlpm.ym, TEXT(_xlpm.MovementDate, "yyyymm"), IFERROR(INDEX(_xlfn._xlws.FILTER(#REF!, (TEXT(#REF!, "yyyymm") = _xlpm.ym) * (#REF! = _xlpm.LivestockClass)), 1), "")))</definedName>
    <definedName name="CommonLivestock_InputFunctions.LivestockMovement_GetMovementLiveweightGain">_xlfn.LAMBDA(_xlpm.LivestockClass,_xlpm.MovementDate, _xlfn.LET(_xlpm.ym, TEXT(_xlpm.MovementDate, "yyyymm"), IFERROR(INDEX(_xlfn._xlws.FILTER(#REF!, (TEXT(#REF!, "yyyymm") = _xlpm.ym) * (#REF! = _xlpm.LivestockClass)), 1), "")))</definedName>
    <definedName name="CommonLivestock_InputFunctions.LivestockMovement_HeadAddedDuringMonth" localSheetId="6">_xlfn.LAMBDA(_xlpm.Month,_xlpm.LivestockClass, IFERROR(SUM(_xlfn._xlws.FILTER(#REF!, (#REF! &gt;= EOMONTH(_xlpm.Month, -1) + 1) * (#REF! &lt;= EOMONTH(_xlpm.Month, 0)) * (#REF! = _xlpm.LivestockClass))), 0))</definedName>
    <definedName name="CommonLivestock_InputFunctions.LivestockMovement_HeadAddedDuringMonth">_xlfn.LAMBDA(_xlpm.Month,_xlpm.LivestockClass, IFERROR(SUM(_xlfn._xlws.FILTER(#REF!, (#REF! &gt;= EOMONTH(_xlpm.Month, -1) + 1) * (#REF! &lt;= EOMONTH(_xlpm.Month, 0)) * (#REF! = _xlpm.LivestockClass))), 0))</definedName>
    <definedName name="CommonLivestock_InputFunctions.LivestockMovement_HeadAtEndOfMonth">_xlfn.LAMBDA(_xlpm.HeadAtStart,_xlpm.Month,_xlpm.LivestockClass, _xlpm.HeadAtStart + [0]!CommonLivestock_InputFunctions.LivestockMovement_HeadAddedDuringMonth(_xlpm.Month, _xlpm.LivestockClass) - [0]!CommonLivestock_InputFunctions.LivestockMovement_HeadLostDuringMonth(_xlpm.Month, _xlpm.LivestockClass))</definedName>
    <definedName name="CommonLivestock_InputFunctions.LivestockMovement_HeadLostDuringMonth" localSheetId="6">_xlfn.LAMBDA(_xlpm.Month,_xlpm.LivestockClass, IFERROR(SUM(_xlfn._xlws.FILTER(#REF!, (#REF! &gt;= EOMONTH(_xlpm.Month, -1) + 1) * (#REF! &lt;= EOMONTH(_xlpm.Month, 0)) * (#REF! = _xlpm.LivestockClass))), 0))</definedName>
    <definedName name="CommonLivestock_InputFunctions.LivestockMovement_HeadLostDuringMonth">_xlfn.LAMBDA(_xlpm.Month,_xlpm.LivestockClass, IFERROR(SUM(_xlfn._xlws.FILTER(#REF!, (#REF! &gt;= EOMONTH(_xlpm.Month, -1) + 1) * (#REF! &lt;= EOMONTH(_xlpm.Month, 0)) * (#REF! = _xlpm.LivestockClass))), 0))</definedName>
    <definedName name="CommonLivestock_InputFunctions.LivestockMovement_HeadRemainingAtMonthEnd">_xlfn.LAMBDA(_xlpm.Month,_xlpm.LivestockClass,_xlpm.HeadAtStartOfMonth, MAX(_xlpm.HeadAtStartOfMonth - [0]!CommonLivestock_InputFunctions.LivestockMovement_HeadLostDuringMonth(_xlpm.Month, _xlpm.LivestockClass), 0))</definedName>
    <definedName name="CommonLivestock_InputFunctions.LivestockMovement_LiveweightAddedDuringMonth">_xlfn.LAMBDA(_xlpm.LivestockClass,_xlpm.MovementDate,_xlpm.WeightAtMovementDate,_xlpm.Head, IFERROR(_xlpm.Head * (_xlpm.WeightAtMovementDate + [0]!CommonLivestock_InputFunctions.LivestockMovement_LiveweightGrownDuringMonthPerHead(_xlpm.LivestockClass, _xlpm.MovementDate)), 0))</definedName>
    <definedName name="CommonLivestock_InputFunctions.LivestockMovement_LiveweightGrownDuringMonthPerHead">_xlfn.LAMBDA(_xlpm.LivestockClass,_xlpm.MovementDate, IFERROR([0]!CommonLivestock_InputFunctions.LivestockMovement_GetMovementLiveweightGain(_xlpm.LivestockClass,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FromMonthStartPerHead">_xlfn.LAMBDA(_xlpm.LivestockClass,_xlpm.Month, [0]!CommonLivestock_InputFunctions.LivestockMovement_LiveweightGrownDuringMonthPerHead(_xlpm.LivestockClass, EOMONTH(_xlpm.Month, -1) + 1))</definedName>
    <definedName name="CommonLivestock_InputFunctions.LivestockMovement_LiveweightGrownFromMonthStartTotal">_xlfn.LAMBDA(_xlpm.LivestockClass,_xlpm.Month,_xlpm.HeadAtStartOfMonth, [0]!CommonLivestock_InputFunctions.LivestockMovement_HeadRemainingAtMonthEnd(_xlpm.Month, _xlpm.LivestockClass, _xlpm.HeadAtStartOfMonth) * [0]!CommonLivestock_InputFunctions.LivestockMovement_LiveweightGrownFromMonthStartPerHead(_xlpm.LivestockClass, _xlpm.Month))</definedName>
    <definedName name="CommonLivestock_InputFunctions.LivestockMovement_LiveweightGrownFromMovementDateTotal">_xlfn.LAMBDA(_xlpm.LivestockClass,_xlpm.MovementDate,_xlpm.Head, [0]!CommonLivestock_InputFunctions.LivestockMovement_LiveweightGrownDuringMonthPerHead(_xlpm.LivestockClass, _xlpm.MovementDate) * _xlpm.Head)</definedName>
    <definedName name="CommonLivestock_InputFunctions.LivestockMovement_ProportionalAverageLiveweightAddedDuringMonth">_xlfn.LAMBDA(_xlpm.Month,_xlpm.LivestockClass,_xlpm.HeadAtStart, [0]!CommonLivestock_InputFunctions.LivestockMovement_ProportionHeadAddedDuringMonth(_xlpm.Month, _xlpm.LivestockClass, _xlpm.HeadAtStart) * [0]!CommonLivestock_InputFunctions.LivestockMovement_AverageLiveweightAddedDuringMonth(_xlpm.Month, _xlpm.LivestockClass))</definedName>
    <definedName name="CommonLivestock_InputFunctions.LivestockMovement_ProportionalAverageLiveweightRemainingAtEndOfMonth">_xlfn.LAMBDA(_xlpm.Month,_xlpm.LivestockClass,_xlpm.HeadAtStart,_xlpm.LiveweightAtStart,_xlpm.LiveweightGain, [0]!CommonLivestock_InputFunctions.LivestockMovement_ProportionHeadRemainingAtEndOfMonth(_xlpm.Month,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HeadAddedDuringMonth">_xlfn.LAMBDA(_xlpm.Month,_xlpm.LivestockClass,_xlpm.HeadAtStart, IFERROR(MIN(1, [0]!CommonLivestock_InputFunctions.LivestockMovement_HeadAddedDuringMonth(_xlpm.Month, _xlpm.LivestockClass) / [0]!CommonLivestock_InputFunctions.LivestockMovement_HeadAtEndOfMonth(_xlpm.HeadAtStart, _xlpm.Month, _xlpm.LivestockClass)), 0))</definedName>
    <definedName name="CommonLivestock_InputFunctions.LivestockMovement_ProportionHeadRemainingAtEndOfMonth">_xlfn.LAMBDA(_xlpm.Month,_xlpm.LivestockClass,_xlpm.HeadAtStart, IFERROR(MIN(1, [0]!CommonLivestock_InputFunctions.LivestockMovement_HeadRemainingAtMonthEnd(_xlpm.Month, _xlpm.LivestockClass, _xlpm.HeadAtStart) / [0]!CommonLivestock_InputFunctions.LivestockMovement_HeadAtEndOfMonth(_xlpm.HeadAtStart, _xlpm.Month, _xlpm.LivestockClass)), 0))</definedName>
    <definedName name="CommonLivestock_InputFunctions.LivestockMovement_TotalLiveweightAddedDuringMonth" localSheetId="6">_xlfn.LAMBDA(_xlpm.Month,_xlpm.LivestockClass, IFERROR(SUM(_xlfn._xlws.FILTER(#REF!, (#REF! &gt;= EOMONTH(_xlpm.Month, -1) + 1) * (#REF! &lt;= EOMONTH(_xlpm.Month, 0)) * (#REF! = _xlpm.LivestockClass))), 0))</definedName>
    <definedName name="CommonLivestock_InputFunctions.LivestockMovement_TotalLiveweightAddedDuringMonth">_xlfn.LAMBDA(_xlpm.Month,_xlpm.LivestockClass, IFERROR(SUM(_xlfn._xlws.FILTER(#REF!, (#REF! &gt;= EOMONTH(_xlpm.Month, -1) + 1) * (#REF! &lt;= EOMONTH(_xlpm.Month, 0)) * (#REF! = _xlpm.LivestockClass))), 0))</definedName>
    <definedName name="CommonLivestock_InputFunctions.LivestockMovement_TotalLiveweightGrownDuringMonth" localSheetId="6">_xlfn.LAMBDA(_xlpm.Month,_xlpm.LivestockClass, IFERROR(SUM(_xlfn._xlws.FILTER(#REF!, (#REF! &gt;= EOMONTH(_xlpm.Month, -1) + 1) * (#REF! &lt;= EOMONTH(_xlpm.Month, 0)) * (#REF! = _xlpm.LivestockClass))), 0))</definedName>
    <definedName name="CommonLivestock_InputFunctions.LivestockMovement_TotalLiveweightGrownDuringMonth">_xlfn.LAMBDA(_xlpm.Month,_xlpm.LivestockClass, IFERROR(SUM(_xlfn._xlws.FILTER(#REF!, (#REF! &gt;= EOMONTH(_xlpm.Month, -1) + 1) * (#REF! &lt;= EOMONTH(_xlpm.Month, 0)) * (#REF! = _xlpm.LivestockClass))), 0))</definedName>
    <definedName name="CommonLivestock_InputFunctions.LivestockMovement_TotalLiveweightGrownDuringMonthAddedAndRemaining">_xlfn.LAMBDA(_xlpm.Month,_xlpm.LivestockClass,_xlpm.HeadAtStart, [0]!CommonLivestock_InputFunctions.LivestockMovement_LiveweightGrownFromMonthStartTotal(_xlpm.LivestockClass, _xlpm.Month, _xlpm.HeadAtStart) + [0]!CommonLivestock_InputFunctions.LivestockMovement_TotalLiveweightGrownDuringMonth(_xlpm.Month, _xlpm.LivestockClass))</definedName>
    <definedName name="CommonLivestock_SourceData.SourceData_Livestock_Common_FracLEACH_MS_Data">_xlfn.LAMBDA(_xlfn.MAKEARRAY(8, 2, _xlfn.LAMBDA(_xlpm.r,_xlpm.c, INDEX({"Production system","Emission factor";"Irrigated pasture",0.0059;"Irrigated crop",0.007;"Non-irrigated pasture",0.0018;"Non-irrigated crop",0.0041;"Sugar cane",0.0199;"Cotton",0.0053;"Horticulture",0.0064}, _xlpm.r, _xlpm.c))))</definedName>
    <definedName name="CommonLivestock_SourceData.SourceData_Livestock_Common_FracLEACH_MS_Source">_xlfn.LAMBDA("National Inventory Report 2023 Volume 1: Equations 3.B.5a_3, 3.B.5c_3, 3.B.5d_3")</definedName>
    <definedName name="CommonLivestock_SourceData.SourceData_Livestock_Common_FracLEACH_MS_Title">_xlfn.LAMBDA("Fraction of N lost through leaching and runoff")</definedName>
    <definedName name="CommonLivestock_SourceData.SourceData_Livestock_Common_FracLEACH_MS_Unit">_xlfn.LAMBDA("Fraction")</definedName>
    <definedName name="CommonLivestock_SourceData.SourceData_Livestock_Common_FracWETMMS_Data">_xlfn.LAMBDA(1)</definedName>
    <definedName name="CommonLivestock_SourceData.SourceData_Livestock_Common_FracWETMMS_Source">_xlfn.LAMBDA("National Inventory Report 2023 Volume 1: Equations 3.B.5a_3, 3.B.5c_3, 3.B.5d_3")</definedName>
    <definedName name="CommonLivestock_SourceData.SourceData_Livestock_Common_FracWETMMS_Title">_xlfn.LAMBDA("Fraction of N available for leaching and runoff")</definedName>
    <definedName name="CommonLivestock_SourceData.SourceData_Livestock_Common_FracWETMMS_Unit">_xlfn.LAMBDA("Fraction")</definedName>
    <definedName name="CommonLivestock_SourceData.SourceData_Livestock_Common_SymbolsMMS_Data">_xlfn.LAMBDA(_xlfn.MAKEARRAY(19, 3, _xlfn.LAMBDA(_xlpm.r,_xlpm.c, INDEX({"Symbol","Manure management system","";"1","Anaerobic lagoon","Anaerobic lagoon (m=1)";"2","Liquid systems","Liquid systems (m=2)";"3","Daily spread","Daily spread (m=3)";"3a","Sump and dispersal system","Sump and dispersal system (m=3a)";"3b","Drains to paddock","Drains to paddock (m=3b)";"4","Solid storage","Solid storage (m=4)";"5","Drylot (feed pad)","Drylot (feed pad) (m=5)";"6","Composting (passive windrow)","Composting (passive windrow) (m=6)";"7","Digester / covered lagoons","Digester / covered lagoons (m=7)";"8","Deep litter","Deep litter (m=8)";"9","Pit storage","Pit storage (m=9)";"10","Poultry manure with bedding","Poultry manure with bedding (m=10)";"11","Poultry manure without bedding","Poultry manure without bedding (m=11)";"11a","Belt manure removal","Belt manure removal (m=11a)";"11b","Manure stored in house","Manure stored in house (m=11b)";"12","Direct processing","Direct processing (m=12)";"13","Direct application","Direct application (m=13)";"14","Pasture range and paddock","Pasture range and paddock (m=14)"}, _xlpm.r, _xlpm.c))))</definedName>
    <definedName name="CommonLivestock_SourceData.SourceData_Livestock_Common_SymbolsMMS_Source">_xlfn.LAMBDA("National Inventory Report 2023 Volume 1: Table 5.12")</definedName>
    <definedName name="CommonLivestock_SourceData.SourceData_Livestock_Common_SymbolsMMS_Title">_xlfn.LAMBDA("Table 5.12 Additional symbols used in algorithms for manure related emissions")</definedName>
    <definedName name="CommonLivestock_SourceData.SourceData_Livestock_Common_SymbolsMMS_Unit">_xlfn.LAMBDA("")</definedName>
    <definedName name="CommonLivestock_SourceData.SourceData_Livestock_Common_SymbolsMMS_Vairable">_xlfn.LAMBDA("MMS")</definedName>
    <definedName name="CommonLivestock_SourceData.SourceData_Livestock_Product_BeefCattle_Data">_xlfn.LAMBDA(_xlfn.MAKEARRAY(9, 2, _xlfn.LAMBDA(_xlpm.r,_xlpm.c, INDEX({"Product","Source region";"Cattle, for manufacturing beef","Australia";"Cattle, for prime beef","NSW";"Cattle, weaners","NT";"","QLD";"","SA";"","TAS";"","VIC";"","WA"}, _xlpm.r, _xlpm.c))))</definedName>
    <definedName name="CommonLivestock_SourceData.SourceData_Livestock_Product_BeefCattle_Source">_xlfn.LAMBDA("Lifecycles. (2026). Greenhouse Gas Emission Intensities for Material Inputs to Australian Agriculture, Fisheries and Forestry. Version 48. doi 10.5281/zenodo.19656580")</definedName>
    <definedName name="CommonLivestock_SourceData.SourceData_Livestock_Product_BeefCattle_Title">_xlfn.LAMBDA("Beef cattle products for scope 3")</definedName>
    <definedName name="CommonLivestock_SourceData.SourceData_Livestock_Product_BeefCattle_Unit">_xlfn.LAMBDA("")</definedName>
    <definedName name="CommonLivestock_SourceData.SourceData_Livestock_Product_BeefCattle_Vairable">_xlfn.LAMBDA("")</definedName>
    <definedName name="CommonLivestock_SourceData.SourceData_Livestock_Product_Chickens_Data">_xlfn.LAMBDA(_xlfn.MAKEARRAY(2, 2, _xlfn.LAMBDA(_xlpm.r,_xlpm.c, INDEX({"Product","Source region";"Chickens","Australia"}, _xlpm.r, _xlpm.c))))</definedName>
    <definedName name="CommonLivestock_SourceData.SourceData_Livestock_Product_Chickens_Source">_xlfn.LAMBDA("Lifecycles. (2026). Greenhouse Gas Emission Intensities for Material Inputs to Australian Agriculture, Fisheries and Forestry. Version 48. doi 10.5281/zenodo.19656580")</definedName>
    <definedName name="CommonLivestock_SourceData.SourceData_Livestock_Product_Chickens_Title">_xlfn.LAMBDA("Chickens products for scope 3")</definedName>
    <definedName name="CommonLivestock_SourceData.SourceData_Livestock_Product_Chickens_Unit">_xlfn.LAMBDA("")</definedName>
    <definedName name="CommonLivestock_SourceData.SourceData_Livestock_Product_Chickens_Vairable">_xlfn.LAMBDA("")</definedName>
    <definedName name="CommonLivestock_SourceData.SourceData_Livestock_Product_Dairycattle_Data">_xlfn.LAMBDA(_xlfn.MAKEARRAY(2, 2, _xlfn.LAMBDA(_xlpm.r,_xlpm.c, INDEX({"Product","Source region";"Dairy cows","VIC"}, _xlpm.r, _xlpm.c))))</definedName>
    <definedName name="CommonLivestock_SourceData.SourceData_Livestock_Product_Dairycattle_Source">_xlfn.LAMBDA("Lifecycles. (2026). Greenhouse Gas Emission Intensities for Material Inputs to Australian Agriculture, Fisheries and Forestry. Version 48. doi 10.5281/zenodo.19656580")</definedName>
    <definedName name="CommonLivestock_SourceData.SourceData_Livestock_Product_Dairycattle_Title">_xlfn.LAMBDA("Dairy cattle products for scope 3")</definedName>
    <definedName name="CommonLivestock_SourceData.SourceData_Livestock_Product_Dairycattle_Unit">_xlfn.LAMBDA("")</definedName>
    <definedName name="CommonLivestock_SourceData.SourceData_Livestock_Product_Dairycattle_Vairable">_xlfn.LAMBDA("")</definedName>
    <definedName name="CommonLivestock_SourceData.SourceData_Livestock_Product_Pigs_Data">_xlfn.LAMBDA(_xlfn.MAKEARRAY(2, 2, _xlfn.LAMBDA(_xlpm.r,_xlpm.c, INDEX({"Product","Source region";"Pigs","Australia"}, _xlpm.r, _xlpm.c))))</definedName>
    <definedName name="CommonLivestock_SourceData.SourceData_Livestock_Product_Pigs_Source">_xlfn.LAMBDA("Lifecycles. (2026). Greenhouse Gas Emission Intensities for Material Inputs to Australian Agriculture, Fisheries and Forestry. Version 48. doi 10.5281/zenodo.19656580")</definedName>
    <definedName name="CommonLivestock_SourceData.SourceData_Livestock_Product_Pigs_Title">_xlfn.LAMBDA("Pigs products for scope 3")</definedName>
    <definedName name="CommonLivestock_SourceData.SourceData_Livestock_Product_Pigs_Unit">_xlfn.LAMBDA("")</definedName>
    <definedName name="CommonLivestock_SourceData.SourceData_Livestock_Product_Pigs_Vairable">_xlfn.LAMBDA("")</definedName>
    <definedName name="CommonLivestock_SourceData.SourceData_Livestock_Product_Sheep_Data">_xlfn.LAMBDA(_xlfn.MAKEARRAY(8, 2, _xlfn.LAMBDA(_xlpm.r,_xlpm.c, INDEX({"Product","Source region";"Sheep, for mutton","Australia";"Sheep, for prime lamb","NSW";"","QLD";"","SA";"","TAS";"","VIC";"","WA"}, _xlpm.r, _xlpm.c))))</definedName>
    <definedName name="CommonLivestock_SourceData.SourceData_Livestock_Product_Sheep_Source">_xlfn.LAMBDA("Lifecycles. (2026). Greenhouse Gas Emission Intensities for Material Inputs to Australian Agriculture, Fisheries and Forestry. Version 48. doi 10.5281/zenodo.19656580")</definedName>
    <definedName name="CommonLivestock_SourceData.SourceData_Livestock_Product_Sheep_Title">_xlfn.LAMBDA("Sheep products for scope 3")</definedName>
    <definedName name="CommonLivestock_SourceData.SourceData_Livestock_Product_Sheep_Unit">_xlfn.LAMBDA("")</definedName>
    <definedName name="CommonLivestock_SourceData.SourceData_Livestock_Product_Sheep_Vairable">_xlfn.LAMBDA("")</definedName>
    <definedName name="EntericMethane_PastureBeef_Equations.VEERG_3_2_1_1__1_TotalAnnualMethaneFromEntericFermentation">_xlfn.LAMBDA(_xlpm.D_j,_xlpm.M_jkl,_xlpm.N_jkl, (_xlpm.D_j * _xlpm.M_jkl * _xlpm.N_jkl) * 10 ^ -3)</definedName>
    <definedName name="EntericMethane_PastureBeef_Equations.VEERG_3_2_1_1__1_TotalAnnualMethaneFromEntericFermentation_Arguments">_xlfn.LAMBDA(_xlfn.MAKEARRAY(3, 4, _xlfn.LAMBDA(_xlpm.r,_xlpm.c, INDEX({"D_j","number of days the animal is on the farm in each time-period","days","Input";"M_jkl","daily production of enteric methane in each time-period, class and subclass","kg CH4/head/day","Calculated from 3.2.1.1, (2)";"N_jkl","number of beef cattle in each time-period, class and subclass","head","Input"}, _xlpm.r, _xlpm.c))))</definedName>
    <definedName name="EntericMethane_PastureBeef_Equations.VEERG_3_2_1_1__1_TotalAnnualMethaneFromEntericFermentation_LatexEquation">_xlfn.LAMBDA("E_{enteric}=\sum_{j}\sum_{k}\sum_{l}(D_j\times M_{jkl}\times N_{jkl})\times 10^{-3}")</definedName>
    <definedName name="EntericMethane_PastureBeef_Equations.VEERG_3_2_1_1__1_TotalAnnualMethaneFromEntericFermentation_NIRReference">_xlfn.LAMBDA("")</definedName>
    <definedName name="EntericMethane_PastureBeef_Equations.VEERG_3_2_1_1__1_TotalAnnualMethaneFromEntericFermentation_Source">_xlfn.LAMBDA("VEERG 2026: 3.2.1.1, Equation (1)")</definedName>
    <definedName name="EntericMethane_PastureBeef_Equations.VEERG_3_2_1_1__1_TotalAnnualMethaneFromEntericFermentation_Title">_xlfn.LAMBDA("Total annual methane production from enteric fermentation in grazing beef cattle")</definedName>
    <definedName name="EntericMethane_PastureBeef_Equations.VEERG_3_2_1_1__1_TotalAnnualMethaneFromEntericFermentation_Unit">_xlfn.LAMBDA("t CH4")</definedName>
    <definedName name="EntericMethane_PastureBeef_Equations.VEERG_3_2_1_1__1_TotalAnnualMethaneFromEntericFermentation_Variable">_xlfn.LAMBDA("E_enteric")</definedName>
    <definedName name="EntericMethane_PastureBeef_Equations.VEERG_3_2_1_1__2_DailyEntericMethaneProduction">_xlfn.LAMBDA(_xlpm.I_jkl, 20.7 * _xlpm.I_jkl * 10 ^ -3)</definedName>
    <definedName name="EntericMethane_PastureBeef_Equations.VEERG_3_2_1_1__2_DailyEntericMethaneProduction_Arguments">_xlfn.LAMBDA(_xlfn.MAKEARRAY(1, 4, _xlfn.LAMBDA(_xlpm.r,_xlpm.c, INDEX({"I_jkl","dry matter intake","kg DM/head/day","Calculated from 3.2.1.1, (3)"}, _xlpm.r, _xlpm.c))))</definedName>
    <definedName name="EntericMethane_PastureBeef_Equations.VEERG_3_2_1_1__2_DailyEntericMethaneProduction_LatexEquation">_xlfn.LAMBDA("M_{jkl}=20.7\times I_{jkl}\times 10^{-3}")</definedName>
    <definedName name="EntericMethane_PastureBeef_Equations.VEERG_3_2_1_1__2_DailyEntericMethaneProduction_NIRReference">_xlfn.LAMBDA("Charmley et al. (2015)")</definedName>
    <definedName name="EntericMethane_PastureBeef_Equations.VEERG_3_2_1_1__2_DailyEntericMethaneProduction_Source">_xlfn.LAMBDA("VEERG 2026: 3.2.1.1, Equation (2)")</definedName>
    <definedName name="EntericMethane_PastureBeef_Equations.VEERG_3_2_1_1__2_DailyEntericMethaneProduction_Title">_xlfn.LAMBDA("Daily production of enteric methane")</definedName>
    <definedName name="EntericMethane_PastureBeef_Equations.VEERG_3_2_1_1__2_DailyEntericMethaneProduction_Unit">_xlfn.LAMBDA("kg CH4/head/day")</definedName>
    <definedName name="EntericMethane_PastureBeef_Equations.VEERG_3_2_1_1__2_DailyEntericMethaneProduction_Variable">_xlfn.LAMBDA("M_jkl")</definedName>
    <definedName name="EntericMethane_PastureBeef_Equations.VEERG_3_2_1_1__3_FeedIntakeForGrazingBeef">_xlfn.LAMBDA(_xlpm.W_jkl,_xlpm.LWG_jkl,_xlpm.MA_jk45, (1.185 + 0.00454 * _xlpm.W_jkl - 0.0000026 * _xlpm.W_jkl ^ 2 + 0.315 * _xlpm.LWG_jkl) ^ 2 * _xlpm.MA_jk45)</definedName>
    <definedName name="EntericMethane_PastureBeef_Equations.VEERG_3_2_1_1__3_FeedIntakeForGrazingBeef_Arguments">_xlfn.LAMBDA(_xlfn.MAKEARRAY(3, 4, _xlfn.LAMBDA(_xlpm.r,_xlpm.c, INDEX({"W_jkl","liveweight (kg)","kg","Input";"LWG_jkl","live weight gain (kg/head/day)","kg/head/day","Input";"MA_jk45","additional intake for milk production in cows greater than 2 years","kg/head/day","Calculated from 3.2.1.1, (4)"}, _xlpm.r, _xlpm.c))))</definedName>
    <definedName name="EntericMethane_PastureBeef_Equations.VEERG_3_2_1_1__3_FeedIntakeForGrazingBeef_LatexEquation">_xlfn.LAMBDA("I_{jkl}=(1.185+0.00454\times W_{jkl}-0.0000026\times W_{jkl}^{2}+0.315\times LWG_{jkl})^2\times MA_{jk=4,5}")</definedName>
    <definedName name="EntericMethane_PastureBeef_Equations.VEERG_3_2_1_1__3_FeedIntakeForGrazingBeef_NIRReference">_xlfn.LAMBDA("Minson and McDonald (1987)")</definedName>
    <definedName name="EntericMethane_PastureBeef_Equations.VEERG_3_2_1_1__3_FeedIntakeForGrazingBeef_Source">_xlfn.LAMBDA("VEERG 2026: 3.2.1.1, Equation (3)")</definedName>
    <definedName name="EntericMethane_PastureBeef_Equations.VEERG_3_2_1_1__3_FeedIntakeForGrazingBeef_Title">_xlfn.LAMBDA("Feed intake for grazing beef cattle")</definedName>
    <definedName name="EntericMethane_PastureBeef_Equations.VEERG_3_2_1_1__3_FeedIntakeForGrazingBeef_Unit">_xlfn.LAMBDA("kg DM/head/day")</definedName>
    <definedName name="EntericMethane_PastureBeef_Equations.VEERG_3_2_1_1__3_FeedIntakeForGrazingBeef_Variable">_xlfn.LAMBDA("I_jkl")</definedName>
    <definedName name="EntericMethane_PastureBeef_Equations.VEERG_3_2_1_1__4_AdditionalIntakeForMilkProduction">_xlfn.LAMBDA(_xlpm.LC_jk45,_xlpm.FA_jk45, (_xlpm.LC_jk45 * _xlpm.FA_jk45) + (1 - _xlpm.LC_jk45))</definedName>
    <definedName name="EntericMethane_PastureBeef_Equations.VEERG_3_2_1_1__4_AdditionalIntakeForMilkProduction_Arguments">_xlfn.LAMBDA(_xlfn.MAKEARRAY(3, 4, _xlfn.LAMBDA(_xlpm.r,_xlpm.c, INDEX({"LC_jk45","proportion of cows greater than 1 year in calf in the season of calving expressed as a fraction","fraction","Input";"FA_jk45","feed adjustment value for lactating cows in the season of calving and the season immediately after calving expressed as a fraction","fraction","Constant";"b","breed of cattle","","Input"}, _xlpm.r, _xlpm.c))))</definedName>
    <definedName name="EntericMethane_PastureBeef_Equations.VEERG_3_2_1_1__4_AdditionalIntakeForMilkProduction_ArgumentsVariation">_xlfn.LAMBDA(_xlfn.MAKEARRAY(4, 4, _xlfn.LAMBDA(_xlpm.r,_xlpm.c, INDEX({"LC_jk45","proportion of cows greater than 1 year in calf in the season of calving expressed as a fraction","fraction","Input";"FA_jk45calv","feed adjustment value for lactating cows in the season of calving expressed as a fraction","fraction","Constant";"FA_jk45after","feed adjustment value for lactating cows in the season immediately after calving expressed as a fraction","fraction","Constant";"b","breed of cattle","","Input"}, _xlpm.r, _xlpm.c))))</definedName>
    <definedName name="EntericMethane_PastureBeef_Equations.VEERG_3_2_1_1__4_AdditionalIntakeForMilkProduction_LatexEquation">_xlfn.LAMBDA("MA_{jk=4,5}=(LC_{jk=4,5}\times FA_{jk=4,5})+(1-LC_{jk=4,5})")</definedName>
    <definedName name="EntericMethane_PastureBeef_Equations.VEERG_3_2_1_1__4_AdditionalIntakeForMilkProduction_LatexEquationVariation">_xlfn.LAMBDA("MA_{jk=4,5}=((LC_{jk=4,5,calv}\times FA_{jk=4,5,calv})+(LC_{jk=4,5,prev}\times FA_{jk=4,5,after}))+(1-(LC_{jk=4,5,calv}+LC_{jk=4,5,prev}))")</definedName>
    <definedName name="EntericMethane_PastureBeef_Equations.VEERG_3_2_1_1__4_AdditionalIntakeForMilkProduction_NIRReference">_xlfn.LAMBDA("")</definedName>
    <definedName name="EntericMethane_PastureBeef_Equations.VEERG_3_2_1_1__4_AdditionalIntakeForMilkProduction_Source">_xlfn.LAMBDA("VEERG 2026: 3.2.1.1, Equation (4)")</definedName>
    <definedName name="EntericMethane_PastureBeef_Equations.VEERG_3_2_1_1__4_AdditionalIntakeForMilkProduction_Title">_xlfn.LAMBDA("Additional intake for milk production in the season of calving and the season after calving")</definedName>
    <definedName name="EntericMethane_PastureBeef_Equations.VEERG_3_2_1_1__4_AdditionalIntakeForMilkProduction_Unit">_xlfn.LAMBDA("fraction")</definedName>
    <definedName name="EntericMethane_PastureBeef_Equations.VEERG_3_2_1_1__4_AdditionalIntakeForMilkProduction_Variable">_xlfn.LAMBDA("MA_jk45")</definedName>
    <definedName name="EntericMethane_PastureBeef_Equations.VEERG_3_2_1_1__4_AdditionalIntakeForMilkProduction_Variation">_xlfn.LAMBDA("VARIATION ON SOURCE: Expanded equation to account for season after calving, rather than doing the same equation twice for both seasons")</definedName>
    <definedName name="EntericMethane_PastureBeef_Equations.VEERG_3_2_1_1__4_AdditionalIntakeForMilkProductionVariation">_xlfn.LAMBDA(_xlpm.LC_jk45calv,_xlpm.LC_jk45prev,_xlpm.FA_jk45calv,_xlpm.FA_jk45after,
    ((_xlpm.LC_jk45calv * _xlpm.FA_jk45calv) + (_xlpm.LC_jk45prev * _xlpm.FA_jk45after)) + (1 - (_xlpm.LC_jk45calv + _xlpm.LC_jk45prev))
  )</definedName>
    <definedName name="Enterprise_PastureBeef_InputFunctions.multiplyCorrespondingCells">_xlfn.LAMBDA(_xlpm.range1,_xlpm.range2,_xlpm.range3, _xlfn.LET(_xlpm.numRows, ROWS(_xlpm.range1), _xlpm.numCols, COLUMNS(_xlpm.range1), _xlpm.result, _xlfn.MAKEARRAY(_xlpm.numRows, _xlpm.numCols, _xlfn.LAMBDA(_xlpm.r,_xlpm.c, IF(ISNUMBER(INDEX(_xlpm.range1, _xlpm.r, _xlpm.c)), INDEX(_xlpm.range1, _xlpm.r, _xlpm.c), 0) * IF(ISNUMBER(INDEX(_xlpm.range2, _xlpm.r, _xlpm.c)), INDEX(_xlpm.range2, _xlpm.r, _xlpm.c), 0) * IF(ISNUMBER(INDEX(_xlpm.range3, _xlpm.r, _xlpm.c)), INDEX(_xlpm.range3, _xlpm.r, _xlpm.c), 0))), _xlpm.result))</definedName>
    <definedName name="getOverlappingReportingCycles">_xlfn.LAMBDA(_xlpm.ProductionCycleStart,_xlpm.ProductionCycleEnd,_xlpm.ReportingStartMonth,_xlpm.ReportingStartDay, _xlfn.LET(_xlpm.S, _xlpm.ProductionCycleStart, _xlpm.E, _xlpm.ProductionCycleEnd, _xlpm.m, _xlpm.ReportingStartMonth, _xlpm.d, _xlpm.ReportingStartDay, _xlpm.A, _xlpm.S - 364, _xlpm.ya, YEAR(_xlpm.A), _xlpm.yb, YEAR(_xlpm.E), _xlpm.firstYear, _xlpm.ya + (DATE(_xlpm.ya, _xlpm.m, _xlpm.d) &lt; _xlpm.A), _xlpm.lastYear, _xlpm.yb - (DATE(_xlpm.yb, _xlpm.m, _xlpm.d) &gt; _xlpm.E), MAX(0, _xlpm.lastYear - _xlpm.firstYear + 1)))</definedName>
    <definedName name="InputFunctions_PastureBeef.ConvertMonthlyCalvingToSeason">_xlfn.LAMBDA(_xlpm.Season,_xlpm.SumArray,_xlpm.CalvingMonthArray,_xlpm.MonthArray,_xlpm.MonthToSeasonArray, _xlfn.LET(_xlpm.MonthText, TEXT(_xlpm.CalvingMonthArray, "mmmm"), _xlpm.SeasonPerRow, _xlfn.XLOOKUP(_xlpm.MonthText, _xlpm.MonthArray, _xlpm.MonthToSeasonArray, "", 0), SUM(_xlpm.SumArray * (_xlpm.SeasonPerRow = _xlpm.Season))))</definedName>
    <definedName name="InputFunctions_PastureBeef.LookupLiveweightFromMonth">_xlfn.LAMBDA(_xlpm.State,_xlpm.Region,_xlpm.Month,_xlpm.LivestockClass,_xlpm.StateArray,_xlpm.RegionArray,_xlpm.SeasonArray,_xlpm.LivestockClassArray,_xlpm.ReturnArray,_xlpm.StateCommonNameArray,_xlpm.StateAbbreviationArray,_xlpm.MonthArray,_xlpm.MonthToSeasonArray, _xlfn.LET(_xlpm.Month, TEXT(_xlpm.Month, "mmmm"), _xlpm.State, _xlfn.XLOOKUP(_xlpm.State, _xlpm.StateCommonNameArray, _xlpm.StateAbbreviationArray), _xlpm.Season, _xlfn.XLOOKUP(_xlpm.Month, _xlpm.MonthArray, _xlpm.MonthToSeasonArray), _xlfn.XLOOKUP(1, (_xlpm.StateArray = _xlpm.State) * (_xlpm.RegionArray = _xlpm.Region) * (_xlpm.SeasonArray = _xlpm.Season), _xlfn.XLOOKUP(_xlpm.LivestockClass, _xlpm.LivestockClassArray, _xlpm.ReturnArray))))</definedName>
    <definedName name="InputFunctions_PastureBeef.LookupLiveweightFromSeason">_xlfn.LAMBDA(_xlpm.State,_xlpm.Region,_xlpm.Season,_xlpm.LivestockClass,_xlpm.StateArray,_xlpm.RegionArray,_xlpm.SeasonArray,_xlpm.LivestockClassArray,_xlpm.ReturnArray,_xlpm.StateCommonNameArray,_xlpm.StateAbbreviationArray, _xlfn.LET(_xlpm.State, _xlfn.XLOOKUP(_xlpm.State, _xlpm.StateCommonNameArray, _xlpm.StateAbbreviationArray), _xlfn.XLOOKUP(1, (_xlpm.StateArray = _xlpm.State) * (_xlpm.RegionArray = _xlpm.Region) * (_xlpm.SeasonArray = _xlpm.Season), _xlfn.XLOOKUP(_xlpm.LivestockClass, _xlpm.LivestockClassArray, _xlpm.ReturnArray))))</definedName>
    <definedName name="InputFunctions_PastureBeef.LookupValueFromStateRegionMonth">_xlfn.LAMBDA(_xlpm.State,_xlpm.Region,_xlpm.Month,_xlpm.StateArray,_xlpm.RegionArray,_xlpm.SeasonArray,_xlpm.ReturnArray,_xlpm.StateCommonNameArray,_xlpm.StateAbbreviationArray,_xlpm.MonthArray,_xlpm.MonthToSeasonArray, _xlfn.LET(_xlpm.State, _xlfn.XLOOKUP(_xlpm.State, _xlpm.StateCommonNameArray, _xlpm.StateAbbreviationArray), _xlpm.Season, _xlfn.XLOOKUP(TEXT(_xlpm.Month, "mmmm"), _xlpm.MonthArray, _xlpm.MonthToSeasonArray), _xlfn.XLOOKUP(1, (_xlpm.StateArray = _xlpm.State) * (_xlpm.RegionArray = _xlpm.Region), _xlfn.XLOOKUP(_xlpm.Season, _xlpm.SeasonArray, _xlpm.ReturnArray))))</definedName>
    <definedName name="InputFunctions_PastureBeef.LookupValueFromStateRegionSeason">_xlfn.LAMBDA(_xlpm.State,_xlpm.Region,_xlpm.Season,_xlpm.StateArray,_xlpm.RegionArray,_xlpm.SeasonArray,_xlpm.ReturnArray,_xlpm.StateCommonNameArray,_xlpm.StateAbbreviationArray, _xlfn.LET(_xlpm.State, _xlfn.XLOOKUP(_xlpm.State, _xlpm.StateCommonNameArray, _xlpm.StateAbbreviationArray), _xlfn.XLOOKUP(1, (_xlpm.StateArray = _xlpm.State) * (_xlpm.RegionArray = _xlpm.Region), _xlfn.XLOOKUP(_xlpm.Season, _xlpm.SeasonArray, _xlpm.ReturnArray))))</definedName>
    <definedName name="M1_Table_D_j">'3.2.1.1-2 Enteric Methane'!$D$114:$N$118</definedName>
    <definedName name="M1_Table_E_enteric">'3.2.1.1-2 Enteric Methane'!$D$122:$N$126</definedName>
    <definedName name="M1_Table_I_j_k_l">'3.2.1.1-2 Enteric Methane'!$D$63:$N$67</definedName>
    <definedName name="M1_Table_LC_j_k45">'3.2.1.1-2 Enteric Methane'!$D$20:$G$21</definedName>
    <definedName name="M1_Table_LWG_j_k_l">'3.2.1.1-2 Enteric Methane'!$D$55:$N$59</definedName>
    <definedName name="M1_Table_M_j_k_l">'3.2.1.1-2 Enteric Methane'!$D$84:$N$88</definedName>
    <definedName name="M1_Table_MA_j_k45">'3.2.1.1-2 Enteric Methane'!$D$25:$P$29</definedName>
    <definedName name="M1_Table_N_j_k_l">'3.2.1.1-2 Enteric Methane'!$D$106:$N$110</definedName>
    <definedName name="M1_Table_W_j_k_l">'3.2.1.1-2 Enteric Methane'!$D$47:$N$51</definedName>
    <definedName name="M2_Table_D_j">'3.2.1.1-2 Enteric Methane'!$U$132:$AE$144</definedName>
    <definedName name="M2_Table_E_enteric">'3.2.1.1-2 Enteric Methane'!$U$148:$AE$161</definedName>
    <definedName name="M2_Table_I_j_k_l">'3.2.1.1-2 Enteric Methane'!$U$75:$AE$87</definedName>
    <definedName name="M2_Table_LC_j_k45">'3.2.1.1-2 Enteric Methane'!$U$21:$X$23</definedName>
    <definedName name="M2_Table_LWG_j_k_l">'3.2.1.1-2 Enteric Methane'!$U$59:$AE$71</definedName>
    <definedName name="M2_Table_M_j_k_l">'3.2.1.1-2 Enteric Methane'!$U$96:$AE$108</definedName>
    <definedName name="M2_Table_MA_j_k45">'3.2.1.1-2 Enteric Methane'!$U$27:$AG$39</definedName>
    <definedName name="M2_Table_N_j_k_l">'3.2.1.1-2 Enteric Methane'!$U$116:$AE$128</definedName>
    <definedName name="M2_Table_W_j_k_l">'3.2.1.1-2 Enteric Methane'!$U$43:$AE$55</definedName>
    <definedName name="Scope3_InputFunctions.GetLiveweight_PastureBeef">_xlfn.LAMBDA(_xlpm.PurchaseDate,_xlpm.LivestockClass,_xlpm.SourceRegion,_xlpm.SourceRegionLeftArray,_xlpm.SourceRegionRightArray,_xlpm.SeasonArray,_xlpm.LivestockClassArray,_xlpm.LiveweightArray, _xlfn.LET(_xlpm.Season, _xlfn.IFS(MONTH(_xlpm.PurchaseDate) &lt;= 2, "Summer", MONTH(_xlpm.PurchaseDate) &lt;= 5, "Autumn", MONTH(_xlpm.PurchaseDate) &lt;= 8, "Winter", MONTH(_xlpm.PurchaseDate) &lt;= 11, "Spring", MONTH(_xlpm.PurchaseDate) = 12, "Summer"), _xlpm.SourceRegionRight, IF(ISNUMBER(FIND(" - ", _xlpm.SourceRegion)), MID(_xlpm.SourceRegion, FIND(" - ", _xlpm.SourceRegion) + 3, LEN(_xlpm.SourceRegion)), "n/a"), _xlpm.SourceRegionLeft, IF(ISNUMBER(FIND(" - ", _xlpm.SourceRegion)), LEFT(_xlpm.SourceRegion, FIND(" - ", _xlpm.SourceRegion) - 1), _xlpm.SourceRegion), IFERROR(_xlfn.XLOOKUP(1, (_xlpm.SourceRegionLeftArray = _xlpm.SourceRegionLeft) * (_xlpm.SourceRegionRightArray = _xlpm.SourceRegionRight) * (_xlpm.SeasonArray = _xlpm.Season), _xlfn.XLOOKUP(_xlpm.LivestockClass, _xlpm.LivestockClassArray, _xlpm.LiveweightArray, 0), 0), 0)))</definedName>
    <definedName name="Scope3_SourceData.Scope3_Chemicals_Data">_xlfn.LAMBDA(_xlfn.MAKEARRAY(8, 7, _xlfn.LAMBDA(_xlpm.r,_xlpm.c, INDEX({"Category","Sub-category","Product name","Region of origin","Product Unit","GHG emission intensity","System boundary";"Chemicals","Cleaning chemicals","Alkaline cleaner","Global","kg",0.722,"at manufacturer";"Chemicals","Cleaning chemicals","Bleach","Global","kg",0.804,"at manufacturer";"Chemicals","Cleaning chemicals","Phosphoric acid","Global","kg",0.907,"at manufacturer";"Chemicals","Pharmacy chemicals","Parasite control for cattle (external), dipping","Global","p (head)",0.0547,"at manufacturer";"Chemicals","Pharmacy chemicals","Parasite control for cattle (internal)","Global","p (head)",0.0142,"at manufacturer";"Chemicals","Pharmacy chemicals","Parasite control for sheep (external)","Global","p (head)",0.0143,"at manufacturer";"Chemicals","Pharmacy chemicals","Parasite control for sheep (internal)","Global","p (head)",0.00426,"at manufacturer"}, _xlpm.r, _xlpm.c))))</definedName>
    <definedName name="Scope3_SourceData.Scope3_Chemicals_Source">_xlfn.LAMBDA(("Lifecycles. (2026). Greenhouse Gas Emission Intensities for Material Inputs to Australian Agriculture, Fisheries and Forestry. Version 48. doi 10.5281/zenodo.19656580"))</definedName>
    <definedName name="Scope3_SourceData.Scope3_Chemicals_Title">_xlfn.LAMBDA(("Chemicals scope 3"))</definedName>
    <definedName name="Scope3_SourceData.Scope3_Chemicals_Variation">_xlfn.LAMBDA((""))</definedName>
    <definedName name="Scope3_SourceData.Scope3_Feed_Data">_xlfn.LAMBDA(_xlfn.MAKEARRAY(78, 7, _xlfn.LAMBDA(_xlpm.r,_xlpm.c, INDEX({"Category","Sub-category","Product name","Region of origin","Product Unit","GHG emission intensity","System boundary";"Feed","Aquaculture feed","Sardines (whole)","SA","kg",0.376,"at market";"Feed","Grain","Barley grain","Australia","kg",0.239,"at market";"Feed","Grain","Barley grain","NSW","kg",0.256,"at market";"Feed","Grain","Barley grain","NT","kg",0.332,"at market";"Feed","Grain","Barley grain","QLD","kg",0.269,"at market";"Feed","Grain","Barley grain","SA","kg",0.223,"at market";"Feed","Grain","Barley grain","TAS","kg",0.307,"at market";"Feed","Grain","Barley grain","VIC","kg",0.241,"at market";"Feed","Grain","Barley grain","WA","kg",0.236,"at market";"Feed","Grain","Maize grain","Australia","kg",0.181,"at market";"Feed","Grain","Maize grain","NSW","kg",0.169,"at market";"Feed","Grain","Maize grain","NT","kg",0.256,"at market";"Feed","Grain","Maize grain","QLD","kg",0.186,"at market";"Feed","Grain","Maize grain","SA","kg",0.176,"at market";"Feed","Grain","Maize grain","VIC","kg",0.159,"at market";"Feed","Grain","Maize grain","WA","kg",0.285,"at market";"Feed","Grain","Sorghum grain","Australia","kg",0.232,"at market";"Feed","Grain","Sorghum grain","NSW","kg",0.232,"at market";"Feed","Grain","Sorghum grain","QLD","kg",0.231,"at market";"Feed","Grain","Sorghum grain","SA","kg",0.218,"at market";"Feed","Grain","Sorghum grain","VIC","kg",0.246,"at market";"Feed","Grain","Wheat grain","Australia","kg",0.268,"at market";"Feed","Grain","Wheat grain","NSW","kg",0.282,"at market";"Feed","Grain","Wheat grain","NT","kg",0.385,"at market";"Feed","Grain","Wheat grain","QLD","kg",0.296,"at market";"Feed","Grain","Wheat grain","SA","kg",0.241,"at market";"Feed","Grain","Wheat grain","TAS","kg",0.338,"at market";"Feed","Grain","Wheat grain","VIC","kg",0.266,"at market";"Feed","Grain","Wheat grain","WA","kg",0.261,"at market";"Feed","Hay","Cereal hay","Australia","kg",0.117,"at market";"Feed","Hay","Cereal hay","NSW","kg",0.116,"at market";"Feed","Hay","Cereal hay","QLD","kg",0.118,"at market";"Feed","Hay","Cereal hay","SA","kg",0.111,"at market";"Feed","Hay","Cereal hay","TAS","kg",0.139,"at market";"Feed","Hay","Cereal hay","VIC","kg",0.116,"at market";"Feed","Hay","Cereal hay","WA","kg",0.122,"at market";"Feed","Hay","Cereal silage","Australia","kg",0.0744,"at market";"Feed","Hay","Cereal silage","NSW","kg",0.0739,"at market";"Feed","Hay","Cereal silage","QLD","kg",0.079,"at market";"Feed","Hay","Cereal silage","SA","kg",0.0706,"at market";"Feed","Hay","Cereal silage","TAS","kg",0.0808,"at market";"Feed","Hay","Cereal silage","VIC","kg",0.0736,"at market";"Feed","Hay","Lucerne hay","Australia","kg",0.117,"at market";"Feed","Hay","Lucerne hay","NSW","kg",0.113,"at market";"Feed","Hay","Lucerne hay","QLD","kg",0.143,"at market";"Feed","Hay","Lucerne hay","SA","kg",0.106,"at market";"Feed","Hay","Lucerne hay","TAS","kg",0.113,"at market";"Feed","Hay","Lucerne hay","VIC","kg",0.106,"at market";"Feed","Hay","Maize silage","VIC","kg",0.163,"at market";"Feed","Hay","Oaten hay","Australia","kg",0.12,"at market";"Feed","Hay","Oaten hay","NSW","kg",0.119,"at market";"Feed","Hay","Oaten hay","QLD","kg",0.117,"at market";"Feed","Hay","Oaten hay","SA","kg",0.114,"at market";"Feed","Hay","Oaten hay","VIC","kg",0.118,"at market";"Feed","Hay","Oaten hay","WA","kg",0.124,"at market";"Feed","Hay","Pasture hay","Australia","kg",0.339,"at market";"Feed","Hay","Pasture hay","NSW","kg",0.311,"at market";"Feed","Hay","Pasture hay","QLD","kg",0.254,"at market";"Feed","Hay","Pasture hay","SA","kg",0.313,"at market";"Feed","Hay","Pasture hay","TAS","kg",0.398,"at market";"Feed","Hay","Pasture hay","VIC","kg",0.345,"at market";"Feed","Hay","Pasture hay","WA","kg",0.368,"at market";"Feed","Meal","Canola meal","Australia","kg",0.244,"at market";"Feed","Meal","Meat meal","Australia","kg",0.408,"at market";"Feed","Meal","Soybean meal","Brazil","kg",0.426,"at market";"Feed","Meal","Wheat bran","Australia","kg",0.196,"at market";"Feed","Mixed rations","Feed for chickens","Australia","kg",0.594,"at market";"Feed","Mixed rations","Feed for dairy calves","Australia","kg",0.419,"at market";"Feed","Mixed rations","Feed for dairy cows","Australia","kg",0.333,"at market";"Feed","Mixed rations","Feed for pigs","Australia","kg",0.403,"at market";"Feed","Other","Bentonite","Australia","kg",0.0652,"at market";"Feed","Other","Canola oil","Australia","kg",0.87,"at market";"Feed","Other","Cotton seed","Australia","kg",0.197,"at market";"Feed","Other","Lick block, dry season mix","Australia","kg",0.881,"at market";"Feed","Other","Lick block, mineral","Australia","kg",0.677,"at market";"Feed","Other","Lick block, weaner","Australia","kg",0.231,"at market";"Feed","Other","Molasses","QLD","kg",0.184,"at market"}, _xlpm.r, _xlpm.c))))</definedName>
    <definedName name="Scope3_SourceData.Scope3_Feed_Source">_xlfn.LAMBDA(("Lifecycles. (2026). Greenhouse Gas Emission Intensities for Material Inputs to Australian Agriculture, Fisheries and Forestry. Version 48. doi 10.5281/zenodo.19656580"))</definedName>
    <definedName name="Scope3_SourceData.Scope3_Feed_Title">_xlfn.LAMBDA(("Feed scope 3"))</definedName>
    <definedName name="Scope3_SourceData.Scope3_Feed_Variation">_xlfn.LAMBDA((""))</definedName>
    <definedName name="Scope3_SourceData.Scope3_InorganicFertilisers_Data">_xlfn.LAMBDA(_xlfn.MAKEARRAY(26, 7, _xlfn.LAMBDA(_xlpm.r,_xlpm.c, INDEX({"Category","Sub-category","Product name","Region of origin","Product Unit","GHG emission intensity","System boundary";"Fertilisers","Inorganic fertilisers","Ammonia, AU market mix","Global","kg",2.32,"at market";"Fertilisers","Inorganic fertilisers","Ammonia, Canada","Canada","kg",2.12,"at market";"Fertilisers","Inorganic fertilisers","Ammonia, China","China","kg",4.17,"at market";"Fertilisers","Inorganic fertilisers","Ammonia, Yemen","Yemen","kg",2.26,"at market";"Fertilisers","Inorganic fertilisers","Ammonium nitrate, AU market mix","Global","kg",2.21,"at market";"Fertilisers","Inorganic fertilisers","Calcium ammonium nitrate, AU market mix","Global","kg",1.15,"at market";"Fertilisers","Inorganic fertilisers","Calcium nitrate","Global","kg",0.75,"at market";"Fertilisers","Inorganic fertilisers","Diammonium phosphate, AU market mix","Global","kg",1.34,"at market";"Fertilisers","Inorganic fertilisers","Double superphosphate, AU market mix","Global","kg",0.392,"at market";"Fertilisers","Inorganic fertilisers","Monoammonium phosphate, AU market mix","Global","kg",0.827,"at market";"Fertilisers","Inorganic fertilisers","Muriate of potash, AU market mix","Global","kg",0.549,"at market";"Fertilisers","Inorganic fertilisers","Nitrogen from ammonia, AU market mix","Global","kg N",2.83,"at market";"Fertilisers","Inorganic fertilisers","Nitrogen from fertilizer, AU market mix","Global","kg N",4.2,"at market";"Fertilisers","Inorganic fertilisers","Nitrogen from nitrate fertilizer, AU market mix","Global","kg N",5.47,"at market";"Fertilisers","Inorganic fertilisers","Phosphorus from fertilizer, AU market mix","Global","kg P",3.96,"at market";"Fertilisers","Inorganic fertilisers","Potassium from fertilizer, AU market mix","Global","kg K",0.909,"at market";"Fertilisers","Inorganic fertilisers","Single superphosphate, AU market mix","Global","kg",0.227,"at market";"Fertilisers","Inorganic fertilisers","Sulfur from fertilizer, AU market mix","Global","kg S",2.5,"at market";"Fertilisers","Inorganic fertilisers","Ammonium sulphate, AU market mix","Global","kg",0.865,"at market";"Fertilisers","Inorganic fertilisers","Urea ammonium nitrate, AU market mix","Global","kg",1.75,"at market";"Fertilisers","Inorganic fertilisers","Urea, AU market mix","Global","kg",0.968,"at market";"Fertilisers","Inorganic fertilisers","Urea, Canada","Canada","kg",0.823,"at market";"Fertilisers","Inorganic fertilisers","Urea, China","China","kg",2.09,"at market";"Fertilisers","Inorganic fertilisers","Urea, Yemen","Yemen","kg",0.963,"at market";"Fertilisers","Inorganic fertilisers","Zinc from fertilizer","Global","kg Zn",4.82,"at market"}, _xlpm.r, _xlpm.c))))</definedName>
    <definedName name="Scope3_SourceData.Scope3_InorganicFertilisers_Source">_xlfn.LAMBDA(("Lifecycles. (2026). Greenhouse Gas Emission Intensities for Material Inputs to Australian Agriculture, Fisheries and Forestry. Version 48. doi 10.5281/zenodo.19656580"))</definedName>
    <definedName name="Scope3_SourceData.Scope3_InorganicFertilisers_Title">_xlfn.LAMBDA(("Inorganic fertiliser chemical compound scope 3"))</definedName>
    <definedName name="Scope3_SourceData.Scope3_InorganicFertilisers_Variation">_xlfn.LAMBDA((""))</definedName>
    <definedName name="Scope3_SourceData.Scope3_Livestock_Data">_xlfn.LAMBDA(_xlfn.MAKEARRAY(42, 7, _xlfn.LAMBDA(_xlpm.r,_xlpm.c, INDEX({"Category","Sub-category","Product name","Region of origin","Product Unit","GHG emission intensity","System boundary";"Animals","Beef cattle","Cattle, for manufacturing beef","Australia","kg liveweight",11,"at market";"Animals","Beef cattle","Cattle, for manufacturing beef","NSW","kg liveweight",8.21,"at market";"Animals","Beef cattle","Cattle, for manufacturing beef","NT","kg liveweight",12.2,"at market";"Animals","Beef cattle","Cattle, for manufacturing beef","QLD","kg liveweight",10.9,"at market";"Animals","Beef cattle","Cattle, for manufacturing beef","SA","kg liveweight",7.63,"at market";"Animals","Beef cattle","Cattle, for manufacturing beef","TAS","kg liveweight",8.75,"at market";"Animals","Beef cattle","Cattle, for manufacturing beef","VIC","kg liveweight",8.17,"at market";"Animals","Beef cattle","Cattle, for manufacturing beef","WA","kg liveweight",13.1,"at market";"Animals","Beef cattle","Cattle, for prime beef","Australia","kg liveweight",14.5,"at market";"Animals","Beef cattle","Cattle, for prime beef","NSW","kg liveweight",11.3,"at market";"Animals","Beef cattle","Cattle, for prime beef","NT","kg liveweight",18.9,"at market";"Animals","Beef cattle","Cattle, for prime beef","QLD","kg liveweight",13.9,"at market";"Animals","Beef cattle","Cattle, for prime beef","SA","kg liveweight",12.3,"at market";"Animals","Beef cattle","Cattle, for prime beef","TAS","kg liveweight",11.5,"at market";"Animals","Beef cattle","Cattle, for prime beef","VIC","kg liveweight",11.5,"at market";"Animals","Beef cattle","Cattle, for prime beef","WA","kg liveweight",20.8,"at market";"Animals","Beef cattle","Cattle, weaners","Australia","kg liveweight",15.5,"at market";"Animals","Beef cattle","Cattle, weaners","NSW","kg liveweight",12.7,"at market";"Animals","Beef cattle","Cattle, weaners","NT","kg liveweight",19.1,"at market";"Animals","Beef cattle","Cattle, weaners","QLD","kg liveweight",20.5,"at market";"Animals","Beef cattle","Cattle, weaners","SA","kg liveweight",10.8,"at market";"Animals","Beef cattle","Cattle, weaners","TAS","kg liveweight",13.4,"at market";"Animals","Beef cattle","Cattle, weaners","VIC","kg liveweight",12,"at market";"Animals","Beef cattle","Cattle, weaners","WA","kg liveweight",12.4,"at market";"Animals","Chickens","Chickens","Australia","kg liveweight",1.36,"at market";"Animals","Dairy cattle","Dairy cows","VIC","kg liveweight",4.41,"at market";"Animals","Pigs","Pigs","Australia","kg liveweight",3.38,"at market";"Animals","Sheep","Sheep, for mutton","Australia","kg liveweight",6.81,"at market";"Animals","Sheep","Sheep, for mutton","NSW","kg liveweight",2.26,"at market";"Animals","Sheep","Sheep, for mutton","QLD","kg liveweight",6.33,"at market";"Animals","Sheep","Sheep, for mutton","SA","kg liveweight",6.18,"at market";"Animals","Sheep","Sheep, for mutton","TAS","kg liveweight",7.5,"at market";"Animals","Sheep","Sheep, for mutton","VIC","kg liveweight",8.08,"at market";"Animals","Sheep","Sheep, for mutton","WA","kg liveweight",5.45,"at market";"Animals","Sheep","Sheep, for prime lamb","Australia","kg liveweight",7.15,"at market";"Animals","Sheep","Sheep, for prime lamb","NSW","kg liveweight",8.29,"at market";"Animals","Sheep","Sheep, for prime lamb","QLD","kg liveweight",6.39,"at market";"Animals","Sheep","Sheep, for prime lamb","SA","kg liveweight",6.87,"at market";"Animals","Sheep","Sheep, for prime lamb","TAS","kg liveweight",8.66,"at market";"Animals","Sheep","Sheep, for prime lamb","VIC","kg liveweight",10,"at market";"Animals","Sheep","Sheep, for prime lamb","WA","kg liveweight",5.67,"at market"}, _xlpm.r, _xlpm.c))))</definedName>
    <definedName name="Scope3_SourceData.Scope3_Livestock_Source">_xlfn.LAMBDA(("Lifecycles. (2026). Greenhouse Gas Emission Intensities for Material Inputs to Australian Agriculture, Fisheries and Forestry. Version 48. doi 10.5281/zenodo.19656580"))</definedName>
    <definedName name="Scope3_SourceData.Scope3_Livestock_Title">_xlfn.LAMBDA(("Livestock scope 3"))</definedName>
    <definedName name="Scope3_SourceData.Scope3_Livestock_Variation">_xlfn.LAMBDA((""))</definedName>
    <definedName name="Scope3_SourceData.Scope3_Other_Data">_xlfn.LAMBDA(_xlfn.MAKEARRAY(9, 7, _xlfn.LAMBDA(_xlpm.r,_xlpm.c, INDEX({"Category","Sub-category","Product name","Region of origin","Product Unit","GHG emission intensity","System boundary";"Other","Other","Animal ear tags (large)","Australia","p",0.0424,"at market";"Other","Other","Animal ear tags (small)","Australia","p",0.0293,"at market";"Other","Other","Barley grain (for seed)","Australia","kg",0.239,"at market";"Other","Other","Maize grain (for seed)","Australia","kg",0.181,"at market";"Other","Other","Nylon netting","Global","kg",9.81,"at market";"Other","Other","Oat grain (for seed)","Australia","kg",0.27,"at market";"Other","Other","Sorghum grain (for seed)","Australia","kg",0.232,"at market";"Other","Other","Wheat grain (for seed)","Australia","kg",0.268,"at market"}, _xlpm.r, _xlpm.c))))</definedName>
    <definedName name="Scope3_SourceData.Scope3_Other_Source">_xlfn.LAMBDA(("Lifecycles. (2026). Greenhouse Gas Emission Intensities for Material Inputs to Australian Agriculture, Fisheries and Forestry. Version 48. doi 10.5281/zenodo.19656580"))</definedName>
    <definedName name="Scope3_SourceData.Scope3_Other_Title">_xlfn.LAMBDA(("Other agricultural inputs scope 3"))</definedName>
    <definedName name="Scope3_SourceData.Scope3_Other_Variation">_xlfn.LAMBDA((""))</definedName>
    <definedName name="Scope3_SourceData.Scope3_Packaging_Data">_xlfn.LAMBDA(_xlfn.MAKEARRAY(5, 7, _xlfn.LAMBDA(_xlpm.r,_xlpm.c, INDEX({"Category","Sub-category","Product name","Region of origin","Product Unit","GHG emission intensity","System boundary";"Packaging","Packaging","Corrugated board","Global","kg",1.05,"at manufacturer";"Packaging","Packaging","Plastic crate polypropylene","Global","p",3.99,"at manufacturer";"Packaging","Packaging","Plastic film LDPE","Global","kg",3.44,"at manufacturer";"Packaging","Packaging","Plastic sheet HDPE","Global","kg",3.72,"at manufacturer"}, _xlpm.r, _xlpm.c))))</definedName>
    <definedName name="Scope3_SourceData.Scope3_Packaging_Source">_xlfn.LAMBDA(("Lifecycles. (2026). Greenhouse Gas Emission Intensities for Material Inputs to Australian Agriculture, Fisheries and Forestry. Version 48. doi 10.5281/zenodo.19656580"))</definedName>
    <definedName name="Scope3_SourceData.Scope3_Packaging_Title">_xlfn.LAMBDA(("Packaging scope 3"))</definedName>
    <definedName name="Scope3_SourceData.Scope3_Packaging_Variation">_xlfn.LAMBDA((""))</definedName>
    <definedName name="Scope3_SourceData.Scope3_Pesticides_Data">_xlfn.LAMBDA(_xlfn.MAKEARRAY(13, 7, _xlfn.LAMBDA(_xlpm.r,_xlpm.c, INDEX({"Category","Sub-category","Product name","Region of origin","Product Unit","GHG emission intensity","System boundary";"Pesticides","Pesticides","2,4-D","Global","kg AI",5.2,"at market";"Pesticides","Pesticides","Atrazine","Global","kg AI",8.38,"at market";"Pesticides","Pesticides","Diuron","Global","kg AI",8.8,"at market";"Pesticides","Pesticides","Glyphosate","Global","kg AI",10.3,"at market";"Pesticides","Pesticides","Mancozeb","Global","kg AI",4.55,"at market";"Pesticides","Pesticides","MCPA","Global","kg AI",5.6,"at market";"Pesticides","Pesticides","Metolachlor","Global","kg AI",8.06,"at market";"Pesticides","Pesticides","Metsulfuron-methyl","Global","kg AI",8.8,"at market";"Pesticides","Pesticides","Pesticides (generic)","Global","kg AI",9.16,"at market";"Pesticides","Pesticides","Tri-allate","Global","kg AI",8.57,"at market";"Pesticides","Pesticides","Tribenuron methyl","Global","kg AI",8.8,"at market";"Pesticides","Pesticides","Trifluralin","Global","kg AI",6.16,"at market"}, _xlpm.r, _xlpm.c))))</definedName>
    <definedName name="Scope3_SourceData.Scope3_Pesticides_Source">_xlfn.LAMBDA(("Lifecycles. (2026). Greenhouse Gas Emission Intensities for Material Inputs to Australian Agriculture, Fisheries and Forestry. Version 48. doi 10.5281/zenodo.19656580"))</definedName>
    <definedName name="Scope3_SourceData.Scope3_Pesticides_Title">_xlfn.LAMBDA(("Pesticides scope 3"))</definedName>
    <definedName name="Scope3_SourceData.Scope3_Pesticides_Variation">_xlfn.LAMBDA((""))</definedName>
    <definedName name="Scope3_SourceData.Scope3_SoilAmendments_Data">_xlfn.LAMBDA(_xlfn.MAKEARRAY(4, 7, _xlfn.LAMBDA(_xlpm.r,_xlpm.c, INDEX({"Category","Sub-category","Product name","Region of origin","Product Unit","GHG emission intensity","System boundary";"Soil ameliorants","Soil ameliorants","Dolomite","Australia","kg",0.0652,"at market";"Soil ameliorants","Soil ameliorants","Gypsum","Australia","kg",0.0652,"at market";"Soil ameliorants","Soil ameliorants","Limestone (crushed)","Australia","kg",0.0485,"at market"}, _xlpm.r, _xlpm.c))))</definedName>
    <definedName name="Scope3_SourceData.Scope3_SoilAmendments_Source">_xlfn.LAMBDA(("Lifecycles. (2026). Greenhouse Gas Emission Intensities for Material Inputs to Australian Agriculture, Fisheries and Forestry. Version 48. doi 10.5281/zenodo.19656580"))</definedName>
    <definedName name="Scope3_SourceData.Scope3_SoilAmendments_Title">_xlfn.LAMBDA(("Soil amendments scope 3"))</definedName>
    <definedName name="Scope3_SourceData.Scope3_SoilAmendments_Variation">_xlfn.LAMBDA((""))</definedName>
    <definedName name="SourceData_PastureBeef.SourceData_PastureBeef_AshContentOfFeedIntake_Data">_xlfn.LAMBDA(0.08)</definedName>
    <definedName name="SourceData_PastureBeef.SourceData_PastureBeef_AshContentOfFeedIntake_Source">_xlfn.LAMBDA("VEERG 2026: 4.2.2.3 CONSTANTS")</definedName>
    <definedName name="SourceData_PastureBeef.SourceData_PastureBeef_AshContentOfFeedIntake_Title">_xlfn.LAMBDA("Ash content of feed intake")</definedName>
    <definedName name="SourceData_PastureBeef.SourceData_PastureBeef_AshContentOfFeedIntake_Unit">_xlfn.LAMBDA("fraction")</definedName>
    <definedName name="SourceData_PastureBeef.SourceData_PastureBeef_AshContentOfFeedIntake_Variable">_xlfn.LAMBDA("A")</definedName>
    <definedName name="SourceData_PastureBeef.SourceData_PastureBeef_AshContentOfFeedIntake_Variation">_xlfn.LAMBDA("")</definedName>
    <definedName name="SourceData_PastureBeef.SourceData_PastureBeef_CrudeProteinContent_Data">_xlfn.LAMBDA(_xlfn.MAKEARRAY(16, 6, _xlfn.LAMBDA(_xlpm.r,_xlpm.c, INDEX({"State","Region","Spring","Summer","Autumn","Winter";"ACT","n/a",0.07,0.13,0.1,0.06;"NSW","n/a",0.07,0.13,0.1,0.06;"NT","Alice Springs",0.058,0.092,0.075,0.053;"NT","Barkly",0.058,0.092,0.075,0.053;"NT","Northern",0.058,0.092,0.075,0.053;"QLD","High",0.072,0.099,0.078,0.059;"QLD","Moderate/High",0.072,0.099,0.078,0.059;"QLD","Moderate/Low",0.072,0.099,0.078,0.059;"QLD","Low",0.072,0.099,0.078,0.059;"SA","n/a",0.16,0.07,0.09,0.2;"TAS","n/a",0.2,0.1,0.16,0.2;"VIC","n/a",0.25,0.07,0.1,0.21;"WA","South West",0.2,0.09,0.06,0.2;"WA","Pilbara",0.04,0.12,0.09,0.06;"WA","Kimberley",0.04,0.12,0.09,0.06}, _xlpm.r, _xlpm.c))))</definedName>
    <definedName name="SourceData_PastureBeef.SourceData_PastureBeef_CrudeProteinContent_Source">_xlfn.LAMBDA("VEERG 2026: Table A.1.2.6")</definedName>
    <definedName name="SourceData_PastureBeef.SourceData_PastureBeef_CrudeProteinContent_Title">_xlfn.LAMBDA("Beef pasture cattle - Crude protein content of feed intake (fraction) (CPj)")</definedName>
    <definedName name="SourceData_PastureBeef.SourceData_PastureBeef_CrudeProteinContent_Unit">_xlfn.LAMBDA("fraction")</definedName>
    <definedName name="SourceData_PastureBeef.SourceData_PastureBeef_CrudeProteinContent_Variable">_xlfn.LAMBDA("CPj")</definedName>
    <definedName name="SourceData_PastureBeef.SourceData_PastureBeef_CrudeProteinContent_Variation">_xlfn.LAMBDA("VARIATION ON SOURCE: Split ACT and NSW into separate rows. Duplicated QLD and NT rows with regions from table A.1.2.2 to aid lookup")</definedName>
    <definedName name="SourceData_PastureBeef.SourceData_PastureBeef_DryMatterDigestibility_Data">_xlfn.LAMBDA(
    _xlfn.MAKEARRAY(16, 6,
      _xlfn.LAMBDA(_xlpm.r,_xlpm.c,
        INDEX({"State","Region","Spring","Summer","Autumn","Winter";"ACT","n/a",0.55,0.65,0.6,0.5;"NSW","n/a",0.55,0.65,0.6,0.5;"NT","Alice Springs",0.55,0.61,0.57,0.54;"NT","Barkly",0.55,0.61,0.57,0.54;"NT","Northern",0.55,0.61,0.57,0.54;"QLD","High",0.53,0.57,0.55,0.51;"QLD","Moderate/High",0.53,0.57,0.55,0.51;"QLD","Moderate/Low",0.53,0.57,0.55,0.51;"QLD","Low",0.53,0.57,0.55,0.51;"SA","n/a",0.7,0.55,0.55,0.75;"TAS","n/a",0.75,0.6,0.7,0.75;"VIC","n/a",0.8,0.55,0.6,0.76;"WA","South West",0.8,0.58,0.5,0.75;"WA","Pilbara",0.4,0.65,0.55,0.45;"WA","Kimberley",0.4,0.65,0.55,0.45}, _xlpm.r, _xlpm.c)
      )
    )
  )</definedName>
    <definedName name="SourceData_PastureBeef.SourceData_PastureBeef_DryMatterDigestibility_Source">_xlfn.LAMBDA("VEERG 2026: Table A.1.2.5")</definedName>
    <definedName name="SourceData_PastureBeef.SourceData_PastureBeef_DryMatterDigestibility_Title">_xlfn.LAMBDA("Beef pasture cattle - Dry matter digestibility of feed intake (fraction) (DMDj)")</definedName>
    <definedName name="SourceData_PastureBeef.SourceData_PastureBeef_DryMatterDigestibility_Unit">_xlfn.LAMBDA("fraction")</definedName>
    <definedName name="SourceData_PastureBeef.SourceData_PastureBeef_DryMatterDigestibility_Variable">_xlfn.LAMBDA("DMDj")</definedName>
    <definedName name="SourceData_PastureBeef.SourceData_PastureBeef_DryMatterDigestibility_Variation">_xlfn.LAMBDA("VARIATION ON SOURCE: Split ACT and NSW into separate rows. Duplicated QLD and NT rows with regions from table A.1.2.2 to aid lookup")</definedName>
    <definedName name="SourceData_PastureBeef.SourceData_PastureBeef_FeedAdjustmentAndMilkProduction_Data">_xlfn.LAMBDA(_xlfn.MAKEARRAY(9, 4, _xlfn.LAMBDA(_xlpm.r,_xlpm.c, INDEX({"Breed","Season","Feed adjustment (MCjk=1,3,6)","Milk intake / production (DMPjk=5)";"Hereford or Shorthorn breeds","Spring",1.3,6;"Hereford or Shorthorn breeds","Summer",1.1,4;"Hereford or Shorthorn breeds","Autumn",0,0;"Hereford or Shorthorn breeds","Winter",0,0;"Northern Brahman cross breed","Spring",0,0;"Northern Brahman cross breed","Summer",1.3,4;"Northern Brahman cross breed","Autumn",1.1,3;"Northern Brahman cross breed","Winter",0,0}, _xlpm.r, _xlpm.c))))</definedName>
    <definedName name="SourceData_PastureBeef.SourceData_PastureBeef_FeedAdjustmentAndMilkProduction_Source">_xlfn.LAMBDA("VEERG 2026: Table A.1.2.7")</definedName>
    <definedName name="SourceData_PastureBeef.SourceData_PastureBeef_FeedAdjustmentAndMilkProduction_Title">_xlfn.LAMBDA("Beef pasture cattle - Feed intake adjustment and milk production (kg/head/day)")</definedName>
    <definedName name="SourceData_PastureBeef.SourceData_PastureBeef_FeedAdjustmentAndMilkProduction_Unit">_xlfn.LAMBDA("")</definedName>
    <definedName name="SourceData_PastureBeef.SourceData_PastureBeef_FeedAdjustmentAndMilkProduction_Variable">_xlfn.LAMBDA("MCjk=1,3,6; DMPjk=5")</definedName>
    <definedName name="SourceData_PastureBeef.SourceData_PastureBeef_FeedAdjustmentAndMilkProduction_Variation">_xlfn.LAMBDA("")</definedName>
    <definedName name="SourceData_PastureBeef.SourceData_PastureBeef_FracGASMSoil_Data">_xlfn.LAMBDA(0.21)</definedName>
    <definedName name="SourceData_PastureBeef.SourceData_PastureBeef_FracGASMSoil_Source">_xlfn.LAMBDA("VEERG 2026: 4.2.2.3 CONSTANTS")</definedName>
    <definedName name="SourceData_PastureBeef.SourceData_PastureBeef_FracGASMSoil_Title">_xlfn.LAMBDA("Fraction of nitrogen volatilised from urine and faeces deposited on pasture")</definedName>
    <definedName name="SourceData_PastureBeef.SourceData_PastureBeef_FracGASMSoil_Unit">_xlfn.LAMBDA("fraction")</definedName>
    <definedName name="SourceData_PastureBeef.SourceData_PastureBeef_FracGASMSoil_Variable">_xlfn.LAMBDA("FracGASMSoil")</definedName>
    <definedName name="SourceData_PastureBeef.SourceData_PastureBeef_FracGASMSoil_Variation">_xlfn.LAMBDA("")</definedName>
    <definedName name="SourceData_PastureBeef.SourceData_PastureBeef_FracLEACH_Data">_xlfn.LAMBDA(0.24)</definedName>
    <definedName name="SourceData_PastureBeef.SourceData_PastureBeef_FracLEACH_Source">_xlfn.LAMBDA("VEERG 2026: 4.2.2.3 CONSTANTS")</definedName>
    <definedName name="SourceData_PastureBeef.SourceData_PastureBeef_FracLEACH_Title">_xlfn.LAMBDA("Default fraction of N that is lost through leaching and runoff")</definedName>
    <definedName name="SourceData_PastureBeef.SourceData_PastureBeef_FracLEACH_Unit">_xlfn.LAMBDA("fraction")</definedName>
    <definedName name="SourceData_PastureBeef.SourceData_PastureBeef_FracLEACH_Variable">_xlfn.LAMBDA("FracLEACH")</definedName>
    <definedName name="SourceData_PastureBeef.SourceData_PastureBeef_FracLEACH_Variation">_xlfn.LAMBDA("")</definedName>
    <definedName name="SourceData_PastureBeef.SourceData_PastureBeef_FractionOfManureToMMS_Data">_xlfn.LAMBDA(_xlfn.MAKEARRAY(16, 4, _xlfn.LAMBDA(_xlpm.r,_xlpm.c, INDEX({"State","Region","Pasture range and paddock","Uncovered Anaerobic lagoon";"ACT","n/a",99.192,0.808;"NSW","n/a",99.452,0.548;"SA","n/a",99.759,0.241;"TAS","n/a",99.122,0.878;"VIC","n/a",98.894,1.106;"WA","South West",99.622,0.378;"WA","Pilbara",99.999,0.001;"WA","Kimberley",99.999,0.001;"NT","Alice Springs",99.999,0.001;"NT","Barkly",99.994,0.006;"NT","Northern",99.999,0.001;"QLD","High",99.773,0.227;"QLD","Moderate/High",99.898,0.102;"QLD","Moderate/Low",99.979,0.021;"QLD","Low",99.977,0.023}, _xlpm.r, _xlpm.c))))</definedName>
    <definedName name="SourceData_PastureBeef.SourceData_PastureBeef_FractionOfManureToMMS_Source">_xlfn.LAMBDA("VEERG 2026: Table A.1.2.9")</definedName>
    <definedName name="SourceData_PastureBeef.SourceData_PastureBeef_FractionOfManureToMMS_Title">_xlfn.LAMBDA("Beef pasture cattle - Fraction of manure to each manure management system (fraction) (MMSm)")</definedName>
    <definedName name="SourceData_PastureBeef.SourceData_PastureBeef_FractionOfManureToMMS_Unit">_xlfn.LAMBDA("fraction")</definedName>
    <definedName name="SourceData_PastureBeef.SourceData_PastureBeef_FractionOfManureToMMS_Variable">_xlfn.LAMBDA("MMSm")</definedName>
    <definedName name="SourceData_PastureBeef.SourceData_PastureBeef_FractionOfManureToMMS_Variation">_xlfn.LAMBDA("VARIATION ON SOURCE: Removed comma from 'Pasture range and paddock' to aid lookup")</definedName>
    <definedName name="SourceData_PastureBeef.SourceData_PastureBeef_Liveweight_Data">_xlfn.LAMBDA(_xlfn.MAKEARRAY(29, 10, _xlfn.LAMBDA(_xlpm.r,_xlpm.c, INDEX({"State","Region","Season","Bull &lt; 1","Bull &gt; 1","Cow &lt; 1","Cow 1-2","Cow &gt; 2","Steer &lt; 1","Steer &gt; 1";"ACT/NSW","n/a","Spring",80,480,75,300,440,75,380;"ACT/NSW","n/a","Summer",170,520,160,360,470,160,420;"ACT/NSW","n/a","Autumn",240,550,220,390,490,220,450;"ACT/NSW","n/a","Winter",280,560,260,410,500,260,460;"South Australia","n/a","Spring",250,800,220,400,500,230,420;"South Australia","n/a","Summer",320,800,280,420,500,290,420;"South Australia","n/a","Autumn",80,700,70,300,450,75,400;"South Australia","n/a","Winter",160,700,140,350,450,150,400;"Tasmania","n/a","Spring",105,700,85,300,490,90,480;"Tasmania","n/a","Summer",480,750,150,350,530,160,460;"Tasmania","n/a","Autumn",250,725,200,360,500,215,490;"Tasmania","n/a","Winter",260,700,210,380,460,230,470;"Victoria","n/a","Spring",250,820,240,410,560,240,510;"Victoria","n/a","Summer",280,850,260,440,550,270,520;"Victoria","n/a","Autumn",100,700,95,300,450,95,410;"Victoria","n/a","Winter",150,720,140,320,470,140,440;"Western Australia","South West","Spring",340,800,260,420,550,300,480;"Western Australia","South West","Summer",380,780,300,450,530,340,470;"Western Australia","South West","Autumn",100,680,80,320,480,100,340;"Western Australia","South West","Winter",190,700,150,330,490,170,360;"Western Australia","Pilbara","Spring",80,450,70,260,340,80,370;"Western Australia","Pilbara","Summer",150,500,140,310,360,150,400;"Western Australia","Pilbara","Autumn",230,550,220,330,380,230,420;"Western Australia","Pilbara","Winter",250,500,240,340,360,250,390;"Western Australia","Kimberley","Spring",220,500,180,300,320,210,340;"Western Australia","Kimberley","Summer",110,550,90,220,380,100,390;"Western Australia","Kimberley","Autumn",170,600,140,270,390,160,430;"Western Australia","Kimberley","Winter",200,550,150,280,350,190,400}, _xlpm.r, _xlpm.c))))</definedName>
    <definedName name="SourceData_PastureBeef.SourceData_PastureBeef_Liveweight_Source">_xlfn.LAMBDA("VEERG 2026: Table A.1.2.1")</definedName>
    <definedName name="SourceData_PastureBeef.SourceData_PastureBeef_Liveweight_Title">_xlfn.LAMBDA("Beef pasture cattle - Liveweight (kg) (Wjkl)")</definedName>
    <definedName name="SourceData_PastureBeef.SourceData_PastureBeef_Liveweight_Unit">_xlfn.LAMBDA("kg")</definedName>
    <definedName name="SourceData_PastureBeef.SourceData_PastureBeef_Liveweight_Variable">_xlfn.LAMBDA("Wjkl")</definedName>
    <definedName name="SourceData_PastureBeef.SourceData_PastureBeef_Liveweight_Variation">_xlfn.LAMBDA("")</definedName>
    <definedName name="SourceData_PastureBeef.SourceData_PastureBeef_LiveweightGain_Data">_xlfn.LAMBDA(
    _xlfn.MAKEARRAY(29, 10,
      _xlfn.LAMBDA(_xlpm.r,_xlpm.c,
        INDEX({"State","Region","Season","Bull &lt;1","Bull &gt;1","Cow &lt;1","Cow 1-2","Cow &gt;2","Steer &lt;1","Steer &gt;1";"ACT/NSW","n/a","Spring",0.5,0.2,0.5,0.4,0.3,0.5,0.4;"ACT/NSW","n/a","Summer",1,0.4,0.9,0.7,0.3,0.9,0.4;"ACT/NSW","n/a","Autumn",0.8,0.3,0.7,0.3,0.2,0.7,0.3;"ACT/NSW","n/a","Winter",0.4,0.1,0.4,0.2,0.1,0.4,0.1;"South Australia","n/a","Spring",0.99,1.1,0.88,0.55,0.55,0.88,0.22;"South Australia","n/a","Summer",0.77,0,0.66,0.22,0,0.66,0;"South Australia","n/a","Autumn",0.9,-1.1,0.7,0.22,-0.55,0.8,-0.22;"South Australia","n/a","Winter",0.88,0,0.77,0.55,0,0.82,0;"Tasmania","n/a","Spring",1,0.5,1,1,-0.44,1,0.5;"Tasmania","n/a","Summer",0.82,0.55,0.71,0.55,0.99,0.77,0.5;"Tasmania","n/a","Autumn",0.77,0.5,0.55,0.11,-0.33,0.6,0.33;"Tasmania","n/a","Winter",0.11,-0.27,0.11,0.22,-0.44,0.16,-0.22;"Victoria","n/a","Spring",1.1,1.1,1.1,0.99,0.99,1.1,0.77;"Victoria","n/a","Summer",0.33,0.33,0.22,0.33,-0.1,0.33,0.11;"Victoria","n/a","Autumn",0.5,0.2,0.55,0.44,0.2,0.55,0.2;"Victoria","n/a","Winter",0.55,0.22,0.49,0.22,0.22,0.49,0.33;"Western Australia","South West","Spring",1.64,1.1,1.21,0.99,0.66,1.42,1.1;"Western Australia","South West","Summer",0.44,-0.22,0.44,0.33,-0.22,0.44,-0.11;"Western Australia","South West","Autumn",0.6,0,0.6,0.22,-0.55,0.6,0;"Western Australia","South West","Winter",0.99,0.22,0.77,0.11,0.11,0.77,0.44;"Western Australia","Pilbara","Spring",0.7,-0.55,0.7,0.22,-0.22,0.7,-0.22;"Western Australia","Pilbara","Summer",0.77,0.55,0.77,0.66,0.55,0.77,0.33;"Western Australia","Pilbara","Autumn",0.88,0.55,0.88,0.22,0.22,0.88,0.22;"Western Australia","Pilbara","Winter",0.22,-0.55,0.22,0.11,-0.22,0.22,-0.33;"Western Australia","Kimberley","Spring",0.22,-0.55,0.33,0.22,-0.33,0.22,-0.55;"Western Australia","Kimberley","Summer",0.8,0.55,0.7,0.44,0.66,0.8,0.55;"Western Australia","Kimberley","Autumn",0.66,0.55,0.55,0.55,0.11,0.66,0.55;"Western Australia","Kimberley","Winter",0.33,-0.55,0.11,0.11,-0.44,0.33,-0.55}, _xlpm.r, _xlpm.c)
      )
    )
  )</definedName>
    <definedName name="SourceData_PastureBeef.SourceData_PastureBeef_LiveweightGain_Source">_xlfn.LAMBDA("VEERG 2026: Table A.1.2.3")</definedName>
    <definedName name="SourceData_PastureBeef.SourceData_PastureBeef_LiveweightGain_Title">_xlfn.LAMBDA("Beef pasture cattle - Liveweight gain (kg) (LWGjkl)")</definedName>
    <definedName name="SourceData_PastureBeef.SourceData_PastureBeef_LiveweightGain_Unit">_xlfn.LAMBDA("kg")</definedName>
    <definedName name="SourceData_PastureBeef.SourceData_PastureBeef_LiveweightGain_Variable">_xlfn.LAMBDA("LWGjkl")</definedName>
    <definedName name="SourceData_PastureBeef.SourceData_PastureBeef_LiveweightGain_Variation">_xlfn.LAMBDA("VARIATION ON SOURCE: Replaced 'n/a' with 'South West' for first four rows of Western Australia to be consistent with table A.1.2.1")</definedName>
    <definedName name="SourceData_PastureBeef.SourceData_PastureBeef_LiveweightGainNTQLD_Data">_xlfn.LAMBDA(
    _xlfn.MAKEARRAY(29, 13,
      _xlfn.LAMBDA(_xlpm.r,_xlpm.c,
        INDEX({"State","Region","Season","Bull &lt;1","Bull &gt;1","Cow &lt;1","Cow 1-2","Cow 2-3","Cow &gt;3","Steer &lt;1","Steer 1-2","Steer 2-3","Steer &gt;3";"Northern Territory","Alice Springs","Spring",0.22,-0.23,0.25,0.17,0.18,-0.28,0.32,0.24,0.25,-0.05;"Northern Territory","Alice Springs","Summer",0.66,0.2,0.62,0.54,0.38,0.27,0.75,0.64,0.55,0.48;"Northern Territory","Alice Springs","Autumn",0.49,0.13,0.54,0.45,0.35,0.15,0.63,0.54,0.42,0.26;"Northern Territory","Alice Springs","Winter",0.27,-0.8,0.22,0.09,0.12,0.02,0.25,0.18,0.12,0.03;"Northern Territory","Barkly","Spring",0.22,-0.44,0.2,0.21,0.18,0.01,0.12,0.09,"NO","NO";"Northern Territory","Barkly","Summer",0.66,0.22,0.68,0.22,0.24,0.25,0.64,0.37,"NO","NO";"Northern Territory","Barkly","Autumn",0.49,0.05,0.64,0.25,0.29,0.12,0.57,0.49,"NO","NO";"Northern Territory","Barkly","Winter",0.27,-0.27,0.31,0.29,0.19,0.04,0.26,0.28,"NO","NO";"Northern Territory","Northern","Spring",0.22,-0.44,0,0.15,0.08,0.17,0.06,0.02,-0.14,"NO";"Northern Territory","Northern","Summer",0.66,0.22,0.79,0.4,0.38,0.27,0.8,0.16,0.3,"NO";"Northern Territory","Northern","Autumn",0.49,0.05,0.55,0.38,0.36,0.06,0.58,0.23,0.4,"NO";"Northern Territory","Northern","Winter",0.27,-0.27,0.02,0.09,0.16,-0.04,0.21,0.03,0.11,"NO";"Queensland","High","Spring",0.27,-0.19,0.38,0.25,0.07,0.05,0.52,0.55,0.19,0.6;"Queensland","High","Summer",0.16,0.16,0.8,0.57,0.76,0.49,0.84,0.51,0.36,0.17;"Queensland","High","Autumn",0.45,0.1,0.49,0.41,0.4,0.17,0.54,0.64,-0.05,0.32;"Queensland","High","Winter",0.51,-0.07,0.13,-0.09,-0.13,0.07,0.25,0.71,0.17,0.43;"Queensland","Moderate/High","Spring",-0.12,-0.19,0.41,0.09,0.41,-0.19,0.07,1.07,-0.08,0;"Queensland","Moderate/High","Summer",0.65,0.19,0.65,0.51,0.18,0.63,1.3,0.48,1.12,0.38;"Queensland","Moderate/High","Autumn",0.7,0.13,0.52,0.34,0.02,0.04,0.77,0.42,0.12,0.74;"Queensland","Moderate/High","Winter",0.32,-0.06,0.25,0.19,-0.1,-0.02,0.02,0.23,-0.13,0;"Queensland","Moderate/Low","Spring",0.62,-0.19,0.37,0.41,0.06,-0.02,0.47,0.44,0.3,0.13;"Queensland","Moderate/Low","Summer",0.05,0.19,0.31,0.54,0.53,0.15,0.28,0.57,0.42,0.4;"Queensland","Moderate/Low","Autumn",0.33,0.13,0.39,0.36,0.26,0.11,0.4,0.44,0.37,-0.01;"Queensland","Moderate/Low","Winter",0.61,-0.06,0.21,0.18,0.12,0.06,0.29,0.41,0.41,-0.15;"Queensland","Low","Spring",-0.2,0.02,0.24,0.3,0.23,-0.05,0.34,0.3,0.57,0.52;"Queensland","Low","Summer",0.62,0.21,0.25,0.32,0.47,0.31,0.14,0.4,0.26,0.43;"Queensland","Low","Autumn",0.4,0.13,0.12,0.27,0.3,0.08,0.13,0.24,0.15,0.21;"Queensland","Low","Winter",0.08,0.04,0.06,0.18,0.11,-0.07,0.13,0.16,0.4,0.33}, _xlpm.r, _xlpm.c)
      )
    )
  )</definedName>
    <definedName name="SourceData_PastureBeef.SourceData_PastureBeef_LiveweightGainNTQLD_Source">_xlfn.LAMBDA("VEERG 2026: Table A.1.2.4")</definedName>
    <definedName name="SourceData_PastureBeef.SourceData_PastureBeef_LiveweightGainNTQLD_Title">_xlfn.LAMBDA("Beef pasture cattle - Liveweight gain (kg) (LWGjkl) for NT and QLD")</definedName>
    <definedName name="SourceData_PastureBeef.SourceData_PastureBeef_LiveweightGainNTQLD_Unit">_xlfn.LAMBDA("kg")</definedName>
    <definedName name="SourceData_PastureBeef.SourceData_PastureBeef_LiveweightGainNTQLD_Variable">_xlfn.LAMBDA("LWGjkl")</definedName>
    <definedName name="SourceData_PastureBeef.SourceData_PastureBeef_LiveweightGainNTQLD_Variation">_xlfn.LAMBDA("")</definedName>
    <definedName name="SourceData_PastureBeef.SourceData_PastureBeef_LiveweightNTQLD_Data">_xlfn.LAMBDA(_xlfn.MAKEARRAY(29, 13, _xlfn.LAMBDA(_xlpm.r,_xlpm.c, INDEX({"State","Region","Season","Bull &lt;1","Bull &gt;1","Cows &lt;1","Cows 1-2","Cows 2-3","Cows &gt;3","Steer &lt;1","Steer 1-2","Steer 2-3","Steer &gt;3";"Northern Territory","Alice Springs","Spring",220,706,208,323,415,467,223,371,493,585;"Northern Territory","Alice Springs","Summer",110,703,112,256,368,465,108,280,421,543;"Northern Territory","Alice Springs","Autumn",170,721,169,306,392,464,176,339,470,580;"Northern Territory","Alice Springs","Winter",200,727,211,338,432,492,222,377,498,590;"Northern Territory","Barkly","Spring",220,620,227,319,398,452,216,334,"NO","NO";"Northern Territory","Barkly","Summer",110,650,108,262,346,430,111,236,"NO","NO";"Northern Territory","Barkly","Autumn",170,670,170,266,363,444,169,282,"NO","NO";"Northern Territory","Barkly","Winter",200,660,225,307,398,452,214,326,"NO","NO";"Northern Territory","Northern","Spring",220,620,177,267,365,406,231,249,324,"NO";"Northern Territory","Northern","Summer",110,650,102,203,299,380,102,218,263,"NO";"Northern Territory","Northern","Autumn",170,670,173,250,336,414,175,243,304,"NO";"Northern Territory","Northern","Winter",200,660,202,272,365,390,208,260,337,"NO";"Queensland","High","Spring",260,705,215,302,416,519,234,455,551,660;"Queensland","High","Summer",153,703,118,277,397,483,111,304,521,547;"Queensland","High","Autumn",168,718,191,319,440,506,188,326,520,582;"Queensland","High","Winter",235,722,207,352,470,514,209,421,512,605;"Queensland","Moderate/High","Spring",230,674,217,344,357,467,242,370,550,620;"Queensland","Moderate/High","Summer",113,669,113,283,361,477,120,273,545,553;"Queensland","Moderate/High","Autumn",172,685,172,309,376,471,238,329,573,620;"Queensland","Moderate/High","Winter",241,692,208,344,364,484,260,350,567,620;"Queensland","Moderate/Low","Spring",236,674,178,310,428,466,193,370,519,565;"Queensland","Moderate/Low","Summer",120,669,112,250,390,448,115,273,433,556;"Queensland","Moderate/Low","Autumn",125,685,140,277,407,455,141,296,445,593;"Queensland","Moderate/Low","Winter",180,692,183,316,438,468,189,354,500,553;"Queensland","Low","Spring",190,617,174,265,371,415,170,272,392,531;"Queensland","Low","Summer",119,591,140,205,310,405,133,218,315,445;"Queensland","Low","Autumn",175,610,163,232,351,427,146,242,320,471;"Queensland","Low","Winter",192,615,162,255,364,420,157,261,342,484}, _xlpm.r, _xlpm.c))))</definedName>
    <definedName name="SourceData_PastureBeef.SourceData_PastureBeef_LiveweightNTQLD_Source">_xlfn.LAMBDA("VEERG 2026: Table A.1.2.2")</definedName>
    <definedName name="SourceData_PastureBeef.SourceData_PastureBeef_LiveweightNTQLD_Title">_xlfn.LAMBDA("Beef pasture cattle - Liveweight (kg) (Wjkl) for NT and QLD")</definedName>
    <definedName name="SourceData_PastureBeef.SourceData_PastureBeef_LiveweightNTQLD_Unit">_xlfn.LAMBDA("kg")</definedName>
    <definedName name="SourceData_PastureBeef.SourceData_PastureBeef_LiveweightNTQLD_Variable">_xlfn.LAMBDA("Wjkl")</definedName>
    <definedName name="SourceData_PastureBeef.SourceData_PastureBeef_LiveweightNTQLD_Variation">_xlfn.LAMBDA("")</definedName>
    <definedName name="SourceData_PastureBeef.SourceData_PastureBeef_MethaneConversionFactorPerRegion_Data">_xlfn.LAMBDA(_xlfn.MAKEARRAY(16, 4, _xlfn.LAMBDA(_xlpm.r,_xlpm.c, INDEX({"State","Region","Pasture range and paddock","Uncovered Anaerobic lagoon";"ACT","n/a",0.0047,0.71;"NSW","n/a",0.0047,0.75;"SA","n/a",0.0047,0.74;"TAS","n/a",0.0047,0.7;"VIC","n/a",0.0047,0.74;"WA","South West",0.0047,0.76;"WA","Pilbara",0.0047,0.76;"WA","Kimberley",0.0047,0.76;"NT","Alice Springs",0.0047,0.8;"NT","Barkly",0.0047,0.8;"NT","Northern",0.0047,0.8;"QLD","High",0.0047,0.78;"QLD","Moderate/High",0.0047,0.78;"QLD","Moderate/Low",0.0047,0.78;"QLD","Low",0.0047,0.78}, _xlpm.r, _xlpm.c))))</definedName>
    <definedName name="SourceData_PastureBeef.SourceData_PastureBeef_MethaneConversionFactorPerRegion_Source">_xlfn.LAMBDA("VEERG 2026: Table A.1.2.10")</definedName>
    <definedName name="SourceData_PastureBeef.SourceData_PastureBeef_MethaneConversionFactorPerRegion_Title">_xlfn.LAMBDA("Beef pasture cattle - Methane conversion factor per region (fraction) (MCFim)")</definedName>
    <definedName name="SourceData_PastureBeef.SourceData_PastureBeef_MethaneConversionFactorPerRegion_Unit">_xlfn.LAMBDA("fraction")</definedName>
    <definedName name="SourceData_PastureBeef.SourceData_PastureBeef_MethaneConversionFactorPerRegion_Variable">_xlfn.LAMBDA("MCFim")</definedName>
    <definedName name="SourceData_PastureBeef.SourceData_PastureBeef_MethaneConversionFactorPerRegion_Variation">_xlfn.LAMBDA("VARIATION ON SOURCE: Removed comma from 'Pasture range and paddock' to aid lookup")</definedName>
    <definedName name="SourceData_PastureBeef.SourceData_PastureBeef_MethaneEmissionsPotential_Data">_xlfn.LAMBDA(0.19)</definedName>
    <definedName name="SourceData_PastureBeef.SourceData_PastureBeef_MethaneEmissionsPotential_Source">_xlfn.LAMBDA("VEERG 2026: 4.2.2.3 CONSTANTS")</definedName>
    <definedName name="SourceData_PastureBeef.SourceData_PastureBeef_MethaneEmissionsPotential_Title">_xlfn.LAMBDA("Methane emissions potential")</definedName>
    <definedName name="SourceData_PastureBeef.SourceData_PastureBeef_MethaneEmissionsPotential_Unit">_xlfn.LAMBDA("m3 CH4 / kg VS")</definedName>
    <definedName name="SourceData_PastureBeef.SourceData_PastureBeef_MethaneEmissionsPotential_Variable">_xlfn.LAMBDA("B0")</definedName>
    <definedName name="SourceData_PastureBeef.SourceData_PastureBeef_MethaneEmissionsPotential_Variation">_xlfn.LAMBDA("")</definedName>
    <definedName name="SourceData_PastureBeef.SourceData_PastureBeef_StandardReferenceWeights_Data">_xlfn.LAMBDA(_xlfn.MAKEARRAY(9, 9, _xlfn.LAMBDA(_xlpm.r,_xlpm.c, INDEX({"State","Bulls &lt;1","Bulls &gt;1","Cows &lt;1","Cows 1-2","Cows &gt;2","Steer &lt;1","Steer &gt;1","State abbreviation";"ACT",700,700,500,500,500,600,600,"ACT";"NSW",700,700,500,500,500,600,600,"NSW";"Northern Territory",770,770,550,550,550,660,660,"NT";"Queensland",770,770,550,550,550,660,660,"QLD";"South Australia",770,770,550,550,550,660,660,"SA";"Tasmania",770,770,550,550,550,660,660,"TAS";"Victoria",770,770,550,550,550,660,660,"VIC";"Western Australia",770,770,550,550,550,660,660,"WA"}, _xlpm.r, _xlpm.c))))</definedName>
    <definedName name="SourceData_PastureBeef.SourceData_PastureBeef_StandardReferenceWeights_Source">_xlfn.LAMBDA("VEERG 2026: Table A.1.2.8")</definedName>
    <definedName name="SourceData_PastureBeef.SourceData_PastureBeef_StandardReferenceWeights_Title">_xlfn.LAMBDA("Beef pasture cattle - Standard reference weights (kg) (SRWk)")</definedName>
    <definedName name="SourceData_PastureBeef.SourceData_PastureBeef_StandardReferenceWeights_Unit">_xlfn.LAMBDA("kg")</definedName>
    <definedName name="SourceData_PastureBeef.SourceData_PastureBeef_StandardReferenceWeights_Variable">_xlfn.LAMBDA("SRWk")</definedName>
    <definedName name="SourceData_PastureBeef.SourceData_PastureBeef_StandardReferenceWeights_Variation">_xlfn.LAMBDA("VARIATION ON SOURCE: Split ACT and NSW into separate rows. Added 'State abbreviation' column to aid lookup.")</definedName>
    <definedName name="SourceData_PastureBeef_AshContentOfFeedIntake_Data">'Constants - Pasture Beef'!$D$422</definedName>
    <definedName name="SourceData_PastureBeef_FracGASMSoil_Data">'Constants - Pasture Beef'!$D$434</definedName>
    <definedName name="SourceData_PastureBeef_FracLEACH_Data">'Constants - Pasture Beef'!$D$440</definedName>
    <definedName name="SourceData_PastureBeef_MethaneEmissionsPotential_Data">'Constants - Pasture Beef'!$D$428</definedName>
    <definedName name="VEERG_3_2_1_1__1_TotalAnnualMethaneFromEntericFermentation_Result_Method1">'3.2.1.1-2 Enteric Methane'!$E$128</definedName>
    <definedName name="VEERG_3_2_1_1__1_TotalAnnualMethaneFromEntericFermentation_Result_Method2">'3.2.1.1-2 Enteric Methane'!$V$162</definedName>
    <definedName name="X_Cell_PastureBeef_Breed">'Input - Pasture Beef'!$E$9</definedName>
    <definedName name="X_Cell_PastureBeef_FencedWater">'Input - Pasture Beef'!$E$149</definedName>
    <definedName name="X_Cell_PastureBeef_GrazingIrrigationMethod">'Input - Pasture Beef'!$E$157</definedName>
    <definedName name="X_Cell_PastureBeef_GrazingProductionSystem">'Input - Pasture Beef'!$E$156</definedName>
    <definedName name="X_Cell_PastureBeef_ProductionRegion">'Input - Pasture Beef'!$E$8</definedName>
    <definedName name="X_Cell_Site_FarmName">'Input - Site'!$E$7</definedName>
    <definedName name="X_Cell_Site_ReportingEntityName">'Input - Site'!$E$8</definedName>
    <definedName name="X_Cell_Site_StartDate">'Input - Site'!$E$12</definedName>
    <definedName name="X_Cell_Site_State">'Input - Site'!$E$21</definedName>
    <definedName name="X_Table_PastureBeef_CrudeProtein_Method1">'Input - Pasture Beef'!$D$126:$N$130</definedName>
    <definedName name="X_Table_PastureBeef_CrudeProtein_Method2">'Input - Pasture Beef'!$D$132:$N$144</definedName>
    <definedName name="X_Table_PastureBeef_DryMatterDigestibility_Method1">'Input - Pasture Beef'!$D$104:$N$108</definedName>
    <definedName name="X_Table_PastureBeef_DryMatterDigestibility_Method2">'Input - Pasture Beef'!$D$110:$N$122</definedName>
    <definedName name="X_Table_PastureBeef_Duration_Method1">'Input - Pasture Beef'!$D$16:$N$20</definedName>
    <definedName name="X_Table_PastureBeef_Duration_Method2">'Input - Pasture Beef'!$D$22:$N$34</definedName>
    <definedName name="X_Table_PastureBeef_Head_Method1">'Input - Pasture Beef'!$D$38:$N$42</definedName>
    <definedName name="X_Table_PastureBeef_Head_Method2">'Input - Pasture Beef'!$D$44:$N$56</definedName>
    <definedName name="X_Table_PastureBeef_Liveweight_Method1">'Input - Pasture Beef'!$D$60:$N$64</definedName>
    <definedName name="X_Table_PastureBeef_Liveweight_Method2">'Input - Pasture Beef'!$D$66:$N$78</definedName>
    <definedName name="X_Table_PastureBeef_LiveweightGain_Method1">'Input - Pasture Beef'!$D$82:$N$86</definedName>
    <definedName name="X_Table_PastureBeef_LiveweightGain_Method2">'Input - Pasture Beef'!$D$88:$N$100</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8" i="72" l="1"/>
  <c r="A7" i="72"/>
  <c r="A3" i="72"/>
  <c r="D9" i="79"/>
  <c r="D8" i="79"/>
  <c r="X165" i="69"/>
  <c r="G131" i="69"/>
  <c r="E153" i="70"/>
  <c r="E152" i="70"/>
  <c r="N144" i="70"/>
  <c r="M144" i="70"/>
  <c r="L144" i="70"/>
  <c r="K144" i="70"/>
  <c r="J144" i="70"/>
  <c r="I144" i="70"/>
  <c r="H144" i="70"/>
  <c r="G144" i="70"/>
  <c r="F144" i="70"/>
  <c r="E144" i="70"/>
  <c r="N143" i="70"/>
  <c r="M143" i="70"/>
  <c r="L143" i="70"/>
  <c r="K143" i="70"/>
  <c r="J143" i="70"/>
  <c r="I143" i="70"/>
  <c r="H143" i="70"/>
  <c r="G143" i="70"/>
  <c r="F143" i="70"/>
  <c r="E143" i="70"/>
  <c r="N142" i="70"/>
  <c r="M142" i="70"/>
  <c r="L142" i="70"/>
  <c r="K142" i="70"/>
  <c r="J142" i="70"/>
  <c r="I142" i="70"/>
  <c r="H142" i="70"/>
  <c r="G142" i="70"/>
  <c r="F142" i="70"/>
  <c r="E142" i="70"/>
  <c r="N141" i="70"/>
  <c r="M141" i="70"/>
  <c r="L141" i="70"/>
  <c r="K141" i="70"/>
  <c r="J141" i="70"/>
  <c r="I141" i="70"/>
  <c r="H141" i="70"/>
  <c r="G141" i="70"/>
  <c r="F141" i="70"/>
  <c r="E141" i="70"/>
  <c r="N140" i="70"/>
  <c r="M140" i="70"/>
  <c r="L140" i="70"/>
  <c r="K140" i="70"/>
  <c r="J140" i="70"/>
  <c r="I140" i="70"/>
  <c r="H140" i="70"/>
  <c r="G140" i="70"/>
  <c r="F140" i="70"/>
  <c r="E140" i="70"/>
  <c r="N139" i="70"/>
  <c r="M139" i="70"/>
  <c r="L139" i="70"/>
  <c r="K139" i="70"/>
  <c r="J139" i="70"/>
  <c r="I139" i="70"/>
  <c r="H139" i="70"/>
  <c r="G139" i="70"/>
  <c r="F139" i="70"/>
  <c r="E139" i="70"/>
  <c r="N138" i="70"/>
  <c r="M138" i="70"/>
  <c r="L138" i="70"/>
  <c r="K138" i="70"/>
  <c r="J138" i="70"/>
  <c r="I138" i="70"/>
  <c r="H138" i="70"/>
  <c r="G138" i="70"/>
  <c r="F138" i="70"/>
  <c r="E138" i="70"/>
  <c r="N137" i="70"/>
  <c r="M137" i="70"/>
  <c r="L137" i="70"/>
  <c r="K137" i="70"/>
  <c r="J137" i="70"/>
  <c r="I137" i="70"/>
  <c r="H137" i="70"/>
  <c r="G137" i="70"/>
  <c r="F137" i="70"/>
  <c r="E137" i="70"/>
  <c r="N136" i="70"/>
  <c r="M136" i="70"/>
  <c r="L136" i="70"/>
  <c r="K136" i="70"/>
  <c r="J136" i="70"/>
  <c r="I136" i="70"/>
  <c r="H136" i="70"/>
  <c r="G136" i="70"/>
  <c r="F136" i="70"/>
  <c r="E136" i="70"/>
  <c r="N135" i="70"/>
  <c r="M135" i="70"/>
  <c r="L135" i="70"/>
  <c r="K135" i="70"/>
  <c r="J135" i="70"/>
  <c r="I135" i="70"/>
  <c r="H135" i="70"/>
  <c r="G135" i="70"/>
  <c r="F135" i="70"/>
  <c r="E135" i="70"/>
  <c r="N134" i="70"/>
  <c r="M134" i="70"/>
  <c r="L134" i="70"/>
  <c r="K134" i="70"/>
  <c r="J134" i="70"/>
  <c r="I134" i="70"/>
  <c r="H134" i="70"/>
  <c r="G134" i="70"/>
  <c r="F134" i="70"/>
  <c r="E134" i="70"/>
  <c r="N133" i="70"/>
  <c r="M133" i="70"/>
  <c r="L133" i="70"/>
  <c r="K133" i="70"/>
  <c r="J133" i="70"/>
  <c r="I133" i="70"/>
  <c r="H133" i="70"/>
  <c r="G133" i="70"/>
  <c r="F133" i="70"/>
  <c r="E133" i="70"/>
  <c r="N130" i="70"/>
  <c r="M130" i="70"/>
  <c r="L130" i="70"/>
  <c r="K130" i="70"/>
  <c r="J130" i="70"/>
  <c r="I130" i="70"/>
  <c r="H130" i="70"/>
  <c r="G130" i="70"/>
  <c r="F130" i="70"/>
  <c r="E130" i="70"/>
  <c r="N129" i="70"/>
  <c r="M129" i="70"/>
  <c r="L129" i="70"/>
  <c r="K129" i="70"/>
  <c r="J129" i="70"/>
  <c r="I129" i="70"/>
  <c r="H129" i="70"/>
  <c r="G129" i="70"/>
  <c r="F129" i="70"/>
  <c r="E129" i="70"/>
  <c r="N128" i="70"/>
  <c r="M128" i="70"/>
  <c r="L128" i="70"/>
  <c r="K128" i="70"/>
  <c r="J128" i="70"/>
  <c r="I128" i="70"/>
  <c r="H128" i="70"/>
  <c r="G128" i="70"/>
  <c r="F128" i="70"/>
  <c r="E128" i="70"/>
  <c r="N127" i="70"/>
  <c r="M127" i="70"/>
  <c r="L127" i="70"/>
  <c r="K127" i="70"/>
  <c r="J127" i="70"/>
  <c r="I127" i="70"/>
  <c r="H127" i="70"/>
  <c r="G127" i="70"/>
  <c r="F127" i="70"/>
  <c r="E127" i="70"/>
  <c r="N122" i="70"/>
  <c r="M122" i="70"/>
  <c r="L122" i="70"/>
  <c r="K122" i="70"/>
  <c r="J122" i="70"/>
  <c r="I122" i="70"/>
  <c r="H122" i="70"/>
  <c r="G122" i="70"/>
  <c r="F122" i="70"/>
  <c r="E122" i="70"/>
  <c r="N121" i="70"/>
  <c r="M121" i="70"/>
  <c r="L121" i="70"/>
  <c r="K121" i="70"/>
  <c r="J121" i="70"/>
  <c r="I121" i="70"/>
  <c r="H121" i="70"/>
  <c r="G121" i="70"/>
  <c r="F121" i="70"/>
  <c r="E121" i="70"/>
  <c r="N120" i="70"/>
  <c r="M120" i="70"/>
  <c r="L120" i="70"/>
  <c r="K120" i="70"/>
  <c r="J120" i="70"/>
  <c r="I120" i="70"/>
  <c r="H120" i="70"/>
  <c r="G120" i="70"/>
  <c r="F120" i="70"/>
  <c r="E120" i="70"/>
  <c r="N119" i="70"/>
  <c r="M119" i="70"/>
  <c r="L119" i="70"/>
  <c r="K119" i="70"/>
  <c r="J119" i="70"/>
  <c r="I119" i="70"/>
  <c r="H119" i="70"/>
  <c r="G119" i="70"/>
  <c r="F119" i="70"/>
  <c r="E119" i="70"/>
  <c r="N118" i="70"/>
  <c r="M118" i="70"/>
  <c r="L118" i="70"/>
  <c r="K118" i="70"/>
  <c r="J118" i="70"/>
  <c r="I118" i="70"/>
  <c r="H118" i="70"/>
  <c r="G118" i="70"/>
  <c r="F118" i="70"/>
  <c r="E118" i="70"/>
  <c r="N117" i="70"/>
  <c r="M117" i="70"/>
  <c r="L117" i="70"/>
  <c r="K117" i="70"/>
  <c r="J117" i="70"/>
  <c r="I117" i="70"/>
  <c r="H117" i="70"/>
  <c r="G117" i="70"/>
  <c r="F117" i="70"/>
  <c r="E117" i="70"/>
  <c r="N116" i="70"/>
  <c r="M116" i="70"/>
  <c r="L116" i="70"/>
  <c r="K116" i="70"/>
  <c r="J116" i="70"/>
  <c r="I116" i="70"/>
  <c r="H116" i="70"/>
  <c r="G116" i="70"/>
  <c r="F116" i="70"/>
  <c r="E116" i="70"/>
  <c r="N115" i="70"/>
  <c r="M115" i="70"/>
  <c r="L115" i="70"/>
  <c r="K115" i="70"/>
  <c r="J115" i="70"/>
  <c r="I115" i="70"/>
  <c r="H115" i="70"/>
  <c r="G115" i="70"/>
  <c r="F115" i="70"/>
  <c r="E115" i="70"/>
  <c r="N114" i="70"/>
  <c r="M114" i="70"/>
  <c r="L114" i="70"/>
  <c r="K114" i="70"/>
  <c r="J114" i="70"/>
  <c r="I114" i="70"/>
  <c r="H114" i="70"/>
  <c r="G114" i="70"/>
  <c r="F114" i="70"/>
  <c r="E114" i="70"/>
  <c r="N113" i="70"/>
  <c r="M113" i="70"/>
  <c r="L113" i="70"/>
  <c r="K113" i="70"/>
  <c r="J113" i="70"/>
  <c r="I113" i="70"/>
  <c r="H113" i="70"/>
  <c r="G113" i="70"/>
  <c r="F113" i="70"/>
  <c r="E113" i="70"/>
  <c r="N112" i="70"/>
  <c r="M112" i="70"/>
  <c r="L112" i="70"/>
  <c r="K112" i="70"/>
  <c r="J112" i="70"/>
  <c r="I112" i="70"/>
  <c r="H112" i="70"/>
  <c r="G112" i="70"/>
  <c r="F112" i="70"/>
  <c r="E112" i="70"/>
  <c r="N111" i="70"/>
  <c r="M111" i="70"/>
  <c r="L111" i="70"/>
  <c r="K111" i="70"/>
  <c r="J111" i="70"/>
  <c r="I111" i="70"/>
  <c r="H111" i="70"/>
  <c r="G111" i="70"/>
  <c r="F111" i="70"/>
  <c r="E111" i="70"/>
  <c r="N108" i="70"/>
  <c r="M108" i="70"/>
  <c r="L108" i="70"/>
  <c r="K108" i="70"/>
  <c r="J108" i="70"/>
  <c r="I108" i="70"/>
  <c r="H108" i="70"/>
  <c r="G108" i="70"/>
  <c r="F108" i="70"/>
  <c r="E108" i="70"/>
  <c r="N107" i="70"/>
  <c r="M107" i="70"/>
  <c r="L107" i="70"/>
  <c r="K107" i="70"/>
  <c r="J107" i="70"/>
  <c r="I107" i="70"/>
  <c r="H107" i="70"/>
  <c r="G107" i="70"/>
  <c r="F107" i="70"/>
  <c r="E107" i="70"/>
  <c r="N106" i="70"/>
  <c r="M106" i="70"/>
  <c r="L106" i="70"/>
  <c r="K106" i="70"/>
  <c r="J106" i="70"/>
  <c r="I106" i="70"/>
  <c r="H106" i="70"/>
  <c r="G106" i="70"/>
  <c r="F106" i="70"/>
  <c r="E106" i="70"/>
  <c r="N105" i="70"/>
  <c r="M105" i="70"/>
  <c r="L105" i="70"/>
  <c r="K105" i="70"/>
  <c r="J105" i="70"/>
  <c r="I105" i="70"/>
  <c r="H105" i="70"/>
  <c r="G105" i="70"/>
  <c r="F105" i="70"/>
  <c r="E105" i="70"/>
  <c r="N100" i="70"/>
  <c r="M100" i="70"/>
  <c r="L100" i="70"/>
  <c r="K100" i="70"/>
  <c r="J100" i="70"/>
  <c r="I100" i="70"/>
  <c r="H100" i="70"/>
  <c r="G100" i="70"/>
  <c r="F100" i="70"/>
  <c r="E100" i="70"/>
  <c r="N99" i="70"/>
  <c r="M99" i="70"/>
  <c r="L99" i="70"/>
  <c r="K99" i="70"/>
  <c r="J99" i="70"/>
  <c r="I99" i="70"/>
  <c r="H99" i="70"/>
  <c r="G99" i="70"/>
  <c r="F99" i="70"/>
  <c r="E99" i="70"/>
  <c r="N98" i="70"/>
  <c r="M98" i="70"/>
  <c r="L98" i="70"/>
  <c r="K98" i="70"/>
  <c r="J98" i="70"/>
  <c r="I98" i="70"/>
  <c r="H98" i="70"/>
  <c r="G98" i="70"/>
  <c r="F98" i="70"/>
  <c r="E98" i="70"/>
  <c r="N97" i="70"/>
  <c r="M97" i="70"/>
  <c r="L97" i="70"/>
  <c r="K97" i="70"/>
  <c r="J97" i="70"/>
  <c r="I97" i="70"/>
  <c r="H97" i="70"/>
  <c r="G97" i="70"/>
  <c r="F97" i="70"/>
  <c r="E97" i="70"/>
  <c r="N96" i="70"/>
  <c r="M96" i="70"/>
  <c r="L96" i="70"/>
  <c r="K96" i="70"/>
  <c r="J96" i="70"/>
  <c r="I96" i="70"/>
  <c r="H96" i="70"/>
  <c r="G96" i="70"/>
  <c r="F96" i="70"/>
  <c r="E96" i="70"/>
  <c r="N95" i="70"/>
  <c r="M95" i="70"/>
  <c r="L95" i="70"/>
  <c r="K95" i="70"/>
  <c r="J95" i="70"/>
  <c r="I95" i="70"/>
  <c r="H95" i="70"/>
  <c r="G95" i="70"/>
  <c r="F95" i="70"/>
  <c r="E95" i="70"/>
  <c r="N94" i="70"/>
  <c r="M94" i="70"/>
  <c r="L94" i="70"/>
  <c r="K94" i="70"/>
  <c r="J94" i="70"/>
  <c r="I94" i="70"/>
  <c r="H94" i="70"/>
  <c r="G94" i="70"/>
  <c r="F94" i="70"/>
  <c r="E94" i="70"/>
  <c r="N93" i="70"/>
  <c r="M93" i="70"/>
  <c r="L93" i="70"/>
  <c r="K93" i="70"/>
  <c r="J93" i="70"/>
  <c r="I93" i="70"/>
  <c r="H93" i="70"/>
  <c r="G93" i="70"/>
  <c r="F93" i="70"/>
  <c r="E93" i="70"/>
  <c r="N92" i="70"/>
  <c r="M92" i="70"/>
  <c r="L92" i="70"/>
  <c r="K92" i="70"/>
  <c r="J92" i="70"/>
  <c r="I92" i="70"/>
  <c r="H92" i="70"/>
  <c r="G92" i="70"/>
  <c r="F92" i="70"/>
  <c r="E92" i="70"/>
  <c r="N91" i="70"/>
  <c r="M91" i="70"/>
  <c r="L91" i="70"/>
  <c r="K91" i="70"/>
  <c r="J91" i="70"/>
  <c r="I91" i="70"/>
  <c r="H91" i="70"/>
  <c r="G91" i="70"/>
  <c r="F91" i="70"/>
  <c r="E91" i="70"/>
  <c r="N90" i="70"/>
  <c r="M90" i="70"/>
  <c r="L90" i="70"/>
  <c r="K90" i="70"/>
  <c r="J90" i="70"/>
  <c r="I90" i="70"/>
  <c r="H90" i="70"/>
  <c r="G90" i="70"/>
  <c r="F90" i="70"/>
  <c r="E90" i="70"/>
  <c r="N89" i="70"/>
  <c r="M89" i="70"/>
  <c r="L89" i="70"/>
  <c r="K89" i="70"/>
  <c r="J89" i="70"/>
  <c r="I89" i="70"/>
  <c r="H89" i="70"/>
  <c r="G89" i="70"/>
  <c r="F89" i="70"/>
  <c r="E89" i="70"/>
  <c r="N86" i="70"/>
  <c r="M86" i="70"/>
  <c r="L86" i="70"/>
  <c r="K86" i="70"/>
  <c r="J86" i="70"/>
  <c r="I86" i="70"/>
  <c r="H86" i="70"/>
  <c r="G86" i="70"/>
  <c r="F86" i="70"/>
  <c r="E86" i="70"/>
  <c r="N85" i="70"/>
  <c r="M85" i="70"/>
  <c r="L85" i="70"/>
  <c r="K85" i="70"/>
  <c r="J85" i="70"/>
  <c r="I85" i="70"/>
  <c r="H85" i="70"/>
  <c r="G85" i="70"/>
  <c r="F85" i="70"/>
  <c r="E85" i="70"/>
  <c r="N84" i="70"/>
  <c r="M84" i="70"/>
  <c r="L84" i="70"/>
  <c r="K84" i="70"/>
  <c r="J84" i="70"/>
  <c r="I84" i="70"/>
  <c r="H84" i="70"/>
  <c r="G84" i="70"/>
  <c r="F84" i="70"/>
  <c r="E84" i="70"/>
  <c r="N83" i="70"/>
  <c r="M83" i="70"/>
  <c r="L83" i="70"/>
  <c r="K83" i="70"/>
  <c r="J83" i="70"/>
  <c r="I83" i="70"/>
  <c r="H83" i="70"/>
  <c r="G83" i="70"/>
  <c r="F83" i="70"/>
  <c r="E83" i="70"/>
  <c r="N78" i="70"/>
  <c r="M78" i="70"/>
  <c r="L78" i="70"/>
  <c r="K78" i="70"/>
  <c r="J78" i="70"/>
  <c r="I78" i="70"/>
  <c r="H78" i="70"/>
  <c r="G78" i="70"/>
  <c r="F78" i="70"/>
  <c r="E78" i="70"/>
  <c r="N77" i="70"/>
  <c r="M77" i="70"/>
  <c r="L77" i="70"/>
  <c r="K77" i="70"/>
  <c r="J77" i="70"/>
  <c r="I77" i="70"/>
  <c r="H77" i="70"/>
  <c r="G77" i="70"/>
  <c r="F77" i="70"/>
  <c r="E77" i="70"/>
  <c r="N76" i="70"/>
  <c r="M76" i="70"/>
  <c r="L76" i="70"/>
  <c r="K76" i="70"/>
  <c r="J76" i="70"/>
  <c r="I76" i="70"/>
  <c r="H76" i="70"/>
  <c r="G76" i="70"/>
  <c r="F76" i="70"/>
  <c r="E76" i="70"/>
  <c r="N75" i="70"/>
  <c r="M75" i="70"/>
  <c r="L75" i="70"/>
  <c r="K75" i="70"/>
  <c r="J75" i="70"/>
  <c r="I75" i="70"/>
  <c r="H75" i="70"/>
  <c r="G75" i="70"/>
  <c r="F75" i="70"/>
  <c r="E75" i="70"/>
  <c r="N74" i="70"/>
  <c r="M74" i="70"/>
  <c r="L74" i="70"/>
  <c r="K74" i="70"/>
  <c r="J74" i="70"/>
  <c r="I74" i="70"/>
  <c r="H74" i="70"/>
  <c r="G74" i="70"/>
  <c r="F74" i="70"/>
  <c r="E74" i="70"/>
  <c r="N73" i="70"/>
  <c r="M73" i="70"/>
  <c r="L73" i="70"/>
  <c r="K73" i="70"/>
  <c r="J73" i="70"/>
  <c r="I73" i="70"/>
  <c r="H73" i="70"/>
  <c r="G73" i="70"/>
  <c r="F73" i="70"/>
  <c r="E73" i="70"/>
  <c r="N72" i="70"/>
  <c r="M72" i="70"/>
  <c r="L72" i="70"/>
  <c r="K72" i="70"/>
  <c r="J72" i="70"/>
  <c r="I72" i="70"/>
  <c r="H72" i="70"/>
  <c r="G72" i="70"/>
  <c r="F72" i="70"/>
  <c r="E72" i="70"/>
  <c r="N71" i="70"/>
  <c r="M71" i="70"/>
  <c r="L71" i="70"/>
  <c r="K71" i="70"/>
  <c r="J71" i="70"/>
  <c r="I71" i="70"/>
  <c r="H71" i="70"/>
  <c r="G71" i="70"/>
  <c r="F71" i="70"/>
  <c r="E71" i="70"/>
  <c r="N70" i="70"/>
  <c r="M70" i="70"/>
  <c r="L70" i="70"/>
  <c r="K70" i="70"/>
  <c r="J70" i="70"/>
  <c r="I70" i="70"/>
  <c r="H70" i="70"/>
  <c r="G70" i="70"/>
  <c r="F70" i="70"/>
  <c r="E70" i="70"/>
  <c r="N69" i="70"/>
  <c r="M69" i="70"/>
  <c r="L69" i="70"/>
  <c r="K69" i="70"/>
  <c r="J69" i="70"/>
  <c r="I69" i="70"/>
  <c r="H69" i="70"/>
  <c r="G69" i="70"/>
  <c r="F69" i="70"/>
  <c r="E69" i="70"/>
  <c r="N68" i="70"/>
  <c r="M68" i="70"/>
  <c r="L68" i="70"/>
  <c r="K68" i="70"/>
  <c r="J68" i="70"/>
  <c r="I68" i="70"/>
  <c r="H68" i="70"/>
  <c r="G68" i="70"/>
  <c r="F68" i="70"/>
  <c r="E68" i="70"/>
  <c r="N67" i="70"/>
  <c r="M67" i="70"/>
  <c r="L67" i="70"/>
  <c r="K67" i="70"/>
  <c r="J67" i="70"/>
  <c r="I67" i="70"/>
  <c r="H67" i="70"/>
  <c r="G67" i="70"/>
  <c r="F67" i="70"/>
  <c r="E67" i="70"/>
  <c r="N64" i="70"/>
  <c r="M64" i="70"/>
  <c r="L64" i="70"/>
  <c r="K64" i="70"/>
  <c r="J64" i="70"/>
  <c r="I64" i="70"/>
  <c r="H64" i="70"/>
  <c r="G64" i="70"/>
  <c r="F64" i="70"/>
  <c r="E64" i="70"/>
  <c r="N63" i="70"/>
  <c r="M63" i="70"/>
  <c r="L63" i="70"/>
  <c r="K63" i="70"/>
  <c r="J63" i="70"/>
  <c r="I63" i="70"/>
  <c r="H63" i="70"/>
  <c r="G63" i="70"/>
  <c r="F63" i="70"/>
  <c r="E63" i="70"/>
  <c r="N62" i="70"/>
  <c r="M62" i="70"/>
  <c r="L62" i="70"/>
  <c r="K62" i="70"/>
  <c r="J62" i="70"/>
  <c r="I62" i="70"/>
  <c r="H62" i="70"/>
  <c r="G62" i="70"/>
  <c r="F62" i="70"/>
  <c r="E62" i="70"/>
  <c r="N61" i="70"/>
  <c r="M61" i="70"/>
  <c r="L61" i="70"/>
  <c r="K61" i="70"/>
  <c r="J61" i="70"/>
  <c r="I61" i="70"/>
  <c r="H61" i="70"/>
  <c r="G61" i="70"/>
  <c r="F61" i="70"/>
  <c r="E61" i="70"/>
  <c r="E259" i="111" a="1"/>
  <c r="E259" i="111" s="1"/>
  <c r="D259" i="111" a="1"/>
  <c r="D259" i="111" s="1"/>
  <c r="E258" i="111" a="1"/>
  <c r="E258" i="111" s="1"/>
  <c r="D258" i="111" a="1"/>
  <c r="D258" i="111" s="1"/>
  <c r="D256" i="111" a="1"/>
  <c r="D256" i="111" s="1"/>
  <c r="D255" i="111" a="1"/>
  <c r="D255" i="111" s="1"/>
  <c r="D254" i="111" a="1"/>
  <c r="D254" i="111" s="1"/>
  <c r="D253" i="111" a="1"/>
  <c r="D253" i="111" s="1"/>
  <c r="S250" i="111" a="1"/>
  <c r="S250" i="111" s="1"/>
  <c r="R250" i="111" a="1"/>
  <c r="R250" i="111" s="1"/>
  <c r="Q250" i="111" a="1"/>
  <c r="Q250" i="111" s="1"/>
  <c r="P250" i="111" a="1"/>
  <c r="P250" i="111" s="1"/>
  <c r="O250" i="111" a="1"/>
  <c r="O250" i="111" s="1"/>
  <c r="N250" i="111" a="1"/>
  <c r="N250" i="111" s="1"/>
  <c r="M250" i="111" a="1"/>
  <c r="M250" i="111" s="1"/>
  <c r="L250" i="111" a="1"/>
  <c r="L250" i="111" s="1"/>
  <c r="K250" i="111" a="1"/>
  <c r="K250" i="111" s="1"/>
  <c r="J250" i="111" a="1"/>
  <c r="J250" i="111" s="1"/>
  <c r="I250" i="111" a="1"/>
  <c r="I250" i="111" s="1"/>
  <c r="H250" i="111" a="1"/>
  <c r="H250" i="111" s="1"/>
  <c r="G250" i="111" a="1"/>
  <c r="G250" i="111" s="1"/>
  <c r="F250" i="111" a="1"/>
  <c r="F250" i="111" s="1"/>
  <c r="E250" i="111" a="1"/>
  <c r="E250" i="111" s="1"/>
  <c r="D250" i="111" a="1"/>
  <c r="D250" i="111" s="1"/>
  <c r="S249" i="111" a="1"/>
  <c r="S249" i="111" s="1"/>
  <c r="R249" i="111" a="1"/>
  <c r="R249" i="111" s="1"/>
  <c r="Q249" i="111" a="1"/>
  <c r="Q249" i="111" s="1"/>
  <c r="P249" i="111" a="1"/>
  <c r="P249" i="111" s="1"/>
  <c r="O249" i="111" a="1"/>
  <c r="O249" i="111" s="1"/>
  <c r="N249" i="111" a="1"/>
  <c r="N249" i="111" s="1"/>
  <c r="M249" i="111" a="1"/>
  <c r="M249" i="111" s="1"/>
  <c r="L249" i="111" a="1"/>
  <c r="L249" i="111" s="1"/>
  <c r="K249" i="111" a="1"/>
  <c r="K249" i="111" s="1"/>
  <c r="J249" i="111" a="1"/>
  <c r="J249" i="111" s="1"/>
  <c r="I249" i="111" a="1"/>
  <c r="I249" i="111" s="1"/>
  <c r="H249" i="111" a="1"/>
  <c r="H249" i="111" s="1"/>
  <c r="G249" i="111" a="1"/>
  <c r="G249" i="111" s="1"/>
  <c r="F249" i="111" a="1"/>
  <c r="F249" i="111" s="1"/>
  <c r="E249" i="111" a="1"/>
  <c r="E249" i="111" s="1"/>
  <c r="D249" i="111" a="1"/>
  <c r="D249" i="111" s="1"/>
  <c r="S248" i="111" a="1"/>
  <c r="S248" i="111" s="1"/>
  <c r="R248" i="111" a="1"/>
  <c r="R248" i="111" s="1"/>
  <c r="Q248" i="111" a="1"/>
  <c r="Q248" i="111" s="1"/>
  <c r="P248" i="111" a="1"/>
  <c r="P248" i="111" s="1"/>
  <c r="O248" i="111" a="1"/>
  <c r="O248" i="111" s="1"/>
  <c r="N248" i="111" a="1"/>
  <c r="N248" i="111" s="1"/>
  <c r="M248" i="111" a="1"/>
  <c r="M248" i="111" s="1"/>
  <c r="L248" i="111" a="1"/>
  <c r="L248" i="111" s="1"/>
  <c r="K248" i="111" a="1"/>
  <c r="K248" i="111" s="1"/>
  <c r="J248" i="111" a="1"/>
  <c r="J248" i="111" s="1"/>
  <c r="I248" i="111" a="1"/>
  <c r="I248" i="111" s="1"/>
  <c r="H248" i="111" a="1"/>
  <c r="H248" i="111" s="1"/>
  <c r="G248" i="111" a="1"/>
  <c r="G248" i="111" s="1"/>
  <c r="F248" i="111" a="1"/>
  <c r="F248" i="111" s="1"/>
  <c r="E248" i="111" a="1"/>
  <c r="E248" i="111" s="1"/>
  <c r="D248" i="111" a="1"/>
  <c r="D248" i="111" s="1"/>
  <c r="S247" i="111" a="1"/>
  <c r="S247" i="111" s="1"/>
  <c r="R247" i="111" a="1"/>
  <c r="R247" i="111" s="1"/>
  <c r="Q247" i="111" a="1"/>
  <c r="Q247" i="111" s="1"/>
  <c r="P247" i="111" a="1"/>
  <c r="P247" i="111" s="1"/>
  <c r="O247" i="111" a="1"/>
  <c r="O247" i="111" s="1"/>
  <c r="N247" i="111" a="1"/>
  <c r="N247" i="111" s="1"/>
  <c r="M247" i="111" a="1"/>
  <c r="M247" i="111" s="1"/>
  <c r="L247" i="111" a="1"/>
  <c r="L247" i="111" s="1"/>
  <c r="K247" i="111" a="1"/>
  <c r="K247" i="111" s="1"/>
  <c r="J247" i="111" a="1"/>
  <c r="J247" i="111" s="1"/>
  <c r="I247" i="111" a="1"/>
  <c r="I247" i="111" s="1"/>
  <c r="H247" i="111" a="1"/>
  <c r="H247" i="111" s="1"/>
  <c r="G247" i="111" a="1"/>
  <c r="G247" i="111" s="1"/>
  <c r="F247" i="111" a="1"/>
  <c r="F247" i="111" s="1"/>
  <c r="E247" i="111" a="1"/>
  <c r="E247" i="111" s="1"/>
  <c r="D247" i="111" a="1"/>
  <c r="D247" i="111" s="1"/>
  <c r="S246" i="111" a="1"/>
  <c r="S246" i="111" s="1"/>
  <c r="R246" i="111" a="1"/>
  <c r="R246" i="111" s="1"/>
  <c r="Q246" i="111" a="1"/>
  <c r="Q246" i="111" s="1"/>
  <c r="P246" i="111" a="1"/>
  <c r="P246" i="111" s="1"/>
  <c r="O246" i="111" a="1"/>
  <c r="O246" i="111" s="1"/>
  <c r="N246" i="111" a="1"/>
  <c r="N246" i="111" s="1"/>
  <c r="M246" i="111" a="1"/>
  <c r="M246" i="111" s="1"/>
  <c r="L246" i="111" a="1"/>
  <c r="L246" i="111" s="1"/>
  <c r="K246" i="111" a="1"/>
  <c r="K246" i="111" s="1"/>
  <c r="J246" i="111" a="1"/>
  <c r="J246" i="111" s="1"/>
  <c r="I246" i="111" a="1"/>
  <c r="I246" i="111" s="1"/>
  <c r="H246" i="111" a="1"/>
  <c r="H246" i="111" s="1"/>
  <c r="G246" i="111" a="1"/>
  <c r="G246" i="111" s="1"/>
  <c r="F246" i="111" a="1"/>
  <c r="F246" i="111" s="1"/>
  <c r="E246" i="111" a="1"/>
  <c r="E246" i="111" s="1"/>
  <c r="D246" i="111" a="1"/>
  <c r="D246" i="111" s="1"/>
  <c r="S245" i="111" a="1"/>
  <c r="S245" i="111" s="1"/>
  <c r="R245" i="111" a="1"/>
  <c r="R245" i="111" s="1"/>
  <c r="Q245" i="111" a="1"/>
  <c r="Q245" i="111" s="1"/>
  <c r="P245" i="111" a="1"/>
  <c r="P245" i="111" s="1"/>
  <c r="O245" i="111" a="1"/>
  <c r="O245" i="111" s="1"/>
  <c r="N245" i="111" a="1"/>
  <c r="N245" i="111" s="1"/>
  <c r="M245" i="111" a="1"/>
  <c r="M245" i="111" s="1"/>
  <c r="L245" i="111" a="1"/>
  <c r="L245" i="111" s="1"/>
  <c r="K245" i="111" a="1"/>
  <c r="K245" i="111" s="1"/>
  <c r="J245" i="111" a="1"/>
  <c r="J245" i="111" s="1"/>
  <c r="I245" i="111" a="1"/>
  <c r="I245" i="111" s="1"/>
  <c r="H245" i="111" a="1"/>
  <c r="H245" i="111" s="1"/>
  <c r="G245" i="111" a="1"/>
  <c r="G245" i="111" s="1"/>
  <c r="F245" i="111" a="1"/>
  <c r="F245" i="111" s="1"/>
  <c r="E245" i="111" a="1"/>
  <c r="E245" i="111" s="1"/>
  <c r="D245" i="111" a="1"/>
  <c r="D245" i="111" s="1"/>
  <c r="S244" i="111" a="1"/>
  <c r="S244" i="111" s="1"/>
  <c r="R244" i="111" a="1"/>
  <c r="R244" i="111" s="1"/>
  <c r="Q244" i="111" a="1"/>
  <c r="Q244" i="111" s="1"/>
  <c r="P244" i="111" a="1"/>
  <c r="P244" i="111" s="1"/>
  <c r="O244" i="111" a="1"/>
  <c r="O244" i="111" s="1"/>
  <c r="N244" i="111" a="1"/>
  <c r="N244" i="111" s="1"/>
  <c r="M244" i="111" a="1"/>
  <c r="M244" i="111" s="1"/>
  <c r="L244" i="111" a="1"/>
  <c r="L244" i="111" s="1"/>
  <c r="K244" i="111" a="1"/>
  <c r="K244" i="111" s="1"/>
  <c r="J244" i="111" a="1"/>
  <c r="J244" i="111" s="1"/>
  <c r="I244" i="111" a="1"/>
  <c r="I244" i="111" s="1"/>
  <c r="H244" i="111" a="1"/>
  <c r="H244" i="111" s="1"/>
  <c r="G244" i="111" a="1"/>
  <c r="G244" i="111" s="1"/>
  <c r="F244" i="111" a="1"/>
  <c r="F244" i="111" s="1"/>
  <c r="E244" i="111" a="1"/>
  <c r="E244" i="111" s="1"/>
  <c r="D244" i="111" a="1"/>
  <c r="D244" i="111" s="1"/>
  <c r="S243" i="111" a="1"/>
  <c r="S243" i="111" s="1"/>
  <c r="R243" i="111" a="1"/>
  <c r="R243" i="111" s="1"/>
  <c r="Q243" i="111" a="1"/>
  <c r="Q243" i="111" s="1"/>
  <c r="P243" i="111" a="1"/>
  <c r="P243" i="111" s="1"/>
  <c r="O243" i="111" a="1"/>
  <c r="O243" i="111" s="1"/>
  <c r="N243" i="111" a="1"/>
  <c r="N243" i="111" s="1"/>
  <c r="M243" i="111" a="1"/>
  <c r="M243" i="111" s="1"/>
  <c r="L243" i="111" a="1"/>
  <c r="L243" i="111" s="1"/>
  <c r="K243" i="111" a="1"/>
  <c r="K243" i="111" s="1"/>
  <c r="J243" i="111" a="1"/>
  <c r="J243" i="111" s="1"/>
  <c r="I243" i="111" a="1"/>
  <c r="I243" i="111" s="1"/>
  <c r="H243" i="111" a="1"/>
  <c r="H243" i="111" s="1"/>
  <c r="G243" i="111" a="1"/>
  <c r="G243" i="111" s="1"/>
  <c r="F243" i="111" a="1"/>
  <c r="F243" i="111" s="1"/>
  <c r="E243" i="111" a="1"/>
  <c r="E243" i="111" s="1"/>
  <c r="D243" i="111" a="1"/>
  <c r="D243" i="111" s="1"/>
  <c r="S242" i="111" a="1"/>
  <c r="S242" i="111" s="1"/>
  <c r="R242" i="111" a="1"/>
  <c r="R242" i="111" s="1"/>
  <c r="Q242" i="111" a="1"/>
  <c r="Q242" i="111" s="1"/>
  <c r="P242" i="111" a="1"/>
  <c r="P242" i="111" s="1"/>
  <c r="O242" i="111" a="1"/>
  <c r="O242" i="111" s="1"/>
  <c r="N242" i="111" a="1"/>
  <c r="N242" i="111" s="1"/>
  <c r="M242" i="111" a="1"/>
  <c r="M242" i="111" s="1"/>
  <c r="L242" i="111" a="1"/>
  <c r="L242" i="111" s="1"/>
  <c r="K242" i="111" a="1"/>
  <c r="K242" i="111" s="1"/>
  <c r="J242" i="111" a="1"/>
  <c r="J242" i="111" s="1"/>
  <c r="I242" i="111" a="1"/>
  <c r="I242" i="111" s="1"/>
  <c r="H242" i="111" a="1"/>
  <c r="H242" i="111" s="1"/>
  <c r="G242" i="111" a="1"/>
  <c r="G242" i="111" s="1"/>
  <c r="F242" i="111" a="1"/>
  <c r="F242" i="111" s="1"/>
  <c r="E242" i="111" a="1"/>
  <c r="E242" i="111" s="1"/>
  <c r="D242" i="111" a="1"/>
  <c r="D242" i="111" s="1"/>
  <c r="S241" i="111" a="1"/>
  <c r="S241" i="111" s="1"/>
  <c r="R241" i="111" a="1"/>
  <c r="R241" i="111" s="1"/>
  <c r="Q241" i="111" a="1"/>
  <c r="Q241" i="111" s="1"/>
  <c r="P241" i="111" a="1"/>
  <c r="P241" i="111" s="1"/>
  <c r="O241" i="111" a="1"/>
  <c r="O241" i="111" s="1"/>
  <c r="N241" i="111" a="1"/>
  <c r="N241" i="111" s="1"/>
  <c r="M241" i="111" a="1"/>
  <c r="M241" i="111" s="1"/>
  <c r="L241" i="111" a="1"/>
  <c r="L241" i="111" s="1"/>
  <c r="K241" i="111" a="1"/>
  <c r="K241" i="111" s="1"/>
  <c r="J241" i="111" a="1"/>
  <c r="J241" i="111" s="1"/>
  <c r="I241" i="111" a="1"/>
  <c r="I241" i="111" s="1"/>
  <c r="H241" i="111" a="1"/>
  <c r="H241" i="111" s="1"/>
  <c r="G241" i="111" a="1"/>
  <c r="G241" i="111" s="1"/>
  <c r="F241" i="111" a="1"/>
  <c r="F241" i="111" s="1"/>
  <c r="E241" i="111" a="1"/>
  <c r="E241" i="111" s="1"/>
  <c r="D241" i="111" a="1"/>
  <c r="D241" i="111" s="1"/>
  <c r="S240" i="111" a="1"/>
  <c r="S240" i="111" s="1"/>
  <c r="R240" i="111" a="1"/>
  <c r="R240" i="111" s="1"/>
  <c r="Q240" i="111" a="1"/>
  <c r="Q240" i="111" s="1"/>
  <c r="P240" i="111" a="1"/>
  <c r="P240" i="111" s="1"/>
  <c r="O240" i="111" a="1"/>
  <c r="O240" i="111" s="1"/>
  <c r="N240" i="111" a="1"/>
  <c r="N240" i="111" s="1"/>
  <c r="M240" i="111" a="1"/>
  <c r="M240" i="111" s="1"/>
  <c r="L240" i="111" a="1"/>
  <c r="L240" i="111" s="1"/>
  <c r="K240" i="111" a="1"/>
  <c r="K240" i="111" s="1"/>
  <c r="J240" i="111" a="1"/>
  <c r="J240" i="111" s="1"/>
  <c r="I240" i="111" a="1"/>
  <c r="I240" i="111" s="1"/>
  <c r="H240" i="111" a="1"/>
  <c r="H240" i="111" s="1"/>
  <c r="G240" i="111" a="1"/>
  <c r="G240" i="111" s="1"/>
  <c r="F240" i="111" a="1"/>
  <c r="F240" i="111" s="1"/>
  <c r="E240" i="111" a="1"/>
  <c r="E240" i="111" s="1"/>
  <c r="D240" i="111" a="1"/>
  <c r="D240" i="111" s="1"/>
  <c r="S239" i="111" a="1"/>
  <c r="S239" i="111" s="1"/>
  <c r="R239" i="111" a="1"/>
  <c r="R239" i="111" s="1"/>
  <c r="Q239" i="111" a="1"/>
  <c r="Q239" i="111" s="1"/>
  <c r="P239" i="111" a="1"/>
  <c r="P239" i="111" s="1"/>
  <c r="O239" i="111" a="1"/>
  <c r="O239" i="111" s="1"/>
  <c r="N239" i="111" a="1"/>
  <c r="N239" i="111" s="1"/>
  <c r="M239" i="111" a="1"/>
  <c r="M239" i="111" s="1"/>
  <c r="L239" i="111" a="1"/>
  <c r="L239" i="111" s="1"/>
  <c r="K239" i="111" a="1"/>
  <c r="K239" i="111" s="1"/>
  <c r="J239" i="111" a="1"/>
  <c r="J239" i="111" s="1"/>
  <c r="I239" i="111" a="1"/>
  <c r="I239" i="111" s="1"/>
  <c r="H239" i="111" a="1"/>
  <c r="H239" i="111" s="1"/>
  <c r="G239" i="111" a="1"/>
  <c r="G239" i="111" s="1"/>
  <c r="F239" i="111" a="1"/>
  <c r="F239" i="111" s="1"/>
  <c r="E239" i="111" a="1"/>
  <c r="E239" i="111" s="1"/>
  <c r="D239" i="111" a="1"/>
  <c r="D239" i="111" s="1"/>
  <c r="S238" i="111" a="1"/>
  <c r="S238" i="111" s="1"/>
  <c r="R238" i="111" a="1"/>
  <c r="R238" i="111" s="1"/>
  <c r="Q238" i="111" a="1"/>
  <c r="Q238" i="111" s="1"/>
  <c r="P238" i="111" a="1"/>
  <c r="P238" i="111" s="1"/>
  <c r="O238" i="111" a="1"/>
  <c r="O238" i="111" s="1"/>
  <c r="N238" i="111" a="1"/>
  <c r="N238" i="111" s="1"/>
  <c r="M238" i="111" a="1"/>
  <c r="M238" i="111" s="1"/>
  <c r="L238" i="111" a="1"/>
  <c r="L238" i="111" s="1"/>
  <c r="K238" i="111" a="1"/>
  <c r="K238" i="111" s="1"/>
  <c r="J238" i="111" a="1"/>
  <c r="J238" i="111" s="1"/>
  <c r="I238" i="111" a="1"/>
  <c r="I238" i="111" s="1"/>
  <c r="H238" i="111" a="1"/>
  <c r="H238" i="111" s="1"/>
  <c r="G238" i="111" a="1"/>
  <c r="G238" i="111" s="1"/>
  <c r="F238" i="111" a="1"/>
  <c r="F238" i="111" s="1"/>
  <c r="E238" i="111" a="1"/>
  <c r="E238" i="111" s="1"/>
  <c r="D238" i="111" a="1"/>
  <c r="D238" i="111" s="1"/>
  <c r="S237" i="111" a="1"/>
  <c r="S237" i="111" s="1"/>
  <c r="R237" i="111" a="1"/>
  <c r="R237" i="111" s="1"/>
  <c r="Q237" i="111" a="1"/>
  <c r="Q237" i="111" s="1"/>
  <c r="P237" i="111" a="1"/>
  <c r="P237" i="111" s="1"/>
  <c r="O237" i="111" a="1"/>
  <c r="O237" i="111" s="1"/>
  <c r="N237" i="111" a="1"/>
  <c r="N237" i="111" s="1"/>
  <c r="M237" i="111" a="1"/>
  <c r="M237" i="111" s="1"/>
  <c r="L237" i="111" a="1"/>
  <c r="L237" i="111" s="1"/>
  <c r="K237" i="111" a="1"/>
  <c r="K237" i="111" s="1"/>
  <c r="J237" i="111" a="1"/>
  <c r="J237" i="111" s="1"/>
  <c r="I237" i="111" a="1"/>
  <c r="I237" i="111" s="1"/>
  <c r="H237" i="111" a="1"/>
  <c r="H237" i="111" s="1"/>
  <c r="G237" i="111" a="1"/>
  <c r="G237" i="111" s="1"/>
  <c r="F237" i="111" a="1"/>
  <c r="F237" i="111" s="1"/>
  <c r="E237" i="111" a="1"/>
  <c r="E237" i="111" s="1"/>
  <c r="D237" i="111" a="1"/>
  <c r="D237" i="111" s="1"/>
  <c r="S236" i="111" a="1"/>
  <c r="S236" i="111" s="1"/>
  <c r="R236" i="111" a="1"/>
  <c r="R236" i="111" s="1"/>
  <c r="Q236" i="111" a="1"/>
  <c r="Q236" i="111" s="1"/>
  <c r="P236" i="111" a="1"/>
  <c r="P236" i="111" s="1"/>
  <c r="O236" i="111" a="1"/>
  <c r="O236" i="111" s="1"/>
  <c r="N236" i="111" a="1"/>
  <c r="N236" i="111" s="1"/>
  <c r="M236" i="111" a="1"/>
  <c r="M236" i="111" s="1"/>
  <c r="L236" i="111" a="1"/>
  <c r="L236" i="111" s="1"/>
  <c r="K236" i="111" a="1"/>
  <c r="K236" i="111" s="1"/>
  <c r="J236" i="111" a="1"/>
  <c r="J236" i="111" s="1"/>
  <c r="I236" i="111" a="1"/>
  <c r="I236" i="111" s="1"/>
  <c r="H236" i="111" a="1"/>
  <c r="H236" i="111" s="1"/>
  <c r="G236" i="111" a="1"/>
  <c r="G236" i="111" s="1"/>
  <c r="F236" i="111" a="1"/>
  <c r="F236" i="111" s="1"/>
  <c r="E236" i="111" a="1"/>
  <c r="E236" i="111" s="1"/>
  <c r="D236" i="111" a="1"/>
  <c r="D236" i="111" s="1"/>
  <c r="S235" i="111" a="1"/>
  <c r="S235" i="111" s="1"/>
  <c r="R235" i="111" a="1"/>
  <c r="R235" i="111" s="1"/>
  <c r="Q235" i="111" a="1"/>
  <c r="Q235" i="111" s="1"/>
  <c r="P235" i="111" a="1"/>
  <c r="P235" i="111" s="1"/>
  <c r="O235" i="111" a="1"/>
  <c r="O235" i="111" s="1"/>
  <c r="N235" i="111" a="1"/>
  <c r="N235" i="111" s="1"/>
  <c r="M235" i="111" a="1"/>
  <c r="M235" i="111" s="1"/>
  <c r="L235" i="111" a="1"/>
  <c r="L235" i="111" s="1"/>
  <c r="K235" i="111" a="1"/>
  <c r="K235" i="111" s="1"/>
  <c r="J235" i="111" a="1"/>
  <c r="J235" i="111" s="1"/>
  <c r="I235" i="111" a="1"/>
  <c r="I235" i="111" s="1"/>
  <c r="H235" i="111" a="1"/>
  <c r="H235" i="111" s="1"/>
  <c r="G235" i="111" a="1"/>
  <c r="G235" i="111" s="1"/>
  <c r="F235" i="111" a="1"/>
  <c r="F235" i="111" s="1"/>
  <c r="E235" i="111" a="1"/>
  <c r="E235" i="111" s="1"/>
  <c r="D235" i="111" a="1"/>
  <c r="D235" i="111" s="1"/>
  <c r="S234" i="111" a="1"/>
  <c r="S234" i="111" s="1"/>
  <c r="R234" i="111" a="1"/>
  <c r="R234" i="111" s="1"/>
  <c r="Q234" i="111" a="1"/>
  <c r="Q234" i="111" s="1"/>
  <c r="P234" i="111" a="1"/>
  <c r="P234" i="111" s="1"/>
  <c r="O234" i="111" a="1"/>
  <c r="O234" i="111" s="1"/>
  <c r="N234" i="111" a="1"/>
  <c r="N234" i="111" s="1"/>
  <c r="M234" i="111" a="1"/>
  <c r="M234" i="111" s="1"/>
  <c r="L234" i="111" a="1"/>
  <c r="L234" i="111" s="1"/>
  <c r="K234" i="111" a="1"/>
  <c r="K234" i="111" s="1"/>
  <c r="J234" i="111" a="1"/>
  <c r="J234" i="111" s="1"/>
  <c r="I234" i="111" a="1"/>
  <c r="I234" i="111" s="1"/>
  <c r="H234" i="111" a="1"/>
  <c r="H234" i="111" s="1"/>
  <c r="G234" i="111" a="1"/>
  <c r="G234" i="111" s="1"/>
  <c r="F234" i="111" a="1"/>
  <c r="F234" i="111" s="1"/>
  <c r="E234" i="111" a="1"/>
  <c r="E234" i="111" s="1"/>
  <c r="D234" i="111" a="1"/>
  <c r="D234" i="111" s="1"/>
  <c r="S233" i="111" a="1"/>
  <c r="S233" i="111" s="1"/>
  <c r="R233" i="111" a="1"/>
  <c r="R233" i="111" s="1"/>
  <c r="Q233" i="111" a="1"/>
  <c r="Q233" i="111" s="1"/>
  <c r="P233" i="111" a="1"/>
  <c r="P233" i="111" s="1"/>
  <c r="O233" i="111" a="1"/>
  <c r="O233" i="111" s="1"/>
  <c r="N233" i="111" a="1"/>
  <c r="N233" i="111" s="1"/>
  <c r="M233" i="111" a="1"/>
  <c r="M233" i="111" s="1"/>
  <c r="L233" i="111" a="1"/>
  <c r="L233" i="111" s="1"/>
  <c r="K233" i="111" a="1"/>
  <c r="K233" i="111" s="1"/>
  <c r="J233" i="111" a="1"/>
  <c r="J233" i="111" s="1"/>
  <c r="I233" i="111" a="1"/>
  <c r="I233" i="111" s="1"/>
  <c r="H233" i="111" a="1"/>
  <c r="H233" i="111" s="1"/>
  <c r="G233" i="111" a="1"/>
  <c r="G233" i="111" s="1"/>
  <c r="F233" i="111" a="1"/>
  <c r="F233" i="111" s="1"/>
  <c r="E233" i="111" a="1"/>
  <c r="E233" i="111" s="1"/>
  <c r="D233" i="111" a="1"/>
  <c r="D233" i="111" s="1"/>
  <c r="S232" i="111" a="1"/>
  <c r="S232" i="111" s="1"/>
  <c r="R232" i="111" a="1"/>
  <c r="R232" i="111" s="1"/>
  <c r="Q232" i="111" a="1"/>
  <c r="Q232" i="111" s="1"/>
  <c r="P232" i="111" a="1"/>
  <c r="P232" i="111" s="1"/>
  <c r="O232" i="111" a="1"/>
  <c r="O232" i="111" s="1"/>
  <c r="N232" i="111" a="1"/>
  <c r="N232" i="111" s="1"/>
  <c r="M232" i="111" a="1"/>
  <c r="M232" i="111" s="1"/>
  <c r="L232" i="111" a="1"/>
  <c r="L232" i="111" s="1"/>
  <c r="K232" i="111" a="1"/>
  <c r="K232" i="111" s="1"/>
  <c r="J232" i="111" a="1"/>
  <c r="J232" i="111" s="1"/>
  <c r="I232" i="111" a="1"/>
  <c r="I232" i="111" s="1"/>
  <c r="H232" i="111" a="1"/>
  <c r="H232" i="111" s="1"/>
  <c r="G232" i="111" a="1"/>
  <c r="G232" i="111" s="1"/>
  <c r="F232" i="111" a="1"/>
  <c r="F232" i="111" s="1"/>
  <c r="E232" i="111" a="1"/>
  <c r="E232" i="111" s="1"/>
  <c r="D232" i="111" a="1"/>
  <c r="D232" i="111" s="1"/>
  <c r="D229" i="111" a="1"/>
  <c r="D229" i="111" s="1"/>
  <c r="D228" i="111" a="1"/>
  <c r="D228" i="111" s="1"/>
  <c r="D227" i="111" a="1"/>
  <c r="D227" i="111" s="1"/>
  <c r="E224" i="111" a="1"/>
  <c r="E224" i="111" s="1"/>
  <c r="D224" i="111" a="1"/>
  <c r="D224" i="111" s="1"/>
  <c r="E223" i="111" a="1"/>
  <c r="E223" i="111" s="1"/>
  <c r="D223" i="111" a="1"/>
  <c r="D223" i="111" s="1"/>
  <c r="E222" i="111" a="1"/>
  <c r="E222" i="111" s="1"/>
  <c r="D222" i="111" a="1"/>
  <c r="D222" i="111" s="1"/>
  <c r="E221" i="111" a="1"/>
  <c r="E221" i="111" s="1"/>
  <c r="D221" i="111" a="1"/>
  <c r="D221" i="111" s="1"/>
  <c r="E220" i="111" a="1"/>
  <c r="E220" i="111" s="1"/>
  <c r="D220" i="111" a="1"/>
  <c r="D220" i="111" s="1"/>
  <c r="E219" i="111" a="1"/>
  <c r="E219" i="111" s="1"/>
  <c r="D219" i="111" a="1"/>
  <c r="D219" i="111" s="1"/>
  <c r="E218" i="111" a="1"/>
  <c r="E218" i="111" s="1"/>
  <c r="D218" i="111" a="1"/>
  <c r="D218" i="111" s="1"/>
  <c r="E217" i="111" a="1"/>
  <c r="E217" i="111" s="1"/>
  <c r="D217" i="111" a="1"/>
  <c r="D217" i="111" s="1"/>
  <c r="E216" i="111" a="1"/>
  <c r="E216" i="111" s="1"/>
  <c r="D216" i="111" a="1"/>
  <c r="D216" i="111" s="1"/>
  <c r="E215" i="111" a="1"/>
  <c r="E215" i="111" s="1"/>
  <c r="D215" i="111" a="1"/>
  <c r="D215" i="111" s="1"/>
  <c r="E214" i="111" a="1"/>
  <c r="E214" i="111" s="1"/>
  <c r="D214" i="111" a="1"/>
  <c r="D214" i="111" s="1"/>
  <c r="E213" i="111" a="1"/>
  <c r="E213" i="111" s="1"/>
  <c r="D213" i="111" a="1"/>
  <c r="D213" i="111" s="1"/>
  <c r="D211" i="111" a="1"/>
  <c r="D211" i="111" s="1"/>
  <c r="E208" i="111" a="1"/>
  <c r="E208" i="111" s="1"/>
  <c r="D208" i="111" a="1"/>
  <c r="D208" i="111" s="1"/>
  <c r="E207" i="111" a="1"/>
  <c r="E207" i="111" s="1"/>
  <c r="D207" i="111" a="1"/>
  <c r="D207" i="111" s="1"/>
  <c r="D205" i="111" a="1"/>
  <c r="D205" i="111" s="1"/>
  <c r="D204" i="111" a="1"/>
  <c r="D204" i="111" s="1"/>
  <c r="D203" i="111" a="1"/>
  <c r="D203" i="111" s="1"/>
  <c r="D202" i="111" a="1"/>
  <c r="D202" i="111" s="1"/>
  <c r="H199" i="111" a="1"/>
  <c r="H199" i="111" s="1"/>
  <c r="G199" i="111" a="1"/>
  <c r="G199" i="111" s="1"/>
  <c r="F199" i="111" a="1"/>
  <c r="F199" i="111" s="1"/>
  <c r="E199" i="111" a="1"/>
  <c r="E199" i="111" s="1"/>
  <c r="D199" i="111" a="1"/>
  <c r="D199" i="111" s="1"/>
  <c r="H198" i="111" a="1"/>
  <c r="H198" i="111" s="1"/>
  <c r="G198" i="111" a="1"/>
  <c r="G198" i="111" s="1"/>
  <c r="F198" i="111" a="1"/>
  <c r="F198" i="111" s="1"/>
  <c r="E198" i="111" a="1"/>
  <c r="E198" i="111" s="1"/>
  <c r="D198" i="111" a="1"/>
  <c r="D198" i="111" s="1"/>
  <c r="H197" i="111" a="1"/>
  <c r="H197" i="111" s="1"/>
  <c r="G197" i="111" a="1"/>
  <c r="G197" i="111" s="1"/>
  <c r="F197" i="111" a="1"/>
  <c r="F197" i="111" s="1"/>
  <c r="E197" i="111" a="1"/>
  <c r="E197" i="111" s="1"/>
  <c r="D197" i="111" a="1"/>
  <c r="D197" i="111" s="1"/>
  <c r="H196" i="111" a="1"/>
  <c r="H196" i="111" s="1"/>
  <c r="G196" i="111" a="1"/>
  <c r="G196" i="111" s="1"/>
  <c r="F196" i="111" a="1"/>
  <c r="F196" i="111" s="1"/>
  <c r="E196" i="111" a="1"/>
  <c r="E196" i="111" s="1"/>
  <c r="D196" i="111" a="1"/>
  <c r="D196" i="111" s="1"/>
  <c r="H195" i="111" a="1"/>
  <c r="H195" i="111" s="1"/>
  <c r="G195" i="111" a="1"/>
  <c r="G195" i="111" s="1"/>
  <c r="F195" i="111" a="1"/>
  <c r="F195" i="111" s="1"/>
  <c r="E195" i="111" a="1"/>
  <c r="E195" i="111" s="1"/>
  <c r="D195" i="111" a="1"/>
  <c r="D195" i="111" s="1"/>
  <c r="H194" i="111" a="1"/>
  <c r="H194" i="111" s="1"/>
  <c r="G194" i="111" a="1"/>
  <c r="G194" i="111" s="1"/>
  <c r="F194" i="111" a="1"/>
  <c r="F194" i="111" s="1"/>
  <c r="E194" i="111" a="1"/>
  <c r="E194" i="111" s="1"/>
  <c r="D194" i="111" a="1"/>
  <c r="D194" i="111" s="1"/>
  <c r="H193" i="111" a="1"/>
  <c r="H193" i="111" s="1"/>
  <c r="G193" i="111" a="1"/>
  <c r="G193" i="111" s="1"/>
  <c r="F193" i="111" a="1"/>
  <c r="F193" i="111" s="1"/>
  <c r="E193" i="111" a="1"/>
  <c r="E193" i="111" s="1"/>
  <c r="D193" i="111" a="1"/>
  <c r="D193" i="111" s="1"/>
  <c r="H192" i="111" a="1"/>
  <c r="H192" i="111" s="1"/>
  <c r="G192" i="111" a="1"/>
  <c r="G192" i="111" s="1"/>
  <c r="F192" i="111" a="1"/>
  <c r="F192" i="111" s="1"/>
  <c r="E192" i="111" a="1"/>
  <c r="E192" i="111" s="1"/>
  <c r="D192" i="111" a="1"/>
  <c r="D192" i="111" s="1"/>
  <c r="H191" i="111" a="1"/>
  <c r="H191" i="111" s="1"/>
  <c r="G191" i="111" a="1"/>
  <c r="G191" i="111" s="1"/>
  <c r="F191" i="111" a="1"/>
  <c r="F191" i="111" s="1"/>
  <c r="E191" i="111" a="1"/>
  <c r="E191" i="111" s="1"/>
  <c r="D191" i="111" a="1"/>
  <c r="D191" i="111" s="1"/>
  <c r="H190" i="111" a="1"/>
  <c r="H190" i="111" s="1"/>
  <c r="G190" i="111" a="1"/>
  <c r="G190" i="111" s="1"/>
  <c r="F190" i="111" a="1"/>
  <c r="F190" i="111" s="1"/>
  <c r="E190" i="111" a="1"/>
  <c r="E190" i="111" s="1"/>
  <c r="D190" i="111" a="1"/>
  <c r="D190" i="111" s="1"/>
  <c r="H189" i="111" a="1"/>
  <c r="H189" i="111" s="1"/>
  <c r="G189" i="111" a="1"/>
  <c r="G189" i="111" s="1"/>
  <c r="F189" i="111" a="1"/>
  <c r="F189" i="111" s="1"/>
  <c r="E189" i="111" a="1"/>
  <c r="E189" i="111" s="1"/>
  <c r="D189" i="111" a="1"/>
  <c r="D189" i="111" s="1"/>
  <c r="H188" i="111" a="1"/>
  <c r="H188" i="111" s="1"/>
  <c r="G188" i="111" a="1"/>
  <c r="G188" i="111" s="1"/>
  <c r="F188" i="111" a="1"/>
  <c r="F188" i="111" s="1"/>
  <c r="E188" i="111" a="1"/>
  <c r="E188" i="111" s="1"/>
  <c r="D188" i="111" a="1"/>
  <c r="D188" i="111" s="1"/>
  <c r="H187" i="111" a="1"/>
  <c r="H187" i="111" s="1"/>
  <c r="G187" i="111" a="1"/>
  <c r="G187" i="111" s="1"/>
  <c r="F187" i="111" a="1"/>
  <c r="F187" i="111" s="1"/>
  <c r="E187" i="111" a="1"/>
  <c r="E187" i="111" s="1"/>
  <c r="D187" i="111" a="1"/>
  <c r="D187" i="111" s="1"/>
  <c r="D181" i="111" a="1"/>
  <c r="D181" i="111" s="1"/>
  <c r="D180" i="111" a="1"/>
  <c r="D180" i="111" s="1"/>
  <c r="D179" i="111" a="1"/>
  <c r="D179" i="111" s="1"/>
  <c r="D178" i="111" a="1"/>
  <c r="D178" i="111" s="1"/>
  <c r="E175" i="111" a="1"/>
  <c r="E175" i="111" s="1"/>
  <c r="D175" i="111" a="1"/>
  <c r="D175" i="111" s="1"/>
  <c r="D174" i="111" a="1"/>
  <c r="D174" i="111" s="1"/>
  <c r="D173" i="111" a="1"/>
  <c r="D173" i="111" s="1"/>
  <c r="D170" i="111" a="1"/>
  <c r="D170" i="111" s="1"/>
  <c r="D169" i="111" a="1"/>
  <c r="D169" i="111" s="1"/>
  <c r="D168" i="111" a="1"/>
  <c r="D168" i="111" s="1"/>
  <c r="D167" i="111" a="1"/>
  <c r="D167" i="111" s="1"/>
  <c r="D164" i="111" a="1"/>
  <c r="D164" i="111" s="1"/>
  <c r="D163" i="111" a="1"/>
  <c r="D163" i="111" s="1"/>
  <c r="D162" i="111" a="1"/>
  <c r="D162" i="111" s="1"/>
  <c r="D161" i="111" a="1"/>
  <c r="D161" i="111" s="1"/>
  <c r="E158" i="111" a="1"/>
  <c r="E158" i="111" s="1"/>
  <c r="D158" i="111" a="1"/>
  <c r="D158" i="111" s="1"/>
  <c r="E157" i="111" a="1"/>
  <c r="E157" i="111" s="1"/>
  <c r="D157" i="111" a="1"/>
  <c r="D157" i="111" s="1"/>
  <c r="E156" i="111" a="1"/>
  <c r="E156" i="111" s="1"/>
  <c r="D156" i="111" a="1"/>
  <c r="D156" i="111" s="1"/>
  <c r="E155" i="111" a="1"/>
  <c r="E155" i="111" s="1"/>
  <c r="D155" i="111" a="1"/>
  <c r="D155" i="111" s="1"/>
  <c r="E154" i="111" a="1"/>
  <c r="E154" i="111" s="1"/>
  <c r="D154" i="111" a="1"/>
  <c r="D154" i="111" s="1"/>
  <c r="D151" i="111" a="1"/>
  <c r="D151" i="111" s="1"/>
  <c r="D150" i="111" a="1"/>
  <c r="D150" i="111" s="1"/>
  <c r="E147" i="111" a="1"/>
  <c r="E147" i="111" s="1"/>
  <c r="D147" i="111" a="1"/>
  <c r="D147" i="111" s="1"/>
  <c r="E146" i="111" a="1"/>
  <c r="E146" i="111" s="1"/>
  <c r="D146" i="111" a="1"/>
  <c r="D146" i="111" s="1"/>
  <c r="E145" i="111" a="1"/>
  <c r="E145" i="111" s="1"/>
  <c r="D145" i="111" a="1"/>
  <c r="D145" i="111" s="1"/>
  <c r="E144" i="111" a="1"/>
  <c r="E144" i="111" s="1"/>
  <c r="D144" i="111" a="1"/>
  <c r="D144" i="111" s="1"/>
  <c r="E143" i="111" a="1"/>
  <c r="E143" i="111" s="1"/>
  <c r="D143" i="111" a="1"/>
  <c r="D143" i="111" s="1"/>
  <c r="D141" i="111" a="1"/>
  <c r="D141" i="111" s="1"/>
  <c r="D140" i="111" a="1"/>
  <c r="D140" i="111" s="1"/>
  <c r="D139" i="111" a="1"/>
  <c r="D139" i="111" s="1"/>
  <c r="E136" i="111" a="1"/>
  <c r="E136" i="111" s="1"/>
  <c r="D136" i="111" a="1"/>
  <c r="D136" i="111" s="1"/>
  <c r="E135" i="111" a="1"/>
  <c r="E135" i="111" s="1"/>
  <c r="D135" i="111" a="1"/>
  <c r="D135" i="111" s="1"/>
  <c r="D133" i="111" a="1"/>
  <c r="D133" i="111" s="1"/>
  <c r="D132" i="111" a="1"/>
  <c r="D132" i="111" s="1"/>
  <c r="E129" i="111" a="1"/>
  <c r="E129" i="111" s="1"/>
  <c r="D129" i="111" a="1"/>
  <c r="D129" i="111" s="1"/>
  <c r="E128" i="111" a="1"/>
  <c r="E128" i="111" s="1"/>
  <c r="D128" i="111" a="1"/>
  <c r="D128" i="111" s="1"/>
  <c r="D125" i="111" a="1"/>
  <c r="D125" i="111" s="1"/>
  <c r="D124" i="111" a="1"/>
  <c r="D124" i="111" s="1"/>
  <c r="G121" i="111" a="1"/>
  <c r="G121" i="111" s="1"/>
  <c r="F121" i="111" a="1"/>
  <c r="F121" i="111" s="1"/>
  <c r="E121" i="111" a="1"/>
  <c r="E121" i="111" s="1"/>
  <c r="D121" i="111" a="1"/>
  <c r="D121" i="111" s="1"/>
  <c r="G120" i="111" a="1"/>
  <c r="G120" i="111" s="1"/>
  <c r="F120" i="111" a="1"/>
  <c r="F120" i="111" s="1"/>
  <c r="E120" i="111" a="1"/>
  <c r="E120" i="111" s="1"/>
  <c r="D120" i="111" a="1"/>
  <c r="D120" i="111" s="1"/>
  <c r="D117" i="111" a="1"/>
  <c r="D117" i="111" s="1"/>
  <c r="D116" i="111" a="1"/>
  <c r="D116" i="111" s="1"/>
  <c r="D115" i="111" a="1"/>
  <c r="D115" i="111" s="1"/>
  <c r="G112" i="111" a="1"/>
  <c r="G112" i="111" s="1"/>
  <c r="F112" i="111" a="1"/>
  <c r="F112" i="111" s="1"/>
  <c r="E112" i="111" a="1"/>
  <c r="E112" i="111" s="1"/>
  <c r="D112" i="111" a="1"/>
  <c r="D112" i="111" s="1"/>
  <c r="G111" i="111" a="1"/>
  <c r="G111" i="111" s="1"/>
  <c r="F111" i="111" a="1"/>
  <c r="F111" i="111" s="1"/>
  <c r="E111" i="111" a="1"/>
  <c r="E111" i="111" s="1"/>
  <c r="D111" i="111" a="1"/>
  <c r="D111" i="111" s="1"/>
  <c r="G110" i="111" a="1"/>
  <c r="G110" i="111" s="1"/>
  <c r="F110" i="111" a="1"/>
  <c r="F110" i="111" s="1"/>
  <c r="E110" i="111" a="1"/>
  <c r="E110" i="111" s="1"/>
  <c r="D110" i="111" a="1"/>
  <c r="D110" i="111" s="1"/>
  <c r="D107" i="111" a="1"/>
  <c r="D107" i="111" s="1"/>
  <c r="D106" i="111" a="1"/>
  <c r="D106" i="111" s="1"/>
  <c r="D105" i="111" a="1"/>
  <c r="D105" i="111" s="1"/>
  <c r="D99" i="111" a="1"/>
  <c r="D99" i="111" s="1"/>
  <c r="S97" i="111" a="1"/>
  <c r="S97" i="111" s="1"/>
  <c r="R97" i="111" a="1"/>
  <c r="R97" i="111" s="1"/>
  <c r="Q97" i="111" a="1"/>
  <c r="Q97" i="111" s="1"/>
  <c r="P97" i="111" a="1"/>
  <c r="P97" i="111" s="1"/>
  <c r="O97" i="111" a="1"/>
  <c r="O97" i="111" s="1"/>
  <c r="N97" i="111" a="1"/>
  <c r="N97" i="111" s="1"/>
  <c r="M97" i="111" a="1"/>
  <c r="M97" i="111" s="1"/>
  <c r="L97" i="111" a="1"/>
  <c r="L97" i="111" s="1"/>
  <c r="K97" i="111" a="1"/>
  <c r="K97" i="111" s="1"/>
  <c r="J97" i="111" a="1"/>
  <c r="J97" i="111" s="1"/>
  <c r="I97" i="111" a="1"/>
  <c r="I97" i="111" s="1"/>
  <c r="H97" i="111" a="1"/>
  <c r="H97" i="111" s="1"/>
  <c r="G97" i="111" a="1"/>
  <c r="G97" i="111" s="1"/>
  <c r="F97" i="111" a="1"/>
  <c r="F97" i="111" s="1"/>
  <c r="E97" i="111" a="1"/>
  <c r="E97" i="111" s="1"/>
  <c r="D97" i="111" a="1"/>
  <c r="D97" i="111" s="1"/>
  <c r="S96" i="111" a="1"/>
  <c r="S96" i="111" s="1"/>
  <c r="R96" i="111" a="1"/>
  <c r="R96" i="111" s="1"/>
  <c r="Q96" i="111" a="1"/>
  <c r="Q96" i="111" s="1"/>
  <c r="P96" i="111" a="1"/>
  <c r="P96" i="111" s="1"/>
  <c r="O96" i="111" a="1"/>
  <c r="O96" i="111" s="1"/>
  <c r="N96" i="111" a="1"/>
  <c r="N96" i="111" s="1"/>
  <c r="M96" i="111" a="1"/>
  <c r="M96" i="111" s="1"/>
  <c r="L96" i="111" a="1"/>
  <c r="L96" i="111" s="1"/>
  <c r="K96" i="111" a="1"/>
  <c r="K96" i="111" s="1"/>
  <c r="J96" i="111" a="1"/>
  <c r="J96" i="111" s="1"/>
  <c r="I96" i="111" a="1"/>
  <c r="I96" i="111" s="1"/>
  <c r="H96" i="111" a="1"/>
  <c r="H96" i="111" s="1"/>
  <c r="G96" i="111" a="1"/>
  <c r="G96" i="111" s="1"/>
  <c r="F96" i="111" a="1"/>
  <c r="F96" i="111" s="1"/>
  <c r="E96" i="111" a="1"/>
  <c r="E96" i="111" s="1"/>
  <c r="D96" i="111" a="1"/>
  <c r="D96" i="111" s="1"/>
  <c r="S95" i="111" a="1"/>
  <c r="S95" i="111" s="1"/>
  <c r="R95" i="111" a="1"/>
  <c r="R95" i="111" s="1"/>
  <c r="Q95" i="111" a="1"/>
  <c r="Q95" i="111" s="1"/>
  <c r="P95" i="111" a="1"/>
  <c r="P95" i="111" s="1"/>
  <c r="O95" i="111" a="1"/>
  <c r="O95" i="111" s="1"/>
  <c r="N95" i="111" a="1"/>
  <c r="N95" i="111" s="1"/>
  <c r="M95" i="111" a="1"/>
  <c r="M95" i="111" s="1"/>
  <c r="L95" i="111" a="1"/>
  <c r="L95" i="111" s="1"/>
  <c r="K95" i="111" a="1"/>
  <c r="K95" i="111" s="1"/>
  <c r="J95" i="111" a="1"/>
  <c r="J95" i="111" s="1"/>
  <c r="I95" i="111" a="1"/>
  <c r="I95" i="111" s="1"/>
  <c r="H95" i="111" a="1"/>
  <c r="H95" i="111" s="1"/>
  <c r="G95" i="111" a="1"/>
  <c r="G95" i="111" s="1"/>
  <c r="F95" i="111" a="1"/>
  <c r="F95" i="111" s="1"/>
  <c r="E95" i="111" a="1"/>
  <c r="E95" i="111" s="1"/>
  <c r="D95" i="111" a="1"/>
  <c r="D95" i="111" s="1"/>
  <c r="S94" i="111" a="1"/>
  <c r="S94" i="111" s="1"/>
  <c r="R94" i="111" a="1"/>
  <c r="R94" i="111" s="1"/>
  <c r="Q94" i="111" a="1"/>
  <c r="Q94" i="111" s="1"/>
  <c r="P94" i="111" a="1"/>
  <c r="P94" i="111" s="1"/>
  <c r="O94" i="111" a="1"/>
  <c r="O94" i="111" s="1"/>
  <c r="N94" i="111" a="1"/>
  <c r="N94" i="111" s="1"/>
  <c r="M94" i="111" a="1"/>
  <c r="M94" i="111" s="1"/>
  <c r="L94" i="111" a="1"/>
  <c r="L94" i="111" s="1"/>
  <c r="K94" i="111" a="1"/>
  <c r="K94" i="111" s="1"/>
  <c r="J94" i="111" a="1"/>
  <c r="J94" i="111" s="1"/>
  <c r="I94" i="111" a="1"/>
  <c r="I94" i="111" s="1"/>
  <c r="H94" i="111" a="1"/>
  <c r="H94" i="111" s="1"/>
  <c r="G94" i="111" a="1"/>
  <c r="G94" i="111" s="1"/>
  <c r="F94" i="111" a="1"/>
  <c r="F94" i="111" s="1"/>
  <c r="E94" i="111" a="1"/>
  <c r="E94" i="111" s="1"/>
  <c r="D94" i="111" a="1"/>
  <c r="D94" i="111" s="1"/>
  <c r="S93" i="111" a="1"/>
  <c r="S93" i="111" s="1"/>
  <c r="R93" i="111" a="1"/>
  <c r="R93" i="111" s="1"/>
  <c r="Q93" i="111" a="1"/>
  <c r="Q93" i="111" s="1"/>
  <c r="P93" i="111" a="1"/>
  <c r="P93" i="111" s="1"/>
  <c r="O93" i="111" a="1"/>
  <c r="O93" i="111" s="1"/>
  <c r="N93" i="111" a="1"/>
  <c r="N93" i="111" s="1"/>
  <c r="M93" i="111" a="1"/>
  <c r="M93" i="111" s="1"/>
  <c r="L93" i="111" a="1"/>
  <c r="L93" i="111" s="1"/>
  <c r="K93" i="111" a="1"/>
  <c r="K93" i="111" s="1"/>
  <c r="J93" i="111" a="1"/>
  <c r="J93" i="111" s="1"/>
  <c r="I93" i="111" a="1"/>
  <c r="I93" i="111" s="1"/>
  <c r="H93" i="111" a="1"/>
  <c r="H93" i="111" s="1"/>
  <c r="G93" i="111" a="1"/>
  <c r="G93" i="111" s="1"/>
  <c r="F93" i="111" a="1"/>
  <c r="F93" i="111" s="1"/>
  <c r="E93" i="111" a="1"/>
  <c r="E93" i="111" s="1"/>
  <c r="D93" i="111" a="1"/>
  <c r="D93" i="111" s="1"/>
  <c r="S92" i="111" a="1"/>
  <c r="S92" i="111" s="1"/>
  <c r="R92" i="111" a="1"/>
  <c r="R92" i="111" s="1"/>
  <c r="Q92" i="111" a="1"/>
  <c r="Q92" i="111" s="1"/>
  <c r="P92" i="111" a="1"/>
  <c r="P92" i="111" s="1"/>
  <c r="O92" i="111" a="1"/>
  <c r="O92" i="111" s="1"/>
  <c r="N92" i="111" a="1"/>
  <c r="N92" i="111" s="1"/>
  <c r="M92" i="111" a="1"/>
  <c r="M92" i="111" s="1"/>
  <c r="L92" i="111" a="1"/>
  <c r="L92" i="111" s="1"/>
  <c r="K92" i="111" a="1"/>
  <c r="K92" i="111" s="1"/>
  <c r="J92" i="111" a="1"/>
  <c r="J92" i="111" s="1"/>
  <c r="I92" i="111" a="1"/>
  <c r="I92" i="111" s="1"/>
  <c r="H92" i="111" a="1"/>
  <c r="H92" i="111" s="1"/>
  <c r="G92" i="111" a="1"/>
  <c r="G92" i="111" s="1"/>
  <c r="F92" i="111" a="1"/>
  <c r="F92" i="111" s="1"/>
  <c r="E92" i="111" a="1"/>
  <c r="E92" i="111" s="1"/>
  <c r="D92" i="111" a="1"/>
  <c r="D92" i="111" s="1"/>
  <c r="S91" i="111" a="1"/>
  <c r="S91" i="111" s="1"/>
  <c r="R91" i="111" a="1"/>
  <c r="R91" i="111" s="1"/>
  <c r="Q91" i="111" a="1"/>
  <c r="Q91" i="111" s="1"/>
  <c r="P91" i="111" a="1"/>
  <c r="P91" i="111" s="1"/>
  <c r="O91" i="111" a="1"/>
  <c r="O91" i="111" s="1"/>
  <c r="N91" i="111" a="1"/>
  <c r="N91" i="111" s="1"/>
  <c r="M91" i="111" a="1"/>
  <c r="M91" i="111" s="1"/>
  <c r="L91" i="111" a="1"/>
  <c r="L91" i="111" s="1"/>
  <c r="K91" i="111" a="1"/>
  <c r="K91" i="111" s="1"/>
  <c r="J91" i="111" a="1"/>
  <c r="J91" i="111" s="1"/>
  <c r="I91" i="111" a="1"/>
  <c r="I91" i="111" s="1"/>
  <c r="H91" i="111" a="1"/>
  <c r="H91" i="111" s="1"/>
  <c r="G91" i="111" a="1"/>
  <c r="G91" i="111" s="1"/>
  <c r="F91" i="111" a="1"/>
  <c r="F91" i="111" s="1"/>
  <c r="E91" i="111" a="1"/>
  <c r="E91" i="111" s="1"/>
  <c r="D91" i="111" a="1"/>
  <c r="D91" i="111" s="1"/>
  <c r="S90" i="111" a="1"/>
  <c r="S90" i="111" s="1"/>
  <c r="R90" i="111" a="1"/>
  <c r="R90" i="111" s="1"/>
  <c r="Q90" i="111" a="1"/>
  <c r="Q90" i="111" s="1"/>
  <c r="P90" i="111" a="1"/>
  <c r="P90" i="111" s="1"/>
  <c r="O90" i="111" a="1"/>
  <c r="O90" i="111" s="1"/>
  <c r="N90" i="111" a="1"/>
  <c r="N90" i="111" s="1"/>
  <c r="M90" i="111" a="1"/>
  <c r="M90" i="111" s="1"/>
  <c r="L90" i="111" a="1"/>
  <c r="L90" i="111" s="1"/>
  <c r="K90" i="111" a="1"/>
  <c r="K90" i="111" s="1"/>
  <c r="J90" i="111" a="1"/>
  <c r="J90" i="111" s="1"/>
  <c r="I90" i="111" a="1"/>
  <c r="I90" i="111" s="1"/>
  <c r="H90" i="111" a="1"/>
  <c r="H90" i="111" s="1"/>
  <c r="G90" i="111" a="1"/>
  <c r="G90" i="111" s="1"/>
  <c r="F90" i="111" a="1"/>
  <c r="F90" i="111" s="1"/>
  <c r="E90" i="111" a="1"/>
  <c r="E90" i="111" s="1"/>
  <c r="D90" i="111" a="1"/>
  <c r="D90" i="111" s="1"/>
  <c r="D83" i="111" a="1"/>
  <c r="D83" i="111" s="1"/>
  <c r="D82" i="111" a="1"/>
  <c r="D82" i="111" s="1"/>
  <c r="D81" i="111" a="1"/>
  <c r="D81" i="111" s="1"/>
  <c r="E77" i="111" a="1"/>
  <c r="E77" i="111" s="1"/>
  <c r="D77" i="111" a="1"/>
  <c r="D77" i="111" s="1"/>
  <c r="E76" i="111" a="1"/>
  <c r="E76" i="111" s="1"/>
  <c r="D76" i="111" a="1"/>
  <c r="D76" i="111" s="1"/>
  <c r="E75" i="111" a="1"/>
  <c r="E75" i="111" s="1"/>
  <c r="D75" i="111" a="1"/>
  <c r="D75" i="111" s="1"/>
  <c r="E74" i="111" a="1"/>
  <c r="E74" i="111" s="1"/>
  <c r="D74" i="111" a="1"/>
  <c r="D74" i="111" s="1"/>
  <c r="E73" i="111" a="1"/>
  <c r="E73" i="111" s="1"/>
  <c r="D73" i="111" a="1"/>
  <c r="D73" i="111" s="1"/>
  <c r="E72" i="111" a="1"/>
  <c r="E72" i="111" s="1"/>
  <c r="D72" i="111" a="1"/>
  <c r="D72" i="111" s="1"/>
  <c r="E71" i="111" a="1"/>
  <c r="E71" i="111" s="1"/>
  <c r="D71" i="111" a="1"/>
  <c r="D71" i="111" s="1"/>
  <c r="E70" i="111" a="1"/>
  <c r="E70" i="111" s="1"/>
  <c r="D70" i="111" a="1"/>
  <c r="D70" i="111" s="1"/>
  <c r="E69" i="111" a="1"/>
  <c r="E69" i="111" s="1"/>
  <c r="D69" i="111" a="1"/>
  <c r="D69" i="111" s="1"/>
  <c r="E68" i="111" a="1"/>
  <c r="E68" i="111" s="1"/>
  <c r="D68" i="111" a="1"/>
  <c r="D68" i="111" s="1"/>
  <c r="E67" i="111" a="1"/>
  <c r="E67" i="111" s="1"/>
  <c r="D67" i="111" a="1"/>
  <c r="D67" i="111" s="1"/>
  <c r="E66" i="111" a="1"/>
  <c r="E66" i="111" s="1"/>
  <c r="D66" i="111" a="1"/>
  <c r="D66" i="111" s="1"/>
  <c r="E65" i="111" a="1"/>
  <c r="E65" i="111" s="1"/>
  <c r="D65" i="111" a="1"/>
  <c r="D65" i="111" s="1"/>
  <c r="E64" i="111" a="1"/>
  <c r="E64" i="111" s="1"/>
  <c r="D64" i="111" a="1"/>
  <c r="D64" i="111" s="1"/>
  <c r="D59" i="111" a="1"/>
  <c r="D59" i="111" s="1"/>
  <c r="D58" i="111" a="1"/>
  <c r="D58" i="111" s="1"/>
  <c r="D57" i="111" a="1"/>
  <c r="D57" i="111" s="1"/>
  <c r="G54" i="111" a="1"/>
  <c r="G54" i="111" s="1"/>
  <c r="F54" i="111" a="1"/>
  <c r="F54" i="111" s="1"/>
  <c r="E54" i="111" a="1"/>
  <c r="E54" i="111" s="1"/>
  <c r="D54" i="111" a="1"/>
  <c r="D54" i="111" s="1"/>
  <c r="G53" i="111" a="1"/>
  <c r="G53" i="111" s="1"/>
  <c r="F53" i="111" a="1"/>
  <c r="F53" i="111" s="1"/>
  <c r="E53" i="111" a="1"/>
  <c r="E53" i="111" s="1"/>
  <c r="D53" i="111" a="1"/>
  <c r="D53" i="111" s="1"/>
  <c r="G52" i="111" a="1"/>
  <c r="G52" i="111" s="1"/>
  <c r="F52" i="111" a="1"/>
  <c r="F52" i="111" s="1"/>
  <c r="E52" i="111" a="1"/>
  <c r="E52" i="111" s="1"/>
  <c r="D52" i="111" a="1"/>
  <c r="D52" i="111" s="1"/>
  <c r="G51" i="111" a="1"/>
  <c r="G51" i="111" s="1"/>
  <c r="F51" i="111" a="1"/>
  <c r="F51" i="111" s="1"/>
  <c r="E51" i="111" a="1"/>
  <c r="E51" i="111" s="1"/>
  <c r="D51" i="111" a="1"/>
  <c r="D51" i="111" s="1"/>
  <c r="G50" i="111" a="1"/>
  <c r="G50" i="111" s="1"/>
  <c r="F50" i="111" a="1"/>
  <c r="F50" i="111" s="1"/>
  <c r="E50" i="111" a="1"/>
  <c r="E50" i="111" s="1"/>
  <c r="D50" i="111" a="1"/>
  <c r="D50" i="111" s="1"/>
  <c r="G49" i="111" a="1"/>
  <c r="G49" i="111" s="1"/>
  <c r="F49" i="111" a="1"/>
  <c r="F49" i="111" s="1"/>
  <c r="E49" i="111" a="1"/>
  <c r="E49" i="111" s="1"/>
  <c r="D49" i="111" a="1"/>
  <c r="D49" i="111" s="1"/>
  <c r="G48" i="111" a="1"/>
  <c r="G48" i="111" s="1"/>
  <c r="F48" i="111" a="1"/>
  <c r="F48" i="111" s="1"/>
  <c r="E48" i="111" a="1"/>
  <c r="E48" i="111" s="1"/>
  <c r="D48" i="111" a="1"/>
  <c r="D48" i="111" s="1"/>
  <c r="D46" i="111"/>
  <c r="D46" i="111" a="1"/>
  <c r="D45" i="111" a="1"/>
  <c r="D45" i="111" s="1"/>
  <c r="E43" i="111" a="1"/>
  <c r="E43" i="111" s="1"/>
  <c r="D43" i="111" a="1"/>
  <c r="D43" i="111" s="1"/>
  <c r="E42" i="111" a="1"/>
  <c r="E42" i="111" s="1"/>
  <c r="D42" i="111" a="1"/>
  <c r="D42" i="111" s="1"/>
  <c r="E41" i="111" a="1"/>
  <c r="E41" i="111" s="1"/>
  <c r="D41" i="111" a="1"/>
  <c r="D41" i="111" s="1"/>
  <c r="E40" i="111" a="1"/>
  <c r="E40" i="111" s="1"/>
  <c r="D40" i="111" a="1"/>
  <c r="D40" i="111" s="1"/>
  <c r="E39" i="111" a="1"/>
  <c r="E39" i="111" s="1"/>
  <c r="D39" i="111" a="1"/>
  <c r="D39" i="111" s="1"/>
  <c r="E38" i="111" a="1"/>
  <c r="E38" i="111" s="1"/>
  <c r="D38" i="111" a="1"/>
  <c r="D38" i="111" s="1"/>
  <c r="E37" i="111" a="1"/>
  <c r="E37" i="111" s="1"/>
  <c r="D37" i="111" a="1"/>
  <c r="D37" i="111" s="1"/>
  <c r="D35" i="111"/>
  <c r="D35" i="111" a="1"/>
  <c r="D34" i="111"/>
  <c r="D34" i="111" a="1"/>
  <c r="D30" i="111" a="1"/>
  <c r="D30" i="111" s="1"/>
  <c r="D29" i="111" a="1"/>
  <c r="D29" i="111" s="1"/>
  <c r="D28" i="111" a="1"/>
  <c r="D28" i="111" s="1"/>
  <c r="D27" i="111" a="1"/>
  <c r="D27" i="111" s="1"/>
  <c r="D26" i="111" a="1"/>
  <c r="D26" i="111" s="1"/>
  <c r="D25" i="111" a="1"/>
  <c r="D25" i="111" s="1"/>
  <c r="D24" i="111" a="1"/>
  <c r="D24" i="111" s="1"/>
  <c r="D23" i="111" a="1"/>
  <c r="D23" i="111" s="1"/>
  <c r="D22" i="111" a="1"/>
  <c r="D22" i="111" s="1"/>
  <c r="D21" i="111" a="1"/>
  <c r="D21" i="111" s="1"/>
  <c r="D19" i="111"/>
  <c r="D19" i="111" a="1"/>
  <c r="D18" i="111" a="1"/>
  <c r="D18" i="111" s="1"/>
  <c r="F14" i="111" a="1"/>
  <c r="F14" i="111" s="1"/>
  <c r="E14" i="111" a="1"/>
  <c r="E14" i="111" s="1"/>
  <c r="D14" i="111" a="1"/>
  <c r="D14" i="111" s="1"/>
  <c r="F13" i="111" a="1"/>
  <c r="F13" i="111" s="1"/>
  <c r="E13" i="111" a="1"/>
  <c r="E13" i="111" s="1"/>
  <c r="D13" i="111" a="1"/>
  <c r="D13" i="111" s="1"/>
  <c r="F12" i="111" a="1"/>
  <c r="F12" i="111" s="1"/>
  <c r="E12" i="111" a="1"/>
  <c r="E12" i="111" s="1"/>
  <c r="D12" i="111" a="1"/>
  <c r="D12" i="111" s="1"/>
  <c r="F11" i="111" a="1"/>
  <c r="F11" i="111" s="1"/>
  <c r="E11" i="111" a="1"/>
  <c r="E11" i="111" s="1"/>
  <c r="D11" i="111" a="1"/>
  <c r="D11" i="111" s="1"/>
  <c r="F10" i="111" a="1"/>
  <c r="F10" i="111" s="1"/>
  <c r="E10" i="111" a="1"/>
  <c r="E10" i="111" s="1"/>
  <c r="D10" i="111" a="1"/>
  <c r="D10" i="111" s="1"/>
  <c r="F9" i="111" a="1"/>
  <c r="F9" i="111" s="1"/>
  <c r="E9" i="111" a="1"/>
  <c r="E9" i="111" s="1"/>
  <c r="D9" i="111" a="1"/>
  <c r="D9" i="111" s="1"/>
  <c r="F8" i="111" a="1"/>
  <c r="F8" i="111" s="1"/>
  <c r="E8" i="111" a="1"/>
  <c r="E8" i="111" s="1"/>
  <c r="D8" i="111" a="1"/>
  <c r="D8" i="111" s="1"/>
  <c r="A8" i="111"/>
  <c r="F7" i="111" a="1"/>
  <c r="F7" i="111" s="1"/>
  <c r="E7" i="111" a="1"/>
  <c r="E7" i="111" s="1"/>
  <c r="D7" i="111" a="1"/>
  <c r="D7" i="111" s="1"/>
  <c r="A7" i="111"/>
  <c r="D5" i="111" a="1"/>
  <c r="D5" i="111" s="1"/>
  <c r="A3" i="111"/>
  <c r="A8" i="71"/>
  <c r="A7" i="71"/>
  <c r="A3" i="71"/>
  <c r="U23" i="69"/>
  <c r="U22" i="69"/>
  <c r="H49" i="111" l="1"/>
  <c r="H52" i="111"/>
  <c r="H48" i="111"/>
  <c r="H54" i="111"/>
  <c r="H50" i="111"/>
  <c r="H51" i="111"/>
  <c r="H53" i="111"/>
  <c r="D21" i="69"/>
  <c r="E13" i="15"/>
  <c r="A20" i="43"/>
  <c r="A19" i="43"/>
  <c r="A18" i="43"/>
  <c r="A17" i="43"/>
  <c r="A13" i="43"/>
  <c r="A9" i="43"/>
  <c r="A8" i="43"/>
  <c r="A4" i="43"/>
  <c r="A3" i="43"/>
  <c r="A20" i="79"/>
  <c r="A19" i="79"/>
  <c r="A18" i="79"/>
  <c r="A17" i="79"/>
  <c r="A13" i="79"/>
  <c r="A9" i="79"/>
  <c r="A8" i="79"/>
  <c r="A4" i="79"/>
  <c r="A3" i="79"/>
  <c r="A20" i="69"/>
  <c r="A19" i="69"/>
  <c r="A18" i="69"/>
  <c r="A17" i="69"/>
  <c r="A13" i="69"/>
  <c r="A9" i="69"/>
  <c r="A8" i="69"/>
  <c r="A4" i="69"/>
  <c r="A3" i="69"/>
  <c r="A20" i="70"/>
  <c r="A19" i="70"/>
  <c r="A18" i="70"/>
  <c r="A17" i="70"/>
  <c r="A13" i="70"/>
  <c r="A9" i="70"/>
  <c r="A8" i="70"/>
  <c r="A4" i="70"/>
  <c r="A3" i="70"/>
  <c r="A20" i="15"/>
  <c r="A19" i="15"/>
  <c r="A18" i="15"/>
  <c r="A17" i="15"/>
  <c r="A13" i="15"/>
  <c r="A9" i="15"/>
  <c r="A8" i="15"/>
  <c r="A4" i="15"/>
  <c r="A3" i="15"/>
  <c r="A20" i="13"/>
  <c r="A19" i="13"/>
  <c r="A18" i="13"/>
  <c r="A17" i="13"/>
  <c r="A13" i="13"/>
  <c r="A9" i="13"/>
  <c r="A8" i="13"/>
  <c r="A4" i="13"/>
  <c r="A3" i="13"/>
  <c r="U144" i="69"/>
  <c r="U143" i="69"/>
  <c r="U142" i="69"/>
  <c r="U141" i="69"/>
  <c r="U140" i="69"/>
  <c r="U139" i="69"/>
  <c r="U138" i="69"/>
  <c r="U137" i="69"/>
  <c r="U136" i="69"/>
  <c r="U135" i="69"/>
  <c r="U134" i="69"/>
  <c r="U133" i="69"/>
  <c r="U128" i="69"/>
  <c r="U127" i="69"/>
  <c r="U126" i="69"/>
  <c r="U125" i="69"/>
  <c r="U124" i="69"/>
  <c r="U123" i="69"/>
  <c r="U122" i="69"/>
  <c r="U121" i="69"/>
  <c r="U120" i="69"/>
  <c r="U119" i="69"/>
  <c r="U118" i="69"/>
  <c r="U117" i="69"/>
  <c r="U108" i="69"/>
  <c r="U107" i="69"/>
  <c r="U106" i="69"/>
  <c r="U105" i="69"/>
  <c r="U104" i="69"/>
  <c r="U103" i="69"/>
  <c r="U102" i="69"/>
  <c r="U101" i="69"/>
  <c r="U100" i="69"/>
  <c r="U99" i="69"/>
  <c r="U98" i="69"/>
  <c r="U97" i="69"/>
  <c r="U87" i="69"/>
  <c r="U86" i="69"/>
  <c r="U85" i="69"/>
  <c r="U84" i="69"/>
  <c r="U83" i="69"/>
  <c r="U82" i="69"/>
  <c r="U81" i="69"/>
  <c r="U80" i="69"/>
  <c r="U79" i="69"/>
  <c r="U78" i="69"/>
  <c r="U77" i="69"/>
  <c r="U76" i="69"/>
  <c r="U71" i="69"/>
  <c r="U70" i="69"/>
  <c r="U69" i="69"/>
  <c r="U68" i="69"/>
  <c r="U67" i="69"/>
  <c r="U66" i="69"/>
  <c r="U65" i="69"/>
  <c r="U64" i="69"/>
  <c r="U63" i="69"/>
  <c r="U62" i="69"/>
  <c r="U61" i="69"/>
  <c r="U60" i="69"/>
  <c r="U55" i="69"/>
  <c r="U54" i="69"/>
  <c r="U53" i="69"/>
  <c r="U52" i="69"/>
  <c r="U51" i="69"/>
  <c r="U50" i="69"/>
  <c r="U49" i="69"/>
  <c r="U48" i="69"/>
  <c r="U47" i="69"/>
  <c r="U46" i="69"/>
  <c r="U45" i="69"/>
  <c r="U44" i="69"/>
  <c r="U39" i="69"/>
  <c r="U38" i="69"/>
  <c r="U37" i="69"/>
  <c r="U36" i="69"/>
  <c r="U35" i="69"/>
  <c r="U34" i="69"/>
  <c r="U33" i="69"/>
  <c r="U32" i="69"/>
  <c r="U31" i="69"/>
  <c r="U30" i="69"/>
  <c r="U29" i="69"/>
  <c r="U28" i="69"/>
  <c r="D51" i="69"/>
  <c r="D50" i="69"/>
  <c r="D49" i="69"/>
  <c r="D48" i="69"/>
  <c r="D144" i="70"/>
  <c r="D143" i="70"/>
  <c r="D142" i="70"/>
  <c r="D141" i="70"/>
  <c r="D140" i="70"/>
  <c r="D139" i="70"/>
  <c r="D138" i="70"/>
  <c r="D137" i="70"/>
  <c r="D136" i="70"/>
  <c r="D135" i="70"/>
  <c r="D134" i="70"/>
  <c r="D133" i="70"/>
  <c r="D122" i="70"/>
  <c r="D121" i="70"/>
  <c r="D120" i="70"/>
  <c r="D119" i="70"/>
  <c r="D118" i="70"/>
  <c r="D117" i="70"/>
  <c r="D116" i="70"/>
  <c r="D115" i="70"/>
  <c r="D114" i="70"/>
  <c r="D113" i="70"/>
  <c r="D112" i="70"/>
  <c r="D111" i="70"/>
  <c r="G185" i="70"/>
  <c r="F185" i="70"/>
  <c r="E185" i="70"/>
  <c r="D182" i="70"/>
  <c r="K181" i="70"/>
  <c r="J181" i="70"/>
  <c r="K180" i="70"/>
  <c r="J180" i="70"/>
  <c r="K179" i="70"/>
  <c r="J179" i="70"/>
  <c r="K178" i="70"/>
  <c r="J178" i="70"/>
  <c r="E178" i="70"/>
  <c r="D184" i="70" s="1"/>
  <c r="E177" i="70"/>
  <c r="D183" i="70" s="1"/>
  <c r="M171" i="70"/>
  <c r="L171" i="70"/>
  <c r="M170" i="70"/>
  <c r="L170" i="70"/>
  <c r="M169" i="70"/>
  <c r="L169" i="70"/>
  <c r="M168" i="70"/>
  <c r="L168" i="70"/>
  <c r="D168" i="70"/>
  <c r="D100" i="70"/>
  <c r="D99" i="70"/>
  <c r="D98" i="70"/>
  <c r="D97" i="70"/>
  <c r="D96" i="70"/>
  <c r="D95" i="70"/>
  <c r="D94" i="70"/>
  <c r="D93" i="70"/>
  <c r="D92" i="70"/>
  <c r="D91" i="70"/>
  <c r="D90" i="70"/>
  <c r="D89" i="70"/>
  <c r="D78" i="70"/>
  <c r="D77" i="70"/>
  <c r="D76" i="70"/>
  <c r="D75" i="70"/>
  <c r="D74" i="70"/>
  <c r="D73" i="70"/>
  <c r="D72" i="70"/>
  <c r="D71" i="70"/>
  <c r="D70" i="70"/>
  <c r="D69" i="70"/>
  <c r="D68" i="70"/>
  <c r="D67" i="70"/>
  <c r="D56" i="70"/>
  <c r="D55" i="70"/>
  <c r="D54" i="70"/>
  <c r="D53" i="70"/>
  <c r="D52" i="70"/>
  <c r="D51" i="70"/>
  <c r="D50" i="70"/>
  <c r="D49" i="70"/>
  <c r="D48" i="70"/>
  <c r="D47" i="70"/>
  <c r="D46" i="70"/>
  <c r="D45" i="70"/>
  <c r="D34" i="70"/>
  <c r="N34" i="70" s="1"/>
  <c r="D33" i="70"/>
  <c r="L33" i="70" s="1"/>
  <c r="D32" i="70"/>
  <c r="K32" i="70" s="1"/>
  <c r="D31" i="70"/>
  <c r="F31" i="70" s="1"/>
  <c r="D30" i="70"/>
  <c r="H30" i="70" s="1"/>
  <c r="D29" i="70"/>
  <c r="F29" i="70" s="1"/>
  <c r="D28" i="70"/>
  <c r="N28" i="70" s="1"/>
  <c r="D27" i="70"/>
  <c r="I27" i="70" s="1"/>
  <c r="D26" i="70"/>
  <c r="I26" i="70" s="1"/>
  <c r="D25" i="70"/>
  <c r="I25" i="70" s="1"/>
  <c r="D24" i="70"/>
  <c r="K24" i="70" s="1"/>
  <c r="D23" i="70"/>
  <c r="H23" i="70" s="1"/>
  <c r="E7" i="70"/>
  <c r="L31" i="70" l="1"/>
  <c r="M31" i="70"/>
  <c r="D185" i="70"/>
  <c r="M179" i="70"/>
  <c r="L179" i="70"/>
  <c r="L180" i="70"/>
  <c r="M178" i="70"/>
  <c r="N25" i="70"/>
  <c r="M180" i="70"/>
  <c r="N180" i="70" s="1"/>
  <c r="O180" i="70" s="1"/>
  <c r="M181" i="70"/>
  <c r="M32" i="70"/>
  <c r="N27" i="70"/>
  <c r="F27" i="70"/>
  <c r="F25" i="70"/>
  <c r="M34" i="70"/>
  <c r="G25" i="70"/>
  <c r="H27" i="70"/>
  <c r="F34" i="70"/>
  <c r="G34" i="70"/>
  <c r="E25" i="70"/>
  <c r="H34" i="70"/>
  <c r="M28" i="70"/>
  <c r="E34" i="70"/>
  <c r="L28" i="70"/>
  <c r="H25" i="70"/>
  <c r="H26" i="70"/>
  <c r="G26" i="70"/>
  <c r="E26" i="70"/>
  <c r="F26" i="70"/>
  <c r="N26" i="70"/>
  <c r="M26" i="70"/>
  <c r="L26" i="70"/>
  <c r="J26" i="70"/>
  <c r="K26" i="70"/>
  <c r="I23" i="70"/>
  <c r="N23" i="70"/>
  <c r="K23" i="70"/>
  <c r="M23" i="70"/>
  <c r="L23" i="70"/>
  <c r="J23" i="70"/>
  <c r="E32" i="70"/>
  <c r="J32" i="70"/>
  <c r="G32" i="70"/>
  <c r="I32" i="70"/>
  <c r="K28" i="70"/>
  <c r="G29" i="70"/>
  <c r="L29" i="70"/>
  <c r="H32" i="70"/>
  <c r="N32" i="70"/>
  <c r="L32" i="70"/>
  <c r="G27" i="70"/>
  <c r="M27" i="70"/>
  <c r="J27" i="70"/>
  <c r="L27" i="70"/>
  <c r="K27" i="70"/>
  <c r="H31" i="70"/>
  <c r="I31" i="70"/>
  <c r="J31" i="70"/>
  <c r="I30" i="70"/>
  <c r="J30" i="70"/>
  <c r="L178" i="70"/>
  <c r="M29" i="70"/>
  <c r="K29" i="70"/>
  <c r="J29" i="70"/>
  <c r="I29" i="70"/>
  <c r="H29" i="70"/>
  <c r="E31" i="70"/>
  <c r="N31" i="70"/>
  <c r="E29" i="70"/>
  <c r="G31" i="70"/>
  <c r="N179" i="70"/>
  <c r="O179" i="70" s="1"/>
  <c r="L24" i="70"/>
  <c r="J24" i="70"/>
  <c r="I24" i="70"/>
  <c r="H24" i="70"/>
  <c r="G24" i="70"/>
  <c r="N30" i="70"/>
  <c r="M30" i="70"/>
  <c r="L30" i="70"/>
  <c r="K30" i="70"/>
  <c r="K33" i="70"/>
  <c r="I33" i="70"/>
  <c r="H33" i="70"/>
  <c r="G33" i="70"/>
  <c r="F33" i="70"/>
  <c r="E24" i="70"/>
  <c r="E33" i="70"/>
  <c r="F24" i="70"/>
  <c r="N29" i="70"/>
  <c r="K31" i="70"/>
  <c r="J33" i="70"/>
  <c r="M24" i="70"/>
  <c r="L181" i="70"/>
  <c r="E30" i="70"/>
  <c r="M33" i="70"/>
  <c r="N24" i="70"/>
  <c r="J28" i="70"/>
  <c r="H28" i="70"/>
  <c r="G28" i="70"/>
  <c r="F28" i="70"/>
  <c r="E28" i="70"/>
  <c r="F30" i="70"/>
  <c r="N33" i="70"/>
  <c r="M25" i="70"/>
  <c r="L25" i="70"/>
  <c r="K25" i="70"/>
  <c r="J25" i="70"/>
  <c r="I28" i="70"/>
  <c r="G30" i="70"/>
  <c r="I34" i="70"/>
  <c r="E23" i="70"/>
  <c r="J34" i="70"/>
  <c r="F23" i="70"/>
  <c r="K34" i="70"/>
  <c r="G23" i="70"/>
  <c r="E27" i="70"/>
  <c r="F32" i="70"/>
  <c r="L34" i="70"/>
  <c r="N181" i="70" l="1"/>
  <c r="O181" i="70" s="1"/>
  <c r="N178" i="70"/>
  <c r="O178" i="70" s="1"/>
  <c r="O28" i="79" l="1"/>
  <c r="O27" i="79"/>
  <c r="O26" i="79"/>
  <c r="O25" i="79"/>
  <c r="O24" i="79"/>
  <c r="O23" i="79"/>
  <c r="O22" i="79"/>
  <c r="O21" i="79"/>
  <c r="O20" i="79"/>
  <c r="O19" i="79"/>
  <c r="E65" i="43" a="1"/>
  <c r="E65" i="43" s="1"/>
  <c r="D65" i="43" a="1"/>
  <c r="D65" i="43" s="1"/>
  <c r="D63" i="43" a="1"/>
  <c r="D63" i="43" s="1"/>
  <c r="D62" i="43"/>
  <c r="D62" i="43" a="1"/>
  <c r="E60" i="43" a="1"/>
  <c r="E60" i="43" s="1"/>
  <c r="D60" i="43" a="1"/>
  <c r="D60" i="43" s="1"/>
  <c r="D58" i="43" a="1"/>
  <c r="D58" i="43" s="1"/>
  <c r="D57" i="43" a="1"/>
  <c r="D57" i="43" s="1"/>
  <c r="E55" i="43" a="1"/>
  <c r="E55" i="43" s="1"/>
  <c r="D55" i="43" a="1"/>
  <c r="D55" i="43" s="1"/>
  <c r="D53" i="43" a="1"/>
  <c r="D53" i="43" s="1"/>
  <c r="D52" i="43" a="1"/>
  <c r="D52" i="43" s="1"/>
  <c r="E50" i="43" a="1"/>
  <c r="E50" i="43" s="1"/>
  <c r="D50" i="43" a="1"/>
  <c r="D50" i="43" s="1"/>
  <c r="E49" i="43" a="1"/>
  <c r="E49" i="43" s="1"/>
  <c r="D49" i="43" a="1"/>
  <c r="D49" i="43" s="1"/>
  <c r="E48" i="43" a="1"/>
  <c r="E48" i="43" s="1"/>
  <c r="D48" i="43" a="1"/>
  <c r="D48" i="43" s="1"/>
  <c r="E47" i="43" a="1"/>
  <c r="E47" i="43" s="1"/>
  <c r="D47" i="43" a="1"/>
  <c r="D47" i="43" s="1"/>
  <c r="E46" i="43" a="1"/>
  <c r="E46" i="43" s="1"/>
  <c r="D46" i="43" a="1"/>
  <c r="D46" i="43" s="1"/>
  <c r="E45" i="43" a="1"/>
  <c r="E45" i="43" s="1"/>
  <c r="D45" i="43" a="1"/>
  <c r="D45" i="43" s="1"/>
  <c r="E44" i="43" a="1"/>
  <c r="E44" i="43" s="1"/>
  <c r="D44" i="43" a="1"/>
  <c r="D44" i="43" s="1"/>
  <c r="D42" i="43" a="1"/>
  <c r="D42" i="43" s="1"/>
  <c r="D41" i="43" a="1"/>
  <c r="D41" i="43" s="1"/>
  <c r="E39" i="43" a="1"/>
  <c r="E39" i="43" s="1"/>
  <c r="D39" i="43" a="1"/>
  <c r="D39" i="43" s="1"/>
  <c r="E38" i="43" a="1"/>
  <c r="E38" i="43" s="1"/>
  <c r="D38" i="43" a="1"/>
  <c r="D38" i="43" s="1"/>
  <c r="E37" i="43" a="1"/>
  <c r="E37" i="43" s="1"/>
  <c r="D37" i="43" a="1"/>
  <c r="D37" i="43" s="1"/>
  <c r="E36" i="43" a="1"/>
  <c r="E36" i="43" s="1"/>
  <c r="D36" i="43" a="1"/>
  <c r="D36" i="43" s="1"/>
  <c r="E35" i="43" a="1"/>
  <c r="E35" i="43" s="1"/>
  <c r="D35" i="43" a="1"/>
  <c r="D35" i="43" s="1"/>
  <c r="E34" i="43" a="1"/>
  <c r="E34" i="43" s="1"/>
  <c r="D34" i="43" a="1"/>
  <c r="D34" i="43" s="1"/>
  <c r="E33" i="43" a="1"/>
  <c r="E33" i="43" s="1"/>
  <c r="D33" i="43" a="1"/>
  <c r="D33" i="43" s="1"/>
  <c r="E32" i="43" a="1"/>
  <c r="E32" i="43" s="1"/>
  <c r="D32" i="43" a="1"/>
  <c r="D32" i="43" s="1"/>
  <c r="D30" i="43" a="1"/>
  <c r="D30" i="43" s="1"/>
  <c r="D29" i="43" a="1"/>
  <c r="D29" i="43" s="1"/>
  <c r="I483" i="79" a="1"/>
  <c r="I483" i="79" s="1"/>
  <c r="H483" i="79" a="1"/>
  <c r="H483" i="79" s="1"/>
  <c r="G483" i="79" a="1"/>
  <c r="G483" i="79" s="1"/>
  <c r="F483" i="79" a="1"/>
  <c r="F483" i="79" s="1"/>
  <c r="E483" i="79" a="1"/>
  <c r="E483" i="79" s="1"/>
  <c r="D483" i="79" a="1"/>
  <c r="D483" i="79" s="1"/>
  <c r="I482" i="79" a="1"/>
  <c r="I482" i="79" s="1"/>
  <c r="H482" i="79" a="1"/>
  <c r="H482" i="79" s="1"/>
  <c r="G482" i="79" a="1"/>
  <c r="G482" i="79" s="1"/>
  <c r="F482" i="79" a="1"/>
  <c r="F482" i="79" s="1"/>
  <c r="E482" i="79" a="1"/>
  <c r="E482" i="79" s="1"/>
  <c r="D482" i="79" a="1"/>
  <c r="D482" i="79" s="1"/>
  <c r="I481" i="79" a="1"/>
  <c r="I481" i="79" s="1"/>
  <c r="H481" i="79" a="1"/>
  <c r="H481" i="79" s="1"/>
  <c r="G481" i="79" a="1"/>
  <c r="G481" i="79" s="1"/>
  <c r="F481" i="79" a="1"/>
  <c r="F481" i="79" s="1"/>
  <c r="E481" i="79" a="1"/>
  <c r="E481" i="79" s="1"/>
  <c r="D481" i="79" a="1"/>
  <c r="D481" i="79" s="1"/>
  <c r="I480" i="79" a="1"/>
  <c r="I480" i="79" s="1"/>
  <c r="H480" i="79" a="1"/>
  <c r="H480" i="79" s="1"/>
  <c r="G480" i="79" a="1"/>
  <c r="G480" i="79" s="1"/>
  <c r="F480" i="79" a="1"/>
  <c r="F480" i="79" s="1"/>
  <c r="E480" i="79" a="1"/>
  <c r="E480" i="79" s="1"/>
  <c r="D480" i="79" a="1"/>
  <c r="D480" i="79" s="1"/>
  <c r="I479" i="79" a="1"/>
  <c r="I479" i="79" s="1"/>
  <c r="H479" i="79" a="1"/>
  <c r="H479" i="79" s="1"/>
  <c r="G479" i="79" a="1"/>
  <c r="G479" i="79" s="1"/>
  <c r="F479" i="79" a="1"/>
  <c r="F479" i="79" s="1"/>
  <c r="E479" i="79" a="1"/>
  <c r="E479" i="79" s="1"/>
  <c r="D479" i="79" a="1"/>
  <c r="D479" i="79" s="1"/>
  <c r="I478" i="79" a="1"/>
  <c r="I478" i="79" s="1"/>
  <c r="H478" i="79" a="1"/>
  <c r="H478" i="79" s="1"/>
  <c r="G478" i="79" a="1"/>
  <c r="G478" i="79" s="1"/>
  <c r="F478" i="79" a="1"/>
  <c r="F478" i="79" s="1"/>
  <c r="E478" i="79" a="1"/>
  <c r="E478" i="79" s="1"/>
  <c r="D478" i="79" a="1"/>
  <c r="D478" i="79" s="1"/>
  <c r="I477" i="79" a="1"/>
  <c r="I477" i="79" s="1"/>
  <c r="H477" i="79" a="1"/>
  <c r="H477" i="79" s="1"/>
  <c r="G477" i="79" a="1"/>
  <c r="G477" i="79" s="1"/>
  <c r="F477" i="79" a="1"/>
  <c r="F477" i="79" s="1"/>
  <c r="E477" i="79" a="1"/>
  <c r="E477" i="79" s="1"/>
  <c r="D477" i="79" a="1"/>
  <c r="D477" i="79" s="1"/>
  <c r="I476" i="79" a="1"/>
  <c r="I476" i="79" s="1"/>
  <c r="H476" i="79" a="1"/>
  <c r="H476" i="79" s="1"/>
  <c r="G476" i="79" a="1"/>
  <c r="G476" i="79" s="1"/>
  <c r="F476" i="79" a="1"/>
  <c r="F476" i="79" s="1"/>
  <c r="E476" i="79" a="1"/>
  <c r="E476" i="79" s="1"/>
  <c r="D476" i="79" a="1"/>
  <c r="D476" i="79" s="1"/>
  <c r="I475" i="79" a="1"/>
  <c r="I475" i="79" s="1"/>
  <c r="H475" i="79" a="1"/>
  <c r="H475" i="79" s="1"/>
  <c r="G475" i="79" a="1"/>
  <c r="G475" i="79" s="1"/>
  <c r="F475" i="79" a="1"/>
  <c r="F475" i="79" s="1"/>
  <c r="E475" i="79" a="1"/>
  <c r="E475" i="79" s="1"/>
  <c r="D475" i="79" a="1"/>
  <c r="D475" i="79" s="1"/>
  <c r="I474" i="79" a="1"/>
  <c r="I474" i="79" s="1"/>
  <c r="H474" i="79" a="1"/>
  <c r="H474" i="79" s="1"/>
  <c r="G474" i="79" a="1"/>
  <c r="G474" i="79" s="1"/>
  <c r="F474" i="79" a="1"/>
  <c r="F474" i="79" s="1"/>
  <c r="E474" i="79" a="1"/>
  <c r="E474" i="79" s="1"/>
  <c r="D474" i="79" a="1"/>
  <c r="D474" i="79" s="1"/>
  <c r="I473" i="79" a="1"/>
  <c r="I473" i="79" s="1"/>
  <c r="H473" i="79" a="1"/>
  <c r="H473" i="79" s="1"/>
  <c r="G473" i="79" a="1"/>
  <c r="G473" i="79" s="1"/>
  <c r="F473" i="79" a="1"/>
  <c r="F473" i="79" s="1"/>
  <c r="E473" i="79" a="1"/>
  <c r="E473" i="79" s="1"/>
  <c r="D473" i="79" a="1"/>
  <c r="D473" i="79" s="1"/>
  <c r="I472" i="79" a="1"/>
  <c r="I472" i="79" s="1"/>
  <c r="H472" i="79" a="1"/>
  <c r="H472" i="79" s="1"/>
  <c r="G472" i="79" a="1"/>
  <c r="G472" i="79" s="1"/>
  <c r="F472" i="79" a="1"/>
  <c r="F472" i="79" s="1"/>
  <c r="E472" i="79" a="1"/>
  <c r="E472" i="79" s="1"/>
  <c r="D472" i="79" a="1"/>
  <c r="D472" i="79" s="1"/>
  <c r="I471" i="79" a="1"/>
  <c r="I471" i="79" s="1"/>
  <c r="H471" i="79" a="1"/>
  <c r="H471" i="79" s="1"/>
  <c r="G471" i="79" a="1"/>
  <c r="G471" i="79" s="1"/>
  <c r="F471" i="79" a="1"/>
  <c r="F471" i="79" s="1"/>
  <c r="E471" i="79" a="1"/>
  <c r="E471" i="79" s="1"/>
  <c r="D471" i="79" a="1"/>
  <c r="D471" i="79" s="1"/>
  <c r="I470" i="79" a="1"/>
  <c r="I470" i="79" s="1"/>
  <c r="H470" i="79" a="1"/>
  <c r="H470" i="79" s="1"/>
  <c r="G470" i="79" a="1"/>
  <c r="G470" i="79" s="1"/>
  <c r="F470" i="79" a="1"/>
  <c r="F470" i="79" s="1"/>
  <c r="E470" i="79" a="1"/>
  <c r="E470" i="79" s="1"/>
  <c r="D470" i="79" a="1"/>
  <c r="D470" i="79" s="1"/>
  <c r="I469" i="79" a="1"/>
  <c r="I469" i="79" s="1"/>
  <c r="H469" i="79" a="1"/>
  <c r="H469" i="79" s="1"/>
  <c r="G469" i="79" a="1"/>
  <c r="G469" i="79" s="1"/>
  <c r="F469" i="79" a="1"/>
  <c r="F469" i="79" s="1"/>
  <c r="E469" i="79" a="1"/>
  <c r="E469" i="79" s="1"/>
  <c r="D469" i="79" a="1"/>
  <c r="D469" i="79" s="1"/>
  <c r="I468" i="79" a="1"/>
  <c r="I468" i="79" s="1"/>
  <c r="H468" i="79" a="1"/>
  <c r="H468" i="79" s="1"/>
  <c r="G468" i="79" a="1"/>
  <c r="G468" i="79" s="1"/>
  <c r="F468" i="79" a="1"/>
  <c r="F468" i="79" s="1"/>
  <c r="E468" i="79" a="1"/>
  <c r="E468" i="79" s="1"/>
  <c r="D468" i="79" a="1"/>
  <c r="D468" i="79" s="1"/>
  <c r="I467" i="79" a="1"/>
  <c r="I467" i="79" s="1"/>
  <c r="H467" i="79" a="1"/>
  <c r="H467" i="79" s="1"/>
  <c r="G467" i="79" a="1"/>
  <c r="G467" i="79" s="1"/>
  <c r="F467" i="79" a="1"/>
  <c r="F467" i="79" s="1"/>
  <c r="E467" i="79" a="1"/>
  <c r="E467" i="79" s="1"/>
  <c r="D467" i="79" a="1"/>
  <c r="D467" i="79" s="1"/>
  <c r="I466" i="79" a="1"/>
  <c r="I466" i="79" s="1"/>
  <c r="H466" i="79" a="1"/>
  <c r="H466" i="79" s="1"/>
  <c r="G466" i="79" a="1"/>
  <c r="G466" i="79" s="1"/>
  <c r="F466" i="79" a="1"/>
  <c r="F466" i="79" s="1"/>
  <c r="E466" i="79" a="1"/>
  <c r="E466" i="79" s="1"/>
  <c r="D466" i="79" a="1"/>
  <c r="D466" i="79" s="1"/>
  <c r="I465" i="79" a="1"/>
  <c r="I465" i="79" s="1"/>
  <c r="H465" i="79" a="1"/>
  <c r="H465" i="79" s="1"/>
  <c r="G465" i="79" a="1"/>
  <c r="G465" i="79" s="1"/>
  <c r="F465" i="79" a="1"/>
  <c r="F465" i="79" s="1"/>
  <c r="E465" i="79" a="1"/>
  <c r="E465" i="79" s="1"/>
  <c r="D465" i="79" a="1"/>
  <c r="D465" i="79" s="1"/>
  <c r="I464" i="79" a="1"/>
  <c r="I464" i="79" s="1"/>
  <c r="H464" i="79" a="1"/>
  <c r="H464" i="79" s="1"/>
  <c r="G464" i="79" a="1"/>
  <c r="G464" i="79" s="1"/>
  <c r="F464" i="79" a="1"/>
  <c r="F464" i="79" s="1"/>
  <c r="E464" i="79" a="1"/>
  <c r="E464" i="79" s="1"/>
  <c r="D464" i="79" a="1"/>
  <c r="D464" i="79" s="1"/>
  <c r="I463" i="79" a="1"/>
  <c r="I463" i="79" s="1"/>
  <c r="H463" i="79" a="1"/>
  <c r="H463" i="79" s="1"/>
  <c r="G463" i="79" a="1"/>
  <c r="G463" i="79" s="1"/>
  <c r="F463" i="79" a="1"/>
  <c r="F463" i="79" s="1"/>
  <c r="E463" i="79" a="1"/>
  <c r="E463" i="79" s="1"/>
  <c r="D463" i="79" a="1"/>
  <c r="D463" i="79" s="1"/>
  <c r="I462" i="79" a="1"/>
  <c r="I462" i="79" s="1"/>
  <c r="H462" i="79" a="1"/>
  <c r="H462" i="79" s="1"/>
  <c r="G462" i="79" a="1"/>
  <c r="G462" i="79" s="1"/>
  <c r="F462" i="79" a="1"/>
  <c r="F462" i="79" s="1"/>
  <c r="E462" i="79" a="1"/>
  <c r="E462" i="79" s="1"/>
  <c r="D462" i="79" a="1"/>
  <c r="D462" i="79" s="1"/>
  <c r="I461" i="79" a="1"/>
  <c r="I461" i="79" s="1"/>
  <c r="H461" i="79" a="1"/>
  <c r="H461" i="79" s="1"/>
  <c r="G461" i="79" a="1"/>
  <c r="G461" i="79" s="1"/>
  <c r="F461" i="79" a="1"/>
  <c r="F461" i="79" s="1"/>
  <c r="E461" i="79" a="1"/>
  <c r="E461" i="79" s="1"/>
  <c r="D461" i="79" a="1"/>
  <c r="D461" i="79" s="1"/>
  <c r="I460" i="79" a="1"/>
  <c r="I460" i="79" s="1"/>
  <c r="H460" i="79" a="1"/>
  <c r="H460" i="79" s="1"/>
  <c r="G460" i="79" a="1"/>
  <c r="G460" i="79" s="1"/>
  <c r="F460" i="79" a="1"/>
  <c r="F460" i="79" s="1"/>
  <c r="E460" i="79" a="1"/>
  <c r="E460" i="79" s="1"/>
  <c r="D460" i="79" a="1"/>
  <c r="D460" i="79" s="1"/>
  <c r="I459" i="79" a="1"/>
  <c r="I459" i="79" s="1"/>
  <c r="H459" i="79" a="1"/>
  <c r="H459" i="79" s="1"/>
  <c r="G459" i="79" a="1"/>
  <c r="G459" i="79" s="1"/>
  <c r="F459" i="79" a="1"/>
  <c r="F459" i="79" s="1"/>
  <c r="E459" i="79" a="1"/>
  <c r="E459" i="79" s="1"/>
  <c r="D459" i="79" a="1"/>
  <c r="D459" i="79" s="1"/>
  <c r="I458" i="79" a="1"/>
  <c r="I458" i="79" s="1"/>
  <c r="H458" i="79" a="1"/>
  <c r="H458" i="79" s="1"/>
  <c r="G458" i="79" a="1"/>
  <c r="G458" i="79" s="1"/>
  <c r="F458" i="79" a="1"/>
  <c r="F458" i="79" s="1"/>
  <c r="E458" i="79" a="1"/>
  <c r="E458" i="79" s="1"/>
  <c r="D458" i="79" a="1"/>
  <c r="D458" i="79" s="1"/>
  <c r="I457" i="79" a="1"/>
  <c r="I457" i="79" s="1"/>
  <c r="H457" i="79" a="1"/>
  <c r="H457" i="79" s="1"/>
  <c r="G457" i="79" a="1"/>
  <c r="G457" i="79" s="1"/>
  <c r="F457" i="79" a="1"/>
  <c r="F457" i="79" s="1"/>
  <c r="E457" i="79" a="1"/>
  <c r="E457" i="79" s="1"/>
  <c r="D457" i="79" a="1"/>
  <c r="D457" i="79" s="1"/>
  <c r="I456" i="79" a="1"/>
  <c r="I456" i="79" s="1"/>
  <c r="H456" i="79" a="1"/>
  <c r="H456" i="79" s="1"/>
  <c r="G456" i="79" a="1"/>
  <c r="G456" i="79" s="1"/>
  <c r="F456" i="79" a="1"/>
  <c r="F456" i="79" s="1"/>
  <c r="E456" i="79" a="1"/>
  <c r="E456" i="79" s="1"/>
  <c r="D456" i="79" a="1"/>
  <c r="D456" i="79" s="1"/>
  <c r="I455" i="79" a="1"/>
  <c r="I455" i="79" s="1"/>
  <c r="H455" i="79" a="1"/>
  <c r="H455" i="79" s="1"/>
  <c r="G455" i="79" a="1"/>
  <c r="G455" i="79" s="1"/>
  <c r="F455" i="79" a="1"/>
  <c r="F455" i="79" s="1"/>
  <c r="E455" i="79" a="1"/>
  <c r="E455" i="79" s="1"/>
  <c r="D455" i="79" a="1"/>
  <c r="D455" i="79" s="1"/>
  <c r="I454" i="79" a="1"/>
  <c r="I454" i="79" s="1"/>
  <c r="H454" i="79" a="1"/>
  <c r="H454" i="79" s="1"/>
  <c r="G454" i="79" a="1"/>
  <c r="G454" i="79" s="1"/>
  <c r="F454" i="79" a="1"/>
  <c r="F454" i="79" s="1"/>
  <c r="E454" i="79" a="1"/>
  <c r="E454" i="79" s="1"/>
  <c r="D454" i="79" a="1"/>
  <c r="D454" i="79" s="1"/>
  <c r="I453" i="79" a="1"/>
  <c r="I453" i="79" s="1"/>
  <c r="H453" i="79" a="1"/>
  <c r="H453" i="79" s="1"/>
  <c r="G453" i="79" a="1"/>
  <c r="G453" i="79" s="1"/>
  <c r="F453" i="79" a="1"/>
  <c r="F453" i="79" s="1"/>
  <c r="E453" i="79" a="1"/>
  <c r="E453" i="79" s="1"/>
  <c r="D453" i="79" a="1"/>
  <c r="D453" i="79" s="1"/>
  <c r="I452" i="79" a="1"/>
  <c r="I452" i="79" s="1"/>
  <c r="H452" i="79" a="1"/>
  <c r="H452" i="79" s="1"/>
  <c r="G452" i="79" a="1"/>
  <c r="G452" i="79" s="1"/>
  <c r="F452" i="79" a="1"/>
  <c r="F452" i="79" s="1"/>
  <c r="E452" i="79" a="1"/>
  <c r="E452" i="79" s="1"/>
  <c r="D452" i="79" a="1"/>
  <c r="D452" i="79" s="1"/>
  <c r="I451" i="79" a="1"/>
  <c r="I451" i="79" s="1"/>
  <c r="H451" i="79" a="1"/>
  <c r="H451" i="79" s="1"/>
  <c r="G451" i="79" a="1"/>
  <c r="G451" i="79" s="1"/>
  <c r="F451" i="79" a="1"/>
  <c r="F451" i="79" s="1"/>
  <c r="E451" i="79" a="1"/>
  <c r="E451" i="79" s="1"/>
  <c r="D451" i="79" a="1"/>
  <c r="D451" i="79" s="1"/>
  <c r="I450" i="79" a="1"/>
  <c r="I450" i="79" s="1"/>
  <c r="H450" i="79" a="1"/>
  <c r="H450" i="79" s="1"/>
  <c r="G450" i="79" a="1"/>
  <c r="G450" i="79" s="1"/>
  <c r="F450" i="79" a="1"/>
  <c r="F450" i="79" s="1"/>
  <c r="E450" i="79" a="1"/>
  <c r="E450" i="79" s="1"/>
  <c r="D450" i="79" a="1"/>
  <c r="D450" i="79" s="1"/>
  <c r="I449" i="79" a="1"/>
  <c r="I449" i="79" s="1"/>
  <c r="H449" i="79" a="1"/>
  <c r="H449" i="79" s="1"/>
  <c r="G449" i="79" a="1"/>
  <c r="G449" i="79" s="1"/>
  <c r="F449" i="79" a="1"/>
  <c r="F449" i="79" s="1"/>
  <c r="E449" i="79" a="1"/>
  <c r="E449" i="79" s="1"/>
  <c r="D449" i="79" a="1"/>
  <c r="D449" i="79" s="1"/>
  <c r="I448" i="79" a="1"/>
  <c r="I448" i="79" s="1"/>
  <c r="H448" i="79" a="1"/>
  <c r="H448" i="79" s="1"/>
  <c r="G448" i="79" a="1"/>
  <c r="G448" i="79" s="1"/>
  <c r="F448" i="79" a="1"/>
  <c r="F448" i="79" s="1"/>
  <c r="E448" i="79" a="1"/>
  <c r="E448" i="79" s="1"/>
  <c r="D448" i="79" a="1"/>
  <c r="D448" i="79" s="1"/>
  <c r="I447" i="79" a="1"/>
  <c r="I447" i="79" s="1"/>
  <c r="H447" i="79" a="1"/>
  <c r="H447" i="79" s="1"/>
  <c r="G447" i="79" a="1"/>
  <c r="G447" i="79" s="1"/>
  <c r="F447" i="79" a="1"/>
  <c r="F447" i="79" s="1"/>
  <c r="E447" i="79" a="1"/>
  <c r="E447" i="79" s="1"/>
  <c r="D447" i="79" a="1"/>
  <c r="D447" i="79" s="1"/>
  <c r="I446" i="79" a="1"/>
  <c r="I446" i="79" s="1"/>
  <c r="H446" i="79" a="1"/>
  <c r="H446" i="79" s="1"/>
  <c r="G446" i="79" a="1"/>
  <c r="G446" i="79" s="1"/>
  <c r="F446" i="79" a="1"/>
  <c r="F446" i="79" s="1"/>
  <c r="E446" i="79" a="1"/>
  <c r="E446" i="79" s="1"/>
  <c r="D446" i="79" a="1"/>
  <c r="D446" i="79" s="1"/>
  <c r="I445" i="79" a="1"/>
  <c r="I445" i="79" s="1"/>
  <c r="H445" i="79" a="1"/>
  <c r="H445" i="79" s="1"/>
  <c r="G445" i="79" a="1"/>
  <c r="G445" i="79" s="1"/>
  <c r="F445" i="79" a="1"/>
  <c r="F445" i="79" s="1"/>
  <c r="E445" i="79" a="1"/>
  <c r="E445" i="79" s="1"/>
  <c r="D445" i="79" a="1"/>
  <c r="D445" i="79" s="1"/>
  <c r="I444" i="79" a="1"/>
  <c r="I444" i="79" s="1"/>
  <c r="H444" i="79" a="1"/>
  <c r="H444" i="79" s="1"/>
  <c r="G444" i="79" a="1"/>
  <c r="G444" i="79" s="1"/>
  <c r="F444" i="79" a="1"/>
  <c r="F444" i="79" s="1"/>
  <c r="E444" i="79" a="1"/>
  <c r="E444" i="79" s="1"/>
  <c r="D444" i="79" a="1"/>
  <c r="D444" i="79" s="1"/>
  <c r="I443" i="79" a="1"/>
  <c r="I443" i="79" s="1"/>
  <c r="H443" i="79" a="1"/>
  <c r="H443" i="79" s="1"/>
  <c r="G443" i="79" a="1"/>
  <c r="G443" i="79" s="1"/>
  <c r="F443" i="79" a="1"/>
  <c r="F443" i="79" s="1"/>
  <c r="E443" i="79" a="1"/>
  <c r="E443" i="79" s="1"/>
  <c r="D443" i="79" a="1"/>
  <c r="D443" i="79" s="1"/>
  <c r="D59" i="69"/>
  <c r="D58" i="69"/>
  <c r="D57" i="69"/>
  <c r="D56" i="69"/>
  <c r="V117" i="69" a="1"/>
  <c r="V117" i="69" s="1"/>
  <c r="E115" i="69" a="1"/>
  <c r="E115" i="69" s="1"/>
  <c r="E107" i="69" a="1"/>
  <c r="E107" i="69" s="1"/>
  <c r="J16" i="69"/>
  <c r="G37" i="69" l="1" a="1"/>
  <c r="G37" i="69" s="1"/>
  <c r="U112" i="69" l="1" a="1"/>
  <c r="U112" i="69" s="1"/>
  <c r="U92" i="69" a="1"/>
  <c r="U92" i="69" s="1"/>
  <c r="I102" i="69" a="1"/>
  <c r="I102" i="69" s="1"/>
  <c r="I100" i="69" a="1"/>
  <c r="I100" i="69" s="1"/>
  <c r="I101" i="69" a="1"/>
  <c r="I101" i="69" s="1"/>
  <c r="G100" i="69" a="1"/>
  <c r="G100" i="69" s="1"/>
  <c r="AF133" i="69" s="1"/>
  <c r="D100" i="69" a="1"/>
  <c r="D100" i="69" s="1"/>
  <c r="E98" i="69" a="1"/>
  <c r="E98" i="69" s="1"/>
  <c r="E97" i="69" a="1"/>
  <c r="E97" i="69" s="1"/>
  <c r="D93" i="69" a="1"/>
  <c r="D93" i="69" s="1"/>
  <c r="D92" i="69" a="1"/>
  <c r="D92" i="69" s="1"/>
  <c r="D71" i="69" a="1"/>
  <c r="D71" i="69" s="1"/>
  <c r="G80" i="69" a="1"/>
  <c r="G80" i="69" s="1"/>
  <c r="AF97" i="69" s="1"/>
  <c r="D80" i="69" a="1"/>
  <c r="D80" i="69" s="1"/>
  <c r="E78" i="69" a="1"/>
  <c r="E78" i="69" s="1"/>
  <c r="E77" i="69" a="1"/>
  <c r="E77" i="69" s="1"/>
  <c r="D72" i="69" a="1"/>
  <c r="D72" i="69" s="1"/>
  <c r="I43" i="69" a="1"/>
  <c r="I43" i="69" s="1"/>
  <c r="I42" i="69" a="1"/>
  <c r="I42" i="69" s="1"/>
  <c r="I41" i="69" a="1"/>
  <c r="I41" i="69" s="1"/>
  <c r="G41" i="69" a="1"/>
  <c r="G41" i="69" s="1"/>
  <c r="D41" i="69" a="1"/>
  <c r="D41" i="69" s="1"/>
  <c r="J13" i="69" a="1"/>
  <c r="J13" i="69" s="1"/>
  <c r="H13" i="69" a="1"/>
  <c r="H13" i="69" s="1"/>
  <c r="D13" i="69" a="1"/>
  <c r="D13" i="69" s="1"/>
  <c r="I80" i="69" a="1"/>
  <c r="I80" i="69" s="1"/>
  <c r="E73" i="69" a="1"/>
  <c r="E94" i="69" a="1"/>
  <c r="O123" i="69" l="1"/>
  <c r="W162" i="69"/>
  <c r="O115" i="69"/>
  <c r="O107" i="69"/>
  <c r="F128" i="69"/>
  <c r="AF117" i="69"/>
  <c r="AF149" i="69"/>
  <c r="O85" i="69"/>
  <c r="E94" i="69"/>
  <c r="E73" i="69"/>
  <c r="E29" i="69" l="1" a="1"/>
  <c r="E29" i="69" s="1"/>
  <c r="W22" i="69"/>
  <c r="V22" i="69"/>
  <c r="X22" i="69"/>
  <c r="D6" i="69" a="1"/>
  <c r="D6" i="69" s="1"/>
  <c r="G21" i="69"/>
  <c r="F21" i="69"/>
  <c r="E21" i="69"/>
  <c r="V37" i="69" l="1" a="1"/>
  <c r="V37" i="69" s="1"/>
  <c r="V31" i="69" a="1"/>
  <c r="V31" i="69" s="1"/>
  <c r="W31" i="69" s="1" a="1"/>
  <c r="W31" i="69" s="1"/>
  <c r="AB31" i="69" s="1" a="1"/>
  <c r="AB31" i="69" s="1"/>
  <c r="V32" i="69" a="1"/>
  <c r="V32" i="69" s="1"/>
  <c r="W32" i="69" s="1" a="1"/>
  <c r="W32" i="69" s="1"/>
  <c r="AC32" i="69" s="1" a="1"/>
  <c r="AC32" i="69" s="1"/>
  <c r="V38" i="69" a="1"/>
  <c r="V38" i="69" s="1"/>
  <c r="V39" i="69" a="1"/>
  <c r="V39" i="69" s="1"/>
  <c r="V28" i="69" a="1"/>
  <c r="V28" i="69" s="1"/>
  <c r="V29" i="69" a="1"/>
  <c r="V29" i="69" s="1"/>
  <c r="V30" i="69" a="1"/>
  <c r="V30" i="69" s="1"/>
  <c r="V33" i="69" a="1"/>
  <c r="V33" i="69" s="1"/>
  <c r="W33" i="69" s="1" a="1"/>
  <c r="W33" i="69" s="1"/>
  <c r="V34" i="69" a="1"/>
  <c r="V34" i="69" s="1"/>
  <c r="W34" i="69" s="1" a="1"/>
  <c r="W34" i="69" s="1"/>
  <c r="V35" i="69" a="1"/>
  <c r="V35" i="69" s="1"/>
  <c r="V36" i="69" a="1"/>
  <c r="V36" i="69" s="1"/>
  <c r="E26" i="69" a="1"/>
  <c r="E26" i="69" s="1"/>
  <c r="E27" i="69" a="1"/>
  <c r="E27" i="69" s="1"/>
  <c r="F27" i="69" s="1" a="1"/>
  <c r="F27" i="69" s="1"/>
  <c r="E28" i="69" a="1"/>
  <c r="E28" i="69" s="1"/>
  <c r="F28" i="69" s="1" a="1"/>
  <c r="F28" i="69" s="1"/>
  <c r="L28" i="69" s="1" a="1"/>
  <c r="L28" i="69" s="1"/>
  <c r="D440" i="79" a="1"/>
  <c r="D440" i="79" s="1"/>
  <c r="D439" i="79" a="1"/>
  <c r="D439" i="79" s="1"/>
  <c r="D438" i="79" a="1"/>
  <c r="D438" i="79" s="1"/>
  <c r="D437" i="79" a="1"/>
  <c r="D437" i="79" s="1"/>
  <c r="D436" i="79" a="1"/>
  <c r="D436" i="79" s="1"/>
  <c r="D434" i="79" a="1"/>
  <c r="D434" i="79" s="1"/>
  <c r="D433" i="79" a="1"/>
  <c r="D433" i="79" s="1"/>
  <c r="D432" i="79" a="1"/>
  <c r="D432" i="79" s="1"/>
  <c r="D431" i="79" a="1"/>
  <c r="D431" i="79" s="1"/>
  <c r="D430" i="79" a="1"/>
  <c r="D430" i="79" s="1"/>
  <c r="AA31" i="69" l="1" a="1"/>
  <c r="AA31" i="69" s="1"/>
  <c r="AC31" i="69" a="1"/>
  <c r="AC31" i="69" s="1"/>
  <c r="AB32" i="69" a="1"/>
  <c r="AB32" i="69" s="1"/>
  <c r="AA32" i="69" a="1"/>
  <c r="AA32" i="69" s="1"/>
  <c r="AB33" i="69" a="1"/>
  <c r="AB33" i="69" s="1"/>
  <c r="AA33" i="69" a="1"/>
  <c r="AA33" i="69" s="1"/>
  <c r="AC33" i="69" a="1"/>
  <c r="AC33" i="69" s="1"/>
  <c r="AB34" i="69" a="1"/>
  <c r="AB34" i="69" s="1"/>
  <c r="AA34" i="69" a="1"/>
  <c r="AA34" i="69" s="1"/>
  <c r="AC34" i="69" a="1"/>
  <c r="AC34" i="69" s="1"/>
  <c r="L27" i="69" a="1"/>
  <c r="L27" i="69" s="1"/>
  <c r="K27" i="69" a="1"/>
  <c r="K27" i="69" s="1"/>
  <c r="J27" i="69" a="1"/>
  <c r="J27" i="69" s="1"/>
  <c r="K28" i="69" a="1"/>
  <c r="K28" i="69" s="1"/>
  <c r="J28" i="69" a="1"/>
  <c r="J28" i="69" s="1"/>
  <c r="W167" i="69" l="1" a="1"/>
  <c r="W167" i="69" s="1"/>
  <c r="U164" i="69" a="1"/>
  <c r="U164" i="69" s="1"/>
  <c r="U160" i="69"/>
  <c r="U159" i="69"/>
  <c r="U158" i="69"/>
  <c r="U157" i="69"/>
  <c r="U156" i="69"/>
  <c r="U155" i="69"/>
  <c r="U154" i="69"/>
  <c r="U153" i="69"/>
  <c r="U152" i="69"/>
  <c r="U151" i="69"/>
  <c r="D130" i="69" a="1"/>
  <c r="D130" i="69" s="1"/>
  <c r="F133" i="69" a="1"/>
  <c r="F133" i="69" s="1"/>
  <c r="D428" i="79" a="1"/>
  <c r="D428" i="79" s="1"/>
  <c r="D427" i="79" a="1"/>
  <c r="D427" i="79" s="1"/>
  <c r="D426" i="79" a="1"/>
  <c r="D426" i="79" s="1"/>
  <c r="D425" i="79" a="1"/>
  <c r="D425" i="79" s="1"/>
  <c r="D424" i="79" a="1"/>
  <c r="D424" i="79" s="1"/>
  <c r="D422" i="79" a="1"/>
  <c r="D422" i="79" s="1"/>
  <c r="D421" i="79" a="1"/>
  <c r="D421" i="79" s="1"/>
  <c r="D420" i="79" a="1"/>
  <c r="D420" i="79" s="1"/>
  <c r="D419" i="79" a="1"/>
  <c r="D419" i="79" s="1"/>
  <c r="D418" i="79" a="1"/>
  <c r="D418" i="79" s="1"/>
  <c r="E35" i="69" a="1"/>
  <c r="U150" i="69" l="1"/>
  <c r="U149" i="69"/>
  <c r="E35" i="69"/>
  <c r="E39" i="69" l="1" a="1"/>
  <c r="E39" i="69" s="1"/>
  <c r="E38" i="69" a="1"/>
  <c r="E38" i="69" s="1"/>
  <c r="D34" i="69" a="1"/>
  <c r="D34" i="69" s="1"/>
  <c r="D33" i="69" a="1"/>
  <c r="D33" i="69" s="1"/>
  <c r="G415" i="79" a="1"/>
  <c r="G415" i="79" s="1"/>
  <c r="F415" i="79" a="1"/>
  <c r="F415" i="79" s="1"/>
  <c r="E415" i="79" a="1"/>
  <c r="E415" i="79" s="1"/>
  <c r="D415" i="79" a="1"/>
  <c r="D415" i="79" s="1"/>
  <c r="G414" i="79" a="1"/>
  <c r="G414" i="79" s="1"/>
  <c r="F414" i="79" a="1"/>
  <c r="F414" i="79" s="1"/>
  <c r="E414" i="79" a="1"/>
  <c r="E414" i="79" s="1"/>
  <c r="D414" i="79" a="1"/>
  <c r="D414" i="79" s="1"/>
  <c r="G413" i="79" a="1"/>
  <c r="G413" i="79" s="1"/>
  <c r="F413" i="79" a="1"/>
  <c r="F413" i="79" s="1"/>
  <c r="E413" i="79" a="1"/>
  <c r="E413" i="79" s="1"/>
  <c r="D413" i="79" a="1"/>
  <c r="D413" i="79" s="1"/>
  <c r="G412" i="79" a="1"/>
  <c r="G412" i="79" s="1"/>
  <c r="F412" i="79" a="1"/>
  <c r="F412" i="79" s="1"/>
  <c r="E412" i="79" a="1"/>
  <c r="E412" i="79" s="1"/>
  <c r="D412" i="79" a="1"/>
  <c r="D412" i="79" s="1"/>
  <c r="G411" i="79" a="1"/>
  <c r="G411" i="79" s="1"/>
  <c r="F411" i="79" a="1"/>
  <c r="F411" i="79" s="1"/>
  <c r="E411" i="79" a="1"/>
  <c r="E411" i="79" s="1"/>
  <c r="D411" i="79" a="1"/>
  <c r="D411" i="79" s="1"/>
  <c r="G410" i="79" a="1"/>
  <c r="G410" i="79" s="1"/>
  <c r="F410" i="79" a="1"/>
  <c r="F410" i="79" s="1"/>
  <c r="E410" i="79" a="1"/>
  <c r="E410" i="79" s="1"/>
  <c r="D410" i="79" a="1"/>
  <c r="D410" i="79" s="1"/>
  <c r="G409" i="79" a="1"/>
  <c r="G409" i="79" s="1"/>
  <c r="F409" i="79" a="1"/>
  <c r="F409" i="79" s="1"/>
  <c r="E409" i="79" a="1"/>
  <c r="E409" i="79" s="1"/>
  <c r="D409" i="79" a="1"/>
  <c r="D409" i="79" s="1"/>
  <c r="G408" i="79" a="1"/>
  <c r="G408" i="79" s="1"/>
  <c r="F408" i="79" a="1"/>
  <c r="F408" i="79" s="1"/>
  <c r="E408" i="79" a="1"/>
  <c r="E408" i="79" s="1"/>
  <c r="D408" i="79" a="1"/>
  <c r="D408" i="79" s="1"/>
  <c r="G407" i="79" a="1"/>
  <c r="G407" i="79" s="1"/>
  <c r="F407" i="79" a="1"/>
  <c r="F407" i="79" s="1"/>
  <c r="E407" i="79" a="1"/>
  <c r="E407" i="79" s="1"/>
  <c r="D407" i="79" a="1"/>
  <c r="D407" i="79" s="1"/>
  <c r="G406" i="79" a="1"/>
  <c r="G406" i="79" s="1"/>
  <c r="F406" i="79" a="1"/>
  <c r="F406" i="79" s="1"/>
  <c r="E406" i="79" a="1"/>
  <c r="E406" i="79" s="1"/>
  <c r="D406" i="79" a="1"/>
  <c r="D406" i="79" s="1"/>
  <c r="G405" i="79" a="1"/>
  <c r="G405" i="79" s="1"/>
  <c r="F405" i="79" a="1"/>
  <c r="F405" i="79" s="1"/>
  <c r="E405" i="79" a="1"/>
  <c r="E405" i="79" s="1"/>
  <c r="D405" i="79" a="1"/>
  <c r="D405" i="79" s="1"/>
  <c r="G404" i="79" a="1"/>
  <c r="G404" i="79" s="1"/>
  <c r="F404" i="79" a="1"/>
  <c r="F404" i="79" s="1"/>
  <c r="E404" i="79" a="1"/>
  <c r="E404" i="79" s="1"/>
  <c r="D404" i="79" a="1"/>
  <c r="D404" i="79" s="1"/>
  <c r="G403" i="79" a="1"/>
  <c r="G403" i="79" s="1"/>
  <c r="F403" i="79" a="1"/>
  <c r="F403" i="79" s="1"/>
  <c r="E403" i="79" a="1"/>
  <c r="E403" i="79" s="1"/>
  <c r="D403" i="79" a="1"/>
  <c r="D403" i="79" s="1"/>
  <c r="G402" i="79" a="1"/>
  <c r="G402" i="79" s="1"/>
  <c r="F402" i="79" a="1"/>
  <c r="F402" i="79" s="1"/>
  <c r="E402" i="79" a="1"/>
  <c r="E402" i="79" s="1"/>
  <c r="D402" i="79" a="1"/>
  <c r="D402" i="79" s="1"/>
  <c r="G401" i="79" a="1"/>
  <c r="G401" i="79" s="1"/>
  <c r="F401" i="79" a="1"/>
  <c r="F401" i="79" s="1"/>
  <c r="E401" i="79" a="1"/>
  <c r="E401" i="79" s="1"/>
  <c r="D401" i="79" a="1"/>
  <c r="D401" i="79" s="1"/>
  <c r="D399" i="79" a="1"/>
  <c r="D399" i="79" s="1"/>
  <c r="D398" i="79" a="1"/>
  <c r="D398" i="79" s="1"/>
  <c r="D397" i="79" a="1"/>
  <c r="D397" i="79" s="1"/>
  <c r="D396" i="79" a="1"/>
  <c r="D396" i="79" s="1"/>
  <c r="D395" i="79" a="1"/>
  <c r="D395" i="79" s="1"/>
  <c r="D392" i="79" a="1"/>
  <c r="D392" i="79" s="1"/>
  <c r="E392" i="79" a="1"/>
  <c r="E392" i="79" s="1"/>
  <c r="F392" i="79" a="1"/>
  <c r="F392" i="79" s="1"/>
  <c r="G392" i="79" a="1"/>
  <c r="G392" i="79" s="1"/>
  <c r="D391" i="79" a="1"/>
  <c r="D391" i="79" s="1"/>
  <c r="E391" i="79" a="1"/>
  <c r="E391" i="79" s="1"/>
  <c r="F391" i="79" a="1"/>
  <c r="F391" i="79" s="1"/>
  <c r="G391" i="79" a="1"/>
  <c r="G391" i="79" s="1"/>
  <c r="D390" i="79" a="1"/>
  <c r="D390" i="79" s="1"/>
  <c r="E390" i="79" a="1"/>
  <c r="E390" i="79" s="1"/>
  <c r="F390" i="79" a="1"/>
  <c r="F390" i="79" s="1"/>
  <c r="G390" i="79" a="1"/>
  <c r="G390" i="79" s="1"/>
  <c r="D389" i="79" a="1"/>
  <c r="D389" i="79" s="1"/>
  <c r="E389" i="79" a="1"/>
  <c r="E389" i="79" s="1"/>
  <c r="F389" i="79" a="1"/>
  <c r="F389" i="79" s="1"/>
  <c r="G389" i="79" a="1"/>
  <c r="G389" i="79" s="1"/>
  <c r="D388" i="79" a="1"/>
  <c r="D388" i="79" s="1"/>
  <c r="E388" i="79" a="1"/>
  <c r="E388" i="79" s="1"/>
  <c r="F388" i="79" a="1"/>
  <c r="F388" i="79" s="1"/>
  <c r="G388" i="79" a="1"/>
  <c r="G388" i="79" s="1"/>
  <c r="D387" i="79" a="1"/>
  <c r="D387" i="79" s="1"/>
  <c r="E387" i="79" a="1"/>
  <c r="E387" i="79" s="1"/>
  <c r="F387" i="79" a="1"/>
  <c r="F387" i="79" s="1"/>
  <c r="G387" i="79" a="1"/>
  <c r="G387" i="79" s="1"/>
  <c r="D386" i="79" a="1"/>
  <c r="D386" i="79" s="1"/>
  <c r="E386" i="79" a="1"/>
  <c r="E386" i="79" s="1"/>
  <c r="F386" i="79" a="1"/>
  <c r="F386" i="79" s="1"/>
  <c r="G386" i="79" a="1"/>
  <c r="G386" i="79" s="1"/>
  <c r="D385" i="79" a="1"/>
  <c r="D385" i="79" s="1"/>
  <c r="E385" i="79" a="1"/>
  <c r="E385" i="79" s="1"/>
  <c r="F385" i="79" a="1"/>
  <c r="F385" i="79" s="1"/>
  <c r="G385" i="79" a="1"/>
  <c r="G385" i="79" s="1"/>
  <c r="D384" i="79" a="1"/>
  <c r="D384" i="79" s="1"/>
  <c r="E384" i="79" a="1"/>
  <c r="E384" i="79" s="1"/>
  <c r="F384" i="79" a="1"/>
  <c r="F384" i="79" s="1"/>
  <c r="G384" i="79" a="1"/>
  <c r="G384" i="79" s="1"/>
  <c r="D383" i="79" a="1"/>
  <c r="D383" i="79" s="1"/>
  <c r="E383" i="79" a="1"/>
  <c r="E383" i="79" s="1"/>
  <c r="F383" i="79" a="1"/>
  <c r="F383" i="79" s="1"/>
  <c r="G383" i="79" a="1"/>
  <c r="G383" i="79" s="1"/>
  <c r="D382" i="79" a="1"/>
  <c r="D382" i="79" s="1"/>
  <c r="E382" i="79" a="1"/>
  <c r="E382" i="79" s="1"/>
  <c r="F382" i="79" a="1"/>
  <c r="F382" i="79" s="1"/>
  <c r="G382" i="79" a="1"/>
  <c r="G382" i="79" s="1"/>
  <c r="D381" i="79" a="1"/>
  <c r="D381" i="79" s="1"/>
  <c r="E381" i="79" a="1"/>
  <c r="E381" i="79" s="1"/>
  <c r="F381" i="79" a="1"/>
  <c r="F381" i="79" s="1"/>
  <c r="G381" i="79" a="1"/>
  <c r="G381" i="79" s="1"/>
  <c r="D380" i="79" a="1"/>
  <c r="D380" i="79" s="1"/>
  <c r="E380" i="79" a="1"/>
  <c r="E380" i="79" s="1"/>
  <c r="F380" i="79" a="1"/>
  <c r="F380" i="79" s="1"/>
  <c r="G380" i="79" a="1"/>
  <c r="G380" i="79" s="1"/>
  <c r="D379" i="79" a="1"/>
  <c r="D379" i="79" s="1"/>
  <c r="E379" i="79" a="1"/>
  <c r="E379" i="79" s="1"/>
  <c r="F379" i="79" a="1"/>
  <c r="F379" i="79" s="1"/>
  <c r="G379" i="79" a="1"/>
  <c r="G379" i="79" s="1"/>
  <c r="G378" i="79" a="1"/>
  <c r="G378" i="79" s="1"/>
  <c r="F378" i="79" a="1"/>
  <c r="F378" i="79" s="1"/>
  <c r="E378" i="79" a="1"/>
  <c r="E378" i="79" s="1"/>
  <c r="D378" i="79" a="1"/>
  <c r="D378" i="79" s="1"/>
  <c r="D376" i="79" a="1"/>
  <c r="D376" i="79" s="1"/>
  <c r="D375" i="79" a="1"/>
  <c r="D375" i="79" s="1"/>
  <c r="D374" i="79" a="1"/>
  <c r="D374" i="79" s="1"/>
  <c r="D373" i="79" a="1"/>
  <c r="D373" i="79" s="1"/>
  <c r="D372" i="79" a="1"/>
  <c r="D372" i="79" s="1"/>
  <c r="D358" i="79" a="1"/>
  <c r="D358" i="79" s="1"/>
  <c r="D369" i="79" s="1"/>
  <c r="E358" i="79" a="1"/>
  <c r="E358" i="79" s="1"/>
  <c r="E369" i="79" s="1"/>
  <c r="F358" i="79" a="1"/>
  <c r="F358" i="79" s="1"/>
  <c r="F369" i="79" s="1"/>
  <c r="G358" i="79" a="1"/>
  <c r="G358" i="79" s="1"/>
  <c r="G369" i="79" s="1"/>
  <c r="H358" i="79" a="1"/>
  <c r="H358" i="79" s="1"/>
  <c r="H369" i="79" s="1"/>
  <c r="I358" i="79" a="1"/>
  <c r="I358" i="79" s="1"/>
  <c r="I369" i="79" s="1"/>
  <c r="J358" i="79" a="1"/>
  <c r="J358" i="79" s="1"/>
  <c r="K369" i="79" s="1"/>
  <c r="K358" i="79" a="1"/>
  <c r="K358" i="79" s="1"/>
  <c r="N369" i="79" s="1"/>
  <c r="L358" i="79" a="1"/>
  <c r="L358" i="79" s="1"/>
  <c r="O369" i="79" s="1"/>
  <c r="D357" i="79" a="1"/>
  <c r="D357" i="79" s="1"/>
  <c r="D368" i="79" s="1"/>
  <c r="E357" i="79" a="1"/>
  <c r="E357" i="79" s="1"/>
  <c r="E368" i="79" s="1"/>
  <c r="F357" i="79" a="1"/>
  <c r="F357" i="79" s="1"/>
  <c r="F368" i="79" s="1"/>
  <c r="G357" i="79" a="1"/>
  <c r="G357" i="79" s="1"/>
  <c r="G368" i="79" s="1"/>
  <c r="H357" i="79" a="1"/>
  <c r="H357" i="79" s="1"/>
  <c r="H368" i="79" s="1"/>
  <c r="I357" i="79" a="1"/>
  <c r="I357" i="79" s="1"/>
  <c r="I368" i="79" s="1"/>
  <c r="J357" i="79" a="1"/>
  <c r="J357" i="79" s="1"/>
  <c r="K368" i="79" s="1"/>
  <c r="K357" i="79" a="1"/>
  <c r="K357" i="79" s="1"/>
  <c r="M368" i="79" s="1"/>
  <c r="L357" i="79" a="1"/>
  <c r="L357" i="79" s="1"/>
  <c r="O368" i="79" s="1"/>
  <c r="D356" i="79" a="1"/>
  <c r="D356" i="79" s="1"/>
  <c r="D367" i="79" s="1"/>
  <c r="E356" i="79" a="1"/>
  <c r="E356" i="79" s="1"/>
  <c r="E367" i="79" s="1"/>
  <c r="F356" i="79" a="1"/>
  <c r="F356" i="79" s="1"/>
  <c r="F367" i="79" s="1"/>
  <c r="G356" i="79" a="1"/>
  <c r="G356" i="79" s="1"/>
  <c r="G367" i="79" s="1"/>
  <c r="H356" i="79" a="1"/>
  <c r="H356" i="79" s="1"/>
  <c r="H367" i="79" s="1"/>
  <c r="I356" i="79" a="1"/>
  <c r="I356" i="79" s="1"/>
  <c r="J367" i="79" s="1"/>
  <c r="J356" i="79" a="1"/>
  <c r="J356" i="79" s="1"/>
  <c r="K367" i="79" s="1"/>
  <c r="K356" i="79" a="1"/>
  <c r="K356" i="79" s="1"/>
  <c r="L367" i="79" s="1"/>
  <c r="L356" i="79" a="1"/>
  <c r="L356" i="79" s="1"/>
  <c r="O367" i="79" s="1"/>
  <c r="D355" i="79" a="1"/>
  <c r="D355" i="79" s="1"/>
  <c r="D366" i="79" s="1"/>
  <c r="E355" i="79" a="1"/>
  <c r="E355" i="79" s="1"/>
  <c r="E366" i="79" s="1"/>
  <c r="F355" i="79" a="1"/>
  <c r="F355" i="79" s="1"/>
  <c r="F366" i="79" s="1"/>
  <c r="G355" i="79" a="1"/>
  <c r="G355" i="79" s="1"/>
  <c r="G366" i="79" s="1"/>
  <c r="H355" i="79" a="1"/>
  <c r="H355" i="79" s="1"/>
  <c r="H366" i="79" s="1"/>
  <c r="I355" i="79" a="1"/>
  <c r="I355" i="79" s="1"/>
  <c r="J366" i="79" s="1"/>
  <c r="J355" i="79" a="1"/>
  <c r="J355" i="79" s="1"/>
  <c r="K366" i="79" s="1"/>
  <c r="K355" i="79" a="1"/>
  <c r="K355" i="79" s="1"/>
  <c r="L366" i="79" s="1"/>
  <c r="L355" i="79" a="1"/>
  <c r="L355" i="79" s="1"/>
  <c r="O366" i="79" s="1"/>
  <c r="D354" i="79" a="1"/>
  <c r="D354" i="79" s="1"/>
  <c r="D365" i="79" s="1"/>
  <c r="E354" i="79" a="1"/>
  <c r="E354" i="79" s="1"/>
  <c r="E365" i="79" s="1"/>
  <c r="F354" i="79" a="1"/>
  <c r="F354" i="79" s="1"/>
  <c r="F365" i="79" s="1"/>
  <c r="G354" i="79" a="1"/>
  <c r="G354" i="79" s="1"/>
  <c r="G365" i="79" s="1"/>
  <c r="H354" i="79" a="1"/>
  <c r="H354" i="79" s="1"/>
  <c r="H365" i="79" s="1"/>
  <c r="I354" i="79" a="1"/>
  <c r="I354" i="79" s="1"/>
  <c r="I365" i="79" s="1"/>
  <c r="J354" i="79" a="1"/>
  <c r="J354" i="79" s="1"/>
  <c r="K365" i="79" s="1"/>
  <c r="K354" i="79" a="1"/>
  <c r="K354" i="79" s="1"/>
  <c r="M365" i="79" s="1"/>
  <c r="L354" i="79" a="1"/>
  <c r="L354" i="79" s="1"/>
  <c r="O365" i="79" s="1"/>
  <c r="D353" i="79" a="1"/>
  <c r="D353" i="79" s="1"/>
  <c r="D364" i="79" s="1"/>
  <c r="E353" i="79" a="1"/>
  <c r="E353" i="79" s="1"/>
  <c r="E364" i="79" s="1"/>
  <c r="F353" i="79" a="1"/>
  <c r="F353" i="79" s="1"/>
  <c r="F364" i="79" s="1"/>
  <c r="G353" i="79" a="1"/>
  <c r="G353" i="79" s="1"/>
  <c r="G364" i="79" s="1"/>
  <c r="H353" i="79" a="1"/>
  <c r="H353" i="79" s="1"/>
  <c r="H364" i="79" s="1"/>
  <c r="I353" i="79" a="1"/>
  <c r="I353" i="79" s="1"/>
  <c r="I364" i="79" s="1"/>
  <c r="J353" i="79" a="1"/>
  <c r="J353" i="79" s="1"/>
  <c r="K364" i="79" s="1"/>
  <c r="K353" i="79" a="1"/>
  <c r="K353" i="79" s="1"/>
  <c r="N364" i="79" s="1"/>
  <c r="L353" i="79" a="1"/>
  <c r="L353" i="79" s="1"/>
  <c r="O364" i="79" s="1"/>
  <c r="D352" i="79" a="1"/>
  <c r="D352" i="79" s="1"/>
  <c r="D363" i="79" s="1"/>
  <c r="E352" i="79" a="1"/>
  <c r="E352" i="79" s="1"/>
  <c r="E363" i="79" s="1"/>
  <c r="F352" i="79" a="1"/>
  <c r="F352" i="79" s="1"/>
  <c r="F363" i="79" s="1"/>
  <c r="G352" i="79" a="1"/>
  <c r="G352" i="79" s="1"/>
  <c r="G363" i="79" s="1"/>
  <c r="H352" i="79" a="1"/>
  <c r="H352" i="79" s="1"/>
  <c r="H363" i="79" s="1"/>
  <c r="I352" i="79" a="1"/>
  <c r="I352" i="79" s="1"/>
  <c r="J363" i="79" s="1"/>
  <c r="J352" i="79" a="1"/>
  <c r="J352" i="79" s="1"/>
  <c r="K363" i="79" s="1"/>
  <c r="K352" i="79" a="1"/>
  <c r="K352" i="79" s="1"/>
  <c r="N363" i="79" s="1"/>
  <c r="L352" i="79" a="1"/>
  <c r="L352" i="79" s="1"/>
  <c r="O363" i="79" s="1"/>
  <c r="L351" i="79" a="1"/>
  <c r="L351" i="79" s="1"/>
  <c r="O362" i="79" s="1"/>
  <c r="K351" i="79" a="1"/>
  <c r="K351" i="79" s="1"/>
  <c r="N362" i="79" s="1"/>
  <c r="J351" i="79" a="1"/>
  <c r="J351" i="79" s="1"/>
  <c r="K362" i="79" s="1"/>
  <c r="I351" i="79" a="1"/>
  <c r="I351" i="79" s="1"/>
  <c r="J362" i="79" s="1"/>
  <c r="H351" i="79" a="1"/>
  <c r="H351" i="79" s="1"/>
  <c r="H362" i="79" s="1"/>
  <c r="G351" i="79" a="1"/>
  <c r="G351" i="79" s="1"/>
  <c r="G362" i="79" s="1"/>
  <c r="F351" i="79" a="1"/>
  <c r="F351" i="79" s="1"/>
  <c r="F362" i="79" s="1"/>
  <c r="E351" i="79" a="1"/>
  <c r="E351" i="79" s="1"/>
  <c r="E362" i="79" s="1"/>
  <c r="D351" i="79" a="1"/>
  <c r="D351" i="79" s="1"/>
  <c r="D362" i="79" s="1"/>
  <c r="D349" i="79" a="1"/>
  <c r="D349" i="79" s="1"/>
  <c r="D348" i="79" a="1"/>
  <c r="D348" i="79" s="1"/>
  <c r="D347" i="79" a="1"/>
  <c r="D347" i="79" s="1"/>
  <c r="D346" i="79" a="1"/>
  <c r="D346" i="79" s="1"/>
  <c r="D345" i="79" a="1"/>
  <c r="D345" i="79" s="1"/>
  <c r="D342" i="79" a="1"/>
  <c r="D342" i="79" s="1"/>
  <c r="E342" i="79" a="1"/>
  <c r="E342" i="79" s="1"/>
  <c r="F342" i="79" a="1"/>
  <c r="F342" i="79" s="1"/>
  <c r="G342" i="79" a="1"/>
  <c r="G342" i="79" s="1"/>
  <c r="D341" i="79" a="1"/>
  <c r="D341" i="79" s="1"/>
  <c r="I338" i="79" s="1"/>
  <c r="E341" i="79" a="1"/>
  <c r="E341" i="79" s="1"/>
  <c r="F341" i="79" a="1"/>
  <c r="F341" i="79" s="1"/>
  <c r="K338" i="79" s="1"/>
  <c r="G341" i="79" a="1"/>
  <c r="G341" i="79" s="1"/>
  <c r="L338" i="79" s="1"/>
  <c r="D340" i="79" a="1"/>
  <c r="D340" i="79" s="1"/>
  <c r="I337" i="79" s="1"/>
  <c r="E340" i="79" a="1"/>
  <c r="E340" i="79" s="1"/>
  <c r="F340" i="79" a="1"/>
  <c r="F340" i="79" s="1"/>
  <c r="K337" i="79" s="1"/>
  <c r="G340" i="79" a="1"/>
  <c r="G340" i="79" s="1"/>
  <c r="L337" i="79" s="1"/>
  <c r="D339" i="79" a="1"/>
  <c r="D339" i="79" s="1"/>
  <c r="E339" i="79" a="1"/>
  <c r="E339" i="79" s="1"/>
  <c r="F339" i="79" a="1"/>
  <c r="F339" i="79" s="1"/>
  <c r="G339" i="79" a="1"/>
  <c r="G339" i="79" s="1"/>
  <c r="D338" i="79" a="1"/>
  <c r="D338" i="79" s="1"/>
  <c r="E338" i="79" a="1"/>
  <c r="E338" i="79" s="1"/>
  <c r="F338" i="79" a="1"/>
  <c r="F338" i="79" s="1"/>
  <c r="G338" i="79" a="1"/>
  <c r="G338" i="79" s="1"/>
  <c r="D337" i="79" a="1"/>
  <c r="D337" i="79" s="1"/>
  <c r="E337" i="79" a="1"/>
  <c r="E337" i="79" s="1"/>
  <c r="F337" i="79" a="1"/>
  <c r="F337" i="79" s="1"/>
  <c r="G337" i="79" a="1"/>
  <c r="G337" i="79" s="1"/>
  <c r="D336" i="79" a="1"/>
  <c r="D336" i="79" s="1"/>
  <c r="I336" i="79" s="1"/>
  <c r="E336" i="79" a="1"/>
  <c r="E336" i="79" s="1"/>
  <c r="F336" i="79" a="1"/>
  <c r="F336" i="79" s="1"/>
  <c r="K336" i="79" s="1"/>
  <c r="G336" i="79" a="1"/>
  <c r="G336" i="79" s="1"/>
  <c r="L336" i="79" s="1"/>
  <c r="G335" i="79" a="1"/>
  <c r="G335" i="79" s="1"/>
  <c r="L335" i="79" s="1"/>
  <c r="F335" i="79" a="1"/>
  <c r="F335" i="79" s="1"/>
  <c r="K335" i="79" s="1"/>
  <c r="E335" i="79" a="1"/>
  <c r="E335" i="79" s="1"/>
  <c r="D335" i="79" a="1"/>
  <c r="D335" i="79" s="1"/>
  <c r="I335" i="79" s="1"/>
  <c r="D333" i="79" a="1"/>
  <c r="D333" i="79" s="1"/>
  <c r="D332" i="79" a="1"/>
  <c r="D332" i="79" s="1"/>
  <c r="D331" i="79" a="1"/>
  <c r="D331" i="79" s="1"/>
  <c r="I328" i="79" a="1"/>
  <c r="I328" i="79" s="1"/>
  <c r="H328" i="79" a="1"/>
  <c r="H328" i="79" s="1"/>
  <c r="G328" i="79" a="1"/>
  <c r="G328" i="79" s="1"/>
  <c r="F328" i="79" a="1"/>
  <c r="F328" i="79" s="1"/>
  <c r="E328" i="79" a="1"/>
  <c r="E328" i="79" s="1"/>
  <c r="D328" i="79" a="1"/>
  <c r="D328" i="79" s="1"/>
  <c r="I327" i="79" a="1"/>
  <c r="I327" i="79" s="1"/>
  <c r="H327" i="79" a="1"/>
  <c r="H327" i="79" s="1"/>
  <c r="G327" i="79" a="1"/>
  <c r="G327" i="79" s="1"/>
  <c r="F327" i="79" a="1"/>
  <c r="F327" i="79" s="1"/>
  <c r="E327" i="79" a="1"/>
  <c r="E327" i="79" s="1"/>
  <c r="D327" i="79" a="1"/>
  <c r="D327" i="79" s="1"/>
  <c r="I326" i="79" a="1"/>
  <c r="I326" i="79" s="1"/>
  <c r="H326" i="79" a="1"/>
  <c r="H326" i="79" s="1"/>
  <c r="G326" i="79" a="1"/>
  <c r="G326" i="79" s="1"/>
  <c r="F326" i="79" a="1"/>
  <c r="F326" i="79" s="1"/>
  <c r="E326" i="79" a="1"/>
  <c r="E326" i="79" s="1"/>
  <c r="D326" i="79" a="1"/>
  <c r="D326" i="79" s="1"/>
  <c r="I325" i="79" a="1"/>
  <c r="I325" i="79" s="1"/>
  <c r="H325" i="79" a="1"/>
  <c r="H325" i="79" s="1"/>
  <c r="G325" i="79" a="1"/>
  <c r="G325" i="79" s="1"/>
  <c r="F325" i="79" a="1"/>
  <c r="F325" i="79" s="1"/>
  <c r="E325" i="79" a="1"/>
  <c r="E325" i="79" s="1"/>
  <c r="D325" i="79" a="1"/>
  <c r="D325" i="79" s="1"/>
  <c r="I324" i="79" a="1"/>
  <c r="I324" i="79" s="1"/>
  <c r="H324" i="79" a="1"/>
  <c r="H324" i="79" s="1"/>
  <c r="G324" i="79" a="1"/>
  <c r="G324" i="79" s="1"/>
  <c r="F324" i="79" a="1"/>
  <c r="F324" i="79" s="1"/>
  <c r="E324" i="79" a="1"/>
  <c r="E324" i="79" s="1"/>
  <c r="D324" i="79" a="1"/>
  <c r="D324" i="79" s="1"/>
  <c r="I323" i="79" a="1"/>
  <c r="I323" i="79" s="1"/>
  <c r="H323" i="79" a="1"/>
  <c r="H323" i="79" s="1"/>
  <c r="G323" i="79" a="1"/>
  <c r="G323" i="79" s="1"/>
  <c r="F323" i="79" a="1"/>
  <c r="F323" i="79" s="1"/>
  <c r="E323" i="79" a="1"/>
  <c r="E323" i="79" s="1"/>
  <c r="D323" i="79" a="1"/>
  <c r="D323" i="79" s="1"/>
  <c r="I322" i="79" a="1"/>
  <c r="I322" i="79" s="1"/>
  <c r="H322" i="79" a="1"/>
  <c r="H322" i="79" s="1"/>
  <c r="G322" i="79" a="1"/>
  <c r="G322" i="79" s="1"/>
  <c r="F322" i="79" a="1"/>
  <c r="F322" i="79" s="1"/>
  <c r="E322" i="79" a="1"/>
  <c r="E322" i="79" s="1"/>
  <c r="D322" i="79" a="1"/>
  <c r="D322" i="79" s="1"/>
  <c r="I321" i="79" a="1"/>
  <c r="I321" i="79" s="1"/>
  <c r="H321" i="79" a="1"/>
  <c r="H321" i="79" s="1"/>
  <c r="G321" i="79" a="1"/>
  <c r="G321" i="79" s="1"/>
  <c r="F321" i="79" a="1"/>
  <c r="F321" i="79" s="1"/>
  <c r="E321" i="79" a="1"/>
  <c r="E321" i="79" s="1"/>
  <c r="D321" i="79" a="1"/>
  <c r="D321" i="79" s="1"/>
  <c r="I320" i="79" a="1"/>
  <c r="I320" i="79" s="1"/>
  <c r="H320" i="79" a="1"/>
  <c r="H320" i="79" s="1"/>
  <c r="G320" i="79" a="1"/>
  <c r="G320" i="79" s="1"/>
  <c r="F320" i="79" a="1"/>
  <c r="F320" i="79" s="1"/>
  <c r="E320" i="79" a="1"/>
  <c r="E320" i="79" s="1"/>
  <c r="D320" i="79" a="1"/>
  <c r="D320" i="79" s="1"/>
  <c r="I319" i="79" a="1"/>
  <c r="I319" i="79" s="1"/>
  <c r="H319" i="79" a="1"/>
  <c r="H319" i="79" s="1"/>
  <c r="G319" i="79" a="1"/>
  <c r="G319" i="79" s="1"/>
  <c r="F319" i="79" a="1"/>
  <c r="F319" i="79" s="1"/>
  <c r="E319" i="79" a="1"/>
  <c r="E319" i="79" s="1"/>
  <c r="D319" i="79" a="1"/>
  <c r="D319" i="79" s="1"/>
  <c r="I318" i="79" a="1"/>
  <c r="I318" i="79" s="1"/>
  <c r="H318" i="79" a="1"/>
  <c r="H318" i="79" s="1"/>
  <c r="G318" i="79" a="1"/>
  <c r="G318" i="79" s="1"/>
  <c r="F318" i="79" a="1"/>
  <c r="F318" i="79" s="1"/>
  <c r="E318" i="79" a="1"/>
  <c r="E318" i="79" s="1"/>
  <c r="D318" i="79" a="1"/>
  <c r="D318" i="79" s="1"/>
  <c r="I317" i="79" a="1"/>
  <c r="I317" i="79" s="1"/>
  <c r="H317" i="79" a="1"/>
  <c r="H317" i="79" s="1"/>
  <c r="G317" i="79" a="1"/>
  <c r="G317" i="79" s="1"/>
  <c r="F317" i="79" a="1"/>
  <c r="F317" i="79" s="1"/>
  <c r="E317" i="79" a="1"/>
  <c r="E317" i="79" s="1"/>
  <c r="D317" i="79" a="1"/>
  <c r="D317" i="79" s="1"/>
  <c r="I316" i="79" a="1"/>
  <c r="I316" i="79" s="1"/>
  <c r="H316" i="79" a="1"/>
  <c r="H316" i="79" s="1"/>
  <c r="G316" i="79" a="1"/>
  <c r="G316" i="79" s="1"/>
  <c r="F316" i="79" a="1"/>
  <c r="F316" i="79" s="1"/>
  <c r="E316" i="79" a="1"/>
  <c r="E316" i="79" s="1"/>
  <c r="D316" i="79" a="1"/>
  <c r="D316" i="79" s="1"/>
  <c r="I315" i="79" a="1"/>
  <c r="I315" i="79" s="1"/>
  <c r="H315" i="79" a="1"/>
  <c r="H315" i="79" s="1"/>
  <c r="G315" i="79" a="1"/>
  <c r="G315" i="79" s="1"/>
  <c r="F315" i="79" a="1"/>
  <c r="F315" i="79" s="1"/>
  <c r="E315" i="79" a="1"/>
  <c r="E315" i="79" s="1"/>
  <c r="D315" i="79" a="1"/>
  <c r="D315" i="79" s="1"/>
  <c r="I314" i="79" a="1"/>
  <c r="I314" i="79" s="1"/>
  <c r="H314" i="79" a="1"/>
  <c r="H314" i="79" s="1"/>
  <c r="G314" i="79" a="1"/>
  <c r="G314" i="79" s="1"/>
  <c r="F314" i="79" a="1"/>
  <c r="F314" i="79" s="1"/>
  <c r="E314" i="79" a="1"/>
  <c r="E314" i="79" s="1"/>
  <c r="D314" i="79" a="1"/>
  <c r="D314" i="79" s="1"/>
  <c r="D312" i="79" a="1"/>
  <c r="D312" i="79" s="1"/>
  <c r="D311" i="79" a="1"/>
  <c r="D311" i="79" s="1"/>
  <c r="D310" i="79" a="1"/>
  <c r="D310" i="79" s="1"/>
  <c r="D309" i="79" a="1"/>
  <c r="D309" i="79" s="1"/>
  <c r="D308" i="79" a="1"/>
  <c r="D308" i="79" s="1"/>
  <c r="D305" i="79" a="1"/>
  <c r="D305" i="79" s="1"/>
  <c r="E305" i="79" a="1"/>
  <c r="E305" i="79" s="1"/>
  <c r="F305" i="79" a="1"/>
  <c r="F305" i="79" s="1"/>
  <c r="G305" i="79" a="1"/>
  <c r="G305" i="79" s="1"/>
  <c r="H305" i="79" a="1"/>
  <c r="H305" i="79" s="1"/>
  <c r="I305" i="79" a="1"/>
  <c r="I305" i="79" s="1"/>
  <c r="D304" i="79" a="1"/>
  <c r="D304" i="79" s="1"/>
  <c r="E304" i="79" a="1"/>
  <c r="E304" i="79" s="1"/>
  <c r="F304" i="79" a="1"/>
  <c r="F304" i="79" s="1"/>
  <c r="G304" i="79" a="1"/>
  <c r="G304" i="79" s="1"/>
  <c r="H304" i="79" a="1"/>
  <c r="H304" i="79" s="1"/>
  <c r="I304" i="79" a="1"/>
  <c r="I304" i="79" s="1"/>
  <c r="D303" i="79" a="1"/>
  <c r="D303" i="79" s="1"/>
  <c r="E303" i="79" a="1"/>
  <c r="E303" i="79" s="1"/>
  <c r="F303" i="79" a="1"/>
  <c r="F303" i="79" s="1"/>
  <c r="G303" i="79" a="1"/>
  <c r="G303" i="79" s="1"/>
  <c r="H303" i="79" a="1"/>
  <c r="H303" i="79" s="1"/>
  <c r="I303" i="79" a="1"/>
  <c r="I303" i="79" s="1"/>
  <c r="D302" i="79" a="1"/>
  <c r="D302" i="79" s="1"/>
  <c r="E302" i="79" a="1"/>
  <c r="E302" i="79" s="1"/>
  <c r="F302" i="79" a="1"/>
  <c r="F302" i="79" s="1"/>
  <c r="G302" i="79" a="1"/>
  <c r="G302" i="79" s="1"/>
  <c r="H302" i="79" a="1"/>
  <c r="H302" i="79" s="1"/>
  <c r="I302" i="79" a="1"/>
  <c r="I302" i="79" s="1"/>
  <c r="D301" i="79" a="1"/>
  <c r="D301" i="79" s="1"/>
  <c r="E301" i="79" a="1"/>
  <c r="E301" i="79" s="1"/>
  <c r="F301" i="79" a="1"/>
  <c r="F301" i="79" s="1"/>
  <c r="G301" i="79" a="1"/>
  <c r="G301" i="79" s="1"/>
  <c r="H301" i="79" a="1"/>
  <c r="H301" i="79" s="1"/>
  <c r="I301" i="79" a="1"/>
  <c r="I301" i="79" s="1"/>
  <c r="D300" i="79" a="1"/>
  <c r="D300" i="79" s="1"/>
  <c r="E300" i="79" a="1"/>
  <c r="E300" i="79" s="1"/>
  <c r="F300" i="79" a="1"/>
  <c r="F300" i="79" s="1"/>
  <c r="G300" i="79" a="1"/>
  <c r="G300" i="79" s="1"/>
  <c r="H300" i="79" a="1"/>
  <c r="H300" i="79" s="1"/>
  <c r="I300" i="79" a="1"/>
  <c r="I300" i="79" s="1"/>
  <c r="D299" i="79" a="1"/>
  <c r="D299" i="79" s="1"/>
  <c r="E299" i="79" a="1"/>
  <c r="E299" i="79" s="1"/>
  <c r="F299" i="79" a="1"/>
  <c r="F299" i="79" s="1"/>
  <c r="G299" i="79" a="1"/>
  <c r="G299" i="79" s="1"/>
  <c r="H299" i="79" a="1"/>
  <c r="H299" i="79" s="1"/>
  <c r="I299" i="79" a="1"/>
  <c r="I299" i="79" s="1"/>
  <c r="D298" i="79" a="1"/>
  <c r="D298" i="79" s="1"/>
  <c r="E298" i="79" a="1"/>
  <c r="E298" i="79" s="1"/>
  <c r="F298" i="79" a="1"/>
  <c r="F298" i="79" s="1"/>
  <c r="G298" i="79" a="1"/>
  <c r="G298" i="79" s="1"/>
  <c r="H298" i="79" a="1"/>
  <c r="H298" i="79" s="1"/>
  <c r="I298" i="79" a="1"/>
  <c r="I298" i="79" s="1"/>
  <c r="D297" i="79" a="1"/>
  <c r="D297" i="79" s="1"/>
  <c r="E297" i="79" a="1"/>
  <c r="E297" i="79" s="1"/>
  <c r="F297" i="79" a="1"/>
  <c r="F297" i="79" s="1"/>
  <c r="G297" i="79" a="1"/>
  <c r="G297" i="79" s="1"/>
  <c r="H297" i="79" a="1"/>
  <c r="H297" i="79" s="1"/>
  <c r="I297" i="79" a="1"/>
  <c r="I297" i="79" s="1"/>
  <c r="D296" i="79" a="1"/>
  <c r="D296" i="79" s="1"/>
  <c r="E296" i="79" a="1"/>
  <c r="E296" i="79" s="1"/>
  <c r="F296" i="79" a="1"/>
  <c r="F296" i="79" s="1"/>
  <c r="G296" i="79" a="1"/>
  <c r="G296" i="79" s="1"/>
  <c r="H296" i="79" a="1"/>
  <c r="H296" i="79" s="1"/>
  <c r="I296" i="79" a="1"/>
  <c r="I296" i="79" s="1"/>
  <c r="D295" i="79" a="1"/>
  <c r="D295" i="79" s="1"/>
  <c r="E295" i="79" a="1"/>
  <c r="E295" i="79" s="1"/>
  <c r="F295" i="79" a="1"/>
  <c r="F295" i="79" s="1"/>
  <c r="G295" i="79" a="1"/>
  <c r="G295" i="79" s="1"/>
  <c r="H295" i="79" a="1"/>
  <c r="H295" i="79" s="1"/>
  <c r="I295" i="79" a="1"/>
  <c r="I295" i="79" s="1"/>
  <c r="D294" i="79" a="1"/>
  <c r="D294" i="79" s="1"/>
  <c r="E294" i="79" a="1"/>
  <c r="E294" i="79" s="1"/>
  <c r="F294" i="79" a="1"/>
  <c r="F294" i="79" s="1"/>
  <c r="G294" i="79" a="1"/>
  <c r="G294" i="79" s="1"/>
  <c r="H294" i="79" a="1"/>
  <c r="H294" i="79" s="1"/>
  <c r="I294" i="79" a="1"/>
  <c r="I294" i="79" s="1"/>
  <c r="D293" i="79" a="1"/>
  <c r="D293" i="79" s="1"/>
  <c r="E293" i="79" a="1"/>
  <c r="E293" i="79" s="1"/>
  <c r="F293" i="79" a="1"/>
  <c r="F293" i="79" s="1"/>
  <c r="G293" i="79" a="1"/>
  <c r="G293" i="79" s="1"/>
  <c r="H293" i="79" a="1"/>
  <c r="H293" i="79" s="1"/>
  <c r="I293" i="79" a="1"/>
  <c r="I293" i="79" s="1"/>
  <c r="D292" i="79" a="1"/>
  <c r="D292" i="79" s="1"/>
  <c r="E292" i="79" a="1"/>
  <c r="E292" i="79" s="1"/>
  <c r="F292" i="79" a="1"/>
  <c r="F292" i="79" s="1"/>
  <c r="G292" i="79" a="1"/>
  <c r="G292" i="79" s="1"/>
  <c r="H292" i="79" a="1"/>
  <c r="H292" i="79" s="1"/>
  <c r="I292" i="79" a="1"/>
  <c r="I292" i="79" s="1"/>
  <c r="I291" i="79" a="1"/>
  <c r="I291" i="79" s="1"/>
  <c r="H291" i="79" a="1"/>
  <c r="H291" i="79" s="1"/>
  <c r="G291" i="79" a="1"/>
  <c r="G291" i="79" s="1"/>
  <c r="F291" i="79" a="1"/>
  <c r="F291" i="79" s="1"/>
  <c r="E291" i="79" a="1"/>
  <c r="E291" i="79" s="1"/>
  <c r="D291" i="79" a="1"/>
  <c r="D291" i="79" s="1"/>
  <c r="D289" i="79" a="1"/>
  <c r="D289" i="79" s="1"/>
  <c r="D288" i="79" a="1"/>
  <c r="D288" i="79" s="1"/>
  <c r="D287" i="79" a="1"/>
  <c r="D287" i="79" s="1"/>
  <c r="D286" i="79" a="1"/>
  <c r="D286" i="79" s="1"/>
  <c r="D285" i="79" a="1"/>
  <c r="D285" i="79" s="1"/>
  <c r="D217" i="79" a="1"/>
  <c r="D217" i="79" s="1"/>
  <c r="E217" i="79" a="1"/>
  <c r="E217" i="79" s="1"/>
  <c r="E282" i="79" s="1"/>
  <c r="F217" i="79" a="1"/>
  <c r="F217" i="79" s="1"/>
  <c r="F282" i="79" s="1"/>
  <c r="G217" i="79" a="1"/>
  <c r="G217" i="79" s="1"/>
  <c r="G282" i="79" s="1"/>
  <c r="H217" i="79" a="1"/>
  <c r="H217" i="79" s="1"/>
  <c r="H282" i="79" s="1"/>
  <c r="I217" i="79" a="1"/>
  <c r="I217" i="79" s="1"/>
  <c r="I282" i="79" s="1"/>
  <c r="J217" i="79" a="1"/>
  <c r="J217" i="79" s="1"/>
  <c r="J282" i="79" s="1"/>
  <c r="K217" i="79" a="1"/>
  <c r="K217" i="79" s="1"/>
  <c r="K282" i="79" s="1"/>
  <c r="L217" i="79" a="1"/>
  <c r="L217" i="79" s="1"/>
  <c r="L282" i="79" s="1"/>
  <c r="M217" i="79" a="1"/>
  <c r="M217" i="79" s="1"/>
  <c r="M282" i="79" s="1"/>
  <c r="N217" i="79" a="1"/>
  <c r="N217" i="79" s="1"/>
  <c r="N282" i="79" s="1"/>
  <c r="O217" i="79" a="1"/>
  <c r="O217" i="79" s="1"/>
  <c r="O282" i="79" s="1"/>
  <c r="P217" i="79" a="1"/>
  <c r="P217" i="79" s="1"/>
  <c r="P282" i="79" s="1"/>
  <c r="D216" i="79" a="1"/>
  <c r="D216" i="79" s="1"/>
  <c r="E216" i="79" a="1"/>
  <c r="E216" i="79" s="1"/>
  <c r="E281" i="79" s="1"/>
  <c r="F216" i="79" a="1"/>
  <c r="F216" i="79" s="1"/>
  <c r="F281" i="79" s="1"/>
  <c r="G216" i="79" a="1"/>
  <c r="G216" i="79" s="1"/>
  <c r="G281" i="79" s="1"/>
  <c r="H216" i="79" a="1"/>
  <c r="H216" i="79" s="1"/>
  <c r="H281" i="79" s="1"/>
  <c r="I216" i="79" a="1"/>
  <c r="I216" i="79" s="1"/>
  <c r="I281" i="79" s="1"/>
  <c r="J216" i="79" a="1"/>
  <c r="J216" i="79" s="1"/>
  <c r="J281" i="79" s="1"/>
  <c r="K216" i="79" a="1"/>
  <c r="K216" i="79" s="1"/>
  <c r="K281" i="79" s="1"/>
  <c r="L216" i="79" a="1"/>
  <c r="L216" i="79" s="1"/>
  <c r="L281" i="79" s="1"/>
  <c r="M216" i="79" a="1"/>
  <c r="M216" i="79" s="1"/>
  <c r="M281" i="79" s="1"/>
  <c r="N216" i="79" a="1"/>
  <c r="N216" i="79" s="1"/>
  <c r="N281" i="79" s="1"/>
  <c r="O216" i="79" a="1"/>
  <c r="O216" i="79" s="1"/>
  <c r="O281" i="79" s="1"/>
  <c r="P216" i="79" a="1"/>
  <c r="P216" i="79" s="1"/>
  <c r="P281" i="79" s="1"/>
  <c r="D215" i="79" a="1"/>
  <c r="D215" i="79" s="1"/>
  <c r="E215" i="79" a="1"/>
  <c r="E215" i="79" s="1"/>
  <c r="E280" i="79" s="1"/>
  <c r="F215" i="79" a="1"/>
  <c r="F215" i="79" s="1"/>
  <c r="F280" i="79" s="1"/>
  <c r="G215" i="79" a="1"/>
  <c r="G215" i="79" s="1"/>
  <c r="G280" i="79" s="1"/>
  <c r="H215" i="79" a="1"/>
  <c r="H215" i="79" s="1"/>
  <c r="H280" i="79" s="1"/>
  <c r="I215" i="79" a="1"/>
  <c r="I215" i="79" s="1"/>
  <c r="I280" i="79" s="1"/>
  <c r="J215" i="79" a="1"/>
  <c r="J215" i="79" s="1"/>
  <c r="J280" i="79" s="1"/>
  <c r="K215" i="79" a="1"/>
  <c r="K215" i="79" s="1"/>
  <c r="K280" i="79" s="1"/>
  <c r="L215" i="79" a="1"/>
  <c r="L215" i="79" s="1"/>
  <c r="L280" i="79" s="1"/>
  <c r="M215" i="79" a="1"/>
  <c r="M215" i="79" s="1"/>
  <c r="M280" i="79" s="1"/>
  <c r="N215" i="79" a="1"/>
  <c r="N215" i="79" s="1"/>
  <c r="N280" i="79" s="1"/>
  <c r="O215" i="79" a="1"/>
  <c r="O215" i="79" s="1"/>
  <c r="O280" i="79" s="1"/>
  <c r="P215" i="79" a="1"/>
  <c r="P215" i="79" s="1"/>
  <c r="P280" i="79" s="1"/>
  <c r="D214" i="79" a="1"/>
  <c r="D214" i="79" s="1"/>
  <c r="E214" i="79" a="1"/>
  <c r="E214" i="79" s="1"/>
  <c r="E279" i="79" s="1"/>
  <c r="F214" i="79" a="1"/>
  <c r="F214" i="79" s="1"/>
  <c r="F279" i="79" s="1"/>
  <c r="G214" i="79" a="1"/>
  <c r="G214" i="79" s="1"/>
  <c r="G279" i="79" s="1"/>
  <c r="H214" i="79" a="1"/>
  <c r="H214" i="79" s="1"/>
  <c r="H279" i="79" s="1"/>
  <c r="I214" i="79" a="1"/>
  <c r="I214" i="79" s="1"/>
  <c r="I279" i="79" s="1"/>
  <c r="J214" i="79" a="1"/>
  <c r="J214" i="79" s="1"/>
  <c r="J279" i="79" s="1"/>
  <c r="K214" i="79" a="1"/>
  <c r="K214" i="79" s="1"/>
  <c r="K279" i="79" s="1"/>
  <c r="L214" i="79" a="1"/>
  <c r="L214" i="79" s="1"/>
  <c r="L279" i="79" s="1"/>
  <c r="M214" i="79" a="1"/>
  <c r="M214" i="79" s="1"/>
  <c r="M279" i="79" s="1"/>
  <c r="N214" i="79" a="1"/>
  <c r="N214" i="79" s="1"/>
  <c r="N279" i="79" s="1"/>
  <c r="O214" i="79" a="1"/>
  <c r="O214" i="79" s="1"/>
  <c r="O279" i="79" s="1"/>
  <c r="P214" i="79" a="1"/>
  <c r="P214" i="79" s="1"/>
  <c r="P279" i="79" s="1"/>
  <c r="D213" i="79" a="1"/>
  <c r="D213" i="79" s="1"/>
  <c r="E213" i="79" a="1"/>
  <c r="E213" i="79" s="1"/>
  <c r="E278" i="79" s="1"/>
  <c r="F213" i="79" a="1"/>
  <c r="F213" i="79" s="1"/>
  <c r="F278" i="79" s="1"/>
  <c r="G213" i="79" a="1"/>
  <c r="G213" i="79" s="1"/>
  <c r="G278" i="79" s="1"/>
  <c r="H213" i="79" a="1"/>
  <c r="H213" i="79" s="1"/>
  <c r="H278" i="79" s="1"/>
  <c r="I213" i="79" a="1"/>
  <c r="I213" i="79" s="1"/>
  <c r="I278" i="79" s="1"/>
  <c r="J213" i="79" a="1"/>
  <c r="J213" i="79" s="1"/>
  <c r="J278" i="79" s="1"/>
  <c r="K213" i="79" a="1"/>
  <c r="K213" i="79" s="1"/>
  <c r="K278" i="79" s="1"/>
  <c r="L213" i="79" a="1"/>
  <c r="L213" i="79" s="1"/>
  <c r="L278" i="79" s="1"/>
  <c r="M213" i="79" a="1"/>
  <c r="M213" i="79" s="1"/>
  <c r="M278" i="79" s="1"/>
  <c r="N213" i="79" a="1"/>
  <c r="N213" i="79" s="1"/>
  <c r="N278" i="79" s="1"/>
  <c r="O213" i="79" a="1"/>
  <c r="O213" i="79" s="1"/>
  <c r="O278" i="79" s="1"/>
  <c r="P213" i="79" a="1"/>
  <c r="P213" i="79" s="1"/>
  <c r="P278" i="79" s="1"/>
  <c r="D212" i="79" a="1"/>
  <c r="D212" i="79" s="1"/>
  <c r="E212" i="79" a="1"/>
  <c r="E212" i="79" s="1"/>
  <c r="E277" i="79" s="1"/>
  <c r="F212" i="79" a="1"/>
  <c r="F212" i="79" s="1"/>
  <c r="F277" i="79" s="1"/>
  <c r="G212" i="79" a="1"/>
  <c r="G212" i="79" s="1"/>
  <c r="G277" i="79" s="1"/>
  <c r="H212" i="79" a="1"/>
  <c r="H212" i="79" s="1"/>
  <c r="H277" i="79" s="1"/>
  <c r="I212" i="79" a="1"/>
  <c r="I212" i="79" s="1"/>
  <c r="I277" i="79" s="1"/>
  <c r="J212" i="79" a="1"/>
  <c r="J212" i="79" s="1"/>
  <c r="J277" i="79" s="1"/>
  <c r="K212" i="79" a="1"/>
  <c r="K212" i="79" s="1"/>
  <c r="K277" i="79" s="1"/>
  <c r="L212" i="79" a="1"/>
  <c r="L212" i="79" s="1"/>
  <c r="L277" i="79" s="1"/>
  <c r="M212" i="79" a="1"/>
  <c r="M212" i="79" s="1"/>
  <c r="M277" i="79" s="1"/>
  <c r="N212" i="79" a="1"/>
  <c r="N212" i="79" s="1"/>
  <c r="N277" i="79" s="1"/>
  <c r="O212" i="79" a="1"/>
  <c r="O212" i="79" s="1"/>
  <c r="O277" i="79" s="1"/>
  <c r="P212" i="79" a="1"/>
  <c r="P212" i="79" s="1"/>
  <c r="P277" i="79" s="1"/>
  <c r="D211" i="79" a="1"/>
  <c r="D211" i="79" s="1"/>
  <c r="E211" i="79" a="1"/>
  <c r="E211" i="79" s="1"/>
  <c r="E276" i="79" s="1"/>
  <c r="F211" i="79" a="1"/>
  <c r="F211" i="79" s="1"/>
  <c r="F276" i="79" s="1"/>
  <c r="G211" i="79" a="1"/>
  <c r="G211" i="79" s="1"/>
  <c r="G276" i="79" s="1"/>
  <c r="H211" i="79" a="1"/>
  <c r="H211" i="79" s="1"/>
  <c r="H276" i="79" s="1"/>
  <c r="I211" i="79" a="1"/>
  <c r="I211" i="79" s="1"/>
  <c r="I276" i="79" s="1"/>
  <c r="J211" i="79" a="1"/>
  <c r="J211" i="79" s="1"/>
  <c r="J276" i="79" s="1"/>
  <c r="K211" i="79" a="1"/>
  <c r="K211" i="79" s="1"/>
  <c r="K276" i="79" s="1"/>
  <c r="L211" i="79" a="1"/>
  <c r="L211" i="79" s="1"/>
  <c r="L276" i="79" s="1"/>
  <c r="M211" i="79" a="1"/>
  <c r="M211" i="79" s="1"/>
  <c r="M276" i="79" s="1"/>
  <c r="N211" i="79" a="1"/>
  <c r="N211" i="79" s="1"/>
  <c r="N276" i="79" s="1"/>
  <c r="O211" i="79" a="1"/>
  <c r="O211" i="79" s="1"/>
  <c r="O276" i="79" s="1"/>
  <c r="P211" i="79" a="1"/>
  <c r="P211" i="79" s="1"/>
  <c r="P276" i="79" s="1"/>
  <c r="D210" i="79" a="1"/>
  <c r="D210" i="79" s="1"/>
  <c r="E210" i="79" a="1"/>
  <c r="E210" i="79" s="1"/>
  <c r="E275" i="79" s="1"/>
  <c r="F210" i="79" a="1"/>
  <c r="F210" i="79" s="1"/>
  <c r="F275" i="79" s="1"/>
  <c r="G210" i="79" a="1"/>
  <c r="G210" i="79" s="1"/>
  <c r="G275" i="79" s="1"/>
  <c r="H210" i="79" a="1"/>
  <c r="H210" i="79" s="1"/>
  <c r="H275" i="79" s="1"/>
  <c r="I210" i="79" a="1"/>
  <c r="I210" i="79" s="1"/>
  <c r="I275" i="79" s="1"/>
  <c r="J210" i="79" a="1"/>
  <c r="J210" i="79" s="1"/>
  <c r="J275" i="79" s="1"/>
  <c r="K210" i="79" a="1"/>
  <c r="K210" i="79" s="1"/>
  <c r="K275" i="79" s="1"/>
  <c r="L210" i="79" a="1"/>
  <c r="L210" i="79" s="1"/>
  <c r="L275" i="79" s="1"/>
  <c r="M210" i="79" a="1"/>
  <c r="M210" i="79" s="1"/>
  <c r="M275" i="79" s="1"/>
  <c r="N210" i="79" a="1"/>
  <c r="N210" i="79" s="1"/>
  <c r="N275" i="79" s="1"/>
  <c r="O210" i="79" a="1"/>
  <c r="O210" i="79" s="1"/>
  <c r="O275" i="79" s="1"/>
  <c r="P210" i="79" a="1"/>
  <c r="P210" i="79" s="1"/>
  <c r="P275" i="79" s="1"/>
  <c r="D209" i="79" a="1"/>
  <c r="D209" i="79" s="1"/>
  <c r="E209" i="79" a="1"/>
  <c r="E209" i="79" s="1"/>
  <c r="E274" i="79" s="1"/>
  <c r="F209" i="79" a="1"/>
  <c r="F209" i="79" s="1"/>
  <c r="F274" i="79" s="1"/>
  <c r="G209" i="79" a="1"/>
  <c r="G209" i="79" s="1"/>
  <c r="G274" i="79" s="1"/>
  <c r="H209" i="79" a="1"/>
  <c r="H209" i="79" s="1"/>
  <c r="H274" i="79" s="1"/>
  <c r="I209" i="79" a="1"/>
  <c r="I209" i="79" s="1"/>
  <c r="I274" i="79" s="1"/>
  <c r="J209" i="79" a="1"/>
  <c r="J209" i="79" s="1"/>
  <c r="J274" i="79" s="1"/>
  <c r="K209" i="79" a="1"/>
  <c r="K209" i="79" s="1"/>
  <c r="K274" i="79" s="1"/>
  <c r="L209" i="79" a="1"/>
  <c r="L209" i="79" s="1"/>
  <c r="L274" i="79" s="1"/>
  <c r="M209" i="79" a="1"/>
  <c r="M209" i="79" s="1"/>
  <c r="M274" i="79" s="1"/>
  <c r="N209" i="79" a="1"/>
  <c r="N209" i="79" s="1"/>
  <c r="N274" i="79" s="1"/>
  <c r="O209" i="79" a="1"/>
  <c r="O209" i="79" s="1"/>
  <c r="O274" i="79" s="1"/>
  <c r="P209" i="79" a="1"/>
  <c r="P209" i="79" s="1"/>
  <c r="P274" i="79" s="1"/>
  <c r="D208" i="79" a="1"/>
  <c r="D208" i="79" s="1"/>
  <c r="E208" i="79" a="1"/>
  <c r="E208" i="79" s="1"/>
  <c r="E273" i="79" s="1"/>
  <c r="F208" i="79" a="1"/>
  <c r="F208" i="79" s="1"/>
  <c r="F273" i="79" s="1"/>
  <c r="G208" i="79" a="1"/>
  <c r="G208" i="79" s="1"/>
  <c r="G273" i="79" s="1"/>
  <c r="H208" i="79" a="1"/>
  <c r="H208" i="79" s="1"/>
  <c r="H273" i="79" s="1"/>
  <c r="I208" i="79" a="1"/>
  <c r="I208" i="79" s="1"/>
  <c r="I273" i="79" s="1"/>
  <c r="J208" i="79" a="1"/>
  <c r="J208" i="79" s="1"/>
  <c r="J273" i="79" s="1"/>
  <c r="K208" i="79" a="1"/>
  <c r="K208" i="79" s="1"/>
  <c r="K273" i="79" s="1"/>
  <c r="L208" i="79" a="1"/>
  <c r="L208" i="79" s="1"/>
  <c r="L273" i="79" s="1"/>
  <c r="M208" i="79" a="1"/>
  <c r="M208" i="79" s="1"/>
  <c r="M273" i="79" s="1"/>
  <c r="N208" i="79" a="1"/>
  <c r="N208" i="79" s="1"/>
  <c r="N273" i="79" s="1"/>
  <c r="O208" i="79" a="1"/>
  <c r="O208" i="79" s="1"/>
  <c r="O273" i="79" s="1"/>
  <c r="P208" i="79" a="1"/>
  <c r="P208" i="79" s="1"/>
  <c r="P273" i="79" s="1"/>
  <c r="D207" i="79" a="1"/>
  <c r="D207" i="79" s="1"/>
  <c r="E207" i="79" a="1"/>
  <c r="E207" i="79" s="1"/>
  <c r="E272" i="79" s="1"/>
  <c r="F207" i="79" a="1"/>
  <c r="F207" i="79" s="1"/>
  <c r="F272" i="79" s="1"/>
  <c r="G207" i="79" a="1"/>
  <c r="G207" i="79" s="1"/>
  <c r="G272" i="79" s="1"/>
  <c r="H207" i="79" a="1"/>
  <c r="H207" i="79" s="1"/>
  <c r="H272" i="79" s="1"/>
  <c r="I207" i="79" a="1"/>
  <c r="I207" i="79" s="1"/>
  <c r="I272" i="79" s="1"/>
  <c r="J207" i="79" a="1"/>
  <c r="J207" i="79" s="1"/>
  <c r="J272" i="79" s="1"/>
  <c r="K207" i="79" a="1"/>
  <c r="K207" i="79" s="1"/>
  <c r="K272" i="79" s="1"/>
  <c r="L207" i="79" a="1"/>
  <c r="L207" i="79" s="1"/>
  <c r="L272" i="79" s="1"/>
  <c r="M207" i="79" a="1"/>
  <c r="M207" i="79" s="1"/>
  <c r="M272" i="79" s="1"/>
  <c r="N207" i="79" a="1"/>
  <c r="N207" i="79" s="1"/>
  <c r="N272" i="79" s="1"/>
  <c r="O207" i="79" a="1"/>
  <c r="O207" i="79" s="1"/>
  <c r="O272" i="79" s="1"/>
  <c r="P207" i="79" a="1"/>
  <c r="P207" i="79" s="1"/>
  <c r="P272" i="79" s="1"/>
  <c r="D206" i="79" a="1"/>
  <c r="D206" i="79" s="1"/>
  <c r="E206" i="79" a="1"/>
  <c r="E206" i="79" s="1"/>
  <c r="E271" i="79" s="1"/>
  <c r="F206" i="79" a="1"/>
  <c r="F206" i="79" s="1"/>
  <c r="F271" i="79" s="1"/>
  <c r="G206" i="79" a="1"/>
  <c r="G206" i="79" s="1"/>
  <c r="G271" i="79" s="1"/>
  <c r="H206" i="79" a="1"/>
  <c r="H206" i="79" s="1"/>
  <c r="H271" i="79" s="1"/>
  <c r="I206" i="79" a="1"/>
  <c r="I206" i="79" s="1"/>
  <c r="I271" i="79" s="1"/>
  <c r="J206" i="79" a="1"/>
  <c r="J206" i="79" s="1"/>
  <c r="J271" i="79" s="1"/>
  <c r="K206" i="79" a="1"/>
  <c r="K206" i="79" s="1"/>
  <c r="K271" i="79" s="1"/>
  <c r="L206" i="79" a="1"/>
  <c r="L206" i="79" s="1"/>
  <c r="L271" i="79" s="1"/>
  <c r="M206" i="79" a="1"/>
  <c r="M206" i="79" s="1"/>
  <c r="M271" i="79" s="1"/>
  <c r="N206" i="79" a="1"/>
  <c r="N206" i="79" s="1"/>
  <c r="N271" i="79" s="1"/>
  <c r="O206" i="79" a="1"/>
  <c r="O206" i="79" s="1"/>
  <c r="O271" i="79" s="1"/>
  <c r="P206" i="79" a="1"/>
  <c r="P206" i="79" s="1"/>
  <c r="P271" i="79" s="1"/>
  <c r="D205" i="79" a="1"/>
  <c r="D205" i="79" s="1"/>
  <c r="E205" i="79" a="1"/>
  <c r="E205" i="79" s="1"/>
  <c r="E270" i="79" s="1"/>
  <c r="F205" i="79" a="1"/>
  <c r="F205" i="79" s="1"/>
  <c r="F270" i="79" s="1"/>
  <c r="G205" i="79" a="1"/>
  <c r="G205" i="79" s="1"/>
  <c r="G270" i="79" s="1"/>
  <c r="H205" i="79" a="1"/>
  <c r="H205" i="79" s="1"/>
  <c r="H270" i="79" s="1"/>
  <c r="I205" i="79" a="1"/>
  <c r="I205" i="79" s="1"/>
  <c r="I270" i="79" s="1"/>
  <c r="J205" i="79" a="1"/>
  <c r="J205" i="79" s="1"/>
  <c r="J270" i="79" s="1"/>
  <c r="K205" i="79" a="1"/>
  <c r="K205" i="79" s="1"/>
  <c r="K270" i="79" s="1"/>
  <c r="L205" i="79" a="1"/>
  <c r="L205" i="79" s="1"/>
  <c r="L270" i="79" s="1"/>
  <c r="M205" i="79" a="1"/>
  <c r="M205" i="79" s="1"/>
  <c r="M270" i="79" s="1"/>
  <c r="N205" i="79" a="1"/>
  <c r="N205" i="79" s="1"/>
  <c r="N270" i="79" s="1"/>
  <c r="O205" i="79" a="1"/>
  <c r="O205" i="79" s="1"/>
  <c r="O270" i="79" s="1"/>
  <c r="P205" i="79" a="1"/>
  <c r="P205" i="79" s="1"/>
  <c r="P270" i="79" s="1"/>
  <c r="D204" i="79" a="1"/>
  <c r="D204" i="79" s="1"/>
  <c r="E204" i="79" a="1"/>
  <c r="E204" i="79" s="1"/>
  <c r="E269" i="79" s="1"/>
  <c r="F204" i="79" a="1"/>
  <c r="F204" i="79" s="1"/>
  <c r="F269" i="79" s="1"/>
  <c r="G204" i="79" a="1"/>
  <c r="G204" i="79" s="1"/>
  <c r="G269" i="79" s="1"/>
  <c r="H204" i="79" a="1"/>
  <c r="H204" i="79" s="1"/>
  <c r="H269" i="79" s="1"/>
  <c r="I204" i="79" a="1"/>
  <c r="I204" i="79" s="1"/>
  <c r="I269" i="79" s="1"/>
  <c r="J204" i="79" a="1"/>
  <c r="J204" i="79" s="1"/>
  <c r="J269" i="79" s="1"/>
  <c r="K204" i="79" a="1"/>
  <c r="K204" i="79" s="1"/>
  <c r="K269" i="79" s="1"/>
  <c r="L204" i="79" a="1"/>
  <c r="L204" i="79" s="1"/>
  <c r="L269" i="79" s="1"/>
  <c r="M204" i="79" a="1"/>
  <c r="M204" i="79" s="1"/>
  <c r="M269" i="79" s="1"/>
  <c r="N204" i="79" a="1"/>
  <c r="N204" i="79" s="1"/>
  <c r="N269" i="79" s="1"/>
  <c r="O204" i="79" a="1"/>
  <c r="O204" i="79" s="1"/>
  <c r="O269" i="79" s="1"/>
  <c r="P204" i="79" a="1"/>
  <c r="P204" i="79" s="1"/>
  <c r="P269" i="79" s="1"/>
  <c r="D203" i="79" a="1"/>
  <c r="D203" i="79" s="1"/>
  <c r="E203" i="79" a="1"/>
  <c r="E203" i="79" s="1"/>
  <c r="E268" i="79" s="1"/>
  <c r="F203" i="79" a="1"/>
  <c r="F203" i="79" s="1"/>
  <c r="F268" i="79" s="1"/>
  <c r="G203" i="79" a="1"/>
  <c r="G203" i="79" s="1"/>
  <c r="G268" i="79" s="1"/>
  <c r="H203" i="79" a="1"/>
  <c r="H203" i="79" s="1"/>
  <c r="H268" i="79" s="1"/>
  <c r="I203" i="79" a="1"/>
  <c r="I203" i="79" s="1"/>
  <c r="I268" i="79" s="1"/>
  <c r="J203" i="79" a="1"/>
  <c r="J203" i="79" s="1"/>
  <c r="J268" i="79" s="1"/>
  <c r="K203" i="79" a="1"/>
  <c r="K203" i="79" s="1"/>
  <c r="K268" i="79" s="1"/>
  <c r="L203" i="79" a="1"/>
  <c r="L203" i="79" s="1"/>
  <c r="L268" i="79" s="1"/>
  <c r="M203" i="79" a="1"/>
  <c r="M203" i="79" s="1"/>
  <c r="M268" i="79" s="1"/>
  <c r="N203" i="79" a="1"/>
  <c r="N203" i="79" s="1"/>
  <c r="N268" i="79" s="1"/>
  <c r="O203" i="79" a="1"/>
  <c r="O203" i="79" s="1"/>
  <c r="O268" i="79" s="1"/>
  <c r="P203" i="79" a="1"/>
  <c r="P203" i="79" s="1"/>
  <c r="P268" i="79" s="1"/>
  <c r="D202" i="79" a="1"/>
  <c r="D202" i="79" s="1"/>
  <c r="E202" i="79" a="1"/>
  <c r="E202" i="79" s="1"/>
  <c r="E267" i="79" s="1"/>
  <c r="F202" i="79" a="1"/>
  <c r="F202" i="79" s="1"/>
  <c r="F267" i="79" s="1"/>
  <c r="G202" i="79" a="1"/>
  <c r="G202" i="79" s="1"/>
  <c r="G267" i="79" s="1"/>
  <c r="H202" i="79" a="1"/>
  <c r="H202" i="79" s="1"/>
  <c r="H267" i="79" s="1"/>
  <c r="I202" i="79" a="1"/>
  <c r="I202" i="79" s="1"/>
  <c r="I267" i="79" s="1"/>
  <c r="J202" i="79" a="1"/>
  <c r="J202" i="79" s="1"/>
  <c r="J267" i="79" s="1"/>
  <c r="K202" i="79" a="1"/>
  <c r="K202" i="79" s="1"/>
  <c r="K267" i="79" s="1"/>
  <c r="L202" i="79" a="1"/>
  <c r="L202" i="79" s="1"/>
  <c r="L267" i="79" s="1"/>
  <c r="M202" i="79" a="1"/>
  <c r="M202" i="79" s="1"/>
  <c r="M267" i="79" s="1"/>
  <c r="N202" i="79" a="1"/>
  <c r="N202" i="79" s="1"/>
  <c r="N267" i="79" s="1"/>
  <c r="O202" i="79" a="1"/>
  <c r="O202" i="79" s="1"/>
  <c r="O267" i="79" s="1"/>
  <c r="P202" i="79" a="1"/>
  <c r="P202" i="79" s="1"/>
  <c r="P267" i="79" s="1"/>
  <c r="D201" i="79" a="1"/>
  <c r="D201" i="79" s="1"/>
  <c r="E201" i="79" a="1"/>
  <c r="E201" i="79" s="1"/>
  <c r="E266" i="79" s="1"/>
  <c r="F201" i="79" a="1"/>
  <c r="F201" i="79" s="1"/>
  <c r="F266" i="79" s="1"/>
  <c r="G201" i="79" a="1"/>
  <c r="G201" i="79" s="1"/>
  <c r="G266" i="79" s="1"/>
  <c r="H201" i="79" a="1"/>
  <c r="H201" i="79" s="1"/>
  <c r="H266" i="79" s="1"/>
  <c r="I201" i="79" a="1"/>
  <c r="I201" i="79" s="1"/>
  <c r="I266" i="79" s="1"/>
  <c r="J201" i="79" a="1"/>
  <c r="J201" i="79" s="1"/>
  <c r="J266" i="79" s="1"/>
  <c r="K201" i="79" a="1"/>
  <c r="K201" i="79" s="1"/>
  <c r="K266" i="79" s="1"/>
  <c r="L201" i="79" a="1"/>
  <c r="L201" i="79" s="1"/>
  <c r="L266" i="79" s="1"/>
  <c r="M201" i="79" a="1"/>
  <c r="M201" i="79" s="1"/>
  <c r="M266" i="79" s="1"/>
  <c r="N201" i="79" a="1"/>
  <c r="N201" i="79" s="1"/>
  <c r="N266" i="79" s="1"/>
  <c r="O201" i="79" a="1"/>
  <c r="O201" i="79" s="1"/>
  <c r="O266" i="79" s="1"/>
  <c r="P201" i="79" a="1"/>
  <c r="P201" i="79" s="1"/>
  <c r="P266" i="79" s="1"/>
  <c r="D200" i="79" a="1"/>
  <c r="D200" i="79" s="1"/>
  <c r="E200" i="79" a="1"/>
  <c r="E200" i="79" s="1"/>
  <c r="E265" i="79" s="1"/>
  <c r="F200" i="79" a="1"/>
  <c r="F200" i="79" s="1"/>
  <c r="F265" i="79" s="1"/>
  <c r="G200" i="79" a="1"/>
  <c r="G200" i="79" s="1"/>
  <c r="G265" i="79" s="1"/>
  <c r="H200" i="79" a="1"/>
  <c r="H200" i="79" s="1"/>
  <c r="H265" i="79" s="1"/>
  <c r="I200" i="79" a="1"/>
  <c r="I200" i="79" s="1"/>
  <c r="I265" i="79" s="1"/>
  <c r="J200" i="79" a="1"/>
  <c r="J200" i="79" s="1"/>
  <c r="J265" i="79" s="1"/>
  <c r="K200" i="79" a="1"/>
  <c r="K200" i="79" s="1"/>
  <c r="K265" i="79" s="1"/>
  <c r="L200" i="79" a="1"/>
  <c r="L200" i="79" s="1"/>
  <c r="L265" i="79" s="1"/>
  <c r="M200" i="79" a="1"/>
  <c r="M200" i="79" s="1"/>
  <c r="M265" i="79" s="1"/>
  <c r="N200" i="79" a="1"/>
  <c r="N200" i="79" s="1"/>
  <c r="N265" i="79" s="1"/>
  <c r="O200" i="79" a="1"/>
  <c r="O200" i="79" s="1"/>
  <c r="O265" i="79" s="1"/>
  <c r="P200" i="79" a="1"/>
  <c r="P200" i="79" s="1"/>
  <c r="P265" i="79" s="1"/>
  <c r="D199" i="79" a="1"/>
  <c r="D199" i="79" s="1"/>
  <c r="E199" i="79" a="1"/>
  <c r="E199" i="79" s="1"/>
  <c r="E264" i="79" s="1"/>
  <c r="F199" i="79" a="1"/>
  <c r="F199" i="79" s="1"/>
  <c r="F264" i="79" s="1"/>
  <c r="G199" i="79" a="1"/>
  <c r="G199" i="79" s="1"/>
  <c r="G264" i="79" s="1"/>
  <c r="H199" i="79" a="1"/>
  <c r="H199" i="79" s="1"/>
  <c r="H264" i="79" s="1"/>
  <c r="I199" i="79" a="1"/>
  <c r="I199" i="79" s="1"/>
  <c r="I264" i="79" s="1"/>
  <c r="J199" i="79" a="1"/>
  <c r="J199" i="79" s="1"/>
  <c r="J264" i="79" s="1"/>
  <c r="K199" i="79" a="1"/>
  <c r="K199" i="79" s="1"/>
  <c r="K264" i="79" s="1"/>
  <c r="L199" i="79" a="1"/>
  <c r="L199" i="79" s="1"/>
  <c r="L264" i="79" s="1"/>
  <c r="M199" i="79" a="1"/>
  <c r="M199" i="79" s="1"/>
  <c r="M264" i="79" s="1"/>
  <c r="N199" i="79" a="1"/>
  <c r="N199" i="79" s="1"/>
  <c r="N264" i="79" s="1"/>
  <c r="O199" i="79" a="1"/>
  <c r="O199" i="79" s="1"/>
  <c r="O264" i="79" s="1"/>
  <c r="P199" i="79" a="1"/>
  <c r="P199" i="79" s="1"/>
  <c r="P264" i="79" s="1"/>
  <c r="D198" i="79" a="1"/>
  <c r="D198" i="79" s="1"/>
  <c r="E198" i="79" a="1"/>
  <c r="E198" i="79" s="1"/>
  <c r="E263" i="79" s="1"/>
  <c r="F198" i="79" a="1"/>
  <c r="F198" i="79" s="1"/>
  <c r="F263" i="79" s="1"/>
  <c r="G198" i="79" a="1"/>
  <c r="G198" i="79" s="1"/>
  <c r="G263" i="79" s="1"/>
  <c r="H198" i="79" a="1"/>
  <c r="H198" i="79" s="1"/>
  <c r="H263" i="79" s="1"/>
  <c r="I198" i="79" a="1"/>
  <c r="I198" i="79" s="1"/>
  <c r="I263" i="79" s="1"/>
  <c r="J198" i="79" a="1"/>
  <c r="J198" i="79" s="1"/>
  <c r="J263" i="79" s="1"/>
  <c r="K198" i="79" a="1"/>
  <c r="K198" i="79" s="1"/>
  <c r="K263" i="79" s="1"/>
  <c r="L198" i="79" a="1"/>
  <c r="L198" i="79" s="1"/>
  <c r="L263" i="79" s="1"/>
  <c r="M198" i="79" a="1"/>
  <c r="M198" i="79" s="1"/>
  <c r="M263" i="79" s="1"/>
  <c r="N198" i="79" a="1"/>
  <c r="N198" i="79" s="1"/>
  <c r="N263" i="79" s="1"/>
  <c r="O198" i="79" a="1"/>
  <c r="O198" i="79" s="1"/>
  <c r="O263" i="79" s="1"/>
  <c r="P198" i="79" a="1"/>
  <c r="P198" i="79" s="1"/>
  <c r="P263" i="79" s="1"/>
  <c r="D197" i="79" a="1"/>
  <c r="D197" i="79" s="1"/>
  <c r="E197" i="79" a="1"/>
  <c r="E197" i="79" s="1"/>
  <c r="E262" i="79" s="1"/>
  <c r="F197" i="79" a="1"/>
  <c r="F197" i="79" s="1"/>
  <c r="F262" i="79" s="1"/>
  <c r="G197" i="79" a="1"/>
  <c r="G197" i="79" s="1"/>
  <c r="G262" i="79" s="1"/>
  <c r="H197" i="79" a="1"/>
  <c r="H197" i="79" s="1"/>
  <c r="H262" i="79" s="1"/>
  <c r="I197" i="79" a="1"/>
  <c r="I197" i="79" s="1"/>
  <c r="I262" i="79" s="1"/>
  <c r="J197" i="79" a="1"/>
  <c r="J197" i="79" s="1"/>
  <c r="J262" i="79" s="1"/>
  <c r="K197" i="79" a="1"/>
  <c r="K197" i="79" s="1"/>
  <c r="K262" i="79" s="1"/>
  <c r="L197" i="79" a="1"/>
  <c r="L197" i="79" s="1"/>
  <c r="L262" i="79" s="1"/>
  <c r="M197" i="79" a="1"/>
  <c r="M197" i="79" s="1"/>
  <c r="M262" i="79" s="1"/>
  <c r="N197" i="79" a="1"/>
  <c r="N197" i="79" s="1"/>
  <c r="N262" i="79" s="1"/>
  <c r="O197" i="79" a="1"/>
  <c r="O197" i="79" s="1"/>
  <c r="O262" i="79" s="1"/>
  <c r="P197" i="79" a="1"/>
  <c r="P197" i="79" s="1"/>
  <c r="P262" i="79" s="1"/>
  <c r="D196" i="79" a="1"/>
  <c r="D196" i="79" s="1"/>
  <c r="E196" i="79" a="1"/>
  <c r="E196" i="79" s="1"/>
  <c r="E261" i="79" s="1"/>
  <c r="F196" i="79" a="1"/>
  <c r="F196" i="79" s="1"/>
  <c r="F261" i="79" s="1"/>
  <c r="G196" i="79" a="1"/>
  <c r="G196" i="79" s="1"/>
  <c r="G261" i="79" s="1"/>
  <c r="H196" i="79" a="1"/>
  <c r="H196" i="79" s="1"/>
  <c r="H261" i="79" s="1"/>
  <c r="I196" i="79" a="1"/>
  <c r="I196" i="79" s="1"/>
  <c r="I261" i="79" s="1"/>
  <c r="J196" i="79" a="1"/>
  <c r="J196" i="79" s="1"/>
  <c r="J261" i="79" s="1"/>
  <c r="K196" i="79" a="1"/>
  <c r="K196" i="79" s="1"/>
  <c r="K261" i="79" s="1"/>
  <c r="L196" i="79" a="1"/>
  <c r="L196" i="79" s="1"/>
  <c r="L261" i="79" s="1"/>
  <c r="M196" i="79" a="1"/>
  <c r="M196" i="79" s="1"/>
  <c r="M261" i="79" s="1"/>
  <c r="N196" i="79" a="1"/>
  <c r="N196" i="79" s="1"/>
  <c r="N261" i="79" s="1"/>
  <c r="O196" i="79" a="1"/>
  <c r="O196" i="79" s="1"/>
  <c r="O261" i="79" s="1"/>
  <c r="P196" i="79" a="1"/>
  <c r="P196" i="79" s="1"/>
  <c r="P261" i="79" s="1"/>
  <c r="D195" i="79" a="1"/>
  <c r="D195" i="79" s="1"/>
  <c r="E195" i="79" a="1"/>
  <c r="E195" i="79" s="1"/>
  <c r="E260" i="79" s="1"/>
  <c r="F195" i="79" a="1"/>
  <c r="F195" i="79" s="1"/>
  <c r="F260" i="79" s="1"/>
  <c r="G195" i="79" a="1"/>
  <c r="G195" i="79" s="1"/>
  <c r="G260" i="79" s="1"/>
  <c r="H195" i="79" a="1"/>
  <c r="H195" i="79" s="1"/>
  <c r="H260" i="79" s="1"/>
  <c r="I195" i="79" a="1"/>
  <c r="I195" i="79" s="1"/>
  <c r="I260" i="79" s="1"/>
  <c r="J195" i="79" a="1"/>
  <c r="J195" i="79" s="1"/>
  <c r="J260" i="79" s="1"/>
  <c r="K195" i="79" a="1"/>
  <c r="K195" i="79" s="1"/>
  <c r="K260" i="79" s="1"/>
  <c r="L195" i="79" a="1"/>
  <c r="L195" i="79" s="1"/>
  <c r="L260" i="79" s="1"/>
  <c r="M195" i="79" a="1"/>
  <c r="M195" i="79" s="1"/>
  <c r="M260" i="79" s="1"/>
  <c r="N195" i="79" a="1"/>
  <c r="N195" i="79" s="1"/>
  <c r="N260" i="79" s="1"/>
  <c r="O195" i="79" a="1"/>
  <c r="O195" i="79" s="1"/>
  <c r="O260" i="79" s="1"/>
  <c r="P195" i="79" a="1"/>
  <c r="P195" i="79" s="1"/>
  <c r="P260" i="79" s="1"/>
  <c r="D194" i="79" a="1"/>
  <c r="D194" i="79" s="1"/>
  <c r="E194" i="79" a="1"/>
  <c r="E194" i="79" s="1"/>
  <c r="E259" i="79" s="1"/>
  <c r="F194" i="79" a="1"/>
  <c r="F194" i="79" s="1"/>
  <c r="F259" i="79" s="1"/>
  <c r="G194" i="79" a="1"/>
  <c r="G194" i="79" s="1"/>
  <c r="G259" i="79" s="1"/>
  <c r="H194" i="79" a="1"/>
  <c r="H194" i="79" s="1"/>
  <c r="H259" i="79" s="1"/>
  <c r="I194" i="79" a="1"/>
  <c r="I194" i="79" s="1"/>
  <c r="I259" i="79" s="1"/>
  <c r="J194" i="79" a="1"/>
  <c r="J194" i="79" s="1"/>
  <c r="J259" i="79" s="1"/>
  <c r="K194" i="79" a="1"/>
  <c r="K194" i="79" s="1"/>
  <c r="K259" i="79" s="1"/>
  <c r="L194" i="79" a="1"/>
  <c r="L194" i="79" s="1"/>
  <c r="L259" i="79" s="1"/>
  <c r="M194" i="79" a="1"/>
  <c r="M194" i="79" s="1"/>
  <c r="M259" i="79" s="1"/>
  <c r="N194" i="79" a="1"/>
  <c r="N194" i="79" s="1"/>
  <c r="N259" i="79" s="1"/>
  <c r="O194" i="79" a="1"/>
  <c r="O194" i="79" s="1"/>
  <c r="O259" i="79" s="1"/>
  <c r="P194" i="79" a="1"/>
  <c r="P194" i="79" s="1"/>
  <c r="P259" i="79" s="1"/>
  <c r="D193" i="79" a="1"/>
  <c r="D193" i="79" s="1"/>
  <c r="E193" i="79" a="1"/>
  <c r="E193" i="79" s="1"/>
  <c r="E258" i="79" s="1"/>
  <c r="F193" i="79" a="1"/>
  <c r="F193" i="79" s="1"/>
  <c r="F258" i="79" s="1"/>
  <c r="G193" i="79" a="1"/>
  <c r="G193" i="79" s="1"/>
  <c r="G258" i="79" s="1"/>
  <c r="H193" i="79" a="1"/>
  <c r="H193" i="79" s="1"/>
  <c r="H258" i="79" s="1"/>
  <c r="I193" i="79" a="1"/>
  <c r="I193" i="79" s="1"/>
  <c r="I258" i="79" s="1"/>
  <c r="J193" i="79" a="1"/>
  <c r="J193" i="79" s="1"/>
  <c r="J258" i="79" s="1"/>
  <c r="K193" i="79" a="1"/>
  <c r="K193" i="79" s="1"/>
  <c r="K258" i="79" s="1"/>
  <c r="L193" i="79" a="1"/>
  <c r="L193" i="79" s="1"/>
  <c r="L258" i="79" s="1"/>
  <c r="M193" i="79" a="1"/>
  <c r="M193" i="79" s="1"/>
  <c r="M258" i="79" s="1"/>
  <c r="N193" i="79" a="1"/>
  <c r="N193" i="79" s="1"/>
  <c r="N258" i="79" s="1"/>
  <c r="O193" i="79" a="1"/>
  <c r="O193" i="79" s="1"/>
  <c r="O258" i="79" s="1"/>
  <c r="P193" i="79" a="1"/>
  <c r="P193" i="79" s="1"/>
  <c r="P258" i="79" s="1"/>
  <c r="D192" i="79" a="1"/>
  <c r="D192" i="79" s="1"/>
  <c r="E192" i="79" a="1"/>
  <c r="E192" i="79" s="1"/>
  <c r="E257" i="79" s="1"/>
  <c r="F192" i="79" a="1"/>
  <c r="F192" i="79" s="1"/>
  <c r="F257" i="79" s="1"/>
  <c r="G192" i="79" a="1"/>
  <c r="G192" i="79" s="1"/>
  <c r="G257" i="79" s="1"/>
  <c r="H192" i="79" a="1"/>
  <c r="H192" i="79" s="1"/>
  <c r="H257" i="79" s="1"/>
  <c r="I192" i="79" a="1"/>
  <c r="I192" i="79" s="1"/>
  <c r="I257" i="79" s="1"/>
  <c r="J192" i="79" a="1"/>
  <c r="J192" i="79" s="1"/>
  <c r="J257" i="79" s="1"/>
  <c r="K192" i="79" a="1"/>
  <c r="K192" i="79" s="1"/>
  <c r="K257" i="79" s="1"/>
  <c r="L192" i="79" a="1"/>
  <c r="L192" i="79" s="1"/>
  <c r="L257" i="79" s="1"/>
  <c r="M192" i="79" a="1"/>
  <c r="M192" i="79" s="1"/>
  <c r="M257" i="79" s="1"/>
  <c r="N192" i="79" a="1"/>
  <c r="N192" i="79" s="1"/>
  <c r="N257" i="79" s="1"/>
  <c r="O192" i="79" a="1"/>
  <c r="O192" i="79" s="1"/>
  <c r="O257" i="79" s="1"/>
  <c r="P192" i="79" a="1"/>
  <c r="P192" i="79" s="1"/>
  <c r="P257" i="79" s="1"/>
  <c r="D191" i="79" a="1"/>
  <c r="D191" i="79" s="1"/>
  <c r="E191" i="79" a="1"/>
  <c r="E191" i="79" s="1"/>
  <c r="E256" i="79" s="1"/>
  <c r="F191" i="79" a="1"/>
  <c r="F191" i="79" s="1"/>
  <c r="F256" i="79" s="1"/>
  <c r="G191" i="79" a="1"/>
  <c r="G191" i="79" s="1"/>
  <c r="G256" i="79" s="1"/>
  <c r="H191" i="79" a="1"/>
  <c r="H191" i="79" s="1"/>
  <c r="H256" i="79" s="1"/>
  <c r="I191" i="79" a="1"/>
  <c r="I191" i="79" s="1"/>
  <c r="I256" i="79" s="1"/>
  <c r="J191" i="79" a="1"/>
  <c r="J191" i="79" s="1"/>
  <c r="J256" i="79" s="1"/>
  <c r="K191" i="79" a="1"/>
  <c r="K191" i="79" s="1"/>
  <c r="K256" i="79" s="1"/>
  <c r="L191" i="79" a="1"/>
  <c r="L191" i="79" s="1"/>
  <c r="L256" i="79" s="1"/>
  <c r="M191" i="79" a="1"/>
  <c r="M191" i="79" s="1"/>
  <c r="M256" i="79" s="1"/>
  <c r="N191" i="79" a="1"/>
  <c r="N191" i="79" s="1"/>
  <c r="N256" i="79" s="1"/>
  <c r="O191" i="79" a="1"/>
  <c r="O191" i="79" s="1"/>
  <c r="O256" i="79" s="1"/>
  <c r="P191" i="79" a="1"/>
  <c r="P191" i="79" s="1"/>
  <c r="P256" i="79" s="1"/>
  <c r="P190" i="79" a="1"/>
  <c r="P190" i="79" s="1"/>
  <c r="P255" i="79" s="1"/>
  <c r="O190" i="79" a="1"/>
  <c r="O190" i="79" s="1"/>
  <c r="O255" i="79" s="1"/>
  <c r="N190" i="79" a="1"/>
  <c r="N190" i="79" s="1"/>
  <c r="N255" i="79" s="1"/>
  <c r="M190" i="79" a="1"/>
  <c r="M190" i="79" s="1"/>
  <c r="M255" i="79" s="1"/>
  <c r="L190" i="79" a="1"/>
  <c r="L190" i="79" s="1"/>
  <c r="L255" i="79" s="1"/>
  <c r="K190" i="79" a="1"/>
  <c r="K190" i="79" s="1"/>
  <c r="K255" i="79" s="1"/>
  <c r="J190" i="79" a="1"/>
  <c r="J190" i="79" s="1"/>
  <c r="J255" i="79" s="1"/>
  <c r="I190" i="79" a="1"/>
  <c r="I190" i="79" s="1"/>
  <c r="I255" i="79" s="1"/>
  <c r="H190" i="79" a="1"/>
  <c r="H190" i="79" s="1"/>
  <c r="H255" i="79" s="1"/>
  <c r="G190" i="79" a="1"/>
  <c r="G190" i="79" s="1"/>
  <c r="G255" i="79" s="1"/>
  <c r="F190" i="79" a="1"/>
  <c r="F190" i="79" s="1"/>
  <c r="F255" i="79" s="1"/>
  <c r="E190" i="79" a="1"/>
  <c r="E190" i="79" s="1"/>
  <c r="E255" i="79" s="1"/>
  <c r="D190" i="79" a="1"/>
  <c r="D190" i="79" s="1"/>
  <c r="D188" i="79" a="1"/>
  <c r="D188" i="79" s="1"/>
  <c r="D187" i="79" a="1"/>
  <c r="D187" i="79" s="1"/>
  <c r="D186" i="79" a="1"/>
  <c r="D186" i="79" s="1"/>
  <c r="D185" i="79" a="1"/>
  <c r="D185" i="79" s="1"/>
  <c r="D182" i="79" a="1"/>
  <c r="D182" i="79" s="1"/>
  <c r="E182" i="79" a="1"/>
  <c r="E182" i="79" s="1"/>
  <c r="E254" i="79" s="1"/>
  <c r="F182" i="79" a="1"/>
  <c r="F182" i="79" s="1"/>
  <c r="F254" i="79" s="1"/>
  <c r="G182" i="79" a="1"/>
  <c r="G182" i="79" s="1"/>
  <c r="G254" i="79" s="1"/>
  <c r="H182" i="79" a="1"/>
  <c r="H182" i="79" s="1"/>
  <c r="H254" i="79" s="1"/>
  <c r="I182" i="79" a="1"/>
  <c r="I182" i="79" s="1"/>
  <c r="I254" i="79" s="1"/>
  <c r="J182" i="79" a="1"/>
  <c r="J182" i="79" s="1"/>
  <c r="J254" i="79" s="1"/>
  <c r="K182" i="79" a="1"/>
  <c r="K182" i="79" s="1"/>
  <c r="L254" i="79" s="1"/>
  <c r="L182" i="79" a="1"/>
  <c r="L182" i="79" s="1"/>
  <c r="M254" i="79" s="1"/>
  <c r="M182" i="79" a="1"/>
  <c r="M182" i="79" s="1"/>
  <c r="P254" i="79" s="1"/>
  <c r="D181" i="79" a="1"/>
  <c r="D181" i="79" s="1"/>
  <c r="E181" i="79" a="1"/>
  <c r="E181" i="79" s="1"/>
  <c r="E253" i="79" s="1"/>
  <c r="F181" i="79" a="1"/>
  <c r="F181" i="79" s="1"/>
  <c r="F253" i="79" s="1"/>
  <c r="G181" i="79" a="1"/>
  <c r="G181" i="79" s="1"/>
  <c r="G253" i="79" s="1"/>
  <c r="H181" i="79" a="1"/>
  <c r="H181" i="79" s="1"/>
  <c r="H253" i="79" s="1"/>
  <c r="I181" i="79" a="1"/>
  <c r="I181" i="79" s="1"/>
  <c r="I253" i="79" s="1"/>
  <c r="J181" i="79" a="1"/>
  <c r="J181" i="79" s="1"/>
  <c r="J253" i="79" s="1"/>
  <c r="K181" i="79" a="1"/>
  <c r="K181" i="79" s="1"/>
  <c r="K253" i="79" s="1"/>
  <c r="L181" i="79" a="1"/>
  <c r="L181" i="79" s="1"/>
  <c r="M253" i="79" s="1"/>
  <c r="M181" i="79" a="1"/>
  <c r="M181" i="79" s="1"/>
  <c r="P253" i="79" s="1"/>
  <c r="D180" i="79" a="1"/>
  <c r="D180" i="79" s="1"/>
  <c r="E180" i="79" a="1"/>
  <c r="E180" i="79" s="1"/>
  <c r="E252" i="79" s="1"/>
  <c r="F180" i="79" a="1"/>
  <c r="F180" i="79" s="1"/>
  <c r="F252" i="79" s="1"/>
  <c r="G180" i="79" a="1"/>
  <c r="G180" i="79" s="1"/>
  <c r="G252" i="79" s="1"/>
  <c r="H180" i="79" a="1"/>
  <c r="H180" i="79" s="1"/>
  <c r="H252" i="79" s="1"/>
  <c r="I180" i="79" a="1"/>
  <c r="I180" i="79" s="1"/>
  <c r="I252" i="79" s="1"/>
  <c r="J180" i="79" a="1"/>
  <c r="J180" i="79" s="1"/>
  <c r="J252" i="79" s="1"/>
  <c r="K180" i="79" a="1"/>
  <c r="K180" i="79" s="1"/>
  <c r="L252" i="79" s="1"/>
  <c r="L180" i="79" a="1"/>
  <c r="L180" i="79" s="1"/>
  <c r="M252" i="79" s="1"/>
  <c r="M180" i="79" a="1"/>
  <c r="M180" i="79" s="1"/>
  <c r="N252" i="79" s="1"/>
  <c r="D179" i="79" a="1"/>
  <c r="D179" i="79" s="1"/>
  <c r="E179" i="79" a="1"/>
  <c r="E179" i="79" s="1"/>
  <c r="E251" i="79" s="1"/>
  <c r="F179" i="79" a="1"/>
  <c r="F179" i="79" s="1"/>
  <c r="F251" i="79" s="1"/>
  <c r="G179" i="79" a="1"/>
  <c r="G179" i="79" s="1"/>
  <c r="G251" i="79" s="1"/>
  <c r="H179" i="79" a="1"/>
  <c r="H179" i="79" s="1"/>
  <c r="H251" i="79" s="1"/>
  <c r="I179" i="79" a="1"/>
  <c r="I179" i="79" s="1"/>
  <c r="I251" i="79" s="1"/>
  <c r="J179" i="79" a="1"/>
  <c r="J179" i="79" s="1"/>
  <c r="J251" i="79" s="1"/>
  <c r="K179" i="79" a="1"/>
  <c r="K179" i="79" s="1"/>
  <c r="L251" i="79" s="1"/>
  <c r="L179" i="79" a="1"/>
  <c r="L179" i="79" s="1"/>
  <c r="M251" i="79" s="1"/>
  <c r="M179" i="79" a="1"/>
  <c r="M179" i="79" s="1"/>
  <c r="N251" i="79" s="1"/>
  <c r="D178" i="79" a="1"/>
  <c r="D178" i="79" s="1"/>
  <c r="E178" i="79" a="1"/>
  <c r="E178" i="79" s="1"/>
  <c r="E250" i="79" s="1"/>
  <c r="F178" i="79" a="1"/>
  <c r="F178" i="79" s="1"/>
  <c r="F250" i="79" s="1"/>
  <c r="G178" i="79" a="1"/>
  <c r="G178" i="79" s="1"/>
  <c r="G250" i="79" s="1"/>
  <c r="H178" i="79" a="1"/>
  <c r="H178" i="79" s="1"/>
  <c r="H250" i="79" s="1"/>
  <c r="I178" i="79" a="1"/>
  <c r="I178" i="79" s="1"/>
  <c r="I250" i="79" s="1"/>
  <c r="J178" i="79" a="1"/>
  <c r="J178" i="79" s="1"/>
  <c r="J250" i="79" s="1"/>
  <c r="K178" i="79" a="1"/>
  <c r="K178" i="79" s="1"/>
  <c r="K250" i="79" s="1"/>
  <c r="L178" i="79" a="1"/>
  <c r="L178" i="79" s="1"/>
  <c r="M250" i="79" s="1"/>
  <c r="M178" i="79" a="1"/>
  <c r="M178" i="79" s="1"/>
  <c r="N250" i="79" s="1"/>
  <c r="D177" i="79" a="1"/>
  <c r="D177" i="79" s="1"/>
  <c r="E177" i="79" a="1"/>
  <c r="E177" i="79" s="1"/>
  <c r="E249" i="79" s="1"/>
  <c r="F177" i="79" a="1"/>
  <c r="F177" i="79" s="1"/>
  <c r="F249" i="79" s="1"/>
  <c r="G177" i="79" a="1"/>
  <c r="G177" i="79" s="1"/>
  <c r="G249" i="79" s="1"/>
  <c r="H177" i="79" a="1"/>
  <c r="H177" i="79" s="1"/>
  <c r="H249" i="79" s="1"/>
  <c r="I177" i="79" a="1"/>
  <c r="I177" i="79" s="1"/>
  <c r="I249" i="79" s="1"/>
  <c r="J177" i="79" a="1"/>
  <c r="J177" i="79" s="1"/>
  <c r="J249" i="79" s="1"/>
  <c r="K177" i="79" a="1"/>
  <c r="K177" i="79" s="1"/>
  <c r="K249" i="79" s="1"/>
  <c r="L177" i="79" a="1"/>
  <c r="L177" i="79" s="1"/>
  <c r="M249" i="79" s="1"/>
  <c r="M177" i="79" a="1"/>
  <c r="M177" i="79" s="1"/>
  <c r="N249" i="79" s="1"/>
  <c r="D176" i="79" a="1"/>
  <c r="D176" i="79" s="1"/>
  <c r="E176" i="79" a="1"/>
  <c r="E176" i="79" s="1"/>
  <c r="E248" i="79" s="1"/>
  <c r="F176" i="79" a="1"/>
  <c r="F176" i="79" s="1"/>
  <c r="F248" i="79" s="1"/>
  <c r="G176" i="79" a="1"/>
  <c r="G176" i="79" s="1"/>
  <c r="G248" i="79" s="1"/>
  <c r="H176" i="79" a="1"/>
  <c r="H176" i="79" s="1"/>
  <c r="H248" i="79" s="1"/>
  <c r="I176" i="79" a="1"/>
  <c r="I176" i="79" s="1"/>
  <c r="I248" i="79" s="1"/>
  <c r="J176" i="79" a="1"/>
  <c r="J176" i="79" s="1"/>
  <c r="J248" i="79" s="1"/>
  <c r="K176" i="79" a="1"/>
  <c r="K176" i="79" s="1"/>
  <c r="L248" i="79" s="1"/>
  <c r="L176" i="79" a="1"/>
  <c r="L176" i="79" s="1"/>
  <c r="M248" i="79" s="1"/>
  <c r="M176" i="79" a="1"/>
  <c r="M176" i="79" s="1"/>
  <c r="O248" i="79" s="1"/>
  <c r="D175" i="79" a="1"/>
  <c r="D175" i="79" s="1"/>
  <c r="E175" i="79" a="1"/>
  <c r="E175" i="79" s="1"/>
  <c r="E247" i="79" s="1"/>
  <c r="F175" i="79" a="1"/>
  <c r="F175" i="79" s="1"/>
  <c r="F247" i="79" s="1"/>
  <c r="G175" i="79" a="1"/>
  <c r="G175" i="79" s="1"/>
  <c r="G247" i="79" s="1"/>
  <c r="H175" i="79" a="1"/>
  <c r="H175" i="79" s="1"/>
  <c r="H247" i="79" s="1"/>
  <c r="I175" i="79" a="1"/>
  <c r="I175" i="79" s="1"/>
  <c r="I247" i="79" s="1"/>
  <c r="J175" i="79" a="1"/>
  <c r="J175" i="79" s="1"/>
  <c r="J247" i="79" s="1"/>
  <c r="K175" i="79" a="1"/>
  <c r="K175" i="79" s="1"/>
  <c r="L247" i="79" s="1"/>
  <c r="L175" i="79" a="1"/>
  <c r="L175" i="79" s="1"/>
  <c r="M247" i="79" s="1"/>
  <c r="M175" i="79" a="1"/>
  <c r="M175" i="79" s="1"/>
  <c r="P247" i="79" s="1"/>
  <c r="D174" i="79" a="1"/>
  <c r="D174" i="79" s="1"/>
  <c r="E174" i="79" a="1"/>
  <c r="E174" i="79" s="1"/>
  <c r="E246" i="79" s="1"/>
  <c r="F174" i="79" a="1"/>
  <c r="F174" i="79" s="1"/>
  <c r="F246" i="79" s="1"/>
  <c r="G174" i="79" a="1"/>
  <c r="G174" i="79" s="1"/>
  <c r="G246" i="79" s="1"/>
  <c r="H174" i="79" a="1"/>
  <c r="H174" i="79" s="1"/>
  <c r="H246" i="79" s="1"/>
  <c r="I174" i="79" a="1"/>
  <c r="I174" i="79" s="1"/>
  <c r="I246" i="79" s="1"/>
  <c r="J174" i="79" a="1"/>
  <c r="J174" i="79" s="1"/>
  <c r="J246" i="79" s="1"/>
  <c r="K174" i="79" a="1"/>
  <c r="K174" i="79" s="1"/>
  <c r="L246" i="79" s="1"/>
  <c r="L174" i="79" a="1"/>
  <c r="L174" i="79" s="1"/>
  <c r="M246" i="79" s="1"/>
  <c r="M174" i="79" a="1"/>
  <c r="M174" i="79" s="1"/>
  <c r="P246" i="79" s="1"/>
  <c r="D173" i="79" a="1"/>
  <c r="D173" i="79" s="1"/>
  <c r="E173" i="79" a="1"/>
  <c r="E173" i="79" s="1"/>
  <c r="E245" i="79" s="1"/>
  <c r="F173" i="79" a="1"/>
  <c r="F173" i="79" s="1"/>
  <c r="F245" i="79" s="1"/>
  <c r="G173" i="79" a="1"/>
  <c r="G173" i="79" s="1"/>
  <c r="G245" i="79" s="1"/>
  <c r="H173" i="79" a="1"/>
  <c r="H173" i="79" s="1"/>
  <c r="H245" i="79" s="1"/>
  <c r="I173" i="79" a="1"/>
  <c r="I173" i="79" s="1"/>
  <c r="I245" i="79" s="1"/>
  <c r="J173" i="79" a="1"/>
  <c r="J173" i="79" s="1"/>
  <c r="J245" i="79" s="1"/>
  <c r="K173" i="79" a="1"/>
  <c r="K173" i="79" s="1"/>
  <c r="L245" i="79" s="1"/>
  <c r="L173" i="79" a="1"/>
  <c r="L173" i="79" s="1"/>
  <c r="M245" i="79" s="1"/>
  <c r="M173" i="79" a="1"/>
  <c r="M173" i="79" s="1"/>
  <c r="P245" i="79" s="1"/>
  <c r="D172" i="79" a="1"/>
  <c r="D172" i="79" s="1"/>
  <c r="E172" i="79" a="1"/>
  <c r="E172" i="79" s="1"/>
  <c r="E244" i="79" s="1"/>
  <c r="F172" i="79" a="1"/>
  <c r="F172" i="79" s="1"/>
  <c r="F244" i="79" s="1"/>
  <c r="G172" i="79" a="1"/>
  <c r="G172" i="79" s="1"/>
  <c r="G244" i="79" s="1"/>
  <c r="H172" i="79" a="1"/>
  <c r="H172" i="79" s="1"/>
  <c r="H244" i="79" s="1"/>
  <c r="I172" i="79" a="1"/>
  <c r="I172" i="79" s="1"/>
  <c r="I244" i="79" s="1"/>
  <c r="J172" i="79" a="1"/>
  <c r="J172" i="79" s="1"/>
  <c r="J244" i="79" s="1"/>
  <c r="K172" i="79" a="1"/>
  <c r="K172" i="79" s="1"/>
  <c r="K244" i="79" s="1"/>
  <c r="L172" i="79" a="1"/>
  <c r="L172" i="79" s="1"/>
  <c r="M244" i="79" s="1"/>
  <c r="M172" i="79" a="1"/>
  <c r="M172" i="79" s="1"/>
  <c r="P244" i="79" s="1"/>
  <c r="D171" i="79" a="1"/>
  <c r="D171" i="79" s="1"/>
  <c r="E171" i="79" a="1"/>
  <c r="E171" i="79" s="1"/>
  <c r="E243" i="79" s="1"/>
  <c r="F171" i="79" a="1"/>
  <c r="F171" i="79" s="1"/>
  <c r="F243" i="79" s="1"/>
  <c r="G171" i="79" a="1"/>
  <c r="G171" i="79" s="1"/>
  <c r="G243" i="79" s="1"/>
  <c r="H171" i="79" a="1"/>
  <c r="H171" i="79" s="1"/>
  <c r="H243" i="79" s="1"/>
  <c r="I171" i="79" a="1"/>
  <c r="I171" i="79" s="1"/>
  <c r="I243" i="79" s="1"/>
  <c r="J171" i="79" a="1"/>
  <c r="J171" i="79" s="1"/>
  <c r="J243" i="79" s="1"/>
  <c r="K171" i="79" a="1"/>
  <c r="K171" i="79" s="1"/>
  <c r="L243" i="79" s="1"/>
  <c r="L171" i="79" a="1"/>
  <c r="L171" i="79" s="1"/>
  <c r="M243" i="79" s="1"/>
  <c r="M171" i="79" a="1"/>
  <c r="M171" i="79" s="1"/>
  <c r="P243" i="79" s="1"/>
  <c r="D170" i="79" a="1"/>
  <c r="D170" i="79" s="1"/>
  <c r="E170" i="79" a="1"/>
  <c r="E170" i="79" s="1"/>
  <c r="F170" i="79" a="1"/>
  <c r="F170" i="79" s="1"/>
  <c r="F242" i="79" s="1"/>
  <c r="G170" i="79" a="1"/>
  <c r="G170" i="79" s="1"/>
  <c r="G242" i="79" s="1"/>
  <c r="H170" i="79" a="1"/>
  <c r="H170" i="79" s="1"/>
  <c r="H242" i="79" s="1"/>
  <c r="I170" i="79" a="1"/>
  <c r="I170" i="79" s="1"/>
  <c r="I242" i="79" s="1"/>
  <c r="J170" i="79" a="1"/>
  <c r="J170" i="79" s="1"/>
  <c r="J242" i="79" s="1"/>
  <c r="K170" i="79" a="1"/>
  <c r="K170" i="79" s="1"/>
  <c r="K242" i="79" s="1"/>
  <c r="L170" i="79" a="1"/>
  <c r="L170" i="79" s="1"/>
  <c r="M242" i="79" s="1"/>
  <c r="M170" i="79" a="1"/>
  <c r="M170" i="79" s="1"/>
  <c r="N242" i="79" s="1"/>
  <c r="D169" i="79" a="1"/>
  <c r="D169" i="79" s="1"/>
  <c r="E169" i="79" a="1"/>
  <c r="E169" i="79" s="1"/>
  <c r="F169" i="79" a="1"/>
  <c r="F169" i="79" s="1"/>
  <c r="F241" i="79" s="1"/>
  <c r="G169" i="79" a="1"/>
  <c r="G169" i="79" s="1"/>
  <c r="G241" i="79" s="1"/>
  <c r="H169" i="79" a="1"/>
  <c r="H169" i="79" s="1"/>
  <c r="H241" i="79" s="1"/>
  <c r="I169" i="79" a="1"/>
  <c r="I169" i="79" s="1"/>
  <c r="I241" i="79" s="1"/>
  <c r="J169" i="79" a="1"/>
  <c r="J169" i="79" s="1"/>
  <c r="J241" i="79" s="1"/>
  <c r="K169" i="79" a="1"/>
  <c r="K169" i="79" s="1"/>
  <c r="K241" i="79" s="1"/>
  <c r="L169" i="79" a="1"/>
  <c r="L169" i="79" s="1"/>
  <c r="M241" i="79" s="1"/>
  <c r="M169" i="79" a="1"/>
  <c r="M169" i="79" s="1"/>
  <c r="O241" i="79" s="1"/>
  <c r="D168" i="79" a="1"/>
  <c r="D168" i="79" s="1"/>
  <c r="E168" i="79" a="1"/>
  <c r="E168" i="79" s="1"/>
  <c r="F168" i="79" a="1"/>
  <c r="F168" i="79" s="1"/>
  <c r="F240" i="79" s="1"/>
  <c r="G168" i="79" a="1"/>
  <c r="G168" i="79" s="1"/>
  <c r="G240" i="79" s="1"/>
  <c r="H168" i="79" a="1"/>
  <c r="H168" i="79" s="1"/>
  <c r="H240" i="79" s="1"/>
  <c r="I168" i="79" a="1"/>
  <c r="I168" i="79" s="1"/>
  <c r="I240" i="79" s="1"/>
  <c r="J168" i="79" a="1"/>
  <c r="J168" i="79" s="1"/>
  <c r="J240" i="79" s="1"/>
  <c r="K168" i="79" a="1"/>
  <c r="K168" i="79" s="1"/>
  <c r="L240" i="79" s="1"/>
  <c r="L168" i="79" a="1"/>
  <c r="L168" i="79" s="1"/>
  <c r="M240" i="79" s="1"/>
  <c r="M168" i="79" a="1"/>
  <c r="M168" i="79" s="1"/>
  <c r="P240" i="79" s="1"/>
  <c r="D167" i="79" a="1"/>
  <c r="D167" i="79" s="1"/>
  <c r="E167" i="79" a="1"/>
  <c r="E167" i="79" s="1"/>
  <c r="F167" i="79" a="1"/>
  <c r="F167" i="79" s="1"/>
  <c r="F239" i="79" s="1"/>
  <c r="G167" i="79" a="1"/>
  <c r="G167" i="79" s="1"/>
  <c r="G239" i="79" s="1"/>
  <c r="H167" i="79" a="1"/>
  <c r="H167" i="79" s="1"/>
  <c r="H239" i="79" s="1"/>
  <c r="I167" i="79" a="1"/>
  <c r="I167" i="79" s="1"/>
  <c r="I239" i="79" s="1"/>
  <c r="J167" i="79" a="1"/>
  <c r="J167" i="79" s="1"/>
  <c r="J239" i="79" s="1"/>
  <c r="K167" i="79" a="1"/>
  <c r="K167" i="79" s="1"/>
  <c r="K239" i="79" s="1"/>
  <c r="L167" i="79" a="1"/>
  <c r="L167" i="79" s="1"/>
  <c r="M239" i="79" s="1"/>
  <c r="M167" i="79" a="1"/>
  <c r="M167" i="79" s="1"/>
  <c r="P239" i="79" s="1"/>
  <c r="D166" i="79" a="1"/>
  <c r="D166" i="79" s="1"/>
  <c r="E166" i="79" a="1"/>
  <c r="E166" i="79" s="1"/>
  <c r="F166" i="79" a="1"/>
  <c r="F166" i="79" s="1"/>
  <c r="F238" i="79" s="1"/>
  <c r="G166" i="79" a="1"/>
  <c r="G166" i="79" s="1"/>
  <c r="G238" i="79" s="1"/>
  <c r="H166" i="79" a="1"/>
  <c r="H166" i="79" s="1"/>
  <c r="H238" i="79" s="1"/>
  <c r="I166" i="79" a="1"/>
  <c r="I166" i="79" s="1"/>
  <c r="I238" i="79" s="1"/>
  <c r="J166" i="79" a="1"/>
  <c r="J166" i="79" s="1"/>
  <c r="J238" i="79" s="1"/>
  <c r="K166" i="79" a="1"/>
  <c r="K166" i="79" s="1"/>
  <c r="L238" i="79" s="1"/>
  <c r="L166" i="79" a="1"/>
  <c r="L166" i="79" s="1"/>
  <c r="M238" i="79" s="1"/>
  <c r="M166" i="79" a="1"/>
  <c r="M166" i="79" s="1"/>
  <c r="N238" i="79" s="1"/>
  <c r="D165" i="79" a="1"/>
  <c r="D165" i="79" s="1"/>
  <c r="E165" i="79" a="1"/>
  <c r="E165" i="79" s="1"/>
  <c r="F165" i="79" a="1"/>
  <c r="F165" i="79" s="1"/>
  <c r="F237" i="79" s="1"/>
  <c r="G165" i="79" a="1"/>
  <c r="G165" i="79" s="1"/>
  <c r="G237" i="79" s="1"/>
  <c r="H165" i="79" a="1"/>
  <c r="H165" i="79" s="1"/>
  <c r="H237" i="79" s="1"/>
  <c r="I165" i="79" a="1"/>
  <c r="I165" i="79" s="1"/>
  <c r="I237" i="79" s="1"/>
  <c r="J165" i="79" a="1"/>
  <c r="J165" i="79" s="1"/>
  <c r="J237" i="79" s="1"/>
  <c r="K165" i="79" a="1"/>
  <c r="K165" i="79" s="1"/>
  <c r="L237" i="79" s="1"/>
  <c r="L165" i="79" a="1"/>
  <c r="L165" i="79" s="1"/>
  <c r="M237" i="79" s="1"/>
  <c r="M165" i="79" a="1"/>
  <c r="M165" i="79" s="1"/>
  <c r="N237" i="79" s="1"/>
  <c r="D164" i="79" a="1"/>
  <c r="D164" i="79" s="1"/>
  <c r="E164" i="79" a="1"/>
  <c r="E164" i="79" s="1"/>
  <c r="F164" i="79" a="1"/>
  <c r="F164" i="79" s="1"/>
  <c r="F236" i="79" s="1"/>
  <c r="G164" i="79" a="1"/>
  <c r="G164" i="79" s="1"/>
  <c r="G236" i="79" s="1"/>
  <c r="H164" i="79" a="1"/>
  <c r="H164" i="79" s="1"/>
  <c r="H236" i="79" s="1"/>
  <c r="I164" i="79" a="1"/>
  <c r="I164" i="79" s="1"/>
  <c r="I236" i="79" s="1"/>
  <c r="J164" i="79" a="1"/>
  <c r="J164" i="79" s="1"/>
  <c r="J236" i="79" s="1"/>
  <c r="K164" i="79" a="1"/>
  <c r="K164" i="79" s="1"/>
  <c r="K236" i="79" s="1"/>
  <c r="L164" i="79" a="1"/>
  <c r="L164" i="79" s="1"/>
  <c r="M236" i="79" s="1"/>
  <c r="M164" i="79" a="1"/>
  <c r="M164" i="79" s="1"/>
  <c r="N236" i="79" s="1"/>
  <c r="D163" i="79" a="1"/>
  <c r="D163" i="79" s="1"/>
  <c r="E163" i="79" a="1"/>
  <c r="E163" i="79" s="1"/>
  <c r="F163" i="79" a="1"/>
  <c r="F163" i="79" s="1"/>
  <c r="F235" i="79" s="1"/>
  <c r="G163" i="79" a="1"/>
  <c r="G163" i="79" s="1"/>
  <c r="G235" i="79" s="1"/>
  <c r="H163" i="79" a="1"/>
  <c r="H163" i="79" s="1"/>
  <c r="H235" i="79" s="1"/>
  <c r="I163" i="79" a="1"/>
  <c r="I163" i="79" s="1"/>
  <c r="I235" i="79" s="1"/>
  <c r="J163" i="79" a="1"/>
  <c r="J163" i="79" s="1"/>
  <c r="J235" i="79" s="1"/>
  <c r="K163" i="79" a="1"/>
  <c r="K163" i="79" s="1"/>
  <c r="K235" i="79" s="1"/>
  <c r="L163" i="79" a="1"/>
  <c r="L163" i="79" s="1"/>
  <c r="M235" i="79" s="1"/>
  <c r="M163" i="79" a="1"/>
  <c r="M163" i="79" s="1"/>
  <c r="N235" i="79" s="1"/>
  <c r="D162" i="79" a="1"/>
  <c r="D162" i="79" s="1"/>
  <c r="E162" i="79" a="1"/>
  <c r="E162" i="79" s="1"/>
  <c r="F162" i="79" a="1"/>
  <c r="F162" i="79" s="1"/>
  <c r="F234" i="79" s="1"/>
  <c r="G162" i="79" a="1"/>
  <c r="G162" i="79" s="1"/>
  <c r="G234" i="79" s="1"/>
  <c r="H162" i="79" a="1"/>
  <c r="H162" i="79" s="1"/>
  <c r="H234" i="79" s="1"/>
  <c r="I162" i="79" a="1"/>
  <c r="I162" i="79" s="1"/>
  <c r="I234" i="79" s="1"/>
  <c r="J162" i="79" a="1"/>
  <c r="J162" i="79" s="1"/>
  <c r="J234" i="79" s="1"/>
  <c r="K162" i="79" a="1"/>
  <c r="K162" i="79" s="1"/>
  <c r="L234" i="79" s="1"/>
  <c r="L162" i="79" a="1"/>
  <c r="L162" i="79" s="1"/>
  <c r="M234" i="79" s="1"/>
  <c r="M162" i="79" a="1"/>
  <c r="M162" i="79" s="1"/>
  <c r="O234" i="79" s="1"/>
  <c r="D161" i="79" a="1"/>
  <c r="D161" i="79" s="1"/>
  <c r="E161" i="79" a="1"/>
  <c r="E161" i="79" s="1"/>
  <c r="F161" i="79" a="1"/>
  <c r="F161" i="79" s="1"/>
  <c r="F233" i="79" s="1"/>
  <c r="G161" i="79" a="1"/>
  <c r="G161" i="79" s="1"/>
  <c r="G233" i="79" s="1"/>
  <c r="H161" i="79" a="1"/>
  <c r="H161" i="79" s="1"/>
  <c r="H233" i="79" s="1"/>
  <c r="I161" i="79" a="1"/>
  <c r="I161" i="79" s="1"/>
  <c r="I233" i="79" s="1"/>
  <c r="J161" i="79" a="1"/>
  <c r="J161" i="79" s="1"/>
  <c r="J233" i="79" s="1"/>
  <c r="K161" i="79" a="1"/>
  <c r="K161" i="79" s="1"/>
  <c r="L233" i="79" s="1"/>
  <c r="L161" i="79" a="1"/>
  <c r="L161" i="79" s="1"/>
  <c r="M233" i="79" s="1"/>
  <c r="M161" i="79" a="1"/>
  <c r="M161" i="79" s="1"/>
  <c r="P233" i="79" s="1"/>
  <c r="D160" i="79" a="1"/>
  <c r="D160" i="79" s="1"/>
  <c r="E160" i="79" a="1"/>
  <c r="E160" i="79" s="1"/>
  <c r="F160" i="79" a="1"/>
  <c r="F160" i="79" s="1"/>
  <c r="F232" i="79" s="1"/>
  <c r="G160" i="79" a="1"/>
  <c r="G160" i="79" s="1"/>
  <c r="G232" i="79" s="1"/>
  <c r="H160" i="79" a="1"/>
  <c r="H160" i="79" s="1"/>
  <c r="H232" i="79" s="1"/>
  <c r="I160" i="79" a="1"/>
  <c r="I160" i="79" s="1"/>
  <c r="I232" i="79" s="1"/>
  <c r="J160" i="79" a="1"/>
  <c r="J160" i="79" s="1"/>
  <c r="J232" i="79" s="1"/>
  <c r="K160" i="79" a="1"/>
  <c r="K160" i="79" s="1"/>
  <c r="L232" i="79" s="1"/>
  <c r="L160" i="79" a="1"/>
  <c r="L160" i="79" s="1"/>
  <c r="M232" i="79" s="1"/>
  <c r="M160" i="79" a="1"/>
  <c r="M160" i="79" s="1"/>
  <c r="P232" i="79" s="1"/>
  <c r="D159" i="79" a="1"/>
  <c r="D159" i="79" s="1"/>
  <c r="E159" i="79" a="1"/>
  <c r="E159" i="79" s="1"/>
  <c r="F159" i="79" a="1"/>
  <c r="F159" i="79" s="1"/>
  <c r="F231" i="79" s="1"/>
  <c r="G159" i="79" a="1"/>
  <c r="G159" i="79" s="1"/>
  <c r="G231" i="79" s="1"/>
  <c r="H159" i="79" a="1"/>
  <c r="H159" i="79" s="1"/>
  <c r="H231" i="79" s="1"/>
  <c r="I159" i="79" a="1"/>
  <c r="I159" i="79" s="1"/>
  <c r="I231" i="79" s="1"/>
  <c r="J159" i="79" a="1"/>
  <c r="J159" i="79" s="1"/>
  <c r="J231" i="79" s="1"/>
  <c r="K159" i="79" a="1"/>
  <c r="K159" i="79" s="1"/>
  <c r="L231" i="79" s="1"/>
  <c r="L159" i="79" a="1"/>
  <c r="L159" i="79" s="1"/>
  <c r="M231" i="79" s="1"/>
  <c r="M159" i="79" a="1"/>
  <c r="M159" i="79" s="1"/>
  <c r="P231" i="79" s="1"/>
  <c r="D158" i="79" a="1"/>
  <c r="D158" i="79" s="1"/>
  <c r="E158" i="79" a="1"/>
  <c r="E158" i="79" s="1"/>
  <c r="F158" i="79" a="1"/>
  <c r="F158" i="79" s="1"/>
  <c r="F226" i="79" s="1"/>
  <c r="G158" i="79" a="1"/>
  <c r="G158" i="79" s="1"/>
  <c r="G230" i="79" s="1"/>
  <c r="H158" i="79" a="1"/>
  <c r="H158" i="79" s="1"/>
  <c r="H226" i="79" s="1"/>
  <c r="I158" i="79" a="1"/>
  <c r="I158" i="79" s="1"/>
  <c r="I226" i="79" s="1"/>
  <c r="J158" i="79" a="1"/>
  <c r="J158" i="79" s="1"/>
  <c r="J226" i="79" s="1"/>
  <c r="K158" i="79" a="1"/>
  <c r="K158" i="79" s="1"/>
  <c r="L230" i="79" s="1"/>
  <c r="L158" i="79" a="1"/>
  <c r="L158" i="79" s="1"/>
  <c r="M226" i="79" s="1"/>
  <c r="M158" i="79" a="1"/>
  <c r="M158" i="79" s="1"/>
  <c r="P226" i="79" s="1"/>
  <c r="D157" i="79" a="1"/>
  <c r="D157" i="79" s="1"/>
  <c r="E157" i="79" a="1"/>
  <c r="E157" i="79" s="1"/>
  <c r="F157" i="79" a="1"/>
  <c r="F157" i="79" s="1"/>
  <c r="F229" i="79" s="1"/>
  <c r="G157" i="79" a="1"/>
  <c r="G157" i="79" s="1"/>
  <c r="G225" i="79" s="1"/>
  <c r="H157" i="79" a="1"/>
  <c r="H157" i="79" s="1"/>
  <c r="H225" i="79" s="1"/>
  <c r="I157" i="79" a="1"/>
  <c r="I157" i="79" s="1"/>
  <c r="I225" i="79" s="1"/>
  <c r="J157" i="79" a="1"/>
  <c r="J157" i="79" s="1"/>
  <c r="J225" i="79" s="1"/>
  <c r="K157" i="79" a="1"/>
  <c r="K157" i="79" s="1"/>
  <c r="K225" i="79" s="1"/>
  <c r="L157" i="79" a="1"/>
  <c r="L157" i="79" s="1"/>
  <c r="M225" i="79" s="1"/>
  <c r="M157" i="79" a="1"/>
  <c r="M157" i="79" s="1"/>
  <c r="N229" i="79" s="1"/>
  <c r="D156" i="79" a="1"/>
  <c r="D156" i="79" s="1"/>
  <c r="E156" i="79" a="1"/>
  <c r="E156" i="79" s="1"/>
  <c r="F156" i="79" a="1"/>
  <c r="F156" i="79" s="1"/>
  <c r="F228" i="79" s="1"/>
  <c r="G156" i="79" a="1"/>
  <c r="G156" i="79" s="1"/>
  <c r="G224" i="79" s="1"/>
  <c r="H156" i="79" a="1"/>
  <c r="H156" i="79" s="1"/>
  <c r="H224" i="79" s="1"/>
  <c r="I156" i="79" a="1"/>
  <c r="I156" i="79" s="1"/>
  <c r="I224" i="79" s="1"/>
  <c r="J156" i="79" a="1"/>
  <c r="J156" i="79" s="1"/>
  <c r="J224" i="79" s="1"/>
  <c r="K156" i="79" a="1"/>
  <c r="K156" i="79" s="1"/>
  <c r="K224" i="79" s="1"/>
  <c r="L156" i="79" a="1"/>
  <c r="L156" i="79" s="1"/>
  <c r="M224" i="79" s="1"/>
  <c r="M156" i="79" a="1"/>
  <c r="M156" i="79" s="1"/>
  <c r="N228" i="79" s="1"/>
  <c r="M155" i="79" a="1"/>
  <c r="M155" i="79" s="1"/>
  <c r="P223" i="79" s="1"/>
  <c r="L155" i="79" a="1"/>
  <c r="L155" i="79" s="1"/>
  <c r="M223" i="79" s="1"/>
  <c r="K155" i="79" a="1"/>
  <c r="K155" i="79" s="1"/>
  <c r="L223" i="79" s="1"/>
  <c r="J155" i="79" a="1"/>
  <c r="J155" i="79" s="1"/>
  <c r="J223" i="79" s="1"/>
  <c r="I155" i="79" a="1"/>
  <c r="I155" i="79" s="1"/>
  <c r="I223" i="79" s="1"/>
  <c r="H155" i="79" a="1"/>
  <c r="H155" i="79" s="1"/>
  <c r="H223" i="79" s="1"/>
  <c r="G155" i="79" a="1"/>
  <c r="G155" i="79" s="1"/>
  <c r="G227" i="79" s="1"/>
  <c r="F155" i="79" a="1"/>
  <c r="F155" i="79" s="1"/>
  <c r="F227" i="79" s="1"/>
  <c r="E155" i="79" a="1"/>
  <c r="E155" i="79" s="1"/>
  <c r="D155" i="79" a="1"/>
  <c r="D155" i="79" s="1"/>
  <c r="D153" i="79" a="1"/>
  <c r="D153" i="79" s="1"/>
  <c r="D152" i="79" a="1"/>
  <c r="D152" i="79" s="1"/>
  <c r="D151" i="79" a="1"/>
  <c r="D151" i="79" s="1"/>
  <c r="D150" i="79" a="1"/>
  <c r="D150" i="79" s="1"/>
  <c r="D81" i="79" a="1"/>
  <c r="D81" i="79" s="1"/>
  <c r="E81" i="79" a="1"/>
  <c r="E81" i="79" s="1"/>
  <c r="E145" i="79" s="1"/>
  <c r="F81" i="79" a="1"/>
  <c r="F81" i="79" s="1"/>
  <c r="F145" i="79" s="1"/>
  <c r="F149" i="79" s="1"/>
  <c r="G81" i="79" a="1"/>
  <c r="G81" i="79" s="1"/>
  <c r="G145" i="79" s="1"/>
  <c r="H81" i="79" a="1"/>
  <c r="H81" i="79" s="1"/>
  <c r="H145" i="79" s="1"/>
  <c r="I81" i="79" a="1"/>
  <c r="I81" i="79" s="1"/>
  <c r="I145" i="79" s="1"/>
  <c r="J81" i="79" a="1"/>
  <c r="J81" i="79" s="1"/>
  <c r="J145" i="79" s="1"/>
  <c r="K81" i="79" a="1"/>
  <c r="K81" i="79" s="1"/>
  <c r="K145" i="79" s="1"/>
  <c r="L81" i="79" a="1"/>
  <c r="L81" i="79" s="1"/>
  <c r="L145" i="79" s="1"/>
  <c r="M81" i="79" a="1"/>
  <c r="M81" i="79" s="1"/>
  <c r="M145" i="79" s="1"/>
  <c r="N81" i="79" a="1"/>
  <c r="N81" i="79" s="1"/>
  <c r="N145" i="79" s="1"/>
  <c r="O81" i="79" a="1"/>
  <c r="O81" i="79" s="1"/>
  <c r="O145" i="79" s="1"/>
  <c r="P81" i="79" a="1"/>
  <c r="P81" i="79" s="1"/>
  <c r="P145" i="79" s="1"/>
  <c r="D80" i="79" a="1"/>
  <c r="D80" i="79" s="1"/>
  <c r="E80" i="79" a="1"/>
  <c r="E80" i="79" s="1"/>
  <c r="E144" i="79" s="1"/>
  <c r="F80" i="79" a="1"/>
  <c r="F80" i="79" s="1"/>
  <c r="F144" i="79" s="1"/>
  <c r="F148" i="79" s="1"/>
  <c r="G80" i="79" a="1"/>
  <c r="G80" i="79" s="1"/>
  <c r="G144" i="79" s="1"/>
  <c r="H80" i="79" a="1"/>
  <c r="H80" i="79" s="1"/>
  <c r="H144" i="79" s="1"/>
  <c r="I80" i="79" a="1"/>
  <c r="I80" i="79" s="1"/>
  <c r="I144" i="79" s="1"/>
  <c r="J80" i="79" a="1"/>
  <c r="J80" i="79" s="1"/>
  <c r="J144" i="79" s="1"/>
  <c r="K80" i="79" a="1"/>
  <c r="K80" i="79" s="1"/>
  <c r="K144" i="79" s="1"/>
  <c r="L80" i="79" a="1"/>
  <c r="L80" i="79" s="1"/>
  <c r="L144" i="79" s="1"/>
  <c r="M80" i="79" a="1"/>
  <c r="M80" i="79" s="1"/>
  <c r="M144" i="79" s="1"/>
  <c r="N80" i="79" a="1"/>
  <c r="N80" i="79" s="1"/>
  <c r="N144" i="79" s="1"/>
  <c r="O80" i="79" a="1"/>
  <c r="O80" i="79" s="1"/>
  <c r="O144" i="79" s="1"/>
  <c r="P80" i="79" a="1"/>
  <c r="P80" i="79" s="1"/>
  <c r="P144" i="79" s="1"/>
  <c r="D79" i="79" a="1"/>
  <c r="D79" i="79" s="1"/>
  <c r="E79" i="79" a="1"/>
  <c r="E79" i="79" s="1"/>
  <c r="E143" i="79" s="1"/>
  <c r="F79" i="79" a="1"/>
  <c r="F79" i="79" s="1"/>
  <c r="F143" i="79" s="1"/>
  <c r="F147" i="79" s="1"/>
  <c r="G79" i="79" a="1"/>
  <c r="G79" i="79" s="1"/>
  <c r="G143" i="79" s="1"/>
  <c r="H79" i="79" a="1"/>
  <c r="H79" i="79" s="1"/>
  <c r="H143" i="79" s="1"/>
  <c r="I79" i="79" a="1"/>
  <c r="I79" i="79" s="1"/>
  <c r="I143" i="79" s="1"/>
  <c r="J79" i="79" a="1"/>
  <c r="J79" i="79" s="1"/>
  <c r="J143" i="79" s="1"/>
  <c r="K79" i="79" a="1"/>
  <c r="K79" i="79" s="1"/>
  <c r="K143" i="79" s="1"/>
  <c r="L79" i="79" a="1"/>
  <c r="L79" i="79" s="1"/>
  <c r="L143" i="79" s="1"/>
  <c r="M79" i="79" a="1"/>
  <c r="M79" i="79" s="1"/>
  <c r="M143" i="79" s="1"/>
  <c r="N79" i="79" a="1"/>
  <c r="N79" i="79" s="1"/>
  <c r="N143" i="79" s="1"/>
  <c r="O79" i="79" a="1"/>
  <c r="O79" i="79" s="1"/>
  <c r="O143" i="79" s="1"/>
  <c r="P79" i="79" a="1"/>
  <c r="P79" i="79" s="1"/>
  <c r="P143" i="79" s="1"/>
  <c r="D78" i="79" a="1"/>
  <c r="D78" i="79" s="1"/>
  <c r="E78" i="79" a="1"/>
  <c r="E78" i="79" s="1"/>
  <c r="E142" i="79" s="1"/>
  <c r="F78" i="79" a="1"/>
  <c r="F78" i="79" s="1"/>
  <c r="F142" i="79" s="1"/>
  <c r="F146" i="79" s="1"/>
  <c r="G78" i="79" a="1"/>
  <c r="G78" i="79" s="1"/>
  <c r="G142" i="79" s="1"/>
  <c r="H78" i="79" a="1"/>
  <c r="H78" i="79" s="1"/>
  <c r="H142" i="79" s="1"/>
  <c r="I78" i="79" a="1"/>
  <c r="I78" i="79" s="1"/>
  <c r="I142" i="79" s="1"/>
  <c r="J78" i="79" a="1"/>
  <c r="J78" i="79" s="1"/>
  <c r="J142" i="79" s="1"/>
  <c r="K78" i="79" a="1"/>
  <c r="K78" i="79" s="1"/>
  <c r="K142" i="79" s="1"/>
  <c r="L78" i="79" a="1"/>
  <c r="L78" i="79" s="1"/>
  <c r="L142" i="79" s="1"/>
  <c r="M78" i="79" a="1"/>
  <c r="M78" i="79" s="1"/>
  <c r="M142" i="79" s="1"/>
  <c r="N78" i="79" a="1"/>
  <c r="N78" i="79" s="1"/>
  <c r="N142" i="79" s="1"/>
  <c r="O78" i="79" a="1"/>
  <c r="O78" i="79" s="1"/>
  <c r="O142" i="79" s="1"/>
  <c r="P78" i="79" a="1"/>
  <c r="P78" i="79" s="1"/>
  <c r="P142" i="79" s="1"/>
  <c r="D77" i="79" a="1"/>
  <c r="D77" i="79" s="1"/>
  <c r="E77" i="79" a="1"/>
  <c r="E77" i="79" s="1"/>
  <c r="E141" i="79" s="1"/>
  <c r="F77" i="79" a="1"/>
  <c r="F77" i="79" s="1"/>
  <c r="F141" i="79" s="1"/>
  <c r="G77" i="79" a="1"/>
  <c r="G77" i="79" s="1"/>
  <c r="G141" i="79" s="1"/>
  <c r="H77" i="79" a="1"/>
  <c r="H77" i="79" s="1"/>
  <c r="H141" i="79" s="1"/>
  <c r="I77" i="79" a="1"/>
  <c r="I77" i="79" s="1"/>
  <c r="I141" i="79" s="1"/>
  <c r="J77" i="79" a="1"/>
  <c r="J77" i="79" s="1"/>
  <c r="J141" i="79" s="1"/>
  <c r="K77" i="79" a="1"/>
  <c r="K77" i="79" s="1"/>
  <c r="K141" i="79" s="1"/>
  <c r="L77" i="79" a="1"/>
  <c r="L77" i="79" s="1"/>
  <c r="L141" i="79" s="1"/>
  <c r="M77" i="79" a="1"/>
  <c r="M77" i="79" s="1"/>
  <c r="M141" i="79" s="1"/>
  <c r="N77" i="79" a="1"/>
  <c r="N77" i="79" s="1"/>
  <c r="N141" i="79" s="1"/>
  <c r="O77" i="79" a="1"/>
  <c r="O77" i="79" s="1"/>
  <c r="O141" i="79" s="1"/>
  <c r="P77" i="79" a="1"/>
  <c r="P77" i="79" s="1"/>
  <c r="P141" i="79" s="1"/>
  <c r="D76" i="79" a="1"/>
  <c r="D76" i="79" s="1"/>
  <c r="E76" i="79" a="1"/>
  <c r="E76" i="79" s="1"/>
  <c r="E140" i="79" s="1"/>
  <c r="F76" i="79" a="1"/>
  <c r="F76" i="79" s="1"/>
  <c r="F140" i="79" s="1"/>
  <c r="G76" i="79" a="1"/>
  <c r="G76" i="79" s="1"/>
  <c r="G140" i="79" s="1"/>
  <c r="H76" i="79" a="1"/>
  <c r="H76" i="79" s="1"/>
  <c r="H140" i="79" s="1"/>
  <c r="I76" i="79" a="1"/>
  <c r="I76" i="79" s="1"/>
  <c r="I140" i="79" s="1"/>
  <c r="J76" i="79" a="1"/>
  <c r="J76" i="79" s="1"/>
  <c r="J140" i="79" s="1"/>
  <c r="K76" i="79" a="1"/>
  <c r="K76" i="79" s="1"/>
  <c r="K140" i="79" s="1"/>
  <c r="L76" i="79" a="1"/>
  <c r="L76" i="79" s="1"/>
  <c r="L140" i="79" s="1"/>
  <c r="M76" i="79" a="1"/>
  <c r="M76" i="79" s="1"/>
  <c r="M140" i="79" s="1"/>
  <c r="N76" i="79" a="1"/>
  <c r="N76" i="79" s="1"/>
  <c r="N140" i="79" s="1"/>
  <c r="O76" i="79" a="1"/>
  <c r="O76" i="79" s="1"/>
  <c r="O140" i="79" s="1"/>
  <c r="P76" i="79" a="1"/>
  <c r="P76" i="79" s="1"/>
  <c r="P140" i="79" s="1"/>
  <c r="D75" i="79" a="1"/>
  <c r="D75" i="79" s="1"/>
  <c r="E75" i="79" a="1"/>
  <c r="E75" i="79" s="1"/>
  <c r="E139" i="79" s="1"/>
  <c r="F75" i="79" a="1"/>
  <c r="F75" i="79" s="1"/>
  <c r="F139" i="79" s="1"/>
  <c r="G75" i="79" a="1"/>
  <c r="G75" i="79" s="1"/>
  <c r="G139" i="79" s="1"/>
  <c r="H75" i="79" a="1"/>
  <c r="H75" i="79" s="1"/>
  <c r="H139" i="79" s="1"/>
  <c r="I75" i="79" a="1"/>
  <c r="I75" i="79" s="1"/>
  <c r="I139" i="79" s="1"/>
  <c r="J75" i="79" a="1"/>
  <c r="J75" i="79" s="1"/>
  <c r="J139" i="79" s="1"/>
  <c r="K75" i="79" a="1"/>
  <c r="K75" i="79" s="1"/>
  <c r="K139" i="79" s="1"/>
  <c r="L75" i="79" a="1"/>
  <c r="L75" i="79" s="1"/>
  <c r="L139" i="79" s="1"/>
  <c r="M75" i="79" a="1"/>
  <c r="M75" i="79" s="1"/>
  <c r="M139" i="79" s="1"/>
  <c r="N75" i="79" a="1"/>
  <c r="N75" i="79" s="1"/>
  <c r="N139" i="79" s="1"/>
  <c r="O75" i="79" a="1"/>
  <c r="O75" i="79" s="1"/>
  <c r="O139" i="79" s="1"/>
  <c r="P75" i="79" a="1"/>
  <c r="P75" i="79" s="1"/>
  <c r="P139" i="79" s="1"/>
  <c r="D74" i="79" a="1"/>
  <c r="D74" i="79" s="1"/>
  <c r="E74" i="79" a="1"/>
  <c r="E74" i="79" s="1"/>
  <c r="E138" i="79" s="1"/>
  <c r="F74" i="79" a="1"/>
  <c r="F74" i="79" s="1"/>
  <c r="F138" i="79" s="1"/>
  <c r="G74" i="79" a="1"/>
  <c r="G74" i="79" s="1"/>
  <c r="G138" i="79" s="1"/>
  <c r="H74" i="79" a="1"/>
  <c r="H74" i="79" s="1"/>
  <c r="H138" i="79" s="1"/>
  <c r="I74" i="79" a="1"/>
  <c r="I74" i="79" s="1"/>
  <c r="I138" i="79" s="1"/>
  <c r="J74" i="79" a="1"/>
  <c r="J74" i="79" s="1"/>
  <c r="J138" i="79" s="1"/>
  <c r="K74" i="79" a="1"/>
  <c r="K74" i="79" s="1"/>
  <c r="K138" i="79" s="1"/>
  <c r="L74" i="79" a="1"/>
  <c r="L74" i="79" s="1"/>
  <c r="L138" i="79" s="1"/>
  <c r="M74" i="79" a="1"/>
  <c r="M74" i="79" s="1"/>
  <c r="M138" i="79" s="1"/>
  <c r="N74" i="79" a="1"/>
  <c r="N74" i="79" s="1"/>
  <c r="N138" i="79" s="1"/>
  <c r="O74" i="79" a="1"/>
  <c r="O74" i="79" s="1"/>
  <c r="O138" i="79" s="1"/>
  <c r="P74" i="79" a="1"/>
  <c r="P74" i="79" s="1"/>
  <c r="P138" i="79" s="1"/>
  <c r="D73" i="79" a="1"/>
  <c r="D73" i="79" s="1"/>
  <c r="E73" i="79" a="1"/>
  <c r="E73" i="79" s="1"/>
  <c r="E137" i="79" s="1"/>
  <c r="F73" i="79" a="1"/>
  <c r="F73" i="79" s="1"/>
  <c r="F137" i="79" s="1"/>
  <c r="G73" i="79" a="1"/>
  <c r="G73" i="79" s="1"/>
  <c r="G137" i="79" s="1"/>
  <c r="H73" i="79" a="1"/>
  <c r="H73" i="79" s="1"/>
  <c r="H137" i="79" s="1"/>
  <c r="I73" i="79" a="1"/>
  <c r="I73" i="79" s="1"/>
  <c r="I137" i="79" s="1"/>
  <c r="J73" i="79" a="1"/>
  <c r="J73" i="79" s="1"/>
  <c r="J137" i="79" s="1"/>
  <c r="K73" i="79" a="1"/>
  <c r="K73" i="79" s="1"/>
  <c r="K137" i="79" s="1"/>
  <c r="L73" i="79" a="1"/>
  <c r="L73" i="79" s="1"/>
  <c r="L137" i="79" s="1"/>
  <c r="M73" i="79" a="1"/>
  <c r="M73" i="79" s="1"/>
  <c r="M137" i="79" s="1"/>
  <c r="N73" i="79" a="1"/>
  <c r="N73" i="79" s="1"/>
  <c r="N137" i="79" s="1"/>
  <c r="O73" i="79" a="1"/>
  <c r="O73" i="79" s="1"/>
  <c r="O137" i="79" s="1"/>
  <c r="P73" i="79" a="1"/>
  <c r="P73" i="79" s="1"/>
  <c r="P137" i="79" s="1"/>
  <c r="D72" i="79" a="1"/>
  <c r="D72" i="79" s="1"/>
  <c r="E72" i="79" a="1"/>
  <c r="E72" i="79" s="1"/>
  <c r="E136" i="79" s="1"/>
  <c r="F72" i="79" a="1"/>
  <c r="F72" i="79" s="1"/>
  <c r="F136" i="79" s="1"/>
  <c r="G72" i="79" a="1"/>
  <c r="G72" i="79" s="1"/>
  <c r="G136" i="79" s="1"/>
  <c r="H72" i="79" a="1"/>
  <c r="H72" i="79" s="1"/>
  <c r="H136" i="79" s="1"/>
  <c r="I72" i="79" a="1"/>
  <c r="I72" i="79" s="1"/>
  <c r="I136" i="79" s="1"/>
  <c r="J72" i="79" a="1"/>
  <c r="J72" i="79" s="1"/>
  <c r="J136" i="79" s="1"/>
  <c r="K72" i="79" a="1"/>
  <c r="K72" i="79" s="1"/>
  <c r="K136" i="79" s="1"/>
  <c r="L72" i="79" a="1"/>
  <c r="L72" i="79" s="1"/>
  <c r="L136" i="79" s="1"/>
  <c r="M72" i="79" a="1"/>
  <c r="M72" i="79" s="1"/>
  <c r="M136" i="79" s="1"/>
  <c r="N72" i="79" a="1"/>
  <c r="N72" i="79" s="1"/>
  <c r="N136" i="79" s="1"/>
  <c r="O72" i="79" a="1"/>
  <c r="O72" i="79" s="1"/>
  <c r="O136" i="79" s="1"/>
  <c r="P72" i="79" a="1"/>
  <c r="P72" i="79" s="1"/>
  <c r="P136" i="79" s="1"/>
  <c r="D71" i="79" a="1"/>
  <c r="D71" i="79" s="1"/>
  <c r="E71" i="79" a="1"/>
  <c r="E71" i="79" s="1"/>
  <c r="E135" i="79" s="1"/>
  <c r="F71" i="79" a="1"/>
  <c r="F71" i="79" s="1"/>
  <c r="F135" i="79" s="1"/>
  <c r="G71" i="79" a="1"/>
  <c r="G71" i="79" s="1"/>
  <c r="G135" i="79" s="1"/>
  <c r="H71" i="79" a="1"/>
  <c r="H71" i="79" s="1"/>
  <c r="H135" i="79" s="1"/>
  <c r="I71" i="79" a="1"/>
  <c r="I71" i="79" s="1"/>
  <c r="I135" i="79" s="1"/>
  <c r="J71" i="79" a="1"/>
  <c r="J71" i="79" s="1"/>
  <c r="J135" i="79" s="1"/>
  <c r="K71" i="79" a="1"/>
  <c r="K71" i="79" s="1"/>
  <c r="K135" i="79" s="1"/>
  <c r="L71" i="79" a="1"/>
  <c r="L71" i="79" s="1"/>
  <c r="L135" i="79" s="1"/>
  <c r="M71" i="79" a="1"/>
  <c r="M71" i="79" s="1"/>
  <c r="M135" i="79" s="1"/>
  <c r="N71" i="79" a="1"/>
  <c r="N71" i="79" s="1"/>
  <c r="N135" i="79" s="1"/>
  <c r="O71" i="79" a="1"/>
  <c r="O71" i="79" s="1"/>
  <c r="O135" i="79" s="1"/>
  <c r="P71" i="79" a="1"/>
  <c r="P71" i="79" s="1"/>
  <c r="P135" i="79" s="1"/>
  <c r="D70" i="79" a="1"/>
  <c r="D70" i="79" s="1"/>
  <c r="E70" i="79" a="1"/>
  <c r="E70" i="79" s="1"/>
  <c r="E134" i="79" s="1"/>
  <c r="F70" i="79" a="1"/>
  <c r="F70" i="79" s="1"/>
  <c r="F134" i="79" s="1"/>
  <c r="G70" i="79" a="1"/>
  <c r="G70" i="79" s="1"/>
  <c r="G134" i="79" s="1"/>
  <c r="H70" i="79" a="1"/>
  <c r="H70" i="79" s="1"/>
  <c r="H134" i="79" s="1"/>
  <c r="I70" i="79" a="1"/>
  <c r="I70" i="79" s="1"/>
  <c r="I134" i="79" s="1"/>
  <c r="J70" i="79" a="1"/>
  <c r="J70" i="79" s="1"/>
  <c r="J134" i="79" s="1"/>
  <c r="K70" i="79" a="1"/>
  <c r="K70" i="79" s="1"/>
  <c r="K134" i="79" s="1"/>
  <c r="L70" i="79" a="1"/>
  <c r="L70" i="79" s="1"/>
  <c r="L134" i="79" s="1"/>
  <c r="M70" i="79" a="1"/>
  <c r="M70" i="79" s="1"/>
  <c r="M134" i="79" s="1"/>
  <c r="N70" i="79" a="1"/>
  <c r="N70" i="79" s="1"/>
  <c r="N134" i="79" s="1"/>
  <c r="O70" i="79" a="1"/>
  <c r="O70" i="79" s="1"/>
  <c r="O134" i="79" s="1"/>
  <c r="P70" i="79" a="1"/>
  <c r="P70" i="79" s="1"/>
  <c r="P134" i="79" s="1"/>
  <c r="D69" i="79" a="1"/>
  <c r="D69" i="79" s="1"/>
  <c r="E69" i="79" a="1"/>
  <c r="E69" i="79" s="1"/>
  <c r="E133" i="79" s="1"/>
  <c r="F69" i="79" a="1"/>
  <c r="F69" i="79" s="1"/>
  <c r="F133" i="79" s="1"/>
  <c r="G69" i="79" a="1"/>
  <c r="G69" i="79" s="1"/>
  <c r="G133" i="79" s="1"/>
  <c r="H69" i="79" a="1"/>
  <c r="H69" i="79" s="1"/>
  <c r="H133" i="79" s="1"/>
  <c r="I69" i="79" a="1"/>
  <c r="I69" i="79" s="1"/>
  <c r="I133" i="79" s="1"/>
  <c r="J69" i="79" a="1"/>
  <c r="J69" i="79" s="1"/>
  <c r="J133" i="79" s="1"/>
  <c r="K69" i="79" a="1"/>
  <c r="K69" i="79" s="1"/>
  <c r="K133" i="79" s="1"/>
  <c r="L69" i="79" a="1"/>
  <c r="L69" i="79" s="1"/>
  <c r="L133" i="79" s="1"/>
  <c r="M69" i="79" a="1"/>
  <c r="M69" i="79" s="1"/>
  <c r="M133" i="79" s="1"/>
  <c r="N69" i="79" a="1"/>
  <c r="N69" i="79" s="1"/>
  <c r="N133" i="79" s="1"/>
  <c r="O69" i="79" a="1"/>
  <c r="O69" i="79" s="1"/>
  <c r="O133" i="79" s="1"/>
  <c r="P69" i="79" a="1"/>
  <c r="P69" i="79" s="1"/>
  <c r="P133" i="79" s="1"/>
  <c r="D68" i="79" a="1"/>
  <c r="D68" i="79" s="1"/>
  <c r="E68" i="79" a="1"/>
  <c r="E68" i="79" s="1"/>
  <c r="E132" i="79" s="1"/>
  <c r="F68" i="79" a="1"/>
  <c r="F68" i="79" s="1"/>
  <c r="F132" i="79" s="1"/>
  <c r="G68" i="79" a="1"/>
  <c r="G68" i="79" s="1"/>
  <c r="G132" i="79" s="1"/>
  <c r="H68" i="79" a="1"/>
  <c r="H68" i="79" s="1"/>
  <c r="H132" i="79" s="1"/>
  <c r="I68" i="79" a="1"/>
  <c r="I68" i="79" s="1"/>
  <c r="I132" i="79" s="1"/>
  <c r="J68" i="79" a="1"/>
  <c r="J68" i="79" s="1"/>
  <c r="J132" i="79" s="1"/>
  <c r="K68" i="79" a="1"/>
  <c r="K68" i="79" s="1"/>
  <c r="K132" i="79" s="1"/>
  <c r="L68" i="79" a="1"/>
  <c r="L68" i="79" s="1"/>
  <c r="L132" i="79" s="1"/>
  <c r="M68" i="79" a="1"/>
  <c r="M68" i="79" s="1"/>
  <c r="M132" i="79" s="1"/>
  <c r="N68" i="79" a="1"/>
  <c r="N68" i="79" s="1"/>
  <c r="N132" i="79" s="1"/>
  <c r="O68" i="79" a="1"/>
  <c r="O68" i="79" s="1"/>
  <c r="O132" i="79" s="1"/>
  <c r="P68" i="79" a="1"/>
  <c r="P68" i="79" s="1"/>
  <c r="P132" i="79" s="1"/>
  <c r="D67" i="79" a="1"/>
  <c r="D67" i="79" s="1"/>
  <c r="E67" i="79" a="1"/>
  <c r="E67" i="79" s="1"/>
  <c r="E131" i="79" s="1"/>
  <c r="F67" i="79" a="1"/>
  <c r="F67" i="79" s="1"/>
  <c r="F131" i="79" s="1"/>
  <c r="G67" i="79" a="1"/>
  <c r="G67" i="79" s="1"/>
  <c r="G131" i="79" s="1"/>
  <c r="H67" i="79" a="1"/>
  <c r="H67" i="79" s="1"/>
  <c r="H131" i="79" s="1"/>
  <c r="I67" i="79" a="1"/>
  <c r="I67" i="79" s="1"/>
  <c r="I131" i="79" s="1"/>
  <c r="J67" i="79" a="1"/>
  <c r="J67" i="79" s="1"/>
  <c r="J131" i="79" s="1"/>
  <c r="K67" i="79" a="1"/>
  <c r="K67" i="79" s="1"/>
  <c r="K131" i="79" s="1"/>
  <c r="L67" i="79" a="1"/>
  <c r="L67" i="79" s="1"/>
  <c r="L131" i="79" s="1"/>
  <c r="M67" i="79" a="1"/>
  <c r="M67" i="79" s="1"/>
  <c r="M131" i="79" s="1"/>
  <c r="N67" i="79" a="1"/>
  <c r="N67" i="79" s="1"/>
  <c r="N131" i="79" s="1"/>
  <c r="O67" i="79" a="1"/>
  <c r="O67" i="79" s="1"/>
  <c r="O131" i="79" s="1"/>
  <c r="P67" i="79" a="1"/>
  <c r="P67" i="79" s="1"/>
  <c r="P131" i="79" s="1"/>
  <c r="D66" i="79" a="1"/>
  <c r="D66" i="79" s="1"/>
  <c r="E66" i="79" a="1"/>
  <c r="E66" i="79" s="1"/>
  <c r="E130" i="79" s="1"/>
  <c r="F66" i="79" a="1"/>
  <c r="F66" i="79" s="1"/>
  <c r="F130" i="79" s="1"/>
  <c r="G66" i="79" a="1"/>
  <c r="G66" i="79" s="1"/>
  <c r="G130" i="79" s="1"/>
  <c r="H66" i="79" a="1"/>
  <c r="H66" i="79" s="1"/>
  <c r="H130" i="79" s="1"/>
  <c r="I66" i="79" a="1"/>
  <c r="I66" i="79" s="1"/>
  <c r="I130" i="79" s="1"/>
  <c r="J66" i="79" a="1"/>
  <c r="J66" i="79" s="1"/>
  <c r="J130" i="79" s="1"/>
  <c r="K66" i="79" a="1"/>
  <c r="K66" i="79" s="1"/>
  <c r="K130" i="79" s="1"/>
  <c r="L66" i="79" a="1"/>
  <c r="L66" i="79" s="1"/>
  <c r="L130" i="79" s="1"/>
  <c r="M66" i="79" a="1"/>
  <c r="M66" i="79" s="1"/>
  <c r="M130" i="79" s="1"/>
  <c r="N66" i="79" a="1"/>
  <c r="N66" i="79" s="1"/>
  <c r="N130" i="79" s="1"/>
  <c r="O66" i="79" a="1"/>
  <c r="O66" i="79" s="1"/>
  <c r="O130" i="79" s="1"/>
  <c r="P66" i="79" a="1"/>
  <c r="P66" i="79" s="1"/>
  <c r="P130" i="79" s="1"/>
  <c r="D65" i="79" a="1"/>
  <c r="D65" i="79" s="1"/>
  <c r="E65" i="79" a="1"/>
  <c r="E65" i="79" s="1"/>
  <c r="E129" i="79" s="1"/>
  <c r="F65" i="79" a="1"/>
  <c r="F65" i="79" s="1"/>
  <c r="F129" i="79" s="1"/>
  <c r="G65" i="79" a="1"/>
  <c r="G65" i="79" s="1"/>
  <c r="G129" i="79" s="1"/>
  <c r="H65" i="79" a="1"/>
  <c r="H65" i="79" s="1"/>
  <c r="H129" i="79" s="1"/>
  <c r="I65" i="79" a="1"/>
  <c r="I65" i="79" s="1"/>
  <c r="I129" i="79" s="1"/>
  <c r="J65" i="79" a="1"/>
  <c r="J65" i="79" s="1"/>
  <c r="J129" i="79" s="1"/>
  <c r="K65" i="79" a="1"/>
  <c r="K65" i="79" s="1"/>
  <c r="K129" i="79" s="1"/>
  <c r="L65" i="79" a="1"/>
  <c r="L65" i="79" s="1"/>
  <c r="L129" i="79" s="1"/>
  <c r="M65" i="79" a="1"/>
  <c r="M65" i="79" s="1"/>
  <c r="M129" i="79" s="1"/>
  <c r="N65" i="79" a="1"/>
  <c r="N65" i="79" s="1"/>
  <c r="N129" i="79" s="1"/>
  <c r="O65" i="79" a="1"/>
  <c r="O65" i="79" s="1"/>
  <c r="O129" i="79" s="1"/>
  <c r="P65" i="79" a="1"/>
  <c r="P65" i="79" s="1"/>
  <c r="P129" i="79" s="1"/>
  <c r="D64" i="79" a="1"/>
  <c r="D64" i="79" s="1"/>
  <c r="E64" i="79" a="1"/>
  <c r="E64" i="79" s="1"/>
  <c r="E128" i="79" s="1"/>
  <c r="F64" i="79" a="1"/>
  <c r="F64" i="79" s="1"/>
  <c r="F128" i="79" s="1"/>
  <c r="G64" i="79" a="1"/>
  <c r="G64" i="79" s="1"/>
  <c r="G128" i="79" s="1"/>
  <c r="H64" i="79" a="1"/>
  <c r="H64" i="79" s="1"/>
  <c r="H128" i="79" s="1"/>
  <c r="I64" i="79" a="1"/>
  <c r="I64" i="79" s="1"/>
  <c r="I128" i="79" s="1"/>
  <c r="J64" i="79" a="1"/>
  <c r="J64" i="79" s="1"/>
  <c r="J128" i="79" s="1"/>
  <c r="K64" i="79" a="1"/>
  <c r="K64" i="79" s="1"/>
  <c r="K128" i="79" s="1"/>
  <c r="L64" i="79" a="1"/>
  <c r="L64" i="79" s="1"/>
  <c r="L128" i="79" s="1"/>
  <c r="M64" i="79" a="1"/>
  <c r="M64" i="79" s="1"/>
  <c r="M128" i="79" s="1"/>
  <c r="N64" i="79" a="1"/>
  <c r="N64" i="79" s="1"/>
  <c r="N128" i="79" s="1"/>
  <c r="O64" i="79" a="1"/>
  <c r="O64" i="79" s="1"/>
  <c r="O128" i="79" s="1"/>
  <c r="P64" i="79" a="1"/>
  <c r="P64" i="79" s="1"/>
  <c r="P128" i="79" s="1"/>
  <c r="D63" i="79" a="1"/>
  <c r="D63" i="79" s="1"/>
  <c r="E63" i="79" a="1"/>
  <c r="E63" i="79" s="1"/>
  <c r="E127" i="79" s="1"/>
  <c r="F63" i="79" a="1"/>
  <c r="F63" i="79" s="1"/>
  <c r="F127" i="79" s="1"/>
  <c r="G63" i="79" a="1"/>
  <c r="G63" i="79" s="1"/>
  <c r="G127" i="79" s="1"/>
  <c r="H63" i="79" a="1"/>
  <c r="H63" i="79" s="1"/>
  <c r="H127" i="79" s="1"/>
  <c r="I63" i="79" a="1"/>
  <c r="I63" i="79" s="1"/>
  <c r="I127" i="79" s="1"/>
  <c r="J63" i="79" a="1"/>
  <c r="J63" i="79" s="1"/>
  <c r="J127" i="79" s="1"/>
  <c r="K63" i="79" a="1"/>
  <c r="K63" i="79" s="1"/>
  <c r="K127" i="79" s="1"/>
  <c r="L63" i="79" a="1"/>
  <c r="L63" i="79" s="1"/>
  <c r="L127" i="79" s="1"/>
  <c r="M63" i="79" a="1"/>
  <c r="M63" i="79" s="1"/>
  <c r="M127" i="79" s="1"/>
  <c r="N63" i="79" a="1"/>
  <c r="N63" i="79" s="1"/>
  <c r="N127" i="79" s="1"/>
  <c r="O63" i="79" a="1"/>
  <c r="O63" i="79" s="1"/>
  <c r="O127" i="79" s="1"/>
  <c r="P63" i="79" a="1"/>
  <c r="P63" i="79" s="1"/>
  <c r="P127" i="79" s="1"/>
  <c r="D62" i="79" a="1"/>
  <c r="D62" i="79" s="1"/>
  <c r="E62" i="79" a="1"/>
  <c r="E62" i="79" s="1"/>
  <c r="E126" i="79" s="1"/>
  <c r="F62" i="79" a="1"/>
  <c r="F62" i="79" s="1"/>
  <c r="F126" i="79" s="1"/>
  <c r="G62" i="79" a="1"/>
  <c r="G62" i="79" s="1"/>
  <c r="G126" i="79" s="1"/>
  <c r="H62" i="79" a="1"/>
  <c r="H62" i="79" s="1"/>
  <c r="H126" i="79" s="1"/>
  <c r="I62" i="79" a="1"/>
  <c r="I62" i="79" s="1"/>
  <c r="I126" i="79" s="1"/>
  <c r="J62" i="79" a="1"/>
  <c r="J62" i="79" s="1"/>
  <c r="J126" i="79" s="1"/>
  <c r="K62" i="79" a="1"/>
  <c r="K62" i="79" s="1"/>
  <c r="K126" i="79" s="1"/>
  <c r="L62" i="79" a="1"/>
  <c r="L62" i="79" s="1"/>
  <c r="L126" i="79" s="1"/>
  <c r="M62" i="79" a="1"/>
  <c r="M62" i="79" s="1"/>
  <c r="M126" i="79" s="1"/>
  <c r="N62" i="79" a="1"/>
  <c r="N62" i="79" s="1"/>
  <c r="N126" i="79" s="1"/>
  <c r="O62" i="79" a="1"/>
  <c r="O62" i="79" s="1"/>
  <c r="O126" i="79" s="1"/>
  <c r="P62" i="79" a="1"/>
  <c r="P62" i="79" s="1"/>
  <c r="P126" i="79" s="1"/>
  <c r="D61" i="79" a="1"/>
  <c r="D61" i="79" s="1"/>
  <c r="E61" i="79" a="1"/>
  <c r="E61" i="79" s="1"/>
  <c r="E125" i="79" s="1"/>
  <c r="F61" i="79" a="1"/>
  <c r="F61" i="79" s="1"/>
  <c r="F125" i="79" s="1"/>
  <c r="G61" i="79" a="1"/>
  <c r="G61" i="79" s="1"/>
  <c r="G125" i="79" s="1"/>
  <c r="H61" i="79" a="1"/>
  <c r="H61" i="79" s="1"/>
  <c r="H125" i="79" s="1"/>
  <c r="I61" i="79" a="1"/>
  <c r="I61" i="79" s="1"/>
  <c r="I125" i="79" s="1"/>
  <c r="J61" i="79" a="1"/>
  <c r="J61" i="79" s="1"/>
  <c r="J125" i="79" s="1"/>
  <c r="K61" i="79" a="1"/>
  <c r="K61" i="79" s="1"/>
  <c r="K125" i="79" s="1"/>
  <c r="L61" i="79" a="1"/>
  <c r="L61" i="79" s="1"/>
  <c r="L125" i="79" s="1"/>
  <c r="M61" i="79" a="1"/>
  <c r="M61" i="79" s="1"/>
  <c r="M125" i="79" s="1"/>
  <c r="N61" i="79" a="1"/>
  <c r="N61" i="79" s="1"/>
  <c r="N125" i="79" s="1"/>
  <c r="O61" i="79" a="1"/>
  <c r="O61" i="79" s="1"/>
  <c r="O125" i="79" s="1"/>
  <c r="P61" i="79" a="1"/>
  <c r="P61" i="79" s="1"/>
  <c r="P125" i="79" s="1"/>
  <c r="D60" i="79" a="1"/>
  <c r="D60" i="79" s="1"/>
  <c r="E60" i="79" a="1"/>
  <c r="E60" i="79" s="1"/>
  <c r="E124" i="79" s="1"/>
  <c r="F60" i="79" a="1"/>
  <c r="F60" i="79" s="1"/>
  <c r="F124" i="79" s="1"/>
  <c r="G60" i="79" a="1"/>
  <c r="G60" i="79" s="1"/>
  <c r="G124" i="79" s="1"/>
  <c r="H60" i="79" a="1"/>
  <c r="H60" i="79" s="1"/>
  <c r="H124" i="79" s="1"/>
  <c r="I60" i="79" a="1"/>
  <c r="I60" i="79" s="1"/>
  <c r="I124" i="79" s="1"/>
  <c r="J60" i="79" a="1"/>
  <c r="J60" i="79" s="1"/>
  <c r="J124" i="79" s="1"/>
  <c r="K60" i="79" a="1"/>
  <c r="K60" i="79" s="1"/>
  <c r="K124" i="79" s="1"/>
  <c r="L60" i="79" a="1"/>
  <c r="L60" i="79" s="1"/>
  <c r="L124" i="79" s="1"/>
  <c r="M60" i="79" a="1"/>
  <c r="M60" i="79" s="1"/>
  <c r="M124" i="79" s="1"/>
  <c r="N60" i="79" a="1"/>
  <c r="N60" i="79" s="1"/>
  <c r="N124" i="79" s="1"/>
  <c r="O60" i="79" a="1"/>
  <c r="O60" i="79" s="1"/>
  <c r="O124" i="79" s="1"/>
  <c r="P60" i="79" a="1"/>
  <c r="P60" i="79" s="1"/>
  <c r="P124" i="79" s="1"/>
  <c r="D59" i="79" a="1"/>
  <c r="D59" i="79" s="1"/>
  <c r="E59" i="79" a="1"/>
  <c r="E59" i="79" s="1"/>
  <c r="E123" i="79" s="1"/>
  <c r="F59" i="79" a="1"/>
  <c r="F59" i="79" s="1"/>
  <c r="F123" i="79" s="1"/>
  <c r="G59" i="79" a="1"/>
  <c r="G59" i="79" s="1"/>
  <c r="G123" i="79" s="1"/>
  <c r="H59" i="79" a="1"/>
  <c r="H59" i="79" s="1"/>
  <c r="H123" i="79" s="1"/>
  <c r="I59" i="79" a="1"/>
  <c r="I59" i="79" s="1"/>
  <c r="I123" i="79" s="1"/>
  <c r="J59" i="79" a="1"/>
  <c r="J59" i="79" s="1"/>
  <c r="J123" i="79" s="1"/>
  <c r="K59" i="79" a="1"/>
  <c r="K59" i="79" s="1"/>
  <c r="K123" i="79" s="1"/>
  <c r="L59" i="79" a="1"/>
  <c r="L59" i="79" s="1"/>
  <c r="L123" i="79" s="1"/>
  <c r="M59" i="79" a="1"/>
  <c r="M59" i="79" s="1"/>
  <c r="M123" i="79" s="1"/>
  <c r="N59" i="79" a="1"/>
  <c r="N59" i="79" s="1"/>
  <c r="N123" i="79" s="1"/>
  <c r="O59" i="79" a="1"/>
  <c r="O59" i="79" s="1"/>
  <c r="O123" i="79" s="1"/>
  <c r="P59" i="79" a="1"/>
  <c r="P59" i="79" s="1"/>
  <c r="P123" i="79" s="1"/>
  <c r="D58" i="79" a="1"/>
  <c r="D58" i="79" s="1"/>
  <c r="E58" i="79" a="1"/>
  <c r="E58" i="79" s="1"/>
  <c r="E122" i="79" s="1"/>
  <c r="F58" i="79" a="1"/>
  <c r="F58" i="79" s="1"/>
  <c r="F122" i="79" s="1"/>
  <c r="G58" i="79" a="1"/>
  <c r="G58" i="79" s="1"/>
  <c r="G122" i="79" s="1"/>
  <c r="H58" i="79" a="1"/>
  <c r="H58" i="79" s="1"/>
  <c r="H122" i="79" s="1"/>
  <c r="I58" i="79" a="1"/>
  <c r="I58" i="79" s="1"/>
  <c r="I122" i="79" s="1"/>
  <c r="J58" i="79" a="1"/>
  <c r="J58" i="79" s="1"/>
  <c r="J122" i="79" s="1"/>
  <c r="K58" i="79" a="1"/>
  <c r="K58" i="79" s="1"/>
  <c r="K122" i="79" s="1"/>
  <c r="L58" i="79" a="1"/>
  <c r="L58" i="79" s="1"/>
  <c r="L122" i="79" s="1"/>
  <c r="M58" i="79" a="1"/>
  <c r="M58" i="79" s="1"/>
  <c r="M122" i="79" s="1"/>
  <c r="N58" i="79" a="1"/>
  <c r="N58" i="79" s="1"/>
  <c r="N122" i="79" s="1"/>
  <c r="O58" i="79" a="1"/>
  <c r="O58" i="79" s="1"/>
  <c r="O122" i="79" s="1"/>
  <c r="P58" i="79" a="1"/>
  <c r="P58" i="79" s="1"/>
  <c r="P122" i="79" s="1"/>
  <c r="D57" i="79" a="1"/>
  <c r="D57" i="79" s="1"/>
  <c r="E57" i="79" a="1"/>
  <c r="E57" i="79" s="1"/>
  <c r="E121" i="79" s="1"/>
  <c r="F57" i="79" a="1"/>
  <c r="F57" i="79" s="1"/>
  <c r="F121" i="79" s="1"/>
  <c r="G57" i="79" a="1"/>
  <c r="G57" i="79" s="1"/>
  <c r="G121" i="79" s="1"/>
  <c r="H57" i="79" a="1"/>
  <c r="H57" i="79" s="1"/>
  <c r="H121" i="79" s="1"/>
  <c r="I57" i="79" a="1"/>
  <c r="I57" i="79" s="1"/>
  <c r="I121" i="79" s="1"/>
  <c r="J57" i="79" a="1"/>
  <c r="J57" i="79" s="1"/>
  <c r="J121" i="79" s="1"/>
  <c r="K57" i="79" a="1"/>
  <c r="K57" i="79" s="1"/>
  <c r="K121" i="79" s="1"/>
  <c r="L57" i="79" a="1"/>
  <c r="L57" i="79" s="1"/>
  <c r="L121" i="79" s="1"/>
  <c r="M57" i="79" a="1"/>
  <c r="M57" i="79" s="1"/>
  <c r="M121" i="79" s="1"/>
  <c r="N57" i="79" a="1"/>
  <c r="N57" i="79" s="1"/>
  <c r="N121" i="79" s="1"/>
  <c r="O57" i="79" a="1"/>
  <c r="O57" i="79" s="1"/>
  <c r="O121" i="79" s="1"/>
  <c r="P57" i="79" a="1"/>
  <c r="P57" i="79" s="1"/>
  <c r="P121" i="79" s="1"/>
  <c r="D56" i="79" a="1"/>
  <c r="D56" i="79" s="1"/>
  <c r="E56" i="79" a="1"/>
  <c r="E56" i="79" s="1"/>
  <c r="E120" i="79" s="1"/>
  <c r="F56" i="79" a="1"/>
  <c r="F56" i="79" s="1"/>
  <c r="F120" i="79" s="1"/>
  <c r="G56" i="79" a="1"/>
  <c r="G56" i="79" s="1"/>
  <c r="G120" i="79" s="1"/>
  <c r="H56" i="79" a="1"/>
  <c r="H56" i="79" s="1"/>
  <c r="H120" i="79" s="1"/>
  <c r="I56" i="79" a="1"/>
  <c r="I56" i="79" s="1"/>
  <c r="I120" i="79" s="1"/>
  <c r="J56" i="79" a="1"/>
  <c r="J56" i="79" s="1"/>
  <c r="J120" i="79" s="1"/>
  <c r="K56" i="79" a="1"/>
  <c r="K56" i="79" s="1"/>
  <c r="K120" i="79" s="1"/>
  <c r="L56" i="79" a="1"/>
  <c r="L56" i="79" s="1"/>
  <c r="L120" i="79" s="1"/>
  <c r="M56" i="79" a="1"/>
  <c r="M56" i="79" s="1"/>
  <c r="M120" i="79" s="1"/>
  <c r="N56" i="79" a="1"/>
  <c r="N56" i="79" s="1"/>
  <c r="N120" i="79" s="1"/>
  <c r="O56" i="79" a="1"/>
  <c r="O56" i="79" s="1"/>
  <c r="O120" i="79" s="1"/>
  <c r="P56" i="79" a="1"/>
  <c r="P56" i="79" s="1"/>
  <c r="P120" i="79" s="1"/>
  <c r="D55" i="79" a="1"/>
  <c r="D55" i="79" s="1"/>
  <c r="E55" i="79" a="1"/>
  <c r="E55" i="79" s="1"/>
  <c r="E119" i="79" s="1"/>
  <c r="F55" i="79" a="1"/>
  <c r="F55" i="79" s="1"/>
  <c r="F119" i="79" s="1"/>
  <c r="G55" i="79" a="1"/>
  <c r="G55" i="79" s="1"/>
  <c r="G119" i="79" s="1"/>
  <c r="H55" i="79" a="1"/>
  <c r="H55" i="79" s="1"/>
  <c r="H119" i="79" s="1"/>
  <c r="I55" i="79" a="1"/>
  <c r="I55" i="79" s="1"/>
  <c r="I119" i="79" s="1"/>
  <c r="J55" i="79" a="1"/>
  <c r="J55" i="79" s="1"/>
  <c r="J119" i="79" s="1"/>
  <c r="K55" i="79" a="1"/>
  <c r="K55" i="79" s="1"/>
  <c r="K119" i="79" s="1"/>
  <c r="L55" i="79" a="1"/>
  <c r="L55" i="79" s="1"/>
  <c r="L119" i="79" s="1"/>
  <c r="M55" i="79" a="1"/>
  <c r="M55" i="79" s="1"/>
  <c r="M119" i="79" s="1"/>
  <c r="N55" i="79" a="1"/>
  <c r="N55" i="79" s="1"/>
  <c r="N119" i="79" s="1"/>
  <c r="O55" i="79" a="1"/>
  <c r="O55" i="79" s="1"/>
  <c r="O119" i="79" s="1"/>
  <c r="P55" i="79" a="1"/>
  <c r="P55" i="79" s="1"/>
  <c r="P119" i="79" s="1"/>
  <c r="P54" i="79" a="1"/>
  <c r="P54" i="79" s="1"/>
  <c r="P118" i="79" s="1"/>
  <c r="O54" i="79" a="1"/>
  <c r="O54" i="79" s="1"/>
  <c r="O118" i="79" s="1"/>
  <c r="N54" i="79" a="1"/>
  <c r="N54" i="79" s="1"/>
  <c r="N118" i="79" s="1"/>
  <c r="M54" i="79" a="1"/>
  <c r="M54" i="79" s="1"/>
  <c r="M118" i="79" s="1"/>
  <c r="L54" i="79" a="1"/>
  <c r="L54" i="79" s="1"/>
  <c r="L118" i="79" s="1"/>
  <c r="K54" i="79" a="1"/>
  <c r="K54" i="79" s="1"/>
  <c r="K118" i="79" s="1"/>
  <c r="J54" i="79" a="1"/>
  <c r="J54" i="79" s="1"/>
  <c r="J118" i="79" s="1"/>
  <c r="I54" i="79" a="1"/>
  <c r="I54" i="79" s="1"/>
  <c r="I118" i="79" s="1"/>
  <c r="H54" i="79" a="1"/>
  <c r="H54" i="79" s="1"/>
  <c r="H118" i="79" s="1"/>
  <c r="G54" i="79" a="1"/>
  <c r="G54" i="79" s="1"/>
  <c r="G118" i="79" s="1"/>
  <c r="F54" i="79" a="1"/>
  <c r="F54" i="79" s="1"/>
  <c r="F118" i="79" s="1"/>
  <c r="E54" i="79" a="1"/>
  <c r="E54" i="79" s="1"/>
  <c r="E118" i="79" s="1"/>
  <c r="D54" i="79" a="1"/>
  <c r="D54" i="79" s="1"/>
  <c r="D52" i="79" a="1"/>
  <c r="D52" i="79" s="1"/>
  <c r="D51" i="79" a="1"/>
  <c r="D51" i="79" s="1"/>
  <c r="D50" i="79" a="1"/>
  <c r="D50" i="79" s="1"/>
  <c r="D49" i="79" a="1"/>
  <c r="D49" i="79" s="1"/>
  <c r="D46" i="79" a="1"/>
  <c r="D46" i="79" s="1"/>
  <c r="E46" i="79" a="1"/>
  <c r="E46" i="79" s="1"/>
  <c r="E117" i="79" s="1"/>
  <c r="F46" i="79" a="1"/>
  <c r="F46" i="79" s="1"/>
  <c r="F117" i="79" s="1"/>
  <c r="G46" i="79" a="1"/>
  <c r="G46" i="79" s="1"/>
  <c r="G117" i="79" s="1"/>
  <c r="H46" i="79" a="1"/>
  <c r="H46" i="79" s="1"/>
  <c r="H117" i="79" s="1"/>
  <c r="I46" i="79" a="1"/>
  <c r="I46" i="79" s="1"/>
  <c r="I117" i="79" s="1"/>
  <c r="J46" i="79" a="1"/>
  <c r="J46" i="79" s="1"/>
  <c r="J117" i="79" s="1"/>
  <c r="K46" i="79" a="1"/>
  <c r="K46" i="79" s="1"/>
  <c r="K117" i="79" s="1"/>
  <c r="L46" i="79" a="1"/>
  <c r="L46" i="79" s="1"/>
  <c r="M117" i="79" s="1"/>
  <c r="M46" i="79" a="1"/>
  <c r="M46" i="79" s="1"/>
  <c r="N117" i="79" s="1"/>
  <c r="D45" i="79" a="1"/>
  <c r="D45" i="79" s="1"/>
  <c r="E45" i="79" a="1"/>
  <c r="E45" i="79" s="1"/>
  <c r="E116" i="79" s="1"/>
  <c r="F45" i="79" a="1"/>
  <c r="F45" i="79" s="1"/>
  <c r="F116" i="79" s="1"/>
  <c r="G45" i="79" a="1"/>
  <c r="G45" i="79" s="1"/>
  <c r="G116" i="79" s="1"/>
  <c r="H45" i="79" a="1"/>
  <c r="H45" i="79" s="1"/>
  <c r="H116" i="79" s="1"/>
  <c r="I45" i="79" a="1"/>
  <c r="I45" i="79" s="1"/>
  <c r="I116" i="79" s="1"/>
  <c r="J45" i="79" a="1"/>
  <c r="J45" i="79" s="1"/>
  <c r="J116" i="79" s="1"/>
  <c r="K45" i="79" a="1"/>
  <c r="K45" i="79" s="1"/>
  <c r="K116" i="79" s="1"/>
  <c r="L45" i="79" a="1"/>
  <c r="L45" i="79" s="1"/>
  <c r="M116" i="79" s="1"/>
  <c r="M45" i="79" a="1"/>
  <c r="M45" i="79" s="1"/>
  <c r="N116" i="79" s="1"/>
  <c r="D44" i="79" a="1"/>
  <c r="D44" i="79" s="1"/>
  <c r="E44" i="79" a="1"/>
  <c r="E44" i="79" s="1"/>
  <c r="E115" i="79" s="1"/>
  <c r="F44" i="79" a="1"/>
  <c r="F44" i="79" s="1"/>
  <c r="F115" i="79" s="1"/>
  <c r="G44" i="79" a="1"/>
  <c r="G44" i="79" s="1"/>
  <c r="G115" i="79" s="1"/>
  <c r="H44" i="79" a="1"/>
  <c r="H44" i="79" s="1"/>
  <c r="H115" i="79" s="1"/>
  <c r="I44" i="79" a="1"/>
  <c r="I44" i="79" s="1"/>
  <c r="I115" i="79" s="1"/>
  <c r="J44" i="79" a="1"/>
  <c r="J44" i="79" s="1"/>
  <c r="J115" i="79" s="1"/>
  <c r="K44" i="79" a="1"/>
  <c r="K44" i="79" s="1"/>
  <c r="K115" i="79" s="1"/>
  <c r="L44" i="79" a="1"/>
  <c r="L44" i="79" s="1"/>
  <c r="M115" i="79" s="1"/>
  <c r="M44" i="79" a="1"/>
  <c r="M44" i="79" s="1"/>
  <c r="N115" i="79" s="1"/>
  <c r="D43" i="79" a="1"/>
  <c r="D43" i="79" s="1"/>
  <c r="E43" i="79" a="1"/>
  <c r="E43" i="79" s="1"/>
  <c r="E114" i="79" s="1"/>
  <c r="F43" i="79" a="1"/>
  <c r="F43" i="79" s="1"/>
  <c r="F114" i="79" s="1"/>
  <c r="G43" i="79" a="1"/>
  <c r="G43" i="79" s="1"/>
  <c r="G114" i="79" s="1"/>
  <c r="H43" i="79" a="1"/>
  <c r="H43" i="79" s="1"/>
  <c r="H114" i="79" s="1"/>
  <c r="I43" i="79" a="1"/>
  <c r="I43" i="79" s="1"/>
  <c r="I114" i="79" s="1"/>
  <c r="J43" i="79" a="1"/>
  <c r="J43" i="79" s="1"/>
  <c r="J114" i="79" s="1"/>
  <c r="K43" i="79" a="1"/>
  <c r="K43" i="79" s="1"/>
  <c r="L114" i="79" s="1"/>
  <c r="L43" i="79" a="1"/>
  <c r="L43" i="79" s="1"/>
  <c r="M114" i="79" s="1"/>
  <c r="M43" i="79" a="1"/>
  <c r="M43" i="79" s="1"/>
  <c r="N114" i="79" s="1"/>
  <c r="D42" i="79" a="1"/>
  <c r="D42" i="79" s="1"/>
  <c r="E42" i="79" a="1"/>
  <c r="E42" i="79" s="1"/>
  <c r="E113" i="79" s="1"/>
  <c r="F42" i="79" a="1"/>
  <c r="F42" i="79" s="1"/>
  <c r="F113" i="79" s="1"/>
  <c r="G42" i="79" a="1"/>
  <c r="G42" i="79" s="1"/>
  <c r="G113" i="79" s="1"/>
  <c r="H42" i="79" a="1"/>
  <c r="H42" i="79" s="1"/>
  <c r="H113" i="79" s="1"/>
  <c r="I42" i="79" a="1"/>
  <c r="I42" i="79" s="1"/>
  <c r="I113" i="79" s="1"/>
  <c r="J42" i="79" a="1"/>
  <c r="J42" i="79" s="1"/>
  <c r="J113" i="79" s="1"/>
  <c r="K42" i="79" a="1"/>
  <c r="K42" i="79" s="1"/>
  <c r="L113" i="79" s="1"/>
  <c r="L42" i="79" a="1"/>
  <c r="L42" i="79" s="1"/>
  <c r="M113" i="79" s="1"/>
  <c r="M42" i="79" a="1"/>
  <c r="M42" i="79" s="1"/>
  <c r="O113" i="79" s="1"/>
  <c r="D41" i="79" a="1"/>
  <c r="D41" i="79" s="1"/>
  <c r="E41" i="79" a="1"/>
  <c r="E41" i="79" s="1"/>
  <c r="E112" i="79" s="1"/>
  <c r="F41" i="79" a="1"/>
  <c r="F41" i="79" s="1"/>
  <c r="F112" i="79" s="1"/>
  <c r="G41" i="79" a="1"/>
  <c r="G41" i="79" s="1"/>
  <c r="G112" i="79" s="1"/>
  <c r="H41" i="79" a="1"/>
  <c r="H41" i="79" s="1"/>
  <c r="H112" i="79" s="1"/>
  <c r="I41" i="79" a="1"/>
  <c r="I41" i="79" s="1"/>
  <c r="I112" i="79" s="1"/>
  <c r="J41" i="79" a="1"/>
  <c r="J41" i="79" s="1"/>
  <c r="J112" i="79" s="1"/>
  <c r="K41" i="79" a="1"/>
  <c r="K41" i="79" s="1"/>
  <c r="L112" i="79" s="1"/>
  <c r="L41" i="79" a="1"/>
  <c r="L41" i="79" s="1"/>
  <c r="M112" i="79" s="1"/>
  <c r="M41" i="79" a="1"/>
  <c r="M41" i="79" s="1"/>
  <c r="P112" i="79" s="1"/>
  <c r="D40" i="79" a="1"/>
  <c r="D40" i="79" s="1"/>
  <c r="E40" i="79" a="1"/>
  <c r="E40" i="79" s="1"/>
  <c r="E111" i="79" s="1"/>
  <c r="F40" i="79" a="1"/>
  <c r="F40" i="79" s="1"/>
  <c r="F111" i="79" s="1"/>
  <c r="G40" i="79" a="1"/>
  <c r="G40" i="79" s="1"/>
  <c r="G111" i="79" s="1"/>
  <c r="H40" i="79" a="1"/>
  <c r="H40" i="79" s="1"/>
  <c r="H111" i="79" s="1"/>
  <c r="I40" i="79" a="1"/>
  <c r="I40" i="79" s="1"/>
  <c r="I111" i="79" s="1"/>
  <c r="J40" i="79" a="1"/>
  <c r="J40" i="79" s="1"/>
  <c r="J111" i="79" s="1"/>
  <c r="K40" i="79" a="1"/>
  <c r="K40" i="79" s="1"/>
  <c r="L111" i="79" s="1"/>
  <c r="L40" i="79" a="1"/>
  <c r="L40" i="79" s="1"/>
  <c r="M111" i="79" s="1"/>
  <c r="M40" i="79" a="1"/>
  <c r="M40" i="79" s="1"/>
  <c r="N111" i="79" s="1"/>
  <c r="D39" i="79" a="1"/>
  <c r="D39" i="79" s="1"/>
  <c r="E39" i="79" a="1"/>
  <c r="E39" i="79" s="1"/>
  <c r="E110" i="79" s="1"/>
  <c r="F39" i="79" a="1"/>
  <c r="F39" i="79" s="1"/>
  <c r="F110" i="79" s="1"/>
  <c r="G39" i="79" a="1"/>
  <c r="G39" i="79" s="1"/>
  <c r="G110" i="79" s="1"/>
  <c r="H39" i="79" a="1"/>
  <c r="H39" i="79" s="1"/>
  <c r="H110" i="79" s="1"/>
  <c r="I39" i="79" a="1"/>
  <c r="I39" i="79" s="1"/>
  <c r="I110" i="79" s="1"/>
  <c r="J39" i="79" a="1"/>
  <c r="J39" i="79" s="1"/>
  <c r="J110" i="79" s="1"/>
  <c r="K39" i="79" a="1"/>
  <c r="K39" i="79" s="1"/>
  <c r="K110" i="79" s="1"/>
  <c r="L39" i="79" a="1"/>
  <c r="L39" i="79" s="1"/>
  <c r="M110" i="79" s="1"/>
  <c r="M39" i="79" a="1"/>
  <c r="M39" i="79" s="1"/>
  <c r="N110" i="79" s="1"/>
  <c r="D38" i="79" a="1"/>
  <c r="D38" i="79" s="1"/>
  <c r="E38" i="79" a="1"/>
  <c r="E38" i="79" s="1"/>
  <c r="E109" i="79" s="1"/>
  <c r="F38" i="79" a="1"/>
  <c r="F38" i="79" s="1"/>
  <c r="F109" i="79" s="1"/>
  <c r="G38" i="79" a="1"/>
  <c r="G38" i="79" s="1"/>
  <c r="G109" i="79" s="1"/>
  <c r="H38" i="79" a="1"/>
  <c r="H38" i="79" s="1"/>
  <c r="H109" i="79" s="1"/>
  <c r="I38" i="79" a="1"/>
  <c r="I38" i="79" s="1"/>
  <c r="I109" i="79" s="1"/>
  <c r="J38" i="79" a="1"/>
  <c r="J38" i="79" s="1"/>
  <c r="J109" i="79" s="1"/>
  <c r="K38" i="79" a="1"/>
  <c r="K38" i="79" s="1"/>
  <c r="L109" i="79" s="1"/>
  <c r="L38" i="79" a="1"/>
  <c r="L38" i="79" s="1"/>
  <c r="M109" i="79" s="1"/>
  <c r="M38" i="79" a="1"/>
  <c r="M38" i="79" s="1"/>
  <c r="N109" i="79" s="1"/>
  <c r="D37" i="79" a="1"/>
  <c r="D37" i="79" s="1"/>
  <c r="E37" i="79" a="1"/>
  <c r="E37" i="79" s="1"/>
  <c r="E108" i="79" s="1"/>
  <c r="F37" i="79" a="1"/>
  <c r="F37" i="79" s="1"/>
  <c r="F108" i="79" s="1"/>
  <c r="G37" i="79" a="1"/>
  <c r="G37" i="79" s="1"/>
  <c r="G108" i="79" s="1"/>
  <c r="H37" i="79" a="1"/>
  <c r="H37" i="79" s="1"/>
  <c r="H108" i="79" s="1"/>
  <c r="I37" i="79" a="1"/>
  <c r="I37" i="79" s="1"/>
  <c r="I108" i="79" s="1"/>
  <c r="J37" i="79" a="1"/>
  <c r="J37" i="79" s="1"/>
  <c r="J108" i="79" s="1"/>
  <c r="K37" i="79" a="1"/>
  <c r="K37" i="79" s="1"/>
  <c r="K108" i="79" s="1"/>
  <c r="L37" i="79" a="1"/>
  <c r="L37" i="79" s="1"/>
  <c r="M108" i="79" s="1"/>
  <c r="M37" i="79" a="1"/>
  <c r="M37" i="79" s="1"/>
  <c r="N108" i="79" s="1"/>
  <c r="D36" i="79" a="1"/>
  <c r="D36" i="79" s="1"/>
  <c r="E36" i="79" a="1"/>
  <c r="E36" i="79" s="1"/>
  <c r="E107" i="79" s="1"/>
  <c r="F36" i="79" a="1"/>
  <c r="F36" i="79" s="1"/>
  <c r="F107" i="79" s="1"/>
  <c r="G36" i="79" a="1"/>
  <c r="G36" i="79" s="1"/>
  <c r="G107" i="79" s="1"/>
  <c r="H36" i="79" a="1"/>
  <c r="H36" i="79" s="1"/>
  <c r="H107" i="79" s="1"/>
  <c r="I36" i="79" a="1"/>
  <c r="I36" i="79" s="1"/>
  <c r="I107" i="79" s="1"/>
  <c r="J36" i="79" a="1"/>
  <c r="J36" i="79" s="1"/>
  <c r="J107" i="79" s="1"/>
  <c r="K36" i="79" a="1"/>
  <c r="K36" i="79" s="1"/>
  <c r="L107" i="79" s="1"/>
  <c r="L36" i="79" a="1"/>
  <c r="L36" i="79" s="1"/>
  <c r="M107" i="79" s="1"/>
  <c r="M36" i="79" a="1"/>
  <c r="M36" i="79" s="1"/>
  <c r="N107" i="79" s="1"/>
  <c r="D35" i="79" a="1"/>
  <c r="D35" i="79" s="1"/>
  <c r="E35" i="79" a="1"/>
  <c r="E35" i="79" s="1"/>
  <c r="E106" i="79" s="1"/>
  <c r="F35" i="79" a="1"/>
  <c r="F35" i="79" s="1"/>
  <c r="F106" i="79" s="1"/>
  <c r="G35" i="79" a="1"/>
  <c r="G35" i="79" s="1"/>
  <c r="G106" i="79" s="1"/>
  <c r="H35" i="79" a="1"/>
  <c r="H35" i="79" s="1"/>
  <c r="H106" i="79" s="1"/>
  <c r="I35" i="79" a="1"/>
  <c r="I35" i="79" s="1"/>
  <c r="I106" i="79" s="1"/>
  <c r="J35" i="79" a="1"/>
  <c r="J35" i="79" s="1"/>
  <c r="J106" i="79" s="1"/>
  <c r="K35" i="79" a="1"/>
  <c r="K35" i="79" s="1"/>
  <c r="K106" i="79" s="1"/>
  <c r="L35" i="79" a="1"/>
  <c r="L35" i="79" s="1"/>
  <c r="M106" i="79" s="1"/>
  <c r="M35" i="79" a="1"/>
  <c r="M35" i="79" s="1"/>
  <c r="O106" i="79" s="1"/>
  <c r="D34" i="79" a="1"/>
  <c r="D34" i="79" s="1"/>
  <c r="E34" i="79" a="1"/>
  <c r="E34" i="79" s="1"/>
  <c r="F34" i="79" a="1"/>
  <c r="F34" i="79" s="1"/>
  <c r="G34" i="79" a="1"/>
  <c r="G34" i="79" s="1"/>
  <c r="G105" i="79" s="1"/>
  <c r="H34" i="79" a="1"/>
  <c r="H34" i="79" s="1"/>
  <c r="H105" i="79" s="1"/>
  <c r="I34" i="79" a="1"/>
  <c r="I34" i="79" s="1"/>
  <c r="I105" i="79" s="1"/>
  <c r="J34" i="79" a="1"/>
  <c r="J34" i="79" s="1"/>
  <c r="J105" i="79" s="1"/>
  <c r="K34" i="79" a="1"/>
  <c r="K34" i="79" s="1"/>
  <c r="K105" i="79" s="1"/>
  <c r="L34" i="79" a="1"/>
  <c r="L34" i="79" s="1"/>
  <c r="M105" i="79" s="1"/>
  <c r="M34" i="79" a="1"/>
  <c r="M34" i="79" s="1"/>
  <c r="N105" i="79" s="1"/>
  <c r="D33" i="79" a="1"/>
  <c r="D33" i="79" s="1"/>
  <c r="E33" i="79" a="1"/>
  <c r="E33" i="79" s="1"/>
  <c r="F33" i="79" a="1"/>
  <c r="F33" i="79" s="1"/>
  <c r="G33" i="79" a="1"/>
  <c r="G33" i="79" s="1"/>
  <c r="G104" i="79" s="1"/>
  <c r="H33" i="79" a="1"/>
  <c r="H33" i="79" s="1"/>
  <c r="H104" i="79" s="1"/>
  <c r="I33" i="79" a="1"/>
  <c r="I33" i="79" s="1"/>
  <c r="I104" i="79" s="1"/>
  <c r="J33" i="79" a="1"/>
  <c r="J33" i="79" s="1"/>
  <c r="J104" i="79" s="1"/>
  <c r="K33" i="79" a="1"/>
  <c r="K33" i="79" s="1"/>
  <c r="K104" i="79" s="1"/>
  <c r="L33" i="79" a="1"/>
  <c r="L33" i="79" s="1"/>
  <c r="M104" i="79" s="1"/>
  <c r="M33" i="79" a="1"/>
  <c r="M33" i="79" s="1"/>
  <c r="N104" i="79" s="1"/>
  <c r="D32" i="79" a="1"/>
  <c r="D32" i="79" s="1"/>
  <c r="E32" i="79" a="1"/>
  <c r="E32" i="79" s="1"/>
  <c r="F32" i="79" a="1"/>
  <c r="F32" i="79" s="1"/>
  <c r="G32" i="79" a="1"/>
  <c r="G32" i="79" s="1"/>
  <c r="G103" i="79" s="1"/>
  <c r="H32" i="79" a="1"/>
  <c r="H32" i="79" s="1"/>
  <c r="H103" i="79" s="1"/>
  <c r="I32" i="79" a="1"/>
  <c r="I32" i="79" s="1"/>
  <c r="I103" i="79" s="1"/>
  <c r="J32" i="79" a="1"/>
  <c r="J32" i="79" s="1"/>
  <c r="J103" i="79" s="1"/>
  <c r="K32" i="79" a="1"/>
  <c r="K32" i="79" s="1"/>
  <c r="K103" i="79" s="1"/>
  <c r="L32" i="79" a="1"/>
  <c r="L32" i="79" s="1"/>
  <c r="M103" i="79" s="1"/>
  <c r="M32" i="79" a="1"/>
  <c r="M32" i="79" s="1"/>
  <c r="O103" i="79" s="1"/>
  <c r="D31" i="79" a="1"/>
  <c r="D31" i="79" s="1"/>
  <c r="E31" i="79" a="1"/>
  <c r="E31" i="79" s="1"/>
  <c r="F31" i="79" a="1"/>
  <c r="F31" i="79" s="1"/>
  <c r="F98" i="79" s="1"/>
  <c r="G31" i="79" a="1"/>
  <c r="G31" i="79" s="1"/>
  <c r="G102" i="79" s="1"/>
  <c r="H31" i="79" a="1"/>
  <c r="H31" i="79" s="1"/>
  <c r="H102" i="79" s="1"/>
  <c r="I31" i="79" a="1"/>
  <c r="I31" i="79" s="1"/>
  <c r="I102" i="79" s="1"/>
  <c r="J31" i="79" a="1"/>
  <c r="J31" i="79" s="1"/>
  <c r="J102" i="79" s="1"/>
  <c r="K31" i="79" a="1"/>
  <c r="K31" i="79" s="1"/>
  <c r="L102" i="79" s="1"/>
  <c r="L31" i="79" a="1"/>
  <c r="L31" i="79" s="1"/>
  <c r="M102" i="79" s="1"/>
  <c r="M31" i="79" a="1"/>
  <c r="M31" i="79" s="1"/>
  <c r="P102" i="79" s="1"/>
  <c r="D30" i="79" a="1"/>
  <c r="D30" i="79" s="1"/>
  <c r="E30" i="79" a="1"/>
  <c r="E30" i="79" s="1"/>
  <c r="F30" i="79" a="1"/>
  <c r="F30" i="79" s="1"/>
  <c r="G30" i="79" a="1"/>
  <c r="G30" i="79" s="1"/>
  <c r="G101" i="79" s="1"/>
  <c r="H30" i="79" a="1"/>
  <c r="H30" i="79" s="1"/>
  <c r="H101" i="79" s="1"/>
  <c r="I30" i="79" a="1"/>
  <c r="I30" i="79" s="1"/>
  <c r="I101" i="79" s="1"/>
  <c r="J30" i="79" a="1"/>
  <c r="J30" i="79" s="1"/>
  <c r="J101" i="79" s="1"/>
  <c r="K30" i="79" a="1"/>
  <c r="K30" i="79" s="1"/>
  <c r="K101" i="79" s="1"/>
  <c r="L30" i="79" a="1"/>
  <c r="L30" i="79" s="1"/>
  <c r="M101" i="79" s="1"/>
  <c r="M30" i="79" a="1"/>
  <c r="M30" i="79" s="1"/>
  <c r="N101" i="79" s="1"/>
  <c r="D29" i="79" a="1"/>
  <c r="D29" i="79" s="1"/>
  <c r="E29" i="79" a="1"/>
  <c r="E29" i="79" s="1"/>
  <c r="F29" i="79" a="1"/>
  <c r="F29" i="79" s="1"/>
  <c r="G29" i="79" a="1"/>
  <c r="G29" i="79" s="1"/>
  <c r="G100" i="79" s="1"/>
  <c r="H29" i="79" a="1"/>
  <c r="H29" i="79" s="1"/>
  <c r="H100" i="79" s="1"/>
  <c r="I29" i="79" a="1"/>
  <c r="I29" i="79" s="1"/>
  <c r="I100" i="79" s="1"/>
  <c r="J29" i="79" a="1"/>
  <c r="J29" i="79" s="1"/>
  <c r="J100" i="79" s="1"/>
  <c r="K29" i="79" a="1"/>
  <c r="K29" i="79" s="1"/>
  <c r="K100" i="79" s="1"/>
  <c r="L29" i="79" a="1"/>
  <c r="L29" i="79" s="1"/>
  <c r="M100" i="79" s="1"/>
  <c r="M29" i="79" a="1"/>
  <c r="M29" i="79" s="1"/>
  <c r="N100" i="79" s="1"/>
  <c r="D28" i="79" a="1"/>
  <c r="D28" i="79" s="1"/>
  <c r="E28" i="79" a="1"/>
  <c r="E28" i="79" s="1"/>
  <c r="F28" i="79" a="1"/>
  <c r="F28" i="79" s="1"/>
  <c r="G28" i="79" a="1"/>
  <c r="G28" i="79" s="1"/>
  <c r="G99" i="79" s="1"/>
  <c r="H28" i="79" a="1"/>
  <c r="H28" i="79" s="1"/>
  <c r="H99" i="79" s="1"/>
  <c r="I28" i="79" a="1"/>
  <c r="I28" i="79" s="1"/>
  <c r="I99" i="79" s="1"/>
  <c r="J28" i="79" a="1"/>
  <c r="J28" i="79" s="1"/>
  <c r="J99" i="79" s="1"/>
  <c r="K28" i="79" a="1"/>
  <c r="K28" i="79" s="1"/>
  <c r="K99" i="79" s="1"/>
  <c r="L28" i="79" a="1"/>
  <c r="L28" i="79" s="1"/>
  <c r="M99" i="79" s="1"/>
  <c r="M28" i="79" a="1"/>
  <c r="M28" i="79" s="1"/>
  <c r="N99" i="79" s="1"/>
  <c r="D27" i="79" a="1"/>
  <c r="D27" i="79" s="1"/>
  <c r="E27" i="79" a="1"/>
  <c r="E27" i="79" s="1"/>
  <c r="F27" i="79" a="1"/>
  <c r="F27" i="79" s="1"/>
  <c r="F94" i="79" s="1"/>
  <c r="G27" i="79" a="1"/>
  <c r="G27" i="79" s="1"/>
  <c r="G98" i="79" s="1"/>
  <c r="H27" i="79" a="1"/>
  <c r="H27" i="79" s="1"/>
  <c r="H98" i="79" s="1"/>
  <c r="I27" i="79" a="1"/>
  <c r="I27" i="79" s="1"/>
  <c r="I98" i="79" s="1"/>
  <c r="J27" i="79" a="1"/>
  <c r="J27" i="79" s="1"/>
  <c r="J98" i="79" s="1"/>
  <c r="K27" i="79" a="1"/>
  <c r="K27" i="79" s="1"/>
  <c r="K98" i="79" s="1"/>
  <c r="L27" i="79" a="1"/>
  <c r="L27" i="79" s="1"/>
  <c r="M98" i="79" s="1"/>
  <c r="M27" i="79" a="1"/>
  <c r="M27" i="79" s="1"/>
  <c r="P98" i="79" s="1"/>
  <c r="D26" i="79" a="1"/>
  <c r="D26" i="79" s="1"/>
  <c r="E26" i="79" a="1"/>
  <c r="E26" i="79" s="1"/>
  <c r="F26" i="79" a="1"/>
  <c r="F26" i="79" s="1"/>
  <c r="G26" i="79" a="1"/>
  <c r="G26" i="79" s="1"/>
  <c r="G97" i="79" s="1"/>
  <c r="H26" i="79" a="1"/>
  <c r="H26" i="79" s="1"/>
  <c r="H97" i="79" s="1"/>
  <c r="I26" i="79" a="1"/>
  <c r="I26" i="79" s="1"/>
  <c r="I97" i="79" s="1"/>
  <c r="J26" i="79" a="1"/>
  <c r="J26" i="79" s="1"/>
  <c r="J97" i="79" s="1"/>
  <c r="K26" i="79" a="1"/>
  <c r="K26" i="79" s="1"/>
  <c r="L97" i="79" s="1"/>
  <c r="L26" i="79" a="1"/>
  <c r="L26" i="79" s="1"/>
  <c r="M97" i="79" s="1"/>
  <c r="M26" i="79" a="1"/>
  <c r="M26" i="79" s="1"/>
  <c r="N97" i="79" s="1"/>
  <c r="D25" i="79" a="1"/>
  <c r="D25" i="79" s="1"/>
  <c r="E25" i="79" a="1"/>
  <c r="E25" i="79" s="1"/>
  <c r="F25" i="79" a="1"/>
  <c r="F25" i="79" s="1"/>
  <c r="G25" i="79" a="1"/>
  <c r="G25" i="79" s="1"/>
  <c r="G96" i="79" s="1"/>
  <c r="H25" i="79" a="1"/>
  <c r="H25" i="79" s="1"/>
  <c r="H96" i="79" s="1"/>
  <c r="I25" i="79" a="1"/>
  <c r="I25" i="79" s="1"/>
  <c r="I96" i="79" s="1"/>
  <c r="J25" i="79" a="1"/>
  <c r="J25" i="79" s="1"/>
  <c r="J96" i="79" s="1"/>
  <c r="K25" i="79" a="1"/>
  <c r="K25" i="79" s="1"/>
  <c r="K96" i="79" s="1"/>
  <c r="L25" i="79" a="1"/>
  <c r="L25" i="79" s="1"/>
  <c r="M96" i="79" s="1"/>
  <c r="M25" i="79" a="1"/>
  <c r="M25" i="79" s="1"/>
  <c r="N96" i="79" s="1"/>
  <c r="D24" i="79" a="1"/>
  <c r="D24" i="79" s="1"/>
  <c r="E24" i="79" a="1"/>
  <c r="E24" i="79" s="1"/>
  <c r="F24" i="79" a="1"/>
  <c r="F24" i="79" s="1"/>
  <c r="G24" i="79" a="1"/>
  <c r="G24" i="79" s="1"/>
  <c r="G95" i="79" s="1"/>
  <c r="H24" i="79" a="1"/>
  <c r="H24" i="79" s="1"/>
  <c r="H95" i="79" s="1"/>
  <c r="I24" i="79" a="1"/>
  <c r="I24" i="79" s="1"/>
  <c r="I95" i="79" s="1"/>
  <c r="J24" i="79" a="1"/>
  <c r="J24" i="79" s="1"/>
  <c r="J95" i="79" s="1"/>
  <c r="K24" i="79" a="1"/>
  <c r="K24" i="79" s="1"/>
  <c r="K95" i="79" s="1"/>
  <c r="L24" i="79" a="1"/>
  <c r="L24" i="79" s="1"/>
  <c r="M95" i="79" s="1"/>
  <c r="M24" i="79" a="1"/>
  <c r="M24" i="79" s="1"/>
  <c r="N95" i="79" s="1"/>
  <c r="D23" i="79" a="1"/>
  <c r="D23" i="79" s="1"/>
  <c r="E23" i="79" a="1"/>
  <c r="E23" i="79" s="1"/>
  <c r="F23" i="79" a="1"/>
  <c r="F23" i="79" s="1"/>
  <c r="F90" i="79" s="1"/>
  <c r="G23" i="79" a="1"/>
  <c r="G23" i="79" s="1"/>
  <c r="G94" i="79" s="1"/>
  <c r="H23" i="79" a="1"/>
  <c r="H23" i="79" s="1"/>
  <c r="H94" i="79" s="1"/>
  <c r="I23" i="79" a="1"/>
  <c r="I23" i="79" s="1"/>
  <c r="I94" i="79" s="1"/>
  <c r="J23" i="79" a="1"/>
  <c r="J23" i="79" s="1"/>
  <c r="J94" i="79" s="1"/>
  <c r="K23" i="79" a="1"/>
  <c r="K23" i="79" s="1"/>
  <c r="K94" i="79" s="1"/>
  <c r="L23" i="79" a="1"/>
  <c r="L23" i="79" s="1"/>
  <c r="M94" i="79" s="1"/>
  <c r="M23" i="79" a="1"/>
  <c r="M23" i="79" s="1"/>
  <c r="O94" i="79" s="1"/>
  <c r="D22" i="79" a="1"/>
  <c r="D22" i="79" s="1"/>
  <c r="E22" i="79" a="1"/>
  <c r="E22" i="79" s="1"/>
  <c r="F22" i="79" a="1"/>
  <c r="F22" i="79" s="1"/>
  <c r="G22" i="79" a="1"/>
  <c r="G22" i="79" s="1"/>
  <c r="G93" i="79" s="1"/>
  <c r="H22" i="79" a="1"/>
  <c r="H22" i="79" s="1"/>
  <c r="H93" i="79" s="1"/>
  <c r="I22" i="79" a="1"/>
  <c r="I22" i="79" s="1"/>
  <c r="I93" i="79" s="1"/>
  <c r="J22" i="79" a="1"/>
  <c r="J22" i="79" s="1"/>
  <c r="J89" i="79" s="1"/>
  <c r="K22" i="79" a="1"/>
  <c r="K22" i="79" s="1"/>
  <c r="L89" i="79" s="1"/>
  <c r="L22" i="79" a="1"/>
  <c r="L22" i="79" s="1"/>
  <c r="M93" i="79" s="1"/>
  <c r="M22" i="79" a="1"/>
  <c r="M22" i="79" s="1"/>
  <c r="N93" i="79" s="1"/>
  <c r="D21" i="79" a="1"/>
  <c r="D21" i="79" s="1"/>
  <c r="E21" i="79" a="1"/>
  <c r="E21" i="79" s="1"/>
  <c r="F21" i="79" a="1"/>
  <c r="F21" i="79" s="1"/>
  <c r="G21" i="79" a="1"/>
  <c r="G21" i="79" s="1"/>
  <c r="G92" i="79" s="1"/>
  <c r="H21" i="79" a="1"/>
  <c r="H21" i="79" s="1"/>
  <c r="H92" i="79" s="1"/>
  <c r="I21" i="79" a="1"/>
  <c r="I21" i="79" s="1"/>
  <c r="I88" i="79" s="1"/>
  <c r="J21" i="79" a="1"/>
  <c r="J21" i="79" s="1"/>
  <c r="J88" i="79" s="1"/>
  <c r="K21" i="79" a="1"/>
  <c r="K21" i="79" s="1"/>
  <c r="L88" i="79" s="1"/>
  <c r="L21" i="79" a="1"/>
  <c r="L21" i="79" s="1"/>
  <c r="M92" i="79" s="1"/>
  <c r="M21" i="79" a="1"/>
  <c r="M21" i="79" s="1"/>
  <c r="N92" i="79" s="1"/>
  <c r="D20" i="79" a="1"/>
  <c r="D20" i="79" s="1"/>
  <c r="E20" i="79" a="1"/>
  <c r="E20" i="79" s="1"/>
  <c r="F20" i="79" a="1"/>
  <c r="F20" i="79" s="1"/>
  <c r="G20" i="79" a="1"/>
  <c r="G20" i="79" s="1"/>
  <c r="G87" i="79" s="1"/>
  <c r="H20" i="79" a="1"/>
  <c r="H20" i="79" s="1"/>
  <c r="H91" i="79" s="1"/>
  <c r="I20" i="79" a="1"/>
  <c r="I20" i="79" s="1"/>
  <c r="I87" i="79" s="1"/>
  <c r="J20" i="79" a="1"/>
  <c r="J20" i="79" s="1"/>
  <c r="J87" i="79" s="1"/>
  <c r="K20" i="79" a="1"/>
  <c r="K20" i="79" s="1"/>
  <c r="K91" i="79" s="1"/>
  <c r="L20" i="79" a="1"/>
  <c r="L20" i="79" s="1"/>
  <c r="M87" i="79" s="1"/>
  <c r="M20" i="79" a="1"/>
  <c r="M20" i="79" s="1"/>
  <c r="N91" i="79" s="1"/>
  <c r="M19" i="79" a="1"/>
  <c r="M19" i="79" s="1"/>
  <c r="N90" i="79" s="1"/>
  <c r="L19" i="79" a="1"/>
  <c r="L19" i="79" s="1"/>
  <c r="M86" i="79" s="1"/>
  <c r="K19" i="79" a="1"/>
  <c r="K19" i="79" s="1"/>
  <c r="K86" i="79" s="1"/>
  <c r="J19" i="79" a="1"/>
  <c r="J19" i="79" s="1"/>
  <c r="J90" i="79" s="1"/>
  <c r="I19" i="79" a="1"/>
  <c r="I19" i="79" s="1"/>
  <c r="I90" i="79" s="1"/>
  <c r="H19" i="79" a="1"/>
  <c r="H19" i="79" s="1"/>
  <c r="H86" i="79" s="1"/>
  <c r="G19" i="79" a="1"/>
  <c r="G19" i="79" s="1"/>
  <c r="G86" i="79" s="1"/>
  <c r="F19" i="79" a="1"/>
  <c r="F19" i="79" s="1"/>
  <c r="F86" i="79" s="1"/>
  <c r="E19" i="79" a="1"/>
  <c r="E19" i="79" s="1"/>
  <c r="D19" i="79" a="1"/>
  <c r="D19" i="79" s="1"/>
  <c r="D17" i="79" a="1"/>
  <c r="D17" i="79" s="1"/>
  <c r="D16" i="79" a="1"/>
  <c r="D16" i="79" s="1"/>
  <c r="D15" i="79" a="1"/>
  <c r="D15" i="79" s="1"/>
  <c r="D14" i="79" a="1"/>
  <c r="D14" i="79" s="1"/>
  <c r="E11" i="69" a="1"/>
  <c r="E11" i="69" s="1"/>
  <c r="E10" i="69" a="1"/>
  <c r="E10" i="69" s="1"/>
  <c r="D5" i="69" a="1"/>
  <c r="D5" i="69" s="1"/>
  <c r="AH39" i="69" l="1"/>
  <c r="AH38" i="69"/>
  <c r="AH37" i="69"/>
  <c r="AH36" i="69"/>
  <c r="AH35" i="69"/>
  <c r="AH34" i="69"/>
  <c r="AH33" i="69"/>
  <c r="AH32" i="69"/>
  <c r="AH31" i="69"/>
  <c r="AH30" i="69"/>
  <c r="J14" i="69" a="1"/>
  <c r="J14" i="69" s="1"/>
  <c r="J15" i="69" a="1"/>
  <c r="J15" i="69" s="1"/>
  <c r="AF79" i="69"/>
  <c r="AF78" i="69"/>
  <c r="AF77" i="69"/>
  <c r="AF76" i="69"/>
  <c r="AF87" i="69"/>
  <c r="AF86" i="69"/>
  <c r="AF85" i="69"/>
  <c r="AF84" i="69"/>
  <c r="AF83" i="69"/>
  <c r="AF82" i="69"/>
  <c r="AF81" i="69"/>
  <c r="AF80" i="69"/>
  <c r="O67" i="69"/>
  <c r="O66" i="69"/>
  <c r="O65" i="69"/>
  <c r="O64" i="69"/>
  <c r="AH29" i="69"/>
  <c r="AH28" i="69"/>
  <c r="Q27" i="69"/>
  <c r="Q28" i="69"/>
  <c r="Q29" i="69"/>
  <c r="Q26" i="69"/>
  <c r="L362" i="79"/>
  <c r="N368" i="79"/>
  <c r="J368" i="79"/>
  <c r="N365" i="79"/>
  <c r="I363" i="79"/>
  <c r="L363" i="79"/>
  <c r="M366" i="79"/>
  <c r="J364" i="79"/>
  <c r="L368" i="79"/>
  <c r="N366" i="79"/>
  <c r="J369" i="79"/>
  <c r="M367" i="79"/>
  <c r="L364" i="79"/>
  <c r="N367" i="79"/>
  <c r="I366" i="79"/>
  <c r="J365" i="79"/>
  <c r="L369" i="79"/>
  <c r="L365" i="79"/>
  <c r="M362" i="79"/>
  <c r="M369" i="79"/>
  <c r="M363" i="79"/>
  <c r="I362" i="79"/>
  <c r="I367" i="79"/>
  <c r="M364" i="79"/>
  <c r="F230" i="79"/>
  <c r="G226" i="79"/>
  <c r="N224" i="79"/>
  <c r="H227" i="79"/>
  <c r="H230" i="79"/>
  <c r="M230" i="79"/>
  <c r="K245" i="79"/>
  <c r="L239" i="79"/>
  <c r="N243" i="79"/>
  <c r="L253" i="79"/>
  <c r="P234" i="79"/>
  <c r="P241" i="79"/>
  <c r="P248" i="79"/>
  <c r="N225" i="79"/>
  <c r="I227" i="79"/>
  <c r="I230" i="79"/>
  <c r="N230" i="79"/>
  <c r="K234" i="79"/>
  <c r="K248" i="79"/>
  <c r="N234" i="79"/>
  <c r="L244" i="79"/>
  <c r="N248" i="79"/>
  <c r="O235" i="79"/>
  <c r="O242" i="79"/>
  <c r="O249" i="79"/>
  <c r="N226" i="79"/>
  <c r="J227" i="79"/>
  <c r="J230" i="79"/>
  <c r="N227" i="79"/>
  <c r="K237" i="79"/>
  <c r="K251" i="79"/>
  <c r="L235" i="79"/>
  <c r="N239" i="79"/>
  <c r="L249" i="79"/>
  <c r="N253" i="79"/>
  <c r="P235" i="79"/>
  <c r="P242" i="79"/>
  <c r="P249" i="79"/>
  <c r="N223" i="79"/>
  <c r="G228" i="79"/>
  <c r="K230" i="79"/>
  <c r="O227" i="79"/>
  <c r="K240" i="79"/>
  <c r="K254" i="79"/>
  <c r="N244" i="79"/>
  <c r="O236" i="79"/>
  <c r="O243" i="79"/>
  <c r="O250" i="79"/>
  <c r="K226" i="79"/>
  <c r="O223" i="79"/>
  <c r="H228" i="79"/>
  <c r="K227" i="79"/>
  <c r="P227" i="79"/>
  <c r="K243" i="79"/>
  <c r="K231" i="79"/>
  <c r="P236" i="79"/>
  <c r="P250" i="79"/>
  <c r="K223" i="79"/>
  <c r="I228" i="79"/>
  <c r="L227" i="79"/>
  <c r="O228" i="79"/>
  <c r="K232" i="79"/>
  <c r="K246" i="79"/>
  <c r="L236" i="79"/>
  <c r="N240" i="79"/>
  <c r="L250" i="79"/>
  <c r="N254" i="79"/>
  <c r="O237" i="79"/>
  <c r="O244" i="79"/>
  <c r="O251" i="79"/>
  <c r="O224" i="79"/>
  <c r="J228" i="79"/>
  <c r="M227" i="79"/>
  <c r="P228" i="79"/>
  <c r="L241" i="79"/>
  <c r="N245" i="79"/>
  <c r="N231" i="79"/>
  <c r="P237" i="79"/>
  <c r="P251" i="79"/>
  <c r="L224" i="79"/>
  <c r="P224" i="79"/>
  <c r="K228" i="79"/>
  <c r="L228" i="79"/>
  <c r="O229" i="79"/>
  <c r="K238" i="79"/>
  <c r="K252" i="79"/>
  <c r="O231" i="79"/>
  <c r="O238" i="79"/>
  <c r="O245" i="79"/>
  <c r="O252" i="79"/>
  <c r="L225" i="79"/>
  <c r="O225" i="79"/>
  <c r="G229" i="79"/>
  <c r="M228" i="79"/>
  <c r="P229" i="79"/>
  <c r="N241" i="79"/>
  <c r="P238" i="79"/>
  <c r="P252" i="79"/>
  <c r="L226" i="79"/>
  <c r="P225" i="79"/>
  <c r="H229" i="79"/>
  <c r="O230" i="79"/>
  <c r="N232" i="79"/>
  <c r="L242" i="79"/>
  <c r="N246" i="79"/>
  <c r="O232" i="79"/>
  <c r="O239" i="79"/>
  <c r="O246" i="79"/>
  <c r="O253" i="79"/>
  <c r="F223" i="79"/>
  <c r="O226" i="79"/>
  <c r="I229" i="79"/>
  <c r="L229" i="79"/>
  <c r="P230" i="79"/>
  <c r="K233" i="79"/>
  <c r="K247" i="79"/>
  <c r="F224" i="79"/>
  <c r="J229" i="79"/>
  <c r="M229" i="79"/>
  <c r="O233" i="79"/>
  <c r="O240" i="79"/>
  <c r="O247" i="79"/>
  <c r="O254" i="79"/>
  <c r="F225" i="79"/>
  <c r="G223" i="79"/>
  <c r="K229" i="79"/>
  <c r="N233" i="79"/>
  <c r="N247" i="79"/>
  <c r="H87" i="79"/>
  <c r="H147" i="79" s="1"/>
  <c r="K87" i="79"/>
  <c r="N87" i="79"/>
  <c r="G91" i="79"/>
  <c r="G147" i="79" s="1"/>
  <c r="K92" i="79"/>
  <c r="O91" i="79"/>
  <c r="K97" i="79"/>
  <c r="O95" i="79"/>
  <c r="L98" i="79"/>
  <c r="O99" i="79"/>
  <c r="L103" i="79"/>
  <c r="P103" i="79"/>
  <c r="L115" i="79"/>
  <c r="P106" i="79"/>
  <c r="P113" i="79"/>
  <c r="G88" i="79"/>
  <c r="G148" i="79" s="1"/>
  <c r="K88" i="79"/>
  <c r="O87" i="79"/>
  <c r="K93" i="79"/>
  <c r="O92" i="79"/>
  <c r="L94" i="79"/>
  <c r="O96" i="79"/>
  <c r="L99" i="79"/>
  <c r="P99" i="79"/>
  <c r="L104" i="79"/>
  <c r="O104" i="79"/>
  <c r="L116" i="79"/>
  <c r="N112" i="79"/>
  <c r="O107" i="79"/>
  <c r="O114" i="79"/>
  <c r="H88" i="79"/>
  <c r="H148" i="79" s="1"/>
  <c r="K89" i="79"/>
  <c r="P87" i="79"/>
  <c r="I91" i="79"/>
  <c r="I147" i="79" s="1"/>
  <c r="L90" i="79"/>
  <c r="O93" i="79"/>
  <c r="L95" i="79"/>
  <c r="O97" i="79"/>
  <c r="L100" i="79"/>
  <c r="O100" i="79"/>
  <c r="L105" i="79"/>
  <c r="P104" i="79"/>
  <c r="L117" i="79"/>
  <c r="P107" i="79"/>
  <c r="P114" i="79"/>
  <c r="G89" i="79"/>
  <c r="G149" i="79" s="1"/>
  <c r="L86" i="79"/>
  <c r="N88" i="79"/>
  <c r="J91" i="79"/>
  <c r="J147" i="79" s="1"/>
  <c r="L91" i="79"/>
  <c r="O90" i="79"/>
  <c r="L96" i="79"/>
  <c r="P94" i="79"/>
  <c r="L101" i="79"/>
  <c r="P100" i="79"/>
  <c r="O105" i="79"/>
  <c r="N113" i="79"/>
  <c r="O108" i="79"/>
  <c r="O115" i="79"/>
  <c r="H89" i="79"/>
  <c r="H149" i="79" s="1"/>
  <c r="L87" i="79"/>
  <c r="O88" i="79"/>
  <c r="L92" i="79"/>
  <c r="P90" i="79"/>
  <c r="P95" i="79"/>
  <c r="O101" i="79"/>
  <c r="P105" i="79"/>
  <c r="K107" i="79"/>
  <c r="K109" i="79"/>
  <c r="K111" i="79"/>
  <c r="K113" i="79"/>
  <c r="P108" i="79"/>
  <c r="P115" i="79"/>
  <c r="I86" i="79"/>
  <c r="I146" i="79" s="1"/>
  <c r="P88" i="79"/>
  <c r="L93" i="79"/>
  <c r="P91" i="79"/>
  <c r="P96" i="79"/>
  <c r="P101" i="79"/>
  <c r="N103" i="79"/>
  <c r="L106" i="79"/>
  <c r="O109" i="79"/>
  <c r="O116" i="79"/>
  <c r="N89" i="79"/>
  <c r="I92" i="79"/>
  <c r="I148" i="79" s="1"/>
  <c r="M90" i="79"/>
  <c r="M146" i="79" s="1"/>
  <c r="P92" i="79"/>
  <c r="P97" i="79"/>
  <c r="F102" i="79"/>
  <c r="P109" i="79"/>
  <c r="P116" i="79"/>
  <c r="O89" i="79"/>
  <c r="J92" i="79"/>
  <c r="J148" i="79" s="1"/>
  <c r="M91" i="79"/>
  <c r="M147" i="79" s="1"/>
  <c r="P93" i="79"/>
  <c r="L108" i="79"/>
  <c r="O110" i="79"/>
  <c r="O117" i="79"/>
  <c r="I89" i="79"/>
  <c r="I149" i="79" s="1"/>
  <c r="P89" i="79"/>
  <c r="P110" i="79"/>
  <c r="P117" i="79"/>
  <c r="J86" i="79"/>
  <c r="J146" i="79" s="1"/>
  <c r="M88" i="79"/>
  <c r="M148" i="79" s="1"/>
  <c r="L110" i="79"/>
  <c r="O111" i="79"/>
  <c r="M89" i="79"/>
  <c r="M149" i="79" s="1"/>
  <c r="G90" i="79"/>
  <c r="G146" i="79" s="1"/>
  <c r="N102" i="79"/>
  <c r="P111" i="79"/>
  <c r="N86" i="79"/>
  <c r="H90" i="79"/>
  <c r="H146" i="79" s="1"/>
  <c r="J93" i="79"/>
  <c r="J149" i="79" s="1"/>
  <c r="N98" i="79"/>
  <c r="O102" i="79"/>
  <c r="K112" i="79"/>
  <c r="K114" i="79"/>
  <c r="O112" i="79"/>
  <c r="O86" i="79"/>
  <c r="K90" i="79"/>
  <c r="N94" i="79"/>
  <c r="O98" i="79"/>
  <c r="K102" i="79"/>
  <c r="N106" i="79"/>
  <c r="P86" i="79"/>
  <c r="W30" i="69" l="1" a="1"/>
  <c r="W30" i="69" s="1"/>
  <c r="W29" i="69" a="1"/>
  <c r="W29" i="69" s="1"/>
  <c r="V133" i="69" a="1"/>
  <c r="V133" i="69" s="1"/>
  <c r="P149" i="79"/>
  <c r="L146" i="79"/>
  <c r="K147" i="79"/>
  <c r="K146" i="79"/>
  <c r="L148" i="79"/>
  <c r="L149" i="79"/>
  <c r="L147" i="79"/>
  <c r="K148" i="79"/>
  <c r="N147" i="79"/>
  <c r="N149" i="79"/>
  <c r="N146" i="79"/>
  <c r="O149" i="79"/>
  <c r="O146" i="79"/>
  <c r="P146" i="79"/>
  <c r="O148" i="79"/>
  <c r="N148" i="79"/>
  <c r="P148" i="79"/>
  <c r="P147" i="79"/>
  <c r="K149" i="79"/>
  <c r="O147" i="79"/>
  <c r="W39" i="69" a="1"/>
  <c r="W39" i="69" s="1"/>
  <c r="W38" i="69" a="1"/>
  <c r="W38" i="69" s="1"/>
  <c r="W28" i="69" a="1"/>
  <c r="W28" i="69" s="1"/>
  <c r="W37" i="69" a="1"/>
  <c r="W37" i="69" s="1"/>
  <c r="W36" i="69" a="1"/>
  <c r="W36" i="69" s="1"/>
  <c r="W35" i="69" a="1"/>
  <c r="W35" i="69" s="1"/>
  <c r="F26" i="69" a="1"/>
  <c r="F26" i="69" s="1"/>
  <c r="L26" i="69" s="1" a="1"/>
  <c r="L26" i="69" s="1"/>
  <c r="F29" i="69" a="1"/>
  <c r="F29" i="69" s="1"/>
  <c r="L29" i="69" s="1" a="1"/>
  <c r="L29" i="69" s="1"/>
  <c r="E48" i="69" l="1" a="1"/>
  <c r="E48" i="69" s="1"/>
  <c r="V44" i="69" a="1"/>
  <c r="V44" i="69" s="1"/>
  <c r="E56" i="69" a="1"/>
  <c r="E56" i="69" s="1"/>
  <c r="V60" i="69" a="1"/>
  <c r="V60" i="69" s="1"/>
  <c r="AC29" i="69" a="1"/>
  <c r="AC29" i="69" s="1"/>
  <c r="AB29" i="69" a="1"/>
  <c r="AB29" i="69" s="1"/>
  <c r="AA29" i="69" a="1"/>
  <c r="AA29" i="69" s="1"/>
  <c r="AC30" i="69" a="1"/>
  <c r="AC30" i="69" s="1"/>
  <c r="AB30" i="69" a="1"/>
  <c r="AB30" i="69" s="1"/>
  <c r="AA30" i="69" a="1"/>
  <c r="AA30" i="69" s="1"/>
  <c r="J26" i="69" a="1"/>
  <c r="J26" i="69" s="1"/>
  <c r="AC35" i="69" a="1"/>
  <c r="AC35" i="69" s="1"/>
  <c r="AA35" i="69" a="1"/>
  <c r="AA35" i="69" s="1"/>
  <c r="AB35" i="69" a="1"/>
  <c r="AB35" i="69" s="1"/>
  <c r="AC36" i="69" a="1"/>
  <c r="AC36" i="69" s="1"/>
  <c r="AA36" i="69" a="1"/>
  <c r="AA36" i="69" s="1"/>
  <c r="AB36" i="69" a="1"/>
  <c r="AB36" i="69" s="1"/>
  <c r="AC37" i="69" a="1"/>
  <c r="AC37" i="69" s="1"/>
  <c r="AB37" i="69" a="1"/>
  <c r="AB37" i="69" s="1"/>
  <c r="AA37" i="69" a="1"/>
  <c r="AA37" i="69" s="1"/>
  <c r="AB28" i="69" a="1"/>
  <c r="AB28" i="69" s="1"/>
  <c r="AC28" i="69" a="1"/>
  <c r="AC28" i="69" s="1"/>
  <c r="AA28" i="69" a="1"/>
  <c r="AA28" i="69" s="1"/>
  <c r="AB38" i="69" a="1"/>
  <c r="AB38" i="69" s="1"/>
  <c r="AA38" i="69" a="1"/>
  <c r="AA38" i="69" s="1"/>
  <c r="AC38" i="69" a="1"/>
  <c r="AC38" i="69" s="1"/>
  <c r="AC39" i="69" a="1"/>
  <c r="AC39" i="69" s="1"/>
  <c r="AB39" i="69" a="1"/>
  <c r="AB39" i="69" s="1"/>
  <c r="AA39" i="69" a="1"/>
  <c r="AA39" i="69" s="1"/>
  <c r="K26" i="69" a="1"/>
  <c r="K26" i="69" s="1"/>
  <c r="J29" i="69" a="1"/>
  <c r="J29" i="69" s="1"/>
  <c r="K29" i="69" a="1"/>
  <c r="K29" i="69" s="1"/>
  <c r="V76" i="69" l="1" a="1"/>
  <c r="V76" i="69" s="1"/>
  <c r="AE83" i="69" a="1"/>
  <c r="AE83" i="69" s="1"/>
  <c r="AE104" i="69" s="1" a="1"/>
  <c r="AE104" i="69" s="1"/>
  <c r="AE156" i="69" s="1" a="1"/>
  <c r="AE156" i="69" s="1"/>
  <c r="AC87" i="69" a="1"/>
  <c r="AC87" i="69" s="1"/>
  <c r="AC108" i="69" s="1" a="1"/>
  <c r="AC108" i="69" s="1"/>
  <c r="AC160" i="69" s="1" a="1"/>
  <c r="AC160" i="69" s="1"/>
  <c r="AB86" i="69" a="1"/>
  <c r="AB86" i="69" s="1"/>
  <c r="AB107" i="69" s="1" a="1"/>
  <c r="AB107" i="69" s="1"/>
  <c r="AB159" i="69" s="1" a="1"/>
  <c r="AB159" i="69" s="1"/>
  <c r="V77" i="69" a="1"/>
  <c r="V77" i="69" s="1"/>
  <c r="V98" i="69" s="1" a="1"/>
  <c r="V98" i="69" s="1"/>
  <c r="V150" i="69" s="1" a="1"/>
  <c r="V150" i="69" s="1"/>
  <c r="AA78" i="69" a="1"/>
  <c r="AA78" i="69" s="1"/>
  <c r="AA99" i="69" s="1" a="1"/>
  <c r="AA99" i="69" s="1"/>
  <c r="AA151" i="69" s="1" a="1"/>
  <c r="AA151" i="69" s="1"/>
  <c r="Y77" i="69" l="1" a="1"/>
  <c r="Y77" i="69" s="1"/>
  <c r="Y98" i="69" s="1" a="1"/>
  <c r="Y98" i="69" s="1"/>
  <c r="Y150" i="69" s="1" a="1"/>
  <c r="Y150" i="69" s="1"/>
  <c r="V78" i="69" a="1"/>
  <c r="V78" i="69" s="1"/>
  <c r="V99" i="69" s="1" a="1"/>
  <c r="V99" i="69" s="1"/>
  <c r="V151" i="69" s="1" a="1"/>
  <c r="V151" i="69" s="1"/>
  <c r="AB87" i="69" a="1"/>
  <c r="AB87" i="69" s="1"/>
  <c r="AB108" i="69" s="1" a="1"/>
  <c r="AB108" i="69" s="1"/>
  <c r="AB160" i="69" s="1" a="1"/>
  <c r="AB160" i="69" s="1"/>
  <c r="W78" i="69" a="1"/>
  <c r="W78" i="69" s="1"/>
  <c r="W99" i="69" s="1" a="1"/>
  <c r="W99" i="69" s="1"/>
  <c r="W151" i="69" s="1" a="1"/>
  <c r="W151" i="69" s="1"/>
  <c r="X83" i="69" a="1"/>
  <c r="X83" i="69" s="1"/>
  <c r="X104" i="69" s="1" a="1"/>
  <c r="X104" i="69" s="1"/>
  <c r="X156" i="69" s="1" a="1"/>
  <c r="X156" i="69" s="1"/>
  <c r="AD86" i="69" a="1"/>
  <c r="AD86" i="69" s="1"/>
  <c r="AD107" i="69" s="1" a="1"/>
  <c r="AD107" i="69" s="1"/>
  <c r="AD159" i="69" s="1" a="1"/>
  <c r="AD159" i="69" s="1"/>
  <c r="Z77" i="69" a="1"/>
  <c r="Z77" i="69" s="1"/>
  <c r="Z98" i="69" s="1" a="1"/>
  <c r="Z98" i="69" s="1"/>
  <c r="Z150" i="69" s="1" a="1"/>
  <c r="Z150" i="69" s="1"/>
  <c r="AD84" i="69" a="1"/>
  <c r="AD84" i="69" s="1"/>
  <c r="AD105" i="69" s="1" a="1"/>
  <c r="AD105" i="69" s="1"/>
  <c r="AD157" i="69" s="1" a="1"/>
  <c r="AD157" i="69" s="1"/>
  <c r="Y76" i="69" a="1"/>
  <c r="Y76" i="69" s="1"/>
  <c r="Y97" i="69" s="1" a="1"/>
  <c r="Y97" i="69" s="1"/>
  <c r="Y149" i="69" s="1" a="1"/>
  <c r="Y149" i="69" s="1"/>
  <c r="V83" i="69" a="1"/>
  <c r="V83" i="69" s="1"/>
  <c r="V104" i="69" s="1" a="1"/>
  <c r="V104" i="69" s="1"/>
  <c r="V156" i="69" s="1" a="1"/>
  <c r="V156" i="69" s="1"/>
  <c r="AA83" i="69" a="1"/>
  <c r="AA83" i="69" s="1"/>
  <c r="AA104" i="69" s="1" a="1"/>
  <c r="AA104" i="69" s="1"/>
  <c r="AA156" i="69" s="1" a="1"/>
  <c r="AA156" i="69" s="1"/>
  <c r="AA86" i="69" a="1"/>
  <c r="AA86" i="69" s="1"/>
  <c r="AA107" i="69" s="1" a="1"/>
  <c r="AA107" i="69" s="1"/>
  <c r="AA159" i="69" s="1" a="1"/>
  <c r="AA159" i="69" s="1"/>
  <c r="X87" i="69" a="1"/>
  <c r="X87" i="69" s="1"/>
  <c r="X108" i="69" s="1" a="1"/>
  <c r="X108" i="69" s="1"/>
  <c r="X160" i="69" s="1" a="1"/>
  <c r="X160" i="69" s="1"/>
  <c r="W87" i="69" a="1"/>
  <c r="W87" i="69" s="1"/>
  <c r="W108" i="69" s="1" a="1"/>
  <c r="W108" i="69" s="1"/>
  <c r="W160" i="69" s="1" a="1"/>
  <c r="W160" i="69" s="1"/>
  <c r="AC78" i="69" a="1"/>
  <c r="AC78" i="69" s="1"/>
  <c r="AC99" i="69" s="1" a="1"/>
  <c r="AC99" i="69" s="1"/>
  <c r="AC151" i="69" s="1" a="1"/>
  <c r="AC151" i="69" s="1"/>
  <c r="AE80" i="69" a="1"/>
  <c r="AE80" i="69" s="1"/>
  <c r="AE101" i="69" s="1" a="1"/>
  <c r="AE101" i="69" s="1"/>
  <c r="AE153" i="69" s="1" a="1"/>
  <c r="AE153" i="69" s="1"/>
  <c r="AD78" i="69" a="1"/>
  <c r="AD78" i="69" s="1"/>
  <c r="AD99" i="69" s="1" a="1"/>
  <c r="AD99" i="69" s="1"/>
  <c r="AD151" i="69" s="1" a="1"/>
  <c r="AD151" i="69" s="1"/>
  <c r="Z83" i="69" a="1"/>
  <c r="Z83" i="69" s="1"/>
  <c r="Z104" i="69" s="1" a="1"/>
  <c r="Z104" i="69" s="1"/>
  <c r="Z156" i="69" s="1" a="1"/>
  <c r="Z156" i="69" s="1"/>
  <c r="AB78" i="69" a="1"/>
  <c r="AB78" i="69" s="1"/>
  <c r="AB99" i="69" s="1" a="1"/>
  <c r="AB99" i="69" s="1"/>
  <c r="AB151" i="69" s="1" a="1"/>
  <c r="AB151" i="69" s="1"/>
  <c r="Z78" i="69" a="1"/>
  <c r="Z78" i="69" s="1"/>
  <c r="Z99" i="69" s="1" a="1"/>
  <c r="Z99" i="69" s="1"/>
  <c r="Z151" i="69" s="1" a="1"/>
  <c r="Z151" i="69" s="1"/>
  <c r="W76" i="69" a="1"/>
  <c r="W76" i="69" s="1"/>
  <c r="W97" i="69" s="1" a="1"/>
  <c r="W97" i="69" s="1"/>
  <c r="W149" i="69" s="1" a="1"/>
  <c r="W149" i="69" s="1"/>
  <c r="W79" i="69" a="1"/>
  <c r="W79" i="69" s="1"/>
  <c r="W100" i="69" s="1" a="1"/>
  <c r="W100" i="69" s="1"/>
  <c r="W152" i="69" s="1" a="1"/>
  <c r="W152" i="69" s="1"/>
  <c r="Y78" i="69" a="1"/>
  <c r="Y78" i="69" s="1"/>
  <c r="Y99" i="69" s="1" a="1"/>
  <c r="Y99" i="69" s="1"/>
  <c r="Y151" i="69" s="1" a="1"/>
  <c r="Y151" i="69" s="1"/>
  <c r="AE85" i="69" a="1"/>
  <c r="AE85" i="69" s="1"/>
  <c r="AE106" i="69" s="1" a="1"/>
  <c r="AE106" i="69" s="1"/>
  <c r="AE158" i="69" s="1" a="1"/>
  <c r="AE158" i="69" s="1"/>
  <c r="Z85" i="69" a="1"/>
  <c r="Z85" i="69" s="1"/>
  <c r="Z106" i="69" s="1" a="1"/>
  <c r="Z106" i="69" s="1"/>
  <c r="Z158" i="69" s="1" a="1"/>
  <c r="Z158" i="69" s="1"/>
  <c r="AA80" i="69" a="1"/>
  <c r="AA80" i="69" s="1"/>
  <c r="AA101" i="69" s="1" a="1"/>
  <c r="AA101" i="69" s="1"/>
  <c r="AA153" i="69" s="1" a="1"/>
  <c r="AA153" i="69" s="1"/>
  <c r="AD80" i="69" a="1"/>
  <c r="AD80" i="69" s="1"/>
  <c r="AD101" i="69" s="1" a="1"/>
  <c r="AD101" i="69" s="1"/>
  <c r="AD153" i="69" s="1" a="1"/>
  <c r="AD153" i="69" s="1"/>
  <c r="X86" i="69" a="1"/>
  <c r="X86" i="69" s="1"/>
  <c r="X107" i="69" s="1" a="1"/>
  <c r="X107" i="69" s="1"/>
  <c r="X159" i="69" s="1" a="1"/>
  <c r="X159" i="69" s="1"/>
  <c r="AC79" i="69" a="1"/>
  <c r="AC79" i="69" s="1"/>
  <c r="AC100" i="69" s="1" a="1"/>
  <c r="AC100" i="69" s="1"/>
  <c r="AC152" i="69" s="1" a="1"/>
  <c r="AC152" i="69" s="1"/>
  <c r="Z86" i="69" a="1"/>
  <c r="Z86" i="69" s="1"/>
  <c r="Z107" i="69" s="1" a="1"/>
  <c r="Z107" i="69" s="1"/>
  <c r="Z159" i="69" s="1" a="1"/>
  <c r="Z159" i="69" s="1"/>
  <c r="AE79" i="69" a="1"/>
  <c r="AE79" i="69" s="1"/>
  <c r="AE100" i="69" s="1" a="1"/>
  <c r="AE100" i="69" s="1"/>
  <c r="AE152" i="69" s="1" a="1"/>
  <c r="AE152" i="69" s="1"/>
  <c r="AC84" i="69" a="1"/>
  <c r="AC84" i="69" s="1"/>
  <c r="AC105" i="69" s="1" a="1"/>
  <c r="AC105" i="69" s="1"/>
  <c r="AC157" i="69" s="1" a="1"/>
  <c r="AC157" i="69" s="1"/>
  <c r="Y80" i="69" a="1"/>
  <c r="Y80" i="69" s="1"/>
  <c r="Y101" i="69" s="1" a="1"/>
  <c r="Y101" i="69" s="1"/>
  <c r="Y153" i="69" s="1" a="1"/>
  <c r="Y153" i="69" s="1"/>
  <c r="Y79" i="69" a="1"/>
  <c r="Y79" i="69" s="1"/>
  <c r="Y100" i="69" s="1" a="1"/>
  <c r="Y100" i="69" s="1"/>
  <c r="Y152" i="69" s="1" a="1"/>
  <c r="Y152" i="69" s="1"/>
  <c r="Y82" i="69" a="1"/>
  <c r="Y82" i="69" s="1"/>
  <c r="Y103" i="69" s="1" a="1"/>
  <c r="Y103" i="69" s="1"/>
  <c r="Y155" i="69" s="1" a="1"/>
  <c r="Y155" i="69" s="1"/>
  <c r="Y81" i="69" a="1"/>
  <c r="Y81" i="69" s="1"/>
  <c r="Y102" i="69" s="1" a="1"/>
  <c r="Y102" i="69" s="1"/>
  <c r="Y154" i="69" s="1" a="1"/>
  <c r="Y154" i="69" s="1"/>
  <c r="AD77" i="69" a="1"/>
  <c r="AD77" i="69" s="1"/>
  <c r="AD98" i="69" s="1" a="1"/>
  <c r="AD98" i="69" s="1"/>
  <c r="AD150" i="69" s="1" a="1"/>
  <c r="AD150" i="69" s="1"/>
  <c r="X82" i="69" a="1"/>
  <c r="X82" i="69" s="1"/>
  <c r="X103" i="69" s="1" a="1"/>
  <c r="X103" i="69" s="1"/>
  <c r="X155" i="69" s="1" a="1"/>
  <c r="X155" i="69" s="1"/>
  <c r="AA76" i="69" a="1"/>
  <c r="AA76" i="69" s="1"/>
  <c r="AA97" i="69" s="1" a="1"/>
  <c r="AA97" i="69" s="1"/>
  <c r="AA149" i="69" s="1" a="1"/>
  <c r="AA149" i="69" s="1"/>
  <c r="Z82" i="69" a="1"/>
  <c r="Z82" i="69" s="1"/>
  <c r="Z103" i="69" s="1" a="1"/>
  <c r="Z103" i="69" s="1"/>
  <c r="Z155" i="69" s="1" a="1"/>
  <c r="Z155" i="69" s="1"/>
  <c r="Y87" i="69" a="1"/>
  <c r="Y87" i="69" s="1"/>
  <c r="Y108" i="69" s="1" a="1"/>
  <c r="Y108" i="69" s="1"/>
  <c r="Y160" i="69" s="1" a="1"/>
  <c r="Y160" i="69" s="1"/>
  <c r="AB84" i="69" a="1"/>
  <c r="AB84" i="69" s="1"/>
  <c r="AB105" i="69" s="1" a="1"/>
  <c r="AB105" i="69" s="1"/>
  <c r="AB157" i="69" s="1" a="1"/>
  <c r="AB157" i="69" s="1"/>
  <c r="W81" i="69" a="1"/>
  <c r="W81" i="69" s="1"/>
  <c r="W102" i="69" s="1" a="1"/>
  <c r="W102" i="69" s="1"/>
  <c r="W154" i="69" s="1" a="1"/>
  <c r="W154" i="69" s="1"/>
  <c r="V86" i="69" a="1"/>
  <c r="V86" i="69" s="1"/>
  <c r="V107" i="69" s="1" a="1"/>
  <c r="V107" i="69" s="1"/>
  <c r="V159" i="69" s="1" a="1"/>
  <c r="V159" i="69" s="1"/>
  <c r="Y84" i="69" a="1"/>
  <c r="Y84" i="69" s="1"/>
  <c r="Y105" i="69" s="1" a="1"/>
  <c r="Y105" i="69" s="1"/>
  <c r="Y157" i="69" s="1" a="1"/>
  <c r="Y157" i="69" s="1"/>
  <c r="AE78" i="69" a="1"/>
  <c r="AE78" i="69" s="1"/>
  <c r="AE99" i="69" s="1" a="1"/>
  <c r="AE99" i="69" s="1"/>
  <c r="AE151" i="69" s="1" a="1"/>
  <c r="AE151" i="69" s="1"/>
  <c r="X79" i="69" a="1"/>
  <c r="X79" i="69" s="1"/>
  <c r="X100" i="69" s="1" a="1"/>
  <c r="X100" i="69" s="1"/>
  <c r="X152" i="69" s="1" a="1"/>
  <c r="X152" i="69" s="1"/>
  <c r="AE87" i="69" a="1"/>
  <c r="AE87" i="69" s="1"/>
  <c r="AE108" i="69" s="1" a="1"/>
  <c r="AE108" i="69" s="1"/>
  <c r="AE160" i="69" s="1" a="1"/>
  <c r="AE160" i="69" s="1"/>
  <c r="AB82" i="69" a="1"/>
  <c r="AB82" i="69" s="1"/>
  <c r="AB103" i="69" s="1" a="1"/>
  <c r="AB103" i="69" s="1"/>
  <c r="AB155" i="69" s="1" a="1"/>
  <c r="AB155" i="69" s="1"/>
  <c r="AA81" i="69" a="1"/>
  <c r="AA81" i="69" s="1"/>
  <c r="AA102" i="69" s="1" a="1"/>
  <c r="AA102" i="69" s="1"/>
  <c r="AA154" i="69" s="1" a="1"/>
  <c r="AA154" i="69" s="1"/>
  <c r="AB81" i="69" a="1"/>
  <c r="AB81" i="69" s="1"/>
  <c r="AB102" i="69" s="1" a="1"/>
  <c r="AB102" i="69" s="1"/>
  <c r="AB154" i="69" s="1" a="1"/>
  <c r="AB154" i="69" s="1"/>
  <c r="AD83" i="69" a="1"/>
  <c r="AD83" i="69" s="1"/>
  <c r="AD104" i="69" s="1" a="1"/>
  <c r="AD104" i="69" s="1"/>
  <c r="AD156" i="69" s="1" a="1"/>
  <c r="AD156" i="69" s="1"/>
  <c r="AC80" i="69" a="1"/>
  <c r="AC80" i="69" s="1"/>
  <c r="AC101" i="69" s="1" a="1"/>
  <c r="AC101" i="69" s="1"/>
  <c r="AC153" i="69" s="1" a="1"/>
  <c r="AC153" i="69" s="1"/>
  <c r="AA85" i="69" a="1"/>
  <c r="AA85" i="69" s="1"/>
  <c r="AA106" i="69" s="1" a="1"/>
  <c r="AA106" i="69" s="1"/>
  <c r="AA158" i="69" s="1" a="1"/>
  <c r="AA158" i="69" s="1"/>
  <c r="AB77" i="69" a="1"/>
  <c r="AB77" i="69" s="1"/>
  <c r="AB98" i="69" s="1" a="1"/>
  <c r="AB98" i="69" s="1"/>
  <c r="AB150" i="69" s="1" a="1"/>
  <c r="AB150" i="69" s="1"/>
  <c r="AA79" i="69" a="1"/>
  <c r="AA79" i="69" s="1"/>
  <c r="AA100" i="69" s="1" a="1"/>
  <c r="AA100" i="69" s="1"/>
  <c r="AA152" i="69" s="1" a="1"/>
  <c r="AA152" i="69" s="1"/>
  <c r="Z84" i="69" a="1"/>
  <c r="Z84" i="69" s="1"/>
  <c r="Z105" i="69" s="1" a="1"/>
  <c r="Z105" i="69" s="1"/>
  <c r="Z157" i="69" s="1" a="1"/>
  <c r="Z157" i="69" s="1"/>
  <c r="X78" i="69" a="1"/>
  <c r="X78" i="69" s="1"/>
  <c r="X99" i="69" s="1" a="1"/>
  <c r="X99" i="69" s="1"/>
  <c r="X151" i="69" s="1" a="1"/>
  <c r="X151" i="69" s="1"/>
  <c r="X85" i="69" a="1"/>
  <c r="X85" i="69" s="1"/>
  <c r="X106" i="69" s="1" a="1"/>
  <c r="X106" i="69" s="1"/>
  <c r="X158" i="69" s="1" a="1"/>
  <c r="X158" i="69" s="1"/>
  <c r="Y86" i="69" a="1"/>
  <c r="Y86" i="69" s="1"/>
  <c r="Y107" i="69" s="1" a="1"/>
  <c r="Y107" i="69" s="1"/>
  <c r="Y159" i="69" s="1" a="1"/>
  <c r="Y159" i="69" s="1"/>
  <c r="AE82" i="69" a="1"/>
  <c r="AE82" i="69" s="1"/>
  <c r="AE103" i="69" s="1" a="1"/>
  <c r="AE103" i="69" s="1"/>
  <c r="AE155" i="69" s="1" a="1"/>
  <c r="AE155" i="69" s="1"/>
  <c r="AC77" i="69" a="1"/>
  <c r="AC77" i="69" s="1"/>
  <c r="AC98" i="69" s="1" a="1"/>
  <c r="AC98" i="69" s="1"/>
  <c r="AC150" i="69" s="1" a="1"/>
  <c r="AC150" i="69" s="1"/>
  <c r="W82" i="69" a="1"/>
  <c r="W82" i="69" s="1"/>
  <c r="W103" i="69" s="1" a="1"/>
  <c r="W103" i="69" s="1"/>
  <c r="W155" i="69" s="1" a="1"/>
  <c r="W155" i="69" s="1"/>
  <c r="AE76" i="69" a="1"/>
  <c r="AE76" i="69" s="1"/>
  <c r="AE97" i="69" s="1" a="1"/>
  <c r="AE97" i="69" s="1"/>
  <c r="AE149" i="69" s="1" a="1"/>
  <c r="AE149" i="69" s="1"/>
  <c r="AE84" i="69" a="1"/>
  <c r="AE84" i="69" s="1"/>
  <c r="AE105" i="69" s="1" a="1"/>
  <c r="AE105" i="69" s="1"/>
  <c r="AE157" i="69" s="1" a="1"/>
  <c r="AE157" i="69" s="1"/>
  <c r="AA77" i="69" a="1"/>
  <c r="AA77" i="69" s="1"/>
  <c r="AA98" i="69" s="1" a="1"/>
  <c r="AA98" i="69" s="1"/>
  <c r="AA150" i="69" s="1" a="1"/>
  <c r="AA150" i="69" s="1"/>
  <c r="Z87" i="69" a="1"/>
  <c r="Z87" i="69" s="1"/>
  <c r="Z108" i="69" s="1" a="1"/>
  <c r="Z108" i="69" s="1"/>
  <c r="Z160" i="69" s="1" a="1"/>
  <c r="Z160" i="69" s="1"/>
  <c r="AB85" i="69" a="1"/>
  <c r="AB85" i="69" s="1"/>
  <c r="AB106" i="69" s="1" a="1"/>
  <c r="AB106" i="69" s="1"/>
  <c r="AB158" i="69" s="1" a="1"/>
  <c r="AB158" i="69" s="1"/>
  <c r="V85" i="69" a="1"/>
  <c r="V85" i="69" s="1"/>
  <c r="V106" i="69" s="1" a="1"/>
  <c r="V106" i="69" s="1"/>
  <c r="V158" i="69" s="1" a="1"/>
  <c r="V158" i="69" s="1"/>
  <c r="AD87" i="69" a="1"/>
  <c r="AD87" i="69" s="1"/>
  <c r="AD108" i="69" s="1" a="1"/>
  <c r="AD108" i="69" s="1"/>
  <c r="AD160" i="69" s="1" a="1"/>
  <c r="AD160" i="69" s="1"/>
  <c r="Y83" i="69" a="1"/>
  <c r="Y83" i="69" s="1"/>
  <c r="Y104" i="69" s="1" a="1"/>
  <c r="Y104" i="69" s="1"/>
  <c r="Y156" i="69" s="1" a="1"/>
  <c r="Y156" i="69" s="1"/>
  <c r="X81" i="69" a="1"/>
  <c r="X81" i="69" s="1"/>
  <c r="X102" i="69" s="1" a="1"/>
  <c r="X102" i="69" s="1"/>
  <c r="X154" i="69" s="1" a="1"/>
  <c r="X154" i="69" s="1"/>
  <c r="X77" i="69" a="1"/>
  <c r="X77" i="69" s="1"/>
  <c r="X98" i="69" s="1" a="1"/>
  <c r="X98" i="69" s="1"/>
  <c r="X150" i="69" s="1" a="1"/>
  <c r="X150" i="69" s="1"/>
  <c r="V87" i="69" a="1"/>
  <c r="V87" i="69" s="1"/>
  <c r="V108" i="69" s="1" a="1"/>
  <c r="V108" i="69" s="1"/>
  <c r="V160" i="69" s="1" a="1"/>
  <c r="V160" i="69" s="1"/>
  <c r="AE81" i="69" a="1"/>
  <c r="AE81" i="69" s="1"/>
  <c r="AE102" i="69" s="1" a="1"/>
  <c r="AE102" i="69" s="1"/>
  <c r="AE154" i="69" s="1" a="1"/>
  <c r="AE154" i="69" s="1"/>
  <c r="AB83" i="69" a="1"/>
  <c r="AB83" i="69" s="1"/>
  <c r="AB104" i="69" s="1" a="1"/>
  <c r="AB104" i="69" s="1"/>
  <c r="AB156" i="69" s="1" a="1"/>
  <c r="AB156" i="69" s="1"/>
  <c r="V84" i="69" a="1"/>
  <c r="V84" i="69" s="1"/>
  <c r="V105" i="69" s="1" a="1"/>
  <c r="V105" i="69" s="1"/>
  <c r="V157" i="69" s="1" a="1"/>
  <c r="V157" i="69" s="1"/>
  <c r="W80" i="69" a="1"/>
  <c r="W80" i="69" s="1"/>
  <c r="W101" i="69" s="1" a="1"/>
  <c r="W101" i="69" s="1"/>
  <c r="W153" i="69" s="1" a="1"/>
  <c r="W153" i="69" s="1"/>
  <c r="W84" i="69" a="1"/>
  <c r="W84" i="69" s="1"/>
  <c r="W105" i="69" s="1" a="1"/>
  <c r="W105" i="69" s="1"/>
  <c r="W157" i="69" s="1" a="1"/>
  <c r="W157" i="69" s="1"/>
  <c r="V81" i="69" a="1"/>
  <c r="V81" i="69" s="1"/>
  <c r="V102" i="69" s="1" a="1"/>
  <c r="V102" i="69" s="1"/>
  <c r="V154" i="69" s="1" a="1"/>
  <c r="V154" i="69" s="1"/>
  <c r="X80" i="69" a="1"/>
  <c r="X80" i="69" s="1"/>
  <c r="X101" i="69" s="1" a="1"/>
  <c r="X101" i="69" s="1"/>
  <c r="X153" i="69" s="1" a="1"/>
  <c r="X153" i="69" s="1"/>
  <c r="Z76" i="69" a="1"/>
  <c r="Z76" i="69" s="1"/>
  <c r="Z97" i="69" s="1" a="1"/>
  <c r="Z97" i="69" s="1"/>
  <c r="Z149" i="69" s="1" a="1"/>
  <c r="Z149" i="69" s="1"/>
  <c r="V97" i="69" a="1"/>
  <c r="V97" i="69" s="1"/>
  <c r="V149" i="69" s="1" a="1"/>
  <c r="V149" i="69" s="1"/>
  <c r="AD76" i="69" a="1"/>
  <c r="AD76" i="69" s="1"/>
  <c r="AD97" i="69" s="1" a="1"/>
  <c r="AD97" i="69" s="1"/>
  <c r="AD149" i="69" s="1" a="1"/>
  <c r="AD149" i="69" s="1"/>
  <c r="AD85" i="69" a="1"/>
  <c r="AD85" i="69" s="1"/>
  <c r="AD106" i="69" s="1" a="1"/>
  <c r="AD106" i="69" s="1"/>
  <c r="AD158" i="69" s="1" a="1"/>
  <c r="AD158" i="69" s="1"/>
  <c r="AC82" i="69" a="1"/>
  <c r="AC82" i="69" s="1"/>
  <c r="AC103" i="69" s="1" a="1"/>
  <c r="AC103" i="69" s="1"/>
  <c r="AC155" i="69" s="1" a="1"/>
  <c r="AC155" i="69" s="1"/>
  <c r="AD79" i="69" a="1"/>
  <c r="AD79" i="69" s="1"/>
  <c r="AD100" i="69" s="1" a="1"/>
  <c r="AD100" i="69" s="1"/>
  <c r="AD152" i="69" s="1" a="1"/>
  <c r="AD152" i="69" s="1"/>
  <c r="AB76" i="69" a="1"/>
  <c r="AB76" i="69" s="1"/>
  <c r="AB97" i="69" s="1" a="1"/>
  <c r="AB97" i="69" s="1"/>
  <c r="AB149" i="69" s="1" a="1"/>
  <c r="AB149" i="69" s="1"/>
  <c r="X84" i="69" a="1"/>
  <c r="X84" i="69" s="1"/>
  <c r="X105" i="69" s="1" a="1"/>
  <c r="X105" i="69" s="1"/>
  <c r="X157" i="69" s="1" a="1"/>
  <c r="X157" i="69" s="1"/>
  <c r="AB80" i="69" a="1"/>
  <c r="AB80" i="69" s="1"/>
  <c r="AB101" i="69" s="1" a="1"/>
  <c r="AB101" i="69" s="1"/>
  <c r="AB153" i="69" s="1" a="1"/>
  <c r="AB153" i="69" s="1"/>
  <c r="Y85" i="69" a="1"/>
  <c r="Y85" i="69" s="1"/>
  <c r="Y106" i="69" s="1" a="1"/>
  <c r="Y106" i="69" s="1"/>
  <c r="Y158" i="69" s="1" a="1"/>
  <c r="Y158" i="69" s="1"/>
  <c r="AC81" i="69" a="1"/>
  <c r="AC81" i="69" s="1"/>
  <c r="AC102" i="69" s="1" a="1"/>
  <c r="AC102" i="69" s="1"/>
  <c r="AC154" i="69" s="1" a="1"/>
  <c r="AC154" i="69" s="1"/>
  <c r="W85" i="69" a="1"/>
  <c r="W85" i="69" s="1"/>
  <c r="W106" i="69" s="1" a="1"/>
  <c r="W106" i="69" s="1"/>
  <c r="W158" i="69" s="1" a="1"/>
  <c r="W158" i="69" s="1"/>
  <c r="AA84" i="69" a="1"/>
  <c r="AA84" i="69" s="1"/>
  <c r="AA105" i="69" s="1" a="1"/>
  <c r="AA105" i="69" s="1"/>
  <c r="AA157" i="69" s="1" a="1"/>
  <c r="AA157" i="69" s="1"/>
  <c r="AC86" i="69" a="1"/>
  <c r="AC86" i="69" s="1"/>
  <c r="AC107" i="69" s="1" a="1"/>
  <c r="AC107" i="69" s="1"/>
  <c r="AC159" i="69" s="1" a="1"/>
  <c r="AC159" i="69" s="1"/>
  <c r="V82" i="69" a="1"/>
  <c r="V82" i="69" s="1"/>
  <c r="V103" i="69" s="1" a="1"/>
  <c r="V103" i="69" s="1"/>
  <c r="V155" i="69" s="1" a="1"/>
  <c r="V155" i="69" s="1"/>
  <c r="AD81" i="69" a="1"/>
  <c r="AD81" i="69" s="1"/>
  <c r="AD102" i="69" s="1" a="1"/>
  <c r="AD102" i="69" s="1"/>
  <c r="AD154" i="69" s="1" a="1"/>
  <c r="AD154" i="69" s="1"/>
  <c r="Z80" i="69" a="1"/>
  <c r="Z80" i="69" s="1"/>
  <c r="Z101" i="69" s="1" a="1"/>
  <c r="Z101" i="69" s="1"/>
  <c r="Z153" i="69" s="1" a="1"/>
  <c r="Z153" i="69" s="1"/>
  <c r="AA87" i="69" a="1"/>
  <c r="AA87" i="69" s="1"/>
  <c r="AA108" i="69" s="1" a="1"/>
  <c r="AA108" i="69" s="1"/>
  <c r="AA160" i="69" s="1" a="1"/>
  <c r="AA160" i="69" s="1"/>
  <c r="Z79" i="69" a="1"/>
  <c r="Z79" i="69" s="1"/>
  <c r="Z100" i="69" s="1" a="1"/>
  <c r="Z100" i="69" s="1"/>
  <c r="Z152" i="69" s="1" a="1"/>
  <c r="Z152" i="69" s="1"/>
  <c r="AC85" i="69" a="1"/>
  <c r="AC85" i="69" s="1"/>
  <c r="AC106" i="69" s="1" a="1"/>
  <c r="AC106" i="69" s="1"/>
  <c r="AC158" i="69" s="1" a="1"/>
  <c r="AC158" i="69" s="1"/>
  <c r="Z81" i="69" a="1"/>
  <c r="Z81" i="69" s="1"/>
  <c r="Z102" i="69" s="1" a="1"/>
  <c r="Z102" i="69" s="1"/>
  <c r="Z154" i="69" s="1" a="1"/>
  <c r="Z154" i="69" s="1"/>
  <c r="AA82" i="69" a="1"/>
  <c r="AA82" i="69" s="1"/>
  <c r="AA103" i="69" s="1" a="1"/>
  <c r="AA103" i="69" s="1"/>
  <c r="AA155" i="69" s="1" a="1"/>
  <c r="AA155" i="69" s="1"/>
  <c r="AE77" i="69" a="1"/>
  <c r="AE77" i="69" s="1"/>
  <c r="AE98" i="69" s="1" a="1"/>
  <c r="AE98" i="69" s="1"/>
  <c r="AE150" i="69" s="1" a="1"/>
  <c r="AE150" i="69" s="1"/>
  <c r="X76" i="69" a="1"/>
  <c r="X76" i="69" s="1"/>
  <c r="X97" i="69" s="1" a="1"/>
  <c r="X97" i="69" s="1"/>
  <c r="X149" i="69" s="1" a="1"/>
  <c r="X149" i="69" s="1"/>
  <c r="V80" i="69" a="1"/>
  <c r="V80" i="69" s="1"/>
  <c r="V101" i="69" s="1" a="1"/>
  <c r="V101" i="69" s="1"/>
  <c r="V153" i="69" s="1" a="1"/>
  <c r="V153" i="69" s="1"/>
  <c r="W86" i="69" a="1"/>
  <c r="W86" i="69" s="1"/>
  <c r="W107" i="69" s="1" a="1"/>
  <c r="W107" i="69" s="1"/>
  <c r="W159" i="69" s="1" a="1"/>
  <c r="W159" i="69" s="1"/>
  <c r="W77" i="69" a="1"/>
  <c r="W77" i="69" s="1"/>
  <c r="W98" i="69" s="1" a="1"/>
  <c r="W98" i="69" s="1"/>
  <c r="W150" i="69" s="1" a="1"/>
  <c r="W150" i="69" s="1"/>
  <c r="AB79" i="69" a="1"/>
  <c r="AB79" i="69" s="1"/>
  <c r="AB100" i="69" s="1" a="1"/>
  <c r="AB100" i="69" s="1"/>
  <c r="AB152" i="69" s="1" a="1"/>
  <c r="AB152" i="69" s="1"/>
  <c r="W83" i="69" a="1"/>
  <c r="W83" i="69" s="1"/>
  <c r="W104" i="69" s="1" a="1"/>
  <c r="W104" i="69" s="1"/>
  <c r="W156" i="69" s="1" a="1"/>
  <c r="W156" i="69" s="1"/>
  <c r="AC76" i="69" a="1"/>
  <c r="AC76" i="69" s="1"/>
  <c r="AC97" i="69" s="1" a="1"/>
  <c r="AC97" i="69" s="1"/>
  <c r="AC149" i="69" s="1" a="1"/>
  <c r="AC149" i="69" s="1"/>
  <c r="AE86" i="69" a="1"/>
  <c r="AE86" i="69" s="1"/>
  <c r="AE107" i="69" s="1" a="1"/>
  <c r="AE107" i="69" s="1"/>
  <c r="AE159" i="69" s="1" a="1"/>
  <c r="AE159" i="69" s="1"/>
  <c r="AD82" i="69" a="1"/>
  <c r="AD82" i="69" s="1"/>
  <c r="AD103" i="69" s="1" a="1"/>
  <c r="AD103" i="69" s="1"/>
  <c r="AD155" i="69" s="1" a="1"/>
  <c r="AD155" i="69" s="1"/>
  <c r="V79" i="69" a="1"/>
  <c r="V79" i="69" s="1"/>
  <c r="V100" i="69" s="1" a="1"/>
  <c r="V100" i="69" s="1"/>
  <c r="V152" i="69" s="1" a="1"/>
  <c r="V152" i="69" s="1"/>
  <c r="AC83" i="69" a="1"/>
  <c r="AC83" i="69" s="1"/>
  <c r="AC104" i="69" s="1" a="1"/>
  <c r="AC104" i="69" s="1"/>
  <c r="AC156" i="69" s="1" a="1"/>
  <c r="AC156" i="69" s="1"/>
  <c r="H64" i="69" a="1"/>
  <c r="H64" i="69" s="1"/>
  <c r="H85" i="69" s="1" a="1"/>
  <c r="H85" i="69" s="1"/>
  <c r="H123" i="69" s="1" a="1"/>
  <c r="H123" i="69" s="1"/>
  <c r="G64" i="69" a="1"/>
  <c r="G64" i="69" s="1"/>
  <c r="G85" i="69" s="1" a="1"/>
  <c r="G85" i="69" s="1"/>
  <c r="G123" i="69" s="1" a="1"/>
  <c r="G123" i="69" s="1"/>
  <c r="J67" i="69" a="1"/>
  <c r="J67" i="69" s="1"/>
  <c r="J88" i="69" s="1" a="1"/>
  <c r="J88" i="69" s="1"/>
  <c r="J126" i="69" s="1" a="1"/>
  <c r="J126" i="69" s="1"/>
  <c r="N64" i="69" a="1"/>
  <c r="N64" i="69" s="1"/>
  <c r="N85" i="69" s="1" a="1"/>
  <c r="N85" i="69" s="1"/>
  <c r="N123" i="69" s="1" a="1"/>
  <c r="N123" i="69" s="1"/>
  <c r="I66" i="69" a="1"/>
  <c r="I66" i="69" s="1"/>
  <c r="I87" i="69" s="1" a="1"/>
  <c r="I87" i="69" s="1"/>
  <c r="I125" i="69" s="1" a="1"/>
  <c r="I125" i="69" s="1"/>
  <c r="I65" i="69" a="1"/>
  <c r="I65" i="69" s="1"/>
  <c r="I86" i="69" s="1" a="1"/>
  <c r="I86" i="69" s="1"/>
  <c r="I124" i="69" s="1" a="1"/>
  <c r="I124" i="69" s="1"/>
  <c r="L67" i="69" a="1"/>
  <c r="L67" i="69" s="1"/>
  <c r="L88" i="69" s="1" a="1"/>
  <c r="L88" i="69" s="1"/>
  <c r="L126" i="69" s="1" a="1"/>
  <c r="L126" i="69" s="1"/>
  <c r="E65" i="69" a="1"/>
  <c r="E65" i="69" s="1"/>
  <c r="E86" i="69" s="1" a="1"/>
  <c r="E86" i="69" s="1"/>
  <c r="E124" i="69" s="1" a="1"/>
  <c r="E124" i="69" s="1"/>
  <c r="G67" i="69" a="1"/>
  <c r="G67" i="69" s="1"/>
  <c r="G88" i="69" s="1" a="1"/>
  <c r="G88" i="69" s="1"/>
  <c r="G126" i="69" s="1" a="1"/>
  <c r="G126" i="69" s="1"/>
  <c r="E66" i="69" a="1"/>
  <c r="E66" i="69" s="1"/>
  <c r="E87" i="69" s="1" a="1"/>
  <c r="E87" i="69" s="1"/>
  <c r="E125" i="69" s="1" a="1"/>
  <c r="E125" i="69" s="1"/>
  <c r="E67" i="69" a="1"/>
  <c r="E67" i="69" s="1"/>
  <c r="E88" i="69" s="1" a="1"/>
  <c r="E88" i="69" s="1"/>
  <c r="E126" i="69" s="1" a="1"/>
  <c r="E126" i="69" s="1"/>
  <c r="K67" i="69" a="1"/>
  <c r="K67" i="69" s="1"/>
  <c r="K88" i="69" s="1" a="1"/>
  <c r="K88" i="69" s="1"/>
  <c r="K126" i="69" s="1" a="1"/>
  <c r="K126" i="69" s="1"/>
  <c r="M65" i="69" a="1"/>
  <c r="M65" i="69" s="1"/>
  <c r="M86" i="69" s="1" a="1"/>
  <c r="M86" i="69" s="1"/>
  <c r="M124" i="69" s="1" a="1"/>
  <c r="M124" i="69" s="1"/>
  <c r="F65" i="69" a="1"/>
  <c r="F65" i="69" s="1"/>
  <c r="F86" i="69" s="1" a="1"/>
  <c r="F86" i="69" s="1"/>
  <c r="F124" i="69" s="1" a="1"/>
  <c r="F124" i="69" s="1"/>
  <c r="H66" i="69" a="1"/>
  <c r="H66" i="69" s="1"/>
  <c r="H87" i="69" s="1" a="1"/>
  <c r="H87" i="69" s="1"/>
  <c r="H125" i="69" s="1" a="1"/>
  <c r="H125" i="69" s="1"/>
  <c r="M64" i="69" a="1"/>
  <c r="M64" i="69" s="1"/>
  <c r="M85" i="69" s="1" a="1"/>
  <c r="M85" i="69" s="1"/>
  <c r="M123" i="69" s="1" a="1"/>
  <c r="M123" i="69" s="1"/>
  <c r="N67" i="69" a="1"/>
  <c r="N67" i="69" s="1"/>
  <c r="N88" i="69" s="1" a="1"/>
  <c r="N88" i="69" s="1"/>
  <c r="N126" i="69" s="1" a="1"/>
  <c r="N126" i="69" s="1"/>
  <c r="N65" i="69" a="1"/>
  <c r="N65" i="69" s="1"/>
  <c r="N86" i="69" s="1" a="1"/>
  <c r="N86" i="69" s="1"/>
  <c r="N124" i="69" s="1" a="1"/>
  <c r="N124" i="69" s="1"/>
  <c r="L64" i="69" a="1"/>
  <c r="L64" i="69" s="1"/>
  <c r="L85" i="69" s="1" a="1"/>
  <c r="L85" i="69" s="1"/>
  <c r="L123" i="69" s="1" a="1"/>
  <c r="L123" i="69" s="1"/>
  <c r="I64" i="69" a="1"/>
  <c r="I64" i="69" s="1"/>
  <c r="I85" i="69" s="1" a="1"/>
  <c r="I85" i="69" s="1"/>
  <c r="I123" i="69" s="1" a="1"/>
  <c r="I123" i="69" s="1"/>
  <c r="M66" i="69" a="1"/>
  <c r="M66" i="69" s="1"/>
  <c r="M87" i="69" s="1" a="1"/>
  <c r="M87" i="69" s="1"/>
  <c r="M125" i="69" s="1" a="1"/>
  <c r="M125" i="69" s="1"/>
  <c r="H67" i="69" a="1"/>
  <c r="H67" i="69" s="1"/>
  <c r="H88" i="69" s="1" a="1"/>
  <c r="H88" i="69" s="1"/>
  <c r="H126" i="69" s="1" a="1"/>
  <c r="H126" i="69" s="1"/>
  <c r="F64" i="69" a="1"/>
  <c r="F64" i="69" s="1"/>
  <c r="F85" i="69" s="1" a="1"/>
  <c r="F85" i="69" s="1"/>
  <c r="F123" i="69" s="1" a="1"/>
  <c r="F123" i="69" s="1"/>
  <c r="L65" i="69" a="1"/>
  <c r="L65" i="69" s="1"/>
  <c r="L86" i="69" s="1" a="1"/>
  <c r="L86" i="69" s="1"/>
  <c r="L124" i="69" s="1" a="1"/>
  <c r="L124" i="69" s="1"/>
  <c r="J64" i="69" a="1"/>
  <c r="J64" i="69" s="1"/>
  <c r="J85" i="69" s="1" a="1"/>
  <c r="J85" i="69" s="1"/>
  <c r="J123" i="69" s="1" a="1"/>
  <c r="J123" i="69" s="1"/>
  <c r="K65" i="69" a="1"/>
  <c r="K65" i="69" s="1"/>
  <c r="K86" i="69" s="1" a="1"/>
  <c r="K86" i="69" s="1"/>
  <c r="K124" i="69" s="1" a="1"/>
  <c r="K124" i="69" s="1"/>
  <c r="J65" i="69" a="1"/>
  <c r="J65" i="69" s="1"/>
  <c r="J86" i="69" s="1" a="1"/>
  <c r="J86" i="69" s="1"/>
  <c r="J124" i="69" s="1" a="1"/>
  <c r="J124" i="69" s="1"/>
  <c r="G65" i="69" a="1"/>
  <c r="G65" i="69" s="1"/>
  <c r="G86" i="69" s="1" a="1"/>
  <c r="G86" i="69" s="1"/>
  <c r="G124" i="69" s="1" a="1"/>
  <c r="G124" i="69" s="1"/>
  <c r="L66" i="69" a="1"/>
  <c r="L66" i="69" s="1"/>
  <c r="L87" i="69" s="1" a="1"/>
  <c r="L87" i="69" s="1"/>
  <c r="L125" i="69" s="1" a="1"/>
  <c r="L125" i="69" s="1"/>
  <c r="N66" i="69" a="1"/>
  <c r="N66" i="69" s="1"/>
  <c r="N87" i="69" s="1" a="1"/>
  <c r="N87" i="69" s="1"/>
  <c r="N125" i="69" s="1" a="1"/>
  <c r="N125" i="69" s="1"/>
  <c r="I67" i="69" a="1"/>
  <c r="I67" i="69" s="1"/>
  <c r="I88" i="69" s="1" a="1"/>
  <c r="I88" i="69" s="1"/>
  <c r="I126" i="69" s="1" a="1"/>
  <c r="I126" i="69" s="1"/>
  <c r="F67" i="69" a="1"/>
  <c r="F67" i="69" s="1"/>
  <c r="F88" i="69" s="1" a="1"/>
  <c r="F88" i="69" s="1"/>
  <c r="F126" i="69" s="1" a="1"/>
  <c r="F126" i="69" s="1"/>
  <c r="H65" i="69" a="1"/>
  <c r="H65" i="69" s="1"/>
  <c r="H86" i="69" s="1" a="1"/>
  <c r="H86" i="69" s="1"/>
  <c r="H124" i="69" s="1" a="1"/>
  <c r="H124" i="69" s="1"/>
  <c r="M67" i="69" a="1"/>
  <c r="M67" i="69" s="1"/>
  <c r="M88" i="69" s="1" a="1"/>
  <c r="M88" i="69" s="1"/>
  <c r="M126" i="69" s="1" a="1"/>
  <c r="M126" i="69" s="1"/>
  <c r="K64" i="69" a="1"/>
  <c r="K64" i="69" s="1"/>
  <c r="K85" i="69" s="1" a="1"/>
  <c r="K85" i="69" s="1"/>
  <c r="K123" i="69" s="1" a="1"/>
  <c r="K123" i="69" s="1"/>
  <c r="K66" i="69" a="1"/>
  <c r="K66" i="69" s="1"/>
  <c r="K87" i="69" s="1" a="1"/>
  <c r="K87" i="69" s="1"/>
  <c r="K125" i="69" s="1" a="1"/>
  <c r="K125" i="69" s="1"/>
  <c r="F66" i="69" a="1"/>
  <c r="F66" i="69" s="1"/>
  <c r="F87" i="69" s="1" a="1"/>
  <c r="F87" i="69" s="1"/>
  <c r="F125" i="69" s="1" a="1"/>
  <c r="F125" i="69" s="1"/>
  <c r="G66" i="69" a="1"/>
  <c r="G66" i="69" s="1"/>
  <c r="G87" i="69" s="1" a="1"/>
  <c r="G87" i="69" s="1"/>
  <c r="G125" i="69" s="1" a="1"/>
  <c r="G125" i="69" s="1"/>
  <c r="E64" i="69" a="1"/>
  <c r="E64" i="69" s="1"/>
  <c r="E85" i="69" s="1" a="1"/>
  <c r="E85" i="69" s="1"/>
  <c r="E123" i="69" s="1" a="1"/>
  <c r="E123" i="69" s="1"/>
  <c r="J66" i="69" a="1"/>
  <c r="J66" i="69" s="1"/>
  <c r="J87" i="69" s="1" a="1"/>
  <c r="J87" i="69" s="1"/>
  <c r="J125" i="69" s="1" a="1"/>
  <c r="J125" i="69" s="1"/>
  <c r="E128" i="69" l="1"/>
  <c r="E7" i="13" s="1"/>
  <c r="G130" i="69" l="1"/>
  <c r="F27" i="43" a="1"/>
  <c r="F27" i="43" s="1"/>
  <c r="E27" i="43" a="1"/>
  <c r="E27" i="43" s="1"/>
  <c r="D27" i="43" a="1"/>
  <c r="D27" i="43" s="1"/>
  <c r="F26" i="43" a="1"/>
  <c r="F26" i="43" s="1"/>
  <c r="E26" i="43" a="1"/>
  <c r="E26" i="43" s="1"/>
  <c r="D26" i="43" a="1"/>
  <c r="D26" i="43" s="1"/>
  <c r="F25" i="43" a="1"/>
  <c r="F25" i="43" s="1"/>
  <c r="E25" i="43" a="1"/>
  <c r="E25" i="43" s="1"/>
  <c r="D25" i="43" a="1"/>
  <c r="D25" i="43" s="1"/>
  <c r="F24" i="43" a="1"/>
  <c r="F24" i="43" s="1"/>
  <c r="E24" i="43" a="1"/>
  <c r="E24" i="43" s="1"/>
  <c r="D24" i="43" a="1"/>
  <c r="D24" i="43" s="1"/>
  <c r="F23" i="43" a="1"/>
  <c r="F23" i="43" s="1"/>
  <c r="E23" i="43" a="1"/>
  <c r="E23" i="43" s="1"/>
  <c r="D23" i="43" a="1"/>
  <c r="D23" i="43" s="1"/>
  <c r="F22" i="43" a="1"/>
  <c r="F22" i="43" s="1"/>
  <c r="E22" i="43" a="1"/>
  <c r="E22" i="43" s="1"/>
  <c r="D22" i="43" a="1"/>
  <c r="D22" i="43" s="1"/>
  <c r="F21" i="43" a="1"/>
  <c r="F21" i="43" s="1"/>
  <c r="E21" i="43" a="1"/>
  <c r="E21" i="43" s="1"/>
  <c r="D21" i="43" a="1"/>
  <c r="D21" i="43" s="1"/>
  <c r="F20" i="43" a="1"/>
  <c r="F20" i="43" s="1"/>
  <c r="E20" i="43" a="1"/>
  <c r="E20" i="43" s="1"/>
  <c r="D20" i="43" a="1"/>
  <c r="D20" i="43" s="1"/>
  <c r="F19" i="43" a="1"/>
  <c r="F19" i="43" s="1"/>
  <c r="E19" i="43" a="1"/>
  <c r="E19" i="43" s="1"/>
  <c r="D19" i="43" a="1"/>
  <c r="D19" i="43" s="1"/>
  <c r="F18" i="43" a="1"/>
  <c r="F18" i="43" s="1"/>
  <c r="E18" i="43" a="1"/>
  <c r="E18" i="43" s="1"/>
  <c r="D18" i="43" a="1"/>
  <c r="D18" i="43" s="1"/>
  <c r="F17" i="43" a="1"/>
  <c r="F17" i="43" s="1"/>
  <c r="E17" i="43" a="1"/>
  <c r="E17" i="43" s="1"/>
  <c r="D17" i="43" a="1"/>
  <c r="D17" i="43" s="1"/>
  <c r="F16" i="43" a="1"/>
  <c r="F16" i="43" s="1"/>
  <c r="E16" i="43" a="1"/>
  <c r="E16" i="43" s="1"/>
  <c r="D16" i="43" a="1"/>
  <c r="D16" i="43" s="1"/>
  <c r="F15" i="43" a="1"/>
  <c r="F15" i="43" s="1"/>
  <c r="E15" i="43" a="1"/>
  <c r="E15" i="43" s="1"/>
  <c r="D15" i="43" a="1"/>
  <c r="D15" i="43" s="1"/>
  <c r="F14" i="43" a="1"/>
  <c r="F14" i="43" s="1"/>
  <c r="E14" i="43" a="1"/>
  <c r="E14" i="43" s="1"/>
  <c r="D14" i="43" a="1"/>
  <c r="D14" i="43" s="1"/>
  <c r="F13" i="43" a="1"/>
  <c r="F13" i="43" s="1"/>
  <c r="E13" i="43" a="1"/>
  <c r="E13" i="43" s="1"/>
  <c r="D13" i="43" a="1"/>
  <c r="D13" i="43" s="1"/>
  <c r="F12" i="43" a="1"/>
  <c r="F12" i="43" s="1"/>
  <c r="E12" i="43" a="1"/>
  <c r="E12" i="43" s="1"/>
  <c r="D12" i="43" a="1"/>
  <c r="D12" i="43" s="1"/>
  <c r="F11" i="43" a="1"/>
  <c r="F11" i="43" s="1"/>
  <c r="E11" i="43" a="1"/>
  <c r="E11" i="43" s="1"/>
  <c r="D11" i="43" a="1"/>
  <c r="D11" i="43" s="1"/>
  <c r="F10" i="43" a="1"/>
  <c r="F10" i="43" s="1"/>
  <c r="E10" i="43" a="1"/>
  <c r="E10" i="43" s="1"/>
  <c r="D10" i="43" a="1"/>
  <c r="D10" i="43" s="1"/>
  <c r="D8" i="43" a="1"/>
  <c r="D8" i="43" s="1"/>
  <c r="D7" i="43" a="1"/>
  <c r="D7" i="43" s="1"/>
  <c r="D6" i="43" a="1"/>
  <c r="D6" i="43" s="1"/>
  <c r="V162" i="69" l="1"/>
  <c r="E133" i="69" a="1"/>
  <c r="E133" i="69" s="1"/>
  <c r="H7" i="13" s="1"/>
  <c r="F7" i="13" l="1"/>
  <c r="X164" i="69"/>
  <c r="V167" i="69" s="1" a="1"/>
  <c r="V167" i="69" s="1"/>
  <c r="I7" i="13" s="1"/>
  <c r="H8" i="13" l="1"/>
  <c r="I8" i="13" l="1"/>
</calcChain>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1">
    <bk>
      <extLst>
        <ext uri="{3e2802c4-a4d2-4d8b-9148-e3be6c30e623}">
          <xlrd:rvb i="0"/>
        </ext>
      </extLst>
    </bk>
  </futureMetadata>
  <cellMetadata count="1">
    <bk>
      <rc t="1" v="0"/>
    </bk>
  </cellMetadata>
  <valueMetadata count="1">
    <bk>
      <rc t="2" v="0"/>
    </bk>
  </valueMetadata>
</metadata>
</file>

<file path=xl/sharedStrings.xml><?xml version="1.0" encoding="utf-8"?>
<sst xmlns="http://schemas.openxmlformats.org/spreadsheetml/2006/main" count="1229" uniqueCount="354">
  <si>
    <t>INPUTS</t>
  </si>
  <si>
    <t>APPENDICES</t>
  </si>
  <si>
    <t>Emissions breakdown</t>
  </si>
  <si>
    <t>Test Farms</t>
  </si>
  <si>
    <t>Farm name</t>
  </si>
  <si>
    <t>State</t>
  </si>
  <si>
    <t>Climate zone</t>
  </si>
  <si>
    <r>
      <rPr>
        <sz val="12"/>
        <color theme="1" tint="0.34998626667073579"/>
        <rFont val="Times New Roman"/>
        <family val="1"/>
      </rPr>
      <t xml:space="preserve">← </t>
    </r>
    <r>
      <rPr>
        <i/>
        <sz val="12"/>
        <color theme="1" tint="0.34998626667073579"/>
        <rFont val="Times New Roman"/>
        <family val="1"/>
      </rPr>
      <t>Please select</t>
    </r>
  </si>
  <si>
    <t>Location and climate</t>
  </si>
  <si>
    <t>Your business</t>
  </si>
  <si>
    <t>Location information is used to reference some region and climate-specific emission factors</t>
  </si>
  <si>
    <r>
      <rPr>
        <sz val="12"/>
        <color theme="1" tint="0.34998626667073579"/>
        <rFont val="Times New Roman"/>
        <family val="1"/>
      </rPr>
      <t xml:space="preserve">← </t>
    </r>
    <r>
      <rPr>
        <i/>
        <sz val="12"/>
        <color theme="1" tint="0.34998626667073579"/>
        <rFont val="Times New Roman"/>
        <family val="1"/>
      </rPr>
      <t>Automatically calculated, 12 months after start date</t>
    </r>
  </si>
  <si>
    <t>Dry matter digestibility</t>
  </si>
  <si>
    <t>Percent</t>
  </si>
  <si>
    <t>Unit</t>
  </si>
  <si>
    <t>Manure management system</t>
  </si>
  <si>
    <t>State/Territory</t>
  </si>
  <si>
    <t>Common Name</t>
  </si>
  <si>
    <t>Abbreviation</t>
  </si>
  <si>
    <t>SA 4 Name</t>
  </si>
  <si>
    <t>Function name</t>
  </si>
  <si>
    <t>Gas</t>
  </si>
  <si>
    <t>CO2-e factor</t>
  </si>
  <si>
    <t>Variable</t>
  </si>
  <si>
    <t>Conversion factor</t>
  </si>
  <si>
    <t>Conversion factor 1</t>
  </si>
  <si>
    <t>Conversion factor 2</t>
  </si>
  <si>
    <t>Conversion factor combined</t>
  </si>
  <si>
    <t>Rainfall zone</t>
  </si>
  <si>
    <t>MAT</t>
  </si>
  <si>
    <t>MAP</t>
  </si>
  <si>
    <t>Frost days per year</t>
  </si>
  <si>
    <t>Elevation</t>
  </si>
  <si>
    <t>MAP:PET</t>
  </si>
  <si>
    <t>Min temp</t>
  </si>
  <si>
    <t>Max temp</t>
  </si>
  <si>
    <t>Min rainfall</t>
  </si>
  <si>
    <t>Max rainfall</t>
  </si>
  <si>
    <t>Min frost days</t>
  </si>
  <si>
    <t>Min elevation</t>
  </si>
  <si>
    <t>Min MAP:PET</t>
  </si>
  <si>
    <t>Wet or Dry Zone</t>
  </si>
  <si>
    <t>Max frost days</t>
  </si>
  <si>
    <t>Max elevation</t>
  </si>
  <si>
    <t>Max MAP:PET</t>
  </si>
  <si>
    <t>Temperature zone</t>
  </si>
  <si>
    <t>Days</t>
  </si>
  <si>
    <t>Temperature Zone</t>
  </si>
  <si>
    <t>Min MAT</t>
  </si>
  <si>
    <t>Max MAT</t>
  </si>
  <si>
    <t>Rainfall Zone</t>
  </si>
  <si>
    <t>Annual rainfall</t>
  </si>
  <si>
    <t>Leaching Zone</t>
  </si>
  <si>
    <t>Leaching criteria</t>
  </si>
  <si>
    <t>Data source</t>
  </si>
  <si>
    <t>Data score</t>
  </si>
  <si>
    <r>
      <rPr>
        <sz val="12"/>
        <color theme="1" tint="0.34998626667073579"/>
        <rFont val="Times New Roman"/>
        <family val="1"/>
      </rPr>
      <t xml:space="preserve">← </t>
    </r>
    <r>
      <rPr>
        <i/>
        <sz val="12"/>
        <color theme="1" tint="0.34998626667073579"/>
        <rFont val="Times New Roman"/>
        <family val="1"/>
      </rPr>
      <t>DD/MM/YYYY or DD Month YYYY</t>
    </r>
  </si>
  <si>
    <t>Tip: Use the web-based GAF Location Helper tool to easily get region and climate information. You will need an internet connection to use the GAF Location Helper.</t>
  </si>
  <si>
    <t>Reporting entity name</t>
  </si>
  <si>
    <t>Test Farms Pty Ltd</t>
  </si>
  <si>
    <t>CALCULATIONS</t>
  </si>
  <si>
    <t>Constants - Common</t>
  </si>
  <si>
    <t>Constants - Livestock</t>
  </si>
  <si>
    <t>Symbol</t>
  </si>
  <si>
    <t>Symbol and MMS</t>
  </si>
  <si>
    <t>ACT</t>
  </si>
  <si>
    <t>NSW</t>
  </si>
  <si>
    <t>NT</t>
  </si>
  <si>
    <t>QLD</t>
  </si>
  <si>
    <t>SA</t>
  </si>
  <si>
    <t>TAS</t>
  </si>
  <si>
    <t>VIC</t>
  </si>
  <si>
    <t>WA</t>
  </si>
  <si>
    <t>💡An 'Emissions accounting period' is a 12 month period where the business can report on the emissions, and is typically the same as the business' financial accounting period.</t>
  </si>
  <si>
    <t>Input - Site</t>
  </si>
  <si>
    <t>Is in leaching zone</t>
  </si>
  <si>
    <t>FracWET</t>
  </si>
  <si>
    <t>Emissions calculation period start date</t>
  </si>
  <si>
    <t>Emissions calculation period end date</t>
  </si>
  <si>
    <t>Fraction</t>
  </si>
  <si>
    <t>Herd movement</t>
  </si>
  <si>
    <t>Head</t>
  </si>
  <si>
    <r>
      <t>E</t>
    </r>
    <r>
      <rPr>
        <vertAlign val="subscript"/>
        <sz val="12"/>
        <color theme="1" tint="0.24994659260841701"/>
        <rFont val="Times New Roman"/>
        <family val="1"/>
      </rPr>
      <t>CO2e</t>
    </r>
  </si>
  <si>
    <t>Crude protein</t>
  </si>
  <si>
    <t>Method 1</t>
  </si>
  <si>
    <t>Method 2</t>
  </si>
  <si>
    <t>Scope 1 source</t>
  </si>
  <si>
    <t>Production system j</t>
  </si>
  <si>
    <t>EFN2O</t>
  </si>
  <si>
    <t>Production system only</t>
  </si>
  <si>
    <t>Irrigation method</t>
  </si>
  <si>
    <t>Production system</t>
  </si>
  <si>
    <t>Irrigation methods</t>
  </si>
  <si>
    <t>Not irrigated</t>
  </si>
  <si>
    <t>Drip irrigation</t>
  </si>
  <si>
    <t>Sprinkler irrigation</t>
  </si>
  <si>
    <t>Surface irrigation</t>
  </si>
  <si>
    <t>Other irrigation</t>
  </si>
  <si>
    <t>Total</t>
  </si>
  <si>
    <t>GHG Unit</t>
  </si>
  <si>
    <t>CO2-e unit</t>
  </si>
  <si>
    <t>Breed</t>
  </si>
  <si>
    <t>Bulls &gt; 1 year</t>
  </si>
  <si>
    <t>Bulls &lt; 1 year</t>
  </si>
  <si>
    <t>Month</t>
  </si>
  <si>
    <t>kg/head</t>
  </si>
  <si>
    <t>kg/head/day</t>
  </si>
  <si>
    <t>Method 1 values</t>
  </si>
  <si>
    <t>Method 2 values</t>
  </si>
  <si>
    <t>Pasture range and paddock</t>
  </si>
  <si>
    <t>No</t>
  </si>
  <si>
    <t>Liveweight</t>
  </si>
  <si>
    <t>fraction</t>
  </si>
  <si>
    <t>Feed intake (Method 2)</t>
  </si>
  <si>
    <t>Feed intake (Method 1)</t>
  </si>
  <si>
    <t>M1_Table_D_j</t>
  </si>
  <si>
    <t>t CH4</t>
  </si>
  <si>
    <t>M2_Table_D_j</t>
  </si>
  <si>
    <t>Irrigation type i</t>
  </si>
  <si>
    <t>t CO2e</t>
  </si>
  <si>
    <t>EFPRP</t>
  </si>
  <si>
    <t>GHG emissions method 1</t>
  </si>
  <si>
    <t>GHG emissions method 2</t>
  </si>
  <si>
    <t>CO2-e emissions method 1</t>
  </si>
  <si>
    <t>CO2-e emissions method 2</t>
  </si>
  <si>
    <t>Input -Pasture Beef</t>
  </si>
  <si>
    <t>Cows &lt; 1 year</t>
  </si>
  <si>
    <t>Cows 1-2 years</t>
  </si>
  <si>
    <t>Cows 2-3 years</t>
  </si>
  <si>
    <t>Cows &gt; 3 years</t>
  </si>
  <si>
    <t>Steers &lt; 1 year</t>
  </si>
  <si>
    <t>Steers 1-2 years</t>
  </si>
  <si>
    <t>Steers 2-3 years</t>
  </si>
  <si>
    <t>Steers &gt;3 years</t>
  </si>
  <si>
    <t>Spring</t>
  </si>
  <si>
    <t>Summer</t>
  </si>
  <si>
    <t>Autumn</t>
  </si>
  <si>
    <t>Winter</t>
  </si>
  <si>
    <t>Liveweight gain</t>
  </si>
  <si>
    <t>Duration on farm</t>
  </si>
  <si>
    <t>Method 1 default values (do not edit)</t>
  </si>
  <si>
    <t>Method 2 custom values (edit if known)</t>
  </si>
  <si>
    <r>
      <rPr>
        <b/>
        <sz val="12"/>
        <color rgb="FF0070C0"/>
        <rFont val="Times New Roman"/>
        <family val="1"/>
      </rPr>
      <t>NOTE:</t>
    </r>
    <r>
      <rPr>
        <sz val="12"/>
        <color rgb="FF0070C0"/>
        <rFont val="Times New Roman"/>
        <family val="1"/>
      </rPr>
      <t xml:space="preserve"> VEERG states that under method 2, time periods may be seasons, months or a custom time period. In this example, method 2 time periods are months.</t>
    </r>
  </si>
  <si>
    <t>Constants - Pasture Beef</t>
  </si>
  <si>
    <t>Region</t>
  </si>
  <si>
    <t>Season</t>
  </si>
  <si>
    <t>Bull &lt; 1</t>
  </si>
  <si>
    <t>Bull &gt; 1</t>
  </si>
  <si>
    <t>Cow &lt; 1</t>
  </si>
  <si>
    <t>Cow 1-2</t>
  </si>
  <si>
    <t>Cow &gt; 2</t>
  </si>
  <si>
    <t>Steer &lt; 1</t>
  </si>
  <si>
    <t>Steer &gt; 1</t>
  </si>
  <si>
    <t>Bull &gt;1</t>
  </si>
  <si>
    <t>Cows &lt;1</t>
  </si>
  <si>
    <t>Cows 1-2</t>
  </si>
  <si>
    <t>Cows 2-3</t>
  </si>
  <si>
    <t>Cows &gt;3</t>
  </si>
  <si>
    <t>Steer &lt;1</t>
  </si>
  <si>
    <t>Steer 1-2</t>
  </si>
  <si>
    <t>Steer 2-3</t>
  </si>
  <si>
    <t>Steer &gt;3</t>
  </si>
  <si>
    <t>Beef pasture cattle - Liveweight (kg) (Wjkl) all states</t>
  </si>
  <si>
    <t>n/a</t>
  </si>
  <si>
    <t>Bull &lt;1</t>
  </si>
  <si>
    <t>Livestock production region</t>
  </si>
  <si>
    <t>Kimberley</t>
  </si>
  <si>
    <t>Table_SourceData_PastureBeef_Region_WesternAustralia</t>
  </si>
  <si>
    <t>Table_SourceData_PastureBeef_Region_Queensland</t>
  </si>
  <si>
    <t>Table_SourceData_PastureBeef_Region_NorthernTerritory</t>
  </si>
  <si>
    <t>South West</t>
  </si>
  <si>
    <t>Pilbara</t>
  </si>
  <si>
    <t>Alice Springs</t>
  </si>
  <si>
    <t>Barkly</t>
  </si>
  <si>
    <t>Northern</t>
  </si>
  <si>
    <t>High</t>
  </si>
  <si>
    <t>Moderate/High</t>
  </si>
  <si>
    <t>Moderate/Low</t>
  </si>
  <si>
    <t>Low</t>
  </si>
  <si>
    <t>Western Australia</t>
  </si>
  <si>
    <t>Table_SourceData_PastureBeef_Region_Victoria</t>
  </si>
  <si>
    <t>Table_SourceData_PastureBeef_Region_NewSouthWales</t>
  </si>
  <si>
    <t>Table_SourceData_PastureBeef_Region_SouthAustralia</t>
  </si>
  <si>
    <t>Table_SourceData_PastureBeef_Region_Tasmania</t>
  </si>
  <si>
    <t>Table_SourceData_PastureBeef_Region_ACT</t>
  </si>
  <si>
    <t>Cow &lt;1</t>
  </si>
  <si>
    <t>Cow &gt;2</t>
  </si>
  <si>
    <t>Steer &gt;1</t>
  </si>
  <si>
    <t>Cow 2-3</t>
  </si>
  <si>
    <t>Cow &gt;3</t>
  </si>
  <si>
    <t>Proportion of cows &gt; 1 years in calf in the season of calving</t>
  </si>
  <si>
    <t>M1_Table_LC_j_k-4-5</t>
  </si>
  <si>
    <t>Cattle breed</t>
  </si>
  <si>
    <t>Feed adjustment</t>
  </si>
  <si>
    <t>Milk intake/production</t>
  </si>
  <si>
    <t>Bulls &lt;1</t>
  </si>
  <si>
    <t>Bulls &gt;1</t>
  </si>
  <si>
    <t>Cows &gt;2</t>
  </si>
  <si>
    <t>State abbreviation</t>
  </si>
  <si>
    <t>Uncovered Anaerobic lagoon</t>
  </si>
  <si>
    <t>Hereford or Shorthorn breeds</t>
  </si>
  <si>
    <t>M1_Table_MA_j_k-4-5</t>
  </si>
  <si>
    <t>Additional intake for milk production in calving and post-calving seasons (Method 1)</t>
  </si>
  <si>
    <t>M1_Table_LWG_j_k_l</t>
  </si>
  <si>
    <t>Liveweight gain (Method 1)</t>
  </si>
  <si>
    <t>Liveweight (Method 1)</t>
  </si>
  <si>
    <t>M1_Table_I_j_k_l</t>
  </si>
  <si>
    <t>Calving season</t>
  </si>
  <si>
    <t>Season after calving</t>
  </si>
  <si>
    <t>VARIATION ON SOURCE: Changed 'Season' values from season names to 'Calving season' and 'Season after calving' to acommodate cases where calving happens outside spring or summer</t>
  </si>
  <si>
    <t>M2_Table_LC_j_k-4-5</t>
  </si>
  <si>
    <t>Proportion of cows in calf during season (Method 2)</t>
  </si>
  <si>
    <t>M2_Table_MA_j_k-4-5</t>
  </si>
  <si>
    <t>Additional intake for milk production in calving and post-calving seasons (Method 2)</t>
  </si>
  <si>
    <t>Proportion of cows in calf during season (Method 1)</t>
  </si>
  <si>
    <t>Liveweight (Method 2)</t>
  </si>
  <si>
    <t>M2_Table_LWG_j_k_l</t>
  </si>
  <si>
    <t>Liveweight gain (Method 2)</t>
  </si>
  <si>
    <t>M2_Table_I_j_k_l</t>
  </si>
  <si>
    <t>Manure management</t>
  </si>
  <si>
    <t>Are all dams and natural water sources fenced off so cattle cannot access them?</t>
  </si>
  <si>
    <t>Percent in MMS</t>
  </si>
  <si>
    <t>Anaerobic lagoon</t>
  </si>
  <si>
    <t>Typo in VEERG declares unit as fraction when values are percent</t>
  </si>
  <si>
    <t>M1_Table_N_j_k_l</t>
  </si>
  <si>
    <t>Number of beef cattle (Method 1)</t>
  </si>
  <si>
    <t>Duration of stay in each time period (Method 1)</t>
  </si>
  <si>
    <t>M2_Table_N_j_k_l</t>
  </si>
  <si>
    <t>Number of beef cattle (Method 2)</t>
  </si>
  <si>
    <t>Duration of stay in each time period (Method 2)</t>
  </si>
  <si>
    <t>M1_Table_W_j_k_l</t>
  </si>
  <si>
    <r>
      <t>E</t>
    </r>
    <r>
      <rPr>
        <b/>
        <vertAlign val="subscript"/>
        <sz val="16"/>
        <color theme="1" tint="0.24994659260841701"/>
        <rFont val="Times New Roman"/>
        <family val="1"/>
      </rPr>
      <t>CH4</t>
    </r>
  </si>
  <si>
    <t>Where did the livestock spend most of their time grazing?</t>
  </si>
  <si>
    <t>Pasture beefcrop or pasture production systems</t>
  </si>
  <si>
    <t>Pasture</t>
  </si>
  <si>
    <t>MAT (ºC)</t>
  </si>
  <si>
    <t>Digester / covered lagoons</t>
  </si>
  <si>
    <t>Liquid systems</t>
  </si>
  <si>
    <t>Daily spread</t>
  </si>
  <si>
    <t>Composting (passive windrow)</t>
  </si>
  <si>
    <t>Solid storage</t>
  </si>
  <si>
    <t>Pit storage</t>
  </si>
  <si>
    <t>Deep litter</t>
  </si>
  <si>
    <t>Poultry manure with bedding</t>
  </si>
  <si>
    <t>Poultry manure without bedding</t>
  </si>
  <si>
    <t>Direct processing</t>
  </si>
  <si>
    <t>Direct application</t>
  </si>
  <si>
    <t>MAT raw</t>
  </si>
  <si>
    <r>
      <t>FA</t>
    </r>
    <r>
      <rPr>
        <b/>
        <vertAlign val="subscript"/>
        <sz val="11"/>
        <color rgb="FF183C1B"/>
        <rFont val="Times New Roman"/>
        <family val="1"/>
      </rPr>
      <t>jk=4,5</t>
    </r>
  </si>
  <si>
    <t>Calving month 2</t>
  </si>
  <si>
    <t>Calving month 3</t>
  </si>
  <si>
    <t>August 2024</t>
  </si>
  <si>
    <t>EntericMethane_PastureBeef_Equations.VEERG_3_2_1_1__4_AdditionalIntakeForMilkProduction</t>
  </si>
  <si>
    <t>First calving month</t>
  </si>
  <si>
    <t>M2_Table_W_j_k_l</t>
  </si>
  <si>
    <t>3.2.1.1-2 Enteric Beef Grazing</t>
  </si>
  <si>
    <t>M1_Table_M_j_k_l</t>
  </si>
  <si>
    <t>Daily production of enteric methane (Method 1)</t>
  </si>
  <si>
    <t>M1_Table_E_enteric</t>
  </si>
  <si>
    <t>Total enteric methane production (Method 1)</t>
  </si>
  <si>
    <t>M2_Table_E_enteric</t>
  </si>
  <si>
    <t>Total enteric methane production (Method 2)</t>
  </si>
  <si>
    <t>M2_Table_M_j_k_l</t>
  </si>
  <si>
    <t>Daily production of enteric methane (Method 2)</t>
  </si>
  <si>
    <t>4.3.1.1-2 Enteric Methane</t>
  </si>
  <si>
    <t>3.2 Enteric Methane: Pasture Beef: Results</t>
  </si>
  <si>
    <t>Australia</t>
  </si>
  <si>
    <t>Climate Zone</t>
  </si>
  <si>
    <t>EFNi &amp; EFN2Oi</t>
  </si>
  <si>
    <t>Table_LivestockClasses_Beefcattle</t>
  </si>
  <si>
    <t>Livestock class</t>
  </si>
  <si>
    <t>Table_ProductRegions_Beefcattle</t>
  </si>
  <si>
    <t>Scope3 region</t>
  </si>
  <si>
    <t>WA - South west</t>
  </si>
  <si>
    <t>WA - Pilbara</t>
  </si>
  <si>
    <t>WA - Kimberley</t>
  </si>
  <si>
    <t>NT - Alice Springs</t>
  </si>
  <si>
    <t>NT - Barkly</t>
  </si>
  <si>
    <t>NT - Northern</t>
  </si>
  <si>
    <t>QLD - High</t>
  </si>
  <si>
    <t>QLD - Moderate/High</t>
  </si>
  <si>
    <t>QLD - Moderate/Low</t>
  </si>
  <si>
    <t>QLD - Low</t>
  </si>
  <si>
    <t>Category</t>
  </si>
  <si>
    <t>Product</t>
  </si>
  <si>
    <t>Region of origin</t>
  </si>
  <si>
    <t>Quantity Unit</t>
  </si>
  <si>
    <t>AusLCI Emissions intensity</t>
  </si>
  <si>
    <t>System boundary</t>
  </si>
  <si>
    <t>Source region</t>
  </si>
  <si>
    <t>Table_SourceData_LivestockProduct_Beefcattle</t>
  </si>
  <si>
    <t>Table_SourceData_LivestockProduct_Sheep</t>
  </si>
  <si>
    <t>Table_SourceData_LivestockProduct_Chickens</t>
  </si>
  <si>
    <t>Table_SourceData_LivestockProduct_Dairycattle</t>
  </si>
  <si>
    <t>Table_SourceData_LivestockProduct_Pigs</t>
  </si>
  <si>
    <t>Calves born</t>
  </si>
  <si>
    <t>Calving season (select)</t>
  </si>
  <si>
    <t>Yes</t>
  </si>
  <si>
    <t>Proportion born this season</t>
  </si>
  <si>
    <r>
      <t>MC = (PB</t>
    </r>
    <r>
      <rPr>
        <b/>
        <vertAlign val="subscript"/>
        <sz val="14"/>
        <color theme="1" tint="0.24994659260841701"/>
        <rFont val="Times New Roman"/>
        <family val="1"/>
      </rPr>
      <t>calv</t>
    </r>
    <r>
      <rPr>
        <b/>
        <sz val="14"/>
        <color theme="1" tint="0.24994659260841701"/>
        <rFont val="Times New Roman"/>
        <family val="1"/>
      </rPr>
      <t>*6) + (PB</t>
    </r>
    <r>
      <rPr>
        <b/>
        <vertAlign val="subscript"/>
        <sz val="14"/>
        <color theme="1" tint="0.24994659260841701"/>
        <rFont val="Times New Roman"/>
        <family val="1"/>
      </rPr>
      <t>prev</t>
    </r>
    <r>
      <rPr>
        <b/>
        <sz val="14"/>
        <color theme="1" tint="0.24994659260841701"/>
        <rFont val="Times New Roman"/>
        <family val="1"/>
      </rPr>
      <t>*4) + (PB</t>
    </r>
    <r>
      <rPr>
        <b/>
        <vertAlign val="subscript"/>
        <sz val="14"/>
        <color theme="1" tint="0.24994659260841701"/>
        <rFont val="Times New Roman"/>
        <family val="1"/>
      </rPr>
      <t>earlier</t>
    </r>
    <r>
      <rPr>
        <b/>
        <sz val="14"/>
        <color theme="1" tint="0.24994659260841701"/>
        <rFont val="Times New Roman"/>
        <family val="1"/>
      </rPr>
      <t>*0)</t>
    </r>
  </si>
  <si>
    <t>Births</t>
  </si>
  <si>
    <t>Proportion born last season</t>
  </si>
  <si>
    <t>Proportion born earlier than last season</t>
  </si>
  <si>
    <t>MC</t>
  </si>
  <si>
    <t>Home</t>
  </si>
  <si>
    <t>Data quality scoring</t>
  </si>
  <si>
    <t>Table_SourceData_DataQuality_TemporalRepresentativeness</t>
  </si>
  <si>
    <t>Description</t>
  </si>
  <si>
    <t>ID</t>
  </si>
  <si>
    <t>Score</t>
  </si>
  <si>
    <t>Data collected covers the time-period for which emissions are being estimated  </t>
  </si>
  <si>
    <t>TR5</t>
  </si>
  <si>
    <t>Data collected represents activities that occurred within 2 years of the time-period being assessed  </t>
  </si>
  <si>
    <t>TR4</t>
  </si>
  <si>
    <t>Data collected represents activities that occurred within 3 years of to the time-period being assessed  </t>
  </si>
  <si>
    <t>TR3</t>
  </si>
  <si>
    <t>Data collected represents activities that occurred within 4 years of the time-period being assessed  </t>
  </si>
  <si>
    <t>TR2</t>
  </si>
  <si>
    <t>Age of data unknown or data more than 4 years older than the time-period being reported  </t>
  </si>
  <si>
    <t>TR1</t>
  </si>
  <si>
    <t>Table_SourceData_DataQuality_SpatialRepresentativeness</t>
  </si>
  <si>
    <t>Data covers specific entity location(s) with spatial partitioning or using stratified sampling within property </t>
  </si>
  <si>
    <t>SR5</t>
  </si>
  <si>
    <t>Data covers specific entity location(s) without spatial partitioning within property  </t>
  </si>
  <si>
    <t>SR4</t>
  </si>
  <si>
    <t>Data based on regional data from a government or industry database or survey </t>
  </si>
  <si>
    <t>SR3</t>
  </si>
  <si>
    <t>Data based on state data from a government or industry database or survey </t>
  </si>
  <si>
    <t>SR2</t>
  </si>
  <si>
    <t>Data based on national data from a government or industry database or survey </t>
  </si>
  <si>
    <t>SR1</t>
  </si>
  <si>
    <t>Table_SourceData_DataQuality_SampleSize</t>
  </si>
  <si>
    <t>Data based on sample size of &gt;90% (e.g. total annual fuel purchases) </t>
  </si>
  <si>
    <t>SS5</t>
  </si>
  <si>
    <t>Data based on sample size of 51-90%  </t>
  </si>
  <si>
    <t>SS4</t>
  </si>
  <si>
    <t>Data based on sample size of 21-50%  </t>
  </si>
  <si>
    <t>SS3</t>
  </si>
  <si>
    <t>Data based on sample size of &lt;20% (e.g. liveweight measured for 10% of herd) </t>
  </si>
  <si>
    <t>SS2</t>
  </si>
  <si>
    <t>Unknown (e.g. data based on national/state/regional data source) </t>
  </si>
  <si>
    <t>SS1</t>
  </si>
  <si>
    <t>Table_SourceData_DataQuality_Scope3</t>
  </si>
  <si>
    <t>Verified data provided by supplier consistent with ISO14067:2018 or GHG Protocol Product Lifecycle Accounting and Reporting Standard </t>
  </si>
  <si>
    <t>S35</t>
  </si>
  <si>
    <t>Unverified supplier data, consistent with ISO14067:2018 or GHG Protocol Product Lifecycle Accounting and Reporting Standard, or consistent with these Guidelines (where appropriate)</t>
  </si>
  <si>
    <t>S34</t>
  </si>
  <si>
    <t>Regionally relevant product specific value from database developed using international best practice </t>
  </si>
  <si>
    <t>S33</t>
  </si>
  <si>
    <t>Nationally relevant product specific value from database developed using international best practice   </t>
  </si>
  <si>
    <t>S32</t>
  </si>
  <si>
    <t>Geographically generic product specific value from database developed using international best practice </t>
  </si>
  <si>
    <t>S31</t>
  </si>
  <si>
    <t>Acknowledgements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</si>
</sst>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8">
    <numFmt numFmtId="43" formatCode="_-* #,##0.00_-;\-* #,##0.00_-;_-* &quot;-&quot;??_-;_-@_-"/>
    <numFmt numFmtId="164" formatCode="0.000"/>
    <numFmt numFmtId="165" formatCode="#,##0.000"/>
    <numFmt numFmtId="166" formatCode="d/mm/yyyy;@"/>
    <numFmt numFmtId="167" formatCode="_-* #,##0_-;\-* #,##0_-;_-* &quot;-&quot;??_-;_-@_-"/>
    <numFmt numFmtId="168" formatCode="[$-C09]dd\-mmmm\-yyyy;@"/>
    <numFmt numFmtId="169" formatCode="#,##0.000000"/>
    <numFmt numFmtId="170" formatCode="0.000%"/>
  </numFmts>
  <fonts count="63" x14ac:knownFonts="1">
    <font>
      <sz val="11"/>
      <color theme="1"/>
      <name val="Times New Roman"/>
      <family val="2"/>
      <scheme val="minor"/>
    </font>
    <font>
      <i/>
      <sz val="12"/>
      <color theme="1" tint="0.499984740745262"/>
      <name val="Times New Roman"/>
      <family val="1"/>
    </font>
    <font>
      <sz val="12"/>
      <color theme="1" tint="0.14999847407452621"/>
      <name val="Times New Roman"/>
      <family val="1"/>
    </font>
    <font>
      <b/>
      <sz val="12"/>
      <color theme="1" tint="0.14999847407452621"/>
      <name val="Times New Roman"/>
      <family val="1"/>
    </font>
    <font>
      <b/>
      <sz val="20"/>
      <color rgb="FF183C1B"/>
      <name val="Times New Roman"/>
      <family val="1"/>
    </font>
    <font>
      <b/>
      <sz val="11"/>
      <color rgb="FF183C1B"/>
      <name val="Times New Roman"/>
      <family val="1"/>
    </font>
    <font>
      <i/>
      <sz val="12"/>
      <color theme="1" tint="0.34998626667073579"/>
      <name val="Times New Roman"/>
      <family val="1"/>
    </font>
    <font>
      <sz val="12"/>
      <color theme="1" tint="0.34998626667073579"/>
      <name val="Times New Roman"/>
      <family val="1"/>
    </font>
    <font>
      <sz val="12"/>
      <color theme="1" tint="0.14996795556505021"/>
      <name val="Times New Roman"/>
      <family val="1"/>
    </font>
    <font>
      <i/>
      <sz val="10"/>
      <color theme="1" tint="0.34998626667073579"/>
      <name val="Times New Roman"/>
      <family val="1"/>
    </font>
    <font>
      <sz val="11"/>
      <color theme="1"/>
      <name val="Times New Roman"/>
      <family val="2"/>
      <scheme val="minor"/>
    </font>
    <font>
      <b/>
      <sz val="20"/>
      <color rgb="FFCC6600"/>
      <name val="Times New Roman"/>
      <family val="1"/>
    </font>
    <font>
      <i/>
      <sz val="12"/>
      <color rgb="FFCC6600"/>
      <name val="Times New Roman"/>
      <family val="1"/>
    </font>
    <font>
      <b/>
      <sz val="11"/>
      <color rgb="FF533001"/>
      <name val="Times New Roman"/>
      <family val="1"/>
    </font>
    <font>
      <i/>
      <strike/>
      <sz val="12"/>
      <color theme="1" tint="0.499984740745262"/>
      <name val="Times New Roman"/>
      <family val="1"/>
    </font>
    <font>
      <b/>
      <i/>
      <strike/>
      <sz val="12"/>
      <color theme="1" tint="0.499984740745262"/>
      <name val="Times New Roman"/>
      <family val="1"/>
    </font>
    <font>
      <sz val="9"/>
      <color theme="1" tint="0.499984740745262"/>
      <name val="Courier New"/>
      <family val="3"/>
    </font>
    <font>
      <b/>
      <sz val="16"/>
      <color theme="0"/>
      <name val="Times New Roman"/>
      <family val="1"/>
    </font>
    <font>
      <u/>
      <sz val="11"/>
      <color theme="10"/>
      <name val="Times New Roman"/>
      <family val="2"/>
      <scheme val="minor"/>
    </font>
    <font>
      <sz val="9"/>
      <color theme="1" tint="0.249977111117893"/>
      <name val="Times New Roman"/>
      <family val="1"/>
    </font>
    <font>
      <sz val="9"/>
      <color rgb="FF008000"/>
      <name val="Times New Roman"/>
      <family val="1"/>
    </font>
    <font>
      <sz val="9"/>
      <color rgb="FFCC6600"/>
      <name val="Times New Roman"/>
      <family val="1"/>
    </font>
    <font>
      <sz val="12"/>
      <color theme="0"/>
      <name val="Times New Roman"/>
      <family val="1"/>
    </font>
    <font>
      <sz val="8"/>
      <name val="Times New Roman"/>
      <family val="2"/>
      <scheme val="minor"/>
    </font>
    <font>
      <sz val="11"/>
      <color theme="1" tint="0.499984740745262"/>
      <name val="Times New Roman"/>
      <family val="1"/>
    </font>
    <font>
      <sz val="11"/>
      <color theme="1"/>
      <name val="Times New Roman"/>
      <family val="1"/>
    </font>
    <font>
      <sz val="12"/>
      <color theme="1"/>
      <name val="Times New Roman"/>
      <family val="1"/>
    </font>
    <font>
      <b/>
      <sz val="12"/>
      <color theme="1"/>
      <name val="Times New Roman"/>
      <family val="1"/>
    </font>
    <font>
      <b/>
      <sz val="11"/>
      <color theme="1" tint="0.249977111117893"/>
      <name val="Times New Roman"/>
      <family val="1"/>
    </font>
    <font>
      <sz val="12"/>
      <color theme="1" tint="0.249977111117893"/>
      <name val="Times New Roman"/>
      <family val="1"/>
    </font>
    <font>
      <b/>
      <sz val="12"/>
      <color theme="1" tint="0.249977111117893"/>
      <name val="Times New Roman"/>
      <family val="1"/>
    </font>
    <font>
      <b/>
      <sz val="11"/>
      <color theme="1"/>
      <name val="Times New Roman"/>
      <family val="1"/>
      <scheme val="minor"/>
    </font>
    <font>
      <b/>
      <sz val="14"/>
      <color theme="1"/>
      <name val="Times New Roman"/>
      <family val="1"/>
      <scheme val="minor"/>
    </font>
    <font>
      <sz val="11"/>
      <color rgb="FF242424"/>
      <name val="Consolas"/>
      <family val="3"/>
    </font>
    <font>
      <sz val="12"/>
      <color theme="0" tint="-4.9989318521683403E-2"/>
      <name val="Times New Roman"/>
      <family val="1"/>
    </font>
    <font>
      <sz val="10"/>
      <color theme="1" tint="0.34998626667073579"/>
      <name val="Times New Roman"/>
      <family val="1"/>
    </font>
    <font>
      <sz val="10"/>
      <name val="Arial"/>
      <family val="2"/>
    </font>
    <font>
      <sz val="18"/>
      <color theme="1" tint="0.14996795556505021"/>
      <name val="Times New Roman"/>
      <family val="1"/>
    </font>
    <font>
      <sz val="10"/>
      <color theme="1" tint="0.34998626667073579"/>
      <name val="Times New Roman"/>
      <family val="2"/>
      <scheme val="minor"/>
    </font>
    <font>
      <sz val="12"/>
      <color theme="1" tint="0.24994659260841701"/>
      <name val="Times New Roman"/>
      <family val="1"/>
    </font>
    <font>
      <b/>
      <vertAlign val="subscript"/>
      <sz val="11"/>
      <color rgb="FF183C1B"/>
      <name val="Times New Roman"/>
      <family val="1"/>
    </font>
    <font>
      <b/>
      <sz val="12"/>
      <color theme="1" tint="0.24994659260841701"/>
      <name val="Times New Roman"/>
      <family val="1"/>
    </font>
    <font>
      <sz val="12"/>
      <color rgb="FFC44340"/>
      <name val="Times New Roman"/>
      <family val="1"/>
    </font>
    <font>
      <sz val="12"/>
      <color rgb="FF008000"/>
      <name val="Times New Roman"/>
      <family val="1"/>
    </font>
    <font>
      <sz val="12"/>
      <color rgb="FF0070C0"/>
      <name val="Times New Roman"/>
      <family val="1"/>
    </font>
    <font>
      <b/>
      <sz val="12"/>
      <color rgb="FF0070C0"/>
      <name val="Times New Roman"/>
      <family val="1"/>
    </font>
    <font>
      <b/>
      <sz val="12"/>
      <color theme="0"/>
      <name val="Times New Roman"/>
      <family val="1"/>
    </font>
    <font>
      <b/>
      <sz val="12"/>
      <color theme="0" tint="-0.499984740745262"/>
      <name val="Times New Roman"/>
      <family val="1"/>
    </font>
    <font>
      <sz val="10"/>
      <color theme="0" tint="-0.499984740745262"/>
      <name val="Times New Roman"/>
      <family val="1"/>
    </font>
    <font>
      <b/>
      <sz val="16"/>
      <color theme="1" tint="0.24994659260841701"/>
      <name val="Times New Roman"/>
      <family val="1"/>
    </font>
    <font>
      <sz val="16"/>
      <color theme="1" tint="0.24994659260841701"/>
      <name val="Times New Roman"/>
      <family val="1"/>
    </font>
    <font>
      <i/>
      <sz val="16"/>
      <color theme="1" tint="0.34998626667073579"/>
      <name val="Times New Roman"/>
      <family val="1"/>
    </font>
    <font>
      <vertAlign val="subscript"/>
      <sz val="12"/>
      <color theme="1" tint="0.24994659260841701"/>
      <name val="Times New Roman"/>
      <family val="1"/>
    </font>
    <font>
      <sz val="14"/>
      <color theme="1" tint="0.34998626667073579"/>
      <name val="Times New Roman"/>
      <family val="1"/>
    </font>
    <font>
      <b/>
      <sz val="12"/>
      <color rgb="FFCC6600"/>
      <name val="Times New Roman"/>
      <family val="1"/>
    </font>
    <font>
      <b/>
      <vertAlign val="subscript"/>
      <sz val="16"/>
      <color theme="1" tint="0.24994659260841701"/>
      <name val="Times New Roman"/>
      <family val="1"/>
    </font>
    <font>
      <b/>
      <sz val="20"/>
      <color theme="4" tint="-0.249977111117893"/>
      <name val="Times New Roman"/>
      <family val="1"/>
    </font>
    <font>
      <u/>
      <sz val="10"/>
      <color theme="1" tint="0.34998626667073579"/>
      <name val="Times New Roman"/>
      <family val="1"/>
    </font>
    <font>
      <i/>
      <sz val="10"/>
      <color theme="6" tint="-0.499984740745262"/>
      <name val="Times New Roman"/>
      <family val="1"/>
    </font>
    <font>
      <i/>
      <sz val="10"/>
      <color theme="5" tint="-0.499984740745262"/>
      <name val="Times New Roman"/>
      <family val="1"/>
    </font>
    <font>
      <b/>
      <sz val="14"/>
      <color theme="1" tint="0.24994659260841701"/>
      <name val="Times New Roman"/>
      <family val="1"/>
    </font>
    <font>
      <b/>
      <vertAlign val="subscript"/>
      <sz val="14"/>
      <color theme="1" tint="0.24994659260841701"/>
      <name val="Times New Roman"/>
      <family val="1"/>
    </font>
    <font>
      <sz val="9"/>
      <color rgb="FF404040"/>
      <name val="Times New Roman"/>
      <family val="1"/>
    </font>
  </fonts>
  <fills count="17">
    <fill>
      <patternFill patternType="none"/>
    </fill>
    <fill>
      <patternFill patternType="gray125"/>
    </fill>
    <fill>
      <patternFill patternType="solid">
        <fgColor rgb="FFB2D498"/>
        <bgColor indexed="64"/>
      </patternFill>
    </fill>
    <fill>
      <patternFill patternType="solid">
        <fgColor rgb="FF183C1B"/>
        <bgColor indexed="64"/>
      </patternFill>
    </fill>
    <fill>
      <patternFill patternType="solid">
        <fgColor theme="0" tint="-4.9989318521683403E-2"/>
        <bgColor indexed="64"/>
      </patternFill>
    </fill>
    <fill>
      <patternFill patternType="solid">
        <fgColor rgb="FFCC6600"/>
        <bgColor indexed="64"/>
      </patternFill>
    </fill>
    <fill>
      <patternFill patternType="solid">
        <fgColor rgb="FFFFCC66"/>
        <bgColor indexed="64"/>
      </patternFill>
    </fill>
    <fill>
      <patternFill patternType="solid">
        <fgColor rgb="FF533001"/>
        <bgColor indexed="64"/>
      </patternFill>
    </fill>
    <fill>
      <patternFill patternType="solid">
        <fgColor rgb="FF008000"/>
        <bgColor indexed="64"/>
      </patternFill>
    </fill>
    <fill>
      <patternFill patternType="solid">
        <fgColor theme="0"/>
        <bgColor indexed="64"/>
      </patternFill>
    </fill>
    <fill>
      <patternFill patternType="solid">
        <fgColor theme="1" tint="0.499984740745262"/>
        <bgColor indexed="64"/>
      </patternFill>
    </fill>
    <fill>
      <patternFill patternType="solid">
        <fgColor theme="4" tint="-0.249977111117893"/>
        <bgColor indexed="64"/>
      </patternFill>
    </fill>
    <fill>
      <gradientFill degree="90">
        <stop position="0">
          <color theme="0"/>
        </stop>
        <stop position="1">
          <color theme="0" tint="-5.0965910824915313E-2"/>
        </stop>
      </gradientFill>
    </fill>
    <fill>
      <patternFill patternType="solid">
        <fgColor theme="3" tint="0.89996032593768116"/>
        <bgColor indexed="64"/>
      </patternFill>
    </fill>
    <fill>
      <patternFill patternType="solid">
        <fgColor rgb="FFFFFF00"/>
        <bgColor indexed="64"/>
      </patternFill>
    </fill>
    <fill>
      <patternFill patternType="solid">
        <fgColor rgb="FFDCECD0"/>
        <bgColor indexed="64"/>
      </patternFill>
    </fill>
    <fill>
      <patternFill patternType="solid">
        <fgColor theme="9" tint="0.59999389629810485"/>
        <bgColor indexed="64"/>
      </patternFill>
    </fill>
  </fills>
  <borders count="20">
    <border>
      <left/>
      <right/>
      <top/>
      <bottom/>
      <diagonal/>
    </border>
    <border>
      <left/>
      <right/>
      <top style="thin">
        <color indexed="64"/>
      </top>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right/>
      <top style="thin">
        <color theme="1" tint="0.249977111117893"/>
      </top>
      <bottom/>
      <diagonal/>
    </border>
    <border>
      <left/>
      <right/>
      <top style="thin">
        <color theme="1" tint="0.499984740745262"/>
      </top>
      <bottom/>
      <diagonal/>
    </border>
    <border>
      <left/>
      <right/>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top style="thin">
        <color theme="0" tint="-0.34998626667073579"/>
      </top>
      <bottom style="thin">
        <color theme="0" tint="-0.34998626667073579"/>
      </bottom>
      <diagonal/>
    </border>
    <border>
      <left style="thin">
        <color theme="3" tint="0.749961851863155"/>
      </left>
      <right style="thin">
        <color theme="3" tint="0.749961851863155"/>
      </right>
      <top style="thin">
        <color theme="3" tint="0.749961851863155"/>
      </top>
      <bottom style="thin">
        <color theme="3" tint="0.749961851863155"/>
      </bottom>
      <diagonal/>
    </border>
    <border>
      <left style="thin">
        <color theme="3" tint="0.749961851863155"/>
      </left>
      <right/>
      <top style="thin">
        <color theme="3" tint="0.749961851863155"/>
      </top>
      <bottom/>
      <diagonal/>
    </border>
    <border>
      <left/>
      <right style="thin">
        <color theme="3" tint="0.749961851863155"/>
      </right>
      <top style="thin">
        <color theme="3" tint="0.749961851863155"/>
      </top>
      <bottom/>
      <diagonal/>
    </border>
    <border>
      <left style="thin">
        <color theme="3" tint="0.749961851863155"/>
      </left>
      <right/>
      <top/>
      <bottom style="thin">
        <color theme="3" tint="0.749961851863155"/>
      </bottom>
      <diagonal/>
    </border>
    <border>
      <left/>
      <right style="thin">
        <color theme="3" tint="0.749961851863155"/>
      </right>
      <top/>
      <bottom style="thin">
        <color theme="3" tint="0.749961851863155"/>
      </bottom>
      <diagonal/>
    </border>
    <border>
      <left/>
      <right/>
      <top/>
      <bottom style="thin">
        <color theme="3" tint="0.749961851863155"/>
      </bottom>
      <diagonal/>
    </border>
    <border>
      <left/>
      <right style="thin">
        <color theme="3" tint="0.749961851863155"/>
      </right>
      <top style="thin">
        <color theme="3" tint="0.749961851863155"/>
      </top>
      <bottom style="thin">
        <color theme="3" tint="0.749961851863155"/>
      </bottom>
      <diagonal/>
    </border>
    <border>
      <left/>
      <right/>
      <top style="thin">
        <color theme="3" tint="0.749961851863155"/>
      </top>
      <bottom/>
      <diagonal/>
    </border>
    <border>
      <left style="thin">
        <color theme="3" tint="0.749961851863155"/>
      </left>
      <right/>
      <top style="thin">
        <color theme="3" tint="0.749961851863155"/>
      </top>
      <bottom style="thin">
        <color theme="3" tint="0.749961851863155"/>
      </bottom>
      <diagonal/>
    </border>
    <border>
      <left/>
      <right/>
      <top style="thin">
        <color theme="3" tint="0.749961851863155"/>
      </top>
      <bottom style="thin">
        <color theme="0" tint="-0.34998626667073579"/>
      </bottom>
      <diagonal/>
    </border>
    <border>
      <left/>
      <right/>
      <top style="thin">
        <color theme="3" tint="0.749961851863155"/>
      </top>
      <bottom style="thin">
        <color theme="3" tint="0.749961851863155"/>
      </bottom>
      <diagonal/>
    </border>
    <border>
      <left/>
      <right/>
      <top style="thin">
        <color theme="0" tint="-0.34998626667073579"/>
      </top>
      <bottom style="thin">
        <color theme="0" tint="-0.34998626667073579"/>
      </bottom>
      <diagonal/>
    </border>
  </borders>
  <cellStyleXfs count="69">
    <xf numFmtId="0" fontId="0" fillId="0" borderId="0"/>
    <xf numFmtId="0" fontId="5" fillId="2" borderId="0">
      <alignment horizontal="left" vertical="center" indent="1"/>
      <protection locked="0"/>
    </xf>
    <xf numFmtId="0" fontId="4" fillId="0" borderId="0"/>
    <xf numFmtId="0" fontId="1" fillId="0" borderId="0">
      <alignment vertical="center"/>
    </xf>
    <xf numFmtId="0" fontId="17" fillId="3" borderId="0">
      <alignment vertical="center"/>
    </xf>
    <xf numFmtId="0" fontId="37" fillId="4" borderId="0">
      <alignment horizontal="left" vertical="center"/>
    </xf>
    <xf numFmtId="0" fontId="43" fillId="4" borderId="0">
      <alignment vertical="center"/>
    </xf>
    <xf numFmtId="0" fontId="3" fillId="4" borderId="0">
      <alignment horizontal="left" vertical="center"/>
    </xf>
    <xf numFmtId="0" fontId="39" fillId="4" borderId="0">
      <alignment horizontal="left" vertical="center"/>
    </xf>
    <xf numFmtId="0" fontId="5" fillId="2" borderId="0">
      <alignment horizontal="center" vertical="center"/>
    </xf>
    <xf numFmtId="164" fontId="8" fillId="4" borderId="0">
      <alignment horizontal="center" vertical="center"/>
    </xf>
    <xf numFmtId="9" fontId="8" fillId="4" borderId="0">
      <alignment horizontal="center" vertical="center"/>
    </xf>
    <xf numFmtId="0" fontId="6" fillId="4" borderId="0">
      <alignment horizontal="left" vertical="center" indent="1"/>
    </xf>
    <xf numFmtId="0" fontId="7" fillId="4" borderId="0">
      <alignment horizontal="right" vertical="center"/>
    </xf>
    <xf numFmtId="9" fontId="10" fillId="0" borderId="0" applyFont="0" applyFill="0" applyBorder="0" applyAlignment="0" applyProtection="0"/>
    <xf numFmtId="0" fontId="2" fillId="0" borderId="2">
      <alignment horizontal="center" vertical="center"/>
    </xf>
    <xf numFmtId="0" fontId="3" fillId="12" borderId="2">
      <alignment horizontal="center" vertical="center"/>
    </xf>
    <xf numFmtId="9" fontId="2" fillId="0" borderId="2">
      <alignment horizontal="center" vertical="center"/>
    </xf>
    <xf numFmtId="4" fontId="2" fillId="0" borderId="2">
      <alignment horizontal="center" vertical="center"/>
    </xf>
    <xf numFmtId="3" fontId="2" fillId="0" borderId="2">
      <alignment horizontal="center" vertical="center"/>
    </xf>
    <xf numFmtId="0" fontId="14" fillId="0" borderId="2">
      <alignment horizontal="center" vertical="center"/>
    </xf>
    <xf numFmtId="0" fontId="15" fillId="0" borderId="2">
      <alignment horizontal="center" vertical="center"/>
    </xf>
    <xf numFmtId="9" fontId="14" fillId="0" borderId="2">
      <alignment horizontal="center" vertical="center"/>
    </xf>
    <xf numFmtId="165" fontId="14" fillId="0" borderId="2">
      <alignment horizontal="center" vertical="center"/>
    </xf>
    <xf numFmtId="3" fontId="14" fillId="0" borderId="2">
      <alignment horizontal="center" vertical="center"/>
    </xf>
    <xf numFmtId="0" fontId="16" fillId="4" borderId="0">
      <alignment horizontal="left" vertical="center"/>
    </xf>
    <xf numFmtId="0" fontId="6" fillId="4" borderId="4">
      <alignment horizontal="left" vertical="center" indent="1"/>
    </xf>
    <xf numFmtId="164" fontId="8" fillId="4" borderId="4">
      <alignment horizontal="center" vertical="center"/>
    </xf>
    <xf numFmtId="0" fontId="3" fillId="4" borderId="4">
      <alignment horizontal="left" vertical="center"/>
    </xf>
    <xf numFmtId="0" fontId="13" fillId="6" borderId="0">
      <alignment horizontal="left" vertical="center" indent="1"/>
    </xf>
    <xf numFmtId="0" fontId="13" fillId="6" borderId="0">
      <alignment horizontal="center" vertical="center"/>
      <protection locked="0"/>
    </xf>
    <xf numFmtId="0" fontId="12" fillId="4" borderId="0">
      <alignment vertical="center"/>
    </xf>
    <xf numFmtId="0" fontId="17" fillId="7" borderId="0">
      <alignment vertical="center"/>
    </xf>
    <xf numFmtId="0" fontId="11" fillId="0" borderId="0"/>
    <xf numFmtId="0" fontId="18" fillId="0" borderId="0" applyNumberFormat="0" applyFill="0" applyBorder="0" applyAlignment="0" applyProtection="0"/>
    <xf numFmtId="0" fontId="2" fillId="0" borderId="0">
      <alignment horizontal="left" vertical="center" indent="1"/>
    </xf>
    <xf numFmtId="0" fontId="19" fillId="9" borderId="5">
      <alignment horizontal="left" vertical="center" indent="1"/>
    </xf>
    <xf numFmtId="0" fontId="22" fillId="10" borderId="0">
      <alignment horizontal="left" vertical="center" indent="1"/>
    </xf>
    <xf numFmtId="0" fontId="22" fillId="5" borderId="0">
      <alignment horizontal="left" vertical="center" indent="1"/>
    </xf>
    <xf numFmtId="0" fontId="22" fillId="8" borderId="0">
      <alignment horizontal="left" vertical="center" indent="1"/>
    </xf>
    <xf numFmtId="0" fontId="24" fillId="0" borderId="0">
      <alignment horizontal="left" vertical="center" indent="2"/>
    </xf>
    <xf numFmtId="0" fontId="44" fillId="13" borderId="8">
      <alignment horizontal="left" vertical="center"/>
    </xf>
    <xf numFmtId="43" fontId="10" fillId="0" borderId="0" applyFont="0" applyFill="0" applyBorder="0" applyAlignment="0" applyProtection="0"/>
    <xf numFmtId="3" fontId="35" fillId="4" borderId="2">
      <alignment horizontal="center" vertical="center"/>
    </xf>
    <xf numFmtId="168" fontId="2" fillId="0" borderId="2">
      <alignment horizontal="center" vertical="center"/>
    </xf>
    <xf numFmtId="0" fontId="36" fillId="0" borderId="0"/>
    <xf numFmtId="0" fontId="10" fillId="0" borderId="0"/>
    <xf numFmtId="0" fontId="36" fillId="0" borderId="0"/>
    <xf numFmtId="166" fontId="35" fillId="4" borderId="2">
      <alignment horizontal="center" vertical="center"/>
    </xf>
    <xf numFmtId="4" fontId="35" fillId="4" borderId="2">
      <alignment horizontal="center" vertical="center"/>
    </xf>
    <xf numFmtId="0" fontId="53" fillId="4" borderId="0">
      <alignment horizontal="left" vertical="center"/>
    </xf>
    <xf numFmtId="0" fontId="38" fillId="4" borderId="0" applyNumberFormat="0">
      <alignment horizontal="center" vertical="center"/>
    </xf>
    <xf numFmtId="165" fontId="35" fillId="4" borderId="2">
      <alignment horizontal="center" vertical="center"/>
    </xf>
    <xf numFmtId="0" fontId="34" fillId="4" borderId="0">
      <alignment horizontal="left" vertical="center"/>
    </xf>
    <xf numFmtId="169" fontId="35" fillId="4" borderId="2">
      <alignment horizontal="center" vertical="center"/>
    </xf>
    <xf numFmtId="0" fontId="35" fillId="4" borderId="2">
      <alignment horizontal="center" vertical="center"/>
    </xf>
    <xf numFmtId="0" fontId="6" fillId="4" borderId="0">
      <alignment horizontal="left" vertical="center"/>
    </xf>
    <xf numFmtId="0" fontId="42" fillId="4" borderId="0">
      <alignment horizontal="left" vertical="center"/>
    </xf>
    <xf numFmtId="0" fontId="10" fillId="0" borderId="0"/>
    <xf numFmtId="0" fontId="2" fillId="0" borderId="2">
      <alignment horizontal="center" vertical="center"/>
    </xf>
    <xf numFmtId="0" fontId="47" fillId="4" borderId="0">
      <alignment horizontal="left" vertical="center"/>
    </xf>
    <xf numFmtId="0" fontId="48" fillId="4" borderId="0">
      <alignment horizontal="left" vertical="center"/>
    </xf>
    <xf numFmtId="0" fontId="54" fillId="4" borderId="0">
      <alignment horizontal="left" vertical="center"/>
    </xf>
    <xf numFmtId="0" fontId="46" fillId="11" borderId="0">
      <alignment horizontal="center" vertical="center"/>
    </xf>
    <xf numFmtId="0" fontId="22" fillId="11" borderId="0">
      <alignment horizontal="left" vertical="center" indent="1"/>
    </xf>
    <xf numFmtId="0" fontId="57" fillId="4" borderId="2">
      <alignment horizontal="left" vertical="center"/>
    </xf>
    <xf numFmtId="0" fontId="35" fillId="4" borderId="2">
      <alignment horizontal="left" vertical="center"/>
    </xf>
    <xf numFmtId="0" fontId="58" fillId="15" borderId="2">
      <alignment horizontal="center" vertical="center"/>
    </xf>
    <xf numFmtId="0" fontId="59" fillId="16" borderId="2">
      <alignment horizontal="center" vertical="center"/>
    </xf>
  </cellStyleXfs>
  <cellXfs count="122">
    <xf numFmtId="0" fontId="0" fillId="0" borderId="0" xfId="0"/>
    <xf numFmtId="0" fontId="39" fillId="4" borderId="0" xfId="8">
      <alignment horizontal="left" vertical="center"/>
    </xf>
    <xf numFmtId="0" fontId="6" fillId="4" borderId="0" xfId="12">
      <alignment horizontal="left" vertical="center" indent="1"/>
    </xf>
    <xf numFmtId="0" fontId="3" fillId="4" borderId="0" xfId="7">
      <alignment horizontal="left" vertical="center"/>
    </xf>
    <xf numFmtId="0" fontId="17" fillId="3" borderId="0" xfId="4">
      <alignment vertical="center"/>
    </xf>
    <xf numFmtId="0" fontId="43" fillId="4" borderId="0" xfId="6">
      <alignment vertical="center"/>
    </xf>
    <xf numFmtId="0" fontId="37" fillId="4" borderId="0" xfId="5">
      <alignment horizontal="left" vertical="center"/>
    </xf>
    <xf numFmtId="0" fontId="3" fillId="0" borderId="0" xfId="7" applyFill="1">
      <alignment horizontal="left" vertical="center"/>
    </xf>
    <xf numFmtId="0" fontId="4" fillId="0" borderId="0" xfId="2"/>
    <xf numFmtId="0" fontId="1" fillId="0" borderId="0" xfId="3">
      <alignment vertical="center"/>
    </xf>
    <xf numFmtId="0" fontId="2" fillId="4" borderId="0" xfId="7" applyFont="1">
      <alignment horizontal="left" vertical="center"/>
    </xf>
    <xf numFmtId="0" fontId="17" fillId="0" borderId="0" xfId="4" applyFill="1">
      <alignment vertical="center"/>
    </xf>
    <xf numFmtId="0" fontId="11" fillId="0" borderId="0" xfId="2" applyFont="1"/>
    <xf numFmtId="0" fontId="16" fillId="4" borderId="0" xfId="25">
      <alignment horizontal="left" vertical="center"/>
    </xf>
    <xf numFmtId="0" fontId="12" fillId="4" borderId="0" xfId="31">
      <alignment vertical="center"/>
    </xf>
    <xf numFmtId="0" fontId="17" fillId="7" borderId="0" xfId="32">
      <alignment vertical="center"/>
    </xf>
    <xf numFmtId="0" fontId="2" fillId="9" borderId="0" xfId="7" applyFont="1" applyFill="1" applyAlignment="1">
      <alignment horizontal="left" vertical="center" indent="1"/>
    </xf>
    <xf numFmtId="0" fontId="2" fillId="0" borderId="0" xfId="35">
      <alignment horizontal="left" vertical="center" indent="1"/>
    </xf>
    <xf numFmtId="0" fontId="20" fillId="9" borderId="5" xfId="36" applyFont="1">
      <alignment horizontal="left" vertical="center" indent="1"/>
    </xf>
    <xf numFmtId="0" fontId="21" fillId="9" borderId="5" xfId="36" applyFont="1">
      <alignment horizontal="left" vertical="center" indent="1"/>
    </xf>
    <xf numFmtId="0" fontId="44" fillId="13" borderId="8" xfId="41">
      <alignment horizontal="left" vertical="center"/>
    </xf>
    <xf numFmtId="0" fontId="0" fillId="4" borderId="0" xfId="0" applyFill="1"/>
    <xf numFmtId="2" fontId="32" fillId="4" borderId="1" xfId="0" applyNumberFormat="1" applyFont="1" applyFill="1" applyBorder="1"/>
    <xf numFmtId="2" fontId="0" fillId="4" borderId="0" xfId="0" applyNumberFormat="1" applyFill="1" applyAlignment="1">
      <alignment vertical="center"/>
    </xf>
    <xf numFmtId="0" fontId="17" fillId="4" borderId="0" xfId="4" applyFill="1">
      <alignment vertical="center"/>
    </xf>
    <xf numFmtId="0" fontId="31" fillId="4" borderId="0" xfId="0" applyFont="1" applyFill="1"/>
    <xf numFmtId="2" fontId="32" fillId="4" borderId="0" xfId="0" applyNumberFormat="1" applyFont="1" applyFill="1"/>
    <xf numFmtId="0" fontId="6" fillId="4" borderId="0" xfId="12" applyAlignment="1">
      <alignment horizontal="left" indent="1"/>
    </xf>
    <xf numFmtId="0" fontId="32" fillId="4" borderId="1" xfId="0" applyFont="1" applyFill="1" applyBorder="1"/>
    <xf numFmtId="0" fontId="39" fillId="4" borderId="0" xfId="8" applyAlignment="1">
      <alignment horizontal="right" vertical="center"/>
    </xf>
    <xf numFmtId="4" fontId="2" fillId="4" borderId="0" xfId="18" applyFill="1" applyBorder="1">
      <alignment horizontal="center" vertical="center"/>
    </xf>
    <xf numFmtId="0" fontId="2" fillId="0" borderId="2" xfId="15">
      <alignment horizontal="center" vertical="center"/>
    </xf>
    <xf numFmtId="0" fontId="29" fillId="4" borderId="0" xfId="7" applyFont="1" applyAlignment="1">
      <alignment horizontal="center" vertical="center"/>
    </xf>
    <xf numFmtId="166" fontId="29" fillId="4" borderId="0" xfId="7" applyNumberFormat="1" applyFont="1" applyAlignment="1">
      <alignment horizontal="center" vertical="center"/>
    </xf>
    <xf numFmtId="0" fontId="0" fillId="0" borderId="0" xfId="7" applyFont="1" applyFill="1">
      <alignment horizontal="left" vertical="center"/>
    </xf>
    <xf numFmtId="0" fontId="0" fillId="0" borderId="0" xfId="8" applyFont="1" applyFill="1">
      <alignment horizontal="left" vertical="center"/>
    </xf>
    <xf numFmtId="0" fontId="2" fillId="0" borderId="0" xfId="7" applyFont="1" applyFill="1">
      <alignment horizontal="left" vertical="center"/>
    </xf>
    <xf numFmtId="0" fontId="3" fillId="12" borderId="2" xfId="16">
      <alignment horizontal="center" vertical="center"/>
    </xf>
    <xf numFmtId="0" fontId="37" fillId="0" borderId="0" xfId="5" applyFill="1">
      <alignment horizontal="left" vertical="center"/>
    </xf>
    <xf numFmtId="0" fontId="43" fillId="0" borderId="0" xfId="6" applyFill="1">
      <alignment vertical="center"/>
    </xf>
    <xf numFmtId="0" fontId="39" fillId="0" borderId="0" xfId="8" applyFill="1">
      <alignment horizontal="left" vertical="center"/>
    </xf>
    <xf numFmtId="0" fontId="9" fillId="0" borderId="0" xfId="12" applyFont="1" applyFill="1" applyAlignment="1">
      <alignment horizontal="left" vertical="center"/>
    </xf>
    <xf numFmtId="0" fontId="39" fillId="4" borderId="1" xfId="8" applyBorder="1">
      <alignment horizontal="left" vertical="center"/>
    </xf>
    <xf numFmtId="9" fontId="2" fillId="0" borderId="2" xfId="17">
      <alignment horizontal="center" vertical="center"/>
    </xf>
    <xf numFmtId="4" fontId="26" fillId="0" borderId="0" xfId="18" applyFont="1" applyBorder="1">
      <alignment horizontal="center" vertical="center"/>
    </xf>
    <xf numFmtId="0" fontId="53" fillId="4" borderId="0" xfId="50">
      <alignment horizontal="left" vertical="center"/>
    </xf>
    <xf numFmtId="0" fontId="25" fillId="0" borderId="0" xfId="0" applyFont="1" applyAlignment="1" applyProtection="1">
      <alignment horizontal="center" vertical="center"/>
      <protection locked="0"/>
    </xf>
    <xf numFmtId="0" fontId="26" fillId="0" borderId="0" xfId="0" applyFont="1"/>
    <xf numFmtId="0" fontId="5" fillId="2" borderId="0" xfId="9">
      <alignment horizontal="center" vertical="center"/>
    </xf>
    <xf numFmtId="0" fontId="35" fillId="4" borderId="2" xfId="55">
      <alignment horizontal="center" vertical="center"/>
    </xf>
    <xf numFmtId="0" fontId="41" fillId="4" borderId="0" xfId="8" applyFont="1">
      <alignment horizontal="left" vertical="center"/>
    </xf>
    <xf numFmtId="0" fontId="6" fillId="4" borderId="0" xfId="56">
      <alignment horizontal="left" vertical="center"/>
    </xf>
    <xf numFmtId="0" fontId="42" fillId="4" borderId="0" xfId="57">
      <alignment horizontal="left" vertical="center"/>
    </xf>
    <xf numFmtId="0" fontId="10" fillId="0" borderId="0" xfId="58"/>
    <xf numFmtId="0" fontId="35" fillId="4" borderId="2" xfId="55" applyAlignment="1">
      <alignment horizontal="left" vertical="center"/>
    </xf>
    <xf numFmtId="0" fontId="35" fillId="4" borderId="7" xfId="55" applyBorder="1" applyAlignment="1">
      <alignment horizontal="left" vertical="center"/>
    </xf>
    <xf numFmtId="0" fontId="0" fillId="4" borderId="0" xfId="7" applyFont="1">
      <alignment horizontal="left" vertical="center"/>
    </xf>
    <xf numFmtId="4" fontId="26" fillId="4" borderId="0" xfId="18" applyFont="1" applyFill="1" applyBorder="1">
      <alignment horizontal="center" vertical="center"/>
    </xf>
    <xf numFmtId="9" fontId="26" fillId="4" borderId="0" xfId="14" applyFont="1" applyFill="1" applyBorder="1" applyAlignment="1">
      <alignment horizontal="center" vertical="center"/>
    </xf>
    <xf numFmtId="0" fontId="13" fillId="6" borderId="0" xfId="29">
      <alignment horizontal="left" vertical="center" indent="1"/>
    </xf>
    <xf numFmtId="168" fontId="2" fillId="0" borderId="2" xfId="44">
      <alignment horizontal="center" vertical="center"/>
    </xf>
    <xf numFmtId="0" fontId="2" fillId="0" borderId="2" xfId="59">
      <alignment horizontal="center" vertical="center"/>
    </xf>
    <xf numFmtId="0" fontId="11" fillId="0" borderId="0" xfId="33"/>
    <xf numFmtId="0" fontId="3" fillId="4" borderId="3" xfId="7" applyBorder="1">
      <alignment horizontal="left" vertical="center"/>
    </xf>
    <xf numFmtId="166" fontId="35" fillId="4" borderId="2" xfId="43" applyNumberFormat="1">
      <alignment horizontal="center" vertical="center"/>
    </xf>
    <xf numFmtId="0" fontId="26" fillId="4" borderId="0" xfId="8" applyFont="1" applyAlignment="1">
      <alignment horizontal="center" vertical="center"/>
    </xf>
    <xf numFmtId="166" fontId="26" fillId="4" borderId="0" xfId="8" applyNumberFormat="1" applyFont="1" applyAlignment="1">
      <alignment horizontal="center" vertical="center"/>
    </xf>
    <xf numFmtId="0" fontId="26" fillId="4" borderId="0" xfId="12" applyFont="1" applyAlignment="1">
      <alignment horizontal="center" vertical="center"/>
    </xf>
    <xf numFmtId="0" fontId="27" fillId="4" borderId="0" xfId="0" applyFont="1" applyFill="1" applyAlignment="1">
      <alignment horizontal="center" vertical="center"/>
    </xf>
    <xf numFmtId="0" fontId="27" fillId="4" borderId="0" xfId="0" applyFont="1" applyFill="1"/>
    <xf numFmtId="0" fontId="26" fillId="4" borderId="0" xfId="0" applyFont="1" applyFill="1"/>
    <xf numFmtId="0" fontId="28" fillId="4" borderId="0" xfId="7" applyFont="1" applyAlignment="1">
      <alignment horizontal="center" vertical="center"/>
    </xf>
    <xf numFmtId="0" fontId="29" fillId="4" borderId="0" xfId="0" applyFont="1" applyFill="1" applyAlignment="1">
      <alignment horizontal="center" vertical="center"/>
    </xf>
    <xf numFmtId="0" fontId="30" fillId="4" borderId="0" xfId="0" applyFont="1" applyFill="1" applyAlignment="1">
      <alignment horizontal="center" vertical="center"/>
    </xf>
    <xf numFmtId="0" fontId="30" fillId="4" borderId="0" xfId="0" applyFont="1" applyFill="1" applyAlignment="1">
      <alignment horizontal="left" vertical="center"/>
    </xf>
    <xf numFmtId="14" fontId="3" fillId="4" borderId="0" xfId="7" applyNumberFormat="1">
      <alignment horizontal="left" vertical="center"/>
    </xf>
    <xf numFmtId="0" fontId="18" fillId="4" borderId="0" xfId="34" applyFill="1" applyBorder="1"/>
    <xf numFmtId="166" fontId="2" fillId="4" borderId="0" xfId="19" applyNumberFormat="1" applyFill="1" applyBorder="1">
      <alignment horizontal="center" vertical="center"/>
    </xf>
    <xf numFmtId="167" fontId="3" fillId="4" borderId="0" xfId="42" applyNumberFormat="1" applyFont="1" applyFill="1" applyBorder="1" applyAlignment="1">
      <alignment horizontal="center" vertical="center"/>
    </xf>
    <xf numFmtId="0" fontId="33" fillId="4" borderId="0" xfId="0" applyFont="1" applyFill="1"/>
    <xf numFmtId="0" fontId="44" fillId="13" borderId="10" xfId="41" applyBorder="1">
      <alignment horizontal="left" vertical="center"/>
    </xf>
    <xf numFmtId="0" fontId="44" fillId="13" borderId="12" xfId="41" applyBorder="1">
      <alignment horizontal="left" vertical="center"/>
    </xf>
    <xf numFmtId="0" fontId="44" fillId="13" borderId="14" xfId="41" applyBorder="1">
      <alignment horizontal="left" vertical="center"/>
    </xf>
    <xf numFmtId="0" fontId="44" fillId="13" borderId="13" xfId="41" applyBorder="1">
      <alignment horizontal="left" vertical="center"/>
    </xf>
    <xf numFmtId="0" fontId="44" fillId="13" borderId="15" xfId="41" applyBorder="1">
      <alignment horizontal="left" vertical="center"/>
    </xf>
    <xf numFmtId="0" fontId="44" fillId="13" borderId="17" xfId="41" applyBorder="1">
      <alignment horizontal="left" vertical="center"/>
    </xf>
    <xf numFmtId="0" fontId="44" fillId="13" borderId="11" xfId="41" applyBorder="1">
      <alignment horizontal="left" vertical="center"/>
    </xf>
    <xf numFmtId="0" fontId="44" fillId="13" borderId="16" xfId="41" applyBorder="1">
      <alignment horizontal="left" vertical="center"/>
    </xf>
    <xf numFmtId="0" fontId="44" fillId="13" borderId="18" xfId="41" applyBorder="1">
      <alignment horizontal="left" vertical="center"/>
    </xf>
    <xf numFmtId="0" fontId="45" fillId="13" borderId="9" xfId="41" applyFont="1" applyBorder="1">
      <alignment horizontal="left" vertical="center"/>
    </xf>
    <xf numFmtId="9" fontId="35" fillId="4" borderId="2" xfId="14" applyFont="1" applyFill="1" applyBorder="1" applyAlignment="1">
      <alignment horizontal="center" vertical="center"/>
    </xf>
    <xf numFmtId="0" fontId="48" fillId="4" borderId="0" xfId="61">
      <alignment horizontal="left" vertical="center"/>
    </xf>
    <xf numFmtId="0" fontId="47" fillId="4" borderId="0" xfId="60">
      <alignment horizontal="left" vertical="center"/>
    </xf>
    <xf numFmtId="0" fontId="49" fillId="4" borderId="1" xfId="8" applyFont="1" applyBorder="1">
      <alignment horizontal="left" vertical="center"/>
    </xf>
    <xf numFmtId="0" fontId="50" fillId="4" borderId="1" xfId="8" applyFont="1" applyBorder="1">
      <alignment horizontal="left" vertical="center"/>
    </xf>
    <xf numFmtId="0" fontId="51" fillId="4" borderId="1" xfId="56" applyFont="1" applyBorder="1">
      <alignment horizontal="left" vertical="center"/>
    </xf>
    <xf numFmtId="0" fontId="35" fillId="4" borderId="19" xfId="55" applyBorder="1">
      <alignment horizontal="center" vertical="center"/>
    </xf>
    <xf numFmtId="0" fontId="6" fillId="4" borderId="1" xfId="56" applyBorder="1">
      <alignment horizontal="left" vertical="center"/>
    </xf>
    <xf numFmtId="0" fontId="54" fillId="4" borderId="0" xfId="62">
      <alignment horizontal="left" vertical="center"/>
    </xf>
    <xf numFmtId="0" fontId="39" fillId="14" borderId="0" xfId="8" applyFill="1">
      <alignment horizontal="left" vertical="center"/>
    </xf>
    <xf numFmtId="9" fontId="8" fillId="4" borderId="0" xfId="11">
      <alignment horizontal="center" vertical="center"/>
    </xf>
    <xf numFmtId="164" fontId="8" fillId="4" borderId="0" xfId="10">
      <alignment horizontal="center" vertical="center"/>
    </xf>
    <xf numFmtId="2" fontId="32" fillId="4" borderId="1" xfId="0" applyNumberFormat="1" applyFont="1" applyFill="1" applyBorder="1" applyAlignment="1">
      <alignment horizontal="center"/>
    </xf>
    <xf numFmtId="0" fontId="46" fillId="11" borderId="0" xfId="63">
      <alignment horizontal="center" vertical="center"/>
    </xf>
    <xf numFmtId="0" fontId="56" fillId="0" borderId="0" xfId="2" applyFont="1"/>
    <xf numFmtId="0" fontId="0" fillId="0" borderId="0" xfId="29" applyFont="1" applyFill="1">
      <alignment horizontal="left" vertical="center" indent="1"/>
    </xf>
    <xf numFmtId="170" fontId="35" fillId="4" borderId="2" xfId="14" applyNumberFormat="1" applyFont="1" applyFill="1" applyBorder="1" applyAlignment="1">
      <alignment horizontal="center" vertical="center"/>
    </xf>
    <xf numFmtId="0" fontId="57" fillId="4" borderId="2" xfId="65">
      <alignment horizontal="left" vertical="center"/>
    </xf>
    <xf numFmtId="0" fontId="35" fillId="4" borderId="2" xfId="66">
      <alignment horizontal="left" vertical="center"/>
    </xf>
    <xf numFmtId="0" fontId="58" fillId="15" borderId="2" xfId="67">
      <alignment horizontal="center" vertical="center"/>
    </xf>
    <xf numFmtId="0" fontId="59" fillId="16" borderId="2" xfId="68">
      <alignment horizontal="center" vertical="center"/>
    </xf>
    <xf numFmtId="0" fontId="13" fillId="6" borderId="0" xfId="30">
      <alignment horizontal="center" vertical="center"/>
      <protection locked="0"/>
    </xf>
    <xf numFmtId="0" fontId="35" fillId="4" borderId="6" xfId="66" applyBorder="1">
      <alignment horizontal="left" vertical="center"/>
    </xf>
    <xf numFmtId="0" fontId="35" fillId="4" borderId="7" xfId="66" applyBorder="1">
      <alignment horizontal="left" vertical="center"/>
    </xf>
    <xf numFmtId="0" fontId="35" fillId="4" borderId="19" xfId="66" applyBorder="1">
      <alignment horizontal="left" vertical="center"/>
    </xf>
    <xf numFmtId="0" fontId="22" fillId="5" borderId="0" xfId="38">
      <alignment horizontal="left" vertical="center" indent="1"/>
    </xf>
    <xf numFmtId="0" fontId="22" fillId="11" borderId="0" xfId="64">
      <alignment horizontal="left" vertical="center" indent="1"/>
    </xf>
    <xf numFmtId="0" fontId="22" fillId="8" borderId="0" xfId="39">
      <alignment horizontal="left" vertical="center" indent="1"/>
    </xf>
    <xf numFmtId="0" fontId="22" fillId="10" borderId="0" xfId="37">
      <alignment horizontal="left" vertical="center" indent="1"/>
    </xf>
    <xf numFmtId="0" fontId="60" fillId="4" borderId="0" xfId="8" applyFont="1">
      <alignment horizontal="left" vertical="center"/>
    </xf>
    <xf numFmtId="0" fontId="62" fillId="9" borderId="5" xfId="36" applyFont="1">
      <alignment horizontal="left" vertical="center" indent="1"/>
    </xf>
    <xf numFmtId="0" fontId="18" fillId="0" borderId="0" xfId="34"/>
  </cellXfs>
  <cellStyles count="69">
    <cellStyle name="Alert" xfId="62" xr:uid="{34EFE908-8095-4010-8F93-8CFE88055637}"/>
    <cellStyle name="Arguments" xfId="66" xr:uid="{D74147AB-B374-43DE-928A-C20FDAA7023A}"/>
    <cellStyle name="Arguments hyperlink" xfId="65" xr:uid="{E9A63CA8-EB4E-4FD6-930A-AD1711340AFB}"/>
    <cellStyle name="Block heading" xfId="5" xr:uid="{74527274-3B4A-494A-B37C-EA50686E114C}"/>
    <cellStyle name="Block subheading" xfId="50" xr:uid="{34E62905-A3E0-4883-B81A-BDB58FC88DA7}"/>
    <cellStyle name="Code" xfId="25" xr:uid="{99B3520F-01DD-4F8E-A8D0-24EAA04E90EB}"/>
    <cellStyle name="Comma" xfId="42" builtinId="3"/>
    <cellStyle name="Content bold" xfId="7" xr:uid="{468A1381-682E-4BF1-945B-DF2E2BCA4419}"/>
    <cellStyle name="Content bold total" xfId="28" xr:uid="{17159E75-EF9F-42B8-8195-E83583796F67}"/>
    <cellStyle name="Content hidden" xfId="53" xr:uid="{8E56D08F-467A-4F3D-ADA8-ECA27B2FFCD3}"/>
    <cellStyle name="Content normal" xfId="8" xr:uid="{55F96DE2-2B61-4529-A3B8-2B8B8AA0D350}"/>
    <cellStyle name="Equation column header" xfId="9" xr:uid="{B705D3A4-E195-47DF-A4D1-BA1FDC70C701}"/>
    <cellStyle name="Equation source" xfId="6" xr:uid="{348FC12D-3392-478F-B0B3-D4FA4BBA59E4}"/>
    <cellStyle name="Equation table header" xfId="1" xr:uid="{11780056-D3CA-48D4-90AF-8DF1A50E1B13}"/>
    <cellStyle name="Euqation table row 2" xfId="13" xr:uid="{2CAEAB93-BC87-4606-B5A1-3C2F7B5C52A1}"/>
    <cellStyle name="Hyperlink" xfId="34" builtinId="8"/>
    <cellStyle name="Information tip" xfId="41" xr:uid="{7D200D09-32E3-4546-9822-1B93AD118A74}"/>
    <cellStyle name="Information variation" xfId="57" xr:uid="{205494A3-14DD-4E6A-BDD3-5C5A864D6FA7}"/>
    <cellStyle name="Input block subheading" xfId="31" xr:uid="{A9FEBDB0-0992-4E30-96E5-9F9CAE92E3FB}"/>
    <cellStyle name="Input date" xfId="44" xr:uid="{A1D72D5E-DCF3-445F-8FC0-A147E105D774}"/>
    <cellStyle name="Input date calculated" xfId="48" xr:uid="{5A42AD0E-F665-46A9-9757-6B6A4BE7013E}"/>
    <cellStyle name="Input number 2 decimal places" xfId="18" xr:uid="{F9671E40-5700-4055-A6D2-272CF9DB620E}"/>
    <cellStyle name="Input number 2 decimal places calculated" xfId="49" xr:uid="{C04BA53C-14E1-48A5-99A3-C9FD44741A2A}"/>
    <cellStyle name="Input number 3 decimal places calculated" xfId="52" xr:uid="{637E6039-0A01-48EF-8C15-C29A497EF449}"/>
    <cellStyle name="Input number 3 decimal places disabled" xfId="23" xr:uid="{6B1B6177-B1C0-4190-858F-6E4C823402C3}"/>
    <cellStyle name="Input number 6 decimal places calculated" xfId="54" xr:uid="{CE70A7A2-3CEE-4689-8FF6-8EB6FCE0A94C}"/>
    <cellStyle name="Input number general" xfId="59" xr:uid="{D8583F7D-F13A-4EA8-BAA6-B42739FDBDDB}"/>
    <cellStyle name="Input number general calculated" xfId="55" xr:uid="{34755FEB-6E4E-4BD7-A478-DF7299A7A914}"/>
    <cellStyle name="Input number no decimals" xfId="19" xr:uid="{B33B4FB5-F3F4-4036-B2DD-663B694E2A90}"/>
    <cellStyle name="Input number no decimals calculated" xfId="43" xr:uid="{5A48F48F-03B2-410E-887B-2A9297006BAF}"/>
    <cellStyle name="Input number no decimals disabled" xfId="24" xr:uid="{7ABDCB2D-7703-4392-9553-5620789B1E19}"/>
    <cellStyle name="Input number percent disabled" xfId="22" xr:uid="{D0E8B42E-13A8-477C-99CB-5FF73C5BBAA4}"/>
    <cellStyle name="Input page heading" xfId="33" xr:uid="{74FB9B3B-4B5B-4B7F-A54C-22E0724783C8}"/>
    <cellStyle name="Input page section heading" xfId="32" xr:uid="{1A05B367-BE5D-4E2B-9831-A28D5CFAC8EC}"/>
    <cellStyle name="Input percent" xfId="17" xr:uid="{923E56A7-7902-46CD-9AA8-0D69F2E1ECA1}"/>
    <cellStyle name="Input select" xfId="16" xr:uid="{3CF2E653-7F22-4996-ABB9-95CA16698B1F}"/>
    <cellStyle name="Input select disabled" xfId="21" xr:uid="{5CE680CC-504C-444D-8337-CF97D9BB5A78}"/>
    <cellStyle name="Input table column header" xfId="30" xr:uid="{EF98B018-1246-451D-91C2-97FCD443EDC9}"/>
    <cellStyle name="Input table header" xfId="29" xr:uid="{04872377-9FDD-4D5A-91FC-B9D8DA1E8E91}"/>
    <cellStyle name="Input text" xfId="15" xr:uid="{4C71A4C5-ADD8-4A09-A7FE-940DA96821F6}"/>
    <cellStyle name="Input text calculated" xfId="51" xr:uid="{43DCF082-1F0D-4E07-9785-CAF41B37CFCC}"/>
    <cellStyle name="Input text disabled" xfId="20" xr:uid="{79E76B35-E5FF-43A1-B0D0-016F346F8B97}"/>
    <cellStyle name="Menu link child" xfId="40" xr:uid="{609090D3-DE1E-48FE-A8AA-233CE9B146E0}"/>
    <cellStyle name="Menu link default" xfId="35" xr:uid="{11B84453-1DD4-492A-B241-FE6AD4CB25FA}"/>
    <cellStyle name="Menu link selected" xfId="37" xr:uid="{B16EBA6F-62C4-483F-8E15-B20D06ABF61F}"/>
    <cellStyle name="Menu link selected equations" xfId="39" xr:uid="{7AFCC545-C221-4BAC-933E-19109D0FB654}"/>
    <cellStyle name="Menu link selected input" xfId="38" xr:uid="{17D327F4-9149-4DAC-85BB-811698090830}"/>
    <cellStyle name="Menu link selected results" xfId="64" xr:uid="{0DC56464-F1A3-42A3-BF89-514E2163E7F0}"/>
    <cellStyle name="Menu section title" xfId="36" xr:uid="{E2117B15-AE58-4F76-B13B-671D455A4107}"/>
    <cellStyle name="Normal" xfId="0" builtinId="0"/>
    <cellStyle name="Normal 2" xfId="58" xr:uid="{FE64FEFB-54C6-42B4-AA7F-D49670F5ED19}"/>
    <cellStyle name="Normal 2 2" xfId="47" xr:uid="{B8803ACE-513D-4EEF-BBE0-0BB76AE7D7F4}"/>
    <cellStyle name="Normal 4" xfId="45" xr:uid="{99CD1B63-5040-4067-BBD7-470030C57E5D}"/>
    <cellStyle name="Normal 5" xfId="46" xr:uid="{C95BEC9B-545D-4D75-A129-77179ED2BD99}"/>
    <cellStyle name="Number diplsay percent" xfId="11" xr:uid="{2A2547EE-93B6-4F82-A56A-1A45D8712142}"/>
    <cellStyle name="Number display decimal" xfId="10" xr:uid="{D6C655C7-D21F-4B70-8143-4C163C43FE08}"/>
    <cellStyle name="Number display decimal total" xfId="27" xr:uid="{A9378C0C-CCAE-43D1-BC2C-BD4A9766DA0D}"/>
    <cellStyle name="Page heading" xfId="2" xr:uid="{255E304E-A5AB-40F0-8E3A-91C132147F10}"/>
    <cellStyle name="Page section heading" xfId="4" xr:uid="{B654AFF3-28A2-43B8-AE91-E7D2C159A294}"/>
    <cellStyle name="Page source" xfId="3" xr:uid="{35DF92BD-4909-4EA7-B1E6-C0EDAAEB1713}"/>
    <cellStyle name="Percent" xfId="14" builtinId="5"/>
    <cellStyle name="Results table column header" xfId="63" xr:uid="{A846043F-10AE-4BED-BAA6-90407C977915}"/>
    <cellStyle name="Table description" xfId="61" xr:uid="{8BD2F353-2E3C-42FF-89E9-616E85DC18C5}"/>
    <cellStyle name="Table name" xfId="60" xr:uid="{D56F17A4-9740-44B6-BDDB-150E2C950B8B}"/>
    <cellStyle name="Unit" xfId="12" xr:uid="{90B9E191-F5E0-43AB-A245-D6CA23D4ADFC}"/>
    <cellStyle name="Unit no indent" xfId="56" xr:uid="{2829D020-DAD8-4B7D-9262-450720E27D2B}"/>
    <cellStyle name="Unit total" xfId="26" xr:uid="{65428923-3DAD-47B6-8DDF-0EBD05E7C55B}"/>
    <cellStyle name="Variable type input" xfId="68" xr:uid="{69904D21-1566-4CAB-9A42-C86AC6535120}"/>
    <cellStyle name="Variable type other" xfId="67" xr:uid="{105BD9DE-B567-4DA0-87E6-C60A0ECC1C65}"/>
  </cellStyles>
  <dxfs count="168">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color theme="1" tint="0.24994659260841701"/>
      </font>
      <fill>
        <patternFill patternType="solid">
          <fgColor indexed="64"/>
          <bgColor theme="0" tint="-4.9989318521683403E-2"/>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ont>
        <color theme="1" tint="0.24994659260841701"/>
      </font>
      <fill>
        <patternFill>
          <bgColor theme="0" tint="-4.9989318521683403E-2"/>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ill>
        <patternFill>
          <fgColor theme="0"/>
          <bgColor theme="0" tint="-4.9989318521683403E-2"/>
        </patternFill>
      </fill>
    </dxf>
    <dxf>
      <fill>
        <patternFill>
          <bgColor theme="0" tint="-0.14996795556505021"/>
        </patternFill>
      </fill>
    </dxf>
    <dxf>
      <font>
        <b/>
        <i val="0"/>
        <color rgb="FF183C1B"/>
      </font>
      <fill>
        <patternFill patternType="solid">
          <fgColor indexed="64"/>
          <bgColor rgb="FFB2D498"/>
        </patternFill>
      </fill>
    </dxf>
    <dxf>
      <font>
        <color theme="1" tint="0.24994659260841701"/>
      </font>
      <border>
        <left/>
        <right/>
        <top/>
        <bottom/>
        <vertical/>
        <horizontal/>
      </border>
    </dxf>
    <dxf>
      <font>
        <color theme="1" tint="0.24994659260841701"/>
      </font>
      <fill>
        <patternFill patternType="none">
          <fgColor indexed="64"/>
          <bgColor auto="1"/>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ont>
        <color theme="1" tint="0.24994659260841701"/>
      </font>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ill>
        <patternFill>
          <fgColor theme="0"/>
          <bgColor theme="0" tint="-4.9989318521683403E-2"/>
        </patternFill>
      </fill>
    </dxf>
    <dxf>
      <fill>
        <patternFill>
          <bgColor theme="0" tint="-0.14996795556505021"/>
        </patternFill>
      </fill>
    </dxf>
    <dxf>
      <font>
        <b/>
        <i val="0"/>
        <color rgb="FF533001"/>
      </font>
      <fill>
        <patternFill patternType="solid">
          <fgColor indexed="64"/>
          <bgColor rgb="FFFFCC66"/>
        </patternFill>
      </fill>
    </dxf>
    <dxf>
      <font>
        <color theme="1" tint="0.24994659260841701"/>
      </font>
      <border>
        <left/>
        <right/>
        <top/>
        <bottom/>
        <vertical/>
        <horizontal/>
      </border>
    </dxf>
  </dxfs>
  <tableStyles count="3" defaultTableStyle="Equation table" defaultPivotStyle="PivotStyleLight16">
    <tableStyle name="Editable table" pivot="0" count="6" xr9:uid="{8C498A1C-5864-4BF8-8739-A3055FE117E0}">
      <tableStyleElement type="wholeTable" dxfId="167"/>
      <tableStyleElement type="headerRow" dxfId="166"/>
      <tableStyleElement type="totalRow" dxfId="165"/>
      <tableStyleElement type="firstColumn" dxfId="164"/>
      <tableStyleElement type="firstRowStripe" dxfId="163"/>
      <tableStyleElement type="secondRowStripe" dxfId="162"/>
    </tableStyle>
    <tableStyle name="Equation table" pivot="0" count="6" xr9:uid="{B247698E-E41D-4CCD-AA0A-C14817E9DE65}">
      <tableStyleElement type="wholeTable" dxfId="161"/>
      <tableStyleElement type="headerRow" dxfId="160"/>
      <tableStyleElement type="totalRow" dxfId="159"/>
      <tableStyleElement type="firstColumn" dxfId="158"/>
      <tableStyleElement type="firstRowStripe" dxfId="157"/>
      <tableStyleElement type="secondRowStripe" dxfId="156"/>
    </tableStyle>
    <tableStyle name="Table Style 1" pivot="0" count="0" xr9:uid="{97B370DB-5463-4A31-9160-5A96BD6A559D}"/>
  </tableStyles>
  <colors>
    <mruColors>
      <color rgb="FFC44340"/>
      <color rgb="FF0C769E"/>
      <color rgb="FF008000"/>
      <color rgb="FFFFCCCC"/>
      <color rgb="FFC4433F"/>
      <color rgb="FFE9F2FB"/>
      <color rgb="FF183C1B"/>
      <color rgb="FFB2D498"/>
      <color rgb="FFCC6600"/>
      <color rgb="FF4F478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18" Type="http://schemas.microsoft.com/office/2017/06/relationships/rdRichValueTypes" Target="richData/rdRichValueTypes.xml"/><Relationship Id="rId3" Type="http://schemas.openxmlformats.org/officeDocument/2006/relationships/worksheet" Target="worksheets/sheet3.xml"/><Relationship Id="rId21" Type="http://schemas.openxmlformats.org/officeDocument/2006/relationships/customXml" Target="../customXml/item2.xml"/><Relationship Id="rId7" Type="http://schemas.openxmlformats.org/officeDocument/2006/relationships/worksheet" Target="worksheets/sheet7.xml"/><Relationship Id="rId12" Type="http://schemas.openxmlformats.org/officeDocument/2006/relationships/styles" Target="styles.xml"/><Relationship Id="rId17" Type="http://schemas.microsoft.com/office/2017/06/relationships/rdRichValueStructure" Target="richData/rdrichvaluestructure.xml"/><Relationship Id="rId2" Type="http://schemas.openxmlformats.org/officeDocument/2006/relationships/worksheet" Target="worksheets/sheet2.xml"/><Relationship Id="rId16" Type="http://schemas.microsoft.com/office/2017/06/relationships/rdRichValue" Target="richData/rdrichvalue.xml"/><Relationship Id="rId20"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5" Type="http://schemas.microsoft.com/office/2022/10/relationships/richValueRel" Target="richData/richValueRel.xml"/><Relationship Id="rId23" Type="http://schemas.openxmlformats.org/officeDocument/2006/relationships/customXml" Target="../customXml/item4.xml"/><Relationship Id="rId10" Type="http://schemas.openxmlformats.org/officeDocument/2006/relationships/externalLink" Target="externalLinks/externalLink1.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eetMetadata" Target="metadata.xml"/><Relationship Id="rId22"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doughnutChart>
        <c:varyColors val="1"/>
        <c:dLbls>
          <c:showLegendKey val="0"/>
          <c:showVal val="0"/>
          <c:showCatName val="0"/>
          <c:showSerName val="0"/>
          <c:showPercent val="0"/>
          <c:showBubbleSize val="0"/>
          <c:showLeaderLines val="0"/>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8</xdr:col>
      <xdr:colOff>938212</xdr:colOff>
      <xdr:row>65</xdr:row>
      <xdr:rowOff>200025</xdr:rowOff>
    </xdr:from>
    <xdr:to>
      <xdr:col>9</xdr:col>
      <xdr:colOff>1443037</xdr:colOff>
      <xdr:row>77</xdr:row>
      <xdr:rowOff>85725</xdr:rowOff>
    </xdr:to>
    <xdr:graphicFrame macro="">
      <xdr:nvGraphicFramePr>
        <xdr:cNvPr id="6" name="Chart 5">
          <a:extLst>
            <a:ext uri="{FF2B5EF4-FFF2-40B4-BE49-F238E27FC236}">
              <a16:creationId xmlns:a16="http://schemas.microsoft.com/office/drawing/2014/main" id="{0DEA1AD2-453E-4F97-8BC2-DE4AF27985B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xml><?xml version="1.0" encoding="utf-8"?>
<xdr:wsDr xmlns:xdr="http://schemas.openxmlformats.org/drawingml/2006/spreadsheetDrawing" xmlns:a="http://schemas.openxmlformats.org/drawingml/2006/main">
  <xdr:oneCellAnchor>
    <xdr:from>
      <xdr:col>2</xdr:col>
      <xdr:colOff>309562</xdr:colOff>
      <xdr:row>73</xdr:row>
      <xdr:rowOff>195262</xdr:rowOff>
    </xdr:from>
    <xdr:ext cx="1550360" cy="186333"/>
    <mc:AlternateContent xmlns:mc="http://schemas.openxmlformats.org/markup-compatibility/2006" xmlns:a14="http://schemas.microsoft.com/office/drawing/2010/main">
      <mc:Choice Requires="a14">
        <xdr:sp macro="" textlink="">
          <xdr:nvSpPr>
            <xdr:cNvPr id="20" name="TextBox 19">
              <a:extLst>
                <a:ext uri="{FF2B5EF4-FFF2-40B4-BE49-F238E27FC236}">
                  <a16:creationId xmlns:a16="http://schemas.microsoft.com/office/drawing/2014/main" id="{B22A0599-3DE6-28DC-0DEE-9B5712CBAF85}"/>
                </a:ext>
              </a:extLst>
            </xdr:cNvPr>
            <xdr:cNvSpPr txBox="1"/>
          </xdr:nvSpPr>
          <xdr:spPr>
            <a:xfrm>
              <a:off x="2674003" y="25229203"/>
              <a:ext cx="1550360" cy="18633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𝑗𝑘𝑙</m:t>
                        </m:r>
                      </m:sub>
                    </m:sSub>
                    <m:r>
                      <a:rPr lang="en-AU" sz="1100" i="1">
                        <a:latin typeface="Cambria Math" panose="02040503050406030204" pitchFamily="18" charset="0"/>
                      </a:rPr>
                      <m:t>=20.7×</m:t>
                    </m:r>
                    <m:sSub>
                      <m:sSubPr>
                        <m:ctrlPr>
                          <a:rPr lang="en-AU" sz="1100" i="1">
                            <a:latin typeface="Cambria Math" panose="02040503050406030204" pitchFamily="18" charset="0"/>
                          </a:rPr>
                        </m:ctrlPr>
                      </m:sSubPr>
                      <m:e>
                        <m:r>
                          <a:rPr lang="en-AU" sz="1100" i="1">
                            <a:latin typeface="Cambria Math" panose="02040503050406030204" pitchFamily="18" charset="0"/>
                          </a:rPr>
                          <m:t>𝐼</m:t>
                        </m:r>
                      </m:e>
                      <m:sub>
                        <m:r>
                          <a:rPr lang="en-AU" sz="1100" i="1">
                            <a:latin typeface="Cambria Math" panose="02040503050406030204" pitchFamily="18" charset="0"/>
                          </a:rPr>
                          <m:t>𝑗𝑘𝑙</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20" name="TextBox 19">
              <a:extLst>
                <a:ext uri="{FF2B5EF4-FFF2-40B4-BE49-F238E27FC236}">
                  <a16:creationId xmlns:a16="http://schemas.microsoft.com/office/drawing/2014/main" id="{B22A0599-3DE6-28DC-0DEE-9B5712CBAF85}"/>
                </a:ext>
              </a:extLst>
            </xdr:cNvPr>
            <xdr:cNvSpPr txBox="1"/>
          </xdr:nvSpPr>
          <xdr:spPr>
            <a:xfrm>
              <a:off x="2674003" y="25229203"/>
              <a:ext cx="1550360" cy="18633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𝑀_𝑗𝑘𝑙=20.7×𝐼_𝑗𝑘𝑙×10^(−3)</a:t>
              </a:r>
              <a:endParaRPr lang="en-AU" sz="1100"/>
            </a:p>
          </xdr:txBody>
        </xdr:sp>
      </mc:Fallback>
    </mc:AlternateContent>
    <xdr:clientData/>
  </xdr:oneCellAnchor>
  <xdr:oneCellAnchor>
    <xdr:from>
      <xdr:col>2</xdr:col>
      <xdr:colOff>295275</xdr:colOff>
      <xdr:row>7</xdr:row>
      <xdr:rowOff>128587</xdr:rowOff>
    </xdr:from>
    <xdr:ext cx="3071354" cy="194990"/>
    <mc:AlternateContent xmlns:mc="http://schemas.openxmlformats.org/markup-compatibility/2006" xmlns:a14="http://schemas.microsoft.com/office/drawing/2010/main">
      <mc:Choice Requires="a14">
        <xdr:sp macro="" textlink="">
          <xdr:nvSpPr>
            <xdr:cNvPr id="22" name="TextBox 21">
              <a:extLst>
                <a:ext uri="{FF2B5EF4-FFF2-40B4-BE49-F238E27FC236}">
                  <a16:creationId xmlns:a16="http://schemas.microsoft.com/office/drawing/2014/main" id="{D977FB9A-9D0C-FB26-49A5-D0229927B50D}"/>
                </a:ext>
              </a:extLst>
            </xdr:cNvPr>
            <xdr:cNvSpPr txBox="1"/>
          </xdr:nvSpPr>
          <xdr:spPr>
            <a:xfrm>
              <a:off x="2657475" y="1995487"/>
              <a:ext cx="3071354"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𝐴</m:t>
                        </m:r>
                      </m:e>
                      <m:sub>
                        <m:r>
                          <a:rPr lang="en-AU" sz="1100" i="1">
                            <a:latin typeface="Cambria Math" panose="02040503050406030204" pitchFamily="18" charset="0"/>
                          </a:rPr>
                          <m:t>𝑗𝑘</m:t>
                        </m:r>
                        <m:r>
                          <a:rPr lang="en-AU" sz="1100" i="1">
                            <a:latin typeface="Cambria Math" panose="02040503050406030204" pitchFamily="18" charset="0"/>
                          </a:rPr>
                          <m:t>=4,5</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𝐿</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𝑗𝑘</m:t>
                            </m:r>
                            <m:r>
                              <a:rPr lang="en-AU" sz="1100" i="1">
                                <a:latin typeface="Cambria Math" panose="02040503050406030204" pitchFamily="18" charset="0"/>
                              </a:rPr>
                              <m:t>=4,5</m:t>
                            </m:r>
                          </m:sub>
                        </m:sSub>
                        <m:r>
                          <a:rPr lang="en-AU" sz="1100" i="1">
                            <a:latin typeface="Cambria Math" panose="02040503050406030204" pitchFamily="18" charset="0"/>
                          </a:rPr>
                          <m:t>×</m:t>
                        </m:r>
                        <m:r>
                          <a:rPr lang="en-AU" sz="1100" i="1">
                            <a:latin typeface="Cambria Math" panose="02040503050406030204" pitchFamily="18" charset="0"/>
                          </a:rPr>
                          <m:t>𝐹</m:t>
                        </m:r>
                        <m:sSub>
                          <m:sSubPr>
                            <m:ctrlPr>
                              <a:rPr lang="en-AU" sz="1100" i="1">
                                <a:latin typeface="Cambria Math" panose="02040503050406030204" pitchFamily="18" charset="0"/>
                              </a:rPr>
                            </m:ctrlPr>
                          </m:sSubPr>
                          <m:e>
                            <m:r>
                              <a:rPr lang="en-AU" sz="1100" i="1">
                                <a:latin typeface="Cambria Math" panose="02040503050406030204" pitchFamily="18" charset="0"/>
                              </a:rPr>
                              <m:t>𝐴</m:t>
                            </m:r>
                          </m:e>
                          <m:sub>
                            <m:r>
                              <a:rPr lang="en-AU" sz="1100" i="1">
                                <a:latin typeface="Cambria Math" panose="02040503050406030204" pitchFamily="18" charset="0"/>
                              </a:rPr>
                              <m:t>𝑗𝑘</m:t>
                            </m:r>
                            <m:r>
                              <a:rPr lang="en-AU" sz="1100" i="1">
                                <a:latin typeface="Cambria Math" panose="02040503050406030204" pitchFamily="18" charset="0"/>
                              </a:rPr>
                              <m:t>=4,5</m:t>
                            </m:r>
                          </m:sub>
                        </m:sSub>
                      </m:e>
                    </m:d>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r>
                          <a:rPr lang="en-AU" sz="1100" i="1">
                            <a:latin typeface="Cambria Math" panose="02040503050406030204" pitchFamily="18" charset="0"/>
                          </a:rPr>
                          <m:t>𝐿</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𝑗𝑘</m:t>
                            </m:r>
                            <m:r>
                              <a:rPr lang="en-AU" sz="1100" i="1">
                                <a:latin typeface="Cambria Math" panose="02040503050406030204" pitchFamily="18" charset="0"/>
                              </a:rPr>
                              <m:t>=4,5</m:t>
                            </m:r>
                          </m:sub>
                        </m:sSub>
                      </m:e>
                    </m:d>
                  </m:oMath>
                </m:oMathPara>
              </a14:m>
              <a:endParaRPr lang="en-AU" sz="1100"/>
            </a:p>
          </xdr:txBody>
        </xdr:sp>
      </mc:Choice>
      <mc:Fallback xmlns="">
        <xdr:sp macro="" textlink="">
          <xdr:nvSpPr>
            <xdr:cNvPr id="22" name="TextBox 21">
              <a:extLst>
                <a:ext uri="{FF2B5EF4-FFF2-40B4-BE49-F238E27FC236}">
                  <a16:creationId xmlns:a16="http://schemas.microsoft.com/office/drawing/2014/main" id="{D977FB9A-9D0C-FB26-49A5-D0229927B50D}"/>
                </a:ext>
              </a:extLst>
            </xdr:cNvPr>
            <xdr:cNvSpPr txBox="1"/>
          </xdr:nvSpPr>
          <xdr:spPr>
            <a:xfrm>
              <a:off x="2657475" y="1995487"/>
              <a:ext cx="3071354"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𝑀𝐴_(𝑗𝑘=4,5)=(𝐿𝐶_(𝑗𝑘=4,5)×𝐹𝐴_(𝑗𝑘=4,5) )+(1−𝐿𝐶_(𝑗𝑘=4,5) )</a:t>
              </a:r>
              <a:endParaRPr lang="en-AU" sz="1100"/>
            </a:p>
          </xdr:txBody>
        </xdr:sp>
      </mc:Fallback>
    </mc:AlternateContent>
    <xdr:clientData/>
  </xdr:oneCellAnchor>
  <xdr:oneCellAnchor>
    <xdr:from>
      <xdr:col>3</xdr:col>
      <xdr:colOff>23812</xdr:colOff>
      <xdr:row>35</xdr:row>
      <xdr:rowOff>128587</xdr:rowOff>
    </xdr:from>
    <xdr:ext cx="5088508" cy="234103"/>
    <mc:AlternateContent xmlns:mc="http://schemas.openxmlformats.org/markup-compatibility/2006" xmlns:a14="http://schemas.microsoft.com/office/drawing/2010/main">
      <mc:Choice Requires="a14">
        <xdr:sp macro="" textlink="">
          <xdr:nvSpPr>
            <xdr:cNvPr id="25" name="TextBox 24">
              <a:extLst>
                <a:ext uri="{FF2B5EF4-FFF2-40B4-BE49-F238E27FC236}">
                  <a16:creationId xmlns:a16="http://schemas.microsoft.com/office/drawing/2014/main" id="{D0B26A9C-D5AF-87E4-446A-1EDBC2073C06}"/>
                </a:ext>
              </a:extLst>
            </xdr:cNvPr>
            <xdr:cNvSpPr txBox="1"/>
          </xdr:nvSpPr>
          <xdr:spPr>
            <a:xfrm>
              <a:off x="2700337" y="12396787"/>
              <a:ext cx="5088508" cy="23410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𝐼</m:t>
                        </m:r>
                      </m:e>
                      <m:sub>
                        <m:r>
                          <a:rPr lang="en-AU" sz="1100" i="1">
                            <a:latin typeface="Cambria Math" panose="02040503050406030204" pitchFamily="18" charset="0"/>
                          </a:rPr>
                          <m:t>𝑗𝑘𝑙</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d>
                          <m:dPr>
                            <m:ctrlPr>
                              <a:rPr lang="en-AU" sz="1100" i="1">
                                <a:latin typeface="Cambria Math" panose="02040503050406030204" pitchFamily="18" charset="0"/>
                              </a:rPr>
                            </m:ctrlPr>
                          </m:dPr>
                          <m:e>
                            <m:r>
                              <a:rPr lang="en-AU" sz="1100" i="1">
                                <a:latin typeface="Cambria Math" panose="02040503050406030204" pitchFamily="18" charset="0"/>
                              </a:rPr>
                              <m:t>1.185+0.00454×</m:t>
                            </m:r>
                            <m:sSub>
                              <m:sSubPr>
                                <m:ctrlPr>
                                  <a:rPr lang="en-AU" sz="1100" i="1">
                                    <a:latin typeface="Cambria Math" panose="02040503050406030204" pitchFamily="18" charset="0"/>
                                  </a:rPr>
                                </m:ctrlPr>
                              </m:sSubPr>
                              <m:e>
                                <m:r>
                                  <a:rPr lang="en-AU" sz="1100" i="1">
                                    <a:latin typeface="Cambria Math" panose="02040503050406030204" pitchFamily="18" charset="0"/>
                                  </a:rPr>
                                  <m:t>𝑊</m:t>
                                </m:r>
                              </m:e>
                              <m:sub>
                                <m:r>
                                  <a:rPr lang="en-AU" sz="1100" i="1">
                                    <a:latin typeface="Cambria Math" panose="02040503050406030204" pitchFamily="18" charset="0"/>
                                  </a:rPr>
                                  <m:t>𝑗𝑘𝑙</m:t>
                                </m:r>
                              </m:sub>
                            </m:sSub>
                            <m:r>
                              <a:rPr lang="en-AU" sz="1100" i="1">
                                <a:latin typeface="Cambria Math" panose="02040503050406030204" pitchFamily="18" charset="0"/>
                              </a:rPr>
                              <m:t>−0.0000026×</m:t>
                            </m:r>
                            <m:sSubSup>
                              <m:sSubSupPr>
                                <m:ctrlPr>
                                  <a:rPr lang="en-AU" sz="1100" i="1">
                                    <a:latin typeface="Cambria Math" panose="02040503050406030204" pitchFamily="18" charset="0"/>
                                  </a:rPr>
                                </m:ctrlPr>
                              </m:sSubSupPr>
                              <m:e>
                                <m:r>
                                  <a:rPr lang="en-AU" sz="1100" i="1">
                                    <a:latin typeface="Cambria Math" panose="02040503050406030204" pitchFamily="18" charset="0"/>
                                  </a:rPr>
                                  <m:t>𝑊</m:t>
                                </m:r>
                              </m:e>
                              <m:sub>
                                <m:r>
                                  <a:rPr lang="en-AU" sz="1100" i="1">
                                    <a:latin typeface="Cambria Math" panose="02040503050406030204" pitchFamily="18" charset="0"/>
                                  </a:rPr>
                                  <m:t>𝑗𝑘𝑙</m:t>
                                </m:r>
                              </m:sub>
                              <m:sup>
                                <m:r>
                                  <a:rPr lang="en-AU" sz="1100" i="1">
                                    <a:latin typeface="Cambria Math" panose="02040503050406030204" pitchFamily="18" charset="0"/>
                                  </a:rPr>
                                  <m:t>2</m:t>
                                </m:r>
                              </m:sup>
                            </m:sSubSup>
                            <m:r>
                              <a:rPr lang="en-AU" sz="1100" i="1">
                                <a:latin typeface="Cambria Math" panose="02040503050406030204" pitchFamily="18" charset="0"/>
                              </a:rPr>
                              <m:t>+0.315×</m:t>
                            </m:r>
                            <m:r>
                              <a:rPr lang="en-AU" sz="1100" i="1">
                                <a:latin typeface="Cambria Math" panose="02040503050406030204" pitchFamily="18" charset="0"/>
                              </a:rPr>
                              <m:t>𝐿𝑊</m:t>
                            </m:r>
                            <m:sSub>
                              <m:sSubPr>
                                <m:ctrlPr>
                                  <a:rPr lang="en-AU" sz="1100" i="1">
                                    <a:latin typeface="Cambria Math" panose="02040503050406030204" pitchFamily="18" charset="0"/>
                                  </a:rPr>
                                </m:ctrlPr>
                              </m:sSubPr>
                              <m:e>
                                <m:r>
                                  <a:rPr lang="en-AU" sz="1100" i="1">
                                    <a:latin typeface="Cambria Math" panose="02040503050406030204" pitchFamily="18" charset="0"/>
                                  </a:rPr>
                                  <m:t>𝐺</m:t>
                                </m:r>
                              </m:e>
                              <m:sub>
                                <m:r>
                                  <a:rPr lang="en-AU" sz="1100" i="1">
                                    <a:latin typeface="Cambria Math" panose="02040503050406030204" pitchFamily="18" charset="0"/>
                                  </a:rPr>
                                  <m:t>𝑗𝑘𝑙</m:t>
                                </m:r>
                              </m:sub>
                            </m:sSub>
                          </m:e>
                        </m:d>
                      </m:e>
                      <m:sup>
                        <m:r>
                          <a:rPr lang="en-AU" sz="1100" i="1">
                            <a:latin typeface="Cambria Math" panose="02040503050406030204" pitchFamily="18" charset="0"/>
                          </a:rPr>
                          <m:t>2</m:t>
                        </m:r>
                      </m:sup>
                    </m:sSup>
                    <m:r>
                      <a:rPr lang="en-AU" sz="1100" i="1">
                        <a:latin typeface="Cambria Math" panose="02040503050406030204" pitchFamily="18" charset="0"/>
                      </a:rPr>
                      <m:t>×</m:t>
                    </m:r>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𝐴</m:t>
                        </m:r>
                      </m:e>
                      <m:sub>
                        <m:r>
                          <a:rPr lang="en-AU" sz="1100" i="1">
                            <a:latin typeface="Cambria Math" panose="02040503050406030204" pitchFamily="18" charset="0"/>
                          </a:rPr>
                          <m:t>𝑗𝑘</m:t>
                        </m:r>
                        <m:r>
                          <a:rPr lang="en-AU" sz="1100" i="1">
                            <a:latin typeface="Cambria Math" panose="02040503050406030204" pitchFamily="18" charset="0"/>
                          </a:rPr>
                          <m:t>=4,5</m:t>
                        </m:r>
                      </m:sub>
                    </m:sSub>
                  </m:oMath>
                </m:oMathPara>
              </a14:m>
              <a:endParaRPr lang="en-AU" sz="1100"/>
            </a:p>
          </xdr:txBody>
        </xdr:sp>
      </mc:Choice>
      <mc:Fallback xmlns="">
        <xdr:sp macro="" textlink="">
          <xdr:nvSpPr>
            <xdr:cNvPr id="25" name="TextBox 24">
              <a:extLst>
                <a:ext uri="{FF2B5EF4-FFF2-40B4-BE49-F238E27FC236}">
                  <a16:creationId xmlns:a16="http://schemas.microsoft.com/office/drawing/2014/main" id="{D0B26A9C-D5AF-87E4-446A-1EDBC2073C06}"/>
                </a:ext>
              </a:extLst>
            </xdr:cNvPr>
            <xdr:cNvSpPr txBox="1"/>
          </xdr:nvSpPr>
          <xdr:spPr>
            <a:xfrm>
              <a:off x="2700337" y="12396787"/>
              <a:ext cx="5088508" cy="23410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𝐼_𝑗𝑘𝑙=(1.185+0.00454×𝑊_𝑗𝑘𝑙−0.0000026×𝑊_𝑗𝑘𝑙^2+0.315×𝐿𝑊𝐺_𝑗𝑘𝑙 )^2×𝑀𝐴_(𝑗𝑘=4,5)</a:t>
              </a:r>
              <a:endParaRPr lang="en-AU" sz="1100"/>
            </a:p>
          </xdr:txBody>
        </xdr:sp>
      </mc:Fallback>
    </mc:AlternateContent>
    <xdr:clientData/>
  </xdr:oneCellAnchor>
  <xdr:oneCellAnchor>
    <xdr:from>
      <xdr:col>3</xdr:col>
      <xdr:colOff>4762</xdr:colOff>
      <xdr:row>94</xdr:row>
      <xdr:rowOff>90487</xdr:rowOff>
    </xdr:from>
    <xdr:ext cx="2822631" cy="429926"/>
    <mc:AlternateContent xmlns:mc="http://schemas.openxmlformats.org/markup-compatibility/2006" xmlns:a14="http://schemas.microsoft.com/office/drawing/2010/main">
      <mc:Choice Requires="a14">
        <xdr:sp macro="" textlink="">
          <xdr:nvSpPr>
            <xdr:cNvPr id="29" name="TextBox 28">
              <a:extLst>
                <a:ext uri="{FF2B5EF4-FFF2-40B4-BE49-F238E27FC236}">
                  <a16:creationId xmlns:a16="http://schemas.microsoft.com/office/drawing/2014/main" id="{43C82802-2EE5-B5B2-566F-E7FDA0A2A9C1}"/>
                </a:ext>
              </a:extLst>
            </xdr:cNvPr>
            <xdr:cNvSpPr txBox="1"/>
          </xdr:nvSpPr>
          <xdr:spPr>
            <a:xfrm>
              <a:off x="2682968" y="36711311"/>
              <a:ext cx="2822631"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𝑒𝑛𝑡𝑒𝑟𝑖𝑐</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𝑘</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𝑙</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𝑗𝑘𝑙</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𝑗𝑘𝑙</m:t>
                                        </m:r>
                                      </m:sub>
                                    </m:sSub>
                                  </m:e>
                                </m:d>
                              </m:e>
                            </m:nary>
                          </m:e>
                        </m:nary>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29" name="TextBox 28">
              <a:extLst>
                <a:ext uri="{FF2B5EF4-FFF2-40B4-BE49-F238E27FC236}">
                  <a16:creationId xmlns:a16="http://schemas.microsoft.com/office/drawing/2014/main" id="{43C82802-2EE5-B5B2-566F-E7FDA0A2A9C1}"/>
                </a:ext>
              </a:extLst>
            </xdr:cNvPr>
            <xdr:cNvSpPr txBox="1"/>
          </xdr:nvSpPr>
          <xdr:spPr>
            <a:xfrm>
              <a:off x="2682968" y="36711311"/>
              <a:ext cx="2822631"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𝐸_𝑒𝑛𝑡𝑒𝑟𝑖𝑐=∑8_𝑗▒∑8_𝑘▒∑8_𝑙▒(𝐷_𝑗×𝑀_𝑗𝑘𝑙×𝑁_𝑗𝑘𝑙 ) ×10^(−3)</a:t>
              </a:r>
              <a:endParaRPr lang="en-AU" sz="1100"/>
            </a:p>
          </xdr:txBody>
        </xdr:sp>
      </mc:Fallback>
    </mc:AlternateContent>
    <xdr:clientData/>
  </xdr:one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file:///C:\htdocs\zneagcrc\GAF-VEERG-Functions\Excel\Common_v03.xlsx" TargetMode="External"/><Relationship Id="rId1" Type="http://schemas.openxmlformats.org/officeDocument/2006/relationships/externalLinkPath" Target="Common_v03.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Home"/>
      <sheetName val="Constants - Common"/>
      <sheetName val="Acknowledgements"/>
    </sheetNames>
    <sheetDataSet>
      <sheetData sheetId="0"/>
      <sheetData sheetId="1"/>
      <sheetData sheetId="2"/>
    </sheetDataSet>
  </externalBook>
</externalLink>
</file>

<file path=xl/richData/_rels/richValueRel.xml.rels><?xml version="1.0" encoding="UTF-8" standalone="yes"?>
<Relationships xmlns="http://schemas.openxmlformats.org/package/2006/relationships"><Relationship Id="rId1" Type="http://schemas.openxmlformats.org/officeDocument/2006/relationships/image" Target="../media/image1.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1">
  <rv s="0">
    <v>0</v>
    <v>5</v>
  </rv>
</rvData>
</file>

<file path=xl/richData/rdrichvaluestructure.xml><?xml version="1.0" encoding="utf-8"?>
<rvStructures xmlns="http://schemas.microsoft.com/office/spreadsheetml/2017/richdata" count="1">
  <s t="_localImage">
    <k n="_rvRel:LocalImageIdentifier" t="i"/>
    <k n="CalcOrigin" t="i"/>
  </s>
</rvStructures>
</file>

<file path=xl/richData/richValueRel.xml><?xml version="1.0" encoding="utf-8"?>
<richValueRels xmlns="http://schemas.microsoft.com/office/spreadsheetml/2022/richvaluerel" xmlns:r="http://schemas.openxmlformats.org/officeDocument/2006/relationships">
  <rel r:id="rId1"/>
</richValueRel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6F3FE3A-A0B5-47E7-85B2-8426FB75A7C8}" name="Table_SourceData_PastureBeef_CropProdSystems" displayName="Table_SourceData_PastureBeef_CropProdSystems" ref="D7:D9" totalsRowShown="0">
  <autoFilter ref="D7:D9" xr:uid="{B6F3FE3A-A0B5-47E7-85B2-8426FB75A7C8}">
    <filterColumn colId="0" hiddenButton="1"/>
  </autoFilter>
  <tableColumns count="1">
    <tableColumn id="1" xr3:uid="{488F257E-D7D8-4266-96A1-1EA0C5DDDD42}" name="Production system">
      <calculatedColumnFormula>#REF!</calculatedColumnFormula>
    </tableColumn>
  </tableColumns>
  <tableStyleInfo name="Equation table"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E172B77-CEA3-430C-84BC-392A64D0B8FF}" name="Table_SourceData_PastureBeef_IrrigationMethods" displayName="Table_SourceData_PastureBeef_IrrigationMethods" ref="G7:G12" totalsRowShown="0">
  <autoFilter ref="G7:G12" xr:uid="{FE172B77-CEA3-430C-84BC-392A64D0B8FF}">
    <filterColumn colId="0" hiddenButton="1"/>
  </autoFilter>
  <tableColumns count="1">
    <tableColumn id="1" xr3:uid="{A9C33016-6229-4481-B099-D67C87E2584C}" name="Irrigation method"/>
  </tableColumns>
  <tableStyleInfo name="Equation table"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2" xr:uid="{430B098F-3F00-49E5-81DA-BAED03622D32}" name="Table_SourceData_PastureBeef_Liveweight" displayName="Table_SourceData_PastureBeef_Liveweight" ref="D18:M46" totalsRowShown="0">
  <autoFilter ref="D18:M46" xr:uid="{430B098F-3F00-49E5-81DA-BAED03622D32}">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autoFilter>
  <tableColumns count="10">
    <tableColumn id="1" xr3:uid="{6F9940E0-B71E-4F34-8E86-17127402334F}" name="State">
      <calculatedColumnFormula array="1">Common_InputFunctions.Utility_DisplayArrayInTable(SourceData_PastureBeef.SourceData_PastureBeef_Liveweight_Data(), Table_SourceData_PastureBeef_Liveweight[[#Headers],[State]], 0)</calculatedColumnFormula>
    </tableColumn>
    <tableColumn id="2" xr3:uid="{38CA3063-B977-4919-8D01-06EFE36482DE}" name="Region" dataDxfId="155" dataCellStyle="Content normal">
      <calculatedColumnFormula array="1">Common_InputFunctions.Utility_DisplayArrayInTable(SourceData_PastureBeef.SourceData_PastureBeef_Liveweight_Data(), Table_SourceData_PastureBeef_Liveweight[[#Headers],[State]], 0)</calculatedColumnFormula>
    </tableColumn>
    <tableColumn id="3" xr3:uid="{1B39D08A-DC49-491A-BF70-10F17B43D2EC}" name="Season" dataDxfId="154" dataCellStyle="Content normal">
      <calculatedColumnFormula array="1">Common_InputFunctions.Utility_DisplayArrayInTable(SourceData_PastureBeef.SourceData_PastureBeef_Liveweight_Data(), Table_SourceData_PastureBeef_Liveweight[[#Headers],[State]], 0)</calculatedColumnFormula>
    </tableColumn>
    <tableColumn id="4" xr3:uid="{F6EF719D-5A1B-430D-98D1-4781B3A9DEB2}" name="Bull &lt; 1" dataDxfId="153" dataCellStyle="Content normal">
      <calculatedColumnFormula array="1">Common_InputFunctions.Utility_DisplayArrayInTable(SourceData_PastureBeef.SourceData_PastureBeef_Liveweight_Data(), Table_SourceData_PastureBeef_Liveweight[[#Headers],[State]], 0)</calculatedColumnFormula>
    </tableColumn>
    <tableColumn id="5" xr3:uid="{DC894113-CE3A-4551-9379-DF077519F09C}" name="Bull &gt; 1" dataDxfId="152" dataCellStyle="Content normal">
      <calculatedColumnFormula array="1">Common_InputFunctions.Utility_DisplayArrayInTable(SourceData_PastureBeef.SourceData_PastureBeef_Liveweight_Data(), Table_SourceData_PastureBeef_Liveweight[[#Headers],[State]], 0)</calculatedColumnFormula>
    </tableColumn>
    <tableColumn id="6" xr3:uid="{63B6C130-520E-4961-8E64-F00356E895B7}" name="Cow &lt; 1" dataDxfId="151" dataCellStyle="Content normal">
      <calculatedColumnFormula array="1">Common_InputFunctions.Utility_DisplayArrayInTable(SourceData_PastureBeef.SourceData_PastureBeef_Liveweight_Data(), Table_SourceData_PastureBeef_Liveweight[[#Headers],[State]], 0)</calculatedColumnFormula>
    </tableColumn>
    <tableColumn id="7" xr3:uid="{38288260-5BE1-4BCA-999E-B630950B5E33}" name="Cow 1-2" dataDxfId="150" dataCellStyle="Content normal">
      <calculatedColumnFormula array="1">Common_InputFunctions.Utility_DisplayArrayInTable(SourceData_PastureBeef.SourceData_PastureBeef_Liveweight_Data(), Table_SourceData_PastureBeef_Liveweight[[#Headers],[State]], 0)</calculatedColumnFormula>
    </tableColumn>
    <tableColumn id="8" xr3:uid="{B5F63468-7583-4D67-B9DF-A868BC3E55A2}" name="Cow &gt; 2" dataDxfId="149" dataCellStyle="Content normal">
      <calculatedColumnFormula array="1">Common_InputFunctions.Utility_DisplayArrayInTable(SourceData_PastureBeef.SourceData_PastureBeef_Liveweight_Data(), Table_SourceData_PastureBeef_Liveweight[[#Headers],[State]], 0)</calculatedColumnFormula>
    </tableColumn>
    <tableColumn id="9" xr3:uid="{283FD0FE-EDD7-41EC-9973-F443783222AD}" name="Steer &lt; 1" dataDxfId="148" dataCellStyle="Content normal">
      <calculatedColumnFormula array="1">Common_InputFunctions.Utility_DisplayArrayInTable(SourceData_PastureBeef.SourceData_PastureBeef_Liveweight_Data(), Table_SourceData_PastureBeef_Liveweight[[#Headers],[State]], 0)</calculatedColumnFormula>
    </tableColumn>
    <tableColumn id="10" xr3:uid="{CE95EEDA-53BE-4CAB-B0F9-7EF05E503CB2}" name="Steer &gt; 1" dataDxfId="147" dataCellStyle="Content normal">
      <calculatedColumnFormula array="1">Common_InputFunctions.Utility_DisplayArrayInTable(SourceData_PastureBeef.SourceData_PastureBeef_Liveweight_Data(), Table_SourceData_PastureBeef_Liveweight[[#Headers],[State]], 0)</calculatedColumnFormula>
    </tableColumn>
  </tableColumns>
  <tableStyleInfo name="Equation table"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3" xr:uid="{56498C6E-3CDA-4A1F-A7E7-3227B1B0C952}" name="Table_SourceData_PastureBeef_LiveweightNTQD" displayName="Table_SourceData_PastureBeef_LiveweightNTQD" ref="D53:P81" totalsRowShown="0">
  <autoFilter ref="D53:P81" xr:uid="{56498C6E-3CDA-4A1F-A7E7-3227B1B0C952}">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autoFilter>
  <tableColumns count="13">
    <tableColumn id="1" xr3:uid="{851CDAB9-30F3-4D8B-9322-449D46FB99C8}" name="State">
      <calculatedColumnFormula array="1">Common_InputFunctions.Utility_DisplayArrayInTable(SourceData_PastureBeef.SourceData_PastureBeef_LiveweightNTQLD_Data(),Table_SourceData_PastureBeef_LiveweightNTQD[[#Headers],[State]], 0)</calculatedColumnFormula>
    </tableColumn>
    <tableColumn id="2" xr3:uid="{7A0D8CD2-76C4-4CED-A927-35B62C128A2F}" name="Region" dataDxfId="146" dataCellStyle="Content normal">
      <calculatedColumnFormula array="1">Common_InputFunctions.Utility_DisplayArrayInTable(SourceData_PastureBeef.SourceData_PastureBeef_LiveweightNTQLD_Data(),Table_SourceData_PastureBeef_LiveweightNTQD[[#Headers],[State]], 0)</calculatedColumnFormula>
    </tableColumn>
    <tableColumn id="3" xr3:uid="{9C971B2C-3210-4D10-A249-F37DCC11CCF4}" name="Season" dataDxfId="145" dataCellStyle="Content normal">
      <calculatedColumnFormula array="1">Common_InputFunctions.Utility_DisplayArrayInTable(SourceData_PastureBeef.SourceData_PastureBeef_LiveweightNTQLD_Data(),Table_SourceData_PastureBeef_LiveweightNTQD[[#Headers],[State]], 0)</calculatedColumnFormula>
    </tableColumn>
    <tableColumn id="4" xr3:uid="{874B4047-1255-451E-B7B9-0DC3F6E18704}" name="Bull &lt;1" dataDxfId="144" dataCellStyle="Content normal">
      <calculatedColumnFormula array="1">Common_InputFunctions.Utility_DisplayArrayInTable(SourceData_PastureBeef.SourceData_PastureBeef_LiveweightNTQLD_Data(),Table_SourceData_PastureBeef_LiveweightNTQD[[#Headers],[State]], 0)</calculatedColumnFormula>
    </tableColumn>
    <tableColumn id="5" xr3:uid="{F0E39248-C239-4D9A-B924-5B4122DD3335}" name="Bull &gt;1" dataDxfId="143" dataCellStyle="Content normal">
      <calculatedColumnFormula array="1">Common_InputFunctions.Utility_DisplayArrayInTable(SourceData_PastureBeef.SourceData_PastureBeef_LiveweightNTQLD_Data(),Table_SourceData_PastureBeef_LiveweightNTQD[[#Headers],[State]], 0)</calculatedColumnFormula>
    </tableColumn>
    <tableColumn id="6" xr3:uid="{1AE79DA0-8BA7-45FE-A02A-E699EC3A7ABE}" name="Cows &lt;1" dataDxfId="142" dataCellStyle="Content normal">
      <calculatedColumnFormula array="1">Common_InputFunctions.Utility_DisplayArrayInTable(SourceData_PastureBeef.SourceData_PastureBeef_LiveweightNTQLD_Data(),Table_SourceData_PastureBeef_LiveweightNTQD[[#Headers],[State]], 0)</calculatedColumnFormula>
    </tableColumn>
    <tableColumn id="7" xr3:uid="{FBAD97A0-6F6A-4351-A5F7-F85183B35F12}" name="Cows 1-2" dataDxfId="141" dataCellStyle="Content normal">
      <calculatedColumnFormula array="1">Common_InputFunctions.Utility_DisplayArrayInTable(SourceData_PastureBeef.SourceData_PastureBeef_LiveweightNTQLD_Data(),Table_SourceData_PastureBeef_LiveweightNTQD[[#Headers],[State]], 0)</calculatedColumnFormula>
    </tableColumn>
    <tableColumn id="8" xr3:uid="{2E379D57-4FC8-4EEB-BA4D-5D7755234A40}" name="Cows 2-3" dataDxfId="140" dataCellStyle="Content normal">
      <calculatedColumnFormula array="1">Common_InputFunctions.Utility_DisplayArrayInTable(SourceData_PastureBeef.SourceData_PastureBeef_LiveweightNTQLD_Data(),Table_SourceData_PastureBeef_LiveweightNTQD[[#Headers],[State]], 0)</calculatedColumnFormula>
    </tableColumn>
    <tableColumn id="9" xr3:uid="{8A79EA22-E7F8-4ADE-BBC7-6B462317A590}" name="Cows &gt;3" dataDxfId="139" dataCellStyle="Content normal">
      <calculatedColumnFormula array="1">Common_InputFunctions.Utility_DisplayArrayInTable(SourceData_PastureBeef.SourceData_PastureBeef_LiveweightNTQLD_Data(),Table_SourceData_PastureBeef_LiveweightNTQD[[#Headers],[State]], 0)</calculatedColumnFormula>
    </tableColumn>
    <tableColumn id="10" xr3:uid="{DC9C66B1-DE8A-40D1-9773-6DB37EF483E3}" name="Steer &lt;1" dataDxfId="138" dataCellStyle="Content normal">
      <calculatedColumnFormula array="1">Common_InputFunctions.Utility_DisplayArrayInTable(SourceData_PastureBeef.SourceData_PastureBeef_LiveweightNTQLD_Data(),Table_SourceData_PastureBeef_LiveweightNTQD[[#Headers],[State]], 0)</calculatedColumnFormula>
    </tableColumn>
    <tableColumn id="11" xr3:uid="{C56443C5-8365-44B2-8B18-C7F20BCF6854}" name="Steer 1-2" dataDxfId="137" dataCellStyle="Content normal">
      <calculatedColumnFormula array="1">Common_InputFunctions.Utility_DisplayArrayInTable(SourceData_PastureBeef.SourceData_PastureBeef_LiveweightNTQLD_Data(),Table_SourceData_PastureBeef_LiveweightNTQD[[#Headers],[State]], 0)</calculatedColumnFormula>
    </tableColumn>
    <tableColumn id="12" xr3:uid="{1F279311-B7CE-4F9D-AD79-EC46275AAD28}" name="Steer 2-3" dataDxfId="136" dataCellStyle="Content normal">
      <calculatedColumnFormula array="1">Common_InputFunctions.Utility_DisplayArrayInTable(SourceData_PastureBeef.SourceData_PastureBeef_LiveweightNTQLD_Data(),Table_SourceData_PastureBeef_LiveweightNTQD[[#Headers],[State]], 0)</calculatedColumnFormula>
    </tableColumn>
    <tableColumn id="13" xr3:uid="{DA3B02CA-7E51-4609-A37E-AD549F7C7604}" name="Steer &gt;3" dataDxfId="135" dataCellStyle="Content normal">
      <calculatedColumnFormula array="1">Common_InputFunctions.Utility_DisplayArrayInTable(SourceData_PastureBeef.SourceData_PastureBeef_LiveweightNTQLD_Data(),Table_SourceData_PastureBeef_LiveweightNTQD[[#Headers],[State]], 0)</calculatedColumnFormula>
    </tableColumn>
  </tableColumns>
  <tableStyleInfo name="Equation table"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4" xr:uid="{C5E9D0D1-9D34-431E-BF55-46DC48CCCDFA}" name="Table_SourceData_PastureBeef_LiveweightAllStates" displayName="Table_SourceData_PastureBeef_LiveweightAllStates" ref="D85:P149" totalsRowShown="0">
  <autoFilter ref="D85:P149" xr:uid="{C5E9D0D1-9D34-431E-BF55-46DC48CCCDFA}">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autoFilter>
  <tableColumns count="13">
    <tableColumn id="1" xr3:uid="{4BFB18C8-8542-4B27-B1ED-52A807D58FCB}" name="State"/>
    <tableColumn id="2" xr3:uid="{5E3FC83D-8D61-4FFB-B528-EA89F6CACC37}" name="Region">
      <calculatedColumnFormula>E22</calculatedColumnFormula>
    </tableColumn>
    <tableColumn id="3" xr3:uid="{7B9CA70A-8AEB-4867-ABB8-F1859D395C4D}" name="Season">
      <calculatedColumnFormula>F22</calculatedColumnFormula>
    </tableColumn>
    <tableColumn id="4" xr3:uid="{843E5D58-5F9F-4F3C-8EB3-A370FD63B24A}" name="Bulls &lt; 1 year">
      <calculatedColumnFormula>G22</calculatedColumnFormula>
    </tableColumn>
    <tableColumn id="5" xr3:uid="{4C324F06-AAEC-4A68-965A-1E54933FF29E}" name="Bulls &gt; 1 year">
      <calculatedColumnFormula>H22</calculatedColumnFormula>
    </tableColumn>
    <tableColumn id="6" xr3:uid="{5EA2FB66-FF36-4CA1-8118-FBDBF879D8EF}" name="Cows &lt; 1 year">
      <calculatedColumnFormula>I22</calculatedColumnFormula>
    </tableColumn>
    <tableColumn id="7" xr3:uid="{3353C9E1-9E27-43CE-A436-732C3DA7FD19}" name="Cows 1-2 years">
      <calculatedColumnFormula>J22</calculatedColumnFormula>
    </tableColumn>
    <tableColumn id="8" xr3:uid="{7CB0CDDB-5B6A-47CF-9609-FD987B935A0A}" name="Cows 2-3 years">
      <calculatedColumnFormula>K22</calculatedColumnFormula>
    </tableColumn>
    <tableColumn id="9" xr3:uid="{E87F7365-5FE1-4823-ADF0-44C6E381C335}" name="Cows &gt; 3 years">
      <calculatedColumnFormula>L22</calculatedColumnFormula>
    </tableColumn>
    <tableColumn id="10" xr3:uid="{B543BF91-A5E4-426F-B1EF-10B5AFA9F9CC}" name="Steers &lt; 1 year">
      <calculatedColumnFormula>M22</calculatedColumnFormula>
    </tableColumn>
    <tableColumn id="11" xr3:uid="{8B365310-8B8E-4A3B-ACA1-D9A0013335B7}" name="Steers 1-2 years">
      <calculatedColumnFormula>N22</calculatedColumnFormula>
    </tableColumn>
    <tableColumn id="12" xr3:uid="{96A14213-BDC9-4DA1-9EBD-6FDA5F3800F5}" name="Steers 2-3 years">
      <calculatedColumnFormula>O22</calculatedColumnFormula>
    </tableColumn>
    <tableColumn id="13" xr3:uid="{7C5DDF77-9292-4720-8EF5-364E2B549EE2}" name="Steers &gt;3 years">
      <calculatedColumnFormula>P22</calculatedColumnFormula>
    </tableColumn>
  </tableColumns>
  <tableStyleInfo name="Equation table"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6" xr:uid="{0152B2C3-CC3B-4554-AC62-87093E6D416E}" name="Table_SourceData_PastureBeef_Region_Queensland" displayName="Table_SourceData_PastureBeef_Region_Queensland" ref="Q7:Q11" totalsRowShown="0">
  <autoFilter ref="Q7:Q11" xr:uid="{0152B2C3-CC3B-4554-AC62-87093E6D416E}">
    <filterColumn colId="0" hiddenButton="1"/>
  </autoFilter>
  <tableColumns count="1">
    <tableColumn id="1" xr3:uid="{391B48E4-E5EE-4C93-9B2D-D42BDADF3656}" name="Region"/>
  </tableColumns>
  <tableStyleInfo name="Equation table"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7" xr:uid="{2B557DC2-537E-4888-B9B7-260F5041B425}" name="Table_SourceData_PastureBeef_Region_NorthernTerritory" displayName="Table_SourceData_PastureBeef_Region_NorthernTerritory" ref="O7:O10" totalsRowShown="0">
  <autoFilter ref="O7:O10" xr:uid="{2B557DC2-537E-4888-B9B7-260F5041B425}">
    <filterColumn colId="0" hiddenButton="1"/>
  </autoFilter>
  <tableColumns count="1">
    <tableColumn id="1" xr3:uid="{9A7F7E79-1720-45BA-AB54-E0D8F6FE5930}" name="Region"/>
  </tableColumns>
  <tableStyleInfo name="Equation table"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8" xr:uid="{69C19929-4234-4DF1-A517-B50C12615BC1}" name="Table_SourceData_PastureBeef_Region_WesternAustralia" displayName="Table_SourceData_PastureBeef_Region_WesternAustralia" ref="M7:M10" totalsRowShown="0">
  <autoFilter ref="M7:M10" xr:uid="{69C19929-4234-4DF1-A517-B50C12615BC1}">
    <filterColumn colId="0" hiddenButton="1"/>
  </autoFilter>
  <tableColumns count="1">
    <tableColumn id="1" xr3:uid="{919A169E-76EA-47F5-99AF-93B01DC8FD6B}" name="Region"/>
  </tableColumns>
  <tableStyleInfo name="Equation table"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9" xr:uid="{7D474D93-C1E0-4898-A434-69585070D0B9}" name="Table_SourceData_PastureBeef_Region_Victoria" displayName="Table_SourceData_PastureBeef_Region_Victoria" ref="S7:S8" totalsRowShown="0">
  <autoFilter ref="S7:S8" xr:uid="{7D474D93-C1E0-4898-A434-69585070D0B9}">
    <filterColumn colId="0" hiddenButton="1"/>
  </autoFilter>
  <tableColumns count="1">
    <tableColumn id="1" xr3:uid="{6F49E8B4-83E8-456B-89F0-29B15C8B03EE}" name="Region"/>
  </tableColumns>
  <tableStyleInfo name="Equation table"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0" xr:uid="{C2ECEA10-DD31-42C9-8624-54C901A6DE17}" name="Table_SourceData_PastureBeef_Region_NewSouthWales" displayName="Table_SourceData_PastureBeef_Region_NewSouthWales" ref="S12:S13" totalsRowShown="0">
  <autoFilter ref="S12:S13" xr:uid="{C2ECEA10-DD31-42C9-8624-54C901A6DE17}">
    <filterColumn colId="0" hiddenButton="1"/>
  </autoFilter>
  <tableColumns count="1">
    <tableColumn id="1" xr3:uid="{2E97A70C-1DDE-4F0C-B840-3C9245B2D40A}" name="Region"/>
  </tableColumns>
  <tableStyleInfo name="Equation table"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1" xr:uid="{4B45161F-EF95-4623-81B8-A0254915E4F9}" name="Table_SourceData_PastureBeef_Region_SouthAustralia" displayName="Table_SourceData_PastureBeef_Region_SouthAustralia" ref="S17:S18" totalsRowShown="0">
  <autoFilter ref="S17:S18" xr:uid="{4B45161F-EF95-4623-81B8-A0254915E4F9}">
    <filterColumn colId="0" hiddenButton="1"/>
  </autoFilter>
  <tableColumns count="1">
    <tableColumn id="1" xr3:uid="{B9FCA7A0-F775-4D10-A63C-9590F1A4A990}" name="Region"/>
  </tableColumns>
  <tableStyleInfo name="Equation table"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2" xr:uid="{4E5A7E40-F6AE-4323-873A-9AB20571A18A}" name="Table_SourceData_PastureBeef_Region_Tasmania" displayName="Table_SourceData_PastureBeef_Region_Tasmania" ref="S22:S23" totalsRowShown="0">
  <autoFilter ref="S22:S23" xr:uid="{4E5A7E40-F6AE-4323-873A-9AB20571A18A}">
    <filterColumn colId="0" hiddenButton="1"/>
  </autoFilter>
  <tableColumns count="1">
    <tableColumn id="1" xr3:uid="{942893EE-862F-4951-803A-E0730FEC48A4}" name="Region"/>
  </tableColumns>
  <tableStyleInfo name="Equation table"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3" xr:uid="{3655B7FD-A2CC-4B05-9668-16F7A54ED6C1}" name="Table_SourceData_PastureBeef_Region_ACT" displayName="Table_SourceData_PastureBeef_Region_ACT" ref="S27:S28" totalsRowShown="0">
  <autoFilter ref="S27:S28" xr:uid="{3655B7FD-A2CC-4B05-9668-16F7A54ED6C1}">
    <filterColumn colId="0" hiddenButton="1"/>
  </autoFilter>
  <tableColumns count="1">
    <tableColumn id="1" xr3:uid="{84B74245-FD6B-4B74-A1AE-BBD31C345FAC}" name="Region"/>
  </tableColumns>
  <tableStyleInfo name="Equation table"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4" xr:uid="{1BDA4B1D-6D40-4D72-9B20-AC64B61CEA53}" name="Table_SourceData_PastureBeef_LiveweightGain" displayName="Table_SourceData_PastureBeef_LiveweightGain" ref="D154:M182" totalsRowShown="0">
  <autoFilter ref="D154:M182" xr:uid="{1BDA4B1D-6D40-4D72-9B20-AC64B61CEA53}">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autoFilter>
  <tableColumns count="10">
    <tableColumn id="1" xr3:uid="{A07E5472-BA0D-46AD-A90F-29E8A419958D}" name="State">
      <calculatedColumnFormula array="1">Common_InputFunctions.Utility_DisplayArrayInTable(SourceData_PastureBeef.SourceData_PastureBeef_LiveweightGain_Data(), Table_SourceData_PastureBeef_LiveweightGain[[#Headers],[State]],0)</calculatedColumnFormula>
    </tableColumn>
    <tableColumn id="2" xr3:uid="{96AB3E3A-660F-4D79-8B08-CFEE612D2D23}" name="Region" dataDxfId="134" dataCellStyle="Content normal">
      <calculatedColumnFormula array="1">Common_InputFunctions.Utility_DisplayArrayInTable(SourceData_PastureBeef.SourceData_PastureBeef_LiveweightGain_Data(), Table_SourceData_PastureBeef_LiveweightGain[[#Headers],[State]],0)</calculatedColumnFormula>
    </tableColumn>
    <tableColumn id="3" xr3:uid="{F6362343-58D3-4E0A-A7C0-CA6A4DC83232}" name="Season" dataDxfId="133" dataCellStyle="Content normal">
      <calculatedColumnFormula array="1">Common_InputFunctions.Utility_DisplayArrayInTable(SourceData_PastureBeef.SourceData_PastureBeef_LiveweightGain_Data(), Table_SourceData_PastureBeef_LiveweightGain[[#Headers],[State]],0)</calculatedColumnFormula>
    </tableColumn>
    <tableColumn id="4" xr3:uid="{0BC12CEA-B542-4BC6-970E-B212FC46F0C0}" name="Bull &lt;1" dataDxfId="132" dataCellStyle="Content normal">
      <calculatedColumnFormula array="1">Common_InputFunctions.Utility_DisplayArrayInTable(SourceData_PastureBeef.SourceData_PastureBeef_LiveweightGain_Data(), Table_SourceData_PastureBeef_LiveweightGain[[#Headers],[State]],0)</calculatedColumnFormula>
    </tableColumn>
    <tableColumn id="5" xr3:uid="{97957D93-EE73-4E24-A26A-8B45BA4F9501}" name="Bull &gt;1" dataDxfId="131" dataCellStyle="Content normal">
      <calculatedColumnFormula array="1">Common_InputFunctions.Utility_DisplayArrayInTable(SourceData_PastureBeef.SourceData_PastureBeef_LiveweightGain_Data(), Table_SourceData_PastureBeef_LiveweightGain[[#Headers],[State]],0)</calculatedColumnFormula>
    </tableColumn>
    <tableColumn id="6" xr3:uid="{C05A9E9E-E7B7-4F57-A255-47BC1716DB03}" name="Cow &lt;1" dataDxfId="130" dataCellStyle="Content normal">
      <calculatedColumnFormula array="1">Common_InputFunctions.Utility_DisplayArrayInTable(SourceData_PastureBeef.SourceData_PastureBeef_LiveweightGain_Data(), Table_SourceData_PastureBeef_LiveweightGain[[#Headers],[State]],0)</calculatedColumnFormula>
    </tableColumn>
    <tableColumn id="7" xr3:uid="{0F494211-5D43-45F3-B566-E5E9E7162E3A}" name="Cow 1-2" dataDxfId="129" dataCellStyle="Content normal">
      <calculatedColumnFormula array="1">Common_InputFunctions.Utility_DisplayArrayInTable(SourceData_PastureBeef.SourceData_PastureBeef_LiveweightGain_Data(), Table_SourceData_PastureBeef_LiveweightGain[[#Headers],[State]],0)</calculatedColumnFormula>
    </tableColumn>
    <tableColumn id="8" xr3:uid="{E2A4DDC3-C9FA-4A30-BA7C-286C7DE54328}" name="Cow &gt;2" dataDxfId="128" dataCellStyle="Content normal">
      <calculatedColumnFormula array="1">Common_InputFunctions.Utility_DisplayArrayInTable(SourceData_PastureBeef.SourceData_PastureBeef_LiveweightGain_Data(), Table_SourceData_PastureBeef_LiveweightGain[[#Headers],[State]],0)</calculatedColumnFormula>
    </tableColumn>
    <tableColumn id="9" xr3:uid="{CE59B6A3-1569-4018-B75C-AA81AC437966}" name="Steer &lt;1" dataDxfId="127" dataCellStyle="Content normal">
      <calculatedColumnFormula array="1">Common_InputFunctions.Utility_DisplayArrayInTable(SourceData_PastureBeef.SourceData_PastureBeef_LiveweightGain_Data(), Table_SourceData_PastureBeef_LiveweightGain[[#Headers],[State]],0)</calculatedColumnFormula>
    </tableColumn>
    <tableColumn id="10" xr3:uid="{786DF8A9-A36B-4319-989C-3B2C2913CB47}" name="Steer &gt;1" dataDxfId="126" dataCellStyle="Content normal">
      <calculatedColumnFormula array="1">Common_InputFunctions.Utility_DisplayArrayInTable(SourceData_PastureBeef.SourceData_PastureBeef_LiveweightGain_Data(), Table_SourceData_PastureBeef_LiveweightGain[[#Headers],[State]],0)</calculatedColumnFormula>
    </tableColumn>
  </tableColumns>
  <tableStyleInfo name="Equation table"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5" xr:uid="{9BC52070-7B99-44CF-8B4E-32C43FBD96CF}" name="Table_SourceData_PastureBeef_LiveweightGainNTQLD" displayName="Table_SourceData_PastureBeef_LiveweightGainNTQLD" ref="D189:P217" totalsRowShown="0">
  <autoFilter ref="D189:P217" xr:uid="{9BC52070-7B99-44CF-8B4E-32C43FBD96CF}">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autoFilter>
  <tableColumns count="13">
    <tableColumn id="1" xr3:uid="{6B06C6EB-DA3D-4A22-9E30-950E17911AE3}" name="State">
      <calculatedColumnFormula array="1">Common_InputFunctions.Utility_DisplayArrayInTable(SourceData_PastureBeef.SourceData_PastureBeef_LiveweightGainNTQLD_Data(),Table_SourceData_PastureBeef_LiveweightGainNTQLD[[#Headers],[State]],0)</calculatedColumnFormula>
    </tableColumn>
    <tableColumn id="2" xr3:uid="{5B265E05-CA11-4FBE-82D4-A83A44DF7BED}" name="Region" dataDxfId="125"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3" xr3:uid="{8C0A678D-0ABD-4679-A1E6-4747A9DB7E9C}" name="Season" dataDxfId="124"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4" xr3:uid="{1E3E6632-D7F2-4BF9-8D58-28DFC93F3A08}" name="Bull &lt;1" dataDxfId="123"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5" xr3:uid="{16428095-7B16-4F14-9E24-09E3F8F87518}" name="Bull &gt;1" dataDxfId="122"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6" xr3:uid="{F4215E65-73BC-44C9-A47B-670DA4466F63}" name="Cow &lt;1" dataDxfId="121"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7" xr3:uid="{899202C0-CD56-482C-A156-6B1D1C96A13F}" name="Cow 1-2" dataDxfId="120"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8" xr3:uid="{C3633495-5227-4A9A-B8C0-9EAD0E7C2C84}" name="Cow 2-3" dataDxfId="119"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9" xr3:uid="{C1D14163-201A-4A37-9224-543F996DB67F}" name="Cow &gt;3" dataDxfId="118"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10" xr3:uid="{7FD5AD27-CF7D-47B8-BB42-6B37FADC3ED7}" name="Steer &lt;1" dataDxfId="117"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11" xr3:uid="{391C1EF1-AFF5-4E7A-A3D6-864DE9548681}" name="Steer 1-2" dataDxfId="116"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12" xr3:uid="{434EF34A-03CA-4E1A-B9D8-B28C616615ED}" name="Steer 2-3" dataDxfId="115"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13" xr3:uid="{8B699F4A-2876-4966-989C-FBC9A7C34E0F}" name="Steer &gt;3" dataDxfId="114"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s>
  <tableStyleInfo name="Equation table"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7" xr:uid="{B94F72DD-5F7F-4594-8B05-AA19A8FE1796}" name="Table_SourceData_PastureBeef_LiveweightGainAllStates" displayName="Table_SourceData_PastureBeef_LiveweightGainAllStates" ref="D222:P282" totalsRowShown="0">
  <autoFilter ref="D222:P282" xr:uid="{B94F72DD-5F7F-4594-8B05-AA19A8FE179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autoFilter>
  <tableColumns count="13">
    <tableColumn id="1" xr3:uid="{AF572FAD-EE72-4FAE-ABD7-6AE1705D0B0D}" name="State"/>
    <tableColumn id="2" xr3:uid="{6CD6A8DE-3673-4B83-81DE-D962A2D2A485}" name="Region">
      <calculatedColumnFormula>E159</calculatedColumnFormula>
    </tableColumn>
    <tableColumn id="3" xr3:uid="{AC2B56C3-EAA6-4EB7-8AE8-595B24DDA286}" name="Season">
      <calculatedColumnFormula>F159</calculatedColumnFormula>
    </tableColumn>
    <tableColumn id="4" xr3:uid="{08B8437B-3F1B-4B67-96D6-D3205B887359}" name="Bulls &lt; 1 year">
      <calculatedColumnFormula>G159</calculatedColumnFormula>
    </tableColumn>
    <tableColumn id="5" xr3:uid="{CD173C65-37CB-47D4-9539-A607834353CA}" name="Bulls &gt; 1 year">
      <calculatedColumnFormula>H159</calculatedColumnFormula>
    </tableColumn>
    <tableColumn id="6" xr3:uid="{F0F0A114-C329-4154-B2DB-771A6B064444}" name="Cows &lt; 1 year">
      <calculatedColumnFormula>I159</calculatedColumnFormula>
    </tableColumn>
    <tableColumn id="7" xr3:uid="{761E5345-3D87-40AC-B840-E970BEAD4881}" name="Cows 1-2 years">
      <calculatedColumnFormula>J159</calculatedColumnFormula>
    </tableColumn>
    <tableColumn id="8" xr3:uid="{61CEB2F6-1825-4DC6-9E30-29B9B1373F7D}" name="Cows 2-3 years">
      <calculatedColumnFormula>K159</calculatedColumnFormula>
    </tableColumn>
    <tableColumn id="9" xr3:uid="{CB252A06-219C-4E93-8701-6BF8F198053D}" name="Cows &gt; 3 years">
      <calculatedColumnFormula>L159</calculatedColumnFormula>
    </tableColumn>
    <tableColumn id="10" xr3:uid="{6B66DB24-C04A-4D4C-B9BD-CDC6F4F5F354}" name="Steers &lt; 1 year">
      <calculatedColumnFormula>M159</calculatedColumnFormula>
    </tableColumn>
    <tableColumn id="11" xr3:uid="{9C7A5F7A-D394-46BB-8AC1-693C660CFDB6}" name="Steers 1-2 years">
      <calculatedColumnFormula>N159</calculatedColumnFormula>
    </tableColumn>
    <tableColumn id="12" xr3:uid="{83B5303D-9DB1-46F1-BB3E-05B25A2AEFB1}" name="Steers 2-3 years">
      <calculatedColumnFormula>O159</calculatedColumnFormula>
    </tableColumn>
    <tableColumn id="13" xr3:uid="{22665AE4-33C3-49E0-ADD0-40C083DBA62A}" name="Steers &gt;3 years">
      <calculatedColumnFormula>P159</calculatedColumnFormula>
    </tableColumn>
  </tableColumns>
  <tableStyleInfo name="Equation table"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8" xr:uid="{901924B3-1836-4FF2-9419-A38B530E9158}" name="Table_SourceData_PastureBeef_DryMatterDigestibility" displayName="Table_SourceData_PastureBeef_DryMatterDigestibility" ref="D290:I305" totalsRowShown="0">
  <autoFilter ref="D290:I305" xr:uid="{901924B3-1836-4FF2-9419-A38B530E9158}">
    <filterColumn colId="0" hiddenButton="1"/>
    <filterColumn colId="1" hiddenButton="1"/>
    <filterColumn colId="2" hiddenButton="1"/>
    <filterColumn colId="3" hiddenButton="1"/>
    <filterColumn colId="4" hiddenButton="1"/>
    <filterColumn colId="5" hiddenButton="1"/>
  </autoFilter>
  <tableColumns count="6">
    <tableColumn id="1" xr3:uid="{2DB91F1C-A1D3-4F22-9BE7-626839FBC312}" name="State">
      <calculatedColumnFormula array="1">Common_InputFunctions.Utility_DisplayArrayInTable(SourceData_PastureBeef.SourceData_PastureBeef_DryMatterDigestibility_Data(), Table_SourceData_PastureBeef_DryMatterDigestibility[[#Headers],[State]], 0)</calculatedColumnFormula>
    </tableColumn>
    <tableColumn id="2" xr3:uid="{80718C0A-F8A6-4CEC-A0A5-0F9223452724}" name="Region" dataDxfId="113" dataCellStyle="Content normal">
      <calculatedColumnFormula array="1">Common_InputFunctions.Utility_DisplayArrayInTable(SourceData_PastureBeef.SourceData_PastureBeef_DryMatterDigestibility_Data(), Table_SourceData_PastureBeef_DryMatterDigestibility[[#Headers],[State]], 0)</calculatedColumnFormula>
    </tableColumn>
    <tableColumn id="3" xr3:uid="{CB3FCE88-9EEF-4B12-88E8-219C0F2EF649}" name="Spring" dataDxfId="112" dataCellStyle="Content normal">
      <calculatedColumnFormula array="1">Common_InputFunctions.Utility_DisplayArrayInTable(SourceData_PastureBeef.SourceData_PastureBeef_DryMatterDigestibility_Data(), Table_SourceData_PastureBeef_DryMatterDigestibility[[#Headers],[State]], 0)</calculatedColumnFormula>
    </tableColumn>
    <tableColumn id="4" xr3:uid="{18D029B1-54E5-4EA2-8BE2-3EBE9F20B5EB}" name="Summer" dataDxfId="111" dataCellStyle="Content normal">
      <calculatedColumnFormula array="1">Common_InputFunctions.Utility_DisplayArrayInTable(SourceData_PastureBeef.SourceData_PastureBeef_DryMatterDigestibility_Data(), Table_SourceData_PastureBeef_DryMatterDigestibility[[#Headers],[State]], 0)</calculatedColumnFormula>
    </tableColumn>
    <tableColumn id="5" xr3:uid="{49D61756-A207-4F90-A7E9-F6F1693D8CFB}" name="Autumn" dataDxfId="110" dataCellStyle="Content normal">
      <calculatedColumnFormula array="1">Common_InputFunctions.Utility_DisplayArrayInTable(SourceData_PastureBeef.SourceData_PastureBeef_DryMatterDigestibility_Data(), Table_SourceData_PastureBeef_DryMatterDigestibility[[#Headers],[State]], 0)</calculatedColumnFormula>
    </tableColumn>
    <tableColumn id="6" xr3:uid="{9651C4AB-A38F-4907-BB90-C574CA7901F3}" name="Winter" dataDxfId="109" dataCellStyle="Content normal">
      <calculatedColumnFormula array="1">Common_InputFunctions.Utility_DisplayArrayInTable(SourceData_PastureBeef.SourceData_PastureBeef_DryMatterDigestibility_Data(), Table_SourceData_PastureBeef_DryMatterDigestibility[[#Headers],[State]], 0)</calculatedColumnFormula>
    </tableColumn>
  </tableColumns>
  <tableStyleInfo name="Equation table"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9" xr:uid="{75841D5E-1F24-46B7-B5F9-1E024F5554ED}" name="Table_SourceData_PastureBeef_CrudeProtein" displayName="Table_SourceData_PastureBeef_CrudeProtein" ref="D313:I328" totalsRowShown="0" dataDxfId="108" dataCellStyle="Content normal">
  <autoFilter ref="D313:I328" xr:uid="{75841D5E-1F24-46B7-B5F9-1E024F5554ED}">
    <filterColumn colId="0" hiddenButton="1"/>
    <filterColumn colId="1" hiddenButton="1"/>
    <filterColumn colId="2" hiddenButton="1"/>
    <filterColumn colId="3" hiddenButton="1"/>
    <filterColumn colId="4" hiddenButton="1"/>
    <filterColumn colId="5" hiddenButton="1"/>
  </autoFilter>
  <tableColumns count="6">
    <tableColumn id="1" xr3:uid="{37381FB6-BFB9-4C30-9A7F-80CC9CE5929E}" name="State" dataDxfId="107" dataCellStyle="Content normal">
      <calculatedColumnFormula array="1">Common_InputFunctions.Utility_DisplayArrayInTable(SourceData_PastureBeef.SourceData_PastureBeef_CrudeProteinContent_Data(), Table_SourceData_PastureBeef_CrudeProtein[[#Headers],[State]], 0)</calculatedColumnFormula>
    </tableColumn>
    <tableColumn id="2" xr3:uid="{B95DC302-3595-47A1-8EDF-3F14F4B53A0E}" name="Region" dataDxfId="106" dataCellStyle="Content normal">
      <calculatedColumnFormula array="1">Common_InputFunctions.Utility_DisplayArrayInTable(SourceData_PastureBeef.SourceData_PastureBeef_CrudeProteinContent_Data(), Table_SourceData_PastureBeef_CrudeProtein[[#Headers],[State]], 0)</calculatedColumnFormula>
    </tableColumn>
    <tableColumn id="3" xr3:uid="{20691273-F4CD-4A97-B9A1-390E998B0A11}" name="Spring" dataDxfId="105" dataCellStyle="Content normal">
      <calculatedColumnFormula array="1">Common_InputFunctions.Utility_DisplayArrayInTable(SourceData_PastureBeef.SourceData_PastureBeef_CrudeProteinContent_Data(), Table_SourceData_PastureBeef_CrudeProtein[[#Headers],[State]], 0)</calculatedColumnFormula>
    </tableColumn>
    <tableColumn id="4" xr3:uid="{67603B70-F958-48B3-8A65-850E548C07A9}" name="Summer" dataDxfId="104" dataCellStyle="Content normal">
      <calculatedColumnFormula array="1">Common_InputFunctions.Utility_DisplayArrayInTable(SourceData_PastureBeef.SourceData_PastureBeef_CrudeProteinContent_Data(), Table_SourceData_PastureBeef_CrudeProtein[[#Headers],[State]], 0)</calculatedColumnFormula>
    </tableColumn>
    <tableColumn id="5" xr3:uid="{4918E742-9217-412D-9836-89562855744E}" name="Autumn" dataDxfId="103" dataCellStyle="Content normal">
      <calculatedColumnFormula array="1">Common_InputFunctions.Utility_DisplayArrayInTable(SourceData_PastureBeef.SourceData_PastureBeef_CrudeProteinContent_Data(), Table_SourceData_PastureBeef_CrudeProtein[[#Headers],[State]], 0)</calculatedColumnFormula>
    </tableColumn>
    <tableColumn id="6" xr3:uid="{92ABF4F6-A507-4003-ADD7-EEFBA65B509A}" name="Winter" dataDxfId="102" dataCellStyle="Content normal">
      <calculatedColumnFormula array="1">Common_InputFunctions.Utility_DisplayArrayInTable(SourceData_PastureBeef.SourceData_PastureBeef_CrudeProteinContent_Data(), Table_SourceData_PastureBeef_CrudeProtein[[#Headers],[State]], 0)</calculatedColumnFormula>
    </tableColumn>
  </tableColumns>
  <tableStyleInfo name="Equation table"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0" xr:uid="{821A673E-F16D-473C-802E-953C84454BC9}" name="Table_SourceData_PastureBeef_FeedIntakeAdjustment" displayName="Table_SourceData_PastureBeef_FeedIntakeAdjustment" ref="D334:G342" totalsRowShown="0">
  <autoFilter ref="D334:G342" xr:uid="{821A673E-F16D-473C-802E-953C84454BC9}">
    <filterColumn colId="0" hiddenButton="1"/>
    <filterColumn colId="1" hiddenButton="1"/>
    <filterColumn colId="2" hiddenButton="1"/>
    <filterColumn colId="3" hiddenButton="1"/>
  </autoFilter>
  <tableColumns count="4">
    <tableColumn id="1" xr3:uid="{C5E09E67-BE9E-48C0-A683-79C53249DA82}" name="Breed">
      <calculatedColumnFormula array="1">Common_InputFunctions.Utility_DisplayArrayInTable(SourceData_PastureBeef.SourceData_PastureBeef_FeedAdjustmentAndMilkProduction_Data(), Table_SourceData_PastureBeef_FeedIntakeAdjustment[[#Headers],[Breed]], 0)</calculatedColumnFormula>
    </tableColumn>
    <tableColumn id="2" xr3:uid="{41EC237B-29BA-486C-8FEC-FD59027EA551}" name="Season" dataDxfId="101" dataCellStyle="Content normal">
      <calculatedColumnFormula array="1">Common_InputFunctions.Utility_DisplayArrayInTable(SourceData_PastureBeef.SourceData_PastureBeef_FeedAdjustmentAndMilkProduction_Data(), Table_SourceData_PastureBeef_FeedIntakeAdjustment[[#Headers],[Breed]], 0)</calculatedColumnFormula>
    </tableColumn>
    <tableColumn id="3" xr3:uid="{6F40D2C4-AAAE-401D-B30A-FCA44C570C62}" name="Feed adjustment" dataDxfId="100" dataCellStyle="Content normal">
      <calculatedColumnFormula array="1">Common_InputFunctions.Utility_DisplayArrayInTable(SourceData_PastureBeef.SourceData_PastureBeef_FeedAdjustmentAndMilkProduction_Data(), Table_SourceData_PastureBeef_FeedIntakeAdjustment[[#Headers],[Breed]], 0)</calculatedColumnFormula>
    </tableColumn>
    <tableColumn id="4" xr3:uid="{41840652-3AF3-4BDE-9A43-43E98303C42A}" name="Milk intake/production" dataDxfId="99" dataCellStyle="Content normal">
      <calculatedColumnFormula array="1">Common_InputFunctions.Utility_DisplayArrayInTable(SourceData_PastureBeef.SourceData_PastureBeef_FeedAdjustmentAndMilkProduction_Data(), Table_SourceData_PastureBeef_FeedIntakeAdjustment[[#Headers],[Breed]], 0)</calculatedColumnFormula>
    </tableColumn>
  </tableColumns>
  <tableStyleInfo name="Equation table"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1" xr:uid="{BB816EB3-DC71-47F4-AF08-1CE512BD24AC}" name="Table_SourceData_PastureBeef_StandardReferenceWeights" displayName="Table_SourceData_PastureBeef_StandardReferenceWeights" ref="D350:L358" totalsRowShown="0">
  <autoFilter ref="D350:L358" xr:uid="{BB816EB3-DC71-47F4-AF08-1CE512BD24AC}">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autoFilter>
  <tableColumns count="9">
    <tableColumn id="1" xr3:uid="{FFF1AA8E-EF59-46FE-973E-BAB0CFD80AEF}" name="State">
      <calculatedColumnFormula array="1">Common_InputFunctions.Utility_DisplayArrayInTable(SourceData_PastureBeef.SourceData_PastureBeef_StandardReferenceWeights_Data(), Table_SourceData_PastureBeef_StandardReferenceWeights[[#Headers],[State]], 0)</calculatedColumnFormula>
    </tableColumn>
    <tableColumn id="2" xr3:uid="{D1E05A7D-993D-469A-9D43-A5BE1AE317B3}" name="Bulls &lt;1" dataDxfId="98" dataCellStyle="Content normal">
      <calculatedColumnFormula array="1">Common_InputFunctions.Utility_DisplayArrayInTable(SourceData_PastureBeef.SourceData_PastureBeef_StandardReferenceWeights_Data(), Table_SourceData_PastureBeef_StandardReferenceWeights[[#Headers],[State]], 0)</calculatedColumnFormula>
    </tableColumn>
    <tableColumn id="3" xr3:uid="{AC48B6ED-6C38-43D2-B622-2B8454D957FB}" name="Bulls &gt;1" dataDxfId="97" dataCellStyle="Content normal">
      <calculatedColumnFormula array="1">Common_InputFunctions.Utility_DisplayArrayInTable(SourceData_PastureBeef.SourceData_PastureBeef_StandardReferenceWeights_Data(), Table_SourceData_PastureBeef_StandardReferenceWeights[[#Headers],[State]], 0)</calculatedColumnFormula>
    </tableColumn>
    <tableColumn id="4" xr3:uid="{4BF66A43-C069-42EB-9740-E6E3E85BE68B}" name="Cows &lt;1" dataDxfId="96" dataCellStyle="Content normal">
      <calculatedColumnFormula array="1">Common_InputFunctions.Utility_DisplayArrayInTable(SourceData_PastureBeef.SourceData_PastureBeef_StandardReferenceWeights_Data(), Table_SourceData_PastureBeef_StandardReferenceWeights[[#Headers],[State]], 0)</calculatedColumnFormula>
    </tableColumn>
    <tableColumn id="5" xr3:uid="{DC973D0B-5946-4CFD-820C-052371D87579}" name="Cows 1-2" dataDxfId="95" dataCellStyle="Content normal">
      <calculatedColumnFormula array="1">Common_InputFunctions.Utility_DisplayArrayInTable(SourceData_PastureBeef.SourceData_PastureBeef_StandardReferenceWeights_Data(), Table_SourceData_PastureBeef_StandardReferenceWeights[[#Headers],[State]], 0)</calculatedColumnFormula>
    </tableColumn>
    <tableColumn id="6" xr3:uid="{C606A270-ABAC-4CE9-B701-6CC4AD441270}" name="Cows &gt;2" dataDxfId="94" dataCellStyle="Content normal">
      <calculatedColumnFormula array="1">Common_InputFunctions.Utility_DisplayArrayInTable(SourceData_PastureBeef.SourceData_PastureBeef_StandardReferenceWeights_Data(), Table_SourceData_PastureBeef_StandardReferenceWeights[[#Headers],[State]], 0)</calculatedColumnFormula>
    </tableColumn>
    <tableColumn id="7" xr3:uid="{5574626B-C94A-4F90-BD7B-DC3FCB8EE609}" name="Steer &lt;1" dataDxfId="93" dataCellStyle="Content normal">
      <calculatedColumnFormula array="1">Common_InputFunctions.Utility_DisplayArrayInTable(SourceData_PastureBeef.SourceData_PastureBeef_StandardReferenceWeights_Data(), Table_SourceData_PastureBeef_StandardReferenceWeights[[#Headers],[State]], 0)</calculatedColumnFormula>
    </tableColumn>
    <tableColumn id="8" xr3:uid="{C38742CD-BEAC-48A8-B5F6-0FA8AC2ECD97}" name="Steer &gt;1" dataDxfId="92" dataCellStyle="Content normal">
      <calculatedColumnFormula array="1">Common_InputFunctions.Utility_DisplayArrayInTable(SourceData_PastureBeef.SourceData_PastureBeef_StandardReferenceWeights_Data(), Table_SourceData_PastureBeef_StandardReferenceWeights[[#Headers],[State]], 0)</calculatedColumnFormula>
    </tableColumn>
    <tableColumn id="9" xr3:uid="{17DCCB54-C85D-4733-ACD7-AD13FD4F6EBB}" name="State abbreviation" dataDxfId="91" dataCellStyle="Content normal">
      <calculatedColumnFormula array="1">Common_InputFunctions.Utility_DisplayArrayInTable(SourceData_PastureBeef.SourceData_PastureBeef_StandardReferenceWeights_Data(), Table_SourceData_PastureBeef_StandardReferenceWeights[[#Headers],[State]], 0)</calculatedColumnFormula>
    </tableColumn>
  </tableColumns>
  <tableStyleInfo name="Equation table"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2" xr:uid="{690C3A79-36FD-46EF-9464-C7837EBBC93B}" name="Table_SourceData_PastureBeef_StandardReferenceWeightsExpanded" displayName="Table_SourceData_PastureBeef_StandardReferenceWeightsExpanded" ref="D361:O369" totalsRowShown="0">
  <autoFilter ref="D361:O369" xr:uid="{690C3A79-36FD-46EF-9464-C7837EBBC93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3A5A9266-A552-4164-BF08-714CF917C261}" name="State" dataDxfId="90" dataCellStyle="Content normal">
      <calculatedColumnFormula>D351</calculatedColumnFormula>
    </tableColumn>
    <tableColumn id="2" xr3:uid="{B172192B-EDB5-47A5-A010-C82516ED13B5}" name="Bulls &lt; 1 year" dataDxfId="89" dataCellStyle="Content normal">
      <calculatedColumnFormula>E351</calculatedColumnFormula>
    </tableColumn>
    <tableColumn id="3" xr3:uid="{F83B528D-B6D7-4E92-967F-018ED1475D9B}" name="Bulls &gt; 1 year" dataDxfId="88" dataCellStyle="Content normal">
      <calculatedColumnFormula>F351</calculatedColumnFormula>
    </tableColumn>
    <tableColumn id="4" xr3:uid="{E83019D4-F113-4C9E-ADA7-433997A968A1}" name="Cows &lt; 1 year" dataDxfId="87" dataCellStyle="Content normal">
      <calculatedColumnFormula>G351</calculatedColumnFormula>
    </tableColumn>
    <tableColumn id="5" xr3:uid="{B51413B2-710F-409C-8C3C-6B72C8E99B49}" name="Cows 1-2 years" dataDxfId="86" dataCellStyle="Content normal">
      <calculatedColumnFormula>H351</calculatedColumnFormula>
    </tableColumn>
    <tableColumn id="6" xr3:uid="{F7B12596-1E7F-417C-83F5-67964BA7AAAE}" name="Cows 2-3 years" dataDxfId="85" dataCellStyle="Content normal">
      <calculatedColumnFormula>I351</calculatedColumnFormula>
    </tableColumn>
    <tableColumn id="7" xr3:uid="{C1B8EAD9-BCCE-49FF-9E3D-15E99DEC329C}" name="Cows &gt; 3 years" dataDxfId="84" dataCellStyle="Content normal">
      <calculatedColumnFormula>I351</calculatedColumnFormula>
    </tableColumn>
    <tableColumn id="8" xr3:uid="{6AB556D2-AF6C-4E98-9AA1-A8C6DC5F5CA9}" name="Steers &lt; 1 year" dataDxfId="83" dataCellStyle="Content normal">
      <calculatedColumnFormula>J351</calculatedColumnFormula>
    </tableColumn>
    <tableColumn id="9" xr3:uid="{46DC3CBA-6FB0-4A95-A39E-B2179DC8CFE6}" name="Steers 1-2 years" dataDxfId="82" dataCellStyle="Content normal">
      <calculatedColumnFormula>K351</calculatedColumnFormula>
    </tableColumn>
    <tableColumn id="10" xr3:uid="{105CEA90-EFAD-4757-B82A-B19E9A3F2664}" name="Steers 2-3 years" dataDxfId="81" dataCellStyle="Content normal"/>
    <tableColumn id="11" xr3:uid="{5E2A59D6-56CA-4967-885E-8602CA905B74}" name="Steers &gt;3 years" dataDxfId="80" dataCellStyle="Content normal"/>
    <tableColumn id="12" xr3:uid="{1C306FC1-FFBA-4C23-8EAD-1C07A5BAAA50}" name="State abbreviation" dataDxfId="79" dataCellStyle="Content normal"/>
  </tableColumns>
  <tableStyleInfo name="Equation table"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3" xr:uid="{003DF600-7F90-40C8-83F7-83F17E8C8244}" name="Table_SourceData_PastureBeef_FractionManureToMMS" displayName="Table_SourceData_PastureBeef_FractionManureToMMS" ref="D377:G392" totalsRowShown="0">
  <autoFilter ref="D377:G392" xr:uid="{003DF600-7F90-40C8-83F7-83F17E8C8244}">
    <filterColumn colId="0" hiddenButton="1"/>
    <filterColumn colId="1" hiddenButton="1"/>
    <filterColumn colId="2" hiddenButton="1"/>
    <filterColumn colId="3" hiddenButton="1"/>
  </autoFilter>
  <tableColumns count="4">
    <tableColumn id="1" xr3:uid="{84B7B20C-429E-4013-9834-5D11F407BAB6}" name="State">
      <calculatedColumnFormula array="1">Common_InputFunctions.Utility_DisplayArrayInTable(SourceData_PastureBeef.SourceData_PastureBeef_FractionOfManureToMMS_Data(),Table_SourceData_PastureBeef_FractionManureToMMS[[#Headers],[State]], 0)</calculatedColumnFormula>
    </tableColumn>
    <tableColumn id="2" xr3:uid="{7C4D76F5-1E61-40F4-BCDC-9AA38B241306}" name="Region" dataDxfId="78" dataCellStyle="Content normal">
      <calculatedColumnFormula array="1">Common_InputFunctions.Utility_DisplayArrayInTable(SourceData_PastureBeef.SourceData_PastureBeef_FractionOfManureToMMS_Data(),Table_SourceData_PastureBeef_FractionManureToMMS[[#Headers],[State]], 0)</calculatedColumnFormula>
    </tableColumn>
    <tableColumn id="3" xr3:uid="{DB443682-C337-4603-8AE9-D538EE8D6D16}" name="Pasture range and paddock" dataDxfId="77" dataCellStyle="Content normal">
      <calculatedColumnFormula array="1">Common_InputFunctions.Utility_DisplayArrayInTable(SourceData_PastureBeef.SourceData_PastureBeef_FractionOfManureToMMS_Data(),Table_SourceData_PastureBeef_FractionManureToMMS[[#Headers],[State]], 0)</calculatedColumnFormula>
    </tableColumn>
    <tableColumn id="4" xr3:uid="{1128502F-7C2D-49CA-B51D-61088A46FF10}" name="Uncovered Anaerobic lagoon" dataDxfId="76" dataCellStyle="Content normal">
      <calculatedColumnFormula array="1">Common_InputFunctions.Utility_DisplayArrayInTable(SourceData_PastureBeef.SourceData_PastureBeef_FractionOfManureToMMS_Data(),Table_SourceData_PastureBeef_FractionManureToMMS[[#Headers],[State]], 0)</calculatedColumnFormula>
    </tableColumn>
  </tableColumns>
  <tableStyleInfo name="Equation table"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4" xr:uid="{4418AC31-F58F-4AB7-B02E-51D846B94E9A}" name="Table_SourceData_PastureBeef_MethaneConversionFactor" displayName="Table_SourceData_PastureBeef_MethaneConversionFactor" ref="D400:G415" totalsRowShown="0" dataDxfId="75" dataCellStyle="Content normal">
  <autoFilter ref="D400:G415" xr:uid="{4418AC31-F58F-4AB7-B02E-51D846B94E9A}">
    <filterColumn colId="0" hiddenButton="1"/>
    <filterColumn colId="1" hiddenButton="1"/>
    <filterColumn colId="2" hiddenButton="1"/>
    <filterColumn colId="3" hiddenButton="1"/>
  </autoFilter>
  <tableColumns count="4">
    <tableColumn id="1" xr3:uid="{FA5AB519-3BD1-401B-97F4-E6A7CEAD4620}" name="State" dataDxfId="74" dataCellStyle="Content normal">
      <calculatedColumnFormula array="1">Common_InputFunctions.Utility_DisplayArrayInTable(SourceData_PastureBeef.SourceData_PastureBeef_MethaneConversionFactorPerRegion_Data(), Table_SourceData_PastureBeef_MethaneConversionFactor[[#Headers],[State]], 0)</calculatedColumnFormula>
    </tableColumn>
    <tableColumn id="2" xr3:uid="{09FB00D2-1B0E-4A48-92F8-FF9C2B56025B}" name="Region" dataDxfId="73" dataCellStyle="Content normal">
      <calculatedColumnFormula array="1">Common_InputFunctions.Utility_DisplayArrayInTable(SourceData_PastureBeef.SourceData_PastureBeef_MethaneConversionFactorPerRegion_Data(), Table_SourceData_PastureBeef_MethaneConversionFactor[[#Headers],[State]], 0)</calculatedColumnFormula>
    </tableColumn>
    <tableColumn id="3" xr3:uid="{DEAA59F5-1125-4190-ABED-3A0DCE5C7BA9}" name="Pasture range and paddock" dataDxfId="72" dataCellStyle="Content normal">
      <calculatedColumnFormula array="1">Common_InputFunctions.Utility_DisplayArrayInTable(SourceData_PastureBeef.SourceData_PastureBeef_MethaneConversionFactorPerRegion_Data(), Table_SourceData_PastureBeef_MethaneConversionFactor[[#Headers],[State]], 0)</calculatedColumnFormula>
    </tableColumn>
    <tableColumn id="4" xr3:uid="{0D5883BA-A3E5-4561-9B80-AD0BD0398481}" name="Uncovered Anaerobic lagoon" dataDxfId="71" dataCellStyle="Content normal">
      <calculatedColumnFormula array="1">Common_InputFunctions.Utility_DisplayArrayInTable(SourceData_PastureBeef.SourceData_PastureBeef_MethaneConversionFactorPerRegion_Data(), Table_SourceData_PastureBeef_MethaneConversionFactor[[#Headers],[State]], 0)</calculatedColumnFormula>
    </tableColumn>
  </tableColumns>
  <tableStyleInfo name="Equation table"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5" xr:uid="{04F0ADD4-5226-4095-B178-6A0021B7EFDC}" name="Table_SourceData_PastureBeef_FeedIntakeAdjustment_Variation" displayName="Table_SourceData_PastureBeef_FeedIntakeAdjustment_Variation" ref="I334:L338" totalsRowShown="0">
  <autoFilter ref="I334:L338" xr:uid="{04F0ADD4-5226-4095-B178-6A0021B7EFDC}">
    <filterColumn colId="0" hiddenButton="1"/>
    <filterColumn colId="1" hiddenButton="1"/>
    <filterColumn colId="2" hiddenButton="1"/>
    <filterColumn colId="3" hiddenButton="1"/>
  </autoFilter>
  <tableColumns count="4">
    <tableColumn id="1" xr3:uid="{E6C9E05A-E619-4F8F-AD97-95BFEC9D9A14}" name="Breed">
      <calculatedColumnFormula array="1">Common_InputFunctions.Utility_DisplayArrayInTable(SourceData_PastureBeef.SourceData_PastureBeef_FeedAdjustmentAndMilkProduction_Data(), Table_SourceData_PastureBeef_FeedIntakeAdjustment_Variation[[#Headers],[Breed]], 0)</calculatedColumnFormula>
    </tableColumn>
    <tableColumn id="2" xr3:uid="{A0C137D6-0A2E-4259-8A36-00D0DEC7105E}" name="Season" dataDxfId="70" dataCellStyle="Content normal">
      <calculatedColumnFormula array="1">Common_InputFunctions.Utility_DisplayArrayInTable(SourceData_PastureBeef.SourceData_PastureBeef_FeedAdjustmentAndMilkProduction_Data(), Table_SourceData_PastureBeef_FeedIntakeAdjustment_Variation[[#Headers],[Breed]], 0)</calculatedColumnFormula>
    </tableColumn>
    <tableColumn id="3" xr3:uid="{CC70AF78-FC32-434F-9A2F-A7F893415AF5}" name="Feed adjustment" dataDxfId="69" dataCellStyle="Content normal">
      <calculatedColumnFormula array="1">Common_InputFunctions.Utility_DisplayArrayInTable(SourceData_PastureBeef.SourceData_PastureBeef_FeedAdjustmentAndMilkProduction_Data(), Table_SourceData_PastureBeef_FeedIntakeAdjustment_Variation[[#Headers],[Breed]], 0)</calculatedColumnFormula>
    </tableColumn>
    <tableColumn id="4" xr3:uid="{393B9FE5-EE0E-4DB9-802A-D125DC5DD83D}" name="Milk intake/production" dataDxfId="68" dataCellStyle="Content normal">
      <calculatedColumnFormula array="1">Common_InputFunctions.Utility_DisplayArrayInTable(SourceData_PastureBeef.SourceData_PastureBeef_FeedAdjustmentAndMilkProduction_Data(), Table_SourceData_PastureBeef_FeedIntakeAdjustment_Variation[[#Headers],[Breed]], 0)</calculatedColumnFormula>
    </tableColumn>
  </tableColumns>
  <tableStyleInfo name="Equation table" showFirstColumn="0" showLastColumn="0" showRowStripes="1" showColumnStripes="0"/>
</table>
</file>

<file path=xl/tables/table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96840E84-168C-4D51-8D9B-9C727DE4F3B7}" name="Table_LivestockClasses_Beefcattle" displayName="Table_LivestockClasses_Beefcattle" ref="O18:O28" totalsRowShown="0">
  <autoFilter ref="O18:O28" xr:uid="{96840E84-168C-4D51-8D9B-9C727DE4F3B7}">
    <filterColumn colId="0" hiddenButton="1"/>
  </autoFilter>
  <tableColumns count="1">
    <tableColumn id="1" xr3:uid="{CD48EEBA-CF4F-4128-AFAB-EF1C4DB2B2F6}" name="Livestock class"/>
  </tableColumns>
  <tableStyleInfo name="Equation table" showFirstColumn="0" showLastColumn="0" showRowStripes="1" showColumnStripes="0"/>
</table>
</file>

<file path=xl/tables/table2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1BDCE2C1-1DAE-4F51-B816-0663A2C29F7F}" name="Table_ProductRegions_Beefcattle" displayName="Table_ProductRegions_Beefcattle" ref="O32:P48" totalsRowShown="0">
  <autoFilter ref="O32:P48" xr:uid="{1BDCE2C1-1DAE-4F51-B816-0663A2C29F7F}">
    <filterColumn colId="0" hiddenButton="1"/>
    <filterColumn colId="1" hiddenButton="1"/>
  </autoFilter>
  <tableColumns count="2">
    <tableColumn id="1" xr3:uid="{7CEB6087-9B2E-44BD-8AA5-D51377AD33C5}" name="Region"/>
    <tableColumn id="2" xr3:uid="{0DFFD971-A522-4909-A69C-36510AE29EA8}" name="Scope3 region"/>
  </tableColumns>
  <tableStyleInfo name="Equation table" showFirstColumn="0" showLastColumn="0" showRowStripes="1" showColumnStripes="0"/>
</table>
</file>

<file path=xl/tables/table2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5C55191B-DB63-4195-A32C-1EB0F853942B}" name="Table_SourceData_Scope3_Animals" displayName="Table_SourceData_Scope3_Animals" ref="D442:I483" totalsRowShown="0">
  <autoFilter ref="D442:I483" xr:uid="{5C55191B-DB63-4195-A32C-1EB0F853942B}">
    <filterColumn colId="0" hiddenButton="1"/>
    <filterColumn colId="1" hiddenButton="1"/>
    <filterColumn colId="2" hiddenButton="1"/>
    <filterColumn colId="3" hiddenButton="1"/>
    <filterColumn colId="4" hiddenButton="1"/>
    <filterColumn colId="5" hiddenButton="1"/>
  </autoFilter>
  <tableColumns count="6">
    <tableColumn id="1" xr3:uid="{7793090E-597F-44C8-AA49-22FDAF8875F7}" name="Category" dataDxfId="67" dataCellStyle="Content normal">
      <calculatedColumnFormula array="1">Common_InputFunctions.Utility_DisplayArrayInTable(Scope3_SourceData.Scope3_Livestock_Data(), Table_SourceData_Scope3_Animals[[#Headers],[Category]], 0, 2)</calculatedColumnFormula>
    </tableColumn>
    <tableColumn id="2" xr3:uid="{34CFBD68-D325-49E3-BE34-15C96076F56D}" name="Product" dataDxfId="66" dataCellStyle="Content normal">
      <calculatedColumnFormula array="1">Common_InputFunctions.Utility_DisplayArrayInTable(Scope3_SourceData.Scope3_Livestock_Data(), Table_SourceData_Scope3_Animals[[#Headers],[Category]], 0, 2)</calculatedColumnFormula>
    </tableColumn>
    <tableColumn id="3" xr3:uid="{9098013F-A42C-4602-80FA-CC368A14B7F3}" name="Region of origin" dataDxfId="65" dataCellStyle="Content normal">
      <calculatedColumnFormula array="1">Common_InputFunctions.Utility_DisplayArrayInTable(Scope3_SourceData.Scope3_Livestock_Data(), Table_SourceData_Scope3_Animals[[#Headers],[Category]], 0, 2)</calculatedColumnFormula>
    </tableColumn>
    <tableColumn id="8" xr3:uid="{B90A1B39-9D35-495F-9B1F-4D3676101762}" name="Quantity Unit" dataDxfId="64" dataCellStyle="Content normal">
      <calculatedColumnFormula array="1">Common_InputFunctions.Utility_DisplayArrayInTable(Scope3_SourceData.Scope3_Livestock_Data(), Table_SourceData_Scope3_Animals[[#Headers],[Category]], 0, 2)</calculatedColumnFormula>
    </tableColumn>
    <tableColumn id="9" xr3:uid="{E30E1207-239F-46CB-BE0D-207732FCA5D1}" name="AusLCI Emissions intensity" dataDxfId="63" dataCellStyle="Content normal">
      <calculatedColumnFormula array="1">Common_InputFunctions.Utility_DisplayArrayInTable(Scope3_SourceData.Scope3_Livestock_Data(), Table_SourceData_Scope3_Animals[[#Headers],[Category]], 0, 2)</calculatedColumnFormula>
    </tableColumn>
    <tableColumn id="10" xr3:uid="{825B4580-EAEB-450A-BF1D-8F3B7E2F002A}" name="System boundary" dataDxfId="62" dataCellStyle="Content normal">
      <calculatedColumnFormula array="1">Common_InputFunctions.Utility_DisplayArrayInTable(Scope3_SourceData.Scope3_Livestock_Data(), Table_SourceData_Scope3_Animals[[#Headers],[Category]], 0, 2)</calculatedColumnFormula>
    </tableColumn>
  </tableColumns>
  <tableStyleInfo name="Equation table" showFirstColumn="0" showLastColumn="0" showRowStripes="1" showColumnStripes="0"/>
</table>
</file>

<file path=xl/tables/table2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6317ABD4-D831-4B79-B138-473AEEC45C71}" name="Table_AustralianStates" displayName="Table_AustralianStates" ref="D6:F14" totalsRowShown="0">
  <autoFilter ref="D6:F14" xr:uid="{E0906749-7FC7-47DE-82F6-F796C4463018}">
    <filterColumn colId="0" hiddenButton="1"/>
    <filterColumn colId="1" hiddenButton="1"/>
    <filterColumn colId="2" hiddenButton="1"/>
  </autoFilter>
  <tableColumns count="3">
    <tableColumn id="1" xr3:uid="{7F3491C3-79E8-4B7F-9D58-406E1B12772C}" name="State/Territory">
      <calculatedColumnFormula array="1">Common_InputFunctions.Utility_DisplayArrayInTable(Common_SourceData.Common_SourceData_AustralianStatesTerritories_Data(),Table_AustralianStates[[#Headers],[State/Territory]],0)</calculatedColumnFormula>
    </tableColumn>
    <tableColumn id="2" xr3:uid="{1F8D81F3-A374-4951-9755-6D6F4164B438}" name="Common Name">
      <calculatedColumnFormula array="1">Common_InputFunctions.Utility_DisplayArrayInTable(Common_SourceData.Common_SourceData_AustralianStatesTerritories_Data(),Table_AustralianStates[[#Headers],[State/Territory]],0)</calculatedColumnFormula>
    </tableColumn>
    <tableColumn id="3" xr3:uid="{3AC38B03-8E5F-4F61-9355-A12ECC804370}" name="Abbreviation">
      <calculatedColumnFormula array="1">Common_InputFunctions.Utility_DisplayArrayInTable(Common_SourceData.Common_SourceData_AustralianStatesTerritories_Data(),Table_AustralianStates[[#Headers],[State/Territory]],0)</calculatedColumnFormula>
    </tableColumn>
  </tableColumns>
  <tableStyleInfo name="Equation table" showFirstColumn="0" showLastColumn="0" showRowStripes="1" showColumnStripes="0"/>
</table>
</file>

<file path=xl/tables/table2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E0575AA-9B1A-4C12-BE99-5F8B6012FC37}" name="Table_WASA4Areas" displayName="Table_WASA4Areas" ref="D20:D30" totalsRowShown="0">
  <autoFilter ref="D20:D30" xr:uid="{5FA81339-C6C8-4D36-BEEA-6C4AEDD9E676}">
    <filterColumn colId="0" hiddenButton="1"/>
  </autoFilter>
  <tableColumns count="1">
    <tableColumn id="1" xr3:uid="{F90B7DC6-B357-4F02-AC34-520D44EBEA37}" name="SA 4 Name">
      <calculatedColumnFormula array="1">Common_InputFunctions.Utility_DisplayArrayInTable(Common_SourceData.Common_SourceData_WASA4Areas_Data(), Table_WASA4Areas[[#Headers],[SA 4 Name]], 0)</calculatedColumnFormula>
    </tableColumn>
  </tableColumns>
  <tableStyleInfo name="Equation table" showFirstColumn="0" showLastColumn="0" showRowStripes="1" showColumnStripes="0"/>
</table>
</file>

<file path=xl/tables/table3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EC51E496-8BEB-4E0D-8DA5-004480FCC9A8}" name="Table_GWPData" displayName="Table_GWPData" ref="D36:E43" totalsRowShown="0">
  <autoFilter ref="D36:E43" xr:uid="{B8E87A66-3E41-4AD3-925D-01EE21B43D7A}">
    <filterColumn colId="0" hiddenButton="1"/>
    <filterColumn colId="1" hiddenButton="1"/>
  </autoFilter>
  <tableColumns count="2">
    <tableColumn id="1" xr3:uid="{CF4CA6EC-B671-49CE-86A5-1E7BFBA32742}" name="Gas">
      <calculatedColumnFormula array="1">Common_InputFunctions.Utility_DisplayArrayInTable(Common_SourceData.Common_SourceData_GWP_Data(), Table_GWPData[[#Headers],[Gas]], 0)</calculatedColumnFormula>
    </tableColumn>
    <tableColumn id="2" xr3:uid="{50606238-CC22-4A95-9B81-38525A8CA78A}" name="CO2-e factor">
      <calculatedColumnFormula array="1">Common_InputFunctions.Utility_DisplayArrayInTable(Common_SourceData.Common_SourceData_GWP_Data(), Table_GWPData[[#Headers],[Gas]], 0)</calculatedColumnFormula>
    </tableColumn>
  </tableColumns>
  <tableStyleInfo name="Equation table" showFirstColumn="0" showLastColumn="0" showRowStripes="1" showColumnStripes="0"/>
</table>
</file>

<file path=xl/tables/table3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FF6D44B4-A606-4562-96C6-ACF387B29079}" name="Table_GasToMolecularConversionFactor" displayName="Table_GasToMolecularConversionFactor" ref="D47:H54" totalsRowShown="0">
  <autoFilter ref="D47:H54" xr:uid="{C1F562BB-DAA6-45BB-951A-7BAFA5B64B45}">
    <filterColumn colId="0" hiddenButton="1"/>
    <filterColumn colId="1" hiddenButton="1"/>
    <filterColumn colId="2" hiddenButton="1"/>
    <filterColumn colId="3" hiddenButton="1"/>
    <filterColumn colId="4" hiddenButton="1"/>
  </autoFilter>
  <tableColumns count="5">
    <tableColumn id="1" xr3:uid="{9AACB331-F113-46C2-A1AF-9C380F6337B8}" name="Gas">
      <calculatedColumnFormula array="1">Common_InputFunctions.Utility_DisplayArrayInTable(Common_SourceData.Common_SourceData_ConvertGasElementalToMolecular_Data(),Table_GasToMolecularConversionFactor[[#Headers],[Gas]], 0)</calculatedColumnFormula>
    </tableColumn>
    <tableColumn id="5" xr3:uid="{06D19E5A-BD49-427C-8773-3C376D078460}" name="Conversion factor">
      <calculatedColumnFormula array="1">Common_InputFunctions.Utility_DisplayArrayInTable(Common_SourceData.Common_SourceData_ConvertGasElementalToMolecular_Data(),Table_GasToMolecularConversionFactor[[#Headers],[Gas]], 0)</calculatedColumnFormula>
    </tableColumn>
    <tableColumn id="2" xr3:uid="{AB4CF409-BA52-46CA-8326-E49FC21288FF}" name="Conversion factor 1">
      <calculatedColumnFormula array="1">Common_InputFunctions.Utility_DisplayArrayInTable(Common_SourceData.Common_SourceData_ConvertGasElementalToMolecular_Data(),Table_GasToMolecularConversionFactor[[#Headers],[Gas]], 0)</calculatedColumnFormula>
    </tableColumn>
    <tableColumn id="3" xr3:uid="{A88B7C10-6098-4B22-B5B1-3B2BD1BE90D9}" name="Conversion factor 2">
      <calculatedColumnFormula array="1">Common_InputFunctions.Utility_DisplayArrayInTable(Common_SourceData.Common_SourceData_ConvertGasElementalToMolecular_Data(),Table_GasToMolecularConversionFactor[[#Headers],[Gas]], 0)</calculatedColumnFormula>
    </tableColumn>
    <tableColumn id="4" xr3:uid="{3F06A33D-43D3-4F01-9C1E-D3E57FA41ADC}" name="Conversion factor combined">
      <calculatedColumnFormula>Table_GasToMolecularConversionFactor[[#This Row],[Conversion factor 1]]/Table_GasToMolecularConversionFactor[[#This Row],[Conversion factor 2]]</calculatedColumnFormula>
    </tableColumn>
  </tableColumns>
  <tableStyleInfo name="Equation table" showFirstColumn="0" showLastColumn="0" showRowStripes="1" showColumnStripes="0"/>
</table>
</file>

<file path=xl/tables/table3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F91246E6-B28A-4C79-AC3D-7D37696EA989}" name="Table_SourceData_ClimateZones" displayName="Table_SourceData_ClimateZones" ref="D89:S97" totalsRowShown="0">
  <autoFilter ref="D89:S97" xr:uid="{5A437AE9-7724-4CF2-ACCF-291078682F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autoFilter>
  <tableColumns count="16">
    <tableColumn id="1" xr3:uid="{F54469FF-7C7C-4851-8447-C565D3DB15E8}" name="Climate zone" totalsRowCellStyle="Content bold">
      <calculatedColumnFormula array="1">Common_InputFunctions.Utility_DisplayArrayInTable(Common_SourceData.Common_SourceData_ClimateZones_Data(), Table_SourceData_ClimateZones[[#Headers],[Climate zone]], 0)</calculatedColumnFormula>
    </tableColumn>
    <tableColumn id="2" xr3:uid="{8B4208B3-89B9-47E8-8DBD-DBD9EFA6FAC9}" name="MAT" totalsRowDxfId="36" totalsRowCellStyle="Content bold">
      <calculatedColumnFormula array="1">Common_InputFunctions.Utility_DisplayArrayInTable(Common_SourceData.Common_SourceData_ClimateZones_Data(), Table_SourceData_ClimateZones[[#Headers],[Climate zone]], 0)</calculatedColumnFormula>
    </tableColumn>
    <tableColumn id="3" xr3:uid="{44250065-2BEF-47B5-A97F-51D0A7A08444}" name="MAP" totalsRowDxfId="35" totalsRowCellStyle="Content bold">
      <calculatedColumnFormula array="1">Common_InputFunctions.Utility_DisplayArrayInTable(Common_SourceData.Common_SourceData_ClimateZones_Data(), Table_SourceData_ClimateZones[[#Headers],[Climate zone]], 0)</calculatedColumnFormula>
    </tableColumn>
    <tableColumn id="4" xr3:uid="{93EFA2EE-B5E2-43C3-A5DE-03C4C15C81FC}" name="Frost days per year" totalsRowDxfId="34" totalsRowCellStyle="Content bold">
      <calculatedColumnFormula array="1">Common_InputFunctions.Utility_DisplayArrayInTable(Common_SourceData.Common_SourceData_ClimateZones_Data(), Table_SourceData_ClimateZones[[#Headers],[Climate zone]], 0)</calculatedColumnFormula>
    </tableColumn>
    <tableColumn id="5" xr3:uid="{FA35A0D5-BF2C-411F-99D1-19787580FCA2}" name="Elevation" totalsRowDxfId="33" totalsRowCellStyle="Content bold">
      <calculatedColumnFormula array="1">Common_InputFunctions.Utility_DisplayArrayInTable(Common_SourceData.Common_SourceData_ClimateZones_Data(), Table_SourceData_ClimateZones[[#Headers],[Climate zone]], 0)</calculatedColumnFormula>
    </tableColumn>
    <tableColumn id="6" xr3:uid="{2ABF998E-D684-479E-A969-816634929561}" name="MAP:PET" totalsRowDxfId="32" totalsRowCellStyle="Content bold">
      <calculatedColumnFormula array="1">Common_InputFunctions.Utility_DisplayArrayInTable(Common_SourceData.Common_SourceData_ClimateZones_Data(), Table_SourceData_ClimateZones[[#Headers],[Climate zone]], 0)</calculatedColumnFormula>
    </tableColumn>
    <tableColumn id="7" xr3:uid="{248F7868-39FB-41AF-86CF-BFE9F6DE47D9}" name="Min temp" totalsRowDxfId="31" totalsRowCellStyle="Content bold">
      <calculatedColumnFormula array="1">Common_InputFunctions.Utility_DisplayArrayInTable(Common_SourceData.Common_SourceData_ClimateZones_Data(), Table_SourceData_ClimateZones[[#Headers],[Climate zone]], 0)</calculatedColumnFormula>
    </tableColumn>
    <tableColumn id="8" xr3:uid="{20945D90-1B6C-4BDF-AB08-8E2C65574A89}" name="Max temp" totalsRowDxfId="30" totalsRowCellStyle="Content bold">
      <calculatedColumnFormula array="1">Common_InputFunctions.Utility_DisplayArrayInTable(Common_SourceData.Common_SourceData_ClimateZones_Data(), Table_SourceData_ClimateZones[[#Headers],[Climate zone]], 0)</calculatedColumnFormula>
    </tableColumn>
    <tableColumn id="9" xr3:uid="{6198A3C6-F8EB-4449-AD20-47F71A957674}" name="Min rainfall" totalsRowDxfId="29" totalsRowCellStyle="Content bold">
      <calculatedColumnFormula array="1">Common_InputFunctions.Utility_DisplayArrayInTable(Common_SourceData.Common_SourceData_ClimateZones_Data(), Table_SourceData_ClimateZones[[#Headers],[Climate zone]], 0)</calculatedColumnFormula>
    </tableColumn>
    <tableColumn id="10" xr3:uid="{CA2770DF-2AF3-4932-AE56-8B1E4130DCA9}" name="Max rainfall" totalsRowDxfId="28" totalsRowCellStyle="Content bold">
      <calculatedColumnFormula array="1">Common_InputFunctions.Utility_DisplayArrayInTable(Common_SourceData.Common_SourceData_ClimateZones_Data(), Table_SourceData_ClimateZones[[#Headers],[Climate zone]], 0)</calculatedColumnFormula>
    </tableColumn>
    <tableColumn id="11" xr3:uid="{B2C82223-9369-4930-870A-7B32B54F06F4}" name="Min frost days" totalsRowDxfId="27" totalsRowCellStyle="Content bold">
      <calculatedColumnFormula array="1">Common_InputFunctions.Utility_DisplayArrayInTable(Common_SourceData.Common_SourceData_ClimateZones_Data(), Table_SourceData_ClimateZones[[#Headers],[Climate zone]], 0)</calculatedColumnFormula>
    </tableColumn>
    <tableColumn id="15" xr3:uid="{A119C74C-7F0B-49BA-B30C-4FD1ABBEBEEB}" name="Max frost days" totalsRowDxfId="26" totalsRowCellStyle="Content bold">
      <calculatedColumnFormula array="1">Common_InputFunctions.Utility_DisplayArrayInTable(Common_SourceData.Common_SourceData_ClimateZones_Data(), Table_SourceData_ClimateZones[[#Headers],[Climate zone]], 0)</calculatedColumnFormula>
    </tableColumn>
    <tableColumn id="12" xr3:uid="{0597A351-AD84-469A-85F0-C95556DF603B}" name="Min elevation" totalsRowDxfId="25" totalsRowCellStyle="Content bold">
      <calculatedColumnFormula array="1">Common_InputFunctions.Utility_DisplayArrayInTable(Common_SourceData.Common_SourceData_ClimateZones_Data(), Table_SourceData_ClimateZones[[#Headers],[Climate zone]], 0)</calculatedColumnFormula>
    </tableColumn>
    <tableColumn id="16" xr3:uid="{F30594C6-A6DD-4354-95DE-BA4724FD4A4D}" name="Max elevation" totalsRowDxfId="24" totalsRowCellStyle="Content bold">
      <calculatedColumnFormula array="1">Common_InputFunctions.Utility_DisplayArrayInTable(Common_SourceData.Common_SourceData_ClimateZones_Data(), Table_SourceData_ClimateZones[[#Headers],[Climate zone]], 0)</calculatedColumnFormula>
    </tableColumn>
    <tableColumn id="13" xr3:uid="{A3BF287C-9276-46D0-AC10-AD6BF7731384}" name="Min MAP:PET" totalsRowDxfId="23" totalsRowCellStyle="Content bold">
      <calculatedColumnFormula array="1">Common_InputFunctions.Utility_DisplayArrayInTable(Common_SourceData.Common_SourceData_ClimateZones_Data(), Table_SourceData_ClimateZones[[#Headers],[Climate zone]], 0)</calculatedColumnFormula>
    </tableColumn>
    <tableColumn id="17" xr3:uid="{B027174C-3633-47E1-A33E-06AA42631CB6}" name="Max MAP:PET" totalsRowDxfId="22" totalsRowCellStyle="Content bold">
      <calculatedColumnFormula array="1">Common_InputFunctions.Utility_DisplayArrayInTable(Common_SourceData.Common_SourceData_ClimateZones_Data(), Table_SourceData_ClimateZones[[#Headers],[Climate zone]], 0)</calculatedColumnFormula>
    </tableColumn>
  </tableColumns>
  <tableStyleInfo name="Equation table" showFirstColumn="0" showLastColumn="0" showRowStripes="1" showColumnStripes="0"/>
</table>
</file>

<file path=xl/tables/table3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758A482E-44E2-46EF-9CE3-6CFFC901251F}" name="Table_SourceData_WetDryZones" displayName="Table_SourceData_WetDryZones" ref="D63:E77" totalsRowShown="0">
  <autoFilter ref="D63:E77" xr:uid="{3597E019-B21E-4B76-BCC8-D02D497BCFA9}">
    <filterColumn colId="0" hiddenButton="1"/>
    <filterColumn colId="1" hiddenButton="1"/>
  </autoFilter>
  <tableColumns count="2">
    <tableColumn id="1" xr3:uid="{246D4CDF-711B-4793-B693-CFDF767B4A0D}" name="Climate zone" totalsRowCellStyle="Content bold">
      <calculatedColumnFormula array="1">Common_InputFunctions.Utility_DisplayArrayInTable(Common_SourceData.Common_SourceData_WetAndDryZones_Data(), Table_SourceData_WetDryZones[[#Headers],[Climate zone]], 0)</calculatedColumnFormula>
    </tableColumn>
    <tableColumn id="2" xr3:uid="{5831DB9E-5D2D-48AF-BEAA-9920BC1A38DE}" name="Wet or Dry Zone" totalsRowDxfId="21" totalsRowCellStyle="Content bold">
      <calculatedColumnFormula array="1">Common_InputFunctions.Utility_DisplayArrayInTable(Common_SourceData.Common_SourceData_WetAndDryZones_Data(), Table_SourceData_WetDryZones[[#Headers],[Climate zone]], 0)</calculatedColumnFormula>
    </tableColumn>
  </tableColumns>
  <tableStyleInfo name="Equation table" showFirstColumn="0" showLastColumn="0" showRowStripes="1" showColumnStripes="0"/>
</table>
</file>

<file path=xl/tables/table3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846977A1-4DDA-42C9-8CF8-CA3FC5F797CC}" name="Table_SourceData_TemperatureZones" displayName="Table_SourceData_TemperatureZones" ref="D109:G112" totalsRowShown="0">
  <autoFilter ref="D109:G112" xr:uid="{AB16FEAB-AB03-45E1-BBD4-66D29CD412DF}">
    <filterColumn colId="0" hiddenButton="1"/>
    <filterColumn colId="1" hiddenButton="1"/>
    <filterColumn colId="2" hiddenButton="1"/>
    <filterColumn colId="3" hiddenButton="1"/>
  </autoFilter>
  <tableColumns count="4">
    <tableColumn id="1" xr3:uid="{72672A40-87E2-4E17-8BD1-374A9BC38AB7}" name="Temperature Zone">
      <calculatedColumnFormula array="1">Common_InputFunctions.Utility_DisplayArrayInTable(Common_SourceData.Common_SourceData_TemperatureZones_Data(),Table_SourceData_TemperatureZones[[#Headers],[Temperature Zone]],0)</calculatedColumnFormula>
    </tableColumn>
    <tableColumn id="2" xr3:uid="{60F78101-711A-4EBD-B67D-9E06E895AB7C}" name="MAT">
      <calculatedColumnFormula array="1">Common_InputFunctions.Utility_DisplayArrayInTable(Common_SourceData.Common_SourceData_TemperatureZones_Data(),Table_SourceData_TemperatureZones[[#Headers],[Temperature Zone]],0)</calculatedColumnFormula>
    </tableColumn>
    <tableColumn id="3" xr3:uid="{AA918579-3849-44BF-B2B7-1B61F09DA149}" name="Min MAT">
      <calculatedColumnFormula array="1">Common_InputFunctions.Utility_DisplayArrayInTable(Common_SourceData.Common_SourceData_TemperatureZones_Data(),Table_SourceData_TemperatureZones[[#Headers],[Temperature Zone]],0)</calculatedColumnFormula>
    </tableColumn>
    <tableColumn id="4" xr3:uid="{71CA2BDB-97BA-476B-9EB3-A07CD62CA864}" name="Max MAT">
      <calculatedColumnFormula array="1">Common_InputFunctions.Utility_DisplayArrayInTable(Common_SourceData.Common_SourceData_TemperatureZones_Data(),Table_SourceData_TemperatureZones[[#Headers],[Temperature Zone]],0)</calculatedColumnFormula>
    </tableColumn>
  </tableColumns>
  <tableStyleInfo name="Equation table" showFirstColumn="0" showLastColumn="0" showRowStripes="1" showColumnStripes="0"/>
</table>
</file>

<file path=xl/tables/table3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9ADA9A11-2900-42C8-89E4-635E18A61C07}" name="Table_SourceData_RainfallZones" displayName="Table_SourceData_RainfallZones" ref="D119:G121" totalsRowShown="0">
  <autoFilter ref="D119:G121" xr:uid="{E08772F3-2E8C-40A8-B755-08A5BBDF4130}">
    <filterColumn colId="0" hiddenButton="1"/>
    <filterColumn colId="1" hiddenButton="1"/>
    <filterColumn colId="2" hiddenButton="1"/>
    <filterColumn colId="3" hiddenButton="1"/>
  </autoFilter>
  <tableColumns count="4">
    <tableColumn id="1" xr3:uid="{DA7A364E-408E-4791-960C-946BFD1EB269}" name="Rainfall Zone">
      <calculatedColumnFormula array="1">Common_InputFunctions.Utility_DisplayArrayInTable(Common_SourceData.Common_SourceData_RainfallZones_Data(),Table_SourceData_RainfallZones[[#Headers],[Rainfall Zone]],0)</calculatedColumnFormula>
    </tableColumn>
    <tableColumn id="2" xr3:uid="{7107CFF6-F0D8-4FA3-B389-9247C3D00841}" name="Annual rainfall">
      <calculatedColumnFormula array="1">Common_InputFunctions.Utility_DisplayArrayInTable(Common_SourceData.Common_SourceData_RainfallZones_Data(),Table_SourceData_RainfallZones[[#Headers],[Rainfall Zone]],0)</calculatedColumnFormula>
    </tableColumn>
    <tableColumn id="3" xr3:uid="{5A3881F0-6ED8-42B3-A895-BC35E306FA55}" name="Min rainfall">
      <calculatedColumnFormula array="1">Common_InputFunctions.Utility_DisplayArrayInTable(Common_SourceData.Common_SourceData_RainfallZones_Data(),Table_SourceData_RainfallZones[[#Headers],[Rainfall Zone]],0)</calculatedColumnFormula>
    </tableColumn>
    <tableColumn id="4" xr3:uid="{989F27F9-9AF3-4817-97A2-4BDA227C933B}" name="Max rainfall">
      <calculatedColumnFormula array="1">Common_InputFunctions.Utility_DisplayArrayInTable(Common_SourceData.Common_SourceData_RainfallZones_Data(),Table_SourceData_RainfallZones[[#Headers],[Rainfall Zone]],0)</calculatedColumnFormula>
    </tableColumn>
  </tableColumns>
  <tableStyleInfo name="Equation table" showFirstColumn="0" showLastColumn="0" showRowStripes="1" showColumnStripes="0"/>
</table>
</file>

<file path=xl/tables/table3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650B274D-BE59-4899-B042-15B576D910B3}" name="Table_SourceData_LeachingZones" displayName="Table_SourceData_LeachingZones" ref="D127:E129" totalsRowShown="0">
  <autoFilter ref="D127:E129" xr:uid="{A159E140-02ED-4547-B6E1-6695D8B16A11}">
    <filterColumn colId="0" hiddenButton="1"/>
    <filterColumn colId="1" hiddenButton="1"/>
  </autoFilter>
  <tableColumns count="2">
    <tableColumn id="1" xr3:uid="{B46FA639-10D0-46F1-8BF6-AEDF779E6C23}" name="Leaching Zone">
      <calculatedColumnFormula array="1">Common_InputFunctions.Utility_DisplayArrayInTable(Common_SourceData.Common_SourceData_LeachingZones_Data(), Table_SourceData_LeachingZones[[#Headers],[Leaching Zone]], 0)</calculatedColumnFormula>
    </tableColumn>
    <tableColumn id="2" xr3:uid="{69651A88-7CF7-49E3-89E4-96E97EC68F2F}" name="Leaching criteria">
      <calculatedColumnFormula array="1">Common_InputFunctions.Utility_DisplayArrayInTable(Common_SourceData.Common_SourceData_LeachingZones_Data(), Table_SourceData_LeachingZones[[#Headers],[Leaching Zone]], 0)</calculatedColumnFormula>
    </tableColumn>
  </tableColumns>
  <tableStyleInfo name="Equation table" showFirstColumn="0" showLastColumn="0" showRowStripes="1" showColumnStripes="0"/>
</table>
</file>

<file path=xl/tables/table3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DC99AC8E-6323-4BB2-8C04-28729D5BEB6D}" name="Table_SourceData_DataScores_Scope3" displayName="Table_SourceData_DataScores_Scope3" ref="D153:E158" totalsRowShown="0">
  <autoFilter ref="D153:E158" xr:uid="{133D42B0-F6D2-470A-858A-37E6A7F5EC2B}">
    <filterColumn colId="0" hiddenButton="1"/>
    <filterColumn colId="1" hiddenButton="1"/>
  </autoFilter>
  <tableColumns count="2">
    <tableColumn id="1" xr3:uid="{C3864482-3D0E-43D8-9E42-B040D6060478}" name="Data source">
      <calculatedColumnFormula array="1">Common_InputFunctions.Utility_DisplayArrayInTable(Common_SourceData.Common_SourceData_DataScores_Scope3_Data(), Table_SourceData_DataScores_Scope3[[#Headers],[Data source]], 0)</calculatedColumnFormula>
    </tableColumn>
    <tableColumn id="2" xr3:uid="{E2463B10-E060-4372-B2F2-316280EB1A38}" name="Data score">
      <calculatedColumnFormula array="1">Common_InputFunctions.Utility_DisplayArrayInTable(Common_SourceData.Common_SourceData_DataScores_Scope3_Data(), Table_SourceData_DataScores_Scope3[[#Headers],[Data source]], 0)</calculatedColumnFormula>
    </tableColumn>
  </tableColumns>
  <tableStyleInfo name="Equation table" showFirstColumn="0" showLastColumn="0" showRowStripes="1" showColumnStripes="0"/>
</table>
</file>

<file path=xl/tables/table3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BE15E618-2765-4F22-B86C-816A9639FF03}" name="Table_SourceData_FracWET" displayName="Table_SourceData_FracWET" ref="D134:E136" totalsRowShown="0">
  <autoFilter ref="D134:E136" xr:uid="{308E99BE-FE1F-47A4-B2CA-97217277C4E9}">
    <filterColumn colId="0" hiddenButton="1"/>
    <filterColumn colId="1" hiddenButton="1"/>
  </autoFilter>
  <tableColumns count="2">
    <tableColumn id="1" xr3:uid="{680385E5-C076-45CA-9591-BD5817809A2B}" name="Is in leaching zone">
      <calculatedColumnFormula array="1">Common_InputFunctions.Utility_DisplayArrayInTable(Common_SourceData.Common_SourceData_FracWET_Data(),Table_SourceData_FracWET[[#Headers],[Is in leaching zone]],0)</calculatedColumnFormula>
    </tableColumn>
    <tableColumn id="2" xr3:uid="{28728292-18B3-48DC-8718-6DA6B5379671}" name="FracWET" dataDxfId="20">
      <calculatedColumnFormula array="1">Common_InputFunctions.Utility_DisplayArrayInTable(Common_SourceData.Common_SourceData_FracWET_Data(),Table_SourceData_FracWET[[#Headers],[Is in leaching zone]],0)</calculatedColumnFormula>
    </tableColumn>
  </tableColumns>
  <tableStyleInfo name="Equation table" showFirstColumn="0" showLastColumn="0" showRowStripes="1" showColumnStripes="0"/>
</table>
</file>

<file path=xl/tables/table3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0C8C47E8-AF15-43C1-A81B-EAF39F06DE91}" name="Table_SourceData_Common_EFN2O" displayName="Table_SourceData_Common_EFN2O" ref="D186:H199" totalsRowShown="0">
  <autoFilter ref="D186:H199" xr:uid="{D41FBEA4-8379-4DF7-A068-BF94D364F1A2}">
    <filterColumn colId="0" hiddenButton="1"/>
    <filterColumn colId="1" hiddenButton="1"/>
    <filterColumn colId="2" hiddenButton="1"/>
    <filterColumn colId="3" hiddenButton="1"/>
    <filterColumn colId="4" hiddenButton="1"/>
  </autoFilter>
  <tableColumns count="5">
    <tableColumn id="1" xr3:uid="{BEC72644-3F77-4539-9DFA-D87E6E0DD5A2}" name="Production system j">
      <calculatedColumnFormula array="1">Common_InputFunctions.Utility_DisplayArrayInTable(Common_SourceData.Common_SourceData_EFN2O_Data(), Table_SourceData_Common_EFN2O[[#Headers],[Production system j]], 0)</calculatedColumnFormula>
    </tableColumn>
    <tableColumn id="2" xr3:uid="{8154C9E1-E8B3-434B-B470-104B5C9CE7BF}" name="EFN2O">
      <calculatedColumnFormula array="1">Common_InputFunctions.Utility_DisplayArrayInTable(Common_SourceData.Common_SourceData_EFN2O_Data(), Table_SourceData_Common_EFN2O[[#Headers],[Production system j]], 0)</calculatedColumnFormula>
    </tableColumn>
    <tableColumn id="3" xr3:uid="{831D7016-DC13-4F95-A4BB-27F50AE5D1C2}" name="Production system only">
      <calculatedColumnFormula array="1">Common_InputFunctions.Utility_DisplayArrayInTable(Common_SourceData.Common_SourceData_EFN2O_Data(), Table_SourceData_Common_EFN2O[[#Headers],[Production system j]], 0)</calculatedColumnFormula>
    </tableColumn>
    <tableColumn id="4" xr3:uid="{0877EC46-0EDD-40C8-A038-6C5452F4046A}" name="Irrigation method">
      <calculatedColumnFormula array="1">Common_InputFunctions.Utility_DisplayArrayInTable(Common_SourceData.Common_SourceData_EFN2O_Data(), Table_SourceData_Common_EFN2O[[#Headers],[Production system j]], 0)</calculatedColumnFormula>
    </tableColumn>
    <tableColumn id="5" xr3:uid="{37AA025D-1A5C-448F-9C76-3C1D2B88AD3E}" name="Rainfall zone">
      <calculatedColumnFormula array="1">Common_InputFunctions.Utility_DisplayArrayInTable(Common_SourceData.Common_SourceData_EFN2O_Data(), Table_SourceData_Common_EFN2O[[#Headers],[Production system j]], 0)</calculatedColumnFormula>
    </tableColumn>
  </tableColumns>
  <tableStyleInfo name="Equation table" showFirstColumn="0" showLastColumn="0" showRowStripes="1" showColumnStripes="0"/>
</table>
</file>

<file path=xl/tables/table4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E46C7CF4-C1AA-48D9-B4B7-C6A0C6E7FF04}" name="Table_SourceData_FracWETIrrigation" displayName="Table_SourceData_FracWETIrrigation" ref="D142:E147" totalsRowShown="0">
  <autoFilter ref="D142:E147" xr:uid="{1F48CA34-50DE-46D5-B32A-BB3A1E818E37}">
    <filterColumn colId="0" hiddenButton="1"/>
    <filterColumn colId="1" hiddenButton="1"/>
  </autoFilter>
  <tableColumns count="2">
    <tableColumn id="1" xr3:uid="{D6582017-C220-4071-B48F-9C0499E4D255}" name="Irrigation type i">
      <calculatedColumnFormula array="1">Common_InputFunctions.Utility_DisplayArrayInTable(Common_SourceData.Common_SourceData_FracWETIrrigation_Data(), Table_SourceData_FracWETIrrigation[[#Headers],[Irrigation type i]], 0)</calculatedColumnFormula>
    </tableColumn>
    <tableColumn id="2" xr3:uid="{9A0BE0E9-2D40-40B3-B5A9-6C29AFAE1778}" name="FracWET" dataDxfId="19" dataCellStyle="Content normal">
      <calculatedColumnFormula array="1">Common_InputFunctions.Utility_DisplayArrayInTable(Common_SourceData.Common_SourceData_FracWETIrrigation_Data(), Table_SourceData_FracWETIrrigation[[#Headers],[Irrigation type i]], 0)</calculatedColumnFormula>
    </tableColumn>
  </tableColumns>
  <tableStyleInfo name="Equation table" showFirstColumn="0" showLastColumn="0" showRowStripes="1" showColumnStripes="0"/>
</table>
</file>

<file path=xl/tables/table4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8E3C4E07-76BB-4259-96C0-06E8A2505608}" name="Table_SourceData_EFPastureRangeAndPaddock" displayName="Table_SourceData_EFPastureRangeAndPaddock" ref="D206:E208" totalsRowShown="0">
  <autoFilter ref="D206:E208" xr:uid="{D5BE3F89-D70E-4C53-A71C-E756622DEF38}">
    <filterColumn colId="0" hiddenButton="1"/>
    <filterColumn colId="1" hiddenButton="1"/>
  </autoFilter>
  <tableColumns count="2">
    <tableColumn id="1" xr3:uid="{63AAF7E4-1A6C-4A78-8B6B-48B524733EC4}" name="Climate zone">
      <calculatedColumnFormula array="1">Common_InputFunctions.Utility_DisplayArrayInTable(Common_SourceData.Common_SourceData_EFPastureRangeAndPaddock_Data(), Table_SourceData_EFPastureRangeAndPaddock[[#Headers],[Climate zone]], 0)</calculatedColumnFormula>
    </tableColumn>
    <tableColumn id="2" xr3:uid="{9FF964B4-2846-4C64-B17A-9DE51C1AC768}" name="EFPRP" dataDxfId="18" dataCellStyle="Content normal">
      <calculatedColumnFormula array="1">Common_InputFunctions.Utility_DisplayArrayInTable(Common_SourceData.Common_SourceData_EFPastureRangeAndPaddock_Data(), Table_SourceData_EFPastureRangeAndPaddock[[#Headers],[Climate zone]], 0)</calculatedColumnFormula>
    </tableColumn>
  </tableColumns>
  <tableStyleInfo name="Equation table" showFirstColumn="0" showLastColumn="0" showRowStripes="1" showColumnStripes="0"/>
</table>
</file>

<file path=xl/tables/table4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0FF37868-F261-4988-84AA-D0D087DE0539}" name="Table_SourceData_Common_MonthToSeason" displayName="Table_SourceData_Common_MonthToSeason" ref="D212:E224" totalsRowShown="0">
  <autoFilter ref="D212:E224" xr:uid="{97796C3A-D95E-4077-AA20-A8FE4145DAAD}">
    <filterColumn colId="0" hiddenButton="1"/>
    <filterColumn colId="1" hiddenButton="1"/>
  </autoFilter>
  <tableColumns count="2">
    <tableColumn id="1" xr3:uid="{ADE2134E-9374-4D49-A6FB-10EDB649B6EB}" name="Month">
      <calculatedColumnFormula array="1">Common_InputFunctions.Utility_DisplayArrayInTable(Common_SourceData.Common_SourceData_MonthsToSeasons_Data(), Table_SourceData_Common_MonthToSeason[[#Headers],[Month]], 0)</calculatedColumnFormula>
    </tableColumn>
    <tableColumn id="2" xr3:uid="{C011E6CC-9C3C-42C0-84C2-8634988C1E34}" name="Season" dataDxfId="17" dataCellStyle="Content normal">
      <calculatedColumnFormula array="1">Common_InputFunctions.Utility_DisplayArrayInTable(Common_SourceData.Common_SourceData_MonthsToSeasons_Data(), Table_SourceData_Common_MonthToSeason[[#Headers],[Month]], 0)</calculatedColumnFormula>
    </tableColumn>
  </tableColumns>
  <tableStyleInfo name="Equation table" showFirstColumn="0" showLastColumn="0" showRowStripes="1" showColumnStripes="0"/>
</table>
</file>

<file path=xl/tables/table4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5" xr:uid="{BFD3D8F2-E5D1-4ACC-830D-8FC2910333BD}" name="Table_SourceData_Common_MCFTemperatureZone" displayName="Table_SourceData_Common_MCFTemperatureZone" ref="D231:S250" totalsRowShown="0">
  <autoFilter ref="D231:S250" xr:uid="{1D72DD9B-C8FA-48F4-9A11-20231FF87B5A}">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autoFilter>
  <tableColumns count="16">
    <tableColumn id="1" xr3:uid="{130F9830-C15A-42DF-8FD7-E67AEE0DE1BC}" name="Temperature zone">
      <calculatedColumnFormula array="1">Common_InputFunctions.Utility_DisplayArrayInTable(Common_SourceData.Common_SourceData_MCFTemperatureZone_Data(),Table_SourceData_Common_MCFTemperatureZone[[#Headers],[Temperature zone]],0)</calculatedColumnFormula>
    </tableColumn>
    <tableColumn id="2" xr3:uid="{6CEF207B-357D-40C0-9883-A3A779CCC0EC}" name="MAT (ºC)" dataDxfId="16"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3" xr3:uid="{EE2DB6BF-D3C8-4E65-9A7E-61D87B42625D}" name="Anaerobic lagoon" dataDxfId="15"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4" xr3:uid="{1878DEDA-4D9B-48BF-8677-3377453BCCA7}" name="Digester / covered lagoons" dataDxfId="14"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5" xr3:uid="{16508A06-5505-401A-A044-280E8EEFE461}" name="Liquid systems" dataDxfId="13"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6" xr3:uid="{91BDE260-7004-4BA4-92AA-623140C26DD7}" name="Daily spread" dataDxfId="12"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7" xr3:uid="{5313A91C-CDE2-41A6-AB18-AA4216D548BB}" name="Composting (passive windrow)" dataDxfId="11"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8" xr3:uid="{A0D6E470-DE3D-45A0-BB31-D5BFFFDAEA51}" name="Solid storage" dataDxfId="10"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9" xr3:uid="{9CE66B4B-B68C-4B3D-9B95-ABE8C4FF8D19}" name="Pit storage" dataDxfId="9"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0" xr3:uid="{2458059A-672E-4C89-BEBD-4762E09D4B7E}" name="Deep litter" dataDxfId="8"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1" xr3:uid="{CAF9FB67-2367-4217-8534-9C0D166F672E}" name="Poultry manure with bedding" dataDxfId="7"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2" xr3:uid="{EC216314-35A0-4899-AA16-BF81B277D209}" name="Poultry manure without bedding" dataDxfId="6"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3" xr3:uid="{8656823F-9F41-43FC-A541-0F5EE184E885}" name="Direct processing" dataDxfId="5"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4" xr3:uid="{8EB7E6DA-960F-4613-93BD-59793AC825E6}" name="Direct application" dataDxfId="4"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5" xr3:uid="{CE7FBA7F-FB5D-4258-92D4-947E63F3CD11}" name="Pasture range and paddock" dataDxfId="3"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6" xr3:uid="{1C2D8FAC-7A7F-4DF1-B9C4-E2122FF9268C}" name="MAT raw" dataDxfId="2" dataCellStyle="Content normal">
      <calculatedColumnFormula array="1">Common_InputFunctions.Utility_DisplayArrayInTable(Common_SourceData.Common_SourceData_MCFTemperatureZone_Data(),Table_SourceData_Common_MCFTemperatureZone[[#Headers],[Temperature zone]],0)</calculatedColumnFormula>
    </tableColumn>
  </tableColumns>
  <tableStyleInfo name="Equation table" showFirstColumn="0" showLastColumn="0" showRowStripes="1" showColumnStripes="0"/>
</table>
</file>

<file path=xl/tables/table4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6" xr:uid="{62307942-205D-4F6F-8372-4AC23D5AEED8}" name="Table_SourceData_Common_EFOrganicFertCropResidues" displayName="Table_SourceData_Common_EFOrganicFertCropResidues" ref="D257:E259" totalsRowShown="0">
  <autoFilter ref="D257:E259" xr:uid="{56E01C14-1BB8-4015-9158-4CEB4D3B605C}">
    <filterColumn colId="0" hiddenButton="1"/>
    <filterColumn colId="1" hiddenButton="1"/>
  </autoFilter>
  <tableColumns count="2">
    <tableColumn id="1" xr3:uid="{B94996C8-D562-4634-837D-A8F67ED27741}" name="Climate Zone">
      <calculatedColumnFormula array="1">Common_InputFunctions.Utility_DisplayArrayInTable(Common_SourceData.Common_SourceData_EFOrganicFertiliserAndCropResidues_Data(), Table_SourceData_Common_EFOrganicFertCropResidues[[#Headers],[Climate Zone]], 0)</calculatedColumnFormula>
    </tableColumn>
    <tableColumn id="2" xr3:uid="{BF1992A0-C0A4-4972-B235-45CB59711822}" name="EFNi &amp; EFN2Oi" dataDxfId="1" dataCellStyle="Content normal">
      <calculatedColumnFormula array="1">Common_InputFunctions.Utility_DisplayArrayInTable(Common_SourceData.Common_SourceData_EFOrganicFertiliserAndCropResidues_Data(), Table_SourceData_Common_EFOrganicFertCropResidues[[#Headers],[Climate Zone]], 0)</calculatedColumnFormula>
    </tableColumn>
  </tableColumns>
  <tableStyleInfo name="Equation table" showFirstColumn="0" showLastColumn="0" showRowStripes="1" showColumnStripes="0"/>
</table>
</file>

<file path=xl/tables/table4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2" xr:uid="{4AAFEC29-EB47-45E4-9F7B-4362F70C3FBE}" name="Table_SourceData_DataQuality_TemporalRepresentativeness" displayName="Table_SourceData_DataQuality_TemporalRepresentativeness" ref="D265:F270" totalsRowShown="0">
  <autoFilter ref="D265:F270" xr:uid="{9AD44602-D2F2-4D97-923C-A32E98F8C17A}">
    <filterColumn colId="0" hiddenButton="1"/>
    <filterColumn colId="1" hiddenButton="1"/>
    <filterColumn colId="2" hiddenButton="1"/>
  </autoFilter>
  <tableColumns count="3">
    <tableColumn id="2" xr3:uid="{39B326B5-4D8D-4236-A95B-A2563F29A869}" name="Description" dataDxfId="0" dataCellStyle="Content normal"/>
    <tableColumn id="1" xr3:uid="{4D48BD3F-8CE3-4327-AF6B-1F1BDDFFAD53}" name="ID"/>
    <tableColumn id="3" xr3:uid="{42BF63BB-9FA3-4988-86FF-0D17E26EC475}" name="Score"/>
  </tableColumns>
  <tableStyleInfo name="Equation table" showFirstColumn="0" showLastColumn="0" showRowStripes="1" showColumnStripes="0"/>
</table>
</file>

<file path=xl/tables/table4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3" xr:uid="{E5328F05-9EA5-4C76-81B0-E15251E16AFB}" name="Table_SourceData_DataQuality_SpatialRepresentativeness" displayName="Table_SourceData_DataQuality_SpatialRepresentativeness" ref="D274:F279" totalsRowShown="0">
  <autoFilter ref="D274:F279" xr:uid="{95094D65-3E0E-45CE-A3F4-F41E74C11901}">
    <filterColumn colId="0" hiddenButton="1"/>
    <filterColumn colId="1" hiddenButton="1"/>
    <filterColumn colId="2" hiddenButton="1"/>
  </autoFilter>
  <tableColumns count="3">
    <tableColumn id="1" xr3:uid="{5431A23B-F3E3-4241-9E7A-E6B531BC3EFD}" name="Description"/>
    <tableColumn id="2" xr3:uid="{2609397C-7179-4B8B-BB90-B077342F3E0B}" name="ID"/>
    <tableColumn id="3" xr3:uid="{AA3AF466-6AEB-4AB7-82E0-5F1D42820EF4}" name="Score"/>
  </tableColumns>
  <tableStyleInfo name="Equation table" showFirstColumn="0" showLastColumn="0" showRowStripes="1" showColumnStripes="0"/>
</table>
</file>

<file path=xl/tables/table4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4" xr:uid="{1612200D-B7A2-4DEA-B228-B8C35768DBC7}" name="Table_SourceData_DataQuality_SampleSize" displayName="Table_SourceData_DataQuality_SampleSize" ref="D283:F288" totalsRowShown="0">
  <autoFilter ref="D283:F288" xr:uid="{DE8F748C-E65A-4AA2-81BB-D28A432CF334}">
    <filterColumn colId="0" hiddenButton="1"/>
    <filterColumn colId="1" hiddenButton="1"/>
    <filterColumn colId="2" hiddenButton="1"/>
  </autoFilter>
  <tableColumns count="3">
    <tableColumn id="1" xr3:uid="{9679D5FE-514C-4315-BCB5-C44A39A839B9}" name="Description"/>
    <tableColumn id="2" xr3:uid="{A782562E-0819-4A90-A101-7BA295995CE2}" name="ID"/>
    <tableColumn id="3" xr3:uid="{F608A607-9562-47D0-BDAA-6171B2F01328}" name="Score"/>
  </tableColumns>
  <tableStyleInfo name="Equation table" showFirstColumn="0" showLastColumn="0" showRowStripes="1" showColumnStripes="0"/>
</table>
</file>

<file path=xl/tables/table4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5" xr:uid="{272A8D10-A13A-4BC6-8FBC-897E950C9508}" name="Table_SourceData_DataQuality_Scope3" displayName="Table_SourceData_DataQuality_Scope3" ref="D292:F297" totalsRowShown="0">
  <autoFilter ref="D292:F297" xr:uid="{43A1C4DA-75D1-45DF-BA9A-1798C2CC5A4B}">
    <filterColumn colId="0" hiddenButton="1"/>
    <filterColumn colId="1" hiddenButton="1"/>
    <filterColumn colId="2" hiddenButton="1"/>
  </autoFilter>
  <tableColumns count="3">
    <tableColumn id="1" xr3:uid="{A75F93E9-2D55-49BB-BA7D-99ADEF65A6DE}" name="Description"/>
    <tableColumn id="2" xr3:uid="{4A32A47C-8CB4-45F8-81A0-CDA4ED92C375}" name="ID"/>
    <tableColumn id="3" xr3:uid="{F9E9CBC9-69F3-4E8E-93F5-4F4189B6A37A}" name="Score"/>
  </tableColumns>
  <tableStyleInfo name="Equation table" showFirstColumn="0" showLastColumn="0" showRowStripes="1" showColumnStripes="0"/>
</table>
</file>

<file path=xl/tables/table4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57CC28B-CF78-4195-86CA-5AEBBA7FA04E}" name="Table_Data_MMSSymbols" displayName="Table_Data_MMSSymbols" ref="D9:F27" totalsRowShown="0">
  <autoFilter ref="D9:F27" xr:uid="{757CC28B-CF78-4195-86CA-5AEBBA7FA04E}">
    <filterColumn colId="0" hiddenButton="1"/>
    <filterColumn colId="1" hiddenButton="1"/>
    <filterColumn colId="2" hiddenButton="1"/>
  </autoFilter>
  <tableColumns count="3">
    <tableColumn id="1" xr3:uid="{FA4B4DF7-A993-40F2-870A-87A35A1D1CD3}" name="Symbol">
      <calculatedColumnFormula array="1">InputFunctions_Utilities.Utility_DisplayArrayInTable(CommonLivestock_SourceData.SourceData_Livestock_Common_SymbolsMMS_Data(), Table_Data_MMSSymbols[[#Headers],[Symbol]], 0)</calculatedColumnFormula>
    </tableColumn>
    <tableColumn id="2" xr3:uid="{8A23F85B-E11F-43B7-AF58-1032F42D9585}" name="Manure management system">
      <calculatedColumnFormula array="1">InputFunctions_Utilities.Utility_DisplayArrayInTable(CommonLivestock_SourceData.SourceData_Livestock_Common_SymbolsMMS_Data(), Table_Data_MMSSymbols[[#Headers],[Symbol]], 0)</calculatedColumnFormula>
    </tableColumn>
    <tableColumn id="3" xr3:uid="{58D0574C-2490-473B-A8E1-317E3A493B21}" name="Symbol and MMS">
      <calculatedColumnFormula array="1">InputFunctions_Utilities.Utility_DisplayArrayInTable(CommonLivestock_SourceData.SourceData_Livestock_Common_SymbolsMMS_Data(), Table_Data_MMSSymbols[[#Headers],[Symbol]], 0)</calculatedColumnFormula>
    </tableColumn>
  </tableColumns>
  <tableStyleInfo name="Equation table" showFirstColumn="0" showLastColumn="0" showRowStripes="1" showColumnStripes="0"/>
</table>
</file>

<file path=xl/tables/table5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A0696731-6602-481C-9AD7-5F0AC3A93169}" name="Table_SourceData_LivestockProduct_Beefcattle" displayName="Table_SourceData_LivestockProduct_Beefcattle" ref="D31:E39" totalsRowShown="0">
  <autoFilter ref="D31:E39" xr:uid="{A0696731-6602-481C-9AD7-5F0AC3A93169}"/>
  <tableColumns count="2">
    <tableColumn id="1" xr3:uid="{88A6411F-53B6-4E98-851C-0DD006E062B8}" name="Product">
      <calculatedColumnFormula array="1">Common_InputFunctions.Utility_DisplayArrayInTable(CommonLivestock_SourceData.SourceData_Livestock_Product_BeefCattle_Data(),Table_SourceData_LivestockProduct_Beefcattle[[#Headers],[Product]],0)</calculatedColumnFormula>
    </tableColumn>
    <tableColumn id="2" xr3:uid="{8C2AFE58-34F9-46E4-8545-3D658D7FB2E8}" name="Source region" dataDxfId="61" dataCellStyle="Content normal">
      <calculatedColumnFormula array="1">Common_InputFunctions.Utility_DisplayArrayInTable(CommonLivestock_SourceData.SourceData_Livestock_Product_BeefCattle_Data(),Table_SourceData_LivestockProduct_Beefcattle[[#Headers],[Product]],0)</calculatedColumnFormula>
    </tableColumn>
  </tableColumns>
  <tableStyleInfo name="Equation table" showFirstColumn="0" showLastColumn="0" showRowStripes="1" showColumnStripes="0"/>
</table>
</file>

<file path=xl/tables/table5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F711E95C-01C8-48A7-BB52-9F827483965C}" name="Table_SourceData_LivestockProduct_Sheep" displayName="Table_SourceData_LivestockProduct_Sheep" ref="D43:E50" totalsRowShown="0" dataDxfId="60" dataCellStyle="Content normal">
  <autoFilter ref="D43:E50" xr:uid="{F711E95C-01C8-48A7-BB52-9F827483965C}"/>
  <tableColumns count="2">
    <tableColumn id="1" xr3:uid="{08B90907-6C3E-412D-8433-9F6039F4029A}" name="Product" dataDxfId="59" dataCellStyle="Content normal">
      <calculatedColumnFormula array="1">Common_InputFunctions.Utility_DisplayArrayInTable(CommonLivestock_SourceData.SourceData_Livestock_Product_Sheep_Data(),Table_SourceData_LivestockProduct_Sheep[[#Headers],[Product]],0)</calculatedColumnFormula>
    </tableColumn>
    <tableColumn id="2" xr3:uid="{2A2C2767-D99F-48A4-9B18-54570969BE83}" name="Source region" dataDxfId="58" dataCellStyle="Content normal">
      <calculatedColumnFormula array="1">Common_InputFunctions.Utility_DisplayArrayInTable(CommonLivestock_SourceData.SourceData_Livestock_Product_Sheep_Data(),Table_SourceData_LivestockProduct_Sheep[[#Headers],[Product]],0)</calculatedColumnFormula>
    </tableColumn>
  </tableColumns>
  <tableStyleInfo name="Equation table" showFirstColumn="0" showLastColumn="0" showRowStripes="1" showColumnStripes="0"/>
</table>
</file>

<file path=xl/tables/table5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 xr:uid="{2A75A840-CA11-4C7B-8899-C3A821D14E27}" name="Table_SourceData_LivestockProduct_Chickens" displayName="Table_SourceData_LivestockProduct_Chickens" ref="D54:E55" totalsRowShown="0" dataDxfId="57" dataCellStyle="Content normal">
  <autoFilter ref="D54:E55" xr:uid="{2A75A840-CA11-4C7B-8899-C3A821D14E27}"/>
  <tableColumns count="2">
    <tableColumn id="1" xr3:uid="{F170FD6C-DD1B-4B8F-AF9E-3B62B67338A0}" name="Product" dataDxfId="56" dataCellStyle="Content normal">
      <calculatedColumnFormula array="1">Common_InputFunctions.Utility_DisplayArrayInTable(CommonLivestock_SourceData.SourceData_Livestock_Product_Chickens_Data(),Table_SourceData_LivestockProduct_Chickens[[#Headers],[Product]],0)</calculatedColumnFormula>
    </tableColumn>
    <tableColumn id="2" xr3:uid="{C8B45611-E4B1-4ECC-9EF4-F757FA5DE25B}" name="Source region" dataDxfId="55" dataCellStyle="Content normal">
      <calculatedColumnFormula array="1">Common_InputFunctions.Utility_DisplayArrayInTable(CommonLivestock_SourceData.SourceData_Livestock_Product_Chickens_Data(),Table_SourceData_LivestockProduct_Chickens[[#Headers],[Product]],0)</calculatedColumnFormula>
    </tableColumn>
  </tableColumns>
  <tableStyleInfo name="Equation table" showFirstColumn="0" showLastColumn="0" showRowStripes="1" showColumnStripes="0"/>
</table>
</file>

<file path=xl/tables/table5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5" xr:uid="{2D888E1E-7753-4DC0-B298-BEAC22F6BD88}" name="Table_SourceData_LivestockProduct_Dairycattle" displayName="Table_SourceData_LivestockProduct_Dairycattle" ref="D59:E60" totalsRowShown="0" dataDxfId="54" dataCellStyle="Content normal">
  <autoFilter ref="D59:E60" xr:uid="{2D888E1E-7753-4DC0-B298-BEAC22F6BD88}"/>
  <tableColumns count="2">
    <tableColumn id="1" xr3:uid="{C9C3D59B-D677-4AA1-B0C2-2067DFB471D5}" name="Product" dataDxfId="53" dataCellStyle="Content normal">
      <calculatedColumnFormula array="1">Common_InputFunctions.Utility_DisplayArrayInTable(CommonLivestock_SourceData.SourceData_Livestock_Product_Dairycattle_Data(),Table_SourceData_LivestockProduct_Dairycattle[[#Headers],[Product]],0)</calculatedColumnFormula>
    </tableColumn>
    <tableColumn id="2" xr3:uid="{5888C74E-925A-47DD-9FC9-F51F54E7CA27}" name="Source region" dataDxfId="52" dataCellStyle="Content normal">
      <calculatedColumnFormula array="1">Common_InputFunctions.Utility_DisplayArrayInTable(CommonLivestock_SourceData.SourceData_Livestock_Product_Dairycattle_Data(),Table_SourceData_LivestockProduct_Dairycattle[[#Headers],[Product]],0)</calculatedColumnFormula>
    </tableColumn>
  </tableColumns>
  <tableStyleInfo name="Equation table" showFirstColumn="0" showLastColumn="0" showRowStripes="1" showColumnStripes="0"/>
</table>
</file>

<file path=xl/tables/table5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6" xr:uid="{4DB6C08B-3AF7-4AD1-AB80-46559AA7950B}" name="Table_SourceData_LivestockProduct_Pigs" displayName="Table_SourceData_LivestockProduct_Pigs" ref="D64:E65" totalsRowShown="0" dataDxfId="51" dataCellStyle="Content normal">
  <autoFilter ref="D64:E65" xr:uid="{4DB6C08B-3AF7-4AD1-AB80-46559AA7950B}"/>
  <tableColumns count="2">
    <tableColumn id="1" xr3:uid="{89BE89CD-FE25-4013-84CD-7E8828148DA3}" name="Product" dataDxfId="50" dataCellStyle="Content normal">
      <calculatedColumnFormula array="1">Common_InputFunctions.Utility_DisplayArrayInTable(CommonLivestock_SourceData.SourceData_Livestock_Product_Pigs_Data(),Table_SourceData_LivestockProduct_Pigs[[#Headers],[Product]],0)</calculatedColumnFormula>
    </tableColumn>
    <tableColumn id="2" xr3:uid="{13E0366C-4D01-41B3-AF78-84B193706A78}" name="Source region" dataDxfId="49" dataCellStyle="Content normal">
      <calculatedColumnFormula array="1">Common_InputFunctions.Utility_DisplayArrayInTable(CommonLivestock_SourceData.SourceData_Livestock_Product_Pigs_Data(),Table_SourceData_LivestockProduct_Pigs[[#Headers],[Product]],0)</calculatedColumnFormula>
    </tableColumn>
  </tableColumns>
  <tableStyleInfo name="Equation table" showFirstColumn="0" showLastColumn="0" showRowStripes="1" showColumnStripes="0"/>
</table>
</file>

<file path=xl/theme/theme1.xml><?xml version="1.0" encoding="utf-8"?>
<a:theme xmlns:a="http://schemas.openxmlformats.org/drawingml/2006/main" name="Office Theme">
  <a:themeElements>
    <a:clrScheme name="ZNE-Ag">
      <a:dk1>
        <a:sysClr val="windowText" lastClr="000000"/>
      </a:dk1>
      <a:lt1>
        <a:sysClr val="window" lastClr="FFFFFF"/>
      </a:lt1>
      <a:dk2>
        <a:srgbClr val="0E2841"/>
      </a:dk2>
      <a:lt2>
        <a:srgbClr val="E8E8E8"/>
      </a:lt2>
      <a:accent1>
        <a:srgbClr val="0B769F"/>
      </a:accent1>
      <a:accent2>
        <a:srgbClr val="CC6600"/>
      </a:accent2>
      <a:accent3>
        <a:srgbClr val="008000"/>
      </a:accent3>
      <a:accent4>
        <a:srgbClr val="C4433F"/>
      </a:accent4>
      <a:accent5>
        <a:srgbClr val="4F4789"/>
      </a:accent5>
      <a:accent6>
        <a:srgbClr val="FFCC66"/>
      </a:accent6>
      <a:hlink>
        <a:srgbClr val="467886"/>
      </a:hlink>
      <a:folHlink>
        <a:srgbClr val="894763"/>
      </a:folHlink>
    </a:clrScheme>
    <a:fontScheme name="Custom 1">
      <a:majorFont>
        <a:latin typeface="Times New Roman"/>
        <a:ea typeface=""/>
        <a:cs typeface=""/>
      </a:majorFont>
      <a:minorFont>
        <a:latin typeface="Times New Roman"/>
        <a:ea typeface=""/>
        <a:cs typeface=""/>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860" row="4">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102233F-B6A7-4C5C-980A-848E7A11A33D}">
  <we:reference id="wa200003696" version="1.3.0.0" store="en-US" storeType="OMEX"/>
  <we:alternateReferences>
    <we:reference id="WA200003696" version="1.3.0.0" store="WA200003696" storeType="OMEX"/>
  </we:alternateReferences>
  <we:properties>
    <we:property name="projectV0_1-56c6e055-265e-4713-816e-a646dbb708de" value="{&quot;kind&quot;:&quot;AFEJSONBlobNode&quot;,&quot;id&quot;:&quot;{B6BE249C-20B1-4A62-BBCD-F2A46D88BCAB}&quot;}"/>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_xldudf_LABS_GENERATIVEAI</we:customFunctionIds>
      </we:customFunctionIdList>
    </a:ext>
  </we:extLst>
</we:webextension>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5.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2.bin"/></Relationships>
</file>

<file path=xl/worksheets/_rels/sheet6.xml.rels><?xml version="1.0" encoding="UTF-8" standalone="yes"?>
<Relationships xmlns="http://schemas.openxmlformats.org/package/2006/relationships"><Relationship Id="rId8" Type="http://schemas.openxmlformats.org/officeDocument/2006/relationships/table" Target="../tables/table7.xml"/><Relationship Id="rId13" Type="http://schemas.openxmlformats.org/officeDocument/2006/relationships/table" Target="../tables/table12.xml"/><Relationship Id="rId18" Type="http://schemas.openxmlformats.org/officeDocument/2006/relationships/table" Target="../tables/table17.xml"/><Relationship Id="rId26" Type="http://schemas.openxmlformats.org/officeDocument/2006/relationships/table" Target="../tables/table25.xml"/><Relationship Id="rId3" Type="http://schemas.openxmlformats.org/officeDocument/2006/relationships/table" Target="../tables/table2.xml"/><Relationship Id="rId21" Type="http://schemas.openxmlformats.org/officeDocument/2006/relationships/table" Target="../tables/table20.xml"/><Relationship Id="rId7" Type="http://schemas.openxmlformats.org/officeDocument/2006/relationships/table" Target="../tables/table6.xml"/><Relationship Id="rId12" Type="http://schemas.openxmlformats.org/officeDocument/2006/relationships/table" Target="../tables/table11.xml"/><Relationship Id="rId17" Type="http://schemas.openxmlformats.org/officeDocument/2006/relationships/table" Target="../tables/table16.xml"/><Relationship Id="rId25" Type="http://schemas.openxmlformats.org/officeDocument/2006/relationships/table" Target="../tables/table24.xml"/><Relationship Id="rId2" Type="http://schemas.openxmlformats.org/officeDocument/2006/relationships/table" Target="../tables/table1.xml"/><Relationship Id="rId16" Type="http://schemas.openxmlformats.org/officeDocument/2006/relationships/table" Target="../tables/table15.xml"/><Relationship Id="rId20" Type="http://schemas.openxmlformats.org/officeDocument/2006/relationships/table" Target="../tables/table19.xml"/><Relationship Id="rId1" Type="http://schemas.openxmlformats.org/officeDocument/2006/relationships/printerSettings" Target="../printerSettings/printerSettings3.bin"/><Relationship Id="rId6" Type="http://schemas.openxmlformats.org/officeDocument/2006/relationships/table" Target="../tables/table5.xml"/><Relationship Id="rId11" Type="http://schemas.openxmlformats.org/officeDocument/2006/relationships/table" Target="../tables/table10.xml"/><Relationship Id="rId24" Type="http://schemas.openxmlformats.org/officeDocument/2006/relationships/table" Target="../tables/table23.xml"/><Relationship Id="rId5" Type="http://schemas.openxmlformats.org/officeDocument/2006/relationships/table" Target="../tables/table4.xml"/><Relationship Id="rId15" Type="http://schemas.openxmlformats.org/officeDocument/2006/relationships/table" Target="../tables/table14.xml"/><Relationship Id="rId23" Type="http://schemas.openxmlformats.org/officeDocument/2006/relationships/table" Target="../tables/table22.xml"/><Relationship Id="rId28" Type="http://schemas.openxmlformats.org/officeDocument/2006/relationships/table" Target="../tables/table27.xml"/><Relationship Id="rId10" Type="http://schemas.openxmlformats.org/officeDocument/2006/relationships/table" Target="../tables/table9.xml"/><Relationship Id="rId19" Type="http://schemas.openxmlformats.org/officeDocument/2006/relationships/table" Target="../tables/table18.xml"/><Relationship Id="rId4" Type="http://schemas.openxmlformats.org/officeDocument/2006/relationships/table" Target="../tables/table3.xml"/><Relationship Id="rId9" Type="http://schemas.openxmlformats.org/officeDocument/2006/relationships/table" Target="../tables/table8.xml"/><Relationship Id="rId14" Type="http://schemas.openxmlformats.org/officeDocument/2006/relationships/table" Target="../tables/table13.xml"/><Relationship Id="rId22" Type="http://schemas.openxmlformats.org/officeDocument/2006/relationships/table" Target="../tables/table21.xml"/><Relationship Id="rId27" Type="http://schemas.openxmlformats.org/officeDocument/2006/relationships/table" Target="../tables/table26.xml"/></Relationships>
</file>

<file path=xl/worksheets/_rels/sheet7.xml.rels><?xml version="1.0" encoding="UTF-8" standalone="yes"?>
<Relationships xmlns="http://schemas.openxmlformats.org/package/2006/relationships"><Relationship Id="rId8" Type="http://schemas.openxmlformats.org/officeDocument/2006/relationships/table" Target="../tables/table34.xml"/><Relationship Id="rId13" Type="http://schemas.openxmlformats.org/officeDocument/2006/relationships/table" Target="../tables/table39.xml"/><Relationship Id="rId18" Type="http://schemas.openxmlformats.org/officeDocument/2006/relationships/table" Target="../tables/table44.xml"/><Relationship Id="rId3" Type="http://schemas.openxmlformats.org/officeDocument/2006/relationships/table" Target="../tables/table29.xml"/><Relationship Id="rId21" Type="http://schemas.openxmlformats.org/officeDocument/2006/relationships/table" Target="../tables/table47.xml"/><Relationship Id="rId7" Type="http://schemas.openxmlformats.org/officeDocument/2006/relationships/table" Target="../tables/table33.xml"/><Relationship Id="rId12" Type="http://schemas.openxmlformats.org/officeDocument/2006/relationships/table" Target="../tables/table38.xml"/><Relationship Id="rId17" Type="http://schemas.openxmlformats.org/officeDocument/2006/relationships/table" Target="../tables/table43.xml"/><Relationship Id="rId2" Type="http://schemas.openxmlformats.org/officeDocument/2006/relationships/table" Target="../tables/table28.xml"/><Relationship Id="rId16" Type="http://schemas.openxmlformats.org/officeDocument/2006/relationships/table" Target="../tables/table42.xml"/><Relationship Id="rId20" Type="http://schemas.openxmlformats.org/officeDocument/2006/relationships/table" Target="../tables/table46.xml"/><Relationship Id="rId1" Type="http://schemas.openxmlformats.org/officeDocument/2006/relationships/printerSettings" Target="../printerSettings/printerSettings4.bin"/><Relationship Id="rId6" Type="http://schemas.openxmlformats.org/officeDocument/2006/relationships/table" Target="../tables/table32.xml"/><Relationship Id="rId11" Type="http://schemas.openxmlformats.org/officeDocument/2006/relationships/table" Target="../tables/table37.xml"/><Relationship Id="rId5" Type="http://schemas.openxmlformats.org/officeDocument/2006/relationships/table" Target="../tables/table31.xml"/><Relationship Id="rId15" Type="http://schemas.openxmlformats.org/officeDocument/2006/relationships/table" Target="../tables/table41.xml"/><Relationship Id="rId10" Type="http://schemas.openxmlformats.org/officeDocument/2006/relationships/table" Target="../tables/table36.xml"/><Relationship Id="rId19" Type="http://schemas.openxmlformats.org/officeDocument/2006/relationships/table" Target="../tables/table45.xml"/><Relationship Id="rId4" Type="http://schemas.openxmlformats.org/officeDocument/2006/relationships/table" Target="../tables/table30.xml"/><Relationship Id="rId9" Type="http://schemas.openxmlformats.org/officeDocument/2006/relationships/table" Target="../tables/table35.xml"/><Relationship Id="rId14" Type="http://schemas.openxmlformats.org/officeDocument/2006/relationships/table" Target="../tables/table40.xml"/><Relationship Id="rId22" Type="http://schemas.openxmlformats.org/officeDocument/2006/relationships/table" Target="../tables/table48.xml"/></Relationships>
</file>

<file path=xl/worksheets/_rels/sheet8.xml.rels><?xml version="1.0" encoding="UTF-8" standalone="yes"?>
<Relationships xmlns="http://schemas.openxmlformats.org/package/2006/relationships"><Relationship Id="rId3" Type="http://schemas.openxmlformats.org/officeDocument/2006/relationships/table" Target="../tables/table50.xml"/><Relationship Id="rId7" Type="http://schemas.openxmlformats.org/officeDocument/2006/relationships/table" Target="../tables/table54.xml"/><Relationship Id="rId2" Type="http://schemas.openxmlformats.org/officeDocument/2006/relationships/table" Target="../tables/table49.xml"/><Relationship Id="rId1" Type="http://schemas.openxmlformats.org/officeDocument/2006/relationships/printerSettings" Target="../printerSettings/printerSettings5.bin"/><Relationship Id="rId6" Type="http://schemas.openxmlformats.org/officeDocument/2006/relationships/table" Target="../tables/table53.xml"/><Relationship Id="rId5" Type="http://schemas.openxmlformats.org/officeDocument/2006/relationships/table" Target="../tables/table52.xml"/><Relationship Id="rId4" Type="http://schemas.openxmlformats.org/officeDocument/2006/relationships/table" Target="../tables/table5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CF26AA-F4FA-460F-9B3A-C19960195F0B}">
  <dimension ref="A1:A8"/>
  <sheetViews>
    <sheetView zoomScaleNormal="100" workbookViewId="0">
      <selection activeCell="A20" sqref="A20"/>
    </sheetView>
  </sheetViews>
  <sheetFormatPr defaultRowHeight="15" x14ac:dyDescent="0.25"/>
  <sheetData>
    <row r="1" spans="1:1" x14ac:dyDescent="0.25">
      <c r="A1" t="s">
        <v>304</v>
      </c>
    </row>
    <row r="3" spans="1:1" x14ac:dyDescent="0.25">
      <c r="A3" s="121" t="str">
        <f>HYPERLINK("#'Home'!A1", "Home")</f>
        <v>Home</v>
      </c>
    </row>
    <row r="6" spans="1:1" x14ac:dyDescent="0.25">
      <c r="A6" s="120" t="s">
        <v>1</v>
      </c>
    </row>
    <row r="7" spans="1:1" ht="15.75" x14ac:dyDescent="0.25">
      <c r="A7" s="17" t="str">
        <f>HYPERLINK("#'Constants - Common'!A1", "Constants - Common")</f>
        <v>Constants - Common</v>
      </c>
    </row>
    <row r="8" spans="1:1" ht="15.75" x14ac:dyDescent="0.25">
      <c r="A8" s="17" t="str">
        <f>HYPERLINK("#'Acknowledgements'!A1", "Acknowledgements")</f>
        <v>Acknowledgements</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E30AE0-5101-4331-B8DF-043DE9AAFBA8}">
  <sheetPr>
    <pageSetUpPr autoPageBreaks="0"/>
  </sheetPr>
  <dimension ref="A1:K87"/>
  <sheetViews>
    <sheetView showGridLines="0" zoomScaleNormal="100" workbookViewId="0">
      <selection activeCell="E7" sqref="E7"/>
    </sheetView>
  </sheetViews>
  <sheetFormatPr defaultRowHeight="15" x14ac:dyDescent="0.25"/>
  <cols>
    <col min="1" max="1" width="30.7109375" customWidth="1"/>
    <col min="2" max="3" width="2.7109375" customWidth="1"/>
    <col min="4" max="4" width="78.42578125" customWidth="1"/>
    <col min="5" max="10" width="30.7109375" customWidth="1"/>
    <col min="11" max="11" width="7.42578125" customWidth="1"/>
    <col min="12" max="26" width="28.7109375" customWidth="1"/>
  </cols>
  <sheetData>
    <row r="1" spans="1:11" ht="30" customHeight="1" x14ac:dyDescent="0.35">
      <c r="A1" s="62" t="e" vm="1">
        <v>#VALUE!</v>
      </c>
      <c r="C1" s="104" t="s">
        <v>265</v>
      </c>
    </row>
    <row r="2" spans="1:11" ht="20.100000000000001" customHeight="1" x14ac:dyDescent="0.25">
      <c r="C2" s="9"/>
    </row>
    <row r="3" spans="1:11" ht="20.100000000000001" customHeight="1" x14ac:dyDescent="0.25">
      <c r="A3" s="17" t="str">
        <f>HYPERLINK("#'Home'!A1", "Home")</f>
        <v>Home</v>
      </c>
      <c r="C3" s="21"/>
      <c r="D3" s="21"/>
      <c r="E3" s="21"/>
      <c r="F3" s="21"/>
      <c r="G3" s="21"/>
      <c r="H3" s="21"/>
      <c r="I3" s="21"/>
      <c r="J3" s="21"/>
      <c r="K3" s="21"/>
    </row>
    <row r="4" spans="1:11" ht="20.100000000000001" customHeight="1" x14ac:dyDescent="0.25">
      <c r="A4" s="116" t="str">
        <f>HYPERLINK("#'Results'!A1", "Results")</f>
        <v>Results</v>
      </c>
      <c r="C4" s="21"/>
      <c r="D4" s="6" t="s">
        <v>2</v>
      </c>
      <c r="E4" s="23"/>
      <c r="F4" s="23"/>
      <c r="G4" s="23"/>
      <c r="H4" s="6"/>
      <c r="I4" s="6"/>
      <c r="J4" s="6"/>
      <c r="K4" s="24"/>
    </row>
    <row r="5" spans="1:11" ht="20.100000000000001" customHeight="1" x14ac:dyDescent="0.3">
      <c r="C5" s="21"/>
      <c r="D5" s="25"/>
      <c r="E5" s="26"/>
      <c r="F5" s="26"/>
      <c r="G5" s="26"/>
      <c r="H5" s="23"/>
      <c r="I5" s="21"/>
      <c r="J5" s="21"/>
      <c r="K5" s="21"/>
    </row>
    <row r="6" spans="1:11" ht="20.100000000000001" customHeight="1" x14ac:dyDescent="0.25">
      <c r="C6" s="21"/>
      <c r="D6" s="103" t="s">
        <v>86</v>
      </c>
      <c r="E6" s="103" t="s">
        <v>121</v>
      </c>
      <c r="F6" s="103" t="s">
        <v>122</v>
      </c>
      <c r="G6" s="103" t="s">
        <v>99</v>
      </c>
      <c r="H6" s="103" t="s">
        <v>123</v>
      </c>
      <c r="I6" s="103" t="s">
        <v>124</v>
      </c>
      <c r="J6" s="103" t="s">
        <v>100</v>
      </c>
      <c r="K6" s="21"/>
    </row>
    <row r="7" spans="1:11" ht="20.100000000000001" customHeight="1" x14ac:dyDescent="0.25">
      <c r="A7" s="19" t="s">
        <v>0</v>
      </c>
      <c r="C7" s="21"/>
      <c r="D7" s="1" t="s">
        <v>264</v>
      </c>
      <c r="E7" s="101">
        <f ca="1">VEERG_3_2_1_1__1_TotalAnnualMethaneFromEntericFermentation_Result_Method1</f>
        <v>54.595755432192263</v>
      </c>
      <c r="F7" s="101">
        <f ca="1">VEERG_3_2_1_1__1_TotalAnnualMethaneFromEntericFermentation_Result_Method2</f>
        <v>22664.29155712877</v>
      </c>
      <c r="G7" s="51" t="s">
        <v>116</v>
      </c>
      <c r="H7" s="101">
        <f ca="1">'3.2.1.1-2 Enteric Methane'!E133</f>
        <v>1528.6811521013833</v>
      </c>
      <c r="I7" s="101">
        <f ca="1">'3.2.1.1-2 Enteric Methane'!V167</f>
        <v>634600.16359960556</v>
      </c>
      <c r="J7" s="51" t="s">
        <v>119</v>
      </c>
      <c r="K7" s="21"/>
    </row>
    <row r="8" spans="1:11" ht="20.100000000000001" customHeight="1" x14ac:dyDescent="0.3">
      <c r="A8" s="17" t="str">
        <f>HYPERLINK("#'Input - Site'!A1", "Site")</f>
        <v>Site</v>
      </c>
      <c r="C8" s="21"/>
      <c r="D8" s="28" t="s">
        <v>98</v>
      </c>
      <c r="E8" s="22"/>
      <c r="F8" s="22"/>
      <c r="G8" s="28"/>
      <c r="H8" s="102">
        <f ca="1">SUM(H7:H7)</f>
        <v>1528.6811521013833</v>
      </c>
      <c r="I8" s="102">
        <f ca="1">SUM(I7:I7)</f>
        <v>634600.16359960556</v>
      </c>
      <c r="J8" s="97" t="s">
        <v>119</v>
      </c>
      <c r="K8" s="21"/>
    </row>
    <row r="9" spans="1:11" ht="20.100000000000001" customHeight="1" x14ac:dyDescent="0.25">
      <c r="A9" s="17" t="str">
        <f>HYPERLINK("#'Input - Pasture Beef'!A1", "Pasture Beef")</f>
        <v>Pasture Beef</v>
      </c>
      <c r="C9" s="21"/>
      <c r="D9" s="1"/>
      <c r="E9" s="1"/>
      <c r="F9" s="1"/>
      <c r="G9" s="23"/>
      <c r="H9" s="21"/>
      <c r="I9" s="1"/>
      <c r="J9" s="1"/>
      <c r="K9" s="21"/>
    </row>
    <row r="10" spans="1:11" ht="20.100000000000001" customHeight="1" x14ac:dyDescent="0.25">
      <c r="C10" s="21"/>
      <c r="D10" s="21"/>
      <c r="E10" s="21"/>
      <c r="F10" s="21"/>
      <c r="G10" s="21"/>
      <c r="H10" s="21"/>
      <c r="I10" s="21"/>
      <c r="J10" s="21"/>
      <c r="K10" s="21"/>
    </row>
    <row r="11" spans="1:11" ht="20.100000000000001" customHeight="1" x14ac:dyDescent="0.25">
      <c r="C11" s="21"/>
      <c r="D11" s="21"/>
      <c r="E11" s="21"/>
      <c r="F11" s="21"/>
      <c r="G11" s="21"/>
      <c r="H11" s="21"/>
      <c r="I11" s="21"/>
      <c r="J11" s="21"/>
      <c r="K11" s="21"/>
    </row>
    <row r="12" spans="1:11" ht="20.100000000000001" customHeight="1" x14ac:dyDescent="0.25">
      <c r="A12" s="18" t="s">
        <v>60</v>
      </c>
      <c r="C12" s="21"/>
      <c r="D12" s="21"/>
      <c r="E12" s="21"/>
      <c r="F12" s="21"/>
      <c r="G12" s="21"/>
      <c r="H12" s="21"/>
      <c r="I12" s="21"/>
      <c r="J12" s="21"/>
      <c r="K12" s="21"/>
    </row>
    <row r="13" spans="1:11" ht="20.100000000000001" customHeight="1" x14ac:dyDescent="0.25">
      <c r="A13" s="17" t="str">
        <f>HYPERLINK("#'3.2.1.1-2 Enteric Methane'!A1", "3.2.1.1-2 Enteric Methane")</f>
        <v>3.2.1.1-2 Enteric Methane</v>
      </c>
      <c r="C13" s="21"/>
      <c r="D13" s="21"/>
      <c r="E13" s="21"/>
      <c r="F13" s="21"/>
      <c r="G13" s="21"/>
      <c r="H13" s="21"/>
      <c r="I13" s="21"/>
      <c r="J13" s="21"/>
      <c r="K13" s="21"/>
    </row>
    <row r="14" spans="1:11" ht="20.100000000000001" customHeight="1" x14ac:dyDescent="0.25">
      <c r="C14" s="21"/>
      <c r="D14" s="21"/>
      <c r="E14" s="21"/>
      <c r="F14" s="21"/>
      <c r="G14" s="21"/>
      <c r="H14" s="21"/>
      <c r="I14" s="21"/>
      <c r="J14" s="21"/>
      <c r="K14" s="21"/>
    </row>
    <row r="15" spans="1:11" ht="20.100000000000001" customHeight="1" x14ac:dyDescent="0.25">
      <c r="C15" s="21"/>
      <c r="D15" s="21"/>
      <c r="E15" s="21"/>
      <c r="F15" s="21"/>
      <c r="G15" s="21"/>
      <c r="H15" s="21"/>
      <c r="I15" s="21"/>
      <c r="J15" s="21"/>
      <c r="K15" s="21"/>
    </row>
    <row r="16" spans="1:11" ht="20.100000000000001" customHeight="1" x14ac:dyDescent="0.3">
      <c r="A16" s="120" t="s">
        <v>1</v>
      </c>
      <c r="C16" s="21"/>
      <c r="D16" s="1"/>
      <c r="E16" s="1"/>
      <c r="F16" s="1"/>
      <c r="G16" s="1"/>
      <c r="H16" s="26"/>
      <c r="I16" s="21"/>
      <c r="J16" s="21"/>
      <c r="K16" s="21"/>
    </row>
    <row r="17" spans="1:11" ht="20.100000000000001" customHeight="1" x14ac:dyDescent="0.3">
      <c r="A17" s="17" t="str">
        <f>HYPERLINK("#'Constants - Pasture Beef'!A1", "Constants - Pasture Beef")</f>
        <v>Constants - Pasture Beef</v>
      </c>
      <c r="C17" s="21"/>
      <c r="D17" s="1"/>
      <c r="E17" s="1"/>
      <c r="F17" s="1"/>
      <c r="G17" s="1"/>
      <c r="H17" s="26"/>
      <c r="I17" s="21"/>
      <c r="J17" s="21"/>
      <c r="K17" s="21"/>
    </row>
    <row r="18" spans="1:11" ht="20.100000000000001" customHeight="1" x14ac:dyDescent="0.3">
      <c r="A18" s="17" t="str">
        <f>HYPERLINK("#'Constants - Common'!A1", "Constants - Common")</f>
        <v>Constants - Common</v>
      </c>
      <c r="C18" s="21"/>
      <c r="D18" s="1"/>
      <c r="E18" s="1"/>
      <c r="F18" s="1"/>
      <c r="G18" s="1"/>
      <c r="H18" s="26"/>
      <c r="I18" s="21"/>
      <c r="J18" s="21"/>
      <c r="K18" s="21"/>
    </row>
    <row r="19" spans="1:11" ht="20.100000000000001" customHeight="1" x14ac:dyDescent="0.3">
      <c r="A19" s="17" t="str">
        <f>HYPERLINK("#'Constants - Common Livestock'!A1", "Constants - Common Livestock")</f>
        <v>Constants - Common Livestock</v>
      </c>
      <c r="C19" s="21"/>
      <c r="D19" s="1"/>
      <c r="E19" s="1"/>
      <c r="F19" s="1"/>
      <c r="G19" s="1"/>
      <c r="H19" s="26"/>
      <c r="I19" s="21"/>
      <c r="J19" s="21"/>
      <c r="K19" s="21"/>
    </row>
    <row r="20" spans="1:11" ht="20.100000000000001" customHeight="1" x14ac:dyDescent="0.3">
      <c r="A20" s="17" t="str">
        <f>HYPERLINK("#'Acknowledgements'!A1", "Acknowledgements")</f>
        <v>Acknowledgements</v>
      </c>
      <c r="C20" s="21"/>
      <c r="D20" s="1"/>
      <c r="E20" s="1"/>
      <c r="F20" s="1"/>
      <c r="G20" s="1"/>
      <c r="H20" s="26"/>
      <c r="I20" s="21"/>
      <c r="J20" s="21"/>
      <c r="K20" s="21"/>
    </row>
    <row r="21" spans="1:11" ht="20.100000000000001" customHeight="1" x14ac:dyDescent="0.3">
      <c r="C21" s="21"/>
      <c r="D21" s="1"/>
      <c r="E21" s="1"/>
      <c r="F21" s="1"/>
      <c r="G21" s="1"/>
      <c r="H21" s="26"/>
      <c r="I21" s="21"/>
      <c r="J21" s="21"/>
      <c r="K21" s="21"/>
    </row>
    <row r="22" spans="1:11" ht="20.100000000000001" customHeight="1" x14ac:dyDescent="0.3">
      <c r="C22" s="21"/>
      <c r="D22" s="1"/>
      <c r="E22" s="1"/>
      <c r="F22" s="1"/>
      <c r="G22" s="1"/>
      <c r="H22" s="26"/>
      <c r="I22" s="21"/>
      <c r="J22" s="21"/>
      <c r="K22" s="21"/>
    </row>
    <row r="23" spans="1:11" ht="20.100000000000001" customHeight="1" x14ac:dyDescent="0.3">
      <c r="C23" s="21"/>
      <c r="D23" s="1"/>
      <c r="E23" s="1"/>
      <c r="F23" s="1"/>
      <c r="G23" s="1"/>
      <c r="H23" s="26"/>
      <c r="I23" s="21"/>
      <c r="J23" s="21"/>
      <c r="K23" s="21"/>
    </row>
    <row r="24" spans="1:11" ht="20.100000000000001" customHeight="1" x14ac:dyDescent="0.3">
      <c r="C24" s="21"/>
      <c r="D24" s="1"/>
      <c r="E24" s="1"/>
      <c r="F24" s="1"/>
      <c r="G24" s="1"/>
      <c r="H24" s="26"/>
      <c r="I24" s="21"/>
      <c r="J24" s="21"/>
      <c r="K24" s="21"/>
    </row>
    <row r="25" spans="1:11" ht="20.100000000000001" customHeight="1" x14ac:dyDescent="0.3">
      <c r="C25" s="21"/>
      <c r="D25" s="1"/>
      <c r="E25" s="1"/>
      <c r="F25" s="1"/>
      <c r="G25" s="1"/>
      <c r="H25" s="26"/>
      <c r="I25" s="21"/>
      <c r="J25" s="21"/>
      <c r="K25" s="21"/>
    </row>
    <row r="26" spans="1:11" ht="20.100000000000001" customHeight="1" x14ac:dyDescent="0.3">
      <c r="C26" s="21"/>
      <c r="D26" s="1"/>
      <c r="E26" s="1"/>
      <c r="F26" s="1"/>
      <c r="G26" s="1"/>
      <c r="H26" s="26"/>
      <c r="I26" s="21"/>
      <c r="J26" s="21"/>
      <c r="K26" s="21"/>
    </row>
    <row r="27" spans="1:11" ht="20.100000000000001" customHeight="1" x14ac:dyDescent="0.25">
      <c r="C27" s="21"/>
      <c r="D27" s="1"/>
      <c r="E27" s="1"/>
      <c r="F27" s="1"/>
      <c r="G27" s="1"/>
      <c r="H27" s="1"/>
      <c r="I27" s="1"/>
      <c r="J27" s="21"/>
      <c r="K27" s="21"/>
    </row>
    <row r="28" spans="1:11" ht="20.100000000000001" customHeight="1" x14ac:dyDescent="0.25">
      <c r="C28" s="21"/>
      <c r="D28" s="1"/>
      <c r="E28" s="1"/>
      <c r="F28" s="1"/>
      <c r="G28" s="1"/>
      <c r="H28" s="1"/>
      <c r="I28" s="1"/>
      <c r="J28" s="21"/>
      <c r="K28" s="21"/>
    </row>
    <row r="29" spans="1:11" ht="20.100000000000001" customHeight="1" x14ac:dyDescent="0.25">
      <c r="C29" s="21"/>
      <c r="D29" s="1"/>
      <c r="E29" s="1"/>
      <c r="F29" s="1"/>
      <c r="G29" s="1"/>
      <c r="H29" s="1"/>
      <c r="I29" s="1"/>
      <c r="J29" s="21"/>
      <c r="K29" s="21"/>
    </row>
    <row r="30" spans="1:11" ht="20.100000000000001" customHeight="1" x14ac:dyDescent="0.25">
      <c r="C30" s="21"/>
      <c r="D30" s="1"/>
      <c r="E30" s="1"/>
      <c r="F30" s="1"/>
      <c r="G30" s="1"/>
      <c r="H30" s="1"/>
      <c r="I30" s="1"/>
      <c r="J30" s="21"/>
      <c r="K30" s="21"/>
    </row>
    <row r="31" spans="1:11" ht="20.100000000000001" customHeight="1" x14ac:dyDescent="0.25">
      <c r="C31" s="21"/>
      <c r="D31" s="1"/>
      <c r="E31" s="1"/>
      <c r="F31" s="1"/>
      <c r="G31" s="1"/>
      <c r="H31" s="1"/>
      <c r="I31" s="1"/>
      <c r="J31" s="21"/>
      <c r="K31" s="21"/>
    </row>
    <row r="32" spans="1:11" ht="20.100000000000001" customHeight="1" x14ac:dyDescent="0.25">
      <c r="C32" s="21"/>
      <c r="D32" s="1"/>
      <c r="E32" s="1"/>
      <c r="F32" s="1"/>
      <c r="G32" s="1"/>
      <c r="H32" s="1"/>
      <c r="I32" s="1"/>
      <c r="J32" s="21"/>
      <c r="K32" s="21"/>
    </row>
    <row r="33" spans="3:11" ht="20.100000000000001" customHeight="1" x14ac:dyDescent="0.25">
      <c r="C33" s="21"/>
      <c r="D33" s="1"/>
      <c r="E33" s="1"/>
      <c r="F33" s="1"/>
      <c r="G33" s="1"/>
      <c r="H33" s="1"/>
      <c r="I33" s="1"/>
      <c r="J33" s="21"/>
      <c r="K33" s="21"/>
    </row>
    <row r="34" spans="3:11" ht="20.100000000000001" customHeight="1" x14ac:dyDescent="0.25">
      <c r="C34" s="21"/>
      <c r="D34" s="1"/>
      <c r="E34" s="1"/>
      <c r="F34" s="1"/>
      <c r="G34" s="1"/>
      <c r="H34" s="1"/>
      <c r="I34" s="21"/>
      <c r="J34" s="21"/>
      <c r="K34" s="21"/>
    </row>
    <row r="35" spans="3:11" ht="20.100000000000001" customHeight="1" x14ac:dyDescent="0.25">
      <c r="C35" s="21"/>
      <c r="D35" s="1"/>
      <c r="E35" s="1"/>
      <c r="F35" s="1"/>
      <c r="G35" s="1"/>
      <c r="H35" s="1"/>
      <c r="I35" s="21"/>
      <c r="J35" s="21"/>
      <c r="K35" s="21"/>
    </row>
    <row r="36" spans="3:11" ht="20.100000000000001" customHeight="1" x14ac:dyDescent="0.25">
      <c r="C36" s="21"/>
      <c r="D36" s="1"/>
      <c r="E36" s="1"/>
      <c r="F36" s="1"/>
      <c r="G36" s="1"/>
      <c r="H36" s="1"/>
      <c r="I36" s="21"/>
      <c r="J36" s="21"/>
      <c r="K36" s="21"/>
    </row>
    <row r="37" spans="3:11" ht="20.100000000000001" customHeight="1" x14ac:dyDescent="0.25">
      <c r="C37" s="21"/>
      <c r="D37" s="1"/>
      <c r="E37" s="1"/>
      <c r="F37" s="1"/>
      <c r="G37" s="1"/>
      <c r="H37" s="1"/>
      <c r="I37" s="21"/>
      <c r="J37" s="21"/>
      <c r="K37" s="21"/>
    </row>
    <row r="38" spans="3:11" ht="20.100000000000001" customHeight="1" x14ac:dyDescent="0.25">
      <c r="C38" s="21"/>
      <c r="D38" s="1"/>
      <c r="E38" s="1"/>
      <c r="F38" s="1"/>
      <c r="G38" s="1"/>
      <c r="H38" s="1"/>
      <c r="I38" s="100"/>
      <c r="J38" s="100"/>
      <c r="K38" s="21"/>
    </row>
    <row r="39" spans="3:11" ht="20.100000000000001" customHeight="1" x14ac:dyDescent="0.25">
      <c r="C39" s="21"/>
      <c r="D39" s="1"/>
      <c r="E39" s="1"/>
      <c r="F39" s="1"/>
      <c r="G39" s="1"/>
      <c r="H39" s="1"/>
      <c r="I39" s="100"/>
      <c r="J39" s="100"/>
      <c r="K39" s="21"/>
    </row>
    <row r="40" spans="3:11" ht="20.100000000000001" customHeight="1" x14ac:dyDescent="0.25">
      <c r="C40" s="21"/>
      <c r="D40" s="1"/>
      <c r="E40" s="1"/>
      <c r="F40" s="1"/>
      <c r="G40" s="1"/>
      <c r="H40" s="1"/>
      <c r="I40" s="100"/>
      <c r="J40" s="100"/>
      <c r="K40" s="21"/>
    </row>
    <row r="41" spans="3:11" ht="20.100000000000001" customHeight="1" x14ac:dyDescent="0.25">
      <c r="C41" s="21"/>
      <c r="D41" s="1"/>
      <c r="E41" s="1"/>
      <c r="F41" s="1"/>
      <c r="G41" s="1"/>
      <c r="H41" s="1"/>
      <c r="I41" s="100"/>
      <c r="J41" s="100"/>
      <c r="K41" s="21"/>
    </row>
    <row r="42" spans="3:11" ht="20.100000000000001" customHeight="1" x14ac:dyDescent="0.25">
      <c r="C42" s="21"/>
      <c r="D42" s="1"/>
      <c r="E42" s="1"/>
      <c r="F42" s="1"/>
      <c r="G42" s="1"/>
      <c r="H42" s="1"/>
      <c r="I42" s="100"/>
      <c r="J42" s="100"/>
      <c r="K42" s="21"/>
    </row>
    <row r="43" spans="3:11" ht="20.100000000000001" customHeight="1" x14ac:dyDescent="0.25">
      <c r="C43" s="21"/>
      <c r="D43" s="1"/>
      <c r="E43" s="1"/>
      <c r="F43" s="1"/>
      <c r="G43" s="1"/>
      <c r="H43" s="1"/>
      <c r="I43" s="100"/>
      <c r="J43" s="100"/>
      <c r="K43" s="21"/>
    </row>
    <row r="44" spans="3:11" ht="20.100000000000001" customHeight="1" x14ac:dyDescent="0.25">
      <c r="C44" s="21"/>
      <c r="D44" s="1"/>
      <c r="E44" s="1"/>
      <c r="F44" s="1"/>
      <c r="G44" s="1"/>
      <c r="H44" s="1"/>
      <c r="I44" s="100"/>
      <c r="J44" s="100"/>
      <c r="K44" s="21"/>
    </row>
    <row r="45" spans="3:11" ht="20.100000000000001" customHeight="1" x14ac:dyDescent="0.25">
      <c r="C45" s="21"/>
      <c r="D45" s="1"/>
      <c r="E45" s="1"/>
      <c r="F45" s="1"/>
      <c r="G45" s="1"/>
      <c r="H45" s="1"/>
      <c r="I45" s="100"/>
      <c r="J45" s="100"/>
      <c r="K45" s="21"/>
    </row>
    <row r="46" spans="3:11" ht="20.100000000000001" customHeight="1" x14ac:dyDescent="0.25">
      <c r="C46" s="21"/>
      <c r="D46" s="1"/>
      <c r="E46" s="1"/>
      <c r="F46" s="1"/>
      <c r="G46" s="1"/>
      <c r="H46" s="1"/>
      <c r="I46" s="100"/>
      <c r="J46" s="100"/>
      <c r="K46" s="21"/>
    </row>
    <row r="47" spans="3:11" ht="20.100000000000001" customHeight="1" x14ac:dyDescent="0.25">
      <c r="C47" s="21"/>
      <c r="D47" s="1"/>
      <c r="E47" s="1"/>
      <c r="F47" s="1"/>
      <c r="G47" s="1"/>
      <c r="H47" s="1"/>
      <c r="I47" s="100"/>
      <c r="J47" s="100"/>
      <c r="K47" s="21"/>
    </row>
    <row r="48" spans="3:11" ht="20.100000000000001" customHeight="1" x14ac:dyDescent="0.25">
      <c r="C48" s="21"/>
      <c r="D48" s="1"/>
      <c r="E48" s="1"/>
      <c r="F48" s="1"/>
      <c r="G48" s="1"/>
      <c r="H48" s="1"/>
      <c r="I48" s="100"/>
      <c r="J48" s="100"/>
      <c r="K48" s="21"/>
    </row>
    <row r="49" spans="3:11" ht="20.100000000000001" customHeight="1" x14ac:dyDescent="0.25">
      <c r="C49" s="21"/>
      <c r="D49" s="1"/>
      <c r="E49" s="1"/>
      <c r="F49" s="1"/>
      <c r="G49" s="1"/>
      <c r="H49" s="100"/>
      <c r="I49" s="100"/>
      <c r="J49" s="100"/>
      <c r="K49" s="21"/>
    </row>
    <row r="50" spans="3:11" ht="20.100000000000001" customHeight="1" x14ac:dyDescent="0.25">
      <c r="C50" s="21"/>
      <c r="D50" s="1"/>
      <c r="E50" s="1"/>
      <c r="F50" s="1"/>
      <c r="G50" s="1"/>
      <c r="H50" s="100"/>
      <c r="I50" s="100"/>
      <c r="J50" s="100"/>
      <c r="K50" s="21"/>
    </row>
    <row r="51" spans="3:11" ht="20.100000000000001" customHeight="1" x14ac:dyDescent="0.25">
      <c r="C51" s="21"/>
      <c r="D51" s="1"/>
      <c r="E51" s="1"/>
      <c r="F51" s="1"/>
      <c r="G51" s="1"/>
      <c r="H51" s="100"/>
      <c r="I51" s="100"/>
      <c r="J51" s="100"/>
      <c r="K51" s="21"/>
    </row>
    <row r="52" spans="3:11" ht="20.100000000000001" customHeight="1" x14ac:dyDescent="0.25">
      <c r="C52" s="21"/>
      <c r="D52" s="1"/>
      <c r="E52" s="1"/>
      <c r="F52" s="1"/>
      <c r="G52" s="1"/>
      <c r="H52" s="100"/>
      <c r="I52" s="100"/>
      <c r="J52" s="100"/>
      <c r="K52" s="21"/>
    </row>
    <row r="53" spans="3:11" ht="20.100000000000001" customHeight="1" x14ac:dyDescent="0.25">
      <c r="C53" s="21"/>
      <c r="D53" s="1"/>
      <c r="E53" s="1"/>
      <c r="F53" s="1"/>
      <c r="G53" s="1"/>
      <c r="H53" s="100"/>
      <c r="I53" s="100"/>
      <c r="J53" s="100"/>
      <c r="K53" s="21"/>
    </row>
    <row r="54" spans="3:11" ht="20.100000000000001" customHeight="1" x14ac:dyDescent="0.25">
      <c r="C54" s="21"/>
      <c r="D54" s="1"/>
      <c r="E54" s="1"/>
      <c r="F54" s="1"/>
      <c r="G54" s="1"/>
      <c r="H54" s="21"/>
      <c r="I54" s="21"/>
      <c r="J54" s="21"/>
      <c r="K54" s="21"/>
    </row>
    <row r="55" spans="3:11" ht="20.100000000000001" customHeight="1" x14ac:dyDescent="0.25">
      <c r="C55" s="21"/>
      <c r="D55" s="1"/>
      <c r="E55" s="1"/>
      <c r="F55" s="1"/>
      <c r="G55" s="1"/>
      <c r="H55" s="21"/>
      <c r="I55" s="21"/>
      <c r="J55" s="21"/>
      <c r="K55" s="21"/>
    </row>
    <row r="56" spans="3:11" ht="20.100000000000001" customHeight="1" x14ac:dyDescent="0.25">
      <c r="C56" s="21"/>
      <c r="D56" s="1"/>
      <c r="E56" s="1"/>
      <c r="F56" s="1"/>
      <c r="G56" s="1"/>
      <c r="H56" s="21"/>
      <c r="I56" s="21"/>
      <c r="J56" s="21"/>
      <c r="K56" s="21"/>
    </row>
    <row r="57" spans="3:11" ht="20.100000000000001" customHeight="1" x14ac:dyDescent="0.25">
      <c r="C57" s="21"/>
      <c r="D57" s="1"/>
      <c r="E57" s="1"/>
      <c r="F57" s="1"/>
      <c r="G57" s="1"/>
      <c r="H57" s="21"/>
      <c r="I57" s="21"/>
      <c r="J57" s="21"/>
      <c r="K57" s="21"/>
    </row>
    <row r="58" spans="3:11" ht="20.100000000000001" customHeight="1" x14ac:dyDescent="0.25">
      <c r="C58" s="21"/>
      <c r="D58" s="1"/>
      <c r="E58" s="29"/>
      <c r="F58" s="27"/>
      <c r="G58" s="21"/>
      <c r="H58" s="21"/>
      <c r="I58" s="21"/>
      <c r="J58" s="21"/>
      <c r="K58" s="21"/>
    </row>
    <row r="59" spans="3:11" ht="20.100000000000001" customHeight="1" x14ac:dyDescent="0.25">
      <c r="C59" s="21"/>
      <c r="D59" s="1"/>
      <c r="E59" s="1"/>
      <c r="F59" s="1"/>
      <c r="G59" s="1"/>
      <c r="H59" s="1"/>
      <c r="I59" s="1"/>
      <c r="J59" s="1"/>
      <c r="K59" s="21"/>
    </row>
    <row r="60" spans="3:11" ht="20.100000000000001" customHeight="1" x14ac:dyDescent="0.25">
      <c r="C60" s="21"/>
      <c r="D60" s="1"/>
      <c r="E60" s="1"/>
      <c r="F60" s="1"/>
      <c r="G60" s="1"/>
      <c r="H60" s="1"/>
      <c r="I60" s="1"/>
      <c r="J60" s="1"/>
      <c r="K60" s="21"/>
    </row>
    <row r="61" spans="3:11" ht="20.100000000000001" customHeight="1" x14ac:dyDescent="0.25">
      <c r="C61" s="21"/>
      <c r="D61" s="1"/>
      <c r="E61" s="1"/>
      <c r="F61" s="1"/>
      <c r="G61" s="1"/>
      <c r="H61" s="1"/>
      <c r="I61" s="1"/>
      <c r="J61" s="1"/>
      <c r="K61" s="21"/>
    </row>
    <row r="62" spans="3:11" ht="20.100000000000001" customHeight="1" x14ac:dyDescent="0.25">
      <c r="C62" s="21"/>
      <c r="D62" s="1"/>
      <c r="E62" s="1"/>
      <c r="F62" s="1"/>
      <c r="G62" s="1"/>
      <c r="H62" s="1"/>
      <c r="I62" s="1"/>
      <c r="J62" s="1"/>
      <c r="K62" s="21"/>
    </row>
    <row r="63" spans="3:11" ht="20.100000000000001" customHeight="1" x14ac:dyDescent="0.25">
      <c r="C63" s="21"/>
      <c r="D63" s="1"/>
      <c r="E63" s="1"/>
      <c r="F63" s="1"/>
      <c r="G63" s="1"/>
      <c r="H63" s="1"/>
      <c r="I63" s="1"/>
      <c r="J63" s="1"/>
      <c r="K63" s="21"/>
    </row>
    <row r="64" spans="3:11" ht="20.100000000000001" customHeight="1" x14ac:dyDescent="0.25">
      <c r="C64" s="21"/>
      <c r="D64" s="1"/>
      <c r="E64" s="1"/>
      <c r="F64" s="1"/>
      <c r="G64" s="1"/>
      <c r="H64" s="1"/>
      <c r="I64" s="1"/>
      <c r="J64" s="1"/>
      <c r="K64" s="21"/>
    </row>
    <row r="65" spans="3:11" ht="20.100000000000001" customHeight="1" x14ac:dyDescent="0.25">
      <c r="C65" s="21"/>
      <c r="D65" s="1"/>
      <c r="E65" s="1"/>
      <c r="F65" s="1"/>
      <c r="G65" s="1"/>
      <c r="H65" s="1"/>
      <c r="I65" s="1"/>
      <c r="J65" s="1"/>
      <c r="K65" s="21"/>
    </row>
    <row r="66" spans="3:11" ht="20.100000000000001" customHeight="1" x14ac:dyDescent="0.25">
      <c r="C66" s="21"/>
      <c r="D66" s="1"/>
      <c r="E66" s="1"/>
      <c r="F66" s="1"/>
      <c r="G66" s="1"/>
      <c r="H66" s="1"/>
      <c r="I66" s="1"/>
      <c r="J66" s="1"/>
      <c r="K66" s="21"/>
    </row>
    <row r="67" spans="3:11" ht="20.100000000000001" customHeight="1" x14ac:dyDescent="0.25">
      <c r="C67" s="21"/>
      <c r="D67" s="1"/>
      <c r="E67" s="1"/>
      <c r="F67" s="1"/>
      <c r="G67" s="1"/>
      <c r="H67" s="1"/>
      <c r="I67" s="1"/>
      <c r="J67" s="1"/>
      <c r="K67" s="21"/>
    </row>
    <row r="68" spans="3:11" ht="20.100000000000001" customHeight="1" x14ac:dyDescent="0.25">
      <c r="C68" s="21"/>
      <c r="D68" s="1"/>
      <c r="E68" s="1"/>
      <c r="F68" s="1"/>
      <c r="G68" s="1"/>
      <c r="H68" s="1"/>
      <c r="I68" s="1"/>
      <c r="J68" s="1"/>
      <c r="K68" s="21"/>
    </row>
    <row r="69" spans="3:11" ht="20.100000000000001" customHeight="1" x14ac:dyDescent="0.25">
      <c r="C69" s="21"/>
      <c r="D69" s="1"/>
      <c r="E69" s="1"/>
      <c r="F69" s="1"/>
      <c r="G69" s="1"/>
      <c r="H69" s="1"/>
      <c r="I69" s="1"/>
      <c r="J69" s="1"/>
      <c r="K69" s="21"/>
    </row>
    <row r="70" spans="3:11" ht="20.100000000000001" customHeight="1" x14ac:dyDescent="0.25">
      <c r="C70" s="21"/>
      <c r="D70" s="1"/>
      <c r="E70" s="1"/>
      <c r="F70" s="1"/>
      <c r="G70" s="1"/>
      <c r="H70" s="1"/>
      <c r="I70" s="1"/>
      <c r="J70" s="1"/>
      <c r="K70" s="21"/>
    </row>
    <row r="71" spans="3:11" ht="20.100000000000001" customHeight="1" x14ac:dyDescent="0.25">
      <c r="C71" s="21"/>
      <c r="D71" s="1"/>
      <c r="E71" s="1"/>
      <c r="F71" s="1"/>
      <c r="G71" s="1"/>
      <c r="H71" s="1"/>
      <c r="I71" s="1"/>
      <c r="J71" s="1"/>
      <c r="K71" s="21"/>
    </row>
    <row r="72" spans="3:11" ht="20.100000000000001" customHeight="1" x14ac:dyDescent="0.25">
      <c r="C72" s="21"/>
      <c r="D72" s="1"/>
      <c r="E72" s="1"/>
      <c r="F72" s="1"/>
      <c r="G72" s="1"/>
      <c r="H72" s="1"/>
      <c r="I72" s="1"/>
      <c r="J72" s="1"/>
      <c r="K72" s="21"/>
    </row>
    <row r="73" spans="3:11" ht="20.100000000000001" customHeight="1" x14ac:dyDescent="0.25">
      <c r="C73" s="21"/>
      <c r="D73" s="1"/>
      <c r="E73" s="1"/>
      <c r="F73" s="1"/>
      <c r="G73" s="1"/>
      <c r="H73" s="1"/>
      <c r="I73" s="1"/>
      <c r="J73" s="1"/>
      <c r="K73" s="21"/>
    </row>
    <row r="74" spans="3:11" ht="20.100000000000001" customHeight="1" x14ac:dyDescent="0.25">
      <c r="C74" s="21"/>
      <c r="D74" s="1"/>
      <c r="E74" s="1"/>
      <c r="F74" s="1"/>
      <c r="G74" s="1"/>
      <c r="H74" s="1"/>
      <c r="I74" s="1"/>
      <c r="J74" s="1"/>
      <c r="K74" s="21"/>
    </row>
    <row r="75" spans="3:11" ht="20.100000000000001" customHeight="1" x14ac:dyDescent="0.25">
      <c r="C75" s="21"/>
      <c r="D75" s="1"/>
      <c r="E75" s="1"/>
      <c r="F75" s="1"/>
      <c r="G75" s="1"/>
      <c r="H75" s="1"/>
      <c r="I75" s="1"/>
      <c r="J75" s="1"/>
      <c r="K75" s="21"/>
    </row>
    <row r="76" spans="3:11" ht="15.75" x14ac:dyDescent="0.25">
      <c r="C76" s="21"/>
      <c r="D76" s="1"/>
      <c r="E76" s="1"/>
      <c r="F76" s="1"/>
      <c r="G76" s="1"/>
      <c r="H76" s="1"/>
      <c r="I76" s="1"/>
      <c r="J76" s="1"/>
      <c r="K76" s="21"/>
    </row>
    <row r="77" spans="3:11" ht="15.75" x14ac:dyDescent="0.25">
      <c r="C77" s="21"/>
      <c r="D77" s="1"/>
      <c r="E77" s="1"/>
      <c r="F77" s="1"/>
      <c r="G77" s="1"/>
      <c r="H77" s="1"/>
      <c r="I77" s="1"/>
      <c r="J77" s="1"/>
      <c r="K77" s="21"/>
    </row>
    <row r="78" spans="3:11" ht="15.75" x14ac:dyDescent="0.25">
      <c r="C78" s="21"/>
      <c r="D78" s="1"/>
      <c r="E78" s="1"/>
      <c r="F78" s="1"/>
      <c r="G78" s="1"/>
      <c r="H78" s="1"/>
      <c r="I78" s="1"/>
      <c r="J78" s="1"/>
      <c r="K78" s="21"/>
    </row>
    <row r="79" spans="3:11" ht="15.75" x14ac:dyDescent="0.25">
      <c r="C79" s="21"/>
      <c r="D79" s="1"/>
      <c r="E79" s="1"/>
      <c r="F79" s="1"/>
      <c r="G79" s="1"/>
      <c r="H79" s="1"/>
      <c r="I79" s="1"/>
      <c r="J79" s="1"/>
      <c r="K79" s="21"/>
    </row>
    <row r="80" spans="3:11" ht="15.75" x14ac:dyDescent="0.25">
      <c r="C80" s="21"/>
      <c r="D80" s="1"/>
      <c r="E80" s="1"/>
      <c r="F80" s="1"/>
      <c r="G80" s="1"/>
      <c r="H80" s="1"/>
      <c r="I80" s="1"/>
      <c r="J80" s="1"/>
      <c r="K80" s="21"/>
    </row>
    <row r="81" spans="3:11" ht="15.75" x14ac:dyDescent="0.25">
      <c r="C81" s="21"/>
      <c r="D81" s="1"/>
      <c r="E81" s="1"/>
      <c r="F81" s="1"/>
      <c r="G81" s="1"/>
      <c r="H81" s="1"/>
      <c r="I81" s="1"/>
      <c r="J81" s="1"/>
      <c r="K81" s="21"/>
    </row>
    <row r="82" spans="3:11" ht="15.75" x14ac:dyDescent="0.25">
      <c r="C82" s="21"/>
      <c r="D82" s="1"/>
      <c r="E82" s="1"/>
      <c r="F82" s="1"/>
      <c r="G82" s="1"/>
      <c r="H82" s="1"/>
      <c r="I82" s="1"/>
      <c r="J82" s="1"/>
      <c r="K82" s="21"/>
    </row>
    <row r="83" spans="3:11" ht="15.75" x14ac:dyDescent="0.25">
      <c r="C83" s="21"/>
      <c r="D83" s="1"/>
      <c r="E83" s="1"/>
      <c r="F83" s="1"/>
      <c r="G83" s="1"/>
      <c r="H83" s="1"/>
      <c r="I83" s="1"/>
      <c r="J83" s="1"/>
      <c r="K83" s="21"/>
    </row>
    <row r="84" spans="3:11" ht="15.75" x14ac:dyDescent="0.25">
      <c r="C84" s="21"/>
      <c r="D84" s="1"/>
      <c r="E84" s="1"/>
      <c r="F84" s="1"/>
      <c r="G84" s="1"/>
      <c r="H84" s="1"/>
      <c r="I84" s="1"/>
      <c r="J84" s="1"/>
      <c r="K84" s="21"/>
    </row>
    <row r="85" spans="3:11" ht="15.75" x14ac:dyDescent="0.25">
      <c r="C85" s="21"/>
      <c r="D85" s="1"/>
      <c r="E85" s="1"/>
      <c r="F85" s="1"/>
      <c r="G85" s="1"/>
      <c r="H85" s="1"/>
      <c r="I85" s="1"/>
      <c r="J85" s="1"/>
      <c r="K85" s="21"/>
    </row>
    <row r="86" spans="3:11" x14ac:dyDescent="0.25">
      <c r="C86" s="21"/>
      <c r="D86" s="21"/>
      <c r="E86" s="21"/>
      <c r="F86" s="21"/>
      <c r="G86" s="21"/>
      <c r="H86" s="21"/>
      <c r="I86" s="21"/>
      <c r="J86" s="21"/>
      <c r="K86" s="21"/>
    </row>
    <row r="87" spans="3:11" x14ac:dyDescent="0.25">
      <c r="C87" s="21"/>
      <c r="D87" s="21"/>
      <c r="E87" s="21"/>
      <c r="F87" s="21"/>
      <c r="G87" s="21"/>
      <c r="H87" s="21"/>
      <c r="I87" s="21"/>
      <c r="J87" s="21"/>
      <c r="K87" s="21"/>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1A5447-7172-48EB-B2CF-AFAC4A9AE8CE}">
  <sheetPr>
    <pageSetUpPr autoPageBreaks="0"/>
  </sheetPr>
  <dimension ref="A1:AA160"/>
  <sheetViews>
    <sheetView showGridLines="0" zoomScaleNormal="100" workbookViewId="0">
      <selection activeCell="A20" sqref="A20"/>
    </sheetView>
  </sheetViews>
  <sheetFormatPr defaultColWidth="9.140625" defaultRowHeight="15.75" x14ac:dyDescent="0.25"/>
  <cols>
    <col min="1" max="1" width="30.7109375" style="16" customWidth="1"/>
    <col min="2" max="2" width="4.7109375" style="7" customWidth="1"/>
    <col min="3" max="3" width="4.7109375" style="3" customWidth="1"/>
    <col min="4" max="4" width="60.7109375" style="3" customWidth="1"/>
    <col min="5" max="5" width="50.7109375" style="3" customWidth="1"/>
    <col min="6" max="11" width="28.7109375" style="3" customWidth="1"/>
    <col min="12" max="25" width="28.7109375" style="7" customWidth="1"/>
    <col min="26" max="27" width="9.140625" style="7"/>
    <col min="28" max="16384" width="9.140625" style="3"/>
  </cols>
  <sheetData>
    <row r="1" spans="1:24" s="7" customFormat="1" ht="30" customHeight="1" x14ac:dyDescent="0.35">
      <c r="A1" s="62" t="e" vm="1">
        <v>#VALUE!</v>
      </c>
      <c r="C1" s="12" t="s">
        <v>74</v>
      </c>
    </row>
    <row r="2" spans="1:24" s="7" customFormat="1" ht="20.100000000000001" customHeight="1" x14ac:dyDescent="0.25">
      <c r="A2"/>
      <c r="C2" s="9"/>
      <c r="D2" s="9"/>
      <c r="E2" s="9"/>
      <c r="F2" s="9"/>
      <c r="G2" s="9"/>
      <c r="H2" s="9"/>
      <c r="I2" s="9"/>
      <c r="J2" s="9"/>
    </row>
    <row r="3" spans="1:24" ht="20.100000000000001" customHeight="1" x14ac:dyDescent="0.25">
      <c r="A3" s="17" t="str">
        <f>HYPERLINK("#'Home'!A1", "Home")</f>
        <v>Home</v>
      </c>
      <c r="C3" s="15"/>
      <c r="D3" s="15"/>
      <c r="E3" s="15"/>
      <c r="F3" s="15"/>
      <c r="G3" s="15"/>
      <c r="H3" s="15"/>
      <c r="I3" s="15"/>
      <c r="J3" s="15"/>
      <c r="K3" s="15"/>
      <c r="M3" s="11"/>
      <c r="N3" s="11"/>
      <c r="O3" s="11"/>
      <c r="P3" s="11"/>
      <c r="Q3" s="11"/>
      <c r="R3" s="11"/>
      <c r="S3" s="11"/>
      <c r="T3" s="11"/>
      <c r="U3" s="11"/>
      <c r="V3" s="11"/>
      <c r="W3" s="11"/>
      <c r="X3" s="11"/>
    </row>
    <row r="4" spans="1:24" ht="20.100000000000001" customHeight="1" x14ac:dyDescent="0.25">
      <c r="A4" s="17" t="str">
        <f>HYPERLINK("#'Results'!A1", "Results")</f>
        <v>Results</v>
      </c>
      <c r="C4" s="63"/>
      <c r="D4" s="63"/>
      <c r="E4" s="63"/>
      <c r="F4" s="63"/>
      <c r="G4" s="63"/>
      <c r="H4" s="63"/>
      <c r="I4" s="63"/>
      <c r="J4" s="63"/>
      <c r="K4" s="63"/>
    </row>
    <row r="5" spans="1:24" ht="20.100000000000001" customHeight="1" x14ac:dyDescent="0.25">
      <c r="A5"/>
      <c r="D5" s="6" t="s">
        <v>9</v>
      </c>
      <c r="N5" s="38"/>
    </row>
    <row r="6" spans="1:24" ht="20.100000000000001" customHeight="1" x14ac:dyDescent="0.25">
      <c r="A6"/>
      <c r="D6" s="14"/>
      <c r="N6" s="39"/>
    </row>
    <row r="7" spans="1:24" ht="20.100000000000001" customHeight="1" x14ac:dyDescent="0.25">
      <c r="A7" s="19" t="s">
        <v>0</v>
      </c>
      <c r="D7" s="1" t="s">
        <v>4</v>
      </c>
      <c r="E7" s="31" t="s">
        <v>3</v>
      </c>
      <c r="F7" s="2"/>
    </row>
    <row r="8" spans="1:24" ht="20.100000000000001" customHeight="1" x14ac:dyDescent="0.25">
      <c r="A8" s="115" t="str">
        <f>HYPERLINK("#'Input - Site'!A1", "Site")</f>
        <v>Site</v>
      </c>
      <c r="D8" s="10" t="s">
        <v>58</v>
      </c>
      <c r="E8" s="31" t="s">
        <v>59</v>
      </c>
    </row>
    <row r="9" spans="1:24" ht="20.100000000000001" customHeight="1" x14ac:dyDescent="0.25">
      <c r="A9" s="17" t="str">
        <f>HYPERLINK("#'Input - Pasture Beef'!A1", "Pasture Beef")</f>
        <v>Pasture Beef</v>
      </c>
      <c r="N9" s="40"/>
    </row>
    <row r="10" spans="1:24" ht="20.100000000000001" customHeight="1" x14ac:dyDescent="0.25">
      <c r="A10"/>
      <c r="D10" s="87" t="s">
        <v>73</v>
      </c>
      <c r="E10" s="85"/>
      <c r="F10" s="88"/>
      <c r="G10" s="82"/>
      <c r="N10" s="40"/>
    </row>
    <row r="11" spans="1:24" ht="20.100000000000001" customHeight="1" x14ac:dyDescent="0.25">
      <c r="A11"/>
      <c r="N11" s="41"/>
    </row>
    <row r="12" spans="1:24" ht="20.100000000000001" customHeight="1" x14ac:dyDescent="0.25">
      <c r="A12" s="18" t="s">
        <v>60</v>
      </c>
      <c r="D12" s="10" t="s">
        <v>77</v>
      </c>
      <c r="E12" s="60">
        <v>45292</v>
      </c>
      <c r="F12" s="2" t="s">
        <v>56</v>
      </c>
    </row>
    <row r="13" spans="1:24" ht="20.100000000000001" customHeight="1" x14ac:dyDescent="0.25">
      <c r="A13" s="17" t="str">
        <f>HYPERLINK("#'3.2.1.1-2 Enteric Methane'!A1", "3.2.1.1-2 Enteric Methane")</f>
        <v>3.2.1.1-2 Enteric Methane</v>
      </c>
      <c r="D13" s="10" t="s">
        <v>78</v>
      </c>
      <c r="E13" s="64">
        <f>DATE(YEAR(X_Cell_Site_StartDate)+1,MONTH(X_Cell_Site_StartDate),DAY(X_Cell_Site_StartDate))-1</f>
        <v>45657</v>
      </c>
      <c r="F13" s="2" t="s">
        <v>11</v>
      </c>
      <c r="N13" s="36"/>
      <c r="O13" s="36"/>
    </row>
    <row r="14" spans="1:24" ht="20.100000000000001" customHeight="1" x14ac:dyDescent="0.25">
      <c r="A14"/>
      <c r="N14" s="36"/>
      <c r="O14" s="36"/>
    </row>
    <row r="15" spans="1:24" ht="20.100000000000001" customHeight="1" x14ac:dyDescent="0.25">
      <c r="A15"/>
      <c r="N15" s="36"/>
      <c r="O15" s="36"/>
    </row>
    <row r="16" spans="1:24" ht="20.100000000000001" customHeight="1" x14ac:dyDescent="0.25">
      <c r="A16" s="120" t="s">
        <v>1</v>
      </c>
      <c r="D16" s="6" t="s">
        <v>8</v>
      </c>
      <c r="N16" s="36"/>
      <c r="O16" s="36"/>
    </row>
    <row r="17" spans="1:25" ht="20.100000000000001" customHeight="1" x14ac:dyDescent="0.25">
      <c r="A17" s="17" t="str">
        <f>HYPERLINK("#'Constants - Pasture Beef'!A1", "Constants - Pasture Beef")</f>
        <v>Constants - Pasture Beef</v>
      </c>
    </row>
    <row r="18" spans="1:25" ht="20.100000000000001" customHeight="1" x14ac:dyDescent="0.25">
      <c r="A18" s="17" t="str">
        <f>HYPERLINK("#'Constants - Common'!A1", "Constants - Common")</f>
        <v>Constants - Common</v>
      </c>
      <c r="D18" s="89" t="s">
        <v>10</v>
      </c>
      <c r="E18" s="84"/>
      <c r="F18" s="84"/>
      <c r="G18" s="80"/>
    </row>
    <row r="19" spans="1:25" ht="20.100000000000001" customHeight="1" x14ac:dyDescent="0.25">
      <c r="A19" s="17" t="str">
        <f>HYPERLINK("#'Constants - Common Livestock'!A1", "Constants - Common Livestock")</f>
        <v>Constants - Common Livestock</v>
      </c>
      <c r="D19" s="86" t="s">
        <v>57</v>
      </c>
      <c r="E19" s="83"/>
      <c r="F19" s="83"/>
      <c r="G19" s="81"/>
      <c r="N19" s="38"/>
    </row>
    <row r="20" spans="1:25" ht="20.100000000000001" customHeight="1" x14ac:dyDescent="0.25">
      <c r="A20" s="17" t="str">
        <f>HYPERLINK("#'Acknowledgements'!A1", "Acknowledgements")</f>
        <v>Acknowledgements</v>
      </c>
      <c r="D20" s="1"/>
      <c r="E20" s="30"/>
      <c r="F20" s="2"/>
      <c r="N20" s="39"/>
    </row>
    <row r="21" spans="1:25" ht="20.100000000000001" customHeight="1" x14ac:dyDescent="0.25">
      <c r="A21"/>
      <c r="D21" s="1" t="s">
        <v>5</v>
      </c>
      <c r="E21" s="37" t="s">
        <v>179</v>
      </c>
      <c r="F21" s="2" t="s">
        <v>7</v>
      </c>
    </row>
    <row r="22" spans="1:25" ht="20.100000000000001" customHeight="1" x14ac:dyDescent="0.25">
      <c r="A22"/>
    </row>
    <row r="23" spans="1:25" ht="20.100000000000001" customHeight="1" x14ac:dyDescent="0.25">
      <c r="A23"/>
    </row>
    <row r="24" spans="1:25" ht="20.100000000000001" customHeight="1" x14ac:dyDescent="0.25">
      <c r="A24"/>
    </row>
    <row r="25" spans="1:25" ht="20.100000000000001" customHeight="1" x14ac:dyDescent="0.25">
      <c r="A25"/>
      <c r="N25" s="39"/>
    </row>
    <row r="26" spans="1:25" ht="20.100000000000001" customHeight="1" x14ac:dyDescent="0.25">
      <c r="A26"/>
    </row>
    <row r="27" spans="1:25" ht="20.100000000000001" customHeight="1" x14ac:dyDescent="0.25">
      <c r="A27"/>
    </row>
    <row r="28" spans="1:25" ht="20.100000000000001" customHeight="1" x14ac:dyDescent="0.25">
      <c r="A28"/>
    </row>
    <row r="29" spans="1:25" ht="20.100000000000001" customHeight="1" x14ac:dyDescent="0.25">
      <c r="A29"/>
    </row>
    <row r="30" spans="1:25" ht="20.100000000000001" customHeight="1" x14ac:dyDescent="0.25">
      <c r="A30"/>
      <c r="L30" s="46"/>
      <c r="M30" s="46"/>
      <c r="N30" s="46"/>
      <c r="O30" s="46"/>
      <c r="P30" s="46"/>
      <c r="Q30" s="46"/>
      <c r="R30" s="46"/>
      <c r="S30" s="46"/>
      <c r="T30" s="46"/>
      <c r="U30" s="46"/>
      <c r="V30" s="46"/>
      <c r="W30" s="46"/>
      <c r="X30" s="46"/>
      <c r="Y30" s="46"/>
    </row>
    <row r="31" spans="1:25" ht="20.100000000000001" customHeight="1" x14ac:dyDescent="0.25">
      <c r="A31"/>
      <c r="L31" s="44"/>
      <c r="M31" s="44"/>
      <c r="N31" s="44"/>
      <c r="O31" s="44"/>
      <c r="P31" s="44"/>
      <c r="Q31" s="44"/>
      <c r="R31" s="44"/>
      <c r="S31" s="44"/>
      <c r="T31" s="44"/>
      <c r="U31" s="44"/>
      <c r="V31" s="44"/>
      <c r="W31" s="44"/>
      <c r="X31" s="44"/>
      <c r="Y31" s="44"/>
    </row>
    <row r="32" spans="1:25" ht="20.100000000000001" customHeight="1" x14ac:dyDescent="0.25">
      <c r="A32"/>
      <c r="L32" s="44"/>
      <c r="M32" s="44"/>
      <c r="N32" s="44"/>
      <c r="O32" s="44"/>
      <c r="P32" s="44"/>
      <c r="Q32" s="44"/>
      <c r="R32" s="44"/>
      <c r="S32" s="44"/>
      <c r="T32" s="44"/>
      <c r="U32" s="44"/>
      <c r="V32" s="44"/>
      <c r="W32" s="44"/>
      <c r="X32" s="44"/>
      <c r="Y32" s="44"/>
    </row>
    <row r="33" spans="1:25" ht="20.100000000000001" customHeight="1" x14ac:dyDescent="0.25">
      <c r="A33"/>
      <c r="L33" s="44"/>
      <c r="M33" s="44"/>
      <c r="N33" s="44"/>
      <c r="O33" s="44"/>
      <c r="P33" s="44"/>
      <c r="Q33" s="44"/>
      <c r="R33" s="44"/>
      <c r="S33" s="44"/>
      <c r="T33" s="44"/>
      <c r="U33" s="44"/>
      <c r="V33" s="44"/>
      <c r="W33" s="44"/>
      <c r="X33" s="44"/>
      <c r="Y33" s="44"/>
    </row>
    <row r="34" spans="1:25" ht="20.100000000000001" customHeight="1" x14ac:dyDescent="0.25">
      <c r="A34"/>
      <c r="J34" s="57"/>
      <c r="K34" s="67"/>
      <c r="L34" s="44"/>
      <c r="M34" s="44"/>
      <c r="N34" s="44"/>
      <c r="O34" s="44"/>
      <c r="P34" s="44"/>
      <c r="Q34" s="44"/>
      <c r="R34" s="44"/>
      <c r="S34" s="44"/>
      <c r="T34" s="44"/>
      <c r="U34" s="44"/>
      <c r="V34" s="44"/>
      <c r="W34" s="44"/>
      <c r="X34" s="44"/>
      <c r="Y34" s="44"/>
    </row>
    <row r="35" spans="1:25" ht="20.100000000000001" customHeight="1" x14ac:dyDescent="0.25">
      <c r="A35"/>
      <c r="J35" s="57"/>
      <c r="K35" s="67"/>
      <c r="L35" s="44"/>
      <c r="M35" s="44"/>
      <c r="N35" s="44"/>
      <c r="O35" s="44"/>
      <c r="P35" s="44"/>
      <c r="Q35" s="44"/>
      <c r="R35" s="44"/>
      <c r="S35" s="44"/>
      <c r="T35" s="44"/>
      <c r="U35" s="44"/>
      <c r="V35" s="44"/>
      <c r="W35" s="44"/>
      <c r="X35" s="44"/>
      <c r="Y35" s="44"/>
    </row>
    <row r="36" spans="1:25" ht="20.100000000000001" customHeight="1" x14ac:dyDescent="0.25">
      <c r="A36"/>
      <c r="D36" s="65"/>
      <c r="E36" s="65"/>
      <c r="F36" s="66"/>
      <c r="G36" s="57"/>
      <c r="H36" s="57"/>
      <c r="I36" s="58"/>
      <c r="J36" s="57"/>
      <c r="K36" s="67"/>
      <c r="L36" s="44"/>
      <c r="M36" s="44"/>
      <c r="N36" s="44"/>
      <c r="O36" s="44"/>
      <c r="P36" s="44"/>
      <c r="Q36" s="44"/>
      <c r="R36" s="44"/>
      <c r="S36" s="44"/>
      <c r="T36" s="44"/>
      <c r="U36" s="44"/>
      <c r="V36" s="44"/>
      <c r="W36" s="44"/>
      <c r="X36" s="44"/>
      <c r="Y36" s="44"/>
    </row>
    <row r="37" spans="1:25" ht="20.100000000000001" customHeight="1" x14ac:dyDescent="0.25">
      <c r="A37"/>
      <c r="D37" s="65"/>
      <c r="E37" s="65"/>
      <c r="F37" s="66"/>
      <c r="G37" s="57"/>
      <c r="H37" s="57"/>
      <c r="I37" s="58"/>
      <c r="J37" s="57"/>
      <c r="K37" s="67"/>
      <c r="L37" s="44"/>
      <c r="M37" s="44"/>
      <c r="N37" s="44"/>
      <c r="O37" s="44"/>
      <c r="P37" s="44"/>
      <c r="Q37" s="44"/>
      <c r="R37" s="44"/>
      <c r="S37" s="44"/>
      <c r="T37" s="44"/>
      <c r="U37" s="44"/>
      <c r="V37" s="44"/>
      <c r="W37" s="44"/>
      <c r="X37" s="44"/>
      <c r="Y37" s="44"/>
    </row>
    <row r="38" spans="1:25" ht="20.100000000000001" customHeight="1" x14ac:dyDescent="0.25">
      <c r="A38"/>
      <c r="D38" s="65"/>
      <c r="E38" s="65"/>
      <c r="F38" s="66"/>
      <c r="G38" s="57"/>
      <c r="H38" s="57"/>
      <c r="I38" s="58"/>
      <c r="J38" s="57"/>
      <c r="K38" s="67"/>
      <c r="L38" s="44"/>
      <c r="M38" s="44"/>
      <c r="N38" s="44"/>
      <c r="O38" s="44"/>
      <c r="P38" s="44"/>
      <c r="Q38" s="44"/>
      <c r="R38" s="44"/>
      <c r="S38" s="44"/>
      <c r="T38" s="44"/>
      <c r="U38" s="44"/>
      <c r="V38" s="44"/>
      <c r="W38" s="44"/>
      <c r="X38" s="44"/>
      <c r="Y38" s="44"/>
    </row>
    <row r="39" spans="1:25" ht="20.100000000000001" customHeight="1" x14ac:dyDescent="0.25">
      <c r="A39"/>
      <c r="D39" s="65"/>
      <c r="E39" s="65"/>
      <c r="F39" s="66"/>
      <c r="G39" s="57"/>
      <c r="H39" s="57"/>
      <c r="I39" s="58"/>
      <c r="J39" s="57"/>
      <c r="K39" s="67"/>
      <c r="L39" s="44"/>
      <c r="M39" s="44"/>
      <c r="N39" s="44"/>
      <c r="O39" s="44"/>
      <c r="P39" s="44"/>
      <c r="Q39" s="44"/>
      <c r="R39" s="44"/>
      <c r="S39" s="44"/>
      <c r="T39" s="44"/>
      <c r="U39" s="44"/>
      <c r="V39" s="44"/>
      <c r="W39" s="44"/>
      <c r="X39" s="44"/>
      <c r="Y39" s="44"/>
    </row>
    <row r="40" spans="1:25" ht="20.100000000000001" customHeight="1" x14ac:dyDescent="0.25">
      <c r="A40"/>
      <c r="D40" s="68"/>
      <c r="E40" s="68"/>
      <c r="F40" s="68"/>
      <c r="G40" s="69"/>
      <c r="H40" s="70"/>
      <c r="I40" s="70"/>
      <c r="J40" s="70"/>
      <c r="K40" s="70"/>
      <c r="L40" s="47"/>
      <c r="M40" s="47"/>
      <c r="N40" s="47"/>
      <c r="O40" s="47"/>
      <c r="P40" s="47"/>
      <c r="Q40" s="47"/>
      <c r="R40" s="47"/>
      <c r="S40" s="47"/>
      <c r="T40" s="47"/>
      <c r="U40" s="47"/>
      <c r="V40" s="47"/>
      <c r="W40" s="47"/>
      <c r="X40" s="47"/>
      <c r="Y40" s="47"/>
    </row>
    <row r="41" spans="1:25" ht="20.100000000000001" customHeight="1" x14ac:dyDescent="0.25">
      <c r="A41"/>
    </row>
    <row r="42" spans="1:25" ht="20.100000000000001" customHeight="1" x14ac:dyDescent="0.25">
      <c r="A42"/>
    </row>
    <row r="43" spans="1:25" ht="20.100000000000001" customHeight="1" x14ac:dyDescent="0.25">
      <c r="A43"/>
    </row>
    <row r="44" spans="1:25" ht="20.100000000000001" customHeight="1" x14ac:dyDescent="0.25">
      <c r="A44"/>
    </row>
    <row r="45" spans="1:25" ht="20.100000000000001" customHeight="1" x14ac:dyDescent="0.25">
      <c r="A45"/>
      <c r="D45" s="6"/>
    </row>
    <row r="46" spans="1:25" ht="20.100000000000001" customHeight="1" x14ac:dyDescent="0.25">
      <c r="A46"/>
      <c r="D46" s="6"/>
    </row>
    <row r="47" spans="1:25" ht="20.100000000000001" customHeight="1" x14ac:dyDescent="0.25">
      <c r="A47"/>
      <c r="D47" s="71"/>
      <c r="E47" s="71"/>
      <c r="F47" s="71"/>
      <c r="G47" s="71"/>
      <c r="H47" s="71"/>
    </row>
    <row r="48" spans="1:25" ht="20.100000000000001" customHeight="1" x14ac:dyDescent="0.25">
      <c r="A48"/>
      <c r="D48" s="32"/>
      <c r="E48" s="32"/>
      <c r="F48" s="33"/>
      <c r="G48" s="33"/>
      <c r="H48" s="32"/>
    </row>
    <row r="49" spans="1:8" ht="20.100000000000001" customHeight="1" x14ac:dyDescent="0.25">
      <c r="A49"/>
      <c r="D49" s="32"/>
      <c r="E49" s="32"/>
      <c r="F49" s="33"/>
      <c r="G49" s="33"/>
      <c r="H49" s="32"/>
    </row>
    <row r="50" spans="1:8" ht="20.100000000000001" customHeight="1" x14ac:dyDescent="0.25">
      <c r="A50"/>
      <c r="D50" s="32"/>
      <c r="E50" s="32"/>
      <c r="F50" s="33"/>
      <c r="G50" s="33"/>
      <c r="H50" s="32"/>
    </row>
    <row r="51" spans="1:8" ht="20.100000000000001" customHeight="1" x14ac:dyDescent="0.25">
      <c r="A51"/>
      <c r="D51" s="72"/>
      <c r="E51" s="73"/>
      <c r="F51" s="73"/>
      <c r="G51" s="73"/>
      <c r="H51" s="74"/>
    </row>
    <row r="52" spans="1:8" ht="20.100000000000001" customHeight="1" x14ac:dyDescent="0.25">
      <c r="A52"/>
    </row>
    <row r="53" spans="1:8" ht="20.100000000000001" customHeight="1" x14ac:dyDescent="0.25">
      <c r="A53"/>
    </row>
    <row r="54" spans="1:8" ht="20.100000000000001" customHeight="1" x14ac:dyDescent="0.25">
      <c r="A54"/>
      <c r="G54" s="75"/>
    </row>
    <row r="55" spans="1:8" ht="20.100000000000001" customHeight="1" x14ac:dyDescent="0.25">
      <c r="A55"/>
      <c r="D55" s="6"/>
    </row>
    <row r="56" spans="1:8" ht="20.100000000000001" customHeight="1" x14ac:dyDescent="0.25">
      <c r="A56"/>
    </row>
    <row r="57" spans="1:8" ht="20.100000000000001" customHeight="1" x14ac:dyDescent="0.25">
      <c r="A57"/>
      <c r="D57" s="20"/>
      <c r="F57" s="76"/>
    </row>
    <row r="58" spans="1:8" ht="20.100000000000001" customHeight="1" x14ac:dyDescent="0.25">
      <c r="A58"/>
      <c r="D58" s="1"/>
      <c r="E58" s="77"/>
    </row>
    <row r="59" spans="1:8" ht="20.100000000000001" customHeight="1" x14ac:dyDescent="0.25">
      <c r="A59"/>
      <c r="D59" s="1"/>
      <c r="E59" s="77"/>
    </row>
    <row r="60" spans="1:8" ht="20.100000000000001" customHeight="1" x14ac:dyDescent="0.25">
      <c r="A60"/>
      <c r="D60" s="1"/>
      <c r="E60" s="78"/>
    </row>
    <row r="61" spans="1:8" ht="20.100000000000001" customHeight="1" x14ac:dyDescent="0.25">
      <c r="A61"/>
      <c r="D61" s="1"/>
    </row>
    <row r="62" spans="1:8" ht="20.100000000000001" customHeight="1" x14ac:dyDescent="0.25">
      <c r="A62"/>
    </row>
    <row r="63" spans="1:8" ht="20.100000000000001" customHeight="1" x14ac:dyDescent="0.25">
      <c r="A63"/>
      <c r="D63" s="20"/>
    </row>
    <row r="64" spans="1:8" ht="20.100000000000001" customHeight="1" x14ac:dyDescent="0.25">
      <c r="A64"/>
      <c r="D64" s="1"/>
      <c r="E64" s="77"/>
    </row>
    <row r="65" spans="1:9" ht="20.100000000000001" customHeight="1" x14ac:dyDescent="0.25">
      <c r="A65"/>
      <c r="D65" s="1"/>
      <c r="E65" s="77"/>
    </row>
    <row r="66" spans="1:9" ht="20.100000000000001" customHeight="1" x14ac:dyDescent="0.25">
      <c r="A66"/>
      <c r="D66" s="1"/>
      <c r="E66" s="78"/>
    </row>
    <row r="67" spans="1:9" ht="20.100000000000001" customHeight="1" x14ac:dyDescent="0.25">
      <c r="A67"/>
    </row>
    <row r="68" spans="1:9" ht="20.100000000000001" customHeight="1" x14ac:dyDescent="0.25">
      <c r="A68"/>
    </row>
    <row r="69" spans="1:9" ht="20.100000000000001" customHeight="1" x14ac:dyDescent="0.25">
      <c r="A69"/>
      <c r="D69" s="56"/>
      <c r="E69" s="56"/>
      <c r="F69" s="56"/>
      <c r="G69" s="56"/>
      <c r="H69" s="56"/>
      <c r="I69" s="56"/>
    </row>
    <row r="70" spans="1:9" ht="20.100000000000001" customHeight="1" x14ac:dyDescent="0.25">
      <c r="A70"/>
      <c r="D70" s="56"/>
      <c r="E70" s="56"/>
      <c r="F70" s="56"/>
      <c r="G70" s="56"/>
      <c r="H70" s="56"/>
      <c r="I70" s="56"/>
    </row>
    <row r="71" spans="1:9" ht="20.100000000000001" customHeight="1" x14ac:dyDescent="0.25">
      <c r="A71"/>
      <c r="D71" s="56"/>
      <c r="E71" s="56"/>
      <c r="F71" s="56"/>
      <c r="G71" s="56"/>
      <c r="H71" s="56"/>
      <c r="I71" s="56"/>
    </row>
    <row r="72" spans="1:9" ht="20.100000000000001" customHeight="1" x14ac:dyDescent="0.25">
      <c r="A72"/>
      <c r="D72" s="56"/>
      <c r="E72" s="56"/>
      <c r="F72" s="56"/>
      <c r="G72" s="56"/>
      <c r="H72" s="56"/>
      <c r="I72" s="56"/>
    </row>
    <row r="73" spans="1:9" ht="20.100000000000001" customHeight="1" x14ac:dyDescent="0.25">
      <c r="A73"/>
    </row>
    <row r="74" spans="1:9" ht="20.100000000000001" customHeight="1" x14ac:dyDescent="0.25">
      <c r="A74"/>
    </row>
    <row r="75" spans="1:9" ht="20.100000000000001" customHeight="1" x14ac:dyDescent="0.25">
      <c r="A75"/>
    </row>
    <row r="76" spans="1:9" ht="20.100000000000001" customHeight="1" x14ac:dyDescent="0.25">
      <c r="A76"/>
    </row>
    <row r="77" spans="1:9" ht="20.100000000000001" customHeight="1" x14ac:dyDescent="0.25">
      <c r="A77"/>
    </row>
    <row r="78" spans="1:9" ht="20.100000000000001" customHeight="1" x14ac:dyDescent="0.25">
      <c r="A78"/>
      <c r="D78" s="79"/>
    </row>
    <row r="79" spans="1:9" ht="20.100000000000001" customHeight="1" x14ac:dyDescent="0.25">
      <c r="A79"/>
      <c r="D79" s="79"/>
    </row>
    <row r="80" spans="1:9" ht="20.100000000000001" customHeight="1" x14ac:dyDescent="0.25">
      <c r="A80"/>
      <c r="D80" s="79"/>
    </row>
    <row r="81" spans="1:4" ht="20.100000000000001" customHeight="1" x14ac:dyDescent="0.25">
      <c r="A81"/>
      <c r="D81" s="79"/>
    </row>
    <row r="82" spans="1:4" ht="20.100000000000001" customHeight="1" x14ac:dyDescent="0.25">
      <c r="A82"/>
      <c r="D82" s="79"/>
    </row>
    <row r="83" spans="1:4" ht="20.100000000000001" customHeight="1" x14ac:dyDescent="0.25">
      <c r="A83"/>
    </row>
    <row r="84" spans="1:4" ht="20.100000000000001" customHeight="1" x14ac:dyDescent="0.25">
      <c r="A84"/>
    </row>
    <row r="85" spans="1:4" ht="20.100000000000001" customHeight="1" x14ac:dyDescent="0.25">
      <c r="A85"/>
    </row>
    <row r="86" spans="1:4" ht="20.100000000000001" customHeight="1" x14ac:dyDescent="0.25">
      <c r="A86"/>
    </row>
    <row r="87" spans="1:4" ht="20.100000000000001" customHeight="1" x14ac:dyDescent="0.25">
      <c r="A87"/>
    </row>
    <row r="88" spans="1:4" ht="20.100000000000001" customHeight="1" x14ac:dyDescent="0.25">
      <c r="A88"/>
    </row>
    <row r="89" spans="1:4" ht="20.100000000000001" customHeight="1" x14ac:dyDescent="0.25">
      <c r="A89"/>
    </row>
    <row r="90" spans="1:4" ht="20.100000000000001" customHeight="1" x14ac:dyDescent="0.25">
      <c r="A90"/>
    </row>
    <row r="91" spans="1:4" ht="20.100000000000001" customHeight="1" x14ac:dyDescent="0.25">
      <c r="A91"/>
    </row>
    <row r="92" spans="1:4" ht="20.100000000000001" customHeight="1" x14ac:dyDescent="0.25">
      <c r="A92"/>
    </row>
    <row r="93" spans="1:4" ht="20.100000000000001" customHeight="1" x14ac:dyDescent="0.25">
      <c r="A93"/>
    </row>
    <row r="94" spans="1:4" ht="20.100000000000001" customHeight="1" x14ac:dyDescent="0.25">
      <c r="A94"/>
    </row>
    <row r="95" spans="1:4" ht="20.100000000000001" customHeight="1" x14ac:dyDescent="0.25">
      <c r="A95"/>
    </row>
    <row r="96" spans="1:4" ht="20.100000000000001" customHeight="1" x14ac:dyDescent="0.25">
      <c r="A96"/>
    </row>
    <row r="97" spans="1:1" ht="20.100000000000001" customHeight="1" x14ac:dyDescent="0.25">
      <c r="A97"/>
    </row>
    <row r="98" spans="1:1" ht="20.100000000000001" customHeight="1" x14ac:dyDescent="0.25">
      <c r="A98"/>
    </row>
    <row r="99" spans="1:1" ht="20.100000000000001" customHeight="1" x14ac:dyDescent="0.25">
      <c r="A99"/>
    </row>
    <row r="100" spans="1:1" ht="20.100000000000001" customHeight="1" x14ac:dyDescent="0.25">
      <c r="A100"/>
    </row>
    <row r="101" spans="1:1" ht="20.100000000000001" customHeight="1" x14ac:dyDescent="0.25">
      <c r="A101"/>
    </row>
    <row r="102" spans="1:1" ht="20.100000000000001" customHeight="1" x14ac:dyDescent="0.25">
      <c r="A102"/>
    </row>
    <row r="103" spans="1:1" ht="20.100000000000001" customHeight="1" x14ac:dyDescent="0.25">
      <c r="A103"/>
    </row>
    <row r="104" spans="1:1" ht="20.100000000000001" customHeight="1" x14ac:dyDescent="0.25">
      <c r="A104"/>
    </row>
    <row r="105" spans="1:1" ht="20.100000000000001" customHeight="1" x14ac:dyDescent="0.25">
      <c r="A105"/>
    </row>
    <row r="106" spans="1:1" ht="20.100000000000001" customHeight="1" x14ac:dyDescent="0.25">
      <c r="A106"/>
    </row>
    <row r="107" spans="1:1" ht="20.100000000000001" customHeight="1" x14ac:dyDescent="0.25">
      <c r="A107"/>
    </row>
    <row r="108" spans="1:1" ht="20.100000000000001" customHeight="1" x14ac:dyDescent="0.25">
      <c r="A108"/>
    </row>
    <row r="109" spans="1:1" ht="20.100000000000001" customHeight="1" x14ac:dyDescent="0.25">
      <c r="A109"/>
    </row>
    <row r="110" spans="1:1" ht="20.100000000000001" customHeight="1" x14ac:dyDescent="0.25">
      <c r="A110"/>
    </row>
    <row r="111" spans="1:1" ht="20.100000000000001" customHeight="1" x14ac:dyDescent="0.25">
      <c r="A111"/>
    </row>
    <row r="112" spans="1:1" ht="20.100000000000001" customHeight="1" x14ac:dyDescent="0.25">
      <c r="A112"/>
    </row>
    <row r="113" spans="1:1" ht="20.100000000000001" customHeight="1" x14ac:dyDescent="0.25">
      <c r="A113"/>
    </row>
    <row r="114" spans="1:1" ht="20.100000000000001" customHeight="1" x14ac:dyDescent="0.25">
      <c r="A114"/>
    </row>
    <row r="115" spans="1:1" ht="20.100000000000001" customHeight="1" x14ac:dyDescent="0.25">
      <c r="A115"/>
    </row>
    <row r="116" spans="1:1" x14ac:dyDescent="0.25">
      <c r="A116"/>
    </row>
    <row r="117" spans="1:1" x14ac:dyDescent="0.25">
      <c r="A117"/>
    </row>
    <row r="118" spans="1:1" x14ac:dyDescent="0.25">
      <c r="A118"/>
    </row>
    <row r="119" spans="1:1" x14ac:dyDescent="0.25">
      <c r="A119"/>
    </row>
    <row r="120" spans="1:1" x14ac:dyDescent="0.25">
      <c r="A120"/>
    </row>
    <row r="121" spans="1:1" x14ac:dyDescent="0.25">
      <c r="A121"/>
    </row>
    <row r="122" spans="1:1" x14ac:dyDescent="0.25">
      <c r="A122"/>
    </row>
    <row r="123" spans="1:1" x14ac:dyDescent="0.25">
      <c r="A123"/>
    </row>
    <row r="124" spans="1:1" x14ac:dyDescent="0.25">
      <c r="A124"/>
    </row>
    <row r="125" spans="1:1" x14ac:dyDescent="0.25">
      <c r="A125"/>
    </row>
    <row r="126" spans="1:1" x14ac:dyDescent="0.25">
      <c r="A126"/>
    </row>
    <row r="127" spans="1:1" x14ac:dyDescent="0.25">
      <c r="A127"/>
    </row>
    <row r="128" spans="1:1" x14ac:dyDescent="0.25">
      <c r="A128"/>
    </row>
    <row r="129" spans="1:1" x14ac:dyDescent="0.25">
      <c r="A129"/>
    </row>
    <row r="130" spans="1:1" x14ac:dyDescent="0.25">
      <c r="A130"/>
    </row>
    <row r="131" spans="1:1" x14ac:dyDescent="0.25">
      <c r="A131"/>
    </row>
    <row r="132" spans="1:1" x14ac:dyDescent="0.25">
      <c r="A132"/>
    </row>
    <row r="133" spans="1:1" x14ac:dyDescent="0.25">
      <c r="A133"/>
    </row>
    <row r="134" spans="1:1" x14ac:dyDescent="0.25">
      <c r="A134"/>
    </row>
    <row r="135" spans="1:1" x14ac:dyDescent="0.25">
      <c r="A135"/>
    </row>
    <row r="136" spans="1:1" x14ac:dyDescent="0.25">
      <c r="A136"/>
    </row>
    <row r="137" spans="1:1" x14ac:dyDescent="0.25">
      <c r="A137"/>
    </row>
    <row r="138" spans="1:1" x14ac:dyDescent="0.25">
      <c r="A138"/>
    </row>
    <row r="139" spans="1:1" x14ac:dyDescent="0.25">
      <c r="A139"/>
    </row>
    <row r="140" spans="1:1" x14ac:dyDescent="0.25">
      <c r="A140"/>
    </row>
    <row r="141" spans="1:1" x14ac:dyDescent="0.25">
      <c r="A141"/>
    </row>
    <row r="142" spans="1:1" x14ac:dyDescent="0.25">
      <c r="A142"/>
    </row>
    <row r="143" spans="1:1" x14ac:dyDescent="0.25">
      <c r="A143"/>
    </row>
    <row r="144" spans="1:1" x14ac:dyDescent="0.25">
      <c r="A144"/>
    </row>
    <row r="145" spans="1:1" x14ac:dyDescent="0.25">
      <c r="A145"/>
    </row>
    <row r="146" spans="1:1" x14ac:dyDescent="0.25">
      <c r="A146"/>
    </row>
    <row r="147" spans="1:1" x14ac:dyDescent="0.25">
      <c r="A147"/>
    </row>
    <row r="148" spans="1:1" x14ac:dyDescent="0.25">
      <c r="A148"/>
    </row>
    <row r="149" spans="1:1" x14ac:dyDescent="0.25">
      <c r="A149"/>
    </row>
    <row r="150" spans="1:1" x14ac:dyDescent="0.25">
      <c r="A150"/>
    </row>
    <row r="151" spans="1:1" x14ac:dyDescent="0.25">
      <c r="A151"/>
    </row>
    <row r="152" spans="1:1" x14ac:dyDescent="0.25">
      <c r="A152"/>
    </row>
    <row r="153" spans="1:1" x14ac:dyDescent="0.25">
      <c r="A153"/>
    </row>
    <row r="154" spans="1:1" x14ac:dyDescent="0.25">
      <c r="A154"/>
    </row>
    <row r="155" spans="1:1" x14ac:dyDescent="0.25">
      <c r="A155"/>
    </row>
    <row r="156" spans="1:1" x14ac:dyDescent="0.25">
      <c r="A156"/>
    </row>
    <row r="157" spans="1:1" x14ac:dyDescent="0.25">
      <c r="A157"/>
    </row>
    <row r="158" spans="1:1" x14ac:dyDescent="0.25">
      <c r="A158"/>
    </row>
    <row r="159" spans="1:1" x14ac:dyDescent="0.25">
      <c r="A159"/>
    </row>
    <row r="160" spans="1:1" x14ac:dyDescent="0.25">
      <c r="A160"/>
    </row>
  </sheetData>
  <phoneticPr fontId="23" type="noConversion"/>
  <dataValidations count="2">
    <dataValidation type="list" allowBlank="1" showInputMessage="1" showErrorMessage="1" sqref="E21" xr:uid="{EEB98A76-93AC-411B-869F-680047BF5E1B}">
      <formula1>INDIRECT("Table_AustralianStates[Common Name]")</formula1>
    </dataValidation>
    <dataValidation type="list" allowBlank="1" showInputMessage="1" showErrorMessage="1" sqref="G36:G39" xr:uid="{1FAF98F1-BA66-4A46-872C-02D4419DFE3B}">
      <formula1>$D$41:$D$43</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C610A2-02A7-4F78-A2BB-B4DFE856D1FB}">
  <dimension ref="A1:AA334"/>
  <sheetViews>
    <sheetView showGridLines="0" topLeftCell="A154" zoomScaleNormal="100" workbookViewId="0">
      <selection activeCell="D146" sqref="D146"/>
    </sheetView>
  </sheetViews>
  <sheetFormatPr defaultRowHeight="15.75" x14ac:dyDescent="0.25"/>
  <cols>
    <col min="1" max="1" width="30.7109375" customWidth="1"/>
    <col min="2" max="2" width="4.7109375" customWidth="1"/>
    <col min="3" max="3" width="4.7109375" style="1" customWidth="1"/>
    <col min="4" max="4" width="79" style="1" customWidth="1"/>
    <col min="5" max="15" width="30.7109375" style="1" customWidth="1"/>
    <col min="16" max="16" width="4.7109375" style="1" customWidth="1"/>
    <col min="17" max="18" width="4.7109375" style="53" customWidth="1"/>
    <col min="19" max="24" width="30.7109375" style="53" customWidth="1"/>
    <col min="25" max="25" width="4.7109375" style="53" customWidth="1"/>
  </cols>
  <sheetData>
    <row r="1" spans="1:25" s="62" customFormat="1" ht="30" customHeight="1" x14ac:dyDescent="0.35">
      <c r="A1" s="62" t="e" vm="1">
        <v>#VALUE!</v>
      </c>
      <c r="C1" s="62" t="s">
        <v>125</v>
      </c>
      <c r="Q1" s="53"/>
      <c r="R1" s="53"/>
      <c r="S1" s="53"/>
      <c r="T1" s="53"/>
      <c r="U1" s="53"/>
      <c r="V1" s="53"/>
      <c r="W1" s="53"/>
      <c r="X1" s="53"/>
      <c r="Y1" s="53"/>
    </row>
    <row r="2" spans="1:25" s="9" customFormat="1" ht="20.100000000000001" customHeight="1" x14ac:dyDescent="0.25">
      <c r="A2"/>
      <c r="Q2" s="53"/>
      <c r="R2" s="53"/>
      <c r="S2" s="53"/>
      <c r="T2" s="53"/>
      <c r="U2" s="53"/>
      <c r="V2" s="53"/>
      <c r="W2" s="53"/>
      <c r="X2" s="53"/>
      <c r="Y2" s="53"/>
    </row>
    <row r="3" spans="1:25" ht="20.100000000000001" customHeight="1" x14ac:dyDescent="0.25">
      <c r="A3" s="17" t="str">
        <f>HYPERLINK("#'Home'!A1", "Home")</f>
        <v>Home</v>
      </c>
      <c r="C3" s="15"/>
      <c r="D3" s="15"/>
      <c r="E3" s="15"/>
      <c r="F3" s="15"/>
      <c r="G3" s="15"/>
      <c r="H3" s="15"/>
      <c r="I3" s="15"/>
      <c r="J3" s="15"/>
      <c r="K3" s="15"/>
      <c r="L3" s="15"/>
      <c r="M3" s="15"/>
      <c r="N3" s="15"/>
      <c r="O3" s="15"/>
      <c r="P3" s="15"/>
    </row>
    <row r="4" spans="1:25" ht="20.100000000000001" customHeight="1" x14ac:dyDescent="0.25">
      <c r="A4" s="17" t="str">
        <f>HYPERLINK("#'Results'!A1", "Results")</f>
        <v>Results</v>
      </c>
    </row>
    <row r="5" spans="1:25" ht="20.100000000000001" customHeight="1" x14ac:dyDescent="0.25">
      <c r="D5" s="6" t="s">
        <v>80</v>
      </c>
      <c r="P5" s="3"/>
      <c r="T5" s="7"/>
    </row>
    <row r="6" spans="1:25" ht="20.100000000000001" customHeight="1" x14ac:dyDescent="0.25">
      <c r="P6" s="3"/>
      <c r="T6" s="7"/>
    </row>
    <row r="7" spans="1:25" ht="20.100000000000001" customHeight="1" x14ac:dyDescent="0.25">
      <c r="A7" s="19" t="s">
        <v>0</v>
      </c>
      <c r="D7" s="1" t="s">
        <v>5</v>
      </c>
      <c r="E7" s="49" t="str">
        <f>X_Cell_Site_State</f>
        <v>Western Australia</v>
      </c>
      <c r="P7" s="3"/>
      <c r="T7" s="7"/>
    </row>
    <row r="8" spans="1:25" ht="20.100000000000001" customHeight="1" x14ac:dyDescent="0.25">
      <c r="A8" s="17" t="str">
        <f>HYPERLINK("#'Input - Site'!A1", "Site")</f>
        <v>Site</v>
      </c>
      <c r="D8" s="1" t="s">
        <v>165</v>
      </c>
      <c r="E8" s="37" t="s">
        <v>170</v>
      </c>
      <c r="F8" s="2" t="s">
        <v>7</v>
      </c>
      <c r="P8" s="3"/>
      <c r="T8" s="7"/>
    </row>
    <row r="9" spans="1:25" ht="20.100000000000001" customHeight="1" x14ac:dyDescent="0.25">
      <c r="A9" s="115" t="str">
        <f>HYPERLINK("#'Input - Pasture Beef'!A1", "Pasture Beef")</f>
        <v>Pasture Beef</v>
      </c>
      <c r="D9" s="1" t="s">
        <v>192</v>
      </c>
      <c r="E9" s="37" t="s">
        <v>200</v>
      </c>
      <c r="F9" s="2" t="s">
        <v>7</v>
      </c>
      <c r="T9" s="7"/>
    </row>
    <row r="10" spans="1:25" ht="20.100000000000001" customHeight="1" x14ac:dyDescent="0.25">
      <c r="T10" s="7"/>
    </row>
    <row r="11" spans="1:25" ht="20.100000000000001" customHeight="1" x14ac:dyDescent="0.25">
      <c r="T11" s="7"/>
    </row>
    <row r="12" spans="1:25" ht="20.100000000000001" customHeight="1" x14ac:dyDescent="0.25">
      <c r="A12" s="18" t="s">
        <v>60</v>
      </c>
      <c r="T12" s="7"/>
    </row>
    <row r="13" spans="1:25" ht="20.100000000000001" customHeight="1" x14ac:dyDescent="0.25">
      <c r="A13" s="17" t="str">
        <f>HYPERLINK("#'3.2.1.1-2 Enteric Methane'!A1", "3.2.1.1-2 Enteric Methane")</f>
        <v>3.2.1.1-2 Enteric Methane</v>
      </c>
      <c r="D13" s="87" t="s">
        <v>142</v>
      </c>
      <c r="E13" s="88"/>
      <c r="F13" s="88"/>
      <c r="G13" s="82"/>
      <c r="T13" s="36"/>
    </row>
    <row r="14" spans="1:25" ht="20.100000000000001" customHeight="1" x14ac:dyDescent="0.25">
      <c r="T14" s="36"/>
    </row>
    <row r="15" spans="1:25" ht="20.100000000000001" customHeight="1" x14ac:dyDescent="0.25">
      <c r="D15" s="45" t="s">
        <v>139</v>
      </c>
      <c r="T15" s="36"/>
    </row>
    <row r="16" spans="1:25" ht="20.100000000000001" customHeight="1" x14ac:dyDescent="0.25">
      <c r="A16" s="120" t="s">
        <v>1</v>
      </c>
      <c r="D16" s="59" t="s">
        <v>140</v>
      </c>
      <c r="E16" s="59" t="s">
        <v>103</v>
      </c>
      <c r="F16" s="59" t="s">
        <v>102</v>
      </c>
      <c r="G16" s="59" t="s">
        <v>126</v>
      </c>
      <c r="H16" s="59" t="s">
        <v>127</v>
      </c>
      <c r="I16" s="59" t="s">
        <v>128</v>
      </c>
      <c r="J16" s="59" t="s">
        <v>129</v>
      </c>
      <c r="K16" s="59" t="s">
        <v>130</v>
      </c>
      <c r="L16" s="59" t="s">
        <v>131</v>
      </c>
      <c r="M16" s="59" t="s">
        <v>132</v>
      </c>
      <c r="N16" s="59" t="s">
        <v>133</v>
      </c>
      <c r="T16" s="36"/>
    </row>
    <row r="17" spans="1:20" ht="20.100000000000001" customHeight="1" x14ac:dyDescent="0.25">
      <c r="A17" s="17" t="str">
        <f>HYPERLINK("#'Constants - Pasture Beef'!A1", "Constants - Pasture Beef")</f>
        <v>Constants - Pasture Beef</v>
      </c>
      <c r="D17" s="1" t="s">
        <v>134</v>
      </c>
      <c r="E17" s="49">
        <v>91.25</v>
      </c>
      <c r="F17" s="49">
        <v>91.25</v>
      </c>
      <c r="G17" s="49">
        <v>91.25</v>
      </c>
      <c r="H17" s="49">
        <v>91.25</v>
      </c>
      <c r="I17" s="49">
        <v>91.25</v>
      </c>
      <c r="J17" s="49">
        <v>91.25</v>
      </c>
      <c r="K17" s="49">
        <v>91.25</v>
      </c>
      <c r="L17" s="49">
        <v>91.25</v>
      </c>
      <c r="M17" s="49">
        <v>91.25</v>
      </c>
      <c r="N17" s="49">
        <v>91.25</v>
      </c>
      <c r="O17" s="2" t="s">
        <v>46</v>
      </c>
      <c r="T17" s="7"/>
    </row>
    <row r="18" spans="1:20" ht="20.100000000000001" customHeight="1" x14ac:dyDescent="0.25">
      <c r="A18" s="17" t="str">
        <f>HYPERLINK("#'Constants - Common'!A1", "Constants - Common")</f>
        <v>Constants - Common</v>
      </c>
      <c r="D18" s="1" t="s">
        <v>135</v>
      </c>
      <c r="E18" s="49">
        <v>91.25</v>
      </c>
      <c r="F18" s="49">
        <v>91.25</v>
      </c>
      <c r="G18" s="49">
        <v>91.25</v>
      </c>
      <c r="H18" s="49">
        <v>91.25</v>
      </c>
      <c r="I18" s="49">
        <v>91.25</v>
      </c>
      <c r="J18" s="49">
        <v>91.25</v>
      </c>
      <c r="K18" s="49">
        <v>91.25</v>
      </c>
      <c r="L18" s="49">
        <v>91.25</v>
      </c>
      <c r="M18" s="49">
        <v>91.25</v>
      </c>
      <c r="N18" s="49">
        <v>91.25</v>
      </c>
      <c r="O18" s="2" t="s">
        <v>46</v>
      </c>
      <c r="T18" s="7"/>
    </row>
    <row r="19" spans="1:20" ht="20.100000000000001" customHeight="1" x14ac:dyDescent="0.25">
      <c r="A19" s="17" t="str">
        <f>HYPERLINK("#'Constants - Common Livestock'!A1", "Constants - Common Livestock")</f>
        <v>Constants - Common Livestock</v>
      </c>
      <c r="D19" s="1" t="s">
        <v>136</v>
      </c>
      <c r="E19" s="49">
        <v>91.25</v>
      </c>
      <c r="F19" s="49">
        <v>91.25</v>
      </c>
      <c r="G19" s="49">
        <v>91.25</v>
      </c>
      <c r="H19" s="49">
        <v>91.25</v>
      </c>
      <c r="I19" s="49">
        <v>91.25</v>
      </c>
      <c r="J19" s="49">
        <v>91.25</v>
      </c>
      <c r="K19" s="49">
        <v>91.25</v>
      </c>
      <c r="L19" s="49">
        <v>91.25</v>
      </c>
      <c r="M19" s="49">
        <v>91.25</v>
      </c>
      <c r="N19" s="49">
        <v>91.25</v>
      </c>
      <c r="O19" s="2" t="s">
        <v>46</v>
      </c>
      <c r="T19" s="7"/>
    </row>
    <row r="20" spans="1:20" ht="20.100000000000001" customHeight="1" x14ac:dyDescent="0.25">
      <c r="A20" s="17" t="str">
        <f>HYPERLINK("#'Acknowledgements'!A1", "Acknowledgements")</f>
        <v>Acknowledgements</v>
      </c>
      <c r="D20" s="1" t="s">
        <v>137</v>
      </c>
      <c r="E20" s="49">
        <v>91.25</v>
      </c>
      <c r="F20" s="49">
        <v>91.25</v>
      </c>
      <c r="G20" s="49">
        <v>91.25</v>
      </c>
      <c r="H20" s="49">
        <v>91.25</v>
      </c>
      <c r="I20" s="49">
        <v>91.25</v>
      </c>
      <c r="J20" s="49">
        <v>91.25</v>
      </c>
      <c r="K20" s="49">
        <v>91.25</v>
      </c>
      <c r="L20" s="49">
        <v>91.25</v>
      </c>
      <c r="M20" s="49">
        <v>91.25</v>
      </c>
      <c r="N20" s="49">
        <v>91.25</v>
      </c>
      <c r="O20" s="2" t="s">
        <v>46</v>
      </c>
      <c r="T20" s="7"/>
    </row>
    <row r="21" spans="1:20" ht="20.100000000000001" customHeight="1" x14ac:dyDescent="0.25">
      <c r="T21" s="7"/>
    </row>
    <row r="22" spans="1:20" ht="20.100000000000001" customHeight="1" x14ac:dyDescent="0.25">
      <c r="D22" s="59" t="s">
        <v>141</v>
      </c>
      <c r="E22" s="59" t="s">
        <v>103</v>
      </c>
      <c r="F22" s="59" t="s">
        <v>102</v>
      </c>
      <c r="G22" s="59" t="s">
        <v>126</v>
      </c>
      <c r="H22" s="59" t="s">
        <v>127</v>
      </c>
      <c r="I22" s="59" t="s">
        <v>128</v>
      </c>
      <c r="J22" s="59" t="s">
        <v>129</v>
      </c>
      <c r="K22" s="59" t="s">
        <v>130</v>
      </c>
      <c r="L22" s="59" t="s">
        <v>131</v>
      </c>
      <c r="M22" s="59" t="s">
        <v>132</v>
      </c>
      <c r="N22" s="59" t="s">
        <v>133</v>
      </c>
      <c r="T22" s="7"/>
    </row>
    <row r="23" spans="1:20" ht="20.100000000000001" customHeight="1" x14ac:dyDescent="0.25">
      <c r="D23" s="1" t="str">
        <f>TEXT(X_Cell_Site_StartDate, "mmmm yyyy")</f>
        <v>January 2024</v>
      </c>
      <c r="E23" s="61">
        <f t="shared" ref="E23:N34" si="0">DAY(EOMONTH($D23,0))</f>
        <v>31</v>
      </c>
      <c r="F23" s="61">
        <f t="shared" si="0"/>
        <v>31</v>
      </c>
      <c r="G23" s="61">
        <f t="shared" si="0"/>
        <v>31</v>
      </c>
      <c r="H23" s="61">
        <f t="shared" si="0"/>
        <v>31</v>
      </c>
      <c r="I23" s="61">
        <f t="shared" si="0"/>
        <v>31</v>
      </c>
      <c r="J23" s="61">
        <f t="shared" si="0"/>
        <v>31</v>
      </c>
      <c r="K23" s="61">
        <f t="shared" si="0"/>
        <v>31</v>
      </c>
      <c r="L23" s="61">
        <f t="shared" si="0"/>
        <v>31</v>
      </c>
      <c r="M23" s="61">
        <f t="shared" si="0"/>
        <v>31</v>
      </c>
      <c r="N23" s="61">
        <f t="shared" si="0"/>
        <v>31</v>
      </c>
      <c r="O23" s="2" t="s">
        <v>46</v>
      </c>
      <c r="T23" s="7"/>
    </row>
    <row r="24" spans="1:20" ht="20.100000000000001" customHeight="1" x14ac:dyDescent="0.25">
      <c r="D24" s="1" t="str">
        <f>TEXT(EDATE(X_Cell_Site_StartDate,1), "mmmm yyyy")</f>
        <v>February 2024</v>
      </c>
      <c r="E24" s="61">
        <f t="shared" si="0"/>
        <v>29</v>
      </c>
      <c r="F24" s="61">
        <f t="shared" si="0"/>
        <v>29</v>
      </c>
      <c r="G24" s="61">
        <f t="shared" si="0"/>
        <v>29</v>
      </c>
      <c r="H24" s="61">
        <f t="shared" si="0"/>
        <v>29</v>
      </c>
      <c r="I24" s="61">
        <f t="shared" si="0"/>
        <v>29</v>
      </c>
      <c r="J24" s="61">
        <f t="shared" si="0"/>
        <v>29</v>
      </c>
      <c r="K24" s="61">
        <f t="shared" si="0"/>
        <v>29</v>
      </c>
      <c r="L24" s="61">
        <f t="shared" si="0"/>
        <v>29</v>
      </c>
      <c r="M24" s="61">
        <f t="shared" si="0"/>
        <v>29</v>
      </c>
      <c r="N24" s="61">
        <f t="shared" si="0"/>
        <v>29</v>
      </c>
      <c r="O24" s="2" t="s">
        <v>46</v>
      </c>
      <c r="T24" s="7"/>
    </row>
    <row r="25" spans="1:20" ht="20.100000000000001" customHeight="1" x14ac:dyDescent="0.25">
      <c r="D25" s="1" t="str">
        <f>TEXT(EDATE(X_Cell_Site_StartDate,2), "mmmm yyyy")</f>
        <v>March 2024</v>
      </c>
      <c r="E25" s="61">
        <f t="shared" si="0"/>
        <v>31</v>
      </c>
      <c r="F25" s="61">
        <f t="shared" si="0"/>
        <v>31</v>
      </c>
      <c r="G25" s="61">
        <f t="shared" si="0"/>
        <v>31</v>
      </c>
      <c r="H25" s="61">
        <f t="shared" si="0"/>
        <v>31</v>
      </c>
      <c r="I25" s="61">
        <f t="shared" si="0"/>
        <v>31</v>
      </c>
      <c r="J25" s="61">
        <f t="shared" si="0"/>
        <v>31</v>
      </c>
      <c r="K25" s="61">
        <f t="shared" si="0"/>
        <v>31</v>
      </c>
      <c r="L25" s="61">
        <f t="shared" si="0"/>
        <v>31</v>
      </c>
      <c r="M25" s="61">
        <f t="shared" si="0"/>
        <v>31</v>
      </c>
      <c r="N25" s="61">
        <f t="shared" si="0"/>
        <v>31</v>
      </c>
      <c r="O25" s="2" t="s">
        <v>46</v>
      </c>
      <c r="T25" s="7"/>
    </row>
    <row r="26" spans="1:20" ht="20.100000000000001" customHeight="1" x14ac:dyDescent="0.25">
      <c r="D26" s="1" t="str">
        <f>TEXT(EDATE(X_Cell_Site_StartDate,3), "mmmm yyyy")</f>
        <v>April 2024</v>
      </c>
      <c r="E26" s="61">
        <f t="shared" si="0"/>
        <v>30</v>
      </c>
      <c r="F26" s="61">
        <f t="shared" si="0"/>
        <v>30</v>
      </c>
      <c r="G26" s="61">
        <f t="shared" si="0"/>
        <v>30</v>
      </c>
      <c r="H26" s="61">
        <f t="shared" si="0"/>
        <v>30</v>
      </c>
      <c r="I26" s="61">
        <f t="shared" si="0"/>
        <v>30</v>
      </c>
      <c r="J26" s="61">
        <f t="shared" si="0"/>
        <v>30</v>
      </c>
      <c r="K26" s="61">
        <f t="shared" si="0"/>
        <v>30</v>
      </c>
      <c r="L26" s="61">
        <f t="shared" si="0"/>
        <v>30</v>
      </c>
      <c r="M26" s="61">
        <f t="shared" si="0"/>
        <v>30</v>
      </c>
      <c r="N26" s="61">
        <f t="shared" si="0"/>
        <v>30</v>
      </c>
      <c r="O26" s="2" t="s">
        <v>46</v>
      </c>
      <c r="T26" s="7"/>
    </row>
    <row r="27" spans="1:20" ht="20.100000000000001" customHeight="1" x14ac:dyDescent="0.25">
      <c r="D27" s="1" t="str">
        <f>TEXT(EDATE(X_Cell_Site_StartDate,4), "mmmm yyyy")</f>
        <v>May 2024</v>
      </c>
      <c r="E27" s="61">
        <f t="shared" si="0"/>
        <v>31</v>
      </c>
      <c r="F27" s="61">
        <f t="shared" si="0"/>
        <v>31</v>
      </c>
      <c r="G27" s="61">
        <f t="shared" si="0"/>
        <v>31</v>
      </c>
      <c r="H27" s="61">
        <f t="shared" si="0"/>
        <v>31</v>
      </c>
      <c r="I27" s="61">
        <f t="shared" si="0"/>
        <v>31</v>
      </c>
      <c r="J27" s="61">
        <f t="shared" si="0"/>
        <v>31</v>
      </c>
      <c r="K27" s="61">
        <f t="shared" si="0"/>
        <v>31</v>
      </c>
      <c r="L27" s="61">
        <f t="shared" si="0"/>
        <v>31</v>
      </c>
      <c r="M27" s="61">
        <f t="shared" si="0"/>
        <v>31</v>
      </c>
      <c r="N27" s="61">
        <f t="shared" si="0"/>
        <v>31</v>
      </c>
      <c r="O27" s="2" t="s">
        <v>46</v>
      </c>
      <c r="T27" s="7"/>
    </row>
    <row r="28" spans="1:20" ht="20.100000000000001" customHeight="1" x14ac:dyDescent="0.25">
      <c r="D28" s="1" t="str">
        <f>TEXT(EDATE(X_Cell_Site_StartDate,5), "mmmm yyyy")</f>
        <v>June 2024</v>
      </c>
      <c r="E28" s="61">
        <f t="shared" si="0"/>
        <v>30</v>
      </c>
      <c r="F28" s="61">
        <f t="shared" si="0"/>
        <v>30</v>
      </c>
      <c r="G28" s="61">
        <f t="shared" si="0"/>
        <v>30</v>
      </c>
      <c r="H28" s="61">
        <f t="shared" si="0"/>
        <v>30</v>
      </c>
      <c r="I28" s="61">
        <f t="shared" si="0"/>
        <v>30</v>
      </c>
      <c r="J28" s="61">
        <f t="shared" si="0"/>
        <v>30</v>
      </c>
      <c r="K28" s="61">
        <f t="shared" si="0"/>
        <v>30</v>
      </c>
      <c r="L28" s="61">
        <f t="shared" si="0"/>
        <v>30</v>
      </c>
      <c r="M28" s="61">
        <f t="shared" si="0"/>
        <v>30</v>
      </c>
      <c r="N28" s="61">
        <f t="shared" si="0"/>
        <v>30</v>
      </c>
      <c r="O28" s="2" t="s">
        <v>46</v>
      </c>
      <c r="T28" s="7"/>
    </row>
    <row r="29" spans="1:20" ht="20.100000000000001" customHeight="1" x14ac:dyDescent="0.25">
      <c r="D29" s="1" t="str">
        <f>TEXT(EDATE(X_Cell_Site_StartDate,6), "mmmm yyyy")</f>
        <v>July 2024</v>
      </c>
      <c r="E29" s="61">
        <f t="shared" si="0"/>
        <v>31</v>
      </c>
      <c r="F29" s="61">
        <f t="shared" si="0"/>
        <v>31</v>
      </c>
      <c r="G29" s="61">
        <f t="shared" si="0"/>
        <v>31</v>
      </c>
      <c r="H29" s="61">
        <f t="shared" si="0"/>
        <v>31</v>
      </c>
      <c r="I29" s="61">
        <f t="shared" si="0"/>
        <v>31</v>
      </c>
      <c r="J29" s="61">
        <f t="shared" si="0"/>
        <v>31</v>
      </c>
      <c r="K29" s="61">
        <f t="shared" si="0"/>
        <v>31</v>
      </c>
      <c r="L29" s="61">
        <f t="shared" si="0"/>
        <v>31</v>
      </c>
      <c r="M29" s="61">
        <f t="shared" si="0"/>
        <v>31</v>
      </c>
      <c r="N29" s="61">
        <f t="shared" si="0"/>
        <v>31</v>
      </c>
      <c r="O29" s="2" t="s">
        <v>46</v>
      </c>
      <c r="T29" s="7"/>
    </row>
    <row r="30" spans="1:20" ht="20.100000000000001" customHeight="1" x14ac:dyDescent="0.25">
      <c r="D30" s="1" t="str">
        <f>TEXT(EDATE(X_Cell_Site_StartDate,7), "mmmm yyyy")</f>
        <v>August 2024</v>
      </c>
      <c r="E30" s="61">
        <f t="shared" si="0"/>
        <v>31</v>
      </c>
      <c r="F30" s="61">
        <f t="shared" si="0"/>
        <v>31</v>
      </c>
      <c r="G30" s="61">
        <f t="shared" si="0"/>
        <v>31</v>
      </c>
      <c r="H30" s="61">
        <f t="shared" si="0"/>
        <v>31</v>
      </c>
      <c r="I30" s="61">
        <f t="shared" si="0"/>
        <v>31</v>
      </c>
      <c r="J30" s="61">
        <f t="shared" si="0"/>
        <v>31</v>
      </c>
      <c r="K30" s="61">
        <f t="shared" si="0"/>
        <v>31</v>
      </c>
      <c r="L30" s="61">
        <f t="shared" si="0"/>
        <v>31</v>
      </c>
      <c r="M30" s="61">
        <f t="shared" si="0"/>
        <v>31</v>
      </c>
      <c r="N30" s="61">
        <f t="shared" si="0"/>
        <v>31</v>
      </c>
      <c r="O30" s="2" t="s">
        <v>46</v>
      </c>
      <c r="T30" s="7"/>
    </row>
    <row r="31" spans="1:20" ht="20.100000000000001" customHeight="1" x14ac:dyDescent="0.25">
      <c r="D31" s="1" t="str">
        <f>TEXT(EDATE(X_Cell_Site_StartDate,8), "mmmm yyyy")</f>
        <v>September 2024</v>
      </c>
      <c r="E31" s="61">
        <f t="shared" si="0"/>
        <v>30</v>
      </c>
      <c r="F31" s="61">
        <f t="shared" si="0"/>
        <v>30</v>
      </c>
      <c r="G31" s="61">
        <f t="shared" si="0"/>
        <v>30</v>
      </c>
      <c r="H31" s="61">
        <f t="shared" si="0"/>
        <v>30</v>
      </c>
      <c r="I31" s="61">
        <f t="shared" si="0"/>
        <v>30</v>
      </c>
      <c r="J31" s="61">
        <f t="shared" si="0"/>
        <v>30</v>
      </c>
      <c r="K31" s="61">
        <f t="shared" si="0"/>
        <v>30</v>
      </c>
      <c r="L31" s="61">
        <f t="shared" si="0"/>
        <v>30</v>
      </c>
      <c r="M31" s="61">
        <f t="shared" si="0"/>
        <v>30</v>
      </c>
      <c r="N31" s="61">
        <f t="shared" si="0"/>
        <v>30</v>
      </c>
      <c r="O31" s="2" t="s">
        <v>46</v>
      </c>
      <c r="T31" s="7"/>
    </row>
    <row r="32" spans="1:20" ht="20.100000000000001" customHeight="1" x14ac:dyDescent="0.25">
      <c r="D32" s="1" t="str">
        <f>TEXT(EDATE(X_Cell_Site_StartDate,9), "mmmm yyyy")</f>
        <v>October 2024</v>
      </c>
      <c r="E32" s="61">
        <f t="shared" si="0"/>
        <v>31</v>
      </c>
      <c r="F32" s="61">
        <f t="shared" si="0"/>
        <v>31</v>
      </c>
      <c r="G32" s="61">
        <f t="shared" si="0"/>
        <v>31</v>
      </c>
      <c r="H32" s="61">
        <f t="shared" si="0"/>
        <v>31</v>
      </c>
      <c r="I32" s="61">
        <f t="shared" si="0"/>
        <v>31</v>
      </c>
      <c r="J32" s="61">
        <f t="shared" si="0"/>
        <v>31</v>
      </c>
      <c r="K32" s="61">
        <f t="shared" si="0"/>
        <v>31</v>
      </c>
      <c r="L32" s="61">
        <f t="shared" si="0"/>
        <v>31</v>
      </c>
      <c r="M32" s="61">
        <f t="shared" si="0"/>
        <v>31</v>
      </c>
      <c r="N32" s="61">
        <f t="shared" si="0"/>
        <v>31</v>
      </c>
      <c r="O32" s="2" t="s">
        <v>46</v>
      </c>
      <c r="T32" s="7"/>
    </row>
    <row r="33" spans="4:20" ht="20.100000000000001" customHeight="1" x14ac:dyDescent="0.25">
      <c r="D33" s="1" t="str">
        <f>TEXT(EDATE(X_Cell_Site_StartDate,10), "mmmm yyyy")</f>
        <v>November 2024</v>
      </c>
      <c r="E33" s="61">
        <f t="shared" si="0"/>
        <v>30</v>
      </c>
      <c r="F33" s="61">
        <f t="shared" si="0"/>
        <v>30</v>
      </c>
      <c r="G33" s="61">
        <f t="shared" si="0"/>
        <v>30</v>
      </c>
      <c r="H33" s="61">
        <f t="shared" si="0"/>
        <v>30</v>
      </c>
      <c r="I33" s="61">
        <f t="shared" si="0"/>
        <v>30</v>
      </c>
      <c r="J33" s="61">
        <f t="shared" si="0"/>
        <v>30</v>
      </c>
      <c r="K33" s="61">
        <f t="shared" si="0"/>
        <v>30</v>
      </c>
      <c r="L33" s="61">
        <f t="shared" si="0"/>
        <v>30</v>
      </c>
      <c r="M33" s="61">
        <f t="shared" si="0"/>
        <v>30</v>
      </c>
      <c r="N33" s="61">
        <f t="shared" si="0"/>
        <v>30</v>
      </c>
      <c r="O33" s="2" t="s">
        <v>46</v>
      </c>
      <c r="T33" s="7"/>
    </row>
    <row r="34" spans="4:20" ht="20.100000000000001" customHeight="1" x14ac:dyDescent="0.25">
      <c r="D34" s="1" t="str">
        <f>TEXT(EDATE(X_Cell_Site_StartDate,11), "mmmm yyyy")</f>
        <v>December 2024</v>
      </c>
      <c r="E34" s="61">
        <f t="shared" si="0"/>
        <v>31</v>
      </c>
      <c r="F34" s="61">
        <f t="shared" si="0"/>
        <v>31</v>
      </c>
      <c r="G34" s="61">
        <f t="shared" si="0"/>
        <v>31</v>
      </c>
      <c r="H34" s="61">
        <f t="shared" si="0"/>
        <v>31</v>
      </c>
      <c r="I34" s="61">
        <f t="shared" si="0"/>
        <v>31</v>
      </c>
      <c r="J34" s="61">
        <f t="shared" si="0"/>
        <v>31</v>
      </c>
      <c r="K34" s="61">
        <f t="shared" si="0"/>
        <v>31</v>
      </c>
      <c r="L34" s="61">
        <f t="shared" si="0"/>
        <v>31</v>
      </c>
      <c r="M34" s="61">
        <f t="shared" si="0"/>
        <v>31</v>
      </c>
      <c r="N34" s="61">
        <f t="shared" si="0"/>
        <v>31</v>
      </c>
      <c r="O34" s="2" t="s">
        <v>46</v>
      </c>
      <c r="T34" s="7"/>
    </row>
    <row r="35" spans="4:20" ht="20.100000000000001" customHeight="1" x14ac:dyDescent="0.25">
      <c r="T35" s="7"/>
    </row>
    <row r="36" spans="4:20" ht="20.100000000000001" customHeight="1" x14ac:dyDescent="0.25">
      <c r="T36" s="7"/>
    </row>
    <row r="37" spans="4:20" ht="20.100000000000001" customHeight="1" x14ac:dyDescent="0.25">
      <c r="D37" s="45" t="s">
        <v>81</v>
      </c>
      <c r="T37" s="7"/>
    </row>
    <row r="38" spans="4:20" ht="20.100000000000001" customHeight="1" x14ac:dyDescent="0.25">
      <c r="D38" s="59" t="s">
        <v>107</v>
      </c>
      <c r="E38" s="59" t="s">
        <v>103</v>
      </c>
      <c r="F38" s="59" t="s">
        <v>102</v>
      </c>
      <c r="G38" s="59" t="s">
        <v>126</v>
      </c>
      <c r="H38" s="59" t="s">
        <v>127</v>
      </c>
      <c r="I38" s="59" t="s">
        <v>128</v>
      </c>
      <c r="J38" s="59" t="s">
        <v>129</v>
      </c>
      <c r="K38" s="59" t="s">
        <v>130</v>
      </c>
      <c r="L38" s="59" t="s">
        <v>131</v>
      </c>
      <c r="M38" s="59" t="s">
        <v>132</v>
      </c>
      <c r="N38" s="59" t="s">
        <v>133</v>
      </c>
      <c r="T38" s="7"/>
    </row>
    <row r="39" spans="4:20" ht="20.100000000000001" customHeight="1" x14ac:dyDescent="0.25">
      <c r="D39" s="1" t="s">
        <v>134</v>
      </c>
      <c r="E39" s="61">
        <v>100</v>
      </c>
      <c r="F39" s="61">
        <v>100</v>
      </c>
      <c r="G39" s="61">
        <v>100</v>
      </c>
      <c r="H39" s="61">
        <v>100</v>
      </c>
      <c r="I39" s="61">
        <v>100</v>
      </c>
      <c r="J39" s="61">
        <v>100</v>
      </c>
      <c r="K39" s="61">
        <v>100</v>
      </c>
      <c r="L39" s="61">
        <v>100</v>
      </c>
      <c r="M39" s="61">
        <v>100</v>
      </c>
      <c r="N39" s="61">
        <v>100</v>
      </c>
      <c r="O39" s="2" t="s">
        <v>81</v>
      </c>
      <c r="T39" s="7"/>
    </row>
    <row r="40" spans="4:20" ht="20.100000000000001" customHeight="1" x14ac:dyDescent="0.25">
      <c r="D40" s="1" t="s">
        <v>135</v>
      </c>
      <c r="E40" s="61">
        <v>100</v>
      </c>
      <c r="F40" s="61">
        <v>100</v>
      </c>
      <c r="G40" s="61">
        <v>100</v>
      </c>
      <c r="H40" s="61">
        <v>100</v>
      </c>
      <c r="I40" s="61">
        <v>100</v>
      </c>
      <c r="J40" s="61">
        <v>100</v>
      </c>
      <c r="K40" s="61">
        <v>100</v>
      </c>
      <c r="L40" s="61">
        <v>100</v>
      </c>
      <c r="M40" s="61">
        <v>100</v>
      </c>
      <c r="N40" s="61">
        <v>100</v>
      </c>
      <c r="O40" s="2" t="s">
        <v>81</v>
      </c>
      <c r="T40" s="7"/>
    </row>
    <row r="41" spans="4:20" ht="20.100000000000001" customHeight="1" x14ac:dyDescent="0.25">
      <c r="D41" s="1" t="s">
        <v>136</v>
      </c>
      <c r="E41" s="61">
        <v>100</v>
      </c>
      <c r="F41" s="61">
        <v>100</v>
      </c>
      <c r="G41" s="61">
        <v>100</v>
      </c>
      <c r="H41" s="61">
        <v>100</v>
      </c>
      <c r="I41" s="61">
        <v>100</v>
      </c>
      <c r="J41" s="61">
        <v>100</v>
      </c>
      <c r="K41" s="61">
        <v>100</v>
      </c>
      <c r="L41" s="61">
        <v>100</v>
      </c>
      <c r="M41" s="61">
        <v>100</v>
      </c>
      <c r="N41" s="61">
        <v>100</v>
      </c>
      <c r="O41" s="2" t="s">
        <v>81</v>
      </c>
      <c r="T41" s="7"/>
    </row>
    <row r="42" spans="4:20" ht="20.100000000000001" customHeight="1" x14ac:dyDescent="0.25">
      <c r="D42" s="1" t="s">
        <v>137</v>
      </c>
      <c r="E42" s="61">
        <v>100</v>
      </c>
      <c r="F42" s="61">
        <v>100</v>
      </c>
      <c r="G42" s="61">
        <v>100</v>
      </c>
      <c r="H42" s="61">
        <v>100</v>
      </c>
      <c r="I42" s="61">
        <v>100</v>
      </c>
      <c r="J42" s="61">
        <v>100</v>
      </c>
      <c r="K42" s="61">
        <v>100</v>
      </c>
      <c r="L42" s="61">
        <v>100</v>
      </c>
      <c r="M42" s="61">
        <v>100</v>
      </c>
      <c r="N42" s="61">
        <v>100</v>
      </c>
      <c r="O42" s="2" t="s">
        <v>81</v>
      </c>
      <c r="T42" s="7"/>
    </row>
    <row r="43" spans="4:20" ht="20.100000000000001" customHeight="1" x14ac:dyDescent="0.25">
      <c r="O43" s="2"/>
      <c r="T43" s="7"/>
    </row>
    <row r="44" spans="4:20" ht="20.100000000000001" customHeight="1" x14ac:dyDescent="0.25">
      <c r="D44" s="59" t="s">
        <v>108</v>
      </c>
      <c r="E44" s="59" t="s">
        <v>103</v>
      </c>
      <c r="F44" s="59" t="s">
        <v>102</v>
      </c>
      <c r="G44" s="59" t="s">
        <v>126</v>
      </c>
      <c r="H44" s="59" t="s">
        <v>127</v>
      </c>
      <c r="I44" s="59" t="s">
        <v>128</v>
      </c>
      <c r="J44" s="59" t="s">
        <v>129</v>
      </c>
      <c r="K44" s="59" t="s">
        <v>130</v>
      </c>
      <c r="L44" s="59" t="s">
        <v>131</v>
      </c>
      <c r="M44" s="59" t="s">
        <v>132</v>
      </c>
      <c r="N44" s="59" t="s">
        <v>133</v>
      </c>
      <c r="O44" s="2"/>
      <c r="T44" s="7"/>
    </row>
    <row r="45" spans="4:20" ht="20.100000000000001" customHeight="1" x14ac:dyDescent="0.25">
      <c r="D45" s="1" t="str">
        <f>TEXT(X_Cell_Site_StartDate, "mmmm yyyy")</f>
        <v>January 2024</v>
      </c>
      <c r="E45" s="61">
        <v>100</v>
      </c>
      <c r="F45" s="61">
        <v>100</v>
      </c>
      <c r="G45" s="61">
        <v>100</v>
      </c>
      <c r="H45" s="61">
        <v>100</v>
      </c>
      <c r="I45" s="61">
        <v>100</v>
      </c>
      <c r="J45" s="61">
        <v>100</v>
      </c>
      <c r="K45" s="61">
        <v>100</v>
      </c>
      <c r="L45" s="61">
        <v>100</v>
      </c>
      <c r="M45" s="61">
        <v>100</v>
      </c>
      <c r="N45" s="61">
        <v>100</v>
      </c>
      <c r="O45" s="2" t="s">
        <v>81</v>
      </c>
      <c r="T45" s="7"/>
    </row>
    <row r="46" spans="4:20" ht="20.100000000000001" customHeight="1" x14ac:dyDescent="0.25">
      <c r="D46" s="1" t="str">
        <f>TEXT(EDATE(X_Cell_Site_StartDate,1), "mmmm yyyy")</f>
        <v>February 2024</v>
      </c>
      <c r="E46" s="61">
        <v>100</v>
      </c>
      <c r="F46" s="61">
        <v>100</v>
      </c>
      <c r="G46" s="61">
        <v>100</v>
      </c>
      <c r="H46" s="61">
        <v>100</v>
      </c>
      <c r="I46" s="61">
        <v>100</v>
      </c>
      <c r="J46" s="61">
        <v>100</v>
      </c>
      <c r="K46" s="61">
        <v>100</v>
      </c>
      <c r="L46" s="61">
        <v>100</v>
      </c>
      <c r="M46" s="61">
        <v>100</v>
      </c>
      <c r="N46" s="61">
        <v>100</v>
      </c>
      <c r="O46" s="2" t="s">
        <v>81</v>
      </c>
      <c r="T46" s="7"/>
    </row>
    <row r="47" spans="4:20" ht="20.100000000000001" customHeight="1" x14ac:dyDescent="0.25">
      <c r="D47" s="1" t="str">
        <f>TEXT(EDATE(X_Cell_Site_StartDate,2), "mmmm yyyy")</f>
        <v>March 2024</v>
      </c>
      <c r="E47" s="61">
        <v>100</v>
      </c>
      <c r="F47" s="61">
        <v>100</v>
      </c>
      <c r="G47" s="61">
        <v>100</v>
      </c>
      <c r="H47" s="61">
        <v>100</v>
      </c>
      <c r="I47" s="61">
        <v>100</v>
      </c>
      <c r="J47" s="61">
        <v>100</v>
      </c>
      <c r="K47" s="61">
        <v>100</v>
      </c>
      <c r="L47" s="61">
        <v>100</v>
      </c>
      <c r="M47" s="61">
        <v>100</v>
      </c>
      <c r="N47" s="61">
        <v>100</v>
      </c>
      <c r="O47" s="2" t="s">
        <v>81</v>
      </c>
      <c r="T47" s="7"/>
    </row>
    <row r="48" spans="4:20" ht="20.100000000000001" customHeight="1" x14ac:dyDescent="0.25">
      <c r="D48" s="1" t="str">
        <f>TEXT(EDATE(X_Cell_Site_StartDate,3), "mmmm yyyy")</f>
        <v>April 2024</v>
      </c>
      <c r="E48" s="61">
        <v>100</v>
      </c>
      <c r="F48" s="61">
        <v>100</v>
      </c>
      <c r="G48" s="61">
        <v>100</v>
      </c>
      <c r="H48" s="61">
        <v>100</v>
      </c>
      <c r="I48" s="61">
        <v>100</v>
      </c>
      <c r="J48" s="61">
        <v>100</v>
      </c>
      <c r="K48" s="61">
        <v>100</v>
      </c>
      <c r="L48" s="61">
        <v>100</v>
      </c>
      <c r="M48" s="61">
        <v>100</v>
      </c>
      <c r="N48" s="61">
        <v>100</v>
      </c>
      <c r="O48" s="2" t="s">
        <v>81</v>
      </c>
      <c r="T48" s="7"/>
    </row>
    <row r="49" spans="4:20" ht="20.100000000000001" customHeight="1" x14ac:dyDescent="0.25">
      <c r="D49" s="1" t="str">
        <f>TEXT(EDATE(X_Cell_Site_StartDate,4), "mmmm yyyy")</f>
        <v>May 2024</v>
      </c>
      <c r="E49" s="61">
        <v>100</v>
      </c>
      <c r="F49" s="61">
        <v>100</v>
      </c>
      <c r="G49" s="61">
        <v>100</v>
      </c>
      <c r="H49" s="61">
        <v>100</v>
      </c>
      <c r="I49" s="61">
        <v>100</v>
      </c>
      <c r="J49" s="61">
        <v>100</v>
      </c>
      <c r="K49" s="61">
        <v>100</v>
      </c>
      <c r="L49" s="61">
        <v>100</v>
      </c>
      <c r="M49" s="61">
        <v>100</v>
      </c>
      <c r="N49" s="61">
        <v>100</v>
      </c>
      <c r="O49" s="2" t="s">
        <v>81</v>
      </c>
      <c r="T49" s="7"/>
    </row>
    <row r="50" spans="4:20" ht="20.100000000000001" customHeight="1" x14ac:dyDescent="0.25">
      <c r="D50" s="1" t="str">
        <f>TEXT(EDATE(X_Cell_Site_StartDate,5), "mmmm yyyy")</f>
        <v>June 2024</v>
      </c>
      <c r="E50" s="61">
        <v>100</v>
      </c>
      <c r="F50" s="61">
        <v>100</v>
      </c>
      <c r="G50" s="61">
        <v>100</v>
      </c>
      <c r="H50" s="61">
        <v>100</v>
      </c>
      <c r="I50" s="61">
        <v>100</v>
      </c>
      <c r="J50" s="61">
        <v>100</v>
      </c>
      <c r="K50" s="61">
        <v>100</v>
      </c>
      <c r="L50" s="61">
        <v>100</v>
      </c>
      <c r="M50" s="61">
        <v>100</v>
      </c>
      <c r="N50" s="61">
        <v>100</v>
      </c>
      <c r="O50" s="2" t="s">
        <v>81</v>
      </c>
      <c r="P50" s="3"/>
      <c r="T50" s="7"/>
    </row>
    <row r="51" spans="4:20" ht="20.100000000000001" customHeight="1" x14ac:dyDescent="0.25">
      <c r="D51" s="1" t="str">
        <f>TEXT(EDATE(X_Cell_Site_StartDate,6), "mmmm yyyy")</f>
        <v>July 2024</v>
      </c>
      <c r="E51" s="61">
        <v>100</v>
      </c>
      <c r="F51" s="61">
        <v>100</v>
      </c>
      <c r="G51" s="61">
        <v>100</v>
      </c>
      <c r="H51" s="61">
        <v>100</v>
      </c>
      <c r="I51" s="61">
        <v>100</v>
      </c>
      <c r="J51" s="61">
        <v>100</v>
      </c>
      <c r="K51" s="61">
        <v>100</v>
      </c>
      <c r="L51" s="61">
        <v>100</v>
      </c>
      <c r="M51" s="61">
        <v>100</v>
      </c>
      <c r="N51" s="61">
        <v>100</v>
      </c>
      <c r="O51" s="2" t="s">
        <v>81</v>
      </c>
      <c r="P51" s="3"/>
      <c r="T51" s="7"/>
    </row>
    <row r="52" spans="4:20" ht="20.100000000000001" customHeight="1" x14ac:dyDescent="0.25">
      <c r="D52" s="1" t="str">
        <f>TEXT(EDATE(X_Cell_Site_StartDate,7), "mmmm yyyy")</f>
        <v>August 2024</v>
      </c>
      <c r="E52" s="61">
        <v>100</v>
      </c>
      <c r="F52" s="61">
        <v>100</v>
      </c>
      <c r="G52" s="61">
        <v>100</v>
      </c>
      <c r="H52" s="61">
        <v>100</v>
      </c>
      <c r="I52" s="61">
        <v>100</v>
      </c>
      <c r="J52" s="61">
        <v>100</v>
      </c>
      <c r="K52" s="61">
        <v>100</v>
      </c>
      <c r="L52" s="61">
        <v>100</v>
      </c>
      <c r="M52" s="61">
        <v>100</v>
      </c>
      <c r="N52" s="61">
        <v>100</v>
      </c>
      <c r="O52" s="2" t="s">
        <v>81</v>
      </c>
      <c r="P52" s="3"/>
      <c r="T52" s="7"/>
    </row>
    <row r="53" spans="4:20" ht="20.100000000000001" customHeight="1" x14ac:dyDescent="0.25">
      <c r="D53" s="1" t="str">
        <f>TEXT(EDATE(X_Cell_Site_StartDate,8), "mmmm yyyy")</f>
        <v>September 2024</v>
      </c>
      <c r="E53" s="61">
        <v>100</v>
      </c>
      <c r="F53" s="61">
        <v>100</v>
      </c>
      <c r="G53" s="61">
        <v>100</v>
      </c>
      <c r="H53" s="61">
        <v>100</v>
      </c>
      <c r="I53" s="61">
        <v>100</v>
      </c>
      <c r="J53" s="61">
        <v>100</v>
      </c>
      <c r="K53" s="61">
        <v>100</v>
      </c>
      <c r="L53" s="61">
        <v>100</v>
      </c>
      <c r="M53" s="61">
        <v>100</v>
      </c>
      <c r="N53" s="61">
        <v>100</v>
      </c>
      <c r="O53" s="2" t="s">
        <v>81</v>
      </c>
      <c r="P53" s="3"/>
      <c r="T53" s="7"/>
    </row>
    <row r="54" spans="4:20" ht="20.100000000000001" customHeight="1" x14ac:dyDescent="0.25">
      <c r="D54" s="1" t="str">
        <f>TEXT(EDATE(X_Cell_Site_StartDate,9), "mmmm yyyy")</f>
        <v>October 2024</v>
      </c>
      <c r="E54" s="61">
        <v>100</v>
      </c>
      <c r="F54" s="61">
        <v>100</v>
      </c>
      <c r="G54" s="61">
        <v>100</v>
      </c>
      <c r="H54" s="61">
        <v>100</v>
      </c>
      <c r="I54" s="61">
        <v>100</v>
      </c>
      <c r="J54" s="61">
        <v>100</v>
      </c>
      <c r="K54" s="61">
        <v>100</v>
      </c>
      <c r="L54" s="61">
        <v>100</v>
      </c>
      <c r="M54" s="61">
        <v>100</v>
      </c>
      <c r="N54" s="61">
        <v>100</v>
      </c>
      <c r="O54" s="2" t="s">
        <v>81</v>
      </c>
      <c r="P54" s="3"/>
      <c r="T54" s="7"/>
    </row>
    <row r="55" spans="4:20" ht="20.100000000000001" customHeight="1" x14ac:dyDescent="0.25">
      <c r="D55" s="1" t="str">
        <f>TEXT(EDATE(X_Cell_Site_StartDate,10), "mmmm yyyy")</f>
        <v>November 2024</v>
      </c>
      <c r="E55" s="61">
        <v>100</v>
      </c>
      <c r="F55" s="61">
        <v>100</v>
      </c>
      <c r="G55" s="61">
        <v>100</v>
      </c>
      <c r="H55" s="61">
        <v>100</v>
      </c>
      <c r="I55" s="61">
        <v>100</v>
      </c>
      <c r="J55" s="61">
        <v>100</v>
      </c>
      <c r="K55" s="61">
        <v>100</v>
      </c>
      <c r="L55" s="61">
        <v>100</v>
      </c>
      <c r="M55" s="61">
        <v>100</v>
      </c>
      <c r="N55" s="61">
        <v>100</v>
      </c>
      <c r="O55" s="2" t="s">
        <v>81</v>
      </c>
      <c r="P55" s="3"/>
      <c r="T55" s="7"/>
    </row>
    <row r="56" spans="4:20" ht="20.100000000000001" customHeight="1" x14ac:dyDescent="0.25">
      <c r="D56" s="1" t="str">
        <f>TEXT(EDATE(X_Cell_Site_StartDate,11), "mmmm yyyy")</f>
        <v>December 2024</v>
      </c>
      <c r="E56" s="61">
        <v>100</v>
      </c>
      <c r="F56" s="61">
        <v>100</v>
      </c>
      <c r="G56" s="61">
        <v>100</v>
      </c>
      <c r="H56" s="61">
        <v>100</v>
      </c>
      <c r="I56" s="61">
        <v>100</v>
      </c>
      <c r="J56" s="61">
        <v>100</v>
      </c>
      <c r="K56" s="61">
        <v>100</v>
      </c>
      <c r="L56" s="61">
        <v>100</v>
      </c>
      <c r="M56" s="61">
        <v>100</v>
      </c>
      <c r="N56" s="61">
        <v>100</v>
      </c>
      <c r="O56" s="2" t="s">
        <v>81</v>
      </c>
      <c r="P56" s="3"/>
      <c r="T56" s="7"/>
    </row>
    <row r="57" spans="4:20" ht="20.100000000000001" customHeight="1" x14ac:dyDescent="0.25">
      <c r="P57" s="3"/>
      <c r="T57" s="7"/>
    </row>
    <row r="58" spans="4:20" ht="20.100000000000001" customHeight="1" x14ac:dyDescent="0.25">
      <c r="P58" s="3"/>
      <c r="T58" s="7"/>
    </row>
    <row r="59" spans="4:20" ht="20.100000000000001" customHeight="1" x14ac:dyDescent="0.25">
      <c r="D59" s="45" t="s">
        <v>111</v>
      </c>
      <c r="P59" s="3"/>
      <c r="T59" s="7"/>
    </row>
    <row r="60" spans="4:20" ht="20.100000000000001" customHeight="1" x14ac:dyDescent="0.25">
      <c r="D60" s="59" t="s">
        <v>140</v>
      </c>
      <c r="E60" s="59" t="s">
        <v>103</v>
      </c>
      <c r="F60" s="59" t="s">
        <v>102</v>
      </c>
      <c r="G60" s="59" t="s">
        <v>126</v>
      </c>
      <c r="H60" s="59" t="s">
        <v>127</v>
      </c>
      <c r="I60" s="59" t="s">
        <v>128</v>
      </c>
      <c r="J60" s="59" t="s">
        <v>129</v>
      </c>
      <c r="K60" s="59" t="s">
        <v>130</v>
      </c>
      <c r="L60" s="59" t="s">
        <v>131</v>
      </c>
      <c r="M60" s="59" t="s">
        <v>132</v>
      </c>
      <c r="N60" s="59" t="s">
        <v>133</v>
      </c>
      <c r="P60" s="3"/>
      <c r="T60" s="7"/>
    </row>
    <row r="61" spans="4:20" ht="20.100000000000001" customHeight="1" x14ac:dyDescent="0.25">
      <c r="D61" s="1" t="s">
        <v>134</v>
      </c>
      <c r="E61" s="49">
        <f>InputFunctions_PastureBeef.LookupLiveweightFromSeason($E$7,X_Cell_PastureBeef_ProductionRegion,$D61,E$60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340</v>
      </c>
      <c r="F61" s="49">
        <f>InputFunctions_PastureBeef.LookupLiveweightFromSeason($E$7,X_Cell_PastureBeef_ProductionRegion,$D61,F$60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800</v>
      </c>
      <c r="G61" s="49">
        <f>InputFunctions_PastureBeef.LookupLiveweightFromSeason($E$7,X_Cell_PastureBeef_ProductionRegion,$D61,G$60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260</v>
      </c>
      <c r="H61" s="49">
        <f>InputFunctions_PastureBeef.LookupLiveweightFromSeason($E$7,X_Cell_PastureBeef_ProductionRegion,$D61,H$60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420</v>
      </c>
      <c r="I61" s="49">
        <f>InputFunctions_PastureBeef.LookupLiveweightFromSeason($E$7,X_Cell_PastureBeef_ProductionRegion,$D61,I$60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550</v>
      </c>
      <c r="J61" s="49">
        <f>InputFunctions_PastureBeef.LookupLiveweightFromSeason($E$7,X_Cell_PastureBeef_ProductionRegion,$D61,J$60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550</v>
      </c>
      <c r="K61" s="49">
        <f>InputFunctions_PastureBeef.LookupLiveweightFromSeason($E$7,X_Cell_PastureBeef_ProductionRegion,$D61,K$60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300</v>
      </c>
      <c r="L61" s="49">
        <f>InputFunctions_PastureBeef.LookupLiveweightFromSeason($E$7,X_Cell_PastureBeef_ProductionRegion,$D61,L$60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480</v>
      </c>
      <c r="M61" s="49">
        <f>InputFunctions_PastureBeef.LookupLiveweightFromSeason($E$7,X_Cell_PastureBeef_ProductionRegion,$D61,M$60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480</v>
      </c>
      <c r="N61" s="49">
        <f>InputFunctions_PastureBeef.LookupLiveweightFromSeason($E$7,X_Cell_PastureBeef_ProductionRegion,$D61,N$60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480</v>
      </c>
      <c r="O61" s="2" t="s">
        <v>105</v>
      </c>
      <c r="P61" s="3"/>
      <c r="T61" s="7"/>
    </row>
    <row r="62" spans="4:20" ht="20.100000000000001" customHeight="1" x14ac:dyDescent="0.25">
      <c r="D62" s="1" t="s">
        <v>135</v>
      </c>
      <c r="E62" s="49">
        <f>InputFunctions_PastureBeef.LookupLiveweightFromSeason($E$7,X_Cell_PastureBeef_ProductionRegion,$D62,E$60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380</v>
      </c>
      <c r="F62" s="49">
        <f>InputFunctions_PastureBeef.LookupLiveweightFromSeason($E$7,X_Cell_PastureBeef_ProductionRegion,$D62,F$60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780</v>
      </c>
      <c r="G62" s="49">
        <f>InputFunctions_PastureBeef.LookupLiveweightFromSeason($E$7,X_Cell_PastureBeef_ProductionRegion,$D62,G$60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300</v>
      </c>
      <c r="H62" s="49">
        <f>InputFunctions_PastureBeef.LookupLiveweightFromSeason($E$7,X_Cell_PastureBeef_ProductionRegion,$D62,H$60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450</v>
      </c>
      <c r="I62" s="49">
        <f>InputFunctions_PastureBeef.LookupLiveweightFromSeason($E$7,X_Cell_PastureBeef_ProductionRegion,$D62,I$60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530</v>
      </c>
      <c r="J62" s="49">
        <f>InputFunctions_PastureBeef.LookupLiveweightFromSeason($E$7,X_Cell_PastureBeef_ProductionRegion,$D62,J$60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530</v>
      </c>
      <c r="K62" s="49">
        <f>InputFunctions_PastureBeef.LookupLiveweightFromSeason($E$7,X_Cell_PastureBeef_ProductionRegion,$D62,K$60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340</v>
      </c>
      <c r="L62" s="49">
        <f>InputFunctions_PastureBeef.LookupLiveweightFromSeason($E$7,X_Cell_PastureBeef_ProductionRegion,$D62,L$60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470</v>
      </c>
      <c r="M62" s="49">
        <f>InputFunctions_PastureBeef.LookupLiveweightFromSeason($E$7,X_Cell_PastureBeef_ProductionRegion,$D62,M$60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470</v>
      </c>
      <c r="N62" s="49">
        <f>InputFunctions_PastureBeef.LookupLiveweightFromSeason($E$7,X_Cell_PastureBeef_ProductionRegion,$D62,N$60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470</v>
      </c>
      <c r="O62" s="2" t="s">
        <v>105</v>
      </c>
      <c r="P62" s="3"/>
      <c r="T62" s="7"/>
    </row>
    <row r="63" spans="4:20" ht="20.100000000000001" customHeight="1" x14ac:dyDescent="0.25">
      <c r="D63" s="1" t="s">
        <v>136</v>
      </c>
      <c r="E63" s="49">
        <f>InputFunctions_PastureBeef.LookupLiveweightFromSeason($E$7,X_Cell_PastureBeef_ProductionRegion,$D63,E$60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100</v>
      </c>
      <c r="F63" s="49">
        <f>InputFunctions_PastureBeef.LookupLiveweightFromSeason($E$7,X_Cell_PastureBeef_ProductionRegion,$D63,F$60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680</v>
      </c>
      <c r="G63" s="49">
        <f>InputFunctions_PastureBeef.LookupLiveweightFromSeason($E$7,X_Cell_PastureBeef_ProductionRegion,$D63,G$60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80</v>
      </c>
      <c r="H63" s="49">
        <f>InputFunctions_PastureBeef.LookupLiveweightFromSeason($E$7,X_Cell_PastureBeef_ProductionRegion,$D63,H$60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320</v>
      </c>
      <c r="I63" s="49">
        <f>InputFunctions_PastureBeef.LookupLiveweightFromSeason($E$7,X_Cell_PastureBeef_ProductionRegion,$D63,I$60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480</v>
      </c>
      <c r="J63" s="49">
        <f>InputFunctions_PastureBeef.LookupLiveweightFromSeason($E$7,X_Cell_PastureBeef_ProductionRegion,$D63,J$60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480</v>
      </c>
      <c r="K63" s="49">
        <f>InputFunctions_PastureBeef.LookupLiveweightFromSeason($E$7,X_Cell_PastureBeef_ProductionRegion,$D63,K$60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100</v>
      </c>
      <c r="L63" s="49">
        <f>InputFunctions_PastureBeef.LookupLiveweightFromSeason($E$7,X_Cell_PastureBeef_ProductionRegion,$D63,L$60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340</v>
      </c>
      <c r="M63" s="49">
        <f>InputFunctions_PastureBeef.LookupLiveweightFromSeason($E$7,X_Cell_PastureBeef_ProductionRegion,$D63,M$60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340</v>
      </c>
      <c r="N63" s="49">
        <f>InputFunctions_PastureBeef.LookupLiveweightFromSeason($E$7,X_Cell_PastureBeef_ProductionRegion,$D63,N$60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340</v>
      </c>
      <c r="O63" s="2" t="s">
        <v>105</v>
      </c>
      <c r="P63" s="3"/>
      <c r="T63" s="7"/>
    </row>
    <row r="64" spans="4:20" ht="20.100000000000001" customHeight="1" x14ac:dyDescent="0.25">
      <c r="D64" s="1" t="s">
        <v>137</v>
      </c>
      <c r="E64" s="49">
        <f>InputFunctions_PastureBeef.LookupLiveweightFromSeason($E$7,X_Cell_PastureBeef_ProductionRegion,$D64,E$60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190</v>
      </c>
      <c r="F64" s="49">
        <f>InputFunctions_PastureBeef.LookupLiveweightFromSeason($E$7,X_Cell_PastureBeef_ProductionRegion,$D64,F$60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700</v>
      </c>
      <c r="G64" s="49">
        <f>InputFunctions_PastureBeef.LookupLiveweightFromSeason($E$7,X_Cell_PastureBeef_ProductionRegion,$D64,G$60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150</v>
      </c>
      <c r="H64" s="49">
        <f>InputFunctions_PastureBeef.LookupLiveweightFromSeason($E$7,X_Cell_PastureBeef_ProductionRegion,$D64,H$60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330</v>
      </c>
      <c r="I64" s="49">
        <f>InputFunctions_PastureBeef.LookupLiveweightFromSeason($E$7,X_Cell_PastureBeef_ProductionRegion,$D64,I$60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490</v>
      </c>
      <c r="J64" s="49">
        <f>InputFunctions_PastureBeef.LookupLiveweightFromSeason($E$7,X_Cell_PastureBeef_ProductionRegion,$D64,J$60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490</v>
      </c>
      <c r="K64" s="49">
        <f>InputFunctions_PastureBeef.LookupLiveweightFromSeason($E$7,X_Cell_PastureBeef_ProductionRegion,$D64,K$60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170</v>
      </c>
      <c r="L64" s="49">
        <f>InputFunctions_PastureBeef.LookupLiveweightFromSeason($E$7,X_Cell_PastureBeef_ProductionRegion,$D64,L$60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360</v>
      </c>
      <c r="M64" s="49">
        <f>InputFunctions_PastureBeef.LookupLiveweightFromSeason($E$7,X_Cell_PastureBeef_ProductionRegion,$D64,M$60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360</v>
      </c>
      <c r="N64" s="49">
        <f>InputFunctions_PastureBeef.LookupLiveweightFromSeason($E$7,X_Cell_PastureBeef_ProductionRegion,$D64,N$60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360</v>
      </c>
      <c r="O64" s="2" t="s">
        <v>105</v>
      </c>
      <c r="P64" s="3"/>
      <c r="T64" s="7"/>
    </row>
    <row r="65" spans="4:20" ht="20.100000000000001" customHeight="1" x14ac:dyDescent="0.25">
      <c r="O65" s="2"/>
      <c r="P65" s="3"/>
      <c r="T65" s="7"/>
    </row>
    <row r="66" spans="4:20" ht="20.100000000000001" customHeight="1" x14ac:dyDescent="0.25">
      <c r="D66" s="59" t="s">
        <v>141</v>
      </c>
      <c r="E66" s="59" t="s">
        <v>103</v>
      </c>
      <c r="F66" s="59" t="s">
        <v>102</v>
      </c>
      <c r="G66" s="59" t="s">
        <v>126</v>
      </c>
      <c r="H66" s="59" t="s">
        <v>127</v>
      </c>
      <c r="I66" s="59" t="s">
        <v>128</v>
      </c>
      <c r="J66" s="59" t="s">
        <v>129</v>
      </c>
      <c r="K66" s="59" t="s">
        <v>130</v>
      </c>
      <c r="L66" s="59" t="s">
        <v>131</v>
      </c>
      <c r="M66" s="59" t="s">
        <v>132</v>
      </c>
      <c r="N66" s="59" t="s">
        <v>133</v>
      </c>
      <c r="O66" s="2"/>
      <c r="P66" s="3"/>
      <c r="T66" s="7"/>
    </row>
    <row r="67" spans="4:20" ht="20.100000000000001" customHeight="1" x14ac:dyDescent="0.25">
      <c r="D67" s="1" t="str">
        <f>TEXT(X_Cell_Site_StartDate, "mmmm yyyy")</f>
        <v>January 2024</v>
      </c>
      <c r="E67" s="61">
        <f>InputFunctions_PastureBeef.LookupLiveweightFromMonth($E$7,X_Cell_PastureBeef_ProductionRegion,$D67,E$66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380</v>
      </c>
      <c r="F67" s="61">
        <f>InputFunctions_PastureBeef.LookupLiveweightFromMonth($E$7,X_Cell_PastureBeef_ProductionRegion,$D67,F$66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780</v>
      </c>
      <c r="G67" s="61">
        <f>InputFunctions_PastureBeef.LookupLiveweightFromMonth($E$7,X_Cell_PastureBeef_ProductionRegion,$D67,G$66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300</v>
      </c>
      <c r="H67" s="61">
        <f>InputFunctions_PastureBeef.LookupLiveweightFromMonth($E$7,X_Cell_PastureBeef_ProductionRegion,$D67,H$66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450</v>
      </c>
      <c r="I67" s="61">
        <f>InputFunctions_PastureBeef.LookupLiveweightFromMonth($E$7,X_Cell_PastureBeef_ProductionRegion,$D67,I$66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530</v>
      </c>
      <c r="J67" s="61">
        <f>InputFunctions_PastureBeef.LookupLiveweightFromMonth($E$7,X_Cell_PastureBeef_ProductionRegion,$D67,J$66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530</v>
      </c>
      <c r="K67" s="61">
        <f>InputFunctions_PastureBeef.LookupLiveweightFromMonth($E$7,X_Cell_PastureBeef_ProductionRegion,$D67,K$66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340</v>
      </c>
      <c r="L67" s="61">
        <f>InputFunctions_PastureBeef.LookupLiveweightFromMonth($E$7,X_Cell_PastureBeef_ProductionRegion,$D67,L$66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470</v>
      </c>
      <c r="M67" s="61">
        <f>InputFunctions_PastureBeef.LookupLiveweightFromMonth($E$7,X_Cell_PastureBeef_ProductionRegion,$D67,M$66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470</v>
      </c>
      <c r="N67" s="61">
        <f>InputFunctions_PastureBeef.LookupLiveweightFromMonth($E$7,X_Cell_PastureBeef_ProductionRegion,$D67,N$66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470</v>
      </c>
      <c r="O67" s="2" t="s">
        <v>105</v>
      </c>
      <c r="P67" s="3"/>
      <c r="T67" s="7"/>
    </row>
    <row r="68" spans="4:20" ht="20.100000000000001" customHeight="1" x14ac:dyDescent="0.25">
      <c r="D68" s="1" t="str">
        <f>TEXT(EDATE(X_Cell_Site_StartDate,1), "mmmm yyyy")</f>
        <v>February 2024</v>
      </c>
      <c r="E68" s="61">
        <f>InputFunctions_PastureBeef.LookupLiveweightFromMonth($E$7,X_Cell_PastureBeef_ProductionRegion,$D68,E$66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380</v>
      </c>
      <c r="F68" s="61">
        <f>InputFunctions_PastureBeef.LookupLiveweightFromMonth($E$7,X_Cell_PastureBeef_ProductionRegion,$D68,F$66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780</v>
      </c>
      <c r="G68" s="61">
        <f>InputFunctions_PastureBeef.LookupLiveweightFromMonth($E$7,X_Cell_PastureBeef_ProductionRegion,$D68,G$66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300</v>
      </c>
      <c r="H68" s="61">
        <f>InputFunctions_PastureBeef.LookupLiveweightFromMonth($E$7,X_Cell_PastureBeef_ProductionRegion,$D68,H$66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450</v>
      </c>
      <c r="I68" s="61">
        <f>InputFunctions_PastureBeef.LookupLiveweightFromMonth($E$7,X_Cell_PastureBeef_ProductionRegion,$D68,I$66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530</v>
      </c>
      <c r="J68" s="61">
        <f>InputFunctions_PastureBeef.LookupLiveweightFromMonth($E$7,X_Cell_PastureBeef_ProductionRegion,$D68,J$66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530</v>
      </c>
      <c r="K68" s="61">
        <f>InputFunctions_PastureBeef.LookupLiveweightFromMonth($E$7,X_Cell_PastureBeef_ProductionRegion,$D68,K$66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340</v>
      </c>
      <c r="L68" s="61">
        <f>InputFunctions_PastureBeef.LookupLiveweightFromMonth($E$7,X_Cell_PastureBeef_ProductionRegion,$D68,L$66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470</v>
      </c>
      <c r="M68" s="61">
        <f>InputFunctions_PastureBeef.LookupLiveweightFromMonth($E$7,X_Cell_PastureBeef_ProductionRegion,$D68,M$66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470</v>
      </c>
      <c r="N68" s="61">
        <f>InputFunctions_PastureBeef.LookupLiveweightFromMonth($E$7,X_Cell_PastureBeef_ProductionRegion,$D68,N$66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470</v>
      </c>
      <c r="O68" s="2" t="s">
        <v>105</v>
      </c>
      <c r="P68" s="3"/>
      <c r="T68" s="7"/>
    </row>
    <row r="69" spans="4:20" ht="20.100000000000001" customHeight="1" x14ac:dyDescent="0.25">
      <c r="D69" s="1" t="str">
        <f>TEXT(EDATE(X_Cell_Site_StartDate,2), "mmmm yyyy")</f>
        <v>March 2024</v>
      </c>
      <c r="E69" s="61">
        <f>InputFunctions_PastureBeef.LookupLiveweightFromMonth($E$7,X_Cell_PastureBeef_ProductionRegion,$D69,E$66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100</v>
      </c>
      <c r="F69" s="61">
        <f>InputFunctions_PastureBeef.LookupLiveweightFromMonth($E$7,X_Cell_PastureBeef_ProductionRegion,$D69,F$66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680</v>
      </c>
      <c r="G69" s="61">
        <f>InputFunctions_PastureBeef.LookupLiveweightFromMonth($E$7,X_Cell_PastureBeef_ProductionRegion,$D69,G$66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80</v>
      </c>
      <c r="H69" s="61">
        <f>InputFunctions_PastureBeef.LookupLiveweightFromMonth($E$7,X_Cell_PastureBeef_ProductionRegion,$D69,H$66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320</v>
      </c>
      <c r="I69" s="61">
        <f>InputFunctions_PastureBeef.LookupLiveweightFromMonth($E$7,X_Cell_PastureBeef_ProductionRegion,$D69,I$66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480</v>
      </c>
      <c r="J69" s="61">
        <f>InputFunctions_PastureBeef.LookupLiveweightFromMonth($E$7,X_Cell_PastureBeef_ProductionRegion,$D69,J$66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480</v>
      </c>
      <c r="K69" s="61">
        <f>InputFunctions_PastureBeef.LookupLiveweightFromMonth($E$7,X_Cell_PastureBeef_ProductionRegion,$D69,K$66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100</v>
      </c>
      <c r="L69" s="61">
        <f>InputFunctions_PastureBeef.LookupLiveweightFromMonth($E$7,X_Cell_PastureBeef_ProductionRegion,$D69,L$66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340</v>
      </c>
      <c r="M69" s="61">
        <f>InputFunctions_PastureBeef.LookupLiveweightFromMonth($E$7,X_Cell_PastureBeef_ProductionRegion,$D69,M$66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340</v>
      </c>
      <c r="N69" s="61">
        <f>InputFunctions_PastureBeef.LookupLiveweightFromMonth($E$7,X_Cell_PastureBeef_ProductionRegion,$D69,N$66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340</v>
      </c>
      <c r="O69" s="2" t="s">
        <v>105</v>
      </c>
      <c r="P69" s="3"/>
      <c r="T69" s="7"/>
    </row>
    <row r="70" spans="4:20" ht="20.100000000000001" customHeight="1" x14ac:dyDescent="0.25">
      <c r="D70" s="1" t="str">
        <f>TEXT(EDATE(X_Cell_Site_StartDate,3), "mmmm yyyy")</f>
        <v>April 2024</v>
      </c>
      <c r="E70" s="61">
        <f>InputFunctions_PastureBeef.LookupLiveweightFromMonth($E$7,X_Cell_PastureBeef_ProductionRegion,$D70,E$66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100</v>
      </c>
      <c r="F70" s="61">
        <f>InputFunctions_PastureBeef.LookupLiveweightFromMonth($E$7,X_Cell_PastureBeef_ProductionRegion,$D70,F$66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680</v>
      </c>
      <c r="G70" s="61">
        <f>InputFunctions_PastureBeef.LookupLiveweightFromMonth($E$7,X_Cell_PastureBeef_ProductionRegion,$D70,G$66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80</v>
      </c>
      <c r="H70" s="61">
        <f>InputFunctions_PastureBeef.LookupLiveweightFromMonth($E$7,X_Cell_PastureBeef_ProductionRegion,$D70,H$66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320</v>
      </c>
      <c r="I70" s="61">
        <f>InputFunctions_PastureBeef.LookupLiveweightFromMonth($E$7,X_Cell_PastureBeef_ProductionRegion,$D70,I$66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480</v>
      </c>
      <c r="J70" s="61">
        <f>InputFunctions_PastureBeef.LookupLiveweightFromMonth($E$7,X_Cell_PastureBeef_ProductionRegion,$D70,J$66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480</v>
      </c>
      <c r="K70" s="61">
        <f>InputFunctions_PastureBeef.LookupLiveweightFromMonth($E$7,X_Cell_PastureBeef_ProductionRegion,$D70,K$66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100</v>
      </c>
      <c r="L70" s="61">
        <f>InputFunctions_PastureBeef.LookupLiveweightFromMonth($E$7,X_Cell_PastureBeef_ProductionRegion,$D70,L$66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340</v>
      </c>
      <c r="M70" s="61">
        <f>InputFunctions_PastureBeef.LookupLiveweightFromMonth($E$7,X_Cell_PastureBeef_ProductionRegion,$D70,M$66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340</v>
      </c>
      <c r="N70" s="61">
        <f>InputFunctions_PastureBeef.LookupLiveweightFromMonth($E$7,X_Cell_PastureBeef_ProductionRegion,$D70,N$66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340</v>
      </c>
      <c r="O70" s="2" t="s">
        <v>105</v>
      </c>
      <c r="P70" s="3"/>
      <c r="T70" s="7"/>
    </row>
    <row r="71" spans="4:20" ht="20.100000000000001" customHeight="1" x14ac:dyDescent="0.25">
      <c r="D71" s="1" t="str">
        <f>TEXT(EDATE(X_Cell_Site_StartDate,4), "mmmm yyyy")</f>
        <v>May 2024</v>
      </c>
      <c r="E71" s="61">
        <f>InputFunctions_PastureBeef.LookupLiveweightFromMonth($E$7,X_Cell_PastureBeef_ProductionRegion,$D71,E$66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100</v>
      </c>
      <c r="F71" s="61">
        <f>InputFunctions_PastureBeef.LookupLiveweightFromMonth($E$7,X_Cell_PastureBeef_ProductionRegion,$D71,F$66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680</v>
      </c>
      <c r="G71" s="61">
        <f>InputFunctions_PastureBeef.LookupLiveweightFromMonth($E$7,X_Cell_PastureBeef_ProductionRegion,$D71,G$66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80</v>
      </c>
      <c r="H71" s="61">
        <f>InputFunctions_PastureBeef.LookupLiveweightFromMonth($E$7,X_Cell_PastureBeef_ProductionRegion,$D71,H$66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320</v>
      </c>
      <c r="I71" s="61">
        <f>InputFunctions_PastureBeef.LookupLiveweightFromMonth($E$7,X_Cell_PastureBeef_ProductionRegion,$D71,I$66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480</v>
      </c>
      <c r="J71" s="61">
        <f>InputFunctions_PastureBeef.LookupLiveweightFromMonth($E$7,X_Cell_PastureBeef_ProductionRegion,$D71,J$66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480</v>
      </c>
      <c r="K71" s="61">
        <f>InputFunctions_PastureBeef.LookupLiveweightFromMonth($E$7,X_Cell_PastureBeef_ProductionRegion,$D71,K$66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100</v>
      </c>
      <c r="L71" s="61">
        <f>InputFunctions_PastureBeef.LookupLiveweightFromMonth($E$7,X_Cell_PastureBeef_ProductionRegion,$D71,L$66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340</v>
      </c>
      <c r="M71" s="61">
        <f>InputFunctions_PastureBeef.LookupLiveweightFromMonth($E$7,X_Cell_PastureBeef_ProductionRegion,$D71,M$66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340</v>
      </c>
      <c r="N71" s="61">
        <f>InputFunctions_PastureBeef.LookupLiveweightFromMonth($E$7,X_Cell_PastureBeef_ProductionRegion,$D71,N$66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340</v>
      </c>
      <c r="O71" s="2" t="s">
        <v>105</v>
      </c>
      <c r="P71" s="3"/>
      <c r="T71" s="7"/>
    </row>
    <row r="72" spans="4:20" ht="20.100000000000001" customHeight="1" x14ac:dyDescent="0.25">
      <c r="D72" s="1" t="str">
        <f>TEXT(EDATE(X_Cell_Site_StartDate,5), "mmmm yyyy")</f>
        <v>June 2024</v>
      </c>
      <c r="E72" s="61">
        <f>InputFunctions_PastureBeef.LookupLiveweightFromMonth($E$7,X_Cell_PastureBeef_ProductionRegion,$D72,E$66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190</v>
      </c>
      <c r="F72" s="61">
        <f>InputFunctions_PastureBeef.LookupLiveweightFromMonth($E$7,X_Cell_PastureBeef_ProductionRegion,$D72,F$66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700</v>
      </c>
      <c r="G72" s="61">
        <f>InputFunctions_PastureBeef.LookupLiveweightFromMonth($E$7,X_Cell_PastureBeef_ProductionRegion,$D72,G$66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150</v>
      </c>
      <c r="H72" s="61">
        <f>InputFunctions_PastureBeef.LookupLiveweightFromMonth($E$7,X_Cell_PastureBeef_ProductionRegion,$D72,H$66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330</v>
      </c>
      <c r="I72" s="61">
        <f>InputFunctions_PastureBeef.LookupLiveweightFromMonth($E$7,X_Cell_PastureBeef_ProductionRegion,$D72,I$66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490</v>
      </c>
      <c r="J72" s="61">
        <f>InputFunctions_PastureBeef.LookupLiveweightFromMonth($E$7,X_Cell_PastureBeef_ProductionRegion,$D72,J$66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490</v>
      </c>
      <c r="K72" s="61">
        <f>InputFunctions_PastureBeef.LookupLiveweightFromMonth($E$7,X_Cell_PastureBeef_ProductionRegion,$D72,K$66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170</v>
      </c>
      <c r="L72" s="61">
        <f>InputFunctions_PastureBeef.LookupLiveweightFromMonth($E$7,X_Cell_PastureBeef_ProductionRegion,$D72,L$66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360</v>
      </c>
      <c r="M72" s="61">
        <f>InputFunctions_PastureBeef.LookupLiveweightFromMonth($E$7,X_Cell_PastureBeef_ProductionRegion,$D72,M$66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360</v>
      </c>
      <c r="N72" s="61">
        <f>InputFunctions_PastureBeef.LookupLiveweightFromMonth($E$7,X_Cell_PastureBeef_ProductionRegion,$D72,N$66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360</v>
      </c>
      <c r="O72" s="2" t="s">
        <v>105</v>
      </c>
      <c r="T72" s="7"/>
    </row>
    <row r="73" spans="4:20" ht="20.100000000000001" customHeight="1" x14ac:dyDescent="0.25">
      <c r="D73" s="1" t="str">
        <f>TEXT(EDATE(X_Cell_Site_StartDate,6), "mmmm yyyy")</f>
        <v>July 2024</v>
      </c>
      <c r="E73" s="61">
        <f>InputFunctions_PastureBeef.LookupLiveweightFromMonth($E$7,X_Cell_PastureBeef_ProductionRegion,$D73,E$66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190</v>
      </c>
      <c r="F73" s="61">
        <f>InputFunctions_PastureBeef.LookupLiveweightFromMonth($E$7,X_Cell_PastureBeef_ProductionRegion,$D73,F$66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700</v>
      </c>
      <c r="G73" s="61">
        <f>InputFunctions_PastureBeef.LookupLiveweightFromMonth($E$7,X_Cell_PastureBeef_ProductionRegion,$D73,G$66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150</v>
      </c>
      <c r="H73" s="61">
        <f>InputFunctions_PastureBeef.LookupLiveweightFromMonth($E$7,X_Cell_PastureBeef_ProductionRegion,$D73,H$66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330</v>
      </c>
      <c r="I73" s="61">
        <f>InputFunctions_PastureBeef.LookupLiveweightFromMonth($E$7,X_Cell_PastureBeef_ProductionRegion,$D73,I$66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490</v>
      </c>
      <c r="J73" s="61">
        <f>InputFunctions_PastureBeef.LookupLiveweightFromMonth($E$7,X_Cell_PastureBeef_ProductionRegion,$D73,J$66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490</v>
      </c>
      <c r="K73" s="61">
        <f>InputFunctions_PastureBeef.LookupLiveweightFromMonth($E$7,X_Cell_PastureBeef_ProductionRegion,$D73,K$66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170</v>
      </c>
      <c r="L73" s="61">
        <f>InputFunctions_PastureBeef.LookupLiveweightFromMonth($E$7,X_Cell_PastureBeef_ProductionRegion,$D73,L$66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360</v>
      </c>
      <c r="M73" s="61">
        <f>InputFunctions_PastureBeef.LookupLiveweightFromMonth($E$7,X_Cell_PastureBeef_ProductionRegion,$D73,M$66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360</v>
      </c>
      <c r="N73" s="61">
        <f>InputFunctions_PastureBeef.LookupLiveweightFromMonth($E$7,X_Cell_PastureBeef_ProductionRegion,$D73,N$66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360</v>
      </c>
      <c r="O73" s="2" t="s">
        <v>105</v>
      </c>
      <c r="T73" s="7"/>
    </row>
    <row r="74" spans="4:20" ht="20.100000000000001" customHeight="1" x14ac:dyDescent="0.25">
      <c r="D74" s="1" t="str">
        <f>TEXT(EDATE(X_Cell_Site_StartDate,7), "mmmm yyyy")</f>
        <v>August 2024</v>
      </c>
      <c r="E74" s="61">
        <f>InputFunctions_PastureBeef.LookupLiveweightFromMonth($E$7,X_Cell_PastureBeef_ProductionRegion,$D74,E$66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190</v>
      </c>
      <c r="F74" s="61">
        <f>InputFunctions_PastureBeef.LookupLiveweightFromMonth($E$7,X_Cell_PastureBeef_ProductionRegion,$D74,F$66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700</v>
      </c>
      <c r="G74" s="61">
        <f>InputFunctions_PastureBeef.LookupLiveweightFromMonth($E$7,X_Cell_PastureBeef_ProductionRegion,$D74,G$66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150</v>
      </c>
      <c r="H74" s="61">
        <f>InputFunctions_PastureBeef.LookupLiveweightFromMonth($E$7,X_Cell_PastureBeef_ProductionRegion,$D74,H$66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330</v>
      </c>
      <c r="I74" s="61">
        <f>InputFunctions_PastureBeef.LookupLiveweightFromMonth($E$7,X_Cell_PastureBeef_ProductionRegion,$D74,I$66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490</v>
      </c>
      <c r="J74" s="61">
        <f>InputFunctions_PastureBeef.LookupLiveweightFromMonth($E$7,X_Cell_PastureBeef_ProductionRegion,$D74,J$66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490</v>
      </c>
      <c r="K74" s="61">
        <f>InputFunctions_PastureBeef.LookupLiveweightFromMonth($E$7,X_Cell_PastureBeef_ProductionRegion,$D74,K$66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170</v>
      </c>
      <c r="L74" s="61">
        <f>InputFunctions_PastureBeef.LookupLiveweightFromMonth($E$7,X_Cell_PastureBeef_ProductionRegion,$D74,L$66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360</v>
      </c>
      <c r="M74" s="61">
        <f>InputFunctions_PastureBeef.LookupLiveweightFromMonth($E$7,X_Cell_PastureBeef_ProductionRegion,$D74,M$66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360</v>
      </c>
      <c r="N74" s="61">
        <f>InputFunctions_PastureBeef.LookupLiveweightFromMonth($E$7,X_Cell_PastureBeef_ProductionRegion,$D74,N$66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360</v>
      </c>
      <c r="O74" s="2" t="s">
        <v>105</v>
      </c>
      <c r="T74" s="7"/>
    </row>
    <row r="75" spans="4:20" ht="20.100000000000001" customHeight="1" x14ac:dyDescent="0.25">
      <c r="D75" s="1" t="str">
        <f>TEXT(EDATE(X_Cell_Site_StartDate,8), "mmmm yyyy")</f>
        <v>September 2024</v>
      </c>
      <c r="E75" s="61">
        <f>InputFunctions_PastureBeef.LookupLiveweightFromMonth($E$7,X_Cell_PastureBeef_ProductionRegion,$D75,E$66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340</v>
      </c>
      <c r="F75" s="61">
        <f>InputFunctions_PastureBeef.LookupLiveweightFromMonth($E$7,X_Cell_PastureBeef_ProductionRegion,$D75,F$66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800</v>
      </c>
      <c r="G75" s="61">
        <f>InputFunctions_PastureBeef.LookupLiveweightFromMonth($E$7,X_Cell_PastureBeef_ProductionRegion,$D75,G$66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260</v>
      </c>
      <c r="H75" s="61">
        <f>InputFunctions_PastureBeef.LookupLiveweightFromMonth($E$7,X_Cell_PastureBeef_ProductionRegion,$D75,H$66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420</v>
      </c>
      <c r="I75" s="61">
        <f>InputFunctions_PastureBeef.LookupLiveweightFromMonth($E$7,X_Cell_PastureBeef_ProductionRegion,$D75,I$66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550</v>
      </c>
      <c r="J75" s="61">
        <f>InputFunctions_PastureBeef.LookupLiveweightFromMonth($E$7,X_Cell_PastureBeef_ProductionRegion,$D75,J$66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550</v>
      </c>
      <c r="K75" s="61">
        <f>InputFunctions_PastureBeef.LookupLiveweightFromMonth($E$7,X_Cell_PastureBeef_ProductionRegion,$D75,K$66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300</v>
      </c>
      <c r="L75" s="61">
        <f>InputFunctions_PastureBeef.LookupLiveweightFromMonth($E$7,X_Cell_PastureBeef_ProductionRegion,$D75,L$66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480</v>
      </c>
      <c r="M75" s="61">
        <f>InputFunctions_PastureBeef.LookupLiveweightFromMonth($E$7,X_Cell_PastureBeef_ProductionRegion,$D75,M$66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480</v>
      </c>
      <c r="N75" s="61">
        <f>InputFunctions_PastureBeef.LookupLiveweightFromMonth($E$7,X_Cell_PastureBeef_ProductionRegion,$D75,N$66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480</v>
      </c>
      <c r="O75" s="2" t="s">
        <v>105</v>
      </c>
      <c r="T75" s="7"/>
    </row>
    <row r="76" spans="4:20" ht="20.100000000000001" customHeight="1" x14ac:dyDescent="0.25">
      <c r="D76" s="1" t="str">
        <f>TEXT(EDATE(X_Cell_Site_StartDate,9), "mmmm yyyy")</f>
        <v>October 2024</v>
      </c>
      <c r="E76" s="61">
        <f>InputFunctions_PastureBeef.LookupLiveweightFromMonth($E$7,X_Cell_PastureBeef_ProductionRegion,$D76,E$66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340</v>
      </c>
      <c r="F76" s="61">
        <f>InputFunctions_PastureBeef.LookupLiveweightFromMonth($E$7,X_Cell_PastureBeef_ProductionRegion,$D76,F$66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800</v>
      </c>
      <c r="G76" s="61">
        <f>InputFunctions_PastureBeef.LookupLiveweightFromMonth($E$7,X_Cell_PastureBeef_ProductionRegion,$D76,G$66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260</v>
      </c>
      <c r="H76" s="61">
        <f>InputFunctions_PastureBeef.LookupLiveweightFromMonth($E$7,X_Cell_PastureBeef_ProductionRegion,$D76,H$66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420</v>
      </c>
      <c r="I76" s="61">
        <f>InputFunctions_PastureBeef.LookupLiveweightFromMonth($E$7,X_Cell_PastureBeef_ProductionRegion,$D76,I$66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550</v>
      </c>
      <c r="J76" s="61">
        <f>InputFunctions_PastureBeef.LookupLiveweightFromMonth($E$7,X_Cell_PastureBeef_ProductionRegion,$D76,J$66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550</v>
      </c>
      <c r="K76" s="61">
        <f>InputFunctions_PastureBeef.LookupLiveweightFromMonth($E$7,X_Cell_PastureBeef_ProductionRegion,$D76,K$66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300</v>
      </c>
      <c r="L76" s="61">
        <f>InputFunctions_PastureBeef.LookupLiveweightFromMonth($E$7,X_Cell_PastureBeef_ProductionRegion,$D76,L$66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480</v>
      </c>
      <c r="M76" s="61">
        <f>InputFunctions_PastureBeef.LookupLiveweightFromMonth($E$7,X_Cell_PastureBeef_ProductionRegion,$D76,M$66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480</v>
      </c>
      <c r="N76" s="61">
        <f>InputFunctions_PastureBeef.LookupLiveweightFromMonth($E$7,X_Cell_PastureBeef_ProductionRegion,$D76,N$66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480</v>
      </c>
      <c r="O76" s="2" t="s">
        <v>105</v>
      </c>
      <c r="T76" s="7"/>
    </row>
    <row r="77" spans="4:20" ht="20.100000000000001" customHeight="1" x14ac:dyDescent="0.25">
      <c r="D77" s="1" t="str">
        <f>TEXT(EDATE(X_Cell_Site_StartDate,10), "mmmm yyyy")</f>
        <v>November 2024</v>
      </c>
      <c r="E77" s="61">
        <f>InputFunctions_PastureBeef.LookupLiveweightFromMonth($E$7,X_Cell_PastureBeef_ProductionRegion,$D77,E$66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340</v>
      </c>
      <c r="F77" s="61">
        <f>InputFunctions_PastureBeef.LookupLiveweightFromMonth($E$7,X_Cell_PastureBeef_ProductionRegion,$D77,F$66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800</v>
      </c>
      <c r="G77" s="61">
        <f>InputFunctions_PastureBeef.LookupLiveweightFromMonth($E$7,X_Cell_PastureBeef_ProductionRegion,$D77,G$66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260</v>
      </c>
      <c r="H77" s="61">
        <f>InputFunctions_PastureBeef.LookupLiveweightFromMonth($E$7,X_Cell_PastureBeef_ProductionRegion,$D77,H$66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420</v>
      </c>
      <c r="I77" s="61">
        <f>InputFunctions_PastureBeef.LookupLiveweightFromMonth($E$7,X_Cell_PastureBeef_ProductionRegion,$D77,I$66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550</v>
      </c>
      <c r="J77" s="61">
        <f>InputFunctions_PastureBeef.LookupLiveweightFromMonth($E$7,X_Cell_PastureBeef_ProductionRegion,$D77,J$66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550</v>
      </c>
      <c r="K77" s="61">
        <f>InputFunctions_PastureBeef.LookupLiveweightFromMonth($E$7,X_Cell_PastureBeef_ProductionRegion,$D77,K$66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300</v>
      </c>
      <c r="L77" s="61">
        <f>InputFunctions_PastureBeef.LookupLiveweightFromMonth($E$7,X_Cell_PastureBeef_ProductionRegion,$D77,L$66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480</v>
      </c>
      <c r="M77" s="61">
        <f>InputFunctions_PastureBeef.LookupLiveweightFromMonth($E$7,X_Cell_PastureBeef_ProductionRegion,$D77,M$66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480</v>
      </c>
      <c r="N77" s="61">
        <f>InputFunctions_PastureBeef.LookupLiveweightFromMonth($E$7,X_Cell_PastureBeef_ProductionRegion,$D77,N$66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480</v>
      </c>
      <c r="O77" s="2" t="s">
        <v>105</v>
      </c>
      <c r="T77" s="7"/>
    </row>
    <row r="78" spans="4:20" ht="20.100000000000001" customHeight="1" x14ac:dyDescent="0.25">
      <c r="D78" s="1" t="str">
        <f>TEXT(EDATE(X_Cell_Site_StartDate,11), "mmmm yyyy")</f>
        <v>December 2024</v>
      </c>
      <c r="E78" s="61">
        <f>InputFunctions_PastureBeef.LookupLiveweightFromMonth($E$7,X_Cell_PastureBeef_ProductionRegion,$D78,E$66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380</v>
      </c>
      <c r="F78" s="61">
        <f>InputFunctions_PastureBeef.LookupLiveweightFromMonth($E$7,X_Cell_PastureBeef_ProductionRegion,$D78,F$66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780</v>
      </c>
      <c r="G78" s="61">
        <f>InputFunctions_PastureBeef.LookupLiveweightFromMonth($E$7,X_Cell_PastureBeef_ProductionRegion,$D78,G$66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300</v>
      </c>
      <c r="H78" s="61">
        <f>InputFunctions_PastureBeef.LookupLiveweightFromMonth($E$7,X_Cell_PastureBeef_ProductionRegion,$D78,H$66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450</v>
      </c>
      <c r="I78" s="61">
        <f>InputFunctions_PastureBeef.LookupLiveweightFromMonth($E$7,X_Cell_PastureBeef_ProductionRegion,$D78,I$66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530</v>
      </c>
      <c r="J78" s="61">
        <f>InputFunctions_PastureBeef.LookupLiveweightFromMonth($E$7,X_Cell_PastureBeef_ProductionRegion,$D78,J$66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530</v>
      </c>
      <c r="K78" s="61">
        <f>InputFunctions_PastureBeef.LookupLiveweightFromMonth($E$7,X_Cell_PastureBeef_ProductionRegion,$D78,K$66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340</v>
      </c>
      <c r="L78" s="61">
        <f>InputFunctions_PastureBeef.LookupLiveweightFromMonth($E$7,X_Cell_PastureBeef_ProductionRegion,$D78,L$66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470</v>
      </c>
      <c r="M78" s="61">
        <f>InputFunctions_PastureBeef.LookupLiveweightFromMonth($E$7,X_Cell_PastureBeef_ProductionRegion,$D78,M$66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470</v>
      </c>
      <c r="N78" s="61">
        <f>InputFunctions_PastureBeef.LookupLiveweightFromMonth($E$7,X_Cell_PastureBeef_ProductionRegion,$D78,N$66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470</v>
      </c>
      <c r="O78" s="2" t="s">
        <v>105</v>
      </c>
      <c r="T78" s="7"/>
    </row>
    <row r="79" spans="4:20" ht="20.100000000000001" customHeight="1" x14ac:dyDescent="0.25">
      <c r="T79" s="7"/>
    </row>
    <row r="80" spans="4:20" ht="20.100000000000001" customHeight="1" x14ac:dyDescent="0.25">
      <c r="T80" s="7"/>
    </row>
    <row r="81" spans="4:20" ht="20.100000000000001" customHeight="1" x14ac:dyDescent="0.25">
      <c r="D81" s="45" t="s">
        <v>138</v>
      </c>
      <c r="T81" s="7"/>
    </row>
    <row r="82" spans="4:20" ht="20.100000000000001" customHeight="1" x14ac:dyDescent="0.25">
      <c r="D82" s="59" t="s">
        <v>140</v>
      </c>
      <c r="E82" s="59" t="s">
        <v>103</v>
      </c>
      <c r="F82" s="59" t="s">
        <v>102</v>
      </c>
      <c r="G82" s="59" t="s">
        <v>126</v>
      </c>
      <c r="H82" s="59" t="s">
        <v>127</v>
      </c>
      <c r="I82" s="59" t="s">
        <v>128</v>
      </c>
      <c r="J82" s="59" t="s">
        <v>129</v>
      </c>
      <c r="K82" s="59" t="s">
        <v>130</v>
      </c>
      <c r="L82" s="59" t="s">
        <v>131</v>
      </c>
      <c r="M82" s="59" t="s">
        <v>132</v>
      </c>
      <c r="N82" s="59" t="s">
        <v>133</v>
      </c>
      <c r="T82" s="7"/>
    </row>
    <row r="83" spans="4:20" ht="20.100000000000001" customHeight="1" x14ac:dyDescent="0.25">
      <c r="D83" s="1" t="s">
        <v>134</v>
      </c>
      <c r="E83" s="49">
        <f>InputFunctions_PastureBeef.LookupLiveweightFromSeason($E$7,X_Cell_PastureBeef_ProductionRegion,$D83,E$82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1.64</v>
      </c>
      <c r="F83" s="49">
        <f>InputFunctions_PastureBeef.LookupLiveweightFromSeason($E$7,X_Cell_PastureBeef_ProductionRegion,$D83,F$82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1.1000000000000001</v>
      </c>
      <c r="G83" s="49">
        <f>InputFunctions_PastureBeef.LookupLiveweightFromSeason($E$7,X_Cell_PastureBeef_ProductionRegion,$D83,G$82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1.21</v>
      </c>
      <c r="H83" s="49">
        <f>InputFunctions_PastureBeef.LookupLiveweightFromSeason($E$7,X_Cell_PastureBeef_ProductionRegion,$D83,H$82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0.99</v>
      </c>
      <c r="I83" s="49">
        <f>InputFunctions_PastureBeef.LookupLiveweightFromSeason($E$7,X_Cell_PastureBeef_ProductionRegion,$D83,I$82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0.66</v>
      </c>
      <c r="J83" s="49">
        <f>InputFunctions_PastureBeef.LookupLiveweightFromSeason($E$7,X_Cell_PastureBeef_ProductionRegion,$D83,J$82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0.66</v>
      </c>
      <c r="K83" s="49">
        <f>InputFunctions_PastureBeef.LookupLiveweightFromSeason($E$7,X_Cell_PastureBeef_ProductionRegion,$D83,K$82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1.42</v>
      </c>
      <c r="L83" s="49">
        <f>InputFunctions_PastureBeef.LookupLiveweightFromSeason($E$7,X_Cell_PastureBeef_ProductionRegion,$D83,L$82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1.1000000000000001</v>
      </c>
      <c r="M83" s="49">
        <f>InputFunctions_PastureBeef.LookupLiveweightFromSeason($E$7,X_Cell_PastureBeef_ProductionRegion,$D83,M$82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1.1000000000000001</v>
      </c>
      <c r="N83" s="49">
        <f>InputFunctions_PastureBeef.LookupLiveweightFromSeason($E$7,X_Cell_PastureBeef_ProductionRegion,$D83,N$82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1.1000000000000001</v>
      </c>
      <c r="O83" s="2" t="s">
        <v>106</v>
      </c>
      <c r="T83" s="7"/>
    </row>
    <row r="84" spans="4:20" ht="20.100000000000001" customHeight="1" x14ac:dyDescent="0.25">
      <c r="D84" s="1" t="s">
        <v>135</v>
      </c>
      <c r="E84" s="49">
        <f>InputFunctions_PastureBeef.LookupLiveweightFromSeason($E$7,X_Cell_PastureBeef_ProductionRegion,$D84,E$82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0.44</v>
      </c>
      <c r="F84" s="49">
        <f>InputFunctions_PastureBeef.LookupLiveweightFromSeason($E$7,X_Cell_PastureBeef_ProductionRegion,$D84,F$82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-0.22</v>
      </c>
      <c r="G84" s="49">
        <f>InputFunctions_PastureBeef.LookupLiveweightFromSeason($E$7,X_Cell_PastureBeef_ProductionRegion,$D84,G$82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0.44</v>
      </c>
      <c r="H84" s="49">
        <f>InputFunctions_PastureBeef.LookupLiveweightFromSeason($E$7,X_Cell_PastureBeef_ProductionRegion,$D84,H$82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0.33</v>
      </c>
      <c r="I84" s="49">
        <f>InputFunctions_PastureBeef.LookupLiveweightFromSeason($E$7,X_Cell_PastureBeef_ProductionRegion,$D84,I$82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-0.22</v>
      </c>
      <c r="J84" s="49">
        <f>InputFunctions_PastureBeef.LookupLiveweightFromSeason($E$7,X_Cell_PastureBeef_ProductionRegion,$D84,J$82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-0.22</v>
      </c>
      <c r="K84" s="49">
        <f>InputFunctions_PastureBeef.LookupLiveweightFromSeason($E$7,X_Cell_PastureBeef_ProductionRegion,$D84,K$82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0.44</v>
      </c>
      <c r="L84" s="49">
        <f>InputFunctions_PastureBeef.LookupLiveweightFromSeason($E$7,X_Cell_PastureBeef_ProductionRegion,$D84,L$82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-0.11</v>
      </c>
      <c r="M84" s="49">
        <f>InputFunctions_PastureBeef.LookupLiveweightFromSeason($E$7,X_Cell_PastureBeef_ProductionRegion,$D84,M$82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-0.11</v>
      </c>
      <c r="N84" s="49">
        <f>InputFunctions_PastureBeef.LookupLiveweightFromSeason($E$7,X_Cell_PastureBeef_ProductionRegion,$D84,N$82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-0.11</v>
      </c>
      <c r="O84" s="2" t="s">
        <v>106</v>
      </c>
      <c r="T84" s="7"/>
    </row>
    <row r="85" spans="4:20" ht="20.100000000000001" customHeight="1" x14ac:dyDescent="0.25">
      <c r="D85" s="1" t="s">
        <v>136</v>
      </c>
      <c r="E85" s="49">
        <f>InputFunctions_PastureBeef.LookupLiveweightFromSeason($E$7,X_Cell_PastureBeef_ProductionRegion,$D85,E$82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0.6</v>
      </c>
      <c r="F85" s="49">
        <f>InputFunctions_PastureBeef.LookupLiveweightFromSeason($E$7,X_Cell_PastureBeef_ProductionRegion,$D85,F$82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v>
      </c>
      <c r="G85" s="49">
        <f>InputFunctions_PastureBeef.LookupLiveweightFromSeason($E$7,X_Cell_PastureBeef_ProductionRegion,$D85,G$82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0.6</v>
      </c>
      <c r="H85" s="49">
        <f>InputFunctions_PastureBeef.LookupLiveweightFromSeason($E$7,X_Cell_PastureBeef_ProductionRegion,$D85,H$82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0.22</v>
      </c>
      <c r="I85" s="49">
        <f>InputFunctions_PastureBeef.LookupLiveweightFromSeason($E$7,X_Cell_PastureBeef_ProductionRegion,$D85,I$82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-0.55000000000000004</v>
      </c>
      <c r="J85" s="49">
        <f>InputFunctions_PastureBeef.LookupLiveweightFromSeason($E$7,X_Cell_PastureBeef_ProductionRegion,$D85,J$82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-0.55000000000000004</v>
      </c>
      <c r="K85" s="49">
        <f>InputFunctions_PastureBeef.LookupLiveweightFromSeason($E$7,X_Cell_PastureBeef_ProductionRegion,$D85,K$82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0.6</v>
      </c>
      <c r="L85" s="49">
        <f>InputFunctions_PastureBeef.LookupLiveweightFromSeason($E$7,X_Cell_PastureBeef_ProductionRegion,$D85,L$82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v>
      </c>
      <c r="M85" s="49">
        <f>InputFunctions_PastureBeef.LookupLiveweightFromSeason($E$7,X_Cell_PastureBeef_ProductionRegion,$D85,M$82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v>
      </c>
      <c r="N85" s="49">
        <f>InputFunctions_PastureBeef.LookupLiveweightFromSeason($E$7,X_Cell_PastureBeef_ProductionRegion,$D85,N$82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v>
      </c>
      <c r="O85" s="2" t="s">
        <v>106</v>
      </c>
      <c r="T85" s="7"/>
    </row>
    <row r="86" spans="4:20" ht="20.100000000000001" customHeight="1" x14ac:dyDescent="0.25">
      <c r="D86" s="1" t="s">
        <v>137</v>
      </c>
      <c r="E86" s="49">
        <f>InputFunctions_PastureBeef.LookupLiveweightFromSeason($E$7,X_Cell_PastureBeef_ProductionRegion,$D86,E$82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0.99</v>
      </c>
      <c r="F86" s="49">
        <f>InputFunctions_PastureBeef.LookupLiveweightFromSeason($E$7,X_Cell_PastureBeef_ProductionRegion,$D86,F$82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0.22</v>
      </c>
      <c r="G86" s="49">
        <f>InputFunctions_PastureBeef.LookupLiveweightFromSeason($E$7,X_Cell_PastureBeef_ProductionRegion,$D86,G$82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0.77</v>
      </c>
      <c r="H86" s="49">
        <f>InputFunctions_PastureBeef.LookupLiveweightFromSeason($E$7,X_Cell_PastureBeef_ProductionRegion,$D86,H$82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0.11</v>
      </c>
      <c r="I86" s="49">
        <f>InputFunctions_PastureBeef.LookupLiveweightFromSeason($E$7,X_Cell_PastureBeef_ProductionRegion,$D86,I$82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0.11</v>
      </c>
      <c r="J86" s="49">
        <f>InputFunctions_PastureBeef.LookupLiveweightFromSeason($E$7,X_Cell_PastureBeef_ProductionRegion,$D86,J$82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0.11</v>
      </c>
      <c r="K86" s="49">
        <f>InputFunctions_PastureBeef.LookupLiveweightFromSeason($E$7,X_Cell_PastureBeef_ProductionRegion,$D86,K$82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0.77</v>
      </c>
      <c r="L86" s="49">
        <f>InputFunctions_PastureBeef.LookupLiveweightFromSeason($E$7,X_Cell_PastureBeef_ProductionRegion,$D86,L$82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0.44</v>
      </c>
      <c r="M86" s="49">
        <f>InputFunctions_PastureBeef.LookupLiveweightFromSeason($E$7,X_Cell_PastureBeef_ProductionRegion,$D86,M$82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0.44</v>
      </c>
      <c r="N86" s="49">
        <f>InputFunctions_PastureBeef.LookupLiveweightFromSeason($E$7,X_Cell_PastureBeef_ProductionRegion,$D86,N$82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0.44</v>
      </c>
      <c r="O86" s="2" t="s">
        <v>106</v>
      </c>
      <c r="T86" s="7"/>
    </row>
    <row r="87" spans="4:20" ht="20.100000000000001" customHeight="1" x14ac:dyDescent="0.25">
      <c r="O87" s="2"/>
      <c r="T87" s="7"/>
    </row>
    <row r="88" spans="4:20" ht="20.100000000000001" customHeight="1" x14ac:dyDescent="0.25">
      <c r="D88" s="59" t="s">
        <v>141</v>
      </c>
      <c r="E88" s="59" t="s">
        <v>103</v>
      </c>
      <c r="F88" s="59" t="s">
        <v>102</v>
      </c>
      <c r="G88" s="59" t="s">
        <v>126</v>
      </c>
      <c r="H88" s="59" t="s">
        <v>127</v>
      </c>
      <c r="I88" s="59" t="s">
        <v>128</v>
      </c>
      <c r="J88" s="59" t="s">
        <v>129</v>
      </c>
      <c r="K88" s="59" t="s">
        <v>130</v>
      </c>
      <c r="L88" s="59" t="s">
        <v>131</v>
      </c>
      <c r="M88" s="59" t="s">
        <v>132</v>
      </c>
      <c r="N88" s="59" t="s">
        <v>133</v>
      </c>
      <c r="O88" s="2"/>
      <c r="T88" s="7"/>
    </row>
    <row r="89" spans="4:20" ht="20.100000000000001" customHeight="1" x14ac:dyDescent="0.25">
      <c r="D89" s="1" t="str">
        <f>TEXT(X_Cell_Site_StartDate, "mmmm yyyy")</f>
        <v>January 2024</v>
      </c>
      <c r="E89" s="61">
        <f>InputFunctions_PastureBeef.LookupLiveweightFromMonth($E$7,X_Cell_PastureBeef_ProductionRegion,$D89,E$88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0.44</v>
      </c>
      <c r="F89" s="61">
        <f>InputFunctions_PastureBeef.LookupLiveweightFromMonth($E$7,X_Cell_PastureBeef_ProductionRegion,$D89,F$88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-0.22</v>
      </c>
      <c r="G89" s="61">
        <f>InputFunctions_PastureBeef.LookupLiveweightFromMonth($E$7,X_Cell_PastureBeef_ProductionRegion,$D89,G$88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0.44</v>
      </c>
      <c r="H89" s="61">
        <f>InputFunctions_PastureBeef.LookupLiveweightFromMonth($E$7,X_Cell_PastureBeef_ProductionRegion,$D89,H$88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0.33</v>
      </c>
      <c r="I89" s="61">
        <f>InputFunctions_PastureBeef.LookupLiveweightFromMonth($E$7,X_Cell_PastureBeef_ProductionRegion,$D89,I$88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-0.22</v>
      </c>
      <c r="J89" s="61">
        <f>InputFunctions_PastureBeef.LookupLiveweightFromMonth($E$7,X_Cell_PastureBeef_ProductionRegion,$D89,J$88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-0.22</v>
      </c>
      <c r="K89" s="61">
        <f>InputFunctions_PastureBeef.LookupLiveweightFromMonth($E$7,X_Cell_PastureBeef_ProductionRegion,$D89,K$88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0.44</v>
      </c>
      <c r="L89" s="61">
        <f>InputFunctions_PastureBeef.LookupLiveweightFromMonth($E$7,X_Cell_PastureBeef_ProductionRegion,$D89,L$88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-0.11</v>
      </c>
      <c r="M89" s="61">
        <f>InputFunctions_PastureBeef.LookupLiveweightFromMonth($E$7,X_Cell_PastureBeef_ProductionRegion,$D89,M$88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-0.11</v>
      </c>
      <c r="N89" s="61">
        <f>InputFunctions_PastureBeef.LookupLiveweightFromMonth($E$7,X_Cell_PastureBeef_ProductionRegion,$D89,N$88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-0.11</v>
      </c>
      <c r="O89" s="2" t="s">
        <v>106</v>
      </c>
      <c r="T89" s="7"/>
    </row>
    <row r="90" spans="4:20" ht="20.100000000000001" customHeight="1" x14ac:dyDescent="0.25">
      <c r="D90" s="1" t="str">
        <f>TEXT(EDATE(X_Cell_Site_StartDate,1), "mmmm yyyy")</f>
        <v>February 2024</v>
      </c>
      <c r="E90" s="61">
        <f>InputFunctions_PastureBeef.LookupLiveweightFromMonth($E$7,X_Cell_PastureBeef_ProductionRegion,$D90,E$88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0.44</v>
      </c>
      <c r="F90" s="61">
        <f>InputFunctions_PastureBeef.LookupLiveweightFromMonth($E$7,X_Cell_PastureBeef_ProductionRegion,$D90,F$88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-0.22</v>
      </c>
      <c r="G90" s="61">
        <f>InputFunctions_PastureBeef.LookupLiveweightFromMonth($E$7,X_Cell_PastureBeef_ProductionRegion,$D90,G$88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0.44</v>
      </c>
      <c r="H90" s="61">
        <f>InputFunctions_PastureBeef.LookupLiveweightFromMonth($E$7,X_Cell_PastureBeef_ProductionRegion,$D90,H$88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0.33</v>
      </c>
      <c r="I90" s="61">
        <f>InputFunctions_PastureBeef.LookupLiveweightFromMonth($E$7,X_Cell_PastureBeef_ProductionRegion,$D90,I$88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-0.22</v>
      </c>
      <c r="J90" s="61">
        <f>InputFunctions_PastureBeef.LookupLiveweightFromMonth($E$7,X_Cell_PastureBeef_ProductionRegion,$D90,J$88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-0.22</v>
      </c>
      <c r="K90" s="61">
        <f>InputFunctions_PastureBeef.LookupLiveweightFromMonth($E$7,X_Cell_PastureBeef_ProductionRegion,$D90,K$88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0.44</v>
      </c>
      <c r="L90" s="61">
        <f>InputFunctions_PastureBeef.LookupLiveweightFromMonth($E$7,X_Cell_PastureBeef_ProductionRegion,$D90,L$88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-0.11</v>
      </c>
      <c r="M90" s="61">
        <f>InputFunctions_PastureBeef.LookupLiveweightFromMonth($E$7,X_Cell_PastureBeef_ProductionRegion,$D90,M$88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-0.11</v>
      </c>
      <c r="N90" s="61">
        <f>InputFunctions_PastureBeef.LookupLiveweightFromMonth($E$7,X_Cell_PastureBeef_ProductionRegion,$D90,N$88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-0.11</v>
      </c>
      <c r="O90" s="2" t="s">
        <v>106</v>
      </c>
      <c r="T90" s="7"/>
    </row>
    <row r="91" spans="4:20" ht="20.100000000000001" customHeight="1" x14ac:dyDescent="0.25">
      <c r="D91" s="1" t="str">
        <f>TEXT(EDATE(X_Cell_Site_StartDate,2), "mmmm yyyy")</f>
        <v>March 2024</v>
      </c>
      <c r="E91" s="61">
        <f>InputFunctions_PastureBeef.LookupLiveweightFromMonth($E$7,X_Cell_PastureBeef_ProductionRegion,$D91,E$88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0.6</v>
      </c>
      <c r="F91" s="61">
        <f>InputFunctions_PastureBeef.LookupLiveweightFromMonth($E$7,X_Cell_PastureBeef_ProductionRegion,$D91,F$88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v>
      </c>
      <c r="G91" s="61">
        <f>InputFunctions_PastureBeef.LookupLiveweightFromMonth($E$7,X_Cell_PastureBeef_ProductionRegion,$D91,G$88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0.6</v>
      </c>
      <c r="H91" s="61">
        <f>InputFunctions_PastureBeef.LookupLiveweightFromMonth($E$7,X_Cell_PastureBeef_ProductionRegion,$D91,H$88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0.22</v>
      </c>
      <c r="I91" s="61">
        <f>InputFunctions_PastureBeef.LookupLiveweightFromMonth($E$7,X_Cell_PastureBeef_ProductionRegion,$D91,I$88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-0.55000000000000004</v>
      </c>
      <c r="J91" s="61">
        <f>InputFunctions_PastureBeef.LookupLiveweightFromMonth($E$7,X_Cell_PastureBeef_ProductionRegion,$D91,J$88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-0.55000000000000004</v>
      </c>
      <c r="K91" s="61">
        <f>InputFunctions_PastureBeef.LookupLiveweightFromMonth($E$7,X_Cell_PastureBeef_ProductionRegion,$D91,K$88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0.6</v>
      </c>
      <c r="L91" s="61">
        <f>InputFunctions_PastureBeef.LookupLiveweightFromMonth($E$7,X_Cell_PastureBeef_ProductionRegion,$D91,L$88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v>
      </c>
      <c r="M91" s="61">
        <f>InputFunctions_PastureBeef.LookupLiveweightFromMonth($E$7,X_Cell_PastureBeef_ProductionRegion,$D91,M$88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v>
      </c>
      <c r="N91" s="61">
        <f>InputFunctions_PastureBeef.LookupLiveweightFromMonth($E$7,X_Cell_PastureBeef_ProductionRegion,$D91,N$88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v>
      </c>
      <c r="O91" s="2" t="s">
        <v>106</v>
      </c>
      <c r="T91" s="7"/>
    </row>
    <row r="92" spans="4:20" ht="20.100000000000001" customHeight="1" x14ac:dyDescent="0.25">
      <c r="D92" s="1" t="str">
        <f>TEXT(EDATE(X_Cell_Site_StartDate,3), "mmmm yyyy")</f>
        <v>April 2024</v>
      </c>
      <c r="E92" s="61">
        <f>InputFunctions_PastureBeef.LookupLiveweightFromMonth($E$7,X_Cell_PastureBeef_ProductionRegion,$D92,E$88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0.6</v>
      </c>
      <c r="F92" s="61">
        <f>InputFunctions_PastureBeef.LookupLiveweightFromMonth($E$7,X_Cell_PastureBeef_ProductionRegion,$D92,F$88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v>
      </c>
      <c r="G92" s="61">
        <f>InputFunctions_PastureBeef.LookupLiveweightFromMonth($E$7,X_Cell_PastureBeef_ProductionRegion,$D92,G$88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0.6</v>
      </c>
      <c r="H92" s="61">
        <f>InputFunctions_PastureBeef.LookupLiveweightFromMonth($E$7,X_Cell_PastureBeef_ProductionRegion,$D92,H$88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0.22</v>
      </c>
      <c r="I92" s="61">
        <f>InputFunctions_PastureBeef.LookupLiveweightFromMonth($E$7,X_Cell_PastureBeef_ProductionRegion,$D92,I$88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-0.55000000000000004</v>
      </c>
      <c r="J92" s="61">
        <f>InputFunctions_PastureBeef.LookupLiveweightFromMonth($E$7,X_Cell_PastureBeef_ProductionRegion,$D92,J$88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-0.55000000000000004</v>
      </c>
      <c r="K92" s="61">
        <f>InputFunctions_PastureBeef.LookupLiveweightFromMonth($E$7,X_Cell_PastureBeef_ProductionRegion,$D92,K$88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0.6</v>
      </c>
      <c r="L92" s="61">
        <f>InputFunctions_PastureBeef.LookupLiveweightFromMonth($E$7,X_Cell_PastureBeef_ProductionRegion,$D92,L$88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v>
      </c>
      <c r="M92" s="61">
        <f>InputFunctions_PastureBeef.LookupLiveweightFromMonth($E$7,X_Cell_PastureBeef_ProductionRegion,$D92,M$88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v>
      </c>
      <c r="N92" s="61">
        <f>InputFunctions_PastureBeef.LookupLiveweightFromMonth($E$7,X_Cell_PastureBeef_ProductionRegion,$D92,N$88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v>
      </c>
      <c r="O92" s="2" t="s">
        <v>106</v>
      </c>
      <c r="T92" s="7"/>
    </row>
    <row r="93" spans="4:20" ht="20.100000000000001" customHeight="1" x14ac:dyDescent="0.25">
      <c r="D93" s="1" t="str">
        <f>TEXT(EDATE(X_Cell_Site_StartDate,4), "mmmm yyyy")</f>
        <v>May 2024</v>
      </c>
      <c r="E93" s="61">
        <f>InputFunctions_PastureBeef.LookupLiveweightFromMonth($E$7,X_Cell_PastureBeef_ProductionRegion,$D93,E$88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0.6</v>
      </c>
      <c r="F93" s="61">
        <f>InputFunctions_PastureBeef.LookupLiveweightFromMonth($E$7,X_Cell_PastureBeef_ProductionRegion,$D93,F$88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v>
      </c>
      <c r="G93" s="61">
        <f>InputFunctions_PastureBeef.LookupLiveweightFromMonth($E$7,X_Cell_PastureBeef_ProductionRegion,$D93,G$88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0.6</v>
      </c>
      <c r="H93" s="61">
        <f>InputFunctions_PastureBeef.LookupLiveweightFromMonth($E$7,X_Cell_PastureBeef_ProductionRegion,$D93,H$88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0.22</v>
      </c>
      <c r="I93" s="61">
        <f>InputFunctions_PastureBeef.LookupLiveweightFromMonth($E$7,X_Cell_PastureBeef_ProductionRegion,$D93,I$88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-0.55000000000000004</v>
      </c>
      <c r="J93" s="61">
        <f>InputFunctions_PastureBeef.LookupLiveweightFromMonth($E$7,X_Cell_PastureBeef_ProductionRegion,$D93,J$88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-0.55000000000000004</v>
      </c>
      <c r="K93" s="61">
        <f>InputFunctions_PastureBeef.LookupLiveweightFromMonth($E$7,X_Cell_PastureBeef_ProductionRegion,$D93,K$88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0.6</v>
      </c>
      <c r="L93" s="61">
        <f>InputFunctions_PastureBeef.LookupLiveweightFromMonth($E$7,X_Cell_PastureBeef_ProductionRegion,$D93,L$88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v>
      </c>
      <c r="M93" s="61">
        <f>InputFunctions_PastureBeef.LookupLiveweightFromMonth($E$7,X_Cell_PastureBeef_ProductionRegion,$D93,M$88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v>
      </c>
      <c r="N93" s="61">
        <f>InputFunctions_PastureBeef.LookupLiveweightFromMonth($E$7,X_Cell_PastureBeef_ProductionRegion,$D93,N$88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v>
      </c>
      <c r="O93" s="2" t="s">
        <v>106</v>
      </c>
      <c r="T93" s="7"/>
    </row>
    <row r="94" spans="4:20" ht="20.100000000000001" customHeight="1" x14ac:dyDescent="0.25">
      <c r="D94" s="1" t="str">
        <f>TEXT(EDATE(X_Cell_Site_StartDate,5), "mmmm yyyy")</f>
        <v>June 2024</v>
      </c>
      <c r="E94" s="61">
        <f>InputFunctions_PastureBeef.LookupLiveweightFromMonth($E$7,X_Cell_PastureBeef_ProductionRegion,$D94,E$88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0.99</v>
      </c>
      <c r="F94" s="61">
        <f>InputFunctions_PastureBeef.LookupLiveweightFromMonth($E$7,X_Cell_PastureBeef_ProductionRegion,$D94,F$88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0.22</v>
      </c>
      <c r="G94" s="61">
        <f>InputFunctions_PastureBeef.LookupLiveweightFromMonth($E$7,X_Cell_PastureBeef_ProductionRegion,$D94,G$88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0.77</v>
      </c>
      <c r="H94" s="61">
        <f>InputFunctions_PastureBeef.LookupLiveweightFromMonth($E$7,X_Cell_PastureBeef_ProductionRegion,$D94,H$88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0.11</v>
      </c>
      <c r="I94" s="61">
        <f>InputFunctions_PastureBeef.LookupLiveweightFromMonth($E$7,X_Cell_PastureBeef_ProductionRegion,$D94,I$88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0.11</v>
      </c>
      <c r="J94" s="61">
        <f>InputFunctions_PastureBeef.LookupLiveweightFromMonth($E$7,X_Cell_PastureBeef_ProductionRegion,$D94,J$88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0.11</v>
      </c>
      <c r="K94" s="61">
        <f>InputFunctions_PastureBeef.LookupLiveweightFromMonth($E$7,X_Cell_PastureBeef_ProductionRegion,$D94,K$88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0.77</v>
      </c>
      <c r="L94" s="61">
        <f>InputFunctions_PastureBeef.LookupLiveweightFromMonth($E$7,X_Cell_PastureBeef_ProductionRegion,$D94,L$88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0.44</v>
      </c>
      <c r="M94" s="61">
        <f>InputFunctions_PastureBeef.LookupLiveweightFromMonth($E$7,X_Cell_PastureBeef_ProductionRegion,$D94,M$88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0.44</v>
      </c>
      <c r="N94" s="61">
        <f>InputFunctions_PastureBeef.LookupLiveweightFromMonth($E$7,X_Cell_PastureBeef_ProductionRegion,$D94,N$88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0.44</v>
      </c>
      <c r="O94" s="2" t="s">
        <v>106</v>
      </c>
      <c r="T94" s="7"/>
    </row>
    <row r="95" spans="4:20" ht="20.100000000000001" customHeight="1" x14ac:dyDescent="0.25">
      <c r="D95" s="1" t="str">
        <f>TEXT(EDATE(X_Cell_Site_StartDate,6), "mmmm yyyy")</f>
        <v>July 2024</v>
      </c>
      <c r="E95" s="61">
        <f>InputFunctions_PastureBeef.LookupLiveweightFromMonth($E$7,X_Cell_PastureBeef_ProductionRegion,$D95,E$88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0.99</v>
      </c>
      <c r="F95" s="61">
        <f>InputFunctions_PastureBeef.LookupLiveweightFromMonth($E$7,X_Cell_PastureBeef_ProductionRegion,$D95,F$88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0.22</v>
      </c>
      <c r="G95" s="61">
        <f>InputFunctions_PastureBeef.LookupLiveweightFromMonth($E$7,X_Cell_PastureBeef_ProductionRegion,$D95,G$88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0.77</v>
      </c>
      <c r="H95" s="61">
        <f>InputFunctions_PastureBeef.LookupLiveweightFromMonth($E$7,X_Cell_PastureBeef_ProductionRegion,$D95,H$88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0.11</v>
      </c>
      <c r="I95" s="61">
        <f>InputFunctions_PastureBeef.LookupLiveweightFromMonth($E$7,X_Cell_PastureBeef_ProductionRegion,$D95,I$88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0.11</v>
      </c>
      <c r="J95" s="61">
        <f>InputFunctions_PastureBeef.LookupLiveweightFromMonth($E$7,X_Cell_PastureBeef_ProductionRegion,$D95,J$88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0.11</v>
      </c>
      <c r="K95" s="61">
        <f>InputFunctions_PastureBeef.LookupLiveweightFromMonth($E$7,X_Cell_PastureBeef_ProductionRegion,$D95,K$88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0.77</v>
      </c>
      <c r="L95" s="61">
        <f>InputFunctions_PastureBeef.LookupLiveweightFromMonth($E$7,X_Cell_PastureBeef_ProductionRegion,$D95,L$88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0.44</v>
      </c>
      <c r="M95" s="61">
        <f>InputFunctions_PastureBeef.LookupLiveweightFromMonth($E$7,X_Cell_PastureBeef_ProductionRegion,$D95,M$88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0.44</v>
      </c>
      <c r="N95" s="61">
        <f>InputFunctions_PastureBeef.LookupLiveweightFromMonth($E$7,X_Cell_PastureBeef_ProductionRegion,$D95,N$88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0.44</v>
      </c>
      <c r="O95" s="2" t="s">
        <v>106</v>
      </c>
      <c r="T95" s="7"/>
    </row>
    <row r="96" spans="4:20" ht="20.100000000000001" customHeight="1" x14ac:dyDescent="0.25">
      <c r="D96" s="1" t="str">
        <f>TEXT(EDATE(X_Cell_Site_StartDate,7), "mmmm yyyy")</f>
        <v>August 2024</v>
      </c>
      <c r="E96" s="61">
        <f>InputFunctions_PastureBeef.LookupLiveweightFromMonth($E$7,X_Cell_PastureBeef_ProductionRegion,$D96,E$88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0.99</v>
      </c>
      <c r="F96" s="61">
        <f>InputFunctions_PastureBeef.LookupLiveweightFromMonth($E$7,X_Cell_PastureBeef_ProductionRegion,$D96,F$88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0.22</v>
      </c>
      <c r="G96" s="61">
        <f>InputFunctions_PastureBeef.LookupLiveweightFromMonth($E$7,X_Cell_PastureBeef_ProductionRegion,$D96,G$88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0.77</v>
      </c>
      <c r="H96" s="61">
        <f>InputFunctions_PastureBeef.LookupLiveweightFromMonth($E$7,X_Cell_PastureBeef_ProductionRegion,$D96,H$88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0.11</v>
      </c>
      <c r="I96" s="61">
        <f>InputFunctions_PastureBeef.LookupLiveweightFromMonth($E$7,X_Cell_PastureBeef_ProductionRegion,$D96,I$88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0.11</v>
      </c>
      <c r="J96" s="61">
        <f>InputFunctions_PastureBeef.LookupLiveweightFromMonth($E$7,X_Cell_PastureBeef_ProductionRegion,$D96,J$88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0.11</v>
      </c>
      <c r="K96" s="61">
        <f>InputFunctions_PastureBeef.LookupLiveweightFromMonth($E$7,X_Cell_PastureBeef_ProductionRegion,$D96,K$88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0.77</v>
      </c>
      <c r="L96" s="61">
        <f>InputFunctions_PastureBeef.LookupLiveweightFromMonth($E$7,X_Cell_PastureBeef_ProductionRegion,$D96,L$88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0.44</v>
      </c>
      <c r="M96" s="61">
        <f>InputFunctions_PastureBeef.LookupLiveweightFromMonth($E$7,X_Cell_PastureBeef_ProductionRegion,$D96,M$88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0.44</v>
      </c>
      <c r="N96" s="61">
        <f>InputFunctions_PastureBeef.LookupLiveweightFromMonth($E$7,X_Cell_PastureBeef_ProductionRegion,$D96,N$88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0.44</v>
      </c>
      <c r="O96" s="2" t="s">
        <v>106</v>
      </c>
      <c r="T96" s="7"/>
    </row>
    <row r="97" spans="4:20" ht="20.100000000000001" customHeight="1" x14ac:dyDescent="0.25">
      <c r="D97" s="1" t="str">
        <f>TEXT(EDATE(X_Cell_Site_StartDate,8), "mmmm yyyy")</f>
        <v>September 2024</v>
      </c>
      <c r="E97" s="61">
        <f>InputFunctions_PastureBeef.LookupLiveweightFromMonth($E$7,X_Cell_PastureBeef_ProductionRegion,$D97,E$88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1.64</v>
      </c>
      <c r="F97" s="61">
        <f>InputFunctions_PastureBeef.LookupLiveweightFromMonth($E$7,X_Cell_PastureBeef_ProductionRegion,$D97,F$88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1.1000000000000001</v>
      </c>
      <c r="G97" s="61">
        <f>InputFunctions_PastureBeef.LookupLiveweightFromMonth($E$7,X_Cell_PastureBeef_ProductionRegion,$D97,G$88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1.21</v>
      </c>
      <c r="H97" s="61">
        <f>InputFunctions_PastureBeef.LookupLiveweightFromMonth($E$7,X_Cell_PastureBeef_ProductionRegion,$D97,H$88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0.99</v>
      </c>
      <c r="I97" s="61">
        <f>InputFunctions_PastureBeef.LookupLiveweightFromMonth($E$7,X_Cell_PastureBeef_ProductionRegion,$D97,I$88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0.66</v>
      </c>
      <c r="J97" s="61">
        <f>InputFunctions_PastureBeef.LookupLiveweightFromMonth($E$7,X_Cell_PastureBeef_ProductionRegion,$D97,J$88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0.66</v>
      </c>
      <c r="K97" s="61">
        <f>InputFunctions_PastureBeef.LookupLiveweightFromMonth($E$7,X_Cell_PastureBeef_ProductionRegion,$D97,K$88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1.42</v>
      </c>
      <c r="L97" s="61">
        <f>InputFunctions_PastureBeef.LookupLiveweightFromMonth($E$7,X_Cell_PastureBeef_ProductionRegion,$D97,L$88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1.1000000000000001</v>
      </c>
      <c r="M97" s="61">
        <f>InputFunctions_PastureBeef.LookupLiveweightFromMonth($E$7,X_Cell_PastureBeef_ProductionRegion,$D97,M$88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1.1000000000000001</v>
      </c>
      <c r="N97" s="61">
        <f>InputFunctions_PastureBeef.LookupLiveweightFromMonth($E$7,X_Cell_PastureBeef_ProductionRegion,$D97,N$88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1.1000000000000001</v>
      </c>
      <c r="O97" s="2" t="s">
        <v>106</v>
      </c>
      <c r="T97" s="7"/>
    </row>
    <row r="98" spans="4:20" ht="20.100000000000001" customHeight="1" x14ac:dyDescent="0.25">
      <c r="D98" s="1" t="str">
        <f>TEXT(EDATE(X_Cell_Site_StartDate,9), "mmmm yyyy")</f>
        <v>October 2024</v>
      </c>
      <c r="E98" s="61">
        <f>InputFunctions_PastureBeef.LookupLiveweightFromMonth($E$7,X_Cell_PastureBeef_ProductionRegion,$D98,E$88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1.64</v>
      </c>
      <c r="F98" s="61">
        <f>InputFunctions_PastureBeef.LookupLiveweightFromMonth($E$7,X_Cell_PastureBeef_ProductionRegion,$D98,F$88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1.1000000000000001</v>
      </c>
      <c r="G98" s="61">
        <f>InputFunctions_PastureBeef.LookupLiveweightFromMonth($E$7,X_Cell_PastureBeef_ProductionRegion,$D98,G$88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1.21</v>
      </c>
      <c r="H98" s="61">
        <f>InputFunctions_PastureBeef.LookupLiveweightFromMonth($E$7,X_Cell_PastureBeef_ProductionRegion,$D98,H$88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0.99</v>
      </c>
      <c r="I98" s="61">
        <f>InputFunctions_PastureBeef.LookupLiveweightFromMonth($E$7,X_Cell_PastureBeef_ProductionRegion,$D98,I$88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0.66</v>
      </c>
      <c r="J98" s="61">
        <f>InputFunctions_PastureBeef.LookupLiveweightFromMonth($E$7,X_Cell_PastureBeef_ProductionRegion,$D98,J$88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0.66</v>
      </c>
      <c r="K98" s="61">
        <f>InputFunctions_PastureBeef.LookupLiveweightFromMonth($E$7,X_Cell_PastureBeef_ProductionRegion,$D98,K$88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1.42</v>
      </c>
      <c r="L98" s="61">
        <f>InputFunctions_PastureBeef.LookupLiveweightFromMonth($E$7,X_Cell_PastureBeef_ProductionRegion,$D98,L$88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1.1000000000000001</v>
      </c>
      <c r="M98" s="61">
        <f>InputFunctions_PastureBeef.LookupLiveweightFromMonth($E$7,X_Cell_PastureBeef_ProductionRegion,$D98,M$88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1.1000000000000001</v>
      </c>
      <c r="N98" s="61">
        <f>InputFunctions_PastureBeef.LookupLiveweightFromMonth($E$7,X_Cell_PastureBeef_ProductionRegion,$D98,N$88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1.1000000000000001</v>
      </c>
      <c r="O98" s="2" t="s">
        <v>106</v>
      </c>
      <c r="T98" s="7"/>
    </row>
    <row r="99" spans="4:20" ht="20.100000000000001" customHeight="1" x14ac:dyDescent="0.25">
      <c r="D99" s="1" t="str">
        <f>TEXT(EDATE(X_Cell_Site_StartDate,10), "mmmm yyyy")</f>
        <v>November 2024</v>
      </c>
      <c r="E99" s="61">
        <f>InputFunctions_PastureBeef.LookupLiveweightFromMonth($E$7,X_Cell_PastureBeef_ProductionRegion,$D99,E$88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1.64</v>
      </c>
      <c r="F99" s="61">
        <f>InputFunctions_PastureBeef.LookupLiveweightFromMonth($E$7,X_Cell_PastureBeef_ProductionRegion,$D99,F$88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1.1000000000000001</v>
      </c>
      <c r="G99" s="61">
        <f>InputFunctions_PastureBeef.LookupLiveweightFromMonth($E$7,X_Cell_PastureBeef_ProductionRegion,$D99,G$88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1.21</v>
      </c>
      <c r="H99" s="61">
        <f>InputFunctions_PastureBeef.LookupLiveweightFromMonth($E$7,X_Cell_PastureBeef_ProductionRegion,$D99,H$88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0.99</v>
      </c>
      <c r="I99" s="61">
        <f>InputFunctions_PastureBeef.LookupLiveweightFromMonth($E$7,X_Cell_PastureBeef_ProductionRegion,$D99,I$88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0.66</v>
      </c>
      <c r="J99" s="61">
        <f>InputFunctions_PastureBeef.LookupLiveweightFromMonth($E$7,X_Cell_PastureBeef_ProductionRegion,$D99,J$88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0.66</v>
      </c>
      <c r="K99" s="61">
        <f>InputFunctions_PastureBeef.LookupLiveweightFromMonth($E$7,X_Cell_PastureBeef_ProductionRegion,$D99,K$88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1.42</v>
      </c>
      <c r="L99" s="61">
        <f>InputFunctions_PastureBeef.LookupLiveweightFromMonth($E$7,X_Cell_PastureBeef_ProductionRegion,$D99,L$88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1.1000000000000001</v>
      </c>
      <c r="M99" s="61">
        <f>InputFunctions_PastureBeef.LookupLiveweightFromMonth($E$7,X_Cell_PastureBeef_ProductionRegion,$D99,M$88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1.1000000000000001</v>
      </c>
      <c r="N99" s="61">
        <f>InputFunctions_PastureBeef.LookupLiveweightFromMonth($E$7,X_Cell_PastureBeef_ProductionRegion,$D99,N$88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1.1000000000000001</v>
      </c>
      <c r="O99" s="2" t="s">
        <v>106</v>
      </c>
      <c r="T99" s="7"/>
    </row>
    <row r="100" spans="4:20" ht="20.100000000000001" customHeight="1" x14ac:dyDescent="0.25">
      <c r="D100" s="1" t="str">
        <f>TEXT(EDATE(X_Cell_Site_StartDate,11), "mmmm yyyy")</f>
        <v>December 2024</v>
      </c>
      <c r="E100" s="61">
        <f>InputFunctions_PastureBeef.LookupLiveweightFromMonth($E$7,X_Cell_PastureBeef_ProductionRegion,$D100,E$88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0.44</v>
      </c>
      <c r="F100" s="61">
        <f>InputFunctions_PastureBeef.LookupLiveweightFromMonth($E$7,X_Cell_PastureBeef_ProductionRegion,$D100,F$88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-0.22</v>
      </c>
      <c r="G100" s="61">
        <f>InputFunctions_PastureBeef.LookupLiveweightFromMonth($E$7,X_Cell_PastureBeef_ProductionRegion,$D100,G$88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0.44</v>
      </c>
      <c r="H100" s="61">
        <f>InputFunctions_PastureBeef.LookupLiveweightFromMonth($E$7,X_Cell_PastureBeef_ProductionRegion,$D100,H$88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0.33</v>
      </c>
      <c r="I100" s="61">
        <f>InputFunctions_PastureBeef.LookupLiveweightFromMonth($E$7,X_Cell_PastureBeef_ProductionRegion,$D100,I$88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-0.22</v>
      </c>
      <c r="J100" s="61">
        <f>InputFunctions_PastureBeef.LookupLiveweightFromMonth($E$7,X_Cell_PastureBeef_ProductionRegion,$D100,J$88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-0.22</v>
      </c>
      <c r="K100" s="61">
        <f>InputFunctions_PastureBeef.LookupLiveweightFromMonth($E$7,X_Cell_PastureBeef_ProductionRegion,$D100,K$88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0.44</v>
      </c>
      <c r="L100" s="61">
        <f>InputFunctions_PastureBeef.LookupLiveweightFromMonth($E$7,X_Cell_PastureBeef_ProductionRegion,$D100,L$88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-0.11</v>
      </c>
      <c r="M100" s="61">
        <f>InputFunctions_PastureBeef.LookupLiveweightFromMonth($E$7,X_Cell_PastureBeef_ProductionRegion,$D100,M$88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-0.11</v>
      </c>
      <c r="N100" s="61">
        <f>InputFunctions_PastureBeef.LookupLiveweightFromMonth($E$7,X_Cell_PastureBeef_ProductionRegion,$D100,N$88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-0.11</v>
      </c>
      <c r="O100" s="2" t="s">
        <v>106</v>
      </c>
      <c r="T100" s="7"/>
    </row>
    <row r="101" spans="4:20" ht="20.100000000000001" customHeight="1" x14ac:dyDescent="0.25">
      <c r="T101" s="7"/>
    </row>
    <row r="102" spans="4:20" ht="20.100000000000001" customHeight="1" x14ac:dyDescent="0.25">
      <c r="T102" s="7"/>
    </row>
    <row r="103" spans="4:20" ht="20.100000000000001" customHeight="1" x14ac:dyDescent="0.25">
      <c r="D103" s="45" t="s">
        <v>12</v>
      </c>
      <c r="K103" s="2"/>
      <c r="L103" s="2"/>
      <c r="M103" s="2"/>
      <c r="N103" s="2"/>
      <c r="O103" s="2"/>
      <c r="T103" s="7"/>
    </row>
    <row r="104" spans="4:20" ht="20.100000000000001" customHeight="1" x14ac:dyDescent="0.25">
      <c r="D104" s="59" t="s">
        <v>140</v>
      </c>
      <c r="E104" s="59" t="s">
        <v>103</v>
      </c>
      <c r="F104" s="59" t="s">
        <v>102</v>
      </c>
      <c r="G104" s="59" t="s">
        <v>126</v>
      </c>
      <c r="H104" s="59" t="s">
        <v>127</v>
      </c>
      <c r="I104" s="59" t="s">
        <v>128</v>
      </c>
      <c r="J104" s="59" t="s">
        <v>129</v>
      </c>
      <c r="K104" s="59" t="s">
        <v>130</v>
      </c>
      <c r="L104" s="59" t="s">
        <v>131</v>
      </c>
      <c r="M104" s="59" t="s">
        <v>132</v>
      </c>
      <c r="N104" s="59" t="s">
        <v>133</v>
      </c>
      <c r="T104" s="7"/>
    </row>
    <row r="105" spans="4:20" ht="20.100000000000001" customHeight="1" x14ac:dyDescent="0.25">
      <c r="D105" s="1" t="s">
        <v>134</v>
      </c>
      <c r="E105" s="49">
        <f>InputFunctions_PastureBeef.LookupValueFromStateRegionSeason($E$7,X_Cell_PastureBeef_ProductionRegion,$D105,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0.8</v>
      </c>
      <c r="F105" s="49">
        <f>InputFunctions_PastureBeef.LookupValueFromStateRegionSeason($E$7,X_Cell_PastureBeef_ProductionRegion,$D105,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0.8</v>
      </c>
      <c r="G105" s="49">
        <f>InputFunctions_PastureBeef.LookupValueFromStateRegionSeason($E$7,X_Cell_PastureBeef_ProductionRegion,$D105,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0.8</v>
      </c>
      <c r="H105" s="49">
        <f>InputFunctions_PastureBeef.LookupValueFromStateRegionSeason($E$7,X_Cell_PastureBeef_ProductionRegion,$D105,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0.8</v>
      </c>
      <c r="I105" s="49">
        <f>InputFunctions_PastureBeef.LookupValueFromStateRegionSeason($E$7,X_Cell_PastureBeef_ProductionRegion,$D105,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0.8</v>
      </c>
      <c r="J105" s="49">
        <f>InputFunctions_PastureBeef.LookupValueFromStateRegionSeason($E$7,X_Cell_PastureBeef_ProductionRegion,$D105,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0.8</v>
      </c>
      <c r="K105" s="49">
        <f>InputFunctions_PastureBeef.LookupValueFromStateRegionSeason($E$7,X_Cell_PastureBeef_ProductionRegion,$D105,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0.8</v>
      </c>
      <c r="L105" s="49">
        <f>InputFunctions_PastureBeef.LookupValueFromStateRegionSeason($E$7,X_Cell_PastureBeef_ProductionRegion,$D105,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0.8</v>
      </c>
      <c r="M105" s="49">
        <f>InputFunctions_PastureBeef.LookupValueFromStateRegionSeason($E$7,X_Cell_PastureBeef_ProductionRegion,$D105,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0.8</v>
      </c>
      <c r="N105" s="49">
        <f>InputFunctions_PastureBeef.LookupValueFromStateRegionSeason($E$7,X_Cell_PastureBeef_ProductionRegion,$D105,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0.8</v>
      </c>
      <c r="O105" s="2" t="s">
        <v>112</v>
      </c>
      <c r="T105" s="7"/>
    </row>
    <row r="106" spans="4:20" ht="20.100000000000001" customHeight="1" x14ac:dyDescent="0.25">
      <c r="D106" s="1" t="s">
        <v>135</v>
      </c>
      <c r="E106" s="49">
        <f>InputFunctions_PastureBeef.LookupValueFromStateRegionSeason($E$7,X_Cell_PastureBeef_ProductionRegion,$D106,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0.57999999999999996</v>
      </c>
      <c r="F106" s="49">
        <f>InputFunctions_PastureBeef.LookupValueFromStateRegionSeason($E$7,X_Cell_PastureBeef_ProductionRegion,$D106,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0.57999999999999996</v>
      </c>
      <c r="G106" s="49">
        <f>InputFunctions_PastureBeef.LookupValueFromStateRegionSeason($E$7,X_Cell_PastureBeef_ProductionRegion,$D106,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0.57999999999999996</v>
      </c>
      <c r="H106" s="49">
        <f>InputFunctions_PastureBeef.LookupValueFromStateRegionSeason($E$7,X_Cell_PastureBeef_ProductionRegion,$D106,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0.57999999999999996</v>
      </c>
      <c r="I106" s="49">
        <f>InputFunctions_PastureBeef.LookupValueFromStateRegionSeason($E$7,X_Cell_PastureBeef_ProductionRegion,$D106,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0.57999999999999996</v>
      </c>
      <c r="J106" s="49">
        <f>InputFunctions_PastureBeef.LookupValueFromStateRegionSeason($E$7,X_Cell_PastureBeef_ProductionRegion,$D106,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0.57999999999999996</v>
      </c>
      <c r="K106" s="49">
        <f>InputFunctions_PastureBeef.LookupValueFromStateRegionSeason($E$7,X_Cell_PastureBeef_ProductionRegion,$D106,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0.57999999999999996</v>
      </c>
      <c r="L106" s="49">
        <f>InputFunctions_PastureBeef.LookupValueFromStateRegionSeason($E$7,X_Cell_PastureBeef_ProductionRegion,$D106,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0.57999999999999996</v>
      </c>
      <c r="M106" s="49">
        <f>InputFunctions_PastureBeef.LookupValueFromStateRegionSeason($E$7,X_Cell_PastureBeef_ProductionRegion,$D106,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0.57999999999999996</v>
      </c>
      <c r="N106" s="49">
        <f>InputFunctions_PastureBeef.LookupValueFromStateRegionSeason($E$7,X_Cell_PastureBeef_ProductionRegion,$D106,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0.57999999999999996</v>
      </c>
      <c r="O106" s="2" t="s">
        <v>112</v>
      </c>
      <c r="T106" s="7"/>
    </row>
    <row r="107" spans="4:20" ht="20.100000000000001" customHeight="1" x14ac:dyDescent="0.25">
      <c r="D107" s="1" t="s">
        <v>136</v>
      </c>
      <c r="E107" s="49">
        <f>InputFunctions_PastureBeef.LookupValueFromStateRegionSeason($E$7,X_Cell_PastureBeef_ProductionRegion,$D107,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0.5</v>
      </c>
      <c r="F107" s="49">
        <f>InputFunctions_PastureBeef.LookupValueFromStateRegionSeason($E$7,X_Cell_PastureBeef_ProductionRegion,$D107,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0.5</v>
      </c>
      <c r="G107" s="49">
        <f>InputFunctions_PastureBeef.LookupValueFromStateRegionSeason($E$7,X_Cell_PastureBeef_ProductionRegion,$D107,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0.5</v>
      </c>
      <c r="H107" s="49">
        <f>InputFunctions_PastureBeef.LookupValueFromStateRegionSeason($E$7,X_Cell_PastureBeef_ProductionRegion,$D107,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0.5</v>
      </c>
      <c r="I107" s="49">
        <f>InputFunctions_PastureBeef.LookupValueFromStateRegionSeason($E$7,X_Cell_PastureBeef_ProductionRegion,$D107,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0.5</v>
      </c>
      <c r="J107" s="49">
        <f>InputFunctions_PastureBeef.LookupValueFromStateRegionSeason($E$7,X_Cell_PastureBeef_ProductionRegion,$D107,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0.5</v>
      </c>
      <c r="K107" s="49">
        <f>InputFunctions_PastureBeef.LookupValueFromStateRegionSeason($E$7,X_Cell_PastureBeef_ProductionRegion,$D107,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0.5</v>
      </c>
      <c r="L107" s="49">
        <f>InputFunctions_PastureBeef.LookupValueFromStateRegionSeason($E$7,X_Cell_PastureBeef_ProductionRegion,$D107,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0.5</v>
      </c>
      <c r="M107" s="49">
        <f>InputFunctions_PastureBeef.LookupValueFromStateRegionSeason($E$7,X_Cell_PastureBeef_ProductionRegion,$D107,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0.5</v>
      </c>
      <c r="N107" s="49">
        <f>InputFunctions_PastureBeef.LookupValueFromStateRegionSeason($E$7,X_Cell_PastureBeef_ProductionRegion,$D107,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0.5</v>
      </c>
      <c r="O107" s="2" t="s">
        <v>112</v>
      </c>
    </row>
    <row r="108" spans="4:20" ht="20.100000000000001" customHeight="1" x14ac:dyDescent="0.25">
      <c r="D108" s="1" t="s">
        <v>137</v>
      </c>
      <c r="E108" s="49">
        <f>InputFunctions_PastureBeef.LookupValueFromStateRegionSeason($E$7,X_Cell_PastureBeef_ProductionRegion,$D108,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0.75</v>
      </c>
      <c r="F108" s="49">
        <f>InputFunctions_PastureBeef.LookupValueFromStateRegionSeason($E$7,X_Cell_PastureBeef_ProductionRegion,$D108,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0.75</v>
      </c>
      <c r="G108" s="49">
        <f>InputFunctions_PastureBeef.LookupValueFromStateRegionSeason($E$7,X_Cell_PastureBeef_ProductionRegion,$D108,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0.75</v>
      </c>
      <c r="H108" s="49">
        <f>InputFunctions_PastureBeef.LookupValueFromStateRegionSeason($E$7,X_Cell_PastureBeef_ProductionRegion,$D108,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0.75</v>
      </c>
      <c r="I108" s="49">
        <f>InputFunctions_PastureBeef.LookupValueFromStateRegionSeason($E$7,X_Cell_PastureBeef_ProductionRegion,$D108,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0.75</v>
      </c>
      <c r="J108" s="49">
        <f>InputFunctions_PastureBeef.LookupValueFromStateRegionSeason($E$7,X_Cell_PastureBeef_ProductionRegion,$D108,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0.75</v>
      </c>
      <c r="K108" s="49">
        <f>InputFunctions_PastureBeef.LookupValueFromStateRegionSeason($E$7,X_Cell_PastureBeef_ProductionRegion,$D108,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0.75</v>
      </c>
      <c r="L108" s="49">
        <f>InputFunctions_PastureBeef.LookupValueFromStateRegionSeason($E$7,X_Cell_PastureBeef_ProductionRegion,$D108,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0.75</v>
      </c>
      <c r="M108" s="49">
        <f>InputFunctions_PastureBeef.LookupValueFromStateRegionSeason($E$7,X_Cell_PastureBeef_ProductionRegion,$D108,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0.75</v>
      </c>
      <c r="N108" s="49">
        <f>InputFunctions_PastureBeef.LookupValueFromStateRegionSeason($E$7,X_Cell_PastureBeef_ProductionRegion,$D108,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0.75</v>
      </c>
      <c r="O108" s="2" t="s">
        <v>112</v>
      </c>
    </row>
    <row r="109" spans="4:20" ht="20.100000000000001" customHeight="1" x14ac:dyDescent="0.25"/>
    <row r="110" spans="4:20" ht="20.100000000000001" customHeight="1" x14ac:dyDescent="0.25">
      <c r="D110" s="59" t="s">
        <v>141</v>
      </c>
      <c r="E110" s="59" t="s">
        <v>103</v>
      </c>
      <c r="F110" s="59" t="s">
        <v>102</v>
      </c>
      <c r="G110" s="59" t="s">
        <v>126</v>
      </c>
      <c r="H110" s="59" t="s">
        <v>127</v>
      </c>
      <c r="I110" s="59" t="s">
        <v>128</v>
      </c>
      <c r="J110" s="59" t="s">
        <v>129</v>
      </c>
      <c r="K110" s="59" t="s">
        <v>130</v>
      </c>
      <c r="L110" s="59" t="s">
        <v>131</v>
      </c>
      <c r="M110" s="59" t="s">
        <v>132</v>
      </c>
      <c r="N110" s="59" t="s">
        <v>133</v>
      </c>
    </row>
    <row r="111" spans="4:20" ht="20.100000000000001" customHeight="1" x14ac:dyDescent="0.25">
      <c r="D111" s="1" t="str">
        <f>TEXT(X_Cell_Site_StartDate, "mmmm yyyy")</f>
        <v>January 2024</v>
      </c>
      <c r="E111" s="61">
        <f>InputFunctions_PastureBeef.LookupValueFromStateRegionMonth($E$7,X_Cell_PastureBeef_ProductionRegion,$D111,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F111" s="61">
        <f>InputFunctions_PastureBeef.LookupValueFromStateRegionMonth($E$7,X_Cell_PastureBeef_ProductionRegion,$D111,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G111" s="61">
        <f>InputFunctions_PastureBeef.LookupValueFromStateRegionMonth($E$7,X_Cell_PastureBeef_ProductionRegion,$D111,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H111" s="61">
        <f>InputFunctions_PastureBeef.LookupValueFromStateRegionMonth($E$7,X_Cell_PastureBeef_ProductionRegion,$D111,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I111" s="61">
        <f>InputFunctions_PastureBeef.LookupValueFromStateRegionMonth($E$7,X_Cell_PastureBeef_ProductionRegion,$D111,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J111" s="61">
        <f>InputFunctions_PastureBeef.LookupValueFromStateRegionMonth($E$7,X_Cell_PastureBeef_ProductionRegion,$D111,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K111" s="61">
        <f>InputFunctions_PastureBeef.LookupValueFromStateRegionMonth($E$7,X_Cell_PastureBeef_ProductionRegion,$D111,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L111" s="61">
        <f>InputFunctions_PastureBeef.LookupValueFromStateRegionMonth($E$7,X_Cell_PastureBeef_ProductionRegion,$D111,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M111" s="61">
        <f>InputFunctions_PastureBeef.LookupValueFromStateRegionMonth($E$7,X_Cell_PastureBeef_ProductionRegion,$D111,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N111" s="61">
        <f>InputFunctions_PastureBeef.LookupValueFromStateRegionMonth($E$7,X_Cell_PastureBeef_ProductionRegion,$D111,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O111" s="2" t="s">
        <v>112</v>
      </c>
    </row>
    <row r="112" spans="4:20" ht="20.100000000000001" customHeight="1" x14ac:dyDescent="0.25">
      <c r="D112" s="1" t="str">
        <f>TEXT(EDATE(X_Cell_Site_StartDate,1), "mmmm yyyy")</f>
        <v>February 2024</v>
      </c>
      <c r="E112" s="61">
        <f>InputFunctions_PastureBeef.LookupValueFromStateRegionMonth($E$7,X_Cell_PastureBeef_ProductionRegion,$D112,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F112" s="61">
        <f>InputFunctions_PastureBeef.LookupValueFromStateRegionMonth($E$7,X_Cell_PastureBeef_ProductionRegion,$D112,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G112" s="61">
        <f>InputFunctions_PastureBeef.LookupValueFromStateRegionMonth($E$7,X_Cell_PastureBeef_ProductionRegion,$D112,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H112" s="61">
        <f>InputFunctions_PastureBeef.LookupValueFromStateRegionMonth($E$7,X_Cell_PastureBeef_ProductionRegion,$D112,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I112" s="61">
        <f>InputFunctions_PastureBeef.LookupValueFromStateRegionMonth($E$7,X_Cell_PastureBeef_ProductionRegion,$D112,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J112" s="61">
        <f>InputFunctions_PastureBeef.LookupValueFromStateRegionMonth($E$7,X_Cell_PastureBeef_ProductionRegion,$D112,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K112" s="61">
        <f>InputFunctions_PastureBeef.LookupValueFromStateRegionMonth($E$7,X_Cell_PastureBeef_ProductionRegion,$D112,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L112" s="61">
        <f>InputFunctions_PastureBeef.LookupValueFromStateRegionMonth($E$7,X_Cell_PastureBeef_ProductionRegion,$D112,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M112" s="61">
        <f>InputFunctions_PastureBeef.LookupValueFromStateRegionMonth($E$7,X_Cell_PastureBeef_ProductionRegion,$D112,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N112" s="61">
        <f>InputFunctions_PastureBeef.LookupValueFromStateRegionMonth($E$7,X_Cell_PastureBeef_ProductionRegion,$D112,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O112" s="2" t="s">
        <v>112</v>
      </c>
    </row>
    <row r="113" spans="4:15" ht="20.100000000000001" customHeight="1" x14ac:dyDescent="0.25">
      <c r="D113" s="1" t="str">
        <f>TEXT(EDATE(X_Cell_Site_StartDate,2), "mmmm yyyy")</f>
        <v>March 2024</v>
      </c>
      <c r="E113" s="61">
        <f>InputFunctions_PastureBeef.LookupValueFromStateRegionMonth($E$7,X_Cell_PastureBeef_ProductionRegion,$D113,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F113" s="61">
        <f>InputFunctions_PastureBeef.LookupValueFromStateRegionMonth($E$7,X_Cell_PastureBeef_ProductionRegion,$D113,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G113" s="61">
        <f>InputFunctions_PastureBeef.LookupValueFromStateRegionMonth($E$7,X_Cell_PastureBeef_ProductionRegion,$D113,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H113" s="61">
        <f>InputFunctions_PastureBeef.LookupValueFromStateRegionMonth($E$7,X_Cell_PastureBeef_ProductionRegion,$D113,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I113" s="61">
        <f>InputFunctions_PastureBeef.LookupValueFromStateRegionMonth($E$7,X_Cell_PastureBeef_ProductionRegion,$D113,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J113" s="61">
        <f>InputFunctions_PastureBeef.LookupValueFromStateRegionMonth($E$7,X_Cell_PastureBeef_ProductionRegion,$D113,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K113" s="61">
        <f>InputFunctions_PastureBeef.LookupValueFromStateRegionMonth($E$7,X_Cell_PastureBeef_ProductionRegion,$D113,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L113" s="61">
        <f>InputFunctions_PastureBeef.LookupValueFromStateRegionMonth($E$7,X_Cell_PastureBeef_ProductionRegion,$D113,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M113" s="61">
        <f>InputFunctions_PastureBeef.LookupValueFromStateRegionMonth($E$7,X_Cell_PastureBeef_ProductionRegion,$D113,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N113" s="61">
        <f>InputFunctions_PastureBeef.LookupValueFromStateRegionMonth($E$7,X_Cell_PastureBeef_ProductionRegion,$D113,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O113" s="2" t="s">
        <v>112</v>
      </c>
    </row>
    <row r="114" spans="4:15" ht="20.100000000000001" customHeight="1" x14ac:dyDescent="0.25">
      <c r="D114" s="1" t="str">
        <f>TEXT(EDATE(X_Cell_Site_StartDate,3), "mmmm yyyy")</f>
        <v>April 2024</v>
      </c>
      <c r="E114" s="61">
        <f>InputFunctions_PastureBeef.LookupValueFromStateRegionMonth($E$7,X_Cell_PastureBeef_ProductionRegion,$D114,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F114" s="61">
        <f>InputFunctions_PastureBeef.LookupValueFromStateRegionMonth($E$7,X_Cell_PastureBeef_ProductionRegion,$D114,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G114" s="61">
        <f>InputFunctions_PastureBeef.LookupValueFromStateRegionMonth($E$7,X_Cell_PastureBeef_ProductionRegion,$D114,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H114" s="61">
        <f>InputFunctions_PastureBeef.LookupValueFromStateRegionMonth($E$7,X_Cell_PastureBeef_ProductionRegion,$D114,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I114" s="61">
        <f>InputFunctions_PastureBeef.LookupValueFromStateRegionMonth($E$7,X_Cell_PastureBeef_ProductionRegion,$D114,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J114" s="61">
        <f>InputFunctions_PastureBeef.LookupValueFromStateRegionMonth($E$7,X_Cell_PastureBeef_ProductionRegion,$D114,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K114" s="61">
        <f>InputFunctions_PastureBeef.LookupValueFromStateRegionMonth($E$7,X_Cell_PastureBeef_ProductionRegion,$D114,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L114" s="61">
        <f>InputFunctions_PastureBeef.LookupValueFromStateRegionMonth($E$7,X_Cell_PastureBeef_ProductionRegion,$D114,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M114" s="61">
        <f>InputFunctions_PastureBeef.LookupValueFromStateRegionMonth($E$7,X_Cell_PastureBeef_ProductionRegion,$D114,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N114" s="61">
        <f>InputFunctions_PastureBeef.LookupValueFromStateRegionMonth($E$7,X_Cell_PastureBeef_ProductionRegion,$D114,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O114" s="2" t="s">
        <v>112</v>
      </c>
    </row>
    <row r="115" spans="4:15" ht="20.100000000000001" customHeight="1" x14ac:dyDescent="0.25">
      <c r="D115" s="1" t="str">
        <f>TEXT(EDATE(X_Cell_Site_StartDate,4), "mmmm yyyy")</f>
        <v>May 2024</v>
      </c>
      <c r="E115" s="61">
        <f>InputFunctions_PastureBeef.LookupValueFromStateRegionMonth($E$7,X_Cell_PastureBeef_ProductionRegion,$D115,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F115" s="61">
        <f>InputFunctions_PastureBeef.LookupValueFromStateRegionMonth($E$7,X_Cell_PastureBeef_ProductionRegion,$D115,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G115" s="61">
        <f>InputFunctions_PastureBeef.LookupValueFromStateRegionMonth($E$7,X_Cell_PastureBeef_ProductionRegion,$D115,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H115" s="61">
        <f>InputFunctions_PastureBeef.LookupValueFromStateRegionMonth($E$7,X_Cell_PastureBeef_ProductionRegion,$D115,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I115" s="61">
        <f>InputFunctions_PastureBeef.LookupValueFromStateRegionMonth($E$7,X_Cell_PastureBeef_ProductionRegion,$D115,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J115" s="61">
        <f>InputFunctions_PastureBeef.LookupValueFromStateRegionMonth($E$7,X_Cell_PastureBeef_ProductionRegion,$D115,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K115" s="61">
        <f>InputFunctions_PastureBeef.LookupValueFromStateRegionMonth($E$7,X_Cell_PastureBeef_ProductionRegion,$D115,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L115" s="61">
        <f>InputFunctions_PastureBeef.LookupValueFromStateRegionMonth($E$7,X_Cell_PastureBeef_ProductionRegion,$D115,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M115" s="61">
        <f>InputFunctions_PastureBeef.LookupValueFromStateRegionMonth($E$7,X_Cell_PastureBeef_ProductionRegion,$D115,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N115" s="61">
        <f>InputFunctions_PastureBeef.LookupValueFromStateRegionMonth($E$7,X_Cell_PastureBeef_ProductionRegion,$D115,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O115" s="2" t="s">
        <v>112</v>
      </c>
    </row>
    <row r="116" spans="4:15" ht="20.100000000000001" customHeight="1" x14ac:dyDescent="0.25">
      <c r="D116" s="1" t="str">
        <f>TEXT(EDATE(X_Cell_Site_StartDate,5), "mmmm yyyy")</f>
        <v>June 2024</v>
      </c>
      <c r="E116" s="61">
        <f>InputFunctions_PastureBeef.LookupValueFromStateRegionMonth($E$7,X_Cell_PastureBeef_ProductionRegion,$D116,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F116" s="61">
        <f>InputFunctions_PastureBeef.LookupValueFromStateRegionMonth($E$7,X_Cell_PastureBeef_ProductionRegion,$D116,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G116" s="61">
        <f>InputFunctions_PastureBeef.LookupValueFromStateRegionMonth($E$7,X_Cell_PastureBeef_ProductionRegion,$D116,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H116" s="61">
        <f>InputFunctions_PastureBeef.LookupValueFromStateRegionMonth($E$7,X_Cell_PastureBeef_ProductionRegion,$D116,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I116" s="61">
        <f>InputFunctions_PastureBeef.LookupValueFromStateRegionMonth($E$7,X_Cell_PastureBeef_ProductionRegion,$D116,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J116" s="61">
        <f>InputFunctions_PastureBeef.LookupValueFromStateRegionMonth($E$7,X_Cell_PastureBeef_ProductionRegion,$D116,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K116" s="61">
        <f>InputFunctions_PastureBeef.LookupValueFromStateRegionMonth($E$7,X_Cell_PastureBeef_ProductionRegion,$D116,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L116" s="61">
        <f>InputFunctions_PastureBeef.LookupValueFromStateRegionMonth($E$7,X_Cell_PastureBeef_ProductionRegion,$D116,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M116" s="61">
        <f>InputFunctions_PastureBeef.LookupValueFromStateRegionMonth($E$7,X_Cell_PastureBeef_ProductionRegion,$D116,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N116" s="61">
        <f>InputFunctions_PastureBeef.LookupValueFromStateRegionMonth($E$7,X_Cell_PastureBeef_ProductionRegion,$D116,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O116" s="2" t="s">
        <v>112</v>
      </c>
    </row>
    <row r="117" spans="4:15" ht="20.100000000000001" customHeight="1" x14ac:dyDescent="0.25">
      <c r="D117" s="1" t="str">
        <f>TEXT(EDATE(X_Cell_Site_StartDate,6), "mmmm yyyy")</f>
        <v>July 2024</v>
      </c>
      <c r="E117" s="61">
        <f>InputFunctions_PastureBeef.LookupValueFromStateRegionMonth($E$7,X_Cell_PastureBeef_ProductionRegion,$D117,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F117" s="61">
        <f>InputFunctions_PastureBeef.LookupValueFromStateRegionMonth($E$7,X_Cell_PastureBeef_ProductionRegion,$D117,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G117" s="61">
        <f>InputFunctions_PastureBeef.LookupValueFromStateRegionMonth($E$7,X_Cell_PastureBeef_ProductionRegion,$D117,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H117" s="61">
        <f>InputFunctions_PastureBeef.LookupValueFromStateRegionMonth($E$7,X_Cell_PastureBeef_ProductionRegion,$D117,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I117" s="61">
        <f>InputFunctions_PastureBeef.LookupValueFromStateRegionMonth($E$7,X_Cell_PastureBeef_ProductionRegion,$D117,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J117" s="61">
        <f>InputFunctions_PastureBeef.LookupValueFromStateRegionMonth($E$7,X_Cell_PastureBeef_ProductionRegion,$D117,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K117" s="61">
        <f>InputFunctions_PastureBeef.LookupValueFromStateRegionMonth($E$7,X_Cell_PastureBeef_ProductionRegion,$D117,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L117" s="61">
        <f>InputFunctions_PastureBeef.LookupValueFromStateRegionMonth($E$7,X_Cell_PastureBeef_ProductionRegion,$D117,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M117" s="61">
        <f>InputFunctions_PastureBeef.LookupValueFromStateRegionMonth($E$7,X_Cell_PastureBeef_ProductionRegion,$D117,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N117" s="61">
        <f>InputFunctions_PastureBeef.LookupValueFromStateRegionMonth($E$7,X_Cell_PastureBeef_ProductionRegion,$D117,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O117" s="2" t="s">
        <v>112</v>
      </c>
    </row>
    <row r="118" spans="4:15" ht="20.100000000000001" customHeight="1" x14ac:dyDescent="0.25">
      <c r="D118" s="1" t="str">
        <f>TEXT(EDATE(X_Cell_Site_StartDate,7), "mmmm yyyy")</f>
        <v>August 2024</v>
      </c>
      <c r="E118" s="61">
        <f>InputFunctions_PastureBeef.LookupValueFromStateRegionMonth($E$7,X_Cell_PastureBeef_ProductionRegion,$D118,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F118" s="61">
        <f>InputFunctions_PastureBeef.LookupValueFromStateRegionMonth($E$7,X_Cell_PastureBeef_ProductionRegion,$D118,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G118" s="61">
        <f>InputFunctions_PastureBeef.LookupValueFromStateRegionMonth($E$7,X_Cell_PastureBeef_ProductionRegion,$D118,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H118" s="61">
        <f>InputFunctions_PastureBeef.LookupValueFromStateRegionMonth($E$7,X_Cell_PastureBeef_ProductionRegion,$D118,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I118" s="61">
        <f>InputFunctions_PastureBeef.LookupValueFromStateRegionMonth($E$7,X_Cell_PastureBeef_ProductionRegion,$D118,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J118" s="61">
        <f>InputFunctions_PastureBeef.LookupValueFromStateRegionMonth($E$7,X_Cell_PastureBeef_ProductionRegion,$D118,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K118" s="61">
        <f>InputFunctions_PastureBeef.LookupValueFromStateRegionMonth($E$7,X_Cell_PastureBeef_ProductionRegion,$D118,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L118" s="61">
        <f>InputFunctions_PastureBeef.LookupValueFromStateRegionMonth($E$7,X_Cell_PastureBeef_ProductionRegion,$D118,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M118" s="61">
        <f>InputFunctions_PastureBeef.LookupValueFromStateRegionMonth($E$7,X_Cell_PastureBeef_ProductionRegion,$D118,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N118" s="61">
        <f>InputFunctions_PastureBeef.LookupValueFromStateRegionMonth($E$7,X_Cell_PastureBeef_ProductionRegion,$D118,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O118" s="2" t="s">
        <v>112</v>
      </c>
    </row>
    <row r="119" spans="4:15" ht="20.100000000000001" customHeight="1" x14ac:dyDescent="0.25">
      <c r="D119" s="1" t="str">
        <f>TEXT(EDATE(X_Cell_Site_StartDate,8), "mmmm yyyy")</f>
        <v>September 2024</v>
      </c>
      <c r="E119" s="61">
        <f>InputFunctions_PastureBeef.LookupValueFromStateRegionMonth($E$7,X_Cell_PastureBeef_ProductionRegion,$D119,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F119" s="61">
        <f>InputFunctions_PastureBeef.LookupValueFromStateRegionMonth($E$7,X_Cell_PastureBeef_ProductionRegion,$D119,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G119" s="61">
        <f>InputFunctions_PastureBeef.LookupValueFromStateRegionMonth($E$7,X_Cell_PastureBeef_ProductionRegion,$D119,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H119" s="61">
        <f>InputFunctions_PastureBeef.LookupValueFromStateRegionMonth($E$7,X_Cell_PastureBeef_ProductionRegion,$D119,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I119" s="61">
        <f>InputFunctions_PastureBeef.LookupValueFromStateRegionMonth($E$7,X_Cell_PastureBeef_ProductionRegion,$D119,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J119" s="61">
        <f>InputFunctions_PastureBeef.LookupValueFromStateRegionMonth($E$7,X_Cell_PastureBeef_ProductionRegion,$D119,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K119" s="61">
        <f>InputFunctions_PastureBeef.LookupValueFromStateRegionMonth($E$7,X_Cell_PastureBeef_ProductionRegion,$D119,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L119" s="61">
        <f>InputFunctions_PastureBeef.LookupValueFromStateRegionMonth($E$7,X_Cell_PastureBeef_ProductionRegion,$D119,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M119" s="61">
        <f>InputFunctions_PastureBeef.LookupValueFromStateRegionMonth($E$7,X_Cell_PastureBeef_ProductionRegion,$D119,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N119" s="61">
        <f>InputFunctions_PastureBeef.LookupValueFromStateRegionMonth($E$7,X_Cell_PastureBeef_ProductionRegion,$D119,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O119" s="2" t="s">
        <v>112</v>
      </c>
    </row>
    <row r="120" spans="4:15" ht="20.100000000000001" customHeight="1" x14ac:dyDescent="0.25">
      <c r="D120" s="1" t="str">
        <f>TEXT(EDATE(X_Cell_Site_StartDate,9), "mmmm yyyy")</f>
        <v>October 2024</v>
      </c>
      <c r="E120" s="61">
        <f>InputFunctions_PastureBeef.LookupValueFromStateRegionMonth($E$7,X_Cell_PastureBeef_ProductionRegion,$D120,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F120" s="61">
        <f>InputFunctions_PastureBeef.LookupValueFromStateRegionMonth($E$7,X_Cell_PastureBeef_ProductionRegion,$D120,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G120" s="61">
        <f>InputFunctions_PastureBeef.LookupValueFromStateRegionMonth($E$7,X_Cell_PastureBeef_ProductionRegion,$D120,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H120" s="61">
        <f>InputFunctions_PastureBeef.LookupValueFromStateRegionMonth($E$7,X_Cell_PastureBeef_ProductionRegion,$D120,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I120" s="61">
        <f>InputFunctions_PastureBeef.LookupValueFromStateRegionMonth($E$7,X_Cell_PastureBeef_ProductionRegion,$D120,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J120" s="61">
        <f>InputFunctions_PastureBeef.LookupValueFromStateRegionMonth($E$7,X_Cell_PastureBeef_ProductionRegion,$D120,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K120" s="61">
        <f>InputFunctions_PastureBeef.LookupValueFromStateRegionMonth($E$7,X_Cell_PastureBeef_ProductionRegion,$D120,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L120" s="61">
        <f>InputFunctions_PastureBeef.LookupValueFromStateRegionMonth($E$7,X_Cell_PastureBeef_ProductionRegion,$D120,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M120" s="61">
        <f>InputFunctions_PastureBeef.LookupValueFromStateRegionMonth($E$7,X_Cell_PastureBeef_ProductionRegion,$D120,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N120" s="61">
        <f>InputFunctions_PastureBeef.LookupValueFromStateRegionMonth($E$7,X_Cell_PastureBeef_ProductionRegion,$D120,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O120" s="2" t="s">
        <v>112</v>
      </c>
    </row>
    <row r="121" spans="4:15" ht="20.100000000000001" customHeight="1" x14ac:dyDescent="0.25">
      <c r="D121" s="1" t="str">
        <f>TEXT(EDATE(X_Cell_Site_StartDate,10), "mmmm yyyy")</f>
        <v>November 2024</v>
      </c>
      <c r="E121" s="61">
        <f>InputFunctions_PastureBeef.LookupValueFromStateRegionMonth($E$7,X_Cell_PastureBeef_ProductionRegion,$D121,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F121" s="61">
        <f>InputFunctions_PastureBeef.LookupValueFromStateRegionMonth($E$7,X_Cell_PastureBeef_ProductionRegion,$D121,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G121" s="61">
        <f>InputFunctions_PastureBeef.LookupValueFromStateRegionMonth($E$7,X_Cell_PastureBeef_ProductionRegion,$D121,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H121" s="61">
        <f>InputFunctions_PastureBeef.LookupValueFromStateRegionMonth($E$7,X_Cell_PastureBeef_ProductionRegion,$D121,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I121" s="61">
        <f>InputFunctions_PastureBeef.LookupValueFromStateRegionMonth($E$7,X_Cell_PastureBeef_ProductionRegion,$D121,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J121" s="61">
        <f>InputFunctions_PastureBeef.LookupValueFromStateRegionMonth($E$7,X_Cell_PastureBeef_ProductionRegion,$D121,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K121" s="61">
        <f>InputFunctions_PastureBeef.LookupValueFromStateRegionMonth($E$7,X_Cell_PastureBeef_ProductionRegion,$D121,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L121" s="61">
        <f>InputFunctions_PastureBeef.LookupValueFromStateRegionMonth($E$7,X_Cell_PastureBeef_ProductionRegion,$D121,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M121" s="61">
        <f>InputFunctions_PastureBeef.LookupValueFromStateRegionMonth($E$7,X_Cell_PastureBeef_ProductionRegion,$D121,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N121" s="61">
        <f>InputFunctions_PastureBeef.LookupValueFromStateRegionMonth($E$7,X_Cell_PastureBeef_ProductionRegion,$D121,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O121" s="2" t="s">
        <v>112</v>
      </c>
    </row>
    <row r="122" spans="4:15" ht="20.100000000000001" customHeight="1" x14ac:dyDescent="0.25">
      <c r="D122" s="1" t="str">
        <f>TEXT(EDATE(X_Cell_Site_StartDate,11), "mmmm yyyy")</f>
        <v>December 2024</v>
      </c>
      <c r="E122" s="61">
        <f>InputFunctions_PastureBeef.LookupValueFromStateRegionMonth($E$7,X_Cell_PastureBeef_ProductionRegion,$D122,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F122" s="61">
        <f>InputFunctions_PastureBeef.LookupValueFromStateRegionMonth($E$7,X_Cell_PastureBeef_ProductionRegion,$D122,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G122" s="61">
        <f>InputFunctions_PastureBeef.LookupValueFromStateRegionMonth($E$7,X_Cell_PastureBeef_ProductionRegion,$D122,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H122" s="61">
        <f>InputFunctions_PastureBeef.LookupValueFromStateRegionMonth($E$7,X_Cell_PastureBeef_ProductionRegion,$D122,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I122" s="61">
        <f>InputFunctions_PastureBeef.LookupValueFromStateRegionMonth($E$7,X_Cell_PastureBeef_ProductionRegion,$D122,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J122" s="61">
        <f>InputFunctions_PastureBeef.LookupValueFromStateRegionMonth($E$7,X_Cell_PastureBeef_ProductionRegion,$D122,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K122" s="61">
        <f>InputFunctions_PastureBeef.LookupValueFromStateRegionMonth($E$7,X_Cell_PastureBeef_ProductionRegion,$D122,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L122" s="61">
        <f>InputFunctions_PastureBeef.LookupValueFromStateRegionMonth($E$7,X_Cell_PastureBeef_ProductionRegion,$D122,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M122" s="61">
        <f>InputFunctions_PastureBeef.LookupValueFromStateRegionMonth($E$7,X_Cell_PastureBeef_ProductionRegion,$D122,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N122" s="61">
        <f>InputFunctions_PastureBeef.LookupValueFromStateRegionMonth($E$7,X_Cell_PastureBeef_ProductionRegion,$D122,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O122" s="2" t="s">
        <v>112</v>
      </c>
    </row>
    <row r="123" spans="4:15" ht="20.100000000000001" customHeight="1" x14ac:dyDescent="0.25"/>
    <row r="124" spans="4:15" ht="20.100000000000001" customHeight="1" x14ac:dyDescent="0.25"/>
    <row r="125" spans="4:15" ht="20.100000000000001" customHeight="1" x14ac:dyDescent="0.25">
      <c r="D125" s="45" t="s">
        <v>83</v>
      </c>
      <c r="K125" s="2"/>
      <c r="L125" s="2"/>
      <c r="M125" s="2"/>
      <c r="N125" s="2"/>
      <c r="O125" s="2"/>
    </row>
    <row r="126" spans="4:15" ht="20.100000000000001" customHeight="1" x14ac:dyDescent="0.25">
      <c r="D126" s="59" t="s">
        <v>140</v>
      </c>
      <c r="E126" s="59" t="s">
        <v>103</v>
      </c>
      <c r="F126" s="59" t="s">
        <v>102</v>
      </c>
      <c r="G126" s="59" t="s">
        <v>126</v>
      </c>
      <c r="H126" s="59" t="s">
        <v>127</v>
      </c>
      <c r="I126" s="59" t="s">
        <v>128</v>
      </c>
      <c r="J126" s="59" t="s">
        <v>129</v>
      </c>
      <c r="K126" s="59" t="s">
        <v>130</v>
      </c>
      <c r="L126" s="59" t="s">
        <v>131</v>
      </c>
      <c r="M126" s="59" t="s">
        <v>132</v>
      </c>
      <c r="N126" s="59" t="s">
        <v>133</v>
      </c>
    </row>
    <row r="127" spans="4:15" ht="20.100000000000001" customHeight="1" x14ac:dyDescent="0.25">
      <c r="D127" s="1" t="s">
        <v>134</v>
      </c>
      <c r="E127" s="49">
        <f>InputFunctions_PastureBeef.LookupValueFromStateRegionSeason($E$7,X_Cell_PastureBeef_ProductionRegion,$D127, Table_SourceData_PastureBeef_CrudeProtein[State],Table_SourceData_PastureBeef_CrudeProtein[Region],Table_SourceData_PastureBeef_CrudeProtein[#Headers],Table_SourceData_PastureBeef_CrudeProtein[],Table_AustralianStates[Common Name],Table_AustralianStates[Abbreviation])</f>
        <v>0.2</v>
      </c>
      <c r="F127" s="49">
        <f>InputFunctions_PastureBeef.LookupValueFromStateRegionSeason($E$7,X_Cell_PastureBeef_ProductionRegion,$D127, Table_SourceData_PastureBeef_CrudeProtein[State],Table_SourceData_PastureBeef_CrudeProtein[Region],Table_SourceData_PastureBeef_CrudeProtein[#Headers],Table_SourceData_PastureBeef_CrudeProtein[],Table_AustralianStates[Common Name],Table_AustralianStates[Abbreviation])</f>
        <v>0.2</v>
      </c>
      <c r="G127" s="49">
        <f>InputFunctions_PastureBeef.LookupValueFromStateRegionSeason($E$7,X_Cell_PastureBeef_ProductionRegion,$D127, Table_SourceData_PastureBeef_CrudeProtein[State],Table_SourceData_PastureBeef_CrudeProtein[Region],Table_SourceData_PastureBeef_CrudeProtein[#Headers],Table_SourceData_PastureBeef_CrudeProtein[],Table_AustralianStates[Common Name],Table_AustralianStates[Abbreviation])</f>
        <v>0.2</v>
      </c>
      <c r="H127" s="49">
        <f>InputFunctions_PastureBeef.LookupValueFromStateRegionSeason($E$7,X_Cell_PastureBeef_ProductionRegion,$D127, Table_SourceData_PastureBeef_CrudeProtein[State],Table_SourceData_PastureBeef_CrudeProtein[Region],Table_SourceData_PastureBeef_CrudeProtein[#Headers],Table_SourceData_PastureBeef_CrudeProtein[],Table_AustralianStates[Common Name],Table_AustralianStates[Abbreviation])</f>
        <v>0.2</v>
      </c>
      <c r="I127" s="49">
        <f>InputFunctions_PastureBeef.LookupValueFromStateRegionSeason($E$7,X_Cell_PastureBeef_ProductionRegion,$D127, Table_SourceData_PastureBeef_CrudeProtein[State],Table_SourceData_PastureBeef_CrudeProtein[Region],Table_SourceData_PastureBeef_CrudeProtein[#Headers],Table_SourceData_PastureBeef_CrudeProtein[],Table_AustralianStates[Common Name],Table_AustralianStates[Abbreviation])</f>
        <v>0.2</v>
      </c>
      <c r="J127" s="49">
        <f>InputFunctions_PastureBeef.LookupValueFromStateRegionSeason($E$7,X_Cell_PastureBeef_ProductionRegion,$D127, Table_SourceData_PastureBeef_CrudeProtein[State],Table_SourceData_PastureBeef_CrudeProtein[Region],Table_SourceData_PastureBeef_CrudeProtein[#Headers],Table_SourceData_PastureBeef_CrudeProtein[],Table_AustralianStates[Common Name],Table_AustralianStates[Abbreviation])</f>
        <v>0.2</v>
      </c>
      <c r="K127" s="49">
        <f>InputFunctions_PastureBeef.LookupValueFromStateRegionSeason($E$7,X_Cell_PastureBeef_ProductionRegion,$D127, Table_SourceData_PastureBeef_CrudeProtein[State],Table_SourceData_PastureBeef_CrudeProtein[Region],Table_SourceData_PastureBeef_CrudeProtein[#Headers],Table_SourceData_PastureBeef_CrudeProtein[],Table_AustralianStates[Common Name],Table_AustralianStates[Abbreviation])</f>
        <v>0.2</v>
      </c>
      <c r="L127" s="49">
        <f>InputFunctions_PastureBeef.LookupValueFromStateRegionSeason($E$7,X_Cell_PastureBeef_ProductionRegion,$D127, Table_SourceData_PastureBeef_CrudeProtein[State],Table_SourceData_PastureBeef_CrudeProtein[Region],Table_SourceData_PastureBeef_CrudeProtein[#Headers],Table_SourceData_PastureBeef_CrudeProtein[],Table_AustralianStates[Common Name],Table_AustralianStates[Abbreviation])</f>
        <v>0.2</v>
      </c>
      <c r="M127" s="49">
        <f>InputFunctions_PastureBeef.LookupValueFromStateRegionSeason($E$7,X_Cell_PastureBeef_ProductionRegion,$D127, Table_SourceData_PastureBeef_CrudeProtein[State],Table_SourceData_PastureBeef_CrudeProtein[Region],Table_SourceData_PastureBeef_CrudeProtein[#Headers],Table_SourceData_PastureBeef_CrudeProtein[],Table_AustralianStates[Common Name],Table_AustralianStates[Abbreviation])</f>
        <v>0.2</v>
      </c>
      <c r="N127" s="49">
        <f>InputFunctions_PastureBeef.LookupValueFromStateRegionSeason($E$7,X_Cell_PastureBeef_ProductionRegion,$D127, Table_SourceData_PastureBeef_CrudeProtein[State],Table_SourceData_PastureBeef_CrudeProtein[Region],Table_SourceData_PastureBeef_CrudeProtein[#Headers],Table_SourceData_PastureBeef_CrudeProtein[],Table_AustralianStates[Common Name],Table_AustralianStates[Abbreviation])</f>
        <v>0.2</v>
      </c>
      <c r="O127" s="2" t="s">
        <v>112</v>
      </c>
    </row>
    <row r="128" spans="4:15" ht="20.100000000000001" customHeight="1" x14ac:dyDescent="0.25">
      <c r="D128" s="1" t="s">
        <v>135</v>
      </c>
      <c r="E128" s="49">
        <f>InputFunctions_PastureBeef.LookupValueFromStateRegionSeason($E$7,X_Cell_PastureBeef_ProductionRegion,$D128, Table_SourceData_PastureBeef_CrudeProtein[State],Table_SourceData_PastureBeef_CrudeProtein[Region],Table_SourceData_PastureBeef_CrudeProtein[#Headers],Table_SourceData_PastureBeef_CrudeProtein[],Table_AustralianStates[Common Name],Table_AustralianStates[Abbreviation])</f>
        <v>0.09</v>
      </c>
      <c r="F128" s="49">
        <f>InputFunctions_PastureBeef.LookupValueFromStateRegionSeason($E$7,X_Cell_PastureBeef_ProductionRegion,$D128, Table_SourceData_PastureBeef_CrudeProtein[State],Table_SourceData_PastureBeef_CrudeProtein[Region],Table_SourceData_PastureBeef_CrudeProtein[#Headers],Table_SourceData_PastureBeef_CrudeProtein[],Table_AustralianStates[Common Name],Table_AustralianStates[Abbreviation])</f>
        <v>0.09</v>
      </c>
      <c r="G128" s="49">
        <f>InputFunctions_PastureBeef.LookupValueFromStateRegionSeason($E$7,X_Cell_PastureBeef_ProductionRegion,$D128, Table_SourceData_PastureBeef_CrudeProtein[State],Table_SourceData_PastureBeef_CrudeProtein[Region],Table_SourceData_PastureBeef_CrudeProtein[#Headers],Table_SourceData_PastureBeef_CrudeProtein[],Table_AustralianStates[Common Name],Table_AustralianStates[Abbreviation])</f>
        <v>0.09</v>
      </c>
      <c r="H128" s="49">
        <f>InputFunctions_PastureBeef.LookupValueFromStateRegionSeason($E$7,X_Cell_PastureBeef_ProductionRegion,$D128, Table_SourceData_PastureBeef_CrudeProtein[State],Table_SourceData_PastureBeef_CrudeProtein[Region],Table_SourceData_PastureBeef_CrudeProtein[#Headers],Table_SourceData_PastureBeef_CrudeProtein[],Table_AustralianStates[Common Name],Table_AustralianStates[Abbreviation])</f>
        <v>0.09</v>
      </c>
      <c r="I128" s="49">
        <f>InputFunctions_PastureBeef.LookupValueFromStateRegionSeason($E$7,X_Cell_PastureBeef_ProductionRegion,$D128, Table_SourceData_PastureBeef_CrudeProtein[State],Table_SourceData_PastureBeef_CrudeProtein[Region],Table_SourceData_PastureBeef_CrudeProtein[#Headers],Table_SourceData_PastureBeef_CrudeProtein[],Table_AustralianStates[Common Name],Table_AustralianStates[Abbreviation])</f>
        <v>0.09</v>
      </c>
      <c r="J128" s="49">
        <f>InputFunctions_PastureBeef.LookupValueFromStateRegionSeason($E$7,X_Cell_PastureBeef_ProductionRegion,$D128, Table_SourceData_PastureBeef_CrudeProtein[State],Table_SourceData_PastureBeef_CrudeProtein[Region],Table_SourceData_PastureBeef_CrudeProtein[#Headers],Table_SourceData_PastureBeef_CrudeProtein[],Table_AustralianStates[Common Name],Table_AustralianStates[Abbreviation])</f>
        <v>0.09</v>
      </c>
      <c r="K128" s="49">
        <f>InputFunctions_PastureBeef.LookupValueFromStateRegionSeason($E$7,X_Cell_PastureBeef_ProductionRegion,$D128, Table_SourceData_PastureBeef_CrudeProtein[State],Table_SourceData_PastureBeef_CrudeProtein[Region],Table_SourceData_PastureBeef_CrudeProtein[#Headers],Table_SourceData_PastureBeef_CrudeProtein[],Table_AustralianStates[Common Name],Table_AustralianStates[Abbreviation])</f>
        <v>0.09</v>
      </c>
      <c r="L128" s="49">
        <f>InputFunctions_PastureBeef.LookupValueFromStateRegionSeason($E$7,X_Cell_PastureBeef_ProductionRegion,$D128, Table_SourceData_PastureBeef_CrudeProtein[State],Table_SourceData_PastureBeef_CrudeProtein[Region],Table_SourceData_PastureBeef_CrudeProtein[#Headers],Table_SourceData_PastureBeef_CrudeProtein[],Table_AustralianStates[Common Name],Table_AustralianStates[Abbreviation])</f>
        <v>0.09</v>
      </c>
      <c r="M128" s="49">
        <f>InputFunctions_PastureBeef.LookupValueFromStateRegionSeason($E$7,X_Cell_PastureBeef_ProductionRegion,$D128, Table_SourceData_PastureBeef_CrudeProtein[State],Table_SourceData_PastureBeef_CrudeProtein[Region],Table_SourceData_PastureBeef_CrudeProtein[#Headers],Table_SourceData_PastureBeef_CrudeProtein[],Table_AustralianStates[Common Name],Table_AustralianStates[Abbreviation])</f>
        <v>0.09</v>
      </c>
      <c r="N128" s="49">
        <f>InputFunctions_PastureBeef.LookupValueFromStateRegionSeason($E$7,X_Cell_PastureBeef_ProductionRegion,$D128, Table_SourceData_PastureBeef_CrudeProtein[State],Table_SourceData_PastureBeef_CrudeProtein[Region],Table_SourceData_PastureBeef_CrudeProtein[#Headers],Table_SourceData_PastureBeef_CrudeProtein[],Table_AustralianStates[Common Name],Table_AustralianStates[Abbreviation])</f>
        <v>0.09</v>
      </c>
      <c r="O128" s="2" t="s">
        <v>112</v>
      </c>
    </row>
    <row r="129" spans="4:15" ht="20.100000000000001" customHeight="1" x14ac:dyDescent="0.25">
      <c r="D129" s="1" t="s">
        <v>136</v>
      </c>
      <c r="E129" s="49">
        <f>InputFunctions_PastureBeef.LookupValueFromStateRegionSeason($E$7,X_Cell_PastureBeef_ProductionRegion,$D129, Table_SourceData_PastureBeef_CrudeProtein[State],Table_SourceData_PastureBeef_CrudeProtein[Region],Table_SourceData_PastureBeef_CrudeProtein[#Headers],Table_SourceData_PastureBeef_CrudeProtein[],Table_AustralianStates[Common Name],Table_AustralianStates[Abbreviation])</f>
        <v>0.06</v>
      </c>
      <c r="F129" s="49">
        <f>InputFunctions_PastureBeef.LookupValueFromStateRegionSeason($E$7,X_Cell_PastureBeef_ProductionRegion,$D129, Table_SourceData_PastureBeef_CrudeProtein[State],Table_SourceData_PastureBeef_CrudeProtein[Region],Table_SourceData_PastureBeef_CrudeProtein[#Headers],Table_SourceData_PastureBeef_CrudeProtein[],Table_AustralianStates[Common Name],Table_AustralianStates[Abbreviation])</f>
        <v>0.06</v>
      </c>
      <c r="G129" s="49">
        <f>InputFunctions_PastureBeef.LookupValueFromStateRegionSeason($E$7,X_Cell_PastureBeef_ProductionRegion,$D129, Table_SourceData_PastureBeef_CrudeProtein[State],Table_SourceData_PastureBeef_CrudeProtein[Region],Table_SourceData_PastureBeef_CrudeProtein[#Headers],Table_SourceData_PastureBeef_CrudeProtein[],Table_AustralianStates[Common Name],Table_AustralianStates[Abbreviation])</f>
        <v>0.06</v>
      </c>
      <c r="H129" s="49">
        <f>InputFunctions_PastureBeef.LookupValueFromStateRegionSeason($E$7,X_Cell_PastureBeef_ProductionRegion,$D129, Table_SourceData_PastureBeef_CrudeProtein[State],Table_SourceData_PastureBeef_CrudeProtein[Region],Table_SourceData_PastureBeef_CrudeProtein[#Headers],Table_SourceData_PastureBeef_CrudeProtein[],Table_AustralianStates[Common Name],Table_AustralianStates[Abbreviation])</f>
        <v>0.06</v>
      </c>
      <c r="I129" s="49">
        <f>InputFunctions_PastureBeef.LookupValueFromStateRegionSeason($E$7,X_Cell_PastureBeef_ProductionRegion,$D129, Table_SourceData_PastureBeef_CrudeProtein[State],Table_SourceData_PastureBeef_CrudeProtein[Region],Table_SourceData_PastureBeef_CrudeProtein[#Headers],Table_SourceData_PastureBeef_CrudeProtein[],Table_AustralianStates[Common Name],Table_AustralianStates[Abbreviation])</f>
        <v>0.06</v>
      </c>
      <c r="J129" s="49">
        <f>InputFunctions_PastureBeef.LookupValueFromStateRegionSeason($E$7,X_Cell_PastureBeef_ProductionRegion,$D129, Table_SourceData_PastureBeef_CrudeProtein[State],Table_SourceData_PastureBeef_CrudeProtein[Region],Table_SourceData_PastureBeef_CrudeProtein[#Headers],Table_SourceData_PastureBeef_CrudeProtein[],Table_AustralianStates[Common Name],Table_AustralianStates[Abbreviation])</f>
        <v>0.06</v>
      </c>
      <c r="K129" s="49">
        <f>InputFunctions_PastureBeef.LookupValueFromStateRegionSeason($E$7,X_Cell_PastureBeef_ProductionRegion,$D129, Table_SourceData_PastureBeef_CrudeProtein[State],Table_SourceData_PastureBeef_CrudeProtein[Region],Table_SourceData_PastureBeef_CrudeProtein[#Headers],Table_SourceData_PastureBeef_CrudeProtein[],Table_AustralianStates[Common Name],Table_AustralianStates[Abbreviation])</f>
        <v>0.06</v>
      </c>
      <c r="L129" s="49">
        <f>InputFunctions_PastureBeef.LookupValueFromStateRegionSeason($E$7,X_Cell_PastureBeef_ProductionRegion,$D129, Table_SourceData_PastureBeef_CrudeProtein[State],Table_SourceData_PastureBeef_CrudeProtein[Region],Table_SourceData_PastureBeef_CrudeProtein[#Headers],Table_SourceData_PastureBeef_CrudeProtein[],Table_AustralianStates[Common Name],Table_AustralianStates[Abbreviation])</f>
        <v>0.06</v>
      </c>
      <c r="M129" s="49">
        <f>InputFunctions_PastureBeef.LookupValueFromStateRegionSeason($E$7,X_Cell_PastureBeef_ProductionRegion,$D129, Table_SourceData_PastureBeef_CrudeProtein[State],Table_SourceData_PastureBeef_CrudeProtein[Region],Table_SourceData_PastureBeef_CrudeProtein[#Headers],Table_SourceData_PastureBeef_CrudeProtein[],Table_AustralianStates[Common Name],Table_AustralianStates[Abbreviation])</f>
        <v>0.06</v>
      </c>
      <c r="N129" s="49">
        <f>InputFunctions_PastureBeef.LookupValueFromStateRegionSeason($E$7,X_Cell_PastureBeef_ProductionRegion,$D129, Table_SourceData_PastureBeef_CrudeProtein[State],Table_SourceData_PastureBeef_CrudeProtein[Region],Table_SourceData_PastureBeef_CrudeProtein[#Headers],Table_SourceData_PastureBeef_CrudeProtein[],Table_AustralianStates[Common Name],Table_AustralianStates[Abbreviation])</f>
        <v>0.06</v>
      </c>
      <c r="O129" s="2" t="s">
        <v>112</v>
      </c>
    </row>
    <row r="130" spans="4:15" ht="20.100000000000001" customHeight="1" x14ac:dyDescent="0.25">
      <c r="D130" s="1" t="s">
        <v>137</v>
      </c>
      <c r="E130" s="49">
        <f>InputFunctions_PastureBeef.LookupValueFromStateRegionSeason($E$7,X_Cell_PastureBeef_ProductionRegion,$D130, Table_SourceData_PastureBeef_CrudeProtein[State],Table_SourceData_PastureBeef_CrudeProtein[Region],Table_SourceData_PastureBeef_CrudeProtein[#Headers],Table_SourceData_PastureBeef_CrudeProtein[],Table_AustralianStates[Common Name],Table_AustralianStates[Abbreviation])</f>
        <v>0.2</v>
      </c>
      <c r="F130" s="49">
        <f>InputFunctions_PastureBeef.LookupValueFromStateRegionSeason($E$7,X_Cell_PastureBeef_ProductionRegion,$D130, Table_SourceData_PastureBeef_CrudeProtein[State],Table_SourceData_PastureBeef_CrudeProtein[Region],Table_SourceData_PastureBeef_CrudeProtein[#Headers],Table_SourceData_PastureBeef_CrudeProtein[],Table_AustralianStates[Common Name],Table_AustralianStates[Abbreviation])</f>
        <v>0.2</v>
      </c>
      <c r="G130" s="49">
        <f>InputFunctions_PastureBeef.LookupValueFromStateRegionSeason($E$7,X_Cell_PastureBeef_ProductionRegion,$D130, Table_SourceData_PastureBeef_CrudeProtein[State],Table_SourceData_PastureBeef_CrudeProtein[Region],Table_SourceData_PastureBeef_CrudeProtein[#Headers],Table_SourceData_PastureBeef_CrudeProtein[],Table_AustralianStates[Common Name],Table_AustralianStates[Abbreviation])</f>
        <v>0.2</v>
      </c>
      <c r="H130" s="49">
        <f>InputFunctions_PastureBeef.LookupValueFromStateRegionSeason($E$7,X_Cell_PastureBeef_ProductionRegion,$D130, Table_SourceData_PastureBeef_CrudeProtein[State],Table_SourceData_PastureBeef_CrudeProtein[Region],Table_SourceData_PastureBeef_CrudeProtein[#Headers],Table_SourceData_PastureBeef_CrudeProtein[],Table_AustralianStates[Common Name],Table_AustralianStates[Abbreviation])</f>
        <v>0.2</v>
      </c>
      <c r="I130" s="49">
        <f>InputFunctions_PastureBeef.LookupValueFromStateRegionSeason($E$7,X_Cell_PastureBeef_ProductionRegion,$D130, Table_SourceData_PastureBeef_CrudeProtein[State],Table_SourceData_PastureBeef_CrudeProtein[Region],Table_SourceData_PastureBeef_CrudeProtein[#Headers],Table_SourceData_PastureBeef_CrudeProtein[],Table_AustralianStates[Common Name],Table_AustralianStates[Abbreviation])</f>
        <v>0.2</v>
      </c>
      <c r="J130" s="49">
        <f>InputFunctions_PastureBeef.LookupValueFromStateRegionSeason($E$7,X_Cell_PastureBeef_ProductionRegion,$D130, Table_SourceData_PastureBeef_CrudeProtein[State],Table_SourceData_PastureBeef_CrudeProtein[Region],Table_SourceData_PastureBeef_CrudeProtein[#Headers],Table_SourceData_PastureBeef_CrudeProtein[],Table_AustralianStates[Common Name],Table_AustralianStates[Abbreviation])</f>
        <v>0.2</v>
      </c>
      <c r="K130" s="49">
        <f>InputFunctions_PastureBeef.LookupValueFromStateRegionSeason($E$7,X_Cell_PastureBeef_ProductionRegion,$D130, Table_SourceData_PastureBeef_CrudeProtein[State],Table_SourceData_PastureBeef_CrudeProtein[Region],Table_SourceData_PastureBeef_CrudeProtein[#Headers],Table_SourceData_PastureBeef_CrudeProtein[],Table_AustralianStates[Common Name],Table_AustralianStates[Abbreviation])</f>
        <v>0.2</v>
      </c>
      <c r="L130" s="49">
        <f>InputFunctions_PastureBeef.LookupValueFromStateRegionSeason($E$7,X_Cell_PastureBeef_ProductionRegion,$D130, Table_SourceData_PastureBeef_CrudeProtein[State],Table_SourceData_PastureBeef_CrudeProtein[Region],Table_SourceData_PastureBeef_CrudeProtein[#Headers],Table_SourceData_PastureBeef_CrudeProtein[],Table_AustralianStates[Common Name],Table_AustralianStates[Abbreviation])</f>
        <v>0.2</v>
      </c>
      <c r="M130" s="49">
        <f>InputFunctions_PastureBeef.LookupValueFromStateRegionSeason($E$7,X_Cell_PastureBeef_ProductionRegion,$D130, Table_SourceData_PastureBeef_CrudeProtein[State],Table_SourceData_PastureBeef_CrudeProtein[Region],Table_SourceData_PastureBeef_CrudeProtein[#Headers],Table_SourceData_PastureBeef_CrudeProtein[],Table_AustralianStates[Common Name],Table_AustralianStates[Abbreviation])</f>
        <v>0.2</v>
      </c>
      <c r="N130" s="49">
        <f>InputFunctions_PastureBeef.LookupValueFromStateRegionSeason($E$7,X_Cell_PastureBeef_ProductionRegion,$D130, Table_SourceData_PastureBeef_CrudeProtein[State],Table_SourceData_PastureBeef_CrudeProtein[Region],Table_SourceData_PastureBeef_CrudeProtein[#Headers],Table_SourceData_PastureBeef_CrudeProtein[],Table_AustralianStates[Common Name],Table_AustralianStates[Abbreviation])</f>
        <v>0.2</v>
      </c>
      <c r="O130" s="2" t="s">
        <v>112</v>
      </c>
    </row>
    <row r="131" spans="4:15" ht="20.100000000000001" customHeight="1" x14ac:dyDescent="0.25"/>
    <row r="132" spans="4:15" ht="20.100000000000001" customHeight="1" x14ac:dyDescent="0.25">
      <c r="D132" s="59" t="s">
        <v>141</v>
      </c>
      <c r="E132" s="59" t="s">
        <v>103</v>
      </c>
      <c r="F132" s="59" t="s">
        <v>102</v>
      </c>
      <c r="G132" s="59" t="s">
        <v>126</v>
      </c>
      <c r="H132" s="59" t="s">
        <v>127</v>
      </c>
      <c r="I132" s="59" t="s">
        <v>128</v>
      </c>
      <c r="J132" s="59" t="s">
        <v>129</v>
      </c>
      <c r="K132" s="59" t="s">
        <v>130</v>
      </c>
      <c r="L132" s="59" t="s">
        <v>131</v>
      </c>
      <c r="M132" s="59" t="s">
        <v>132</v>
      </c>
      <c r="N132" s="59" t="s">
        <v>133</v>
      </c>
    </row>
    <row r="133" spans="4:15" ht="20.100000000000001" customHeight="1" x14ac:dyDescent="0.25">
      <c r="D133" s="1" t="str">
        <f>TEXT(X_Cell_Site_StartDate, "mmmm yyyy")</f>
        <v>January 2024</v>
      </c>
      <c r="E133" s="61">
        <f>InputFunctions_PastureBeef.LookupValueFromStateRegionMonth($E$7,X_Cell_PastureBeef_ProductionRegion,$D133,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F133" s="61">
        <f>InputFunctions_PastureBeef.LookupValueFromStateRegionMonth($E$7,X_Cell_PastureBeef_ProductionRegion,$D133,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G133" s="61">
        <f>InputFunctions_PastureBeef.LookupValueFromStateRegionMonth($E$7,X_Cell_PastureBeef_ProductionRegion,$D133,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H133" s="61">
        <f>InputFunctions_PastureBeef.LookupValueFromStateRegionMonth($E$7,X_Cell_PastureBeef_ProductionRegion,$D133,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I133" s="61">
        <f>InputFunctions_PastureBeef.LookupValueFromStateRegionMonth($E$7,X_Cell_PastureBeef_ProductionRegion,$D133,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J133" s="61">
        <f>InputFunctions_PastureBeef.LookupValueFromStateRegionMonth($E$7,X_Cell_PastureBeef_ProductionRegion,$D133,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K133" s="61">
        <f>InputFunctions_PastureBeef.LookupValueFromStateRegionMonth($E$7,X_Cell_PastureBeef_ProductionRegion,$D133,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L133" s="61">
        <f>InputFunctions_PastureBeef.LookupValueFromStateRegionMonth($E$7,X_Cell_PastureBeef_ProductionRegion,$D133,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M133" s="61">
        <f>InputFunctions_PastureBeef.LookupValueFromStateRegionMonth($E$7,X_Cell_PastureBeef_ProductionRegion,$D133,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N133" s="61">
        <f>InputFunctions_PastureBeef.LookupValueFromStateRegionMonth($E$7,X_Cell_PastureBeef_ProductionRegion,$D133,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O133" s="2" t="s">
        <v>112</v>
      </c>
    </row>
    <row r="134" spans="4:15" ht="20.100000000000001" customHeight="1" x14ac:dyDescent="0.25">
      <c r="D134" s="1" t="str">
        <f>TEXT(EDATE(X_Cell_Site_StartDate,1), "mmmm yyyy")</f>
        <v>February 2024</v>
      </c>
      <c r="E134" s="61">
        <f>InputFunctions_PastureBeef.LookupValueFromStateRegionMonth($E$7,X_Cell_PastureBeef_ProductionRegion,$D134,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F134" s="61">
        <f>InputFunctions_PastureBeef.LookupValueFromStateRegionMonth($E$7,X_Cell_PastureBeef_ProductionRegion,$D134,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G134" s="61">
        <f>InputFunctions_PastureBeef.LookupValueFromStateRegionMonth($E$7,X_Cell_PastureBeef_ProductionRegion,$D134,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H134" s="61">
        <f>InputFunctions_PastureBeef.LookupValueFromStateRegionMonth($E$7,X_Cell_PastureBeef_ProductionRegion,$D134,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I134" s="61">
        <f>InputFunctions_PastureBeef.LookupValueFromStateRegionMonth($E$7,X_Cell_PastureBeef_ProductionRegion,$D134,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J134" s="61">
        <f>InputFunctions_PastureBeef.LookupValueFromStateRegionMonth($E$7,X_Cell_PastureBeef_ProductionRegion,$D134,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K134" s="61">
        <f>InputFunctions_PastureBeef.LookupValueFromStateRegionMonth($E$7,X_Cell_PastureBeef_ProductionRegion,$D134,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L134" s="61">
        <f>InputFunctions_PastureBeef.LookupValueFromStateRegionMonth($E$7,X_Cell_PastureBeef_ProductionRegion,$D134,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M134" s="61">
        <f>InputFunctions_PastureBeef.LookupValueFromStateRegionMonth($E$7,X_Cell_PastureBeef_ProductionRegion,$D134,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N134" s="61">
        <f>InputFunctions_PastureBeef.LookupValueFromStateRegionMonth($E$7,X_Cell_PastureBeef_ProductionRegion,$D134,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O134" s="2" t="s">
        <v>112</v>
      </c>
    </row>
    <row r="135" spans="4:15" ht="20.100000000000001" customHeight="1" x14ac:dyDescent="0.25">
      <c r="D135" s="1" t="str">
        <f>TEXT(EDATE(X_Cell_Site_StartDate,2), "mmmm yyyy")</f>
        <v>March 2024</v>
      </c>
      <c r="E135" s="61">
        <f>InputFunctions_PastureBeef.LookupValueFromStateRegionMonth($E$7,X_Cell_PastureBeef_ProductionRegion,$D135,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F135" s="61">
        <f>InputFunctions_PastureBeef.LookupValueFromStateRegionMonth($E$7,X_Cell_PastureBeef_ProductionRegion,$D135,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G135" s="61">
        <f>InputFunctions_PastureBeef.LookupValueFromStateRegionMonth($E$7,X_Cell_PastureBeef_ProductionRegion,$D135,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H135" s="61">
        <f>InputFunctions_PastureBeef.LookupValueFromStateRegionMonth($E$7,X_Cell_PastureBeef_ProductionRegion,$D135,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I135" s="61">
        <f>InputFunctions_PastureBeef.LookupValueFromStateRegionMonth($E$7,X_Cell_PastureBeef_ProductionRegion,$D135,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J135" s="61">
        <f>InputFunctions_PastureBeef.LookupValueFromStateRegionMonth($E$7,X_Cell_PastureBeef_ProductionRegion,$D135,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K135" s="61">
        <f>InputFunctions_PastureBeef.LookupValueFromStateRegionMonth($E$7,X_Cell_PastureBeef_ProductionRegion,$D135,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L135" s="61">
        <f>InputFunctions_PastureBeef.LookupValueFromStateRegionMonth($E$7,X_Cell_PastureBeef_ProductionRegion,$D135,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M135" s="61">
        <f>InputFunctions_PastureBeef.LookupValueFromStateRegionMonth($E$7,X_Cell_PastureBeef_ProductionRegion,$D135,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N135" s="61">
        <f>InputFunctions_PastureBeef.LookupValueFromStateRegionMonth($E$7,X_Cell_PastureBeef_ProductionRegion,$D135,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O135" s="2" t="s">
        <v>112</v>
      </c>
    </row>
    <row r="136" spans="4:15" ht="20.100000000000001" customHeight="1" x14ac:dyDescent="0.25">
      <c r="D136" s="1" t="str">
        <f>TEXT(EDATE(X_Cell_Site_StartDate,3), "mmmm yyyy")</f>
        <v>April 2024</v>
      </c>
      <c r="E136" s="61">
        <f>InputFunctions_PastureBeef.LookupValueFromStateRegionMonth($E$7,X_Cell_PastureBeef_ProductionRegion,$D136,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F136" s="61">
        <f>InputFunctions_PastureBeef.LookupValueFromStateRegionMonth($E$7,X_Cell_PastureBeef_ProductionRegion,$D136,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G136" s="61">
        <f>InputFunctions_PastureBeef.LookupValueFromStateRegionMonth($E$7,X_Cell_PastureBeef_ProductionRegion,$D136,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H136" s="61">
        <f>InputFunctions_PastureBeef.LookupValueFromStateRegionMonth($E$7,X_Cell_PastureBeef_ProductionRegion,$D136,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I136" s="61">
        <f>InputFunctions_PastureBeef.LookupValueFromStateRegionMonth($E$7,X_Cell_PastureBeef_ProductionRegion,$D136,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J136" s="61">
        <f>InputFunctions_PastureBeef.LookupValueFromStateRegionMonth($E$7,X_Cell_PastureBeef_ProductionRegion,$D136,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K136" s="61">
        <f>InputFunctions_PastureBeef.LookupValueFromStateRegionMonth($E$7,X_Cell_PastureBeef_ProductionRegion,$D136,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L136" s="61">
        <f>InputFunctions_PastureBeef.LookupValueFromStateRegionMonth($E$7,X_Cell_PastureBeef_ProductionRegion,$D136,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M136" s="61">
        <f>InputFunctions_PastureBeef.LookupValueFromStateRegionMonth($E$7,X_Cell_PastureBeef_ProductionRegion,$D136,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N136" s="61">
        <f>InputFunctions_PastureBeef.LookupValueFromStateRegionMonth($E$7,X_Cell_PastureBeef_ProductionRegion,$D136,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O136" s="2" t="s">
        <v>112</v>
      </c>
    </row>
    <row r="137" spans="4:15" ht="20.100000000000001" customHeight="1" x14ac:dyDescent="0.25">
      <c r="D137" s="1" t="str">
        <f>TEXT(EDATE(X_Cell_Site_StartDate,4), "mmmm yyyy")</f>
        <v>May 2024</v>
      </c>
      <c r="E137" s="61">
        <f>InputFunctions_PastureBeef.LookupValueFromStateRegionMonth($E$7,X_Cell_PastureBeef_ProductionRegion,$D137,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F137" s="61">
        <f>InputFunctions_PastureBeef.LookupValueFromStateRegionMonth($E$7,X_Cell_PastureBeef_ProductionRegion,$D137,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G137" s="61">
        <f>InputFunctions_PastureBeef.LookupValueFromStateRegionMonth($E$7,X_Cell_PastureBeef_ProductionRegion,$D137,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H137" s="61">
        <f>InputFunctions_PastureBeef.LookupValueFromStateRegionMonth($E$7,X_Cell_PastureBeef_ProductionRegion,$D137,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I137" s="61">
        <f>InputFunctions_PastureBeef.LookupValueFromStateRegionMonth($E$7,X_Cell_PastureBeef_ProductionRegion,$D137,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J137" s="61">
        <f>InputFunctions_PastureBeef.LookupValueFromStateRegionMonth($E$7,X_Cell_PastureBeef_ProductionRegion,$D137,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K137" s="61">
        <f>InputFunctions_PastureBeef.LookupValueFromStateRegionMonth($E$7,X_Cell_PastureBeef_ProductionRegion,$D137,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L137" s="61">
        <f>InputFunctions_PastureBeef.LookupValueFromStateRegionMonth($E$7,X_Cell_PastureBeef_ProductionRegion,$D137,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M137" s="61">
        <f>InputFunctions_PastureBeef.LookupValueFromStateRegionMonth($E$7,X_Cell_PastureBeef_ProductionRegion,$D137,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N137" s="61">
        <f>InputFunctions_PastureBeef.LookupValueFromStateRegionMonth($E$7,X_Cell_PastureBeef_ProductionRegion,$D137,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O137" s="2" t="s">
        <v>112</v>
      </c>
    </row>
    <row r="138" spans="4:15" ht="20.100000000000001" customHeight="1" x14ac:dyDescent="0.25">
      <c r="D138" s="1" t="str">
        <f>TEXT(EDATE(X_Cell_Site_StartDate,5), "mmmm yyyy")</f>
        <v>June 2024</v>
      </c>
      <c r="E138" s="61">
        <f>InputFunctions_PastureBeef.LookupValueFromStateRegionMonth($E$7,X_Cell_PastureBeef_ProductionRegion,$D138,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F138" s="61">
        <f>InputFunctions_PastureBeef.LookupValueFromStateRegionMonth($E$7,X_Cell_PastureBeef_ProductionRegion,$D138,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G138" s="61">
        <f>InputFunctions_PastureBeef.LookupValueFromStateRegionMonth($E$7,X_Cell_PastureBeef_ProductionRegion,$D138,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H138" s="61">
        <f>InputFunctions_PastureBeef.LookupValueFromStateRegionMonth($E$7,X_Cell_PastureBeef_ProductionRegion,$D138,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I138" s="61">
        <f>InputFunctions_PastureBeef.LookupValueFromStateRegionMonth($E$7,X_Cell_PastureBeef_ProductionRegion,$D138,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J138" s="61">
        <f>InputFunctions_PastureBeef.LookupValueFromStateRegionMonth($E$7,X_Cell_PastureBeef_ProductionRegion,$D138,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K138" s="61">
        <f>InputFunctions_PastureBeef.LookupValueFromStateRegionMonth($E$7,X_Cell_PastureBeef_ProductionRegion,$D138,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L138" s="61">
        <f>InputFunctions_PastureBeef.LookupValueFromStateRegionMonth($E$7,X_Cell_PastureBeef_ProductionRegion,$D138,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M138" s="61">
        <f>InputFunctions_PastureBeef.LookupValueFromStateRegionMonth($E$7,X_Cell_PastureBeef_ProductionRegion,$D138,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N138" s="61">
        <f>InputFunctions_PastureBeef.LookupValueFromStateRegionMonth($E$7,X_Cell_PastureBeef_ProductionRegion,$D138,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O138" s="2" t="s">
        <v>112</v>
      </c>
    </row>
    <row r="139" spans="4:15" ht="20.100000000000001" customHeight="1" x14ac:dyDescent="0.25">
      <c r="D139" s="1" t="str">
        <f>TEXT(EDATE(X_Cell_Site_StartDate,6), "mmmm yyyy")</f>
        <v>July 2024</v>
      </c>
      <c r="E139" s="61">
        <f>InputFunctions_PastureBeef.LookupValueFromStateRegionMonth($E$7,X_Cell_PastureBeef_ProductionRegion,$D139,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F139" s="61">
        <f>InputFunctions_PastureBeef.LookupValueFromStateRegionMonth($E$7,X_Cell_PastureBeef_ProductionRegion,$D139,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G139" s="61">
        <f>InputFunctions_PastureBeef.LookupValueFromStateRegionMonth($E$7,X_Cell_PastureBeef_ProductionRegion,$D139,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H139" s="61">
        <f>InputFunctions_PastureBeef.LookupValueFromStateRegionMonth($E$7,X_Cell_PastureBeef_ProductionRegion,$D139,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I139" s="61">
        <f>InputFunctions_PastureBeef.LookupValueFromStateRegionMonth($E$7,X_Cell_PastureBeef_ProductionRegion,$D139,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J139" s="61">
        <f>InputFunctions_PastureBeef.LookupValueFromStateRegionMonth($E$7,X_Cell_PastureBeef_ProductionRegion,$D139,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K139" s="61">
        <f>InputFunctions_PastureBeef.LookupValueFromStateRegionMonth($E$7,X_Cell_PastureBeef_ProductionRegion,$D139,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L139" s="61">
        <f>InputFunctions_PastureBeef.LookupValueFromStateRegionMonth($E$7,X_Cell_PastureBeef_ProductionRegion,$D139,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M139" s="61">
        <f>InputFunctions_PastureBeef.LookupValueFromStateRegionMonth($E$7,X_Cell_PastureBeef_ProductionRegion,$D139,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N139" s="61">
        <f>InputFunctions_PastureBeef.LookupValueFromStateRegionMonth($E$7,X_Cell_PastureBeef_ProductionRegion,$D139,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O139" s="2" t="s">
        <v>112</v>
      </c>
    </row>
    <row r="140" spans="4:15" ht="20.100000000000001" customHeight="1" x14ac:dyDescent="0.25">
      <c r="D140" s="1" t="str">
        <f>TEXT(EDATE(X_Cell_Site_StartDate,7), "mmmm yyyy")</f>
        <v>August 2024</v>
      </c>
      <c r="E140" s="61">
        <f>InputFunctions_PastureBeef.LookupValueFromStateRegionMonth($E$7,X_Cell_PastureBeef_ProductionRegion,$D140,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F140" s="61">
        <f>InputFunctions_PastureBeef.LookupValueFromStateRegionMonth($E$7,X_Cell_PastureBeef_ProductionRegion,$D140,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G140" s="61">
        <f>InputFunctions_PastureBeef.LookupValueFromStateRegionMonth($E$7,X_Cell_PastureBeef_ProductionRegion,$D140,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H140" s="61">
        <f>InputFunctions_PastureBeef.LookupValueFromStateRegionMonth($E$7,X_Cell_PastureBeef_ProductionRegion,$D140,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I140" s="61">
        <f>InputFunctions_PastureBeef.LookupValueFromStateRegionMonth($E$7,X_Cell_PastureBeef_ProductionRegion,$D140,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J140" s="61">
        <f>InputFunctions_PastureBeef.LookupValueFromStateRegionMonth($E$7,X_Cell_PastureBeef_ProductionRegion,$D140,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K140" s="61">
        <f>InputFunctions_PastureBeef.LookupValueFromStateRegionMonth($E$7,X_Cell_PastureBeef_ProductionRegion,$D140,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L140" s="61">
        <f>InputFunctions_PastureBeef.LookupValueFromStateRegionMonth($E$7,X_Cell_PastureBeef_ProductionRegion,$D140,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M140" s="61">
        <f>InputFunctions_PastureBeef.LookupValueFromStateRegionMonth($E$7,X_Cell_PastureBeef_ProductionRegion,$D140,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N140" s="61">
        <f>InputFunctions_PastureBeef.LookupValueFromStateRegionMonth($E$7,X_Cell_PastureBeef_ProductionRegion,$D140,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O140" s="2" t="s">
        <v>112</v>
      </c>
    </row>
    <row r="141" spans="4:15" ht="20.100000000000001" customHeight="1" x14ac:dyDescent="0.25">
      <c r="D141" s="1" t="str">
        <f>TEXT(EDATE(X_Cell_Site_StartDate,8), "mmmm yyyy")</f>
        <v>September 2024</v>
      </c>
      <c r="E141" s="61">
        <f>InputFunctions_PastureBeef.LookupValueFromStateRegionMonth($E$7,X_Cell_PastureBeef_ProductionRegion,$D141,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F141" s="61">
        <f>InputFunctions_PastureBeef.LookupValueFromStateRegionMonth($E$7,X_Cell_PastureBeef_ProductionRegion,$D141,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G141" s="61">
        <f>InputFunctions_PastureBeef.LookupValueFromStateRegionMonth($E$7,X_Cell_PastureBeef_ProductionRegion,$D141,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H141" s="61">
        <f>InputFunctions_PastureBeef.LookupValueFromStateRegionMonth($E$7,X_Cell_PastureBeef_ProductionRegion,$D141,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I141" s="61">
        <f>InputFunctions_PastureBeef.LookupValueFromStateRegionMonth($E$7,X_Cell_PastureBeef_ProductionRegion,$D141,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J141" s="61">
        <f>InputFunctions_PastureBeef.LookupValueFromStateRegionMonth($E$7,X_Cell_PastureBeef_ProductionRegion,$D141,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K141" s="61">
        <f>InputFunctions_PastureBeef.LookupValueFromStateRegionMonth($E$7,X_Cell_PastureBeef_ProductionRegion,$D141,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L141" s="61">
        <f>InputFunctions_PastureBeef.LookupValueFromStateRegionMonth($E$7,X_Cell_PastureBeef_ProductionRegion,$D141,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M141" s="61">
        <f>InputFunctions_PastureBeef.LookupValueFromStateRegionMonth($E$7,X_Cell_PastureBeef_ProductionRegion,$D141,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N141" s="61">
        <f>InputFunctions_PastureBeef.LookupValueFromStateRegionMonth($E$7,X_Cell_PastureBeef_ProductionRegion,$D141,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O141" s="2" t="s">
        <v>112</v>
      </c>
    </row>
    <row r="142" spans="4:15" ht="20.100000000000001" customHeight="1" x14ac:dyDescent="0.25">
      <c r="D142" s="1" t="str">
        <f>TEXT(EDATE(X_Cell_Site_StartDate,9), "mmmm yyyy")</f>
        <v>October 2024</v>
      </c>
      <c r="E142" s="61">
        <f>InputFunctions_PastureBeef.LookupValueFromStateRegionMonth($E$7,X_Cell_PastureBeef_ProductionRegion,$D142,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F142" s="61">
        <f>InputFunctions_PastureBeef.LookupValueFromStateRegionMonth($E$7,X_Cell_PastureBeef_ProductionRegion,$D142,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G142" s="61">
        <f>InputFunctions_PastureBeef.LookupValueFromStateRegionMonth($E$7,X_Cell_PastureBeef_ProductionRegion,$D142,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H142" s="61">
        <f>InputFunctions_PastureBeef.LookupValueFromStateRegionMonth($E$7,X_Cell_PastureBeef_ProductionRegion,$D142,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I142" s="61">
        <f>InputFunctions_PastureBeef.LookupValueFromStateRegionMonth($E$7,X_Cell_PastureBeef_ProductionRegion,$D142,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J142" s="61">
        <f>InputFunctions_PastureBeef.LookupValueFromStateRegionMonth($E$7,X_Cell_PastureBeef_ProductionRegion,$D142,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K142" s="61">
        <f>InputFunctions_PastureBeef.LookupValueFromStateRegionMonth($E$7,X_Cell_PastureBeef_ProductionRegion,$D142,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L142" s="61">
        <f>InputFunctions_PastureBeef.LookupValueFromStateRegionMonth($E$7,X_Cell_PastureBeef_ProductionRegion,$D142,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M142" s="61">
        <f>InputFunctions_PastureBeef.LookupValueFromStateRegionMonth($E$7,X_Cell_PastureBeef_ProductionRegion,$D142,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N142" s="61">
        <f>InputFunctions_PastureBeef.LookupValueFromStateRegionMonth($E$7,X_Cell_PastureBeef_ProductionRegion,$D142,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O142" s="2" t="s">
        <v>112</v>
      </c>
    </row>
    <row r="143" spans="4:15" ht="20.100000000000001" customHeight="1" x14ac:dyDescent="0.25">
      <c r="D143" s="1" t="str">
        <f>TEXT(EDATE(X_Cell_Site_StartDate,10), "mmmm yyyy")</f>
        <v>November 2024</v>
      </c>
      <c r="E143" s="61">
        <f>InputFunctions_PastureBeef.LookupValueFromStateRegionMonth($E$7,X_Cell_PastureBeef_ProductionRegion,$D143,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F143" s="61">
        <f>InputFunctions_PastureBeef.LookupValueFromStateRegionMonth($E$7,X_Cell_PastureBeef_ProductionRegion,$D143,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G143" s="61">
        <f>InputFunctions_PastureBeef.LookupValueFromStateRegionMonth($E$7,X_Cell_PastureBeef_ProductionRegion,$D143,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H143" s="61">
        <f>InputFunctions_PastureBeef.LookupValueFromStateRegionMonth($E$7,X_Cell_PastureBeef_ProductionRegion,$D143,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I143" s="61">
        <f>InputFunctions_PastureBeef.LookupValueFromStateRegionMonth($E$7,X_Cell_PastureBeef_ProductionRegion,$D143,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J143" s="61">
        <f>InputFunctions_PastureBeef.LookupValueFromStateRegionMonth($E$7,X_Cell_PastureBeef_ProductionRegion,$D143,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K143" s="61">
        <f>InputFunctions_PastureBeef.LookupValueFromStateRegionMonth($E$7,X_Cell_PastureBeef_ProductionRegion,$D143,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L143" s="61">
        <f>InputFunctions_PastureBeef.LookupValueFromStateRegionMonth($E$7,X_Cell_PastureBeef_ProductionRegion,$D143,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M143" s="61">
        <f>InputFunctions_PastureBeef.LookupValueFromStateRegionMonth($E$7,X_Cell_PastureBeef_ProductionRegion,$D143,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N143" s="61">
        <f>InputFunctions_PastureBeef.LookupValueFromStateRegionMonth($E$7,X_Cell_PastureBeef_ProductionRegion,$D143,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O143" s="2" t="s">
        <v>112</v>
      </c>
    </row>
    <row r="144" spans="4:15" ht="20.100000000000001" customHeight="1" x14ac:dyDescent="0.25">
      <c r="D144" s="1" t="str">
        <f>TEXT(EDATE(X_Cell_Site_StartDate,11), "mmmm yyyy")</f>
        <v>December 2024</v>
      </c>
      <c r="E144" s="61">
        <f>InputFunctions_PastureBeef.LookupValueFromStateRegionMonth($E$7,X_Cell_PastureBeef_ProductionRegion,$D144,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F144" s="61">
        <f>InputFunctions_PastureBeef.LookupValueFromStateRegionMonth($E$7,X_Cell_PastureBeef_ProductionRegion,$D144,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G144" s="61">
        <f>InputFunctions_PastureBeef.LookupValueFromStateRegionMonth($E$7,X_Cell_PastureBeef_ProductionRegion,$D144,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H144" s="61">
        <f>InputFunctions_PastureBeef.LookupValueFromStateRegionMonth($E$7,X_Cell_PastureBeef_ProductionRegion,$D144,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I144" s="61">
        <f>InputFunctions_PastureBeef.LookupValueFromStateRegionMonth($E$7,X_Cell_PastureBeef_ProductionRegion,$D144,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J144" s="61">
        <f>InputFunctions_PastureBeef.LookupValueFromStateRegionMonth($E$7,X_Cell_PastureBeef_ProductionRegion,$D144,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K144" s="61">
        <f>InputFunctions_PastureBeef.LookupValueFromStateRegionMonth($E$7,X_Cell_PastureBeef_ProductionRegion,$D144,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L144" s="61">
        <f>InputFunctions_PastureBeef.LookupValueFromStateRegionMonth($E$7,X_Cell_PastureBeef_ProductionRegion,$D144,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M144" s="61">
        <f>InputFunctions_PastureBeef.LookupValueFromStateRegionMonth($E$7,X_Cell_PastureBeef_ProductionRegion,$D144,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N144" s="61">
        <f>InputFunctions_PastureBeef.LookupValueFromStateRegionMonth($E$7,X_Cell_PastureBeef_ProductionRegion,$D144,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O144" s="2" t="s">
        <v>112</v>
      </c>
    </row>
    <row r="145" spans="4:15" ht="20.100000000000001" customHeight="1" x14ac:dyDescent="0.25">
      <c r="L145" s="2"/>
      <c r="M145" s="2"/>
      <c r="N145" s="2"/>
      <c r="O145" s="2"/>
    </row>
    <row r="146" spans="4:15" ht="20.100000000000001" customHeight="1" x14ac:dyDescent="0.25">
      <c r="L146" s="2"/>
      <c r="M146" s="2"/>
      <c r="N146" s="2"/>
      <c r="O146" s="2"/>
    </row>
    <row r="147" spans="4:15" ht="20.100000000000001" customHeight="1" x14ac:dyDescent="0.25">
      <c r="D147" s="45" t="s">
        <v>219</v>
      </c>
      <c r="L147" s="2"/>
      <c r="M147" s="2"/>
      <c r="N147" s="2"/>
      <c r="O147" s="2"/>
    </row>
    <row r="148" spans="4:15" ht="20.100000000000001" customHeight="1" x14ac:dyDescent="0.25"/>
    <row r="149" spans="4:15" ht="20.100000000000001" customHeight="1" x14ac:dyDescent="0.25">
      <c r="D149" s="1" t="s">
        <v>220</v>
      </c>
      <c r="E149" s="37" t="s">
        <v>110</v>
      </c>
      <c r="F149" s="2" t="s">
        <v>7</v>
      </c>
      <c r="L149" s="2"/>
      <c r="M149" s="2"/>
      <c r="N149" s="2"/>
      <c r="O149" s="2"/>
    </row>
    <row r="150" spans="4:15" ht="20.100000000000001" customHeight="1" x14ac:dyDescent="0.25"/>
    <row r="151" spans="4:15" ht="20.100000000000001" customHeight="1" x14ac:dyDescent="0.25">
      <c r="D151" s="59" t="s">
        <v>15</v>
      </c>
      <c r="E151" s="59" t="s">
        <v>221</v>
      </c>
      <c r="L151" s="2"/>
      <c r="M151" s="2"/>
      <c r="N151" s="2"/>
      <c r="O151" s="2"/>
    </row>
    <row r="152" spans="4:15" ht="20.100000000000001" customHeight="1" x14ac:dyDescent="0.25">
      <c r="D152" s="1" t="s">
        <v>109</v>
      </c>
      <c r="E152" s="106">
        <f>IF(X_Cell_PastureBeef_FencedWater="Yes", 1, Common_InputFunctions.Utility_LookupValueInTableTwoColumns(Common_InputFunctions.Utility_ConvertStateCommonNameToAbbreviation($E$7, Table_AustralianStates[Common Name],Table_AustralianStates[Abbreviation]),X_Cell_PastureBeef_ProductionRegion,Table_SourceData_PastureBeef_FractionManureToMMS[State],Table_SourceData_PastureBeef_FractionManureToMMS[Region],Table_SourceData_PastureBeef_FractionManureToMMS[Pasture range and paddock]))/100</f>
        <v>0.99621999999999999</v>
      </c>
      <c r="F152" s="2" t="s">
        <v>13</v>
      </c>
      <c r="L152" s="2"/>
      <c r="M152" s="2"/>
      <c r="N152" s="2"/>
      <c r="O152" s="2"/>
    </row>
    <row r="153" spans="4:15" ht="20.100000000000001" customHeight="1" x14ac:dyDescent="0.25">
      <c r="D153" s="1" t="s">
        <v>222</v>
      </c>
      <c r="E153" s="106">
        <f>IF(X_Cell_PastureBeef_FencedWater="Yes", 0, Common_InputFunctions.Utility_LookupValueInTableTwoColumns(Common_InputFunctions.Utility_ConvertStateCommonNameToAbbreviation($E$7, Table_AustralianStates[Common Name],Table_AustralianStates[Abbreviation]),X_Cell_PastureBeef_ProductionRegion,Table_SourceData_PastureBeef_FractionManureToMMS[State],Table_SourceData_PastureBeef_FractionManureToMMS[Region],Table_SourceData_PastureBeef_FractionManureToMMS[Uncovered Anaerobic lagoon]))/100</f>
        <v>3.7799999999999999E-3</v>
      </c>
      <c r="F153" s="2" t="s">
        <v>13</v>
      </c>
      <c r="L153" s="2"/>
      <c r="M153" s="2"/>
      <c r="N153" s="2"/>
      <c r="O153" s="2"/>
    </row>
    <row r="154" spans="4:15" ht="20.100000000000001" customHeight="1" x14ac:dyDescent="0.25">
      <c r="L154" s="2"/>
      <c r="M154" s="2"/>
      <c r="N154" s="2"/>
      <c r="O154" s="2"/>
    </row>
    <row r="155" spans="4:15" ht="20.100000000000001" customHeight="1" x14ac:dyDescent="0.25"/>
    <row r="156" spans="4:15" ht="20.100000000000001" customHeight="1" x14ac:dyDescent="0.25">
      <c r="D156" s="1" t="s">
        <v>232</v>
      </c>
      <c r="E156" s="37" t="s">
        <v>234</v>
      </c>
      <c r="F156" s="2" t="s">
        <v>7</v>
      </c>
      <c r="L156" s="2"/>
      <c r="M156" s="2"/>
      <c r="N156" s="2"/>
      <c r="O156" s="2"/>
    </row>
    <row r="157" spans="4:15" ht="20.100000000000001" customHeight="1" x14ac:dyDescent="0.25">
      <c r="E157" s="37" t="s">
        <v>95</v>
      </c>
      <c r="F157" s="2" t="s">
        <v>7</v>
      </c>
    </row>
    <row r="158" spans="4:15" ht="20.100000000000001" customHeight="1" x14ac:dyDescent="0.25"/>
    <row r="159" spans="4:15" ht="20.100000000000001" customHeight="1" x14ac:dyDescent="0.25"/>
    <row r="160" spans="4:15" ht="20.100000000000001" customHeight="1" x14ac:dyDescent="0.25">
      <c r="D160" s="45" t="s">
        <v>190</v>
      </c>
      <c r="K160" s="2"/>
      <c r="L160" s="2"/>
      <c r="M160" s="2"/>
      <c r="N160" s="2"/>
      <c r="O160" s="2"/>
    </row>
    <row r="161" spans="4:15" ht="20.100000000000001" customHeight="1" x14ac:dyDescent="0.25">
      <c r="D161" s="59" t="s">
        <v>107</v>
      </c>
      <c r="E161" s="59"/>
      <c r="F161" s="59"/>
      <c r="G161" s="59"/>
    </row>
    <row r="162" spans="4:15" ht="20.100000000000001" customHeight="1" x14ac:dyDescent="0.25">
      <c r="D162" s="1" t="s">
        <v>207</v>
      </c>
      <c r="E162" s="37" t="s">
        <v>137</v>
      </c>
      <c r="F162" s="2" t="s">
        <v>7</v>
      </c>
    </row>
    <row r="163" spans="4:15" ht="20.100000000000001" customHeight="1" x14ac:dyDescent="0.25"/>
    <row r="164" spans="4:15" ht="20.100000000000001" customHeight="1" x14ac:dyDescent="0.25"/>
    <row r="165" spans="4:15" ht="20.100000000000001" customHeight="1" x14ac:dyDescent="0.25">
      <c r="K165" s="1" t="s">
        <v>295</v>
      </c>
    </row>
    <row r="166" spans="4:15" ht="20.100000000000001" customHeight="1" x14ac:dyDescent="0.25"/>
    <row r="167" spans="4:15" ht="20.100000000000001" customHeight="1" x14ac:dyDescent="0.25">
      <c r="E167" s="59" t="s">
        <v>296</v>
      </c>
      <c r="F167" s="59" t="s">
        <v>127</v>
      </c>
      <c r="G167" s="59" t="s">
        <v>128</v>
      </c>
      <c r="H167" s="59" t="s">
        <v>129</v>
      </c>
      <c r="L167" s="1" t="s">
        <v>126</v>
      </c>
      <c r="M167" s="1" t="s">
        <v>130</v>
      </c>
      <c r="N167" s="2"/>
      <c r="O167" s="2"/>
    </row>
    <row r="168" spans="4:15" ht="20.100000000000001" customHeight="1" x14ac:dyDescent="0.25">
      <c r="D168" s="1" t="str">
        <f>"Proportion of cows &gt; 1 years in calf in " &amp; E162</f>
        <v>Proportion of cows &gt; 1 years in calf in Winter</v>
      </c>
      <c r="E168" s="37" t="s">
        <v>297</v>
      </c>
      <c r="F168" s="43">
        <v>0.7</v>
      </c>
      <c r="G168" s="43">
        <v>0.5</v>
      </c>
      <c r="H168" s="43">
        <v>0.5</v>
      </c>
      <c r="I168" s="2" t="s">
        <v>13</v>
      </c>
      <c r="L168" s="49">
        <f>MAX(0, G42-G41)</f>
        <v>0</v>
      </c>
      <c r="M168" s="49">
        <f>MAX(0,K42-K41)</f>
        <v>0</v>
      </c>
      <c r="N168" s="2"/>
      <c r="O168" s="2"/>
    </row>
    <row r="169" spans="4:15" ht="20.100000000000001" customHeight="1" x14ac:dyDescent="0.25">
      <c r="D169" s="1" t="s">
        <v>134</v>
      </c>
      <c r="E169" s="37" t="s">
        <v>297</v>
      </c>
      <c r="F169" s="43">
        <v>0.1</v>
      </c>
      <c r="G169" s="43">
        <v>0.4</v>
      </c>
      <c r="H169" s="43">
        <v>0.4</v>
      </c>
      <c r="I169" s="2" t="s">
        <v>13</v>
      </c>
      <c r="L169" s="49">
        <f>MAX(0, G39-G42)</f>
        <v>0</v>
      </c>
      <c r="M169" s="49">
        <f>MAX(0,K39-K42)</f>
        <v>0</v>
      </c>
    </row>
    <row r="170" spans="4:15" ht="20.100000000000001" customHeight="1" x14ac:dyDescent="0.25">
      <c r="D170" s="1" t="s">
        <v>135</v>
      </c>
      <c r="E170" s="37" t="s">
        <v>297</v>
      </c>
      <c r="F170" s="43">
        <v>0.1</v>
      </c>
      <c r="G170" s="43">
        <v>0</v>
      </c>
      <c r="H170" s="43">
        <v>0</v>
      </c>
      <c r="I170" s="2" t="s">
        <v>13</v>
      </c>
      <c r="L170" s="49">
        <f>MAX(0, G40-G39)</f>
        <v>0</v>
      </c>
      <c r="M170" s="49">
        <f>MAX(0,K40-K39)</f>
        <v>0</v>
      </c>
    </row>
    <row r="171" spans="4:15" ht="20.100000000000001" customHeight="1" x14ac:dyDescent="0.25">
      <c r="D171" s="1" t="s">
        <v>136</v>
      </c>
      <c r="E171" s="37" t="s">
        <v>110</v>
      </c>
      <c r="F171" s="43">
        <v>0</v>
      </c>
      <c r="G171" s="43">
        <v>0</v>
      </c>
      <c r="H171" s="43">
        <v>0</v>
      </c>
      <c r="I171" s="2" t="s">
        <v>13</v>
      </c>
      <c r="L171" s="49">
        <f>MAX(0,G41-G40)</f>
        <v>0</v>
      </c>
      <c r="M171" s="49">
        <f>MAX(0,K41-K40)</f>
        <v>0</v>
      </c>
    </row>
    <row r="172" spans="4:15" ht="20.100000000000001" customHeight="1" x14ac:dyDescent="0.25">
      <c r="J172" s="1" t="s">
        <v>298</v>
      </c>
    </row>
    <row r="173" spans="4:15" ht="20.100000000000001" customHeight="1" x14ac:dyDescent="0.25"/>
    <row r="174" spans="4:15" ht="20.100000000000001" customHeight="1" x14ac:dyDescent="0.25"/>
    <row r="175" spans="4:15" ht="20.100000000000001" customHeight="1" x14ac:dyDescent="0.25">
      <c r="D175" s="59" t="s">
        <v>108</v>
      </c>
      <c r="E175" s="59"/>
      <c r="F175" s="59"/>
      <c r="G175" s="59"/>
      <c r="L175" s="119" t="s">
        <v>299</v>
      </c>
    </row>
    <row r="176" spans="4:15" ht="20.100000000000001" customHeight="1" x14ac:dyDescent="0.25">
      <c r="D176" s="1" t="s">
        <v>253</v>
      </c>
      <c r="E176" s="37" t="s">
        <v>251</v>
      </c>
      <c r="F176" s="2" t="s">
        <v>7</v>
      </c>
      <c r="J176" s="50" t="s">
        <v>103</v>
      </c>
    </row>
    <row r="177" spans="4:15" ht="20.100000000000001" customHeight="1" x14ac:dyDescent="0.25">
      <c r="D177" s="1" t="s">
        <v>249</v>
      </c>
      <c r="E177" s="49" t="str">
        <f>TEXT(EDATE(E176,1), "mmmm yyyy")</f>
        <v>September 2024</v>
      </c>
      <c r="J177" s="1" t="s">
        <v>81</v>
      </c>
      <c r="K177" s="1" t="s">
        <v>300</v>
      </c>
      <c r="L177" s="1" t="s">
        <v>298</v>
      </c>
      <c r="M177" s="1" t="s">
        <v>301</v>
      </c>
      <c r="N177" s="1" t="s">
        <v>302</v>
      </c>
      <c r="O177" s="1" t="s">
        <v>303</v>
      </c>
    </row>
    <row r="178" spans="4:15" ht="20.100000000000001" customHeight="1" x14ac:dyDescent="0.25">
      <c r="D178" s="1" t="s">
        <v>250</v>
      </c>
      <c r="E178" s="49" t="str">
        <f>TEXT(EDATE(E176,2), "mmmm yyyy")</f>
        <v>October 2024</v>
      </c>
      <c r="J178" s="49">
        <f>E39</f>
        <v>100</v>
      </c>
      <c r="K178" s="49">
        <f>MAX(0, E39-E42)</f>
        <v>0</v>
      </c>
      <c r="L178" s="1">
        <f>K178/J178</f>
        <v>0</v>
      </c>
      <c r="M178" s="1">
        <f>K181/J178</f>
        <v>0</v>
      </c>
      <c r="N178" s="2">
        <f>1-(L178+M178)</f>
        <v>1</v>
      </c>
      <c r="O178" s="50">
        <f>(L178*6)+(M178*4)+(N178*0)</f>
        <v>0</v>
      </c>
    </row>
    <row r="179" spans="4:15" ht="20.100000000000001" customHeight="1" x14ac:dyDescent="0.25">
      <c r="J179" s="49">
        <f>E40</f>
        <v>100</v>
      </c>
      <c r="K179" s="49">
        <f>MAX(0, E40-E39)</f>
        <v>0</v>
      </c>
      <c r="L179" s="1">
        <f>K179/J179</f>
        <v>0</v>
      </c>
      <c r="M179" s="1">
        <f>K178/J179</f>
        <v>0</v>
      </c>
      <c r="N179" s="2">
        <f>1-(L179+M179)</f>
        <v>1</v>
      </c>
      <c r="O179" s="50">
        <f t="shared" ref="O179:O181" si="1">(L179*6)+(M179*4)+(N179*0)</f>
        <v>0</v>
      </c>
    </row>
    <row r="180" spans="4:15" ht="20.100000000000001" customHeight="1" x14ac:dyDescent="0.25">
      <c r="J180" s="49">
        <f>E41</f>
        <v>100</v>
      </c>
      <c r="K180" s="49">
        <f>MAX(0,E41-E40)</f>
        <v>0</v>
      </c>
      <c r="L180" s="1">
        <f>K180/J180</f>
        <v>0</v>
      </c>
      <c r="M180" s="1">
        <f>K179/J180</f>
        <v>0</v>
      </c>
      <c r="N180" s="2">
        <f>1-(L180+M180)</f>
        <v>1</v>
      </c>
      <c r="O180" s="50">
        <f t="shared" si="1"/>
        <v>0</v>
      </c>
    </row>
    <row r="181" spans="4:15" ht="20.100000000000001" customHeight="1" x14ac:dyDescent="0.25">
      <c r="E181" s="59" t="s">
        <v>127</v>
      </c>
      <c r="F181" s="59" t="s">
        <v>128</v>
      </c>
      <c r="G181" s="59" t="s">
        <v>129</v>
      </c>
      <c r="J181" s="49">
        <f>E42</f>
        <v>100</v>
      </c>
      <c r="K181" s="49">
        <f>MAX(0, E42-E41)</f>
        <v>0</v>
      </c>
      <c r="L181" s="1">
        <f>K181/J181</f>
        <v>0</v>
      </c>
      <c r="M181" s="2">
        <f>K180/J181</f>
        <v>0</v>
      </c>
      <c r="N181" s="2">
        <f>1-(L181+M181)</f>
        <v>1</v>
      </c>
      <c r="O181" s="50">
        <f t="shared" si="1"/>
        <v>0</v>
      </c>
    </row>
    <row r="182" spans="4:15" ht="20.100000000000001" customHeight="1" x14ac:dyDescent="0.25">
      <c r="D182" s="1" t="str">
        <f>E176</f>
        <v>August 2024</v>
      </c>
      <c r="E182" s="43">
        <v>0.25</v>
      </c>
      <c r="F182" s="43">
        <v>0.25</v>
      </c>
      <c r="G182" s="43">
        <v>0.25</v>
      </c>
      <c r="H182" s="2" t="s">
        <v>13</v>
      </c>
      <c r="L182" s="2"/>
      <c r="M182" s="2"/>
      <c r="N182" s="2"/>
      <c r="O182" s="2"/>
    </row>
    <row r="183" spans="4:15" ht="20.100000000000001" customHeight="1" x14ac:dyDescent="0.25">
      <c r="D183" s="1" t="str">
        <f>E177</f>
        <v>September 2024</v>
      </c>
      <c r="E183" s="43">
        <v>0.25</v>
      </c>
      <c r="F183" s="43">
        <v>0.25</v>
      </c>
      <c r="G183" s="43">
        <v>0.25</v>
      </c>
      <c r="H183" s="2" t="s">
        <v>13</v>
      </c>
    </row>
    <row r="184" spans="4:15" ht="20.100000000000001" customHeight="1" x14ac:dyDescent="0.25">
      <c r="D184" s="1" t="str">
        <f>E178</f>
        <v>October 2024</v>
      </c>
      <c r="E184" s="43">
        <v>0.25</v>
      </c>
      <c r="F184" s="43">
        <v>0.25</v>
      </c>
      <c r="G184" s="43">
        <v>0.25</v>
      </c>
      <c r="H184" s="2" t="s">
        <v>13</v>
      </c>
    </row>
    <row r="185" spans="4:15" ht="20.100000000000001" customHeight="1" x14ac:dyDescent="0.25">
      <c r="D185" s="1" t="str">
        <f>"Proportion of cows &gt; 1 years in calf in " &amp; D182 &amp; " to " &amp; D184</f>
        <v>Proportion of cows &gt; 1 years in calf in August 2024 to October 2024</v>
      </c>
      <c r="E185" s="90">
        <f>SUM(E182:E184)</f>
        <v>0.75</v>
      </c>
      <c r="F185" s="90">
        <f>SUM(F182:F184)</f>
        <v>0.75</v>
      </c>
      <c r="G185" s="90">
        <f>SUM(G182:G184)</f>
        <v>0.75</v>
      </c>
      <c r="H185" s="2" t="s">
        <v>13</v>
      </c>
    </row>
    <row r="186" spans="4:15" ht="20.100000000000001" customHeight="1" x14ac:dyDescent="0.25"/>
    <row r="187" spans="4:15" ht="20.100000000000001" customHeight="1" x14ac:dyDescent="0.25"/>
    <row r="188" spans="4:15" ht="20.100000000000001" customHeight="1" x14ac:dyDescent="0.25"/>
    <row r="189" spans="4:15" ht="20.100000000000001" customHeight="1" x14ac:dyDescent="0.25"/>
    <row r="190" spans="4:15" ht="20.100000000000001" customHeight="1" x14ac:dyDescent="0.25"/>
    <row r="191" spans="4:15" ht="20.100000000000001" customHeight="1" x14ac:dyDescent="0.25"/>
    <row r="192" spans="4:15" ht="20.100000000000001" customHeight="1" x14ac:dyDescent="0.25"/>
    <row r="193" spans="17:27" ht="20.100000000000001" customHeight="1" x14ac:dyDescent="0.25"/>
    <row r="194" spans="17:27" ht="20.100000000000001" customHeight="1" x14ac:dyDescent="0.25"/>
    <row r="195" spans="17:27" ht="20.100000000000001" customHeight="1" x14ac:dyDescent="0.25"/>
    <row r="196" spans="17:27" ht="20.100000000000001" customHeight="1" x14ac:dyDescent="0.25"/>
    <row r="197" spans="17:27" ht="20.100000000000001" customHeight="1" x14ac:dyDescent="0.25"/>
    <row r="198" spans="17:27" ht="20.100000000000001" customHeight="1" x14ac:dyDescent="0.25"/>
    <row r="199" spans="17:27" ht="20.100000000000001" customHeight="1" x14ac:dyDescent="0.25"/>
    <row r="200" spans="17:27" ht="20.100000000000001" customHeight="1" x14ac:dyDescent="0.25"/>
    <row r="201" spans="17:27" ht="20.100000000000001" customHeight="1" x14ac:dyDescent="0.25"/>
    <row r="202" spans="17:27" ht="20.100000000000001" customHeight="1" x14ac:dyDescent="0.25"/>
    <row r="203" spans="17:27" ht="20.100000000000001" customHeight="1" x14ac:dyDescent="0.25"/>
    <row r="204" spans="17:27" ht="20.100000000000001" customHeight="1" x14ac:dyDescent="0.25"/>
    <row r="205" spans="17:27" ht="20.100000000000001" customHeight="1" x14ac:dyDescent="0.25">
      <c r="Q205" s="1"/>
      <c r="Z205" s="53"/>
    </row>
    <row r="206" spans="17:27" ht="20.100000000000001" customHeight="1" x14ac:dyDescent="0.25">
      <c r="Q206" s="1"/>
      <c r="R206" s="1"/>
      <c r="Z206" s="53"/>
      <c r="AA206" s="53"/>
    </row>
    <row r="207" spans="17:27" ht="20.100000000000001" customHeight="1" x14ac:dyDescent="0.25">
      <c r="Q207" s="1"/>
      <c r="R207" s="1"/>
      <c r="Z207" s="53"/>
      <c r="AA207" s="53"/>
    </row>
    <row r="208" spans="17:27" ht="20.100000000000001" customHeight="1" x14ac:dyDescent="0.25">
      <c r="Q208" s="1"/>
      <c r="R208" s="1"/>
      <c r="Z208" s="53"/>
      <c r="AA208" s="53"/>
    </row>
    <row r="209" spans="11:27" ht="20.100000000000001" customHeight="1" x14ac:dyDescent="0.25">
      <c r="Q209" s="1"/>
      <c r="R209" s="1"/>
      <c r="Z209" s="53"/>
      <c r="AA209" s="53"/>
    </row>
    <row r="210" spans="11:27" ht="20.100000000000001" customHeight="1" x14ac:dyDescent="0.25">
      <c r="Q210" s="1"/>
      <c r="R210" s="1"/>
      <c r="Z210" s="53"/>
      <c r="AA210" s="53"/>
    </row>
    <row r="211" spans="11:27" ht="20.100000000000001" customHeight="1" x14ac:dyDescent="0.25">
      <c r="Q211" s="1"/>
      <c r="R211" s="1"/>
      <c r="Z211" s="53"/>
      <c r="AA211" s="53"/>
    </row>
    <row r="212" spans="11:27" ht="20.100000000000001" customHeight="1" x14ac:dyDescent="0.25">
      <c r="Q212" s="1"/>
      <c r="R212" s="1"/>
      <c r="Z212" s="53"/>
      <c r="AA212" s="53"/>
    </row>
    <row r="213" spans="11:27" ht="20.100000000000001" customHeight="1" x14ac:dyDescent="0.25">
      <c r="Q213" s="1"/>
      <c r="R213" s="1"/>
      <c r="Z213" s="53"/>
      <c r="AA213" s="53"/>
    </row>
    <row r="214" spans="11:27" ht="20.100000000000001" customHeight="1" x14ac:dyDescent="0.25">
      <c r="Q214" s="1"/>
      <c r="R214" s="1"/>
      <c r="Z214" s="53"/>
      <c r="AA214" s="53"/>
    </row>
    <row r="215" spans="11:27" ht="20.100000000000001" customHeight="1" x14ac:dyDescent="0.25">
      <c r="Q215" s="1"/>
      <c r="R215" s="1"/>
      <c r="Z215" s="53"/>
      <c r="AA215" s="53"/>
    </row>
    <row r="216" spans="11:27" ht="20.100000000000001" customHeight="1" x14ac:dyDescent="0.25">
      <c r="Q216" s="1"/>
      <c r="Z216" s="53"/>
    </row>
    <row r="217" spans="11:27" ht="20.100000000000001" customHeight="1" x14ac:dyDescent="0.25"/>
    <row r="218" spans="11:27" ht="20.100000000000001" customHeight="1" x14ac:dyDescent="0.25"/>
    <row r="219" spans="11:27" ht="20.100000000000001" customHeight="1" x14ac:dyDescent="0.25"/>
    <row r="220" spans="11:27" ht="20.100000000000001" customHeight="1" x14ac:dyDescent="0.25"/>
    <row r="221" spans="11:27" ht="20.100000000000001" customHeight="1" x14ac:dyDescent="0.25"/>
    <row r="222" spans="11:27" ht="20.100000000000001" customHeight="1" x14ac:dyDescent="0.25"/>
    <row r="223" spans="11:27" ht="20.100000000000001" customHeight="1" x14ac:dyDescent="0.25">
      <c r="K223" s="2"/>
    </row>
    <row r="227" spans="11:15" x14ac:dyDescent="0.25">
      <c r="L227" s="2"/>
      <c r="M227" s="2"/>
      <c r="N227" s="2"/>
      <c r="O227" s="2"/>
    </row>
    <row r="228" spans="11:15" x14ac:dyDescent="0.25">
      <c r="K228" s="2"/>
      <c r="L228" s="2"/>
      <c r="M228" s="2"/>
      <c r="N228" s="2"/>
      <c r="O228" s="2"/>
    </row>
    <row r="229" spans="11:15" x14ac:dyDescent="0.25">
      <c r="L229" s="2"/>
      <c r="M229" s="2"/>
      <c r="N229" s="2"/>
      <c r="O229" s="2"/>
    </row>
    <row r="232" spans="11:15" x14ac:dyDescent="0.25">
      <c r="L232" s="2"/>
      <c r="M232" s="2"/>
      <c r="N232" s="2"/>
      <c r="O232" s="2"/>
    </row>
    <row r="233" spans="11:15" x14ac:dyDescent="0.25">
      <c r="K233" s="2"/>
      <c r="L233" s="2"/>
      <c r="M233" s="2"/>
      <c r="N233" s="2"/>
      <c r="O233" s="2"/>
    </row>
    <row r="234" spans="11:15" x14ac:dyDescent="0.25">
      <c r="L234" s="2"/>
      <c r="M234" s="2"/>
      <c r="N234" s="2"/>
      <c r="O234" s="2"/>
    </row>
    <row r="237" spans="11:15" x14ac:dyDescent="0.25">
      <c r="L237" s="2"/>
      <c r="M237" s="2"/>
      <c r="N237" s="2"/>
      <c r="O237" s="2"/>
    </row>
    <row r="238" spans="11:15" x14ac:dyDescent="0.25">
      <c r="K238" s="2"/>
      <c r="L238" s="2"/>
      <c r="M238" s="2"/>
      <c r="N238" s="2"/>
      <c r="O238" s="2"/>
    </row>
    <row r="239" spans="11:15" x14ac:dyDescent="0.25">
      <c r="K239" s="2"/>
      <c r="L239" s="2"/>
      <c r="M239" s="2"/>
      <c r="N239" s="2"/>
      <c r="O239" s="2"/>
    </row>
    <row r="240" spans="11:15" x14ac:dyDescent="0.25">
      <c r="K240" s="2"/>
    </row>
    <row r="241" spans="11:15" x14ac:dyDescent="0.25">
      <c r="K241" s="2"/>
    </row>
    <row r="242" spans="11:15" x14ac:dyDescent="0.25">
      <c r="K242" s="2"/>
      <c r="L242" s="2"/>
      <c r="M242" s="2"/>
      <c r="N242" s="2"/>
      <c r="O242" s="2"/>
    </row>
    <row r="243" spans="11:15" x14ac:dyDescent="0.25">
      <c r="L243" s="2"/>
      <c r="M243" s="2"/>
      <c r="N243" s="2"/>
      <c r="O243" s="2"/>
    </row>
    <row r="244" spans="11:15" x14ac:dyDescent="0.25">
      <c r="K244" s="2"/>
      <c r="L244" s="2"/>
      <c r="M244" s="2"/>
      <c r="N244" s="2"/>
      <c r="O244" s="2"/>
    </row>
    <row r="246" spans="11:15" x14ac:dyDescent="0.25">
      <c r="K246" s="2"/>
    </row>
    <row r="247" spans="11:15" x14ac:dyDescent="0.25">
      <c r="K247" s="2"/>
    </row>
    <row r="248" spans="11:15" x14ac:dyDescent="0.25">
      <c r="K248" s="2"/>
    </row>
    <row r="249" spans="11:15" x14ac:dyDescent="0.25">
      <c r="K249" s="2"/>
    </row>
    <row r="251" spans="11:15" x14ac:dyDescent="0.25">
      <c r="K251" s="2"/>
      <c r="L251" s="2"/>
      <c r="M251" s="2"/>
      <c r="N251" s="2"/>
      <c r="O251" s="2"/>
    </row>
    <row r="252" spans="11:15" x14ac:dyDescent="0.25">
      <c r="L252" s="2"/>
      <c r="M252" s="2"/>
      <c r="N252" s="2"/>
      <c r="O252" s="2"/>
    </row>
    <row r="253" spans="11:15" x14ac:dyDescent="0.25">
      <c r="L253" s="2"/>
      <c r="M253" s="2"/>
      <c r="N253" s="2"/>
      <c r="O253" s="2"/>
    </row>
    <row r="256" spans="11:15" x14ac:dyDescent="0.25">
      <c r="L256" s="2"/>
      <c r="M256" s="2"/>
      <c r="N256" s="2"/>
      <c r="O256" s="2"/>
    </row>
    <row r="257" spans="11:15" x14ac:dyDescent="0.25">
      <c r="K257" s="2"/>
      <c r="L257" s="2"/>
      <c r="M257" s="2"/>
      <c r="N257" s="2"/>
      <c r="O257" s="2"/>
    </row>
    <row r="258" spans="11:15" x14ac:dyDescent="0.25">
      <c r="L258" s="2"/>
      <c r="M258" s="2"/>
      <c r="N258" s="2"/>
      <c r="O258" s="2"/>
    </row>
    <row r="261" spans="11:15" x14ac:dyDescent="0.25">
      <c r="L261" s="2"/>
      <c r="M261" s="2"/>
      <c r="N261" s="2"/>
      <c r="O261" s="2"/>
    </row>
    <row r="262" spans="11:15" x14ac:dyDescent="0.25">
      <c r="K262" s="2"/>
      <c r="L262" s="2"/>
      <c r="M262" s="2"/>
      <c r="N262" s="2"/>
      <c r="O262" s="2"/>
    </row>
    <row r="263" spans="11:15" x14ac:dyDescent="0.25">
      <c r="L263" s="2"/>
      <c r="M263" s="2"/>
      <c r="N263" s="2"/>
      <c r="O263" s="2"/>
    </row>
    <row r="266" spans="11:15" x14ac:dyDescent="0.25">
      <c r="L266" s="2"/>
      <c r="M266" s="2"/>
      <c r="N266" s="2"/>
      <c r="O266" s="2"/>
    </row>
    <row r="267" spans="11:15" x14ac:dyDescent="0.25">
      <c r="K267" s="2"/>
      <c r="L267" s="2"/>
      <c r="M267" s="2"/>
      <c r="N267" s="2"/>
      <c r="O267" s="2"/>
    </row>
    <row r="268" spans="11:15" x14ac:dyDescent="0.25">
      <c r="L268" s="2"/>
      <c r="M268" s="2"/>
      <c r="N268" s="2"/>
      <c r="O268" s="2"/>
    </row>
    <row r="272" spans="11:15" x14ac:dyDescent="0.25">
      <c r="K272" s="2"/>
    </row>
    <row r="273" spans="11:11" x14ac:dyDescent="0.25">
      <c r="K273" s="2"/>
    </row>
    <row r="274" spans="11:11" x14ac:dyDescent="0.25">
      <c r="K274" s="2"/>
    </row>
    <row r="275" spans="11:11" x14ac:dyDescent="0.25">
      <c r="K275" s="2"/>
    </row>
    <row r="276" spans="11:11" x14ac:dyDescent="0.25">
      <c r="K276" s="2"/>
    </row>
    <row r="278" spans="11:11" x14ac:dyDescent="0.25">
      <c r="K278" s="2"/>
    </row>
    <row r="280" spans="11:11" x14ac:dyDescent="0.25">
      <c r="K280" s="2"/>
    </row>
    <row r="281" spans="11:11" x14ac:dyDescent="0.25">
      <c r="K281" s="2"/>
    </row>
    <row r="282" spans="11:11" x14ac:dyDescent="0.25">
      <c r="K282" s="2"/>
    </row>
    <row r="283" spans="11:11" x14ac:dyDescent="0.25">
      <c r="K283" s="2"/>
    </row>
    <row r="285" spans="11:11" x14ac:dyDescent="0.25">
      <c r="K285" s="2"/>
    </row>
    <row r="293" spans="11:11" x14ac:dyDescent="0.25">
      <c r="K293" s="2"/>
    </row>
    <row r="294" spans="11:11" x14ac:dyDescent="0.25">
      <c r="K294" s="2"/>
    </row>
    <row r="295" spans="11:11" x14ac:dyDescent="0.25">
      <c r="K295" s="2"/>
    </row>
    <row r="298" spans="11:11" x14ac:dyDescent="0.25">
      <c r="K298" s="2"/>
    </row>
    <row r="299" spans="11:11" x14ac:dyDescent="0.25">
      <c r="K299" s="2"/>
    </row>
    <row r="300" spans="11:11" x14ac:dyDescent="0.25">
      <c r="K300" s="2"/>
    </row>
    <row r="303" spans="11:11" x14ac:dyDescent="0.25">
      <c r="K303" s="2"/>
    </row>
    <row r="304" spans="11:11" x14ac:dyDescent="0.25">
      <c r="K304" s="2"/>
    </row>
    <row r="305" spans="11:11" x14ac:dyDescent="0.25">
      <c r="K305" s="2"/>
    </row>
    <row r="308" spans="11:11" x14ac:dyDescent="0.25">
      <c r="K308" s="2"/>
    </row>
    <row r="309" spans="11:11" x14ac:dyDescent="0.25">
      <c r="K309" s="2"/>
    </row>
    <row r="310" spans="11:11" x14ac:dyDescent="0.25">
      <c r="K310" s="2"/>
    </row>
    <row r="317" spans="11:11" x14ac:dyDescent="0.25">
      <c r="K317" s="2"/>
    </row>
    <row r="318" spans="11:11" x14ac:dyDescent="0.25">
      <c r="K318" s="2"/>
    </row>
    <row r="319" spans="11:11" x14ac:dyDescent="0.25">
      <c r="K319" s="2"/>
    </row>
    <row r="322" spans="4:11" x14ac:dyDescent="0.25">
      <c r="K322" s="2"/>
    </row>
    <row r="323" spans="4:11" x14ac:dyDescent="0.25">
      <c r="K323" s="2"/>
    </row>
    <row r="324" spans="4:11" x14ac:dyDescent="0.25">
      <c r="K324" s="2"/>
    </row>
    <row r="327" spans="4:11" x14ac:dyDescent="0.25">
      <c r="K327" s="2"/>
    </row>
    <row r="328" spans="4:11" x14ac:dyDescent="0.25">
      <c r="D328" s="98"/>
      <c r="K328" s="2"/>
    </row>
    <row r="329" spans="4:11" x14ac:dyDescent="0.25">
      <c r="K329" s="2"/>
    </row>
    <row r="332" spans="4:11" x14ac:dyDescent="0.25">
      <c r="K332" s="2"/>
    </row>
    <row r="333" spans="4:11" x14ac:dyDescent="0.25">
      <c r="K333" s="2"/>
    </row>
    <row r="334" spans="4:11" x14ac:dyDescent="0.25">
      <c r="K334" s="2"/>
    </row>
  </sheetData>
  <conditionalFormatting sqref="F217:F218">
    <cfRule type="cellIs" dxfId="48" priority="11" operator="lessThan">
      <formula>0</formula>
    </cfRule>
  </conditionalFormatting>
  <conditionalFormatting sqref="F222:F223">
    <cfRule type="cellIs" dxfId="47" priority="10" operator="lessThan">
      <formula>0</formula>
    </cfRule>
  </conditionalFormatting>
  <conditionalFormatting sqref="F227:F228">
    <cfRule type="cellIs" dxfId="46" priority="9" operator="lessThan">
      <formula>0</formula>
    </cfRule>
  </conditionalFormatting>
  <conditionalFormatting sqref="F251:F252">
    <cfRule type="cellIs" dxfId="45" priority="8" operator="lessThan">
      <formula>0</formula>
    </cfRule>
  </conditionalFormatting>
  <conditionalFormatting sqref="F256:F257">
    <cfRule type="cellIs" dxfId="44" priority="7" operator="lessThan">
      <formula>0</formula>
    </cfRule>
  </conditionalFormatting>
  <conditionalFormatting sqref="F261:F262">
    <cfRule type="cellIs" dxfId="43" priority="6" operator="lessThan">
      <formula>0</formula>
    </cfRule>
  </conditionalFormatting>
  <conditionalFormatting sqref="H181:K181">
    <cfRule type="cellIs" dxfId="42" priority="4" operator="lessThan">
      <formula>0</formula>
    </cfRule>
  </conditionalFormatting>
  <conditionalFormatting sqref="I103:O103 L145:O147 L149:O149 L151:O154 L156:O156 E160:O160 L167:O168 M181:N181 I182 L182:O182 J223:K223 J228:K228 J233:K233 J238:K242 J244:K244 J246:K249 J251:K251 J257:K257 J262:K262 J267:K267 J272:K276 J278:K278 J280:K283 J285:K285">
    <cfRule type="cellIs" dxfId="41" priority="12" operator="lessThan">
      <formula>0</formula>
    </cfRule>
  </conditionalFormatting>
  <conditionalFormatting sqref="I125:O125">
    <cfRule type="cellIs" dxfId="40" priority="3" operator="lessThan">
      <formula>0</formula>
    </cfRule>
  </conditionalFormatting>
  <conditionalFormatting sqref="K180:K181">
    <cfRule type="cellIs" dxfId="39" priority="2" operator="lessThan">
      <formula>0</formula>
    </cfRule>
  </conditionalFormatting>
  <conditionalFormatting sqref="N178:N180">
    <cfRule type="cellIs" dxfId="38" priority="1" operator="lessThan">
      <formula>0</formula>
    </cfRule>
  </conditionalFormatting>
  <conditionalFormatting sqref="P43:R43">
    <cfRule type="cellIs" dxfId="37" priority="13" operator="lessThan">
      <formula>0</formula>
    </cfRule>
  </conditionalFormatting>
  <dataValidations count="9">
    <dataValidation type="list" allowBlank="1" showInputMessage="1" showErrorMessage="1" sqref="D244" xr:uid="{CF22A2DF-3AD7-48F2-A254-52E4DBFABE5D}">
      <formula1>INDIRECT("Table_SourceData_PoultryMMSStage1[MMS]")</formula1>
    </dataValidation>
    <dataValidation type="list" allowBlank="1" showInputMessage="1" showErrorMessage="1" sqref="E216 E221 E226 E260 E255 E250 E149" xr:uid="{A3BDDA50-853E-4E3F-BA71-A476A2F603AA}">
      <formula1>"Yes, No"</formula1>
    </dataValidation>
    <dataValidation type="list" allowBlank="1" showInputMessage="1" showErrorMessage="1" sqref="E15 E37 E59 E81" xr:uid="{CDB10CF7-2144-4055-85C1-FD144089C209}">
      <formula1>INDIRECT("Table_SourceData_Dairy_WjCowsHeifers[Breed]")</formula1>
    </dataValidation>
    <dataValidation type="list" allowBlank="1" showInputMessage="1" showErrorMessage="1" sqref="E8" xr:uid="{BE3BA67D-A0BD-4C4B-A495-BCFA31E5C2BE}">
      <formula1>INDIRECT("Table_SourceData_PastureBeef_Region_" &amp; SUBSTITUTE($E$7, " ", "") &amp; "[Region]")</formula1>
    </dataValidation>
    <dataValidation type="list" allowBlank="1" showInputMessage="1" showErrorMessage="1" sqref="E9" xr:uid="{4ADCC18D-B06B-4280-ACF9-6B02B4430A91}">
      <formula1>INDIRECT("Table_SourceData_PastureBeef_FeedIntakeAdjustment[Breed]")</formula1>
    </dataValidation>
    <dataValidation type="list" allowBlank="1" showInputMessage="1" showErrorMessage="1" sqref="E157" xr:uid="{D6935CAF-CAA8-4362-9192-56F01D97F0AB}">
      <formula1>INDIRECT("Table_SourceData_PastureBeef_IrrigationMethods[Irrigation method]")</formula1>
    </dataValidation>
    <dataValidation type="list" allowBlank="1" showInputMessage="1" showErrorMessage="1" sqref="E156" xr:uid="{632BA6BA-B408-4F6F-8243-A59FC8B93ABC}">
      <formula1>INDIRECT("Table_SourceData_PastureBeef_CropProdSystems[Production system]")</formula1>
    </dataValidation>
    <dataValidation type="list" allowBlank="1" showInputMessage="1" showErrorMessage="1" sqref="E162" xr:uid="{9B2EE8FF-3BDF-438F-B28E-8412387560DB}">
      <formula1>"Spring, Summer, Autumn, Winter"</formula1>
    </dataValidation>
    <dataValidation type="list" allowBlank="1" showInputMessage="1" showErrorMessage="1" sqref="E176" xr:uid="{56EF6073-9A79-4B5D-B735-E866E98237E5}">
      <formula1>$D$23:$D$34</formula1>
    </dataValidation>
  </dataValidations>
  <pageMargins left="0.7" right="0.7" top="0.75" bottom="0.75" header="0.3" footer="0.3"/>
  <pageSetup paperSize="9"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FC1CB6-2463-438A-90A4-6F54247DF8D8}">
  <dimension ref="A1:AI274"/>
  <sheetViews>
    <sheetView showGridLines="0" topLeftCell="P126" zoomScaleNormal="100" workbookViewId="0">
      <selection activeCell="X170" sqref="X170"/>
    </sheetView>
  </sheetViews>
  <sheetFormatPr defaultRowHeight="15.75" x14ac:dyDescent="0.25"/>
  <cols>
    <col min="1" max="1" width="30.7109375" customWidth="1"/>
    <col min="2" max="2" width="4.7109375" customWidth="1"/>
    <col min="3" max="3" width="4.7109375" style="1" customWidth="1"/>
    <col min="4" max="17" width="30.7109375" style="1" customWidth="1"/>
    <col min="18" max="18" width="4.7109375" style="1" customWidth="1"/>
    <col min="19" max="19" width="4.7109375" customWidth="1"/>
    <col min="20" max="20" width="4.7109375" style="1" customWidth="1"/>
    <col min="21" max="34" width="30.7109375" style="1" customWidth="1"/>
    <col min="35" max="35" width="4.7109375" style="1" customWidth="1"/>
  </cols>
  <sheetData>
    <row r="1" spans="1:35" s="8" customFormat="1" ht="30" customHeight="1" x14ac:dyDescent="0.35">
      <c r="A1" s="62" t="e" vm="1">
        <v>#VALUE!</v>
      </c>
      <c r="C1" s="8" t="s">
        <v>255</v>
      </c>
    </row>
    <row r="2" spans="1:35" s="9" customFormat="1" ht="20.100000000000001" customHeight="1" x14ac:dyDescent="0.25">
      <c r="A2"/>
    </row>
    <row r="3" spans="1:35" ht="20.100000000000001" customHeight="1" x14ac:dyDescent="0.25">
      <c r="A3" s="17" t="str">
        <f>HYPERLINK("#'Home'!A1", "Home")</f>
        <v>Home</v>
      </c>
      <c r="C3" s="4"/>
      <c r="D3" s="4" t="s">
        <v>84</v>
      </c>
      <c r="E3" s="4"/>
      <c r="F3" s="4"/>
      <c r="G3" s="4"/>
      <c r="H3" s="4"/>
      <c r="I3" s="4"/>
      <c r="J3" s="4"/>
      <c r="K3" s="4"/>
      <c r="L3" s="4"/>
      <c r="M3" s="4"/>
      <c r="N3" s="4"/>
      <c r="O3" s="4"/>
      <c r="P3" s="4"/>
      <c r="Q3" s="4"/>
      <c r="R3" s="4"/>
      <c r="T3" s="4"/>
      <c r="U3" s="4" t="s">
        <v>85</v>
      </c>
      <c r="V3" s="4"/>
      <c r="W3" s="4"/>
      <c r="X3" s="4"/>
      <c r="Y3" s="4"/>
      <c r="Z3" s="4"/>
      <c r="AA3" s="4"/>
      <c r="AB3" s="4"/>
      <c r="AC3" s="4"/>
      <c r="AD3" s="4"/>
      <c r="AE3" s="4"/>
      <c r="AF3" s="4"/>
      <c r="AG3" s="4"/>
      <c r="AH3" s="4"/>
      <c r="AI3" s="4"/>
    </row>
    <row r="4" spans="1:35" ht="20.100000000000001" customHeight="1" x14ac:dyDescent="0.25">
      <c r="A4" s="17" t="str">
        <f>HYPERLINK("#'Results'!A1", "Results")</f>
        <v>Results</v>
      </c>
    </row>
    <row r="5" spans="1:35" ht="20.100000000000001" customHeight="1" x14ac:dyDescent="0.25">
      <c r="D5" s="6" t="str" cm="1">
        <f t="array" ref="D5">EntericMethane_PastureBeef_Equations.VEERG_3_2_1_1__4_AdditionalIntakeForMilkProduction_Title()</f>
        <v>Additional intake for milk production in the season of calving and the season after calving</v>
      </c>
    </row>
    <row r="6" spans="1:35" ht="20.100000000000001" customHeight="1" x14ac:dyDescent="0.25">
      <c r="D6" s="5" t="str" cm="1">
        <f t="array" ref="D6">EntericMethane_PastureBeef_Equations.VEERG_3_2_1_1__4_AdditionalIntakeForMilkProduction_Source()</f>
        <v>VEERG 2026: 3.2.1.1, Equation (4)</v>
      </c>
    </row>
    <row r="7" spans="1:35" ht="20.100000000000001" customHeight="1" x14ac:dyDescent="0.25">
      <c r="A7" s="19" t="s">
        <v>0</v>
      </c>
      <c r="D7" s="13" t="s">
        <v>20</v>
      </c>
      <c r="E7" s="13" t="s">
        <v>252</v>
      </c>
    </row>
    <row r="8" spans="1:35" ht="20.100000000000001" customHeight="1" x14ac:dyDescent="0.25">
      <c r="A8" s="17" t="str">
        <f>HYPERLINK("#'Input - Site'!A1", "Site")</f>
        <v>Site</v>
      </c>
    </row>
    <row r="9" spans="1:35" ht="20.100000000000001" customHeight="1" x14ac:dyDescent="0.25">
      <c r="A9" s="17" t="str">
        <f>HYPERLINK("#'Input - Pasture Beef'!A1", "Pasture Beef")</f>
        <v>Pasture Beef</v>
      </c>
    </row>
    <row r="10" spans="1:35" ht="20.100000000000001" customHeight="1" x14ac:dyDescent="0.25">
      <c r="D10" s="50" t="s">
        <v>23</v>
      </c>
      <c r="E10" s="1" t="str" cm="1">
        <f t="array" ref="E10">EntericMethane_PastureBeef_Equations.VEERG_3_2_1_1__4_AdditionalIntakeForMilkProduction_Variable()</f>
        <v>MA_jk45</v>
      </c>
    </row>
    <row r="11" spans="1:35" ht="20.100000000000001" customHeight="1" x14ac:dyDescent="0.25">
      <c r="D11" s="50" t="s">
        <v>14</v>
      </c>
      <c r="E11" s="51" t="str" cm="1">
        <f t="array" ref="E11">EntericMethane_PastureBeef_Equations.VEERG_3_2_1_1__4_AdditionalIntakeForMilkProduction_Unit()</f>
        <v>fraction</v>
      </c>
    </row>
    <row r="12" spans="1:35" ht="20.100000000000001" customHeight="1" x14ac:dyDescent="0.25">
      <c r="A12" s="18" t="s">
        <v>60</v>
      </c>
    </row>
    <row r="13" spans="1:35" ht="20.100000000000001" customHeight="1" x14ac:dyDescent="0.25">
      <c r="A13" s="117" t="str">
        <f>HYPERLINK("#'3.2.1.1-2 Enteric Methane'!A1", "3.2.1.1-2 Enteric Methane")</f>
        <v>3.2.1.1-2 Enteric Methane</v>
      </c>
      <c r="D13" s="108" t="str" cm="1">
        <f t="array" ref="D13:E16">_xlfn.CHOOSECOLS(EntericMethane_PastureBeef_Equations.VEERG_3_2_1_1__4_AdditionalIntakeForMilkProduction_ArgumentsVariation(), 1, 2)</f>
        <v>LC_jk45</v>
      </c>
      <c r="E13" s="113" t="str">
        <v>proportion of cows greater than 1 year in calf in the season of calving expressed as a fraction</v>
      </c>
      <c r="F13" s="114"/>
      <c r="G13" s="112"/>
      <c r="H13" s="108" t="str" cm="1">
        <f t="array" ref="H13:I16">_xlfn.CHOOSECOLS(EntericMethane_PastureBeef_Equations.VEERG_3_2_1_1__4_AdditionalIntakeForMilkProduction_ArgumentsVariation(), 3,4)</f>
        <v>fraction</v>
      </c>
      <c r="I13" s="110" t="str">
        <v>Input</v>
      </c>
      <c r="J13" s="107" t="str" cm="1">
        <f t="array" aca="1" ref="J13" ca="1">HYPERLINK(Common_InputFunctions.Utility_SourceHyperlink($D$18), $D$18)</f>
        <v>M1_Table_LC_j_k-4-5</v>
      </c>
    </row>
    <row r="14" spans="1:35" ht="20.100000000000001" customHeight="1" x14ac:dyDescent="0.25">
      <c r="D14" s="108" t="str">
        <v>FA_jk45calv</v>
      </c>
      <c r="E14" s="113" t="str">
        <v>feed adjustment value for lactating cows in the season of calving expressed as a fraction</v>
      </c>
      <c r="F14" s="114"/>
      <c r="G14" s="112"/>
      <c r="H14" s="108" t="str">
        <v>fraction</v>
      </c>
      <c r="I14" s="109" t="str">
        <v>Constant</v>
      </c>
      <c r="J14" s="108" cm="1">
        <f t="array" ref="J14">_xlfn.XLOOKUP(1, (Table_SourceData_PastureBeef_FeedIntakeAdjustment_Variation[Breed]=$J$16)*(Table_SourceData_PastureBeef_FeedIntakeAdjustment_Variation[Season]=+"Calving season"),Table_SourceData_PastureBeef_FeedIntakeAdjustment_Variation[Feed adjustment])</f>
        <v>1.3</v>
      </c>
    </row>
    <row r="15" spans="1:35" ht="20.100000000000001" customHeight="1" x14ac:dyDescent="0.25">
      <c r="D15" s="108" t="str">
        <v>FA_jk45after</v>
      </c>
      <c r="E15" s="113" t="str">
        <v>feed adjustment value for lactating cows in the season immediately after calving expressed as a fraction</v>
      </c>
      <c r="F15" s="114"/>
      <c r="G15" s="112"/>
      <c r="H15" s="108" t="str">
        <v>fraction</v>
      </c>
      <c r="I15" s="109" t="str">
        <v>Constant</v>
      </c>
      <c r="J15" s="108" cm="1">
        <f t="array" ref="J15">_xlfn.XLOOKUP(1, (Table_SourceData_PastureBeef_FeedIntakeAdjustment_Variation[Breed]=$J$16)*(Table_SourceData_PastureBeef_FeedIntakeAdjustment_Variation[Season]=+"Season after calving"),Table_SourceData_PastureBeef_FeedIntakeAdjustment_Variation[Feed adjustment])</f>
        <v>1.1000000000000001</v>
      </c>
    </row>
    <row r="16" spans="1:35" ht="20.100000000000001" customHeight="1" x14ac:dyDescent="0.25">
      <c r="A16" s="120" t="s">
        <v>1</v>
      </c>
      <c r="D16" s="108" t="str">
        <v>b</v>
      </c>
      <c r="E16" s="113" t="str">
        <v>breed of cattle</v>
      </c>
      <c r="F16" s="114"/>
      <c r="G16" s="112"/>
      <c r="H16" s="108" t="str">
        <v/>
      </c>
      <c r="I16" s="110" t="str">
        <v>Input</v>
      </c>
      <c r="J16" s="108" t="str">
        <f>X_Cell_PastureBeef_Breed</f>
        <v>Hereford or Shorthorn breeds</v>
      </c>
    </row>
    <row r="17" spans="1:34" ht="20.100000000000001" customHeight="1" x14ac:dyDescent="0.25">
      <c r="A17" s="17" t="str">
        <f>HYPERLINK("#'Constants - Pasture Beef'!A1", "Constants - Pasture Beef")</f>
        <v>Constants - Pasture Beef</v>
      </c>
    </row>
    <row r="18" spans="1:34" ht="20.100000000000001" customHeight="1" x14ac:dyDescent="0.25">
      <c r="A18" s="17" t="str">
        <f>HYPERLINK("#'Constants - Common'!A1", "Constants - Common")</f>
        <v>Constants - Common</v>
      </c>
      <c r="D18" s="92" t="s">
        <v>191</v>
      </c>
    </row>
    <row r="19" spans="1:34" ht="20.100000000000001" customHeight="1" x14ac:dyDescent="0.25">
      <c r="A19" s="17" t="str">
        <f>HYPERLINK("#'Constants - Common Livestock'!A1", "Constants - Common Livestock")</f>
        <v>Constants - Common Livestock</v>
      </c>
      <c r="D19" s="91" t="s">
        <v>214</v>
      </c>
      <c r="U19" s="92" t="s">
        <v>210</v>
      </c>
    </row>
    <row r="20" spans="1:34" ht="20.100000000000001" customHeight="1" x14ac:dyDescent="0.25">
      <c r="A20" s="17" t="str">
        <f>HYPERLINK("#'Acknowledgements'!A1", "Acknowledgements")</f>
        <v>Acknowledgements</v>
      </c>
      <c r="D20" s="48" t="s">
        <v>145</v>
      </c>
      <c r="E20" s="111" t="s">
        <v>127</v>
      </c>
      <c r="F20" s="111" t="s">
        <v>128</v>
      </c>
      <c r="G20" s="111" t="s">
        <v>129</v>
      </c>
      <c r="U20" s="91" t="s">
        <v>211</v>
      </c>
    </row>
    <row r="21" spans="1:34" ht="20.100000000000001" customHeight="1" x14ac:dyDescent="0.25">
      <c r="D21" s="49" t="str">
        <f>'Input - Pasture Beef'!E162</f>
        <v>Winter</v>
      </c>
      <c r="E21" s="49">
        <f>'Input - Pasture Beef'!$E$164</f>
        <v>0</v>
      </c>
      <c r="F21" s="49">
        <f>'Input - Pasture Beef'!$F$164</f>
        <v>0</v>
      </c>
      <c r="G21" s="49">
        <f>'Input - Pasture Beef'!$G$164</f>
        <v>0</v>
      </c>
      <c r="H21" s="2" t="s">
        <v>79</v>
      </c>
      <c r="U21" s="48" t="s">
        <v>104</v>
      </c>
      <c r="V21" s="111" t="s">
        <v>127</v>
      </c>
      <c r="W21" s="111" t="s">
        <v>128</v>
      </c>
      <c r="X21" s="111" t="s">
        <v>129</v>
      </c>
    </row>
    <row r="22" spans="1:34" ht="20.100000000000001" customHeight="1" x14ac:dyDescent="0.25">
      <c r="U22" s="49" t="str">
        <f>TEXT(EDATE('Input - Pasture Beef'!E176,0), "mmmm") &amp; ", " &amp; TEXT(EDATE('Input - Pasture Beef'!E177,0), "mmmm") &amp; ", " &amp; TEXT(EDATE('Input - Pasture Beef'!E178,0), "mmmm")</f>
        <v>August, September, October</v>
      </c>
      <c r="V22" s="49" t="str">
        <f>'Input - Pasture Beef'!$E$177</f>
        <v>September 2024</v>
      </c>
      <c r="W22" s="49">
        <f>'Input - Pasture Beef'!$F$177</f>
        <v>0</v>
      </c>
      <c r="X22" s="49">
        <f>'Input - Pasture Beef'!$G$177</f>
        <v>0</v>
      </c>
      <c r="Y22" s="2" t="s">
        <v>79</v>
      </c>
    </row>
    <row r="23" spans="1:34" ht="20.100000000000001" customHeight="1" x14ac:dyDescent="0.25">
      <c r="D23" s="92" t="s">
        <v>201</v>
      </c>
      <c r="U23" s="49" t="str">
        <f>TEXT(EDATE('Input - Pasture Beef'!$E$176,1), "mmmm") &amp; ", " &amp; TEXT(EDATE('Input - Pasture Beef'!$E$176,2), "mmmm") &amp; ", " &amp; TEXT(EDATE('Input - Pasture Beef'!$E$176,3), "mmmm")</f>
        <v>September, October, November</v>
      </c>
      <c r="Y23" s="2"/>
    </row>
    <row r="24" spans="1:34" ht="20.100000000000001" customHeight="1" x14ac:dyDescent="0.25">
      <c r="D24" s="91" t="s">
        <v>202</v>
      </c>
      <c r="Y24" s="2"/>
    </row>
    <row r="25" spans="1:34" ht="20.100000000000001" customHeight="1" x14ac:dyDescent="0.25">
      <c r="D25" s="48" t="s">
        <v>145</v>
      </c>
      <c r="E25" s="48" t="s">
        <v>207</v>
      </c>
      <c r="F25" s="48" t="s">
        <v>248</v>
      </c>
      <c r="G25" s="48" t="s">
        <v>103</v>
      </c>
      <c r="H25" s="48" t="s">
        <v>102</v>
      </c>
      <c r="I25" s="48" t="s">
        <v>126</v>
      </c>
      <c r="J25" s="48" t="s">
        <v>127</v>
      </c>
      <c r="K25" s="48" t="s">
        <v>128</v>
      </c>
      <c r="L25" s="48" t="s">
        <v>129</v>
      </c>
      <c r="M25" s="48" t="s">
        <v>130</v>
      </c>
      <c r="N25" s="48" t="s">
        <v>131</v>
      </c>
      <c r="O25" s="48" t="s">
        <v>132</v>
      </c>
      <c r="P25" s="48" t="s">
        <v>133</v>
      </c>
      <c r="U25" s="92" t="s">
        <v>212</v>
      </c>
    </row>
    <row r="26" spans="1:34" ht="20.100000000000001" customHeight="1" x14ac:dyDescent="0.25">
      <c r="D26" s="49" t="s">
        <v>134</v>
      </c>
      <c r="E26" s="49" t="str" cm="1">
        <f t="array" ref="E26">_xlfn.IFS(D21=D26, "Calving season", D21=D29, "Season after calving", D21=D27, "", D21=D28, "")</f>
        <v>Season after calving</v>
      </c>
      <c r="F26" s="49" cm="1">
        <f t="array" ref="F26">_xlfn.IFS(E26="Calving season", $J$14, E26="Season after calving", $J$15, E26="", "")</f>
        <v>1.1000000000000001</v>
      </c>
      <c r="G26" s="49">
        <v>1</v>
      </c>
      <c r="H26" s="49">
        <v>1</v>
      </c>
      <c r="I26" s="49">
        <v>1</v>
      </c>
      <c r="J26" s="49" cm="1">
        <f t="array" ref="J26">IFERROR(EntericMethane_PastureBeef_Equations.VEERG_3_2_1_1__4_AdditionalIntakeForMilkProduction(E$21,$F26), 1)</f>
        <v>1</v>
      </c>
      <c r="K26" s="49" cm="1">
        <f t="array" ref="K26">IFERROR(EntericMethane_PastureBeef_Equations.VEERG_3_2_1_1__4_AdditionalIntakeForMilkProduction(F$21,$F26), 1)</f>
        <v>1</v>
      </c>
      <c r="L26" s="49" cm="1">
        <f t="array" ref="L26">IFERROR(EntericMethane_PastureBeef_Equations.VEERG_3_2_1_1__4_AdditionalIntakeForMilkProduction(G$21,$F26), 1)</f>
        <v>1</v>
      </c>
      <c r="M26" s="49">
        <v>1</v>
      </c>
      <c r="N26" s="49">
        <v>1</v>
      </c>
      <c r="O26" s="49">
        <v>1</v>
      </c>
      <c r="P26" s="49">
        <v>1</v>
      </c>
      <c r="Q26" s="2" t="str">
        <f>$E$11</f>
        <v>fraction</v>
      </c>
      <c r="U26" s="91" t="s">
        <v>213</v>
      </c>
    </row>
    <row r="27" spans="1:34" ht="20.100000000000001" customHeight="1" x14ac:dyDescent="0.25">
      <c r="D27" s="49" t="s">
        <v>135</v>
      </c>
      <c r="E27" s="49" t="str" cm="1">
        <f t="array" ref="E27">_xlfn.IFS(D21=D27, "Calving season", D21=D26, "Season after calving", D21=D28, "", D21=D29, "")</f>
        <v/>
      </c>
      <c r="F27" s="49" t="str" cm="1">
        <f t="array" ref="F27">_xlfn.IFS(E27="Calving season", $J$14, E27="Season after calving", $J$15, E27="", "")</f>
        <v/>
      </c>
      <c r="G27" s="49">
        <v>1</v>
      </c>
      <c r="H27" s="49">
        <v>1</v>
      </c>
      <c r="I27" s="49">
        <v>1</v>
      </c>
      <c r="J27" s="49" cm="1">
        <f t="array" ref="J27">IFERROR(EntericMethane_PastureBeef_Equations.VEERG_3_2_1_1__4_AdditionalIntakeForMilkProduction(E$21,$F27), 1)</f>
        <v>1</v>
      </c>
      <c r="K27" s="49" cm="1">
        <f t="array" ref="K27">IFERROR(EntericMethane_PastureBeef_Equations.VEERG_3_2_1_1__4_AdditionalIntakeForMilkProduction(F$21,$F27), 1)</f>
        <v>1</v>
      </c>
      <c r="L27" s="49" cm="1">
        <f t="array" ref="L27">IFERROR(EntericMethane_PastureBeef_Equations.VEERG_3_2_1_1__4_AdditionalIntakeForMilkProduction(G$21,$F27), 1)</f>
        <v>1</v>
      </c>
      <c r="M27" s="49">
        <v>1</v>
      </c>
      <c r="N27" s="49">
        <v>1</v>
      </c>
      <c r="O27" s="49">
        <v>1</v>
      </c>
      <c r="P27" s="49">
        <v>1</v>
      </c>
      <c r="Q27" s="2" t="str">
        <f t="shared" ref="Q27:Q29" si="0">$E$11</f>
        <v>fraction</v>
      </c>
      <c r="U27" s="48" t="s">
        <v>104</v>
      </c>
      <c r="V27" s="48" t="s">
        <v>207</v>
      </c>
      <c r="W27" s="48" t="s">
        <v>248</v>
      </c>
      <c r="X27" s="48" t="s">
        <v>103</v>
      </c>
      <c r="Y27" s="48" t="s">
        <v>102</v>
      </c>
      <c r="Z27" s="48" t="s">
        <v>126</v>
      </c>
      <c r="AA27" s="48" t="s">
        <v>127</v>
      </c>
      <c r="AB27" s="48" t="s">
        <v>128</v>
      </c>
      <c r="AC27" s="48" t="s">
        <v>129</v>
      </c>
      <c r="AD27" s="48" t="s">
        <v>130</v>
      </c>
      <c r="AE27" s="48" t="s">
        <v>131</v>
      </c>
      <c r="AF27" s="48" t="s">
        <v>132</v>
      </c>
      <c r="AG27" s="48" t="s">
        <v>133</v>
      </c>
    </row>
    <row r="28" spans="1:34" ht="20.100000000000001" customHeight="1" x14ac:dyDescent="0.25">
      <c r="D28" s="49" t="s">
        <v>136</v>
      </c>
      <c r="E28" s="49" t="str" cm="1">
        <f t="array" ref="E28">_xlfn.IFS(D21=D28, "Calving season", D21=D27, "Season after calving", D21=D29, "", D21=D26, "")</f>
        <v/>
      </c>
      <c r="F28" s="49" t="str" cm="1">
        <f t="array" ref="F28">_xlfn.IFS(E28="Calving season", $J$14, E28="Season after calving", $J$15, E28="", "")</f>
        <v/>
      </c>
      <c r="G28" s="49">
        <v>1</v>
      </c>
      <c r="H28" s="49">
        <v>1</v>
      </c>
      <c r="I28" s="49">
        <v>1</v>
      </c>
      <c r="J28" s="49" cm="1">
        <f t="array" ref="J28">IFERROR(EntericMethane_PastureBeef_Equations.VEERG_3_2_1_1__4_AdditionalIntakeForMilkProduction(E$21,$F28), 1)</f>
        <v>1</v>
      </c>
      <c r="K28" s="49" cm="1">
        <f t="array" ref="K28">IFERROR(EntericMethane_PastureBeef_Equations.VEERG_3_2_1_1__4_AdditionalIntakeForMilkProduction(F$21,$F28), 1)</f>
        <v>1</v>
      </c>
      <c r="L28" s="49" cm="1">
        <f t="array" ref="L28">IFERROR(EntericMethane_PastureBeef_Equations.VEERG_3_2_1_1__4_AdditionalIntakeForMilkProduction(G$21,$F28), 1)</f>
        <v>1</v>
      </c>
      <c r="M28" s="49">
        <v>1</v>
      </c>
      <c r="N28" s="49">
        <v>1</v>
      </c>
      <c r="O28" s="49">
        <v>1</v>
      </c>
      <c r="P28" s="49">
        <v>1</v>
      </c>
      <c r="Q28" s="2" t="str">
        <f t="shared" si="0"/>
        <v>fraction</v>
      </c>
      <c r="U28" s="49" t="str">
        <f>TEXT(X_Cell_Site_StartDate,"mmmm")</f>
        <v>January</v>
      </c>
      <c r="V28" s="49" t="str" cm="1">
        <f t="array" ref="V28">IFERROR(_xlfn.IFS(SUMPRODUCT(ISNUMBER(SEARCH(TRIM(_xlfn.TEXTSPLIT($U$22,",")),U28))*1)&gt;0,"Calving season",SUMPRODUCT(ISNUMBER(SEARCH(TRIM(_xlfn.TEXTSPLIT($U$23,",")),U28))*1)&gt;0,"Season after calving"), "")</f>
        <v/>
      </c>
      <c r="W28" s="49" t="str" cm="1">
        <f t="array" ref="W28">_xlfn.IFS(V28="Calving season", $J$14, V28="Season after calving", $J$15, V28="", "")</f>
        <v/>
      </c>
      <c r="X28" s="49">
        <v>1</v>
      </c>
      <c r="Y28" s="49">
        <v>1</v>
      </c>
      <c r="Z28" s="49">
        <v>1</v>
      </c>
      <c r="AA28" s="49" cm="1">
        <f t="array" ref="AA28">IFERROR(EntericMethane_PastureBeef_Equations.VEERG_3_2_1_1__4_AdditionalIntakeForMilkProduction(V$22,$W28), 1)</f>
        <v>1</v>
      </c>
      <c r="AB28" s="49" cm="1">
        <f t="array" ref="AB28">IFERROR(EntericMethane_PastureBeef_Equations.VEERG_3_2_1_1__4_AdditionalIntakeForMilkProduction(W$22,$W28), 1)</f>
        <v>1</v>
      </c>
      <c r="AC28" s="49" cm="1">
        <f t="array" ref="AC28">IFERROR(EntericMethane_PastureBeef_Equations.VEERG_3_2_1_1__4_AdditionalIntakeForMilkProduction(X$22,$W28), 1)</f>
        <v>1</v>
      </c>
      <c r="AD28" s="49">
        <v>1</v>
      </c>
      <c r="AE28" s="49">
        <v>1</v>
      </c>
      <c r="AF28" s="49">
        <v>1</v>
      </c>
      <c r="AG28" s="49">
        <v>1</v>
      </c>
      <c r="AH28" s="2" t="str">
        <f>$E$11</f>
        <v>fraction</v>
      </c>
    </row>
    <row r="29" spans="1:34" ht="20.100000000000001" customHeight="1" x14ac:dyDescent="0.25">
      <c r="D29" s="49" t="s">
        <v>137</v>
      </c>
      <c r="E29" s="49" t="str" cm="1">
        <f t="array" ref="E29">_xlfn.IFS(D21=D29, "Calving season", D21=D28, "Season after calving", D21=D26, "", D21=D27, "")</f>
        <v>Calving season</v>
      </c>
      <c r="F29" s="49" cm="1">
        <f t="array" ref="F29">_xlfn.IFS(E29="Calving season", $J$14, E29="Season after calving", $J$15, E29="", "")</f>
        <v>1.3</v>
      </c>
      <c r="G29" s="49">
        <v>1</v>
      </c>
      <c r="H29" s="49">
        <v>1</v>
      </c>
      <c r="I29" s="49">
        <v>1</v>
      </c>
      <c r="J29" s="49" cm="1">
        <f t="array" ref="J29">IFERROR(EntericMethane_PastureBeef_Equations.VEERG_3_2_1_1__4_AdditionalIntakeForMilkProduction(E$21,$F29), 1)</f>
        <v>1</v>
      </c>
      <c r="K29" s="49" cm="1">
        <f t="array" ref="K29">IFERROR(EntericMethane_PastureBeef_Equations.VEERG_3_2_1_1__4_AdditionalIntakeForMilkProduction(F$21,$F29), 1)</f>
        <v>1</v>
      </c>
      <c r="L29" s="49" cm="1">
        <f t="array" ref="L29">IFERROR(EntericMethane_PastureBeef_Equations.VEERG_3_2_1_1__4_AdditionalIntakeForMilkProduction(G$21,$F29), 1)</f>
        <v>1</v>
      </c>
      <c r="M29" s="49">
        <v>1</v>
      </c>
      <c r="N29" s="49">
        <v>1</v>
      </c>
      <c r="O29" s="49">
        <v>1</v>
      </c>
      <c r="P29" s="49">
        <v>1</v>
      </c>
      <c r="Q29" s="2" t="str">
        <f t="shared" si="0"/>
        <v>fraction</v>
      </c>
      <c r="U29" s="49" t="str">
        <f>TEXT(EDATE(X_Cell_Site_StartDate,1), "mmmm")</f>
        <v>February</v>
      </c>
      <c r="V29" s="49" t="str" cm="1">
        <f t="array" ref="V29">IFERROR(_xlfn.IFS(SUMPRODUCT(ISNUMBER(SEARCH(TRIM(_xlfn.TEXTSPLIT($U$22,",")),U29))*1)&gt;0,"Calving season",SUMPRODUCT(ISNUMBER(SEARCH(TRIM(_xlfn.TEXTSPLIT($U$23,",")),U29))*1)&gt;0,"Season after calving"), "")</f>
        <v/>
      </c>
      <c r="W29" s="49" t="str" cm="1">
        <f t="array" ref="W29">_xlfn.IFS(V29="Calving season", $J$14, V29="Season after calving", $J$15, V29="", "")</f>
        <v/>
      </c>
      <c r="X29" s="49">
        <v>1</v>
      </c>
      <c r="Y29" s="49">
        <v>1</v>
      </c>
      <c r="Z29" s="49">
        <v>1</v>
      </c>
      <c r="AA29" s="49" cm="1">
        <f t="array" ref="AA29">IFERROR(EntericMethane_PastureBeef_Equations.VEERG_3_2_1_1__4_AdditionalIntakeForMilkProduction(V$22,$W29), 1)</f>
        <v>1</v>
      </c>
      <c r="AB29" s="49" cm="1">
        <f t="array" ref="AB29">IFERROR(EntericMethane_PastureBeef_Equations.VEERG_3_2_1_1__4_AdditionalIntakeForMilkProduction(W$22,$W29), 1)</f>
        <v>1</v>
      </c>
      <c r="AC29" s="49" cm="1">
        <f t="array" ref="AC29">IFERROR(EntericMethane_PastureBeef_Equations.VEERG_3_2_1_1__4_AdditionalIntakeForMilkProduction(X$22,$W29), 1)</f>
        <v>1</v>
      </c>
      <c r="AD29" s="49">
        <v>1</v>
      </c>
      <c r="AE29" s="49">
        <v>1</v>
      </c>
      <c r="AF29" s="49">
        <v>1</v>
      </c>
      <c r="AG29" s="49">
        <v>1</v>
      </c>
      <c r="AH29" s="2" t="str">
        <f t="shared" ref="AH29:AH39" si="1">$E$11</f>
        <v>fraction</v>
      </c>
    </row>
    <row r="30" spans="1:34" ht="20.100000000000001" customHeight="1" x14ac:dyDescent="0.25">
      <c r="U30" s="49" t="str">
        <f>TEXT(EDATE(X_Cell_Site_StartDate,2), "mmmm")</f>
        <v>March</v>
      </c>
      <c r="V30" s="49" t="str" cm="1">
        <f t="array" ref="V30">IFERROR(_xlfn.IFS(SUMPRODUCT(ISNUMBER(SEARCH(TRIM(_xlfn.TEXTSPLIT($U$22,",")),U30))*1)&gt;0,"Calving season",SUMPRODUCT(ISNUMBER(SEARCH(TRIM(_xlfn.TEXTSPLIT($U$23,",")),U30))*1)&gt;0,"Season after calving"), "")</f>
        <v/>
      </c>
      <c r="W30" s="49" t="str" cm="1">
        <f t="array" ref="W30">_xlfn.IFS(V30="Calving season", $J$14, V30="Season after calving", $J$15, V30="", "")</f>
        <v/>
      </c>
      <c r="X30" s="49">
        <v>1</v>
      </c>
      <c r="Y30" s="49">
        <v>1</v>
      </c>
      <c r="Z30" s="49">
        <v>1</v>
      </c>
      <c r="AA30" s="49" cm="1">
        <f t="array" ref="AA30">IFERROR(EntericMethane_PastureBeef_Equations.VEERG_3_2_1_1__4_AdditionalIntakeForMilkProduction(V$22,$W30), 1)</f>
        <v>1</v>
      </c>
      <c r="AB30" s="49" cm="1">
        <f t="array" ref="AB30">IFERROR(EntericMethane_PastureBeef_Equations.VEERG_3_2_1_1__4_AdditionalIntakeForMilkProduction(W$22,$W30), 1)</f>
        <v>1</v>
      </c>
      <c r="AC30" s="49" cm="1">
        <f t="array" ref="AC30">IFERROR(EntericMethane_PastureBeef_Equations.VEERG_3_2_1_1__4_AdditionalIntakeForMilkProduction(X$22,$W30), 1)</f>
        <v>1</v>
      </c>
      <c r="AD30" s="49">
        <v>1</v>
      </c>
      <c r="AE30" s="49">
        <v>1</v>
      </c>
      <c r="AF30" s="49">
        <v>1</v>
      </c>
      <c r="AG30" s="49">
        <v>1</v>
      </c>
      <c r="AH30" s="2" t="str">
        <f t="shared" si="1"/>
        <v>fraction</v>
      </c>
    </row>
    <row r="31" spans="1:34" ht="20.100000000000001" customHeight="1" x14ac:dyDescent="0.25">
      <c r="U31" s="49" t="str">
        <f>TEXT(EDATE(X_Cell_Site_StartDate,3), "mmmm")</f>
        <v>April</v>
      </c>
      <c r="V31" s="49" t="str" cm="1">
        <f t="array" ref="V31">IFERROR(_xlfn.IFS(SUMPRODUCT(ISNUMBER(SEARCH(TRIM(_xlfn.TEXTSPLIT($U$22,",")),U31))*1)&gt;0,"Calving season",SUMPRODUCT(ISNUMBER(SEARCH(TRIM(_xlfn.TEXTSPLIT($U$23,",")),U31))*1)&gt;0,"Season after calving"), "")</f>
        <v/>
      </c>
      <c r="W31" s="49" t="str" cm="1">
        <f t="array" ref="W31">_xlfn.IFS(V31="Calving season", $J$14, V31="Season after calving", $J$15, V31="", "")</f>
        <v/>
      </c>
      <c r="X31" s="49">
        <v>1</v>
      </c>
      <c r="Y31" s="49">
        <v>1</v>
      </c>
      <c r="Z31" s="49">
        <v>1</v>
      </c>
      <c r="AA31" s="49" cm="1">
        <f t="array" ref="AA31">IFERROR(EntericMethane_PastureBeef_Equations.VEERG_3_2_1_1__4_AdditionalIntakeForMilkProduction(V$22,$W31), 1)</f>
        <v>1</v>
      </c>
      <c r="AB31" s="49" cm="1">
        <f t="array" ref="AB31">IFERROR(EntericMethane_PastureBeef_Equations.VEERG_3_2_1_1__4_AdditionalIntakeForMilkProduction(W$22,$W31), 1)</f>
        <v>1</v>
      </c>
      <c r="AC31" s="49" cm="1">
        <f t="array" ref="AC31">IFERROR(EntericMethane_PastureBeef_Equations.VEERG_3_2_1_1__4_AdditionalIntakeForMilkProduction(X$22,$W31), 1)</f>
        <v>1</v>
      </c>
      <c r="AD31" s="49">
        <v>1</v>
      </c>
      <c r="AE31" s="49">
        <v>1</v>
      </c>
      <c r="AF31" s="49">
        <v>1</v>
      </c>
      <c r="AG31" s="49">
        <v>1</v>
      </c>
      <c r="AH31" s="2" t="str">
        <f t="shared" si="1"/>
        <v>fraction</v>
      </c>
    </row>
    <row r="32" spans="1:34" ht="20.100000000000001" customHeight="1" x14ac:dyDescent="0.25">
      <c r="C32" s="42"/>
      <c r="D32" s="42"/>
      <c r="E32" s="42"/>
      <c r="F32" s="42"/>
      <c r="G32" s="42"/>
      <c r="H32" s="42"/>
      <c r="I32" s="42"/>
      <c r="J32" s="42"/>
      <c r="K32" s="42"/>
      <c r="L32" s="42"/>
      <c r="M32" s="42"/>
      <c r="N32" s="42"/>
      <c r="O32" s="42"/>
      <c r="P32" s="42"/>
      <c r="Q32" s="42"/>
      <c r="R32" s="42"/>
      <c r="U32" s="49" t="str">
        <f>TEXT(EDATE(X_Cell_Site_StartDate,4), "mmmm")</f>
        <v>May</v>
      </c>
      <c r="V32" s="49" t="str" cm="1">
        <f t="array" ref="V32">IFERROR(_xlfn.IFS(SUMPRODUCT(ISNUMBER(SEARCH(TRIM(_xlfn.TEXTSPLIT($U$22,",")),U32))*1)&gt;0,"Calving season",SUMPRODUCT(ISNUMBER(SEARCH(TRIM(_xlfn.TEXTSPLIT($U$23,",")),U32))*1)&gt;0,"Season after calving"), "")</f>
        <v/>
      </c>
      <c r="W32" s="49" t="str" cm="1">
        <f t="array" ref="W32">_xlfn.IFS(V32="Calving season", $J$14, V32="Season after calving", $J$15, V32="", "")</f>
        <v/>
      </c>
      <c r="X32" s="49">
        <v>1</v>
      </c>
      <c r="Y32" s="49">
        <v>1</v>
      </c>
      <c r="Z32" s="49">
        <v>1</v>
      </c>
      <c r="AA32" s="49" cm="1">
        <f t="array" ref="AA32">IFERROR(EntericMethane_PastureBeef_Equations.VEERG_3_2_1_1__4_AdditionalIntakeForMilkProduction(V$22,$W32), 1)</f>
        <v>1</v>
      </c>
      <c r="AB32" s="49" cm="1">
        <f t="array" ref="AB32">IFERROR(EntericMethane_PastureBeef_Equations.VEERG_3_2_1_1__4_AdditionalIntakeForMilkProduction(W$22,$W32), 1)</f>
        <v>1</v>
      </c>
      <c r="AC32" s="49" cm="1">
        <f t="array" ref="AC32">IFERROR(EntericMethane_PastureBeef_Equations.VEERG_3_2_1_1__4_AdditionalIntakeForMilkProduction(X$22,$W32), 1)</f>
        <v>1</v>
      </c>
      <c r="AD32" s="49">
        <v>1</v>
      </c>
      <c r="AE32" s="49">
        <v>1</v>
      </c>
      <c r="AF32" s="49">
        <v>1</v>
      </c>
      <c r="AG32" s="49">
        <v>1</v>
      </c>
      <c r="AH32" s="2" t="str">
        <f t="shared" si="1"/>
        <v>fraction</v>
      </c>
    </row>
    <row r="33" spans="4:34" ht="20.100000000000001" customHeight="1" x14ac:dyDescent="0.25">
      <c r="D33" s="6" t="str" cm="1">
        <f t="array" ref="D33">EntericMethane_PastureBeef_Equations.VEERG_3_2_1_1__3_FeedIntakeForGrazingBeef_Title()</f>
        <v>Feed intake for grazing beef cattle</v>
      </c>
      <c r="U33" s="49" t="str">
        <f>TEXT(EDATE(X_Cell_Site_StartDate,5), "mmmm")</f>
        <v>June</v>
      </c>
      <c r="V33" s="49" t="str" cm="1">
        <f t="array" ref="V33">IFERROR(_xlfn.IFS(SUMPRODUCT(ISNUMBER(SEARCH(TRIM(_xlfn.TEXTSPLIT($U$22,",")),U33))*1)&gt;0,"Calving season",SUMPRODUCT(ISNUMBER(SEARCH(TRIM(_xlfn.TEXTSPLIT($U$23,",")),U33))*1)&gt;0,"Season after calving"), "")</f>
        <v/>
      </c>
      <c r="W33" s="49" t="str" cm="1">
        <f t="array" ref="W33">_xlfn.IFS(V33="Calving season", $J$14, V33="Season after calving", $J$15, V33="", "")</f>
        <v/>
      </c>
      <c r="X33" s="49">
        <v>1</v>
      </c>
      <c r="Y33" s="49">
        <v>1</v>
      </c>
      <c r="Z33" s="49">
        <v>1</v>
      </c>
      <c r="AA33" s="49" cm="1">
        <f t="array" ref="AA33">IFERROR(EntericMethane_PastureBeef_Equations.VEERG_3_2_1_1__4_AdditionalIntakeForMilkProduction(V$22,$W33), 1)</f>
        <v>1</v>
      </c>
      <c r="AB33" s="49" cm="1">
        <f t="array" ref="AB33">IFERROR(EntericMethane_PastureBeef_Equations.VEERG_3_2_1_1__4_AdditionalIntakeForMilkProduction(W$22,$W33), 1)</f>
        <v>1</v>
      </c>
      <c r="AC33" s="49" cm="1">
        <f t="array" ref="AC33">IFERROR(EntericMethane_PastureBeef_Equations.VEERG_3_2_1_1__4_AdditionalIntakeForMilkProduction(X$22,$W33), 1)</f>
        <v>1</v>
      </c>
      <c r="AD33" s="49">
        <v>1</v>
      </c>
      <c r="AE33" s="49">
        <v>1</v>
      </c>
      <c r="AF33" s="49">
        <v>1</v>
      </c>
      <c r="AG33" s="49">
        <v>1</v>
      </c>
      <c r="AH33" s="2" t="str">
        <f t="shared" si="1"/>
        <v>fraction</v>
      </c>
    </row>
    <row r="34" spans="4:34" ht="20.100000000000001" customHeight="1" x14ac:dyDescent="0.25">
      <c r="D34" s="5" t="str" cm="1">
        <f t="array" ref="D34">EntericMethane_PastureBeef_Equations.VEERG_3_2_1_1__3_FeedIntakeForGrazingBeef_Source()</f>
        <v>VEERG 2026: 3.2.1.1, Equation (3)</v>
      </c>
      <c r="U34" s="49" t="str">
        <f>TEXT(EDATE(X_Cell_Site_StartDate,6), "mmmm")</f>
        <v>July</v>
      </c>
      <c r="V34" s="49" t="str" cm="1">
        <f t="array" ref="V34">IFERROR(_xlfn.IFS(SUMPRODUCT(ISNUMBER(SEARCH(TRIM(_xlfn.TEXTSPLIT($U$22,",")),U34))*1)&gt;0,"Calving season",SUMPRODUCT(ISNUMBER(SEARCH(TRIM(_xlfn.TEXTSPLIT($U$23,",")),U34))*1)&gt;0,"Season after calving"), "")</f>
        <v/>
      </c>
      <c r="W34" s="49" t="str" cm="1">
        <f t="array" ref="W34">_xlfn.IFS(V34="Calving season", $J$14, V34="Season after calving", $J$15, V34="", "")</f>
        <v/>
      </c>
      <c r="X34" s="49">
        <v>1</v>
      </c>
      <c r="Y34" s="49">
        <v>1</v>
      </c>
      <c r="Z34" s="49">
        <v>1</v>
      </c>
      <c r="AA34" s="49" cm="1">
        <f t="array" ref="AA34">IFERROR(EntericMethane_PastureBeef_Equations.VEERG_3_2_1_1__4_AdditionalIntakeForMilkProduction(V$22,$W34), 1)</f>
        <v>1</v>
      </c>
      <c r="AB34" s="49" cm="1">
        <f t="array" ref="AB34">IFERROR(EntericMethane_PastureBeef_Equations.VEERG_3_2_1_1__4_AdditionalIntakeForMilkProduction(W$22,$W34), 1)</f>
        <v>1</v>
      </c>
      <c r="AC34" s="49" cm="1">
        <f t="array" ref="AC34">IFERROR(EntericMethane_PastureBeef_Equations.VEERG_3_2_1_1__4_AdditionalIntakeForMilkProduction(X$22,$W34), 1)</f>
        <v>1</v>
      </c>
      <c r="AD34" s="49">
        <v>1</v>
      </c>
      <c r="AE34" s="49">
        <v>1</v>
      </c>
      <c r="AF34" s="49">
        <v>1</v>
      </c>
      <c r="AG34" s="49">
        <v>1</v>
      </c>
      <c r="AH34" s="2" t="str">
        <f t="shared" si="1"/>
        <v>fraction</v>
      </c>
    </row>
    <row r="35" spans="4:34" ht="20.100000000000001" customHeight="1" x14ac:dyDescent="0.25">
      <c r="D35" s="13" t="s">
        <v>20</v>
      </c>
      <c r="E35" s="13" t="str" cm="1">
        <f t="array" aca="1" ref="E35" ca="1">Common_InputFunctions.Utility_DisplayFunctionName($E$64)</f>
        <v>=EntericMethane_PastureBeef_Equations.VEERG_3_2_1_1__3_FeedIntakeForGrazingBeef</v>
      </c>
      <c r="U35" s="49" t="str">
        <f>TEXT(EDATE(X_Cell_Site_StartDate,7), "mmmm")</f>
        <v>August</v>
      </c>
      <c r="V35" s="49" t="str" cm="1">
        <f t="array" ref="V35">IFERROR(_xlfn.IFS(SUMPRODUCT(ISNUMBER(SEARCH(TRIM(_xlfn.TEXTSPLIT($U$22,",")),U35))*1)&gt;0,"Calving season",SUMPRODUCT(ISNUMBER(SEARCH(TRIM(_xlfn.TEXTSPLIT($U$23,",")),U35))*1)&gt;0,"Season after calving"), "")</f>
        <v>Calving season</v>
      </c>
      <c r="W35" s="49" cm="1">
        <f t="array" ref="W35">_xlfn.IFS(V35="Calving season", $J$14, V35="Season after calving", $J$15, V35="", "")</f>
        <v>1.3</v>
      </c>
      <c r="X35" s="49">
        <v>1</v>
      </c>
      <c r="Y35" s="49">
        <v>1</v>
      </c>
      <c r="Z35" s="49">
        <v>1</v>
      </c>
      <c r="AA35" s="49" cm="1">
        <f t="array" ref="AA35">IFERROR(EntericMethane_PastureBeef_Equations.VEERG_3_2_1_1__4_AdditionalIntakeForMilkProduction(V$22,$W35), 1)</f>
        <v>13661.800000000003</v>
      </c>
      <c r="AB35" s="49" cm="1">
        <f t="array" ref="AB35">IFERROR(EntericMethane_PastureBeef_Equations.VEERG_3_2_1_1__4_AdditionalIntakeForMilkProduction(W$22,$W35), 1)</f>
        <v>1</v>
      </c>
      <c r="AC35" s="49" cm="1">
        <f t="array" ref="AC35">IFERROR(EntericMethane_PastureBeef_Equations.VEERG_3_2_1_1__4_AdditionalIntakeForMilkProduction(X$22,$W35), 1)</f>
        <v>1</v>
      </c>
      <c r="AD35" s="49">
        <v>1</v>
      </c>
      <c r="AE35" s="49">
        <v>1</v>
      </c>
      <c r="AF35" s="49">
        <v>1</v>
      </c>
      <c r="AG35" s="49">
        <v>1</v>
      </c>
      <c r="AH35" s="2" t="str">
        <f t="shared" si="1"/>
        <v>fraction</v>
      </c>
    </row>
    <row r="36" spans="4:34" ht="20.100000000000001" customHeight="1" x14ac:dyDescent="0.25">
      <c r="U36" s="49" t="str">
        <f>TEXT(EDATE(X_Cell_Site_StartDate,8), "mmmm")</f>
        <v>September</v>
      </c>
      <c r="V36" s="49" t="str" cm="1">
        <f t="array" ref="V36">IFERROR(_xlfn.IFS(SUMPRODUCT(ISNUMBER(SEARCH(TRIM(_xlfn.TEXTSPLIT($U$22,",")),U36))*1)&gt;0,"Calving season",SUMPRODUCT(ISNUMBER(SEARCH(TRIM(_xlfn.TEXTSPLIT($U$23,",")),U36))*1)&gt;0,"Season after calving"), "")</f>
        <v>Calving season</v>
      </c>
      <c r="W36" s="49" cm="1">
        <f t="array" ref="W36">_xlfn.IFS(V36="Calving season", $J$14, V36="Season after calving", $J$15, V36="", "")</f>
        <v>1.3</v>
      </c>
      <c r="X36" s="49">
        <v>1</v>
      </c>
      <c r="Y36" s="49">
        <v>1</v>
      </c>
      <c r="Z36" s="49">
        <v>1</v>
      </c>
      <c r="AA36" s="49" cm="1">
        <f t="array" ref="AA36">IFERROR(EntericMethane_PastureBeef_Equations.VEERG_3_2_1_1__4_AdditionalIntakeForMilkProduction(V$22,$W36), 1)</f>
        <v>13661.800000000003</v>
      </c>
      <c r="AB36" s="49" cm="1">
        <f t="array" ref="AB36">IFERROR(EntericMethane_PastureBeef_Equations.VEERG_3_2_1_1__4_AdditionalIntakeForMilkProduction(W$22,$W36), 1)</f>
        <v>1</v>
      </c>
      <c r="AC36" s="49" cm="1">
        <f t="array" ref="AC36">IFERROR(EntericMethane_PastureBeef_Equations.VEERG_3_2_1_1__4_AdditionalIntakeForMilkProduction(X$22,$W36), 1)</f>
        <v>1</v>
      </c>
      <c r="AD36" s="49">
        <v>1</v>
      </c>
      <c r="AE36" s="49">
        <v>1</v>
      </c>
      <c r="AF36" s="49">
        <v>1</v>
      </c>
      <c r="AG36" s="49">
        <v>1</v>
      </c>
      <c r="AH36" s="2" t="str">
        <f t="shared" si="1"/>
        <v>fraction</v>
      </c>
    </row>
    <row r="37" spans="4:34" ht="20.100000000000001" customHeight="1" x14ac:dyDescent="0.25">
      <c r="G37" s="6" t="str" cm="1">
        <f t="array" ref="G37">EntericMethane_PastureBeef_Equations.VEERG_3_2_1_1__3_FeedIntakeForGrazingBeef_LatexEquation()</f>
        <v>I_{jkl}=(1.185+0.00454\times W_{jkl}-0.0000026\times W_{jkl}^{2}+0.315\times LWG_{jkl})^2\times MA_{jk=4,5}</v>
      </c>
      <c r="U37" s="49" t="str">
        <f>TEXT(EDATE(X_Cell_Site_StartDate,9), "mmmm")</f>
        <v>October</v>
      </c>
      <c r="V37" s="49" t="str" cm="1">
        <f t="array" ref="V37">IFERROR(_xlfn.IFS(SUMPRODUCT(ISNUMBER(SEARCH(TRIM(_xlfn.TEXTSPLIT($U$22,",")),U37))*1)&gt;0,"Calving season",SUMPRODUCT(ISNUMBER(SEARCH(TRIM(_xlfn.TEXTSPLIT($U$23,",")),U37))*1)&gt;0,"Season after calving"), "")</f>
        <v>Calving season</v>
      </c>
      <c r="W37" s="49" cm="1">
        <f t="array" ref="W37">_xlfn.IFS(V37="Calving season", $J$14, V37="Season after calving", $J$15, V37="", "")</f>
        <v>1.3</v>
      </c>
      <c r="X37" s="49">
        <v>1</v>
      </c>
      <c r="Y37" s="49">
        <v>1</v>
      </c>
      <c r="Z37" s="49">
        <v>1</v>
      </c>
      <c r="AA37" s="49" cm="1">
        <f t="array" ref="AA37">IFERROR(EntericMethane_PastureBeef_Equations.VEERG_3_2_1_1__4_AdditionalIntakeForMilkProduction(V$22,$W37), 1)</f>
        <v>13661.800000000003</v>
      </c>
      <c r="AB37" s="49" cm="1">
        <f t="array" ref="AB37">IFERROR(EntericMethane_PastureBeef_Equations.VEERG_3_2_1_1__4_AdditionalIntakeForMilkProduction(W$22,$W37), 1)</f>
        <v>1</v>
      </c>
      <c r="AC37" s="49" cm="1">
        <f t="array" ref="AC37">IFERROR(EntericMethane_PastureBeef_Equations.VEERG_3_2_1_1__4_AdditionalIntakeForMilkProduction(X$22,$W37), 1)</f>
        <v>1</v>
      </c>
      <c r="AD37" s="49">
        <v>1</v>
      </c>
      <c r="AE37" s="49">
        <v>1</v>
      </c>
      <c r="AF37" s="49">
        <v>1</v>
      </c>
      <c r="AG37" s="49">
        <v>1</v>
      </c>
      <c r="AH37" s="2" t="str">
        <f t="shared" si="1"/>
        <v>fraction</v>
      </c>
    </row>
    <row r="38" spans="4:34" ht="20.100000000000001" customHeight="1" x14ac:dyDescent="0.25">
      <c r="D38" s="50" t="s">
        <v>23</v>
      </c>
      <c r="E38" s="1" t="str" cm="1">
        <f t="array" ref="E38">EntericMethane_PastureBeef_Equations.VEERG_3_2_1_1__3_FeedIntakeForGrazingBeef_Variable()</f>
        <v>I_jkl</v>
      </c>
      <c r="U38" s="49" t="str">
        <f>TEXT(EDATE(X_Cell_Site_StartDate,10), "mmmm")</f>
        <v>November</v>
      </c>
      <c r="V38" s="49" t="str" cm="1">
        <f t="array" ref="V38">IFERROR(_xlfn.IFS(SUMPRODUCT(ISNUMBER(SEARCH(TRIM(_xlfn.TEXTSPLIT($U$22,",")),U38))*1)&gt;0,"Calving season",SUMPRODUCT(ISNUMBER(SEARCH(TRIM(_xlfn.TEXTSPLIT($U$23,",")),U38))*1)&gt;0,"Season after calving"), "")</f>
        <v>Season after calving</v>
      </c>
      <c r="W38" s="49" cm="1">
        <f t="array" ref="W38">_xlfn.IFS(V38="Calving season", $J$14, V38="Season after calving", $J$15, V38="", "")</f>
        <v>1.1000000000000001</v>
      </c>
      <c r="X38" s="49">
        <v>1</v>
      </c>
      <c r="Y38" s="49">
        <v>1</v>
      </c>
      <c r="Z38" s="49">
        <v>1</v>
      </c>
      <c r="AA38" s="49" cm="1">
        <f t="array" ref="AA38">IFERROR(EntericMethane_PastureBeef_Equations.VEERG_3_2_1_1__4_AdditionalIntakeForMilkProduction(V$22,$W38), 1)</f>
        <v>4554.6000000000058</v>
      </c>
      <c r="AB38" s="49" cm="1">
        <f t="array" ref="AB38">IFERROR(EntericMethane_PastureBeef_Equations.VEERG_3_2_1_1__4_AdditionalIntakeForMilkProduction(W$22,$W38), 1)</f>
        <v>1</v>
      </c>
      <c r="AC38" s="49" cm="1">
        <f t="array" ref="AC38">IFERROR(EntericMethane_PastureBeef_Equations.VEERG_3_2_1_1__4_AdditionalIntakeForMilkProduction(X$22,$W38), 1)</f>
        <v>1</v>
      </c>
      <c r="AD38" s="49">
        <v>1</v>
      </c>
      <c r="AE38" s="49">
        <v>1</v>
      </c>
      <c r="AF38" s="49">
        <v>1</v>
      </c>
      <c r="AG38" s="49">
        <v>1</v>
      </c>
      <c r="AH38" s="2" t="str">
        <f t="shared" si="1"/>
        <v>fraction</v>
      </c>
    </row>
    <row r="39" spans="4:34" ht="20.100000000000001" customHeight="1" x14ac:dyDescent="0.25">
      <c r="D39" s="50" t="s">
        <v>14</v>
      </c>
      <c r="E39" s="51" t="str" cm="1">
        <f t="array" ref="E39">EntericMethane_PastureBeef_Equations.VEERG_3_2_1_1__3_FeedIntakeForGrazingBeef_Unit()</f>
        <v>kg DM/head/day</v>
      </c>
      <c r="U39" s="49" t="str">
        <f>TEXT(EDATE(X_Cell_Site_StartDate,11), "mmmm")</f>
        <v>December</v>
      </c>
      <c r="V39" s="49" t="str" cm="1">
        <f t="array" ref="V39">IFERROR(_xlfn.IFS(SUMPRODUCT(ISNUMBER(SEARCH(TRIM(_xlfn.TEXTSPLIT($U$22,",")),U39))*1)&gt;0,"Calving season",SUMPRODUCT(ISNUMBER(SEARCH(TRIM(_xlfn.TEXTSPLIT($U$23,",")),U39))*1)&gt;0,"Season after calving"), "")</f>
        <v/>
      </c>
      <c r="W39" s="49" t="str" cm="1">
        <f t="array" ref="W39">_xlfn.IFS(V39="Calving season", $J$14, V39="Season after calving", $J$15, V39="", "")</f>
        <v/>
      </c>
      <c r="X39" s="49">
        <v>1</v>
      </c>
      <c r="Y39" s="49">
        <v>1</v>
      </c>
      <c r="Z39" s="49">
        <v>1</v>
      </c>
      <c r="AA39" s="49" cm="1">
        <f t="array" ref="AA39">IFERROR(EntericMethane_PastureBeef_Equations.VEERG_3_2_1_1__4_AdditionalIntakeForMilkProduction(V$22,$W39), 1)</f>
        <v>1</v>
      </c>
      <c r="AB39" s="49" cm="1">
        <f t="array" ref="AB39">IFERROR(EntericMethane_PastureBeef_Equations.VEERG_3_2_1_1__4_AdditionalIntakeForMilkProduction(W$22,$W39), 1)</f>
        <v>1</v>
      </c>
      <c r="AC39" s="49" cm="1">
        <f t="array" ref="AC39">IFERROR(EntericMethane_PastureBeef_Equations.VEERG_3_2_1_1__4_AdditionalIntakeForMilkProduction(X$22,$W39), 1)</f>
        <v>1</v>
      </c>
      <c r="AD39" s="49">
        <v>1</v>
      </c>
      <c r="AE39" s="49">
        <v>1</v>
      </c>
      <c r="AF39" s="49">
        <v>1</v>
      </c>
      <c r="AG39" s="49">
        <v>1</v>
      </c>
      <c r="AH39" s="2" t="str">
        <f t="shared" si="1"/>
        <v>fraction</v>
      </c>
    </row>
    <row r="40" spans="4:34" ht="20.100000000000001" customHeight="1" x14ac:dyDescent="0.25"/>
    <row r="41" spans="4:34" ht="20.100000000000001" customHeight="1" x14ac:dyDescent="0.25">
      <c r="D41" s="108" t="str" cm="1">
        <f t="array" ref="D41:E43">_xlfn.CHOOSECOLS(EntericMethane_PastureBeef_Equations.VEERG_3_2_1_1__3_FeedIntakeForGrazingBeef_Arguments(), 1, 2)</f>
        <v>W_jkl</v>
      </c>
      <c r="E41" s="113" t="str">
        <v>liveweight (kg)</v>
      </c>
      <c r="F41" s="112"/>
      <c r="G41" s="108" t="str" cm="1">
        <f t="array" ref="G41:H43">_xlfn.CHOOSECOLS(EntericMethane_PastureBeef_Equations.VEERG_3_2_1_1__3_FeedIntakeForGrazingBeef_Arguments(), 3,4)</f>
        <v>kg</v>
      </c>
      <c r="H41" s="110" t="str">
        <v>Input</v>
      </c>
      <c r="I41" s="107" t="str" cm="1">
        <f t="array" aca="1" ref="I41" ca="1">HYPERLINK(Common_InputFunctions.Utility_SourceHyperlink($D$45), $D$45)</f>
        <v>M1_Table_W_j_k_l</v>
      </c>
      <c r="U41" s="92" t="s">
        <v>254</v>
      </c>
    </row>
    <row r="42" spans="4:34" ht="20.100000000000001" customHeight="1" x14ac:dyDescent="0.25">
      <c r="D42" s="108" t="str">
        <v>LWG_jkl</v>
      </c>
      <c r="E42" s="113" t="str">
        <v>live weight gain (kg/head/day)</v>
      </c>
      <c r="F42" s="112"/>
      <c r="G42" s="108" t="str">
        <v>kg/head/day</v>
      </c>
      <c r="H42" s="110" t="str">
        <v>Input</v>
      </c>
      <c r="I42" s="107" t="str" cm="1">
        <f t="array" aca="1" ref="I42" ca="1">HYPERLINK(Common_InputFunctions.Utility_SourceHyperlink($D$53), $D$53)</f>
        <v>M1_Table_LWG_j_k_l</v>
      </c>
      <c r="U42" s="91" t="s">
        <v>215</v>
      </c>
    </row>
    <row r="43" spans="4:34" ht="20.100000000000001" customHeight="1" x14ac:dyDescent="0.25">
      <c r="D43" s="108" t="str">
        <v>MA_jk45</v>
      </c>
      <c r="E43" s="113" t="str">
        <v>additional intake for milk production in cows greater than 2 years</v>
      </c>
      <c r="F43" s="112"/>
      <c r="G43" s="108" t="str">
        <v>kg/head/day</v>
      </c>
      <c r="H43" s="109" t="str">
        <v>Calculated from 3.2.1.1, (4)</v>
      </c>
      <c r="I43" s="107" t="str" cm="1">
        <f t="array" aca="1" ref="I43" ca="1">HYPERLINK(Common_InputFunctions.Utility_SourceHyperlink($D$23), $D$23)</f>
        <v>M1_Table_MA_j_k-4-5</v>
      </c>
      <c r="U43" s="48" t="s">
        <v>104</v>
      </c>
      <c r="V43" s="111" t="s">
        <v>103</v>
      </c>
      <c r="W43" s="111" t="s">
        <v>102</v>
      </c>
      <c r="X43" s="111" t="s">
        <v>126</v>
      </c>
      <c r="Y43" s="111" t="s">
        <v>127</v>
      </c>
      <c r="Z43" s="111" t="s">
        <v>128</v>
      </c>
      <c r="AA43" s="111" t="s">
        <v>129</v>
      </c>
      <c r="AB43" s="111" t="s">
        <v>130</v>
      </c>
      <c r="AC43" s="111" t="s">
        <v>131</v>
      </c>
      <c r="AD43" s="111" t="s">
        <v>132</v>
      </c>
      <c r="AE43" s="111" t="s">
        <v>133</v>
      </c>
      <c r="AF43" s="2"/>
    </row>
    <row r="44" spans="4:34" ht="20.100000000000001" customHeight="1" x14ac:dyDescent="0.25">
      <c r="U44" s="49" t="str">
        <f>TEXT(X_Cell_Site_StartDate,"mmmm")</f>
        <v>January</v>
      </c>
      <c r="V44" s="49" cm="1">
        <f t="array" aca="1" ref="V44:AE55" ca="1">OFFSET(X_Table_PastureBeef_Liveweight_Method2,1,1,12,10)</f>
        <v>380</v>
      </c>
      <c r="W44" s="49">
        <f ca="1"/>
        <v>780</v>
      </c>
      <c r="X44" s="49">
        <f ca="1"/>
        <v>300</v>
      </c>
      <c r="Y44" s="49">
        <f ca="1"/>
        <v>450</v>
      </c>
      <c r="Z44" s="49">
        <f ca="1"/>
        <v>530</v>
      </c>
      <c r="AA44" s="49">
        <f ca="1"/>
        <v>530</v>
      </c>
      <c r="AB44" s="49">
        <f ca="1"/>
        <v>340</v>
      </c>
      <c r="AC44" s="49">
        <f ca="1"/>
        <v>470</v>
      </c>
      <c r="AD44" s="49">
        <f ca="1"/>
        <v>470</v>
      </c>
      <c r="AE44" s="49">
        <f ca="1"/>
        <v>470</v>
      </c>
      <c r="AF44" s="2" t="s">
        <v>105</v>
      </c>
    </row>
    <row r="45" spans="4:34" ht="20.100000000000001" customHeight="1" x14ac:dyDescent="0.25">
      <c r="D45" s="92" t="s">
        <v>230</v>
      </c>
      <c r="U45" s="49" t="str">
        <f>TEXT(EDATE(X_Cell_Site_StartDate,1), "mmmm")</f>
        <v>February</v>
      </c>
      <c r="V45" s="49">
        <f ca="1"/>
        <v>380</v>
      </c>
      <c r="W45" s="49">
        <f ca="1"/>
        <v>780</v>
      </c>
      <c r="X45" s="49">
        <f ca="1"/>
        <v>300</v>
      </c>
      <c r="Y45" s="49">
        <f ca="1"/>
        <v>450</v>
      </c>
      <c r="Z45" s="49">
        <f ca="1"/>
        <v>530</v>
      </c>
      <c r="AA45" s="49">
        <f ca="1"/>
        <v>530</v>
      </c>
      <c r="AB45" s="49">
        <f ca="1"/>
        <v>340</v>
      </c>
      <c r="AC45" s="49">
        <f ca="1"/>
        <v>470</v>
      </c>
      <c r="AD45" s="49">
        <f ca="1"/>
        <v>470</v>
      </c>
      <c r="AE45" s="49">
        <f ca="1"/>
        <v>470</v>
      </c>
      <c r="AF45" s="2" t="s">
        <v>105</v>
      </c>
    </row>
    <row r="46" spans="4:34" ht="20.100000000000001" customHeight="1" x14ac:dyDescent="0.25">
      <c r="D46" s="91" t="s">
        <v>205</v>
      </c>
      <c r="U46" s="49" t="str">
        <f>TEXT(EDATE(X_Cell_Site_StartDate,2), "mmmm")</f>
        <v>March</v>
      </c>
      <c r="V46" s="49">
        <f ca="1"/>
        <v>100</v>
      </c>
      <c r="W46" s="49">
        <f ca="1"/>
        <v>680</v>
      </c>
      <c r="X46" s="49">
        <f ca="1"/>
        <v>80</v>
      </c>
      <c r="Y46" s="49">
        <f ca="1"/>
        <v>320</v>
      </c>
      <c r="Z46" s="49">
        <f ca="1"/>
        <v>480</v>
      </c>
      <c r="AA46" s="49">
        <f ca="1"/>
        <v>480</v>
      </c>
      <c r="AB46" s="49">
        <f ca="1"/>
        <v>100</v>
      </c>
      <c r="AC46" s="49">
        <f ca="1"/>
        <v>340</v>
      </c>
      <c r="AD46" s="49">
        <f ca="1"/>
        <v>340</v>
      </c>
      <c r="AE46" s="49">
        <f ca="1"/>
        <v>340</v>
      </c>
      <c r="AF46" s="2" t="s">
        <v>105</v>
      </c>
    </row>
    <row r="47" spans="4:34" ht="20.100000000000001" customHeight="1" x14ac:dyDescent="0.25">
      <c r="D47" s="48" t="s">
        <v>145</v>
      </c>
      <c r="E47" s="111" t="s">
        <v>103</v>
      </c>
      <c r="F47" s="111" t="s">
        <v>102</v>
      </c>
      <c r="G47" s="111" t="s">
        <v>126</v>
      </c>
      <c r="H47" s="111" t="s">
        <v>127</v>
      </c>
      <c r="I47" s="111" t="s">
        <v>128</v>
      </c>
      <c r="J47" s="111" t="s">
        <v>129</v>
      </c>
      <c r="K47" s="111" t="s">
        <v>130</v>
      </c>
      <c r="L47" s="111" t="s">
        <v>131</v>
      </c>
      <c r="M47" s="111" t="s">
        <v>132</v>
      </c>
      <c r="N47" s="111" t="s">
        <v>133</v>
      </c>
      <c r="U47" s="49" t="str">
        <f>TEXT(EDATE(X_Cell_Site_StartDate,3), "mmmm")</f>
        <v>April</v>
      </c>
      <c r="V47" s="49">
        <f ca="1"/>
        <v>100</v>
      </c>
      <c r="W47" s="49">
        <f ca="1"/>
        <v>680</v>
      </c>
      <c r="X47" s="49">
        <f ca="1"/>
        <v>80</v>
      </c>
      <c r="Y47" s="49">
        <f ca="1"/>
        <v>320</v>
      </c>
      <c r="Z47" s="49">
        <f ca="1"/>
        <v>480</v>
      </c>
      <c r="AA47" s="49">
        <f ca="1"/>
        <v>480</v>
      </c>
      <c r="AB47" s="49">
        <f ca="1"/>
        <v>100</v>
      </c>
      <c r="AC47" s="49">
        <f ca="1"/>
        <v>340</v>
      </c>
      <c r="AD47" s="49">
        <f ca="1"/>
        <v>340</v>
      </c>
      <c r="AE47" s="49">
        <f ca="1"/>
        <v>340</v>
      </c>
      <c r="AF47" s="2" t="s">
        <v>105</v>
      </c>
    </row>
    <row r="48" spans="4:34" ht="20.100000000000001" customHeight="1" x14ac:dyDescent="0.25">
      <c r="D48" s="49" t="str">
        <f>INDEX(X_Table_PastureBeef_Liveweight_Method1,2,1)</f>
        <v>Spring</v>
      </c>
      <c r="E48" s="49" cm="1">
        <f t="array" aca="1" ref="E48:N51" ca="1">OFFSET(X_Table_PastureBeef_Liveweight_Method1, 1,1, 4,10)</f>
        <v>340</v>
      </c>
      <c r="F48" s="49">
        <f ca="1"/>
        <v>800</v>
      </c>
      <c r="G48" s="49">
        <f ca="1"/>
        <v>260</v>
      </c>
      <c r="H48" s="49">
        <f ca="1"/>
        <v>420</v>
      </c>
      <c r="I48" s="49">
        <f ca="1"/>
        <v>550</v>
      </c>
      <c r="J48" s="49">
        <f ca="1"/>
        <v>550</v>
      </c>
      <c r="K48" s="49">
        <f ca="1"/>
        <v>300</v>
      </c>
      <c r="L48" s="49">
        <f ca="1"/>
        <v>480</v>
      </c>
      <c r="M48" s="49">
        <f ca="1"/>
        <v>480</v>
      </c>
      <c r="N48" s="49">
        <f ca="1"/>
        <v>480</v>
      </c>
      <c r="O48" s="2" t="s">
        <v>105</v>
      </c>
      <c r="P48" s="2"/>
      <c r="Q48" s="2"/>
      <c r="U48" s="49" t="str">
        <f>TEXT(EDATE(X_Cell_Site_StartDate,4), "mmmm")</f>
        <v>May</v>
      </c>
      <c r="V48" s="49">
        <f ca="1"/>
        <v>100</v>
      </c>
      <c r="W48" s="49">
        <f ca="1"/>
        <v>680</v>
      </c>
      <c r="X48" s="49">
        <f ca="1"/>
        <v>80</v>
      </c>
      <c r="Y48" s="49">
        <f ca="1"/>
        <v>320</v>
      </c>
      <c r="Z48" s="49">
        <f ca="1"/>
        <v>480</v>
      </c>
      <c r="AA48" s="49">
        <f ca="1"/>
        <v>480</v>
      </c>
      <c r="AB48" s="49">
        <f ca="1"/>
        <v>100</v>
      </c>
      <c r="AC48" s="49">
        <f ca="1"/>
        <v>340</v>
      </c>
      <c r="AD48" s="49">
        <f ca="1"/>
        <v>340</v>
      </c>
      <c r="AE48" s="49">
        <f ca="1"/>
        <v>340</v>
      </c>
      <c r="AF48" s="2" t="s">
        <v>105</v>
      </c>
    </row>
    <row r="49" spans="4:34" ht="20.100000000000001" customHeight="1" x14ac:dyDescent="0.25">
      <c r="D49" s="49" t="str">
        <f>INDEX(X_Table_PastureBeef_Liveweight_Method1,3,1)</f>
        <v>Summer</v>
      </c>
      <c r="E49" s="49">
        <f ca="1"/>
        <v>380</v>
      </c>
      <c r="F49" s="49">
        <f ca="1"/>
        <v>780</v>
      </c>
      <c r="G49" s="49">
        <f ca="1"/>
        <v>300</v>
      </c>
      <c r="H49" s="49">
        <f ca="1"/>
        <v>450</v>
      </c>
      <c r="I49" s="49">
        <f ca="1"/>
        <v>530</v>
      </c>
      <c r="J49" s="49">
        <f ca="1"/>
        <v>530</v>
      </c>
      <c r="K49" s="49">
        <f ca="1"/>
        <v>340</v>
      </c>
      <c r="L49" s="49">
        <f ca="1"/>
        <v>470</v>
      </c>
      <c r="M49" s="49">
        <f ca="1"/>
        <v>470</v>
      </c>
      <c r="N49" s="49">
        <f ca="1"/>
        <v>470</v>
      </c>
      <c r="O49" s="2" t="s">
        <v>105</v>
      </c>
      <c r="P49" s="2"/>
      <c r="Q49" s="2"/>
      <c r="U49" s="49" t="str">
        <f>TEXT(EDATE(X_Cell_Site_StartDate,5), "mmmm")</f>
        <v>June</v>
      </c>
      <c r="V49" s="49">
        <f ca="1"/>
        <v>190</v>
      </c>
      <c r="W49" s="49">
        <f ca="1"/>
        <v>700</v>
      </c>
      <c r="X49" s="49">
        <f ca="1"/>
        <v>150</v>
      </c>
      <c r="Y49" s="49">
        <f ca="1"/>
        <v>330</v>
      </c>
      <c r="Z49" s="49">
        <f ca="1"/>
        <v>490</v>
      </c>
      <c r="AA49" s="49">
        <f ca="1"/>
        <v>490</v>
      </c>
      <c r="AB49" s="49">
        <f ca="1"/>
        <v>170</v>
      </c>
      <c r="AC49" s="49">
        <f ca="1"/>
        <v>360</v>
      </c>
      <c r="AD49" s="49">
        <f ca="1"/>
        <v>360</v>
      </c>
      <c r="AE49" s="49">
        <f ca="1"/>
        <v>360</v>
      </c>
      <c r="AF49" s="2" t="s">
        <v>105</v>
      </c>
    </row>
    <row r="50" spans="4:34" ht="20.100000000000001" customHeight="1" x14ac:dyDescent="0.25">
      <c r="D50" s="49" t="str">
        <f>INDEX(X_Table_PastureBeef_Liveweight_Method1,4,1)</f>
        <v>Autumn</v>
      </c>
      <c r="E50" s="49">
        <f ca="1"/>
        <v>100</v>
      </c>
      <c r="F50" s="49">
        <f ca="1"/>
        <v>680</v>
      </c>
      <c r="G50" s="49">
        <f ca="1"/>
        <v>80</v>
      </c>
      <c r="H50" s="49">
        <f ca="1"/>
        <v>320</v>
      </c>
      <c r="I50" s="49">
        <f ca="1"/>
        <v>480</v>
      </c>
      <c r="J50" s="49">
        <f ca="1"/>
        <v>480</v>
      </c>
      <c r="K50" s="49">
        <f ca="1"/>
        <v>100</v>
      </c>
      <c r="L50" s="49">
        <f ca="1"/>
        <v>340</v>
      </c>
      <c r="M50" s="49">
        <f ca="1"/>
        <v>340</v>
      </c>
      <c r="N50" s="49">
        <f ca="1"/>
        <v>340</v>
      </c>
      <c r="O50" s="2" t="s">
        <v>105</v>
      </c>
      <c r="P50" s="2"/>
      <c r="Q50" s="2"/>
      <c r="U50" s="49" t="str">
        <f>TEXT(EDATE(X_Cell_Site_StartDate,6), "mmmm")</f>
        <v>July</v>
      </c>
      <c r="V50" s="49">
        <f ca="1"/>
        <v>190</v>
      </c>
      <c r="W50" s="49">
        <f ca="1"/>
        <v>700</v>
      </c>
      <c r="X50" s="49">
        <f ca="1"/>
        <v>150</v>
      </c>
      <c r="Y50" s="49">
        <f ca="1"/>
        <v>330</v>
      </c>
      <c r="Z50" s="49">
        <f ca="1"/>
        <v>490</v>
      </c>
      <c r="AA50" s="49">
        <f ca="1"/>
        <v>490</v>
      </c>
      <c r="AB50" s="49">
        <f ca="1"/>
        <v>170</v>
      </c>
      <c r="AC50" s="49">
        <f ca="1"/>
        <v>360</v>
      </c>
      <c r="AD50" s="49">
        <f ca="1"/>
        <v>360</v>
      </c>
      <c r="AE50" s="49">
        <f ca="1"/>
        <v>360</v>
      </c>
      <c r="AF50" s="2" t="s">
        <v>105</v>
      </c>
    </row>
    <row r="51" spans="4:34" ht="20.100000000000001" customHeight="1" x14ac:dyDescent="0.25">
      <c r="D51" s="49" t="str">
        <f>INDEX(X_Table_PastureBeef_Liveweight_Method1,5,1)</f>
        <v>Winter</v>
      </c>
      <c r="E51" s="49">
        <f ca="1"/>
        <v>190</v>
      </c>
      <c r="F51" s="49">
        <f ca="1"/>
        <v>700</v>
      </c>
      <c r="G51" s="49">
        <f ca="1"/>
        <v>150</v>
      </c>
      <c r="H51" s="49">
        <f ca="1"/>
        <v>330</v>
      </c>
      <c r="I51" s="49">
        <f ca="1"/>
        <v>490</v>
      </c>
      <c r="J51" s="49">
        <f ca="1"/>
        <v>490</v>
      </c>
      <c r="K51" s="49">
        <f ca="1"/>
        <v>170</v>
      </c>
      <c r="L51" s="49">
        <f ca="1"/>
        <v>360</v>
      </c>
      <c r="M51" s="49">
        <f ca="1"/>
        <v>360</v>
      </c>
      <c r="N51" s="49">
        <f ca="1"/>
        <v>360</v>
      </c>
      <c r="O51" s="2" t="s">
        <v>105</v>
      </c>
      <c r="P51" s="2"/>
      <c r="Q51" s="2"/>
      <c r="U51" s="49" t="str">
        <f>TEXT(EDATE(X_Cell_Site_StartDate,7), "mmmm")</f>
        <v>August</v>
      </c>
      <c r="V51" s="49">
        <f ca="1"/>
        <v>190</v>
      </c>
      <c r="W51" s="49">
        <f ca="1"/>
        <v>700</v>
      </c>
      <c r="X51" s="49">
        <f ca="1"/>
        <v>150</v>
      </c>
      <c r="Y51" s="49">
        <f ca="1"/>
        <v>330</v>
      </c>
      <c r="Z51" s="49">
        <f ca="1"/>
        <v>490</v>
      </c>
      <c r="AA51" s="49">
        <f ca="1"/>
        <v>490</v>
      </c>
      <c r="AB51" s="49">
        <f ca="1"/>
        <v>170</v>
      </c>
      <c r="AC51" s="49">
        <f ca="1"/>
        <v>360</v>
      </c>
      <c r="AD51" s="49">
        <f ca="1"/>
        <v>360</v>
      </c>
      <c r="AE51" s="49">
        <f ca="1"/>
        <v>360</v>
      </c>
      <c r="AF51" s="2" t="s">
        <v>105</v>
      </c>
      <c r="AG51" s="2"/>
      <c r="AH51" s="2"/>
    </row>
    <row r="52" spans="4:34" ht="20.100000000000001" customHeight="1" x14ac:dyDescent="0.25">
      <c r="U52" s="49" t="str">
        <f>TEXT(EDATE(X_Cell_Site_StartDate,8), "mmmm")</f>
        <v>September</v>
      </c>
      <c r="V52" s="49">
        <f ca="1"/>
        <v>340</v>
      </c>
      <c r="W52" s="49">
        <f ca="1"/>
        <v>800</v>
      </c>
      <c r="X52" s="49">
        <f ca="1"/>
        <v>260</v>
      </c>
      <c r="Y52" s="49">
        <f ca="1"/>
        <v>420</v>
      </c>
      <c r="Z52" s="49">
        <f ca="1"/>
        <v>550</v>
      </c>
      <c r="AA52" s="49">
        <f ca="1"/>
        <v>550</v>
      </c>
      <c r="AB52" s="49">
        <f ca="1"/>
        <v>300</v>
      </c>
      <c r="AC52" s="49">
        <f ca="1"/>
        <v>480</v>
      </c>
      <c r="AD52" s="49">
        <f ca="1"/>
        <v>480</v>
      </c>
      <c r="AE52" s="49">
        <f ca="1"/>
        <v>480</v>
      </c>
      <c r="AF52" s="2" t="s">
        <v>105</v>
      </c>
      <c r="AG52" s="2"/>
      <c r="AH52" s="2"/>
    </row>
    <row r="53" spans="4:34" ht="20.100000000000001" customHeight="1" x14ac:dyDescent="0.25">
      <c r="D53" s="92" t="s">
        <v>203</v>
      </c>
      <c r="U53" s="49" t="str">
        <f>TEXT(EDATE(X_Cell_Site_StartDate,9), "mmmm")</f>
        <v>October</v>
      </c>
      <c r="V53" s="49">
        <f ca="1"/>
        <v>340</v>
      </c>
      <c r="W53" s="49">
        <f ca="1"/>
        <v>800</v>
      </c>
      <c r="X53" s="49">
        <f ca="1"/>
        <v>260</v>
      </c>
      <c r="Y53" s="49">
        <f ca="1"/>
        <v>420</v>
      </c>
      <c r="Z53" s="49">
        <f ca="1"/>
        <v>550</v>
      </c>
      <c r="AA53" s="49">
        <f ca="1"/>
        <v>550</v>
      </c>
      <c r="AB53" s="49">
        <f ca="1"/>
        <v>300</v>
      </c>
      <c r="AC53" s="49">
        <f ca="1"/>
        <v>480</v>
      </c>
      <c r="AD53" s="49">
        <f ca="1"/>
        <v>480</v>
      </c>
      <c r="AE53" s="49">
        <f ca="1"/>
        <v>480</v>
      </c>
      <c r="AF53" s="2" t="s">
        <v>105</v>
      </c>
      <c r="AG53" s="2"/>
      <c r="AH53" s="2"/>
    </row>
    <row r="54" spans="4:34" ht="20.100000000000001" customHeight="1" x14ac:dyDescent="0.25">
      <c r="D54" s="91" t="s">
        <v>204</v>
      </c>
      <c r="U54" s="49" t="str">
        <f>TEXT(EDATE(X_Cell_Site_StartDate,10), "mmmm")</f>
        <v>November</v>
      </c>
      <c r="V54" s="49">
        <f ca="1"/>
        <v>340</v>
      </c>
      <c r="W54" s="49">
        <f ca="1"/>
        <v>800</v>
      </c>
      <c r="X54" s="49">
        <f ca="1"/>
        <v>260</v>
      </c>
      <c r="Y54" s="49">
        <f ca="1"/>
        <v>420</v>
      </c>
      <c r="Z54" s="49">
        <f ca="1"/>
        <v>550</v>
      </c>
      <c r="AA54" s="49">
        <f ca="1"/>
        <v>550</v>
      </c>
      <c r="AB54" s="49">
        <f ca="1"/>
        <v>300</v>
      </c>
      <c r="AC54" s="49">
        <f ca="1"/>
        <v>480</v>
      </c>
      <c r="AD54" s="49">
        <f ca="1"/>
        <v>480</v>
      </c>
      <c r="AE54" s="49">
        <f ca="1"/>
        <v>480</v>
      </c>
      <c r="AF54" s="2" t="s">
        <v>105</v>
      </c>
      <c r="AG54" s="2"/>
      <c r="AH54" s="2"/>
    </row>
    <row r="55" spans="4:34" ht="20.100000000000001" customHeight="1" x14ac:dyDescent="0.25">
      <c r="D55" s="48" t="s">
        <v>145</v>
      </c>
      <c r="E55" s="111" t="s">
        <v>103</v>
      </c>
      <c r="F55" s="111" t="s">
        <v>102</v>
      </c>
      <c r="G55" s="111" t="s">
        <v>126</v>
      </c>
      <c r="H55" s="111" t="s">
        <v>127</v>
      </c>
      <c r="I55" s="111" t="s">
        <v>128</v>
      </c>
      <c r="J55" s="111" t="s">
        <v>129</v>
      </c>
      <c r="K55" s="111" t="s">
        <v>130</v>
      </c>
      <c r="L55" s="111" t="s">
        <v>131</v>
      </c>
      <c r="M55" s="111" t="s">
        <v>132</v>
      </c>
      <c r="N55" s="111" t="s">
        <v>133</v>
      </c>
      <c r="U55" s="49" t="str">
        <f>TEXT(EDATE(X_Cell_Site_StartDate,11), "mmmm")</f>
        <v>December</v>
      </c>
      <c r="V55" s="49">
        <f ca="1"/>
        <v>380</v>
      </c>
      <c r="W55" s="49">
        <f ca="1"/>
        <v>780</v>
      </c>
      <c r="X55" s="49">
        <f ca="1"/>
        <v>300</v>
      </c>
      <c r="Y55" s="49">
        <f ca="1"/>
        <v>450</v>
      </c>
      <c r="Z55" s="49">
        <f ca="1"/>
        <v>530</v>
      </c>
      <c r="AA55" s="49">
        <f ca="1"/>
        <v>530</v>
      </c>
      <c r="AB55" s="49">
        <f ca="1"/>
        <v>340</v>
      </c>
      <c r="AC55" s="49">
        <f ca="1"/>
        <v>470</v>
      </c>
      <c r="AD55" s="49">
        <f ca="1"/>
        <v>470</v>
      </c>
      <c r="AE55" s="49">
        <f ca="1"/>
        <v>470</v>
      </c>
      <c r="AF55" s="2" t="s">
        <v>105</v>
      </c>
      <c r="AG55" s="2"/>
      <c r="AH55" s="2"/>
    </row>
    <row r="56" spans="4:34" ht="20.100000000000001" customHeight="1" x14ac:dyDescent="0.25">
      <c r="D56" s="49" t="str">
        <f>INDEX(X_Table_PastureBeef_LiveweightGain_Method1,2,1)</f>
        <v>Spring</v>
      </c>
      <c r="E56" s="49" cm="1">
        <f t="array" aca="1" ref="E56:N59" ca="1">OFFSET(X_Table_PastureBeef_LiveweightGain_Method1, 1,1, 4,10)</f>
        <v>1.64</v>
      </c>
      <c r="F56" s="49">
        <f ca="1"/>
        <v>1.1000000000000001</v>
      </c>
      <c r="G56" s="49">
        <f ca="1"/>
        <v>1.21</v>
      </c>
      <c r="H56" s="49">
        <f ca="1"/>
        <v>0.99</v>
      </c>
      <c r="I56" s="49">
        <f ca="1"/>
        <v>0.66</v>
      </c>
      <c r="J56" s="49">
        <f ca="1"/>
        <v>0.66</v>
      </c>
      <c r="K56" s="49">
        <f ca="1"/>
        <v>1.42</v>
      </c>
      <c r="L56" s="49">
        <f ca="1"/>
        <v>1.1000000000000001</v>
      </c>
      <c r="M56" s="49">
        <f ca="1"/>
        <v>1.1000000000000001</v>
      </c>
      <c r="N56" s="49">
        <f ca="1"/>
        <v>1.1000000000000001</v>
      </c>
      <c r="O56" s="2" t="s">
        <v>105</v>
      </c>
      <c r="P56" s="2"/>
      <c r="Q56" s="2"/>
      <c r="AG56" s="2"/>
      <c r="AH56" s="2"/>
    </row>
    <row r="57" spans="4:34" ht="20.100000000000001" customHeight="1" x14ac:dyDescent="0.25">
      <c r="D57" s="49" t="str">
        <f>INDEX(X_Table_PastureBeef_LiveweightGain_Method1,3,1)</f>
        <v>Summer</v>
      </c>
      <c r="E57" s="49">
        <f ca="1"/>
        <v>0.44</v>
      </c>
      <c r="F57" s="49">
        <f ca="1"/>
        <v>-0.22</v>
      </c>
      <c r="G57" s="49">
        <f ca="1"/>
        <v>0.44</v>
      </c>
      <c r="H57" s="49">
        <f ca="1"/>
        <v>0.33</v>
      </c>
      <c r="I57" s="49">
        <f ca="1"/>
        <v>-0.22</v>
      </c>
      <c r="J57" s="49">
        <f ca="1"/>
        <v>-0.22</v>
      </c>
      <c r="K57" s="49">
        <f ca="1"/>
        <v>0.44</v>
      </c>
      <c r="L57" s="49">
        <f ca="1"/>
        <v>-0.11</v>
      </c>
      <c r="M57" s="49">
        <f ca="1"/>
        <v>-0.11</v>
      </c>
      <c r="N57" s="49">
        <f ca="1"/>
        <v>-0.11</v>
      </c>
      <c r="O57" s="2" t="s">
        <v>105</v>
      </c>
      <c r="P57" s="2"/>
      <c r="Q57" s="2"/>
      <c r="U57" s="92" t="s">
        <v>216</v>
      </c>
      <c r="AG57" s="2"/>
      <c r="AH57" s="2"/>
    </row>
    <row r="58" spans="4:34" ht="20.100000000000001" customHeight="1" x14ac:dyDescent="0.25">
      <c r="D58" s="49" t="str">
        <f>INDEX(X_Table_PastureBeef_LiveweightGain_Method1,4,1)</f>
        <v>Autumn</v>
      </c>
      <c r="E58" s="49">
        <f ca="1"/>
        <v>0.6</v>
      </c>
      <c r="F58" s="49">
        <f ca="1"/>
        <v>0</v>
      </c>
      <c r="G58" s="49">
        <f ca="1"/>
        <v>0.6</v>
      </c>
      <c r="H58" s="49">
        <f ca="1"/>
        <v>0.22</v>
      </c>
      <c r="I58" s="49">
        <f ca="1"/>
        <v>-0.55000000000000004</v>
      </c>
      <c r="J58" s="49">
        <f ca="1"/>
        <v>-0.55000000000000004</v>
      </c>
      <c r="K58" s="49">
        <f ca="1"/>
        <v>0.6</v>
      </c>
      <c r="L58" s="49">
        <f ca="1"/>
        <v>0</v>
      </c>
      <c r="M58" s="49">
        <f ca="1"/>
        <v>0</v>
      </c>
      <c r="N58" s="49">
        <f ca="1"/>
        <v>0</v>
      </c>
      <c r="O58" s="2" t="s">
        <v>105</v>
      </c>
      <c r="P58" s="2"/>
      <c r="Q58" s="2"/>
      <c r="U58" s="91" t="s">
        <v>217</v>
      </c>
      <c r="AG58" s="2"/>
      <c r="AH58" s="2"/>
    </row>
    <row r="59" spans="4:34" ht="20.100000000000001" customHeight="1" x14ac:dyDescent="0.25">
      <c r="D59" s="49" t="str">
        <f>INDEX(X_Table_PastureBeef_LiveweightGain_Method1,5,1)</f>
        <v>Winter</v>
      </c>
      <c r="E59" s="49">
        <f ca="1"/>
        <v>0.99</v>
      </c>
      <c r="F59" s="49">
        <f ca="1"/>
        <v>0.22</v>
      </c>
      <c r="G59" s="49">
        <f ca="1"/>
        <v>0.77</v>
      </c>
      <c r="H59" s="49">
        <f ca="1"/>
        <v>0.11</v>
      </c>
      <c r="I59" s="49">
        <f ca="1"/>
        <v>0.11</v>
      </c>
      <c r="J59" s="49">
        <f ca="1"/>
        <v>0.11</v>
      </c>
      <c r="K59" s="49">
        <f ca="1"/>
        <v>0.77</v>
      </c>
      <c r="L59" s="49">
        <f ca="1"/>
        <v>0.44</v>
      </c>
      <c r="M59" s="49">
        <f ca="1"/>
        <v>0.44</v>
      </c>
      <c r="N59" s="49">
        <f ca="1"/>
        <v>0.44</v>
      </c>
      <c r="O59" s="2" t="s">
        <v>105</v>
      </c>
      <c r="P59" s="2"/>
      <c r="Q59" s="2"/>
      <c r="U59" s="48" t="s">
        <v>104</v>
      </c>
      <c r="V59" s="111" t="s">
        <v>103</v>
      </c>
      <c r="W59" s="111" t="s">
        <v>102</v>
      </c>
      <c r="X59" s="111" t="s">
        <v>126</v>
      </c>
      <c r="Y59" s="111" t="s">
        <v>127</v>
      </c>
      <c r="Z59" s="111" t="s">
        <v>128</v>
      </c>
      <c r="AA59" s="111" t="s">
        <v>129</v>
      </c>
      <c r="AB59" s="111" t="s">
        <v>130</v>
      </c>
      <c r="AC59" s="111" t="s">
        <v>131</v>
      </c>
      <c r="AD59" s="111" t="s">
        <v>132</v>
      </c>
      <c r="AE59" s="111" t="s">
        <v>133</v>
      </c>
      <c r="AG59" s="2"/>
      <c r="AH59" s="2"/>
    </row>
    <row r="60" spans="4:34" ht="20.100000000000001" customHeight="1" x14ac:dyDescent="0.25">
      <c r="U60" s="49" t="str">
        <f>TEXT(X_Cell_Site_StartDate,"mmmm")</f>
        <v>January</v>
      </c>
      <c r="V60" s="49" cm="1">
        <f t="array" aca="1" ref="V60:AE71" ca="1">OFFSET(X_Table_PastureBeef_LiveweightGain_Method2,1,1,12,10)</f>
        <v>0.44</v>
      </c>
      <c r="W60" s="49">
        <f ca="1"/>
        <v>-0.22</v>
      </c>
      <c r="X60" s="49">
        <f ca="1"/>
        <v>0.44</v>
      </c>
      <c r="Y60" s="49">
        <f ca="1"/>
        <v>0.33</v>
      </c>
      <c r="Z60" s="49">
        <f ca="1"/>
        <v>-0.22</v>
      </c>
      <c r="AA60" s="49">
        <f ca="1"/>
        <v>-0.22</v>
      </c>
      <c r="AB60" s="49">
        <f ca="1"/>
        <v>0.44</v>
      </c>
      <c r="AC60" s="49">
        <f ca="1"/>
        <v>-0.11</v>
      </c>
      <c r="AD60" s="49">
        <f ca="1"/>
        <v>-0.11</v>
      </c>
      <c r="AE60" s="49">
        <f ca="1"/>
        <v>-0.11</v>
      </c>
      <c r="AF60" s="2" t="s">
        <v>106</v>
      </c>
      <c r="AG60" s="2"/>
      <c r="AH60" s="2"/>
    </row>
    <row r="61" spans="4:34" ht="20.100000000000001" customHeight="1" x14ac:dyDescent="0.25">
      <c r="D61" s="92" t="s">
        <v>206</v>
      </c>
      <c r="U61" s="49" t="str">
        <f>TEXT(EDATE(X_Cell_Site_StartDate,1), "mmmm")</f>
        <v>February</v>
      </c>
      <c r="V61" s="49">
        <f ca="1"/>
        <v>0.44</v>
      </c>
      <c r="W61" s="49">
        <f ca="1"/>
        <v>-0.22</v>
      </c>
      <c r="X61" s="49">
        <f ca="1"/>
        <v>0.44</v>
      </c>
      <c r="Y61" s="49">
        <f ca="1"/>
        <v>0.33</v>
      </c>
      <c r="Z61" s="49">
        <f ca="1"/>
        <v>-0.22</v>
      </c>
      <c r="AA61" s="49">
        <f ca="1"/>
        <v>-0.22</v>
      </c>
      <c r="AB61" s="49">
        <f ca="1"/>
        <v>0.44</v>
      </c>
      <c r="AC61" s="49">
        <f ca="1"/>
        <v>-0.11</v>
      </c>
      <c r="AD61" s="49">
        <f ca="1"/>
        <v>-0.11</v>
      </c>
      <c r="AE61" s="49">
        <f ca="1"/>
        <v>-0.11</v>
      </c>
      <c r="AF61" s="2" t="s">
        <v>106</v>
      </c>
      <c r="AG61" s="2"/>
      <c r="AH61" s="2"/>
    </row>
    <row r="62" spans="4:34" ht="20.100000000000001" customHeight="1" x14ac:dyDescent="0.25">
      <c r="D62" s="91" t="s">
        <v>114</v>
      </c>
      <c r="U62" s="49" t="str">
        <f>TEXT(EDATE(X_Cell_Site_StartDate,2), "mmmm")</f>
        <v>March</v>
      </c>
      <c r="V62" s="49">
        <f ca="1"/>
        <v>0.6</v>
      </c>
      <c r="W62" s="49">
        <f ca="1"/>
        <v>0</v>
      </c>
      <c r="X62" s="49">
        <f ca="1"/>
        <v>0.6</v>
      </c>
      <c r="Y62" s="49">
        <f ca="1"/>
        <v>0.22</v>
      </c>
      <c r="Z62" s="49">
        <f ca="1"/>
        <v>-0.55000000000000004</v>
      </c>
      <c r="AA62" s="49">
        <f ca="1"/>
        <v>-0.55000000000000004</v>
      </c>
      <c r="AB62" s="49">
        <f ca="1"/>
        <v>0.6</v>
      </c>
      <c r="AC62" s="49">
        <f ca="1"/>
        <v>0</v>
      </c>
      <c r="AD62" s="49">
        <f ca="1"/>
        <v>0</v>
      </c>
      <c r="AE62" s="49">
        <f ca="1"/>
        <v>0</v>
      </c>
      <c r="AF62" s="2" t="s">
        <v>106</v>
      </c>
      <c r="AG62" s="2"/>
      <c r="AH62" s="2"/>
    </row>
    <row r="63" spans="4:34" ht="20.100000000000001" customHeight="1" x14ac:dyDescent="0.25">
      <c r="D63" s="48" t="s">
        <v>145</v>
      </c>
      <c r="E63" s="48" t="s">
        <v>103</v>
      </c>
      <c r="F63" s="48" t="s">
        <v>102</v>
      </c>
      <c r="G63" s="48" t="s">
        <v>126</v>
      </c>
      <c r="H63" s="48" t="s">
        <v>127</v>
      </c>
      <c r="I63" s="48" t="s">
        <v>128</v>
      </c>
      <c r="J63" s="48" t="s">
        <v>129</v>
      </c>
      <c r="K63" s="48" t="s">
        <v>130</v>
      </c>
      <c r="L63" s="48" t="s">
        <v>131</v>
      </c>
      <c r="M63" s="48" t="s">
        <v>132</v>
      </c>
      <c r="N63" s="48" t="s">
        <v>133</v>
      </c>
      <c r="U63" s="49" t="str">
        <f>TEXT(EDATE(X_Cell_Site_StartDate,3), "mmmm")</f>
        <v>April</v>
      </c>
      <c r="V63" s="49">
        <f ca="1"/>
        <v>0.6</v>
      </c>
      <c r="W63" s="49">
        <f ca="1"/>
        <v>0</v>
      </c>
      <c r="X63" s="49">
        <f ca="1"/>
        <v>0.6</v>
      </c>
      <c r="Y63" s="49">
        <f ca="1"/>
        <v>0.22</v>
      </c>
      <c r="Z63" s="49">
        <f ca="1"/>
        <v>-0.55000000000000004</v>
      </c>
      <c r="AA63" s="49">
        <f ca="1"/>
        <v>-0.55000000000000004</v>
      </c>
      <c r="AB63" s="49">
        <f ca="1"/>
        <v>0.6</v>
      </c>
      <c r="AC63" s="49">
        <f ca="1"/>
        <v>0</v>
      </c>
      <c r="AD63" s="49">
        <f ca="1"/>
        <v>0</v>
      </c>
      <c r="AE63" s="49">
        <f ca="1"/>
        <v>0</v>
      </c>
      <c r="AF63" s="2" t="s">
        <v>106</v>
      </c>
      <c r="AG63" s="2"/>
      <c r="AH63" s="2"/>
    </row>
    <row r="64" spans="4:34" ht="20.100000000000001" customHeight="1" x14ac:dyDescent="0.25">
      <c r="D64" s="49" t="s">
        <v>134</v>
      </c>
      <c r="E64" s="49" cm="1">
        <f t="array" aca="1" ref="E64" ca="1">EntericMethane_PastureBeef_Equations.VEERG_3_2_1_1__3_FeedIntakeForGrazingBeef(E48,E56,G26)</f>
        <v>8.6709047296000001</v>
      </c>
      <c r="F64" s="49" cm="1">
        <f t="array" aca="1" ref="F64" ca="1">EntericMethane_PastureBeef_Equations.VEERG_3_2_1_1__3_FeedIntakeForGrazingBeef(F48,F56,H26)</f>
        <v>12.246500250000002</v>
      </c>
      <c r="G64" s="49" cm="1">
        <f t="array" aca="1" ref="G64" ca="1">EntericMethane_PastureBeef_Equations.VEERG_3_2_1_1__3_FeedIntakeForGrazingBeef(G48,G56,I26)</f>
        <v>6.6089612241000006</v>
      </c>
      <c r="H64" s="49" cm="1">
        <f t="array" aca="1" ref="H64" ca="1">EntericMethane_PastureBeef_Equations.VEERG_3_2_1_1__3_FeedIntakeForGrazingBeef(H48,H56,J26)</f>
        <v>8.6730839001000017</v>
      </c>
      <c r="I64" s="49" cm="1">
        <f t="array" aca="1" ref="I64" ca="1">EntericMethane_PastureBeef_Equations.VEERG_3_2_1_1__3_FeedIntakeForGrazingBeef(I48,I56,K26)</f>
        <v>9.6310915600000016</v>
      </c>
      <c r="J64" s="49" cm="1">
        <f t="array" aca="1" ref="J64" ca="1">EntericMethane_PastureBeef_Equations.VEERG_3_2_1_1__3_FeedIntakeForGrazingBeef(J48,J56,L26)</f>
        <v>9.6310915600000016</v>
      </c>
      <c r="K64" s="49" cm="1">
        <f t="array" aca="1" ref="K64" ca="1">EntericMethane_PastureBeef_Equations.VEERG_3_2_1_1__3_FeedIntakeForGrazingBeef(K48,K56,M26)</f>
        <v>7.6192560899999977</v>
      </c>
      <c r="L64" s="49" cm="1">
        <f t="array" aca="1" ref="L64" ca="1">EntericMethane_PastureBeef_Equations.VEERG_3_2_1_1__3_FeedIntakeForGrazingBeef(L48,L56,N26)</f>
        <v>9.6824279555999979</v>
      </c>
      <c r="M64" s="49" cm="1">
        <f t="array" aca="1" ref="M64" ca="1">EntericMethane_PastureBeef_Equations.VEERG_3_2_1_1__3_FeedIntakeForGrazingBeef(M48,M56,O26)</f>
        <v>9.6824279555999979</v>
      </c>
      <c r="N64" s="49" cm="1">
        <f t="array" aca="1" ref="N64" ca="1">EntericMethane_PastureBeef_Equations.VEERG_3_2_1_1__3_FeedIntakeForGrazingBeef(N48,N56,P26)</f>
        <v>9.6824279555999979</v>
      </c>
      <c r="O64" s="2" t="str">
        <f>$E$39</f>
        <v>kg DM/head/day</v>
      </c>
      <c r="P64" s="2"/>
      <c r="Q64" s="2"/>
      <c r="U64" s="49" t="str">
        <f>TEXT(EDATE(X_Cell_Site_StartDate,4), "mmmm")</f>
        <v>May</v>
      </c>
      <c r="V64" s="49">
        <f ca="1"/>
        <v>0.6</v>
      </c>
      <c r="W64" s="49">
        <f ca="1"/>
        <v>0</v>
      </c>
      <c r="X64" s="49">
        <f ca="1"/>
        <v>0.6</v>
      </c>
      <c r="Y64" s="49">
        <f ca="1"/>
        <v>0.22</v>
      </c>
      <c r="Z64" s="49">
        <f ca="1"/>
        <v>-0.55000000000000004</v>
      </c>
      <c r="AA64" s="49">
        <f ca="1"/>
        <v>-0.55000000000000004</v>
      </c>
      <c r="AB64" s="49">
        <f ca="1"/>
        <v>0.6</v>
      </c>
      <c r="AC64" s="49">
        <f ca="1"/>
        <v>0</v>
      </c>
      <c r="AD64" s="49">
        <f ca="1"/>
        <v>0</v>
      </c>
      <c r="AE64" s="49">
        <f ca="1"/>
        <v>0</v>
      </c>
      <c r="AF64" s="2" t="s">
        <v>106</v>
      </c>
    </row>
    <row r="65" spans="3:34" ht="20.100000000000001" customHeight="1" x14ac:dyDescent="0.25">
      <c r="D65" s="49" t="s">
        <v>135</v>
      </c>
      <c r="E65" s="49" cm="1">
        <f t="array" aca="1" ref="E65" ca="1">EntericMethane_PastureBeef_Equations.VEERG_3_2_1_1__3_FeedIntakeForGrazingBeef(E49,E57,G27)</f>
        <v>7.1468536895999959</v>
      </c>
      <c r="F65" s="49" cm="1">
        <f t="array" aca="1" ref="F65" ca="1">EntericMethane_PastureBeef_Equations.VEERG_3_2_1_1__3_FeedIntakeForGrazingBeef(F49,F57,H27)</f>
        <v>9.4559940036000008</v>
      </c>
      <c r="G65" s="49" cm="1">
        <f t="array" aca="1" ref="G65" ca="1">EntericMethane_PastureBeef_Equations.VEERG_3_2_1_1__3_FeedIntakeForGrazingBeef(G49,G57,I27)</f>
        <v>6.010342559999998</v>
      </c>
      <c r="H65" s="49" cm="1">
        <f t="array" aca="1" ref="H65" ca="1">EntericMethane_PastureBeef_Equations.VEERG_3_2_1_1__3_FeedIntakeForGrazingBeef(H49,H57,J27)</f>
        <v>7.8705497025</v>
      </c>
      <c r="I65" s="49" cm="1">
        <f t="array" aca="1" ref="I65" ca="1">EntericMethane_PastureBeef_Equations.VEERG_3_2_1_1__3_FeedIntakeForGrazingBeef(I49,I57,K27)</f>
        <v>7.7928072335999978</v>
      </c>
      <c r="J65" s="49" cm="1">
        <f t="array" aca="1" ref="J65" ca="1">EntericMethane_PastureBeef_Equations.VEERG_3_2_1_1__3_FeedIntakeForGrazingBeef(J49,J57,L27)</f>
        <v>7.7928072335999978</v>
      </c>
      <c r="K65" s="49" cm="1">
        <f t="array" aca="1" ref="K65" ca="1">EntericMethane_PastureBeef_Equations.VEERG_3_2_1_1__3_FeedIntakeForGrazingBeef(K49,K57,M27)</f>
        <v>6.5876408896000003</v>
      </c>
      <c r="L65" s="49" cm="1">
        <f t="array" aca="1" ref="L65" ca="1">EntericMethane_PastureBeef_Equations.VEERG_3_2_1_1__3_FeedIntakeForGrazingBeef(L49,L57,N27)</f>
        <v>7.3430702361</v>
      </c>
      <c r="M65" s="49" cm="1">
        <f t="array" aca="1" ref="M65" ca="1">EntericMethane_PastureBeef_Equations.VEERG_3_2_1_1__3_FeedIntakeForGrazingBeef(M49,M57,O27)</f>
        <v>7.3430702361</v>
      </c>
      <c r="N65" s="49" cm="1">
        <f t="array" aca="1" ref="N65" ca="1">EntericMethane_PastureBeef_Equations.VEERG_3_2_1_1__3_FeedIntakeForGrazingBeef(N49,N57,P27)</f>
        <v>7.3430702361</v>
      </c>
      <c r="O65" s="2" t="str">
        <f>$E$39</f>
        <v>kg DM/head/day</v>
      </c>
      <c r="P65" s="2"/>
      <c r="Q65" s="2"/>
      <c r="U65" s="49" t="str">
        <f>TEXT(EDATE(X_Cell_Site_StartDate,5), "mmmm")</f>
        <v>June</v>
      </c>
      <c r="V65" s="49">
        <f ca="1"/>
        <v>0.99</v>
      </c>
      <c r="W65" s="49">
        <f ca="1"/>
        <v>0.22</v>
      </c>
      <c r="X65" s="49">
        <f ca="1"/>
        <v>0.77</v>
      </c>
      <c r="Y65" s="49">
        <f ca="1"/>
        <v>0.11</v>
      </c>
      <c r="Z65" s="49">
        <f ca="1"/>
        <v>0.11</v>
      </c>
      <c r="AA65" s="49">
        <f ca="1"/>
        <v>0.11</v>
      </c>
      <c r="AB65" s="49">
        <f ca="1"/>
        <v>0.77</v>
      </c>
      <c r="AC65" s="49">
        <f ca="1"/>
        <v>0.44</v>
      </c>
      <c r="AD65" s="49">
        <f ca="1"/>
        <v>0.44</v>
      </c>
      <c r="AE65" s="49">
        <f ca="1"/>
        <v>0.44</v>
      </c>
      <c r="AF65" s="2" t="s">
        <v>106</v>
      </c>
    </row>
    <row r="66" spans="3:34" ht="20.100000000000001" customHeight="1" x14ac:dyDescent="0.25">
      <c r="D66" s="49" t="s">
        <v>136</v>
      </c>
      <c r="E66" s="49" cm="1">
        <f t="array" aca="1" ref="E66" ca="1">EntericMethane_PastureBeef_Equations.VEERG_3_2_1_1__3_FeedIntakeForGrazingBeef(E50,E58,G28)</f>
        <v>3.247204</v>
      </c>
      <c r="F66" s="49" cm="1">
        <f t="array" aca="1" ref="F66" ca="1">EntericMethane_PastureBeef_Equations.VEERG_3_2_1_1__3_FeedIntakeForGrazingBeef(F50,F58,H28)</f>
        <v>9.4246544015999998</v>
      </c>
      <c r="G66" s="49" cm="1">
        <f t="array" aca="1" ref="G66" ca="1">EntericMethane_PastureBeef_Equations.VEERG_3_2_1_1__3_FeedIntakeForGrazingBeef(G50,G58,I28)</f>
        <v>2.9603267136000002</v>
      </c>
      <c r="H66" s="49" cm="1">
        <f t="array" aca="1" ref="H66" ca="1">EntericMethane_PastureBeef_Equations.VEERG_3_2_1_1__3_FeedIntakeForGrazingBeef(H50,H58,J28)</f>
        <v>5.9577975395999987</v>
      </c>
      <c r="I66" s="49" cm="1">
        <f t="array" aca="1" ref="I66" ca="1">EntericMethane_PastureBeef_Equations.VEERG_3_2_1_1__3_FeedIntakeForGrazingBeef(I50,I58,K28)</f>
        <v>6.7179974480999993</v>
      </c>
      <c r="J66" s="49" cm="1">
        <f t="array" aca="1" ref="J66" ca="1">EntericMethane_PastureBeef_Equations.VEERG_3_2_1_1__3_FeedIntakeForGrazingBeef(J50,J58,L28)</f>
        <v>6.7179974480999993</v>
      </c>
      <c r="K66" s="49" cm="1">
        <f t="array" aca="1" ref="K66" ca="1">EntericMethane_PastureBeef_Equations.VEERG_3_2_1_1__3_FeedIntakeForGrazingBeef(K50,K58,M28)</f>
        <v>3.247204</v>
      </c>
      <c r="L66" s="49" cm="1">
        <f t="array" aca="1" ref="L66" ca="1">EntericMethane_PastureBeef_Equations.VEERG_3_2_1_1__3_FeedIntakeForGrazingBeef(L50,L58,N28)</f>
        <v>5.8953782416000013</v>
      </c>
      <c r="M66" s="49" cm="1">
        <f t="array" aca="1" ref="M66" ca="1">EntericMethane_PastureBeef_Equations.VEERG_3_2_1_1__3_FeedIntakeForGrazingBeef(M50,M58,O28)</f>
        <v>5.8953782416000013</v>
      </c>
      <c r="N66" s="49" cm="1">
        <f t="array" aca="1" ref="N66" ca="1">EntericMethane_PastureBeef_Equations.VEERG_3_2_1_1__3_FeedIntakeForGrazingBeef(N50,N58,P28)</f>
        <v>5.8953782416000013</v>
      </c>
      <c r="O66" s="2" t="str">
        <f>$E$39</f>
        <v>kg DM/head/day</v>
      </c>
      <c r="P66" s="2"/>
      <c r="Q66" s="2"/>
      <c r="U66" s="49" t="str">
        <f>TEXT(EDATE(X_Cell_Site_StartDate,6), "mmmm")</f>
        <v>July</v>
      </c>
      <c r="V66" s="49">
        <f ca="1"/>
        <v>0.99</v>
      </c>
      <c r="W66" s="49">
        <f ca="1"/>
        <v>0.22</v>
      </c>
      <c r="X66" s="49">
        <f ca="1"/>
        <v>0.77</v>
      </c>
      <c r="Y66" s="49">
        <f ca="1"/>
        <v>0.11</v>
      </c>
      <c r="Z66" s="49">
        <f ca="1"/>
        <v>0.11</v>
      </c>
      <c r="AA66" s="49">
        <f ca="1"/>
        <v>0.11</v>
      </c>
      <c r="AB66" s="49">
        <f ca="1"/>
        <v>0.77</v>
      </c>
      <c r="AC66" s="49">
        <f ca="1"/>
        <v>0.44</v>
      </c>
      <c r="AD66" s="49">
        <f ca="1"/>
        <v>0.44</v>
      </c>
      <c r="AE66" s="49">
        <f ca="1"/>
        <v>0.44</v>
      </c>
      <c r="AF66" s="2" t="s">
        <v>106</v>
      </c>
    </row>
    <row r="67" spans="3:34" ht="20.100000000000001" customHeight="1" x14ac:dyDescent="0.25">
      <c r="D67" s="49" t="s">
        <v>137</v>
      </c>
      <c r="E67" s="49" cm="1">
        <f t="array" aca="1" ref="E67" ca="1">EntericMethane_PastureBeef_Equations.VEERG_3_2_1_1__3_FeedIntakeForGrazingBeef(E51,E59,G29)</f>
        <v>5.1328980481000004</v>
      </c>
      <c r="F67" s="49" cm="1">
        <f t="array" aca="1" ref="F67" ca="1">EntericMethane_PastureBeef_Equations.VEERG_3_2_1_1__3_FeedIntakeForGrazingBeef(F51,F59,H29)</f>
        <v>9.9748588899999984</v>
      </c>
      <c r="G67" s="49" cm="1">
        <f t="array" aca="1" ref="G67" ca="1">EntericMethane_PastureBeef_Equations.VEERG_3_2_1_1__3_FeedIntakeForGrazingBeef(G51,G59,I29)</f>
        <v>4.202705002500001</v>
      </c>
      <c r="H67" s="49" cm="1">
        <f t="array" aca="1" ref="H67" ca="1">EntericMethane_PastureBeef_Equations.VEERG_3_2_1_1__3_FeedIntakeForGrazingBeef(H51,H59,J29)</f>
        <v>5.9278127841000021</v>
      </c>
      <c r="I67" s="49" cm="1">
        <f t="array" aca="1" ref="I67" ca="1">EntericMethane_PastureBeef_Equations.VEERG_3_2_1_1__3_FeedIntakeForGrazingBeef(I51,I59,K29)</f>
        <v>7.952343600099999</v>
      </c>
      <c r="J67" s="49" cm="1">
        <f t="array" aca="1" ref="J67" ca="1">EntericMethane_PastureBeef_Equations.VEERG_3_2_1_1__3_FeedIntakeForGrazingBeef(J51,J59,L29)</f>
        <v>7.952343600099999</v>
      </c>
      <c r="K67" s="49" cm="1">
        <f t="array" aca="1" ref="K67" ca="1">EntericMethane_PastureBeef_Equations.VEERG_3_2_1_1__3_FeedIntakeForGrazingBeef(K51,K59,M29)</f>
        <v>4.5122681240999984</v>
      </c>
      <c r="L67" s="49" cm="1">
        <f t="array" aca="1" ref="L67" ca="1">EntericMethane_PastureBeef_Equations.VEERG_3_2_1_1__3_FeedIntakeForGrazingBeef(L51,L59,N29)</f>
        <v>6.8698506815999991</v>
      </c>
      <c r="M67" s="49" cm="1">
        <f t="array" aca="1" ref="M67" ca="1">EntericMethane_PastureBeef_Equations.VEERG_3_2_1_1__3_FeedIntakeForGrazingBeef(M51,M59,O29)</f>
        <v>6.8698506815999991</v>
      </c>
      <c r="N67" s="49" cm="1">
        <f t="array" aca="1" ref="N67" ca="1">EntericMethane_PastureBeef_Equations.VEERG_3_2_1_1__3_FeedIntakeForGrazingBeef(N51,N59,P29)</f>
        <v>6.8698506815999991</v>
      </c>
      <c r="O67" s="2" t="str">
        <f>$E$39</f>
        <v>kg DM/head/day</v>
      </c>
      <c r="P67" s="2"/>
      <c r="Q67" s="2"/>
      <c r="U67" s="49" t="str">
        <f>TEXT(EDATE(X_Cell_Site_StartDate,7), "mmmm")</f>
        <v>August</v>
      </c>
      <c r="V67" s="49">
        <f ca="1"/>
        <v>0.99</v>
      </c>
      <c r="W67" s="49">
        <f ca="1"/>
        <v>0.22</v>
      </c>
      <c r="X67" s="49">
        <f ca="1"/>
        <v>0.77</v>
      </c>
      <c r="Y67" s="49">
        <f ca="1"/>
        <v>0.11</v>
      </c>
      <c r="Z67" s="49">
        <f ca="1"/>
        <v>0.11</v>
      </c>
      <c r="AA67" s="49">
        <f ca="1"/>
        <v>0.11</v>
      </c>
      <c r="AB67" s="49">
        <f ca="1"/>
        <v>0.77</v>
      </c>
      <c r="AC67" s="49">
        <f ca="1"/>
        <v>0.44</v>
      </c>
      <c r="AD67" s="49">
        <f ca="1"/>
        <v>0.44</v>
      </c>
      <c r="AE67" s="49">
        <f ca="1"/>
        <v>0.44</v>
      </c>
      <c r="AF67" s="2" t="s">
        <v>106</v>
      </c>
    </row>
    <row r="68" spans="3:34" ht="20.100000000000001" customHeight="1" x14ac:dyDescent="0.25">
      <c r="U68" s="49" t="str">
        <f>TEXT(EDATE(X_Cell_Site_StartDate,8), "mmmm")</f>
        <v>September</v>
      </c>
      <c r="V68" s="49">
        <f ca="1"/>
        <v>1.64</v>
      </c>
      <c r="W68" s="49">
        <f ca="1"/>
        <v>1.1000000000000001</v>
      </c>
      <c r="X68" s="49">
        <f ca="1"/>
        <v>1.21</v>
      </c>
      <c r="Y68" s="49">
        <f ca="1"/>
        <v>0.99</v>
      </c>
      <c r="Z68" s="49">
        <f ca="1"/>
        <v>0.66</v>
      </c>
      <c r="AA68" s="49">
        <f ca="1"/>
        <v>0.66</v>
      </c>
      <c r="AB68" s="49">
        <f ca="1"/>
        <v>1.42</v>
      </c>
      <c r="AC68" s="49">
        <f ca="1"/>
        <v>1.1000000000000001</v>
      </c>
      <c r="AD68" s="49">
        <f ca="1"/>
        <v>1.1000000000000001</v>
      </c>
      <c r="AE68" s="49">
        <f ca="1"/>
        <v>1.1000000000000001</v>
      </c>
      <c r="AF68" s="2" t="s">
        <v>106</v>
      </c>
      <c r="AG68" s="2"/>
      <c r="AH68" s="2"/>
    </row>
    <row r="69" spans="3:34" ht="20.100000000000001" customHeight="1" x14ac:dyDescent="0.25">
      <c r="U69" s="49" t="str">
        <f>TEXT(EDATE(X_Cell_Site_StartDate,9), "mmmm")</f>
        <v>October</v>
      </c>
      <c r="V69" s="49">
        <f ca="1"/>
        <v>1.64</v>
      </c>
      <c r="W69" s="49">
        <f ca="1"/>
        <v>1.1000000000000001</v>
      </c>
      <c r="X69" s="49">
        <f ca="1"/>
        <v>1.21</v>
      </c>
      <c r="Y69" s="49">
        <f ca="1"/>
        <v>0.99</v>
      </c>
      <c r="Z69" s="49">
        <f ca="1"/>
        <v>0.66</v>
      </c>
      <c r="AA69" s="49">
        <f ca="1"/>
        <v>0.66</v>
      </c>
      <c r="AB69" s="49">
        <f ca="1"/>
        <v>1.42</v>
      </c>
      <c r="AC69" s="49">
        <f ca="1"/>
        <v>1.1000000000000001</v>
      </c>
      <c r="AD69" s="49">
        <f ca="1"/>
        <v>1.1000000000000001</v>
      </c>
      <c r="AE69" s="49">
        <f ca="1"/>
        <v>1.1000000000000001</v>
      </c>
      <c r="AF69" s="2" t="s">
        <v>106</v>
      </c>
      <c r="AG69" s="2"/>
      <c r="AH69" s="2"/>
    </row>
    <row r="70" spans="3:34" ht="20.100000000000001" customHeight="1" x14ac:dyDescent="0.25">
      <c r="C70" s="42"/>
      <c r="D70" s="42"/>
      <c r="E70" s="42"/>
      <c r="F70" s="42"/>
      <c r="G70" s="42"/>
      <c r="H70" s="42"/>
      <c r="I70" s="42"/>
      <c r="J70" s="42"/>
      <c r="K70" s="42"/>
      <c r="L70" s="42"/>
      <c r="M70" s="42"/>
      <c r="N70" s="42"/>
      <c r="O70" s="42"/>
      <c r="P70" s="42"/>
      <c r="Q70" s="42"/>
      <c r="R70" s="42"/>
      <c r="U70" s="49" t="str">
        <f>TEXT(EDATE(X_Cell_Site_StartDate,10), "mmmm")</f>
        <v>November</v>
      </c>
      <c r="V70" s="49">
        <f ca="1"/>
        <v>1.64</v>
      </c>
      <c r="W70" s="49">
        <f ca="1"/>
        <v>1.1000000000000001</v>
      </c>
      <c r="X70" s="49">
        <f ca="1"/>
        <v>1.21</v>
      </c>
      <c r="Y70" s="49">
        <f ca="1"/>
        <v>0.99</v>
      </c>
      <c r="Z70" s="49">
        <f ca="1"/>
        <v>0.66</v>
      </c>
      <c r="AA70" s="49">
        <f ca="1"/>
        <v>0.66</v>
      </c>
      <c r="AB70" s="49">
        <f ca="1"/>
        <v>1.42</v>
      </c>
      <c r="AC70" s="49">
        <f ca="1"/>
        <v>1.1000000000000001</v>
      </c>
      <c r="AD70" s="49">
        <f ca="1"/>
        <v>1.1000000000000001</v>
      </c>
      <c r="AE70" s="49">
        <f ca="1"/>
        <v>1.1000000000000001</v>
      </c>
      <c r="AF70" s="2" t="s">
        <v>106</v>
      </c>
      <c r="AG70" s="2"/>
      <c r="AH70" s="2"/>
    </row>
    <row r="71" spans="3:34" ht="20.100000000000001" customHeight="1" x14ac:dyDescent="0.25">
      <c r="D71" s="6" t="str" cm="1">
        <f t="array" ref="D71">EntericMethane_PastureBeef_Equations.VEERG_3_2_1_1__2_DailyEntericMethaneProduction_Title()</f>
        <v>Daily production of enteric methane</v>
      </c>
      <c r="U71" s="49" t="str">
        <f>TEXT(EDATE(X_Cell_Site_StartDate,11), "mmmm")</f>
        <v>December</v>
      </c>
      <c r="V71" s="49">
        <f ca="1"/>
        <v>0.44</v>
      </c>
      <c r="W71" s="49">
        <f ca="1"/>
        <v>-0.22</v>
      </c>
      <c r="X71" s="49">
        <f ca="1"/>
        <v>0.44</v>
      </c>
      <c r="Y71" s="49">
        <f ca="1"/>
        <v>0.33</v>
      </c>
      <c r="Z71" s="49">
        <f ca="1"/>
        <v>-0.22</v>
      </c>
      <c r="AA71" s="49">
        <f ca="1"/>
        <v>-0.22</v>
      </c>
      <c r="AB71" s="49">
        <f ca="1"/>
        <v>0.44</v>
      </c>
      <c r="AC71" s="49">
        <f ca="1"/>
        <v>-0.11</v>
      </c>
      <c r="AD71" s="49">
        <f ca="1"/>
        <v>-0.11</v>
      </c>
      <c r="AE71" s="49">
        <f ca="1"/>
        <v>-0.11</v>
      </c>
      <c r="AF71" s="2" t="s">
        <v>106</v>
      </c>
      <c r="AG71" s="2"/>
      <c r="AH71" s="2"/>
    </row>
    <row r="72" spans="3:34" ht="20.100000000000001" customHeight="1" x14ac:dyDescent="0.25">
      <c r="D72" s="5" t="str" cm="1">
        <f t="array" ref="D72">EntericMethane_PastureBeef_Equations.VEERG_3_2_1_1__2_DailyEntericMethaneProduction_Source()</f>
        <v>VEERG 2026: 3.2.1.1, Equation (2)</v>
      </c>
      <c r="AG72" s="2"/>
      <c r="AH72" s="2"/>
    </row>
    <row r="73" spans="3:34" ht="20.100000000000001" customHeight="1" x14ac:dyDescent="0.25">
      <c r="D73" s="13" t="s">
        <v>20</v>
      </c>
      <c r="E73" s="13" t="str" cm="1">
        <f t="array" aca="1" ref="E73" ca="1">Common_InputFunctions.Utility_DisplayFunctionName(E85)</f>
        <v>=EntericMethane_PastureBeef_Equations.VEERG_3_2_1_1__2_DailyEntericMethaneProduction</v>
      </c>
      <c r="U73" s="92" t="s">
        <v>218</v>
      </c>
      <c r="AG73" s="2"/>
      <c r="AH73" s="2"/>
    </row>
    <row r="74" spans="3:34" ht="20.100000000000001" customHeight="1" x14ac:dyDescent="0.25">
      <c r="U74" s="91" t="s">
        <v>113</v>
      </c>
      <c r="AG74" s="2"/>
      <c r="AH74" s="2"/>
    </row>
    <row r="75" spans="3:34" ht="20.100000000000001" customHeight="1" x14ac:dyDescent="0.25">
      <c r="U75" s="48" t="s">
        <v>104</v>
      </c>
      <c r="V75" s="48" t="s">
        <v>103</v>
      </c>
      <c r="W75" s="48" t="s">
        <v>102</v>
      </c>
      <c r="X75" s="48" t="s">
        <v>126</v>
      </c>
      <c r="Y75" s="48" t="s">
        <v>127</v>
      </c>
      <c r="Z75" s="48" t="s">
        <v>128</v>
      </c>
      <c r="AA75" s="48" t="s">
        <v>129</v>
      </c>
      <c r="AB75" s="48" t="s">
        <v>130</v>
      </c>
      <c r="AC75" s="48" t="s">
        <v>131</v>
      </c>
      <c r="AD75" s="48" t="s">
        <v>132</v>
      </c>
      <c r="AE75" s="48" t="s">
        <v>133</v>
      </c>
      <c r="AG75" s="2"/>
      <c r="AH75" s="2"/>
    </row>
    <row r="76" spans="3:34" ht="20.100000000000001" customHeight="1" x14ac:dyDescent="0.25">
      <c r="U76" s="49" t="str">
        <f>TEXT(X_Cell_Site_StartDate,"mmmm")</f>
        <v>January</v>
      </c>
      <c r="V76" s="49" cm="1">
        <f t="array" aca="1" ref="V76" ca="1">EntericMethane_PastureBeef_Equations.VEERG_3_2_1_1__3_FeedIntakeForGrazingBeef(V44,V60,X28)</f>
        <v>7.1468536895999959</v>
      </c>
      <c r="W76" s="49" cm="1">
        <f t="array" aca="1" ref="W76" ca="1">EntericMethane_PastureBeef_Equations.VEERG_3_2_1_1__3_FeedIntakeForGrazingBeef(W44,W60,Y28)</f>
        <v>9.4559940036000008</v>
      </c>
      <c r="X76" s="49" cm="1">
        <f t="array" aca="1" ref="X76" ca="1">EntericMethane_PastureBeef_Equations.VEERG_3_2_1_1__3_FeedIntakeForGrazingBeef(X44,X60,Z28)</f>
        <v>6.010342559999998</v>
      </c>
      <c r="Y76" s="49" cm="1">
        <f t="array" aca="1" ref="Y76" ca="1">EntericMethane_PastureBeef_Equations.VEERG_3_2_1_1__3_FeedIntakeForGrazingBeef(Y44,Y60,AA28)</f>
        <v>7.8705497025</v>
      </c>
      <c r="Z76" s="49" cm="1">
        <f t="array" aca="1" ref="Z76" ca="1">EntericMethane_PastureBeef_Equations.VEERG_3_2_1_1__3_FeedIntakeForGrazingBeef(Z44,Z60,AB28)</f>
        <v>7.7928072335999978</v>
      </c>
      <c r="AA76" s="49" cm="1">
        <f t="array" aca="1" ref="AA76" ca="1">EntericMethane_PastureBeef_Equations.VEERG_3_2_1_1__3_FeedIntakeForGrazingBeef(AA44,AA60,AC28)</f>
        <v>7.7928072335999978</v>
      </c>
      <c r="AB76" s="49" cm="1">
        <f t="array" aca="1" ref="AB76" ca="1">EntericMethane_PastureBeef_Equations.VEERG_3_2_1_1__3_FeedIntakeForGrazingBeef(AB44,AB60,AD28)</f>
        <v>6.5876408896000003</v>
      </c>
      <c r="AC76" s="49" cm="1">
        <f t="array" aca="1" ref="AC76" ca="1">EntericMethane_PastureBeef_Equations.VEERG_3_2_1_1__3_FeedIntakeForGrazingBeef(AC44,AC60,AE28)</f>
        <v>7.3430702361</v>
      </c>
      <c r="AD76" s="49" cm="1">
        <f t="array" aca="1" ref="AD76" ca="1">EntericMethane_PastureBeef_Equations.VEERG_3_2_1_1__3_FeedIntakeForGrazingBeef(AD44,AD60,AF28)</f>
        <v>7.3430702361</v>
      </c>
      <c r="AE76" s="49" cm="1">
        <f t="array" aca="1" ref="AE76" ca="1">EntericMethane_PastureBeef_Equations.VEERG_3_2_1_1__3_FeedIntakeForGrazingBeef(AE44,AE60,AG28)</f>
        <v>7.3430702361</v>
      </c>
      <c r="AF76" s="2" t="str">
        <f t="shared" ref="AF76:AF87" si="2">$E$39</f>
        <v>kg DM/head/day</v>
      </c>
      <c r="AG76" s="2"/>
      <c r="AH76" s="2"/>
    </row>
    <row r="77" spans="3:34" ht="20.100000000000001" customHeight="1" x14ac:dyDescent="0.25">
      <c r="D77" s="50" t="s">
        <v>23</v>
      </c>
      <c r="E77" s="1" t="str" cm="1">
        <f t="array" ref="E77">EntericMethane_PastureBeef_Equations.VEERG_3_2_1_1__2_DailyEntericMethaneProduction_Variable()</f>
        <v>M_jkl</v>
      </c>
      <c r="U77" s="49" t="str">
        <f>TEXT(EDATE(X_Cell_Site_StartDate,1), "mmmm")</f>
        <v>February</v>
      </c>
      <c r="V77" s="49" cm="1">
        <f t="array" aca="1" ref="V77" ca="1">EntericMethane_PastureBeef_Equations.VEERG_3_2_1_1__3_FeedIntakeForGrazingBeef(V45,V61,X29)</f>
        <v>7.1468536895999959</v>
      </c>
      <c r="W77" s="49" cm="1">
        <f t="array" aca="1" ref="W77" ca="1">EntericMethane_PastureBeef_Equations.VEERG_3_2_1_1__3_FeedIntakeForGrazingBeef(W45,W61,Y29)</f>
        <v>9.4559940036000008</v>
      </c>
      <c r="X77" s="49" cm="1">
        <f t="array" aca="1" ref="X77" ca="1">EntericMethane_PastureBeef_Equations.VEERG_3_2_1_1__3_FeedIntakeForGrazingBeef(X45,X61,Z29)</f>
        <v>6.010342559999998</v>
      </c>
      <c r="Y77" s="49" cm="1">
        <f t="array" aca="1" ref="Y77" ca="1">EntericMethane_PastureBeef_Equations.VEERG_3_2_1_1__3_FeedIntakeForGrazingBeef(Y45,Y61,AA29)</f>
        <v>7.8705497025</v>
      </c>
      <c r="Z77" s="49" cm="1">
        <f t="array" aca="1" ref="Z77" ca="1">EntericMethane_PastureBeef_Equations.VEERG_3_2_1_1__3_FeedIntakeForGrazingBeef(Z45,Z61,AB29)</f>
        <v>7.7928072335999978</v>
      </c>
      <c r="AA77" s="49" cm="1">
        <f t="array" aca="1" ref="AA77" ca="1">EntericMethane_PastureBeef_Equations.VEERG_3_2_1_1__3_FeedIntakeForGrazingBeef(AA45,AA61,AC29)</f>
        <v>7.7928072335999978</v>
      </c>
      <c r="AB77" s="49" cm="1">
        <f t="array" aca="1" ref="AB77" ca="1">EntericMethane_PastureBeef_Equations.VEERG_3_2_1_1__3_FeedIntakeForGrazingBeef(AB45,AB61,AD29)</f>
        <v>6.5876408896000003</v>
      </c>
      <c r="AC77" s="49" cm="1">
        <f t="array" aca="1" ref="AC77" ca="1">EntericMethane_PastureBeef_Equations.VEERG_3_2_1_1__3_FeedIntakeForGrazingBeef(AC45,AC61,AE29)</f>
        <v>7.3430702361</v>
      </c>
      <c r="AD77" s="49" cm="1">
        <f t="array" aca="1" ref="AD77" ca="1">EntericMethane_PastureBeef_Equations.VEERG_3_2_1_1__3_FeedIntakeForGrazingBeef(AD45,AD61,AF29)</f>
        <v>7.3430702361</v>
      </c>
      <c r="AE77" s="49" cm="1">
        <f t="array" aca="1" ref="AE77" ca="1">EntericMethane_PastureBeef_Equations.VEERG_3_2_1_1__3_FeedIntakeForGrazingBeef(AE45,AE61,AG29)</f>
        <v>7.3430702361</v>
      </c>
      <c r="AF77" s="2" t="str">
        <f t="shared" si="2"/>
        <v>kg DM/head/day</v>
      </c>
      <c r="AG77" s="2"/>
      <c r="AH77" s="2"/>
    </row>
    <row r="78" spans="3:34" ht="20.100000000000001" customHeight="1" x14ac:dyDescent="0.25">
      <c r="D78" s="50" t="s">
        <v>14</v>
      </c>
      <c r="E78" s="51" t="str" cm="1">
        <f t="array" ref="E78">EntericMethane_PastureBeef_Equations.VEERG_3_2_1_1__2_DailyEntericMethaneProduction_Unit()</f>
        <v>kg CH4/head/day</v>
      </c>
      <c r="U78" s="49" t="str">
        <f>TEXT(EDATE(X_Cell_Site_StartDate,2), "mmmm")</f>
        <v>March</v>
      </c>
      <c r="V78" s="49" cm="1">
        <f t="array" aca="1" ref="V78" ca="1">EntericMethane_PastureBeef_Equations.VEERG_3_2_1_1__3_FeedIntakeForGrazingBeef(V46,V62,X30)</f>
        <v>3.247204</v>
      </c>
      <c r="W78" s="49" cm="1">
        <f t="array" aca="1" ref="W78" ca="1">EntericMethane_PastureBeef_Equations.VEERG_3_2_1_1__3_FeedIntakeForGrazingBeef(W46,W62,Y30)</f>
        <v>9.4246544015999998</v>
      </c>
      <c r="X78" s="49" cm="1">
        <f t="array" aca="1" ref="X78" ca="1">EntericMethane_PastureBeef_Equations.VEERG_3_2_1_1__3_FeedIntakeForGrazingBeef(X46,X62,Z30)</f>
        <v>2.9603267136000002</v>
      </c>
      <c r="Y78" s="49" cm="1">
        <f t="array" aca="1" ref="Y78" ca="1">EntericMethane_PastureBeef_Equations.VEERG_3_2_1_1__3_FeedIntakeForGrazingBeef(Y46,Y62,AA30)</f>
        <v>5.9577975395999987</v>
      </c>
      <c r="Z78" s="49" cm="1">
        <f t="array" aca="1" ref="Z78" ca="1">EntericMethane_PastureBeef_Equations.VEERG_3_2_1_1__3_FeedIntakeForGrazingBeef(Z46,Z62,AB30)</f>
        <v>6.7179974480999993</v>
      </c>
      <c r="AA78" s="49" cm="1">
        <f t="array" aca="1" ref="AA78" ca="1">EntericMethane_PastureBeef_Equations.VEERG_3_2_1_1__3_FeedIntakeForGrazingBeef(AA46,AA62,AC30)</f>
        <v>6.7179974480999993</v>
      </c>
      <c r="AB78" s="49" cm="1">
        <f t="array" aca="1" ref="AB78" ca="1">EntericMethane_PastureBeef_Equations.VEERG_3_2_1_1__3_FeedIntakeForGrazingBeef(AB46,AB62,AD30)</f>
        <v>3.247204</v>
      </c>
      <c r="AC78" s="49" cm="1">
        <f t="array" aca="1" ref="AC78" ca="1">EntericMethane_PastureBeef_Equations.VEERG_3_2_1_1__3_FeedIntakeForGrazingBeef(AC46,AC62,AE30)</f>
        <v>5.8953782416000013</v>
      </c>
      <c r="AD78" s="49" cm="1">
        <f t="array" aca="1" ref="AD78" ca="1">EntericMethane_PastureBeef_Equations.VEERG_3_2_1_1__3_FeedIntakeForGrazingBeef(AD46,AD62,AF30)</f>
        <v>5.8953782416000013</v>
      </c>
      <c r="AE78" s="49" cm="1">
        <f t="array" aca="1" ref="AE78" ca="1">EntericMethane_PastureBeef_Equations.VEERG_3_2_1_1__3_FeedIntakeForGrazingBeef(AE46,AE62,AG30)</f>
        <v>5.8953782416000013</v>
      </c>
      <c r="AF78" s="2" t="str">
        <f t="shared" si="2"/>
        <v>kg DM/head/day</v>
      </c>
      <c r="AG78" s="2"/>
      <c r="AH78" s="2"/>
    </row>
    <row r="79" spans="3:34" ht="20.100000000000001" customHeight="1" x14ac:dyDescent="0.25">
      <c r="U79" s="49" t="str">
        <f>TEXT(EDATE(X_Cell_Site_StartDate,3), "mmmm")</f>
        <v>April</v>
      </c>
      <c r="V79" s="49" cm="1">
        <f t="array" aca="1" ref="V79" ca="1">EntericMethane_PastureBeef_Equations.VEERG_3_2_1_1__3_FeedIntakeForGrazingBeef(V47,V63,X31)</f>
        <v>3.247204</v>
      </c>
      <c r="W79" s="49" cm="1">
        <f t="array" aca="1" ref="W79" ca="1">EntericMethane_PastureBeef_Equations.VEERG_3_2_1_1__3_FeedIntakeForGrazingBeef(W47,W63,Y31)</f>
        <v>9.4246544015999998</v>
      </c>
      <c r="X79" s="49" cm="1">
        <f t="array" aca="1" ref="X79" ca="1">EntericMethane_PastureBeef_Equations.VEERG_3_2_1_1__3_FeedIntakeForGrazingBeef(X47,X63,Z31)</f>
        <v>2.9603267136000002</v>
      </c>
      <c r="Y79" s="49" cm="1">
        <f t="array" aca="1" ref="Y79" ca="1">EntericMethane_PastureBeef_Equations.VEERG_3_2_1_1__3_FeedIntakeForGrazingBeef(Y47,Y63,AA31)</f>
        <v>5.9577975395999987</v>
      </c>
      <c r="Z79" s="49" cm="1">
        <f t="array" aca="1" ref="Z79" ca="1">EntericMethane_PastureBeef_Equations.VEERG_3_2_1_1__3_FeedIntakeForGrazingBeef(Z47,Z63,AB31)</f>
        <v>6.7179974480999993</v>
      </c>
      <c r="AA79" s="49" cm="1">
        <f t="array" aca="1" ref="AA79" ca="1">EntericMethane_PastureBeef_Equations.VEERG_3_2_1_1__3_FeedIntakeForGrazingBeef(AA47,AA63,AC31)</f>
        <v>6.7179974480999993</v>
      </c>
      <c r="AB79" s="49" cm="1">
        <f t="array" aca="1" ref="AB79" ca="1">EntericMethane_PastureBeef_Equations.VEERG_3_2_1_1__3_FeedIntakeForGrazingBeef(AB47,AB63,AD31)</f>
        <v>3.247204</v>
      </c>
      <c r="AC79" s="49" cm="1">
        <f t="array" aca="1" ref="AC79" ca="1">EntericMethane_PastureBeef_Equations.VEERG_3_2_1_1__3_FeedIntakeForGrazingBeef(AC47,AC63,AE31)</f>
        <v>5.8953782416000013</v>
      </c>
      <c r="AD79" s="49" cm="1">
        <f t="array" aca="1" ref="AD79" ca="1">EntericMethane_PastureBeef_Equations.VEERG_3_2_1_1__3_FeedIntakeForGrazingBeef(AD47,AD63,AF31)</f>
        <v>5.8953782416000013</v>
      </c>
      <c r="AE79" s="49" cm="1">
        <f t="array" aca="1" ref="AE79" ca="1">EntericMethane_PastureBeef_Equations.VEERG_3_2_1_1__3_FeedIntakeForGrazingBeef(AE47,AE63,AG31)</f>
        <v>5.8953782416000013</v>
      </c>
      <c r="AF79" s="2" t="str">
        <f t="shared" si="2"/>
        <v>kg DM/head/day</v>
      </c>
      <c r="AG79" s="2"/>
      <c r="AH79" s="2"/>
    </row>
    <row r="80" spans="3:34" ht="20.100000000000001" customHeight="1" x14ac:dyDescent="0.25">
      <c r="D80" s="108" t="str" cm="1">
        <f t="array" ref="D80:E80">_xlfn.CHOOSECOLS(EntericMethane_PastureBeef_Equations.VEERG_3_2_1_1__2_DailyEntericMethaneProduction_Arguments(), 1, 2)</f>
        <v>I_jkl</v>
      </c>
      <c r="E80" s="113" t="str">
        <v>dry matter intake</v>
      </c>
      <c r="F80" s="112"/>
      <c r="G80" s="108" t="str" cm="1">
        <f t="array" ref="G80:H80">_xlfn.CHOOSECOLS(EntericMethane_PastureBeef_Equations.VEERG_3_2_1_1__2_DailyEntericMethaneProduction_Arguments(), 3,4)</f>
        <v>kg DM/head/day</v>
      </c>
      <c r="H80" s="109" t="str">
        <v>Calculated from 3.2.1.1, (3)</v>
      </c>
      <c r="I80" s="107" t="str" cm="1">
        <f t="array" aca="1" ref="I80" ca="1">HYPERLINK(Common_InputFunctions.Utility_SourceHyperlink($D$61), $D$61)</f>
        <v>M1_Table_I_j_k_l</v>
      </c>
      <c r="U80" s="49" t="str">
        <f>TEXT(EDATE(X_Cell_Site_StartDate,4), "mmmm")</f>
        <v>May</v>
      </c>
      <c r="V80" s="49" cm="1">
        <f t="array" aca="1" ref="V80" ca="1">EntericMethane_PastureBeef_Equations.VEERG_3_2_1_1__3_FeedIntakeForGrazingBeef(V48,V64,X32)</f>
        <v>3.247204</v>
      </c>
      <c r="W80" s="49" cm="1">
        <f t="array" aca="1" ref="W80" ca="1">EntericMethane_PastureBeef_Equations.VEERG_3_2_1_1__3_FeedIntakeForGrazingBeef(W48,W64,Y32)</f>
        <v>9.4246544015999998</v>
      </c>
      <c r="X80" s="49" cm="1">
        <f t="array" aca="1" ref="X80" ca="1">EntericMethane_PastureBeef_Equations.VEERG_3_2_1_1__3_FeedIntakeForGrazingBeef(X48,X64,Z32)</f>
        <v>2.9603267136000002</v>
      </c>
      <c r="Y80" s="49" cm="1">
        <f t="array" aca="1" ref="Y80" ca="1">EntericMethane_PastureBeef_Equations.VEERG_3_2_1_1__3_FeedIntakeForGrazingBeef(Y48,Y64,AA32)</f>
        <v>5.9577975395999987</v>
      </c>
      <c r="Z80" s="49" cm="1">
        <f t="array" aca="1" ref="Z80" ca="1">EntericMethane_PastureBeef_Equations.VEERG_3_2_1_1__3_FeedIntakeForGrazingBeef(Z48,Z64,AB32)</f>
        <v>6.7179974480999993</v>
      </c>
      <c r="AA80" s="49" cm="1">
        <f t="array" aca="1" ref="AA80" ca="1">EntericMethane_PastureBeef_Equations.VEERG_3_2_1_1__3_FeedIntakeForGrazingBeef(AA48,AA64,AC32)</f>
        <v>6.7179974480999993</v>
      </c>
      <c r="AB80" s="49" cm="1">
        <f t="array" aca="1" ref="AB80" ca="1">EntericMethane_PastureBeef_Equations.VEERG_3_2_1_1__3_FeedIntakeForGrazingBeef(AB48,AB64,AD32)</f>
        <v>3.247204</v>
      </c>
      <c r="AC80" s="49" cm="1">
        <f t="array" aca="1" ref="AC80" ca="1">EntericMethane_PastureBeef_Equations.VEERG_3_2_1_1__3_FeedIntakeForGrazingBeef(AC48,AC64,AE32)</f>
        <v>5.8953782416000013</v>
      </c>
      <c r="AD80" s="49" cm="1">
        <f t="array" aca="1" ref="AD80" ca="1">EntericMethane_PastureBeef_Equations.VEERG_3_2_1_1__3_FeedIntakeForGrazingBeef(AD48,AD64,AF32)</f>
        <v>5.8953782416000013</v>
      </c>
      <c r="AE80" s="49" cm="1">
        <f t="array" aca="1" ref="AE80" ca="1">EntericMethane_PastureBeef_Equations.VEERG_3_2_1_1__3_FeedIntakeForGrazingBeef(AE48,AE64,AG32)</f>
        <v>5.8953782416000013</v>
      </c>
      <c r="AF80" s="2" t="str">
        <f t="shared" si="2"/>
        <v>kg DM/head/day</v>
      </c>
    </row>
    <row r="81" spans="3:35" ht="20.100000000000001" customHeight="1" x14ac:dyDescent="0.25">
      <c r="U81" s="49" t="str">
        <f>TEXT(EDATE(X_Cell_Site_StartDate,5), "mmmm")</f>
        <v>June</v>
      </c>
      <c r="V81" s="49" cm="1">
        <f t="array" aca="1" ref="V81" ca="1">EntericMethane_PastureBeef_Equations.VEERG_3_2_1_1__3_FeedIntakeForGrazingBeef(V49,V65,X33)</f>
        <v>5.1328980481000004</v>
      </c>
      <c r="W81" s="49" cm="1">
        <f t="array" aca="1" ref="W81" ca="1">EntericMethane_PastureBeef_Equations.VEERG_3_2_1_1__3_FeedIntakeForGrazingBeef(W49,W65,Y33)</f>
        <v>9.9748588899999984</v>
      </c>
      <c r="X81" s="49" cm="1">
        <f t="array" aca="1" ref="X81" ca="1">EntericMethane_PastureBeef_Equations.VEERG_3_2_1_1__3_FeedIntakeForGrazingBeef(X49,X65,Z33)</f>
        <v>4.202705002500001</v>
      </c>
      <c r="Y81" s="49" cm="1">
        <f t="array" aca="1" ref="Y81" ca="1">EntericMethane_PastureBeef_Equations.VEERG_3_2_1_1__3_FeedIntakeForGrazingBeef(Y49,Y65,AA33)</f>
        <v>5.9278127841000021</v>
      </c>
      <c r="Z81" s="49" cm="1">
        <f t="array" aca="1" ref="Z81" ca="1">EntericMethane_PastureBeef_Equations.VEERG_3_2_1_1__3_FeedIntakeForGrazingBeef(Z49,Z65,AB33)</f>
        <v>7.952343600099999</v>
      </c>
      <c r="AA81" s="49" cm="1">
        <f t="array" aca="1" ref="AA81" ca="1">EntericMethane_PastureBeef_Equations.VEERG_3_2_1_1__3_FeedIntakeForGrazingBeef(AA49,AA65,AC33)</f>
        <v>7.952343600099999</v>
      </c>
      <c r="AB81" s="49" cm="1">
        <f t="array" aca="1" ref="AB81" ca="1">EntericMethane_PastureBeef_Equations.VEERG_3_2_1_1__3_FeedIntakeForGrazingBeef(AB49,AB65,AD33)</f>
        <v>4.5122681240999984</v>
      </c>
      <c r="AC81" s="49" cm="1">
        <f t="array" aca="1" ref="AC81" ca="1">EntericMethane_PastureBeef_Equations.VEERG_3_2_1_1__3_FeedIntakeForGrazingBeef(AC49,AC65,AE33)</f>
        <v>6.8698506815999991</v>
      </c>
      <c r="AD81" s="49" cm="1">
        <f t="array" aca="1" ref="AD81" ca="1">EntericMethane_PastureBeef_Equations.VEERG_3_2_1_1__3_FeedIntakeForGrazingBeef(AD49,AD65,AF33)</f>
        <v>6.8698506815999991</v>
      </c>
      <c r="AE81" s="49" cm="1">
        <f t="array" aca="1" ref="AE81" ca="1">EntericMethane_PastureBeef_Equations.VEERG_3_2_1_1__3_FeedIntakeForGrazingBeef(AE49,AE65,AG33)</f>
        <v>6.8698506815999991</v>
      </c>
      <c r="AF81" s="2" t="str">
        <f t="shared" si="2"/>
        <v>kg DM/head/day</v>
      </c>
    </row>
    <row r="82" spans="3:35" ht="20.100000000000001" customHeight="1" x14ac:dyDescent="0.25">
      <c r="D82" s="92" t="s">
        <v>256</v>
      </c>
      <c r="U82" s="49" t="str">
        <f>TEXT(EDATE(X_Cell_Site_StartDate,6), "mmmm")</f>
        <v>July</v>
      </c>
      <c r="V82" s="49" cm="1">
        <f t="array" aca="1" ref="V82" ca="1">EntericMethane_PastureBeef_Equations.VEERG_3_2_1_1__3_FeedIntakeForGrazingBeef(V50,V66,X34)</f>
        <v>5.1328980481000004</v>
      </c>
      <c r="W82" s="49" cm="1">
        <f t="array" aca="1" ref="W82" ca="1">EntericMethane_PastureBeef_Equations.VEERG_3_2_1_1__3_FeedIntakeForGrazingBeef(W50,W66,Y34)</f>
        <v>9.9748588899999984</v>
      </c>
      <c r="X82" s="49" cm="1">
        <f t="array" aca="1" ref="X82" ca="1">EntericMethane_PastureBeef_Equations.VEERG_3_2_1_1__3_FeedIntakeForGrazingBeef(X50,X66,Z34)</f>
        <v>4.202705002500001</v>
      </c>
      <c r="Y82" s="49" cm="1">
        <f t="array" aca="1" ref="Y82" ca="1">EntericMethane_PastureBeef_Equations.VEERG_3_2_1_1__3_FeedIntakeForGrazingBeef(Y50,Y66,AA34)</f>
        <v>5.9278127841000021</v>
      </c>
      <c r="Z82" s="49" cm="1">
        <f t="array" aca="1" ref="Z82" ca="1">EntericMethane_PastureBeef_Equations.VEERG_3_2_1_1__3_FeedIntakeForGrazingBeef(Z50,Z66,AB34)</f>
        <v>7.952343600099999</v>
      </c>
      <c r="AA82" s="49" cm="1">
        <f t="array" aca="1" ref="AA82" ca="1">EntericMethane_PastureBeef_Equations.VEERG_3_2_1_1__3_FeedIntakeForGrazingBeef(AA50,AA66,AC34)</f>
        <v>7.952343600099999</v>
      </c>
      <c r="AB82" s="49" cm="1">
        <f t="array" aca="1" ref="AB82" ca="1">EntericMethane_PastureBeef_Equations.VEERG_3_2_1_1__3_FeedIntakeForGrazingBeef(AB50,AB66,AD34)</f>
        <v>4.5122681240999984</v>
      </c>
      <c r="AC82" s="49" cm="1">
        <f t="array" aca="1" ref="AC82" ca="1">EntericMethane_PastureBeef_Equations.VEERG_3_2_1_1__3_FeedIntakeForGrazingBeef(AC50,AC66,AE34)</f>
        <v>6.8698506815999991</v>
      </c>
      <c r="AD82" s="49" cm="1">
        <f t="array" aca="1" ref="AD82" ca="1">EntericMethane_PastureBeef_Equations.VEERG_3_2_1_1__3_FeedIntakeForGrazingBeef(AD50,AD66,AF34)</f>
        <v>6.8698506815999991</v>
      </c>
      <c r="AE82" s="49" cm="1">
        <f t="array" aca="1" ref="AE82" ca="1">EntericMethane_PastureBeef_Equations.VEERG_3_2_1_1__3_FeedIntakeForGrazingBeef(AE50,AE66,AG34)</f>
        <v>6.8698506815999991</v>
      </c>
      <c r="AF82" s="2" t="str">
        <f t="shared" si="2"/>
        <v>kg DM/head/day</v>
      </c>
    </row>
    <row r="83" spans="3:35" ht="20.100000000000001" customHeight="1" x14ac:dyDescent="0.25">
      <c r="D83" s="91" t="s">
        <v>257</v>
      </c>
      <c r="U83" s="49" t="str">
        <f>TEXT(EDATE(X_Cell_Site_StartDate,7), "mmmm")</f>
        <v>August</v>
      </c>
      <c r="V83" s="49" cm="1">
        <f t="array" aca="1" ref="V83" ca="1">EntericMethane_PastureBeef_Equations.VEERG_3_2_1_1__3_FeedIntakeForGrazingBeef(V51,V67,X35)</f>
        <v>5.1328980481000004</v>
      </c>
      <c r="W83" s="49" cm="1">
        <f t="array" aca="1" ref="W83" ca="1">EntericMethane_PastureBeef_Equations.VEERG_3_2_1_1__3_FeedIntakeForGrazingBeef(W51,W67,Y35)</f>
        <v>9.9748588899999984</v>
      </c>
      <c r="X83" s="49" cm="1">
        <f t="array" aca="1" ref="X83" ca="1">EntericMethane_PastureBeef_Equations.VEERG_3_2_1_1__3_FeedIntakeForGrazingBeef(X51,X67,Z35)</f>
        <v>4.202705002500001</v>
      </c>
      <c r="Y83" s="49" cm="1">
        <f t="array" aca="1" ref="Y83" ca="1">EntericMethane_PastureBeef_Equations.VEERG_3_2_1_1__3_FeedIntakeForGrazingBeef(Y51,Y67,AA35)</f>
        <v>80984.592693817423</v>
      </c>
      <c r="Z83" s="49" cm="1">
        <f t="array" aca="1" ref="Z83" ca="1">EntericMethane_PastureBeef_Equations.VEERG_3_2_1_1__3_FeedIntakeForGrazingBeef(Z51,Z67,AB35)</f>
        <v>7.952343600099999</v>
      </c>
      <c r="AA83" s="49" cm="1">
        <f t="array" aca="1" ref="AA83" ca="1">EntericMethane_PastureBeef_Equations.VEERG_3_2_1_1__3_FeedIntakeForGrazingBeef(AA51,AA67,AC35)</f>
        <v>7.952343600099999</v>
      </c>
      <c r="AB83" s="49" cm="1">
        <f t="array" aca="1" ref="AB83" ca="1">EntericMethane_PastureBeef_Equations.VEERG_3_2_1_1__3_FeedIntakeForGrazingBeef(AB51,AB67,AD35)</f>
        <v>4.5122681240999984</v>
      </c>
      <c r="AC83" s="49" cm="1">
        <f t="array" aca="1" ref="AC83" ca="1">EntericMethane_PastureBeef_Equations.VEERG_3_2_1_1__3_FeedIntakeForGrazingBeef(AC51,AC67,AE35)</f>
        <v>6.8698506815999991</v>
      </c>
      <c r="AD83" s="49" cm="1">
        <f t="array" aca="1" ref="AD83" ca="1">EntericMethane_PastureBeef_Equations.VEERG_3_2_1_1__3_FeedIntakeForGrazingBeef(AD51,AD67,AF35)</f>
        <v>6.8698506815999991</v>
      </c>
      <c r="AE83" s="49" cm="1">
        <f t="array" aca="1" ref="AE83" ca="1">EntericMethane_PastureBeef_Equations.VEERG_3_2_1_1__3_FeedIntakeForGrazingBeef(AE51,AE67,AG35)</f>
        <v>6.8698506815999991</v>
      </c>
      <c r="AF83" s="2" t="str">
        <f t="shared" si="2"/>
        <v>kg DM/head/day</v>
      </c>
    </row>
    <row r="84" spans="3:35" ht="20.100000000000001" customHeight="1" x14ac:dyDescent="0.25">
      <c r="D84" s="48" t="s">
        <v>145</v>
      </c>
      <c r="E84" s="48" t="s">
        <v>103</v>
      </c>
      <c r="F84" s="48" t="s">
        <v>102</v>
      </c>
      <c r="G84" s="48" t="s">
        <v>126</v>
      </c>
      <c r="H84" s="48" t="s">
        <v>127</v>
      </c>
      <c r="I84" s="48" t="s">
        <v>128</v>
      </c>
      <c r="J84" s="48" t="s">
        <v>129</v>
      </c>
      <c r="K84" s="48" t="s">
        <v>130</v>
      </c>
      <c r="L84" s="48" t="s">
        <v>131</v>
      </c>
      <c r="M84" s="48" t="s">
        <v>132</v>
      </c>
      <c r="N84" s="48" t="s">
        <v>133</v>
      </c>
      <c r="U84" s="49" t="str">
        <f>TEXT(EDATE(X_Cell_Site_StartDate,8), "mmmm")</f>
        <v>September</v>
      </c>
      <c r="V84" s="49" cm="1">
        <f t="array" aca="1" ref="V84" ca="1">EntericMethane_PastureBeef_Equations.VEERG_3_2_1_1__3_FeedIntakeForGrazingBeef(V52,V68,X36)</f>
        <v>8.6709047296000001</v>
      </c>
      <c r="W84" s="49" cm="1">
        <f t="array" aca="1" ref="W84" ca="1">EntericMethane_PastureBeef_Equations.VEERG_3_2_1_1__3_FeedIntakeForGrazingBeef(W52,W68,Y36)</f>
        <v>12.246500250000002</v>
      </c>
      <c r="X84" s="49" cm="1">
        <f t="array" aca="1" ref="X84" ca="1">EntericMethane_PastureBeef_Equations.VEERG_3_2_1_1__3_FeedIntakeForGrazingBeef(X52,X68,Z36)</f>
        <v>6.6089612241000006</v>
      </c>
      <c r="Y84" s="49" cm="1">
        <f t="array" aca="1" ref="Y84" ca="1">EntericMethane_PastureBeef_Equations.VEERG_3_2_1_1__3_FeedIntakeForGrazingBeef(Y52,Y68,AA36)</f>
        <v>118489.93762638624</v>
      </c>
      <c r="Z84" s="49" cm="1">
        <f t="array" aca="1" ref="Z84" ca="1">EntericMethane_PastureBeef_Equations.VEERG_3_2_1_1__3_FeedIntakeForGrazingBeef(Z52,Z68,AB36)</f>
        <v>9.6310915600000016</v>
      </c>
      <c r="AA84" s="49" cm="1">
        <f t="array" aca="1" ref="AA84" ca="1">EntericMethane_PastureBeef_Equations.VEERG_3_2_1_1__3_FeedIntakeForGrazingBeef(AA52,AA68,AC36)</f>
        <v>9.6310915600000016</v>
      </c>
      <c r="AB84" s="49" cm="1">
        <f t="array" aca="1" ref="AB84" ca="1">EntericMethane_PastureBeef_Equations.VEERG_3_2_1_1__3_FeedIntakeForGrazingBeef(AB52,AB68,AD36)</f>
        <v>7.6192560899999977</v>
      </c>
      <c r="AC84" s="49" cm="1">
        <f t="array" aca="1" ref="AC84" ca="1">EntericMethane_PastureBeef_Equations.VEERG_3_2_1_1__3_FeedIntakeForGrazingBeef(AC52,AC68,AE36)</f>
        <v>9.6824279555999979</v>
      </c>
      <c r="AD84" s="49" cm="1">
        <f t="array" aca="1" ref="AD84" ca="1">EntericMethane_PastureBeef_Equations.VEERG_3_2_1_1__3_FeedIntakeForGrazingBeef(AD52,AD68,AF36)</f>
        <v>9.6824279555999979</v>
      </c>
      <c r="AE84" s="49" cm="1">
        <f t="array" aca="1" ref="AE84" ca="1">EntericMethane_PastureBeef_Equations.VEERG_3_2_1_1__3_FeedIntakeForGrazingBeef(AE52,AE68,AG36)</f>
        <v>9.6824279555999979</v>
      </c>
      <c r="AF84" s="2" t="str">
        <f t="shared" si="2"/>
        <v>kg DM/head/day</v>
      </c>
      <c r="AG84" s="2"/>
      <c r="AH84" s="2"/>
    </row>
    <row r="85" spans="3:35" ht="20.100000000000001" customHeight="1" x14ac:dyDescent="0.25">
      <c r="D85" s="49" t="s">
        <v>134</v>
      </c>
      <c r="E85" s="49" cm="1">
        <f t="array" aca="1" ref="E85" ca="1">EntericMethane_PastureBeef_Equations.VEERG_3_2_1_1__2_DailyEntericMethaneProduction(E64)</f>
        <v>0.17948772790272</v>
      </c>
      <c r="F85" s="49" cm="1">
        <f t="array" aca="1" ref="F85" ca="1">EntericMethane_PastureBeef_Equations.VEERG_3_2_1_1__2_DailyEntericMethaneProduction(F64)</f>
        <v>0.25350255517500003</v>
      </c>
      <c r="G85" s="49" cm="1">
        <f t="array" aca="1" ref="G85" ca="1">EntericMethane_PastureBeef_Equations.VEERG_3_2_1_1__2_DailyEntericMethaneProduction(G64)</f>
        <v>0.13680549733887001</v>
      </c>
      <c r="H85" s="49" cm="1">
        <f t="array" aca="1" ref="H85" ca="1">EntericMethane_PastureBeef_Equations.VEERG_3_2_1_1__2_DailyEntericMethaneProduction(H64)</f>
        <v>0.17953283673207002</v>
      </c>
      <c r="I85" s="49" cm="1">
        <f t="array" aca="1" ref="I85" ca="1">EntericMethane_PastureBeef_Equations.VEERG_3_2_1_1__2_DailyEntericMethaneProduction(I64)</f>
        <v>0.19936359529200001</v>
      </c>
      <c r="J85" s="49" cm="1">
        <f t="array" aca="1" ref="J85" ca="1">EntericMethane_PastureBeef_Equations.VEERG_3_2_1_1__2_DailyEntericMethaneProduction(J64)</f>
        <v>0.19936359529200001</v>
      </c>
      <c r="K85" s="49" cm="1">
        <f t="array" aca="1" ref="K85" ca="1">EntericMethane_PastureBeef_Equations.VEERG_3_2_1_1__2_DailyEntericMethaneProduction(K64)</f>
        <v>0.15771860106299995</v>
      </c>
      <c r="L85" s="49" cm="1">
        <f t="array" aca="1" ref="L85" ca="1">EntericMethane_PastureBeef_Equations.VEERG_3_2_1_1__2_DailyEntericMethaneProduction(L64)</f>
        <v>0.20042625868091996</v>
      </c>
      <c r="M85" s="49" cm="1">
        <f t="array" aca="1" ref="M85" ca="1">EntericMethane_PastureBeef_Equations.VEERG_3_2_1_1__2_DailyEntericMethaneProduction(M64)</f>
        <v>0.20042625868091996</v>
      </c>
      <c r="N85" s="49" cm="1">
        <f t="array" aca="1" ref="N85" ca="1">EntericMethane_PastureBeef_Equations.VEERG_3_2_1_1__2_DailyEntericMethaneProduction(N64)</f>
        <v>0.20042625868091996</v>
      </c>
      <c r="O85" s="2" t="str">
        <f>G80</f>
        <v>kg DM/head/day</v>
      </c>
      <c r="P85" s="2"/>
      <c r="Q85" s="2"/>
      <c r="U85" s="49" t="str">
        <f>TEXT(EDATE(X_Cell_Site_StartDate,9), "mmmm")</f>
        <v>October</v>
      </c>
      <c r="V85" s="49" cm="1">
        <f t="array" aca="1" ref="V85" ca="1">EntericMethane_PastureBeef_Equations.VEERG_3_2_1_1__3_FeedIntakeForGrazingBeef(V53,V69,X37)</f>
        <v>8.6709047296000001</v>
      </c>
      <c r="W85" s="49" cm="1">
        <f t="array" aca="1" ref="W85" ca="1">EntericMethane_PastureBeef_Equations.VEERG_3_2_1_1__3_FeedIntakeForGrazingBeef(W53,W69,Y37)</f>
        <v>12.246500250000002</v>
      </c>
      <c r="X85" s="49" cm="1">
        <f t="array" aca="1" ref="X85" ca="1">EntericMethane_PastureBeef_Equations.VEERG_3_2_1_1__3_FeedIntakeForGrazingBeef(X53,X69,Z37)</f>
        <v>6.6089612241000006</v>
      </c>
      <c r="Y85" s="49" cm="1">
        <f t="array" aca="1" ref="Y85" ca="1">EntericMethane_PastureBeef_Equations.VEERG_3_2_1_1__3_FeedIntakeForGrazingBeef(Y53,Y69,AA37)</f>
        <v>118489.93762638624</v>
      </c>
      <c r="Z85" s="49" cm="1">
        <f t="array" aca="1" ref="Z85" ca="1">EntericMethane_PastureBeef_Equations.VEERG_3_2_1_1__3_FeedIntakeForGrazingBeef(Z53,Z69,AB37)</f>
        <v>9.6310915600000016</v>
      </c>
      <c r="AA85" s="49" cm="1">
        <f t="array" aca="1" ref="AA85" ca="1">EntericMethane_PastureBeef_Equations.VEERG_3_2_1_1__3_FeedIntakeForGrazingBeef(AA53,AA69,AC37)</f>
        <v>9.6310915600000016</v>
      </c>
      <c r="AB85" s="49" cm="1">
        <f t="array" aca="1" ref="AB85" ca="1">EntericMethane_PastureBeef_Equations.VEERG_3_2_1_1__3_FeedIntakeForGrazingBeef(AB53,AB69,AD37)</f>
        <v>7.6192560899999977</v>
      </c>
      <c r="AC85" s="49" cm="1">
        <f t="array" aca="1" ref="AC85" ca="1">EntericMethane_PastureBeef_Equations.VEERG_3_2_1_1__3_FeedIntakeForGrazingBeef(AC53,AC69,AE37)</f>
        <v>9.6824279555999979</v>
      </c>
      <c r="AD85" s="49" cm="1">
        <f t="array" aca="1" ref="AD85" ca="1">EntericMethane_PastureBeef_Equations.VEERG_3_2_1_1__3_FeedIntakeForGrazingBeef(AD53,AD69,AF37)</f>
        <v>9.6824279555999979</v>
      </c>
      <c r="AE85" s="49" cm="1">
        <f t="array" aca="1" ref="AE85" ca="1">EntericMethane_PastureBeef_Equations.VEERG_3_2_1_1__3_FeedIntakeForGrazingBeef(AE53,AE69,AG37)</f>
        <v>9.6824279555999979</v>
      </c>
      <c r="AF85" s="2" t="str">
        <f t="shared" si="2"/>
        <v>kg DM/head/day</v>
      </c>
      <c r="AG85" s="2"/>
      <c r="AH85" s="2"/>
    </row>
    <row r="86" spans="3:35" ht="20.100000000000001" customHeight="1" x14ac:dyDescent="0.25">
      <c r="D86" s="49" t="s">
        <v>135</v>
      </c>
      <c r="E86" s="49" cm="1">
        <f t="array" aca="1" ref="E86" ca="1">EntericMethane_PastureBeef_Equations.VEERG_3_2_1_1__2_DailyEntericMethaneProduction(E65)</f>
        <v>0.14793987137471989</v>
      </c>
      <c r="F86" s="49" cm="1">
        <f t="array" aca="1" ref="F86" ca="1">EntericMethane_PastureBeef_Equations.VEERG_3_2_1_1__2_DailyEntericMethaneProduction(F65)</f>
        <v>0.19573907587452002</v>
      </c>
      <c r="G86" s="49" cm="1">
        <f t="array" aca="1" ref="G86" ca="1">EntericMethane_PastureBeef_Equations.VEERG_3_2_1_1__2_DailyEntericMethaneProduction(G65)</f>
        <v>0.12441409099199996</v>
      </c>
      <c r="H86" s="49" cm="1">
        <f t="array" aca="1" ref="H86" ca="1">EntericMethane_PastureBeef_Equations.VEERG_3_2_1_1__2_DailyEntericMethaneProduction(H65)</f>
        <v>0.16292037884175001</v>
      </c>
      <c r="I86" s="49" cm="1">
        <f t="array" aca="1" ref="I86" ca="1">EntericMethane_PastureBeef_Equations.VEERG_3_2_1_1__2_DailyEntericMethaneProduction(I65)</f>
        <v>0.16131110973551996</v>
      </c>
      <c r="J86" s="49" cm="1">
        <f t="array" aca="1" ref="J86" ca="1">EntericMethane_PastureBeef_Equations.VEERG_3_2_1_1__2_DailyEntericMethaneProduction(J65)</f>
        <v>0.16131110973551996</v>
      </c>
      <c r="K86" s="49" cm="1">
        <f t="array" aca="1" ref="K86" ca="1">EntericMethane_PastureBeef_Equations.VEERG_3_2_1_1__2_DailyEntericMethaneProduction(K65)</f>
        <v>0.13636416641471999</v>
      </c>
      <c r="L86" s="49" cm="1">
        <f t="array" aca="1" ref="L86" ca="1">EntericMethane_PastureBeef_Equations.VEERG_3_2_1_1__2_DailyEntericMethaneProduction(L65)</f>
        <v>0.15200155388727002</v>
      </c>
      <c r="M86" s="49" cm="1">
        <f t="array" aca="1" ref="M86" ca="1">EntericMethane_PastureBeef_Equations.VEERG_3_2_1_1__2_DailyEntericMethaneProduction(M65)</f>
        <v>0.15200155388727002</v>
      </c>
      <c r="N86" s="49" cm="1">
        <f t="array" aca="1" ref="N86" ca="1">EntericMethane_PastureBeef_Equations.VEERG_3_2_1_1__2_DailyEntericMethaneProduction(N65)</f>
        <v>0.15200155388727002</v>
      </c>
      <c r="O86" s="2"/>
      <c r="P86" s="2"/>
      <c r="Q86" s="2"/>
      <c r="U86" s="49" t="str">
        <f>TEXT(EDATE(X_Cell_Site_StartDate,10), "mmmm")</f>
        <v>November</v>
      </c>
      <c r="V86" s="49" cm="1">
        <f t="array" aca="1" ref="V86" ca="1">EntericMethane_PastureBeef_Equations.VEERG_3_2_1_1__3_FeedIntakeForGrazingBeef(V54,V70,X38)</f>
        <v>8.6709047296000001</v>
      </c>
      <c r="W86" s="49" cm="1">
        <f t="array" aca="1" ref="W86" ca="1">EntericMethane_PastureBeef_Equations.VEERG_3_2_1_1__3_FeedIntakeForGrazingBeef(W54,W70,Y38)</f>
        <v>12.246500250000002</v>
      </c>
      <c r="X86" s="49" cm="1">
        <f t="array" aca="1" ref="X86" ca="1">EntericMethane_PastureBeef_Equations.VEERG_3_2_1_1__3_FeedIntakeForGrazingBeef(X54,X70,Z38)</f>
        <v>6.6089612241000006</v>
      </c>
      <c r="Y86" s="49" cm="1">
        <f t="array" aca="1" ref="Y86" ca="1">EntericMethane_PastureBeef_Equations.VEERG_3_2_1_1__3_FeedIntakeForGrazingBeef(Y54,Y70,AA38)</f>
        <v>39502.427931395519</v>
      </c>
      <c r="Z86" s="49" cm="1">
        <f t="array" aca="1" ref="Z86" ca="1">EntericMethane_PastureBeef_Equations.VEERG_3_2_1_1__3_FeedIntakeForGrazingBeef(Z54,Z70,AB38)</f>
        <v>9.6310915600000016</v>
      </c>
      <c r="AA86" s="49" cm="1">
        <f t="array" aca="1" ref="AA86" ca="1">EntericMethane_PastureBeef_Equations.VEERG_3_2_1_1__3_FeedIntakeForGrazingBeef(AA54,AA70,AC38)</f>
        <v>9.6310915600000016</v>
      </c>
      <c r="AB86" s="49" cm="1">
        <f t="array" aca="1" ref="AB86" ca="1">EntericMethane_PastureBeef_Equations.VEERG_3_2_1_1__3_FeedIntakeForGrazingBeef(AB54,AB70,AD38)</f>
        <v>7.6192560899999977</v>
      </c>
      <c r="AC86" s="49" cm="1">
        <f t="array" aca="1" ref="AC86" ca="1">EntericMethane_PastureBeef_Equations.VEERG_3_2_1_1__3_FeedIntakeForGrazingBeef(AC54,AC70,AE38)</f>
        <v>9.6824279555999979</v>
      </c>
      <c r="AD86" s="49" cm="1">
        <f t="array" aca="1" ref="AD86" ca="1">EntericMethane_PastureBeef_Equations.VEERG_3_2_1_1__3_FeedIntakeForGrazingBeef(AD54,AD70,AF38)</f>
        <v>9.6824279555999979</v>
      </c>
      <c r="AE86" s="49" cm="1">
        <f t="array" aca="1" ref="AE86" ca="1">EntericMethane_PastureBeef_Equations.VEERG_3_2_1_1__3_FeedIntakeForGrazingBeef(AE54,AE70,AG38)</f>
        <v>9.6824279555999979</v>
      </c>
      <c r="AF86" s="2" t="str">
        <f t="shared" si="2"/>
        <v>kg DM/head/day</v>
      </c>
      <c r="AG86" s="2"/>
      <c r="AH86" s="2"/>
    </row>
    <row r="87" spans="3:35" ht="20.100000000000001" customHeight="1" x14ac:dyDescent="0.25">
      <c r="D87" s="49" t="s">
        <v>136</v>
      </c>
      <c r="E87" s="49" cm="1">
        <f t="array" aca="1" ref="E87" ca="1">EntericMethane_PastureBeef_Equations.VEERG_3_2_1_1__2_DailyEntericMethaneProduction(E66)</f>
        <v>6.7217122800000001E-2</v>
      </c>
      <c r="F87" s="49" cm="1">
        <f t="array" aca="1" ref="F87" ca="1">EntericMethane_PastureBeef_Equations.VEERG_3_2_1_1__2_DailyEntericMethaneProduction(F66)</f>
        <v>0.19509034611311998</v>
      </c>
      <c r="G87" s="49" cm="1">
        <f t="array" aca="1" ref="G87" ca="1">EntericMethane_PastureBeef_Equations.VEERG_3_2_1_1__2_DailyEntericMethaneProduction(G66)</f>
        <v>6.1278762971520004E-2</v>
      </c>
      <c r="H87" s="49" cm="1">
        <f t="array" aca="1" ref="H87" ca="1">EntericMethane_PastureBeef_Equations.VEERG_3_2_1_1__2_DailyEntericMethaneProduction(H66)</f>
        <v>0.12332640906971998</v>
      </c>
      <c r="I87" s="49" cm="1">
        <f t="array" aca="1" ref="I87" ca="1">EntericMethane_PastureBeef_Equations.VEERG_3_2_1_1__2_DailyEntericMethaneProduction(I66)</f>
        <v>0.13906254717566999</v>
      </c>
      <c r="J87" s="49" cm="1">
        <f t="array" aca="1" ref="J87" ca="1">EntericMethane_PastureBeef_Equations.VEERG_3_2_1_1__2_DailyEntericMethaneProduction(J66)</f>
        <v>0.13906254717566999</v>
      </c>
      <c r="K87" s="49" cm="1">
        <f t="array" aca="1" ref="K87" ca="1">EntericMethane_PastureBeef_Equations.VEERG_3_2_1_1__2_DailyEntericMethaneProduction(K66)</f>
        <v>6.7217122800000001E-2</v>
      </c>
      <c r="L87" s="49" cm="1">
        <f t="array" aca="1" ref="L87" ca="1">EntericMethane_PastureBeef_Equations.VEERG_3_2_1_1__2_DailyEntericMethaneProduction(L66)</f>
        <v>0.12203432960112003</v>
      </c>
      <c r="M87" s="49" cm="1">
        <f t="array" aca="1" ref="M87" ca="1">EntericMethane_PastureBeef_Equations.VEERG_3_2_1_1__2_DailyEntericMethaneProduction(M66)</f>
        <v>0.12203432960112003</v>
      </c>
      <c r="N87" s="49" cm="1">
        <f t="array" aca="1" ref="N87" ca="1">EntericMethane_PastureBeef_Equations.VEERG_3_2_1_1__2_DailyEntericMethaneProduction(N66)</f>
        <v>0.12203432960112003</v>
      </c>
      <c r="O87" s="2"/>
      <c r="P87" s="2"/>
      <c r="Q87" s="2"/>
      <c r="U87" s="49" t="str">
        <f>TEXT(EDATE(X_Cell_Site_StartDate,11), "mmmm")</f>
        <v>December</v>
      </c>
      <c r="V87" s="49" cm="1">
        <f t="array" aca="1" ref="V87" ca="1">EntericMethane_PastureBeef_Equations.VEERG_3_2_1_1__3_FeedIntakeForGrazingBeef(V55,V71,X39)</f>
        <v>7.1468536895999959</v>
      </c>
      <c r="W87" s="49" cm="1">
        <f t="array" aca="1" ref="W87" ca="1">EntericMethane_PastureBeef_Equations.VEERG_3_2_1_1__3_FeedIntakeForGrazingBeef(W55,W71,Y39)</f>
        <v>9.4559940036000008</v>
      </c>
      <c r="X87" s="49" cm="1">
        <f t="array" aca="1" ref="X87" ca="1">EntericMethane_PastureBeef_Equations.VEERG_3_2_1_1__3_FeedIntakeForGrazingBeef(X55,X71,Z39)</f>
        <v>6.010342559999998</v>
      </c>
      <c r="Y87" s="49" cm="1">
        <f t="array" aca="1" ref="Y87" ca="1">EntericMethane_PastureBeef_Equations.VEERG_3_2_1_1__3_FeedIntakeForGrazingBeef(Y55,Y71,AA39)</f>
        <v>7.8705497025</v>
      </c>
      <c r="Z87" s="49" cm="1">
        <f t="array" aca="1" ref="Z87" ca="1">EntericMethane_PastureBeef_Equations.VEERG_3_2_1_1__3_FeedIntakeForGrazingBeef(Z55,Z71,AB39)</f>
        <v>7.7928072335999978</v>
      </c>
      <c r="AA87" s="49" cm="1">
        <f t="array" aca="1" ref="AA87" ca="1">EntericMethane_PastureBeef_Equations.VEERG_3_2_1_1__3_FeedIntakeForGrazingBeef(AA55,AA71,AC39)</f>
        <v>7.7928072335999978</v>
      </c>
      <c r="AB87" s="49" cm="1">
        <f t="array" aca="1" ref="AB87" ca="1">EntericMethane_PastureBeef_Equations.VEERG_3_2_1_1__3_FeedIntakeForGrazingBeef(AB55,AB71,AD39)</f>
        <v>6.5876408896000003</v>
      </c>
      <c r="AC87" s="49" cm="1">
        <f t="array" aca="1" ref="AC87" ca="1">EntericMethane_PastureBeef_Equations.VEERG_3_2_1_1__3_FeedIntakeForGrazingBeef(AC55,AC71,AE39)</f>
        <v>7.3430702361</v>
      </c>
      <c r="AD87" s="49" cm="1">
        <f t="array" aca="1" ref="AD87" ca="1">EntericMethane_PastureBeef_Equations.VEERG_3_2_1_1__3_FeedIntakeForGrazingBeef(AD55,AD71,AF39)</f>
        <v>7.3430702361</v>
      </c>
      <c r="AE87" s="49" cm="1">
        <f t="array" aca="1" ref="AE87" ca="1">EntericMethane_PastureBeef_Equations.VEERG_3_2_1_1__3_FeedIntakeForGrazingBeef(AE55,AE71,AG39)</f>
        <v>7.3430702361</v>
      </c>
      <c r="AF87" s="2" t="str">
        <f t="shared" si="2"/>
        <v>kg DM/head/day</v>
      </c>
      <c r="AG87" s="2"/>
      <c r="AH87" s="2"/>
    </row>
    <row r="88" spans="3:35" ht="20.100000000000001" customHeight="1" x14ac:dyDescent="0.25">
      <c r="D88" s="49" t="s">
        <v>137</v>
      </c>
      <c r="E88" s="49" cm="1">
        <f t="array" aca="1" ref="E88" ca="1">EntericMethane_PastureBeef_Equations.VEERG_3_2_1_1__2_DailyEntericMethaneProduction(E67)</f>
        <v>0.10625098959567</v>
      </c>
      <c r="F88" s="49" cm="1">
        <f t="array" aca="1" ref="F88" ca="1">EntericMethane_PastureBeef_Equations.VEERG_3_2_1_1__2_DailyEntericMethaneProduction(F67)</f>
        <v>0.20647957902299996</v>
      </c>
      <c r="G88" s="49" cm="1">
        <f t="array" aca="1" ref="G88" ca="1">EntericMethane_PastureBeef_Equations.VEERG_3_2_1_1__2_DailyEntericMethaneProduction(G67)</f>
        <v>8.6995993551750014E-2</v>
      </c>
      <c r="H88" s="49" cm="1">
        <f t="array" aca="1" ref="H88" ca="1">EntericMethane_PastureBeef_Equations.VEERG_3_2_1_1__2_DailyEntericMethaneProduction(H67)</f>
        <v>0.12270572463087004</v>
      </c>
      <c r="I88" s="49" cm="1">
        <f t="array" aca="1" ref="I88" ca="1">EntericMethane_PastureBeef_Equations.VEERG_3_2_1_1__2_DailyEntericMethaneProduction(I67)</f>
        <v>0.16461351252206999</v>
      </c>
      <c r="J88" s="49" cm="1">
        <f t="array" aca="1" ref="J88" ca="1">EntericMethane_PastureBeef_Equations.VEERG_3_2_1_1__2_DailyEntericMethaneProduction(J67)</f>
        <v>0.16461351252206999</v>
      </c>
      <c r="K88" s="49" cm="1">
        <f t="array" aca="1" ref="K88" ca="1">EntericMethane_PastureBeef_Equations.VEERG_3_2_1_1__2_DailyEntericMethaneProduction(K67)</f>
        <v>9.3403950168869973E-2</v>
      </c>
      <c r="L88" s="49" cm="1">
        <f t="array" aca="1" ref="L88" ca="1">EntericMethane_PastureBeef_Equations.VEERG_3_2_1_1__2_DailyEntericMethaneProduction(L67)</f>
        <v>0.14220590910911998</v>
      </c>
      <c r="M88" s="49" cm="1">
        <f t="array" aca="1" ref="M88" ca="1">EntericMethane_PastureBeef_Equations.VEERG_3_2_1_1__2_DailyEntericMethaneProduction(M67)</f>
        <v>0.14220590910911998</v>
      </c>
      <c r="N88" s="49" cm="1">
        <f t="array" aca="1" ref="N88" ca="1">EntericMethane_PastureBeef_Equations.VEERG_3_2_1_1__2_DailyEntericMethaneProduction(N67)</f>
        <v>0.14220590910911998</v>
      </c>
      <c r="O88" s="2"/>
      <c r="P88" s="2"/>
      <c r="Q88" s="2"/>
      <c r="AG88" s="2"/>
      <c r="AH88" s="2"/>
    </row>
    <row r="89" spans="3:35" ht="20.100000000000001" customHeight="1" x14ac:dyDescent="0.25">
      <c r="AG89" s="2"/>
      <c r="AH89" s="2"/>
    </row>
    <row r="90" spans="3:35" ht="20.100000000000001" customHeight="1" x14ac:dyDescent="0.25">
      <c r="AG90" s="2"/>
      <c r="AH90" s="2"/>
    </row>
    <row r="91" spans="3:35" ht="20.100000000000001" customHeight="1" x14ac:dyDescent="0.25">
      <c r="C91" s="42"/>
      <c r="D91" s="42"/>
      <c r="E91" s="42"/>
      <c r="F91" s="42"/>
      <c r="G91" s="42"/>
      <c r="H91" s="42"/>
      <c r="I91" s="42"/>
      <c r="J91" s="42"/>
      <c r="K91" s="42"/>
      <c r="L91" s="42"/>
      <c r="M91" s="42"/>
      <c r="N91" s="42"/>
      <c r="O91" s="42"/>
      <c r="P91" s="42"/>
      <c r="Q91" s="42"/>
      <c r="R91" s="42"/>
      <c r="T91" s="42"/>
      <c r="U91" s="42"/>
      <c r="V91" s="42"/>
      <c r="W91" s="42"/>
      <c r="X91" s="42"/>
      <c r="Y91" s="42"/>
      <c r="Z91" s="42"/>
      <c r="AA91" s="42"/>
      <c r="AB91" s="42"/>
      <c r="AC91" s="42"/>
      <c r="AD91" s="42"/>
      <c r="AE91" s="42"/>
      <c r="AF91" s="42"/>
      <c r="AG91" s="42"/>
      <c r="AH91" s="42"/>
      <c r="AI91" s="42"/>
    </row>
    <row r="92" spans="3:35" ht="20.100000000000001" customHeight="1" x14ac:dyDescent="0.25">
      <c r="D92" s="6" t="str" cm="1">
        <f t="array" ref="D92">EntericMethane_PastureBeef_Equations.VEERG_3_2_1_1__1_TotalAnnualMethaneFromEntericFermentation_Title()</f>
        <v>Total annual methane production from enteric fermentation in grazing beef cattle</v>
      </c>
      <c r="U92" s="6" t="str" cm="1">
        <f t="array" ref="U92">EntericMethane_PastureBeef_Equations.VEERG_3_2_1_1__2_DailyEntericMethaneProduction_Title()</f>
        <v>Daily production of enteric methane</v>
      </c>
    </row>
    <row r="93" spans="3:35" ht="20.100000000000001" customHeight="1" x14ac:dyDescent="0.25">
      <c r="D93" s="5" t="str" cm="1">
        <f t="array" ref="D93">EntericMethane_PastureBeef_Equations.VEERG_3_2_1_1__1_TotalAnnualMethaneFromEntericFermentation_Source()</f>
        <v>VEERG 2026: 3.2.1.1, Equation (1)</v>
      </c>
    </row>
    <row r="94" spans="3:35" ht="20.100000000000001" customHeight="1" x14ac:dyDescent="0.25">
      <c r="D94" s="13" t="s">
        <v>20</v>
      </c>
      <c r="E94" s="13" t="str" cm="1">
        <f t="array" aca="1" ref="E94" ca="1">Common_InputFunctions.Utility_DisplayFunctionName(E123)</f>
        <v>=EntericMethane_PastureBeef_Equations.VEERG_3_2_1_1__1_TotalAnnualMethaneFromEntericFermentation</v>
      </c>
      <c r="U94" s="92" t="s">
        <v>262</v>
      </c>
    </row>
    <row r="95" spans="3:35" ht="20.100000000000001" customHeight="1" x14ac:dyDescent="0.25">
      <c r="U95" s="91" t="s">
        <v>263</v>
      </c>
    </row>
    <row r="96" spans="3:35" ht="20.100000000000001" customHeight="1" x14ac:dyDescent="0.25">
      <c r="U96" s="48" t="s">
        <v>104</v>
      </c>
      <c r="V96" s="48" t="s">
        <v>103</v>
      </c>
      <c r="W96" s="48" t="s">
        <v>102</v>
      </c>
      <c r="X96" s="48" t="s">
        <v>126</v>
      </c>
      <c r="Y96" s="48" t="s">
        <v>127</v>
      </c>
      <c r="Z96" s="48" t="s">
        <v>128</v>
      </c>
      <c r="AA96" s="48" t="s">
        <v>129</v>
      </c>
      <c r="AB96" s="48" t="s">
        <v>130</v>
      </c>
      <c r="AC96" s="48" t="s">
        <v>131</v>
      </c>
      <c r="AD96" s="48" t="s">
        <v>132</v>
      </c>
      <c r="AE96" s="48" t="s">
        <v>133</v>
      </c>
    </row>
    <row r="97" spans="4:35" ht="20.100000000000001" customHeight="1" x14ac:dyDescent="0.25">
      <c r="D97" s="50" t="s">
        <v>23</v>
      </c>
      <c r="E97" s="1" t="str" cm="1">
        <f t="array" ref="E97">EntericMethane_PastureBeef_Equations.VEERG_3_2_1_1__1_TotalAnnualMethaneFromEntericFermentation_Variable()</f>
        <v>E_enteric</v>
      </c>
      <c r="U97" s="49" t="str">
        <f>TEXT(X_Cell_Site_StartDate,"mmmm")</f>
        <v>January</v>
      </c>
      <c r="V97" s="49" cm="1">
        <f t="array" aca="1" ref="V97" ca="1">EntericMethane_PastureBeef_Equations.VEERG_3_2_1_1__2_DailyEntericMethaneProduction(V76)</f>
        <v>0.14793987137471989</v>
      </c>
      <c r="W97" s="49" cm="1">
        <f t="array" aca="1" ref="W97" ca="1">EntericMethane_PastureBeef_Equations.VEERG_3_2_1_1__2_DailyEntericMethaneProduction(W76)</f>
        <v>0.19573907587452002</v>
      </c>
      <c r="X97" s="49" cm="1">
        <f t="array" aca="1" ref="X97" ca="1">EntericMethane_PastureBeef_Equations.VEERG_3_2_1_1__2_DailyEntericMethaneProduction(X76)</f>
        <v>0.12441409099199996</v>
      </c>
      <c r="Y97" s="49" cm="1">
        <f t="array" aca="1" ref="Y97" ca="1">EntericMethane_PastureBeef_Equations.VEERG_3_2_1_1__2_DailyEntericMethaneProduction(Y76)</f>
        <v>0.16292037884175001</v>
      </c>
      <c r="Z97" s="49" cm="1">
        <f t="array" aca="1" ref="Z97" ca="1">EntericMethane_PastureBeef_Equations.VEERG_3_2_1_1__2_DailyEntericMethaneProduction(Z76)</f>
        <v>0.16131110973551996</v>
      </c>
      <c r="AA97" s="49" cm="1">
        <f t="array" aca="1" ref="AA97" ca="1">EntericMethane_PastureBeef_Equations.VEERG_3_2_1_1__2_DailyEntericMethaneProduction(AA76)</f>
        <v>0.16131110973551996</v>
      </c>
      <c r="AB97" s="49" cm="1">
        <f t="array" aca="1" ref="AB97" ca="1">EntericMethane_PastureBeef_Equations.VEERG_3_2_1_1__2_DailyEntericMethaneProduction(AB76)</f>
        <v>0.13636416641471999</v>
      </c>
      <c r="AC97" s="49" cm="1">
        <f t="array" aca="1" ref="AC97" ca="1">EntericMethane_PastureBeef_Equations.VEERG_3_2_1_1__2_DailyEntericMethaneProduction(AC76)</f>
        <v>0.15200155388727002</v>
      </c>
      <c r="AD97" s="49" cm="1">
        <f t="array" aca="1" ref="AD97" ca="1">EntericMethane_PastureBeef_Equations.VEERG_3_2_1_1__2_DailyEntericMethaneProduction(AD76)</f>
        <v>0.15200155388727002</v>
      </c>
      <c r="AE97" s="49" cm="1">
        <f t="array" aca="1" ref="AE97" ca="1">EntericMethane_PastureBeef_Equations.VEERG_3_2_1_1__2_DailyEntericMethaneProduction(AE76)</f>
        <v>0.15200155388727002</v>
      </c>
      <c r="AF97" s="2" t="str">
        <f>$G$80</f>
        <v>kg DM/head/day</v>
      </c>
    </row>
    <row r="98" spans="4:35" ht="20.100000000000001" customHeight="1" x14ac:dyDescent="0.25">
      <c r="D98" s="50" t="s">
        <v>14</v>
      </c>
      <c r="E98" s="51" t="str" cm="1">
        <f t="array" ref="E98">EntericMethane_PastureBeef_Equations.VEERG_3_2_1_1__1_TotalAnnualMethaneFromEntericFermentation_Unit()</f>
        <v>t CH4</v>
      </c>
      <c r="U98" s="49" t="str">
        <f>TEXT(EDATE(X_Cell_Site_StartDate,1), "mmmm")</f>
        <v>February</v>
      </c>
      <c r="V98" s="49" cm="1">
        <f t="array" aca="1" ref="V98" ca="1">EntericMethane_PastureBeef_Equations.VEERG_3_2_1_1__2_DailyEntericMethaneProduction(V77)</f>
        <v>0.14793987137471989</v>
      </c>
      <c r="W98" s="49" cm="1">
        <f t="array" aca="1" ref="W98" ca="1">EntericMethane_PastureBeef_Equations.VEERG_3_2_1_1__2_DailyEntericMethaneProduction(W77)</f>
        <v>0.19573907587452002</v>
      </c>
      <c r="X98" s="49" cm="1">
        <f t="array" aca="1" ref="X98" ca="1">EntericMethane_PastureBeef_Equations.VEERG_3_2_1_1__2_DailyEntericMethaneProduction(X77)</f>
        <v>0.12441409099199996</v>
      </c>
      <c r="Y98" s="49" cm="1">
        <f t="array" aca="1" ref="Y98" ca="1">EntericMethane_PastureBeef_Equations.VEERG_3_2_1_1__2_DailyEntericMethaneProduction(Y77)</f>
        <v>0.16292037884175001</v>
      </c>
      <c r="Z98" s="49" cm="1">
        <f t="array" aca="1" ref="Z98" ca="1">EntericMethane_PastureBeef_Equations.VEERG_3_2_1_1__2_DailyEntericMethaneProduction(Z77)</f>
        <v>0.16131110973551996</v>
      </c>
      <c r="AA98" s="49" cm="1">
        <f t="array" aca="1" ref="AA98" ca="1">EntericMethane_PastureBeef_Equations.VEERG_3_2_1_1__2_DailyEntericMethaneProduction(AA77)</f>
        <v>0.16131110973551996</v>
      </c>
      <c r="AB98" s="49" cm="1">
        <f t="array" aca="1" ref="AB98" ca="1">EntericMethane_PastureBeef_Equations.VEERG_3_2_1_1__2_DailyEntericMethaneProduction(AB77)</f>
        <v>0.13636416641471999</v>
      </c>
      <c r="AC98" s="49" cm="1">
        <f t="array" aca="1" ref="AC98" ca="1">EntericMethane_PastureBeef_Equations.VEERG_3_2_1_1__2_DailyEntericMethaneProduction(AC77)</f>
        <v>0.15200155388727002</v>
      </c>
      <c r="AD98" s="49" cm="1">
        <f t="array" aca="1" ref="AD98" ca="1">EntericMethane_PastureBeef_Equations.VEERG_3_2_1_1__2_DailyEntericMethaneProduction(AD77)</f>
        <v>0.15200155388727002</v>
      </c>
      <c r="AE98" s="49" cm="1">
        <f t="array" aca="1" ref="AE98" ca="1">EntericMethane_PastureBeef_Equations.VEERG_3_2_1_1__2_DailyEntericMethaneProduction(AE77)</f>
        <v>0.15200155388727002</v>
      </c>
      <c r="AF98" s="2"/>
    </row>
    <row r="99" spans="4:35" ht="20.100000000000001" customHeight="1" x14ac:dyDescent="0.25">
      <c r="U99" s="49" t="str">
        <f>TEXT(EDATE(X_Cell_Site_StartDate,2), "mmmm")</f>
        <v>March</v>
      </c>
      <c r="V99" s="49" cm="1">
        <f t="array" aca="1" ref="V99" ca="1">EntericMethane_PastureBeef_Equations.VEERG_3_2_1_1__2_DailyEntericMethaneProduction(V78)</f>
        <v>6.7217122800000001E-2</v>
      </c>
      <c r="W99" s="49" cm="1">
        <f t="array" aca="1" ref="W99" ca="1">EntericMethane_PastureBeef_Equations.VEERG_3_2_1_1__2_DailyEntericMethaneProduction(W78)</f>
        <v>0.19509034611311998</v>
      </c>
      <c r="X99" s="49" cm="1">
        <f t="array" aca="1" ref="X99" ca="1">EntericMethane_PastureBeef_Equations.VEERG_3_2_1_1__2_DailyEntericMethaneProduction(X78)</f>
        <v>6.1278762971520004E-2</v>
      </c>
      <c r="Y99" s="49" cm="1">
        <f t="array" aca="1" ref="Y99" ca="1">EntericMethane_PastureBeef_Equations.VEERG_3_2_1_1__2_DailyEntericMethaneProduction(Y78)</f>
        <v>0.12332640906971998</v>
      </c>
      <c r="Z99" s="49" cm="1">
        <f t="array" aca="1" ref="Z99" ca="1">EntericMethane_PastureBeef_Equations.VEERG_3_2_1_1__2_DailyEntericMethaneProduction(Z78)</f>
        <v>0.13906254717566999</v>
      </c>
      <c r="AA99" s="49" cm="1">
        <f t="array" aca="1" ref="AA99" ca="1">EntericMethane_PastureBeef_Equations.VEERG_3_2_1_1__2_DailyEntericMethaneProduction(AA78)</f>
        <v>0.13906254717566999</v>
      </c>
      <c r="AB99" s="49" cm="1">
        <f t="array" aca="1" ref="AB99" ca="1">EntericMethane_PastureBeef_Equations.VEERG_3_2_1_1__2_DailyEntericMethaneProduction(AB78)</f>
        <v>6.7217122800000001E-2</v>
      </c>
      <c r="AC99" s="49" cm="1">
        <f t="array" aca="1" ref="AC99" ca="1">EntericMethane_PastureBeef_Equations.VEERG_3_2_1_1__2_DailyEntericMethaneProduction(AC78)</f>
        <v>0.12203432960112003</v>
      </c>
      <c r="AD99" s="49" cm="1">
        <f t="array" aca="1" ref="AD99" ca="1">EntericMethane_PastureBeef_Equations.VEERG_3_2_1_1__2_DailyEntericMethaneProduction(AD78)</f>
        <v>0.12203432960112003</v>
      </c>
      <c r="AE99" s="49" cm="1">
        <f t="array" aca="1" ref="AE99" ca="1">EntericMethane_PastureBeef_Equations.VEERG_3_2_1_1__2_DailyEntericMethaneProduction(AE78)</f>
        <v>0.12203432960112003</v>
      </c>
      <c r="AF99" s="2"/>
    </row>
    <row r="100" spans="4:35" ht="20.100000000000001" customHeight="1" x14ac:dyDescent="0.25">
      <c r="D100" s="108" t="str" cm="1">
        <f t="array" ref="D100:E102">_xlfn.CHOOSECOLS(EntericMethane_PastureBeef_Equations.VEERG_3_2_1_1__1_TotalAnnualMethaneFromEntericFermentation_Arguments(), 1, 2)</f>
        <v>D_j</v>
      </c>
      <c r="E100" s="113" t="str">
        <v>number of days the animal is on the farm in each time-period</v>
      </c>
      <c r="F100" s="112"/>
      <c r="G100" s="108" t="str" cm="1">
        <f t="array" ref="G100:H102">_xlfn.CHOOSECOLS(EntericMethane_PastureBeef_Equations.VEERG_3_2_1_1__1_TotalAnnualMethaneFromEntericFermentation_Arguments(), 3,4)</f>
        <v>days</v>
      </c>
      <c r="H100" s="110" t="str">
        <v>Input</v>
      </c>
      <c r="I100" s="107" t="str" cm="1">
        <f t="array" aca="1" ref="I100" ca="1">HYPERLINK(Common_InputFunctions.Utility_SourceHyperlink($D$112), $D$112)</f>
        <v>M1_Table_D_j</v>
      </c>
      <c r="U100" s="49" t="str">
        <f>TEXT(EDATE(X_Cell_Site_StartDate,3), "mmmm")</f>
        <v>April</v>
      </c>
      <c r="V100" s="49" cm="1">
        <f t="array" aca="1" ref="V100" ca="1">EntericMethane_PastureBeef_Equations.VEERG_3_2_1_1__2_DailyEntericMethaneProduction(V79)</f>
        <v>6.7217122800000001E-2</v>
      </c>
      <c r="W100" s="49" cm="1">
        <f t="array" aca="1" ref="W100" ca="1">EntericMethane_PastureBeef_Equations.VEERG_3_2_1_1__2_DailyEntericMethaneProduction(W79)</f>
        <v>0.19509034611311998</v>
      </c>
      <c r="X100" s="49" cm="1">
        <f t="array" aca="1" ref="X100" ca="1">EntericMethane_PastureBeef_Equations.VEERG_3_2_1_1__2_DailyEntericMethaneProduction(X79)</f>
        <v>6.1278762971520004E-2</v>
      </c>
      <c r="Y100" s="49" cm="1">
        <f t="array" aca="1" ref="Y100" ca="1">EntericMethane_PastureBeef_Equations.VEERG_3_2_1_1__2_DailyEntericMethaneProduction(Y79)</f>
        <v>0.12332640906971998</v>
      </c>
      <c r="Z100" s="49" cm="1">
        <f t="array" aca="1" ref="Z100" ca="1">EntericMethane_PastureBeef_Equations.VEERG_3_2_1_1__2_DailyEntericMethaneProduction(Z79)</f>
        <v>0.13906254717566999</v>
      </c>
      <c r="AA100" s="49" cm="1">
        <f t="array" aca="1" ref="AA100" ca="1">EntericMethane_PastureBeef_Equations.VEERG_3_2_1_1__2_DailyEntericMethaneProduction(AA79)</f>
        <v>0.13906254717566999</v>
      </c>
      <c r="AB100" s="49" cm="1">
        <f t="array" aca="1" ref="AB100" ca="1">EntericMethane_PastureBeef_Equations.VEERG_3_2_1_1__2_DailyEntericMethaneProduction(AB79)</f>
        <v>6.7217122800000001E-2</v>
      </c>
      <c r="AC100" s="49" cm="1">
        <f t="array" aca="1" ref="AC100" ca="1">EntericMethane_PastureBeef_Equations.VEERG_3_2_1_1__2_DailyEntericMethaneProduction(AC79)</f>
        <v>0.12203432960112003</v>
      </c>
      <c r="AD100" s="49" cm="1">
        <f t="array" aca="1" ref="AD100" ca="1">EntericMethane_PastureBeef_Equations.VEERG_3_2_1_1__2_DailyEntericMethaneProduction(AD79)</f>
        <v>0.12203432960112003</v>
      </c>
      <c r="AE100" s="49" cm="1">
        <f t="array" aca="1" ref="AE100" ca="1">EntericMethane_PastureBeef_Equations.VEERG_3_2_1_1__2_DailyEntericMethaneProduction(AE79)</f>
        <v>0.12203432960112003</v>
      </c>
      <c r="AF100" s="2"/>
    </row>
    <row r="101" spans="4:35" ht="20.100000000000001" customHeight="1" x14ac:dyDescent="0.25">
      <c r="D101" s="108" t="str">
        <v>M_jkl</v>
      </c>
      <c r="E101" s="113" t="str">
        <v>daily production of enteric methane in each time-period, class and subclass</v>
      </c>
      <c r="F101" s="112"/>
      <c r="G101" s="108" t="str">
        <v>kg CH4/head/day</v>
      </c>
      <c r="H101" s="109" t="str">
        <v>Calculated from 3.2.1.1, (2)</v>
      </c>
      <c r="I101" s="107" t="str" cm="1">
        <f t="array" aca="1" ref="I101" ca="1">HYPERLINK(Common_InputFunctions.Utility_SourceHyperlink($D$82), $D$82)</f>
        <v>M1_Table_M_j_k_l</v>
      </c>
      <c r="U101" s="49" t="str">
        <f>TEXT(EDATE(X_Cell_Site_StartDate,4), "mmmm")</f>
        <v>May</v>
      </c>
      <c r="V101" s="49" cm="1">
        <f t="array" aca="1" ref="V101" ca="1">EntericMethane_PastureBeef_Equations.VEERG_3_2_1_1__2_DailyEntericMethaneProduction(V80)</f>
        <v>6.7217122800000001E-2</v>
      </c>
      <c r="W101" s="49" cm="1">
        <f t="array" aca="1" ref="W101" ca="1">EntericMethane_PastureBeef_Equations.VEERG_3_2_1_1__2_DailyEntericMethaneProduction(W80)</f>
        <v>0.19509034611311998</v>
      </c>
      <c r="X101" s="49" cm="1">
        <f t="array" aca="1" ref="X101" ca="1">EntericMethane_PastureBeef_Equations.VEERG_3_2_1_1__2_DailyEntericMethaneProduction(X80)</f>
        <v>6.1278762971520004E-2</v>
      </c>
      <c r="Y101" s="49" cm="1">
        <f t="array" aca="1" ref="Y101" ca="1">EntericMethane_PastureBeef_Equations.VEERG_3_2_1_1__2_DailyEntericMethaneProduction(Y80)</f>
        <v>0.12332640906971998</v>
      </c>
      <c r="Z101" s="49" cm="1">
        <f t="array" aca="1" ref="Z101" ca="1">EntericMethane_PastureBeef_Equations.VEERG_3_2_1_1__2_DailyEntericMethaneProduction(Z80)</f>
        <v>0.13906254717566999</v>
      </c>
      <c r="AA101" s="49" cm="1">
        <f t="array" aca="1" ref="AA101" ca="1">EntericMethane_PastureBeef_Equations.VEERG_3_2_1_1__2_DailyEntericMethaneProduction(AA80)</f>
        <v>0.13906254717566999</v>
      </c>
      <c r="AB101" s="49" cm="1">
        <f t="array" aca="1" ref="AB101" ca="1">EntericMethane_PastureBeef_Equations.VEERG_3_2_1_1__2_DailyEntericMethaneProduction(AB80)</f>
        <v>6.7217122800000001E-2</v>
      </c>
      <c r="AC101" s="49" cm="1">
        <f t="array" aca="1" ref="AC101" ca="1">EntericMethane_PastureBeef_Equations.VEERG_3_2_1_1__2_DailyEntericMethaneProduction(AC80)</f>
        <v>0.12203432960112003</v>
      </c>
      <c r="AD101" s="49" cm="1">
        <f t="array" aca="1" ref="AD101" ca="1">EntericMethane_PastureBeef_Equations.VEERG_3_2_1_1__2_DailyEntericMethaneProduction(AD80)</f>
        <v>0.12203432960112003</v>
      </c>
      <c r="AE101" s="49" cm="1">
        <f t="array" aca="1" ref="AE101" ca="1">EntericMethane_PastureBeef_Equations.VEERG_3_2_1_1__2_DailyEntericMethaneProduction(AE80)</f>
        <v>0.12203432960112003</v>
      </c>
      <c r="AF101" s="2"/>
    </row>
    <row r="102" spans="4:35" ht="20.100000000000001" customHeight="1" x14ac:dyDescent="0.25">
      <c r="D102" s="108" t="str">
        <v>N_jkl</v>
      </c>
      <c r="E102" s="113" t="str">
        <v>number of beef cattle in each time-period, class and subclass</v>
      </c>
      <c r="F102" s="112"/>
      <c r="G102" s="108" t="str">
        <v>head</v>
      </c>
      <c r="H102" s="110" t="str">
        <v>Input</v>
      </c>
      <c r="I102" s="107" t="str" cm="1">
        <f t="array" aca="1" ref="I102" ca="1">HYPERLINK(Common_InputFunctions.Utility_SourceHyperlink($D$104), $D$104)</f>
        <v>M1_Table_N_j_k_l</v>
      </c>
      <c r="U102" s="49" t="str">
        <f>TEXT(EDATE(X_Cell_Site_StartDate,5), "mmmm")</f>
        <v>June</v>
      </c>
      <c r="V102" s="49" cm="1">
        <f t="array" aca="1" ref="V102" ca="1">EntericMethane_PastureBeef_Equations.VEERG_3_2_1_1__2_DailyEntericMethaneProduction(V81)</f>
        <v>0.10625098959567</v>
      </c>
      <c r="W102" s="49" cm="1">
        <f t="array" aca="1" ref="W102" ca="1">EntericMethane_PastureBeef_Equations.VEERG_3_2_1_1__2_DailyEntericMethaneProduction(W81)</f>
        <v>0.20647957902299996</v>
      </c>
      <c r="X102" s="49" cm="1">
        <f t="array" aca="1" ref="X102" ca="1">EntericMethane_PastureBeef_Equations.VEERG_3_2_1_1__2_DailyEntericMethaneProduction(X81)</f>
        <v>8.6995993551750014E-2</v>
      </c>
      <c r="Y102" s="49" cm="1">
        <f t="array" aca="1" ref="Y102" ca="1">EntericMethane_PastureBeef_Equations.VEERG_3_2_1_1__2_DailyEntericMethaneProduction(Y81)</f>
        <v>0.12270572463087004</v>
      </c>
      <c r="Z102" s="49" cm="1">
        <f t="array" aca="1" ref="Z102" ca="1">EntericMethane_PastureBeef_Equations.VEERG_3_2_1_1__2_DailyEntericMethaneProduction(Z81)</f>
        <v>0.16461351252206999</v>
      </c>
      <c r="AA102" s="49" cm="1">
        <f t="array" aca="1" ref="AA102" ca="1">EntericMethane_PastureBeef_Equations.VEERG_3_2_1_1__2_DailyEntericMethaneProduction(AA81)</f>
        <v>0.16461351252206999</v>
      </c>
      <c r="AB102" s="49" cm="1">
        <f t="array" aca="1" ref="AB102" ca="1">EntericMethane_PastureBeef_Equations.VEERG_3_2_1_1__2_DailyEntericMethaneProduction(AB81)</f>
        <v>9.3403950168869973E-2</v>
      </c>
      <c r="AC102" s="49" cm="1">
        <f t="array" aca="1" ref="AC102" ca="1">EntericMethane_PastureBeef_Equations.VEERG_3_2_1_1__2_DailyEntericMethaneProduction(AC81)</f>
        <v>0.14220590910911998</v>
      </c>
      <c r="AD102" s="49" cm="1">
        <f t="array" aca="1" ref="AD102" ca="1">EntericMethane_PastureBeef_Equations.VEERG_3_2_1_1__2_DailyEntericMethaneProduction(AD81)</f>
        <v>0.14220590910911998</v>
      </c>
      <c r="AE102" s="49" cm="1">
        <f t="array" aca="1" ref="AE102" ca="1">EntericMethane_PastureBeef_Equations.VEERG_3_2_1_1__2_DailyEntericMethaneProduction(AE81)</f>
        <v>0.14220590910911998</v>
      </c>
      <c r="AF102" s="2"/>
    </row>
    <row r="103" spans="4:35" ht="20.100000000000001" customHeight="1" x14ac:dyDescent="0.25">
      <c r="U103" s="49" t="str">
        <f>TEXT(EDATE(X_Cell_Site_StartDate,6), "mmmm")</f>
        <v>July</v>
      </c>
      <c r="V103" s="49" cm="1">
        <f t="array" aca="1" ref="V103" ca="1">EntericMethane_PastureBeef_Equations.VEERG_3_2_1_1__2_DailyEntericMethaneProduction(V82)</f>
        <v>0.10625098959567</v>
      </c>
      <c r="W103" s="49" cm="1">
        <f t="array" aca="1" ref="W103" ca="1">EntericMethane_PastureBeef_Equations.VEERG_3_2_1_1__2_DailyEntericMethaneProduction(W82)</f>
        <v>0.20647957902299996</v>
      </c>
      <c r="X103" s="49" cm="1">
        <f t="array" aca="1" ref="X103" ca="1">EntericMethane_PastureBeef_Equations.VEERG_3_2_1_1__2_DailyEntericMethaneProduction(X82)</f>
        <v>8.6995993551750014E-2</v>
      </c>
      <c r="Y103" s="49" cm="1">
        <f t="array" aca="1" ref="Y103" ca="1">EntericMethane_PastureBeef_Equations.VEERG_3_2_1_1__2_DailyEntericMethaneProduction(Y82)</f>
        <v>0.12270572463087004</v>
      </c>
      <c r="Z103" s="49" cm="1">
        <f t="array" aca="1" ref="Z103" ca="1">EntericMethane_PastureBeef_Equations.VEERG_3_2_1_1__2_DailyEntericMethaneProduction(Z82)</f>
        <v>0.16461351252206999</v>
      </c>
      <c r="AA103" s="49" cm="1">
        <f t="array" aca="1" ref="AA103" ca="1">EntericMethane_PastureBeef_Equations.VEERG_3_2_1_1__2_DailyEntericMethaneProduction(AA82)</f>
        <v>0.16461351252206999</v>
      </c>
      <c r="AB103" s="49" cm="1">
        <f t="array" aca="1" ref="AB103" ca="1">EntericMethane_PastureBeef_Equations.VEERG_3_2_1_1__2_DailyEntericMethaneProduction(AB82)</f>
        <v>9.3403950168869973E-2</v>
      </c>
      <c r="AC103" s="49" cm="1">
        <f t="array" aca="1" ref="AC103" ca="1">EntericMethane_PastureBeef_Equations.VEERG_3_2_1_1__2_DailyEntericMethaneProduction(AC82)</f>
        <v>0.14220590910911998</v>
      </c>
      <c r="AD103" s="49" cm="1">
        <f t="array" aca="1" ref="AD103" ca="1">EntericMethane_PastureBeef_Equations.VEERG_3_2_1_1__2_DailyEntericMethaneProduction(AD82)</f>
        <v>0.14220590910911998</v>
      </c>
      <c r="AE103" s="49" cm="1">
        <f t="array" aca="1" ref="AE103" ca="1">EntericMethane_PastureBeef_Equations.VEERG_3_2_1_1__2_DailyEntericMethaneProduction(AE82)</f>
        <v>0.14220590910911998</v>
      </c>
      <c r="AF103" s="2"/>
    </row>
    <row r="104" spans="4:35" ht="20.100000000000001" customHeight="1" x14ac:dyDescent="0.25">
      <c r="D104" s="92" t="s">
        <v>224</v>
      </c>
      <c r="U104" s="49" t="str">
        <f>TEXT(EDATE(X_Cell_Site_StartDate,7), "mmmm")</f>
        <v>August</v>
      </c>
      <c r="V104" s="49" cm="1">
        <f t="array" aca="1" ref="V104" ca="1">EntericMethane_PastureBeef_Equations.VEERG_3_2_1_1__2_DailyEntericMethaneProduction(V83)</f>
        <v>0.10625098959567</v>
      </c>
      <c r="W104" s="49" cm="1">
        <f t="array" aca="1" ref="W104" ca="1">EntericMethane_PastureBeef_Equations.VEERG_3_2_1_1__2_DailyEntericMethaneProduction(W83)</f>
        <v>0.20647957902299996</v>
      </c>
      <c r="X104" s="49" cm="1">
        <f t="array" aca="1" ref="X104" ca="1">EntericMethane_PastureBeef_Equations.VEERG_3_2_1_1__2_DailyEntericMethaneProduction(X83)</f>
        <v>8.6995993551750014E-2</v>
      </c>
      <c r="Y104" s="49" cm="1">
        <f t="array" aca="1" ref="Y104" ca="1">EntericMethane_PastureBeef_Equations.VEERG_3_2_1_1__2_DailyEntericMethaneProduction(Y83)</f>
        <v>1676.3810687620207</v>
      </c>
      <c r="Z104" s="49" cm="1">
        <f t="array" aca="1" ref="Z104" ca="1">EntericMethane_PastureBeef_Equations.VEERG_3_2_1_1__2_DailyEntericMethaneProduction(Z83)</f>
        <v>0.16461351252206999</v>
      </c>
      <c r="AA104" s="49" cm="1">
        <f t="array" aca="1" ref="AA104" ca="1">EntericMethane_PastureBeef_Equations.VEERG_3_2_1_1__2_DailyEntericMethaneProduction(AA83)</f>
        <v>0.16461351252206999</v>
      </c>
      <c r="AB104" s="49" cm="1">
        <f t="array" aca="1" ref="AB104" ca="1">EntericMethane_PastureBeef_Equations.VEERG_3_2_1_1__2_DailyEntericMethaneProduction(AB83)</f>
        <v>9.3403950168869973E-2</v>
      </c>
      <c r="AC104" s="49" cm="1">
        <f t="array" aca="1" ref="AC104" ca="1">EntericMethane_PastureBeef_Equations.VEERG_3_2_1_1__2_DailyEntericMethaneProduction(AC83)</f>
        <v>0.14220590910911998</v>
      </c>
      <c r="AD104" s="49" cm="1">
        <f t="array" aca="1" ref="AD104" ca="1">EntericMethane_PastureBeef_Equations.VEERG_3_2_1_1__2_DailyEntericMethaneProduction(AD83)</f>
        <v>0.14220590910911998</v>
      </c>
      <c r="AE104" s="49" cm="1">
        <f t="array" aca="1" ref="AE104" ca="1">EntericMethane_PastureBeef_Equations.VEERG_3_2_1_1__2_DailyEntericMethaneProduction(AE83)</f>
        <v>0.14220590910911998</v>
      </c>
      <c r="AF104" s="2"/>
    </row>
    <row r="105" spans="4:35" ht="20.100000000000001" customHeight="1" x14ac:dyDescent="0.25">
      <c r="D105" s="91" t="s">
        <v>225</v>
      </c>
      <c r="U105" s="49" t="str">
        <f>TEXT(EDATE(X_Cell_Site_StartDate,8), "mmmm")</f>
        <v>September</v>
      </c>
      <c r="V105" s="49" cm="1">
        <f t="array" aca="1" ref="V105" ca="1">EntericMethane_PastureBeef_Equations.VEERG_3_2_1_1__2_DailyEntericMethaneProduction(V84)</f>
        <v>0.17948772790272</v>
      </c>
      <c r="W105" s="49" cm="1">
        <f t="array" aca="1" ref="W105" ca="1">EntericMethane_PastureBeef_Equations.VEERG_3_2_1_1__2_DailyEntericMethaneProduction(W84)</f>
        <v>0.25350255517500003</v>
      </c>
      <c r="X105" s="49" cm="1">
        <f t="array" aca="1" ref="X105" ca="1">EntericMethane_PastureBeef_Equations.VEERG_3_2_1_1__2_DailyEntericMethaneProduction(X84)</f>
        <v>0.13680549733887001</v>
      </c>
      <c r="Y105" s="49" cm="1">
        <f t="array" aca="1" ref="Y105" ca="1">EntericMethane_PastureBeef_Equations.VEERG_3_2_1_1__2_DailyEntericMethaneProduction(Y84)</f>
        <v>2452.741708866195</v>
      </c>
      <c r="Z105" s="49" cm="1">
        <f t="array" aca="1" ref="Z105" ca="1">EntericMethane_PastureBeef_Equations.VEERG_3_2_1_1__2_DailyEntericMethaneProduction(Z84)</f>
        <v>0.19936359529200001</v>
      </c>
      <c r="AA105" s="49" cm="1">
        <f t="array" aca="1" ref="AA105" ca="1">EntericMethane_PastureBeef_Equations.VEERG_3_2_1_1__2_DailyEntericMethaneProduction(AA84)</f>
        <v>0.19936359529200001</v>
      </c>
      <c r="AB105" s="49" cm="1">
        <f t="array" aca="1" ref="AB105" ca="1">EntericMethane_PastureBeef_Equations.VEERG_3_2_1_1__2_DailyEntericMethaneProduction(AB84)</f>
        <v>0.15771860106299995</v>
      </c>
      <c r="AC105" s="49" cm="1">
        <f t="array" aca="1" ref="AC105" ca="1">EntericMethane_PastureBeef_Equations.VEERG_3_2_1_1__2_DailyEntericMethaneProduction(AC84)</f>
        <v>0.20042625868091996</v>
      </c>
      <c r="AD105" s="49" cm="1">
        <f t="array" aca="1" ref="AD105" ca="1">EntericMethane_PastureBeef_Equations.VEERG_3_2_1_1__2_DailyEntericMethaneProduction(AD84)</f>
        <v>0.20042625868091996</v>
      </c>
      <c r="AE105" s="49" cm="1">
        <f t="array" aca="1" ref="AE105" ca="1">EntericMethane_PastureBeef_Equations.VEERG_3_2_1_1__2_DailyEntericMethaneProduction(AE84)</f>
        <v>0.20042625868091996</v>
      </c>
      <c r="AF105" s="2"/>
    </row>
    <row r="106" spans="4:35" ht="20.100000000000001" customHeight="1" x14ac:dyDescent="0.25">
      <c r="D106" s="48" t="s">
        <v>145</v>
      </c>
      <c r="E106" s="111" t="s">
        <v>103</v>
      </c>
      <c r="F106" s="111" t="s">
        <v>102</v>
      </c>
      <c r="G106" s="111" t="s">
        <v>126</v>
      </c>
      <c r="H106" s="111" t="s">
        <v>127</v>
      </c>
      <c r="I106" s="111" t="s">
        <v>128</v>
      </c>
      <c r="J106" s="111" t="s">
        <v>129</v>
      </c>
      <c r="K106" s="111" t="s">
        <v>130</v>
      </c>
      <c r="L106" s="111" t="s">
        <v>131</v>
      </c>
      <c r="M106" s="111" t="s">
        <v>132</v>
      </c>
      <c r="N106" s="111" t="s">
        <v>133</v>
      </c>
      <c r="U106" s="49" t="str">
        <f>TEXT(EDATE(X_Cell_Site_StartDate,9), "mmmm")</f>
        <v>October</v>
      </c>
      <c r="V106" s="49" cm="1">
        <f t="array" aca="1" ref="V106" ca="1">EntericMethane_PastureBeef_Equations.VEERG_3_2_1_1__2_DailyEntericMethaneProduction(V85)</f>
        <v>0.17948772790272</v>
      </c>
      <c r="W106" s="49" cm="1">
        <f t="array" aca="1" ref="W106" ca="1">EntericMethane_PastureBeef_Equations.VEERG_3_2_1_1__2_DailyEntericMethaneProduction(W85)</f>
        <v>0.25350255517500003</v>
      </c>
      <c r="X106" s="49" cm="1">
        <f t="array" aca="1" ref="X106" ca="1">EntericMethane_PastureBeef_Equations.VEERG_3_2_1_1__2_DailyEntericMethaneProduction(X85)</f>
        <v>0.13680549733887001</v>
      </c>
      <c r="Y106" s="49" cm="1">
        <f t="array" aca="1" ref="Y106" ca="1">EntericMethane_PastureBeef_Equations.VEERG_3_2_1_1__2_DailyEntericMethaneProduction(Y85)</f>
        <v>2452.741708866195</v>
      </c>
      <c r="Z106" s="49" cm="1">
        <f t="array" aca="1" ref="Z106" ca="1">EntericMethane_PastureBeef_Equations.VEERG_3_2_1_1__2_DailyEntericMethaneProduction(Z85)</f>
        <v>0.19936359529200001</v>
      </c>
      <c r="AA106" s="49" cm="1">
        <f t="array" aca="1" ref="AA106" ca="1">EntericMethane_PastureBeef_Equations.VEERG_3_2_1_1__2_DailyEntericMethaneProduction(AA85)</f>
        <v>0.19936359529200001</v>
      </c>
      <c r="AB106" s="49" cm="1">
        <f t="array" aca="1" ref="AB106" ca="1">EntericMethane_PastureBeef_Equations.VEERG_3_2_1_1__2_DailyEntericMethaneProduction(AB85)</f>
        <v>0.15771860106299995</v>
      </c>
      <c r="AC106" s="49" cm="1">
        <f t="array" aca="1" ref="AC106" ca="1">EntericMethane_PastureBeef_Equations.VEERG_3_2_1_1__2_DailyEntericMethaneProduction(AC85)</f>
        <v>0.20042625868091996</v>
      </c>
      <c r="AD106" s="49" cm="1">
        <f t="array" aca="1" ref="AD106" ca="1">EntericMethane_PastureBeef_Equations.VEERG_3_2_1_1__2_DailyEntericMethaneProduction(AD85)</f>
        <v>0.20042625868091996</v>
      </c>
      <c r="AE106" s="49" cm="1">
        <f t="array" aca="1" ref="AE106" ca="1">EntericMethane_PastureBeef_Equations.VEERG_3_2_1_1__2_DailyEntericMethaneProduction(AE85)</f>
        <v>0.20042625868091996</v>
      </c>
      <c r="AF106" s="2"/>
    </row>
    <row r="107" spans="4:35" ht="20.100000000000001" customHeight="1" x14ac:dyDescent="0.25">
      <c r="D107" s="49" t="s">
        <v>134</v>
      </c>
      <c r="E107" s="49" cm="1">
        <f t="array" aca="1" ref="E107:N110" ca="1">OFFSET(X_Table_PastureBeef_Head_Method1,1,1,4,10)</f>
        <v>100</v>
      </c>
      <c r="F107" s="49">
        <f ca="1"/>
        <v>100</v>
      </c>
      <c r="G107" s="49">
        <f ca="1"/>
        <v>100</v>
      </c>
      <c r="H107" s="49">
        <f ca="1"/>
        <v>100</v>
      </c>
      <c r="I107" s="49">
        <f ca="1"/>
        <v>100</v>
      </c>
      <c r="J107" s="49">
        <f ca="1"/>
        <v>100</v>
      </c>
      <c r="K107" s="49">
        <f ca="1"/>
        <v>100</v>
      </c>
      <c r="L107" s="49">
        <f ca="1"/>
        <v>100</v>
      </c>
      <c r="M107" s="49">
        <f ca="1"/>
        <v>100</v>
      </c>
      <c r="N107" s="49">
        <f ca="1"/>
        <v>100</v>
      </c>
      <c r="O107" s="2" t="str">
        <f>G102</f>
        <v>head</v>
      </c>
      <c r="U107" s="49" t="str">
        <f>TEXT(EDATE(X_Cell_Site_StartDate,10), "mmmm")</f>
        <v>November</v>
      </c>
      <c r="V107" s="49" cm="1">
        <f t="array" aca="1" ref="V107" ca="1">EntericMethane_PastureBeef_Equations.VEERG_3_2_1_1__2_DailyEntericMethaneProduction(V86)</f>
        <v>0.17948772790272</v>
      </c>
      <c r="W107" s="49" cm="1">
        <f t="array" aca="1" ref="W107" ca="1">EntericMethane_PastureBeef_Equations.VEERG_3_2_1_1__2_DailyEntericMethaneProduction(W86)</f>
        <v>0.25350255517500003</v>
      </c>
      <c r="X107" s="49" cm="1">
        <f t="array" aca="1" ref="X107" ca="1">EntericMethane_PastureBeef_Equations.VEERG_3_2_1_1__2_DailyEntericMethaneProduction(X86)</f>
        <v>0.13680549733887001</v>
      </c>
      <c r="Y107" s="49" cm="1">
        <f t="array" aca="1" ref="Y107" ca="1">EntericMethane_PastureBeef_Equations.VEERG_3_2_1_1__2_DailyEntericMethaneProduction(Y86)</f>
        <v>817.70025817988721</v>
      </c>
      <c r="Z107" s="49" cm="1">
        <f t="array" aca="1" ref="Z107" ca="1">EntericMethane_PastureBeef_Equations.VEERG_3_2_1_1__2_DailyEntericMethaneProduction(Z86)</f>
        <v>0.19936359529200001</v>
      </c>
      <c r="AA107" s="49" cm="1">
        <f t="array" aca="1" ref="AA107" ca="1">EntericMethane_PastureBeef_Equations.VEERG_3_2_1_1__2_DailyEntericMethaneProduction(AA86)</f>
        <v>0.19936359529200001</v>
      </c>
      <c r="AB107" s="49" cm="1">
        <f t="array" aca="1" ref="AB107" ca="1">EntericMethane_PastureBeef_Equations.VEERG_3_2_1_1__2_DailyEntericMethaneProduction(AB86)</f>
        <v>0.15771860106299995</v>
      </c>
      <c r="AC107" s="49" cm="1">
        <f t="array" aca="1" ref="AC107" ca="1">EntericMethane_PastureBeef_Equations.VEERG_3_2_1_1__2_DailyEntericMethaneProduction(AC86)</f>
        <v>0.20042625868091996</v>
      </c>
      <c r="AD107" s="49" cm="1">
        <f t="array" aca="1" ref="AD107" ca="1">EntericMethane_PastureBeef_Equations.VEERG_3_2_1_1__2_DailyEntericMethaneProduction(AD86)</f>
        <v>0.20042625868091996</v>
      </c>
      <c r="AE107" s="49" cm="1">
        <f t="array" aca="1" ref="AE107" ca="1">EntericMethane_PastureBeef_Equations.VEERG_3_2_1_1__2_DailyEntericMethaneProduction(AE86)</f>
        <v>0.20042625868091996</v>
      </c>
      <c r="AF107" s="2"/>
    </row>
    <row r="108" spans="4:35" ht="20.100000000000001" customHeight="1" x14ac:dyDescent="0.25">
      <c r="D108" s="49" t="s">
        <v>135</v>
      </c>
      <c r="E108" s="49">
        <f ca="1"/>
        <v>100</v>
      </c>
      <c r="F108" s="49">
        <f ca="1"/>
        <v>100</v>
      </c>
      <c r="G108" s="49">
        <f ca="1"/>
        <v>100</v>
      </c>
      <c r="H108" s="49">
        <f ca="1"/>
        <v>100</v>
      </c>
      <c r="I108" s="49">
        <f ca="1"/>
        <v>100</v>
      </c>
      <c r="J108" s="49">
        <f ca="1"/>
        <v>100</v>
      </c>
      <c r="K108" s="49">
        <f ca="1"/>
        <v>100</v>
      </c>
      <c r="L108" s="49">
        <f ca="1"/>
        <v>100</v>
      </c>
      <c r="M108" s="49">
        <f ca="1"/>
        <v>100</v>
      </c>
      <c r="N108" s="49">
        <f ca="1"/>
        <v>100</v>
      </c>
      <c r="O108" s="2"/>
      <c r="U108" s="49" t="str">
        <f>TEXT(EDATE(X_Cell_Site_StartDate,11), "mmmm")</f>
        <v>December</v>
      </c>
      <c r="V108" s="49" cm="1">
        <f t="array" aca="1" ref="V108" ca="1">EntericMethane_PastureBeef_Equations.VEERG_3_2_1_1__2_DailyEntericMethaneProduction(V87)</f>
        <v>0.14793987137471989</v>
      </c>
      <c r="W108" s="49" cm="1">
        <f t="array" aca="1" ref="W108" ca="1">EntericMethane_PastureBeef_Equations.VEERG_3_2_1_1__2_DailyEntericMethaneProduction(W87)</f>
        <v>0.19573907587452002</v>
      </c>
      <c r="X108" s="49" cm="1">
        <f t="array" aca="1" ref="X108" ca="1">EntericMethane_PastureBeef_Equations.VEERG_3_2_1_1__2_DailyEntericMethaneProduction(X87)</f>
        <v>0.12441409099199996</v>
      </c>
      <c r="Y108" s="49" cm="1">
        <f t="array" aca="1" ref="Y108" ca="1">EntericMethane_PastureBeef_Equations.VEERG_3_2_1_1__2_DailyEntericMethaneProduction(Y87)</f>
        <v>0.16292037884175001</v>
      </c>
      <c r="Z108" s="49" cm="1">
        <f t="array" aca="1" ref="Z108" ca="1">EntericMethane_PastureBeef_Equations.VEERG_3_2_1_1__2_DailyEntericMethaneProduction(Z87)</f>
        <v>0.16131110973551996</v>
      </c>
      <c r="AA108" s="49" cm="1">
        <f t="array" aca="1" ref="AA108" ca="1">EntericMethane_PastureBeef_Equations.VEERG_3_2_1_1__2_DailyEntericMethaneProduction(AA87)</f>
        <v>0.16131110973551996</v>
      </c>
      <c r="AB108" s="49" cm="1">
        <f t="array" aca="1" ref="AB108" ca="1">EntericMethane_PastureBeef_Equations.VEERG_3_2_1_1__2_DailyEntericMethaneProduction(AB87)</f>
        <v>0.13636416641471999</v>
      </c>
      <c r="AC108" s="49" cm="1">
        <f t="array" aca="1" ref="AC108" ca="1">EntericMethane_PastureBeef_Equations.VEERG_3_2_1_1__2_DailyEntericMethaneProduction(AC87)</f>
        <v>0.15200155388727002</v>
      </c>
      <c r="AD108" s="49" cm="1">
        <f t="array" aca="1" ref="AD108" ca="1">EntericMethane_PastureBeef_Equations.VEERG_3_2_1_1__2_DailyEntericMethaneProduction(AD87)</f>
        <v>0.15200155388727002</v>
      </c>
      <c r="AE108" s="49" cm="1">
        <f t="array" aca="1" ref="AE108" ca="1">EntericMethane_PastureBeef_Equations.VEERG_3_2_1_1__2_DailyEntericMethaneProduction(AE87)</f>
        <v>0.15200155388727002</v>
      </c>
      <c r="AF108" s="2"/>
    </row>
    <row r="109" spans="4:35" ht="20.100000000000001" customHeight="1" x14ac:dyDescent="0.25">
      <c r="D109" s="49" t="s">
        <v>136</v>
      </c>
      <c r="E109" s="49">
        <f ca="1"/>
        <v>100</v>
      </c>
      <c r="F109" s="49">
        <f ca="1"/>
        <v>100</v>
      </c>
      <c r="G109" s="49">
        <f ca="1"/>
        <v>100</v>
      </c>
      <c r="H109" s="49">
        <f ca="1"/>
        <v>100</v>
      </c>
      <c r="I109" s="49">
        <f ca="1"/>
        <v>100</v>
      </c>
      <c r="J109" s="49">
        <f ca="1"/>
        <v>100</v>
      </c>
      <c r="K109" s="49">
        <f ca="1"/>
        <v>100</v>
      </c>
      <c r="L109" s="49">
        <f ca="1"/>
        <v>100</v>
      </c>
      <c r="M109" s="49">
        <f ca="1"/>
        <v>100</v>
      </c>
      <c r="N109" s="49">
        <f ca="1"/>
        <v>100</v>
      </c>
      <c r="O109" s="2"/>
    </row>
    <row r="110" spans="4:35" ht="20.100000000000001" customHeight="1" x14ac:dyDescent="0.25">
      <c r="D110" s="49" t="s">
        <v>137</v>
      </c>
      <c r="E110" s="49">
        <f ca="1"/>
        <v>100</v>
      </c>
      <c r="F110" s="49">
        <f ca="1"/>
        <v>100</v>
      </c>
      <c r="G110" s="49">
        <f ca="1"/>
        <v>100</v>
      </c>
      <c r="H110" s="49">
        <f ca="1"/>
        <v>100</v>
      </c>
      <c r="I110" s="49">
        <f ca="1"/>
        <v>100</v>
      </c>
      <c r="J110" s="49">
        <f ca="1"/>
        <v>100</v>
      </c>
      <c r="K110" s="49">
        <f ca="1"/>
        <v>100</v>
      </c>
      <c r="L110" s="49">
        <f ca="1"/>
        <v>100</v>
      </c>
      <c r="M110" s="49">
        <f ca="1"/>
        <v>100</v>
      </c>
      <c r="N110" s="49">
        <f ca="1"/>
        <v>100</v>
      </c>
      <c r="O110" s="2"/>
    </row>
    <row r="111" spans="4:35" ht="20.100000000000001" customHeight="1" x14ac:dyDescent="0.25">
      <c r="T111" s="42"/>
      <c r="U111" s="42"/>
      <c r="V111" s="42"/>
      <c r="W111" s="42"/>
      <c r="X111" s="42"/>
      <c r="Y111" s="42"/>
      <c r="Z111" s="42"/>
      <c r="AA111" s="42"/>
      <c r="AB111" s="42"/>
      <c r="AC111" s="42"/>
      <c r="AD111" s="42"/>
      <c r="AE111" s="42"/>
      <c r="AF111" s="42"/>
      <c r="AG111" s="42"/>
      <c r="AH111" s="42"/>
      <c r="AI111" s="42"/>
    </row>
    <row r="112" spans="4:35" ht="20.100000000000001" customHeight="1" x14ac:dyDescent="0.25">
      <c r="D112" s="92" t="s">
        <v>115</v>
      </c>
      <c r="U112" s="6" t="str" cm="1">
        <f t="array" ref="U112">EntericMethane_PastureBeef_Equations.VEERG_3_2_1_1__1_TotalAnnualMethaneFromEntericFermentation_Title()</f>
        <v>Total annual methane production from enteric fermentation in grazing beef cattle</v>
      </c>
    </row>
    <row r="113" spans="4:34" ht="20.100000000000001" customHeight="1" x14ac:dyDescent="0.25">
      <c r="D113" s="91" t="s">
        <v>226</v>
      </c>
    </row>
    <row r="114" spans="4:34" ht="20.100000000000001" customHeight="1" x14ac:dyDescent="0.25">
      <c r="D114" s="48" t="s">
        <v>145</v>
      </c>
      <c r="E114" s="111" t="s">
        <v>103</v>
      </c>
      <c r="F114" s="111" t="s">
        <v>102</v>
      </c>
      <c r="G114" s="111" t="s">
        <v>126</v>
      </c>
      <c r="H114" s="111" t="s">
        <v>127</v>
      </c>
      <c r="I114" s="111" t="s">
        <v>128</v>
      </c>
      <c r="J114" s="111" t="s">
        <v>129</v>
      </c>
      <c r="K114" s="111" t="s">
        <v>130</v>
      </c>
      <c r="L114" s="111" t="s">
        <v>131</v>
      </c>
      <c r="M114" s="111" t="s">
        <v>132</v>
      </c>
      <c r="N114" s="111" t="s">
        <v>133</v>
      </c>
      <c r="U114" s="92" t="s">
        <v>227</v>
      </c>
    </row>
    <row r="115" spans="4:34" ht="20.100000000000001" customHeight="1" x14ac:dyDescent="0.25">
      <c r="D115" s="49" t="s">
        <v>134</v>
      </c>
      <c r="E115" s="49" cm="1">
        <f t="array" aca="1" ref="E115:N118" ca="1">OFFSET(X_Table_PastureBeef_Duration_Method1,1,1,4,10)</f>
        <v>91.25</v>
      </c>
      <c r="F115" s="49">
        <f ca="1"/>
        <v>91.25</v>
      </c>
      <c r="G115" s="49">
        <f ca="1"/>
        <v>91.25</v>
      </c>
      <c r="H115" s="49">
        <f ca="1"/>
        <v>91.25</v>
      </c>
      <c r="I115" s="49">
        <f ca="1"/>
        <v>91.25</v>
      </c>
      <c r="J115" s="49">
        <f ca="1"/>
        <v>91.25</v>
      </c>
      <c r="K115" s="49">
        <f ca="1"/>
        <v>91.25</v>
      </c>
      <c r="L115" s="49">
        <f ca="1"/>
        <v>91.25</v>
      </c>
      <c r="M115" s="49">
        <f ca="1"/>
        <v>91.25</v>
      </c>
      <c r="N115" s="49">
        <f ca="1"/>
        <v>91.25</v>
      </c>
      <c r="O115" s="2" t="str">
        <f>G100</f>
        <v>days</v>
      </c>
      <c r="U115" s="91" t="s">
        <v>228</v>
      </c>
      <c r="AH115" s="2"/>
    </row>
    <row r="116" spans="4:34" ht="20.100000000000001" customHeight="1" x14ac:dyDescent="0.25">
      <c r="D116" s="49" t="s">
        <v>135</v>
      </c>
      <c r="E116" s="49">
        <f ca="1"/>
        <v>91.25</v>
      </c>
      <c r="F116" s="49">
        <f ca="1"/>
        <v>91.25</v>
      </c>
      <c r="G116" s="49">
        <f ca="1"/>
        <v>91.25</v>
      </c>
      <c r="H116" s="49">
        <f ca="1"/>
        <v>91.25</v>
      </c>
      <c r="I116" s="49">
        <f ca="1"/>
        <v>91.25</v>
      </c>
      <c r="J116" s="49">
        <f ca="1"/>
        <v>91.25</v>
      </c>
      <c r="K116" s="49">
        <f ca="1"/>
        <v>91.25</v>
      </c>
      <c r="L116" s="49">
        <f ca="1"/>
        <v>91.25</v>
      </c>
      <c r="M116" s="49">
        <f ca="1"/>
        <v>91.25</v>
      </c>
      <c r="N116" s="49">
        <f ca="1"/>
        <v>91.25</v>
      </c>
      <c r="O116" s="2"/>
      <c r="U116" s="48" t="s">
        <v>104</v>
      </c>
      <c r="V116" s="111" t="s">
        <v>103</v>
      </c>
      <c r="W116" s="111" t="s">
        <v>102</v>
      </c>
      <c r="X116" s="111" t="s">
        <v>126</v>
      </c>
      <c r="Y116" s="111" t="s">
        <v>127</v>
      </c>
      <c r="Z116" s="111" t="s">
        <v>128</v>
      </c>
      <c r="AA116" s="111" t="s">
        <v>129</v>
      </c>
      <c r="AB116" s="111" t="s">
        <v>130</v>
      </c>
      <c r="AC116" s="111" t="s">
        <v>131</v>
      </c>
      <c r="AD116" s="111" t="s">
        <v>132</v>
      </c>
      <c r="AE116" s="111" t="s">
        <v>133</v>
      </c>
      <c r="AF116" s="2"/>
      <c r="AH116" s="2"/>
    </row>
    <row r="117" spans="4:34" ht="20.100000000000001" customHeight="1" x14ac:dyDescent="0.25">
      <c r="D117" s="49" t="s">
        <v>136</v>
      </c>
      <c r="E117" s="49">
        <f ca="1"/>
        <v>91.25</v>
      </c>
      <c r="F117" s="49">
        <f ca="1"/>
        <v>91.25</v>
      </c>
      <c r="G117" s="49">
        <f ca="1"/>
        <v>91.25</v>
      </c>
      <c r="H117" s="49">
        <f ca="1"/>
        <v>91.25</v>
      </c>
      <c r="I117" s="49">
        <f ca="1"/>
        <v>91.25</v>
      </c>
      <c r="J117" s="49">
        <f ca="1"/>
        <v>91.25</v>
      </c>
      <c r="K117" s="49">
        <f ca="1"/>
        <v>91.25</v>
      </c>
      <c r="L117" s="49">
        <f ca="1"/>
        <v>91.25</v>
      </c>
      <c r="M117" s="49">
        <f ca="1"/>
        <v>91.25</v>
      </c>
      <c r="N117" s="49">
        <f ca="1"/>
        <v>91.25</v>
      </c>
      <c r="O117" s="2"/>
      <c r="U117" s="49" t="str">
        <f>TEXT(X_Cell_Site_StartDate,"mmmm")</f>
        <v>January</v>
      </c>
      <c r="V117" s="49" cm="1">
        <f t="array" aca="1" ref="V117:AE128" ca="1">OFFSET(X_Table_PastureBeef_Head_Method2,1,1,12,10)</f>
        <v>100</v>
      </c>
      <c r="W117" s="49">
        <f ca="1"/>
        <v>100</v>
      </c>
      <c r="X117" s="49">
        <f ca="1"/>
        <v>100</v>
      </c>
      <c r="Y117" s="49">
        <f ca="1"/>
        <v>100</v>
      </c>
      <c r="Z117" s="49">
        <f ca="1"/>
        <v>100</v>
      </c>
      <c r="AA117" s="49">
        <f ca="1"/>
        <v>100</v>
      </c>
      <c r="AB117" s="49">
        <f ca="1"/>
        <v>100</v>
      </c>
      <c r="AC117" s="49">
        <f ca="1"/>
        <v>100</v>
      </c>
      <c r="AD117" s="49">
        <f ca="1"/>
        <v>100</v>
      </c>
      <c r="AE117" s="49">
        <f ca="1"/>
        <v>100</v>
      </c>
      <c r="AF117" s="2" t="str">
        <f>$G$102</f>
        <v>head</v>
      </c>
      <c r="AH117" s="2"/>
    </row>
    <row r="118" spans="4:34" ht="20.100000000000001" customHeight="1" x14ac:dyDescent="0.25">
      <c r="D118" s="49" t="s">
        <v>137</v>
      </c>
      <c r="E118" s="49">
        <f ca="1"/>
        <v>91.25</v>
      </c>
      <c r="F118" s="49">
        <f ca="1"/>
        <v>91.25</v>
      </c>
      <c r="G118" s="49">
        <f ca="1"/>
        <v>91.25</v>
      </c>
      <c r="H118" s="49">
        <f ca="1"/>
        <v>91.25</v>
      </c>
      <c r="I118" s="49">
        <f ca="1"/>
        <v>91.25</v>
      </c>
      <c r="J118" s="49">
        <f ca="1"/>
        <v>91.25</v>
      </c>
      <c r="K118" s="49">
        <f ca="1"/>
        <v>91.25</v>
      </c>
      <c r="L118" s="49">
        <f ca="1"/>
        <v>91.25</v>
      </c>
      <c r="M118" s="49">
        <f ca="1"/>
        <v>91.25</v>
      </c>
      <c r="N118" s="49">
        <f ca="1"/>
        <v>91.25</v>
      </c>
      <c r="O118" s="2"/>
      <c r="U118" s="49" t="str">
        <f>TEXT(EDATE(X_Cell_Site_StartDate,1), "mmmm")</f>
        <v>February</v>
      </c>
      <c r="V118" s="49">
        <f ca="1"/>
        <v>100</v>
      </c>
      <c r="W118" s="49">
        <f ca="1"/>
        <v>100</v>
      </c>
      <c r="X118" s="49">
        <f ca="1"/>
        <v>100</v>
      </c>
      <c r="Y118" s="49">
        <f ca="1"/>
        <v>100</v>
      </c>
      <c r="Z118" s="49">
        <f ca="1"/>
        <v>100</v>
      </c>
      <c r="AA118" s="49">
        <f ca="1"/>
        <v>100</v>
      </c>
      <c r="AB118" s="49">
        <f ca="1"/>
        <v>100</v>
      </c>
      <c r="AC118" s="49">
        <f ca="1"/>
        <v>100</v>
      </c>
      <c r="AD118" s="49">
        <f ca="1"/>
        <v>100</v>
      </c>
      <c r="AE118" s="49">
        <f ca="1"/>
        <v>100</v>
      </c>
      <c r="AF118" s="2"/>
      <c r="AH118" s="2"/>
    </row>
    <row r="119" spans="4:34" ht="20.100000000000001" customHeight="1" x14ac:dyDescent="0.25">
      <c r="U119" s="49" t="str">
        <f>TEXT(EDATE(X_Cell_Site_StartDate,2), "mmmm")</f>
        <v>March</v>
      </c>
      <c r="V119" s="49">
        <f ca="1"/>
        <v>100</v>
      </c>
      <c r="W119" s="49">
        <f ca="1"/>
        <v>100</v>
      </c>
      <c r="X119" s="49">
        <f ca="1"/>
        <v>100</v>
      </c>
      <c r="Y119" s="49">
        <f ca="1"/>
        <v>100</v>
      </c>
      <c r="Z119" s="49">
        <f ca="1"/>
        <v>100</v>
      </c>
      <c r="AA119" s="49">
        <f ca="1"/>
        <v>100</v>
      </c>
      <c r="AB119" s="49">
        <f ca="1"/>
        <v>100</v>
      </c>
      <c r="AC119" s="49">
        <f ca="1"/>
        <v>100</v>
      </c>
      <c r="AD119" s="49">
        <f ca="1"/>
        <v>100</v>
      </c>
      <c r="AE119" s="49">
        <f ca="1"/>
        <v>100</v>
      </c>
      <c r="AF119" s="2"/>
      <c r="AH119" s="2"/>
    </row>
    <row r="120" spans="4:34" ht="20.100000000000001" customHeight="1" x14ac:dyDescent="0.25">
      <c r="D120" s="92" t="s">
        <v>258</v>
      </c>
      <c r="U120" s="49" t="str">
        <f>TEXT(EDATE(X_Cell_Site_StartDate,3), "mmmm")</f>
        <v>April</v>
      </c>
      <c r="V120" s="49">
        <f ca="1"/>
        <v>100</v>
      </c>
      <c r="W120" s="49">
        <f ca="1"/>
        <v>100</v>
      </c>
      <c r="X120" s="49">
        <f ca="1"/>
        <v>100</v>
      </c>
      <c r="Y120" s="49">
        <f ca="1"/>
        <v>100</v>
      </c>
      <c r="Z120" s="49">
        <f ca="1"/>
        <v>100</v>
      </c>
      <c r="AA120" s="49">
        <f ca="1"/>
        <v>100</v>
      </c>
      <c r="AB120" s="49">
        <f ca="1"/>
        <v>100</v>
      </c>
      <c r="AC120" s="49">
        <f ca="1"/>
        <v>100</v>
      </c>
      <c r="AD120" s="49">
        <f ca="1"/>
        <v>100</v>
      </c>
      <c r="AE120" s="49">
        <f ca="1"/>
        <v>100</v>
      </c>
      <c r="AF120" s="2"/>
      <c r="AH120" s="2"/>
    </row>
    <row r="121" spans="4:34" ht="20.100000000000001" customHeight="1" x14ac:dyDescent="0.25">
      <c r="D121" s="91" t="s">
        <v>259</v>
      </c>
      <c r="U121" s="49" t="str">
        <f>TEXT(EDATE(X_Cell_Site_StartDate,4), "mmmm")</f>
        <v>May</v>
      </c>
      <c r="V121" s="49">
        <f ca="1"/>
        <v>100</v>
      </c>
      <c r="W121" s="49">
        <f ca="1"/>
        <v>100</v>
      </c>
      <c r="X121" s="49">
        <f ca="1"/>
        <v>100</v>
      </c>
      <c r="Y121" s="49">
        <f ca="1"/>
        <v>100</v>
      </c>
      <c r="Z121" s="49">
        <f ca="1"/>
        <v>100</v>
      </c>
      <c r="AA121" s="49">
        <f ca="1"/>
        <v>100</v>
      </c>
      <c r="AB121" s="49">
        <f ca="1"/>
        <v>100</v>
      </c>
      <c r="AC121" s="49">
        <f ca="1"/>
        <v>100</v>
      </c>
      <c r="AD121" s="49">
        <f ca="1"/>
        <v>100</v>
      </c>
      <c r="AE121" s="49">
        <f ca="1"/>
        <v>100</v>
      </c>
      <c r="AF121" s="2"/>
      <c r="AH121" s="2"/>
    </row>
    <row r="122" spans="4:34" ht="20.100000000000001" customHeight="1" x14ac:dyDescent="0.25">
      <c r="D122" s="48" t="s">
        <v>145</v>
      </c>
      <c r="E122" s="48" t="s">
        <v>103</v>
      </c>
      <c r="F122" s="48" t="s">
        <v>102</v>
      </c>
      <c r="G122" s="48" t="s">
        <v>126</v>
      </c>
      <c r="H122" s="48" t="s">
        <v>127</v>
      </c>
      <c r="I122" s="48" t="s">
        <v>128</v>
      </c>
      <c r="J122" s="48" t="s">
        <v>129</v>
      </c>
      <c r="K122" s="48" t="s">
        <v>130</v>
      </c>
      <c r="L122" s="48" t="s">
        <v>131</v>
      </c>
      <c r="M122" s="48" t="s">
        <v>132</v>
      </c>
      <c r="N122" s="48" t="s">
        <v>133</v>
      </c>
      <c r="U122" s="49" t="str">
        <f>TEXT(EDATE(X_Cell_Site_StartDate,5), "mmmm")</f>
        <v>June</v>
      </c>
      <c r="V122" s="49">
        <f ca="1"/>
        <v>100</v>
      </c>
      <c r="W122" s="49">
        <f ca="1"/>
        <v>100</v>
      </c>
      <c r="X122" s="49">
        <f ca="1"/>
        <v>100</v>
      </c>
      <c r="Y122" s="49">
        <f ca="1"/>
        <v>100</v>
      </c>
      <c r="Z122" s="49">
        <f ca="1"/>
        <v>100</v>
      </c>
      <c r="AA122" s="49">
        <f ca="1"/>
        <v>100</v>
      </c>
      <c r="AB122" s="49">
        <f ca="1"/>
        <v>100</v>
      </c>
      <c r="AC122" s="49">
        <f ca="1"/>
        <v>100</v>
      </c>
      <c r="AD122" s="49">
        <f ca="1"/>
        <v>100</v>
      </c>
      <c r="AE122" s="49">
        <f ca="1"/>
        <v>100</v>
      </c>
      <c r="AF122" s="2"/>
      <c r="AH122" s="2"/>
    </row>
    <row r="123" spans="4:34" ht="20.100000000000001" customHeight="1" x14ac:dyDescent="0.25">
      <c r="D123" s="49" t="s">
        <v>134</v>
      </c>
      <c r="E123" s="49" cm="1">
        <f t="array" aca="1" ref="E123" ca="1">EntericMethane_PastureBeef_Equations.VEERG_3_2_1_1__1_TotalAnnualMethaneFromEntericFermentation(E115,E85,E107)</f>
        <v>1.6378255171123202</v>
      </c>
      <c r="F123" s="49" cm="1">
        <f t="array" aca="1" ref="F123" ca="1">EntericMethane_PastureBeef_Equations.VEERG_3_2_1_1__1_TotalAnnualMethaneFromEntericFermentation(F115,F85,F107)</f>
        <v>2.3132108159718756</v>
      </c>
      <c r="G123" s="49" cm="1">
        <f t="array" aca="1" ref="G123" ca="1">EntericMethane_PastureBeef_Equations.VEERG_3_2_1_1__1_TotalAnnualMethaneFromEntericFermentation(G115,G85,G107)</f>
        <v>1.2483501632171887</v>
      </c>
      <c r="H123" s="49" cm="1">
        <f t="array" aca="1" ref="H123" ca="1">EntericMethane_PastureBeef_Equations.VEERG_3_2_1_1__1_TotalAnnualMethaneFromEntericFermentation(H115,H85,H107)</f>
        <v>1.638237135180139</v>
      </c>
      <c r="I123" s="49" cm="1">
        <f t="array" aca="1" ref="I123" ca="1">EntericMethane_PastureBeef_Equations.VEERG_3_2_1_1__1_TotalAnnualMethaneFromEntericFermentation(I115,I85,I107)</f>
        <v>1.8191928070395003</v>
      </c>
      <c r="J123" s="49" cm="1">
        <f t="array" aca="1" ref="J123" ca="1">EntericMethane_PastureBeef_Equations.VEERG_3_2_1_1__1_TotalAnnualMethaneFromEntericFermentation(J115,J85,J107)</f>
        <v>1.8191928070395003</v>
      </c>
      <c r="K123" s="49" cm="1">
        <f t="array" aca="1" ref="K123" ca="1">EntericMethane_PastureBeef_Equations.VEERG_3_2_1_1__1_TotalAnnualMethaneFromEntericFermentation(K115,K85,K107)</f>
        <v>1.4391822346998746</v>
      </c>
      <c r="L123" s="49" cm="1">
        <f t="array" aca="1" ref="L123" ca="1">EntericMethane_PastureBeef_Equations.VEERG_3_2_1_1__1_TotalAnnualMethaneFromEntericFermentation(L115,L85,L107)</f>
        <v>1.8288896104633945</v>
      </c>
      <c r="M123" s="49" cm="1">
        <f t="array" aca="1" ref="M123" ca="1">EntericMethane_PastureBeef_Equations.VEERG_3_2_1_1__1_TotalAnnualMethaneFromEntericFermentation(M115,M85,M107)</f>
        <v>1.8288896104633945</v>
      </c>
      <c r="N123" s="49" cm="1">
        <f t="array" aca="1" ref="N123" ca="1">EntericMethane_PastureBeef_Equations.VEERG_3_2_1_1__1_TotalAnnualMethaneFromEntericFermentation(N115,N85,N107)</f>
        <v>1.8288896104633945</v>
      </c>
      <c r="O123" s="2" t="str">
        <f>E98</f>
        <v>t CH4</v>
      </c>
      <c r="Q123" s="2"/>
      <c r="U123" s="49" t="str">
        <f>TEXT(EDATE(X_Cell_Site_StartDate,6), "mmmm")</f>
        <v>July</v>
      </c>
      <c r="V123" s="49">
        <f ca="1"/>
        <v>100</v>
      </c>
      <c r="W123" s="49">
        <f ca="1"/>
        <v>100</v>
      </c>
      <c r="X123" s="49">
        <f ca="1"/>
        <v>100</v>
      </c>
      <c r="Y123" s="49">
        <f ca="1"/>
        <v>100</v>
      </c>
      <c r="Z123" s="49">
        <f ca="1"/>
        <v>100</v>
      </c>
      <c r="AA123" s="49">
        <f ca="1"/>
        <v>100</v>
      </c>
      <c r="AB123" s="49">
        <f ca="1"/>
        <v>100</v>
      </c>
      <c r="AC123" s="49">
        <f ca="1"/>
        <v>100</v>
      </c>
      <c r="AD123" s="49">
        <f ca="1"/>
        <v>100</v>
      </c>
      <c r="AE123" s="49">
        <f ca="1"/>
        <v>100</v>
      </c>
      <c r="AF123" s="2"/>
      <c r="AH123" s="2"/>
    </row>
    <row r="124" spans="4:34" ht="20.100000000000001" customHeight="1" x14ac:dyDescent="0.25">
      <c r="D124" s="49" t="s">
        <v>135</v>
      </c>
      <c r="E124" s="49" cm="1">
        <f t="array" aca="1" ref="E124" ca="1">EntericMethane_PastureBeef_Equations.VEERG_3_2_1_1__1_TotalAnnualMethaneFromEntericFermentation(E116,E86,E108)</f>
        <v>1.3499513262943192</v>
      </c>
      <c r="F124" s="49" cm="1">
        <f t="array" aca="1" ref="F124" ca="1">EntericMethane_PastureBeef_Equations.VEERG_3_2_1_1__1_TotalAnnualMethaneFromEntericFermentation(F116,F86,F108)</f>
        <v>1.7861190673549951</v>
      </c>
      <c r="G124" s="49" cm="1">
        <f t="array" aca="1" ref="G124" ca="1">EntericMethane_PastureBeef_Equations.VEERG_3_2_1_1__1_TotalAnnualMethaneFromEntericFermentation(G116,G86,G108)</f>
        <v>1.1352785803019998</v>
      </c>
      <c r="H124" s="49" cm="1">
        <f t="array" aca="1" ref="H124" ca="1">EntericMethane_PastureBeef_Equations.VEERG_3_2_1_1__1_TotalAnnualMethaneFromEntericFermentation(H116,H86,H108)</f>
        <v>1.486648456930969</v>
      </c>
      <c r="I124" s="49" cm="1">
        <f t="array" aca="1" ref="I124" ca="1">EntericMethane_PastureBeef_Equations.VEERG_3_2_1_1__1_TotalAnnualMethaneFromEntericFermentation(I116,I86,I108)</f>
        <v>1.4719638763366196</v>
      </c>
      <c r="J124" s="49" cm="1">
        <f t="array" aca="1" ref="J124" ca="1">EntericMethane_PastureBeef_Equations.VEERG_3_2_1_1__1_TotalAnnualMethaneFromEntericFermentation(J116,J86,J108)</f>
        <v>1.4719638763366196</v>
      </c>
      <c r="K124" s="49" cm="1">
        <f t="array" aca="1" ref="K124" ca="1">EntericMethane_PastureBeef_Equations.VEERG_3_2_1_1__1_TotalAnnualMethaneFromEntericFermentation(K116,K86,K108)</f>
        <v>1.2443230185343197</v>
      </c>
      <c r="L124" s="49" cm="1">
        <f t="array" aca="1" ref="L124" ca="1">EntericMethane_PastureBeef_Equations.VEERG_3_2_1_1__1_TotalAnnualMethaneFromEntericFermentation(L116,L86,L108)</f>
        <v>1.3870141792213391</v>
      </c>
      <c r="M124" s="49" cm="1">
        <f t="array" aca="1" ref="M124" ca="1">EntericMethane_PastureBeef_Equations.VEERG_3_2_1_1__1_TotalAnnualMethaneFromEntericFermentation(M116,M86,M108)</f>
        <v>1.3870141792213391</v>
      </c>
      <c r="N124" s="49" cm="1">
        <f t="array" aca="1" ref="N124" ca="1">EntericMethane_PastureBeef_Equations.VEERG_3_2_1_1__1_TotalAnnualMethaneFromEntericFermentation(N116,N86,N108)</f>
        <v>1.3870141792213391</v>
      </c>
      <c r="O124" s="2"/>
      <c r="Q124" s="2"/>
      <c r="U124" s="49" t="str">
        <f>TEXT(EDATE(X_Cell_Site_StartDate,7), "mmmm")</f>
        <v>August</v>
      </c>
      <c r="V124" s="49">
        <f ca="1"/>
        <v>100</v>
      </c>
      <c r="W124" s="49">
        <f ca="1"/>
        <v>100</v>
      </c>
      <c r="X124" s="49">
        <f ca="1"/>
        <v>100</v>
      </c>
      <c r="Y124" s="49">
        <f ca="1"/>
        <v>100</v>
      </c>
      <c r="Z124" s="49">
        <f ca="1"/>
        <v>100</v>
      </c>
      <c r="AA124" s="49">
        <f ca="1"/>
        <v>100</v>
      </c>
      <c r="AB124" s="49">
        <f ca="1"/>
        <v>100</v>
      </c>
      <c r="AC124" s="49">
        <f ca="1"/>
        <v>100</v>
      </c>
      <c r="AD124" s="49">
        <f ca="1"/>
        <v>100</v>
      </c>
      <c r="AE124" s="49">
        <f ca="1"/>
        <v>100</v>
      </c>
      <c r="AF124" s="2"/>
      <c r="AH124" s="2"/>
    </row>
    <row r="125" spans="4:34" ht="20.100000000000001" customHeight="1" x14ac:dyDescent="0.25">
      <c r="D125" s="49" t="s">
        <v>136</v>
      </c>
      <c r="E125" s="49" cm="1">
        <f t="array" aca="1" ref="E125" ca="1">EntericMethane_PastureBeef_Equations.VEERG_3_2_1_1__1_TotalAnnualMethaneFromEntericFermentation(E117,E87,E109)</f>
        <v>0.61335624555000001</v>
      </c>
      <c r="F125" s="49" cm="1">
        <f t="array" aca="1" ref="F125" ca="1">EntericMethane_PastureBeef_Equations.VEERG_3_2_1_1__1_TotalAnnualMethaneFromEntericFermentation(F117,F87,F109)</f>
        <v>1.7801994082822199</v>
      </c>
      <c r="G125" s="49" cm="1">
        <f t="array" aca="1" ref="G125" ca="1">EntericMethane_PastureBeef_Equations.VEERG_3_2_1_1__1_TotalAnnualMethaneFromEntericFermentation(G117,G87,G109)</f>
        <v>0.55916871211511998</v>
      </c>
      <c r="H125" s="49" cm="1">
        <f t="array" aca="1" ref="H125" ca="1">EntericMethane_PastureBeef_Equations.VEERG_3_2_1_1__1_TotalAnnualMethaneFromEntericFermentation(H117,H87,H109)</f>
        <v>1.1253534827611948</v>
      </c>
      <c r="I125" s="49" cm="1">
        <f t="array" aca="1" ref="I125" ca="1">EntericMethane_PastureBeef_Equations.VEERG_3_2_1_1__1_TotalAnnualMethaneFromEntericFermentation(I117,I87,I109)</f>
        <v>1.2689457429779887</v>
      </c>
      <c r="J125" s="49" cm="1">
        <f t="array" aca="1" ref="J125" ca="1">EntericMethane_PastureBeef_Equations.VEERG_3_2_1_1__1_TotalAnnualMethaneFromEntericFermentation(J117,J87,J109)</f>
        <v>1.2689457429779887</v>
      </c>
      <c r="K125" s="49" cm="1">
        <f t="array" aca="1" ref="K125" ca="1">EntericMethane_PastureBeef_Equations.VEERG_3_2_1_1__1_TotalAnnualMethaneFromEntericFermentation(K117,K87,K109)</f>
        <v>0.61335624555000001</v>
      </c>
      <c r="L125" s="49" cm="1">
        <f t="array" aca="1" ref="L125" ca="1">EntericMethane_PastureBeef_Equations.VEERG_3_2_1_1__1_TotalAnnualMethaneFromEntericFermentation(L117,L87,L109)</f>
        <v>1.1135632576102203</v>
      </c>
      <c r="M125" s="49" cm="1">
        <f t="array" aca="1" ref="M125" ca="1">EntericMethane_PastureBeef_Equations.VEERG_3_2_1_1__1_TotalAnnualMethaneFromEntericFermentation(M117,M87,M109)</f>
        <v>1.1135632576102203</v>
      </c>
      <c r="N125" s="49" cm="1">
        <f t="array" aca="1" ref="N125" ca="1">EntericMethane_PastureBeef_Equations.VEERG_3_2_1_1__1_TotalAnnualMethaneFromEntericFermentation(N117,N87,N109)</f>
        <v>1.1135632576102203</v>
      </c>
      <c r="O125" s="2"/>
      <c r="Q125" s="2"/>
      <c r="U125" s="49" t="str">
        <f>TEXT(EDATE(X_Cell_Site_StartDate,8), "mmmm")</f>
        <v>September</v>
      </c>
      <c r="V125" s="49">
        <f ca="1"/>
        <v>100</v>
      </c>
      <c r="W125" s="49">
        <f ca="1"/>
        <v>100</v>
      </c>
      <c r="X125" s="49">
        <f ca="1"/>
        <v>100</v>
      </c>
      <c r="Y125" s="49">
        <f ca="1"/>
        <v>100</v>
      </c>
      <c r="Z125" s="49">
        <f ca="1"/>
        <v>100</v>
      </c>
      <c r="AA125" s="49">
        <f ca="1"/>
        <v>100</v>
      </c>
      <c r="AB125" s="49">
        <f ca="1"/>
        <v>100</v>
      </c>
      <c r="AC125" s="49">
        <f ca="1"/>
        <v>100</v>
      </c>
      <c r="AD125" s="49">
        <f ca="1"/>
        <v>100</v>
      </c>
      <c r="AE125" s="49">
        <f ca="1"/>
        <v>100</v>
      </c>
      <c r="AF125" s="2"/>
      <c r="AH125" s="2"/>
    </row>
    <row r="126" spans="4:34" ht="20.100000000000001" customHeight="1" x14ac:dyDescent="0.25">
      <c r="D126" s="49" t="s">
        <v>137</v>
      </c>
      <c r="E126" s="49" cm="1">
        <f t="array" aca="1" ref="E126" ca="1">EntericMethane_PastureBeef_Equations.VEERG_3_2_1_1__1_TotalAnnualMethaneFromEntericFermentation(E118,E88,E110)</f>
        <v>0.96954028006048887</v>
      </c>
      <c r="F126" s="49" cm="1">
        <f t="array" aca="1" ref="F126" ca="1">EntericMethane_PastureBeef_Equations.VEERG_3_2_1_1__1_TotalAnnualMethaneFromEntericFermentation(F118,F88,F110)</f>
        <v>1.8841261585848745</v>
      </c>
      <c r="G126" s="49" cm="1">
        <f t="array" aca="1" ref="G126" ca="1">EntericMethane_PastureBeef_Equations.VEERG_3_2_1_1__1_TotalAnnualMethaneFromEntericFermentation(G118,G88,G110)</f>
        <v>0.79383844115971891</v>
      </c>
      <c r="H126" s="49" cm="1">
        <f t="array" aca="1" ref="H126" ca="1">EntericMethane_PastureBeef_Equations.VEERG_3_2_1_1__1_TotalAnnualMethaneFromEntericFermentation(H118,H88,H110)</f>
        <v>1.1196897372566892</v>
      </c>
      <c r="I126" s="49" cm="1">
        <f t="array" aca="1" ref="I126" ca="1">EntericMethane_PastureBeef_Equations.VEERG_3_2_1_1__1_TotalAnnualMethaneFromEntericFermentation(I118,I88,I110)</f>
        <v>1.5020983017638887</v>
      </c>
      <c r="J126" s="49" cm="1">
        <f t="array" aca="1" ref="J126" ca="1">EntericMethane_PastureBeef_Equations.VEERG_3_2_1_1__1_TotalAnnualMethaneFromEntericFermentation(J118,J88,J110)</f>
        <v>1.5020983017638887</v>
      </c>
      <c r="K126" s="49" cm="1">
        <f t="array" aca="1" ref="K126" ca="1">EntericMethane_PastureBeef_Equations.VEERG_3_2_1_1__1_TotalAnnualMethaneFromEntericFermentation(K118,K88,K110)</f>
        <v>0.8523110452909386</v>
      </c>
      <c r="L126" s="49" cm="1">
        <f t="array" aca="1" ref="L126" ca="1">EntericMethane_PastureBeef_Equations.VEERG_3_2_1_1__1_TotalAnnualMethaneFromEntericFermentation(L118,L88,L110)</f>
        <v>1.2976289206207199</v>
      </c>
      <c r="M126" s="49" cm="1">
        <f t="array" aca="1" ref="M126" ca="1">EntericMethane_PastureBeef_Equations.VEERG_3_2_1_1__1_TotalAnnualMethaneFromEntericFermentation(M118,M88,M110)</f>
        <v>1.2976289206207199</v>
      </c>
      <c r="N126" s="49" cm="1">
        <f t="array" aca="1" ref="N126" ca="1">EntericMethane_PastureBeef_Equations.VEERG_3_2_1_1__1_TotalAnnualMethaneFromEntericFermentation(N118,N88,N110)</f>
        <v>1.2976289206207199</v>
      </c>
      <c r="O126" s="2"/>
      <c r="Q126" s="2"/>
      <c r="U126" s="49" t="str">
        <f>TEXT(EDATE(X_Cell_Site_StartDate,9), "mmmm")</f>
        <v>October</v>
      </c>
      <c r="V126" s="49">
        <f ca="1"/>
        <v>100</v>
      </c>
      <c r="W126" s="49">
        <f ca="1"/>
        <v>100</v>
      </c>
      <c r="X126" s="49">
        <f ca="1"/>
        <v>100</v>
      </c>
      <c r="Y126" s="49">
        <f ca="1"/>
        <v>100</v>
      </c>
      <c r="Z126" s="49">
        <f ca="1"/>
        <v>100</v>
      </c>
      <c r="AA126" s="49">
        <f ca="1"/>
        <v>100</v>
      </c>
      <c r="AB126" s="49">
        <f ca="1"/>
        <v>100</v>
      </c>
      <c r="AC126" s="49">
        <f ca="1"/>
        <v>100</v>
      </c>
      <c r="AD126" s="49">
        <f ca="1"/>
        <v>100</v>
      </c>
      <c r="AE126" s="49">
        <f ca="1"/>
        <v>100</v>
      </c>
      <c r="AF126" s="2"/>
      <c r="AH126" s="2"/>
    </row>
    <row r="127" spans="4:34" ht="20.100000000000001" customHeight="1" x14ac:dyDescent="0.25">
      <c r="Q127" s="2"/>
      <c r="U127" s="49" t="str">
        <f>TEXT(EDATE(X_Cell_Site_StartDate,10), "mmmm")</f>
        <v>November</v>
      </c>
      <c r="V127" s="49">
        <f ca="1"/>
        <v>100</v>
      </c>
      <c r="W127" s="49">
        <f ca="1"/>
        <v>100</v>
      </c>
      <c r="X127" s="49">
        <f ca="1"/>
        <v>100</v>
      </c>
      <c r="Y127" s="49">
        <f ca="1"/>
        <v>100</v>
      </c>
      <c r="Z127" s="49">
        <f ca="1"/>
        <v>100</v>
      </c>
      <c r="AA127" s="49">
        <f ca="1"/>
        <v>100</v>
      </c>
      <c r="AB127" s="49">
        <f ca="1"/>
        <v>100</v>
      </c>
      <c r="AC127" s="49">
        <f ca="1"/>
        <v>100</v>
      </c>
      <c r="AD127" s="49">
        <f ca="1"/>
        <v>100</v>
      </c>
      <c r="AE127" s="49">
        <f ca="1"/>
        <v>100</v>
      </c>
      <c r="AF127" s="2"/>
    </row>
    <row r="128" spans="4:34" ht="20.100000000000001" customHeight="1" x14ac:dyDescent="0.25">
      <c r="D128" s="93" t="s">
        <v>231</v>
      </c>
      <c r="E128" s="94">
        <f ca="1">SUM(E123:N126)</f>
        <v>54.595755432192263</v>
      </c>
      <c r="F128" s="95" t="str">
        <f>$E$98</f>
        <v>t CH4</v>
      </c>
      <c r="Q128" s="2"/>
      <c r="U128" s="49" t="str">
        <f>TEXT(EDATE(X_Cell_Site_StartDate,11), "mmmm")</f>
        <v>December</v>
      </c>
      <c r="V128" s="49">
        <f ca="1"/>
        <v>100</v>
      </c>
      <c r="W128" s="49">
        <f ca="1"/>
        <v>100</v>
      </c>
      <c r="X128" s="49">
        <f ca="1"/>
        <v>100</v>
      </c>
      <c r="Y128" s="49">
        <f ca="1"/>
        <v>100</v>
      </c>
      <c r="Z128" s="49">
        <f ca="1"/>
        <v>100</v>
      </c>
      <c r="AA128" s="49">
        <f ca="1"/>
        <v>100</v>
      </c>
      <c r="AB128" s="49">
        <f ca="1"/>
        <v>100</v>
      </c>
      <c r="AC128" s="49">
        <f ca="1"/>
        <v>100</v>
      </c>
      <c r="AD128" s="49">
        <f ca="1"/>
        <v>100</v>
      </c>
      <c r="AE128" s="49">
        <f ca="1"/>
        <v>100</v>
      </c>
      <c r="AF128" s="2"/>
    </row>
    <row r="129" spans="4:34" ht="20.100000000000001" customHeight="1" x14ac:dyDescent="0.25">
      <c r="Q129" s="2"/>
    </row>
    <row r="130" spans="4:34" ht="20.100000000000001" customHeight="1" x14ac:dyDescent="0.25">
      <c r="D130" s="54" t="str" cm="1">
        <f t="array" ref="D130:E131">Common_Equations.Common_ConvertCH4ToCO2e_Arguments()</f>
        <v>ECH4</v>
      </c>
      <c r="E130" s="55" t="str">
        <v>Methane emissions (t CH4)</v>
      </c>
      <c r="F130" s="96"/>
      <c r="G130" s="49">
        <f ca="1">VEERG_3_2_1_1__1_TotalAnnualMethaneFromEntericFermentation_Result_Method1</f>
        <v>54.595755432192263</v>
      </c>
      <c r="Q130" s="2"/>
      <c r="U130" s="92" t="s">
        <v>117</v>
      </c>
    </row>
    <row r="131" spans="4:34" ht="20.100000000000001" customHeight="1" x14ac:dyDescent="0.25">
      <c r="D131" s="54" t="str">
        <v>GWPCH4</v>
      </c>
      <c r="E131" s="55" t="str">
        <v>Global warming potential for methane (t CO2-e / t CH4)</v>
      </c>
      <c r="F131" s="96"/>
      <c r="G131" s="49">
        <f>Common_InputFunctions.Utility_LookupValueInTableNumber("CH4",Table_GWPData[Gas],Table_GWPData[CO2-e factor])</f>
        <v>28</v>
      </c>
      <c r="U131" s="91" t="s">
        <v>229</v>
      </c>
      <c r="AH131" s="2"/>
    </row>
    <row r="132" spans="4:34" ht="20.100000000000001" customHeight="1" x14ac:dyDescent="0.25">
      <c r="U132" s="48" t="s">
        <v>104</v>
      </c>
      <c r="V132" s="111" t="s">
        <v>103</v>
      </c>
      <c r="W132" s="111" t="s">
        <v>102</v>
      </c>
      <c r="X132" s="111" t="s">
        <v>126</v>
      </c>
      <c r="Y132" s="111" t="s">
        <v>127</v>
      </c>
      <c r="Z132" s="111" t="s">
        <v>128</v>
      </c>
      <c r="AA132" s="111" t="s">
        <v>129</v>
      </c>
      <c r="AB132" s="111" t="s">
        <v>130</v>
      </c>
      <c r="AC132" s="111" t="s">
        <v>131</v>
      </c>
      <c r="AD132" s="111" t="s">
        <v>132</v>
      </c>
      <c r="AE132" s="111" t="s">
        <v>133</v>
      </c>
      <c r="AF132" s="2"/>
      <c r="AH132" s="2"/>
    </row>
    <row r="133" spans="4:34" ht="20.100000000000001" customHeight="1" x14ac:dyDescent="0.25">
      <c r="D133" s="42" t="s">
        <v>82</v>
      </c>
      <c r="E133" s="42" cm="1">
        <f t="array" aca="1" ref="E133" ca="1">Common_Equations.Common_ConvertN2OToCO2e(G130,G131)</f>
        <v>1528.6811521013833</v>
      </c>
      <c r="F133" s="97" t="str" cm="1">
        <f t="array" ref="F133">Common_Equations.Common_ConvertN2OToCO2e_Unit()</f>
        <v>t CO2e</v>
      </c>
      <c r="U133" s="49" t="str">
        <f>TEXT(X_Cell_Site_StartDate,"mmmm")</f>
        <v>January</v>
      </c>
      <c r="V133" s="49" cm="1">
        <f t="array" aca="1" ref="V133:AE144" ca="1">OFFSET(X_Table_PastureBeef_Duration_Method2,1,1,12,10)</f>
        <v>31</v>
      </c>
      <c r="W133" s="49">
        <f ca="1"/>
        <v>31</v>
      </c>
      <c r="X133" s="49">
        <f ca="1"/>
        <v>31</v>
      </c>
      <c r="Y133" s="49">
        <f ca="1"/>
        <v>31</v>
      </c>
      <c r="Z133" s="49">
        <f ca="1"/>
        <v>31</v>
      </c>
      <c r="AA133" s="49">
        <f ca="1"/>
        <v>31</v>
      </c>
      <c r="AB133" s="49">
        <f ca="1"/>
        <v>31</v>
      </c>
      <c r="AC133" s="49">
        <f ca="1"/>
        <v>31</v>
      </c>
      <c r="AD133" s="49">
        <f ca="1"/>
        <v>31</v>
      </c>
      <c r="AE133" s="49">
        <f ca="1"/>
        <v>31</v>
      </c>
      <c r="AF133" s="2" t="str">
        <f>$G$100</f>
        <v>days</v>
      </c>
      <c r="AH133" s="2"/>
    </row>
    <row r="134" spans="4:34" ht="20.100000000000001" customHeight="1" x14ac:dyDescent="0.25">
      <c r="U134" s="49" t="str">
        <f>TEXT(EDATE(X_Cell_Site_StartDate,1), "mmmm")</f>
        <v>February</v>
      </c>
      <c r="V134" s="49">
        <f ca="1"/>
        <v>29</v>
      </c>
      <c r="W134" s="49">
        <f ca="1"/>
        <v>29</v>
      </c>
      <c r="X134" s="49">
        <f ca="1"/>
        <v>29</v>
      </c>
      <c r="Y134" s="49">
        <f ca="1"/>
        <v>29</v>
      </c>
      <c r="Z134" s="49">
        <f ca="1"/>
        <v>29</v>
      </c>
      <c r="AA134" s="49">
        <f ca="1"/>
        <v>29</v>
      </c>
      <c r="AB134" s="49">
        <f ca="1"/>
        <v>29</v>
      </c>
      <c r="AC134" s="49">
        <f ca="1"/>
        <v>29</v>
      </c>
      <c r="AD134" s="49">
        <f ca="1"/>
        <v>29</v>
      </c>
      <c r="AE134" s="49">
        <f ca="1"/>
        <v>29</v>
      </c>
      <c r="AF134" s="2"/>
      <c r="AH134" s="2"/>
    </row>
    <row r="135" spans="4:34" ht="20.100000000000001" customHeight="1" x14ac:dyDescent="0.25">
      <c r="U135" s="49" t="str">
        <f>TEXT(EDATE(X_Cell_Site_StartDate,2), "mmmm")</f>
        <v>March</v>
      </c>
      <c r="V135" s="49">
        <f ca="1"/>
        <v>31</v>
      </c>
      <c r="W135" s="49">
        <f ca="1"/>
        <v>31</v>
      </c>
      <c r="X135" s="49">
        <f ca="1"/>
        <v>31</v>
      </c>
      <c r="Y135" s="49">
        <f ca="1"/>
        <v>31</v>
      </c>
      <c r="Z135" s="49">
        <f ca="1"/>
        <v>31</v>
      </c>
      <c r="AA135" s="49">
        <f ca="1"/>
        <v>31</v>
      </c>
      <c r="AB135" s="49">
        <f ca="1"/>
        <v>31</v>
      </c>
      <c r="AC135" s="49">
        <f ca="1"/>
        <v>31</v>
      </c>
      <c r="AD135" s="49">
        <f ca="1"/>
        <v>31</v>
      </c>
      <c r="AE135" s="49">
        <f ca="1"/>
        <v>31</v>
      </c>
      <c r="AF135" s="2"/>
      <c r="AH135" s="2"/>
    </row>
    <row r="136" spans="4:34" ht="20.100000000000001" customHeight="1" x14ac:dyDescent="0.25">
      <c r="U136" s="49" t="str">
        <f>TEXT(EDATE(X_Cell_Site_StartDate,3), "mmmm")</f>
        <v>April</v>
      </c>
      <c r="V136" s="49">
        <f ca="1"/>
        <v>30</v>
      </c>
      <c r="W136" s="49">
        <f ca="1"/>
        <v>30</v>
      </c>
      <c r="X136" s="49">
        <f ca="1"/>
        <v>30</v>
      </c>
      <c r="Y136" s="49">
        <f ca="1"/>
        <v>30</v>
      </c>
      <c r="Z136" s="49">
        <f ca="1"/>
        <v>30</v>
      </c>
      <c r="AA136" s="49">
        <f ca="1"/>
        <v>30</v>
      </c>
      <c r="AB136" s="49">
        <f ca="1"/>
        <v>30</v>
      </c>
      <c r="AC136" s="49">
        <f ca="1"/>
        <v>30</v>
      </c>
      <c r="AD136" s="49">
        <f ca="1"/>
        <v>30</v>
      </c>
      <c r="AE136" s="49">
        <f ca="1"/>
        <v>30</v>
      </c>
      <c r="AF136" s="2"/>
      <c r="AH136" s="2"/>
    </row>
    <row r="137" spans="4:34" ht="20.100000000000001" customHeight="1" x14ac:dyDescent="0.25">
      <c r="U137" s="49" t="str">
        <f>TEXT(EDATE(X_Cell_Site_StartDate,4), "mmmm")</f>
        <v>May</v>
      </c>
      <c r="V137" s="49">
        <f ca="1"/>
        <v>31</v>
      </c>
      <c r="W137" s="49">
        <f ca="1"/>
        <v>31</v>
      </c>
      <c r="X137" s="49">
        <f ca="1"/>
        <v>31</v>
      </c>
      <c r="Y137" s="49">
        <f ca="1"/>
        <v>31</v>
      </c>
      <c r="Z137" s="49">
        <f ca="1"/>
        <v>31</v>
      </c>
      <c r="AA137" s="49">
        <f ca="1"/>
        <v>31</v>
      </c>
      <c r="AB137" s="49">
        <f ca="1"/>
        <v>31</v>
      </c>
      <c r="AC137" s="49">
        <f ca="1"/>
        <v>31</v>
      </c>
      <c r="AD137" s="49">
        <f ca="1"/>
        <v>31</v>
      </c>
      <c r="AE137" s="49">
        <f ca="1"/>
        <v>31</v>
      </c>
      <c r="AF137" s="2"/>
      <c r="AH137" s="2"/>
    </row>
    <row r="138" spans="4:34" ht="20.100000000000001" customHeight="1" x14ac:dyDescent="0.25">
      <c r="U138" s="49" t="str">
        <f>TEXT(EDATE(X_Cell_Site_StartDate,5), "mmmm")</f>
        <v>June</v>
      </c>
      <c r="V138" s="49">
        <f ca="1"/>
        <v>30</v>
      </c>
      <c r="W138" s="49">
        <f ca="1"/>
        <v>30</v>
      </c>
      <c r="X138" s="49">
        <f ca="1"/>
        <v>30</v>
      </c>
      <c r="Y138" s="49">
        <f ca="1"/>
        <v>30</v>
      </c>
      <c r="Z138" s="49">
        <f ca="1"/>
        <v>30</v>
      </c>
      <c r="AA138" s="49">
        <f ca="1"/>
        <v>30</v>
      </c>
      <c r="AB138" s="49">
        <f ca="1"/>
        <v>30</v>
      </c>
      <c r="AC138" s="49">
        <f ca="1"/>
        <v>30</v>
      </c>
      <c r="AD138" s="49">
        <f ca="1"/>
        <v>30</v>
      </c>
      <c r="AE138" s="49">
        <f ca="1"/>
        <v>30</v>
      </c>
      <c r="AF138" s="2"/>
      <c r="AH138" s="2"/>
    </row>
    <row r="139" spans="4:34" ht="20.100000000000001" customHeight="1" x14ac:dyDescent="0.25">
      <c r="U139" s="49" t="str">
        <f>TEXT(EDATE(X_Cell_Site_StartDate,6), "mmmm")</f>
        <v>July</v>
      </c>
      <c r="V139" s="49">
        <f ca="1"/>
        <v>31</v>
      </c>
      <c r="W139" s="49">
        <f ca="1"/>
        <v>31</v>
      </c>
      <c r="X139" s="49">
        <f ca="1"/>
        <v>31</v>
      </c>
      <c r="Y139" s="49">
        <f ca="1"/>
        <v>31</v>
      </c>
      <c r="Z139" s="49">
        <f ca="1"/>
        <v>31</v>
      </c>
      <c r="AA139" s="49">
        <f ca="1"/>
        <v>31</v>
      </c>
      <c r="AB139" s="49">
        <f ca="1"/>
        <v>31</v>
      </c>
      <c r="AC139" s="49">
        <f ca="1"/>
        <v>31</v>
      </c>
      <c r="AD139" s="49">
        <f ca="1"/>
        <v>31</v>
      </c>
      <c r="AE139" s="49">
        <f ca="1"/>
        <v>31</v>
      </c>
      <c r="AF139" s="2"/>
      <c r="AH139" s="2"/>
    </row>
    <row r="140" spans="4:34" ht="20.100000000000001" customHeight="1" x14ac:dyDescent="0.25">
      <c r="U140" s="49" t="str">
        <f>TEXT(EDATE(X_Cell_Site_StartDate,7), "mmmm")</f>
        <v>August</v>
      </c>
      <c r="V140" s="49">
        <f ca="1"/>
        <v>31</v>
      </c>
      <c r="W140" s="49">
        <f ca="1"/>
        <v>31</v>
      </c>
      <c r="X140" s="49">
        <f ca="1"/>
        <v>31</v>
      </c>
      <c r="Y140" s="49">
        <f ca="1"/>
        <v>31</v>
      </c>
      <c r="Z140" s="49">
        <f ca="1"/>
        <v>31</v>
      </c>
      <c r="AA140" s="49">
        <f ca="1"/>
        <v>31</v>
      </c>
      <c r="AB140" s="49">
        <f ca="1"/>
        <v>31</v>
      </c>
      <c r="AC140" s="49">
        <f ca="1"/>
        <v>31</v>
      </c>
      <c r="AD140" s="49">
        <f ca="1"/>
        <v>31</v>
      </c>
      <c r="AE140" s="49">
        <f ca="1"/>
        <v>31</v>
      </c>
      <c r="AF140" s="2"/>
      <c r="AH140" s="2"/>
    </row>
    <row r="141" spans="4:34" ht="20.100000000000001" customHeight="1" x14ac:dyDescent="0.25">
      <c r="U141" s="49" t="str">
        <f>TEXT(EDATE(X_Cell_Site_StartDate,8), "mmmm")</f>
        <v>September</v>
      </c>
      <c r="V141" s="49">
        <f ca="1"/>
        <v>30</v>
      </c>
      <c r="W141" s="49">
        <f ca="1"/>
        <v>30</v>
      </c>
      <c r="X141" s="49">
        <f ca="1"/>
        <v>30</v>
      </c>
      <c r="Y141" s="49">
        <f ca="1"/>
        <v>30</v>
      </c>
      <c r="Z141" s="49">
        <f ca="1"/>
        <v>30</v>
      </c>
      <c r="AA141" s="49">
        <f ca="1"/>
        <v>30</v>
      </c>
      <c r="AB141" s="49">
        <f ca="1"/>
        <v>30</v>
      </c>
      <c r="AC141" s="49">
        <f ca="1"/>
        <v>30</v>
      </c>
      <c r="AD141" s="49">
        <f ca="1"/>
        <v>30</v>
      </c>
      <c r="AE141" s="49">
        <f ca="1"/>
        <v>30</v>
      </c>
      <c r="AF141" s="2"/>
      <c r="AH141" s="2"/>
    </row>
    <row r="142" spans="4:34" ht="20.100000000000001" customHeight="1" x14ac:dyDescent="0.25">
      <c r="U142" s="49" t="str">
        <f>TEXT(EDATE(X_Cell_Site_StartDate,9), "mmmm")</f>
        <v>October</v>
      </c>
      <c r="V142" s="49">
        <f ca="1"/>
        <v>31</v>
      </c>
      <c r="W142" s="49">
        <f ca="1"/>
        <v>31</v>
      </c>
      <c r="X142" s="49">
        <f ca="1"/>
        <v>31</v>
      </c>
      <c r="Y142" s="49">
        <f ca="1"/>
        <v>31</v>
      </c>
      <c r="Z142" s="49">
        <f ca="1"/>
        <v>31</v>
      </c>
      <c r="AA142" s="49">
        <f ca="1"/>
        <v>31</v>
      </c>
      <c r="AB142" s="49">
        <f ca="1"/>
        <v>31</v>
      </c>
      <c r="AC142" s="49">
        <f ca="1"/>
        <v>31</v>
      </c>
      <c r="AD142" s="49">
        <f ca="1"/>
        <v>31</v>
      </c>
      <c r="AE142" s="49">
        <f ca="1"/>
        <v>31</v>
      </c>
      <c r="AF142" s="2"/>
      <c r="AH142" s="2"/>
    </row>
    <row r="143" spans="4:34" ht="20.100000000000001" customHeight="1" x14ac:dyDescent="0.25">
      <c r="U143" s="49" t="str">
        <f>TEXT(EDATE(X_Cell_Site_StartDate,10), "mmmm")</f>
        <v>November</v>
      </c>
      <c r="V143" s="49">
        <f ca="1"/>
        <v>30</v>
      </c>
      <c r="W143" s="49">
        <f ca="1"/>
        <v>30</v>
      </c>
      <c r="X143" s="49">
        <f ca="1"/>
        <v>30</v>
      </c>
      <c r="Y143" s="49">
        <f ca="1"/>
        <v>30</v>
      </c>
      <c r="Z143" s="49">
        <f ca="1"/>
        <v>30</v>
      </c>
      <c r="AA143" s="49">
        <f ca="1"/>
        <v>30</v>
      </c>
      <c r="AB143" s="49">
        <f ca="1"/>
        <v>30</v>
      </c>
      <c r="AC143" s="49">
        <f ca="1"/>
        <v>30</v>
      </c>
      <c r="AD143" s="49">
        <f ca="1"/>
        <v>30</v>
      </c>
      <c r="AE143" s="49">
        <f ca="1"/>
        <v>30</v>
      </c>
      <c r="AF143" s="2"/>
    </row>
    <row r="144" spans="4:34" ht="20.100000000000001" customHeight="1" x14ac:dyDescent="0.25">
      <c r="U144" s="49" t="str">
        <f>TEXT(EDATE(X_Cell_Site_StartDate,11), "mmmm")</f>
        <v>December</v>
      </c>
      <c r="V144" s="49">
        <f ca="1"/>
        <v>31</v>
      </c>
      <c r="W144" s="49">
        <f ca="1"/>
        <v>31</v>
      </c>
      <c r="X144" s="49">
        <f ca="1"/>
        <v>31</v>
      </c>
      <c r="Y144" s="49">
        <f ca="1"/>
        <v>31</v>
      </c>
      <c r="Z144" s="49">
        <f ca="1"/>
        <v>31</v>
      </c>
      <c r="AA144" s="49">
        <f ca="1"/>
        <v>31</v>
      </c>
      <c r="AB144" s="49">
        <f ca="1"/>
        <v>31</v>
      </c>
      <c r="AC144" s="49">
        <f ca="1"/>
        <v>31</v>
      </c>
      <c r="AD144" s="49">
        <f ca="1"/>
        <v>31</v>
      </c>
      <c r="AE144" s="49">
        <f ca="1"/>
        <v>31</v>
      </c>
      <c r="AF144" s="2"/>
    </row>
    <row r="145" spans="21:32" ht="20.100000000000001" customHeight="1" x14ac:dyDescent="0.25"/>
    <row r="146" spans="21:32" ht="20.100000000000001" customHeight="1" x14ac:dyDescent="0.25">
      <c r="U146" s="92" t="s">
        <v>260</v>
      </c>
    </row>
    <row r="147" spans="21:32" ht="20.100000000000001" customHeight="1" x14ac:dyDescent="0.25">
      <c r="U147" s="91" t="s">
        <v>261</v>
      </c>
    </row>
    <row r="148" spans="21:32" ht="20.100000000000001" customHeight="1" x14ac:dyDescent="0.25">
      <c r="U148" s="48" t="s">
        <v>104</v>
      </c>
      <c r="V148" s="48" t="s">
        <v>103</v>
      </c>
      <c r="W148" s="48" t="s">
        <v>102</v>
      </c>
      <c r="X148" s="48" t="s">
        <v>126</v>
      </c>
      <c r="Y148" s="48" t="s">
        <v>127</v>
      </c>
      <c r="Z148" s="48" t="s">
        <v>128</v>
      </c>
      <c r="AA148" s="48" t="s">
        <v>129</v>
      </c>
      <c r="AB148" s="48" t="s">
        <v>130</v>
      </c>
      <c r="AC148" s="48" t="s">
        <v>131</v>
      </c>
      <c r="AD148" s="48" t="s">
        <v>132</v>
      </c>
      <c r="AE148" s="48" t="s">
        <v>133</v>
      </c>
    </row>
    <row r="149" spans="21:32" ht="20.100000000000001" customHeight="1" x14ac:dyDescent="0.25">
      <c r="U149" s="49" t="str">
        <f t="shared" ref="U149:U160" si="3">U133</f>
        <v>January</v>
      </c>
      <c r="V149" s="49" cm="1">
        <f t="array" aca="1" ref="V149" ca="1">EntericMethane_PastureBeef_Equations.VEERG_3_2_1_1__1_TotalAnnualMethaneFromEntericFermentation(V133,V97,V117)</f>
        <v>0.4586136012616317</v>
      </c>
      <c r="W149" s="49" cm="1">
        <f t="array" aca="1" ref="W149" ca="1">EntericMethane_PastureBeef_Equations.VEERG_3_2_1_1__1_TotalAnnualMethaneFromEntericFermentation(W133,W97,W117)</f>
        <v>0.60679113521101213</v>
      </c>
      <c r="X149" s="49" cm="1">
        <f t="array" aca="1" ref="X149" ca="1">EntericMethane_PastureBeef_Equations.VEERG_3_2_1_1__1_TotalAnnualMethaneFromEntericFermentation(X133,X97,X117)</f>
        <v>0.38568368207519993</v>
      </c>
      <c r="Y149" s="49" cm="1">
        <f t="array" aca="1" ref="Y149" ca="1">EntericMethane_PastureBeef_Equations.VEERG_3_2_1_1__1_TotalAnnualMethaneFromEntericFermentation(Y133,Y97,Y117)</f>
        <v>0.5050531744094251</v>
      </c>
      <c r="Z149" s="49" cm="1">
        <f t="array" aca="1" ref="Z149" ca="1">EntericMethane_PastureBeef_Equations.VEERG_3_2_1_1__1_TotalAnnualMethaneFromEntericFermentation(Z133,Z97,Z117)</f>
        <v>0.50006444018011187</v>
      </c>
      <c r="AA149" s="49" cm="1">
        <f t="array" aca="1" ref="AA149" ca="1">EntericMethane_PastureBeef_Equations.VEERG_3_2_1_1__1_TotalAnnualMethaneFromEntericFermentation(AA133,AA97,AA117)</f>
        <v>0.50006444018011187</v>
      </c>
      <c r="AB149" s="49" cm="1">
        <f t="array" aca="1" ref="AB149" ca="1">EntericMethane_PastureBeef_Equations.VEERG_3_2_1_1__1_TotalAnnualMethaneFromEntericFermentation(AB133,AB97,AB117)</f>
        <v>0.422728915885632</v>
      </c>
      <c r="AC149" s="49" cm="1">
        <f t="array" aca="1" ref="AC149" ca="1">EntericMethane_PastureBeef_Equations.VEERG_3_2_1_1__1_TotalAnnualMethaneFromEntericFermentation(AC133,AC97,AC117)</f>
        <v>0.47120481705053707</v>
      </c>
      <c r="AD149" s="49" cm="1">
        <f t="array" aca="1" ref="AD149" ca="1">EntericMethane_PastureBeef_Equations.VEERG_3_2_1_1__1_TotalAnnualMethaneFromEntericFermentation(AD133,AD97,AD117)</f>
        <v>0.47120481705053707</v>
      </c>
      <c r="AE149" s="49" cm="1">
        <f t="array" aca="1" ref="AE149" ca="1">EntericMethane_PastureBeef_Equations.VEERG_3_2_1_1__1_TotalAnnualMethaneFromEntericFermentation(AE133,AE97,AE117)</f>
        <v>0.47120481705053707</v>
      </c>
      <c r="AF149" s="2" t="str">
        <f>$E$98</f>
        <v>t CH4</v>
      </c>
    </row>
    <row r="150" spans="21:32" ht="20.100000000000001" customHeight="1" x14ac:dyDescent="0.25">
      <c r="U150" s="49" t="str">
        <f t="shared" si="3"/>
        <v>February</v>
      </c>
      <c r="V150" s="49" cm="1">
        <f t="array" aca="1" ref="V150" ca="1">EntericMethane_PastureBeef_Equations.VEERG_3_2_1_1__1_TotalAnnualMethaneFromEntericFermentation(V134,V98,V118)</f>
        <v>0.42902562698668767</v>
      </c>
      <c r="W150" s="49" cm="1">
        <f t="array" aca="1" ref="W150" ca="1">EntericMethane_PastureBeef_Equations.VEERG_3_2_1_1__1_TotalAnnualMethaneFromEntericFermentation(W134,W98,W118)</f>
        <v>0.56764332003610807</v>
      </c>
      <c r="X150" s="49" cm="1">
        <f t="array" aca="1" ref="X150" ca="1">EntericMethane_PastureBeef_Equations.VEERG_3_2_1_1__1_TotalAnnualMethaneFromEntericFermentation(X134,X98,X118)</f>
        <v>0.36080086387679988</v>
      </c>
      <c r="Y150" s="49" cm="1">
        <f t="array" aca="1" ref="Y150" ca="1">EntericMethane_PastureBeef_Equations.VEERG_3_2_1_1__1_TotalAnnualMethaneFromEntericFermentation(Y134,Y98,Y118)</f>
        <v>0.47246909864107506</v>
      </c>
      <c r="Z150" s="49" cm="1">
        <f t="array" aca="1" ref="Z150" ca="1">EntericMethane_PastureBeef_Equations.VEERG_3_2_1_1__1_TotalAnnualMethaneFromEntericFermentation(Z134,Z98,Z118)</f>
        <v>0.46780221823300788</v>
      </c>
      <c r="AA150" s="49" cm="1">
        <f t="array" aca="1" ref="AA150" ca="1">EntericMethane_PastureBeef_Equations.VEERG_3_2_1_1__1_TotalAnnualMethaneFromEntericFermentation(AA134,AA98,AA118)</f>
        <v>0.46780221823300788</v>
      </c>
      <c r="AB150" s="49" cm="1">
        <f t="array" aca="1" ref="AB150" ca="1">EntericMethane_PastureBeef_Equations.VEERG_3_2_1_1__1_TotalAnnualMethaneFromEntericFermentation(AB134,AB98,AB118)</f>
        <v>0.39545608260268794</v>
      </c>
      <c r="AC150" s="49" cm="1">
        <f t="array" aca="1" ref="AC150" ca="1">EntericMethane_PastureBeef_Equations.VEERG_3_2_1_1__1_TotalAnnualMethaneFromEntericFermentation(AC134,AC98,AC118)</f>
        <v>0.4408045062730831</v>
      </c>
      <c r="AD150" s="49" cm="1">
        <f t="array" aca="1" ref="AD150" ca="1">EntericMethane_PastureBeef_Equations.VEERG_3_2_1_1__1_TotalAnnualMethaneFromEntericFermentation(AD134,AD98,AD118)</f>
        <v>0.4408045062730831</v>
      </c>
      <c r="AE150" s="49" cm="1">
        <f t="array" aca="1" ref="AE150" ca="1">EntericMethane_PastureBeef_Equations.VEERG_3_2_1_1__1_TotalAnnualMethaneFromEntericFermentation(AE134,AE98,AE118)</f>
        <v>0.4408045062730831</v>
      </c>
      <c r="AF150" s="2"/>
    </row>
    <row r="151" spans="21:32" ht="20.100000000000001" customHeight="1" x14ac:dyDescent="0.25">
      <c r="U151" s="49" t="str">
        <f t="shared" si="3"/>
        <v>March</v>
      </c>
      <c r="V151" s="49" cm="1">
        <f t="array" aca="1" ref="V151" ca="1">EntericMethane_PastureBeef_Equations.VEERG_3_2_1_1__1_TotalAnnualMethaneFromEntericFermentation(V135,V99,V119)</f>
        <v>0.20837308068000002</v>
      </c>
      <c r="W151" s="49" cm="1">
        <f t="array" aca="1" ref="W151" ca="1">EntericMethane_PastureBeef_Equations.VEERG_3_2_1_1__1_TotalAnnualMethaneFromEntericFermentation(W135,W99,W119)</f>
        <v>0.60478007295067204</v>
      </c>
      <c r="X151" s="49" cm="1">
        <f t="array" aca="1" ref="X151" ca="1">EntericMethane_PastureBeef_Equations.VEERG_3_2_1_1__1_TotalAnnualMethaneFromEntericFermentation(X135,X99,X119)</f>
        <v>0.18996416521171203</v>
      </c>
      <c r="Y151" s="49" cm="1">
        <f t="array" aca="1" ref="Y151" ca="1">EntericMethane_PastureBeef_Equations.VEERG_3_2_1_1__1_TotalAnnualMethaneFromEntericFermentation(Y135,Y99,Y119)</f>
        <v>0.38231186811613199</v>
      </c>
      <c r="Z151" s="49" cm="1">
        <f t="array" aca="1" ref="Z151" ca="1">EntericMethane_PastureBeef_Equations.VEERG_3_2_1_1__1_TotalAnnualMethaneFromEntericFermentation(Z135,Z99,Z119)</f>
        <v>0.431093896244577</v>
      </c>
      <c r="AA151" s="49" cm="1">
        <f t="array" aca="1" ref="AA151" ca="1">EntericMethane_PastureBeef_Equations.VEERG_3_2_1_1__1_TotalAnnualMethaneFromEntericFermentation(AA135,AA99,AA119)</f>
        <v>0.431093896244577</v>
      </c>
      <c r="AB151" s="49" cm="1">
        <f t="array" aca="1" ref="AB151" ca="1">EntericMethane_PastureBeef_Equations.VEERG_3_2_1_1__1_TotalAnnualMethaneFromEntericFermentation(AB135,AB99,AB119)</f>
        <v>0.20837308068000002</v>
      </c>
      <c r="AC151" s="49" cm="1">
        <f t="array" aca="1" ref="AC151" ca="1">EntericMethane_PastureBeef_Equations.VEERG_3_2_1_1__1_TotalAnnualMethaneFromEntericFermentation(AC135,AC99,AC119)</f>
        <v>0.37830642176347212</v>
      </c>
      <c r="AD151" s="49" cm="1">
        <f t="array" aca="1" ref="AD151" ca="1">EntericMethane_PastureBeef_Equations.VEERG_3_2_1_1__1_TotalAnnualMethaneFromEntericFermentation(AD135,AD99,AD119)</f>
        <v>0.37830642176347212</v>
      </c>
      <c r="AE151" s="49" cm="1">
        <f t="array" aca="1" ref="AE151" ca="1">EntericMethane_PastureBeef_Equations.VEERG_3_2_1_1__1_TotalAnnualMethaneFromEntericFermentation(AE135,AE99,AE119)</f>
        <v>0.37830642176347212</v>
      </c>
      <c r="AF151" s="2"/>
    </row>
    <row r="152" spans="21:32" ht="20.100000000000001" customHeight="1" x14ac:dyDescent="0.25">
      <c r="U152" s="49" t="str">
        <f t="shared" si="3"/>
        <v>April</v>
      </c>
      <c r="V152" s="49" cm="1">
        <f t="array" aca="1" ref="V152" ca="1">EntericMethane_PastureBeef_Equations.VEERG_3_2_1_1__1_TotalAnnualMethaneFromEntericFermentation(V136,V100,V120)</f>
        <v>0.2016513684</v>
      </c>
      <c r="W152" s="49" cm="1">
        <f t="array" aca="1" ref="W152" ca="1">EntericMethane_PastureBeef_Equations.VEERG_3_2_1_1__1_TotalAnnualMethaneFromEntericFermentation(W136,W100,W120)</f>
        <v>0.58527103833936001</v>
      </c>
      <c r="X152" s="49" cm="1">
        <f t="array" aca="1" ref="X152" ca="1">EntericMethane_PastureBeef_Equations.VEERG_3_2_1_1__1_TotalAnnualMethaneFromEntericFermentation(X136,X100,X120)</f>
        <v>0.18383628891456003</v>
      </c>
      <c r="Y152" s="49" cm="1">
        <f t="array" aca="1" ref="Y152" ca="1">EntericMethane_PastureBeef_Equations.VEERG_3_2_1_1__1_TotalAnnualMethaneFromEntericFermentation(Y136,Y100,Y120)</f>
        <v>0.36997922720915993</v>
      </c>
      <c r="Z152" s="49" cm="1">
        <f t="array" aca="1" ref="Z152" ca="1">EntericMethane_PastureBeef_Equations.VEERG_3_2_1_1__1_TotalAnnualMethaneFromEntericFermentation(Z136,Z100,Z120)</f>
        <v>0.41718764152700993</v>
      </c>
      <c r="AA152" s="49" cm="1">
        <f t="array" aca="1" ref="AA152" ca="1">EntericMethane_PastureBeef_Equations.VEERG_3_2_1_1__1_TotalAnnualMethaneFromEntericFermentation(AA136,AA100,AA120)</f>
        <v>0.41718764152700993</v>
      </c>
      <c r="AB152" s="49" cm="1">
        <f t="array" aca="1" ref="AB152" ca="1">EntericMethane_PastureBeef_Equations.VEERG_3_2_1_1__1_TotalAnnualMethaneFromEntericFermentation(AB136,AB100,AB120)</f>
        <v>0.2016513684</v>
      </c>
      <c r="AC152" s="49" cm="1">
        <f t="array" aca="1" ref="AC152" ca="1">EntericMethane_PastureBeef_Equations.VEERG_3_2_1_1__1_TotalAnnualMethaneFromEntericFermentation(AC136,AC100,AC120)</f>
        <v>0.36610298880336012</v>
      </c>
      <c r="AD152" s="49" cm="1">
        <f t="array" aca="1" ref="AD152" ca="1">EntericMethane_PastureBeef_Equations.VEERG_3_2_1_1__1_TotalAnnualMethaneFromEntericFermentation(AD136,AD100,AD120)</f>
        <v>0.36610298880336012</v>
      </c>
      <c r="AE152" s="49" cm="1">
        <f t="array" aca="1" ref="AE152" ca="1">EntericMethane_PastureBeef_Equations.VEERG_3_2_1_1__1_TotalAnnualMethaneFromEntericFermentation(AE136,AE100,AE120)</f>
        <v>0.36610298880336012</v>
      </c>
      <c r="AF152" s="2"/>
    </row>
    <row r="153" spans="21:32" ht="20.100000000000001" customHeight="1" x14ac:dyDescent="0.25">
      <c r="U153" s="49" t="str">
        <f t="shared" si="3"/>
        <v>May</v>
      </c>
      <c r="V153" s="49" cm="1">
        <f t="array" aca="1" ref="V153" ca="1">EntericMethane_PastureBeef_Equations.VEERG_3_2_1_1__1_TotalAnnualMethaneFromEntericFermentation(V137,V101,V121)</f>
        <v>0.20837308068000002</v>
      </c>
      <c r="W153" s="49" cm="1">
        <f t="array" aca="1" ref="W153" ca="1">EntericMethane_PastureBeef_Equations.VEERG_3_2_1_1__1_TotalAnnualMethaneFromEntericFermentation(W137,W101,W121)</f>
        <v>0.60478007295067204</v>
      </c>
      <c r="X153" s="49" cm="1">
        <f t="array" aca="1" ref="X153" ca="1">EntericMethane_PastureBeef_Equations.VEERG_3_2_1_1__1_TotalAnnualMethaneFromEntericFermentation(X137,X101,X121)</f>
        <v>0.18996416521171203</v>
      </c>
      <c r="Y153" s="49" cm="1">
        <f t="array" aca="1" ref="Y153" ca="1">EntericMethane_PastureBeef_Equations.VEERG_3_2_1_1__1_TotalAnnualMethaneFromEntericFermentation(Y137,Y101,Y121)</f>
        <v>0.38231186811613199</v>
      </c>
      <c r="Z153" s="49" cm="1">
        <f t="array" aca="1" ref="Z153" ca="1">EntericMethane_PastureBeef_Equations.VEERG_3_2_1_1__1_TotalAnnualMethaneFromEntericFermentation(Z137,Z101,Z121)</f>
        <v>0.431093896244577</v>
      </c>
      <c r="AA153" s="49" cm="1">
        <f t="array" aca="1" ref="AA153" ca="1">EntericMethane_PastureBeef_Equations.VEERG_3_2_1_1__1_TotalAnnualMethaneFromEntericFermentation(AA137,AA101,AA121)</f>
        <v>0.431093896244577</v>
      </c>
      <c r="AB153" s="49" cm="1">
        <f t="array" aca="1" ref="AB153" ca="1">EntericMethane_PastureBeef_Equations.VEERG_3_2_1_1__1_TotalAnnualMethaneFromEntericFermentation(AB137,AB101,AB121)</f>
        <v>0.20837308068000002</v>
      </c>
      <c r="AC153" s="49" cm="1">
        <f t="array" aca="1" ref="AC153" ca="1">EntericMethane_PastureBeef_Equations.VEERG_3_2_1_1__1_TotalAnnualMethaneFromEntericFermentation(AC137,AC101,AC121)</f>
        <v>0.37830642176347212</v>
      </c>
      <c r="AD153" s="49" cm="1">
        <f t="array" aca="1" ref="AD153" ca="1">EntericMethane_PastureBeef_Equations.VEERG_3_2_1_1__1_TotalAnnualMethaneFromEntericFermentation(AD137,AD101,AD121)</f>
        <v>0.37830642176347212</v>
      </c>
      <c r="AE153" s="49" cm="1">
        <f t="array" aca="1" ref="AE153" ca="1">EntericMethane_PastureBeef_Equations.VEERG_3_2_1_1__1_TotalAnnualMethaneFromEntericFermentation(AE137,AE101,AE121)</f>
        <v>0.37830642176347212</v>
      </c>
      <c r="AF153" s="2"/>
    </row>
    <row r="154" spans="21:32" ht="20.100000000000001" customHeight="1" x14ac:dyDescent="0.25">
      <c r="U154" s="49" t="str">
        <f t="shared" si="3"/>
        <v>June</v>
      </c>
      <c r="V154" s="49" cm="1">
        <f t="array" aca="1" ref="V154" ca="1">EntericMethane_PastureBeef_Equations.VEERG_3_2_1_1__1_TotalAnnualMethaneFromEntericFermentation(V138,V102,V122)</f>
        <v>0.31875296878700998</v>
      </c>
      <c r="W154" s="49" cm="1">
        <f t="array" aca="1" ref="W154" ca="1">EntericMethane_PastureBeef_Equations.VEERG_3_2_1_1__1_TotalAnnualMethaneFromEntericFermentation(W138,W102,W122)</f>
        <v>0.61943873706899988</v>
      </c>
      <c r="X154" s="49" cm="1">
        <f t="array" aca="1" ref="X154" ca="1">EntericMethane_PastureBeef_Equations.VEERG_3_2_1_1__1_TotalAnnualMethaneFromEntericFermentation(X138,X102,X122)</f>
        <v>0.26098798065525008</v>
      </c>
      <c r="Y154" s="49" cm="1">
        <f t="array" aca="1" ref="Y154" ca="1">EntericMethane_PastureBeef_Equations.VEERG_3_2_1_1__1_TotalAnnualMethaneFromEntericFermentation(Y138,Y102,Y122)</f>
        <v>0.36811717389261017</v>
      </c>
      <c r="Z154" s="49" cm="1">
        <f t="array" aca="1" ref="Z154" ca="1">EntericMethane_PastureBeef_Equations.VEERG_3_2_1_1__1_TotalAnnualMethaneFromEntericFermentation(Z138,Z102,Z122)</f>
        <v>0.49384053756620999</v>
      </c>
      <c r="AA154" s="49" cm="1">
        <f t="array" aca="1" ref="AA154" ca="1">EntericMethane_PastureBeef_Equations.VEERG_3_2_1_1__1_TotalAnnualMethaneFromEntericFermentation(AA138,AA102,AA122)</f>
        <v>0.49384053756620999</v>
      </c>
      <c r="AB154" s="49" cm="1">
        <f t="array" aca="1" ref="AB154" ca="1">EntericMethane_PastureBeef_Equations.VEERG_3_2_1_1__1_TotalAnnualMethaneFromEntericFermentation(AB138,AB102,AB122)</f>
        <v>0.28021185050660996</v>
      </c>
      <c r="AC154" s="49" cm="1">
        <f t="array" aca="1" ref="AC154" ca="1">EntericMethane_PastureBeef_Equations.VEERG_3_2_1_1__1_TotalAnnualMethaneFromEntericFermentation(AC138,AC102,AC122)</f>
        <v>0.42661772732735997</v>
      </c>
      <c r="AD154" s="49" cm="1">
        <f t="array" aca="1" ref="AD154" ca="1">EntericMethane_PastureBeef_Equations.VEERG_3_2_1_1__1_TotalAnnualMethaneFromEntericFermentation(AD138,AD102,AD122)</f>
        <v>0.42661772732735997</v>
      </c>
      <c r="AE154" s="49" cm="1">
        <f t="array" aca="1" ref="AE154" ca="1">EntericMethane_PastureBeef_Equations.VEERG_3_2_1_1__1_TotalAnnualMethaneFromEntericFermentation(AE138,AE102,AE122)</f>
        <v>0.42661772732735997</v>
      </c>
      <c r="AF154" s="2"/>
    </row>
    <row r="155" spans="21:32" ht="20.100000000000001" customHeight="1" x14ac:dyDescent="0.25">
      <c r="U155" s="49" t="str">
        <f t="shared" si="3"/>
        <v>July</v>
      </c>
      <c r="V155" s="49" cm="1">
        <f t="array" aca="1" ref="V155" ca="1">EntericMethane_PastureBeef_Equations.VEERG_3_2_1_1__1_TotalAnnualMethaneFromEntericFermentation(V139,V103,V123)</f>
        <v>0.32937806774657702</v>
      </c>
      <c r="W155" s="49" cm="1">
        <f t="array" aca="1" ref="W155" ca="1">EntericMethane_PastureBeef_Equations.VEERG_3_2_1_1__1_TotalAnnualMethaneFromEntericFermentation(W139,W103,W123)</f>
        <v>0.64008669497129989</v>
      </c>
      <c r="X155" s="49" cm="1">
        <f t="array" aca="1" ref="X155" ca="1">EntericMethane_PastureBeef_Equations.VEERG_3_2_1_1__1_TotalAnnualMethaneFromEntericFermentation(X139,X103,X123)</f>
        <v>0.26968758001042503</v>
      </c>
      <c r="Y155" s="49" cm="1">
        <f t="array" aca="1" ref="Y155" ca="1">EntericMethane_PastureBeef_Equations.VEERG_3_2_1_1__1_TotalAnnualMethaneFromEntericFermentation(Y139,Y103,Y123)</f>
        <v>0.38038774635569711</v>
      </c>
      <c r="Z155" s="49" cm="1">
        <f t="array" aca="1" ref="Z155" ca="1">EntericMethane_PastureBeef_Equations.VEERG_3_2_1_1__1_TotalAnnualMethaneFromEntericFermentation(Z139,Z103,Z123)</f>
        <v>0.51030188881841698</v>
      </c>
      <c r="AA155" s="49" cm="1">
        <f t="array" aca="1" ref="AA155" ca="1">EntericMethane_PastureBeef_Equations.VEERG_3_2_1_1__1_TotalAnnualMethaneFromEntericFermentation(AA139,AA103,AA123)</f>
        <v>0.51030188881841698</v>
      </c>
      <c r="AB155" s="49" cm="1">
        <f t="array" aca="1" ref="AB155" ca="1">EntericMethane_PastureBeef_Equations.VEERG_3_2_1_1__1_TotalAnnualMethaneFromEntericFermentation(AB139,AB103,AB123)</f>
        <v>0.2895522455234969</v>
      </c>
      <c r="AC155" s="49" cm="1">
        <f t="array" aca="1" ref="AC155" ca="1">EntericMethane_PastureBeef_Equations.VEERG_3_2_1_1__1_TotalAnnualMethaneFromEntericFermentation(AC139,AC103,AC123)</f>
        <v>0.44083831823827196</v>
      </c>
      <c r="AD155" s="49" cm="1">
        <f t="array" aca="1" ref="AD155" ca="1">EntericMethane_PastureBeef_Equations.VEERG_3_2_1_1__1_TotalAnnualMethaneFromEntericFermentation(AD139,AD103,AD123)</f>
        <v>0.44083831823827196</v>
      </c>
      <c r="AE155" s="49" cm="1">
        <f t="array" aca="1" ref="AE155" ca="1">EntericMethane_PastureBeef_Equations.VEERG_3_2_1_1__1_TotalAnnualMethaneFromEntericFermentation(AE139,AE103,AE123)</f>
        <v>0.44083831823827196</v>
      </c>
      <c r="AF155" s="2"/>
    </row>
    <row r="156" spans="21:32" ht="20.100000000000001" customHeight="1" x14ac:dyDescent="0.25">
      <c r="U156" s="49" t="str">
        <f t="shared" si="3"/>
        <v>August</v>
      </c>
      <c r="V156" s="49" cm="1">
        <f t="array" aca="1" ref="V156" ca="1">EntericMethane_PastureBeef_Equations.VEERG_3_2_1_1__1_TotalAnnualMethaneFromEntericFermentation(V140,V104,V124)</f>
        <v>0.32937806774657702</v>
      </c>
      <c r="W156" s="49" cm="1">
        <f t="array" aca="1" ref="W156" ca="1">EntericMethane_PastureBeef_Equations.VEERG_3_2_1_1__1_TotalAnnualMethaneFromEntericFermentation(W140,W104,W124)</f>
        <v>0.64008669497129989</v>
      </c>
      <c r="X156" s="49" cm="1">
        <f t="array" aca="1" ref="X156" ca="1">EntericMethane_PastureBeef_Equations.VEERG_3_2_1_1__1_TotalAnnualMethaneFromEntericFermentation(X140,X104,X124)</f>
        <v>0.26968758001042503</v>
      </c>
      <c r="Y156" s="49" cm="1">
        <f t="array" aca="1" ref="Y156" ca="1">EntericMethane_PastureBeef_Equations.VEERG_3_2_1_1__1_TotalAnnualMethaneFromEntericFermentation(Y140,Y104,Y124)</f>
        <v>5196.7813131622643</v>
      </c>
      <c r="Z156" s="49" cm="1">
        <f t="array" aca="1" ref="Z156" ca="1">EntericMethane_PastureBeef_Equations.VEERG_3_2_1_1__1_TotalAnnualMethaneFromEntericFermentation(Z140,Z104,Z124)</f>
        <v>0.51030188881841698</v>
      </c>
      <c r="AA156" s="49" cm="1">
        <f t="array" aca="1" ref="AA156" ca="1">EntericMethane_PastureBeef_Equations.VEERG_3_2_1_1__1_TotalAnnualMethaneFromEntericFermentation(AA140,AA104,AA124)</f>
        <v>0.51030188881841698</v>
      </c>
      <c r="AB156" s="49" cm="1">
        <f t="array" aca="1" ref="AB156" ca="1">EntericMethane_PastureBeef_Equations.VEERG_3_2_1_1__1_TotalAnnualMethaneFromEntericFermentation(AB140,AB104,AB124)</f>
        <v>0.2895522455234969</v>
      </c>
      <c r="AC156" s="49" cm="1">
        <f t="array" aca="1" ref="AC156" ca="1">EntericMethane_PastureBeef_Equations.VEERG_3_2_1_1__1_TotalAnnualMethaneFromEntericFermentation(AC140,AC104,AC124)</f>
        <v>0.44083831823827196</v>
      </c>
      <c r="AD156" s="49" cm="1">
        <f t="array" aca="1" ref="AD156" ca="1">EntericMethane_PastureBeef_Equations.VEERG_3_2_1_1__1_TotalAnnualMethaneFromEntericFermentation(AD140,AD104,AD124)</f>
        <v>0.44083831823827196</v>
      </c>
      <c r="AE156" s="49" cm="1">
        <f t="array" aca="1" ref="AE156" ca="1">EntericMethane_PastureBeef_Equations.VEERG_3_2_1_1__1_TotalAnnualMethaneFromEntericFermentation(AE140,AE104,AE124)</f>
        <v>0.44083831823827196</v>
      </c>
      <c r="AF156" s="2"/>
    </row>
    <row r="157" spans="21:32" ht="20.100000000000001" customHeight="1" x14ac:dyDescent="0.25">
      <c r="U157" s="49" t="str">
        <f t="shared" si="3"/>
        <v>September</v>
      </c>
      <c r="V157" s="49" cm="1">
        <f t="array" aca="1" ref="V157" ca="1">EntericMethane_PastureBeef_Equations.VEERG_3_2_1_1__1_TotalAnnualMethaneFromEntericFermentation(V141,V105,V125)</f>
        <v>0.53846318370816004</v>
      </c>
      <c r="W157" s="49" cm="1">
        <f t="array" aca="1" ref="W157" ca="1">EntericMethane_PastureBeef_Equations.VEERG_3_2_1_1__1_TotalAnnualMethaneFromEntericFermentation(W141,W105,W125)</f>
        <v>0.76050766552500015</v>
      </c>
      <c r="X157" s="49" cm="1">
        <f t="array" aca="1" ref="X157" ca="1">EntericMethane_PastureBeef_Equations.VEERG_3_2_1_1__1_TotalAnnualMethaneFromEntericFermentation(X141,X105,X125)</f>
        <v>0.41041649201661007</v>
      </c>
      <c r="Y157" s="49" cm="1">
        <f t="array" aca="1" ref="Y157" ca="1">EntericMethane_PastureBeef_Equations.VEERG_3_2_1_1__1_TotalAnnualMethaneFromEntericFermentation(Y141,Y105,Y125)</f>
        <v>7358.2251265985842</v>
      </c>
      <c r="Z157" s="49" cm="1">
        <f t="array" aca="1" ref="Z157" ca="1">EntericMethane_PastureBeef_Equations.VEERG_3_2_1_1__1_TotalAnnualMethaneFromEntericFermentation(Z141,Z105,Z125)</f>
        <v>0.59809078587600006</v>
      </c>
      <c r="AA157" s="49" cm="1">
        <f t="array" aca="1" ref="AA157" ca="1">EntericMethane_PastureBeef_Equations.VEERG_3_2_1_1__1_TotalAnnualMethaneFromEntericFermentation(AA141,AA105,AA125)</f>
        <v>0.59809078587600006</v>
      </c>
      <c r="AB157" s="49" cm="1">
        <f t="array" aca="1" ref="AB157" ca="1">EntericMethane_PastureBeef_Equations.VEERG_3_2_1_1__1_TotalAnnualMethaneFromEntericFermentation(AB141,AB105,AB125)</f>
        <v>0.47315580318899986</v>
      </c>
      <c r="AC157" s="49" cm="1">
        <f t="array" aca="1" ref="AC157" ca="1">EntericMethane_PastureBeef_Equations.VEERG_3_2_1_1__1_TotalAnnualMethaneFromEntericFermentation(AC141,AC105,AC125)</f>
        <v>0.60127877604275992</v>
      </c>
      <c r="AD157" s="49" cm="1">
        <f t="array" aca="1" ref="AD157" ca="1">EntericMethane_PastureBeef_Equations.VEERG_3_2_1_1__1_TotalAnnualMethaneFromEntericFermentation(AD141,AD105,AD125)</f>
        <v>0.60127877604275992</v>
      </c>
      <c r="AE157" s="49" cm="1">
        <f t="array" aca="1" ref="AE157" ca="1">EntericMethane_PastureBeef_Equations.VEERG_3_2_1_1__1_TotalAnnualMethaneFromEntericFermentation(AE141,AE105,AE125)</f>
        <v>0.60127877604275992</v>
      </c>
      <c r="AF157" s="2"/>
    </row>
    <row r="158" spans="21:32" ht="20.100000000000001" customHeight="1" x14ac:dyDescent="0.25">
      <c r="U158" s="49" t="str">
        <f t="shared" si="3"/>
        <v>October</v>
      </c>
      <c r="V158" s="49" cm="1">
        <f t="array" aca="1" ref="V158" ca="1">EntericMethane_PastureBeef_Equations.VEERG_3_2_1_1__1_TotalAnnualMethaneFromEntericFermentation(V142,V106,V126)</f>
        <v>0.556411956498432</v>
      </c>
      <c r="W158" s="49" cm="1">
        <f t="array" aca="1" ref="W158" ca="1">EntericMethane_PastureBeef_Equations.VEERG_3_2_1_1__1_TotalAnnualMethaneFromEntericFermentation(W142,W106,W126)</f>
        <v>0.78585792104250007</v>
      </c>
      <c r="X158" s="49" cm="1">
        <f t="array" aca="1" ref="X158" ca="1">EntericMethane_PastureBeef_Equations.VEERG_3_2_1_1__1_TotalAnnualMethaneFromEntericFermentation(X142,X106,X126)</f>
        <v>0.42409704175049701</v>
      </c>
      <c r="Y158" s="49" cm="1">
        <f t="array" aca="1" ref="Y158" ca="1">EntericMethane_PastureBeef_Equations.VEERG_3_2_1_1__1_TotalAnnualMethaneFromEntericFermentation(Y142,Y106,Y126)</f>
        <v>7603.4992974852057</v>
      </c>
      <c r="Z158" s="49" cm="1">
        <f t="array" aca="1" ref="Z158" ca="1">EntericMethane_PastureBeef_Equations.VEERG_3_2_1_1__1_TotalAnnualMethaneFromEntericFermentation(Z142,Z106,Z126)</f>
        <v>0.6180271454052001</v>
      </c>
      <c r="AA158" s="49" cm="1">
        <f t="array" aca="1" ref="AA158" ca="1">EntericMethane_PastureBeef_Equations.VEERG_3_2_1_1__1_TotalAnnualMethaneFromEntericFermentation(AA142,AA106,AA126)</f>
        <v>0.6180271454052001</v>
      </c>
      <c r="AB158" s="49" cm="1">
        <f t="array" aca="1" ref="AB158" ca="1">EntericMethane_PastureBeef_Equations.VEERG_3_2_1_1__1_TotalAnnualMethaneFromEntericFermentation(AB142,AB106,AB126)</f>
        <v>0.4889276632952998</v>
      </c>
      <c r="AC158" s="49" cm="1">
        <f t="array" aca="1" ref="AC158" ca="1">EntericMethane_PastureBeef_Equations.VEERG_3_2_1_1__1_TotalAnnualMethaneFromEntericFermentation(AC142,AC106,AC126)</f>
        <v>0.62132140191085194</v>
      </c>
      <c r="AD158" s="49" cm="1">
        <f t="array" aca="1" ref="AD158" ca="1">EntericMethane_PastureBeef_Equations.VEERG_3_2_1_1__1_TotalAnnualMethaneFromEntericFermentation(AD142,AD106,AD126)</f>
        <v>0.62132140191085194</v>
      </c>
      <c r="AE158" s="49" cm="1">
        <f t="array" aca="1" ref="AE158" ca="1">EntericMethane_PastureBeef_Equations.VEERG_3_2_1_1__1_TotalAnnualMethaneFromEntericFermentation(AE142,AE106,AE126)</f>
        <v>0.62132140191085194</v>
      </c>
      <c r="AF158" s="2"/>
    </row>
    <row r="159" spans="21:32" ht="20.100000000000001" customHeight="1" x14ac:dyDescent="0.25">
      <c r="U159" s="49" t="str">
        <f t="shared" si="3"/>
        <v>November</v>
      </c>
      <c r="V159" s="49" cm="1">
        <f t="array" aca="1" ref="V159" ca="1">EntericMethane_PastureBeef_Equations.VEERG_3_2_1_1__1_TotalAnnualMethaneFromEntericFermentation(V143,V107,V127)</f>
        <v>0.53846318370816004</v>
      </c>
      <c r="W159" s="49" cm="1">
        <f t="array" aca="1" ref="W159" ca="1">EntericMethane_PastureBeef_Equations.VEERG_3_2_1_1__1_TotalAnnualMethaneFromEntericFermentation(W143,W107,W127)</f>
        <v>0.76050766552500015</v>
      </c>
      <c r="X159" s="49" cm="1">
        <f t="array" aca="1" ref="X159" ca="1">EntericMethane_PastureBeef_Equations.VEERG_3_2_1_1__1_TotalAnnualMethaneFromEntericFermentation(X143,X107,X127)</f>
        <v>0.41041649201661007</v>
      </c>
      <c r="Y159" s="49" cm="1">
        <f t="array" aca="1" ref="Y159" ca="1">EntericMethane_PastureBeef_Equations.VEERG_3_2_1_1__1_TotalAnnualMethaneFromEntericFermentation(Y143,Y107,Y127)</f>
        <v>2453.1007745396619</v>
      </c>
      <c r="Z159" s="49" cm="1">
        <f t="array" aca="1" ref="Z159" ca="1">EntericMethane_PastureBeef_Equations.VEERG_3_2_1_1__1_TotalAnnualMethaneFromEntericFermentation(Z143,Z107,Z127)</f>
        <v>0.59809078587600006</v>
      </c>
      <c r="AA159" s="49" cm="1">
        <f t="array" aca="1" ref="AA159" ca="1">EntericMethane_PastureBeef_Equations.VEERG_3_2_1_1__1_TotalAnnualMethaneFromEntericFermentation(AA143,AA107,AA127)</f>
        <v>0.59809078587600006</v>
      </c>
      <c r="AB159" s="49" cm="1">
        <f t="array" aca="1" ref="AB159" ca="1">EntericMethane_PastureBeef_Equations.VEERG_3_2_1_1__1_TotalAnnualMethaneFromEntericFermentation(AB143,AB107,AB127)</f>
        <v>0.47315580318899986</v>
      </c>
      <c r="AC159" s="49" cm="1">
        <f t="array" aca="1" ref="AC159" ca="1">EntericMethane_PastureBeef_Equations.VEERG_3_2_1_1__1_TotalAnnualMethaneFromEntericFermentation(AC143,AC107,AC127)</f>
        <v>0.60127877604275992</v>
      </c>
      <c r="AD159" s="49" cm="1">
        <f t="array" aca="1" ref="AD159" ca="1">EntericMethane_PastureBeef_Equations.VEERG_3_2_1_1__1_TotalAnnualMethaneFromEntericFermentation(AD143,AD107,AD127)</f>
        <v>0.60127877604275992</v>
      </c>
      <c r="AE159" s="49" cm="1">
        <f t="array" aca="1" ref="AE159" ca="1">EntericMethane_PastureBeef_Equations.VEERG_3_2_1_1__1_TotalAnnualMethaneFromEntericFermentation(AE143,AE107,AE127)</f>
        <v>0.60127877604275992</v>
      </c>
      <c r="AF159" s="2"/>
    </row>
    <row r="160" spans="21:32" ht="20.100000000000001" customHeight="1" x14ac:dyDescent="0.25">
      <c r="U160" s="49" t="str">
        <f t="shared" si="3"/>
        <v>December</v>
      </c>
      <c r="V160" s="49" cm="1">
        <f t="array" aca="1" ref="V160" ca="1">EntericMethane_PastureBeef_Equations.VEERG_3_2_1_1__1_TotalAnnualMethaneFromEntericFermentation(V144,V108,V128)</f>
        <v>0.4586136012616317</v>
      </c>
      <c r="W160" s="49" cm="1">
        <f t="array" aca="1" ref="W160" ca="1">EntericMethane_PastureBeef_Equations.VEERG_3_2_1_1__1_TotalAnnualMethaneFromEntericFermentation(W144,W108,W128)</f>
        <v>0.60679113521101213</v>
      </c>
      <c r="X160" s="49" cm="1">
        <f t="array" aca="1" ref="X160" ca="1">EntericMethane_PastureBeef_Equations.VEERG_3_2_1_1__1_TotalAnnualMethaneFromEntericFermentation(X144,X108,X128)</f>
        <v>0.38568368207519993</v>
      </c>
      <c r="Y160" s="49" cm="1">
        <f t="array" aca="1" ref="Y160" ca="1">EntericMethane_PastureBeef_Equations.VEERG_3_2_1_1__1_TotalAnnualMethaneFromEntericFermentation(Y144,Y108,Y128)</f>
        <v>0.5050531744094251</v>
      </c>
      <c r="Z160" s="49" cm="1">
        <f t="array" aca="1" ref="Z160" ca="1">EntericMethane_PastureBeef_Equations.VEERG_3_2_1_1__1_TotalAnnualMethaneFromEntericFermentation(Z144,Z108,Z128)</f>
        <v>0.50006444018011187</v>
      </c>
      <c r="AA160" s="49" cm="1">
        <f t="array" aca="1" ref="AA160" ca="1">EntericMethane_PastureBeef_Equations.VEERG_3_2_1_1__1_TotalAnnualMethaneFromEntericFermentation(AA144,AA108,AA128)</f>
        <v>0.50006444018011187</v>
      </c>
      <c r="AB160" s="49" cm="1">
        <f t="array" aca="1" ref="AB160" ca="1">EntericMethane_PastureBeef_Equations.VEERG_3_2_1_1__1_TotalAnnualMethaneFromEntericFermentation(AB144,AB108,AB128)</f>
        <v>0.422728915885632</v>
      </c>
      <c r="AC160" s="49" cm="1">
        <f t="array" aca="1" ref="AC160" ca="1">EntericMethane_PastureBeef_Equations.VEERG_3_2_1_1__1_TotalAnnualMethaneFromEntericFermentation(AC144,AC108,AC128)</f>
        <v>0.47120481705053707</v>
      </c>
      <c r="AD160" s="49" cm="1">
        <f t="array" aca="1" ref="AD160" ca="1">EntericMethane_PastureBeef_Equations.VEERG_3_2_1_1__1_TotalAnnualMethaneFromEntericFermentation(AD144,AD108,AD128)</f>
        <v>0.47120481705053707</v>
      </c>
      <c r="AE160" s="49" cm="1">
        <f t="array" aca="1" ref="AE160" ca="1">EntericMethane_PastureBeef_Equations.VEERG_3_2_1_1__1_TotalAnnualMethaneFromEntericFermentation(AE144,AE108,AE128)</f>
        <v>0.47120481705053707</v>
      </c>
      <c r="AF160" s="2"/>
    </row>
    <row r="161" spans="21:24" ht="20.100000000000001" customHeight="1" x14ac:dyDescent="0.25"/>
    <row r="162" spans="21:24" ht="20.100000000000001" customHeight="1" x14ac:dyDescent="0.25">
      <c r="U162" s="93" t="s">
        <v>231</v>
      </c>
      <c r="V162" s="94">
        <f ca="1">SUM(V149:AE160)</f>
        <v>22664.29155712877</v>
      </c>
      <c r="W162" s="95" t="str">
        <f>$E$98</f>
        <v>t CH4</v>
      </c>
    </row>
    <row r="163" spans="21:24" ht="20.100000000000001" customHeight="1" x14ac:dyDescent="0.25"/>
    <row r="164" spans="21:24" ht="20.100000000000001" customHeight="1" x14ac:dyDescent="0.25">
      <c r="U164" s="54" t="str" cm="1">
        <f t="array" ref="U164:V165">Common_Equations.Common_ConvertCH4ToCO2e_Arguments()</f>
        <v>ECH4</v>
      </c>
      <c r="V164" s="55" t="str">
        <v>Methane emissions (t CH4)</v>
      </c>
      <c r="W164" s="96"/>
      <c r="X164" s="49">
        <f ca="1">VEERG_3_2_1_1__1_TotalAnnualMethaneFromEntericFermentation_Result_Method2</f>
        <v>22664.29155712877</v>
      </c>
    </row>
    <row r="165" spans="21:24" ht="20.100000000000001" customHeight="1" x14ac:dyDescent="0.25">
      <c r="U165" s="54" t="str">
        <v>GWPCH4</v>
      </c>
      <c r="V165" s="55" t="str">
        <v>Global warming potential for methane (t CO2-e / t CH4)</v>
      </c>
      <c r="W165" s="96"/>
      <c r="X165" s="49">
        <f>Common_InputFunctions.Utility_LookupValueInTableNumber("CH4",Table_GWPData[Gas],Table_GWPData[CO2-e factor])</f>
        <v>28</v>
      </c>
    </row>
    <row r="166" spans="21:24" ht="20.100000000000001" customHeight="1" x14ac:dyDescent="0.25"/>
    <row r="167" spans="21:24" ht="20.100000000000001" customHeight="1" x14ac:dyDescent="0.25">
      <c r="U167" s="42" t="s">
        <v>82</v>
      </c>
      <c r="V167" s="42" cm="1">
        <f t="array" aca="1" ref="V167" ca="1">Common_Equations.Common_ConvertN2OToCO2e(X164,X165)</f>
        <v>634600.16359960556</v>
      </c>
      <c r="W167" s="97" t="str" cm="1">
        <f t="array" ref="W167">Common_Equations.Common_ConvertN2OToCO2e_Unit()</f>
        <v>t CO2e</v>
      </c>
    </row>
    <row r="168" spans="21:24" ht="20.100000000000001" customHeight="1" x14ac:dyDescent="0.25"/>
    <row r="169" spans="21:24" ht="20.100000000000001" customHeight="1" x14ac:dyDescent="0.25"/>
    <row r="170" spans="21:24" ht="20.100000000000001" customHeight="1" x14ac:dyDescent="0.25"/>
    <row r="171" spans="21:24" ht="20.100000000000001" customHeight="1" x14ac:dyDescent="0.25"/>
    <row r="172" spans="21:24" ht="20.100000000000001" customHeight="1" x14ac:dyDescent="0.25"/>
    <row r="173" spans="21:24" ht="20.100000000000001" customHeight="1" x14ac:dyDescent="0.25"/>
    <row r="174" spans="21:24" ht="20.100000000000001" customHeight="1" x14ac:dyDescent="0.25"/>
    <row r="175" spans="21:24" ht="20.100000000000001" customHeight="1" x14ac:dyDescent="0.25"/>
    <row r="176" spans="21:24" ht="20.100000000000001" customHeight="1" x14ac:dyDescent="0.25"/>
    <row r="177" spans="34:34" ht="20.100000000000001" customHeight="1" x14ac:dyDescent="0.25">
      <c r="AH177" s="2"/>
    </row>
    <row r="178" spans="34:34" ht="20.100000000000001" customHeight="1" x14ac:dyDescent="0.25"/>
    <row r="179" spans="34:34" ht="20.100000000000001" customHeight="1" x14ac:dyDescent="0.25"/>
    <row r="180" spans="34:34" ht="20.100000000000001" customHeight="1" x14ac:dyDescent="0.25"/>
    <row r="181" spans="34:34" ht="20.100000000000001" customHeight="1" x14ac:dyDescent="0.25"/>
    <row r="182" spans="34:34" ht="20.100000000000001" customHeight="1" x14ac:dyDescent="0.25"/>
    <row r="183" spans="34:34" ht="20.100000000000001" customHeight="1" x14ac:dyDescent="0.25"/>
    <row r="184" spans="34:34" ht="20.100000000000001" customHeight="1" x14ac:dyDescent="0.25"/>
    <row r="185" spans="34:34" ht="20.100000000000001" customHeight="1" x14ac:dyDescent="0.25"/>
    <row r="186" spans="34:34" ht="20.100000000000001" customHeight="1" x14ac:dyDescent="0.25"/>
    <row r="187" spans="34:34" ht="20.100000000000001" customHeight="1" x14ac:dyDescent="0.25"/>
    <row r="188" spans="34:34" ht="20.100000000000001" customHeight="1" x14ac:dyDescent="0.25"/>
    <row r="189" spans="34:34" ht="20.100000000000001" customHeight="1" x14ac:dyDescent="0.25"/>
    <row r="190" spans="34:34" ht="20.100000000000001" customHeight="1" x14ac:dyDescent="0.25"/>
    <row r="191" spans="34:34" ht="20.100000000000001" customHeight="1" x14ac:dyDescent="0.25"/>
    <row r="192" spans="34:34" ht="20.100000000000001" customHeight="1" x14ac:dyDescent="0.25"/>
    <row r="193" ht="20.100000000000001" customHeight="1" x14ac:dyDescent="0.25"/>
    <row r="194" ht="20.100000000000001" customHeight="1" x14ac:dyDescent="0.25"/>
    <row r="195" ht="20.100000000000001" customHeight="1" x14ac:dyDescent="0.25"/>
    <row r="196" ht="20.100000000000001" customHeight="1" x14ac:dyDescent="0.25"/>
    <row r="197" ht="20.100000000000001" customHeight="1" x14ac:dyDescent="0.25"/>
    <row r="198" ht="20.100000000000001" customHeight="1" x14ac:dyDescent="0.25"/>
    <row r="199" ht="20.100000000000001" customHeight="1" x14ac:dyDescent="0.25"/>
    <row r="200" ht="20.100000000000001" customHeight="1" x14ac:dyDescent="0.25"/>
    <row r="201" ht="20.100000000000001" customHeight="1" x14ac:dyDescent="0.25"/>
    <row r="202" ht="20.100000000000001" customHeight="1" x14ac:dyDescent="0.25"/>
    <row r="203" ht="20.100000000000001" customHeight="1" x14ac:dyDescent="0.25"/>
    <row r="204" ht="20.100000000000001" customHeight="1" x14ac:dyDescent="0.25"/>
    <row r="205" ht="20.100000000000001" customHeight="1" x14ac:dyDescent="0.25"/>
    <row r="206" ht="20.100000000000001" customHeight="1" x14ac:dyDescent="0.25"/>
    <row r="207" ht="20.100000000000001" customHeight="1" x14ac:dyDescent="0.25"/>
    <row r="208" ht="20.100000000000001" customHeight="1" x14ac:dyDescent="0.25"/>
    <row r="209" ht="20.100000000000001" customHeight="1" x14ac:dyDescent="0.25"/>
    <row r="210" ht="20.100000000000001" customHeight="1" x14ac:dyDescent="0.25"/>
    <row r="211" ht="20.100000000000001" customHeight="1" x14ac:dyDescent="0.25"/>
    <row r="212" ht="20.100000000000001" customHeight="1" x14ac:dyDescent="0.25"/>
    <row r="213" ht="20.100000000000001" customHeight="1" x14ac:dyDescent="0.25"/>
    <row r="214" ht="20.100000000000001" customHeight="1" x14ac:dyDescent="0.25"/>
    <row r="215" ht="20.100000000000001" customHeight="1" x14ac:dyDescent="0.25"/>
    <row r="216" ht="20.100000000000001" customHeight="1" x14ac:dyDescent="0.25"/>
    <row r="217" ht="20.100000000000001" customHeight="1" x14ac:dyDescent="0.25"/>
    <row r="218" ht="20.100000000000001" customHeight="1" x14ac:dyDescent="0.25"/>
    <row r="219" ht="20.100000000000001" customHeight="1" x14ac:dyDescent="0.25"/>
    <row r="220" ht="20.100000000000001" customHeight="1" x14ac:dyDescent="0.25"/>
    <row r="221" ht="20.100000000000001" customHeight="1" x14ac:dyDescent="0.25"/>
    <row r="222" ht="20.100000000000001" customHeight="1" x14ac:dyDescent="0.25"/>
    <row r="223" ht="20.100000000000001" customHeight="1" x14ac:dyDescent="0.25"/>
    <row r="224" ht="20.100000000000001" customHeight="1" x14ac:dyDescent="0.25"/>
    <row r="225" spans="17:17" ht="20.100000000000001" customHeight="1" x14ac:dyDescent="0.25"/>
    <row r="226" spans="17:17" ht="20.100000000000001" customHeight="1" x14ac:dyDescent="0.25"/>
    <row r="227" spans="17:17" ht="20.100000000000001" customHeight="1" x14ac:dyDescent="0.25"/>
    <row r="228" spans="17:17" ht="20.100000000000001" customHeight="1" x14ac:dyDescent="0.25"/>
    <row r="229" spans="17:17" ht="20.100000000000001" customHeight="1" x14ac:dyDescent="0.25"/>
    <row r="230" spans="17:17" ht="20.100000000000001" customHeight="1" x14ac:dyDescent="0.25"/>
    <row r="231" spans="17:17" ht="20.100000000000001" customHeight="1" x14ac:dyDescent="0.25"/>
    <row r="232" spans="17:17" ht="20.100000000000001" customHeight="1" x14ac:dyDescent="0.25"/>
    <row r="233" spans="17:17" ht="20.100000000000001" customHeight="1" x14ac:dyDescent="0.25"/>
    <row r="234" spans="17:17" ht="20.100000000000001" customHeight="1" x14ac:dyDescent="0.25"/>
    <row r="235" spans="17:17" ht="20.100000000000001" customHeight="1" x14ac:dyDescent="0.25">
      <c r="Q235" s="2"/>
    </row>
    <row r="236" spans="17:17" ht="20.100000000000001" customHeight="1" x14ac:dyDescent="0.25">
      <c r="Q236" s="2"/>
    </row>
    <row r="237" spans="17:17" ht="20.100000000000001" customHeight="1" x14ac:dyDescent="0.25">
      <c r="Q237" s="2"/>
    </row>
    <row r="238" spans="17:17" ht="20.100000000000001" customHeight="1" x14ac:dyDescent="0.25">
      <c r="Q238" s="2"/>
    </row>
    <row r="239" spans="17:17" ht="20.100000000000001" customHeight="1" x14ac:dyDescent="0.25">
      <c r="Q239" s="2"/>
    </row>
    <row r="240" spans="17:17" ht="20.100000000000001" customHeight="1" x14ac:dyDescent="0.25">
      <c r="Q240" s="2"/>
    </row>
    <row r="241" spans="17:34" ht="20.100000000000001" customHeight="1" x14ac:dyDescent="0.25">
      <c r="Q241" s="2"/>
    </row>
    <row r="242" spans="17:34" ht="20.100000000000001" customHeight="1" x14ac:dyDescent="0.25">
      <c r="Q242" s="2"/>
    </row>
    <row r="243" spans="17:34" ht="20.100000000000001" customHeight="1" x14ac:dyDescent="0.25"/>
    <row r="244" spans="17:34" ht="20.100000000000001" customHeight="1" x14ac:dyDescent="0.25"/>
    <row r="245" spans="17:34" ht="20.100000000000001" customHeight="1" x14ac:dyDescent="0.25"/>
    <row r="246" spans="17:34" ht="20.100000000000001" customHeight="1" x14ac:dyDescent="0.25"/>
    <row r="247" spans="17:34" ht="20.100000000000001" customHeight="1" x14ac:dyDescent="0.25"/>
    <row r="248" spans="17:34" ht="20.100000000000001" customHeight="1" x14ac:dyDescent="0.25"/>
    <row r="249" spans="17:34" ht="20.100000000000001" customHeight="1" x14ac:dyDescent="0.25"/>
    <row r="250" spans="17:34" ht="20.100000000000001" customHeight="1" x14ac:dyDescent="0.25"/>
    <row r="251" spans="17:34" ht="20.100000000000001" customHeight="1" x14ac:dyDescent="0.25">
      <c r="AH251" s="2"/>
    </row>
    <row r="252" spans="17:34" ht="20.100000000000001" customHeight="1" x14ac:dyDescent="0.25">
      <c r="AH252" s="2"/>
    </row>
    <row r="253" spans="17:34" ht="20.100000000000001" customHeight="1" x14ac:dyDescent="0.25">
      <c r="AH253" s="2"/>
    </row>
    <row r="254" spans="17:34" ht="20.100000000000001" customHeight="1" x14ac:dyDescent="0.25">
      <c r="AH254" s="2"/>
    </row>
    <row r="255" spans="17:34" ht="20.100000000000001" customHeight="1" x14ac:dyDescent="0.25">
      <c r="AH255" s="2"/>
    </row>
    <row r="256" spans="17:34" ht="20.100000000000001" customHeight="1" x14ac:dyDescent="0.25">
      <c r="AH256" s="2"/>
    </row>
    <row r="257" spans="34:34" ht="20.100000000000001" customHeight="1" x14ac:dyDescent="0.25">
      <c r="AH257" s="2"/>
    </row>
    <row r="258" spans="34:34" ht="20.100000000000001" customHeight="1" x14ac:dyDescent="0.25">
      <c r="AH258" s="2"/>
    </row>
    <row r="259" spans="34:34" ht="20.100000000000001" customHeight="1" x14ac:dyDescent="0.25">
      <c r="AH259" s="2"/>
    </row>
    <row r="260" spans="34:34" ht="20.100000000000001" customHeight="1" x14ac:dyDescent="0.25">
      <c r="AH260" s="2"/>
    </row>
    <row r="261" spans="34:34" ht="20.100000000000001" customHeight="1" x14ac:dyDescent="0.25">
      <c r="AH261" s="2"/>
    </row>
    <row r="262" spans="34:34" ht="20.100000000000001" customHeight="1" x14ac:dyDescent="0.25">
      <c r="AH262" s="2"/>
    </row>
    <row r="263" spans="34:34" ht="20.100000000000001" customHeight="1" x14ac:dyDescent="0.25">
      <c r="AH263" s="2"/>
    </row>
    <row r="264" spans="34:34" ht="20.100000000000001" customHeight="1" x14ac:dyDescent="0.25">
      <c r="AH264" s="2"/>
    </row>
    <row r="265" spans="34:34" ht="20.100000000000001" customHeight="1" x14ac:dyDescent="0.25">
      <c r="AH265" s="2"/>
    </row>
    <row r="266" spans="34:34" ht="20.100000000000001" customHeight="1" x14ac:dyDescent="0.25">
      <c r="AH266" s="2"/>
    </row>
    <row r="267" spans="34:34" ht="20.100000000000001" customHeight="1" x14ac:dyDescent="0.25">
      <c r="AH267" s="2"/>
    </row>
    <row r="268" spans="34:34" ht="20.100000000000001" customHeight="1" x14ac:dyDescent="0.25">
      <c r="AH268" s="2"/>
    </row>
    <row r="269" spans="34:34" ht="20.100000000000001" customHeight="1" x14ac:dyDescent="0.25">
      <c r="AH269" s="2"/>
    </row>
    <row r="270" spans="34:34" ht="20.100000000000001" customHeight="1" x14ac:dyDescent="0.25">
      <c r="AH270" s="2"/>
    </row>
    <row r="271" spans="34:34" ht="20.100000000000001" customHeight="1" x14ac:dyDescent="0.25">
      <c r="AH271" s="2"/>
    </row>
    <row r="272" spans="34:34" x14ac:dyDescent="0.25">
      <c r="AH272" s="2"/>
    </row>
    <row r="273" spans="34:34" x14ac:dyDescent="0.25">
      <c r="AH273" s="2"/>
    </row>
    <row r="274" spans="34:34" x14ac:dyDescent="0.25">
      <c r="AH274" s="2"/>
    </row>
  </sheetData>
  <dataValidations disablePrompts="1" count="1">
    <dataValidation operator="equal" allowBlank="1" showInputMessage="1" showErrorMessage="1" sqref="E255 D100:G100 E258 V111 D103:I103 F119:J119" xr:uid="{AF7BB680-B75F-4AE8-AA2D-EDF03FCB10D8}"/>
  </dataValidations>
  <pageMargins left="0.7" right="0.7" top="0.75" bottom="0.75" header="0.3" footer="0.3"/>
  <pageSetup paperSize="9" orientation="portrait" r:id="rId1"/>
  <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CD35FD-AE8E-4433-ACD5-994E77C39A89}">
  <dimension ref="A1:V483"/>
  <sheetViews>
    <sheetView showGridLines="0" topLeftCell="J2" zoomScaleNormal="100" workbookViewId="0">
      <selection activeCell="A20" sqref="A20"/>
    </sheetView>
  </sheetViews>
  <sheetFormatPr defaultRowHeight="15.75" x14ac:dyDescent="0.25"/>
  <cols>
    <col min="1" max="1" width="30.7109375" customWidth="1"/>
    <col min="2" max="2" width="4.7109375" customWidth="1"/>
    <col min="3" max="3" width="4.7109375" style="1" customWidth="1"/>
    <col min="4" max="5" width="30.7109375" style="1" customWidth="1"/>
    <col min="6" max="6" width="31.140625" style="1" customWidth="1"/>
    <col min="7" max="7" width="32.5703125" style="1" customWidth="1"/>
    <col min="8" max="12" width="30.7109375" style="1" customWidth="1"/>
    <col min="13" max="13" width="30.7109375" customWidth="1"/>
    <col min="14" max="20" width="30.7109375" style="1" customWidth="1"/>
    <col min="21" max="21" width="4.7109375" style="1" customWidth="1"/>
  </cols>
  <sheetData>
    <row r="1" spans="1:21" s="8" customFormat="1" ht="30" customHeight="1" x14ac:dyDescent="0.35">
      <c r="A1" s="62" t="e" vm="1">
        <v>#VALUE!</v>
      </c>
      <c r="C1" s="8" t="s">
        <v>143</v>
      </c>
    </row>
    <row r="2" spans="1:21" s="9" customFormat="1" ht="20.100000000000001" customHeight="1" x14ac:dyDescent="0.25">
      <c r="A2"/>
    </row>
    <row r="3" spans="1:21" ht="20.100000000000001" customHeight="1" x14ac:dyDescent="0.25">
      <c r="A3" s="17" t="str">
        <f>HYPERLINK("#'Home'!A1", "Home")</f>
        <v>Home</v>
      </c>
      <c r="C3" s="4"/>
      <c r="D3" s="4"/>
      <c r="E3" s="4"/>
      <c r="F3" s="4"/>
      <c r="G3" s="4"/>
      <c r="H3" s="4"/>
      <c r="I3" s="4"/>
      <c r="J3" s="4"/>
      <c r="K3" s="4"/>
      <c r="L3" s="4"/>
      <c r="M3" s="4"/>
      <c r="N3" s="4"/>
      <c r="O3" s="4"/>
      <c r="P3" s="4"/>
      <c r="Q3" s="4"/>
      <c r="R3" s="4"/>
      <c r="S3" s="4"/>
      <c r="T3" s="4"/>
      <c r="U3" s="4"/>
    </row>
    <row r="4" spans="1:21" ht="20.100000000000001" customHeight="1" x14ac:dyDescent="0.25">
      <c r="A4" s="17" t="str">
        <f>HYPERLINK("#'Results'!A1", "Results")</f>
        <v>Results</v>
      </c>
      <c r="M4" s="21"/>
    </row>
    <row r="5" spans="1:21" ht="20.100000000000001" customHeight="1" x14ac:dyDescent="0.25">
      <c r="D5" s="6" t="s">
        <v>233</v>
      </c>
      <c r="G5" s="6" t="s">
        <v>92</v>
      </c>
      <c r="M5" s="1" t="s">
        <v>167</v>
      </c>
      <c r="O5" s="1" t="s">
        <v>168</v>
      </c>
      <c r="Q5" s="1" t="s">
        <v>169</v>
      </c>
      <c r="S5" s="1" t="s">
        <v>180</v>
      </c>
    </row>
    <row r="6" spans="1:21" ht="20.100000000000001" customHeight="1" x14ac:dyDescent="0.25">
      <c r="M6" s="1"/>
    </row>
    <row r="7" spans="1:21" ht="20.100000000000001" customHeight="1" x14ac:dyDescent="0.25">
      <c r="A7" s="19" t="s">
        <v>0</v>
      </c>
      <c r="D7" s="35" t="s">
        <v>91</v>
      </c>
      <c r="G7" s="35" t="s">
        <v>90</v>
      </c>
      <c r="M7" t="s">
        <v>144</v>
      </c>
      <c r="O7" s="35" t="s">
        <v>144</v>
      </c>
      <c r="Q7" s="35" t="s">
        <v>144</v>
      </c>
      <c r="S7" s="35" t="s">
        <v>144</v>
      </c>
    </row>
    <row r="8" spans="1:21" ht="20.100000000000001" customHeight="1" x14ac:dyDescent="0.25">
      <c r="A8" s="17" t="str">
        <f>HYPERLINK("#'Input - Site'!A1", "Site")</f>
        <v>Site</v>
      </c>
      <c r="D8" s="35" t="str">
        <f>'Constants - Common'!$F$187</f>
        <v>Pasture</v>
      </c>
      <c r="G8" s="35" t="s">
        <v>93</v>
      </c>
      <c r="M8" s="35" t="s">
        <v>170</v>
      </c>
      <c r="O8" s="35" t="s">
        <v>172</v>
      </c>
      <c r="Q8" s="35" t="s">
        <v>175</v>
      </c>
      <c r="S8" s="35" t="s">
        <v>163</v>
      </c>
    </row>
    <row r="9" spans="1:21" ht="20.100000000000001" customHeight="1" x14ac:dyDescent="0.25">
      <c r="A9" s="17" t="str">
        <f>HYPERLINK("#'Input - Pasture Beef'!A1", "Pasture Beef")</f>
        <v>Pasture Beef</v>
      </c>
      <c r="D9" s="1" t="str">
        <f>'Constants - Common'!$F$188</f>
        <v>Crop</v>
      </c>
      <c r="G9" s="35" t="s">
        <v>94</v>
      </c>
      <c r="M9" s="35" t="s">
        <v>171</v>
      </c>
      <c r="O9" s="35" t="s">
        <v>173</v>
      </c>
      <c r="Q9" s="35" t="s">
        <v>176</v>
      </c>
    </row>
    <row r="10" spans="1:21" ht="20.100000000000001" customHeight="1" x14ac:dyDescent="0.25">
      <c r="G10" s="1" t="s">
        <v>95</v>
      </c>
      <c r="M10" s="35" t="s">
        <v>166</v>
      </c>
      <c r="O10" s="35" t="s">
        <v>174</v>
      </c>
      <c r="Q10" s="35" t="s">
        <v>177</v>
      </c>
      <c r="S10" s="1" t="s">
        <v>181</v>
      </c>
    </row>
    <row r="11" spans="1:21" ht="20.100000000000001" customHeight="1" x14ac:dyDescent="0.25">
      <c r="G11" s="1" t="s">
        <v>96</v>
      </c>
      <c r="M11" s="1"/>
      <c r="Q11" s="35" t="s">
        <v>178</v>
      </c>
    </row>
    <row r="12" spans="1:21" ht="20.100000000000001" customHeight="1" x14ac:dyDescent="0.25">
      <c r="A12" s="18" t="s">
        <v>60</v>
      </c>
      <c r="G12" s="1" t="s">
        <v>97</v>
      </c>
      <c r="M12" s="1"/>
      <c r="S12" s="35" t="s">
        <v>144</v>
      </c>
    </row>
    <row r="13" spans="1:21" ht="20.100000000000001" customHeight="1" x14ac:dyDescent="0.25">
      <c r="A13" s="17" t="str">
        <f>HYPERLINK("#'3.2.1.1-2 Enteric Methane'!A1", "3.2.1.1-2 Enteric Methane")</f>
        <v>3.2.1.1-2 Enteric Methane</v>
      </c>
      <c r="M13" s="1"/>
      <c r="S13" s="35" t="s">
        <v>163</v>
      </c>
    </row>
    <row r="14" spans="1:21" ht="20.100000000000001" customHeight="1" x14ac:dyDescent="0.25">
      <c r="D14" s="6" t="str" cm="1">
        <f t="array" ref="D14">SourceData_PastureBeef.SourceData_PastureBeef_Liveweight_Title()</f>
        <v>Beef pasture cattle - Liveweight (kg) (Wjkl)</v>
      </c>
      <c r="M14" s="1"/>
    </row>
    <row r="15" spans="1:21" ht="20.100000000000001" customHeight="1" x14ac:dyDescent="0.25">
      <c r="D15" s="5" t="str" cm="1">
        <f t="array" ref="D15">SourceData_PastureBeef.SourceData_PastureBeef_Liveweight_Source()</f>
        <v>VEERG 2026: Table A.1.2.1</v>
      </c>
      <c r="M15" s="1"/>
      <c r="S15" s="1" t="s">
        <v>182</v>
      </c>
    </row>
    <row r="16" spans="1:21" ht="20.100000000000001" customHeight="1" x14ac:dyDescent="0.25">
      <c r="A16" s="120" t="s">
        <v>1</v>
      </c>
      <c r="D16" s="1" t="str" cm="1">
        <f t="array" ref="D16">SourceData_PastureBeef.SourceData_PastureBeef_Liveweight_Variable()</f>
        <v>Wjkl</v>
      </c>
      <c r="M16" s="1"/>
    </row>
    <row r="17" spans="1:19" ht="20.100000000000001" customHeight="1" x14ac:dyDescent="0.25">
      <c r="A17" s="118" t="str">
        <f>HYPERLINK("#'Constants - Pasture Beef'!A1", "Constants - Pasture Beef")</f>
        <v>Constants - Pasture Beef</v>
      </c>
      <c r="D17" s="51" t="str" cm="1">
        <f t="array" ref="D17">SourceData_PastureBeef.SourceData_PastureBeef_Liveweight_Unit()</f>
        <v>kg</v>
      </c>
      <c r="M17" s="1"/>
      <c r="O17" s="1" t="s">
        <v>269</v>
      </c>
      <c r="S17" s="35" t="s">
        <v>144</v>
      </c>
    </row>
    <row r="18" spans="1:19" ht="20.100000000000001" customHeight="1" x14ac:dyDescent="0.25">
      <c r="A18" s="17" t="str">
        <f>HYPERLINK("#'Constants - Common'!A1", "Constants - Common")</f>
        <v>Constants - Common</v>
      </c>
      <c r="D18" s="35" t="s">
        <v>5</v>
      </c>
      <c r="E18" s="35" t="s">
        <v>144</v>
      </c>
      <c r="F18" s="35" t="s">
        <v>145</v>
      </c>
      <c r="G18" s="35" t="s">
        <v>146</v>
      </c>
      <c r="H18" s="35" t="s">
        <v>147</v>
      </c>
      <c r="I18" s="35" t="s">
        <v>148</v>
      </c>
      <c r="J18" s="35" t="s">
        <v>149</v>
      </c>
      <c r="K18" s="35" t="s">
        <v>150</v>
      </c>
      <c r="L18" s="35" t="s">
        <v>151</v>
      </c>
      <c r="M18" s="35" t="s">
        <v>152</v>
      </c>
      <c r="O18" s="35" t="s">
        <v>270</v>
      </c>
      <c r="S18" s="35" t="s">
        <v>163</v>
      </c>
    </row>
    <row r="19" spans="1:19" ht="20.100000000000001" customHeight="1" x14ac:dyDescent="0.25">
      <c r="A19" s="17" t="str">
        <f>HYPERLINK("#'Constants - Common Livestock'!A1", "Constants - Common Livestock")</f>
        <v>Constants - Common Livestock</v>
      </c>
      <c r="D19" s="35" t="str" cm="1">
        <f t="array" ref="D19">Common_InputFunctions.Utility_DisplayArrayInTable(SourceData_PastureBeef.SourceData_PastureBeef_Liveweight_Data(), Table_SourceData_PastureBeef_Liveweight[[#Headers],[State]], 0)</f>
        <v>ACT/NSW</v>
      </c>
      <c r="E19" s="35" t="str" cm="1">
        <f t="array" ref="E19">Common_InputFunctions.Utility_DisplayArrayInTable(SourceData_PastureBeef.SourceData_PastureBeef_Liveweight_Data(), Table_SourceData_PastureBeef_Liveweight[[#Headers],[State]], 0)</f>
        <v>n/a</v>
      </c>
      <c r="F19" s="35" t="str" cm="1">
        <f t="array" ref="F19">Common_InputFunctions.Utility_DisplayArrayInTable(SourceData_PastureBeef.SourceData_PastureBeef_Liveweight_Data(), Table_SourceData_PastureBeef_Liveweight[[#Headers],[State]], 0)</f>
        <v>Spring</v>
      </c>
      <c r="G19" s="35" cm="1">
        <f t="array" ref="G19">Common_InputFunctions.Utility_DisplayArrayInTable(SourceData_PastureBeef.SourceData_PastureBeef_Liveweight_Data(), Table_SourceData_PastureBeef_Liveweight[[#Headers],[State]], 0)</f>
        <v>80</v>
      </c>
      <c r="H19" s="35" cm="1">
        <f t="array" ref="H19">Common_InputFunctions.Utility_DisplayArrayInTable(SourceData_PastureBeef.SourceData_PastureBeef_Liveweight_Data(), Table_SourceData_PastureBeef_Liveweight[[#Headers],[State]], 0)</f>
        <v>480</v>
      </c>
      <c r="I19" s="35" cm="1">
        <f t="array" ref="I19">Common_InputFunctions.Utility_DisplayArrayInTable(SourceData_PastureBeef.SourceData_PastureBeef_Liveweight_Data(), Table_SourceData_PastureBeef_Liveweight[[#Headers],[State]], 0)</f>
        <v>75</v>
      </c>
      <c r="J19" s="35" cm="1">
        <f t="array" ref="J19">Common_InputFunctions.Utility_DisplayArrayInTable(SourceData_PastureBeef.SourceData_PastureBeef_Liveweight_Data(), Table_SourceData_PastureBeef_Liveweight[[#Headers],[State]], 0)</f>
        <v>300</v>
      </c>
      <c r="K19" s="35" cm="1">
        <f t="array" ref="K19">Common_InputFunctions.Utility_DisplayArrayInTable(SourceData_PastureBeef.SourceData_PastureBeef_Liveweight_Data(), Table_SourceData_PastureBeef_Liveweight[[#Headers],[State]], 0)</f>
        <v>440</v>
      </c>
      <c r="L19" s="35" cm="1">
        <f t="array" ref="L19">Common_InputFunctions.Utility_DisplayArrayInTable(SourceData_PastureBeef.SourceData_PastureBeef_Liveweight_Data(), Table_SourceData_PastureBeef_Liveweight[[#Headers],[State]], 0)</f>
        <v>75</v>
      </c>
      <c r="M19" s="35" cm="1">
        <f t="array" ref="M19">Common_InputFunctions.Utility_DisplayArrayInTable(SourceData_PastureBeef.SourceData_PastureBeef_Liveweight_Data(), Table_SourceData_PastureBeef_Liveweight[[#Headers],[State]], 0)</f>
        <v>380</v>
      </c>
      <c r="O19" s="35" t="str">
        <f>Table_SourceData_PastureBeef_LiveweightAllStates[[#Headers],[Bulls &lt; 1 year]]</f>
        <v>Bulls &lt; 1 year</v>
      </c>
    </row>
    <row r="20" spans="1:19" ht="20.100000000000001" customHeight="1" x14ac:dyDescent="0.25">
      <c r="A20" s="17" t="str">
        <f>HYPERLINK("#'Acknowledgements'!A1", "Acknowledgements")</f>
        <v>Acknowledgements</v>
      </c>
      <c r="D20" s="1" t="str" cm="1">
        <f t="array" ref="D20">Common_InputFunctions.Utility_DisplayArrayInTable(SourceData_PastureBeef.SourceData_PastureBeef_Liveweight_Data(), Table_SourceData_PastureBeef_Liveweight[[#Headers],[State]], 0)</f>
        <v>ACT/NSW</v>
      </c>
      <c r="E20" s="35" t="str" cm="1">
        <f t="array" ref="E20">Common_InputFunctions.Utility_DisplayArrayInTable(SourceData_PastureBeef.SourceData_PastureBeef_Liveweight_Data(), Table_SourceData_PastureBeef_Liveweight[[#Headers],[State]], 0)</f>
        <v>n/a</v>
      </c>
      <c r="F20" s="35" t="str" cm="1">
        <f t="array" ref="F20">Common_InputFunctions.Utility_DisplayArrayInTable(SourceData_PastureBeef.SourceData_PastureBeef_Liveweight_Data(), Table_SourceData_PastureBeef_Liveweight[[#Headers],[State]], 0)</f>
        <v>Summer</v>
      </c>
      <c r="G20" s="35" cm="1">
        <f t="array" ref="G20">Common_InputFunctions.Utility_DisplayArrayInTable(SourceData_PastureBeef.SourceData_PastureBeef_Liveweight_Data(), Table_SourceData_PastureBeef_Liveweight[[#Headers],[State]], 0)</f>
        <v>170</v>
      </c>
      <c r="H20" s="35" cm="1">
        <f t="array" ref="H20">Common_InputFunctions.Utility_DisplayArrayInTable(SourceData_PastureBeef.SourceData_PastureBeef_Liveweight_Data(), Table_SourceData_PastureBeef_Liveweight[[#Headers],[State]], 0)</f>
        <v>520</v>
      </c>
      <c r="I20" s="35" cm="1">
        <f t="array" ref="I20">Common_InputFunctions.Utility_DisplayArrayInTable(SourceData_PastureBeef.SourceData_PastureBeef_Liveweight_Data(), Table_SourceData_PastureBeef_Liveweight[[#Headers],[State]], 0)</f>
        <v>160</v>
      </c>
      <c r="J20" s="35" cm="1">
        <f t="array" ref="J20">Common_InputFunctions.Utility_DisplayArrayInTable(SourceData_PastureBeef.SourceData_PastureBeef_Liveweight_Data(), Table_SourceData_PastureBeef_Liveweight[[#Headers],[State]], 0)</f>
        <v>360</v>
      </c>
      <c r="K20" s="35" cm="1">
        <f t="array" ref="K20">Common_InputFunctions.Utility_DisplayArrayInTable(SourceData_PastureBeef.SourceData_PastureBeef_Liveweight_Data(), Table_SourceData_PastureBeef_Liveweight[[#Headers],[State]], 0)</f>
        <v>470</v>
      </c>
      <c r="L20" s="35" cm="1">
        <f t="array" ref="L20">Common_InputFunctions.Utility_DisplayArrayInTable(SourceData_PastureBeef.SourceData_PastureBeef_Liveweight_Data(), Table_SourceData_PastureBeef_Liveweight[[#Headers],[State]], 0)</f>
        <v>160</v>
      </c>
      <c r="M20" s="35" cm="1">
        <f t="array" ref="M20">Common_InputFunctions.Utility_DisplayArrayInTable(SourceData_PastureBeef.SourceData_PastureBeef_Liveweight_Data(), Table_SourceData_PastureBeef_Liveweight[[#Headers],[State]], 0)</f>
        <v>420</v>
      </c>
      <c r="O20" s="35" t="str">
        <f>Table_SourceData_PastureBeef_LiveweightAllStates[[#Headers],[Bulls &gt; 1 year]]</f>
        <v>Bulls &gt; 1 year</v>
      </c>
      <c r="S20" s="1" t="s">
        <v>183</v>
      </c>
    </row>
    <row r="21" spans="1:19" ht="20.100000000000001" customHeight="1" x14ac:dyDescent="0.25">
      <c r="D21" s="1" t="str" cm="1">
        <f t="array" ref="D21">Common_InputFunctions.Utility_DisplayArrayInTable(SourceData_PastureBeef.SourceData_PastureBeef_Liveweight_Data(), Table_SourceData_PastureBeef_Liveweight[[#Headers],[State]], 0)</f>
        <v>ACT/NSW</v>
      </c>
      <c r="E21" s="35" t="str" cm="1">
        <f t="array" ref="E21">Common_InputFunctions.Utility_DisplayArrayInTable(SourceData_PastureBeef.SourceData_PastureBeef_Liveweight_Data(), Table_SourceData_PastureBeef_Liveweight[[#Headers],[State]], 0)</f>
        <v>n/a</v>
      </c>
      <c r="F21" s="35" t="str" cm="1">
        <f t="array" ref="F21">Common_InputFunctions.Utility_DisplayArrayInTable(SourceData_PastureBeef.SourceData_PastureBeef_Liveweight_Data(), Table_SourceData_PastureBeef_Liveweight[[#Headers],[State]], 0)</f>
        <v>Autumn</v>
      </c>
      <c r="G21" s="35" cm="1">
        <f t="array" ref="G21">Common_InputFunctions.Utility_DisplayArrayInTable(SourceData_PastureBeef.SourceData_PastureBeef_Liveweight_Data(), Table_SourceData_PastureBeef_Liveweight[[#Headers],[State]], 0)</f>
        <v>240</v>
      </c>
      <c r="H21" s="35" cm="1">
        <f t="array" ref="H21">Common_InputFunctions.Utility_DisplayArrayInTable(SourceData_PastureBeef.SourceData_PastureBeef_Liveweight_Data(), Table_SourceData_PastureBeef_Liveweight[[#Headers],[State]], 0)</f>
        <v>550</v>
      </c>
      <c r="I21" s="35" cm="1">
        <f t="array" ref="I21">Common_InputFunctions.Utility_DisplayArrayInTable(SourceData_PastureBeef.SourceData_PastureBeef_Liveweight_Data(), Table_SourceData_PastureBeef_Liveweight[[#Headers],[State]], 0)</f>
        <v>220</v>
      </c>
      <c r="J21" s="35" cm="1">
        <f t="array" ref="J21">Common_InputFunctions.Utility_DisplayArrayInTable(SourceData_PastureBeef.SourceData_PastureBeef_Liveweight_Data(), Table_SourceData_PastureBeef_Liveweight[[#Headers],[State]], 0)</f>
        <v>390</v>
      </c>
      <c r="K21" s="35" cm="1">
        <f t="array" ref="K21">Common_InputFunctions.Utility_DisplayArrayInTable(SourceData_PastureBeef.SourceData_PastureBeef_Liveweight_Data(), Table_SourceData_PastureBeef_Liveweight[[#Headers],[State]], 0)</f>
        <v>490</v>
      </c>
      <c r="L21" s="35" cm="1">
        <f t="array" ref="L21">Common_InputFunctions.Utility_DisplayArrayInTable(SourceData_PastureBeef.SourceData_PastureBeef_Liveweight_Data(), Table_SourceData_PastureBeef_Liveweight[[#Headers],[State]], 0)</f>
        <v>220</v>
      </c>
      <c r="M21" s="35" cm="1">
        <f t="array" ref="M21">Common_InputFunctions.Utility_DisplayArrayInTable(SourceData_PastureBeef.SourceData_PastureBeef_Liveweight_Data(), Table_SourceData_PastureBeef_Liveweight[[#Headers],[State]], 0)</f>
        <v>450</v>
      </c>
      <c r="O21" s="35" t="str">
        <f>Table_SourceData_PastureBeef_LiveweightAllStates[[#Headers],[Cows &lt; 1 year]]</f>
        <v>Cows &lt; 1 year</v>
      </c>
    </row>
    <row r="22" spans="1:19" ht="20.100000000000001" customHeight="1" x14ac:dyDescent="0.25">
      <c r="D22" s="1" t="str" cm="1">
        <f t="array" ref="D22">Common_InputFunctions.Utility_DisplayArrayInTable(SourceData_PastureBeef.SourceData_PastureBeef_Liveweight_Data(), Table_SourceData_PastureBeef_Liveweight[[#Headers],[State]], 0)</f>
        <v>ACT/NSW</v>
      </c>
      <c r="E22" s="35" t="str" cm="1">
        <f t="array" ref="E22">Common_InputFunctions.Utility_DisplayArrayInTable(SourceData_PastureBeef.SourceData_PastureBeef_Liveweight_Data(), Table_SourceData_PastureBeef_Liveweight[[#Headers],[State]], 0)</f>
        <v>n/a</v>
      </c>
      <c r="F22" s="35" t="str" cm="1">
        <f t="array" ref="F22">Common_InputFunctions.Utility_DisplayArrayInTable(SourceData_PastureBeef.SourceData_PastureBeef_Liveweight_Data(), Table_SourceData_PastureBeef_Liveweight[[#Headers],[State]], 0)</f>
        <v>Winter</v>
      </c>
      <c r="G22" s="35" cm="1">
        <f t="array" ref="G22">Common_InputFunctions.Utility_DisplayArrayInTable(SourceData_PastureBeef.SourceData_PastureBeef_Liveweight_Data(), Table_SourceData_PastureBeef_Liveweight[[#Headers],[State]], 0)</f>
        <v>280</v>
      </c>
      <c r="H22" s="35" cm="1">
        <f t="array" ref="H22">Common_InputFunctions.Utility_DisplayArrayInTable(SourceData_PastureBeef.SourceData_PastureBeef_Liveweight_Data(), Table_SourceData_PastureBeef_Liveweight[[#Headers],[State]], 0)</f>
        <v>560</v>
      </c>
      <c r="I22" s="35" cm="1">
        <f t="array" ref="I22">Common_InputFunctions.Utility_DisplayArrayInTable(SourceData_PastureBeef.SourceData_PastureBeef_Liveweight_Data(), Table_SourceData_PastureBeef_Liveweight[[#Headers],[State]], 0)</f>
        <v>260</v>
      </c>
      <c r="J22" s="35" cm="1">
        <f t="array" ref="J22">Common_InputFunctions.Utility_DisplayArrayInTable(SourceData_PastureBeef.SourceData_PastureBeef_Liveweight_Data(), Table_SourceData_PastureBeef_Liveweight[[#Headers],[State]], 0)</f>
        <v>410</v>
      </c>
      <c r="K22" s="35" cm="1">
        <f t="array" ref="K22">Common_InputFunctions.Utility_DisplayArrayInTable(SourceData_PastureBeef.SourceData_PastureBeef_Liveweight_Data(), Table_SourceData_PastureBeef_Liveweight[[#Headers],[State]], 0)</f>
        <v>500</v>
      </c>
      <c r="L22" s="35" cm="1">
        <f t="array" ref="L22">Common_InputFunctions.Utility_DisplayArrayInTable(SourceData_PastureBeef.SourceData_PastureBeef_Liveweight_Data(), Table_SourceData_PastureBeef_Liveweight[[#Headers],[State]], 0)</f>
        <v>260</v>
      </c>
      <c r="M22" s="35" cm="1">
        <f t="array" ref="M22">Common_InputFunctions.Utility_DisplayArrayInTable(SourceData_PastureBeef.SourceData_PastureBeef_Liveweight_Data(), Table_SourceData_PastureBeef_Liveweight[[#Headers],[State]], 0)</f>
        <v>460</v>
      </c>
      <c r="O22" s="35" t="str">
        <f>Table_SourceData_PastureBeef_LiveweightAllStates[[#Headers],[Cows 1-2 years]]</f>
        <v>Cows 1-2 years</v>
      </c>
      <c r="S22" s="35" t="s">
        <v>144</v>
      </c>
    </row>
    <row r="23" spans="1:19" ht="20.100000000000001" customHeight="1" x14ac:dyDescent="0.25">
      <c r="D23" s="1" t="str" cm="1">
        <f t="array" ref="D23">Common_InputFunctions.Utility_DisplayArrayInTable(SourceData_PastureBeef.SourceData_PastureBeef_Liveweight_Data(), Table_SourceData_PastureBeef_Liveweight[[#Headers],[State]], 0)</f>
        <v>South Australia</v>
      </c>
      <c r="E23" s="35" t="str" cm="1">
        <f t="array" ref="E23">Common_InputFunctions.Utility_DisplayArrayInTable(SourceData_PastureBeef.SourceData_PastureBeef_Liveweight_Data(), Table_SourceData_PastureBeef_Liveweight[[#Headers],[State]], 0)</f>
        <v>n/a</v>
      </c>
      <c r="F23" s="35" t="str" cm="1">
        <f t="array" ref="F23">Common_InputFunctions.Utility_DisplayArrayInTable(SourceData_PastureBeef.SourceData_PastureBeef_Liveweight_Data(), Table_SourceData_PastureBeef_Liveweight[[#Headers],[State]], 0)</f>
        <v>Spring</v>
      </c>
      <c r="G23" s="35" cm="1">
        <f t="array" ref="G23">Common_InputFunctions.Utility_DisplayArrayInTable(SourceData_PastureBeef.SourceData_PastureBeef_Liveweight_Data(), Table_SourceData_PastureBeef_Liveweight[[#Headers],[State]], 0)</f>
        <v>250</v>
      </c>
      <c r="H23" s="35" cm="1">
        <f t="array" ref="H23">Common_InputFunctions.Utility_DisplayArrayInTable(SourceData_PastureBeef.SourceData_PastureBeef_Liveweight_Data(), Table_SourceData_PastureBeef_Liveweight[[#Headers],[State]], 0)</f>
        <v>800</v>
      </c>
      <c r="I23" s="35" cm="1">
        <f t="array" ref="I23">Common_InputFunctions.Utility_DisplayArrayInTable(SourceData_PastureBeef.SourceData_PastureBeef_Liveweight_Data(), Table_SourceData_PastureBeef_Liveweight[[#Headers],[State]], 0)</f>
        <v>220</v>
      </c>
      <c r="J23" s="35" cm="1">
        <f t="array" ref="J23">Common_InputFunctions.Utility_DisplayArrayInTable(SourceData_PastureBeef.SourceData_PastureBeef_Liveweight_Data(), Table_SourceData_PastureBeef_Liveweight[[#Headers],[State]], 0)</f>
        <v>400</v>
      </c>
      <c r="K23" s="35" cm="1">
        <f t="array" ref="K23">Common_InputFunctions.Utility_DisplayArrayInTable(SourceData_PastureBeef.SourceData_PastureBeef_Liveweight_Data(), Table_SourceData_PastureBeef_Liveweight[[#Headers],[State]], 0)</f>
        <v>500</v>
      </c>
      <c r="L23" s="35" cm="1">
        <f t="array" ref="L23">Common_InputFunctions.Utility_DisplayArrayInTable(SourceData_PastureBeef.SourceData_PastureBeef_Liveweight_Data(), Table_SourceData_PastureBeef_Liveweight[[#Headers],[State]], 0)</f>
        <v>230</v>
      </c>
      <c r="M23" s="35" cm="1">
        <f t="array" ref="M23">Common_InputFunctions.Utility_DisplayArrayInTable(SourceData_PastureBeef.SourceData_PastureBeef_Liveweight_Data(), Table_SourceData_PastureBeef_Liveweight[[#Headers],[State]], 0)</f>
        <v>420</v>
      </c>
      <c r="O23" s="35" t="str">
        <f>Table_SourceData_PastureBeef_LiveweightAllStates[[#Headers],[Cows 2-3 years]]</f>
        <v>Cows 2-3 years</v>
      </c>
      <c r="S23" s="35" t="s">
        <v>163</v>
      </c>
    </row>
    <row r="24" spans="1:19" ht="20.100000000000001" customHeight="1" x14ac:dyDescent="0.25">
      <c r="D24" s="1" t="str" cm="1">
        <f t="array" ref="D24">Common_InputFunctions.Utility_DisplayArrayInTable(SourceData_PastureBeef.SourceData_PastureBeef_Liveweight_Data(), Table_SourceData_PastureBeef_Liveweight[[#Headers],[State]], 0)</f>
        <v>South Australia</v>
      </c>
      <c r="E24" s="35" t="str" cm="1">
        <f t="array" ref="E24">Common_InputFunctions.Utility_DisplayArrayInTable(SourceData_PastureBeef.SourceData_PastureBeef_Liveweight_Data(), Table_SourceData_PastureBeef_Liveweight[[#Headers],[State]], 0)</f>
        <v>n/a</v>
      </c>
      <c r="F24" s="35" t="str" cm="1">
        <f t="array" ref="F24">Common_InputFunctions.Utility_DisplayArrayInTable(SourceData_PastureBeef.SourceData_PastureBeef_Liveweight_Data(), Table_SourceData_PastureBeef_Liveweight[[#Headers],[State]], 0)</f>
        <v>Summer</v>
      </c>
      <c r="G24" s="35" cm="1">
        <f t="array" ref="G24">Common_InputFunctions.Utility_DisplayArrayInTable(SourceData_PastureBeef.SourceData_PastureBeef_Liveweight_Data(), Table_SourceData_PastureBeef_Liveweight[[#Headers],[State]], 0)</f>
        <v>320</v>
      </c>
      <c r="H24" s="35" cm="1">
        <f t="array" ref="H24">Common_InputFunctions.Utility_DisplayArrayInTable(SourceData_PastureBeef.SourceData_PastureBeef_Liveweight_Data(), Table_SourceData_PastureBeef_Liveweight[[#Headers],[State]], 0)</f>
        <v>800</v>
      </c>
      <c r="I24" s="35" cm="1">
        <f t="array" ref="I24">Common_InputFunctions.Utility_DisplayArrayInTable(SourceData_PastureBeef.SourceData_PastureBeef_Liveweight_Data(), Table_SourceData_PastureBeef_Liveweight[[#Headers],[State]], 0)</f>
        <v>280</v>
      </c>
      <c r="J24" s="35" cm="1">
        <f t="array" ref="J24">Common_InputFunctions.Utility_DisplayArrayInTable(SourceData_PastureBeef.SourceData_PastureBeef_Liveweight_Data(), Table_SourceData_PastureBeef_Liveweight[[#Headers],[State]], 0)</f>
        <v>420</v>
      </c>
      <c r="K24" s="35" cm="1">
        <f t="array" ref="K24">Common_InputFunctions.Utility_DisplayArrayInTable(SourceData_PastureBeef.SourceData_PastureBeef_Liveweight_Data(), Table_SourceData_PastureBeef_Liveweight[[#Headers],[State]], 0)</f>
        <v>500</v>
      </c>
      <c r="L24" s="35" cm="1">
        <f t="array" ref="L24">Common_InputFunctions.Utility_DisplayArrayInTable(SourceData_PastureBeef.SourceData_PastureBeef_Liveweight_Data(), Table_SourceData_PastureBeef_Liveweight[[#Headers],[State]], 0)</f>
        <v>290</v>
      </c>
      <c r="M24" s="35" cm="1">
        <f t="array" ref="M24">Common_InputFunctions.Utility_DisplayArrayInTable(SourceData_PastureBeef.SourceData_PastureBeef_Liveweight_Data(), Table_SourceData_PastureBeef_Liveweight[[#Headers],[State]], 0)</f>
        <v>420</v>
      </c>
      <c r="O24" s="35" t="str">
        <f>Table_SourceData_PastureBeef_LiveweightAllStates[[#Headers],[Cows &gt; 3 years]]</f>
        <v>Cows &gt; 3 years</v>
      </c>
    </row>
    <row r="25" spans="1:19" ht="20.100000000000001" customHeight="1" x14ac:dyDescent="0.25">
      <c r="D25" s="1" t="str" cm="1">
        <f t="array" ref="D25">Common_InputFunctions.Utility_DisplayArrayInTable(SourceData_PastureBeef.SourceData_PastureBeef_Liveweight_Data(), Table_SourceData_PastureBeef_Liveweight[[#Headers],[State]], 0)</f>
        <v>South Australia</v>
      </c>
      <c r="E25" s="35" t="str" cm="1">
        <f t="array" ref="E25">Common_InputFunctions.Utility_DisplayArrayInTable(SourceData_PastureBeef.SourceData_PastureBeef_Liveweight_Data(), Table_SourceData_PastureBeef_Liveweight[[#Headers],[State]], 0)</f>
        <v>n/a</v>
      </c>
      <c r="F25" s="35" t="str" cm="1">
        <f t="array" ref="F25">Common_InputFunctions.Utility_DisplayArrayInTable(SourceData_PastureBeef.SourceData_PastureBeef_Liveweight_Data(), Table_SourceData_PastureBeef_Liveweight[[#Headers],[State]], 0)</f>
        <v>Autumn</v>
      </c>
      <c r="G25" s="35" cm="1">
        <f t="array" ref="G25">Common_InputFunctions.Utility_DisplayArrayInTable(SourceData_PastureBeef.SourceData_PastureBeef_Liveweight_Data(), Table_SourceData_PastureBeef_Liveweight[[#Headers],[State]], 0)</f>
        <v>80</v>
      </c>
      <c r="H25" s="35" cm="1">
        <f t="array" ref="H25">Common_InputFunctions.Utility_DisplayArrayInTable(SourceData_PastureBeef.SourceData_PastureBeef_Liveweight_Data(), Table_SourceData_PastureBeef_Liveweight[[#Headers],[State]], 0)</f>
        <v>700</v>
      </c>
      <c r="I25" s="35" cm="1">
        <f t="array" ref="I25">Common_InputFunctions.Utility_DisplayArrayInTable(SourceData_PastureBeef.SourceData_PastureBeef_Liveweight_Data(), Table_SourceData_PastureBeef_Liveweight[[#Headers],[State]], 0)</f>
        <v>70</v>
      </c>
      <c r="J25" s="35" cm="1">
        <f t="array" ref="J25">Common_InputFunctions.Utility_DisplayArrayInTable(SourceData_PastureBeef.SourceData_PastureBeef_Liveweight_Data(), Table_SourceData_PastureBeef_Liveweight[[#Headers],[State]], 0)</f>
        <v>300</v>
      </c>
      <c r="K25" s="35" cm="1">
        <f t="array" ref="K25">Common_InputFunctions.Utility_DisplayArrayInTable(SourceData_PastureBeef.SourceData_PastureBeef_Liveweight_Data(), Table_SourceData_PastureBeef_Liveweight[[#Headers],[State]], 0)</f>
        <v>450</v>
      </c>
      <c r="L25" s="35" cm="1">
        <f t="array" ref="L25">Common_InputFunctions.Utility_DisplayArrayInTable(SourceData_PastureBeef.SourceData_PastureBeef_Liveweight_Data(), Table_SourceData_PastureBeef_Liveweight[[#Headers],[State]], 0)</f>
        <v>75</v>
      </c>
      <c r="M25" s="35" cm="1">
        <f t="array" ref="M25">Common_InputFunctions.Utility_DisplayArrayInTable(SourceData_PastureBeef.SourceData_PastureBeef_Liveweight_Data(), Table_SourceData_PastureBeef_Liveweight[[#Headers],[State]], 0)</f>
        <v>400</v>
      </c>
      <c r="O25" s="35" t="str">
        <f>Table_SourceData_PastureBeef_LiveweightAllStates[[#Headers],[Steers &lt; 1 year]]</f>
        <v>Steers &lt; 1 year</v>
      </c>
      <c r="S25" s="1" t="s">
        <v>184</v>
      </c>
    </row>
    <row r="26" spans="1:19" ht="20.100000000000001" customHeight="1" x14ac:dyDescent="0.25">
      <c r="D26" s="1" t="str" cm="1">
        <f t="array" ref="D26">Common_InputFunctions.Utility_DisplayArrayInTable(SourceData_PastureBeef.SourceData_PastureBeef_Liveweight_Data(), Table_SourceData_PastureBeef_Liveweight[[#Headers],[State]], 0)</f>
        <v>South Australia</v>
      </c>
      <c r="E26" s="35" t="str" cm="1">
        <f t="array" ref="E26">Common_InputFunctions.Utility_DisplayArrayInTable(SourceData_PastureBeef.SourceData_PastureBeef_Liveweight_Data(), Table_SourceData_PastureBeef_Liveweight[[#Headers],[State]], 0)</f>
        <v>n/a</v>
      </c>
      <c r="F26" s="35" t="str" cm="1">
        <f t="array" ref="F26">Common_InputFunctions.Utility_DisplayArrayInTable(SourceData_PastureBeef.SourceData_PastureBeef_Liveweight_Data(), Table_SourceData_PastureBeef_Liveweight[[#Headers],[State]], 0)</f>
        <v>Winter</v>
      </c>
      <c r="G26" s="35" cm="1">
        <f t="array" ref="G26">Common_InputFunctions.Utility_DisplayArrayInTable(SourceData_PastureBeef.SourceData_PastureBeef_Liveweight_Data(), Table_SourceData_PastureBeef_Liveweight[[#Headers],[State]], 0)</f>
        <v>160</v>
      </c>
      <c r="H26" s="35" cm="1">
        <f t="array" ref="H26">Common_InputFunctions.Utility_DisplayArrayInTable(SourceData_PastureBeef.SourceData_PastureBeef_Liveweight_Data(), Table_SourceData_PastureBeef_Liveweight[[#Headers],[State]], 0)</f>
        <v>700</v>
      </c>
      <c r="I26" s="35" cm="1">
        <f t="array" ref="I26">Common_InputFunctions.Utility_DisplayArrayInTable(SourceData_PastureBeef.SourceData_PastureBeef_Liveweight_Data(), Table_SourceData_PastureBeef_Liveweight[[#Headers],[State]], 0)</f>
        <v>140</v>
      </c>
      <c r="J26" s="35" cm="1">
        <f t="array" ref="J26">Common_InputFunctions.Utility_DisplayArrayInTable(SourceData_PastureBeef.SourceData_PastureBeef_Liveweight_Data(), Table_SourceData_PastureBeef_Liveweight[[#Headers],[State]], 0)</f>
        <v>350</v>
      </c>
      <c r="K26" s="35" cm="1">
        <f t="array" ref="K26">Common_InputFunctions.Utility_DisplayArrayInTable(SourceData_PastureBeef.SourceData_PastureBeef_Liveweight_Data(), Table_SourceData_PastureBeef_Liveweight[[#Headers],[State]], 0)</f>
        <v>450</v>
      </c>
      <c r="L26" s="35" cm="1">
        <f t="array" ref="L26">Common_InputFunctions.Utility_DisplayArrayInTable(SourceData_PastureBeef.SourceData_PastureBeef_Liveweight_Data(), Table_SourceData_PastureBeef_Liveweight[[#Headers],[State]], 0)</f>
        <v>150</v>
      </c>
      <c r="M26" s="35" cm="1">
        <f t="array" ref="M26">Common_InputFunctions.Utility_DisplayArrayInTable(SourceData_PastureBeef.SourceData_PastureBeef_Liveweight_Data(), Table_SourceData_PastureBeef_Liveweight[[#Headers],[State]], 0)</f>
        <v>400</v>
      </c>
      <c r="O26" s="35" t="str">
        <f>Table_SourceData_PastureBeef_LiveweightAllStates[[#Headers],[Steers 1-2 years]]</f>
        <v>Steers 1-2 years</v>
      </c>
    </row>
    <row r="27" spans="1:19" ht="20.100000000000001" customHeight="1" x14ac:dyDescent="0.25">
      <c r="D27" s="1" t="str" cm="1">
        <f t="array" ref="D27">Common_InputFunctions.Utility_DisplayArrayInTable(SourceData_PastureBeef.SourceData_PastureBeef_Liveweight_Data(), Table_SourceData_PastureBeef_Liveweight[[#Headers],[State]], 0)</f>
        <v>Tasmania</v>
      </c>
      <c r="E27" s="35" t="str" cm="1">
        <f t="array" ref="E27">Common_InputFunctions.Utility_DisplayArrayInTable(SourceData_PastureBeef.SourceData_PastureBeef_Liveweight_Data(), Table_SourceData_PastureBeef_Liveweight[[#Headers],[State]], 0)</f>
        <v>n/a</v>
      </c>
      <c r="F27" s="35" t="str" cm="1">
        <f t="array" ref="F27">Common_InputFunctions.Utility_DisplayArrayInTable(SourceData_PastureBeef.SourceData_PastureBeef_Liveweight_Data(), Table_SourceData_PastureBeef_Liveweight[[#Headers],[State]], 0)</f>
        <v>Spring</v>
      </c>
      <c r="G27" s="35" cm="1">
        <f t="array" ref="G27">Common_InputFunctions.Utility_DisplayArrayInTable(SourceData_PastureBeef.SourceData_PastureBeef_Liveweight_Data(), Table_SourceData_PastureBeef_Liveweight[[#Headers],[State]], 0)</f>
        <v>105</v>
      </c>
      <c r="H27" s="35" cm="1">
        <f t="array" ref="H27">Common_InputFunctions.Utility_DisplayArrayInTable(SourceData_PastureBeef.SourceData_PastureBeef_Liveweight_Data(), Table_SourceData_PastureBeef_Liveweight[[#Headers],[State]], 0)</f>
        <v>700</v>
      </c>
      <c r="I27" s="35" cm="1">
        <f t="array" ref="I27">Common_InputFunctions.Utility_DisplayArrayInTable(SourceData_PastureBeef.SourceData_PastureBeef_Liveweight_Data(), Table_SourceData_PastureBeef_Liveweight[[#Headers],[State]], 0)</f>
        <v>85</v>
      </c>
      <c r="J27" s="35" cm="1">
        <f t="array" ref="J27">Common_InputFunctions.Utility_DisplayArrayInTable(SourceData_PastureBeef.SourceData_PastureBeef_Liveweight_Data(), Table_SourceData_PastureBeef_Liveweight[[#Headers],[State]], 0)</f>
        <v>300</v>
      </c>
      <c r="K27" s="35" cm="1">
        <f t="array" ref="K27">Common_InputFunctions.Utility_DisplayArrayInTable(SourceData_PastureBeef.SourceData_PastureBeef_Liveweight_Data(), Table_SourceData_PastureBeef_Liveweight[[#Headers],[State]], 0)</f>
        <v>490</v>
      </c>
      <c r="L27" s="35" cm="1">
        <f t="array" ref="L27">Common_InputFunctions.Utility_DisplayArrayInTable(SourceData_PastureBeef.SourceData_PastureBeef_Liveweight_Data(), Table_SourceData_PastureBeef_Liveweight[[#Headers],[State]], 0)</f>
        <v>90</v>
      </c>
      <c r="M27" s="35" cm="1">
        <f t="array" ref="M27">Common_InputFunctions.Utility_DisplayArrayInTable(SourceData_PastureBeef.SourceData_PastureBeef_Liveweight_Data(), Table_SourceData_PastureBeef_Liveweight[[#Headers],[State]], 0)</f>
        <v>480</v>
      </c>
      <c r="O27" s="35" t="str">
        <f>Table_SourceData_PastureBeef_LiveweightAllStates[[#Headers],[Steers 2-3 years]]</f>
        <v>Steers 2-3 years</v>
      </c>
      <c r="S27" s="35" t="s">
        <v>144</v>
      </c>
    </row>
    <row r="28" spans="1:19" ht="20.100000000000001" customHeight="1" x14ac:dyDescent="0.25">
      <c r="D28" s="1" t="str" cm="1">
        <f t="array" ref="D28">Common_InputFunctions.Utility_DisplayArrayInTable(SourceData_PastureBeef.SourceData_PastureBeef_Liveweight_Data(), Table_SourceData_PastureBeef_Liveweight[[#Headers],[State]], 0)</f>
        <v>Tasmania</v>
      </c>
      <c r="E28" s="35" t="str" cm="1">
        <f t="array" ref="E28">Common_InputFunctions.Utility_DisplayArrayInTable(SourceData_PastureBeef.SourceData_PastureBeef_Liveweight_Data(), Table_SourceData_PastureBeef_Liveweight[[#Headers],[State]], 0)</f>
        <v>n/a</v>
      </c>
      <c r="F28" s="35" t="str" cm="1">
        <f t="array" ref="F28">Common_InputFunctions.Utility_DisplayArrayInTable(SourceData_PastureBeef.SourceData_PastureBeef_Liveweight_Data(), Table_SourceData_PastureBeef_Liveweight[[#Headers],[State]], 0)</f>
        <v>Summer</v>
      </c>
      <c r="G28" s="35" cm="1">
        <f t="array" ref="G28">Common_InputFunctions.Utility_DisplayArrayInTable(SourceData_PastureBeef.SourceData_PastureBeef_Liveweight_Data(), Table_SourceData_PastureBeef_Liveweight[[#Headers],[State]], 0)</f>
        <v>480</v>
      </c>
      <c r="H28" s="35" cm="1">
        <f t="array" ref="H28">Common_InputFunctions.Utility_DisplayArrayInTable(SourceData_PastureBeef.SourceData_PastureBeef_Liveweight_Data(), Table_SourceData_PastureBeef_Liveweight[[#Headers],[State]], 0)</f>
        <v>750</v>
      </c>
      <c r="I28" s="35" cm="1">
        <f t="array" ref="I28">Common_InputFunctions.Utility_DisplayArrayInTable(SourceData_PastureBeef.SourceData_PastureBeef_Liveweight_Data(), Table_SourceData_PastureBeef_Liveweight[[#Headers],[State]], 0)</f>
        <v>150</v>
      </c>
      <c r="J28" s="35" cm="1">
        <f t="array" ref="J28">Common_InputFunctions.Utility_DisplayArrayInTable(SourceData_PastureBeef.SourceData_PastureBeef_Liveweight_Data(), Table_SourceData_PastureBeef_Liveweight[[#Headers],[State]], 0)</f>
        <v>350</v>
      </c>
      <c r="K28" s="35" cm="1">
        <f t="array" ref="K28">Common_InputFunctions.Utility_DisplayArrayInTable(SourceData_PastureBeef.SourceData_PastureBeef_Liveweight_Data(), Table_SourceData_PastureBeef_Liveweight[[#Headers],[State]], 0)</f>
        <v>530</v>
      </c>
      <c r="L28" s="35" cm="1">
        <f t="array" ref="L28">Common_InputFunctions.Utility_DisplayArrayInTable(SourceData_PastureBeef.SourceData_PastureBeef_Liveweight_Data(), Table_SourceData_PastureBeef_Liveweight[[#Headers],[State]], 0)</f>
        <v>160</v>
      </c>
      <c r="M28" s="35" cm="1">
        <f t="array" ref="M28">Common_InputFunctions.Utility_DisplayArrayInTable(SourceData_PastureBeef.SourceData_PastureBeef_Liveweight_Data(), Table_SourceData_PastureBeef_Liveweight[[#Headers],[State]], 0)</f>
        <v>460</v>
      </c>
      <c r="O28" s="35" t="str">
        <f>Table_SourceData_PastureBeef_LiveweightAllStates[[#Headers],[Steers &gt;3 years]]</f>
        <v>Steers &gt;3 years</v>
      </c>
      <c r="S28" s="35" t="s">
        <v>163</v>
      </c>
    </row>
    <row r="29" spans="1:19" ht="20.100000000000001" customHeight="1" x14ac:dyDescent="0.25">
      <c r="D29" s="1" t="str" cm="1">
        <f t="array" ref="D29">Common_InputFunctions.Utility_DisplayArrayInTable(SourceData_PastureBeef.SourceData_PastureBeef_Liveweight_Data(), Table_SourceData_PastureBeef_Liveweight[[#Headers],[State]], 0)</f>
        <v>Tasmania</v>
      </c>
      <c r="E29" s="35" t="str" cm="1">
        <f t="array" ref="E29">Common_InputFunctions.Utility_DisplayArrayInTable(SourceData_PastureBeef.SourceData_PastureBeef_Liveweight_Data(), Table_SourceData_PastureBeef_Liveweight[[#Headers],[State]], 0)</f>
        <v>n/a</v>
      </c>
      <c r="F29" s="35" t="str" cm="1">
        <f t="array" ref="F29">Common_InputFunctions.Utility_DisplayArrayInTable(SourceData_PastureBeef.SourceData_PastureBeef_Liveweight_Data(), Table_SourceData_PastureBeef_Liveweight[[#Headers],[State]], 0)</f>
        <v>Autumn</v>
      </c>
      <c r="G29" s="35" cm="1">
        <f t="array" ref="G29">Common_InputFunctions.Utility_DisplayArrayInTable(SourceData_PastureBeef.SourceData_PastureBeef_Liveweight_Data(), Table_SourceData_PastureBeef_Liveweight[[#Headers],[State]], 0)</f>
        <v>250</v>
      </c>
      <c r="H29" s="35" cm="1">
        <f t="array" ref="H29">Common_InputFunctions.Utility_DisplayArrayInTable(SourceData_PastureBeef.SourceData_PastureBeef_Liveweight_Data(), Table_SourceData_PastureBeef_Liveweight[[#Headers],[State]], 0)</f>
        <v>725</v>
      </c>
      <c r="I29" s="35" cm="1">
        <f t="array" ref="I29">Common_InputFunctions.Utility_DisplayArrayInTable(SourceData_PastureBeef.SourceData_PastureBeef_Liveweight_Data(), Table_SourceData_PastureBeef_Liveweight[[#Headers],[State]], 0)</f>
        <v>200</v>
      </c>
      <c r="J29" s="35" cm="1">
        <f t="array" ref="J29">Common_InputFunctions.Utility_DisplayArrayInTable(SourceData_PastureBeef.SourceData_PastureBeef_Liveweight_Data(), Table_SourceData_PastureBeef_Liveweight[[#Headers],[State]], 0)</f>
        <v>360</v>
      </c>
      <c r="K29" s="35" cm="1">
        <f t="array" ref="K29">Common_InputFunctions.Utility_DisplayArrayInTable(SourceData_PastureBeef.SourceData_PastureBeef_Liveweight_Data(), Table_SourceData_PastureBeef_Liveweight[[#Headers],[State]], 0)</f>
        <v>500</v>
      </c>
      <c r="L29" s="35" cm="1">
        <f t="array" ref="L29">Common_InputFunctions.Utility_DisplayArrayInTable(SourceData_PastureBeef.SourceData_PastureBeef_Liveweight_Data(), Table_SourceData_PastureBeef_Liveweight[[#Headers],[State]], 0)</f>
        <v>215</v>
      </c>
      <c r="M29" s="35" cm="1">
        <f t="array" ref="M29">Common_InputFunctions.Utility_DisplayArrayInTable(SourceData_PastureBeef.SourceData_PastureBeef_Liveweight_Data(), Table_SourceData_PastureBeef_Liveweight[[#Headers],[State]], 0)</f>
        <v>490</v>
      </c>
    </row>
    <row r="30" spans="1:19" ht="20.100000000000001" customHeight="1" x14ac:dyDescent="0.25">
      <c r="D30" s="1" t="str" cm="1">
        <f t="array" ref="D30">Common_InputFunctions.Utility_DisplayArrayInTable(SourceData_PastureBeef.SourceData_PastureBeef_Liveweight_Data(), Table_SourceData_PastureBeef_Liveweight[[#Headers],[State]], 0)</f>
        <v>Tasmania</v>
      </c>
      <c r="E30" s="35" t="str" cm="1">
        <f t="array" ref="E30">Common_InputFunctions.Utility_DisplayArrayInTable(SourceData_PastureBeef.SourceData_PastureBeef_Liveweight_Data(), Table_SourceData_PastureBeef_Liveweight[[#Headers],[State]], 0)</f>
        <v>n/a</v>
      </c>
      <c r="F30" s="35" t="str" cm="1">
        <f t="array" ref="F30">Common_InputFunctions.Utility_DisplayArrayInTable(SourceData_PastureBeef.SourceData_PastureBeef_Liveweight_Data(), Table_SourceData_PastureBeef_Liveweight[[#Headers],[State]], 0)</f>
        <v>Winter</v>
      </c>
      <c r="G30" s="35" cm="1">
        <f t="array" ref="G30">Common_InputFunctions.Utility_DisplayArrayInTable(SourceData_PastureBeef.SourceData_PastureBeef_Liveweight_Data(), Table_SourceData_PastureBeef_Liveweight[[#Headers],[State]], 0)</f>
        <v>260</v>
      </c>
      <c r="H30" s="35" cm="1">
        <f t="array" ref="H30">Common_InputFunctions.Utility_DisplayArrayInTable(SourceData_PastureBeef.SourceData_PastureBeef_Liveweight_Data(), Table_SourceData_PastureBeef_Liveweight[[#Headers],[State]], 0)</f>
        <v>700</v>
      </c>
      <c r="I30" s="35" cm="1">
        <f t="array" ref="I30">Common_InputFunctions.Utility_DisplayArrayInTable(SourceData_PastureBeef.SourceData_PastureBeef_Liveweight_Data(), Table_SourceData_PastureBeef_Liveweight[[#Headers],[State]], 0)</f>
        <v>210</v>
      </c>
      <c r="J30" s="35" cm="1">
        <f t="array" ref="J30">Common_InputFunctions.Utility_DisplayArrayInTable(SourceData_PastureBeef.SourceData_PastureBeef_Liveweight_Data(), Table_SourceData_PastureBeef_Liveweight[[#Headers],[State]], 0)</f>
        <v>380</v>
      </c>
      <c r="K30" s="35" cm="1">
        <f t="array" ref="K30">Common_InputFunctions.Utility_DisplayArrayInTable(SourceData_PastureBeef.SourceData_PastureBeef_Liveweight_Data(), Table_SourceData_PastureBeef_Liveweight[[#Headers],[State]], 0)</f>
        <v>460</v>
      </c>
      <c r="L30" s="35" cm="1">
        <f t="array" ref="L30">Common_InputFunctions.Utility_DisplayArrayInTable(SourceData_PastureBeef.SourceData_PastureBeef_Liveweight_Data(), Table_SourceData_PastureBeef_Liveweight[[#Headers],[State]], 0)</f>
        <v>230</v>
      </c>
      <c r="M30" s="35" cm="1">
        <f t="array" ref="M30">Common_InputFunctions.Utility_DisplayArrayInTable(SourceData_PastureBeef.SourceData_PastureBeef_Liveweight_Data(), Table_SourceData_PastureBeef_Liveweight[[#Headers],[State]], 0)</f>
        <v>470</v>
      </c>
    </row>
    <row r="31" spans="1:19" ht="20.100000000000001" customHeight="1" x14ac:dyDescent="0.25">
      <c r="D31" s="1" t="str" cm="1">
        <f t="array" ref="D31">Common_InputFunctions.Utility_DisplayArrayInTable(SourceData_PastureBeef.SourceData_PastureBeef_Liveweight_Data(), Table_SourceData_PastureBeef_Liveweight[[#Headers],[State]], 0)</f>
        <v>Victoria</v>
      </c>
      <c r="E31" s="35" t="str" cm="1">
        <f t="array" ref="E31">Common_InputFunctions.Utility_DisplayArrayInTable(SourceData_PastureBeef.SourceData_PastureBeef_Liveweight_Data(), Table_SourceData_PastureBeef_Liveweight[[#Headers],[State]], 0)</f>
        <v>n/a</v>
      </c>
      <c r="F31" s="35" t="str" cm="1">
        <f t="array" ref="F31">Common_InputFunctions.Utility_DisplayArrayInTable(SourceData_PastureBeef.SourceData_PastureBeef_Liveweight_Data(), Table_SourceData_PastureBeef_Liveweight[[#Headers],[State]], 0)</f>
        <v>Spring</v>
      </c>
      <c r="G31" s="35" cm="1">
        <f t="array" ref="G31">Common_InputFunctions.Utility_DisplayArrayInTable(SourceData_PastureBeef.SourceData_PastureBeef_Liveweight_Data(), Table_SourceData_PastureBeef_Liveweight[[#Headers],[State]], 0)</f>
        <v>250</v>
      </c>
      <c r="H31" s="35" cm="1">
        <f t="array" ref="H31">Common_InputFunctions.Utility_DisplayArrayInTable(SourceData_PastureBeef.SourceData_PastureBeef_Liveweight_Data(), Table_SourceData_PastureBeef_Liveweight[[#Headers],[State]], 0)</f>
        <v>820</v>
      </c>
      <c r="I31" s="35" cm="1">
        <f t="array" ref="I31">Common_InputFunctions.Utility_DisplayArrayInTable(SourceData_PastureBeef.SourceData_PastureBeef_Liveweight_Data(), Table_SourceData_PastureBeef_Liveweight[[#Headers],[State]], 0)</f>
        <v>240</v>
      </c>
      <c r="J31" s="35" cm="1">
        <f t="array" ref="J31">Common_InputFunctions.Utility_DisplayArrayInTable(SourceData_PastureBeef.SourceData_PastureBeef_Liveweight_Data(), Table_SourceData_PastureBeef_Liveweight[[#Headers],[State]], 0)</f>
        <v>410</v>
      </c>
      <c r="K31" s="35" cm="1">
        <f t="array" ref="K31">Common_InputFunctions.Utility_DisplayArrayInTable(SourceData_PastureBeef.SourceData_PastureBeef_Liveweight_Data(), Table_SourceData_PastureBeef_Liveweight[[#Headers],[State]], 0)</f>
        <v>560</v>
      </c>
      <c r="L31" s="35" cm="1">
        <f t="array" ref="L31">Common_InputFunctions.Utility_DisplayArrayInTable(SourceData_PastureBeef.SourceData_PastureBeef_Liveweight_Data(), Table_SourceData_PastureBeef_Liveweight[[#Headers],[State]], 0)</f>
        <v>240</v>
      </c>
      <c r="M31" s="35" cm="1">
        <f t="array" ref="M31">Common_InputFunctions.Utility_DisplayArrayInTable(SourceData_PastureBeef.SourceData_PastureBeef_Liveweight_Data(), Table_SourceData_PastureBeef_Liveweight[[#Headers],[State]], 0)</f>
        <v>510</v>
      </c>
      <c r="O31" s="1" t="s">
        <v>271</v>
      </c>
    </row>
    <row r="32" spans="1:19" ht="20.100000000000001" customHeight="1" x14ac:dyDescent="0.25">
      <c r="D32" s="1" t="str" cm="1">
        <f t="array" ref="D32">Common_InputFunctions.Utility_DisplayArrayInTable(SourceData_PastureBeef.SourceData_PastureBeef_Liveweight_Data(), Table_SourceData_PastureBeef_Liveweight[[#Headers],[State]], 0)</f>
        <v>Victoria</v>
      </c>
      <c r="E32" s="35" t="str" cm="1">
        <f t="array" ref="E32">Common_InputFunctions.Utility_DisplayArrayInTable(SourceData_PastureBeef.SourceData_PastureBeef_Liveweight_Data(), Table_SourceData_PastureBeef_Liveweight[[#Headers],[State]], 0)</f>
        <v>n/a</v>
      </c>
      <c r="F32" s="35" t="str" cm="1">
        <f t="array" ref="F32">Common_InputFunctions.Utility_DisplayArrayInTable(SourceData_PastureBeef.SourceData_PastureBeef_Liveweight_Data(), Table_SourceData_PastureBeef_Liveweight[[#Headers],[State]], 0)</f>
        <v>Summer</v>
      </c>
      <c r="G32" s="35" cm="1">
        <f t="array" ref="G32">Common_InputFunctions.Utility_DisplayArrayInTable(SourceData_PastureBeef.SourceData_PastureBeef_Liveweight_Data(), Table_SourceData_PastureBeef_Liveweight[[#Headers],[State]], 0)</f>
        <v>280</v>
      </c>
      <c r="H32" s="35" cm="1">
        <f t="array" ref="H32">Common_InputFunctions.Utility_DisplayArrayInTable(SourceData_PastureBeef.SourceData_PastureBeef_Liveweight_Data(), Table_SourceData_PastureBeef_Liveweight[[#Headers],[State]], 0)</f>
        <v>850</v>
      </c>
      <c r="I32" s="35" cm="1">
        <f t="array" ref="I32">Common_InputFunctions.Utility_DisplayArrayInTable(SourceData_PastureBeef.SourceData_PastureBeef_Liveweight_Data(), Table_SourceData_PastureBeef_Liveweight[[#Headers],[State]], 0)</f>
        <v>260</v>
      </c>
      <c r="J32" s="35" cm="1">
        <f t="array" ref="J32">Common_InputFunctions.Utility_DisplayArrayInTable(SourceData_PastureBeef.SourceData_PastureBeef_Liveweight_Data(), Table_SourceData_PastureBeef_Liveweight[[#Headers],[State]], 0)</f>
        <v>440</v>
      </c>
      <c r="K32" s="35" cm="1">
        <f t="array" ref="K32">Common_InputFunctions.Utility_DisplayArrayInTable(SourceData_PastureBeef.SourceData_PastureBeef_Liveweight_Data(), Table_SourceData_PastureBeef_Liveweight[[#Headers],[State]], 0)</f>
        <v>550</v>
      </c>
      <c r="L32" s="35" cm="1">
        <f t="array" ref="L32">Common_InputFunctions.Utility_DisplayArrayInTable(SourceData_PastureBeef.SourceData_PastureBeef_Liveweight_Data(), Table_SourceData_PastureBeef_Liveweight[[#Headers],[State]], 0)</f>
        <v>270</v>
      </c>
      <c r="M32" s="35" cm="1">
        <f t="array" ref="M32">Common_InputFunctions.Utility_DisplayArrayInTable(SourceData_PastureBeef.SourceData_PastureBeef_Liveweight_Data(), Table_SourceData_PastureBeef_Liveweight[[#Headers],[State]], 0)</f>
        <v>520</v>
      </c>
      <c r="O32" s="35" t="s">
        <v>144</v>
      </c>
      <c r="P32" s="35" t="s">
        <v>272</v>
      </c>
    </row>
    <row r="33" spans="4:16" ht="20.100000000000001" customHeight="1" x14ac:dyDescent="0.25">
      <c r="D33" s="1" t="str" cm="1">
        <f t="array" ref="D33">Common_InputFunctions.Utility_DisplayArrayInTable(SourceData_PastureBeef.SourceData_PastureBeef_Liveweight_Data(), Table_SourceData_PastureBeef_Liveweight[[#Headers],[State]], 0)</f>
        <v>Victoria</v>
      </c>
      <c r="E33" s="35" t="str" cm="1">
        <f t="array" ref="E33">Common_InputFunctions.Utility_DisplayArrayInTable(SourceData_PastureBeef.SourceData_PastureBeef_Liveweight_Data(), Table_SourceData_PastureBeef_Liveweight[[#Headers],[State]], 0)</f>
        <v>n/a</v>
      </c>
      <c r="F33" s="35" t="str" cm="1">
        <f t="array" ref="F33">Common_InputFunctions.Utility_DisplayArrayInTable(SourceData_PastureBeef.SourceData_PastureBeef_Liveweight_Data(), Table_SourceData_PastureBeef_Liveweight[[#Headers],[State]], 0)</f>
        <v>Autumn</v>
      </c>
      <c r="G33" s="35" cm="1">
        <f t="array" ref="G33">Common_InputFunctions.Utility_DisplayArrayInTable(SourceData_PastureBeef.SourceData_PastureBeef_Liveweight_Data(), Table_SourceData_PastureBeef_Liveweight[[#Headers],[State]], 0)</f>
        <v>100</v>
      </c>
      <c r="H33" s="35" cm="1">
        <f t="array" ref="H33">Common_InputFunctions.Utility_DisplayArrayInTable(SourceData_PastureBeef.SourceData_PastureBeef_Liveweight_Data(), Table_SourceData_PastureBeef_Liveweight[[#Headers],[State]], 0)</f>
        <v>700</v>
      </c>
      <c r="I33" s="35" cm="1">
        <f t="array" ref="I33">Common_InputFunctions.Utility_DisplayArrayInTable(SourceData_PastureBeef.SourceData_PastureBeef_Liveweight_Data(), Table_SourceData_PastureBeef_Liveweight[[#Headers],[State]], 0)</f>
        <v>95</v>
      </c>
      <c r="J33" s="35" cm="1">
        <f t="array" ref="J33">Common_InputFunctions.Utility_DisplayArrayInTable(SourceData_PastureBeef.SourceData_PastureBeef_Liveweight_Data(), Table_SourceData_PastureBeef_Liveweight[[#Headers],[State]], 0)</f>
        <v>300</v>
      </c>
      <c r="K33" s="35" cm="1">
        <f t="array" ref="K33">Common_InputFunctions.Utility_DisplayArrayInTable(SourceData_PastureBeef.SourceData_PastureBeef_Liveweight_Data(), Table_SourceData_PastureBeef_Liveweight[[#Headers],[State]], 0)</f>
        <v>450</v>
      </c>
      <c r="L33" s="35" cm="1">
        <f t="array" ref="L33">Common_InputFunctions.Utility_DisplayArrayInTable(SourceData_PastureBeef.SourceData_PastureBeef_Liveweight_Data(), Table_SourceData_PastureBeef_Liveweight[[#Headers],[State]], 0)</f>
        <v>95</v>
      </c>
      <c r="M33" s="35" cm="1">
        <f t="array" ref="M33">Common_InputFunctions.Utility_DisplayArrayInTable(SourceData_PastureBeef.SourceData_PastureBeef_Liveweight_Data(), Table_SourceData_PastureBeef_Liveweight[[#Headers],[State]], 0)</f>
        <v>410</v>
      </c>
      <c r="O33" s="35" t="s">
        <v>65</v>
      </c>
      <c r="P33" s="35" t="s">
        <v>66</v>
      </c>
    </row>
    <row r="34" spans="4:16" ht="20.100000000000001" customHeight="1" x14ac:dyDescent="0.25">
      <c r="D34" s="1" t="str" cm="1">
        <f t="array" ref="D34">Common_InputFunctions.Utility_DisplayArrayInTable(SourceData_PastureBeef.SourceData_PastureBeef_Liveweight_Data(), Table_SourceData_PastureBeef_Liveweight[[#Headers],[State]], 0)</f>
        <v>Victoria</v>
      </c>
      <c r="E34" s="35" t="str" cm="1">
        <f t="array" ref="E34">Common_InputFunctions.Utility_DisplayArrayInTable(SourceData_PastureBeef.SourceData_PastureBeef_Liveweight_Data(), Table_SourceData_PastureBeef_Liveweight[[#Headers],[State]], 0)</f>
        <v>n/a</v>
      </c>
      <c r="F34" s="35" t="str" cm="1">
        <f t="array" ref="F34">Common_InputFunctions.Utility_DisplayArrayInTable(SourceData_PastureBeef.SourceData_PastureBeef_Liveweight_Data(), Table_SourceData_PastureBeef_Liveweight[[#Headers],[State]], 0)</f>
        <v>Winter</v>
      </c>
      <c r="G34" s="35" cm="1">
        <f t="array" ref="G34">Common_InputFunctions.Utility_DisplayArrayInTable(SourceData_PastureBeef.SourceData_PastureBeef_Liveweight_Data(), Table_SourceData_PastureBeef_Liveweight[[#Headers],[State]], 0)</f>
        <v>150</v>
      </c>
      <c r="H34" s="35" cm="1">
        <f t="array" ref="H34">Common_InputFunctions.Utility_DisplayArrayInTable(SourceData_PastureBeef.SourceData_PastureBeef_Liveweight_Data(), Table_SourceData_PastureBeef_Liveweight[[#Headers],[State]], 0)</f>
        <v>720</v>
      </c>
      <c r="I34" s="35" cm="1">
        <f t="array" ref="I34">Common_InputFunctions.Utility_DisplayArrayInTable(SourceData_PastureBeef.SourceData_PastureBeef_Liveweight_Data(), Table_SourceData_PastureBeef_Liveweight[[#Headers],[State]], 0)</f>
        <v>140</v>
      </c>
      <c r="J34" s="35" cm="1">
        <f t="array" ref="J34">Common_InputFunctions.Utility_DisplayArrayInTable(SourceData_PastureBeef.SourceData_PastureBeef_Liveweight_Data(), Table_SourceData_PastureBeef_Liveweight[[#Headers],[State]], 0)</f>
        <v>320</v>
      </c>
      <c r="K34" s="35" cm="1">
        <f t="array" ref="K34">Common_InputFunctions.Utility_DisplayArrayInTable(SourceData_PastureBeef.SourceData_PastureBeef_Liveweight_Data(), Table_SourceData_PastureBeef_Liveweight[[#Headers],[State]], 0)</f>
        <v>470</v>
      </c>
      <c r="L34" s="35" cm="1">
        <f t="array" ref="L34">Common_InputFunctions.Utility_DisplayArrayInTable(SourceData_PastureBeef.SourceData_PastureBeef_Liveweight_Data(), Table_SourceData_PastureBeef_Liveweight[[#Headers],[State]], 0)</f>
        <v>140</v>
      </c>
      <c r="M34" s="35" cm="1">
        <f t="array" ref="M34">Common_InputFunctions.Utility_DisplayArrayInTable(SourceData_PastureBeef.SourceData_PastureBeef_Liveweight_Data(), Table_SourceData_PastureBeef_Liveweight[[#Headers],[State]], 0)</f>
        <v>440</v>
      </c>
      <c r="O34" s="35" t="s">
        <v>66</v>
      </c>
      <c r="P34" s="35" t="s">
        <v>66</v>
      </c>
    </row>
    <row r="35" spans="4:16" ht="20.100000000000001" customHeight="1" x14ac:dyDescent="0.25">
      <c r="D35" s="1" t="str" cm="1">
        <f t="array" ref="D35">Common_InputFunctions.Utility_DisplayArrayInTable(SourceData_PastureBeef.SourceData_PastureBeef_Liveweight_Data(), Table_SourceData_PastureBeef_Liveweight[[#Headers],[State]], 0)</f>
        <v>Western Australia</v>
      </c>
      <c r="E35" s="35" t="str" cm="1">
        <f t="array" ref="E35">Common_InputFunctions.Utility_DisplayArrayInTable(SourceData_PastureBeef.SourceData_PastureBeef_Liveweight_Data(), Table_SourceData_PastureBeef_Liveweight[[#Headers],[State]], 0)</f>
        <v>South West</v>
      </c>
      <c r="F35" s="35" t="str" cm="1">
        <f t="array" ref="F35">Common_InputFunctions.Utility_DisplayArrayInTable(SourceData_PastureBeef.SourceData_PastureBeef_Liveweight_Data(), Table_SourceData_PastureBeef_Liveweight[[#Headers],[State]], 0)</f>
        <v>Spring</v>
      </c>
      <c r="G35" s="35" cm="1">
        <f t="array" ref="G35">Common_InputFunctions.Utility_DisplayArrayInTable(SourceData_PastureBeef.SourceData_PastureBeef_Liveweight_Data(), Table_SourceData_PastureBeef_Liveweight[[#Headers],[State]], 0)</f>
        <v>340</v>
      </c>
      <c r="H35" s="35" cm="1">
        <f t="array" ref="H35">Common_InputFunctions.Utility_DisplayArrayInTable(SourceData_PastureBeef.SourceData_PastureBeef_Liveweight_Data(), Table_SourceData_PastureBeef_Liveweight[[#Headers],[State]], 0)</f>
        <v>800</v>
      </c>
      <c r="I35" s="35" cm="1">
        <f t="array" ref="I35">Common_InputFunctions.Utility_DisplayArrayInTable(SourceData_PastureBeef.SourceData_PastureBeef_Liveweight_Data(), Table_SourceData_PastureBeef_Liveweight[[#Headers],[State]], 0)</f>
        <v>260</v>
      </c>
      <c r="J35" s="35" cm="1">
        <f t="array" ref="J35">Common_InputFunctions.Utility_DisplayArrayInTable(SourceData_PastureBeef.SourceData_PastureBeef_Liveweight_Data(), Table_SourceData_PastureBeef_Liveweight[[#Headers],[State]], 0)</f>
        <v>420</v>
      </c>
      <c r="K35" s="35" cm="1">
        <f t="array" ref="K35">Common_InputFunctions.Utility_DisplayArrayInTable(SourceData_PastureBeef.SourceData_PastureBeef_Liveweight_Data(), Table_SourceData_PastureBeef_Liveweight[[#Headers],[State]], 0)</f>
        <v>550</v>
      </c>
      <c r="L35" s="35" cm="1">
        <f t="array" ref="L35">Common_InputFunctions.Utility_DisplayArrayInTable(SourceData_PastureBeef.SourceData_PastureBeef_Liveweight_Data(), Table_SourceData_PastureBeef_Liveweight[[#Headers],[State]], 0)</f>
        <v>300</v>
      </c>
      <c r="M35" s="35" cm="1">
        <f t="array" ref="M35">Common_InputFunctions.Utility_DisplayArrayInTable(SourceData_PastureBeef.SourceData_PastureBeef_Liveweight_Data(), Table_SourceData_PastureBeef_Liveweight[[#Headers],[State]], 0)</f>
        <v>480</v>
      </c>
      <c r="O35" s="35" t="s">
        <v>69</v>
      </c>
      <c r="P35" s="35" t="s">
        <v>69</v>
      </c>
    </row>
    <row r="36" spans="4:16" ht="20.100000000000001" customHeight="1" x14ac:dyDescent="0.25">
      <c r="D36" s="1" t="str" cm="1">
        <f t="array" ref="D36">Common_InputFunctions.Utility_DisplayArrayInTable(SourceData_PastureBeef.SourceData_PastureBeef_Liveweight_Data(), Table_SourceData_PastureBeef_Liveweight[[#Headers],[State]], 0)</f>
        <v>Western Australia</v>
      </c>
      <c r="E36" s="35" t="str" cm="1">
        <f t="array" ref="E36">Common_InputFunctions.Utility_DisplayArrayInTable(SourceData_PastureBeef.SourceData_PastureBeef_Liveweight_Data(), Table_SourceData_PastureBeef_Liveweight[[#Headers],[State]], 0)</f>
        <v>South West</v>
      </c>
      <c r="F36" s="35" t="str" cm="1">
        <f t="array" ref="F36">Common_InputFunctions.Utility_DisplayArrayInTable(SourceData_PastureBeef.SourceData_PastureBeef_Liveweight_Data(), Table_SourceData_PastureBeef_Liveweight[[#Headers],[State]], 0)</f>
        <v>Summer</v>
      </c>
      <c r="G36" s="35" cm="1">
        <f t="array" ref="G36">Common_InputFunctions.Utility_DisplayArrayInTable(SourceData_PastureBeef.SourceData_PastureBeef_Liveweight_Data(), Table_SourceData_PastureBeef_Liveweight[[#Headers],[State]], 0)</f>
        <v>380</v>
      </c>
      <c r="H36" s="35" cm="1">
        <f t="array" ref="H36">Common_InputFunctions.Utility_DisplayArrayInTable(SourceData_PastureBeef.SourceData_PastureBeef_Liveweight_Data(), Table_SourceData_PastureBeef_Liveweight[[#Headers],[State]], 0)</f>
        <v>780</v>
      </c>
      <c r="I36" s="35" cm="1">
        <f t="array" ref="I36">Common_InputFunctions.Utility_DisplayArrayInTable(SourceData_PastureBeef.SourceData_PastureBeef_Liveweight_Data(), Table_SourceData_PastureBeef_Liveweight[[#Headers],[State]], 0)</f>
        <v>300</v>
      </c>
      <c r="J36" s="35" cm="1">
        <f t="array" ref="J36">Common_InputFunctions.Utility_DisplayArrayInTable(SourceData_PastureBeef.SourceData_PastureBeef_Liveweight_Data(), Table_SourceData_PastureBeef_Liveweight[[#Headers],[State]], 0)</f>
        <v>450</v>
      </c>
      <c r="K36" s="35" cm="1">
        <f t="array" ref="K36">Common_InputFunctions.Utility_DisplayArrayInTable(SourceData_PastureBeef.SourceData_PastureBeef_Liveweight_Data(), Table_SourceData_PastureBeef_Liveweight[[#Headers],[State]], 0)</f>
        <v>530</v>
      </c>
      <c r="L36" s="35" cm="1">
        <f t="array" ref="L36">Common_InputFunctions.Utility_DisplayArrayInTable(SourceData_PastureBeef.SourceData_PastureBeef_Liveweight_Data(), Table_SourceData_PastureBeef_Liveweight[[#Headers],[State]], 0)</f>
        <v>340</v>
      </c>
      <c r="M36" s="35" cm="1">
        <f t="array" ref="M36">Common_InputFunctions.Utility_DisplayArrayInTable(SourceData_PastureBeef.SourceData_PastureBeef_Liveweight_Data(), Table_SourceData_PastureBeef_Liveweight[[#Headers],[State]], 0)</f>
        <v>470</v>
      </c>
      <c r="O36" s="35" t="s">
        <v>70</v>
      </c>
      <c r="P36" s="35" t="s">
        <v>70</v>
      </c>
    </row>
    <row r="37" spans="4:16" ht="20.100000000000001" customHeight="1" x14ac:dyDescent="0.25">
      <c r="D37" s="1" t="str" cm="1">
        <f t="array" ref="D37">Common_InputFunctions.Utility_DisplayArrayInTable(SourceData_PastureBeef.SourceData_PastureBeef_Liveweight_Data(), Table_SourceData_PastureBeef_Liveweight[[#Headers],[State]], 0)</f>
        <v>Western Australia</v>
      </c>
      <c r="E37" s="35" t="str" cm="1">
        <f t="array" ref="E37">Common_InputFunctions.Utility_DisplayArrayInTable(SourceData_PastureBeef.SourceData_PastureBeef_Liveweight_Data(), Table_SourceData_PastureBeef_Liveweight[[#Headers],[State]], 0)</f>
        <v>South West</v>
      </c>
      <c r="F37" s="35" t="str" cm="1">
        <f t="array" ref="F37">Common_InputFunctions.Utility_DisplayArrayInTable(SourceData_PastureBeef.SourceData_PastureBeef_Liveweight_Data(), Table_SourceData_PastureBeef_Liveweight[[#Headers],[State]], 0)</f>
        <v>Autumn</v>
      </c>
      <c r="G37" s="35" cm="1">
        <f t="array" ref="G37">Common_InputFunctions.Utility_DisplayArrayInTable(SourceData_PastureBeef.SourceData_PastureBeef_Liveweight_Data(), Table_SourceData_PastureBeef_Liveweight[[#Headers],[State]], 0)</f>
        <v>100</v>
      </c>
      <c r="H37" s="35" cm="1">
        <f t="array" ref="H37">Common_InputFunctions.Utility_DisplayArrayInTable(SourceData_PastureBeef.SourceData_PastureBeef_Liveweight_Data(), Table_SourceData_PastureBeef_Liveweight[[#Headers],[State]], 0)</f>
        <v>680</v>
      </c>
      <c r="I37" s="35" cm="1">
        <f t="array" ref="I37">Common_InputFunctions.Utility_DisplayArrayInTable(SourceData_PastureBeef.SourceData_PastureBeef_Liveweight_Data(), Table_SourceData_PastureBeef_Liveweight[[#Headers],[State]], 0)</f>
        <v>80</v>
      </c>
      <c r="J37" s="35" cm="1">
        <f t="array" ref="J37">Common_InputFunctions.Utility_DisplayArrayInTable(SourceData_PastureBeef.SourceData_PastureBeef_Liveweight_Data(), Table_SourceData_PastureBeef_Liveweight[[#Headers],[State]], 0)</f>
        <v>320</v>
      </c>
      <c r="K37" s="35" cm="1">
        <f t="array" ref="K37">Common_InputFunctions.Utility_DisplayArrayInTable(SourceData_PastureBeef.SourceData_PastureBeef_Liveweight_Data(), Table_SourceData_PastureBeef_Liveweight[[#Headers],[State]], 0)</f>
        <v>480</v>
      </c>
      <c r="L37" s="35" cm="1">
        <f t="array" ref="L37">Common_InputFunctions.Utility_DisplayArrayInTable(SourceData_PastureBeef.SourceData_PastureBeef_Liveweight_Data(), Table_SourceData_PastureBeef_Liveweight[[#Headers],[State]], 0)</f>
        <v>100</v>
      </c>
      <c r="M37" s="35" cm="1">
        <f t="array" ref="M37">Common_InputFunctions.Utility_DisplayArrayInTable(SourceData_PastureBeef.SourceData_PastureBeef_Liveweight_Data(), Table_SourceData_PastureBeef_Liveweight[[#Headers],[State]], 0)</f>
        <v>340</v>
      </c>
      <c r="O37" s="35" t="s">
        <v>71</v>
      </c>
      <c r="P37" s="35" t="s">
        <v>71</v>
      </c>
    </row>
    <row r="38" spans="4:16" ht="20.100000000000001" customHeight="1" x14ac:dyDescent="0.25">
      <c r="D38" s="1" t="str" cm="1">
        <f t="array" ref="D38">Common_InputFunctions.Utility_DisplayArrayInTable(SourceData_PastureBeef.SourceData_PastureBeef_Liveweight_Data(), Table_SourceData_PastureBeef_Liveweight[[#Headers],[State]], 0)</f>
        <v>Western Australia</v>
      </c>
      <c r="E38" s="35" t="str" cm="1">
        <f t="array" ref="E38">Common_InputFunctions.Utility_DisplayArrayInTable(SourceData_PastureBeef.SourceData_PastureBeef_Liveweight_Data(), Table_SourceData_PastureBeef_Liveweight[[#Headers],[State]], 0)</f>
        <v>South West</v>
      </c>
      <c r="F38" s="35" t="str" cm="1">
        <f t="array" ref="F38">Common_InputFunctions.Utility_DisplayArrayInTable(SourceData_PastureBeef.SourceData_PastureBeef_Liveweight_Data(), Table_SourceData_PastureBeef_Liveweight[[#Headers],[State]], 0)</f>
        <v>Winter</v>
      </c>
      <c r="G38" s="35" cm="1">
        <f t="array" ref="G38">Common_InputFunctions.Utility_DisplayArrayInTable(SourceData_PastureBeef.SourceData_PastureBeef_Liveweight_Data(), Table_SourceData_PastureBeef_Liveweight[[#Headers],[State]], 0)</f>
        <v>190</v>
      </c>
      <c r="H38" s="35" cm="1">
        <f t="array" ref="H38">Common_InputFunctions.Utility_DisplayArrayInTable(SourceData_PastureBeef.SourceData_PastureBeef_Liveweight_Data(), Table_SourceData_PastureBeef_Liveweight[[#Headers],[State]], 0)</f>
        <v>700</v>
      </c>
      <c r="I38" s="35" cm="1">
        <f t="array" ref="I38">Common_InputFunctions.Utility_DisplayArrayInTable(SourceData_PastureBeef.SourceData_PastureBeef_Liveweight_Data(), Table_SourceData_PastureBeef_Liveweight[[#Headers],[State]], 0)</f>
        <v>150</v>
      </c>
      <c r="J38" s="35" cm="1">
        <f t="array" ref="J38">Common_InputFunctions.Utility_DisplayArrayInTable(SourceData_PastureBeef.SourceData_PastureBeef_Liveweight_Data(), Table_SourceData_PastureBeef_Liveweight[[#Headers],[State]], 0)</f>
        <v>330</v>
      </c>
      <c r="K38" s="35" cm="1">
        <f t="array" ref="K38">Common_InputFunctions.Utility_DisplayArrayInTable(SourceData_PastureBeef.SourceData_PastureBeef_Liveweight_Data(), Table_SourceData_PastureBeef_Liveweight[[#Headers],[State]], 0)</f>
        <v>490</v>
      </c>
      <c r="L38" s="35" cm="1">
        <f t="array" ref="L38">Common_InputFunctions.Utility_DisplayArrayInTable(SourceData_PastureBeef.SourceData_PastureBeef_Liveweight_Data(), Table_SourceData_PastureBeef_Liveweight[[#Headers],[State]], 0)</f>
        <v>170</v>
      </c>
      <c r="M38" s="35" cm="1">
        <f t="array" ref="M38">Common_InputFunctions.Utility_DisplayArrayInTable(SourceData_PastureBeef.SourceData_PastureBeef_Liveweight_Data(), Table_SourceData_PastureBeef_Liveweight[[#Headers],[State]], 0)</f>
        <v>360</v>
      </c>
      <c r="O38" s="35" t="s">
        <v>273</v>
      </c>
      <c r="P38" s="35" t="s">
        <v>72</v>
      </c>
    </row>
    <row r="39" spans="4:16" ht="20.100000000000001" customHeight="1" x14ac:dyDescent="0.25">
      <c r="D39" s="1" t="str" cm="1">
        <f t="array" ref="D39">Common_InputFunctions.Utility_DisplayArrayInTable(SourceData_PastureBeef.SourceData_PastureBeef_Liveweight_Data(), Table_SourceData_PastureBeef_Liveweight[[#Headers],[State]], 0)</f>
        <v>Western Australia</v>
      </c>
      <c r="E39" s="35" t="str" cm="1">
        <f t="array" ref="E39">Common_InputFunctions.Utility_DisplayArrayInTable(SourceData_PastureBeef.SourceData_PastureBeef_Liveweight_Data(), Table_SourceData_PastureBeef_Liveweight[[#Headers],[State]], 0)</f>
        <v>Pilbara</v>
      </c>
      <c r="F39" s="35" t="str" cm="1">
        <f t="array" ref="F39">Common_InputFunctions.Utility_DisplayArrayInTable(SourceData_PastureBeef.SourceData_PastureBeef_Liveweight_Data(), Table_SourceData_PastureBeef_Liveweight[[#Headers],[State]], 0)</f>
        <v>Spring</v>
      </c>
      <c r="G39" s="35" cm="1">
        <f t="array" ref="G39">Common_InputFunctions.Utility_DisplayArrayInTable(SourceData_PastureBeef.SourceData_PastureBeef_Liveweight_Data(), Table_SourceData_PastureBeef_Liveweight[[#Headers],[State]], 0)</f>
        <v>80</v>
      </c>
      <c r="H39" s="35" cm="1">
        <f t="array" ref="H39">Common_InputFunctions.Utility_DisplayArrayInTable(SourceData_PastureBeef.SourceData_PastureBeef_Liveweight_Data(), Table_SourceData_PastureBeef_Liveweight[[#Headers],[State]], 0)</f>
        <v>450</v>
      </c>
      <c r="I39" s="35" cm="1">
        <f t="array" ref="I39">Common_InputFunctions.Utility_DisplayArrayInTable(SourceData_PastureBeef.SourceData_PastureBeef_Liveweight_Data(), Table_SourceData_PastureBeef_Liveweight[[#Headers],[State]], 0)</f>
        <v>70</v>
      </c>
      <c r="J39" s="35" cm="1">
        <f t="array" ref="J39">Common_InputFunctions.Utility_DisplayArrayInTable(SourceData_PastureBeef.SourceData_PastureBeef_Liveweight_Data(), Table_SourceData_PastureBeef_Liveweight[[#Headers],[State]], 0)</f>
        <v>260</v>
      </c>
      <c r="K39" s="35" cm="1">
        <f t="array" ref="K39">Common_InputFunctions.Utility_DisplayArrayInTable(SourceData_PastureBeef.SourceData_PastureBeef_Liveweight_Data(), Table_SourceData_PastureBeef_Liveweight[[#Headers],[State]], 0)</f>
        <v>340</v>
      </c>
      <c r="L39" s="35" cm="1">
        <f t="array" ref="L39">Common_InputFunctions.Utility_DisplayArrayInTable(SourceData_PastureBeef.SourceData_PastureBeef_Liveweight_Data(), Table_SourceData_PastureBeef_Liveweight[[#Headers],[State]], 0)</f>
        <v>80</v>
      </c>
      <c r="M39" s="35" cm="1">
        <f t="array" ref="M39">Common_InputFunctions.Utility_DisplayArrayInTable(SourceData_PastureBeef.SourceData_PastureBeef_Liveweight_Data(), Table_SourceData_PastureBeef_Liveweight[[#Headers],[State]], 0)</f>
        <v>370</v>
      </c>
      <c r="O39" s="35" t="s">
        <v>274</v>
      </c>
      <c r="P39" s="35" t="s">
        <v>72</v>
      </c>
    </row>
    <row r="40" spans="4:16" ht="20.100000000000001" customHeight="1" x14ac:dyDescent="0.25">
      <c r="D40" s="1" t="str" cm="1">
        <f t="array" ref="D40">Common_InputFunctions.Utility_DisplayArrayInTable(SourceData_PastureBeef.SourceData_PastureBeef_Liveweight_Data(), Table_SourceData_PastureBeef_Liveweight[[#Headers],[State]], 0)</f>
        <v>Western Australia</v>
      </c>
      <c r="E40" s="35" t="str" cm="1">
        <f t="array" ref="E40">Common_InputFunctions.Utility_DisplayArrayInTable(SourceData_PastureBeef.SourceData_PastureBeef_Liveweight_Data(), Table_SourceData_PastureBeef_Liveweight[[#Headers],[State]], 0)</f>
        <v>Pilbara</v>
      </c>
      <c r="F40" s="35" t="str" cm="1">
        <f t="array" ref="F40">Common_InputFunctions.Utility_DisplayArrayInTable(SourceData_PastureBeef.SourceData_PastureBeef_Liveweight_Data(), Table_SourceData_PastureBeef_Liveweight[[#Headers],[State]], 0)</f>
        <v>Summer</v>
      </c>
      <c r="G40" s="35" cm="1">
        <f t="array" ref="G40">Common_InputFunctions.Utility_DisplayArrayInTable(SourceData_PastureBeef.SourceData_PastureBeef_Liveweight_Data(), Table_SourceData_PastureBeef_Liveweight[[#Headers],[State]], 0)</f>
        <v>150</v>
      </c>
      <c r="H40" s="35" cm="1">
        <f t="array" ref="H40">Common_InputFunctions.Utility_DisplayArrayInTable(SourceData_PastureBeef.SourceData_PastureBeef_Liveweight_Data(), Table_SourceData_PastureBeef_Liveweight[[#Headers],[State]], 0)</f>
        <v>500</v>
      </c>
      <c r="I40" s="35" cm="1">
        <f t="array" ref="I40">Common_InputFunctions.Utility_DisplayArrayInTable(SourceData_PastureBeef.SourceData_PastureBeef_Liveweight_Data(), Table_SourceData_PastureBeef_Liveweight[[#Headers],[State]], 0)</f>
        <v>140</v>
      </c>
      <c r="J40" s="35" cm="1">
        <f t="array" ref="J40">Common_InputFunctions.Utility_DisplayArrayInTable(SourceData_PastureBeef.SourceData_PastureBeef_Liveweight_Data(), Table_SourceData_PastureBeef_Liveweight[[#Headers],[State]], 0)</f>
        <v>310</v>
      </c>
      <c r="K40" s="35" cm="1">
        <f t="array" ref="K40">Common_InputFunctions.Utility_DisplayArrayInTable(SourceData_PastureBeef.SourceData_PastureBeef_Liveweight_Data(), Table_SourceData_PastureBeef_Liveweight[[#Headers],[State]], 0)</f>
        <v>360</v>
      </c>
      <c r="L40" s="35" cm="1">
        <f t="array" ref="L40">Common_InputFunctions.Utility_DisplayArrayInTable(SourceData_PastureBeef.SourceData_PastureBeef_Liveweight_Data(), Table_SourceData_PastureBeef_Liveweight[[#Headers],[State]], 0)</f>
        <v>150</v>
      </c>
      <c r="M40" s="35" cm="1">
        <f t="array" ref="M40">Common_InputFunctions.Utility_DisplayArrayInTable(SourceData_PastureBeef.SourceData_PastureBeef_Liveweight_Data(), Table_SourceData_PastureBeef_Liveweight[[#Headers],[State]], 0)</f>
        <v>400</v>
      </c>
      <c r="O40" s="35" t="s">
        <v>275</v>
      </c>
      <c r="P40" s="35" t="s">
        <v>72</v>
      </c>
    </row>
    <row r="41" spans="4:16" ht="20.100000000000001" customHeight="1" x14ac:dyDescent="0.25">
      <c r="D41" s="1" t="str" cm="1">
        <f t="array" ref="D41">Common_InputFunctions.Utility_DisplayArrayInTable(SourceData_PastureBeef.SourceData_PastureBeef_Liveweight_Data(), Table_SourceData_PastureBeef_Liveweight[[#Headers],[State]], 0)</f>
        <v>Western Australia</v>
      </c>
      <c r="E41" s="35" t="str" cm="1">
        <f t="array" ref="E41">Common_InputFunctions.Utility_DisplayArrayInTable(SourceData_PastureBeef.SourceData_PastureBeef_Liveweight_Data(), Table_SourceData_PastureBeef_Liveweight[[#Headers],[State]], 0)</f>
        <v>Pilbara</v>
      </c>
      <c r="F41" s="35" t="str" cm="1">
        <f t="array" ref="F41">Common_InputFunctions.Utility_DisplayArrayInTable(SourceData_PastureBeef.SourceData_PastureBeef_Liveweight_Data(), Table_SourceData_PastureBeef_Liveweight[[#Headers],[State]], 0)</f>
        <v>Autumn</v>
      </c>
      <c r="G41" s="35" cm="1">
        <f t="array" ref="G41">Common_InputFunctions.Utility_DisplayArrayInTable(SourceData_PastureBeef.SourceData_PastureBeef_Liveweight_Data(), Table_SourceData_PastureBeef_Liveweight[[#Headers],[State]], 0)</f>
        <v>230</v>
      </c>
      <c r="H41" s="35" cm="1">
        <f t="array" ref="H41">Common_InputFunctions.Utility_DisplayArrayInTable(SourceData_PastureBeef.SourceData_PastureBeef_Liveweight_Data(), Table_SourceData_PastureBeef_Liveweight[[#Headers],[State]], 0)</f>
        <v>550</v>
      </c>
      <c r="I41" s="35" cm="1">
        <f t="array" ref="I41">Common_InputFunctions.Utility_DisplayArrayInTable(SourceData_PastureBeef.SourceData_PastureBeef_Liveweight_Data(), Table_SourceData_PastureBeef_Liveweight[[#Headers],[State]], 0)</f>
        <v>220</v>
      </c>
      <c r="J41" s="35" cm="1">
        <f t="array" ref="J41">Common_InputFunctions.Utility_DisplayArrayInTable(SourceData_PastureBeef.SourceData_PastureBeef_Liveweight_Data(), Table_SourceData_PastureBeef_Liveweight[[#Headers],[State]], 0)</f>
        <v>330</v>
      </c>
      <c r="K41" s="35" cm="1">
        <f t="array" ref="K41">Common_InputFunctions.Utility_DisplayArrayInTable(SourceData_PastureBeef.SourceData_PastureBeef_Liveweight_Data(), Table_SourceData_PastureBeef_Liveweight[[#Headers],[State]], 0)</f>
        <v>380</v>
      </c>
      <c r="L41" s="35" cm="1">
        <f t="array" ref="L41">Common_InputFunctions.Utility_DisplayArrayInTable(SourceData_PastureBeef.SourceData_PastureBeef_Liveweight_Data(), Table_SourceData_PastureBeef_Liveweight[[#Headers],[State]], 0)</f>
        <v>230</v>
      </c>
      <c r="M41" s="35" cm="1">
        <f t="array" ref="M41">Common_InputFunctions.Utility_DisplayArrayInTable(SourceData_PastureBeef.SourceData_PastureBeef_Liveweight_Data(), Table_SourceData_PastureBeef_Liveweight[[#Headers],[State]], 0)</f>
        <v>420</v>
      </c>
      <c r="O41" s="35" t="s">
        <v>276</v>
      </c>
      <c r="P41" s="35" t="s">
        <v>67</v>
      </c>
    </row>
    <row r="42" spans="4:16" ht="20.100000000000001" customHeight="1" x14ac:dyDescent="0.25">
      <c r="D42" s="1" t="str" cm="1">
        <f t="array" ref="D42">Common_InputFunctions.Utility_DisplayArrayInTable(SourceData_PastureBeef.SourceData_PastureBeef_Liveweight_Data(), Table_SourceData_PastureBeef_Liveweight[[#Headers],[State]], 0)</f>
        <v>Western Australia</v>
      </c>
      <c r="E42" s="35" t="str" cm="1">
        <f t="array" ref="E42">Common_InputFunctions.Utility_DisplayArrayInTable(SourceData_PastureBeef.SourceData_PastureBeef_Liveweight_Data(), Table_SourceData_PastureBeef_Liveweight[[#Headers],[State]], 0)</f>
        <v>Pilbara</v>
      </c>
      <c r="F42" s="35" t="str" cm="1">
        <f t="array" ref="F42">Common_InputFunctions.Utility_DisplayArrayInTable(SourceData_PastureBeef.SourceData_PastureBeef_Liveweight_Data(), Table_SourceData_PastureBeef_Liveweight[[#Headers],[State]], 0)</f>
        <v>Winter</v>
      </c>
      <c r="G42" s="35" cm="1">
        <f t="array" ref="G42">Common_InputFunctions.Utility_DisplayArrayInTable(SourceData_PastureBeef.SourceData_PastureBeef_Liveweight_Data(), Table_SourceData_PastureBeef_Liveweight[[#Headers],[State]], 0)</f>
        <v>250</v>
      </c>
      <c r="H42" s="35" cm="1">
        <f t="array" ref="H42">Common_InputFunctions.Utility_DisplayArrayInTable(SourceData_PastureBeef.SourceData_PastureBeef_Liveweight_Data(), Table_SourceData_PastureBeef_Liveweight[[#Headers],[State]], 0)</f>
        <v>500</v>
      </c>
      <c r="I42" s="35" cm="1">
        <f t="array" ref="I42">Common_InputFunctions.Utility_DisplayArrayInTable(SourceData_PastureBeef.SourceData_PastureBeef_Liveweight_Data(), Table_SourceData_PastureBeef_Liveweight[[#Headers],[State]], 0)</f>
        <v>240</v>
      </c>
      <c r="J42" s="35" cm="1">
        <f t="array" ref="J42">Common_InputFunctions.Utility_DisplayArrayInTable(SourceData_PastureBeef.SourceData_PastureBeef_Liveweight_Data(), Table_SourceData_PastureBeef_Liveweight[[#Headers],[State]], 0)</f>
        <v>340</v>
      </c>
      <c r="K42" s="35" cm="1">
        <f t="array" ref="K42">Common_InputFunctions.Utility_DisplayArrayInTable(SourceData_PastureBeef.SourceData_PastureBeef_Liveweight_Data(), Table_SourceData_PastureBeef_Liveweight[[#Headers],[State]], 0)</f>
        <v>360</v>
      </c>
      <c r="L42" s="35" cm="1">
        <f t="array" ref="L42">Common_InputFunctions.Utility_DisplayArrayInTable(SourceData_PastureBeef.SourceData_PastureBeef_Liveweight_Data(), Table_SourceData_PastureBeef_Liveweight[[#Headers],[State]], 0)</f>
        <v>250</v>
      </c>
      <c r="M42" s="35" cm="1">
        <f t="array" ref="M42">Common_InputFunctions.Utility_DisplayArrayInTable(SourceData_PastureBeef.SourceData_PastureBeef_Liveweight_Data(), Table_SourceData_PastureBeef_Liveweight[[#Headers],[State]], 0)</f>
        <v>390</v>
      </c>
      <c r="O42" s="35" t="s">
        <v>277</v>
      </c>
      <c r="P42" s="35" t="s">
        <v>67</v>
      </c>
    </row>
    <row r="43" spans="4:16" ht="20.100000000000001" customHeight="1" x14ac:dyDescent="0.25">
      <c r="D43" s="1" t="str" cm="1">
        <f t="array" ref="D43">Common_InputFunctions.Utility_DisplayArrayInTable(SourceData_PastureBeef.SourceData_PastureBeef_Liveweight_Data(), Table_SourceData_PastureBeef_Liveweight[[#Headers],[State]], 0)</f>
        <v>Western Australia</v>
      </c>
      <c r="E43" s="35" t="str" cm="1">
        <f t="array" ref="E43">Common_InputFunctions.Utility_DisplayArrayInTable(SourceData_PastureBeef.SourceData_PastureBeef_Liveweight_Data(), Table_SourceData_PastureBeef_Liveweight[[#Headers],[State]], 0)</f>
        <v>Kimberley</v>
      </c>
      <c r="F43" s="35" t="str" cm="1">
        <f t="array" ref="F43">Common_InputFunctions.Utility_DisplayArrayInTable(SourceData_PastureBeef.SourceData_PastureBeef_Liveweight_Data(), Table_SourceData_PastureBeef_Liveweight[[#Headers],[State]], 0)</f>
        <v>Spring</v>
      </c>
      <c r="G43" s="35" cm="1">
        <f t="array" ref="G43">Common_InputFunctions.Utility_DisplayArrayInTable(SourceData_PastureBeef.SourceData_PastureBeef_Liveweight_Data(), Table_SourceData_PastureBeef_Liveweight[[#Headers],[State]], 0)</f>
        <v>220</v>
      </c>
      <c r="H43" s="35" cm="1">
        <f t="array" ref="H43">Common_InputFunctions.Utility_DisplayArrayInTable(SourceData_PastureBeef.SourceData_PastureBeef_Liveweight_Data(), Table_SourceData_PastureBeef_Liveweight[[#Headers],[State]], 0)</f>
        <v>500</v>
      </c>
      <c r="I43" s="35" cm="1">
        <f t="array" ref="I43">Common_InputFunctions.Utility_DisplayArrayInTable(SourceData_PastureBeef.SourceData_PastureBeef_Liveweight_Data(), Table_SourceData_PastureBeef_Liveweight[[#Headers],[State]], 0)</f>
        <v>180</v>
      </c>
      <c r="J43" s="35" cm="1">
        <f t="array" ref="J43">Common_InputFunctions.Utility_DisplayArrayInTable(SourceData_PastureBeef.SourceData_PastureBeef_Liveweight_Data(), Table_SourceData_PastureBeef_Liveweight[[#Headers],[State]], 0)</f>
        <v>300</v>
      </c>
      <c r="K43" s="35" cm="1">
        <f t="array" ref="K43">Common_InputFunctions.Utility_DisplayArrayInTable(SourceData_PastureBeef.SourceData_PastureBeef_Liveweight_Data(), Table_SourceData_PastureBeef_Liveweight[[#Headers],[State]], 0)</f>
        <v>320</v>
      </c>
      <c r="L43" s="35" cm="1">
        <f t="array" ref="L43">Common_InputFunctions.Utility_DisplayArrayInTable(SourceData_PastureBeef.SourceData_PastureBeef_Liveweight_Data(), Table_SourceData_PastureBeef_Liveweight[[#Headers],[State]], 0)</f>
        <v>210</v>
      </c>
      <c r="M43" s="35" cm="1">
        <f t="array" ref="M43">Common_InputFunctions.Utility_DisplayArrayInTable(SourceData_PastureBeef.SourceData_PastureBeef_Liveweight_Data(), Table_SourceData_PastureBeef_Liveweight[[#Headers],[State]], 0)</f>
        <v>340</v>
      </c>
      <c r="O43" s="35" t="s">
        <v>278</v>
      </c>
      <c r="P43" s="35" t="s">
        <v>67</v>
      </c>
    </row>
    <row r="44" spans="4:16" ht="20.100000000000001" customHeight="1" x14ac:dyDescent="0.25">
      <c r="D44" s="1" t="str" cm="1">
        <f t="array" ref="D44">Common_InputFunctions.Utility_DisplayArrayInTable(SourceData_PastureBeef.SourceData_PastureBeef_Liveweight_Data(), Table_SourceData_PastureBeef_Liveweight[[#Headers],[State]], 0)</f>
        <v>Western Australia</v>
      </c>
      <c r="E44" s="35" t="str" cm="1">
        <f t="array" ref="E44">Common_InputFunctions.Utility_DisplayArrayInTable(SourceData_PastureBeef.SourceData_PastureBeef_Liveweight_Data(), Table_SourceData_PastureBeef_Liveweight[[#Headers],[State]], 0)</f>
        <v>Kimberley</v>
      </c>
      <c r="F44" s="35" t="str" cm="1">
        <f t="array" ref="F44">Common_InputFunctions.Utility_DisplayArrayInTable(SourceData_PastureBeef.SourceData_PastureBeef_Liveweight_Data(), Table_SourceData_PastureBeef_Liveweight[[#Headers],[State]], 0)</f>
        <v>Summer</v>
      </c>
      <c r="G44" s="35" cm="1">
        <f t="array" ref="G44">Common_InputFunctions.Utility_DisplayArrayInTable(SourceData_PastureBeef.SourceData_PastureBeef_Liveweight_Data(), Table_SourceData_PastureBeef_Liveweight[[#Headers],[State]], 0)</f>
        <v>110</v>
      </c>
      <c r="H44" s="35" cm="1">
        <f t="array" ref="H44">Common_InputFunctions.Utility_DisplayArrayInTable(SourceData_PastureBeef.SourceData_PastureBeef_Liveweight_Data(), Table_SourceData_PastureBeef_Liveweight[[#Headers],[State]], 0)</f>
        <v>550</v>
      </c>
      <c r="I44" s="35" cm="1">
        <f t="array" ref="I44">Common_InputFunctions.Utility_DisplayArrayInTable(SourceData_PastureBeef.SourceData_PastureBeef_Liveweight_Data(), Table_SourceData_PastureBeef_Liveweight[[#Headers],[State]], 0)</f>
        <v>90</v>
      </c>
      <c r="J44" s="35" cm="1">
        <f t="array" ref="J44">Common_InputFunctions.Utility_DisplayArrayInTable(SourceData_PastureBeef.SourceData_PastureBeef_Liveweight_Data(), Table_SourceData_PastureBeef_Liveweight[[#Headers],[State]], 0)</f>
        <v>220</v>
      </c>
      <c r="K44" s="35" cm="1">
        <f t="array" ref="K44">Common_InputFunctions.Utility_DisplayArrayInTable(SourceData_PastureBeef.SourceData_PastureBeef_Liveweight_Data(), Table_SourceData_PastureBeef_Liveweight[[#Headers],[State]], 0)</f>
        <v>380</v>
      </c>
      <c r="L44" s="35" cm="1">
        <f t="array" ref="L44">Common_InputFunctions.Utility_DisplayArrayInTable(SourceData_PastureBeef.SourceData_PastureBeef_Liveweight_Data(), Table_SourceData_PastureBeef_Liveweight[[#Headers],[State]], 0)</f>
        <v>100</v>
      </c>
      <c r="M44" s="35" cm="1">
        <f t="array" ref="M44">Common_InputFunctions.Utility_DisplayArrayInTable(SourceData_PastureBeef.SourceData_PastureBeef_Liveweight_Data(), Table_SourceData_PastureBeef_Liveweight[[#Headers],[State]], 0)</f>
        <v>390</v>
      </c>
      <c r="O44" s="35" t="s">
        <v>279</v>
      </c>
      <c r="P44" s="35" t="s">
        <v>68</v>
      </c>
    </row>
    <row r="45" spans="4:16" ht="20.100000000000001" customHeight="1" x14ac:dyDescent="0.25">
      <c r="D45" s="1" t="str" cm="1">
        <f t="array" ref="D45">Common_InputFunctions.Utility_DisplayArrayInTable(SourceData_PastureBeef.SourceData_PastureBeef_Liveweight_Data(), Table_SourceData_PastureBeef_Liveweight[[#Headers],[State]], 0)</f>
        <v>Western Australia</v>
      </c>
      <c r="E45" s="35" t="str" cm="1">
        <f t="array" ref="E45">Common_InputFunctions.Utility_DisplayArrayInTable(SourceData_PastureBeef.SourceData_PastureBeef_Liveweight_Data(), Table_SourceData_PastureBeef_Liveweight[[#Headers],[State]], 0)</f>
        <v>Kimberley</v>
      </c>
      <c r="F45" s="35" t="str" cm="1">
        <f t="array" ref="F45">Common_InputFunctions.Utility_DisplayArrayInTable(SourceData_PastureBeef.SourceData_PastureBeef_Liveweight_Data(), Table_SourceData_PastureBeef_Liveweight[[#Headers],[State]], 0)</f>
        <v>Autumn</v>
      </c>
      <c r="G45" s="35" cm="1">
        <f t="array" ref="G45">Common_InputFunctions.Utility_DisplayArrayInTable(SourceData_PastureBeef.SourceData_PastureBeef_Liveweight_Data(), Table_SourceData_PastureBeef_Liveweight[[#Headers],[State]], 0)</f>
        <v>170</v>
      </c>
      <c r="H45" s="35" cm="1">
        <f t="array" ref="H45">Common_InputFunctions.Utility_DisplayArrayInTable(SourceData_PastureBeef.SourceData_PastureBeef_Liveweight_Data(), Table_SourceData_PastureBeef_Liveweight[[#Headers],[State]], 0)</f>
        <v>600</v>
      </c>
      <c r="I45" s="35" cm="1">
        <f t="array" ref="I45">Common_InputFunctions.Utility_DisplayArrayInTable(SourceData_PastureBeef.SourceData_PastureBeef_Liveweight_Data(), Table_SourceData_PastureBeef_Liveweight[[#Headers],[State]], 0)</f>
        <v>140</v>
      </c>
      <c r="J45" s="35" cm="1">
        <f t="array" ref="J45">Common_InputFunctions.Utility_DisplayArrayInTable(SourceData_PastureBeef.SourceData_PastureBeef_Liveweight_Data(), Table_SourceData_PastureBeef_Liveweight[[#Headers],[State]], 0)</f>
        <v>270</v>
      </c>
      <c r="K45" s="35" cm="1">
        <f t="array" ref="K45">Common_InputFunctions.Utility_DisplayArrayInTable(SourceData_PastureBeef.SourceData_PastureBeef_Liveweight_Data(), Table_SourceData_PastureBeef_Liveweight[[#Headers],[State]], 0)</f>
        <v>390</v>
      </c>
      <c r="L45" s="35" cm="1">
        <f t="array" ref="L45">Common_InputFunctions.Utility_DisplayArrayInTable(SourceData_PastureBeef.SourceData_PastureBeef_Liveweight_Data(), Table_SourceData_PastureBeef_Liveweight[[#Headers],[State]], 0)</f>
        <v>160</v>
      </c>
      <c r="M45" s="35" cm="1">
        <f t="array" ref="M45">Common_InputFunctions.Utility_DisplayArrayInTable(SourceData_PastureBeef.SourceData_PastureBeef_Liveweight_Data(), Table_SourceData_PastureBeef_Liveweight[[#Headers],[State]], 0)</f>
        <v>430</v>
      </c>
      <c r="O45" s="35" t="s">
        <v>280</v>
      </c>
      <c r="P45" s="35" t="s">
        <v>68</v>
      </c>
    </row>
    <row r="46" spans="4:16" ht="20.100000000000001" customHeight="1" x14ac:dyDescent="0.25">
      <c r="D46" s="1" t="str" cm="1">
        <f t="array" ref="D46">Common_InputFunctions.Utility_DisplayArrayInTable(SourceData_PastureBeef.SourceData_PastureBeef_Liveweight_Data(), Table_SourceData_PastureBeef_Liveweight[[#Headers],[State]], 0)</f>
        <v>Western Australia</v>
      </c>
      <c r="E46" s="35" t="str" cm="1">
        <f t="array" ref="E46">Common_InputFunctions.Utility_DisplayArrayInTable(SourceData_PastureBeef.SourceData_PastureBeef_Liveweight_Data(), Table_SourceData_PastureBeef_Liveweight[[#Headers],[State]], 0)</f>
        <v>Kimberley</v>
      </c>
      <c r="F46" s="35" t="str" cm="1">
        <f t="array" ref="F46">Common_InputFunctions.Utility_DisplayArrayInTable(SourceData_PastureBeef.SourceData_PastureBeef_Liveweight_Data(), Table_SourceData_PastureBeef_Liveweight[[#Headers],[State]], 0)</f>
        <v>Winter</v>
      </c>
      <c r="G46" s="35" cm="1">
        <f t="array" ref="G46">Common_InputFunctions.Utility_DisplayArrayInTable(SourceData_PastureBeef.SourceData_PastureBeef_Liveweight_Data(), Table_SourceData_PastureBeef_Liveweight[[#Headers],[State]], 0)</f>
        <v>200</v>
      </c>
      <c r="H46" s="35" cm="1">
        <f t="array" ref="H46">Common_InputFunctions.Utility_DisplayArrayInTable(SourceData_PastureBeef.SourceData_PastureBeef_Liveweight_Data(), Table_SourceData_PastureBeef_Liveweight[[#Headers],[State]], 0)</f>
        <v>550</v>
      </c>
      <c r="I46" s="35" cm="1">
        <f t="array" ref="I46">Common_InputFunctions.Utility_DisplayArrayInTable(SourceData_PastureBeef.SourceData_PastureBeef_Liveweight_Data(), Table_SourceData_PastureBeef_Liveweight[[#Headers],[State]], 0)</f>
        <v>150</v>
      </c>
      <c r="J46" s="35" cm="1">
        <f t="array" ref="J46">Common_InputFunctions.Utility_DisplayArrayInTable(SourceData_PastureBeef.SourceData_PastureBeef_Liveweight_Data(), Table_SourceData_PastureBeef_Liveweight[[#Headers],[State]], 0)</f>
        <v>280</v>
      </c>
      <c r="K46" s="35" cm="1">
        <f t="array" ref="K46">Common_InputFunctions.Utility_DisplayArrayInTable(SourceData_PastureBeef.SourceData_PastureBeef_Liveweight_Data(), Table_SourceData_PastureBeef_Liveweight[[#Headers],[State]], 0)</f>
        <v>350</v>
      </c>
      <c r="L46" s="35" cm="1">
        <f t="array" ref="L46">Common_InputFunctions.Utility_DisplayArrayInTable(SourceData_PastureBeef.SourceData_PastureBeef_Liveweight_Data(), Table_SourceData_PastureBeef_Liveweight[[#Headers],[State]], 0)</f>
        <v>190</v>
      </c>
      <c r="M46" s="35" cm="1">
        <f t="array" ref="M46">Common_InputFunctions.Utility_DisplayArrayInTable(SourceData_PastureBeef.SourceData_PastureBeef_Liveweight_Data(), Table_SourceData_PastureBeef_Liveweight[[#Headers],[State]], 0)</f>
        <v>400</v>
      </c>
      <c r="O46" s="35" t="s">
        <v>281</v>
      </c>
      <c r="P46" s="35" t="s">
        <v>68</v>
      </c>
    </row>
    <row r="47" spans="4:16" ht="20.100000000000001" customHeight="1" x14ac:dyDescent="0.25">
      <c r="M47" s="1"/>
      <c r="O47" s="35" t="s">
        <v>282</v>
      </c>
      <c r="P47" s="35" t="s">
        <v>68</v>
      </c>
    </row>
    <row r="48" spans="4:16" ht="20.100000000000001" customHeight="1" x14ac:dyDescent="0.25">
      <c r="M48" s="1"/>
      <c r="O48" s="1" t="s">
        <v>266</v>
      </c>
      <c r="P48" s="1" t="s">
        <v>266</v>
      </c>
    </row>
    <row r="49" spans="4:16" ht="20.100000000000001" customHeight="1" x14ac:dyDescent="0.25">
      <c r="D49" s="6" t="str" cm="1">
        <f t="array" ref="D49">SourceData_PastureBeef.SourceData_PastureBeef_LiveweightNTQLD_Title()</f>
        <v>Beef pasture cattle - Liveweight (kg) (Wjkl) for NT and QLD</v>
      </c>
      <c r="M49" s="1"/>
    </row>
    <row r="50" spans="4:16" ht="20.100000000000001" customHeight="1" x14ac:dyDescent="0.25">
      <c r="D50" s="5" t="str" cm="1">
        <f t="array" ref="D50">SourceData_PastureBeef.SourceData_PastureBeef_LiveweightNTQLD_Source()</f>
        <v>VEERG 2026: Table A.1.2.2</v>
      </c>
      <c r="M50" s="1"/>
    </row>
    <row r="51" spans="4:16" ht="20.100000000000001" customHeight="1" x14ac:dyDescent="0.25">
      <c r="D51" s="1" t="str" cm="1">
        <f t="array" ref="D51">SourceData_PastureBeef.SourceData_PastureBeef_LiveweightNTQLD_Variable()</f>
        <v>Wjkl</v>
      </c>
      <c r="M51" s="1"/>
    </row>
    <row r="52" spans="4:16" ht="20.100000000000001" customHeight="1" x14ac:dyDescent="0.25">
      <c r="D52" s="51" t="str" cm="1">
        <f t="array" ref="D52">SourceData_PastureBeef.SourceData_PastureBeef_LiveweightNTQLD_Unit()</f>
        <v>kg</v>
      </c>
      <c r="M52" s="1"/>
    </row>
    <row r="53" spans="4:16" ht="20.100000000000001" customHeight="1" x14ac:dyDescent="0.25">
      <c r="D53" s="35" t="s">
        <v>5</v>
      </c>
      <c r="E53" s="35" t="s">
        <v>144</v>
      </c>
      <c r="F53" s="35" t="s">
        <v>145</v>
      </c>
      <c r="G53" s="35" t="s">
        <v>164</v>
      </c>
      <c r="H53" s="35" t="s">
        <v>153</v>
      </c>
      <c r="I53" s="35" t="s">
        <v>154</v>
      </c>
      <c r="J53" s="35" t="s">
        <v>155</v>
      </c>
      <c r="K53" s="35" t="s">
        <v>156</v>
      </c>
      <c r="L53" s="35" t="s">
        <v>157</v>
      </c>
      <c r="M53" s="35" t="s">
        <v>158</v>
      </c>
      <c r="N53" s="35" t="s">
        <v>159</v>
      </c>
      <c r="O53" s="35" t="s">
        <v>160</v>
      </c>
      <c r="P53" s="35" t="s">
        <v>161</v>
      </c>
    </row>
    <row r="54" spans="4:16" ht="20.100000000000001" customHeight="1" x14ac:dyDescent="0.25">
      <c r="D54" s="35" t="str" cm="1">
        <f t="array" ref="D54">Common_InputFunctions.Utility_DisplayArrayInTable(SourceData_PastureBeef.SourceData_PastureBeef_LiveweightNTQLD_Data(),Table_SourceData_PastureBeef_LiveweightNTQD[[#Headers],[State]], 0)</f>
        <v>Northern Territory</v>
      </c>
      <c r="E54" s="35" t="str" cm="1">
        <f t="array" ref="E54">Common_InputFunctions.Utility_DisplayArrayInTable(SourceData_PastureBeef.SourceData_PastureBeef_LiveweightNTQLD_Data(),Table_SourceData_PastureBeef_LiveweightNTQD[[#Headers],[State]], 0)</f>
        <v>Alice Springs</v>
      </c>
      <c r="F54" s="35" t="str" cm="1">
        <f t="array" ref="F54">Common_InputFunctions.Utility_DisplayArrayInTable(SourceData_PastureBeef.SourceData_PastureBeef_LiveweightNTQLD_Data(),Table_SourceData_PastureBeef_LiveweightNTQD[[#Headers],[State]], 0)</f>
        <v>Spring</v>
      </c>
      <c r="G54" s="35" cm="1">
        <f t="array" ref="G54">Common_InputFunctions.Utility_DisplayArrayInTable(SourceData_PastureBeef.SourceData_PastureBeef_LiveweightNTQLD_Data(),Table_SourceData_PastureBeef_LiveweightNTQD[[#Headers],[State]], 0)</f>
        <v>220</v>
      </c>
      <c r="H54" s="35" cm="1">
        <f t="array" ref="H54">Common_InputFunctions.Utility_DisplayArrayInTable(SourceData_PastureBeef.SourceData_PastureBeef_LiveweightNTQLD_Data(),Table_SourceData_PastureBeef_LiveweightNTQD[[#Headers],[State]], 0)</f>
        <v>706</v>
      </c>
      <c r="I54" s="35" cm="1">
        <f t="array" ref="I54">Common_InputFunctions.Utility_DisplayArrayInTable(SourceData_PastureBeef.SourceData_PastureBeef_LiveweightNTQLD_Data(),Table_SourceData_PastureBeef_LiveweightNTQD[[#Headers],[State]], 0)</f>
        <v>208</v>
      </c>
      <c r="J54" s="35" cm="1">
        <f t="array" ref="J54">Common_InputFunctions.Utility_DisplayArrayInTable(SourceData_PastureBeef.SourceData_PastureBeef_LiveweightNTQLD_Data(),Table_SourceData_PastureBeef_LiveweightNTQD[[#Headers],[State]], 0)</f>
        <v>323</v>
      </c>
      <c r="K54" s="35" cm="1">
        <f t="array" ref="K54">Common_InputFunctions.Utility_DisplayArrayInTable(SourceData_PastureBeef.SourceData_PastureBeef_LiveweightNTQLD_Data(),Table_SourceData_PastureBeef_LiveweightNTQD[[#Headers],[State]], 0)</f>
        <v>415</v>
      </c>
      <c r="L54" s="35" cm="1">
        <f t="array" ref="L54">Common_InputFunctions.Utility_DisplayArrayInTable(SourceData_PastureBeef.SourceData_PastureBeef_LiveweightNTQLD_Data(),Table_SourceData_PastureBeef_LiveweightNTQD[[#Headers],[State]], 0)</f>
        <v>467</v>
      </c>
      <c r="M54" s="35" cm="1">
        <f t="array" ref="M54">Common_InputFunctions.Utility_DisplayArrayInTable(SourceData_PastureBeef.SourceData_PastureBeef_LiveweightNTQLD_Data(),Table_SourceData_PastureBeef_LiveweightNTQD[[#Headers],[State]], 0)</f>
        <v>223</v>
      </c>
      <c r="N54" s="35" cm="1">
        <f t="array" ref="N54">Common_InputFunctions.Utility_DisplayArrayInTable(SourceData_PastureBeef.SourceData_PastureBeef_LiveweightNTQLD_Data(),Table_SourceData_PastureBeef_LiveweightNTQD[[#Headers],[State]], 0)</f>
        <v>371</v>
      </c>
      <c r="O54" s="35" cm="1">
        <f t="array" ref="O54">Common_InputFunctions.Utility_DisplayArrayInTable(SourceData_PastureBeef.SourceData_PastureBeef_LiveweightNTQLD_Data(),Table_SourceData_PastureBeef_LiveweightNTQD[[#Headers],[State]], 0)</f>
        <v>493</v>
      </c>
      <c r="P54" s="35" cm="1">
        <f t="array" ref="P54">Common_InputFunctions.Utility_DisplayArrayInTable(SourceData_PastureBeef.SourceData_PastureBeef_LiveweightNTQLD_Data(),Table_SourceData_PastureBeef_LiveweightNTQD[[#Headers],[State]], 0)</f>
        <v>585</v>
      </c>
    </row>
    <row r="55" spans="4:16" ht="20.100000000000001" customHeight="1" x14ac:dyDescent="0.25">
      <c r="D55" s="1" t="str" cm="1">
        <f t="array" ref="D55">Common_InputFunctions.Utility_DisplayArrayInTable(SourceData_PastureBeef.SourceData_PastureBeef_LiveweightNTQLD_Data(),Table_SourceData_PastureBeef_LiveweightNTQD[[#Headers],[State]], 0)</f>
        <v>Northern Territory</v>
      </c>
      <c r="E55" s="35" t="str" cm="1">
        <f t="array" ref="E55">Common_InputFunctions.Utility_DisplayArrayInTable(SourceData_PastureBeef.SourceData_PastureBeef_LiveweightNTQLD_Data(),Table_SourceData_PastureBeef_LiveweightNTQD[[#Headers],[State]], 0)</f>
        <v>Alice Springs</v>
      </c>
      <c r="F55" s="35" t="str" cm="1">
        <f t="array" ref="F55">Common_InputFunctions.Utility_DisplayArrayInTable(SourceData_PastureBeef.SourceData_PastureBeef_LiveweightNTQLD_Data(),Table_SourceData_PastureBeef_LiveweightNTQD[[#Headers],[State]], 0)</f>
        <v>Summer</v>
      </c>
      <c r="G55" s="35" cm="1">
        <f t="array" ref="G55">Common_InputFunctions.Utility_DisplayArrayInTable(SourceData_PastureBeef.SourceData_PastureBeef_LiveweightNTQLD_Data(),Table_SourceData_PastureBeef_LiveweightNTQD[[#Headers],[State]], 0)</f>
        <v>110</v>
      </c>
      <c r="H55" s="35" cm="1">
        <f t="array" ref="H55">Common_InputFunctions.Utility_DisplayArrayInTable(SourceData_PastureBeef.SourceData_PastureBeef_LiveweightNTQLD_Data(),Table_SourceData_PastureBeef_LiveweightNTQD[[#Headers],[State]], 0)</f>
        <v>703</v>
      </c>
      <c r="I55" s="35" cm="1">
        <f t="array" ref="I55">Common_InputFunctions.Utility_DisplayArrayInTable(SourceData_PastureBeef.SourceData_PastureBeef_LiveweightNTQLD_Data(),Table_SourceData_PastureBeef_LiveweightNTQD[[#Headers],[State]], 0)</f>
        <v>112</v>
      </c>
      <c r="J55" s="35" cm="1">
        <f t="array" ref="J55">Common_InputFunctions.Utility_DisplayArrayInTable(SourceData_PastureBeef.SourceData_PastureBeef_LiveweightNTQLD_Data(),Table_SourceData_PastureBeef_LiveweightNTQD[[#Headers],[State]], 0)</f>
        <v>256</v>
      </c>
      <c r="K55" s="35" cm="1">
        <f t="array" ref="K55">Common_InputFunctions.Utility_DisplayArrayInTable(SourceData_PastureBeef.SourceData_PastureBeef_LiveweightNTQLD_Data(),Table_SourceData_PastureBeef_LiveweightNTQD[[#Headers],[State]], 0)</f>
        <v>368</v>
      </c>
      <c r="L55" s="35" cm="1">
        <f t="array" ref="L55">Common_InputFunctions.Utility_DisplayArrayInTable(SourceData_PastureBeef.SourceData_PastureBeef_LiveweightNTQLD_Data(),Table_SourceData_PastureBeef_LiveweightNTQD[[#Headers],[State]], 0)</f>
        <v>465</v>
      </c>
      <c r="M55" s="35" cm="1">
        <f t="array" ref="M55">Common_InputFunctions.Utility_DisplayArrayInTable(SourceData_PastureBeef.SourceData_PastureBeef_LiveweightNTQLD_Data(),Table_SourceData_PastureBeef_LiveweightNTQD[[#Headers],[State]], 0)</f>
        <v>108</v>
      </c>
      <c r="N55" s="35" cm="1">
        <f t="array" ref="N55">Common_InputFunctions.Utility_DisplayArrayInTable(SourceData_PastureBeef.SourceData_PastureBeef_LiveweightNTQLD_Data(),Table_SourceData_PastureBeef_LiveweightNTQD[[#Headers],[State]], 0)</f>
        <v>280</v>
      </c>
      <c r="O55" s="35" cm="1">
        <f t="array" ref="O55">Common_InputFunctions.Utility_DisplayArrayInTable(SourceData_PastureBeef.SourceData_PastureBeef_LiveweightNTQLD_Data(),Table_SourceData_PastureBeef_LiveweightNTQD[[#Headers],[State]], 0)</f>
        <v>421</v>
      </c>
      <c r="P55" s="35" cm="1">
        <f t="array" ref="P55">Common_InputFunctions.Utility_DisplayArrayInTable(SourceData_PastureBeef.SourceData_PastureBeef_LiveweightNTQLD_Data(),Table_SourceData_PastureBeef_LiveweightNTQD[[#Headers],[State]], 0)</f>
        <v>543</v>
      </c>
    </row>
    <row r="56" spans="4:16" ht="20.100000000000001" customHeight="1" x14ac:dyDescent="0.25">
      <c r="D56" s="1" t="str" cm="1">
        <f t="array" ref="D56">Common_InputFunctions.Utility_DisplayArrayInTable(SourceData_PastureBeef.SourceData_PastureBeef_LiveweightNTQLD_Data(),Table_SourceData_PastureBeef_LiveweightNTQD[[#Headers],[State]], 0)</f>
        <v>Northern Territory</v>
      </c>
      <c r="E56" s="35" t="str" cm="1">
        <f t="array" ref="E56">Common_InputFunctions.Utility_DisplayArrayInTable(SourceData_PastureBeef.SourceData_PastureBeef_LiveweightNTQLD_Data(),Table_SourceData_PastureBeef_LiveweightNTQD[[#Headers],[State]], 0)</f>
        <v>Alice Springs</v>
      </c>
      <c r="F56" s="35" t="str" cm="1">
        <f t="array" ref="F56">Common_InputFunctions.Utility_DisplayArrayInTable(SourceData_PastureBeef.SourceData_PastureBeef_LiveweightNTQLD_Data(),Table_SourceData_PastureBeef_LiveweightNTQD[[#Headers],[State]], 0)</f>
        <v>Autumn</v>
      </c>
      <c r="G56" s="35" cm="1">
        <f t="array" ref="G56">Common_InputFunctions.Utility_DisplayArrayInTable(SourceData_PastureBeef.SourceData_PastureBeef_LiveweightNTQLD_Data(),Table_SourceData_PastureBeef_LiveweightNTQD[[#Headers],[State]], 0)</f>
        <v>170</v>
      </c>
      <c r="H56" s="35" cm="1">
        <f t="array" ref="H56">Common_InputFunctions.Utility_DisplayArrayInTable(SourceData_PastureBeef.SourceData_PastureBeef_LiveweightNTQLD_Data(),Table_SourceData_PastureBeef_LiveweightNTQD[[#Headers],[State]], 0)</f>
        <v>721</v>
      </c>
      <c r="I56" s="35" cm="1">
        <f t="array" ref="I56">Common_InputFunctions.Utility_DisplayArrayInTable(SourceData_PastureBeef.SourceData_PastureBeef_LiveweightNTQLD_Data(),Table_SourceData_PastureBeef_LiveweightNTQD[[#Headers],[State]], 0)</f>
        <v>169</v>
      </c>
      <c r="J56" s="35" cm="1">
        <f t="array" ref="J56">Common_InputFunctions.Utility_DisplayArrayInTable(SourceData_PastureBeef.SourceData_PastureBeef_LiveweightNTQLD_Data(),Table_SourceData_PastureBeef_LiveweightNTQD[[#Headers],[State]], 0)</f>
        <v>306</v>
      </c>
      <c r="K56" s="35" cm="1">
        <f t="array" ref="K56">Common_InputFunctions.Utility_DisplayArrayInTable(SourceData_PastureBeef.SourceData_PastureBeef_LiveweightNTQLD_Data(),Table_SourceData_PastureBeef_LiveweightNTQD[[#Headers],[State]], 0)</f>
        <v>392</v>
      </c>
      <c r="L56" s="35" cm="1">
        <f t="array" ref="L56">Common_InputFunctions.Utility_DisplayArrayInTable(SourceData_PastureBeef.SourceData_PastureBeef_LiveweightNTQLD_Data(),Table_SourceData_PastureBeef_LiveweightNTQD[[#Headers],[State]], 0)</f>
        <v>464</v>
      </c>
      <c r="M56" s="35" cm="1">
        <f t="array" ref="M56">Common_InputFunctions.Utility_DisplayArrayInTable(SourceData_PastureBeef.SourceData_PastureBeef_LiveweightNTQLD_Data(),Table_SourceData_PastureBeef_LiveweightNTQD[[#Headers],[State]], 0)</f>
        <v>176</v>
      </c>
      <c r="N56" s="35" cm="1">
        <f t="array" ref="N56">Common_InputFunctions.Utility_DisplayArrayInTable(SourceData_PastureBeef.SourceData_PastureBeef_LiveweightNTQLD_Data(),Table_SourceData_PastureBeef_LiveweightNTQD[[#Headers],[State]], 0)</f>
        <v>339</v>
      </c>
      <c r="O56" s="35" cm="1">
        <f t="array" ref="O56">Common_InputFunctions.Utility_DisplayArrayInTable(SourceData_PastureBeef.SourceData_PastureBeef_LiveweightNTQLD_Data(),Table_SourceData_PastureBeef_LiveweightNTQD[[#Headers],[State]], 0)</f>
        <v>470</v>
      </c>
      <c r="P56" s="35" cm="1">
        <f t="array" ref="P56">Common_InputFunctions.Utility_DisplayArrayInTable(SourceData_PastureBeef.SourceData_PastureBeef_LiveweightNTQLD_Data(),Table_SourceData_PastureBeef_LiveweightNTQD[[#Headers],[State]], 0)</f>
        <v>580</v>
      </c>
    </row>
    <row r="57" spans="4:16" ht="20.100000000000001" customHeight="1" x14ac:dyDescent="0.25">
      <c r="D57" s="1" t="str" cm="1">
        <f t="array" ref="D57">Common_InputFunctions.Utility_DisplayArrayInTable(SourceData_PastureBeef.SourceData_PastureBeef_LiveweightNTQLD_Data(),Table_SourceData_PastureBeef_LiveweightNTQD[[#Headers],[State]], 0)</f>
        <v>Northern Territory</v>
      </c>
      <c r="E57" s="35" t="str" cm="1">
        <f t="array" ref="E57">Common_InputFunctions.Utility_DisplayArrayInTable(SourceData_PastureBeef.SourceData_PastureBeef_LiveweightNTQLD_Data(),Table_SourceData_PastureBeef_LiveweightNTQD[[#Headers],[State]], 0)</f>
        <v>Alice Springs</v>
      </c>
      <c r="F57" s="35" t="str" cm="1">
        <f t="array" ref="F57">Common_InputFunctions.Utility_DisplayArrayInTable(SourceData_PastureBeef.SourceData_PastureBeef_LiveweightNTQLD_Data(),Table_SourceData_PastureBeef_LiveweightNTQD[[#Headers],[State]], 0)</f>
        <v>Winter</v>
      </c>
      <c r="G57" s="35" cm="1">
        <f t="array" ref="G57">Common_InputFunctions.Utility_DisplayArrayInTable(SourceData_PastureBeef.SourceData_PastureBeef_LiveweightNTQLD_Data(),Table_SourceData_PastureBeef_LiveweightNTQD[[#Headers],[State]], 0)</f>
        <v>200</v>
      </c>
      <c r="H57" s="35" cm="1">
        <f t="array" ref="H57">Common_InputFunctions.Utility_DisplayArrayInTable(SourceData_PastureBeef.SourceData_PastureBeef_LiveweightNTQLD_Data(),Table_SourceData_PastureBeef_LiveweightNTQD[[#Headers],[State]], 0)</f>
        <v>727</v>
      </c>
      <c r="I57" s="35" cm="1">
        <f t="array" ref="I57">Common_InputFunctions.Utility_DisplayArrayInTable(SourceData_PastureBeef.SourceData_PastureBeef_LiveweightNTQLD_Data(),Table_SourceData_PastureBeef_LiveweightNTQD[[#Headers],[State]], 0)</f>
        <v>211</v>
      </c>
      <c r="J57" s="35" cm="1">
        <f t="array" ref="J57">Common_InputFunctions.Utility_DisplayArrayInTable(SourceData_PastureBeef.SourceData_PastureBeef_LiveweightNTQLD_Data(),Table_SourceData_PastureBeef_LiveweightNTQD[[#Headers],[State]], 0)</f>
        <v>338</v>
      </c>
      <c r="K57" s="35" cm="1">
        <f t="array" ref="K57">Common_InputFunctions.Utility_DisplayArrayInTable(SourceData_PastureBeef.SourceData_PastureBeef_LiveweightNTQLD_Data(),Table_SourceData_PastureBeef_LiveweightNTQD[[#Headers],[State]], 0)</f>
        <v>432</v>
      </c>
      <c r="L57" s="35" cm="1">
        <f t="array" ref="L57">Common_InputFunctions.Utility_DisplayArrayInTable(SourceData_PastureBeef.SourceData_PastureBeef_LiveweightNTQLD_Data(),Table_SourceData_PastureBeef_LiveweightNTQD[[#Headers],[State]], 0)</f>
        <v>492</v>
      </c>
      <c r="M57" s="35" cm="1">
        <f t="array" ref="M57">Common_InputFunctions.Utility_DisplayArrayInTable(SourceData_PastureBeef.SourceData_PastureBeef_LiveweightNTQLD_Data(),Table_SourceData_PastureBeef_LiveweightNTQD[[#Headers],[State]], 0)</f>
        <v>222</v>
      </c>
      <c r="N57" s="35" cm="1">
        <f t="array" ref="N57">Common_InputFunctions.Utility_DisplayArrayInTable(SourceData_PastureBeef.SourceData_PastureBeef_LiveweightNTQLD_Data(),Table_SourceData_PastureBeef_LiveweightNTQD[[#Headers],[State]], 0)</f>
        <v>377</v>
      </c>
      <c r="O57" s="35" cm="1">
        <f t="array" ref="O57">Common_InputFunctions.Utility_DisplayArrayInTable(SourceData_PastureBeef.SourceData_PastureBeef_LiveweightNTQLD_Data(),Table_SourceData_PastureBeef_LiveweightNTQD[[#Headers],[State]], 0)</f>
        <v>498</v>
      </c>
      <c r="P57" s="35" cm="1">
        <f t="array" ref="P57">Common_InputFunctions.Utility_DisplayArrayInTable(SourceData_PastureBeef.SourceData_PastureBeef_LiveweightNTQLD_Data(),Table_SourceData_PastureBeef_LiveweightNTQD[[#Headers],[State]], 0)</f>
        <v>590</v>
      </c>
    </row>
    <row r="58" spans="4:16" ht="20.100000000000001" customHeight="1" x14ac:dyDescent="0.25">
      <c r="D58" s="1" t="str" cm="1">
        <f t="array" ref="D58">Common_InputFunctions.Utility_DisplayArrayInTable(SourceData_PastureBeef.SourceData_PastureBeef_LiveweightNTQLD_Data(),Table_SourceData_PastureBeef_LiveweightNTQD[[#Headers],[State]], 0)</f>
        <v>Northern Territory</v>
      </c>
      <c r="E58" s="35" t="str" cm="1">
        <f t="array" ref="E58">Common_InputFunctions.Utility_DisplayArrayInTable(SourceData_PastureBeef.SourceData_PastureBeef_LiveweightNTQLD_Data(),Table_SourceData_PastureBeef_LiveweightNTQD[[#Headers],[State]], 0)</f>
        <v>Barkly</v>
      </c>
      <c r="F58" s="35" t="str" cm="1">
        <f t="array" ref="F58">Common_InputFunctions.Utility_DisplayArrayInTable(SourceData_PastureBeef.SourceData_PastureBeef_LiveweightNTQLD_Data(),Table_SourceData_PastureBeef_LiveweightNTQD[[#Headers],[State]], 0)</f>
        <v>Spring</v>
      </c>
      <c r="G58" s="35" cm="1">
        <f t="array" ref="G58">Common_InputFunctions.Utility_DisplayArrayInTable(SourceData_PastureBeef.SourceData_PastureBeef_LiveweightNTQLD_Data(),Table_SourceData_PastureBeef_LiveweightNTQD[[#Headers],[State]], 0)</f>
        <v>220</v>
      </c>
      <c r="H58" s="35" cm="1">
        <f t="array" ref="H58">Common_InputFunctions.Utility_DisplayArrayInTable(SourceData_PastureBeef.SourceData_PastureBeef_LiveweightNTQLD_Data(),Table_SourceData_PastureBeef_LiveweightNTQD[[#Headers],[State]], 0)</f>
        <v>620</v>
      </c>
      <c r="I58" s="35" cm="1">
        <f t="array" ref="I58">Common_InputFunctions.Utility_DisplayArrayInTable(SourceData_PastureBeef.SourceData_PastureBeef_LiveweightNTQLD_Data(),Table_SourceData_PastureBeef_LiveweightNTQD[[#Headers],[State]], 0)</f>
        <v>227</v>
      </c>
      <c r="J58" s="35" cm="1">
        <f t="array" ref="J58">Common_InputFunctions.Utility_DisplayArrayInTable(SourceData_PastureBeef.SourceData_PastureBeef_LiveweightNTQLD_Data(),Table_SourceData_PastureBeef_LiveweightNTQD[[#Headers],[State]], 0)</f>
        <v>319</v>
      </c>
      <c r="K58" s="35" cm="1">
        <f t="array" ref="K58">Common_InputFunctions.Utility_DisplayArrayInTable(SourceData_PastureBeef.SourceData_PastureBeef_LiveweightNTQLD_Data(),Table_SourceData_PastureBeef_LiveweightNTQD[[#Headers],[State]], 0)</f>
        <v>398</v>
      </c>
      <c r="L58" s="35" cm="1">
        <f t="array" ref="L58">Common_InputFunctions.Utility_DisplayArrayInTable(SourceData_PastureBeef.SourceData_PastureBeef_LiveweightNTQLD_Data(),Table_SourceData_PastureBeef_LiveweightNTQD[[#Headers],[State]], 0)</f>
        <v>452</v>
      </c>
      <c r="M58" s="35" cm="1">
        <f t="array" ref="M58">Common_InputFunctions.Utility_DisplayArrayInTable(SourceData_PastureBeef.SourceData_PastureBeef_LiveweightNTQLD_Data(),Table_SourceData_PastureBeef_LiveweightNTQD[[#Headers],[State]], 0)</f>
        <v>216</v>
      </c>
      <c r="N58" s="35" cm="1">
        <f t="array" ref="N58">Common_InputFunctions.Utility_DisplayArrayInTable(SourceData_PastureBeef.SourceData_PastureBeef_LiveweightNTQLD_Data(),Table_SourceData_PastureBeef_LiveweightNTQD[[#Headers],[State]], 0)</f>
        <v>334</v>
      </c>
      <c r="O58" s="35" t="str" cm="1">
        <f t="array" ref="O58">Common_InputFunctions.Utility_DisplayArrayInTable(SourceData_PastureBeef.SourceData_PastureBeef_LiveweightNTQLD_Data(),Table_SourceData_PastureBeef_LiveweightNTQD[[#Headers],[State]], 0)</f>
        <v>NO</v>
      </c>
      <c r="P58" s="35" t="str" cm="1">
        <f t="array" ref="P58">Common_InputFunctions.Utility_DisplayArrayInTable(SourceData_PastureBeef.SourceData_PastureBeef_LiveweightNTQLD_Data(),Table_SourceData_PastureBeef_LiveweightNTQD[[#Headers],[State]], 0)</f>
        <v>NO</v>
      </c>
    </row>
    <row r="59" spans="4:16" ht="20.100000000000001" customHeight="1" x14ac:dyDescent="0.25">
      <c r="D59" s="1" t="str" cm="1">
        <f t="array" ref="D59">Common_InputFunctions.Utility_DisplayArrayInTable(SourceData_PastureBeef.SourceData_PastureBeef_LiveweightNTQLD_Data(),Table_SourceData_PastureBeef_LiveweightNTQD[[#Headers],[State]], 0)</f>
        <v>Northern Territory</v>
      </c>
      <c r="E59" s="35" t="str" cm="1">
        <f t="array" ref="E59">Common_InputFunctions.Utility_DisplayArrayInTable(SourceData_PastureBeef.SourceData_PastureBeef_LiveweightNTQLD_Data(),Table_SourceData_PastureBeef_LiveweightNTQD[[#Headers],[State]], 0)</f>
        <v>Barkly</v>
      </c>
      <c r="F59" s="35" t="str" cm="1">
        <f t="array" ref="F59">Common_InputFunctions.Utility_DisplayArrayInTable(SourceData_PastureBeef.SourceData_PastureBeef_LiveweightNTQLD_Data(),Table_SourceData_PastureBeef_LiveweightNTQD[[#Headers],[State]], 0)</f>
        <v>Summer</v>
      </c>
      <c r="G59" s="35" cm="1">
        <f t="array" ref="G59">Common_InputFunctions.Utility_DisplayArrayInTable(SourceData_PastureBeef.SourceData_PastureBeef_LiveweightNTQLD_Data(),Table_SourceData_PastureBeef_LiveweightNTQD[[#Headers],[State]], 0)</f>
        <v>110</v>
      </c>
      <c r="H59" s="35" cm="1">
        <f t="array" ref="H59">Common_InputFunctions.Utility_DisplayArrayInTable(SourceData_PastureBeef.SourceData_PastureBeef_LiveweightNTQLD_Data(),Table_SourceData_PastureBeef_LiveweightNTQD[[#Headers],[State]], 0)</f>
        <v>650</v>
      </c>
      <c r="I59" s="35" cm="1">
        <f t="array" ref="I59">Common_InputFunctions.Utility_DisplayArrayInTable(SourceData_PastureBeef.SourceData_PastureBeef_LiveweightNTQLD_Data(),Table_SourceData_PastureBeef_LiveweightNTQD[[#Headers],[State]], 0)</f>
        <v>108</v>
      </c>
      <c r="J59" s="35" cm="1">
        <f t="array" ref="J59">Common_InputFunctions.Utility_DisplayArrayInTable(SourceData_PastureBeef.SourceData_PastureBeef_LiveweightNTQLD_Data(),Table_SourceData_PastureBeef_LiveweightNTQD[[#Headers],[State]], 0)</f>
        <v>262</v>
      </c>
      <c r="K59" s="35" cm="1">
        <f t="array" ref="K59">Common_InputFunctions.Utility_DisplayArrayInTable(SourceData_PastureBeef.SourceData_PastureBeef_LiveweightNTQLD_Data(),Table_SourceData_PastureBeef_LiveweightNTQD[[#Headers],[State]], 0)</f>
        <v>346</v>
      </c>
      <c r="L59" s="35" cm="1">
        <f t="array" ref="L59">Common_InputFunctions.Utility_DisplayArrayInTable(SourceData_PastureBeef.SourceData_PastureBeef_LiveweightNTQLD_Data(),Table_SourceData_PastureBeef_LiveweightNTQD[[#Headers],[State]], 0)</f>
        <v>430</v>
      </c>
      <c r="M59" s="35" cm="1">
        <f t="array" ref="M59">Common_InputFunctions.Utility_DisplayArrayInTable(SourceData_PastureBeef.SourceData_PastureBeef_LiveweightNTQLD_Data(),Table_SourceData_PastureBeef_LiveweightNTQD[[#Headers],[State]], 0)</f>
        <v>111</v>
      </c>
      <c r="N59" s="35" cm="1">
        <f t="array" ref="N59">Common_InputFunctions.Utility_DisplayArrayInTable(SourceData_PastureBeef.SourceData_PastureBeef_LiveweightNTQLD_Data(),Table_SourceData_PastureBeef_LiveweightNTQD[[#Headers],[State]], 0)</f>
        <v>236</v>
      </c>
      <c r="O59" s="35" t="str" cm="1">
        <f t="array" ref="O59">Common_InputFunctions.Utility_DisplayArrayInTable(SourceData_PastureBeef.SourceData_PastureBeef_LiveweightNTQLD_Data(),Table_SourceData_PastureBeef_LiveweightNTQD[[#Headers],[State]], 0)</f>
        <v>NO</v>
      </c>
      <c r="P59" s="35" t="str" cm="1">
        <f t="array" ref="P59">Common_InputFunctions.Utility_DisplayArrayInTable(SourceData_PastureBeef.SourceData_PastureBeef_LiveweightNTQLD_Data(),Table_SourceData_PastureBeef_LiveweightNTQD[[#Headers],[State]], 0)</f>
        <v>NO</v>
      </c>
    </row>
    <row r="60" spans="4:16" ht="20.100000000000001" customHeight="1" x14ac:dyDescent="0.25">
      <c r="D60" s="1" t="str" cm="1">
        <f t="array" ref="D60">Common_InputFunctions.Utility_DisplayArrayInTable(SourceData_PastureBeef.SourceData_PastureBeef_LiveweightNTQLD_Data(),Table_SourceData_PastureBeef_LiveweightNTQD[[#Headers],[State]], 0)</f>
        <v>Northern Territory</v>
      </c>
      <c r="E60" s="35" t="str" cm="1">
        <f t="array" ref="E60">Common_InputFunctions.Utility_DisplayArrayInTable(SourceData_PastureBeef.SourceData_PastureBeef_LiveweightNTQLD_Data(),Table_SourceData_PastureBeef_LiveweightNTQD[[#Headers],[State]], 0)</f>
        <v>Barkly</v>
      </c>
      <c r="F60" s="35" t="str" cm="1">
        <f t="array" ref="F60">Common_InputFunctions.Utility_DisplayArrayInTable(SourceData_PastureBeef.SourceData_PastureBeef_LiveweightNTQLD_Data(),Table_SourceData_PastureBeef_LiveweightNTQD[[#Headers],[State]], 0)</f>
        <v>Autumn</v>
      </c>
      <c r="G60" s="35" cm="1">
        <f t="array" ref="G60">Common_InputFunctions.Utility_DisplayArrayInTable(SourceData_PastureBeef.SourceData_PastureBeef_LiveweightNTQLD_Data(),Table_SourceData_PastureBeef_LiveweightNTQD[[#Headers],[State]], 0)</f>
        <v>170</v>
      </c>
      <c r="H60" s="35" cm="1">
        <f t="array" ref="H60">Common_InputFunctions.Utility_DisplayArrayInTable(SourceData_PastureBeef.SourceData_PastureBeef_LiveweightNTQLD_Data(),Table_SourceData_PastureBeef_LiveweightNTQD[[#Headers],[State]], 0)</f>
        <v>670</v>
      </c>
      <c r="I60" s="35" cm="1">
        <f t="array" ref="I60">Common_InputFunctions.Utility_DisplayArrayInTable(SourceData_PastureBeef.SourceData_PastureBeef_LiveweightNTQLD_Data(),Table_SourceData_PastureBeef_LiveweightNTQD[[#Headers],[State]], 0)</f>
        <v>170</v>
      </c>
      <c r="J60" s="35" cm="1">
        <f t="array" ref="J60">Common_InputFunctions.Utility_DisplayArrayInTable(SourceData_PastureBeef.SourceData_PastureBeef_LiveweightNTQLD_Data(),Table_SourceData_PastureBeef_LiveweightNTQD[[#Headers],[State]], 0)</f>
        <v>266</v>
      </c>
      <c r="K60" s="35" cm="1">
        <f t="array" ref="K60">Common_InputFunctions.Utility_DisplayArrayInTable(SourceData_PastureBeef.SourceData_PastureBeef_LiveweightNTQLD_Data(),Table_SourceData_PastureBeef_LiveweightNTQD[[#Headers],[State]], 0)</f>
        <v>363</v>
      </c>
      <c r="L60" s="35" cm="1">
        <f t="array" ref="L60">Common_InputFunctions.Utility_DisplayArrayInTable(SourceData_PastureBeef.SourceData_PastureBeef_LiveweightNTQLD_Data(),Table_SourceData_PastureBeef_LiveweightNTQD[[#Headers],[State]], 0)</f>
        <v>444</v>
      </c>
      <c r="M60" s="35" cm="1">
        <f t="array" ref="M60">Common_InputFunctions.Utility_DisplayArrayInTable(SourceData_PastureBeef.SourceData_PastureBeef_LiveweightNTQLD_Data(),Table_SourceData_PastureBeef_LiveweightNTQD[[#Headers],[State]], 0)</f>
        <v>169</v>
      </c>
      <c r="N60" s="35" cm="1">
        <f t="array" ref="N60">Common_InputFunctions.Utility_DisplayArrayInTable(SourceData_PastureBeef.SourceData_PastureBeef_LiveweightNTQLD_Data(),Table_SourceData_PastureBeef_LiveweightNTQD[[#Headers],[State]], 0)</f>
        <v>282</v>
      </c>
      <c r="O60" s="35" t="str" cm="1">
        <f t="array" ref="O60">Common_InputFunctions.Utility_DisplayArrayInTable(SourceData_PastureBeef.SourceData_PastureBeef_LiveweightNTQLD_Data(),Table_SourceData_PastureBeef_LiveweightNTQD[[#Headers],[State]], 0)</f>
        <v>NO</v>
      </c>
      <c r="P60" s="35" t="str" cm="1">
        <f t="array" ref="P60">Common_InputFunctions.Utility_DisplayArrayInTable(SourceData_PastureBeef.SourceData_PastureBeef_LiveweightNTQLD_Data(),Table_SourceData_PastureBeef_LiveweightNTQD[[#Headers],[State]], 0)</f>
        <v>NO</v>
      </c>
    </row>
    <row r="61" spans="4:16" ht="20.100000000000001" customHeight="1" x14ac:dyDescent="0.25">
      <c r="D61" s="1" t="str" cm="1">
        <f t="array" ref="D61">Common_InputFunctions.Utility_DisplayArrayInTable(SourceData_PastureBeef.SourceData_PastureBeef_LiveweightNTQLD_Data(),Table_SourceData_PastureBeef_LiveweightNTQD[[#Headers],[State]], 0)</f>
        <v>Northern Territory</v>
      </c>
      <c r="E61" s="35" t="str" cm="1">
        <f t="array" ref="E61">Common_InputFunctions.Utility_DisplayArrayInTable(SourceData_PastureBeef.SourceData_PastureBeef_LiveweightNTQLD_Data(),Table_SourceData_PastureBeef_LiveweightNTQD[[#Headers],[State]], 0)</f>
        <v>Barkly</v>
      </c>
      <c r="F61" s="35" t="str" cm="1">
        <f t="array" ref="F61">Common_InputFunctions.Utility_DisplayArrayInTable(SourceData_PastureBeef.SourceData_PastureBeef_LiveweightNTQLD_Data(),Table_SourceData_PastureBeef_LiveweightNTQD[[#Headers],[State]], 0)</f>
        <v>Winter</v>
      </c>
      <c r="G61" s="35" cm="1">
        <f t="array" ref="G61">Common_InputFunctions.Utility_DisplayArrayInTable(SourceData_PastureBeef.SourceData_PastureBeef_LiveweightNTQLD_Data(),Table_SourceData_PastureBeef_LiveweightNTQD[[#Headers],[State]], 0)</f>
        <v>200</v>
      </c>
      <c r="H61" s="35" cm="1">
        <f t="array" ref="H61">Common_InputFunctions.Utility_DisplayArrayInTable(SourceData_PastureBeef.SourceData_PastureBeef_LiveweightNTQLD_Data(),Table_SourceData_PastureBeef_LiveweightNTQD[[#Headers],[State]], 0)</f>
        <v>660</v>
      </c>
      <c r="I61" s="35" cm="1">
        <f t="array" ref="I61">Common_InputFunctions.Utility_DisplayArrayInTable(SourceData_PastureBeef.SourceData_PastureBeef_LiveweightNTQLD_Data(),Table_SourceData_PastureBeef_LiveweightNTQD[[#Headers],[State]], 0)</f>
        <v>225</v>
      </c>
      <c r="J61" s="35" cm="1">
        <f t="array" ref="J61">Common_InputFunctions.Utility_DisplayArrayInTable(SourceData_PastureBeef.SourceData_PastureBeef_LiveweightNTQLD_Data(),Table_SourceData_PastureBeef_LiveweightNTQD[[#Headers],[State]], 0)</f>
        <v>307</v>
      </c>
      <c r="K61" s="35" cm="1">
        <f t="array" ref="K61">Common_InputFunctions.Utility_DisplayArrayInTable(SourceData_PastureBeef.SourceData_PastureBeef_LiveweightNTQLD_Data(),Table_SourceData_PastureBeef_LiveweightNTQD[[#Headers],[State]], 0)</f>
        <v>398</v>
      </c>
      <c r="L61" s="35" cm="1">
        <f t="array" ref="L61">Common_InputFunctions.Utility_DisplayArrayInTable(SourceData_PastureBeef.SourceData_PastureBeef_LiveweightNTQLD_Data(),Table_SourceData_PastureBeef_LiveweightNTQD[[#Headers],[State]], 0)</f>
        <v>452</v>
      </c>
      <c r="M61" s="35" cm="1">
        <f t="array" ref="M61">Common_InputFunctions.Utility_DisplayArrayInTable(SourceData_PastureBeef.SourceData_PastureBeef_LiveweightNTQLD_Data(),Table_SourceData_PastureBeef_LiveweightNTQD[[#Headers],[State]], 0)</f>
        <v>214</v>
      </c>
      <c r="N61" s="35" cm="1">
        <f t="array" ref="N61">Common_InputFunctions.Utility_DisplayArrayInTable(SourceData_PastureBeef.SourceData_PastureBeef_LiveweightNTQLD_Data(),Table_SourceData_PastureBeef_LiveweightNTQD[[#Headers],[State]], 0)</f>
        <v>326</v>
      </c>
      <c r="O61" s="35" t="str" cm="1">
        <f t="array" ref="O61">Common_InputFunctions.Utility_DisplayArrayInTable(SourceData_PastureBeef.SourceData_PastureBeef_LiveweightNTQLD_Data(),Table_SourceData_PastureBeef_LiveweightNTQD[[#Headers],[State]], 0)</f>
        <v>NO</v>
      </c>
      <c r="P61" s="35" t="str" cm="1">
        <f t="array" ref="P61">Common_InputFunctions.Utility_DisplayArrayInTable(SourceData_PastureBeef.SourceData_PastureBeef_LiveweightNTQLD_Data(),Table_SourceData_PastureBeef_LiveweightNTQD[[#Headers],[State]], 0)</f>
        <v>NO</v>
      </c>
    </row>
    <row r="62" spans="4:16" ht="20.100000000000001" customHeight="1" x14ac:dyDescent="0.25">
      <c r="D62" s="1" t="str" cm="1">
        <f t="array" ref="D62">Common_InputFunctions.Utility_DisplayArrayInTable(SourceData_PastureBeef.SourceData_PastureBeef_LiveweightNTQLD_Data(),Table_SourceData_PastureBeef_LiveweightNTQD[[#Headers],[State]], 0)</f>
        <v>Northern Territory</v>
      </c>
      <c r="E62" s="35" t="str" cm="1">
        <f t="array" ref="E62">Common_InputFunctions.Utility_DisplayArrayInTable(SourceData_PastureBeef.SourceData_PastureBeef_LiveweightNTQLD_Data(),Table_SourceData_PastureBeef_LiveweightNTQD[[#Headers],[State]], 0)</f>
        <v>Northern</v>
      </c>
      <c r="F62" s="35" t="str" cm="1">
        <f t="array" ref="F62">Common_InputFunctions.Utility_DisplayArrayInTable(SourceData_PastureBeef.SourceData_PastureBeef_LiveweightNTQLD_Data(),Table_SourceData_PastureBeef_LiveweightNTQD[[#Headers],[State]], 0)</f>
        <v>Spring</v>
      </c>
      <c r="G62" s="35" cm="1">
        <f t="array" ref="G62">Common_InputFunctions.Utility_DisplayArrayInTable(SourceData_PastureBeef.SourceData_PastureBeef_LiveweightNTQLD_Data(),Table_SourceData_PastureBeef_LiveweightNTQD[[#Headers],[State]], 0)</f>
        <v>220</v>
      </c>
      <c r="H62" s="35" cm="1">
        <f t="array" ref="H62">Common_InputFunctions.Utility_DisplayArrayInTable(SourceData_PastureBeef.SourceData_PastureBeef_LiveweightNTQLD_Data(),Table_SourceData_PastureBeef_LiveweightNTQD[[#Headers],[State]], 0)</f>
        <v>620</v>
      </c>
      <c r="I62" s="35" cm="1">
        <f t="array" ref="I62">Common_InputFunctions.Utility_DisplayArrayInTable(SourceData_PastureBeef.SourceData_PastureBeef_LiveweightNTQLD_Data(),Table_SourceData_PastureBeef_LiveweightNTQD[[#Headers],[State]], 0)</f>
        <v>177</v>
      </c>
      <c r="J62" s="35" cm="1">
        <f t="array" ref="J62">Common_InputFunctions.Utility_DisplayArrayInTable(SourceData_PastureBeef.SourceData_PastureBeef_LiveweightNTQLD_Data(),Table_SourceData_PastureBeef_LiveweightNTQD[[#Headers],[State]], 0)</f>
        <v>267</v>
      </c>
      <c r="K62" s="35" cm="1">
        <f t="array" ref="K62">Common_InputFunctions.Utility_DisplayArrayInTable(SourceData_PastureBeef.SourceData_PastureBeef_LiveweightNTQLD_Data(),Table_SourceData_PastureBeef_LiveweightNTQD[[#Headers],[State]], 0)</f>
        <v>365</v>
      </c>
      <c r="L62" s="35" cm="1">
        <f t="array" ref="L62">Common_InputFunctions.Utility_DisplayArrayInTable(SourceData_PastureBeef.SourceData_PastureBeef_LiveweightNTQLD_Data(),Table_SourceData_PastureBeef_LiveweightNTQD[[#Headers],[State]], 0)</f>
        <v>406</v>
      </c>
      <c r="M62" s="35" cm="1">
        <f t="array" ref="M62">Common_InputFunctions.Utility_DisplayArrayInTable(SourceData_PastureBeef.SourceData_PastureBeef_LiveweightNTQLD_Data(),Table_SourceData_PastureBeef_LiveweightNTQD[[#Headers],[State]], 0)</f>
        <v>231</v>
      </c>
      <c r="N62" s="35" cm="1">
        <f t="array" ref="N62">Common_InputFunctions.Utility_DisplayArrayInTable(SourceData_PastureBeef.SourceData_PastureBeef_LiveweightNTQLD_Data(),Table_SourceData_PastureBeef_LiveweightNTQD[[#Headers],[State]], 0)</f>
        <v>249</v>
      </c>
      <c r="O62" s="35" cm="1">
        <f t="array" ref="O62">Common_InputFunctions.Utility_DisplayArrayInTable(SourceData_PastureBeef.SourceData_PastureBeef_LiveweightNTQLD_Data(),Table_SourceData_PastureBeef_LiveweightNTQD[[#Headers],[State]], 0)</f>
        <v>324</v>
      </c>
      <c r="P62" s="35" t="str" cm="1">
        <f t="array" ref="P62">Common_InputFunctions.Utility_DisplayArrayInTable(SourceData_PastureBeef.SourceData_PastureBeef_LiveweightNTQLD_Data(),Table_SourceData_PastureBeef_LiveweightNTQD[[#Headers],[State]], 0)</f>
        <v>NO</v>
      </c>
    </row>
    <row r="63" spans="4:16" ht="20.100000000000001" customHeight="1" x14ac:dyDescent="0.25">
      <c r="D63" s="1" t="str" cm="1">
        <f t="array" ref="D63">Common_InputFunctions.Utility_DisplayArrayInTable(SourceData_PastureBeef.SourceData_PastureBeef_LiveweightNTQLD_Data(),Table_SourceData_PastureBeef_LiveweightNTQD[[#Headers],[State]], 0)</f>
        <v>Northern Territory</v>
      </c>
      <c r="E63" s="35" t="str" cm="1">
        <f t="array" ref="E63">Common_InputFunctions.Utility_DisplayArrayInTable(SourceData_PastureBeef.SourceData_PastureBeef_LiveweightNTQLD_Data(),Table_SourceData_PastureBeef_LiveweightNTQD[[#Headers],[State]], 0)</f>
        <v>Northern</v>
      </c>
      <c r="F63" s="35" t="str" cm="1">
        <f t="array" ref="F63">Common_InputFunctions.Utility_DisplayArrayInTable(SourceData_PastureBeef.SourceData_PastureBeef_LiveweightNTQLD_Data(),Table_SourceData_PastureBeef_LiveweightNTQD[[#Headers],[State]], 0)</f>
        <v>Summer</v>
      </c>
      <c r="G63" s="35" cm="1">
        <f t="array" ref="G63">Common_InputFunctions.Utility_DisplayArrayInTable(SourceData_PastureBeef.SourceData_PastureBeef_LiveweightNTQLD_Data(),Table_SourceData_PastureBeef_LiveweightNTQD[[#Headers],[State]], 0)</f>
        <v>110</v>
      </c>
      <c r="H63" s="35" cm="1">
        <f t="array" ref="H63">Common_InputFunctions.Utility_DisplayArrayInTable(SourceData_PastureBeef.SourceData_PastureBeef_LiveweightNTQLD_Data(),Table_SourceData_PastureBeef_LiveweightNTQD[[#Headers],[State]], 0)</f>
        <v>650</v>
      </c>
      <c r="I63" s="35" cm="1">
        <f t="array" ref="I63">Common_InputFunctions.Utility_DisplayArrayInTable(SourceData_PastureBeef.SourceData_PastureBeef_LiveweightNTQLD_Data(),Table_SourceData_PastureBeef_LiveweightNTQD[[#Headers],[State]], 0)</f>
        <v>102</v>
      </c>
      <c r="J63" s="35" cm="1">
        <f t="array" ref="J63">Common_InputFunctions.Utility_DisplayArrayInTable(SourceData_PastureBeef.SourceData_PastureBeef_LiveweightNTQLD_Data(),Table_SourceData_PastureBeef_LiveweightNTQD[[#Headers],[State]], 0)</f>
        <v>203</v>
      </c>
      <c r="K63" s="35" cm="1">
        <f t="array" ref="K63">Common_InputFunctions.Utility_DisplayArrayInTable(SourceData_PastureBeef.SourceData_PastureBeef_LiveweightNTQLD_Data(),Table_SourceData_PastureBeef_LiveweightNTQD[[#Headers],[State]], 0)</f>
        <v>299</v>
      </c>
      <c r="L63" s="35" cm="1">
        <f t="array" ref="L63">Common_InputFunctions.Utility_DisplayArrayInTable(SourceData_PastureBeef.SourceData_PastureBeef_LiveweightNTQLD_Data(),Table_SourceData_PastureBeef_LiveweightNTQD[[#Headers],[State]], 0)</f>
        <v>380</v>
      </c>
      <c r="M63" s="35" cm="1">
        <f t="array" ref="M63">Common_InputFunctions.Utility_DisplayArrayInTable(SourceData_PastureBeef.SourceData_PastureBeef_LiveweightNTQLD_Data(),Table_SourceData_PastureBeef_LiveweightNTQD[[#Headers],[State]], 0)</f>
        <v>102</v>
      </c>
      <c r="N63" s="35" cm="1">
        <f t="array" ref="N63">Common_InputFunctions.Utility_DisplayArrayInTable(SourceData_PastureBeef.SourceData_PastureBeef_LiveweightNTQLD_Data(),Table_SourceData_PastureBeef_LiveweightNTQD[[#Headers],[State]], 0)</f>
        <v>218</v>
      </c>
      <c r="O63" s="35" cm="1">
        <f t="array" ref="O63">Common_InputFunctions.Utility_DisplayArrayInTable(SourceData_PastureBeef.SourceData_PastureBeef_LiveweightNTQLD_Data(),Table_SourceData_PastureBeef_LiveweightNTQD[[#Headers],[State]], 0)</f>
        <v>263</v>
      </c>
      <c r="P63" s="35" t="str" cm="1">
        <f t="array" ref="P63">Common_InputFunctions.Utility_DisplayArrayInTable(SourceData_PastureBeef.SourceData_PastureBeef_LiveweightNTQLD_Data(),Table_SourceData_PastureBeef_LiveweightNTQD[[#Headers],[State]], 0)</f>
        <v>NO</v>
      </c>
    </row>
    <row r="64" spans="4:16" ht="20.100000000000001" customHeight="1" x14ac:dyDescent="0.25">
      <c r="D64" s="1" t="str" cm="1">
        <f t="array" ref="D64">Common_InputFunctions.Utility_DisplayArrayInTable(SourceData_PastureBeef.SourceData_PastureBeef_LiveweightNTQLD_Data(),Table_SourceData_PastureBeef_LiveweightNTQD[[#Headers],[State]], 0)</f>
        <v>Northern Territory</v>
      </c>
      <c r="E64" s="35" t="str" cm="1">
        <f t="array" ref="E64">Common_InputFunctions.Utility_DisplayArrayInTable(SourceData_PastureBeef.SourceData_PastureBeef_LiveweightNTQLD_Data(),Table_SourceData_PastureBeef_LiveweightNTQD[[#Headers],[State]], 0)</f>
        <v>Northern</v>
      </c>
      <c r="F64" s="35" t="str" cm="1">
        <f t="array" ref="F64">Common_InputFunctions.Utility_DisplayArrayInTable(SourceData_PastureBeef.SourceData_PastureBeef_LiveweightNTQLD_Data(),Table_SourceData_PastureBeef_LiveweightNTQD[[#Headers],[State]], 0)</f>
        <v>Autumn</v>
      </c>
      <c r="G64" s="35" cm="1">
        <f t="array" ref="G64">Common_InputFunctions.Utility_DisplayArrayInTable(SourceData_PastureBeef.SourceData_PastureBeef_LiveweightNTQLD_Data(),Table_SourceData_PastureBeef_LiveweightNTQD[[#Headers],[State]], 0)</f>
        <v>170</v>
      </c>
      <c r="H64" s="35" cm="1">
        <f t="array" ref="H64">Common_InputFunctions.Utility_DisplayArrayInTable(SourceData_PastureBeef.SourceData_PastureBeef_LiveweightNTQLD_Data(),Table_SourceData_PastureBeef_LiveweightNTQD[[#Headers],[State]], 0)</f>
        <v>670</v>
      </c>
      <c r="I64" s="35" cm="1">
        <f t="array" ref="I64">Common_InputFunctions.Utility_DisplayArrayInTable(SourceData_PastureBeef.SourceData_PastureBeef_LiveweightNTQLD_Data(),Table_SourceData_PastureBeef_LiveweightNTQD[[#Headers],[State]], 0)</f>
        <v>173</v>
      </c>
      <c r="J64" s="35" cm="1">
        <f t="array" ref="J64">Common_InputFunctions.Utility_DisplayArrayInTable(SourceData_PastureBeef.SourceData_PastureBeef_LiveweightNTQLD_Data(),Table_SourceData_PastureBeef_LiveweightNTQD[[#Headers],[State]], 0)</f>
        <v>250</v>
      </c>
      <c r="K64" s="35" cm="1">
        <f t="array" ref="K64">Common_InputFunctions.Utility_DisplayArrayInTable(SourceData_PastureBeef.SourceData_PastureBeef_LiveweightNTQLD_Data(),Table_SourceData_PastureBeef_LiveweightNTQD[[#Headers],[State]], 0)</f>
        <v>336</v>
      </c>
      <c r="L64" s="35" cm="1">
        <f t="array" ref="L64">Common_InputFunctions.Utility_DisplayArrayInTable(SourceData_PastureBeef.SourceData_PastureBeef_LiveweightNTQLD_Data(),Table_SourceData_PastureBeef_LiveweightNTQD[[#Headers],[State]], 0)</f>
        <v>414</v>
      </c>
      <c r="M64" s="35" cm="1">
        <f t="array" ref="M64">Common_InputFunctions.Utility_DisplayArrayInTable(SourceData_PastureBeef.SourceData_PastureBeef_LiveweightNTQLD_Data(),Table_SourceData_PastureBeef_LiveweightNTQD[[#Headers],[State]], 0)</f>
        <v>175</v>
      </c>
      <c r="N64" s="35" cm="1">
        <f t="array" ref="N64">Common_InputFunctions.Utility_DisplayArrayInTable(SourceData_PastureBeef.SourceData_PastureBeef_LiveweightNTQLD_Data(),Table_SourceData_PastureBeef_LiveweightNTQD[[#Headers],[State]], 0)</f>
        <v>243</v>
      </c>
      <c r="O64" s="35" cm="1">
        <f t="array" ref="O64">Common_InputFunctions.Utility_DisplayArrayInTable(SourceData_PastureBeef.SourceData_PastureBeef_LiveweightNTQLD_Data(),Table_SourceData_PastureBeef_LiveweightNTQD[[#Headers],[State]], 0)</f>
        <v>304</v>
      </c>
      <c r="P64" s="35" t="str" cm="1">
        <f t="array" ref="P64">Common_InputFunctions.Utility_DisplayArrayInTable(SourceData_PastureBeef.SourceData_PastureBeef_LiveweightNTQLD_Data(),Table_SourceData_PastureBeef_LiveweightNTQD[[#Headers],[State]], 0)</f>
        <v>NO</v>
      </c>
    </row>
    <row r="65" spans="4:22" ht="20.100000000000001" customHeight="1" x14ac:dyDescent="0.25">
      <c r="D65" s="1" t="str" cm="1">
        <f t="array" ref="D65">Common_InputFunctions.Utility_DisplayArrayInTable(SourceData_PastureBeef.SourceData_PastureBeef_LiveweightNTQLD_Data(),Table_SourceData_PastureBeef_LiveweightNTQD[[#Headers],[State]], 0)</f>
        <v>Northern Territory</v>
      </c>
      <c r="E65" s="35" t="str" cm="1">
        <f t="array" ref="E65">Common_InputFunctions.Utility_DisplayArrayInTable(SourceData_PastureBeef.SourceData_PastureBeef_LiveweightNTQLD_Data(),Table_SourceData_PastureBeef_LiveweightNTQD[[#Headers],[State]], 0)</f>
        <v>Northern</v>
      </c>
      <c r="F65" s="35" t="str" cm="1">
        <f t="array" ref="F65">Common_InputFunctions.Utility_DisplayArrayInTable(SourceData_PastureBeef.SourceData_PastureBeef_LiveweightNTQLD_Data(),Table_SourceData_PastureBeef_LiveweightNTQD[[#Headers],[State]], 0)</f>
        <v>Winter</v>
      </c>
      <c r="G65" s="35" cm="1">
        <f t="array" ref="G65">Common_InputFunctions.Utility_DisplayArrayInTable(SourceData_PastureBeef.SourceData_PastureBeef_LiveweightNTQLD_Data(),Table_SourceData_PastureBeef_LiveweightNTQD[[#Headers],[State]], 0)</f>
        <v>200</v>
      </c>
      <c r="H65" s="35" cm="1">
        <f t="array" ref="H65">Common_InputFunctions.Utility_DisplayArrayInTable(SourceData_PastureBeef.SourceData_PastureBeef_LiveweightNTQLD_Data(),Table_SourceData_PastureBeef_LiveweightNTQD[[#Headers],[State]], 0)</f>
        <v>660</v>
      </c>
      <c r="I65" s="35" cm="1">
        <f t="array" ref="I65">Common_InputFunctions.Utility_DisplayArrayInTable(SourceData_PastureBeef.SourceData_PastureBeef_LiveweightNTQLD_Data(),Table_SourceData_PastureBeef_LiveweightNTQD[[#Headers],[State]], 0)</f>
        <v>202</v>
      </c>
      <c r="J65" s="35" cm="1">
        <f t="array" ref="J65">Common_InputFunctions.Utility_DisplayArrayInTable(SourceData_PastureBeef.SourceData_PastureBeef_LiveweightNTQLD_Data(),Table_SourceData_PastureBeef_LiveweightNTQD[[#Headers],[State]], 0)</f>
        <v>272</v>
      </c>
      <c r="K65" s="35" cm="1">
        <f t="array" ref="K65">Common_InputFunctions.Utility_DisplayArrayInTable(SourceData_PastureBeef.SourceData_PastureBeef_LiveweightNTQLD_Data(),Table_SourceData_PastureBeef_LiveweightNTQD[[#Headers],[State]], 0)</f>
        <v>365</v>
      </c>
      <c r="L65" s="35" cm="1">
        <f t="array" ref="L65">Common_InputFunctions.Utility_DisplayArrayInTable(SourceData_PastureBeef.SourceData_PastureBeef_LiveweightNTQLD_Data(),Table_SourceData_PastureBeef_LiveweightNTQD[[#Headers],[State]], 0)</f>
        <v>390</v>
      </c>
      <c r="M65" s="35" cm="1">
        <f t="array" ref="M65">Common_InputFunctions.Utility_DisplayArrayInTable(SourceData_PastureBeef.SourceData_PastureBeef_LiveweightNTQLD_Data(),Table_SourceData_PastureBeef_LiveweightNTQD[[#Headers],[State]], 0)</f>
        <v>208</v>
      </c>
      <c r="N65" s="35" cm="1">
        <f t="array" ref="N65">Common_InputFunctions.Utility_DisplayArrayInTable(SourceData_PastureBeef.SourceData_PastureBeef_LiveweightNTQLD_Data(),Table_SourceData_PastureBeef_LiveweightNTQD[[#Headers],[State]], 0)</f>
        <v>260</v>
      </c>
      <c r="O65" s="35" cm="1">
        <f t="array" ref="O65">Common_InputFunctions.Utility_DisplayArrayInTable(SourceData_PastureBeef.SourceData_PastureBeef_LiveweightNTQLD_Data(),Table_SourceData_PastureBeef_LiveweightNTQD[[#Headers],[State]], 0)</f>
        <v>337</v>
      </c>
      <c r="P65" s="35" t="str" cm="1">
        <f t="array" ref="P65">Common_InputFunctions.Utility_DisplayArrayInTable(SourceData_PastureBeef.SourceData_PastureBeef_LiveweightNTQLD_Data(),Table_SourceData_PastureBeef_LiveweightNTQD[[#Headers],[State]], 0)</f>
        <v>NO</v>
      </c>
    </row>
    <row r="66" spans="4:22" ht="20.100000000000001" customHeight="1" x14ac:dyDescent="0.25">
      <c r="D66" s="1" t="str" cm="1">
        <f t="array" ref="D66">Common_InputFunctions.Utility_DisplayArrayInTable(SourceData_PastureBeef.SourceData_PastureBeef_LiveweightNTQLD_Data(),Table_SourceData_PastureBeef_LiveweightNTQD[[#Headers],[State]], 0)</f>
        <v>Queensland</v>
      </c>
      <c r="E66" s="35" t="str" cm="1">
        <f t="array" ref="E66">Common_InputFunctions.Utility_DisplayArrayInTable(SourceData_PastureBeef.SourceData_PastureBeef_LiveweightNTQLD_Data(),Table_SourceData_PastureBeef_LiveweightNTQD[[#Headers],[State]], 0)</f>
        <v>High</v>
      </c>
      <c r="F66" s="35" t="str" cm="1">
        <f t="array" ref="F66">Common_InputFunctions.Utility_DisplayArrayInTable(SourceData_PastureBeef.SourceData_PastureBeef_LiveweightNTQLD_Data(),Table_SourceData_PastureBeef_LiveweightNTQD[[#Headers],[State]], 0)</f>
        <v>Spring</v>
      </c>
      <c r="G66" s="35" cm="1">
        <f t="array" ref="G66">Common_InputFunctions.Utility_DisplayArrayInTable(SourceData_PastureBeef.SourceData_PastureBeef_LiveweightNTQLD_Data(),Table_SourceData_PastureBeef_LiveweightNTQD[[#Headers],[State]], 0)</f>
        <v>260</v>
      </c>
      <c r="H66" s="35" cm="1">
        <f t="array" ref="H66">Common_InputFunctions.Utility_DisplayArrayInTable(SourceData_PastureBeef.SourceData_PastureBeef_LiveweightNTQLD_Data(),Table_SourceData_PastureBeef_LiveweightNTQD[[#Headers],[State]], 0)</f>
        <v>705</v>
      </c>
      <c r="I66" s="35" cm="1">
        <f t="array" ref="I66">Common_InputFunctions.Utility_DisplayArrayInTable(SourceData_PastureBeef.SourceData_PastureBeef_LiveweightNTQLD_Data(),Table_SourceData_PastureBeef_LiveweightNTQD[[#Headers],[State]], 0)</f>
        <v>215</v>
      </c>
      <c r="J66" s="35" cm="1">
        <f t="array" ref="J66">Common_InputFunctions.Utility_DisplayArrayInTable(SourceData_PastureBeef.SourceData_PastureBeef_LiveweightNTQLD_Data(),Table_SourceData_PastureBeef_LiveweightNTQD[[#Headers],[State]], 0)</f>
        <v>302</v>
      </c>
      <c r="K66" s="35" cm="1">
        <f t="array" ref="K66">Common_InputFunctions.Utility_DisplayArrayInTable(SourceData_PastureBeef.SourceData_PastureBeef_LiveweightNTQLD_Data(),Table_SourceData_PastureBeef_LiveweightNTQD[[#Headers],[State]], 0)</f>
        <v>416</v>
      </c>
      <c r="L66" s="35" cm="1">
        <f t="array" ref="L66">Common_InputFunctions.Utility_DisplayArrayInTable(SourceData_PastureBeef.SourceData_PastureBeef_LiveweightNTQLD_Data(),Table_SourceData_PastureBeef_LiveweightNTQD[[#Headers],[State]], 0)</f>
        <v>519</v>
      </c>
      <c r="M66" s="35" cm="1">
        <f t="array" ref="M66">Common_InputFunctions.Utility_DisplayArrayInTable(SourceData_PastureBeef.SourceData_PastureBeef_LiveweightNTQLD_Data(),Table_SourceData_PastureBeef_LiveweightNTQD[[#Headers],[State]], 0)</f>
        <v>234</v>
      </c>
      <c r="N66" s="35" cm="1">
        <f t="array" ref="N66">Common_InputFunctions.Utility_DisplayArrayInTable(SourceData_PastureBeef.SourceData_PastureBeef_LiveweightNTQLD_Data(),Table_SourceData_PastureBeef_LiveweightNTQD[[#Headers],[State]], 0)</f>
        <v>455</v>
      </c>
      <c r="O66" s="35" cm="1">
        <f t="array" ref="O66">Common_InputFunctions.Utility_DisplayArrayInTable(SourceData_PastureBeef.SourceData_PastureBeef_LiveweightNTQLD_Data(),Table_SourceData_PastureBeef_LiveweightNTQD[[#Headers],[State]], 0)</f>
        <v>551</v>
      </c>
      <c r="P66" s="35" cm="1">
        <f t="array" ref="P66">Common_InputFunctions.Utility_DisplayArrayInTable(SourceData_PastureBeef.SourceData_PastureBeef_LiveweightNTQLD_Data(),Table_SourceData_PastureBeef_LiveweightNTQD[[#Headers],[State]], 0)</f>
        <v>660</v>
      </c>
    </row>
    <row r="67" spans="4:22" ht="20.100000000000001" customHeight="1" x14ac:dyDescent="0.25">
      <c r="D67" s="1" t="str" cm="1">
        <f t="array" ref="D67">Common_InputFunctions.Utility_DisplayArrayInTable(SourceData_PastureBeef.SourceData_PastureBeef_LiveweightNTQLD_Data(),Table_SourceData_PastureBeef_LiveweightNTQD[[#Headers],[State]], 0)</f>
        <v>Queensland</v>
      </c>
      <c r="E67" s="35" t="str" cm="1">
        <f t="array" ref="E67">Common_InputFunctions.Utility_DisplayArrayInTable(SourceData_PastureBeef.SourceData_PastureBeef_LiveweightNTQLD_Data(),Table_SourceData_PastureBeef_LiveweightNTQD[[#Headers],[State]], 0)</f>
        <v>High</v>
      </c>
      <c r="F67" s="35" t="str" cm="1">
        <f t="array" ref="F67">Common_InputFunctions.Utility_DisplayArrayInTable(SourceData_PastureBeef.SourceData_PastureBeef_LiveweightNTQLD_Data(),Table_SourceData_PastureBeef_LiveweightNTQD[[#Headers],[State]], 0)</f>
        <v>Summer</v>
      </c>
      <c r="G67" s="35" cm="1">
        <f t="array" ref="G67">Common_InputFunctions.Utility_DisplayArrayInTable(SourceData_PastureBeef.SourceData_PastureBeef_LiveweightNTQLD_Data(),Table_SourceData_PastureBeef_LiveweightNTQD[[#Headers],[State]], 0)</f>
        <v>153</v>
      </c>
      <c r="H67" s="35" cm="1">
        <f t="array" ref="H67">Common_InputFunctions.Utility_DisplayArrayInTable(SourceData_PastureBeef.SourceData_PastureBeef_LiveweightNTQLD_Data(),Table_SourceData_PastureBeef_LiveweightNTQD[[#Headers],[State]], 0)</f>
        <v>703</v>
      </c>
      <c r="I67" s="35" cm="1">
        <f t="array" ref="I67">Common_InputFunctions.Utility_DisplayArrayInTable(SourceData_PastureBeef.SourceData_PastureBeef_LiveweightNTQLD_Data(),Table_SourceData_PastureBeef_LiveweightNTQD[[#Headers],[State]], 0)</f>
        <v>118</v>
      </c>
      <c r="J67" s="35" cm="1">
        <f t="array" ref="J67">Common_InputFunctions.Utility_DisplayArrayInTable(SourceData_PastureBeef.SourceData_PastureBeef_LiveweightNTQLD_Data(),Table_SourceData_PastureBeef_LiveweightNTQD[[#Headers],[State]], 0)</f>
        <v>277</v>
      </c>
      <c r="K67" s="35" cm="1">
        <f t="array" ref="K67">Common_InputFunctions.Utility_DisplayArrayInTable(SourceData_PastureBeef.SourceData_PastureBeef_LiveweightNTQLD_Data(),Table_SourceData_PastureBeef_LiveweightNTQD[[#Headers],[State]], 0)</f>
        <v>397</v>
      </c>
      <c r="L67" s="35" cm="1">
        <f t="array" ref="L67">Common_InputFunctions.Utility_DisplayArrayInTable(SourceData_PastureBeef.SourceData_PastureBeef_LiveweightNTQLD_Data(),Table_SourceData_PastureBeef_LiveweightNTQD[[#Headers],[State]], 0)</f>
        <v>483</v>
      </c>
      <c r="M67" s="35" cm="1">
        <f t="array" ref="M67">Common_InputFunctions.Utility_DisplayArrayInTable(SourceData_PastureBeef.SourceData_PastureBeef_LiveweightNTQLD_Data(),Table_SourceData_PastureBeef_LiveweightNTQD[[#Headers],[State]], 0)</f>
        <v>111</v>
      </c>
      <c r="N67" s="35" cm="1">
        <f t="array" ref="N67">Common_InputFunctions.Utility_DisplayArrayInTable(SourceData_PastureBeef.SourceData_PastureBeef_LiveweightNTQLD_Data(),Table_SourceData_PastureBeef_LiveweightNTQD[[#Headers],[State]], 0)</f>
        <v>304</v>
      </c>
      <c r="O67" s="35" cm="1">
        <f t="array" ref="O67">Common_InputFunctions.Utility_DisplayArrayInTable(SourceData_PastureBeef.SourceData_PastureBeef_LiveweightNTQLD_Data(),Table_SourceData_PastureBeef_LiveweightNTQD[[#Headers],[State]], 0)</f>
        <v>521</v>
      </c>
      <c r="P67" s="35" cm="1">
        <f t="array" ref="P67">Common_InputFunctions.Utility_DisplayArrayInTable(SourceData_PastureBeef.SourceData_PastureBeef_LiveweightNTQLD_Data(),Table_SourceData_PastureBeef_LiveweightNTQD[[#Headers],[State]], 0)</f>
        <v>547</v>
      </c>
    </row>
    <row r="68" spans="4:22" ht="20.100000000000001" customHeight="1" x14ac:dyDescent="0.25">
      <c r="D68" s="1" t="str" cm="1">
        <f t="array" ref="D68">Common_InputFunctions.Utility_DisplayArrayInTable(SourceData_PastureBeef.SourceData_PastureBeef_LiveweightNTQLD_Data(),Table_SourceData_PastureBeef_LiveweightNTQD[[#Headers],[State]], 0)</f>
        <v>Queensland</v>
      </c>
      <c r="E68" s="35" t="str" cm="1">
        <f t="array" ref="E68">Common_InputFunctions.Utility_DisplayArrayInTable(SourceData_PastureBeef.SourceData_PastureBeef_LiveweightNTQLD_Data(),Table_SourceData_PastureBeef_LiveweightNTQD[[#Headers],[State]], 0)</f>
        <v>High</v>
      </c>
      <c r="F68" s="35" t="str" cm="1">
        <f t="array" ref="F68">Common_InputFunctions.Utility_DisplayArrayInTable(SourceData_PastureBeef.SourceData_PastureBeef_LiveweightNTQLD_Data(),Table_SourceData_PastureBeef_LiveweightNTQD[[#Headers],[State]], 0)</f>
        <v>Autumn</v>
      </c>
      <c r="G68" s="35" cm="1">
        <f t="array" ref="G68">Common_InputFunctions.Utility_DisplayArrayInTable(SourceData_PastureBeef.SourceData_PastureBeef_LiveweightNTQLD_Data(),Table_SourceData_PastureBeef_LiveweightNTQD[[#Headers],[State]], 0)</f>
        <v>168</v>
      </c>
      <c r="H68" s="35" cm="1">
        <f t="array" ref="H68">Common_InputFunctions.Utility_DisplayArrayInTable(SourceData_PastureBeef.SourceData_PastureBeef_LiveweightNTQLD_Data(),Table_SourceData_PastureBeef_LiveweightNTQD[[#Headers],[State]], 0)</f>
        <v>718</v>
      </c>
      <c r="I68" s="35" cm="1">
        <f t="array" ref="I68">Common_InputFunctions.Utility_DisplayArrayInTable(SourceData_PastureBeef.SourceData_PastureBeef_LiveweightNTQLD_Data(),Table_SourceData_PastureBeef_LiveweightNTQD[[#Headers],[State]], 0)</f>
        <v>191</v>
      </c>
      <c r="J68" s="35" cm="1">
        <f t="array" ref="J68">Common_InputFunctions.Utility_DisplayArrayInTable(SourceData_PastureBeef.SourceData_PastureBeef_LiveweightNTQLD_Data(),Table_SourceData_PastureBeef_LiveweightNTQD[[#Headers],[State]], 0)</f>
        <v>319</v>
      </c>
      <c r="K68" s="35" cm="1">
        <f t="array" ref="K68">Common_InputFunctions.Utility_DisplayArrayInTable(SourceData_PastureBeef.SourceData_PastureBeef_LiveweightNTQLD_Data(),Table_SourceData_PastureBeef_LiveweightNTQD[[#Headers],[State]], 0)</f>
        <v>440</v>
      </c>
      <c r="L68" s="35" cm="1">
        <f t="array" ref="L68">Common_InputFunctions.Utility_DisplayArrayInTable(SourceData_PastureBeef.SourceData_PastureBeef_LiveweightNTQLD_Data(),Table_SourceData_PastureBeef_LiveweightNTQD[[#Headers],[State]], 0)</f>
        <v>506</v>
      </c>
      <c r="M68" s="35" cm="1">
        <f t="array" ref="M68">Common_InputFunctions.Utility_DisplayArrayInTable(SourceData_PastureBeef.SourceData_PastureBeef_LiveweightNTQLD_Data(),Table_SourceData_PastureBeef_LiveweightNTQD[[#Headers],[State]], 0)</f>
        <v>188</v>
      </c>
      <c r="N68" s="35" cm="1">
        <f t="array" ref="N68">Common_InputFunctions.Utility_DisplayArrayInTable(SourceData_PastureBeef.SourceData_PastureBeef_LiveweightNTQLD_Data(),Table_SourceData_PastureBeef_LiveweightNTQD[[#Headers],[State]], 0)</f>
        <v>326</v>
      </c>
      <c r="O68" s="35" cm="1">
        <f t="array" ref="O68">Common_InputFunctions.Utility_DisplayArrayInTable(SourceData_PastureBeef.SourceData_PastureBeef_LiveweightNTQLD_Data(),Table_SourceData_PastureBeef_LiveweightNTQD[[#Headers],[State]], 0)</f>
        <v>520</v>
      </c>
      <c r="P68" s="35" cm="1">
        <f t="array" ref="P68">Common_InputFunctions.Utility_DisplayArrayInTable(SourceData_PastureBeef.SourceData_PastureBeef_LiveweightNTQLD_Data(),Table_SourceData_PastureBeef_LiveweightNTQD[[#Headers],[State]], 0)</f>
        <v>582</v>
      </c>
    </row>
    <row r="69" spans="4:22" ht="20.100000000000001" customHeight="1" x14ac:dyDescent="0.25">
      <c r="D69" s="1" t="str" cm="1">
        <f t="array" ref="D69">Common_InputFunctions.Utility_DisplayArrayInTable(SourceData_PastureBeef.SourceData_PastureBeef_LiveweightNTQLD_Data(),Table_SourceData_PastureBeef_LiveweightNTQD[[#Headers],[State]], 0)</f>
        <v>Queensland</v>
      </c>
      <c r="E69" s="35" t="str" cm="1">
        <f t="array" ref="E69">Common_InputFunctions.Utility_DisplayArrayInTable(SourceData_PastureBeef.SourceData_PastureBeef_LiveweightNTQLD_Data(),Table_SourceData_PastureBeef_LiveweightNTQD[[#Headers],[State]], 0)</f>
        <v>High</v>
      </c>
      <c r="F69" s="35" t="str" cm="1">
        <f t="array" ref="F69">Common_InputFunctions.Utility_DisplayArrayInTable(SourceData_PastureBeef.SourceData_PastureBeef_LiveweightNTQLD_Data(),Table_SourceData_PastureBeef_LiveweightNTQD[[#Headers],[State]], 0)</f>
        <v>Winter</v>
      </c>
      <c r="G69" s="35" cm="1">
        <f t="array" ref="G69">Common_InputFunctions.Utility_DisplayArrayInTable(SourceData_PastureBeef.SourceData_PastureBeef_LiveweightNTQLD_Data(),Table_SourceData_PastureBeef_LiveweightNTQD[[#Headers],[State]], 0)</f>
        <v>235</v>
      </c>
      <c r="H69" s="35" cm="1">
        <f t="array" ref="H69">Common_InputFunctions.Utility_DisplayArrayInTable(SourceData_PastureBeef.SourceData_PastureBeef_LiveweightNTQLD_Data(),Table_SourceData_PastureBeef_LiveweightNTQD[[#Headers],[State]], 0)</f>
        <v>722</v>
      </c>
      <c r="I69" s="35" cm="1">
        <f t="array" ref="I69">Common_InputFunctions.Utility_DisplayArrayInTable(SourceData_PastureBeef.SourceData_PastureBeef_LiveweightNTQLD_Data(),Table_SourceData_PastureBeef_LiveweightNTQD[[#Headers],[State]], 0)</f>
        <v>207</v>
      </c>
      <c r="J69" s="35" cm="1">
        <f t="array" ref="J69">Common_InputFunctions.Utility_DisplayArrayInTable(SourceData_PastureBeef.SourceData_PastureBeef_LiveweightNTQLD_Data(),Table_SourceData_PastureBeef_LiveweightNTQD[[#Headers],[State]], 0)</f>
        <v>352</v>
      </c>
      <c r="K69" s="35" cm="1">
        <f t="array" ref="K69">Common_InputFunctions.Utility_DisplayArrayInTable(SourceData_PastureBeef.SourceData_PastureBeef_LiveweightNTQLD_Data(),Table_SourceData_PastureBeef_LiveweightNTQD[[#Headers],[State]], 0)</f>
        <v>470</v>
      </c>
      <c r="L69" s="35" cm="1">
        <f t="array" ref="L69">Common_InputFunctions.Utility_DisplayArrayInTable(SourceData_PastureBeef.SourceData_PastureBeef_LiveweightNTQLD_Data(),Table_SourceData_PastureBeef_LiveweightNTQD[[#Headers],[State]], 0)</f>
        <v>514</v>
      </c>
      <c r="M69" s="35" cm="1">
        <f t="array" ref="M69">Common_InputFunctions.Utility_DisplayArrayInTable(SourceData_PastureBeef.SourceData_PastureBeef_LiveweightNTQLD_Data(),Table_SourceData_PastureBeef_LiveweightNTQD[[#Headers],[State]], 0)</f>
        <v>209</v>
      </c>
      <c r="N69" s="35" cm="1">
        <f t="array" ref="N69">Common_InputFunctions.Utility_DisplayArrayInTable(SourceData_PastureBeef.SourceData_PastureBeef_LiveweightNTQLD_Data(),Table_SourceData_PastureBeef_LiveweightNTQD[[#Headers],[State]], 0)</f>
        <v>421</v>
      </c>
      <c r="O69" s="35" cm="1">
        <f t="array" ref="O69">Common_InputFunctions.Utility_DisplayArrayInTable(SourceData_PastureBeef.SourceData_PastureBeef_LiveweightNTQLD_Data(),Table_SourceData_PastureBeef_LiveweightNTQD[[#Headers],[State]], 0)</f>
        <v>512</v>
      </c>
      <c r="P69" s="35" cm="1">
        <f t="array" ref="P69">Common_InputFunctions.Utility_DisplayArrayInTable(SourceData_PastureBeef.SourceData_PastureBeef_LiveweightNTQLD_Data(),Table_SourceData_PastureBeef_LiveweightNTQD[[#Headers],[State]], 0)</f>
        <v>605</v>
      </c>
    </row>
    <row r="70" spans="4:22" ht="20.100000000000001" customHeight="1" x14ac:dyDescent="0.25">
      <c r="D70" s="1" t="str" cm="1">
        <f t="array" ref="D70">Common_InputFunctions.Utility_DisplayArrayInTable(SourceData_PastureBeef.SourceData_PastureBeef_LiveweightNTQLD_Data(),Table_SourceData_PastureBeef_LiveweightNTQD[[#Headers],[State]], 0)</f>
        <v>Queensland</v>
      </c>
      <c r="E70" s="35" t="str" cm="1">
        <f t="array" ref="E70">Common_InputFunctions.Utility_DisplayArrayInTable(SourceData_PastureBeef.SourceData_PastureBeef_LiveweightNTQLD_Data(),Table_SourceData_PastureBeef_LiveweightNTQD[[#Headers],[State]], 0)</f>
        <v>Moderate/High</v>
      </c>
      <c r="F70" s="35" t="str" cm="1">
        <f t="array" ref="F70">Common_InputFunctions.Utility_DisplayArrayInTable(SourceData_PastureBeef.SourceData_PastureBeef_LiveweightNTQLD_Data(),Table_SourceData_PastureBeef_LiveweightNTQD[[#Headers],[State]], 0)</f>
        <v>Spring</v>
      </c>
      <c r="G70" s="35" cm="1">
        <f t="array" ref="G70">Common_InputFunctions.Utility_DisplayArrayInTable(SourceData_PastureBeef.SourceData_PastureBeef_LiveweightNTQLD_Data(),Table_SourceData_PastureBeef_LiveweightNTQD[[#Headers],[State]], 0)</f>
        <v>230</v>
      </c>
      <c r="H70" s="35" cm="1">
        <f t="array" ref="H70">Common_InputFunctions.Utility_DisplayArrayInTable(SourceData_PastureBeef.SourceData_PastureBeef_LiveweightNTQLD_Data(),Table_SourceData_PastureBeef_LiveweightNTQD[[#Headers],[State]], 0)</f>
        <v>674</v>
      </c>
      <c r="I70" s="35" cm="1">
        <f t="array" ref="I70">Common_InputFunctions.Utility_DisplayArrayInTable(SourceData_PastureBeef.SourceData_PastureBeef_LiveweightNTQLD_Data(),Table_SourceData_PastureBeef_LiveweightNTQD[[#Headers],[State]], 0)</f>
        <v>217</v>
      </c>
      <c r="J70" s="35" cm="1">
        <f t="array" ref="J70">Common_InputFunctions.Utility_DisplayArrayInTable(SourceData_PastureBeef.SourceData_PastureBeef_LiveweightNTQLD_Data(),Table_SourceData_PastureBeef_LiveweightNTQD[[#Headers],[State]], 0)</f>
        <v>344</v>
      </c>
      <c r="K70" s="35" cm="1">
        <f t="array" ref="K70">Common_InputFunctions.Utility_DisplayArrayInTable(SourceData_PastureBeef.SourceData_PastureBeef_LiveweightNTQLD_Data(),Table_SourceData_PastureBeef_LiveweightNTQD[[#Headers],[State]], 0)</f>
        <v>357</v>
      </c>
      <c r="L70" s="35" cm="1">
        <f t="array" ref="L70">Common_InputFunctions.Utility_DisplayArrayInTable(SourceData_PastureBeef.SourceData_PastureBeef_LiveweightNTQLD_Data(),Table_SourceData_PastureBeef_LiveweightNTQD[[#Headers],[State]], 0)</f>
        <v>467</v>
      </c>
      <c r="M70" s="35" cm="1">
        <f t="array" ref="M70">Common_InputFunctions.Utility_DisplayArrayInTable(SourceData_PastureBeef.SourceData_PastureBeef_LiveweightNTQLD_Data(),Table_SourceData_PastureBeef_LiveweightNTQD[[#Headers],[State]], 0)</f>
        <v>242</v>
      </c>
      <c r="N70" s="35" cm="1">
        <f t="array" ref="N70">Common_InputFunctions.Utility_DisplayArrayInTable(SourceData_PastureBeef.SourceData_PastureBeef_LiveweightNTQLD_Data(),Table_SourceData_PastureBeef_LiveweightNTQD[[#Headers],[State]], 0)</f>
        <v>370</v>
      </c>
      <c r="O70" s="35" cm="1">
        <f t="array" ref="O70">Common_InputFunctions.Utility_DisplayArrayInTable(SourceData_PastureBeef.SourceData_PastureBeef_LiveweightNTQLD_Data(),Table_SourceData_PastureBeef_LiveweightNTQD[[#Headers],[State]], 0)</f>
        <v>550</v>
      </c>
      <c r="P70" s="35" cm="1">
        <f t="array" ref="P70">Common_InputFunctions.Utility_DisplayArrayInTable(SourceData_PastureBeef.SourceData_PastureBeef_LiveweightNTQLD_Data(),Table_SourceData_PastureBeef_LiveweightNTQD[[#Headers],[State]], 0)</f>
        <v>620</v>
      </c>
    </row>
    <row r="71" spans="4:22" ht="20.100000000000001" customHeight="1" x14ac:dyDescent="0.25">
      <c r="D71" s="1" t="str" cm="1">
        <f t="array" ref="D71">Common_InputFunctions.Utility_DisplayArrayInTable(SourceData_PastureBeef.SourceData_PastureBeef_LiveweightNTQLD_Data(),Table_SourceData_PastureBeef_LiveweightNTQD[[#Headers],[State]], 0)</f>
        <v>Queensland</v>
      </c>
      <c r="E71" s="35" t="str" cm="1">
        <f t="array" ref="E71">Common_InputFunctions.Utility_DisplayArrayInTable(SourceData_PastureBeef.SourceData_PastureBeef_LiveweightNTQLD_Data(),Table_SourceData_PastureBeef_LiveweightNTQD[[#Headers],[State]], 0)</f>
        <v>Moderate/High</v>
      </c>
      <c r="F71" s="35" t="str" cm="1">
        <f t="array" ref="F71">Common_InputFunctions.Utility_DisplayArrayInTable(SourceData_PastureBeef.SourceData_PastureBeef_LiveweightNTQLD_Data(),Table_SourceData_PastureBeef_LiveweightNTQD[[#Headers],[State]], 0)</f>
        <v>Summer</v>
      </c>
      <c r="G71" s="35" cm="1">
        <f t="array" ref="G71">Common_InputFunctions.Utility_DisplayArrayInTable(SourceData_PastureBeef.SourceData_PastureBeef_LiveweightNTQLD_Data(),Table_SourceData_PastureBeef_LiveweightNTQD[[#Headers],[State]], 0)</f>
        <v>113</v>
      </c>
      <c r="H71" s="35" cm="1">
        <f t="array" ref="H71">Common_InputFunctions.Utility_DisplayArrayInTable(SourceData_PastureBeef.SourceData_PastureBeef_LiveweightNTQLD_Data(),Table_SourceData_PastureBeef_LiveweightNTQD[[#Headers],[State]], 0)</f>
        <v>669</v>
      </c>
      <c r="I71" s="35" cm="1">
        <f t="array" ref="I71">Common_InputFunctions.Utility_DisplayArrayInTable(SourceData_PastureBeef.SourceData_PastureBeef_LiveweightNTQLD_Data(),Table_SourceData_PastureBeef_LiveweightNTQD[[#Headers],[State]], 0)</f>
        <v>113</v>
      </c>
      <c r="J71" s="35" cm="1">
        <f t="array" ref="J71">Common_InputFunctions.Utility_DisplayArrayInTable(SourceData_PastureBeef.SourceData_PastureBeef_LiveweightNTQLD_Data(),Table_SourceData_PastureBeef_LiveweightNTQD[[#Headers],[State]], 0)</f>
        <v>283</v>
      </c>
      <c r="K71" s="35" cm="1">
        <f t="array" ref="K71">Common_InputFunctions.Utility_DisplayArrayInTable(SourceData_PastureBeef.SourceData_PastureBeef_LiveweightNTQLD_Data(),Table_SourceData_PastureBeef_LiveweightNTQD[[#Headers],[State]], 0)</f>
        <v>361</v>
      </c>
      <c r="L71" s="35" cm="1">
        <f t="array" ref="L71">Common_InputFunctions.Utility_DisplayArrayInTable(SourceData_PastureBeef.SourceData_PastureBeef_LiveweightNTQLD_Data(),Table_SourceData_PastureBeef_LiveweightNTQD[[#Headers],[State]], 0)</f>
        <v>477</v>
      </c>
      <c r="M71" s="35" cm="1">
        <f t="array" ref="M71">Common_InputFunctions.Utility_DisplayArrayInTable(SourceData_PastureBeef.SourceData_PastureBeef_LiveweightNTQLD_Data(),Table_SourceData_PastureBeef_LiveweightNTQD[[#Headers],[State]], 0)</f>
        <v>120</v>
      </c>
      <c r="N71" s="35" cm="1">
        <f t="array" ref="N71">Common_InputFunctions.Utility_DisplayArrayInTable(SourceData_PastureBeef.SourceData_PastureBeef_LiveweightNTQLD_Data(),Table_SourceData_PastureBeef_LiveweightNTQD[[#Headers],[State]], 0)</f>
        <v>273</v>
      </c>
      <c r="O71" s="35" cm="1">
        <f t="array" ref="O71">Common_InputFunctions.Utility_DisplayArrayInTable(SourceData_PastureBeef.SourceData_PastureBeef_LiveweightNTQLD_Data(),Table_SourceData_PastureBeef_LiveweightNTQD[[#Headers],[State]], 0)</f>
        <v>545</v>
      </c>
      <c r="P71" s="35" cm="1">
        <f t="array" ref="P71">Common_InputFunctions.Utility_DisplayArrayInTable(SourceData_PastureBeef.SourceData_PastureBeef_LiveweightNTQLD_Data(),Table_SourceData_PastureBeef_LiveweightNTQD[[#Headers],[State]], 0)</f>
        <v>553</v>
      </c>
      <c r="V71" s="1"/>
    </row>
    <row r="72" spans="4:22" ht="20.100000000000001" customHeight="1" x14ac:dyDescent="0.25">
      <c r="D72" s="1" t="str" cm="1">
        <f t="array" ref="D72">Common_InputFunctions.Utility_DisplayArrayInTable(SourceData_PastureBeef.SourceData_PastureBeef_LiveweightNTQLD_Data(),Table_SourceData_PastureBeef_LiveweightNTQD[[#Headers],[State]], 0)</f>
        <v>Queensland</v>
      </c>
      <c r="E72" s="35" t="str" cm="1">
        <f t="array" ref="E72">Common_InputFunctions.Utility_DisplayArrayInTable(SourceData_PastureBeef.SourceData_PastureBeef_LiveweightNTQLD_Data(),Table_SourceData_PastureBeef_LiveweightNTQD[[#Headers],[State]], 0)</f>
        <v>Moderate/High</v>
      </c>
      <c r="F72" s="35" t="str" cm="1">
        <f t="array" ref="F72">Common_InputFunctions.Utility_DisplayArrayInTable(SourceData_PastureBeef.SourceData_PastureBeef_LiveweightNTQLD_Data(),Table_SourceData_PastureBeef_LiveweightNTQD[[#Headers],[State]], 0)</f>
        <v>Autumn</v>
      </c>
      <c r="G72" s="35" cm="1">
        <f t="array" ref="G72">Common_InputFunctions.Utility_DisplayArrayInTable(SourceData_PastureBeef.SourceData_PastureBeef_LiveweightNTQLD_Data(),Table_SourceData_PastureBeef_LiveweightNTQD[[#Headers],[State]], 0)</f>
        <v>172</v>
      </c>
      <c r="H72" s="35" cm="1">
        <f t="array" ref="H72">Common_InputFunctions.Utility_DisplayArrayInTable(SourceData_PastureBeef.SourceData_PastureBeef_LiveweightNTQLD_Data(),Table_SourceData_PastureBeef_LiveweightNTQD[[#Headers],[State]], 0)</f>
        <v>685</v>
      </c>
      <c r="I72" s="35" cm="1">
        <f t="array" ref="I72">Common_InputFunctions.Utility_DisplayArrayInTable(SourceData_PastureBeef.SourceData_PastureBeef_LiveweightNTQLD_Data(),Table_SourceData_PastureBeef_LiveweightNTQD[[#Headers],[State]], 0)</f>
        <v>172</v>
      </c>
      <c r="J72" s="35" cm="1">
        <f t="array" ref="J72">Common_InputFunctions.Utility_DisplayArrayInTable(SourceData_PastureBeef.SourceData_PastureBeef_LiveweightNTQLD_Data(),Table_SourceData_PastureBeef_LiveweightNTQD[[#Headers],[State]], 0)</f>
        <v>309</v>
      </c>
      <c r="K72" s="35" cm="1">
        <f t="array" ref="K72">Common_InputFunctions.Utility_DisplayArrayInTable(SourceData_PastureBeef.SourceData_PastureBeef_LiveweightNTQLD_Data(),Table_SourceData_PastureBeef_LiveweightNTQD[[#Headers],[State]], 0)</f>
        <v>376</v>
      </c>
      <c r="L72" s="35" cm="1">
        <f t="array" ref="L72">Common_InputFunctions.Utility_DisplayArrayInTable(SourceData_PastureBeef.SourceData_PastureBeef_LiveweightNTQLD_Data(),Table_SourceData_PastureBeef_LiveweightNTQD[[#Headers],[State]], 0)</f>
        <v>471</v>
      </c>
      <c r="M72" s="35" cm="1">
        <f t="array" ref="M72">Common_InputFunctions.Utility_DisplayArrayInTable(SourceData_PastureBeef.SourceData_PastureBeef_LiveweightNTQLD_Data(),Table_SourceData_PastureBeef_LiveweightNTQD[[#Headers],[State]], 0)</f>
        <v>238</v>
      </c>
      <c r="N72" s="35" cm="1">
        <f t="array" ref="N72">Common_InputFunctions.Utility_DisplayArrayInTable(SourceData_PastureBeef.SourceData_PastureBeef_LiveweightNTQLD_Data(),Table_SourceData_PastureBeef_LiveweightNTQD[[#Headers],[State]], 0)</f>
        <v>329</v>
      </c>
      <c r="O72" s="35" cm="1">
        <f t="array" ref="O72">Common_InputFunctions.Utility_DisplayArrayInTable(SourceData_PastureBeef.SourceData_PastureBeef_LiveweightNTQLD_Data(),Table_SourceData_PastureBeef_LiveweightNTQD[[#Headers],[State]], 0)</f>
        <v>573</v>
      </c>
      <c r="P72" s="35" cm="1">
        <f t="array" ref="P72">Common_InputFunctions.Utility_DisplayArrayInTable(SourceData_PastureBeef.SourceData_PastureBeef_LiveweightNTQLD_Data(),Table_SourceData_PastureBeef_LiveweightNTQD[[#Headers],[State]], 0)</f>
        <v>620</v>
      </c>
      <c r="V72" s="1"/>
    </row>
    <row r="73" spans="4:22" ht="20.100000000000001" customHeight="1" x14ac:dyDescent="0.25">
      <c r="D73" s="1" t="str" cm="1">
        <f t="array" ref="D73">Common_InputFunctions.Utility_DisplayArrayInTable(SourceData_PastureBeef.SourceData_PastureBeef_LiveweightNTQLD_Data(),Table_SourceData_PastureBeef_LiveweightNTQD[[#Headers],[State]], 0)</f>
        <v>Queensland</v>
      </c>
      <c r="E73" s="35" t="str" cm="1">
        <f t="array" ref="E73">Common_InputFunctions.Utility_DisplayArrayInTable(SourceData_PastureBeef.SourceData_PastureBeef_LiveweightNTQLD_Data(),Table_SourceData_PastureBeef_LiveweightNTQD[[#Headers],[State]], 0)</f>
        <v>Moderate/High</v>
      </c>
      <c r="F73" s="35" t="str" cm="1">
        <f t="array" ref="F73">Common_InputFunctions.Utility_DisplayArrayInTable(SourceData_PastureBeef.SourceData_PastureBeef_LiveweightNTQLD_Data(),Table_SourceData_PastureBeef_LiveweightNTQD[[#Headers],[State]], 0)</f>
        <v>Winter</v>
      </c>
      <c r="G73" s="35" cm="1">
        <f t="array" ref="G73">Common_InputFunctions.Utility_DisplayArrayInTable(SourceData_PastureBeef.SourceData_PastureBeef_LiveweightNTQLD_Data(),Table_SourceData_PastureBeef_LiveweightNTQD[[#Headers],[State]], 0)</f>
        <v>241</v>
      </c>
      <c r="H73" s="35" cm="1">
        <f t="array" ref="H73">Common_InputFunctions.Utility_DisplayArrayInTable(SourceData_PastureBeef.SourceData_PastureBeef_LiveweightNTQLD_Data(),Table_SourceData_PastureBeef_LiveweightNTQD[[#Headers],[State]], 0)</f>
        <v>692</v>
      </c>
      <c r="I73" s="35" cm="1">
        <f t="array" ref="I73">Common_InputFunctions.Utility_DisplayArrayInTable(SourceData_PastureBeef.SourceData_PastureBeef_LiveweightNTQLD_Data(),Table_SourceData_PastureBeef_LiveweightNTQD[[#Headers],[State]], 0)</f>
        <v>208</v>
      </c>
      <c r="J73" s="35" cm="1">
        <f t="array" ref="J73">Common_InputFunctions.Utility_DisplayArrayInTable(SourceData_PastureBeef.SourceData_PastureBeef_LiveweightNTQLD_Data(),Table_SourceData_PastureBeef_LiveweightNTQD[[#Headers],[State]], 0)</f>
        <v>344</v>
      </c>
      <c r="K73" s="35" cm="1">
        <f t="array" ref="K73">Common_InputFunctions.Utility_DisplayArrayInTable(SourceData_PastureBeef.SourceData_PastureBeef_LiveweightNTQLD_Data(),Table_SourceData_PastureBeef_LiveweightNTQD[[#Headers],[State]], 0)</f>
        <v>364</v>
      </c>
      <c r="L73" s="35" cm="1">
        <f t="array" ref="L73">Common_InputFunctions.Utility_DisplayArrayInTable(SourceData_PastureBeef.SourceData_PastureBeef_LiveweightNTQLD_Data(),Table_SourceData_PastureBeef_LiveweightNTQD[[#Headers],[State]], 0)</f>
        <v>484</v>
      </c>
      <c r="M73" s="35" cm="1">
        <f t="array" ref="M73">Common_InputFunctions.Utility_DisplayArrayInTable(SourceData_PastureBeef.SourceData_PastureBeef_LiveweightNTQLD_Data(),Table_SourceData_PastureBeef_LiveweightNTQD[[#Headers],[State]], 0)</f>
        <v>260</v>
      </c>
      <c r="N73" s="35" cm="1">
        <f t="array" ref="N73">Common_InputFunctions.Utility_DisplayArrayInTable(SourceData_PastureBeef.SourceData_PastureBeef_LiveweightNTQLD_Data(),Table_SourceData_PastureBeef_LiveweightNTQD[[#Headers],[State]], 0)</f>
        <v>350</v>
      </c>
      <c r="O73" s="35" cm="1">
        <f t="array" ref="O73">Common_InputFunctions.Utility_DisplayArrayInTable(SourceData_PastureBeef.SourceData_PastureBeef_LiveweightNTQLD_Data(),Table_SourceData_PastureBeef_LiveweightNTQD[[#Headers],[State]], 0)</f>
        <v>567</v>
      </c>
      <c r="P73" s="35" cm="1">
        <f t="array" ref="P73">Common_InputFunctions.Utility_DisplayArrayInTable(SourceData_PastureBeef.SourceData_PastureBeef_LiveweightNTQLD_Data(),Table_SourceData_PastureBeef_LiveweightNTQD[[#Headers],[State]], 0)</f>
        <v>620</v>
      </c>
      <c r="V73" s="1"/>
    </row>
    <row r="74" spans="4:22" ht="20.100000000000001" customHeight="1" x14ac:dyDescent="0.25">
      <c r="D74" s="1" t="str" cm="1">
        <f t="array" ref="D74">Common_InputFunctions.Utility_DisplayArrayInTable(SourceData_PastureBeef.SourceData_PastureBeef_LiveweightNTQLD_Data(),Table_SourceData_PastureBeef_LiveweightNTQD[[#Headers],[State]], 0)</f>
        <v>Queensland</v>
      </c>
      <c r="E74" s="35" t="str" cm="1">
        <f t="array" ref="E74">Common_InputFunctions.Utility_DisplayArrayInTable(SourceData_PastureBeef.SourceData_PastureBeef_LiveweightNTQLD_Data(),Table_SourceData_PastureBeef_LiveweightNTQD[[#Headers],[State]], 0)</f>
        <v>Moderate/Low</v>
      </c>
      <c r="F74" s="35" t="str" cm="1">
        <f t="array" ref="F74">Common_InputFunctions.Utility_DisplayArrayInTable(SourceData_PastureBeef.SourceData_PastureBeef_LiveweightNTQLD_Data(),Table_SourceData_PastureBeef_LiveweightNTQD[[#Headers],[State]], 0)</f>
        <v>Spring</v>
      </c>
      <c r="G74" s="35" cm="1">
        <f t="array" ref="G74">Common_InputFunctions.Utility_DisplayArrayInTable(SourceData_PastureBeef.SourceData_PastureBeef_LiveweightNTQLD_Data(),Table_SourceData_PastureBeef_LiveweightNTQD[[#Headers],[State]], 0)</f>
        <v>236</v>
      </c>
      <c r="H74" s="35" cm="1">
        <f t="array" ref="H74">Common_InputFunctions.Utility_DisplayArrayInTable(SourceData_PastureBeef.SourceData_PastureBeef_LiveweightNTQLD_Data(),Table_SourceData_PastureBeef_LiveweightNTQD[[#Headers],[State]], 0)</f>
        <v>674</v>
      </c>
      <c r="I74" s="35" cm="1">
        <f t="array" ref="I74">Common_InputFunctions.Utility_DisplayArrayInTable(SourceData_PastureBeef.SourceData_PastureBeef_LiveweightNTQLD_Data(),Table_SourceData_PastureBeef_LiveweightNTQD[[#Headers],[State]], 0)</f>
        <v>178</v>
      </c>
      <c r="J74" s="35" cm="1">
        <f t="array" ref="J74">Common_InputFunctions.Utility_DisplayArrayInTable(SourceData_PastureBeef.SourceData_PastureBeef_LiveweightNTQLD_Data(),Table_SourceData_PastureBeef_LiveweightNTQD[[#Headers],[State]], 0)</f>
        <v>310</v>
      </c>
      <c r="K74" s="35" cm="1">
        <f t="array" ref="K74">Common_InputFunctions.Utility_DisplayArrayInTable(SourceData_PastureBeef.SourceData_PastureBeef_LiveweightNTQLD_Data(),Table_SourceData_PastureBeef_LiveweightNTQD[[#Headers],[State]], 0)</f>
        <v>428</v>
      </c>
      <c r="L74" s="35" cm="1">
        <f t="array" ref="L74">Common_InputFunctions.Utility_DisplayArrayInTable(SourceData_PastureBeef.SourceData_PastureBeef_LiveweightNTQLD_Data(),Table_SourceData_PastureBeef_LiveweightNTQD[[#Headers],[State]], 0)</f>
        <v>466</v>
      </c>
      <c r="M74" s="35" cm="1">
        <f t="array" ref="M74">Common_InputFunctions.Utility_DisplayArrayInTable(SourceData_PastureBeef.SourceData_PastureBeef_LiveweightNTQLD_Data(),Table_SourceData_PastureBeef_LiveweightNTQD[[#Headers],[State]], 0)</f>
        <v>193</v>
      </c>
      <c r="N74" s="35" cm="1">
        <f t="array" ref="N74">Common_InputFunctions.Utility_DisplayArrayInTable(SourceData_PastureBeef.SourceData_PastureBeef_LiveweightNTQLD_Data(),Table_SourceData_PastureBeef_LiveweightNTQD[[#Headers],[State]], 0)</f>
        <v>370</v>
      </c>
      <c r="O74" s="35" cm="1">
        <f t="array" ref="O74">Common_InputFunctions.Utility_DisplayArrayInTable(SourceData_PastureBeef.SourceData_PastureBeef_LiveweightNTQLD_Data(),Table_SourceData_PastureBeef_LiveweightNTQD[[#Headers],[State]], 0)</f>
        <v>519</v>
      </c>
      <c r="P74" s="35" cm="1">
        <f t="array" ref="P74">Common_InputFunctions.Utility_DisplayArrayInTable(SourceData_PastureBeef.SourceData_PastureBeef_LiveweightNTQLD_Data(),Table_SourceData_PastureBeef_LiveweightNTQD[[#Headers],[State]], 0)</f>
        <v>565</v>
      </c>
      <c r="V74" s="1"/>
    </row>
    <row r="75" spans="4:22" ht="20.100000000000001" customHeight="1" x14ac:dyDescent="0.25">
      <c r="D75" s="1" t="str" cm="1">
        <f t="array" ref="D75">Common_InputFunctions.Utility_DisplayArrayInTable(SourceData_PastureBeef.SourceData_PastureBeef_LiveweightNTQLD_Data(),Table_SourceData_PastureBeef_LiveweightNTQD[[#Headers],[State]], 0)</f>
        <v>Queensland</v>
      </c>
      <c r="E75" s="35" t="str" cm="1">
        <f t="array" ref="E75">Common_InputFunctions.Utility_DisplayArrayInTable(SourceData_PastureBeef.SourceData_PastureBeef_LiveweightNTQLD_Data(),Table_SourceData_PastureBeef_LiveweightNTQD[[#Headers],[State]], 0)</f>
        <v>Moderate/Low</v>
      </c>
      <c r="F75" s="35" t="str" cm="1">
        <f t="array" ref="F75">Common_InputFunctions.Utility_DisplayArrayInTable(SourceData_PastureBeef.SourceData_PastureBeef_LiveweightNTQLD_Data(),Table_SourceData_PastureBeef_LiveweightNTQD[[#Headers],[State]], 0)</f>
        <v>Summer</v>
      </c>
      <c r="G75" s="35" cm="1">
        <f t="array" ref="G75">Common_InputFunctions.Utility_DisplayArrayInTable(SourceData_PastureBeef.SourceData_PastureBeef_LiveweightNTQLD_Data(),Table_SourceData_PastureBeef_LiveweightNTQD[[#Headers],[State]], 0)</f>
        <v>120</v>
      </c>
      <c r="H75" s="35" cm="1">
        <f t="array" ref="H75">Common_InputFunctions.Utility_DisplayArrayInTable(SourceData_PastureBeef.SourceData_PastureBeef_LiveweightNTQLD_Data(),Table_SourceData_PastureBeef_LiveweightNTQD[[#Headers],[State]], 0)</f>
        <v>669</v>
      </c>
      <c r="I75" s="35" cm="1">
        <f t="array" ref="I75">Common_InputFunctions.Utility_DisplayArrayInTable(SourceData_PastureBeef.SourceData_PastureBeef_LiveweightNTQLD_Data(),Table_SourceData_PastureBeef_LiveweightNTQD[[#Headers],[State]], 0)</f>
        <v>112</v>
      </c>
      <c r="J75" s="35" cm="1">
        <f t="array" ref="J75">Common_InputFunctions.Utility_DisplayArrayInTable(SourceData_PastureBeef.SourceData_PastureBeef_LiveweightNTQLD_Data(),Table_SourceData_PastureBeef_LiveweightNTQD[[#Headers],[State]], 0)</f>
        <v>250</v>
      </c>
      <c r="K75" s="35" cm="1">
        <f t="array" ref="K75">Common_InputFunctions.Utility_DisplayArrayInTable(SourceData_PastureBeef.SourceData_PastureBeef_LiveweightNTQLD_Data(),Table_SourceData_PastureBeef_LiveweightNTQD[[#Headers],[State]], 0)</f>
        <v>390</v>
      </c>
      <c r="L75" s="35" cm="1">
        <f t="array" ref="L75">Common_InputFunctions.Utility_DisplayArrayInTable(SourceData_PastureBeef.SourceData_PastureBeef_LiveweightNTQLD_Data(),Table_SourceData_PastureBeef_LiveweightNTQD[[#Headers],[State]], 0)</f>
        <v>448</v>
      </c>
      <c r="M75" s="35" cm="1">
        <f t="array" ref="M75">Common_InputFunctions.Utility_DisplayArrayInTable(SourceData_PastureBeef.SourceData_PastureBeef_LiveweightNTQLD_Data(),Table_SourceData_PastureBeef_LiveweightNTQD[[#Headers],[State]], 0)</f>
        <v>115</v>
      </c>
      <c r="N75" s="35" cm="1">
        <f t="array" ref="N75">Common_InputFunctions.Utility_DisplayArrayInTable(SourceData_PastureBeef.SourceData_PastureBeef_LiveweightNTQLD_Data(),Table_SourceData_PastureBeef_LiveweightNTQD[[#Headers],[State]], 0)</f>
        <v>273</v>
      </c>
      <c r="O75" s="35" cm="1">
        <f t="array" ref="O75">Common_InputFunctions.Utility_DisplayArrayInTable(SourceData_PastureBeef.SourceData_PastureBeef_LiveweightNTQLD_Data(),Table_SourceData_PastureBeef_LiveweightNTQD[[#Headers],[State]], 0)</f>
        <v>433</v>
      </c>
      <c r="P75" s="35" cm="1">
        <f t="array" ref="P75">Common_InputFunctions.Utility_DisplayArrayInTable(SourceData_PastureBeef.SourceData_PastureBeef_LiveweightNTQLD_Data(),Table_SourceData_PastureBeef_LiveweightNTQD[[#Headers],[State]], 0)</f>
        <v>556</v>
      </c>
      <c r="V75" s="1"/>
    </row>
    <row r="76" spans="4:22" ht="20.100000000000001" customHeight="1" x14ac:dyDescent="0.25">
      <c r="D76" s="1" t="str" cm="1">
        <f t="array" ref="D76">Common_InputFunctions.Utility_DisplayArrayInTable(SourceData_PastureBeef.SourceData_PastureBeef_LiveweightNTQLD_Data(),Table_SourceData_PastureBeef_LiveweightNTQD[[#Headers],[State]], 0)</f>
        <v>Queensland</v>
      </c>
      <c r="E76" s="35" t="str" cm="1">
        <f t="array" ref="E76">Common_InputFunctions.Utility_DisplayArrayInTable(SourceData_PastureBeef.SourceData_PastureBeef_LiveweightNTQLD_Data(),Table_SourceData_PastureBeef_LiveweightNTQD[[#Headers],[State]], 0)</f>
        <v>Moderate/Low</v>
      </c>
      <c r="F76" s="35" t="str" cm="1">
        <f t="array" ref="F76">Common_InputFunctions.Utility_DisplayArrayInTable(SourceData_PastureBeef.SourceData_PastureBeef_LiveweightNTQLD_Data(),Table_SourceData_PastureBeef_LiveweightNTQD[[#Headers],[State]], 0)</f>
        <v>Autumn</v>
      </c>
      <c r="G76" s="35" cm="1">
        <f t="array" ref="G76">Common_InputFunctions.Utility_DisplayArrayInTable(SourceData_PastureBeef.SourceData_PastureBeef_LiveweightNTQLD_Data(),Table_SourceData_PastureBeef_LiveweightNTQD[[#Headers],[State]], 0)</f>
        <v>125</v>
      </c>
      <c r="H76" s="35" cm="1">
        <f t="array" ref="H76">Common_InputFunctions.Utility_DisplayArrayInTable(SourceData_PastureBeef.SourceData_PastureBeef_LiveweightNTQLD_Data(),Table_SourceData_PastureBeef_LiveweightNTQD[[#Headers],[State]], 0)</f>
        <v>685</v>
      </c>
      <c r="I76" s="35" cm="1">
        <f t="array" ref="I76">Common_InputFunctions.Utility_DisplayArrayInTable(SourceData_PastureBeef.SourceData_PastureBeef_LiveweightNTQLD_Data(),Table_SourceData_PastureBeef_LiveweightNTQD[[#Headers],[State]], 0)</f>
        <v>140</v>
      </c>
      <c r="J76" s="35" cm="1">
        <f t="array" ref="J76">Common_InputFunctions.Utility_DisplayArrayInTable(SourceData_PastureBeef.SourceData_PastureBeef_LiveweightNTQLD_Data(),Table_SourceData_PastureBeef_LiveweightNTQD[[#Headers],[State]], 0)</f>
        <v>277</v>
      </c>
      <c r="K76" s="35" cm="1">
        <f t="array" ref="K76">Common_InputFunctions.Utility_DisplayArrayInTable(SourceData_PastureBeef.SourceData_PastureBeef_LiveweightNTQLD_Data(),Table_SourceData_PastureBeef_LiveweightNTQD[[#Headers],[State]], 0)</f>
        <v>407</v>
      </c>
      <c r="L76" s="35" cm="1">
        <f t="array" ref="L76">Common_InputFunctions.Utility_DisplayArrayInTable(SourceData_PastureBeef.SourceData_PastureBeef_LiveweightNTQLD_Data(),Table_SourceData_PastureBeef_LiveweightNTQD[[#Headers],[State]], 0)</f>
        <v>455</v>
      </c>
      <c r="M76" s="35" cm="1">
        <f t="array" ref="M76">Common_InputFunctions.Utility_DisplayArrayInTable(SourceData_PastureBeef.SourceData_PastureBeef_LiveweightNTQLD_Data(),Table_SourceData_PastureBeef_LiveweightNTQD[[#Headers],[State]], 0)</f>
        <v>141</v>
      </c>
      <c r="N76" s="35" cm="1">
        <f t="array" ref="N76">Common_InputFunctions.Utility_DisplayArrayInTable(SourceData_PastureBeef.SourceData_PastureBeef_LiveweightNTQLD_Data(),Table_SourceData_PastureBeef_LiveweightNTQD[[#Headers],[State]], 0)</f>
        <v>296</v>
      </c>
      <c r="O76" s="35" cm="1">
        <f t="array" ref="O76">Common_InputFunctions.Utility_DisplayArrayInTable(SourceData_PastureBeef.SourceData_PastureBeef_LiveweightNTQLD_Data(),Table_SourceData_PastureBeef_LiveweightNTQD[[#Headers],[State]], 0)</f>
        <v>445</v>
      </c>
      <c r="P76" s="35" cm="1">
        <f t="array" ref="P76">Common_InputFunctions.Utility_DisplayArrayInTable(SourceData_PastureBeef.SourceData_PastureBeef_LiveweightNTQLD_Data(),Table_SourceData_PastureBeef_LiveweightNTQD[[#Headers],[State]], 0)</f>
        <v>593</v>
      </c>
      <c r="V76" s="1"/>
    </row>
    <row r="77" spans="4:22" ht="20.100000000000001" customHeight="1" x14ac:dyDescent="0.25">
      <c r="D77" s="1" t="str" cm="1">
        <f t="array" ref="D77">Common_InputFunctions.Utility_DisplayArrayInTable(SourceData_PastureBeef.SourceData_PastureBeef_LiveweightNTQLD_Data(),Table_SourceData_PastureBeef_LiveweightNTQD[[#Headers],[State]], 0)</f>
        <v>Queensland</v>
      </c>
      <c r="E77" s="35" t="str" cm="1">
        <f t="array" ref="E77">Common_InputFunctions.Utility_DisplayArrayInTable(SourceData_PastureBeef.SourceData_PastureBeef_LiveweightNTQLD_Data(),Table_SourceData_PastureBeef_LiveweightNTQD[[#Headers],[State]], 0)</f>
        <v>Moderate/Low</v>
      </c>
      <c r="F77" s="35" t="str" cm="1">
        <f t="array" ref="F77">Common_InputFunctions.Utility_DisplayArrayInTable(SourceData_PastureBeef.SourceData_PastureBeef_LiveweightNTQLD_Data(),Table_SourceData_PastureBeef_LiveweightNTQD[[#Headers],[State]], 0)</f>
        <v>Winter</v>
      </c>
      <c r="G77" s="35" cm="1">
        <f t="array" ref="G77">Common_InputFunctions.Utility_DisplayArrayInTable(SourceData_PastureBeef.SourceData_PastureBeef_LiveweightNTQLD_Data(),Table_SourceData_PastureBeef_LiveweightNTQD[[#Headers],[State]], 0)</f>
        <v>180</v>
      </c>
      <c r="H77" s="35" cm="1">
        <f t="array" ref="H77">Common_InputFunctions.Utility_DisplayArrayInTable(SourceData_PastureBeef.SourceData_PastureBeef_LiveweightNTQLD_Data(),Table_SourceData_PastureBeef_LiveweightNTQD[[#Headers],[State]], 0)</f>
        <v>692</v>
      </c>
      <c r="I77" s="35" cm="1">
        <f t="array" ref="I77">Common_InputFunctions.Utility_DisplayArrayInTable(SourceData_PastureBeef.SourceData_PastureBeef_LiveweightNTQLD_Data(),Table_SourceData_PastureBeef_LiveweightNTQD[[#Headers],[State]], 0)</f>
        <v>183</v>
      </c>
      <c r="J77" s="35" cm="1">
        <f t="array" ref="J77">Common_InputFunctions.Utility_DisplayArrayInTable(SourceData_PastureBeef.SourceData_PastureBeef_LiveweightNTQLD_Data(),Table_SourceData_PastureBeef_LiveweightNTQD[[#Headers],[State]], 0)</f>
        <v>316</v>
      </c>
      <c r="K77" s="35" cm="1">
        <f t="array" ref="K77">Common_InputFunctions.Utility_DisplayArrayInTable(SourceData_PastureBeef.SourceData_PastureBeef_LiveweightNTQLD_Data(),Table_SourceData_PastureBeef_LiveweightNTQD[[#Headers],[State]], 0)</f>
        <v>438</v>
      </c>
      <c r="L77" s="35" cm="1">
        <f t="array" ref="L77">Common_InputFunctions.Utility_DisplayArrayInTable(SourceData_PastureBeef.SourceData_PastureBeef_LiveweightNTQLD_Data(),Table_SourceData_PastureBeef_LiveweightNTQD[[#Headers],[State]], 0)</f>
        <v>468</v>
      </c>
      <c r="M77" s="35" cm="1">
        <f t="array" ref="M77">Common_InputFunctions.Utility_DisplayArrayInTable(SourceData_PastureBeef.SourceData_PastureBeef_LiveweightNTQLD_Data(),Table_SourceData_PastureBeef_LiveweightNTQD[[#Headers],[State]], 0)</f>
        <v>189</v>
      </c>
      <c r="N77" s="35" cm="1">
        <f t="array" ref="N77">Common_InputFunctions.Utility_DisplayArrayInTable(SourceData_PastureBeef.SourceData_PastureBeef_LiveweightNTQLD_Data(),Table_SourceData_PastureBeef_LiveweightNTQD[[#Headers],[State]], 0)</f>
        <v>354</v>
      </c>
      <c r="O77" s="35" cm="1">
        <f t="array" ref="O77">Common_InputFunctions.Utility_DisplayArrayInTable(SourceData_PastureBeef.SourceData_PastureBeef_LiveweightNTQLD_Data(),Table_SourceData_PastureBeef_LiveweightNTQD[[#Headers],[State]], 0)</f>
        <v>500</v>
      </c>
      <c r="P77" s="35" cm="1">
        <f t="array" ref="P77">Common_InputFunctions.Utility_DisplayArrayInTable(SourceData_PastureBeef.SourceData_PastureBeef_LiveweightNTQLD_Data(),Table_SourceData_PastureBeef_LiveweightNTQD[[#Headers],[State]], 0)</f>
        <v>553</v>
      </c>
      <c r="V77" s="1"/>
    </row>
    <row r="78" spans="4:22" ht="20.100000000000001" customHeight="1" x14ac:dyDescent="0.25">
      <c r="D78" s="1" t="str" cm="1">
        <f t="array" ref="D78">Common_InputFunctions.Utility_DisplayArrayInTable(SourceData_PastureBeef.SourceData_PastureBeef_LiveweightNTQLD_Data(),Table_SourceData_PastureBeef_LiveweightNTQD[[#Headers],[State]], 0)</f>
        <v>Queensland</v>
      </c>
      <c r="E78" s="35" t="str" cm="1">
        <f t="array" ref="E78">Common_InputFunctions.Utility_DisplayArrayInTable(SourceData_PastureBeef.SourceData_PastureBeef_LiveweightNTQLD_Data(),Table_SourceData_PastureBeef_LiveweightNTQD[[#Headers],[State]], 0)</f>
        <v>Low</v>
      </c>
      <c r="F78" s="35" t="str" cm="1">
        <f t="array" ref="F78">Common_InputFunctions.Utility_DisplayArrayInTable(SourceData_PastureBeef.SourceData_PastureBeef_LiveweightNTQLD_Data(),Table_SourceData_PastureBeef_LiveweightNTQD[[#Headers],[State]], 0)</f>
        <v>Spring</v>
      </c>
      <c r="G78" s="35" cm="1">
        <f t="array" ref="G78">Common_InputFunctions.Utility_DisplayArrayInTable(SourceData_PastureBeef.SourceData_PastureBeef_LiveweightNTQLD_Data(),Table_SourceData_PastureBeef_LiveweightNTQD[[#Headers],[State]], 0)</f>
        <v>190</v>
      </c>
      <c r="H78" s="35" cm="1">
        <f t="array" ref="H78">Common_InputFunctions.Utility_DisplayArrayInTable(SourceData_PastureBeef.SourceData_PastureBeef_LiveweightNTQLD_Data(),Table_SourceData_PastureBeef_LiveweightNTQD[[#Headers],[State]], 0)</f>
        <v>617</v>
      </c>
      <c r="I78" s="35" cm="1">
        <f t="array" ref="I78">Common_InputFunctions.Utility_DisplayArrayInTable(SourceData_PastureBeef.SourceData_PastureBeef_LiveweightNTQLD_Data(),Table_SourceData_PastureBeef_LiveweightNTQD[[#Headers],[State]], 0)</f>
        <v>174</v>
      </c>
      <c r="J78" s="35" cm="1">
        <f t="array" ref="J78">Common_InputFunctions.Utility_DisplayArrayInTable(SourceData_PastureBeef.SourceData_PastureBeef_LiveweightNTQLD_Data(),Table_SourceData_PastureBeef_LiveweightNTQD[[#Headers],[State]], 0)</f>
        <v>265</v>
      </c>
      <c r="K78" s="35" cm="1">
        <f t="array" ref="K78">Common_InputFunctions.Utility_DisplayArrayInTable(SourceData_PastureBeef.SourceData_PastureBeef_LiveweightNTQLD_Data(),Table_SourceData_PastureBeef_LiveweightNTQD[[#Headers],[State]], 0)</f>
        <v>371</v>
      </c>
      <c r="L78" s="35" cm="1">
        <f t="array" ref="L78">Common_InputFunctions.Utility_DisplayArrayInTable(SourceData_PastureBeef.SourceData_PastureBeef_LiveweightNTQLD_Data(),Table_SourceData_PastureBeef_LiveweightNTQD[[#Headers],[State]], 0)</f>
        <v>415</v>
      </c>
      <c r="M78" s="35" cm="1">
        <f t="array" ref="M78">Common_InputFunctions.Utility_DisplayArrayInTable(SourceData_PastureBeef.SourceData_PastureBeef_LiveweightNTQLD_Data(),Table_SourceData_PastureBeef_LiveweightNTQD[[#Headers],[State]], 0)</f>
        <v>170</v>
      </c>
      <c r="N78" s="35" cm="1">
        <f t="array" ref="N78">Common_InputFunctions.Utility_DisplayArrayInTable(SourceData_PastureBeef.SourceData_PastureBeef_LiveweightNTQLD_Data(),Table_SourceData_PastureBeef_LiveweightNTQD[[#Headers],[State]], 0)</f>
        <v>272</v>
      </c>
      <c r="O78" s="35" cm="1">
        <f t="array" ref="O78">Common_InputFunctions.Utility_DisplayArrayInTable(SourceData_PastureBeef.SourceData_PastureBeef_LiveweightNTQLD_Data(),Table_SourceData_PastureBeef_LiveweightNTQD[[#Headers],[State]], 0)</f>
        <v>392</v>
      </c>
      <c r="P78" s="35" cm="1">
        <f t="array" ref="P78">Common_InputFunctions.Utility_DisplayArrayInTable(SourceData_PastureBeef.SourceData_PastureBeef_LiveweightNTQLD_Data(),Table_SourceData_PastureBeef_LiveweightNTQD[[#Headers],[State]], 0)</f>
        <v>531</v>
      </c>
    </row>
    <row r="79" spans="4:22" ht="20.100000000000001" customHeight="1" x14ac:dyDescent="0.25">
      <c r="D79" s="1" t="str" cm="1">
        <f t="array" ref="D79">Common_InputFunctions.Utility_DisplayArrayInTable(SourceData_PastureBeef.SourceData_PastureBeef_LiveweightNTQLD_Data(),Table_SourceData_PastureBeef_LiveweightNTQD[[#Headers],[State]], 0)</f>
        <v>Queensland</v>
      </c>
      <c r="E79" s="35" t="str" cm="1">
        <f t="array" ref="E79">Common_InputFunctions.Utility_DisplayArrayInTable(SourceData_PastureBeef.SourceData_PastureBeef_LiveweightNTQLD_Data(),Table_SourceData_PastureBeef_LiveweightNTQD[[#Headers],[State]], 0)</f>
        <v>Low</v>
      </c>
      <c r="F79" s="35" t="str" cm="1">
        <f t="array" ref="F79">Common_InputFunctions.Utility_DisplayArrayInTable(SourceData_PastureBeef.SourceData_PastureBeef_LiveweightNTQLD_Data(),Table_SourceData_PastureBeef_LiveweightNTQD[[#Headers],[State]], 0)</f>
        <v>Summer</v>
      </c>
      <c r="G79" s="35" cm="1">
        <f t="array" ref="G79">Common_InputFunctions.Utility_DisplayArrayInTable(SourceData_PastureBeef.SourceData_PastureBeef_LiveweightNTQLD_Data(),Table_SourceData_PastureBeef_LiveweightNTQD[[#Headers],[State]], 0)</f>
        <v>119</v>
      </c>
      <c r="H79" s="35" cm="1">
        <f t="array" ref="H79">Common_InputFunctions.Utility_DisplayArrayInTable(SourceData_PastureBeef.SourceData_PastureBeef_LiveweightNTQLD_Data(),Table_SourceData_PastureBeef_LiveweightNTQD[[#Headers],[State]], 0)</f>
        <v>591</v>
      </c>
      <c r="I79" s="35" cm="1">
        <f t="array" ref="I79">Common_InputFunctions.Utility_DisplayArrayInTable(SourceData_PastureBeef.SourceData_PastureBeef_LiveweightNTQLD_Data(),Table_SourceData_PastureBeef_LiveweightNTQD[[#Headers],[State]], 0)</f>
        <v>140</v>
      </c>
      <c r="J79" s="35" cm="1">
        <f t="array" ref="J79">Common_InputFunctions.Utility_DisplayArrayInTable(SourceData_PastureBeef.SourceData_PastureBeef_LiveweightNTQLD_Data(),Table_SourceData_PastureBeef_LiveweightNTQD[[#Headers],[State]], 0)</f>
        <v>205</v>
      </c>
      <c r="K79" s="35" cm="1">
        <f t="array" ref="K79">Common_InputFunctions.Utility_DisplayArrayInTable(SourceData_PastureBeef.SourceData_PastureBeef_LiveweightNTQLD_Data(),Table_SourceData_PastureBeef_LiveweightNTQD[[#Headers],[State]], 0)</f>
        <v>310</v>
      </c>
      <c r="L79" s="35" cm="1">
        <f t="array" ref="L79">Common_InputFunctions.Utility_DisplayArrayInTable(SourceData_PastureBeef.SourceData_PastureBeef_LiveweightNTQLD_Data(),Table_SourceData_PastureBeef_LiveweightNTQD[[#Headers],[State]], 0)</f>
        <v>405</v>
      </c>
      <c r="M79" s="35" cm="1">
        <f t="array" ref="M79">Common_InputFunctions.Utility_DisplayArrayInTable(SourceData_PastureBeef.SourceData_PastureBeef_LiveweightNTQLD_Data(),Table_SourceData_PastureBeef_LiveweightNTQD[[#Headers],[State]], 0)</f>
        <v>133</v>
      </c>
      <c r="N79" s="35" cm="1">
        <f t="array" ref="N79">Common_InputFunctions.Utility_DisplayArrayInTable(SourceData_PastureBeef.SourceData_PastureBeef_LiveweightNTQLD_Data(),Table_SourceData_PastureBeef_LiveweightNTQD[[#Headers],[State]], 0)</f>
        <v>218</v>
      </c>
      <c r="O79" s="35" cm="1">
        <f t="array" ref="O79">Common_InputFunctions.Utility_DisplayArrayInTable(SourceData_PastureBeef.SourceData_PastureBeef_LiveweightNTQLD_Data(),Table_SourceData_PastureBeef_LiveweightNTQD[[#Headers],[State]], 0)</f>
        <v>315</v>
      </c>
      <c r="P79" s="35" cm="1">
        <f t="array" ref="P79">Common_InputFunctions.Utility_DisplayArrayInTable(SourceData_PastureBeef.SourceData_PastureBeef_LiveweightNTQLD_Data(),Table_SourceData_PastureBeef_LiveweightNTQD[[#Headers],[State]], 0)</f>
        <v>445</v>
      </c>
    </row>
    <row r="80" spans="4:22" ht="20.100000000000001" customHeight="1" x14ac:dyDescent="0.25">
      <c r="D80" s="1" t="str" cm="1">
        <f t="array" ref="D80">Common_InputFunctions.Utility_DisplayArrayInTable(SourceData_PastureBeef.SourceData_PastureBeef_LiveweightNTQLD_Data(),Table_SourceData_PastureBeef_LiveweightNTQD[[#Headers],[State]], 0)</f>
        <v>Queensland</v>
      </c>
      <c r="E80" s="35" t="str" cm="1">
        <f t="array" ref="E80">Common_InputFunctions.Utility_DisplayArrayInTable(SourceData_PastureBeef.SourceData_PastureBeef_LiveweightNTQLD_Data(),Table_SourceData_PastureBeef_LiveweightNTQD[[#Headers],[State]], 0)</f>
        <v>Low</v>
      </c>
      <c r="F80" s="35" t="str" cm="1">
        <f t="array" ref="F80">Common_InputFunctions.Utility_DisplayArrayInTable(SourceData_PastureBeef.SourceData_PastureBeef_LiveweightNTQLD_Data(),Table_SourceData_PastureBeef_LiveweightNTQD[[#Headers],[State]], 0)</f>
        <v>Autumn</v>
      </c>
      <c r="G80" s="35" cm="1">
        <f t="array" ref="G80">Common_InputFunctions.Utility_DisplayArrayInTable(SourceData_PastureBeef.SourceData_PastureBeef_LiveweightNTQLD_Data(),Table_SourceData_PastureBeef_LiveweightNTQD[[#Headers],[State]], 0)</f>
        <v>175</v>
      </c>
      <c r="H80" s="35" cm="1">
        <f t="array" ref="H80">Common_InputFunctions.Utility_DisplayArrayInTable(SourceData_PastureBeef.SourceData_PastureBeef_LiveweightNTQLD_Data(),Table_SourceData_PastureBeef_LiveweightNTQD[[#Headers],[State]], 0)</f>
        <v>610</v>
      </c>
      <c r="I80" s="35" cm="1">
        <f t="array" ref="I80">Common_InputFunctions.Utility_DisplayArrayInTable(SourceData_PastureBeef.SourceData_PastureBeef_LiveweightNTQLD_Data(),Table_SourceData_PastureBeef_LiveweightNTQD[[#Headers],[State]], 0)</f>
        <v>163</v>
      </c>
      <c r="J80" s="35" cm="1">
        <f t="array" ref="J80">Common_InputFunctions.Utility_DisplayArrayInTable(SourceData_PastureBeef.SourceData_PastureBeef_LiveweightNTQLD_Data(),Table_SourceData_PastureBeef_LiveweightNTQD[[#Headers],[State]], 0)</f>
        <v>232</v>
      </c>
      <c r="K80" s="35" cm="1">
        <f t="array" ref="K80">Common_InputFunctions.Utility_DisplayArrayInTable(SourceData_PastureBeef.SourceData_PastureBeef_LiveweightNTQLD_Data(),Table_SourceData_PastureBeef_LiveweightNTQD[[#Headers],[State]], 0)</f>
        <v>351</v>
      </c>
      <c r="L80" s="35" cm="1">
        <f t="array" ref="L80">Common_InputFunctions.Utility_DisplayArrayInTable(SourceData_PastureBeef.SourceData_PastureBeef_LiveweightNTQLD_Data(),Table_SourceData_PastureBeef_LiveweightNTQD[[#Headers],[State]], 0)</f>
        <v>427</v>
      </c>
      <c r="M80" s="35" cm="1">
        <f t="array" ref="M80">Common_InputFunctions.Utility_DisplayArrayInTable(SourceData_PastureBeef.SourceData_PastureBeef_LiveweightNTQLD_Data(),Table_SourceData_PastureBeef_LiveweightNTQD[[#Headers],[State]], 0)</f>
        <v>146</v>
      </c>
      <c r="N80" s="35" cm="1">
        <f t="array" ref="N80">Common_InputFunctions.Utility_DisplayArrayInTable(SourceData_PastureBeef.SourceData_PastureBeef_LiveweightNTQLD_Data(),Table_SourceData_PastureBeef_LiveweightNTQD[[#Headers],[State]], 0)</f>
        <v>242</v>
      </c>
      <c r="O80" s="35" cm="1">
        <f t="array" ref="O80">Common_InputFunctions.Utility_DisplayArrayInTable(SourceData_PastureBeef.SourceData_PastureBeef_LiveweightNTQLD_Data(),Table_SourceData_PastureBeef_LiveweightNTQD[[#Headers],[State]], 0)</f>
        <v>320</v>
      </c>
      <c r="P80" s="35" cm="1">
        <f t="array" ref="P80">Common_InputFunctions.Utility_DisplayArrayInTable(SourceData_PastureBeef.SourceData_PastureBeef_LiveweightNTQLD_Data(),Table_SourceData_PastureBeef_LiveweightNTQD[[#Headers],[State]], 0)</f>
        <v>471</v>
      </c>
    </row>
    <row r="81" spans="4:22" ht="20.100000000000001" customHeight="1" x14ac:dyDescent="0.25">
      <c r="D81" s="1" t="str" cm="1">
        <f t="array" ref="D81">Common_InputFunctions.Utility_DisplayArrayInTable(SourceData_PastureBeef.SourceData_PastureBeef_LiveweightNTQLD_Data(),Table_SourceData_PastureBeef_LiveweightNTQD[[#Headers],[State]], 0)</f>
        <v>Queensland</v>
      </c>
      <c r="E81" s="35" t="str" cm="1">
        <f t="array" ref="E81">Common_InputFunctions.Utility_DisplayArrayInTable(SourceData_PastureBeef.SourceData_PastureBeef_LiveweightNTQLD_Data(),Table_SourceData_PastureBeef_LiveweightNTQD[[#Headers],[State]], 0)</f>
        <v>Low</v>
      </c>
      <c r="F81" s="35" t="str" cm="1">
        <f t="array" ref="F81">Common_InputFunctions.Utility_DisplayArrayInTable(SourceData_PastureBeef.SourceData_PastureBeef_LiveweightNTQLD_Data(),Table_SourceData_PastureBeef_LiveweightNTQD[[#Headers],[State]], 0)</f>
        <v>Winter</v>
      </c>
      <c r="G81" s="35" cm="1">
        <f t="array" ref="G81">Common_InputFunctions.Utility_DisplayArrayInTable(SourceData_PastureBeef.SourceData_PastureBeef_LiveweightNTQLD_Data(),Table_SourceData_PastureBeef_LiveweightNTQD[[#Headers],[State]], 0)</f>
        <v>192</v>
      </c>
      <c r="H81" s="35" cm="1">
        <f t="array" ref="H81">Common_InputFunctions.Utility_DisplayArrayInTable(SourceData_PastureBeef.SourceData_PastureBeef_LiveweightNTQLD_Data(),Table_SourceData_PastureBeef_LiveweightNTQD[[#Headers],[State]], 0)</f>
        <v>615</v>
      </c>
      <c r="I81" s="35" cm="1">
        <f t="array" ref="I81">Common_InputFunctions.Utility_DisplayArrayInTable(SourceData_PastureBeef.SourceData_PastureBeef_LiveweightNTQLD_Data(),Table_SourceData_PastureBeef_LiveweightNTQD[[#Headers],[State]], 0)</f>
        <v>162</v>
      </c>
      <c r="J81" s="35" cm="1">
        <f t="array" ref="J81">Common_InputFunctions.Utility_DisplayArrayInTable(SourceData_PastureBeef.SourceData_PastureBeef_LiveweightNTQLD_Data(),Table_SourceData_PastureBeef_LiveweightNTQD[[#Headers],[State]], 0)</f>
        <v>255</v>
      </c>
      <c r="K81" s="35" cm="1">
        <f t="array" ref="K81">Common_InputFunctions.Utility_DisplayArrayInTable(SourceData_PastureBeef.SourceData_PastureBeef_LiveweightNTQLD_Data(),Table_SourceData_PastureBeef_LiveweightNTQD[[#Headers],[State]], 0)</f>
        <v>364</v>
      </c>
      <c r="L81" s="35" cm="1">
        <f t="array" ref="L81">Common_InputFunctions.Utility_DisplayArrayInTable(SourceData_PastureBeef.SourceData_PastureBeef_LiveweightNTQLD_Data(),Table_SourceData_PastureBeef_LiveweightNTQD[[#Headers],[State]], 0)</f>
        <v>420</v>
      </c>
      <c r="M81" s="35" cm="1">
        <f t="array" ref="M81">Common_InputFunctions.Utility_DisplayArrayInTable(SourceData_PastureBeef.SourceData_PastureBeef_LiveweightNTQLD_Data(),Table_SourceData_PastureBeef_LiveweightNTQD[[#Headers],[State]], 0)</f>
        <v>157</v>
      </c>
      <c r="N81" s="35" cm="1">
        <f t="array" ref="N81">Common_InputFunctions.Utility_DisplayArrayInTable(SourceData_PastureBeef.SourceData_PastureBeef_LiveweightNTQLD_Data(),Table_SourceData_PastureBeef_LiveweightNTQD[[#Headers],[State]], 0)</f>
        <v>261</v>
      </c>
      <c r="O81" s="35" cm="1">
        <f t="array" ref="O81">Common_InputFunctions.Utility_DisplayArrayInTable(SourceData_PastureBeef.SourceData_PastureBeef_LiveweightNTQLD_Data(),Table_SourceData_PastureBeef_LiveweightNTQD[[#Headers],[State]], 0)</f>
        <v>342</v>
      </c>
      <c r="P81" s="35" cm="1">
        <f t="array" ref="P81">Common_InputFunctions.Utility_DisplayArrayInTable(SourceData_PastureBeef.SourceData_PastureBeef_LiveweightNTQLD_Data(),Table_SourceData_PastureBeef_LiveweightNTQD[[#Headers],[State]], 0)</f>
        <v>484</v>
      </c>
    </row>
    <row r="82" spans="4:22" ht="20.100000000000001" customHeight="1" x14ac:dyDescent="0.25">
      <c r="M82" s="1"/>
    </row>
    <row r="83" spans="4:22" ht="20.100000000000001" customHeight="1" x14ac:dyDescent="0.25">
      <c r="M83" s="1"/>
    </row>
    <row r="84" spans="4:22" ht="20.100000000000001" customHeight="1" x14ac:dyDescent="0.25">
      <c r="D84" s="6" t="s">
        <v>162</v>
      </c>
      <c r="M84" s="1"/>
    </row>
    <row r="85" spans="4:22" ht="20.100000000000001" customHeight="1" x14ac:dyDescent="0.25">
      <c r="D85" s="35" t="s">
        <v>5</v>
      </c>
      <c r="E85" s="35" t="s">
        <v>144</v>
      </c>
      <c r="F85" s="35" t="s">
        <v>145</v>
      </c>
      <c r="G85" s="105" t="s">
        <v>103</v>
      </c>
      <c r="H85" s="105" t="s">
        <v>102</v>
      </c>
      <c r="I85" s="105" t="s">
        <v>126</v>
      </c>
      <c r="J85" s="105" t="s">
        <v>127</v>
      </c>
      <c r="K85" s="105" t="s">
        <v>128</v>
      </c>
      <c r="L85" s="105" t="s">
        <v>129</v>
      </c>
      <c r="M85" s="105" t="s">
        <v>130</v>
      </c>
      <c r="N85" s="105" t="s">
        <v>131</v>
      </c>
      <c r="O85" s="105" t="s">
        <v>132</v>
      </c>
      <c r="P85" s="105" t="s">
        <v>133</v>
      </c>
      <c r="V85" s="1"/>
    </row>
    <row r="86" spans="4:22" ht="20.100000000000001" customHeight="1" x14ac:dyDescent="0.25">
      <c r="D86" s="35" t="s">
        <v>65</v>
      </c>
      <c r="E86" s="35" t="s">
        <v>163</v>
      </c>
      <c r="F86" s="35" t="str">
        <f>F19</f>
        <v>Spring</v>
      </c>
      <c r="G86" s="35">
        <f>G19</f>
        <v>80</v>
      </c>
      <c r="H86" s="35">
        <f t="shared" ref="H86:K89" si="0">H19</f>
        <v>480</v>
      </c>
      <c r="I86" s="35">
        <f>I19</f>
        <v>75</v>
      </c>
      <c r="J86" s="35">
        <f>J19</f>
        <v>300</v>
      </c>
      <c r="K86" s="35">
        <f>K19</f>
        <v>440</v>
      </c>
      <c r="L86" s="35">
        <f>K19</f>
        <v>440</v>
      </c>
      <c r="M86" s="35">
        <f>L19</f>
        <v>75</v>
      </c>
      <c r="N86" s="35">
        <f>M19</f>
        <v>380</v>
      </c>
      <c r="O86" s="35">
        <f>M19</f>
        <v>380</v>
      </c>
      <c r="P86" s="35">
        <f>M19</f>
        <v>380</v>
      </c>
      <c r="V86" s="1"/>
    </row>
    <row r="87" spans="4:22" ht="20.100000000000001" customHeight="1" x14ac:dyDescent="0.25">
      <c r="D87" s="35" t="s">
        <v>65</v>
      </c>
      <c r="E87" s="35" t="s">
        <v>163</v>
      </c>
      <c r="F87" s="35" t="s">
        <v>135</v>
      </c>
      <c r="G87" s="35">
        <f t="shared" ref="G87" si="1">G20</f>
        <v>170</v>
      </c>
      <c r="H87" s="35">
        <f t="shared" si="0"/>
        <v>520</v>
      </c>
      <c r="I87" s="35">
        <f t="shared" si="0"/>
        <v>160</v>
      </c>
      <c r="J87" s="35">
        <f t="shared" si="0"/>
        <v>360</v>
      </c>
      <c r="K87" s="35">
        <f t="shared" si="0"/>
        <v>470</v>
      </c>
      <c r="L87" s="35">
        <f t="shared" ref="L87:N89" si="2">K20</f>
        <v>470</v>
      </c>
      <c r="M87" s="35">
        <f t="shared" si="2"/>
        <v>160</v>
      </c>
      <c r="N87" s="35">
        <f t="shared" si="2"/>
        <v>420</v>
      </c>
      <c r="O87" s="35">
        <f t="shared" ref="O87:O89" si="3">M20</f>
        <v>420</v>
      </c>
      <c r="P87" s="35">
        <f t="shared" ref="P87:P89" si="4">M20</f>
        <v>420</v>
      </c>
      <c r="V87" s="1"/>
    </row>
    <row r="88" spans="4:22" ht="20.100000000000001" customHeight="1" x14ac:dyDescent="0.25">
      <c r="D88" s="35" t="s">
        <v>65</v>
      </c>
      <c r="E88" s="35" t="s">
        <v>163</v>
      </c>
      <c r="F88" s="35" t="s">
        <v>136</v>
      </c>
      <c r="G88" s="35">
        <f t="shared" ref="G88" si="5">G21</f>
        <v>240</v>
      </c>
      <c r="H88" s="35">
        <f t="shared" si="0"/>
        <v>550</v>
      </c>
      <c r="I88" s="35">
        <f t="shared" si="0"/>
        <v>220</v>
      </c>
      <c r="J88" s="35">
        <f t="shared" si="0"/>
        <v>390</v>
      </c>
      <c r="K88" s="35">
        <f t="shared" si="0"/>
        <v>490</v>
      </c>
      <c r="L88" s="35">
        <f t="shared" si="2"/>
        <v>490</v>
      </c>
      <c r="M88" s="35">
        <f t="shared" si="2"/>
        <v>220</v>
      </c>
      <c r="N88" s="35">
        <f t="shared" si="2"/>
        <v>450</v>
      </c>
      <c r="O88" s="35">
        <f t="shared" si="3"/>
        <v>450</v>
      </c>
      <c r="P88" s="35">
        <f t="shared" si="4"/>
        <v>450</v>
      </c>
      <c r="V88" s="1"/>
    </row>
    <row r="89" spans="4:22" ht="20.100000000000001" customHeight="1" x14ac:dyDescent="0.25">
      <c r="D89" s="35" t="s">
        <v>65</v>
      </c>
      <c r="E89" s="35" t="s">
        <v>163</v>
      </c>
      <c r="F89" s="35" t="s">
        <v>137</v>
      </c>
      <c r="G89" s="35">
        <f t="shared" ref="G89" si="6">G22</f>
        <v>280</v>
      </c>
      <c r="H89" s="35">
        <f t="shared" si="0"/>
        <v>560</v>
      </c>
      <c r="I89" s="35">
        <f t="shared" si="0"/>
        <v>260</v>
      </c>
      <c r="J89" s="35">
        <f t="shared" si="0"/>
        <v>410</v>
      </c>
      <c r="K89" s="35">
        <f t="shared" si="0"/>
        <v>500</v>
      </c>
      <c r="L89" s="35">
        <f t="shared" si="2"/>
        <v>500</v>
      </c>
      <c r="M89" s="35">
        <f t="shared" si="2"/>
        <v>260</v>
      </c>
      <c r="N89" s="35">
        <f t="shared" si="2"/>
        <v>460</v>
      </c>
      <c r="O89" s="35">
        <f t="shared" si="3"/>
        <v>460</v>
      </c>
      <c r="P89" s="35">
        <f t="shared" si="4"/>
        <v>460</v>
      </c>
      <c r="V89" s="1"/>
    </row>
    <row r="90" spans="4:22" ht="20.100000000000001" customHeight="1" x14ac:dyDescent="0.25">
      <c r="D90" s="35" t="s">
        <v>66</v>
      </c>
      <c r="E90" s="35" t="s">
        <v>163</v>
      </c>
      <c r="F90" s="35" t="str">
        <f>F23</f>
        <v>Spring</v>
      </c>
      <c r="G90" s="35">
        <f>G19</f>
        <v>80</v>
      </c>
      <c r="H90" s="35">
        <f t="shared" ref="H90:J90" si="7">H19</f>
        <v>480</v>
      </c>
      <c r="I90" s="35">
        <f t="shared" si="7"/>
        <v>75</v>
      </c>
      <c r="J90" s="35">
        <f t="shared" si="7"/>
        <v>300</v>
      </c>
      <c r="K90" s="35">
        <f>K19</f>
        <v>440</v>
      </c>
      <c r="L90" s="35">
        <f>K19</f>
        <v>440</v>
      </c>
      <c r="M90" s="35">
        <f>L19</f>
        <v>75</v>
      </c>
      <c r="N90" s="35">
        <f>M19</f>
        <v>380</v>
      </c>
      <c r="O90" s="35">
        <f>M19</f>
        <v>380</v>
      </c>
      <c r="P90" s="35">
        <f>M19</f>
        <v>380</v>
      </c>
      <c r="V90" s="1"/>
    </row>
    <row r="91" spans="4:22" ht="20.100000000000001" customHeight="1" x14ac:dyDescent="0.25">
      <c r="D91" s="35" t="s">
        <v>66</v>
      </c>
      <c r="E91" s="35" t="s">
        <v>163</v>
      </c>
      <c r="F91" s="35" t="s">
        <v>135</v>
      </c>
      <c r="G91" s="35">
        <f t="shared" ref="G91:K91" si="8">G20</f>
        <v>170</v>
      </c>
      <c r="H91" s="35">
        <f t="shared" si="8"/>
        <v>520</v>
      </c>
      <c r="I91" s="35">
        <f t="shared" si="8"/>
        <v>160</v>
      </c>
      <c r="J91" s="35">
        <f t="shared" si="8"/>
        <v>360</v>
      </c>
      <c r="K91" s="35">
        <f t="shared" si="8"/>
        <v>470</v>
      </c>
      <c r="L91" s="35">
        <f t="shared" ref="L91:M93" si="9">K20</f>
        <v>470</v>
      </c>
      <c r="M91" s="35">
        <f t="shared" si="9"/>
        <v>160</v>
      </c>
      <c r="N91" s="35">
        <f t="shared" ref="N91:N117" si="10">M20</f>
        <v>420</v>
      </c>
      <c r="O91" s="35">
        <f t="shared" ref="O91:O93" si="11">M20</f>
        <v>420</v>
      </c>
      <c r="P91" s="35">
        <f t="shared" ref="P91:P93" si="12">M20</f>
        <v>420</v>
      </c>
    </row>
    <row r="92" spans="4:22" ht="20.100000000000001" customHeight="1" x14ac:dyDescent="0.25">
      <c r="D92" s="35" t="s">
        <v>66</v>
      </c>
      <c r="E92" s="35" t="s">
        <v>163</v>
      </c>
      <c r="F92" s="35" t="s">
        <v>136</v>
      </c>
      <c r="G92" s="35">
        <f t="shared" ref="G92:K92" si="13">G21</f>
        <v>240</v>
      </c>
      <c r="H92" s="35">
        <f t="shared" si="13"/>
        <v>550</v>
      </c>
      <c r="I92" s="35">
        <f t="shared" si="13"/>
        <v>220</v>
      </c>
      <c r="J92" s="35">
        <f t="shared" si="13"/>
        <v>390</v>
      </c>
      <c r="K92" s="35">
        <f t="shared" si="13"/>
        <v>490</v>
      </c>
      <c r="L92" s="35">
        <f t="shared" si="9"/>
        <v>490</v>
      </c>
      <c r="M92" s="35">
        <f t="shared" si="9"/>
        <v>220</v>
      </c>
      <c r="N92" s="35">
        <f t="shared" si="10"/>
        <v>450</v>
      </c>
      <c r="O92" s="35">
        <f t="shared" si="11"/>
        <v>450</v>
      </c>
      <c r="P92" s="35">
        <f t="shared" si="12"/>
        <v>450</v>
      </c>
    </row>
    <row r="93" spans="4:22" ht="20.100000000000001" customHeight="1" x14ac:dyDescent="0.25">
      <c r="D93" s="35" t="s">
        <v>66</v>
      </c>
      <c r="E93" s="35" t="s">
        <v>163</v>
      </c>
      <c r="F93" s="35" t="s">
        <v>137</v>
      </c>
      <c r="G93" s="35">
        <f t="shared" ref="G93:K93" si="14">G22</f>
        <v>280</v>
      </c>
      <c r="H93" s="35">
        <f t="shared" si="14"/>
        <v>560</v>
      </c>
      <c r="I93" s="35">
        <f t="shared" si="14"/>
        <v>260</v>
      </c>
      <c r="J93" s="35">
        <f t="shared" si="14"/>
        <v>410</v>
      </c>
      <c r="K93" s="35">
        <f t="shared" si="14"/>
        <v>500</v>
      </c>
      <c r="L93" s="35">
        <f t="shared" si="9"/>
        <v>500</v>
      </c>
      <c r="M93" s="35">
        <f t="shared" si="9"/>
        <v>260</v>
      </c>
      <c r="N93" s="35">
        <f t="shared" si="10"/>
        <v>460</v>
      </c>
      <c r="O93" s="35">
        <f t="shared" si="11"/>
        <v>460</v>
      </c>
      <c r="P93" s="35">
        <f t="shared" si="12"/>
        <v>460</v>
      </c>
    </row>
    <row r="94" spans="4:22" ht="20.100000000000001" customHeight="1" x14ac:dyDescent="0.25">
      <c r="D94" s="35" t="s">
        <v>69</v>
      </c>
      <c r="E94" s="35" t="s">
        <v>163</v>
      </c>
      <c r="F94" s="35" t="str">
        <f>F27</f>
        <v>Spring</v>
      </c>
      <c r="G94" s="35">
        <f>G23</f>
        <v>250</v>
      </c>
      <c r="H94" s="35">
        <f t="shared" ref="H94:I94" si="15">H23</f>
        <v>800</v>
      </c>
      <c r="I94" s="35">
        <f t="shared" si="15"/>
        <v>220</v>
      </c>
      <c r="J94" s="35">
        <f>J23</f>
        <v>400</v>
      </c>
      <c r="K94" s="35">
        <f>K23</f>
        <v>500</v>
      </c>
      <c r="L94" s="35">
        <f>K23</f>
        <v>500</v>
      </c>
      <c r="M94" s="35">
        <f>L23</f>
        <v>230</v>
      </c>
      <c r="N94" s="35">
        <f>M23</f>
        <v>420</v>
      </c>
      <c r="O94" s="35">
        <f>M23</f>
        <v>420</v>
      </c>
      <c r="P94" s="35">
        <f>M23</f>
        <v>420</v>
      </c>
    </row>
    <row r="95" spans="4:22" ht="20.100000000000001" customHeight="1" x14ac:dyDescent="0.25">
      <c r="D95" s="35" t="s">
        <v>69</v>
      </c>
      <c r="E95" s="35" t="s">
        <v>163</v>
      </c>
      <c r="F95" s="35" t="s">
        <v>135</v>
      </c>
      <c r="G95" s="35">
        <f t="shared" ref="G95:K95" si="16">G24</f>
        <v>320</v>
      </c>
      <c r="H95" s="35">
        <f t="shared" si="16"/>
        <v>800</v>
      </c>
      <c r="I95" s="35">
        <f t="shared" si="16"/>
        <v>280</v>
      </c>
      <c r="J95" s="35">
        <f t="shared" si="16"/>
        <v>420</v>
      </c>
      <c r="K95" s="35">
        <f t="shared" si="16"/>
        <v>500</v>
      </c>
      <c r="L95" s="35">
        <f t="shared" ref="L95:M97" si="17">K24</f>
        <v>500</v>
      </c>
      <c r="M95" s="35">
        <f t="shared" si="17"/>
        <v>290</v>
      </c>
      <c r="N95" s="35">
        <f t="shared" si="10"/>
        <v>420</v>
      </c>
      <c r="O95" s="35">
        <f t="shared" ref="O95:O97" si="18">M24</f>
        <v>420</v>
      </c>
      <c r="P95" s="35">
        <f t="shared" ref="P95:P97" si="19">M24</f>
        <v>420</v>
      </c>
    </row>
    <row r="96" spans="4:22" ht="20.100000000000001" customHeight="1" x14ac:dyDescent="0.25">
      <c r="D96" s="35" t="s">
        <v>69</v>
      </c>
      <c r="E96" s="35" t="s">
        <v>163</v>
      </c>
      <c r="F96" s="35" t="s">
        <v>136</v>
      </c>
      <c r="G96" s="35">
        <f t="shared" ref="G96:K96" si="20">G25</f>
        <v>80</v>
      </c>
      <c r="H96" s="35">
        <f t="shared" si="20"/>
        <v>700</v>
      </c>
      <c r="I96" s="35">
        <f t="shared" si="20"/>
        <v>70</v>
      </c>
      <c r="J96" s="35">
        <f t="shared" si="20"/>
        <v>300</v>
      </c>
      <c r="K96" s="35">
        <f t="shared" si="20"/>
        <v>450</v>
      </c>
      <c r="L96" s="35">
        <f t="shared" si="17"/>
        <v>450</v>
      </c>
      <c r="M96" s="35">
        <f t="shared" si="17"/>
        <v>75</v>
      </c>
      <c r="N96" s="35">
        <f t="shared" si="10"/>
        <v>400</v>
      </c>
      <c r="O96" s="35">
        <f t="shared" si="18"/>
        <v>400</v>
      </c>
      <c r="P96" s="35">
        <f t="shared" si="19"/>
        <v>400</v>
      </c>
    </row>
    <row r="97" spans="4:16" ht="20.100000000000001" customHeight="1" x14ac:dyDescent="0.25">
      <c r="D97" s="35" t="s">
        <v>69</v>
      </c>
      <c r="E97" s="35" t="s">
        <v>163</v>
      </c>
      <c r="F97" s="35" t="s">
        <v>137</v>
      </c>
      <c r="G97" s="35">
        <f t="shared" ref="G97:K97" si="21">G26</f>
        <v>160</v>
      </c>
      <c r="H97" s="35">
        <f t="shared" si="21"/>
        <v>700</v>
      </c>
      <c r="I97" s="35">
        <f t="shared" si="21"/>
        <v>140</v>
      </c>
      <c r="J97" s="35">
        <f t="shared" si="21"/>
        <v>350</v>
      </c>
      <c r="K97" s="35">
        <f t="shared" si="21"/>
        <v>450</v>
      </c>
      <c r="L97" s="35">
        <f t="shared" si="17"/>
        <v>450</v>
      </c>
      <c r="M97" s="35">
        <f t="shared" si="17"/>
        <v>150</v>
      </c>
      <c r="N97" s="35">
        <f t="shared" si="10"/>
        <v>400</v>
      </c>
      <c r="O97" s="35">
        <f t="shared" si="18"/>
        <v>400</v>
      </c>
      <c r="P97" s="35">
        <f t="shared" si="19"/>
        <v>400</v>
      </c>
    </row>
    <row r="98" spans="4:16" ht="20.100000000000001" customHeight="1" x14ac:dyDescent="0.25">
      <c r="D98" s="35" t="s">
        <v>70</v>
      </c>
      <c r="E98" s="35" t="s">
        <v>163</v>
      </c>
      <c r="F98" s="35" t="str">
        <f>F31</f>
        <v>Spring</v>
      </c>
      <c r="G98" s="35">
        <f>G27</f>
        <v>105</v>
      </c>
      <c r="H98" s="35">
        <f t="shared" ref="H98:K98" si="22">H27</f>
        <v>700</v>
      </c>
      <c r="I98" s="35">
        <f t="shared" si="22"/>
        <v>85</v>
      </c>
      <c r="J98" s="35">
        <f t="shared" si="22"/>
        <v>300</v>
      </c>
      <c r="K98" s="35">
        <f t="shared" si="22"/>
        <v>490</v>
      </c>
      <c r="L98" s="35">
        <f>K27</f>
        <v>490</v>
      </c>
      <c r="M98" s="35">
        <f>L27</f>
        <v>90</v>
      </c>
      <c r="N98" s="35">
        <f>M27</f>
        <v>480</v>
      </c>
      <c r="O98" s="35">
        <f>M27</f>
        <v>480</v>
      </c>
      <c r="P98" s="35">
        <f>M27</f>
        <v>480</v>
      </c>
    </row>
    <row r="99" spans="4:16" ht="20.100000000000001" customHeight="1" x14ac:dyDescent="0.25">
      <c r="D99" s="35" t="s">
        <v>70</v>
      </c>
      <c r="E99" s="35" t="s">
        <v>163</v>
      </c>
      <c r="F99" s="35" t="s">
        <v>135</v>
      </c>
      <c r="G99" s="35">
        <f t="shared" ref="G99:K99" si="23">G28</f>
        <v>480</v>
      </c>
      <c r="H99" s="35">
        <f t="shared" si="23"/>
        <v>750</v>
      </c>
      <c r="I99" s="35">
        <f t="shared" si="23"/>
        <v>150</v>
      </c>
      <c r="J99" s="35">
        <f t="shared" si="23"/>
        <v>350</v>
      </c>
      <c r="K99" s="35">
        <f t="shared" si="23"/>
        <v>530</v>
      </c>
      <c r="L99" s="35">
        <f t="shared" ref="L99:M101" si="24">K28</f>
        <v>530</v>
      </c>
      <c r="M99" s="35">
        <f t="shared" si="24"/>
        <v>160</v>
      </c>
      <c r="N99" s="35">
        <f t="shared" si="10"/>
        <v>460</v>
      </c>
      <c r="O99" s="35">
        <f t="shared" ref="O99:O101" si="25">M28</f>
        <v>460</v>
      </c>
      <c r="P99" s="35">
        <f t="shared" ref="P99:P101" si="26">M28</f>
        <v>460</v>
      </c>
    </row>
    <row r="100" spans="4:16" ht="20.100000000000001" customHeight="1" x14ac:dyDescent="0.25">
      <c r="D100" s="35" t="s">
        <v>70</v>
      </c>
      <c r="E100" s="35" t="s">
        <v>163</v>
      </c>
      <c r="F100" s="35" t="s">
        <v>136</v>
      </c>
      <c r="G100" s="35">
        <f t="shared" ref="G100:K100" si="27">G29</f>
        <v>250</v>
      </c>
      <c r="H100" s="35">
        <f t="shared" si="27"/>
        <v>725</v>
      </c>
      <c r="I100" s="35">
        <f t="shared" si="27"/>
        <v>200</v>
      </c>
      <c r="J100" s="35">
        <f t="shared" si="27"/>
        <v>360</v>
      </c>
      <c r="K100" s="35">
        <f t="shared" si="27"/>
        <v>500</v>
      </c>
      <c r="L100" s="35">
        <f t="shared" si="24"/>
        <v>500</v>
      </c>
      <c r="M100" s="35">
        <f t="shared" si="24"/>
        <v>215</v>
      </c>
      <c r="N100" s="35">
        <f t="shared" si="10"/>
        <v>490</v>
      </c>
      <c r="O100" s="35">
        <f t="shared" si="25"/>
        <v>490</v>
      </c>
      <c r="P100" s="35">
        <f t="shared" si="26"/>
        <v>490</v>
      </c>
    </row>
    <row r="101" spans="4:16" ht="20.100000000000001" customHeight="1" x14ac:dyDescent="0.25">
      <c r="D101" s="35" t="s">
        <v>70</v>
      </c>
      <c r="E101" s="35" t="s">
        <v>163</v>
      </c>
      <c r="F101" s="35" t="s">
        <v>137</v>
      </c>
      <c r="G101" s="35">
        <f t="shared" ref="G101:K101" si="28">G30</f>
        <v>260</v>
      </c>
      <c r="H101" s="35">
        <f t="shared" si="28"/>
        <v>700</v>
      </c>
      <c r="I101" s="35">
        <f t="shared" si="28"/>
        <v>210</v>
      </c>
      <c r="J101" s="35">
        <f t="shared" si="28"/>
        <v>380</v>
      </c>
      <c r="K101" s="35">
        <f t="shared" si="28"/>
        <v>460</v>
      </c>
      <c r="L101" s="35">
        <f t="shared" si="24"/>
        <v>460</v>
      </c>
      <c r="M101" s="35">
        <f t="shared" si="24"/>
        <v>230</v>
      </c>
      <c r="N101" s="35">
        <f t="shared" si="10"/>
        <v>470</v>
      </c>
      <c r="O101" s="35">
        <f t="shared" si="25"/>
        <v>470</v>
      </c>
      <c r="P101" s="35">
        <f t="shared" si="26"/>
        <v>470</v>
      </c>
    </row>
    <row r="102" spans="4:16" ht="20.100000000000001" customHeight="1" x14ac:dyDescent="0.25">
      <c r="D102" s="35" t="s">
        <v>71</v>
      </c>
      <c r="E102" s="35" t="s">
        <v>163</v>
      </c>
      <c r="F102" s="35" t="str">
        <f>F35</f>
        <v>Spring</v>
      </c>
      <c r="G102" s="35">
        <f>G31</f>
        <v>250</v>
      </c>
      <c r="H102" s="35">
        <f t="shared" ref="H102:J102" si="29">H31</f>
        <v>820</v>
      </c>
      <c r="I102" s="35">
        <f t="shared" si="29"/>
        <v>240</v>
      </c>
      <c r="J102" s="35">
        <f t="shared" si="29"/>
        <v>410</v>
      </c>
      <c r="K102" s="35">
        <f>K31</f>
        <v>560</v>
      </c>
      <c r="L102" s="35">
        <f>K31</f>
        <v>560</v>
      </c>
      <c r="M102" s="35">
        <f>L31</f>
        <v>240</v>
      </c>
      <c r="N102" s="35">
        <f>M31</f>
        <v>510</v>
      </c>
      <c r="O102" s="35">
        <f>M31</f>
        <v>510</v>
      </c>
      <c r="P102" s="35">
        <f>M31</f>
        <v>510</v>
      </c>
    </row>
    <row r="103" spans="4:16" ht="20.100000000000001" customHeight="1" x14ac:dyDescent="0.25">
      <c r="D103" s="35" t="s">
        <v>71</v>
      </c>
      <c r="E103" s="35" t="s">
        <v>163</v>
      </c>
      <c r="F103" s="35" t="s">
        <v>135</v>
      </c>
      <c r="G103" s="35">
        <f t="shared" ref="G103:K103" si="30">G32</f>
        <v>280</v>
      </c>
      <c r="H103" s="35">
        <f t="shared" si="30"/>
        <v>850</v>
      </c>
      <c r="I103" s="35">
        <f t="shared" si="30"/>
        <v>260</v>
      </c>
      <c r="J103" s="35">
        <f t="shared" si="30"/>
        <v>440</v>
      </c>
      <c r="K103" s="35">
        <f t="shared" si="30"/>
        <v>550</v>
      </c>
      <c r="L103" s="35">
        <f t="shared" ref="L103:M105" si="31">K32</f>
        <v>550</v>
      </c>
      <c r="M103" s="35">
        <f t="shared" si="31"/>
        <v>270</v>
      </c>
      <c r="N103" s="35">
        <f t="shared" si="10"/>
        <v>520</v>
      </c>
      <c r="O103" s="35">
        <f t="shared" ref="O103:O105" si="32">M32</f>
        <v>520</v>
      </c>
      <c r="P103" s="35">
        <f t="shared" ref="P103:P105" si="33">M32</f>
        <v>520</v>
      </c>
    </row>
    <row r="104" spans="4:16" ht="20.100000000000001" customHeight="1" x14ac:dyDescent="0.25">
      <c r="D104" s="35" t="s">
        <v>71</v>
      </c>
      <c r="E104" s="35" t="s">
        <v>163</v>
      </c>
      <c r="F104" s="35" t="s">
        <v>136</v>
      </c>
      <c r="G104" s="35">
        <f t="shared" ref="G104:K104" si="34">G33</f>
        <v>100</v>
      </c>
      <c r="H104" s="35">
        <f t="shared" si="34"/>
        <v>700</v>
      </c>
      <c r="I104" s="35">
        <f t="shared" si="34"/>
        <v>95</v>
      </c>
      <c r="J104" s="35">
        <f t="shared" si="34"/>
        <v>300</v>
      </c>
      <c r="K104" s="35">
        <f t="shared" si="34"/>
        <v>450</v>
      </c>
      <c r="L104" s="35">
        <f t="shared" si="31"/>
        <v>450</v>
      </c>
      <c r="M104" s="35">
        <f t="shared" si="31"/>
        <v>95</v>
      </c>
      <c r="N104" s="35">
        <f t="shared" si="10"/>
        <v>410</v>
      </c>
      <c r="O104" s="35">
        <f t="shared" si="32"/>
        <v>410</v>
      </c>
      <c r="P104" s="35">
        <f t="shared" si="33"/>
        <v>410</v>
      </c>
    </row>
    <row r="105" spans="4:16" ht="20.100000000000001" customHeight="1" x14ac:dyDescent="0.25">
      <c r="D105" s="35" t="s">
        <v>71</v>
      </c>
      <c r="E105" s="35" t="s">
        <v>163</v>
      </c>
      <c r="F105" s="35" t="s">
        <v>137</v>
      </c>
      <c r="G105" s="35">
        <f t="shared" ref="G105:K105" si="35">G34</f>
        <v>150</v>
      </c>
      <c r="H105" s="35">
        <f t="shared" si="35"/>
        <v>720</v>
      </c>
      <c r="I105" s="35">
        <f t="shared" si="35"/>
        <v>140</v>
      </c>
      <c r="J105" s="35">
        <f t="shared" si="35"/>
        <v>320</v>
      </c>
      <c r="K105" s="35">
        <f t="shared" si="35"/>
        <v>470</v>
      </c>
      <c r="L105" s="35">
        <f t="shared" si="31"/>
        <v>470</v>
      </c>
      <c r="M105" s="35">
        <f t="shared" si="31"/>
        <v>140</v>
      </c>
      <c r="N105" s="35">
        <f t="shared" si="10"/>
        <v>440</v>
      </c>
      <c r="O105" s="35">
        <f t="shared" si="32"/>
        <v>440</v>
      </c>
      <c r="P105" s="35">
        <f t="shared" si="33"/>
        <v>440</v>
      </c>
    </row>
    <row r="106" spans="4:16" ht="20.100000000000001" customHeight="1" x14ac:dyDescent="0.25">
      <c r="D106" s="35" t="s">
        <v>72</v>
      </c>
      <c r="E106" s="35" t="str">
        <f>E35</f>
        <v>South West</v>
      </c>
      <c r="F106" s="35" t="str">
        <f t="shared" ref="F106:K106" si="36">F35</f>
        <v>Spring</v>
      </c>
      <c r="G106" s="35">
        <f t="shared" si="36"/>
        <v>340</v>
      </c>
      <c r="H106" s="35">
        <f t="shared" si="36"/>
        <v>800</v>
      </c>
      <c r="I106" s="35">
        <f t="shared" si="36"/>
        <v>260</v>
      </c>
      <c r="J106" s="35">
        <f t="shared" si="36"/>
        <v>420</v>
      </c>
      <c r="K106" s="35">
        <f t="shared" si="36"/>
        <v>550</v>
      </c>
      <c r="L106" s="35">
        <f>K35</f>
        <v>550</v>
      </c>
      <c r="M106" s="35">
        <f>L35</f>
        <v>300</v>
      </c>
      <c r="N106" s="35">
        <f>M35</f>
        <v>480</v>
      </c>
      <c r="O106" s="35">
        <f>M35</f>
        <v>480</v>
      </c>
      <c r="P106" s="35">
        <f>M35</f>
        <v>480</v>
      </c>
    </row>
    <row r="107" spans="4:16" ht="20.100000000000001" customHeight="1" x14ac:dyDescent="0.25">
      <c r="D107" s="35" t="s">
        <v>72</v>
      </c>
      <c r="E107" s="35" t="str">
        <f t="shared" ref="E107:K107" si="37">E36</f>
        <v>South West</v>
      </c>
      <c r="F107" s="35" t="str">
        <f t="shared" si="37"/>
        <v>Summer</v>
      </c>
      <c r="G107" s="35">
        <f t="shared" si="37"/>
        <v>380</v>
      </c>
      <c r="H107" s="35">
        <f t="shared" si="37"/>
        <v>780</v>
      </c>
      <c r="I107" s="35">
        <f t="shared" si="37"/>
        <v>300</v>
      </c>
      <c r="J107" s="35">
        <f t="shared" si="37"/>
        <v>450</v>
      </c>
      <c r="K107" s="35">
        <f t="shared" si="37"/>
        <v>530</v>
      </c>
      <c r="L107" s="35">
        <f t="shared" ref="L107:M117" si="38">K36</f>
        <v>530</v>
      </c>
      <c r="M107" s="35">
        <f t="shared" si="38"/>
        <v>340</v>
      </c>
      <c r="N107" s="35">
        <f t="shared" si="10"/>
        <v>470</v>
      </c>
      <c r="O107" s="35">
        <f t="shared" ref="O107:O117" si="39">M36</f>
        <v>470</v>
      </c>
      <c r="P107" s="35">
        <f t="shared" ref="P107:P117" si="40">M36</f>
        <v>470</v>
      </c>
    </row>
    <row r="108" spans="4:16" ht="20.100000000000001" customHeight="1" x14ac:dyDescent="0.25">
      <c r="D108" s="35" t="s">
        <v>72</v>
      </c>
      <c r="E108" s="35" t="str">
        <f t="shared" ref="E108:K108" si="41">E37</f>
        <v>South West</v>
      </c>
      <c r="F108" s="35" t="str">
        <f t="shared" si="41"/>
        <v>Autumn</v>
      </c>
      <c r="G108" s="35">
        <f t="shared" si="41"/>
        <v>100</v>
      </c>
      <c r="H108" s="35">
        <f t="shared" si="41"/>
        <v>680</v>
      </c>
      <c r="I108" s="35">
        <f t="shared" si="41"/>
        <v>80</v>
      </c>
      <c r="J108" s="35">
        <f t="shared" si="41"/>
        <v>320</v>
      </c>
      <c r="K108" s="35">
        <f t="shared" si="41"/>
        <v>480</v>
      </c>
      <c r="L108" s="35">
        <f t="shared" si="38"/>
        <v>480</v>
      </c>
      <c r="M108" s="35">
        <f t="shared" si="38"/>
        <v>100</v>
      </c>
      <c r="N108" s="35">
        <f t="shared" si="10"/>
        <v>340</v>
      </c>
      <c r="O108" s="35">
        <f t="shared" si="39"/>
        <v>340</v>
      </c>
      <c r="P108" s="35">
        <f t="shared" si="40"/>
        <v>340</v>
      </c>
    </row>
    <row r="109" spans="4:16" ht="20.100000000000001" customHeight="1" x14ac:dyDescent="0.25">
      <c r="D109" s="35" t="s">
        <v>72</v>
      </c>
      <c r="E109" s="35" t="str">
        <f t="shared" ref="E109:K109" si="42">E38</f>
        <v>South West</v>
      </c>
      <c r="F109" s="35" t="str">
        <f t="shared" si="42"/>
        <v>Winter</v>
      </c>
      <c r="G109" s="35">
        <f t="shared" si="42"/>
        <v>190</v>
      </c>
      <c r="H109" s="35">
        <f t="shared" si="42"/>
        <v>700</v>
      </c>
      <c r="I109" s="35">
        <f t="shared" si="42"/>
        <v>150</v>
      </c>
      <c r="J109" s="35">
        <f t="shared" si="42"/>
        <v>330</v>
      </c>
      <c r="K109" s="35">
        <f t="shared" si="42"/>
        <v>490</v>
      </c>
      <c r="L109" s="35">
        <f t="shared" si="38"/>
        <v>490</v>
      </c>
      <c r="M109" s="35">
        <f t="shared" si="38"/>
        <v>170</v>
      </c>
      <c r="N109" s="35">
        <f t="shared" si="10"/>
        <v>360</v>
      </c>
      <c r="O109" s="35">
        <f t="shared" si="39"/>
        <v>360</v>
      </c>
      <c r="P109" s="35">
        <f t="shared" si="40"/>
        <v>360</v>
      </c>
    </row>
    <row r="110" spans="4:16" ht="20.100000000000001" customHeight="1" x14ac:dyDescent="0.25">
      <c r="D110" s="35" t="s">
        <v>72</v>
      </c>
      <c r="E110" s="35" t="str">
        <f t="shared" ref="E110:K110" si="43">E39</f>
        <v>Pilbara</v>
      </c>
      <c r="F110" s="35" t="str">
        <f t="shared" si="43"/>
        <v>Spring</v>
      </c>
      <c r="G110" s="35">
        <f t="shared" si="43"/>
        <v>80</v>
      </c>
      <c r="H110" s="35">
        <f t="shared" si="43"/>
        <v>450</v>
      </c>
      <c r="I110" s="35">
        <f t="shared" si="43"/>
        <v>70</v>
      </c>
      <c r="J110" s="35">
        <f t="shared" si="43"/>
        <v>260</v>
      </c>
      <c r="K110" s="35">
        <f t="shared" si="43"/>
        <v>340</v>
      </c>
      <c r="L110" s="35">
        <f t="shared" si="38"/>
        <v>340</v>
      </c>
      <c r="M110" s="35">
        <f t="shared" si="38"/>
        <v>80</v>
      </c>
      <c r="N110" s="35">
        <f t="shared" si="10"/>
        <v>370</v>
      </c>
      <c r="O110" s="35">
        <f t="shared" si="39"/>
        <v>370</v>
      </c>
      <c r="P110" s="35">
        <f t="shared" si="40"/>
        <v>370</v>
      </c>
    </row>
    <row r="111" spans="4:16" ht="20.100000000000001" customHeight="1" x14ac:dyDescent="0.25">
      <c r="D111" s="35" t="s">
        <v>72</v>
      </c>
      <c r="E111" s="35" t="str">
        <f t="shared" ref="E111:K111" si="44">E40</f>
        <v>Pilbara</v>
      </c>
      <c r="F111" s="35" t="str">
        <f t="shared" si="44"/>
        <v>Summer</v>
      </c>
      <c r="G111" s="35">
        <f t="shared" si="44"/>
        <v>150</v>
      </c>
      <c r="H111" s="35">
        <f t="shared" si="44"/>
        <v>500</v>
      </c>
      <c r="I111" s="35">
        <f t="shared" si="44"/>
        <v>140</v>
      </c>
      <c r="J111" s="35">
        <f t="shared" si="44"/>
        <v>310</v>
      </c>
      <c r="K111" s="35">
        <f t="shared" si="44"/>
        <v>360</v>
      </c>
      <c r="L111" s="35">
        <f t="shared" si="38"/>
        <v>360</v>
      </c>
      <c r="M111" s="35">
        <f t="shared" si="38"/>
        <v>150</v>
      </c>
      <c r="N111" s="35">
        <f t="shared" si="10"/>
        <v>400</v>
      </c>
      <c r="O111" s="35">
        <f t="shared" si="39"/>
        <v>400</v>
      </c>
      <c r="P111" s="35">
        <f t="shared" si="40"/>
        <v>400</v>
      </c>
    </row>
    <row r="112" spans="4:16" ht="20.100000000000001" customHeight="1" x14ac:dyDescent="0.25">
      <c r="D112" s="35" t="s">
        <v>72</v>
      </c>
      <c r="E112" s="35" t="str">
        <f t="shared" ref="E112:K112" si="45">E41</f>
        <v>Pilbara</v>
      </c>
      <c r="F112" s="35" t="str">
        <f t="shared" si="45"/>
        <v>Autumn</v>
      </c>
      <c r="G112" s="35">
        <f t="shared" si="45"/>
        <v>230</v>
      </c>
      <c r="H112" s="35">
        <f t="shared" si="45"/>
        <v>550</v>
      </c>
      <c r="I112" s="35">
        <f t="shared" si="45"/>
        <v>220</v>
      </c>
      <c r="J112" s="35">
        <f t="shared" si="45"/>
        <v>330</v>
      </c>
      <c r="K112" s="35">
        <f t="shared" si="45"/>
        <v>380</v>
      </c>
      <c r="L112" s="35">
        <f t="shared" si="38"/>
        <v>380</v>
      </c>
      <c r="M112" s="35">
        <f t="shared" si="38"/>
        <v>230</v>
      </c>
      <c r="N112" s="35">
        <f t="shared" si="10"/>
        <v>420</v>
      </c>
      <c r="O112" s="35">
        <f t="shared" si="39"/>
        <v>420</v>
      </c>
      <c r="P112" s="35">
        <f t="shared" si="40"/>
        <v>420</v>
      </c>
    </row>
    <row r="113" spans="4:22" ht="20.100000000000001" customHeight="1" x14ac:dyDescent="0.25">
      <c r="D113" s="35" t="s">
        <v>72</v>
      </c>
      <c r="E113" s="35" t="str">
        <f t="shared" ref="E113:K113" si="46">E42</f>
        <v>Pilbara</v>
      </c>
      <c r="F113" s="35" t="str">
        <f t="shared" si="46"/>
        <v>Winter</v>
      </c>
      <c r="G113" s="35">
        <f t="shared" si="46"/>
        <v>250</v>
      </c>
      <c r="H113" s="35">
        <f t="shared" si="46"/>
        <v>500</v>
      </c>
      <c r="I113" s="35">
        <f t="shared" si="46"/>
        <v>240</v>
      </c>
      <c r="J113" s="35">
        <f t="shared" si="46"/>
        <v>340</v>
      </c>
      <c r="K113" s="35">
        <f t="shared" si="46"/>
        <v>360</v>
      </c>
      <c r="L113" s="35">
        <f t="shared" si="38"/>
        <v>360</v>
      </c>
      <c r="M113" s="35">
        <f t="shared" si="38"/>
        <v>250</v>
      </c>
      <c r="N113" s="35">
        <f t="shared" si="10"/>
        <v>390</v>
      </c>
      <c r="O113" s="35">
        <f t="shared" si="39"/>
        <v>390</v>
      </c>
      <c r="P113" s="35">
        <f t="shared" si="40"/>
        <v>390</v>
      </c>
    </row>
    <row r="114" spans="4:22" ht="20.100000000000001" customHeight="1" x14ac:dyDescent="0.25">
      <c r="D114" s="35" t="s">
        <v>72</v>
      </c>
      <c r="E114" s="35" t="str">
        <f t="shared" ref="E114:K114" si="47">E43</f>
        <v>Kimberley</v>
      </c>
      <c r="F114" s="35" t="str">
        <f t="shared" si="47"/>
        <v>Spring</v>
      </c>
      <c r="G114" s="35">
        <f t="shared" si="47"/>
        <v>220</v>
      </c>
      <c r="H114" s="35">
        <f t="shared" si="47"/>
        <v>500</v>
      </c>
      <c r="I114" s="35">
        <f t="shared" si="47"/>
        <v>180</v>
      </c>
      <c r="J114" s="35">
        <f t="shared" si="47"/>
        <v>300</v>
      </c>
      <c r="K114" s="35">
        <f t="shared" si="47"/>
        <v>320</v>
      </c>
      <c r="L114" s="35">
        <f t="shared" si="38"/>
        <v>320</v>
      </c>
      <c r="M114" s="35">
        <f t="shared" si="38"/>
        <v>210</v>
      </c>
      <c r="N114" s="35">
        <f t="shared" si="10"/>
        <v>340</v>
      </c>
      <c r="O114" s="35">
        <f t="shared" si="39"/>
        <v>340</v>
      </c>
      <c r="P114" s="35">
        <f t="shared" si="40"/>
        <v>340</v>
      </c>
    </row>
    <row r="115" spans="4:22" ht="20.100000000000001" customHeight="1" x14ac:dyDescent="0.25">
      <c r="D115" s="35" t="s">
        <v>72</v>
      </c>
      <c r="E115" s="35" t="str">
        <f t="shared" ref="E115:K115" si="48">E44</f>
        <v>Kimberley</v>
      </c>
      <c r="F115" s="35" t="str">
        <f t="shared" si="48"/>
        <v>Summer</v>
      </c>
      <c r="G115" s="35">
        <f t="shared" si="48"/>
        <v>110</v>
      </c>
      <c r="H115" s="35">
        <f t="shared" si="48"/>
        <v>550</v>
      </c>
      <c r="I115" s="35">
        <f t="shared" si="48"/>
        <v>90</v>
      </c>
      <c r="J115" s="35">
        <f t="shared" si="48"/>
        <v>220</v>
      </c>
      <c r="K115" s="35">
        <f t="shared" si="48"/>
        <v>380</v>
      </c>
      <c r="L115" s="35">
        <f t="shared" si="38"/>
        <v>380</v>
      </c>
      <c r="M115" s="35">
        <f t="shared" si="38"/>
        <v>100</v>
      </c>
      <c r="N115" s="35">
        <f t="shared" si="10"/>
        <v>390</v>
      </c>
      <c r="O115" s="35">
        <f t="shared" si="39"/>
        <v>390</v>
      </c>
      <c r="P115" s="35">
        <f t="shared" si="40"/>
        <v>390</v>
      </c>
      <c r="V115" s="1"/>
    </row>
    <row r="116" spans="4:22" ht="20.100000000000001" customHeight="1" x14ac:dyDescent="0.25">
      <c r="D116" s="35" t="s">
        <v>72</v>
      </c>
      <c r="E116" s="35" t="str">
        <f t="shared" ref="E116:K116" si="49">E45</f>
        <v>Kimberley</v>
      </c>
      <c r="F116" s="35" t="str">
        <f t="shared" si="49"/>
        <v>Autumn</v>
      </c>
      <c r="G116" s="35">
        <f t="shared" si="49"/>
        <v>170</v>
      </c>
      <c r="H116" s="35">
        <f t="shared" si="49"/>
        <v>600</v>
      </c>
      <c r="I116" s="35">
        <f t="shared" si="49"/>
        <v>140</v>
      </c>
      <c r="J116" s="35">
        <f t="shared" si="49"/>
        <v>270</v>
      </c>
      <c r="K116" s="35">
        <f t="shared" si="49"/>
        <v>390</v>
      </c>
      <c r="L116" s="35">
        <f t="shared" si="38"/>
        <v>390</v>
      </c>
      <c r="M116" s="35">
        <f t="shared" si="38"/>
        <v>160</v>
      </c>
      <c r="N116" s="35">
        <f t="shared" si="10"/>
        <v>430</v>
      </c>
      <c r="O116" s="35">
        <f t="shared" si="39"/>
        <v>430</v>
      </c>
      <c r="P116" s="35">
        <f t="shared" si="40"/>
        <v>430</v>
      </c>
      <c r="V116" s="1"/>
    </row>
    <row r="117" spans="4:22" ht="20.100000000000001" customHeight="1" x14ac:dyDescent="0.25">
      <c r="D117" s="35" t="s">
        <v>72</v>
      </c>
      <c r="E117" s="35" t="str">
        <f t="shared" ref="E117:K117" si="50">E46</f>
        <v>Kimberley</v>
      </c>
      <c r="F117" s="35" t="str">
        <f t="shared" si="50"/>
        <v>Winter</v>
      </c>
      <c r="G117" s="35">
        <f t="shared" si="50"/>
        <v>200</v>
      </c>
      <c r="H117" s="35">
        <f t="shared" si="50"/>
        <v>550</v>
      </c>
      <c r="I117" s="35">
        <f t="shared" si="50"/>
        <v>150</v>
      </c>
      <c r="J117" s="35">
        <f t="shared" si="50"/>
        <v>280</v>
      </c>
      <c r="K117" s="35">
        <f t="shared" si="50"/>
        <v>350</v>
      </c>
      <c r="L117" s="35">
        <f t="shared" si="38"/>
        <v>350</v>
      </c>
      <c r="M117" s="35">
        <f t="shared" si="38"/>
        <v>190</v>
      </c>
      <c r="N117" s="35">
        <f t="shared" si="10"/>
        <v>400</v>
      </c>
      <c r="O117" s="35">
        <f t="shared" si="39"/>
        <v>400</v>
      </c>
      <c r="P117" s="35">
        <f t="shared" si="40"/>
        <v>400</v>
      </c>
      <c r="V117" s="1"/>
    </row>
    <row r="118" spans="4:22" ht="20.100000000000001" customHeight="1" x14ac:dyDescent="0.25">
      <c r="D118" s="35" t="s">
        <v>67</v>
      </c>
      <c r="E118" s="35" t="str">
        <f>E54</f>
        <v>Alice Springs</v>
      </c>
      <c r="F118" s="35" t="str">
        <f t="shared" ref="F118:P118" si="51">F54</f>
        <v>Spring</v>
      </c>
      <c r="G118" s="35">
        <f t="shared" si="51"/>
        <v>220</v>
      </c>
      <c r="H118" s="35">
        <f t="shared" si="51"/>
        <v>706</v>
      </c>
      <c r="I118" s="35">
        <f t="shared" si="51"/>
        <v>208</v>
      </c>
      <c r="J118" s="35">
        <f t="shared" si="51"/>
        <v>323</v>
      </c>
      <c r="K118" s="35">
        <f t="shared" si="51"/>
        <v>415</v>
      </c>
      <c r="L118" s="35">
        <f t="shared" si="51"/>
        <v>467</v>
      </c>
      <c r="M118" s="35">
        <f t="shared" si="51"/>
        <v>223</v>
      </c>
      <c r="N118" s="35">
        <f t="shared" si="51"/>
        <v>371</v>
      </c>
      <c r="O118" s="35">
        <f t="shared" si="51"/>
        <v>493</v>
      </c>
      <c r="P118" s="35">
        <f t="shared" si="51"/>
        <v>585</v>
      </c>
    </row>
    <row r="119" spans="4:22" ht="20.100000000000001" customHeight="1" x14ac:dyDescent="0.25">
      <c r="D119" s="35" t="s">
        <v>67</v>
      </c>
      <c r="E119" s="35" t="str">
        <f t="shared" ref="E119:P119" si="52">E55</f>
        <v>Alice Springs</v>
      </c>
      <c r="F119" s="35" t="str">
        <f t="shared" si="52"/>
        <v>Summer</v>
      </c>
      <c r="G119" s="35">
        <f t="shared" si="52"/>
        <v>110</v>
      </c>
      <c r="H119" s="35">
        <f t="shared" si="52"/>
        <v>703</v>
      </c>
      <c r="I119" s="35">
        <f t="shared" si="52"/>
        <v>112</v>
      </c>
      <c r="J119" s="35">
        <f t="shared" si="52"/>
        <v>256</v>
      </c>
      <c r="K119" s="35">
        <f t="shared" si="52"/>
        <v>368</v>
      </c>
      <c r="L119" s="35">
        <f t="shared" si="52"/>
        <v>465</v>
      </c>
      <c r="M119" s="35">
        <f t="shared" si="52"/>
        <v>108</v>
      </c>
      <c r="N119" s="35">
        <f t="shared" si="52"/>
        <v>280</v>
      </c>
      <c r="O119" s="35">
        <f t="shared" si="52"/>
        <v>421</v>
      </c>
      <c r="P119" s="35">
        <f t="shared" si="52"/>
        <v>543</v>
      </c>
    </row>
    <row r="120" spans="4:22" ht="20.100000000000001" customHeight="1" x14ac:dyDescent="0.25">
      <c r="D120" s="35" t="s">
        <v>67</v>
      </c>
      <c r="E120" s="35" t="str">
        <f t="shared" ref="E120:P120" si="53">E56</f>
        <v>Alice Springs</v>
      </c>
      <c r="F120" s="35" t="str">
        <f t="shared" si="53"/>
        <v>Autumn</v>
      </c>
      <c r="G120" s="35">
        <f t="shared" si="53"/>
        <v>170</v>
      </c>
      <c r="H120" s="35">
        <f t="shared" si="53"/>
        <v>721</v>
      </c>
      <c r="I120" s="35">
        <f t="shared" si="53"/>
        <v>169</v>
      </c>
      <c r="J120" s="35">
        <f t="shared" si="53"/>
        <v>306</v>
      </c>
      <c r="K120" s="35">
        <f t="shared" si="53"/>
        <v>392</v>
      </c>
      <c r="L120" s="35">
        <f t="shared" si="53"/>
        <v>464</v>
      </c>
      <c r="M120" s="35">
        <f t="shared" si="53"/>
        <v>176</v>
      </c>
      <c r="N120" s="35">
        <f t="shared" si="53"/>
        <v>339</v>
      </c>
      <c r="O120" s="35">
        <f t="shared" si="53"/>
        <v>470</v>
      </c>
      <c r="P120" s="35">
        <f t="shared" si="53"/>
        <v>580</v>
      </c>
    </row>
    <row r="121" spans="4:22" ht="20.100000000000001" customHeight="1" x14ac:dyDescent="0.25">
      <c r="D121" s="35" t="s">
        <v>67</v>
      </c>
      <c r="E121" s="35" t="str">
        <f t="shared" ref="E121:P121" si="54">E57</f>
        <v>Alice Springs</v>
      </c>
      <c r="F121" s="35" t="str">
        <f t="shared" si="54"/>
        <v>Winter</v>
      </c>
      <c r="G121" s="35">
        <f t="shared" si="54"/>
        <v>200</v>
      </c>
      <c r="H121" s="35">
        <f t="shared" si="54"/>
        <v>727</v>
      </c>
      <c r="I121" s="35">
        <f t="shared" si="54"/>
        <v>211</v>
      </c>
      <c r="J121" s="35">
        <f t="shared" si="54"/>
        <v>338</v>
      </c>
      <c r="K121" s="35">
        <f t="shared" si="54"/>
        <v>432</v>
      </c>
      <c r="L121" s="35">
        <f t="shared" si="54"/>
        <v>492</v>
      </c>
      <c r="M121" s="35">
        <f t="shared" si="54"/>
        <v>222</v>
      </c>
      <c r="N121" s="35">
        <f t="shared" si="54"/>
        <v>377</v>
      </c>
      <c r="O121" s="35">
        <f t="shared" si="54"/>
        <v>498</v>
      </c>
      <c r="P121" s="35">
        <f t="shared" si="54"/>
        <v>590</v>
      </c>
    </row>
    <row r="122" spans="4:22" ht="20.100000000000001" customHeight="1" x14ac:dyDescent="0.25">
      <c r="D122" s="35" t="s">
        <v>67</v>
      </c>
      <c r="E122" s="35" t="str">
        <f t="shared" ref="E122:P122" si="55">E58</f>
        <v>Barkly</v>
      </c>
      <c r="F122" s="35" t="str">
        <f t="shared" si="55"/>
        <v>Spring</v>
      </c>
      <c r="G122" s="35">
        <f t="shared" si="55"/>
        <v>220</v>
      </c>
      <c r="H122" s="35">
        <f t="shared" si="55"/>
        <v>620</v>
      </c>
      <c r="I122" s="35">
        <f t="shared" si="55"/>
        <v>227</v>
      </c>
      <c r="J122" s="35">
        <f t="shared" si="55"/>
        <v>319</v>
      </c>
      <c r="K122" s="35">
        <f t="shared" si="55"/>
        <v>398</v>
      </c>
      <c r="L122" s="35">
        <f t="shared" si="55"/>
        <v>452</v>
      </c>
      <c r="M122" s="35">
        <f t="shared" si="55"/>
        <v>216</v>
      </c>
      <c r="N122" s="35">
        <f t="shared" si="55"/>
        <v>334</v>
      </c>
      <c r="O122" s="35" t="str">
        <f t="shared" si="55"/>
        <v>NO</v>
      </c>
      <c r="P122" s="35" t="str">
        <f t="shared" si="55"/>
        <v>NO</v>
      </c>
    </row>
    <row r="123" spans="4:22" ht="20.100000000000001" customHeight="1" x14ac:dyDescent="0.25">
      <c r="D123" s="35" t="s">
        <v>67</v>
      </c>
      <c r="E123" s="35" t="str">
        <f t="shared" ref="E123:P123" si="56">E59</f>
        <v>Barkly</v>
      </c>
      <c r="F123" s="35" t="str">
        <f t="shared" si="56"/>
        <v>Summer</v>
      </c>
      <c r="G123" s="35">
        <f t="shared" si="56"/>
        <v>110</v>
      </c>
      <c r="H123" s="35">
        <f t="shared" si="56"/>
        <v>650</v>
      </c>
      <c r="I123" s="35">
        <f t="shared" si="56"/>
        <v>108</v>
      </c>
      <c r="J123" s="35">
        <f t="shared" si="56"/>
        <v>262</v>
      </c>
      <c r="K123" s="35">
        <f t="shared" si="56"/>
        <v>346</v>
      </c>
      <c r="L123" s="35">
        <f t="shared" si="56"/>
        <v>430</v>
      </c>
      <c r="M123" s="35">
        <f t="shared" si="56"/>
        <v>111</v>
      </c>
      <c r="N123" s="35">
        <f t="shared" si="56"/>
        <v>236</v>
      </c>
      <c r="O123" s="35" t="str">
        <f t="shared" si="56"/>
        <v>NO</v>
      </c>
      <c r="P123" s="35" t="str">
        <f t="shared" si="56"/>
        <v>NO</v>
      </c>
    </row>
    <row r="124" spans="4:22" ht="20.100000000000001" customHeight="1" x14ac:dyDescent="0.25">
      <c r="D124" s="35" t="s">
        <v>67</v>
      </c>
      <c r="E124" s="35" t="str">
        <f t="shared" ref="E124:P124" si="57">E60</f>
        <v>Barkly</v>
      </c>
      <c r="F124" s="35" t="str">
        <f t="shared" si="57"/>
        <v>Autumn</v>
      </c>
      <c r="G124" s="35">
        <f t="shared" si="57"/>
        <v>170</v>
      </c>
      <c r="H124" s="35">
        <f t="shared" si="57"/>
        <v>670</v>
      </c>
      <c r="I124" s="35">
        <f t="shared" si="57"/>
        <v>170</v>
      </c>
      <c r="J124" s="35">
        <f t="shared" si="57"/>
        <v>266</v>
      </c>
      <c r="K124" s="35">
        <f t="shared" si="57"/>
        <v>363</v>
      </c>
      <c r="L124" s="35">
        <f t="shared" si="57"/>
        <v>444</v>
      </c>
      <c r="M124" s="35">
        <f t="shared" si="57"/>
        <v>169</v>
      </c>
      <c r="N124" s="35">
        <f t="shared" si="57"/>
        <v>282</v>
      </c>
      <c r="O124" s="35" t="str">
        <f t="shared" si="57"/>
        <v>NO</v>
      </c>
      <c r="P124" s="35" t="str">
        <f t="shared" si="57"/>
        <v>NO</v>
      </c>
    </row>
    <row r="125" spans="4:22" ht="20.100000000000001" customHeight="1" x14ac:dyDescent="0.25">
      <c r="D125" s="35" t="s">
        <v>67</v>
      </c>
      <c r="E125" s="35" t="str">
        <f t="shared" ref="E125:P125" si="58">E61</f>
        <v>Barkly</v>
      </c>
      <c r="F125" s="35" t="str">
        <f t="shared" si="58"/>
        <v>Winter</v>
      </c>
      <c r="G125" s="35">
        <f t="shared" si="58"/>
        <v>200</v>
      </c>
      <c r="H125" s="35">
        <f t="shared" si="58"/>
        <v>660</v>
      </c>
      <c r="I125" s="35">
        <f t="shared" si="58"/>
        <v>225</v>
      </c>
      <c r="J125" s="35">
        <f t="shared" si="58"/>
        <v>307</v>
      </c>
      <c r="K125" s="35">
        <f t="shared" si="58"/>
        <v>398</v>
      </c>
      <c r="L125" s="35">
        <f t="shared" si="58"/>
        <v>452</v>
      </c>
      <c r="M125" s="35">
        <f t="shared" si="58"/>
        <v>214</v>
      </c>
      <c r="N125" s="35">
        <f t="shared" si="58"/>
        <v>326</v>
      </c>
      <c r="O125" s="35" t="str">
        <f t="shared" si="58"/>
        <v>NO</v>
      </c>
      <c r="P125" s="35" t="str">
        <f t="shared" si="58"/>
        <v>NO</v>
      </c>
      <c r="V125" s="1"/>
    </row>
    <row r="126" spans="4:22" ht="20.100000000000001" customHeight="1" x14ac:dyDescent="0.25">
      <c r="D126" s="35" t="s">
        <v>67</v>
      </c>
      <c r="E126" s="35" t="str">
        <f t="shared" ref="E126:P126" si="59">E62</f>
        <v>Northern</v>
      </c>
      <c r="F126" s="35" t="str">
        <f t="shared" si="59"/>
        <v>Spring</v>
      </c>
      <c r="G126" s="35">
        <f t="shared" si="59"/>
        <v>220</v>
      </c>
      <c r="H126" s="35">
        <f t="shared" si="59"/>
        <v>620</v>
      </c>
      <c r="I126" s="35">
        <f t="shared" si="59"/>
        <v>177</v>
      </c>
      <c r="J126" s="35">
        <f t="shared" si="59"/>
        <v>267</v>
      </c>
      <c r="K126" s="35">
        <f t="shared" si="59"/>
        <v>365</v>
      </c>
      <c r="L126" s="35">
        <f t="shared" si="59"/>
        <v>406</v>
      </c>
      <c r="M126" s="35">
        <f t="shared" si="59"/>
        <v>231</v>
      </c>
      <c r="N126" s="35">
        <f t="shared" si="59"/>
        <v>249</v>
      </c>
      <c r="O126" s="35">
        <f t="shared" si="59"/>
        <v>324</v>
      </c>
      <c r="P126" s="35" t="str">
        <f t="shared" si="59"/>
        <v>NO</v>
      </c>
      <c r="V126" s="1"/>
    </row>
    <row r="127" spans="4:22" ht="20.100000000000001" customHeight="1" x14ac:dyDescent="0.25">
      <c r="D127" s="35" t="s">
        <v>67</v>
      </c>
      <c r="E127" s="35" t="str">
        <f t="shared" ref="E127:P127" si="60">E63</f>
        <v>Northern</v>
      </c>
      <c r="F127" s="35" t="str">
        <f t="shared" si="60"/>
        <v>Summer</v>
      </c>
      <c r="G127" s="35">
        <f t="shared" si="60"/>
        <v>110</v>
      </c>
      <c r="H127" s="35">
        <f t="shared" si="60"/>
        <v>650</v>
      </c>
      <c r="I127" s="35">
        <f t="shared" si="60"/>
        <v>102</v>
      </c>
      <c r="J127" s="35">
        <f t="shared" si="60"/>
        <v>203</v>
      </c>
      <c r="K127" s="35">
        <f t="shared" si="60"/>
        <v>299</v>
      </c>
      <c r="L127" s="35">
        <f t="shared" si="60"/>
        <v>380</v>
      </c>
      <c r="M127" s="35">
        <f t="shared" si="60"/>
        <v>102</v>
      </c>
      <c r="N127" s="35">
        <f t="shared" si="60"/>
        <v>218</v>
      </c>
      <c r="O127" s="35">
        <f t="shared" si="60"/>
        <v>263</v>
      </c>
      <c r="P127" s="35" t="str">
        <f t="shared" si="60"/>
        <v>NO</v>
      </c>
      <c r="V127" s="1"/>
    </row>
    <row r="128" spans="4:22" ht="20.100000000000001" customHeight="1" x14ac:dyDescent="0.25">
      <c r="D128" s="35" t="s">
        <v>67</v>
      </c>
      <c r="E128" s="35" t="str">
        <f t="shared" ref="E128:P128" si="61">E64</f>
        <v>Northern</v>
      </c>
      <c r="F128" s="35" t="str">
        <f t="shared" si="61"/>
        <v>Autumn</v>
      </c>
      <c r="G128" s="35">
        <f t="shared" si="61"/>
        <v>170</v>
      </c>
      <c r="H128" s="35">
        <f t="shared" si="61"/>
        <v>670</v>
      </c>
      <c r="I128" s="35">
        <f t="shared" si="61"/>
        <v>173</v>
      </c>
      <c r="J128" s="35">
        <f t="shared" si="61"/>
        <v>250</v>
      </c>
      <c r="K128" s="35">
        <f t="shared" si="61"/>
        <v>336</v>
      </c>
      <c r="L128" s="35">
        <f t="shared" si="61"/>
        <v>414</v>
      </c>
      <c r="M128" s="35">
        <f t="shared" si="61"/>
        <v>175</v>
      </c>
      <c r="N128" s="35">
        <f t="shared" si="61"/>
        <v>243</v>
      </c>
      <c r="O128" s="35">
        <f t="shared" si="61"/>
        <v>304</v>
      </c>
      <c r="P128" s="35" t="str">
        <f t="shared" si="61"/>
        <v>NO</v>
      </c>
      <c r="V128" s="1"/>
    </row>
    <row r="129" spans="4:22" ht="20.100000000000001" customHeight="1" x14ac:dyDescent="0.25">
      <c r="D129" s="35" t="s">
        <v>67</v>
      </c>
      <c r="E129" s="35" t="str">
        <f t="shared" ref="E129:P129" si="62">E65</f>
        <v>Northern</v>
      </c>
      <c r="F129" s="35" t="str">
        <f t="shared" si="62"/>
        <v>Winter</v>
      </c>
      <c r="G129" s="35">
        <f t="shared" si="62"/>
        <v>200</v>
      </c>
      <c r="H129" s="35">
        <f t="shared" si="62"/>
        <v>660</v>
      </c>
      <c r="I129" s="35">
        <f t="shared" si="62"/>
        <v>202</v>
      </c>
      <c r="J129" s="35">
        <f t="shared" si="62"/>
        <v>272</v>
      </c>
      <c r="K129" s="35">
        <f t="shared" si="62"/>
        <v>365</v>
      </c>
      <c r="L129" s="35">
        <f t="shared" si="62"/>
        <v>390</v>
      </c>
      <c r="M129" s="35">
        <f t="shared" si="62"/>
        <v>208</v>
      </c>
      <c r="N129" s="35">
        <f t="shared" si="62"/>
        <v>260</v>
      </c>
      <c r="O129" s="35">
        <f t="shared" si="62"/>
        <v>337</v>
      </c>
      <c r="P129" s="35" t="str">
        <f t="shared" si="62"/>
        <v>NO</v>
      </c>
      <c r="V129" s="1"/>
    </row>
    <row r="130" spans="4:22" ht="20.100000000000001" customHeight="1" x14ac:dyDescent="0.25">
      <c r="D130" s="35" t="s">
        <v>68</v>
      </c>
      <c r="E130" s="35" t="str">
        <f t="shared" ref="E130:P130" si="63">E66</f>
        <v>High</v>
      </c>
      <c r="F130" s="35" t="str">
        <f t="shared" si="63"/>
        <v>Spring</v>
      </c>
      <c r="G130" s="35">
        <f t="shared" si="63"/>
        <v>260</v>
      </c>
      <c r="H130" s="35">
        <f t="shared" si="63"/>
        <v>705</v>
      </c>
      <c r="I130" s="35">
        <f t="shared" si="63"/>
        <v>215</v>
      </c>
      <c r="J130" s="35">
        <f t="shared" si="63"/>
        <v>302</v>
      </c>
      <c r="K130" s="35">
        <f t="shared" si="63"/>
        <v>416</v>
      </c>
      <c r="L130" s="35">
        <f t="shared" si="63"/>
        <v>519</v>
      </c>
      <c r="M130" s="35">
        <f t="shared" si="63"/>
        <v>234</v>
      </c>
      <c r="N130" s="35">
        <f t="shared" si="63"/>
        <v>455</v>
      </c>
      <c r="O130" s="35">
        <f t="shared" si="63"/>
        <v>551</v>
      </c>
      <c r="P130" s="35">
        <f t="shared" si="63"/>
        <v>660</v>
      </c>
      <c r="V130" s="1"/>
    </row>
    <row r="131" spans="4:22" ht="20.100000000000001" customHeight="1" x14ac:dyDescent="0.25">
      <c r="D131" s="35" t="s">
        <v>68</v>
      </c>
      <c r="E131" s="35" t="str">
        <f t="shared" ref="E131:P131" si="64">E67</f>
        <v>High</v>
      </c>
      <c r="F131" s="35" t="str">
        <f t="shared" si="64"/>
        <v>Summer</v>
      </c>
      <c r="G131" s="35">
        <f t="shared" si="64"/>
        <v>153</v>
      </c>
      <c r="H131" s="35">
        <f t="shared" si="64"/>
        <v>703</v>
      </c>
      <c r="I131" s="35">
        <f t="shared" si="64"/>
        <v>118</v>
      </c>
      <c r="J131" s="35">
        <f t="shared" si="64"/>
        <v>277</v>
      </c>
      <c r="K131" s="35">
        <f t="shared" si="64"/>
        <v>397</v>
      </c>
      <c r="L131" s="35">
        <f t="shared" si="64"/>
        <v>483</v>
      </c>
      <c r="M131" s="35">
        <f t="shared" si="64"/>
        <v>111</v>
      </c>
      <c r="N131" s="35">
        <f t="shared" si="64"/>
        <v>304</v>
      </c>
      <c r="O131" s="35">
        <f t="shared" si="64"/>
        <v>521</v>
      </c>
      <c r="P131" s="35">
        <f t="shared" si="64"/>
        <v>547</v>
      </c>
    </row>
    <row r="132" spans="4:22" ht="20.100000000000001" customHeight="1" x14ac:dyDescent="0.25">
      <c r="D132" s="35" t="s">
        <v>68</v>
      </c>
      <c r="E132" s="35" t="str">
        <f t="shared" ref="E132:P132" si="65">E68</f>
        <v>High</v>
      </c>
      <c r="F132" s="35" t="str">
        <f t="shared" si="65"/>
        <v>Autumn</v>
      </c>
      <c r="G132" s="35">
        <f t="shared" si="65"/>
        <v>168</v>
      </c>
      <c r="H132" s="35">
        <f t="shared" si="65"/>
        <v>718</v>
      </c>
      <c r="I132" s="35">
        <f t="shared" si="65"/>
        <v>191</v>
      </c>
      <c r="J132" s="35">
        <f t="shared" si="65"/>
        <v>319</v>
      </c>
      <c r="K132" s="35">
        <f t="shared" si="65"/>
        <v>440</v>
      </c>
      <c r="L132" s="35">
        <f t="shared" si="65"/>
        <v>506</v>
      </c>
      <c r="M132" s="35">
        <f t="shared" si="65"/>
        <v>188</v>
      </c>
      <c r="N132" s="35">
        <f t="shared" si="65"/>
        <v>326</v>
      </c>
      <c r="O132" s="35">
        <f t="shared" si="65"/>
        <v>520</v>
      </c>
      <c r="P132" s="35">
        <f t="shared" si="65"/>
        <v>582</v>
      </c>
    </row>
    <row r="133" spans="4:22" ht="20.100000000000001" customHeight="1" x14ac:dyDescent="0.25">
      <c r="D133" s="35" t="s">
        <v>68</v>
      </c>
      <c r="E133" s="35" t="str">
        <f t="shared" ref="E133:P133" si="66">E69</f>
        <v>High</v>
      </c>
      <c r="F133" s="35" t="str">
        <f t="shared" si="66"/>
        <v>Winter</v>
      </c>
      <c r="G133" s="35">
        <f t="shared" si="66"/>
        <v>235</v>
      </c>
      <c r="H133" s="35">
        <f t="shared" si="66"/>
        <v>722</v>
      </c>
      <c r="I133" s="35">
        <f t="shared" si="66"/>
        <v>207</v>
      </c>
      <c r="J133" s="35">
        <f t="shared" si="66"/>
        <v>352</v>
      </c>
      <c r="K133" s="35">
        <f t="shared" si="66"/>
        <v>470</v>
      </c>
      <c r="L133" s="35">
        <f t="shared" si="66"/>
        <v>514</v>
      </c>
      <c r="M133" s="35">
        <f t="shared" si="66"/>
        <v>209</v>
      </c>
      <c r="N133" s="35">
        <f t="shared" si="66"/>
        <v>421</v>
      </c>
      <c r="O133" s="35">
        <f t="shared" si="66"/>
        <v>512</v>
      </c>
      <c r="P133" s="35">
        <f t="shared" si="66"/>
        <v>605</v>
      </c>
    </row>
    <row r="134" spans="4:22" ht="20.100000000000001" customHeight="1" x14ac:dyDescent="0.25">
      <c r="D134" s="35" t="s">
        <v>68</v>
      </c>
      <c r="E134" s="35" t="str">
        <f t="shared" ref="E134:P134" si="67">E70</f>
        <v>Moderate/High</v>
      </c>
      <c r="F134" s="35" t="str">
        <f t="shared" si="67"/>
        <v>Spring</v>
      </c>
      <c r="G134" s="35">
        <f t="shared" si="67"/>
        <v>230</v>
      </c>
      <c r="H134" s="35">
        <f t="shared" si="67"/>
        <v>674</v>
      </c>
      <c r="I134" s="35">
        <f t="shared" si="67"/>
        <v>217</v>
      </c>
      <c r="J134" s="35">
        <f t="shared" si="67"/>
        <v>344</v>
      </c>
      <c r="K134" s="35">
        <f t="shared" si="67"/>
        <v>357</v>
      </c>
      <c r="L134" s="35">
        <f t="shared" si="67"/>
        <v>467</v>
      </c>
      <c r="M134" s="35">
        <f t="shared" si="67"/>
        <v>242</v>
      </c>
      <c r="N134" s="35">
        <f t="shared" si="67"/>
        <v>370</v>
      </c>
      <c r="O134" s="35">
        <f t="shared" si="67"/>
        <v>550</v>
      </c>
      <c r="P134" s="35">
        <f t="shared" si="67"/>
        <v>620</v>
      </c>
    </row>
    <row r="135" spans="4:22" ht="20.100000000000001" customHeight="1" x14ac:dyDescent="0.25">
      <c r="D135" s="35" t="s">
        <v>68</v>
      </c>
      <c r="E135" s="35" t="str">
        <f t="shared" ref="E135:P135" si="68">E71</f>
        <v>Moderate/High</v>
      </c>
      <c r="F135" s="35" t="str">
        <f t="shared" si="68"/>
        <v>Summer</v>
      </c>
      <c r="G135" s="35">
        <f t="shared" si="68"/>
        <v>113</v>
      </c>
      <c r="H135" s="35">
        <f t="shared" si="68"/>
        <v>669</v>
      </c>
      <c r="I135" s="35">
        <f t="shared" si="68"/>
        <v>113</v>
      </c>
      <c r="J135" s="35">
        <f t="shared" si="68"/>
        <v>283</v>
      </c>
      <c r="K135" s="35">
        <f t="shared" si="68"/>
        <v>361</v>
      </c>
      <c r="L135" s="35">
        <f t="shared" si="68"/>
        <v>477</v>
      </c>
      <c r="M135" s="35">
        <f t="shared" si="68"/>
        <v>120</v>
      </c>
      <c r="N135" s="35">
        <f t="shared" si="68"/>
        <v>273</v>
      </c>
      <c r="O135" s="35">
        <f t="shared" si="68"/>
        <v>545</v>
      </c>
      <c r="P135" s="35">
        <f t="shared" si="68"/>
        <v>553</v>
      </c>
    </row>
    <row r="136" spans="4:22" ht="20.100000000000001" customHeight="1" x14ac:dyDescent="0.25">
      <c r="D136" s="35" t="s">
        <v>68</v>
      </c>
      <c r="E136" s="35" t="str">
        <f t="shared" ref="E136:P136" si="69">E72</f>
        <v>Moderate/High</v>
      </c>
      <c r="F136" s="35" t="str">
        <f t="shared" si="69"/>
        <v>Autumn</v>
      </c>
      <c r="G136" s="35">
        <f t="shared" si="69"/>
        <v>172</v>
      </c>
      <c r="H136" s="35">
        <f t="shared" si="69"/>
        <v>685</v>
      </c>
      <c r="I136" s="35">
        <f t="shared" si="69"/>
        <v>172</v>
      </c>
      <c r="J136" s="35">
        <f t="shared" si="69"/>
        <v>309</v>
      </c>
      <c r="K136" s="35">
        <f t="shared" si="69"/>
        <v>376</v>
      </c>
      <c r="L136" s="35">
        <f t="shared" si="69"/>
        <v>471</v>
      </c>
      <c r="M136" s="35">
        <f t="shared" si="69"/>
        <v>238</v>
      </c>
      <c r="N136" s="35">
        <f t="shared" si="69"/>
        <v>329</v>
      </c>
      <c r="O136" s="35">
        <f t="shared" si="69"/>
        <v>573</v>
      </c>
      <c r="P136" s="35">
        <f t="shared" si="69"/>
        <v>620</v>
      </c>
    </row>
    <row r="137" spans="4:22" ht="20.100000000000001" customHeight="1" x14ac:dyDescent="0.25">
      <c r="D137" s="35" t="s">
        <v>68</v>
      </c>
      <c r="E137" s="35" t="str">
        <f t="shared" ref="E137:P137" si="70">E73</f>
        <v>Moderate/High</v>
      </c>
      <c r="F137" s="35" t="str">
        <f t="shared" si="70"/>
        <v>Winter</v>
      </c>
      <c r="G137" s="35">
        <f t="shared" si="70"/>
        <v>241</v>
      </c>
      <c r="H137" s="35">
        <f t="shared" si="70"/>
        <v>692</v>
      </c>
      <c r="I137" s="35">
        <f t="shared" si="70"/>
        <v>208</v>
      </c>
      <c r="J137" s="35">
        <f t="shared" si="70"/>
        <v>344</v>
      </c>
      <c r="K137" s="35">
        <f t="shared" si="70"/>
        <v>364</v>
      </c>
      <c r="L137" s="35">
        <f t="shared" si="70"/>
        <v>484</v>
      </c>
      <c r="M137" s="35">
        <f t="shared" si="70"/>
        <v>260</v>
      </c>
      <c r="N137" s="35">
        <f t="shared" si="70"/>
        <v>350</v>
      </c>
      <c r="O137" s="35">
        <f t="shared" si="70"/>
        <v>567</v>
      </c>
      <c r="P137" s="35">
        <f t="shared" si="70"/>
        <v>620</v>
      </c>
    </row>
    <row r="138" spans="4:22" ht="20.100000000000001" customHeight="1" x14ac:dyDescent="0.25">
      <c r="D138" s="35" t="s">
        <v>68</v>
      </c>
      <c r="E138" s="35" t="str">
        <f t="shared" ref="E138:P138" si="71">E74</f>
        <v>Moderate/Low</v>
      </c>
      <c r="F138" s="35" t="str">
        <f t="shared" si="71"/>
        <v>Spring</v>
      </c>
      <c r="G138" s="35">
        <f t="shared" si="71"/>
        <v>236</v>
      </c>
      <c r="H138" s="35">
        <f t="shared" si="71"/>
        <v>674</v>
      </c>
      <c r="I138" s="35">
        <f t="shared" si="71"/>
        <v>178</v>
      </c>
      <c r="J138" s="35">
        <f t="shared" si="71"/>
        <v>310</v>
      </c>
      <c r="K138" s="35">
        <f t="shared" si="71"/>
        <v>428</v>
      </c>
      <c r="L138" s="35">
        <f t="shared" si="71"/>
        <v>466</v>
      </c>
      <c r="M138" s="35">
        <f t="shared" si="71"/>
        <v>193</v>
      </c>
      <c r="N138" s="35">
        <f t="shared" si="71"/>
        <v>370</v>
      </c>
      <c r="O138" s="35">
        <f t="shared" si="71"/>
        <v>519</v>
      </c>
      <c r="P138" s="35">
        <f t="shared" si="71"/>
        <v>565</v>
      </c>
    </row>
    <row r="139" spans="4:22" ht="20.100000000000001" customHeight="1" x14ac:dyDescent="0.25">
      <c r="D139" s="35" t="s">
        <v>68</v>
      </c>
      <c r="E139" s="35" t="str">
        <f t="shared" ref="E139:P139" si="72">E75</f>
        <v>Moderate/Low</v>
      </c>
      <c r="F139" s="35" t="str">
        <f t="shared" si="72"/>
        <v>Summer</v>
      </c>
      <c r="G139" s="35">
        <f t="shared" si="72"/>
        <v>120</v>
      </c>
      <c r="H139" s="35">
        <f t="shared" si="72"/>
        <v>669</v>
      </c>
      <c r="I139" s="35">
        <f t="shared" si="72"/>
        <v>112</v>
      </c>
      <c r="J139" s="35">
        <f t="shared" si="72"/>
        <v>250</v>
      </c>
      <c r="K139" s="35">
        <f t="shared" si="72"/>
        <v>390</v>
      </c>
      <c r="L139" s="35">
        <f t="shared" si="72"/>
        <v>448</v>
      </c>
      <c r="M139" s="35">
        <f t="shared" si="72"/>
        <v>115</v>
      </c>
      <c r="N139" s="35">
        <f t="shared" si="72"/>
        <v>273</v>
      </c>
      <c r="O139" s="35">
        <f t="shared" si="72"/>
        <v>433</v>
      </c>
      <c r="P139" s="35">
        <f t="shared" si="72"/>
        <v>556</v>
      </c>
    </row>
    <row r="140" spans="4:22" ht="20.100000000000001" customHeight="1" x14ac:dyDescent="0.25">
      <c r="D140" s="35" t="s">
        <v>68</v>
      </c>
      <c r="E140" s="35" t="str">
        <f t="shared" ref="E140:P140" si="73">E76</f>
        <v>Moderate/Low</v>
      </c>
      <c r="F140" s="35" t="str">
        <f t="shared" si="73"/>
        <v>Autumn</v>
      </c>
      <c r="G140" s="35">
        <f t="shared" si="73"/>
        <v>125</v>
      </c>
      <c r="H140" s="35">
        <f t="shared" si="73"/>
        <v>685</v>
      </c>
      <c r="I140" s="35">
        <f t="shared" si="73"/>
        <v>140</v>
      </c>
      <c r="J140" s="35">
        <f t="shared" si="73"/>
        <v>277</v>
      </c>
      <c r="K140" s="35">
        <f t="shared" si="73"/>
        <v>407</v>
      </c>
      <c r="L140" s="35">
        <f t="shared" si="73"/>
        <v>455</v>
      </c>
      <c r="M140" s="35">
        <f t="shared" si="73"/>
        <v>141</v>
      </c>
      <c r="N140" s="35">
        <f t="shared" si="73"/>
        <v>296</v>
      </c>
      <c r="O140" s="35">
        <f t="shared" si="73"/>
        <v>445</v>
      </c>
      <c r="P140" s="35">
        <f t="shared" si="73"/>
        <v>593</v>
      </c>
    </row>
    <row r="141" spans="4:22" ht="20.100000000000001" customHeight="1" x14ac:dyDescent="0.25">
      <c r="D141" s="35" t="s">
        <v>68</v>
      </c>
      <c r="E141" s="35" t="str">
        <f t="shared" ref="E141:P141" si="74">E77</f>
        <v>Moderate/Low</v>
      </c>
      <c r="F141" s="35" t="str">
        <f t="shared" si="74"/>
        <v>Winter</v>
      </c>
      <c r="G141" s="35">
        <f t="shared" si="74"/>
        <v>180</v>
      </c>
      <c r="H141" s="35">
        <f t="shared" si="74"/>
        <v>692</v>
      </c>
      <c r="I141" s="35">
        <f t="shared" si="74"/>
        <v>183</v>
      </c>
      <c r="J141" s="35">
        <f t="shared" si="74"/>
        <v>316</v>
      </c>
      <c r="K141" s="35">
        <f t="shared" si="74"/>
        <v>438</v>
      </c>
      <c r="L141" s="35">
        <f t="shared" si="74"/>
        <v>468</v>
      </c>
      <c r="M141" s="35">
        <f t="shared" si="74"/>
        <v>189</v>
      </c>
      <c r="N141" s="35">
        <f t="shared" si="74"/>
        <v>354</v>
      </c>
      <c r="O141" s="35">
        <f t="shared" si="74"/>
        <v>500</v>
      </c>
      <c r="P141" s="35">
        <f t="shared" si="74"/>
        <v>553</v>
      </c>
    </row>
    <row r="142" spans="4:22" ht="20.100000000000001" customHeight="1" x14ac:dyDescent="0.25">
      <c r="D142" s="35" t="s">
        <v>68</v>
      </c>
      <c r="E142" s="35" t="str">
        <f t="shared" ref="E142:P142" si="75">E78</f>
        <v>Low</v>
      </c>
      <c r="F142" s="35" t="str">
        <f t="shared" si="75"/>
        <v>Spring</v>
      </c>
      <c r="G142" s="35">
        <f t="shared" si="75"/>
        <v>190</v>
      </c>
      <c r="H142" s="35">
        <f t="shared" si="75"/>
        <v>617</v>
      </c>
      <c r="I142" s="35">
        <f t="shared" si="75"/>
        <v>174</v>
      </c>
      <c r="J142" s="35">
        <f t="shared" si="75"/>
        <v>265</v>
      </c>
      <c r="K142" s="35">
        <f t="shared" si="75"/>
        <v>371</v>
      </c>
      <c r="L142" s="35">
        <f t="shared" si="75"/>
        <v>415</v>
      </c>
      <c r="M142" s="35">
        <f t="shared" si="75"/>
        <v>170</v>
      </c>
      <c r="N142" s="35">
        <f t="shared" si="75"/>
        <v>272</v>
      </c>
      <c r="O142" s="35">
        <f t="shared" si="75"/>
        <v>392</v>
      </c>
      <c r="P142" s="35">
        <f t="shared" si="75"/>
        <v>531</v>
      </c>
    </row>
    <row r="143" spans="4:22" ht="20.100000000000001" customHeight="1" x14ac:dyDescent="0.25">
      <c r="D143" s="35" t="s">
        <v>68</v>
      </c>
      <c r="E143" s="35" t="str">
        <f t="shared" ref="E143:P143" si="76">E79</f>
        <v>Low</v>
      </c>
      <c r="F143" s="35" t="str">
        <f t="shared" si="76"/>
        <v>Summer</v>
      </c>
      <c r="G143" s="35">
        <f t="shared" si="76"/>
        <v>119</v>
      </c>
      <c r="H143" s="35">
        <f t="shared" si="76"/>
        <v>591</v>
      </c>
      <c r="I143" s="35">
        <f t="shared" si="76"/>
        <v>140</v>
      </c>
      <c r="J143" s="35">
        <f t="shared" si="76"/>
        <v>205</v>
      </c>
      <c r="K143" s="35">
        <f t="shared" si="76"/>
        <v>310</v>
      </c>
      <c r="L143" s="35">
        <f t="shared" si="76"/>
        <v>405</v>
      </c>
      <c r="M143" s="35">
        <f t="shared" si="76"/>
        <v>133</v>
      </c>
      <c r="N143" s="35">
        <f t="shared" si="76"/>
        <v>218</v>
      </c>
      <c r="O143" s="35">
        <f t="shared" si="76"/>
        <v>315</v>
      </c>
      <c r="P143" s="35">
        <f t="shared" si="76"/>
        <v>445</v>
      </c>
    </row>
    <row r="144" spans="4:22" ht="20.100000000000001" customHeight="1" x14ac:dyDescent="0.25">
      <c r="D144" s="35" t="s">
        <v>68</v>
      </c>
      <c r="E144" s="35" t="str">
        <f t="shared" ref="E144:P144" si="77">E80</f>
        <v>Low</v>
      </c>
      <c r="F144" s="35" t="str">
        <f t="shared" si="77"/>
        <v>Autumn</v>
      </c>
      <c r="G144" s="35">
        <f t="shared" si="77"/>
        <v>175</v>
      </c>
      <c r="H144" s="35">
        <f t="shared" si="77"/>
        <v>610</v>
      </c>
      <c r="I144" s="35">
        <f t="shared" si="77"/>
        <v>163</v>
      </c>
      <c r="J144" s="35">
        <f t="shared" si="77"/>
        <v>232</v>
      </c>
      <c r="K144" s="35">
        <f t="shared" si="77"/>
        <v>351</v>
      </c>
      <c r="L144" s="35">
        <f t="shared" si="77"/>
        <v>427</v>
      </c>
      <c r="M144" s="35">
        <f t="shared" si="77"/>
        <v>146</v>
      </c>
      <c r="N144" s="35">
        <f t="shared" si="77"/>
        <v>242</v>
      </c>
      <c r="O144" s="35">
        <f t="shared" si="77"/>
        <v>320</v>
      </c>
      <c r="P144" s="35">
        <f t="shared" si="77"/>
        <v>471</v>
      </c>
    </row>
    <row r="145" spans="4:16" ht="20.100000000000001" customHeight="1" x14ac:dyDescent="0.25">
      <c r="D145" s="35" t="s">
        <v>68</v>
      </c>
      <c r="E145" s="35" t="str">
        <f t="shared" ref="E145:P145" si="78">E81</f>
        <v>Low</v>
      </c>
      <c r="F145" s="35" t="str">
        <f t="shared" si="78"/>
        <v>Winter</v>
      </c>
      <c r="G145" s="35">
        <f t="shared" si="78"/>
        <v>192</v>
      </c>
      <c r="H145" s="35">
        <f t="shared" si="78"/>
        <v>615</v>
      </c>
      <c r="I145" s="35">
        <f t="shared" si="78"/>
        <v>162</v>
      </c>
      <c r="J145" s="35">
        <f t="shared" si="78"/>
        <v>255</v>
      </c>
      <c r="K145" s="35">
        <f t="shared" si="78"/>
        <v>364</v>
      </c>
      <c r="L145" s="35">
        <f t="shared" si="78"/>
        <v>420</v>
      </c>
      <c r="M145" s="35">
        <f t="shared" si="78"/>
        <v>157</v>
      </c>
      <c r="N145" s="35">
        <f t="shared" si="78"/>
        <v>261</v>
      </c>
      <c r="O145" s="35">
        <f t="shared" si="78"/>
        <v>342</v>
      </c>
      <c r="P145" s="35">
        <f t="shared" si="78"/>
        <v>484</v>
      </c>
    </row>
    <row r="146" spans="4:16" ht="20.100000000000001" customHeight="1" x14ac:dyDescent="0.25">
      <c r="D146" s="1" t="s">
        <v>266</v>
      </c>
      <c r="E146" s="1" t="s">
        <v>163</v>
      </c>
      <c r="F146" s="1" t="str">
        <f>F142</f>
        <v>Spring</v>
      </c>
      <c r="G146" s="1">
        <f t="shared" ref="G146:P146" si="79">AVERAGE(G86,G90,G94,G98,G102,G106,G110,G114,G118,G122,G126,G130,G134,G138,G142)</f>
        <v>198.73333333333332</v>
      </c>
      <c r="H146" s="1">
        <f t="shared" si="79"/>
        <v>643.06666666666672</v>
      </c>
      <c r="I146" s="1">
        <f t="shared" si="79"/>
        <v>173.4</v>
      </c>
      <c r="J146" s="1">
        <f t="shared" si="79"/>
        <v>321.33333333333331</v>
      </c>
      <c r="K146" s="1">
        <f t="shared" si="79"/>
        <v>426</v>
      </c>
      <c r="L146" s="1">
        <f t="shared" si="79"/>
        <v>455.46666666666664</v>
      </c>
      <c r="M146" s="1">
        <f t="shared" si="79"/>
        <v>187.26666666666668</v>
      </c>
      <c r="N146" s="1">
        <f t="shared" si="79"/>
        <v>385.4</v>
      </c>
      <c r="O146" s="1">
        <f t="shared" si="79"/>
        <v>442.07142857142856</v>
      </c>
      <c r="P146" s="1">
        <f t="shared" si="79"/>
        <v>486.23076923076923</v>
      </c>
    </row>
    <row r="147" spans="4:16" ht="20.100000000000001" customHeight="1" x14ac:dyDescent="0.25">
      <c r="D147" s="1" t="s">
        <v>266</v>
      </c>
      <c r="E147" s="1" t="s">
        <v>163</v>
      </c>
      <c r="F147" s="1" t="str">
        <f>F143</f>
        <v>Summer</v>
      </c>
      <c r="G147" s="1">
        <f t="shared" ref="G147:P147" si="80">AVERAGE(G87,G91,G95,G99,G103,G107,G111,G115,G119,G123,G127,G131,G135,G139,G143)</f>
        <v>193</v>
      </c>
      <c r="H147" s="1">
        <f t="shared" si="80"/>
        <v>660.33333333333337</v>
      </c>
      <c r="I147" s="1">
        <f t="shared" si="80"/>
        <v>156.33333333333334</v>
      </c>
      <c r="J147" s="1">
        <f t="shared" si="80"/>
        <v>309.73333333333335</v>
      </c>
      <c r="K147" s="1">
        <f t="shared" si="80"/>
        <v>417.4</v>
      </c>
      <c r="L147" s="1">
        <f t="shared" si="80"/>
        <v>458.53333333333336</v>
      </c>
      <c r="M147" s="1">
        <f t="shared" si="80"/>
        <v>162</v>
      </c>
      <c r="N147" s="1">
        <f t="shared" si="80"/>
        <v>353.46666666666664</v>
      </c>
      <c r="O147" s="1">
        <f t="shared" si="80"/>
        <v>428.42857142857144</v>
      </c>
      <c r="P147" s="1">
        <f t="shared" si="80"/>
        <v>472.61538461538464</v>
      </c>
    </row>
    <row r="148" spans="4:16" ht="20.100000000000001" customHeight="1" x14ac:dyDescent="0.25">
      <c r="D148" s="1" t="s">
        <v>266</v>
      </c>
      <c r="E148" s="1" t="s">
        <v>163</v>
      </c>
      <c r="F148" s="1" t="str">
        <f>F144</f>
        <v>Autumn</v>
      </c>
      <c r="G148" s="1">
        <f t="shared" ref="G148:P148" si="81">AVERAGE(G88,G92,G96,G100,G104,G108,G112,G116,G120,G124,G128,G132,G136,G140,G144)</f>
        <v>170.66666666666666</v>
      </c>
      <c r="H148" s="1">
        <f t="shared" si="81"/>
        <v>654.26666666666665</v>
      </c>
      <c r="I148" s="1">
        <f t="shared" si="81"/>
        <v>161.53333333333333</v>
      </c>
      <c r="J148" s="1">
        <f t="shared" si="81"/>
        <v>307.93333333333334</v>
      </c>
      <c r="K148" s="1">
        <f t="shared" si="81"/>
        <v>419.66666666666669</v>
      </c>
      <c r="L148" s="1">
        <f t="shared" si="81"/>
        <v>454.06666666666666</v>
      </c>
      <c r="M148" s="1">
        <f t="shared" si="81"/>
        <v>169.86666666666667</v>
      </c>
      <c r="N148" s="1">
        <f t="shared" si="81"/>
        <v>363.13333333333333</v>
      </c>
      <c r="O148" s="1">
        <f t="shared" si="81"/>
        <v>430.14285714285717</v>
      </c>
      <c r="P148" s="1">
        <f t="shared" si="81"/>
        <v>479.69230769230768</v>
      </c>
    </row>
    <row r="149" spans="4:16" ht="20.100000000000001" customHeight="1" x14ac:dyDescent="0.25">
      <c r="D149" s="1" t="s">
        <v>266</v>
      </c>
      <c r="E149" s="1" t="s">
        <v>163</v>
      </c>
      <c r="F149" s="1" t="str">
        <f>F145</f>
        <v>Winter</v>
      </c>
      <c r="G149" s="1">
        <f t="shared" ref="G149:P149" si="82">AVERAGE(G89,G93,G97,G101,G105,G109,G113,G117,G121,G125,G129,G133,G137,G141,G145)</f>
        <v>214.53333333333333</v>
      </c>
      <c r="H149" s="1">
        <f t="shared" si="82"/>
        <v>650.5333333333333</v>
      </c>
      <c r="I149" s="1">
        <f t="shared" si="82"/>
        <v>196.53333333333333</v>
      </c>
      <c r="J149" s="1">
        <f t="shared" si="82"/>
        <v>333.6</v>
      </c>
      <c r="K149" s="1">
        <f t="shared" si="82"/>
        <v>427.4</v>
      </c>
      <c r="L149" s="1">
        <f t="shared" si="82"/>
        <v>453.33333333333331</v>
      </c>
      <c r="M149" s="1">
        <f t="shared" si="82"/>
        <v>207.26666666666668</v>
      </c>
      <c r="N149" s="1">
        <f t="shared" si="82"/>
        <v>381.93333333333334</v>
      </c>
      <c r="O149" s="1">
        <f t="shared" si="82"/>
        <v>438.28571428571428</v>
      </c>
      <c r="P149" s="1">
        <f t="shared" si="82"/>
        <v>479.38461538461536</v>
      </c>
    </row>
    <row r="150" spans="4:16" ht="20.100000000000001" customHeight="1" x14ac:dyDescent="0.25">
      <c r="D150" s="6" t="str" cm="1">
        <f t="array" ref="D150">SourceData_PastureBeef.SourceData_PastureBeef_LiveweightGain_Title()</f>
        <v>Beef pasture cattle - Liveweight gain (kg) (LWGjkl)</v>
      </c>
      <c r="M150" s="1"/>
    </row>
    <row r="151" spans="4:16" ht="20.100000000000001" customHeight="1" x14ac:dyDescent="0.25">
      <c r="D151" s="5" t="str" cm="1">
        <f t="array" ref="D151">SourceData_PastureBeef.SourceData_PastureBeef_LiveweightGain_Source()</f>
        <v>VEERG 2026: Table A.1.2.3</v>
      </c>
      <c r="M151" s="1"/>
    </row>
    <row r="152" spans="4:16" ht="20.100000000000001" customHeight="1" x14ac:dyDescent="0.25">
      <c r="D152" s="1" t="str" cm="1">
        <f t="array" ref="D152">SourceData_PastureBeef.SourceData_PastureBeef_LiveweightGain_Variable()</f>
        <v>LWGjkl</v>
      </c>
      <c r="M152" s="1"/>
    </row>
    <row r="153" spans="4:16" ht="20.100000000000001" customHeight="1" x14ac:dyDescent="0.25">
      <c r="D153" s="51" t="str" cm="1">
        <f t="array" ref="D153">SourceData_PastureBeef.SourceData_PastureBeef_LiveweightGain_Unit()</f>
        <v>kg</v>
      </c>
      <c r="M153" s="1"/>
    </row>
    <row r="154" spans="4:16" ht="20.100000000000001" customHeight="1" x14ac:dyDescent="0.25">
      <c r="D154" s="35" t="s">
        <v>5</v>
      </c>
      <c r="E154" s="35" t="s">
        <v>144</v>
      </c>
      <c r="F154" s="35" t="s">
        <v>145</v>
      </c>
      <c r="G154" s="35" t="s">
        <v>164</v>
      </c>
      <c r="H154" s="35" t="s">
        <v>153</v>
      </c>
      <c r="I154" s="35" t="s">
        <v>185</v>
      </c>
      <c r="J154" s="35" t="s">
        <v>149</v>
      </c>
      <c r="K154" s="35" t="s">
        <v>186</v>
      </c>
      <c r="L154" s="35" t="s">
        <v>158</v>
      </c>
      <c r="M154" s="35" t="s">
        <v>187</v>
      </c>
    </row>
    <row r="155" spans="4:16" ht="20.100000000000001" customHeight="1" x14ac:dyDescent="0.25">
      <c r="D155" s="35" t="str" cm="1">
        <f t="array" ref="D155">Common_InputFunctions.Utility_DisplayArrayInTable(SourceData_PastureBeef.SourceData_PastureBeef_LiveweightGain_Data(), Table_SourceData_PastureBeef_LiveweightGain[[#Headers],[State]],0)</f>
        <v>ACT/NSW</v>
      </c>
      <c r="E155" s="35" t="str" cm="1">
        <f t="array" ref="E155">Common_InputFunctions.Utility_DisplayArrayInTable(SourceData_PastureBeef.SourceData_PastureBeef_LiveweightGain_Data(), Table_SourceData_PastureBeef_LiveweightGain[[#Headers],[State]],0)</f>
        <v>n/a</v>
      </c>
      <c r="F155" s="35" t="str" cm="1">
        <f t="array" ref="F155">Common_InputFunctions.Utility_DisplayArrayInTable(SourceData_PastureBeef.SourceData_PastureBeef_LiveweightGain_Data(), Table_SourceData_PastureBeef_LiveweightGain[[#Headers],[State]],0)</f>
        <v>Spring</v>
      </c>
      <c r="G155" s="35" cm="1">
        <f t="array" ref="G155">Common_InputFunctions.Utility_DisplayArrayInTable(SourceData_PastureBeef.SourceData_PastureBeef_LiveweightGain_Data(), Table_SourceData_PastureBeef_LiveweightGain[[#Headers],[State]],0)</f>
        <v>0.5</v>
      </c>
      <c r="H155" s="35" cm="1">
        <f t="array" ref="H155">Common_InputFunctions.Utility_DisplayArrayInTable(SourceData_PastureBeef.SourceData_PastureBeef_LiveweightGain_Data(), Table_SourceData_PastureBeef_LiveweightGain[[#Headers],[State]],0)</f>
        <v>0.2</v>
      </c>
      <c r="I155" s="35" cm="1">
        <f t="array" ref="I155">Common_InputFunctions.Utility_DisplayArrayInTable(SourceData_PastureBeef.SourceData_PastureBeef_LiveweightGain_Data(), Table_SourceData_PastureBeef_LiveweightGain[[#Headers],[State]],0)</f>
        <v>0.5</v>
      </c>
      <c r="J155" s="35" cm="1">
        <f t="array" ref="J155">Common_InputFunctions.Utility_DisplayArrayInTable(SourceData_PastureBeef.SourceData_PastureBeef_LiveweightGain_Data(), Table_SourceData_PastureBeef_LiveweightGain[[#Headers],[State]],0)</f>
        <v>0.4</v>
      </c>
      <c r="K155" s="35" cm="1">
        <f t="array" ref="K155">Common_InputFunctions.Utility_DisplayArrayInTable(SourceData_PastureBeef.SourceData_PastureBeef_LiveweightGain_Data(), Table_SourceData_PastureBeef_LiveweightGain[[#Headers],[State]],0)</f>
        <v>0.3</v>
      </c>
      <c r="L155" s="35" cm="1">
        <f t="array" ref="L155">Common_InputFunctions.Utility_DisplayArrayInTable(SourceData_PastureBeef.SourceData_PastureBeef_LiveweightGain_Data(), Table_SourceData_PastureBeef_LiveweightGain[[#Headers],[State]],0)</f>
        <v>0.5</v>
      </c>
      <c r="M155" s="35" cm="1">
        <f t="array" ref="M155">Common_InputFunctions.Utility_DisplayArrayInTable(SourceData_PastureBeef.SourceData_PastureBeef_LiveweightGain_Data(), Table_SourceData_PastureBeef_LiveweightGain[[#Headers],[State]],0)</f>
        <v>0.4</v>
      </c>
    </row>
    <row r="156" spans="4:16" ht="20.100000000000001" customHeight="1" x14ac:dyDescent="0.25">
      <c r="D156" s="1" t="str" cm="1">
        <f t="array" ref="D156">Common_InputFunctions.Utility_DisplayArrayInTable(SourceData_PastureBeef.SourceData_PastureBeef_LiveweightGain_Data(), Table_SourceData_PastureBeef_LiveweightGain[[#Headers],[State]],0)</f>
        <v>ACT/NSW</v>
      </c>
      <c r="E156" s="35" t="str" cm="1">
        <f t="array" ref="E156">Common_InputFunctions.Utility_DisplayArrayInTable(SourceData_PastureBeef.SourceData_PastureBeef_LiveweightGain_Data(), Table_SourceData_PastureBeef_LiveweightGain[[#Headers],[State]],0)</f>
        <v>n/a</v>
      </c>
      <c r="F156" s="35" t="str" cm="1">
        <f t="array" ref="F156">Common_InputFunctions.Utility_DisplayArrayInTable(SourceData_PastureBeef.SourceData_PastureBeef_LiveweightGain_Data(), Table_SourceData_PastureBeef_LiveweightGain[[#Headers],[State]],0)</f>
        <v>Summer</v>
      </c>
      <c r="G156" s="35" cm="1">
        <f t="array" ref="G156">Common_InputFunctions.Utility_DisplayArrayInTable(SourceData_PastureBeef.SourceData_PastureBeef_LiveweightGain_Data(), Table_SourceData_PastureBeef_LiveweightGain[[#Headers],[State]],0)</f>
        <v>1</v>
      </c>
      <c r="H156" s="35" cm="1">
        <f t="array" ref="H156">Common_InputFunctions.Utility_DisplayArrayInTable(SourceData_PastureBeef.SourceData_PastureBeef_LiveweightGain_Data(), Table_SourceData_PastureBeef_LiveweightGain[[#Headers],[State]],0)</f>
        <v>0.4</v>
      </c>
      <c r="I156" s="35" cm="1">
        <f t="array" ref="I156">Common_InputFunctions.Utility_DisplayArrayInTable(SourceData_PastureBeef.SourceData_PastureBeef_LiveweightGain_Data(), Table_SourceData_PastureBeef_LiveweightGain[[#Headers],[State]],0)</f>
        <v>0.9</v>
      </c>
      <c r="J156" s="35" cm="1">
        <f t="array" ref="J156">Common_InputFunctions.Utility_DisplayArrayInTable(SourceData_PastureBeef.SourceData_PastureBeef_LiveweightGain_Data(), Table_SourceData_PastureBeef_LiveweightGain[[#Headers],[State]],0)</f>
        <v>0.7</v>
      </c>
      <c r="K156" s="35" cm="1">
        <f t="array" ref="K156">Common_InputFunctions.Utility_DisplayArrayInTable(SourceData_PastureBeef.SourceData_PastureBeef_LiveweightGain_Data(), Table_SourceData_PastureBeef_LiveweightGain[[#Headers],[State]],0)</f>
        <v>0.3</v>
      </c>
      <c r="L156" s="35" cm="1">
        <f t="array" ref="L156">Common_InputFunctions.Utility_DisplayArrayInTable(SourceData_PastureBeef.SourceData_PastureBeef_LiveweightGain_Data(), Table_SourceData_PastureBeef_LiveweightGain[[#Headers],[State]],0)</f>
        <v>0.9</v>
      </c>
      <c r="M156" s="35" cm="1">
        <f t="array" ref="M156">Common_InputFunctions.Utility_DisplayArrayInTable(SourceData_PastureBeef.SourceData_PastureBeef_LiveweightGain_Data(), Table_SourceData_PastureBeef_LiveweightGain[[#Headers],[State]],0)</f>
        <v>0.4</v>
      </c>
    </row>
    <row r="157" spans="4:16" ht="20.100000000000001" customHeight="1" x14ac:dyDescent="0.25">
      <c r="D157" s="1" t="str" cm="1">
        <f t="array" ref="D157">Common_InputFunctions.Utility_DisplayArrayInTable(SourceData_PastureBeef.SourceData_PastureBeef_LiveweightGain_Data(), Table_SourceData_PastureBeef_LiveweightGain[[#Headers],[State]],0)</f>
        <v>ACT/NSW</v>
      </c>
      <c r="E157" s="35" t="str" cm="1">
        <f t="array" ref="E157">Common_InputFunctions.Utility_DisplayArrayInTable(SourceData_PastureBeef.SourceData_PastureBeef_LiveweightGain_Data(), Table_SourceData_PastureBeef_LiveweightGain[[#Headers],[State]],0)</f>
        <v>n/a</v>
      </c>
      <c r="F157" s="35" t="str" cm="1">
        <f t="array" ref="F157">Common_InputFunctions.Utility_DisplayArrayInTable(SourceData_PastureBeef.SourceData_PastureBeef_LiveweightGain_Data(), Table_SourceData_PastureBeef_LiveweightGain[[#Headers],[State]],0)</f>
        <v>Autumn</v>
      </c>
      <c r="G157" s="35" cm="1">
        <f t="array" ref="G157">Common_InputFunctions.Utility_DisplayArrayInTable(SourceData_PastureBeef.SourceData_PastureBeef_LiveweightGain_Data(), Table_SourceData_PastureBeef_LiveweightGain[[#Headers],[State]],0)</f>
        <v>0.8</v>
      </c>
      <c r="H157" s="35" cm="1">
        <f t="array" ref="H157">Common_InputFunctions.Utility_DisplayArrayInTable(SourceData_PastureBeef.SourceData_PastureBeef_LiveweightGain_Data(), Table_SourceData_PastureBeef_LiveweightGain[[#Headers],[State]],0)</f>
        <v>0.3</v>
      </c>
      <c r="I157" s="35" cm="1">
        <f t="array" ref="I157">Common_InputFunctions.Utility_DisplayArrayInTable(SourceData_PastureBeef.SourceData_PastureBeef_LiveweightGain_Data(), Table_SourceData_PastureBeef_LiveweightGain[[#Headers],[State]],0)</f>
        <v>0.7</v>
      </c>
      <c r="J157" s="35" cm="1">
        <f t="array" ref="J157">Common_InputFunctions.Utility_DisplayArrayInTable(SourceData_PastureBeef.SourceData_PastureBeef_LiveweightGain_Data(), Table_SourceData_PastureBeef_LiveweightGain[[#Headers],[State]],0)</f>
        <v>0.3</v>
      </c>
      <c r="K157" s="35" cm="1">
        <f t="array" ref="K157">Common_InputFunctions.Utility_DisplayArrayInTable(SourceData_PastureBeef.SourceData_PastureBeef_LiveweightGain_Data(), Table_SourceData_PastureBeef_LiveweightGain[[#Headers],[State]],0)</f>
        <v>0.2</v>
      </c>
      <c r="L157" s="35" cm="1">
        <f t="array" ref="L157">Common_InputFunctions.Utility_DisplayArrayInTable(SourceData_PastureBeef.SourceData_PastureBeef_LiveweightGain_Data(), Table_SourceData_PastureBeef_LiveweightGain[[#Headers],[State]],0)</f>
        <v>0.7</v>
      </c>
      <c r="M157" s="35" cm="1">
        <f t="array" ref="M157">Common_InputFunctions.Utility_DisplayArrayInTable(SourceData_PastureBeef.SourceData_PastureBeef_LiveweightGain_Data(), Table_SourceData_PastureBeef_LiveweightGain[[#Headers],[State]],0)</f>
        <v>0.3</v>
      </c>
    </row>
    <row r="158" spans="4:16" ht="20.100000000000001" customHeight="1" x14ac:dyDescent="0.25">
      <c r="D158" s="1" t="str" cm="1">
        <f t="array" ref="D158">Common_InputFunctions.Utility_DisplayArrayInTable(SourceData_PastureBeef.SourceData_PastureBeef_LiveweightGain_Data(), Table_SourceData_PastureBeef_LiveweightGain[[#Headers],[State]],0)</f>
        <v>ACT/NSW</v>
      </c>
      <c r="E158" s="35" t="str" cm="1">
        <f t="array" ref="E158">Common_InputFunctions.Utility_DisplayArrayInTable(SourceData_PastureBeef.SourceData_PastureBeef_LiveweightGain_Data(), Table_SourceData_PastureBeef_LiveweightGain[[#Headers],[State]],0)</f>
        <v>n/a</v>
      </c>
      <c r="F158" s="35" t="str" cm="1">
        <f t="array" ref="F158">Common_InputFunctions.Utility_DisplayArrayInTable(SourceData_PastureBeef.SourceData_PastureBeef_LiveweightGain_Data(), Table_SourceData_PastureBeef_LiveweightGain[[#Headers],[State]],0)</f>
        <v>Winter</v>
      </c>
      <c r="G158" s="35" cm="1">
        <f t="array" ref="G158">Common_InputFunctions.Utility_DisplayArrayInTable(SourceData_PastureBeef.SourceData_PastureBeef_LiveweightGain_Data(), Table_SourceData_PastureBeef_LiveweightGain[[#Headers],[State]],0)</f>
        <v>0.4</v>
      </c>
      <c r="H158" s="35" cm="1">
        <f t="array" ref="H158">Common_InputFunctions.Utility_DisplayArrayInTable(SourceData_PastureBeef.SourceData_PastureBeef_LiveweightGain_Data(), Table_SourceData_PastureBeef_LiveweightGain[[#Headers],[State]],0)</f>
        <v>0.1</v>
      </c>
      <c r="I158" s="35" cm="1">
        <f t="array" ref="I158">Common_InputFunctions.Utility_DisplayArrayInTable(SourceData_PastureBeef.SourceData_PastureBeef_LiveweightGain_Data(), Table_SourceData_PastureBeef_LiveweightGain[[#Headers],[State]],0)</f>
        <v>0.4</v>
      </c>
      <c r="J158" s="35" cm="1">
        <f t="array" ref="J158">Common_InputFunctions.Utility_DisplayArrayInTable(SourceData_PastureBeef.SourceData_PastureBeef_LiveweightGain_Data(), Table_SourceData_PastureBeef_LiveweightGain[[#Headers],[State]],0)</f>
        <v>0.2</v>
      </c>
      <c r="K158" s="35" cm="1">
        <f t="array" ref="K158">Common_InputFunctions.Utility_DisplayArrayInTable(SourceData_PastureBeef.SourceData_PastureBeef_LiveweightGain_Data(), Table_SourceData_PastureBeef_LiveweightGain[[#Headers],[State]],0)</f>
        <v>0.1</v>
      </c>
      <c r="L158" s="35" cm="1">
        <f t="array" ref="L158">Common_InputFunctions.Utility_DisplayArrayInTable(SourceData_PastureBeef.SourceData_PastureBeef_LiveweightGain_Data(), Table_SourceData_PastureBeef_LiveweightGain[[#Headers],[State]],0)</f>
        <v>0.4</v>
      </c>
      <c r="M158" s="35" cm="1">
        <f t="array" ref="M158">Common_InputFunctions.Utility_DisplayArrayInTable(SourceData_PastureBeef.SourceData_PastureBeef_LiveweightGain_Data(), Table_SourceData_PastureBeef_LiveweightGain[[#Headers],[State]],0)</f>
        <v>0.1</v>
      </c>
    </row>
    <row r="159" spans="4:16" ht="20.100000000000001" customHeight="1" x14ac:dyDescent="0.25">
      <c r="D159" s="1" t="str" cm="1">
        <f t="array" ref="D159">Common_InputFunctions.Utility_DisplayArrayInTable(SourceData_PastureBeef.SourceData_PastureBeef_LiveweightGain_Data(), Table_SourceData_PastureBeef_LiveweightGain[[#Headers],[State]],0)</f>
        <v>South Australia</v>
      </c>
      <c r="E159" s="35" t="str" cm="1">
        <f t="array" ref="E159">Common_InputFunctions.Utility_DisplayArrayInTable(SourceData_PastureBeef.SourceData_PastureBeef_LiveweightGain_Data(), Table_SourceData_PastureBeef_LiveweightGain[[#Headers],[State]],0)</f>
        <v>n/a</v>
      </c>
      <c r="F159" s="35" t="str" cm="1">
        <f t="array" ref="F159">Common_InputFunctions.Utility_DisplayArrayInTable(SourceData_PastureBeef.SourceData_PastureBeef_LiveweightGain_Data(), Table_SourceData_PastureBeef_LiveweightGain[[#Headers],[State]],0)</f>
        <v>Spring</v>
      </c>
      <c r="G159" s="35" cm="1">
        <f t="array" ref="G159">Common_InputFunctions.Utility_DisplayArrayInTable(SourceData_PastureBeef.SourceData_PastureBeef_LiveweightGain_Data(), Table_SourceData_PastureBeef_LiveweightGain[[#Headers],[State]],0)</f>
        <v>0.99</v>
      </c>
      <c r="H159" s="35" cm="1">
        <f t="array" ref="H159">Common_InputFunctions.Utility_DisplayArrayInTable(SourceData_PastureBeef.SourceData_PastureBeef_LiveweightGain_Data(), Table_SourceData_PastureBeef_LiveweightGain[[#Headers],[State]],0)</f>
        <v>1.1000000000000001</v>
      </c>
      <c r="I159" s="35" cm="1">
        <f t="array" ref="I159">Common_InputFunctions.Utility_DisplayArrayInTable(SourceData_PastureBeef.SourceData_PastureBeef_LiveweightGain_Data(), Table_SourceData_PastureBeef_LiveweightGain[[#Headers],[State]],0)</f>
        <v>0.88</v>
      </c>
      <c r="J159" s="35" cm="1">
        <f t="array" ref="J159">Common_InputFunctions.Utility_DisplayArrayInTable(SourceData_PastureBeef.SourceData_PastureBeef_LiveweightGain_Data(), Table_SourceData_PastureBeef_LiveweightGain[[#Headers],[State]],0)</f>
        <v>0.55000000000000004</v>
      </c>
      <c r="K159" s="35" cm="1">
        <f t="array" ref="K159">Common_InputFunctions.Utility_DisplayArrayInTable(SourceData_PastureBeef.SourceData_PastureBeef_LiveweightGain_Data(), Table_SourceData_PastureBeef_LiveweightGain[[#Headers],[State]],0)</f>
        <v>0.55000000000000004</v>
      </c>
      <c r="L159" s="35" cm="1">
        <f t="array" ref="L159">Common_InputFunctions.Utility_DisplayArrayInTable(SourceData_PastureBeef.SourceData_PastureBeef_LiveweightGain_Data(), Table_SourceData_PastureBeef_LiveweightGain[[#Headers],[State]],0)</f>
        <v>0.88</v>
      </c>
      <c r="M159" s="35" cm="1">
        <f t="array" ref="M159">Common_InputFunctions.Utility_DisplayArrayInTable(SourceData_PastureBeef.SourceData_PastureBeef_LiveweightGain_Data(), Table_SourceData_PastureBeef_LiveweightGain[[#Headers],[State]],0)</f>
        <v>0.22</v>
      </c>
    </row>
    <row r="160" spans="4:16" ht="20.100000000000001" customHeight="1" x14ac:dyDescent="0.25">
      <c r="D160" s="1" t="str" cm="1">
        <f t="array" ref="D160">Common_InputFunctions.Utility_DisplayArrayInTable(SourceData_PastureBeef.SourceData_PastureBeef_LiveweightGain_Data(), Table_SourceData_PastureBeef_LiveweightGain[[#Headers],[State]],0)</f>
        <v>South Australia</v>
      </c>
      <c r="E160" s="35" t="str" cm="1">
        <f t="array" ref="E160">Common_InputFunctions.Utility_DisplayArrayInTable(SourceData_PastureBeef.SourceData_PastureBeef_LiveweightGain_Data(), Table_SourceData_PastureBeef_LiveweightGain[[#Headers],[State]],0)</f>
        <v>n/a</v>
      </c>
      <c r="F160" s="35" t="str" cm="1">
        <f t="array" ref="F160">Common_InputFunctions.Utility_DisplayArrayInTable(SourceData_PastureBeef.SourceData_PastureBeef_LiveweightGain_Data(), Table_SourceData_PastureBeef_LiveweightGain[[#Headers],[State]],0)</f>
        <v>Summer</v>
      </c>
      <c r="G160" s="35" cm="1">
        <f t="array" ref="G160">Common_InputFunctions.Utility_DisplayArrayInTable(SourceData_PastureBeef.SourceData_PastureBeef_LiveweightGain_Data(), Table_SourceData_PastureBeef_LiveweightGain[[#Headers],[State]],0)</f>
        <v>0.77</v>
      </c>
      <c r="H160" s="35" cm="1">
        <f t="array" ref="H160">Common_InputFunctions.Utility_DisplayArrayInTable(SourceData_PastureBeef.SourceData_PastureBeef_LiveweightGain_Data(), Table_SourceData_PastureBeef_LiveweightGain[[#Headers],[State]],0)</f>
        <v>0</v>
      </c>
      <c r="I160" s="35" cm="1">
        <f t="array" ref="I160">Common_InputFunctions.Utility_DisplayArrayInTable(SourceData_PastureBeef.SourceData_PastureBeef_LiveweightGain_Data(), Table_SourceData_PastureBeef_LiveweightGain[[#Headers],[State]],0)</f>
        <v>0.66</v>
      </c>
      <c r="J160" s="35" cm="1">
        <f t="array" ref="J160">Common_InputFunctions.Utility_DisplayArrayInTable(SourceData_PastureBeef.SourceData_PastureBeef_LiveweightGain_Data(), Table_SourceData_PastureBeef_LiveweightGain[[#Headers],[State]],0)</f>
        <v>0.22</v>
      </c>
      <c r="K160" s="35" cm="1">
        <f t="array" ref="K160">Common_InputFunctions.Utility_DisplayArrayInTable(SourceData_PastureBeef.SourceData_PastureBeef_LiveweightGain_Data(), Table_SourceData_PastureBeef_LiveweightGain[[#Headers],[State]],0)</f>
        <v>0</v>
      </c>
      <c r="L160" s="35" cm="1">
        <f t="array" ref="L160">Common_InputFunctions.Utility_DisplayArrayInTable(SourceData_PastureBeef.SourceData_PastureBeef_LiveweightGain_Data(), Table_SourceData_PastureBeef_LiveweightGain[[#Headers],[State]],0)</f>
        <v>0.66</v>
      </c>
      <c r="M160" s="35" cm="1">
        <f t="array" ref="M160">Common_InputFunctions.Utility_DisplayArrayInTable(SourceData_PastureBeef.SourceData_PastureBeef_LiveweightGain_Data(), Table_SourceData_PastureBeef_LiveweightGain[[#Headers],[State]],0)</f>
        <v>0</v>
      </c>
    </row>
    <row r="161" spans="4:13" ht="20.100000000000001" customHeight="1" x14ac:dyDescent="0.25">
      <c r="D161" s="1" t="str" cm="1">
        <f t="array" ref="D161">Common_InputFunctions.Utility_DisplayArrayInTable(SourceData_PastureBeef.SourceData_PastureBeef_LiveweightGain_Data(), Table_SourceData_PastureBeef_LiveweightGain[[#Headers],[State]],0)</f>
        <v>South Australia</v>
      </c>
      <c r="E161" s="35" t="str" cm="1">
        <f t="array" ref="E161">Common_InputFunctions.Utility_DisplayArrayInTable(SourceData_PastureBeef.SourceData_PastureBeef_LiveweightGain_Data(), Table_SourceData_PastureBeef_LiveweightGain[[#Headers],[State]],0)</f>
        <v>n/a</v>
      </c>
      <c r="F161" s="35" t="str" cm="1">
        <f t="array" ref="F161">Common_InputFunctions.Utility_DisplayArrayInTable(SourceData_PastureBeef.SourceData_PastureBeef_LiveweightGain_Data(), Table_SourceData_PastureBeef_LiveweightGain[[#Headers],[State]],0)</f>
        <v>Autumn</v>
      </c>
      <c r="G161" s="35" cm="1">
        <f t="array" ref="G161">Common_InputFunctions.Utility_DisplayArrayInTable(SourceData_PastureBeef.SourceData_PastureBeef_LiveweightGain_Data(), Table_SourceData_PastureBeef_LiveweightGain[[#Headers],[State]],0)</f>
        <v>0.9</v>
      </c>
      <c r="H161" s="35" cm="1">
        <f t="array" ref="H161">Common_InputFunctions.Utility_DisplayArrayInTable(SourceData_PastureBeef.SourceData_PastureBeef_LiveweightGain_Data(), Table_SourceData_PastureBeef_LiveweightGain[[#Headers],[State]],0)</f>
        <v>-1.1000000000000001</v>
      </c>
      <c r="I161" s="35" cm="1">
        <f t="array" ref="I161">Common_InputFunctions.Utility_DisplayArrayInTable(SourceData_PastureBeef.SourceData_PastureBeef_LiveweightGain_Data(), Table_SourceData_PastureBeef_LiveweightGain[[#Headers],[State]],0)</f>
        <v>0.7</v>
      </c>
      <c r="J161" s="35" cm="1">
        <f t="array" ref="J161">Common_InputFunctions.Utility_DisplayArrayInTable(SourceData_PastureBeef.SourceData_PastureBeef_LiveweightGain_Data(), Table_SourceData_PastureBeef_LiveweightGain[[#Headers],[State]],0)</f>
        <v>0.22</v>
      </c>
      <c r="K161" s="35" cm="1">
        <f t="array" ref="K161">Common_InputFunctions.Utility_DisplayArrayInTable(SourceData_PastureBeef.SourceData_PastureBeef_LiveweightGain_Data(), Table_SourceData_PastureBeef_LiveweightGain[[#Headers],[State]],0)</f>
        <v>-0.55000000000000004</v>
      </c>
      <c r="L161" s="35" cm="1">
        <f t="array" ref="L161">Common_InputFunctions.Utility_DisplayArrayInTable(SourceData_PastureBeef.SourceData_PastureBeef_LiveweightGain_Data(), Table_SourceData_PastureBeef_LiveweightGain[[#Headers],[State]],0)</f>
        <v>0.8</v>
      </c>
      <c r="M161" s="35" cm="1">
        <f t="array" ref="M161">Common_InputFunctions.Utility_DisplayArrayInTable(SourceData_PastureBeef.SourceData_PastureBeef_LiveweightGain_Data(), Table_SourceData_PastureBeef_LiveweightGain[[#Headers],[State]],0)</f>
        <v>-0.22</v>
      </c>
    </row>
    <row r="162" spans="4:13" ht="20.100000000000001" customHeight="1" x14ac:dyDescent="0.25">
      <c r="D162" s="1" t="str" cm="1">
        <f t="array" ref="D162">Common_InputFunctions.Utility_DisplayArrayInTable(SourceData_PastureBeef.SourceData_PastureBeef_LiveweightGain_Data(), Table_SourceData_PastureBeef_LiveweightGain[[#Headers],[State]],0)</f>
        <v>South Australia</v>
      </c>
      <c r="E162" s="35" t="str" cm="1">
        <f t="array" ref="E162">Common_InputFunctions.Utility_DisplayArrayInTable(SourceData_PastureBeef.SourceData_PastureBeef_LiveweightGain_Data(), Table_SourceData_PastureBeef_LiveweightGain[[#Headers],[State]],0)</f>
        <v>n/a</v>
      </c>
      <c r="F162" s="35" t="str" cm="1">
        <f t="array" ref="F162">Common_InputFunctions.Utility_DisplayArrayInTable(SourceData_PastureBeef.SourceData_PastureBeef_LiveweightGain_Data(), Table_SourceData_PastureBeef_LiveweightGain[[#Headers],[State]],0)</f>
        <v>Winter</v>
      </c>
      <c r="G162" s="35" cm="1">
        <f t="array" ref="G162">Common_InputFunctions.Utility_DisplayArrayInTable(SourceData_PastureBeef.SourceData_PastureBeef_LiveweightGain_Data(), Table_SourceData_PastureBeef_LiveweightGain[[#Headers],[State]],0)</f>
        <v>0.88</v>
      </c>
      <c r="H162" s="35" cm="1">
        <f t="array" ref="H162">Common_InputFunctions.Utility_DisplayArrayInTable(SourceData_PastureBeef.SourceData_PastureBeef_LiveweightGain_Data(), Table_SourceData_PastureBeef_LiveweightGain[[#Headers],[State]],0)</f>
        <v>0</v>
      </c>
      <c r="I162" s="35" cm="1">
        <f t="array" ref="I162">Common_InputFunctions.Utility_DisplayArrayInTable(SourceData_PastureBeef.SourceData_PastureBeef_LiveweightGain_Data(), Table_SourceData_PastureBeef_LiveweightGain[[#Headers],[State]],0)</f>
        <v>0.77</v>
      </c>
      <c r="J162" s="35" cm="1">
        <f t="array" ref="J162">Common_InputFunctions.Utility_DisplayArrayInTable(SourceData_PastureBeef.SourceData_PastureBeef_LiveweightGain_Data(), Table_SourceData_PastureBeef_LiveweightGain[[#Headers],[State]],0)</f>
        <v>0.55000000000000004</v>
      </c>
      <c r="K162" s="35" cm="1">
        <f t="array" ref="K162">Common_InputFunctions.Utility_DisplayArrayInTable(SourceData_PastureBeef.SourceData_PastureBeef_LiveweightGain_Data(), Table_SourceData_PastureBeef_LiveweightGain[[#Headers],[State]],0)</f>
        <v>0</v>
      </c>
      <c r="L162" s="35" cm="1">
        <f t="array" ref="L162">Common_InputFunctions.Utility_DisplayArrayInTable(SourceData_PastureBeef.SourceData_PastureBeef_LiveweightGain_Data(), Table_SourceData_PastureBeef_LiveweightGain[[#Headers],[State]],0)</f>
        <v>0.82</v>
      </c>
      <c r="M162" s="35" cm="1">
        <f t="array" ref="M162">Common_InputFunctions.Utility_DisplayArrayInTable(SourceData_PastureBeef.SourceData_PastureBeef_LiveweightGain_Data(), Table_SourceData_PastureBeef_LiveweightGain[[#Headers],[State]],0)</f>
        <v>0</v>
      </c>
    </row>
    <row r="163" spans="4:13" ht="20.100000000000001" customHeight="1" x14ac:dyDescent="0.25">
      <c r="D163" s="1" t="str" cm="1">
        <f t="array" ref="D163">Common_InputFunctions.Utility_DisplayArrayInTable(SourceData_PastureBeef.SourceData_PastureBeef_LiveweightGain_Data(), Table_SourceData_PastureBeef_LiveweightGain[[#Headers],[State]],0)</f>
        <v>Tasmania</v>
      </c>
      <c r="E163" s="35" t="str" cm="1">
        <f t="array" ref="E163">Common_InputFunctions.Utility_DisplayArrayInTable(SourceData_PastureBeef.SourceData_PastureBeef_LiveweightGain_Data(), Table_SourceData_PastureBeef_LiveweightGain[[#Headers],[State]],0)</f>
        <v>n/a</v>
      </c>
      <c r="F163" s="35" t="str" cm="1">
        <f t="array" ref="F163">Common_InputFunctions.Utility_DisplayArrayInTable(SourceData_PastureBeef.SourceData_PastureBeef_LiveweightGain_Data(), Table_SourceData_PastureBeef_LiveweightGain[[#Headers],[State]],0)</f>
        <v>Spring</v>
      </c>
      <c r="G163" s="35" cm="1">
        <f t="array" ref="G163">Common_InputFunctions.Utility_DisplayArrayInTable(SourceData_PastureBeef.SourceData_PastureBeef_LiveweightGain_Data(), Table_SourceData_PastureBeef_LiveweightGain[[#Headers],[State]],0)</f>
        <v>1</v>
      </c>
      <c r="H163" s="35" cm="1">
        <f t="array" ref="H163">Common_InputFunctions.Utility_DisplayArrayInTable(SourceData_PastureBeef.SourceData_PastureBeef_LiveweightGain_Data(), Table_SourceData_PastureBeef_LiveweightGain[[#Headers],[State]],0)</f>
        <v>0.5</v>
      </c>
      <c r="I163" s="35" cm="1">
        <f t="array" ref="I163">Common_InputFunctions.Utility_DisplayArrayInTable(SourceData_PastureBeef.SourceData_PastureBeef_LiveweightGain_Data(), Table_SourceData_PastureBeef_LiveweightGain[[#Headers],[State]],0)</f>
        <v>1</v>
      </c>
      <c r="J163" s="35" cm="1">
        <f t="array" ref="J163">Common_InputFunctions.Utility_DisplayArrayInTable(SourceData_PastureBeef.SourceData_PastureBeef_LiveweightGain_Data(), Table_SourceData_PastureBeef_LiveweightGain[[#Headers],[State]],0)</f>
        <v>1</v>
      </c>
      <c r="K163" s="35" cm="1">
        <f t="array" ref="K163">Common_InputFunctions.Utility_DisplayArrayInTable(SourceData_PastureBeef.SourceData_PastureBeef_LiveweightGain_Data(), Table_SourceData_PastureBeef_LiveweightGain[[#Headers],[State]],0)</f>
        <v>-0.44</v>
      </c>
      <c r="L163" s="35" cm="1">
        <f t="array" ref="L163">Common_InputFunctions.Utility_DisplayArrayInTable(SourceData_PastureBeef.SourceData_PastureBeef_LiveweightGain_Data(), Table_SourceData_PastureBeef_LiveweightGain[[#Headers],[State]],0)</f>
        <v>1</v>
      </c>
      <c r="M163" s="35" cm="1">
        <f t="array" ref="M163">Common_InputFunctions.Utility_DisplayArrayInTable(SourceData_PastureBeef.SourceData_PastureBeef_LiveweightGain_Data(), Table_SourceData_PastureBeef_LiveweightGain[[#Headers],[State]],0)</f>
        <v>0.5</v>
      </c>
    </row>
    <row r="164" spans="4:13" ht="20.100000000000001" customHeight="1" x14ac:dyDescent="0.25">
      <c r="D164" s="1" t="str" cm="1">
        <f t="array" ref="D164">Common_InputFunctions.Utility_DisplayArrayInTable(SourceData_PastureBeef.SourceData_PastureBeef_LiveweightGain_Data(), Table_SourceData_PastureBeef_LiveweightGain[[#Headers],[State]],0)</f>
        <v>Tasmania</v>
      </c>
      <c r="E164" s="35" t="str" cm="1">
        <f t="array" ref="E164">Common_InputFunctions.Utility_DisplayArrayInTable(SourceData_PastureBeef.SourceData_PastureBeef_LiveweightGain_Data(), Table_SourceData_PastureBeef_LiveweightGain[[#Headers],[State]],0)</f>
        <v>n/a</v>
      </c>
      <c r="F164" s="35" t="str" cm="1">
        <f t="array" ref="F164">Common_InputFunctions.Utility_DisplayArrayInTable(SourceData_PastureBeef.SourceData_PastureBeef_LiveweightGain_Data(), Table_SourceData_PastureBeef_LiveweightGain[[#Headers],[State]],0)</f>
        <v>Summer</v>
      </c>
      <c r="G164" s="35" cm="1">
        <f t="array" ref="G164">Common_InputFunctions.Utility_DisplayArrayInTable(SourceData_PastureBeef.SourceData_PastureBeef_LiveweightGain_Data(), Table_SourceData_PastureBeef_LiveweightGain[[#Headers],[State]],0)</f>
        <v>0.82</v>
      </c>
      <c r="H164" s="35" cm="1">
        <f t="array" ref="H164">Common_InputFunctions.Utility_DisplayArrayInTable(SourceData_PastureBeef.SourceData_PastureBeef_LiveweightGain_Data(), Table_SourceData_PastureBeef_LiveweightGain[[#Headers],[State]],0)</f>
        <v>0.55000000000000004</v>
      </c>
      <c r="I164" s="35" cm="1">
        <f t="array" ref="I164">Common_InputFunctions.Utility_DisplayArrayInTable(SourceData_PastureBeef.SourceData_PastureBeef_LiveweightGain_Data(), Table_SourceData_PastureBeef_LiveweightGain[[#Headers],[State]],0)</f>
        <v>0.71</v>
      </c>
      <c r="J164" s="35" cm="1">
        <f t="array" ref="J164">Common_InputFunctions.Utility_DisplayArrayInTable(SourceData_PastureBeef.SourceData_PastureBeef_LiveweightGain_Data(), Table_SourceData_PastureBeef_LiveweightGain[[#Headers],[State]],0)</f>
        <v>0.55000000000000004</v>
      </c>
      <c r="K164" s="35" cm="1">
        <f t="array" ref="K164">Common_InputFunctions.Utility_DisplayArrayInTable(SourceData_PastureBeef.SourceData_PastureBeef_LiveweightGain_Data(), Table_SourceData_PastureBeef_LiveweightGain[[#Headers],[State]],0)</f>
        <v>0.99</v>
      </c>
      <c r="L164" s="35" cm="1">
        <f t="array" ref="L164">Common_InputFunctions.Utility_DisplayArrayInTable(SourceData_PastureBeef.SourceData_PastureBeef_LiveweightGain_Data(), Table_SourceData_PastureBeef_LiveweightGain[[#Headers],[State]],0)</f>
        <v>0.77</v>
      </c>
      <c r="M164" s="35" cm="1">
        <f t="array" ref="M164">Common_InputFunctions.Utility_DisplayArrayInTable(SourceData_PastureBeef.SourceData_PastureBeef_LiveweightGain_Data(), Table_SourceData_PastureBeef_LiveweightGain[[#Headers],[State]],0)</f>
        <v>0.5</v>
      </c>
    </row>
    <row r="165" spans="4:13" ht="20.100000000000001" customHeight="1" x14ac:dyDescent="0.25">
      <c r="D165" s="1" t="str" cm="1">
        <f t="array" ref="D165">Common_InputFunctions.Utility_DisplayArrayInTable(SourceData_PastureBeef.SourceData_PastureBeef_LiveweightGain_Data(), Table_SourceData_PastureBeef_LiveweightGain[[#Headers],[State]],0)</f>
        <v>Tasmania</v>
      </c>
      <c r="E165" s="35" t="str" cm="1">
        <f t="array" ref="E165">Common_InputFunctions.Utility_DisplayArrayInTable(SourceData_PastureBeef.SourceData_PastureBeef_LiveweightGain_Data(), Table_SourceData_PastureBeef_LiveweightGain[[#Headers],[State]],0)</f>
        <v>n/a</v>
      </c>
      <c r="F165" s="35" t="str" cm="1">
        <f t="array" ref="F165">Common_InputFunctions.Utility_DisplayArrayInTable(SourceData_PastureBeef.SourceData_PastureBeef_LiveweightGain_Data(), Table_SourceData_PastureBeef_LiveweightGain[[#Headers],[State]],0)</f>
        <v>Autumn</v>
      </c>
      <c r="G165" s="35" cm="1">
        <f t="array" ref="G165">Common_InputFunctions.Utility_DisplayArrayInTable(SourceData_PastureBeef.SourceData_PastureBeef_LiveweightGain_Data(), Table_SourceData_PastureBeef_LiveweightGain[[#Headers],[State]],0)</f>
        <v>0.77</v>
      </c>
      <c r="H165" s="35" cm="1">
        <f t="array" ref="H165">Common_InputFunctions.Utility_DisplayArrayInTable(SourceData_PastureBeef.SourceData_PastureBeef_LiveweightGain_Data(), Table_SourceData_PastureBeef_LiveweightGain[[#Headers],[State]],0)</f>
        <v>0.5</v>
      </c>
      <c r="I165" s="35" cm="1">
        <f t="array" ref="I165">Common_InputFunctions.Utility_DisplayArrayInTable(SourceData_PastureBeef.SourceData_PastureBeef_LiveweightGain_Data(), Table_SourceData_PastureBeef_LiveweightGain[[#Headers],[State]],0)</f>
        <v>0.55000000000000004</v>
      </c>
      <c r="J165" s="35" cm="1">
        <f t="array" ref="J165">Common_InputFunctions.Utility_DisplayArrayInTable(SourceData_PastureBeef.SourceData_PastureBeef_LiveweightGain_Data(), Table_SourceData_PastureBeef_LiveweightGain[[#Headers],[State]],0)</f>
        <v>0.11</v>
      </c>
      <c r="K165" s="35" cm="1">
        <f t="array" ref="K165">Common_InputFunctions.Utility_DisplayArrayInTable(SourceData_PastureBeef.SourceData_PastureBeef_LiveweightGain_Data(), Table_SourceData_PastureBeef_LiveweightGain[[#Headers],[State]],0)</f>
        <v>-0.33</v>
      </c>
      <c r="L165" s="35" cm="1">
        <f t="array" ref="L165">Common_InputFunctions.Utility_DisplayArrayInTable(SourceData_PastureBeef.SourceData_PastureBeef_LiveweightGain_Data(), Table_SourceData_PastureBeef_LiveweightGain[[#Headers],[State]],0)</f>
        <v>0.6</v>
      </c>
      <c r="M165" s="35" cm="1">
        <f t="array" ref="M165">Common_InputFunctions.Utility_DisplayArrayInTable(SourceData_PastureBeef.SourceData_PastureBeef_LiveweightGain_Data(), Table_SourceData_PastureBeef_LiveweightGain[[#Headers],[State]],0)</f>
        <v>0.33</v>
      </c>
    </row>
    <row r="166" spans="4:13" x14ac:dyDescent="0.25">
      <c r="D166" s="1" t="str" cm="1">
        <f t="array" ref="D166">Common_InputFunctions.Utility_DisplayArrayInTable(SourceData_PastureBeef.SourceData_PastureBeef_LiveweightGain_Data(), Table_SourceData_PastureBeef_LiveweightGain[[#Headers],[State]],0)</f>
        <v>Tasmania</v>
      </c>
      <c r="E166" s="35" t="str" cm="1">
        <f t="array" ref="E166">Common_InputFunctions.Utility_DisplayArrayInTable(SourceData_PastureBeef.SourceData_PastureBeef_LiveweightGain_Data(), Table_SourceData_PastureBeef_LiveweightGain[[#Headers],[State]],0)</f>
        <v>n/a</v>
      </c>
      <c r="F166" s="35" t="str" cm="1">
        <f t="array" ref="F166">Common_InputFunctions.Utility_DisplayArrayInTable(SourceData_PastureBeef.SourceData_PastureBeef_LiveweightGain_Data(), Table_SourceData_PastureBeef_LiveweightGain[[#Headers],[State]],0)</f>
        <v>Winter</v>
      </c>
      <c r="G166" s="35" cm="1">
        <f t="array" ref="G166">Common_InputFunctions.Utility_DisplayArrayInTable(SourceData_PastureBeef.SourceData_PastureBeef_LiveweightGain_Data(), Table_SourceData_PastureBeef_LiveweightGain[[#Headers],[State]],0)</f>
        <v>0.11</v>
      </c>
      <c r="H166" s="35" cm="1">
        <f t="array" ref="H166">Common_InputFunctions.Utility_DisplayArrayInTable(SourceData_PastureBeef.SourceData_PastureBeef_LiveweightGain_Data(), Table_SourceData_PastureBeef_LiveweightGain[[#Headers],[State]],0)</f>
        <v>-0.27</v>
      </c>
      <c r="I166" s="35" cm="1">
        <f t="array" ref="I166">Common_InputFunctions.Utility_DisplayArrayInTable(SourceData_PastureBeef.SourceData_PastureBeef_LiveweightGain_Data(), Table_SourceData_PastureBeef_LiveweightGain[[#Headers],[State]],0)</f>
        <v>0.11</v>
      </c>
      <c r="J166" s="35" cm="1">
        <f t="array" ref="J166">Common_InputFunctions.Utility_DisplayArrayInTable(SourceData_PastureBeef.SourceData_PastureBeef_LiveweightGain_Data(), Table_SourceData_PastureBeef_LiveweightGain[[#Headers],[State]],0)</f>
        <v>0.22</v>
      </c>
      <c r="K166" s="35" cm="1">
        <f t="array" ref="K166">Common_InputFunctions.Utility_DisplayArrayInTable(SourceData_PastureBeef.SourceData_PastureBeef_LiveweightGain_Data(), Table_SourceData_PastureBeef_LiveweightGain[[#Headers],[State]],0)</f>
        <v>-0.44</v>
      </c>
      <c r="L166" s="35" cm="1">
        <f t="array" ref="L166">Common_InputFunctions.Utility_DisplayArrayInTable(SourceData_PastureBeef.SourceData_PastureBeef_LiveweightGain_Data(), Table_SourceData_PastureBeef_LiveweightGain[[#Headers],[State]],0)</f>
        <v>0.16</v>
      </c>
      <c r="M166" s="35" cm="1">
        <f t="array" ref="M166">Common_InputFunctions.Utility_DisplayArrayInTable(SourceData_PastureBeef.SourceData_PastureBeef_LiveweightGain_Data(), Table_SourceData_PastureBeef_LiveweightGain[[#Headers],[State]],0)</f>
        <v>-0.22</v>
      </c>
    </row>
    <row r="167" spans="4:13" x14ac:dyDescent="0.25">
      <c r="D167" s="1" t="str" cm="1">
        <f t="array" ref="D167">Common_InputFunctions.Utility_DisplayArrayInTable(SourceData_PastureBeef.SourceData_PastureBeef_LiveweightGain_Data(), Table_SourceData_PastureBeef_LiveweightGain[[#Headers],[State]],0)</f>
        <v>Victoria</v>
      </c>
      <c r="E167" s="35" t="str" cm="1">
        <f t="array" ref="E167">Common_InputFunctions.Utility_DisplayArrayInTable(SourceData_PastureBeef.SourceData_PastureBeef_LiveweightGain_Data(), Table_SourceData_PastureBeef_LiveweightGain[[#Headers],[State]],0)</f>
        <v>n/a</v>
      </c>
      <c r="F167" s="35" t="str" cm="1">
        <f t="array" ref="F167">Common_InputFunctions.Utility_DisplayArrayInTable(SourceData_PastureBeef.SourceData_PastureBeef_LiveweightGain_Data(), Table_SourceData_PastureBeef_LiveweightGain[[#Headers],[State]],0)</f>
        <v>Spring</v>
      </c>
      <c r="G167" s="35" cm="1">
        <f t="array" ref="G167">Common_InputFunctions.Utility_DisplayArrayInTable(SourceData_PastureBeef.SourceData_PastureBeef_LiveweightGain_Data(), Table_SourceData_PastureBeef_LiveweightGain[[#Headers],[State]],0)</f>
        <v>1.1000000000000001</v>
      </c>
      <c r="H167" s="35" cm="1">
        <f t="array" ref="H167">Common_InputFunctions.Utility_DisplayArrayInTable(SourceData_PastureBeef.SourceData_PastureBeef_LiveweightGain_Data(), Table_SourceData_PastureBeef_LiveweightGain[[#Headers],[State]],0)</f>
        <v>1.1000000000000001</v>
      </c>
      <c r="I167" s="35" cm="1">
        <f t="array" ref="I167">Common_InputFunctions.Utility_DisplayArrayInTable(SourceData_PastureBeef.SourceData_PastureBeef_LiveweightGain_Data(), Table_SourceData_PastureBeef_LiveweightGain[[#Headers],[State]],0)</f>
        <v>1.1000000000000001</v>
      </c>
      <c r="J167" s="35" cm="1">
        <f t="array" ref="J167">Common_InputFunctions.Utility_DisplayArrayInTable(SourceData_PastureBeef.SourceData_PastureBeef_LiveweightGain_Data(), Table_SourceData_PastureBeef_LiveweightGain[[#Headers],[State]],0)</f>
        <v>0.99</v>
      </c>
      <c r="K167" s="35" cm="1">
        <f t="array" ref="K167">Common_InputFunctions.Utility_DisplayArrayInTable(SourceData_PastureBeef.SourceData_PastureBeef_LiveweightGain_Data(), Table_SourceData_PastureBeef_LiveweightGain[[#Headers],[State]],0)</f>
        <v>0.99</v>
      </c>
      <c r="L167" s="35" cm="1">
        <f t="array" ref="L167">Common_InputFunctions.Utility_DisplayArrayInTable(SourceData_PastureBeef.SourceData_PastureBeef_LiveweightGain_Data(), Table_SourceData_PastureBeef_LiveweightGain[[#Headers],[State]],0)</f>
        <v>1.1000000000000001</v>
      </c>
      <c r="M167" s="35" cm="1">
        <f t="array" ref="M167">Common_InputFunctions.Utility_DisplayArrayInTable(SourceData_PastureBeef.SourceData_PastureBeef_LiveweightGain_Data(), Table_SourceData_PastureBeef_LiveweightGain[[#Headers],[State]],0)</f>
        <v>0.77</v>
      </c>
    </row>
    <row r="168" spans="4:13" x14ac:dyDescent="0.25">
      <c r="D168" s="1" t="str" cm="1">
        <f t="array" ref="D168">Common_InputFunctions.Utility_DisplayArrayInTable(SourceData_PastureBeef.SourceData_PastureBeef_LiveweightGain_Data(), Table_SourceData_PastureBeef_LiveweightGain[[#Headers],[State]],0)</f>
        <v>Victoria</v>
      </c>
      <c r="E168" s="35" t="str" cm="1">
        <f t="array" ref="E168">Common_InputFunctions.Utility_DisplayArrayInTable(SourceData_PastureBeef.SourceData_PastureBeef_LiveweightGain_Data(), Table_SourceData_PastureBeef_LiveweightGain[[#Headers],[State]],0)</f>
        <v>n/a</v>
      </c>
      <c r="F168" s="35" t="str" cm="1">
        <f t="array" ref="F168">Common_InputFunctions.Utility_DisplayArrayInTable(SourceData_PastureBeef.SourceData_PastureBeef_LiveweightGain_Data(), Table_SourceData_PastureBeef_LiveweightGain[[#Headers],[State]],0)</f>
        <v>Summer</v>
      </c>
      <c r="G168" s="35" cm="1">
        <f t="array" ref="G168">Common_InputFunctions.Utility_DisplayArrayInTable(SourceData_PastureBeef.SourceData_PastureBeef_LiveweightGain_Data(), Table_SourceData_PastureBeef_LiveweightGain[[#Headers],[State]],0)</f>
        <v>0.33</v>
      </c>
      <c r="H168" s="35" cm="1">
        <f t="array" ref="H168">Common_InputFunctions.Utility_DisplayArrayInTable(SourceData_PastureBeef.SourceData_PastureBeef_LiveweightGain_Data(), Table_SourceData_PastureBeef_LiveweightGain[[#Headers],[State]],0)</f>
        <v>0.33</v>
      </c>
      <c r="I168" s="35" cm="1">
        <f t="array" ref="I168">Common_InputFunctions.Utility_DisplayArrayInTable(SourceData_PastureBeef.SourceData_PastureBeef_LiveweightGain_Data(), Table_SourceData_PastureBeef_LiveweightGain[[#Headers],[State]],0)</f>
        <v>0.22</v>
      </c>
      <c r="J168" s="35" cm="1">
        <f t="array" ref="J168">Common_InputFunctions.Utility_DisplayArrayInTable(SourceData_PastureBeef.SourceData_PastureBeef_LiveweightGain_Data(), Table_SourceData_PastureBeef_LiveweightGain[[#Headers],[State]],0)</f>
        <v>0.33</v>
      </c>
      <c r="K168" s="35" cm="1">
        <f t="array" ref="K168">Common_InputFunctions.Utility_DisplayArrayInTable(SourceData_PastureBeef.SourceData_PastureBeef_LiveweightGain_Data(), Table_SourceData_PastureBeef_LiveweightGain[[#Headers],[State]],0)</f>
        <v>-0.1</v>
      </c>
      <c r="L168" s="35" cm="1">
        <f t="array" ref="L168">Common_InputFunctions.Utility_DisplayArrayInTable(SourceData_PastureBeef.SourceData_PastureBeef_LiveweightGain_Data(), Table_SourceData_PastureBeef_LiveweightGain[[#Headers],[State]],0)</f>
        <v>0.33</v>
      </c>
      <c r="M168" s="35" cm="1">
        <f t="array" ref="M168">Common_InputFunctions.Utility_DisplayArrayInTable(SourceData_PastureBeef.SourceData_PastureBeef_LiveweightGain_Data(), Table_SourceData_PastureBeef_LiveweightGain[[#Headers],[State]],0)</f>
        <v>0.11</v>
      </c>
    </row>
    <row r="169" spans="4:13" x14ac:dyDescent="0.25">
      <c r="D169" s="1" t="str" cm="1">
        <f t="array" ref="D169">Common_InputFunctions.Utility_DisplayArrayInTable(SourceData_PastureBeef.SourceData_PastureBeef_LiveweightGain_Data(), Table_SourceData_PastureBeef_LiveweightGain[[#Headers],[State]],0)</f>
        <v>Victoria</v>
      </c>
      <c r="E169" s="35" t="str" cm="1">
        <f t="array" ref="E169">Common_InputFunctions.Utility_DisplayArrayInTable(SourceData_PastureBeef.SourceData_PastureBeef_LiveweightGain_Data(), Table_SourceData_PastureBeef_LiveweightGain[[#Headers],[State]],0)</f>
        <v>n/a</v>
      </c>
      <c r="F169" s="35" t="str" cm="1">
        <f t="array" ref="F169">Common_InputFunctions.Utility_DisplayArrayInTable(SourceData_PastureBeef.SourceData_PastureBeef_LiveweightGain_Data(), Table_SourceData_PastureBeef_LiveweightGain[[#Headers],[State]],0)</f>
        <v>Autumn</v>
      </c>
      <c r="G169" s="35" cm="1">
        <f t="array" ref="G169">Common_InputFunctions.Utility_DisplayArrayInTable(SourceData_PastureBeef.SourceData_PastureBeef_LiveweightGain_Data(), Table_SourceData_PastureBeef_LiveweightGain[[#Headers],[State]],0)</f>
        <v>0.5</v>
      </c>
      <c r="H169" s="35" cm="1">
        <f t="array" ref="H169">Common_InputFunctions.Utility_DisplayArrayInTable(SourceData_PastureBeef.SourceData_PastureBeef_LiveweightGain_Data(), Table_SourceData_PastureBeef_LiveweightGain[[#Headers],[State]],0)</f>
        <v>0.2</v>
      </c>
      <c r="I169" s="35" cm="1">
        <f t="array" ref="I169">Common_InputFunctions.Utility_DisplayArrayInTable(SourceData_PastureBeef.SourceData_PastureBeef_LiveweightGain_Data(), Table_SourceData_PastureBeef_LiveweightGain[[#Headers],[State]],0)</f>
        <v>0.55000000000000004</v>
      </c>
      <c r="J169" s="35" cm="1">
        <f t="array" ref="J169">Common_InputFunctions.Utility_DisplayArrayInTable(SourceData_PastureBeef.SourceData_PastureBeef_LiveweightGain_Data(), Table_SourceData_PastureBeef_LiveweightGain[[#Headers],[State]],0)</f>
        <v>0.44</v>
      </c>
      <c r="K169" s="35" cm="1">
        <f t="array" ref="K169">Common_InputFunctions.Utility_DisplayArrayInTable(SourceData_PastureBeef.SourceData_PastureBeef_LiveweightGain_Data(), Table_SourceData_PastureBeef_LiveweightGain[[#Headers],[State]],0)</f>
        <v>0.2</v>
      </c>
      <c r="L169" s="35" cm="1">
        <f t="array" ref="L169">Common_InputFunctions.Utility_DisplayArrayInTable(SourceData_PastureBeef.SourceData_PastureBeef_LiveweightGain_Data(), Table_SourceData_PastureBeef_LiveweightGain[[#Headers],[State]],0)</f>
        <v>0.55000000000000004</v>
      </c>
      <c r="M169" s="35" cm="1">
        <f t="array" ref="M169">Common_InputFunctions.Utility_DisplayArrayInTable(SourceData_PastureBeef.SourceData_PastureBeef_LiveweightGain_Data(), Table_SourceData_PastureBeef_LiveweightGain[[#Headers],[State]],0)</f>
        <v>0.2</v>
      </c>
    </row>
    <row r="170" spans="4:13" x14ac:dyDescent="0.25">
      <c r="D170" s="1" t="str" cm="1">
        <f t="array" ref="D170">Common_InputFunctions.Utility_DisplayArrayInTable(SourceData_PastureBeef.SourceData_PastureBeef_LiveweightGain_Data(), Table_SourceData_PastureBeef_LiveweightGain[[#Headers],[State]],0)</f>
        <v>Victoria</v>
      </c>
      <c r="E170" s="35" t="str" cm="1">
        <f t="array" ref="E170">Common_InputFunctions.Utility_DisplayArrayInTable(SourceData_PastureBeef.SourceData_PastureBeef_LiveweightGain_Data(), Table_SourceData_PastureBeef_LiveweightGain[[#Headers],[State]],0)</f>
        <v>n/a</v>
      </c>
      <c r="F170" s="35" t="str" cm="1">
        <f t="array" ref="F170">Common_InputFunctions.Utility_DisplayArrayInTable(SourceData_PastureBeef.SourceData_PastureBeef_LiveweightGain_Data(), Table_SourceData_PastureBeef_LiveweightGain[[#Headers],[State]],0)</f>
        <v>Winter</v>
      </c>
      <c r="G170" s="35" cm="1">
        <f t="array" ref="G170">Common_InputFunctions.Utility_DisplayArrayInTable(SourceData_PastureBeef.SourceData_PastureBeef_LiveweightGain_Data(), Table_SourceData_PastureBeef_LiveweightGain[[#Headers],[State]],0)</f>
        <v>0.55000000000000004</v>
      </c>
      <c r="H170" s="35" cm="1">
        <f t="array" ref="H170">Common_InputFunctions.Utility_DisplayArrayInTable(SourceData_PastureBeef.SourceData_PastureBeef_LiveweightGain_Data(), Table_SourceData_PastureBeef_LiveweightGain[[#Headers],[State]],0)</f>
        <v>0.22</v>
      </c>
      <c r="I170" s="35" cm="1">
        <f t="array" ref="I170">Common_InputFunctions.Utility_DisplayArrayInTable(SourceData_PastureBeef.SourceData_PastureBeef_LiveweightGain_Data(), Table_SourceData_PastureBeef_LiveweightGain[[#Headers],[State]],0)</f>
        <v>0.49</v>
      </c>
      <c r="J170" s="35" cm="1">
        <f t="array" ref="J170">Common_InputFunctions.Utility_DisplayArrayInTable(SourceData_PastureBeef.SourceData_PastureBeef_LiveweightGain_Data(), Table_SourceData_PastureBeef_LiveweightGain[[#Headers],[State]],0)</f>
        <v>0.22</v>
      </c>
      <c r="K170" s="35" cm="1">
        <f t="array" ref="K170">Common_InputFunctions.Utility_DisplayArrayInTable(SourceData_PastureBeef.SourceData_PastureBeef_LiveweightGain_Data(), Table_SourceData_PastureBeef_LiveweightGain[[#Headers],[State]],0)</f>
        <v>0.22</v>
      </c>
      <c r="L170" s="35" cm="1">
        <f t="array" ref="L170">Common_InputFunctions.Utility_DisplayArrayInTable(SourceData_PastureBeef.SourceData_PastureBeef_LiveweightGain_Data(), Table_SourceData_PastureBeef_LiveweightGain[[#Headers],[State]],0)</f>
        <v>0.49</v>
      </c>
      <c r="M170" s="35" cm="1">
        <f t="array" ref="M170">Common_InputFunctions.Utility_DisplayArrayInTable(SourceData_PastureBeef.SourceData_PastureBeef_LiveweightGain_Data(), Table_SourceData_PastureBeef_LiveweightGain[[#Headers],[State]],0)</f>
        <v>0.33</v>
      </c>
    </row>
    <row r="171" spans="4:13" x14ac:dyDescent="0.25">
      <c r="D171" s="1" t="str" cm="1">
        <f t="array" ref="D171">Common_InputFunctions.Utility_DisplayArrayInTable(SourceData_PastureBeef.SourceData_PastureBeef_LiveweightGain_Data(), Table_SourceData_PastureBeef_LiveweightGain[[#Headers],[State]],0)</f>
        <v>Western Australia</v>
      </c>
      <c r="E171" s="35" t="str" cm="1">
        <f t="array" ref="E171">Common_InputFunctions.Utility_DisplayArrayInTable(SourceData_PastureBeef.SourceData_PastureBeef_LiveweightGain_Data(), Table_SourceData_PastureBeef_LiveweightGain[[#Headers],[State]],0)</f>
        <v>South West</v>
      </c>
      <c r="F171" s="35" t="str" cm="1">
        <f t="array" ref="F171">Common_InputFunctions.Utility_DisplayArrayInTable(SourceData_PastureBeef.SourceData_PastureBeef_LiveweightGain_Data(), Table_SourceData_PastureBeef_LiveweightGain[[#Headers],[State]],0)</f>
        <v>Spring</v>
      </c>
      <c r="G171" s="35" cm="1">
        <f t="array" ref="G171">Common_InputFunctions.Utility_DisplayArrayInTable(SourceData_PastureBeef.SourceData_PastureBeef_LiveweightGain_Data(), Table_SourceData_PastureBeef_LiveweightGain[[#Headers],[State]],0)</f>
        <v>1.64</v>
      </c>
      <c r="H171" s="35" cm="1">
        <f t="array" ref="H171">Common_InputFunctions.Utility_DisplayArrayInTable(SourceData_PastureBeef.SourceData_PastureBeef_LiveweightGain_Data(), Table_SourceData_PastureBeef_LiveweightGain[[#Headers],[State]],0)</f>
        <v>1.1000000000000001</v>
      </c>
      <c r="I171" s="35" cm="1">
        <f t="array" ref="I171">Common_InputFunctions.Utility_DisplayArrayInTable(SourceData_PastureBeef.SourceData_PastureBeef_LiveweightGain_Data(), Table_SourceData_PastureBeef_LiveweightGain[[#Headers],[State]],0)</f>
        <v>1.21</v>
      </c>
      <c r="J171" s="35" cm="1">
        <f t="array" ref="J171">Common_InputFunctions.Utility_DisplayArrayInTable(SourceData_PastureBeef.SourceData_PastureBeef_LiveweightGain_Data(), Table_SourceData_PastureBeef_LiveweightGain[[#Headers],[State]],0)</f>
        <v>0.99</v>
      </c>
      <c r="K171" s="35" cm="1">
        <f t="array" ref="K171">Common_InputFunctions.Utility_DisplayArrayInTable(SourceData_PastureBeef.SourceData_PastureBeef_LiveweightGain_Data(), Table_SourceData_PastureBeef_LiveweightGain[[#Headers],[State]],0)</f>
        <v>0.66</v>
      </c>
      <c r="L171" s="35" cm="1">
        <f t="array" ref="L171">Common_InputFunctions.Utility_DisplayArrayInTable(SourceData_PastureBeef.SourceData_PastureBeef_LiveweightGain_Data(), Table_SourceData_PastureBeef_LiveweightGain[[#Headers],[State]],0)</f>
        <v>1.42</v>
      </c>
      <c r="M171" s="35" cm="1">
        <f t="array" ref="M171">Common_InputFunctions.Utility_DisplayArrayInTable(SourceData_PastureBeef.SourceData_PastureBeef_LiveweightGain_Data(), Table_SourceData_PastureBeef_LiveweightGain[[#Headers],[State]],0)</f>
        <v>1.1000000000000001</v>
      </c>
    </row>
    <row r="172" spans="4:13" x14ac:dyDescent="0.25">
      <c r="D172" s="1" t="str" cm="1">
        <f t="array" ref="D172">Common_InputFunctions.Utility_DisplayArrayInTable(SourceData_PastureBeef.SourceData_PastureBeef_LiveweightGain_Data(), Table_SourceData_PastureBeef_LiveweightGain[[#Headers],[State]],0)</f>
        <v>Western Australia</v>
      </c>
      <c r="E172" s="35" t="str" cm="1">
        <f t="array" ref="E172">Common_InputFunctions.Utility_DisplayArrayInTable(SourceData_PastureBeef.SourceData_PastureBeef_LiveweightGain_Data(), Table_SourceData_PastureBeef_LiveweightGain[[#Headers],[State]],0)</f>
        <v>South West</v>
      </c>
      <c r="F172" s="35" t="str" cm="1">
        <f t="array" ref="F172">Common_InputFunctions.Utility_DisplayArrayInTable(SourceData_PastureBeef.SourceData_PastureBeef_LiveweightGain_Data(), Table_SourceData_PastureBeef_LiveweightGain[[#Headers],[State]],0)</f>
        <v>Summer</v>
      </c>
      <c r="G172" s="35" cm="1">
        <f t="array" ref="G172">Common_InputFunctions.Utility_DisplayArrayInTable(SourceData_PastureBeef.SourceData_PastureBeef_LiveweightGain_Data(), Table_SourceData_PastureBeef_LiveweightGain[[#Headers],[State]],0)</f>
        <v>0.44</v>
      </c>
      <c r="H172" s="35" cm="1">
        <f t="array" ref="H172">Common_InputFunctions.Utility_DisplayArrayInTable(SourceData_PastureBeef.SourceData_PastureBeef_LiveweightGain_Data(), Table_SourceData_PastureBeef_LiveweightGain[[#Headers],[State]],0)</f>
        <v>-0.22</v>
      </c>
      <c r="I172" s="35" cm="1">
        <f t="array" ref="I172">Common_InputFunctions.Utility_DisplayArrayInTable(SourceData_PastureBeef.SourceData_PastureBeef_LiveweightGain_Data(), Table_SourceData_PastureBeef_LiveweightGain[[#Headers],[State]],0)</f>
        <v>0.44</v>
      </c>
      <c r="J172" s="35" cm="1">
        <f t="array" ref="J172">Common_InputFunctions.Utility_DisplayArrayInTable(SourceData_PastureBeef.SourceData_PastureBeef_LiveweightGain_Data(), Table_SourceData_PastureBeef_LiveweightGain[[#Headers],[State]],0)</f>
        <v>0.33</v>
      </c>
      <c r="K172" s="35" cm="1">
        <f t="array" ref="K172">Common_InputFunctions.Utility_DisplayArrayInTable(SourceData_PastureBeef.SourceData_PastureBeef_LiveweightGain_Data(), Table_SourceData_PastureBeef_LiveweightGain[[#Headers],[State]],0)</f>
        <v>-0.22</v>
      </c>
      <c r="L172" s="35" cm="1">
        <f t="array" ref="L172">Common_InputFunctions.Utility_DisplayArrayInTable(SourceData_PastureBeef.SourceData_PastureBeef_LiveweightGain_Data(), Table_SourceData_PastureBeef_LiveweightGain[[#Headers],[State]],0)</f>
        <v>0.44</v>
      </c>
      <c r="M172" s="35" cm="1">
        <f t="array" ref="M172">Common_InputFunctions.Utility_DisplayArrayInTable(SourceData_PastureBeef.SourceData_PastureBeef_LiveweightGain_Data(), Table_SourceData_PastureBeef_LiveweightGain[[#Headers],[State]],0)</f>
        <v>-0.11</v>
      </c>
    </row>
    <row r="173" spans="4:13" x14ac:dyDescent="0.25">
      <c r="D173" s="1" t="str" cm="1">
        <f t="array" ref="D173">Common_InputFunctions.Utility_DisplayArrayInTable(SourceData_PastureBeef.SourceData_PastureBeef_LiveweightGain_Data(), Table_SourceData_PastureBeef_LiveweightGain[[#Headers],[State]],0)</f>
        <v>Western Australia</v>
      </c>
      <c r="E173" s="35" t="str" cm="1">
        <f t="array" ref="E173">Common_InputFunctions.Utility_DisplayArrayInTable(SourceData_PastureBeef.SourceData_PastureBeef_LiveweightGain_Data(), Table_SourceData_PastureBeef_LiveweightGain[[#Headers],[State]],0)</f>
        <v>South West</v>
      </c>
      <c r="F173" s="35" t="str" cm="1">
        <f t="array" ref="F173">Common_InputFunctions.Utility_DisplayArrayInTable(SourceData_PastureBeef.SourceData_PastureBeef_LiveweightGain_Data(), Table_SourceData_PastureBeef_LiveweightGain[[#Headers],[State]],0)</f>
        <v>Autumn</v>
      </c>
      <c r="G173" s="35" cm="1">
        <f t="array" ref="G173">Common_InputFunctions.Utility_DisplayArrayInTable(SourceData_PastureBeef.SourceData_PastureBeef_LiveweightGain_Data(), Table_SourceData_PastureBeef_LiveweightGain[[#Headers],[State]],0)</f>
        <v>0.6</v>
      </c>
      <c r="H173" s="35" cm="1">
        <f t="array" ref="H173">Common_InputFunctions.Utility_DisplayArrayInTable(SourceData_PastureBeef.SourceData_PastureBeef_LiveweightGain_Data(), Table_SourceData_PastureBeef_LiveweightGain[[#Headers],[State]],0)</f>
        <v>0</v>
      </c>
      <c r="I173" s="35" cm="1">
        <f t="array" ref="I173">Common_InputFunctions.Utility_DisplayArrayInTable(SourceData_PastureBeef.SourceData_PastureBeef_LiveweightGain_Data(), Table_SourceData_PastureBeef_LiveweightGain[[#Headers],[State]],0)</f>
        <v>0.6</v>
      </c>
      <c r="J173" s="35" cm="1">
        <f t="array" ref="J173">Common_InputFunctions.Utility_DisplayArrayInTable(SourceData_PastureBeef.SourceData_PastureBeef_LiveweightGain_Data(), Table_SourceData_PastureBeef_LiveweightGain[[#Headers],[State]],0)</f>
        <v>0.22</v>
      </c>
      <c r="K173" s="35" cm="1">
        <f t="array" ref="K173">Common_InputFunctions.Utility_DisplayArrayInTable(SourceData_PastureBeef.SourceData_PastureBeef_LiveweightGain_Data(), Table_SourceData_PastureBeef_LiveweightGain[[#Headers],[State]],0)</f>
        <v>-0.55000000000000004</v>
      </c>
      <c r="L173" s="35" cm="1">
        <f t="array" ref="L173">Common_InputFunctions.Utility_DisplayArrayInTable(SourceData_PastureBeef.SourceData_PastureBeef_LiveweightGain_Data(), Table_SourceData_PastureBeef_LiveweightGain[[#Headers],[State]],0)</f>
        <v>0.6</v>
      </c>
      <c r="M173" s="35" cm="1">
        <f t="array" ref="M173">Common_InputFunctions.Utility_DisplayArrayInTable(SourceData_PastureBeef.SourceData_PastureBeef_LiveweightGain_Data(), Table_SourceData_PastureBeef_LiveweightGain[[#Headers],[State]],0)</f>
        <v>0</v>
      </c>
    </row>
    <row r="174" spans="4:13" x14ac:dyDescent="0.25">
      <c r="D174" s="1" t="str" cm="1">
        <f t="array" ref="D174">Common_InputFunctions.Utility_DisplayArrayInTable(SourceData_PastureBeef.SourceData_PastureBeef_LiveweightGain_Data(), Table_SourceData_PastureBeef_LiveweightGain[[#Headers],[State]],0)</f>
        <v>Western Australia</v>
      </c>
      <c r="E174" s="35" t="str" cm="1">
        <f t="array" ref="E174">Common_InputFunctions.Utility_DisplayArrayInTable(SourceData_PastureBeef.SourceData_PastureBeef_LiveweightGain_Data(), Table_SourceData_PastureBeef_LiveweightGain[[#Headers],[State]],0)</f>
        <v>South West</v>
      </c>
      <c r="F174" s="35" t="str" cm="1">
        <f t="array" ref="F174">Common_InputFunctions.Utility_DisplayArrayInTable(SourceData_PastureBeef.SourceData_PastureBeef_LiveweightGain_Data(), Table_SourceData_PastureBeef_LiveweightGain[[#Headers],[State]],0)</f>
        <v>Winter</v>
      </c>
      <c r="G174" s="35" cm="1">
        <f t="array" ref="G174">Common_InputFunctions.Utility_DisplayArrayInTable(SourceData_PastureBeef.SourceData_PastureBeef_LiveweightGain_Data(), Table_SourceData_PastureBeef_LiveweightGain[[#Headers],[State]],0)</f>
        <v>0.99</v>
      </c>
      <c r="H174" s="35" cm="1">
        <f t="array" ref="H174">Common_InputFunctions.Utility_DisplayArrayInTable(SourceData_PastureBeef.SourceData_PastureBeef_LiveweightGain_Data(), Table_SourceData_PastureBeef_LiveweightGain[[#Headers],[State]],0)</f>
        <v>0.22</v>
      </c>
      <c r="I174" s="35" cm="1">
        <f t="array" ref="I174">Common_InputFunctions.Utility_DisplayArrayInTable(SourceData_PastureBeef.SourceData_PastureBeef_LiveweightGain_Data(), Table_SourceData_PastureBeef_LiveweightGain[[#Headers],[State]],0)</f>
        <v>0.77</v>
      </c>
      <c r="J174" s="35" cm="1">
        <f t="array" ref="J174">Common_InputFunctions.Utility_DisplayArrayInTable(SourceData_PastureBeef.SourceData_PastureBeef_LiveweightGain_Data(), Table_SourceData_PastureBeef_LiveweightGain[[#Headers],[State]],0)</f>
        <v>0.11</v>
      </c>
      <c r="K174" s="35" cm="1">
        <f t="array" ref="K174">Common_InputFunctions.Utility_DisplayArrayInTable(SourceData_PastureBeef.SourceData_PastureBeef_LiveweightGain_Data(), Table_SourceData_PastureBeef_LiveweightGain[[#Headers],[State]],0)</f>
        <v>0.11</v>
      </c>
      <c r="L174" s="35" cm="1">
        <f t="array" ref="L174">Common_InputFunctions.Utility_DisplayArrayInTable(SourceData_PastureBeef.SourceData_PastureBeef_LiveweightGain_Data(), Table_SourceData_PastureBeef_LiveweightGain[[#Headers],[State]],0)</f>
        <v>0.77</v>
      </c>
      <c r="M174" s="35" cm="1">
        <f t="array" ref="M174">Common_InputFunctions.Utility_DisplayArrayInTable(SourceData_PastureBeef.SourceData_PastureBeef_LiveweightGain_Data(), Table_SourceData_PastureBeef_LiveweightGain[[#Headers],[State]],0)</f>
        <v>0.44</v>
      </c>
    </row>
    <row r="175" spans="4:13" x14ac:dyDescent="0.25">
      <c r="D175" s="1" t="str" cm="1">
        <f t="array" ref="D175">Common_InputFunctions.Utility_DisplayArrayInTable(SourceData_PastureBeef.SourceData_PastureBeef_LiveweightGain_Data(), Table_SourceData_PastureBeef_LiveweightGain[[#Headers],[State]],0)</f>
        <v>Western Australia</v>
      </c>
      <c r="E175" s="35" t="str" cm="1">
        <f t="array" ref="E175">Common_InputFunctions.Utility_DisplayArrayInTable(SourceData_PastureBeef.SourceData_PastureBeef_LiveweightGain_Data(), Table_SourceData_PastureBeef_LiveweightGain[[#Headers],[State]],0)</f>
        <v>Pilbara</v>
      </c>
      <c r="F175" s="35" t="str" cm="1">
        <f t="array" ref="F175">Common_InputFunctions.Utility_DisplayArrayInTable(SourceData_PastureBeef.SourceData_PastureBeef_LiveweightGain_Data(), Table_SourceData_PastureBeef_LiveweightGain[[#Headers],[State]],0)</f>
        <v>Spring</v>
      </c>
      <c r="G175" s="35" cm="1">
        <f t="array" ref="G175">Common_InputFunctions.Utility_DisplayArrayInTable(SourceData_PastureBeef.SourceData_PastureBeef_LiveweightGain_Data(), Table_SourceData_PastureBeef_LiveweightGain[[#Headers],[State]],0)</f>
        <v>0.7</v>
      </c>
      <c r="H175" s="35" cm="1">
        <f t="array" ref="H175">Common_InputFunctions.Utility_DisplayArrayInTable(SourceData_PastureBeef.SourceData_PastureBeef_LiveweightGain_Data(), Table_SourceData_PastureBeef_LiveweightGain[[#Headers],[State]],0)</f>
        <v>-0.55000000000000004</v>
      </c>
      <c r="I175" s="35" cm="1">
        <f t="array" ref="I175">Common_InputFunctions.Utility_DisplayArrayInTable(SourceData_PastureBeef.SourceData_PastureBeef_LiveweightGain_Data(), Table_SourceData_PastureBeef_LiveweightGain[[#Headers],[State]],0)</f>
        <v>0.7</v>
      </c>
      <c r="J175" s="35" cm="1">
        <f t="array" ref="J175">Common_InputFunctions.Utility_DisplayArrayInTable(SourceData_PastureBeef.SourceData_PastureBeef_LiveweightGain_Data(), Table_SourceData_PastureBeef_LiveweightGain[[#Headers],[State]],0)</f>
        <v>0.22</v>
      </c>
      <c r="K175" s="35" cm="1">
        <f t="array" ref="K175">Common_InputFunctions.Utility_DisplayArrayInTable(SourceData_PastureBeef.SourceData_PastureBeef_LiveweightGain_Data(), Table_SourceData_PastureBeef_LiveweightGain[[#Headers],[State]],0)</f>
        <v>-0.22</v>
      </c>
      <c r="L175" s="35" cm="1">
        <f t="array" ref="L175">Common_InputFunctions.Utility_DisplayArrayInTable(SourceData_PastureBeef.SourceData_PastureBeef_LiveweightGain_Data(), Table_SourceData_PastureBeef_LiveweightGain[[#Headers],[State]],0)</f>
        <v>0.7</v>
      </c>
      <c r="M175" s="35" cm="1">
        <f t="array" ref="M175">Common_InputFunctions.Utility_DisplayArrayInTable(SourceData_PastureBeef.SourceData_PastureBeef_LiveweightGain_Data(), Table_SourceData_PastureBeef_LiveweightGain[[#Headers],[State]],0)</f>
        <v>-0.22</v>
      </c>
    </row>
    <row r="176" spans="4:13" x14ac:dyDescent="0.25">
      <c r="D176" s="1" t="str" cm="1">
        <f t="array" ref="D176">Common_InputFunctions.Utility_DisplayArrayInTable(SourceData_PastureBeef.SourceData_PastureBeef_LiveweightGain_Data(), Table_SourceData_PastureBeef_LiveweightGain[[#Headers],[State]],0)</f>
        <v>Western Australia</v>
      </c>
      <c r="E176" s="35" t="str" cm="1">
        <f t="array" ref="E176">Common_InputFunctions.Utility_DisplayArrayInTable(SourceData_PastureBeef.SourceData_PastureBeef_LiveweightGain_Data(), Table_SourceData_PastureBeef_LiveweightGain[[#Headers],[State]],0)</f>
        <v>Pilbara</v>
      </c>
      <c r="F176" s="35" t="str" cm="1">
        <f t="array" ref="F176">Common_InputFunctions.Utility_DisplayArrayInTable(SourceData_PastureBeef.SourceData_PastureBeef_LiveweightGain_Data(), Table_SourceData_PastureBeef_LiveweightGain[[#Headers],[State]],0)</f>
        <v>Summer</v>
      </c>
      <c r="G176" s="35" cm="1">
        <f t="array" ref="G176">Common_InputFunctions.Utility_DisplayArrayInTable(SourceData_PastureBeef.SourceData_PastureBeef_LiveweightGain_Data(), Table_SourceData_PastureBeef_LiveweightGain[[#Headers],[State]],0)</f>
        <v>0.77</v>
      </c>
      <c r="H176" s="35" cm="1">
        <f t="array" ref="H176">Common_InputFunctions.Utility_DisplayArrayInTable(SourceData_PastureBeef.SourceData_PastureBeef_LiveweightGain_Data(), Table_SourceData_PastureBeef_LiveweightGain[[#Headers],[State]],0)</f>
        <v>0.55000000000000004</v>
      </c>
      <c r="I176" s="35" cm="1">
        <f t="array" ref="I176">Common_InputFunctions.Utility_DisplayArrayInTable(SourceData_PastureBeef.SourceData_PastureBeef_LiveweightGain_Data(), Table_SourceData_PastureBeef_LiveweightGain[[#Headers],[State]],0)</f>
        <v>0.77</v>
      </c>
      <c r="J176" s="35" cm="1">
        <f t="array" ref="J176">Common_InputFunctions.Utility_DisplayArrayInTable(SourceData_PastureBeef.SourceData_PastureBeef_LiveweightGain_Data(), Table_SourceData_PastureBeef_LiveweightGain[[#Headers],[State]],0)</f>
        <v>0.66</v>
      </c>
      <c r="K176" s="35" cm="1">
        <f t="array" ref="K176">Common_InputFunctions.Utility_DisplayArrayInTable(SourceData_PastureBeef.SourceData_PastureBeef_LiveweightGain_Data(), Table_SourceData_PastureBeef_LiveweightGain[[#Headers],[State]],0)</f>
        <v>0.55000000000000004</v>
      </c>
      <c r="L176" s="35" cm="1">
        <f t="array" ref="L176">Common_InputFunctions.Utility_DisplayArrayInTable(SourceData_PastureBeef.SourceData_PastureBeef_LiveweightGain_Data(), Table_SourceData_PastureBeef_LiveweightGain[[#Headers],[State]],0)</f>
        <v>0.77</v>
      </c>
      <c r="M176" s="35" cm="1">
        <f t="array" ref="M176">Common_InputFunctions.Utility_DisplayArrayInTable(SourceData_PastureBeef.SourceData_PastureBeef_LiveweightGain_Data(), Table_SourceData_PastureBeef_LiveweightGain[[#Headers],[State]],0)</f>
        <v>0.33</v>
      </c>
    </row>
    <row r="177" spans="4:16" x14ac:dyDescent="0.25">
      <c r="D177" s="1" t="str" cm="1">
        <f t="array" ref="D177">Common_InputFunctions.Utility_DisplayArrayInTable(SourceData_PastureBeef.SourceData_PastureBeef_LiveweightGain_Data(), Table_SourceData_PastureBeef_LiveweightGain[[#Headers],[State]],0)</f>
        <v>Western Australia</v>
      </c>
      <c r="E177" s="35" t="str" cm="1">
        <f t="array" ref="E177">Common_InputFunctions.Utility_DisplayArrayInTable(SourceData_PastureBeef.SourceData_PastureBeef_LiveweightGain_Data(), Table_SourceData_PastureBeef_LiveweightGain[[#Headers],[State]],0)</f>
        <v>Pilbara</v>
      </c>
      <c r="F177" s="35" t="str" cm="1">
        <f t="array" ref="F177">Common_InputFunctions.Utility_DisplayArrayInTable(SourceData_PastureBeef.SourceData_PastureBeef_LiveweightGain_Data(), Table_SourceData_PastureBeef_LiveweightGain[[#Headers],[State]],0)</f>
        <v>Autumn</v>
      </c>
      <c r="G177" s="35" cm="1">
        <f t="array" ref="G177">Common_InputFunctions.Utility_DisplayArrayInTable(SourceData_PastureBeef.SourceData_PastureBeef_LiveweightGain_Data(), Table_SourceData_PastureBeef_LiveweightGain[[#Headers],[State]],0)</f>
        <v>0.88</v>
      </c>
      <c r="H177" s="35" cm="1">
        <f t="array" ref="H177">Common_InputFunctions.Utility_DisplayArrayInTable(SourceData_PastureBeef.SourceData_PastureBeef_LiveweightGain_Data(), Table_SourceData_PastureBeef_LiveweightGain[[#Headers],[State]],0)</f>
        <v>0.55000000000000004</v>
      </c>
      <c r="I177" s="35" cm="1">
        <f t="array" ref="I177">Common_InputFunctions.Utility_DisplayArrayInTable(SourceData_PastureBeef.SourceData_PastureBeef_LiveweightGain_Data(), Table_SourceData_PastureBeef_LiveweightGain[[#Headers],[State]],0)</f>
        <v>0.88</v>
      </c>
      <c r="J177" s="35" cm="1">
        <f t="array" ref="J177">Common_InputFunctions.Utility_DisplayArrayInTable(SourceData_PastureBeef.SourceData_PastureBeef_LiveweightGain_Data(), Table_SourceData_PastureBeef_LiveweightGain[[#Headers],[State]],0)</f>
        <v>0.22</v>
      </c>
      <c r="K177" s="35" cm="1">
        <f t="array" ref="K177">Common_InputFunctions.Utility_DisplayArrayInTable(SourceData_PastureBeef.SourceData_PastureBeef_LiveweightGain_Data(), Table_SourceData_PastureBeef_LiveweightGain[[#Headers],[State]],0)</f>
        <v>0.22</v>
      </c>
      <c r="L177" s="35" cm="1">
        <f t="array" ref="L177">Common_InputFunctions.Utility_DisplayArrayInTable(SourceData_PastureBeef.SourceData_PastureBeef_LiveweightGain_Data(), Table_SourceData_PastureBeef_LiveweightGain[[#Headers],[State]],0)</f>
        <v>0.88</v>
      </c>
      <c r="M177" s="35" cm="1">
        <f t="array" ref="M177">Common_InputFunctions.Utility_DisplayArrayInTable(SourceData_PastureBeef.SourceData_PastureBeef_LiveweightGain_Data(), Table_SourceData_PastureBeef_LiveweightGain[[#Headers],[State]],0)</f>
        <v>0.22</v>
      </c>
    </row>
    <row r="178" spans="4:16" x14ac:dyDescent="0.25">
      <c r="D178" s="1" t="str" cm="1">
        <f t="array" ref="D178">Common_InputFunctions.Utility_DisplayArrayInTable(SourceData_PastureBeef.SourceData_PastureBeef_LiveweightGain_Data(), Table_SourceData_PastureBeef_LiveweightGain[[#Headers],[State]],0)</f>
        <v>Western Australia</v>
      </c>
      <c r="E178" s="35" t="str" cm="1">
        <f t="array" ref="E178">Common_InputFunctions.Utility_DisplayArrayInTable(SourceData_PastureBeef.SourceData_PastureBeef_LiveweightGain_Data(), Table_SourceData_PastureBeef_LiveweightGain[[#Headers],[State]],0)</f>
        <v>Pilbara</v>
      </c>
      <c r="F178" s="35" t="str" cm="1">
        <f t="array" ref="F178">Common_InputFunctions.Utility_DisplayArrayInTable(SourceData_PastureBeef.SourceData_PastureBeef_LiveweightGain_Data(), Table_SourceData_PastureBeef_LiveweightGain[[#Headers],[State]],0)</f>
        <v>Winter</v>
      </c>
      <c r="G178" s="35" cm="1">
        <f t="array" ref="G178">Common_InputFunctions.Utility_DisplayArrayInTable(SourceData_PastureBeef.SourceData_PastureBeef_LiveweightGain_Data(), Table_SourceData_PastureBeef_LiveweightGain[[#Headers],[State]],0)</f>
        <v>0.22</v>
      </c>
      <c r="H178" s="35" cm="1">
        <f t="array" ref="H178">Common_InputFunctions.Utility_DisplayArrayInTable(SourceData_PastureBeef.SourceData_PastureBeef_LiveweightGain_Data(), Table_SourceData_PastureBeef_LiveweightGain[[#Headers],[State]],0)</f>
        <v>-0.55000000000000004</v>
      </c>
      <c r="I178" s="35" cm="1">
        <f t="array" ref="I178">Common_InputFunctions.Utility_DisplayArrayInTable(SourceData_PastureBeef.SourceData_PastureBeef_LiveweightGain_Data(), Table_SourceData_PastureBeef_LiveweightGain[[#Headers],[State]],0)</f>
        <v>0.22</v>
      </c>
      <c r="J178" s="35" cm="1">
        <f t="array" ref="J178">Common_InputFunctions.Utility_DisplayArrayInTable(SourceData_PastureBeef.SourceData_PastureBeef_LiveweightGain_Data(), Table_SourceData_PastureBeef_LiveweightGain[[#Headers],[State]],0)</f>
        <v>0.11</v>
      </c>
      <c r="K178" s="35" cm="1">
        <f t="array" ref="K178">Common_InputFunctions.Utility_DisplayArrayInTable(SourceData_PastureBeef.SourceData_PastureBeef_LiveweightGain_Data(), Table_SourceData_PastureBeef_LiveweightGain[[#Headers],[State]],0)</f>
        <v>-0.22</v>
      </c>
      <c r="L178" s="35" cm="1">
        <f t="array" ref="L178">Common_InputFunctions.Utility_DisplayArrayInTable(SourceData_PastureBeef.SourceData_PastureBeef_LiveweightGain_Data(), Table_SourceData_PastureBeef_LiveweightGain[[#Headers],[State]],0)</f>
        <v>0.22</v>
      </c>
      <c r="M178" s="35" cm="1">
        <f t="array" ref="M178">Common_InputFunctions.Utility_DisplayArrayInTable(SourceData_PastureBeef.SourceData_PastureBeef_LiveweightGain_Data(), Table_SourceData_PastureBeef_LiveweightGain[[#Headers],[State]],0)</f>
        <v>-0.33</v>
      </c>
    </row>
    <row r="179" spans="4:16" x14ac:dyDescent="0.25">
      <c r="D179" s="1" t="str" cm="1">
        <f t="array" ref="D179">Common_InputFunctions.Utility_DisplayArrayInTable(SourceData_PastureBeef.SourceData_PastureBeef_LiveweightGain_Data(), Table_SourceData_PastureBeef_LiveweightGain[[#Headers],[State]],0)</f>
        <v>Western Australia</v>
      </c>
      <c r="E179" s="35" t="str" cm="1">
        <f t="array" ref="E179">Common_InputFunctions.Utility_DisplayArrayInTable(SourceData_PastureBeef.SourceData_PastureBeef_LiveweightGain_Data(), Table_SourceData_PastureBeef_LiveweightGain[[#Headers],[State]],0)</f>
        <v>Kimberley</v>
      </c>
      <c r="F179" s="35" t="str" cm="1">
        <f t="array" ref="F179">Common_InputFunctions.Utility_DisplayArrayInTable(SourceData_PastureBeef.SourceData_PastureBeef_LiveweightGain_Data(), Table_SourceData_PastureBeef_LiveweightGain[[#Headers],[State]],0)</f>
        <v>Spring</v>
      </c>
      <c r="G179" s="35" cm="1">
        <f t="array" ref="G179">Common_InputFunctions.Utility_DisplayArrayInTable(SourceData_PastureBeef.SourceData_PastureBeef_LiveweightGain_Data(), Table_SourceData_PastureBeef_LiveweightGain[[#Headers],[State]],0)</f>
        <v>0.22</v>
      </c>
      <c r="H179" s="35" cm="1">
        <f t="array" ref="H179">Common_InputFunctions.Utility_DisplayArrayInTable(SourceData_PastureBeef.SourceData_PastureBeef_LiveweightGain_Data(), Table_SourceData_PastureBeef_LiveweightGain[[#Headers],[State]],0)</f>
        <v>-0.55000000000000004</v>
      </c>
      <c r="I179" s="35" cm="1">
        <f t="array" ref="I179">Common_InputFunctions.Utility_DisplayArrayInTable(SourceData_PastureBeef.SourceData_PastureBeef_LiveweightGain_Data(), Table_SourceData_PastureBeef_LiveweightGain[[#Headers],[State]],0)</f>
        <v>0.33</v>
      </c>
      <c r="J179" s="35" cm="1">
        <f t="array" ref="J179">Common_InputFunctions.Utility_DisplayArrayInTable(SourceData_PastureBeef.SourceData_PastureBeef_LiveweightGain_Data(), Table_SourceData_PastureBeef_LiveweightGain[[#Headers],[State]],0)</f>
        <v>0.22</v>
      </c>
      <c r="K179" s="35" cm="1">
        <f t="array" ref="K179">Common_InputFunctions.Utility_DisplayArrayInTable(SourceData_PastureBeef.SourceData_PastureBeef_LiveweightGain_Data(), Table_SourceData_PastureBeef_LiveweightGain[[#Headers],[State]],0)</f>
        <v>-0.33</v>
      </c>
      <c r="L179" s="35" cm="1">
        <f t="array" ref="L179">Common_InputFunctions.Utility_DisplayArrayInTable(SourceData_PastureBeef.SourceData_PastureBeef_LiveweightGain_Data(), Table_SourceData_PastureBeef_LiveweightGain[[#Headers],[State]],0)</f>
        <v>0.22</v>
      </c>
      <c r="M179" s="35" cm="1">
        <f t="array" ref="M179">Common_InputFunctions.Utility_DisplayArrayInTable(SourceData_PastureBeef.SourceData_PastureBeef_LiveweightGain_Data(), Table_SourceData_PastureBeef_LiveweightGain[[#Headers],[State]],0)</f>
        <v>-0.55000000000000004</v>
      </c>
    </row>
    <row r="180" spans="4:16" x14ac:dyDescent="0.25">
      <c r="D180" s="1" t="str" cm="1">
        <f t="array" ref="D180">Common_InputFunctions.Utility_DisplayArrayInTable(SourceData_PastureBeef.SourceData_PastureBeef_LiveweightGain_Data(), Table_SourceData_PastureBeef_LiveweightGain[[#Headers],[State]],0)</f>
        <v>Western Australia</v>
      </c>
      <c r="E180" s="35" t="str" cm="1">
        <f t="array" ref="E180">Common_InputFunctions.Utility_DisplayArrayInTable(SourceData_PastureBeef.SourceData_PastureBeef_LiveweightGain_Data(), Table_SourceData_PastureBeef_LiveweightGain[[#Headers],[State]],0)</f>
        <v>Kimberley</v>
      </c>
      <c r="F180" s="35" t="str" cm="1">
        <f t="array" ref="F180">Common_InputFunctions.Utility_DisplayArrayInTable(SourceData_PastureBeef.SourceData_PastureBeef_LiveweightGain_Data(), Table_SourceData_PastureBeef_LiveweightGain[[#Headers],[State]],0)</f>
        <v>Summer</v>
      </c>
      <c r="G180" s="35" cm="1">
        <f t="array" ref="G180">Common_InputFunctions.Utility_DisplayArrayInTable(SourceData_PastureBeef.SourceData_PastureBeef_LiveweightGain_Data(), Table_SourceData_PastureBeef_LiveweightGain[[#Headers],[State]],0)</f>
        <v>0.8</v>
      </c>
      <c r="H180" s="35" cm="1">
        <f t="array" ref="H180">Common_InputFunctions.Utility_DisplayArrayInTable(SourceData_PastureBeef.SourceData_PastureBeef_LiveweightGain_Data(), Table_SourceData_PastureBeef_LiveweightGain[[#Headers],[State]],0)</f>
        <v>0.55000000000000004</v>
      </c>
      <c r="I180" s="35" cm="1">
        <f t="array" ref="I180">Common_InputFunctions.Utility_DisplayArrayInTable(SourceData_PastureBeef.SourceData_PastureBeef_LiveweightGain_Data(), Table_SourceData_PastureBeef_LiveweightGain[[#Headers],[State]],0)</f>
        <v>0.7</v>
      </c>
      <c r="J180" s="35" cm="1">
        <f t="array" ref="J180">Common_InputFunctions.Utility_DisplayArrayInTable(SourceData_PastureBeef.SourceData_PastureBeef_LiveweightGain_Data(), Table_SourceData_PastureBeef_LiveweightGain[[#Headers],[State]],0)</f>
        <v>0.44</v>
      </c>
      <c r="K180" s="35" cm="1">
        <f t="array" ref="K180">Common_InputFunctions.Utility_DisplayArrayInTable(SourceData_PastureBeef.SourceData_PastureBeef_LiveweightGain_Data(), Table_SourceData_PastureBeef_LiveweightGain[[#Headers],[State]],0)</f>
        <v>0.66</v>
      </c>
      <c r="L180" s="35" cm="1">
        <f t="array" ref="L180">Common_InputFunctions.Utility_DisplayArrayInTable(SourceData_PastureBeef.SourceData_PastureBeef_LiveweightGain_Data(), Table_SourceData_PastureBeef_LiveweightGain[[#Headers],[State]],0)</f>
        <v>0.8</v>
      </c>
      <c r="M180" s="35" cm="1">
        <f t="array" ref="M180">Common_InputFunctions.Utility_DisplayArrayInTable(SourceData_PastureBeef.SourceData_PastureBeef_LiveweightGain_Data(), Table_SourceData_PastureBeef_LiveweightGain[[#Headers],[State]],0)</f>
        <v>0.55000000000000004</v>
      </c>
    </row>
    <row r="181" spans="4:16" x14ac:dyDescent="0.25">
      <c r="D181" s="1" t="str" cm="1">
        <f t="array" ref="D181">Common_InputFunctions.Utility_DisplayArrayInTable(SourceData_PastureBeef.SourceData_PastureBeef_LiveweightGain_Data(), Table_SourceData_PastureBeef_LiveweightGain[[#Headers],[State]],0)</f>
        <v>Western Australia</v>
      </c>
      <c r="E181" s="35" t="str" cm="1">
        <f t="array" ref="E181">Common_InputFunctions.Utility_DisplayArrayInTable(SourceData_PastureBeef.SourceData_PastureBeef_LiveweightGain_Data(), Table_SourceData_PastureBeef_LiveweightGain[[#Headers],[State]],0)</f>
        <v>Kimberley</v>
      </c>
      <c r="F181" s="35" t="str" cm="1">
        <f t="array" ref="F181">Common_InputFunctions.Utility_DisplayArrayInTable(SourceData_PastureBeef.SourceData_PastureBeef_LiveweightGain_Data(), Table_SourceData_PastureBeef_LiveweightGain[[#Headers],[State]],0)</f>
        <v>Autumn</v>
      </c>
      <c r="G181" s="35" cm="1">
        <f t="array" ref="G181">Common_InputFunctions.Utility_DisplayArrayInTable(SourceData_PastureBeef.SourceData_PastureBeef_LiveweightGain_Data(), Table_SourceData_PastureBeef_LiveweightGain[[#Headers],[State]],0)</f>
        <v>0.66</v>
      </c>
      <c r="H181" s="35" cm="1">
        <f t="array" ref="H181">Common_InputFunctions.Utility_DisplayArrayInTable(SourceData_PastureBeef.SourceData_PastureBeef_LiveweightGain_Data(), Table_SourceData_PastureBeef_LiveweightGain[[#Headers],[State]],0)</f>
        <v>0.55000000000000004</v>
      </c>
      <c r="I181" s="35" cm="1">
        <f t="array" ref="I181">Common_InputFunctions.Utility_DisplayArrayInTable(SourceData_PastureBeef.SourceData_PastureBeef_LiveweightGain_Data(), Table_SourceData_PastureBeef_LiveweightGain[[#Headers],[State]],0)</f>
        <v>0.55000000000000004</v>
      </c>
      <c r="J181" s="35" cm="1">
        <f t="array" ref="J181">Common_InputFunctions.Utility_DisplayArrayInTable(SourceData_PastureBeef.SourceData_PastureBeef_LiveweightGain_Data(), Table_SourceData_PastureBeef_LiveweightGain[[#Headers],[State]],0)</f>
        <v>0.55000000000000004</v>
      </c>
      <c r="K181" s="35" cm="1">
        <f t="array" ref="K181">Common_InputFunctions.Utility_DisplayArrayInTable(SourceData_PastureBeef.SourceData_PastureBeef_LiveweightGain_Data(), Table_SourceData_PastureBeef_LiveweightGain[[#Headers],[State]],0)</f>
        <v>0.11</v>
      </c>
      <c r="L181" s="35" cm="1">
        <f t="array" ref="L181">Common_InputFunctions.Utility_DisplayArrayInTable(SourceData_PastureBeef.SourceData_PastureBeef_LiveweightGain_Data(), Table_SourceData_PastureBeef_LiveweightGain[[#Headers],[State]],0)</f>
        <v>0.66</v>
      </c>
      <c r="M181" s="35" cm="1">
        <f t="array" ref="M181">Common_InputFunctions.Utility_DisplayArrayInTable(SourceData_PastureBeef.SourceData_PastureBeef_LiveweightGain_Data(), Table_SourceData_PastureBeef_LiveweightGain[[#Headers],[State]],0)</f>
        <v>0.55000000000000004</v>
      </c>
    </row>
    <row r="182" spans="4:16" x14ac:dyDescent="0.25">
      <c r="D182" s="1" t="str" cm="1">
        <f t="array" ref="D182">Common_InputFunctions.Utility_DisplayArrayInTable(SourceData_PastureBeef.SourceData_PastureBeef_LiveweightGain_Data(), Table_SourceData_PastureBeef_LiveweightGain[[#Headers],[State]],0)</f>
        <v>Western Australia</v>
      </c>
      <c r="E182" s="35" t="str" cm="1">
        <f t="array" ref="E182">Common_InputFunctions.Utility_DisplayArrayInTable(SourceData_PastureBeef.SourceData_PastureBeef_LiveweightGain_Data(), Table_SourceData_PastureBeef_LiveweightGain[[#Headers],[State]],0)</f>
        <v>Kimberley</v>
      </c>
      <c r="F182" s="35" t="str" cm="1">
        <f t="array" ref="F182">Common_InputFunctions.Utility_DisplayArrayInTable(SourceData_PastureBeef.SourceData_PastureBeef_LiveweightGain_Data(), Table_SourceData_PastureBeef_LiveweightGain[[#Headers],[State]],0)</f>
        <v>Winter</v>
      </c>
      <c r="G182" s="35" cm="1">
        <f t="array" ref="G182">Common_InputFunctions.Utility_DisplayArrayInTable(SourceData_PastureBeef.SourceData_PastureBeef_LiveweightGain_Data(), Table_SourceData_PastureBeef_LiveweightGain[[#Headers],[State]],0)</f>
        <v>0.33</v>
      </c>
      <c r="H182" s="35" cm="1">
        <f t="array" ref="H182">Common_InputFunctions.Utility_DisplayArrayInTable(SourceData_PastureBeef.SourceData_PastureBeef_LiveweightGain_Data(), Table_SourceData_PastureBeef_LiveweightGain[[#Headers],[State]],0)</f>
        <v>-0.55000000000000004</v>
      </c>
      <c r="I182" s="35" cm="1">
        <f t="array" ref="I182">Common_InputFunctions.Utility_DisplayArrayInTable(SourceData_PastureBeef.SourceData_PastureBeef_LiveweightGain_Data(), Table_SourceData_PastureBeef_LiveweightGain[[#Headers],[State]],0)</f>
        <v>0.11</v>
      </c>
      <c r="J182" s="35" cm="1">
        <f t="array" ref="J182">Common_InputFunctions.Utility_DisplayArrayInTable(SourceData_PastureBeef.SourceData_PastureBeef_LiveweightGain_Data(), Table_SourceData_PastureBeef_LiveweightGain[[#Headers],[State]],0)</f>
        <v>0.11</v>
      </c>
      <c r="K182" s="35" cm="1">
        <f t="array" ref="K182">Common_InputFunctions.Utility_DisplayArrayInTable(SourceData_PastureBeef.SourceData_PastureBeef_LiveweightGain_Data(), Table_SourceData_PastureBeef_LiveweightGain[[#Headers],[State]],0)</f>
        <v>-0.44</v>
      </c>
      <c r="L182" s="35" cm="1">
        <f t="array" ref="L182">Common_InputFunctions.Utility_DisplayArrayInTable(SourceData_PastureBeef.SourceData_PastureBeef_LiveweightGain_Data(), Table_SourceData_PastureBeef_LiveweightGain[[#Headers],[State]],0)</f>
        <v>0.33</v>
      </c>
      <c r="M182" s="35" cm="1">
        <f t="array" ref="M182">Common_InputFunctions.Utility_DisplayArrayInTable(SourceData_PastureBeef.SourceData_PastureBeef_LiveweightGain_Data(), Table_SourceData_PastureBeef_LiveweightGain[[#Headers],[State]],0)</f>
        <v>-0.55000000000000004</v>
      </c>
    </row>
    <row r="183" spans="4:16" x14ac:dyDescent="0.25">
      <c r="M183" s="1"/>
    </row>
    <row r="184" spans="4:16" x14ac:dyDescent="0.25">
      <c r="M184" s="1"/>
    </row>
    <row r="185" spans="4:16" ht="23.25" x14ac:dyDescent="0.25">
      <c r="D185" s="6" t="str" cm="1">
        <f t="array" ref="D185">SourceData_PastureBeef.SourceData_PastureBeef_LiveweightGainNTQLD_Title()</f>
        <v>Beef pasture cattle - Liveweight gain (kg) (LWGjkl) for NT and QLD</v>
      </c>
      <c r="M185" s="1"/>
    </row>
    <row r="186" spans="4:16" x14ac:dyDescent="0.25">
      <c r="D186" s="5" t="str" cm="1">
        <f t="array" ref="D186">SourceData_PastureBeef.SourceData_PastureBeef_LiveweightGainNTQLD_Source()</f>
        <v>VEERG 2026: Table A.1.2.4</v>
      </c>
      <c r="M186" s="1"/>
    </row>
    <row r="187" spans="4:16" x14ac:dyDescent="0.25">
      <c r="D187" s="1" t="str" cm="1">
        <f t="array" ref="D187">SourceData_PastureBeef.SourceData_PastureBeef_LiveweightGainNTQLD_Variable()</f>
        <v>LWGjkl</v>
      </c>
      <c r="M187" s="1"/>
    </row>
    <row r="188" spans="4:16" x14ac:dyDescent="0.25">
      <c r="D188" s="51" t="str" cm="1">
        <f t="array" ref="D188">SourceData_PastureBeef.SourceData_PastureBeef_LiveweightGainNTQLD_Unit()</f>
        <v>kg</v>
      </c>
      <c r="M188" s="1"/>
    </row>
    <row r="189" spans="4:16" x14ac:dyDescent="0.25">
      <c r="D189" s="35" t="s">
        <v>5</v>
      </c>
      <c r="E189" s="35" t="s">
        <v>144</v>
      </c>
      <c r="F189" s="35" t="s">
        <v>145</v>
      </c>
      <c r="G189" s="35" t="s">
        <v>164</v>
      </c>
      <c r="H189" s="35" t="s">
        <v>153</v>
      </c>
      <c r="I189" s="35" t="s">
        <v>185</v>
      </c>
      <c r="J189" s="35" t="s">
        <v>149</v>
      </c>
      <c r="K189" s="35" t="s">
        <v>188</v>
      </c>
      <c r="L189" s="35" t="s">
        <v>189</v>
      </c>
      <c r="M189" s="35" t="s">
        <v>158</v>
      </c>
      <c r="N189" s="35" t="s">
        <v>159</v>
      </c>
      <c r="O189" s="35" t="s">
        <v>160</v>
      </c>
      <c r="P189" s="35" t="s">
        <v>161</v>
      </c>
    </row>
    <row r="190" spans="4:16" x14ac:dyDescent="0.25">
      <c r="D190" s="35" t="str" cm="1">
        <f t="array" ref="D190">Common_InputFunctions.Utility_DisplayArrayInTable(SourceData_PastureBeef.SourceData_PastureBeef_LiveweightGainNTQLD_Data(),Table_SourceData_PastureBeef_LiveweightGainNTQLD[[#Headers],[State]],0)</f>
        <v>Northern Territory</v>
      </c>
      <c r="E190" s="35" t="str" cm="1">
        <f t="array" ref="E190">Common_InputFunctions.Utility_DisplayArrayInTable(SourceData_PastureBeef.SourceData_PastureBeef_LiveweightGainNTQLD_Data(),Table_SourceData_PastureBeef_LiveweightGainNTQLD[[#Headers],[State]],0)</f>
        <v>Alice Springs</v>
      </c>
      <c r="F190" s="35" t="str" cm="1">
        <f t="array" ref="F190">Common_InputFunctions.Utility_DisplayArrayInTable(SourceData_PastureBeef.SourceData_PastureBeef_LiveweightGainNTQLD_Data(),Table_SourceData_PastureBeef_LiveweightGainNTQLD[[#Headers],[State]],0)</f>
        <v>Spring</v>
      </c>
      <c r="G190" s="35" cm="1">
        <f t="array" ref="G190">Common_InputFunctions.Utility_DisplayArrayInTable(SourceData_PastureBeef.SourceData_PastureBeef_LiveweightGainNTQLD_Data(),Table_SourceData_PastureBeef_LiveweightGainNTQLD[[#Headers],[State]],0)</f>
        <v>0.22</v>
      </c>
      <c r="H190" s="35" cm="1">
        <f t="array" ref="H190">Common_InputFunctions.Utility_DisplayArrayInTable(SourceData_PastureBeef.SourceData_PastureBeef_LiveweightGainNTQLD_Data(),Table_SourceData_PastureBeef_LiveweightGainNTQLD[[#Headers],[State]],0)</f>
        <v>-0.23</v>
      </c>
      <c r="I190" s="35" cm="1">
        <f t="array" ref="I190">Common_InputFunctions.Utility_DisplayArrayInTable(SourceData_PastureBeef.SourceData_PastureBeef_LiveweightGainNTQLD_Data(),Table_SourceData_PastureBeef_LiveweightGainNTQLD[[#Headers],[State]],0)</f>
        <v>0.25</v>
      </c>
      <c r="J190" s="35" cm="1">
        <f t="array" ref="J190">Common_InputFunctions.Utility_DisplayArrayInTable(SourceData_PastureBeef.SourceData_PastureBeef_LiveweightGainNTQLD_Data(),Table_SourceData_PastureBeef_LiveweightGainNTQLD[[#Headers],[State]],0)</f>
        <v>0.17</v>
      </c>
      <c r="K190" s="35" cm="1">
        <f t="array" ref="K190">Common_InputFunctions.Utility_DisplayArrayInTable(SourceData_PastureBeef.SourceData_PastureBeef_LiveweightGainNTQLD_Data(),Table_SourceData_PastureBeef_LiveweightGainNTQLD[[#Headers],[State]],0)</f>
        <v>0.18</v>
      </c>
      <c r="L190" s="35" cm="1">
        <f t="array" ref="L190">Common_InputFunctions.Utility_DisplayArrayInTable(SourceData_PastureBeef.SourceData_PastureBeef_LiveweightGainNTQLD_Data(),Table_SourceData_PastureBeef_LiveweightGainNTQLD[[#Headers],[State]],0)</f>
        <v>-0.28000000000000003</v>
      </c>
      <c r="M190" s="35" cm="1">
        <f t="array" ref="M190">Common_InputFunctions.Utility_DisplayArrayInTable(SourceData_PastureBeef.SourceData_PastureBeef_LiveweightGainNTQLD_Data(),Table_SourceData_PastureBeef_LiveweightGainNTQLD[[#Headers],[State]],0)</f>
        <v>0.32</v>
      </c>
      <c r="N190" s="35" cm="1">
        <f t="array" ref="N190">Common_InputFunctions.Utility_DisplayArrayInTable(SourceData_PastureBeef.SourceData_PastureBeef_LiveweightGainNTQLD_Data(),Table_SourceData_PastureBeef_LiveweightGainNTQLD[[#Headers],[State]],0)</f>
        <v>0.24</v>
      </c>
      <c r="O190" s="35" cm="1">
        <f t="array" ref="O190">Common_InputFunctions.Utility_DisplayArrayInTable(SourceData_PastureBeef.SourceData_PastureBeef_LiveweightGainNTQLD_Data(),Table_SourceData_PastureBeef_LiveweightGainNTQLD[[#Headers],[State]],0)</f>
        <v>0.25</v>
      </c>
      <c r="P190" s="35" cm="1">
        <f t="array" ref="P190">Common_InputFunctions.Utility_DisplayArrayInTable(SourceData_PastureBeef.SourceData_PastureBeef_LiveweightGainNTQLD_Data(),Table_SourceData_PastureBeef_LiveweightGainNTQLD[[#Headers],[State]],0)</f>
        <v>-0.05</v>
      </c>
    </row>
    <row r="191" spans="4:16" x14ac:dyDescent="0.25">
      <c r="D191" s="1" t="str" cm="1">
        <f t="array" ref="D191">Common_InputFunctions.Utility_DisplayArrayInTable(SourceData_PastureBeef.SourceData_PastureBeef_LiveweightGainNTQLD_Data(),Table_SourceData_PastureBeef_LiveweightGainNTQLD[[#Headers],[State]],0)</f>
        <v>Northern Territory</v>
      </c>
      <c r="E191" s="35" t="str" cm="1">
        <f t="array" ref="E191">Common_InputFunctions.Utility_DisplayArrayInTable(SourceData_PastureBeef.SourceData_PastureBeef_LiveweightGainNTQLD_Data(),Table_SourceData_PastureBeef_LiveweightGainNTQLD[[#Headers],[State]],0)</f>
        <v>Alice Springs</v>
      </c>
      <c r="F191" s="35" t="str" cm="1">
        <f t="array" ref="F191">Common_InputFunctions.Utility_DisplayArrayInTable(SourceData_PastureBeef.SourceData_PastureBeef_LiveweightGainNTQLD_Data(),Table_SourceData_PastureBeef_LiveweightGainNTQLD[[#Headers],[State]],0)</f>
        <v>Summer</v>
      </c>
      <c r="G191" s="35" cm="1">
        <f t="array" ref="G191">Common_InputFunctions.Utility_DisplayArrayInTable(SourceData_PastureBeef.SourceData_PastureBeef_LiveweightGainNTQLD_Data(),Table_SourceData_PastureBeef_LiveweightGainNTQLD[[#Headers],[State]],0)</f>
        <v>0.66</v>
      </c>
      <c r="H191" s="35" cm="1">
        <f t="array" ref="H191">Common_InputFunctions.Utility_DisplayArrayInTable(SourceData_PastureBeef.SourceData_PastureBeef_LiveweightGainNTQLD_Data(),Table_SourceData_PastureBeef_LiveweightGainNTQLD[[#Headers],[State]],0)</f>
        <v>0.2</v>
      </c>
      <c r="I191" s="35" cm="1">
        <f t="array" ref="I191">Common_InputFunctions.Utility_DisplayArrayInTable(SourceData_PastureBeef.SourceData_PastureBeef_LiveweightGainNTQLD_Data(),Table_SourceData_PastureBeef_LiveweightGainNTQLD[[#Headers],[State]],0)</f>
        <v>0.62</v>
      </c>
      <c r="J191" s="35" cm="1">
        <f t="array" ref="J191">Common_InputFunctions.Utility_DisplayArrayInTable(SourceData_PastureBeef.SourceData_PastureBeef_LiveweightGainNTQLD_Data(),Table_SourceData_PastureBeef_LiveweightGainNTQLD[[#Headers],[State]],0)</f>
        <v>0.54</v>
      </c>
      <c r="K191" s="35" cm="1">
        <f t="array" ref="K191">Common_InputFunctions.Utility_DisplayArrayInTable(SourceData_PastureBeef.SourceData_PastureBeef_LiveweightGainNTQLD_Data(),Table_SourceData_PastureBeef_LiveweightGainNTQLD[[#Headers],[State]],0)</f>
        <v>0.38</v>
      </c>
      <c r="L191" s="35" cm="1">
        <f t="array" ref="L191">Common_InputFunctions.Utility_DisplayArrayInTable(SourceData_PastureBeef.SourceData_PastureBeef_LiveweightGainNTQLD_Data(),Table_SourceData_PastureBeef_LiveweightGainNTQLD[[#Headers],[State]],0)</f>
        <v>0.27</v>
      </c>
      <c r="M191" s="35" cm="1">
        <f t="array" ref="M191">Common_InputFunctions.Utility_DisplayArrayInTable(SourceData_PastureBeef.SourceData_PastureBeef_LiveweightGainNTQLD_Data(),Table_SourceData_PastureBeef_LiveweightGainNTQLD[[#Headers],[State]],0)</f>
        <v>0.75</v>
      </c>
      <c r="N191" s="35" cm="1">
        <f t="array" ref="N191">Common_InputFunctions.Utility_DisplayArrayInTable(SourceData_PastureBeef.SourceData_PastureBeef_LiveweightGainNTQLD_Data(),Table_SourceData_PastureBeef_LiveweightGainNTQLD[[#Headers],[State]],0)</f>
        <v>0.64</v>
      </c>
      <c r="O191" s="35" cm="1">
        <f t="array" ref="O191">Common_InputFunctions.Utility_DisplayArrayInTable(SourceData_PastureBeef.SourceData_PastureBeef_LiveweightGainNTQLD_Data(),Table_SourceData_PastureBeef_LiveweightGainNTQLD[[#Headers],[State]],0)</f>
        <v>0.55000000000000004</v>
      </c>
      <c r="P191" s="35" cm="1">
        <f t="array" ref="P191">Common_InputFunctions.Utility_DisplayArrayInTable(SourceData_PastureBeef.SourceData_PastureBeef_LiveweightGainNTQLD_Data(),Table_SourceData_PastureBeef_LiveweightGainNTQLD[[#Headers],[State]],0)</f>
        <v>0.48</v>
      </c>
    </row>
    <row r="192" spans="4:16" x14ac:dyDescent="0.25">
      <c r="D192" s="1" t="str" cm="1">
        <f t="array" ref="D192">Common_InputFunctions.Utility_DisplayArrayInTable(SourceData_PastureBeef.SourceData_PastureBeef_LiveweightGainNTQLD_Data(),Table_SourceData_PastureBeef_LiveweightGainNTQLD[[#Headers],[State]],0)</f>
        <v>Northern Territory</v>
      </c>
      <c r="E192" s="35" t="str" cm="1">
        <f t="array" ref="E192">Common_InputFunctions.Utility_DisplayArrayInTable(SourceData_PastureBeef.SourceData_PastureBeef_LiveweightGainNTQLD_Data(),Table_SourceData_PastureBeef_LiveweightGainNTQLD[[#Headers],[State]],0)</f>
        <v>Alice Springs</v>
      </c>
      <c r="F192" s="35" t="str" cm="1">
        <f t="array" ref="F192">Common_InputFunctions.Utility_DisplayArrayInTable(SourceData_PastureBeef.SourceData_PastureBeef_LiveweightGainNTQLD_Data(),Table_SourceData_PastureBeef_LiveweightGainNTQLD[[#Headers],[State]],0)</f>
        <v>Autumn</v>
      </c>
      <c r="G192" s="35" cm="1">
        <f t="array" ref="G192">Common_InputFunctions.Utility_DisplayArrayInTable(SourceData_PastureBeef.SourceData_PastureBeef_LiveweightGainNTQLD_Data(),Table_SourceData_PastureBeef_LiveweightGainNTQLD[[#Headers],[State]],0)</f>
        <v>0.49</v>
      </c>
      <c r="H192" s="35" cm="1">
        <f t="array" ref="H192">Common_InputFunctions.Utility_DisplayArrayInTable(SourceData_PastureBeef.SourceData_PastureBeef_LiveweightGainNTQLD_Data(),Table_SourceData_PastureBeef_LiveweightGainNTQLD[[#Headers],[State]],0)</f>
        <v>0.13</v>
      </c>
      <c r="I192" s="35" cm="1">
        <f t="array" ref="I192">Common_InputFunctions.Utility_DisplayArrayInTable(SourceData_PastureBeef.SourceData_PastureBeef_LiveweightGainNTQLD_Data(),Table_SourceData_PastureBeef_LiveweightGainNTQLD[[#Headers],[State]],0)</f>
        <v>0.54</v>
      </c>
      <c r="J192" s="35" cm="1">
        <f t="array" ref="J192">Common_InputFunctions.Utility_DisplayArrayInTable(SourceData_PastureBeef.SourceData_PastureBeef_LiveweightGainNTQLD_Data(),Table_SourceData_PastureBeef_LiveweightGainNTQLD[[#Headers],[State]],0)</f>
        <v>0.45</v>
      </c>
      <c r="K192" s="35" cm="1">
        <f t="array" ref="K192">Common_InputFunctions.Utility_DisplayArrayInTable(SourceData_PastureBeef.SourceData_PastureBeef_LiveweightGainNTQLD_Data(),Table_SourceData_PastureBeef_LiveweightGainNTQLD[[#Headers],[State]],0)</f>
        <v>0.35</v>
      </c>
      <c r="L192" s="35" cm="1">
        <f t="array" ref="L192">Common_InputFunctions.Utility_DisplayArrayInTable(SourceData_PastureBeef.SourceData_PastureBeef_LiveweightGainNTQLD_Data(),Table_SourceData_PastureBeef_LiveweightGainNTQLD[[#Headers],[State]],0)</f>
        <v>0.15</v>
      </c>
      <c r="M192" s="35" cm="1">
        <f t="array" ref="M192">Common_InputFunctions.Utility_DisplayArrayInTable(SourceData_PastureBeef.SourceData_PastureBeef_LiveweightGainNTQLD_Data(),Table_SourceData_PastureBeef_LiveweightGainNTQLD[[#Headers],[State]],0)</f>
        <v>0.63</v>
      </c>
      <c r="N192" s="35" cm="1">
        <f t="array" ref="N192">Common_InputFunctions.Utility_DisplayArrayInTable(SourceData_PastureBeef.SourceData_PastureBeef_LiveweightGainNTQLD_Data(),Table_SourceData_PastureBeef_LiveweightGainNTQLD[[#Headers],[State]],0)</f>
        <v>0.54</v>
      </c>
      <c r="O192" s="35" cm="1">
        <f t="array" ref="O192">Common_InputFunctions.Utility_DisplayArrayInTable(SourceData_PastureBeef.SourceData_PastureBeef_LiveweightGainNTQLD_Data(),Table_SourceData_PastureBeef_LiveweightGainNTQLD[[#Headers],[State]],0)</f>
        <v>0.42</v>
      </c>
      <c r="P192" s="35" cm="1">
        <f t="array" ref="P192">Common_InputFunctions.Utility_DisplayArrayInTable(SourceData_PastureBeef.SourceData_PastureBeef_LiveweightGainNTQLD_Data(),Table_SourceData_PastureBeef_LiveweightGainNTQLD[[#Headers],[State]],0)</f>
        <v>0.26</v>
      </c>
    </row>
    <row r="193" spans="4:16" x14ac:dyDescent="0.25">
      <c r="D193" s="1" t="str" cm="1">
        <f t="array" ref="D193">Common_InputFunctions.Utility_DisplayArrayInTable(SourceData_PastureBeef.SourceData_PastureBeef_LiveweightGainNTQLD_Data(),Table_SourceData_PastureBeef_LiveweightGainNTQLD[[#Headers],[State]],0)</f>
        <v>Northern Territory</v>
      </c>
      <c r="E193" s="35" t="str" cm="1">
        <f t="array" ref="E193">Common_InputFunctions.Utility_DisplayArrayInTable(SourceData_PastureBeef.SourceData_PastureBeef_LiveweightGainNTQLD_Data(),Table_SourceData_PastureBeef_LiveweightGainNTQLD[[#Headers],[State]],0)</f>
        <v>Alice Springs</v>
      </c>
      <c r="F193" s="35" t="str" cm="1">
        <f t="array" ref="F193">Common_InputFunctions.Utility_DisplayArrayInTable(SourceData_PastureBeef.SourceData_PastureBeef_LiveweightGainNTQLD_Data(),Table_SourceData_PastureBeef_LiveweightGainNTQLD[[#Headers],[State]],0)</f>
        <v>Winter</v>
      </c>
      <c r="G193" s="35" cm="1">
        <f t="array" ref="G193">Common_InputFunctions.Utility_DisplayArrayInTable(SourceData_PastureBeef.SourceData_PastureBeef_LiveweightGainNTQLD_Data(),Table_SourceData_PastureBeef_LiveweightGainNTQLD[[#Headers],[State]],0)</f>
        <v>0.27</v>
      </c>
      <c r="H193" s="35" cm="1">
        <f t="array" ref="H193">Common_InputFunctions.Utility_DisplayArrayInTable(SourceData_PastureBeef.SourceData_PastureBeef_LiveweightGainNTQLD_Data(),Table_SourceData_PastureBeef_LiveweightGainNTQLD[[#Headers],[State]],0)</f>
        <v>-0.8</v>
      </c>
      <c r="I193" s="35" cm="1">
        <f t="array" ref="I193">Common_InputFunctions.Utility_DisplayArrayInTable(SourceData_PastureBeef.SourceData_PastureBeef_LiveweightGainNTQLD_Data(),Table_SourceData_PastureBeef_LiveweightGainNTQLD[[#Headers],[State]],0)</f>
        <v>0.22</v>
      </c>
      <c r="J193" s="35" cm="1">
        <f t="array" ref="J193">Common_InputFunctions.Utility_DisplayArrayInTable(SourceData_PastureBeef.SourceData_PastureBeef_LiveweightGainNTQLD_Data(),Table_SourceData_PastureBeef_LiveweightGainNTQLD[[#Headers],[State]],0)</f>
        <v>0.09</v>
      </c>
      <c r="K193" s="35" cm="1">
        <f t="array" ref="K193">Common_InputFunctions.Utility_DisplayArrayInTable(SourceData_PastureBeef.SourceData_PastureBeef_LiveweightGainNTQLD_Data(),Table_SourceData_PastureBeef_LiveweightGainNTQLD[[#Headers],[State]],0)</f>
        <v>0.12</v>
      </c>
      <c r="L193" s="35" cm="1">
        <f t="array" ref="L193">Common_InputFunctions.Utility_DisplayArrayInTable(SourceData_PastureBeef.SourceData_PastureBeef_LiveweightGainNTQLD_Data(),Table_SourceData_PastureBeef_LiveweightGainNTQLD[[#Headers],[State]],0)</f>
        <v>0.02</v>
      </c>
      <c r="M193" s="35" cm="1">
        <f t="array" ref="M193">Common_InputFunctions.Utility_DisplayArrayInTable(SourceData_PastureBeef.SourceData_PastureBeef_LiveweightGainNTQLD_Data(),Table_SourceData_PastureBeef_LiveweightGainNTQLD[[#Headers],[State]],0)</f>
        <v>0.25</v>
      </c>
      <c r="N193" s="35" cm="1">
        <f t="array" ref="N193">Common_InputFunctions.Utility_DisplayArrayInTable(SourceData_PastureBeef.SourceData_PastureBeef_LiveweightGainNTQLD_Data(),Table_SourceData_PastureBeef_LiveweightGainNTQLD[[#Headers],[State]],0)</f>
        <v>0.18</v>
      </c>
      <c r="O193" s="35" cm="1">
        <f t="array" ref="O193">Common_InputFunctions.Utility_DisplayArrayInTable(SourceData_PastureBeef.SourceData_PastureBeef_LiveweightGainNTQLD_Data(),Table_SourceData_PastureBeef_LiveweightGainNTQLD[[#Headers],[State]],0)</f>
        <v>0.12</v>
      </c>
      <c r="P193" s="35" cm="1">
        <f t="array" ref="P193">Common_InputFunctions.Utility_DisplayArrayInTable(SourceData_PastureBeef.SourceData_PastureBeef_LiveweightGainNTQLD_Data(),Table_SourceData_PastureBeef_LiveweightGainNTQLD[[#Headers],[State]],0)</f>
        <v>0.03</v>
      </c>
    </row>
    <row r="194" spans="4:16" x14ac:dyDescent="0.25">
      <c r="D194" s="1" t="str" cm="1">
        <f t="array" ref="D194">Common_InputFunctions.Utility_DisplayArrayInTable(SourceData_PastureBeef.SourceData_PastureBeef_LiveweightGainNTQLD_Data(),Table_SourceData_PastureBeef_LiveweightGainNTQLD[[#Headers],[State]],0)</f>
        <v>Northern Territory</v>
      </c>
      <c r="E194" s="35" t="str" cm="1">
        <f t="array" ref="E194">Common_InputFunctions.Utility_DisplayArrayInTable(SourceData_PastureBeef.SourceData_PastureBeef_LiveweightGainNTQLD_Data(),Table_SourceData_PastureBeef_LiveweightGainNTQLD[[#Headers],[State]],0)</f>
        <v>Barkly</v>
      </c>
      <c r="F194" s="35" t="str" cm="1">
        <f t="array" ref="F194">Common_InputFunctions.Utility_DisplayArrayInTable(SourceData_PastureBeef.SourceData_PastureBeef_LiveweightGainNTQLD_Data(),Table_SourceData_PastureBeef_LiveweightGainNTQLD[[#Headers],[State]],0)</f>
        <v>Spring</v>
      </c>
      <c r="G194" s="35" cm="1">
        <f t="array" ref="G194">Common_InputFunctions.Utility_DisplayArrayInTable(SourceData_PastureBeef.SourceData_PastureBeef_LiveweightGainNTQLD_Data(),Table_SourceData_PastureBeef_LiveweightGainNTQLD[[#Headers],[State]],0)</f>
        <v>0.22</v>
      </c>
      <c r="H194" s="35" cm="1">
        <f t="array" ref="H194">Common_InputFunctions.Utility_DisplayArrayInTable(SourceData_PastureBeef.SourceData_PastureBeef_LiveweightGainNTQLD_Data(),Table_SourceData_PastureBeef_LiveweightGainNTQLD[[#Headers],[State]],0)</f>
        <v>-0.44</v>
      </c>
      <c r="I194" s="35" cm="1">
        <f t="array" ref="I194">Common_InputFunctions.Utility_DisplayArrayInTable(SourceData_PastureBeef.SourceData_PastureBeef_LiveweightGainNTQLD_Data(),Table_SourceData_PastureBeef_LiveweightGainNTQLD[[#Headers],[State]],0)</f>
        <v>0.2</v>
      </c>
      <c r="J194" s="35" cm="1">
        <f t="array" ref="J194">Common_InputFunctions.Utility_DisplayArrayInTable(SourceData_PastureBeef.SourceData_PastureBeef_LiveweightGainNTQLD_Data(),Table_SourceData_PastureBeef_LiveweightGainNTQLD[[#Headers],[State]],0)</f>
        <v>0.21</v>
      </c>
      <c r="K194" s="35" cm="1">
        <f t="array" ref="K194">Common_InputFunctions.Utility_DisplayArrayInTable(SourceData_PastureBeef.SourceData_PastureBeef_LiveweightGainNTQLD_Data(),Table_SourceData_PastureBeef_LiveweightGainNTQLD[[#Headers],[State]],0)</f>
        <v>0.18</v>
      </c>
      <c r="L194" s="35" cm="1">
        <f t="array" ref="L194">Common_InputFunctions.Utility_DisplayArrayInTable(SourceData_PastureBeef.SourceData_PastureBeef_LiveweightGainNTQLD_Data(),Table_SourceData_PastureBeef_LiveweightGainNTQLD[[#Headers],[State]],0)</f>
        <v>0.01</v>
      </c>
      <c r="M194" s="35" cm="1">
        <f t="array" ref="M194">Common_InputFunctions.Utility_DisplayArrayInTable(SourceData_PastureBeef.SourceData_PastureBeef_LiveweightGainNTQLD_Data(),Table_SourceData_PastureBeef_LiveweightGainNTQLD[[#Headers],[State]],0)</f>
        <v>0.12</v>
      </c>
      <c r="N194" s="35" cm="1">
        <f t="array" ref="N194">Common_InputFunctions.Utility_DisplayArrayInTable(SourceData_PastureBeef.SourceData_PastureBeef_LiveweightGainNTQLD_Data(),Table_SourceData_PastureBeef_LiveweightGainNTQLD[[#Headers],[State]],0)</f>
        <v>0.09</v>
      </c>
      <c r="O194" s="35" t="str" cm="1">
        <f t="array" ref="O194">Common_InputFunctions.Utility_DisplayArrayInTable(SourceData_PastureBeef.SourceData_PastureBeef_LiveweightGainNTQLD_Data(),Table_SourceData_PastureBeef_LiveweightGainNTQLD[[#Headers],[State]],0)</f>
        <v>NO</v>
      </c>
      <c r="P194" s="35" t="str" cm="1">
        <f t="array" ref="P194">Common_InputFunctions.Utility_DisplayArrayInTable(SourceData_PastureBeef.SourceData_PastureBeef_LiveweightGainNTQLD_Data(),Table_SourceData_PastureBeef_LiveweightGainNTQLD[[#Headers],[State]],0)</f>
        <v>NO</v>
      </c>
    </row>
    <row r="195" spans="4:16" x14ac:dyDescent="0.25">
      <c r="D195" s="1" t="str" cm="1">
        <f t="array" ref="D195">Common_InputFunctions.Utility_DisplayArrayInTable(SourceData_PastureBeef.SourceData_PastureBeef_LiveweightGainNTQLD_Data(),Table_SourceData_PastureBeef_LiveweightGainNTQLD[[#Headers],[State]],0)</f>
        <v>Northern Territory</v>
      </c>
      <c r="E195" s="35" t="str" cm="1">
        <f t="array" ref="E195">Common_InputFunctions.Utility_DisplayArrayInTable(SourceData_PastureBeef.SourceData_PastureBeef_LiveweightGainNTQLD_Data(),Table_SourceData_PastureBeef_LiveweightGainNTQLD[[#Headers],[State]],0)</f>
        <v>Barkly</v>
      </c>
      <c r="F195" s="35" t="str" cm="1">
        <f t="array" ref="F195">Common_InputFunctions.Utility_DisplayArrayInTable(SourceData_PastureBeef.SourceData_PastureBeef_LiveweightGainNTQLD_Data(),Table_SourceData_PastureBeef_LiveweightGainNTQLD[[#Headers],[State]],0)</f>
        <v>Summer</v>
      </c>
      <c r="G195" s="35" cm="1">
        <f t="array" ref="G195">Common_InputFunctions.Utility_DisplayArrayInTable(SourceData_PastureBeef.SourceData_PastureBeef_LiveweightGainNTQLD_Data(),Table_SourceData_PastureBeef_LiveweightGainNTQLD[[#Headers],[State]],0)</f>
        <v>0.66</v>
      </c>
      <c r="H195" s="35" cm="1">
        <f t="array" ref="H195">Common_InputFunctions.Utility_DisplayArrayInTable(SourceData_PastureBeef.SourceData_PastureBeef_LiveweightGainNTQLD_Data(),Table_SourceData_PastureBeef_LiveweightGainNTQLD[[#Headers],[State]],0)</f>
        <v>0.22</v>
      </c>
      <c r="I195" s="35" cm="1">
        <f t="array" ref="I195">Common_InputFunctions.Utility_DisplayArrayInTable(SourceData_PastureBeef.SourceData_PastureBeef_LiveweightGainNTQLD_Data(),Table_SourceData_PastureBeef_LiveweightGainNTQLD[[#Headers],[State]],0)</f>
        <v>0.68</v>
      </c>
      <c r="J195" s="35" cm="1">
        <f t="array" ref="J195">Common_InputFunctions.Utility_DisplayArrayInTable(SourceData_PastureBeef.SourceData_PastureBeef_LiveweightGainNTQLD_Data(),Table_SourceData_PastureBeef_LiveweightGainNTQLD[[#Headers],[State]],0)</f>
        <v>0.22</v>
      </c>
      <c r="K195" s="35" cm="1">
        <f t="array" ref="K195">Common_InputFunctions.Utility_DisplayArrayInTable(SourceData_PastureBeef.SourceData_PastureBeef_LiveweightGainNTQLD_Data(),Table_SourceData_PastureBeef_LiveweightGainNTQLD[[#Headers],[State]],0)</f>
        <v>0.24</v>
      </c>
      <c r="L195" s="35" cm="1">
        <f t="array" ref="L195">Common_InputFunctions.Utility_DisplayArrayInTable(SourceData_PastureBeef.SourceData_PastureBeef_LiveweightGainNTQLD_Data(),Table_SourceData_PastureBeef_LiveweightGainNTQLD[[#Headers],[State]],0)</f>
        <v>0.25</v>
      </c>
      <c r="M195" s="35" cm="1">
        <f t="array" ref="M195">Common_InputFunctions.Utility_DisplayArrayInTable(SourceData_PastureBeef.SourceData_PastureBeef_LiveweightGainNTQLD_Data(),Table_SourceData_PastureBeef_LiveweightGainNTQLD[[#Headers],[State]],0)</f>
        <v>0.64</v>
      </c>
      <c r="N195" s="35" cm="1">
        <f t="array" ref="N195">Common_InputFunctions.Utility_DisplayArrayInTable(SourceData_PastureBeef.SourceData_PastureBeef_LiveweightGainNTQLD_Data(),Table_SourceData_PastureBeef_LiveweightGainNTQLD[[#Headers],[State]],0)</f>
        <v>0.37</v>
      </c>
      <c r="O195" s="35" t="str" cm="1">
        <f t="array" ref="O195">Common_InputFunctions.Utility_DisplayArrayInTable(SourceData_PastureBeef.SourceData_PastureBeef_LiveweightGainNTQLD_Data(),Table_SourceData_PastureBeef_LiveweightGainNTQLD[[#Headers],[State]],0)</f>
        <v>NO</v>
      </c>
      <c r="P195" s="35" t="str" cm="1">
        <f t="array" ref="P195">Common_InputFunctions.Utility_DisplayArrayInTable(SourceData_PastureBeef.SourceData_PastureBeef_LiveweightGainNTQLD_Data(),Table_SourceData_PastureBeef_LiveweightGainNTQLD[[#Headers],[State]],0)</f>
        <v>NO</v>
      </c>
    </row>
    <row r="196" spans="4:16" x14ac:dyDescent="0.25">
      <c r="D196" s="1" t="str" cm="1">
        <f t="array" ref="D196">Common_InputFunctions.Utility_DisplayArrayInTable(SourceData_PastureBeef.SourceData_PastureBeef_LiveweightGainNTQLD_Data(),Table_SourceData_PastureBeef_LiveweightGainNTQLD[[#Headers],[State]],0)</f>
        <v>Northern Territory</v>
      </c>
      <c r="E196" s="35" t="str" cm="1">
        <f t="array" ref="E196">Common_InputFunctions.Utility_DisplayArrayInTable(SourceData_PastureBeef.SourceData_PastureBeef_LiveweightGainNTQLD_Data(),Table_SourceData_PastureBeef_LiveweightGainNTQLD[[#Headers],[State]],0)</f>
        <v>Barkly</v>
      </c>
      <c r="F196" s="35" t="str" cm="1">
        <f t="array" ref="F196">Common_InputFunctions.Utility_DisplayArrayInTable(SourceData_PastureBeef.SourceData_PastureBeef_LiveweightGainNTQLD_Data(),Table_SourceData_PastureBeef_LiveweightGainNTQLD[[#Headers],[State]],0)</f>
        <v>Autumn</v>
      </c>
      <c r="G196" s="35" cm="1">
        <f t="array" ref="G196">Common_InputFunctions.Utility_DisplayArrayInTable(SourceData_PastureBeef.SourceData_PastureBeef_LiveweightGainNTQLD_Data(),Table_SourceData_PastureBeef_LiveweightGainNTQLD[[#Headers],[State]],0)</f>
        <v>0.49</v>
      </c>
      <c r="H196" s="35" cm="1">
        <f t="array" ref="H196">Common_InputFunctions.Utility_DisplayArrayInTable(SourceData_PastureBeef.SourceData_PastureBeef_LiveweightGainNTQLD_Data(),Table_SourceData_PastureBeef_LiveweightGainNTQLD[[#Headers],[State]],0)</f>
        <v>0.05</v>
      </c>
      <c r="I196" s="35" cm="1">
        <f t="array" ref="I196">Common_InputFunctions.Utility_DisplayArrayInTable(SourceData_PastureBeef.SourceData_PastureBeef_LiveweightGainNTQLD_Data(),Table_SourceData_PastureBeef_LiveweightGainNTQLD[[#Headers],[State]],0)</f>
        <v>0.64</v>
      </c>
      <c r="J196" s="35" cm="1">
        <f t="array" ref="J196">Common_InputFunctions.Utility_DisplayArrayInTable(SourceData_PastureBeef.SourceData_PastureBeef_LiveweightGainNTQLD_Data(),Table_SourceData_PastureBeef_LiveweightGainNTQLD[[#Headers],[State]],0)</f>
        <v>0.25</v>
      </c>
      <c r="K196" s="35" cm="1">
        <f t="array" ref="K196">Common_InputFunctions.Utility_DisplayArrayInTable(SourceData_PastureBeef.SourceData_PastureBeef_LiveweightGainNTQLD_Data(),Table_SourceData_PastureBeef_LiveweightGainNTQLD[[#Headers],[State]],0)</f>
        <v>0.28999999999999998</v>
      </c>
      <c r="L196" s="35" cm="1">
        <f t="array" ref="L196">Common_InputFunctions.Utility_DisplayArrayInTable(SourceData_PastureBeef.SourceData_PastureBeef_LiveweightGainNTQLD_Data(),Table_SourceData_PastureBeef_LiveweightGainNTQLD[[#Headers],[State]],0)</f>
        <v>0.12</v>
      </c>
      <c r="M196" s="35" cm="1">
        <f t="array" ref="M196">Common_InputFunctions.Utility_DisplayArrayInTable(SourceData_PastureBeef.SourceData_PastureBeef_LiveweightGainNTQLD_Data(),Table_SourceData_PastureBeef_LiveweightGainNTQLD[[#Headers],[State]],0)</f>
        <v>0.56999999999999995</v>
      </c>
      <c r="N196" s="35" cm="1">
        <f t="array" ref="N196">Common_InputFunctions.Utility_DisplayArrayInTable(SourceData_PastureBeef.SourceData_PastureBeef_LiveweightGainNTQLD_Data(),Table_SourceData_PastureBeef_LiveweightGainNTQLD[[#Headers],[State]],0)</f>
        <v>0.49</v>
      </c>
      <c r="O196" s="35" t="str" cm="1">
        <f t="array" ref="O196">Common_InputFunctions.Utility_DisplayArrayInTable(SourceData_PastureBeef.SourceData_PastureBeef_LiveweightGainNTQLD_Data(),Table_SourceData_PastureBeef_LiveweightGainNTQLD[[#Headers],[State]],0)</f>
        <v>NO</v>
      </c>
      <c r="P196" s="35" t="str" cm="1">
        <f t="array" ref="P196">Common_InputFunctions.Utility_DisplayArrayInTable(SourceData_PastureBeef.SourceData_PastureBeef_LiveweightGainNTQLD_Data(),Table_SourceData_PastureBeef_LiveweightGainNTQLD[[#Headers],[State]],0)</f>
        <v>NO</v>
      </c>
    </row>
    <row r="197" spans="4:16" x14ac:dyDescent="0.25">
      <c r="D197" s="1" t="str" cm="1">
        <f t="array" ref="D197">Common_InputFunctions.Utility_DisplayArrayInTable(SourceData_PastureBeef.SourceData_PastureBeef_LiveweightGainNTQLD_Data(),Table_SourceData_PastureBeef_LiveweightGainNTQLD[[#Headers],[State]],0)</f>
        <v>Northern Territory</v>
      </c>
      <c r="E197" s="35" t="str" cm="1">
        <f t="array" ref="E197">Common_InputFunctions.Utility_DisplayArrayInTable(SourceData_PastureBeef.SourceData_PastureBeef_LiveweightGainNTQLD_Data(),Table_SourceData_PastureBeef_LiveweightGainNTQLD[[#Headers],[State]],0)</f>
        <v>Barkly</v>
      </c>
      <c r="F197" s="35" t="str" cm="1">
        <f t="array" ref="F197">Common_InputFunctions.Utility_DisplayArrayInTable(SourceData_PastureBeef.SourceData_PastureBeef_LiveweightGainNTQLD_Data(),Table_SourceData_PastureBeef_LiveweightGainNTQLD[[#Headers],[State]],0)</f>
        <v>Winter</v>
      </c>
      <c r="G197" s="35" cm="1">
        <f t="array" ref="G197">Common_InputFunctions.Utility_DisplayArrayInTable(SourceData_PastureBeef.SourceData_PastureBeef_LiveweightGainNTQLD_Data(),Table_SourceData_PastureBeef_LiveweightGainNTQLD[[#Headers],[State]],0)</f>
        <v>0.27</v>
      </c>
      <c r="H197" s="35" cm="1">
        <f t="array" ref="H197">Common_InputFunctions.Utility_DisplayArrayInTable(SourceData_PastureBeef.SourceData_PastureBeef_LiveweightGainNTQLD_Data(),Table_SourceData_PastureBeef_LiveweightGainNTQLD[[#Headers],[State]],0)</f>
        <v>-0.27</v>
      </c>
      <c r="I197" s="35" cm="1">
        <f t="array" ref="I197">Common_InputFunctions.Utility_DisplayArrayInTable(SourceData_PastureBeef.SourceData_PastureBeef_LiveweightGainNTQLD_Data(),Table_SourceData_PastureBeef_LiveweightGainNTQLD[[#Headers],[State]],0)</f>
        <v>0.31</v>
      </c>
      <c r="J197" s="35" cm="1">
        <f t="array" ref="J197">Common_InputFunctions.Utility_DisplayArrayInTable(SourceData_PastureBeef.SourceData_PastureBeef_LiveweightGainNTQLD_Data(),Table_SourceData_PastureBeef_LiveweightGainNTQLD[[#Headers],[State]],0)</f>
        <v>0.28999999999999998</v>
      </c>
      <c r="K197" s="35" cm="1">
        <f t="array" ref="K197">Common_InputFunctions.Utility_DisplayArrayInTable(SourceData_PastureBeef.SourceData_PastureBeef_LiveweightGainNTQLD_Data(),Table_SourceData_PastureBeef_LiveweightGainNTQLD[[#Headers],[State]],0)</f>
        <v>0.19</v>
      </c>
      <c r="L197" s="35" cm="1">
        <f t="array" ref="L197">Common_InputFunctions.Utility_DisplayArrayInTable(SourceData_PastureBeef.SourceData_PastureBeef_LiveweightGainNTQLD_Data(),Table_SourceData_PastureBeef_LiveweightGainNTQLD[[#Headers],[State]],0)</f>
        <v>0.04</v>
      </c>
      <c r="M197" s="35" cm="1">
        <f t="array" ref="M197">Common_InputFunctions.Utility_DisplayArrayInTable(SourceData_PastureBeef.SourceData_PastureBeef_LiveweightGainNTQLD_Data(),Table_SourceData_PastureBeef_LiveweightGainNTQLD[[#Headers],[State]],0)</f>
        <v>0.26</v>
      </c>
      <c r="N197" s="35" cm="1">
        <f t="array" ref="N197">Common_InputFunctions.Utility_DisplayArrayInTable(SourceData_PastureBeef.SourceData_PastureBeef_LiveweightGainNTQLD_Data(),Table_SourceData_PastureBeef_LiveweightGainNTQLD[[#Headers],[State]],0)</f>
        <v>0.28000000000000003</v>
      </c>
      <c r="O197" s="35" t="str" cm="1">
        <f t="array" ref="O197">Common_InputFunctions.Utility_DisplayArrayInTable(SourceData_PastureBeef.SourceData_PastureBeef_LiveweightGainNTQLD_Data(),Table_SourceData_PastureBeef_LiveweightGainNTQLD[[#Headers],[State]],0)</f>
        <v>NO</v>
      </c>
      <c r="P197" s="35" t="str" cm="1">
        <f t="array" ref="P197">Common_InputFunctions.Utility_DisplayArrayInTable(SourceData_PastureBeef.SourceData_PastureBeef_LiveweightGainNTQLD_Data(),Table_SourceData_PastureBeef_LiveweightGainNTQLD[[#Headers],[State]],0)</f>
        <v>NO</v>
      </c>
    </row>
    <row r="198" spans="4:16" x14ac:dyDescent="0.25">
      <c r="D198" s="1" t="str" cm="1">
        <f t="array" ref="D198">Common_InputFunctions.Utility_DisplayArrayInTable(SourceData_PastureBeef.SourceData_PastureBeef_LiveweightGainNTQLD_Data(),Table_SourceData_PastureBeef_LiveweightGainNTQLD[[#Headers],[State]],0)</f>
        <v>Northern Territory</v>
      </c>
      <c r="E198" s="35" t="str" cm="1">
        <f t="array" ref="E198">Common_InputFunctions.Utility_DisplayArrayInTable(SourceData_PastureBeef.SourceData_PastureBeef_LiveweightGainNTQLD_Data(),Table_SourceData_PastureBeef_LiveweightGainNTQLD[[#Headers],[State]],0)</f>
        <v>Northern</v>
      </c>
      <c r="F198" s="35" t="str" cm="1">
        <f t="array" ref="F198">Common_InputFunctions.Utility_DisplayArrayInTable(SourceData_PastureBeef.SourceData_PastureBeef_LiveweightGainNTQLD_Data(),Table_SourceData_PastureBeef_LiveweightGainNTQLD[[#Headers],[State]],0)</f>
        <v>Spring</v>
      </c>
      <c r="G198" s="35" cm="1">
        <f t="array" ref="G198">Common_InputFunctions.Utility_DisplayArrayInTable(SourceData_PastureBeef.SourceData_PastureBeef_LiveweightGainNTQLD_Data(),Table_SourceData_PastureBeef_LiveweightGainNTQLD[[#Headers],[State]],0)</f>
        <v>0.22</v>
      </c>
      <c r="H198" s="35" cm="1">
        <f t="array" ref="H198">Common_InputFunctions.Utility_DisplayArrayInTable(SourceData_PastureBeef.SourceData_PastureBeef_LiveweightGainNTQLD_Data(),Table_SourceData_PastureBeef_LiveweightGainNTQLD[[#Headers],[State]],0)</f>
        <v>-0.44</v>
      </c>
      <c r="I198" s="35" cm="1">
        <f t="array" ref="I198">Common_InputFunctions.Utility_DisplayArrayInTable(SourceData_PastureBeef.SourceData_PastureBeef_LiveweightGainNTQLD_Data(),Table_SourceData_PastureBeef_LiveweightGainNTQLD[[#Headers],[State]],0)</f>
        <v>0</v>
      </c>
      <c r="J198" s="35" cm="1">
        <f t="array" ref="J198">Common_InputFunctions.Utility_DisplayArrayInTable(SourceData_PastureBeef.SourceData_PastureBeef_LiveweightGainNTQLD_Data(),Table_SourceData_PastureBeef_LiveweightGainNTQLD[[#Headers],[State]],0)</f>
        <v>0.15</v>
      </c>
      <c r="K198" s="35" cm="1">
        <f t="array" ref="K198">Common_InputFunctions.Utility_DisplayArrayInTable(SourceData_PastureBeef.SourceData_PastureBeef_LiveweightGainNTQLD_Data(),Table_SourceData_PastureBeef_LiveweightGainNTQLD[[#Headers],[State]],0)</f>
        <v>0.08</v>
      </c>
      <c r="L198" s="35" cm="1">
        <f t="array" ref="L198">Common_InputFunctions.Utility_DisplayArrayInTable(SourceData_PastureBeef.SourceData_PastureBeef_LiveweightGainNTQLD_Data(),Table_SourceData_PastureBeef_LiveweightGainNTQLD[[#Headers],[State]],0)</f>
        <v>0.17</v>
      </c>
      <c r="M198" s="35" cm="1">
        <f t="array" ref="M198">Common_InputFunctions.Utility_DisplayArrayInTable(SourceData_PastureBeef.SourceData_PastureBeef_LiveweightGainNTQLD_Data(),Table_SourceData_PastureBeef_LiveweightGainNTQLD[[#Headers],[State]],0)</f>
        <v>0.06</v>
      </c>
      <c r="N198" s="35" cm="1">
        <f t="array" ref="N198">Common_InputFunctions.Utility_DisplayArrayInTable(SourceData_PastureBeef.SourceData_PastureBeef_LiveweightGainNTQLD_Data(),Table_SourceData_PastureBeef_LiveweightGainNTQLD[[#Headers],[State]],0)</f>
        <v>0.02</v>
      </c>
      <c r="O198" s="35" cm="1">
        <f t="array" ref="O198">Common_InputFunctions.Utility_DisplayArrayInTable(SourceData_PastureBeef.SourceData_PastureBeef_LiveweightGainNTQLD_Data(),Table_SourceData_PastureBeef_LiveweightGainNTQLD[[#Headers],[State]],0)</f>
        <v>-0.14000000000000001</v>
      </c>
      <c r="P198" s="35" t="str" cm="1">
        <f t="array" ref="P198">Common_InputFunctions.Utility_DisplayArrayInTable(SourceData_PastureBeef.SourceData_PastureBeef_LiveweightGainNTQLD_Data(),Table_SourceData_PastureBeef_LiveweightGainNTQLD[[#Headers],[State]],0)</f>
        <v>NO</v>
      </c>
    </row>
    <row r="199" spans="4:16" x14ac:dyDescent="0.25">
      <c r="D199" s="1" t="str" cm="1">
        <f t="array" ref="D199">Common_InputFunctions.Utility_DisplayArrayInTable(SourceData_PastureBeef.SourceData_PastureBeef_LiveweightGainNTQLD_Data(),Table_SourceData_PastureBeef_LiveweightGainNTQLD[[#Headers],[State]],0)</f>
        <v>Northern Territory</v>
      </c>
      <c r="E199" s="35" t="str" cm="1">
        <f t="array" ref="E199">Common_InputFunctions.Utility_DisplayArrayInTable(SourceData_PastureBeef.SourceData_PastureBeef_LiveweightGainNTQLD_Data(),Table_SourceData_PastureBeef_LiveweightGainNTQLD[[#Headers],[State]],0)</f>
        <v>Northern</v>
      </c>
      <c r="F199" s="35" t="str" cm="1">
        <f t="array" ref="F199">Common_InputFunctions.Utility_DisplayArrayInTable(SourceData_PastureBeef.SourceData_PastureBeef_LiveweightGainNTQLD_Data(),Table_SourceData_PastureBeef_LiveweightGainNTQLD[[#Headers],[State]],0)</f>
        <v>Summer</v>
      </c>
      <c r="G199" s="35" cm="1">
        <f t="array" ref="G199">Common_InputFunctions.Utility_DisplayArrayInTable(SourceData_PastureBeef.SourceData_PastureBeef_LiveweightGainNTQLD_Data(),Table_SourceData_PastureBeef_LiveweightGainNTQLD[[#Headers],[State]],0)</f>
        <v>0.66</v>
      </c>
      <c r="H199" s="35" cm="1">
        <f t="array" ref="H199">Common_InputFunctions.Utility_DisplayArrayInTable(SourceData_PastureBeef.SourceData_PastureBeef_LiveweightGainNTQLD_Data(),Table_SourceData_PastureBeef_LiveweightGainNTQLD[[#Headers],[State]],0)</f>
        <v>0.22</v>
      </c>
      <c r="I199" s="35" cm="1">
        <f t="array" ref="I199">Common_InputFunctions.Utility_DisplayArrayInTable(SourceData_PastureBeef.SourceData_PastureBeef_LiveweightGainNTQLD_Data(),Table_SourceData_PastureBeef_LiveweightGainNTQLD[[#Headers],[State]],0)</f>
        <v>0.79</v>
      </c>
      <c r="J199" s="35" cm="1">
        <f t="array" ref="J199">Common_InputFunctions.Utility_DisplayArrayInTable(SourceData_PastureBeef.SourceData_PastureBeef_LiveweightGainNTQLD_Data(),Table_SourceData_PastureBeef_LiveweightGainNTQLD[[#Headers],[State]],0)</f>
        <v>0.4</v>
      </c>
      <c r="K199" s="35" cm="1">
        <f t="array" ref="K199">Common_InputFunctions.Utility_DisplayArrayInTable(SourceData_PastureBeef.SourceData_PastureBeef_LiveweightGainNTQLD_Data(),Table_SourceData_PastureBeef_LiveweightGainNTQLD[[#Headers],[State]],0)</f>
        <v>0.38</v>
      </c>
      <c r="L199" s="35" cm="1">
        <f t="array" ref="L199">Common_InputFunctions.Utility_DisplayArrayInTable(SourceData_PastureBeef.SourceData_PastureBeef_LiveweightGainNTQLD_Data(),Table_SourceData_PastureBeef_LiveweightGainNTQLD[[#Headers],[State]],0)</f>
        <v>0.27</v>
      </c>
      <c r="M199" s="35" cm="1">
        <f t="array" ref="M199">Common_InputFunctions.Utility_DisplayArrayInTable(SourceData_PastureBeef.SourceData_PastureBeef_LiveweightGainNTQLD_Data(),Table_SourceData_PastureBeef_LiveweightGainNTQLD[[#Headers],[State]],0)</f>
        <v>0.8</v>
      </c>
      <c r="N199" s="35" cm="1">
        <f t="array" ref="N199">Common_InputFunctions.Utility_DisplayArrayInTable(SourceData_PastureBeef.SourceData_PastureBeef_LiveweightGainNTQLD_Data(),Table_SourceData_PastureBeef_LiveweightGainNTQLD[[#Headers],[State]],0)</f>
        <v>0.16</v>
      </c>
      <c r="O199" s="35" cm="1">
        <f t="array" ref="O199">Common_InputFunctions.Utility_DisplayArrayInTable(SourceData_PastureBeef.SourceData_PastureBeef_LiveweightGainNTQLD_Data(),Table_SourceData_PastureBeef_LiveweightGainNTQLD[[#Headers],[State]],0)</f>
        <v>0.3</v>
      </c>
      <c r="P199" s="35" t="str" cm="1">
        <f t="array" ref="P199">Common_InputFunctions.Utility_DisplayArrayInTable(SourceData_PastureBeef.SourceData_PastureBeef_LiveweightGainNTQLD_Data(),Table_SourceData_PastureBeef_LiveweightGainNTQLD[[#Headers],[State]],0)</f>
        <v>NO</v>
      </c>
    </row>
    <row r="200" spans="4:16" x14ac:dyDescent="0.25">
      <c r="D200" s="1" t="str" cm="1">
        <f t="array" ref="D200">Common_InputFunctions.Utility_DisplayArrayInTable(SourceData_PastureBeef.SourceData_PastureBeef_LiveweightGainNTQLD_Data(),Table_SourceData_PastureBeef_LiveweightGainNTQLD[[#Headers],[State]],0)</f>
        <v>Northern Territory</v>
      </c>
      <c r="E200" s="35" t="str" cm="1">
        <f t="array" ref="E200">Common_InputFunctions.Utility_DisplayArrayInTable(SourceData_PastureBeef.SourceData_PastureBeef_LiveweightGainNTQLD_Data(),Table_SourceData_PastureBeef_LiveweightGainNTQLD[[#Headers],[State]],0)</f>
        <v>Northern</v>
      </c>
      <c r="F200" s="35" t="str" cm="1">
        <f t="array" ref="F200">Common_InputFunctions.Utility_DisplayArrayInTable(SourceData_PastureBeef.SourceData_PastureBeef_LiveweightGainNTQLD_Data(),Table_SourceData_PastureBeef_LiveweightGainNTQLD[[#Headers],[State]],0)</f>
        <v>Autumn</v>
      </c>
      <c r="G200" s="35" cm="1">
        <f t="array" ref="G200">Common_InputFunctions.Utility_DisplayArrayInTable(SourceData_PastureBeef.SourceData_PastureBeef_LiveweightGainNTQLD_Data(),Table_SourceData_PastureBeef_LiveweightGainNTQLD[[#Headers],[State]],0)</f>
        <v>0.49</v>
      </c>
      <c r="H200" s="35" cm="1">
        <f t="array" ref="H200">Common_InputFunctions.Utility_DisplayArrayInTable(SourceData_PastureBeef.SourceData_PastureBeef_LiveweightGainNTQLD_Data(),Table_SourceData_PastureBeef_LiveweightGainNTQLD[[#Headers],[State]],0)</f>
        <v>0.05</v>
      </c>
      <c r="I200" s="35" cm="1">
        <f t="array" ref="I200">Common_InputFunctions.Utility_DisplayArrayInTable(SourceData_PastureBeef.SourceData_PastureBeef_LiveweightGainNTQLD_Data(),Table_SourceData_PastureBeef_LiveweightGainNTQLD[[#Headers],[State]],0)</f>
        <v>0.55000000000000004</v>
      </c>
      <c r="J200" s="35" cm="1">
        <f t="array" ref="J200">Common_InputFunctions.Utility_DisplayArrayInTable(SourceData_PastureBeef.SourceData_PastureBeef_LiveweightGainNTQLD_Data(),Table_SourceData_PastureBeef_LiveweightGainNTQLD[[#Headers],[State]],0)</f>
        <v>0.38</v>
      </c>
      <c r="K200" s="35" cm="1">
        <f t="array" ref="K200">Common_InputFunctions.Utility_DisplayArrayInTable(SourceData_PastureBeef.SourceData_PastureBeef_LiveweightGainNTQLD_Data(),Table_SourceData_PastureBeef_LiveweightGainNTQLD[[#Headers],[State]],0)</f>
        <v>0.36</v>
      </c>
      <c r="L200" s="35" cm="1">
        <f t="array" ref="L200">Common_InputFunctions.Utility_DisplayArrayInTable(SourceData_PastureBeef.SourceData_PastureBeef_LiveweightGainNTQLD_Data(),Table_SourceData_PastureBeef_LiveweightGainNTQLD[[#Headers],[State]],0)</f>
        <v>0.06</v>
      </c>
      <c r="M200" s="35" cm="1">
        <f t="array" ref="M200">Common_InputFunctions.Utility_DisplayArrayInTable(SourceData_PastureBeef.SourceData_PastureBeef_LiveweightGainNTQLD_Data(),Table_SourceData_PastureBeef_LiveweightGainNTQLD[[#Headers],[State]],0)</f>
        <v>0.57999999999999996</v>
      </c>
      <c r="N200" s="35" cm="1">
        <f t="array" ref="N200">Common_InputFunctions.Utility_DisplayArrayInTable(SourceData_PastureBeef.SourceData_PastureBeef_LiveweightGainNTQLD_Data(),Table_SourceData_PastureBeef_LiveweightGainNTQLD[[#Headers],[State]],0)</f>
        <v>0.23</v>
      </c>
      <c r="O200" s="35" cm="1">
        <f t="array" ref="O200">Common_InputFunctions.Utility_DisplayArrayInTable(SourceData_PastureBeef.SourceData_PastureBeef_LiveweightGainNTQLD_Data(),Table_SourceData_PastureBeef_LiveweightGainNTQLD[[#Headers],[State]],0)</f>
        <v>0.4</v>
      </c>
      <c r="P200" s="35" t="str" cm="1">
        <f t="array" ref="P200">Common_InputFunctions.Utility_DisplayArrayInTable(SourceData_PastureBeef.SourceData_PastureBeef_LiveweightGainNTQLD_Data(),Table_SourceData_PastureBeef_LiveweightGainNTQLD[[#Headers],[State]],0)</f>
        <v>NO</v>
      </c>
    </row>
    <row r="201" spans="4:16" x14ac:dyDescent="0.25">
      <c r="D201" s="1" t="str" cm="1">
        <f t="array" ref="D201">Common_InputFunctions.Utility_DisplayArrayInTable(SourceData_PastureBeef.SourceData_PastureBeef_LiveweightGainNTQLD_Data(),Table_SourceData_PastureBeef_LiveweightGainNTQLD[[#Headers],[State]],0)</f>
        <v>Northern Territory</v>
      </c>
      <c r="E201" s="35" t="str" cm="1">
        <f t="array" ref="E201">Common_InputFunctions.Utility_DisplayArrayInTable(SourceData_PastureBeef.SourceData_PastureBeef_LiveweightGainNTQLD_Data(),Table_SourceData_PastureBeef_LiveweightGainNTQLD[[#Headers],[State]],0)</f>
        <v>Northern</v>
      </c>
      <c r="F201" s="35" t="str" cm="1">
        <f t="array" ref="F201">Common_InputFunctions.Utility_DisplayArrayInTable(SourceData_PastureBeef.SourceData_PastureBeef_LiveweightGainNTQLD_Data(),Table_SourceData_PastureBeef_LiveweightGainNTQLD[[#Headers],[State]],0)</f>
        <v>Winter</v>
      </c>
      <c r="G201" s="35" cm="1">
        <f t="array" ref="G201">Common_InputFunctions.Utility_DisplayArrayInTable(SourceData_PastureBeef.SourceData_PastureBeef_LiveweightGainNTQLD_Data(),Table_SourceData_PastureBeef_LiveweightGainNTQLD[[#Headers],[State]],0)</f>
        <v>0.27</v>
      </c>
      <c r="H201" s="35" cm="1">
        <f t="array" ref="H201">Common_InputFunctions.Utility_DisplayArrayInTable(SourceData_PastureBeef.SourceData_PastureBeef_LiveweightGainNTQLD_Data(),Table_SourceData_PastureBeef_LiveweightGainNTQLD[[#Headers],[State]],0)</f>
        <v>-0.27</v>
      </c>
      <c r="I201" s="35" cm="1">
        <f t="array" ref="I201">Common_InputFunctions.Utility_DisplayArrayInTable(SourceData_PastureBeef.SourceData_PastureBeef_LiveweightGainNTQLD_Data(),Table_SourceData_PastureBeef_LiveweightGainNTQLD[[#Headers],[State]],0)</f>
        <v>0.02</v>
      </c>
      <c r="J201" s="35" cm="1">
        <f t="array" ref="J201">Common_InputFunctions.Utility_DisplayArrayInTable(SourceData_PastureBeef.SourceData_PastureBeef_LiveweightGainNTQLD_Data(),Table_SourceData_PastureBeef_LiveweightGainNTQLD[[#Headers],[State]],0)</f>
        <v>0.09</v>
      </c>
      <c r="K201" s="35" cm="1">
        <f t="array" ref="K201">Common_InputFunctions.Utility_DisplayArrayInTable(SourceData_PastureBeef.SourceData_PastureBeef_LiveweightGainNTQLD_Data(),Table_SourceData_PastureBeef_LiveweightGainNTQLD[[#Headers],[State]],0)</f>
        <v>0.16</v>
      </c>
      <c r="L201" s="35" cm="1">
        <f t="array" ref="L201">Common_InputFunctions.Utility_DisplayArrayInTable(SourceData_PastureBeef.SourceData_PastureBeef_LiveweightGainNTQLD_Data(),Table_SourceData_PastureBeef_LiveweightGainNTQLD[[#Headers],[State]],0)</f>
        <v>-0.04</v>
      </c>
      <c r="M201" s="35" cm="1">
        <f t="array" ref="M201">Common_InputFunctions.Utility_DisplayArrayInTable(SourceData_PastureBeef.SourceData_PastureBeef_LiveweightGainNTQLD_Data(),Table_SourceData_PastureBeef_LiveweightGainNTQLD[[#Headers],[State]],0)</f>
        <v>0.21</v>
      </c>
      <c r="N201" s="35" cm="1">
        <f t="array" ref="N201">Common_InputFunctions.Utility_DisplayArrayInTable(SourceData_PastureBeef.SourceData_PastureBeef_LiveweightGainNTQLD_Data(),Table_SourceData_PastureBeef_LiveweightGainNTQLD[[#Headers],[State]],0)</f>
        <v>0.03</v>
      </c>
      <c r="O201" s="35" cm="1">
        <f t="array" ref="O201">Common_InputFunctions.Utility_DisplayArrayInTable(SourceData_PastureBeef.SourceData_PastureBeef_LiveweightGainNTQLD_Data(),Table_SourceData_PastureBeef_LiveweightGainNTQLD[[#Headers],[State]],0)</f>
        <v>0.11</v>
      </c>
      <c r="P201" s="35" t="str" cm="1">
        <f t="array" ref="P201">Common_InputFunctions.Utility_DisplayArrayInTable(SourceData_PastureBeef.SourceData_PastureBeef_LiveweightGainNTQLD_Data(),Table_SourceData_PastureBeef_LiveweightGainNTQLD[[#Headers],[State]],0)</f>
        <v>NO</v>
      </c>
    </row>
    <row r="202" spans="4:16" x14ac:dyDescent="0.25">
      <c r="D202" s="1" t="str" cm="1">
        <f t="array" ref="D202">Common_InputFunctions.Utility_DisplayArrayInTable(SourceData_PastureBeef.SourceData_PastureBeef_LiveweightGainNTQLD_Data(),Table_SourceData_PastureBeef_LiveweightGainNTQLD[[#Headers],[State]],0)</f>
        <v>Queensland</v>
      </c>
      <c r="E202" s="35" t="str" cm="1">
        <f t="array" ref="E202">Common_InputFunctions.Utility_DisplayArrayInTable(SourceData_PastureBeef.SourceData_PastureBeef_LiveweightGainNTQLD_Data(),Table_SourceData_PastureBeef_LiveweightGainNTQLD[[#Headers],[State]],0)</f>
        <v>High</v>
      </c>
      <c r="F202" s="35" t="str" cm="1">
        <f t="array" ref="F202">Common_InputFunctions.Utility_DisplayArrayInTable(SourceData_PastureBeef.SourceData_PastureBeef_LiveweightGainNTQLD_Data(),Table_SourceData_PastureBeef_LiveweightGainNTQLD[[#Headers],[State]],0)</f>
        <v>Spring</v>
      </c>
      <c r="G202" s="35" cm="1">
        <f t="array" ref="G202">Common_InputFunctions.Utility_DisplayArrayInTable(SourceData_PastureBeef.SourceData_PastureBeef_LiveweightGainNTQLD_Data(),Table_SourceData_PastureBeef_LiveweightGainNTQLD[[#Headers],[State]],0)</f>
        <v>0.27</v>
      </c>
      <c r="H202" s="35" cm="1">
        <f t="array" ref="H202">Common_InputFunctions.Utility_DisplayArrayInTable(SourceData_PastureBeef.SourceData_PastureBeef_LiveweightGainNTQLD_Data(),Table_SourceData_PastureBeef_LiveweightGainNTQLD[[#Headers],[State]],0)</f>
        <v>-0.19</v>
      </c>
      <c r="I202" s="35" cm="1">
        <f t="array" ref="I202">Common_InputFunctions.Utility_DisplayArrayInTable(SourceData_PastureBeef.SourceData_PastureBeef_LiveweightGainNTQLD_Data(),Table_SourceData_PastureBeef_LiveweightGainNTQLD[[#Headers],[State]],0)</f>
        <v>0.38</v>
      </c>
      <c r="J202" s="35" cm="1">
        <f t="array" ref="J202">Common_InputFunctions.Utility_DisplayArrayInTable(SourceData_PastureBeef.SourceData_PastureBeef_LiveweightGainNTQLD_Data(),Table_SourceData_PastureBeef_LiveweightGainNTQLD[[#Headers],[State]],0)</f>
        <v>0.25</v>
      </c>
      <c r="K202" s="35" cm="1">
        <f t="array" ref="K202">Common_InputFunctions.Utility_DisplayArrayInTable(SourceData_PastureBeef.SourceData_PastureBeef_LiveweightGainNTQLD_Data(),Table_SourceData_PastureBeef_LiveweightGainNTQLD[[#Headers],[State]],0)</f>
        <v>7.0000000000000007E-2</v>
      </c>
      <c r="L202" s="35" cm="1">
        <f t="array" ref="L202">Common_InputFunctions.Utility_DisplayArrayInTable(SourceData_PastureBeef.SourceData_PastureBeef_LiveweightGainNTQLD_Data(),Table_SourceData_PastureBeef_LiveweightGainNTQLD[[#Headers],[State]],0)</f>
        <v>0.05</v>
      </c>
      <c r="M202" s="35" cm="1">
        <f t="array" ref="M202">Common_InputFunctions.Utility_DisplayArrayInTable(SourceData_PastureBeef.SourceData_PastureBeef_LiveweightGainNTQLD_Data(),Table_SourceData_PastureBeef_LiveweightGainNTQLD[[#Headers],[State]],0)</f>
        <v>0.52</v>
      </c>
      <c r="N202" s="35" cm="1">
        <f t="array" ref="N202">Common_InputFunctions.Utility_DisplayArrayInTable(SourceData_PastureBeef.SourceData_PastureBeef_LiveweightGainNTQLD_Data(),Table_SourceData_PastureBeef_LiveweightGainNTQLD[[#Headers],[State]],0)</f>
        <v>0.55000000000000004</v>
      </c>
      <c r="O202" s="35" cm="1">
        <f t="array" ref="O202">Common_InputFunctions.Utility_DisplayArrayInTable(SourceData_PastureBeef.SourceData_PastureBeef_LiveweightGainNTQLD_Data(),Table_SourceData_PastureBeef_LiveweightGainNTQLD[[#Headers],[State]],0)</f>
        <v>0.19</v>
      </c>
      <c r="P202" s="35" cm="1">
        <f t="array" ref="P202">Common_InputFunctions.Utility_DisplayArrayInTable(SourceData_PastureBeef.SourceData_PastureBeef_LiveweightGainNTQLD_Data(),Table_SourceData_PastureBeef_LiveweightGainNTQLD[[#Headers],[State]],0)</f>
        <v>0.6</v>
      </c>
    </row>
    <row r="203" spans="4:16" x14ac:dyDescent="0.25">
      <c r="D203" s="1" t="str" cm="1">
        <f t="array" ref="D203">Common_InputFunctions.Utility_DisplayArrayInTable(SourceData_PastureBeef.SourceData_PastureBeef_LiveweightGainNTQLD_Data(),Table_SourceData_PastureBeef_LiveweightGainNTQLD[[#Headers],[State]],0)</f>
        <v>Queensland</v>
      </c>
      <c r="E203" s="35" t="str" cm="1">
        <f t="array" ref="E203">Common_InputFunctions.Utility_DisplayArrayInTable(SourceData_PastureBeef.SourceData_PastureBeef_LiveweightGainNTQLD_Data(),Table_SourceData_PastureBeef_LiveweightGainNTQLD[[#Headers],[State]],0)</f>
        <v>High</v>
      </c>
      <c r="F203" s="35" t="str" cm="1">
        <f t="array" ref="F203">Common_InputFunctions.Utility_DisplayArrayInTable(SourceData_PastureBeef.SourceData_PastureBeef_LiveweightGainNTQLD_Data(),Table_SourceData_PastureBeef_LiveweightGainNTQLD[[#Headers],[State]],0)</f>
        <v>Summer</v>
      </c>
      <c r="G203" s="35" cm="1">
        <f t="array" ref="G203">Common_InputFunctions.Utility_DisplayArrayInTable(SourceData_PastureBeef.SourceData_PastureBeef_LiveweightGainNTQLD_Data(),Table_SourceData_PastureBeef_LiveweightGainNTQLD[[#Headers],[State]],0)</f>
        <v>0.16</v>
      </c>
      <c r="H203" s="35" cm="1">
        <f t="array" ref="H203">Common_InputFunctions.Utility_DisplayArrayInTable(SourceData_PastureBeef.SourceData_PastureBeef_LiveweightGainNTQLD_Data(),Table_SourceData_PastureBeef_LiveweightGainNTQLD[[#Headers],[State]],0)</f>
        <v>0.16</v>
      </c>
      <c r="I203" s="35" cm="1">
        <f t="array" ref="I203">Common_InputFunctions.Utility_DisplayArrayInTable(SourceData_PastureBeef.SourceData_PastureBeef_LiveweightGainNTQLD_Data(),Table_SourceData_PastureBeef_LiveweightGainNTQLD[[#Headers],[State]],0)</f>
        <v>0.8</v>
      </c>
      <c r="J203" s="35" cm="1">
        <f t="array" ref="J203">Common_InputFunctions.Utility_DisplayArrayInTable(SourceData_PastureBeef.SourceData_PastureBeef_LiveweightGainNTQLD_Data(),Table_SourceData_PastureBeef_LiveweightGainNTQLD[[#Headers],[State]],0)</f>
        <v>0.56999999999999995</v>
      </c>
      <c r="K203" s="35" cm="1">
        <f t="array" ref="K203">Common_InputFunctions.Utility_DisplayArrayInTable(SourceData_PastureBeef.SourceData_PastureBeef_LiveweightGainNTQLD_Data(),Table_SourceData_PastureBeef_LiveweightGainNTQLD[[#Headers],[State]],0)</f>
        <v>0.76</v>
      </c>
      <c r="L203" s="35" cm="1">
        <f t="array" ref="L203">Common_InputFunctions.Utility_DisplayArrayInTable(SourceData_PastureBeef.SourceData_PastureBeef_LiveweightGainNTQLD_Data(),Table_SourceData_PastureBeef_LiveweightGainNTQLD[[#Headers],[State]],0)</f>
        <v>0.49</v>
      </c>
      <c r="M203" s="35" cm="1">
        <f t="array" ref="M203">Common_InputFunctions.Utility_DisplayArrayInTable(SourceData_PastureBeef.SourceData_PastureBeef_LiveweightGainNTQLD_Data(),Table_SourceData_PastureBeef_LiveweightGainNTQLD[[#Headers],[State]],0)</f>
        <v>0.84</v>
      </c>
      <c r="N203" s="35" cm="1">
        <f t="array" ref="N203">Common_InputFunctions.Utility_DisplayArrayInTable(SourceData_PastureBeef.SourceData_PastureBeef_LiveweightGainNTQLD_Data(),Table_SourceData_PastureBeef_LiveweightGainNTQLD[[#Headers],[State]],0)</f>
        <v>0.51</v>
      </c>
      <c r="O203" s="35" cm="1">
        <f t="array" ref="O203">Common_InputFunctions.Utility_DisplayArrayInTable(SourceData_PastureBeef.SourceData_PastureBeef_LiveweightGainNTQLD_Data(),Table_SourceData_PastureBeef_LiveweightGainNTQLD[[#Headers],[State]],0)</f>
        <v>0.36</v>
      </c>
      <c r="P203" s="35" cm="1">
        <f t="array" ref="P203">Common_InputFunctions.Utility_DisplayArrayInTable(SourceData_PastureBeef.SourceData_PastureBeef_LiveweightGainNTQLD_Data(),Table_SourceData_PastureBeef_LiveweightGainNTQLD[[#Headers],[State]],0)</f>
        <v>0.17</v>
      </c>
    </row>
    <row r="204" spans="4:16" x14ac:dyDescent="0.25">
      <c r="D204" s="1" t="str" cm="1">
        <f t="array" ref="D204">Common_InputFunctions.Utility_DisplayArrayInTable(SourceData_PastureBeef.SourceData_PastureBeef_LiveweightGainNTQLD_Data(),Table_SourceData_PastureBeef_LiveweightGainNTQLD[[#Headers],[State]],0)</f>
        <v>Queensland</v>
      </c>
      <c r="E204" s="35" t="str" cm="1">
        <f t="array" ref="E204">Common_InputFunctions.Utility_DisplayArrayInTable(SourceData_PastureBeef.SourceData_PastureBeef_LiveweightGainNTQLD_Data(),Table_SourceData_PastureBeef_LiveweightGainNTQLD[[#Headers],[State]],0)</f>
        <v>High</v>
      </c>
      <c r="F204" s="35" t="str" cm="1">
        <f t="array" ref="F204">Common_InputFunctions.Utility_DisplayArrayInTable(SourceData_PastureBeef.SourceData_PastureBeef_LiveweightGainNTQLD_Data(),Table_SourceData_PastureBeef_LiveweightGainNTQLD[[#Headers],[State]],0)</f>
        <v>Autumn</v>
      </c>
      <c r="G204" s="35" cm="1">
        <f t="array" ref="G204">Common_InputFunctions.Utility_DisplayArrayInTable(SourceData_PastureBeef.SourceData_PastureBeef_LiveweightGainNTQLD_Data(),Table_SourceData_PastureBeef_LiveweightGainNTQLD[[#Headers],[State]],0)</f>
        <v>0.45</v>
      </c>
      <c r="H204" s="35" cm="1">
        <f t="array" ref="H204">Common_InputFunctions.Utility_DisplayArrayInTable(SourceData_PastureBeef.SourceData_PastureBeef_LiveweightGainNTQLD_Data(),Table_SourceData_PastureBeef_LiveweightGainNTQLD[[#Headers],[State]],0)</f>
        <v>0.1</v>
      </c>
      <c r="I204" s="35" cm="1">
        <f t="array" ref="I204">Common_InputFunctions.Utility_DisplayArrayInTable(SourceData_PastureBeef.SourceData_PastureBeef_LiveweightGainNTQLD_Data(),Table_SourceData_PastureBeef_LiveweightGainNTQLD[[#Headers],[State]],0)</f>
        <v>0.49</v>
      </c>
      <c r="J204" s="35" cm="1">
        <f t="array" ref="J204">Common_InputFunctions.Utility_DisplayArrayInTable(SourceData_PastureBeef.SourceData_PastureBeef_LiveweightGainNTQLD_Data(),Table_SourceData_PastureBeef_LiveweightGainNTQLD[[#Headers],[State]],0)</f>
        <v>0.41</v>
      </c>
      <c r="K204" s="35" cm="1">
        <f t="array" ref="K204">Common_InputFunctions.Utility_DisplayArrayInTable(SourceData_PastureBeef.SourceData_PastureBeef_LiveweightGainNTQLD_Data(),Table_SourceData_PastureBeef_LiveweightGainNTQLD[[#Headers],[State]],0)</f>
        <v>0.4</v>
      </c>
      <c r="L204" s="35" cm="1">
        <f t="array" ref="L204">Common_InputFunctions.Utility_DisplayArrayInTable(SourceData_PastureBeef.SourceData_PastureBeef_LiveweightGainNTQLD_Data(),Table_SourceData_PastureBeef_LiveweightGainNTQLD[[#Headers],[State]],0)</f>
        <v>0.17</v>
      </c>
      <c r="M204" s="35" cm="1">
        <f t="array" ref="M204">Common_InputFunctions.Utility_DisplayArrayInTable(SourceData_PastureBeef.SourceData_PastureBeef_LiveweightGainNTQLD_Data(),Table_SourceData_PastureBeef_LiveweightGainNTQLD[[#Headers],[State]],0)</f>
        <v>0.54</v>
      </c>
      <c r="N204" s="35" cm="1">
        <f t="array" ref="N204">Common_InputFunctions.Utility_DisplayArrayInTable(SourceData_PastureBeef.SourceData_PastureBeef_LiveweightGainNTQLD_Data(),Table_SourceData_PastureBeef_LiveweightGainNTQLD[[#Headers],[State]],0)</f>
        <v>0.64</v>
      </c>
      <c r="O204" s="35" cm="1">
        <f t="array" ref="O204">Common_InputFunctions.Utility_DisplayArrayInTable(SourceData_PastureBeef.SourceData_PastureBeef_LiveweightGainNTQLD_Data(),Table_SourceData_PastureBeef_LiveweightGainNTQLD[[#Headers],[State]],0)</f>
        <v>-0.05</v>
      </c>
      <c r="P204" s="35" cm="1">
        <f t="array" ref="P204">Common_InputFunctions.Utility_DisplayArrayInTable(SourceData_PastureBeef.SourceData_PastureBeef_LiveweightGainNTQLD_Data(),Table_SourceData_PastureBeef_LiveweightGainNTQLD[[#Headers],[State]],0)</f>
        <v>0.32</v>
      </c>
    </row>
    <row r="205" spans="4:16" x14ac:dyDescent="0.25">
      <c r="D205" s="1" t="str" cm="1">
        <f t="array" ref="D205">Common_InputFunctions.Utility_DisplayArrayInTable(SourceData_PastureBeef.SourceData_PastureBeef_LiveweightGainNTQLD_Data(),Table_SourceData_PastureBeef_LiveweightGainNTQLD[[#Headers],[State]],0)</f>
        <v>Queensland</v>
      </c>
      <c r="E205" s="35" t="str" cm="1">
        <f t="array" ref="E205">Common_InputFunctions.Utility_DisplayArrayInTable(SourceData_PastureBeef.SourceData_PastureBeef_LiveweightGainNTQLD_Data(),Table_SourceData_PastureBeef_LiveweightGainNTQLD[[#Headers],[State]],0)</f>
        <v>High</v>
      </c>
      <c r="F205" s="35" t="str" cm="1">
        <f t="array" ref="F205">Common_InputFunctions.Utility_DisplayArrayInTable(SourceData_PastureBeef.SourceData_PastureBeef_LiveweightGainNTQLD_Data(),Table_SourceData_PastureBeef_LiveweightGainNTQLD[[#Headers],[State]],0)</f>
        <v>Winter</v>
      </c>
      <c r="G205" s="35" cm="1">
        <f t="array" ref="G205">Common_InputFunctions.Utility_DisplayArrayInTable(SourceData_PastureBeef.SourceData_PastureBeef_LiveweightGainNTQLD_Data(),Table_SourceData_PastureBeef_LiveweightGainNTQLD[[#Headers],[State]],0)</f>
        <v>0.51</v>
      </c>
      <c r="H205" s="35" cm="1">
        <f t="array" ref="H205">Common_InputFunctions.Utility_DisplayArrayInTable(SourceData_PastureBeef.SourceData_PastureBeef_LiveweightGainNTQLD_Data(),Table_SourceData_PastureBeef_LiveweightGainNTQLD[[#Headers],[State]],0)</f>
        <v>-7.0000000000000007E-2</v>
      </c>
      <c r="I205" s="35" cm="1">
        <f t="array" ref="I205">Common_InputFunctions.Utility_DisplayArrayInTable(SourceData_PastureBeef.SourceData_PastureBeef_LiveweightGainNTQLD_Data(),Table_SourceData_PastureBeef_LiveweightGainNTQLD[[#Headers],[State]],0)</f>
        <v>0.13</v>
      </c>
      <c r="J205" s="35" cm="1">
        <f t="array" ref="J205">Common_InputFunctions.Utility_DisplayArrayInTable(SourceData_PastureBeef.SourceData_PastureBeef_LiveweightGainNTQLD_Data(),Table_SourceData_PastureBeef_LiveweightGainNTQLD[[#Headers],[State]],0)</f>
        <v>-0.09</v>
      </c>
      <c r="K205" s="35" cm="1">
        <f t="array" ref="K205">Common_InputFunctions.Utility_DisplayArrayInTable(SourceData_PastureBeef.SourceData_PastureBeef_LiveweightGainNTQLD_Data(),Table_SourceData_PastureBeef_LiveweightGainNTQLD[[#Headers],[State]],0)</f>
        <v>-0.13</v>
      </c>
      <c r="L205" s="35" cm="1">
        <f t="array" ref="L205">Common_InputFunctions.Utility_DisplayArrayInTable(SourceData_PastureBeef.SourceData_PastureBeef_LiveweightGainNTQLD_Data(),Table_SourceData_PastureBeef_LiveweightGainNTQLD[[#Headers],[State]],0)</f>
        <v>7.0000000000000007E-2</v>
      </c>
      <c r="M205" s="35" cm="1">
        <f t="array" ref="M205">Common_InputFunctions.Utility_DisplayArrayInTable(SourceData_PastureBeef.SourceData_PastureBeef_LiveweightGainNTQLD_Data(),Table_SourceData_PastureBeef_LiveweightGainNTQLD[[#Headers],[State]],0)</f>
        <v>0.25</v>
      </c>
      <c r="N205" s="35" cm="1">
        <f t="array" ref="N205">Common_InputFunctions.Utility_DisplayArrayInTable(SourceData_PastureBeef.SourceData_PastureBeef_LiveweightGainNTQLD_Data(),Table_SourceData_PastureBeef_LiveweightGainNTQLD[[#Headers],[State]],0)</f>
        <v>0.71</v>
      </c>
      <c r="O205" s="35" cm="1">
        <f t="array" ref="O205">Common_InputFunctions.Utility_DisplayArrayInTable(SourceData_PastureBeef.SourceData_PastureBeef_LiveweightGainNTQLD_Data(),Table_SourceData_PastureBeef_LiveweightGainNTQLD[[#Headers],[State]],0)</f>
        <v>0.17</v>
      </c>
      <c r="P205" s="35" cm="1">
        <f t="array" ref="P205">Common_InputFunctions.Utility_DisplayArrayInTable(SourceData_PastureBeef.SourceData_PastureBeef_LiveweightGainNTQLD_Data(),Table_SourceData_PastureBeef_LiveweightGainNTQLD[[#Headers],[State]],0)</f>
        <v>0.43</v>
      </c>
    </row>
    <row r="206" spans="4:16" x14ac:dyDescent="0.25">
      <c r="D206" s="1" t="str" cm="1">
        <f t="array" ref="D206">Common_InputFunctions.Utility_DisplayArrayInTable(SourceData_PastureBeef.SourceData_PastureBeef_LiveweightGainNTQLD_Data(),Table_SourceData_PastureBeef_LiveweightGainNTQLD[[#Headers],[State]],0)</f>
        <v>Queensland</v>
      </c>
      <c r="E206" s="35" t="str" cm="1">
        <f t="array" ref="E206">Common_InputFunctions.Utility_DisplayArrayInTable(SourceData_PastureBeef.SourceData_PastureBeef_LiveweightGainNTQLD_Data(),Table_SourceData_PastureBeef_LiveweightGainNTQLD[[#Headers],[State]],0)</f>
        <v>Moderate/High</v>
      </c>
      <c r="F206" s="35" t="str" cm="1">
        <f t="array" ref="F206">Common_InputFunctions.Utility_DisplayArrayInTable(SourceData_PastureBeef.SourceData_PastureBeef_LiveweightGainNTQLD_Data(),Table_SourceData_PastureBeef_LiveweightGainNTQLD[[#Headers],[State]],0)</f>
        <v>Spring</v>
      </c>
      <c r="G206" s="35" cm="1">
        <f t="array" ref="G206">Common_InputFunctions.Utility_DisplayArrayInTable(SourceData_PastureBeef.SourceData_PastureBeef_LiveweightGainNTQLD_Data(),Table_SourceData_PastureBeef_LiveweightGainNTQLD[[#Headers],[State]],0)</f>
        <v>-0.12</v>
      </c>
      <c r="H206" s="35" cm="1">
        <f t="array" ref="H206">Common_InputFunctions.Utility_DisplayArrayInTable(SourceData_PastureBeef.SourceData_PastureBeef_LiveweightGainNTQLD_Data(),Table_SourceData_PastureBeef_LiveweightGainNTQLD[[#Headers],[State]],0)</f>
        <v>-0.19</v>
      </c>
      <c r="I206" s="35" cm="1">
        <f t="array" ref="I206">Common_InputFunctions.Utility_DisplayArrayInTable(SourceData_PastureBeef.SourceData_PastureBeef_LiveweightGainNTQLD_Data(),Table_SourceData_PastureBeef_LiveweightGainNTQLD[[#Headers],[State]],0)</f>
        <v>0.41</v>
      </c>
      <c r="J206" s="35" cm="1">
        <f t="array" ref="J206">Common_InputFunctions.Utility_DisplayArrayInTable(SourceData_PastureBeef.SourceData_PastureBeef_LiveweightGainNTQLD_Data(),Table_SourceData_PastureBeef_LiveweightGainNTQLD[[#Headers],[State]],0)</f>
        <v>0.09</v>
      </c>
      <c r="K206" s="35" cm="1">
        <f t="array" ref="K206">Common_InputFunctions.Utility_DisplayArrayInTable(SourceData_PastureBeef.SourceData_PastureBeef_LiveweightGainNTQLD_Data(),Table_SourceData_PastureBeef_LiveweightGainNTQLD[[#Headers],[State]],0)</f>
        <v>0.41</v>
      </c>
      <c r="L206" s="35" cm="1">
        <f t="array" ref="L206">Common_InputFunctions.Utility_DisplayArrayInTable(SourceData_PastureBeef.SourceData_PastureBeef_LiveweightGainNTQLD_Data(),Table_SourceData_PastureBeef_LiveweightGainNTQLD[[#Headers],[State]],0)</f>
        <v>-0.19</v>
      </c>
      <c r="M206" s="35" cm="1">
        <f t="array" ref="M206">Common_InputFunctions.Utility_DisplayArrayInTable(SourceData_PastureBeef.SourceData_PastureBeef_LiveweightGainNTQLD_Data(),Table_SourceData_PastureBeef_LiveweightGainNTQLD[[#Headers],[State]],0)</f>
        <v>7.0000000000000007E-2</v>
      </c>
      <c r="N206" s="35" cm="1">
        <f t="array" ref="N206">Common_InputFunctions.Utility_DisplayArrayInTable(SourceData_PastureBeef.SourceData_PastureBeef_LiveweightGainNTQLD_Data(),Table_SourceData_PastureBeef_LiveweightGainNTQLD[[#Headers],[State]],0)</f>
        <v>1.07</v>
      </c>
      <c r="O206" s="35" cm="1">
        <f t="array" ref="O206">Common_InputFunctions.Utility_DisplayArrayInTable(SourceData_PastureBeef.SourceData_PastureBeef_LiveweightGainNTQLD_Data(),Table_SourceData_PastureBeef_LiveweightGainNTQLD[[#Headers],[State]],0)</f>
        <v>-0.08</v>
      </c>
      <c r="P206" s="35" cm="1">
        <f t="array" ref="P206">Common_InputFunctions.Utility_DisplayArrayInTable(SourceData_PastureBeef.SourceData_PastureBeef_LiveweightGainNTQLD_Data(),Table_SourceData_PastureBeef_LiveweightGainNTQLD[[#Headers],[State]],0)</f>
        <v>0</v>
      </c>
    </row>
    <row r="207" spans="4:16" x14ac:dyDescent="0.25">
      <c r="D207" s="1" t="str" cm="1">
        <f t="array" ref="D207">Common_InputFunctions.Utility_DisplayArrayInTable(SourceData_PastureBeef.SourceData_PastureBeef_LiveweightGainNTQLD_Data(),Table_SourceData_PastureBeef_LiveweightGainNTQLD[[#Headers],[State]],0)</f>
        <v>Queensland</v>
      </c>
      <c r="E207" s="35" t="str" cm="1">
        <f t="array" ref="E207">Common_InputFunctions.Utility_DisplayArrayInTable(SourceData_PastureBeef.SourceData_PastureBeef_LiveweightGainNTQLD_Data(),Table_SourceData_PastureBeef_LiveweightGainNTQLD[[#Headers],[State]],0)</f>
        <v>Moderate/High</v>
      </c>
      <c r="F207" s="35" t="str" cm="1">
        <f t="array" ref="F207">Common_InputFunctions.Utility_DisplayArrayInTable(SourceData_PastureBeef.SourceData_PastureBeef_LiveweightGainNTQLD_Data(),Table_SourceData_PastureBeef_LiveweightGainNTQLD[[#Headers],[State]],0)</f>
        <v>Summer</v>
      </c>
      <c r="G207" s="35" cm="1">
        <f t="array" ref="G207">Common_InputFunctions.Utility_DisplayArrayInTable(SourceData_PastureBeef.SourceData_PastureBeef_LiveweightGainNTQLD_Data(),Table_SourceData_PastureBeef_LiveweightGainNTQLD[[#Headers],[State]],0)</f>
        <v>0.65</v>
      </c>
      <c r="H207" s="35" cm="1">
        <f t="array" ref="H207">Common_InputFunctions.Utility_DisplayArrayInTable(SourceData_PastureBeef.SourceData_PastureBeef_LiveweightGainNTQLD_Data(),Table_SourceData_PastureBeef_LiveweightGainNTQLD[[#Headers],[State]],0)</f>
        <v>0.19</v>
      </c>
      <c r="I207" s="35" cm="1">
        <f t="array" ref="I207">Common_InputFunctions.Utility_DisplayArrayInTable(SourceData_PastureBeef.SourceData_PastureBeef_LiveweightGainNTQLD_Data(),Table_SourceData_PastureBeef_LiveweightGainNTQLD[[#Headers],[State]],0)</f>
        <v>0.65</v>
      </c>
      <c r="J207" s="35" cm="1">
        <f t="array" ref="J207">Common_InputFunctions.Utility_DisplayArrayInTable(SourceData_PastureBeef.SourceData_PastureBeef_LiveweightGainNTQLD_Data(),Table_SourceData_PastureBeef_LiveweightGainNTQLD[[#Headers],[State]],0)</f>
        <v>0.51</v>
      </c>
      <c r="K207" s="35" cm="1">
        <f t="array" ref="K207">Common_InputFunctions.Utility_DisplayArrayInTable(SourceData_PastureBeef.SourceData_PastureBeef_LiveweightGainNTQLD_Data(),Table_SourceData_PastureBeef_LiveweightGainNTQLD[[#Headers],[State]],0)</f>
        <v>0.18</v>
      </c>
      <c r="L207" s="35" cm="1">
        <f t="array" ref="L207">Common_InputFunctions.Utility_DisplayArrayInTable(SourceData_PastureBeef.SourceData_PastureBeef_LiveweightGainNTQLD_Data(),Table_SourceData_PastureBeef_LiveweightGainNTQLD[[#Headers],[State]],0)</f>
        <v>0.63</v>
      </c>
      <c r="M207" s="35" cm="1">
        <f t="array" ref="M207">Common_InputFunctions.Utility_DisplayArrayInTable(SourceData_PastureBeef.SourceData_PastureBeef_LiveweightGainNTQLD_Data(),Table_SourceData_PastureBeef_LiveweightGainNTQLD[[#Headers],[State]],0)</f>
        <v>1.3</v>
      </c>
      <c r="N207" s="35" cm="1">
        <f t="array" ref="N207">Common_InputFunctions.Utility_DisplayArrayInTable(SourceData_PastureBeef.SourceData_PastureBeef_LiveweightGainNTQLD_Data(),Table_SourceData_PastureBeef_LiveweightGainNTQLD[[#Headers],[State]],0)</f>
        <v>0.48</v>
      </c>
      <c r="O207" s="35" cm="1">
        <f t="array" ref="O207">Common_InputFunctions.Utility_DisplayArrayInTable(SourceData_PastureBeef.SourceData_PastureBeef_LiveweightGainNTQLD_Data(),Table_SourceData_PastureBeef_LiveweightGainNTQLD[[#Headers],[State]],0)</f>
        <v>1.1200000000000001</v>
      </c>
      <c r="P207" s="35" cm="1">
        <f t="array" ref="P207">Common_InputFunctions.Utility_DisplayArrayInTable(SourceData_PastureBeef.SourceData_PastureBeef_LiveweightGainNTQLD_Data(),Table_SourceData_PastureBeef_LiveweightGainNTQLD[[#Headers],[State]],0)</f>
        <v>0.38</v>
      </c>
    </row>
    <row r="208" spans="4:16" x14ac:dyDescent="0.25">
      <c r="D208" s="1" t="str" cm="1">
        <f t="array" ref="D208">Common_InputFunctions.Utility_DisplayArrayInTable(SourceData_PastureBeef.SourceData_PastureBeef_LiveweightGainNTQLD_Data(),Table_SourceData_PastureBeef_LiveweightGainNTQLD[[#Headers],[State]],0)</f>
        <v>Queensland</v>
      </c>
      <c r="E208" s="35" t="str" cm="1">
        <f t="array" ref="E208">Common_InputFunctions.Utility_DisplayArrayInTable(SourceData_PastureBeef.SourceData_PastureBeef_LiveweightGainNTQLD_Data(),Table_SourceData_PastureBeef_LiveweightGainNTQLD[[#Headers],[State]],0)</f>
        <v>Moderate/High</v>
      </c>
      <c r="F208" s="35" t="str" cm="1">
        <f t="array" ref="F208">Common_InputFunctions.Utility_DisplayArrayInTable(SourceData_PastureBeef.SourceData_PastureBeef_LiveweightGainNTQLD_Data(),Table_SourceData_PastureBeef_LiveweightGainNTQLD[[#Headers],[State]],0)</f>
        <v>Autumn</v>
      </c>
      <c r="G208" s="35" cm="1">
        <f t="array" ref="G208">Common_InputFunctions.Utility_DisplayArrayInTable(SourceData_PastureBeef.SourceData_PastureBeef_LiveweightGainNTQLD_Data(),Table_SourceData_PastureBeef_LiveweightGainNTQLD[[#Headers],[State]],0)</f>
        <v>0.7</v>
      </c>
      <c r="H208" s="35" cm="1">
        <f t="array" ref="H208">Common_InputFunctions.Utility_DisplayArrayInTable(SourceData_PastureBeef.SourceData_PastureBeef_LiveweightGainNTQLD_Data(),Table_SourceData_PastureBeef_LiveweightGainNTQLD[[#Headers],[State]],0)</f>
        <v>0.13</v>
      </c>
      <c r="I208" s="35" cm="1">
        <f t="array" ref="I208">Common_InputFunctions.Utility_DisplayArrayInTable(SourceData_PastureBeef.SourceData_PastureBeef_LiveweightGainNTQLD_Data(),Table_SourceData_PastureBeef_LiveweightGainNTQLD[[#Headers],[State]],0)</f>
        <v>0.52</v>
      </c>
      <c r="J208" s="35" cm="1">
        <f t="array" ref="J208">Common_InputFunctions.Utility_DisplayArrayInTable(SourceData_PastureBeef.SourceData_PastureBeef_LiveweightGainNTQLD_Data(),Table_SourceData_PastureBeef_LiveweightGainNTQLD[[#Headers],[State]],0)</f>
        <v>0.34</v>
      </c>
      <c r="K208" s="35" cm="1">
        <f t="array" ref="K208">Common_InputFunctions.Utility_DisplayArrayInTable(SourceData_PastureBeef.SourceData_PastureBeef_LiveweightGainNTQLD_Data(),Table_SourceData_PastureBeef_LiveweightGainNTQLD[[#Headers],[State]],0)</f>
        <v>0.02</v>
      </c>
      <c r="L208" s="35" cm="1">
        <f t="array" ref="L208">Common_InputFunctions.Utility_DisplayArrayInTable(SourceData_PastureBeef.SourceData_PastureBeef_LiveweightGainNTQLD_Data(),Table_SourceData_PastureBeef_LiveweightGainNTQLD[[#Headers],[State]],0)</f>
        <v>0.04</v>
      </c>
      <c r="M208" s="35" cm="1">
        <f t="array" ref="M208">Common_InputFunctions.Utility_DisplayArrayInTable(SourceData_PastureBeef.SourceData_PastureBeef_LiveweightGainNTQLD_Data(),Table_SourceData_PastureBeef_LiveweightGainNTQLD[[#Headers],[State]],0)</f>
        <v>0.77</v>
      </c>
      <c r="N208" s="35" cm="1">
        <f t="array" ref="N208">Common_InputFunctions.Utility_DisplayArrayInTable(SourceData_PastureBeef.SourceData_PastureBeef_LiveweightGainNTQLD_Data(),Table_SourceData_PastureBeef_LiveweightGainNTQLD[[#Headers],[State]],0)</f>
        <v>0.42</v>
      </c>
      <c r="O208" s="35" cm="1">
        <f t="array" ref="O208">Common_InputFunctions.Utility_DisplayArrayInTable(SourceData_PastureBeef.SourceData_PastureBeef_LiveweightGainNTQLD_Data(),Table_SourceData_PastureBeef_LiveweightGainNTQLD[[#Headers],[State]],0)</f>
        <v>0.12</v>
      </c>
      <c r="P208" s="35" cm="1">
        <f t="array" ref="P208">Common_InputFunctions.Utility_DisplayArrayInTable(SourceData_PastureBeef.SourceData_PastureBeef_LiveweightGainNTQLD_Data(),Table_SourceData_PastureBeef_LiveweightGainNTQLD[[#Headers],[State]],0)</f>
        <v>0.74</v>
      </c>
    </row>
    <row r="209" spans="4:16" x14ac:dyDescent="0.25">
      <c r="D209" s="1" t="str" cm="1">
        <f t="array" ref="D209">Common_InputFunctions.Utility_DisplayArrayInTable(SourceData_PastureBeef.SourceData_PastureBeef_LiveweightGainNTQLD_Data(),Table_SourceData_PastureBeef_LiveweightGainNTQLD[[#Headers],[State]],0)</f>
        <v>Queensland</v>
      </c>
      <c r="E209" s="35" t="str" cm="1">
        <f t="array" ref="E209">Common_InputFunctions.Utility_DisplayArrayInTable(SourceData_PastureBeef.SourceData_PastureBeef_LiveweightGainNTQLD_Data(),Table_SourceData_PastureBeef_LiveweightGainNTQLD[[#Headers],[State]],0)</f>
        <v>Moderate/High</v>
      </c>
      <c r="F209" s="35" t="str" cm="1">
        <f t="array" ref="F209">Common_InputFunctions.Utility_DisplayArrayInTable(SourceData_PastureBeef.SourceData_PastureBeef_LiveweightGainNTQLD_Data(),Table_SourceData_PastureBeef_LiveweightGainNTQLD[[#Headers],[State]],0)</f>
        <v>Winter</v>
      </c>
      <c r="G209" s="35" cm="1">
        <f t="array" ref="G209">Common_InputFunctions.Utility_DisplayArrayInTable(SourceData_PastureBeef.SourceData_PastureBeef_LiveweightGainNTQLD_Data(),Table_SourceData_PastureBeef_LiveweightGainNTQLD[[#Headers],[State]],0)</f>
        <v>0.32</v>
      </c>
      <c r="H209" s="35" cm="1">
        <f t="array" ref="H209">Common_InputFunctions.Utility_DisplayArrayInTable(SourceData_PastureBeef.SourceData_PastureBeef_LiveweightGainNTQLD_Data(),Table_SourceData_PastureBeef_LiveweightGainNTQLD[[#Headers],[State]],0)</f>
        <v>-0.06</v>
      </c>
      <c r="I209" s="35" cm="1">
        <f t="array" ref="I209">Common_InputFunctions.Utility_DisplayArrayInTable(SourceData_PastureBeef.SourceData_PastureBeef_LiveweightGainNTQLD_Data(),Table_SourceData_PastureBeef_LiveweightGainNTQLD[[#Headers],[State]],0)</f>
        <v>0.25</v>
      </c>
      <c r="J209" s="35" cm="1">
        <f t="array" ref="J209">Common_InputFunctions.Utility_DisplayArrayInTable(SourceData_PastureBeef.SourceData_PastureBeef_LiveweightGainNTQLD_Data(),Table_SourceData_PastureBeef_LiveweightGainNTQLD[[#Headers],[State]],0)</f>
        <v>0.19</v>
      </c>
      <c r="K209" s="35" cm="1">
        <f t="array" ref="K209">Common_InputFunctions.Utility_DisplayArrayInTable(SourceData_PastureBeef.SourceData_PastureBeef_LiveweightGainNTQLD_Data(),Table_SourceData_PastureBeef_LiveweightGainNTQLD[[#Headers],[State]],0)</f>
        <v>-0.1</v>
      </c>
      <c r="L209" s="35" cm="1">
        <f t="array" ref="L209">Common_InputFunctions.Utility_DisplayArrayInTable(SourceData_PastureBeef.SourceData_PastureBeef_LiveweightGainNTQLD_Data(),Table_SourceData_PastureBeef_LiveweightGainNTQLD[[#Headers],[State]],0)</f>
        <v>-0.02</v>
      </c>
      <c r="M209" s="35" cm="1">
        <f t="array" ref="M209">Common_InputFunctions.Utility_DisplayArrayInTable(SourceData_PastureBeef.SourceData_PastureBeef_LiveweightGainNTQLD_Data(),Table_SourceData_PastureBeef_LiveweightGainNTQLD[[#Headers],[State]],0)</f>
        <v>0.02</v>
      </c>
      <c r="N209" s="35" cm="1">
        <f t="array" ref="N209">Common_InputFunctions.Utility_DisplayArrayInTable(SourceData_PastureBeef.SourceData_PastureBeef_LiveweightGainNTQLD_Data(),Table_SourceData_PastureBeef_LiveweightGainNTQLD[[#Headers],[State]],0)</f>
        <v>0.23</v>
      </c>
      <c r="O209" s="35" cm="1">
        <f t="array" ref="O209">Common_InputFunctions.Utility_DisplayArrayInTable(SourceData_PastureBeef.SourceData_PastureBeef_LiveweightGainNTQLD_Data(),Table_SourceData_PastureBeef_LiveweightGainNTQLD[[#Headers],[State]],0)</f>
        <v>-0.13</v>
      </c>
      <c r="P209" s="35" cm="1">
        <f t="array" ref="P209">Common_InputFunctions.Utility_DisplayArrayInTable(SourceData_PastureBeef.SourceData_PastureBeef_LiveweightGainNTQLD_Data(),Table_SourceData_PastureBeef_LiveweightGainNTQLD[[#Headers],[State]],0)</f>
        <v>0</v>
      </c>
    </row>
    <row r="210" spans="4:16" x14ac:dyDescent="0.25">
      <c r="D210" s="1" t="str" cm="1">
        <f t="array" ref="D210">Common_InputFunctions.Utility_DisplayArrayInTable(SourceData_PastureBeef.SourceData_PastureBeef_LiveweightGainNTQLD_Data(),Table_SourceData_PastureBeef_LiveweightGainNTQLD[[#Headers],[State]],0)</f>
        <v>Queensland</v>
      </c>
      <c r="E210" s="35" t="str" cm="1">
        <f t="array" ref="E210">Common_InputFunctions.Utility_DisplayArrayInTable(SourceData_PastureBeef.SourceData_PastureBeef_LiveweightGainNTQLD_Data(),Table_SourceData_PastureBeef_LiveweightGainNTQLD[[#Headers],[State]],0)</f>
        <v>Moderate/Low</v>
      </c>
      <c r="F210" s="35" t="str" cm="1">
        <f t="array" ref="F210">Common_InputFunctions.Utility_DisplayArrayInTable(SourceData_PastureBeef.SourceData_PastureBeef_LiveweightGainNTQLD_Data(),Table_SourceData_PastureBeef_LiveweightGainNTQLD[[#Headers],[State]],0)</f>
        <v>Spring</v>
      </c>
      <c r="G210" s="35" cm="1">
        <f t="array" ref="G210">Common_InputFunctions.Utility_DisplayArrayInTable(SourceData_PastureBeef.SourceData_PastureBeef_LiveweightGainNTQLD_Data(),Table_SourceData_PastureBeef_LiveweightGainNTQLD[[#Headers],[State]],0)</f>
        <v>0.62</v>
      </c>
      <c r="H210" s="35" cm="1">
        <f t="array" ref="H210">Common_InputFunctions.Utility_DisplayArrayInTable(SourceData_PastureBeef.SourceData_PastureBeef_LiveweightGainNTQLD_Data(),Table_SourceData_PastureBeef_LiveweightGainNTQLD[[#Headers],[State]],0)</f>
        <v>-0.19</v>
      </c>
      <c r="I210" s="35" cm="1">
        <f t="array" ref="I210">Common_InputFunctions.Utility_DisplayArrayInTable(SourceData_PastureBeef.SourceData_PastureBeef_LiveweightGainNTQLD_Data(),Table_SourceData_PastureBeef_LiveweightGainNTQLD[[#Headers],[State]],0)</f>
        <v>0.37</v>
      </c>
      <c r="J210" s="35" cm="1">
        <f t="array" ref="J210">Common_InputFunctions.Utility_DisplayArrayInTable(SourceData_PastureBeef.SourceData_PastureBeef_LiveweightGainNTQLD_Data(),Table_SourceData_PastureBeef_LiveweightGainNTQLD[[#Headers],[State]],0)</f>
        <v>0.41</v>
      </c>
      <c r="K210" s="35" cm="1">
        <f t="array" ref="K210">Common_InputFunctions.Utility_DisplayArrayInTable(SourceData_PastureBeef.SourceData_PastureBeef_LiveweightGainNTQLD_Data(),Table_SourceData_PastureBeef_LiveweightGainNTQLD[[#Headers],[State]],0)</f>
        <v>0.06</v>
      </c>
      <c r="L210" s="35" cm="1">
        <f t="array" ref="L210">Common_InputFunctions.Utility_DisplayArrayInTable(SourceData_PastureBeef.SourceData_PastureBeef_LiveweightGainNTQLD_Data(),Table_SourceData_PastureBeef_LiveweightGainNTQLD[[#Headers],[State]],0)</f>
        <v>-0.02</v>
      </c>
      <c r="M210" s="35" cm="1">
        <f t="array" ref="M210">Common_InputFunctions.Utility_DisplayArrayInTable(SourceData_PastureBeef.SourceData_PastureBeef_LiveweightGainNTQLD_Data(),Table_SourceData_PastureBeef_LiveweightGainNTQLD[[#Headers],[State]],0)</f>
        <v>0.47</v>
      </c>
      <c r="N210" s="35" cm="1">
        <f t="array" ref="N210">Common_InputFunctions.Utility_DisplayArrayInTable(SourceData_PastureBeef.SourceData_PastureBeef_LiveweightGainNTQLD_Data(),Table_SourceData_PastureBeef_LiveweightGainNTQLD[[#Headers],[State]],0)</f>
        <v>0.44</v>
      </c>
      <c r="O210" s="35" cm="1">
        <f t="array" ref="O210">Common_InputFunctions.Utility_DisplayArrayInTable(SourceData_PastureBeef.SourceData_PastureBeef_LiveweightGainNTQLD_Data(),Table_SourceData_PastureBeef_LiveweightGainNTQLD[[#Headers],[State]],0)</f>
        <v>0.3</v>
      </c>
      <c r="P210" s="35" cm="1">
        <f t="array" ref="P210">Common_InputFunctions.Utility_DisplayArrayInTable(SourceData_PastureBeef.SourceData_PastureBeef_LiveweightGainNTQLD_Data(),Table_SourceData_PastureBeef_LiveweightGainNTQLD[[#Headers],[State]],0)</f>
        <v>0.13</v>
      </c>
    </row>
    <row r="211" spans="4:16" x14ac:dyDescent="0.25">
      <c r="D211" s="1" t="str" cm="1">
        <f t="array" ref="D211">Common_InputFunctions.Utility_DisplayArrayInTable(SourceData_PastureBeef.SourceData_PastureBeef_LiveweightGainNTQLD_Data(),Table_SourceData_PastureBeef_LiveweightGainNTQLD[[#Headers],[State]],0)</f>
        <v>Queensland</v>
      </c>
      <c r="E211" s="35" t="str" cm="1">
        <f t="array" ref="E211">Common_InputFunctions.Utility_DisplayArrayInTable(SourceData_PastureBeef.SourceData_PastureBeef_LiveweightGainNTQLD_Data(),Table_SourceData_PastureBeef_LiveweightGainNTQLD[[#Headers],[State]],0)</f>
        <v>Moderate/Low</v>
      </c>
      <c r="F211" s="35" t="str" cm="1">
        <f t="array" ref="F211">Common_InputFunctions.Utility_DisplayArrayInTable(SourceData_PastureBeef.SourceData_PastureBeef_LiveweightGainNTQLD_Data(),Table_SourceData_PastureBeef_LiveweightGainNTQLD[[#Headers],[State]],0)</f>
        <v>Summer</v>
      </c>
      <c r="G211" s="35" cm="1">
        <f t="array" ref="G211">Common_InputFunctions.Utility_DisplayArrayInTable(SourceData_PastureBeef.SourceData_PastureBeef_LiveweightGainNTQLD_Data(),Table_SourceData_PastureBeef_LiveweightGainNTQLD[[#Headers],[State]],0)</f>
        <v>0.05</v>
      </c>
      <c r="H211" s="35" cm="1">
        <f t="array" ref="H211">Common_InputFunctions.Utility_DisplayArrayInTable(SourceData_PastureBeef.SourceData_PastureBeef_LiveweightGainNTQLD_Data(),Table_SourceData_PastureBeef_LiveweightGainNTQLD[[#Headers],[State]],0)</f>
        <v>0.19</v>
      </c>
      <c r="I211" s="35" cm="1">
        <f t="array" ref="I211">Common_InputFunctions.Utility_DisplayArrayInTable(SourceData_PastureBeef.SourceData_PastureBeef_LiveweightGainNTQLD_Data(),Table_SourceData_PastureBeef_LiveweightGainNTQLD[[#Headers],[State]],0)</f>
        <v>0.31</v>
      </c>
      <c r="J211" s="35" cm="1">
        <f t="array" ref="J211">Common_InputFunctions.Utility_DisplayArrayInTable(SourceData_PastureBeef.SourceData_PastureBeef_LiveweightGainNTQLD_Data(),Table_SourceData_PastureBeef_LiveweightGainNTQLD[[#Headers],[State]],0)</f>
        <v>0.54</v>
      </c>
      <c r="K211" s="35" cm="1">
        <f t="array" ref="K211">Common_InputFunctions.Utility_DisplayArrayInTable(SourceData_PastureBeef.SourceData_PastureBeef_LiveweightGainNTQLD_Data(),Table_SourceData_PastureBeef_LiveweightGainNTQLD[[#Headers],[State]],0)</f>
        <v>0.53</v>
      </c>
      <c r="L211" s="35" cm="1">
        <f t="array" ref="L211">Common_InputFunctions.Utility_DisplayArrayInTable(SourceData_PastureBeef.SourceData_PastureBeef_LiveweightGainNTQLD_Data(),Table_SourceData_PastureBeef_LiveweightGainNTQLD[[#Headers],[State]],0)</f>
        <v>0.15</v>
      </c>
      <c r="M211" s="35" cm="1">
        <f t="array" ref="M211">Common_InputFunctions.Utility_DisplayArrayInTable(SourceData_PastureBeef.SourceData_PastureBeef_LiveweightGainNTQLD_Data(),Table_SourceData_PastureBeef_LiveweightGainNTQLD[[#Headers],[State]],0)</f>
        <v>0.28000000000000003</v>
      </c>
      <c r="N211" s="35" cm="1">
        <f t="array" ref="N211">Common_InputFunctions.Utility_DisplayArrayInTable(SourceData_PastureBeef.SourceData_PastureBeef_LiveweightGainNTQLD_Data(),Table_SourceData_PastureBeef_LiveweightGainNTQLD[[#Headers],[State]],0)</f>
        <v>0.56999999999999995</v>
      </c>
      <c r="O211" s="35" cm="1">
        <f t="array" ref="O211">Common_InputFunctions.Utility_DisplayArrayInTable(SourceData_PastureBeef.SourceData_PastureBeef_LiveweightGainNTQLD_Data(),Table_SourceData_PastureBeef_LiveweightGainNTQLD[[#Headers],[State]],0)</f>
        <v>0.42</v>
      </c>
      <c r="P211" s="35" cm="1">
        <f t="array" ref="P211">Common_InputFunctions.Utility_DisplayArrayInTable(SourceData_PastureBeef.SourceData_PastureBeef_LiveweightGainNTQLD_Data(),Table_SourceData_PastureBeef_LiveweightGainNTQLD[[#Headers],[State]],0)</f>
        <v>0.4</v>
      </c>
    </row>
    <row r="212" spans="4:16" x14ac:dyDescent="0.25">
      <c r="D212" s="1" t="str" cm="1">
        <f t="array" ref="D212">Common_InputFunctions.Utility_DisplayArrayInTable(SourceData_PastureBeef.SourceData_PastureBeef_LiveweightGainNTQLD_Data(),Table_SourceData_PastureBeef_LiveweightGainNTQLD[[#Headers],[State]],0)</f>
        <v>Queensland</v>
      </c>
      <c r="E212" s="35" t="str" cm="1">
        <f t="array" ref="E212">Common_InputFunctions.Utility_DisplayArrayInTable(SourceData_PastureBeef.SourceData_PastureBeef_LiveweightGainNTQLD_Data(),Table_SourceData_PastureBeef_LiveweightGainNTQLD[[#Headers],[State]],0)</f>
        <v>Moderate/Low</v>
      </c>
      <c r="F212" s="35" t="str" cm="1">
        <f t="array" ref="F212">Common_InputFunctions.Utility_DisplayArrayInTable(SourceData_PastureBeef.SourceData_PastureBeef_LiveweightGainNTQLD_Data(),Table_SourceData_PastureBeef_LiveweightGainNTQLD[[#Headers],[State]],0)</f>
        <v>Autumn</v>
      </c>
      <c r="G212" s="35" cm="1">
        <f t="array" ref="G212">Common_InputFunctions.Utility_DisplayArrayInTable(SourceData_PastureBeef.SourceData_PastureBeef_LiveweightGainNTQLD_Data(),Table_SourceData_PastureBeef_LiveweightGainNTQLD[[#Headers],[State]],0)</f>
        <v>0.33</v>
      </c>
      <c r="H212" s="35" cm="1">
        <f t="array" ref="H212">Common_InputFunctions.Utility_DisplayArrayInTable(SourceData_PastureBeef.SourceData_PastureBeef_LiveweightGainNTQLD_Data(),Table_SourceData_PastureBeef_LiveweightGainNTQLD[[#Headers],[State]],0)</f>
        <v>0.13</v>
      </c>
      <c r="I212" s="35" cm="1">
        <f t="array" ref="I212">Common_InputFunctions.Utility_DisplayArrayInTable(SourceData_PastureBeef.SourceData_PastureBeef_LiveweightGainNTQLD_Data(),Table_SourceData_PastureBeef_LiveweightGainNTQLD[[#Headers],[State]],0)</f>
        <v>0.39</v>
      </c>
      <c r="J212" s="35" cm="1">
        <f t="array" ref="J212">Common_InputFunctions.Utility_DisplayArrayInTable(SourceData_PastureBeef.SourceData_PastureBeef_LiveweightGainNTQLD_Data(),Table_SourceData_PastureBeef_LiveweightGainNTQLD[[#Headers],[State]],0)</f>
        <v>0.36</v>
      </c>
      <c r="K212" s="35" cm="1">
        <f t="array" ref="K212">Common_InputFunctions.Utility_DisplayArrayInTable(SourceData_PastureBeef.SourceData_PastureBeef_LiveweightGainNTQLD_Data(),Table_SourceData_PastureBeef_LiveweightGainNTQLD[[#Headers],[State]],0)</f>
        <v>0.26</v>
      </c>
      <c r="L212" s="35" cm="1">
        <f t="array" ref="L212">Common_InputFunctions.Utility_DisplayArrayInTable(SourceData_PastureBeef.SourceData_PastureBeef_LiveweightGainNTQLD_Data(),Table_SourceData_PastureBeef_LiveweightGainNTQLD[[#Headers],[State]],0)</f>
        <v>0.11</v>
      </c>
      <c r="M212" s="35" cm="1">
        <f t="array" ref="M212">Common_InputFunctions.Utility_DisplayArrayInTable(SourceData_PastureBeef.SourceData_PastureBeef_LiveweightGainNTQLD_Data(),Table_SourceData_PastureBeef_LiveweightGainNTQLD[[#Headers],[State]],0)</f>
        <v>0.4</v>
      </c>
      <c r="N212" s="35" cm="1">
        <f t="array" ref="N212">Common_InputFunctions.Utility_DisplayArrayInTable(SourceData_PastureBeef.SourceData_PastureBeef_LiveweightGainNTQLD_Data(),Table_SourceData_PastureBeef_LiveweightGainNTQLD[[#Headers],[State]],0)</f>
        <v>0.44</v>
      </c>
      <c r="O212" s="35" cm="1">
        <f t="array" ref="O212">Common_InputFunctions.Utility_DisplayArrayInTable(SourceData_PastureBeef.SourceData_PastureBeef_LiveweightGainNTQLD_Data(),Table_SourceData_PastureBeef_LiveweightGainNTQLD[[#Headers],[State]],0)</f>
        <v>0.37</v>
      </c>
      <c r="P212" s="35" cm="1">
        <f t="array" ref="P212">Common_InputFunctions.Utility_DisplayArrayInTable(SourceData_PastureBeef.SourceData_PastureBeef_LiveweightGainNTQLD_Data(),Table_SourceData_PastureBeef_LiveweightGainNTQLD[[#Headers],[State]],0)</f>
        <v>-0.01</v>
      </c>
    </row>
    <row r="213" spans="4:16" x14ac:dyDescent="0.25">
      <c r="D213" s="1" t="str" cm="1">
        <f t="array" ref="D213">Common_InputFunctions.Utility_DisplayArrayInTable(SourceData_PastureBeef.SourceData_PastureBeef_LiveweightGainNTQLD_Data(),Table_SourceData_PastureBeef_LiveweightGainNTQLD[[#Headers],[State]],0)</f>
        <v>Queensland</v>
      </c>
      <c r="E213" s="35" t="str" cm="1">
        <f t="array" ref="E213">Common_InputFunctions.Utility_DisplayArrayInTable(SourceData_PastureBeef.SourceData_PastureBeef_LiveweightGainNTQLD_Data(),Table_SourceData_PastureBeef_LiveweightGainNTQLD[[#Headers],[State]],0)</f>
        <v>Moderate/Low</v>
      </c>
      <c r="F213" s="35" t="str" cm="1">
        <f t="array" ref="F213">Common_InputFunctions.Utility_DisplayArrayInTable(SourceData_PastureBeef.SourceData_PastureBeef_LiveweightGainNTQLD_Data(),Table_SourceData_PastureBeef_LiveweightGainNTQLD[[#Headers],[State]],0)</f>
        <v>Winter</v>
      </c>
      <c r="G213" s="35" cm="1">
        <f t="array" ref="G213">Common_InputFunctions.Utility_DisplayArrayInTable(SourceData_PastureBeef.SourceData_PastureBeef_LiveweightGainNTQLD_Data(),Table_SourceData_PastureBeef_LiveweightGainNTQLD[[#Headers],[State]],0)</f>
        <v>0.61</v>
      </c>
      <c r="H213" s="35" cm="1">
        <f t="array" ref="H213">Common_InputFunctions.Utility_DisplayArrayInTable(SourceData_PastureBeef.SourceData_PastureBeef_LiveweightGainNTQLD_Data(),Table_SourceData_PastureBeef_LiveweightGainNTQLD[[#Headers],[State]],0)</f>
        <v>-0.06</v>
      </c>
      <c r="I213" s="35" cm="1">
        <f t="array" ref="I213">Common_InputFunctions.Utility_DisplayArrayInTable(SourceData_PastureBeef.SourceData_PastureBeef_LiveweightGainNTQLD_Data(),Table_SourceData_PastureBeef_LiveweightGainNTQLD[[#Headers],[State]],0)</f>
        <v>0.21</v>
      </c>
      <c r="J213" s="35" cm="1">
        <f t="array" ref="J213">Common_InputFunctions.Utility_DisplayArrayInTable(SourceData_PastureBeef.SourceData_PastureBeef_LiveweightGainNTQLD_Data(),Table_SourceData_PastureBeef_LiveweightGainNTQLD[[#Headers],[State]],0)</f>
        <v>0.18</v>
      </c>
      <c r="K213" s="35" cm="1">
        <f t="array" ref="K213">Common_InputFunctions.Utility_DisplayArrayInTable(SourceData_PastureBeef.SourceData_PastureBeef_LiveweightGainNTQLD_Data(),Table_SourceData_PastureBeef_LiveweightGainNTQLD[[#Headers],[State]],0)</f>
        <v>0.12</v>
      </c>
      <c r="L213" s="35" cm="1">
        <f t="array" ref="L213">Common_InputFunctions.Utility_DisplayArrayInTable(SourceData_PastureBeef.SourceData_PastureBeef_LiveweightGainNTQLD_Data(),Table_SourceData_PastureBeef_LiveweightGainNTQLD[[#Headers],[State]],0)</f>
        <v>0.06</v>
      </c>
      <c r="M213" s="35" cm="1">
        <f t="array" ref="M213">Common_InputFunctions.Utility_DisplayArrayInTable(SourceData_PastureBeef.SourceData_PastureBeef_LiveweightGainNTQLD_Data(),Table_SourceData_PastureBeef_LiveweightGainNTQLD[[#Headers],[State]],0)</f>
        <v>0.28999999999999998</v>
      </c>
      <c r="N213" s="35" cm="1">
        <f t="array" ref="N213">Common_InputFunctions.Utility_DisplayArrayInTable(SourceData_PastureBeef.SourceData_PastureBeef_LiveweightGainNTQLD_Data(),Table_SourceData_PastureBeef_LiveweightGainNTQLD[[#Headers],[State]],0)</f>
        <v>0.41</v>
      </c>
      <c r="O213" s="35" cm="1">
        <f t="array" ref="O213">Common_InputFunctions.Utility_DisplayArrayInTable(SourceData_PastureBeef.SourceData_PastureBeef_LiveweightGainNTQLD_Data(),Table_SourceData_PastureBeef_LiveweightGainNTQLD[[#Headers],[State]],0)</f>
        <v>0.41</v>
      </c>
      <c r="P213" s="35" cm="1">
        <f t="array" ref="P213">Common_InputFunctions.Utility_DisplayArrayInTable(SourceData_PastureBeef.SourceData_PastureBeef_LiveweightGainNTQLD_Data(),Table_SourceData_PastureBeef_LiveweightGainNTQLD[[#Headers],[State]],0)</f>
        <v>-0.15</v>
      </c>
    </row>
    <row r="214" spans="4:16" x14ac:dyDescent="0.25">
      <c r="D214" s="1" t="str" cm="1">
        <f t="array" ref="D214">Common_InputFunctions.Utility_DisplayArrayInTable(SourceData_PastureBeef.SourceData_PastureBeef_LiveweightGainNTQLD_Data(),Table_SourceData_PastureBeef_LiveweightGainNTQLD[[#Headers],[State]],0)</f>
        <v>Queensland</v>
      </c>
      <c r="E214" s="35" t="str" cm="1">
        <f t="array" ref="E214">Common_InputFunctions.Utility_DisplayArrayInTable(SourceData_PastureBeef.SourceData_PastureBeef_LiveweightGainNTQLD_Data(),Table_SourceData_PastureBeef_LiveweightGainNTQLD[[#Headers],[State]],0)</f>
        <v>Low</v>
      </c>
      <c r="F214" s="35" t="str" cm="1">
        <f t="array" ref="F214">Common_InputFunctions.Utility_DisplayArrayInTable(SourceData_PastureBeef.SourceData_PastureBeef_LiveweightGainNTQLD_Data(),Table_SourceData_PastureBeef_LiveweightGainNTQLD[[#Headers],[State]],0)</f>
        <v>Spring</v>
      </c>
      <c r="G214" s="35" cm="1">
        <f t="array" ref="G214">Common_InputFunctions.Utility_DisplayArrayInTable(SourceData_PastureBeef.SourceData_PastureBeef_LiveweightGainNTQLD_Data(),Table_SourceData_PastureBeef_LiveweightGainNTQLD[[#Headers],[State]],0)</f>
        <v>-0.2</v>
      </c>
      <c r="H214" s="35" cm="1">
        <f t="array" ref="H214">Common_InputFunctions.Utility_DisplayArrayInTable(SourceData_PastureBeef.SourceData_PastureBeef_LiveweightGainNTQLD_Data(),Table_SourceData_PastureBeef_LiveweightGainNTQLD[[#Headers],[State]],0)</f>
        <v>0.02</v>
      </c>
      <c r="I214" s="35" cm="1">
        <f t="array" ref="I214">Common_InputFunctions.Utility_DisplayArrayInTable(SourceData_PastureBeef.SourceData_PastureBeef_LiveweightGainNTQLD_Data(),Table_SourceData_PastureBeef_LiveweightGainNTQLD[[#Headers],[State]],0)</f>
        <v>0.24</v>
      </c>
      <c r="J214" s="35" cm="1">
        <f t="array" ref="J214">Common_InputFunctions.Utility_DisplayArrayInTable(SourceData_PastureBeef.SourceData_PastureBeef_LiveweightGainNTQLD_Data(),Table_SourceData_PastureBeef_LiveweightGainNTQLD[[#Headers],[State]],0)</f>
        <v>0.3</v>
      </c>
      <c r="K214" s="35" cm="1">
        <f t="array" ref="K214">Common_InputFunctions.Utility_DisplayArrayInTable(SourceData_PastureBeef.SourceData_PastureBeef_LiveweightGainNTQLD_Data(),Table_SourceData_PastureBeef_LiveweightGainNTQLD[[#Headers],[State]],0)</f>
        <v>0.23</v>
      </c>
      <c r="L214" s="35" cm="1">
        <f t="array" ref="L214">Common_InputFunctions.Utility_DisplayArrayInTable(SourceData_PastureBeef.SourceData_PastureBeef_LiveweightGainNTQLD_Data(),Table_SourceData_PastureBeef_LiveweightGainNTQLD[[#Headers],[State]],0)</f>
        <v>-0.05</v>
      </c>
      <c r="M214" s="35" cm="1">
        <f t="array" ref="M214">Common_InputFunctions.Utility_DisplayArrayInTable(SourceData_PastureBeef.SourceData_PastureBeef_LiveweightGainNTQLD_Data(),Table_SourceData_PastureBeef_LiveweightGainNTQLD[[#Headers],[State]],0)</f>
        <v>0.34</v>
      </c>
      <c r="N214" s="35" cm="1">
        <f t="array" ref="N214">Common_InputFunctions.Utility_DisplayArrayInTable(SourceData_PastureBeef.SourceData_PastureBeef_LiveweightGainNTQLD_Data(),Table_SourceData_PastureBeef_LiveweightGainNTQLD[[#Headers],[State]],0)</f>
        <v>0.3</v>
      </c>
      <c r="O214" s="35" cm="1">
        <f t="array" ref="O214">Common_InputFunctions.Utility_DisplayArrayInTable(SourceData_PastureBeef.SourceData_PastureBeef_LiveweightGainNTQLD_Data(),Table_SourceData_PastureBeef_LiveweightGainNTQLD[[#Headers],[State]],0)</f>
        <v>0.56999999999999995</v>
      </c>
      <c r="P214" s="35" cm="1">
        <f t="array" ref="P214">Common_InputFunctions.Utility_DisplayArrayInTable(SourceData_PastureBeef.SourceData_PastureBeef_LiveweightGainNTQLD_Data(),Table_SourceData_PastureBeef_LiveweightGainNTQLD[[#Headers],[State]],0)</f>
        <v>0.52</v>
      </c>
    </row>
    <row r="215" spans="4:16" x14ac:dyDescent="0.25">
      <c r="D215" s="1" t="str" cm="1">
        <f t="array" ref="D215">Common_InputFunctions.Utility_DisplayArrayInTable(SourceData_PastureBeef.SourceData_PastureBeef_LiveweightGainNTQLD_Data(),Table_SourceData_PastureBeef_LiveweightGainNTQLD[[#Headers],[State]],0)</f>
        <v>Queensland</v>
      </c>
      <c r="E215" s="35" t="str" cm="1">
        <f t="array" ref="E215">Common_InputFunctions.Utility_DisplayArrayInTable(SourceData_PastureBeef.SourceData_PastureBeef_LiveweightGainNTQLD_Data(),Table_SourceData_PastureBeef_LiveweightGainNTQLD[[#Headers],[State]],0)</f>
        <v>Low</v>
      </c>
      <c r="F215" s="35" t="str" cm="1">
        <f t="array" ref="F215">Common_InputFunctions.Utility_DisplayArrayInTable(SourceData_PastureBeef.SourceData_PastureBeef_LiveweightGainNTQLD_Data(),Table_SourceData_PastureBeef_LiveweightGainNTQLD[[#Headers],[State]],0)</f>
        <v>Summer</v>
      </c>
      <c r="G215" s="35" cm="1">
        <f t="array" ref="G215">Common_InputFunctions.Utility_DisplayArrayInTable(SourceData_PastureBeef.SourceData_PastureBeef_LiveweightGainNTQLD_Data(),Table_SourceData_PastureBeef_LiveweightGainNTQLD[[#Headers],[State]],0)</f>
        <v>0.62</v>
      </c>
      <c r="H215" s="35" cm="1">
        <f t="array" ref="H215">Common_InputFunctions.Utility_DisplayArrayInTable(SourceData_PastureBeef.SourceData_PastureBeef_LiveweightGainNTQLD_Data(),Table_SourceData_PastureBeef_LiveweightGainNTQLD[[#Headers],[State]],0)</f>
        <v>0.21</v>
      </c>
      <c r="I215" s="35" cm="1">
        <f t="array" ref="I215">Common_InputFunctions.Utility_DisplayArrayInTable(SourceData_PastureBeef.SourceData_PastureBeef_LiveweightGainNTQLD_Data(),Table_SourceData_PastureBeef_LiveweightGainNTQLD[[#Headers],[State]],0)</f>
        <v>0.25</v>
      </c>
      <c r="J215" s="35" cm="1">
        <f t="array" ref="J215">Common_InputFunctions.Utility_DisplayArrayInTable(SourceData_PastureBeef.SourceData_PastureBeef_LiveweightGainNTQLD_Data(),Table_SourceData_PastureBeef_LiveweightGainNTQLD[[#Headers],[State]],0)</f>
        <v>0.32</v>
      </c>
      <c r="K215" s="35" cm="1">
        <f t="array" ref="K215">Common_InputFunctions.Utility_DisplayArrayInTable(SourceData_PastureBeef.SourceData_PastureBeef_LiveweightGainNTQLD_Data(),Table_SourceData_PastureBeef_LiveweightGainNTQLD[[#Headers],[State]],0)</f>
        <v>0.47</v>
      </c>
      <c r="L215" s="35" cm="1">
        <f t="array" ref="L215">Common_InputFunctions.Utility_DisplayArrayInTable(SourceData_PastureBeef.SourceData_PastureBeef_LiveweightGainNTQLD_Data(),Table_SourceData_PastureBeef_LiveweightGainNTQLD[[#Headers],[State]],0)</f>
        <v>0.31</v>
      </c>
      <c r="M215" s="35" cm="1">
        <f t="array" ref="M215">Common_InputFunctions.Utility_DisplayArrayInTable(SourceData_PastureBeef.SourceData_PastureBeef_LiveweightGainNTQLD_Data(),Table_SourceData_PastureBeef_LiveweightGainNTQLD[[#Headers],[State]],0)</f>
        <v>0.14000000000000001</v>
      </c>
      <c r="N215" s="35" cm="1">
        <f t="array" ref="N215">Common_InputFunctions.Utility_DisplayArrayInTable(SourceData_PastureBeef.SourceData_PastureBeef_LiveweightGainNTQLD_Data(),Table_SourceData_PastureBeef_LiveweightGainNTQLD[[#Headers],[State]],0)</f>
        <v>0.4</v>
      </c>
      <c r="O215" s="35" cm="1">
        <f t="array" ref="O215">Common_InputFunctions.Utility_DisplayArrayInTable(SourceData_PastureBeef.SourceData_PastureBeef_LiveweightGainNTQLD_Data(),Table_SourceData_PastureBeef_LiveweightGainNTQLD[[#Headers],[State]],0)</f>
        <v>0.26</v>
      </c>
      <c r="P215" s="35" cm="1">
        <f t="array" ref="P215">Common_InputFunctions.Utility_DisplayArrayInTable(SourceData_PastureBeef.SourceData_PastureBeef_LiveweightGainNTQLD_Data(),Table_SourceData_PastureBeef_LiveweightGainNTQLD[[#Headers],[State]],0)</f>
        <v>0.43</v>
      </c>
    </row>
    <row r="216" spans="4:16" x14ac:dyDescent="0.25">
      <c r="D216" s="1" t="str" cm="1">
        <f t="array" ref="D216">Common_InputFunctions.Utility_DisplayArrayInTable(SourceData_PastureBeef.SourceData_PastureBeef_LiveweightGainNTQLD_Data(),Table_SourceData_PastureBeef_LiveweightGainNTQLD[[#Headers],[State]],0)</f>
        <v>Queensland</v>
      </c>
      <c r="E216" s="35" t="str" cm="1">
        <f t="array" ref="E216">Common_InputFunctions.Utility_DisplayArrayInTable(SourceData_PastureBeef.SourceData_PastureBeef_LiveweightGainNTQLD_Data(),Table_SourceData_PastureBeef_LiveweightGainNTQLD[[#Headers],[State]],0)</f>
        <v>Low</v>
      </c>
      <c r="F216" s="35" t="str" cm="1">
        <f t="array" ref="F216">Common_InputFunctions.Utility_DisplayArrayInTable(SourceData_PastureBeef.SourceData_PastureBeef_LiveweightGainNTQLD_Data(),Table_SourceData_PastureBeef_LiveweightGainNTQLD[[#Headers],[State]],0)</f>
        <v>Autumn</v>
      </c>
      <c r="G216" s="35" cm="1">
        <f t="array" ref="G216">Common_InputFunctions.Utility_DisplayArrayInTable(SourceData_PastureBeef.SourceData_PastureBeef_LiveweightGainNTQLD_Data(),Table_SourceData_PastureBeef_LiveweightGainNTQLD[[#Headers],[State]],0)</f>
        <v>0.4</v>
      </c>
      <c r="H216" s="35" cm="1">
        <f t="array" ref="H216">Common_InputFunctions.Utility_DisplayArrayInTable(SourceData_PastureBeef.SourceData_PastureBeef_LiveweightGainNTQLD_Data(),Table_SourceData_PastureBeef_LiveweightGainNTQLD[[#Headers],[State]],0)</f>
        <v>0.13</v>
      </c>
      <c r="I216" s="35" cm="1">
        <f t="array" ref="I216">Common_InputFunctions.Utility_DisplayArrayInTable(SourceData_PastureBeef.SourceData_PastureBeef_LiveweightGainNTQLD_Data(),Table_SourceData_PastureBeef_LiveweightGainNTQLD[[#Headers],[State]],0)</f>
        <v>0.12</v>
      </c>
      <c r="J216" s="35" cm="1">
        <f t="array" ref="J216">Common_InputFunctions.Utility_DisplayArrayInTable(SourceData_PastureBeef.SourceData_PastureBeef_LiveweightGainNTQLD_Data(),Table_SourceData_PastureBeef_LiveweightGainNTQLD[[#Headers],[State]],0)</f>
        <v>0.27</v>
      </c>
      <c r="K216" s="35" cm="1">
        <f t="array" ref="K216">Common_InputFunctions.Utility_DisplayArrayInTable(SourceData_PastureBeef.SourceData_PastureBeef_LiveweightGainNTQLD_Data(),Table_SourceData_PastureBeef_LiveweightGainNTQLD[[#Headers],[State]],0)</f>
        <v>0.3</v>
      </c>
      <c r="L216" s="35" cm="1">
        <f t="array" ref="L216">Common_InputFunctions.Utility_DisplayArrayInTable(SourceData_PastureBeef.SourceData_PastureBeef_LiveweightGainNTQLD_Data(),Table_SourceData_PastureBeef_LiveweightGainNTQLD[[#Headers],[State]],0)</f>
        <v>0.08</v>
      </c>
      <c r="M216" s="35" cm="1">
        <f t="array" ref="M216">Common_InputFunctions.Utility_DisplayArrayInTable(SourceData_PastureBeef.SourceData_PastureBeef_LiveweightGainNTQLD_Data(),Table_SourceData_PastureBeef_LiveweightGainNTQLD[[#Headers],[State]],0)</f>
        <v>0.13</v>
      </c>
      <c r="N216" s="35" cm="1">
        <f t="array" ref="N216">Common_InputFunctions.Utility_DisplayArrayInTable(SourceData_PastureBeef.SourceData_PastureBeef_LiveweightGainNTQLD_Data(),Table_SourceData_PastureBeef_LiveweightGainNTQLD[[#Headers],[State]],0)</f>
        <v>0.24</v>
      </c>
      <c r="O216" s="35" cm="1">
        <f t="array" ref="O216">Common_InputFunctions.Utility_DisplayArrayInTable(SourceData_PastureBeef.SourceData_PastureBeef_LiveweightGainNTQLD_Data(),Table_SourceData_PastureBeef_LiveweightGainNTQLD[[#Headers],[State]],0)</f>
        <v>0.15</v>
      </c>
      <c r="P216" s="35" cm="1">
        <f t="array" ref="P216">Common_InputFunctions.Utility_DisplayArrayInTable(SourceData_PastureBeef.SourceData_PastureBeef_LiveweightGainNTQLD_Data(),Table_SourceData_PastureBeef_LiveweightGainNTQLD[[#Headers],[State]],0)</f>
        <v>0.21</v>
      </c>
    </row>
    <row r="217" spans="4:16" x14ac:dyDescent="0.25">
      <c r="D217" s="1" t="str" cm="1">
        <f t="array" ref="D217">Common_InputFunctions.Utility_DisplayArrayInTable(SourceData_PastureBeef.SourceData_PastureBeef_LiveweightGainNTQLD_Data(),Table_SourceData_PastureBeef_LiveweightGainNTQLD[[#Headers],[State]],0)</f>
        <v>Queensland</v>
      </c>
      <c r="E217" s="35" t="str" cm="1">
        <f t="array" ref="E217">Common_InputFunctions.Utility_DisplayArrayInTable(SourceData_PastureBeef.SourceData_PastureBeef_LiveweightGainNTQLD_Data(),Table_SourceData_PastureBeef_LiveweightGainNTQLD[[#Headers],[State]],0)</f>
        <v>Low</v>
      </c>
      <c r="F217" s="35" t="str" cm="1">
        <f t="array" ref="F217">Common_InputFunctions.Utility_DisplayArrayInTable(SourceData_PastureBeef.SourceData_PastureBeef_LiveweightGainNTQLD_Data(),Table_SourceData_PastureBeef_LiveweightGainNTQLD[[#Headers],[State]],0)</f>
        <v>Winter</v>
      </c>
      <c r="G217" s="35" cm="1">
        <f t="array" ref="G217">Common_InputFunctions.Utility_DisplayArrayInTable(SourceData_PastureBeef.SourceData_PastureBeef_LiveweightGainNTQLD_Data(),Table_SourceData_PastureBeef_LiveweightGainNTQLD[[#Headers],[State]],0)</f>
        <v>0.08</v>
      </c>
      <c r="H217" s="35" cm="1">
        <f t="array" ref="H217">Common_InputFunctions.Utility_DisplayArrayInTable(SourceData_PastureBeef.SourceData_PastureBeef_LiveweightGainNTQLD_Data(),Table_SourceData_PastureBeef_LiveweightGainNTQLD[[#Headers],[State]],0)</f>
        <v>0.04</v>
      </c>
      <c r="I217" s="35" cm="1">
        <f t="array" ref="I217">Common_InputFunctions.Utility_DisplayArrayInTable(SourceData_PastureBeef.SourceData_PastureBeef_LiveweightGainNTQLD_Data(),Table_SourceData_PastureBeef_LiveweightGainNTQLD[[#Headers],[State]],0)</f>
        <v>0.06</v>
      </c>
      <c r="J217" s="35" cm="1">
        <f t="array" ref="J217">Common_InputFunctions.Utility_DisplayArrayInTable(SourceData_PastureBeef.SourceData_PastureBeef_LiveweightGainNTQLD_Data(),Table_SourceData_PastureBeef_LiveweightGainNTQLD[[#Headers],[State]],0)</f>
        <v>0.18</v>
      </c>
      <c r="K217" s="35" cm="1">
        <f t="array" ref="K217">Common_InputFunctions.Utility_DisplayArrayInTable(SourceData_PastureBeef.SourceData_PastureBeef_LiveweightGainNTQLD_Data(),Table_SourceData_PastureBeef_LiveweightGainNTQLD[[#Headers],[State]],0)</f>
        <v>0.11</v>
      </c>
      <c r="L217" s="35" cm="1">
        <f t="array" ref="L217">Common_InputFunctions.Utility_DisplayArrayInTable(SourceData_PastureBeef.SourceData_PastureBeef_LiveweightGainNTQLD_Data(),Table_SourceData_PastureBeef_LiveweightGainNTQLD[[#Headers],[State]],0)</f>
        <v>-7.0000000000000007E-2</v>
      </c>
      <c r="M217" s="35" cm="1">
        <f t="array" ref="M217">Common_InputFunctions.Utility_DisplayArrayInTable(SourceData_PastureBeef.SourceData_PastureBeef_LiveweightGainNTQLD_Data(),Table_SourceData_PastureBeef_LiveweightGainNTQLD[[#Headers],[State]],0)</f>
        <v>0.13</v>
      </c>
      <c r="N217" s="35" cm="1">
        <f t="array" ref="N217">Common_InputFunctions.Utility_DisplayArrayInTable(SourceData_PastureBeef.SourceData_PastureBeef_LiveweightGainNTQLD_Data(),Table_SourceData_PastureBeef_LiveweightGainNTQLD[[#Headers],[State]],0)</f>
        <v>0.16</v>
      </c>
      <c r="O217" s="35" cm="1">
        <f t="array" ref="O217">Common_InputFunctions.Utility_DisplayArrayInTable(SourceData_PastureBeef.SourceData_PastureBeef_LiveweightGainNTQLD_Data(),Table_SourceData_PastureBeef_LiveweightGainNTQLD[[#Headers],[State]],0)</f>
        <v>0.4</v>
      </c>
      <c r="P217" s="35" cm="1">
        <f t="array" ref="P217">Common_InputFunctions.Utility_DisplayArrayInTable(SourceData_PastureBeef.SourceData_PastureBeef_LiveweightGainNTQLD_Data(),Table_SourceData_PastureBeef_LiveweightGainNTQLD[[#Headers],[State]],0)</f>
        <v>0.33</v>
      </c>
    </row>
    <row r="218" spans="4:16" x14ac:dyDescent="0.25">
      <c r="M218" s="1"/>
    </row>
    <row r="219" spans="4:16" x14ac:dyDescent="0.25">
      <c r="M219" s="1"/>
    </row>
    <row r="220" spans="4:16" ht="23.25" x14ac:dyDescent="0.25">
      <c r="D220" s="6" t="s">
        <v>162</v>
      </c>
      <c r="M220" s="1"/>
    </row>
    <row r="221" spans="4:16" x14ac:dyDescent="0.25">
      <c r="M221" s="1"/>
    </row>
    <row r="222" spans="4:16" x14ac:dyDescent="0.25">
      <c r="D222" s="35" t="s">
        <v>5</v>
      </c>
      <c r="E222" s="35" t="s">
        <v>144</v>
      </c>
      <c r="F222" s="35" t="s">
        <v>145</v>
      </c>
      <c r="G222" s="105" t="s">
        <v>103</v>
      </c>
      <c r="H222" s="105" t="s">
        <v>102</v>
      </c>
      <c r="I222" s="105" t="s">
        <v>126</v>
      </c>
      <c r="J222" s="105" t="s">
        <v>127</v>
      </c>
      <c r="K222" s="105" t="s">
        <v>128</v>
      </c>
      <c r="L222" s="105" t="s">
        <v>129</v>
      </c>
      <c r="M222" s="105" t="s">
        <v>130</v>
      </c>
      <c r="N222" s="105" t="s">
        <v>131</v>
      </c>
      <c r="O222" s="105" t="s">
        <v>132</v>
      </c>
      <c r="P222" s="105" t="s">
        <v>133</v>
      </c>
    </row>
    <row r="223" spans="4:16" x14ac:dyDescent="0.25">
      <c r="D223" s="35" t="s">
        <v>65</v>
      </c>
      <c r="E223" s="35" t="s">
        <v>163</v>
      </c>
      <c r="F223" s="35" t="str">
        <f>F155</f>
        <v>Spring</v>
      </c>
      <c r="G223" s="35">
        <f>G155</f>
        <v>0.5</v>
      </c>
      <c r="H223" s="35">
        <f t="shared" ref="H223:J223" si="83">H155</f>
        <v>0.2</v>
      </c>
      <c r="I223" s="35">
        <f t="shared" si="83"/>
        <v>0.5</v>
      </c>
      <c r="J223" s="35">
        <f t="shared" si="83"/>
        <v>0.4</v>
      </c>
      <c r="K223" s="35">
        <f>K155</f>
        <v>0.3</v>
      </c>
      <c r="L223" s="35">
        <f>K155</f>
        <v>0.3</v>
      </c>
      <c r="M223" s="35">
        <f>L155</f>
        <v>0.5</v>
      </c>
      <c r="N223" s="35">
        <f>M155</f>
        <v>0.4</v>
      </c>
      <c r="O223" s="35">
        <f>M155</f>
        <v>0.4</v>
      </c>
      <c r="P223" s="35">
        <f>M155</f>
        <v>0.4</v>
      </c>
    </row>
    <row r="224" spans="4:16" x14ac:dyDescent="0.25">
      <c r="D224" s="35" t="s">
        <v>65</v>
      </c>
      <c r="E224" s="35" t="s">
        <v>163</v>
      </c>
      <c r="F224" s="35" t="str">
        <f t="shared" ref="F224:K226" si="84">F156</f>
        <v>Summer</v>
      </c>
      <c r="G224" s="35">
        <f t="shared" si="84"/>
        <v>1</v>
      </c>
      <c r="H224" s="35">
        <f t="shared" si="84"/>
        <v>0.4</v>
      </c>
      <c r="I224" s="35">
        <f t="shared" si="84"/>
        <v>0.9</v>
      </c>
      <c r="J224" s="35">
        <f t="shared" si="84"/>
        <v>0.7</v>
      </c>
      <c r="K224" s="35">
        <f t="shared" si="84"/>
        <v>0.3</v>
      </c>
      <c r="L224" s="35">
        <f t="shared" ref="L224:M226" si="85">K156</f>
        <v>0.3</v>
      </c>
      <c r="M224" s="35">
        <f t="shared" si="85"/>
        <v>0.9</v>
      </c>
      <c r="N224" s="35">
        <f t="shared" ref="N224:N226" si="86">M156</f>
        <v>0.4</v>
      </c>
      <c r="O224" s="35">
        <f t="shared" ref="O224:O226" si="87">M156</f>
        <v>0.4</v>
      </c>
      <c r="P224" s="35">
        <f t="shared" ref="P224:P226" si="88">M156</f>
        <v>0.4</v>
      </c>
    </row>
    <row r="225" spans="4:16" x14ac:dyDescent="0.25">
      <c r="D225" s="35" t="s">
        <v>65</v>
      </c>
      <c r="E225" s="35" t="s">
        <v>163</v>
      </c>
      <c r="F225" s="35" t="str">
        <f t="shared" si="84"/>
        <v>Autumn</v>
      </c>
      <c r="G225" s="35">
        <f t="shared" si="84"/>
        <v>0.8</v>
      </c>
      <c r="H225" s="35">
        <f t="shared" si="84"/>
        <v>0.3</v>
      </c>
      <c r="I225" s="35">
        <f t="shared" si="84"/>
        <v>0.7</v>
      </c>
      <c r="J225" s="35">
        <f t="shared" si="84"/>
        <v>0.3</v>
      </c>
      <c r="K225" s="35">
        <f t="shared" si="84"/>
        <v>0.2</v>
      </c>
      <c r="L225" s="35">
        <f t="shared" si="85"/>
        <v>0.2</v>
      </c>
      <c r="M225" s="35">
        <f t="shared" si="85"/>
        <v>0.7</v>
      </c>
      <c r="N225" s="35">
        <f t="shared" si="86"/>
        <v>0.3</v>
      </c>
      <c r="O225" s="35">
        <f t="shared" si="87"/>
        <v>0.3</v>
      </c>
      <c r="P225" s="35">
        <f t="shared" si="88"/>
        <v>0.3</v>
      </c>
    </row>
    <row r="226" spans="4:16" x14ac:dyDescent="0.25">
      <c r="D226" s="35" t="s">
        <v>65</v>
      </c>
      <c r="E226" s="35" t="s">
        <v>163</v>
      </c>
      <c r="F226" s="35" t="str">
        <f t="shared" si="84"/>
        <v>Winter</v>
      </c>
      <c r="G226" s="35">
        <f t="shared" si="84"/>
        <v>0.4</v>
      </c>
      <c r="H226" s="35">
        <f t="shared" si="84"/>
        <v>0.1</v>
      </c>
      <c r="I226" s="35">
        <f t="shared" si="84"/>
        <v>0.4</v>
      </c>
      <c r="J226" s="35">
        <f t="shared" si="84"/>
        <v>0.2</v>
      </c>
      <c r="K226" s="35">
        <f t="shared" si="84"/>
        <v>0.1</v>
      </c>
      <c r="L226" s="35">
        <f t="shared" si="85"/>
        <v>0.1</v>
      </c>
      <c r="M226" s="35">
        <f t="shared" si="85"/>
        <v>0.4</v>
      </c>
      <c r="N226" s="35">
        <f t="shared" si="86"/>
        <v>0.1</v>
      </c>
      <c r="O226" s="35">
        <f t="shared" si="87"/>
        <v>0.1</v>
      </c>
      <c r="P226" s="35">
        <f t="shared" si="88"/>
        <v>0.1</v>
      </c>
    </row>
    <row r="227" spans="4:16" x14ac:dyDescent="0.25">
      <c r="D227" s="35" t="s">
        <v>66</v>
      </c>
      <c r="E227" s="35" t="s">
        <v>163</v>
      </c>
      <c r="F227" s="35" t="str">
        <f>F155</f>
        <v>Spring</v>
      </c>
      <c r="G227" s="35">
        <f>G155</f>
        <v>0.5</v>
      </c>
      <c r="H227" s="35">
        <f t="shared" ref="H227:J227" si="89">H155</f>
        <v>0.2</v>
      </c>
      <c r="I227" s="35">
        <f t="shared" si="89"/>
        <v>0.5</v>
      </c>
      <c r="J227" s="35">
        <f t="shared" si="89"/>
        <v>0.4</v>
      </c>
      <c r="K227" s="35">
        <f>K155</f>
        <v>0.3</v>
      </c>
      <c r="L227" s="35">
        <f>K155</f>
        <v>0.3</v>
      </c>
      <c r="M227" s="35">
        <f t="shared" ref="M227" si="90">L155</f>
        <v>0.5</v>
      </c>
      <c r="N227" s="35">
        <f>M155</f>
        <v>0.4</v>
      </c>
      <c r="O227" s="35">
        <f>M155</f>
        <v>0.4</v>
      </c>
      <c r="P227" s="35">
        <f>M155</f>
        <v>0.4</v>
      </c>
    </row>
    <row r="228" spans="4:16" x14ac:dyDescent="0.25">
      <c r="D228" s="35" t="s">
        <v>66</v>
      </c>
      <c r="E228" s="35" t="s">
        <v>163</v>
      </c>
      <c r="F228" s="35" t="str">
        <f t="shared" ref="F228:K230" si="91">F156</f>
        <v>Summer</v>
      </c>
      <c r="G228" s="35">
        <f t="shared" si="91"/>
        <v>1</v>
      </c>
      <c r="H228" s="35">
        <f t="shared" si="91"/>
        <v>0.4</v>
      </c>
      <c r="I228" s="35">
        <f t="shared" si="91"/>
        <v>0.9</v>
      </c>
      <c r="J228" s="35">
        <f t="shared" si="91"/>
        <v>0.7</v>
      </c>
      <c r="K228" s="35">
        <f t="shared" si="91"/>
        <v>0.3</v>
      </c>
      <c r="L228" s="35">
        <f t="shared" ref="L228:N228" si="92">K156</f>
        <v>0.3</v>
      </c>
      <c r="M228" s="35">
        <f t="shared" si="92"/>
        <v>0.9</v>
      </c>
      <c r="N228" s="35">
        <f t="shared" si="92"/>
        <v>0.4</v>
      </c>
      <c r="O228" s="35">
        <f t="shared" ref="O228:O230" si="93">M156</f>
        <v>0.4</v>
      </c>
      <c r="P228" s="35">
        <f t="shared" ref="P228:P230" si="94">M156</f>
        <v>0.4</v>
      </c>
    </row>
    <row r="229" spans="4:16" x14ac:dyDescent="0.25">
      <c r="D229" s="35" t="s">
        <v>66</v>
      </c>
      <c r="E229" s="35" t="s">
        <v>163</v>
      </c>
      <c r="F229" s="35" t="str">
        <f t="shared" si="91"/>
        <v>Autumn</v>
      </c>
      <c r="G229" s="35">
        <f t="shared" si="91"/>
        <v>0.8</v>
      </c>
      <c r="H229" s="35">
        <f t="shared" si="91"/>
        <v>0.3</v>
      </c>
      <c r="I229" s="35">
        <f t="shared" si="91"/>
        <v>0.7</v>
      </c>
      <c r="J229" s="35">
        <f t="shared" si="91"/>
        <v>0.3</v>
      </c>
      <c r="K229" s="35">
        <f t="shared" si="91"/>
        <v>0.2</v>
      </c>
      <c r="L229" s="35">
        <f t="shared" ref="L229:N229" si="95">K157</f>
        <v>0.2</v>
      </c>
      <c r="M229" s="35">
        <f t="shared" si="95"/>
        <v>0.7</v>
      </c>
      <c r="N229" s="35">
        <f t="shared" si="95"/>
        <v>0.3</v>
      </c>
      <c r="O229" s="35">
        <f t="shared" si="93"/>
        <v>0.3</v>
      </c>
      <c r="P229" s="35">
        <f t="shared" si="94"/>
        <v>0.3</v>
      </c>
    </row>
    <row r="230" spans="4:16" x14ac:dyDescent="0.25">
      <c r="D230" s="35" t="s">
        <v>66</v>
      </c>
      <c r="E230" s="35" t="s">
        <v>163</v>
      </c>
      <c r="F230" s="35" t="str">
        <f t="shared" si="91"/>
        <v>Winter</v>
      </c>
      <c r="G230" s="35">
        <f t="shared" si="91"/>
        <v>0.4</v>
      </c>
      <c r="H230" s="35">
        <f t="shared" si="91"/>
        <v>0.1</v>
      </c>
      <c r="I230" s="35">
        <f t="shared" si="91"/>
        <v>0.4</v>
      </c>
      <c r="J230" s="35">
        <f t="shared" si="91"/>
        <v>0.2</v>
      </c>
      <c r="K230" s="35">
        <f t="shared" si="91"/>
        <v>0.1</v>
      </c>
      <c r="L230" s="35">
        <f t="shared" ref="L230:N230" si="96">K158</f>
        <v>0.1</v>
      </c>
      <c r="M230" s="35">
        <f t="shared" si="96"/>
        <v>0.4</v>
      </c>
      <c r="N230" s="35">
        <f t="shared" si="96"/>
        <v>0.1</v>
      </c>
      <c r="O230" s="35">
        <f t="shared" si="93"/>
        <v>0.1</v>
      </c>
      <c r="P230" s="35">
        <f t="shared" si="94"/>
        <v>0.1</v>
      </c>
    </row>
    <row r="231" spans="4:16" x14ac:dyDescent="0.25">
      <c r="D231" s="35" t="s">
        <v>69</v>
      </c>
      <c r="E231" s="35" t="s">
        <v>163</v>
      </c>
      <c r="F231" s="35" t="str">
        <f>F159</f>
        <v>Spring</v>
      </c>
      <c r="G231" s="35">
        <f>G159</f>
        <v>0.99</v>
      </c>
      <c r="H231" s="35">
        <f t="shared" ref="H231:J231" si="97">H159</f>
        <v>1.1000000000000001</v>
      </c>
      <c r="I231" s="35">
        <f t="shared" si="97"/>
        <v>0.88</v>
      </c>
      <c r="J231" s="35">
        <f t="shared" si="97"/>
        <v>0.55000000000000004</v>
      </c>
      <c r="K231" s="35">
        <f>K159</f>
        <v>0.55000000000000004</v>
      </c>
      <c r="L231" s="35">
        <f>K159</f>
        <v>0.55000000000000004</v>
      </c>
      <c r="M231" s="35">
        <f t="shared" ref="M231" si="98">L159</f>
        <v>0.88</v>
      </c>
      <c r="N231" s="35">
        <f>M159</f>
        <v>0.22</v>
      </c>
      <c r="O231" s="35">
        <f>M159</f>
        <v>0.22</v>
      </c>
      <c r="P231" s="35">
        <f>M159</f>
        <v>0.22</v>
      </c>
    </row>
    <row r="232" spans="4:16" x14ac:dyDescent="0.25">
      <c r="D232" s="35" t="s">
        <v>69</v>
      </c>
      <c r="E232" s="35" t="s">
        <v>163</v>
      </c>
      <c r="F232" s="35" t="str">
        <f t="shared" ref="F232:K254" si="99">F160</f>
        <v>Summer</v>
      </c>
      <c r="G232" s="35">
        <f t="shared" si="99"/>
        <v>0.77</v>
      </c>
      <c r="H232" s="35">
        <f t="shared" si="99"/>
        <v>0</v>
      </c>
      <c r="I232" s="35">
        <f t="shared" si="99"/>
        <v>0.66</v>
      </c>
      <c r="J232" s="35">
        <f t="shared" si="99"/>
        <v>0.22</v>
      </c>
      <c r="K232" s="35">
        <f t="shared" si="99"/>
        <v>0</v>
      </c>
      <c r="L232" s="35">
        <f t="shared" ref="L232:N232" si="100">K160</f>
        <v>0</v>
      </c>
      <c r="M232" s="35">
        <f t="shared" si="100"/>
        <v>0.66</v>
      </c>
      <c r="N232" s="35">
        <f t="shared" si="100"/>
        <v>0</v>
      </c>
      <c r="O232" s="35">
        <f t="shared" ref="O232:O254" si="101">M160</f>
        <v>0</v>
      </c>
      <c r="P232" s="35">
        <f t="shared" ref="P232:P254" si="102">M160</f>
        <v>0</v>
      </c>
    </row>
    <row r="233" spans="4:16" x14ac:dyDescent="0.25">
      <c r="D233" s="35" t="s">
        <v>69</v>
      </c>
      <c r="E233" s="35" t="s">
        <v>163</v>
      </c>
      <c r="F233" s="35" t="str">
        <f t="shared" si="99"/>
        <v>Autumn</v>
      </c>
      <c r="G233" s="35">
        <f t="shared" si="99"/>
        <v>0.9</v>
      </c>
      <c r="H233" s="35">
        <f t="shared" si="99"/>
        <v>-1.1000000000000001</v>
      </c>
      <c r="I233" s="35">
        <f t="shared" si="99"/>
        <v>0.7</v>
      </c>
      <c r="J233" s="35">
        <f t="shared" si="99"/>
        <v>0.22</v>
      </c>
      <c r="K233" s="35">
        <f t="shared" si="99"/>
        <v>-0.55000000000000004</v>
      </c>
      <c r="L233" s="35">
        <f t="shared" ref="L233:N233" si="103">K161</f>
        <v>-0.55000000000000004</v>
      </c>
      <c r="M233" s="35">
        <f t="shared" si="103"/>
        <v>0.8</v>
      </c>
      <c r="N233" s="35">
        <f t="shared" si="103"/>
        <v>-0.22</v>
      </c>
      <c r="O233" s="35">
        <f t="shared" si="101"/>
        <v>-0.22</v>
      </c>
      <c r="P233" s="35">
        <f t="shared" si="102"/>
        <v>-0.22</v>
      </c>
    </row>
    <row r="234" spans="4:16" x14ac:dyDescent="0.25">
      <c r="D234" s="35" t="s">
        <v>69</v>
      </c>
      <c r="E234" s="35" t="s">
        <v>163</v>
      </c>
      <c r="F234" s="35" t="str">
        <f t="shared" si="99"/>
        <v>Winter</v>
      </c>
      <c r="G234" s="35">
        <f t="shared" si="99"/>
        <v>0.88</v>
      </c>
      <c r="H234" s="35">
        <f t="shared" si="99"/>
        <v>0</v>
      </c>
      <c r="I234" s="35">
        <f t="shared" si="99"/>
        <v>0.77</v>
      </c>
      <c r="J234" s="35">
        <f t="shared" si="99"/>
        <v>0.55000000000000004</v>
      </c>
      <c r="K234" s="35">
        <f t="shared" si="99"/>
        <v>0</v>
      </c>
      <c r="L234" s="35">
        <f t="shared" ref="L234:N234" si="104">K162</f>
        <v>0</v>
      </c>
      <c r="M234" s="35">
        <f t="shared" si="104"/>
        <v>0.82</v>
      </c>
      <c r="N234" s="35">
        <f t="shared" si="104"/>
        <v>0</v>
      </c>
      <c r="O234" s="35">
        <f t="shared" si="101"/>
        <v>0</v>
      </c>
      <c r="P234" s="35">
        <f t="shared" si="102"/>
        <v>0</v>
      </c>
    </row>
    <row r="235" spans="4:16" x14ac:dyDescent="0.25">
      <c r="D235" s="35" t="s">
        <v>70</v>
      </c>
      <c r="E235" s="35" t="s">
        <v>163</v>
      </c>
      <c r="F235" s="35" t="str">
        <f t="shared" si="99"/>
        <v>Spring</v>
      </c>
      <c r="G235" s="35">
        <f t="shared" si="99"/>
        <v>1</v>
      </c>
      <c r="H235" s="35">
        <f t="shared" si="99"/>
        <v>0.5</v>
      </c>
      <c r="I235" s="35">
        <f t="shared" si="99"/>
        <v>1</v>
      </c>
      <c r="J235" s="35">
        <f t="shared" si="99"/>
        <v>1</v>
      </c>
      <c r="K235" s="35">
        <f t="shared" si="99"/>
        <v>-0.44</v>
      </c>
      <c r="L235" s="35">
        <f t="shared" ref="L235:N235" si="105">K163</f>
        <v>-0.44</v>
      </c>
      <c r="M235" s="35">
        <f t="shared" si="105"/>
        <v>1</v>
      </c>
      <c r="N235" s="35">
        <f t="shared" si="105"/>
        <v>0.5</v>
      </c>
      <c r="O235" s="35">
        <f t="shared" si="101"/>
        <v>0.5</v>
      </c>
      <c r="P235" s="35">
        <f t="shared" si="102"/>
        <v>0.5</v>
      </c>
    </row>
    <row r="236" spans="4:16" x14ac:dyDescent="0.25">
      <c r="D236" s="35" t="s">
        <v>70</v>
      </c>
      <c r="E236" s="35" t="s">
        <v>163</v>
      </c>
      <c r="F236" s="35" t="str">
        <f t="shared" si="99"/>
        <v>Summer</v>
      </c>
      <c r="G236" s="35">
        <f t="shared" si="99"/>
        <v>0.82</v>
      </c>
      <c r="H236" s="35">
        <f t="shared" si="99"/>
        <v>0.55000000000000004</v>
      </c>
      <c r="I236" s="35">
        <f t="shared" si="99"/>
        <v>0.71</v>
      </c>
      <c r="J236" s="35">
        <f t="shared" si="99"/>
        <v>0.55000000000000004</v>
      </c>
      <c r="K236" s="35">
        <f t="shared" si="99"/>
        <v>0.99</v>
      </c>
      <c r="L236" s="35">
        <f t="shared" ref="L236:N236" si="106">K164</f>
        <v>0.99</v>
      </c>
      <c r="M236" s="35">
        <f t="shared" si="106"/>
        <v>0.77</v>
      </c>
      <c r="N236" s="35">
        <f t="shared" si="106"/>
        <v>0.5</v>
      </c>
      <c r="O236" s="35">
        <f t="shared" si="101"/>
        <v>0.5</v>
      </c>
      <c r="P236" s="35">
        <f t="shared" si="102"/>
        <v>0.5</v>
      </c>
    </row>
    <row r="237" spans="4:16" x14ac:dyDescent="0.25">
      <c r="D237" s="35" t="s">
        <v>70</v>
      </c>
      <c r="E237" s="35" t="s">
        <v>163</v>
      </c>
      <c r="F237" s="35" t="str">
        <f t="shared" si="99"/>
        <v>Autumn</v>
      </c>
      <c r="G237" s="35">
        <f t="shared" si="99"/>
        <v>0.77</v>
      </c>
      <c r="H237" s="35">
        <f t="shared" si="99"/>
        <v>0.5</v>
      </c>
      <c r="I237" s="35">
        <f t="shared" si="99"/>
        <v>0.55000000000000004</v>
      </c>
      <c r="J237" s="35">
        <f t="shared" si="99"/>
        <v>0.11</v>
      </c>
      <c r="K237" s="35">
        <f t="shared" si="99"/>
        <v>-0.33</v>
      </c>
      <c r="L237" s="35">
        <f t="shared" ref="L237:N237" si="107">K165</f>
        <v>-0.33</v>
      </c>
      <c r="M237" s="35">
        <f t="shared" si="107"/>
        <v>0.6</v>
      </c>
      <c r="N237" s="35">
        <f t="shared" si="107"/>
        <v>0.33</v>
      </c>
      <c r="O237" s="35">
        <f t="shared" si="101"/>
        <v>0.33</v>
      </c>
      <c r="P237" s="35">
        <f t="shared" si="102"/>
        <v>0.33</v>
      </c>
    </row>
    <row r="238" spans="4:16" x14ac:dyDescent="0.25">
      <c r="D238" s="35" t="s">
        <v>70</v>
      </c>
      <c r="E238" s="35" t="s">
        <v>163</v>
      </c>
      <c r="F238" s="35" t="str">
        <f t="shared" si="99"/>
        <v>Winter</v>
      </c>
      <c r="G238" s="35">
        <f t="shared" si="99"/>
        <v>0.11</v>
      </c>
      <c r="H238" s="35">
        <f t="shared" si="99"/>
        <v>-0.27</v>
      </c>
      <c r="I238" s="35">
        <f t="shared" si="99"/>
        <v>0.11</v>
      </c>
      <c r="J238" s="35">
        <f t="shared" si="99"/>
        <v>0.22</v>
      </c>
      <c r="K238" s="35">
        <f t="shared" si="99"/>
        <v>-0.44</v>
      </c>
      <c r="L238" s="35">
        <f t="shared" ref="L238:N238" si="108">K166</f>
        <v>-0.44</v>
      </c>
      <c r="M238" s="35">
        <f t="shared" si="108"/>
        <v>0.16</v>
      </c>
      <c r="N238" s="35">
        <f t="shared" si="108"/>
        <v>-0.22</v>
      </c>
      <c r="O238" s="35">
        <f t="shared" si="101"/>
        <v>-0.22</v>
      </c>
      <c r="P238" s="35">
        <f t="shared" si="102"/>
        <v>-0.22</v>
      </c>
    </row>
    <row r="239" spans="4:16" x14ac:dyDescent="0.25">
      <c r="D239" s="35" t="s">
        <v>71</v>
      </c>
      <c r="E239" s="35" t="s">
        <v>163</v>
      </c>
      <c r="F239" s="35" t="str">
        <f t="shared" si="99"/>
        <v>Spring</v>
      </c>
      <c r="G239" s="35">
        <f t="shared" si="99"/>
        <v>1.1000000000000001</v>
      </c>
      <c r="H239" s="35">
        <f t="shared" si="99"/>
        <v>1.1000000000000001</v>
      </c>
      <c r="I239" s="35">
        <f t="shared" si="99"/>
        <v>1.1000000000000001</v>
      </c>
      <c r="J239" s="35">
        <f t="shared" si="99"/>
        <v>0.99</v>
      </c>
      <c r="K239" s="35">
        <f t="shared" si="99"/>
        <v>0.99</v>
      </c>
      <c r="L239" s="35">
        <f t="shared" ref="L239:N239" si="109">K167</f>
        <v>0.99</v>
      </c>
      <c r="M239" s="35">
        <f t="shared" si="109"/>
        <v>1.1000000000000001</v>
      </c>
      <c r="N239" s="35">
        <f t="shared" si="109"/>
        <v>0.77</v>
      </c>
      <c r="O239" s="35">
        <f t="shared" si="101"/>
        <v>0.77</v>
      </c>
      <c r="P239" s="35">
        <f t="shared" si="102"/>
        <v>0.77</v>
      </c>
    </row>
    <row r="240" spans="4:16" x14ac:dyDescent="0.25">
      <c r="D240" s="35" t="s">
        <v>71</v>
      </c>
      <c r="E240" s="35" t="s">
        <v>163</v>
      </c>
      <c r="F240" s="35" t="str">
        <f t="shared" si="99"/>
        <v>Summer</v>
      </c>
      <c r="G240" s="35">
        <f t="shared" si="99"/>
        <v>0.33</v>
      </c>
      <c r="H240" s="35">
        <f t="shared" si="99"/>
        <v>0.33</v>
      </c>
      <c r="I240" s="35">
        <f t="shared" si="99"/>
        <v>0.22</v>
      </c>
      <c r="J240" s="35">
        <f t="shared" si="99"/>
        <v>0.33</v>
      </c>
      <c r="K240" s="35">
        <f t="shared" si="99"/>
        <v>-0.1</v>
      </c>
      <c r="L240" s="35">
        <f t="shared" ref="L240:N240" si="110">K168</f>
        <v>-0.1</v>
      </c>
      <c r="M240" s="35">
        <f t="shared" si="110"/>
        <v>0.33</v>
      </c>
      <c r="N240" s="35">
        <f t="shared" si="110"/>
        <v>0.11</v>
      </c>
      <c r="O240" s="35">
        <f t="shared" si="101"/>
        <v>0.11</v>
      </c>
      <c r="P240" s="35">
        <f t="shared" si="102"/>
        <v>0.11</v>
      </c>
    </row>
    <row r="241" spans="4:16" x14ac:dyDescent="0.25">
      <c r="D241" s="35" t="s">
        <v>71</v>
      </c>
      <c r="E241" s="35" t="s">
        <v>163</v>
      </c>
      <c r="F241" s="35" t="str">
        <f t="shared" si="99"/>
        <v>Autumn</v>
      </c>
      <c r="G241" s="35">
        <f t="shared" si="99"/>
        <v>0.5</v>
      </c>
      <c r="H241" s="35">
        <f t="shared" si="99"/>
        <v>0.2</v>
      </c>
      <c r="I241" s="35">
        <f t="shared" si="99"/>
        <v>0.55000000000000004</v>
      </c>
      <c r="J241" s="35">
        <f t="shared" si="99"/>
        <v>0.44</v>
      </c>
      <c r="K241" s="35">
        <f t="shared" si="99"/>
        <v>0.2</v>
      </c>
      <c r="L241" s="35">
        <f t="shared" ref="L241:N241" si="111">K169</f>
        <v>0.2</v>
      </c>
      <c r="M241" s="35">
        <f t="shared" si="111"/>
        <v>0.55000000000000004</v>
      </c>
      <c r="N241" s="35">
        <f t="shared" si="111"/>
        <v>0.2</v>
      </c>
      <c r="O241" s="35">
        <f t="shared" si="101"/>
        <v>0.2</v>
      </c>
      <c r="P241" s="35">
        <f t="shared" si="102"/>
        <v>0.2</v>
      </c>
    </row>
    <row r="242" spans="4:16" x14ac:dyDescent="0.25">
      <c r="D242" s="35" t="s">
        <v>71</v>
      </c>
      <c r="E242" s="35" t="s">
        <v>163</v>
      </c>
      <c r="F242" s="35" t="str">
        <f t="shared" si="99"/>
        <v>Winter</v>
      </c>
      <c r="G242" s="35">
        <f t="shared" si="99"/>
        <v>0.55000000000000004</v>
      </c>
      <c r="H242" s="35">
        <f t="shared" si="99"/>
        <v>0.22</v>
      </c>
      <c r="I242" s="35">
        <f t="shared" si="99"/>
        <v>0.49</v>
      </c>
      <c r="J242" s="35">
        <f t="shared" si="99"/>
        <v>0.22</v>
      </c>
      <c r="K242" s="35">
        <f t="shared" si="99"/>
        <v>0.22</v>
      </c>
      <c r="L242" s="35">
        <f t="shared" ref="L242:N242" si="112">K170</f>
        <v>0.22</v>
      </c>
      <c r="M242" s="35">
        <f t="shared" si="112"/>
        <v>0.49</v>
      </c>
      <c r="N242" s="35">
        <f t="shared" si="112"/>
        <v>0.33</v>
      </c>
      <c r="O242" s="35">
        <f t="shared" si="101"/>
        <v>0.33</v>
      </c>
      <c r="P242" s="35">
        <f t="shared" si="102"/>
        <v>0.33</v>
      </c>
    </row>
    <row r="243" spans="4:16" x14ac:dyDescent="0.25">
      <c r="D243" s="35" t="s">
        <v>72</v>
      </c>
      <c r="E243" s="35" t="str">
        <f>E171</f>
        <v>South West</v>
      </c>
      <c r="F243" s="35" t="str">
        <f t="shared" si="99"/>
        <v>Spring</v>
      </c>
      <c r="G243" s="35">
        <f t="shared" si="99"/>
        <v>1.64</v>
      </c>
      <c r="H243" s="35">
        <f t="shared" si="99"/>
        <v>1.1000000000000001</v>
      </c>
      <c r="I243" s="35">
        <f t="shared" si="99"/>
        <v>1.21</v>
      </c>
      <c r="J243" s="35">
        <f t="shared" si="99"/>
        <v>0.99</v>
      </c>
      <c r="K243" s="35">
        <f t="shared" si="99"/>
        <v>0.66</v>
      </c>
      <c r="L243" s="35">
        <f t="shared" ref="L243:N243" si="113">K171</f>
        <v>0.66</v>
      </c>
      <c r="M243" s="35">
        <f t="shared" si="113"/>
        <v>1.42</v>
      </c>
      <c r="N243" s="35">
        <f t="shared" si="113"/>
        <v>1.1000000000000001</v>
      </c>
      <c r="O243" s="35">
        <f t="shared" si="101"/>
        <v>1.1000000000000001</v>
      </c>
      <c r="P243" s="35">
        <f t="shared" si="102"/>
        <v>1.1000000000000001</v>
      </c>
    </row>
    <row r="244" spans="4:16" x14ac:dyDescent="0.25">
      <c r="D244" s="35" t="s">
        <v>72</v>
      </c>
      <c r="E244" s="35" t="str">
        <f t="shared" ref="E244:E254" si="114">E172</f>
        <v>South West</v>
      </c>
      <c r="F244" s="35" t="str">
        <f t="shared" si="99"/>
        <v>Summer</v>
      </c>
      <c r="G244" s="35">
        <f t="shared" si="99"/>
        <v>0.44</v>
      </c>
      <c r="H244" s="35">
        <f t="shared" si="99"/>
        <v>-0.22</v>
      </c>
      <c r="I244" s="35">
        <f t="shared" si="99"/>
        <v>0.44</v>
      </c>
      <c r="J244" s="35">
        <f t="shared" si="99"/>
        <v>0.33</v>
      </c>
      <c r="K244" s="35">
        <f t="shared" si="99"/>
        <v>-0.22</v>
      </c>
      <c r="L244" s="35">
        <f t="shared" ref="L244:N244" si="115">K172</f>
        <v>-0.22</v>
      </c>
      <c r="M244" s="35">
        <f t="shared" si="115"/>
        <v>0.44</v>
      </c>
      <c r="N244" s="35">
        <f t="shared" si="115"/>
        <v>-0.11</v>
      </c>
      <c r="O244" s="35">
        <f t="shared" si="101"/>
        <v>-0.11</v>
      </c>
      <c r="P244" s="35">
        <f t="shared" si="102"/>
        <v>-0.11</v>
      </c>
    </row>
    <row r="245" spans="4:16" x14ac:dyDescent="0.25">
      <c r="D245" s="35" t="s">
        <v>72</v>
      </c>
      <c r="E245" s="35" t="str">
        <f t="shared" si="114"/>
        <v>South West</v>
      </c>
      <c r="F245" s="35" t="str">
        <f t="shared" si="99"/>
        <v>Autumn</v>
      </c>
      <c r="G245" s="35">
        <f t="shared" si="99"/>
        <v>0.6</v>
      </c>
      <c r="H245" s="35">
        <f t="shared" si="99"/>
        <v>0</v>
      </c>
      <c r="I245" s="35">
        <f t="shared" si="99"/>
        <v>0.6</v>
      </c>
      <c r="J245" s="35">
        <f t="shared" si="99"/>
        <v>0.22</v>
      </c>
      <c r="K245" s="35">
        <f t="shared" si="99"/>
        <v>-0.55000000000000004</v>
      </c>
      <c r="L245" s="35">
        <f t="shared" ref="L245:N245" si="116">K173</f>
        <v>-0.55000000000000004</v>
      </c>
      <c r="M245" s="35">
        <f t="shared" si="116"/>
        <v>0.6</v>
      </c>
      <c r="N245" s="35">
        <f t="shared" si="116"/>
        <v>0</v>
      </c>
      <c r="O245" s="35">
        <f t="shared" si="101"/>
        <v>0</v>
      </c>
      <c r="P245" s="35">
        <f t="shared" si="102"/>
        <v>0</v>
      </c>
    </row>
    <row r="246" spans="4:16" x14ac:dyDescent="0.25">
      <c r="D246" s="35" t="s">
        <v>72</v>
      </c>
      <c r="E246" s="35" t="str">
        <f t="shared" si="114"/>
        <v>South West</v>
      </c>
      <c r="F246" s="35" t="str">
        <f t="shared" si="99"/>
        <v>Winter</v>
      </c>
      <c r="G246" s="35">
        <f t="shared" si="99"/>
        <v>0.99</v>
      </c>
      <c r="H246" s="35">
        <f t="shared" si="99"/>
        <v>0.22</v>
      </c>
      <c r="I246" s="35">
        <f t="shared" si="99"/>
        <v>0.77</v>
      </c>
      <c r="J246" s="35">
        <f t="shared" si="99"/>
        <v>0.11</v>
      </c>
      <c r="K246" s="35">
        <f t="shared" si="99"/>
        <v>0.11</v>
      </c>
      <c r="L246" s="35">
        <f t="shared" ref="L246:N246" si="117">K174</f>
        <v>0.11</v>
      </c>
      <c r="M246" s="35">
        <f t="shared" si="117"/>
        <v>0.77</v>
      </c>
      <c r="N246" s="35">
        <f t="shared" si="117"/>
        <v>0.44</v>
      </c>
      <c r="O246" s="35">
        <f t="shared" si="101"/>
        <v>0.44</v>
      </c>
      <c r="P246" s="35">
        <f t="shared" si="102"/>
        <v>0.44</v>
      </c>
    </row>
    <row r="247" spans="4:16" x14ac:dyDescent="0.25">
      <c r="D247" s="35" t="s">
        <v>72</v>
      </c>
      <c r="E247" s="35" t="str">
        <f t="shared" si="114"/>
        <v>Pilbara</v>
      </c>
      <c r="F247" s="35" t="str">
        <f t="shared" si="99"/>
        <v>Spring</v>
      </c>
      <c r="G247" s="35">
        <f t="shared" si="99"/>
        <v>0.7</v>
      </c>
      <c r="H247" s="35">
        <f t="shared" si="99"/>
        <v>-0.55000000000000004</v>
      </c>
      <c r="I247" s="35">
        <f t="shared" si="99"/>
        <v>0.7</v>
      </c>
      <c r="J247" s="35">
        <f t="shared" si="99"/>
        <v>0.22</v>
      </c>
      <c r="K247" s="35">
        <f t="shared" si="99"/>
        <v>-0.22</v>
      </c>
      <c r="L247" s="35">
        <f t="shared" ref="L247:N247" si="118">K175</f>
        <v>-0.22</v>
      </c>
      <c r="M247" s="35">
        <f t="shared" si="118"/>
        <v>0.7</v>
      </c>
      <c r="N247" s="35">
        <f t="shared" si="118"/>
        <v>-0.22</v>
      </c>
      <c r="O247" s="35">
        <f t="shared" si="101"/>
        <v>-0.22</v>
      </c>
      <c r="P247" s="35">
        <f t="shared" si="102"/>
        <v>-0.22</v>
      </c>
    </row>
    <row r="248" spans="4:16" x14ac:dyDescent="0.25">
      <c r="D248" s="35" t="s">
        <v>72</v>
      </c>
      <c r="E248" s="35" t="str">
        <f t="shared" si="114"/>
        <v>Pilbara</v>
      </c>
      <c r="F248" s="35" t="str">
        <f t="shared" si="99"/>
        <v>Summer</v>
      </c>
      <c r="G248" s="35">
        <f t="shared" si="99"/>
        <v>0.77</v>
      </c>
      <c r="H248" s="35">
        <f t="shared" si="99"/>
        <v>0.55000000000000004</v>
      </c>
      <c r="I248" s="35">
        <f t="shared" si="99"/>
        <v>0.77</v>
      </c>
      <c r="J248" s="35">
        <f t="shared" si="99"/>
        <v>0.66</v>
      </c>
      <c r="K248" s="35">
        <f t="shared" si="99"/>
        <v>0.55000000000000004</v>
      </c>
      <c r="L248" s="35">
        <f t="shared" ref="L248:N248" si="119">K176</f>
        <v>0.55000000000000004</v>
      </c>
      <c r="M248" s="35">
        <f t="shared" si="119"/>
        <v>0.77</v>
      </c>
      <c r="N248" s="35">
        <f t="shared" si="119"/>
        <v>0.33</v>
      </c>
      <c r="O248" s="35">
        <f t="shared" si="101"/>
        <v>0.33</v>
      </c>
      <c r="P248" s="35">
        <f t="shared" si="102"/>
        <v>0.33</v>
      </c>
    </row>
    <row r="249" spans="4:16" x14ac:dyDescent="0.25">
      <c r="D249" s="35" t="s">
        <v>72</v>
      </c>
      <c r="E249" s="35" t="str">
        <f t="shared" si="114"/>
        <v>Pilbara</v>
      </c>
      <c r="F249" s="35" t="str">
        <f t="shared" si="99"/>
        <v>Autumn</v>
      </c>
      <c r="G249" s="35">
        <f t="shared" si="99"/>
        <v>0.88</v>
      </c>
      <c r="H249" s="35">
        <f t="shared" si="99"/>
        <v>0.55000000000000004</v>
      </c>
      <c r="I249" s="35">
        <f t="shared" si="99"/>
        <v>0.88</v>
      </c>
      <c r="J249" s="35">
        <f t="shared" si="99"/>
        <v>0.22</v>
      </c>
      <c r="K249" s="35">
        <f t="shared" si="99"/>
        <v>0.22</v>
      </c>
      <c r="L249" s="35">
        <f t="shared" ref="L249:N249" si="120">K177</f>
        <v>0.22</v>
      </c>
      <c r="M249" s="35">
        <f t="shared" si="120"/>
        <v>0.88</v>
      </c>
      <c r="N249" s="35">
        <f t="shared" si="120"/>
        <v>0.22</v>
      </c>
      <c r="O249" s="35">
        <f t="shared" si="101"/>
        <v>0.22</v>
      </c>
      <c r="P249" s="35">
        <f t="shared" si="102"/>
        <v>0.22</v>
      </c>
    </row>
    <row r="250" spans="4:16" x14ac:dyDescent="0.25">
      <c r="D250" s="35" t="s">
        <v>72</v>
      </c>
      <c r="E250" s="35" t="str">
        <f t="shared" si="114"/>
        <v>Pilbara</v>
      </c>
      <c r="F250" s="35" t="str">
        <f t="shared" si="99"/>
        <v>Winter</v>
      </c>
      <c r="G250" s="35">
        <f t="shared" si="99"/>
        <v>0.22</v>
      </c>
      <c r="H250" s="35">
        <f t="shared" si="99"/>
        <v>-0.55000000000000004</v>
      </c>
      <c r="I250" s="35">
        <f t="shared" si="99"/>
        <v>0.22</v>
      </c>
      <c r="J250" s="35">
        <f t="shared" si="99"/>
        <v>0.11</v>
      </c>
      <c r="K250" s="35">
        <f t="shared" si="99"/>
        <v>-0.22</v>
      </c>
      <c r="L250" s="35">
        <f t="shared" ref="L250:N250" si="121">K178</f>
        <v>-0.22</v>
      </c>
      <c r="M250" s="35">
        <f t="shared" si="121"/>
        <v>0.22</v>
      </c>
      <c r="N250" s="35">
        <f t="shared" si="121"/>
        <v>-0.33</v>
      </c>
      <c r="O250" s="35">
        <f t="shared" si="101"/>
        <v>-0.33</v>
      </c>
      <c r="P250" s="35">
        <f t="shared" si="102"/>
        <v>-0.33</v>
      </c>
    </row>
    <row r="251" spans="4:16" x14ac:dyDescent="0.25">
      <c r="D251" s="35" t="s">
        <v>72</v>
      </c>
      <c r="E251" s="35" t="str">
        <f t="shared" si="114"/>
        <v>Kimberley</v>
      </c>
      <c r="F251" s="35" t="str">
        <f t="shared" si="99"/>
        <v>Spring</v>
      </c>
      <c r="G251" s="35">
        <f t="shared" si="99"/>
        <v>0.22</v>
      </c>
      <c r="H251" s="35">
        <f t="shared" si="99"/>
        <v>-0.55000000000000004</v>
      </c>
      <c r="I251" s="35">
        <f t="shared" si="99"/>
        <v>0.33</v>
      </c>
      <c r="J251" s="35">
        <f t="shared" si="99"/>
        <v>0.22</v>
      </c>
      <c r="K251" s="35">
        <f t="shared" si="99"/>
        <v>-0.33</v>
      </c>
      <c r="L251" s="35">
        <f t="shared" ref="L251:N251" si="122">K179</f>
        <v>-0.33</v>
      </c>
      <c r="M251" s="35">
        <f t="shared" si="122"/>
        <v>0.22</v>
      </c>
      <c r="N251" s="35">
        <f t="shared" si="122"/>
        <v>-0.55000000000000004</v>
      </c>
      <c r="O251" s="35">
        <f t="shared" si="101"/>
        <v>-0.55000000000000004</v>
      </c>
      <c r="P251" s="35">
        <f t="shared" si="102"/>
        <v>-0.55000000000000004</v>
      </c>
    </row>
    <row r="252" spans="4:16" x14ac:dyDescent="0.25">
      <c r="D252" s="35" t="s">
        <v>72</v>
      </c>
      <c r="E252" s="35" t="str">
        <f t="shared" si="114"/>
        <v>Kimberley</v>
      </c>
      <c r="F252" s="35" t="str">
        <f t="shared" si="99"/>
        <v>Summer</v>
      </c>
      <c r="G252" s="35">
        <f t="shared" si="99"/>
        <v>0.8</v>
      </c>
      <c r="H252" s="35">
        <f t="shared" si="99"/>
        <v>0.55000000000000004</v>
      </c>
      <c r="I252" s="35">
        <f t="shared" si="99"/>
        <v>0.7</v>
      </c>
      <c r="J252" s="35">
        <f t="shared" si="99"/>
        <v>0.44</v>
      </c>
      <c r="K252" s="35">
        <f t="shared" si="99"/>
        <v>0.66</v>
      </c>
      <c r="L252" s="35">
        <f t="shared" ref="L252:N252" si="123">K180</f>
        <v>0.66</v>
      </c>
      <c r="M252" s="35">
        <f t="shared" si="123"/>
        <v>0.8</v>
      </c>
      <c r="N252" s="35">
        <f t="shared" si="123"/>
        <v>0.55000000000000004</v>
      </c>
      <c r="O252" s="35">
        <f t="shared" si="101"/>
        <v>0.55000000000000004</v>
      </c>
      <c r="P252" s="35">
        <f t="shared" si="102"/>
        <v>0.55000000000000004</v>
      </c>
    </row>
    <row r="253" spans="4:16" x14ac:dyDescent="0.25">
      <c r="D253" s="35" t="s">
        <v>72</v>
      </c>
      <c r="E253" s="35" t="str">
        <f t="shared" si="114"/>
        <v>Kimberley</v>
      </c>
      <c r="F253" s="35" t="str">
        <f t="shared" si="99"/>
        <v>Autumn</v>
      </c>
      <c r="G253" s="35">
        <f t="shared" si="99"/>
        <v>0.66</v>
      </c>
      <c r="H253" s="35">
        <f t="shared" si="99"/>
        <v>0.55000000000000004</v>
      </c>
      <c r="I253" s="35">
        <f t="shared" si="99"/>
        <v>0.55000000000000004</v>
      </c>
      <c r="J253" s="35">
        <f t="shared" si="99"/>
        <v>0.55000000000000004</v>
      </c>
      <c r="K253" s="35">
        <f t="shared" si="99"/>
        <v>0.11</v>
      </c>
      <c r="L253" s="35">
        <f t="shared" ref="L253:N253" si="124">K181</f>
        <v>0.11</v>
      </c>
      <c r="M253" s="35">
        <f t="shared" si="124"/>
        <v>0.66</v>
      </c>
      <c r="N253" s="35">
        <f t="shared" si="124"/>
        <v>0.55000000000000004</v>
      </c>
      <c r="O253" s="35">
        <f t="shared" si="101"/>
        <v>0.55000000000000004</v>
      </c>
      <c r="P253" s="35">
        <f t="shared" si="102"/>
        <v>0.55000000000000004</v>
      </c>
    </row>
    <row r="254" spans="4:16" x14ac:dyDescent="0.25">
      <c r="D254" s="35" t="s">
        <v>72</v>
      </c>
      <c r="E254" s="35" t="str">
        <f t="shared" si="114"/>
        <v>Kimberley</v>
      </c>
      <c r="F254" s="35" t="str">
        <f t="shared" si="99"/>
        <v>Winter</v>
      </c>
      <c r="G254" s="35">
        <f t="shared" si="99"/>
        <v>0.33</v>
      </c>
      <c r="H254" s="35">
        <f t="shared" si="99"/>
        <v>-0.55000000000000004</v>
      </c>
      <c r="I254" s="35">
        <f t="shared" si="99"/>
        <v>0.11</v>
      </c>
      <c r="J254" s="35">
        <f t="shared" si="99"/>
        <v>0.11</v>
      </c>
      <c r="K254" s="35">
        <f t="shared" si="99"/>
        <v>-0.44</v>
      </c>
      <c r="L254" s="35">
        <f t="shared" ref="L254:N254" si="125">K182</f>
        <v>-0.44</v>
      </c>
      <c r="M254" s="35">
        <f t="shared" si="125"/>
        <v>0.33</v>
      </c>
      <c r="N254" s="35">
        <f t="shared" si="125"/>
        <v>-0.55000000000000004</v>
      </c>
      <c r="O254" s="35">
        <f t="shared" si="101"/>
        <v>-0.55000000000000004</v>
      </c>
      <c r="P254" s="35">
        <f t="shared" si="102"/>
        <v>-0.55000000000000004</v>
      </c>
    </row>
    <row r="255" spans="4:16" x14ac:dyDescent="0.25">
      <c r="D255" s="35" t="s">
        <v>67</v>
      </c>
      <c r="E255" s="35" t="str">
        <f>E190</f>
        <v>Alice Springs</v>
      </c>
      <c r="F255" s="35" t="str">
        <f>F190</f>
        <v>Spring</v>
      </c>
      <c r="G255" s="35">
        <f>G190</f>
        <v>0.22</v>
      </c>
      <c r="H255" s="35">
        <f t="shared" ref="H255:P255" si="126">H190</f>
        <v>-0.23</v>
      </c>
      <c r="I255" s="35">
        <f t="shared" si="126"/>
        <v>0.25</v>
      </c>
      <c r="J255" s="35">
        <f t="shared" si="126"/>
        <v>0.17</v>
      </c>
      <c r="K255" s="35">
        <f t="shared" si="126"/>
        <v>0.18</v>
      </c>
      <c r="L255" s="35">
        <f t="shared" si="126"/>
        <v>-0.28000000000000003</v>
      </c>
      <c r="M255" s="35">
        <f t="shared" si="126"/>
        <v>0.32</v>
      </c>
      <c r="N255" s="35">
        <f t="shared" si="126"/>
        <v>0.24</v>
      </c>
      <c r="O255" s="35">
        <f t="shared" si="126"/>
        <v>0.25</v>
      </c>
      <c r="P255" s="35">
        <f t="shared" si="126"/>
        <v>-0.05</v>
      </c>
    </row>
    <row r="256" spans="4:16" x14ac:dyDescent="0.25">
      <c r="D256" s="35" t="s">
        <v>67</v>
      </c>
      <c r="E256" s="35" t="str">
        <f t="shared" ref="E256:P282" si="127">E191</f>
        <v>Alice Springs</v>
      </c>
      <c r="F256" s="35" t="str">
        <f t="shared" si="127"/>
        <v>Summer</v>
      </c>
      <c r="G256" s="35">
        <f t="shared" si="127"/>
        <v>0.66</v>
      </c>
      <c r="H256" s="35">
        <f t="shared" si="127"/>
        <v>0.2</v>
      </c>
      <c r="I256" s="35">
        <f t="shared" si="127"/>
        <v>0.62</v>
      </c>
      <c r="J256" s="35">
        <f t="shared" si="127"/>
        <v>0.54</v>
      </c>
      <c r="K256" s="35">
        <f t="shared" si="127"/>
        <v>0.38</v>
      </c>
      <c r="L256" s="35">
        <f t="shared" si="127"/>
        <v>0.27</v>
      </c>
      <c r="M256" s="35">
        <f t="shared" si="127"/>
        <v>0.75</v>
      </c>
      <c r="N256" s="35">
        <f t="shared" si="127"/>
        <v>0.64</v>
      </c>
      <c r="O256" s="35">
        <f t="shared" si="127"/>
        <v>0.55000000000000004</v>
      </c>
      <c r="P256" s="35">
        <f t="shared" si="127"/>
        <v>0.48</v>
      </c>
    </row>
    <row r="257" spans="4:16" x14ac:dyDescent="0.25">
      <c r="D257" s="35" t="s">
        <v>67</v>
      </c>
      <c r="E257" s="35" t="str">
        <f t="shared" si="127"/>
        <v>Alice Springs</v>
      </c>
      <c r="F257" s="35" t="str">
        <f t="shared" si="127"/>
        <v>Autumn</v>
      </c>
      <c r="G257" s="35">
        <f t="shared" si="127"/>
        <v>0.49</v>
      </c>
      <c r="H257" s="35">
        <f t="shared" si="127"/>
        <v>0.13</v>
      </c>
      <c r="I257" s="35">
        <f t="shared" si="127"/>
        <v>0.54</v>
      </c>
      <c r="J257" s="35">
        <f t="shared" si="127"/>
        <v>0.45</v>
      </c>
      <c r="K257" s="35">
        <f t="shared" si="127"/>
        <v>0.35</v>
      </c>
      <c r="L257" s="35">
        <f t="shared" si="127"/>
        <v>0.15</v>
      </c>
      <c r="M257" s="35">
        <f t="shared" si="127"/>
        <v>0.63</v>
      </c>
      <c r="N257" s="35">
        <f t="shared" si="127"/>
        <v>0.54</v>
      </c>
      <c r="O257" s="35">
        <f t="shared" si="127"/>
        <v>0.42</v>
      </c>
      <c r="P257" s="35">
        <f t="shared" si="127"/>
        <v>0.26</v>
      </c>
    </row>
    <row r="258" spans="4:16" x14ac:dyDescent="0.25">
      <c r="D258" s="35" t="s">
        <v>67</v>
      </c>
      <c r="E258" s="35" t="str">
        <f t="shared" si="127"/>
        <v>Alice Springs</v>
      </c>
      <c r="F258" s="35" t="str">
        <f t="shared" si="127"/>
        <v>Winter</v>
      </c>
      <c r="G258" s="35">
        <f t="shared" si="127"/>
        <v>0.27</v>
      </c>
      <c r="H258" s="35">
        <f t="shared" si="127"/>
        <v>-0.8</v>
      </c>
      <c r="I258" s="35">
        <f t="shared" si="127"/>
        <v>0.22</v>
      </c>
      <c r="J258" s="35">
        <f t="shared" si="127"/>
        <v>0.09</v>
      </c>
      <c r="K258" s="35">
        <f t="shared" si="127"/>
        <v>0.12</v>
      </c>
      <c r="L258" s="35">
        <f t="shared" si="127"/>
        <v>0.02</v>
      </c>
      <c r="M258" s="35">
        <f t="shared" si="127"/>
        <v>0.25</v>
      </c>
      <c r="N258" s="35">
        <f t="shared" si="127"/>
        <v>0.18</v>
      </c>
      <c r="O258" s="35">
        <f t="shared" si="127"/>
        <v>0.12</v>
      </c>
      <c r="P258" s="35">
        <f t="shared" si="127"/>
        <v>0.03</v>
      </c>
    </row>
    <row r="259" spans="4:16" x14ac:dyDescent="0.25">
      <c r="D259" s="35" t="s">
        <v>67</v>
      </c>
      <c r="E259" s="35" t="str">
        <f t="shared" si="127"/>
        <v>Barkly</v>
      </c>
      <c r="F259" s="35" t="str">
        <f t="shared" si="127"/>
        <v>Spring</v>
      </c>
      <c r="G259" s="35">
        <f t="shared" si="127"/>
        <v>0.22</v>
      </c>
      <c r="H259" s="35">
        <f t="shared" si="127"/>
        <v>-0.44</v>
      </c>
      <c r="I259" s="35">
        <f t="shared" si="127"/>
        <v>0.2</v>
      </c>
      <c r="J259" s="35">
        <f t="shared" si="127"/>
        <v>0.21</v>
      </c>
      <c r="K259" s="35">
        <f t="shared" si="127"/>
        <v>0.18</v>
      </c>
      <c r="L259" s="35">
        <f t="shared" si="127"/>
        <v>0.01</v>
      </c>
      <c r="M259" s="35">
        <f t="shared" si="127"/>
        <v>0.12</v>
      </c>
      <c r="N259" s="35">
        <f t="shared" si="127"/>
        <v>0.09</v>
      </c>
      <c r="O259" s="35" t="str">
        <f t="shared" si="127"/>
        <v>NO</v>
      </c>
      <c r="P259" s="35" t="str">
        <f t="shared" si="127"/>
        <v>NO</v>
      </c>
    </row>
    <row r="260" spans="4:16" x14ac:dyDescent="0.25">
      <c r="D260" s="35" t="s">
        <v>67</v>
      </c>
      <c r="E260" s="35" t="str">
        <f t="shared" si="127"/>
        <v>Barkly</v>
      </c>
      <c r="F260" s="35" t="str">
        <f t="shared" si="127"/>
        <v>Summer</v>
      </c>
      <c r="G260" s="35">
        <f t="shared" si="127"/>
        <v>0.66</v>
      </c>
      <c r="H260" s="35">
        <f t="shared" si="127"/>
        <v>0.22</v>
      </c>
      <c r="I260" s="35">
        <f t="shared" si="127"/>
        <v>0.68</v>
      </c>
      <c r="J260" s="35">
        <f t="shared" si="127"/>
        <v>0.22</v>
      </c>
      <c r="K260" s="35">
        <f t="shared" si="127"/>
        <v>0.24</v>
      </c>
      <c r="L260" s="35">
        <f t="shared" si="127"/>
        <v>0.25</v>
      </c>
      <c r="M260" s="35">
        <f t="shared" si="127"/>
        <v>0.64</v>
      </c>
      <c r="N260" s="35">
        <f t="shared" si="127"/>
        <v>0.37</v>
      </c>
      <c r="O260" s="35" t="str">
        <f t="shared" si="127"/>
        <v>NO</v>
      </c>
      <c r="P260" s="35" t="str">
        <f t="shared" si="127"/>
        <v>NO</v>
      </c>
    </row>
    <row r="261" spans="4:16" x14ac:dyDescent="0.25">
      <c r="D261" s="35" t="s">
        <v>67</v>
      </c>
      <c r="E261" s="35" t="str">
        <f t="shared" si="127"/>
        <v>Barkly</v>
      </c>
      <c r="F261" s="35" t="str">
        <f t="shared" si="127"/>
        <v>Autumn</v>
      </c>
      <c r="G261" s="35">
        <f t="shared" si="127"/>
        <v>0.49</v>
      </c>
      <c r="H261" s="35">
        <f t="shared" si="127"/>
        <v>0.05</v>
      </c>
      <c r="I261" s="35">
        <f t="shared" si="127"/>
        <v>0.64</v>
      </c>
      <c r="J261" s="35">
        <f t="shared" si="127"/>
        <v>0.25</v>
      </c>
      <c r="K261" s="35">
        <f t="shared" si="127"/>
        <v>0.28999999999999998</v>
      </c>
      <c r="L261" s="35">
        <f t="shared" si="127"/>
        <v>0.12</v>
      </c>
      <c r="M261" s="35">
        <f t="shared" si="127"/>
        <v>0.56999999999999995</v>
      </c>
      <c r="N261" s="35">
        <f t="shared" si="127"/>
        <v>0.49</v>
      </c>
      <c r="O261" s="35" t="str">
        <f t="shared" si="127"/>
        <v>NO</v>
      </c>
      <c r="P261" s="35" t="str">
        <f t="shared" si="127"/>
        <v>NO</v>
      </c>
    </row>
    <row r="262" spans="4:16" x14ac:dyDescent="0.25">
      <c r="D262" s="35" t="s">
        <v>67</v>
      </c>
      <c r="E262" s="35" t="str">
        <f t="shared" si="127"/>
        <v>Barkly</v>
      </c>
      <c r="F262" s="35" t="str">
        <f t="shared" si="127"/>
        <v>Winter</v>
      </c>
      <c r="G262" s="35">
        <f t="shared" si="127"/>
        <v>0.27</v>
      </c>
      <c r="H262" s="35">
        <f t="shared" si="127"/>
        <v>-0.27</v>
      </c>
      <c r="I262" s="35">
        <f t="shared" si="127"/>
        <v>0.31</v>
      </c>
      <c r="J262" s="35">
        <f t="shared" si="127"/>
        <v>0.28999999999999998</v>
      </c>
      <c r="K262" s="35">
        <f t="shared" si="127"/>
        <v>0.19</v>
      </c>
      <c r="L262" s="35">
        <f t="shared" si="127"/>
        <v>0.04</v>
      </c>
      <c r="M262" s="35">
        <f t="shared" si="127"/>
        <v>0.26</v>
      </c>
      <c r="N262" s="35">
        <f t="shared" si="127"/>
        <v>0.28000000000000003</v>
      </c>
      <c r="O262" s="35" t="str">
        <f t="shared" si="127"/>
        <v>NO</v>
      </c>
      <c r="P262" s="35" t="str">
        <f t="shared" si="127"/>
        <v>NO</v>
      </c>
    </row>
    <row r="263" spans="4:16" x14ac:dyDescent="0.25">
      <c r="D263" s="35" t="s">
        <v>67</v>
      </c>
      <c r="E263" s="35" t="str">
        <f t="shared" si="127"/>
        <v>Northern</v>
      </c>
      <c r="F263" s="35" t="str">
        <f t="shared" si="127"/>
        <v>Spring</v>
      </c>
      <c r="G263" s="35">
        <f t="shared" si="127"/>
        <v>0.22</v>
      </c>
      <c r="H263" s="35">
        <f t="shared" si="127"/>
        <v>-0.44</v>
      </c>
      <c r="I263" s="35">
        <f t="shared" si="127"/>
        <v>0</v>
      </c>
      <c r="J263" s="35">
        <f t="shared" si="127"/>
        <v>0.15</v>
      </c>
      <c r="K263" s="35">
        <f t="shared" si="127"/>
        <v>0.08</v>
      </c>
      <c r="L263" s="35">
        <f t="shared" si="127"/>
        <v>0.17</v>
      </c>
      <c r="M263" s="35">
        <f t="shared" si="127"/>
        <v>0.06</v>
      </c>
      <c r="N263" s="35">
        <f t="shared" si="127"/>
        <v>0.02</v>
      </c>
      <c r="O263" s="35">
        <f t="shared" si="127"/>
        <v>-0.14000000000000001</v>
      </c>
      <c r="P263" s="35" t="str">
        <f t="shared" si="127"/>
        <v>NO</v>
      </c>
    </row>
    <row r="264" spans="4:16" x14ac:dyDescent="0.25">
      <c r="D264" s="35" t="s">
        <v>67</v>
      </c>
      <c r="E264" s="35" t="str">
        <f t="shared" si="127"/>
        <v>Northern</v>
      </c>
      <c r="F264" s="35" t="str">
        <f t="shared" si="127"/>
        <v>Summer</v>
      </c>
      <c r="G264" s="35">
        <f t="shared" si="127"/>
        <v>0.66</v>
      </c>
      <c r="H264" s="35">
        <f t="shared" si="127"/>
        <v>0.22</v>
      </c>
      <c r="I264" s="35">
        <f t="shared" si="127"/>
        <v>0.79</v>
      </c>
      <c r="J264" s="35">
        <f t="shared" si="127"/>
        <v>0.4</v>
      </c>
      <c r="K264" s="35">
        <f t="shared" si="127"/>
        <v>0.38</v>
      </c>
      <c r="L264" s="35">
        <f t="shared" si="127"/>
        <v>0.27</v>
      </c>
      <c r="M264" s="35">
        <f t="shared" si="127"/>
        <v>0.8</v>
      </c>
      <c r="N264" s="35">
        <f t="shared" si="127"/>
        <v>0.16</v>
      </c>
      <c r="O264" s="35">
        <f t="shared" si="127"/>
        <v>0.3</v>
      </c>
      <c r="P264" s="35" t="str">
        <f t="shared" si="127"/>
        <v>NO</v>
      </c>
    </row>
    <row r="265" spans="4:16" x14ac:dyDescent="0.25">
      <c r="D265" s="35" t="s">
        <v>67</v>
      </c>
      <c r="E265" s="35" t="str">
        <f t="shared" si="127"/>
        <v>Northern</v>
      </c>
      <c r="F265" s="35" t="str">
        <f t="shared" si="127"/>
        <v>Autumn</v>
      </c>
      <c r="G265" s="35">
        <f t="shared" si="127"/>
        <v>0.49</v>
      </c>
      <c r="H265" s="35">
        <f t="shared" si="127"/>
        <v>0.05</v>
      </c>
      <c r="I265" s="35">
        <f t="shared" si="127"/>
        <v>0.55000000000000004</v>
      </c>
      <c r="J265" s="35">
        <f t="shared" si="127"/>
        <v>0.38</v>
      </c>
      <c r="K265" s="35">
        <f t="shared" si="127"/>
        <v>0.36</v>
      </c>
      <c r="L265" s="35">
        <f t="shared" si="127"/>
        <v>0.06</v>
      </c>
      <c r="M265" s="35">
        <f t="shared" si="127"/>
        <v>0.57999999999999996</v>
      </c>
      <c r="N265" s="35">
        <f t="shared" si="127"/>
        <v>0.23</v>
      </c>
      <c r="O265" s="35">
        <f t="shared" si="127"/>
        <v>0.4</v>
      </c>
      <c r="P265" s="35" t="str">
        <f t="shared" si="127"/>
        <v>NO</v>
      </c>
    </row>
    <row r="266" spans="4:16" x14ac:dyDescent="0.25">
      <c r="D266" s="35" t="s">
        <v>67</v>
      </c>
      <c r="E266" s="35" t="str">
        <f t="shared" si="127"/>
        <v>Northern</v>
      </c>
      <c r="F266" s="35" t="str">
        <f t="shared" si="127"/>
        <v>Winter</v>
      </c>
      <c r="G266" s="35">
        <f t="shared" si="127"/>
        <v>0.27</v>
      </c>
      <c r="H266" s="35">
        <f t="shared" si="127"/>
        <v>-0.27</v>
      </c>
      <c r="I266" s="35">
        <f t="shared" si="127"/>
        <v>0.02</v>
      </c>
      <c r="J266" s="35">
        <f t="shared" si="127"/>
        <v>0.09</v>
      </c>
      <c r="K266" s="35">
        <f t="shared" si="127"/>
        <v>0.16</v>
      </c>
      <c r="L266" s="35">
        <f t="shared" si="127"/>
        <v>-0.04</v>
      </c>
      <c r="M266" s="35">
        <f t="shared" si="127"/>
        <v>0.21</v>
      </c>
      <c r="N266" s="35">
        <f t="shared" si="127"/>
        <v>0.03</v>
      </c>
      <c r="O266" s="35">
        <f t="shared" si="127"/>
        <v>0.11</v>
      </c>
      <c r="P266" s="35" t="str">
        <f t="shared" si="127"/>
        <v>NO</v>
      </c>
    </row>
    <row r="267" spans="4:16" x14ac:dyDescent="0.25">
      <c r="D267" s="35" t="s">
        <v>68</v>
      </c>
      <c r="E267" s="35" t="str">
        <f t="shared" si="127"/>
        <v>High</v>
      </c>
      <c r="F267" s="35" t="str">
        <f t="shared" si="127"/>
        <v>Spring</v>
      </c>
      <c r="G267" s="35">
        <f t="shared" si="127"/>
        <v>0.27</v>
      </c>
      <c r="H267" s="35">
        <f t="shared" si="127"/>
        <v>-0.19</v>
      </c>
      <c r="I267" s="35">
        <f t="shared" si="127"/>
        <v>0.38</v>
      </c>
      <c r="J267" s="35">
        <f t="shared" si="127"/>
        <v>0.25</v>
      </c>
      <c r="K267" s="35">
        <f t="shared" si="127"/>
        <v>7.0000000000000007E-2</v>
      </c>
      <c r="L267" s="35">
        <f t="shared" si="127"/>
        <v>0.05</v>
      </c>
      <c r="M267" s="35">
        <f t="shared" si="127"/>
        <v>0.52</v>
      </c>
      <c r="N267" s="35">
        <f t="shared" si="127"/>
        <v>0.55000000000000004</v>
      </c>
      <c r="O267" s="35">
        <f t="shared" si="127"/>
        <v>0.19</v>
      </c>
      <c r="P267" s="35">
        <f t="shared" si="127"/>
        <v>0.6</v>
      </c>
    </row>
    <row r="268" spans="4:16" x14ac:dyDescent="0.25">
      <c r="D268" s="35" t="s">
        <v>68</v>
      </c>
      <c r="E268" s="35" t="str">
        <f t="shared" si="127"/>
        <v>High</v>
      </c>
      <c r="F268" s="35" t="str">
        <f t="shared" si="127"/>
        <v>Summer</v>
      </c>
      <c r="G268" s="35">
        <f t="shared" si="127"/>
        <v>0.16</v>
      </c>
      <c r="H268" s="35">
        <f t="shared" si="127"/>
        <v>0.16</v>
      </c>
      <c r="I268" s="35">
        <f t="shared" si="127"/>
        <v>0.8</v>
      </c>
      <c r="J268" s="35">
        <f t="shared" si="127"/>
        <v>0.56999999999999995</v>
      </c>
      <c r="K268" s="35">
        <f t="shared" si="127"/>
        <v>0.76</v>
      </c>
      <c r="L268" s="35">
        <f t="shared" si="127"/>
        <v>0.49</v>
      </c>
      <c r="M268" s="35">
        <f t="shared" si="127"/>
        <v>0.84</v>
      </c>
      <c r="N268" s="35">
        <f t="shared" si="127"/>
        <v>0.51</v>
      </c>
      <c r="O268" s="35">
        <f t="shared" si="127"/>
        <v>0.36</v>
      </c>
      <c r="P268" s="35">
        <f t="shared" si="127"/>
        <v>0.17</v>
      </c>
    </row>
    <row r="269" spans="4:16" x14ac:dyDescent="0.25">
      <c r="D269" s="35" t="s">
        <v>68</v>
      </c>
      <c r="E269" s="35" t="str">
        <f t="shared" si="127"/>
        <v>High</v>
      </c>
      <c r="F269" s="35" t="str">
        <f t="shared" si="127"/>
        <v>Autumn</v>
      </c>
      <c r="G269" s="35">
        <f t="shared" si="127"/>
        <v>0.45</v>
      </c>
      <c r="H269" s="35">
        <f t="shared" si="127"/>
        <v>0.1</v>
      </c>
      <c r="I269" s="35">
        <f t="shared" si="127"/>
        <v>0.49</v>
      </c>
      <c r="J269" s="35">
        <f t="shared" si="127"/>
        <v>0.41</v>
      </c>
      <c r="K269" s="35">
        <f t="shared" si="127"/>
        <v>0.4</v>
      </c>
      <c r="L269" s="35">
        <f t="shared" si="127"/>
        <v>0.17</v>
      </c>
      <c r="M269" s="35">
        <f t="shared" si="127"/>
        <v>0.54</v>
      </c>
      <c r="N269" s="35">
        <f t="shared" si="127"/>
        <v>0.64</v>
      </c>
      <c r="O269" s="35">
        <f t="shared" si="127"/>
        <v>-0.05</v>
      </c>
      <c r="P269" s="35">
        <f t="shared" si="127"/>
        <v>0.32</v>
      </c>
    </row>
    <row r="270" spans="4:16" x14ac:dyDescent="0.25">
      <c r="D270" s="35" t="s">
        <v>68</v>
      </c>
      <c r="E270" s="35" t="str">
        <f t="shared" si="127"/>
        <v>High</v>
      </c>
      <c r="F270" s="35" t="str">
        <f t="shared" si="127"/>
        <v>Winter</v>
      </c>
      <c r="G270" s="35">
        <f t="shared" si="127"/>
        <v>0.51</v>
      </c>
      <c r="H270" s="35">
        <f t="shared" si="127"/>
        <v>-7.0000000000000007E-2</v>
      </c>
      <c r="I270" s="35">
        <f t="shared" si="127"/>
        <v>0.13</v>
      </c>
      <c r="J270" s="35">
        <f t="shared" si="127"/>
        <v>-0.09</v>
      </c>
      <c r="K270" s="35">
        <f t="shared" si="127"/>
        <v>-0.13</v>
      </c>
      <c r="L270" s="35">
        <f t="shared" si="127"/>
        <v>7.0000000000000007E-2</v>
      </c>
      <c r="M270" s="35">
        <f t="shared" si="127"/>
        <v>0.25</v>
      </c>
      <c r="N270" s="35">
        <f t="shared" si="127"/>
        <v>0.71</v>
      </c>
      <c r="O270" s="35">
        <f t="shared" si="127"/>
        <v>0.17</v>
      </c>
      <c r="P270" s="35">
        <f t="shared" si="127"/>
        <v>0.43</v>
      </c>
    </row>
    <row r="271" spans="4:16" x14ac:dyDescent="0.25">
      <c r="D271" s="35" t="s">
        <v>68</v>
      </c>
      <c r="E271" s="35" t="str">
        <f t="shared" si="127"/>
        <v>Moderate/High</v>
      </c>
      <c r="F271" s="35" t="str">
        <f t="shared" si="127"/>
        <v>Spring</v>
      </c>
      <c r="G271" s="35">
        <f t="shared" si="127"/>
        <v>-0.12</v>
      </c>
      <c r="H271" s="35">
        <f t="shared" si="127"/>
        <v>-0.19</v>
      </c>
      <c r="I271" s="35">
        <f t="shared" si="127"/>
        <v>0.41</v>
      </c>
      <c r="J271" s="35">
        <f t="shared" si="127"/>
        <v>0.09</v>
      </c>
      <c r="K271" s="35">
        <f t="shared" si="127"/>
        <v>0.41</v>
      </c>
      <c r="L271" s="35">
        <f t="shared" si="127"/>
        <v>-0.19</v>
      </c>
      <c r="M271" s="35">
        <f t="shared" si="127"/>
        <v>7.0000000000000007E-2</v>
      </c>
      <c r="N271" s="35">
        <f t="shared" si="127"/>
        <v>1.07</v>
      </c>
      <c r="O271" s="35">
        <f t="shared" si="127"/>
        <v>-0.08</v>
      </c>
      <c r="P271" s="35">
        <f t="shared" si="127"/>
        <v>0</v>
      </c>
    </row>
    <row r="272" spans="4:16" x14ac:dyDescent="0.25">
      <c r="D272" s="35" t="s">
        <v>68</v>
      </c>
      <c r="E272" s="35" t="str">
        <f t="shared" si="127"/>
        <v>Moderate/High</v>
      </c>
      <c r="F272" s="35" t="str">
        <f t="shared" si="127"/>
        <v>Summer</v>
      </c>
      <c r="G272" s="35">
        <f t="shared" si="127"/>
        <v>0.65</v>
      </c>
      <c r="H272" s="35">
        <f t="shared" si="127"/>
        <v>0.19</v>
      </c>
      <c r="I272" s="35">
        <f t="shared" si="127"/>
        <v>0.65</v>
      </c>
      <c r="J272" s="35">
        <f t="shared" si="127"/>
        <v>0.51</v>
      </c>
      <c r="K272" s="35">
        <f t="shared" si="127"/>
        <v>0.18</v>
      </c>
      <c r="L272" s="35">
        <f t="shared" si="127"/>
        <v>0.63</v>
      </c>
      <c r="M272" s="35">
        <f t="shared" si="127"/>
        <v>1.3</v>
      </c>
      <c r="N272" s="35">
        <f t="shared" si="127"/>
        <v>0.48</v>
      </c>
      <c r="O272" s="35">
        <f t="shared" si="127"/>
        <v>1.1200000000000001</v>
      </c>
      <c r="P272" s="35">
        <f t="shared" si="127"/>
        <v>0.38</v>
      </c>
    </row>
    <row r="273" spans="4:16" x14ac:dyDescent="0.25">
      <c r="D273" s="35" t="s">
        <v>68</v>
      </c>
      <c r="E273" s="35" t="str">
        <f t="shared" si="127"/>
        <v>Moderate/High</v>
      </c>
      <c r="F273" s="35" t="str">
        <f t="shared" si="127"/>
        <v>Autumn</v>
      </c>
      <c r="G273" s="35">
        <f t="shared" si="127"/>
        <v>0.7</v>
      </c>
      <c r="H273" s="35">
        <f t="shared" si="127"/>
        <v>0.13</v>
      </c>
      <c r="I273" s="35">
        <f t="shared" si="127"/>
        <v>0.52</v>
      </c>
      <c r="J273" s="35">
        <f t="shared" si="127"/>
        <v>0.34</v>
      </c>
      <c r="K273" s="35">
        <f t="shared" si="127"/>
        <v>0.02</v>
      </c>
      <c r="L273" s="35">
        <f t="shared" si="127"/>
        <v>0.04</v>
      </c>
      <c r="M273" s="35">
        <f t="shared" si="127"/>
        <v>0.77</v>
      </c>
      <c r="N273" s="35">
        <f t="shared" si="127"/>
        <v>0.42</v>
      </c>
      <c r="O273" s="35">
        <f t="shared" si="127"/>
        <v>0.12</v>
      </c>
      <c r="P273" s="35">
        <f t="shared" si="127"/>
        <v>0.74</v>
      </c>
    </row>
    <row r="274" spans="4:16" x14ac:dyDescent="0.25">
      <c r="D274" s="35" t="s">
        <v>68</v>
      </c>
      <c r="E274" s="35" t="str">
        <f t="shared" si="127"/>
        <v>Moderate/High</v>
      </c>
      <c r="F274" s="35" t="str">
        <f t="shared" si="127"/>
        <v>Winter</v>
      </c>
      <c r="G274" s="35">
        <f t="shared" si="127"/>
        <v>0.32</v>
      </c>
      <c r="H274" s="35">
        <f t="shared" si="127"/>
        <v>-0.06</v>
      </c>
      <c r="I274" s="35">
        <f t="shared" si="127"/>
        <v>0.25</v>
      </c>
      <c r="J274" s="35">
        <f t="shared" si="127"/>
        <v>0.19</v>
      </c>
      <c r="K274" s="35">
        <f t="shared" si="127"/>
        <v>-0.1</v>
      </c>
      <c r="L274" s="35">
        <f t="shared" si="127"/>
        <v>-0.02</v>
      </c>
      <c r="M274" s="35">
        <f t="shared" si="127"/>
        <v>0.02</v>
      </c>
      <c r="N274" s="35">
        <f t="shared" si="127"/>
        <v>0.23</v>
      </c>
      <c r="O274" s="35">
        <f t="shared" si="127"/>
        <v>-0.13</v>
      </c>
      <c r="P274" s="35">
        <f t="shared" si="127"/>
        <v>0</v>
      </c>
    </row>
    <row r="275" spans="4:16" x14ac:dyDescent="0.25">
      <c r="D275" s="35" t="s">
        <v>68</v>
      </c>
      <c r="E275" s="35" t="str">
        <f t="shared" si="127"/>
        <v>Moderate/Low</v>
      </c>
      <c r="F275" s="35" t="str">
        <f t="shared" si="127"/>
        <v>Spring</v>
      </c>
      <c r="G275" s="35">
        <f t="shared" si="127"/>
        <v>0.62</v>
      </c>
      <c r="H275" s="35">
        <f t="shared" si="127"/>
        <v>-0.19</v>
      </c>
      <c r="I275" s="35">
        <f t="shared" si="127"/>
        <v>0.37</v>
      </c>
      <c r="J275" s="35">
        <f t="shared" si="127"/>
        <v>0.41</v>
      </c>
      <c r="K275" s="35">
        <f t="shared" si="127"/>
        <v>0.06</v>
      </c>
      <c r="L275" s="35">
        <f t="shared" si="127"/>
        <v>-0.02</v>
      </c>
      <c r="M275" s="35">
        <f t="shared" si="127"/>
        <v>0.47</v>
      </c>
      <c r="N275" s="35">
        <f t="shared" si="127"/>
        <v>0.44</v>
      </c>
      <c r="O275" s="35">
        <f t="shared" si="127"/>
        <v>0.3</v>
      </c>
      <c r="P275" s="35">
        <f t="shared" si="127"/>
        <v>0.13</v>
      </c>
    </row>
    <row r="276" spans="4:16" x14ac:dyDescent="0.25">
      <c r="D276" s="35" t="s">
        <v>68</v>
      </c>
      <c r="E276" s="35" t="str">
        <f t="shared" si="127"/>
        <v>Moderate/Low</v>
      </c>
      <c r="F276" s="35" t="str">
        <f t="shared" si="127"/>
        <v>Summer</v>
      </c>
      <c r="G276" s="35">
        <f t="shared" si="127"/>
        <v>0.05</v>
      </c>
      <c r="H276" s="35">
        <f t="shared" ref="H276:P276" si="128">H211</f>
        <v>0.19</v>
      </c>
      <c r="I276" s="35">
        <f t="shared" si="128"/>
        <v>0.31</v>
      </c>
      <c r="J276" s="35">
        <f t="shared" si="128"/>
        <v>0.54</v>
      </c>
      <c r="K276" s="35">
        <f t="shared" si="128"/>
        <v>0.53</v>
      </c>
      <c r="L276" s="35">
        <f t="shared" si="128"/>
        <v>0.15</v>
      </c>
      <c r="M276" s="35">
        <f t="shared" si="128"/>
        <v>0.28000000000000003</v>
      </c>
      <c r="N276" s="35">
        <f t="shared" si="128"/>
        <v>0.56999999999999995</v>
      </c>
      <c r="O276" s="35">
        <f t="shared" si="128"/>
        <v>0.42</v>
      </c>
      <c r="P276" s="35">
        <f t="shared" si="128"/>
        <v>0.4</v>
      </c>
    </row>
    <row r="277" spans="4:16" x14ac:dyDescent="0.25">
      <c r="D277" s="35" t="s">
        <v>68</v>
      </c>
      <c r="E277" s="35" t="str">
        <f t="shared" si="127"/>
        <v>Moderate/Low</v>
      </c>
      <c r="F277" s="35" t="str">
        <f t="shared" si="127"/>
        <v>Autumn</v>
      </c>
      <c r="G277" s="35">
        <f t="shared" ref="G277:P277" si="129">G212</f>
        <v>0.33</v>
      </c>
      <c r="H277" s="35">
        <f t="shared" si="129"/>
        <v>0.13</v>
      </c>
      <c r="I277" s="35">
        <f t="shared" si="129"/>
        <v>0.39</v>
      </c>
      <c r="J277" s="35">
        <f t="shared" si="129"/>
        <v>0.36</v>
      </c>
      <c r="K277" s="35">
        <f t="shared" si="129"/>
        <v>0.26</v>
      </c>
      <c r="L277" s="35">
        <f t="shared" si="129"/>
        <v>0.11</v>
      </c>
      <c r="M277" s="35">
        <f t="shared" si="129"/>
        <v>0.4</v>
      </c>
      <c r="N277" s="35">
        <f t="shared" si="129"/>
        <v>0.44</v>
      </c>
      <c r="O277" s="35">
        <f t="shared" si="129"/>
        <v>0.37</v>
      </c>
      <c r="P277" s="35">
        <f t="shared" si="129"/>
        <v>-0.01</v>
      </c>
    </row>
    <row r="278" spans="4:16" x14ac:dyDescent="0.25">
      <c r="D278" s="35" t="s">
        <v>68</v>
      </c>
      <c r="E278" s="35" t="str">
        <f t="shared" si="127"/>
        <v>Moderate/Low</v>
      </c>
      <c r="F278" s="35" t="str">
        <f t="shared" si="127"/>
        <v>Winter</v>
      </c>
      <c r="G278" s="35">
        <f t="shared" ref="G278:P278" si="130">G213</f>
        <v>0.61</v>
      </c>
      <c r="H278" s="35">
        <f t="shared" si="130"/>
        <v>-0.06</v>
      </c>
      <c r="I278" s="35">
        <f t="shared" si="130"/>
        <v>0.21</v>
      </c>
      <c r="J278" s="35">
        <f t="shared" si="130"/>
        <v>0.18</v>
      </c>
      <c r="K278" s="35">
        <f t="shared" si="130"/>
        <v>0.12</v>
      </c>
      <c r="L278" s="35">
        <f t="shared" si="130"/>
        <v>0.06</v>
      </c>
      <c r="M278" s="35">
        <f t="shared" si="130"/>
        <v>0.28999999999999998</v>
      </c>
      <c r="N278" s="35">
        <f t="shared" si="130"/>
        <v>0.41</v>
      </c>
      <c r="O278" s="35">
        <f t="shared" si="130"/>
        <v>0.41</v>
      </c>
      <c r="P278" s="35">
        <f t="shared" si="130"/>
        <v>-0.15</v>
      </c>
    </row>
    <row r="279" spans="4:16" x14ac:dyDescent="0.25">
      <c r="D279" s="35" t="s">
        <v>68</v>
      </c>
      <c r="E279" s="35" t="str">
        <f t="shared" si="127"/>
        <v>Low</v>
      </c>
      <c r="F279" s="35" t="str">
        <f t="shared" si="127"/>
        <v>Spring</v>
      </c>
      <c r="G279" s="35">
        <f t="shared" ref="G279:P279" si="131">G214</f>
        <v>-0.2</v>
      </c>
      <c r="H279" s="35">
        <f t="shared" si="131"/>
        <v>0.02</v>
      </c>
      <c r="I279" s="35">
        <f t="shared" si="131"/>
        <v>0.24</v>
      </c>
      <c r="J279" s="35">
        <f t="shared" si="131"/>
        <v>0.3</v>
      </c>
      <c r="K279" s="35">
        <f t="shared" si="131"/>
        <v>0.23</v>
      </c>
      <c r="L279" s="35">
        <f t="shared" si="131"/>
        <v>-0.05</v>
      </c>
      <c r="M279" s="35">
        <f t="shared" si="131"/>
        <v>0.34</v>
      </c>
      <c r="N279" s="35">
        <f t="shared" si="131"/>
        <v>0.3</v>
      </c>
      <c r="O279" s="35">
        <f t="shared" si="131"/>
        <v>0.56999999999999995</v>
      </c>
      <c r="P279" s="35">
        <f t="shared" si="131"/>
        <v>0.52</v>
      </c>
    </row>
    <row r="280" spans="4:16" x14ac:dyDescent="0.25">
      <c r="D280" s="35" t="s">
        <v>68</v>
      </c>
      <c r="E280" s="35" t="str">
        <f t="shared" si="127"/>
        <v>Low</v>
      </c>
      <c r="F280" s="35" t="str">
        <f t="shared" si="127"/>
        <v>Summer</v>
      </c>
      <c r="G280" s="35">
        <f t="shared" ref="G280:P280" si="132">G215</f>
        <v>0.62</v>
      </c>
      <c r="H280" s="35">
        <f t="shared" si="132"/>
        <v>0.21</v>
      </c>
      <c r="I280" s="35">
        <f t="shared" si="132"/>
        <v>0.25</v>
      </c>
      <c r="J280" s="35">
        <f t="shared" si="132"/>
        <v>0.32</v>
      </c>
      <c r="K280" s="35">
        <f t="shared" si="132"/>
        <v>0.47</v>
      </c>
      <c r="L280" s="35">
        <f t="shared" si="132"/>
        <v>0.31</v>
      </c>
      <c r="M280" s="35">
        <f t="shared" si="132"/>
        <v>0.14000000000000001</v>
      </c>
      <c r="N280" s="35">
        <f t="shared" si="132"/>
        <v>0.4</v>
      </c>
      <c r="O280" s="35">
        <f t="shared" si="132"/>
        <v>0.26</v>
      </c>
      <c r="P280" s="35">
        <f t="shared" si="132"/>
        <v>0.43</v>
      </c>
    </row>
    <row r="281" spans="4:16" x14ac:dyDescent="0.25">
      <c r="D281" s="35" t="s">
        <v>68</v>
      </c>
      <c r="E281" s="35" t="str">
        <f t="shared" si="127"/>
        <v>Low</v>
      </c>
      <c r="F281" s="35" t="str">
        <f t="shared" si="127"/>
        <v>Autumn</v>
      </c>
      <c r="G281" s="35">
        <f t="shared" ref="G281:P281" si="133">G216</f>
        <v>0.4</v>
      </c>
      <c r="H281" s="35">
        <f t="shared" si="133"/>
        <v>0.13</v>
      </c>
      <c r="I281" s="35">
        <f t="shared" si="133"/>
        <v>0.12</v>
      </c>
      <c r="J281" s="35">
        <f t="shared" si="133"/>
        <v>0.27</v>
      </c>
      <c r="K281" s="35">
        <f t="shared" si="133"/>
        <v>0.3</v>
      </c>
      <c r="L281" s="35">
        <f t="shared" si="133"/>
        <v>0.08</v>
      </c>
      <c r="M281" s="35">
        <f t="shared" si="133"/>
        <v>0.13</v>
      </c>
      <c r="N281" s="35">
        <f t="shared" si="133"/>
        <v>0.24</v>
      </c>
      <c r="O281" s="35">
        <f t="shared" si="133"/>
        <v>0.15</v>
      </c>
      <c r="P281" s="35">
        <f t="shared" si="133"/>
        <v>0.21</v>
      </c>
    </row>
    <row r="282" spans="4:16" x14ac:dyDescent="0.25">
      <c r="D282" s="35" t="s">
        <v>68</v>
      </c>
      <c r="E282" s="35" t="str">
        <f t="shared" si="127"/>
        <v>Low</v>
      </c>
      <c r="F282" s="35" t="str">
        <f t="shared" si="127"/>
        <v>Winter</v>
      </c>
      <c r="G282" s="35">
        <f t="shared" ref="G282:P282" si="134">G217</f>
        <v>0.08</v>
      </c>
      <c r="H282" s="35">
        <f t="shared" si="134"/>
        <v>0.04</v>
      </c>
      <c r="I282" s="35">
        <f t="shared" si="134"/>
        <v>0.06</v>
      </c>
      <c r="J282" s="35">
        <f t="shared" si="134"/>
        <v>0.18</v>
      </c>
      <c r="K282" s="35">
        <f t="shared" si="134"/>
        <v>0.11</v>
      </c>
      <c r="L282" s="35">
        <f t="shared" si="134"/>
        <v>-7.0000000000000007E-2</v>
      </c>
      <c r="M282" s="35">
        <f t="shared" si="134"/>
        <v>0.13</v>
      </c>
      <c r="N282" s="35">
        <f t="shared" si="134"/>
        <v>0.16</v>
      </c>
      <c r="O282" s="35">
        <f t="shared" si="134"/>
        <v>0.4</v>
      </c>
      <c r="P282" s="35">
        <f t="shared" si="134"/>
        <v>0.33</v>
      </c>
    </row>
    <row r="283" spans="4:16" x14ac:dyDescent="0.25">
      <c r="M283" s="21"/>
    </row>
    <row r="284" spans="4:16" x14ac:dyDescent="0.25">
      <c r="M284" s="21"/>
    </row>
    <row r="285" spans="4:16" ht="23.25" x14ac:dyDescent="0.25">
      <c r="D285" s="6" t="str" cm="1">
        <f t="array" ref="D285">SourceData_PastureBeef.SourceData_PastureBeef_DryMatterDigestibility_Title()</f>
        <v>Beef pasture cattle - Dry matter digestibility of feed intake (fraction) (DMDj)</v>
      </c>
      <c r="M285" s="21"/>
    </row>
    <row r="286" spans="4:16" x14ac:dyDescent="0.25">
      <c r="D286" s="5" t="str" cm="1">
        <f t="array" ref="D286">SourceData_PastureBeef.SourceData_PastureBeef_DryMatterDigestibility_Source()</f>
        <v>VEERG 2026: Table A.1.2.5</v>
      </c>
      <c r="M286" s="21"/>
    </row>
    <row r="287" spans="4:16" x14ac:dyDescent="0.25">
      <c r="D287" s="1" t="str" cm="1">
        <f t="array" ref="D287">SourceData_PastureBeef.SourceData_PastureBeef_DryMatterDigestibility_Variable()</f>
        <v>DMDj</v>
      </c>
      <c r="M287" s="21"/>
    </row>
    <row r="288" spans="4:16" x14ac:dyDescent="0.25">
      <c r="D288" s="51" t="str" cm="1">
        <f t="array" ref="D288">SourceData_PastureBeef.SourceData_PastureBeef_DryMatterDigestibility_Unit()</f>
        <v>fraction</v>
      </c>
      <c r="M288" s="21"/>
    </row>
    <row r="289" spans="4:13" x14ac:dyDescent="0.25">
      <c r="D289" s="52" t="str" cm="1">
        <f t="array" ref="D289">SourceData_PastureBeef.SourceData_PastureBeef_DryMatterDigestibility_Variation()</f>
        <v>VARIATION ON SOURCE: Split ACT and NSW into separate rows. Duplicated QLD and NT rows with regions from table A.1.2.2 to aid lookup</v>
      </c>
      <c r="M289" s="21"/>
    </row>
    <row r="290" spans="4:13" x14ac:dyDescent="0.25">
      <c r="D290" s="35" t="s">
        <v>5</v>
      </c>
      <c r="E290" s="35" t="s">
        <v>144</v>
      </c>
      <c r="F290" s="35" t="s">
        <v>134</v>
      </c>
      <c r="G290" s="35" t="s">
        <v>135</v>
      </c>
      <c r="H290" s="35" t="s">
        <v>136</v>
      </c>
      <c r="I290" s="35" t="s">
        <v>137</v>
      </c>
      <c r="M290" s="21"/>
    </row>
    <row r="291" spans="4:13" x14ac:dyDescent="0.25">
      <c r="D291" s="35" t="str" cm="1">
        <f t="array" ref="D291">Common_InputFunctions.Utility_DisplayArrayInTable(SourceData_PastureBeef.SourceData_PastureBeef_DryMatterDigestibility_Data(), Table_SourceData_PastureBeef_DryMatterDigestibility[[#Headers],[State]], 0)</f>
        <v>ACT</v>
      </c>
      <c r="E291" s="35" t="str" cm="1">
        <f t="array" ref="E291">Common_InputFunctions.Utility_DisplayArrayInTable(SourceData_PastureBeef.SourceData_PastureBeef_DryMatterDigestibility_Data(), Table_SourceData_PastureBeef_DryMatterDigestibility[[#Headers],[State]], 0)</f>
        <v>n/a</v>
      </c>
      <c r="F291" s="35" cm="1">
        <f t="array" ref="F291">Common_InputFunctions.Utility_DisplayArrayInTable(SourceData_PastureBeef.SourceData_PastureBeef_DryMatterDigestibility_Data(), Table_SourceData_PastureBeef_DryMatterDigestibility[[#Headers],[State]], 0)</f>
        <v>0.55000000000000004</v>
      </c>
      <c r="G291" s="35" cm="1">
        <f t="array" ref="G291">Common_InputFunctions.Utility_DisplayArrayInTable(SourceData_PastureBeef.SourceData_PastureBeef_DryMatterDigestibility_Data(), Table_SourceData_PastureBeef_DryMatterDigestibility[[#Headers],[State]], 0)</f>
        <v>0.65</v>
      </c>
      <c r="H291" s="35" cm="1">
        <f t="array" ref="H291">Common_InputFunctions.Utility_DisplayArrayInTable(SourceData_PastureBeef.SourceData_PastureBeef_DryMatterDigestibility_Data(), Table_SourceData_PastureBeef_DryMatterDigestibility[[#Headers],[State]], 0)</f>
        <v>0.6</v>
      </c>
      <c r="I291" s="35" cm="1">
        <f t="array" ref="I291">Common_InputFunctions.Utility_DisplayArrayInTable(SourceData_PastureBeef.SourceData_PastureBeef_DryMatterDigestibility_Data(), Table_SourceData_PastureBeef_DryMatterDigestibility[[#Headers],[State]], 0)</f>
        <v>0.5</v>
      </c>
      <c r="M291" s="21"/>
    </row>
    <row r="292" spans="4:13" x14ac:dyDescent="0.25">
      <c r="D292" s="1" t="str" cm="1">
        <f t="array" ref="D292">Common_InputFunctions.Utility_DisplayArrayInTable(SourceData_PastureBeef.SourceData_PastureBeef_DryMatterDigestibility_Data(), Table_SourceData_PastureBeef_DryMatterDigestibility[[#Headers],[State]], 0)</f>
        <v>NSW</v>
      </c>
      <c r="E292" s="35" t="str" cm="1">
        <f t="array" ref="E292">Common_InputFunctions.Utility_DisplayArrayInTable(SourceData_PastureBeef.SourceData_PastureBeef_DryMatterDigestibility_Data(), Table_SourceData_PastureBeef_DryMatterDigestibility[[#Headers],[State]], 0)</f>
        <v>n/a</v>
      </c>
      <c r="F292" s="35" cm="1">
        <f t="array" ref="F292">Common_InputFunctions.Utility_DisplayArrayInTable(SourceData_PastureBeef.SourceData_PastureBeef_DryMatterDigestibility_Data(), Table_SourceData_PastureBeef_DryMatterDigestibility[[#Headers],[State]], 0)</f>
        <v>0.55000000000000004</v>
      </c>
      <c r="G292" s="35" cm="1">
        <f t="array" ref="G292">Common_InputFunctions.Utility_DisplayArrayInTable(SourceData_PastureBeef.SourceData_PastureBeef_DryMatterDigestibility_Data(), Table_SourceData_PastureBeef_DryMatterDigestibility[[#Headers],[State]], 0)</f>
        <v>0.65</v>
      </c>
      <c r="H292" s="35" cm="1">
        <f t="array" ref="H292">Common_InputFunctions.Utility_DisplayArrayInTable(SourceData_PastureBeef.SourceData_PastureBeef_DryMatterDigestibility_Data(), Table_SourceData_PastureBeef_DryMatterDigestibility[[#Headers],[State]], 0)</f>
        <v>0.6</v>
      </c>
      <c r="I292" s="35" cm="1">
        <f t="array" ref="I292">Common_InputFunctions.Utility_DisplayArrayInTable(SourceData_PastureBeef.SourceData_PastureBeef_DryMatterDigestibility_Data(), Table_SourceData_PastureBeef_DryMatterDigestibility[[#Headers],[State]], 0)</f>
        <v>0.5</v>
      </c>
      <c r="M292" s="21"/>
    </row>
    <row r="293" spans="4:13" x14ac:dyDescent="0.25">
      <c r="D293" s="1" t="str" cm="1">
        <f t="array" ref="D293">Common_InputFunctions.Utility_DisplayArrayInTable(SourceData_PastureBeef.SourceData_PastureBeef_DryMatterDigestibility_Data(), Table_SourceData_PastureBeef_DryMatterDigestibility[[#Headers],[State]], 0)</f>
        <v>NT</v>
      </c>
      <c r="E293" s="35" t="str" cm="1">
        <f t="array" ref="E293">Common_InputFunctions.Utility_DisplayArrayInTable(SourceData_PastureBeef.SourceData_PastureBeef_DryMatterDigestibility_Data(), Table_SourceData_PastureBeef_DryMatterDigestibility[[#Headers],[State]], 0)</f>
        <v>Alice Springs</v>
      </c>
      <c r="F293" s="35" cm="1">
        <f t="array" ref="F293">Common_InputFunctions.Utility_DisplayArrayInTable(SourceData_PastureBeef.SourceData_PastureBeef_DryMatterDigestibility_Data(), Table_SourceData_PastureBeef_DryMatterDigestibility[[#Headers],[State]], 0)</f>
        <v>0.55000000000000004</v>
      </c>
      <c r="G293" s="35" cm="1">
        <f t="array" ref="G293">Common_InputFunctions.Utility_DisplayArrayInTable(SourceData_PastureBeef.SourceData_PastureBeef_DryMatterDigestibility_Data(), Table_SourceData_PastureBeef_DryMatterDigestibility[[#Headers],[State]], 0)</f>
        <v>0.61</v>
      </c>
      <c r="H293" s="35" cm="1">
        <f t="array" ref="H293">Common_InputFunctions.Utility_DisplayArrayInTable(SourceData_PastureBeef.SourceData_PastureBeef_DryMatterDigestibility_Data(), Table_SourceData_PastureBeef_DryMatterDigestibility[[#Headers],[State]], 0)</f>
        <v>0.56999999999999995</v>
      </c>
      <c r="I293" s="35" cm="1">
        <f t="array" ref="I293">Common_InputFunctions.Utility_DisplayArrayInTable(SourceData_PastureBeef.SourceData_PastureBeef_DryMatterDigestibility_Data(), Table_SourceData_PastureBeef_DryMatterDigestibility[[#Headers],[State]], 0)</f>
        <v>0.54</v>
      </c>
      <c r="M293" s="21"/>
    </row>
    <row r="294" spans="4:13" x14ac:dyDescent="0.25">
      <c r="D294" s="1" t="str" cm="1">
        <f t="array" ref="D294">Common_InputFunctions.Utility_DisplayArrayInTable(SourceData_PastureBeef.SourceData_PastureBeef_DryMatterDigestibility_Data(), Table_SourceData_PastureBeef_DryMatterDigestibility[[#Headers],[State]], 0)</f>
        <v>NT</v>
      </c>
      <c r="E294" s="35" t="str" cm="1">
        <f t="array" ref="E294">Common_InputFunctions.Utility_DisplayArrayInTable(SourceData_PastureBeef.SourceData_PastureBeef_DryMatterDigestibility_Data(), Table_SourceData_PastureBeef_DryMatterDigestibility[[#Headers],[State]], 0)</f>
        <v>Barkly</v>
      </c>
      <c r="F294" s="35" cm="1">
        <f t="array" ref="F294">Common_InputFunctions.Utility_DisplayArrayInTable(SourceData_PastureBeef.SourceData_PastureBeef_DryMatterDigestibility_Data(), Table_SourceData_PastureBeef_DryMatterDigestibility[[#Headers],[State]], 0)</f>
        <v>0.55000000000000004</v>
      </c>
      <c r="G294" s="35" cm="1">
        <f t="array" ref="G294">Common_InputFunctions.Utility_DisplayArrayInTable(SourceData_PastureBeef.SourceData_PastureBeef_DryMatterDigestibility_Data(), Table_SourceData_PastureBeef_DryMatterDigestibility[[#Headers],[State]], 0)</f>
        <v>0.61</v>
      </c>
      <c r="H294" s="35" cm="1">
        <f t="array" ref="H294">Common_InputFunctions.Utility_DisplayArrayInTable(SourceData_PastureBeef.SourceData_PastureBeef_DryMatterDigestibility_Data(), Table_SourceData_PastureBeef_DryMatterDigestibility[[#Headers],[State]], 0)</f>
        <v>0.56999999999999995</v>
      </c>
      <c r="I294" s="35" cm="1">
        <f t="array" ref="I294">Common_InputFunctions.Utility_DisplayArrayInTable(SourceData_PastureBeef.SourceData_PastureBeef_DryMatterDigestibility_Data(), Table_SourceData_PastureBeef_DryMatterDigestibility[[#Headers],[State]], 0)</f>
        <v>0.54</v>
      </c>
      <c r="M294" s="21"/>
    </row>
    <row r="295" spans="4:13" x14ac:dyDescent="0.25">
      <c r="D295" s="1" t="str" cm="1">
        <f t="array" ref="D295">Common_InputFunctions.Utility_DisplayArrayInTable(SourceData_PastureBeef.SourceData_PastureBeef_DryMatterDigestibility_Data(), Table_SourceData_PastureBeef_DryMatterDigestibility[[#Headers],[State]], 0)</f>
        <v>NT</v>
      </c>
      <c r="E295" s="35" t="str" cm="1">
        <f t="array" ref="E295">Common_InputFunctions.Utility_DisplayArrayInTable(SourceData_PastureBeef.SourceData_PastureBeef_DryMatterDigestibility_Data(), Table_SourceData_PastureBeef_DryMatterDigestibility[[#Headers],[State]], 0)</f>
        <v>Northern</v>
      </c>
      <c r="F295" s="35" cm="1">
        <f t="array" ref="F295">Common_InputFunctions.Utility_DisplayArrayInTable(SourceData_PastureBeef.SourceData_PastureBeef_DryMatterDigestibility_Data(), Table_SourceData_PastureBeef_DryMatterDigestibility[[#Headers],[State]], 0)</f>
        <v>0.55000000000000004</v>
      </c>
      <c r="G295" s="35" cm="1">
        <f t="array" ref="G295">Common_InputFunctions.Utility_DisplayArrayInTable(SourceData_PastureBeef.SourceData_PastureBeef_DryMatterDigestibility_Data(), Table_SourceData_PastureBeef_DryMatterDigestibility[[#Headers],[State]], 0)</f>
        <v>0.61</v>
      </c>
      <c r="H295" s="35" cm="1">
        <f t="array" ref="H295">Common_InputFunctions.Utility_DisplayArrayInTable(SourceData_PastureBeef.SourceData_PastureBeef_DryMatterDigestibility_Data(), Table_SourceData_PastureBeef_DryMatterDigestibility[[#Headers],[State]], 0)</f>
        <v>0.56999999999999995</v>
      </c>
      <c r="I295" s="35" cm="1">
        <f t="array" ref="I295">Common_InputFunctions.Utility_DisplayArrayInTable(SourceData_PastureBeef.SourceData_PastureBeef_DryMatterDigestibility_Data(), Table_SourceData_PastureBeef_DryMatterDigestibility[[#Headers],[State]], 0)</f>
        <v>0.54</v>
      </c>
      <c r="M295" s="21"/>
    </row>
    <row r="296" spans="4:13" x14ac:dyDescent="0.25">
      <c r="D296" s="1" t="str" cm="1">
        <f t="array" ref="D296">Common_InputFunctions.Utility_DisplayArrayInTable(SourceData_PastureBeef.SourceData_PastureBeef_DryMatterDigestibility_Data(), Table_SourceData_PastureBeef_DryMatterDigestibility[[#Headers],[State]], 0)</f>
        <v>QLD</v>
      </c>
      <c r="E296" s="35" t="str" cm="1">
        <f t="array" ref="E296">Common_InputFunctions.Utility_DisplayArrayInTable(SourceData_PastureBeef.SourceData_PastureBeef_DryMatterDigestibility_Data(), Table_SourceData_PastureBeef_DryMatterDigestibility[[#Headers],[State]], 0)</f>
        <v>High</v>
      </c>
      <c r="F296" s="35" cm="1">
        <f t="array" ref="F296">Common_InputFunctions.Utility_DisplayArrayInTable(SourceData_PastureBeef.SourceData_PastureBeef_DryMatterDigestibility_Data(), Table_SourceData_PastureBeef_DryMatterDigestibility[[#Headers],[State]], 0)</f>
        <v>0.53</v>
      </c>
      <c r="G296" s="35" cm="1">
        <f t="array" ref="G296">Common_InputFunctions.Utility_DisplayArrayInTable(SourceData_PastureBeef.SourceData_PastureBeef_DryMatterDigestibility_Data(), Table_SourceData_PastureBeef_DryMatterDigestibility[[#Headers],[State]], 0)</f>
        <v>0.56999999999999995</v>
      </c>
      <c r="H296" s="35" cm="1">
        <f t="array" ref="H296">Common_InputFunctions.Utility_DisplayArrayInTable(SourceData_PastureBeef.SourceData_PastureBeef_DryMatterDigestibility_Data(), Table_SourceData_PastureBeef_DryMatterDigestibility[[#Headers],[State]], 0)</f>
        <v>0.55000000000000004</v>
      </c>
      <c r="I296" s="35" cm="1">
        <f t="array" ref="I296">Common_InputFunctions.Utility_DisplayArrayInTable(SourceData_PastureBeef.SourceData_PastureBeef_DryMatterDigestibility_Data(), Table_SourceData_PastureBeef_DryMatterDigestibility[[#Headers],[State]], 0)</f>
        <v>0.51</v>
      </c>
      <c r="M296" s="21"/>
    </row>
    <row r="297" spans="4:13" x14ac:dyDescent="0.25">
      <c r="D297" s="1" t="str" cm="1">
        <f t="array" ref="D297">Common_InputFunctions.Utility_DisplayArrayInTable(SourceData_PastureBeef.SourceData_PastureBeef_DryMatterDigestibility_Data(), Table_SourceData_PastureBeef_DryMatterDigestibility[[#Headers],[State]], 0)</f>
        <v>QLD</v>
      </c>
      <c r="E297" s="35" t="str" cm="1">
        <f t="array" ref="E297">Common_InputFunctions.Utility_DisplayArrayInTable(SourceData_PastureBeef.SourceData_PastureBeef_DryMatterDigestibility_Data(), Table_SourceData_PastureBeef_DryMatterDigestibility[[#Headers],[State]], 0)</f>
        <v>Moderate/High</v>
      </c>
      <c r="F297" s="35" cm="1">
        <f t="array" ref="F297">Common_InputFunctions.Utility_DisplayArrayInTable(SourceData_PastureBeef.SourceData_PastureBeef_DryMatterDigestibility_Data(), Table_SourceData_PastureBeef_DryMatterDigestibility[[#Headers],[State]], 0)</f>
        <v>0.53</v>
      </c>
      <c r="G297" s="35" cm="1">
        <f t="array" ref="G297">Common_InputFunctions.Utility_DisplayArrayInTable(SourceData_PastureBeef.SourceData_PastureBeef_DryMatterDigestibility_Data(), Table_SourceData_PastureBeef_DryMatterDigestibility[[#Headers],[State]], 0)</f>
        <v>0.56999999999999995</v>
      </c>
      <c r="H297" s="35" cm="1">
        <f t="array" ref="H297">Common_InputFunctions.Utility_DisplayArrayInTable(SourceData_PastureBeef.SourceData_PastureBeef_DryMatterDigestibility_Data(), Table_SourceData_PastureBeef_DryMatterDigestibility[[#Headers],[State]], 0)</f>
        <v>0.55000000000000004</v>
      </c>
      <c r="I297" s="35" cm="1">
        <f t="array" ref="I297">Common_InputFunctions.Utility_DisplayArrayInTable(SourceData_PastureBeef.SourceData_PastureBeef_DryMatterDigestibility_Data(), Table_SourceData_PastureBeef_DryMatterDigestibility[[#Headers],[State]], 0)</f>
        <v>0.51</v>
      </c>
      <c r="M297" s="21"/>
    </row>
    <row r="298" spans="4:13" x14ac:dyDescent="0.25">
      <c r="D298" s="1" t="str" cm="1">
        <f t="array" ref="D298">Common_InputFunctions.Utility_DisplayArrayInTable(SourceData_PastureBeef.SourceData_PastureBeef_DryMatterDigestibility_Data(), Table_SourceData_PastureBeef_DryMatterDigestibility[[#Headers],[State]], 0)</f>
        <v>QLD</v>
      </c>
      <c r="E298" s="35" t="str" cm="1">
        <f t="array" ref="E298">Common_InputFunctions.Utility_DisplayArrayInTable(SourceData_PastureBeef.SourceData_PastureBeef_DryMatterDigestibility_Data(), Table_SourceData_PastureBeef_DryMatterDigestibility[[#Headers],[State]], 0)</f>
        <v>Moderate/Low</v>
      </c>
      <c r="F298" s="35" cm="1">
        <f t="array" ref="F298">Common_InputFunctions.Utility_DisplayArrayInTable(SourceData_PastureBeef.SourceData_PastureBeef_DryMatterDigestibility_Data(), Table_SourceData_PastureBeef_DryMatterDigestibility[[#Headers],[State]], 0)</f>
        <v>0.53</v>
      </c>
      <c r="G298" s="35" cm="1">
        <f t="array" ref="G298">Common_InputFunctions.Utility_DisplayArrayInTable(SourceData_PastureBeef.SourceData_PastureBeef_DryMatterDigestibility_Data(), Table_SourceData_PastureBeef_DryMatterDigestibility[[#Headers],[State]], 0)</f>
        <v>0.56999999999999995</v>
      </c>
      <c r="H298" s="35" cm="1">
        <f t="array" ref="H298">Common_InputFunctions.Utility_DisplayArrayInTable(SourceData_PastureBeef.SourceData_PastureBeef_DryMatterDigestibility_Data(), Table_SourceData_PastureBeef_DryMatterDigestibility[[#Headers],[State]], 0)</f>
        <v>0.55000000000000004</v>
      </c>
      <c r="I298" s="35" cm="1">
        <f t="array" ref="I298">Common_InputFunctions.Utility_DisplayArrayInTable(SourceData_PastureBeef.SourceData_PastureBeef_DryMatterDigestibility_Data(), Table_SourceData_PastureBeef_DryMatterDigestibility[[#Headers],[State]], 0)</f>
        <v>0.51</v>
      </c>
      <c r="M298" s="21"/>
    </row>
    <row r="299" spans="4:13" x14ac:dyDescent="0.25">
      <c r="D299" s="1" t="str" cm="1">
        <f t="array" ref="D299">Common_InputFunctions.Utility_DisplayArrayInTable(SourceData_PastureBeef.SourceData_PastureBeef_DryMatterDigestibility_Data(), Table_SourceData_PastureBeef_DryMatterDigestibility[[#Headers],[State]], 0)</f>
        <v>QLD</v>
      </c>
      <c r="E299" s="35" t="str" cm="1">
        <f t="array" ref="E299">Common_InputFunctions.Utility_DisplayArrayInTable(SourceData_PastureBeef.SourceData_PastureBeef_DryMatterDigestibility_Data(), Table_SourceData_PastureBeef_DryMatterDigestibility[[#Headers],[State]], 0)</f>
        <v>Low</v>
      </c>
      <c r="F299" s="35" cm="1">
        <f t="array" ref="F299">Common_InputFunctions.Utility_DisplayArrayInTable(SourceData_PastureBeef.SourceData_PastureBeef_DryMatterDigestibility_Data(), Table_SourceData_PastureBeef_DryMatterDigestibility[[#Headers],[State]], 0)</f>
        <v>0.53</v>
      </c>
      <c r="G299" s="35" cm="1">
        <f t="array" ref="G299">Common_InputFunctions.Utility_DisplayArrayInTable(SourceData_PastureBeef.SourceData_PastureBeef_DryMatterDigestibility_Data(), Table_SourceData_PastureBeef_DryMatterDigestibility[[#Headers],[State]], 0)</f>
        <v>0.56999999999999995</v>
      </c>
      <c r="H299" s="35" cm="1">
        <f t="array" ref="H299">Common_InputFunctions.Utility_DisplayArrayInTable(SourceData_PastureBeef.SourceData_PastureBeef_DryMatterDigestibility_Data(), Table_SourceData_PastureBeef_DryMatterDigestibility[[#Headers],[State]], 0)</f>
        <v>0.55000000000000004</v>
      </c>
      <c r="I299" s="35" cm="1">
        <f t="array" ref="I299">Common_InputFunctions.Utility_DisplayArrayInTable(SourceData_PastureBeef.SourceData_PastureBeef_DryMatterDigestibility_Data(), Table_SourceData_PastureBeef_DryMatterDigestibility[[#Headers],[State]], 0)</f>
        <v>0.51</v>
      </c>
      <c r="M299" s="21"/>
    </row>
    <row r="300" spans="4:13" x14ac:dyDescent="0.25">
      <c r="D300" s="1" t="str" cm="1">
        <f t="array" ref="D300">Common_InputFunctions.Utility_DisplayArrayInTable(SourceData_PastureBeef.SourceData_PastureBeef_DryMatterDigestibility_Data(), Table_SourceData_PastureBeef_DryMatterDigestibility[[#Headers],[State]], 0)</f>
        <v>SA</v>
      </c>
      <c r="E300" s="35" t="str" cm="1">
        <f t="array" ref="E300">Common_InputFunctions.Utility_DisplayArrayInTable(SourceData_PastureBeef.SourceData_PastureBeef_DryMatterDigestibility_Data(), Table_SourceData_PastureBeef_DryMatterDigestibility[[#Headers],[State]], 0)</f>
        <v>n/a</v>
      </c>
      <c r="F300" s="35" cm="1">
        <f t="array" ref="F300">Common_InputFunctions.Utility_DisplayArrayInTable(SourceData_PastureBeef.SourceData_PastureBeef_DryMatterDigestibility_Data(), Table_SourceData_PastureBeef_DryMatterDigestibility[[#Headers],[State]], 0)</f>
        <v>0.7</v>
      </c>
      <c r="G300" s="35" cm="1">
        <f t="array" ref="G300">Common_InputFunctions.Utility_DisplayArrayInTable(SourceData_PastureBeef.SourceData_PastureBeef_DryMatterDigestibility_Data(), Table_SourceData_PastureBeef_DryMatterDigestibility[[#Headers],[State]], 0)</f>
        <v>0.55000000000000004</v>
      </c>
      <c r="H300" s="35" cm="1">
        <f t="array" ref="H300">Common_InputFunctions.Utility_DisplayArrayInTable(SourceData_PastureBeef.SourceData_PastureBeef_DryMatterDigestibility_Data(), Table_SourceData_PastureBeef_DryMatterDigestibility[[#Headers],[State]], 0)</f>
        <v>0.55000000000000004</v>
      </c>
      <c r="I300" s="35" cm="1">
        <f t="array" ref="I300">Common_InputFunctions.Utility_DisplayArrayInTable(SourceData_PastureBeef.SourceData_PastureBeef_DryMatterDigestibility_Data(), Table_SourceData_PastureBeef_DryMatterDigestibility[[#Headers],[State]], 0)</f>
        <v>0.75</v>
      </c>
      <c r="M300" s="21"/>
    </row>
    <row r="301" spans="4:13" x14ac:dyDescent="0.25">
      <c r="D301" s="1" t="str" cm="1">
        <f t="array" ref="D301">Common_InputFunctions.Utility_DisplayArrayInTable(SourceData_PastureBeef.SourceData_PastureBeef_DryMatterDigestibility_Data(), Table_SourceData_PastureBeef_DryMatterDigestibility[[#Headers],[State]], 0)</f>
        <v>TAS</v>
      </c>
      <c r="E301" s="35" t="str" cm="1">
        <f t="array" ref="E301">Common_InputFunctions.Utility_DisplayArrayInTable(SourceData_PastureBeef.SourceData_PastureBeef_DryMatterDigestibility_Data(), Table_SourceData_PastureBeef_DryMatterDigestibility[[#Headers],[State]], 0)</f>
        <v>n/a</v>
      </c>
      <c r="F301" s="35" cm="1">
        <f t="array" ref="F301">Common_InputFunctions.Utility_DisplayArrayInTable(SourceData_PastureBeef.SourceData_PastureBeef_DryMatterDigestibility_Data(), Table_SourceData_PastureBeef_DryMatterDigestibility[[#Headers],[State]], 0)</f>
        <v>0.75</v>
      </c>
      <c r="G301" s="35" cm="1">
        <f t="array" ref="G301">Common_InputFunctions.Utility_DisplayArrayInTable(SourceData_PastureBeef.SourceData_PastureBeef_DryMatterDigestibility_Data(), Table_SourceData_PastureBeef_DryMatterDigestibility[[#Headers],[State]], 0)</f>
        <v>0.6</v>
      </c>
      <c r="H301" s="35" cm="1">
        <f t="array" ref="H301">Common_InputFunctions.Utility_DisplayArrayInTable(SourceData_PastureBeef.SourceData_PastureBeef_DryMatterDigestibility_Data(), Table_SourceData_PastureBeef_DryMatterDigestibility[[#Headers],[State]], 0)</f>
        <v>0.7</v>
      </c>
      <c r="I301" s="35" cm="1">
        <f t="array" ref="I301">Common_InputFunctions.Utility_DisplayArrayInTable(SourceData_PastureBeef.SourceData_PastureBeef_DryMatterDigestibility_Data(), Table_SourceData_PastureBeef_DryMatterDigestibility[[#Headers],[State]], 0)</f>
        <v>0.75</v>
      </c>
      <c r="M301" s="21"/>
    </row>
    <row r="302" spans="4:13" x14ac:dyDescent="0.25">
      <c r="D302" s="1" t="str" cm="1">
        <f t="array" ref="D302">Common_InputFunctions.Utility_DisplayArrayInTable(SourceData_PastureBeef.SourceData_PastureBeef_DryMatterDigestibility_Data(), Table_SourceData_PastureBeef_DryMatterDigestibility[[#Headers],[State]], 0)</f>
        <v>VIC</v>
      </c>
      <c r="E302" s="35" t="str" cm="1">
        <f t="array" ref="E302">Common_InputFunctions.Utility_DisplayArrayInTable(SourceData_PastureBeef.SourceData_PastureBeef_DryMatterDigestibility_Data(), Table_SourceData_PastureBeef_DryMatterDigestibility[[#Headers],[State]], 0)</f>
        <v>n/a</v>
      </c>
      <c r="F302" s="35" cm="1">
        <f t="array" ref="F302">Common_InputFunctions.Utility_DisplayArrayInTable(SourceData_PastureBeef.SourceData_PastureBeef_DryMatterDigestibility_Data(), Table_SourceData_PastureBeef_DryMatterDigestibility[[#Headers],[State]], 0)</f>
        <v>0.8</v>
      </c>
      <c r="G302" s="35" cm="1">
        <f t="array" ref="G302">Common_InputFunctions.Utility_DisplayArrayInTable(SourceData_PastureBeef.SourceData_PastureBeef_DryMatterDigestibility_Data(), Table_SourceData_PastureBeef_DryMatterDigestibility[[#Headers],[State]], 0)</f>
        <v>0.55000000000000004</v>
      </c>
      <c r="H302" s="35" cm="1">
        <f t="array" ref="H302">Common_InputFunctions.Utility_DisplayArrayInTable(SourceData_PastureBeef.SourceData_PastureBeef_DryMatterDigestibility_Data(), Table_SourceData_PastureBeef_DryMatterDigestibility[[#Headers],[State]], 0)</f>
        <v>0.6</v>
      </c>
      <c r="I302" s="35" cm="1">
        <f t="array" ref="I302">Common_InputFunctions.Utility_DisplayArrayInTable(SourceData_PastureBeef.SourceData_PastureBeef_DryMatterDigestibility_Data(), Table_SourceData_PastureBeef_DryMatterDigestibility[[#Headers],[State]], 0)</f>
        <v>0.76</v>
      </c>
      <c r="M302" s="21"/>
    </row>
    <row r="303" spans="4:13" x14ac:dyDescent="0.25">
      <c r="D303" s="1" t="str" cm="1">
        <f t="array" ref="D303">Common_InputFunctions.Utility_DisplayArrayInTable(SourceData_PastureBeef.SourceData_PastureBeef_DryMatterDigestibility_Data(), Table_SourceData_PastureBeef_DryMatterDigestibility[[#Headers],[State]], 0)</f>
        <v>WA</v>
      </c>
      <c r="E303" s="35" t="str" cm="1">
        <f t="array" ref="E303">Common_InputFunctions.Utility_DisplayArrayInTable(SourceData_PastureBeef.SourceData_PastureBeef_DryMatterDigestibility_Data(), Table_SourceData_PastureBeef_DryMatterDigestibility[[#Headers],[State]], 0)</f>
        <v>South West</v>
      </c>
      <c r="F303" s="35" cm="1">
        <f t="array" ref="F303">Common_InputFunctions.Utility_DisplayArrayInTable(SourceData_PastureBeef.SourceData_PastureBeef_DryMatterDigestibility_Data(), Table_SourceData_PastureBeef_DryMatterDigestibility[[#Headers],[State]], 0)</f>
        <v>0.8</v>
      </c>
      <c r="G303" s="35" cm="1">
        <f t="array" ref="G303">Common_InputFunctions.Utility_DisplayArrayInTable(SourceData_PastureBeef.SourceData_PastureBeef_DryMatterDigestibility_Data(), Table_SourceData_PastureBeef_DryMatterDigestibility[[#Headers],[State]], 0)</f>
        <v>0.57999999999999996</v>
      </c>
      <c r="H303" s="35" cm="1">
        <f t="array" ref="H303">Common_InputFunctions.Utility_DisplayArrayInTable(SourceData_PastureBeef.SourceData_PastureBeef_DryMatterDigestibility_Data(), Table_SourceData_PastureBeef_DryMatterDigestibility[[#Headers],[State]], 0)</f>
        <v>0.5</v>
      </c>
      <c r="I303" s="35" cm="1">
        <f t="array" ref="I303">Common_InputFunctions.Utility_DisplayArrayInTable(SourceData_PastureBeef.SourceData_PastureBeef_DryMatterDigestibility_Data(), Table_SourceData_PastureBeef_DryMatterDigestibility[[#Headers],[State]], 0)</f>
        <v>0.75</v>
      </c>
      <c r="M303" s="21"/>
    </row>
    <row r="304" spans="4:13" x14ac:dyDescent="0.25">
      <c r="D304" s="1" t="str" cm="1">
        <f t="array" ref="D304">Common_InputFunctions.Utility_DisplayArrayInTable(SourceData_PastureBeef.SourceData_PastureBeef_DryMatterDigestibility_Data(), Table_SourceData_PastureBeef_DryMatterDigestibility[[#Headers],[State]], 0)</f>
        <v>WA</v>
      </c>
      <c r="E304" s="35" t="str" cm="1">
        <f t="array" ref="E304">Common_InputFunctions.Utility_DisplayArrayInTable(SourceData_PastureBeef.SourceData_PastureBeef_DryMatterDigestibility_Data(), Table_SourceData_PastureBeef_DryMatterDigestibility[[#Headers],[State]], 0)</f>
        <v>Pilbara</v>
      </c>
      <c r="F304" s="35" cm="1">
        <f t="array" ref="F304">Common_InputFunctions.Utility_DisplayArrayInTable(SourceData_PastureBeef.SourceData_PastureBeef_DryMatterDigestibility_Data(), Table_SourceData_PastureBeef_DryMatterDigestibility[[#Headers],[State]], 0)</f>
        <v>0.4</v>
      </c>
      <c r="G304" s="35" cm="1">
        <f t="array" ref="G304">Common_InputFunctions.Utility_DisplayArrayInTable(SourceData_PastureBeef.SourceData_PastureBeef_DryMatterDigestibility_Data(), Table_SourceData_PastureBeef_DryMatterDigestibility[[#Headers],[State]], 0)</f>
        <v>0.65</v>
      </c>
      <c r="H304" s="35" cm="1">
        <f t="array" ref="H304">Common_InputFunctions.Utility_DisplayArrayInTable(SourceData_PastureBeef.SourceData_PastureBeef_DryMatterDigestibility_Data(), Table_SourceData_PastureBeef_DryMatterDigestibility[[#Headers],[State]], 0)</f>
        <v>0.55000000000000004</v>
      </c>
      <c r="I304" s="35" cm="1">
        <f t="array" ref="I304">Common_InputFunctions.Utility_DisplayArrayInTable(SourceData_PastureBeef.SourceData_PastureBeef_DryMatterDigestibility_Data(), Table_SourceData_PastureBeef_DryMatterDigestibility[[#Headers],[State]], 0)</f>
        <v>0.45</v>
      </c>
      <c r="M304" s="21"/>
    </row>
    <row r="305" spans="4:13" x14ac:dyDescent="0.25">
      <c r="D305" s="1" t="str" cm="1">
        <f t="array" ref="D305">Common_InputFunctions.Utility_DisplayArrayInTable(SourceData_PastureBeef.SourceData_PastureBeef_DryMatterDigestibility_Data(), Table_SourceData_PastureBeef_DryMatterDigestibility[[#Headers],[State]], 0)</f>
        <v>WA</v>
      </c>
      <c r="E305" s="35" t="str" cm="1">
        <f t="array" ref="E305">Common_InputFunctions.Utility_DisplayArrayInTable(SourceData_PastureBeef.SourceData_PastureBeef_DryMatterDigestibility_Data(), Table_SourceData_PastureBeef_DryMatterDigestibility[[#Headers],[State]], 0)</f>
        <v>Kimberley</v>
      </c>
      <c r="F305" s="35" cm="1">
        <f t="array" ref="F305">Common_InputFunctions.Utility_DisplayArrayInTable(SourceData_PastureBeef.SourceData_PastureBeef_DryMatterDigestibility_Data(), Table_SourceData_PastureBeef_DryMatterDigestibility[[#Headers],[State]], 0)</f>
        <v>0.4</v>
      </c>
      <c r="G305" s="35" cm="1">
        <f t="array" ref="G305">Common_InputFunctions.Utility_DisplayArrayInTable(SourceData_PastureBeef.SourceData_PastureBeef_DryMatterDigestibility_Data(), Table_SourceData_PastureBeef_DryMatterDigestibility[[#Headers],[State]], 0)</f>
        <v>0.65</v>
      </c>
      <c r="H305" s="35" cm="1">
        <f t="array" ref="H305">Common_InputFunctions.Utility_DisplayArrayInTable(SourceData_PastureBeef.SourceData_PastureBeef_DryMatterDigestibility_Data(), Table_SourceData_PastureBeef_DryMatterDigestibility[[#Headers],[State]], 0)</f>
        <v>0.55000000000000004</v>
      </c>
      <c r="I305" s="35" cm="1">
        <f t="array" ref="I305">Common_InputFunctions.Utility_DisplayArrayInTable(SourceData_PastureBeef.SourceData_PastureBeef_DryMatterDigestibility_Data(), Table_SourceData_PastureBeef_DryMatterDigestibility[[#Headers],[State]], 0)</f>
        <v>0.45</v>
      </c>
      <c r="M305" s="21"/>
    </row>
    <row r="306" spans="4:13" x14ac:dyDescent="0.25">
      <c r="M306" s="21"/>
    </row>
    <row r="307" spans="4:13" x14ac:dyDescent="0.25">
      <c r="M307" s="21"/>
    </row>
    <row r="308" spans="4:13" ht="23.25" x14ac:dyDescent="0.25">
      <c r="D308" s="6" t="str" cm="1">
        <f t="array" ref="D308">SourceData_PastureBeef.SourceData_PastureBeef_CrudeProteinContent_Title()</f>
        <v>Beef pasture cattle - Crude protein content of feed intake (fraction) (CPj)</v>
      </c>
      <c r="M308" s="21"/>
    </row>
    <row r="309" spans="4:13" x14ac:dyDescent="0.25">
      <c r="D309" s="5" t="str" cm="1">
        <f t="array" ref="D309">SourceData_PastureBeef.SourceData_PastureBeef_CrudeProteinContent_Source()</f>
        <v>VEERG 2026: Table A.1.2.6</v>
      </c>
      <c r="M309" s="21"/>
    </row>
    <row r="310" spans="4:13" x14ac:dyDescent="0.25">
      <c r="D310" s="1" t="str" cm="1">
        <f t="array" ref="D310">SourceData_PastureBeef.SourceData_PastureBeef_CrudeProteinContent_Variable()</f>
        <v>CPj</v>
      </c>
      <c r="M310" s="21"/>
    </row>
    <row r="311" spans="4:13" x14ac:dyDescent="0.25">
      <c r="D311" s="51" t="str" cm="1">
        <f t="array" ref="D311">SourceData_PastureBeef.SourceData_PastureBeef_CrudeProteinContent_Unit()</f>
        <v>fraction</v>
      </c>
      <c r="M311" s="21"/>
    </row>
    <row r="312" spans="4:13" x14ac:dyDescent="0.25">
      <c r="D312" s="52" t="str" cm="1">
        <f t="array" ref="D312">SourceData_PastureBeef.SourceData_PastureBeef_CrudeProteinContent_Variation()</f>
        <v>VARIATION ON SOURCE: Split ACT and NSW into separate rows. Duplicated QLD and NT rows with regions from table A.1.2.2 to aid lookup</v>
      </c>
      <c r="M312" s="21"/>
    </row>
    <row r="313" spans="4:13" x14ac:dyDescent="0.25">
      <c r="D313" s="35" t="s">
        <v>5</v>
      </c>
      <c r="E313" s="35" t="s">
        <v>144</v>
      </c>
      <c r="F313" s="35" t="s">
        <v>134</v>
      </c>
      <c r="G313" s="35" t="s">
        <v>135</v>
      </c>
      <c r="H313" s="35" t="s">
        <v>136</v>
      </c>
      <c r="I313" s="35" t="s">
        <v>137</v>
      </c>
      <c r="M313" s="21"/>
    </row>
    <row r="314" spans="4:13" x14ac:dyDescent="0.25">
      <c r="D314" s="35" t="str" cm="1">
        <f t="array" ref="D314">Common_InputFunctions.Utility_DisplayArrayInTable(SourceData_PastureBeef.SourceData_PastureBeef_CrudeProteinContent_Data(), Table_SourceData_PastureBeef_CrudeProtein[[#Headers],[State]], 0)</f>
        <v>ACT</v>
      </c>
      <c r="E314" s="35" t="str" cm="1">
        <f t="array" ref="E314">Common_InputFunctions.Utility_DisplayArrayInTable(SourceData_PastureBeef.SourceData_PastureBeef_CrudeProteinContent_Data(), Table_SourceData_PastureBeef_CrudeProtein[[#Headers],[State]], 0)</f>
        <v>n/a</v>
      </c>
      <c r="F314" s="35" cm="1">
        <f t="array" ref="F314">Common_InputFunctions.Utility_DisplayArrayInTable(SourceData_PastureBeef.SourceData_PastureBeef_CrudeProteinContent_Data(), Table_SourceData_PastureBeef_CrudeProtein[[#Headers],[State]], 0)</f>
        <v>7.0000000000000007E-2</v>
      </c>
      <c r="G314" s="35" cm="1">
        <f t="array" ref="G314">Common_InputFunctions.Utility_DisplayArrayInTable(SourceData_PastureBeef.SourceData_PastureBeef_CrudeProteinContent_Data(), Table_SourceData_PastureBeef_CrudeProtein[[#Headers],[State]], 0)</f>
        <v>0.13</v>
      </c>
      <c r="H314" s="35" cm="1">
        <f t="array" ref="H314">Common_InputFunctions.Utility_DisplayArrayInTable(SourceData_PastureBeef.SourceData_PastureBeef_CrudeProteinContent_Data(), Table_SourceData_PastureBeef_CrudeProtein[[#Headers],[State]], 0)</f>
        <v>0.1</v>
      </c>
      <c r="I314" s="35" cm="1">
        <f t="array" ref="I314">Common_InputFunctions.Utility_DisplayArrayInTable(SourceData_PastureBeef.SourceData_PastureBeef_CrudeProteinContent_Data(), Table_SourceData_PastureBeef_CrudeProtein[[#Headers],[State]], 0)</f>
        <v>0.06</v>
      </c>
      <c r="M314" s="21"/>
    </row>
    <row r="315" spans="4:13" x14ac:dyDescent="0.25">
      <c r="D315" s="35" t="str" cm="1">
        <f t="array" ref="D315">Common_InputFunctions.Utility_DisplayArrayInTable(SourceData_PastureBeef.SourceData_PastureBeef_CrudeProteinContent_Data(), Table_SourceData_PastureBeef_CrudeProtein[[#Headers],[State]], 0)</f>
        <v>NSW</v>
      </c>
      <c r="E315" s="35" t="str" cm="1">
        <f t="array" ref="E315">Common_InputFunctions.Utility_DisplayArrayInTable(SourceData_PastureBeef.SourceData_PastureBeef_CrudeProteinContent_Data(), Table_SourceData_PastureBeef_CrudeProtein[[#Headers],[State]], 0)</f>
        <v>n/a</v>
      </c>
      <c r="F315" s="35" cm="1">
        <f t="array" ref="F315">Common_InputFunctions.Utility_DisplayArrayInTable(SourceData_PastureBeef.SourceData_PastureBeef_CrudeProteinContent_Data(), Table_SourceData_PastureBeef_CrudeProtein[[#Headers],[State]], 0)</f>
        <v>7.0000000000000007E-2</v>
      </c>
      <c r="G315" s="35" cm="1">
        <f t="array" ref="G315">Common_InputFunctions.Utility_DisplayArrayInTable(SourceData_PastureBeef.SourceData_PastureBeef_CrudeProteinContent_Data(), Table_SourceData_PastureBeef_CrudeProtein[[#Headers],[State]], 0)</f>
        <v>0.13</v>
      </c>
      <c r="H315" s="35" cm="1">
        <f t="array" ref="H315">Common_InputFunctions.Utility_DisplayArrayInTable(SourceData_PastureBeef.SourceData_PastureBeef_CrudeProteinContent_Data(), Table_SourceData_PastureBeef_CrudeProtein[[#Headers],[State]], 0)</f>
        <v>0.1</v>
      </c>
      <c r="I315" s="35" cm="1">
        <f t="array" ref="I315">Common_InputFunctions.Utility_DisplayArrayInTable(SourceData_PastureBeef.SourceData_PastureBeef_CrudeProteinContent_Data(), Table_SourceData_PastureBeef_CrudeProtein[[#Headers],[State]], 0)</f>
        <v>0.06</v>
      </c>
      <c r="M315" s="21"/>
    </row>
    <row r="316" spans="4:13" x14ac:dyDescent="0.25">
      <c r="D316" s="35" t="str" cm="1">
        <f t="array" ref="D316">Common_InputFunctions.Utility_DisplayArrayInTable(SourceData_PastureBeef.SourceData_PastureBeef_CrudeProteinContent_Data(), Table_SourceData_PastureBeef_CrudeProtein[[#Headers],[State]], 0)</f>
        <v>NT</v>
      </c>
      <c r="E316" s="35" t="str" cm="1">
        <f t="array" ref="E316">Common_InputFunctions.Utility_DisplayArrayInTable(SourceData_PastureBeef.SourceData_PastureBeef_CrudeProteinContent_Data(), Table_SourceData_PastureBeef_CrudeProtein[[#Headers],[State]], 0)</f>
        <v>Alice Springs</v>
      </c>
      <c r="F316" s="35" cm="1">
        <f t="array" ref="F316">Common_InputFunctions.Utility_DisplayArrayInTable(SourceData_PastureBeef.SourceData_PastureBeef_CrudeProteinContent_Data(), Table_SourceData_PastureBeef_CrudeProtein[[#Headers],[State]], 0)</f>
        <v>5.8000000000000003E-2</v>
      </c>
      <c r="G316" s="35" cm="1">
        <f t="array" ref="G316">Common_InputFunctions.Utility_DisplayArrayInTable(SourceData_PastureBeef.SourceData_PastureBeef_CrudeProteinContent_Data(), Table_SourceData_PastureBeef_CrudeProtein[[#Headers],[State]], 0)</f>
        <v>9.1999999999999998E-2</v>
      </c>
      <c r="H316" s="35" cm="1">
        <f t="array" ref="H316">Common_InputFunctions.Utility_DisplayArrayInTable(SourceData_PastureBeef.SourceData_PastureBeef_CrudeProteinContent_Data(), Table_SourceData_PastureBeef_CrudeProtein[[#Headers],[State]], 0)</f>
        <v>7.4999999999999997E-2</v>
      </c>
      <c r="I316" s="35" cm="1">
        <f t="array" ref="I316">Common_InputFunctions.Utility_DisplayArrayInTable(SourceData_PastureBeef.SourceData_PastureBeef_CrudeProteinContent_Data(), Table_SourceData_PastureBeef_CrudeProtein[[#Headers],[State]], 0)</f>
        <v>5.2999999999999999E-2</v>
      </c>
      <c r="M316" s="21"/>
    </row>
    <row r="317" spans="4:13" x14ac:dyDescent="0.25">
      <c r="D317" s="35" t="str" cm="1">
        <f t="array" ref="D317">Common_InputFunctions.Utility_DisplayArrayInTable(SourceData_PastureBeef.SourceData_PastureBeef_CrudeProteinContent_Data(), Table_SourceData_PastureBeef_CrudeProtein[[#Headers],[State]], 0)</f>
        <v>NT</v>
      </c>
      <c r="E317" s="35" t="str" cm="1">
        <f t="array" ref="E317">Common_InputFunctions.Utility_DisplayArrayInTable(SourceData_PastureBeef.SourceData_PastureBeef_CrudeProteinContent_Data(), Table_SourceData_PastureBeef_CrudeProtein[[#Headers],[State]], 0)</f>
        <v>Barkly</v>
      </c>
      <c r="F317" s="35" cm="1">
        <f t="array" ref="F317">Common_InputFunctions.Utility_DisplayArrayInTable(SourceData_PastureBeef.SourceData_PastureBeef_CrudeProteinContent_Data(), Table_SourceData_PastureBeef_CrudeProtein[[#Headers],[State]], 0)</f>
        <v>5.8000000000000003E-2</v>
      </c>
      <c r="G317" s="35" cm="1">
        <f t="array" ref="G317">Common_InputFunctions.Utility_DisplayArrayInTable(SourceData_PastureBeef.SourceData_PastureBeef_CrudeProteinContent_Data(), Table_SourceData_PastureBeef_CrudeProtein[[#Headers],[State]], 0)</f>
        <v>9.1999999999999998E-2</v>
      </c>
      <c r="H317" s="35" cm="1">
        <f t="array" ref="H317">Common_InputFunctions.Utility_DisplayArrayInTable(SourceData_PastureBeef.SourceData_PastureBeef_CrudeProteinContent_Data(), Table_SourceData_PastureBeef_CrudeProtein[[#Headers],[State]], 0)</f>
        <v>7.4999999999999997E-2</v>
      </c>
      <c r="I317" s="35" cm="1">
        <f t="array" ref="I317">Common_InputFunctions.Utility_DisplayArrayInTable(SourceData_PastureBeef.SourceData_PastureBeef_CrudeProteinContent_Data(), Table_SourceData_PastureBeef_CrudeProtein[[#Headers],[State]], 0)</f>
        <v>5.2999999999999999E-2</v>
      </c>
      <c r="M317" s="21"/>
    </row>
    <row r="318" spans="4:13" x14ac:dyDescent="0.25">
      <c r="D318" s="35" t="str" cm="1">
        <f t="array" ref="D318">Common_InputFunctions.Utility_DisplayArrayInTable(SourceData_PastureBeef.SourceData_PastureBeef_CrudeProteinContent_Data(), Table_SourceData_PastureBeef_CrudeProtein[[#Headers],[State]], 0)</f>
        <v>NT</v>
      </c>
      <c r="E318" s="35" t="str" cm="1">
        <f t="array" ref="E318">Common_InputFunctions.Utility_DisplayArrayInTable(SourceData_PastureBeef.SourceData_PastureBeef_CrudeProteinContent_Data(), Table_SourceData_PastureBeef_CrudeProtein[[#Headers],[State]], 0)</f>
        <v>Northern</v>
      </c>
      <c r="F318" s="35" cm="1">
        <f t="array" ref="F318">Common_InputFunctions.Utility_DisplayArrayInTable(SourceData_PastureBeef.SourceData_PastureBeef_CrudeProteinContent_Data(), Table_SourceData_PastureBeef_CrudeProtein[[#Headers],[State]], 0)</f>
        <v>5.8000000000000003E-2</v>
      </c>
      <c r="G318" s="35" cm="1">
        <f t="array" ref="G318">Common_InputFunctions.Utility_DisplayArrayInTable(SourceData_PastureBeef.SourceData_PastureBeef_CrudeProteinContent_Data(), Table_SourceData_PastureBeef_CrudeProtein[[#Headers],[State]], 0)</f>
        <v>9.1999999999999998E-2</v>
      </c>
      <c r="H318" s="35" cm="1">
        <f t="array" ref="H318">Common_InputFunctions.Utility_DisplayArrayInTable(SourceData_PastureBeef.SourceData_PastureBeef_CrudeProteinContent_Data(), Table_SourceData_PastureBeef_CrudeProtein[[#Headers],[State]], 0)</f>
        <v>7.4999999999999997E-2</v>
      </c>
      <c r="I318" s="35" cm="1">
        <f t="array" ref="I318">Common_InputFunctions.Utility_DisplayArrayInTable(SourceData_PastureBeef.SourceData_PastureBeef_CrudeProteinContent_Data(), Table_SourceData_PastureBeef_CrudeProtein[[#Headers],[State]], 0)</f>
        <v>5.2999999999999999E-2</v>
      </c>
      <c r="M318" s="21"/>
    </row>
    <row r="319" spans="4:13" x14ac:dyDescent="0.25">
      <c r="D319" s="35" t="str" cm="1">
        <f t="array" ref="D319">Common_InputFunctions.Utility_DisplayArrayInTable(SourceData_PastureBeef.SourceData_PastureBeef_CrudeProteinContent_Data(), Table_SourceData_PastureBeef_CrudeProtein[[#Headers],[State]], 0)</f>
        <v>QLD</v>
      </c>
      <c r="E319" s="35" t="str" cm="1">
        <f t="array" ref="E319">Common_InputFunctions.Utility_DisplayArrayInTable(SourceData_PastureBeef.SourceData_PastureBeef_CrudeProteinContent_Data(), Table_SourceData_PastureBeef_CrudeProtein[[#Headers],[State]], 0)</f>
        <v>High</v>
      </c>
      <c r="F319" s="35" cm="1">
        <f t="array" ref="F319">Common_InputFunctions.Utility_DisplayArrayInTable(SourceData_PastureBeef.SourceData_PastureBeef_CrudeProteinContent_Data(), Table_SourceData_PastureBeef_CrudeProtein[[#Headers],[State]], 0)</f>
        <v>7.1999999999999995E-2</v>
      </c>
      <c r="G319" s="35" cm="1">
        <f t="array" ref="G319">Common_InputFunctions.Utility_DisplayArrayInTable(SourceData_PastureBeef.SourceData_PastureBeef_CrudeProteinContent_Data(), Table_SourceData_PastureBeef_CrudeProtein[[#Headers],[State]], 0)</f>
        <v>9.9000000000000005E-2</v>
      </c>
      <c r="H319" s="35" cm="1">
        <f t="array" ref="H319">Common_InputFunctions.Utility_DisplayArrayInTable(SourceData_PastureBeef.SourceData_PastureBeef_CrudeProteinContent_Data(), Table_SourceData_PastureBeef_CrudeProtein[[#Headers],[State]], 0)</f>
        <v>7.8E-2</v>
      </c>
      <c r="I319" s="35" cm="1">
        <f t="array" ref="I319">Common_InputFunctions.Utility_DisplayArrayInTable(SourceData_PastureBeef.SourceData_PastureBeef_CrudeProteinContent_Data(), Table_SourceData_PastureBeef_CrudeProtein[[#Headers],[State]], 0)</f>
        <v>5.8999999999999997E-2</v>
      </c>
      <c r="M319" s="1"/>
    </row>
    <row r="320" spans="4:13" x14ac:dyDescent="0.25">
      <c r="D320" s="35" t="str" cm="1">
        <f t="array" ref="D320">Common_InputFunctions.Utility_DisplayArrayInTable(SourceData_PastureBeef.SourceData_PastureBeef_CrudeProteinContent_Data(), Table_SourceData_PastureBeef_CrudeProtein[[#Headers],[State]], 0)</f>
        <v>QLD</v>
      </c>
      <c r="E320" s="35" t="str" cm="1">
        <f t="array" ref="E320">Common_InputFunctions.Utility_DisplayArrayInTable(SourceData_PastureBeef.SourceData_PastureBeef_CrudeProteinContent_Data(), Table_SourceData_PastureBeef_CrudeProtein[[#Headers],[State]], 0)</f>
        <v>Moderate/High</v>
      </c>
      <c r="F320" s="35" cm="1">
        <f t="array" ref="F320">Common_InputFunctions.Utility_DisplayArrayInTable(SourceData_PastureBeef.SourceData_PastureBeef_CrudeProteinContent_Data(), Table_SourceData_PastureBeef_CrudeProtein[[#Headers],[State]], 0)</f>
        <v>7.1999999999999995E-2</v>
      </c>
      <c r="G320" s="35" cm="1">
        <f t="array" ref="G320">Common_InputFunctions.Utility_DisplayArrayInTable(SourceData_PastureBeef.SourceData_PastureBeef_CrudeProteinContent_Data(), Table_SourceData_PastureBeef_CrudeProtein[[#Headers],[State]], 0)</f>
        <v>9.9000000000000005E-2</v>
      </c>
      <c r="H320" s="35" cm="1">
        <f t="array" ref="H320">Common_InputFunctions.Utility_DisplayArrayInTable(SourceData_PastureBeef.SourceData_PastureBeef_CrudeProteinContent_Data(), Table_SourceData_PastureBeef_CrudeProtein[[#Headers],[State]], 0)</f>
        <v>7.8E-2</v>
      </c>
      <c r="I320" s="35" cm="1">
        <f t="array" ref="I320">Common_InputFunctions.Utility_DisplayArrayInTable(SourceData_PastureBeef.SourceData_PastureBeef_CrudeProteinContent_Data(), Table_SourceData_PastureBeef_CrudeProtein[[#Headers],[State]], 0)</f>
        <v>5.8999999999999997E-2</v>
      </c>
      <c r="M320" s="1"/>
    </row>
    <row r="321" spans="4:13" x14ac:dyDescent="0.25">
      <c r="D321" s="35" t="str" cm="1">
        <f t="array" ref="D321">Common_InputFunctions.Utility_DisplayArrayInTable(SourceData_PastureBeef.SourceData_PastureBeef_CrudeProteinContent_Data(), Table_SourceData_PastureBeef_CrudeProtein[[#Headers],[State]], 0)</f>
        <v>QLD</v>
      </c>
      <c r="E321" s="35" t="str" cm="1">
        <f t="array" ref="E321">Common_InputFunctions.Utility_DisplayArrayInTable(SourceData_PastureBeef.SourceData_PastureBeef_CrudeProteinContent_Data(), Table_SourceData_PastureBeef_CrudeProtein[[#Headers],[State]], 0)</f>
        <v>Moderate/Low</v>
      </c>
      <c r="F321" s="35" cm="1">
        <f t="array" ref="F321">Common_InputFunctions.Utility_DisplayArrayInTable(SourceData_PastureBeef.SourceData_PastureBeef_CrudeProteinContent_Data(), Table_SourceData_PastureBeef_CrudeProtein[[#Headers],[State]], 0)</f>
        <v>7.1999999999999995E-2</v>
      </c>
      <c r="G321" s="35" cm="1">
        <f t="array" ref="G321">Common_InputFunctions.Utility_DisplayArrayInTable(SourceData_PastureBeef.SourceData_PastureBeef_CrudeProteinContent_Data(), Table_SourceData_PastureBeef_CrudeProtein[[#Headers],[State]], 0)</f>
        <v>9.9000000000000005E-2</v>
      </c>
      <c r="H321" s="35" cm="1">
        <f t="array" ref="H321">Common_InputFunctions.Utility_DisplayArrayInTable(SourceData_PastureBeef.SourceData_PastureBeef_CrudeProteinContent_Data(), Table_SourceData_PastureBeef_CrudeProtein[[#Headers],[State]], 0)</f>
        <v>7.8E-2</v>
      </c>
      <c r="I321" s="35" cm="1">
        <f t="array" ref="I321">Common_InputFunctions.Utility_DisplayArrayInTable(SourceData_PastureBeef.SourceData_PastureBeef_CrudeProteinContent_Data(), Table_SourceData_PastureBeef_CrudeProtein[[#Headers],[State]], 0)</f>
        <v>5.8999999999999997E-2</v>
      </c>
      <c r="M321" s="1"/>
    </row>
    <row r="322" spans="4:13" x14ac:dyDescent="0.25">
      <c r="D322" s="35" t="str" cm="1">
        <f t="array" ref="D322">Common_InputFunctions.Utility_DisplayArrayInTable(SourceData_PastureBeef.SourceData_PastureBeef_CrudeProteinContent_Data(), Table_SourceData_PastureBeef_CrudeProtein[[#Headers],[State]], 0)</f>
        <v>QLD</v>
      </c>
      <c r="E322" s="35" t="str" cm="1">
        <f t="array" ref="E322">Common_InputFunctions.Utility_DisplayArrayInTable(SourceData_PastureBeef.SourceData_PastureBeef_CrudeProteinContent_Data(), Table_SourceData_PastureBeef_CrudeProtein[[#Headers],[State]], 0)</f>
        <v>Low</v>
      </c>
      <c r="F322" s="35" cm="1">
        <f t="array" ref="F322">Common_InputFunctions.Utility_DisplayArrayInTable(SourceData_PastureBeef.SourceData_PastureBeef_CrudeProteinContent_Data(), Table_SourceData_PastureBeef_CrudeProtein[[#Headers],[State]], 0)</f>
        <v>7.1999999999999995E-2</v>
      </c>
      <c r="G322" s="35" cm="1">
        <f t="array" ref="G322">Common_InputFunctions.Utility_DisplayArrayInTable(SourceData_PastureBeef.SourceData_PastureBeef_CrudeProteinContent_Data(), Table_SourceData_PastureBeef_CrudeProtein[[#Headers],[State]], 0)</f>
        <v>9.9000000000000005E-2</v>
      </c>
      <c r="H322" s="35" cm="1">
        <f t="array" ref="H322">Common_InputFunctions.Utility_DisplayArrayInTable(SourceData_PastureBeef.SourceData_PastureBeef_CrudeProteinContent_Data(), Table_SourceData_PastureBeef_CrudeProtein[[#Headers],[State]], 0)</f>
        <v>7.8E-2</v>
      </c>
      <c r="I322" s="35" cm="1">
        <f t="array" ref="I322">Common_InputFunctions.Utility_DisplayArrayInTable(SourceData_PastureBeef.SourceData_PastureBeef_CrudeProteinContent_Data(), Table_SourceData_PastureBeef_CrudeProtein[[#Headers],[State]], 0)</f>
        <v>5.8999999999999997E-2</v>
      </c>
      <c r="M322" s="1"/>
    </row>
    <row r="323" spans="4:13" x14ac:dyDescent="0.25">
      <c r="D323" s="35" t="str" cm="1">
        <f t="array" ref="D323">Common_InputFunctions.Utility_DisplayArrayInTable(SourceData_PastureBeef.SourceData_PastureBeef_CrudeProteinContent_Data(), Table_SourceData_PastureBeef_CrudeProtein[[#Headers],[State]], 0)</f>
        <v>SA</v>
      </c>
      <c r="E323" s="35" t="str" cm="1">
        <f t="array" ref="E323">Common_InputFunctions.Utility_DisplayArrayInTable(SourceData_PastureBeef.SourceData_PastureBeef_CrudeProteinContent_Data(), Table_SourceData_PastureBeef_CrudeProtein[[#Headers],[State]], 0)</f>
        <v>n/a</v>
      </c>
      <c r="F323" s="35" cm="1">
        <f t="array" ref="F323">Common_InputFunctions.Utility_DisplayArrayInTable(SourceData_PastureBeef.SourceData_PastureBeef_CrudeProteinContent_Data(), Table_SourceData_PastureBeef_CrudeProtein[[#Headers],[State]], 0)</f>
        <v>0.16</v>
      </c>
      <c r="G323" s="35" cm="1">
        <f t="array" ref="G323">Common_InputFunctions.Utility_DisplayArrayInTable(SourceData_PastureBeef.SourceData_PastureBeef_CrudeProteinContent_Data(), Table_SourceData_PastureBeef_CrudeProtein[[#Headers],[State]], 0)</f>
        <v>7.0000000000000007E-2</v>
      </c>
      <c r="H323" s="35" cm="1">
        <f t="array" ref="H323">Common_InputFunctions.Utility_DisplayArrayInTable(SourceData_PastureBeef.SourceData_PastureBeef_CrudeProteinContent_Data(), Table_SourceData_PastureBeef_CrudeProtein[[#Headers],[State]], 0)</f>
        <v>0.09</v>
      </c>
      <c r="I323" s="35" cm="1">
        <f t="array" ref="I323">Common_InputFunctions.Utility_DisplayArrayInTable(SourceData_PastureBeef.SourceData_PastureBeef_CrudeProteinContent_Data(), Table_SourceData_PastureBeef_CrudeProtein[[#Headers],[State]], 0)</f>
        <v>0.2</v>
      </c>
      <c r="M323" s="1"/>
    </row>
    <row r="324" spans="4:13" x14ac:dyDescent="0.25">
      <c r="D324" s="35" t="str" cm="1">
        <f t="array" ref="D324">Common_InputFunctions.Utility_DisplayArrayInTable(SourceData_PastureBeef.SourceData_PastureBeef_CrudeProteinContent_Data(), Table_SourceData_PastureBeef_CrudeProtein[[#Headers],[State]], 0)</f>
        <v>TAS</v>
      </c>
      <c r="E324" s="35" t="str" cm="1">
        <f t="array" ref="E324">Common_InputFunctions.Utility_DisplayArrayInTable(SourceData_PastureBeef.SourceData_PastureBeef_CrudeProteinContent_Data(), Table_SourceData_PastureBeef_CrudeProtein[[#Headers],[State]], 0)</f>
        <v>n/a</v>
      </c>
      <c r="F324" s="35" cm="1">
        <f t="array" ref="F324">Common_InputFunctions.Utility_DisplayArrayInTable(SourceData_PastureBeef.SourceData_PastureBeef_CrudeProteinContent_Data(), Table_SourceData_PastureBeef_CrudeProtein[[#Headers],[State]], 0)</f>
        <v>0.2</v>
      </c>
      <c r="G324" s="35" cm="1">
        <f t="array" ref="G324">Common_InputFunctions.Utility_DisplayArrayInTable(SourceData_PastureBeef.SourceData_PastureBeef_CrudeProteinContent_Data(), Table_SourceData_PastureBeef_CrudeProtein[[#Headers],[State]], 0)</f>
        <v>0.1</v>
      </c>
      <c r="H324" s="35" cm="1">
        <f t="array" ref="H324">Common_InputFunctions.Utility_DisplayArrayInTable(SourceData_PastureBeef.SourceData_PastureBeef_CrudeProteinContent_Data(), Table_SourceData_PastureBeef_CrudeProtein[[#Headers],[State]], 0)</f>
        <v>0.16</v>
      </c>
      <c r="I324" s="35" cm="1">
        <f t="array" ref="I324">Common_InputFunctions.Utility_DisplayArrayInTable(SourceData_PastureBeef.SourceData_PastureBeef_CrudeProteinContent_Data(), Table_SourceData_PastureBeef_CrudeProtein[[#Headers],[State]], 0)</f>
        <v>0.2</v>
      </c>
      <c r="M324" s="1"/>
    </row>
    <row r="325" spans="4:13" x14ac:dyDescent="0.25">
      <c r="D325" s="35" t="str" cm="1">
        <f t="array" ref="D325">Common_InputFunctions.Utility_DisplayArrayInTable(SourceData_PastureBeef.SourceData_PastureBeef_CrudeProteinContent_Data(), Table_SourceData_PastureBeef_CrudeProtein[[#Headers],[State]], 0)</f>
        <v>VIC</v>
      </c>
      <c r="E325" s="35" t="str" cm="1">
        <f t="array" ref="E325">Common_InputFunctions.Utility_DisplayArrayInTable(SourceData_PastureBeef.SourceData_PastureBeef_CrudeProteinContent_Data(), Table_SourceData_PastureBeef_CrudeProtein[[#Headers],[State]], 0)</f>
        <v>n/a</v>
      </c>
      <c r="F325" s="35" cm="1">
        <f t="array" ref="F325">Common_InputFunctions.Utility_DisplayArrayInTable(SourceData_PastureBeef.SourceData_PastureBeef_CrudeProteinContent_Data(), Table_SourceData_PastureBeef_CrudeProtein[[#Headers],[State]], 0)</f>
        <v>0.25</v>
      </c>
      <c r="G325" s="35" cm="1">
        <f t="array" ref="G325">Common_InputFunctions.Utility_DisplayArrayInTable(SourceData_PastureBeef.SourceData_PastureBeef_CrudeProteinContent_Data(), Table_SourceData_PastureBeef_CrudeProtein[[#Headers],[State]], 0)</f>
        <v>7.0000000000000007E-2</v>
      </c>
      <c r="H325" s="35" cm="1">
        <f t="array" ref="H325">Common_InputFunctions.Utility_DisplayArrayInTable(SourceData_PastureBeef.SourceData_PastureBeef_CrudeProteinContent_Data(), Table_SourceData_PastureBeef_CrudeProtein[[#Headers],[State]], 0)</f>
        <v>0.1</v>
      </c>
      <c r="I325" s="35" cm="1">
        <f t="array" ref="I325">Common_InputFunctions.Utility_DisplayArrayInTable(SourceData_PastureBeef.SourceData_PastureBeef_CrudeProteinContent_Data(), Table_SourceData_PastureBeef_CrudeProtein[[#Headers],[State]], 0)</f>
        <v>0.21</v>
      </c>
      <c r="M325" s="1"/>
    </row>
    <row r="326" spans="4:13" x14ac:dyDescent="0.25">
      <c r="D326" s="35" t="str" cm="1">
        <f t="array" ref="D326">Common_InputFunctions.Utility_DisplayArrayInTable(SourceData_PastureBeef.SourceData_PastureBeef_CrudeProteinContent_Data(), Table_SourceData_PastureBeef_CrudeProtein[[#Headers],[State]], 0)</f>
        <v>WA</v>
      </c>
      <c r="E326" s="35" t="str" cm="1">
        <f t="array" ref="E326">Common_InputFunctions.Utility_DisplayArrayInTable(SourceData_PastureBeef.SourceData_PastureBeef_CrudeProteinContent_Data(), Table_SourceData_PastureBeef_CrudeProtein[[#Headers],[State]], 0)</f>
        <v>South West</v>
      </c>
      <c r="F326" s="35" cm="1">
        <f t="array" ref="F326">Common_InputFunctions.Utility_DisplayArrayInTable(SourceData_PastureBeef.SourceData_PastureBeef_CrudeProteinContent_Data(), Table_SourceData_PastureBeef_CrudeProtein[[#Headers],[State]], 0)</f>
        <v>0.2</v>
      </c>
      <c r="G326" s="35" cm="1">
        <f t="array" ref="G326">Common_InputFunctions.Utility_DisplayArrayInTable(SourceData_PastureBeef.SourceData_PastureBeef_CrudeProteinContent_Data(), Table_SourceData_PastureBeef_CrudeProtein[[#Headers],[State]], 0)</f>
        <v>0.09</v>
      </c>
      <c r="H326" s="35" cm="1">
        <f t="array" ref="H326">Common_InputFunctions.Utility_DisplayArrayInTable(SourceData_PastureBeef.SourceData_PastureBeef_CrudeProteinContent_Data(), Table_SourceData_PastureBeef_CrudeProtein[[#Headers],[State]], 0)</f>
        <v>0.06</v>
      </c>
      <c r="I326" s="35" cm="1">
        <f t="array" ref="I326">Common_InputFunctions.Utility_DisplayArrayInTable(SourceData_PastureBeef.SourceData_PastureBeef_CrudeProteinContent_Data(), Table_SourceData_PastureBeef_CrudeProtein[[#Headers],[State]], 0)</f>
        <v>0.2</v>
      </c>
      <c r="M326" s="1"/>
    </row>
    <row r="327" spans="4:13" x14ac:dyDescent="0.25">
      <c r="D327" s="35" t="str" cm="1">
        <f t="array" ref="D327">Common_InputFunctions.Utility_DisplayArrayInTable(SourceData_PastureBeef.SourceData_PastureBeef_CrudeProteinContent_Data(), Table_SourceData_PastureBeef_CrudeProtein[[#Headers],[State]], 0)</f>
        <v>WA</v>
      </c>
      <c r="E327" s="35" t="str" cm="1">
        <f t="array" ref="E327">Common_InputFunctions.Utility_DisplayArrayInTable(SourceData_PastureBeef.SourceData_PastureBeef_CrudeProteinContent_Data(), Table_SourceData_PastureBeef_CrudeProtein[[#Headers],[State]], 0)</f>
        <v>Pilbara</v>
      </c>
      <c r="F327" s="35" cm="1">
        <f t="array" ref="F327">Common_InputFunctions.Utility_DisplayArrayInTable(SourceData_PastureBeef.SourceData_PastureBeef_CrudeProteinContent_Data(), Table_SourceData_PastureBeef_CrudeProtein[[#Headers],[State]], 0)</f>
        <v>0.04</v>
      </c>
      <c r="G327" s="35" cm="1">
        <f t="array" ref="G327">Common_InputFunctions.Utility_DisplayArrayInTable(SourceData_PastureBeef.SourceData_PastureBeef_CrudeProteinContent_Data(), Table_SourceData_PastureBeef_CrudeProtein[[#Headers],[State]], 0)</f>
        <v>0.12</v>
      </c>
      <c r="H327" s="35" cm="1">
        <f t="array" ref="H327">Common_InputFunctions.Utility_DisplayArrayInTable(SourceData_PastureBeef.SourceData_PastureBeef_CrudeProteinContent_Data(), Table_SourceData_PastureBeef_CrudeProtein[[#Headers],[State]], 0)</f>
        <v>0.09</v>
      </c>
      <c r="I327" s="35" cm="1">
        <f t="array" ref="I327">Common_InputFunctions.Utility_DisplayArrayInTable(SourceData_PastureBeef.SourceData_PastureBeef_CrudeProteinContent_Data(), Table_SourceData_PastureBeef_CrudeProtein[[#Headers],[State]], 0)</f>
        <v>0.06</v>
      </c>
      <c r="M327" s="1"/>
    </row>
    <row r="328" spans="4:13" x14ac:dyDescent="0.25">
      <c r="D328" s="35" t="str" cm="1">
        <f t="array" ref="D328">Common_InputFunctions.Utility_DisplayArrayInTable(SourceData_PastureBeef.SourceData_PastureBeef_CrudeProteinContent_Data(), Table_SourceData_PastureBeef_CrudeProtein[[#Headers],[State]], 0)</f>
        <v>WA</v>
      </c>
      <c r="E328" s="35" t="str" cm="1">
        <f t="array" ref="E328">Common_InputFunctions.Utility_DisplayArrayInTable(SourceData_PastureBeef.SourceData_PastureBeef_CrudeProteinContent_Data(), Table_SourceData_PastureBeef_CrudeProtein[[#Headers],[State]], 0)</f>
        <v>Kimberley</v>
      </c>
      <c r="F328" s="35" cm="1">
        <f t="array" ref="F328">Common_InputFunctions.Utility_DisplayArrayInTable(SourceData_PastureBeef.SourceData_PastureBeef_CrudeProteinContent_Data(), Table_SourceData_PastureBeef_CrudeProtein[[#Headers],[State]], 0)</f>
        <v>0.04</v>
      </c>
      <c r="G328" s="35" cm="1">
        <f t="array" ref="G328">Common_InputFunctions.Utility_DisplayArrayInTable(SourceData_PastureBeef.SourceData_PastureBeef_CrudeProteinContent_Data(), Table_SourceData_PastureBeef_CrudeProtein[[#Headers],[State]], 0)</f>
        <v>0.12</v>
      </c>
      <c r="H328" s="35" cm="1">
        <f t="array" ref="H328">Common_InputFunctions.Utility_DisplayArrayInTable(SourceData_PastureBeef.SourceData_PastureBeef_CrudeProteinContent_Data(), Table_SourceData_PastureBeef_CrudeProtein[[#Headers],[State]], 0)</f>
        <v>0.09</v>
      </c>
      <c r="I328" s="35" cm="1">
        <f t="array" ref="I328">Common_InputFunctions.Utility_DisplayArrayInTable(SourceData_PastureBeef.SourceData_PastureBeef_CrudeProteinContent_Data(), Table_SourceData_PastureBeef_CrudeProtein[[#Headers],[State]], 0)</f>
        <v>0.06</v>
      </c>
      <c r="M328" s="1"/>
    </row>
    <row r="329" spans="4:13" x14ac:dyDescent="0.25">
      <c r="M329" s="1"/>
    </row>
    <row r="330" spans="4:13" x14ac:dyDescent="0.25">
      <c r="M330" s="1"/>
    </row>
    <row r="331" spans="4:13" ht="23.25" x14ac:dyDescent="0.25">
      <c r="D331" s="6" t="str" cm="1">
        <f t="array" ref="D331">SourceData_PastureBeef.SourceData_PastureBeef_FeedAdjustmentAndMilkProduction_Title()</f>
        <v>Beef pasture cattle - Feed intake adjustment and milk production (kg/head/day)</v>
      </c>
      <c r="M331" s="1"/>
    </row>
    <row r="332" spans="4:13" x14ac:dyDescent="0.25">
      <c r="D332" s="5" t="str" cm="1">
        <f t="array" ref="D332">SourceData_PastureBeef.SourceData_PastureBeef_FeedAdjustmentAndMilkProduction_Source()</f>
        <v>VEERG 2026: Table A.1.2.7</v>
      </c>
      <c r="M332" s="1"/>
    </row>
    <row r="333" spans="4:13" x14ac:dyDescent="0.25">
      <c r="D333" s="1" t="str" cm="1">
        <f t="array" ref="D333">SourceData_PastureBeef.SourceData_PastureBeef_FeedAdjustmentAndMilkProduction_Variable()</f>
        <v>MCjk=1,3,6; DMPjk=5</v>
      </c>
      <c r="I333" s="52" t="s">
        <v>209</v>
      </c>
      <c r="M333" s="1"/>
    </row>
    <row r="334" spans="4:13" x14ac:dyDescent="0.25">
      <c r="D334" s="35" t="s">
        <v>101</v>
      </c>
      <c r="E334" s="35" t="s">
        <v>145</v>
      </c>
      <c r="F334" s="35" t="s">
        <v>193</v>
      </c>
      <c r="G334" s="35" t="s">
        <v>194</v>
      </c>
      <c r="I334" s="35" t="s">
        <v>101</v>
      </c>
      <c r="J334" s="35" t="s">
        <v>145</v>
      </c>
      <c r="K334" s="35" t="s">
        <v>193</v>
      </c>
      <c r="L334" s="35" t="s">
        <v>194</v>
      </c>
      <c r="M334" s="1"/>
    </row>
    <row r="335" spans="4:13" x14ac:dyDescent="0.25">
      <c r="D335" s="35" t="str" cm="1">
        <f t="array" ref="D335">Common_InputFunctions.Utility_DisplayArrayInTable(SourceData_PastureBeef.SourceData_PastureBeef_FeedAdjustmentAndMilkProduction_Data(), Table_SourceData_PastureBeef_FeedIntakeAdjustment[[#Headers],[Breed]], 0)</f>
        <v>Hereford or Shorthorn breeds</v>
      </c>
      <c r="E335" s="35" t="str" cm="1">
        <f t="array" ref="E335">Common_InputFunctions.Utility_DisplayArrayInTable(SourceData_PastureBeef.SourceData_PastureBeef_FeedAdjustmentAndMilkProduction_Data(), Table_SourceData_PastureBeef_FeedIntakeAdjustment[[#Headers],[Breed]], 0)</f>
        <v>Spring</v>
      </c>
      <c r="F335" s="35" cm="1">
        <f t="array" ref="F335">Common_InputFunctions.Utility_DisplayArrayInTable(SourceData_PastureBeef.SourceData_PastureBeef_FeedAdjustmentAndMilkProduction_Data(), Table_SourceData_PastureBeef_FeedIntakeAdjustment[[#Headers],[Breed]], 0)</f>
        <v>1.3</v>
      </c>
      <c r="G335" s="35" cm="1">
        <f t="array" ref="G335">Common_InputFunctions.Utility_DisplayArrayInTable(SourceData_PastureBeef.SourceData_PastureBeef_FeedAdjustmentAndMilkProduction_Data(), Table_SourceData_PastureBeef_FeedIntakeAdjustment[[#Headers],[Breed]], 0)</f>
        <v>6</v>
      </c>
      <c r="I335" s="35" t="str">
        <f>Table_SourceData_PastureBeef_FeedIntakeAdjustment[[#This Row],[Breed]]</f>
        <v>Hereford or Shorthorn breeds</v>
      </c>
      <c r="J335" s="35" t="s">
        <v>207</v>
      </c>
      <c r="K335" s="35">
        <f>Table_SourceData_PastureBeef_FeedIntakeAdjustment[[#This Row],[Feed adjustment]]</f>
        <v>1.3</v>
      </c>
      <c r="L335" s="35">
        <f>Table_SourceData_PastureBeef_FeedIntakeAdjustment[[#This Row],[Milk intake/production]]</f>
        <v>6</v>
      </c>
      <c r="M335" s="1"/>
    </row>
    <row r="336" spans="4:13" x14ac:dyDescent="0.25">
      <c r="D336" s="1" t="str" cm="1">
        <f t="array" ref="D336">Common_InputFunctions.Utility_DisplayArrayInTable(SourceData_PastureBeef.SourceData_PastureBeef_FeedAdjustmentAndMilkProduction_Data(), Table_SourceData_PastureBeef_FeedIntakeAdjustment[[#Headers],[Breed]], 0)</f>
        <v>Hereford or Shorthorn breeds</v>
      </c>
      <c r="E336" s="35" t="str" cm="1">
        <f t="array" ref="E336">Common_InputFunctions.Utility_DisplayArrayInTable(SourceData_PastureBeef.SourceData_PastureBeef_FeedAdjustmentAndMilkProduction_Data(), Table_SourceData_PastureBeef_FeedIntakeAdjustment[[#Headers],[Breed]], 0)</f>
        <v>Summer</v>
      </c>
      <c r="F336" s="35" cm="1">
        <f t="array" ref="F336">Common_InputFunctions.Utility_DisplayArrayInTable(SourceData_PastureBeef.SourceData_PastureBeef_FeedAdjustmentAndMilkProduction_Data(), Table_SourceData_PastureBeef_FeedIntakeAdjustment[[#Headers],[Breed]], 0)</f>
        <v>1.1000000000000001</v>
      </c>
      <c r="G336" s="35" cm="1">
        <f t="array" ref="G336">Common_InputFunctions.Utility_DisplayArrayInTable(SourceData_PastureBeef.SourceData_PastureBeef_FeedAdjustmentAndMilkProduction_Data(), Table_SourceData_PastureBeef_FeedIntakeAdjustment[[#Headers],[Breed]], 0)</f>
        <v>4</v>
      </c>
      <c r="I336" s="1" t="str">
        <f>Table_SourceData_PastureBeef_FeedIntakeAdjustment[[#This Row],[Breed]]</f>
        <v>Hereford or Shorthorn breeds</v>
      </c>
      <c r="J336" s="35" t="s">
        <v>208</v>
      </c>
      <c r="K336" s="35">
        <f>Table_SourceData_PastureBeef_FeedIntakeAdjustment[[#This Row],[Feed adjustment]]</f>
        <v>1.1000000000000001</v>
      </c>
      <c r="L336" s="35">
        <f>Table_SourceData_PastureBeef_FeedIntakeAdjustment[[#This Row],[Milk intake/production]]</f>
        <v>4</v>
      </c>
      <c r="M336" s="1"/>
    </row>
    <row r="337" spans="4:13" x14ac:dyDescent="0.25">
      <c r="D337" s="1" t="str" cm="1">
        <f t="array" ref="D337">Common_InputFunctions.Utility_DisplayArrayInTable(SourceData_PastureBeef.SourceData_PastureBeef_FeedAdjustmentAndMilkProduction_Data(), Table_SourceData_PastureBeef_FeedIntakeAdjustment[[#Headers],[Breed]], 0)</f>
        <v>Hereford or Shorthorn breeds</v>
      </c>
      <c r="E337" s="35" t="str" cm="1">
        <f t="array" ref="E337">Common_InputFunctions.Utility_DisplayArrayInTable(SourceData_PastureBeef.SourceData_PastureBeef_FeedAdjustmentAndMilkProduction_Data(), Table_SourceData_PastureBeef_FeedIntakeAdjustment[[#Headers],[Breed]], 0)</f>
        <v>Autumn</v>
      </c>
      <c r="F337" s="35" cm="1">
        <f t="array" ref="F337">Common_InputFunctions.Utility_DisplayArrayInTable(SourceData_PastureBeef.SourceData_PastureBeef_FeedAdjustmentAndMilkProduction_Data(), Table_SourceData_PastureBeef_FeedIntakeAdjustment[[#Headers],[Breed]], 0)</f>
        <v>0</v>
      </c>
      <c r="G337" s="35" cm="1">
        <f t="array" ref="G337">Common_InputFunctions.Utility_DisplayArrayInTable(SourceData_PastureBeef.SourceData_PastureBeef_FeedAdjustmentAndMilkProduction_Data(), Table_SourceData_PastureBeef_FeedIntakeAdjustment[[#Headers],[Breed]], 0)</f>
        <v>0</v>
      </c>
      <c r="I337" s="1" t="str">
        <f>D340</f>
        <v>Northern Brahman cross breed</v>
      </c>
      <c r="J337" s="35" t="s">
        <v>207</v>
      </c>
      <c r="K337" s="35">
        <f>F340</f>
        <v>1.3</v>
      </c>
      <c r="L337" s="35">
        <f t="shared" ref="L337:L338" si="135">G340</f>
        <v>4</v>
      </c>
      <c r="M337" s="1"/>
    </row>
    <row r="338" spans="4:13" x14ac:dyDescent="0.25">
      <c r="D338" s="1" t="str" cm="1">
        <f t="array" ref="D338">Common_InputFunctions.Utility_DisplayArrayInTable(SourceData_PastureBeef.SourceData_PastureBeef_FeedAdjustmentAndMilkProduction_Data(), Table_SourceData_PastureBeef_FeedIntakeAdjustment[[#Headers],[Breed]], 0)</f>
        <v>Hereford or Shorthorn breeds</v>
      </c>
      <c r="E338" s="35" t="str" cm="1">
        <f t="array" ref="E338">Common_InputFunctions.Utility_DisplayArrayInTable(SourceData_PastureBeef.SourceData_PastureBeef_FeedAdjustmentAndMilkProduction_Data(), Table_SourceData_PastureBeef_FeedIntakeAdjustment[[#Headers],[Breed]], 0)</f>
        <v>Winter</v>
      </c>
      <c r="F338" s="35" cm="1">
        <f t="array" ref="F338">Common_InputFunctions.Utility_DisplayArrayInTable(SourceData_PastureBeef.SourceData_PastureBeef_FeedAdjustmentAndMilkProduction_Data(), Table_SourceData_PastureBeef_FeedIntakeAdjustment[[#Headers],[Breed]], 0)</f>
        <v>0</v>
      </c>
      <c r="G338" s="35" cm="1">
        <f t="array" ref="G338">Common_InputFunctions.Utility_DisplayArrayInTable(SourceData_PastureBeef.SourceData_PastureBeef_FeedAdjustmentAndMilkProduction_Data(), Table_SourceData_PastureBeef_FeedIntakeAdjustment[[#Headers],[Breed]], 0)</f>
        <v>0</v>
      </c>
      <c r="I338" s="1" t="str">
        <f>D341</f>
        <v>Northern Brahman cross breed</v>
      </c>
      <c r="J338" s="35" t="s">
        <v>208</v>
      </c>
      <c r="K338" s="35">
        <f t="shared" ref="K338" si="136">F341</f>
        <v>1.1000000000000001</v>
      </c>
      <c r="L338" s="35">
        <f t="shared" si="135"/>
        <v>3</v>
      </c>
      <c r="M338" s="1"/>
    </row>
    <row r="339" spans="4:13" x14ac:dyDescent="0.25">
      <c r="D339" s="1" t="str" cm="1">
        <f t="array" ref="D339">Common_InputFunctions.Utility_DisplayArrayInTable(SourceData_PastureBeef.SourceData_PastureBeef_FeedAdjustmentAndMilkProduction_Data(), Table_SourceData_PastureBeef_FeedIntakeAdjustment[[#Headers],[Breed]], 0)</f>
        <v>Northern Brahman cross breed</v>
      </c>
      <c r="E339" s="35" t="str" cm="1">
        <f t="array" ref="E339">Common_InputFunctions.Utility_DisplayArrayInTable(SourceData_PastureBeef.SourceData_PastureBeef_FeedAdjustmentAndMilkProduction_Data(), Table_SourceData_PastureBeef_FeedIntakeAdjustment[[#Headers],[Breed]], 0)</f>
        <v>Spring</v>
      </c>
      <c r="F339" s="35" cm="1">
        <f t="array" ref="F339">Common_InputFunctions.Utility_DisplayArrayInTable(SourceData_PastureBeef.SourceData_PastureBeef_FeedAdjustmentAndMilkProduction_Data(), Table_SourceData_PastureBeef_FeedIntakeAdjustment[[#Headers],[Breed]], 0)</f>
        <v>0</v>
      </c>
      <c r="G339" s="35" cm="1">
        <f t="array" ref="G339">Common_InputFunctions.Utility_DisplayArrayInTable(SourceData_PastureBeef.SourceData_PastureBeef_FeedAdjustmentAndMilkProduction_Data(), Table_SourceData_PastureBeef_FeedIntakeAdjustment[[#Headers],[Breed]], 0)</f>
        <v>0</v>
      </c>
      <c r="M339" s="1"/>
    </row>
    <row r="340" spans="4:13" x14ac:dyDescent="0.25">
      <c r="D340" s="1" t="str" cm="1">
        <f t="array" ref="D340">Common_InputFunctions.Utility_DisplayArrayInTable(SourceData_PastureBeef.SourceData_PastureBeef_FeedAdjustmentAndMilkProduction_Data(), Table_SourceData_PastureBeef_FeedIntakeAdjustment[[#Headers],[Breed]], 0)</f>
        <v>Northern Brahman cross breed</v>
      </c>
      <c r="E340" s="35" t="str" cm="1">
        <f t="array" ref="E340">Common_InputFunctions.Utility_DisplayArrayInTable(SourceData_PastureBeef.SourceData_PastureBeef_FeedAdjustmentAndMilkProduction_Data(), Table_SourceData_PastureBeef_FeedIntakeAdjustment[[#Headers],[Breed]], 0)</f>
        <v>Summer</v>
      </c>
      <c r="F340" s="35" cm="1">
        <f t="array" ref="F340">Common_InputFunctions.Utility_DisplayArrayInTable(SourceData_PastureBeef.SourceData_PastureBeef_FeedAdjustmentAndMilkProduction_Data(), Table_SourceData_PastureBeef_FeedIntakeAdjustment[[#Headers],[Breed]], 0)</f>
        <v>1.3</v>
      </c>
      <c r="G340" s="35" cm="1">
        <f t="array" ref="G340">Common_InputFunctions.Utility_DisplayArrayInTable(SourceData_PastureBeef.SourceData_PastureBeef_FeedAdjustmentAndMilkProduction_Data(), Table_SourceData_PastureBeef_FeedIntakeAdjustment[[#Headers],[Breed]], 0)</f>
        <v>4</v>
      </c>
      <c r="M340" s="1"/>
    </row>
    <row r="341" spans="4:13" x14ac:dyDescent="0.25">
      <c r="D341" s="1" t="str" cm="1">
        <f t="array" ref="D341">Common_InputFunctions.Utility_DisplayArrayInTable(SourceData_PastureBeef.SourceData_PastureBeef_FeedAdjustmentAndMilkProduction_Data(), Table_SourceData_PastureBeef_FeedIntakeAdjustment[[#Headers],[Breed]], 0)</f>
        <v>Northern Brahman cross breed</v>
      </c>
      <c r="E341" s="35" t="str" cm="1">
        <f t="array" ref="E341">Common_InputFunctions.Utility_DisplayArrayInTable(SourceData_PastureBeef.SourceData_PastureBeef_FeedAdjustmentAndMilkProduction_Data(), Table_SourceData_PastureBeef_FeedIntakeAdjustment[[#Headers],[Breed]], 0)</f>
        <v>Autumn</v>
      </c>
      <c r="F341" s="35" cm="1">
        <f t="array" ref="F341">Common_InputFunctions.Utility_DisplayArrayInTable(SourceData_PastureBeef.SourceData_PastureBeef_FeedAdjustmentAndMilkProduction_Data(), Table_SourceData_PastureBeef_FeedIntakeAdjustment[[#Headers],[Breed]], 0)</f>
        <v>1.1000000000000001</v>
      </c>
      <c r="G341" s="35" cm="1">
        <f t="array" ref="G341">Common_InputFunctions.Utility_DisplayArrayInTable(SourceData_PastureBeef.SourceData_PastureBeef_FeedAdjustmentAndMilkProduction_Data(), Table_SourceData_PastureBeef_FeedIntakeAdjustment[[#Headers],[Breed]], 0)</f>
        <v>3</v>
      </c>
      <c r="M341" s="1"/>
    </row>
    <row r="342" spans="4:13" x14ac:dyDescent="0.25">
      <c r="D342" s="1" t="str" cm="1">
        <f t="array" ref="D342">Common_InputFunctions.Utility_DisplayArrayInTable(SourceData_PastureBeef.SourceData_PastureBeef_FeedAdjustmentAndMilkProduction_Data(), Table_SourceData_PastureBeef_FeedIntakeAdjustment[[#Headers],[Breed]], 0)</f>
        <v>Northern Brahman cross breed</v>
      </c>
      <c r="E342" s="35" t="str" cm="1">
        <f t="array" ref="E342">Common_InputFunctions.Utility_DisplayArrayInTable(SourceData_PastureBeef.SourceData_PastureBeef_FeedAdjustmentAndMilkProduction_Data(), Table_SourceData_PastureBeef_FeedIntakeAdjustment[[#Headers],[Breed]], 0)</f>
        <v>Winter</v>
      </c>
      <c r="F342" s="35" cm="1">
        <f t="array" ref="F342">Common_InputFunctions.Utility_DisplayArrayInTable(SourceData_PastureBeef.SourceData_PastureBeef_FeedAdjustmentAndMilkProduction_Data(), Table_SourceData_PastureBeef_FeedIntakeAdjustment[[#Headers],[Breed]], 0)</f>
        <v>0</v>
      </c>
      <c r="G342" s="35" cm="1">
        <f t="array" ref="G342">Common_InputFunctions.Utility_DisplayArrayInTable(SourceData_PastureBeef.SourceData_PastureBeef_FeedAdjustmentAndMilkProduction_Data(), Table_SourceData_PastureBeef_FeedIntakeAdjustment[[#Headers],[Breed]], 0)</f>
        <v>0</v>
      </c>
      <c r="M342" s="1"/>
    </row>
    <row r="343" spans="4:13" x14ac:dyDescent="0.25">
      <c r="M343" s="1"/>
    </row>
    <row r="344" spans="4:13" x14ac:dyDescent="0.25">
      <c r="M344" s="1"/>
    </row>
    <row r="345" spans="4:13" ht="23.25" x14ac:dyDescent="0.25">
      <c r="D345" s="6" t="str" cm="1">
        <f t="array" ref="D345">SourceData_PastureBeef.SourceData_PastureBeef_StandardReferenceWeights_Title()</f>
        <v>Beef pasture cattle - Standard reference weights (kg) (SRWk)</v>
      </c>
      <c r="M345" s="1"/>
    </row>
    <row r="346" spans="4:13" x14ac:dyDescent="0.25">
      <c r="D346" s="5" t="str" cm="1">
        <f t="array" ref="D346">SourceData_PastureBeef.SourceData_PastureBeef_StandardReferenceWeights_Source()</f>
        <v>VEERG 2026: Table A.1.2.8</v>
      </c>
      <c r="M346" s="1"/>
    </row>
    <row r="347" spans="4:13" x14ac:dyDescent="0.25">
      <c r="D347" s="1" t="str" cm="1">
        <f t="array" ref="D347">SourceData_PastureBeef.SourceData_PastureBeef_StandardReferenceWeights_Variable()</f>
        <v>SRWk</v>
      </c>
      <c r="M347" s="1"/>
    </row>
    <row r="348" spans="4:13" x14ac:dyDescent="0.25">
      <c r="D348" s="51" t="str" cm="1">
        <f t="array" ref="D348">SourceData_PastureBeef.SourceData_PastureBeef_StandardReferenceWeights_Unit()</f>
        <v>kg</v>
      </c>
      <c r="M348" s="1"/>
    </row>
    <row r="349" spans="4:13" x14ac:dyDescent="0.25">
      <c r="D349" s="52" t="str" cm="1">
        <f t="array" ref="D349">SourceData_PastureBeef.SourceData_PastureBeef_StandardReferenceWeights_Variation()</f>
        <v>VARIATION ON SOURCE: Split ACT and NSW into separate rows. Added 'State abbreviation' column to aid lookup.</v>
      </c>
      <c r="M349" s="1"/>
    </row>
    <row r="350" spans="4:13" x14ac:dyDescent="0.25">
      <c r="D350" s="35" t="s">
        <v>5</v>
      </c>
      <c r="E350" s="35" t="s">
        <v>195</v>
      </c>
      <c r="F350" s="35" t="s">
        <v>196</v>
      </c>
      <c r="G350" s="35" t="s">
        <v>154</v>
      </c>
      <c r="H350" s="35" t="s">
        <v>155</v>
      </c>
      <c r="I350" s="35" t="s">
        <v>197</v>
      </c>
      <c r="J350" s="35" t="s">
        <v>158</v>
      </c>
      <c r="K350" s="35" t="s">
        <v>187</v>
      </c>
      <c r="L350" s="35" t="s">
        <v>198</v>
      </c>
      <c r="M350" s="1"/>
    </row>
    <row r="351" spans="4:13" x14ac:dyDescent="0.25">
      <c r="D351" s="35" t="str" cm="1">
        <f t="array" ref="D351">Common_InputFunctions.Utility_DisplayArrayInTable(SourceData_PastureBeef.SourceData_PastureBeef_StandardReferenceWeights_Data(), Table_SourceData_PastureBeef_StandardReferenceWeights[[#Headers],[State]], 0)</f>
        <v>ACT</v>
      </c>
      <c r="E351" s="35" cm="1">
        <f t="array" ref="E351">Common_InputFunctions.Utility_DisplayArrayInTable(SourceData_PastureBeef.SourceData_PastureBeef_StandardReferenceWeights_Data(), Table_SourceData_PastureBeef_StandardReferenceWeights[[#Headers],[State]], 0)</f>
        <v>700</v>
      </c>
      <c r="F351" s="35" cm="1">
        <f t="array" ref="F351">Common_InputFunctions.Utility_DisplayArrayInTable(SourceData_PastureBeef.SourceData_PastureBeef_StandardReferenceWeights_Data(), Table_SourceData_PastureBeef_StandardReferenceWeights[[#Headers],[State]], 0)</f>
        <v>700</v>
      </c>
      <c r="G351" s="35" cm="1">
        <f t="array" ref="G351">Common_InputFunctions.Utility_DisplayArrayInTable(SourceData_PastureBeef.SourceData_PastureBeef_StandardReferenceWeights_Data(), Table_SourceData_PastureBeef_StandardReferenceWeights[[#Headers],[State]], 0)</f>
        <v>500</v>
      </c>
      <c r="H351" s="35" cm="1">
        <f t="array" ref="H351">Common_InputFunctions.Utility_DisplayArrayInTable(SourceData_PastureBeef.SourceData_PastureBeef_StandardReferenceWeights_Data(), Table_SourceData_PastureBeef_StandardReferenceWeights[[#Headers],[State]], 0)</f>
        <v>500</v>
      </c>
      <c r="I351" s="35" cm="1">
        <f t="array" ref="I351">Common_InputFunctions.Utility_DisplayArrayInTable(SourceData_PastureBeef.SourceData_PastureBeef_StandardReferenceWeights_Data(), Table_SourceData_PastureBeef_StandardReferenceWeights[[#Headers],[State]], 0)</f>
        <v>500</v>
      </c>
      <c r="J351" s="35" cm="1">
        <f t="array" ref="J351">Common_InputFunctions.Utility_DisplayArrayInTable(SourceData_PastureBeef.SourceData_PastureBeef_StandardReferenceWeights_Data(), Table_SourceData_PastureBeef_StandardReferenceWeights[[#Headers],[State]], 0)</f>
        <v>600</v>
      </c>
      <c r="K351" s="35" cm="1">
        <f t="array" ref="K351">Common_InputFunctions.Utility_DisplayArrayInTable(SourceData_PastureBeef.SourceData_PastureBeef_StandardReferenceWeights_Data(), Table_SourceData_PastureBeef_StandardReferenceWeights[[#Headers],[State]], 0)</f>
        <v>600</v>
      </c>
      <c r="L351" s="35" t="str" cm="1">
        <f t="array" ref="L351">Common_InputFunctions.Utility_DisplayArrayInTable(SourceData_PastureBeef.SourceData_PastureBeef_StandardReferenceWeights_Data(), Table_SourceData_PastureBeef_StandardReferenceWeights[[#Headers],[State]], 0)</f>
        <v>ACT</v>
      </c>
      <c r="M351" s="1"/>
    </row>
    <row r="352" spans="4:13" x14ac:dyDescent="0.25">
      <c r="D352" s="1" t="str" cm="1">
        <f t="array" ref="D352">Common_InputFunctions.Utility_DisplayArrayInTable(SourceData_PastureBeef.SourceData_PastureBeef_StandardReferenceWeights_Data(), Table_SourceData_PastureBeef_StandardReferenceWeights[[#Headers],[State]], 0)</f>
        <v>NSW</v>
      </c>
      <c r="E352" s="35" cm="1">
        <f t="array" ref="E352">Common_InputFunctions.Utility_DisplayArrayInTable(SourceData_PastureBeef.SourceData_PastureBeef_StandardReferenceWeights_Data(), Table_SourceData_PastureBeef_StandardReferenceWeights[[#Headers],[State]], 0)</f>
        <v>700</v>
      </c>
      <c r="F352" s="35" cm="1">
        <f t="array" ref="F352">Common_InputFunctions.Utility_DisplayArrayInTable(SourceData_PastureBeef.SourceData_PastureBeef_StandardReferenceWeights_Data(), Table_SourceData_PastureBeef_StandardReferenceWeights[[#Headers],[State]], 0)</f>
        <v>700</v>
      </c>
      <c r="G352" s="35" cm="1">
        <f t="array" ref="G352">Common_InputFunctions.Utility_DisplayArrayInTable(SourceData_PastureBeef.SourceData_PastureBeef_StandardReferenceWeights_Data(), Table_SourceData_PastureBeef_StandardReferenceWeights[[#Headers],[State]], 0)</f>
        <v>500</v>
      </c>
      <c r="H352" s="35" cm="1">
        <f t="array" ref="H352">Common_InputFunctions.Utility_DisplayArrayInTable(SourceData_PastureBeef.SourceData_PastureBeef_StandardReferenceWeights_Data(), Table_SourceData_PastureBeef_StandardReferenceWeights[[#Headers],[State]], 0)</f>
        <v>500</v>
      </c>
      <c r="I352" s="35" cm="1">
        <f t="array" ref="I352">Common_InputFunctions.Utility_DisplayArrayInTable(SourceData_PastureBeef.SourceData_PastureBeef_StandardReferenceWeights_Data(), Table_SourceData_PastureBeef_StandardReferenceWeights[[#Headers],[State]], 0)</f>
        <v>500</v>
      </c>
      <c r="J352" s="35" cm="1">
        <f t="array" ref="J352">Common_InputFunctions.Utility_DisplayArrayInTable(SourceData_PastureBeef.SourceData_PastureBeef_StandardReferenceWeights_Data(), Table_SourceData_PastureBeef_StandardReferenceWeights[[#Headers],[State]], 0)</f>
        <v>600</v>
      </c>
      <c r="K352" s="35" cm="1">
        <f t="array" ref="K352">Common_InputFunctions.Utility_DisplayArrayInTable(SourceData_PastureBeef.SourceData_PastureBeef_StandardReferenceWeights_Data(), Table_SourceData_PastureBeef_StandardReferenceWeights[[#Headers],[State]], 0)</f>
        <v>600</v>
      </c>
      <c r="L352" s="35" t="str" cm="1">
        <f t="array" ref="L352">Common_InputFunctions.Utility_DisplayArrayInTable(SourceData_PastureBeef.SourceData_PastureBeef_StandardReferenceWeights_Data(), Table_SourceData_PastureBeef_StandardReferenceWeights[[#Headers],[State]], 0)</f>
        <v>NSW</v>
      </c>
      <c r="M352" s="1"/>
    </row>
    <row r="353" spans="4:15" x14ac:dyDescent="0.25">
      <c r="D353" s="1" t="str" cm="1">
        <f t="array" ref="D353">Common_InputFunctions.Utility_DisplayArrayInTable(SourceData_PastureBeef.SourceData_PastureBeef_StandardReferenceWeights_Data(), Table_SourceData_PastureBeef_StandardReferenceWeights[[#Headers],[State]], 0)</f>
        <v>Northern Territory</v>
      </c>
      <c r="E353" s="35" cm="1">
        <f t="array" ref="E353">Common_InputFunctions.Utility_DisplayArrayInTable(SourceData_PastureBeef.SourceData_PastureBeef_StandardReferenceWeights_Data(), Table_SourceData_PastureBeef_StandardReferenceWeights[[#Headers],[State]], 0)</f>
        <v>770</v>
      </c>
      <c r="F353" s="35" cm="1">
        <f t="array" ref="F353">Common_InputFunctions.Utility_DisplayArrayInTable(SourceData_PastureBeef.SourceData_PastureBeef_StandardReferenceWeights_Data(), Table_SourceData_PastureBeef_StandardReferenceWeights[[#Headers],[State]], 0)</f>
        <v>770</v>
      </c>
      <c r="G353" s="35" cm="1">
        <f t="array" ref="G353">Common_InputFunctions.Utility_DisplayArrayInTable(SourceData_PastureBeef.SourceData_PastureBeef_StandardReferenceWeights_Data(), Table_SourceData_PastureBeef_StandardReferenceWeights[[#Headers],[State]], 0)</f>
        <v>550</v>
      </c>
      <c r="H353" s="35" cm="1">
        <f t="array" ref="H353">Common_InputFunctions.Utility_DisplayArrayInTable(SourceData_PastureBeef.SourceData_PastureBeef_StandardReferenceWeights_Data(), Table_SourceData_PastureBeef_StandardReferenceWeights[[#Headers],[State]], 0)</f>
        <v>550</v>
      </c>
      <c r="I353" s="35" cm="1">
        <f t="array" ref="I353">Common_InputFunctions.Utility_DisplayArrayInTable(SourceData_PastureBeef.SourceData_PastureBeef_StandardReferenceWeights_Data(), Table_SourceData_PastureBeef_StandardReferenceWeights[[#Headers],[State]], 0)</f>
        <v>550</v>
      </c>
      <c r="J353" s="35" cm="1">
        <f t="array" ref="J353">Common_InputFunctions.Utility_DisplayArrayInTable(SourceData_PastureBeef.SourceData_PastureBeef_StandardReferenceWeights_Data(), Table_SourceData_PastureBeef_StandardReferenceWeights[[#Headers],[State]], 0)</f>
        <v>660</v>
      </c>
      <c r="K353" s="35" cm="1">
        <f t="array" ref="K353">Common_InputFunctions.Utility_DisplayArrayInTable(SourceData_PastureBeef.SourceData_PastureBeef_StandardReferenceWeights_Data(), Table_SourceData_PastureBeef_StandardReferenceWeights[[#Headers],[State]], 0)</f>
        <v>660</v>
      </c>
      <c r="L353" s="35" t="str" cm="1">
        <f t="array" ref="L353">Common_InputFunctions.Utility_DisplayArrayInTable(SourceData_PastureBeef.SourceData_PastureBeef_StandardReferenceWeights_Data(), Table_SourceData_PastureBeef_StandardReferenceWeights[[#Headers],[State]], 0)</f>
        <v>NT</v>
      </c>
      <c r="M353" s="1"/>
    </row>
    <row r="354" spans="4:15" x14ac:dyDescent="0.25">
      <c r="D354" s="1" t="str" cm="1">
        <f t="array" ref="D354">Common_InputFunctions.Utility_DisplayArrayInTable(SourceData_PastureBeef.SourceData_PastureBeef_StandardReferenceWeights_Data(), Table_SourceData_PastureBeef_StandardReferenceWeights[[#Headers],[State]], 0)</f>
        <v>Queensland</v>
      </c>
      <c r="E354" s="35" cm="1">
        <f t="array" ref="E354">Common_InputFunctions.Utility_DisplayArrayInTable(SourceData_PastureBeef.SourceData_PastureBeef_StandardReferenceWeights_Data(), Table_SourceData_PastureBeef_StandardReferenceWeights[[#Headers],[State]], 0)</f>
        <v>770</v>
      </c>
      <c r="F354" s="35" cm="1">
        <f t="array" ref="F354">Common_InputFunctions.Utility_DisplayArrayInTable(SourceData_PastureBeef.SourceData_PastureBeef_StandardReferenceWeights_Data(), Table_SourceData_PastureBeef_StandardReferenceWeights[[#Headers],[State]], 0)</f>
        <v>770</v>
      </c>
      <c r="G354" s="35" cm="1">
        <f t="array" ref="G354">Common_InputFunctions.Utility_DisplayArrayInTable(SourceData_PastureBeef.SourceData_PastureBeef_StandardReferenceWeights_Data(), Table_SourceData_PastureBeef_StandardReferenceWeights[[#Headers],[State]], 0)</f>
        <v>550</v>
      </c>
      <c r="H354" s="35" cm="1">
        <f t="array" ref="H354">Common_InputFunctions.Utility_DisplayArrayInTable(SourceData_PastureBeef.SourceData_PastureBeef_StandardReferenceWeights_Data(), Table_SourceData_PastureBeef_StandardReferenceWeights[[#Headers],[State]], 0)</f>
        <v>550</v>
      </c>
      <c r="I354" s="35" cm="1">
        <f t="array" ref="I354">Common_InputFunctions.Utility_DisplayArrayInTable(SourceData_PastureBeef.SourceData_PastureBeef_StandardReferenceWeights_Data(), Table_SourceData_PastureBeef_StandardReferenceWeights[[#Headers],[State]], 0)</f>
        <v>550</v>
      </c>
      <c r="J354" s="35" cm="1">
        <f t="array" ref="J354">Common_InputFunctions.Utility_DisplayArrayInTable(SourceData_PastureBeef.SourceData_PastureBeef_StandardReferenceWeights_Data(), Table_SourceData_PastureBeef_StandardReferenceWeights[[#Headers],[State]], 0)</f>
        <v>660</v>
      </c>
      <c r="K354" s="35" cm="1">
        <f t="array" ref="K354">Common_InputFunctions.Utility_DisplayArrayInTable(SourceData_PastureBeef.SourceData_PastureBeef_StandardReferenceWeights_Data(), Table_SourceData_PastureBeef_StandardReferenceWeights[[#Headers],[State]], 0)</f>
        <v>660</v>
      </c>
      <c r="L354" s="35" t="str" cm="1">
        <f t="array" ref="L354">Common_InputFunctions.Utility_DisplayArrayInTable(SourceData_PastureBeef.SourceData_PastureBeef_StandardReferenceWeights_Data(), Table_SourceData_PastureBeef_StandardReferenceWeights[[#Headers],[State]], 0)</f>
        <v>QLD</v>
      </c>
      <c r="M354" s="1"/>
    </row>
    <row r="355" spans="4:15" x14ac:dyDescent="0.25">
      <c r="D355" s="1" t="str" cm="1">
        <f t="array" ref="D355">Common_InputFunctions.Utility_DisplayArrayInTable(SourceData_PastureBeef.SourceData_PastureBeef_StandardReferenceWeights_Data(), Table_SourceData_PastureBeef_StandardReferenceWeights[[#Headers],[State]], 0)</f>
        <v>South Australia</v>
      </c>
      <c r="E355" s="35" cm="1">
        <f t="array" ref="E355">Common_InputFunctions.Utility_DisplayArrayInTable(SourceData_PastureBeef.SourceData_PastureBeef_StandardReferenceWeights_Data(), Table_SourceData_PastureBeef_StandardReferenceWeights[[#Headers],[State]], 0)</f>
        <v>770</v>
      </c>
      <c r="F355" s="35" cm="1">
        <f t="array" ref="F355">Common_InputFunctions.Utility_DisplayArrayInTable(SourceData_PastureBeef.SourceData_PastureBeef_StandardReferenceWeights_Data(), Table_SourceData_PastureBeef_StandardReferenceWeights[[#Headers],[State]], 0)</f>
        <v>770</v>
      </c>
      <c r="G355" s="35" cm="1">
        <f t="array" ref="G355">Common_InputFunctions.Utility_DisplayArrayInTable(SourceData_PastureBeef.SourceData_PastureBeef_StandardReferenceWeights_Data(), Table_SourceData_PastureBeef_StandardReferenceWeights[[#Headers],[State]], 0)</f>
        <v>550</v>
      </c>
      <c r="H355" s="35" cm="1">
        <f t="array" ref="H355">Common_InputFunctions.Utility_DisplayArrayInTable(SourceData_PastureBeef.SourceData_PastureBeef_StandardReferenceWeights_Data(), Table_SourceData_PastureBeef_StandardReferenceWeights[[#Headers],[State]], 0)</f>
        <v>550</v>
      </c>
      <c r="I355" s="35" cm="1">
        <f t="array" ref="I355">Common_InputFunctions.Utility_DisplayArrayInTable(SourceData_PastureBeef.SourceData_PastureBeef_StandardReferenceWeights_Data(), Table_SourceData_PastureBeef_StandardReferenceWeights[[#Headers],[State]], 0)</f>
        <v>550</v>
      </c>
      <c r="J355" s="35" cm="1">
        <f t="array" ref="J355">Common_InputFunctions.Utility_DisplayArrayInTable(SourceData_PastureBeef.SourceData_PastureBeef_StandardReferenceWeights_Data(), Table_SourceData_PastureBeef_StandardReferenceWeights[[#Headers],[State]], 0)</f>
        <v>660</v>
      </c>
      <c r="K355" s="35" cm="1">
        <f t="array" ref="K355">Common_InputFunctions.Utility_DisplayArrayInTable(SourceData_PastureBeef.SourceData_PastureBeef_StandardReferenceWeights_Data(), Table_SourceData_PastureBeef_StandardReferenceWeights[[#Headers],[State]], 0)</f>
        <v>660</v>
      </c>
      <c r="L355" s="35" t="str" cm="1">
        <f t="array" ref="L355">Common_InputFunctions.Utility_DisplayArrayInTable(SourceData_PastureBeef.SourceData_PastureBeef_StandardReferenceWeights_Data(), Table_SourceData_PastureBeef_StandardReferenceWeights[[#Headers],[State]], 0)</f>
        <v>SA</v>
      </c>
      <c r="M355" s="1"/>
    </row>
    <row r="356" spans="4:15" x14ac:dyDescent="0.25">
      <c r="D356" s="1" t="str" cm="1">
        <f t="array" ref="D356">Common_InputFunctions.Utility_DisplayArrayInTable(SourceData_PastureBeef.SourceData_PastureBeef_StandardReferenceWeights_Data(), Table_SourceData_PastureBeef_StandardReferenceWeights[[#Headers],[State]], 0)</f>
        <v>Tasmania</v>
      </c>
      <c r="E356" s="35" cm="1">
        <f t="array" ref="E356">Common_InputFunctions.Utility_DisplayArrayInTable(SourceData_PastureBeef.SourceData_PastureBeef_StandardReferenceWeights_Data(), Table_SourceData_PastureBeef_StandardReferenceWeights[[#Headers],[State]], 0)</f>
        <v>770</v>
      </c>
      <c r="F356" s="35" cm="1">
        <f t="array" ref="F356">Common_InputFunctions.Utility_DisplayArrayInTable(SourceData_PastureBeef.SourceData_PastureBeef_StandardReferenceWeights_Data(), Table_SourceData_PastureBeef_StandardReferenceWeights[[#Headers],[State]], 0)</f>
        <v>770</v>
      </c>
      <c r="G356" s="35" cm="1">
        <f t="array" ref="G356">Common_InputFunctions.Utility_DisplayArrayInTable(SourceData_PastureBeef.SourceData_PastureBeef_StandardReferenceWeights_Data(), Table_SourceData_PastureBeef_StandardReferenceWeights[[#Headers],[State]], 0)</f>
        <v>550</v>
      </c>
      <c r="H356" s="35" cm="1">
        <f t="array" ref="H356">Common_InputFunctions.Utility_DisplayArrayInTable(SourceData_PastureBeef.SourceData_PastureBeef_StandardReferenceWeights_Data(), Table_SourceData_PastureBeef_StandardReferenceWeights[[#Headers],[State]], 0)</f>
        <v>550</v>
      </c>
      <c r="I356" s="35" cm="1">
        <f t="array" ref="I356">Common_InputFunctions.Utility_DisplayArrayInTable(SourceData_PastureBeef.SourceData_PastureBeef_StandardReferenceWeights_Data(), Table_SourceData_PastureBeef_StandardReferenceWeights[[#Headers],[State]], 0)</f>
        <v>550</v>
      </c>
      <c r="J356" s="35" cm="1">
        <f t="array" ref="J356">Common_InputFunctions.Utility_DisplayArrayInTable(SourceData_PastureBeef.SourceData_PastureBeef_StandardReferenceWeights_Data(), Table_SourceData_PastureBeef_StandardReferenceWeights[[#Headers],[State]], 0)</f>
        <v>660</v>
      </c>
      <c r="K356" s="35" cm="1">
        <f t="array" ref="K356">Common_InputFunctions.Utility_DisplayArrayInTable(SourceData_PastureBeef.SourceData_PastureBeef_StandardReferenceWeights_Data(), Table_SourceData_PastureBeef_StandardReferenceWeights[[#Headers],[State]], 0)</f>
        <v>660</v>
      </c>
      <c r="L356" s="35" t="str" cm="1">
        <f t="array" ref="L356">Common_InputFunctions.Utility_DisplayArrayInTable(SourceData_PastureBeef.SourceData_PastureBeef_StandardReferenceWeights_Data(), Table_SourceData_PastureBeef_StandardReferenceWeights[[#Headers],[State]], 0)</f>
        <v>TAS</v>
      </c>
      <c r="M356" s="1"/>
    </row>
    <row r="357" spans="4:15" x14ac:dyDescent="0.25">
      <c r="D357" s="1" t="str" cm="1">
        <f t="array" ref="D357">Common_InputFunctions.Utility_DisplayArrayInTable(SourceData_PastureBeef.SourceData_PastureBeef_StandardReferenceWeights_Data(), Table_SourceData_PastureBeef_StandardReferenceWeights[[#Headers],[State]], 0)</f>
        <v>Victoria</v>
      </c>
      <c r="E357" s="35" cm="1">
        <f t="array" ref="E357">Common_InputFunctions.Utility_DisplayArrayInTable(SourceData_PastureBeef.SourceData_PastureBeef_StandardReferenceWeights_Data(), Table_SourceData_PastureBeef_StandardReferenceWeights[[#Headers],[State]], 0)</f>
        <v>770</v>
      </c>
      <c r="F357" s="35" cm="1">
        <f t="array" ref="F357">Common_InputFunctions.Utility_DisplayArrayInTable(SourceData_PastureBeef.SourceData_PastureBeef_StandardReferenceWeights_Data(), Table_SourceData_PastureBeef_StandardReferenceWeights[[#Headers],[State]], 0)</f>
        <v>770</v>
      </c>
      <c r="G357" s="35" cm="1">
        <f t="array" ref="G357">Common_InputFunctions.Utility_DisplayArrayInTable(SourceData_PastureBeef.SourceData_PastureBeef_StandardReferenceWeights_Data(), Table_SourceData_PastureBeef_StandardReferenceWeights[[#Headers],[State]], 0)</f>
        <v>550</v>
      </c>
      <c r="H357" s="35" cm="1">
        <f t="array" ref="H357">Common_InputFunctions.Utility_DisplayArrayInTable(SourceData_PastureBeef.SourceData_PastureBeef_StandardReferenceWeights_Data(), Table_SourceData_PastureBeef_StandardReferenceWeights[[#Headers],[State]], 0)</f>
        <v>550</v>
      </c>
      <c r="I357" s="35" cm="1">
        <f t="array" ref="I357">Common_InputFunctions.Utility_DisplayArrayInTable(SourceData_PastureBeef.SourceData_PastureBeef_StandardReferenceWeights_Data(), Table_SourceData_PastureBeef_StandardReferenceWeights[[#Headers],[State]], 0)</f>
        <v>550</v>
      </c>
      <c r="J357" s="35" cm="1">
        <f t="array" ref="J357">Common_InputFunctions.Utility_DisplayArrayInTable(SourceData_PastureBeef.SourceData_PastureBeef_StandardReferenceWeights_Data(), Table_SourceData_PastureBeef_StandardReferenceWeights[[#Headers],[State]], 0)</f>
        <v>660</v>
      </c>
      <c r="K357" s="35" cm="1">
        <f t="array" ref="K357">Common_InputFunctions.Utility_DisplayArrayInTable(SourceData_PastureBeef.SourceData_PastureBeef_StandardReferenceWeights_Data(), Table_SourceData_PastureBeef_StandardReferenceWeights[[#Headers],[State]], 0)</f>
        <v>660</v>
      </c>
      <c r="L357" s="35" t="str" cm="1">
        <f t="array" ref="L357">Common_InputFunctions.Utility_DisplayArrayInTable(SourceData_PastureBeef.SourceData_PastureBeef_StandardReferenceWeights_Data(), Table_SourceData_PastureBeef_StandardReferenceWeights[[#Headers],[State]], 0)</f>
        <v>VIC</v>
      </c>
      <c r="M357" s="1"/>
    </row>
    <row r="358" spans="4:15" x14ac:dyDescent="0.25">
      <c r="D358" s="1" t="str" cm="1">
        <f t="array" ref="D358">Common_InputFunctions.Utility_DisplayArrayInTable(SourceData_PastureBeef.SourceData_PastureBeef_StandardReferenceWeights_Data(), Table_SourceData_PastureBeef_StandardReferenceWeights[[#Headers],[State]], 0)</f>
        <v>Western Australia</v>
      </c>
      <c r="E358" s="35" cm="1">
        <f t="array" ref="E358">Common_InputFunctions.Utility_DisplayArrayInTable(SourceData_PastureBeef.SourceData_PastureBeef_StandardReferenceWeights_Data(), Table_SourceData_PastureBeef_StandardReferenceWeights[[#Headers],[State]], 0)</f>
        <v>770</v>
      </c>
      <c r="F358" s="35" cm="1">
        <f t="array" ref="F358">Common_InputFunctions.Utility_DisplayArrayInTable(SourceData_PastureBeef.SourceData_PastureBeef_StandardReferenceWeights_Data(), Table_SourceData_PastureBeef_StandardReferenceWeights[[#Headers],[State]], 0)</f>
        <v>770</v>
      </c>
      <c r="G358" s="35" cm="1">
        <f t="array" ref="G358">Common_InputFunctions.Utility_DisplayArrayInTable(SourceData_PastureBeef.SourceData_PastureBeef_StandardReferenceWeights_Data(), Table_SourceData_PastureBeef_StandardReferenceWeights[[#Headers],[State]], 0)</f>
        <v>550</v>
      </c>
      <c r="H358" s="35" cm="1">
        <f t="array" ref="H358">Common_InputFunctions.Utility_DisplayArrayInTable(SourceData_PastureBeef.SourceData_PastureBeef_StandardReferenceWeights_Data(), Table_SourceData_PastureBeef_StandardReferenceWeights[[#Headers],[State]], 0)</f>
        <v>550</v>
      </c>
      <c r="I358" s="35" cm="1">
        <f t="array" ref="I358">Common_InputFunctions.Utility_DisplayArrayInTable(SourceData_PastureBeef.SourceData_PastureBeef_StandardReferenceWeights_Data(), Table_SourceData_PastureBeef_StandardReferenceWeights[[#Headers],[State]], 0)</f>
        <v>550</v>
      </c>
      <c r="J358" s="35" cm="1">
        <f t="array" ref="J358">Common_InputFunctions.Utility_DisplayArrayInTable(SourceData_PastureBeef.SourceData_PastureBeef_StandardReferenceWeights_Data(), Table_SourceData_PastureBeef_StandardReferenceWeights[[#Headers],[State]], 0)</f>
        <v>660</v>
      </c>
      <c r="K358" s="35" cm="1">
        <f t="array" ref="K358">Common_InputFunctions.Utility_DisplayArrayInTable(SourceData_PastureBeef.SourceData_PastureBeef_StandardReferenceWeights_Data(), Table_SourceData_PastureBeef_StandardReferenceWeights[[#Headers],[State]], 0)</f>
        <v>660</v>
      </c>
      <c r="L358" s="35" t="str" cm="1">
        <f t="array" ref="L358">Common_InputFunctions.Utility_DisplayArrayInTable(SourceData_PastureBeef.SourceData_PastureBeef_StandardReferenceWeights_Data(), Table_SourceData_PastureBeef_StandardReferenceWeights[[#Headers],[State]], 0)</f>
        <v>WA</v>
      </c>
      <c r="M358" s="1"/>
    </row>
    <row r="359" spans="4:15" x14ac:dyDescent="0.25">
      <c r="M359" s="1"/>
    </row>
    <row r="360" spans="4:15" x14ac:dyDescent="0.25">
      <c r="M360" s="1"/>
    </row>
    <row r="361" spans="4:15" x14ac:dyDescent="0.25">
      <c r="D361" s="35" t="s">
        <v>5</v>
      </c>
      <c r="E361" s="105" t="s">
        <v>103</v>
      </c>
      <c r="F361" s="105" t="s">
        <v>102</v>
      </c>
      <c r="G361" s="105" t="s">
        <v>126</v>
      </c>
      <c r="H361" s="105" t="s">
        <v>127</v>
      </c>
      <c r="I361" s="105" t="s">
        <v>128</v>
      </c>
      <c r="J361" s="105" t="s">
        <v>129</v>
      </c>
      <c r="K361" s="105" t="s">
        <v>130</v>
      </c>
      <c r="L361" s="105" t="s">
        <v>131</v>
      </c>
      <c r="M361" s="105" t="s">
        <v>132</v>
      </c>
      <c r="N361" s="105" t="s">
        <v>133</v>
      </c>
      <c r="O361" s="35" t="s">
        <v>198</v>
      </c>
    </row>
    <row r="362" spans="4:15" x14ac:dyDescent="0.25">
      <c r="D362" s="35" t="str">
        <f>D351</f>
        <v>ACT</v>
      </c>
      <c r="E362" s="35">
        <f t="shared" ref="E362:H362" si="137">E351</f>
        <v>700</v>
      </c>
      <c r="F362" s="35">
        <f t="shared" si="137"/>
        <v>700</v>
      </c>
      <c r="G362" s="35">
        <f t="shared" si="137"/>
        <v>500</v>
      </c>
      <c r="H362" s="35">
        <f t="shared" si="137"/>
        <v>500</v>
      </c>
      <c r="I362" s="35">
        <f>I351</f>
        <v>500</v>
      </c>
      <c r="J362" s="35">
        <f>I351</f>
        <v>500</v>
      </c>
      <c r="K362" s="35">
        <f t="shared" ref="K362" si="138">J351</f>
        <v>600</v>
      </c>
      <c r="L362" s="35">
        <f>K351</f>
        <v>600</v>
      </c>
      <c r="M362" s="35">
        <f>K351</f>
        <v>600</v>
      </c>
      <c r="N362" s="35">
        <f>K351</f>
        <v>600</v>
      </c>
      <c r="O362" s="35" t="str">
        <f>L351</f>
        <v>ACT</v>
      </c>
    </row>
    <row r="363" spans="4:15" x14ac:dyDescent="0.25">
      <c r="D363" s="35" t="str">
        <f t="shared" ref="D363:I363" si="139">D352</f>
        <v>NSW</v>
      </c>
      <c r="E363" s="35">
        <f t="shared" si="139"/>
        <v>700</v>
      </c>
      <c r="F363" s="35">
        <f t="shared" si="139"/>
        <v>700</v>
      </c>
      <c r="G363" s="35">
        <f t="shared" si="139"/>
        <v>500</v>
      </c>
      <c r="H363" s="35">
        <f t="shared" si="139"/>
        <v>500</v>
      </c>
      <c r="I363" s="35">
        <f t="shared" si="139"/>
        <v>500</v>
      </c>
      <c r="J363" s="35">
        <f t="shared" ref="J363:L363" si="140">I352</f>
        <v>500</v>
      </c>
      <c r="K363" s="35">
        <f t="shared" si="140"/>
        <v>600</v>
      </c>
      <c r="L363" s="35">
        <f t="shared" si="140"/>
        <v>600</v>
      </c>
      <c r="M363" s="35">
        <f t="shared" ref="M363:M369" si="141">K352</f>
        <v>600</v>
      </c>
      <c r="N363" s="35">
        <f t="shared" ref="N363:N369" si="142">K352</f>
        <v>600</v>
      </c>
      <c r="O363" s="35" t="str">
        <f t="shared" ref="O363:O369" si="143">L352</f>
        <v>NSW</v>
      </c>
    </row>
    <row r="364" spans="4:15" x14ac:dyDescent="0.25">
      <c r="D364" s="35" t="str">
        <f t="shared" ref="D364:I364" si="144">D353</f>
        <v>Northern Territory</v>
      </c>
      <c r="E364" s="35">
        <f t="shared" si="144"/>
        <v>770</v>
      </c>
      <c r="F364" s="35">
        <f t="shared" si="144"/>
        <v>770</v>
      </c>
      <c r="G364" s="35">
        <f t="shared" si="144"/>
        <v>550</v>
      </c>
      <c r="H364" s="35">
        <f t="shared" si="144"/>
        <v>550</v>
      </c>
      <c r="I364" s="35">
        <f t="shared" si="144"/>
        <v>550</v>
      </c>
      <c r="J364" s="35">
        <f t="shared" ref="J364:L364" si="145">I353</f>
        <v>550</v>
      </c>
      <c r="K364" s="35">
        <f t="shared" si="145"/>
        <v>660</v>
      </c>
      <c r="L364" s="35">
        <f t="shared" si="145"/>
        <v>660</v>
      </c>
      <c r="M364" s="35">
        <f t="shared" si="141"/>
        <v>660</v>
      </c>
      <c r="N364" s="35">
        <f t="shared" si="142"/>
        <v>660</v>
      </c>
      <c r="O364" s="35" t="str">
        <f t="shared" si="143"/>
        <v>NT</v>
      </c>
    </row>
    <row r="365" spans="4:15" x14ac:dyDescent="0.25">
      <c r="D365" s="35" t="str">
        <f t="shared" ref="D365:I365" si="146">D354</f>
        <v>Queensland</v>
      </c>
      <c r="E365" s="35">
        <f t="shared" si="146"/>
        <v>770</v>
      </c>
      <c r="F365" s="35">
        <f t="shared" si="146"/>
        <v>770</v>
      </c>
      <c r="G365" s="35">
        <f t="shared" si="146"/>
        <v>550</v>
      </c>
      <c r="H365" s="35">
        <f t="shared" si="146"/>
        <v>550</v>
      </c>
      <c r="I365" s="35">
        <f t="shared" si="146"/>
        <v>550</v>
      </c>
      <c r="J365" s="35">
        <f t="shared" ref="J365:L365" si="147">I354</f>
        <v>550</v>
      </c>
      <c r="K365" s="35">
        <f t="shared" si="147"/>
        <v>660</v>
      </c>
      <c r="L365" s="35">
        <f t="shared" si="147"/>
        <v>660</v>
      </c>
      <c r="M365" s="35">
        <f t="shared" si="141"/>
        <v>660</v>
      </c>
      <c r="N365" s="35">
        <f t="shared" si="142"/>
        <v>660</v>
      </c>
      <c r="O365" s="35" t="str">
        <f t="shared" si="143"/>
        <v>QLD</v>
      </c>
    </row>
    <row r="366" spans="4:15" x14ac:dyDescent="0.25">
      <c r="D366" s="35" t="str">
        <f t="shared" ref="D366:I366" si="148">D355</f>
        <v>South Australia</v>
      </c>
      <c r="E366" s="35">
        <f t="shared" si="148"/>
        <v>770</v>
      </c>
      <c r="F366" s="35">
        <f t="shared" si="148"/>
        <v>770</v>
      </c>
      <c r="G366" s="35">
        <f t="shared" si="148"/>
        <v>550</v>
      </c>
      <c r="H366" s="35">
        <f t="shared" si="148"/>
        <v>550</v>
      </c>
      <c r="I366" s="35">
        <f t="shared" si="148"/>
        <v>550</v>
      </c>
      <c r="J366" s="35">
        <f t="shared" ref="J366:L366" si="149">I355</f>
        <v>550</v>
      </c>
      <c r="K366" s="35">
        <f t="shared" si="149"/>
        <v>660</v>
      </c>
      <c r="L366" s="35">
        <f t="shared" si="149"/>
        <v>660</v>
      </c>
      <c r="M366" s="35">
        <f t="shared" si="141"/>
        <v>660</v>
      </c>
      <c r="N366" s="35">
        <f t="shared" si="142"/>
        <v>660</v>
      </c>
      <c r="O366" s="35" t="str">
        <f t="shared" si="143"/>
        <v>SA</v>
      </c>
    </row>
    <row r="367" spans="4:15" x14ac:dyDescent="0.25">
      <c r="D367" s="35" t="str">
        <f t="shared" ref="D367:I367" si="150">D356</f>
        <v>Tasmania</v>
      </c>
      <c r="E367" s="35">
        <f t="shared" si="150"/>
        <v>770</v>
      </c>
      <c r="F367" s="35">
        <f t="shared" si="150"/>
        <v>770</v>
      </c>
      <c r="G367" s="35">
        <f t="shared" si="150"/>
        <v>550</v>
      </c>
      <c r="H367" s="35">
        <f t="shared" si="150"/>
        <v>550</v>
      </c>
      <c r="I367" s="35">
        <f t="shared" si="150"/>
        <v>550</v>
      </c>
      <c r="J367" s="35">
        <f t="shared" ref="J367:L367" si="151">I356</f>
        <v>550</v>
      </c>
      <c r="K367" s="35">
        <f t="shared" si="151"/>
        <v>660</v>
      </c>
      <c r="L367" s="35">
        <f t="shared" si="151"/>
        <v>660</v>
      </c>
      <c r="M367" s="35">
        <f t="shared" si="141"/>
        <v>660</v>
      </c>
      <c r="N367" s="35">
        <f t="shared" si="142"/>
        <v>660</v>
      </c>
      <c r="O367" s="35" t="str">
        <f t="shared" si="143"/>
        <v>TAS</v>
      </c>
    </row>
    <row r="368" spans="4:15" x14ac:dyDescent="0.25">
      <c r="D368" s="35" t="str">
        <f t="shared" ref="D368:I368" si="152">D357</f>
        <v>Victoria</v>
      </c>
      <c r="E368" s="35">
        <f t="shared" si="152"/>
        <v>770</v>
      </c>
      <c r="F368" s="35">
        <f t="shared" si="152"/>
        <v>770</v>
      </c>
      <c r="G368" s="35">
        <f t="shared" si="152"/>
        <v>550</v>
      </c>
      <c r="H368" s="35">
        <f t="shared" si="152"/>
        <v>550</v>
      </c>
      <c r="I368" s="35">
        <f t="shared" si="152"/>
        <v>550</v>
      </c>
      <c r="J368" s="35">
        <f t="shared" ref="J368:L368" si="153">I357</f>
        <v>550</v>
      </c>
      <c r="K368" s="35">
        <f t="shared" si="153"/>
        <v>660</v>
      </c>
      <c r="L368" s="35">
        <f t="shared" si="153"/>
        <v>660</v>
      </c>
      <c r="M368" s="35">
        <f t="shared" si="141"/>
        <v>660</v>
      </c>
      <c r="N368" s="35">
        <f t="shared" si="142"/>
        <v>660</v>
      </c>
      <c r="O368" s="35" t="str">
        <f t="shared" si="143"/>
        <v>VIC</v>
      </c>
    </row>
    <row r="369" spans="4:15" x14ac:dyDescent="0.25">
      <c r="D369" s="35" t="str">
        <f t="shared" ref="D369:I369" si="154">D358</f>
        <v>Western Australia</v>
      </c>
      <c r="E369" s="35">
        <f t="shared" si="154"/>
        <v>770</v>
      </c>
      <c r="F369" s="35">
        <f t="shared" si="154"/>
        <v>770</v>
      </c>
      <c r="G369" s="35">
        <f t="shared" si="154"/>
        <v>550</v>
      </c>
      <c r="H369" s="35">
        <f t="shared" si="154"/>
        <v>550</v>
      </c>
      <c r="I369" s="35">
        <f t="shared" si="154"/>
        <v>550</v>
      </c>
      <c r="J369" s="35">
        <f t="shared" ref="J369:L369" si="155">I358</f>
        <v>550</v>
      </c>
      <c r="K369" s="35">
        <f t="shared" si="155"/>
        <v>660</v>
      </c>
      <c r="L369" s="35">
        <f t="shared" si="155"/>
        <v>660</v>
      </c>
      <c r="M369" s="35">
        <f t="shared" si="141"/>
        <v>660</v>
      </c>
      <c r="N369" s="35">
        <f t="shared" si="142"/>
        <v>660</v>
      </c>
      <c r="O369" s="35" t="str">
        <f t="shared" si="143"/>
        <v>WA</v>
      </c>
    </row>
    <row r="370" spans="4:15" x14ac:dyDescent="0.25">
      <c r="M370" s="1"/>
    </row>
    <row r="371" spans="4:15" x14ac:dyDescent="0.25">
      <c r="M371" s="1"/>
    </row>
    <row r="372" spans="4:15" ht="23.25" x14ac:dyDescent="0.25">
      <c r="D372" s="6" t="str" cm="1">
        <f t="array" ref="D372">SourceData_PastureBeef.SourceData_PastureBeef_FractionOfManureToMMS_Title()</f>
        <v>Beef pasture cattle - Fraction of manure to each manure management system (fraction) (MMSm)</v>
      </c>
      <c r="M372" s="1"/>
    </row>
    <row r="373" spans="4:15" x14ac:dyDescent="0.25">
      <c r="D373" s="5" t="str" cm="1">
        <f t="array" ref="D373">SourceData_PastureBeef.SourceData_PastureBeef_FractionOfManureToMMS_Source()</f>
        <v>VEERG 2026: Table A.1.2.9</v>
      </c>
      <c r="M373" s="1"/>
    </row>
    <row r="374" spans="4:15" x14ac:dyDescent="0.25">
      <c r="D374" s="1" t="str" cm="1">
        <f t="array" ref="D374">SourceData_PastureBeef.SourceData_PastureBeef_FractionOfManureToMMS_Variable()</f>
        <v>MMSm</v>
      </c>
      <c r="M374" s="1"/>
    </row>
    <row r="375" spans="4:15" x14ac:dyDescent="0.25">
      <c r="D375" s="51" t="str" cm="1">
        <f t="array" ref="D375">SourceData_PastureBeef.SourceData_PastureBeef_FractionOfManureToMMS_Unit()</f>
        <v>fraction</v>
      </c>
      <c r="E375" s="99" t="s">
        <v>223</v>
      </c>
      <c r="M375" s="1"/>
    </row>
    <row r="376" spans="4:15" x14ac:dyDescent="0.25">
      <c r="D376" s="52" t="str" cm="1">
        <f t="array" ref="D376">SourceData_PastureBeef.SourceData_PastureBeef_FractionOfManureToMMS_Variation()</f>
        <v>VARIATION ON SOURCE: Removed comma from 'Pasture range and paddock' to aid lookup</v>
      </c>
      <c r="M376" s="1"/>
    </row>
    <row r="377" spans="4:15" x14ac:dyDescent="0.25">
      <c r="D377" s="35" t="s">
        <v>5</v>
      </c>
      <c r="E377" s="35" t="s">
        <v>144</v>
      </c>
      <c r="F377" s="35" t="s">
        <v>109</v>
      </c>
      <c r="G377" s="35" t="s">
        <v>199</v>
      </c>
      <c r="M377" s="1"/>
    </row>
    <row r="378" spans="4:15" x14ac:dyDescent="0.25">
      <c r="D378" s="35" t="str" cm="1">
        <f t="array" ref="D378">Common_InputFunctions.Utility_DisplayArrayInTable(SourceData_PastureBeef.SourceData_PastureBeef_FractionOfManureToMMS_Data(),Table_SourceData_PastureBeef_FractionManureToMMS[[#Headers],[State]], 0)</f>
        <v>ACT</v>
      </c>
      <c r="E378" s="35" t="str" cm="1">
        <f t="array" ref="E378">Common_InputFunctions.Utility_DisplayArrayInTable(SourceData_PastureBeef.SourceData_PastureBeef_FractionOfManureToMMS_Data(),Table_SourceData_PastureBeef_FractionManureToMMS[[#Headers],[State]], 0)</f>
        <v>n/a</v>
      </c>
      <c r="F378" s="35" cm="1">
        <f t="array" ref="F378">Common_InputFunctions.Utility_DisplayArrayInTable(SourceData_PastureBeef.SourceData_PastureBeef_FractionOfManureToMMS_Data(),Table_SourceData_PastureBeef_FractionManureToMMS[[#Headers],[State]], 0)</f>
        <v>99.191999999999993</v>
      </c>
      <c r="G378" s="35" cm="1">
        <f t="array" ref="G378">Common_InputFunctions.Utility_DisplayArrayInTable(SourceData_PastureBeef.SourceData_PastureBeef_FractionOfManureToMMS_Data(),Table_SourceData_PastureBeef_FractionManureToMMS[[#Headers],[State]], 0)</f>
        <v>0.80800000000000005</v>
      </c>
      <c r="M378" s="1"/>
    </row>
    <row r="379" spans="4:15" x14ac:dyDescent="0.25">
      <c r="D379" s="1" t="str" cm="1">
        <f t="array" ref="D379">Common_InputFunctions.Utility_DisplayArrayInTable(SourceData_PastureBeef.SourceData_PastureBeef_FractionOfManureToMMS_Data(),Table_SourceData_PastureBeef_FractionManureToMMS[[#Headers],[State]], 0)</f>
        <v>NSW</v>
      </c>
      <c r="E379" s="35" t="str" cm="1">
        <f t="array" ref="E379">Common_InputFunctions.Utility_DisplayArrayInTable(SourceData_PastureBeef.SourceData_PastureBeef_FractionOfManureToMMS_Data(),Table_SourceData_PastureBeef_FractionManureToMMS[[#Headers],[State]], 0)</f>
        <v>n/a</v>
      </c>
      <c r="F379" s="35" cm="1">
        <f t="array" ref="F379">Common_InputFunctions.Utility_DisplayArrayInTable(SourceData_PastureBeef.SourceData_PastureBeef_FractionOfManureToMMS_Data(),Table_SourceData_PastureBeef_FractionManureToMMS[[#Headers],[State]], 0)</f>
        <v>99.451999999999998</v>
      </c>
      <c r="G379" s="35" cm="1">
        <f t="array" ref="G379">Common_InputFunctions.Utility_DisplayArrayInTable(SourceData_PastureBeef.SourceData_PastureBeef_FractionOfManureToMMS_Data(),Table_SourceData_PastureBeef_FractionManureToMMS[[#Headers],[State]], 0)</f>
        <v>0.54800000000000004</v>
      </c>
      <c r="M379" s="1"/>
    </row>
    <row r="380" spans="4:15" x14ac:dyDescent="0.25">
      <c r="D380" s="1" t="str" cm="1">
        <f t="array" ref="D380">Common_InputFunctions.Utility_DisplayArrayInTable(SourceData_PastureBeef.SourceData_PastureBeef_FractionOfManureToMMS_Data(),Table_SourceData_PastureBeef_FractionManureToMMS[[#Headers],[State]], 0)</f>
        <v>SA</v>
      </c>
      <c r="E380" s="35" t="str" cm="1">
        <f t="array" ref="E380">Common_InputFunctions.Utility_DisplayArrayInTable(SourceData_PastureBeef.SourceData_PastureBeef_FractionOfManureToMMS_Data(),Table_SourceData_PastureBeef_FractionManureToMMS[[#Headers],[State]], 0)</f>
        <v>n/a</v>
      </c>
      <c r="F380" s="35" cm="1">
        <f t="array" ref="F380">Common_InputFunctions.Utility_DisplayArrayInTable(SourceData_PastureBeef.SourceData_PastureBeef_FractionOfManureToMMS_Data(),Table_SourceData_PastureBeef_FractionManureToMMS[[#Headers],[State]], 0)</f>
        <v>99.759</v>
      </c>
      <c r="G380" s="35" cm="1">
        <f t="array" ref="G380">Common_InputFunctions.Utility_DisplayArrayInTable(SourceData_PastureBeef.SourceData_PastureBeef_FractionOfManureToMMS_Data(),Table_SourceData_PastureBeef_FractionManureToMMS[[#Headers],[State]], 0)</f>
        <v>0.24099999999999999</v>
      </c>
      <c r="M380" s="1"/>
    </row>
    <row r="381" spans="4:15" x14ac:dyDescent="0.25">
      <c r="D381" s="1" t="str" cm="1">
        <f t="array" ref="D381">Common_InputFunctions.Utility_DisplayArrayInTable(SourceData_PastureBeef.SourceData_PastureBeef_FractionOfManureToMMS_Data(),Table_SourceData_PastureBeef_FractionManureToMMS[[#Headers],[State]], 0)</f>
        <v>TAS</v>
      </c>
      <c r="E381" s="35" t="str" cm="1">
        <f t="array" ref="E381">Common_InputFunctions.Utility_DisplayArrayInTable(SourceData_PastureBeef.SourceData_PastureBeef_FractionOfManureToMMS_Data(),Table_SourceData_PastureBeef_FractionManureToMMS[[#Headers],[State]], 0)</f>
        <v>n/a</v>
      </c>
      <c r="F381" s="35" cm="1">
        <f t="array" ref="F381">Common_InputFunctions.Utility_DisplayArrayInTable(SourceData_PastureBeef.SourceData_PastureBeef_FractionOfManureToMMS_Data(),Table_SourceData_PastureBeef_FractionManureToMMS[[#Headers],[State]], 0)</f>
        <v>99.122</v>
      </c>
      <c r="G381" s="35" cm="1">
        <f t="array" ref="G381">Common_InputFunctions.Utility_DisplayArrayInTable(SourceData_PastureBeef.SourceData_PastureBeef_FractionOfManureToMMS_Data(),Table_SourceData_PastureBeef_FractionManureToMMS[[#Headers],[State]], 0)</f>
        <v>0.878</v>
      </c>
      <c r="M381" s="1"/>
    </row>
    <row r="382" spans="4:15" x14ac:dyDescent="0.25">
      <c r="D382" s="1" t="str" cm="1">
        <f t="array" ref="D382">Common_InputFunctions.Utility_DisplayArrayInTable(SourceData_PastureBeef.SourceData_PastureBeef_FractionOfManureToMMS_Data(),Table_SourceData_PastureBeef_FractionManureToMMS[[#Headers],[State]], 0)</f>
        <v>VIC</v>
      </c>
      <c r="E382" s="35" t="str" cm="1">
        <f t="array" ref="E382">Common_InputFunctions.Utility_DisplayArrayInTable(SourceData_PastureBeef.SourceData_PastureBeef_FractionOfManureToMMS_Data(),Table_SourceData_PastureBeef_FractionManureToMMS[[#Headers],[State]], 0)</f>
        <v>n/a</v>
      </c>
      <c r="F382" s="35" cm="1">
        <f t="array" ref="F382">Common_InputFunctions.Utility_DisplayArrayInTable(SourceData_PastureBeef.SourceData_PastureBeef_FractionOfManureToMMS_Data(),Table_SourceData_PastureBeef_FractionManureToMMS[[#Headers],[State]], 0)</f>
        <v>98.894000000000005</v>
      </c>
      <c r="G382" s="35" cm="1">
        <f t="array" ref="G382">Common_InputFunctions.Utility_DisplayArrayInTable(SourceData_PastureBeef.SourceData_PastureBeef_FractionOfManureToMMS_Data(),Table_SourceData_PastureBeef_FractionManureToMMS[[#Headers],[State]], 0)</f>
        <v>1.1060000000000001</v>
      </c>
      <c r="M382" s="1"/>
    </row>
    <row r="383" spans="4:15" x14ac:dyDescent="0.25">
      <c r="D383" s="1" t="str" cm="1">
        <f t="array" ref="D383">Common_InputFunctions.Utility_DisplayArrayInTable(SourceData_PastureBeef.SourceData_PastureBeef_FractionOfManureToMMS_Data(),Table_SourceData_PastureBeef_FractionManureToMMS[[#Headers],[State]], 0)</f>
        <v>WA</v>
      </c>
      <c r="E383" s="35" t="str" cm="1">
        <f t="array" ref="E383">Common_InputFunctions.Utility_DisplayArrayInTable(SourceData_PastureBeef.SourceData_PastureBeef_FractionOfManureToMMS_Data(),Table_SourceData_PastureBeef_FractionManureToMMS[[#Headers],[State]], 0)</f>
        <v>South West</v>
      </c>
      <c r="F383" s="35" cm="1">
        <f t="array" ref="F383">Common_InputFunctions.Utility_DisplayArrayInTable(SourceData_PastureBeef.SourceData_PastureBeef_FractionOfManureToMMS_Data(),Table_SourceData_PastureBeef_FractionManureToMMS[[#Headers],[State]], 0)</f>
        <v>99.622</v>
      </c>
      <c r="G383" s="35" cm="1">
        <f t="array" ref="G383">Common_InputFunctions.Utility_DisplayArrayInTable(SourceData_PastureBeef.SourceData_PastureBeef_FractionOfManureToMMS_Data(),Table_SourceData_PastureBeef_FractionManureToMMS[[#Headers],[State]], 0)</f>
        <v>0.378</v>
      </c>
      <c r="M383" s="1"/>
    </row>
    <row r="384" spans="4:15" x14ac:dyDescent="0.25">
      <c r="D384" s="1" t="str" cm="1">
        <f t="array" ref="D384">Common_InputFunctions.Utility_DisplayArrayInTable(SourceData_PastureBeef.SourceData_PastureBeef_FractionOfManureToMMS_Data(),Table_SourceData_PastureBeef_FractionManureToMMS[[#Headers],[State]], 0)</f>
        <v>WA</v>
      </c>
      <c r="E384" s="35" t="str" cm="1">
        <f t="array" ref="E384">Common_InputFunctions.Utility_DisplayArrayInTable(SourceData_PastureBeef.SourceData_PastureBeef_FractionOfManureToMMS_Data(),Table_SourceData_PastureBeef_FractionManureToMMS[[#Headers],[State]], 0)</f>
        <v>Pilbara</v>
      </c>
      <c r="F384" s="35" cm="1">
        <f t="array" ref="F384">Common_InputFunctions.Utility_DisplayArrayInTable(SourceData_PastureBeef.SourceData_PastureBeef_FractionOfManureToMMS_Data(),Table_SourceData_PastureBeef_FractionManureToMMS[[#Headers],[State]], 0)</f>
        <v>99.998999999999995</v>
      </c>
      <c r="G384" s="35" cm="1">
        <f t="array" ref="G384">Common_InputFunctions.Utility_DisplayArrayInTable(SourceData_PastureBeef.SourceData_PastureBeef_FractionOfManureToMMS_Data(),Table_SourceData_PastureBeef_FractionManureToMMS[[#Headers],[State]], 0)</f>
        <v>1E-3</v>
      </c>
      <c r="M384" s="1"/>
    </row>
    <row r="385" spans="4:13" x14ac:dyDescent="0.25">
      <c r="D385" s="1" t="str" cm="1">
        <f t="array" ref="D385">Common_InputFunctions.Utility_DisplayArrayInTable(SourceData_PastureBeef.SourceData_PastureBeef_FractionOfManureToMMS_Data(),Table_SourceData_PastureBeef_FractionManureToMMS[[#Headers],[State]], 0)</f>
        <v>WA</v>
      </c>
      <c r="E385" s="35" t="str" cm="1">
        <f t="array" ref="E385">Common_InputFunctions.Utility_DisplayArrayInTable(SourceData_PastureBeef.SourceData_PastureBeef_FractionOfManureToMMS_Data(),Table_SourceData_PastureBeef_FractionManureToMMS[[#Headers],[State]], 0)</f>
        <v>Kimberley</v>
      </c>
      <c r="F385" s="35" cm="1">
        <f t="array" ref="F385">Common_InputFunctions.Utility_DisplayArrayInTable(SourceData_PastureBeef.SourceData_PastureBeef_FractionOfManureToMMS_Data(),Table_SourceData_PastureBeef_FractionManureToMMS[[#Headers],[State]], 0)</f>
        <v>99.998999999999995</v>
      </c>
      <c r="G385" s="35" cm="1">
        <f t="array" ref="G385">Common_InputFunctions.Utility_DisplayArrayInTable(SourceData_PastureBeef.SourceData_PastureBeef_FractionOfManureToMMS_Data(),Table_SourceData_PastureBeef_FractionManureToMMS[[#Headers],[State]], 0)</f>
        <v>1E-3</v>
      </c>
      <c r="M385" s="1"/>
    </row>
    <row r="386" spans="4:13" x14ac:dyDescent="0.25">
      <c r="D386" s="1" t="str" cm="1">
        <f t="array" ref="D386">Common_InputFunctions.Utility_DisplayArrayInTable(SourceData_PastureBeef.SourceData_PastureBeef_FractionOfManureToMMS_Data(),Table_SourceData_PastureBeef_FractionManureToMMS[[#Headers],[State]], 0)</f>
        <v>NT</v>
      </c>
      <c r="E386" s="35" t="str" cm="1">
        <f t="array" ref="E386">Common_InputFunctions.Utility_DisplayArrayInTable(SourceData_PastureBeef.SourceData_PastureBeef_FractionOfManureToMMS_Data(),Table_SourceData_PastureBeef_FractionManureToMMS[[#Headers],[State]], 0)</f>
        <v>Alice Springs</v>
      </c>
      <c r="F386" s="35" cm="1">
        <f t="array" ref="F386">Common_InputFunctions.Utility_DisplayArrayInTable(SourceData_PastureBeef.SourceData_PastureBeef_FractionOfManureToMMS_Data(),Table_SourceData_PastureBeef_FractionManureToMMS[[#Headers],[State]], 0)</f>
        <v>99.998999999999995</v>
      </c>
      <c r="G386" s="35" cm="1">
        <f t="array" ref="G386">Common_InputFunctions.Utility_DisplayArrayInTable(SourceData_PastureBeef.SourceData_PastureBeef_FractionOfManureToMMS_Data(),Table_SourceData_PastureBeef_FractionManureToMMS[[#Headers],[State]], 0)</f>
        <v>1E-3</v>
      </c>
      <c r="M386" s="1"/>
    </row>
    <row r="387" spans="4:13" x14ac:dyDescent="0.25">
      <c r="D387" s="1" t="str" cm="1">
        <f t="array" ref="D387">Common_InputFunctions.Utility_DisplayArrayInTable(SourceData_PastureBeef.SourceData_PastureBeef_FractionOfManureToMMS_Data(),Table_SourceData_PastureBeef_FractionManureToMMS[[#Headers],[State]], 0)</f>
        <v>NT</v>
      </c>
      <c r="E387" s="35" t="str" cm="1">
        <f t="array" ref="E387">Common_InputFunctions.Utility_DisplayArrayInTable(SourceData_PastureBeef.SourceData_PastureBeef_FractionOfManureToMMS_Data(),Table_SourceData_PastureBeef_FractionManureToMMS[[#Headers],[State]], 0)</f>
        <v>Barkly</v>
      </c>
      <c r="F387" s="35" cm="1">
        <f t="array" ref="F387">Common_InputFunctions.Utility_DisplayArrayInTable(SourceData_PastureBeef.SourceData_PastureBeef_FractionOfManureToMMS_Data(),Table_SourceData_PastureBeef_FractionManureToMMS[[#Headers],[State]], 0)</f>
        <v>99.994</v>
      </c>
      <c r="G387" s="35" cm="1">
        <f t="array" ref="G387">Common_InputFunctions.Utility_DisplayArrayInTable(SourceData_PastureBeef.SourceData_PastureBeef_FractionOfManureToMMS_Data(),Table_SourceData_PastureBeef_FractionManureToMMS[[#Headers],[State]], 0)</f>
        <v>6.0000000000000001E-3</v>
      </c>
      <c r="M387" s="1"/>
    </row>
    <row r="388" spans="4:13" x14ac:dyDescent="0.25">
      <c r="D388" s="1" t="str" cm="1">
        <f t="array" ref="D388">Common_InputFunctions.Utility_DisplayArrayInTable(SourceData_PastureBeef.SourceData_PastureBeef_FractionOfManureToMMS_Data(),Table_SourceData_PastureBeef_FractionManureToMMS[[#Headers],[State]], 0)</f>
        <v>NT</v>
      </c>
      <c r="E388" s="35" t="str" cm="1">
        <f t="array" ref="E388">Common_InputFunctions.Utility_DisplayArrayInTable(SourceData_PastureBeef.SourceData_PastureBeef_FractionOfManureToMMS_Data(),Table_SourceData_PastureBeef_FractionManureToMMS[[#Headers],[State]], 0)</f>
        <v>Northern</v>
      </c>
      <c r="F388" s="35" cm="1">
        <f t="array" ref="F388">Common_InputFunctions.Utility_DisplayArrayInTable(SourceData_PastureBeef.SourceData_PastureBeef_FractionOfManureToMMS_Data(),Table_SourceData_PastureBeef_FractionManureToMMS[[#Headers],[State]], 0)</f>
        <v>99.998999999999995</v>
      </c>
      <c r="G388" s="35" cm="1">
        <f t="array" ref="G388">Common_InputFunctions.Utility_DisplayArrayInTable(SourceData_PastureBeef.SourceData_PastureBeef_FractionOfManureToMMS_Data(),Table_SourceData_PastureBeef_FractionManureToMMS[[#Headers],[State]], 0)</f>
        <v>1E-3</v>
      </c>
      <c r="M388" s="1"/>
    </row>
    <row r="389" spans="4:13" x14ac:dyDescent="0.25">
      <c r="D389" s="1" t="str" cm="1">
        <f t="array" ref="D389">Common_InputFunctions.Utility_DisplayArrayInTable(SourceData_PastureBeef.SourceData_PastureBeef_FractionOfManureToMMS_Data(),Table_SourceData_PastureBeef_FractionManureToMMS[[#Headers],[State]], 0)</f>
        <v>QLD</v>
      </c>
      <c r="E389" s="35" t="str" cm="1">
        <f t="array" ref="E389">Common_InputFunctions.Utility_DisplayArrayInTable(SourceData_PastureBeef.SourceData_PastureBeef_FractionOfManureToMMS_Data(),Table_SourceData_PastureBeef_FractionManureToMMS[[#Headers],[State]], 0)</f>
        <v>High</v>
      </c>
      <c r="F389" s="35" cm="1">
        <f t="array" ref="F389">Common_InputFunctions.Utility_DisplayArrayInTable(SourceData_PastureBeef.SourceData_PastureBeef_FractionOfManureToMMS_Data(),Table_SourceData_PastureBeef_FractionManureToMMS[[#Headers],[State]], 0)</f>
        <v>99.772999999999996</v>
      </c>
      <c r="G389" s="35" cm="1">
        <f t="array" ref="G389">Common_InputFunctions.Utility_DisplayArrayInTable(SourceData_PastureBeef.SourceData_PastureBeef_FractionOfManureToMMS_Data(),Table_SourceData_PastureBeef_FractionManureToMMS[[#Headers],[State]], 0)</f>
        <v>0.22700000000000001</v>
      </c>
      <c r="M389" s="1"/>
    </row>
    <row r="390" spans="4:13" x14ac:dyDescent="0.25">
      <c r="D390" s="1" t="str" cm="1">
        <f t="array" ref="D390">Common_InputFunctions.Utility_DisplayArrayInTable(SourceData_PastureBeef.SourceData_PastureBeef_FractionOfManureToMMS_Data(),Table_SourceData_PastureBeef_FractionManureToMMS[[#Headers],[State]], 0)</f>
        <v>QLD</v>
      </c>
      <c r="E390" s="35" t="str" cm="1">
        <f t="array" ref="E390">Common_InputFunctions.Utility_DisplayArrayInTable(SourceData_PastureBeef.SourceData_PastureBeef_FractionOfManureToMMS_Data(),Table_SourceData_PastureBeef_FractionManureToMMS[[#Headers],[State]], 0)</f>
        <v>Moderate/High</v>
      </c>
      <c r="F390" s="35" cm="1">
        <f t="array" ref="F390">Common_InputFunctions.Utility_DisplayArrayInTable(SourceData_PastureBeef.SourceData_PastureBeef_FractionOfManureToMMS_Data(),Table_SourceData_PastureBeef_FractionManureToMMS[[#Headers],[State]], 0)</f>
        <v>99.897999999999996</v>
      </c>
      <c r="G390" s="35" cm="1">
        <f t="array" ref="G390">Common_InputFunctions.Utility_DisplayArrayInTable(SourceData_PastureBeef.SourceData_PastureBeef_FractionOfManureToMMS_Data(),Table_SourceData_PastureBeef_FractionManureToMMS[[#Headers],[State]], 0)</f>
        <v>0.10199999999999999</v>
      </c>
      <c r="M390" s="1"/>
    </row>
    <row r="391" spans="4:13" x14ac:dyDescent="0.25">
      <c r="D391" s="1" t="str" cm="1">
        <f t="array" ref="D391">Common_InputFunctions.Utility_DisplayArrayInTable(SourceData_PastureBeef.SourceData_PastureBeef_FractionOfManureToMMS_Data(),Table_SourceData_PastureBeef_FractionManureToMMS[[#Headers],[State]], 0)</f>
        <v>QLD</v>
      </c>
      <c r="E391" s="35" t="str" cm="1">
        <f t="array" ref="E391">Common_InputFunctions.Utility_DisplayArrayInTable(SourceData_PastureBeef.SourceData_PastureBeef_FractionOfManureToMMS_Data(),Table_SourceData_PastureBeef_FractionManureToMMS[[#Headers],[State]], 0)</f>
        <v>Moderate/Low</v>
      </c>
      <c r="F391" s="35" cm="1">
        <f t="array" ref="F391">Common_InputFunctions.Utility_DisplayArrayInTable(SourceData_PastureBeef.SourceData_PastureBeef_FractionOfManureToMMS_Data(),Table_SourceData_PastureBeef_FractionManureToMMS[[#Headers],[State]], 0)</f>
        <v>99.978999999999999</v>
      </c>
      <c r="G391" s="35" cm="1">
        <f t="array" ref="G391">Common_InputFunctions.Utility_DisplayArrayInTable(SourceData_PastureBeef.SourceData_PastureBeef_FractionOfManureToMMS_Data(),Table_SourceData_PastureBeef_FractionManureToMMS[[#Headers],[State]], 0)</f>
        <v>2.1000000000000001E-2</v>
      </c>
      <c r="M391" s="1"/>
    </row>
    <row r="392" spans="4:13" x14ac:dyDescent="0.25">
      <c r="D392" s="1" t="str" cm="1">
        <f t="array" ref="D392">Common_InputFunctions.Utility_DisplayArrayInTable(SourceData_PastureBeef.SourceData_PastureBeef_FractionOfManureToMMS_Data(),Table_SourceData_PastureBeef_FractionManureToMMS[[#Headers],[State]], 0)</f>
        <v>QLD</v>
      </c>
      <c r="E392" s="35" t="str" cm="1">
        <f t="array" ref="E392">Common_InputFunctions.Utility_DisplayArrayInTable(SourceData_PastureBeef.SourceData_PastureBeef_FractionOfManureToMMS_Data(),Table_SourceData_PastureBeef_FractionManureToMMS[[#Headers],[State]], 0)</f>
        <v>Low</v>
      </c>
      <c r="F392" s="35" cm="1">
        <f t="array" ref="F392">Common_InputFunctions.Utility_DisplayArrayInTable(SourceData_PastureBeef.SourceData_PastureBeef_FractionOfManureToMMS_Data(),Table_SourceData_PastureBeef_FractionManureToMMS[[#Headers],[State]], 0)</f>
        <v>99.977000000000004</v>
      </c>
      <c r="G392" s="35" cm="1">
        <f t="array" ref="G392">Common_InputFunctions.Utility_DisplayArrayInTable(SourceData_PastureBeef.SourceData_PastureBeef_FractionOfManureToMMS_Data(),Table_SourceData_PastureBeef_FractionManureToMMS[[#Headers],[State]], 0)</f>
        <v>2.3E-2</v>
      </c>
      <c r="M392" s="1"/>
    </row>
    <row r="393" spans="4:13" x14ac:dyDescent="0.25">
      <c r="M393" s="1"/>
    </row>
    <row r="394" spans="4:13" x14ac:dyDescent="0.25">
      <c r="M394" s="1"/>
    </row>
    <row r="395" spans="4:13" ht="23.25" x14ac:dyDescent="0.25">
      <c r="D395" s="6" t="str" cm="1">
        <f t="array" ref="D395">SourceData_PastureBeef.SourceData_PastureBeef_MethaneConversionFactorPerRegion_Title()</f>
        <v>Beef pasture cattle - Methane conversion factor per region (fraction) (MCFim)</v>
      </c>
      <c r="M395" s="1"/>
    </row>
    <row r="396" spans="4:13" x14ac:dyDescent="0.25">
      <c r="D396" s="5" t="str" cm="1">
        <f t="array" ref="D396">SourceData_PastureBeef.SourceData_PastureBeef_MethaneConversionFactorPerRegion_Source()</f>
        <v>VEERG 2026: Table A.1.2.10</v>
      </c>
      <c r="M396" s="1"/>
    </row>
    <row r="397" spans="4:13" x14ac:dyDescent="0.25">
      <c r="D397" s="1" t="str" cm="1">
        <f t="array" ref="D397">SourceData_PastureBeef.SourceData_PastureBeef_MethaneConversionFactorPerRegion_Variable()</f>
        <v>MCFim</v>
      </c>
      <c r="M397" s="1"/>
    </row>
    <row r="398" spans="4:13" x14ac:dyDescent="0.25">
      <c r="D398" s="51" t="str" cm="1">
        <f t="array" ref="D398">SourceData_PastureBeef.SourceData_PastureBeef_MethaneConversionFactorPerRegion_Unit()</f>
        <v>fraction</v>
      </c>
      <c r="M398" s="1"/>
    </row>
    <row r="399" spans="4:13" x14ac:dyDescent="0.25">
      <c r="D399" s="52" t="str" cm="1">
        <f t="array" ref="D399">SourceData_PastureBeef.SourceData_PastureBeef_MethaneConversionFactorPerRegion_Variation()</f>
        <v>VARIATION ON SOURCE: Removed comma from 'Pasture range and paddock' to aid lookup</v>
      </c>
      <c r="M399" s="1"/>
    </row>
    <row r="400" spans="4:13" x14ac:dyDescent="0.25">
      <c r="D400" s="35" t="s">
        <v>5</v>
      </c>
      <c r="E400" s="35" t="s">
        <v>144</v>
      </c>
      <c r="F400" s="35" t="s">
        <v>109</v>
      </c>
      <c r="G400" s="35" t="s">
        <v>199</v>
      </c>
      <c r="M400" s="1"/>
    </row>
    <row r="401" spans="4:13" x14ac:dyDescent="0.25">
      <c r="D401" s="35" t="str" cm="1">
        <f t="array" ref="D401">Common_InputFunctions.Utility_DisplayArrayInTable(SourceData_PastureBeef.SourceData_PastureBeef_MethaneConversionFactorPerRegion_Data(), Table_SourceData_PastureBeef_MethaneConversionFactor[[#Headers],[State]], 0)</f>
        <v>ACT</v>
      </c>
      <c r="E401" s="35" t="str" cm="1">
        <f t="array" ref="E401">Common_InputFunctions.Utility_DisplayArrayInTable(SourceData_PastureBeef.SourceData_PastureBeef_MethaneConversionFactorPerRegion_Data(), Table_SourceData_PastureBeef_MethaneConversionFactor[[#Headers],[State]], 0)</f>
        <v>n/a</v>
      </c>
      <c r="F401" s="35" cm="1">
        <f t="array" ref="F401">Common_InputFunctions.Utility_DisplayArrayInTable(SourceData_PastureBeef.SourceData_PastureBeef_MethaneConversionFactorPerRegion_Data(), Table_SourceData_PastureBeef_MethaneConversionFactor[[#Headers],[State]], 0)</f>
        <v>4.7000000000000002E-3</v>
      </c>
      <c r="G401" s="35" cm="1">
        <f t="array" ref="G401">Common_InputFunctions.Utility_DisplayArrayInTable(SourceData_PastureBeef.SourceData_PastureBeef_MethaneConversionFactorPerRegion_Data(), Table_SourceData_PastureBeef_MethaneConversionFactor[[#Headers],[State]], 0)</f>
        <v>0.71</v>
      </c>
      <c r="M401" s="1"/>
    </row>
    <row r="402" spans="4:13" x14ac:dyDescent="0.25">
      <c r="D402" s="35" t="str" cm="1">
        <f t="array" ref="D402">Common_InputFunctions.Utility_DisplayArrayInTable(SourceData_PastureBeef.SourceData_PastureBeef_MethaneConversionFactorPerRegion_Data(), Table_SourceData_PastureBeef_MethaneConversionFactor[[#Headers],[State]], 0)</f>
        <v>NSW</v>
      </c>
      <c r="E402" s="35" t="str" cm="1">
        <f t="array" ref="E402">Common_InputFunctions.Utility_DisplayArrayInTable(SourceData_PastureBeef.SourceData_PastureBeef_MethaneConversionFactorPerRegion_Data(), Table_SourceData_PastureBeef_MethaneConversionFactor[[#Headers],[State]], 0)</f>
        <v>n/a</v>
      </c>
      <c r="F402" s="35" cm="1">
        <f t="array" ref="F402">Common_InputFunctions.Utility_DisplayArrayInTable(SourceData_PastureBeef.SourceData_PastureBeef_MethaneConversionFactorPerRegion_Data(), Table_SourceData_PastureBeef_MethaneConversionFactor[[#Headers],[State]], 0)</f>
        <v>4.7000000000000002E-3</v>
      </c>
      <c r="G402" s="35" cm="1">
        <f t="array" ref="G402">Common_InputFunctions.Utility_DisplayArrayInTable(SourceData_PastureBeef.SourceData_PastureBeef_MethaneConversionFactorPerRegion_Data(), Table_SourceData_PastureBeef_MethaneConversionFactor[[#Headers],[State]], 0)</f>
        <v>0.75</v>
      </c>
      <c r="M402" s="1"/>
    </row>
    <row r="403" spans="4:13" x14ac:dyDescent="0.25">
      <c r="D403" s="35" t="str" cm="1">
        <f t="array" ref="D403">Common_InputFunctions.Utility_DisplayArrayInTable(SourceData_PastureBeef.SourceData_PastureBeef_MethaneConversionFactorPerRegion_Data(), Table_SourceData_PastureBeef_MethaneConversionFactor[[#Headers],[State]], 0)</f>
        <v>SA</v>
      </c>
      <c r="E403" s="35" t="str" cm="1">
        <f t="array" ref="E403">Common_InputFunctions.Utility_DisplayArrayInTable(SourceData_PastureBeef.SourceData_PastureBeef_MethaneConversionFactorPerRegion_Data(), Table_SourceData_PastureBeef_MethaneConversionFactor[[#Headers],[State]], 0)</f>
        <v>n/a</v>
      </c>
      <c r="F403" s="35" cm="1">
        <f t="array" ref="F403">Common_InputFunctions.Utility_DisplayArrayInTable(SourceData_PastureBeef.SourceData_PastureBeef_MethaneConversionFactorPerRegion_Data(), Table_SourceData_PastureBeef_MethaneConversionFactor[[#Headers],[State]], 0)</f>
        <v>4.7000000000000002E-3</v>
      </c>
      <c r="G403" s="35" cm="1">
        <f t="array" ref="G403">Common_InputFunctions.Utility_DisplayArrayInTable(SourceData_PastureBeef.SourceData_PastureBeef_MethaneConversionFactorPerRegion_Data(), Table_SourceData_PastureBeef_MethaneConversionFactor[[#Headers],[State]], 0)</f>
        <v>0.74</v>
      </c>
      <c r="M403" s="1"/>
    </row>
    <row r="404" spans="4:13" x14ac:dyDescent="0.25">
      <c r="D404" s="35" t="str" cm="1">
        <f t="array" ref="D404">Common_InputFunctions.Utility_DisplayArrayInTable(SourceData_PastureBeef.SourceData_PastureBeef_MethaneConversionFactorPerRegion_Data(), Table_SourceData_PastureBeef_MethaneConversionFactor[[#Headers],[State]], 0)</f>
        <v>TAS</v>
      </c>
      <c r="E404" s="35" t="str" cm="1">
        <f t="array" ref="E404">Common_InputFunctions.Utility_DisplayArrayInTable(SourceData_PastureBeef.SourceData_PastureBeef_MethaneConversionFactorPerRegion_Data(), Table_SourceData_PastureBeef_MethaneConversionFactor[[#Headers],[State]], 0)</f>
        <v>n/a</v>
      </c>
      <c r="F404" s="35" cm="1">
        <f t="array" ref="F404">Common_InputFunctions.Utility_DisplayArrayInTable(SourceData_PastureBeef.SourceData_PastureBeef_MethaneConversionFactorPerRegion_Data(), Table_SourceData_PastureBeef_MethaneConversionFactor[[#Headers],[State]], 0)</f>
        <v>4.7000000000000002E-3</v>
      </c>
      <c r="G404" s="35" cm="1">
        <f t="array" ref="G404">Common_InputFunctions.Utility_DisplayArrayInTable(SourceData_PastureBeef.SourceData_PastureBeef_MethaneConversionFactorPerRegion_Data(), Table_SourceData_PastureBeef_MethaneConversionFactor[[#Headers],[State]], 0)</f>
        <v>0.7</v>
      </c>
      <c r="M404" s="1"/>
    </row>
    <row r="405" spans="4:13" x14ac:dyDescent="0.25">
      <c r="D405" s="35" t="str" cm="1">
        <f t="array" ref="D405">Common_InputFunctions.Utility_DisplayArrayInTable(SourceData_PastureBeef.SourceData_PastureBeef_MethaneConversionFactorPerRegion_Data(), Table_SourceData_PastureBeef_MethaneConversionFactor[[#Headers],[State]], 0)</f>
        <v>VIC</v>
      </c>
      <c r="E405" s="35" t="str" cm="1">
        <f t="array" ref="E405">Common_InputFunctions.Utility_DisplayArrayInTable(SourceData_PastureBeef.SourceData_PastureBeef_MethaneConversionFactorPerRegion_Data(), Table_SourceData_PastureBeef_MethaneConversionFactor[[#Headers],[State]], 0)</f>
        <v>n/a</v>
      </c>
      <c r="F405" s="35" cm="1">
        <f t="array" ref="F405">Common_InputFunctions.Utility_DisplayArrayInTable(SourceData_PastureBeef.SourceData_PastureBeef_MethaneConversionFactorPerRegion_Data(), Table_SourceData_PastureBeef_MethaneConversionFactor[[#Headers],[State]], 0)</f>
        <v>4.7000000000000002E-3</v>
      </c>
      <c r="G405" s="35" cm="1">
        <f t="array" ref="G405">Common_InputFunctions.Utility_DisplayArrayInTable(SourceData_PastureBeef.SourceData_PastureBeef_MethaneConversionFactorPerRegion_Data(), Table_SourceData_PastureBeef_MethaneConversionFactor[[#Headers],[State]], 0)</f>
        <v>0.74</v>
      </c>
      <c r="M405" s="1"/>
    </row>
    <row r="406" spans="4:13" x14ac:dyDescent="0.25">
      <c r="D406" s="35" t="str" cm="1">
        <f t="array" ref="D406">Common_InputFunctions.Utility_DisplayArrayInTable(SourceData_PastureBeef.SourceData_PastureBeef_MethaneConversionFactorPerRegion_Data(), Table_SourceData_PastureBeef_MethaneConversionFactor[[#Headers],[State]], 0)</f>
        <v>WA</v>
      </c>
      <c r="E406" s="35" t="str" cm="1">
        <f t="array" ref="E406">Common_InputFunctions.Utility_DisplayArrayInTable(SourceData_PastureBeef.SourceData_PastureBeef_MethaneConversionFactorPerRegion_Data(), Table_SourceData_PastureBeef_MethaneConversionFactor[[#Headers],[State]], 0)</f>
        <v>South West</v>
      </c>
      <c r="F406" s="35" cm="1">
        <f t="array" ref="F406">Common_InputFunctions.Utility_DisplayArrayInTable(SourceData_PastureBeef.SourceData_PastureBeef_MethaneConversionFactorPerRegion_Data(), Table_SourceData_PastureBeef_MethaneConversionFactor[[#Headers],[State]], 0)</f>
        <v>4.7000000000000002E-3</v>
      </c>
      <c r="G406" s="35" cm="1">
        <f t="array" ref="G406">Common_InputFunctions.Utility_DisplayArrayInTable(SourceData_PastureBeef.SourceData_PastureBeef_MethaneConversionFactorPerRegion_Data(), Table_SourceData_PastureBeef_MethaneConversionFactor[[#Headers],[State]], 0)</f>
        <v>0.76</v>
      </c>
      <c r="M406" s="1"/>
    </row>
    <row r="407" spans="4:13" x14ac:dyDescent="0.25">
      <c r="D407" s="35" t="str" cm="1">
        <f t="array" ref="D407">Common_InputFunctions.Utility_DisplayArrayInTable(SourceData_PastureBeef.SourceData_PastureBeef_MethaneConversionFactorPerRegion_Data(), Table_SourceData_PastureBeef_MethaneConversionFactor[[#Headers],[State]], 0)</f>
        <v>WA</v>
      </c>
      <c r="E407" s="35" t="str" cm="1">
        <f t="array" ref="E407">Common_InputFunctions.Utility_DisplayArrayInTable(SourceData_PastureBeef.SourceData_PastureBeef_MethaneConversionFactorPerRegion_Data(), Table_SourceData_PastureBeef_MethaneConversionFactor[[#Headers],[State]], 0)</f>
        <v>Pilbara</v>
      </c>
      <c r="F407" s="35" cm="1">
        <f t="array" ref="F407">Common_InputFunctions.Utility_DisplayArrayInTable(SourceData_PastureBeef.SourceData_PastureBeef_MethaneConversionFactorPerRegion_Data(), Table_SourceData_PastureBeef_MethaneConversionFactor[[#Headers],[State]], 0)</f>
        <v>4.7000000000000002E-3</v>
      </c>
      <c r="G407" s="35" cm="1">
        <f t="array" ref="G407">Common_InputFunctions.Utility_DisplayArrayInTable(SourceData_PastureBeef.SourceData_PastureBeef_MethaneConversionFactorPerRegion_Data(), Table_SourceData_PastureBeef_MethaneConversionFactor[[#Headers],[State]], 0)</f>
        <v>0.76</v>
      </c>
      <c r="M407" s="1"/>
    </row>
    <row r="408" spans="4:13" x14ac:dyDescent="0.25">
      <c r="D408" s="35" t="str" cm="1">
        <f t="array" ref="D408">Common_InputFunctions.Utility_DisplayArrayInTable(SourceData_PastureBeef.SourceData_PastureBeef_MethaneConversionFactorPerRegion_Data(), Table_SourceData_PastureBeef_MethaneConversionFactor[[#Headers],[State]], 0)</f>
        <v>WA</v>
      </c>
      <c r="E408" s="35" t="str" cm="1">
        <f t="array" ref="E408">Common_InputFunctions.Utility_DisplayArrayInTable(SourceData_PastureBeef.SourceData_PastureBeef_MethaneConversionFactorPerRegion_Data(), Table_SourceData_PastureBeef_MethaneConversionFactor[[#Headers],[State]], 0)</f>
        <v>Kimberley</v>
      </c>
      <c r="F408" s="35" cm="1">
        <f t="array" ref="F408">Common_InputFunctions.Utility_DisplayArrayInTable(SourceData_PastureBeef.SourceData_PastureBeef_MethaneConversionFactorPerRegion_Data(), Table_SourceData_PastureBeef_MethaneConversionFactor[[#Headers],[State]], 0)</f>
        <v>4.7000000000000002E-3</v>
      </c>
      <c r="G408" s="35" cm="1">
        <f t="array" ref="G408">Common_InputFunctions.Utility_DisplayArrayInTable(SourceData_PastureBeef.SourceData_PastureBeef_MethaneConversionFactorPerRegion_Data(), Table_SourceData_PastureBeef_MethaneConversionFactor[[#Headers],[State]], 0)</f>
        <v>0.76</v>
      </c>
      <c r="M408" s="1"/>
    </row>
    <row r="409" spans="4:13" x14ac:dyDescent="0.25">
      <c r="D409" s="35" t="str" cm="1">
        <f t="array" ref="D409">Common_InputFunctions.Utility_DisplayArrayInTable(SourceData_PastureBeef.SourceData_PastureBeef_MethaneConversionFactorPerRegion_Data(), Table_SourceData_PastureBeef_MethaneConversionFactor[[#Headers],[State]], 0)</f>
        <v>NT</v>
      </c>
      <c r="E409" s="35" t="str" cm="1">
        <f t="array" ref="E409">Common_InputFunctions.Utility_DisplayArrayInTable(SourceData_PastureBeef.SourceData_PastureBeef_MethaneConversionFactorPerRegion_Data(), Table_SourceData_PastureBeef_MethaneConversionFactor[[#Headers],[State]], 0)</f>
        <v>Alice Springs</v>
      </c>
      <c r="F409" s="35" cm="1">
        <f t="array" ref="F409">Common_InputFunctions.Utility_DisplayArrayInTable(SourceData_PastureBeef.SourceData_PastureBeef_MethaneConversionFactorPerRegion_Data(), Table_SourceData_PastureBeef_MethaneConversionFactor[[#Headers],[State]], 0)</f>
        <v>4.7000000000000002E-3</v>
      </c>
      <c r="G409" s="35" cm="1">
        <f t="array" ref="G409">Common_InputFunctions.Utility_DisplayArrayInTable(SourceData_PastureBeef.SourceData_PastureBeef_MethaneConversionFactorPerRegion_Data(), Table_SourceData_PastureBeef_MethaneConversionFactor[[#Headers],[State]], 0)</f>
        <v>0.8</v>
      </c>
      <c r="M409" s="1"/>
    </row>
    <row r="410" spans="4:13" x14ac:dyDescent="0.25">
      <c r="D410" s="35" t="str" cm="1">
        <f t="array" ref="D410">Common_InputFunctions.Utility_DisplayArrayInTable(SourceData_PastureBeef.SourceData_PastureBeef_MethaneConversionFactorPerRegion_Data(), Table_SourceData_PastureBeef_MethaneConversionFactor[[#Headers],[State]], 0)</f>
        <v>NT</v>
      </c>
      <c r="E410" s="35" t="str" cm="1">
        <f t="array" ref="E410">Common_InputFunctions.Utility_DisplayArrayInTable(SourceData_PastureBeef.SourceData_PastureBeef_MethaneConversionFactorPerRegion_Data(), Table_SourceData_PastureBeef_MethaneConversionFactor[[#Headers],[State]], 0)</f>
        <v>Barkly</v>
      </c>
      <c r="F410" s="35" cm="1">
        <f t="array" ref="F410">Common_InputFunctions.Utility_DisplayArrayInTable(SourceData_PastureBeef.SourceData_PastureBeef_MethaneConversionFactorPerRegion_Data(), Table_SourceData_PastureBeef_MethaneConversionFactor[[#Headers],[State]], 0)</f>
        <v>4.7000000000000002E-3</v>
      </c>
      <c r="G410" s="35" cm="1">
        <f t="array" ref="G410">Common_InputFunctions.Utility_DisplayArrayInTable(SourceData_PastureBeef.SourceData_PastureBeef_MethaneConversionFactorPerRegion_Data(), Table_SourceData_PastureBeef_MethaneConversionFactor[[#Headers],[State]], 0)</f>
        <v>0.8</v>
      </c>
      <c r="M410" s="1"/>
    </row>
    <row r="411" spans="4:13" x14ac:dyDescent="0.25">
      <c r="D411" s="35" t="str" cm="1">
        <f t="array" ref="D411">Common_InputFunctions.Utility_DisplayArrayInTable(SourceData_PastureBeef.SourceData_PastureBeef_MethaneConversionFactorPerRegion_Data(), Table_SourceData_PastureBeef_MethaneConversionFactor[[#Headers],[State]], 0)</f>
        <v>NT</v>
      </c>
      <c r="E411" s="35" t="str" cm="1">
        <f t="array" ref="E411">Common_InputFunctions.Utility_DisplayArrayInTable(SourceData_PastureBeef.SourceData_PastureBeef_MethaneConversionFactorPerRegion_Data(), Table_SourceData_PastureBeef_MethaneConversionFactor[[#Headers],[State]], 0)</f>
        <v>Northern</v>
      </c>
      <c r="F411" s="35" cm="1">
        <f t="array" ref="F411">Common_InputFunctions.Utility_DisplayArrayInTable(SourceData_PastureBeef.SourceData_PastureBeef_MethaneConversionFactorPerRegion_Data(), Table_SourceData_PastureBeef_MethaneConversionFactor[[#Headers],[State]], 0)</f>
        <v>4.7000000000000002E-3</v>
      </c>
      <c r="G411" s="35" cm="1">
        <f t="array" ref="G411">Common_InputFunctions.Utility_DisplayArrayInTable(SourceData_PastureBeef.SourceData_PastureBeef_MethaneConversionFactorPerRegion_Data(), Table_SourceData_PastureBeef_MethaneConversionFactor[[#Headers],[State]], 0)</f>
        <v>0.8</v>
      </c>
      <c r="M411" s="1"/>
    </row>
    <row r="412" spans="4:13" x14ac:dyDescent="0.25">
      <c r="D412" s="35" t="str" cm="1">
        <f t="array" ref="D412">Common_InputFunctions.Utility_DisplayArrayInTable(SourceData_PastureBeef.SourceData_PastureBeef_MethaneConversionFactorPerRegion_Data(), Table_SourceData_PastureBeef_MethaneConversionFactor[[#Headers],[State]], 0)</f>
        <v>QLD</v>
      </c>
      <c r="E412" s="35" t="str" cm="1">
        <f t="array" ref="E412">Common_InputFunctions.Utility_DisplayArrayInTable(SourceData_PastureBeef.SourceData_PastureBeef_MethaneConversionFactorPerRegion_Data(), Table_SourceData_PastureBeef_MethaneConversionFactor[[#Headers],[State]], 0)</f>
        <v>High</v>
      </c>
      <c r="F412" s="35" cm="1">
        <f t="array" ref="F412">Common_InputFunctions.Utility_DisplayArrayInTable(SourceData_PastureBeef.SourceData_PastureBeef_MethaneConversionFactorPerRegion_Data(), Table_SourceData_PastureBeef_MethaneConversionFactor[[#Headers],[State]], 0)</f>
        <v>4.7000000000000002E-3</v>
      </c>
      <c r="G412" s="35" cm="1">
        <f t="array" ref="G412">Common_InputFunctions.Utility_DisplayArrayInTable(SourceData_PastureBeef.SourceData_PastureBeef_MethaneConversionFactorPerRegion_Data(), Table_SourceData_PastureBeef_MethaneConversionFactor[[#Headers],[State]], 0)</f>
        <v>0.78</v>
      </c>
      <c r="M412" s="1"/>
    </row>
    <row r="413" spans="4:13" x14ac:dyDescent="0.25">
      <c r="D413" s="35" t="str" cm="1">
        <f t="array" ref="D413">Common_InputFunctions.Utility_DisplayArrayInTable(SourceData_PastureBeef.SourceData_PastureBeef_MethaneConversionFactorPerRegion_Data(), Table_SourceData_PastureBeef_MethaneConversionFactor[[#Headers],[State]], 0)</f>
        <v>QLD</v>
      </c>
      <c r="E413" s="35" t="str" cm="1">
        <f t="array" ref="E413">Common_InputFunctions.Utility_DisplayArrayInTable(SourceData_PastureBeef.SourceData_PastureBeef_MethaneConversionFactorPerRegion_Data(), Table_SourceData_PastureBeef_MethaneConversionFactor[[#Headers],[State]], 0)</f>
        <v>Moderate/High</v>
      </c>
      <c r="F413" s="35" cm="1">
        <f t="array" ref="F413">Common_InputFunctions.Utility_DisplayArrayInTable(SourceData_PastureBeef.SourceData_PastureBeef_MethaneConversionFactorPerRegion_Data(), Table_SourceData_PastureBeef_MethaneConversionFactor[[#Headers],[State]], 0)</f>
        <v>4.7000000000000002E-3</v>
      </c>
      <c r="G413" s="35" cm="1">
        <f t="array" ref="G413">Common_InputFunctions.Utility_DisplayArrayInTable(SourceData_PastureBeef.SourceData_PastureBeef_MethaneConversionFactorPerRegion_Data(), Table_SourceData_PastureBeef_MethaneConversionFactor[[#Headers],[State]], 0)</f>
        <v>0.78</v>
      </c>
      <c r="M413" s="1"/>
    </row>
    <row r="414" spans="4:13" x14ac:dyDescent="0.25">
      <c r="D414" s="35" t="str" cm="1">
        <f t="array" ref="D414">Common_InputFunctions.Utility_DisplayArrayInTable(SourceData_PastureBeef.SourceData_PastureBeef_MethaneConversionFactorPerRegion_Data(), Table_SourceData_PastureBeef_MethaneConversionFactor[[#Headers],[State]], 0)</f>
        <v>QLD</v>
      </c>
      <c r="E414" s="35" t="str" cm="1">
        <f t="array" ref="E414">Common_InputFunctions.Utility_DisplayArrayInTable(SourceData_PastureBeef.SourceData_PastureBeef_MethaneConversionFactorPerRegion_Data(), Table_SourceData_PastureBeef_MethaneConversionFactor[[#Headers],[State]], 0)</f>
        <v>Moderate/Low</v>
      </c>
      <c r="F414" s="35" cm="1">
        <f t="array" ref="F414">Common_InputFunctions.Utility_DisplayArrayInTable(SourceData_PastureBeef.SourceData_PastureBeef_MethaneConversionFactorPerRegion_Data(), Table_SourceData_PastureBeef_MethaneConversionFactor[[#Headers],[State]], 0)</f>
        <v>4.7000000000000002E-3</v>
      </c>
      <c r="G414" s="35" cm="1">
        <f t="array" ref="G414">Common_InputFunctions.Utility_DisplayArrayInTable(SourceData_PastureBeef.SourceData_PastureBeef_MethaneConversionFactorPerRegion_Data(), Table_SourceData_PastureBeef_MethaneConversionFactor[[#Headers],[State]], 0)</f>
        <v>0.78</v>
      </c>
      <c r="M414" s="1"/>
    </row>
    <row r="415" spans="4:13" x14ac:dyDescent="0.25">
      <c r="D415" s="35" t="str" cm="1">
        <f t="array" ref="D415">Common_InputFunctions.Utility_DisplayArrayInTable(SourceData_PastureBeef.SourceData_PastureBeef_MethaneConversionFactorPerRegion_Data(), Table_SourceData_PastureBeef_MethaneConversionFactor[[#Headers],[State]], 0)</f>
        <v>QLD</v>
      </c>
      <c r="E415" s="35" t="str" cm="1">
        <f t="array" ref="E415">Common_InputFunctions.Utility_DisplayArrayInTable(SourceData_PastureBeef.SourceData_PastureBeef_MethaneConversionFactorPerRegion_Data(), Table_SourceData_PastureBeef_MethaneConversionFactor[[#Headers],[State]], 0)</f>
        <v>Low</v>
      </c>
      <c r="F415" s="35" cm="1">
        <f t="array" ref="F415">Common_InputFunctions.Utility_DisplayArrayInTable(SourceData_PastureBeef.SourceData_PastureBeef_MethaneConversionFactorPerRegion_Data(), Table_SourceData_PastureBeef_MethaneConversionFactor[[#Headers],[State]], 0)</f>
        <v>4.7000000000000002E-3</v>
      </c>
      <c r="G415" s="35" cm="1">
        <f t="array" ref="G415">Common_InputFunctions.Utility_DisplayArrayInTable(SourceData_PastureBeef.SourceData_PastureBeef_MethaneConversionFactorPerRegion_Data(), Table_SourceData_PastureBeef_MethaneConversionFactor[[#Headers],[State]], 0)</f>
        <v>0.78</v>
      </c>
      <c r="M415" s="1"/>
    </row>
    <row r="416" spans="4:13" x14ac:dyDescent="0.25">
      <c r="M416" s="1"/>
    </row>
    <row r="417" spans="4:13" x14ac:dyDescent="0.25">
      <c r="M417" s="1"/>
    </row>
    <row r="418" spans="4:13" ht="23.25" x14ac:dyDescent="0.25">
      <c r="D418" s="6" t="str" cm="1">
        <f t="array" ref="D418">SourceData_PastureBeef.SourceData_PastureBeef_AshContentOfFeedIntake_Title()</f>
        <v>Ash content of feed intake</v>
      </c>
      <c r="M418" s="1"/>
    </row>
    <row r="419" spans="4:13" x14ac:dyDescent="0.25">
      <c r="D419" s="5" t="str" cm="1">
        <f t="array" ref="D419">SourceData_PastureBeef.SourceData_PastureBeef_AshContentOfFeedIntake_Source()</f>
        <v>VEERG 2026: 4.2.2.3 CONSTANTS</v>
      </c>
      <c r="M419" s="1"/>
    </row>
    <row r="420" spans="4:13" x14ac:dyDescent="0.25">
      <c r="D420" s="1" t="str" cm="1">
        <f t="array" ref="D420">SourceData_PastureBeef.SourceData_PastureBeef_AshContentOfFeedIntake_Variable()</f>
        <v>A</v>
      </c>
      <c r="M420" s="1"/>
    </row>
    <row r="421" spans="4:13" x14ac:dyDescent="0.25">
      <c r="D421" s="51" t="str" cm="1">
        <f t="array" ref="D421">SourceData_PastureBeef.SourceData_PastureBeef_AshContentOfFeedIntake_Unit()</f>
        <v>fraction</v>
      </c>
      <c r="M421" s="1"/>
    </row>
    <row r="422" spans="4:13" x14ac:dyDescent="0.25">
      <c r="D422" s="50" cm="1">
        <f t="array" ref="D422">SourceData_PastureBeef.SourceData_PastureBeef_AshContentOfFeedIntake_Data()</f>
        <v>0.08</v>
      </c>
      <c r="M422" s="1"/>
    </row>
    <row r="423" spans="4:13" x14ac:dyDescent="0.25">
      <c r="M423" s="1"/>
    </row>
    <row r="424" spans="4:13" ht="23.25" x14ac:dyDescent="0.25">
      <c r="D424" s="6" t="str" cm="1">
        <f t="array" ref="D424">SourceData_PastureBeef.SourceData_PastureBeef_MethaneEmissionsPotential_Title()</f>
        <v>Methane emissions potential</v>
      </c>
      <c r="M424" s="1"/>
    </row>
    <row r="425" spans="4:13" x14ac:dyDescent="0.25">
      <c r="D425" s="5" t="str" cm="1">
        <f t="array" ref="D425">SourceData_PastureBeef.SourceData_PastureBeef_MethaneEmissionsPotential_Source()</f>
        <v>VEERG 2026: 4.2.2.3 CONSTANTS</v>
      </c>
      <c r="M425" s="1"/>
    </row>
    <row r="426" spans="4:13" x14ac:dyDescent="0.25">
      <c r="D426" s="1" t="str" cm="1">
        <f t="array" ref="D426">SourceData_PastureBeef.SourceData_PastureBeef_MethaneEmissionsPotential_Variable()</f>
        <v>B0</v>
      </c>
      <c r="M426" s="1"/>
    </row>
    <row r="427" spans="4:13" x14ac:dyDescent="0.25">
      <c r="D427" s="51" t="str" cm="1">
        <f t="array" ref="D427">SourceData_PastureBeef.SourceData_PastureBeef_MethaneEmissionsPotential_Unit()</f>
        <v>m3 CH4 / kg VS</v>
      </c>
      <c r="M427" s="1"/>
    </row>
    <row r="428" spans="4:13" x14ac:dyDescent="0.25">
      <c r="D428" s="50" cm="1">
        <f t="array" ref="D428">SourceData_PastureBeef.SourceData_PastureBeef_MethaneEmissionsPotential_Data()</f>
        <v>0.19</v>
      </c>
      <c r="M428" s="1"/>
    </row>
    <row r="429" spans="4:13" x14ac:dyDescent="0.25">
      <c r="M429" s="1"/>
    </row>
    <row r="430" spans="4:13" ht="23.25" x14ac:dyDescent="0.25">
      <c r="D430" s="6" t="str" cm="1">
        <f t="array" ref="D430">SourceData_PastureBeef.SourceData_PastureBeef_FracGASMSoil_Title()</f>
        <v>Fraction of nitrogen volatilised from urine and faeces deposited on pasture</v>
      </c>
      <c r="M430" s="1"/>
    </row>
    <row r="431" spans="4:13" x14ac:dyDescent="0.25">
      <c r="D431" s="5" t="str" cm="1">
        <f t="array" ref="D431">SourceData_PastureBeef.SourceData_PastureBeef_FracGASMSoil_Source()</f>
        <v>VEERG 2026: 4.2.2.3 CONSTANTS</v>
      </c>
      <c r="M431" s="1"/>
    </row>
    <row r="432" spans="4:13" x14ac:dyDescent="0.25">
      <c r="D432" s="1" t="str" cm="1">
        <f t="array" ref="D432">SourceData_PastureBeef.SourceData_PastureBeef_FracGASMSoil_Variable()</f>
        <v>FracGASMSoil</v>
      </c>
      <c r="M432" s="1"/>
    </row>
    <row r="433" spans="4:13" x14ac:dyDescent="0.25">
      <c r="D433" s="51" t="str" cm="1">
        <f t="array" ref="D433">SourceData_PastureBeef.SourceData_PastureBeef_FracGASMSoil_Unit()</f>
        <v>fraction</v>
      </c>
      <c r="M433" s="1"/>
    </row>
    <row r="434" spans="4:13" x14ac:dyDescent="0.25">
      <c r="D434" s="50" cm="1">
        <f t="array" ref="D434">SourceData_PastureBeef.SourceData_PastureBeef_FracGASMSoil_Data()</f>
        <v>0.21</v>
      </c>
      <c r="M434" s="1"/>
    </row>
    <row r="435" spans="4:13" x14ac:dyDescent="0.25">
      <c r="M435" s="1"/>
    </row>
    <row r="436" spans="4:13" ht="23.25" x14ac:dyDescent="0.25">
      <c r="D436" s="6" t="str" cm="1">
        <f t="array" ref="D436">SourceData_PastureBeef.SourceData_PastureBeef_FracLEACH_Title()</f>
        <v>Default fraction of N that is lost through leaching and runoff</v>
      </c>
      <c r="M436" s="1"/>
    </row>
    <row r="437" spans="4:13" x14ac:dyDescent="0.25">
      <c r="D437" s="5" t="str" cm="1">
        <f t="array" ref="D437">SourceData_PastureBeef.SourceData_PastureBeef_FracLEACH_Source()</f>
        <v>VEERG 2026: 4.2.2.3 CONSTANTS</v>
      </c>
      <c r="M437" s="1"/>
    </row>
    <row r="438" spans="4:13" x14ac:dyDescent="0.25">
      <c r="D438" s="1" t="str" cm="1">
        <f t="array" ref="D438">SourceData_PastureBeef.SourceData_PastureBeef_FracLEACH_Variable()</f>
        <v>FracLEACH</v>
      </c>
      <c r="M438" s="1"/>
    </row>
    <row r="439" spans="4:13" x14ac:dyDescent="0.25">
      <c r="D439" s="51" t="str" cm="1">
        <f t="array" ref="D439">SourceData_PastureBeef.SourceData_PastureBeef_FracLEACH_Unit()</f>
        <v>fraction</v>
      </c>
      <c r="M439" s="1"/>
    </row>
    <row r="440" spans="4:13" x14ac:dyDescent="0.25">
      <c r="D440" s="50" cm="1">
        <f t="array" ref="D440">SourceData_PastureBeef.SourceData_PastureBeef_FracLEACH_Data()</f>
        <v>0.24</v>
      </c>
      <c r="M440" s="1"/>
    </row>
    <row r="441" spans="4:13" x14ac:dyDescent="0.25">
      <c r="M441" s="1"/>
    </row>
    <row r="442" spans="4:13" x14ac:dyDescent="0.25">
      <c r="D442" s="35" t="s">
        <v>283</v>
      </c>
      <c r="E442" s="35" t="s">
        <v>284</v>
      </c>
      <c r="F442" s="35" t="s">
        <v>285</v>
      </c>
      <c r="G442" s="35" t="s">
        <v>286</v>
      </c>
      <c r="H442" s="35" t="s">
        <v>287</v>
      </c>
      <c r="I442" s="35" t="s">
        <v>288</v>
      </c>
      <c r="M442" s="1"/>
    </row>
    <row r="443" spans="4:13" x14ac:dyDescent="0.25">
      <c r="D443" s="35" t="str" cm="1">
        <f t="array" ref="D443">Common_InputFunctions.Utility_DisplayArrayInTable(Scope3_SourceData.Scope3_Livestock_Data(), Table_SourceData_Scope3_Animals[[#Headers],[Category]], 0, 2)</f>
        <v>Beef cattle</v>
      </c>
      <c r="E443" s="35" t="str" cm="1">
        <f t="array" ref="E443">Common_InputFunctions.Utility_DisplayArrayInTable(Scope3_SourceData.Scope3_Livestock_Data(), Table_SourceData_Scope3_Animals[[#Headers],[Category]], 0, 2)</f>
        <v>Cattle, for manufacturing beef</v>
      </c>
      <c r="F443" s="35" t="str" cm="1">
        <f t="array" ref="F443">Common_InputFunctions.Utility_DisplayArrayInTable(Scope3_SourceData.Scope3_Livestock_Data(), Table_SourceData_Scope3_Animals[[#Headers],[Category]], 0, 2)</f>
        <v>Australia</v>
      </c>
      <c r="G443" s="35" t="str" cm="1">
        <f t="array" ref="G443">Common_InputFunctions.Utility_DisplayArrayInTable(Scope3_SourceData.Scope3_Livestock_Data(), Table_SourceData_Scope3_Animals[[#Headers],[Category]], 0, 2)</f>
        <v>kg liveweight</v>
      </c>
      <c r="H443" s="35" cm="1">
        <f t="array" ref="H443">Common_InputFunctions.Utility_DisplayArrayInTable(Scope3_SourceData.Scope3_Livestock_Data(), Table_SourceData_Scope3_Animals[[#Headers],[Category]], 0, 2)</f>
        <v>11</v>
      </c>
      <c r="I443" s="35" t="str" cm="1">
        <f t="array" ref="I443">Common_InputFunctions.Utility_DisplayArrayInTable(Scope3_SourceData.Scope3_Livestock_Data(), Table_SourceData_Scope3_Animals[[#Headers],[Category]], 0, 2)</f>
        <v>at market</v>
      </c>
      <c r="M443" s="1"/>
    </row>
    <row r="444" spans="4:13" x14ac:dyDescent="0.25">
      <c r="D444" s="35" t="str" cm="1">
        <f t="array" ref="D444">Common_InputFunctions.Utility_DisplayArrayInTable(Scope3_SourceData.Scope3_Livestock_Data(), Table_SourceData_Scope3_Animals[[#Headers],[Category]], 0, 2)</f>
        <v>Beef cattle</v>
      </c>
      <c r="E444" s="35" t="str" cm="1">
        <f t="array" ref="E444">Common_InputFunctions.Utility_DisplayArrayInTable(Scope3_SourceData.Scope3_Livestock_Data(), Table_SourceData_Scope3_Animals[[#Headers],[Category]], 0, 2)</f>
        <v>Cattle, for manufacturing beef</v>
      </c>
      <c r="F444" s="35" t="str" cm="1">
        <f t="array" ref="F444">Common_InputFunctions.Utility_DisplayArrayInTable(Scope3_SourceData.Scope3_Livestock_Data(), Table_SourceData_Scope3_Animals[[#Headers],[Category]], 0, 2)</f>
        <v>NSW</v>
      </c>
      <c r="G444" s="35" t="str" cm="1">
        <f t="array" ref="G444">Common_InputFunctions.Utility_DisplayArrayInTable(Scope3_SourceData.Scope3_Livestock_Data(), Table_SourceData_Scope3_Animals[[#Headers],[Category]], 0, 2)</f>
        <v>kg liveweight</v>
      </c>
      <c r="H444" s="35" cm="1">
        <f t="array" ref="H444">Common_InputFunctions.Utility_DisplayArrayInTable(Scope3_SourceData.Scope3_Livestock_Data(), Table_SourceData_Scope3_Animals[[#Headers],[Category]], 0, 2)</f>
        <v>8.2100000000000009</v>
      </c>
      <c r="I444" s="35" t="str" cm="1">
        <f t="array" ref="I444">Common_InputFunctions.Utility_DisplayArrayInTable(Scope3_SourceData.Scope3_Livestock_Data(), Table_SourceData_Scope3_Animals[[#Headers],[Category]], 0, 2)</f>
        <v>at market</v>
      </c>
      <c r="M444" s="1"/>
    </row>
    <row r="445" spans="4:13" x14ac:dyDescent="0.25">
      <c r="D445" s="35" t="str" cm="1">
        <f t="array" ref="D445">Common_InputFunctions.Utility_DisplayArrayInTable(Scope3_SourceData.Scope3_Livestock_Data(), Table_SourceData_Scope3_Animals[[#Headers],[Category]], 0, 2)</f>
        <v>Beef cattle</v>
      </c>
      <c r="E445" s="35" t="str" cm="1">
        <f t="array" ref="E445">Common_InputFunctions.Utility_DisplayArrayInTable(Scope3_SourceData.Scope3_Livestock_Data(), Table_SourceData_Scope3_Animals[[#Headers],[Category]], 0, 2)</f>
        <v>Cattle, for manufacturing beef</v>
      </c>
      <c r="F445" s="35" t="str" cm="1">
        <f t="array" ref="F445">Common_InputFunctions.Utility_DisplayArrayInTable(Scope3_SourceData.Scope3_Livestock_Data(), Table_SourceData_Scope3_Animals[[#Headers],[Category]], 0, 2)</f>
        <v>NT</v>
      </c>
      <c r="G445" s="35" t="str" cm="1">
        <f t="array" ref="G445">Common_InputFunctions.Utility_DisplayArrayInTable(Scope3_SourceData.Scope3_Livestock_Data(), Table_SourceData_Scope3_Animals[[#Headers],[Category]], 0, 2)</f>
        <v>kg liveweight</v>
      </c>
      <c r="H445" s="35" cm="1">
        <f t="array" ref="H445">Common_InputFunctions.Utility_DisplayArrayInTable(Scope3_SourceData.Scope3_Livestock_Data(), Table_SourceData_Scope3_Animals[[#Headers],[Category]], 0, 2)</f>
        <v>12.2</v>
      </c>
      <c r="I445" s="35" t="str" cm="1">
        <f t="array" ref="I445">Common_InputFunctions.Utility_DisplayArrayInTable(Scope3_SourceData.Scope3_Livestock_Data(), Table_SourceData_Scope3_Animals[[#Headers],[Category]], 0, 2)</f>
        <v>at market</v>
      </c>
      <c r="M445" s="1"/>
    </row>
    <row r="446" spans="4:13" x14ac:dyDescent="0.25">
      <c r="D446" s="35" t="str" cm="1">
        <f t="array" ref="D446">Common_InputFunctions.Utility_DisplayArrayInTable(Scope3_SourceData.Scope3_Livestock_Data(), Table_SourceData_Scope3_Animals[[#Headers],[Category]], 0, 2)</f>
        <v>Beef cattle</v>
      </c>
      <c r="E446" s="35" t="str" cm="1">
        <f t="array" ref="E446">Common_InputFunctions.Utility_DisplayArrayInTable(Scope3_SourceData.Scope3_Livestock_Data(), Table_SourceData_Scope3_Animals[[#Headers],[Category]], 0, 2)</f>
        <v>Cattle, for manufacturing beef</v>
      </c>
      <c r="F446" s="35" t="str" cm="1">
        <f t="array" ref="F446">Common_InputFunctions.Utility_DisplayArrayInTable(Scope3_SourceData.Scope3_Livestock_Data(), Table_SourceData_Scope3_Animals[[#Headers],[Category]], 0, 2)</f>
        <v>QLD</v>
      </c>
      <c r="G446" s="35" t="str" cm="1">
        <f t="array" ref="G446">Common_InputFunctions.Utility_DisplayArrayInTable(Scope3_SourceData.Scope3_Livestock_Data(), Table_SourceData_Scope3_Animals[[#Headers],[Category]], 0, 2)</f>
        <v>kg liveweight</v>
      </c>
      <c r="H446" s="35" cm="1">
        <f t="array" ref="H446">Common_InputFunctions.Utility_DisplayArrayInTable(Scope3_SourceData.Scope3_Livestock_Data(), Table_SourceData_Scope3_Animals[[#Headers],[Category]], 0, 2)</f>
        <v>10.9</v>
      </c>
      <c r="I446" s="35" t="str" cm="1">
        <f t="array" ref="I446">Common_InputFunctions.Utility_DisplayArrayInTable(Scope3_SourceData.Scope3_Livestock_Data(), Table_SourceData_Scope3_Animals[[#Headers],[Category]], 0, 2)</f>
        <v>at market</v>
      </c>
      <c r="M446" s="1"/>
    </row>
    <row r="447" spans="4:13" x14ac:dyDescent="0.25">
      <c r="D447" s="35" t="str" cm="1">
        <f t="array" ref="D447">Common_InputFunctions.Utility_DisplayArrayInTable(Scope3_SourceData.Scope3_Livestock_Data(), Table_SourceData_Scope3_Animals[[#Headers],[Category]], 0, 2)</f>
        <v>Beef cattle</v>
      </c>
      <c r="E447" s="35" t="str" cm="1">
        <f t="array" ref="E447">Common_InputFunctions.Utility_DisplayArrayInTable(Scope3_SourceData.Scope3_Livestock_Data(), Table_SourceData_Scope3_Animals[[#Headers],[Category]], 0, 2)</f>
        <v>Cattle, for manufacturing beef</v>
      </c>
      <c r="F447" s="35" t="str" cm="1">
        <f t="array" ref="F447">Common_InputFunctions.Utility_DisplayArrayInTable(Scope3_SourceData.Scope3_Livestock_Data(), Table_SourceData_Scope3_Animals[[#Headers],[Category]], 0, 2)</f>
        <v>SA</v>
      </c>
      <c r="G447" s="35" t="str" cm="1">
        <f t="array" ref="G447">Common_InputFunctions.Utility_DisplayArrayInTable(Scope3_SourceData.Scope3_Livestock_Data(), Table_SourceData_Scope3_Animals[[#Headers],[Category]], 0, 2)</f>
        <v>kg liveweight</v>
      </c>
      <c r="H447" s="35" cm="1">
        <f t="array" ref="H447">Common_InputFunctions.Utility_DisplayArrayInTable(Scope3_SourceData.Scope3_Livestock_Data(), Table_SourceData_Scope3_Animals[[#Headers],[Category]], 0, 2)</f>
        <v>7.63</v>
      </c>
      <c r="I447" s="35" t="str" cm="1">
        <f t="array" ref="I447">Common_InputFunctions.Utility_DisplayArrayInTable(Scope3_SourceData.Scope3_Livestock_Data(), Table_SourceData_Scope3_Animals[[#Headers],[Category]], 0, 2)</f>
        <v>at market</v>
      </c>
      <c r="M447" s="1"/>
    </row>
    <row r="448" spans="4:13" x14ac:dyDescent="0.25">
      <c r="D448" s="35" t="str" cm="1">
        <f t="array" ref="D448">Common_InputFunctions.Utility_DisplayArrayInTable(Scope3_SourceData.Scope3_Livestock_Data(), Table_SourceData_Scope3_Animals[[#Headers],[Category]], 0, 2)</f>
        <v>Beef cattle</v>
      </c>
      <c r="E448" s="35" t="str" cm="1">
        <f t="array" ref="E448">Common_InputFunctions.Utility_DisplayArrayInTable(Scope3_SourceData.Scope3_Livestock_Data(), Table_SourceData_Scope3_Animals[[#Headers],[Category]], 0, 2)</f>
        <v>Cattle, for manufacturing beef</v>
      </c>
      <c r="F448" s="35" t="str" cm="1">
        <f t="array" ref="F448">Common_InputFunctions.Utility_DisplayArrayInTable(Scope3_SourceData.Scope3_Livestock_Data(), Table_SourceData_Scope3_Animals[[#Headers],[Category]], 0, 2)</f>
        <v>TAS</v>
      </c>
      <c r="G448" s="35" t="str" cm="1">
        <f t="array" ref="G448">Common_InputFunctions.Utility_DisplayArrayInTable(Scope3_SourceData.Scope3_Livestock_Data(), Table_SourceData_Scope3_Animals[[#Headers],[Category]], 0, 2)</f>
        <v>kg liveweight</v>
      </c>
      <c r="H448" s="35" cm="1">
        <f t="array" ref="H448">Common_InputFunctions.Utility_DisplayArrayInTable(Scope3_SourceData.Scope3_Livestock_Data(), Table_SourceData_Scope3_Animals[[#Headers],[Category]], 0, 2)</f>
        <v>8.75</v>
      </c>
      <c r="I448" s="35" t="str" cm="1">
        <f t="array" ref="I448">Common_InputFunctions.Utility_DisplayArrayInTable(Scope3_SourceData.Scope3_Livestock_Data(), Table_SourceData_Scope3_Animals[[#Headers],[Category]], 0, 2)</f>
        <v>at market</v>
      </c>
      <c r="M448" s="1"/>
    </row>
    <row r="449" spans="4:13" x14ac:dyDescent="0.25">
      <c r="D449" s="35" t="str" cm="1">
        <f t="array" ref="D449">Common_InputFunctions.Utility_DisplayArrayInTable(Scope3_SourceData.Scope3_Livestock_Data(), Table_SourceData_Scope3_Animals[[#Headers],[Category]], 0, 2)</f>
        <v>Beef cattle</v>
      </c>
      <c r="E449" s="35" t="str" cm="1">
        <f t="array" ref="E449">Common_InputFunctions.Utility_DisplayArrayInTable(Scope3_SourceData.Scope3_Livestock_Data(), Table_SourceData_Scope3_Animals[[#Headers],[Category]], 0, 2)</f>
        <v>Cattle, for manufacturing beef</v>
      </c>
      <c r="F449" s="35" t="str" cm="1">
        <f t="array" ref="F449">Common_InputFunctions.Utility_DisplayArrayInTable(Scope3_SourceData.Scope3_Livestock_Data(), Table_SourceData_Scope3_Animals[[#Headers],[Category]], 0, 2)</f>
        <v>VIC</v>
      </c>
      <c r="G449" s="35" t="str" cm="1">
        <f t="array" ref="G449">Common_InputFunctions.Utility_DisplayArrayInTable(Scope3_SourceData.Scope3_Livestock_Data(), Table_SourceData_Scope3_Animals[[#Headers],[Category]], 0, 2)</f>
        <v>kg liveweight</v>
      </c>
      <c r="H449" s="35" cm="1">
        <f t="array" ref="H449">Common_InputFunctions.Utility_DisplayArrayInTable(Scope3_SourceData.Scope3_Livestock_Data(), Table_SourceData_Scope3_Animals[[#Headers],[Category]], 0, 2)</f>
        <v>8.17</v>
      </c>
      <c r="I449" s="35" t="str" cm="1">
        <f t="array" ref="I449">Common_InputFunctions.Utility_DisplayArrayInTable(Scope3_SourceData.Scope3_Livestock_Data(), Table_SourceData_Scope3_Animals[[#Headers],[Category]], 0, 2)</f>
        <v>at market</v>
      </c>
      <c r="M449" s="1"/>
    </row>
    <row r="450" spans="4:13" x14ac:dyDescent="0.25">
      <c r="D450" s="35" t="str" cm="1">
        <f t="array" ref="D450">Common_InputFunctions.Utility_DisplayArrayInTable(Scope3_SourceData.Scope3_Livestock_Data(), Table_SourceData_Scope3_Animals[[#Headers],[Category]], 0, 2)</f>
        <v>Beef cattle</v>
      </c>
      <c r="E450" s="35" t="str" cm="1">
        <f t="array" ref="E450">Common_InputFunctions.Utility_DisplayArrayInTable(Scope3_SourceData.Scope3_Livestock_Data(), Table_SourceData_Scope3_Animals[[#Headers],[Category]], 0, 2)</f>
        <v>Cattle, for manufacturing beef</v>
      </c>
      <c r="F450" s="35" t="str" cm="1">
        <f t="array" ref="F450">Common_InputFunctions.Utility_DisplayArrayInTable(Scope3_SourceData.Scope3_Livestock_Data(), Table_SourceData_Scope3_Animals[[#Headers],[Category]], 0, 2)</f>
        <v>WA</v>
      </c>
      <c r="G450" s="35" t="str" cm="1">
        <f t="array" ref="G450">Common_InputFunctions.Utility_DisplayArrayInTable(Scope3_SourceData.Scope3_Livestock_Data(), Table_SourceData_Scope3_Animals[[#Headers],[Category]], 0, 2)</f>
        <v>kg liveweight</v>
      </c>
      <c r="H450" s="35" cm="1">
        <f t="array" ref="H450">Common_InputFunctions.Utility_DisplayArrayInTable(Scope3_SourceData.Scope3_Livestock_Data(), Table_SourceData_Scope3_Animals[[#Headers],[Category]], 0, 2)</f>
        <v>13.1</v>
      </c>
      <c r="I450" s="35" t="str" cm="1">
        <f t="array" ref="I450">Common_InputFunctions.Utility_DisplayArrayInTable(Scope3_SourceData.Scope3_Livestock_Data(), Table_SourceData_Scope3_Animals[[#Headers],[Category]], 0, 2)</f>
        <v>at market</v>
      </c>
      <c r="M450" s="1"/>
    </row>
    <row r="451" spans="4:13" x14ac:dyDescent="0.25">
      <c r="D451" s="35" t="str" cm="1">
        <f t="array" ref="D451">Common_InputFunctions.Utility_DisplayArrayInTable(Scope3_SourceData.Scope3_Livestock_Data(), Table_SourceData_Scope3_Animals[[#Headers],[Category]], 0, 2)</f>
        <v>Beef cattle</v>
      </c>
      <c r="E451" s="35" t="str" cm="1">
        <f t="array" ref="E451">Common_InputFunctions.Utility_DisplayArrayInTable(Scope3_SourceData.Scope3_Livestock_Data(), Table_SourceData_Scope3_Animals[[#Headers],[Category]], 0, 2)</f>
        <v>Cattle, for prime beef</v>
      </c>
      <c r="F451" s="35" t="str" cm="1">
        <f t="array" ref="F451">Common_InputFunctions.Utility_DisplayArrayInTable(Scope3_SourceData.Scope3_Livestock_Data(), Table_SourceData_Scope3_Animals[[#Headers],[Category]], 0, 2)</f>
        <v>Australia</v>
      </c>
      <c r="G451" s="35" t="str" cm="1">
        <f t="array" ref="G451">Common_InputFunctions.Utility_DisplayArrayInTable(Scope3_SourceData.Scope3_Livestock_Data(), Table_SourceData_Scope3_Animals[[#Headers],[Category]], 0, 2)</f>
        <v>kg liveweight</v>
      </c>
      <c r="H451" s="35" cm="1">
        <f t="array" ref="H451">Common_InputFunctions.Utility_DisplayArrayInTable(Scope3_SourceData.Scope3_Livestock_Data(), Table_SourceData_Scope3_Animals[[#Headers],[Category]], 0, 2)</f>
        <v>14.5</v>
      </c>
      <c r="I451" s="35" t="str" cm="1">
        <f t="array" ref="I451">Common_InputFunctions.Utility_DisplayArrayInTable(Scope3_SourceData.Scope3_Livestock_Data(), Table_SourceData_Scope3_Animals[[#Headers],[Category]], 0, 2)</f>
        <v>at market</v>
      </c>
      <c r="M451" s="1"/>
    </row>
    <row r="452" spans="4:13" x14ac:dyDescent="0.25">
      <c r="D452" s="35" t="str" cm="1">
        <f t="array" ref="D452">Common_InputFunctions.Utility_DisplayArrayInTable(Scope3_SourceData.Scope3_Livestock_Data(), Table_SourceData_Scope3_Animals[[#Headers],[Category]], 0, 2)</f>
        <v>Beef cattle</v>
      </c>
      <c r="E452" s="35" t="str" cm="1">
        <f t="array" ref="E452">Common_InputFunctions.Utility_DisplayArrayInTable(Scope3_SourceData.Scope3_Livestock_Data(), Table_SourceData_Scope3_Animals[[#Headers],[Category]], 0, 2)</f>
        <v>Cattle, for prime beef</v>
      </c>
      <c r="F452" s="35" t="str" cm="1">
        <f t="array" ref="F452">Common_InputFunctions.Utility_DisplayArrayInTable(Scope3_SourceData.Scope3_Livestock_Data(), Table_SourceData_Scope3_Animals[[#Headers],[Category]], 0, 2)</f>
        <v>NSW</v>
      </c>
      <c r="G452" s="35" t="str" cm="1">
        <f t="array" ref="G452">Common_InputFunctions.Utility_DisplayArrayInTable(Scope3_SourceData.Scope3_Livestock_Data(), Table_SourceData_Scope3_Animals[[#Headers],[Category]], 0, 2)</f>
        <v>kg liveweight</v>
      </c>
      <c r="H452" s="35" cm="1">
        <f t="array" ref="H452">Common_InputFunctions.Utility_DisplayArrayInTable(Scope3_SourceData.Scope3_Livestock_Data(), Table_SourceData_Scope3_Animals[[#Headers],[Category]], 0, 2)</f>
        <v>11.3</v>
      </c>
      <c r="I452" s="35" t="str" cm="1">
        <f t="array" ref="I452">Common_InputFunctions.Utility_DisplayArrayInTable(Scope3_SourceData.Scope3_Livestock_Data(), Table_SourceData_Scope3_Animals[[#Headers],[Category]], 0, 2)</f>
        <v>at market</v>
      </c>
      <c r="M452" s="1"/>
    </row>
    <row r="453" spans="4:13" x14ac:dyDescent="0.25">
      <c r="D453" s="35" t="str" cm="1">
        <f t="array" ref="D453">Common_InputFunctions.Utility_DisplayArrayInTable(Scope3_SourceData.Scope3_Livestock_Data(), Table_SourceData_Scope3_Animals[[#Headers],[Category]], 0, 2)</f>
        <v>Beef cattle</v>
      </c>
      <c r="E453" s="35" t="str" cm="1">
        <f t="array" ref="E453">Common_InputFunctions.Utility_DisplayArrayInTable(Scope3_SourceData.Scope3_Livestock_Data(), Table_SourceData_Scope3_Animals[[#Headers],[Category]], 0, 2)</f>
        <v>Cattle, for prime beef</v>
      </c>
      <c r="F453" s="35" t="str" cm="1">
        <f t="array" ref="F453">Common_InputFunctions.Utility_DisplayArrayInTable(Scope3_SourceData.Scope3_Livestock_Data(), Table_SourceData_Scope3_Animals[[#Headers],[Category]], 0, 2)</f>
        <v>NT</v>
      </c>
      <c r="G453" s="35" t="str" cm="1">
        <f t="array" ref="G453">Common_InputFunctions.Utility_DisplayArrayInTable(Scope3_SourceData.Scope3_Livestock_Data(), Table_SourceData_Scope3_Animals[[#Headers],[Category]], 0, 2)</f>
        <v>kg liveweight</v>
      </c>
      <c r="H453" s="35" cm="1">
        <f t="array" ref="H453">Common_InputFunctions.Utility_DisplayArrayInTable(Scope3_SourceData.Scope3_Livestock_Data(), Table_SourceData_Scope3_Animals[[#Headers],[Category]], 0, 2)</f>
        <v>18.899999999999999</v>
      </c>
      <c r="I453" s="35" t="str" cm="1">
        <f t="array" ref="I453">Common_InputFunctions.Utility_DisplayArrayInTable(Scope3_SourceData.Scope3_Livestock_Data(), Table_SourceData_Scope3_Animals[[#Headers],[Category]], 0, 2)</f>
        <v>at market</v>
      </c>
      <c r="M453" s="1"/>
    </row>
    <row r="454" spans="4:13" x14ac:dyDescent="0.25">
      <c r="D454" s="35" t="str" cm="1">
        <f t="array" ref="D454">Common_InputFunctions.Utility_DisplayArrayInTable(Scope3_SourceData.Scope3_Livestock_Data(), Table_SourceData_Scope3_Animals[[#Headers],[Category]], 0, 2)</f>
        <v>Beef cattle</v>
      </c>
      <c r="E454" s="35" t="str" cm="1">
        <f t="array" ref="E454">Common_InputFunctions.Utility_DisplayArrayInTable(Scope3_SourceData.Scope3_Livestock_Data(), Table_SourceData_Scope3_Animals[[#Headers],[Category]], 0, 2)</f>
        <v>Cattle, for prime beef</v>
      </c>
      <c r="F454" s="35" t="str" cm="1">
        <f t="array" ref="F454">Common_InputFunctions.Utility_DisplayArrayInTable(Scope3_SourceData.Scope3_Livestock_Data(), Table_SourceData_Scope3_Animals[[#Headers],[Category]], 0, 2)</f>
        <v>QLD</v>
      </c>
      <c r="G454" s="35" t="str" cm="1">
        <f t="array" ref="G454">Common_InputFunctions.Utility_DisplayArrayInTable(Scope3_SourceData.Scope3_Livestock_Data(), Table_SourceData_Scope3_Animals[[#Headers],[Category]], 0, 2)</f>
        <v>kg liveweight</v>
      </c>
      <c r="H454" s="35" cm="1">
        <f t="array" ref="H454">Common_InputFunctions.Utility_DisplayArrayInTable(Scope3_SourceData.Scope3_Livestock_Data(), Table_SourceData_Scope3_Animals[[#Headers],[Category]], 0, 2)</f>
        <v>13.9</v>
      </c>
      <c r="I454" s="35" t="str" cm="1">
        <f t="array" ref="I454">Common_InputFunctions.Utility_DisplayArrayInTable(Scope3_SourceData.Scope3_Livestock_Data(), Table_SourceData_Scope3_Animals[[#Headers],[Category]], 0, 2)</f>
        <v>at market</v>
      </c>
      <c r="M454" s="1"/>
    </row>
    <row r="455" spans="4:13" x14ac:dyDescent="0.25">
      <c r="D455" s="35" t="str" cm="1">
        <f t="array" ref="D455">Common_InputFunctions.Utility_DisplayArrayInTable(Scope3_SourceData.Scope3_Livestock_Data(), Table_SourceData_Scope3_Animals[[#Headers],[Category]], 0, 2)</f>
        <v>Beef cattle</v>
      </c>
      <c r="E455" s="35" t="str" cm="1">
        <f t="array" ref="E455">Common_InputFunctions.Utility_DisplayArrayInTable(Scope3_SourceData.Scope3_Livestock_Data(), Table_SourceData_Scope3_Animals[[#Headers],[Category]], 0, 2)</f>
        <v>Cattle, for prime beef</v>
      </c>
      <c r="F455" s="35" t="str" cm="1">
        <f t="array" ref="F455">Common_InputFunctions.Utility_DisplayArrayInTable(Scope3_SourceData.Scope3_Livestock_Data(), Table_SourceData_Scope3_Animals[[#Headers],[Category]], 0, 2)</f>
        <v>SA</v>
      </c>
      <c r="G455" s="35" t="str" cm="1">
        <f t="array" ref="G455">Common_InputFunctions.Utility_DisplayArrayInTable(Scope3_SourceData.Scope3_Livestock_Data(), Table_SourceData_Scope3_Animals[[#Headers],[Category]], 0, 2)</f>
        <v>kg liveweight</v>
      </c>
      <c r="H455" s="35" cm="1">
        <f t="array" ref="H455">Common_InputFunctions.Utility_DisplayArrayInTable(Scope3_SourceData.Scope3_Livestock_Data(), Table_SourceData_Scope3_Animals[[#Headers],[Category]], 0, 2)</f>
        <v>12.3</v>
      </c>
      <c r="I455" s="35" t="str" cm="1">
        <f t="array" ref="I455">Common_InputFunctions.Utility_DisplayArrayInTable(Scope3_SourceData.Scope3_Livestock_Data(), Table_SourceData_Scope3_Animals[[#Headers],[Category]], 0, 2)</f>
        <v>at market</v>
      </c>
    </row>
    <row r="456" spans="4:13" x14ac:dyDescent="0.25">
      <c r="D456" s="35" t="str" cm="1">
        <f t="array" ref="D456">Common_InputFunctions.Utility_DisplayArrayInTable(Scope3_SourceData.Scope3_Livestock_Data(), Table_SourceData_Scope3_Animals[[#Headers],[Category]], 0, 2)</f>
        <v>Beef cattle</v>
      </c>
      <c r="E456" s="35" t="str" cm="1">
        <f t="array" ref="E456">Common_InputFunctions.Utility_DisplayArrayInTable(Scope3_SourceData.Scope3_Livestock_Data(), Table_SourceData_Scope3_Animals[[#Headers],[Category]], 0, 2)</f>
        <v>Cattle, for prime beef</v>
      </c>
      <c r="F456" s="35" t="str" cm="1">
        <f t="array" ref="F456">Common_InputFunctions.Utility_DisplayArrayInTable(Scope3_SourceData.Scope3_Livestock_Data(), Table_SourceData_Scope3_Animals[[#Headers],[Category]], 0, 2)</f>
        <v>TAS</v>
      </c>
      <c r="G456" s="35" t="str" cm="1">
        <f t="array" ref="G456">Common_InputFunctions.Utility_DisplayArrayInTable(Scope3_SourceData.Scope3_Livestock_Data(), Table_SourceData_Scope3_Animals[[#Headers],[Category]], 0, 2)</f>
        <v>kg liveweight</v>
      </c>
      <c r="H456" s="35" cm="1">
        <f t="array" ref="H456">Common_InputFunctions.Utility_DisplayArrayInTable(Scope3_SourceData.Scope3_Livestock_Data(), Table_SourceData_Scope3_Animals[[#Headers],[Category]], 0, 2)</f>
        <v>11.5</v>
      </c>
      <c r="I456" s="35" t="str" cm="1">
        <f t="array" ref="I456">Common_InputFunctions.Utility_DisplayArrayInTable(Scope3_SourceData.Scope3_Livestock_Data(), Table_SourceData_Scope3_Animals[[#Headers],[Category]], 0, 2)</f>
        <v>at market</v>
      </c>
    </row>
    <row r="457" spans="4:13" x14ac:dyDescent="0.25">
      <c r="D457" s="35" t="str" cm="1">
        <f t="array" ref="D457">Common_InputFunctions.Utility_DisplayArrayInTable(Scope3_SourceData.Scope3_Livestock_Data(), Table_SourceData_Scope3_Animals[[#Headers],[Category]], 0, 2)</f>
        <v>Beef cattle</v>
      </c>
      <c r="E457" s="35" t="str" cm="1">
        <f t="array" ref="E457">Common_InputFunctions.Utility_DisplayArrayInTable(Scope3_SourceData.Scope3_Livestock_Data(), Table_SourceData_Scope3_Animals[[#Headers],[Category]], 0, 2)</f>
        <v>Cattle, for prime beef</v>
      </c>
      <c r="F457" s="35" t="str" cm="1">
        <f t="array" ref="F457">Common_InputFunctions.Utility_DisplayArrayInTable(Scope3_SourceData.Scope3_Livestock_Data(), Table_SourceData_Scope3_Animals[[#Headers],[Category]], 0, 2)</f>
        <v>VIC</v>
      </c>
      <c r="G457" s="35" t="str" cm="1">
        <f t="array" ref="G457">Common_InputFunctions.Utility_DisplayArrayInTable(Scope3_SourceData.Scope3_Livestock_Data(), Table_SourceData_Scope3_Animals[[#Headers],[Category]], 0, 2)</f>
        <v>kg liveweight</v>
      </c>
      <c r="H457" s="35" cm="1">
        <f t="array" ref="H457">Common_InputFunctions.Utility_DisplayArrayInTable(Scope3_SourceData.Scope3_Livestock_Data(), Table_SourceData_Scope3_Animals[[#Headers],[Category]], 0, 2)</f>
        <v>11.5</v>
      </c>
      <c r="I457" s="35" t="str" cm="1">
        <f t="array" ref="I457">Common_InputFunctions.Utility_DisplayArrayInTable(Scope3_SourceData.Scope3_Livestock_Data(), Table_SourceData_Scope3_Animals[[#Headers],[Category]], 0, 2)</f>
        <v>at market</v>
      </c>
    </row>
    <row r="458" spans="4:13" x14ac:dyDescent="0.25">
      <c r="D458" s="35" t="str" cm="1">
        <f t="array" ref="D458">Common_InputFunctions.Utility_DisplayArrayInTable(Scope3_SourceData.Scope3_Livestock_Data(), Table_SourceData_Scope3_Animals[[#Headers],[Category]], 0, 2)</f>
        <v>Beef cattle</v>
      </c>
      <c r="E458" s="35" t="str" cm="1">
        <f t="array" ref="E458">Common_InputFunctions.Utility_DisplayArrayInTable(Scope3_SourceData.Scope3_Livestock_Data(), Table_SourceData_Scope3_Animals[[#Headers],[Category]], 0, 2)</f>
        <v>Cattle, for prime beef</v>
      </c>
      <c r="F458" s="35" t="str" cm="1">
        <f t="array" ref="F458">Common_InputFunctions.Utility_DisplayArrayInTable(Scope3_SourceData.Scope3_Livestock_Data(), Table_SourceData_Scope3_Animals[[#Headers],[Category]], 0, 2)</f>
        <v>WA</v>
      </c>
      <c r="G458" s="35" t="str" cm="1">
        <f t="array" ref="G458">Common_InputFunctions.Utility_DisplayArrayInTable(Scope3_SourceData.Scope3_Livestock_Data(), Table_SourceData_Scope3_Animals[[#Headers],[Category]], 0, 2)</f>
        <v>kg liveweight</v>
      </c>
      <c r="H458" s="35" cm="1">
        <f t="array" ref="H458">Common_InputFunctions.Utility_DisplayArrayInTable(Scope3_SourceData.Scope3_Livestock_Data(), Table_SourceData_Scope3_Animals[[#Headers],[Category]], 0, 2)</f>
        <v>20.8</v>
      </c>
      <c r="I458" s="35" t="str" cm="1">
        <f t="array" ref="I458">Common_InputFunctions.Utility_DisplayArrayInTable(Scope3_SourceData.Scope3_Livestock_Data(), Table_SourceData_Scope3_Animals[[#Headers],[Category]], 0, 2)</f>
        <v>at market</v>
      </c>
    </row>
    <row r="459" spans="4:13" x14ac:dyDescent="0.25">
      <c r="D459" s="35" t="str" cm="1">
        <f t="array" ref="D459">Common_InputFunctions.Utility_DisplayArrayInTable(Scope3_SourceData.Scope3_Livestock_Data(), Table_SourceData_Scope3_Animals[[#Headers],[Category]], 0, 2)</f>
        <v>Beef cattle</v>
      </c>
      <c r="E459" s="35" t="str" cm="1">
        <f t="array" ref="E459">Common_InputFunctions.Utility_DisplayArrayInTable(Scope3_SourceData.Scope3_Livestock_Data(), Table_SourceData_Scope3_Animals[[#Headers],[Category]], 0, 2)</f>
        <v>Cattle, weaners</v>
      </c>
      <c r="F459" s="35" t="str" cm="1">
        <f t="array" ref="F459">Common_InputFunctions.Utility_DisplayArrayInTable(Scope3_SourceData.Scope3_Livestock_Data(), Table_SourceData_Scope3_Animals[[#Headers],[Category]], 0, 2)</f>
        <v>Australia</v>
      </c>
      <c r="G459" s="35" t="str" cm="1">
        <f t="array" ref="G459">Common_InputFunctions.Utility_DisplayArrayInTable(Scope3_SourceData.Scope3_Livestock_Data(), Table_SourceData_Scope3_Animals[[#Headers],[Category]], 0, 2)</f>
        <v>kg liveweight</v>
      </c>
      <c r="H459" s="35" cm="1">
        <f t="array" ref="H459">Common_InputFunctions.Utility_DisplayArrayInTable(Scope3_SourceData.Scope3_Livestock_Data(), Table_SourceData_Scope3_Animals[[#Headers],[Category]], 0, 2)</f>
        <v>15.5</v>
      </c>
      <c r="I459" s="35" t="str" cm="1">
        <f t="array" ref="I459">Common_InputFunctions.Utility_DisplayArrayInTable(Scope3_SourceData.Scope3_Livestock_Data(), Table_SourceData_Scope3_Animals[[#Headers],[Category]], 0, 2)</f>
        <v>at market</v>
      </c>
    </row>
    <row r="460" spans="4:13" x14ac:dyDescent="0.25">
      <c r="D460" s="35" t="str" cm="1">
        <f t="array" ref="D460">Common_InputFunctions.Utility_DisplayArrayInTable(Scope3_SourceData.Scope3_Livestock_Data(), Table_SourceData_Scope3_Animals[[#Headers],[Category]], 0, 2)</f>
        <v>Beef cattle</v>
      </c>
      <c r="E460" s="35" t="str" cm="1">
        <f t="array" ref="E460">Common_InputFunctions.Utility_DisplayArrayInTable(Scope3_SourceData.Scope3_Livestock_Data(), Table_SourceData_Scope3_Animals[[#Headers],[Category]], 0, 2)</f>
        <v>Cattle, weaners</v>
      </c>
      <c r="F460" s="35" t="str" cm="1">
        <f t="array" ref="F460">Common_InputFunctions.Utility_DisplayArrayInTable(Scope3_SourceData.Scope3_Livestock_Data(), Table_SourceData_Scope3_Animals[[#Headers],[Category]], 0, 2)</f>
        <v>NSW</v>
      </c>
      <c r="G460" s="35" t="str" cm="1">
        <f t="array" ref="G460">Common_InputFunctions.Utility_DisplayArrayInTable(Scope3_SourceData.Scope3_Livestock_Data(), Table_SourceData_Scope3_Animals[[#Headers],[Category]], 0, 2)</f>
        <v>kg liveweight</v>
      </c>
      <c r="H460" s="35" cm="1">
        <f t="array" ref="H460">Common_InputFunctions.Utility_DisplayArrayInTable(Scope3_SourceData.Scope3_Livestock_Data(), Table_SourceData_Scope3_Animals[[#Headers],[Category]], 0, 2)</f>
        <v>12.7</v>
      </c>
      <c r="I460" s="35" t="str" cm="1">
        <f t="array" ref="I460">Common_InputFunctions.Utility_DisplayArrayInTable(Scope3_SourceData.Scope3_Livestock_Data(), Table_SourceData_Scope3_Animals[[#Headers],[Category]], 0, 2)</f>
        <v>at market</v>
      </c>
    </row>
    <row r="461" spans="4:13" x14ac:dyDescent="0.25">
      <c r="D461" s="35" t="str" cm="1">
        <f t="array" ref="D461">Common_InputFunctions.Utility_DisplayArrayInTable(Scope3_SourceData.Scope3_Livestock_Data(), Table_SourceData_Scope3_Animals[[#Headers],[Category]], 0, 2)</f>
        <v>Beef cattle</v>
      </c>
      <c r="E461" s="35" t="str" cm="1">
        <f t="array" ref="E461">Common_InputFunctions.Utility_DisplayArrayInTable(Scope3_SourceData.Scope3_Livestock_Data(), Table_SourceData_Scope3_Animals[[#Headers],[Category]], 0, 2)</f>
        <v>Cattle, weaners</v>
      </c>
      <c r="F461" s="35" t="str" cm="1">
        <f t="array" ref="F461">Common_InputFunctions.Utility_DisplayArrayInTable(Scope3_SourceData.Scope3_Livestock_Data(), Table_SourceData_Scope3_Animals[[#Headers],[Category]], 0, 2)</f>
        <v>NT</v>
      </c>
      <c r="G461" s="35" t="str" cm="1">
        <f t="array" ref="G461">Common_InputFunctions.Utility_DisplayArrayInTable(Scope3_SourceData.Scope3_Livestock_Data(), Table_SourceData_Scope3_Animals[[#Headers],[Category]], 0, 2)</f>
        <v>kg liveweight</v>
      </c>
      <c r="H461" s="35" cm="1">
        <f t="array" ref="H461">Common_InputFunctions.Utility_DisplayArrayInTable(Scope3_SourceData.Scope3_Livestock_Data(), Table_SourceData_Scope3_Animals[[#Headers],[Category]], 0, 2)</f>
        <v>19.100000000000001</v>
      </c>
      <c r="I461" s="35" t="str" cm="1">
        <f t="array" ref="I461">Common_InputFunctions.Utility_DisplayArrayInTable(Scope3_SourceData.Scope3_Livestock_Data(), Table_SourceData_Scope3_Animals[[#Headers],[Category]], 0, 2)</f>
        <v>at market</v>
      </c>
    </row>
    <row r="462" spans="4:13" x14ac:dyDescent="0.25">
      <c r="D462" s="35" t="str" cm="1">
        <f t="array" ref="D462">Common_InputFunctions.Utility_DisplayArrayInTable(Scope3_SourceData.Scope3_Livestock_Data(), Table_SourceData_Scope3_Animals[[#Headers],[Category]], 0, 2)</f>
        <v>Beef cattle</v>
      </c>
      <c r="E462" s="35" t="str" cm="1">
        <f t="array" ref="E462">Common_InputFunctions.Utility_DisplayArrayInTable(Scope3_SourceData.Scope3_Livestock_Data(), Table_SourceData_Scope3_Animals[[#Headers],[Category]], 0, 2)</f>
        <v>Cattle, weaners</v>
      </c>
      <c r="F462" s="35" t="str" cm="1">
        <f t="array" ref="F462">Common_InputFunctions.Utility_DisplayArrayInTable(Scope3_SourceData.Scope3_Livestock_Data(), Table_SourceData_Scope3_Animals[[#Headers],[Category]], 0, 2)</f>
        <v>QLD</v>
      </c>
      <c r="G462" s="35" t="str" cm="1">
        <f t="array" ref="G462">Common_InputFunctions.Utility_DisplayArrayInTable(Scope3_SourceData.Scope3_Livestock_Data(), Table_SourceData_Scope3_Animals[[#Headers],[Category]], 0, 2)</f>
        <v>kg liveweight</v>
      </c>
      <c r="H462" s="35" cm="1">
        <f t="array" ref="H462">Common_InputFunctions.Utility_DisplayArrayInTable(Scope3_SourceData.Scope3_Livestock_Data(), Table_SourceData_Scope3_Animals[[#Headers],[Category]], 0, 2)</f>
        <v>20.5</v>
      </c>
      <c r="I462" s="35" t="str" cm="1">
        <f t="array" ref="I462">Common_InputFunctions.Utility_DisplayArrayInTable(Scope3_SourceData.Scope3_Livestock_Data(), Table_SourceData_Scope3_Animals[[#Headers],[Category]], 0, 2)</f>
        <v>at market</v>
      </c>
    </row>
    <row r="463" spans="4:13" x14ac:dyDescent="0.25">
      <c r="D463" s="35" t="str" cm="1">
        <f t="array" ref="D463">Common_InputFunctions.Utility_DisplayArrayInTable(Scope3_SourceData.Scope3_Livestock_Data(), Table_SourceData_Scope3_Animals[[#Headers],[Category]], 0, 2)</f>
        <v>Beef cattle</v>
      </c>
      <c r="E463" s="35" t="str" cm="1">
        <f t="array" ref="E463">Common_InputFunctions.Utility_DisplayArrayInTable(Scope3_SourceData.Scope3_Livestock_Data(), Table_SourceData_Scope3_Animals[[#Headers],[Category]], 0, 2)</f>
        <v>Cattle, weaners</v>
      </c>
      <c r="F463" s="35" t="str" cm="1">
        <f t="array" ref="F463">Common_InputFunctions.Utility_DisplayArrayInTable(Scope3_SourceData.Scope3_Livestock_Data(), Table_SourceData_Scope3_Animals[[#Headers],[Category]], 0, 2)</f>
        <v>SA</v>
      </c>
      <c r="G463" s="35" t="str" cm="1">
        <f t="array" ref="G463">Common_InputFunctions.Utility_DisplayArrayInTable(Scope3_SourceData.Scope3_Livestock_Data(), Table_SourceData_Scope3_Animals[[#Headers],[Category]], 0, 2)</f>
        <v>kg liveweight</v>
      </c>
      <c r="H463" s="35" cm="1">
        <f t="array" ref="H463">Common_InputFunctions.Utility_DisplayArrayInTable(Scope3_SourceData.Scope3_Livestock_Data(), Table_SourceData_Scope3_Animals[[#Headers],[Category]], 0, 2)</f>
        <v>10.8</v>
      </c>
      <c r="I463" s="35" t="str" cm="1">
        <f t="array" ref="I463">Common_InputFunctions.Utility_DisplayArrayInTable(Scope3_SourceData.Scope3_Livestock_Data(), Table_SourceData_Scope3_Animals[[#Headers],[Category]], 0, 2)</f>
        <v>at market</v>
      </c>
    </row>
    <row r="464" spans="4:13" x14ac:dyDescent="0.25">
      <c r="D464" s="35" t="str" cm="1">
        <f t="array" ref="D464">Common_InputFunctions.Utility_DisplayArrayInTable(Scope3_SourceData.Scope3_Livestock_Data(), Table_SourceData_Scope3_Animals[[#Headers],[Category]], 0, 2)</f>
        <v>Beef cattle</v>
      </c>
      <c r="E464" s="35" t="str" cm="1">
        <f t="array" ref="E464">Common_InputFunctions.Utility_DisplayArrayInTable(Scope3_SourceData.Scope3_Livestock_Data(), Table_SourceData_Scope3_Animals[[#Headers],[Category]], 0, 2)</f>
        <v>Cattle, weaners</v>
      </c>
      <c r="F464" s="35" t="str" cm="1">
        <f t="array" ref="F464">Common_InputFunctions.Utility_DisplayArrayInTable(Scope3_SourceData.Scope3_Livestock_Data(), Table_SourceData_Scope3_Animals[[#Headers],[Category]], 0, 2)</f>
        <v>TAS</v>
      </c>
      <c r="G464" s="35" t="str" cm="1">
        <f t="array" ref="G464">Common_InputFunctions.Utility_DisplayArrayInTable(Scope3_SourceData.Scope3_Livestock_Data(), Table_SourceData_Scope3_Animals[[#Headers],[Category]], 0, 2)</f>
        <v>kg liveweight</v>
      </c>
      <c r="H464" s="35" cm="1">
        <f t="array" ref="H464">Common_InputFunctions.Utility_DisplayArrayInTable(Scope3_SourceData.Scope3_Livestock_Data(), Table_SourceData_Scope3_Animals[[#Headers],[Category]], 0, 2)</f>
        <v>13.4</v>
      </c>
      <c r="I464" s="35" t="str" cm="1">
        <f t="array" ref="I464">Common_InputFunctions.Utility_DisplayArrayInTable(Scope3_SourceData.Scope3_Livestock_Data(), Table_SourceData_Scope3_Animals[[#Headers],[Category]], 0, 2)</f>
        <v>at market</v>
      </c>
    </row>
    <row r="465" spans="4:9" x14ac:dyDescent="0.25">
      <c r="D465" s="35" t="str" cm="1">
        <f t="array" ref="D465">Common_InputFunctions.Utility_DisplayArrayInTable(Scope3_SourceData.Scope3_Livestock_Data(), Table_SourceData_Scope3_Animals[[#Headers],[Category]], 0, 2)</f>
        <v>Beef cattle</v>
      </c>
      <c r="E465" s="35" t="str" cm="1">
        <f t="array" ref="E465">Common_InputFunctions.Utility_DisplayArrayInTable(Scope3_SourceData.Scope3_Livestock_Data(), Table_SourceData_Scope3_Animals[[#Headers],[Category]], 0, 2)</f>
        <v>Cattle, weaners</v>
      </c>
      <c r="F465" s="35" t="str" cm="1">
        <f t="array" ref="F465">Common_InputFunctions.Utility_DisplayArrayInTable(Scope3_SourceData.Scope3_Livestock_Data(), Table_SourceData_Scope3_Animals[[#Headers],[Category]], 0, 2)</f>
        <v>VIC</v>
      </c>
      <c r="G465" s="35" t="str" cm="1">
        <f t="array" ref="G465">Common_InputFunctions.Utility_DisplayArrayInTable(Scope3_SourceData.Scope3_Livestock_Data(), Table_SourceData_Scope3_Animals[[#Headers],[Category]], 0, 2)</f>
        <v>kg liveweight</v>
      </c>
      <c r="H465" s="35" cm="1">
        <f t="array" ref="H465">Common_InputFunctions.Utility_DisplayArrayInTable(Scope3_SourceData.Scope3_Livestock_Data(), Table_SourceData_Scope3_Animals[[#Headers],[Category]], 0, 2)</f>
        <v>12</v>
      </c>
      <c r="I465" s="35" t="str" cm="1">
        <f t="array" ref="I465">Common_InputFunctions.Utility_DisplayArrayInTable(Scope3_SourceData.Scope3_Livestock_Data(), Table_SourceData_Scope3_Animals[[#Headers],[Category]], 0, 2)</f>
        <v>at market</v>
      </c>
    </row>
    <row r="466" spans="4:9" x14ac:dyDescent="0.25">
      <c r="D466" s="35" t="str" cm="1">
        <f t="array" ref="D466">Common_InputFunctions.Utility_DisplayArrayInTable(Scope3_SourceData.Scope3_Livestock_Data(), Table_SourceData_Scope3_Animals[[#Headers],[Category]], 0, 2)</f>
        <v>Beef cattle</v>
      </c>
      <c r="E466" s="35" t="str" cm="1">
        <f t="array" ref="E466">Common_InputFunctions.Utility_DisplayArrayInTable(Scope3_SourceData.Scope3_Livestock_Data(), Table_SourceData_Scope3_Animals[[#Headers],[Category]], 0, 2)</f>
        <v>Cattle, weaners</v>
      </c>
      <c r="F466" s="35" t="str" cm="1">
        <f t="array" ref="F466">Common_InputFunctions.Utility_DisplayArrayInTable(Scope3_SourceData.Scope3_Livestock_Data(), Table_SourceData_Scope3_Animals[[#Headers],[Category]], 0, 2)</f>
        <v>WA</v>
      </c>
      <c r="G466" s="35" t="str" cm="1">
        <f t="array" ref="G466">Common_InputFunctions.Utility_DisplayArrayInTable(Scope3_SourceData.Scope3_Livestock_Data(), Table_SourceData_Scope3_Animals[[#Headers],[Category]], 0, 2)</f>
        <v>kg liveweight</v>
      </c>
      <c r="H466" s="35" cm="1">
        <f t="array" ref="H466">Common_InputFunctions.Utility_DisplayArrayInTable(Scope3_SourceData.Scope3_Livestock_Data(), Table_SourceData_Scope3_Animals[[#Headers],[Category]], 0, 2)</f>
        <v>12.4</v>
      </c>
      <c r="I466" s="35" t="str" cm="1">
        <f t="array" ref="I466">Common_InputFunctions.Utility_DisplayArrayInTable(Scope3_SourceData.Scope3_Livestock_Data(), Table_SourceData_Scope3_Animals[[#Headers],[Category]], 0, 2)</f>
        <v>at market</v>
      </c>
    </row>
    <row r="467" spans="4:9" x14ac:dyDescent="0.25">
      <c r="D467" s="35" t="str" cm="1">
        <f t="array" ref="D467">Common_InputFunctions.Utility_DisplayArrayInTable(Scope3_SourceData.Scope3_Livestock_Data(), Table_SourceData_Scope3_Animals[[#Headers],[Category]], 0, 2)</f>
        <v>Chickens</v>
      </c>
      <c r="E467" s="35" t="str" cm="1">
        <f t="array" ref="E467">Common_InputFunctions.Utility_DisplayArrayInTable(Scope3_SourceData.Scope3_Livestock_Data(), Table_SourceData_Scope3_Animals[[#Headers],[Category]], 0, 2)</f>
        <v>Chickens</v>
      </c>
      <c r="F467" s="35" t="str" cm="1">
        <f t="array" ref="F467">Common_InputFunctions.Utility_DisplayArrayInTable(Scope3_SourceData.Scope3_Livestock_Data(), Table_SourceData_Scope3_Animals[[#Headers],[Category]], 0, 2)</f>
        <v>Australia</v>
      </c>
      <c r="G467" s="35" t="str" cm="1">
        <f t="array" ref="G467">Common_InputFunctions.Utility_DisplayArrayInTable(Scope3_SourceData.Scope3_Livestock_Data(), Table_SourceData_Scope3_Animals[[#Headers],[Category]], 0, 2)</f>
        <v>kg liveweight</v>
      </c>
      <c r="H467" s="35" cm="1">
        <f t="array" ref="H467">Common_InputFunctions.Utility_DisplayArrayInTable(Scope3_SourceData.Scope3_Livestock_Data(), Table_SourceData_Scope3_Animals[[#Headers],[Category]], 0, 2)</f>
        <v>1.36</v>
      </c>
      <c r="I467" s="35" t="str" cm="1">
        <f t="array" ref="I467">Common_InputFunctions.Utility_DisplayArrayInTable(Scope3_SourceData.Scope3_Livestock_Data(), Table_SourceData_Scope3_Animals[[#Headers],[Category]], 0, 2)</f>
        <v>at market</v>
      </c>
    </row>
    <row r="468" spans="4:9" x14ac:dyDescent="0.25">
      <c r="D468" s="35" t="str" cm="1">
        <f t="array" ref="D468">Common_InputFunctions.Utility_DisplayArrayInTable(Scope3_SourceData.Scope3_Livestock_Data(), Table_SourceData_Scope3_Animals[[#Headers],[Category]], 0, 2)</f>
        <v>Dairy cattle</v>
      </c>
      <c r="E468" s="35" t="str" cm="1">
        <f t="array" ref="E468">Common_InputFunctions.Utility_DisplayArrayInTable(Scope3_SourceData.Scope3_Livestock_Data(), Table_SourceData_Scope3_Animals[[#Headers],[Category]], 0, 2)</f>
        <v>Dairy cows</v>
      </c>
      <c r="F468" s="35" t="str" cm="1">
        <f t="array" ref="F468">Common_InputFunctions.Utility_DisplayArrayInTable(Scope3_SourceData.Scope3_Livestock_Data(), Table_SourceData_Scope3_Animals[[#Headers],[Category]], 0, 2)</f>
        <v>VIC</v>
      </c>
      <c r="G468" s="35" t="str" cm="1">
        <f t="array" ref="G468">Common_InputFunctions.Utility_DisplayArrayInTable(Scope3_SourceData.Scope3_Livestock_Data(), Table_SourceData_Scope3_Animals[[#Headers],[Category]], 0, 2)</f>
        <v>kg liveweight</v>
      </c>
      <c r="H468" s="35" cm="1">
        <f t="array" ref="H468">Common_InputFunctions.Utility_DisplayArrayInTable(Scope3_SourceData.Scope3_Livestock_Data(), Table_SourceData_Scope3_Animals[[#Headers],[Category]], 0, 2)</f>
        <v>4.41</v>
      </c>
      <c r="I468" s="35" t="str" cm="1">
        <f t="array" ref="I468">Common_InputFunctions.Utility_DisplayArrayInTable(Scope3_SourceData.Scope3_Livestock_Data(), Table_SourceData_Scope3_Animals[[#Headers],[Category]], 0, 2)</f>
        <v>at market</v>
      </c>
    </row>
    <row r="469" spans="4:9" x14ac:dyDescent="0.25">
      <c r="D469" s="35" t="str" cm="1">
        <f t="array" ref="D469">Common_InputFunctions.Utility_DisplayArrayInTable(Scope3_SourceData.Scope3_Livestock_Data(), Table_SourceData_Scope3_Animals[[#Headers],[Category]], 0, 2)</f>
        <v>Pigs</v>
      </c>
      <c r="E469" s="35" t="str" cm="1">
        <f t="array" ref="E469">Common_InputFunctions.Utility_DisplayArrayInTable(Scope3_SourceData.Scope3_Livestock_Data(), Table_SourceData_Scope3_Animals[[#Headers],[Category]], 0, 2)</f>
        <v>Pigs</v>
      </c>
      <c r="F469" s="35" t="str" cm="1">
        <f t="array" ref="F469">Common_InputFunctions.Utility_DisplayArrayInTable(Scope3_SourceData.Scope3_Livestock_Data(), Table_SourceData_Scope3_Animals[[#Headers],[Category]], 0, 2)</f>
        <v>Australia</v>
      </c>
      <c r="G469" s="35" t="str" cm="1">
        <f t="array" ref="G469">Common_InputFunctions.Utility_DisplayArrayInTable(Scope3_SourceData.Scope3_Livestock_Data(), Table_SourceData_Scope3_Animals[[#Headers],[Category]], 0, 2)</f>
        <v>kg liveweight</v>
      </c>
      <c r="H469" s="35" cm="1">
        <f t="array" ref="H469">Common_InputFunctions.Utility_DisplayArrayInTable(Scope3_SourceData.Scope3_Livestock_Data(), Table_SourceData_Scope3_Animals[[#Headers],[Category]], 0, 2)</f>
        <v>3.38</v>
      </c>
      <c r="I469" s="35" t="str" cm="1">
        <f t="array" ref="I469">Common_InputFunctions.Utility_DisplayArrayInTable(Scope3_SourceData.Scope3_Livestock_Data(), Table_SourceData_Scope3_Animals[[#Headers],[Category]], 0, 2)</f>
        <v>at market</v>
      </c>
    </row>
    <row r="470" spans="4:9" x14ac:dyDescent="0.25">
      <c r="D470" s="35" t="str" cm="1">
        <f t="array" ref="D470">Common_InputFunctions.Utility_DisplayArrayInTable(Scope3_SourceData.Scope3_Livestock_Data(), Table_SourceData_Scope3_Animals[[#Headers],[Category]], 0, 2)</f>
        <v>Sheep</v>
      </c>
      <c r="E470" s="35" t="str" cm="1">
        <f t="array" ref="E470">Common_InputFunctions.Utility_DisplayArrayInTable(Scope3_SourceData.Scope3_Livestock_Data(), Table_SourceData_Scope3_Animals[[#Headers],[Category]], 0, 2)</f>
        <v>Sheep, for mutton</v>
      </c>
      <c r="F470" s="35" t="str" cm="1">
        <f t="array" ref="F470">Common_InputFunctions.Utility_DisplayArrayInTable(Scope3_SourceData.Scope3_Livestock_Data(), Table_SourceData_Scope3_Animals[[#Headers],[Category]], 0, 2)</f>
        <v>Australia</v>
      </c>
      <c r="G470" s="35" t="str" cm="1">
        <f t="array" ref="G470">Common_InputFunctions.Utility_DisplayArrayInTable(Scope3_SourceData.Scope3_Livestock_Data(), Table_SourceData_Scope3_Animals[[#Headers],[Category]], 0, 2)</f>
        <v>kg liveweight</v>
      </c>
      <c r="H470" s="35" cm="1">
        <f t="array" ref="H470">Common_InputFunctions.Utility_DisplayArrayInTable(Scope3_SourceData.Scope3_Livestock_Data(), Table_SourceData_Scope3_Animals[[#Headers],[Category]], 0, 2)</f>
        <v>6.81</v>
      </c>
      <c r="I470" s="35" t="str" cm="1">
        <f t="array" ref="I470">Common_InputFunctions.Utility_DisplayArrayInTable(Scope3_SourceData.Scope3_Livestock_Data(), Table_SourceData_Scope3_Animals[[#Headers],[Category]], 0, 2)</f>
        <v>at market</v>
      </c>
    </row>
    <row r="471" spans="4:9" x14ac:dyDescent="0.25">
      <c r="D471" s="35" t="str" cm="1">
        <f t="array" ref="D471">Common_InputFunctions.Utility_DisplayArrayInTable(Scope3_SourceData.Scope3_Livestock_Data(), Table_SourceData_Scope3_Animals[[#Headers],[Category]], 0, 2)</f>
        <v>Sheep</v>
      </c>
      <c r="E471" s="35" t="str" cm="1">
        <f t="array" ref="E471">Common_InputFunctions.Utility_DisplayArrayInTable(Scope3_SourceData.Scope3_Livestock_Data(), Table_SourceData_Scope3_Animals[[#Headers],[Category]], 0, 2)</f>
        <v>Sheep, for mutton</v>
      </c>
      <c r="F471" s="35" t="str" cm="1">
        <f t="array" ref="F471">Common_InputFunctions.Utility_DisplayArrayInTable(Scope3_SourceData.Scope3_Livestock_Data(), Table_SourceData_Scope3_Animals[[#Headers],[Category]], 0, 2)</f>
        <v>NSW</v>
      </c>
      <c r="G471" s="35" t="str" cm="1">
        <f t="array" ref="G471">Common_InputFunctions.Utility_DisplayArrayInTable(Scope3_SourceData.Scope3_Livestock_Data(), Table_SourceData_Scope3_Animals[[#Headers],[Category]], 0, 2)</f>
        <v>kg liveweight</v>
      </c>
      <c r="H471" s="35" cm="1">
        <f t="array" ref="H471">Common_InputFunctions.Utility_DisplayArrayInTable(Scope3_SourceData.Scope3_Livestock_Data(), Table_SourceData_Scope3_Animals[[#Headers],[Category]], 0, 2)</f>
        <v>2.2599999999999998</v>
      </c>
      <c r="I471" s="35" t="str" cm="1">
        <f t="array" ref="I471">Common_InputFunctions.Utility_DisplayArrayInTable(Scope3_SourceData.Scope3_Livestock_Data(), Table_SourceData_Scope3_Animals[[#Headers],[Category]], 0, 2)</f>
        <v>at market</v>
      </c>
    </row>
    <row r="472" spans="4:9" x14ac:dyDescent="0.25">
      <c r="D472" s="35" t="str" cm="1">
        <f t="array" ref="D472">Common_InputFunctions.Utility_DisplayArrayInTable(Scope3_SourceData.Scope3_Livestock_Data(), Table_SourceData_Scope3_Animals[[#Headers],[Category]], 0, 2)</f>
        <v>Sheep</v>
      </c>
      <c r="E472" s="35" t="str" cm="1">
        <f t="array" ref="E472">Common_InputFunctions.Utility_DisplayArrayInTable(Scope3_SourceData.Scope3_Livestock_Data(), Table_SourceData_Scope3_Animals[[#Headers],[Category]], 0, 2)</f>
        <v>Sheep, for mutton</v>
      </c>
      <c r="F472" s="35" t="str" cm="1">
        <f t="array" ref="F472">Common_InputFunctions.Utility_DisplayArrayInTable(Scope3_SourceData.Scope3_Livestock_Data(), Table_SourceData_Scope3_Animals[[#Headers],[Category]], 0, 2)</f>
        <v>QLD</v>
      </c>
      <c r="G472" s="35" t="str" cm="1">
        <f t="array" ref="G472">Common_InputFunctions.Utility_DisplayArrayInTable(Scope3_SourceData.Scope3_Livestock_Data(), Table_SourceData_Scope3_Animals[[#Headers],[Category]], 0, 2)</f>
        <v>kg liveweight</v>
      </c>
      <c r="H472" s="35" cm="1">
        <f t="array" ref="H472">Common_InputFunctions.Utility_DisplayArrayInTable(Scope3_SourceData.Scope3_Livestock_Data(), Table_SourceData_Scope3_Animals[[#Headers],[Category]], 0, 2)</f>
        <v>6.33</v>
      </c>
      <c r="I472" s="35" t="str" cm="1">
        <f t="array" ref="I472">Common_InputFunctions.Utility_DisplayArrayInTable(Scope3_SourceData.Scope3_Livestock_Data(), Table_SourceData_Scope3_Animals[[#Headers],[Category]], 0, 2)</f>
        <v>at market</v>
      </c>
    </row>
    <row r="473" spans="4:9" x14ac:dyDescent="0.25">
      <c r="D473" s="35" t="str" cm="1">
        <f t="array" ref="D473">Common_InputFunctions.Utility_DisplayArrayInTable(Scope3_SourceData.Scope3_Livestock_Data(), Table_SourceData_Scope3_Animals[[#Headers],[Category]], 0, 2)</f>
        <v>Sheep</v>
      </c>
      <c r="E473" s="35" t="str" cm="1">
        <f t="array" ref="E473">Common_InputFunctions.Utility_DisplayArrayInTable(Scope3_SourceData.Scope3_Livestock_Data(), Table_SourceData_Scope3_Animals[[#Headers],[Category]], 0, 2)</f>
        <v>Sheep, for mutton</v>
      </c>
      <c r="F473" s="35" t="str" cm="1">
        <f t="array" ref="F473">Common_InputFunctions.Utility_DisplayArrayInTable(Scope3_SourceData.Scope3_Livestock_Data(), Table_SourceData_Scope3_Animals[[#Headers],[Category]], 0, 2)</f>
        <v>SA</v>
      </c>
      <c r="G473" s="35" t="str" cm="1">
        <f t="array" ref="G473">Common_InputFunctions.Utility_DisplayArrayInTable(Scope3_SourceData.Scope3_Livestock_Data(), Table_SourceData_Scope3_Animals[[#Headers],[Category]], 0, 2)</f>
        <v>kg liveweight</v>
      </c>
      <c r="H473" s="35" cm="1">
        <f t="array" ref="H473">Common_InputFunctions.Utility_DisplayArrayInTable(Scope3_SourceData.Scope3_Livestock_Data(), Table_SourceData_Scope3_Animals[[#Headers],[Category]], 0, 2)</f>
        <v>6.18</v>
      </c>
      <c r="I473" s="35" t="str" cm="1">
        <f t="array" ref="I473">Common_InputFunctions.Utility_DisplayArrayInTable(Scope3_SourceData.Scope3_Livestock_Data(), Table_SourceData_Scope3_Animals[[#Headers],[Category]], 0, 2)</f>
        <v>at market</v>
      </c>
    </row>
    <row r="474" spans="4:9" x14ac:dyDescent="0.25">
      <c r="D474" s="35" t="str" cm="1">
        <f t="array" ref="D474">Common_InputFunctions.Utility_DisplayArrayInTable(Scope3_SourceData.Scope3_Livestock_Data(), Table_SourceData_Scope3_Animals[[#Headers],[Category]], 0, 2)</f>
        <v>Sheep</v>
      </c>
      <c r="E474" s="35" t="str" cm="1">
        <f t="array" ref="E474">Common_InputFunctions.Utility_DisplayArrayInTable(Scope3_SourceData.Scope3_Livestock_Data(), Table_SourceData_Scope3_Animals[[#Headers],[Category]], 0, 2)</f>
        <v>Sheep, for mutton</v>
      </c>
      <c r="F474" s="35" t="str" cm="1">
        <f t="array" ref="F474">Common_InputFunctions.Utility_DisplayArrayInTable(Scope3_SourceData.Scope3_Livestock_Data(), Table_SourceData_Scope3_Animals[[#Headers],[Category]], 0, 2)</f>
        <v>TAS</v>
      </c>
      <c r="G474" s="35" t="str" cm="1">
        <f t="array" ref="G474">Common_InputFunctions.Utility_DisplayArrayInTable(Scope3_SourceData.Scope3_Livestock_Data(), Table_SourceData_Scope3_Animals[[#Headers],[Category]], 0, 2)</f>
        <v>kg liveweight</v>
      </c>
      <c r="H474" s="35" cm="1">
        <f t="array" ref="H474">Common_InputFunctions.Utility_DisplayArrayInTable(Scope3_SourceData.Scope3_Livestock_Data(), Table_SourceData_Scope3_Animals[[#Headers],[Category]], 0, 2)</f>
        <v>7.5</v>
      </c>
      <c r="I474" s="35" t="str" cm="1">
        <f t="array" ref="I474">Common_InputFunctions.Utility_DisplayArrayInTable(Scope3_SourceData.Scope3_Livestock_Data(), Table_SourceData_Scope3_Animals[[#Headers],[Category]], 0, 2)</f>
        <v>at market</v>
      </c>
    </row>
    <row r="475" spans="4:9" x14ac:dyDescent="0.25">
      <c r="D475" s="35" t="str" cm="1">
        <f t="array" ref="D475">Common_InputFunctions.Utility_DisplayArrayInTable(Scope3_SourceData.Scope3_Livestock_Data(), Table_SourceData_Scope3_Animals[[#Headers],[Category]], 0, 2)</f>
        <v>Sheep</v>
      </c>
      <c r="E475" s="35" t="str" cm="1">
        <f t="array" ref="E475">Common_InputFunctions.Utility_DisplayArrayInTable(Scope3_SourceData.Scope3_Livestock_Data(), Table_SourceData_Scope3_Animals[[#Headers],[Category]], 0, 2)</f>
        <v>Sheep, for mutton</v>
      </c>
      <c r="F475" s="35" t="str" cm="1">
        <f t="array" ref="F475">Common_InputFunctions.Utility_DisplayArrayInTable(Scope3_SourceData.Scope3_Livestock_Data(), Table_SourceData_Scope3_Animals[[#Headers],[Category]], 0, 2)</f>
        <v>VIC</v>
      </c>
      <c r="G475" s="35" t="str" cm="1">
        <f t="array" ref="G475">Common_InputFunctions.Utility_DisplayArrayInTable(Scope3_SourceData.Scope3_Livestock_Data(), Table_SourceData_Scope3_Animals[[#Headers],[Category]], 0, 2)</f>
        <v>kg liveweight</v>
      </c>
      <c r="H475" s="35" cm="1">
        <f t="array" ref="H475">Common_InputFunctions.Utility_DisplayArrayInTable(Scope3_SourceData.Scope3_Livestock_Data(), Table_SourceData_Scope3_Animals[[#Headers],[Category]], 0, 2)</f>
        <v>8.08</v>
      </c>
      <c r="I475" s="35" t="str" cm="1">
        <f t="array" ref="I475">Common_InputFunctions.Utility_DisplayArrayInTable(Scope3_SourceData.Scope3_Livestock_Data(), Table_SourceData_Scope3_Animals[[#Headers],[Category]], 0, 2)</f>
        <v>at market</v>
      </c>
    </row>
    <row r="476" spans="4:9" x14ac:dyDescent="0.25">
      <c r="D476" s="35" t="str" cm="1">
        <f t="array" ref="D476">Common_InputFunctions.Utility_DisplayArrayInTable(Scope3_SourceData.Scope3_Livestock_Data(), Table_SourceData_Scope3_Animals[[#Headers],[Category]], 0, 2)</f>
        <v>Sheep</v>
      </c>
      <c r="E476" s="35" t="str" cm="1">
        <f t="array" ref="E476">Common_InputFunctions.Utility_DisplayArrayInTable(Scope3_SourceData.Scope3_Livestock_Data(), Table_SourceData_Scope3_Animals[[#Headers],[Category]], 0, 2)</f>
        <v>Sheep, for mutton</v>
      </c>
      <c r="F476" s="35" t="str" cm="1">
        <f t="array" ref="F476">Common_InputFunctions.Utility_DisplayArrayInTable(Scope3_SourceData.Scope3_Livestock_Data(), Table_SourceData_Scope3_Animals[[#Headers],[Category]], 0, 2)</f>
        <v>WA</v>
      </c>
      <c r="G476" s="35" t="str" cm="1">
        <f t="array" ref="G476">Common_InputFunctions.Utility_DisplayArrayInTable(Scope3_SourceData.Scope3_Livestock_Data(), Table_SourceData_Scope3_Animals[[#Headers],[Category]], 0, 2)</f>
        <v>kg liveweight</v>
      </c>
      <c r="H476" s="35" cm="1">
        <f t="array" ref="H476">Common_InputFunctions.Utility_DisplayArrayInTable(Scope3_SourceData.Scope3_Livestock_Data(), Table_SourceData_Scope3_Animals[[#Headers],[Category]], 0, 2)</f>
        <v>5.45</v>
      </c>
      <c r="I476" s="35" t="str" cm="1">
        <f t="array" ref="I476">Common_InputFunctions.Utility_DisplayArrayInTable(Scope3_SourceData.Scope3_Livestock_Data(), Table_SourceData_Scope3_Animals[[#Headers],[Category]], 0, 2)</f>
        <v>at market</v>
      </c>
    </row>
    <row r="477" spans="4:9" x14ac:dyDescent="0.25">
      <c r="D477" s="35" t="str" cm="1">
        <f t="array" ref="D477">Common_InputFunctions.Utility_DisplayArrayInTable(Scope3_SourceData.Scope3_Livestock_Data(), Table_SourceData_Scope3_Animals[[#Headers],[Category]], 0, 2)</f>
        <v>Sheep</v>
      </c>
      <c r="E477" s="35" t="str" cm="1">
        <f t="array" ref="E477">Common_InputFunctions.Utility_DisplayArrayInTable(Scope3_SourceData.Scope3_Livestock_Data(), Table_SourceData_Scope3_Animals[[#Headers],[Category]], 0, 2)</f>
        <v>Sheep, for prime lamb</v>
      </c>
      <c r="F477" s="35" t="str" cm="1">
        <f t="array" ref="F477">Common_InputFunctions.Utility_DisplayArrayInTable(Scope3_SourceData.Scope3_Livestock_Data(), Table_SourceData_Scope3_Animals[[#Headers],[Category]], 0, 2)</f>
        <v>Australia</v>
      </c>
      <c r="G477" s="35" t="str" cm="1">
        <f t="array" ref="G477">Common_InputFunctions.Utility_DisplayArrayInTable(Scope3_SourceData.Scope3_Livestock_Data(), Table_SourceData_Scope3_Animals[[#Headers],[Category]], 0, 2)</f>
        <v>kg liveweight</v>
      </c>
      <c r="H477" s="35" cm="1">
        <f t="array" ref="H477">Common_InputFunctions.Utility_DisplayArrayInTable(Scope3_SourceData.Scope3_Livestock_Data(), Table_SourceData_Scope3_Animals[[#Headers],[Category]], 0, 2)</f>
        <v>7.15</v>
      </c>
      <c r="I477" s="35" t="str" cm="1">
        <f t="array" ref="I477">Common_InputFunctions.Utility_DisplayArrayInTable(Scope3_SourceData.Scope3_Livestock_Data(), Table_SourceData_Scope3_Animals[[#Headers],[Category]], 0, 2)</f>
        <v>at market</v>
      </c>
    </row>
    <row r="478" spans="4:9" x14ac:dyDescent="0.25">
      <c r="D478" s="35" t="str" cm="1">
        <f t="array" ref="D478">Common_InputFunctions.Utility_DisplayArrayInTable(Scope3_SourceData.Scope3_Livestock_Data(), Table_SourceData_Scope3_Animals[[#Headers],[Category]], 0, 2)</f>
        <v>Sheep</v>
      </c>
      <c r="E478" s="35" t="str" cm="1">
        <f t="array" ref="E478">Common_InputFunctions.Utility_DisplayArrayInTable(Scope3_SourceData.Scope3_Livestock_Data(), Table_SourceData_Scope3_Animals[[#Headers],[Category]], 0, 2)</f>
        <v>Sheep, for prime lamb</v>
      </c>
      <c r="F478" s="35" t="str" cm="1">
        <f t="array" ref="F478">Common_InputFunctions.Utility_DisplayArrayInTable(Scope3_SourceData.Scope3_Livestock_Data(), Table_SourceData_Scope3_Animals[[#Headers],[Category]], 0, 2)</f>
        <v>NSW</v>
      </c>
      <c r="G478" s="35" t="str" cm="1">
        <f t="array" ref="G478">Common_InputFunctions.Utility_DisplayArrayInTable(Scope3_SourceData.Scope3_Livestock_Data(), Table_SourceData_Scope3_Animals[[#Headers],[Category]], 0, 2)</f>
        <v>kg liveweight</v>
      </c>
      <c r="H478" s="35" cm="1">
        <f t="array" ref="H478">Common_InputFunctions.Utility_DisplayArrayInTable(Scope3_SourceData.Scope3_Livestock_Data(), Table_SourceData_Scope3_Animals[[#Headers],[Category]], 0, 2)</f>
        <v>8.2899999999999991</v>
      </c>
      <c r="I478" s="35" t="str" cm="1">
        <f t="array" ref="I478">Common_InputFunctions.Utility_DisplayArrayInTable(Scope3_SourceData.Scope3_Livestock_Data(), Table_SourceData_Scope3_Animals[[#Headers],[Category]], 0, 2)</f>
        <v>at market</v>
      </c>
    </row>
    <row r="479" spans="4:9" x14ac:dyDescent="0.25">
      <c r="D479" s="35" t="str" cm="1">
        <f t="array" ref="D479">Common_InputFunctions.Utility_DisplayArrayInTable(Scope3_SourceData.Scope3_Livestock_Data(), Table_SourceData_Scope3_Animals[[#Headers],[Category]], 0, 2)</f>
        <v>Sheep</v>
      </c>
      <c r="E479" s="35" t="str" cm="1">
        <f t="array" ref="E479">Common_InputFunctions.Utility_DisplayArrayInTable(Scope3_SourceData.Scope3_Livestock_Data(), Table_SourceData_Scope3_Animals[[#Headers],[Category]], 0, 2)</f>
        <v>Sheep, for prime lamb</v>
      </c>
      <c r="F479" s="35" t="str" cm="1">
        <f t="array" ref="F479">Common_InputFunctions.Utility_DisplayArrayInTable(Scope3_SourceData.Scope3_Livestock_Data(), Table_SourceData_Scope3_Animals[[#Headers],[Category]], 0, 2)</f>
        <v>QLD</v>
      </c>
      <c r="G479" s="35" t="str" cm="1">
        <f t="array" ref="G479">Common_InputFunctions.Utility_DisplayArrayInTable(Scope3_SourceData.Scope3_Livestock_Data(), Table_SourceData_Scope3_Animals[[#Headers],[Category]], 0, 2)</f>
        <v>kg liveweight</v>
      </c>
      <c r="H479" s="35" cm="1">
        <f t="array" ref="H479">Common_InputFunctions.Utility_DisplayArrayInTable(Scope3_SourceData.Scope3_Livestock_Data(), Table_SourceData_Scope3_Animals[[#Headers],[Category]], 0, 2)</f>
        <v>6.39</v>
      </c>
      <c r="I479" s="35" t="str" cm="1">
        <f t="array" ref="I479">Common_InputFunctions.Utility_DisplayArrayInTable(Scope3_SourceData.Scope3_Livestock_Data(), Table_SourceData_Scope3_Animals[[#Headers],[Category]], 0, 2)</f>
        <v>at market</v>
      </c>
    </row>
    <row r="480" spans="4:9" x14ac:dyDescent="0.25">
      <c r="D480" s="35" t="str" cm="1">
        <f t="array" ref="D480">Common_InputFunctions.Utility_DisplayArrayInTable(Scope3_SourceData.Scope3_Livestock_Data(), Table_SourceData_Scope3_Animals[[#Headers],[Category]], 0, 2)</f>
        <v>Sheep</v>
      </c>
      <c r="E480" s="35" t="str" cm="1">
        <f t="array" ref="E480">Common_InputFunctions.Utility_DisplayArrayInTable(Scope3_SourceData.Scope3_Livestock_Data(), Table_SourceData_Scope3_Animals[[#Headers],[Category]], 0, 2)</f>
        <v>Sheep, for prime lamb</v>
      </c>
      <c r="F480" s="35" t="str" cm="1">
        <f t="array" ref="F480">Common_InputFunctions.Utility_DisplayArrayInTable(Scope3_SourceData.Scope3_Livestock_Data(), Table_SourceData_Scope3_Animals[[#Headers],[Category]], 0, 2)</f>
        <v>SA</v>
      </c>
      <c r="G480" s="35" t="str" cm="1">
        <f t="array" ref="G480">Common_InputFunctions.Utility_DisplayArrayInTable(Scope3_SourceData.Scope3_Livestock_Data(), Table_SourceData_Scope3_Animals[[#Headers],[Category]], 0, 2)</f>
        <v>kg liveweight</v>
      </c>
      <c r="H480" s="35" cm="1">
        <f t="array" ref="H480">Common_InputFunctions.Utility_DisplayArrayInTable(Scope3_SourceData.Scope3_Livestock_Data(), Table_SourceData_Scope3_Animals[[#Headers],[Category]], 0, 2)</f>
        <v>6.87</v>
      </c>
      <c r="I480" s="35" t="str" cm="1">
        <f t="array" ref="I480">Common_InputFunctions.Utility_DisplayArrayInTable(Scope3_SourceData.Scope3_Livestock_Data(), Table_SourceData_Scope3_Animals[[#Headers],[Category]], 0, 2)</f>
        <v>at market</v>
      </c>
    </row>
    <row r="481" spans="4:9" x14ac:dyDescent="0.25">
      <c r="D481" s="35" t="str" cm="1">
        <f t="array" ref="D481">Common_InputFunctions.Utility_DisplayArrayInTable(Scope3_SourceData.Scope3_Livestock_Data(), Table_SourceData_Scope3_Animals[[#Headers],[Category]], 0, 2)</f>
        <v>Sheep</v>
      </c>
      <c r="E481" s="35" t="str" cm="1">
        <f t="array" ref="E481">Common_InputFunctions.Utility_DisplayArrayInTable(Scope3_SourceData.Scope3_Livestock_Data(), Table_SourceData_Scope3_Animals[[#Headers],[Category]], 0, 2)</f>
        <v>Sheep, for prime lamb</v>
      </c>
      <c r="F481" s="35" t="str" cm="1">
        <f t="array" ref="F481">Common_InputFunctions.Utility_DisplayArrayInTable(Scope3_SourceData.Scope3_Livestock_Data(), Table_SourceData_Scope3_Animals[[#Headers],[Category]], 0, 2)</f>
        <v>TAS</v>
      </c>
      <c r="G481" s="35" t="str" cm="1">
        <f t="array" ref="G481">Common_InputFunctions.Utility_DisplayArrayInTable(Scope3_SourceData.Scope3_Livestock_Data(), Table_SourceData_Scope3_Animals[[#Headers],[Category]], 0, 2)</f>
        <v>kg liveweight</v>
      </c>
      <c r="H481" s="35" cm="1">
        <f t="array" ref="H481">Common_InputFunctions.Utility_DisplayArrayInTable(Scope3_SourceData.Scope3_Livestock_Data(), Table_SourceData_Scope3_Animals[[#Headers],[Category]], 0, 2)</f>
        <v>8.66</v>
      </c>
      <c r="I481" s="35" t="str" cm="1">
        <f t="array" ref="I481">Common_InputFunctions.Utility_DisplayArrayInTable(Scope3_SourceData.Scope3_Livestock_Data(), Table_SourceData_Scope3_Animals[[#Headers],[Category]], 0, 2)</f>
        <v>at market</v>
      </c>
    </row>
    <row r="482" spans="4:9" x14ac:dyDescent="0.25">
      <c r="D482" s="35" t="str" cm="1">
        <f t="array" ref="D482">Common_InputFunctions.Utility_DisplayArrayInTable(Scope3_SourceData.Scope3_Livestock_Data(), Table_SourceData_Scope3_Animals[[#Headers],[Category]], 0, 2)</f>
        <v>Sheep</v>
      </c>
      <c r="E482" s="35" t="str" cm="1">
        <f t="array" ref="E482">Common_InputFunctions.Utility_DisplayArrayInTable(Scope3_SourceData.Scope3_Livestock_Data(), Table_SourceData_Scope3_Animals[[#Headers],[Category]], 0, 2)</f>
        <v>Sheep, for prime lamb</v>
      </c>
      <c r="F482" s="35" t="str" cm="1">
        <f t="array" ref="F482">Common_InputFunctions.Utility_DisplayArrayInTable(Scope3_SourceData.Scope3_Livestock_Data(), Table_SourceData_Scope3_Animals[[#Headers],[Category]], 0, 2)</f>
        <v>VIC</v>
      </c>
      <c r="G482" s="35" t="str" cm="1">
        <f t="array" ref="G482">Common_InputFunctions.Utility_DisplayArrayInTable(Scope3_SourceData.Scope3_Livestock_Data(), Table_SourceData_Scope3_Animals[[#Headers],[Category]], 0, 2)</f>
        <v>kg liveweight</v>
      </c>
      <c r="H482" s="35" cm="1">
        <f t="array" ref="H482">Common_InputFunctions.Utility_DisplayArrayInTable(Scope3_SourceData.Scope3_Livestock_Data(), Table_SourceData_Scope3_Animals[[#Headers],[Category]], 0, 2)</f>
        <v>10</v>
      </c>
      <c r="I482" s="35" t="str" cm="1">
        <f t="array" ref="I482">Common_InputFunctions.Utility_DisplayArrayInTable(Scope3_SourceData.Scope3_Livestock_Data(), Table_SourceData_Scope3_Animals[[#Headers],[Category]], 0, 2)</f>
        <v>at market</v>
      </c>
    </row>
    <row r="483" spans="4:9" x14ac:dyDescent="0.25">
      <c r="D483" s="35" t="str" cm="1">
        <f t="array" ref="D483">Common_InputFunctions.Utility_DisplayArrayInTable(Scope3_SourceData.Scope3_Livestock_Data(), Table_SourceData_Scope3_Animals[[#Headers],[Category]], 0, 2)</f>
        <v>Sheep</v>
      </c>
      <c r="E483" s="35" t="str" cm="1">
        <f t="array" ref="E483">Common_InputFunctions.Utility_DisplayArrayInTable(Scope3_SourceData.Scope3_Livestock_Data(), Table_SourceData_Scope3_Animals[[#Headers],[Category]], 0, 2)</f>
        <v>Sheep, for prime lamb</v>
      </c>
      <c r="F483" s="35" t="str" cm="1">
        <f t="array" ref="F483">Common_InputFunctions.Utility_DisplayArrayInTable(Scope3_SourceData.Scope3_Livestock_Data(), Table_SourceData_Scope3_Animals[[#Headers],[Category]], 0, 2)</f>
        <v>WA</v>
      </c>
      <c r="G483" s="35" t="str" cm="1">
        <f t="array" ref="G483">Common_InputFunctions.Utility_DisplayArrayInTable(Scope3_SourceData.Scope3_Livestock_Data(), Table_SourceData_Scope3_Animals[[#Headers],[Category]], 0, 2)</f>
        <v>kg liveweight</v>
      </c>
      <c r="H483" s="35" cm="1">
        <f t="array" ref="H483">Common_InputFunctions.Utility_DisplayArrayInTable(Scope3_SourceData.Scope3_Livestock_Data(), Table_SourceData_Scope3_Animals[[#Headers],[Category]], 0, 2)</f>
        <v>5.67</v>
      </c>
      <c r="I483" s="35" t="str" cm="1">
        <f t="array" ref="I483">Common_InputFunctions.Utility_DisplayArrayInTable(Scope3_SourceData.Scope3_Livestock_Data(), Table_SourceData_Scope3_Animals[[#Headers],[Category]], 0, 2)</f>
        <v>at market</v>
      </c>
    </row>
  </sheetData>
  <pageMargins left="0.7" right="0.7" top="0.75" bottom="0.75" header="0.3" footer="0.3"/>
  <pageSetup paperSize="9" orientation="portrait" r:id="rId1"/>
  <ignoredErrors>
    <ignoredError sqref="E223:P282" calculatedColumn="1"/>
  </ignoredErrors>
  <tableParts count="27">
    <tablePart r:id="rId2"/>
    <tablePart r:id="rId3"/>
    <tablePart r:id="rId4"/>
    <tablePart r:id="rId5"/>
    <tablePart r:id="rId6"/>
    <tablePart r:id="rId7"/>
    <tablePart r:id="rId8"/>
    <tablePart r:id="rId9"/>
    <tablePart r:id="rId10"/>
    <tablePart r:id="rId11"/>
    <tablePart r:id="rId12"/>
    <tablePart r:id="rId13"/>
    <tablePart r:id="rId14"/>
    <tablePart r:id="rId15"/>
    <tablePart r:id="rId16"/>
    <tablePart r:id="rId17"/>
    <tablePart r:id="rId18"/>
    <tablePart r:id="rId19"/>
    <tablePart r:id="rId20"/>
    <tablePart r:id="rId21"/>
    <tablePart r:id="rId22"/>
    <tablePart r:id="rId23"/>
    <tablePart r:id="rId24"/>
    <tablePart r:id="rId25"/>
    <tablePart r:id="rId26"/>
    <tablePart r:id="rId27"/>
    <tablePart r:id="rId28"/>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1C3CB90-0099-42CB-9C1D-4968E3A3125E}">
  <sheetPr>
    <tabColor theme="2" tint="-0.499984740745262"/>
  </sheetPr>
  <dimension ref="A1:BY297"/>
  <sheetViews>
    <sheetView showGridLines="0" tabSelected="1" topLeftCell="A239" zoomScaleNormal="100" workbookViewId="0">
      <selection activeCell="I279" sqref="I279"/>
    </sheetView>
  </sheetViews>
  <sheetFormatPr defaultColWidth="9.140625" defaultRowHeight="15.75" x14ac:dyDescent="0.25"/>
  <cols>
    <col min="1" max="1" width="30.7109375" style="7" customWidth="1"/>
    <col min="2" max="2" width="2.7109375" style="7" customWidth="1"/>
    <col min="3" max="3" width="4.7109375" style="1" customWidth="1"/>
    <col min="4" max="4" width="48" style="1" customWidth="1"/>
    <col min="5" max="6" width="20.7109375" style="1" customWidth="1"/>
    <col min="7" max="7" width="30.28515625" style="1" customWidth="1"/>
    <col min="8" max="9" width="20.7109375" style="1" customWidth="1"/>
    <col min="10" max="10" width="34.28515625" style="1" customWidth="1"/>
    <col min="11" max="13" width="20.7109375" style="1" customWidth="1"/>
    <col min="14" max="14" width="33.140625" style="1" customWidth="1"/>
    <col min="15" max="15" width="36.42578125" style="1" customWidth="1"/>
    <col min="16" max="16" width="21" style="1" customWidth="1"/>
    <col min="17" max="17" width="21.28515625" style="1" customWidth="1"/>
    <col min="18" max="18" width="31.140625" style="1" customWidth="1"/>
    <col min="19" max="20" width="20.7109375" style="1" customWidth="1"/>
    <col min="21" max="21" width="4.7109375" style="1" customWidth="1"/>
    <col min="22" max="33" width="20.7109375" style="7" customWidth="1"/>
    <col min="34" max="39" width="21.85546875" style="7" customWidth="1"/>
    <col min="40" max="44" width="20.7109375" style="7" customWidth="1"/>
    <col min="45" max="65" width="9.140625" style="7"/>
    <col min="66" max="16384" width="9.140625" style="3"/>
  </cols>
  <sheetData>
    <row r="1" spans="1:65" s="8" customFormat="1" ht="30" customHeight="1" x14ac:dyDescent="0.35">
      <c r="A1" s="8" t="e" vm="1">
        <v>#VALUE!</v>
      </c>
      <c r="C1" s="8" t="s">
        <v>61</v>
      </c>
    </row>
    <row r="2" spans="1:65" s="9" customFormat="1" ht="20.100000000000001" customHeight="1" x14ac:dyDescent="0.25">
      <c r="A2"/>
    </row>
    <row r="3" spans="1:65" ht="20.100000000000001" customHeight="1" x14ac:dyDescent="0.25">
      <c r="A3" s="17" t="str">
        <f>HYPERLINK("#'Home'!A1", "Home")</f>
        <v>Home</v>
      </c>
      <c r="C3" s="4"/>
      <c r="D3" s="4"/>
      <c r="E3" s="4"/>
      <c r="F3" s="4"/>
      <c r="G3" s="4"/>
      <c r="H3" s="4"/>
      <c r="I3" s="4"/>
      <c r="J3" s="4"/>
      <c r="K3" s="4"/>
      <c r="L3" s="4"/>
      <c r="M3" s="4"/>
      <c r="N3" s="4"/>
      <c r="O3" s="4"/>
      <c r="P3" s="4"/>
      <c r="Q3" s="4"/>
      <c r="R3" s="4"/>
      <c r="S3" s="4"/>
      <c r="T3" s="4"/>
      <c r="U3" s="4"/>
      <c r="V3" s="11"/>
      <c r="W3" s="11"/>
    </row>
    <row r="4" spans="1:65" ht="20.100000000000001" customHeight="1" x14ac:dyDescent="0.25">
      <c r="A4"/>
      <c r="BM4" s="3"/>
    </row>
    <row r="5" spans="1:65" ht="20.100000000000001" customHeight="1" x14ac:dyDescent="0.25">
      <c r="A5"/>
      <c r="D5" s="6" t="str" cm="1">
        <f t="array" ref="D5">Common_SourceData.Common_SourceData_AustralianStatesTerritories_Title()</f>
        <v>Australian states and territories</v>
      </c>
      <c r="BM5" s="3"/>
    </row>
    <row r="6" spans="1:65" ht="20.100000000000001" customHeight="1" x14ac:dyDescent="0.25">
      <c r="A6" s="120" t="s">
        <v>1</v>
      </c>
      <c r="D6" s="35" t="s">
        <v>16</v>
      </c>
      <c r="E6" s="35" t="s">
        <v>17</v>
      </c>
      <c r="F6" s="35" t="s">
        <v>18</v>
      </c>
    </row>
    <row r="7" spans="1:65" ht="20.100000000000001" customHeight="1" x14ac:dyDescent="0.25">
      <c r="A7" s="118" t="str">
        <f>HYPERLINK("#'Constants - Common'!A1", "Constants - Common")</f>
        <v>Constants - Common</v>
      </c>
      <c r="D7" s="35" t="str" cm="1">
        <f t="array" ref="D7">Common_InputFunctions.Utility_DisplayArrayInTable(Common_SourceData.Common_SourceData_AustralianStatesTerritories_Data(),Table_AustralianStates[[#Headers],[State/Territory]],0)</f>
        <v>New South Wales</v>
      </c>
      <c r="E7" s="35" t="str" cm="1">
        <f t="array" ref="E7">Common_InputFunctions.Utility_DisplayArrayInTable(Common_SourceData.Common_SourceData_AustralianStatesTerritories_Data(),Table_AustralianStates[[#Headers],[State/Territory]],0)</f>
        <v>New South Wales</v>
      </c>
      <c r="F7" s="35" t="str" cm="1">
        <f t="array" ref="F7">Common_InputFunctions.Utility_DisplayArrayInTable(Common_SourceData.Common_SourceData_AustralianStatesTerritories_Data(),Table_AustralianStates[[#Headers],[State/Territory]],0)</f>
        <v>NSW</v>
      </c>
    </row>
    <row r="8" spans="1:65" ht="20.100000000000001" customHeight="1" x14ac:dyDescent="0.25">
      <c r="A8" s="17" t="str">
        <f>HYPERLINK("#'Acknowledgements'!A1", "Acknowledgements")</f>
        <v>Acknowledgements</v>
      </c>
      <c r="D8" s="35" t="str" cm="1">
        <f t="array" ref="D8">Common_InputFunctions.Utility_DisplayArrayInTable(Common_SourceData.Common_SourceData_AustralianStatesTerritories_Data(),Table_AustralianStates[[#Headers],[State/Territory]],0)</f>
        <v>Australian Capital Territory</v>
      </c>
      <c r="E8" s="35" t="str" cm="1">
        <f t="array" ref="E8">Common_InputFunctions.Utility_DisplayArrayInTable(Common_SourceData.Common_SourceData_AustralianStatesTerritories_Data(),Table_AustralianStates[[#Headers],[State/Territory]],0)</f>
        <v>ACT</v>
      </c>
      <c r="F8" s="35" t="str" cm="1">
        <f t="array" ref="F8">Common_InputFunctions.Utility_DisplayArrayInTable(Common_SourceData.Common_SourceData_AustralianStatesTerritories_Data(),Table_AustralianStates[[#Headers],[State/Territory]],0)</f>
        <v>ACT</v>
      </c>
    </row>
    <row r="9" spans="1:65" ht="20.100000000000001" customHeight="1" x14ac:dyDescent="0.25">
      <c r="A9"/>
      <c r="D9" s="35" t="str" cm="1">
        <f t="array" ref="D9">Common_InputFunctions.Utility_DisplayArrayInTable(Common_SourceData.Common_SourceData_AustralianStatesTerritories_Data(),Table_AustralianStates[[#Headers],[State/Territory]],0)</f>
        <v>Victoria</v>
      </c>
      <c r="E9" s="35" t="str" cm="1">
        <f t="array" ref="E9">Common_InputFunctions.Utility_DisplayArrayInTable(Common_SourceData.Common_SourceData_AustralianStatesTerritories_Data(),Table_AustralianStates[[#Headers],[State/Territory]],0)</f>
        <v>Victoria</v>
      </c>
      <c r="F9" s="35" t="str" cm="1">
        <f t="array" ref="F9">Common_InputFunctions.Utility_DisplayArrayInTable(Common_SourceData.Common_SourceData_AustralianStatesTerritories_Data(),Table_AustralianStates[[#Headers],[State/Territory]],0)</f>
        <v>VIC</v>
      </c>
    </row>
    <row r="10" spans="1:65" ht="20.100000000000001" customHeight="1" x14ac:dyDescent="0.25">
      <c r="A10"/>
      <c r="D10" s="35" t="str" cm="1">
        <f t="array" ref="D10">Common_InputFunctions.Utility_DisplayArrayInTable(Common_SourceData.Common_SourceData_AustralianStatesTerritories_Data(),Table_AustralianStates[[#Headers],[State/Territory]],0)</f>
        <v>Queensland</v>
      </c>
      <c r="E10" s="35" t="str" cm="1">
        <f t="array" ref="E10">Common_InputFunctions.Utility_DisplayArrayInTable(Common_SourceData.Common_SourceData_AustralianStatesTerritories_Data(),Table_AustralianStates[[#Headers],[State/Territory]],0)</f>
        <v>Queensland</v>
      </c>
      <c r="F10" s="35" t="str" cm="1">
        <f t="array" ref="F10">Common_InputFunctions.Utility_DisplayArrayInTable(Common_SourceData.Common_SourceData_AustralianStatesTerritories_Data(),Table_AustralianStates[[#Headers],[State/Territory]],0)</f>
        <v>QLD</v>
      </c>
    </row>
    <row r="11" spans="1:65" ht="20.100000000000001" customHeight="1" x14ac:dyDescent="0.25">
      <c r="A11"/>
      <c r="D11" s="35" t="str" cm="1">
        <f t="array" ref="D11">Common_InputFunctions.Utility_DisplayArrayInTable(Common_SourceData.Common_SourceData_AustralianStatesTerritories_Data(),Table_AustralianStates[[#Headers],[State/Territory]],0)</f>
        <v>South Australia</v>
      </c>
      <c r="E11" s="35" t="str" cm="1">
        <f t="array" ref="E11">Common_InputFunctions.Utility_DisplayArrayInTable(Common_SourceData.Common_SourceData_AustralianStatesTerritories_Data(),Table_AustralianStates[[#Headers],[State/Territory]],0)</f>
        <v>South Australia</v>
      </c>
      <c r="F11" s="35" t="str" cm="1">
        <f t="array" ref="F11">Common_InputFunctions.Utility_DisplayArrayInTable(Common_SourceData.Common_SourceData_AustralianStatesTerritories_Data(),Table_AustralianStates[[#Headers],[State/Territory]],0)</f>
        <v>SA</v>
      </c>
      <c r="BM11" s="3"/>
    </row>
    <row r="12" spans="1:65" ht="20.100000000000001" customHeight="1" x14ac:dyDescent="0.25">
      <c r="A12"/>
      <c r="D12" s="35" t="str" cm="1">
        <f t="array" ref="D12">Common_InputFunctions.Utility_DisplayArrayInTable(Common_SourceData.Common_SourceData_AustralianStatesTerritories_Data(),Table_AustralianStates[[#Headers],[State/Territory]],0)</f>
        <v>Western Australia</v>
      </c>
      <c r="E12" s="35" t="str" cm="1">
        <f t="array" ref="E12">Common_InputFunctions.Utility_DisplayArrayInTable(Common_SourceData.Common_SourceData_AustralianStatesTerritories_Data(),Table_AustralianStates[[#Headers],[State/Territory]],0)</f>
        <v>Western Australia</v>
      </c>
      <c r="F12" s="35" t="str" cm="1">
        <f t="array" ref="F12">Common_InputFunctions.Utility_DisplayArrayInTable(Common_SourceData.Common_SourceData_AustralianStatesTerritories_Data(),Table_AustralianStates[[#Headers],[State/Territory]],0)</f>
        <v>WA</v>
      </c>
      <c r="BM12" s="3"/>
    </row>
    <row r="13" spans="1:65" ht="20.100000000000001" customHeight="1" x14ac:dyDescent="0.25">
      <c r="A13"/>
      <c r="D13" s="35" t="str" cm="1">
        <f t="array" ref="D13">Common_InputFunctions.Utility_DisplayArrayInTable(Common_SourceData.Common_SourceData_AustralianStatesTerritories_Data(),Table_AustralianStates[[#Headers],[State/Territory]],0)</f>
        <v>Tasmania</v>
      </c>
      <c r="E13" s="35" t="str" cm="1">
        <f t="array" ref="E13">Common_InputFunctions.Utility_DisplayArrayInTable(Common_SourceData.Common_SourceData_AustralianStatesTerritories_Data(),Table_AustralianStates[[#Headers],[State/Territory]],0)</f>
        <v>Tasmania</v>
      </c>
      <c r="F13" s="35" t="str" cm="1">
        <f t="array" ref="F13">Common_InputFunctions.Utility_DisplayArrayInTable(Common_SourceData.Common_SourceData_AustralianStatesTerritories_Data(),Table_AustralianStates[[#Headers],[State/Territory]],0)</f>
        <v>TAS</v>
      </c>
    </row>
    <row r="14" spans="1:65" ht="20.100000000000001" customHeight="1" x14ac:dyDescent="0.25">
      <c r="A14"/>
      <c r="D14" s="35" t="str" cm="1">
        <f t="array" ref="D14">Common_InputFunctions.Utility_DisplayArrayInTable(Common_SourceData.Common_SourceData_AustralianStatesTerritories_Data(),Table_AustralianStates[[#Headers],[State/Territory]],0)</f>
        <v>Northern Territory</v>
      </c>
      <c r="E14" s="35" t="str" cm="1">
        <f t="array" ref="E14">Common_InputFunctions.Utility_DisplayArrayInTable(Common_SourceData.Common_SourceData_AustralianStatesTerritories_Data(),Table_AustralianStates[[#Headers],[State/Territory]],0)</f>
        <v>Northern Territory</v>
      </c>
      <c r="F14" s="35" t="str" cm="1">
        <f t="array" ref="F14">Common_InputFunctions.Utility_DisplayArrayInTable(Common_SourceData.Common_SourceData_AustralianStatesTerritories_Data(),Table_AustralianStates[[#Headers],[State/Territory]],0)</f>
        <v>NT</v>
      </c>
    </row>
    <row r="15" spans="1:65" ht="20.100000000000001" customHeight="1" x14ac:dyDescent="0.25">
      <c r="A15"/>
    </row>
    <row r="16" spans="1:65" ht="20.100000000000001" customHeight="1" x14ac:dyDescent="0.25">
      <c r="A16"/>
    </row>
    <row r="17" spans="1:4" ht="20.100000000000001" customHeight="1" x14ac:dyDescent="0.25">
      <c r="A17"/>
    </row>
    <row r="18" spans="1:4" ht="20.100000000000001" customHeight="1" x14ac:dyDescent="0.25">
      <c r="A18"/>
      <c r="D18" s="6" t="str" cm="1">
        <f t="array" ref="D18">Common_SourceData.Common_SourceData_WASA4Areas_Title()</f>
        <v>ABS Statistcal Areas Level 4 - Western Australia</v>
      </c>
    </row>
    <row r="19" spans="1:4" ht="20.100000000000001" customHeight="1" x14ac:dyDescent="0.25">
      <c r="A19"/>
      <c r="D19" s="5" t="str" cm="1">
        <f t="array" ref="D19">Common_SourceData.Common_SourceData_WASA4Areas_Source()</f>
        <v>Australian Bureau of Statistics (ABS) - Statistical Areas Level 2 - 2021 - Shapefile</v>
      </c>
    </row>
    <row r="20" spans="1:4" ht="20.100000000000001" customHeight="1" x14ac:dyDescent="0.25">
      <c r="A20"/>
      <c r="D20" s="35" t="s">
        <v>19</v>
      </c>
    </row>
    <row r="21" spans="1:4" ht="20.100000000000001" customHeight="1" x14ac:dyDescent="0.25">
      <c r="A21"/>
      <c r="D21" s="35" t="str" cm="1">
        <f t="array" ref="D21">Common_InputFunctions.Utility_DisplayArrayInTable(Common_SourceData.Common_SourceData_WASA4Areas_Data(), Table_WASA4Areas[[#Headers],[SA 4 Name]], 0)</f>
        <v>Bunbury</v>
      </c>
    </row>
    <row r="22" spans="1:4" ht="20.100000000000001" customHeight="1" x14ac:dyDescent="0.25">
      <c r="A22"/>
      <c r="D22" s="35" t="str" cm="1">
        <f t="array" ref="D22">Common_InputFunctions.Utility_DisplayArrayInTable(Common_SourceData.Common_SourceData_WASA4Areas_Data(), Table_WASA4Areas[[#Headers],[SA 4 Name]], 0)</f>
        <v>Mandurah</v>
      </c>
    </row>
    <row r="23" spans="1:4" ht="20.100000000000001" customHeight="1" x14ac:dyDescent="0.25">
      <c r="A23"/>
      <c r="D23" s="35" t="str" cm="1">
        <f t="array" ref="D23">Common_InputFunctions.Utility_DisplayArrayInTable(Common_SourceData.Common_SourceData_WASA4Areas_Data(), Table_WASA4Areas[[#Headers],[SA 4 Name]], 0)</f>
        <v>Perth - Inner</v>
      </c>
    </row>
    <row r="24" spans="1:4" ht="20.100000000000001" customHeight="1" x14ac:dyDescent="0.25">
      <c r="A24"/>
      <c r="D24" s="35" t="str" cm="1">
        <f t="array" ref="D24">Common_InputFunctions.Utility_DisplayArrayInTable(Common_SourceData.Common_SourceData_WASA4Areas_Data(), Table_WASA4Areas[[#Headers],[SA 4 Name]], 0)</f>
        <v>Perth - North East</v>
      </c>
    </row>
    <row r="25" spans="1:4" ht="20.100000000000001" customHeight="1" x14ac:dyDescent="0.25">
      <c r="A25"/>
      <c r="D25" s="35" t="str" cm="1">
        <f t="array" ref="D25">Common_InputFunctions.Utility_DisplayArrayInTable(Common_SourceData.Common_SourceData_WASA4Areas_Data(), Table_WASA4Areas[[#Headers],[SA 4 Name]], 0)</f>
        <v>Perth - North West</v>
      </c>
    </row>
    <row r="26" spans="1:4" ht="20.100000000000001" customHeight="1" x14ac:dyDescent="0.25">
      <c r="A26"/>
      <c r="D26" s="35" t="str" cm="1">
        <f t="array" ref="D26">Common_InputFunctions.Utility_DisplayArrayInTable(Common_SourceData.Common_SourceData_WASA4Areas_Data(), Table_WASA4Areas[[#Headers],[SA 4 Name]], 0)</f>
        <v>Perth - South East</v>
      </c>
    </row>
    <row r="27" spans="1:4" ht="20.100000000000001" customHeight="1" x14ac:dyDescent="0.25">
      <c r="A27"/>
      <c r="D27" s="35" t="str" cm="1">
        <f t="array" ref="D27">Common_InputFunctions.Utility_DisplayArrayInTable(Common_SourceData.Common_SourceData_WASA4Areas_Data(), Table_WASA4Areas[[#Headers],[SA 4 Name]], 0)</f>
        <v>Perth - South West</v>
      </c>
    </row>
    <row r="28" spans="1:4" ht="20.100000000000001" customHeight="1" x14ac:dyDescent="0.25">
      <c r="A28"/>
      <c r="D28" s="35" t="str" cm="1">
        <f t="array" ref="D28">Common_InputFunctions.Utility_DisplayArrayInTable(Common_SourceData.Common_SourceData_WASA4Areas_Data(), Table_WASA4Areas[[#Headers],[SA 4 Name]], 0)</f>
        <v>Western Australia - Wheat Belt</v>
      </c>
    </row>
    <row r="29" spans="1:4" ht="20.100000000000001" customHeight="1" x14ac:dyDescent="0.25">
      <c r="A29"/>
      <c r="D29" s="35" t="str" cm="1">
        <f t="array" ref="D29">Common_InputFunctions.Utility_DisplayArrayInTable(Common_SourceData.Common_SourceData_WASA4Areas_Data(), Table_WASA4Areas[[#Headers],[SA 4 Name]], 0)</f>
        <v>Western Australia - Outback (North)</v>
      </c>
    </row>
    <row r="30" spans="1:4" ht="20.100000000000001" customHeight="1" x14ac:dyDescent="0.25">
      <c r="A30"/>
      <c r="D30" s="35" t="str" cm="1">
        <f t="array" ref="D30">Common_InputFunctions.Utility_DisplayArrayInTable(Common_SourceData.Common_SourceData_WASA4Areas_Data(), Table_WASA4Areas[[#Headers],[SA 4 Name]], 0)</f>
        <v>Western Australia - Outback (South)</v>
      </c>
    </row>
    <row r="31" spans="1:4" ht="20.100000000000001" customHeight="1" x14ac:dyDescent="0.25">
      <c r="A31"/>
    </row>
    <row r="32" spans="1:4" ht="20.100000000000001" customHeight="1" x14ac:dyDescent="0.25">
      <c r="A32"/>
    </row>
    <row r="33" spans="1:8" ht="20.100000000000001" customHeight="1" x14ac:dyDescent="0.25">
      <c r="A33"/>
    </row>
    <row r="34" spans="1:8" ht="20.100000000000001" customHeight="1" x14ac:dyDescent="0.25">
      <c r="A34"/>
      <c r="D34" s="6" t="str" cm="1">
        <f t="array" ref="D34">Common_SourceData.Common_SourceData_GWP_Title()</f>
        <v>Global warming potential for greenhouse gases</v>
      </c>
    </row>
    <row r="35" spans="1:8" ht="20.100000000000001" customHeight="1" x14ac:dyDescent="0.25">
      <c r="A35"/>
      <c r="D35" s="5" t="str" cm="1">
        <f t="array" ref="D35">Common_SourceData.Common_SourceData_GWP_Source()</f>
        <v>XXXXXXX</v>
      </c>
    </row>
    <row r="36" spans="1:8" ht="20.100000000000001" customHeight="1" x14ac:dyDescent="0.25">
      <c r="A36"/>
      <c r="D36" s="35" t="s">
        <v>21</v>
      </c>
      <c r="E36" s="35" t="s">
        <v>22</v>
      </c>
    </row>
    <row r="37" spans="1:8" ht="20.100000000000001" customHeight="1" x14ac:dyDescent="0.25">
      <c r="A37"/>
      <c r="D37" s="35" t="str" cm="1">
        <f t="array" ref="D37">Common_InputFunctions.Utility_DisplayArrayInTable(Common_SourceData.Common_SourceData_GWP_Data(), Table_GWPData[[#Headers],[Gas]], 0)</f>
        <v>CO2</v>
      </c>
      <c r="E37" s="35" cm="1">
        <f t="array" ref="E37">Common_InputFunctions.Utility_DisplayArrayInTable(Common_SourceData.Common_SourceData_GWP_Data(), Table_GWPData[[#Headers],[Gas]], 0)</f>
        <v>1</v>
      </c>
    </row>
    <row r="38" spans="1:8" ht="20.100000000000001" customHeight="1" x14ac:dyDescent="0.25">
      <c r="A38"/>
      <c r="D38" s="35" t="str" cm="1">
        <f t="array" ref="D38">Common_InputFunctions.Utility_DisplayArrayInTable(Common_SourceData.Common_SourceData_GWP_Data(), Table_GWPData[[#Headers],[Gas]], 0)</f>
        <v>CH4</v>
      </c>
      <c r="E38" s="35" cm="1">
        <f t="array" ref="E38">Common_InputFunctions.Utility_DisplayArrayInTable(Common_SourceData.Common_SourceData_GWP_Data(), Table_GWPData[[#Headers],[Gas]], 0)</f>
        <v>28</v>
      </c>
    </row>
    <row r="39" spans="1:8" ht="20.100000000000001" customHeight="1" x14ac:dyDescent="0.25">
      <c r="A39"/>
      <c r="D39" s="35" t="str" cm="1">
        <f t="array" ref="D39">Common_InputFunctions.Utility_DisplayArrayInTable(Common_SourceData.Common_SourceData_GWP_Data(), Table_GWPData[[#Headers],[Gas]], 0)</f>
        <v>N2O</v>
      </c>
      <c r="E39" s="35" cm="1">
        <f t="array" ref="E39">Common_InputFunctions.Utility_DisplayArrayInTable(Common_SourceData.Common_SourceData_GWP_Data(), Table_GWPData[[#Headers],[Gas]], 0)</f>
        <v>265</v>
      </c>
    </row>
    <row r="40" spans="1:8" ht="20.100000000000001" customHeight="1" x14ac:dyDescent="0.25">
      <c r="A40"/>
      <c r="D40" s="35" t="str" cm="1">
        <f t="array" ref="D40">Common_InputFunctions.Utility_DisplayArrayInTable(Common_SourceData.Common_SourceData_GWP_Data(), Table_GWPData[[#Headers],[Gas]], 0)</f>
        <v>CF4</v>
      </c>
      <c r="E40" s="35" cm="1">
        <f t="array" ref="E40">Common_InputFunctions.Utility_DisplayArrayInTable(Common_SourceData.Common_SourceData_GWP_Data(), Table_GWPData[[#Headers],[Gas]], 0)</f>
        <v>6630</v>
      </c>
    </row>
    <row r="41" spans="1:8" ht="20.100000000000001" customHeight="1" x14ac:dyDescent="0.25">
      <c r="A41"/>
      <c r="D41" s="35" t="str" cm="1">
        <f t="array" ref="D41">Common_InputFunctions.Utility_DisplayArrayInTable(Common_SourceData.Common_SourceData_GWP_Data(), Table_GWPData[[#Headers],[Gas]], 0)</f>
        <v>C2F6</v>
      </c>
      <c r="E41" s="35" cm="1">
        <f t="array" ref="E41">Common_InputFunctions.Utility_DisplayArrayInTable(Common_SourceData.Common_SourceData_GWP_Data(), Table_GWPData[[#Headers],[Gas]], 0)</f>
        <v>12200</v>
      </c>
    </row>
    <row r="42" spans="1:8" ht="20.100000000000001" customHeight="1" x14ac:dyDescent="0.25">
      <c r="A42"/>
      <c r="D42" s="35" t="str" cm="1">
        <f t="array" ref="D42">Common_InputFunctions.Utility_DisplayArrayInTable(Common_SourceData.Common_SourceData_GWP_Data(), Table_GWPData[[#Headers],[Gas]], 0)</f>
        <v>SF6</v>
      </c>
      <c r="E42" s="35" cm="1">
        <f t="array" ref="E42">Common_InputFunctions.Utility_DisplayArrayInTable(Common_SourceData.Common_SourceData_GWP_Data(), Table_GWPData[[#Headers],[Gas]], 0)</f>
        <v>22800</v>
      </c>
    </row>
    <row r="43" spans="1:8" ht="20.100000000000001" customHeight="1" x14ac:dyDescent="0.25">
      <c r="A43"/>
      <c r="D43" s="35" t="str" cm="1">
        <f t="array" ref="D43">Common_InputFunctions.Utility_DisplayArrayInTable(Common_SourceData.Common_SourceData_GWP_Data(), Table_GWPData[[#Headers],[Gas]], 0)</f>
        <v>NF3</v>
      </c>
      <c r="E43" s="35" cm="1">
        <f t="array" ref="E43">Common_InputFunctions.Utility_DisplayArrayInTable(Common_SourceData.Common_SourceData_GWP_Data(), Table_GWPData[[#Headers],[Gas]], 0)</f>
        <v>17200</v>
      </c>
    </row>
    <row r="44" spans="1:8" ht="20.100000000000001" customHeight="1" x14ac:dyDescent="0.25">
      <c r="A44"/>
    </row>
    <row r="45" spans="1:8" ht="20.100000000000001" customHeight="1" x14ac:dyDescent="0.25">
      <c r="A45"/>
      <c r="D45" s="6" t="str" cm="1">
        <f t="array" ref="D45">Common_SourceData.Common_SourceData_ConvertGasElementalToMolecular_Title()</f>
        <v>Factor to convert elemental mass of gas to molecular mass</v>
      </c>
    </row>
    <row r="46" spans="1:8" ht="20.100000000000001" customHeight="1" x14ac:dyDescent="0.25">
      <c r="A46"/>
      <c r="D46" s="5" t="str" cm="1">
        <f t="array" ref="D46">Common_SourceData.Common_SourceData_ConvertGasElementalToMolecular_Source()</f>
        <v>XXXXXXX</v>
      </c>
    </row>
    <row r="47" spans="1:8" ht="20.100000000000001" customHeight="1" x14ac:dyDescent="0.25">
      <c r="A47"/>
      <c r="D47" s="35" t="s">
        <v>21</v>
      </c>
      <c r="E47" s="35" t="s">
        <v>24</v>
      </c>
      <c r="F47" s="35" t="s">
        <v>25</v>
      </c>
      <c r="G47" s="35" t="s">
        <v>26</v>
      </c>
      <c r="H47" s="35" t="s">
        <v>27</v>
      </c>
    </row>
    <row r="48" spans="1:8" ht="20.100000000000001" customHeight="1" x14ac:dyDescent="0.25">
      <c r="A48"/>
      <c r="D48" s="35" t="str" cm="1">
        <f t="array" ref="D48">Common_InputFunctions.Utility_DisplayArrayInTable(Common_SourceData.Common_SourceData_ConvertGasElementalToMolecular_Data(),Table_GasToMolecularConversionFactor[[#Headers],[Gas]], 0)</f>
        <v>CO2</v>
      </c>
      <c r="E48" s="35" t="str" cm="1">
        <f t="array" ref="E48">Common_InputFunctions.Utility_DisplayArrayInTable(Common_SourceData.Common_SourceData_ConvertGasElementalToMolecular_Data(),Table_GasToMolecularConversionFactor[[#Headers],[Gas]], 0)</f>
        <v>44/12</v>
      </c>
      <c r="F48" s="35" cm="1">
        <f t="array" ref="F48">Common_InputFunctions.Utility_DisplayArrayInTable(Common_SourceData.Common_SourceData_ConvertGasElementalToMolecular_Data(),Table_GasToMolecularConversionFactor[[#Headers],[Gas]], 0)</f>
        <v>44</v>
      </c>
      <c r="G48" s="35" cm="1">
        <f t="array" ref="G48">Common_InputFunctions.Utility_DisplayArrayInTable(Common_SourceData.Common_SourceData_ConvertGasElementalToMolecular_Data(),Table_GasToMolecularConversionFactor[[#Headers],[Gas]], 0)</f>
        <v>12</v>
      </c>
      <c r="H48" s="35">
        <f>Table_GasToMolecularConversionFactor[[#This Row],[Conversion factor 1]]/Table_GasToMolecularConversionFactor[[#This Row],[Conversion factor 2]]</f>
        <v>3.6666666666666665</v>
      </c>
    </row>
    <row r="49" spans="1:8" ht="20.100000000000001" customHeight="1" x14ac:dyDescent="0.25">
      <c r="A49"/>
      <c r="D49" s="35" t="str" cm="1">
        <f t="array" ref="D49">Common_InputFunctions.Utility_DisplayArrayInTable(Common_SourceData.Common_SourceData_ConvertGasElementalToMolecular_Data(),Table_GasToMolecularConversionFactor[[#Headers],[Gas]], 0)</f>
        <v>CH4</v>
      </c>
      <c r="E49" s="35" t="str" cm="1">
        <f t="array" ref="E49">Common_InputFunctions.Utility_DisplayArrayInTable(Common_SourceData.Common_SourceData_ConvertGasElementalToMolecular_Data(),Table_GasToMolecularConversionFactor[[#Headers],[Gas]], 0)</f>
        <v>16/12</v>
      </c>
      <c r="F49" s="35" cm="1">
        <f t="array" ref="F49">Common_InputFunctions.Utility_DisplayArrayInTable(Common_SourceData.Common_SourceData_ConvertGasElementalToMolecular_Data(),Table_GasToMolecularConversionFactor[[#Headers],[Gas]], 0)</f>
        <v>16</v>
      </c>
      <c r="G49" s="35" cm="1">
        <f t="array" ref="G49">Common_InputFunctions.Utility_DisplayArrayInTable(Common_SourceData.Common_SourceData_ConvertGasElementalToMolecular_Data(),Table_GasToMolecularConversionFactor[[#Headers],[Gas]], 0)</f>
        <v>12</v>
      </c>
      <c r="H49" s="35">
        <f>Table_GasToMolecularConversionFactor[[#This Row],[Conversion factor 1]]/Table_GasToMolecularConversionFactor[[#This Row],[Conversion factor 2]]</f>
        <v>1.3333333333333333</v>
      </c>
    </row>
    <row r="50" spans="1:8" ht="20.100000000000001" customHeight="1" x14ac:dyDescent="0.25">
      <c r="A50"/>
      <c r="D50" s="35" t="str" cm="1">
        <f t="array" ref="D50">Common_InputFunctions.Utility_DisplayArrayInTable(Common_SourceData.Common_SourceData_ConvertGasElementalToMolecular_Data(),Table_GasToMolecularConversionFactor[[#Headers],[Gas]], 0)</f>
        <v>N2O</v>
      </c>
      <c r="E50" s="35" t="str" cm="1">
        <f t="array" ref="E50">Common_InputFunctions.Utility_DisplayArrayInTable(Common_SourceData.Common_SourceData_ConvertGasElementalToMolecular_Data(),Table_GasToMolecularConversionFactor[[#Headers],[Gas]], 0)</f>
        <v>44/28</v>
      </c>
      <c r="F50" s="35" cm="1">
        <f t="array" ref="F50">Common_InputFunctions.Utility_DisplayArrayInTable(Common_SourceData.Common_SourceData_ConvertGasElementalToMolecular_Data(),Table_GasToMolecularConversionFactor[[#Headers],[Gas]], 0)</f>
        <v>44</v>
      </c>
      <c r="G50" s="35" cm="1">
        <f t="array" ref="G50">Common_InputFunctions.Utility_DisplayArrayInTable(Common_SourceData.Common_SourceData_ConvertGasElementalToMolecular_Data(),Table_GasToMolecularConversionFactor[[#Headers],[Gas]], 0)</f>
        <v>28</v>
      </c>
      <c r="H50" s="35">
        <f>Table_GasToMolecularConversionFactor[[#This Row],[Conversion factor 1]]/Table_GasToMolecularConversionFactor[[#This Row],[Conversion factor 2]]</f>
        <v>1.5714285714285714</v>
      </c>
    </row>
    <row r="51" spans="1:8" ht="20.100000000000001" customHeight="1" x14ac:dyDescent="0.25">
      <c r="A51"/>
      <c r="D51" s="35" t="str" cm="1">
        <f t="array" ref="D51">Common_InputFunctions.Utility_DisplayArrayInTable(Common_SourceData.Common_SourceData_ConvertGasElementalToMolecular_Data(),Table_GasToMolecularConversionFactor[[#Headers],[Gas]], 0)</f>
        <v>Nox</v>
      </c>
      <c r="E51" s="35" t="str" cm="1">
        <f t="array" ref="E51">Common_InputFunctions.Utility_DisplayArrayInTable(Common_SourceData.Common_SourceData_ConvertGasElementalToMolecular_Data(),Table_GasToMolecularConversionFactor[[#Headers],[Gas]], 0)</f>
        <v>46/14</v>
      </c>
      <c r="F51" s="35" cm="1">
        <f t="array" ref="F51">Common_InputFunctions.Utility_DisplayArrayInTable(Common_SourceData.Common_SourceData_ConvertGasElementalToMolecular_Data(),Table_GasToMolecularConversionFactor[[#Headers],[Gas]], 0)</f>
        <v>46</v>
      </c>
      <c r="G51" s="35" cm="1">
        <f t="array" ref="G51">Common_InputFunctions.Utility_DisplayArrayInTable(Common_SourceData.Common_SourceData_ConvertGasElementalToMolecular_Data(),Table_GasToMolecularConversionFactor[[#Headers],[Gas]], 0)</f>
        <v>14</v>
      </c>
      <c r="H51" s="35">
        <f>Table_GasToMolecularConversionFactor[[#This Row],[Conversion factor 1]]/Table_GasToMolecularConversionFactor[[#This Row],[Conversion factor 2]]</f>
        <v>3.2857142857142856</v>
      </c>
    </row>
    <row r="52" spans="1:8" ht="20.100000000000001" customHeight="1" x14ac:dyDescent="0.25">
      <c r="A52"/>
      <c r="D52" s="35" t="str" cm="1">
        <f t="array" ref="D52">Common_InputFunctions.Utility_DisplayArrayInTable(Common_SourceData.Common_SourceData_ConvertGasElementalToMolecular_Data(),Table_GasToMolecularConversionFactor[[#Headers],[Gas]], 0)</f>
        <v>CO</v>
      </c>
      <c r="E52" s="35" t="str" cm="1">
        <f t="array" ref="E52">Common_InputFunctions.Utility_DisplayArrayInTable(Common_SourceData.Common_SourceData_ConvertGasElementalToMolecular_Data(),Table_GasToMolecularConversionFactor[[#Headers],[Gas]], 0)</f>
        <v>28/12</v>
      </c>
      <c r="F52" s="35" cm="1">
        <f t="array" ref="F52">Common_InputFunctions.Utility_DisplayArrayInTable(Common_SourceData.Common_SourceData_ConvertGasElementalToMolecular_Data(),Table_GasToMolecularConversionFactor[[#Headers],[Gas]], 0)</f>
        <v>28</v>
      </c>
      <c r="G52" s="35" cm="1">
        <f t="array" ref="G52">Common_InputFunctions.Utility_DisplayArrayInTable(Common_SourceData.Common_SourceData_ConvertGasElementalToMolecular_Data(),Table_GasToMolecularConversionFactor[[#Headers],[Gas]], 0)</f>
        <v>12</v>
      </c>
      <c r="H52" s="35">
        <f>Table_GasToMolecularConversionFactor[[#This Row],[Conversion factor 1]]/Table_GasToMolecularConversionFactor[[#This Row],[Conversion factor 2]]</f>
        <v>2.3333333333333335</v>
      </c>
    </row>
    <row r="53" spans="1:8" ht="20.100000000000001" customHeight="1" x14ac:dyDescent="0.25">
      <c r="A53"/>
      <c r="D53" s="35" t="str" cm="1">
        <f t="array" ref="D53">Common_InputFunctions.Utility_DisplayArrayInTable(Common_SourceData.Common_SourceData_ConvertGasElementalToMolecular_Data(),Table_GasToMolecularConversionFactor[[#Headers],[Gas]], 0)</f>
        <v>CO2 Lime</v>
      </c>
      <c r="E53" s="35" t="str" cm="1">
        <f t="array" ref="E53">Common_InputFunctions.Utility_DisplayArrayInTable(Common_SourceData.Common_SourceData_ConvertGasElementalToMolecular_Data(),Table_GasToMolecularConversionFactor[[#Headers],[Gas]], 0)</f>
        <v>44/12</v>
      </c>
      <c r="F53" s="35" cm="1">
        <f t="array" ref="F53">Common_InputFunctions.Utility_DisplayArrayInTable(Common_SourceData.Common_SourceData_ConvertGasElementalToMolecular_Data(),Table_GasToMolecularConversionFactor[[#Headers],[Gas]], 0)</f>
        <v>44</v>
      </c>
      <c r="G53" s="35" cm="1">
        <f t="array" ref="G53">Common_InputFunctions.Utility_DisplayArrayInTable(Common_SourceData.Common_SourceData_ConvertGasElementalToMolecular_Data(),Table_GasToMolecularConversionFactor[[#Headers],[Gas]], 0)</f>
        <v>12</v>
      </c>
      <c r="H53" s="35">
        <f>Table_GasToMolecularConversionFactor[[#This Row],[Conversion factor 1]]/Table_GasToMolecularConversionFactor[[#This Row],[Conversion factor 2]]</f>
        <v>3.6666666666666665</v>
      </c>
    </row>
    <row r="54" spans="1:8" ht="20.100000000000001" customHeight="1" x14ac:dyDescent="0.25">
      <c r="A54"/>
      <c r="D54" s="35" t="str" cm="1">
        <f t="array" ref="D54">Common_InputFunctions.Utility_DisplayArrayInTable(Common_SourceData.Common_SourceData_ConvertGasElementalToMolecular_Data(),Table_GasToMolecularConversionFactor[[#Headers],[Gas]], 0)</f>
        <v>NMVOC</v>
      </c>
      <c r="E54" s="35" t="str" cm="1">
        <f t="array" ref="E54">Common_InputFunctions.Utility_DisplayArrayInTable(Common_SourceData.Common_SourceData_ConvertGasElementalToMolecular_Data(),Table_GasToMolecularConversionFactor[[#Headers],[Gas]], 0)</f>
        <v>14/12</v>
      </c>
      <c r="F54" s="35" cm="1">
        <f t="array" ref="F54">Common_InputFunctions.Utility_DisplayArrayInTable(Common_SourceData.Common_SourceData_ConvertGasElementalToMolecular_Data(),Table_GasToMolecularConversionFactor[[#Headers],[Gas]], 0)</f>
        <v>14</v>
      </c>
      <c r="G54" s="35" cm="1">
        <f t="array" ref="G54">Common_InputFunctions.Utility_DisplayArrayInTable(Common_SourceData.Common_SourceData_ConvertGasElementalToMolecular_Data(),Table_GasToMolecularConversionFactor[[#Headers],[Gas]], 0)</f>
        <v>12</v>
      </c>
      <c r="H54" s="35">
        <f>Table_GasToMolecularConversionFactor[[#This Row],[Conversion factor 1]]/Table_GasToMolecularConversionFactor[[#This Row],[Conversion factor 2]]</f>
        <v>1.1666666666666667</v>
      </c>
    </row>
    <row r="55" spans="1:8" ht="20.100000000000001" customHeight="1" x14ac:dyDescent="0.25">
      <c r="A55"/>
    </row>
    <row r="56" spans="1:8" ht="20.100000000000001" customHeight="1" x14ac:dyDescent="0.25">
      <c r="A56"/>
    </row>
    <row r="57" spans="1:8" ht="20.100000000000001" customHeight="1" x14ac:dyDescent="0.25">
      <c r="A57"/>
      <c r="D57" s="6" t="str" cm="1">
        <f t="array" ref="D57">Common_SourceData.Common_SourceData_WetAndDryZones_Title()</f>
        <v>VEERG Australian wet and dry zones</v>
      </c>
    </row>
    <row r="58" spans="1:8" ht="20.100000000000001" customHeight="1" x14ac:dyDescent="0.25">
      <c r="A58"/>
      <c r="D58" s="5" t="str" cm="1">
        <f t="array" ref="D58">Common_SourceData.Common_SourceData_WetAndDryZones_Source()</f>
        <v>VEERG 2026: Table 1.2: Translating climate zones to wet and dry zones</v>
      </c>
    </row>
    <row r="59" spans="1:8" ht="20.100000000000001" customHeight="1" x14ac:dyDescent="0.25">
      <c r="A59"/>
      <c r="D59" s="52" t="str" cm="1">
        <f t="array" ref="D59:D61">"⚠️" &amp; Common_SourceData.Common_SourceData_WetAndDryZones_Variation()</f>
        <v>⚠️VARIATION OF SOURCE DATA:</v>
      </c>
    </row>
    <row r="60" spans="1:8" ht="20.100000000000001" customHeight="1" x14ac:dyDescent="0.25">
      <c r="A60"/>
      <c r="D60" s="52" t="str">
        <v>⚠️Added warm / cool temperate moist / dry - low frost and high temp classes to accommodate climate scenarios excluded by VEERG criteria.</v>
      </c>
    </row>
    <row r="61" spans="1:8" ht="20.100000000000001" customHeight="1" x14ac:dyDescent="0.25">
      <c r="A61"/>
      <c r="D61" s="52" t="str">
        <v>⚠️Fixed typo - Changed 'Fry' to 'Dry'.</v>
      </c>
    </row>
    <row r="62" spans="1:8" ht="20.100000000000001" customHeight="1" x14ac:dyDescent="0.25">
      <c r="A62"/>
    </row>
    <row r="63" spans="1:8" ht="20.100000000000001" customHeight="1" x14ac:dyDescent="0.25">
      <c r="A63"/>
      <c r="D63" s="35" t="s">
        <v>6</v>
      </c>
      <c r="E63" s="35" t="s">
        <v>41</v>
      </c>
    </row>
    <row r="64" spans="1:8" ht="20.100000000000001" customHeight="1" x14ac:dyDescent="0.25">
      <c r="A64"/>
      <c r="D64" s="35" t="str" cm="1">
        <f t="array" ref="D64">Common_InputFunctions.Utility_DisplayArrayInTable(Common_SourceData.Common_SourceData_WetAndDryZones_Data(), Table_SourceData_WetDryZones[[#Headers],[Climate zone]], 0)</f>
        <v>Tropical montane</v>
      </c>
      <c r="E64" s="35" t="str" cm="1">
        <f t="array" ref="E64">Common_InputFunctions.Utility_DisplayArrayInTable(Common_SourceData.Common_SourceData_WetAndDryZones_Data(), Table_SourceData_WetDryZones[[#Headers],[Climate zone]], 0)</f>
        <v>Wet climate zone</v>
      </c>
    </row>
    <row r="65" spans="1:5" ht="20.100000000000001" customHeight="1" x14ac:dyDescent="0.25">
      <c r="A65"/>
      <c r="D65" s="35" t="str" cm="1">
        <f t="array" ref="D65">Common_InputFunctions.Utility_DisplayArrayInTable(Common_SourceData.Common_SourceData_WetAndDryZones_Data(), Table_SourceData_WetDryZones[[#Headers],[Climate zone]], 0)</f>
        <v>Tropical wet</v>
      </c>
      <c r="E65" s="35" t="str" cm="1">
        <f t="array" ref="E65">Common_InputFunctions.Utility_DisplayArrayInTable(Common_SourceData.Common_SourceData_WetAndDryZones_Data(), Table_SourceData_WetDryZones[[#Headers],[Climate zone]], 0)</f>
        <v>Wet climate zone</v>
      </c>
    </row>
    <row r="66" spans="1:5" ht="20.100000000000001" customHeight="1" x14ac:dyDescent="0.25">
      <c r="A66"/>
      <c r="D66" s="35" t="str" cm="1">
        <f t="array" ref="D66">Common_InputFunctions.Utility_DisplayArrayInTable(Common_SourceData.Common_SourceData_WetAndDryZones_Data(), Table_SourceData_WetDryZones[[#Headers],[Climate zone]], 0)</f>
        <v>Tropical moist</v>
      </c>
      <c r="E66" s="35" t="str" cm="1">
        <f t="array" ref="E66">Common_InputFunctions.Utility_DisplayArrayInTable(Common_SourceData.Common_SourceData_WetAndDryZones_Data(), Table_SourceData_WetDryZones[[#Headers],[Climate zone]], 0)</f>
        <v>Wet climate zone</v>
      </c>
    </row>
    <row r="67" spans="1:5" ht="20.100000000000001" customHeight="1" x14ac:dyDescent="0.25">
      <c r="A67"/>
      <c r="D67" s="35" t="str" cm="1">
        <f t="array" ref="D67">Common_InputFunctions.Utility_DisplayArrayInTable(Common_SourceData.Common_SourceData_WetAndDryZones_Data(), Table_SourceData_WetDryZones[[#Headers],[Climate zone]], 0)</f>
        <v>Tropical dry</v>
      </c>
      <c r="E67" s="35" t="str" cm="1">
        <f t="array" ref="E67">Common_InputFunctions.Utility_DisplayArrayInTable(Common_SourceData.Common_SourceData_WetAndDryZones_Data(), Table_SourceData_WetDryZones[[#Headers],[Climate zone]], 0)</f>
        <v>Dry climate zone</v>
      </c>
    </row>
    <row r="68" spans="1:5" ht="20.100000000000001" customHeight="1" x14ac:dyDescent="0.25">
      <c r="A68"/>
      <c r="D68" s="35" t="str" cm="1">
        <f t="array" ref="D68">Common_InputFunctions.Utility_DisplayArrayInTable(Common_SourceData.Common_SourceData_WetAndDryZones_Data(), Table_SourceData_WetDryZones[[#Headers],[Climate zone]], 0)</f>
        <v>Warm temperate moist</v>
      </c>
      <c r="E68" s="35" t="str" cm="1">
        <f t="array" ref="E68">Common_InputFunctions.Utility_DisplayArrayInTable(Common_SourceData.Common_SourceData_WetAndDryZones_Data(), Table_SourceData_WetDryZones[[#Headers],[Climate zone]], 0)</f>
        <v>Wet climate zone</v>
      </c>
    </row>
    <row r="69" spans="1:5" ht="20.100000000000001" customHeight="1" x14ac:dyDescent="0.25">
      <c r="A69"/>
      <c r="D69" s="35" t="str" cm="1">
        <f t="array" ref="D69">Common_InputFunctions.Utility_DisplayArrayInTable(Common_SourceData.Common_SourceData_WetAndDryZones_Data(), Table_SourceData_WetDryZones[[#Headers],[Climate zone]], 0)</f>
        <v>Warm temperate dry</v>
      </c>
      <c r="E69" s="35" t="str" cm="1">
        <f t="array" ref="E69">Common_InputFunctions.Utility_DisplayArrayInTable(Common_SourceData.Common_SourceData_WetAndDryZones_Data(), Table_SourceData_WetDryZones[[#Headers],[Climate zone]], 0)</f>
        <v>Dry climate zone</v>
      </c>
    </row>
    <row r="70" spans="1:5" ht="20.100000000000001" customHeight="1" x14ac:dyDescent="0.25">
      <c r="A70"/>
      <c r="D70" s="35" t="str" cm="1">
        <f t="array" ref="D70">Common_InputFunctions.Utility_DisplayArrayInTable(Common_SourceData.Common_SourceData_WetAndDryZones_Data(), Table_SourceData_WetDryZones[[#Headers],[Climate zone]], 0)</f>
        <v>Cool temperate moist</v>
      </c>
      <c r="E70" s="35" t="str" cm="1">
        <f t="array" ref="E70">Common_InputFunctions.Utility_DisplayArrayInTable(Common_SourceData.Common_SourceData_WetAndDryZones_Data(), Table_SourceData_WetDryZones[[#Headers],[Climate zone]], 0)</f>
        <v>Wet climate zone</v>
      </c>
    </row>
    <row r="71" spans="1:5" ht="20.100000000000001" customHeight="1" x14ac:dyDescent="0.25">
      <c r="A71"/>
      <c r="D71" s="35" t="str" cm="1">
        <f t="array" ref="D71">Common_InputFunctions.Utility_DisplayArrayInTable(Common_SourceData.Common_SourceData_WetAndDryZones_Data(), Table_SourceData_WetDryZones[[#Headers],[Climate zone]], 0)</f>
        <v>Cool temperate dry</v>
      </c>
      <c r="E71" s="35" t="str" cm="1">
        <f t="array" ref="E71">Common_InputFunctions.Utility_DisplayArrayInTable(Common_SourceData.Common_SourceData_WetAndDryZones_Data(), Table_SourceData_WetDryZones[[#Headers],[Climate zone]], 0)</f>
        <v>Dry climate zone</v>
      </c>
    </row>
    <row r="72" spans="1:5" ht="20.100000000000001" customHeight="1" x14ac:dyDescent="0.25">
      <c r="A72"/>
      <c r="D72" s="35" t="str" cm="1">
        <f t="array" ref="D72">Common_InputFunctions.Utility_DisplayArrayInTable(Common_SourceData.Common_SourceData_WetAndDryZones_Data(), Table_SourceData_WetDryZones[[#Headers],[Climate zone]], 0)</f>
        <v>Warm temperate moist - low frost</v>
      </c>
      <c r="E72" s="35" t="str" cm="1">
        <f t="array" ref="E72">Common_InputFunctions.Utility_DisplayArrayInTable(Common_SourceData.Common_SourceData_WetAndDryZones_Data(), Table_SourceData_WetDryZones[[#Headers],[Climate zone]], 0)</f>
        <v>Wet climate zone</v>
      </c>
    </row>
    <row r="73" spans="1:5" ht="20.100000000000001" customHeight="1" x14ac:dyDescent="0.25">
      <c r="A73"/>
      <c r="D73" s="35" t="str" cm="1">
        <f t="array" ref="D73">Common_InputFunctions.Utility_DisplayArrayInTable(Common_SourceData.Common_SourceData_WetAndDryZones_Data(), Table_SourceData_WetDryZones[[#Headers],[Climate zone]], 0)</f>
        <v>Warm temperate dry - low frost</v>
      </c>
      <c r="E73" s="35" t="str" cm="1">
        <f t="array" ref="E73">Common_InputFunctions.Utility_DisplayArrayInTable(Common_SourceData.Common_SourceData_WetAndDryZones_Data(), Table_SourceData_WetDryZones[[#Headers],[Climate zone]], 0)</f>
        <v>Dry climate zone</v>
      </c>
    </row>
    <row r="74" spans="1:5" ht="20.100000000000001" customHeight="1" x14ac:dyDescent="0.25">
      <c r="A74"/>
      <c r="D74" s="35" t="str" cm="1">
        <f t="array" ref="D74">Common_InputFunctions.Utility_DisplayArrayInTable(Common_SourceData.Common_SourceData_WetAndDryZones_Data(), Table_SourceData_WetDryZones[[#Headers],[Climate zone]], 0)</f>
        <v>Warm temperate moist - high temp</v>
      </c>
      <c r="E74" s="35" t="str" cm="1">
        <f t="array" ref="E74">Common_InputFunctions.Utility_DisplayArrayInTable(Common_SourceData.Common_SourceData_WetAndDryZones_Data(), Table_SourceData_WetDryZones[[#Headers],[Climate zone]], 0)</f>
        <v>Wet climate zone</v>
      </c>
    </row>
    <row r="75" spans="1:5" ht="20.100000000000001" customHeight="1" x14ac:dyDescent="0.25">
      <c r="A75"/>
      <c r="D75" s="35" t="str" cm="1">
        <f t="array" ref="D75">Common_InputFunctions.Utility_DisplayArrayInTable(Common_SourceData.Common_SourceData_WetAndDryZones_Data(), Table_SourceData_WetDryZones[[#Headers],[Climate zone]], 0)</f>
        <v>Warm temperate dry - high temp</v>
      </c>
      <c r="E75" s="35" t="str" cm="1">
        <f t="array" ref="E75">Common_InputFunctions.Utility_DisplayArrayInTable(Common_SourceData.Common_SourceData_WetAndDryZones_Data(), Table_SourceData_WetDryZones[[#Headers],[Climate zone]], 0)</f>
        <v>Dry climate zone</v>
      </c>
    </row>
    <row r="76" spans="1:5" ht="20.100000000000001" customHeight="1" x14ac:dyDescent="0.25">
      <c r="A76"/>
      <c r="D76" s="35" t="str" cm="1">
        <f t="array" ref="D76">Common_InputFunctions.Utility_DisplayArrayInTable(Common_SourceData.Common_SourceData_WetAndDryZones_Data(), Table_SourceData_WetDryZones[[#Headers],[Climate zone]], 0)</f>
        <v>Cool temperate moist - low frost</v>
      </c>
      <c r="E76" s="35" t="str" cm="1">
        <f t="array" ref="E76">Common_InputFunctions.Utility_DisplayArrayInTable(Common_SourceData.Common_SourceData_WetAndDryZones_Data(), Table_SourceData_WetDryZones[[#Headers],[Climate zone]], 0)</f>
        <v>Wet climate zone</v>
      </c>
    </row>
    <row r="77" spans="1:5" ht="20.100000000000001" customHeight="1" x14ac:dyDescent="0.25">
      <c r="A77"/>
      <c r="D77" s="35" t="str" cm="1">
        <f t="array" ref="D77">Common_InputFunctions.Utility_DisplayArrayInTable(Common_SourceData.Common_SourceData_WetAndDryZones_Data(), Table_SourceData_WetDryZones[[#Headers],[Climate zone]], 0)</f>
        <v>Cool temperate dry - low frost</v>
      </c>
      <c r="E77" s="35" t="str" cm="1">
        <f t="array" ref="E77">Common_InputFunctions.Utility_DisplayArrayInTable(Common_SourceData.Common_SourceData_WetAndDryZones_Data(), Table_SourceData_WetDryZones[[#Headers],[Climate zone]], 0)</f>
        <v>Dry climate zone</v>
      </c>
    </row>
    <row r="78" spans="1:5" ht="20.100000000000001" customHeight="1" x14ac:dyDescent="0.25">
      <c r="A78"/>
    </row>
    <row r="79" spans="1:5" ht="20.100000000000001" customHeight="1" x14ac:dyDescent="0.25">
      <c r="A79"/>
    </row>
    <row r="80" spans="1:5" ht="20.100000000000001" customHeight="1" x14ac:dyDescent="0.25">
      <c r="A80"/>
    </row>
    <row r="81" spans="1:20" ht="20.100000000000001" customHeight="1" x14ac:dyDescent="0.25">
      <c r="A81"/>
      <c r="D81" s="6" t="str" cm="1">
        <f t="array" ref="D81">Common_SourceData.Common_SourceData_ClimateZones_Title()</f>
        <v>VEERG Australian climate zones</v>
      </c>
    </row>
    <row r="82" spans="1:20" ht="20.100000000000001" customHeight="1" x14ac:dyDescent="0.25">
      <c r="A82"/>
      <c r="D82" s="5" t="str" cm="1">
        <f t="array" ref="D82">Common_SourceData.Common_SourceData_ClimateZones_Source()</f>
        <v>VEERG 2026: Table 1.3: Climate and Rainfall zone classifications and definitions</v>
      </c>
    </row>
    <row r="83" spans="1:20" ht="20.100000000000001" customHeight="1" x14ac:dyDescent="0.25">
      <c r="A83"/>
      <c r="D83" s="52" t="str" cm="1">
        <f t="array" ref="D83:D87">"⚠️" &amp; Common_SourceData.Common_SourceData_ClimateZones_Variation()</f>
        <v>⚠️VARIATION OF SOURCE DATA:</v>
      </c>
    </row>
    <row r="84" spans="1:20" ht="20.100000000000001" customHeight="1" x14ac:dyDescent="0.25">
      <c r="A84"/>
      <c r="D84" s="52" t="str">
        <v>⚠️Added warm / cool temperate moist / dry - low frost and high temp classes to accommodate climate scenarios excluded by VEERG criteria.</v>
      </c>
    </row>
    <row r="85" spans="1:20" ht="20.100000000000001" customHeight="1" x14ac:dyDescent="0.25">
      <c r="A85"/>
      <c r="D85" s="52" t="str">
        <v>⚠️Fixed typo in MAT value for warm temperate dry - changed 10 to 11.</v>
      </c>
    </row>
    <row r="86" spans="1:20" ht="20.100000000000001" customHeight="1" x14ac:dyDescent="0.25">
      <c r="A86"/>
      <c r="D86" s="52" t="str">
        <v>⚠️Added min and max columns for MAT, MAP, frost days per year, elevation, MAP:PET to calculate zones from real climate data.</v>
      </c>
    </row>
    <row r="87" spans="1:20" ht="20.100000000000001" customHeight="1" x14ac:dyDescent="0.25">
      <c r="A87"/>
      <c r="D87" s="52" t="str">
        <v>⚠️GAF accepts rainfall as a proxy for precipitation.</v>
      </c>
    </row>
    <row r="88" spans="1:20" ht="20.100000000000001" customHeight="1" x14ac:dyDescent="0.25">
      <c r="A88"/>
    </row>
    <row r="89" spans="1:20" ht="20.100000000000001" customHeight="1" x14ac:dyDescent="0.25">
      <c r="A89"/>
      <c r="D89" s="35" t="s">
        <v>6</v>
      </c>
      <c r="E89" s="35" t="s">
        <v>29</v>
      </c>
      <c r="F89" s="35" t="s">
        <v>30</v>
      </c>
      <c r="G89" s="35" t="s">
        <v>31</v>
      </c>
      <c r="H89" s="35" t="s">
        <v>32</v>
      </c>
      <c r="I89" s="35" t="s">
        <v>33</v>
      </c>
      <c r="J89" s="35" t="s">
        <v>34</v>
      </c>
      <c r="K89" s="35" t="s">
        <v>35</v>
      </c>
      <c r="L89" s="35" t="s">
        <v>36</v>
      </c>
      <c r="M89" s="35" t="s">
        <v>37</v>
      </c>
      <c r="N89" s="35" t="s">
        <v>38</v>
      </c>
      <c r="O89" s="35" t="s">
        <v>42</v>
      </c>
      <c r="P89" s="35" t="s">
        <v>39</v>
      </c>
      <c r="Q89" s="35" t="s">
        <v>43</v>
      </c>
      <c r="R89" s="35" t="s">
        <v>40</v>
      </c>
      <c r="S89" s="35" t="s">
        <v>44</v>
      </c>
      <c r="T89" s="35"/>
    </row>
    <row r="90" spans="1:20" ht="20.100000000000001" customHeight="1" x14ac:dyDescent="0.25">
      <c r="A90"/>
      <c r="D90" s="35" t="str" cm="1">
        <f t="array" ref="D90">Common_InputFunctions.Utility_DisplayArrayInTable(Common_SourceData.Common_SourceData_ClimateZones_Data(), Table_SourceData_ClimateZones[[#Headers],[Climate zone]], 0)</f>
        <v>Tropical montane</v>
      </c>
      <c r="E90" s="35" t="str" cm="1">
        <f t="array" ref="E90">Common_InputFunctions.Utility_DisplayArrayInTable(Common_SourceData.Common_SourceData_ClimateZones_Data(), Table_SourceData_ClimateZones[[#Headers],[Climate zone]], 0)</f>
        <v>&gt; 18 C</v>
      </c>
      <c r="F90" s="35" t="str" cm="1">
        <f t="array" ref="F90">Common_InputFunctions.Utility_DisplayArrayInTable(Common_SourceData.Common_SourceData_ClimateZones_Data(), Table_SourceData_ClimateZones[[#Headers],[Climate zone]], 0)</f>
        <v>Any</v>
      </c>
      <c r="G90" s="35" t="str" cm="1">
        <f t="array" ref="G90">Common_InputFunctions.Utility_DisplayArrayInTable(Common_SourceData.Common_SourceData_ClimateZones_Data(), Table_SourceData_ClimateZones[[#Headers],[Climate zone]], 0)</f>
        <v>≤ 7</v>
      </c>
      <c r="H90" s="35" t="str" cm="1">
        <f t="array" ref="H90">Common_InputFunctions.Utility_DisplayArrayInTable(Common_SourceData.Common_SourceData_ClimateZones_Data(), Table_SourceData_ClimateZones[[#Headers],[Climate zone]], 0)</f>
        <v>&gt; 1000 m</v>
      </c>
      <c r="I90" s="35" t="str" cm="1">
        <f t="array" ref="I90">Common_InputFunctions.Utility_DisplayArrayInTable(Common_SourceData.Common_SourceData_ClimateZones_Data(), Table_SourceData_ClimateZones[[#Headers],[Climate zone]], 0)</f>
        <v>Any</v>
      </c>
      <c r="J90" s="35" cm="1">
        <f t="array" ref="J90">Common_InputFunctions.Utility_DisplayArrayInTable(Common_SourceData.Common_SourceData_ClimateZones_Data(), Table_SourceData_ClimateZones[[#Headers],[Climate zone]], 0)</f>
        <v>18.001000000000001</v>
      </c>
      <c r="K90" s="35" cm="1">
        <f t="array" ref="K90">Common_InputFunctions.Utility_DisplayArrayInTable(Common_SourceData.Common_SourceData_ClimateZones_Data(), Table_SourceData_ClimateZones[[#Headers],[Climate zone]], 0)</f>
        <v>999999</v>
      </c>
      <c r="L90" s="35" cm="1">
        <f t="array" ref="L90">Common_InputFunctions.Utility_DisplayArrayInTable(Common_SourceData.Common_SourceData_ClimateZones_Data(), Table_SourceData_ClimateZones[[#Headers],[Climate zone]], 0)</f>
        <v>-999999</v>
      </c>
      <c r="M90" s="35" cm="1">
        <f t="array" ref="M90">Common_InputFunctions.Utility_DisplayArrayInTable(Common_SourceData.Common_SourceData_ClimateZones_Data(), Table_SourceData_ClimateZones[[#Headers],[Climate zone]], 0)</f>
        <v>999999</v>
      </c>
      <c r="N90" s="35" cm="1">
        <f t="array" ref="N90">Common_InputFunctions.Utility_DisplayArrayInTable(Common_SourceData.Common_SourceData_ClimateZones_Data(), Table_SourceData_ClimateZones[[#Headers],[Climate zone]], 0)</f>
        <v>-999999</v>
      </c>
      <c r="O90" s="35" cm="1">
        <f t="array" ref="O90">Common_InputFunctions.Utility_DisplayArrayInTable(Common_SourceData.Common_SourceData_ClimateZones_Data(), Table_SourceData_ClimateZones[[#Headers],[Climate zone]], 0)</f>
        <v>7</v>
      </c>
      <c r="P90" s="35" cm="1">
        <f t="array" ref="P90">Common_InputFunctions.Utility_DisplayArrayInTable(Common_SourceData.Common_SourceData_ClimateZones_Data(), Table_SourceData_ClimateZones[[#Headers],[Climate zone]], 0)</f>
        <v>1000</v>
      </c>
      <c r="Q90" s="35" cm="1">
        <f t="array" ref="Q90">Common_InputFunctions.Utility_DisplayArrayInTable(Common_SourceData.Common_SourceData_ClimateZones_Data(), Table_SourceData_ClimateZones[[#Headers],[Climate zone]], 0)</f>
        <v>999999</v>
      </c>
      <c r="R90" s="35" cm="1">
        <f t="array" ref="R90">Common_InputFunctions.Utility_DisplayArrayInTable(Common_SourceData.Common_SourceData_ClimateZones_Data(), Table_SourceData_ClimateZones[[#Headers],[Climate zone]], 0)</f>
        <v>-999999</v>
      </c>
      <c r="S90" s="35" cm="1">
        <f t="array" ref="S90">Common_InputFunctions.Utility_DisplayArrayInTable(Common_SourceData.Common_SourceData_ClimateZones_Data(), Table_SourceData_ClimateZones[[#Headers],[Climate zone]], 0)</f>
        <v>999999</v>
      </c>
      <c r="T90" s="35"/>
    </row>
    <row r="91" spans="1:20" ht="20.100000000000001" customHeight="1" x14ac:dyDescent="0.25">
      <c r="A91"/>
      <c r="D91" s="35" t="str" cm="1">
        <f t="array" ref="D91">Common_InputFunctions.Utility_DisplayArrayInTable(Common_SourceData.Common_SourceData_ClimateZones_Data(), Table_SourceData_ClimateZones[[#Headers],[Climate zone]], 0)</f>
        <v>Tropical wet</v>
      </c>
      <c r="E91" s="35" t="str" cm="1">
        <f t="array" ref="E91">Common_InputFunctions.Utility_DisplayArrayInTable(Common_SourceData.Common_SourceData_ClimateZones_Data(), Table_SourceData_ClimateZones[[#Headers],[Climate zone]], 0)</f>
        <v>&gt; 18 C</v>
      </c>
      <c r="F91" s="35" t="str" cm="1">
        <f t="array" ref="F91">Common_InputFunctions.Utility_DisplayArrayInTable(Common_SourceData.Common_SourceData_ClimateZones_Data(), Table_SourceData_ClimateZones[[#Headers],[Climate zone]], 0)</f>
        <v>&gt; 2000 mm</v>
      </c>
      <c r="G91" s="35" t="str" cm="1">
        <f t="array" ref="G91">Common_InputFunctions.Utility_DisplayArrayInTable(Common_SourceData.Common_SourceData_ClimateZones_Data(), Table_SourceData_ClimateZones[[#Headers],[Climate zone]], 0)</f>
        <v>≤ 7</v>
      </c>
      <c r="H91" s="35" t="str" cm="1">
        <f t="array" ref="H91">Common_InputFunctions.Utility_DisplayArrayInTable(Common_SourceData.Common_SourceData_ClimateZones_Data(), Table_SourceData_ClimateZones[[#Headers],[Climate zone]], 0)</f>
        <v>≤ 1000 m</v>
      </c>
      <c r="I91" s="35" t="str" cm="1">
        <f t="array" ref="I91">Common_InputFunctions.Utility_DisplayArrayInTable(Common_SourceData.Common_SourceData_ClimateZones_Data(), Table_SourceData_ClimateZones[[#Headers],[Climate zone]], 0)</f>
        <v>Any</v>
      </c>
      <c r="J91" s="35" cm="1">
        <f t="array" ref="J91">Common_InputFunctions.Utility_DisplayArrayInTable(Common_SourceData.Common_SourceData_ClimateZones_Data(), Table_SourceData_ClimateZones[[#Headers],[Climate zone]], 0)</f>
        <v>18.001000000000001</v>
      </c>
      <c r="K91" s="35" cm="1">
        <f t="array" ref="K91">Common_InputFunctions.Utility_DisplayArrayInTable(Common_SourceData.Common_SourceData_ClimateZones_Data(), Table_SourceData_ClimateZones[[#Headers],[Climate zone]], 0)</f>
        <v>999999</v>
      </c>
      <c r="L91" s="35" cm="1">
        <f t="array" ref="L91">Common_InputFunctions.Utility_DisplayArrayInTable(Common_SourceData.Common_SourceData_ClimateZones_Data(), Table_SourceData_ClimateZones[[#Headers],[Climate zone]], 0)</f>
        <v>2000.001</v>
      </c>
      <c r="M91" s="35" cm="1">
        <f t="array" ref="M91">Common_InputFunctions.Utility_DisplayArrayInTable(Common_SourceData.Common_SourceData_ClimateZones_Data(), Table_SourceData_ClimateZones[[#Headers],[Climate zone]], 0)</f>
        <v>999999</v>
      </c>
      <c r="N91" s="35" cm="1">
        <f t="array" ref="N91">Common_InputFunctions.Utility_DisplayArrayInTable(Common_SourceData.Common_SourceData_ClimateZones_Data(), Table_SourceData_ClimateZones[[#Headers],[Climate zone]], 0)</f>
        <v>-999999</v>
      </c>
      <c r="O91" s="35" cm="1">
        <f t="array" ref="O91">Common_InputFunctions.Utility_DisplayArrayInTable(Common_SourceData.Common_SourceData_ClimateZones_Data(), Table_SourceData_ClimateZones[[#Headers],[Climate zone]], 0)</f>
        <v>7</v>
      </c>
      <c r="P91" s="35" cm="1">
        <f t="array" ref="P91">Common_InputFunctions.Utility_DisplayArrayInTable(Common_SourceData.Common_SourceData_ClimateZones_Data(), Table_SourceData_ClimateZones[[#Headers],[Climate zone]], 0)</f>
        <v>-999999</v>
      </c>
      <c r="Q91" s="35" cm="1">
        <f t="array" ref="Q91">Common_InputFunctions.Utility_DisplayArrayInTable(Common_SourceData.Common_SourceData_ClimateZones_Data(), Table_SourceData_ClimateZones[[#Headers],[Climate zone]], 0)</f>
        <v>999.99900000000002</v>
      </c>
      <c r="R91" s="35" cm="1">
        <f t="array" ref="R91">Common_InputFunctions.Utility_DisplayArrayInTable(Common_SourceData.Common_SourceData_ClimateZones_Data(), Table_SourceData_ClimateZones[[#Headers],[Climate zone]], 0)</f>
        <v>-999999</v>
      </c>
      <c r="S91" s="35" cm="1">
        <f t="array" ref="S91">Common_InputFunctions.Utility_DisplayArrayInTable(Common_SourceData.Common_SourceData_ClimateZones_Data(), Table_SourceData_ClimateZones[[#Headers],[Climate zone]], 0)</f>
        <v>999999</v>
      </c>
      <c r="T91" s="35"/>
    </row>
    <row r="92" spans="1:20" ht="20.100000000000001" customHeight="1" x14ac:dyDescent="0.25">
      <c r="A92"/>
      <c r="D92" s="35" t="str" cm="1">
        <f t="array" ref="D92">Common_InputFunctions.Utility_DisplayArrayInTable(Common_SourceData.Common_SourceData_ClimateZones_Data(), Table_SourceData_ClimateZones[[#Headers],[Climate zone]], 0)</f>
        <v>Tropical moist</v>
      </c>
      <c r="E92" s="35" t="str" cm="1">
        <f t="array" ref="E92">Common_InputFunctions.Utility_DisplayArrayInTable(Common_SourceData.Common_SourceData_ClimateZones_Data(), Table_SourceData_ClimateZones[[#Headers],[Climate zone]], 0)</f>
        <v>&gt; 18 C</v>
      </c>
      <c r="F92" s="35" t="str" cm="1">
        <f t="array" ref="F92">Common_InputFunctions.Utility_DisplayArrayInTable(Common_SourceData.Common_SourceData_ClimateZones_Data(), Table_SourceData_ClimateZones[[#Headers],[Climate zone]], 0)</f>
        <v>&gt; 1000 mm - ≤ 2000 mm</v>
      </c>
      <c r="G92" s="35" t="str" cm="1">
        <f t="array" ref="G92">Common_InputFunctions.Utility_DisplayArrayInTable(Common_SourceData.Common_SourceData_ClimateZones_Data(), Table_SourceData_ClimateZones[[#Headers],[Climate zone]], 0)</f>
        <v>≤ 7</v>
      </c>
      <c r="H92" s="35" t="str" cm="1">
        <f t="array" ref="H92">Common_InputFunctions.Utility_DisplayArrayInTable(Common_SourceData.Common_SourceData_ClimateZones_Data(), Table_SourceData_ClimateZones[[#Headers],[Climate zone]], 0)</f>
        <v>≤ 1000 m</v>
      </c>
      <c r="I92" s="35" t="str" cm="1">
        <f t="array" ref="I92">Common_InputFunctions.Utility_DisplayArrayInTable(Common_SourceData.Common_SourceData_ClimateZones_Data(), Table_SourceData_ClimateZones[[#Headers],[Climate zone]], 0)</f>
        <v>Any</v>
      </c>
      <c r="J92" s="35" cm="1">
        <f t="array" ref="J92">Common_InputFunctions.Utility_DisplayArrayInTable(Common_SourceData.Common_SourceData_ClimateZones_Data(), Table_SourceData_ClimateZones[[#Headers],[Climate zone]], 0)</f>
        <v>18.001000000000001</v>
      </c>
      <c r="K92" s="35" cm="1">
        <f t="array" ref="K92">Common_InputFunctions.Utility_DisplayArrayInTable(Common_SourceData.Common_SourceData_ClimateZones_Data(), Table_SourceData_ClimateZones[[#Headers],[Climate zone]], 0)</f>
        <v>999999</v>
      </c>
      <c r="L92" s="35" cm="1">
        <f t="array" ref="L92">Common_InputFunctions.Utility_DisplayArrayInTable(Common_SourceData.Common_SourceData_ClimateZones_Data(), Table_SourceData_ClimateZones[[#Headers],[Climate zone]], 0)</f>
        <v>1000.001</v>
      </c>
      <c r="M92" s="35" cm="1">
        <f t="array" ref="M92">Common_InputFunctions.Utility_DisplayArrayInTable(Common_SourceData.Common_SourceData_ClimateZones_Data(), Table_SourceData_ClimateZones[[#Headers],[Climate zone]], 0)</f>
        <v>2000</v>
      </c>
      <c r="N92" s="35" cm="1">
        <f t="array" ref="N92">Common_InputFunctions.Utility_DisplayArrayInTable(Common_SourceData.Common_SourceData_ClimateZones_Data(), Table_SourceData_ClimateZones[[#Headers],[Climate zone]], 0)</f>
        <v>-999999</v>
      </c>
      <c r="O92" s="35" cm="1">
        <f t="array" ref="O92">Common_InputFunctions.Utility_DisplayArrayInTable(Common_SourceData.Common_SourceData_ClimateZones_Data(), Table_SourceData_ClimateZones[[#Headers],[Climate zone]], 0)</f>
        <v>7</v>
      </c>
      <c r="P92" s="35" cm="1">
        <f t="array" ref="P92">Common_InputFunctions.Utility_DisplayArrayInTable(Common_SourceData.Common_SourceData_ClimateZones_Data(), Table_SourceData_ClimateZones[[#Headers],[Climate zone]], 0)</f>
        <v>-999999</v>
      </c>
      <c r="Q92" s="35" cm="1">
        <f t="array" ref="Q92">Common_InputFunctions.Utility_DisplayArrayInTable(Common_SourceData.Common_SourceData_ClimateZones_Data(), Table_SourceData_ClimateZones[[#Headers],[Climate zone]], 0)</f>
        <v>999.99900000000002</v>
      </c>
      <c r="R92" s="35" cm="1">
        <f t="array" ref="R92">Common_InputFunctions.Utility_DisplayArrayInTable(Common_SourceData.Common_SourceData_ClimateZones_Data(), Table_SourceData_ClimateZones[[#Headers],[Climate zone]], 0)</f>
        <v>-999999</v>
      </c>
      <c r="S92" s="35" cm="1">
        <f t="array" ref="S92">Common_InputFunctions.Utility_DisplayArrayInTable(Common_SourceData.Common_SourceData_ClimateZones_Data(), Table_SourceData_ClimateZones[[#Headers],[Climate zone]], 0)</f>
        <v>999999</v>
      </c>
      <c r="T92" s="35"/>
    </row>
    <row r="93" spans="1:20" ht="20.100000000000001" customHeight="1" x14ac:dyDescent="0.25">
      <c r="A93"/>
      <c r="D93" s="35" t="str" cm="1">
        <f t="array" ref="D93">Common_InputFunctions.Utility_DisplayArrayInTable(Common_SourceData.Common_SourceData_ClimateZones_Data(), Table_SourceData_ClimateZones[[#Headers],[Climate zone]], 0)</f>
        <v>Tropical dry</v>
      </c>
      <c r="E93" s="35" t="str" cm="1">
        <f t="array" ref="E93">Common_InputFunctions.Utility_DisplayArrayInTable(Common_SourceData.Common_SourceData_ClimateZones_Data(), Table_SourceData_ClimateZones[[#Headers],[Climate zone]], 0)</f>
        <v>&gt; 18 C</v>
      </c>
      <c r="F93" s="35" t="str" cm="1">
        <f t="array" ref="F93">Common_InputFunctions.Utility_DisplayArrayInTable(Common_SourceData.Common_SourceData_ClimateZones_Data(), Table_SourceData_ClimateZones[[#Headers],[Climate zone]], 0)</f>
        <v>≤ 1000 mm</v>
      </c>
      <c r="G93" s="35" t="str" cm="1">
        <f t="array" ref="G93">Common_InputFunctions.Utility_DisplayArrayInTable(Common_SourceData.Common_SourceData_ClimateZones_Data(), Table_SourceData_ClimateZones[[#Headers],[Climate zone]], 0)</f>
        <v>≤ 7</v>
      </c>
      <c r="H93" s="35" t="str" cm="1">
        <f t="array" ref="H93">Common_InputFunctions.Utility_DisplayArrayInTable(Common_SourceData.Common_SourceData_ClimateZones_Data(), Table_SourceData_ClimateZones[[#Headers],[Climate zone]], 0)</f>
        <v>≤ 1000 m</v>
      </c>
      <c r="I93" s="35" t="str" cm="1">
        <f t="array" ref="I93">Common_InputFunctions.Utility_DisplayArrayInTable(Common_SourceData.Common_SourceData_ClimateZones_Data(), Table_SourceData_ClimateZones[[#Headers],[Climate zone]], 0)</f>
        <v>Any</v>
      </c>
      <c r="J93" s="35" cm="1">
        <f t="array" ref="J93">Common_InputFunctions.Utility_DisplayArrayInTable(Common_SourceData.Common_SourceData_ClimateZones_Data(), Table_SourceData_ClimateZones[[#Headers],[Climate zone]], 0)</f>
        <v>18.001000000000001</v>
      </c>
      <c r="K93" s="35" cm="1">
        <f t="array" ref="K93">Common_InputFunctions.Utility_DisplayArrayInTable(Common_SourceData.Common_SourceData_ClimateZones_Data(), Table_SourceData_ClimateZones[[#Headers],[Climate zone]], 0)</f>
        <v>999999</v>
      </c>
      <c r="L93" s="35" cm="1">
        <f t="array" ref="L93">Common_InputFunctions.Utility_DisplayArrayInTable(Common_SourceData.Common_SourceData_ClimateZones_Data(), Table_SourceData_ClimateZones[[#Headers],[Climate zone]], 0)</f>
        <v>-999999</v>
      </c>
      <c r="M93" s="35" cm="1">
        <f t="array" ref="M93">Common_InputFunctions.Utility_DisplayArrayInTable(Common_SourceData.Common_SourceData_ClimateZones_Data(), Table_SourceData_ClimateZones[[#Headers],[Climate zone]], 0)</f>
        <v>1000</v>
      </c>
      <c r="N93" s="35" cm="1">
        <f t="array" ref="N93">Common_InputFunctions.Utility_DisplayArrayInTable(Common_SourceData.Common_SourceData_ClimateZones_Data(), Table_SourceData_ClimateZones[[#Headers],[Climate zone]], 0)</f>
        <v>-999999</v>
      </c>
      <c r="O93" s="35" cm="1">
        <f t="array" ref="O93">Common_InputFunctions.Utility_DisplayArrayInTable(Common_SourceData.Common_SourceData_ClimateZones_Data(), Table_SourceData_ClimateZones[[#Headers],[Climate zone]], 0)</f>
        <v>7</v>
      </c>
      <c r="P93" s="35" cm="1">
        <f t="array" ref="P93">Common_InputFunctions.Utility_DisplayArrayInTable(Common_SourceData.Common_SourceData_ClimateZones_Data(), Table_SourceData_ClimateZones[[#Headers],[Climate zone]], 0)</f>
        <v>-999999</v>
      </c>
      <c r="Q93" s="35" cm="1">
        <f t="array" ref="Q93">Common_InputFunctions.Utility_DisplayArrayInTable(Common_SourceData.Common_SourceData_ClimateZones_Data(), Table_SourceData_ClimateZones[[#Headers],[Climate zone]], 0)</f>
        <v>999.99900000000002</v>
      </c>
      <c r="R93" s="35" cm="1">
        <f t="array" ref="R93">Common_InputFunctions.Utility_DisplayArrayInTable(Common_SourceData.Common_SourceData_ClimateZones_Data(), Table_SourceData_ClimateZones[[#Headers],[Climate zone]], 0)</f>
        <v>-999999</v>
      </c>
      <c r="S93" s="35" cm="1">
        <f t="array" ref="S93">Common_InputFunctions.Utility_DisplayArrayInTable(Common_SourceData.Common_SourceData_ClimateZones_Data(), Table_SourceData_ClimateZones[[#Headers],[Climate zone]], 0)</f>
        <v>999999</v>
      </c>
      <c r="T93" s="35"/>
    </row>
    <row r="94" spans="1:20" ht="20.100000000000001" customHeight="1" x14ac:dyDescent="0.25">
      <c r="A94"/>
      <c r="D94" s="35" t="str" cm="1">
        <f t="array" ref="D94">Common_InputFunctions.Utility_DisplayArrayInTable(Common_SourceData.Common_SourceData_ClimateZones_Data(), Table_SourceData_ClimateZones[[#Headers],[Climate zone]], 0)</f>
        <v>Warm temperate moist</v>
      </c>
      <c r="E94" s="35" t="str" cm="1">
        <f t="array" ref="E94">Common_InputFunctions.Utility_DisplayArrayInTable(Common_SourceData.Common_SourceData_ClimateZones_Data(), Table_SourceData_ClimateZones[[#Headers],[Climate zone]], 0)</f>
        <v>&gt; 10 C</v>
      </c>
      <c r="F94" s="35" t="str" cm="1">
        <f t="array" ref="F94">Common_InputFunctions.Utility_DisplayArrayInTable(Common_SourceData.Common_SourceData_ClimateZones_Data(), Table_SourceData_ClimateZones[[#Headers],[Climate zone]], 0)</f>
        <v>Any</v>
      </c>
      <c r="G94" s="35" t="str" cm="1">
        <f t="array" ref="G94">Common_InputFunctions.Utility_DisplayArrayInTable(Common_SourceData.Common_SourceData_ClimateZones_Data(), Table_SourceData_ClimateZones[[#Headers],[Climate zone]], 0)</f>
        <v>Any</v>
      </c>
      <c r="H94" s="35" t="str" cm="1">
        <f t="array" ref="H94">Common_InputFunctions.Utility_DisplayArrayInTable(Common_SourceData.Common_SourceData_ClimateZones_Data(), Table_SourceData_ClimateZones[[#Headers],[Climate zone]], 0)</f>
        <v>Any</v>
      </c>
      <c r="I94" s="35" t="str" cm="1">
        <f t="array" ref="I94">Common_InputFunctions.Utility_DisplayArrayInTable(Common_SourceData.Common_SourceData_ClimateZones_Data(), Table_SourceData_ClimateZones[[#Headers],[Climate zone]], 0)</f>
        <v>&gt; 1</v>
      </c>
      <c r="J94" s="35" cm="1">
        <f t="array" ref="J94">Common_InputFunctions.Utility_DisplayArrayInTable(Common_SourceData.Common_SourceData_ClimateZones_Data(), Table_SourceData_ClimateZones[[#Headers],[Climate zone]], 0)</f>
        <v>10.000999999999999</v>
      </c>
      <c r="K94" s="35" cm="1">
        <f t="array" ref="K94">Common_InputFunctions.Utility_DisplayArrayInTable(Common_SourceData.Common_SourceData_ClimateZones_Data(), Table_SourceData_ClimateZones[[#Headers],[Climate zone]], 0)</f>
        <v>999999</v>
      </c>
      <c r="L94" s="35" cm="1">
        <f t="array" ref="L94">Common_InputFunctions.Utility_DisplayArrayInTable(Common_SourceData.Common_SourceData_ClimateZones_Data(), Table_SourceData_ClimateZones[[#Headers],[Climate zone]], 0)</f>
        <v>-999999</v>
      </c>
      <c r="M94" s="35" cm="1">
        <f t="array" ref="M94">Common_InputFunctions.Utility_DisplayArrayInTable(Common_SourceData.Common_SourceData_ClimateZones_Data(), Table_SourceData_ClimateZones[[#Headers],[Climate zone]], 0)</f>
        <v>999999</v>
      </c>
      <c r="N94" s="35" cm="1">
        <f t="array" ref="N94">Common_InputFunctions.Utility_DisplayArrayInTable(Common_SourceData.Common_SourceData_ClimateZones_Data(), Table_SourceData_ClimateZones[[#Headers],[Climate zone]], 0)</f>
        <v>-999999</v>
      </c>
      <c r="O94" s="35" cm="1">
        <f t="array" ref="O94">Common_InputFunctions.Utility_DisplayArrayInTable(Common_SourceData.Common_SourceData_ClimateZones_Data(), Table_SourceData_ClimateZones[[#Headers],[Climate zone]], 0)</f>
        <v>999999</v>
      </c>
      <c r="P94" s="35" cm="1">
        <f t="array" ref="P94">Common_InputFunctions.Utility_DisplayArrayInTable(Common_SourceData.Common_SourceData_ClimateZones_Data(), Table_SourceData_ClimateZones[[#Headers],[Climate zone]], 0)</f>
        <v>-999999</v>
      </c>
      <c r="Q94" s="35" cm="1">
        <f t="array" ref="Q94">Common_InputFunctions.Utility_DisplayArrayInTable(Common_SourceData.Common_SourceData_ClimateZones_Data(), Table_SourceData_ClimateZones[[#Headers],[Climate zone]], 0)</f>
        <v>999999</v>
      </c>
      <c r="R94" s="35" cm="1">
        <f t="array" ref="R94">Common_InputFunctions.Utility_DisplayArrayInTable(Common_SourceData.Common_SourceData_ClimateZones_Data(), Table_SourceData_ClimateZones[[#Headers],[Climate zone]], 0)</f>
        <v>1.0009999999999999</v>
      </c>
      <c r="S94" s="35" cm="1">
        <f t="array" ref="S94">Common_InputFunctions.Utility_DisplayArrayInTable(Common_SourceData.Common_SourceData_ClimateZones_Data(), Table_SourceData_ClimateZones[[#Headers],[Climate zone]], 0)</f>
        <v>999999</v>
      </c>
      <c r="T94" s="35"/>
    </row>
    <row r="95" spans="1:20" ht="20.100000000000001" customHeight="1" x14ac:dyDescent="0.25">
      <c r="A95"/>
      <c r="D95" s="35" t="str" cm="1">
        <f t="array" ref="D95">Common_InputFunctions.Utility_DisplayArrayInTable(Common_SourceData.Common_SourceData_ClimateZones_Data(), Table_SourceData_ClimateZones[[#Headers],[Climate zone]], 0)</f>
        <v>Warm temperate dry</v>
      </c>
      <c r="E95" s="35" t="str" cm="1">
        <f t="array" ref="E95">Common_InputFunctions.Utility_DisplayArrayInTable(Common_SourceData.Common_SourceData_ClimateZones_Data(), Table_SourceData_ClimateZones[[#Headers],[Climate zone]], 0)</f>
        <v>&gt; 10 C</v>
      </c>
      <c r="F95" s="35" t="str" cm="1">
        <f t="array" ref="F95">Common_InputFunctions.Utility_DisplayArrayInTable(Common_SourceData.Common_SourceData_ClimateZones_Data(), Table_SourceData_ClimateZones[[#Headers],[Climate zone]], 0)</f>
        <v>Any</v>
      </c>
      <c r="G95" s="35" t="str" cm="1">
        <f t="array" ref="G95">Common_InputFunctions.Utility_DisplayArrayInTable(Common_SourceData.Common_SourceData_ClimateZones_Data(), Table_SourceData_ClimateZones[[#Headers],[Climate zone]], 0)</f>
        <v>Any</v>
      </c>
      <c r="H95" s="35" t="str" cm="1">
        <f t="array" ref="H95">Common_InputFunctions.Utility_DisplayArrayInTable(Common_SourceData.Common_SourceData_ClimateZones_Data(), Table_SourceData_ClimateZones[[#Headers],[Climate zone]], 0)</f>
        <v>Any</v>
      </c>
      <c r="I95" s="35" t="str" cm="1">
        <f t="array" ref="I95">Common_InputFunctions.Utility_DisplayArrayInTable(Common_SourceData.Common_SourceData_ClimateZones_Data(), Table_SourceData_ClimateZones[[#Headers],[Climate zone]], 0)</f>
        <v>≤ 1</v>
      </c>
      <c r="J95" s="35" cm="1">
        <f t="array" ref="J95">Common_InputFunctions.Utility_DisplayArrayInTable(Common_SourceData.Common_SourceData_ClimateZones_Data(), Table_SourceData_ClimateZones[[#Headers],[Climate zone]], 0)</f>
        <v>10.000999999999999</v>
      </c>
      <c r="K95" s="35" cm="1">
        <f t="array" ref="K95">Common_InputFunctions.Utility_DisplayArrayInTable(Common_SourceData.Common_SourceData_ClimateZones_Data(), Table_SourceData_ClimateZones[[#Headers],[Climate zone]], 0)</f>
        <v>999999</v>
      </c>
      <c r="L95" s="35" cm="1">
        <f t="array" ref="L95">Common_InputFunctions.Utility_DisplayArrayInTable(Common_SourceData.Common_SourceData_ClimateZones_Data(), Table_SourceData_ClimateZones[[#Headers],[Climate zone]], 0)</f>
        <v>-999999</v>
      </c>
      <c r="M95" s="35" cm="1">
        <f t="array" ref="M95">Common_InputFunctions.Utility_DisplayArrayInTable(Common_SourceData.Common_SourceData_ClimateZones_Data(), Table_SourceData_ClimateZones[[#Headers],[Climate zone]], 0)</f>
        <v>999999</v>
      </c>
      <c r="N95" s="35" cm="1">
        <f t="array" ref="N95">Common_InputFunctions.Utility_DisplayArrayInTable(Common_SourceData.Common_SourceData_ClimateZones_Data(), Table_SourceData_ClimateZones[[#Headers],[Climate zone]], 0)</f>
        <v>-999999</v>
      </c>
      <c r="O95" s="35" cm="1">
        <f t="array" ref="O95">Common_InputFunctions.Utility_DisplayArrayInTable(Common_SourceData.Common_SourceData_ClimateZones_Data(), Table_SourceData_ClimateZones[[#Headers],[Climate zone]], 0)</f>
        <v>999999</v>
      </c>
      <c r="P95" s="35" cm="1">
        <f t="array" ref="P95">Common_InputFunctions.Utility_DisplayArrayInTable(Common_SourceData.Common_SourceData_ClimateZones_Data(), Table_SourceData_ClimateZones[[#Headers],[Climate zone]], 0)</f>
        <v>-999999</v>
      </c>
      <c r="Q95" s="35" cm="1">
        <f t="array" ref="Q95">Common_InputFunctions.Utility_DisplayArrayInTable(Common_SourceData.Common_SourceData_ClimateZones_Data(), Table_SourceData_ClimateZones[[#Headers],[Climate zone]], 0)</f>
        <v>999999</v>
      </c>
      <c r="R95" s="35" cm="1">
        <f t="array" ref="R95">Common_InputFunctions.Utility_DisplayArrayInTable(Common_SourceData.Common_SourceData_ClimateZones_Data(), Table_SourceData_ClimateZones[[#Headers],[Climate zone]], 0)</f>
        <v>-999999</v>
      </c>
      <c r="S95" s="35" cm="1">
        <f t="array" ref="S95">Common_InputFunctions.Utility_DisplayArrayInTable(Common_SourceData.Common_SourceData_ClimateZones_Data(), Table_SourceData_ClimateZones[[#Headers],[Climate zone]], 0)</f>
        <v>1</v>
      </c>
      <c r="T95" s="35"/>
    </row>
    <row r="96" spans="1:20" ht="20.100000000000001" customHeight="1" x14ac:dyDescent="0.25">
      <c r="A96"/>
      <c r="D96" s="35" t="str" cm="1">
        <f t="array" ref="D96">Common_InputFunctions.Utility_DisplayArrayInTable(Common_SourceData.Common_SourceData_ClimateZones_Data(), Table_SourceData_ClimateZones[[#Headers],[Climate zone]], 0)</f>
        <v>Cool temperate moist</v>
      </c>
      <c r="E96" s="35" t="str" cm="1">
        <f t="array" ref="E96">Common_InputFunctions.Utility_DisplayArrayInTable(Common_SourceData.Common_SourceData_ClimateZones_Data(), Table_SourceData_ClimateZones[[#Headers],[Climate zone]], 0)</f>
        <v>&gt; 0 C - ≤ 10 C</v>
      </c>
      <c r="F96" s="35" t="str" cm="1">
        <f t="array" ref="F96">Common_InputFunctions.Utility_DisplayArrayInTable(Common_SourceData.Common_SourceData_ClimateZones_Data(), Table_SourceData_ClimateZones[[#Headers],[Climate zone]], 0)</f>
        <v>Any</v>
      </c>
      <c r="G96" s="35" t="str" cm="1">
        <f t="array" ref="G96">Common_InputFunctions.Utility_DisplayArrayInTable(Common_SourceData.Common_SourceData_ClimateZones_Data(), Table_SourceData_ClimateZones[[#Headers],[Climate zone]], 0)</f>
        <v>Any</v>
      </c>
      <c r="H96" s="35" t="str" cm="1">
        <f t="array" ref="H96">Common_InputFunctions.Utility_DisplayArrayInTable(Common_SourceData.Common_SourceData_ClimateZones_Data(), Table_SourceData_ClimateZones[[#Headers],[Climate zone]], 0)</f>
        <v>Any</v>
      </c>
      <c r="I96" s="35" t="str" cm="1">
        <f t="array" ref="I96">Common_InputFunctions.Utility_DisplayArrayInTable(Common_SourceData.Common_SourceData_ClimateZones_Data(), Table_SourceData_ClimateZones[[#Headers],[Climate zone]], 0)</f>
        <v>&gt; 1</v>
      </c>
      <c r="J96" s="35" cm="1">
        <f t="array" ref="J96">Common_InputFunctions.Utility_DisplayArrayInTable(Common_SourceData.Common_SourceData_ClimateZones_Data(), Table_SourceData_ClimateZones[[#Headers],[Climate zone]], 0)</f>
        <v>-999999</v>
      </c>
      <c r="K96" s="35" cm="1">
        <f t="array" ref="K96">Common_InputFunctions.Utility_DisplayArrayInTable(Common_SourceData.Common_SourceData_ClimateZones_Data(), Table_SourceData_ClimateZones[[#Headers],[Climate zone]], 0)</f>
        <v>10</v>
      </c>
      <c r="L96" s="35" cm="1">
        <f t="array" ref="L96">Common_InputFunctions.Utility_DisplayArrayInTable(Common_SourceData.Common_SourceData_ClimateZones_Data(), Table_SourceData_ClimateZones[[#Headers],[Climate zone]], 0)</f>
        <v>-999999</v>
      </c>
      <c r="M96" s="35" cm="1">
        <f t="array" ref="M96">Common_InputFunctions.Utility_DisplayArrayInTable(Common_SourceData.Common_SourceData_ClimateZones_Data(), Table_SourceData_ClimateZones[[#Headers],[Climate zone]], 0)</f>
        <v>999999</v>
      </c>
      <c r="N96" s="35" cm="1">
        <f t="array" ref="N96">Common_InputFunctions.Utility_DisplayArrayInTable(Common_SourceData.Common_SourceData_ClimateZones_Data(), Table_SourceData_ClimateZones[[#Headers],[Climate zone]], 0)</f>
        <v>-999999</v>
      </c>
      <c r="O96" s="35" cm="1">
        <f t="array" ref="O96">Common_InputFunctions.Utility_DisplayArrayInTable(Common_SourceData.Common_SourceData_ClimateZones_Data(), Table_SourceData_ClimateZones[[#Headers],[Climate zone]], 0)</f>
        <v>999999</v>
      </c>
      <c r="P96" s="35" cm="1">
        <f t="array" ref="P96">Common_InputFunctions.Utility_DisplayArrayInTable(Common_SourceData.Common_SourceData_ClimateZones_Data(), Table_SourceData_ClimateZones[[#Headers],[Climate zone]], 0)</f>
        <v>-999999</v>
      </c>
      <c r="Q96" s="35" cm="1">
        <f t="array" ref="Q96">Common_InputFunctions.Utility_DisplayArrayInTable(Common_SourceData.Common_SourceData_ClimateZones_Data(), Table_SourceData_ClimateZones[[#Headers],[Climate zone]], 0)</f>
        <v>999999</v>
      </c>
      <c r="R96" s="35" cm="1">
        <f t="array" ref="R96">Common_InputFunctions.Utility_DisplayArrayInTable(Common_SourceData.Common_SourceData_ClimateZones_Data(), Table_SourceData_ClimateZones[[#Headers],[Climate zone]], 0)</f>
        <v>1.0009999999999999</v>
      </c>
      <c r="S96" s="35" cm="1">
        <f t="array" ref="S96">Common_InputFunctions.Utility_DisplayArrayInTable(Common_SourceData.Common_SourceData_ClimateZones_Data(), Table_SourceData_ClimateZones[[#Headers],[Climate zone]], 0)</f>
        <v>999999</v>
      </c>
      <c r="T96" s="35"/>
    </row>
    <row r="97" spans="1:20" ht="20.100000000000001" customHeight="1" x14ac:dyDescent="0.25">
      <c r="A97"/>
      <c r="D97" s="35" t="str" cm="1">
        <f t="array" ref="D97">Common_InputFunctions.Utility_DisplayArrayInTable(Common_SourceData.Common_SourceData_ClimateZones_Data(), Table_SourceData_ClimateZones[[#Headers],[Climate zone]], 0)</f>
        <v>Cool temperate dry</v>
      </c>
      <c r="E97" s="35" t="str" cm="1">
        <f t="array" ref="E97">Common_InputFunctions.Utility_DisplayArrayInTable(Common_SourceData.Common_SourceData_ClimateZones_Data(), Table_SourceData_ClimateZones[[#Headers],[Climate zone]], 0)</f>
        <v>&gt; 0 C - ≤ 10 C</v>
      </c>
      <c r="F97" s="35" t="str" cm="1">
        <f t="array" ref="F97">Common_InputFunctions.Utility_DisplayArrayInTable(Common_SourceData.Common_SourceData_ClimateZones_Data(), Table_SourceData_ClimateZones[[#Headers],[Climate zone]], 0)</f>
        <v>Any</v>
      </c>
      <c r="G97" s="35" t="str" cm="1">
        <f t="array" ref="G97">Common_InputFunctions.Utility_DisplayArrayInTable(Common_SourceData.Common_SourceData_ClimateZones_Data(), Table_SourceData_ClimateZones[[#Headers],[Climate zone]], 0)</f>
        <v>Any</v>
      </c>
      <c r="H97" s="35" t="str" cm="1">
        <f t="array" ref="H97">Common_InputFunctions.Utility_DisplayArrayInTable(Common_SourceData.Common_SourceData_ClimateZones_Data(), Table_SourceData_ClimateZones[[#Headers],[Climate zone]], 0)</f>
        <v>Any</v>
      </c>
      <c r="I97" s="35" t="str" cm="1">
        <f t="array" ref="I97">Common_InputFunctions.Utility_DisplayArrayInTable(Common_SourceData.Common_SourceData_ClimateZones_Data(), Table_SourceData_ClimateZones[[#Headers],[Climate zone]], 0)</f>
        <v>≤ 1</v>
      </c>
      <c r="J97" s="35" cm="1">
        <f t="array" ref="J97">Common_InputFunctions.Utility_DisplayArrayInTable(Common_SourceData.Common_SourceData_ClimateZones_Data(), Table_SourceData_ClimateZones[[#Headers],[Climate zone]], 0)</f>
        <v>-999999</v>
      </c>
      <c r="K97" s="35" cm="1">
        <f t="array" ref="K97">Common_InputFunctions.Utility_DisplayArrayInTable(Common_SourceData.Common_SourceData_ClimateZones_Data(), Table_SourceData_ClimateZones[[#Headers],[Climate zone]], 0)</f>
        <v>10</v>
      </c>
      <c r="L97" s="35" cm="1">
        <f t="array" ref="L97">Common_InputFunctions.Utility_DisplayArrayInTable(Common_SourceData.Common_SourceData_ClimateZones_Data(), Table_SourceData_ClimateZones[[#Headers],[Climate zone]], 0)</f>
        <v>-999999</v>
      </c>
      <c r="M97" s="35" cm="1">
        <f t="array" ref="M97">Common_InputFunctions.Utility_DisplayArrayInTable(Common_SourceData.Common_SourceData_ClimateZones_Data(), Table_SourceData_ClimateZones[[#Headers],[Climate zone]], 0)</f>
        <v>999999</v>
      </c>
      <c r="N97" s="35" cm="1">
        <f t="array" ref="N97">Common_InputFunctions.Utility_DisplayArrayInTable(Common_SourceData.Common_SourceData_ClimateZones_Data(), Table_SourceData_ClimateZones[[#Headers],[Climate zone]], 0)</f>
        <v>-999999</v>
      </c>
      <c r="O97" s="35" cm="1">
        <f t="array" ref="O97">Common_InputFunctions.Utility_DisplayArrayInTable(Common_SourceData.Common_SourceData_ClimateZones_Data(), Table_SourceData_ClimateZones[[#Headers],[Climate zone]], 0)</f>
        <v>999999</v>
      </c>
      <c r="P97" s="35" cm="1">
        <f t="array" ref="P97">Common_InputFunctions.Utility_DisplayArrayInTable(Common_SourceData.Common_SourceData_ClimateZones_Data(), Table_SourceData_ClimateZones[[#Headers],[Climate zone]], 0)</f>
        <v>-999999</v>
      </c>
      <c r="Q97" s="35" cm="1">
        <f t="array" ref="Q97">Common_InputFunctions.Utility_DisplayArrayInTable(Common_SourceData.Common_SourceData_ClimateZones_Data(), Table_SourceData_ClimateZones[[#Headers],[Climate zone]], 0)</f>
        <v>999999</v>
      </c>
      <c r="R97" s="35" cm="1">
        <f t="array" ref="R97">Common_InputFunctions.Utility_DisplayArrayInTable(Common_SourceData.Common_SourceData_ClimateZones_Data(), Table_SourceData_ClimateZones[[#Headers],[Climate zone]], 0)</f>
        <v>-999999</v>
      </c>
      <c r="S97" s="35" cm="1">
        <f t="array" ref="S97">Common_InputFunctions.Utility_DisplayArrayInTable(Common_SourceData.Common_SourceData_ClimateZones_Data(), Table_SourceData_ClimateZones[[#Headers],[Climate zone]], 0)</f>
        <v>1</v>
      </c>
      <c r="T97" s="35"/>
    </row>
    <row r="98" spans="1:20" ht="20.100000000000001" customHeight="1" x14ac:dyDescent="0.25">
      <c r="A98"/>
    </row>
    <row r="99" spans="1:20" ht="20.100000000000001" customHeight="1" x14ac:dyDescent="0.25">
      <c r="A99"/>
      <c r="D99" s="51" t="str" cm="1">
        <f t="array" ref="D99:D102">Common_SourceData.Common_SourceData_ClimateZones_Appendices()</f>
        <v>Note:</v>
      </c>
    </row>
    <row r="100" spans="1:20" ht="20.100000000000001" customHeight="1" x14ac:dyDescent="0.25">
      <c r="A100"/>
      <c r="D100" s="51" t="str">
        <v>MAT = mean annual temperature</v>
      </c>
    </row>
    <row r="101" spans="1:20" ht="20.100000000000001" customHeight="1" x14ac:dyDescent="0.25">
      <c r="A101"/>
      <c r="D101" s="51" t="str">
        <v>MAP = mean annual precipitation</v>
      </c>
    </row>
    <row r="102" spans="1:20" ht="20.100000000000001" customHeight="1" x14ac:dyDescent="0.25">
      <c r="A102"/>
      <c r="D102" s="51" t="str">
        <v>PET = potential evapotranspiration</v>
      </c>
    </row>
    <row r="103" spans="1:20" ht="20.100000000000001" customHeight="1" x14ac:dyDescent="0.25">
      <c r="A103"/>
      <c r="D103" s="51"/>
    </row>
    <row r="104" spans="1:20" ht="20.100000000000001" customHeight="1" x14ac:dyDescent="0.25">
      <c r="A104"/>
    </row>
    <row r="105" spans="1:20" ht="20.100000000000001" customHeight="1" x14ac:dyDescent="0.25">
      <c r="A105"/>
      <c r="D105" s="6" t="str" cm="1">
        <f t="array" ref="D105">Common_SourceData.Common_SourceData_TemperatureZones_Title()</f>
        <v>VEERG Australian temperature zones</v>
      </c>
    </row>
    <row r="106" spans="1:20" ht="20.100000000000001" customHeight="1" x14ac:dyDescent="0.25">
      <c r="A106"/>
      <c r="D106" s="5" t="str" cm="1">
        <f t="array" ref="D106">Common_SourceData.Common_SourceData_TemperatureZones_Source()</f>
        <v>VEERG 2026: Table 1.3: Climate and Rainfall zone classifications and definitions</v>
      </c>
    </row>
    <row r="107" spans="1:20" ht="20.100000000000001" customHeight="1" x14ac:dyDescent="0.25">
      <c r="A107"/>
      <c r="D107" s="52" t="str" cm="1">
        <f t="array" ref="D107">"⚠️" &amp; Common_SourceData.Common_SourceData_TemperatureZones_Variation()</f>
        <v>⚠️VARIATION OF SOURCE DATA: Added extra MAT min and MAT max columns to calculate zone from real temperature data.</v>
      </c>
    </row>
    <row r="108" spans="1:20" ht="20.100000000000001" customHeight="1" x14ac:dyDescent="0.25">
      <c r="A108"/>
    </row>
    <row r="109" spans="1:20" ht="20.100000000000001" customHeight="1" x14ac:dyDescent="0.25">
      <c r="A109"/>
      <c r="D109" s="35" t="s">
        <v>47</v>
      </c>
      <c r="E109" s="35" t="s">
        <v>29</v>
      </c>
      <c r="F109" s="35" t="s">
        <v>48</v>
      </c>
      <c r="G109" s="35" t="s">
        <v>49</v>
      </c>
    </row>
    <row r="110" spans="1:20" ht="20.100000000000001" customHeight="1" x14ac:dyDescent="0.25">
      <c r="A110"/>
      <c r="D110" s="35" t="str" cm="1">
        <f t="array" ref="D110">Common_InputFunctions.Utility_DisplayArrayInTable(Common_SourceData.Common_SourceData_TemperatureZones_Data(),Table_SourceData_TemperatureZones[[#Headers],[Temperature Zone]],0)</f>
        <v>Warm</v>
      </c>
      <c r="E110" s="35" t="str" cm="1">
        <f t="array" ref="E110">Common_InputFunctions.Utility_DisplayArrayInTable(Common_SourceData.Common_SourceData_TemperatureZones_Data(),Table_SourceData_TemperatureZones[[#Headers],[Temperature Zone]],0)</f>
        <v>≥ 26 C</v>
      </c>
      <c r="F110" s="35" cm="1">
        <f t="array" ref="F110">Common_InputFunctions.Utility_DisplayArrayInTable(Common_SourceData.Common_SourceData_TemperatureZones_Data(),Table_SourceData_TemperatureZones[[#Headers],[Temperature Zone]],0)</f>
        <v>26</v>
      </c>
      <c r="G110" s="35" cm="1">
        <f t="array" ref="G110">Common_InputFunctions.Utility_DisplayArrayInTable(Common_SourceData.Common_SourceData_TemperatureZones_Data(),Table_SourceData_TemperatureZones[[#Headers],[Temperature Zone]],0)</f>
        <v>999999</v>
      </c>
    </row>
    <row r="111" spans="1:20" ht="20.100000000000001" customHeight="1" x14ac:dyDescent="0.25">
      <c r="A111"/>
      <c r="D111" s="35" t="str" cm="1">
        <f t="array" ref="D111">Common_InputFunctions.Utility_DisplayArrayInTable(Common_SourceData.Common_SourceData_TemperatureZones_Data(),Table_SourceData_TemperatureZones[[#Headers],[Temperature Zone]],0)</f>
        <v>Temperate</v>
      </c>
      <c r="E111" s="35" t="str" cm="1">
        <f t="array" ref="E111">Common_InputFunctions.Utility_DisplayArrayInTable(Common_SourceData.Common_SourceData_TemperatureZones_Data(),Table_SourceData_TemperatureZones[[#Headers],[Temperature Zone]],0)</f>
        <v>15 - 25 C</v>
      </c>
      <c r="F111" s="35" cm="1">
        <f t="array" ref="F111">Common_InputFunctions.Utility_DisplayArrayInTable(Common_SourceData.Common_SourceData_TemperatureZones_Data(),Table_SourceData_TemperatureZones[[#Headers],[Temperature Zone]],0)</f>
        <v>15</v>
      </c>
      <c r="G111" s="35" cm="1">
        <f t="array" ref="G111">Common_InputFunctions.Utility_DisplayArrayInTable(Common_SourceData.Common_SourceData_TemperatureZones_Data(),Table_SourceData_TemperatureZones[[#Headers],[Temperature Zone]],0)</f>
        <v>25.998999999999999</v>
      </c>
    </row>
    <row r="112" spans="1:20" ht="20.100000000000001" customHeight="1" x14ac:dyDescent="0.25">
      <c r="A112"/>
      <c r="D112" s="35" t="str" cm="1">
        <f t="array" ref="D112">Common_InputFunctions.Utility_DisplayArrayInTable(Common_SourceData.Common_SourceData_TemperatureZones_Data(),Table_SourceData_TemperatureZones[[#Headers],[Temperature Zone]],0)</f>
        <v>Cool</v>
      </c>
      <c r="E112" s="35" t="str" cm="1">
        <f t="array" ref="E112">Common_InputFunctions.Utility_DisplayArrayInTable(Common_SourceData.Common_SourceData_TemperatureZones_Data(),Table_SourceData_TemperatureZones[[#Headers],[Temperature Zone]],0)</f>
        <v>≤ 14 C</v>
      </c>
      <c r="F112" s="35" cm="1">
        <f t="array" ref="F112">Common_InputFunctions.Utility_DisplayArrayInTable(Common_SourceData.Common_SourceData_TemperatureZones_Data(),Table_SourceData_TemperatureZones[[#Headers],[Temperature Zone]],0)</f>
        <v>-999999</v>
      </c>
      <c r="G112" s="35" cm="1">
        <f t="array" ref="G112">Common_InputFunctions.Utility_DisplayArrayInTable(Common_SourceData.Common_SourceData_TemperatureZones_Data(),Table_SourceData_TemperatureZones[[#Headers],[Temperature Zone]],0)</f>
        <v>14.999000000000001</v>
      </c>
    </row>
    <row r="113" spans="1:66" ht="20.100000000000001" customHeight="1" x14ac:dyDescent="0.25">
      <c r="A113"/>
    </row>
    <row r="114" spans="1:66" ht="20.100000000000001" customHeight="1" x14ac:dyDescent="0.25">
      <c r="A114"/>
    </row>
    <row r="115" spans="1:66" ht="20.100000000000001" customHeight="1" x14ac:dyDescent="0.25">
      <c r="A115"/>
      <c r="D115" s="6" t="str" cm="1">
        <f t="array" ref="D115">Common_SourceData.Common_SourceData_RainfallZones_Title()</f>
        <v>VEERG Australian rainfall zones</v>
      </c>
      <c r="BN115" s="7"/>
    </row>
    <row r="116" spans="1:66" ht="20.100000000000001" customHeight="1" x14ac:dyDescent="0.25">
      <c r="A116"/>
      <c r="D116" s="5" t="str" cm="1">
        <f t="array" ref="D116">Common_SourceData.Common_SourceData_RainfallZones_Source()</f>
        <v>VEERG 2026: Table 1.3: Climate and Rainfall zone classifications and definitions</v>
      </c>
      <c r="BN116" s="7"/>
    </row>
    <row r="117" spans="1:66" ht="20.100000000000001" customHeight="1" x14ac:dyDescent="0.25">
      <c r="A117"/>
      <c r="D117" s="52" t="str" cm="1">
        <f t="array" ref="D117">"⚠️" &amp; Common_SourceData.Common_SourceData_RainfallZones_Variation()</f>
        <v>⚠️VARIATION OF SOURCE DATA: Added extra Rainfall min and Rainfall max columns to calculate zone from real rainfall data.</v>
      </c>
      <c r="BN117" s="7"/>
    </row>
    <row r="118" spans="1:66" ht="20.100000000000001" customHeight="1" x14ac:dyDescent="0.25">
      <c r="A118"/>
      <c r="BN118" s="7"/>
    </row>
    <row r="119" spans="1:66" ht="20.100000000000001" customHeight="1" x14ac:dyDescent="0.25">
      <c r="A119"/>
      <c r="D119" s="35" t="s">
        <v>50</v>
      </c>
      <c r="E119" s="35" t="s">
        <v>51</v>
      </c>
      <c r="F119" s="35" t="s">
        <v>36</v>
      </c>
      <c r="G119" s="35" t="s">
        <v>37</v>
      </c>
      <c r="BN119" s="7"/>
    </row>
    <row r="120" spans="1:66" ht="20.100000000000001" customHeight="1" x14ac:dyDescent="0.25">
      <c r="A120"/>
      <c r="D120" s="35" t="str" cm="1">
        <f t="array" ref="D120">Common_InputFunctions.Utility_DisplayArrayInTable(Common_SourceData.Common_SourceData_RainfallZones_Data(),Table_SourceData_RainfallZones[[#Headers],[Rainfall Zone]],0)</f>
        <v>High rainfall</v>
      </c>
      <c r="E120" s="35" t="str" cm="1">
        <f t="array" ref="E120">Common_InputFunctions.Utility_DisplayArrayInTable(Common_SourceData.Common_SourceData_RainfallZones_Data(),Table_SourceData_RainfallZones[[#Headers],[Rainfall Zone]],0)</f>
        <v>Annual rainfall &gt; 600mm</v>
      </c>
      <c r="F120" s="35" cm="1">
        <f t="array" ref="F120">Common_InputFunctions.Utility_DisplayArrayInTable(Common_SourceData.Common_SourceData_RainfallZones_Data(),Table_SourceData_RainfallZones[[#Headers],[Rainfall Zone]],0)</f>
        <v>600.00099999999998</v>
      </c>
      <c r="G120" s="35" cm="1">
        <f t="array" ref="G120">Common_InputFunctions.Utility_DisplayArrayInTable(Common_SourceData.Common_SourceData_RainfallZones_Data(),Table_SourceData_RainfallZones[[#Headers],[Rainfall Zone]],0)</f>
        <v>999999</v>
      </c>
      <c r="BN120" s="7"/>
    </row>
    <row r="121" spans="1:66" ht="20.100000000000001" customHeight="1" x14ac:dyDescent="0.25">
      <c r="A121"/>
      <c r="D121" s="35" t="str" cm="1">
        <f t="array" ref="D121">Common_InputFunctions.Utility_DisplayArrayInTable(Common_SourceData.Common_SourceData_RainfallZones_Data(),Table_SourceData_RainfallZones[[#Headers],[Rainfall Zone]],0)</f>
        <v>Low rainfall</v>
      </c>
      <c r="E121" s="35" t="str" cm="1">
        <f t="array" ref="E121">Common_InputFunctions.Utility_DisplayArrayInTable(Common_SourceData.Common_SourceData_RainfallZones_Data(),Table_SourceData_RainfallZones[[#Headers],[Rainfall Zone]],0)</f>
        <v>Annual rainfall ≤ 600mm</v>
      </c>
      <c r="F121" s="35" cm="1">
        <f t="array" ref="F121">Common_InputFunctions.Utility_DisplayArrayInTable(Common_SourceData.Common_SourceData_RainfallZones_Data(),Table_SourceData_RainfallZones[[#Headers],[Rainfall Zone]],0)</f>
        <v>-999999</v>
      </c>
      <c r="G121" s="35" cm="1">
        <f t="array" ref="G121">Common_InputFunctions.Utility_DisplayArrayInTable(Common_SourceData.Common_SourceData_RainfallZones_Data(),Table_SourceData_RainfallZones[[#Headers],[Rainfall Zone]],0)</f>
        <v>600</v>
      </c>
      <c r="BN121" s="7"/>
    </row>
    <row r="122" spans="1:66" ht="20.100000000000001" customHeight="1" x14ac:dyDescent="0.25">
      <c r="A122"/>
      <c r="BN122" s="7"/>
    </row>
    <row r="123" spans="1:66" ht="20.100000000000001" customHeight="1" x14ac:dyDescent="0.25">
      <c r="A123"/>
    </row>
    <row r="124" spans="1:66" ht="20.100000000000001" customHeight="1" x14ac:dyDescent="0.25">
      <c r="A124"/>
      <c r="D124" s="6" t="str" cm="1">
        <f t="array" ref="D124">Common_SourceData.Common_SourceData_LeachingZones_Title()</f>
        <v>VEERG Australian leaching zones</v>
      </c>
    </row>
    <row r="125" spans="1:66" ht="20.100000000000001" customHeight="1" x14ac:dyDescent="0.25">
      <c r="A125"/>
      <c r="D125" s="5" t="str" cm="1">
        <f t="array" ref="D125">Common_SourceData.Common_SourceData_LeachingZones_Source()</f>
        <v>VEERG 2026: Table 1.3: Climate and Rainfall zone classifications and definitions</v>
      </c>
    </row>
    <row r="126" spans="1:66" ht="20.100000000000001" customHeight="1" x14ac:dyDescent="0.25">
      <c r="A126"/>
    </row>
    <row r="127" spans="1:66" ht="20.100000000000001" customHeight="1" x14ac:dyDescent="0.25">
      <c r="A127"/>
      <c r="D127" s="35" t="s">
        <v>52</v>
      </c>
      <c r="E127" s="35" t="s">
        <v>53</v>
      </c>
    </row>
    <row r="128" spans="1:66" ht="20.100000000000001" customHeight="1" x14ac:dyDescent="0.25">
      <c r="A128"/>
      <c r="D128" s="35" t="str" cm="1">
        <f t="array" ref="D128">Common_InputFunctions.Utility_DisplayArrayInTable(Common_SourceData.Common_SourceData_LeachingZones_Data(), Table_SourceData_LeachingZones[[#Headers],[Leaching Zone]], 0)</f>
        <v>Leaching occurs</v>
      </c>
      <c r="E128" s="35" t="str" cm="1">
        <f t="array" ref="E128">Common_InputFunctions.Utility_DisplayArrayInTable(Common_SourceData.Common_SourceData_LeachingZones_Data(), Table_SourceData_LeachingZones[[#Headers],[Leaching Zone]], 0)</f>
        <v>Σ(𝑟𝑎𝑖𝑛)&gt;Σ(𝐸𝑇0)+𝑠𝑜𝑖𝑙 𝑤𝑎𝑡𝑒𝑟 ℎ𝑜𝑙𝑑𝑖𝑛𝑔 𝑐𝑎𝑝𝑎𝑐𝑖𝑡𝑦</v>
      </c>
    </row>
    <row r="129" spans="1:77" ht="20.100000000000001" customHeight="1" x14ac:dyDescent="0.25">
      <c r="A129"/>
      <c r="D129" s="35" t="str" cm="1">
        <f t="array" ref="D129">Common_InputFunctions.Utility_DisplayArrayInTable(Common_SourceData.Common_SourceData_LeachingZones_Data(), Table_SourceData_LeachingZones[[#Headers],[Leaching Zone]], 0)</f>
        <v>Leaching does not occur</v>
      </c>
      <c r="E129" s="35" t="str" cm="1">
        <f t="array" ref="E129">Common_InputFunctions.Utility_DisplayArrayInTable(Common_SourceData.Common_SourceData_LeachingZones_Data(), Table_SourceData_LeachingZones[[#Headers],[Leaching Zone]], 0)</f>
        <v>Σ(𝑟𝑎𝑖𝑛)≤Σ(𝐸𝑇0)+𝑠𝑜𝑖𝑙 𝑤𝑎𝑡𝑒𝑟 ℎ𝑜𝑙𝑑𝑖𝑛𝑔 𝑐𝑎𝑝𝑎𝑐𝑖𝑡𝑦</v>
      </c>
    </row>
    <row r="130" spans="1:77" ht="20.100000000000001" customHeight="1" x14ac:dyDescent="0.25">
      <c r="A130"/>
    </row>
    <row r="131" spans="1:77" ht="20.100000000000001" customHeight="1" x14ac:dyDescent="0.25">
      <c r="A131"/>
    </row>
    <row r="132" spans="1:77" ht="20.100000000000001" customHeight="1" x14ac:dyDescent="0.25">
      <c r="A132"/>
      <c r="D132" s="6" t="str" cm="1">
        <f t="array" ref="D132">Common_SourceData.Common_SourceData_FracWET_Title()</f>
        <v>Fraction of N that is available for leaching and runoff</v>
      </c>
      <c r="E132" s="21"/>
    </row>
    <row r="133" spans="1:77" ht="20.100000000000001" customHeight="1" x14ac:dyDescent="0.25">
      <c r="A133"/>
      <c r="D133" s="5" t="str" cm="1">
        <f t="array" ref="D133">Common_SourceData.Common_SourceData_FracWET_Source()</f>
        <v>VEERG 2026:5.5.2.3 Constant Parameters</v>
      </c>
      <c r="E133" s="21"/>
    </row>
    <row r="134" spans="1:77" ht="20.100000000000001" customHeight="1" x14ac:dyDescent="0.25">
      <c r="A134"/>
      <c r="D134" t="s">
        <v>75</v>
      </c>
      <c r="E134" t="s">
        <v>76</v>
      </c>
    </row>
    <row r="135" spans="1:77" ht="20.100000000000001" customHeight="1" x14ac:dyDescent="0.25">
      <c r="A135"/>
      <c r="D135" t="str" cm="1">
        <f t="array" ref="D135">Common_InputFunctions.Utility_DisplayArrayInTable(Common_SourceData.Common_SourceData_FracWET_Data(),Table_SourceData_FracWET[[#Headers],[Is in leaching zone]],0)</f>
        <v>Yes - in leaching zone</v>
      </c>
      <c r="E135" cm="1">
        <f t="array" ref="E135">Common_InputFunctions.Utility_DisplayArrayInTable(Common_SourceData.Common_SourceData_FracWET_Data(),Table_SourceData_FracWET[[#Headers],[Is in leaching zone]],0)</f>
        <v>1</v>
      </c>
    </row>
    <row r="136" spans="1:77" ht="20.100000000000001" customHeight="1" x14ac:dyDescent="0.25">
      <c r="A136"/>
      <c r="D136" s="1" t="str" cm="1">
        <f t="array" ref="D136">Common_InputFunctions.Utility_DisplayArrayInTable(Common_SourceData.Common_SourceData_FracWET_Data(),Table_SourceData_FracWET[[#Headers],[Is in leaching zone]],0)</f>
        <v>No - not in leaching zone</v>
      </c>
      <c r="E136" s="35" cm="1">
        <f t="array" ref="E136">Common_InputFunctions.Utility_DisplayArrayInTable(Common_SourceData.Common_SourceData_FracWET_Data(),Table_SourceData_FracWET[[#Headers],[Is in leaching zone]],0)</f>
        <v>0</v>
      </c>
    </row>
    <row r="137" spans="1:77" ht="20.100000000000001" customHeight="1" x14ac:dyDescent="0.25">
      <c r="A137"/>
    </row>
    <row r="138" spans="1:77" ht="20.100000000000001" customHeight="1" x14ac:dyDescent="0.25">
      <c r="A138"/>
      <c r="BN138" s="7"/>
      <c r="BO138" s="7"/>
      <c r="BP138" s="7"/>
      <c r="BQ138" s="7"/>
      <c r="BR138" s="7"/>
      <c r="BS138" s="7"/>
      <c r="BT138" s="7"/>
      <c r="BU138" s="7"/>
      <c r="BV138" s="7"/>
      <c r="BW138" s="7"/>
      <c r="BX138" s="7"/>
      <c r="BY138" s="7"/>
    </row>
    <row r="139" spans="1:77" ht="20.100000000000001" customHeight="1" x14ac:dyDescent="0.25">
      <c r="A139"/>
      <c r="D139" s="6" t="str" cm="1">
        <f t="array" ref="D139">Common_SourceData.Common_SourceData_FracWETIrrigation_Title()</f>
        <v>FracWET for irrigation types</v>
      </c>
      <c r="BN139" s="7"/>
      <c r="BO139" s="7"/>
      <c r="BP139" s="7"/>
      <c r="BQ139" s="7"/>
      <c r="BR139" s="7"/>
      <c r="BS139" s="7"/>
      <c r="BT139" s="7"/>
      <c r="BU139" s="7"/>
      <c r="BV139" s="7"/>
      <c r="BW139" s="7"/>
      <c r="BX139" s="7"/>
      <c r="BY139" s="7"/>
    </row>
    <row r="140" spans="1:77" ht="20.100000000000001" customHeight="1" x14ac:dyDescent="0.25">
      <c r="A140"/>
      <c r="D140" s="5" t="str" cm="1">
        <f t="array" ref="D140">Common_SourceData.Common_SourceData_FracWETIrrigation_Source()</f>
        <v>VEERG 2026: Chapter 1, section 1.8.2 Leaching, climate and rainfall zones</v>
      </c>
      <c r="BN140" s="7"/>
      <c r="BO140" s="7"/>
      <c r="BP140" s="7"/>
      <c r="BQ140" s="7"/>
      <c r="BR140" s="7"/>
      <c r="BS140" s="7"/>
      <c r="BT140" s="7"/>
      <c r="BU140" s="7"/>
      <c r="BV140" s="7"/>
      <c r="BW140" s="7"/>
      <c r="BX140" s="7"/>
      <c r="BY140" s="7"/>
    </row>
    <row r="141" spans="1:77" ht="20.100000000000001" customHeight="1" x14ac:dyDescent="0.25">
      <c r="A141"/>
      <c r="D141" s="52" t="str" cm="1">
        <f t="array" ref="D141">Common_SourceData.Common_SourceData_FracWETIrrigation_Variation()</f>
        <v>VARIATION FROM SOURCE DATA: Table created based on VEERG text 'Areas are subject to leaching (i.e., in the leaching zone) when... the land is irrigated (except drip irrigation).'</v>
      </c>
      <c r="BN141" s="7"/>
    </row>
    <row r="142" spans="1:77" ht="20.100000000000001" customHeight="1" x14ac:dyDescent="0.25">
      <c r="A142"/>
      <c r="D142" s="35" t="s">
        <v>118</v>
      </c>
      <c r="E142" s="35" t="s">
        <v>76</v>
      </c>
      <c r="BN142" s="7"/>
    </row>
    <row r="143" spans="1:77" ht="20.100000000000001" customHeight="1" x14ac:dyDescent="0.25">
      <c r="A143"/>
      <c r="D143" s="35" t="str" cm="1">
        <f t="array" ref="D143">Common_InputFunctions.Utility_DisplayArrayInTable(Common_SourceData.Common_SourceData_FracWETIrrigation_Data(), Table_SourceData_FracWETIrrigation[[#Headers],[Irrigation type i]], 0)</f>
        <v>Not irrigated</v>
      </c>
      <c r="E143" s="35" cm="1">
        <f t="array" ref="E143">Common_InputFunctions.Utility_DisplayArrayInTable(Common_SourceData.Common_SourceData_FracWETIrrigation_Data(), Table_SourceData_FracWETIrrigation[[#Headers],[Irrigation type i]], 0)</f>
        <v>0</v>
      </c>
      <c r="BN143" s="7"/>
    </row>
    <row r="144" spans="1:77" ht="20.100000000000001" customHeight="1" x14ac:dyDescent="0.25">
      <c r="A144"/>
      <c r="D144" s="1" t="str" cm="1">
        <f t="array" ref="D144">Common_InputFunctions.Utility_DisplayArrayInTable(Common_SourceData.Common_SourceData_FracWETIrrigation_Data(), Table_SourceData_FracWETIrrigation[[#Headers],[Irrigation type i]], 0)</f>
        <v>Drip irrigation</v>
      </c>
      <c r="E144" s="35" cm="1">
        <f t="array" ref="E144">Common_InputFunctions.Utility_DisplayArrayInTable(Common_SourceData.Common_SourceData_FracWETIrrigation_Data(), Table_SourceData_FracWETIrrigation[[#Headers],[Irrigation type i]], 0)</f>
        <v>0</v>
      </c>
      <c r="BN144" s="7"/>
    </row>
    <row r="145" spans="1:66" ht="20.100000000000001" customHeight="1" x14ac:dyDescent="0.25">
      <c r="A145"/>
      <c r="D145" s="1" t="str" cm="1">
        <f t="array" ref="D145">Common_InputFunctions.Utility_DisplayArrayInTable(Common_SourceData.Common_SourceData_FracWETIrrigation_Data(), Table_SourceData_FracWETIrrigation[[#Headers],[Irrigation type i]], 0)</f>
        <v>Sprinkler irrigation</v>
      </c>
      <c r="E145" s="35" cm="1">
        <f t="array" ref="E145">Common_InputFunctions.Utility_DisplayArrayInTable(Common_SourceData.Common_SourceData_FracWETIrrigation_Data(), Table_SourceData_FracWETIrrigation[[#Headers],[Irrigation type i]], 0)</f>
        <v>1</v>
      </c>
      <c r="BN145" s="7"/>
    </row>
    <row r="146" spans="1:66" ht="20.100000000000001" customHeight="1" x14ac:dyDescent="0.25">
      <c r="A146"/>
      <c r="D146" s="1" t="str" cm="1">
        <f t="array" ref="D146">Common_InputFunctions.Utility_DisplayArrayInTable(Common_SourceData.Common_SourceData_FracWETIrrigation_Data(), Table_SourceData_FracWETIrrigation[[#Headers],[Irrigation type i]], 0)</f>
        <v>Surface irrigation</v>
      </c>
      <c r="E146" s="35" cm="1">
        <f t="array" ref="E146">Common_InputFunctions.Utility_DisplayArrayInTable(Common_SourceData.Common_SourceData_FracWETIrrigation_Data(), Table_SourceData_FracWETIrrigation[[#Headers],[Irrigation type i]], 0)</f>
        <v>1</v>
      </c>
      <c r="BN146" s="7"/>
    </row>
    <row r="147" spans="1:66" ht="20.100000000000001" customHeight="1" x14ac:dyDescent="0.25">
      <c r="A147"/>
      <c r="D147" s="1" t="str" cm="1">
        <f t="array" ref="D147">Common_InputFunctions.Utility_DisplayArrayInTable(Common_SourceData.Common_SourceData_FracWETIrrigation_Data(), Table_SourceData_FracWETIrrigation[[#Headers],[Irrigation type i]], 0)</f>
        <v>Other irrigation</v>
      </c>
      <c r="E147" s="35" cm="1">
        <f t="array" ref="E147">Common_InputFunctions.Utility_DisplayArrayInTable(Common_SourceData.Common_SourceData_FracWETIrrigation_Data(), Table_SourceData_FracWETIrrigation[[#Headers],[Irrigation type i]], 0)</f>
        <v>1</v>
      </c>
      <c r="BN147" s="7"/>
    </row>
    <row r="148" spans="1:66" ht="20.100000000000001" customHeight="1" x14ac:dyDescent="0.25">
      <c r="A148"/>
      <c r="BN148" s="7"/>
    </row>
    <row r="149" spans="1:66" ht="20.100000000000001" customHeight="1" x14ac:dyDescent="0.25">
      <c r="A149"/>
      <c r="BN149" s="7"/>
    </row>
    <row r="150" spans="1:66" ht="20.100000000000001" customHeight="1" x14ac:dyDescent="0.25">
      <c r="A150"/>
      <c r="D150" s="6" t="str" cm="1">
        <f t="array" ref="D150">Common_SourceData.Common_SourceData_DataScores_Scope3_Title()</f>
        <v>Australian data scores for scope 3</v>
      </c>
      <c r="BN150" s="7"/>
    </row>
    <row r="151" spans="1:66" ht="20.100000000000001" customHeight="1" x14ac:dyDescent="0.25">
      <c r="A151"/>
      <c r="D151" s="5" t="str" cm="1">
        <f t="array" ref="D151">Common_SourceData.Common_SourceData_DataScores_Scope3_Source()</f>
        <v>VEERG 2026: XXXXXXXX</v>
      </c>
      <c r="BN151" s="7"/>
    </row>
    <row r="152" spans="1:66" ht="20.100000000000001" customHeight="1" x14ac:dyDescent="0.25">
      <c r="A152"/>
      <c r="BN152" s="7"/>
    </row>
    <row r="153" spans="1:66" ht="20.100000000000001" customHeight="1" x14ac:dyDescent="0.25">
      <c r="A153"/>
      <c r="D153" s="35" t="s">
        <v>54</v>
      </c>
      <c r="E153" s="35" t="s">
        <v>55</v>
      </c>
      <c r="BC153" s="3"/>
      <c r="BD153" s="3"/>
      <c r="BE153" s="3"/>
      <c r="BF153" s="3"/>
      <c r="BG153" s="3"/>
      <c r="BH153" s="3"/>
      <c r="BI153" s="3"/>
      <c r="BJ153" s="3"/>
      <c r="BK153" s="3"/>
      <c r="BL153" s="3"/>
      <c r="BM153" s="3"/>
    </row>
    <row r="154" spans="1:66" ht="20.100000000000001" customHeight="1" x14ac:dyDescent="0.25">
      <c r="A154"/>
      <c r="D154" s="35" t="str" cm="1">
        <f t="array" ref="D154">Common_InputFunctions.Utility_DisplayArrayInTable(Common_SourceData.Common_SourceData_DataScores_Scope3_Data(), Table_SourceData_DataScores_Scope3[[#Headers],[Data source]], 0)</f>
        <v>International scope 3 database</v>
      </c>
      <c r="E154" s="35" cm="1">
        <f t="array" ref="E154">Common_InputFunctions.Utility_DisplayArrayInTable(Common_SourceData.Common_SourceData_DataScores_Scope3_Data(), Table_SourceData_DataScores_Scope3[[#Headers],[Data source]], 0)</f>
        <v>1</v>
      </c>
      <c r="BC154" s="3"/>
      <c r="BD154" s="3"/>
      <c r="BE154" s="3"/>
      <c r="BF154" s="3"/>
      <c r="BG154" s="3"/>
      <c r="BH154" s="3"/>
      <c r="BI154" s="3"/>
      <c r="BJ154" s="3"/>
      <c r="BK154" s="3"/>
      <c r="BL154" s="3"/>
      <c r="BM154" s="3"/>
    </row>
    <row r="155" spans="1:66" ht="20.100000000000001" customHeight="1" x14ac:dyDescent="0.25">
      <c r="A155"/>
      <c r="D155" s="35" t="str" cm="1">
        <f t="array" ref="D155">Common_InputFunctions.Utility_DisplayArrayInTable(Common_SourceData.Common_SourceData_DataScores_Scope3_Data(), Table_SourceData_DataScores_Scope3[[#Headers],[Data source]], 0)</f>
        <v>Australian scope 3 database</v>
      </c>
      <c r="E155" s="35" cm="1">
        <f t="array" ref="E155">Common_InputFunctions.Utility_DisplayArrayInTable(Common_SourceData.Common_SourceData_DataScores_Scope3_Data(), Table_SourceData_DataScores_Scope3[[#Headers],[Data source]], 0)</f>
        <v>2</v>
      </c>
      <c r="BC155" s="3"/>
      <c r="BD155" s="3"/>
      <c r="BE155" s="3"/>
      <c r="BF155" s="3"/>
      <c r="BG155" s="3"/>
      <c r="BH155" s="3"/>
      <c r="BI155" s="3"/>
      <c r="BJ155" s="3"/>
      <c r="BK155" s="3"/>
      <c r="BL155" s="3"/>
      <c r="BM155" s="3"/>
    </row>
    <row r="156" spans="1:66" ht="20.100000000000001" customHeight="1" x14ac:dyDescent="0.25">
      <c r="A156"/>
      <c r="D156" s="35" t="str" cm="1">
        <f t="array" ref="D156">Common_InputFunctions.Utility_DisplayArrayInTable(Common_SourceData.Common_SourceData_DataScores_Scope3_Data(), Table_SourceData_DataScores_Scope3[[#Headers],[Data source]], 0)</f>
        <v>State or regional scope 3 database</v>
      </c>
      <c r="E156" s="35" cm="1">
        <f t="array" ref="E156">Common_InputFunctions.Utility_DisplayArrayInTable(Common_SourceData.Common_SourceData_DataScores_Scope3_Data(), Table_SourceData_DataScores_Scope3[[#Headers],[Data source]], 0)</f>
        <v>3</v>
      </c>
    </row>
    <row r="157" spans="1:66" ht="20.100000000000001" customHeight="1" x14ac:dyDescent="0.25">
      <c r="A157"/>
      <c r="D157" s="35" t="str" cm="1">
        <f t="array" ref="D157">Common_InputFunctions.Utility_DisplayArrayInTable(Common_SourceData.Common_SourceData_DataScores_Scope3_Data(), Table_SourceData_DataScores_Scope3[[#Headers],[Data source]], 0)</f>
        <v>Emissions intensity calculated from approved method</v>
      </c>
      <c r="E157" s="35" cm="1">
        <f t="array" ref="E157">Common_InputFunctions.Utility_DisplayArrayInTable(Common_SourceData.Common_SourceData_DataScores_Scope3_Data(), Table_SourceData_DataScores_Scope3[[#Headers],[Data source]], 0)</f>
        <v>4</v>
      </c>
    </row>
    <row r="158" spans="1:66" ht="20.100000000000001" customHeight="1" x14ac:dyDescent="0.25">
      <c r="A158"/>
      <c r="D158" s="35" t="str" cm="1">
        <f t="array" ref="D158">Common_InputFunctions.Utility_DisplayArrayInTable(Common_SourceData.Common_SourceData_DataScores_Scope3_Data(), Table_SourceData_DataScores_Scope3[[#Headers],[Data source]], 0)</f>
        <v>Verified credential matching ISO14067</v>
      </c>
      <c r="E158" s="35" cm="1">
        <f t="array" ref="E158">Common_InputFunctions.Utility_DisplayArrayInTable(Common_SourceData.Common_SourceData_DataScores_Scope3_Data(), Table_SourceData_DataScores_Scope3[[#Headers],[Data source]], 0)</f>
        <v>5</v>
      </c>
    </row>
    <row r="159" spans="1:66" ht="20.100000000000001" customHeight="1" x14ac:dyDescent="0.25">
      <c r="A159"/>
    </row>
    <row r="160" spans="1:66" ht="20.100000000000001" customHeight="1" x14ac:dyDescent="0.25">
      <c r="A160"/>
    </row>
    <row r="161" spans="4:68" ht="20.100000000000001" customHeight="1" x14ac:dyDescent="0.25">
      <c r="D161" s="6" t="str" cm="1">
        <f t="array" ref="D161">Common_SourceData.Common_SourceData_FracLEACH_Title()</f>
        <v>Fraction of N that is available for leaching and runoff</v>
      </c>
      <c r="E161" s="21"/>
    </row>
    <row r="162" spans="4:68" ht="20.100000000000001" customHeight="1" x14ac:dyDescent="0.25">
      <c r="D162" s="5" t="str" cm="1">
        <f t="array" ref="D162">Common_SourceData.Common_SourceData_FracLEACH_Source()</f>
        <v>VEERG 2026:5.5.2.3 Constant Parameters</v>
      </c>
      <c r="E162" s="21"/>
    </row>
    <row r="163" spans="4:68" ht="20.100000000000001" customHeight="1" x14ac:dyDescent="0.25">
      <c r="D163" s="5" t="str" cm="1">
        <f t="array" ref="D163">Common_SourceData.Common_SourceData_FracLEACH_NIRReference()</f>
        <v>National Inventory Report Volume 1: Leaching and runoff (3.D.b.2)</v>
      </c>
      <c r="E163" s="21"/>
    </row>
    <row r="164" spans="4:68" ht="20.100000000000001" customHeight="1" x14ac:dyDescent="0.25">
      <c r="D164" s="21" t="str" cm="1">
        <f t="array" ref="D164:E164">Common_SourceData.Common_SourceData_FracLEACH_Data()</f>
        <v>FracLEACH</v>
      </c>
      <c r="E164" s="21">
        <v>0.24</v>
      </c>
    </row>
    <row r="165" spans="4:68" ht="20.100000000000001" customHeight="1" x14ac:dyDescent="0.25">
      <c r="BN165" s="7"/>
      <c r="BO165" s="7"/>
      <c r="BP165" s="7"/>
    </row>
    <row r="166" spans="4:68" ht="20.100000000000001" customHeight="1" x14ac:dyDescent="0.25">
      <c r="BN166" s="7"/>
      <c r="BO166" s="7"/>
      <c r="BP166" s="7"/>
    </row>
    <row r="167" spans="4:68" ht="20.100000000000001" customHeight="1" x14ac:dyDescent="0.25">
      <c r="D167" s="6" t="str" cm="1">
        <f t="array" ref="D167">Common_SourceData.Common_SourceData_EFleach_Title()</f>
        <v>Emission factor for nitrogen leaching and runoff</v>
      </c>
      <c r="BN167" s="7"/>
      <c r="BO167" s="7"/>
      <c r="BP167" s="7"/>
    </row>
    <row r="168" spans="4:68" ht="20.100000000000001" customHeight="1" x14ac:dyDescent="0.25">
      <c r="D168" s="5" t="str" cm="1">
        <f t="array" ref="D168">Common_SourceData.Common_SourceData_EFleach_Source()</f>
        <v>VEERG 2026:5.5.2.3 Constant Parameters</v>
      </c>
      <c r="BN168" s="7"/>
      <c r="BO168" s="7"/>
      <c r="BP168" s="7"/>
    </row>
    <row r="169" spans="4:68" ht="20.100000000000001" customHeight="1" x14ac:dyDescent="0.25">
      <c r="D169" s="5" t="str" cm="1">
        <f t="array" ref="D169">Common_SourceData.Common_SourceData_EFleach_NIRReference()</f>
        <v>National Inventory Report Volume 1: Equation 3.D.B_10</v>
      </c>
      <c r="BN169" s="7"/>
      <c r="BO169" s="7"/>
      <c r="BP169" s="7"/>
    </row>
    <row r="170" spans="4:68" ht="20.100000000000001" customHeight="1" x14ac:dyDescent="0.25">
      <c r="D170" s="1" t="str" cm="1">
        <f t="array" ref="D170:E170">Common_SourceData.Common_SourceData_EFleach_Data()</f>
        <v>EFleach</v>
      </c>
      <c r="E170" s="1">
        <v>1.0999999999999999E-2</v>
      </c>
      <c r="BN170" s="7"/>
      <c r="BO170" s="7"/>
      <c r="BP170" s="7"/>
    </row>
    <row r="171" spans="4:68" ht="20.100000000000001" customHeight="1" x14ac:dyDescent="0.25">
      <c r="BN171" s="7"/>
      <c r="BO171" s="7"/>
      <c r="BP171" s="7"/>
    </row>
    <row r="172" spans="4:68" ht="20.100000000000001" customHeight="1" x14ac:dyDescent="0.25">
      <c r="BN172" s="7"/>
      <c r="BO172" s="7"/>
      <c r="BP172" s="7"/>
    </row>
    <row r="173" spans="4:68" ht="20.100000000000001" customHeight="1" x14ac:dyDescent="0.25">
      <c r="D173" s="6" t="str" cm="1">
        <f t="array" ref="D173">Common_SourceData.Common_SourceData_DensityOfMethane_Title()</f>
        <v>p = density of methane</v>
      </c>
      <c r="BN173" s="7"/>
      <c r="BO173" s="7"/>
      <c r="BP173" s="7"/>
    </row>
    <row r="174" spans="4:68" ht="20.100000000000001" customHeight="1" x14ac:dyDescent="0.25">
      <c r="D174" s="5" t="str" cm="1">
        <f t="array" ref="D174">Common_SourceData.Common_SourceData_DensityOfMethane_Source()</f>
        <v>National Inventory Report 2023 Volume 1: Equations 3.B.1a_2, 3.B.1c_2, 3.B.3_1, 3.B.4g_2</v>
      </c>
      <c r="BN174" s="7"/>
      <c r="BO174" s="7"/>
      <c r="BP174" s="7"/>
    </row>
    <row r="175" spans="4:68" ht="20.100000000000001" customHeight="1" x14ac:dyDescent="0.25">
      <c r="D175" s="1" cm="1">
        <f t="array" ref="D175">Common_SourceData.Common_SourceData_DensityOfMethane_Data()</f>
        <v>0.6784</v>
      </c>
      <c r="E175" s="51" t="str" cm="1">
        <f t="array" ref="E175">Common_SourceData.Common_SourceData_DensityOfMethane_Unit()</f>
        <v>kg/m3</v>
      </c>
      <c r="BN175" s="7"/>
      <c r="BO175" s="7"/>
      <c r="BP175" s="7"/>
    </row>
    <row r="176" spans="4:68" ht="20.100000000000001" customHeight="1" x14ac:dyDescent="0.25">
      <c r="BN176" s="7"/>
      <c r="BO176" s="7"/>
      <c r="BP176" s="7"/>
    </row>
    <row r="177" spans="4:68" ht="20.100000000000001" customHeight="1" x14ac:dyDescent="0.25">
      <c r="BN177" s="7"/>
      <c r="BO177" s="7"/>
      <c r="BP177" s="7"/>
    </row>
    <row r="178" spans="4:68" ht="20.100000000000001" customHeight="1" x14ac:dyDescent="0.25">
      <c r="D178" s="6" t="str" cm="1">
        <f t="array" ref="D178">Common_SourceData.Common_SourceData_EFN2O_Title()</f>
        <v>Nitrous oxide emission factors for inorganic fertiliser application</v>
      </c>
      <c r="BN178" s="7"/>
      <c r="BO178" s="7"/>
      <c r="BP178" s="7"/>
    </row>
    <row r="179" spans="4:68" ht="20.100000000000001" customHeight="1" x14ac:dyDescent="0.25">
      <c r="D179" s="5" t="str" cm="1">
        <f t="array" ref="D179">Common_SourceData.Common_SourceData_EFN2O_Source()</f>
        <v>VEERG 2026: Table A.2.2.1</v>
      </c>
      <c r="BN179" s="7"/>
      <c r="BO179" s="7"/>
      <c r="BP179" s="7"/>
    </row>
    <row r="180" spans="4:68" ht="20.100000000000001" customHeight="1" x14ac:dyDescent="0.25">
      <c r="D180" s="51" t="str" cm="1">
        <f t="array" ref="D180">Common_SourceData.Common_SourceData_EFN2O_Unit()</f>
        <v>(kg N2O-N / kg N</v>
      </c>
    </row>
    <row r="181" spans="4:68" ht="20.100000000000001" customHeight="1" x14ac:dyDescent="0.25">
      <c r="D181" s="52" t="str" cm="1">
        <f t="array" ref="D181:D185">Common_SourceData.Common_SourceData_EFN2O_Variation()</f>
        <v>VARIATION OF SOURCE DATA:</v>
      </c>
    </row>
    <row r="182" spans="4:68" ht="20.100000000000001" customHeight="1" x14ac:dyDescent="0.25">
      <c r="D182" s="52" t="str">
        <v>Removed duplicate 'Aquaculture' row.</v>
      </c>
    </row>
    <row r="183" spans="4:68" ht="20.100000000000001" customHeight="1" x14ac:dyDescent="0.25">
      <c r="D183" s="52" t="str">
        <v>Removed asterisks to aid lookup.</v>
      </c>
    </row>
    <row r="184" spans="4:68" ht="20.100000000000001" customHeight="1" x14ac:dyDescent="0.25">
      <c r="D184" s="52" t="str">
        <v>Added 'production system only', 'rainfall zone' and 'irrigation method' columns to aid lookup.</v>
      </c>
    </row>
    <row r="185" spans="4:68" ht="20.100000000000001" customHeight="1" x14ac:dyDescent="0.25">
      <c r="D185" s="52" t="str">
        <v>Duplicated 'non-irrigated pasture' row with same EF for low and high rainfall zones to aid lookup.</v>
      </c>
    </row>
    <row r="186" spans="4:68" ht="20.100000000000001" customHeight="1" x14ac:dyDescent="0.25">
      <c r="D186" s="35" t="s">
        <v>87</v>
      </c>
      <c r="E186" s="35" t="s">
        <v>88</v>
      </c>
      <c r="F186" s="35" t="s">
        <v>89</v>
      </c>
      <c r="G186" s="35" t="s">
        <v>90</v>
      </c>
      <c r="H186" s="35" t="s">
        <v>28</v>
      </c>
    </row>
    <row r="187" spans="4:68" ht="20.100000000000001" customHeight="1" x14ac:dyDescent="0.25">
      <c r="D187" s="35" t="str" cm="1">
        <f t="array" ref="D187">Common_InputFunctions.Utility_DisplayArrayInTable(Common_SourceData.Common_SourceData_EFN2O_Data(), Table_SourceData_Common_EFN2O[[#Headers],[Production system j]], 0)</f>
        <v>Irrigated pasture</v>
      </c>
      <c r="E187" s="35" cm="1">
        <f t="array" ref="E187">Common_InputFunctions.Utility_DisplayArrayInTable(Common_SourceData.Common_SourceData_EFN2O_Data(), Table_SourceData_Common_EFN2O[[#Headers],[Production system j]], 0)</f>
        <v>5.8999999999999999E-3</v>
      </c>
      <c r="F187" s="35" t="str" cm="1">
        <f t="array" ref="F187">Common_InputFunctions.Utility_DisplayArrayInTable(Common_SourceData.Common_SourceData_EFN2O_Data(), Table_SourceData_Common_EFN2O[[#Headers],[Production system j]], 0)</f>
        <v>Pasture</v>
      </c>
      <c r="G187" s="35" t="str" cm="1">
        <f t="array" ref="G187">Common_InputFunctions.Utility_DisplayArrayInTable(Common_SourceData.Common_SourceData_EFN2O_Data(), Table_SourceData_Common_EFN2O[[#Headers],[Production system j]], 0)</f>
        <v>Any</v>
      </c>
      <c r="H187" s="35" t="str" cm="1">
        <f t="array" ref="H187">Common_InputFunctions.Utility_DisplayArrayInTable(Common_SourceData.Common_SourceData_EFN2O_Data(), Table_SourceData_Common_EFN2O[[#Headers],[Production system j]], 0)</f>
        <v>Any</v>
      </c>
    </row>
    <row r="188" spans="4:68" ht="20.100000000000001" customHeight="1" x14ac:dyDescent="0.25">
      <c r="D188" s="35" t="str" cm="1">
        <f t="array" ref="D188">Common_InputFunctions.Utility_DisplayArrayInTable(Common_SourceData.Common_SourceData_EFN2O_Data(), Table_SourceData_Common_EFN2O[[#Headers],[Production system j]], 0)</f>
        <v>Irrigated crop</v>
      </c>
      <c r="E188" s="35" cm="1">
        <f t="array" ref="E188">Common_InputFunctions.Utility_DisplayArrayInTable(Common_SourceData.Common_SourceData_EFN2O_Data(), Table_SourceData_Common_EFN2O[[#Headers],[Production system j]], 0)</f>
        <v>7.0000000000000001E-3</v>
      </c>
      <c r="F188" s="35" t="str" cm="1">
        <f t="array" ref="F188">Common_InputFunctions.Utility_DisplayArrayInTable(Common_SourceData.Common_SourceData_EFN2O_Data(), Table_SourceData_Common_EFN2O[[#Headers],[Production system j]], 0)</f>
        <v>Crop</v>
      </c>
      <c r="G188" s="35" t="str" cm="1">
        <f t="array" ref="G188">Common_InputFunctions.Utility_DisplayArrayInTable(Common_SourceData.Common_SourceData_EFN2O_Data(), Table_SourceData_Common_EFN2O[[#Headers],[Production system j]], 0)</f>
        <v>Any</v>
      </c>
      <c r="H188" s="35" t="str" cm="1">
        <f t="array" ref="H188">Common_InputFunctions.Utility_DisplayArrayInTable(Common_SourceData.Common_SourceData_EFN2O_Data(), Table_SourceData_Common_EFN2O[[#Headers],[Production system j]], 0)</f>
        <v>Any</v>
      </c>
    </row>
    <row r="189" spans="4:68" ht="20.100000000000001" customHeight="1" x14ac:dyDescent="0.25">
      <c r="D189" s="35" t="str" cm="1">
        <f t="array" ref="D189">Common_InputFunctions.Utility_DisplayArrayInTable(Common_SourceData.Common_SourceData_EFN2O_Data(), Table_SourceData_Common_EFN2O[[#Headers],[Production system j]], 0)</f>
        <v>Non-irrigated pasture</v>
      </c>
      <c r="E189" s="35" cm="1">
        <f t="array" ref="E189">Common_InputFunctions.Utility_DisplayArrayInTable(Common_SourceData.Common_SourceData_EFN2O_Data(), Table_SourceData_Common_EFN2O[[#Headers],[Production system j]], 0)</f>
        <v>1.8E-3</v>
      </c>
      <c r="F189" s="35" t="str" cm="1">
        <f t="array" ref="F189">Common_InputFunctions.Utility_DisplayArrayInTable(Common_SourceData.Common_SourceData_EFN2O_Data(), Table_SourceData_Common_EFN2O[[#Headers],[Production system j]], 0)</f>
        <v>Pasture</v>
      </c>
      <c r="G189" s="35" t="str" cm="1">
        <f t="array" ref="G189">Common_InputFunctions.Utility_DisplayArrayInTable(Common_SourceData.Common_SourceData_EFN2O_Data(), Table_SourceData_Common_EFN2O[[#Headers],[Production system j]], 0)</f>
        <v>Not irrigated</v>
      </c>
      <c r="H189" s="35" t="str" cm="1">
        <f t="array" ref="H189">Common_InputFunctions.Utility_DisplayArrayInTable(Common_SourceData.Common_SourceData_EFN2O_Data(), Table_SourceData_Common_EFN2O[[#Headers],[Production system j]], 0)</f>
        <v>Low rainfall</v>
      </c>
    </row>
    <row r="190" spans="4:68" ht="20.100000000000001" customHeight="1" x14ac:dyDescent="0.25">
      <c r="D190" s="35" t="str" cm="1">
        <f t="array" ref="D190">Common_InputFunctions.Utility_DisplayArrayInTable(Common_SourceData.Common_SourceData_EFN2O_Data(), Table_SourceData_Common_EFN2O[[#Headers],[Production system j]], 0)</f>
        <v>Non-irrigated pasture</v>
      </c>
      <c r="E190" s="35" cm="1">
        <f t="array" ref="E190">Common_InputFunctions.Utility_DisplayArrayInTable(Common_SourceData.Common_SourceData_EFN2O_Data(), Table_SourceData_Common_EFN2O[[#Headers],[Production system j]], 0)</f>
        <v>1.8E-3</v>
      </c>
      <c r="F190" s="35" t="str" cm="1">
        <f t="array" ref="F190">Common_InputFunctions.Utility_DisplayArrayInTable(Common_SourceData.Common_SourceData_EFN2O_Data(), Table_SourceData_Common_EFN2O[[#Headers],[Production system j]], 0)</f>
        <v>Pasture</v>
      </c>
      <c r="G190" s="35" t="str" cm="1">
        <f t="array" ref="G190">Common_InputFunctions.Utility_DisplayArrayInTable(Common_SourceData.Common_SourceData_EFN2O_Data(), Table_SourceData_Common_EFN2O[[#Headers],[Production system j]], 0)</f>
        <v>Not irrigated</v>
      </c>
      <c r="H190" s="35" t="str" cm="1">
        <f t="array" ref="H190">Common_InputFunctions.Utility_DisplayArrayInTable(Common_SourceData.Common_SourceData_EFN2O_Data(), Table_SourceData_Common_EFN2O[[#Headers],[Production system j]], 0)</f>
        <v>High rainfall</v>
      </c>
    </row>
    <row r="191" spans="4:68" ht="20.100000000000001" customHeight="1" x14ac:dyDescent="0.25">
      <c r="D191" s="35" t="str" cm="1">
        <f t="array" ref="D191">Common_InputFunctions.Utility_DisplayArrayInTable(Common_SourceData.Common_SourceData_EFN2O_Data(), Table_SourceData_Common_EFN2O[[#Headers],[Production system j]], 0)</f>
        <v>Non-irrigated crop (low rainfall)</v>
      </c>
      <c r="E191" s="35" cm="1">
        <f t="array" ref="E191">Common_InputFunctions.Utility_DisplayArrayInTable(Common_SourceData.Common_SourceData_EFN2O_Data(), Table_SourceData_Common_EFN2O[[#Headers],[Production system j]], 0)</f>
        <v>2.8999999999999998E-3</v>
      </c>
      <c r="F191" s="35" t="str" cm="1">
        <f t="array" ref="F191">Common_InputFunctions.Utility_DisplayArrayInTable(Common_SourceData.Common_SourceData_EFN2O_Data(), Table_SourceData_Common_EFN2O[[#Headers],[Production system j]], 0)</f>
        <v>Crop</v>
      </c>
      <c r="G191" s="35" t="str" cm="1">
        <f t="array" ref="G191">Common_InputFunctions.Utility_DisplayArrayInTable(Common_SourceData.Common_SourceData_EFN2O_Data(), Table_SourceData_Common_EFN2O[[#Headers],[Production system j]], 0)</f>
        <v>Not irrigated</v>
      </c>
      <c r="H191" s="35" t="str" cm="1">
        <f t="array" ref="H191">Common_InputFunctions.Utility_DisplayArrayInTable(Common_SourceData.Common_SourceData_EFN2O_Data(), Table_SourceData_Common_EFN2O[[#Headers],[Production system j]], 0)</f>
        <v>Low rainfall</v>
      </c>
    </row>
    <row r="192" spans="4:68" ht="20.100000000000001" customHeight="1" x14ac:dyDescent="0.25">
      <c r="D192" s="35" t="str" cm="1">
        <f t="array" ref="D192">Common_InputFunctions.Utility_DisplayArrayInTable(Common_SourceData.Common_SourceData_EFN2O_Data(), Table_SourceData_Common_EFN2O[[#Headers],[Production system j]], 0)</f>
        <v>Non-irrigated crop (high rainfall)</v>
      </c>
      <c r="E192" s="35" cm="1">
        <f t="array" ref="E192">Common_InputFunctions.Utility_DisplayArrayInTable(Common_SourceData.Common_SourceData_EFN2O_Data(), Table_SourceData_Common_EFN2O[[#Headers],[Production system j]], 0)</f>
        <v>8.0000000000000002E-3</v>
      </c>
      <c r="F192" s="35" t="str" cm="1">
        <f t="array" ref="F192">Common_InputFunctions.Utility_DisplayArrayInTable(Common_SourceData.Common_SourceData_EFN2O_Data(), Table_SourceData_Common_EFN2O[[#Headers],[Production system j]], 0)</f>
        <v>Crop</v>
      </c>
      <c r="G192" s="35" t="str" cm="1">
        <f t="array" ref="G192">Common_InputFunctions.Utility_DisplayArrayInTable(Common_SourceData.Common_SourceData_EFN2O_Data(), Table_SourceData_Common_EFN2O[[#Headers],[Production system j]], 0)</f>
        <v>Not irrigated</v>
      </c>
      <c r="H192" s="35" t="str" cm="1">
        <f t="array" ref="H192">Common_InputFunctions.Utility_DisplayArrayInTable(Common_SourceData.Common_SourceData_EFN2O_Data(), Table_SourceData_Common_EFN2O[[#Headers],[Production system j]], 0)</f>
        <v>High rainfall</v>
      </c>
    </row>
    <row r="193" spans="4:8" ht="20.100000000000001" customHeight="1" x14ac:dyDescent="0.25">
      <c r="D193" s="35" t="str" cm="1">
        <f t="array" ref="D193">Common_InputFunctions.Utility_DisplayArrayInTable(Common_SourceData.Common_SourceData_EFN2O_Data(), Table_SourceData_Common_EFN2O[[#Headers],[Production system j]], 0)</f>
        <v>Sugar</v>
      </c>
      <c r="E193" s="35" cm="1">
        <f t="array" ref="E193">Common_InputFunctions.Utility_DisplayArrayInTable(Common_SourceData.Common_SourceData_EFN2O_Data(), Table_SourceData_Common_EFN2O[[#Headers],[Production system j]], 0)</f>
        <v>1.9900000000000001E-2</v>
      </c>
      <c r="F193" s="35" t="str" cm="1">
        <f t="array" ref="F193">Common_InputFunctions.Utility_DisplayArrayInTable(Common_SourceData.Common_SourceData_EFN2O_Data(), Table_SourceData_Common_EFN2O[[#Headers],[Production system j]], 0)</f>
        <v>Sugar</v>
      </c>
      <c r="G193" s="35" t="str" cm="1">
        <f t="array" ref="G193">Common_InputFunctions.Utility_DisplayArrayInTable(Common_SourceData.Common_SourceData_EFN2O_Data(), Table_SourceData_Common_EFN2O[[#Headers],[Production system j]], 0)</f>
        <v>Any</v>
      </c>
      <c r="H193" s="35" t="str" cm="1">
        <f t="array" ref="H193">Common_InputFunctions.Utility_DisplayArrayInTable(Common_SourceData.Common_SourceData_EFN2O_Data(), Table_SourceData_Common_EFN2O[[#Headers],[Production system j]], 0)</f>
        <v>Any</v>
      </c>
    </row>
    <row r="194" spans="4:8" ht="20.100000000000001" customHeight="1" x14ac:dyDescent="0.25">
      <c r="D194" s="35" t="str" cm="1">
        <f t="array" ref="D194">Common_InputFunctions.Utility_DisplayArrayInTable(Common_SourceData.Common_SourceData_EFN2O_Data(), Table_SourceData_Common_EFN2O[[#Headers],[Production system j]], 0)</f>
        <v>Cotton</v>
      </c>
      <c r="E194" s="35" cm="1">
        <f t="array" ref="E194">Common_InputFunctions.Utility_DisplayArrayInTable(Common_SourceData.Common_SourceData_EFN2O_Data(), Table_SourceData_Common_EFN2O[[#Headers],[Production system j]], 0)</f>
        <v>5.3E-3</v>
      </c>
      <c r="F194" s="35" t="str" cm="1">
        <f t="array" ref="F194">Common_InputFunctions.Utility_DisplayArrayInTable(Common_SourceData.Common_SourceData_EFN2O_Data(), Table_SourceData_Common_EFN2O[[#Headers],[Production system j]], 0)</f>
        <v>Cotton</v>
      </c>
      <c r="G194" s="35" t="str" cm="1">
        <f t="array" ref="G194">Common_InputFunctions.Utility_DisplayArrayInTable(Common_SourceData.Common_SourceData_EFN2O_Data(), Table_SourceData_Common_EFN2O[[#Headers],[Production system j]], 0)</f>
        <v>Any</v>
      </c>
      <c r="H194" s="35" t="str" cm="1">
        <f t="array" ref="H194">Common_InputFunctions.Utility_DisplayArrayInTable(Common_SourceData.Common_SourceData_EFN2O_Data(), Table_SourceData_Common_EFN2O[[#Headers],[Production system j]], 0)</f>
        <v>Any</v>
      </c>
    </row>
    <row r="195" spans="4:8" ht="20.100000000000001" customHeight="1" x14ac:dyDescent="0.25">
      <c r="D195" s="35" t="str" cm="1">
        <f t="array" ref="D195">Common_InputFunctions.Utility_DisplayArrayInTable(Common_SourceData.Common_SourceData_EFN2O_Data(), Table_SourceData_Common_EFN2O[[#Headers],[Production system j]], 0)</f>
        <v>Horticultural crops</v>
      </c>
      <c r="E195" s="35" cm="1">
        <f t="array" ref="E195">Common_InputFunctions.Utility_DisplayArrayInTable(Common_SourceData.Common_SourceData_EFN2O_Data(), Table_SourceData_Common_EFN2O[[#Headers],[Production system j]], 0)</f>
        <v>6.4000000000000003E-3</v>
      </c>
      <c r="F195" s="35" t="str" cm="1">
        <f t="array" ref="F195">Common_InputFunctions.Utility_DisplayArrayInTable(Common_SourceData.Common_SourceData_EFN2O_Data(), Table_SourceData_Common_EFN2O[[#Headers],[Production system j]], 0)</f>
        <v>Horticultural crops</v>
      </c>
      <c r="G195" s="35" t="str" cm="1">
        <f t="array" ref="G195">Common_InputFunctions.Utility_DisplayArrayInTable(Common_SourceData.Common_SourceData_EFN2O_Data(), Table_SourceData_Common_EFN2O[[#Headers],[Production system j]], 0)</f>
        <v>Any</v>
      </c>
      <c r="H195" s="35" t="str" cm="1">
        <f t="array" ref="H195">Common_InputFunctions.Utility_DisplayArrayInTable(Common_SourceData.Common_SourceData_EFN2O_Data(), Table_SourceData_Common_EFN2O[[#Headers],[Production system j]], 0)</f>
        <v>Any</v>
      </c>
    </row>
    <row r="196" spans="4:8" ht="20.100000000000001" customHeight="1" x14ac:dyDescent="0.25">
      <c r="D196" s="35" t="str" cm="1">
        <f t="array" ref="D196">Common_InputFunctions.Utility_DisplayArrayInTable(Common_SourceData.Common_SourceData_EFN2O_Data(), Table_SourceData_Common_EFN2O[[#Headers],[Production system j]], 0)</f>
        <v>Rice (continuous flooding)</v>
      </c>
      <c r="E196" s="35" cm="1">
        <f t="array" ref="E196">Common_InputFunctions.Utility_DisplayArrayInTable(Common_SourceData.Common_SourceData_EFN2O_Data(), Table_SourceData_Common_EFN2O[[#Headers],[Production system j]], 0)</f>
        <v>3.0000000000000001E-3</v>
      </c>
      <c r="F196" s="35" t="str" cm="1">
        <f t="array" ref="F196">Common_InputFunctions.Utility_DisplayArrayInTable(Common_SourceData.Common_SourceData_EFN2O_Data(), Table_SourceData_Common_EFN2O[[#Headers],[Production system j]], 0)</f>
        <v>Rice</v>
      </c>
      <c r="G196" s="35" t="str" cm="1">
        <f t="array" ref="G196">Common_InputFunctions.Utility_DisplayArrayInTable(Common_SourceData.Common_SourceData_EFN2O_Data(), Table_SourceData_Common_EFN2O[[#Headers],[Production system j]], 0)</f>
        <v>Continuous flooding</v>
      </c>
      <c r="H196" s="35" t="str" cm="1">
        <f t="array" ref="H196">Common_InputFunctions.Utility_DisplayArrayInTable(Common_SourceData.Common_SourceData_EFN2O_Data(), Table_SourceData_Common_EFN2O[[#Headers],[Production system j]], 0)</f>
        <v>Any</v>
      </c>
    </row>
    <row r="197" spans="4:8" x14ac:dyDescent="0.25">
      <c r="D197" s="35" t="str" cm="1">
        <f t="array" ref="D197">Common_InputFunctions.Utility_DisplayArrayInTable(Common_SourceData.Common_SourceData_EFN2O_Data(), Table_SourceData_Common_EFN2O[[#Headers],[Production system j]], 0)</f>
        <v>Rice (single and multiple drainage, or alternate wetting and drying)</v>
      </c>
      <c r="E197" s="35" cm="1">
        <f t="array" ref="E197">Common_InputFunctions.Utility_DisplayArrayInTable(Common_SourceData.Common_SourceData_EFN2O_Data(), Table_SourceData_Common_EFN2O[[#Headers],[Production system j]], 0)</f>
        <v>5.0000000000000001E-3</v>
      </c>
      <c r="F197" s="35" t="str" cm="1">
        <f t="array" ref="F197">Common_InputFunctions.Utility_DisplayArrayInTable(Common_SourceData.Common_SourceData_EFN2O_Data(), Table_SourceData_Common_EFN2O[[#Headers],[Production system j]], 0)</f>
        <v>Rice</v>
      </c>
      <c r="G197" s="35" t="str" cm="1">
        <f t="array" ref="G197">Common_InputFunctions.Utility_DisplayArrayInTable(Common_SourceData.Common_SourceData_EFN2O_Data(), Table_SourceData_Common_EFN2O[[#Headers],[Production system j]], 0)</f>
        <v>Single and multiple drainage, or alternate wetting and drying</v>
      </c>
      <c r="H197" s="35" t="str" cm="1">
        <f t="array" ref="H197">Common_InputFunctions.Utility_DisplayArrayInTable(Common_SourceData.Common_SourceData_EFN2O_Data(), Table_SourceData_Common_EFN2O[[#Headers],[Production system j]], 0)</f>
        <v>Any</v>
      </c>
    </row>
    <row r="198" spans="4:8" x14ac:dyDescent="0.25">
      <c r="D198" s="35" t="str" cm="1">
        <f t="array" ref="D198">Common_InputFunctions.Utility_DisplayArrayInTable(Common_SourceData.Common_SourceData_EFN2O_Data(), Table_SourceData_Common_EFN2O[[#Headers],[Production system j]], 0)</f>
        <v>Aquaculture</v>
      </c>
      <c r="E198" s="35" cm="1">
        <f t="array" ref="E198">Common_InputFunctions.Utility_DisplayArrayInTable(Common_SourceData.Common_SourceData_EFN2O_Data(), Table_SourceData_Common_EFN2O[[#Headers],[Production system j]], 0)</f>
        <v>2.5999999999999999E-3</v>
      </c>
      <c r="F198" s="35" t="str" cm="1">
        <f t="array" ref="F198">Common_InputFunctions.Utility_DisplayArrayInTable(Common_SourceData.Common_SourceData_EFN2O_Data(), Table_SourceData_Common_EFN2O[[#Headers],[Production system j]], 0)</f>
        <v>Aquaculture</v>
      </c>
      <c r="G198" s="35" t="str" cm="1">
        <f t="array" ref="G198">Common_InputFunctions.Utility_DisplayArrayInTable(Common_SourceData.Common_SourceData_EFN2O_Data(), Table_SourceData_Common_EFN2O[[#Headers],[Production system j]], 0)</f>
        <v>Any</v>
      </c>
      <c r="H198" s="35" t="str" cm="1">
        <f t="array" ref="H198">Common_InputFunctions.Utility_DisplayArrayInTable(Common_SourceData.Common_SourceData_EFN2O_Data(), Table_SourceData_Common_EFN2O[[#Headers],[Production system j]], 0)</f>
        <v>Any</v>
      </c>
    </row>
    <row r="199" spans="4:8" x14ac:dyDescent="0.25">
      <c r="D199" s="35" t="str" cm="1">
        <f t="array" ref="D199">Common_InputFunctions.Utility_DisplayArrayInTable(Common_SourceData.Common_SourceData_EFN2O_Data(), Table_SourceData_Common_EFN2O[[#Headers],[Production system j]], 0)</f>
        <v>Forestry</v>
      </c>
      <c r="E199" s="35" cm="1">
        <f t="array" ref="E199">Common_InputFunctions.Utility_DisplayArrayInTable(Common_SourceData.Common_SourceData_EFN2O_Data(), Table_SourceData_Common_EFN2O[[#Headers],[Production system j]], 0)</f>
        <v>1.8E-3</v>
      </c>
      <c r="F199" s="35" t="str" cm="1">
        <f t="array" ref="F199">Common_InputFunctions.Utility_DisplayArrayInTable(Common_SourceData.Common_SourceData_EFN2O_Data(), Table_SourceData_Common_EFN2O[[#Headers],[Production system j]], 0)</f>
        <v>Forestry</v>
      </c>
      <c r="G199" s="35" t="str" cm="1">
        <f t="array" ref="G199">Common_InputFunctions.Utility_DisplayArrayInTable(Common_SourceData.Common_SourceData_EFN2O_Data(), Table_SourceData_Common_EFN2O[[#Headers],[Production system j]], 0)</f>
        <v>Any</v>
      </c>
      <c r="H199" s="35" t="str" cm="1">
        <f t="array" ref="H199">Common_InputFunctions.Utility_DisplayArrayInTable(Common_SourceData.Common_SourceData_EFN2O_Data(), Table_SourceData_Common_EFN2O[[#Headers],[Production system j]], 0)</f>
        <v>Any</v>
      </c>
    </row>
    <row r="202" spans="4:8" ht="23.25" x14ac:dyDescent="0.25">
      <c r="D202" s="6" t="str" cm="1">
        <f t="array" ref="D202">Common_SourceData.Common_SourceData_EFPastureRangeAndPaddock_Title()</f>
        <v>Emission factor for urine and dung deposited on pasture, range or paddock</v>
      </c>
    </row>
    <row r="203" spans="4:8" x14ac:dyDescent="0.25">
      <c r="D203" s="5" t="str" cm="1">
        <f t="array" ref="D203">Common_SourceData.Common_SourceData_EFPastureRangeAndPaddock_Source()</f>
        <v>VEERG 2026: Table A.2.2.2</v>
      </c>
    </row>
    <row r="204" spans="4:8" x14ac:dyDescent="0.25">
      <c r="D204" s="52" t="str" cm="1">
        <f t="array" ref="D204">Common_SourceData.Common_SourceData_EFPastureRangeAndPaddock_Variation()</f>
        <v>VARIATION FROM SOURCE DATA: Changed 'Dry climate zones' to singular 'Dry climate zone' to aid lookup.</v>
      </c>
    </row>
    <row r="205" spans="4:8" x14ac:dyDescent="0.25">
      <c r="D205" s="51" t="str" cm="1">
        <f t="array" ref="D205">Common_SourceData.Common_SourceData_EFPastureRangeAndPaddock_Unit()</f>
        <v>kg N2O - N / kg N</v>
      </c>
    </row>
    <row r="206" spans="4:8" x14ac:dyDescent="0.25">
      <c r="D206" s="35" t="s">
        <v>6</v>
      </c>
      <c r="E206" s="35" t="s">
        <v>120</v>
      </c>
    </row>
    <row r="207" spans="4:8" x14ac:dyDescent="0.25">
      <c r="D207" s="35" t="str" cm="1">
        <f t="array" ref="D207">Common_InputFunctions.Utility_DisplayArrayInTable(Common_SourceData.Common_SourceData_EFPastureRangeAndPaddock_Data(), Table_SourceData_EFPastureRangeAndPaddock[[#Headers],[Climate zone]], 0)</f>
        <v>Wet climate zone</v>
      </c>
      <c r="E207" s="35" cm="1">
        <f t="array" ref="E207">Common_InputFunctions.Utility_DisplayArrayInTable(Common_SourceData.Common_SourceData_EFPastureRangeAndPaddock_Data(), Table_SourceData_EFPastureRangeAndPaddock[[#Headers],[Climate zone]], 0)</f>
        <v>6.0000000000000001E-3</v>
      </c>
    </row>
    <row r="208" spans="4:8" x14ac:dyDescent="0.25">
      <c r="D208" s="1" t="str" cm="1">
        <f t="array" ref="D208">Common_InputFunctions.Utility_DisplayArrayInTable(Common_SourceData.Common_SourceData_EFPastureRangeAndPaddock_Data(), Table_SourceData_EFPastureRangeAndPaddock[[#Headers],[Climate zone]], 0)</f>
        <v>Dry climate zone</v>
      </c>
      <c r="E208" s="35" cm="1">
        <f t="array" ref="E208">Common_InputFunctions.Utility_DisplayArrayInTable(Common_SourceData.Common_SourceData_EFPastureRangeAndPaddock_Data(), Table_SourceData_EFPastureRangeAndPaddock[[#Headers],[Climate zone]], 0)</f>
        <v>2E-3</v>
      </c>
    </row>
    <row r="211" spans="4:5" x14ac:dyDescent="0.25">
      <c r="D211" s="1" t="str" cm="1">
        <f t="array" ref="D211">Common_SourceData.Common_SourceData_MonthsToSeasons_Title()</f>
        <v>Months to Seasons Mapping</v>
      </c>
    </row>
    <row r="212" spans="4:5" x14ac:dyDescent="0.25">
      <c r="D212" s="35" t="s">
        <v>104</v>
      </c>
      <c r="E212" s="35" t="s">
        <v>145</v>
      </c>
    </row>
    <row r="213" spans="4:5" x14ac:dyDescent="0.25">
      <c r="D213" s="35" t="str" cm="1">
        <f t="array" ref="D213">Common_InputFunctions.Utility_DisplayArrayInTable(Common_SourceData.Common_SourceData_MonthsToSeasons_Data(), Table_SourceData_Common_MonthToSeason[[#Headers],[Month]], 0)</f>
        <v>January</v>
      </c>
      <c r="E213" s="35" t="str" cm="1">
        <f t="array" ref="E213">Common_InputFunctions.Utility_DisplayArrayInTable(Common_SourceData.Common_SourceData_MonthsToSeasons_Data(), Table_SourceData_Common_MonthToSeason[[#Headers],[Month]], 0)</f>
        <v>Summer</v>
      </c>
    </row>
    <row r="214" spans="4:5" x14ac:dyDescent="0.25">
      <c r="D214" s="1" t="str" cm="1">
        <f t="array" ref="D214">Common_InputFunctions.Utility_DisplayArrayInTable(Common_SourceData.Common_SourceData_MonthsToSeasons_Data(), Table_SourceData_Common_MonthToSeason[[#Headers],[Month]], 0)</f>
        <v>February</v>
      </c>
      <c r="E214" s="35" t="str" cm="1">
        <f t="array" ref="E214">Common_InputFunctions.Utility_DisplayArrayInTable(Common_SourceData.Common_SourceData_MonthsToSeasons_Data(), Table_SourceData_Common_MonthToSeason[[#Headers],[Month]], 0)</f>
        <v>Summer</v>
      </c>
    </row>
    <row r="215" spans="4:5" x14ac:dyDescent="0.25">
      <c r="D215" s="1" t="str" cm="1">
        <f t="array" ref="D215">Common_InputFunctions.Utility_DisplayArrayInTable(Common_SourceData.Common_SourceData_MonthsToSeasons_Data(), Table_SourceData_Common_MonthToSeason[[#Headers],[Month]], 0)</f>
        <v>March</v>
      </c>
      <c r="E215" s="35" t="str" cm="1">
        <f t="array" ref="E215">Common_InputFunctions.Utility_DisplayArrayInTable(Common_SourceData.Common_SourceData_MonthsToSeasons_Data(), Table_SourceData_Common_MonthToSeason[[#Headers],[Month]], 0)</f>
        <v>Autumn</v>
      </c>
    </row>
    <row r="216" spans="4:5" x14ac:dyDescent="0.25">
      <c r="D216" s="1" t="str" cm="1">
        <f t="array" ref="D216">Common_InputFunctions.Utility_DisplayArrayInTable(Common_SourceData.Common_SourceData_MonthsToSeasons_Data(), Table_SourceData_Common_MonthToSeason[[#Headers],[Month]], 0)</f>
        <v>April</v>
      </c>
      <c r="E216" s="35" t="str" cm="1">
        <f t="array" ref="E216">Common_InputFunctions.Utility_DisplayArrayInTable(Common_SourceData.Common_SourceData_MonthsToSeasons_Data(), Table_SourceData_Common_MonthToSeason[[#Headers],[Month]], 0)</f>
        <v>Autumn</v>
      </c>
    </row>
    <row r="217" spans="4:5" x14ac:dyDescent="0.25">
      <c r="D217" s="1" t="str" cm="1">
        <f t="array" ref="D217">Common_InputFunctions.Utility_DisplayArrayInTable(Common_SourceData.Common_SourceData_MonthsToSeasons_Data(), Table_SourceData_Common_MonthToSeason[[#Headers],[Month]], 0)</f>
        <v>May</v>
      </c>
      <c r="E217" s="35" t="str" cm="1">
        <f t="array" ref="E217">Common_InputFunctions.Utility_DisplayArrayInTable(Common_SourceData.Common_SourceData_MonthsToSeasons_Data(), Table_SourceData_Common_MonthToSeason[[#Headers],[Month]], 0)</f>
        <v>Autumn</v>
      </c>
    </row>
    <row r="218" spans="4:5" x14ac:dyDescent="0.25">
      <c r="D218" s="1" t="str" cm="1">
        <f t="array" ref="D218">Common_InputFunctions.Utility_DisplayArrayInTable(Common_SourceData.Common_SourceData_MonthsToSeasons_Data(), Table_SourceData_Common_MonthToSeason[[#Headers],[Month]], 0)</f>
        <v>June</v>
      </c>
      <c r="E218" s="35" t="str" cm="1">
        <f t="array" ref="E218">Common_InputFunctions.Utility_DisplayArrayInTable(Common_SourceData.Common_SourceData_MonthsToSeasons_Data(), Table_SourceData_Common_MonthToSeason[[#Headers],[Month]], 0)</f>
        <v>Winter</v>
      </c>
    </row>
    <row r="219" spans="4:5" x14ac:dyDescent="0.25">
      <c r="D219" s="1" t="str" cm="1">
        <f t="array" ref="D219">Common_InputFunctions.Utility_DisplayArrayInTable(Common_SourceData.Common_SourceData_MonthsToSeasons_Data(), Table_SourceData_Common_MonthToSeason[[#Headers],[Month]], 0)</f>
        <v>July</v>
      </c>
      <c r="E219" s="35" t="str" cm="1">
        <f t="array" ref="E219">Common_InputFunctions.Utility_DisplayArrayInTable(Common_SourceData.Common_SourceData_MonthsToSeasons_Data(), Table_SourceData_Common_MonthToSeason[[#Headers],[Month]], 0)</f>
        <v>Winter</v>
      </c>
    </row>
    <row r="220" spans="4:5" x14ac:dyDescent="0.25">
      <c r="D220" s="1" t="str" cm="1">
        <f t="array" ref="D220">Common_InputFunctions.Utility_DisplayArrayInTable(Common_SourceData.Common_SourceData_MonthsToSeasons_Data(), Table_SourceData_Common_MonthToSeason[[#Headers],[Month]], 0)</f>
        <v>August</v>
      </c>
      <c r="E220" s="35" t="str" cm="1">
        <f t="array" ref="E220">Common_InputFunctions.Utility_DisplayArrayInTable(Common_SourceData.Common_SourceData_MonthsToSeasons_Data(), Table_SourceData_Common_MonthToSeason[[#Headers],[Month]], 0)</f>
        <v>Winter</v>
      </c>
    </row>
    <row r="221" spans="4:5" x14ac:dyDescent="0.25">
      <c r="D221" s="1" t="str" cm="1">
        <f t="array" ref="D221">Common_InputFunctions.Utility_DisplayArrayInTable(Common_SourceData.Common_SourceData_MonthsToSeasons_Data(), Table_SourceData_Common_MonthToSeason[[#Headers],[Month]], 0)</f>
        <v>September</v>
      </c>
      <c r="E221" s="35" t="str" cm="1">
        <f t="array" ref="E221">Common_InputFunctions.Utility_DisplayArrayInTable(Common_SourceData.Common_SourceData_MonthsToSeasons_Data(), Table_SourceData_Common_MonthToSeason[[#Headers],[Month]], 0)</f>
        <v>Spring</v>
      </c>
    </row>
    <row r="222" spans="4:5" x14ac:dyDescent="0.25">
      <c r="D222" s="1" t="str" cm="1">
        <f t="array" ref="D222">Common_InputFunctions.Utility_DisplayArrayInTable(Common_SourceData.Common_SourceData_MonthsToSeasons_Data(), Table_SourceData_Common_MonthToSeason[[#Headers],[Month]], 0)</f>
        <v>October</v>
      </c>
      <c r="E222" s="35" t="str" cm="1">
        <f t="array" ref="E222">Common_InputFunctions.Utility_DisplayArrayInTable(Common_SourceData.Common_SourceData_MonthsToSeasons_Data(), Table_SourceData_Common_MonthToSeason[[#Headers],[Month]], 0)</f>
        <v>Spring</v>
      </c>
    </row>
    <row r="223" spans="4:5" x14ac:dyDescent="0.25">
      <c r="D223" s="1" t="str" cm="1">
        <f t="array" ref="D223">Common_InputFunctions.Utility_DisplayArrayInTable(Common_SourceData.Common_SourceData_MonthsToSeasons_Data(), Table_SourceData_Common_MonthToSeason[[#Headers],[Month]], 0)</f>
        <v>November</v>
      </c>
      <c r="E223" s="35" t="str" cm="1">
        <f t="array" ref="E223">Common_InputFunctions.Utility_DisplayArrayInTable(Common_SourceData.Common_SourceData_MonthsToSeasons_Data(), Table_SourceData_Common_MonthToSeason[[#Headers],[Month]], 0)</f>
        <v>Spring</v>
      </c>
    </row>
    <row r="224" spans="4:5" x14ac:dyDescent="0.25">
      <c r="D224" s="1" t="str" cm="1">
        <f t="array" ref="D224">Common_InputFunctions.Utility_DisplayArrayInTable(Common_SourceData.Common_SourceData_MonthsToSeasons_Data(), Table_SourceData_Common_MonthToSeason[[#Headers],[Month]], 0)</f>
        <v>December</v>
      </c>
      <c r="E224" s="35" t="str" cm="1">
        <f t="array" ref="E224">Common_InputFunctions.Utility_DisplayArrayInTable(Common_SourceData.Common_SourceData_MonthsToSeasons_Data(), Table_SourceData_Common_MonthToSeason[[#Headers],[Month]], 0)</f>
        <v>Summer</v>
      </c>
    </row>
    <row r="227" spans="4:19" ht="23.25" x14ac:dyDescent="0.25">
      <c r="D227" s="6" t="str" cm="1">
        <f t="array" ref="D227">Common_SourceData.Common_SourceData_MCFTemperatureZone_Title()</f>
        <v>Manure Management – Methane conversion factor per temperature zone (fraction) (MCFim)</v>
      </c>
    </row>
    <row r="228" spans="4:19" x14ac:dyDescent="0.25">
      <c r="D228" s="5" t="str" cm="1">
        <f t="array" ref="D228">Common_SourceData.Common_SourceData_MCFTemperatureZone_Source()</f>
        <v>VEERG 2026: Table A.1.8.1</v>
      </c>
    </row>
    <row r="229" spans="4:19" x14ac:dyDescent="0.25">
      <c r="D229" s="52" t="str" cm="1">
        <f t="array" ref="D229">Common_SourceData.Common_SourceData_MCFTemperatureZone_Variation()</f>
        <v>VARIATION FROM SOURCE: Added row of NIR MMA definitions to aid lookup. Duplicated 'Poultry with and without litter' column with separate NIR definitions to aid lookup. Added 'MAT raw' column to allow lookup of numbers.</v>
      </c>
    </row>
    <row r="231" spans="4:19" x14ac:dyDescent="0.25">
      <c r="D231" s="35" t="s">
        <v>45</v>
      </c>
      <c r="E231" s="35" t="s">
        <v>235</v>
      </c>
      <c r="F231" s="34" t="s">
        <v>222</v>
      </c>
      <c r="G231" s="35" t="s">
        <v>236</v>
      </c>
      <c r="H231" s="35" t="s">
        <v>237</v>
      </c>
      <c r="I231" s="35" t="s">
        <v>238</v>
      </c>
      <c r="J231" s="35" t="s">
        <v>239</v>
      </c>
      <c r="K231" s="35" t="s">
        <v>240</v>
      </c>
      <c r="L231" s="35" t="s">
        <v>241</v>
      </c>
      <c r="M231" s="35" t="s">
        <v>242</v>
      </c>
      <c r="N231" s="35" t="s">
        <v>243</v>
      </c>
      <c r="O231" s="35" t="s">
        <v>244</v>
      </c>
      <c r="P231" s="35" t="s">
        <v>245</v>
      </c>
      <c r="Q231" s="35" t="s">
        <v>246</v>
      </c>
      <c r="R231" s="35" t="s">
        <v>109</v>
      </c>
      <c r="S231" s="35" t="s">
        <v>247</v>
      </c>
    </row>
    <row r="232" spans="4:19" x14ac:dyDescent="0.25">
      <c r="D232" s="35" t="str" cm="1">
        <f t="array" ref="D232">Common_InputFunctions.Utility_DisplayArrayInTable(Common_SourceData.Common_SourceData_MCFTemperatureZone_Data(),Table_SourceData_Common_MCFTemperatureZone[[#Headers],[Temperature zone]],0)</f>
        <v>Cool</v>
      </c>
      <c r="E232" s="35" t="str" cm="1">
        <f t="array" ref="E232">Common_InputFunctions.Utility_DisplayArrayInTable(Common_SourceData.Common_SourceData_MCFTemperatureZone_Data(),Table_SourceData_Common_MCFTemperatureZone[[#Headers],[Temperature zone]],0)</f>
        <v>≤10</v>
      </c>
      <c r="F232" s="35" cm="1">
        <f t="array" ref="F232">Common_InputFunctions.Utility_DisplayArrayInTable(Common_SourceData.Common_SourceData_MCFTemperatureZone_Data(),Table_SourceData_Common_MCFTemperatureZone[[#Headers],[Temperature zone]],0)</f>
        <v>0.66</v>
      </c>
      <c r="G232" s="35" cm="1">
        <f t="array" ref="G232">Common_InputFunctions.Utility_DisplayArrayInTable(Common_SourceData.Common_SourceData_MCFTemperatureZone_Data(),Table_SourceData_Common_MCFTemperatureZone[[#Headers],[Temperature zone]],0)</f>
        <v>0.1</v>
      </c>
      <c r="H232" s="35" cm="1">
        <f t="array" ref="H232">Common_InputFunctions.Utility_DisplayArrayInTable(Common_SourceData.Common_SourceData_MCFTemperatureZone_Data(),Table_SourceData_Common_MCFTemperatureZone[[#Headers],[Temperature zone]],0)</f>
        <v>0.1</v>
      </c>
      <c r="I232" s="35" cm="1">
        <f t="array" ref="I232">Common_InputFunctions.Utility_DisplayArrayInTable(Common_SourceData.Common_SourceData_MCFTemperatureZone_Data(),Table_SourceData_Common_MCFTemperatureZone[[#Headers],[Temperature zone]],0)</f>
        <v>1E-3</v>
      </c>
      <c r="J232" s="35" cm="1">
        <f t="array" ref="J232">Common_InputFunctions.Utility_DisplayArrayInTable(Common_SourceData.Common_SourceData_MCFTemperatureZone_Data(),Table_SourceData_Common_MCFTemperatureZone[[#Headers],[Temperature zone]],0)</f>
        <v>5.0000000000000001E-3</v>
      </c>
      <c r="K232" s="35" cm="1">
        <f t="array" ref="K232">Common_InputFunctions.Utility_DisplayArrayInTable(Common_SourceData.Common_SourceData_MCFTemperatureZone_Data(),Table_SourceData_Common_MCFTemperatureZone[[#Headers],[Temperature zone]],0)</f>
        <v>0.02</v>
      </c>
      <c r="L232" s="35" cm="1">
        <f t="array" ref="L232">Common_InputFunctions.Utility_DisplayArrayInTable(Common_SourceData.Common_SourceData_MCFTemperatureZone_Data(),Table_SourceData_Common_MCFTemperatureZone[[#Headers],[Temperature zone]],0)</f>
        <v>0.03</v>
      </c>
      <c r="M232" s="35" cm="1">
        <f t="array" ref="M232">Common_InputFunctions.Utility_DisplayArrayInTable(Common_SourceData.Common_SourceData_MCFTemperatureZone_Data(),Table_SourceData_Common_MCFTemperatureZone[[#Headers],[Temperature zone]],0)</f>
        <v>0.04</v>
      </c>
      <c r="N232" s="35" cm="1">
        <f t="array" ref="N232">Common_InputFunctions.Utility_DisplayArrayInTable(Common_SourceData.Common_SourceData_MCFTemperatureZone_Data(),Table_SourceData_Common_MCFTemperatureZone[[#Headers],[Temperature zone]],0)</f>
        <v>1.4999999999999999E-2</v>
      </c>
      <c r="O232" s="35" cm="1">
        <f t="array" ref="O232">Common_InputFunctions.Utility_DisplayArrayInTable(Common_SourceData.Common_SourceData_MCFTemperatureZone_Data(),Table_SourceData_Common_MCFTemperatureZone[[#Headers],[Temperature zone]],0)</f>
        <v>1.4999999999999999E-2</v>
      </c>
      <c r="P232" s="35" cm="1">
        <f t="array" ref="P232">Common_InputFunctions.Utility_DisplayArrayInTable(Common_SourceData.Common_SourceData_MCFTemperatureZone_Data(),Table_SourceData_Common_MCFTemperatureZone[[#Headers],[Temperature zone]],0)</f>
        <v>0</v>
      </c>
      <c r="Q232" s="35" cm="1">
        <f t="array" ref="Q232">Common_InputFunctions.Utility_DisplayArrayInTable(Common_SourceData.Common_SourceData_MCFTemperatureZone_Data(),Table_SourceData_Common_MCFTemperatureZone[[#Headers],[Temperature zone]],0)</f>
        <v>0</v>
      </c>
      <c r="R232" s="35" cm="1">
        <f t="array" ref="R232">Common_InputFunctions.Utility_DisplayArrayInTable(Common_SourceData.Common_SourceData_MCFTemperatureZone_Data(),Table_SourceData_Common_MCFTemperatureZone[[#Headers],[Temperature zone]],0)</f>
        <v>4.7000000000000002E-3</v>
      </c>
      <c r="S232" s="35" cm="1">
        <f t="array" ref="S232">Common_InputFunctions.Utility_DisplayArrayInTable(Common_SourceData.Common_SourceData_MCFTemperatureZone_Data(),Table_SourceData_Common_MCFTemperatureZone[[#Headers],[Temperature zone]],0)</f>
        <v>10</v>
      </c>
    </row>
    <row r="233" spans="4:19" x14ac:dyDescent="0.25">
      <c r="D233" s="1" t="str" cm="1">
        <f t="array" ref="D233">Common_InputFunctions.Utility_DisplayArrayInTable(Common_SourceData.Common_SourceData_MCFTemperatureZone_Data(),Table_SourceData_Common_MCFTemperatureZone[[#Headers],[Temperature zone]],0)</f>
        <v>Cool</v>
      </c>
      <c r="E233" s="35" cm="1">
        <f t="array" ref="E233">Common_InputFunctions.Utility_DisplayArrayInTable(Common_SourceData.Common_SourceData_MCFTemperatureZone_Data(),Table_SourceData_Common_MCFTemperatureZone[[#Headers],[Temperature zone]],0)</f>
        <v>11</v>
      </c>
      <c r="F233" s="35" cm="1">
        <f t="array" ref="F233">Common_InputFunctions.Utility_DisplayArrayInTable(Common_SourceData.Common_SourceData_MCFTemperatureZone_Data(),Table_SourceData_Common_MCFTemperatureZone[[#Headers],[Temperature zone]],0)</f>
        <v>0.68</v>
      </c>
      <c r="G233" s="35" cm="1">
        <f t="array" ref="G233">Common_InputFunctions.Utility_DisplayArrayInTable(Common_SourceData.Common_SourceData_MCFTemperatureZone_Data(),Table_SourceData_Common_MCFTemperatureZone[[#Headers],[Temperature zone]],0)</f>
        <v>0.1</v>
      </c>
      <c r="H233" s="35" cm="1">
        <f t="array" ref="H233">Common_InputFunctions.Utility_DisplayArrayInTable(Common_SourceData.Common_SourceData_MCFTemperatureZone_Data(),Table_SourceData_Common_MCFTemperatureZone[[#Headers],[Temperature zone]],0)</f>
        <v>0.11</v>
      </c>
      <c r="I233" s="35" cm="1">
        <f t="array" ref="I233">Common_InputFunctions.Utility_DisplayArrayInTable(Common_SourceData.Common_SourceData_MCFTemperatureZone_Data(),Table_SourceData_Common_MCFTemperatureZone[[#Headers],[Temperature zone]],0)</f>
        <v>1E-3</v>
      </c>
      <c r="J233" s="35" cm="1">
        <f t="array" ref="J233">Common_InputFunctions.Utility_DisplayArrayInTable(Common_SourceData.Common_SourceData_MCFTemperatureZone_Data(),Table_SourceData_Common_MCFTemperatureZone[[#Headers],[Temperature zone]],0)</f>
        <v>5.0000000000000001E-3</v>
      </c>
      <c r="K233" s="35" cm="1">
        <f t="array" ref="K233">Common_InputFunctions.Utility_DisplayArrayInTable(Common_SourceData.Common_SourceData_MCFTemperatureZone_Data(),Table_SourceData_Common_MCFTemperatureZone[[#Headers],[Temperature zone]],0)</f>
        <v>0.02</v>
      </c>
      <c r="L233" s="35" cm="1">
        <f t="array" ref="L233">Common_InputFunctions.Utility_DisplayArrayInTable(Common_SourceData.Common_SourceData_MCFTemperatureZone_Data(),Table_SourceData_Common_MCFTemperatureZone[[#Headers],[Temperature zone]],0)</f>
        <v>0.03</v>
      </c>
      <c r="M233" s="35" cm="1">
        <f t="array" ref="M233">Common_InputFunctions.Utility_DisplayArrayInTable(Common_SourceData.Common_SourceData_MCFTemperatureZone_Data(),Table_SourceData_Common_MCFTemperatureZone[[#Headers],[Temperature zone]],0)</f>
        <v>0.04</v>
      </c>
      <c r="N233" s="35" cm="1">
        <f t="array" ref="N233">Common_InputFunctions.Utility_DisplayArrayInTable(Common_SourceData.Common_SourceData_MCFTemperatureZone_Data(),Table_SourceData_Common_MCFTemperatureZone[[#Headers],[Temperature zone]],0)</f>
        <v>1.4999999999999999E-2</v>
      </c>
      <c r="O233" s="35" cm="1">
        <f t="array" ref="O233">Common_InputFunctions.Utility_DisplayArrayInTable(Common_SourceData.Common_SourceData_MCFTemperatureZone_Data(),Table_SourceData_Common_MCFTemperatureZone[[#Headers],[Temperature zone]],0)</f>
        <v>1.4999999999999999E-2</v>
      </c>
      <c r="P233" s="35" cm="1">
        <f t="array" ref="P233">Common_InputFunctions.Utility_DisplayArrayInTable(Common_SourceData.Common_SourceData_MCFTemperatureZone_Data(),Table_SourceData_Common_MCFTemperatureZone[[#Headers],[Temperature zone]],0)</f>
        <v>0</v>
      </c>
      <c r="Q233" s="35" cm="1">
        <f t="array" ref="Q233">Common_InputFunctions.Utility_DisplayArrayInTable(Common_SourceData.Common_SourceData_MCFTemperatureZone_Data(),Table_SourceData_Common_MCFTemperatureZone[[#Headers],[Temperature zone]],0)</f>
        <v>0</v>
      </c>
      <c r="R233" s="35" cm="1">
        <f t="array" ref="R233">Common_InputFunctions.Utility_DisplayArrayInTable(Common_SourceData.Common_SourceData_MCFTemperatureZone_Data(),Table_SourceData_Common_MCFTemperatureZone[[#Headers],[Temperature zone]],0)</f>
        <v>4.7000000000000002E-3</v>
      </c>
      <c r="S233" s="35" cm="1">
        <f t="array" ref="S233">Common_InputFunctions.Utility_DisplayArrayInTable(Common_SourceData.Common_SourceData_MCFTemperatureZone_Data(),Table_SourceData_Common_MCFTemperatureZone[[#Headers],[Temperature zone]],0)</f>
        <v>11</v>
      </c>
    </row>
    <row r="234" spans="4:19" x14ac:dyDescent="0.25">
      <c r="D234" s="1" t="str" cm="1">
        <f t="array" ref="D234">Common_InputFunctions.Utility_DisplayArrayInTable(Common_SourceData.Common_SourceData_MCFTemperatureZone_Data(),Table_SourceData_Common_MCFTemperatureZone[[#Headers],[Temperature zone]],0)</f>
        <v>Cool</v>
      </c>
      <c r="E234" s="35" cm="1">
        <f t="array" ref="E234">Common_InputFunctions.Utility_DisplayArrayInTable(Common_SourceData.Common_SourceData_MCFTemperatureZone_Data(),Table_SourceData_Common_MCFTemperatureZone[[#Headers],[Temperature zone]],0)</f>
        <v>12</v>
      </c>
      <c r="F234" s="35" cm="1">
        <f t="array" ref="F234">Common_InputFunctions.Utility_DisplayArrayInTable(Common_SourceData.Common_SourceData_MCFTemperatureZone_Data(),Table_SourceData_Common_MCFTemperatureZone[[#Headers],[Temperature zone]],0)</f>
        <v>0.7</v>
      </c>
      <c r="G234" s="35" cm="1">
        <f t="array" ref="G234">Common_InputFunctions.Utility_DisplayArrayInTable(Common_SourceData.Common_SourceData_MCFTemperatureZone_Data(),Table_SourceData_Common_MCFTemperatureZone[[#Headers],[Temperature zone]],0)</f>
        <v>0.1</v>
      </c>
      <c r="H234" s="35" cm="1">
        <f t="array" ref="H234">Common_InputFunctions.Utility_DisplayArrayInTable(Common_SourceData.Common_SourceData_MCFTemperatureZone_Data(),Table_SourceData_Common_MCFTemperatureZone[[#Headers],[Temperature zone]],0)</f>
        <v>0.13</v>
      </c>
      <c r="I234" s="35" cm="1">
        <f t="array" ref="I234">Common_InputFunctions.Utility_DisplayArrayInTable(Common_SourceData.Common_SourceData_MCFTemperatureZone_Data(),Table_SourceData_Common_MCFTemperatureZone[[#Headers],[Temperature zone]],0)</f>
        <v>1E-3</v>
      </c>
      <c r="J234" s="35" cm="1">
        <f t="array" ref="J234">Common_InputFunctions.Utility_DisplayArrayInTable(Common_SourceData.Common_SourceData_MCFTemperatureZone_Data(),Table_SourceData_Common_MCFTemperatureZone[[#Headers],[Temperature zone]],0)</f>
        <v>5.0000000000000001E-3</v>
      </c>
      <c r="K234" s="35" cm="1">
        <f t="array" ref="K234">Common_InputFunctions.Utility_DisplayArrayInTable(Common_SourceData.Common_SourceData_MCFTemperatureZone_Data(),Table_SourceData_Common_MCFTemperatureZone[[#Headers],[Temperature zone]],0)</f>
        <v>0.02</v>
      </c>
      <c r="L234" s="35" cm="1">
        <f t="array" ref="L234">Common_InputFunctions.Utility_DisplayArrayInTable(Common_SourceData.Common_SourceData_MCFTemperatureZone_Data(),Table_SourceData_Common_MCFTemperatureZone[[#Headers],[Temperature zone]],0)</f>
        <v>0.03</v>
      </c>
      <c r="M234" s="35" cm="1">
        <f t="array" ref="M234">Common_InputFunctions.Utility_DisplayArrayInTable(Common_SourceData.Common_SourceData_MCFTemperatureZone_Data(),Table_SourceData_Common_MCFTemperatureZone[[#Headers],[Temperature zone]],0)</f>
        <v>0.04</v>
      </c>
      <c r="N234" s="35" cm="1">
        <f t="array" ref="N234">Common_InputFunctions.Utility_DisplayArrayInTable(Common_SourceData.Common_SourceData_MCFTemperatureZone_Data(),Table_SourceData_Common_MCFTemperatureZone[[#Headers],[Temperature zone]],0)</f>
        <v>1.4999999999999999E-2</v>
      </c>
      <c r="O234" s="35" cm="1">
        <f t="array" ref="O234">Common_InputFunctions.Utility_DisplayArrayInTable(Common_SourceData.Common_SourceData_MCFTemperatureZone_Data(),Table_SourceData_Common_MCFTemperatureZone[[#Headers],[Temperature zone]],0)</f>
        <v>1.4999999999999999E-2</v>
      </c>
      <c r="P234" s="35" cm="1">
        <f t="array" ref="P234">Common_InputFunctions.Utility_DisplayArrayInTable(Common_SourceData.Common_SourceData_MCFTemperatureZone_Data(),Table_SourceData_Common_MCFTemperatureZone[[#Headers],[Temperature zone]],0)</f>
        <v>0</v>
      </c>
      <c r="Q234" s="35" cm="1">
        <f t="array" ref="Q234">Common_InputFunctions.Utility_DisplayArrayInTable(Common_SourceData.Common_SourceData_MCFTemperatureZone_Data(),Table_SourceData_Common_MCFTemperatureZone[[#Headers],[Temperature zone]],0)</f>
        <v>0</v>
      </c>
      <c r="R234" s="35" cm="1">
        <f t="array" ref="R234">Common_InputFunctions.Utility_DisplayArrayInTable(Common_SourceData.Common_SourceData_MCFTemperatureZone_Data(),Table_SourceData_Common_MCFTemperatureZone[[#Headers],[Temperature zone]],0)</f>
        <v>4.7000000000000002E-3</v>
      </c>
      <c r="S234" s="35" cm="1">
        <f t="array" ref="S234">Common_InputFunctions.Utility_DisplayArrayInTable(Common_SourceData.Common_SourceData_MCFTemperatureZone_Data(),Table_SourceData_Common_MCFTemperatureZone[[#Headers],[Temperature zone]],0)</f>
        <v>12</v>
      </c>
    </row>
    <row r="235" spans="4:19" x14ac:dyDescent="0.25">
      <c r="D235" s="1" t="str" cm="1">
        <f t="array" ref="D235">Common_InputFunctions.Utility_DisplayArrayInTable(Common_SourceData.Common_SourceData_MCFTemperatureZone_Data(),Table_SourceData_Common_MCFTemperatureZone[[#Headers],[Temperature zone]],0)</f>
        <v>Cool</v>
      </c>
      <c r="E235" s="35" cm="1">
        <f t="array" ref="E235">Common_InputFunctions.Utility_DisplayArrayInTable(Common_SourceData.Common_SourceData_MCFTemperatureZone_Data(),Table_SourceData_Common_MCFTemperatureZone[[#Headers],[Temperature zone]],0)</f>
        <v>13</v>
      </c>
      <c r="F235" s="35" cm="1">
        <f t="array" ref="F235">Common_InputFunctions.Utility_DisplayArrayInTable(Common_SourceData.Common_SourceData_MCFTemperatureZone_Data(),Table_SourceData_Common_MCFTemperatureZone[[#Headers],[Temperature zone]],0)</f>
        <v>0.71</v>
      </c>
      <c r="G235" s="35" cm="1">
        <f t="array" ref="G235">Common_InputFunctions.Utility_DisplayArrayInTable(Common_SourceData.Common_SourceData_MCFTemperatureZone_Data(),Table_SourceData_Common_MCFTemperatureZone[[#Headers],[Temperature zone]],0)</f>
        <v>0.1</v>
      </c>
      <c r="H235" s="35" cm="1">
        <f t="array" ref="H235">Common_InputFunctions.Utility_DisplayArrayInTable(Common_SourceData.Common_SourceData_MCFTemperatureZone_Data(),Table_SourceData_Common_MCFTemperatureZone[[#Headers],[Temperature zone]],0)</f>
        <v>0.14000000000000001</v>
      </c>
      <c r="I235" s="35" cm="1">
        <f t="array" ref="I235">Common_InputFunctions.Utility_DisplayArrayInTable(Common_SourceData.Common_SourceData_MCFTemperatureZone_Data(),Table_SourceData_Common_MCFTemperatureZone[[#Headers],[Temperature zone]],0)</f>
        <v>1E-3</v>
      </c>
      <c r="J235" s="35" cm="1">
        <f t="array" ref="J235">Common_InputFunctions.Utility_DisplayArrayInTable(Common_SourceData.Common_SourceData_MCFTemperatureZone_Data(),Table_SourceData_Common_MCFTemperatureZone[[#Headers],[Temperature zone]],0)</f>
        <v>5.0000000000000001E-3</v>
      </c>
      <c r="K235" s="35" cm="1">
        <f t="array" ref="K235">Common_InputFunctions.Utility_DisplayArrayInTable(Common_SourceData.Common_SourceData_MCFTemperatureZone_Data(),Table_SourceData_Common_MCFTemperatureZone[[#Headers],[Temperature zone]],0)</f>
        <v>0.02</v>
      </c>
      <c r="L235" s="35" cm="1">
        <f t="array" ref="L235">Common_InputFunctions.Utility_DisplayArrayInTable(Common_SourceData.Common_SourceData_MCFTemperatureZone_Data(),Table_SourceData_Common_MCFTemperatureZone[[#Headers],[Temperature zone]],0)</f>
        <v>0.03</v>
      </c>
      <c r="M235" s="35" cm="1">
        <f t="array" ref="M235">Common_InputFunctions.Utility_DisplayArrayInTable(Common_SourceData.Common_SourceData_MCFTemperatureZone_Data(),Table_SourceData_Common_MCFTemperatureZone[[#Headers],[Temperature zone]],0)</f>
        <v>0.04</v>
      </c>
      <c r="N235" s="35" cm="1">
        <f t="array" ref="N235">Common_InputFunctions.Utility_DisplayArrayInTable(Common_SourceData.Common_SourceData_MCFTemperatureZone_Data(),Table_SourceData_Common_MCFTemperatureZone[[#Headers],[Temperature zone]],0)</f>
        <v>1.4999999999999999E-2</v>
      </c>
      <c r="O235" s="35" cm="1">
        <f t="array" ref="O235">Common_InputFunctions.Utility_DisplayArrayInTable(Common_SourceData.Common_SourceData_MCFTemperatureZone_Data(),Table_SourceData_Common_MCFTemperatureZone[[#Headers],[Temperature zone]],0)</f>
        <v>1.4999999999999999E-2</v>
      </c>
      <c r="P235" s="35" cm="1">
        <f t="array" ref="P235">Common_InputFunctions.Utility_DisplayArrayInTable(Common_SourceData.Common_SourceData_MCFTemperatureZone_Data(),Table_SourceData_Common_MCFTemperatureZone[[#Headers],[Temperature zone]],0)</f>
        <v>0</v>
      </c>
      <c r="Q235" s="35" cm="1">
        <f t="array" ref="Q235">Common_InputFunctions.Utility_DisplayArrayInTable(Common_SourceData.Common_SourceData_MCFTemperatureZone_Data(),Table_SourceData_Common_MCFTemperatureZone[[#Headers],[Temperature zone]],0)</f>
        <v>0</v>
      </c>
      <c r="R235" s="35" cm="1">
        <f t="array" ref="R235">Common_InputFunctions.Utility_DisplayArrayInTable(Common_SourceData.Common_SourceData_MCFTemperatureZone_Data(),Table_SourceData_Common_MCFTemperatureZone[[#Headers],[Temperature zone]],0)</f>
        <v>4.7000000000000002E-3</v>
      </c>
      <c r="S235" s="35" cm="1">
        <f t="array" ref="S235">Common_InputFunctions.Utility_DisplayArrayInTable(Common_SourceData.Common_SourceData_MCFTemperatureZone_Data(),Table_SourceData_Common_MCFTemperatureZone[[#Headers],[Temperature zone]],0)</f>
        <v>13</v>
      </c>
    </row>
    <row r="236" spans="4:19" x14ac:dyDescent="0.25">
      <c r="D236" s="1" t="str" cm="1">
        <f t="array" ref="D236">Common_InputFunctions.Utility_DisplayArrayInTable(Common_SourceData.Common_SourceData_MCFTemperatureZone_Data(),Table_SourceData_Common_MCFTemperatureZone[[#Headers],[Temperature zone]],0)</f>
        <v>Cool</v>
      </c>
      <c r="E236" s="35" cm="1">
        <f t="array" ref="E236">Common_InputFunctions.Utility_DisplayArrayInTable(Common_SourceData.Common_SourceData_MCFTemperatureZone_Data(),Table_SourceData_Common_MCFTemperatureZone[[#Headers],[Temperature zone]],0)</f>
        <v>14</v>
      </c>
      <c r="F236" s="35" cm="1">
        <f t="array" ref="F236">Common_InputFunctions.Utility_DisplayArrayInTable(Common_SourceData.Common_SourceData_MCFTemperatureZone_Data(),Table_SourceData_Common_MCFTemperatureZone[[#Headers],[Temperature zone]],0)</f>
        <v>0.73</v>
      </c>
      <c r="G236" s="35" cm="1">
        <f t="array" ref="G236">Common_InputFunctions.Utility_DisplayArrayInTable(Common_SourceData.Common_SourceData_MCFTemperatureZone_Data(),Table_SourceData_Common_MCFTemperatureZone[[#Headers],[Temperature zone]],0)</f>
        <v>0.1</v>
      </c>
      <c r="H236" s="35" cm="1">
        <f t="array" ref="H236">Common_InputFunctions.Utility_DisplayArrayInTable(Common_SourceData.Common_SourceData_MCFTemperatureZone_Data(),Table_SourceData_Common_MCFTemperatureZone[[#Headers],[Temperature zone]],0)</f>
        <v>0.15</v>
      </c>
      <c r="I236" s="35" cm="1">
        <f t="array" ref="I236">Common_InputFunctions.Utility_DisplayArrayInTable(Common_SourceData.Common_SourceData_MCFTemperatureZone_Data(),Table_SourceData_Common_MCFTemperatureZone[[#Headers],[Temperature zone]],0)</f>
        <v>1E-3</v>
      </c>
      <c r="J236" s="35" cm="1">
        <f t="array" ref="J236">Common_InputFunctions.Utility_DisplayArrayInTable(Common_SourceData.Common_SourceData_MCFTemperatureZone_Data(),Table_SourceData_Common_MCFTemperatureZone[[#Headers],[Temperature zone]],0)</f>
        <v>5.0000000000000001E-3</v>
      </c>
      <c r="K236" s="35" cm="1">
        <f t="array" ref="K236">Common_InputFunctions.Utility_DisplayArrayInTable(Common_SourceData.Common_SourceData_MCFTemperatureZone_Data(),Table_SourceData_Common_MCFTemperatureZone[[#Headers],[Temperature zone]],0)</f>
        <v>0.02</v>
      </c>
      <c r="L236" s="35" cm="1">
        <f t="array" ref="L236">Common_InputFunctions.Utility_DisplayArrayInTable(Common_SourceData.Common_SourceData_MCFTemperatureZone_Data(),Table_SourceData_Common_MCFTemperatureZone[[#Headers],[Temperature zone]],0)</f>
        <v>0.03</v>
      </c>
      <c r="M236" s="35" cm="1">
        <f t="array" ref="M236">Common_InputFunctions.Utility_DisplayArrayInTable(Common_SourceData.Common_SourceData_MCFTemperatureZone_Data(),Table_SourceData_Common_MCFTemperatureZone[[#Headers],[Temperature zone]],0)</f>
        <v>0.04</v>
      </c>
      <c r="N236" s="35" cm="1">
        <f t="array" ref="N236">Common_InputFunctions.Utility_DisplayArrayInTable(Common_SourceData.Common_SourceData_MCFTemperatureZone_Data(),Table_SourceData_Common_MCFTemperatureZone[[#Headers],[Temperature zone]],0)</f>
        <v>1.4999999999999999E-2</v>
      </c>
      <c r="O236" s="35" cm="1">
        <f t="array" ref="O236">Common_InputFunctions.Utility_DisplayArrayInTable(Common_SourceData.Common_SourceData_MCFTemperatureZone_Data(),Table_SourceData_Common_MCFTemperatureZone[[#Headers],[Temperature zone]],0)</f>
        <v>1.4999999999999999E-2</v>
      </c>
      <c r="P236" s="35" cm="1">
        <f t="array" ref="P236">Common_InputFunctions.Utility_DisplayArrayInTable(Common_SourceData.Common_SourceData_MCFTemperatureZone_Data(),Table_SourceData_Common_MCFTemperatureZone[[#Headers],[Temperature zone]],0)</f>
        <v>0</v>
      </c>
      <c r="Q236" s="35" cm="1">
        <f t="array" ref="Q236">Common_InputFunctions.Utility_DisplayArrayInTable(Common_SourceData.Common_SourceData_MCFTemperatureZone_Data(),Table_SourceData_Common_MCFTemperatureZone[[#Headers],[Temperature zone]],0)</f>
        <v>0</v>
      </c>
      <c r="R236" s="35" cm="1">
        <f t="array" ref="R236">Common_InputFunctions.Utility_DisplayArrayInTable(Common_SourceData.Common_SourceData_MCFTemperatureZone_Data(),Table_SourceData_Common_MCFTemperatureZone[[#Headers],[Temperature zone]],0)</f>
        <v>4.7000000000000002E-3</v>
      </c>
      <c r="S236" s="35" cm="1">
        <f t="array" ref="S236">Common_InputFunctions.Utility_DisplayArrayInTable(Common_SourceData.Common_SourceData_MCFTemperatureZone_Data(),Table_SourceData_Common_MCFTemperatureZone[[#Headers],[Temperature zone]],0)</f>
        <v>14</v>
      </c>
    </row>
    <row r="237" spans="4:19" x14ac:dyDescent="0.25">
      <c r="D237" s="1" t="str" cm="1">
        <f t="array" ref="D237">Common_InputFunctions.Utility_DisplayArrayInTable(Common_SourceData.Common_SourceData_MCFTemperatureZone_Data(),Table_SourceData_Common_MCFTemperatureZone[[#Headers],[Temperature zone]],0)</f>
        <v>Temperate</v>
      </c>
      <c r="E237" s="35" cm="1">
        <f t="array" ref="E237">Common_InputFunctions.Utility_DisplayArrayInTable(Common_SourceData.Common_SourceData_MCFTemperatureZone_Data(),Table_SourceData_Common_MCFTemperatureZone[[#Headers],[Temperature zone]],0)</f>
        <v>15</v>
      </c>
      <c r="F237" s="35" cm="1">
        <f t="array" ref="F237">Common_InputFunctions.Utility_DisplayArrayInTable(Common_SourceData.Common_SourceData_MCFTemperatureZone_Data(),Table_SourceData_Common_MCFTemperatureZone[[#Headers],[Temperature zone]],0)</f>
        <v>0.74</v>
      </c>
      <c r="G237" s="35" cm="1">
        <f t="array" ref="G237">Common_InputFunctions.Utility_DisplayArrayInTable(Common_SourceData.Common_SourceData_MCFTemperatureZone_Data(),Table_SourceData_Common_MCFTemperatureZone[[#Headers],[Temperature zone]],0)</f>
        <v>0.1</v>
      </c>
      <c r="H237" s="35" cm="1">
        <f t="array" ref="H237">Common_InputFunctions.Utility_DisplayArrayInTable(Common_SourceData.Common_SourceData_MCFTemperatureZone_Data(),Table_SourceData_Common_MCFTemperatureZone[[#Headers],[Temperature zone]],0)</f>
        <v>0.17</v>
      </c>
      <c r="I237" s="35" cm="1">
        <f t="array" ref="I237">Common_InputFunctions.Utility_DisplayArrayInTable(Common_SourceData.Common_SourceData_MCFTemperatureZone_Data(),Table_SourceData_Common_MCFTemperatureZone[[#Headers],[Temperature zone]],0)</f>
        <v>5.0000000000000001E-3</v>
      </c>
      <c r="J237" s="35" cm="1">
        <f t="array" ref="J237">Common_InputFunctions.Utility_DisplayArrayInTable(Common_SourceData.Common_SourceData_MCFTemperatureZone_Data(),Table_SourceData_Common_MCFTemperatureZone[[#Headers],[Temperature zone]],0)</f>
        <v>0.01</v>
      </c>
      <c r="K237" s="35" cm="1">
        <f t="array" ref="K237">Common_InputFunctions.Utility_DisplayArrayInTable(Common_SourceData.Common_SourceData_MCFTemperatureZone_Data(),Table_SourceData_Common_MCFTemperatureZone[[#Headers],[Temperature zone]],0)</f>
        <v>0.02</v>
      </c>
      <c r="L237" s="35" cm="1">
        <f t="array" ref="L237">Common_InputFunctions.Utility_DisplayArrayInTable(Common_SourceData.Common_SourceData_MCFTemperatureZone_Data(),Table_SourceData_Common_MCFTemperatureZone[[#Headers],[Temperature zone]],0)</f>
        <v>0.03</v>
      </c>
      <c r="M237" s="35" cm="1">
        <f t="array" ref="M237">Common_InputFunctions.Utility_DisplayArrayInTable(Common_SourceData.Common_SourceData_MCFTemperatureZone_Data(),Table_SourceData_Common_MCFTemperatureZone[[#Headers],[Temperature zone]],0)</f>
        <v>0.04</v>
      </c>
      <c r="N237" s="35" cm="1">
        <f t="array" ref="N237">Common_InputFunctions.Utility_DisplayArrayInTable(Common_SourceData.Common_SourceData_MCFTemperatureZone_Data(),Table_SourceData_Common_MCFTemperatureZone[[#Headers],[Temperature zone]],0)</f>
        <v>1.4999999999999999E-2</v>
      </c>
      <c r="O237" s="35" cm="1">
        <f t="array" ref="O237">Common_InputFunctions.Utility_DisplayArrayInTable(Common_SourceData.Common_SourceData_MCFTemperatureZone_Data(),Table_SourceData_Common_MCFTemperatureZone[[#Headers],[Temperature zone]],0)</f>
        <v>1.4999999999999999E-2</v>
      </c>
      <c r="P237" s="35" cm="1">
        <f t="array" ref="P237">Common_InputFunctions.Utility_DisplayArrayInTable(Common_SourceData.Common_SourceData_MCFTemperatureZone_Data(),Table_SourceData_Common_MCFTemperatureZone[[#Headers],[Temperature zone]],0)</f>
        <v>0</v>
      </c>
      <c r="Q237" s="35" cm="1">
        <f t="array" ref="Q237">Common_InputFunctions.Utility_DisplayArrayInTable(Common_SourceData.Common_SourceData_MCFTemperatureZone_Data(),Table_SourceData_Common_MCFTemperatureZone[[#Headers],[Temperature zone]],0)</f>
        <v>0</v>
      </c>
      <c r="R237" s="35" cm="1">
        <f t="array" ref="R237">Common_InputFunctions.Utility_DisplayArrayInTable(Common_SourceData.Common_SourceData_MCFTemperatureZone_Data(),Table_SourceData_Common_MCFTemperatureZone[[#Headers],[Temperature zone]],0)</f>
        <v>4.7000000000000002E-3</v>
      </c>
      <c r="S237" s="35" cm="1">
        <f t="array" ref="S237">Common_InputFunctions.Utility_DisplayArrayInTable(Common_SourceData.Common_SourceData_MCFTemperatureZone_Data(),Table_SourceData_Common_MCFTemperatureZone[[#Headers],[Temperature zone]],0)</f>
        <v>15</v>
      </c>
    </row>
    <row r="238" spans="4:19" x14ac:dyDescent="0.25">
      <c r="D238" s="1" t="str" cm="1">
        <f t="array" ref="D238">Common_InputFunctions.Utility_DisplayArrayInTable(Common_SourceData.Common_SourceData_MCFTemperatureZone_Data(),Table_SourceData_Common_MCFTemperatureZone[[#Headers],[Temperature zone]],0)</f>
        <v>Temperate</v>
      </c>
      <c r="E238" s="35" cm="1">
        <f t="array" ref="E238">Common_InputFunctions.Utility_DisplayArrayInTable(Common_SourceData.Common_SourceData_MCFTemperatureZone_Data(),Table_SourceData_Common_MCFTemperatureZone[[#Headers],[Temperature zone]],0)</f>
        <v>16</v>
      </c>
      <c r="F238" s="35" cm="1">
        <f t="array" ref="F238">Common_InputFunctions.Utility_DisplayArrayInTable(Common_SourceData.Common_SourceData_MCFTemperatureZone_Data(),Table_SourceData_Common_MCFTemperatureZone[[#Headers],[Temperature zone]],0)</f>
        <v>0.75</v>
      </c>
      <c r="G238" s="35" cm="1">
        <f t="array" ref="G238">Common_InputFunctions.Utility_DisplayArrayInTable(Common_SourceData.Common_SourceData_MCFTemperatureZone_Data(),Table_SourceData_Common_MCFTemperatureZone[[#Headers],[Temperature zone]],0)</f>
        <v>0.1</v>
      </c>
      <c r="H238" s="35" cm="1">
        <f t="array" ref="H238">Common_InputFunctions.Utility_DisplayArrayInTable(Common_SourceData.Common_SourceData_MCFTemperatureZone_Data(),Table_SourceData_Common_MCFTemperatureZone[[#Headers],[Temperature zone]],0)</f>
        <v>0.18</v>
      </c>
      <c r="I238" s="35" cm="1">
        <f t="array" ref="I238">Common_InputFunctions.Utility_DisplayArrayInTable(Common_SourceData.Common_SourceData_MCFTemperatureZone_Data(),Table_SourceData_Common_MCFTemperatureZone[[#Headers],[Temperature zone]],0)</f>
        <v>5.0000000000000001E-3</v>
      </c>
      <c r="J238" s="35" cm="1">
        <f t="array" ref="J238">Common_InputFunctions.Utility_DisplayArrayInTable(Common_SourceData.Common_SourceData_MCFTemperatureZone_Data(),Table_SourceData_Common_MCFTemperatureZone[[#Headers],[Temperature zone]],0)</f>
        <v>0.01</v>
      </c>
      <c r="K238" s="35" cm="1">
        <f t="array" ref="K238">Common_InputFunctions.Utility_DisplayArrayInTable(Common_SourceData.Common_SourceData_MCFTemperatureZone_Data(),Table_SourceData_Common_MCFTemperatureZone[[#Headers],[Temperature zone]],0)</f>
        <v>0.02</v>
      </c>
      <c r="L238" s="35" cm="1">
        <f t="array" ref="L238">Common_InputFunctions.Utility_DisplayArrayInTable(Common_SourceData.Common_SourceData_MCFTemperatureZone_Data(),Table_SourceData_Common_MCFTemperatureZone[[#Headers],[Temperature zone]],0)</f>
        <v>0.03</v>
      </c>
      <c r="M238" s="35" cm="1">
        <f t="array" ref="M238">Common_InputFunctions.Utility_DisplayArrayInTable(Common_SourceData.Common_SourceData_MCFTemperatureZone_Data(),Table_SourceData_Common_MCFTemperatureZone[[#Headers],[Temperature zone]],0)</f>
        <v>0.04</v>
      </c>
      <c r="N238" s="35" cm="1">
        <f t="array" ref="N238">Common_InputFunctions.Utility_DisplayArrayInTable(Common_SourceData.Common_SourceData_MCFTemperatureZone_Data(),Table_SourceData_Common_MCFTemperatureZone[[#Headers],[Temperature zone]],0)</f>
        <v>1.4999999999999999E-2</v>
      </c>
      <c r="O238" s="35" cm="1">
        <f t="array" ref="O238">Common_InputFunctions.Utility_DisplayArrayInTable(Common_SourceData.Common_SourceData_MCFTemperatureZone_Data(),Table_SourceData_Common_MCFTemperatureZone[[#Headers],[Temperature zone]],0)</f>
        <v>1.4999999999999999E-2</v>
      </c>
      <c r="P238" s="35" cm="1">
        <f t="array" ref="P238">Common_InputFunctions.Utility_DisplayArrayInTable(Common_SourceData.Common_SourceData_MCFTemperatureZone_Data(),Table_SourceData_Common_MCFTemperatureZone[[#Headers],[Temperature zone]],0)</f>
        <v>0</v>
      </c>
      <c r="Q238" s="35" cm="1">
        <f t="array" ref="Q238">Common_InputFunctions.Utility_DisplayArrayInTable(Common_SourceData.Common_SourceData_MCFTemperatureZone_Data(),Table_SourceData_Common_MCFTemperatureZone[[#Headers],[Temperature zone]],0)</f>
        <v>0</v>
      </c>
      <c r="R238" s="35" cm="1">
        <f t="array" ref="R238">Common_InputFunctions.Utility_DisplayArrayInTable(Common_SourceData.Common_SourceData_MCFTemperatureZone_Data(),Table_SourceData_Common_MCFTemperatureZone[[#Headers],[Temperature zone]],0)</f>
        <v>4.7000000000000002E-3</v>
      </c>
      <c r="S238" s="35" cm="1">
        <f t="array" ref="S238">Common_InputFunctions.Utility_DisplayArrayInTable(Common_SourceData.Common_SourceData_MCFTemperatureZone_Data(),Table_SourceData_Common_MCFTemperatureZone[[#Headers],[Temperature zone]],0)</f>
        <v>16</v>
      </c>
    </row>
    <row r="239" spans="4:19" x14ac:dyDescent="0.25">
      <c r="D239" s="1" t="str" cm="1">
        <f t="array" ref="D239">Common_InputFunctions.Utility_DisplayArrayInTable(Common_SourceData.Common_SourceData_MCFTemperatureZone_Data(),Table_SourceData_Common_MCFTemperatureZone[[#Headers],[Temperature zone]],0)</f>
        <v>Temperate</v>
      </c>
      <c r="E239" s="35" cm="1">
        <f t="array" ref="E239">Common_InputFunctions.Utility_DisplayArrayInTable(Common_SourceData.Common_SourceData_MCFTemperatureZone_Data(),Table_SourceData_Common_MCFTemperatureZone[[#Headers],[Temperature zone]],0)</f>
        <v>17</v>
      </c>
      <c r="F239" s="35" cm="1">
        <f t="array" ref="F239">Common_InputFunctions.Utility_DisplayArrayInTable(Common_SourceData.Common_SourceData_MCFTemperatureZone_Data(),Table_SourceData_Common_MCFTemperatureZone[[#Headers],[Temperature zone]],0)</f>
        <v>0.76</v>
      </c>
      <c r="G239" s="35" cm="1">
        <f t="array" ref="G239">Common_InputFunctions.Utility_DisplayArrayInTable(Common_SourceData.Common_SourceData_MCFTemperatureZone_Data(),Table_SourceData_Common_MCFTemperatureZone[[#Headers],[Temperature zone]],0)</f>
        <v>0.1</v>
      </c>
      <c r="H239" s="35" cm="1">
        <f t="array" ref="H239">Common_InputFunctions.Utility_DisplayArrayInTable(Common_SourceData.Common_SourceData_MCFTemperatureZone_Data(),Table_SourceData_Common_MCFTemperatureZone[[#Headers],[Temperature zone]],0)</f>
        <v>0.2</v>
      </c>
      <c r="I239" s="35" cm="1">
        <f t="array" ref="I239">Common_InputFunctions.Utility_DisplayArrayInTable(Common_SourceData.Common_SourceData_MCFTemperatureZone_Data(),Table_SourceData_Common_MCFTemperatureZone[[#Headers],[Temperature zone]],0)</f>
        <v>5.0000000000000001E-3</v>
      </c>
      <c r="J239" s="35" cm="1">
        <f t="array" ref="J239">Common_InputFunctions.Utility_DisplayArrayInTable(Common_SourceData.Common_SourceData_MCFTemperatureZone_Data(),Table_SourceData_Common_MCFTemperatureZone[[#Headers],[Temperature zone]],0)</f>
        <v>0.01</v>
      </c>
      <c r="K239" s="35" cm="1">
        <f t="array" ref="K239">Common_InputFunctions.Utility_DisplayArrayInTable(Common_SourceData.Common_SourceData_MCFTemperatureZone_Data(),Table_SourceData_Common_MCFTemperatureZone[[#Headers],[Temperature zone]],0)</f>
        <v>0.02</v>
      </c>
      <c r="L239" s="35" cm="1">
        <f t="array" ref="L239">Common_InputFunctions.Utility_DisplayArrayInTable(Common_SourceData.Common_SourceData_MCFTemperatureZone_Data(),Table_SourceData_Common_MCFTemperatureZone[[#Headers],[Temperature zone]],0)</f>
        <v>0.03</v>
      </c>
      <c r="M239" s="35" cm="1">
        <f t="array" ref="M239">Common_InputFunctions.Utility_DisplayArrayInTable(Common_SourceData.Common_SourceData_MCFTemperatureZone_Data(),Table_SourceData_Common_MCFTemperatureZone[[#Headers],[Temperature zone]],0)</f>
        <v>0.04</v>
      </c>
      <c r="N239" s="35" cm="1">
        <f t="array" ref="N239">Common_InputFunctions.Utility_DisplayArrayInTable(Common_SourceData.Common_SourceData_MCFTemperatureZone_Data(),Table_SourceData_Common_MCFTemperatureZone[[#Headers],[Temperature zone]],0)</f>
        <v>1.4999999999999999E-2</v>
      </c>
      <c r="O239" s="35" cm="1">
        <f t="array" ref="O239">Common_InputFunctions.Utility_DisplayArrayInTable(Common_SourceData.Common_SourceData_MCFTemperatureZone_Data(),Table_SourceData_Common_MCFTemperatureZone[[#Headers],[Temperature zone]],0)</f>
        <v>1.4999999999999999E-2</v>
      </c>
      <c r="P239" s="35" cm="1">
        <f t="array" ref="P239">Common_InputFunctions.Utility_DisplayArrayInTable(Common_SourceData.Common_SourceData_MCFTemperatureZone_Data(),Table_SourceData_Common_MCFTemperatureZone[[#Headers],[Temperature zone]],0)</f>
        <v>0</v>
      </c>
      <c r="Q239" s="35" cm="1">
        <f t="array" ref="Q239">Common_InputFunctions.Utility_DisplayArrayInTable(Common_SourceData.Common_SourceData_MCFTemperatureZone_Data(),Table_SourceData_Common_MCFTemperatureZone[[#Headers],[Temperature zone]],0)</f>
        <v>0</v>
      </c>
      <c r="R239" s="35" cm="1">
        <f t="array" ref="R239">Common_InputFunctions.Utility_DisplayArrayInTable(Common_SourceData.Common_SourceData_MCFTemperatureZone_Data(),Table_SourceData_Common_MCFTemperatureZone[[#Headers],[Temperature zone]],0)</f>
        <v>4.7000000000000002E-3</v>
      </c>
      <c r="S239" s="35" cm="1">
        <f t="array" ref="S239">Common_InputFunctions.Utility_DisplayArrayInTable(Common_SourceData.Common_SourceData_MCFTemperatureZone_Data(),Table_SourceData_Common_MCFTemperatureZone[[#Headers],[Temperature zone]],0)</f>
        <v>17</v>
      </c>
    </row>
    <row r="240" spans="4:19" x14ac:dyDescent="0.25">
      <c r="D240" s="1" t="str" cm="1">
        <f t="array" ref="D240">Common_InputFunctions.Utility_DisplayArrayInTable(Common_SourceData.Common_SourceData_MCFTemperatureZone_Data(),Table_SourceData_Common_MCFTemperatureZone[[#Headers],[Temperature zone]],0)</f>
        <v>Temperate</v>
      </c>
      <c r="E240" s="35" cm="1">
        <f t="array" ref="E240">Common_InputFunctions.Utility_DisplayArrayInTable(Common_SourceData.Common_SourceData_MCFTemperatureZone_Data(),Table_SourceData_Common_MCFTemperatureZone[[#Headers],[Temperature zone]],0)</f>
        <v>18</v>
      </c>
      <c r="F240" s="35" cm="1">
        <f t="array" ref="F240">Common_InputFunctions.Utility_DisplayArrayInTable(Common_SourceData.Common_SourceData_MCFTemperatureZone_Data(),Table_SourceData_Common_MCFTemperatureZone[[#Headers],[Temperature zone]],0)</f>
        <v>0.77</v>
      </c>
      <c r="G240" s="35" cm="1">
        <f t="array" ref="G240">Common_InputFunctions.Utility_DisplayArrayInTable(Common_SourceData.Common_SourceData_MCFTemperatureZone_Data(),Table_SourceData_Common_MCFTemperatureZone[[#Headers],[Temperature zone]],0)</f>
        <v>0.1</v>
      </c>
      <c r="H240" s="35" cm="1">
        <f t="array" ref="H240">Common_InputFunctions.Utility_DisplayArrayInTable(Common_SourceData.Common_SourceData_MCFTemperatureZone_Data(),Table_SourceData_Common_MCFTemperatureZone[[#Headers],[Temperature zone]],0)</f>
        <v>0.22</v>
      </c>
      <c r="I240" s="35" cm="1">
        <f t="array" ref="I240">Common_InputFunctions.Utility_DisplayArrayInTable(Common_SourceData.Common_SourceData_MCFTemperatureZone_Data(),Table_SourceData_Common_MCFTemperatureZone[[#Headers],[Temperature zone]],0)</f>
        <v>5.0000000000000001E-3</v>
      </c>
      <c r="J240" s="35" cm="1">
        <f t="array" ref="J240">Common_InputFunctions.Utility_DisplayArrayInTable(Common_SourceData.Common_SourceData_MCFTemperatureZone_Data(),Table_SourceData_Common_MCFTemperatureZone[[#Headers],[Temperature zone]],0)</f>
        <v>0.01</v>
      </c>
      <c r="K240" s="35" cm="1">
        <f t="array" ref="K240">Common_InputFunctions.Utility_DisplayArrayInTable(Common_SourceData.Common_SourceData_MCFTemperatureZone_Data(),Table_SourceData_Common_MCFTemperatureZone[[#Headers],[Temperature zone]],0)</f>
        <v>0.02</v>
      </c>
      <c r="L240" s="35" cm="1">
        <f t="array" ref="L240">Common_InputFunctions.Utility_DisplayArrayInTable(Common_SourceData.Common_SourceData_MCFTemperatureZone_Data(),Table_SourceData_Common_MCFTemperatureZone[[#Headers],[Temperature zone]],0)</f>
        <v>0.03</v>
      </c>
      <c r="M240" s="35" cm="1">
        <f t="array" ref="M240">Common_InputFunctions.Utility_DisplayArrayInTable(Common_SourceData.Common_SourceData_MCFTemperatureZone_Data(),Table_SourceData_Common_MCFTemperatureZone[[#Headers],[Temperature zone]],0)</f>
        <v>0.04</v>
      </c>
      <c r="N240" s="35" cm="1">
        <f t="array" ref="N240">Common_InputFunctions.Utility_DisplayArrayInTable(Common_SourceData.Common_SourceData_MCFTemperatureZone_Data(),Table_SourceData_Common_MCFTemperatureZone[[#Headers],[Temperature zone]],0)</f>
        <v>1.4999999999999999E-2</v>
      </c>
      <c r="O240" s="35" cm="1">
        <f t="array" ref="O240">Common_InputFunctions.Utility_DisplayArrayInTable(Common_SourceData.Common_SourceData_MCFTemperatureZone_Data(),Table_SourceData_Common_MCFTemperatureZone[[#Headers],[Temperature zone]],0)</f>
        <v>1.4999999999999999E-2</v>
      </c>
      <c r="P240" s="35" cm="1">
        <f t="array" ref="P240">Common_InputFunctions.Utility_DisplayArrayInTable(Common_SourceData.Common_SourceData_MCFTemperatureZone_Data(),Table_SourceData_Common_MCFTemperatureZone[[#Headers],[Temperature zone]],0)</f>
        <v>0</v>
      </c>
      <c r="Q240" s="35" cm="1">
        <f t="array" ref="Q240">Common_InputFunctions.Utility_DisplayArrayInTable(Common_SourceData.Common_SourceData_MCFTemperatureZone_Data(),Table_SourceData_Common_MCFTemperatureZone[[#Headers],[Temperature zone]],0)</f>
        <v>0</v>
      </c>
      <c r="R240" s="35" cm="1">
        <f t="array" ref="R240">Common_InputFunctions.Utility_DisplayArrayInTable(Common_SourceData.Common_SourceData_MCFTemperatureZone_Data(),Table_SourceData_Common_MCFTemperatureZone[[#Headers],[Temperature zone]],0)</f>
        <v>4.7000000000000002E-3</v>
      </c>
      <c r="S240" s="35" cm="1">
        <f t="array" ref="S240">Common_InputFunctions.Utility_DisplayArrayInTable(Common_SourceData.Common_SourceData_MCFTemperatureZone_Data(),Table_SourceData_Common_MCFTemperatureZone[[#Headers],[Temperature zone]],0)</f>
        <v>18</v>
      </c>
    </row>
    <row r="241" spans="4:19" x14ac:dyDescent="0.25">
      <c r="D241" s="1" t="str" cm="1">
        <f t="array" ref="D241">Common_InputFunctions.Utility_DisplayArrayInTable(Common_SourceData.Common_SourceData_MCFTemperatureZone_Data(),Table_SourceData_Common_MCFTemperatureZone[[#Headers],[Temperature zone]],0)</f>
        <v>Temperate</v>
      </c>
      <c r="E241" s="35" cm="1">
        <f t="array" ref="E241">Common_InputFunctions.Utility_DisplayArrayInTable(Common_SourceData.Common_SourceData_MCFTemperatureZone_Data(),Table_SourceData_Common_MCFTemperatureZone[[#Headers],[Temperature zone]],0)</f>
        <v>19</v>
      </c>
      <c r="F241" s="35" cm="1">
        <f t="array" ref="F241">Common_InputFunctions.Utility_DisplayArrayInTable(Common_SourceData.Common_SourceData_MCFTemperatureZone_Data(),Table_SourceData_Common_MCFTemperatureZone[[#Headers],[Temperature zone]],0)</f>
        <v>0.77</v>
      </c>
      <c r="G241" s="35" cm="1">
        <f t="array" ref="G241">Common_InputFunctions.Utility_DisplayArrayInTable(Common_SourceData.Common_SourceData_MCFTemperatureZone_Data(),Table_SourceData_Common_MCFTemperatureZone[[#Headers],[Temperature zone]],0)</f>
        <v>0.1</v>
      </c>
      <c r="H241" s="35" cm="1">
        <f t="array" ref="H241">Common_InputFunctions.Utility_DisplayArrayInTable(Common_SourceData.Common_SourceData_MCFTemperatureZone_Data(),Table_SourceData_Common_MCFTemperatureZone[[#Headers],[Temperature zone]],0)</f>
        <v>0.24</v>
      </c>
      <c r="I241" s="35" cm="1">
        <f t="array" ref="I241">Common_InputFunctions.Utility_DisplayArrayInTable(Common_SourceData.Common_SourceData_MCFTemperatureZone_Data(),Table_SourceData_Common_MCFTemperatureZone[[#Headers],[Temperature zone]],0)</f>
        <v>5.0000000000000001E-3</v>
      </c>
      <c r="J241" s="35" cm="1">
        <f t="array" ref="J241">Common_InputFunctions.Utility_DisplayArrayInTable(Common_SourceData.Common_SourceData_MCFTemperatureZone_Data(),Table_SourceData_Common_MCFTemperatureZone[[#Headers],[Temperature zone]],0)</f>
        <v>0.01</v>
      </c>
      <c r="K241" s="35" cm="1">
        <f t="array" ref="K241">Common_InputFunctions.Utility_DisplayArrayInTable(Common_SourceData.Common_SourceData_MCFTemperatureZone_Data(),Table_SourceData_Common_MCFTemperatureZone[[#Headers],[Temperature zone]],0)</f>
        <v>0.02</v>
      </c>
      <c r="L241" s="35" cm="1">
        <f t="array" ref="L241">Common_InputFunctions.Utility_DisplayArrayInTable(Common_SourceData.Common_SourceData_MCFTemperatureZone_Data(),Table_SourceData_Common_MCFTemperatureZone[[#Headers],[Temperature zone]],0)</f>
        <v>0.03</v>
      </c>
      <c r="M241" s="35" cm="1">
        <f t="array" ref="M241">Common_InputFunctions.Utility_DisplayArrayInTable(Common_SourceData.Common_SourceData_MCFTemperatureZone_Data(),Table_SourceData_Common_MCFTemperatureZone[[#Headers],[Temperature zone]],0)</f>
        <v>0.04</v>
      </c>
      <c r="N241" s="35" cm="1">
        <f t="array" ref="N241">Common_InputFunctions.Utility_DisplayArrayInTable(Common_SourceData.Common_SourceData_MCFTemperatureZone_Data(),Table_SourceData_Common_MCFTemperatureZone[[#Headers],[Temperature zone]],0)</f>
        <v>1.4999999999999999E-2</v>
      </c>
      <c r="O241" s="35" cm="1">
        <f t="array" ref="O241">Common_InputFunctions.Utility_DisplayArrayInTable(Common_SourceData.Common_SourceData_MCFTemperatureZone_Data(),Table_SourceData_Common_MCFTemperatureZone[[#Headers],[Temperature zone]],0)</f>
        <v>1.4999999999999999E-2</v>
      </c>
      <c r="P241" s="35" cm="1">
        <f t="array" ref="P241">Common_InputFunctions.Utility_DisplayArrayInTable(Common_SourceData.Common_SourceData_MCFTemperatureZone_Data(),Table_SourceData_Common_MCFTemperatureZone[[#Headers],[Temperature zone]],0)</f>
        <v>0</v>
      </c>
      <c r="Q241" s="35" cm="1">
        <f t="array" ref="Q241">Common_InputFunctions.Utility_DisplayArrayInTable(Common_SourceData.Common_SourceData_MCFTemperatureZone_Data(),Table_SourceData_Common_MCFTemperatureZone[[#Headers],[Temperature zone]],0)</f>
        <v>0</v>
      </c>
      <c r="R241" s="35" cm="1">
        <f t="array" ref="R241">Common_InputFunctions.Utility_DisplayArrayInTable(Common_SourceData.Common_SourceData_MCFTemperatureZone_Data(),Table_SourceData_Common_MCFTemperatureZone[[#Headers],[Temperature zone]],0)</f>
        <v>4.7000000000000002E-3</v>
      </c>
      <c r="S241" s="35" cm="1">
        <f t="array" ref="S241">Common_InputFunctions.Utility_DisplayArrayInTable(Common_SourceData.Common_SourceData_MCFTemperatureZone_Data(),Table_SourceData_Common_MCFTemperatureZone[[#Headers],[Temperature zone]],0)</f>
        <v>19</v>
      </c>
    </row>
    <row r="242" spans="4:19" x14ac:dyDescent="0.25">
      <c r="D242" s="1" t="str" cm="1">
        <f t="array" ref="D242">Common_InputFunctions.Utility_DisplayArrayInTable(Common_SourceData.Common_SourceData_MCFTemperatureZone_Data(),Table_SourceData_Common_MCFTemperatureZone[[#Headers],[Temperature zone]],0)</f>
        <v>Temperate</v>
      </c>
      <c r="E242" s="35" cm="1">
        <f t="array" ref="E242">Common_InputFunctions.Utility_DisplayArrayInTable(Common_SourceData.Common_SourceData_MCFTemperatureZone_Data(),Table_SourceData_Common_MCFTemperatureZone[[#Headers],[Temperature zone]],0)</f>
        <v>20</v>
      </c>
      <c r="F242" s="35" cm="1">
        <f t="array" ref="F242">Common_InputFunctions.Utility_DisplayArrayInTable(Common_SourceData.Common_SourceData_MCFTemperatureZone_Data(),Table_SourceData_Common_MCFTemperatureZone[[#Headers],[Temperature zone]],0)</f>
        <v>0.78</v>
      </c>
      <c r="G242" s="35" cm="1">
        <f t="array" ref="G242">Common_InputFunctions.Utility_DisplayArrayInTable(Common_SourceData.Common_SourceData_MCFTemperatureZone_Data(),Table_SourceData_Common_MCFTemperatureZone[[#Headers],[Temperature zone]],0)</f>
        <v>0.1</v>
      </c>
      <c r="H242" s="35" cm="1">
        <f t="array" ref="H242">Common_InputFunctions.Utility_DisplayArrayInTable(Common_SourceData.Common_SourceData_MCFTemperatureZone_Data(),Table_SourceData_Common_MCFTemperatureZone[[#Headers],[Temperature zone]],0)</f>
        <v>0.26</v>
      </c>
      <c r="I242" s="35" cm="1">
        <f t="array" ref="I242">Common_InputFunctions.Utility_DisplayArrayInTable(Common_SourceData.Common_SourceData_MCFTemperatureZone_Data(),Table_SourceData_Common_MCFTemperatureZone[[#Headers],[Temperature zone]],0)</f>
        <v>5.0000000000000001E-3</v>
      </c>
      <c r="J242" s="35" cm="1">
        <f t="array" ref="J242">Common_InputFunctions.Utility_DisplayArrayInTable(Common_SourceData.Common_SourceData_MCFTemperatureZone_Data(),Table_SourceData_Common_MCFTemperatureZone[[#Headers],[Temperature zone]],0)</f>
        <v>0.01</v>
      </c>
      <c r="K242" s="35" cm="1">
        <f t="array" ref="K242">Common_InputFunctions.Utility_DisplayArrayInTable(Common_SourceData.Common_SourceData_MCFTemperatureZone_Data(),Table_SourceData_Common_MCFTemperatureZone[[#Headers],[Temperature zone]],0)</f>
        <v>0.02</v>
      </c>
      <c r="L242" s="35" cm="1">
        <f t="array" ref="L242">Common_InputFunctions.Utility_DisplayArrayInTable(Common_SourceData.Common_SourceData_MCFTemperatureZone_Data(),Table_SourceData_Common_MCFTemperatureZone[[#Headers],[Temperature zone]],0)</f>
        <v>0.03</v>
      </c>
      <c r="M242" s="35" cm="1">
        <f t="array" ref="M242">Common_InputFunctions.Utility_DisplayArrayInTable(Common_SourceData.Common_SourceData_MCFTemperatureZone_Data(),Table_SourceData_Common_MCFTemperatureZone[[#Headers],[Temperature zone]],0)</f>
        <v>0.04</v>
      </c>
      <c r="N242" s="35" cm="1">
        <f t="array" ref="N242">Common_InputFunctions.Utility_DisplayArrayInTable(Common_SourceData.Common_SourceData_MCFTemperatureZone_Data(),Table_SourceData_Common_MCFTemperatureZone[[#Headers],[Temperature zone]],0)</f>
        <v>1.4999999999999999E-2</v>
      </c>
      <c r="O242" s="35" cm="1">
        <f t="array" ref="O242">Common_InputFunctions.Utility_DisplayArrayInTable(Common_SourceData.Common_SourceData_MCFTemperatureZone_Data(),Table_SourceData_Common_MCFTemperatureZone[[#Headers],[Temperature zone]],0)</f>
        <v>1.4999999999999999E-2</v>
      </c>
      <c r="P242" s="35" cm="1">
        <f t="array" ref="P242">Common_InputFunctions.Utility_DisplayArrayInTable(Common_SourceData.Common_SourceData_MCFTemperatureZone_Data(),Table_SourceData_Common_MCFTemperatureZone[[#Headers],[Temperature zone]],0)</f>
        <v>0</v>
      </c>
      <c r="Q242" s="35" cm="1">
        <f t="array" ref="Q242">Common_InputFunctions.Utility_DisplayArrayInTable(Common_SourceData.Common_SourceData_MCFTemperatureZone_Data(),Table_SourceData_Common_MCFTemperatureZone[[#Headers],[Temperature zone]],0)</f>
        <v>0</v>
      </c>
      <c r="R242" s="35" cm="1">
        <f t="array" ref="R242">Common_InputFunctions.Utility_DisplayArrayInTable(Common_SourceData.Common_SourceData_MCFTemperatureZone_Data(),Table_SourceData_Common_MCFTemperatureZone[[#Headers],[Temperature zone]],0)</f>
        <v>4.7000000000000002E-3</v>
      </c>
      <c r="S242" s="35" cm="1">
        <f t="array" ref="S242">Common_InputFunctions.Utility_DisplayArrayInTable(Common_SourceData.Common_SourceData_MCFTemperatureZone_Data(),Table_SourceData_Common_MCFTemperatureZone[[#Headers],[Temperature zone]],0)</f>
        <v>20</v>
      </c>
    </row>
    <row r="243" spans="4:19" x14ac:dyDescent="0.25">
      <c r="D243" s="1" t="str" cm="1">
        <f t="array" ref="D243">Common_InputFunctions.Utility_DisplayArrayInTable(Common_SourceData.Common_SourceData_MCFTemperatureZone_Data(),Table_SourceData_Common_MCFTemperatureZone[[#Headers],[Temperature zone]],0)</f>
        <v>Temperate</v>
      </c>
      <c r="E243" s="35" cm="1">
        <f t="array" ref="E243">Common_InputFunctions.Utility_DisplayArrayInTable(Common_SourceData.Common_SourceData_MCFTemperatureZone_Data(),Table_SourceData_Common_MCFTemperatureZone[[#Headers],[Temperature zone]],0)</f>
        <v>21</v>
      </c>
      <c r="F243" s="35" cm="1">
        <f t="array" ref="F243">Common_InputFunctions.Utility_DisplayArrayInTable(Common_SourceData.Common_SourceData_MCFTemperatureZone_Data(),Table_SourceData_Common_MCFTemperatureZone[[#Headers],[Temperature zone]],0)</f>
        <v>0.78</v>
      </c>
      <c r="G243" s="35" cm="1">
        <f t="array" ref="G243">Common_InputFunctions.Utility_DisplayArrayInTable(Common_SourceData.Common_SourceData_MCFTemperatureZone_Data(),Table_SourceData_Common_MCFTemperatureZone[[#Headers],[Temperature zone]],0)</f>
        <v>0.1</v>
      </c>
      <c r="H243" s="35" cm="1">
        <f t="array" ref="H243">Common_InputFunctions.Utility_DisplayArrayInTable(Common_SourceData.Common_SourceData_MCFTemperatureZone_Data(),Table_SourceData_Common_MCFTemperatureZone[[#Headers],[Temperature zone]],0)</f>
        <v>0.28999999999999998</v>
      </c>
      <c r="I243" s="35" cm="1">
        <f t="array" ref="I243">Common_InputFunctions.Utility_DisplayArrayInTable(Common_SourceData.Common_SourceData_MCFTemperatureZone_Data(),Table_SourceData_Common_MCFTemperatureZone[[#Headers],[Temperature zone]],0)</f>
        <v>5.0000000000000001E-3</v>
      </c>
      <c r="J243" s="35" cm="1">
        <f t="array" ref="J243">Common_InputFunctions.Utility_DisplayArrayInTable(Common_SourceData.Common_SourceData_MCFTemperatureZone_Data(),Table_SourceData_Common_MCFTemperatureZone[[#Headers],[Temperature zone]],0)</f>
        <v>0.01</v>
      </c>
      <c r="K243" s="35" cm="1">
        <f t="array" ref="K243">Common_InputFunctions.Utility_DisplayArrayInTable(Common_SourceData.Common_SourceData_MCFTemperatureZone_Data(),Table_SourceData_Common_MCFTemperatureZone[[#Headers],[Temperature zone]],0)</f>
        <v>0.02</v>
      </c>
      <c r="L243" s="35" cm="1">
        <f t="array" ref="L243">Common_InputFunctions.Utility_DisplayArrayInTable(Common_SourceData.Common_SourceData_MCFTemperatureZone_Data(),Table_SourceData_Common_MCFTemperatureZone[[#Headers],[Temperature zone]],0)</f>
        <v>0.03</v>
      </c>
      <c r="M243" s="35" cm="1">
        <f t="array" ref="M243">Common_InputFunctions.Utility_DisplayArrayInTable(Common_SourceData.Common_SourceData_MCFTemperatureZone_Data(),Table_SourceData_Common_MCFTemperatureZone[[#Headers],[Temperature zone]],0)</f>
        <v>0.04</v>
      </c>
      <c r="N243" s="35" cm="1">
        <f t="array" ref="N243">Common_InputFunctions.Utility_DisplayArrayInTable(Common_SourceData.Common_SourceData_MCFTemperatureZone_Data(),Table_SourceData_Common_MCFTemperatureZone[[#Headers],[Temperature zone]],0)</f>
        <v>1.4999999999999999E-2</v>
      </c>
      <c r="O243" s="35" cm="1">
        <f t="array" ref="O243">Common_InputFunctions.Utility_DisplayArrayInTable(Common_SourceData.Common_SourceData_MCFTemperatureZone_Data(),Table_SourceData_Common_MCFTemperatureZone[[#Headers],[Temperature zone]],0)</f>
        <v>1.4999999999999999E-2</v>
      </c>
      <c r="P243" s="35" cm="1">
        <f t="array" ref="P243">Common_InputFunctions.Utility_DisplayArrayInTable(Common_SourceData.Common_SourceData_MCFTemperatureZone_Data(),Table_SourceData_Common_MCFTemperatureZone[[#Headers],[Temperature zone]],0)</f>
        <v>0</v>
      </c>
      <c r="Q243" s="35" cm="1">
        <f t="array" ref="Q243">Common_InputFunctions.Utility_DisplayArrayInTable(Common_SourceData.Common_SourceData_MCFTemperatureZone_Data(),Table_SourceData_Common_MCFTemperatureZone[[#Headers],[Temperature zone]],0)</f>
        <v>0</v>
      </c>
      <c r="R243" s="35" cm="1">
        <f t="array" ref="R243">Common_InputFunctions.Utility_DisplayArrayInTable(Common_SourceData.Common_SourceData_MCFTemperatureZone_Data(),Table_SourceData_Common_MCFTemperatureZone[[#Headers],[Temperature zone]],0)</f>
        <v>4.7000000000000002E-3</v>
      </c>
      <c r="S243" s="35" cm="1">
        <f t="array" ref="S243">Common_InputFunctions.Utility_DisplayArrayInTable(Common_SourceData.Common_SourceData_MCFTemperatureZone_Data(),Table_SourceData_Common_MCFTemperatureZone[[#Headers],[Temperature zone]],0)</f>
        <v>21</v>
      </c>
    </row>
    <row r="244" spans="4:19" x14ac:dyDescent="0.25">
      <c r="D244" s="1" t="str" cm="1">
        <f t="array" ref="D244">Common_InputFunctions.Utility_DisplayArrayInTable(Common_SourceData.Common_SourceData_MCFTemperatureZone_Data(),Table_SourceData_Common_MCFTemperatureZone[[#Headers],[Temperature zone]],0)</f>
        <v>Temperate</v>
      </c>
      <c r="E244" s="35" cm="1">
        <f t="array" ref="E244">Common_InputFunctions.Utility_DisplayArrayInTable(Common_SourceData.Common_SourceData_MCFTemperatureZone_Data(),Table_SourceData_Common_MCFTemperatureZone[[#Headers],[Temperature zone]],0)</f>
        <v>22</v>
      </c>
      <c r="F244" s="35" cm="1">
        <f t="array" ref="F244">Common_InputFunctions.Utility_DisplayArrayInTable(Common_SourceData.Common_SourceData_MCFTemperatureZone_Data(),Table_SourceData_Common_MCFTemperatureZone[[#Headers],[Temperature zone]],0)</f>
        <v>0.78</v>
      </c>
      <c r="G244" s="35" cm="1">
        <f t="array" ref="G244">Common_InputFunctions.Utility_DisplayArrayInTable(Common_SourceData.Common_SourceData_MCFTemperatureZone_Data(),Table_SourceData_Common_MCFTemperatureZone[[#Headers],[Temperature zone]],0)</f>
        <v>0.1</v>
      </c>
      <c r="H244" s="35" cm="1">
        <f t="array" ref="H244">Common_InputFunctions.Utility_DisplayArrayInTable(Common_SourceData.Common_SourceData_MCFTemperatureZone_Data(),Table_SourceData_Common_MCFTemperatureZone[[#Headers],[Temperature zone]],0)</f>
        <v>0.31</v>
      </c>
      <c r="I244" s="35" cm="1">
        <f t="array" ref="I244">Common_InputFunctions.Utility_DisplayArrayInTable(Common_SourceData.Common_SourceData_MCFTemperatureZone_Data(),Table_SourceData_Common_MCFTemperatureZone[[#Headers],[Temperature zone]],0)</f>
        <v>5.0000000000000001E-3</v>
      </c>
      <c r="J244" s="35" cm="1">
        <f t="array" ref="J244">Common_InputFunctions.Utility_DisplayArrayInTable(Common_SourceData.Common_SourceData_MCFTemperatureZone_Data(),Table_SourceData_Common_MCFTemperatureZone[[#Headers],[Temperature zone]],0)</f>
        <v>0.01</v>
      </c>
      <c r="K244" s="35" cm="1">
        <f t="array" ref="K244">Common_InputFunctions.Utility_DisplayArrayInTable(Common_SourceData.Common_SourceData_MCFTemperatureZone_Data(),Table_SourceData_Common_MCFTemperatureZone[[#Headers],[Temperature zone]],0)</f>
        <v>0.02</v>
      </c>
      <c r="L244" s="35" cm="1">
        <f t="array" ref="L244">Common_InputFunctions.Utility_DisplayArrayInTable(Common_SourceData.Common_SourceData_MCFTemperatureZone_Data(),Table_SourceData_Common_MCFTemperatureZone[[#Headers],[Temperature zone]],0)</f>
        <v>0.03</v>
      </c>
      <c r="M244" s="35" cm="1">
        <f t="array" ref="M244">Common_InputFunctions.Utility_DisplayArrayInTable(Common_SourceData.Common_SourceData_MCFTemperatureZone_Data(),Table_SourceData_Common_MCFTemperatureZone[[#Headers],[Temperature zone]],0)</f>
        <v>0.04</v>
      </c>
      <c r="N244" s="35" cm="1">
        <f t="array" ref="N244">Common_InputFunctions.Utility_DisplayArrayInTable(Common_SourceData.Common_SourceData_MCFTemperatureZone_Data(),Table_SourceData_Common_MCFTemperatureZone[[#Headers],[Temperature zone]],0)</f>
        <v>1.4999999999999999E-2</v>
      </c>
      <c r="O244" s="35" cm="1">
        <f t="array" ref="O244">Common_InputFunctions.Utility_DisplayArrayInTable(Common_SourceData.Common_SourceData_MCFTemperatureZone_Data(),Table_SourceData_Common_MCFTemperatureZone[[#Headers],[Temperature zone]],0)</f>
        <v>1.4999999999999999E-2</v>
      </c>
      <c r="P244" s="35" cm="1">
        <f t="array" ref="P244">Common_InputFunctions.Utility_DisplayArrayInTable(Common_SourceData.Common_SourceData_MCFTemperatureZone_Data(),Table_SourceData_Common_MCFTemperatureZone[[#Headers],[Temperature zone]],0)</f>
        <v>0</v>
      </c>
      <c r="Q244" s="35" cm="1">
        <f t="array" ref="Q244">Common_InputFunctions.Utility_DisplayArrayInTable(Common_SourceData.Common_SourceData_MCFTemperatureZone_Data(),Table_SourceData_Common_MCFTemperatureZone[[#Headers],[Temperature zone]],0)</f>
        <v>0</v>
      </c>
      <c r="R244" s="35" cm="1">
        <f t="array" ref="R244">Common_InputFunctions.Utility_DisplayArrayInTable(Common_SourceData.Common_SourceData_MCFTemperatureZone_Data(),Table_SourceData_Common_MCFTemperatureZone[[#Headers],[Temperature zone]],0)</f>
        <v>4.7000000000000002E-3</v>
      </c>
      <c r="S244" s="35" cm="1">
        <f t="array" ref="S244">Common_InputFunctions.Utility_DisplayArrayInTable(Common_SourceData.Common_SourceData_MCFTemperatureZone_Data(),Table_SourceData_Common_MCFTemperatureZone[[#Headers],[Temperature zone]],0)</f>
        <v>22</v>
      </c>
    </row>
    <row r="245" spans="4:19" x14ac:dyDescent="0.25">
      <c r="D245" s="1" t="str" cm="1">
        <f t="array" ref="D245">Common_InputFunctions.Utility_DisplayArrayInTable(Common_SourceData.Common_SourceData_MCFTemperatureZone_Data(),Table_SourceData_Common_MCFTemperatureZone[[#Headers],[Temperature zone]],0)</f>
        <v>Temperate</v>
      </c>
      <c r="E245" s="35" cm="1">
        <f t="array" ref="E245">Common_InputFunctions.Utility_DisplayArrayInTable(Common_SourceData.Common_SourceData_MCFTemperatureZone_Data(),Table_SourceData_Common_MCFTemperatureZone[[#Headers],[Temperature zone]],0)</f>
        <v>23</v>
      </c>
      <c r="F245" s="35" cm="1">
        <f t="array" ref="F245">Common_InputFunctions.Utility_DisplayArrayInTable(Common_SourceData.Common_SourceData_MCFTemperatureZone_Data(),Table_SourceData_Common_MCFTemperatureZone[[#Headers],[Temperature zone]],0)</f>
        <v>0.79</v>
      </c>
      <c r="G245" s="35" cm="1">
        <f t="array" ref="G245">Common_InputFunctions.Utility_DisplayArrayInTable(Common_SourceData.Common_SourceData_MCFTemperatureZone_Data(),Table_SourceData_Common_MCFTemperatureZone[[#Headers],[Temperature zone]],0)</f>
        <v>0.1</v>
      </c>
      <c r="H245" s="35" cm="1">
        <f t="array" ref="H245">Common_InputFunctions.Utility_DisplayArrayInTable(Common_SourceData.Common_SourceData_MCFTemperatureZone_Data(),Table_SourceData_Common_MCFTemperatureZone[[#Headers],[Temperature zone]],0)</f>
        <v>0.34</v>
      </c>
      <c r="I245" s="35" cm="1">
        <f t="array" ref="I245">Common_InputFunctions.Utility_DisplayArrayInTable(Common_SourceData.Common_SourceData_MCFTemperatureZone_Data(),Table_SourceData_Common_MCFTemperatureZone[[#Headers],[Temperature zone]],0)</f>
        <v>5.0000000000000001E-3</v>
      </c>
      <c r="J245" s="35" cm="1">
        <f t="array" ref="J245">Common_InputFunctions.Utility_DisplayArrayInTable(Common_SourceData.Common_SourceData_MCFTemperatureZone_Data(),Table_SourceData_Common_MCFTemperatureZone[[#Headers],[Temperature zone]],0)</f>
        <v>0.01</v>
      </c>
      <c r="K245" s="35" cm="1">
        <f t="array" ref="K245">Common_InputFunctions.Utility_DisplayArrayInTable(Common_SourceData.Common_SourceData_MCFTemperatureZone_Data(),Table_SourceData_Common_MCFTemperatureZone[[#Headers],[Temperature zone]],0)</f>
        <v>0.02</v>
      </c>
      <c r="L245" s="35" cm="1">
        <f t="array" ref="L245">Common_InputFunctions.Utility_DisplayArrayInTable(Common_SourceData.Common_SourceData_MCFTemperatureZone_Data(),Table_SourceData_Common_MCFTemperatureZone[[#Headers],[Temperature zone]],0)</f>
        <v>0.03</v>
      </c>
      <c r="M245" s="35" cm="1">
        <f t="array" ref="M245">Common_InputFunctions.Utility_DisplayArrayInTable(Common_SourceData.Common_SourceData_MCFTemperatureZone_Data(),Table_SourceData_Common_MCFTemperatureZone[[#Headers],[Temperature zone]],0)</f>
        <v>0.04</v>
      </c>
      <c r="N245" s="35" cm="1">
        <f t="array" ref="N245">Common_InputFunctions.Utility_DisplayArrayInTable(Common_SourceData.Common_SourceData_MCFTemperatureZone_Data(),Table_SourceData_Common_MCFTemperatureZone[[#Headers],[Temperature zone]],0)</f>
        <v>1.4999999999999999E-2</v>
      </c>
      <c r="O245" s="35" cm="1">
        <f t="array" ref="O245">Common_InputFunctions.Utility_DisplayArrayInTable(Common_SourceData.Common_SourceData_MCFTemperatureZone_Data(),Table_SourceData_Common_MCFTemperatureZone[[#Headers],[Temperature zone]],0)</f>
        <v>1.4999999999999999E-2</v>
      </c>
      <c r="P245" s="35" cm="1">
        <f t="array" ref="P245">Common_InputFunctions.Utility_DisplayArrayInTable(Common_SourceData.Common_SourceData_MCFTemperatureZone_Data(),Table_SourceData_Common_MCFTemperatureZone[[#Headers],[Temperature zone]],0)</f>
        <v>0</v>
      </c>
      <c r="Q245" s="35" cm="1">
        <f t="array" ref="Q245">Common_InputFunctions.Utility_DisplayArrayInTable(Common_SourceData.Common_SourceData_MCFTemperatureZone_Data(),Table_SourceData_Common_MCFTemperatureZone[[#Headers],[Temperature zone]],0)</f>
        <v>0</v>
      </c>
      <c r="R245" s="35" cm="1">
        <f t="array" ref="R245">Common_InputFunctions.Utility_DisplayArrayInTable(Common_SourceData.Common_SourceData_MCFTemperatureZone_Data(),Table_SourceData_Common_MCFTemperatureZone[[#Headers],[Temperature zone]],0)</f>
        <v>4.7000000000000002E-3</v>
      </c>
      <c r="S245" s="35" cm="1">
        <f t="array" ref="S245">Common_InputFunctions.Utility_DisplayArrayInTable(Common_SourceData.Common_SourceData_MCFTemperatureZone_Data(),Table_SourceData_Common_MCFTemperatureZone[[#Headers],[Temperature zone]],0)</f>
        <v>23</v>
      </c>
    </row>
    <row r="246" spans="4:19" x14ac:dyDescent="0.25">
      <c r="D246" s="1" t="str" cm="1">
        <f t="array" ref="D246">Common_InputFunctions.Utility_DisplayArrayInTable(Common_SourceData.Common_SourceData_MCFTemperatureZone_Data(),Table_SourceData_Common_MCFTemperatureZone[[#Headers],[Temperature zone]],0)</f>
        <v>Temperate</v>
      </c>
      <c r="E246" s="35" cm="1">
        <f t="array" ref="E246">Common_InputFunctions.Utility_DisplayArrayInTable(Common_SourceData.Common_SourceData_MCFTemperatureZone_Data(),Table_SourceData_Common_MCFTemperatureZone[[#Headers],[Temperature zone]],0)</f>
        <v>24</v>
      </c>
      <c r="F246" s="35" cm="1">
        <f t="array" ref="F246">Common_InputFunctions.Utility_DisplayArrayInTable(Common_SourceData.Common_SourceData_MCFTemperatureZone_Data(),Table_SourceData_Common_MCFTemperatureZone[[#Headers],[Temperature zone]],0)</f>
        <v>0.79</v>
      </c>
      <c r="G246" s="35" cm="1">
        <f t="array" ref="G246">Common_InputFunctions.Utility_DisplayArrayInTable(Common_SourceData.Common_SourceData_MCFTemperatureZone_Data(),Table_SourceData_Common_MCFTemperatureZone[[#Headers],[Temperature zone]],0)</f>
        <v>0.1</v>
      </c>
      <c r="H246" s="35" cm="1">
        <f t="array" ref="H246">Common_InputFunctions.Utility_DisplayArrayInTable(Common_SourceData.Common_SourceData_MCFTemperatureZone_Data(),Table_SourceData_Common_MCFTemperatureZone[[#Headers],[Temperature zone]],0)</f>
        <v>0.37</v>
      </c>
      <c r="I246" s="35" cm="1">
        <f t="array" ref="I246">Common_InputFunctions.Utility_DisplayArrayInTable(Common_SourceData.Common_SourceData_MCFTemperatureZone_Data(),Table_SourceData_Common_MCFTemperatureZone[[#Headers],[Temperature zone]],0)</f>
        <v>5.0000000000000001E-3</v>
      </c>
      <c r="J246" s="35" cm="1">
        <f t="array" ref="J246">Common_InputFunctions.Utility_DisplayArrayInTable(Common_SourceData.Common_SourceData_MCFTemperatureZone_Data(),Table_SourceData_Common_MCFTemperatureZone[[#Headers],[Temperature zone]],0)</f>
        <v>0.01</v>
      </c>
      <c r="K246" s="35" cm="1">
        <f t="array" ref="K246">Common_InputFunctions.Utility_DisplayArrayInTable(Common_SourceData.Common_SourceData_MCFTemperatureZone_Data(),Table_SourceData_Common_MCFTemperatureZone[[#Headers],[Temperature zone]],0)</f>
        <v>0.02</v>
      </c>
      <c r="L246" s="35" cm="1">
        <f t="array" ref="L246">Common_InputFunctions.Utility_DisplayArrayInTable(Common_SourceData.Common_SourceData_MCFTemperatureZone_Data(),Table_SourceData_Common_MCFTemperatureZone[[#Headers],[Temperature zone]],0)</f>
        <v>0.03</v>
      </c>
      <c r="M246" s="35" cm="1">
        <f t="array" ref="M246">Common_InputFunctions.Utility_DisplayArrayInTable(Common_SourceData.Common_SourceData_MCFTemperatureZone_Data(),Table_SourceData_Common_MCFTemperatureZone[[#Headers],[Temperature zone]],0)</f>
        <v>0.04</v>
      </c>
      <c r="N246" s="35" cm="1">
        <f t="array" ref="N246">Common_InputFunctions.Utility_DisplayArrayInTable(Common_SourceData.Common_SourceData_MCFTemperatureZone_Data(),Table_SourceData_Common_MCFTemperatureZone[[#Headers],[Temperature zone]],0)</f>
        <v>1.4999999999999999E-2</v>
      </c>
      <c r="O246" s="35" cm="1">
        <f t="array" ref="O246">Common_InputFunctions.Utility_DisplayArrayInTable(Common_SourceData.Common_SourceData_MCFTemperatureZone_Data(),Table_SourceData_Common_MCFTemperatureZone[[#Headers],[Temperature zone]],0)</f>
        <v>1.4999999999999999E-2</v>
      </c>
      <c r="P246" s="35" cm="1">
        <f t="array" ref="P246">Common_InputFunctions.Utility_DisplayArrayInTable(Common_SourceData.Common_SourceData_MCFTemperatureZone_Data(),Table_SourceData_Common_MCFTemperatureZone[[#Headers],[Temperature zone]],0)</f>
        <v>0</v>
      </c>
      <c r="Q246" s="35" cm="1">
        <f t="array" ref="Q246">Common_InputFunctions.Utility_DisplayArrayInTable(Common_SourceData.Common_SourceData_MCFTemperatureZone_Data(),Table_SourceData_Common_MCFTemperatureZone[[#Headers],[Temperature zone]],0)</f>
        <v>0</v>
      </c>
      <c r="R246" s="35" cm="1">
        <f t="array" ref="R246">Common_InputFunctions.Utility_DisplayArrayInTable(Common_SourceData.Common_SourceData_MCFTemperatureZone_Data(),Table_SourceData_Common_MCFTemperatureZone[[#Headers],[Temperature zone]],0)</f>
        <v>4.7000000000000002E-3</v>
      </c>
      <c r="S246" s="35" cm="1">
        <f t="array" ref="S246">Common_InputFunctions.Utility_DisplayArrayInTable(Common_SourceData.Common_SourceData_MCFTemperatureZone_Data(),Table_SourceData_Common_MCFTemperatureZone[[#Headers],[Temperature zone]],0)</f>
        <v>24</v>
      </c>
    </row>
    <row r="247" spans="4:19" x14ac:dyDescent="0.25">
      <c r="D247" s="1" t="str" cm="1">
        <f t="array" ref="D247">Common_InputFunctions.Utility_DisplayArrayInTable(Common_SourceData.Common_SourceData_MCFTemperatureZone_Data(),Table_SourceData_Common_MCFTemperatureZone[[#Headers],[Temperature zone]],0)</f>
        <v>Temperate</v>
      </c>
      <c r="E247" s="35" cm="1">
        <f t="array" ref="E247">Common_InputFunctions.Utility_DisplayArrayInTable(Common_SourceData.Common_SourceData_MCFTemperatureZone_Data(),Table_SourceData_Common_MCFTemperatureZone[[#Headers],[Temperature zone]],0)</f>
        <v>25</v>
      </c>
      <c r="F247" s="35" cm="1">
        <f t="array" ref="F247">Common_InputFunctions.Utility_DisplayArrayInTable(Common_SourceData.Common_SourceData_MCFTemperatureZone_Data(),Table_SourceData_Common_MCFTemperatureZone[[#Headers],[Temperature zone]],0)</f>
        <v>0.79</v>
      </c>
      <c r="G247" s="35" cm="1">
        <f t="array" ref="G247">Common_InputFunctions.Utility_DisplayArrayInTable(Common_SourceData.Common_SourceData_MCFTemperatureZone_Data(),Table_SourceData_Common_MCFTemperatureZone[[#Headers],[Temperature zone]],0)</f>
        <v>0.1</v>
      </c>
      <c r="H247" s="35" cm="1">
        <f t="array" ref="H247">Common_InputFunctions.Utility_DisplayArrayInTable(Common_SourceData.Common_SourceData_MCFTemperatureZone_Data(),Table_SourceData_Common_MCFTemperatureZone[[#Headers],[Temperature zone]],0)</f>
        <v>0.41</v>
      </c>
      <c r="I247" s="35" cm="1">
        <f t="array" ref="I247">Common_InputFunctions.Utility_DisplayArrayInTable(Common_SourceData.Common_SourceData_MCFTemperatureZone_Data(),Table_SourceData_Common_MCFTemperatureZone[[#Headers],[Temperature zone]],0)</f>
        <v>5.0000000000000001E-3</v>
      </c>
      <c r="J247" s="35" cm="1">
        <f t="array" ref="J247">Common_InputFunctions.Utility_DisplayArrayInTable(Common_SourceData.Common_SourceData_MCFTemperatureZone_Data(),Table_SourceData_Common_MCFTemperatureZone[[#Headers],[Temperature zone]],0)</f>
        <v>0.01</v>
      </c>
      <c r="K247" s="35" cm="1">
        <f t="array" ref="K247">Common_InputFunctions.Utility_DisplayArrayInTable(Common_SourceData.Common_SourceData_MCFTemperatureZone_Data(),Table_SourceData_Common_MCFTemperatureZone[[#Headers],[Temperature zone]],0)</f>
        <v>0.02</v>
      </c>
      <c r="L247" s="35" cm="1">
        <f t="array" ref="L247">Common_InputFunctions.Utility_DisplayArrayInTable(Common_SourceData.Common_SourceData_MCFTemperatureZone_Data(),Table_SourceData_Common_MCFTemperatureZone[[#Headers],[Temperature zone]],0)</f>
        <v>0.03</v>
      </c>
      <c r="M247" s="35" cm="1">
        <f t="array" ref="M247">Common_InputFunctions.Utility_DisplayArrayInTable(Common_SourceData.Common_SourceData_MCFTemperatureZone_Data(),Table_SourceData_Common_MCFTemperatureZone[[#Headers],[Temperature zone]],0)</f>
        <v>0.04</v>
      </c>
      <c r="N247" s="35" cm="1">
        <f t="array" ref="N247">Common_InputFunctions.Utility_DisplayArrayInTable(Common_SourceData.Common_SourceData_MCFTemperatureZone_Data(),Table_SourceData_Common_MCFTemperatureZone[[#Headers],[Temperature zone]],0)</f>
        <v>1.4999999999999999E-2</v>
      </c>
      <c r="O247" s="35" cm="1">
        <f t="array" ref="O247">Common_InputFunctions.Utility_DisplayArrayInTable(Common_SourceData.Common_SourceData_MCFTemperatureZone_Data(),Table_SourceData_Common_MCFTemperatureZone[[#Headers],[Temperature zone]],0)</f>
        <v>1.4999999999999999E-2</v>
      </c>
      <c r="P247" s="35" cm="1">
        <f t="array" ref="P247">Common_InputFunctions.Utility_DisplayArrayInTable(Common_SourceData.Common_SourceData_MCFTemperatureZone_Data(),Table_SourceData_Common_MCFTemperatureZone[[#Headers],[Temperature zone]],0)</f>
        <v>0</v>
      </c>
      <c r="Q247" s="35" cm="1">
        <f t="array" ref="Q247">Common_InputFunctions.Utility_DisplayArrayInTable(Common_SourceData.Common_SourceData_MCFTemperatureZone_Data(),Table_SourceData_Common_MCFTemperatureZone[[#Headers],[Temperature zone]],0)</f>
        <v>0</v>
      </c>
      <c r="R247" s="35" cm="1">
        <f t="array" ref="R247">Common_InputFunctions.Utility_DisplayArrayInTable(Common_SourceData.Common_SourceData_MCFTemperatureZone_Data(),Table_SourceData_Common_MCFTemperatureZone[[#Headers],[Temperature zone]],0)</f>
        <v>4.7000000000000002E-3</v>
      </c>
      <c r="S247" s="35" cm="1">
        <f t="array" ref="S247">Common_InputFunctions.Utility_DisplayArrayInTable(Common_SourceData.Common_SourceData_MCFTemperatureZone_Data(),Table_SourceData_Common_MCFTemperatureZone[[#Headers],[Temperature zone]],0)</f>
        <v>25</v>
      </c>
    </row>
    <row r="248" spans="4:19" x14ac:dyDescent="0.25">
      <c r="D248" s="1" t="str" cm="1">
        <f t="array" ref="D248">Common_InputFunctions.Utility_DisplayArrayInTable(Common_SourceData.Common_SourceData_MCFTemperatureZone_Data(),Table_SourceData_Common_MCFTemperatureZone[[#Headers],[Temperature zone]],0)</f>
        <v>Warm</v>
      </c>
      <c r="E248" s="35" cm="1">
        <f t="array" ref="E248">Common_InputFunctions.Utility_DisplayArrayInTable(Common_SourceData.Common_SourceData_MCFTemperatureZone_Data(),Table_SourceData_Common_MCFTemperatureZone[[#Headers],[Temperature zone]],0)</f>
        <v>26</v>
      </c>
      <c r="F248" s="35" cm="1">
        <f t="array" ref="F248">Common_InputFunctions.Utility_DisplayArrayInTable(Common_SourceData.Common_SourceData_MCFTemperatureZone_Data(),Table_SourceData_Common_MCFTemperatureZone[[#Headers],[Temperature zone]],0)</f>
        <v>0.79</v>
      </c>
      <c r="G248" s="35" cm="1">
        <f t="array" ref="G248">Common_InputFunctions.Utility_DisplayArrayInTable(Common_SourceData.Common_SourceData_MCFTemperatureZone_Data(),Table_SourceData_Common_MCFTemperatureZone[[#Headers],[Temperature zone]],0)</f>
        <v>0.1</v>
      </c>
      <c r="H248" s="35" cm="1">
        <f t="array" ref="H248">Common_InputFunctions.Utility_DisplayArrayInTable(Common_SourceData.Common_SourceData_MCFTemperatureZone_Data(),Table_SourceData_Common_MCFTemperatureZone[[#Headers],[Temperature zone]],0)</f>
        <v>0.44</v>
      </c>
      <c r="I248" s="35" cm="1">
        <f t="array" ref="I248">Common_InputFunctions.Utility_DisplayArrayInTable(Common_SourceData.Common_SourceData_MCFTemperatureZone_Data(),Table_SourceData_Common_MCFTemperatureZone[[#Headers],[Temperature zone]],0)</f>
        <v>0.01</v>
      </c>
      <c r="J248" s="35" cm="1">
        <f t="array" ref="J248">Common_InputFunctions.Utility_DisplayArrayInTable(Common_SourceData.Common_SourceData_MCFTemperatureZone_Data(),Table_SourceData_Common_MCFTemperatureZone[[#Headers],[Temperature zone]],0)</f>
        <v>1.4999999999999999E-2</v>
      </c>
      <c r="K248" s="35" cm="1">
        <f t="array" ref="K248">Common_InputFunctions.Utility_DisplayArrayInTable(Common_SourceData.Common_SourceData_MCFTemperatureZone_Data(),Table_SourceData_Common_MCFTemperatureZone[[#Headers],[Temperature zone]],0)</f>
        <v>0.02</v>
      </c>
      <c r="L248" s="35" cm="1">
        <f t="array" ref="L248">Common_InputFunctions.Utility_DisplayArrayInTable(Common_SourceData.Common_SourceData_MCFTemperatureZone_Data(),Table_SourceData_Common_MCFTemperatureZone[[#Headers],[Temperature zone]],0)</f>
        <v>0.03</v>
      </c>
      <c r="M248" s="35" cm="1">
        <f t="array" ref="M248">Common_InputFunctions.Utility_DisplayArrayInTable(Common_SourceData.Common_SourceData_MCFTemperatureZone_Data(),Table_SourceData_Common_MCFTemperatureZone[[#Headers],[Temperature zone]],0)</f>
        <v>0.04</v>
      </c>
      <c r="N248" s="35" cm="1">
        <f t="array" ref="N248">Common_InputFunctions.Utility_DisplayArrayInTable(Common_SourceData.Common_SourceData_MCFTemperatureZone_Data(),Table_SourceData_Common_MCFTemperatureZone[[#Headers],[Temperature zone]],0)</f>
        <v>1.4999999999999999E-2</v>
      </c>
      <c r="O248" s="35" cm="1">
        <f t="array" ref="O248">Common_InputFunctions.Utility_DisplayArrayInTable(Common_SourceData.Common_SourceData_MCFTemperatureZone_Data(),Table_SourceData_Common_MCFTemperatureZone[[#Headers],[Temperature zone]],0)</f>
        <v>1.4999999999999999E-2</v>
      </c>
      <c r="P248" s="35" cm="1">
        <f t="array" ref="P248">Common_InputFunctions.Utility_DisplayArrayInTable(Common_SourceData.Common_SourceData_MCFTemperatureZone_Data(),Table_SourceData_Common_MCFTemperatureZone[[#Headers],[Temperature zone]],0)</f>
        <v>0</v>
      </c>
      <c r="Q248" s="35" cm="1">
        <f t="array" ref="Q248">Common_InputFunctions.Utility_DisplayArrayInTable(Common_SourceData.Common_SourceData_MCFTemperatureZone_Data(),Table_SourceData_Common_MCFTemperatureZone[[#Headers],[Temperature zone]],0)</f>
        <v>0</v>
      </c>
      <c r="R248" s="35" cm="1">
        <f t="array" ref="R248">Common_InputFunctions.Utility_DisplayArrayInTable(Common_SourceData.Common_SourceData_MCFTemperatureZone_Data(),Table_SourceData_Common_MCFTemperatureZone[[#Headers],[Temperature zone]],0)</f>
        <v>4.7000000000000002E-3</v>
      </c>
      <c r="S248" s="35" cm="1">
        <f t="array" ref="S248">Common_InputFunctions.Utility_DisplayArrayInTable(Common_SourceData.Common_SourceData_MCFTemperatureZone_Data(),Table_SourceData_Common_MCFTemperatureZone[[#Headers],[Temperature zone]],0)</f>
        <v>26</v>
      </c>
    </row>
    <row r="249" spans="4:19" x14ac:dyDescent="0.25">
      <c r="D249" s="1" t="str" cm="1">
        <f t="array" ref="D249">Common_InputFunctions.Utility_DisplayArrayInTable(Common_SourceData.Common_SourceData_MCFTemperatureZone_Data(),Table_SourceData_Common_MCFTemperatureZone[[#Headers],[Temperature zone]],0)</f>
        <v>Warm</v>
      </c>
      <c r="E249" s="35" cm="1">
        <f t="array" ref="E249">Common_InputFunctions.Utility_DisplayArrayInTable(Common_SourceData.Common_SourceData_MCFTemperatureZone_Data(),Table_SourceData_Common_MCFTemperatureZone[[#Headers],[Temperature zone]],0)</f>
        <v>27</v>
      </c>
      <c r="F249" s="35" cm="1">
        <f t="array" ref="F249">Common_InputFunctions.Utility_DisplayArrayInTable(Common_SourceData.Common_SourceData_MCFTemperatureZone_Data(),Table_SourceData_Common_MCFTemperatureZone[[#Headers],[Temperature zone]],0)</f>
        <v>0.8</v>
      </c>
      <c r="G249" s="35" cm="1">
        <f t="array" ref="G249">Common_InputFunctions.Utility_DisplayArrayInTable(Common_SourceData.Common_SourceData_MCFTemperatureZone_Data(),Table_SourceData_Common_MCFTemperatureZone[[#Headers],[Temperature zone]],0)</f>
        <v>0.1</v>
      </c>
      <c r="H249" s="35" cm="1">
        <f t="array" ref="H249">Common_InputFunctions.Utility_DisplayArrayInTable(Common_SourceData.Common_SourceData_MCFTemperatureZone_Data(),Table_SourceData_Common_MCFTemperatureZone[[#Headers],[Temperature zone]],0)</f>
        <v>0.48</v>
      </c>
      <c r="I249" s="35" cm="1">
        <f t="array" ref="I249">Common_InputFunctions.Utility_DisplayArrayInTable(Common_SourceData.Common_SourceData_MCFTemperatureZone_Data(),Table_SourceData_Common_MCFTemperatureZone[[#Headers],[Temperature zone]],0)</f>
        <v>0.01</v>
      </c>
      <c r="J249" s="35" cm="1">
        <f t="array" ref="J249">Common_InputFunctions.Utility_DisplayArrayInTable(Common_SourceData.Common_SourceData_MCFTemperatureZone_Data(),Table_SourceData_Common_MCFTemperatureZone[[#Headers],[Temperature zone]],0)</f>
        <v>1.4999999999999999E-2</v>
      </c>
      <c r="K249" s="35" cm="1">
        <f t="array" ref="K249">Common_InputFunctions.Utility_DisplayArrayInTable(Common_SourceData.Common_SourceData_MCFTemperatureZone_Data(),Table_SourceData_Common_MCFTemperatureZone[[#Headers],[Temperature zone]],0)</f>
        <v>0.02</v>
      </c>
      <c r="L249" s="35" cm="1">
        <f t="array" ref="L249">Common_InputFunctions.Utility_DisplayArrayInTable(Common_SourceData.Common_SourceData_MCFTemperatureZone_Data(),Table_SourceData_Common_MCFTemperatureZone[[#Headers],[Temperature zone]],0)</f>
        <v>0.03</v>
      </c>
      <c r="M249" s="35" cm="1">
        <f t="array" ref="M249">Common_InputFunctions.Utility_DisplayArrayInTable(Common_SourceData.Common_SourceData_MCFTemperatureZone_Data(),Table_SourceData_Common_MCFTemperatureZone[[#Headers],[Temperature zone]],0)</f>
        <v>0.04</v>
      </c>
      <c r="N249" s="35" cm="1">
        <f t="array" ref="N249">Common_InputFunctions.Utility_DisplayArrayInTable(Common_SourceData.Common_SourceData_MCFTemperatureZone_Data(),Table_SourceData_Common_MCFTemperatureZone[[#Headers],[Temperature zone]],0)</f>
        <v>1.4999999999999999E-2</v>
      </c>
      <c r="O249" s="35" cm="1">
        <f t="array" ref="O249">Common_InputFunctions.Utility_DisplayArrayInTable(Common_SourceData.Common_SourceData_MCFTemperatureZone_Data(),Table_SourceData_Common_MCFTemperatureZone[[#Headers],[Temperature zone]],0)</f>
        <v>1.4999999999999999E-2</v>
      </c>
      <c r="P249" s="35" cm="1">
        <f t="array" ref="P249">Common_InputFunctions.Utility_DisplayArrayInTable(Common_SourceData.Common_SourceData_MCFTemperatureZone_Data(),Table_SourceData_Common_MCFTemperatureZone[[#Headers],[Temperature zone]],0)</f>
        <v>0</v>
      </c>
      <c r="Q249" s="35" cm="1">
        <f t="array" ref="Q249">Common_InputFunctions.Utility_DisplayArrayInTable(Common_SourceData.Common_SourceData_MCFTemperatureZone_Data(),Table_SourceData_Common_MCFTemperatureZone[[#Headers],[Temperature zone]],0)</f>
        <v>0</v>
      </c>
      <c r="R249" s="35" cm="1">
        <f t="array" ref="R249">Common_InputFunctions.Utility_DisplayArrayInTable(Common_SourceData.Common_SourceData_MCFTemperatureZone_Data(),Table_SourceData_Common_MCFTemperatureZone[[#Headers],[Temperature zone]],0)</f>
        <v>4.7000000000000002E-3</v>
      </c>
      <c r="S249" s="35" cm="1">
        <f t="array" ref="S249">Common_InputFunctions.Utility_DisplayArrayInTable(Common_SourceData.Common_SourceData_MCFTemperatureZone_Data(),Table_SourceData_Common_MCFTemperatureZone[[#Headers],[Temperature zone]],0)</f>
        <v>27</v>
      </c>
    </row>
    <row r="250" spans="4:19" x14ac:dyDescent="0.25">
      <c r="D250" s="1" t="str" cm="1">
        <f t="array" ref="D250">Common_InputFunctions.Utility_DisplayArrayInTable(Common_SourceData.Common_SourceData_MCFTemperatureZone_Data(),Table_SourceData_Common_MCFTemperatureZone[[#Headers],[Temperature zone]],0)</f>
        <v>Warm</v>
      </c>
      <c r="E250" s="35" t="str" cm="1">
        <f t="array" ref="E250">Common_InputFunctions.Utility_DisplayArrayInTable(Common_SourceData.Common_SourceData_MCFTemperatureZone_Data(),Table_SourceData_Common_MCFTemperatureZone[[#Headers],[Temperature zone]],0)</f>
        <v>≥28</v>
      </c>
      <c r="F250" s="35" cm="1">
        <f t="array" ref="F250">Common_InputFunctions.Utility_DisplayArrayInTable(Common_SourceData.Common_SourceData_MCFTemperatureZone_Data(),Table_SourceData_Common_MCFTemperatureZone[[#Headers],[Temperature zone]],0)</f>
        <v>0.8</v>
      </c>
      <c r="G250" s="35" cm="1">
        <f t="array" ref="G250">Common_InputFunctions.Utility_DisplayArrayInTable(Common_SourceData.Common_SourceData_MCFTemperatureZone_Data(),Table_SourceData_Common_MCFTemperatureZone[[#Headers],[Temperature zone]],0)</f>
        <v>0.1</v>
      </c>
      <c r="H250" s="35" cm="1">
        <f t="array" ref="H250">Common_InputFunctions.Utility_DisplayArrayInTable(Common_SourceData.Common_SourceData_MCFTemperatureZone_Data(),Table_SourceData_Common_MCFTemperatureZone[[#Headers],[Temperature zone]],0)</f>
        <v>0.5</v>
      </c>
      <c r="I250" s="35" cm="1">
        <f t="array" ref="I250">Common_InputFunctions.Utility_DisplayArrayInTable(Common_SourceData.Common_SourceData_MCFTemperatureZone_Data(),Table_SourceData_Common_MCFTemperatureZone[[#Headers],[Temperature zone]],0)</f>
        <v>0.01</v>
      </c>
      <c r="J250" s="35" cm="1">
        <f t="array" ref="J250">Common_InputFunctions.Utility_DisplayArrayInTable(Common_SourceData.Common_SourceData_MCFTemperatureZone_Data(),Table_SourceData_Common_MCFTemperatureZone[[#Headers],[Temperature zone]],0)</f>
        <v>1.4999999999999999E-2</v>
      </c>
      <c r="K250" s="35" cm="1">
        <f t="array" ref="K250">Common_InputFunctions.Utility_DisplayArrayInTable(Common_SourceData.Common_SourceData_MCFTemperatureZone_Data(),Table_SourceData_Common_MCFTemperatureZone[[#Headers],[Temperature zone]],0)</f>
        <v>0.02</v>
      </c>
      <c r="L250" s="35" cm="1">
        <f t="array" ref="L250">Common_InputFunctions.Utility_DisplayArrayInTable(Common_SourceData.Common_SourceData_MCFTemperatureZone_Data(),Table_SourceData_Common_MCFTemperatureZone[[#Headers],[Temperature zone]],0)</f>
        <v>0.03</v>
      </c>
      <c r="M250" s="35" cm="1">
        <f t="array" ref="M250">Common_InputFunctions.Utility_DisplayArrayInTable(Common_SourceData.Common_SourceData_MCFTemperatureZone_Data(),Table_SourceData_Common_MCFTemperatureZone[[#Headers],[Temperature zone]],0)</f>
        <v>0.04</v>
      </c>
      <c r="N250" s="35" cm="1">
        <f t="array" ref="N250">Common_InputFunctions.Utility_DisplayArrayInTable(Common_SourceData.Common_SourceData_MCFTemperatureZone_Data(),Table_SourceData_Common_MCFTemperatureZone[[#Headers],[Temperature zone]],0)</f>
        <v>1.4999999999999999E-2</v>
      </c>
      <c r="O250" s="35" cm="1">
        <f t="array" ref="O250">Common_InputFunctions.Utility_DisplayArrayInTable(Common_SourceData.Common_SourceData_MCFTemperatureZone_Data(),Table_SourceData_Common_MCFTemperatureZone[[#Headers],[Temperature zone]],0)</f>
        <v>1.4999999999999999E-2</v>
      </c>
      <c r="P250" s="35" cm="1">
        <f t="array" ref="P250">Common_InputFunctions.Utility_DisplayArrayInTable(Common_SourceData.Common_SourceData_MCFTemperatureZone_Data(),Table_SourceData_Common_MCFTemperatureZone[[#Headers],[Temperature zone]],0)</f>
        <v>0</v>
      </c>
      <c r="Q250" s="35" cm="1">
        <f t="array" ref="Q250">Common_InputFunctions.Utility_DisplayArrayInTable(Common_SourceData.Common_SourceData_MCFTemperatureZone_Data(),Table_SourceData_Common_MCFTemperatureZone[[#Headers],[Temperature zone]],0)</f>
        <v>0</v>
      </c>
      <c r="R250" s="35" cm="1">
        <f t="array" ref="R250">Common_InputFunctions.Utility_DisplayArrayInTable(Common_SourceData.Common_SourceData_MCFTemperatureZone_Data(),Table_SourceData_Common_MCFTemperatureZone[[#Headers],[Temperature zone]],0)</f>
        <v>4.7000000000000002E-3</v>
      </c>
      <c r="S250" s="35" cm="1">
        <f t="array" ref="S250">Common_InputFunctions.Utility_DisplayArrayInTable(Common_SourceData.Common_SourceData_MCFTemperatureZone_Data(),Table_SourceData_Common_MCFTemperatureZone[[#Headers],[Temperature zone]],0)</f>
        <v>28</v>
      </c>
    </row>
    <row r="253" spans="4:19" ht="23.25" x14ac:dyDescent="0.25">
      <c r="D253" s="6" t="str" cm="1">
        <f t="array" ref="D253">Common_SourceData.Common_SourceData_EFOrganicFertiliserAndCropResidues_Title()</f>
        <v>Emission factor for organic fertiliser and crop residues returned to the soil</v>
      </c>
    </row>
    <row r="254" spans="4:19" x14ac:dyDescent="0.25">
      <c r="D254" s="5" t="str" cm="1">
        <f t="array" ref="D254">Common_SourceData.Common_SourceData_EFOrganicFertiliserAndCropResidues_Source()</f>
        <v>VEERG 2026: Table A.2.1.4</v>
      </c>
    </row>
    <row r="255" spans="4:19" x14ac:dyDescent="0.25">
      <c r="D255" s="1" t="str" cm="1">
        <f t="array" ref="D255">Common_SourceData.Common_SourceData_EFOrganicFertiliserAndCropResidues_Variable()</f>
        <v>EFNi &amp; EFN2Oi</v>
      </c>
    </row>
    <row r="256" spans="4:19" x14ac:dyDescent="0.25">
      <c r="D256" s="51" t="str" cm="1">
        <f t="array" ref="D256">Common_SourceData.Common_SourceData_EFOrganicFertiliserAndCropResidues_Unit()</f>
        <v>kg N2O - N / kg N</v>
      </c>
    </row>
    <row r="257" spans="4:6" x14ac:dyDescent="0.25">
      <c r="D257" s="35" t="s">
        <v>267</v>
      </c>
      <c r="E257" s="35" t="s">
        <v>268</v>
      </c>
    </row>
    <row r="258" spans="4:6" x14ac:dyDescent="0.25">
      <c r="D258" s="35" t="str" cm="1">
        <f t="array" ref="D258">Common_InputFunctions.Utility_DisplayArrayInTable(Common_SourceData.Common_SourceData_EFOrganicFertiliserAndCropResidues_Data(), Table_SourceData_Common_EFOrganicFertCropResidues[[#Headers],[Climate Zone]], 0)</f>
        <v>Wet climate zone</v>
      </c>
      <c r="E258" s="35" cm="1">
        <f t="array" ref="E258">Common_InputFunctions.Utility_DisplayArrayInTable(Common_SourceData.Common_SourceData_EFOrganicFertiliserAndCropResidues_Data(), Table_SourceData_Common_EFOrganicFertCropResidues[[#Headers],[Climate Zone]], 0)</f>
        <v>6.0000000000000001E-3</v>
      </c>
    </row>
    <row r="259" spans="4:6" x14ac:dyDescent="0.25">
      <c r="D259" s="1" t="str" cm="1">
        <f t="array" ref="D259">Common_InputFunctions.Utility_DisplayArrayInTable(Common_SourceData.Common_SourceData_EFOrganicFertiliserAndCropResidues_Data(), Table_SourceData_Common_EFOrganicFertCropResidues[[#Headers],[Climate Zone]], 0)</f>
        <v>Dry climate zone</v>
      </c>
      <c r="E259" s="35" cm="1">
        <f t="array" ref="E259">Common_InputFunctions.Utility_DisplayArrayInTable(Common_SourceData.Common_SourceData_EFOrganicFertiliserAndCropResidues_Data(), Table_SourceData_Common_EFOrganicFertCropResidues[[#Headers],[Climate Zone]], 0)</f>
        <v>5.0000000000000001E-3</v>
      </c>
    </row>
    <row r="263" spans="4:6" ht="23.25" x14ac:dyDescent="0.25">
      <c r="D263" s="6" t="s">
        <v>305</v>
      </c>
    </row>
    <row r="264" spans="4:6" x14ac:dyDescent="0.25">
      <c r="D264" s="1" t="s">
        <v>306</v>
      </c>
    </row>
    <row r="265" spans="4:6" x14ac:dyDescent="0.25">
      <c r="D265" s="35" t="s">
        <v>307</v>
      </c>
      <c r="E265" s="35" t="s">
        <v>308</v>
      </c>
      <c r="F265" s="35" t="s">
        <v>309</v>
      </c>
    </row>
    <row r="266" spans="4:6" x14ac:dyDescent="0.25">
      <c r="D266" s="35" t="s">
        <v>310</v>
      </c>
      <c r="E266" s="35" t="s">
        <v>311</v>
      </c>
      <c r="F266" s="35">
        <v>5</v>
      </c>
    </row>
    <row r="267" spans="4:6" x14ac:dyDescent="0.25">
      <c r="D267" s="35" t="s">
        <v>312</v>
      </c>
      <c r="E267" s="35" t="s">
        <v>313</v>
      </c>
      <c r="F267" s="35">
        <v>4</v>
      </c>
    </row>
    <row r="268" spans="4:6" x14ac:dyDescent="0.25">
      <c r="D268" s="35" t="s">
        <v>314</v>
      </c>
      <c r="E268" s="35" t="s">
        <v>315</v>
      </c>
      <c r="F268" s="35">
        <v>3</v>
      </c>
    </row>
    <row r="269" spans="4:6" x14ac:dyDescent="0.25">
      <c r="D269" s="35" t="s">
        <v>316</v>
      </c>
      <c r="E269" s="35" t="s">
        <v>317</v>
      </c>
      <c r="F269" s="35">
        <v>2</v>
      </c>
    </row>
    <row r="270" spans="4:6" x14ac:dyDescent="0.25">
      <c r="D270" s="35" t="s">
        <v>318</v>
      </c>
      <c r="E270" s="35" t="s">
        <v>319</v>
      </c>
      <c r="F270" s="35">
        <v>1</v>
      </c>
    </row>
    <row r="273" spans="4:6" x14ac:dyDescent="0.25">
      <c r="D273" s="1" t="s">
        <v>320</v>
      </c>
    </row>
    <row r="274" spans="4:6" x14ac:dyDescent="0.25">
      <c r="D274" s="35" t="s">
        <v>307</v>
      </c>
      <c r="E274" s="35" t="s">
        <v>308</v>
      </c>
      <c r="F274" s="35" t="s">
        <v>309</v>
      </c>
    </row>
    <row r="275" spans="4:6" x14ac:dyDescent="0.25">
      <c r="D275" s="35" t="s">
        <v>321</v>
      </c>
      <c r="E275" s="35" t="s">
        <v>322</v>
      </c>
      <c r="F275" s="35">
        <v>5</v>
      </c>
    </row>
    <row r="276" spans="4:6" x14ac:dyDescent="0.25">
      <c r="D276" s="35" t="s">
        <v>323</v>
      </c>
      <c r="E276" s="35" t="s">
        <v>324</v>
      </c>
      <c r="F276" s="35">
        <v>4</v>
      </c>
    </row>
    <row r="277" spans="4:6" x14ac:dyDescent="0.25">
      <c r="D277" s="35" t="s">
        <v>325</v>
      </c>
      <c r="E277" s="35" t="s">
        <v>326</v>
      </c>
      <c r="F277" s="35">
        <v>3</v>
      </c>
    </row>
    <row r="278" spans="4:6" x14ac:dyDescent="0.25">
      <c r="D278" s="35" t="s">
        <v>327</v>
      </c>
      <c r="E278" s="35" t="s">
        <v>328</v>
      </c>
      <c r="F278" s="35">
        <v>2</v>
      </c>
    </row>
    <row r="279" spans="4:6" x14ac:dyDescent="0.25">
      <c r="D279" s="35" t="s">
        <v>329</v>
      </c>
      <c r="E279" s="35" t="s">
        <v>330</v>
      </c>
      <c r="F279" s="35">
        <v>1</v>
      </c>
    </row>
    <row r="282" spans="4:6" x14ac:dyDescent="0.25">
      <c r="D282" s="1" t="s">
        <v>331</v>
      </c>
    </row>
    <row r="283" spans="4:6" x14ac:dyDescent="0.25">
      <c r="D283" s="35" t="s">
        <v>307</v>
      </c>
      <c r="E283" s="35" t="s">
        <v>308</v>
      </c>
      <c r="F283" s="35" t="s">
        <v>309</v>
      </c>
    </row>
    <row r="284" spans="4:6" x14ac:dyDescent="0.25">
      <c r="D284" s="35" t="s">
        <v>332</v>
      </c>
      <c r="E284" s="35" t="s">
        <v>333</v>
      </c>
      <c r="F284" s="35">
        <v>5</v>
      </c>
    </row>
    <row r="285" spans="4:6" x14ac:dyDescent="0.25">
      <c r="D285" s="35" t="s">
        <v>334</v>
      </c>
      <c r="E285" s="35" t="s">
        <v>335</v>
      </c>
      <c r="F285" s="35">
        <v>4</v>
      </c>
    </row>
    <row r="286" spans="4:6" x14ac:dyDescent="0.25">
      <c r="D286" s="35" t="s">
        <v>336</v>
      </c>
      <c r="E286" s="35" t="s">
        <v>337</v>
      </c>
      <c r="F286" s="35">
        <v>3</v>
      </c>
    </row>
    <row r="287" spans="4:6" x14ac:dyDescent="0.25">
      <c r="D287" s="35" t="s">
        <v>338</v>
      </c>
      <c r="E287" s="35" t="s">
        <v>339</v>
      </c>
      <c r="F287" s="35">
        <v>2</v>
      </c>
    </row>
    <row r="288" spans="4:6" x14ac:dyDescent="0.25">
      <c r="D288" s="35" t="s">
        <v>340</v>
      </c>
      <c r="E288" s="35" t="s">
        <v>341</v>
      </c>
      <c r="F288" s="35">
        <v>1</v>
      </c>
    </row>
    <row r="291" spans="4:6" x14ac:dyDescent="0.25">
      <c r="D291" s="1" t="s">
        <v>342</v>
      </c>
    </row>
    <row r="292" spans="4:6" x14ac:dyDescent="0.25">
      <c r="D292" s="35" t="s">
        <v>307</v>
      </c>
      <c r="E292" s="35" t="s">
        <v>308</v>
      </c>
      <c r="F292" s="35" t="s">
        <v>309</v>
      </c>
    </row>
    <row r="293" spans="4:6" x14ac:dyDescent="0.25">
      <c r="D293" s="35" t="s">
        <v>343</v>
      </c>
      <c r="E293" s="35" t="s">
        <v>344</v>
      </c>
      <c r="F293" s="35">
        <v>5</v>
      </c>
    </row>
    <row r="294" spans="4:6" x14ac:dyDescent="0.25">
      <c r="D294" s="35" t="s">
        <v>345</v>
      </c>
      <c r="E294" s="35" t="s">
        <v>346</v>
      </c>
      <c r="F294" s="35">
        <v>4</v>
      </c>
    </row>
    <row r="295" spans="4:6" x14ac:dyDescent="0.25">
      <c r="D295" s="35" t="s">
        <v>347</v>
      </c>
      <c r="E295" s="35" t="s">
        <v>348</v>
      </c>
      <c r="F295" s="35">
        <v>3</v>
      </c>
    </row>
    <row r="296" spans="4:6" x14ac:dyDescent="0.25">
      <c r="D296" s="35" t="s">
        <v>349</v>
      </c>
      <c r="E296" s="35" t="s">
        <v>350</v>
      </c>
      <c r="F296" s="35">
        <v>2</v>
      </c>
    </row>
    <row r="297" spans="4:6" x14ac:dyDescent="0.25">
      <c r="D297" s="35" t="s">
        <v>351</v>
      </c>
      <c r="E297" s="35" t="s">
        <v>352</v>
      </c>
      <c r="F297" s="35">
        <v>1</v>
      </c>
    </row>
  </sheetData>
  <pageMargins left="0.7" right="0.7" top="0.75" bottom="0.75" header="0.3" footer="0.3"/>
  <pageSetup paperSize="9" orientation="portrait" r:id="rId1"/>
  <tableParts count="21">
    <tablePart r:id="rId2"/>
    <tablePart r:id="rId3"/>
    <tablePart r:id="rId4"/>
    <tablePart r:id="rId5"/>
    <tablePart r:id="rId6"/>
    <tablePart r:id="rId7"/>
    <tablePart r:id="rId8"/>
    <tablePart r:id="rId9"/>
    <tablePart r:id="rId10"/>
    <tablePart r:id="rId11"/>
    <tablePart r:id="rId12"/>
    <tablePart r:id="rId13"/>
    <tablePart r:id="rId14"/>
    <tablePart r:id="rId15"/>
    <tablePart r:id="rId16"/>
    <tablePart r:id="rId17"/>
    <tablePart r:id="rId18"/>
    <tablePart r:id="rId19"/>
    <tablePart r:id="rId20"/>
    <tablePart r:id="rId21"/>
    <tablePart r:id="rId22"/>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0D3D89-F657-45A6-A770-73699ABB25CC}">
  <dimension ref="A1:M65"/>
  <sheetViews>
    <sheetView showGridLines="0" topLeftCell="A12" zoomScaleNormal="100" workbookViewId="0">
      <selection activeCell="A20" sqref="A20"/>
    </sheetView>
  </sheetViews>
  <sheetFormatPr defaultRowHeight="15.75" x14ac:dyDescent="0.25"/>
  <cols>
    <col min="1" max="1" width="30.7109375" customWidth="1"/>
    <col min="2" max="2" width="4.7109375" customWidth="1"/>
    <col min="3" max="3" width="4.7109375" style="1" customWidth="1"/>
    <col min="4" max="8" width="30.7109375" style="1" customWidth="1"/>
    <col min="9" max="9" width="30.85546875" style="1" customWidth="1"/>
    <col min="10" max="13" width="30.7109375" style="1" customWidth="1"/>
    <col min="14" max="16" width="30.7109375" customWidth="1"/>
  </cols>
  <sheetData>
    <row r="1" spans="1:13" ht="30" customHeight="1" x14ac:dyDescent="0.35">
      <c r="A1" s="62" t="e" vm="1">
        <v>#VALUE!</v>
      </c>
      <c r="C1" s="8" t="s">
        <v>62</v>
      </c>
      <c r="D1" s="8"/>
      <c r="E1" s="8"/>
      <c r="F1" s="8"/>
      <c r="G1" s="8"/>
      <c r="H1" s="8"/>
      <c r="I1" s="8"/>
      <c r="J1" s="8"/>
      <c r="K1" s="8"/>
      <c r="L1" s="8"/>
      <c r="M1" s="8"/>
    </row>
    <row r="2" spans="1:13" ht="20.100000000000001" customHeight="1" x14ac:dyDescent="0.25">
      <c r="C2" s="9"/>
      <c r="D2" s="9"/>
      <c r="E2" s="9"/>
      <c r="F2" s="9"/>
      <c r="G2" s="9"/>
      <c r="H2" s="9"/>
      <c r="I2" s="9"/>
      <c r="J2" s="9"/>
      <c r="K2" s="9"/>
      <c r="L2" s="9"/>
      <c r="M2" s="9"/>
    </row>
    <row r="3" spans="1:13" ht="20.100000000000001" customHeight="1" x14ac:dyDescent="0.25">
      <c r="A3" s="17" t="str">
        <f>HYPERLINK("#'Home'!A1", "Home")</f>
        <v>Home</v>
      </c>
      <c r="C3" s="4"/>
      <c r="D3" s="4"/>
      <c r="E3" s="4"/>
      <c r="F3" s="4"/>
      <c r="G3" s="4"/>
      <c r="H3" s="4"/>
      <c r="I3" s="4"/>
      <c r="J3" s="4"/>
      <c r="K3" s="4"/>
      <c r="L3" s="4"/>
      <c r="M3" s="4"/>
    </row>
    <row r="4" spans="1:13" ht="20.100000000000001" customHeight="1" x14ac:dyDescent="0.25">
      <c r="A4" s="17" t="str">
        <f>HYPERLINK("#'Results'!A1", "Results")</f>
        <v>Results</v>
      </c>
    </row>
    <row r="5" spans="1:13" ht="20.100000000000001" customHeight="1" x14ac:dyDescent="0.25"/>
    <row r="6" spans="1:13" ht="20.100000000000001" customHeight="1" x14ac:dyDescent="0.25">
      <c r="D6" s="6" t="str" cm="1">
        <f t="array" ref="D6">CommonLivestock_SourceData.SourceData_Livestock_Common_SymbolsMMS_Title()</f>
        <v>Table 5.12 Additional symbols used in algorithms for manure related emissions</v>
      </c>
      <c r="E6" s="3"/>
      <c r="F6" s="3"/>
      <c r="G6" s="3"/>
      <c r="H6" s="3"/>
    </row>
    <row r="7" spans="1:13" ht="20.100000000000001" customHeight="1" x14ac:dyDescent="0.25">
      <c r="A7" s="19" t="s">
        <v>0</v>
      </c>
      <c r="D7" s="3" t="str" cm="1">
        <f t="array" ref="D7">CommonLivestock_SourceData.SourceData_Livestock_Common_SymbolsMMS_Vairable()</f>
        <v>MMS</v>
      </c>
      <c r="E7" s="3"/>
      <c r="F7" s="3"/>
      <c r="G7" s="3"/>
      <c r="H7" s="3"/>
    </row>
    <row r="8" spans="1:13" ht="20.100000000000001" customHeight="1" x14ac:dyDescent="0.25">
      <c r="A8" s="17" t="str">
        <f>HYPERLINK("#'Input - Site'!A1", "Site")</f>
        <v>Site</v>
      </c>
      <c r="D8" s="5" t="str" cm="1">
        <f t="array" ref="D8">CommonLivestock_SourceData.SourceData_Livestock_Common_SymbolsMMS_Source()</f>
        <v>National Inventory Report 2023 Volume 1: Table 5.12</v>
      </c>
      <c r="E8" s="3"/>
      <c r="F8" s="3"/>
      <c r="G8" s="3"/>
      <c r="H8" s="3"/>
    </row>
    <row r="9" spans="1:13" ht="20.100000000000001" customHeight="1" x14ac:dyDescent="0.25">
      <c r="A9" s="17" t="str">
        <f>HYPERLINK("#'Input - Pasture Beef'!A1", "Pasture Beef")</f>
        <v>Pasture Beef</v>
      </c>
      <c r="D9" s="34" t="s">
        <v>63</v>
      </c>
      <c r="E9" s="35" t="s">
        <v>15</v>
      </c>
      <c r="F9" s="35" t="s">
        <v>64</v>
      </c>
      <c r="G9" s="3"/>
    </row>
    <row r="10" spans="1:13" ht="20.100000000000001" customHeight="1" x14ac:dyDescent="0.25">
      <c r="D10" s="34" t="str" cm="1">
        <f t="array" ref="D10">Common_InputFunctions.Utility_DisplayArrayInTable(CommonLivestock_SourceData.SourceData_Livestock_Common_SymbolsMMS_Data(), Table_Data_MMSSymbols[[#Headers],[Symbol]], 0)</f>
        <v>1</v>
      </c>
      <c r="E10" s="34" t="str" cm="1">
        <f t="array" ref="E10">Common_InputFunctions.Utility_DisplayArrayInTable(CommonLivestock_SourceData.SourceData_Livestock_Common_SymbolsMMS_Data(), Table_Data_MMSSymbols[[#Headers],[Symbol]], 0)</f>
        <v>Anaerobic lagoon</v>
      </c>
      <c r="F10" s="34" t="str" cm="1">
        <f t="array" ref="F10">Common_InputFunctions.Utility_DisplayArrayInTable(CommonLivestock_SourceData.SourceData_Livestock_Common_SymbolsMMS_Data(), Table_Data_MMSSymbols[[#Headers],[Symbol]], 0)</f>
        <v>Anaerobic lagoon (m=1)</v>
      </c>
      <c r="G10" s="3"/>
    </row>
    <row r="11" spans="1:13" ht="20.100000000000001" customHeight="1" x14ac:dyDescent="0.25">
      <c r="D11" s="34" t="str" cm="1">
        <f t="array" ref="D11">Common_InputFunctions.Utility_DisplayArrayInTable(CommonLivestock_SourceData.SourceData_Livestock_Common_SymbolsMMS_Data(), Table_Data_MMSSymbols[[#Headers],[Symbol]], 0)</f>
        <v>2</v>
      </c>
      <c r="E11" s="34" t="str" cm="1">
        <f t="array" ref="E11">Common_InputFunctions.Utility_DisplayArrayInTable(CommonLivestock_SourceData.SourceData_Livestock_Common_SymbolsMMS_Data(), Table_Data_MMSSymbols[[#Headers],[Symbol]], 0)</f>
        <v>Liquid systems</v>
      </c>
      <c r="F11" s="34" t="str" cm="1">
        <f t="array" ref="F11">Common_InputFunctions.Utility_DisplayArrayInTable(CommonLivestock_SourceData.SourceData_Livestock_Common_SymbolsMMS_Data(), Table_Data_MMSSymbols[[#Headers],[Symbol]], 0)</f>
        <v>Liquid systems (m=2)</v>
      </c>
      <c r="G11" s="3"/>
    </row>
    <row r="12" spans="1:13" ht="20.100000000000001" customHeight="1" x14ac:dyDescent="0.25">
      <c r="A12" s="18" t="s">
        <v>60</v>
      </c>
      <c r="D12" s="35" t="str" cm="1">
        <f t="array" ref="D12">Common_InputFunctions.Utility_DisplayArrayInTable(CommonLivestock_SourceData.SourceData_Livestock_Common_SymbolsMMS_Data(), Table_Data_MMSSymbols[[#Headers],[Symbol]], 0)</f>
        <v>3</v>
      </c>
      <c r="E12" s="35" t="str" cm="1">
        <f t="array" ref="E12">Common_InputFunctions.Utility_DisplayArrayInTable(CommonLivestock_SourceData.SourceData_Livestock_Common_SymbolsMMS_Data(), Table_Data_MMSSymbols[[#Headers],[Symbol]], 0)</f>
        <v>Daily spread</v>
      </c>
      <c r="F12" s="35" t="str" cm="1">
        <f t="array" ref="F12">Common_InputFunctions.Utility_DisplayArrayInTable(CommonLivestock_SourceData.SourceData_Livestock_Common_SymbolsMMS_Data(), Table_Data_MMSSymbols[[#Headers],[Symbol]], 0)</f>
        <v>Daily spread (m=3)</v>
      </c>
      <c r="G12" s="3"/>
    </row>
    <row r="13" spans="1:13" ht="20.100000000000001" customHeight="1" x14ac:dyDescent="0.25">
      <c r="A13" s="17" t="str">
        <f>HYPERLINK("#'3.2.1.1-2 Enteric Methane'!A1", "3.2.1.1-2 Enteric Methane")</f>
        <v>3.2.1.1-2 Enteric Methane</v>
      </c>
      <c r="D13" s="35" t="str" cm="1">
        <f t="array" ref="D13">Common_InputFunctions.Utility_DisplayArrayInTable(CommonLivestock_SourceData.SourceData_Livestock_Common_SymbolsMMS_Data(), Table_Data_MMSSymbols[[#Headers],[Symbol]], 0)</f>
        <v>3a</v>
      </c>
      <c r="E13" s="35" t="str" cm="1">
        <f t="array" ref="E13">Common_InputFunctions.Utility_DisplayArrayInTable(CommonLivestock_SourceData.SourceData_Livestock_Common_SymbolsMMS_Data(), Table_Data_MMSSymbols[[#Headers],[Symbol]], 0)</f>
        <v>Sump and dispersal system</v>
      </c>
      <c r="F13" s="35" t="str" cm="1">
        <f t="array" ref="F13">Common_InputFunctions.Utility_DisplayArrayInTable(CommonLivestock_SourceData.SourceData_Livestock_Common_SymbolsMMS_Data(), Table_Data_MMSSymbols[[#Headers],[Symbol]], 0)</f>
        <v>Sump and dispersal system (m=3a)</v>
      </c>
      <c r="G13" s="3"/>
    </row>
    <row r="14" spans="1:13" ht="20.100000000000001" customHeight="1" x14ac:dyDescent="0.25">
      <c r="D14" s="35" t="str" cm="1">
        <f t="array" ref="D14">Common_InputFunctions.Utility_DisplayArrayInTable(CommonLivestock_SourceData.SourceData_Livestock_Common_SymbolsMMS_Data(), Table_Data_MMSSymbols[[#Headers],[Symbol]], 0)</f>
        <v>3b</v>
      </c>
      <c r="E14" s="35" t="str" cm="1">
        <f t="array" ref="E14">Common_InputFunctions.Utility_DisplayArrayInTable(CommonLivestock_SourceData.SourceData_Livestock_Common_SymbolsMMS_Data(), Table_Data_MMSSymbols[[#Headers],[Symbol]], 0)</f>
        <v>Drains to paddock</v>
      </c>
      <c r="F14" s="35" t="str" cm="1">
        <f t="array" ref="F14">Common_InputFunctions.Utility_DisplayArrayInTable(CommonLivestock_SourceData.SourceData_Livestock_Common_SymbolsMMS_Data(), Table_Data_MMSSymbols[[#Headers],[Symbol]], 0)</f>
        <v>Drains to paddock (m=3b)</v>
      </c>
      <c r="G14" s="3"/>
    </row>
    <row r="15" spans="1:13" ht="20.100000000000001" customHeight="1" x14ac:dyDescent="0.25">
      <c r="D15" s="35" t="str" cm="1">
        <f t="array" ref="D15">Common_InputFunctions.Utility_DisplayArrayInTable(CommonLivestock_SourceData.SourceData_Livestock_Common_SymbolsMMS_Data(), Table_Data_MMSSymbols[[#Headers],[Symbol]], 0)</f>
        <v>4</v>
      </c>
      <c r="E15" s="35" t="str" cm="1">
        <f t="array" ref="E15">Common_InputFunctions.Utility_DisplayArrayInTable(CommonLivestock_SourceData.SourceData_Livestock_Common_SymbolsMMS_Data(), Table_Data_MMSSymbols[[#Headers],[Symbol]], 0)</f>
        <v>Solid storage</v>
      </c>
      <c r="F15" s="35" t="str" cm="1">
        <f t="array" ref="F15">Common_InputFunctions.Utility_DisplayArrayInTable(CommonLivestock_SourceData.SourceData_Livestock_Common_SymbolsMMS_Data(), Table_Data_MMSSymbols[[#Headers],[Symbol]], 0)</f>
        <v>Solid storage (m=4)</v>
      </c>
      <c r="G15" s="3"/>
    </row>
    <row r="16" spans="1:13" ht="20.100000000000001" customHeight="1" x14ac:dyDescent="0.25">
      <c r="A16" s="120" t="s">
        <v>1</v>
      </c>
      <c r="D16" s="35" t="str" cm="1">
        <f t="array" ref="D16">Common_InputFunctions.Utility_DisplayArrayInTable(CommonLivestock_SourceData.SourceData_Livestock_Common_SymbolsMMS_Data(), Table_Data_MMSSymbols[[#Headers],[Symbol]], 0)</f>
        <v>5</v>
      </c>
      <c r="E16" s="35" t="str" cm="1">
        <f t="array" ref="E16">Common_InputFunctions.Utility_DisplayArrayInTable(CommonLivestock_SourceData.SourceData_Livestock_Common_SymbolsMMS_Data(), Table_Data_MMSSymbols[[#Headers],[Symbol]], 0)</f>
        <v>Drylot (feed pad)</v>
      </c>
      <c r="F16" s="35" t="str" cm="1">
        <f t="array" ref="F16">Common_InputFunctions.Utility_DisplayArrayInTable(CommonLivestock_SourceData.SourceData_Livestock_Common_SymbolsMMS_Data(), Table_Data_MMSSymbols[[#Headers],[Symbol]], 0)</f>
        <v>Drylot (feed pad) (m=5)</v>
      </c>
      <c r="G16" s="3"/>
    </row>
    <row r="17" spans="1:8" ht="20.100000000000001" customHeight="1" x14ac:dyDescent="0.25">
      <c r="A17" s="17" t="str">
        <f>HYPERLINK("#'Constants - Pasture Beef'!A1", "Constants - Pasture Beef")</f>
        <v>Constants - Pasture Beef</v>
      </c>
      <c r="D17" s="35" t="str" cm="1">
        <f t="array" ref="D17">Common_InputFunctions.Utility_DisplayArrayInTable(CommonLivestock_SourceData.SourceData_Livestock_Common_SymbolsMMS_Data(), Table_Data_MMSSymbols[[#Headers],[Symbol]], 0)</f>
        <v>6</v>
      </c>
      <c r="E17" s="35" t="str" cm="1">
        <f t="array" ref="E17">Common_InputFunctions.Utility_DisplayArrayInTable(CommonLivestock_SourceData.SourceData_Livestock_Common_SymbolsMMS_Data(), Table_Data_MMSSymbols[[#Headers],[Symbol]], 0)</f>
        <v>Composting (passive windrow)</v>
      </c>
      <c r="F17" s="35" t="str" cm="1">
        <f t="array" ref="F17">Common_InputFunctions.Utility_DisplayArrayInTable(CommonLivestock_SourceData.SourceData_Livestock_Common_SymbolsMMS_Data(), Table_Data_MMSSymbols[[#Headers],[Symbol]], 0)</f>
        <v>Composting (passive windrow) (m=6)</v>
      </c>
      <c r="G17" s="3"/>
    </row>
    <row r="18" spans="1:8" ht="20.100000000000001" customHeight="1" x14ac:dyDescent="0.25">
      <c r="A18" s="17" t="str">
        <f>HYPERLINK("#'Constants - Common'!A1", "Constants - Common")</f>
        <v>Constants - Common</v>
      </c>
      <c r="D18" s="35" t="str" cm="1">
        <f t="array" ref="D18">Common_InputFunctions.Utility_DisplayArrayInTable(CommonLivestock_SourceData.SourceData_Livestock_Common_SymbolsMMS_Data(), Table_Data_MMSSymbols[[#Headers],[Symbol]], 0)</f>
        <v>7</v>
      </c>
      <c r="E18" s="35" t="str" cm="1">
        <f t="array" ref="E18">Common_InputFunctions.Utility_DisplayArrayInTable(CommonLivestock_SourceData.SourceData_Livestock_Common_SymbolsMMS_Data(), Table_Data_MMSSymbols[[#Headers],[Symbol]], 0)</f>
        <v>Digester / covered lagoons</v>
      </c>
      <c r="F18" s="35" t="str" cm="1">
        <f t="array" ref="F18">Common_InputFunctions.Utility_DisplayArrayInTable(CommonLivestock_SourceData.SourceData_Livestock_Common_SymbolsMMS_Data(), Table_Data_MMSSymbols[[#Headers],[Symbol]], 0)</f>
        <v>Digester / covered lagoons (m=7)</v>
      </c>
      <c r="G18" s="3"/>
    </row>
    <row r="19" spans="1:8" ht="20.100000000000001" customHeight="1" x14ac:dyDescent="0.25">
      <c r="A19" s="118" t="str">
        <f>HYPERLINK("#'Constants - Common Livestock'!A1", "Constants - Common Livestock")</f>
        <v>Constants - Common Livestock</v>
      </c>
      <c r="D19" s="35" t="str" cm="1">
        <f t="array" ref="D19">Common_InputFunctions.Utility_DisplayArrayInTable(CommonLivestock_SourceData.SourceData_Livestock_Common_SymbolsMMS_Data(), Table_Data_MMSSymbols[[#Headers],[Symbol]], 0)</f>
        <v>8</v>
      </c>
      <c r="E19" s="35" t="str" cm="1">
        <f t="array" ref="E19">Common_InputFunctions.Utility_DisplayArrayInTable(CommonLivestock_SourceData.SourceData_Livestock_Common_SymbolsMMS_Data(), Table_Data_MMSSymbols[[#Headers],[Symbol]], 0)</f>
        <v>Deep litter</v>
      </c>
      <c r="F19" s="35" t="str" cm="1">
        <f t="array" ref="F19">Common_InputFunctions.Utility_DisplayArrayInTable(CommonLivestock_SourceData.SourceData_Livestock_Common_SymbolsMMS_Data(), Table_Data_MMSSymbols[[#Headers],[Symbol]], 0)</f>
        <v>Deep litter (m=8)</v>
      </c>
      <c r="G19" s="3"/>
    </row>
    <row r="20" spans="1:8" ht="20.100000000000001" customHeight="1" x14ac:dyDescent="0.25">
      <c r="A20" s="17" t="str">
        <f>HYPERLINK("#'Acknowledgements'!A1", "Acknowledgements")</f>
        <v>Acknowledgements</v>
      </c>
      <c r="D20" s="35" t="str" cm="1">
        <f t="array" ref="D20">Common_InputFunctions.Utility_DisplayArrayInTable(CommonLivestock_SourceData.SourceData_Livestock_Common_SymbolsMMS_Data(), Table_Data_MMSSymbols[[#Headers],[Symbol]], 0)</f>
        <v>9</v>
      </c>
      <c r="E20" s="35" t="str" cm="1">
        <f t="array" ref="E20">Common_InputFunctions.Utility_DisplayArrayInTable(CommonLivestock_SourceData.SourceData_Livestock_Common_SymbolsMMS_Data(), Table_Data_MMSSymbols[[#Headers],[Symbol]], 0)</f>
        <v>Pit storage</v>
      </c>
      <c r="F20" s="35" t="str" cm="1">
        <f t="array" ref="F20">Common_InputFunctions.Utility_DisplayArrayInTable(CommonLivestock_SourceData.SourceData_Livestock_Common_SymbolsMMS_Data(), Table_Data_MMSSymbols[[#Headers],[Symbol]], 0)</f>
        <v>Pit storage (m=9)</v>
      </c>
      <c r="G20" s="3"/>
    </row>
    <row r="21" spans="1:8" ht="20.100000000000001" customHeight="1" x14ac:dyDescent="0.25">
      <c r="D21" s="35" t="str" cm="1">
        <f t="array" ref="D21">Common_InputFunctions.Utility_DisplayArrayInTable(CommonLivestock_SourceData.SourceData_Livestock_Common_SymbolsMMS_Data(), Table_Data_MMSSymbols[[#Headers],[Symbol]], 0)</f>
        <v>10</v>
      </c>
      <c r="E21" s="35" t="str" cm="1">
        <f t="array" ref="E21">Common_InputFunctions.Utility_DisplayArrayInTable(CommonLivestock_SourceData.SourceData_Livestock_Common_SymbolsMMS_Data(), Table_Data_MMSSymbols[[#Headers],[Symbol]], 0)</f>
        <v>Poultry manure with bedding</v>
      </c>
      <c r="F21" s="35" t="str" cm="1">
        <f t="array" ref="F21">Common_InputFunctions.Utility_DisplayArrayInTable(CommonLivestock_SourceData.SourceData_Livestock_Common_SymbolsMMS_Data(), Table_Data_MMSSymbols[[#Headers],[Symbol]], 0)</f>
        <v>Poultry manure with bedding (m=10)</v>
      </c>
      <c r="G21" s="3"/>
    </row>
    <row r="22" spans="1:8" ht="20.100000000000001" customHeight="1" x14ac:dyDescent="0.25">
      <c r="D22" s="35" t="str" cm="1">
        <f t="array" ref="D22">Common_InputFunctions.Utility_DisplayArrayInTable(CommonLivestock_SourceData.SourceData_Livestock_Common_SymbolsMMS_Data(), Table_Data_MMSSymbols[[#Headers],[Symbol]], 0)</f>
        <v>11</v>
      </c>
      <c r="E22" s="35" t="str" cm="1">
        <f t="array" ref="E22">Common_InputFunctions.Utility_DisplayArrayInTable(CommonLivestock_SourceData.SourceData_Livestock_Common_SymbolsMMS_Data(), Table_Data_MMSSymbols[[#Headers],[Symbol]], 0)</f>
        <v>Poultry manure without bedding</v>
      </c>
      <c r="F22" s="35" t="str" cm="1">
        <f t="array" ref="F22">Common_InputFunctions.Utility_DisplayArrayInTable(CommonLivestock_SourceData.SourceData_Livestock_Common_SymbolsMMS_Data(), Table_Data_MMSSymbols[[#Headers],[Symbol]], 0)</f>
        <v>Poultry manure without bedding (m=11)</v>
      </c>
      <c r="G22" s="3"/>
    </row>
    <row r="23" spans="1:8" ht="20.100000000000001" customHeight="1" x14ac:dyDescent="0.25">
      <c r="D23" s="35" t="str" cm="1">
        <f t="array" ref="D23">Common_InputFunctions.Utility_DisplayArrayInTable(CommonLivestock_SourceData.SourceData_Livestock_Common_SymbolsMMS_Data(), Table_Data_MMSSymbols[[#Headers],[Symbol]], 0)</f>
        <v>11a</v>
      </c>
      <c r="E23" s="35" t="str" cm="1">
        <f t="array" ref="E23">Common_InputFunctions.Utility_DisplayArrayInTable(CommonLivestock_SourceData.SourceData_Livestock_Common_SymbolsMMS_Data(), Table_Data_MMSSymbols[[#Headers],[Symbol]], 0)</f>
        <v>Belt manure removal</v>
      </c>
      <c r="F23" s="35" t="str" cm="1">
        <f t="array" ref="F23">Common_InputFunctions.Utility_DisplayArrayInTable(CommonLivestock_SourceData.SourceData_Livestock_Common_SymbolsMMS_Data(), Table_Data_MMSSymbols[[#Headers],[Symbol]], 0)</f>
        <v>Belt manure removal (m=11a)</v>
      </c>
      <c r="G23" s="3"/>
    </row>
    <row r="24" spans="1:8" ht="20.100000000000001" customHeight="1" x14ac:dyDescent="0.25">
      <c r="D24" s="35" t="str" cm="1">
        <f t="array" ref="D24">Common_InputFunctions.Utility_DisplayArrayInTable(CommonLivestock_SourceData.SourceData_Livestock_Common_SymbolsMMS_Data(), Table_Data_MMSSymbols[[#Headers],[Symbol]], 0)</f>
        <v>11b</v>
      </c>
      <c r="E24" s="35" t="str" cm="1">
        <f t="array" ref="E24">Common_InputFunctions.Utility_DisplayArrayInTable(CommonLivestock_SourceData.SourceData_Livestock_Common_SymbolsMMS_Data(), Table_Data_MMSSymbols[[#Headers],[Symbol]], 0)</f>
        <v>Manure stored in house</v>
      </c>
      <c r="F24" s="35" t="str" cm="1">
        <f t="array" ref="F24">Common_InputFunctions.Utility_DisplayArrayInTable(CommonLivestock_SourceData.SourceData_Livestock_Common_SymbolsMMS_Data(), Table_Data_MMSSymbols[[#Headers],[Symbol]], 0)</f>
        <v>Manure stored in house (m=11b)</v>
      </c>
      <c r="G24" s="3"/>
    </row>
    <row r="25" spans="1:8" ht="20.100000000000001" customHeight="1" x14ac:dyDescent="0.25">
      <c r="D25" s="35" t="str" cm="1">
        <f t="array" ref="D25">Common_InputFunctions.Utility_DisplayArrayInTable(CommonLivestock_SourceData.SourceData_Livestock_Common_SymbolsMMS_Data(), Table_Data_MMSSymbols[[#Headers],[Symbol]], 0)</f>
        <v>12</v>
      </c>
      <c r="E25" s="35" t="str" cm="1">
        <f t="array" ref="E25">Common_InputFunctions.Utility_DisplayArrayInTable(CommonLivestock_SourceData.SourceData_Livestock_Common_SymbolsMMS_Data(), Table_Data_MMSSymbols[[#Headers],[Symbol]], 0)</f>
        <v>Direct processing</v>
      </c>
      <c r="F25" s="35" t="str" cm="1">
        <f t="array" ref="F25">Common_InputFunctions.Utility_DisplayArrayInTable(CommonLivestock_SourceData.SourceData_Livestock_Common_SymbolsMMS_Data(), Table_Data_MMSSymbols[[#Headers],[Symbol]], 0)</f>
        <v>Direct processing (m=12)</v>
      </c>
      <c r="G25" s="3"/>
    </row>
    <row r="26" spans="1:8" ht="20.100000000000001" customHeight="1" x14ac:dyDescent="0.25">
      <c r="D26" s="35" t="str" cm="1">
        <f t="array" ref="D26">Common_InputFunctions.Utility_DisplayArrayInTable(CommonLivestock_SourceData.SourceData_Livestock_Common_SymbolsMMS_Data(), Table_Data_MMSSymbols[[#Headers],[Symbol]], 0)</f>
        <v>13</v>
      </c>
      <c r="E26" s="35" t="str" cm="1">
        <f t="array" ref="E26">Common_InputFunctions.Utility_DisplayArrayInTable(CommonLivestock_SourceData.SourceData_Livestock_Common_SymbolsMMS_Data(), Table_Data_MMSSymbols[[#Headers],[Symbol]], 0)</f>
        <v>Direct application</v>
      </c>
      <c r="F26" s="35" t="str" cm="1">
        <f t="array" ref="F26">Common_InputFunctions.Utility_DisplayArrayInTable(CommonLivestock_SourceData.SourceData_Livestock_Common_SymbolsMMS_Data(), Table_Data_MMSSymbols[[#Headers],[Symbol]], 0)</f>
        <v>Direct application (m=13)</v>
      </c>
      <c r="G26" s="3"/>
    </row>
    <row r="27" spans="1:8" ht="20.100000000000001" customHeight="1" x14ac:dyDescent="0.25">
      <c r="D27" s="35" t="str" cm="1">
        <f t="array" ref="D27">Common_InputFunctions.Utility_DisplayArrayInTable(CommonLivestock_SourceData.SourceData_Livestock_Common_SymbolsMMS_Data(), Table_Data_MMSSymbols[[#Headers],[Symbol]], 0)</f>
        <v>14</v>
      </c>
      <c r="E27" s="35" t="str" cm="1">
        <f t="array" ref="E27">Common_InputFunctions.Utility_DisplayArrayInTable(CommonLivestock_SourceData.SourceData_Livestock_Common_SymbolsMMS_Data(), Table_Data_MMSSymbols[[#Headers],[Symbol]], 0)</f>
        <v>Pasture range and paddock</v>
      </c>
      <c r="F27" s="35" t="str" cm="1">
        <f t="array" ref="F27">Common_InputFunctions.Utility_DisplayArrayInTable(CommonLivestock_SourceData.SourceData_Livestock_Common_SymbolsMMS_Data(), Table_Data_MMSSymbols[[#Headers],[Symbol]], 0)</f>
        <v>Pasture range and paddock (m=14)</v>
      </c>
      <c r="G27" s="3"/>
    </row>
    <row r="28" spans="1:8" ht="20.100000000000001" customHeight="1" x14ac:dyDescent="0.25">
      <c r="G28" s="3"/>
      <c r="H28" s="3"/>
    </row>
    <row r="29" spans="1:8" ht="20.100000000000001" customHeight="1" x14ac:dyDescent="0.25">
      <c r="D29" s="6" t="str" cm="1">
        <f t="array" ref="D29">CommonLivestock_SourceData.SourceData_Livestock_Product_BeefCattle_Title()</f>
        <v>Beef cattle products for scope 3</v>
      </c>
    </row>
    <row r="30" spans="1:8" ht="20.100000000000001" customHeight="1" x14ac:dyDescent="0.25">
      <c r="D30" s="5" t="str" cm="1">
        <f t="array" ref="D30">CommonLivestock_SourceData.SourceData_Livestock_Product_BeefCattle_Source()</f>
        <v>Lifecycles. (2026). Greenhouse Gas Emission Intensities for Material Inputs to Australian Agriculture, Fisheries and Forestry. Version 48. doi 10.5281/zenodo.19656580</v>
      </c>
    </row>
    <row r="31" spans="1:8" ht="20.100000000000001" customHeight="1" x14ac:dyDescent="0.25">
      <c r="D31" s="35" t="s">
        <v>284</v>
      </c>
      <c r="E31" s="35" t="s">
        <v>289</v>
      </c>
      <c r="F31" s="1" t="s">
        <v>290</v>
      </c>
    </row>
    <row r="32" spans="1:8" ht="20.100000000000001" customHeight="1" x14ac:dyDescent="0.25">
      <c r="D32" s="35" t="str" cm="1">
        <f t="array" ref="D32">Common_InputFunctions.Utility_DisplayArrayInTable(CommonLivestock_SourceData.SourceData_Livestock_Product_BeefCattle_Data(),Table_SourceData_LivestockProduct_Beefcattle[[#Headers],[Product]],0)</f>
        <v>Cattle, for manufacturing beef</v>
      </c>
      <c r="E32" s="35" t="str" cm="1">
        <f t="array" ref="E32">Common_InputFunctions.Utility_DisplayArrayInTable(CommonLivestock_SourceData.SourceData_Livestock_Product_BeefCattle_Data(),Table_SourceData_LivestockProduct_Beefcattle[[#Headers],[Product]],0)</f>
        <v>Australia</v>
      </c>
    </row>
    <row r="33" spans="4:6" ht="20.100000000000001" customHeight="1" x14ac:dyDescent="0.25">
      <c r="D33" s="1" t="str" cm="1">
        <f t="array" ref="D33">Common_InputFunctions.Utility_DisplayArrayInTable(CommonLivestock_SourceData.SourceData_Livestock_Product_BeefCattle_Data(),Table_SourceData_LivestockProduct_Beefcattle[[#Headers],[Product]],0)</f>
        <v>Cattle, for prime beef</v>
      </c>
      <c r="E33" s="35" t="str" cm="1">
        <f t="array" ref="E33">Common_InputFunctions.Utility_DisplayArrayInTable(CommonLivestock_SourceData.SourceData_Livestock_Product_BeefCattle_Data(),Table_SourceData_LivestockProduct_Beefcattle[[#Headers],[Product]],0)</f>
        <v>NSW</v>
      </c>
    </row>
    <row r="34" spans="4:6" ht="20.100000000000001" customHeight="1" x14ac:dyDescent="0.25">
      <c r="D34" s="1" t="str" cm="1">
        <f t="array" ref="D34">Common_InputFunctions.Utility_DisplayArrayInTable(CommonLivestock_SourceData.SourceData_Livestock_Product_BeefCattle_Data(),Table_SourceData_LivestockProduct_Beefcattle[[#Headers],[Product]],0)</f>
        <v>Cattle, weaners</v>
      </c>
      <c r="E34" s="35" t="str" cm="1">
        <f t="array" ref="E34">Common_InputFunctions.Utility_DisplayArrayInTable(CommonLivestock_SourceData.SourceData_Livestock_Product_BeefCattle_Data(),Table_SourceData_LivestockProduct_Beefcattle[[#Headers],[Product]],0)</f>
        <v>NT</v>
      </c>
    </row>
    <row r="35" spans="4:6" ht="20.100000000000001" customHeight="1" x14ac:dyDescent="0.25">
      <c r="D35" s="1" t="str" cm="1">
        <f t="array" ref="D35">Common_InputFunctions.Utility_DisplayArrayInTable(CommonLivestock_SourceData.SourceData_Livestock_Product_BeefCattle_Data(),Table_SourceData_LivestockProduct_Beefcattle[[#Headers],[Product]],0)</f>
        <v/>
      </c>
      <c r="E35" s="35" t="str" cm="1">
        <f t="array" ref="E35">Common_InputFunctions.Utility_DisplayArrayInTable(CommonLivestock_SourceData.SourceData_Livestock_Product_BeefCattle_Data(),Table_SourceData_LivestockProduct_Beefcattle[[#Headers],[Product]],0)</f>
        <v>QLD</v>
      </c>
    </row>
    <row r="36" spans="4:6" ht="20.100000000000001" customHeight="1" x14ac:dyDescent="0.25">
      <c r="D36" s="1" t="str" cm="1">
        <f t="array" ref="D36">Common_InputFunctions.Utility_DisplayArrayInTable(CommonLivestock_SourceData.SourceData_Livestock_Product_BeefCattle_Data(),Table_SourceData_LivestockProduct_Beefcattle[[#Headers],[Product]],0)</f>
        <v/>
      </c>
      <c r="E36" s="35" t="str" cm="1">
        <f t="array" ref="E36">Common_InputFunctions.Utility_DisplayArrayInTable(CommonLivestock_SourceData.SourceData_Livestock_Product_BeefCattle_Data(),Table_SourceData_LivestockProduct_Beefcattle[[#Headers],[Product]],0)</f>
        <v>SA</v>
      </c>
    </row>
    <row r="37" spans="4:6" ht="20.100000000000001" customHeight="1" x14ac:dyDescent="0.25">
      <c r="D37" s="1" t="str" cm="1">
        <f t="array" ref="D37">Common_InputFunctions.Utility_DisplayArrayInTable(CommonLivestock_SourceData.SourceData_Livestock_Product_BeefCattle_Data(),Table_SourceData_LivestockProduct_Beefcattle[[#Headers],[Product]],0)</f>
        <v/>
      </c>
      <c r="E37" s="35" t="str" cm="1">
        <f t="array" ref="E37">Common_InputFunctions.Utility_DisplayArrayInTable(CommonLivestock_SourceData.SourceData_Livestock_Product_BeefCattle_Data(),Table_SourceData_LivestockProduct_Beefcattle[[#Headers],[Product]],0)</f>
        <v>TAS</v>
      </c>
    </row>
    <row r="38" spans="4:6" ht="20.100000000000001" customHeight="1" x14ac:dyDescent="0.25">
      <c r="D38" s="1" t="str" cm="1">
        <f t="array" ref="D38">Common_InputFunctions.Utility_DisplayArrayInTable(CommonLivestock_SourceData.SourceData_Livestock_Product_BeefCattle_Data(),Table_SourceData_LivestockProduct_Beefcattle[[#Headers],[Product]],0)</f>
        <v/>
      </c>
      <c r="E38" s="35" t="str" cm="1">
        <f t="array" ref="E38">Common_InputFunctions.Utility_DisplayArrayInTable(CommonLivestock_SourceData.SourceData_Livestock_Product_BeefCattle_Data(),Table_SourceData_LivestockProduct_Beefcattle[[#Headers],[Product]],0)</f>
        <v>VIC</v>
      </c>
    </row>
    <row r="39" spans="4:6" ht="20.100000000000001" customHeight="1" x14ac:dyDescent="0.25">
      <c r="D39" s="1" t="str" cm="1">
        <f t="array" ref="D39">Common_InputFunctions.Utility_DisplayArrayInTable(CommonLivestock_SourceData.SourceData_Livestock_Product_BeefCattle_Data(),Table_SourceData_LivestockProduct_Beefcattle[[#Headers],[Product]],0)</f>
        <v/>
      </c>
      <c r="E39" s="35" t="str" cm="1">
        <f t="array" ref="E39">Common_InputFunctions.Utility_DisplayArrayInTable(CommonLivestock_SourceData.SourceData_Livestock_Product_BeefCattle_Data(),Table_SourceData_LivestockProduct_Beefcattle[[#Headers],[Product]],0)</f>
        <v>WA</v>
      </c>
    </row>
    <row r="40" spans="4:6" ht="20.100000000000001" customHeight="1" x14ac:dyDescent="0.25"/>
    <row r="41" spans="4:6" ht="20.100000000000001" customHeight="1" x14ac:dyDescent="0.25">
      <c r="D41" s="6" t="str" cm="1">
        <f t="array" ref="D41">CommonLivestock_SourceData.SourceData_Livestock_Product_Sheep_Title()</f>
        <v>Sheep products for scope 3</v>
      </c>
    </row>
    <row r="42" spans="4:6" ht="20.100000000000001" customHeight="1" x14ac:dyDescent="0.25">
      <c r="D42" s="5" t="str" cm="1">
        <f t="array" ref="D42">CommonLivestock_SourceData.SourceData_Livestock_Product_Sheep_Source()</f>
        <v>Lifecycles. (2026). Greenhouse Gas Emission Intensities for Material Inputs to Australian Agriculture, Fisheries and Forestry. Version 48. doi 10.5281/zenodo.19656580</v>
      </c>
    </row>
    <row r="43" spans="4:6" ht="20.100000000000001" customHeight="1" x14ac:dyDescent="0.25">
      <c r="D43" s="35" t="s">
        <v>284</v>
      </c>
      <c r="E43" s="35" t="s">
        <v>289</v>
      </c>
      <c r="F43" s="1" t="s">
        <v>291</v>
      </c>
    </row>
    <row r="44" spans="4:6" ht="20.100000000000001" customHeight="1" x14ac:dyDescent="0.25">
      <c r="D44" s="35" t="str" cm="1">
        <f t="array" ref="D44">Common_InputFunctions.Utility_DisplayArrayInTable(CommonLivestock_SourceData.SourceData_Livestock_Product_Sheep_Data(),Table_SourceData_LivestockProduct_Sheep[[#Headers],[Product]],0)</f>
        <v>Sheep, for mutton</v>
      </c>
      <c r="E44" s="35" t="str" cm="1">
        <f t="array" ref="E44">Common_InputFunctions.Utility_DisplayArrayInTable(CommonLivestock_SourceData.SourceData_Livestock_Product_Sheep_Data(),Table_SourceData_LivestockProduct_Sheep[[#Headers],[Product]],0)</f>
        <v>Australia</v>
      </c>
    </row>
    <row r="45" spans="4:6" ht="20.100000000000001" customHeight="1" x14ac:dyDescent="0.25">
      <c r="D45" s="35" t="str" cm="1">
        <f t="array" ref="D45">Common_InputFunctions.Utility_DisplayArrayInTable(CommonLivestock_SourceData.SourceData_Livestock_Product_Sheep_Data(),Table_SourceData_LivestockProduct_Sheep[[#Headers],[Product]],0)</f>
        <v>Sheep, for prime lamb</v>
      </c>
      <c r="E45" s="35" t="str" cm="1">
        <f t="array" ref="E45">Common_InputFunctions.Utility_DisplayArrayInTable(CommonLivestock_SourceData.SourceData_Livestock_Product_Sheep_Data(),Table_SourceData_LivestockProduct_Sheep[[#Headers],[Product]],0)</f>
        <v>NSW</v>
      </c>
    </row>
    <row r="46" spans="4:6" ht="20.100000000000001" customHeight="1" x14ac:dyDescent="0.25">
      <c r="D46" s="35" t="str" cm="1">
        <f t="array" ref="D46">Common_InputFunctions.Utility_DisplayArrayInTable(CommonLivestock_SourceData.SourceData_Livestock_Product_Sheep_Data(),Table_SourceData_LivestockProduct_Sheep[[#Headers],[Product]],0)</f>
        <v/>
      </c>
      <c r="E46" s="35" t="str" cm="1">
        <f t="array" ref="E46">Common_InputFunctions.Utility_DisplayArrayInTable(CommonLivestock_SourceData.SourceData_Livestock_Product_Sheep_Data(),Table_SourceData_LivestockProduct_Sheep[[#Headers],[Product]],0)</f>
        <v>QLD</v>
      </c>
    </row>
    <row r="47" spans="4:6" ht="20.100000000000001" customHeight="1" x14ac:dyDescent="0.25">
      <c r="D47" s="35" t="str" cm="1">
        <f t="array" ref="D47">Common_InputFunctions.Utility_DisplayArrayInTable(CommonLivestock_SourceData.SourceData_Livestock_Product_Sheep_Data(),Table_SourceData_LivestockProduct_Sheep[[#Headers],[Product]],0)</f>
        <v/>
      </c>
      <c r="E47" s="35" t="str" cm="1">
        <f t="array" ref="E47">Common_InputFunctions.Utility_DisplayArrayInTable(CommonLivestock_SourceData.SourceData_Livestock_Product_Sheep_Data(),Table_SourceData_LivestockProduct_Sheep[[#Headers],[Product]],0)</f>
        <v>SA</v>
      </c>
    </row>
    <row r="48" spans="4:6" ht="20.100000000000001" customHeight="1" x14ac:dyDescent="0.25">
      <c r="D48" s="35" t="str" cm="1">
        <f t="array" ref="D48">Common_InputFunctions.Utility_DisplayArrayInTable(CommonLivestock_SourceData.SourceData_Livestock_Product_Sheep_Data(),Table_SourceData_LivestockProduct_Sheep[[#Headers],[Product]],0)</f>
        <v/>
      </c>
      <c r="E48" s="35" t="str" cm="1">
        <f t="array" ref="E48">Common_InputFunctions.Utility_DisplayArrayInTable(CommonLivestock_SourceData.SourceData_Livestock_Product_Sheep_Data(),Table_SourceData_LivestockProduct_Sheep[[#Headers],[Product]],0)</f>
        <v>TAS</v>
      </c>
    </row>
    <row r="49" spans="4:6" ht="20.100000000000001" customHeight="1" x14ac:dyDescent="0.25">
      <c r="D49" s="35" t="str" cm="1">
        <f t="array" ref="D49">Common_InputFunctions.Utility_DisplayArrayInTable(CommonLivestock_SourceData.SourceData_Livestock_Product_Sheep_Data(),Table_SourceData_LivestockProduct_Sheep[[#Headers],[Product]],0)</f>
        <v/>
      </c>
      <c r="E49" s="35" t="str" cm="1">
        <f t="array" ref="E49">Common_InputFunctions.Utility_DisplayArrayInTable(CommonLivestock_SourceData.SourceData_Livestock_Product_Sheep_Data(),Table_SourceData_LivestockProduct_Sheep[[#Headers],[Product]],0)</f>
        <v>VIC</v>
      </c>
    </row>
    <row r="50" spans="4:6" ht="20.100000000000001" customHeight="1" x14ac:dyDescent="0.25">
      <c r="D50" s="35" t="str" cm="1">
        <f t="array" ref="D50">Common_InputFunctions.Utility_DisplayArrayInTable(CommonLivestock_SourceData.SourceData_Livestock_Product_Sheep_Data(),Table_SourceData_LivestockProduct_Sheep[[#Headers],[Product]],0)</f>
        <v/>
      </c>
      <c r="E50" s="35" t="str" cm="1">
        <f t="array" ref="E50">Common_InputFunctions.Utility_DisplayArrayInTable(CommonLivestock_SourceData.SourceData_Livestock_Product_Sheep_Data(),Table_SourceData_LivestockProduct_Sheep[[#Headers],[Product]],0)</f>
        <v>WA</v>
      </c>
    </row>
    <row r="51" spans="4:6" ht="20.100000000000001" customHeight="1" x14ac:dyDescent="0.25"/>
    <row r="52" spans="4:6" ht="20.100000000000001" customHeight="1" x14ac:dyDescent="0.25">
      <c r="D52" s="6" t="str" cm="1">
        <f t="array" ref="D52">CommonLivestock_SourceData.SourceData_Livestock_Product_Chickens_Title()</f>
        <v>Chickens products for scope 3</v>
      </c>
    </row>
    <row r="53" spans="4:6" ht="20.100000000000001" customHeight="1" x14ac:dyDescent="0.25">
      <c r="D53" s="5" t="str" cm="1">
        <f t="array" ref="D53">CommonLivestock_SourceData.SourceData_Livestock_Product_Chickens_Source()</f>
        <v>Lifecycles. (2026). Greenhouse Gas Emission Intensities for Material Inputs to Australian Agriculture, Fisheries and Forestry. Version 48. doi 10.5281/zenodo.19656580</v>
      </c>
    </row>
    <row r="54" spans="4:6" ht="20.100000000000001" customHeight="1" x14ac:dyDescent="0.25">
      <c r="D54" s="35" t="s">
        <v>284</v>
      </c>
      <c r="E54" s="35" t="s">
        <v>289</v>
      </c>
      <c r="F54" s="1" t="s">
        <v>292</v>
      </c>
    </row>
    <row r="55" spans="4:6" ht="20.100000000000001" customHeight="1" x14ac:dyDescent="0.25">
      <c r="D55" s="35" t="str" cm="1">
        <f t="array" ref="D55">Common_InputFunctions.Utility_DisplayArrayInTable(CommonLivestock_SourceData.SourceData_Livestock_Product_Chickens_Data(),Table_SourceData_LivestockProduct_Chickens[[#Headers],[Product]],0)</f>
        <v>Chickens</v>
      </c>
      <c r="E55" s="35" t="str" cm="1">
        <f t="array" ref="E55">Common_InputFunctions.Utility_DisplayArrayInTable(CommonLivestock_SourceData.SourceData_Livestock_Product_Chickens_Data(),Table_SourceData_LivestockProduct_Chickens[[#Headers],[Product]],0)</f>
        <v>Australia</v>
      </c>
    </row>
    <row r="56" spans="4:6" ht="20.100000000000001" customHeight="1" x14ac:dyDescent="0.25"/>
    <row r="57" spans="4:6" ht="20.100000000000001" customHeight="1" x14ac:dyDescent="0.25">
      <c r="D57" s="6" t="str" cm="1">
        <f t="array" ref="D57">CommonLivestock_SourceData.SourceData_Livestock_Product_Dairycattle_Title()</f>
        <v>Dairy cattle products for scope 3</v>
      </c>
    </row>
    <row r="58" spans="4:6" ht="20.100000000000001" customHeight="1" x14ac:dyDescent="0.25">
      <c r="D58" s="5" t="str" cm="1">
        <f t="array" ref="D58">CommonLivestock_SourceData.SourceData_Livestock_Product_Dairycattle_Source()</f>
        <v>Lifecycles. (2026). Greenhouse Gas Emission Intensities for Material Inputs to Australian Agriculture, Fisheries and Forestry. Version 48. doi 10.5281/zenodo.19656580</v>
      </c>
    </row>
    <row r="59" spans="4:6" ht="20.100000000000001" customHeight="1" x14ac:dyDescent="0.25">
      <c r="D59" s="35" t="s">
        <v>284</v>
      </c>
      <c r="E59" s="35" t="s">
        <v>289</v>
      </c>
      <c r="F59" s="1" t="s">
        <v>293</v>
      </c>
    </row>
    <row r="60" spans="4:6" ht="20.100000000000001" customHeight="1" x14ac:dyDescent="0.25">
      <c r="D60" s="35" t="str" cm="1">
        <f t="array" ref="D60">Common_InputFunctions.Utility_DisplayArrayInTable(CommonLivestock_SourceData.SourceData_Livestock_Product_Dairycattle_Data(),Table_SourceData_LivestockProduct_Dairycattle[[#Headers],[Product]],0)</f>
        <v>Dairy cows</v>
      </c>
      <c r="E60" s="35" t="str" cm="1">
        <f t="array" ref="E60">Common_InputFunctions.Utility_DisplayArrayInTable(CommonLivestock_SourceData.SourceData_Livestock_Product_Dairycattle_Data(),Table_SourceData_LivestockProduct_Dairycattle[[#Headers],[Product]],0)</f>
        <v>VIC</v>
      </c>
    </row>
    <row r="61" spans="4:6" ht="20.100000000000001" customHeight="1" x14ac:dyDescent="0.25"/>
    <row r="62" spans="4:6" ht="20.100000000000001" customHeight="1" x14ac:dyDescent="0.25">
      <c r="D62" s="6" t="str" cm="1">
        <f t="array" ref="D62">CommonLivestock_SourceData.SourceData_Livestock_Product_Pigs_Title()</f>
        <v>Pigs products for scope 3</v>
      </c>
    </row>
    <row r="63" spans="4:6" ht="20.100000000000001" customHeight="1" x14ac:dyDescent="0.25">
      <c r="D63" s="5" t="str" cm="1">
        <f t="array" ref="D63">CommonLivestock_SourceData.SourceData_Livestock_Product_Pigs_Source()</f>
        <v>Lifecycles. (2026). Greenhouse Gas Emission Intensities for Material Inputs to Australian Agriculture, Fisheries and Forestry. Version 48. doi 10.5281/zenodo.19656580</v>
      </c>
    </row>
    <row r="64" spans="4:6" x14ac:dyDescent="0.25">
      <c r="D64" s="35" t="s">
        <v>284</v>
      </c>
      <c r="E64" s="35" t="s">
        <v>289</v>
      </c>
      <c r="F64" s="1" t="s">
        <v>294</v>
      </c>
    </row>
    <row r="65" spans="4:5" x14ac:dyDescent="0.25">
      <c r="D65" s="35" t="str" cm="1">
        <f t="array" ref="D65">Common_InputFunctions.Utility_DisplayArrayInTable(CommonLivestock_SourceData.SourceData_Livestock_Product_Pigs_Data(),Table_SourceData_LivestockProduct_Pigs[[#Headers],[Product]],0)</f>
        <v>Pigs</v>
      </c>
      <c r="E65" s="35" t="str" cm="1">
        <f t="array" ref="E65">Common_InputFunctions.Utility_DisplayArrayInTable(CommonLivestock_SourceData.SourceData_Livestock_Product_Pigs_Data(),Table_SourceData_LivestockProduct_Pigs[[#Headers],[Product]],0)</f>
        <v>Australia</v>
      </c>
    </row>
  </sheetData>
  <pageMargins left="0.7" right="0.7" top="0.75" bottom="0.75" header="0.3" footer="0.3"/>
  <pageSetup paperSize="9" orientation="portrait" r:id="rId1"/>
  <tableParts count="6">
    <tablePart r:id="rId2"/>
    <tablePart r:id="rId3"/>
    <tablePart r:id="rId4"/>
    <tablePart r:id="rId5"/>
    <tablePart r:id="rId6"/>
    <tablePart r:id="rId7"/>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87A9DA-7B49-4536-9AC1-4BDE2DD493BF}">
  <dimension ref="A1:A8"/>
  <sheetViews>
    <sheetView zoomScaleNormal="100" workbookViewId="0">
      <selection activeCell="A20" sqref="A20"/>
    </sheetView>
  </sheetViews>
  <sheetFormatPr defaultRowHeight="15" x14ac:dyDescent="0.25"/>
  <sheetData>
    <row r="1" spans="1:1" x14ac:dyDescent="0.25">
      <c r="A1" t="s">
        <v>353</v>
      </c>
    </row>
    <row r="3" spans="1:1" ht="15.75" x14ac:dyDescent="0.25">
      <c r="A3" s="17" t="str">
        <f>HYPERLINK("#'Home'!A1", "Home")</f>
        <v>Home</v>
      </c>
    </row>
    <row r="6" spans="1:1" x14ac:dyDescent="0.25">
      <c r="A6" s="120" t="s">
        <v>1</v>
      </c>
    </row>
    <row r="7" spans="1:1" ht="15.75" x14ac:dyDescent="0.25">
      <c r="A7" s="17" t="str">
        <f>HYPERLINK("#'Constants - Common'!A1", "Constants - Common")</f>
        <v>Constants - Common</v>
      </c>
    </row>
    <row r="8" spans="1:1" ht="15.75" x14ac:dyDescent="0.25">
      <c r="A8" s="118" t="str">
        <f>HYPERLINK("#'Acknowledgements'!A1", "Acknowledgements")</f>
        <v>Acknowledgements</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AFEJSONBlob xmlns="http://schemas.advancedformulaenvironment.officeapps.live.com/afejsonblob/1.0">ewAiAHMAYwBoAGUAbQBhACIAOgAiAGgAdAB0AHAAOgAvAC8AcwBjAGgAZQBtAGEAcwAuAGEAZAB2AGEAbgBjAGUAZABmAG8AcgBtAHUAbABhAGUAbgB2AGkAcgBvAG4AbQBlAG4AdAAuAG8AZgBmAGkAYwBlAGEAcABwAHMALgBsAGkAdgBlAC4AYwBvAG0ALwBhAGYAZQBwAHIAbwBqAGUAYwB0AHMALwAwAC4AMgAiACwAIgBmAGkAbABlAHMAIgA6AFsAewAiAHAAYQB0AGgAIgA6ACIALwBwAHIAbwBqAGUAYwB0AHMALwBXAG8AcgBrAGIAbwBvAGsAIgAsACIAdABlAHgAdAAiADoAIgAvAC8AIAAtAC0ALQAgAFcAbwByAGsAYgBvAG8AawAgAG0AbwBkAHUAbABlACAALQAtAC0AXABuAC8ALwAgAEEAIABmAGkAbABlACAAbwBmACAAbgBhAG0AZQAgAGQAZQBmAGkAbgBpAHQAaQBvAG4AcwAgAG8AZgAgAHQAaABlACAAZgBvAHIAbQA6AFwAbgAvAC8AIAAgACAAIABuAGEAbQBlACAAPQAgAGQAZQBmAGkAbgBpAHQAaQBvAG4AOwBcAG4AIgB9ACwAewAiAHAAYQB0AGgAIgA6ACIALwBwAHIAbwBqAGUAYwB0AHMALwBDAG8AbQBtAG8AbgBfAFMAbwB1AHIAYwBlAEQAYQB0AGEAIgAsACIAdABlAHgAdAAiADoAIgAvACoAXABuAD0APQA9AD0APQA9AD0APQA9AD0APQA9AD0APQA9AD0APQA9AD0APQA9AD0APQA9AD0APQA9AD0APQA9AD0APQA9AD0APQA9AD0APQA9AD0APQA9AD0APQA9AD0APQA9AD0APQA9AD0APQA9AD0APQA9AD0APQA9AD0APQA9AD0APQA9AD0APQA9AD0APQA9AD0APQA9AD0AXABuAD0APQA9AD0APQA9AD0APQA9AD0APQA9AD0APQA9AD0APQA9AD0APQA9AD0APQA9AD0APQA9AD0APQA9AD0APQA9AD0APQA9AD0APQA9AD0APQA9AD0APQA9AD0APQA9AD0APQA9AD0APQA9AD0APQA9AD0APQA9AD0APQA9AD0APQA9AD0APQA9AD0APQA9AD0APQA9AD0AXABuAFMAbwB1AHIAYwBlACAAZABhAHQAYQAgAHQAaABhAHQAIABpAHMAIABjAG8AbQBtAG8AbgAgAGEAYwByAG8AcwBzACAAYQBsAGwAIABlAG4AdABlAHIAcAByAGkAcwBlACAAdAB5AHAAZQBzAFwAbgBFAHgAYwBlAGwAIABtAG8AZAB1AGwAZQAgAG4AYQBtAGUAOgAgAEMAbwBtAG0AbwBuAF8AUwBvAHUAcgBjAGUARABhAHQAYQBcAG4APQA9AD0APQA9AD0APQA9AD0APQA9AD0APQA9AD0APQA9AD0APQA9AD0APQA9AD0APQA9AD0APQA9AD0APQA9AD0APQA9AD0APQA9AD0APQA9AD0APQA9AD0APQA9AD0APQA9AD0APQA9AD0APQA9AD0APQA9AD0APQA9AD0APQA9AD0APQA9AD0APQA9AD0APQA9AD0APQBcAG4APQA9AD0APQA9AD0APQA9AD0APQA9AD0APQA9AD0APQA9AD0APQA9AD0APQA9AD0APQA9AD0APQA9AD0APQA9AD0APQA9AD0APQA9AD0APQA9AD0APQA9AD0APQA9AD0APQA9AD0APQA9AD0APQA9AD0APQA9AD0APQA9AD0APQA9AD0APQA9AD0APQA9AD0APQA9AD0APQBcAG4AKgAvAFwAbgBcAG4ALwAqAFwAbgA9AD0APQA9AD0APQA9AD0APQA9AD0APQA9AD0APQA9AD0APQA9AD0APQA9AD0APQA9AD0APQA9AD0APQA9AD0APQA9AD0APQA9AD0AXABuAD0APQA9AD0APQA9AD0APQA9AD0APQA9AD0APQA9AD0APQA9AD0APQA9AD0APQA9AD0APQA9AD0APQA9AD0APQA9AD0APQA9AD0APQBcAG4AUwBvAHUAcgBjAGUAOgAgAE4AYQB0AGkAbwBuAGEAbAAgAEkAbgB2AGUAbgB0AG8AcgB5ACAAUgBlAHAAbwByAHQAIAAyADAAMgAzACAAVgBvAGwAdQBtAGUAIAAxAFwAbgBOAEkAUgBfADIAMAAyADMAXwBWAG8AbAAxAFwAbgA9AD0APQA9AD0APQA9AD0APQA9AD0APQA9AD0APQA9AD0APQA9AD0APQA9AD0APQA9AD0APQA9AD0APQA9AD0APQA9AD0APQA9AD0AXABuAD0APQA9AD0APQA9AD0APQA9AD0APQA9AD0APQA9AD0APQA9AD0APQA9AD0APQA9AD0APQA9AD0APQA9AD0APQA9AD0APQA9AD0APQBcAG4AKgAvAFwAbgBcAG4ALwAqACAAXABuAC0ALQAtAC0ALQAtAC0ALQAtAC0ALQAtAC0ALQAtAC0ALQAtAC0ALQAtAC0ALQAtAC0ALQAtAC0ALQAtAC0ALQAtAC0ALQAtAC0ALQBcAG4AQwBvAG0AbQBvAG4AXwBTAG8AdQByAGMAZQBEAGEAdABhAF8ARABlAG4AcwBpAHQAeQBPAGYATQBlAHQAaABhAG4AZQBcAG4AcAAgAD0AIABkAGUAbgBzAGkAdAB5ACAAbwBmACAAbQBlAHQAaABhAG4AZQAgACgAMAAuADYANwA4ADQAIABrAGcALwBtADMAKQBcAG4AVABhAGsAZQBuACAAZgByAG8AbQAgAHQAaABlACAATgBhAHQAaQBvAG4AYQBsACAARwByAGUAZQBuAGgAbwB1AHMAZQAgAGEAbgBkACAARQBuAGUAcgBnAHkAIABSAGUAcABvAHIAdABpAG4AZwAgAFwAbgAoAE0AZQBhAHMAdQByAGUAbQBlAG4AdAApACAARABlAHQAZQByAG0AaQBuAGEAdABpAG8AbgAgADIAMAAwADgAXABuAC0ALQAtAC0ALQAtAC0ALQAtAC0ALQAtAC0ALQAtAC0ALQAtAC0ALQAtAC0ALQAtAC0ALQAtAC0ALQAtAC0ALQAtAC0ALQAtAC0ALQBcAG4AKgAvAFwAbgBcAG4AQwBvAG0AbQBvAG4AXwBTAG8AdQByAGMAZQBEAGEAdABhAF8ARABlAG4AcwBpAHQAeQBPAGYATQBlAHQAaABhAG4AZQBfAFQAaQB0AGwAZQBcAG4AIAAgAD0ATABBAE0AQgBEAEEAKABcACIAcAAgAD0AIABkAGUAbgBzAGkAdAB5ACAAbwBmACAAbQBlAHQAaABhAG4AZQBcACIAKQA7AFwAbgBcAG4AQwBvAG0AbQBvAG4AXwBTAG8AdQByAGMAZQBEAGEAdABhAF8ARABlAG4AcwBpAHQAeQBPAGYATQBlAHQAaABhAG4AZQBfAFUAbgBpAHQAXABuACAAIAA9AEwAQQBNAEIARABBACgAXAAiAGsAZwAvAG0AMwBcACIAKQA7AFwAbgBcAG4AQwBvAG0AbQBvAG4AXwBTAG8AdQByAGMAZQBEAGEAdABhAF8ARABlAG4AcwBpAHQAeQBPAGYATQBlAHQAaABhAG4AZQBfAFMAbwB1AHIAYwBlAFwAbgAgACAAPQBMAEEATQBCAEQAQQAoAFwAIgBOAGEAdABpAG8AbgBhAGwAIABJAG4AdgBlAG4AdABvAHIAeQAgAFIAZQBwAG8AcgB0ACAAMgAwADIAMwAgAFYAbwBsAHUAbQBlACAAMQA6ACAARQBxAHUAYQB0AGkAbwBuAHMAIAAzAC4AQgAuADEAYQBfADIALAAgADMALgBCAC4AMQBjAF8AMgAsACAAMwAuAEIALgAzAF8AMQAsACAAMwAuAEIALgA0AGcAXwAyAFwAIgApADsAXABuAFwAbgBDAG8AbQBtAG8AbgBfAFMAbwB1AHIAYwBlAEQAYQB0AGEAXwBEAGUAbgBzAGkAdAB5AE8AZgBNAGUAdABoAGEAbgBlAF8ARABhAHQAYQBcAG4AIAAgAD0ATABBAE0AQgBEAEEAKAAwAC4ANgA3ADgANAApADsAXABuAFwAbgAvACoAIABcAG4ALQAtAC0ALQAtAC0ALQAtAC0ALQAtAC0ALQAtAC0ALQAtAC0ALQAtAC0ALQAtAC0ALQAtAC0ALQAtAC0ALQAtAC0ALQAtAC0ALQAtAFwAbgBDAG8AbQBtAG8AbgBfAFMAbwB1AHIAYwBlAEQAYQB0AGEAXwBDAG8AbgB2AGUAcgB0AE4AMgBvAEUAbABlAG0AZQBuAHQAYQBsAFQAbwBNAG8AbABlAGMAdQBsAGEAcgBDAGcAXABuAEMAZwAgAD0AIAA0ADQALwAyADgAIABmAGEAYwB0AG8AcgAgAHQAbwAgAGMAbwBuAHYAZQByAHQAIABlAGwAZQBtAGUAbgB0AGEAbAAgAG0AYQBzAHMAIABvAGYAIABOADIATwAgAHQAbwAgAG0AbwBsAGUAYwB1AGwAYQByACAAbQBhAHMAcwBcAG4ALQAtAC0ALQAtAC0ALQAtAC0ALQAtAC0ALQAtAC0ALQAtAC0ALQAtAC0ALQAtAC0ALQAtAC0ALQAtAC0ALQAtAC0ALQAtAC0ALQAtAFwAbgAqAC8AXABuAFwAbgBDAG8AbQBtAG8AbgBfAFMAbwB1AHIAYwBlAEQAYQB0AGEAXwBDAG8AbgB2AGUAcgB0AE4AMgBvAEUAbABlAG0AZQBuAHQAYQBsAFQAbwBNAG8AbABlAGMAdQBsAGEAcgBDAGcAXwBUAGkAdABsAGUAXABuACAAIAA9AEwAQQBNAEIARABBACgAXAAiAEYAYQBjAHQAbwByACAAdABvACAAYwBvAG4AdgBlAHIAdAAgAGUAbABlAG0AZQBuAHQAYQBsACAAbQBhAHMAcwAgAG8AZgAgAE4AMgBPACAAdABvACAAbQBvAGwAZQBjAHUAbABhAHIAIABtAGEAcwBzAFwAIgApADsAXABuAFwAbgBDAG8AbQBtAG8AbgBfAFMAbwB1AHIAYwBlAEQAYQB0AGEAXwBDAG8AbgB2AGUAcgB0AE4AMgBvAEUAbABlAG0AZQBuAHQAYQBsAFQAbwBNAG8AbABlAGMAdQBsAGEAcgBDAGcAXwBWAGEAcgBpAGEAYgBsAGUAXABuACAAIAA9AEwAQQBNAEIARABBACgAXAAiAEMAZwBOADIATwBcACIAKQA7AFwAbgBcAG4AQwBvAG0AbQBvAG4AXwBTAG8AdQByAGMAZQBEAGEAdABhAF8AQwBvAG4AdgBlAHIAdABOADIAbwBFAGwAZQBtAGUAbgB0AGEAbABUAG8ATQBvAGwAZQBjAHUAbABhAHIAQwBnAF8AVQBuAGkAdABcAG4AIAAgAD0ATABBAE0AQgBEAEEAKABcACIAZgBhAGMAdABvAHIAXAAiACkAOwBcAG4AXABuAEMAbwBtAG0AbwBuAF8AUwBvAHUAcgBjAGUARABhAHQAYQBfAEMAbwBuAHYAZQByAHQATgAyAG8ARQBsAGUAbQBlAG4AdABhAGwAVABvAE0AbwBsAGUAYwB1AGwAYQByAEMAZwBfAFMAbwB1AHIAYwBlAFwAbgAgACAAPQBMAEEATQBCAEQAQQAoAFwAIgBOAGEAdABpAG8AbgBhAGwAIABJAG4AdgBlAG4AdABvAHIAeQAgAFIAZQBwAG8AcgB0ACAAMgAwADIAMwAgAFYAbwBsAHUAbQBlACAAMQBcACIAKQA7AFwAbgBcAG4AQwBvAG0AbQBvAG4AXwBTAG8AdQByAGMAZQBEAGEAdABhAF8AQwBvAG4AdgBlAHIAdABOADIAbwBFAGwAZQBtAGUAbgB0AGEAbABUAG8ATQBvAGwAZQBjAHUAbABhAHIAQwBnAF8ARABhAHQAYQBcAG4AIAAgAD0ATABBAE0AQgBEAEEAKAA0ADQALwAyADgAKQA7AFwAbgBcAG4ALwAqACAAXABuAC0ALQAtAC0ALQAtAC0ALQAtAC0ALQAtAC0ALQAtAC0ALQAtAC0ALQAtAC0ALQAtAC0ALQAtAC0ALQAtAC0ALQAtAC0ALQAtAC0ALQBcAG4AQwBvAG0AbQBvAG4AXwBTAG8AdQByAGMAZQBEAGEAdABhAF8AQwBvAG4AdgBlAHIAdABHAGEAcwBFAGwAZQBtAGUAbgB0AGEAbABUAG8ATQBvAGwAZQBjAHUAbABhAHIAXABuAEYAYQBjAHQAbwByACAAdABvACAAYwBvAG4AdgBlAHIAdAAgAGUAbABlAG0AZQBuAHQAYQBsACAAbQBhAHMAcwAgAG8AZgAgAGcAYQBzACAAdABvACAAbQBvAGwAZQBjAHUAbABhAHIAIABtAGEAcwBzAFwAbgAtAC0ALQAtAC0ALQAtAC0ALQAtAC0ALQAtAC0ALQAtAC0ALQAtAC0ALQAtAC0ALQAtAC0ALQAtAC0ALQAtAC0ALQAtAC0ALQAtAC0AXABuACoALwBcAG4AXABuAEMAbwBtAG0AbwBuAF8AUwBvAHUAcgBjAGUARABhAHQAYQBfAEMAbwBuAHYAZQByAHQARwBhAHMARQBsAGUAbQBlAG4AdABhAGwAVABvAE0AbwBsAGUAYwB1AGwAYQByAF8AVABpAHQAbABlAFwAbgAgACAAPQBMAEEATQBCAEQAQQAoAFwAIgBGAGEAYwB0AG8AcgAgAHQAbwAgAGMAbwBuAHYAZQByAHQAIABlAGwAZQBtAGUAbgB0AGEAbAAgAG0AYQBzAHMAIABvAGYAIABnAGEAcwAgAHQAbwAgAG0AbwBsAGUAYwB1AGwAYQByACAAbQBhAHMAcwBcACIAKQA7AFwAbgBcAG4AQwBvAG0AbQBvAG4AXwBTAG8AdQByAGMAZQBEAGEAdABhAF8AQwBvAG4AdgBlAHIAdABHAGEAcwBFAGwAZQBtAGUAbgB0AGEAbABUAG8ATQBvAGwAZQBjAHUAbABhAHIAXwBWAGEAcgBpAGEAYgBsAGUAXABuACAAIAA9AEwAQQBNAEIARABBACgAXAAiAEMAZwBcACIAKQA7AFwAbgBcAG4AQwBvAG0AbQBvAG4AXwBTAG8AdQByAGMAZQBEAGEAdABhAF8AQwBvAG4AdgBlAHIAdABHAGEAcwBFAGwAZQBtAGUAbgB0AGEAbABUAG8ATQBvAGwAZQBjAHUAbABhAHIAXwBVAG4AaQB0AFwAbgAgACAAPQBMAEEATQBCAEQAQQAoAFwAIgBmAGEAYwB0AG8AcgBcACIAKQA7AFwAbgBcAG4AQwBvAG0AbQBvAG4AXwBTAG8AdQByAGMAZQBEAGEAdABhAF8AQwBvAG4AdgBlAHIAdABHAGEAcwBFAGwAZQBtAGUAbgB0AGEAbABUAG8ATQBvAGwAZQBjAHUAbABhAHIAXwBTAG8AdQByAGMAZQBcAG4AIAAgAD0ATABBAE0AQgBEAEEAKABcACIAWABYAFgAWABYAFgAWABcACIAKQA7AFwAbgBcAG4AQwBvAG0AbQBvAG4AXwBTAG8AdQByAGMAZQBEAGEAdABhAF8AQwBvAG4AdgBlAHIAdABHAGEAcwBFAGwAZQBtAGUAbgB0AGEAbABUAG8ATQBvAGwAZQBjAHUAbABhAHIAXwBEAGEAdABhAFwAbgAgACAAPQBMAEEATQBCAEQAQQAoAFwAbgAgACAAIAAgAE0AQQBLAEUAQQBSAFIAQQBZACgAOAAsACAANAAsACAAXABuACAAIAAgACAAIAAgAEwAQQBNAEIARABBACgAcgAsAGMALAAgAFwAbgAgACAAIAAgACAAIAAgACAASQBOAEQARQBYACgAewBcAG4AIAAgACAAIAAgACAAIAAgACAAIABcACIARwBhAHMAXAAiACwAIABcACIAQwBvAG4AdgBlAHIAcwBpAG8AbgAgAGYAYQBjAHQAbwByAFwAIgAsACAAXAAiAEMAbwBuAHYAZQByAHMAaQBvAG4AIABmAGEAYwB0AG8AcgAgADEAXAAiACwAIABcACIAQwBvAG4AdgBlAHIAcwBpAG8AbgAgAGYAYQBjAHQAbwByACAAMgBcACIAOwBcAG4AIAAgACAAIAAgACAAIAAgACAAIABcACIAQwBPADIAXAAiACwAIABcACIANAA0AC8AMQAyAFwAIgAsACAANAA0ACwAIAAxADIAOwBcAG4AIAAgACAAIAAgACAAIAAgACAAIABcACIAQwBIADQAXAAiACwAIABcACIAMQA2AC8AMQAyAFwAIgAsACAAMQA2ACwAIAAxADIAOwBcAG4AIAAgACAAIAAgACAAIAAgACAAIABcACIATgAyAE8AXAAiACwAIABcACIANAA0AC8AMgA4AFwAIgAsACAANAA0ACwAIAAyADgAOwBcAG4AIAAgACAAIAAgACAAIAAgACAAIABcACIATgBvAHgAXAAiACwAIABcACIANAA2AC8AMQA0AFwAIgAsACAANAA2ACwAIAAxADQAOwBcAG4AIAAgACAAIAAgACAAIAAgACAAIABcACIAQwBPAFwAIgAsACAAXAAiADIAOAAvADEAMgBcACIALAAgADIAOAAsACAAMQAyADsAXABuACAAIAAgACAAIAAgACAAIAAgACAAXAAiAEMATwAyACAATABpAG0AZQBcACIALAAgAFwAIgA0ADQALwAxADIAXAAiACwAIAA0ADQALAAgADEAMgA7AFwAbgAgACAAIAAgACAAIAAgACAAIAAgAFwAIgBOAE0AVgBPAEMAXAAiACwAIABcACIAMQA0AC8AMQAyAFwAIgAsACAAMQA0ACwAIAAxAD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EcAVwBQAE4AMgBPAFwAbgBHAGwAbwBiAGEAbAAgAHcAYQByAG0AaQBuAGcAIABwAG8AdABlAG4AdABpAGEAbAAgAGYAbwByACAAZwByAGUAZQBuAGgAbwB1AHMAZQAgAGcAYQBzAGUAcwBcAG4ALQAtAC0ALQAtAC0ALQAtAC0ALQAtAC0ALQAtAC0ALQAtAC0ALQAtAC0ALQAtAC0ALQAtAC0ALQAtAC0ALQAtAC0ALQAtAC0ALQAtAFwAbgAqAC8AXABuAFwAbgBDAG8AbQBtAG8AbgBfAFMAbwB1AHIAYwBlAEQAYQB0AGEAXwBHAFcAUABfAFQAaQB0AGwAZQBcAG4AIAAgAD0ATABBAE0AQgBEAEEAKABcACIARwBsAG8AYgBhAGwAIAB3AGEAcgBtAGkAbgBnACAAcABvAHQAZQBuAHQAaQBhAGwAIABmAG8AcgAgAGcAcgBlAGUAbgBoAG8AdQBzAGUAIABnAGEAcwBlAHMAXAAiACkAOwBcAG4AXABuAEMAbwBtAG0AbwBuAF8AUwBvAHUAcgBjAGUARABhAHQAYQBfAEcAVwBQAF8AVgBhAHIAaQBhAGIAbABlAFwAbgAgACAAPQBMAEEATQBCAEQAQQAoAFwAIgBHAFcAUABOADIATwBcACIAKQA7AFwAbgBcAG4AQwBvAG0AbQBvAG4AXwBTAG8AdQByAGMAZQBEAGEAdABhAF8ARwBXAFAAXwBVAG4AaQB0AFwAbgAgACAAPQBMAEEATQBCAEQAQQAoAFwAIgBmAGEAYwB0AG8AcgBcACIAKQA7AFwAbgBcAG4AQwBvAG0AbQBvAG4AXwBTAG8AdQByAGMAZQBEAGEAdABhAF8ARwBXAFAAXwBTAG8AdQByAGMAZQBcAG4AIAAgAD0ATABBAE0AQgBEAEEAKABcACIAWABYAFgAWABYAFgAWABcACIAKQA7AFwAbgBcAG4AQwBvAG0AbQBvAG4AXwBTAG8AdQByAGMAZQBEAGEAdABhAF8ARwBXAFAAXwBEAGEAdABhAFwAbgAgACAAPQBMAEEATQBCAEQAQQAoAFwAbgAgACAAIAAgAE0AQQBLAEUAQQBSAFIAQQBZACgAOAAsACAAMgAsACAAXABuACAAIAAgACAAIAAgAEwAQQBNAEIARABBACgAcgAsAGMALAAgAFwAbgAgACAAIAAgACAAIAAgACAASQBOAEQARQBYACgAewBcAG4AIAAgACAAIAAgACAAIAAgACAAIABcACIARwBhAHMAXAAiACwAIABcACIAQwBPADIALQBlACAAZgBhAGMAdABvAHIAXAAiADsAXABuACAAIAAgACAAIAAgACAAIAAgACAAXAAiAEMATwAyAFwAIgAsACAAMQA7AFwAbgAgACAAIAAgACAAIAAgACAAIAAgAFwAIgBDAEgANABcACIALAAgADIAOAA7AFwAbgAgACAAIAAgACAAIAAgACAAIAAgAFwAIgBOADIATwBcACIALAAgADIANgA1ADsAXABuACAAIAAgACAAIAAgACAAIAAgACAAXAAiAEMARgA0AFwAIgAsACAANgA2ADMAMAA7AFwAbgAgACAAIAAgACAAIAAgACAAIAAgAFwAIgBDADIARgA2AFwAIgAsACAAMQAyADIAMAAwADsAXABuACAAIAAgACAAIAAgACAAIAAgACAAXAAiAFMARgA2AFwAIgAsACAAMgAyADgAMAAwADsAXABuACAAIAAgACAAIAAgACAAIAAgACAAXAAiAE4ARgAzAFwAIgAsACAAMQA3ADIAMAAwAFwAbgAgACAAIAAgACAAIAAgACAAfQAsACAAcgAsACAAYwApAFwAbgAgACAAIAAgACAAIAApAFwAbgAgACAAIAAgACkAXABuACAAIAApADsAXABuAFwAbgBcAG4ALwAqACAAXABuAC0ALQAtAC0ALQAtAC0ALQAtAC0ALQAtAC0ALQAtAC0ALQAtAC0ALQAtAC0ALQAtAC0ALQAtAC0ALQAtAC0ALQAtAC0ALQAtAC0ALQBcAG4AQwBvAG0AbQBvAG4AXwBTAG8AdQByAGMAZQBEAGEAdABhAF8AQQB1AHMAdAByAGEAbABpAGEAbgBTAHQAYQB0AGUAcwBUAGUAcgByAGkAdABvAHIAaQBlAHMAXABuAC0ALQAtAC0ALQAtAC0ALQAtAC0ALQAtAC0ALQAtAC0ALQAtAC0ALQAtAC0ALQAtAC0ALQAtAC0ALQAtAC0ALQAtAC0ALQAtAC0ALQBcAG4AKgAvAFwAbgBcAG4AQwBvAG0AbQBvAG4AXwBTAG8AdQByAGMAZQBEAGEAdABhAF8AQQB1AHMAdAByAGEAbABpAGEAbgBTAHQAYQB0AGUAcwBUAGUAcgByAGkAdABvAHIAaQBlAHMAXwBUAGkAdABsAGUAXABuACAAIAA9AEwAQQBNAEIARABBACgAXAAiAEEAdQBzAHQAcgBhAGwAaQBhAG4AIABzAHQAYQB0AGUAcwAgAGEAbgBkACAAdABlAHIAcgBpAHQAbwByAGkAZQBzAFwAIgApADsAXABuAFwAbgBDAG8AbQBtAG8AbgBfAFMAbwB1AHIAYwBlAEQAYQB0AGEAXwBBAHUAcwB0AHIAYQBsAGkAYQBuAFMAdABhAHQAZQBzAFQAZQByAHIAaQB0AG8AcgBpAGUAcwBfAFYAYQByAGkAYQBiAGwAZQBcAG4AIAAgAD0ATABBAE0AQgBEAEEAKABcACIAXAAiACkAOwBcAG4AXABuAEMAbwBtAG0AbwBuAF8AUwBvAHUAcgBjAGUARABhAHQAYQBfAEEAdQBzAHQAcgBhAGwAaQBhAG4AUwB0AGEAdABlAHMAVABlAHIAcgBpAHQAbwByAGkAZQBzAF8AVQBuAGkAdABcAG4AIAAgAD0ATABBAE0AQgBEAEEAKABcACIAXAAiACkAOwBcAG4AXABuAEMAbwBtAG0AbwBuAF8AUwBvAHUAcgBjAGUARABhAHQAYQBfAEEAdQBzAHQAcgBhAGwAaQBhAG4AUwB0AGEAdABlAHMAVABlAHIAcgBpAHQAbwByAGkAZQBzAF8AUwBvAHUAcgBjAGUAXABuACAAIAA9AEwAQQBNAEIARABBACgAXAAiAFwAIgApADsAXABuAFwAbgBDAG8AbQBtAG8AbgBfAFMAbwB1AHIAYwBlAEQAYQB0AGEAXwBBAHUAcwB0AHIAYQBsAGkAYQBuAFMAdABhAHQAZQBzAFQAZQByAHIAaQB0AG8AcgBpAGUAcwBfAEQAYQB0AGEAXABuACAAIAAgAD0ATABBAE0AQgBEAEEAKABcAG4AIAAgACAAIABNAEEASwBFAEEAUgBSAEEAWQAoADkALAAgADMALAAgAFwAbgAgACAAIAAgACAAIABMAEEATQBCAEQAQQAoAHIALABjACwAIABcAG4AIAAgACAAIAAgACAAIAAgAEkATgBEAEUAWAAoAHsAXABuACAAIAAgACAAIAAgACAAIAAgACAAXAAiAFMAdABhAHQAZQAvAFQAZQByAHIAaQB0AG8AcgB5AFwAIgAsACAAXAAiAEMAbwBtAG0AbwBuACAATgBhAG0AZQBcACIALAAgAFwAIgBBAGIAYgByAGUAdgBpAGEAdABpAG8AbgBcACIAOwBcAG4AIAAgACAAIAAgACAAIAAgACAAIABcACIATgBlAHcAIABTAG8AdQB0AGgAIABXAGEAbABlAHMAXAAiACwAIABcACIATgBlAHcAIABTAG8AdQB0AGgAIABXAGEAbABlAHMAXAAiACwAIABcACIATgBTAFcAXAAiADsAXABuACAAIAAgACAAIAAgACAAIAAgACAAXAAiAEEAdQBzAHQAcgBhAGwAaQBhAG4AIABDAGEAcABpAHQAYQBsACAAVABlAHIAcgBpAHQAbwByAHkAXAAiACwAIABcACIAQQBDAFQAXAAiACwAIABcACIAQQBDAFQAXAAiADsAXABuACAAIAAgACAAIAAgACAAIAAgACAAXAAiAFYAaQBjAHQAbwByAGkAYQBcACIALAAgAFwAIgBWAGkAYwB0AG8AcgBpAGEAXAAiACwAIABcACIAVgBJAEMAXAAiADsAXABuACAAIAAgACAAIAAgACAAIAAgACAAXAAiAFEAdQBlAGUAbgBzAGwAYQBuAGQAXAAiACwAIABcACIAUQB1AGUAZQBuAHMAbABhAG4AZABcACIALAAgAFwAIgBRAEwARABcACIAOwBcAG4AIAAgACAAIAAgACAAIAAgACAAIABcACIAUwBvAHUAdABoACAAQQB1AHMAdAByAGEAbABpAGEAXAAiACwAIABcACIAUwBvAHUAdABoACAAQQB1AHMAdAByAGEAbABpAGEAXAAiACwAIABcACIAUwBBAFwAIgA7AFwAbgAgACAAIAAgACAAIAAgACAAIAAgAFwAIgBXAGUAcwB0AGUAcgBuACAAQQB1AHMAdAByAGEAbABpAGEAXAAiACwAIABcACIAVwBlAHMAdABlAHIAbgAgAEEAdQBzAHQAcgBhAGwAaQBhAFwAIgAsACAAXAAiAFcAQQBcACIAOwBcAG4AIAAgACAAIAAgACAAIAAgACAAIABcACIAVABhAHMAbQBhAG4AaQBhAFwAIgAsACAAXAAiAFQAYQBzAG0AYQBuAGkAYQBcACIALAAgAFwAIgBUAEEAUwBcACIAOwBcAG4AIAAgACAAIAAgACAAIAAgACAAIABcACIATgBvAHIAdABoAGUAcgBuACAAVABlAHIAcgBpAHQAbwByAHkAXAAiACwAIABcACIATgBvAHIAdABoAGUAcgBuACAAVABlAHIAcgBpAHQAbwByAHkAXAAiACwAIABcACIATgBUAFwAI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VwBBAFMAQQA0AEEAcgBlAGEAcwBcAG4ALQAtAC0ALQAtAC0ALQAtAC0ALQAtAC0ALQAtAC0ALQAtAC0ALQAtAC0ALQAtAC0ALQAtAC0ALQAtAC0ALQAtAC0ALQAtAC0ALQAtAFwAbgAqAC8AXABuAFwAbgBDAG8AbQBtAG8AbgBfAFMAbwB1AHIAYwBlAEQAYQB0AGEAXwBXAEEAUwBBADQAQQByAGUAYQBzAF8AVABpAHQAbABlAFwAbgAgACAAPQBMAEEATQBCAEQAQQAoAFwAIgBBAEIAUwAgAFMAdABhAHQAaQBzAHQAYwBhAGwAIABBAHIAZQBhAHMAIABMAGUAdgBlAGwAIAA0ACAALQAgAFcAZQBzAHQAZQByAG4AIABBAHUAcwB0AHIAYQBsAGkAYQBcACIAKQA7AFwAbgBcAG4AQwBvAG0AbQBvAG4AXwBTAG8AdQByAGMAZQBEAGEAdABhAF8AVwBBAFMAQQA0AEEAcgBlAGEAcwBfAFYAYQByAGkAYQBiAGwAZQBcAG4AIAAgAD0ATABBAE0AQgBEAEEAKABcACIAXAAiACkAOwBcAG4AXABuAEMAbwBtAG0AbwBuAF8AUwBvAHUAcgBjAGUARABhAHQAYQBfAFcAQQBTAEEANABBAHIAZQBhAHMAXwBVAG4AaQB0AFwAbgAgACAAPQBMAEEATQBCAEQAQQAoAFwAIgBcACIAKQA7AFwAbgBcAG4AQwBvAG0AbQBvAG4AXwBTAG8AdQByAGMAZQBEAGEAdABhAF8AVwBBAFMAQQA0AEEAcgBlAGEAcwBfAFMAbwB1AHIAYwBlAFwAbgAgACAAPQBMAEEATQBCAEQAQQAoAFwAIgBBAHUAcwB0AHIAYQBsAGkAYQBuACAAQgB1AHIAZQBhAHUAIABvAGYAIABTAHQAYQB0AGkAcwB0AGkAYwBzACAAKABBAEIAUwApACAALQAgAFMAdABhAHQAaQBzAHQAaQBjAGEAbAAgAEEAcgBlAGEAcwAgAEwAZQB2AGUAbAAgADIAIAAtACAAMgAwADIAMQAgAC0AIABTAGgAYQBwAGUAZgBpAGwAZQBcACIAKQA7AFwAbgBcAG4AQwBvAG0AbQBvAG4AXwBTAG8AdQByAGMAZQBEAGEAdABhAF8AVwBBAFMAQQA0AEEAcgBlAGEAcwBfAEQAYQB0AGEAXABuACAAIAAgAD0ATABBAE0AQgBEAEEAKABcAG4AIAAgACAAIABNAEEASwBFAEEAUgBSAEEAWQAoADEAMQAsACAAMQAsACAAXABuACAAIAAgACAAIAAgAEwAQQBNAEIARABBACgAcgAsAGMALAAgAFwAbgAgACAAIAAgACAAIAAgACAASQBOAEQARQBYACgAewBcAG4AIAAgACAAIAAgACAAIAAgACAAIABcACIAUwBBACAANAAgAE4AYQBtAGUAXAAiADsAXABuACAAIAAgACAAIAAgACAAIAAgACAAXAAiAEIAdQBuAGIAdQByAHkAXAAiADsAXABuACAAIAAgACAAIAAgACAAIAAgACAAXAAiAE0AYQBuAGQAdQByAGEAaABcACIAOwBcAG4AIAAgACAAIAAgACAAIAAgACAAIABcACIAUABlAHIAdABoACAALQAgAEkAbgBuAGUAcgBcACIAOwBcAG4AIAAgACAAIAAgACAAIAAgACAAIABcACIAUABlAHIAdABoACAALQAgAE4AbwByAHQAaAAgAEUAYQBzAHQAXAAiADsAXABuACAAIAAgACAAIAAgACAAIAAgACAAXAAiAFAAZQByAHQAaAAgAC0AIABOAG8AcgB0AGgAIABXAGUAcwB0AFwAIgA7AFwAbgAgACAAIAAgACAAIAAgACAAIAAgAFwAIgBQAGUAcgB0AGgAIAAtACAAUwBvAHUAdABoACAARQBhAHMAdABcACIAOwBcAG4AIAAgACAAIAAgACAAIAAgACAAIABcACIAUABlAHIAdABoACAALQAgAFMAbwB1AHQAaAAgAFcAZQBzAHQAXAAiADsAXABuACAAIAAgACAAIAAgACAAIAAgACAAXAAiAFcAZQBzAHQAZQByAG4AIABBAHUAcwB0AHIAYQBsAGkAYQAgAC0AIABXAGgAZQBhAHQAIABCAGUAbAB0AFwAIgA7AFwAbgAgACAAIAAgACAAIAAgACAAIAAgAFwAIgBXAGUAcwB0AGUAcgBuACAAQQB1AHMAdAByAGEAbABpAGEAIAAtACAATwB1AHQAYgBhAGMAawAgACgATgBvAHIAdABoACkAXAAiADsAXABuACAAIAAgACAAIAAgACAAIAAgACAAXAAiAFcAZQBzAHQAZQByAG4AIABBAHUAcwB0AHIAYQBsAGkAYQAgAC0AIABPAHUAdABiAGEAYwBrACAAKABTAG8AdQB0AGgAKQBcAC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FcAZQB0AEEAbgBkAEQAcgB5AFoAbwBuAGUAcwBcAG4ALQAtAC0ALQAtAC0ALQAtAC0ALQAtAC0ALQAtAC0ALQAtAC0ALQAtAC0ALQAtAC0ALQAtAC0ALQAtAC0ALQAtAC0ALQAtAC0ALQAtAFwAbgAqAC8AXABuAFwAbgBDAG8AbQBtAG8AbgBfAFMAbwB1AHIAYwBlAEQAYQB0AGEAXwBXAGUAdABBAG4AZABEAHIAeQBaAG8AbgBlAHMAXwBUAGkAdABsAGUAXABuACAAIAA9AEwAQQBNAEIARABBACgAXAAiAFYARQBFAFIARwAgAEEAdQBzAHQAcgBhAGwAaQBhAG4AIAB3AGUAdAAgAGEAbgBkACAAZAByAHkAIAB6AG8AbgBlAHMAXAAiACkAOwBcAG4AXABuAEMAbwBtAG0AbwBuAF8AUwBvAHUAcgBjAGUARABhAHQAYQBfAFcAZQB0AEEAbgBkAEQAcgB5AFoAbwBuAGUAcwBfAFYAYQByAGkAYQBiAGwAZQBcAG4AIAAgAD0ATABBAE0AQgBEAEEAKABcACIAXAAiACkAOwBcAG4AXABuAEMAbwBtAG0AbwBuAF8AUwBvAHUAcgBjAGUARABhAHQAYQBfAFcAZQB0AEEAbgBkAEQAcgB5AFoAbwBuAGUAcwBfAFUAbgBpAHQAXABuACAAIAA9AEwAQQBNAEIARABBACgAXAAiAFwAIgApADsAXABuAFwAbgBDAG8AbQBtAG8AbgBfAFMAbwB1AHIAYwBlAEQAYQB0AGEAXwBXAGUAdABBAG4AZABEAHIAeQBaAG8AbgBlAHMAXwBTAG8AdQByAGMAZQBcAG4AIAAgAD0ATABBAE0AQgBEAEEAKABcACIAVgBFAEUAUgBHACAAMgAwADIANgA6ACAAVABhAGIAbABlACAAMQAuADIAOgAgAFQAcgBhAG4AcwBsAGEAdABpAG4AZwAgAGMAbABpAG0AYQB0AGUAIAB6AG8AbgBlAHMAIAB0AG8AIAB3AGUAdAAgAGEAbgBkACAAZAByAHkAIAB6AG8AbgBlAHMAXAAiACkAOwBcAG4AXABuAEMAbwBtAG0AbwBuAF8AUwBvAHUAcgBjAGUARABhAHQAYQBfAFcAZQB0AEEAbgBkAEQAcgB5AFoAbwBuAGUAcwBfAFYAYQByAGkAYQB0AGkAbwBuAFwAbgAgACAAIAA9AEwAQQBNAEIARABBACgAXABuACAAIAAgACAATQBBAEsARQBBAFIAUgBBAFkAKAAzACwAIAAxACwAIABcAG4AIAAgACAAIAAgACAATABBAE0AQgBEAEEAKAByACwAYwAsACAAXABuACAAIAAgACAAIAAgACAAIABJAE4ARABFAFgAKAB7AFwAbgAgACAAIAAgACAAIAAgACAAIAAgAFwAIgBWAEEAUgBJAEEAVABJAE8ATgAgAE8ARgAgAFMATwBVAFIAQwBFACAARABBAFQAQQA6AFwAIgA7AFwAbgAgACAAIAAgACAAIAAgACAAIAAgAFwAIgBBAGQAZABlAGQAIAB3AGEAcgBtACAALwAgAGMAbwBvAGwAIAB0AGUAbQBwAGUAcgBhAHQAZQAgAG0AbwBpAHMAdAAgAC8AIABkAHIAeQAgAC0AIABsAG8AdwAgAGYAcgBvAHMAdAAgAGEAbgBkACAAaABpAGcAaAAgAHQAZQBtAHAAIABjAGwAYQBzAHMAZQBzACAAdABvACAAYQBjAGMAbwBtAG0AbwBkAGEAdABlACAAYwBsAGkAbQBhAHQAZQAgAHMAYwBlAG4AYQByAGkAbwBzACAAZQB4AGMAbAB1AGQAZQBkACAAYgB5ACAAVgBFAEUAUgBHACAAYwByAGkAdABlAHIAaQBhAC4AXAAiADsAXABuACAAIAAgACAAIAAgACAAIAAgACAAXAAiAEYAaQB4AGUAZAAgAHQAeQBwAG8AIAAtACAAQwBoAGEAbgBnAGUAZAAgAFwAdQAwADAAMgA3AEYAcgB5AFwAdQAwADAAMgA3ACAAdABvACAAXAB1ADAAMAAyADcARAByAHkAXAB1ADAAMAAyADcALgBcACIAXABuACAAIAAgACAAIAAgACAAIAB9ACwAIAByACwAIABjACkAXABuACAAIAAgACAAIAAgACkAXABuACAAIAAgACAAKQBcAG4AIAAgACkAOwBcAG4AXABuAEMAbwBtAG0AbwBuAF8AUwBvAHUAcgBjAGUARABhAHQAYQBfAFcAZQB0AEEAbgBkAEQAcgB5AFoAbwBuAGUAcwBfAEQAYQB0AGEAXABuACAAIAAgAD0ATABBAE0AQgBEAEEAKABcAG4AIAAgACAAIABNAEEASwBFAEEAUgBSAEEAWQAoADEANQAsACAAMgAsACAAXABuACAAIAAgACAAIAAgAEwAQQBNAEIARABBACgAcgAsAGMALAAgAFwAbgAgACAAIAAgACAAIAAgACAASQBOAEQARQBYACgAewBcAG4AIAAgACAAIAAgACAAIAAgACAAIABcACIAQwBsAGkAbQBhAHQAZQAgAFoAbwBuAGUAXAAiACwAIABcACIAVwBlAHQAIABvAHIAIABEAHIAeQAgAFoAbwBuAGUAXAAiADsAXABuACAAIAAgACAAIAAgACAAIAAgACAAXAAiAFQAcgBvAHAAaQBjAGEAbAAgAG0AbwBuAHQAYQBuAGUAXAAiACwAIABcACIAVwBlAHQAIABjAGwAaQBtAGEAdABlACAAegBvAG4AZQBcACIAOwBcAG4AIAAgACAAIAAgACAAIAAgACAAIABcACIAVAByAG8AcABpAGMAYQBsACAAdwBlAHQAXAAiACwAIABcACIAVwBlAHQAIABjAGwAaQBtAGEAdABlACAAegBvAG4AZQBcACIAOwBcAG4AIAAgACAAIAAgACAAIAAgACAAIABcACIAVAByAG8AcABpAGMAYQBsACAAbQBvAGkAcwB0AFwAIgAsACAAXAAiAFcAZQB0ACAAYwBsAGkAbQBhAHQAZQAgAHoAbwBuAGUAXAAiADsAXABuACAAIAAgACAAIAAgACAAIAAgACAAXAAiAFQAcgBvAHAAaQBjAGEAbAAgAGQAcgB5AFwAIgAsACAAXAAiAEQAcgB5ACAAYwBsAGkAbQBhAHQAZQAgAHoAbwBuAGUAXAAiADsAXABuACAAIAAgACAAIAAgACAAIAAgACAAXAAiAFcAYQByAG0AIAB0AGUAbQBwAGUAcgBhAHQAZQAgAG0AbwBpAHMAdABcACIALAAgAFwAIgBXAGUAdAAgAGMAbABpAG0AYQB0AGUAIAB6AG8AbgBlAFwAIgA7AFwAbgAgACAAIAAgACAAIAAgACAAIAAgAFwAIgBXAGEAcgBtACAAdABlAG0AcABlAHIAYQB0AGUAIABkAHIAeQBcACIALAAgAFwAIgBEAHIAeQAgAGMAbABpAG0AYQB0AGUAIAB6AG8AbgBlAFwAIgA7AFwAbgAgACAAIAAgACAAIAAgACAAIAAgAFwAIgBDAG8AbwBsACAAdABlAG0AcABlAHIAYQB0AGUAIABtAG8AaQBzAHQAXAAiACwAIABcACIAVwBlAHQAIABjAGwAaQBtAGEAdABlACAAegBvAG4AZQBcACIAOwBcAG4AIAAgACAAIAAgACAAIAAgACAAIABcACIAQwBvAG8AbAAgAHQAZQBtAHAAZQByAGEAdABlACAAZAByAHkAXAAiACwAIABcACIARAByAHkAIABjAGwAaQBtAGEAdABlACAAegBvAG4AZQBcACIAOwBcAG4AIAAgACAAIAAgACAAIAAgACAAIABcACIAVwBhAHIAbQAgAHQAZQBtAHAAZQByAGEAdABlACAAbQBvAGkAcwB0ACAALQAgAGwAbwB3ACAAZgByAG8AcwB0AFwAIgAsACAAXAAiAFcAZQB0ACAAYwBsAGkAbQBhAHQAZQAgAHoAbwBuAGUAXAAiADsAXABuACAAIAAgACAAIAAgACAAIAAgACAAXAAiAFcAYQByAG0AIAB0AGUAbQBwAGUAcgBhAHQAZQAgAGQAcgB5ACAALQAgAGwAbwB3ACAAZgByAG8AcwB0AFwAIgAsACAAXAAiAEQAcgB5ACAAYwBsAGkAbQBhAHQAZQAgAHoAbwBuAGUAXAAiADsAXABuACAAIAAgACAAIAAgACAAIAAgACAAXAAiAFcAYQByAG0AIAB0AGUAbQBwAGUAcgBhAHQAZQAgAG0AbwBpAHMAdAAgAC0AIABoAGkAZwBoACAAdABlAG0AcABcACIALAAgAFwAIgBXAGUAdAAgAGMAbABpAG0AYQB0AGUAIAB6AG8AbgBlAFwAIgA7AFwAbgAgACAAIAAgACAAIAAgACAAIAAgAFwAIgBXAGEAcgBtACAAdABlAG0AcABlAHIAYQB0AGUAIABkAHIAeQAgAC0AIABoAGkAZwBoACAAdABlAG0AcABcACIALAAgAFwAIgBEAHIAeQAgAGMAbABpAG0AYQB0AGUAIAB6AG8AbgBlAFwAIgA7AFwAbgAgACAAIAAgACAAIAAgACAAIAAgAFwAIgBDAG8AbwBsACAAdABlAG0AcABlAHIAYQB0AGUAIABtAG8AaQBzAHQAIAAtACAAbABvAHcAIABmAHIAbwBzAHQAXAAiACwAIABcACIAVwBlAHQAIABjAGwAaQBtAGEAdABlACAAegBvAG4AZQBcACIAOwBcAG4AIAAgACAAIAAgACAAIAAgACAAIABcACIAQwBvAG8AbAAgAHQAZQBtAHAAZQByAGEAdABlACAAZAByAHkAIAAtACAAbABvAHcAIABmAHIAbwBzAHQAXAAiACwAIABcACIARAByAHkAIABjAGwAaQBtAGEAdABlACAAegBvAG4AZQBcAC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EMAbABpAG0AYQB0AGUAWgBvAG4AZQBzAFwAbgAtAC0ALQAtAC0ALQAtAC0ALQAtAC0ALQAtAC0ALQAtAC0ALQAtAC0ALQAtAC0ALQAtAC0ALQAtAC0ALQAtAC0ALQAtAC0ALQAtAC0AXABuACoALwBcAG4AXABuAEMAbwBtAG0AbwBuAF8AUwBvAHUAcgBjAGUARABhAHQAYQBfAEMAbABpAG0AYQB0AGUAWgBvAG4AZQBzAF8AVABpAHQAbABlAFwAbgAgACAAPQBMAEEATQBCAEQAQQAoAFwAIgBWAEUARQBSAEcAIABBAHUAcwB0AHIAYQBsAGkAYQBuACAAYwBsAGkAbQBhAHQAZQAgAHoAbwBuAGUAcwBcACIAKQA7AFwAbgBcAG4AQwBvAG0AbQBvAG4AXwBTAG8AdQByAGMAZQBEAGEAdABhAF8AQwBsAGkAbQBhAHQAZQBaAG8AbgBlAHMAXwBWAGEAcgBpAGEAYgBsAGUAXABuACAAIAA9AEwAQQBNAEIARABBACgAXAAiAFwAIgApADsAXABuAFwAbgBDAG8AbQBtAG8AbgBfAFMAbwB1AHIAYwBlAEQAYQB0AGEAXwBDAGwAaQBtAGEAdABlAFoAbwBuAGUAcwBfAFUAbgBpAHQAXABuACAAIAA9AEwAQQBNAEIARABBACgAXAAiAFwAIgApADsAXABuAFwAbgBDAG8AbQBtAG8AbgBfAFMAbwB1AHIAYwBlAEQAYQB0AGEAXwBDAGwAaQBtAGEAdABlAFoAbwBuAGUAcwBfAFMAbwB1AHIAYwBlAFwAbgAgACAAPQBMAEEATQBCAEQAQQAoAFwAIgBWAEUARQBSAEcAIAAyADAAMgA2ADoAIABUAGEAYgBsAGUAIAAxAC4AMwA6ACAAQwBsAGkAbQBhAHQAZQAgAGEAbgBkACAAUgBhAGkAbgBmAGEAbABsACAAegBvAG4AZQAgAGMAbABhAHMAcwBpAGYAaQBjAGEAdABpAG8AbgBzACAAYQBuAGQAIABkAGUAZgBpAG4AaQB0AGkAbwBuAHMAXAAiACkAOwBcAG4AXABuAEMAbwBtAG0AbwBuAF8AUwBvAHUAcgBjAGUARABhAHQAYQBfAEMAbABpAG0AYQB0AGUAWgBvAG4AZQBzAF8AVgBhAHIAaQBhAHQAaQBvAG4AXABuACAAIAAgAD0ATABBAE0AQgBEAEEAKABcAG4AIAAgACAAIABNAEEASwBFAEEAUgBSAEEAWQAoADUALAAgADEALAAgAFwAbgAgACAAIAAgACAAIABMAEEATQBCAEQAQQAoAHIALABjACwAIABcAG4AIAAgACAAIAAgACAAIAAgAEkATgBEAEUAWAAoAHsAXABuACAAIAAgACAAIAAgACAAIAAgACAAXAAiAFYAQQBSAEkAQQBUAEkATwBOACAATwBGACAAUwBPAFUAUgBDAEUAIABEAEEAVABBADoAXAAiADsAXABuACAAIAAgACAAIAAgACAAIAAgACAAXAAiAEEAZABkAGUAZAAgAHcAYQByAG0AIAAvACAAYwBvAG8AbAAgAHQAZQBtAHAAZQByAGEAdABlACAAbQBvAGkAcwB0ACAALwAgAGQAcgB5ACAALQAgAGwAbwB3ACAAZgByAG8AcwB0ACAAYQBuAGQAIABoAGkAZwBoACAAdABlAG0AcAAgAGMAbABhAHMAcwBlAHMAIAB0AG8AIABhAGMAYwBvAG0AbQBvAGQAYQB0AGUAIABjAGwAaQBtAGEAdABlACAAcwBjAGUAbgBhAHIAaQBvAHMAIABlAHgAYwBsAHUAZABlAGQAIABiAHkAIABWAEUARQBSAEcAIABjAHIAaQB0AGUAcgBpAGEALgBcACIAOwBcAG4AIAAgACAAIAAgACAAIAAgACAAIABcACIARgBpAHgAZQBkACAAdAB5AHAAbwAgAGkAbgAgAE0AQQBUACAAdgBhAGwAdQBlACAAZgBvAHIAIAB3AGEAcgBtACAAdABlAG0AcABlAHIAYQB0AGUAIABkAHIAeQAgAC0AIABjAGgAYQBuAGcAZQBkACAAMQAwACAAdABvACAAMQAxAC4AXAAiADsAXABuACAAIAAgACAAIAAgACAAIAAgACAAXAAiAEEAZABkAGUAZAAgAG0AaQBuACAAYQBuAGQAIABtAGEAeAAgAGMAbwBsAHUAbQBuAHMAIABmAG8AcgAgAE0AQQBUACwAIABNAEEAUAAsACAAZgByAG8AcwB0ACAAZABhAHkAcwAgAHAAZQByACAAeQBlAGEAcgAsACAAZQBsAGUAdgBhAHQAaQBvAG4ALAAgAE0AQQBQADoAUABFAFQAIAB0AG8AIABjAGEAbABjAHUAbABhAHQAZQAgAHoAbwBuAGUAcwAgAGYAcgBvAG0AIAByAGUAYQBsACAAYwBsAGkAbQBhAHQAZQAgAGQAYQB0AGEALgBcACIAOwBcAG4AIAAgACAAIAAgACAAIAAgACAAIABcACIARwBBAEYAIABhAGMAYwBlAHAAdABzACAAcgBhAGkAbgBmAGEAbABsACAAYQBzACAAYQAgAHAAcgBvAHgAeQAgAGYAbwByACAAcAByAGUAYwBpAHAAaQB0AGEAdABpAG8AbgAuAFwAIgBcAG4AIAAgACAAIAAgACAAIAAgAH0ALAAgAHIALAAgAGMAKQBcAG4AIAAgACAAIAAgACAAKQBcAG4AIAAgACAAIAApAFwAbgAgACAAKQA7AFwAbgBcAG4AQwBvAG0AbQBvAG4AXwBTAG8AdQByAGMAZQBEAGEAdABhAF8AQwBsAGkAbQBhAHQAZQBaAG8AbgBlAHMAXwBEAGEAdABhAFwAbgAgACAAIAA9AEwAQQBNAEIARABBACgAXABuACAAIAAgACAATQBBAEsARQBBAFIAUgBBAFkAKAA5ACwAIAAxADYALAAgAFwAbgAgACAAIAAgACAAIABMAEEATQBCAEQAQQAoAHIALABjACwAIABcAG4AIAAgACAAIAAgACAAIAAgAEkATgBEAEUAWAAoAHsAXABuACAAIAAgACAAIAAgACAAIAAgACAAXAAiAEMAbABpAG0AYQB0AGUAIABaAG8AbgBlAFwAIgAsACAAXAAiAE0AQQBUAFwAIgAsACAAXAAiAE0AQQBQAFwAIgAsACAAXAAiAEYAcgBvAHMAdAAgAGQAYQB5AHMAIABwAGUAcgAgAHkAZQBhAHIAXAAiACwAIABcACIARQBsAGUAdgBhAHQAaQBvAG4AXAAiACwAIABcACIATQBBAFAAOgBQAEUAVABcACIALAAgAFwAIgBNAGkAbgAgAHQAZQBtAHAAXAAiACwAIABcACIATQBhAHgAIAB0AGUAbQBwAFwAIgAsACAAXAAiAE0AaQBuACAAcgBhAGkAbgBmAGEAbABsAFwAIgAsACAAXAAiAE0AYQB4ACAAcgBhAGkAbgBmAGEAbABsAFwAIgAsACAAXAAiAE0AaQBuACAAZgByAG8AcwB0ACAAZABhAHkAcwBcACIALAAgAFwAIgBNAGEAeAAgAGYAcgBvAHMAdAAgAGQAYQB5AHMAXAAiACwAIABcACIATQBpAG4AIABlAGwAZQB2AGEAdABpAG8AbgBcACIALAAgAFwAIgBNAGEAeAAgAGUAbABlAHYAYQB0AGkAbwBuAFwAIgAsACAAXAAiAE0AaQBuACAATQBBAFAAOgBQAEUAVABcACIALAAgAFwAIgBNAGkAbgAgAE0AQQBQADoAUABFAFQAXAAiADsAXABuACAAIAAgACAAIAAgACAAIAAgACAAXAAiAFQAcgBvAHAAaQBjAGEAbAAgAG0AbwBuAHQAYQBuAGUAXAAiACwAIABcACIAXAB1ADAAMAAzAGUAIAAxADgAIABDAFwAIgAsACAAXAAiAEEAbgB5AFwAIgAsACAAXAAiAGQiIAA3AFwAIgAsACAAXAAiAFwAdQAwADAAMwBlACAAMQAwADAAMAAgAG0AXAAiACwAIABcACIAQQBuAHkAXAAiACwAIAAxADgALgAwADAAMQAsACAAOQA5ADkAOQA5ADkALAAgAC0AOQA5ADkAOQA5ADkALAAgADkAOQA5ADkAOQA5ACwAIAAtADkAOQA5ADkAOQA5ACwAIAA3ACwAIAAxADAAMAAwACwAIAA5ADkAOQA5ADkAOQAsACAALQA5ADkAOQA5ADkAOQAsACAAOQA5ADkAOQA5ADkAOwBcAG4AIAAgACAAIAAgACAAIAAgACAAIABcACIAVAByAG8AcABpAGMAYQBsACAAdwBlAHQAXAAiACwAIABcACIAXAB1ADAAMAAzAGUAIAAxADgAIABDAFwAIgAsACAAXAAiAFwAdQAwADAAMwBlACAAMgAwADAAMAAgAG0AbQBcACIALAAgAFwAIgBkIiAANwBcACIALAAgAFwAIgBkIiAAMQAwADAAMAAgAG0AXAAiACwAIABcACIAQQBuAHkAXAAiACwAIAAxADgALgAwADAAMQAsACAAOQA5ADkAOQA5ADkALAAgADIAMAAwADAALgAwADAAMQAsACAAOQA5ADkAOQA5ADkALAAgAC0AOQA5ADkAOQA5ADkALAAgADcALAAgAC0AOQA5ADkAOQA5ADkALAAgADkAOQA5AC4AOQA5ADkALAAgACAALQA5ADkAOQA5ADkAOQAsACAAOQA5ADkAOQA5ADkAOwBcAG4AIAAgACAAIAAgACAAIAAgACAAIABcACIAVAByAG8AcABpAGMAYQBsACAAbQBvAGkAcwB0AFwAIgAsACAAXAAiAFwAdQAwADAAMwBlACAAMQA4ACAAQwBcACIALAAgAFwAIgBcAHUAMAAwADMAZQAgADEAMAAwADAAIABtAG0AIAAtACAAZCIgADIAMAAwADAAIABtAG0AXAAiACwAIABcACIAZCIgADcAXAAiACwAIABcACIAZCIgADEAMAAwADAAIABtAFwAIgAsACAAXAAiAEEAbgB5AFwAIgAsACAAMQA4AC4AMAAwADEALAAgADkAOQA5ADkAOQA5ACwAIAAxADAAMAAwAC4AMAAwADEALAAgADIAMAAwADAALAAgAC0AOQA5ADkAOQA5ADkALAAgADcALAAgAC0AOQA5ADkAOQA5ADkALAAgADkAOQA5AC4AOQA5ADkALAAgACAALQA5ADkAOQA5ADkAOQAsACAAOQA5ADkAOQA5ADkAOwBcAG4AIAAgACAAIAAgACAAIAAgACAAIABcACIAVAByAG8AcABpAGMAYQBsACAAZAByAHkAXAAiACwAIABcACIAXAB1ADAAMAAzAGUAIAAxADgAIABDAFwAIgAsACAAXAAiAGQiIAAxADAAMAAwACAAbQBtAFwAIgAsACAAXAAiAGQiIAA3AFwAIgAsACAAXAAiAGQiIAAxADAAMAAwACAAbQBcACIALAAgAFwAIgBBAG4AeQBcACIALAAgADEAOAAuADAAMAAxACwAIAA5ADkAOQA5ADkAOQAsACAALQA5ADkAOQA5ADkAOQAsACAAMQAwADAAMAAsACAALQA5ADkAOQA5ADkAOQAsACAANwAsACAALQA5ADkAOQA5ADkAOQAsACAAOQA5ADkALgA5ADkAOQAsACAAIAAtADkAOQA5ADkAOQA5ACwAIAA5ADkAOQA5ADkAOQA7AFwAbgAgACAAIAAgACAAIAAgACAAIAAgAFwAIgBXAGEAcgBtACAAdABlAG0AcABlAHIAYQB0AGUAIABtAG8AaQBzAHQAXAAiACwAIABcACIAXAB1ADAAMAAzAGUAIAAxADAAIABDAFwAIgAsACAAXAAiAEEAbgB5AFwAIgAsACAAXAAiAEEAbgB5AFwAIgAsACAAXAAiAEEAbgB5AFwAIgAsACAAXAAiAFwAdQAwADAAMwBlACAAMQBcACIALAAgADEAMAAuADAAMAAxACwAIAA5ADkAOQA5ADkAOQAsACAALQA5ADkAOQA5ADkAOQAsACAAOQA5ADkAOQA5ADkALAAgAC0AOQA5ADkAOQA5ADkALAAgADkAOQA5ADkAOQA5ACwAIAAtADkAOQA5ADkAOQA5ACwAIAA5ADkAOQA5ADkAOQAsACAAMQAuADAAMAAxACwAIAA5ADkAOQA5ADkAOQA7AFwAbgAgACAAIAAgACAAIAAgACAAIAAgAFwAIgBXAGEAcgBtACAAdABlAG0AcABlAHIAYQB0AGUAIABkAHIAeQBcACIALAAgAFwAIgBcAHUAMAAwADMAZQAgADEAMAAgAEMAXAAiACwAIABcACIAQQBuAHkAXAAiACwAIABcACIAQQBuAHkAXAAiACwAIABcACIAQQBuAHkAXAAiACwAIABcACIAZCIgADEAXAAiACwAIAAxADAALgAwADAAMQAsACAAOQA5ADkAOQA5ADkALAAgAC0AOQA5ADkAOQA5ADkALAAgADkAOQA5ADkAOQA5ACwAIAAtADkAOQA5ADkAOQA5ACwAIAA5ADkAOQA5ADkAOQAsACAALQA5ADkAOQA5ADkAOQAsACAAOQA5ADkAOQA5ADkALAAgACAALQA5ADkAOQA5ADkAOQAsACAAMQA7AFwAbgAgACAAIAAgACAAIAAgACAAIAAgAFwAIgBDAG8AbwBsACAAdABlAG0AcABlAHIAYQB0AGUAIABtAG8AaQBzAHQAXAAiACwAIABcACIAXAB1ADAAMAAzAGUAIAAwACAAQwAgAC0AIABkIiAAMQAwACAAQwBcACIALAAgAFwAIgBBAG4AeQBcACIALAAgAFwAIgBBAG4AeQBcACIALAAgAFwAIgBBAG4AeQBcACIALAAgAFwAIgBcAHUAMAAwADMAZQAgADEAXAAiACwAIAAtADkAOQA5ADkAOQA5ACwAIAAxADAALAAgAC0AOQA5ADkAOQA5ADkALAAgADkAOQA5ADkAOQA5ACwAIAAtADkAOQA5ADkAOQA5ACwAIAA5ADkAOQA5ADkAOQAsACAALQA5ADkAOQA5ADkAOQAsACAAOQA5ADkAOQA5ADkALAAgADEALgAwADAAMQAsACAAOQA5ADkAOQA5ADkAOwBcAG4AIAAgACAAIAAgACAAIAAgACAAIABcACIAQwBvAG8AbAAgAHQAZQBtAHAAZQByAGEAdABlACAAZAByAHkAXAAiACwAIABcACIAXAB1ADAAMAAzAGUAIAAwACAAQwAgAC0AIABkIiAAMQAwACAAQwBcACIALAAgAFwAIgBBAG4AeQBcACIALAAgAFwAIgBBAG4AeQBcACIALAAgAFwAIgBBAG4AeQBcACIALAAgAFwAIgBkIiAAMQBcACIALAAgAC0AOQA5ADkAOQA5ADkALAAgADEAMAAsACAALQA5ADkAOQA5ADkAOQAsACAAOQA5ADkAOQA5ADkALAAgAC0AOQA5ADkAOQA5ADkALAAgADkAOQA5ADkAOQA5ACwAIAAtADkAOQA5ADkAOQA5ACwAIAA5ADkAOQA5ADkAOQAsACAAIAAtADkAOQA5ADkAOQA5ACwAIAAxAFwAbgAgACAAIAAgACAAIAAgACAAfQAsACAAcgAsACAAYwApAFwAbgAgACAAIAAgACAAIAApAFwAbgAgACAAIAAgACkAXABuACAAIAApADsAXABuAFwAbgBDAG8AbQBtAG8AbgBfAFMAbwB1AHIAYwBlAEQAYQB0AGEAXwBDAGwAaQBtAGEAdABlAFoAbwBuAGUAcwBfAEEAcABwAGUAbgBkAGkAYwBlAHMAXABuACAAIAAgAD0ATABBAE0AQgBEAEEAKABcAG4AIAAgACAAIABNAEEASwBFAEEAUgBSAEEAWQAoADQALAAgADEALAAgAFwAbgAgACAAIAAgACAAIABMAEEATQBCAEQAQQAoAHIALABjACwAIABcAG4AIAAgACAAIAAgACAAIAAgAEkATgBEAEUAWAAoAHsAXABuACAAIAAgACAAIAAgACAAIAAgACAAXAAiAE4AbwB0AGUAOgBcACIAOwBcAG4AIAAgACAAIAAgACAAIAAgACAAIABcACIATQBBAFQAIAA9ACAAbQBlAGEAbgAgAGEAbgBuAHUAYQBsACAAdABlAG0AcABlAHIAYQB0AHUAcgBlAFwAIgA7AFwAbgAgACAAIAAgACAAIAAgACAAIAAgAFwAIgBNAEEAUAAgAD0AIABtAGUAYQBuACAAYQBuAG4AdQBhAGwAIABwAHIAZQBjAGkAcABpAHQAYQB0AGkAbwBuAFwAIgA7AFwAbgAgACAAIAAgACAAIAAgACAAIAAgAFwAIgBQAEUAVAAgAD0AIABwAG8AdABlAG4AdABpAGEAbAAgAGUAdgBhAHAAbwB0AHIAYQBuAHMAcABpAHIAYQB0AGkAbwBuAFwAIgBcAG4AIAAgACAAIAAgACAAIAAgAH0ALAAgAHIALAAgAGMAKQBcAG4AIAAgACAAIAAgACAAKQBcAG4AIAAgACAAIAApAFwAbgAgACAAKQA7AFwAbgBcAG4AXABuAC8AKgAgAFwAbgAtAC0ALQAtAC0ALQAtAC0ALQAtAC0ALQAtAC0ALQAtAC0ALQAtAC0ALQAtAC0ALQAtAC0ALQAtAC0ALQAtAC0ALQAtAC0ALQAtAC0AXABuAEMAbwBtAG0AbwBuAF8AUwBvAHUAcgBjAGUARABhAHQAYQBfAFQAZQBtAHAAZQByAGEAdAB1AHIAZQBaAG8AbgBlAHMAXABuAC0ALQAtAC0ALQAtAC0ALQAtAC0ALQAtAC0ALQAtAC0ALQAtAC0ALQAtAC0ALQAtAC0ALQAtAC0ALQAtAC0ALQAtAC0ALQAtAC0ALQBcAG4AKgAvAFwAbgBcAG4AQwBvAG0AbQBvAG4AXwBTAG8AdQByAGMAZQBEAGEAdABhAF8AVABlAG0AcABlAHIAYQB0AHUAcgBlAFoAbwBuAGUAcwBfAFQAaQB0AGwAZQBcAG4AIAAgAD0ATABBAE0AQgBEAEEAKABcACIAVgBFAEUAUgBHACAAQQB1AHMAdAByAGEAbABpAGEAbgAgAHQAZQBtAHAAZQByAGEAdAB1AHIAZQAgAHoAbwBuAGUAcwBcACIAKQA7AFwAbgBcAG4AQwBvAG0AbQBvAG4AXwBTAG8AdQByAGMAZQBEAGEAdABhAF8AVABlAG0AcABlAHIAYQB0AHUAcgBlAFoAbwBuAGUAcwBfAFYAYQByAGkAYQBiAGwAZQBcAG4AIAAgAD0ATABBAE0AQgBEAEEAKABcACIAXAAiACkAOwBcAG4AXABuAEMAbwBtAG0AbwBuAF8AUwBvAHUAcgBjAGUARABhAHQAYQBfAFQAZQBtAHAAZQByAGEAdAB1AHIAZQBaAG8AbgBlAHMAXwBVAG4AaQB0AFwAbgAgACAAPQBMAEEATQBCAEQAQQAoAFwAIgBcACIAKQA7AFwAbgBcAG4AQwBvAG0AbQBvAG4AXwBTAG8AdQByAGMAZQBEAGEAdABhAF8AVABlAG0AcABlAHIAYQB0AHUAcgBlAFoAbwBuAGUAcwBfAFMAbwB1AHIAYwBlAFwAbgAgACAAPQBMAEEATQBCAEQAQQAoAFwAIgBWAEUARQBSAEcAIAAyADAAMgA2ADoAIABUAGEAYgBsAGUAIAAxAC4AMwA6ACAAQwBsAGkAbQBhAHQAZQAgAGEAbgBkACAAUgBhAGkAbgBmAGEAbABsACAAegBvAG4AZQAgAGMAbABhAHMAcwBpAGYAaQBjAGEAdABpAG8AbgBzACAAYQBuAGQAIABkAGUAZgBpAG4AaQB0AGkAbwBuAHMAXAAiACkAOwBcAG4AXABuAEMAbwBtAG0AbwBuAF8AUwBvAHUAcgBjAGUARABhAHQAYQBfAFQAZQBtAHAAZQByAGEAdAB1AHIAZQBaAG8AbgBlAHMAXwBWAGEAcgBpAGEAdABpAG8AbgBcAG4AIAAgAD0ATABBAE0AQgBEAEEAKABcACIAVgBBAFIASQBBAFQASQBPAE4AIABPAEYAIABTAE8AVQBSAEMARQAgAEQAQQBUAEEAOgAgAEEAZABkAGUAZAAgAGUAeAB0AHIAYQAgAE0AQQBUACAAbQBpAG4AIABhAG4AZAAgAE0AQQBUACAAbQBhAHgAIABjAG8AbAB1AG0AbgBzACAAdABvACAAYwBhAGwAYwB1AGwAYQB0AGUAIAB6AG8AbgBlACAAZgByAG8AbQAgAHIAZQBhAGwAIAB0AGUAbQBwAGUAcgBhAHQAdQByAGUAIABkAGEAdABhAC4AXAAiACkAOwBcAG4AXABuAEMAbwBtAG0AbwBuAF8AUwBvAHUAcgBjAGUARABhAHQAYQBfAFQAZQBtAHAAZQByAGEAdAB1AHIAZQBaAG8AbgBlAHMAXwBEAGEAdABhAFwAbgAgACAAIAA9AEwAQQBNAEIARABBACgAXABuACAAIAAgACAATQBBAEsARQBBAFIAUgBBAFkAKAA0ACwAIAA0ACwAIABcAG4AIAAgACAAIAAgACAATABBAE0AQgBEAEEAKAByACwAYwAsACAAXABuACAAIAAgACAAIAAgACAAIABJAE4ARABFAFgAKAB7AFwAbgAgACAAIAAgACAAIAAgACAAIAAgAFwAIgBUAGUAbQBwAGUAcgBhAHQAdQByAGUAIABaAG8AbgBlAFwAIgAsACAAXAAiAE0AZQBkAGkAYQBuACAAQQBuAG4AdQBhAGwAIABUAGUAbQBwAGUAcgBhAHQAdQByAGUAIAAoAE0AQQBUACkAXAAiACwAIABcACIATQBpAG4AIABNAEEAVABcACIALAAgAFwAIgBNAGEAeAAgAE0AQQBUAFwAIgA7AFwAbgAgACAAIAAgACAAIAAgACAAIAAgAFwAIgBXAGEAcgBtAFwAIgAsACAAXAAiAGUiIAAyADYAIABDAFwAIgAsACAAMgA2ACwAIAA5ADkAOQA5ADkAOQA7AFwAbgAgACAAIAAgACAAIAAgACAAIAAgAFwAIgBUAGUAbQBwAGUAcgBhAHQAZQBcACIALAAgAFwAIgAxADUAIAAtACAAMgA1ACAAQwBcACIALAAgADEANQAsACAAMgA1AC4AOQA5ADkAOwBcAG4AIAAgACAAIAAgACAAIAAgACAAIABcACIAQwBvAG8AbABcACIALAAgAFwAIgBkIiAAMQA0ACAAQwBcACIALAAgAC0AOQA5ADkAOQA5ADkALAAgADEANAAuADkAOQA5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SAGEAaQBuAGYAYQBsAGwAWgBvAG4AZQBzAFwAbgAtAC0ALQAtAC0ALQAtAC0ALQAtAC0ALQAtAC0ALQAtAC0ALQAtAC0ALQAtAC0ALQAtAC0ALQAtAC0ALQAtAC0ALQAtAC0ALQAtAC0AXABuACoALwBcAG4AXABuAEMAbwBtAG0AbwBuAF8AUwBvAHUAcgBjAGUARABhAHQAYQBfAFIAYQBpAG4AZgBhAGwAbABaAG8AbgBlAHMAXwBUAGkAdABsAGUAXABuACAAIAA9AEwAQQBNAEIARABBACgAXAAiAFYARQBFAFIARwAgAEEAdQBzAHQAcgBhAGwAaQBhAG4AIAByAGEAaQBuAGYAYQBsAGwAIAB6AG8AbgBlAHMAXAAiACkAOwBcAG4AXABuAEMAbwBtAG0AbwBuAF8AUwBvAHUAcgBjAGUARABhAHQAYQBfAFIAYQBpAG4AZgBhAGwAbABaAG8AbgBlAHMAXwBWAGEAcgBpAGEAYgBsAGUAXABuACAAIAA9AEwAQQBNAEIARABBACgAXAAiAFwAIgApADsAXABuAFwAbgBDAG8AbQBtAG8AbgBfAFMAbwB1AHIAYwBlAEQAYQB0AGEAXwBSAGEAaQBuAGYAYQBsAGwAWgBvAG4AZQBzAF8AVQBuAGkAdABcAG4AIAAgAD0ATABBAE0AQgBEAEEAKABcACIAXAAiACkAOwBcAG4AXABuAEMAbwBtAG0AbwBuAF8AUwBvAHUAcgBjAGUARABhAHQAYQBfAFIAYQBpAG4AZgBhAGwAbABaAG8AbgBlAHMAXwBTAG8AdQByAGMAZQBcAG4AIAAgAD0ATABBAE0AQgBEAEEAKABcACIAVgBFAEUAUgBHACAAMgAwADIANgA6ACAAVABhAGIAbABlACAAMQAuADMAOgAgAEMAbABpAG0AYQB0AGUAIABhAG4AZAAgAFIAYQBpAG4AZgBhAGwAbAAgAHoAbwBuAGUAIABjAGwAYQBzAHMAaQBmAGkAYwBhAHQAaQBvAG4AcwAgAGEAbgBkACAAZABlAGYAaQBuAGkAdABpAG8AbgBzAFwAIgApADsAXABuAFwAbgBDAG8AbQBtAG8AbgBfAFMAbwB1AHIAYwBlAEQAYQB0AGEAXwBSAGEAaQBuAGYAYQBsAGwAWgBvAG4AZQBzAF8AVgBhAHIAaQBhAHQAaQBvAG4AXABuACAAIAA9AEwAQQBNAEIARABBACgAXAAiAFYAQQBSAEkAQQBUAEkATwBOACAATwBGACAAUwBPAFUAUgBDAEUAIABEAEEAVABBADoAIABBAGQAZABlAGQAIABlAHgAdAByAGEAIABSAGEAaQBuAGYAYQBsAGwAIABtAGkAbgAgAGEAbgBkACAAUgBhAGkAbgBmAGEAbABsACAAbQBhAHgAIABjAG8AbAB1AG0AbgBzACAAdABvACAAYwBhAGwAYwB1AGwAYQB0AGUAIAB6AG8AbgBlACAAZgByAG8AbQAgAHIAZQBhAGwAIAByAGEAaQBuAGYAYQBsAGwAIABkAGEAdABhAC4AXAAiACkAOwBcAG4AXABuAEMAbwBtAG0AbwBuAF8AUwBvAHUAcgBjAGUARABhAHQAYQBfAFIAYQBpAG4AZgBhAGwAbABaAG8AbgBlAHMAXwBEAGEAdABhAFwAbgAgACAAIAA9AEwAQQBNAEIARABBACgAXABuACAAIAAgACAATQBBAEsARQBBAFIAUgBBAFkAKAAzACwAIAA0ACwAIABcAG4AIAAgACAAIAAgACAATABBAE0AQgBEAEEAKAByACwAYwAsACAAXABuACAAIAAgACAAIAAgACAAIABJAE4ARABFAFgAKAB7AFwAbgAgACAAIAAgACAAIAAgACAAIAAgAFwAIgBSAGEAaQBuAGYAYQBsAGwAIABaAG8AbgBlAFwAIgAsACAAXAAiAEEAbgBuAHUAYQBsACAAcgBhAGkAbgBmAGEAbABsAFwAIgAsACAAXAAiAFIAYQBpAG4AZgBhAGwAbAAgAG0AaQBuAFwAIgAsACAAXAAiAFIAYQBpAG4AZgBhAGwAbAAgAG0AYQB4AFwAIgA7AFwAbgAgACAAIAAgACAAIAAgACAAIAAgAFwAIgBIAGkAZwBoACAAcgBhAGkAbgBmAGEAbABsAFwAIgAsACAAXAAiAEEAbgBuAHUAYQBsACAAcgBhAGkAbgBmAGEAbABsACAAXAB1ADAAMAAzAGUAIAA2ADAAMABtAG0AXAAiACwAIAA2ADAAMAAuADAAMAAxACwAIAA5ADkAOQA5ADkAOQA7AFwAbgAgACAAIAAgACAAIAAgACAAIAAgAFwAIgBMAG8AdwAgAHIAYQBpAG4AZgBhAGwAbABcACIALAAgAFwAIgBBAG4AbgB1AGEAbAAgAHIAYQBpAG4AZgBhAGwAbAAgAGQiIAA2ADAAMABtAG0AXAAiACwAIAAtADkAOQA5ADkAOQA5ACwAIAA2ADAAMA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TABlAGEAYwBoAGkAbgBnAFoAbwBuAGUAcwBcAG4ALQAtAC0ALQAtAC0ALQAtAC0ALQAtAC0ALQAtAC0ALQAtAC0ALQAtAC0ALQAtAC0ALQAtAC0ALQAtAC0ALQAtAC0ALQAtAC0ALQAtAFwAbgAqAC8AXABuAFwAbgBDAG8AbQBtAG8AbgBfAFMAbwB1AHIAYwBlAEQAYQB0AGEAXwBMAGUAYQBjAGgAaQBuAGcAWgBvAG4AZQBzAF8AVABpAHQAbABlAFwAbgAgACAAPQBMAEEATQBCAEQAQQAoAFwAIgBWAEUARQBSAEcAIABBAHUAcwB0AHIAYQBsAGkAYQBuACAAbABlAGEAYwBoAGkAbgBnACAAegBvAG4AZQBzAFwAIgApADsAXABuAFwAbgBDAG8AbQBtAG8AbgBfAFMAbwB1AHIAYwBlAEQAYQB0AGEAXwBMAGUAYQBjAGgAaQBuAGcAWgBvAG4AZQBzAF8AVgBhAHIAaQBhAGIAbABlAFwAbgAgACAAPQBMAEEATQBCAEQAQQAoAFwAIgBcACIAKQA7AFwAbgBcAG4AQwBvAG0AbQBvAG4AXwBTAG8AdQByAGMAZQBEAGEAdABhAF8ATABlAGEAYwBoAGkAbgBnAFoAbwBuAGUAcwBfAFUAbgBpAHQAXABuACAAIAA9AEwAQQBNAEIARABBACgAXAAiAFwAIgApADsAXABuAFwAbgBDAG8AbQBtAG8AbgBfAFMAbwB1AHIAYwBlAEQAYQB0AGEAXwBMAGUAYQBjAGgAaQBuAGcAWgBvAG4AZQBzAF8AUwBvAHUAcgBjAGUAXABuACAAIAA9AEwAQQBNAEIARABBACgAXAAiAFYARQBFAFIARwAgADIAMAAyADYAOgAgAFQAYQBiAGwAZQAgADEALgAzADoAIABDAGwAaQBtAGEAdABlACAAYQBuAGQAIABSAGEAaQBuAGYAYQBsAGwAIAB6AG8AbgBlACAAYwBsAGEAcwBzAGkAZgBpAGMAYQB0AGkAbwBuAHMAIABhAG4AZAAgAGQAZQBmAGkAbgBpAHQAaQBvAG4AcwBcACIAKQA7AFwAbgBcAG4AQwBvAG0AbQBvAG4AXwBTAG8AdQByAGMAZQBEAGEAdABhAF8ATABlAGEAYwBoAGkAbgBnAFoAbwBuAGUAcwBfAFYAYQByAGkAYQB0AGkAbwBuAFwAbgAgACAAPQBMAEEATQBCAEQAQQAoAFwAIgBcACIAKQA7AFwAbgBcAG4AQwBvAG0AbQBvAG4AXwBTAG8AdQByAGMAZQBEAGEAdABhAF8ATABlAGEAYwBoAGkAbgBnAFoAbwBuAGUAcwBfAEQAYQB0AGEAXABuACAAIAAgAD0ATABBAE0AQgBEAEEAKABcAG4AIAAgACAAIABNAEEASwBFAEEAUgBSAEEAWQAoADMALAAgADIALAAgAFwAbgAgACAAIAAgACAAIABMAEEATQBCAEQAQQAoAHIALABjACwAIABcAG4AIAAgACAAIAAgACAAIAAgAEkATgBEAEUAWAAoAHsAXABuACAAIAAgACAAIAAgACAAIAAgACAAXAAiAEwAZQBhAGMAaABpAG4AZwAgAFoAbwBuAGUAXAAiACwAIABcACIATABlAGEAYwBoAGkAbgBnACAAYwByAGkAdABlAHIAaQBhAFwAIgA7AFwAbgAgACAAIAAgACAAIAAgACAAIAAgAFwAIgBMAGUAYQBjAGgAaQBuAGcAIABvAGMAYwB1AHIAcwBcACIALAAgAFwAIgCjAygANdhf3DXYTtw12FbcNdhb3CkAXAB1ADAAMAAzAGUAowMoADXYONw12EfcMAApACsANdhg3DXYXNw12FbcNdhZ3CAANdhk3DXYTtw12GHcNdhS3DXYX9wgAA4hNdhc3DXYWdw12FHcNdhW3DXYW9w12FTcIAA12FDcNdhO3DXYXdw12E7cNdhQ3DXYVtw12GHcNdhm3FwAIgA7AFwAbgAgACAAIAAgACAAIAAgACAAIAAgAFwAIgBMAGUAYQBjAGgAaQBuAGcAIABkAG8AZQBzACAAbgBvAHQAIABvAGMAYwB1AHIAXAAiACwAIABcACIAowMoADXYX9w12E7cNdhW3DXYW9wpAGQiowMoADXYONw12EfcMAApACsANdhg3DXYXNw12FbcNdhZ3CAANdhk3DXYTtw12GHcNdhS3DXYX9wgAA4hNdhc3DXYWdw12FHcNdhW3DXYW9w12FTcIAA12FDcNdhO3DXYXdw12E7cNdhQ3DXYVtw12GHcNdhm3FwAI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RgByAGEAYwBXAEUAVABcAG4ANQAuADUALgAyAC4AMwAgAEMAbwBuAHMAdABhAG4AdAAgAFAAYQByAGEAbQBlAHQAZQByAHMAXABuAEYAcgBhAGMAdABpAG8AbgAgAG8AZgAgAE4AIAB0AGgAYQB0ACAAaQBzACAAYQB2AGEAaQBsAGEAYgBsAGUAIABmAG8AcgAgAGwAZQBhAGMAaABpAG4AZwAgAGEAbgBkACAAcgB1AG4AbwBmAGYAXABuAC0ALQAtAC0ALQAtAC0ALQAtAC0ALQAtAC0ALQAtAC0ALQAtAC0ALQAtAC0ALQAtAC0ALQAtAC0ALQAtAC0ALQAtAC0ALQAtAC0ALQBcAG4AKgAvAFwAbgBcAG4AQwBvAG0AbQBvAG4AXwBTAG8AdQByAGMAZQBEAGEAdABhAF8ARgByAGEAYwBXAEUAVABfAFQAaQB0AGwAZQBcAG4AIAAgAD0ATABBAE0AQgBEAEEAKABcACIARgByAGEAYwB0AGkAbwBuACAAbwBmACAATgAgAHQAaABhAHQAIABpAHMAIABhAHYAYQBpAGwAYQBiAGwAZQAgAGYAbwByACAAbABlAGEAYwBoAGkAbgBnACAAYQBuAGQAIAByAHUAbgBvAGYAZgBcACIAKQA7AFwAbgBcAG4AQwBvAG0AbQBvAG4AXwBTAG8AdQByAGMAZQBEAGEAdABhAF8ARgByAGEAYwBXAEUAVABfAFUAbgBpAHQAXABuACAAIAA9AEwAQQBNAEIARABBACgAXAAiACgARABpAG0AZQBuAHMAaQBvAG4AbABlAHMAcwBcACIAKQA7AFwAbgBcAG4AQwBvAG0AbQBvAG4AXwBTAG8AdQByAGMAZQBEAGEAdABhAF8ARgByAGEAYwBXAEUAVABfAFMAbwB1AHIAYwBlAFwAbgAgACAAPQBMAEEATQBCAEQAQQAoAFwAIgBWAEUARQBSAEcAIAAyADAAMgA2ADoANQAuADUALgAyAC4AMwAgAEMAbwBuAHMAdABhAG4AdAAgAFAAYQByAGEAbQBlAHQAZQByAHMAXAAiACkAOwBcAG4AXABuAEMAbwBtAG0AbwBuAF8AUwBvAHUAcgBjAGUARABhAHQAYQBfAEYAcgBhAGMAVwBFAFQAXwBOAEkAUgBSAGUAZgBlAHIAZQBuAGMAZQBcAG4AIAAgAD0ATABBAE0AQgBEAEEAKABcACIAXAAiACkAOwBcAG4AXABuAEMAbwBtAG0AbwBuAF8AUwBvAHUAcgBjAGUARABhAHQAYQBfAEYAcgBhAGMAVwBFAFQAXwBEAGEAdABhAFwAbgAgACAAPQBMAEEATQBCAEQAQQAoAFwAbgAgACAAIAAgAE0AQQBLAEUAQQBSAFIAQQBZACgAMwAsACAAMgAsACAAXABuACAAIAAgACAAIAAgAEwAQQBNAEIARABBACgAcgAsAGMALAAgAFwAbgAgACAAIAAgACAAIAAgACAASQBOAEQARQBYACgAewBcAG4AIAAgACAAIAAgACAAIAAgACAAIABcACIASQBzACAAaQBuACAAbABlAGEAYwBoAGkAbgBnACAAegBvAG4AZQBcACIALABcACIARgByAGEAYwBXAEUAVABcACIAOwBcAG4AIAAgACAAIAAgACAAIAAgACAAIABcACIAWQBlAHMAIAAtACAAaQBuACAAbABlAGEAYwBoAGkAbgBnACAAegBvAG4AZQBcACIALAAgADEAOwBcAG4AIAAgACAAIAAgACAAIAAgACAAIABcACIATgBvACAALQAgAG4AbwB0ACAAaQBuACAAbABlAGEAYwBoAGkAbgBnACAAegBvAG4AZQBcACIALAAgADAAXABuACAAIAAgACAAIAAgACAAIAB9ACwAIAByACwAIABjACkAXABuACAAIAAgACAAIAAgACkAXABuACAAIAAgACAAKQBcAG4AIAAgACkAOwBcAG4AXABuACAAIABDAG8AbQBtAG8AbgBfAFMAbwB1AHIAYwBlAEQAYQB0AGEAXwBGAHIAYQBjAFcARQBUAF8AVgBhAHIAaQBhAHQAaQBvAG4AXABuACAAIAA9AEwAQQBNAEIARABBACgAKABcACIAXAAiACkAKQA7AFwAbgBcAG4AXABuAFwAbgAvACoAIABcAG4ALQAtAC0ALQAtAC0ALQAtAC0ALQAtAC0ALQAtAC0ALQAtAC0ALQAtAC0ALQAtAC0ALQAtAC0ALQAtAC0ALQAtAC0ALQAtAC0ALQAtAFwAbgBDAG8AbQBtAG8AbgBfAFMAbwB1AHIAYwBlAEQAYQB0AGEAXwBEAGEAdABhAFMAYwBvAHIAZQBzAF8AUwBjAG8AcABlADMAXABuAC0ALQAtAC0ALQAtAC0ALQAtAC0ALQAtAC0ALQAtAC0ALQAtAC0ALQAtAC0ALQAtAC0ALQAtAC0ALQAtAC0ALQAtAC0ALQAtAC0ALQBcAG4AKgAvAFwAbgBcAG4AQwBvAG0AbQBvAG4AXwBTAG8AdQByAGMAZQBEAGEAdABhAF8ARABhAHQAYQBTAGMAbwByAGUAcwBfAFMAYwBvAHAAZQAzAF8AVABpAHQAbABlAFwAbgAgACAAPQBMAEEATQBCAEQAQQAoAFwAIgBBAHUAcwB0AHIAYQBsAGkAYQBuACAAZABhAHQAYQAgAHMAYwBvAHIAZQBzACAAZgBvAHIAIABzAGMAbwBwAGUAIAAzAFwAIgApADsAXABuAFwAbgBDAG8AbQBtAG8AbgBfAFMAbwB1AHIAYwBlAEQAYQB0AGEAXwBEAGEAdABhAFMAYwBvAHIAZQBzAF8AUwBjAG8AcABlADMAXwBWAGEAcgBpAGEAYgBsAGUAXABuACAAIAA9AEwAQQBNAEIARABBACgAXAAiAFwAIgApADsAXABuAFwAbgBDAG8AbQBtAG8AbgBfAFMAbwB1AHIAYwBlAEQAYQB0AGEAXwBEAGEAdABhAFMAYwBvAHIAZQBzAF8AUwBjAG8AcABlADMAXwBVAG4AaQB0AFwAbgAgACAAPQBMAEEATQBCAEQAQQAoAFwAIgBcACIAKQA7AFwAbgBcAG4AQwBvAG0AbQBvAG4AXwBTAG8AdQByAGMAZQBEAGEAdABhAF8ARABhAHQAYQBTAGMAbwByAGUAcwBfAFMAYwBvAHAAZQAzAF8AUwBvAHUAcgBjAGUAXABuACAAIAA9AEwAQQBNAEIARABBACgAXAAiAFYARQBFAFIARwAgADIAMAAyADYAOgAgAFgAWABYAFgAWABYAFgAWABcACIAKQA7AFwAbgBcAG4AQwBvAG0AbQBvAG4AXwBTAG8AdQByAGMAZQBEAGEAdABhAF8ARABhAHQAYQBTAGMAbwByAGUAcwBfAFMAYwBvAHAAZQAzAF8AVgBhAHIAaQBhAHQAaQBvAG4AXABuACAAIAA9AEwAQQBNAEIARABBACgAXAAiAFwAIgApADsAXABuAFwAbgBDAG8AbQBtAG8AbgBfAFMAbwB1AHIAYwBlAEQAYQB0AGEAXwBEAGEAdABhAFMAYwBvAHIAZQBzAF8AUwBjAG8AcABlADMAXwBEAGEAdABhAFwAbgAgACAAIAA9AEwAQQBNAEIARABBACgAXABuACAAIAAgACAATQBBAEsARQBBAFIAUgBBAFkAKAA2ACwAIAAyACwAIABcAG4AIAAgACAAIAAgACAATABBAE0AQgBEAEEAKAByACwAYwAsACAAXABuACAAIAAgACAAIAAgACAAIABJAE4ARABFAFgAKAB7AFwAbgAgACAAIAAgACAAIAAgACAAIAAgAFwAIgBEAGEAdABhACAAcwBvAHUAcgBjAGUAXAAiACwAIABcACIARABhAHQAYQAgAHMAYwBvAHIAZQBcACIAOwBcAG4AIAAgACAAIAAgACAAIAAgACAAIABcACIASQBuAHQAZQByAG4AYQB0AGkAbwBuAGEAbAAgAHMAYwBvAHAAZQAgADMAIABkAGEAdABhAGIAYQBzAGUAXAAiACwAIAAxADsAXABuACAAIAAgACAAIAAgACAAIAAgACAAXAAiAEEAdQBzAHQAcgBhAGwAaQBhAG4AIABzAGMAbwBwAGUAIAAzACAAZABhAHQAYQBiAGEAcwBlAFwAIgAsACAAMgA7AFwAbgAgACAAIAAgACAAIAAgACAAIAAgAFwAIgBTAHQAYQB0AGUAIABvAHIAIAByAGUAZwBpAG8AbgBhAGwAIABzAGMAbwBwAGUAIAAzACAAZABhAHQAYQBiAGEAcwBlAFwAIgAsACAAMwA7AFwAbgAgACAAIAAgACAAIAAgACAAIAAgAFwAIgBFAG0AaQBzAHMAaQBvAG4AcwAgAGkAbgB0AGUAbgBzAGkAdAB5ACAAYwBhAGwAYwB1AGwAYQB0AGUAZAAgAGYAcgBvAG0AIABhAHAAcAByAG8AdgBlAGQAIABtAGUAdABoAG8AZABcACIALAAgADQAOwBcAG4AIAAgACAAIAAgACAAIAAgACAAIABcACIAVgBlAHIAaQBmAGkAZQBkACAAYwByAGUAZABlAG4AdABpAGEAbAAgAG0AYQB0AGMAaABpAG4AZwAgAEkAUwBPADEANAAwADYANwBcACIALAAgADUAXABuACAAIAAgACAAIAAgACAAIAB9ACwAIAByACwAIABjACkAXABuACAAIAAgACAAIAAgACkAXABuACAAIAAgACAAKQBcAG4AIAAgACkAOwBcAG4AXABuAFwAbgAvACoAIABcAG4ALQAtAC0ALQAtAC0ALQAtAC0ALQAtAC0ALQAtAC0ALQAtAC0ALQAtAC0ALQAtAC0ALQAtAC0ALQAtAC0ALQAtAC0ALQAtAC0ALQAtAFwAbgBDAG8AbQBtAG8AbgBfAFMAbwB1AHIAYwBlAEQAYQB0AGEAXwBGAHIAYQBjAEwARQBBAEMASABcAG4ANQAuADUALgAyAC4AMwAgAEMAbwBuAHMAdABhAG4AdAAgAFAAYQByAGEAbQBlAHQAZQByAHMAXABuAEYAcgBhAGMAdABpAG8AbgAgAG8AZgAgAE4AIAB0AGgAYQB0ACAAaQBzACAAYQB2AGEAaQBsAGEAYgBsAGUAIABmAG8AcgAgAGwAZQBhAGMAaABpAG4AZwAgAGEAbgBkACAAcgB1AG4AbwBmAGYAXABuAC0ALQAtAC0ALQAtAC0ALQAtAC0ALQAtAC0ALQAtAC0ALQAtAC0ALQAtAC0ALQAtAC0ALQAtAC0ALQAtAC0ALQAtAC0ALQAtAC0ALQBcAG4AKgAvAFwAbgBcAG4AQwBvAG0AbQBvAG4AXwBTAG8AdQByAGMAZQBEAGEAdABhAF8ARgByAGEAYwBMAEUAQQBDAEgAXwBUAGkAdABsAGUAXABuACAAIAA9AEwAQQBNAEIARABBACgAXAAiAEYAcgBhAGMAdABpAG8AbgAgAG8AZgAgAE4AIAB0AGgAYQB0ACAAaQBzACAAYQB2AGEAaQBsAGEAYgBsAGUAIABmAG8AcgAgAGwAZQBhAGMAaABpAG4AZwAgAGEAbgBkACAAcgB1AG4AbwBmAGYAXAAiACkAOwBcAG4AXABuAEMAbwBtAG0AbwBuAF8AUwBvAHUAcgBjAGUARABhAHQAYQBfAEYAcgBhAGMATABFAEEAQwBIAF8AVQBuAGkAdABcAG4AIAAgAD0ATABBAE0AQgBEAEEAKABcACIAKABEAGkAbQBlAG4AcwBpAG8AbgBsAGUAcwBzAFwAIgApADsAXABuAFwAbgBDAG8AbQBtAG8AbgBfAFMAbwB1AHIAYwBlAEQAYQB0AGEAXwBGAHIAYQBjAEwARQBBAEMASABfAFMAbwB1AHIAYwBlAFwAbgAgACAAPQBMAEEATQBCAEQAQQAoAFwAIgBWAEUARQBSAEcAIAAyADAAMgA2ADoANQAuADUALgAyAC4AMwAgAEMAbwBuAHMAdABhAG4AdAAgAFAAYQByAGEAbQBlAHQAZQByAHMAXAAiACkAOwBcAG4AXABuAEMAbwBtAG0AbwBuAF8AUwBvAHUAcgBjAGUARABhAHQAYQBfAEYAcgBhAGMATABFAEEAQwBIAF8ATgBJAFIAUgBlAGYAZQByAGUAbgBjAGUAXABuACAAIAA9AEwAQQBNAEIARABBACgAXAAiAE4AYQB0AGkAbwBuAGEAbAAgAEkAbgB2AGUAbgB0AG8AcgB5ACAAUgBlAHAAbwByAHQAIABWAG8AbAB1AG0AZQAgADEAOgAgAEwAZQBhAGMAaABpAG4AZwAgAGEAbgBkACAAcgB1AG4AbwBmAGYAIAAoADMALgBEAC4AYgAuADIAKQBcACIAKQA7AFwAbgBcAG4AQwBvAG0AbQBvAG4AXwBTAG8AdQByAGMAZQBEAGEAdABhAF8ARgByAGEAYwBMAEUAQQBDAEgAXwBEAGEAdABhAFwAbgAgACAAPQBMAEEATQBCAEQAQQAoAFwAbgAgACAAIAAgAE0AQQBLAEUAQQBSAFIAQQBZACgAMQAsACAAMgAsACAAXABuACAAIAAgACAAIAAgAEwAQQBNAEIARABBACgAcgAsAGMALAAgAFwAbgAgACAAIAAgACAAIAAgACAASQBOAEQARQBYACgAewBcAG4AIAAgACAAIAAgACAAIAAgACAAIABcACIARgByAGEAYwBMAEUAQQBDAEgAXAAiACwAMAAuADIANABcAG4AIAAgACAAIAAgACAAIAAgAH0ALAAgAHIALAAgAGMAKQBcAG4AIAAgACAAIAAgACAAKQBcAG4AIAAgACAAIAApAFwAbgAgACAAKQA7AFwAbgBcAG4AIAAgAEMAbwBtAG0AbwBuAF8AUwBvAHUAcgBjAGUARABhAHQAYQBfAEYAcgBhAGMATABFAEEAQwBIAF8AVgBhAHIAaQBhAHQAaQBvAG4AXABuACAAIAA9AEwAQQBNAEIARABBACgAKABcACIAXAAiACkAKQA7AFwAbgBcAG4AXABuAFwAbgAvACoAIABcAG4ALQAtAC0ALQAtAC0ALQAtAC0ALQAtAC0ALQAtAC0ALQAtAC0ALQAtAC0ALQAtAC0ALQAtAC0ALQAtAC0ALQAtAC0ALQAtAC0ALQAtAFwAbgBDAG8AbQBtAG8AbgBfAFMAbwB1AHIAYwBlAEQAYQB0AGEAXwBFAEYAbABlAGEAYwBoAFwAbgA1AC4ANQAuADIALgAzACAAQwBvAG4AcwB0AGEAbgB0ACAAUABhAHIAYQBtAGUAdABlAHIAcwBcAG4ARQBtAGkAcwBzAGkAbwBuACAAZgBhAGMAdABvAHIAIABmAG8AcgAgAG4AaQB0AHIAbwBnAGUAbgAgAGwAZQBhAGMAaABpAG4AZwAgAGEAbgBkACAAcgB1AG4AbwBmAGYAXABuAC0ALQAtAC0ALQAtAC0ALQAtAC0ALQAtAC0ALQAtAC0ALQAtAC0ALQAtAC0ALQAtAC0ALQAtAC0ALQAtAC0ALQAtAC0ALQAtAC0ALQBcAG4AKgAvAFwAbgBcAG4AQwBvAG0AbQBvAG4AXwBTAG8AdQByAGMAZQBEAGEAdABhAF8ARQBGAGwAZQBhAGMAaABfAFQAaQB0AGwAZQBcAG4AIAAgAD0ATABBAE0AQgBEAEEAKABcACIARQBtAGkAcwBzAGkAbwBuACAAZgBhAGMAdABvAHIAIABmAG8AcgAgAG4AaQB0AHIAbwBnAGUAbgAgAGwAZQBhAGMAaABpAG4AZwAgAGEAbgBkACAAcgB1AG4AbwBmAGYAXAAiACkAOwBcAG4AXABuAEMAbwBtAG0AbwBuAF8AUwBvAHUAcgBjAGUARABhAHQAYQBfAEUARgBsAGUAYQBjAGgAXwBVAG4AaQB0AFwAbgAgACAAPQBMAEEATQBCAEQAQQAoAFwAIgAoAGsAZwAgAE4AMgBPAC0ATgAgAC8AIABrAGcAIABOAFwAIgApADsAXABuAFwAbgBDAG8AbQBtAG8AbgBfAFMAbwB1AHIAYwBlAEQAYQB0AGEAXwBFAEYAbABlAGEAYwBoAF8AUwBvAHUAcgBjAGUAXABuACAAIAA9AEwAQQBNAEIARABBACgAXAAiAFYARQBFAFIARwAgADIAMAAyADYAOgA1AC4ANQAuADIALgAzACAAQwBvAG4AcwB0AGEAbgB0ACAAUABhAHIAYQBtAGUAdABlAHIAcwBcACIAKQA7AFwAbgBcAG4AQwBvAG0AbQBvAG4AXwBTAG8AdQByAGMAZQBEAGEAdABhAF8ARQBGAGwAZQBhAGMAaABfAE4ASQBSAFIAZQBmAGUAcgBlAG4AYwBlAFwAbgAgACAAPQBMAEEATQBCAEQAQQAoAFwAIgBOAGEAdABpAG8AbgBhAGwAIABJAG4AdgBlAG4AdABvAHIAeQAgAFIAZQBwAG8AcgB0ACAAVgBvAGwAdQBtAGUAIAAxADoAIABFAHEAdQBhAHQAaQBvAG4AIAAzAC4ARAAuAEIAXwAxADAAXAAiACkAOwBcAG4AXABuAEMAbwBtAG0AbwBuAF8AUwBvAHUAcgBjAGUARABhAHQAYQBfAEUARgBsAGUAYQBjAGgAXwBEAGEAdABhAFwAbgAgACAAPQBMAEEATQBCAEQAQQAoAFwAbgAgACAAIAAgAE0AQQBLAEUAQQBSAFIAQQBZACgAMQAsACAAMgAsACAAXABuACAAIAAgACAAIAAgAEwAQQBNAEIARABBACgAcgAsAGMALAAgAFwAbgAgACAAIAAgACAAIAAgACAASQBOAEQARQBYACgAewBcAG4AIAAgACAAIAAgACAAIAAgACAAIABcACIARQBGAGwAZQBhAGMAaABcACIALAAwAC4AMAAxADEAXABuACAAIAAgACAAIAAgACAAIAB9ACwAIAByACwAIABjACkAXABuACAAIAAgACAAIAAgACkAXABuACAAIAAgACAAKQBcAG4AIAAgACkAOwBcAG4AXABuACAAIABDAG8AbQBtAG8AbgBfAFMAbwB1AHIAYwBlAEQAYQB0AGEAXwBFAEYAbABlAGEAYwBoAF8AVgBhAHIAaQBhAHQAaQBvAG4AXABuACAAIAA9AEwAQQBNAEIARABBACgAKABcACIAXAAiACkAKQA7AFwAbgBcAG4AXABuAC8AKgAgAFwAbgAtAC0ALQAtAC0ALQAtAC0ALQAtAC0ALQAtAC0ALQAtAC0ALQAtAC0ALQAtAC0ALQAtAC0ALQAtAC0ALQAtAC0ALQAtAC0ALQAtAC0AXABuAEMAbwBtAG0AbwBuAF8AUwBvAHUAcgBjAGUARABhAHQAYQBfAEUARgBOADIATwBcAG4AVABhAGIAbABlACAAQQAuADIALgAyAC4AMQBcAG4ATgBpAHQAcgBvAHUAcwAgAG8AeABpAGQAZQAgAGUAbQBpAHMAcwBpAG8AbgAgAGYAYQBjAHQAbwByAHMAIABmAG8AcgAgAGkAbgBvAHIAZwBhAG4AaQBjACAAZgBlAHIAdABpAGwAaQBzAGUAcgAgAGEAcABwAGwAaQBjAGEAdABpAG8AbgAgACgAawBnACAATgAyAE8ALQBOAC8AawBnACAATgApACAAKABFAEYATgAyAE8AKQBcAG4ALQAtAC0ALQAtAC0ALQAtAC0ALQAtAC0ALQAtAC0ALQAtAC0ALQAtAC0ALQAtAC0ALQAtAC0ALQAtAC0ALQAtAC0ALQAtAC0ALQAtAFwAbgAqAC8AXABuAFwAbgBDAG8AbQBtAG8AbgBfAFMAbwB1AHIAYwBlAEQAYQB0AGEAXwBFAEYATgAyAE8AXwBUAGkAdABsAGUAXABuACAAIAA9AEwAQQBNAEIARABBACgAXAAiAE4AaQB0AHIAbwB1AHMAIABvAHgAaQBkAGUAIABlAG0AaQBzAHMAaQBvAG4AIABmAGEAYwB0AG8AcgBzACAAZgBvAHIAIABpAG4AbwByAGcAYQBuAGkAYwAgAGYAZQByAHQAaQBsAGkAcwBlAHIAIABhAHAAcABsAGkAYwBhAHQAaQBvAG4AXAAiACkAOwBcAG4AXABuAEMAbwBtAG0AbwBuAF8AUwBvAHUAcgBjAGUARABhAHQAYQBfAEUARgBOADIATwBfAFUAbgBpAHQAXABuACAAIAA9AEwAQQBNAEIARABBACgAXAAiACgAawBnACAATgAyAE8ALQBOACAALwAgAGsAZwAgAE4AXAAiACkAOwBcAG4AXABuAEMAbwBtAG0AbwBuAF8AUwBvAHUAcgBjAGUARABhAHQAYQBfAEUARgBOADIATwBfAFMAbwB1AHIAYwBlAFwAbgAgACAAPQBMAEEATQBCAEQAQQAoAFwAIgBWAEUARQBSAEcAIAAyADAAMgA2ADoAIABUAGEAYgBsAGUAIABBAC4AMgAuADIALgAxAFwAIgApADsAXABuAFwAbgBDAG8AbQBtAG8AbgBfAFMAbwB1AHIAYwBlAEQAYQB0AGEAXwBFAEYATgAyAE8AXwBOAEkAUgBSAGUAZgBlAHIAZQBuAGMAZQBcAG4AIAAgAD0ATABBAE0AQgBEAEEAKABcACIAXAAiACkAOwBcAG4AXABuAEMAbwBtAG0AbwBuAF8AUwBvAHUAcgBjAGUARABhAHQAYQBfAEUARgBOADIATwBfAEQAYQB0AGEAXABuACAAIAA9AEwAQQBNAEIARABBACgAXABuACAAIAAgACAATQBBAEsARQBBAFIAUgBBAFkAKAAxADQALAAgADUALAAgAFwAbgAgACAAIAAgACAAIABMAEEATQBCAEQAQQAoAHIALABjACwAIABcAG4AIAAgACAAIAAgACAAIAAgAEkATgBEAEUAWAAoAHsAXABuACAAIAAgACAAIAAgACAAIAAgACAAXAAiAFAAcgBvAGQAdQBjAHQAaQBvAG4AIABzAHkAcwB0AGUAbQAgAGoAXAAiACwAXAAiAEUARgBOADIATwBcACIALAAgAFwAIgBQAHIAbwBkAHUAYwB0AGkAbwBuACAAcwB5AHMAdABlAG0AIABvAG4AbAB5AFwAIgAsACAAXAAiAEkAcgByAGkAZwBhAHQAaQBvAG4AIABtAGUAdABoAG8AZABcACIALAAgAFwAIgBSAGEAaQBuAGYAYQBsAGwAIAB6AG8AbgBlAFwAIgA7AFwAbgAgACAAIAAgACAAIAAgACAAIAAgAFwAIgBJAHIAcgBpAGcAYQB0AGUAZAAgAHAAYQBzAHQAdQByAGUAXAAiACwAMAAuADAAMAA1ADkALAAgAFwAIgBQAGEAcwB0AHUAcgBlAFwAIgAsACAAXAAiAEEAbgB5AFwAIgAsACAAXAAiAEEAbgB5AFwAIgA7AFwAbgAgACAAIAAgACAAIAAgACAAIAAgAFwAIgBJAHIAcgBpAGcAYQB0AGUAZAAgAGMAcgBvAHAAXAAiACwAMAAuADAAMAA3ACwAIABcACIAQwByAG8AcABcACIALAAgAFwAIgBBAG4AeQBcACIALAAgAFwAIgBBAG4AeQBcACIAOwBcAG4AIAAgACAAIAAgACAAIAAgACAAIABcACIATgBvAG4ALQBpAHIAcgBpAGcAYQB0AGUAZAAgAHAAYQBzAHQAdQByAGUAXAAiACwAMAAuADAAMAAxADgALAAgAFwAIgBQAGEAcwB0AHUAcgBlAFwAIgAsACAAXAAiAE4AbwB0ACAAaQByAHIAaQBnAGEAdABlAGQAXAAiACwAIABcACIATABvAHcAIAByAGEAaQBuAGYAYQBsAGwAXAAiADsAXABuACAAIAAgACAAIAAgACAAIAAgACAAXAAiAE4AbwBuAC0AaQByAHIAaQBnAGEAdABlAGQAIABwAGEAcwB0AHUAcgBlAFwAIgAsADAALgAwADAAMQA4ACwAIABcACIAUABhAHMAdAB1AHIAZQBcACIALAAgAFwAIgBOAG8AdAAgAGkAcgByAGkAZwBhAHQAZQBkAFwAIgAsACAAXAAiAEgAaQBnAGgAIAByAGEAaQBuAGYAYQBsAGwAXAAiADsAXABuACAAIAAgACAAIAAgACAAIAAgACAAXAAiAE4AbwBuAC0AaQByAHIAaQBnAGEAdABlAGQAIABjAHIAbwBwACAAKABsAG8AdwAgAHIAYQBpAG4AZgBhAGwAbAApAFwAIgAsADAALgAwADAAMgA5ACwAIABcACIAQwByAG8AcABcACIALAAgAFwAIgBOAG8AdAAgAGkAcgByAGkAZwBhAHQAZQBkAFwAIgAsACAAXAAiAEwAbwB3ACAAcgBhAGkAbgBmAGEAbABsAFwAIgA7AFwAbgAgACAAIAAgACAAIAAgACAAIAAgAFwAIgBOAG8AbgAtAGkAcgByAGkAZwBhAHQAZQBkACAAYwByAG8AcAAgACgAaABpAGcAaAAgAHIAYQBpAG4AZgBhAGwAbAApAFwAIgAsADAALgAwADAAOAAsACAAXAAiAEMAcgBvAHAAXAAiACwAIABcACIATgBvAHQAIABpAHIAcgBpAGcAYQB0AGUAZABcACIALAAgAFwAIgBIAGkAZwBoACAAcgBhAGkAbgBmAGEAbABsAFwAIgA7AFwAbgAgACAAIAAgACAAIAAgACAAIAAgAFwAIgBTAHUAZwBhAHIAXAAiACwAMAAuADAAMQA5ADkALAAgAFwAIgBTAHUAZwBhAHIAXAAiACwAIABcACIAQQBuAHkAXAAiACwAIABcACIAQQBuAHkAXAAiADsAXABuACAAIAAgACAAIAAgACAAIAAgACAAXAAiAEMAbwB0AHQAbwBuAFwAIgAsADAALgAwADAANQAzACwAIABcACIAQwBvAHQAdABvAG4AXAAiACwAIABcACIAQQBuAHkAXAAiACwAIABcACIAQQBuAHkAXAAiADsAXABuACAAIAAgACAAIAAgACAAIAAgACAAXAAiAEgAbwByAHQAaQBjAHUAbAB0AHUAcgBhAGwAIABjAHIAbwBwAHMAXAAiACwAMAAuADAAMAA2ADQALAAgAFwAIgBIAG8AcgB0AGkAYwB1AGwAdAB1AHIAYQBsACAAYwByAG8AcABzAFwAIgAsACAAXAAiAEEAbgB5AFwAIgAsACAAXAAiAEEAbgB5AFwAIgA7AFwAbgAgACAAIAAgACAAIAAgACAAIAAgAFwAIgBSAGkAYwBlACAAKABjAG8AbgB0AGkAbgB1AG8AdQBzACAAZgBsAG8AbwBkAGkAbgBnACkAXAAiACwAMAAuADAAMAAzACwAIABcACIAUgBpAGMAZQBcACIALAAgAFwAIgBDAG8AbgB0AGkAbgB1AG8AdQBzACAAZgBsAG8AbwBkAGkAbgBnAFwAIgAsACAAXAAiAEEAbgB5AFwAIgA7AFwAbgAgACAAIAAgACAAIAAgACAAIAAgAFwAIgBSAGkAYwBlACAAKABzAGkAbgBnAGwAZQAgAGEAbgBkACAAbQB1AGwAdABpAHAAbABlACAAZAByAGEAaQBuAGEAZwBlACwAIABvAHIAIABhAGwAdABlAHIAbgBhAHQAZQAgAHcAZQB0AHQAaQBuAGcAIABhAG4AZAAgAGQAcgB5AGkAbgBnACkAXAAiACwAMAAuADAAMAA1ACwAIABcACIAUgBpAGMAZQBcACIALAAgAFwAIgBTAGkAbgBnAGwAZQAgAGEAbgBkACAAbQB1AGwAdABpAHAAbABlACAAZAByAGEAaQBuAGEAZwBlACwAIABvAHIAIABhAGwAdABlAHIAbgBhAHQAZQAgAHcAZQB0AHQAaQBuAGcAIABhAG4AZAAgAGQAcgB5AGkAbgBnAFwAIgAsACAAXAAiAEEAbgB5AFwAIgA7AFwAbgAgACAAIAAgACAAIAAgACAAIAAgAFwAIgBBAHEAdQBhAGMAdQBsAHQAdQByAGUAXAAiACwAMAAuADAAMAAyADYALAAgAFwAIgBBAHEAdQBhAGMAdQBsAHQAdQByAGUAXAAiACwAIABcACIAQQBuAHkAXAAiACwAIABcACIAQQBuAHkAXAAiADsAXABuACAAIAAgACAAIAAgACAAIAAgACAAXAAiAEYAbwByAGUAcwB0AHIAeQBcACIALAAwAC4AMAAwADEAOAAsACAAXAAiAEYAbwByAGUAcwB0AHIAeQBcACIALAAgAFwAIgBBAG4AeQBcACIALAAgAFwAIgBBAG4AeQBcACIAXABuACAAIAAgACAAIAAgACAAIAB9ACwAIAByACwAIABjACkAXABuACAAIAAgACAAIAAgACkAXABuACAAIAAgACAAKQBcAG4AIAAgACkAOwBcAG4AXABuACAAIABDAG8AbQBtAG8AbgBfAFMAbwB1AHIAYwBlAEQAYQB0AGEAXwBFAEYATgAyAE8AXwBWAGEAcgBpAGEAdABpAG8AbgBcAG4AIAAgAD0ATABBAE0AQgBEAEEAKABcAG4AIAAgACAAIABNAEEASwBFAEEAUgBSAEEAWQAoADUALAAgADEALAAgAFwAbgAgACAAIAAgACAAIABMAEEATQBCAEQAQQAoAHIALABjACwAIABcAG4AIAAgACAAIAAgACAAIAAgAEkATgBEAEUAWAAoAHsAXABuACAAIAAgACAAIAAgACAAIAAgACAAXAAiAFYAQQBSAEkAQQBUAEkATwBOACAATwBGACAAUwBPAFUAUgBDAEUAIABEAEEAVABBADoAXAAiADsAXABuACAAIAAgACAAIAAgACAAIAAgACAAXAAiAFIAZQBtAG8AdgBlAGQAIABkAHUAcABsAGkAYwBhAHQAZQAgAFwAdQAwADAAMgA3AEEAcQB1AGEAYwB1AGwAdAB1AHIAZQBcAHUAMAAwADIANwAgAHIAbwB3AC4AXAAiADsAXABuACAAIAAgACAAIAAgACAAIAAgACAAXAAiAFIAZQBtAG8AdgBlAGQAIABhAHMAdABlAHIAaQBzAGsAcwAgAHQAbwAgAGEAaQBkACAAbABvAG8AawB1AHAALgBcACIAOwBcAG4AIAAgACAAIAAgACAAIAAgACAAIABcACIAQQBkAGQAZQBkACAAXAB1ADAAMAAyADcAcAByAG8AZAB1AGMAdABpAG8AbgAgAHMAeQBzAHQAZQBtACAAbwBuAGwAeQBcAHUAMAAwADIANwAsACAAXAB1ADAAMAAyADcAcgBhAGkAbgBmAGEAbABsACAAegBvAG4AZQBcAHUAMAAwADIANwAgAGEAbgBkACAAXAB1ADAAMAAyADcAaQByAHIAaQBnAGEAdABpAG8AbgAgAG0AZQB0AGgAbwBkAFwAdQAwADAAMgA3ACAAYwBvAGwAdQBtAG4AcwAgAHQAbwAgAGEAaQBkACAAbABvAG8AawB1AHAALgBcACIAOwBcAG4AIAAgACAAIAAgACAAIAAgACAAIABcACIARAB1AHAAbABpAGMAYQB0AGUAZAAgAFwAdQAwADAAMgA3AG4AbwBuAC0AaQByAHIAaQBnAGEAdABlAGQAIABwAGEAcwB0AHUAcgBlAFwAdQAwADAAMgA3ACAAcgBvAHcAIAB3AGkAdABoACAAcwBhAG0AZQAgAEUARgAgAGYAbwByACAAbABvAHcAIABhAG4AZAAgAGgAaQBnAGgAIAByAGEAaQBuAGYAYQBsAGwAIAB6AG8AbgBlAHMAIAB0AG8AIABhAGkAZAAgAGwAbwBvAGsAdQBwAC4AXAAi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GAHIAYQBjAFcARQBUAEkAcgByAGkAZwBhAHQAaQBvAG4AXABuAFYARQBFAFIARwAgADIAMAAyADYAOgAgAEMAaABhAHAAdABlAHIAIAAxACwAIABzAGUAYwB0AGkAbwBuACAAMQAuADgALgAyACAATABlAGEAYwBoAGkAbgBnACwAIABjAGwAaQBtAGEAdABlACAAYQBuAGQAIAByAGEAaQBuAGYAYQBsAGwAIAB6AG8AbgBlAHMAXABuAEkAUABDAEMAOgAgAE4AMgBPACAARQBNAEkAUwBTAEkATwBOAFMAIABGAFIATwBNACAATQBBAE4AQQBHAEUARAAgAFMATwBJAEwAUwAsACAAQQBOAEQAIABDAE8AMgAgAEUATQBJAFMAUwBJAE8ATgBTACAARgBSAE8ATQAgAEwASQBNAEUAIABBAE4ARAAgAFUAUgBFAEEAIABBAFAAUABMAEkAQwBBAFQASQBPAE4AXABuAC0ALQAtAC0ALQAtAC0ALQAtAC0ALQAtAC0ALQAtAC0ALQAtAC0ALQAtAC0ALQAtAC0ALQAtAC0ALQAtAC0ALQAtAC0ALQAtAC0ALQBcAG4AKgAvAFwAbgBcAG4AQwBvAG0AbQBvAG4AXwBTAG8AdQByAGMAZQBEAGEAdABhAF8ARgByAGEAYwBXAEUAVABJAHIAcgBpAGcAYQB0AGkAbwBuAF8AVABpAHQAbABlAFwAbgAgACAAPQBMAEEATQBCAEQAQQAoAFwAIgBGAHIAYQBjAFcARQBUACAAZgBvAHIAIABpAHIAcgBpAGcAYQB0AGkAbwBuACAAdAB5AHAAZQBzAFwAIgApADsAXABuAFwAbgBDAG8AbQBtAG8AbgBfAFMAbwB1AHIAYwBlAEQAYQB0AGEAXwBGAHIAYQBjAFcARQBUAEkAcgByAGkAZwBhAHQAaQBvAG4AXwBVAG4AaQB0AFwAbgAgACAAPQBMAEEATQBCAEQAQQAoAFwAIgBkAGkAbQBlAG4AcwBpAG8AbgBsAGUAcwBzAFwAIgApADsAXABuAFwAbgBDAG8AbQBtAG8AbgBfAFMAbwB1AHIAYwBlAEQAYQB0AGEAXwBGAHIAYQBjAFcARQBUAEkAcgByAGkAZwBhAHQAaQBvAG4AXwBTAG8AdQByAGMAZQBcAG4AIAAgAD0ATABBAE0AQgBEAEEAKABcACIAVgBFAEUAUgBHACAAMgAwADIANgA6ACAAQwBoAGEAcAB0AGUAcgAgADEALAAgAHMAZQBjAHQAaQBvAG4AIAAxAC4AOAAuADIAIABMAGUAYQBjAGgAaQBuAGcALAAgAGMAbABpAG0AYQB0AGUAIABhAG4AZAAgAHIAYQBpAG4AZgBhAGwAbAAgAHoAbwBuAGUAcwBcACIAKQA7AFwAbgBcAG4AQwBvAG0AbQBvAG4AXwBTAG8AdQByAGMAZQBEAGEAdABhAF8ARgByAGEAYwBXAEUAVABJAHIAcgBpAGcAYQB0AGkAbwBuAF8ATgBJAFIAUgBlAGYAZQByAGUAbgBjAGUAXABuACAAIAA9AEwAQQBNAEIARABBACgAXAAiAEkAUABDAEMAIAAyADAAMQA5ACAAUgBlAGYAaQBuAGUAbQBlAG4AdAAgAFYAbwBsAHUAbQBlACAANAA6ACAAQwBoAGEAcAB0AGUAcgAgADEAMQA6ACAATgAyAE8AIABFAG0AaQBzAHMAaQBvAG4AcwAgAGYAcgBvAG0AIABNAGEAbgBhAGcAZQBkACAAUwBvAGkAbABzACwAIABhAG4AZAAgAEMATwAyACAARQBtAGkAcwBzAGkAbwBuAHMAIABmAHIAbwBtACAATABpAG0AZQAgAGEAbgBkACAAVQByAGUAYQAgAEEAcABwAGwAaQBjAGEAdABpAG8AbgBcACIAKQA7AFwAbgBcAG4AQwBvAG0AbQBvAG4AXwBTAG8AdQByAGMAZQBEAGEAdABhAF8ARgByAGEAYwBXAEUAVABJAHIAcgBpAGcAYQB0AGkAbwBuAF8ARABhAHQAYQBcAG4AIAAgAD0ATABBAE0AQgBEAEEAKABcAG4AIAAgACAAIABNAEEASwBFAEEAUgBSAEEAWQAoADYALAAgADIALAAgAFwAbgAgACAAIAAgACAAIABMAEEATQBCAEQAQQAoAHIALABjACwAIABcAG4AIAAgACAAIAAgACAAIAAgAEkATgBEAEUAWAAoAHsAXABuACAAIAAgACAAIAAgACAAIAAgACAAXAAiAEkAcgByAGkAZwBhAHQAaQBvAG4AIAB0AHkAcABlACAAaQByAFwAIgAsAFwAIgBGAHIAYQBjAFcARQBUAFwAIgA7AFwAbgAgACAAIAAgACAAIAAgACAAIAAgAFwAIgBOAG8AdAAgAGkAcgByAGkAZwBhAHQAZQBkAFwAIgAsACAAMAA7AFwAbgAgACAAIAAgACAAIAAgACAAIAAgAFwAIgBEAHIAaQBwACAAaQByAHIAaQBnAGEAdABpAG8AbgBcACIALAAgADAAOwBcAG4AIAAgACAAIAAgACAAIAAgACAAIABcACIAUwBwAHIAaQBuAGsAbABlAHIAIABpAHIAcgBpAGcAYQB0AGkAbwBuAFwAIgAsACAAMQA7AFwAbgAgACAAIAAgACAAIAAgACAAIAAgAFwAIgBTAHUAcgBmAGEAYwBlACAAaQByAHIAaQBnAGEAdABpAG8AbgBcACIALAAgADEAOwBcAG4AIAAgACAAIAAgACAAIAAgACAAIABcACIATwB0AGgAZQByACAAaQByAHIAaQBnAGEAdABpAG8AbgBcACIALAAgADEAXABuACAAIAAgACAAIAAgACAAIAB9ACwAIAByACwAIABjACkAXABuACAAIAAgACAAIAAgACkAXABuACAAIAAgACAAKQBcAG4AIAAgACkAOwBcAG4AXABuACAAIABDAG8AbQBtAG8AbgBfAFMAbwB1AHIAYwBlAEQAYQB0AGEAXwBGAHIAYQBjAFcARQBUAEkAcgByAGkAZwBhAHQAaQBvAG4AXwBWAGEAcgBpAGEAdABpAG8AbgBcAG4AIAAgAD0ATABBAE0AQgBEAEEAKABcACIAVgBBAFIASQBBAFQASQBPAE4AIABGAFIATwBNACAAUwBPAFUAUgBDAEUAIABEAEEAVABBADoAIABUAGEAYgBsAGUAIABjAHIAZQBhAHQAZQBkACAAYgBhAHMAZQBkACAAbwBuACAAVgBFAEUAUgBHACAAdABlAHgAdAAgAFwAdQAwADAAMgA3AEEAcgBlAGEAcwAgAGEAcgBlACAAcwB1AGIAagBlAGMAdAAgAHQAbwAgAGwAZQBhAGMAaABpAG4AZwAgACgAaQAuAGUALgAsACAAaQBuACAAdABoAGUAIABsAGUAYQBjAGgAaQBuAGcAIAB6AG8AbgBlACkAIAB3AGgAZQBuAC4ALgAuACAAdABoAGUAIABsAGEAbgBkACAAaQBzACAAaQByAHIAaQBnAGEAdABlAGQAIAAoAGUAeABjAGUAcAB0ACAAZAByAGkAcAAgAGkAcgByAGkAZwBhAHQAaQBvAG4AKQAuAFwAdQAwADAAMgA3AFwAIgApADsAXABuAFwAbgBcAG4ALwAqACAAXABuAC0ALQAtAC0ALQAtAC0ALQAtAC0ALQAtAC0ALQAtAC0ALQAtAC0ALQAtAC0ALQAtAC0ALQAtAC0ALQAtAC0ALQAtAC0ALQAtAC0ALQBcAG4AQwBvAG0AbQBvAG4AXwBTAG8AdQByAGMAZQBEAGEAdABhAF8ARQBGAFAAYQBzAHQAdQByAGUAUgBhAG4AZwBlAEEAbgBkAFAAYQBkAGQAbwBjAGsAXABuAFQAYQBiAGwAZQAgAEEALgAyAC4AMgAuADIAOgAgAEUAbQBpAHMAcwBpAG8AbgAgAGYAYQBjAHQAbwByACAAZgBvAHIAIAB1AHIAaQBuAGUAIABhAG4AZAAgAGQAdQBuAGcAIABkAGUAcABvAHMAaQB0AGUAZAAgAG8AbgAgAHAAYQBzAHQAdQByAGUALAAgAHIAYQBuAGcAZQAgAG8AcgAgAHAAYQBkAGQAbwBjAGsAIAAoAGsAZwAgAE4AMgBPAC0ATgAvAGsAZwAgAE4AKQAgACgARQBGAFAAUgBQACkAXABuAC0ALQAtAC0ALQAtAC0ALQAtAC0ALQAtAC0ALQAtAC0ALQAtAC0ALQAtAC0ALQAtAC0ALQAtAC0ALQAtAC0ALQAtAC0ALQAtAC0ALQBcAG4AKgAvAFwAbgBcAG4AQwBvAG0AbQBvAG4AXwBTAG8AdQByAGMAZQBEAGEAdABhAF8ARQBGAFAAYQBzAHQAdQByAGUAUgBhAG4AZwBlAEEAbgBkAFAAYQBkAGQAbwBjAGsAXwBUAGkAdABsAGUAXABuACAAIAA9AEwAQQBNAEIARABBACgAXAAiAEUAbQBpAHMAcwBpAG8AbgAgAGYAYQBjAHQAbwByACAAZgBvAHIAIAB1AHIAaQBuAGUAIABhAG4AZAAgAGQAdQBuAGcAIABkAGUAcABvAHMAaQB0AGUAZAAgAG8AbgAgAHAAYQBzAHQAdQByAGUALAAgAHIAYQBuAGcAZQAgAG8AcgAgAHAAYQBkAGQAbwBjAGsAXAAiACkAOwBcAG4AXABuAEMAbwBtAG0AbwBuAF8AUwBvAHUAcgBjAGUARABhAHQAYQBfAEUARgBQAGEAcwB0AHUAcgBlAFIAYQBuAGcAZQBBAG4AZABQAGEAZABkAG8AYwBrAF8AVQBuAGkAdABcAG4AIAAgAD0ATABBAE0AQgBEAEEAKABcACIAawBnACAATgAyAE8AIAAtACAATgAgAC8AIABrAGcAIABOAFwAIgApADsAXABuAFwAbgBDAG8AbQBtAG8AbgBfAFMAbwB1AHIAYwBlAEQAYQB0AGEAXwBFAEYAUABhAHMAdAB1AHIAZQBSAGEAbgBnAGUAQQBuAGQAUABhAGQAZABvAGMAawBfAFMAbwB1AHIAYwBlAFwAbgAgACAAPQBMAEEATQBCAEQAQQAoAFwAIgBWAEUARQBSAEcAIAAyADAAMgA2ADoAIABUAGEAYgBsAGUAIABBAC4AMgAuADIALgAyAFwAIgApADsAXABuAFwAbgBDAG8AbQBtAG8AbgBfAFMAbwB1AHIAYwBlAEQAYQB0AGEAXwBFAEYAUABhAHMAdAB1AHIAZQBSAGEAbgBnAGUAQQBuAGQAUABhAGQAZABvAGMAawBfAE4ASQBSAFIAZQBmAGUAcgBlAG4AYwBlAFwAbgAgACAAPQBMAEEATQBCAEQAQQAoAFwAIgBcACIAKQA7AFwAbgBcAG4AQwBvAG0AbQBvAG4AXwBTAG8AdQByAGMAZQBEAGEAdABhAF8ARQBGAFAAYQBzAHQAdQByAGUAUgBhAG4AZwBlAEEAbgBkAFAAYQBkAGQAbwBjAGsAXwBEAGEAdABhAFwAbgAgACAAPQBMAEEATQBCAEQAQQAoAFwAbgAgACAAIAAgAE0AQQBLAEUAQQBSAFIAQQBZACgAMwAsACAAMgAsACAAXABuACAAIAAgACAAIAAgAEwAQQBNAEIARABBACgAcgAsAGMALAAgAFwAbgAgACAAIAAgACAAIAAgACAASQBOAEQARQBYACgAewBcAG4AIAAgACAAIAAgACAAIAAgACAAIABcACIAQwBsAGkAbQBhAHQAZQAgAHoAbwBuAGUAXAAiACwAIABcACIARQBGAFAAUgBQAFwAIgA7AFwAbgAgACAAIAAgACAAIAAgACAAIAAgAFwAIgBXAGUAdAAgAGMAbABpAG0AYQB0AGUAIAB6AG8AbgBlAFwAIgAsACAAMAAuADAAMAA2ADsAXABuACAAIAAgACAAIAAgACAAIAAgACAAXAAiAEQAcgB5ACAAYwBsAGkAbQBhAHQAZQAgAHoAbwBuAGUAXAAiACwAIAAwAC4AMAAwADIAXABuACAAIAAgACAAIAAgACAAIAB9ACwAIAByACwAIABjACkAXABuACAAIAAgACAAIAAgACkAXABuACAAIAAgACAAKQBcAG4AIAAgACkAOwBcAG4AXABuACAAIABDAG8AbQBtAG8AbgBfAFMAbwB1AHIAYwBlAEQAYQB0AGEAXwBFAEYAUABhAHMAdAB1AHIAZQBSAGEAbgBnAGUAQQBuAGQAUABhAGQAZABvAGMAawBfAFYAYQByAGkAYQB0AGkAbwBuAFwAbgAgACAAPQBMAEEATQBCAEQAQQAoAFwAIgBWAEEAUgBJAEEAVABJAE8ATgAgAEYAUgBPAE0AIABTAE8AVQBSAEMARQAgAEQAQQBUAEEAOgAgAEMAaABhAG4AZwBlAGQAIABcAHUAMAAwADIANwBEAHIAeQAgAGMAbABpAG0AYQB0AGUAIAB6AG8AbgBlAHMAXAB1ADAAMAAyADcAIAB0AG8AIABzAGkAbgBnAHUAbABhAHIAIABcAHUAMAAwADIANwBEAHIAeQAgAGMAbABpAG0AYQB0AGUAIAB6AG8AbgBlAFwAdQAwADAAMgA3ACAAdABvACAAYQBpAGQAIABsAG8AbwBrAHUAcAAuAFwAIgApADsAXABuAFwAbgBcAG4ALwAqACAAXABuAC0ALQAtAC0ALQAtAC0ALQAtAC0ALQAtAC0ALQAtAC0ALQAtAC0ALQAtAC0ALQAtAC0ALQAtAC0ALQAtAC0ALQAtAC0ALQAtAC0ALQBcAG4AQwBvAG0AbQBvAG4AXwBTAG8AdQByAGMAZQBEAGEAdABhAF8ATQBvAG4AdABoAHMAVABvAFMAZQBhAHMAbwBuAHMAXABuAC0ALQAtAC0ALQAtAC0ALQAtAC0ALQAtAC0ALQAtAC0ALQAtAC0ALQAtAC0ALQAtAC0ALQAtAC0ALQAtAC0ALQAtAC0ALQAtAC0ALQBcAG4AKgAvAFwAbgBcAG4AQwBvAG0AbQBvAG4AXwBTAG8AdQByAGMAZQBEAGEAdABhAF8ATQBvAG4AdABoAHMAVABvAFMAZQBhAHMAbwBuAHMAXwBUAGkAdABsAGUAXABuACAAIAA9AEwAQQBNAEIARABBACgAXAAiAE0AbwBuAHQAaABzACAAdABvACAAUwBlAGEAcwBvAG4AcwAgAE0AYQBwAHAAaQBuAGcAXAAiACkAOwBcAG4AXABuAEMAbwBtAG0AbwBuAF8AUwBvAHUAcgBjAGUARABhAHQAYQBfAE0AbwBuAHQAaABzAFQAbwBTAGUAYQBzAG8AbgBzAF8AVQBuAGkAdABcAG4AIAAgAD0ATABBAE0AQgBEAEEAKABcACIAXAAiACkAOwBcAG4AXABuAEMAbwBtAG0AbwBuAF8AUwBvAHUAcgBjAGUARABhAHQAYQBfAE0AbwBuAHQAaABzAFQAbwBTAGUAYQBzAG8AbgBzAF8AUwBvAHUAcgBjAGUAXABuACAAIAA9AEwAQQBNAEIARABBACgAXAAiAFwAIgApADsAXABuAFwAbgBDAG8AbQBtAG8AbgBfAFMAbwB1AHIAYwBlAEQAYQB0AGEAXwBNAG8AbgB0AGgAcwBUAG8AUwBlAGEAcwBvAG4AcwBfAE4ASQBSAFIAZQBmAGUAcgBlAG4AYwBlAFwAbgAgACAAPQBMAEEATQBCAEQAQQAoAFwAIgBcACIAKQA7AFwAbgBcAG4AQwBvAG0AbQBvAG4AXwBTAG8AdQByAGMAZQBEAGEAdABhAF8ATQBvAG4AdABoAHMAVABvAFMAZQBhAHMAbwBuAHMAXwBEAGEAdABhAFwAbgAgACAAPQBMAEEATQBCAEQAQQAoAFwAbgAgACAAIAAgAE0AQQBLAEUAQQBSAFIAQQBZACgAMQAzACwAIAAyACwAIABcAG4AIAAgACAAIAAgACAATABBAE0AQgBEAEEAKAByACwAYwAsACAAXABuACAAIAAgACAAIAAgACAAIABJAE4ARABFAFgAKAB7AFwAbgAgACAAIAAgACAAIAAgACAAIAAgAFwAIgBNAG8AbgB0AGgAXAAiACwAIABcACIAUwBlAGEAcwBvAG4AXAAiADsAXABuACAAIAAgACAAIAAgACAAIAAgACAAXAAiAEoAYQBuAHUAYQByAHkAXAAiACwAIABcACIAUwB1AG0AbQBlAHIAXAAiADsAXABuACAAIAAgACAAIAAgACAAIAAgACAAXAAiAEYAZQBiAHIAdQBhAHIAeQBcACIALAAgAFwAIgBTAHUAbQBtAGUAcgBcACIAOwBcAG4AIAAgACAAIAAgACAAIAAgACAAIABcACIATQBhAHIAYwBoAFwAIgAsACAAXAAiAEEAdQB0AHUAbQBuAFwAIgA7AFwAbgAgACAAIAAgACAAIAAgACAAIAAgAFwAIgBBAHAAcgBpAGwAXAAiACwAIABcACIAQQB1AHQAdQBtAG4AXAAiADsAXABuACAAIAAgACAAIAAgACAAIAAgACAAXAAiAE0AYQB5AFwAIgAsACAAXAAiAEEAdQB0AHUAbQBuAFwAIgA7AFwAbgAgACAAIAAgACAAIAAgACAAIAAgAFwAIgBKAHUAbgBlAFwAIgAsACAAXAAiAFcAaQBuAHQAZQByAFwAIgA7AFwAbgAgACAAIAAgACAAIAAgACAAIAAgAFwAIgBKAHUAbAB5AFwAIgAsACAAXAAiAFcAaQBuAHQAZQByAFwAIgA7AFwAbgAgACAAIAAgACAAIAAgACAAIAAgAFwAIgBBAHUAZwB1AHMAdABcACIALAAgAFwAIgBXAGkAbgB0AGUAcgBcACIAOwBcAG4AIAAgACAAIAAgACAAIAAgACAAIABcACIAUwBlAHAAdABlAG0AYgBlAHIAXAAiACwAIABcACIAUwBwAHIAaQBuAGcAXAAiADsAXABuACAAIAAgACAAIAAgACAAIAAgACAAXAAiAE8AYwB0AG8AYgBlAHIAXAAiACwAIABcACIAUwBwAHIAaQBuAGcAXAAiADsAXABuACAAIAAgACAAIAAgACAAIAAgACAAXAAiAE4AbwB2AGUAbQBiAGUAcgBcACIALAAgAFwAIgBTAHAAcgBpAG4AZwBcACIAOwBcAG4AIAAgACAAIAAgACAAIAAgACAAIABcACIARABlAGMAZQBtAGIAZQByAFwAIgAsACAAXAAiAFMAdQBtAG0AZQByAFwAIgBcAG4AIAAgACAAIAAgACAAIAAgAH0ALAAgAHIALAAgAGMAKQBcAG4AIAAgACAAIAAgACAAKQBcAG4AIAAgACAAIAApAFwAbgAgACAAKQA7AFwAbgBcAG4AIAAgAEMAbwBtAG0AbwBuAF8AUwBvAHUAcgBjAGUARABhAHQAYQBfAE0AbwBuAHQAaABzAFQAbwBTAGUAYQBzAG8AbgBzAF8AVgBhAHIAaQBhAHQAaQBvAG4AXABuACAAIAA9AEwAQQBNAEIARABBACgAXAAiAFwAIgApADsAXABuAFwAbgBcAG4AXABuAC8AKgAgAFwAbgAtAC0ALQAtAC0ALQAtAC0ALQAtAC0ALQAtAC0ALQAtAC0ALQAtAC0ALQAtAC0ALQAtAC0ALQAtAC0ALQAtAC0ALQAtAC0ALQAtAC0AXABuAEMAbwBtAG0AbwBuAF8AUwBvAHUAcgBjAGUARABhAHQAYQBfAE0AQwBGAFQAZQBtAHAAZQByAGEAdAB1AHIAZQBaAG8AbgBlAFwAbgAtAC0ALQAtAC0ALQAtAC0ALQAtAC0ALQAtAC0ALQAtAC0ALQAtAC0ALQAtAC0ALQAtAC0ALQAtAC0ALQAtAC0ALQAtAC0ALQAtAC0AXABuACoALwBcAG4AXABuAEMAbwBtAG0AbwBuAF8AUwBvAHUAcgBjAGUARABhAHQAYQBfAE0AQwBGAFQAZQBtAHAAZQByAGEAdAB1AHIAZQBaAG8AbgBlAF8AVABpAHQAbABlAFwAbgAgACAAPQBMAEEATQBCAEQAQQAoAFwAIgBNAGEAbgB1AHIAZQAgAE0AYQBuAGEAZwBlAG0AZQBuAHQAIAATICAATQBlAHQAaABhAG4AZQAgAGMAbwBuAHYAZQByAHMAaQBvAG4AIABmAGEAYwB0AG8AcgAgAHAAZQByACAAdABlAG0AcABlAHIAYQB0AHUAcgBlACAAegBvAG4AZQAgACgAZgByAGEAYwB0AGkAbwBuACkAIAAoAE0AQwBGAGkAbQApAFwAIgApADsAXABuAFwAbgBDAG8AbQBtAG8AbgBfAFMAbwB1AHIAYwBlAEQAYQB0AGEAXwBNAEMARgBUAGUAbQBwAGUAcgBhAHQAdQByAGUAWgBvAG4AZQBfAFUAbgBpAHQAXABuACAAIAA9AEwAQQBNAEIARABBACgAXAAiAGYAcgBhAGMAdABpAG8AbgBcACIAKQA7AFwAbgBcAG4AQwBvAG0AbQBvAG4AXwBTAG8AdQByAGMAZQBEAGEAdABhAF8ATQBDAEYAVABlAG0AcABlAHIAYQB0AHUAcgBlAFoAbwBuAGUAXwBTAG8AdQByAGMAZQBcAG4AIAAgAD0ATABBAE0AQgBEAEEAKABcACIAVgBFAEUAUgBHACAAMgAwADIANgA6ACAAVABhAGIAbABlACAAQQAuADEALgA4AC4AMQBcACIAKQA7AFwAbgBcAG4AQwBvAG0AbQBvAG4AXwBTAG8AdQByAGMAZQBEAGEAdABhAF8ATQBDAEYAVABlAG0AcABlAHIAYQB0AHUAcgBlAFoAbwBuAGUAXwBEAGEAdABhAFwAbgAgACAAPQBMAEEATQBCAEQAQQAoAFwAbgAgACAAIAAgAE0AQQBLAEUAQQBSAFIAQQBZACgAMgAxACwAIAAxADYALAAgAFwAbgAgACAAIAAgACAAIABMAEEATQBCAEQAQQAoAHIALABjACwAIABcAG4AIAAgACAAIAAgACAAIAAgAEkATgBEAEUAWAAoAHsAXABuACAAIAAgACAAIAAgACAAIAAgACAAXAAiAFQAZQBtAHAAZQByAGEAdAB1AHIAZQAgAHoAbwBuAGUAXAAiACwAIABcACIATQBBAFQAIAAoALoAQwApAFwAIgAsACAAXAAiAFUAbgBjAG8AdgBlAHIAZQBkACAAYQBuAGUAcgBvAGIAaQBjACAAbABhAGcAbwBvAG4AXAAiACwAIABcACIAQwBvAHYAZQByAGUAZAAgAGwAYQBnAG8AbwBuAFwAIgAsACAAXAAiAEwAaQBxAHUAaQBkACAAUwBsAHUAcgByAHkAIAAoAHcAaQB0AGgAbwB1AHQAIABuAGEAdAB1AHIAYQBsACAAYwByAHUAcwB0ACkAXAAiACwAIABcACIARABhAGkAbAB5ACAAcwBwAHIAZQBhAGQAIAAoAGIAKQBcACIALAAgAFwAIgBDAG8AbQBwAG8AcwB0AGkAbgBnACAAKABwAGEAcwBzAGkAdgBlACAAdwBpAG4AZAByAG8AdwApAFwAIgAsACAAXAAiAFMAbwBsAGkAZAAgAFMAdABvAHIAYQBnAGUAXAAiACwAIABcACIAUABpAHQAIABTAHQAbwByAGEAZwBlACAAXAB1ADAAMAAzAGMAMQAgAG0AbwBuAHQAaABcACIALAAgAFwAIgBEAGUAZQBwACAATABpAHQAdABlAHIAXAAiACwAIABcACIAUABvAHUAbAB0AHIAeQAgAE0AYQBuAHUAcgBlACAAKAB3AGkAdABoAC8AdwBpAHQAaABvAHUAdAAgAGwAaQB0AHQAZQByACkAXAAiACwAIABcACIAXAAiACwAIABcACIARABpAHIAZQBjAHQAIABwAHIAbwBjAGUAcwBzAGkAbgBnACAAaQBuAHQAbwAgAHAAZQBsAGwAZQB0AGkAegBlAGQAIABmAGUAcgB0AGkAbABpAHMAZQByAFwAIgAsACAAXAAiAEQAaQByAGUAYwB0ACAAYQBwAHAAbABpAGMAYQB0AGkAbwBuACAAdABvACAAcwBvAGkAbABcACIALAAgAFwAIgBQAGEAcwB0AHUAcgBlACwAIABSAGEAbgBnAGUAIABhAG4AZAAgAFAAYQBkAGQAbwBjAGsAIAAoAGMAKQAoAGQAKQBcACIALAAgAFwAIgBNAEEAVAAgAHIAYQB3AFwAIgA7AFwAbgAgACAAIAAgACAAIAAgACAAIAAgAFwAIgBDAG8AbwBsAFwAIgAsACAAXAAiAGQiMQAwAFwAIgAsACAAMAAuADYANgAsACAAMAAuADEALAAgADAALgAxACwAIAAwAC4AMAAwADEALAAgADAALgAwADAANQAsACAAMAAuADAAMgAsACAAMAAuADAAMwAsACAAMAAuADAANAAsACAAMAAuADAAMQA1ACwAIAAwAC4AMAAxADUALAAgADAALAAgADAALAAgADAALgAwADAANAA3ACwAIAAxADAAOwBcAG4AIAAgACAAIAAgACAAIAAgACAAIABcACIAQwBvAG8AbABcACIALAAgADEAMQAsACAAMAAuADYAOAAsACAAMAAuADEALAAgADAALgAxADEALAAgADAALgAwADAAMQAsACAAMAAuADAAMAA1ACwAIAAwAC4AMAAyACwAIAAwAC4AMAAzACwAIAAwAC4AMAA0ACwAIAAwAC4AMAAxADUALAAgADAALgAwADEANQAsACAAMAAsACAAMAAsACAAMAAuADAAMAA0ADcALAAgADEAMQA7AFwAbgAgACAAIAAgACAAIAAgACAAIAAgAFwAIgBDAG8AbwBsAFwAIgAsACAAMQAyACwAIAAwAC4ANwAsACAAMAAuADEALAAgADAALgAxADMALAAgADAALgAwADAAMQAsACAAMAAuADAAMAA1ACwAIAAwAC4AMAAyACwAIAAwAC4AMAAzACwAIAAwAC4AMAA0ACwAIAAwAC4AMAAxADUALAAgADAALgAwADEANQAsACAAMAAsACAAMAAsACAAMAAuADAAMAA0ADcALAAgADEAMgA7AFwAbgAgACAAIAAgACAAIAAgACAAIAAgAFwAIgBDAG8AbwBsAFwAIgAsACAAMQAzACwAIAAwAC4ANwAxACwAIAAwAC4AMQAsACAAMAAuADEANAAsACAAMAAuADAAMAAxACwAIAAwAC4AMAAwADUALAAgADAALgAwADIALAAgADAALgAwADMALAAgADAALgAwADQALAAgADAALgAwADEANQAsACAAMAAuADAAMQA1ACwAIAAwACwAIAAwACwAIAAwAC4AMAAwADQANwAsACAAMQAzADsAXABuACAAIAAgACAAIAAgACAAIAAgACAAXAAiAEMAbwBvAGwAXAAiACwAIAAxADQALAAgADAALgA3ADMALAAgADAALgAxACwAIAAwAC4AMQA1ACwAIAAwAC4AMAAwADEALAAgADAALgAwADAANQAsACAAMAAuADAAMgAsACAAMAAuADAAMwAsACAAMAAuADAANAAsACAAMAAuADAAMQA1ACwAIAAwAC4AMAAxADUALAAgADAALAAgADAALAAgADAALgAwADAANAA3ACwAIAAxADQAOwBcAG4AIAAgACAAIAAgACAAIAAgACAAIABcACIAVABlAG0AcABlAHIAYQB0AGUAXAAiACwAIAAxADUALAAgADAALgA3ADQALAAgADAALgAxACwAIAAwAC4AMQA3ACwAIAAwAC4AMAAwADUALAAgADAALgAwADEALAAgADAALgAwADIALAAgADAALgAwADMALAAgADAALgAwADQALAAgADAALgAwADEANQAsACAAMAAuADAAMQA1ACwAIAAwACwAIAAwACwAIAAwAC4AMAAwADQANwAsACAAMQA1ADsAXABuACAAIAAgACAAIAAgACAAIAAgACAAXAAiAFQAZQBtAHAAZQByAGEAdABlAFwAIgAsACAAMQA2ACwAIAAwAC4ANwA1ACwAIAAwAC4AMQAsACAAMAAuADEAOAAsACAAMAAuADAAMAA1ACwAIAAwAC4AMAAxACwAIAAwAC4AMAAyACwAIAAwAC4AMAAzACwAIAAwAC4AMAA0ACwAIAAwAC4AMAAxADUALAAgADAALgAwADEANQAsACAAMAAsACAAMAAsACAAMAAuADAAMAA0ADcALAAgADEANgA7AFwAbgAgACAAIAAgACAAIAAgACAAIAAgAFwAIgBUAGUAbQBwAGUAcgBhAHQAZQBcACIALAAgADEANwAsACAAMAAuADcANgAsACAAMAAuADEALAAgADAALgAyACwAIAAwAC4AMAAwADUALAAgADAALgAwADEALAAgADAALgAwADIALAAgADAALgAwADMALAAgADAALgAwADQALAAgADAALgAwADEANQAsACAAMAAuADAAMQA1ACwAIAAwACwAIAAwACwAIAAwAC4AMAAwADQANwAsACAAMQA3ADsAXABuACAAIAAgACAAIAAgACAAIAAgACAAXAAiAFQAZQBtAHAAZQByAGEAdABlAFwAIgAsACAAMQA4ACwAIAAwAC4ANwA3ACwAIAAwAC4AMQAsACAAMAAuADIAMgAsACAAMAAuADAAMAA1ACwAIAAwAC4AMAAxACwAIAAwAC4AMAAyACwAIAAwAC4AMAAzACwAIAAwAC4AMAA0ACwAIAAwAC4AMAAxADUALAAgADAALgAwADEANQAsACAAMAAsACAAMAAsACAAMAAuADAAMAA0ADcALAAgADEAOAA7AFwAbgAgACAAIAAgACAAIAAgACAAIAAgAFwAIgBUAGUAbQBwAGUAcgBhAHQAZQBcACIALAAgADEAOQAsACAAMAAuADcANwAsACAAMAAuADEALAAgADAALgAyADQALAAgADAALgAwADAANQAsACAAMAAuADAAMQAsACAAMAAuADAAMgAsACAAMAAuADAAMwAsACAAMAAuADAANAAsACAAMAAuADAAMQA1ACwAIAAwAC4AMAAxADUALAAgADAALAAgADAALAAgADAALgAwADAANAA3ACwAIAAxADkAOwBcAG4AIAAgACAAIAAgACAAIAAgACAAIABcACIAVABlAG0AcABlAHIAYQB0AGUAXAAiACwAIAAyADAALAAgADAALgA3ADgALAAgADAALgAxACwAIAAwAC4AMgA2ACwAIAAwAC4AMAAwADUALAAgADAALgAwADEALAAgADAALgAwADIALAAgADAALgAwADMALAAgADAALgAwADQALAAgADAALgAwADEANQAsACAAMAAuADAAMQA1ACwAIAAwACwAIAAwACwAIAAwAC4AMAAwADQANwAsACAAMgAwADsAXABuACAAIAAgACAAIAAgACAAIAAgACAAXAAiAFQAZQBtAHAAZQByAGEAdABlAFwAIgAsACAAMgAxACwAIAAwAC4ANwA4ACwAIAAwAC4AMQAsACAAMAAuADIAOQAsACAAMAAuADAAMAA1ACwAIAAwAC4AMAAxACwAIAAwAC4AMAAyACwAIAAwAC4AMAAzACwAIAAwAC4AMAA0ACwAIAAwAC4AMAAxADUALAAgADAALgAwADEANQAsACAAMAAsACAAMAAsACAAMAAuADAAMAA0ADcALAAgADIAMQA7AFwAbgAgACAAIAAgACAAIAAgACAAIAAgAFwAIgBUAGUAbQBwAGUAcgBhAHQAZQBcACIALAAgADIAMgAsACAAMAAuADcAOAAsACAAMAAuADEALAAgADAALgAzADEALAAgADAALgAwADAANQAsACAAMAAuADAAMQAsACAAMAAuADAAMgAsACAAMAAuADAAMwAsACAAMAAuADAANAAsACAAMAAuADAAMQA1ACwAIAAwAC4AMAAxADUALAAgADAALAAgADAALAAgADAALgAwADAANAA3ACwAIAAyADIAOwBcAG4AIAAgACAAIAAgACAAIAAgACAAIABcACIAVABlAG0AcABlAHIAYQB0AGUAXAAiACwAIAAyADMALAAgADAALgA3ADkALAAgADAALgAxACwAIAAwAC4AMwA0ACwAIAAwAC4AMAAwADUALAAgADAALgAwADEALAAgADAALgAwADIALAAgADAALgAwADMALAAgADAALgAwADQALAAgADAALgAwADEANQAsACAAMAAuADAAMQA1ACwAIAAwACwAIAAwACwAIAAwAC4AMAAwADQANwAsACAAMgAzADsAXABuACAAIAAgACAAIAAgACAAIAAgACAAXAAiAFQAZQBtAHAAZQByAGEAdABlAFwAIgAsACAAMgA0ACwAIAAwAC4ANwA5ACwAIAAwAC4AMQAsACAAMAAuADMANwAsACAAMAAuADAAMAA1ACwAIAAwAC4AMAAxACwAIAAwAC4AMAAyACwAIAAwAC4AMAAzACwAIAAwAC4AMAA0ACwAIAAwAC4AMAAxADUALAAgADAALgAwADEANQAsACAAMAAsACAAMAAsACAAMAAuADAAMAA0ADcALAAgADIANAA7AFwAbgAgACAAIAAgACAAIAAgACAAIAAgAFwAIgBUAGUAbQBwAGUAcgBhAHQAZQBcACIALAAgADIANQAsACAAMAAuADcAOQAsACAAMAAuADEALAAgADAALgA0ADEALAAgADAALgAwADAANQAsACAAMAAuADAAMQAsACAAMAAuADAAMgAsACAAMAAuADAAMwAsACAAMAAuADAANAAsACAAMAAuADAAMQA1ACwAIAAwAC4AMAAxADUALAAgADAALAAgADAALAAgADAALgAwADAANAA3ACwAIAAyADUAOwBcAG4AIAAgACAAIAAgACAAIAAgACAAIABcACIAVwBhAHIAbQBcACIALAAgADIANgAsACAAMAAuADcAOQAsACAAMAAuADEALAAgADAALgA0ADQALAAgADAALgAwADEALAAgADAALgAwADEANQAsACAAMAAuADAAMgAsACAAMAAuADAAMwAsACAAMAAuADAANAAsACAAMAAuADAAMQA1ACwAIAAwAC4AMAAxADUALAAgADAALAAgADAALAAgADAALgAwADAANAA3ACwAIAAyADYAOwBcAG4AIAAgACAAIAAgACAAIAAgACAAIABcACIAVwBhAHIAbQBcACIALAAgADIANwAsACAAMAAuADgALAAgADAALgAxACwAIAAwAC4ANAA4ACwAIAAwAC4AMAAxACwAIAAwAC4AMAAxADUALAAgADAALgAwADIALAAgADAALgAwADMALAAgADAALgAwADQALAAgADAALgAwADEANQAsACAAMAAuADAAMQA1ACwAIAAwACwAIAAwACwAIAAwAC4AMAAwADQANwAsACAAMgA3ADsAXABuACAAIAAgACAAIAAgACAAIAAgACAAXAAiAFcAYQByAG0AXAAiACwAIABcACIAZSIyADgAXAAiACwAIAAwAC4AOAAsACAAMAAuADEALAAgADAALgA1ACwAIAAwAC4AMAAxACwAIAAwAC4AMAAxADUALAAgADAALgAwADIALAAgADAALgAwADMALAAgADAALgAwADQALAAgADAALgAwADEANQAsACAAMAAuADAAMQA1ACwAIAAwACwAIAAwACwAIAAwAC4AMAAwADQANwAsACAAMgA4ADsAXABuACAAIAAgACAAIAAgACAAIAAgACAAXAAiAFwAIgAsACAAXAAiAFwAIgAsACAAXAAiAEEAbgBhAGUAcgBvAGIAaQBjACAAbABhAGcAbwBvAG4AXAAiACwAIABcACIARABpAGcAZQBzAHQAZQByACAALwAgAGMAbwB2AGUAcgBlAGQAIABsAGEAZwBvAG8AbgBzAFwAIgAsACAAXAAiAEwAaQBxAHUAaQBkACAAcwB5AHMAdABlAG0AcwBcACIALAAgAFwAIgBEAGEAaQBsAHkAIABzAHAAcgBlAGEAZABcACIALAAgAFwAIgBDAG8AbQBwAG8AcwB0AGkAbgBnACAAKABwAGEAcwBzAGkAdgBlACAAdwBpAG4AZAByAG8AdwApAFwAIgAsACAAXAAiAFMAbwBsAGkAZAAgAHMAdABvAHIAYQBnAGUAXAAiACwAIABcACIAUABpAHQAIABzAHQAbwByAGEAZwBlAFwAIgAsACAAXAAiAEQAZQBlAHAAIABsAGkAdAB0AGUAcgBcACIALAAgAFwAIgBQAG8AdQBsAHQAcgB5ACAAbQBhAG4AdQByAGUAIAB3AGkAdABoACAAYgBlAGQAZABpAG4AZwBcACIALAAgAFwAIgBQAG8AdQBsAHQAcgB5ACAAbQBhAG4AdQByAGUAIAB3AGkAdABoAG8AdQB0ACAAYgBlAGQAZABpAG4AZwBcACIALAAgAFwAIgBEAGkAcgBlAGMAdAAgAHAAcgBvAGMAZQBzAHMAaQBuAGcAXAAiACwAIABcACIARABpAHIAZQBjAHQAIABhAHAAcABsAGkAYwBhAHQAaQBvAG4AXAAiACwAIABcACIAUABhAHMAdAB1AHIAZQAgAHIAYQBuAGcAZQAgAGEAbgBkACAAcABhAGQAZABvAGMAawBcACIALAAgAFwAIgBNAEEAVAAgAHIAYQB3AFwAIgAgAFwAbgAgACAAIAAgACAAIAAgACAAfQAsACAAcgAsACAAYwApAFwAbgAgACAAIAAgACAAIAApAFwAbgAgACAAIAAgACkAXABuACAAIAApADsAXABuAFwAbgBDAG8AbQBtAG8AbgBfAFMAbwB1AHIAYwBlAEQAYQB0AGEAXwBNAEMARgBUAGUAbQBwAGUAcgBhAHQAdQByAGUAWgBvAG4AZQBfAFYAYQByAGkAYQB0AGkAbwBuAFwAbgAgACAAPQBMAEEATQBCAEQAQQAoAFwAIgBWAEEAUgBJAEEAVABJAE8ATgAgAEYAUgBPAE0AIABTAE8AVQBSAEMARQA6ACAAQQBkAGQAZQBkACAAcgBvAHcAIABvAGYAIABOAEkAUgAgAE0ATQBBACAAZABlAGYAaQBuAGkAdABpAG8AbgBzACAAdABvACAAYQBpAGQAIABsAG8AbwBrAHUAcAAuACAARAB1AHAAbABpAGMAYQB0AGUAZAAgAFwAdQAwADAAMgA3AFAAbwB1AGwAdAByAHkAIAB3AGkAdABoACAAYQBuAGQAIAB3AGkAdABoAG8AdQB0ACAAbABpAHQAdABlAHIAXAB1ADAAMAAyADcAIABjAG8AbAB1AG0AbgAgAHcAaQB0AGgAIABzAGUAcABhAHIAYQB0AGUAIABOAEkAUgAgAGQAZQBmAGkAbgBpAHQAaQBvAG4AcwAgAHQAbwAgAGEAaQBkACAAbABvAG8AawB1AHAALgAgAEEAZABkAGUAZAAgAFwAdQAwADAAMgA3AE0AQQBUACAAcgBhAHcAXAB1ADAAMAAyADcAIABjAG8AbAB1AG0AbgAgAHQAbwAgAGEAbABsAG8AdwAgAGwAbwBvAGsAdQBwACAAbwBmACAAbgB1AG0AYgBlAHIAcwAuAFwAIgApADsAXABuAFwAbgBcAG4AXABuAC8AKgAgAFwAbgAtAC0ALQAtAC0ALQAtAC0ALQAtAC0ALQAtAC0ALQAtAC0ALQAtAC0ALQAtAC0ALQAtAC0ALQAtAC0ALQAtAC0ALQAtAC0ALQAtAC0AXABuAEMAbwBtAG0AbwBuAF8AUwBvAHUAcgBjAGUARABhAHQAYQBfAEUARgBPAHIAZwBhAG4AaQBjAEYAZQByAHQAaQBsAGkAcwBlAHIAQQBuAGQAQwByAG8AcABSAGUAcwBpAGQAdQBlAHMAXABuAC0ALQAtAC0ALQAtAC0ALQAtAC0ALQAtAC0ALQAtAC0ALQAtAC0ALQAtAC0ALQAtAC0ALQAtAC0ALQAtAC0ALQAtAC0ALQAtAC0ALQBcAG4AKgAvAFwAbgBcAG4AQwBvAG0AbQBvAG4AXwBTAG8AdQByAGMAZQBEAGEAdABhAF8ARQBGAE8AcgBnAGEAbgBpAGMARgBlAHIAdABpAGwAaQBzAGUAcgBBAG4AZABDAHIAbwBwAFIAZQBzAGkAZAB1AGUAcwBfAFQAaQB0AGwAZQBcAG4AIAAgAD0ATABBAE0AQgBEAEEAKABcACIARQBtAGkAcwBzAGkAbwBuACAAZgBhAGMAdABvAHIAIABmAG8AcgAgAG8AcgBnAGEAbgBpAGMAIABmAGUAcgB0AGkAbABpAHMAZQByACAAYQBuAGQAIABjAHIAbwBwACAAcgBlAHMAaQBkAHUAZQBzACAAcgBlAHQAdQByAG4AZQBkACAAdABvACAAdABoAGUAIABzAG8AaQBsAFwAIgApADsAXABuAFwAbgBDAG8AbQBtAG8AbgBfAFMAbwB1AHIAYwBlAEQAYQB0AGEAXwBFAEYATwByAGcAYQBuAGkAYwBGAGUAcgB0AGkAbABpAHMAZQByAEEAbgBkAEMAcgBvAHAAUgBlAHMAaQBkAHUAZQBzAF8AVgBhAHIAaQBhAGIAbABlAFwAbgAgACAAPQBMAEEATQBCAEQAQQAoAFwAIgBFAEYATgBpACAAXAB1ADAAMAAyADYAIABFAEYATgAyAE8AaQBcACIAKQA7AFwAbgBcAG4AQwBvAG0AbQBvAG4AXwBTAG8AdQByAGMAZQBEAGEAdABhAF8ARQBGAE8AcgBnAGEAbgBpAGMARgBlAHIAdABpAGwAaQBzAGUAcgBBAG4AZABDAHIAbwBwAFIAZQBzAGkAZAB1AGUAcwBfAFUAbgBpAHQAXABuACAAIAA9AEwAQQBNAEIARABBACgAXAAiAGsAZwAgAE4AMgBPACAALQAgAE4AIAAvACAAawBnACAATgBcACIAKQA7AFwAbgBcAG4AQwBvAG0AbQBvAG4AXwBTAG8AdQByAGMAZQBEAGEAdABhAF8ARQBGAE8AcgBnAGEAbgBpAGMARgBlAHIAdABpAGwAaQBzAGUAcgBBAG4AZABDAHIAbwBwAFIAZQBzAGkAZAB1AGUAcwBfAFMAbwB1AHIAYwBlAFwAbgAgACAAPQBMAEEATQBCAEQAQQAoAFwAIgBWAEUARQBSAEcAIAAyADAAMgA2ADoAIABUAGEAYgBsAGUAIABBAC4AMgAuADEALgA0AFwAIgApADsAXABuAFwAbgBDAG8AbQBtAG8AbgBfAFMAbwB1AHIAYwBlAEQAYQB0AGEAXwBFAEYATwByAGcAYQBuAGkAYwBGAGUAcgB0AGkAbABpAHMAZQByAEEAbgBkAEMAcgBvAHAAUgBlAHMAaQBkAHUAZQBzAF8ATgBJAFIAUgBlAGYAZQByAGUAbgBjAGUAXABuACAAIAA9AEwAQQBNAEIARABBACgAXAAiAFwAIgApADsAXABuAFwAbgBDAG8AbQBtAG8AbgBfAFMAbwB1AHIAYwBlAEQAYQB0AGEAXwBFAEYATwByAGcAYQBuAGkAYwBGAGUAcgB0AGkAbABpAHMAZQByAEEAbgBkAEMAcgBvAHAAUgBlAHMAaQBkAHUAZQBzAF8ARABhAHQAYQBcAG4AIAAgAD0ATABBAE0AQgBEAEEAKABcAG4AIAAgACAAIABNAEEASwBFAEEAUgBSAEEAWQAoADMALAAgADIALAAgAFwAbgAgACAAIAAgACAAIABMAEEATQBCAEQAQQAoAHIALABjACwAIABcAG4AIAAgACAAIAAgACAAIAAgAEkATgBEAEUAWAAoAHsAXABuACAAIAAgACAAIAAgACAAIAAgACAAXAAiAEMAbABpAG0AYQB0AGUAIAB6AG8AbgBlAFwAIgAsACAAXAAiAEUARgBOAGkAIABcAHUAMAAwADIANgAgAEUARgBOADIATwBcACIAOwBcAG4AIAAgACAAIAAgACAAIAAgACAAIABcACIAVwBlAHQAIABjAGwAaQBtAGEAdABlACAAegBvAG4AZQBcACIALAAgADAALgAwADAANgA7AFwAbgAgACAAIAAgACAAIAAgACAAIAAgAFwAIgBEAHIAeQAgAGMAbABpAG0AYQB0AGUAIAB6AG8AbgBlAFwAIgAsACAAMAAuADAAMAA1AFwAbgAgACAAIAAgACAAIAAgACAAfQAsACAAcgAsACAAYwApAFwAbgAgACAAIAAgACAAIAApAFwAbgAgACAAIAAgACkAXABuACAAIAApADsAXABuAFwAbgBDAG8AbQBtAG8AbgBfAFMAbwB1AHIAYwBlAEQAYQB0AGEAXwBFAEYATwByAGcAYQBuAGkAYwBGAGUAcgB0AGkAbABpAHMAZQByAEEAbgBkAEMAcgBvAHAAUgBlAHMAaQBkAHUAZQBzAF8AVgBhAHIAaQBhAHQAaQBvAG4AXABuACAAIAA9AEwAQQBNAEIARABBACgAXAAiAFwAIgApADsAXABuAFwAbgBcAG4AXABuAFwAbgBcAG4AXABuAFwAbgBcAG4AXABuAFwAbgBcAG4AXABuAFwAbgBcAG4AXABuAFwAbgAiAH0ALAB7ACIAcABhAHQAaAAiADoAIgAvAHAAcgBvAGoAZQBjAHQAcwAvAEMAbwBtAG0AbwBuAF8ARQBxAHUAYQB0AGkAbwBuAHMAIgAsACIAdABlAHgAdAAiADoAIgBcAG4ALwAqACAAXABuAC0ALQAtAC0ALQAtAC0ALQAtAC0ALQAtAC0ALQAtAC0ALQAtAC0ALQAtAC0ALQAtAC0ALQAtAC0ALQAtAC0ALQAtAC0ALQAtAC0ALQBcAG4AQwBvAG0AbQBvAG4AXwBDAG8AbgB2AGUAcgB0AE4AMgBPAFQAbwBDAE8AMgBlAFwAbgBDAG8AbgB2AGUAcgB0ACAAbgBpAHQAcgBvAHUAcwAgAG8AeABpAGQAZQAgAGUAbQBpAHMAcwBpAG8AbgBzACAAdABvACAAYwBhAHIAYgBvAG4AIABkAGkAbwB4AGkAZABlACAAZQBxAHUAaQB2AGEAbABlAG4AdAAgAGUAbQBpAHMAcwBpAG8AbgBzAFwAbgBFAE4AMgBPACAAQwBPADIAZQBcAG4AdAAgAEMATwAyAGUAXABuAEUATgAyAE8AOgAgAG4AaQB0AHIAbwB1AHMAIABvAHgAaQBkAGUAIABlAG0AaQBzAHMAaQBvAG4AcwAgACgAdAAgAE4AMgBPACkAXABuAEcAVwBQAE4AMgBPADoAIABnAGwAbwBiAGEAbAAgAHcAYQByAG0AaQBuAGcAIABwAG8AdABlAG4AdABpAGEAbAAgAGYAbwByACAAbgBpAHQAcgBvAHUAcwAgAG8AeABpAGQAZQAgACgAdAAgAEMATwAyAC0AZQAgAC8AIAB0ACAATgAyAE8AKQBcAG4ALQAtAC0ALQAtAC0ALQAtAC0ALQAtAC0ALQAtAC0ALQAtAC0ALQAtAC0ALQAtAC0ALQAtAC0ALQAtAC0ALQAtAC0ALQAtAC0ALQAtAFwAbgAqAC8AXABuAFwAbgBcAG4AQwBvAG0AbQBvAG4AXwBDAG8AbgB2AGUAcgB0AE4AMgBPAFQAbwBDAE8AMgBlAFwAbgAgACAAPQBMAEEATQBCAEQAQQAoAFwAbgAgACAAIAAgAEUAXwBOADIATwAsACAARwBXAFAAXwBOADIATwAsAFwAbgAgACAAIAAgAEUAXwBOADIATwAgACoAIABHAFcAUABfAE4AMgBPAFwAbgAgACAAKQBcAG4AOwBcAG4AXABuAEMAbwBtAG0AbwBuAF8AQwBvAG4AdgBlAHIAdABOADIATwBUAG8AQwBPADIAZQBfAFQAaQB0AGwAZQBcAG4AIAAgAD0ATABBAE0AQgBEAEEAKABcACIAQwBvAG4AdgBlAHIAdAAgAG4AaQB0AHIAbwB1AHMAIABvAHgAaQBkAGUAIABlAG0AaQBzAHMAaQBvAG4AcwAgAHQAbwAgAGMAYQByAGIAbwBuACAAZABpAG8AeABpAGQAZQAgAGUAcQB1AGkAdgBhAGwAZQBuAHQAIABlAG0AaQBzAHMAaQBvAG4AcwBcACIAKQA7AFwAbgBcAG4AQwBvAG0AbQBvAG4AXwBDAG8AbgB2AGUAcgB0AE4AMgBPAFQAbwBDAE8AMgBlAF8AVgBhAHIAaQBhAGIAbABlAFwAbgAgACAAPQBMAEEATQBCAEQAQQAoAFwAIgBFAE4AMgBPACAAQwBPADIAZQBcACIAKQA7AFwAbgBcAG4AQwBvAG0AbQBvAG4AXwBDAG8AbgB2AGUAcgB0AE4AMgBPAFQAbwBDAE8AMgBlAF8AVQBuAGkAdABcAG4AIAAgAD0ATABBAE0AQgBEAEEAKABcACIAdAAgAEMATwAyAGUAXAAiACkAOwBcAG4AXABuAEMAbwBtAG0AbwBuAF8AQwBvAG4AdgBlAHIAdABOADIATwBUAG8AQwBPADIAZQBfAE4ASQBSAFIAZQBmAGUAcgBlAG4AYwBlAFwAbgAgACAAPQBMAEEATQBCAEQAQQAoAFwAIgBcACIAKQA7AFwAbgBcAG4AQwBvAG0AbQBvAG4AXwBDAG8AbgB2AGUAcgB0AE4AMgBPAFQAbwBDAE8AMgBlAF8ATABhAHQAZQB4AEUAcQB1AGEAdABpAG8AbgBcAG4AIAAgAD0ATABBAE0AQgBEAEEAKABcACIAQwBPADIAXwBlACAAPQAgAEUAXwB7AE4AMgBPAH0AIABcAFwAdABpAG0AZQBzACAARwBXAFAAXwB7AE4AMgBPAH0AXAAiACkAOwBcAG4AXABuAEMAbwBtAG0AbwBuAF8AQwBvAG4AdgBlAHIAdABOADIATwBUAG8AQwBPADIAZQBfAEEAcgBnAHUAbQBlAG4AdABzAFwAbgAgACAAPQBMAEEATQBCAEQAQQAoAFwAbgAgACAAIAAgAE0AQQBLAEUAQQBSAFIAQQBZACgAMgAsACAAMgAsACAAXABuACAAIAAgACAAIAAgAEwAQQBNAEIARABBACgAcgAsAGMALAAgAFwAbgAgACAAIAAgACAAIAAgACAASQBOAEQARQBYACgAewBcAG4AIAAgACAAIAAgACAAIAAgACAAIABcACIARQBOADIATwBcACIALABcACIATgBpAHQAcgBvAHUAcwAgAG8AeABpAGQAZQAgAGUAbQBpAHMAcwBpAG8AbgBzACAAKAB0ACAATgAyAE8AKQBcACIAOwBcAG4AIAAgACAAIAAgACAAIAAgACAAIABcACIARwBXAFAATgAyAE8AXAAiACwAXAAiAEcAbABvAGIAYQBsACAAdwBhAHIAbQBpAG4AZwAgAHAAbwB0AGUAbgB0AGkAYQBsACAAZgBvAHIAIABuAGkAdAByAG8AdQBzACAAbwB4AGkAZABlACAAKAB0ACAAQwBPADIALQBlACAALwAgAHQAIABOADIATwApAFwAIgBcAG4AIAAgACAAIAAgACAAIAAgAH0ALAAgAHIALAAgAGMAKQBcAG4AIAAgACAAIAAgACAAKQBcAG4AIAAgACAAIAApAFwAbgAgACAAKQA7AFwAbgBcAG4ALwAqACAAXABuAC0ALQAtAC0ALQAtAC0ALQAtAC0ALQAtAC0ALQAtAC0ALQAtAC0ALQAtAC0ALQAtAC0ALQAtAC0ALQAtAC0ALQAtAC0ALQAtAC0ALQBcAG4AQwBvAG0AbQBvAG4AXwBDAG8AbgB2AGUAcgB0AEMASAA0AFQAbwBDAE8AMgBlAFwAbgBDAG8AbgB2AGUAcgB0ACAAbQBlAHQAaABhAG4AZQAgAGUAbQBpAHMAcwBpAG8AbgBzACAAdABvACAAYwBhAHIAYgBvAG4AIABkAGkAbwB4AGkAZABlACAAZQBxAHUAaQB2AGEAbABlAG4AdAAgAGUAbQBpAHMAcwBpAG8AbgBzAFwAbgBFAEMASAA0ACAAQwBPADIAZQBcAG4AdAAgAEMATwAyAGUAXABuAEUAQwBIADQAOgAgAG0AZQB0AGgAYQBuAGUAIABlAG0AaQBzAHMAaQBvAG4AcwAgACgAdAAgAEMASAA0ACkAXABuAEcAVwBQAEMASAA0ADoAIABnAGwAbwBiAGEAbAAgAHcAYQByAG0AaQBuAGcAIABwAG8AdABlAG4AdABpAGEAbAAgAGYAbwByACAAbQBlAHQAaABhAG4AZQAgACgAdAAgAEMATwAyAC0AZQAgAC8AIAB0ACAAQwBIADQAKQBcAG4ALQAtAC0ALQAtAC0ALQAtAC0ALQAtAC0ALQAtAC0ALQAtAC0ALQAtAC0ALQAtAC0ALQAtAC0ALQAtAC0ALQAtAC0ALQAtAC0ALQAtAFwAbgAqAC8AXABuAFwAbgBcAG4AQwBvAG0AbQBvAG4AXwBDAG8AbgB2AGUAcgB0AEMASAA0AFQAbwBDAE8AMgBlAFwAbgAgACAAPQBMAEEATQBCAEQAQQAoAFwAbgAgACAAIAAgAEUAXwBDAEgANAAsACAARwBXAFAAXwBDAEgANAAsAFwAbgAgACAAIAAgAEUAXwBDAEgANAAgACoAIABHAFcAUABfAEMASAA0AFwAbgAgACAAKQBcAG4AOwBcAG4AXABuAEMAbwBtAG0AbwBuAF8AQwBvAG4AdgBlAHIAdABDAEgANABUAG8AQwBPADIAZQBfAFQAaQB0AGwAZQBcAG4AIAAgAD0ATABBAE0AQgBEAEEAKABcACIAQwBvAG4AdgBlAHIAdAAgAG0AZQB0AGgAYQBuAGUAIABlAG0AaQBzAHMAaQBvAG4AcwAgAHQAbwAgAGMAYQByAGIAbwBuACAAZABpAG8AeABpAGQAZQAgAGUAcQB1AGkAdgBhAGwAZQBuAHQAIABlAG0AaQBzAHMAaQBvAG4AcwBcACIAKQA7AFwAbgBcAG4AQwBvAG0AbQBvAG4AXwBDAG8AbgB2AGUAcgB0AEMASAA0AFQAbwBDAE8AMgBlAF8AVgBhAHIAaQBhAGIAbABlAFwAbgAgACAAPQBMAEEATQBCAEQAQQAoAFwAIgBFAEMASAA0ACAAQwBPADIAZQBcACIAKQA7AFwAbgBcAG4AQwBvAG0AbQBvAG4AXwBDAG8AbgB2AGUAcgB0AEMASAA0AFQAbwBDAE8AMgBlAF8AVQBuAGkAdABcAG4AIAAgAD0ATABBAE0AQgBEAEEAKABcACIAdAAgAEMATwAyAGUAXAAiACkAOwBcAG4AXABuAEMAbwBtAG0AbwBuAF8AQwBvAG4AdgBlAHIAdABDAEgANABUAG8AQwBPADIAZQBfAE4ASQBSAFIAZQBmAGUAcgBlAG4AYwBlAFwAbgAgACAAPQBMAEEATQBCAEQAQQAoAFwAIgBcACIAKQA7AFwAbgBcAG4AQwBvAG0AbQBvAG4AXwBDAG8AbgB2AGUAcgB0AEMASAA0AFQAbwBDAE8AMgBlAF8ATABhAHQAZQB4AEUAcQB1AGEAdABpAG8AbgBcAG4AIAAgAD0ATABBAE0AQgBEAEEAKABcACIAQwBPADIAXwBlACAAPQAgAEUAXwB7AEMASAA0AH0AIABcAFwAdABpAG0AZQBzACAARwBXAFAAXwB7AEMASAA0AH0AXAAiACkAOwBcAG4AXABuAEMAbwBtAG0AbwBuAF8AQwBvAG4AdgBlAHIAdABDAEgANABUAG8AQwBPADIAZQBfAEEAcgBnAHUAbQBlAG4AdABzAFwAbgAgACAAPQBMAEEATQBCAEQAQQAoAFwAbgAgACAAIAAgAE0AQQBLAEUAQQBSAFIAQQBZACgAMgAsACAAMgAsACAAXABuACAAIAAgACAAIAAgAEwAQQBNAEIARABBACgAcgAsAGMALAAgAFwAbgAgACAAIAAgACAAIAAgACAASQBOAEQARQBYACgAewBcAG4AIAAgACAAIAAgACAAIAAgACAAIABcACIARQBDAEgANABcACIALABcACIATQBlAHQAaABhAG4AZQAgAGUAbQBpAHMAcwBpAG8AbgBzACAAKAB0ACAAQwBIADQAKQBcACIAOwBcAG4AIAAgACAAIAAgACAAIAAgACAAIABcACIARwBXAFAAQwBIADQAXAAiACwAXAAiAEcAbABvAGIAYQBsACAAdwBhAHIAbQBpAG4AZwAgAHAAbwB0AGUAbgB0AGkAYQBsACAAZgBvAHIAIABtAGUAdABoAGEAbgBlACAAKAB0ACAAQwBPADIALQBlACAALwAgAHQAIABDAEgANAApAFwAIgBcAG4AIAAgACAAIAAgACAAIAAgAH0ALAAgAHIALAAgAGMAKQBcAG4AIAAgACAAIAAgACAAKQBcAG4AIAAgACAAIAApAFwAbgAgACAAKQA7ACIAfQAsAHsAIgBwAGEAdABoACIAOgAiAC8AcAByAG8AagBlAGMAdABzAC8AQwBvAG0AbQBvAG4ATABpAHYAZQBzAHQAbwBjAGsAXwBTAG8AdQByAGMAZQBEAGEAdABhACIALAAiAHQAZQB4AHQAIgA6ACIALwAqAFwAbgA9AD0APQA9AD0APQA9AD0APQA9AD0APQA9AD0APQA9AD0APQA9AD0APQA9AD0APQA9AD0APQA9AD0APQA9AD0APQA9AD0APQA9AD0APQA9AD0APQA9AD0APQA9AD0APQA9AD0APQA9AD0APQA9AD0APQA9AD0APQA9AD0APQA9AD0APQA9AD0APQA9AD0APQA9AD0APQA9AFwAbgA9AD0APQA9AD0APQA9AD0APQA9AD0APQA9AD0APQA9AD0APQA9AD0APQA9AD0APQA9AD0APQA9AD0APQA9AD0APQA9AD0APQA9AD0APQA9AD0APQA9AD0APQA9AD0APQA9AD0APQA9AD0APQA9AD0APQA9AD0APQA9AD0APQA9AD0APQA9AD0APQA9AD0APQA9AD0APQA9AFwAbgBTAG8AdQByAGMAZQAgAGQAYQB0AGEAIAB0AGgAYQB0ACAAaQBzACAAYwBvAG0AbQBvAG4AIABhAGMAcgBvAHMAcwAgAGEAbABsACAAbABpAHYAZQBzAHQAbwBjAGsAIAB0AHkAcABlAHMAXABuAEUAeABjAGUAbAAgAG0AbwBkAHUAbABlACAAbgBhAG0AZQA6ACAAUwBvAHUAcgBjAGUARABhAHQAYQBfAEwAaQB2AGUAcwB0AG8AYwBrAF8AQwBvAG0AbQBvAG4AXABuAD0APQA9AD0APQA9AD0APQA9AD0APQA9AD0APQA9AD0APQA9AD0APQA9AD0APQA9AD0APQA9AD0APQA9AD0APQA9AD0APQA9AD0APQA9AD0APQA9AD0APQA9AD0APQA9AD0APQA9AD0APQA9AD0APQA9AD0APQA9AD0APQA9AD0APQA9AD0APQA9AD0APQA9AD0APQA9AD0AXABuAD0APQA9AD0APQA9AD0APQA9AD0APQA9AD0APQA9AD0APQA9AD0APQA9AD0APQA9AD0APQA9AD0APQA9AD0APQA9AD0APQA9AD0APQA9AD0APQA9AD0APQA9AD0APQA9AD0APQA9AD0APQA9AD0APQA9AD0APQA9AD0APQA9AD0APQA9AD0APQA9AD0APQA9AD0APQA9AD0AXABuACoALwBcAG4AXABuAC8AKgBcAG4APQA9AD0APQA9AD0APQA9AD0APQA9AD0APQA9AD0APQA9AD0APQA9AD0APQA9AD0APQA9AD0APQA9AD0APQA9AD0APQA9AD0APQA9AFwAbgA9AD0APQA9AD0APQA9AD0APQA9AD0APQA9AD0APQA9AD0APQA9AD0APQA9AD0APQA9AD0APQA9AD0APQA9AD0APQA9AD0APQA9AD0AXABuAFMAbwB1AHIAYwBlADoAIABOAGEAdABpAG8AbgBhAGwAIABJAG4AdgBlAG4AdABvAHIAeQAgAFIAZQBwAG8AcgB0ACAAMgAwADIAMwAgAFYAbwBsAHUAbQBlACAAMQBcAG4ATgBJAFIAXwAyADAAMgAzAF8AVgBvAGwAMQBcAG4APQA9AD0APQA9AD0APQA9AD0APQA9AD0APQA9AD0APQA9AD0APQA9AD0APQA9AD0APQA9AD0APQA9AD0APQA9AD0APQA9AD0APQA9AFwAbgA9AD0APQA9AD0APQA9AD0APQA9AD0APQA9AD0APQA9AD0APQA9AD0APQA9AD0APQA9AD0APQA9AD0APQA9AD0APQA9AD0APQA9AD0AXABuACoALwBcAG4AXABuAC8AKgAgAFwAbgAtAC0ALQAtAC0ALQAtAC0ALQAtAC0ALQAtAC0ALQAtAC0ALQAtAC0ALQAtAC0ALQAtAC0ALQAtAC0ALQAtAC0ALQAtAC0ALQAtAC0AXABuAFMAbwB1AHIAYwBlAEQAYQB0AGEAXwBMAGkAdgBlAHMAdABvAGMAawBfAEMAbwBtAG0AbwBuAF8ARgByAGEAYwBXAEUAVABNAE0AUwBcAG4ARgByAGEAYwBXAEUAVABNAE0AUwBpACAAPQAgAEYAcgBhAGMAdABpAG8AbgAgAG8AZgAgAE4AIABhAHYAYQBpAGwAYQBiAGwAZQAgAGYAbwByACAAbABlAGEAYwBoAGkAbgBnACAAYQBuAGQAIAByAHUAbgBvAGYAZgBcAG4AKABUAGEAYgBsAGUAIABBADUALgA1AC4AMQAwAC4AMgAgAGkAcwAgAHIAZQBmAGUAcgBlAG4AYwBlAGQAIABpAG4AIABOAEkAUgAgAGIAdQB0ACAAMQAgAGkAcwAgAHUAcwBlAGQAKQBcAG4ALQAtAC0ALQAtAC0ALQAtAC0ALQAtAC0ALQAtAC0ALQAtAC0ALQAtAC0ALQAtAC0ALQAtAC0ALQAtAC0ALQAtAC0ALQAtAC0ALQAtAFwAbgAqAC8AXABuAFwAbgBTAG8AdQByAGMAZQBEAGEAdABhAF8ATABpAHYAZQBzAHQAbwBjAGsAXwBDAG8AbQBtAG8AbgBfAEYAcgBhAGMAVwBFAFQATQBNAFMAXwBUAGkAdABsAGUAXABuACAAIAA9AEwAQQBNAEIARABBACgAXAAiAEYAcgBhAGMAdABpAG8AbgAgAG8AZgAgAE4AIABhAHYAYQBpAGwAYQBiAGwAZQAgAGYAbwByACAAbABlAGEAYwBoAGkAbgBnACAAYQBuAGQAIAByAHUAbgBvAGYAZgBcACIAKQA7AFwAbgBcAG4AUwBvAHUAcgBjAGUARABhAHQAYQBfAEwAaQB2AGUAcwB0AG8AYwBrAF8AQwBvAG0AbQBvAG4AXwBGAHIAYQBjAFcARQBUAE0ATQBTAF8AVQBuAGkAdABcAG4AIAAgAD0ATABBAE0AQgBEAEEAKABcACIARgByAGEAYwB0AGkAbwBuAFwAIgApADsAXABuAFwAbgBTAG8AdQByAGMAZQBEAGEAdABhAF8ATABpAHYAZQBzAHQAbwBjAGsAXwBDAG8AbQBtAG8AbgBfAEYAcgBhAGMAVwBFAFQATQBNAFMAXwBTAG8AdQByAGMAZQBcAG4AIAAgAD0ATABBAE0AQgBEAEEAKABcACIATgBhAHQAaQBvAG4AYQBsACAASQBuAHYAZQBuAHQAbwByAHkAIABSAGUAcABvAHIAdAAgADIAMAAyADMAIABWAG8AbAB1AG0AZQAgADEAOgAgAEUAcQB1AGEAdABpAG8AbgBzACAAMwAuAEIALgA1AGEAXwAzACwAIAAzAC4AQgAuADUAYwBfADMALAAgADMALgBCAC4ANQBkAF8AMwBcACIAKQA7AFwAbgBcAG4AUwBvAHUAcgBjAGUARABhAHQAYQBfAEwAaQB2AGUAcwB0AG8AYwBrAF8AQwBvAG0AbQBvAG4AXwBGAHIAYQBjAFcARQBUAE0ATQBTAF8ARABhAHQAYQBcAG4AIAAgAD0ATABBAE0AQgBEAEEAKAAxACkAOwBcAG4AXABuAC8AKgAgAFwAbgAtAC0ALQAtAC0ALQAtAC0ALQAtAC0ALQAtAC0ALQAtAC0ALQAtAC0ALQAtAC0ALQAtAC0ALQAtAC0ALQAtAC0ALQAtAC0ALQAtAC0AXABuAFMAbwB1AHIAYwBlAEQAYQB0AGEAXwBMAGkAdgBlAHMAdABvAGMAawBfAEMAbwBtAG0AbwBuAF8ARgByAGEAYwBMAEUAQQBDAEgAXwBNAFMAXABuAEYAcgBhAGMATABFAEEAQwBIAF8ATQBTACAAPQAgADAALgAwADIAIAAoAEcAZwAgAE4ALwBHAGcAIABhAHAAcABsAGkAZQBkACkAIAAoAEMAUwAgAEUARgAsACAAcwBvAHUAcgBjAGUAIABJAFAAQwBDACAAKAAyADAAMQA5ACkAKQAgAFwAbgBmAHIAYQBjAHQAaQBvAG4AIABvAGYAIABOACAAbABvAHMAdAAgAHQAaAByAG8AdQBnAGgAIABsAGUAYQBjAGgAaQBuAGcAIABhAG4AZAAgAHIAdQBuAG8AZgBmAFwAbgAtAC0ALQAtAC0ALQAtAC0ALQAtAC0ALQAtAC0ALQAtAC0ALQAtAC0ALQAtAC0ALQAtAC0ALQAtAC0ALQAtAC0ALQAtAC0ALQAtAC0AXABuACoALwBcAG4AXABuAFMAbwB1AHIAYwBlAEQAYQB0AGEAXwBMAGkAdgBlAHMAdABvAGMAawBfAEMAbwBtAG0AbwBuAF8ARgByAGEAYwBMAEUAQQBDAEgAXwBNAFMAXwBUAGkAdABsAGUAXABuACAAIAA9AEwAQQBNAEIARABBACgAXAAiAEYAcgBhAGMAdABpAG8AbgAgAG8AZgAgAE4AIABsAG8AcwB0ACAAdABoAHIAbwB1AGcAaAAgAGwAZQBhAGMAaABpAG4AZwAgAGEAbgBkACAAcgB1AG4AbwBmAGYAXAAiACkAOwBcAG4AXABuAFMAbwB1AHIAYwBlAEQAYQB0AGEAXwBMAGkAdgBlAHMAdABvAGMAawBfAEMAbwBtAG0AbwBuAF8ARgByAGEAYwBMAEUAQQBDAEgAXwBNAFMAXwBVAG4AaQB0AFwAbgAgACAAPQBMAEEATQBCAEQAQQAoAFwAIgBGAHIAYQBjAHQAaQBvAG4AXAAiACkAOwBcAG4AXABuAFMAbwB1AHIAYwBlAEQAYQB0AGEAXwBMAGkAdgBlAHMAdABvAGMAawBfAEMAbwBtAG0AbwBuAF8ARgByAGEAYwBMAEUAQQBDAEgAXwBNAFMAXwBTAG8AdQByAGMAZQBcAG4AIAAgAD0ATABBAE0AQgBEAEEAKABcACIATgBhAHQAaQBvAG4AYQBsACAASQBuAHYAZQBuAHQAbwByAHkAIABSAGUAcABvAHIAdAAgADIAMAAyADMAIABWAG8AbAB1AG0AZQAgADEAOgAgAEUAcQB1AGEAdABpAG8AbgBzACAAMwAuAEIALgA1AGEAXwAzACwAIAAzAC4AQgAuADUAYwBfADMALAAgADMALgBCAC4ANQBkAF8AMwBcACIAKQA7AFwAbgBcAG4AUwBvAHUAcgBjAGUARABhAHQAYQBfAEwAaQB2AGUAcwB0AG8AYwBrAF8AQwBvAG0AbQBvAG4AXwBGAHIAYQBjAEwARQBBAEMASABfAE0AUwBfAEQAYQB0AGEAXABuACAAIAA9AEwAQQBNAEIARABBACgAXABuACAAIAAgACAATQBBAEsARQBBAFIAUgBBAFkAKAA4ACwAIAAyACwAIABcAG4AIAAgACAAIAAgACAATABBAE0AQgBEAEEAKAByACwAYwAsACAAXABuACAAIAAgACAAIAAgACAAIABJAE4ARABFAFgAKAB7AFwAbgAgACAAIAAgACAAIAAgACAAIAAgAFwAIgBQAHIAbwBkAHUAYwB0AGkAbwBuACAAcwB5AHMAdABlAG0AXAAiACwAIABcACIARQBtAGkAcwBzAGkAbwBuACAAZgBhAGMAdABvAHIAXAAiADsAXABuACAAIAAgACAAIAAgACAAIAAgACAAIAAgAFwAIgBJAHIAcgBpAGcAYQB0AGUAZAAgAHAAYQBzAHQAdQByAGUAXAAiACwAIAAwAC4AMAAwADUAOQA7AFwAbgAgACAAIAAgACAAIAAgACAAIAAgACAAIABcACIASQByAHIAaQBnAGEAdABlAGQAIABjAHIAbwBwAFwAIgAsACAAMAAuADAAMAA3ADsAXABuACAAIAAgACAAIAAgACAAIAAgACAAIAAgAFwAIgBOAG8AbgAtAGkAcgByAGkAZwBhAHQAZQBkACAAcABhAHMAdAB1AHIAZQBcACIALAAgADAALgAwADAAMQA4ADsAXABuACAAIAAgACAAIAAgACAAIAAgACAAIAAgAFwAIgBOAG8AbgAtAGkAcgByAGkAZwBhAHQAZQBkACAAYwByAG8AcABcACIALAAgADAALgAwADAANAAxADsAXABuACAAIAAgACAAIAAgACAAIAAgACAAIAAgAFwAIgBTAHUAZwBhAHIAIABjAGEAbgBlAFwAIgAsACAAMAAuADAAMQA5ADkAOwBcAG4AIAAgACAAIAAgACAAIAAgACAAIAAgACAAXAAiAEMAbwB0AHQAbwBuAFwAIgAsACAAMAAuADAAMAA1ADMAOwBcAG4AIAAgACAAIAAgACAAIAAgACAAIAAgACAAXAAiAEgAbwByAHQAaQBjAHUAbAB0AHUAcgBlAFwAIgAsACAAMAAuADAAMAA2ADQAXABuACAAIAAgACAAIAAgACAAIAB9ACwAIAByACwAIABjACkAXABuACAAIAAgACAAIAAgACkAXABuACAAIAAgACAAKQBcAG4AIAAgACkAOwBcAG4AXABuAFwAbgAvACoAIABcAG4ALQAtAC0ALQAtAC0ALQAtAC0ALQAtAC0ALQAtAC0ALQAtAC0ALQAtAC0ALQAtAC0ALQAtAC0ALQAtAC0ALQAtAC0ALQAtAC0ALQAtAFwAbgBTAG8AdQByAGMAZQBEAGEAdABhAF8ATABpAHYAZQBzAHQAbwBjAGsAXwBDAG8AbQBtAG8AbgBfAFMAeQBtAGIAbwBsAHMATQBNAFMAXABuAFQAYQBiAGwAZQAgADUALgAxADIAIABBAGQAZABpAHQAaQBvAG4AYQBsACAAcwB5AG0AYgBvAGwAcwAgAHUAcwBlAGQAIABpAG4AIABhAGwAZwBvAHIAaQB0AGgAbQBzACAAZgBvAHIAIABtAGEAbgB1AHIAZQAgAHIAZQBsAGEAdABlAGQAIABlAG0AaQBzAHMAaQBvAG4AcwBcAG4ALQAtAC0ALQAtAC0ALQAtAC0ALQAtAC0ALQAtAC0ALQAtAC0ALQAtAC0ALQAtAC0ALQAtAC0ALQAtAC0ALQAtAC0ALQAtAC0ALQAtAFwAbgAqAC8AXABuAFwAbgBTAG8AdQByAGMAZQBEAGEAdABhAF8ATABpAHYAZQBzAHQAbwBjAGsAXwBDAG8AbQBtAG8AbgBfAFMAeQBtAGIAbwBsAHMATQBNAFMAXwBUAGkAdABsAGUAXABuACAAIAA9AEwAQQBNAEIARABBACgAXAAiAFQAYQBiAGwAZQAgADUALgAxADIAIABBAGQAZABpAHQAaQBvAG4AYQBsACAAcwB5AG0AYgBvAGwAcwAgAHUAcwBlAGQAIABpAG4AIABhAGwAZwBvAHIAaQB0AGgAbQBzACAAZgBvAHIAIABtAGEAbgB1AHIAZQAgAHIAZQBsAGEAdABlAGQAIABlAG0AaQBzAHMAaQBvAG4AcwBcACIAKQA7AFwAbgBcAG4AUwBvAHUAcgBjAGUARABhAHQAYQBfAEwAaQB2AGUAcwB0AG8AYwBrAF8AQwBvAG0AbQBvAG4AXwBTAHkAbQBiAG8AbABzAE0ATQBTAF8AVgBhAGkAcgBhAGIAbABlAFwAbgAgACAAPQBMAEEATQBCAEQAQQAoAFwAIgBNAE0AUwBcACIAKQA7AFwAbgBcAG4AUwBvAHUAcgBjAGUARABhAHQAYQBfAEwAaQB2AGUAcwB0AG8AYwBrAF8AQwBvAG0AbQBvAG4AXwBTAHkAbQBiAG8AbABzAE0ATQBTAF8AVQBuAGkAdABcAG4AIAAgAD0ATABBAE0AQgBEAEEAKABcACIAXAAiACkAOwBcAG4AXABuAFMAbwB1AHIAYwBlAEQAYQB0AGEAXwBMAGkAdgBlAHMAdABvAGMAawBfAEMAbwBtAG0AbwBuAF8AUwB5AG0AYgBvAGwAcwBNAE0AUwBfAFMAbwB1AHIAYwBlAFwAbgAgACAAPQBMAEEATQBCAEQAQQAoAFwAIgBOAGEAdABpAG8AbgBhAGwAIABJAG4AdgBlAG4AdABvAHIAeQAgAFIAZQBwAG8AcgB0ACAAMgAwADIAMwAgAFYAbwBsAHUAbQBlACAAMQA6ACAAVABhAGIAbABlACAANQAuADEAMgBcACIAKQA7AFwAbgBcAG4AUwBvAHUAcgBjAGUARABhAHQAYQBfAEwAaQB2AGUAcwB0AG8AYwBrAF8AQwBvAG0AbQBvAG4AXwBTAHkAbQBiAG8AbABzAE0ATQBTAF8ARABhAHQAYQBcAG4AIAAgAD0ATABBAE0AQgBEAEEAKABcAG4AIAAgACAAIABNAEEASwBFAEEAUgBSAEEAWQAoADEAOQAsACAAMwAsACAAXABuACAAIAAgACAAIAAgAEwAQQBNAEIARABBACgAcgAsAGMALAAgAFwAbgAgACAAIAAgACAAIAAgACAASQBOAEQARQBYACgAewBcAG4AIAAgACAAIAAgACAAIAAgACAAIABcACIAUwB5AG0AYgBvAGwAXAAiACwAIABcACIATQBhAG4AdQByAGUAIABtAGEAbgBhAGcAZQBtAGUAbgB0ACAAcwB5AHMAdABlAG0AXAAiACwAIABcACIAXAAiADsAXABuACAAIAAgACAAIAAgACAAIAAgACAAIAAgAFwAIgAxAFwAIgAsACAAXAAiAEEAbgBhAGUAcgBvAGIAaQBjACAAbABhAGcAbwBvAG4AXAAiACwAIABcACIAQQBuAGEAZQByAG8AYgBpAGMAIABsAGEAZwBvAG8AbgAgACgAbQA9ADEAKQBcACIAOwBcAG4AIAAgACAAIAAgACAAIAAgACAAIAAgACAAXAAiADIAXAAiACwAIABcACIATABpAHEAdQBpAGQAIABzAHkAcwB0AGUAbQBzAFwAIgAsACAAXAAiAEwAaQBxAHUAaQBkACAAcwB5AHMAdABlAG0AcwAgACgAbQA9ADIAKQBcACIAOwBcAG4AIAAgACAAIAAgACAAIAAgACAAIAAgACAAXAAiADMAXAAiACwAIABcACIARABhAGkAbAB5ACAAcwBwAHIAZQBhAGQAXAAiACwAIABcACIARABhAGkAbAB5ACAAcwBwAHIAZQBhAGQAIAAoAG0APQAzACkAXAAiADsAXABuACAAIAAgACAAIAAgACAAIAAgACAAIAAgAFwAIgAzAGEAXAAiACwAIABcACIAUwB1AG0AcAAgAGEAbgBkACAAZABpAHMAcABlAHIAcwBhAGwAIABzAHkAcwB0AGUAbQBcACIALAAgAFwAIgBTAHUAbQBwACAAYQBuAGQAIABkAGkAcwBwAGUAcgBzAGEAbAAgAHMAeQBzAHQAZQBtACAAKABtAD0AMwBhACkAXAAiADsAXABuACAAIAAgACAAIAAgACAAIAAgACAAIAAgAFwAIgAzAGIAXAAiACwAIABcACIARAByAGEAaQBuAHMAIAB0AG8AIABwAGEAZABkAG8AYwBrAFwAIgAsACAAXAAiAEQAcgBhAGkAbgBzACAAdABvACAAcABhAGQAZABvAGMAawAgACgAbQA9ADMAYgApAFwAIgA7AFwAbgAgACAAIAAgACAAIAAgACAAIAAgACAAIABcACIANABcACIALAAgAFwAIgBTAG8AbABpAGQAIABzAHQAbwByAGEAZwBlAFwAIgAsACAAXAAiAFMAbwBsAGkAZAAgAHMAdABvAHIAYQBnAGUAIAAoAG0APQA0ACkAXAAiADsAXABuACAAIAAgACAAIAAgACAAIAAgACAAIAAgAFwAIgA1AFwAIgAsACAAXAAiAEQAcgB5AGwAbwB0ACAAKABmAGUAZQBkACAAcABhAGQAKQBcACIALAAgAFwAIgBEAHIAeQBsAG8AdAAgACgAZgBlAGUAZAAgAHAAYQBkACkAIAAoAG0APQA1ACkAXAAiADsAXABuACAAIAAgACAAIAAgACAAIAAgACAAIAAgAFwAIgA2AFwAIgAsACAAXAAiAEMAbwBtAHAAbwBzAHQAaQBuAGcAIAAoAHAAYQBzAHMAaQB2AGUAIAB3AGkAbgBkAHIAbwB3ACkAXAAiACwAIABcACIAQwBvAG0AcABvAHMAdABpAG4AZwAgACgAcABhAHMAcwBpAHYAZQAgAHcAaQBuAGQAcgBvAHcAKQAgACgAbQA9ADYAKQBcACIAOwBcAG4AIAAgACAAIAAgACAAIAAgACAAIAAgACAAXAAiADcAXAAiACwAIABcACIARABpAGcAZQBzAHQAZQByACAALwAgAGMAbwB2AGUAcgBlAGQAIABsAGEAZwBvAG8AbgBzAFwAIgAsACAAXAAiAEQAaQBnAGUAcwB0AGUAcgAgAC8AIABjAG8AdgBlAHIAZQBkACAAbABhAGcAbwBvAG4AcwAgACgAbQA9ADcAKQBcACIAOwBcAG4AIAAgACAAIAAgACAAIAAgACAAIAAgACAAXAAiADgAXAAiACwAIABcACIARABlAGUAcAAgAGwAaQB0AHQAZQByAFwAIgAsACAAXAAiAEQAZQBlAHAAIABsAGkAdAB0AGUAcgAgACgAbQA9ADgAKQBcACIAOwBcAG4AIAAgACAAIAAgACAAIAAgACAAIAAgACAAXAAiADkAXAAiACwAIABcACIAUABpAHQAIABzAHQAbwByAGEAZwBlAFwAIgAsACAAXAAiAFAAaQB0ACAAcwB0AG8AcgBhAGcAZQAgACgAbQA9ADkAKQBcACIAOwBcAG4AIAAgACAAIAAgACAAIAAgACAAIAAgACAAXAAiADEAMABcACIALAAgAFwAIgBQAG8AdQBsAHQAcgB5ACAAbQBhAG4AdQByAGUAIAB3AGkAdABoACAAYgBlAGQAZABpAG4AZwBcACIALAAgAFwAIgBQAG8AdQBsAHQAcgB5ACAAbQBhAG4AdQByAGUAIAB3AGkAdABoACAAYgBlAGQAZABpAG4AZwAgACgAbQA9ADEAMAApAFwAIgA7AFwAbgAgACAAIAAgACAAIAAgACAAIAAgACAAIABcACIAMQAxAFwAIgAsACAAXAAiAFAAbwB1AGwAdAByAHkAIABtAGEAbgB1AHIAZQAgAHcAaQB0AGgAbwB1AHQAIABiAGUAZABkAGkAbgBnAFwAIgAsACAAXAAiAFAAbwB1AGwAdAByAHkAIABtAGEAbgB1AHIAZQAgAHcAaQB0AGgAbwB1AHQAIABiAGUAZABkAGkAbgBnACAAKABtAD0AMQAxACkAXAAiADsAXABuACAAIAAgACAAIAAgACAAIAAgACAAIAAgAFwAIgAxADEAYQBcACIALAAgAFwAIgBCAGUAbAB0ACAAbQBhAG4AdQByAGUAIAByAGUAbQBvAHYAYQBsAFwAIgAsACAAXAAiAEIAZQBsAHQAIABtAGEAbgB1AHIAZQAgAHIAZQBtAG8AdgBhAGwAIAAoAG0APQAxADEAYQApAFwAIgA7AFwAbgAgACAAIAAgACAAIAAgACAAIAAgACAAIABcACIAMQAxAGIAXAAiACwAIABcACIATQBhAG4AdQByAGUAIABzAHQAbwByAGUAZAAgAGkAbgAgAGgAbwB1AHMAZQBcACIALAAgAFwAIgBNAGEAbgB1AHIAZQAgAHMAdABvAHIAZQBkACAAaQBuACAAaABvAHUAcwBlACAAKABtAD0AMQAxAGIAKQBcACIAOwBcAG4AIAAgACAAIAAgACAAIAAgACAAIAAgACAAXAAiADEAMgBcACIALAAgAFwAIgBEAGkAcgBlAGMAdAAgAHAAcgBvAGMAZQBzAHMAaQBuAGcAXAAiACwAIABcACIARABpAHIAZQBjAHQAIABwAHIAbwBjAGUAcwBzAGkAbgBnACAAKABtAD0AMQAyACkAXAAiADsAXABuACAAIAAgACAAIAAgACAAIAAgACAAIAAgAFwAIgAxADMAXAAiACwAIABcACIARABpAHIAZQBjAHQAIABhAHAAcABsAGkAYwBhAHQAaQBvAG4AXAAiACwAIABcACIARABpAHIAZQBjAHQAIABhAHAAcABsAGkAYwBhAHQAaQBvAG4AIAAoAG0APQAxADMAKQBcACIAOwBcAG4AIAAgACAAIAAgACAAIAAgACAAIAAgACAAXAAiADEANABcACIALAAgAFwAIgBQAGEAcwB0AHUAcgBlACAAcgBhAG4AZwBlACAAYQBuAGQAIABwAGEAZABkAG8AYwBrAFwAIgAsACAAXAAiAFAAYQBzAHQAdQByAGUAIAByAGEAbgBnAGUAIABhAG4AZAAgAHAAYQBkAGQAbwBjAGsAIAAoAG0APQAxADQAKQBcACIAXABuACAAIAAgACAAIAAgACAAIAB9ACwAIAByACwAIABjACkAXABuACAAIAAgACAAIAAgACkAXABuACAAIAAgACAAKQBcAG4AIAAgACkAOwBcAG4AXABuAFwAbgAvACoAIABcAG4ALQAtAC0ALQAtAC0ALQAtAC0ALQAtAC0ALQAtAC0ALQAtAC0ALQAtAC0ALQAtAC0ALQAtAC0ALQAtAC0ALQAtAC0ALQAtAC0ALQAtAFwAbgBTAG8AdQByAGMAZQBEAGEAdABhAF8ATABpAHYAZQBzAHQAbwBjAGsAXwBQAHIAbwBkAHUAYwB0AF8AQgBlAGUAZgBDAGEAdAB0AGwAZQBcAG4ALQAtAC0ALQAtAC0ALQAtAC0ALQAtAC0ALQAtAC0ALQAtAC0ALQAtAC0ALQAtAC0ALQAtAC0ALQAtAC0ALQAtAC0ALQAtAC0ALQAtAFwAbgAqAC8AXABuAFwAbgBTAG8AdQByAGMAZQBEAGEAdABhAF8ATABpAHYAZQBzAHQAbwBjAGsAXwBQAHIAbwBkAHUAYwB0AF8AQgBlAGUAZgBDAGEAdAB0AGwAZQBfAFQAaQB0AGwAZQBcAG4AIAAgAD0ATABBAE0AQgBEAEEAKABcACIAQgBlAGUAZgAgAGMAYQB0AHQAbABlACAAcAByAG8AZAB1AGMAdABzACAAZgBvAHIAIABzAGMAbwBwAGUAIAAzAFwAIgApADsAXABuAFwAbgBTAG8AdQByAGMAZQBEAGEAdABhAF8ATABpAHYAZQBzAHQAbwBjAGsAXwBQAHIAbwBkAHUAYwB0AF8AQgBlAGUAZgBDAGEAdAB0AGwAZQBfAFYAYQBpAHIAYQBiAGwAZQBcAG4AIAAgAD0ATABBAE0AQgBEAEEAKABcACIAXAAiACkAOwBcAG4AXABuAFMAbwB1AHIAYwBlAEQAYQB0AGEAXwBMAGkAdgBlAHMAdABvAGMAawBfAFAAcgBvAGQAdQBjAHQAXwBCAGUAZQBmAEMAYQB0AHQAbABlAF8AVQBuAGkAdABcAG4AIAAgAD0ATABBAE0AQgBEAEEAKABcACIAXAAiACkAOwBcAG4AXABuAFMAbwB1AHIAYwBlAEQAYQB0AGEAXwBMAGkAdgBlAHMAdABvAGMAawBfAFAAcgBvAGQAdQBjAHQAXwBCAGUAZQBmAEMAYQB0AHQAbABlAF8AUwBvAHUAcgBjAGUAXABuACAAIAA9AEwAQQBNAEIARABBACgAXAAiAEwAaQBmAGUAYwB5AGMAbABlAHMALgAgACgAMgAwADIANgApAC4AIABHAHIAZQBlAG4AaABvAHUAcwBlACAARwBhAHMAIABFAG0AaQBzAHMAaQBvAG4AIABJAG4AdABlAG4AcwBpAHQAaQBlAHMAIABmAG8AcgAgAE0AYQB0AGUAcgBpAGEAbAAgAEkAbgBwAHUAdABzACAAdABvACAAQQB1AHMAdAByAGEAbABpAGEAbgAgAEEAZwByAGkAYwB1AGwAdAB1AHIAZQAsACAARgBpAHMAaABlAHIAaQBlAHMAIABhAG4AZAAgAEYAbwByAGUAcwB0AHIAeQAuACAAVgBlAHIAcwBpAG8AbgAgADQAOAAuACAAZABvAGkAIAAxADAALgA1ADIAOAAxAC8AegBlAG4AbwBkAG8ALgAxADkANgA1ADYANQA4ADAAXAAiACkAOwBcAG4AXABuAFMAbwB1AHIAYwBlAEQAYQB0AGEAXwBMAGkAdgBlAHMAdABvAGMAawBfAFAAcgBvAGQAdQBjAHQAXwBCAGUAZQBmAEMAYQB0AHQAbABlAF8ARABhAHQAYQBcAG4AIAAgAD0ATABBAE0AQgBEAEEAKABcAG4AIAAgACAAIABNAEEASwBFAEEAUgBSAEEAWQAoADkALAAgADIALAAgAFwAbgAgACAAIAAgACAAIABMAEEATQBCAEQAQQAoAHIALABjACwAIABcAG4AIAAgACAAIAAgACAAIAAgAEkATgBEAEUAWAAoAHsAXABuACAAIAAgACAAIAAgACAAIAAgACAAXAAiAFAAcgBvAGQAdQBjAHQAXAAiACwAIABcACIAUwBvAHUAcgBjAGUAIAByAGUAZwBpAG8AbgBcACIAOwBcAG4AIAAgACAAIAAgACAAIAAgACAAIAAgACAAXAAiAEMAYQB0AHQAbABlACwAIABmAG8AcgAgAG0AYQBuAHUAZgBhAGMAdAB1AHIAaQBuAGcAIABiAGUAZQBmAFwAIgAsACAAXAAiAEEAdQBzAHQAcgBhAGwAaQBhAFwAIgA7AFwAbgAgACAAIAAgACAAIAAgACAAIAAgACAAIABcACIAQwBhAHQAdABsAGUALAAgAGYAbwByACAAcAByAGkAbQBlACAAYgBlAGUAZgBcACIALAAgAFwAIgBOAFMAVwBcACIAOwBcAG4AIAAgACAAIAAgACAAIAAgACAAIAAgACAAXAAiAEMAYQB0AHQAbABlACwAIAB3AGUAYQBuAGUAcgBzAFwAIgAsACAAXAAiAE4AVABcACIAOwBcAG4AIAAgACAAIAAgACAAIAAgACAAIAAgACAAXAAiAFwAIgAsACAAXAAiAFEATABEAFwAIgA7AFwAbgAgACAAIAAgACAAIAAgACAAIAAgACAAIABcACIAXAAiACwAIABcACIAUwBBAFwAIgA7AFwAbgAgACAAIAAgACAAIAAgACAAIAAgACAAIABcACIAXAAiACwAIABcACIAVABBAFMAXAAiADsAXABuACAAIAAgACAAIAAgACAAIAAgACAAIAAgAFwAIgBcACIALAAgAFwAIgBWAEkAQwBcACIAOwBcAG4AIAAgACAAIAAgACAAIAAgACAAIAAgACAAXAAiAFwAIgAsACAAXAAiAFcAQQBcACIAXABuACAAIAAgACAAIAAgACAAIAB9ACwAIAByACwAIABjACkAXABuACAAIAAgACAAIAAgACkAXABuACAAIAAgACAAKQBcAG4AIAAgACkAOwBcAG4AXABuAC8AKgAgAFwAbgAtAC0ALQAtAC0ALQAtAC0ALQAtAC0ALQAtAC0ALQAtAC0ALQAtAC0ALQAtAC0ALQAtAC0ALQAtAC0ALQAtAC0ALQAtAC0ALQAtAC0AXABuAFMAbwB1AHIAYwBlAEQAYQB0AGEAXwBMAGkAdgBlAHMAdABvAGMAawBfAFAAcgBvAGQAdQBjAHQAXwBDAGgAaQBjAGsAZQBuAHMAXABuAC0ALQAtAC0ALQAtAC0ALQAtAC0ALQAtAC0ALQAtAC0ALQAtAC0ALQAtAC0ALQAtAC0ALQAtAC0ALQAtAC0ALQAtAC0ALQAtAC0ALQBcAG4AKgAvAFwAbgBcAG4AUwBvAHUAcgBjAGUARABhAHQAYQBfAEwAaQB2AGUAcwB0AG8AYwBrAF8AUAByAG8AZAB1AGMAdABfAEMAaABpAGMAawBlAG4AcwBfAFQAaQB0AGwAZQBcAG4AIAAgAD0ATABBAE0AQgBEAEEAKABcACIAQwBoAGkAYwBrAGUAbgBzACAAcAByAG8AZAB1AGMAdABzACAAZgBvAHIAIABzAGMAbwBwAGUAIAAzAFwAIgApADsAXABuAFwAbgBTAG8AdQByAGMAZQBEAGEAdABhAF8ATABpAHYAZQBzAHQAbwBjAGsAXwBQAHIAbwBkAHUAYwB0AF8AQwBoAGkAYwBrAGUAbgBzAF8AVgBhAGkAcgBhAGIAbABlAFwAbgAgACAAPQBMAEEATQBCAEQAQQAoAFwAIgBcACIAKQA7AFwAbgBcAG4AUwBvAHUAcgBjAGUARABhAHQAYQBfAEwAaQB2AGUAcwB0AG8AYwBrAF8AUAByAG8AZAB1AGMAdABfAEMAaABpAGMAawBlAG4AcwBfAFUAbgBpAHQAXABuACAAIAA9AEwAQQBNAEIARABBACgAXAAiAFwAIgApADsAXABuAFwAbgBTAG8AdQByAGMAZQBEAGEAdABhAF8ATABpAHYAZQBzAHQAbwBjAGsAXwBQAHIAbwBkAHUAYwB0AF8AQwBoAGkAYwBrAGUAbgBzAF8AUwBvAHUAcgBjAGUAXABuACAAIAA9AEwAQQBNAEIARABBACgAXAAiAEwAaQBmAGUAYwB5AGMAbABlAHMALgAgACgAMgAwADIANgApAC4AIABHAHIAZQBlAG4AaABvAHUAcwBlACAARwBhAHMAIABFAG0AaQBzAHMAaQBvAG4AIABJAG4AdABlAG4AcwBpAHQAaQBlAHMAIABmAG8AcgAgAE0AYQB0AGUAcgBpAGEAbAAgAEkAbgBwAHUAdABzACAAdABvACAAQQB1AHMAdAByAGEAbABpAGEAbgAgAEEAZwByAGkAYwB1AGwAdAB1AHIAZQAsACAARgBpAHMAaABlAHIAaQBlAHMAIABhAG4AZAAgAEYAbwByAGUAcwB0AHIAeQAuACAAVgBlAHIAcwBpAG8AbgAgADQAOAAuACAAZABvAGkAIAAxADAALgA1ADIAOAAxAC8AegBlAG4AbwBkAG8ALgAxADkANgA1ADYANQA4ADAAXAAiACkAOwBcAG4AXABuAFMAbwB1AHIAYwBlAEQAYQB0AGEAXwBMAGkAdgBlAHMAdABvAGMAawBfAFAAcgBvAGQAdQBjAHQAXwBDAGgAaQBjAGsAZQBuAHMAXwBEAGEAdABhAFwAbgAgACAAPQBMAEEATQBCAEQAQQAoAFwAbgAgACAAIAAgAE0AQQBLAEUAQQBSAFIAQQBZACgAMgAsACAAMgAsACAAXABuACAAIAAgACAAIAAgAEwAQQBNAEIARABBACgAcgAsAGMALAAgAFwAbgAgACAAIAAgACAAIAAgACAASQBOAEQARQBYACgAewBcAG4AIAAgACAAIAAgACAAIAAgACAAIABcACIAUAByAG8AZAB1AGMAdABcACIALAAgAFwAIgBTAG8AdQByAGMAZQAgAHIAZQBnAGkAbwBuAFwAIgA7AFwAbgAgACAAIAAgACAAIAAgACAAIAAgACAAIABcACIAQwBoAGkAYwBrAGUAbgBzAFwAIgAsACAAXAAiAEEAdQBzAHQAcgBhAGwAaQBhAFwAIgBcAG4AIAAgACAAIAAgACAAIAAgAH0ALAAgAHIALAAgAGMAKQBcAG4AIAAgACAAIAAgACAAKQBcAG4AIAAgACAAIAApAFwAbgAgACAAKQA7AFwAbgBcAG4AXABuAC8AKgAgAFwAbgAtAC0ALQAtAC0ALQAtAC0ALQAtAC0ALQAtAC0ALQAtAC0ALQAtAC0ALQAtAC0ALQAtAC0ALQAtAC0ALQAtAC0ALQAtAC0ALQAtAC0AXABuAFMAbwB1AHIAYwBlAEQAYQB0AGEAXwBMAGkAdgBlAHMAdABvAGMAawBfAFAAcgBvAGQAdQBjAHQAXwBEAGEAaQByAHkAYwBhAHQAdABsAGUAXABuAC0ALQAtAC0ALQAtAC0ALQAtAC0ALQAtAC0ALQAtAC0ALQAtAC0ALQAtAC0ALQAtAC0ALQAtAC0ALQAtAC0ALQAtAC0ALQAtAC0ALQBcAG4AKgAvAFwAbgBcAG4AUwBvAHUAcgBjAGUARABhAHQAYQBfAEwAaQB2AGUAcwB0AG8AYwBrAF8AUAByAG8AZAB1AGMAdABfAEQAYQBpAHIAeQBjAGEAdAB0AGwAZQBfAFQAaQB0AGwAZQBcAG4AIAAgAD0ATABBAE0AQgBEAEEAKABcACIARABhAGkAcgB5ACAAYwBhAHQAdABsAGUAIABwAHIAbwBkAHUAYwB0AHMAIABmAG8AcgAgAHMAYwBvAHAAZQAgADMAXAAiACkAOwBcAG4AXABuAFMAbwB1AHIAYwBlAEQAYQB0AGEAXwBMAGkAdgBlAHMAdABvAGMAawBfAFAAcgBvAGQAdQBjAHQAXwBEAGEAaQByAHkAYwBhAHQAdABsAGUAXwBWAGEAaQByAGEAYgBsAGUAXABuACAAIAA9AEwAQQBNAEIARABBACgAXAAiAFwAIgApADsAXABuAFwAbgBTAG8AdQByAGMAZQBEAGEAdABhAF8ATABpAHYAZQBzAHQAbwBjAGsAXwBQAHIAbwBkAHUAYwB0AF8ARABhAGkAcgB5AGMAYQB0AHQAbABlAF8AVQBuAGkAdABcAG4AIAAgAD0ATABBAE0AQgBEAEEAKABcACIAXAAiACkAOwBcAG4AXABuAFMAbwB1AHIAYwBlAEQAYQB0AGEAXwBMAGkAdgBlAHMAdABvAGMAawBfAFAAcgBvAGQAdQBjAHQAXwBEAGEAaQByAHkAYwBhAHQAdABsAGUAXwBTAG8AdQByAGMAZQBcAG4AIAAgAD0ATABBAE0AQgBEAEEAKABcACIATABpAGYAZQBjAHkAYwBsAGUAcwAuACAAKAAyADAAMgA2ACkALgAgAEcAcgBlAGUAbgBoAG8AdQBzAGUAIABHAGEAcwAgAEUAbQBpAHMAcwBpAG8AbgAgAEkAbgB0AGUAbgBzAGkAdABpAGUAcwAgAGYAbwByACAATQBhAHQAZQByAGkAYQBsACAASQBuAHAAdQB0AHMAIAB0AG8AIABBAHUAcwB0AHIAYQBsAGkAYQBuACAAQQBnAHIAaQBjAHUAbAB0AHUAcgBlACwAIABGAGkAcwBoAGUAcgBpAGUAcwAgAGEAbgBkACAARgBvAHIAZQBzAHQAcgB5AC4AIABWAGUAcgBzAGkAbwBuACAANAA4AC4AIABkAG8AaQAgADEAMAAuADUAMgA4ADEALwB6AGUAbgBvAGQAbwAuADEAOQA2ADUANgA1ADgAMABcACIAKQA7AFwAbgBcAG4AUwBvAHUAcgBjAGUARABhAHQAYQBfAEwAaQB2AGUAcwB0AG8AYwBrAF8AUAByAG8AZAB1AGMAdABfAEQAYQBpAHIAeQBjAGEAdAB0AGwAZQBfAEQAYQB0AGEAXABuACAAIAA9AEwAQQBNAEIARABBACgAXABuACAAIAAgACAATQBBAEsARQBBAFIAUgBBAFkAKAAyACwAIAAyACwAIABcAG4AIAAgACAAIAAgACAATABBAE0AQgBEAEEAKAByACwAYwAsACAAXABuACAAIAAgACAAIAAgACAAIABJAE4ARABFAFgAKAB7AFwAbgAgACAAIAAgACAAIAAgACAAIAAgAFwAIgBQAHIAbwBkAHUAYwB0AFwAIgAsACAAXAAiAFMAbwB1AHIAYwBlACAAcgBlAGcAaQBvAG4AXAAiADsAXABuACAAIAAgACAAIAAgACAAIAAgACAAIAAgAFwAIgBEAGEAaQByAHkAIABjAG8AdwBzAFwAIgAsACAAXAAiAFYASQBDAFwAIgBcAG4AIAAgACAAIAAgACAAIAAgAH0ALAAgAHIALAAgAGMAKQBcAG4AIAAgACAAIAAgACAAKQBcAG4AIAAgACAAIAApAFwAbgAgACAAKQA7AFwAbgBcAG4AXABuAC8AKgAgAFwAbgAtAC0ALQAtAC0ALQAtAC0ALQAtAC0ALQAtAC0ALQAtAC0ALQAtAC0ALQAtAC0ALQAtAC0ALQAtAC0ALQAtAC0ALQAtAC0ALQAtAC0AXABuAFMAbwB1AHIAYwBlAEQAYQB0AGEAXwBMAGkAdgBlAHMAdABvAGMAawBfAFAAcgBvAGQAdQBjAHQAXwBQAGkAZwBzAFwAbgAtAC0ALQAtAC0ALQAtAC0ALQAtAC0ALQAtAC0ALQAtAC0ALQAtAC0ALQAtAC0ALQAtAC0ALQAtAC0ALQAtAC0ALQAtAC0ALQAtAC0AXABuACoALwBcAG4AXABuAFMAbwB1AHIAYwBlAEQAYQB0AGEAXwBMAGkAdgBlAHMAdABvAGMAawBfAFAAcgBvAGQAdQBjAHQAXwBQAGkAZwBzAF8AVABpAHQAbABlAFwAbgAgACAAPQBMAEEATQBCAEQAQQAoAFwAIgBQAGkAZwBzACAAcAByAG8AZAB1AGMAdABzACAAZgBvAHIAIABzAGMAbwBwAGUAIAAzAFwAIgApADsAXABuAFwAbgBTAG8AdQByAGMAZQBEAGEAdABhAF8ATABpAHYAZQBzAHQAbwBjAGsAXwBQAHIAbwBkAHUAYwB0AF8AUABpAGcAcwBfAFYAYQBpAHIAYQBiAGwAZQBcAG4AIAAgAD0ATABBAE0AQgBEAEEAKABcACIAXAAiACkAOwBcAG4AXABuAFMAbwB1AHIAYwBlAEQAYQB0AGEAXwBMAGkAdgBlAHMAdABvAGMAawBfAFAAcgBvAGQAdQBjAHQAXwBQAGkAZwBzAF8AVQBuAGkAdABcAG4AIAAgAD0ATABBAE0AQgBEAEEAKABcACIAXAAiACkAOwBcAG4AXABuAFMAbwB1AHIAYwBlAEQAYQB0AGEAXwBMAGkAdgBlAHMAdABvAGMAawBfAFAAcgBvAGQAdQBjAHQAXwBQAGkAZwBzAF8AUwBvAHUAcgBjAGUAXABuACAAIAA9AEwAQQBNAEIARABBACgAXAAiAEwAaQBmAGUAYwB5AGMAbABlAHMALgAgACgAMgAwADIANgApAC4AIABHAHIAZQBlAG4AaABvAHUAcwBlACAARwBhAHMAIABFAG0AaQBzAHMAaQBvAG4AIABJAG4AdABlAG4AcwBpAHQAaQBlAHMAIABmAG8AcgAgAE0AYQB0AGUAcgBpAGEAbAAgAEkAbgBwAHUAdABzACAAdABvACAAQQB1AHMAdAByAGEAbABpAGEAbgAgAEEAZwByAGkAYwB1AGwAdAB1AHIAZQAsACAARgBpAHMAaABlAHIAaQBlAHMAIABhAG4AZAAgAEYAbwByAGUAcwB0AHIAeQAuACAAVgBlAHIAcwBpAG8AbgAgADQAOAAuACAAZABvAGkAIAAxADAALgA1ADIAOAAxAC8AegBlAG4AbwBkAG8ALgAxADkANgA1ADYANQA4ADAAXAAiACkAOwBcAG4AXABuAFMAbwB1AHIAYwBlAEQAYQB0AGEAXwBMAGkAdgBlAHMAdABvAGMAawBfAFAAcgBvAGQAdQBjAHQAXwBQAGkAZwBzAF8ARABhAHQAYQBcAG4AIAAgAD0ATABBAE0AQgBEAEEAKABcAG4AIAAgACAAIABNAEEASwBFAEEAUgBSAEEAWQAoADIALAAgADIALAAgAFwAbgAgACAAIAAgACAAIABMAEEATQBCAEQAQQAoAHIALABjACwAIABcAG4AIAAgACAAIAAgACAAIAAgAEkATgBEAEUAWAAoAHsAXABuACAAIAAgACAAIAAgACAAIAAgACAAXAAiAFAAcgBvAGQAdQBjAHQAXAAiACwAIABcACIAUwBvAHUAcgBjAGUAIAByAGUAZwBpAG8AbgBcACIAOwBcAG4AIAAgACAAIAAgACAAIAAgACAAIAAgACAAXAAiAFAAaQBnAHMAXAAiACwAIABcACIAQQB1AHMAdAByAGEAbABpAGEAXAAiAFwAbgAgACAAIAAgACAAIAAgACAAfQAsACAAcgAsACAAYwApAFwAbgAgACAAIAAgACAAIAApAFwAbgAgACAAIAAgACkAXABuACAAIAApADsAXABuAFwAbgAvACoAIABcAG4ALQAtAC0ALQAtAC0ALQAtAC0ALQAtAC0ALQAtAC0ALQAtAC0ALQAtAC0ALQAtAC0ALQAtAC0ALQAtAC0ALQAtAC0ALQAtAC0ALQAtAFwAbgBTAG8AdQByAGMAZQBEAGEAdABhAF8ATABpAHYAZQBzAHQAbwBjAGsAXwBQAHIAbwBkAHUAYwB0AF8AUwBoAGUAZQBwAFwAbgAtAC0ALQAtAC0ALQAtAC0ALQAtAC0ALQAtAC0ALQAtAC0ALQAtAC0ALQAtAC0ALQAtAC0ALQAtAC0ALQAtAC0ALQAtAC0ALQAtAC0AXABuACoALwBcAG4AXABuAFMAbwB1AHIAYwBlAEQAYQB0AGEAXwBMAGkAdgBlAHMAdABvAGMAawBfAFAAcgBvAGQAdQBjAHQAXwBTAGgAZQBlAHAAXwBUAGkAdABsAGUAXABuACAAIAA9AEwAQQBNAEIARABBACgAXAAiAFMAaABlAGUAcAAgAHAAcgBvAGQAdQBjAHQAcwAgAGYAbwByACAAcwBjAG8AcABlACAAMwBcACIAKQA7AFwAbgBcAG4AUwBvAHUAcgBjAGUARABhAHQAYQBfAEwAaQB2AGUAcwB0AG8AYwBrAF8AUAByAG8AZAB1AGMAdABfAFMAaABlAGUAcABfAFYAYQBpAHIAYQBiAGwAZQBcAG4AIAAgAD0ATABBAE0AQgBEAEEAKABcACIAXAAiACkAOwBcAG4AXABuAFMAbwB1AHIAYwBlAEQAYQB0AGEAXwBMAGkAdgBlAHMAdABvAGMAawBfAFAAcgBvAGQAdQBjAHQAXwBTAGgAZQBlAHAAXwBVAG4AaQB0AFwAbgAgACAAPQBMAEEATQBCAEQAQQAoAFwAIgBcACIAKQA7AFwAbgBcAG4AUwBvAHUAcgBjAGUARABhAHQAYQBfAEwAaQB2AGUAcwB0AG8AYwBrAF8AUAByAG8AZAB1AGMAdABfAFMAaABlAGUAcABfAFMAbwB1AHIAYwBlAFwAbgAgACAAPQBMAEEATQBCAEQAQQAoAFwAIgBMAGkAZgBlAGMAeQBjAGwAZQBzAC4AIAAoADIAMAAyADYAKQAuACAARwByAGUAZQBuAGgAbwB1AHMAZQAgAEcAYQBzACAARQBtAGkAcwBzAGkAbwBuACAASQBuAHQAZQBuAHMAaQB0AGkAZQBzACAAZgBvAHIAIABNAGEAdABlAHIAaQBhAGwAIABJAG4AcAB1AHQAcwAgAHQAbwAgAEEAdQBzAHQAcgBhAGwAaQBhAG4AIABBAGcAcgBpAGMAdQBsAHQAdQByAGUALAAgAEYAaQBzAGgAZQByAGkAZQBzACAAYQBuAGQAIABGAG8AcgBlAHMAdAByAHkALgAgAFYAZQByAHMAaQBvAG4AIAA0ADgALgAgAGQAbwBpACAAMQAwAC4ANQAyADgAMQAvAHoAZQBuAG8AZABvAC4AMQA5ADYANQA2ADUAOAAwAFwAIgApADsAXABuAFwAbgBTAG8AdQByAGMAZQBEAGEAdABhAF8ATABpAHYAZQBzAHQAbwBjAGsAXwBQAHIAbwBkAHUAYwB0AF8AUwBoAGUAZQBwAF8ARABhAHQAYQBcAG4AIAAgAD0ATABBAE0AQgBEAEEAKABcAG4AIAAgACAAIABNAEEASwBFAEEAUgBSAEEAWQAoADgALAAgADIALAAgAFwAbgAgACAAIAAgACAAIABMAEEATQBCAEQAQQAoAHIALABjACwAIABcAG4AIAAgACAAIAAgACAAIAAgAEkATgBEAEUAWAAoAHsAXABuACAAIAAgACAAIAAgACAAIAAgACAAXAAiAFAAcgBvAGQAdQBjAHQAXAAiACwAIABcACIAUwBvAHUAcgBjAGUAIAByAGUAZwBpAG8AbgBcACIAOwBcAG4AIAAgACAAIAAgACAAIAAgACAAIAAgACAAXAAiAFMAaABlAGUAcAAsACAAZgBvAHIAIABtAHUAdAB0AG8AbgBcACIALAAgAFwAIgBBAHUAcwB0AHIAYQBsAGkAYQBcACIAOwBcAG4AIAAgACAAIAAgACAAIAAgACAAIAAgACAAXAAiAFMAaABlAGUAcAAsACAAZgBvAHIAIABwAHIAaQBtAGUAIABsAGEAbQBiAFwAIgAsACAAXAAiAE4AUwBXAFwAIgA7AFwAbgAgACAAIAAgACAAIAAgACAAIAAgACAAIABcACIAXAAiACwAIABcACIAUQBMAEQAXAAiADsAXABuACAAIAAgACAAIAAgACAAIAAgACAAIAAgAFwAIgBcACIALAAgAFwAIgBTAEEAXAAiADsAXABuACAAIAAgACAAIAAgACAAIAAgACAAIAAgAFwAIgBcACIALAAgAFwAIgBUAEEAUwBcACIAOwBcAG4AIAAgACAAIAAgACAAIAAgACAAIAAgACAAXAAiAFwAIgAsACAAXAAiAFYASQBDAFwAIgA7AFwAbgAgACAAIAAgACAAIAAgACAAIAAgACAAIABcACIAXAAiACwAIABcACIAVwBBAFwAIgBcAG4AIAAgACAAIAAgACAAIAAgAH0ALAAgAHIALAAgAGMAKQBcAG4AIAAgACAAIAAgACAAKQBcAG4AIAAgACAAIAApAFwAbgAgACAAKQA7AFwAbgBcAG4AIgB9ACwAewAiAHAAYQB0AGgAIgA6ACIALwBwAHIAbwBqAGUAYwB0AHMALwBDAG8AbQBtAG8AbgBfAEkAbgBwAHUAdABGAHUAbgBjAHQAaQBvAG4AcwAiACwAIgB0AGUAeAB0ACIAOgAiAFUAdABpAGwAaQB0AHkAXwBHAGUAdABBAHIAcgBhAHkAVABhAGIAbABlAFIAbwB3AFMAdABhAHIAdABOAHUAbQBiAGUAcgBcAG4APQBMAEEATQBCAEQAQQAoAFwAbgAgACAAIAAgAFQAYQBiAGwAZQBoAGUAYQBkAGUAcgBDAGUAbABsACwAUgBvAHcAcwBCAGUAdAB3AGUAZQBuAEgAZQBhAGQAZQByAGEAbgBkAEEAcgByAGEAeQAsAFwAbgAgACAAIAAgAFIATwBXACgAVABhAGIAbABlAGgAZQBhAGQAZQByAEMAZQBsAGwAKQAgACsAIABSAG8AdwBzAEIAZQB0AHcAZQBlAG4ASABlAGEAZABlAHIAYQBuAGQAQQByAHIAYQB5ACAALQAgADEAXABuACkAOwBcAG4AXABuAFUAdABpAGwAaQB0AHkAXwBHAGUAdABBAHIAcgBhAHkAVABhAGIAbABlAEMAbwBsAHUAbQBuAFMAdABhAHIAdABOAHUAbQBiAGUAcgBcAG4APQBMAEEATQBCAEQAQQAoAFwAbgAgACAAVABhAGIAbABlAEgAZQBhAGQAZQByAEMAZQBsAGwALABcAG4AIAAgAEMATwBMAFUATQBOACgAVABhAGIAbABlAEgAZQBhAGQAZQByAEMAZQBsAGwAKQBcAG4AKQA7AFwAbgBcAG4AVQB0AGkAbABpAHQAeQBfAEQAaQBzAHAAbABhAHkAQQByAHIAYQB5AEkAbgBUAGEAYgBsAGUAXABuAD0ATABBAE0AQgBEAEEAKABcAG4AIABBAHIAcgBhAHkARABhAHQAYQAsACAAVABhAGIAbABlAGgAZQBhAGQAZQByAEMAZQBsAGwALAAgAFIAbwB3AHMAQgBlAHQAdwBlAGUAbgBIAGUAYQBkAGUAcgBhAG4AZABBAHIAcgBhAHkALAAgAFsAQwBvAGwAdQBtAG4AcwBCAGUAdAB3AGUAZQBuAEgAZQBhAGQAZQByAEEAbgBkAEEAcgByAGEAeQBdACwAXABuACAASQBGAEUAUgBSAE8AUgAoAFwAbgAgACAAIAAgACAASQBOAEQARQBYACgAXABuACAAIAAgACAAIAAgACAAIAAgACAAIAAgAFUATgBJAFEAVQBFACgAQQByAHIAYQB5AEQAYQB0AGEAKQAsACAAXABuACAAIAAgACAAIAAgACAAIAAgACAAIAAgAFIATwBXACgAKQAtAFUAdABpAGwAaQB0AHkAXwBHAGUAdABBAHIAcgBhAHkAVABhAGIAbABlAFIAbwB3AFMAdABhAHIAdABOAHUAbQBiAGUAcgAoAFQAYQBiAGwAZQBoAGUAYQBkAGUAcgBDAGUAbABsACwAIABSAG8AdwBzAEIAZQB0AHcAZQBlAG4ASABlAGEAZABlAHIAYQBuAGQAQQByAHIAYQB5ACkALAAgAFwAbgAgACAAIAAgACAAIAAgACAAIAAgACAAIABDAE8ATABVAE0ATgAoACkALQBVAHQAaQBsAGkAdAB5AF8ARwBlAHQAQQByAHIAYQB5AFQAYQBiAGwAZQBDAG8AbAB1AG0AbgBTAHQAYQByAHQATgB1AG0AYgBlAHIAKABUAGEAYgBsAGUAaABlAGEAZABlAHIAQwBlAGwAbAApACAAKwBcAG4AIAAgACAAIAAgACAAIAAgACAAIAAgACAASQBGACgASQBTAE8ATQBJAFQAVABFAEQAKABDAG8AbAB1AG0AbgBzAEIAZQB0AHcAZQBlAG4ASABlAGEAZABlAHIAQQBuAGQAQQByAHIAYQB5ACkALAAgADEALAAgAEMAbwBsAHUAbQBuAHMAQgBlAHQAdwBlAGUAbgBIAGUAYQBkAGUAcgBBAG4AZABBAHIAcgBhAHkAKQBcAG4AIAAgACAAIAAgACAAIAAgACkALAAgAFwAIgBcACIAXABuACAAIAAgACAAKQBcAG4AKQA7AFwAbgBcAG4AVQB0AGkAbABpAHQAeQBfAEwAbwBvAGsAdQBwAFYAYQBsAHUAZQBJAG4AVABhAGIAbABlAFwAbgA9AEwAQQBNAEIARABBACgAXABuACAAIAAgACAATABvAG8AawB1AHAAVgBhAGwAdQBlACwAIABMAG8AbwBrAHUAcABBAHIAcgBhAHkALAAgAFIAZQB0AHUAcgBuAEEAcgByAGEAeQAsAFwAbgAgACAAIAAgAFgATABPAE8ASwBVAFAAKABMAG8AbwBrAHUAcABWAGEAbAB1AGUALAAgAEwAbwBvAGsAdQBwAEEAcgByAGEAeQAsACAAUgBlAHQAdQByAG4AQQByAHIAYQB5ACwAIABcACIAXAAiACkAXABuACkAOwBcAG4AXABuAFUAdABpAGwAaQB0AHkAXwBMAG8AbwBrAHUAcABWAGEAbAB1AGUASQBuAFQAYQBiAGwAZQBOAHUAbQBiAGUAcgBcAG4APQBMAEEATQBCAEQAQQAoAFwAbgAgACAAIAAgAEwAbwBvAGsAdQBwAFYAYQBsAHUAZQAsACAATABvAG8AawB1AHAAQQByAHIAYQB5ACwAIABSAGUAdAB1AHIAbgBBAHIAcgBhAHkALABcAG4AIAAgACAAIABJAEYAKABJAFMATgBVAE0AQgBFAFIAKABcAG4AIAAgACAAIAAgACAAIAAgAFgATABPAE8ASwBVAFAAKABMAG8AbwBrAHUAcABWAGEAbAB1AGUALAAgAEwAbwBvAGsAdQBwAEEAcgByAGEAeQAsACAAUgBlAHQAdQByAG4AQQByAHIAYQB5ACwAIABcACIAXAAiACkAXABuACAAIAAgACAAKQAsACAAWABMAE8ATwBLAFUAUAAoAEwAbwBvAGsAdQBwAFYAYQBsAHUAZQAsACAATABvAG8AawB1AHAAQQByAHIAYQB5ACwAIABSAGUAdAB1AHIAbgBBAHIAcgBhAHkALAAgAFwAIgBcACIAKQAsACAAMAApAFwAbgApADsAXABuAFwAbgBVAHQAaQBsAGkAdAB5AF8ATABvAG8AawB1AHAAVgBhAGwAdQBlAEkAbgBUAGEAYgBsAGUAVAB3AG8AQwBvAGwAdQBtAG4AcwBcAG4APQBMAEEATQBCAEQAQQAoAFwAbgAgACAAIAAgAEwAbwBvAGsAdQBwAFYAYQBsAHUAZQAxACwAIABMAG8AbwBrAHUAcABWAGEAbAB1AGUAMgAsACAATABvAG8AawB1AHAAQQByAHIAYQB5ADEALAAgAEwAbwBvAGsAdQBwAEEAcgByAGEAeQAyACwAIABSAGUAdAB1AHIAbgBBAHIAcgBhAHkALAAgAFsAVgBhAGwAdQBlAEkARgBGAGEAbABzAGUAXQAsAFwAbgAgACAAIAAgAFgATABPAE8ASwBVAFAAKAAxACwAIAAoAEwAbwBvAGsAdQBwAEEAcgByAGEAeQAxAD0ATABvAG8AawB1AHAAVgBhAGwAdQBlADEAKQAqACgATABvAG8AawB1AHAAQQByAHIAYQB5ADIAPQBMAG8AbwBrAHUAcABWAGEAbAB1AGUAMgApACwAIABSAGUAdAB1AHIAbgBBAHIAcgBhAHkALAAgAEkARgAoAEkAUwBPAE0ASQBUAFQARQBEACgAVgBhAGwAdQBlAEkARgBGAGEAbABzAGUAKQAsACAAXAAiAFwAIgAsACAAVgBhAGwAdQBlAEkARgBGAGEAbABzAGUAKQApAFwAbgApADsAXABuAFwAbgBVAHQAaQBsAGkAdAB5AF8ATABvAG8AawB1AHAAVgBhAGwAdQBlAEkAbgBUAGEAYgBsAGUATwBuAGUAQwBvAGwAdQBtAG4AQQBuAGQASABlAGEAZABlAHIAXABuAD0ATABBAE0AQgBEAEEAKABcAG4AIAAgACAAIABMAG8AbwBrAHUAcABWAGEAbAB1AGUAMQAsACAATABvAG8AawB1AHAAVgBhAGwAdQBlADIALAAgAEwAbwBvAGsAdQBwAEEAcgByAGEAeQAxACwAIABMAG8AbwBrAHUAcABBAHIAcgBhAHkAMgAsACAAUgBlAHQAdQByAG4AQQByAHIAYQB5ACwAIABbAFYAYQBsAHUAZQBJAGYARgBhAGwAcwBlAF0ALABcAG4AIAAgACAAIABJAEYARQBSAFIATwBSACgAXABuACAAIAAgACAAIAAgACAAIABYAEwATwBPAEsAVQBQACgATABvAG8AawB1AHAAVgBhAGwAdQBlADEALAAgAEwAbwBvAGsAdQBwAEEAcgByAGEAeQAxACwAXABuACAAIAAgACAAIAAgACAAIAAgACAAIAAgAFgATABPAE8ASwBVAFAAKABMAG8AbwBrAHUAcABWAGEAbAB1AGUAMgAsACAATABvAG8AawB1AHAAQQByAHIAYQB5ADIALAAgAFIAZQB0AHUAcgBuAEEAcgByAGEAeQApAFwAbgAgACAAIAAgACAAIAAgACAAKQAsAFwAbgAgACAAIAAgACAAIAAgACAASQBGACgASQBTAE8ATQBJAFQAVABFAEQAKABWAGEAbAB1AGUASQBmAEYAYQBsAHMAZQApACwAIABcACIAXAAiACwAIABWAGEAbAB1AGUASQBmAEYAYQBsAHMAZQApAFwAbgAgACAAIAAgACkAXABuACkAOwBcAG4AXABuAFUAdABpAGwAaQB0AHkAXwBTAHAAbABpAHQAUwB0AHIAaQBuAGcASQBuAHQAbwBBAHIAcgBhAHkAXABuAD0ATABBAE0AQgBEAEEAKABcAG4AIAAgACAAIABDAGUAbABsACwAIABEAGUAbABpAG0AaQB0AGUAcgAsACAAWwBDAGgAYQByAGEAYwB0AGUAcgBUAG8AUgBlAG0AbwB2AGUAMQBdACwAIABbAEMAaABhAHIAYQBjAHQAZQByAFQAbwBSAGUAbQBvAHYAZQAyAF0ALABcAG4AIAAgACAAIAAgACAAIAAgAEYASQBMAFQARQBSAFgATQBMACgAXABuACAAIAAgACAAIAAgACAAIABcACIAXAB1ADAAMAAzAGMAdABcAHUAMAAwADMAZQBcAHUAMAAwADMAYwBzAFwAdQAwADAAMwBlAFwAIgAgAFwAdQAwADAAMgA2AFwAbgAgACAAIAAgACAAIAAgACAAUwBVAEIAUwBUAEkAVABVAFQARQAoAFwAbgAgACAAIAAgACAAIAAgACAAIAAgACAAIABTAFUAQgBTAFQASQBUAFUAVABFACgAUwBVAEIAUwBUAEkAVABVAFQARQAoAEMAZQBsAGwALABDAGgAYQByAGEAYwB0AGUAcgBUAG8AUgBlAG0AbwB2AGUAMQAsAFwAIgBcACIAKQAsAEMAaABhAHIAYQBjAHQAZQByAFQAbwBSAGUAbQBvAHYAZQAyACwAXAAiAFwAIgApACwAXABuACAAIAAgACAAIAAgACAAIAAgACAAIAAgAEQAZQBsAGkAbQBpAHQAZQByACwAXAAiAFwAdQAwADAAMwBjAC8AcwBcAHUAMAAwADMAZQBcAHUAMAAwADMAYwBzAFwAdQAwADAAMwBlAFwAIgBcAG4AIAAgACAAIAAgACAAIAAgACkAIABcAHUAMAAwADIANgBcAG4AIAAgACAAIAAgACAAIAAgAFwAIgBcAHUAMAAwADMAYwAvAHMAXAB1ADAAMAAzAGUAXAB1ADAAMAAzAGMALwB0AFwAdQAwADAAMwBlAFwAIgAsAFwAbgAgACAAIAAgACAAIAAgACAAXAAiAC8ALwBzAFwAIgBcAG4AIAAgACAAIAApAFwAbgApADsAXABuAFwAbgBVAHQAaQBsAGkAdAB5AF8ARwBlAHQAQwBsAGkAbQBhAHQAZQBaAG8AbgBlAFwAbgA9AEwAQQBNAEIARABBACgAXABuACAAIAAgACAAYQB2AGcAVABlAG0AcAAsAGEAdgBnAFIAYQBpAG4ALABmAHIAbwBzAHQARABhAHkAcwAsAGUAbABlAHYALABtAGEAcABfAHAAZQB0ACwAXABuACAAIAAgACAAbQBpAG4AVABlAG0AcABBAHIAcgBhAHkALABtAGEAeABUAGUAbQBwAEEAcgByAGEAeQAsAFwAbgAgACAAIAAgAG0AaQBuAFIAYQBpAG4AZgBhAGwAbABBAHIAcgBhAHkALABtAGEAeABSAGEAaQBuAGYAYQBsAGwAQQByAHIAYQB5ACwAXABuACAAIAAgACAAbQBpAG4ARgByAG8AcwB0AEEAcgByAGEAeQAsAG0AYQB4AEYAcgBvAHMAdABBAHIAcgBhAHkALABcAG4AIAAgACAAIABtAGkAbgBFAGwAZQB2AGEAdABpAG8AbgBBAHIAcgBhAHkALABtAGEAeABFAGwAZQB2AGEAdABpAG8AbgBBAHIAcgBhAHkALABcAG4AIAAgACAAIABtAGkAbgBQAEUAVABBAHIAcgBhAHkALABtAGEAeABQAEUAVABBAHIAcgBhAHkALABcAG4AIAAgACAAIABjAGwAaQBtAGEAdABlAFoAbwBuAGUAQQByAHIAYQB5ACwAXABuACAAIAAgACAATABFAFQAKABcAG4AIAAgACAAIAAgACAAIAAgAG0AYQBzAGsALABcAG4AIAAgACAAIAAgACAAIAAgACgAVgBBAEwAVQBFACgAbQBpAG4AVABlAG0AcABBAHIAcgBhAHkAKQBcAHUAMAAwADMAYwA9AGEAdgBnAFQAZQBtAHAAKQAqAFwAbgAgACAAIAAgACAAIAAgACAAKABWAEEATABVAEUAKABtAGEAeABUAGUAbQBwAEEAcgByAGEAeQApAFwAdQAwADAAMwBlAD0AYQB2AGcAVABlAG0AcAApACoAXABuACAAIAAgACAAIAAgACAAIAAoAFYAQQBMAFUARQAoAG0AaQBuAFIAYQBpAG4AZgBhAGwAbABBAHIAcgBhAHkAKQBcAHUAMAAwADMAYwA9AGEAdgBnAFIAYQBpAG4AKQAqAFwAbgAgACAAIAAgACAAIAAgACAAKABWAEEATABVAEUAKABtAGEAeABSAGEAaQBuAGYAYQBsAGwAQQByAHIAYQB5ACkAXAB1ADAAMAAzAGUAPQBhAHYAZwBSAGEAaQBuACkAKgBcAG4AIAAgACAAIAAgACAAIAAgACgAVgBBAEwAVQBFACgAbQBpAG4ARgByAG8AcwB0AEEAcgByAGEAeQApAFwAdQAwADAAMwBjAD0AZgByAG8AcwB0AEQAYQB5AHMAKQAqAFwAbgAgACAAIAAgACAAIAAgACAAKABWAEEATABVAEUAKABtAGEAeABGAHIAbwBzAHQAQQByAHIAYQB5ACkAXAB1ADAAMAAzAGUAPQBmAHIAbwBzAHQARABhAHkAcwApACoAXABuACAAIAAgACAAIAAgACAAIAAoAFYAQQBMAFUARQAoAG0AaQBuAEUAbABlAHYAYQB0AGkAbwBuAEEAcgByAGEAeQApAFwAdQAwADAAMwBjAD0AZQBsAGUAdgApACoAXABuACAAIAAgACAAIAAgACAAIAAoAFYAQQBMAFUARQAoAG0AYQB4AEUAbABlAHYAYQB0AGkAbwBuAEEAcgByAGEAeQApAFwAdQAwADAAMwBlAD0AZQBsAGUAdgApACoAXABuACAAIAAgACAAIAAgACAAIAAoAFYAQQBMAFUARQAoAG0AaQBuAFAARQBUAEEAcgByAGEAeQApAFwAdQAwADAAMwBjAD0AbQBhAHAAXwBwAGUAdAApACoAXABuACAAIAAgACAAIAAgACAAIAAoAFYAQQBMAFUARQAoAG0AYQB4AFAARQBUAEEAcgByAGEAeQApAFwAdQAwADAAMwBlAD0AbQBhAHAAXwBwAGUAdAApACwAXABuACAAIAAgACAAIAAgACAAIABUAEEASwBFACgAXABuACAAIAAgACAAIAAgACAAIAAgACAAIAAgAEYASQBMAFQARQBSACgAYwBsAGkAbQBhAHQAZQBaAG8AbgBlAEEAcgByAGEAeQAsAG0AYQBzAGsALAAgAFwAIgBOAG8AIABtAGEAdABjAGgAXAAiACkALABcAG4AIAAgACAAIAAgACAAIAAgACAAIAAgACAAMQBcAG4AIAAgACAAIAAgACAAIAAgACkAXABuACAAIAAgACAAKQBcAG4AKQA7AFwAbgBcAG4AVQB0AGkAbABpAHQAeQBfAEwAbwBvAGsAdQBwAEkAdABlAG0ARgByAG8AbQBNAGkAbgBNAGEAeABcAG4APQBMAEEATQBCAEQAQQAoAFwAbgAgACAAIAAgAEwAbwBvAGsAdQBwAFYAYQBsAHUAZQAsACAATQBpAG4AQQByAHIAYQB5ACwAIABNAGEAeABBAHIAcgBhAHkALAAgAEkAdABlAG0AQQByAHIAYQB5ACwAXABuACAAIAAgACAATABFAFQAKABcAG4AIAAgACAAIAAgACAAIAAgAG0AYQBzAGsALABcAG4AIAAgACAAIAAgACAAIAAgACgAVgBBAEwAVQBFACgATQBpAG4AQQByAHIAYQB5ACkAXAB1ADAAMAAzAGMAPQBMAG8AbwBrAHUAcABWAGEAbAB1AGUAKQAqAFwAbgAgACAAIAAgACAAIAAgACAAKABWAEEATABVAEUAKABNAGEAeABBAHIAcgBhAHkAKQBcAHUAMAAwADMAZQA9AEwAbwBvAGsAdQBwAFYAYQBsAHUAZQApACwAXABuACAAIAAgACAAIAAgACAAIABGAEkATABUAEUAUgAoAEkAdABlAG0AQQByAHIAYQB5ACwAIABtAGEAcwBrACwAIABcACIATgBvACAAbQBhAHQAYwBoAFwAIgApAFwAbgAgACAAIAAgACkAXABuACkAOwBcAG4AXABuAFwAbgBVAHQAaQBsAGkAdAB5AF8AUwB1AG0AUQB1AGEAbgB0AGkAdAB5AEYAcgBvAG0AQwByAGkAdABlAHIAaQBhAFwAbgA9AEwAQQBNAEIARABBACgAXABuACAAIABDAHIAaQB0AGUAcgBpAGEAMQAsACAAQwByAGkAdABlAHIAaQBhADEAVAB5AHAAZQBBAHIAcgBhAHkALAAgAFEAdQBhAG4AdABpAHQAeQAsACAAWwBNAHUAbAB0AGkAcABsAGkAZQByAF0ALAAgAFsAQwByAGkAdABlAHIAaQBhADIAXQAsAFsAQwByAGkAdABlAHIAaQBhADIAQQByAHIAYQB5AF0ALABcAG4AIAAgAEwARQBUACgAXABuACAAIAAgACAAbQB1AGwAdABpAHAAbABpAGUAcgAsACAASQBGACgASQBTAE8ATQBJAFQAVABFAEQAKABNAHUAbAB0AGkAcABsAGkAZQByACkALAAxACwATQB1AGwAdABpAHAAbABpAGUAcgApACwAXABuACAAIAAgACAAcQB1AGEAbgB0AGkAdAB5ACwAIABRAHUAYQBuAHQAaQB0AHkAKgBNAHUAbAB0AGkAcABsAGkAZQByACwAXABuACAAIAAgACAAYwByAGkAdABlAHIAaQBhADEALAAtAC0AKABDAHIAaQB0AGUAcgBpAGEAMQBUAHkAcABlAEEAcgByAGEAeQA9AEMAcgBpAHQAZQByAGkAYQAxACkALABcAG4AIAAgACAAIABjAHIAaQB0AGUAcgBpAGEAMgAsAEkARgAoAEkAUwBPAE0ASQBUAFQARQBEACgAQwByAGkAdABlAHIAaQBhADIAKQAsADEALAAtAC0AKABDAHIAaQB0AGUAcgBpAGEAMgBBAHIAcgBhAHkAPQBDAHIAaQB0AGUAcgBpAGEAMgApACkALABcAG4AIAAgACAAIABTAFUATQBQAFIATwBEAFUAQwBUACgAYwByAGkAdABlAHIAaQBhADEAKgBjAHIAaQB0AGUAcgBpAGEAMgAqAHEAdQBhAG4AdABpAHQAeQApAFwAbgAgACAAKQBcAG4AKQA7AFwAbgBcAG4AZwBlAHQATwB2AGUAcgBsAGEAcABwAGkAbgBnAFIAZQBwAG8AcgB0AGkAbgBnAEMAeQBjAGwAZQBzAFwAbgA9AEwAQQBNAEIARABBACgAXABuACAAIAAgACAAUAByAG8AZAB1AGMAdABpAG8AbgBDAHkAYwBsAGUAUwB0AGEAcgB0ACwAUAByAG8AZAB1AGMAdABpAG8AbgBDAHkAYwBsAGUARQBuAGQALABSAGUAcABvAHIAdABpAG4AZwBDAHkAYwBsAGUAUwB0AGEAcgB0ACwAXABuACAAIAAgACAATABFAFQAKABcAG4AIAAgACAAIAAgACAAIAAgAFMALABQAHIAbwBkAHUAYwB0AGkAbwBuAEMAeQBjAGwAZQBTAHQAYQByAHQALABcAG4AIAAgACAAIAAgACAAIAAgAEUALABQAHIAbwBkAHUAYwB0AGkAbwBuAEMAeQBjAGwAZQBFAG4AZAAsAFwAbgAgACAAIAAgACAAIAAgACAAbQAsAE0ATwBOAFQASAAoAFIAZQBwAG8AcgB0AGkAbgBnAEMAeQBjAGwAZQBTAHQAYQByAHQAKQAsAFwAbgAgACAAIAAgACAAIAAgACAAZAAsAEQAQQBZACgAUgBlAHAAbwByAHQAaQBuAGcAQwB5AGMAbABlAFMAdABhAHIAdAApACwAXABuACAAIAAgACAAIAAgACAAIABQAGUAcgBpAG8AZABFAG4AZAAsAEwAQQBNAEIARABBACgAcwB0ACwARQBEAEEAVABFACgAcwB0ACwAMQAyACkALQAxACkALABcAG4AIAAgACAAIAAgACAAIAAgAEEALABTAC0AMwA2ADUALABcAG4AIAAgACAAIAAgACAAIAAgAHkAYQAsAFkARQBBAFIAKABBACkALABcAG4AIAAgACAAIAAgACAAIAAgAHkAYgAsAFkARQBBAFIAKABFACkALABcAG4AIAAgACAAIAAgACAAIAAgAGYAaQByAHMAdABZAGUAYQByACwAeQBhACsAKABQAGUAcgBpAG8AZABFAG4AZAAoAEQAQQBUAEUAKAB5AGEALABtACwAZAApACkAXAB1ADAAMAAzAGMAIABTACkALABcAG4AIAAgACAAIAAgACAAIAAgAGwAYQBzAHQAWQBlAGEAcgAsAHkAYgAtACgARABBAFQARQAoAHkAYgAsAG0ALABkACkAXAB1ADAAMAAzAGUAIABFACkALABcAG4AIAAgACAAIAAgACAAIAAgAE0AQQBYACgAMAAsAGwAYQBzAHQAWQBlAGEAcgAtAGYAaQByAHMAdABZAGUAYQByACsAMQApAFwAbgAgACAAIAAgACkAXABuACkAOwBcAG4AXABuAGcAZQB0AE8AdgBlAHIAbABhAHAAcABpAG4AZwBSAGUAcABvAHIAdABpAG4AZwBQAGUAcgBpAG8AZABzAFwAbgA9AEwAQQBNAEIARABBACgAXABuACAAIAAgACAAUAByAG8AZAB1AGMAdABpAG8AbgBDAHkAYwBsAGUAUwB0AGEAcgB0ACwAUAByAG8AZAB1AGMAdABpAG8AbgBDAHkAYwBsAGUARQBuAGQALABSAGUAcABvAHIAdABpAG4AZwBDAHkAYwBsAGUAUwB0AGEAcgB0ACwAXABuACAAIAAgACAATABFAFQAKABcAG4AIAAgACAAIAAgACAAIAAgAFMALABQAHIAbwBkAHUAYwB0AGkAbwBuAEMAeQBjAGwAZQBTAHQAYQByAHQALABcAG4AIAAgACAAIAAgACAAIAAgAEUALABQAHIAbwBkAHUAYwB0AGkAbwBuAEMAeQBjAGwAZQBFAG4AZAAsAFwAbgAgACAAIAAgACAAIAAgACAAbQAsAE0ATwBOAFQASAAoAFIAZQBwAG8AcgB0AGkAbgBnAEMAeQBjAGwAZQBTAHQAYQByAHQAKQAsAFwAbgAgACAAIAAgACAAIAAgACAAZAAsAEQAQQBZACgAUgBlAHAAbwByAHQAaQBuAGcAQwB5AGMAbABlAFMAdABhAHIAdAApACwAIAAvACoAaABlAGwAcABlAHIAOgAgAGUAbgBkACAAZABhAHQAZQAgAGYAbwByACAAYQAgAHIAZQBwAG8AcgB0AGkAbgBnACAAcABlAHIAaQBvAGQAIABzAHQAYQByAHQAaQBuAGcAIABhAHQAIABhACAAZwBpAHYAZQBuACAAZABhAHQAZQAqAC8AXABuACAAIAAgACAAIAAgACAAIABQAGUAcgBpAG8AZABFAG4AZAAsAEwAQQBNAEIARABBACgAcwB0ACwARQBEAEEAVABFACgAcwB0ACwAMQAyACkALQAxACkALAAgAC8AKgBvAG4AbAB5ACAAbgBlAGUAZAAgAHQAbwAgAGwAbwBvAGsAIABiAGEAYwBrACAAMwA2ADUAIABkAGEAeQBzACgAbQBhAHgAIABvAHYAZQByAGwAYQBwACAAdwBpAG4AZABvAHcAKQAqAC8AXABuACAAIAAgACAAIAAgACAAIABBACwAUwAtADMANgA1ACwAXABuACAAIAAgACAAIAAgACAAIAB5AGEALABZAEUAQQBSACgAQQApACwAXABuACAAIAAgACAAIAAgACAAIAB5AGIALABZAEUAQQBSACgARQApACwAIAAvACoAaQBmACAAdABoAGUAIABhAG4AYwBoAG8AcgAgAGYAbwByACAAeQBhACAAZQBuAGQAcwAgAGIAZQBmAG8AcgBlACAAUwAsAGkAdAAgAGMAYQBuAFwAdQAwADAAMgA3AHQAIABvAHYAZQByAGwAYQBwADsAIABtAG8AdgBlACAAdABvACAAbgBlAHgAdAAgAHkAZQBhAHIAKgAvAFwAbgAgACAAIAAgACAAIAAgACAAZgBpAHIAcwB0AFkAZQBhAHIALAB5AGEAKwAoAFAAZQByAGkAbwBkAEUAbgBkACgARABBAFQARQAoAHkAYQAsAG0ALABkACkAKQBcAHUAMAAwADMAYwBTACkALAAgAC8AKgBpAGYAIAB0AGgAZQAgAGEAbgBjAGgAbwByACAAZgBvAHIAIAB5AGIAIABzAHQAYQByAHQAcwAgAGEAZgB0AGUAcgAgAEUALABpAHQAIABjAGEAbgBcAHUAMAAwADIANwB0ACAAbwB2AGUAcgBsAGEAcAA7ACAAbQBvAHYAZQAgAHQAbwAgAHAAcgBlAHYAaQBvAHUAcwAgAHkAZQBhAHIAKgAvAFwAbgAgACAAIAAgACAAIAAgACAAbABhAHMAdABZAGUAYQByACwAeQBiAC0AKABEAEEAVABFACgAeQBiACwAbQAsAGQAKQBcAHUAMAAwADMAZQBFACkALABcAG4AIAAgACAAIAAgACAAIAAgAG4ALABNAEEAWAAoADAALABsAGEAcwB0AFkAZQBhAHIALQBmAGkAcgBzAHQAWQBlAGEAcgArADEAKQAsAFwAbgAgACAAIAAgACAAIAAgACAAeQByAHMALABTAEUAUQBVAEUATgBDAEUAKABuACwAMQAsAGYAaQByAHMAdABZAGUAYQByACwAMQApACwAXABuACAAIAAgACAAIAAgACAAIABzAHQAYQByAHQAcwAsAEQAQQBUAEUAKAB5AHIAcwAsAG0ALABkACkALABcAG4AIAAgACAAIAAgACAAIAAgAGUAbgBkAHMALABNAEEAUAAoAHMAdABhAHIAdABzACwAUABlAHIAaQBvAGQARQBuAGQAKQAsAFwAbgAgACAAIAAgACAAIAAgACAAdABhAGcALABJAEYAKABzAHQAYQByAHQAcwA9AFIAZQBwAG8AcgB0AGkAbgBnAEMAeQBjAGwAZQBTAHQAYQByAHQALABcACIAIAAoAFQAaABpAHMAIAByAGUAcABvAHIAdABpAG4AZwAgAGMAeQBjAGwAZQApAFwAIgAsAFwAIgBcACIAKQAsAFwAbgAgACAAIAAgACAAIAAgACAAcwB0AGEAcgB0AHMAVABlAHgAdAAsAFQARQBYAFQAKABzAHQAYQByAHQAcwAsAFwAIgBkAGQAIABtAG0AbQAgAHkAeQB5AHkAXAAiACkALABcAG4AIAAgACAAIAAgACAAIAAgAGUAbgBkAHMAVABlAHgAdAAsAFQARQBYAFQAKABlAG4AZABzACwAXAAiAGQAZAAgAG0AbQBtACAAeQB5AHkAeQBcACIAKQAsAFwAbgAgACAAIAAgACAAIAAgACAASQBGACgAbgA9ADAALABcACIAXAAiACwASABTAFQAQQBDAEsAKABzAHQAYQByAHQAcwBUAGUAeAB0ACAAXAB1ADAAMAAyADYAIABcACIAIAB0AG8AIABcACIAIABcAHUAMAAwADIANgAgAGUAbgBkAHMAVABlAHgAdAAgAFwAdQAwADAAMgA2ACAAdABhAGcAKQApAFwAbgAgACAAIAAgACkAXABuACkAOwBcAG4AXABuAFUAdABpAGwAaQB0AHkAXwBEAGkAcwBwAGwAYQB5AEYAdQBuAGMAdABpAG8AbgBOAGEAbQBlAFwAbgA9AEwAQQBNAEIARABBACgARgB1AG4AYwB0AGkAbwBuACwAIABUAEUAWABUAEIARQBGAE8AUgBFACgARgBPAFIATQBVAEwAQQBUAEUAWABUACgARgB1AG4AYwB0AGkAbwBuACkALAAgAFwAIgAoAFwAIgApACkAOwBcAG4AXABuAFUAdABpAGwAaQB0AHkAXwBMAG8AbwBrAHUAcABOADIATwBFAEYARgByAG8AbQBQAHIAbwBkAEkAcgByAGkAZwBhAHQAaQBvAG4AUgBhAGkAbgBmAGEAbABsAFwAbgA9AEwAQQBNAEIARABBACgAXABuACAAIAAgACAAUAByAG8AZAB1AGMAdABpAG8AbgBTAHkAcwB0AGUAbQAsACAASQByAHIAaQBnAGEAdABpAG8AbgBNAGUAdABoAG8AZAAsACAAUgBhAGkAbgBmAGEAbABsAFoAbwBuAGUALABcAG4AIAAgACAAIABQAHIAbwBkAHUAYwB0AGkAbwBuAFMAeQBzAHQAZQBtAEEAcgByAGEAeQAsACAASQByAHIAaQBnAGEAdABpAG8AbgBNAGUAdABoAG8AZABBAHIAcgBhAHkALAAgAFIAYQBpAG4AZgBhAGwAbABaAG8AbgBlAEEAcgByAGEAeQAsAFIAZQB0AHUAcgBuAEEAcgByAGEAeQAsAFwAbgAgACAAIAAgAEwARQBUACgAXABuACAAIAAgACAAIAAgACAAIABJAHIAcgBpAGcAYQB0AGkAbwBuAE0AZQB0AGgAbwBkACwAIABJAEYAKABJAHIAcgBpAGcAYQB0AGkAbwBuAE0AZQB0AGgAbwBkAD0AXAAiAE4AbwB0ACAAaQByAHIAaQBnAGEAdABlAGQAXAAiACwAIABcACIATgBvAHQAIABpAHIAcgBpAGcAYQB0AGUAZABcACIALAAgAFwAIgBBAG4AeQBcACIAKQAsAFwAbgAgACAAIAAgACAAIAAgACAAUgBhAGkAbgBmAGEAbABsAFoAbwBuAGUALAAgAEkARgAoAEkAcgByAGkAZwBhAHQAaQBvAG4ATQBlAHQAaABvAGQAIAA9ACAAXAAiAE4AbwB0ACAAaQByAHIAaQBnAGEAdABlAGQAXAAiACwAIABSAGEAaQBuAGYAYQBsAGwAWgBvAG4AZQAsACAAXAAiAEEAbgB5AFwAIgApACwAXABuACAAIAAgACAAIAAgACAAIABYAEwATwBPAEsAVQBQACgAMQAsACAAXABuACAAIAAgACAAIAAgACAAIAAgACAAIAAgACgAUAByAG8AZAB1AGMAdABpAG8AbgBTAHkAcwB0AGUAbQBBAHIAcgBhAHkAPQBQAHIAbwBkAHUAYwB0AGkAbwBuAFMAeQBzAHQAZQBtACkAKgBcAG4AIAAgACAAIAAgACAAIAAgACAAIAAgACAAKABJAHIAcgBpAGcAYQB0AGkAbwBuAE0AZQB0AGgAbwBkAEEAcgByAGEAeQA9AEkAcgByAGkAZwBhAHQAaQBvAG4ATQBlAHQAaABvAGQAKQAqAFwAbgAgACAAIAAgACAAIAAgACAAIAAgACAAIAAoAFIAYQBpAG4AZgBhAGwAbABaAG8AbgBlAEEAcgByAGEAeQA9AFIAYQBpAG4AZgBhAGwAbABaAG8AbgBlACkALAAgAFwAbgAgACAAIAAgACAAIAAgACAAIAAgACAAIABSAGUAdAB1AHIAbgBBAHIAcgBhAHkAKQBcAG4AIAAgACAAIAApAFwAbgApADsAXABuAFwAbgBDAG8AbQBtAG8AbgBDAHIAbwBwAHAAaQBuAGcAXwBHAGUAdABGAHIAYQBjAFcARQBUAFwAbgA9AEwAQQBNAEIARABBACgAXABuACAAIAAgACAATABlAGEAYwBoAGkAbgBnAFoAbwBuAGUALABcAG4AIAAgACAAIABQAHIAbwBkAHUAYwB0AGkAbwBuAFMAeQBzAHQAZQBtACwAXABuACAAIAAgACAATABlAGEAYwBoAGkAbgBnAFoAbwBuAGUATABvAG8AawB1AHAALABcAG4AIAAgACAAIABMAGUAYQBjAGgAaQBuAGcAWgBvAG4AZQBGAHIAYQBjAFcARQBUAEwAbwBvAGsAdQBwACwAXABuACAAIAAgACAAUAByAG8AZAB1AGMAdABpAG8AbgBTAHkAcwB0AGUAbQBMAG8AbwBrAHUAcAAsAFwAbgAgACAAIAAgAFAAcgBvAGQAdQBjAHQAaQBvAG4AUwB5AHMAdABlAG0ARgByAGEAYwBXAEUAVABMAG8AbwBrAHUAcAAsAFwAbgAgACAAIAAgAEwARQBUACgAXABuACAAIAAgACAAIAAgACAAIABMAGUAYQBjAGgAaQBuAGcAWgBvAG4AZQBGAHIAYQBjAFcARQBUACwAIABcAG4AIAAgACAAIAAgACAAIAAgAEMAbwBtAG0AbwBuAF8ASQBuAHAAdQB0AEYAdQBuAGMAdABpAG8AbgBzAC4AVQB0AGkAbABpAHQAeQBfAEwAbwBvAGsAdQBwAFYAYQBsAHUAZQBJAG4AVABhAGIAbABlAE4AdQBtAGIAZQByACgAXABuACAAIAAgACAAIAAgACAAIAAgACAAIAAgAEwAZQBhAGMAaABpAG4AZwBaAG8AbgBlACwATABlAGEAYwBoAGkAbgBnAFoAbwBuAGUATABvAG8AawB1AHAALABMAGUAYQBjAGgAaQBuAGcAWgBvAG4AZQBGAHIAYQBjAFcARQBUAEwAbwBvAGsAdQBwAFwAbgAgACAAIAAgACAAIAAgACAAKQAsAFwAbgAgACAAIAAgACAAIAAgACAAUAByAG8AZAB1AGMAdABpAG8AbgBTAHkAcwB0AGUAbQBGAHIAYQBjAFcARQBUACwAIABcAG4AIAAgACAAIAAgACAAIAAgAEMAbwBtAG0AbwBuAF8ASQBuAHAAdQB0AEYAdQBuAGMAdABpAG8AbgBzAC4AVQB0AGkAbABpAHQAeQBfAEwAbwBvAGsAdQBwAFYAYQBsAHUAZQBJAG4AVABhAGIAbABlAE4AdQBtAGIAZQByACgAXABuACAAIAAgACAAIAAgACAAIAAgACAAIAAgAFAAcgBvAGQAdQBjAHQAaQBvAG4AUwB5AHMAdABlAG0ALABQAHIAbwBkAHUAYwB0AGkAbwBuAFMAeQBzAHQAZQBtAEwAbwBvAGsAdQBwACwAUAByAG8AZAB1AGMAdABpAG8AbgBTAHkAcwB0AGUAbQBGAHIAYQBjAFcARQBUAEwAbwBvAGsAdQBwAFwAbgAgACAAIAAgACAAIAAgACAAKQAsAFwAbgAgACAAIAAgACAAIAAgACAASQBGACgATABlAGEAYwBoAGkAbgBnAFoAbwBuAGUARgByAGEAYwBXAEUAVAAgACsAIABQAHIAbwBkAHUAYwB0AGkAbwBuAFMAeQBzAHQAZQBtAEYAcgBhAGMAVwBFAFQAXAB1ADAAMAAzAGUAMAAsACAAMQAsACAAMAApAFwAbgAgACAAIAAgACkAKQA7AFwAbgBcAG4AXABuAFUAdABpAGwAaQB0AHkAXwBDAG8AbgB2AGUAcgB0AFMAdABhAHQAZQBDAG8AbQBtAG8AbgBOAGEAbQBlAFQAbwBBAGIAYgByAGUAdgBpAGEAdABpAG8AbgBcAG4APQBMAEEATQBCAEQAQQAoAFwAbgAgACAAIAAgAFMAdABhAHQAZQBDAG8AbQBtAG8AbgBOAGEAbQBlACwAXABuACAAIAAgACAAUwB0AGEAdABlAEMAbwBtAG0AbwBuAE4AYQBtAGUAQQByAHIAYQB5ACwAIABTAHQAYQB0AGUAQQBiAGIAcgBlAHYAaQBhAHQAaQBvAG4AQQByAHIAYQB5ACwAXABuACAAIAAgACAAWABMAE8ATwBLAFUAUAAoAFMAdABhAHQAZQBDAG8AbQBtAG8AbgBOAGEAbQBlACwAIABTAHQAYQB0AGUAQwBvAG0AbQBvAG4ATgBhAG0AZQBBAHIAcgBhAHkALAAgAFMAdABhAHQAZQBBAGIAYgByAGUAdgBpAGEAdABpAG8AbgBBAHIAcgBhAHkALAAgAFwAIgBcACIAKQBcAG4AKQA7AFwAbgBcAG4AVQB0AGkAbABpAHQAeQBfAFMAbwB1AHIAYwBlAEgAeQBwAGUAcgBsAGkAbgBrAFwAbgA9AEwAQQBNAEIARABBACgAVABhAHIAZwBlAHQAQwBlAGwAbAAsAFwAbgAgACAATABFAFQAKABcAG4AIAAgACAAIABzAGgALAAgAFQARQBYAFQAQQBGAFQARQBSACgAQwBFAEwATAAoAFwAIgBmAGkAbABlAG4AYQBtAGUAXAAiACwAIABUAGEAcgBnAGUAdABDAGUAbABsACkALAAgAFwAIgBdAFwAIgApACwAXABuACAAIAAgACAAYQBkAGQAcgAsACAAQwBFAEwATAAoAFwAIgBhAGQAZAByAGUAcwBzAFwAIgAsACAAVABhAHIAZwBlAHQAQwBlAGwAbAApACwAXABuACAAIAAgACAAXAAiACMAXAB1ADAAMAAyADcAXAAiACAAXAB1ADAAMAAyADYAIABzAGgAIABcAHUAMAAwADIANgAgAFwAIgBcAHUAMAAwADIANwAhAFwAIgAgAFwAdQAwADAAMgA2ACAAYQBkAGQAcgBcAG4AIAAgACkAXABuACkAOwBcAG4AXABuAFUAdABpAGwAaQB0AHkAXwBTAG8AdQByAGMAZQBIAHkAcABlAHIAbABpAG4AawBEAGkAZgBmAGUAcgBlAG4AdABTAGgAZQBlAHQAXABuAD0ATABBAE0AQgBEAEEAKABUAGEAcgBnAGUAdABDAGUAbABsACwAXABuACAAIABMAEUAVAAoAFwAbgAgACAAIAAgAHMAaAAsACAAVABFAFgAVABBAEYAVABFAFIAKABDAEUATABMACgAXAAiAGYAaQBsAGUAbgBhAG0AZQBcACIALAAgAFQAYQByAGcAZQB0AEMAZQBsAGwAKQAsACAAXAAiAF0AXAAiACkALABcAG4AIAAgACAAIABhAGQAZAByACwAIABDAEUATABMACgAXAAiAGEAZABkAHIAZQBzAHMAXAAiACwAIABUAGEAcgBnAGUAdABDAGUAbABsACkALABcAG4AIAAgACAAIABcACIAIwBcACIAIABcAHUAMAAwADIANgAgAGEAZABkAHIAXABuACAAIAApAFwAbgApADsAXABuAFwAbgBVAHQAaQBsAGkAdAB5AF8ARABpAHMAcABsAGEAeQBBAHIAZwB1AG0AZQBuAHQAcwBfADEAXwAyAFwAbgA9AEwAQQBNAEIARABBACgAXABuACAAIAAgACAAQQByAGcAdQBtAGUAbgB0AHMAQQByAHIAYQB5ACwAXABuACAAIAAgACAAQwBIAE8ATwBTAEUAQwBPAEwAUwAoAEEAcgBnAHUAbQBlAG4AdABzAEEAcgByAGEAeQAsACAAMQAsACAAMgApAFwAbgApADsAXABuAFwAbgBVAHQAaQBsAGkAdAB5AF8ARABpAHMAcABsAGEAeQBBAHIAZwB1AG0AZQBuAHQAcwBfADMAXwA0AFwAbgA9AEwAQQBNAEIARABBACgAXABuACAAIAAgACAAQQByAGcAdQBtAGUAbgB0AHMAQQByAHIAYQB5ACwAXABuACAAIAAgACAAQwBIAE8ATwBTAEUAQwBPAEwAUwAoAEEAcgBnAHUAbQBlAG4AdABzAEEAcgByAGEAeQAsACAAMwAsACAANAApAFwAbgApADsAXABuAFwAbgBDAG8AbQBtAG8AbgBfAEcAZQB0AE0AQwBGAFQAZQBtAHAAZQByAGEAdAB1AHIAZQBaAG8AbgBlAFwAbgA9AEwAQQBNAEIARABBACgAXABuACAAIAAgACAAVABlAG0AcABlAHIAYQB0AHUAcgBlACwAIABNAE0AUwAsACAAVABlAG0AcABlAHIAYQB0AHUAcgBlAEEAcgByAGEAeQAsACAATQBNAFMAQQByAHIAYQB5ACwAIABSAGUAdAB1AHIAbgBBAHIAcgBhAHkALABcAG4AIAAgACAAIABYAEwATwBPAEsAVQBQACgAXABuACAAIAAgACAAIAAgACAAIABNAEUARABJAEEATgAoAFwAbgAgACAAIAAgACAAIAAgACAAIAAgACAAIABSAE8AVQBOAEQAKABUAGUAbQBwAGUAcgBhAHQAdQByAGUALAAgADAAKQAsACAAXABuACAAIAAgACAAIAAgACAAIAAgACAAIAAgAE0ASQBOACgAVABlAG0AcABlAHIAYQB0AHUAcgBlAEEAcgByAGEAeQApACwAIABcAG4AIAAgACAAIAAgACAAIAAgACAAIAAgACAATQBBAFgAKABUAGUAbQBwAGUAcgBhAHQAdQByAGUAQQByAHIAYQB5ACkAXABuACAAIAAgACAAIAAgACAAIAApACwAXABuACAAIAAgACAAIAAgACAAIABUAGUAbQBwAGUAcgBhAHQAdQByAGUAQQByAHIAYQB5ACwAXABuACAAIAAgACAAIAAgACAAIABYAEwATwBPAEsAVQBQACgATQBNAFMALAAgAE0ATQBTAEEAcgByAGEAeQAsACAAUgBlAHQAdQByAG4AQQByAHIAYQB5ACkAXABuACAAIAAgACAAKQBcAG4AKQA7AFwAbgBcAG4AXABuAFUAdABpAGwAaQB0AHkAXwBSAGUAcwB1AGwAdABzAEkAdABlAG0ARgByAG8AbQBFAHEAdQBhAHQAaQBvAG4AVABpAHQAbABlAEEAbgBkAFMAbwB1AHIAYwBlAFwAbgA9AEwAQQBNAEIARABBACgAXABuACAAIAAgACAAVABpAHQAbABlAEMAZQBsAGwALAAgAFMAbwB1AHIAYwBlAEMAZQBsAGwALABcAG4AIAAgACAAIABTAFUAQgBTAFQASQBUAFUAVABFACgATABFAEYAVAAoAFMAbwB1AHIAYwBlAEMAZQBsAGwALAAgAEYASQBOAEQAKABcACIALABcACIALAAgAFMAbwB1AHIAYwBlAEMAZQBsAGwAKQAgAC0AMQApACwAIABcACIAVgBFAEUAUgBHACAAMgAwADIANgA6ACAAXAAiACwAIABcACIAXAAiACkAIABcAHUAMAAwADIANgAgAFwAIgAgAFwAIgAgAFwAdQAwADAAMgA2ACAAVABpAHQAbABlAEMAZQBsAGwAXABuACkAOwAiAH0ALAB7ACIAcABhAHQAaAAiADoAIgAvAHAAcgBvAGoAZQBjAHQAcwAvAEMAbwBtAG0AbwBuAEMAcgBvAHAAcABpAG4AZwBfAEkAbgBwAHUAdABGAHUAbgBjAHQAaQBvAG4AcwAiACwAIgB0AGUAeAB0ACIAOgAiAFwAbgBDAG8AbQBtAG8AbgBDAHIAbwBwAHAAaQBuAGcAXwBHAGUAdABGAHIAYQBjAFcARQBUAFwAbgA9AEwAQQBNAEIARABBACgAXABuACAAIAAgACAATABlAGEAYwBoAGkAbgBnAFoAbwBuAGUALABcAG4AIAAgACAAIABQAHIAbwBkAHUAYwB0AGkAbwBuAFMAeQBzAHQAZQBtACwAXABuACAAIAAgACAATABlAGEAYwBoAGkAbgBnAFoAbwBuAGUATABvAG8AawB1AHAALABcAG4AIAAgACAAIABMAGUAYQBjAGgAaQBuAGcAWgBvAG4AZQBGAHIAYQBjAFcARQBUAEwAbwBvAGsAdQBwACwAXABuACAAIAAgACAAUAByAG8AZAB1AGMAdABpAG8AbgBTAHkAcwB0AGUAbQBMAG8AbwBrAHUAcAAsAFwAbgAgACAAIAAgAFAAcgBvAGQAdQBjAHQAaQBvAG4AUwB5AHMAdABlAG0ARgByAGEAYwBXAEUAVABMAG8AbwBrAHUAcAAsAFwAbgAgACAAIAAgAEwARQBUACgAXABuACAAIAAgACAAIAAgACAAIABMAGUAYQBjAGgAaQBuAGcAWgBvAG4AZQBGAHIAYQBjAFcARQBUACwAIABcAG4AIAAgACAAIAAgACAAIAAgAEMAbwBtAG0AbwBuAF8ASQBuAHAAdQB0AEYAdQBuAGMAdABpAG8AbgBzAC4AVQB0AGkAbABpAHQAeQBfAEwAbwBvAGsAdQBwAFYAYQBsAHUAZQBJAG4AVABhAGIAbABlAE4AdQBtAGIAZQByACgAXABuACAAIAAgACAAIAAgACAAIAAgACAAIAAgAEwAZQBhAGMAaABpAG4AZwBaAG8AbgBlACwATABlAGEAYwBoAGkAbgBnAFoAbwBuAGUATABvAG8AawB1AHAALABMAGUAYQBjAGgAaQBuAGcAWgBvAG4AZQBGAHIAYQBjAFcARQBUAEwAbwBvAGsAdQBwAFwAbgAgACAAIAAgACAAIAAgACAAKQAsAFwAbgAgACAAIAAgACAAIAAgACAAUAByAG8AZAB1AGMAdABpAG8AbgBTAHkAcwB0AGUAbQBGAHIAYQBjAFcARQBUACwAIABcAG4AIAAgACAAIAAgACAAIAAgAEMAbwBtAG0AbwBuAF8ASQBuAHAAdQB0AEYAdQBuAGMAdABpAG8AbgBzAC4AVQB0AGkAbABpAHQAeQBfAEwAbwBvAGsAdQBwAFYAYQBsAHUAZQBJAG4AVABhAGIAbABlAE4AdQBtAGIAZQByACgAXABuACAAIAAgACAAIAAgACAAIAAgACAAIAAgAFAAcgBvAGQAdQBjAHQAaQBvAG4AUwB5AHMAdABlAG0ALABQAHIAbwBkAHUAYwB0AGkAbwBuAFMAeQBzAHQAZQBtAEwAbwBvAGsAdQBwACwAUAByAG8AZAB1AGMAdABpAG8AbgBTAHkAcwB0AGUAbQBGAHIAYQBjAFcARQBUAEwAbwBvAGsAdQBwAFwAbgAgACAAIAAgACAAIAAgACAAKQAsAFwAbgAgACAAIAAgACAAIAAgACAASQBGACgATABlAGEAYwBoAGkAbgBnAFoAbwBuAGUARgByAGEAYwBXAEUAVAAgACsAIABQAHIAbwBkAHUAYwB0AGkAbwBuAFMAeQBzAHQAZQBtAEYAcgBhAGMAVwBFAFQAXAB1ADAAMAAzAGUAMAAsACAAMQAsACAAMAApAFwAbgAgACAAIAAgACkAKQA7AFwAbgBcAG4AXABuAEMAbwBtAG0AbwBuAEMAcgBvAHAAcABpAG4AZwBfAEMAYQBsAGMAdQBsAGEAdABlAEgAYQByAHYAZQBzAHQASQBuAGQAZQB4AFwAbgA9AEwAQQBNAEIARABBACgAXABuACAAIAAgACAAQwByAG8AcABUAHkAcABlACwAIABDAHIAbwBwAFQAeQBwAGUAQQByAHIAYQB5ACwAIABSAGUAcwBpAGQAdQBlAEMAcgBvAHAAUgBhAHQAaQBvAEEAcgByAGEAeQAsAFwAbgAgACAAIAAgADEALwAoADEAKwBDAG8AbQBtAG8AbgBfAEkAbgBwAHUAdABGAHUAbgBjAHQAaQBvAG4AcwAuAFUAdABpAGwAaQB0AHkAXwBMAG8AbwBrAHUAcABWAGEAbAB1AGUASQBuAFQAYQBiAGwAZQBOAHUAbQBiAGUAcgAoAEMAcgBvAHAAVAB5AHAAZQAsACAAQwByAG8AcABUAHkAcABlAEEAcgByAGEAeQAsACAAUgBlAHMAaQBkAHUAZQBDAHIAbwBwAFIAYQB0AGkAbwBBAHIAcgBhAHkAKQApAFwAbgApADsAXABuAFwAbgBDAG8AbQBtAG8AbgBDAHIAbwBwAHAAaQBuAGcAXwBDAGEAbABjAHUAbABhAHQAZQBSAGUAcwBpAGQAdQBlAEMAcgBvAHAAUgBhAHQAaQBvAFwAbgA9AEwAQQBNAEIARABBACgAXABuACAAIAAgACAASABhAHIAdgBlAHMAdABJAG4AZABlAHgALABcAG4AIAAgACAAIAAoADEALQBIAGEAcgB2AGUAcwB0AEkAbgBkAGUAeAApAC8ASABhAHIAdgBlAHMAdABJAG4AZABlAHgAXABuACkAOwBcAG4AXABuAFwAbgBDAG8AbQBtAG8AbgBDAHIAbwBwAHAAaQBuAGcAXwBDAGEAbABjAHUAbABhAHQAZQBGAHIAYQBjAHQAaQBvAG4AUgBlAHMAaQBkAHUAZQBSAGUAbQBvAHYAZQBkAFwAbgA9AEwAQQBNAEIARABBACgAXABuACAAIAAgACAAVABvAHQAYQBsAFIAZQBzAGkAZAB1AGUALAAgAEEAbQBvAHUAbgB0AFIAZQBtAG8AdgBlAGQALABcAG4AIAAgACAAIAAoAEEAbQBvAHUAbgB0AFIAZQBtAG8AdgBlAGQAKgAxADAAXgAzACkALwAoAFQAbwB0AGEAbABSAGUAcwBpAGQAdQBlACoAMQAwAF4AMwApAFwAbgApACIAfQAsAHsAIgBwAGEAdABoACIAOgAiAC8AcAByAG8AagBlAGMAdABzAC8ARQBuAHQAZQByAGkAYwBNAGUAdABoAGEAbgBlAF8AUABhAHMAdAB1AHIAZQBCAGUAZQBmAF8ARQBxAHUAYQB0AGkAbwBuAHMAIgAsACIAdABlAHgAdAAiADoAIgAvACoAXABuAD0APQA9AD0APQA9AD0APQA9AD0APQA9AD0APQA9AD0APQA9AD0APQA9AD0APQA9AD0APQA9AD0APQA9AD0APQA9AD0APQA9AD0APQA9AD0APQA9AD0APQA9AD0APQA9AD0APQA9AD0APQA9AD0APQA9AD0APQA9AD0APQA9AD0APQA9AD0APQA9AD0APQA9AD0APQA9AD0AXABuADMALgAyADoAIABFAG4AdABlAHIAaQBjACAATQBlAHQAaABhAG4AZQAgAC0AIABQAGEAcwB0AHUAcgBlACAAQgBlAGUAZgBcAG4APQA9AD0APQA9AD0APQA9AD0APQA9AD0APQA9AD0APQA9AD0APQA9AD0APQA9AD0APQA9AD0APQA9AD0APQA9AD0APQA9AD0APQA9AD0APQA9AD0APQA9AD0APQA9AD0APQA9AD0APQA9AD0APQA9AD0APQA9AD0APQA9AD0APQA9AD0APQA9AD0APQA9AD0APQA9AD0APQBcAG4AMwAuADIALgAxAC4AMQAgAE0AZQB0AGgAbwBkACAAMQAgAC0AIABFAG4AdABlAHIAaQBjACAAQgBlAGUAZgAgAEcAcgBhAHoAaQBuAGcAXABuAD0APQA9AD0APQA9AD0APQA9AD0APQA9AD0APQA9AD0APQA9AD0APQA9AD0APQA9AD0APQA9AD0APQA9AD0APQA9AD0APQA9AD0APQA9AD0APQA9AD0APQA9AD0APQA9AD0APQA9AD0APQA9AD0APQA9AD0APQA9AD0APQA9AD0APQA9AD0APQA9AD0APQA9AD0APQA9AD0AXABuACoALwBcAG4AXABuAC8AKgBcAG4ALQAtAC0ALQAtAC0ALQAtAC0ALQAtAC0ALQAtAC0ALQAtAC0ALQAtAC0ALQAtAC0ALQAtAC0ALQAtAC0ALQAtAC0ALQAtAC0ALQAtAFwAbgBWAEUARQBSAEcAXwAzAF8AMgBfADEAXwAxAF8AXwAxAF8AVABvAHQAYQBsAEEAbgBuAHUAYQBsAE0AZQB0AGgAYQBuAGUARgByAG8AbQBFAG4AdABlAHIAaQBjAEYAZQByAG0AZQBuAHQAYQB0AGkAbwBuAFwAbgBUAG8AdABhAGwAIABhAG4AbgB1AGEAbAAgAG0AZQB0AGgAYQBuAGUAIABwAHIAbwBkAHUAYwB0AGkAbwBuACAAZgByAG8AbQAgAGUAbgB0AGUAcgBpAGMAIABmAGUAcgBtAGUAbgB0AGEAdABpAG8AbgAgAGkAbgAgAGcAcgBhAHoAaQBuAGcAIABiAGUAZQBmACAAYwBhAHQAdABsAGUAXABuAEUAXwBlAG4AdABlAHIAaQBjAFwAbgB0ACAAQwBIADQAXABuAEUAXwB7AGUAbgB0AGUAcgBpAGMAfQA9AFwAXABzAHUAbQBfAHsAagB9AFwAXABzAHUAbQBfAHsAawB9AFwAXABzAHUAbQBfAHsAbAB9ACgARABfAGoAXABcAHQAaQBtAGUAcwAgAE0AXwB7AGoAawBsAH0AXABcAHQAaQBtAGUAcwAgAE4AXwB7AGoAawBsAH0AKQBcAFwAdABpAG0AZQBzACAAMQAwAF4AewAtADMAfQBcAG4ARABfAGoAIAA9ACAAbgB1AG0AYgBlAHIAIABvAGYAIABkAGEAeQBzACAAdABoAGUAIABhAG4AaQBtAGEAbAAgAGkAcwAgAG8AbgAgAHQAaABlACAAZgBhAHIAbQAgAGkAbgAgAGUAYQBjAGgAIAB0AGkAbQBlAC0AcABlAHIAaQBvAGQAIAAoAGQAYQB5AHMAKQBcAG4ATQBfAGoAawBsACAAPQAgAGQAYQBpAGwAeQAgAHAAcgBvAGQAdQBjAHQAaQBvAG4AIABvAGYAIABlAG4AdABlAHIAaQBjACAAbQBlAHQAaABhAG4AZQAgAGkAbgAgAGUAYQBjAGgAIAB0AGkAbQBlAC0AcABlAHIAaQBvAGQALAAgAGMAbABhAHMAcwAgAGEAbgBkACAAcwB1AGIAYwBsAGEAcwBzACAAKABrAGcAIABDAEgANAAvAGgAZQBhAGQALwBkAGEAeQApAFwAbgBOAF8AagBrAGwAIAA9ACAAbgB1AG0AYgBlAHIAIABvAGYAIABiAGUAZQBmACAAYwBhAHQAdABsAGUAIABpAG4AIABlAGEAYwBoACAAdABpAG0AZQAtAHAAZQByAGkAbwBkACwAIABjAGwAYQBzAHMAIABhAG4AZAAgAHMAdQBiAGMAbABhAHMAcwAgACgAaABlAGEAZAApAFwAbgAtAC0ALQAtAC0ALQAtAC0ALQAtAC0ALQAtAC0ALQAtAC0ALQAtAC0ALQAtAC0ALQAtAC0ALQAtAC0ALQAtAC0ALQAtAC0ALQAtAC0AXABuACoALwBcAG4AXABuAFYARQBFAFIARwBfADMAXwAyAF8AMQBfADEAXwBfADEAXwBUAG8AdABhAGwAQQBuAG4AdQBhAGwATQBlAHQAaABhAG4AZQBGAHIAbwBtAEUAbgB0AGUAcgBpAGMARgBlAHIAbQBlAG4AdABhAHQAaQBvAG4AXABuACAAIAA9AEwAQQBNAEIARABBACgAXABuACAAIAAgACAARABfAGoALAAgAE0AXwBqAGsAbAAsACAATgBfAGoAawBsACwAXABuACAAIAAgACAAKABEAF8AagAgACoAIABNAF8AagBrAGwAIAAqACAATgBfAGoAawBsACkAIAAqACAAMQAwACAAXgAgAC0AMwBcAG4AIAAgACkAOwBcAG4AXABuAFYARQBFAFIARwBfADMAXwAyAF8AMQBfADEAXwBfADEAXwBUAG8AdABhAGwAQQBuAG4AdQBhAGwATQBlAHQAaABhAG4AZQBGAHIAbwBtAEUAbgB0AGUAcgBpAGMARgBlAHIAbQBlAG4AdABhAHQAaQBvAG4AXwBUAGkAdABsAGUAXABuACAAIAA9AEwAQQBNAEIARABBACgAXAAiAFQAbwB0AGEAbAAgAGEAbgBuAHUAYQBsACAAbQBlAHQAaABhAG4AZQAgAHAAcgBvAGQAdQBjAHQAaQBvAG4AIABmAHIAbwBtACAAZQBuAHQAZQByAGkAYwAgAGYAZQByAG0AZQBuAHQAYQB0AGkAbwBuACAAaQBuACAAZwByAGEAegBpAG4AZwAgAGIAZQBlAGYAIABjAGEAdAB0AGwAZQBcACIAKQA7AFwAbgBcAG4AVgBFAEUAUgBHAF8AMwBfADIAXwAxAF8AMQBfAF8AMQBfAFQAbwB0AGEAbABBAG4AbgB1AGEAbABNAGUAdABoAGEAbgBlAEYAcgBvAG0ARQBuAHQAZQByAGkAYwBGAGUAcgBtAGUAbgB0AGEAdABpAG8AbgBfAFYAYQByAGkAYQBiAGwAZQBcAG4AIAAgAD0ATABBAE0AQgBEAEEAKABcACIARQBfAGUAbgB0AGUAcgBpAGMAXAAiACkAOwBcAG4AXABuAFYARQBFAFIARwBfADMAXwAyAF8AMQBfADEAXwBfADEAXwBUAG8AdABhAGwAQQBuAG4AdQBhAGwATQBlAHQAaABhAG4AZQBGAHIAbwBtAEUAbgB0AGUAcgBpAGMARgBlAHIAbQBlAG4AdABhAHQAaQBvAG4AXwBVAG4AaQB0AFwAbgAgACAAPQBMAEEATQBCAEQAQQAoAFwAIgB0ACAAQwBIADQAXAAiACkAOwBcAG4AXABuAFYARQBFAFIARwBfADMAXwAyAF8AMQBfADEAXwBfADEAXwBUAG8AdABhAGwAQQBuAG4AdQBhAGwATQBlAHQAaABhAG4AZQBGAHIAbwBtAEUAbgB0AGUAcgBpAGMARgBlAHIAbQBlAG4AdABhAHQAaQBvAG4AXwBTAG8AdQByAGMAZQBcAG4AIAAgAD0ATABBAE0AQgBEAEEAKABcACIAVgBFAEUAUgBHACAAMgAwADIANgA6ACAAMwAuADIALgAxAC4AMQAsACAARQBxAHUAYQB0AGkAbwBuACAAKAAxACkAXAAiACkAOwBcAG4AXABuAFYARQBFAFIARwBfADMAXwAyAF8AMQBfADEAXwBfADEAXwBUAG8AdABhAGwAQQBuAG4AdQBhAGwATQBlAHQAaABhAG4AZQBGAHIAbwBtAEUAbgB0AGUAcgBpAGMARgBlAHIAbQBlAG4AdABhAHQAaQBvAG4AXwBOAEkAUgBSAGUAZgBlAHIAZQBuAGMAZQBcAG4AIAAgAD0ATABBAE0AQgBEAEEAKABcACIAXAAiACkAOwBcAG4AXABuAFYARQBFAFIARwBfADMAXwAyAF8AMQBfADEAXwBfADEAXwBUAG8AdABhAGwAQQBuAG4AdQBhAGwATQBlAHQAaABhAG4AZQBGAHIAbwBtAEUAbgB0AGUAcgBpAGMARgBlAHIAbQBlAG4AdABhAHQAaQBvAG4AXwBMAGEAdABlAHgARQBxAHUAYQB0AGkAbwBuAFwAbgAgACAAPQBMAEEATQBCAEQAQQAoAFwAIgBFAF8AewBlAG4AdABlAHIAaQBjAH0APQBcAFwAcwB1AG0AXwB7AGoAfQBcAFwAcwB1AG0AXwB7AGsAfQBcAFwAcwB1AG0AXwB7AGwAfQAoAEQAXwBqAFwAXAB0AGkAbQBlAHMAIABNAF8AewBqAGsAbAB9AFwAXAB0AGkAbQBlAHMAIABOAF8AewBqAGsAbAB9ACkAXABcAHQAaQBtAGUAcwAgADEAMABeAHsALQAzAH0AXAAiACkAOwBcAG4AXABuAFYARQBFAFIARwBfADMAXwAyAF8AMQBfADEAXwBfADEAXwBUAG8AdABhAGwAQQBuAG4AdQBhAGwATQBlAHQAaABhAG4AZQBGAHIAbwBtAEUAbgB0AGUAcgBpAGMARgBlAHIAbQBlAG4AdABhAHQAaQBvAG4AXwBBAHIAZwB1AG0AZQBuAHQAcwBcAG4AIAAgAD0ATABBAE0AQgBEAEEAKABcAG4AIAAgACAAIABNAEEASwBFAEEAUgBSAEEAWQAoADMALAAgADQALABcAG4AIAAgACAAIAAgACAATABBAE0AQgBEAEEAKAByACwAYwAsAFwAbgAgACAAIAAgACAAIAAgACAASQBOAEQARQBYACgAewBcAG4AIAAgACAAIAAgACAAIAAgACAAIABcACIARABfAGoAXAAiACwAIABcACIAbgB1AG0AYgBlAHIAIABvAGYAIABkAGEAeQBzACAAdABoAGUAIABhAG4AaQBtAGEAbAAgAGkAcwAgAG8AbgAgAHQAaABlACAAZgBhAHIAbQAgAGkAbgAgAGUAYQBjAGgAIAB0AGkAbQBlAC0AcABlAHIAaQBvAGQAXAAiACwAIABcACIAZABhAHkAcwBcACIALAAgAFwAIgBJAG4AcAB1AHQAXAAiADsAXABuACAAIAAgACAAIAAgACAAIAAgACAAXAAiAE0AXwBqAGsAbABcACIALAAgAFwAIgBkAGEAaQBsAHkAIABwAHIAbwBkAHUAYwB0AGkAbwBuACAAbwBmACAAZQBuAHQAZQByAGkAYwAgAG0AZQB0AGgAYQBuAGUAIABpAG4AIABlAGEAYwBoACAAdABpAG0AZQAtAHAAZQByAGkAbwBkACwAIABjAGwAYQBzAHMAIABhAG4AZAAgAHMAdQBiAGMAbABhAHMAcwBcACIALAAgAFwAIgBrAGcAIABDAEgANAAvAGgAZQBhAGQALwBkAGEAeQBcACIALAAgAFwAIgBDAGEAbABjAHUAbABhAHQAZQBkACAAZgByAG8AbQAgADMALgAyAC4AMQAuADEALAAgACgAMgApAFwAIgA7AFwAbgAgACAAIAAgACAAIAAgACAAIAAgAFwAIgBOAF8AagBrAGwAXAAiACwAIABcACIAbgB1AG0AYgBlAHIAIABvAGYAIABiAGUAZQBmACAAYwBhAHQAdABsAGUAIABpAG4AIABlAGEAYwBoACAAdABpAG0AZQAtAHAAZQByAGkAbwBkACwAIABjAGwAYQBzAHMAIABhAG4AZAAgAHMAdQBiAGMAbABhAHMAcwBcACIALAAgAFwAIgBoAGUAYQBkAFwAIgAsACAAXAAiAEkAbgBwAHUAdABcACIAXABuACAAIAAgACAAIAAgACAAIAB9ACwAIAByACwAIABjACkAXABuACAAIAAgACAAIAAgACkAXABuACAAIAAgACAAKQBcAG4AIAAgACkAOwBcAG4AXABuAC8AKgBcAG4ALQAtAC0ALQAtAC0ALQAtAC0ALQAtAC0ALQAtAC0ALQAtAC0ALQAtAC0ALQAtAC0ALQAtAC0ALQAtAC0ALQAtAC0ALQAtAC0ALQAtAFwAbgBWAEUARQBSAEcAXwAzAF8AMgBfADEAXwAxAF8AXwAyAF8ARABhAGkAbAB5AEUAbgB0AGUAcgBpAGMATQBlAHQAaABhAG4AZQBQAHIAbwBkAHUAYwB0AGkAbwBuAFwAbgBEAGEAaQBsAHkAIABwAHIAbwBkAHUAYwB0AGkAbwBuACAAbwBmACAAZQBuAHQAZQByAGkAYwAgAG0AZQB0AGgAYQBuAGUAXABuAE0AXwBqAGsAbABcAG4AawBnACAAQwBIADQALwBoAGUAYQBkAC8AZABhAHkAXABuAE0AXwB7AGoAawBsAH0APQAyADAALgA3AFwAXAB0AGkAbQBlAHMAIABJAF8AewBqAGsAbAB9AFwAXAB0AGkAbQBlAHMAIAAxADAAXgB7AC0AMwB9AFwAbgBJAF8AagBrAGwAIAA9ACAAZAByAHkAIABtAGEAdAB0AGUAcgAgAGkAbgB0AGEAawBlACAAKABrAGcAIABEAE0ALwBoAGUAYQBkAC8AZABhAHkAKQBcAG4ALQAtAC0ALQAtAC0ALQAtAC0ALQAtAC0ALQAtAC0ALQAtAC0ALQAtAC0ALQAtAC0ALQAtAC0ALQAtAC0ALQAtAC0ALQAtAC0ALQAtAFwAbgAqAC8AXABuAFwAbgBWAEUARQBSAEcAXwAzAF8AMgBfADEAXwAxAF8AXwAyAF8ARABhAGkAbAB5AEUAbgB0AGUAcgBpAGMATQBlAHQAaABhAG4AZQBQAHIAbwBkAHUAYwB0AGkAbwBuAFwAbgAgACAAPQBMAEEATQBCAEQAQQAoAFwAbgAgACAAIAAgAEkAXwBqAGsAbAAsAFwAbgAgACAAIAAgADIAMAAuADcAIAAqACAASQBfAGoAawBsACAAKgAgADEAMAAgAF4AIAAtADMAXABuACAAIAApADsAXABuAFwAbgBWAEUARQBSAEcAXwAzAF8AMgBfADEAXwAxAF8AXwAyAF8ARABhAGkAbAB5AEUAbgB0AGUAcgBpAGMATQBlAHQAaABhAG4AZQBQAHIAbwBkAHUAYwB0AGkAbwBuAF8AVABpAHQAbABlAFwAbgAgACAAPQBMAEEATQBCAEQAQQAoAFwAIgBEAGEAaQBsAHkAIABwAHIAbwBkAHUAYwB0AGkAbwBuACAAbwBmACAAZQBuAHQAZQByAGkAYwAgAG0AZQB0AGgAYQBuAGUAXAAiACkAOwBcAG4AXABuAFYARQBFAFIARwBfADMAXwAyAF8AMQBfADEAXwBfADIAXwBEAGEAaQBsAHkARQBuAHQAZQByAGkAYwBNAGUAdABoAGEAbgBlAFAAcgBvAGQAdQBjAHQAaQBvAG4AXwBWAGEAcgBpAGEAYgBsAGUAXABuACAAIAA9AEwAQQBNAEIARABBACgAXAAiAE0AXwBqAGsAbABcACIAKQA7AFwAbgBcAG4AVgBFAEUAUgBHAF8AMwBfADIAXwAxAF8AMQBfAF8AMgBfAEQAYQBpAGwAeQBFAG4AdABlAHIAaQBjAE0AZQB0AGgAYQBuAGUAUAByAG8AZAB1AGMAdABpAG8AbgBfAFUAbgBpAHQAXABuACAAIAA9AEwAQQBNAEIARABBACgAXAAiAGsAZwAgAEMASAA0AC8AaABlAGEAZAAvAGQAYQB5AFwAIgApADsAXABuAFwAbgBWAEUARQBSAEcAXwAzAF8AMgBfADEAXwAxAF8AXwAyAF8ARABhAGkAbAB5AEUAbgB0AGUAcgBpAGMATQBlAHQAaABhAG4AZQBQAHIAbwBkAHUAYwB0AGkAbwBuAF8AUwBvAHUAcgBjAGUAXABuACAAIAA9AEwAQQBNAEIARABBACgAXAAiAFYARQBFAFIARwAgADIAMAAyADYAOgAgADMALgAyAC4AMQAuADEALAAgAEUAcQB1AGEAdABpAG8AbgAgACgAMgApAFwAIgApADsAXABuAFwAbgBWAEUARQBSAEcAXwAzAF8AMgBfADEAXwAxAF8AXwAyAF8ARABhAGkAbAB5AEUAbgB0AGUAcgBpAGMATQBlAHQAaABhAG4AZQBQAHIAbwBkAHUAYwB0AGkAbwBuAF8ATgBJAFIAUgBlAGYAZQByAGUAbgBjAGUAXABuACAAIAA9AEwAQQBNAEIARABBACgAXAAiAEMAaABhAHIAbQBsAGUAeQAgAGUAdAAgAGEAbAAuACAAKAAyADAAMQA1ACkAXAAiACkAOwBcAG4AXABuAFYARQBFAFIARwBfADMAXwAyAF8AMQBfADEAXwBfADIAXwBEAGEAaQBsAHkARQBuAHQAZQByAGkAYwBNAGUAdABoAGEAbgBlAFAAcgBvAGQAdQBjAHQAaQBvAG4AXwBMAGEAdABlAHgARQBxAHUAYQB0AGkAbwBuAFwAbgAgACAAPQBMAEEATQBCAEQAQQAoAFwAIgBNAF8AewBqAGsAbAB9AD0AMgAwAC4ANwBcAFwAdABpAG0AZQBzACAASQBfAHsAagBrAGwAfQBcAFwAdABpAG0AZQBzACAAMQAwAF4AewAtADMAfQBcACIAKQA7AFwAbgBcAG4AVgBFAEUAUgBHAF8AMwBfADIAXwAxAF8AMQBfAF8AMgBfAEQAYQBpAGwAeQBFAG4AdABlAHIAaQBjAE0AZQB0AGgAYQBuAGUAUAByAG8AZAB1AGMAdABpAG8AbgBfAEEAcgBnAHUAbQBlAG4AdABzAFwAbgAgACAAPQBMAEEATQBCAEQAQQAoAFwAbgAgACAAIAAgAE0AQQBLAEUAQQBSAFIAQQBZACgAMQAsACAANAAsAFwAbgAgACAAIAAgACAAIABMAEEATQBCAEQAQQAoAHIALABjACwAXABuACAAIAAgACAAIAAgACAAIABJAE4ARABFAFgAKAB7AFwAbgAgACAAIAAgACAAIAAgACAAIAAgAFwAIgBJAF8AagBrAGwAXAAiACwAIABcACIAZAByAHkAIABtAGEAdAB0AGUAcgAgAGkAbgB0AGEAawBlAFwAIgAsACAAXAAiAGsAZwAgAEQATQAvAGgAZQBhAGQALwBkAGEAeQBcACIALAAgAFwAIgBDAGEAbABjAHUAbABhAHQAZQBkACAAZgByAG8AbQAgADMALgAyAC4AMQAuADEALAAgACgAMwApAFwAIgBcAG4AIAAgACAAIAAgACAAIAAgAH0ALAAgAHIALAAgAGMAKQBcAG4AIAAgACAAIAAgACAAKQBcAG4AIAAgACAAIAApAFwAbgAgACAAKQA7AFwAbgBcAG4ALwAqAFwAbgAtAC0ALQAtAC0ALQAtAC0ALQAtAC0ALQAtAC0ALQAtAC0ALQAtAC0ALQAtAC0ALQAtAC0ALQAtAC0ALQAtAC0ALQAtAC0ALQAtAC0AXABuAFYARQBFAFIARwBfADMAXwAyAF8AMQBfADEAXwBfADMAXwBGAGUAZQBkAEkAbgB0AGEAawBlAEYAbwByAEcAcgBhAHoAaQBuAGcAQgBlAGUAZgBcAG4ARgBlAGUAZAAgAGkAbgB0AGEAawBlACAAZgBvAHIAIABnAHIAYQB6AGkAbgBnACAAYgBlAGUAZgAgAGMAYQB0AHQAbABlAFwAbgBJAF8AagBrAGwAXABuAGsAZwAgAEQATQAvAGgAZQBhAGQALwBkAGEAeQBcAG4ASQBfAHsAagBrAGwAfQA9ACgAMQAuADEAOAA1ACsAMAAuADAAMAA0ADUANABcAFwAdABpAG0AZQBzACAAVwBfAHsAagBrAGwAfQAtADAALgAwADAAMAAwADAAMgA2AFwAXAB0AGkAbQBlAHMAIABXAF8AewBqAGsAbAB9AF4AewAyAH0AKwAwAC4AMwAxADUAXABcAHQAaQBtAGUAcwAgAEwAVwBHAF8AewBqAGsAbAB9ACkAXgAyAFwAXAB0AGkAbQBlAHMAIABNAEEAXwB7AGoAawA9ADQALAA1AH0AXABuAFcAXwBqAGsAbAAgAD0AIABsAGkAdgBlAHcAZQBpAGcAaAB0ACAAKABrAGcAKQBcAG4ATABXAEcAXwBqAGsAbAAgAD0AIABsAGkAdgBlACAAdwBlAGkAZwBoAHQAIABnAGEAaQBuACAAKABrAGcALwBoAGUAYQBkAC8AZABhAHkAKQBcAG4ATQBBAF8AagBrADQANQAgAD0AIABhAGQAZABpAHQAaQBvAG4AYQBsACAAaQBuAHQAYQBrAGUAIABmAG8AcgAgAG0AaQBsAGsAIABwAHIAbwBkAHUAYwB0AGkAbwBuACAAaQBuACAAYwBvAHcAcwAgAGcAcgBlAGEAdABlAHIAIAB0AGgAYQBuACAAMgAgAHkAZQBhAHIAcwAgACgAawBnAC8AaABlAGEAZAAvAGQAYQB5ACkAXABuAC0ALQAtAC0ALQAtAC0ALQAtAC0ALQAtAC0ALQAtAC0ALQAtAC0ALQAtAC0ALQAtAC0ALQAtAC0ALQAtAC0ALQAtAC0ALQAtAC0ALQBcAG4AKgAvAFwAbgBcAG4AVgBFAEUAUgBHAF8AMwBfADIAXwAxAF8AMQBfAF8AMwBfAEYAZQBlAGQASQBuAHQAYQBrAGUARgBvAHIARwByAGEAegBpAG4AZwBCAGUAZQBmAFwAbgAgACAAPQBMAEEATQBCAEQAQQAoAFwAbgAgACAAIAAgAFcAXwBqAGsAbAAsACAATABXAEcAXwBqAGsAbAAsACAATQBBAF8AagBrADQANQAsAFwAbgAgACAAIAAgACgAMQAuADEAOAA1ACAAKwAgADAALgAwADAANAA1ADQAIAAqACAAVwBfAGoAawBsACAALQAgADAALgAwADAAMAAwADAAMgA2ACAAKgAgAFcAXwBqAGsAbAAgAF4AIAAyACAAKwAgADAALgAzADEANQAgACoAIABMAFcARwBfAGoAawBsACkAIABeACAAMgAgACoAIABNAEEAXwBqAGsANAA1AFwAbgAgACAAKQA7AFwAbgBcAG4AVgBFAEUAUgBHAF8AMwBfADIAXwAxAF8AMQBfAF8AMwBfAEYAZQBlAGQASQBuAHQAYQBrAGUARgBvAHIARwByAGEAegBpAG4AZwBCAGUAZQBmAF8AVABpAHQAbABlAFwAbgAgACAAPQBMAEEATQBCAEQAQQAoAFwAIgBGAGUAZQBkACAAaQBuAHQAYQBrAGUAIABmAG8AcgAgAGcAcgBhAHoAaQBuAGcAIABiAGUAZQBmACAAYwBhAHQAdABsAGUAXAAiACkAOwBcAG4AXABuAFYARQBFAFIARwBfADMAXwAyAF8AMQBfADEAXwBfADMAXwBGAGUAZQBkAEkAbgB0AGEAawBlAEYAbwByAEcAcgBhAHoAaQBuAGcAQgBlAGUAZgBfAFYAYQByAGkAYQBiAGwAZQBcAG4AIAAgAD0ATABBAE0AQgBEAEEAKABcACIASQBfAGoAawBsAFwAIgApADsAXABuAFwAbgBWAEUARQBSAEcAXwAzAF8AMgBfADEAXwAxAF8AXwAzAF8ARgBlAGUAZABJAG4AdABhAGsAZQBGAG8AcgBHAHIAYQB6AGkAbgBnAEIAZQBlAGYAXwBVAG4AaQB0AFwAbgAgACAAPQBMAEEATQBCAEQAQQAoAFwAIgBrAGcAIABEAE0ALwBoAGUAYQBkAC8AZABhAHkAXAAiACkAOwBcAG4AXABuAFYARQBFAFIARwBfADMAXwAyAF8AMQBfADEAXwBfADMAXwBGAGUAZQBkAEkAbgB0AGEAawBlAEYAbwByAEcAcgBhAHoAaQBuAGcAQgBlAGUAZgBfAFMAbwB1AHIAYwBlAFwAbgAgACAAPQBMAEEATQBCAEQAQQAoAFwAIgBWAEUARQBSAEcAIAAyADAAMgA2ADoAIAAzAC4AMgAuADEALgAxACwAIABFAHEAdQBhAHQAaQBvAG4AIAAoADMAKQBcACIAKQA7AFwAbgBcAG4AVgBFAEUAUgBHAF8AMwBfADIAXwAxAF8AMQBfAF8AMwBfAEYAZQBlAGQASQBuAHQAYQBrAGUARgBvAHIARwByAGEAegBpAG4AZwBCAGUAZQBmAF8ATgBJAFIAUgBlAGYAZQByAGUAbgBjAGUAXABuACAAIAA9AEwAQQBNAEIARABBACgAXAAiAE0AaQBuAHMAbwBuACAAYQBuAGQAIABNAGMARABvAG4AYQBsAGQAIAAoADEAOQA4ADcAKQBcACIAKQA7AFwAbgBcAG4AVgBFAEUAUgBHAF8AMwBfADIAXwAxAF8AMQBfAF8AMwBfAEYAZQBlAGQASQBuAHQAYQBrAGUARgBvAHIARwByAGEAegBpAG4AZwBCAGUAZQBmAF8ATABhAHQAZQB4AEUAcQB1AGEAdABpAG8AbgBcAG4AIAAgAD0ATABBAE0AQgBEAEEAKABcACIASQBfAHsAagBrAGwAfQA9ACgAMQAuADEAOAA1ACsAMAAuADAAMAA0ADUANABcAFwAdABpAG0AZQBzACAAVwBfAHsAagBrAGwAfQAtADAALgAwADAAMAAwADAAMgA2AFwAXAB0AGkAbQBlAHMAIABXAF8AewBqAGsAbAB9AF4AewAyAH0AKwAwAC4AMwAxADUAXABcAHQAaQBtAGUAcwAgAEwAVwBHAF8AewBqAGsAbAB9ACkAXgAyAFwAXAB0AGkAbQBlAHMAIABNAEEAXwB7AGoAawA9ADQALAA1AH0AXAAiACkAOwBcAG4AXABuAFYARQBFAFIARwBfADMAXwAyAF8AMQBfADEAXwBfADMAXwBGAGUAZQBkAEkAbgB0AGEAawBlAEYAbwByAEcAcgBhAHoAaQBuAGcAQgBlAGUAZgBfAEEAcgBnAHUAbQBlAG4AdABzAFwAbgAgACAAPQBMAEEATQBCAEQAQQAoAFwAbgAgACAAIAAgAE0AQQBLAEUAQQBSAFIAQQBZACgAMwAsACAANAAsAFwAbgAgACAAIAAgACAAIABMAEEATQBCAEQAQQAoAHIALABjACwAXABuACAAIAAgACAAIAAgACAAIABJAE4ARABFAFgAKAB7AFwAbgAgACAAIAAgACAAIAAgACAAIAAgAFwAIgBXAF8AagBrAGwAXAAiACwAIABcACIAbABpAHYAZQB3AGUAaQBnAGgAdAAgACgAawBnACkAXAAiACwAIABcACIAawBnAFwAIgAsACAAXAAiAEkAbgBwAHUAdABcACIAOwBcAG4AIAAgACAAIAAgACAAIAAgACAAIABcACIATABXAEcAXwBqAGsAbABcACIALAAgAFwAIgBsAGkAdgBlACAAdwBlAGkAZwBoAHQAIABnAGEAaQBuACAAKABrAGcALwBoAGUAYQBkAC8AZABhAHkAKQBcACIALAAgAFwAIgBrAGcALwBoAGUAYQBkAC8AZABhAHkAXAAiACwAIABcACIASQBuAHAAdQB0AFwAIgA7AFwAbgAgACAAIAAgACAAIAAgACAAIAAgAFwAIgBNAEEAXwBqAGsANAA1AFwAIgAsACAAXAAiAGEAZABkAGkAdABpAG8AbgBhAGwAIABpAG4AdABhAGsAZQAgAGYAbwByACAAbQBpAGwAawAgAHAAcgBvAGQAdQBjAHQAaQBvAG4AIABpAG4AIABjAG8AdwBzACAAZwByAGUAYQB0AGUAcgAgAHQAaABhAG4AIAAyACAAeQBlAGEAcgBzAFwAIgAsACAAXAAiAGsAZwAvAGgAZQBhAGQALwBkAGEAeQBcACIALAAgAFwAIgBDAGEAbABjAHUAbABhAHQAZQBkACAAZgByAG8AbQAgADMALgAyAC4AMQAuADEALAAgACgANAApAFwAIgBcAG4AIAAgACAAIAAgACAAIAAgAH0ALAAgAHIALAAgAGMAKQBcAG4AIAAgACAAIAAgACAAKQBcAG4AIAAgACAAIAApAFwAbgAgACAAKQA7AFwAbgBcAG4ALwAqAFwAbgAtAC0ALQAtAC0ALQAtAC0ALQAtAC0ALQAtAC0ALQAtAC0ALQAtAC0ALQAtAC0ALQAtAC0ALQAtAC0ALQAtAC0ALQAtAC0ALQAtAC0AXABuAFYARQBFAFIARwBfADMAXwAyAF8AMQBfADEAXwBfADQAXwBBAGQAZABpAHQAaQBvAG4AYQBsAEkAbgB0AGEAawBlAEYAbwByAE0AaQBsAGsAUAByAG8AZAB1AGMAdABpAG8AbgBcAG4AQQBkAGQAaQB0AGkAbwBuAGEAbAAgAGkAbgB0AGEAawBlACAAZgBvAHIAIABtAGkAbABrACAAcAByAG8AZAB1AGMAdABpAG8AbgAgAGkAbgAgAHQAaABlACAAcwBlAGEAcwBvAG4AIABvAGYAIABjAGEAbAB2AGkAbgBnACAAYQBuAGQAIAB0AGgAZQAgAHMAZQBhAHMAbwBuACAAYQBmAHQAZQByACAAYwBhAGwAdgBpAG4AZwBcAG4ATQBBAF8AagBrADQANQBcAG4AZgByAGEAYwB0AGkAbwBuAFwAbgBNAEEAXwB7AGoAawA9ADQALAA1AH0APQAoAEwAQwBfAHsAagBrAD0ANAAsADUAfQBcAFwAdABpAG0AZQBzACAARgBBAF8AewBqAGsAPQA0ACwANQB9ACkAKwAoADEALQBMAEMAXwB7AGoAawA9ADQALAA1AH0AKQBcAG4ATABDAF8AagBrADQANQAgAD0AIABwAHIAbwBwAG8AcgB0AGkAbwBuACAAbwBmACAAYwBvAHcAcwAgAGcAcgBlAGEAdABlAHIAIAB0AGgAYQBuACAAMQAgAHkAZQBhAHIAIABpAG4AIABjAGEAbABmACAAaQBuACAAdABoAGUAIABzAGUAYQBzAG8AbgAgAG8AZgAgAGMAYQBsAHYAaQBuAGcAIABlAHgAcAByAGUAcwBzAGUAZAAgAGEAcwAgAGEAIABmAHIAYQBjAHQAaQBvAG4AXABuAEYAQQBfAGoAawA0ADUAIAA9ACAAZgBlAGUAZAAgAGEAZABqAHUAcwB0AG0AZQBuAHQAIAB2AGEAbAB1AGUAIABmAG8AcgAgAGwAYQBjAHQAYQB0AGkAbgBnACAAYwBvAHcAcwAgAGkAbgAgAHQAaABlACAAcwBlAGEAcwBvAG4AIABvAGYAIABjAGEAbAB2AGkAbgBnACAAYQBuAGQAIAB0AGgAZQAgAHMAZQBhAHMAbwBuACAAaQBtAG0AZQBkAGkAYQB0AGUAbAB5ACAAYQBmAHQAZQByACAAYwBhAGwAdgBpAG4AZwAgAGUAeABwAHIAZQBzAHMAZQBkACAAYQBzACAAYQAgAGYAcgBhAGMAdABpAG8AbgBcAG4ALQAtAC0ALQAtAC0ALQAtAC0ALQAtAC0ALQAtAC0ALQAtAC0ALQAtAC0ALQAtAC0ALQAtAC0ALQAtAC0ALQAtAC0ALQAtAC0ALQAtAFwAbgAqAC8AXABuAFwAbgBWAEUARQBSAEcAXwAzAF8AMgBfADEAXwAxAF8AXwA0AF8AQQBkAGQAaQB0AGkAbwBuAGEAbABJAG4AdABhAGsAZQBGAG8AcgBNAGkAbABrAFAAcgBvAGQAdQBjAHQAaQBvAG4AXABuACAAIAA9AEwAQQBNAEIARABBACgAXABuACAAIAAgACAATABDAF8AagBrADQANQAsACAARgBBAF8AagBrADQANQAsAFwAbgAgACAAIAAgACgATABDAF8AagBrADQANQAgACoAIABGAEEAXwBqAGsANAA1ACkAIAArACAAKAAxACAALQAgAEwAQwBfAGoAawA0ADUAKQBcAG4AIAAgACkAOwBcAG4AXABuAFwAbgBWAEUARQBSAEcAXwAzAF8AMgBfADEAXwAxAF8AXwA0AF8AQQBkAGQAaQB0AGkAbwBuAGEAbABJAG4AdABhAGsAZQBGAG8AcgBNAGkAbABrAFAAcgBvAGQAdQBjAHQAaQBvAG4AVgBhAHIAaQBhAHQAaQBvAG4AXABuACAAIAA9AEwAQQBNAEIARABBACgAXABuACAAIAAgACAATABDAF8AagBrADQANQBjAGEAbAB2ACwAIABMAEMAXwBqAGsANAA1AHAAcgBlAHYALAAgAEYAQQBfAGoAawA0ADUAYwBhAGwAdgAsACAARgBBAF8AagBrADQANQBhAGYAdABlAHIALABcAG4AIAAgACAAIAAoACgATABDAF8AagBrADQANQBjAGEAbAB2ACAAKgAgAEYAQQBfAGoAawA0ADUAYwBhAGwAdgApACAAKwAgACgATABDAF8AagBrADQANQBwAHIAZQB2ACAAKgAgAEYAQQBfAGoAawA0ADUAYQBmAHQAZQByACkAKQAgACsAIAAoADEAIAAtACAAKABMAEMAXwBqAGsANAA1AGMAYQBsAHYAIAArACAATABDAF8AagBrADQANQBwAHIAZQB2ACkAKQBcAG4AIAAgACkAOwBcAG4AXABuAFYARQBFAFIARwBfADMAXwAyAF8AMQBfADEAXwBfADQAXwBBAGQAZABpAHQAaQBvAG4AYQBsAEkAbgB0AGEAawBlAEYAbwByAE0AaQBsAGsAUAByAG8AZAB1AGMAdABpAG8AbgBfAFQAaQB0AGwAZQBcAG4AIAAgAD0ATABBAE0AQgBEAEEAKABcACIAQQBkAGQAaQB0AGkAbwBuAGEAbAAgAGkAbgB0AGEAawBlACAAZgBvAHIAIABtAGkAbABrACAAcAByAG8AZAB1AGMAdABpAG8AbgAgAGkAbgAgAHQAaABlACAAcwBlAGEAcwBvAG4AIABvAGYAIABjAGEAbAB2AGkAbgBnACAAYQBuAGQAIAB0AGgAZQAgAHMAZQBhAHMAbwBuACAAYQBmAHQAZQByACAAYwBhAGwAdgBpAG4AZwBcACIAKQA7AFwAbgBcAG4AVgBFAEUAUgBHAF8AMwBfADIAXwAxAF8AMQBfAF8ANABfAEEAZABkAGkAdABpAG8AbgBhAGwASQBuAHQAYQBrAGUARgBvAHIATQBpAGwAawBQAHIAbwBkAHUAYwB0AGkAbwBuAF8AVgBhAHIAaQBhAGIAbABlAFwAbgAgACAAPQBMAEEATQBCAEQAQQAoAFwAIgBNAEEAXwBqAGsANAA1AFwAIgApADsAXABuAFwAbgBWAEUARQBSAEcAXwAzAF8AMgBfADEAXwAxAF8AXwA0AF8AQQBkAGQAaQB0AGkAbwBuAGEAbABJAG4AdABhAGsAZQBGAG8AcgBNAGkAbABrAFAAcgBvAGQAdQBjAHQAaQBvAG4AXwBVAG4AaQB0AFwAbgAgACAAPQBMAEEATQBCAEQAQQAoAFwAIgBmAHIAYQBjAHQAaQBvAG4AXAAiACkAOwBcAG4AXABuAFYARQBFAFIARwBfADMAXwAyAF8AMQBfADEAXwBfADQAXwBBAGQAZABpAHQAaQBvAG4AYQBsAEkAbgB0AGEAawBlAEYAbwByAE0AaQBsAGsAUAByAG8AZAB1AGMAdABpAG8AbgBfAFMAbwB1AHIAYwBlAFwAbgAgACAAPQBMAEEATQBCAEQAQQAoAFwAIgBWAEUARQBSAEcAIAAyADAAMgA2ADoAIAAzAC4AMgAuADEALgAxACwAIABFAHEAdQBhAHQAaQBvAG4AIAAoADQAKQBcACIAKQA7AFwAbgBcAG4AVgBFAEUAUgBHAF8AMwBfADIAXwAxAF8AMQBfAF8ANABfAEEAZABkAGkAdABpAG8AbgBhAGwASQBuAHQAYQBrAGUARgBvAHIATQBpAGwAawBQAHIAbwBkAHUAYwB0AGkAbwBuAF8ATgBJAFIAUgBlAGYAZQByAGUAbgBjAGUAXABuACAAIAA9AEwAQQBNAEIARABBACgAXAAiAFwAIgApADsAXABuAFwAbgBWAEUARQBSAEcAXwAzAF8AMgBfADEAXwAxAF8AXwA0AF8AQQBkAGQAaQB0AGkAbwBuAGEAbABJAG4AdABhAGsAZQBGAG8AcgBNAGkAbABrAFAAcgBvAGQAdQBjAHQAaQBvAG4AXwBMAGEAdABlAHgARQBxAHUAYQB0AGkAbwBuAFwAbgAgACAAPQBMAEEATQBCAEQAQQAoAFwAIgBNAEEAXwB7AGoAawA9ADQALAA1AH0APQAoAEwAQwBfAHsAagBrAD0ANAAsADUAfQBcAFwAdABpAG0AZQBzACAARgBBAF8AewBqAGsAPQA0ACwANQB9ACkAKwAoADEALQBMAEMAXwB7AGoAawA9ADQALAA1AH0AKQBcACIAKQA7AFwAbgBcAG4AVgBFAEUAUgBHAF8AMwBfADIAXwAxAF8AMQBfAF8ANABfAEEAZABkAGkAdABpAG8AbgBhAGwASQBuAHQAYQBrAGUARgBvAHIATQBpAGwAawBQAHIAbwBkAHUAYwB0AGkAbwBuAF8ATABhAHQAZQB4AEUAcQB1AGEAdABpAG8AbgBWAGEAcgBpAGEAdABpAG8AbgBcAG4AIAAgAD0ATABBAE0AQgBEAEEAKABcACIATQBBAF8AewBqAGsAPQA0ACwANQB9AD0AKAAoAEwAQwBfAHsAagBrAD0ANAAsADUALABjAGEAbAB2AH0AXABcAHQAaQBtAGUAcwAgAEYAQQBfAHsAagBrAD0ANAAsADUALABjAGEAbAB2AH0AKQArACgATABDAF8AewBqAGsAPQA0ACwANQAsAHAAcgBlAHYAfQBcAFwAdABpAG0AZQBzACAARgBBAF8AewBqAGsAPQA0ACwANQAsAGEAZgB0AGUAcgB9ACkAKQArACgAMQAtACgATABDAF8AewBqAGsAPQA0ACwANQAsAGMAYQBsAHYAfQArAEwAQwBfAHsAagBrAD0ANAAsADUALABwAHIAZQB2AH0AKQApAFwAIgApADsAXABuAFwAbgBWAEUARQBSAEcAXwAzAF8AMgBfADEAXwAxAF8AXwA0AF8AQQBkAGQAaQB0AGkAbwBuAGEAbABJAG4AdABhAGsAZQBGAG8AcgBNAGkAbABrAFAAcgBvAGQAdQBjAHQAaQBvAG4AXwBBAHIAZwB1AG0AZQBuAHQAcwBcAG4AIAAgAD0ATABBAE0AQgBEAEEAKABcAG4AIAAgACAAIABNAEEASwBFAEEAUgBSAEEAWQAoADMALAAgADQALABcAG4AIAAgACAAIAAgACAATABBAE0AQgBEAEEAKAByACwAYwAsAFwAbgAgACAAIAAgACAAIAAgACAASQBOAEQARQBYACgAewBcAG4AIAAgACAAIAAgACAAIAAgACAAIABcACIATABDAF8AagBrADQANQBcACIALAAgAFwAIgBwAHIAbwBwAG8AcgB0AGkAbwBuACAAbwBmACAAYwBvAHcAcwAgAGcAcgBlAGEAdABlAHIAIAB0AGgAYQBuACAAMQAgAHkAZQBhAHIAIABpAG4AIABjAGEAbABmACAAaQBuACAAdABoAGUAIABzAGUAYQBzAG8AbgAgAG8AZgAgAGMAYQBsAHYAaQBuAGcAIABlAHgAcAByAGUAcwBzAGUAZAAgAGEAcwAgAGEAIABmAHIAYQBjAHQAaQBvAG4AXAAiACwAIABcACIAZgByAGEAYwB0AGkAbwBuAFwAIgAsACAAXAAiAEkAbgBwAHUAdABcACIAOwBcAG4AIAAgACAAIAAgACAAIAAgACAAIABcACIARgBBAF8AagBrADQANQBcACIALAAgAFwAIgBmAGUAZQBkACAAYQBkAGoAdQBzAHQAbQBlAG4AdAAgAHYAYQBsAHUAZQAgAGYAbwByACAAbABhAGMAdABhAHQAaQBuAGcAIABjAG8AdwBzACAAaQBuACAAdABoAGUAIABzAGUAYQBzAG8AbgAgAG8AZgAgAGMAYQBsAHYAaQBuAGcAIABhAG4AZAAgAHQAaABlACAAcwBlAGEAcwBvAG4AIABpAG0AbQBlAGQAaQBhAHQAZQBsAHkAIABhAGYAdABlAHIAIABjAGEAbAB2AGkAbgBnACAAZQB4AHAAcgBlAHMAcwBlAGQAIABhAHMAIABhACAAZgByAGEAYwB0AGkAbwBuAFwAIgAsACAAXAAiAGYAcgBhAGMAdABpAG8AbgBcACIALAAgAFwAIgBDAG8AbgBzAHQAYQBuAHQAXAAiADsAXABuACAAIAAgACAAIAAgACAAIAAgACAAXAAiAGIAXAAiACwAIABcACIAYgByAGUAZQBkACAAbwBmACAAYwBhAHQAdABsAGUAXAAiACwAIABcACIAXAAiACwAIABcACIASQBuAHAAdQB0AFwAIgBcAG4AIAAgACAAIAAgACAAIAAgAH0ALAAgAHIALAAgAGMAKQBcAG4AIAAgACAAIAAgACAAKQBcAG4AIAAgACAAIAApAFwAbgAgACAAKQA7AFwAbgBcAG4AVgBFAEUAUgBHAF8AMwBfADIAXwAxAF8AMQBfAF8ANABfAEEAZABkAGkAdABpAG8AbgBhAGwASQBuAHQAYQBrAGUARgBvAHIATQBpAGwAawBQAHIAbwBkAHUAYwB0AGkAbwBuAF8AQQByAGcAdQBtAGUAbgB0AHMAVgBhAHIAaQBhAHQAaQBvAG4AXABuACAAIAA9AEwAQQBNAEIARABBACgAXABuACAAIAAgACAATQBBAEsARQBBAFIAUgBBAFkAKAA0ACwAIAA0ACwAXABuACAAIAAgACAAIAAgAEwAQQBNAEIARABBACgAcgAsAGMALABcAG4AIAAgACAAIAAgACAAIAAgAEkATgBEAEUAWAAoAHsAXABuACAAIAAgACAAIAAgACAAIAAgACAAXAAiAEwAQwBfAGoAawA0ADUAXAAiACwAIABcACIAcAByAG8AcABvAHIAdABpAG8AbgAgAG8AZgAgAGMAbwB3AHMAIABnAHIAZQBhAHQAZQByACAAdABoAGEAbgAgADEAIAB5AGUAYQByACAAaQBuACAAYwBhAGwAZgAgAGkAbgAgAHQAaABlACAAcwBlAGEAcwBvAG4AIABvAGYAIABjAGEAbAB2AGkAbgBnACAAZQB4AHAAcgBlAHMAcwBlAGQAIABhAHMAIABhACAAZgByAGEAYwB0AGkAbwBuAFwAIgAsACAAXAAiAGYAcgBhAGMAdABpAG8AbgBcACIALAAgAFwAIgBJAG4AcAB1AHQAXAAiADsAXABuACAAIAAgACAAIAAgACAAIAAgACAAXAAiAEYAQQBfAGoAawA0ADUAYwBhAGwAdgBcACIALAAgAFwAIgBmAGUAZQBkACAAYQBkAGoAdQBzAHQAbQBlAG4AdAAgAHYAYQBsAHUAZQAgAGYAbwByACAAbABhAGMAdABhAHQAaQBuAGcAIABjAG8AdwBzACAAaQBuACAAdABoAGUAIABzAGUAYQBzAG8AbgAgAG8AZgAgAGMAYQBsAHYAaQBuAGcAIABlAHgAcAByAGUAcwBzAGUAZAAgAGEAcwAgAGEAIABmAHIAYQBjAHQAaQBvAG4AXAAiACwAIABcACIAZgByAGEAYwB0AGkAbwBuAFwAIgAsACAAXAAiAEMAbwBuAHMAdABhAG4AdABcACIAOwBcAG4AIAAgACAAIAAgACAAIAAgACAAIABcACIARgBBAF8AagBrADQANQBhAGYAdABlAHIAXAAiACwAIABcACIAZgBlAGUAZAAgAGEAZABqAHUAcwB0AG0AZQBuAHQAIAB2AGEAbAB1AGUAIABmAG8AcgAgAGwAYQBjAHQAYQB0AGkAbgBnACAAYwBvAHcAcwAgAGkAbgAgAHQAaABlACAAcwBlAGEAcwBvAG4AIABpAG0AbQBlAGQAaQBhAHQAZQBsAHkAIABhAGYAdABlAHIAIABjAGEAbAB2AGkAbgBnACAAZQB4AHAAcgBlAHMAcwBlAGQAIABhAHMAIABhACAAZgByAGEAYwB0AGkAbwBuAFwAIgAsACAAXAAiAGYAcgBhAGMAdABpAG8AbgBcACIALAAgAFwAIgBDAG8AbgBzAHQAYQBuAHQAXAAiADsAXABuACAAIAAgACAAIAAgACAAIAAgACAAXAAiAGIAXAAiACwAIABcACIAYgByAGUAZQBkACAAbwBmACAAYwBhAHQAdABsAGUAXAAiACwAIABcACIAXAAiACwAIABcACIASQBuAHAAdQB0AFwAIgBcAG4AIAAgACAAIAAgACAAIAAgAH0ALAAgAHIALAAgAGMAKQBcAG4AIAAgACAAIAAgACAAKQBcAG4AIAAgACAAIAApAFwAbgAgACAAKQA7AFwAbgBcAG4AVgBFAEUAUgBHAF8AMwBfADIAXwAxAF8AMQBfAF8ANABfAEEAZABkAGkAdABpAG8AbgBhAGwASQBuAHQAYQBrAGUARgBvAHIATQBpAGwAawBQAHIAbwBkAHUAYwB0AGkAbwBuAF8AVgBhAHIAaQBhAHQAaQBvAG4AXABuAD0ATABBAE0AQgBEAEEAKABcACIAVgBBAFIASQBBAFQASQBPAE4AIABPAE4AIABTAE8AVQBSAEMARQA6ACAARQB4AHAAYQBuAGQAZQBkACAAZQBxAHUAYQB0AGkAbwBuACAAdABvACAAYQBjAGMAbwB1AG4AdAAgAGYAbwByACAAcwBlAGEAcwBvAG4AIABhAGYAdABlAHIAIABjAGEAbAB2AGkAbgBnACwAIAByAGEAdABoAGUAcgAgAHQAaABhAG4AIABkAG8AaQBuAGcAIAB0AGgAZQAgAHMAYQBtAGUAIABlAHEAdQBhAHQAaQBvAG4AIAB0AHcAaQBjAGUAIABmAG8AcgAgAGIAbwB0AGgAIABzAGUAYQBzAG8AbgBzAFwAIgApAFwAbgAiAH0ALAB7ACIAcABhAHQAaAAiADoAIgAvAHAAcgBvAGoAZQBjAHQAcwAvAFMAbwB1AHIAYwBlAEQAYQB0AGEAXwBQAGEAcwB0AHUAcgBlAEIAZQBlAGYAIgAsACIAdABlAHgAdAAiADoAIgBcAG4ALwAqACAAXABuAC0ALQAtAC0ALQAtAC0ALQAtAC0ALQAtAC0ALQAtAC0ALQAtAC0ALQAtAC0ALQAtAC0ALQAtAC0ALQAtAC0ALQAtAC0ALQAtAC0ALQBcAG4AUwBvAHUAcgBjAGUARABhAHQAYQBfAFAAYQBzAHQAdQByAGUAQgBlAGUAZgBfAEwAaQB2AGUAdwBlAGkAZwBoAHQAXABuAFQAYQBiAGwAZQAgAEEALgAxAC4AMgAuADEAOgAgAEIAZQBlAGYAIABwAGEAcwB0AHUAcgBlACAAYwBhAHQAdABsAGUAIAAtACAATABpAHYAZQB3AGUAaQBnAGgAdAAgACgAawBnACkAIAAoAFcAagBrAGwAKQBcAG4ALQAtAC0ALQAtAC0ALQAtAC0ALQAtAC0ALQAtAC0ALQAtAC0ALQAtAC0ALQAtAC0ALQAtAC0ALQAtAC0ALQAtAC0ALQAtAC0ALQAtAFwAbgAqAC8AXABuAFwAbgBTAG8AdQByAGMAZQBEAGEAdABhAF8AUABhAHMAdAB1AHIAZQBCAGUAZQBmAF8ATABpAHYAZQB3AGUAaQBnAGgAdABfAFQAaQB0AGwAZQBcAG4AIAAgAD0ATABBAE0AQgBEAEEAKABcACIAQgBlAGUAZgAgAHAAYQBzAHQAdQByAGUAIABjAGEAdAB0AGwAZQAgAC0AIABMAGkAdgBlAHcAZQBpAGcAaAB0ACAAKABrAGcAKQAgACgAVwBqAGsAbAApAFwAIgApADsAXABuAFwAbgBTAG8AdQByAGMAZQBEAGEAdABhAF8AUABhAHMAdAB1AHIAZQBCAGUAZQBmAF8ATABpAHYAZQB3AGUAaQBnAGgAdABfAFYAYQByAGkAYQBiAGwAZQBcAG4AIAAgAD0ATABBAE0AQgBEAEEAKABcACIAVwBqAGsAbABcACIAKQA7AFwAbgBcAG4AUwBvAHUAcgBjAGUARABhAHQAYQBfAFAAYQBzAHQAdQByAGUAQgBlAGUAZgBfAEwAaQB2AGUAdwBlAGkAZwBoAHQAXwBVAG4AaQB0AFwAbgAgACAAPQBMAEEATQBCAEQAQQAoAFwAIgBrAGcAXAAiACkAOwBcAG4AXABuAFMAbwB1AHIAYwBlAEQAYQB0AGEAXwBQAGEAcwB0AHUAcgBlAEIAZQBlAGYAXwBMAGkAdgBlAHcAZQBpAGcAaAB0AF8AUwBvAHUAcgBjAGUAXABuACAAIAA9AEwAQQBNAEIARABBACgAXAAiAFYARQBFAFIARwAgADIAMAAyADYAOgAgAFQAYQBiAGwAZQAgAEEALgAxAC4AMgAuADEAXAAiACkAOwBcAG4AXABuAFMAbwB1AHIAYwBlAEQAYQB0AGEAXwBQAGEAcwB0AHUAcgBlAEIAZQBlAGYAXwBMAGkAdgBlAHcAZQBpAGcAaAB0AF8AVgBhAHIAaQBhAHQAaQBvAG4AXABuACAAIAA9AEwAQQBNAEIARABBACgAXAAiAFwAIgApADsAXABuAFwAbgBTAG8AdQByAGMAZQBEAGEAdABhAF8AUABhAHMAdAB1AHIAZQBCAGUAZQBmAF8ATABpAHYAZQB3AGUAaQBnAGgAdABfAEQAYQB0AGEAXABuACAAIAA9AEwAQQBNAEIARABBACgAXABuACAAIAAgACAATQBBAEsARQBBAFIAUgBBAFkAKAAyADkALAAgADEAMAAsAFwAbgAgACAAIAAgACAAIABMAEEATQBCAEQAQQAoAHIALABjACwAXABuACAAIAAgACAAIAAgACAAIABJAE4ARABFAFgAKAB7AFwAbgAgACAAIAAgACAAIAAgACAAIAAgAFwAIgBTAHQAYQB0AGUAXAAiACwAIABcACIAUgBlAGcAaQBvAG4AXAAiACwAIABcACIAUwBlAGEAcwBvAG4AXAAiACwAIABcACIAQgB1AGwAbAAgAFwAdQAwADAAMwBjACAAMQBcACIALAAgAFwAIgBCAHUAbABsACAAXAB1ADAAMAAzAGUAIAAxAFwAIgAsACAAXAAiAEMAbwB3ACAAXAB1ADAAMAAzAGMAIAAxAFwAIgAsACAAXAAiAEMAbwB3ACAAMQAtADIAXAAiACwAIABcACIAQwBvAHcAIABcAHUAMAAwADMAZQAgADIAXAAiACwAIABcACIAUwB0AGUAZQByACAAXAB1ADAAMAAzAGMAIAAxAFwAIgAsACAAXAAiAFMAdABlAGUAcgAgAFwAdQAwADAAMwBlACAAMQBcACIAOwBcAG4AIAAgACAAIAAgACAAIAAgACAAIABcACIAQQBDAFQALwBOAFMAVwBcACIALAAgAFwAIgBuAC8AYQBcACIALAAgAFwAIgBTAHAAcgBpAG4AZwBcACIALAAgADgAMAAsACAANAA4ADAALAAgADcANQAsACAAMwAwADAALAAgADQANAAwACwAIAA3ADUALAAgADMAOAAwADsAXABuACAAIAAgACAAIAAgACAAIAAgACAAXAAiAEEAQwBUAC8ATgBTAFcAXAAiACwAIABcACIAbgAvAGEAXAAiACwAIABcACIAUwB1AG0AbQBlAHIAXAAiACwAIAAxADcAMAAsACAANQAyADAALAAgADEANgAwACwAIAAzADYAMAAsACAANAA3ADAALAAgADEANgAwACwAIAA0ADIAMAA7AFwAbgAgACAAIAAgACAAIAAgACAAIAAgAFwAIgBBAEMAVAAvAE4AUwBXAFwAIgAsACAAXAAiAG4ALwBhAFwAIgAsACAAXAAiAEEAdQB0AHUAbQBuAFwAIgAsACAAMgA0ADAALAAgADUANQAwACwAIAAyADIAMAAsACAAMwA5ADAALAAgADQAOQAwACwAIAAyADIAMAAsACAANAA1ADAAOwBcAG4AIAAgACAAIAAgACAAIAAgACAAIABcACIAQQBDAFQALwBOAFMAVwBcACIALAAgAFwAIgBuAC8AYQBcACIALAAgAFwAIgBXAGkAbgB0AGUAcgBcACIALAAgADIAOAAwACwAIAA1ADYAMAAsACAAMgA2ADAALAAgADQAMQAwACwAIAA1ADAAMAAsACAAMgA2ADAALAAgADQANgAwADsAXABuACAAIAAgACAAIAAgACAAIAAgACAAXAAiAFMAbwB1AHQAaAAgAEEAdQBzAHQAcgBhAGwAaQBhAFwAIgAsACAAXAAiAG4ALwBhAFwAIgAsACAAXAAiAFMAcAByAGkAbgBnAFwAIgAsACAAMgA1ADAALAAgADgAMAAwACwAIAAyADIAMAAsACAANAAwADAALAAgADUAMAAwACwAIAAyADMAMAAsACAANAAyADAAOwBcAG4AIAAgACAAIAAgACAAIAAgACAAIABcACIAUwBvAHUAdABoACAAQQB1AHMAdAByAGEAbABpAGEAXAAiACwAIABcACIAbgAvAGEAXAAiACwAIABcACIAUwB1AG0AbQBlAHIAXAAiACwAIAAzADIAMAAsACAAOAAwADAALAAgADIAOAAwACwAIAA0ADIAMAAsACAANQAwADAALAAgADIAOQAwACwAIAA0ADIAMAA7AFwAbgAgACAAIAAgACAAIAAgACAAIAAgAFwAIgBTAG8AdQB0AGgAIABBAHUAcwB0AHIAYQBsAGkAYQBcACIALAAgAFwAIgBuAC8AYQBcACIALAAgAFwAIgBBAHUAdAB1AG0AbgBcACIALAAgADgAMAAsACAANwAwADAALAAgADcAMAAsACAAMwAwADAALAAgADQANQAwACwAIAA3ADUALAAgADQAMAAwADsAXABuACAAIAAgACAAIAAgACAAIAAgACAAXAAiAFMAbwB1AHQAaAAgAEEAdQBzAHQAcgBhAGwAaQBhAFwAIgAsACAAXAAiAG4ALwBhAFwAIgAsACAAXAAiAFcAaQBuAHQAZQByAFwAIgAsACAAMQA2ADAALAAgADcAMAAwACwAIAAxADQAMAAsACAAMwA1ADAALAAgADQANQAwACwAIAAxADUAMAAsACAANAAwADAAOwBcAG4AIAAgACAAIAAgACAAIAAgACAAIABcACIAVABhAHMAbQBhAG4AaQBhAFwAIgAsACAAXAAiAG4ALwBhAFwAIgAsACAAXAAiAFMAcAByAGkAbgBnAFwAIgAsACAAMQAwADUALAAgADcAMAAwACwAIAA4ADUALAAgADMAMAAwACwAIAA0ADkAMAAsACAAOQAwACwAIAA0ADgAMAA7AFwAbgAgACAAIAAgACAAIAAgACAAIAAgAFwAIgBUAGEAcwBtAGEAbgBpAGEAXAAiACwAIABcACIAbgAvAGEAXAAiACwAIABcACIAUwB1AG0AbQBlAHIAXAAiACwAIAA0ADgAMAAsACAANwA1ADAALAAgADEANQAwACwAIAAzADUAMAAsACAANQAzADAALAAgADEANgAwACwAIAA0ADYAMAA7AFwAbgAgACAAIAAgACAAIAAgACAAIAAgAFwAIgBUAGEAcwBtAGEAbgBpAGEAXAAiACwAIABcACIAbgAvAGEAXAAiACwAIABcACIAQQB1AHQAdQBtAG4AXAAiACwAIAAyADUAMAAsACAANwAyADUALAAgADIAMAAwACwAIAAzADYAMAAsACAANQAwADAALAAgADIAMQA1ACwAIAA0ADkAMAA7AFwAbgAgACAAIAAgACAAIAAgACAAIAAgAFwAIgBUAGEAcwBtAGEAbgBpAGEAXAAiACwAIABcACIAbgAvAGEAXAAiACwAIABcACIAVwBpAG4AdABlAHIAXAAiACwAIAAyADYAMAAsACAANwAwADAALAAgADIAMQAwACwAIAAzADgAMAAsACAANAA2ADAALAAgADIAMwAwACwAIAA0ADcAMAA7AFwAbgAgACAAIAAgACAAIAAgACAAIAAgAFwAIgBWAGkAYwB0AG8AcgBpAGEAXAAiACwAIABcACIAbgAvAGEAXAAiACwAIABcACIAUwBwAHIAaQBuAGcAXAAiACwAIAAyADUAMAAsACAAOAAyADAALAAgADIANAAwACwAIAA0ADEAMAAsACAANQA2ADAALAAgADIANAAwACwAIAA1ADEAMAA7AFwAbgAgACAAIAAgACAAIAAgACAAIAAgAFwAIgBWAGkAYwB0AG8AcgBpAGEAXAAiACwAIABcACIAbgAvAGEAXAAiACwAIABcACIAUwB1AG0AbQBlAHIAXAAiACwAIAAyADgAMAAsACAAOAA1ADAALAAgADIANgAwACwAIAA0ADQAMAAsACAANQA1ADAALAAgADIANwAwACwAIAA1ADIAMAA7AFwAbgAgACAAIAAgACAAIAAgACAAIAAgAFwAIgBWAGkAYwB0AG8AcgBpAGEAXAAiACwAIABcACIAbgAvAGEAXAAiACwAIABcACIAQQB1AHQAdQBtAG4AXAAiACwAIAAxADAAMAAsACAANwAwADAALAAgADkANQAsACAAMwAwADAALAAgADQANQAwACwAIAA5ADUALAAgADQAMQAwADsAXABuACAAIAAgACAAIAAgACAAIAAgACAAXAAiAFYAaQBjAHQAbwByAGkAYQBcACIALAAgAFwAIgBuAC8AYQBcACIALAAgAFwAIgBXAGkAbgB0AGUAcgBcACIALAAgADEANQAwACwAIAA3ADIAMAAsACAAMQA0ADAALAAgADMAMgAwACwAIAA0ADcAMAAsACAAMQA0ADAALAAgADQANAAwADsAXABuACAAIAAgACAAIAAgACAAIAAgACAAXAAiAFcAZQBzAHQAZQByAG4AIABBAHUAcwB0AHIAYQBsAGkAYQBcACIALAAgAFwAIgBTAG8AdQB0AGgAIABXAGUAcwB0AFwAIgAsACAAXAAiAFMAcAByAGkAbgBnAFwAIgAsACAAMwA0ADAALAAgADgAMAAwACwAIAAyADYAMAAsACAANAAyADAALAAgADUANQAwACwAIAAzADAAMAAsACAANAA4ADAAOwBcAG4AIAAgACAAIAAgACAAIAAgACAAIABcACIAVwBlAHMAdABlAHIAbgAgAEEAdQBzAHQAcgBhAGwAaQBhAFwAIgAsACAAXAAiAFMAbwB1AHQAaAAgAFcAZQBzAHQAXAAiACwAIABcACIAUwB1AG0AbQBlAHIAXAAiACwAIAAzADgAMAAsACAANwA4ADAALAAgADMAMAAwACwAIAA0ADUAMAAsACAANQAzADAALAAgADMANAAwACwAIAA0ADcAMAA7AFwAbgAgACAAIAAgACAAIAAgACAAIAAgAFwAIgBXAGUAcwB0AGUAcgBuACAAQQB1AHMAdAByAGEAbABpAGEAXAAiACwAIABcACIAUwBvAHUAdABoACAAVwBlAHMAdABcACIALAAgAFwAIgBBAHUAdAB1AG0AbgBcACIALAAgADEAMAAwACwAIAA2ADgAMAAsACAAOAAwACwAIAAzADIAMAAsACAANAA4ADAALAAgADEAMAAwACwAIAAzADQAMAA7AFwAbgAgACAAIAAgACAAIAAgACAAIAAgAFwAIgBXAGUAcwB0AGUAcgBuACAAQQB1AHMAdAByAGEAbABpAGEAXAAiACwAIABcACIAUwBvAHUAdABoACAAVwBlAHMAdABcACIALAAgAFwAIgBXAGkAbgB0AGUAcgBcACIALAAgADEAOQAwACwAIAA3ADAAMAAsACAAMQA1ADAALAAgADMAMwAwACwAIAA0ADkAMAAsACAAMQA3ADAALAAgADMANgAwADsAXABuACAAIAAgACAAIAAgACAAIAAgACAAXAAiAFcAZQBzAHQAZQByAG4AIABBAHUAcwB0AHIAYQBsAGkAYQBcACIALAAgAFwAIgBQAGkAbABiAGEAcgBhAFwAIgAsACAAXAAiAFMAcAByAGkAbgBnAFwAIgAsACAAOAAwACwAIAA0ADUAMAAsACAANwAwACwAIAAyADYAMAAsACAAMwA0ADAALAAgADgAMAAsACAAMwA3ADAAOwBcAG4AIAAgACAAIAAgACAAIAAgACAAIABcACIAVwBlAHMAdABlAHIAbgAgAEEAdQBzAHQAcgBhAGwAaQBhAFwAIgAsACAAXAAiAFAAaQBsAGIAYQByAGEAXAAiACwAIABcACIAUwB1AG0AbQBlAHIAXAAiACwAIAAxADUAMAAsACAANQAwADAALAAgADEANAAwACwAIAAzADEAMAAsACAAMwA2ADAALAAgADEANQAwACwAIAA0ADAAMAA7AFwAbgAgACAAIAAgACAAIAAgACAAIAAgAFwAIgBXAGUAcwB0AGUAcgBuACAAQQB1AHMAdAByAGEAbABpAGEAXAAiACwAIABcACIAUABpAGwAYgBhAHIAYQBcACIALAAgAFwAIgBBAHUAdAB1AG0AbgBcACIALAAgADIAMwAwACwAIAA1ADUAMAAsACAAMgAyADAALAAgADMAMwAwACwAIAAzADgAMAAsACAAMgAzADAALAAgADQAMgAwADsAXABuACAAIAAgACAAIAAgACAAIAAgACAAXAAiAFcAZQBzAHQAZQByAG4AIABBAHUAcwB0AHIAYQBsAGkAYQBcACIALAAgAFwAIgBQAGkAbABiAGEAcgBhAFwAIgAsACAAXAAiAFcAaQBuAHQAZQByAFwAIgAsACAAMgA1ADAALAAgADUAMAAwACwAIAAyADQAMAAsACAAMwA0ADAALAAgADMANgAwACwAIAAyADUAMAAsACAAMwA5ADAAOwBcAG4AIAAgACAAIAAgACAAIAAgACAAIABcACIAVwBlAHMAdABlAHIAbgAgAEEAdQBzAHQAcgBhAGwAaQBhAFwAIgAsACAAXAAiAEsAaQBtAGIAZQByAGwAZQB5AFwAIgAsACAAXAAiAFMAcAByAGkAbgBnAFwAIgAsACAAMgAyADAALAAgADUAMAAwACwAIAAxADgAMAAsACAAMwAwADAALAAgADMAMgAwACwAIAAyADEAMAAsACAAMwA0ADAAOwBcAG4AIAAgACAAIAAgACAAIAAgACAAIABcACIAVwBlAHMAdABlAHIAbgAgAEEAdQBzAHQAcgBhAGwAaQBhAFwAIgAsACAAXAAiAEsAaQBtAGIAZQByAGwAZQB5AFwAIgAsACAAXAAiAFMAdQBtAG0AZQByAFwAIgAsACAAMQAxADAALAAgADUANQAwACwAIAA5ADAALAAgADIAMgAwACwAIAAzADgAMAAsACAAMQAwADAALAAgADMAOQAwADsAXABuACAAIAAgACAAIAAgACAAIAAgACAAXAAiAFcAZQBzAHQAZQByAG4AIABBAHUAcwB0AHIAYQBsAGkAYQBcACIALAAgAFwAIgBLAGkAbQBiAGUAcgBsAGUAeQBcACIALAAgAFwAIgBBAHUAdAB1AG0AbgBcACIALAAgADEANwAwACwAIAA2ADAAMAAsACAAMQA0ADAALAAgADIANwAwACwAIAAzADkAMAAsACAAMQA2ADAALAAgADQAMwAwADsAXABuACAAIAAgACAAIAAgACAAIAAgACAAXAAiAFcAZQBzAHQAZQByAG4AIABBAHUAcwB0AHIAYQBsAGkAYQBcACIALAAgAFwAIgBLAGkAbQBiAGUAcgBsAGUAeQBcACIALAAgAFwAIgBXAGkAbgB0AGUAcgBcACIALAAgADIAMAAwACwAIAA1ADUAMAAsACAAMQA1ADAALAAgADIAOAAwACwAIAAzADUAMAAsACAAMQA5ADAALAAgADQAMAAwAFwAbgAgACAAIAAgACAAIAAgACAAfQAsACAAcgAsACAAYwApAFwAbgAgACAAIAAgACAAIAApAFwAbgAgACAAIAAgACkAXABuACAAIAApADsAXABuAFwAbgAvACoAIABcAG4ALQAtAC0ALQAtAC0ALQAtAC0ALQAtAC0ALQAtAC0ALQAtAC0ALQAtAC0ALQAtAC0ALQAtAC0ALQAtAC0ALQAtAC0ALQAtAC0ALQAtAFwAbgBTAG8AdQByAGMAZQBEAGEAdABhAF8AUABhAHMAdAB1AHIAZQBCAGUAZQBmAF8ATABpAHYAZQB3AGUAaQBnAGgAdABOAFQAUQBMAEQAXABuAFQAYQBiAGwAZQAgAEEALgAxAC4AMgAuADIAOgAgAEIAZQBlAGYAIABwAGEAcwB0AHUAcgBlACAAYwBhAHQAdABsAGUAIAAtACAATABpAHYAZQB3AGUAaQBnAGgAdAAgACgAawBnACkAIAAoAFcAagBrAGwAKQAgAGYAbwByACAATgBUACAAYQBuAGQAIABRAEwARABcAG4ALQAtAC0ALQAtAC0ALQAtAC0ALQAtAC0ALQAtAC0ALQAtAC0ALQAtAC0ALQAtAC0ALQAtAC0ALQAtAC0ALQAtAC0ALQAtAC0ALQAtAFwAbgAqAC8AXABuAFwAbgBTAG8AdQByAGMAZQBEAGEAdABhAF8AUABhAHMAdAB1AHIAZQBCAGUAZQBmAF8ATABpAHYAZQB3AGUAaQBnAGgAdABOAFQAUQBMAEQAXwBUAGkAdABsAGUAXABuACAAIAA9AEwAQQBNAEIARABBACgAXAAiAEIAZQBlAGYAIABwAGEAcwB0AHUAcgBlACAAYwBhAHQAdABsAGUAIAAtACAATABpAHYAZQB3AGUAaQBnAGgAdAAgACgAawBnACkAIAAoAFcAagBrAGwAKQAgAGYAbwByACAATgBUACAAYQBuAGQAIABRAEwARABcACIAKQA7AFwAbgBcAG4AUwBvAHUAcgBjAGUARABhAHQAYQBfAFAAYQBzAHQAdQByAGUAQgBlAGUAZgBfAEwAaQB2AGUAdwBlAGkAZwBoAHQATgBUAFEATABEAF8AVgBhAHIAaQBhAGIAbABlAFwAbgAgACAAPQBMAEEATQBCAEQAQQAoAFwAIgBXAGoAawBsAFwAIgApADsAXABuAFwAbgBTAG8AdQByAGMAZQBEAGEAdABhAF8AUABhAHMAdAB1AHIAZQBCAGUAZQBmAF8ATABpAHYAZQB3AGUAaQBnAGgAdABOAFQAUQBMAEQAXwBVAG4AaQB0AFwAbgAgACAAPQBMAEEATQBCAEQAQQAoAFwAIgBrAGcAXAAiACkAOwBcAG4AXABuAFMAbwB1AHIAYwBlAEQAYQB0AGEAXwBQAGEAcwB0AHUAcgBlAEIAZQBlAGYAXwBMAGkAdgBlAHcAZQBpAGcAaAB0AE4AVABRAEwARABfAFMAbwB1AHIAYwBlAFwAbgAgACAAPQBMAEEATQBCAEQAQQAoAFwAIgBWAEUARQBSAEcAIAAyADAAMgA2ADoAIABUAGEAYgBsAGUAIABBAC4AMQAuADIALgAyAFwAIgApADsAXABuAFwAbgBTAG8AdQByAGMAZQBEAGEAdABhAF8AUABhAHMAdAB1AHIAZQBCAGUAZQBmAF8ATABpAHYAZQB3AGUAaQBnAGgAdABOAFQAUQBMAEQAXwBWAGEAcgBpAGEAdABpAG8AbgBcAG4AIAAgAD0ATABBAE0AQgBEAEEAKABcACIAXAAiACkAOwBcAG4AXABuAFMAbwB1AHIAYwBlAEQAYQB0AGEAXwBQAGEAcwB0AHUAcgBlAEIAZQBlAGYAXwBMAGkAdgBlAHcAZQBpAGcAaAB0AE4AVABRAEwARABfAEQAYQB0AGEAXABuACAAIAA9AEwAQQBNAEIARABBACgAXABuACAAIAAgACAATQBBAEsARQBBAFIAUgBBAFkAKAAyADkALAAgADEAMwAsAFwAbgAgACAAIAAgACAAIABMAEEATQBCAEQAQQAoAHIALABjACwAXABuACAAIAAgACAAIAAgACAAIABJAE4ARABFAFgAKAB7AFwAbgAgACAAIAAgACAAIAAgACAAIAAgAFwAIgBTAHQAYQB0AGUAXAAiACwAIABcACIAUgBlAGcAaQBvAG4AXAAiACwAIABcACIAUwBlAGEAcwBvAG4AXAAiACwAIABcACIAQgB1AGwAbAAgAFwAdQAwADAAMwBjADEAXAAiACwAIABcACIAQgB1AGwAbAAgAFwAdQAwADAAMwBlADEAXAAiACwAIABcACIAQwBvAHcAcwAgAFwAdQAwADAAMwBjADEAXAAiACwAIABcACIAQwBvAHcAcwAgADEALQAyAFwAIgAsACAAXAAiAEMAbwB3AHMAIAAyAC0AMwBcACIALAAgAFwAIgBDAG8AdwBzACAAXAB1ADAAMAAzAGUAMwBcACIALAAgAFwAIgBTAHQAZQBlAHIAIABcAHUAMAAwADMAYwAxAFwAIgAsACAAXAAiAFMAdABlAGUAcgAgADEALQAyAFwAIgAsACAAXAAiAFMAdABlAGUAcgAgADIALQAzAFwAIgAsACAAXAAiAFMAdABlAGUAcgAgAFwAdQAwADAAMwBlADMAXAAiADsAXABuACAAIAAgACAAIAAgACAAIAAgACAAXAAiAE4AbwByAHQAaABlAHIAbgAgAFQAZQByAHIAaQB0AG8AcgB5AFwAIgAsACAAXAAiAEEAbABpAGMAZQAgAFMAcAByAGkAbgBnAHMAXAAiACwAIABcACIAUwBwAHIAaQBuAGcAXAAiACwAIAAyADIAMAAsACAANwAwADYALAAgADIAMAA4ACwAIAAzADIAMwAsACAANAAxADUALAAgADQANgA3ACwAIAAyADIAMwAsACAAMwA3ADEALAAgADQAOQAzACwAIAA1ADgANQA7AFwAbgAgACAAIAAgACAAIAAgACAAIAAgAFwAIgBOAG8AcgB0AGgAZQByAG4AIABUAGUAcgByAGkAdABvAHIAeQBcACIALAAgAFwAIgBBAGwAaQBjAGUAIABTAHAAcgBpAG4AZwBzAFwAIgAsACAAXAAiAFMAdQBtAG0AZQByAFwAIgAsACAAMQAxADAALAAgADcAMAAzACwAIAAxADEAMgAsACAAMgA1ADYALAAgADMANgA4ACwAIAA0ADYANQAsACAAMQAwADgALAAgADIAOAAwACwAIAA0ADIAMQAsACAANQA0ADMAOwBcAG4AIAAgACAAIAAgACAAIAAgACAAIABcACIATgBvAHIAdABoAGUAcgBuACAAVABlAHIAcgBpAHQAbwByAHkAXAAiACwAIABcACIAQQBsAGkAYwBlACAAUwBwAHIAaQBuAGcAcwBcACIALAAgAFwAIgBBAHUAdAB1AG0AbgBcACIALAAgADEANwAwACwAIAA3ADIAMQAsACAAMQA2ADkALAAgADMAMAA2ACwAIAAzADkAMgAsACAANAA2ADQALAAgADEANwA2ACwAIAAzADMAOQAsACAANAA3ADAALAAgADUAOAAwADsAXABuACAAIAAgACAAIAAgACAAIAAgACAAXAAiAE4AbwByAHQAaABlAHIAbgAgAFQAZQByAHIAaQB0AG8AcgB5AFwAIgAsACAAXAAiAEEAbABpAGMAZQAgAFMAcAByAGkAbgBnAHMAXAAiACwAIABcACIAVwBpAG4AdABlAHIAXAAiACwAIAAyADAAMAAsACAANwAyADcALAAgADIAMQAxACwAIAAzADMAOAAsACAANAAzADIALAAgADQAOQAyACwAIAAyADIAMgAsACAAMwA3ADcALAAgADQAOQA4ACwAIAA1ADkAMAA7AFwAbgAgACAAIAAgACAAIAAgACAAIAAgAFwAIgBOAG8AcgB0AGgAZQByAG4AIABUAGUAcgByAGkAdABvAHIAeQBcACIALAAgAFwAIgBCAGEAcgBrAGwAeQBcACIALAAgAFwAIgBTAHAAcgBpAG4AZwBcACIALAAgADIAMgAwACwAIAA2ADIAMAAsACAAMgAyADcALAAgADMAMQA5ACwAIAAzADkAOAAsACAANAA1ADIALAAgADIAMQA2ACwAIAAzADMANAAsACAAXAAiAE4ATwBcACIALAAgAFwAIgBOAE8AXAAiADsAXABuACAAIAAgACAAIAAgACAAIAAgACAAXAAiAE4AbwByAHQAaABlAHIAbgAgAFQAZQByAHIAaQB0AG8AcgB5AFwAIgAsACAAXAAiAEIAYQByAGsAbAB5AFwAIgAsACAAXAAiAFMAdQBtAG0AZQByAFwAIgAsACAAMQAxADAALAAgADYANQAwACwAIAAxADAAOAAsACAAMgA2ADIALAAgADMANAA2ACwAIAA0ADMAMAAsACAAMQAxADEALAAgADIAMwA2ACwAIABcACIATgBPAFwAIgAsACAAXAAiAE4ATwBcACIAOwBcAG4AIAAgACAAIAAgACAAIAAgACAAIABcACIATgBvAHIAdABoAGUAcgBuACAAVABlAHIAcgBpAHQAbwByAHkAXAAiACwAIABcACIAQgBhAHIAawBsAHkAXAAiACwAIABcACIAQQB1AHQAdQBtAG4AXAAiACwAIAAxADcAMAAsACAANgA3ADAALAAgADEANwAwACwAIAAyADYANgAsACAAMwA2ADMALAAgADQANAA0ACwAIAAxADYAOQAsACAAMgA4ADIALAAgAFwAIgBOAE8AXAAiACwAIABcACIATgBPAFwAIgA7AFwAbgAgACAAIAAgACAAIAAgACAAIAAgAFwAIgBOAG8AcgB0AGgAZQByAG4AIABUAGUAcgByAGkAdABvAHIAeQBcACIALAAgAFwAIgBCAGEAcgBrAGwAeQBcACIALAAgAFwAIgBXAGkAbgB0AGUAcgBcACIALAAgADIAMAAwACwAIAA2ADYAMAAsACAAMgAyADUALAAgADMAMAA3ACwAIAAzADkAOAAsACAANAA1ADIALAAgADIAMQA0ACwAIAAzADIANgAsACAAXAAiAE4ATwBcACIALAAgAFwAIgBOAE8AXAAiADsAXABuACAAIAAgACAAIAAgACAAIAAgACAAXAAiAE4AbwByAHQAaABlAHIAbgAgAFQAZQByAHIAaQB0AG8AcgB5AFwAIgAsACAAXAAiAE4AbwByAHQAaABlAHIAbgBcACIALAAgAFwAIgBTAHAAcgBpAG4AZwBcACIALAAgADIAMgAwACwAIAA2ADIAMAAsACAAMQA3ADcALAAgADIANgA3ACwAIAAzADYANQAsACAANAAwADYALAAgADIAMwAxACwAIAAyADQAOQAsACAAMwAyADQALAAgAFwAIgBOAE8AXAAiADsAXABuACAAIAAgACAAIAAgACAAIAAgACAAXAAiAE4AbwByAHQAaABlAHIAbgAgAFQAZQByAHIAaQB0AG8AcgB5AFwAIgAsACAAXAAiAE4AbwByAHQAaABlAHIAbgBcACIALAAgAFwAIgBTAHUAbQBtAGUAcgBcACIALAAgADEAMQAwACwAIAA2ADUAMAAsACAAMQAwADIALAAgADIAMAAzACwAIAAyADkAOQAsACAAMwA4ADAALAAgADEAMAAyACwAIAAyADEAOAAsACAAMgA2ADMALAAgAFwAIgBOAE8AXAAiADsAXABuACAAIAAgACAAIAAgACAAIAAgACAAXAAiAE4AbwByAHQAaABlAHIAbgAgAFQAZQByAHIAaQB0AG8AcgB5AFwAIgAsACAAXAAiAE4AbwByAHQAaABlAHIAbgBcACIALAAgAFwAIgBBAHUAdAB1AG0AbgBcACIALAAgADEANwAwACwAIAA2ADcAMAAsACAAMQA3ADMALAAgADIANQAwACwAIAAzADMANgAsACAANAAxADQALAAgADEANwA1ACwAIAAyADQAMwAsACAAMwAwADQALAAgAFwAIgBOAE8AXAAiADsAXABuACAAIAAgACAAIAAgACAAIAAgACAAXAAiAE4AbwByAHQAaABlAHIAbgAgAFQAZQByAHIAaQB0AG8AcgB5AFwAIgAsACAAXAAiAE4AbwByAHQAaABlAHIAbgBcACIALAAgAFwAIgBXAGkAbgB0AGUAcgBcACIALAAgADIAMAAwACwAIAA2ADYAMAAsACAAMgAwADIALAAgADIANwAyACwAIAAzADYANQAsACAAMwA5ADAALAAgADIAMAA4ACwAIAAyADYAMAAsACAAMwAzADcALAAgAFwAIgBOAE8AXAAiADsAXABuACAAIAAgACAAIAAgACAAIAAgACAAXAAiAFEAdQBlAGUAbgBzAGwAYQBuAGQAXAAiACwAIABcACIASABpAGcAaABcACIALAAgAFwAIgBTAHAAcgBpAG4AZwBcACIALAAgADIANgAwACwAIAA3ADAANQAsACAAMgAxADUALAAgADMAMAAyACwAIAA0ADEANgAsACAANQAxADkALAAgADIAMwA0ACwAIAA0ADUANQAsACAANQA1ADEALAAgADYANgAwADsAXABuACAAIAAgACAAIAAgACAAIAAgACAAXAAiAFEAdQBlAGUAbgBzAGwAYQBuAGQAXAAiACwAIABcACIASABpAGcAaABcACIALAAgAFwAIgBTAHUAbQBtAGUAcgBcACIALAAgADEANQAzACwAIAA3ADAAMwAsACAAMQAxADgALAAgADIANwA3ACwAIAAzADkANwAsACAANAA4ADMALAAgADEAMQAxACwAIAAzADAANAAsACAANQAyADEALAAgADUANAA3ADsAXABuACAAIAAgACAAIAAgACAAIAAgACAAXAAiAFEAdQBlAGUAbgBzAGwAYQBuAGQAXAAiACwAIABcACIASABpAGcAaABcACIALAAgAFwAIgBBAHUAdAB1AG0AbgBcACIALAAgADEANgA4ACwAIAA3ADEAOAAsACAAMQA5ADEALAAgADMAMQA5ACwAIAA0ADQAMAAsACAANQAwADYALAAgADEAOAA4ACwAIAAzADIANgAsACAANQAyADAALAAgADUAOAAyADsAXABuACAAIAAgACAAIAAgACAAIAAgACAAXAAiAFEAdQBlAGUAbgBzAGwAYQBuAGQAXAAiACwAIABcACIASABpAGcAaABcACIALAAgAFwAIgBXAGkAbgB0AGUAcgBcACIALAAgADIAMwA1ACwAIAA3ADIAMgAsACAAMgAwADcALAAgADMANQAyACwAIAA0ADcAMAAsACAANQAxADQALAAgADIAMAA5ACwAIAA0ADIAMQAsACAANQAxADIALAAgADYAMAA1ADsAXABuACAAIAAgACAAIAAgACAAIAAgACAAXAAiAFEAdQBlAGUAbgBzAGwAYQBuAGQAXAAiACwAIABcACIATQBvAGQAZQByAGEAdABlAC8ASABpAGcAaABcACIALAAgAFwAIgBTAHAAcgBpAG4AZwBcACIALAAgADIAMwAwACwAIAA2ADcANAAsACAAMgAxADcALAAgADMANAA0ACwAIAAzADUANwAsACAANAA2ADcALAAgADIANAAyACwAIAAzADcAMAAsACAANQA1ADAALAAgADYAMgAwADsAXABuACAAIAAgACAAIAAgACAAIAAgACAAXAAiAFEAdQBlAGUAbgBzAGwAYQBuAGQAXAAiACwAIABcACIATQBvAGQAZQByAGEAdABlAC8ASABpAGcAaABcACIALAAgAFwAIgBTAHUAbQBtAGUAcgBcACIALAAgADEAMQAzACwAIAA2ADYAOQAsACAAMQAxADMALAAgADIAOAAzACwAIAAzADYAMQAsACAANAA3ADcALAAgADEAMgAwACwAIAAyADcAMwAsACAANQA0ADUALAAgADUANQAzADsAXABuACAAIAAgACAAIAAgACAAIAAgACAAXAAiAFEAdQBlAGUAbgBzAGwAYQBuAGQAXAAiACwAIABcACIATQBvAGQAZQByAGEAdABlAC8ASABpAGcAaABcACIALAAgAFwAIgBBAHUAdAB1AG0AbgBcACIALAAgADEANwAyACwAIAA2ADgANQAsACAAMQA3ADIALAAgADMAMAA5ACwAIAAzADcANgAsACAANAA3ADEALAAgADIAMwA4ACwAIAAzADIAOQAsACAANQA3ADMALAAgADYAMgAwADsAXABuACAAIAAgACAAIAAgACAAIAAgACAAXAAiAFEAdQBlAGUAbgBzAGwAYQBuAGQAXAAiACwAIABcACIATQBvAGQAZQByAGEAdABlAC8ASABpAGcAaABcACIALAAgAFwAIgBXAGkAbgB0AGUAcgBcACIALAAgADIANAAxACwAIAA2ADkAMgAsACAAMgAwADgALAAgADMANAA0ACwAIAAzADYANAAsACAANAA4ADQALAAgADIANgAwACwAIAAzADUAMAAsACAANQA2ADcALAAgADYAMgAwADsAXABuACAAIAAgACAAIAAgACAAIAAgACAAXAAiAFEAdQBlAGUAbgBzAGwAYQBuAGQAXAAiACwAIABcACIATQBvAGQAZQByAGEAdABlAC8ATABvAHcAXAAiACwAIABcACIAUwBwAHIAaQBuAGcAXAAiACwAIAAyADMANgAsACAANgA3ADQALAAgADEANwA4ACwAIAAzADEAMAAsACAANAAyADgALAAgADQANgA2ACwAIAAxADkAMwAsACAAMwA3ADAALAAgADUAMQA5ACwAIAA1ADYANQA7AFwAbgAgACAAIAAgACAAIAAgACAAIAAgAFwAIgBRAHUAZQBlAG4AcwBsAGEAbgBkAFwAIgAsACAAXAAiAE0AbwBkAGUAcgBhAHQAZQAvAEwAbwB3AFwAIgAsACAAXAAiAFMAdQBtAG0AZQByAFwAIgAsACAAMQAyADAALAAgADYANgA5ACwAIAAxADEAMgAsACAAMgA1ADAALAAgADMAOQAwACwAIAA0ADQAOAAsACAAMQAxADUALAAgADIANwAzACwAIAA0ADMAMwAsACAANQA1ADYAOwBcAG4AIAAgACAAIAAgACAAIAAgACAAIABcACIAUQB1AGUAZQBuAHMAbABhAG4AZABcACIALAAgAFwAIgBNAG8AZABlAHIAYQB0AGUALwBMAG8AdwBcACIALAAgAFwAIgBBAHUAdAB1AG0AbgBcACIALAAgADEAMgA1ACwAIAA2ADgANQAsACAAMQA0ADAALAAgADIANwA3ACwAIAA0ADAANwAsACAANAA1ADUALAAgADEANAAxACwAIAAyADkANgAsACAANAA0ADUALAAgADUAOQAzADsAXABuACAAIAAgACAAIAAgACAAIAAgACAAXAAiAFEAdQBlAGUAbgBzAGwAYQBuAGQAXAAiACwAIABcACIATQBvAGQAZQByAGEAdABlAC8ATABvAHcAXAAiACwAIABcACIAVwBpAG4AdABlAHIAXAAiACwAIAAxADgAMAAsACAANgA5ADIALAAgADEAOAAzACwAIAAzADEANgAsACAANAAzADgALAAgADQANgA4ACwAIAAxADgAOQAsACAAMwA1ADQALAAgADUAMAAwACwAIAA1ADUAMwA7AFwAbgAgACAAIAAgACAAIAAgACAAIAAgAFwAIgBRAHUAZQBlAG4AcwBsAGEAbgBkAFwAIgAsACAAXAAiAEwAbwB3AFwAIgAsACAAXAAiAFMAcAByAGkAbgBnAFwAIgAsACAAMQA5ADAALAAgADYAMQA3ACwAIAAxADcANAAsACAAMgA2ADUALAAgADMANwAxACwAIAA0ADEANQAsACAAMQA3ADAALAAgADIANwAyACwAIAAzADkAMgAsACAANQAzADEAOwBcAG4AIAAgACAAIAAgACAAIAAgACAAIABcACIAUQB1AGUAZQBuAHMAbABhAG4AZABcACIALAAgAFwAIgBMAG8AdwBcACIALAAgAFwAIgBTAHUAbQBtAGUAcgBcACIALAAgADEAMQA5ACwAIAA1ADkAMQAsACAAMQA0ADAALAAgADIAMAA1ACwAIAAzADEAMAAsACAANAAwADUALAAgADEAMwAzACwAIAAyADEAOAAsACAAMwAxADUALAAgADQANAA1ADsAXABuACAAIAAgACAAIAAgACAAIAAgACAAXAAiAFEAdQBlAGUAbgBzAGwAYQBuAGQAXAAiACwAIABcACIATABvAHcAXAAiACwAIABcACIAQQB1AHQAdQBtAG4AXAAiACwAIAAxADcANQAsACAANgAxADAALAAgADEANgAzACwAIAAyADMAMgAsACAAMwA1ADEALAAgADQAMgA3ACwAIAAxADQANgAsACAAMgA0ADIALAAgADMAMgAwACwAIAA0ADcAMQA7AFwAbgAgACAAIAAgACAAIAAgACAAIAAgAFwAIgBRAHUAZQBlAG4AcwBsAGEAbgBkAFwAIgAsACAAXAAiAEwAbwB3AFwAIgAsACAAXAAiAFcAaQBuAHQAZQByAFwAIgAsACAAMQA5ADIALAAgADYAMQA1ACwAIAAxADYAMgAsACAAMgA1ADUALAAgADMANgA0ACwAIAA0ADIAMAAsACAAMQA1ADcALAAgADIANgAxACwAIAAzADQAMgAsACAANAA4ADQAXABuACAAIAAgACAAIAAgACAAIAB9ACwAIAByACwAIABjACkAXABuACAAIAAgACAAIAAgACkAXABuACAAIAAgACAAKQBcAG4AIAAgACkAOwBcAG4AXABuAFwAbgAvACoAIABcAG4ALQAtAC0ALQAtAC0ALQAtAC0ALQAtAC0ALQAtAC0ALQAtAC0ALQAtAC0ALQAtAC0ALQAtAC0ALQAtAC0ALQAtAC0ALQAtAC0ALQAtAFwAbgBTAG8AdQByAGMAZQBEAGEAdABhAF8AUABhAHMAdAB1AHIAZQBCAGUAZQBmAF8ATABpAHYAZQB3AGUAaQBnAGgAdABHAGEAaQBuAFwAbgBUAGEAYgBsAGUAIABBAC4AMQAuADIALgAzADoAIABCAGUAZQBmACAAcABhAHMAdAB1AHIAZQAgAGMAYQB0AHQAbABlACAALQAgAEwAaQB2AGUAdwBlAGkAZwBoAHQAIABnAGEAaQBuACAAKABrAGcAKQAgACgATABXAEcAagBrAGwAKQBcAG4ALQAtAC0ALQAtAC0ALQAtAC0ALQAtAC0ALQAtAC0ALQAtAC0ALQAtAC0ALQAtAC0ALQAtAC0ALQAtAC0ALQAtAC0ALQAtAC0ALQAtAFwAbgAqAC8AXABuAFwAbgBTAG8AdQByAGMAZQBEAGEAdABhAF8AUABhAHMAdAB1AHIAZQBCAGUAZQBmAF8ATABpAHYAZQB3AGUAaQBnAGgAdABHAGEAaQBuAF8AVABpAHQAbABlAFwAbgAgACAAPQBMAEEATQBCAEQAQQAoAFwAIgBCAGUAZQBmACAAcABhAHMAdAB1AHIAZQAgAGMAYQB0AHQAbABlACAALQAgAEwAaQB2AGUAdwBlAGkAZwBoAHQAIABnAGEAaQBuACAAKABrAGcAKQAgACgATABXAEcAagBrAGwAKQBcACIAKQA7AFwAbgBcAG4AUwBvAHUAcgBjAGUARABhAHQAYQBfAFAAYQBzAHQAdQByAGUAQgBlAGUAZgBfAEwAaQB2AGUAdwBlAGkAZwBoAHQARwBhAGkAbgBfAFYAYQByAGkAYQBiAGwAZQBcAG4AIAAgAD0ATABBAE0AQgBEAEEAKABcACIATABXAEcAagBrAGwAXAAiACkAOwBcAG4AXABuAFMAbwB1AHIAYwBlAEQAYQB0AGEAXwBQAGEAcwB0AHUAcgBlAEIAZQBlAGYAXwBMAGkAdgBlAHcAZQBpAGcAaAB0AEcAYQBpAG4AXwBVAG4AaQB0AFwAbgAgACAAPQBMAEEATQBCAEQAQQAoAFwAIgBrAGcAXAAiACkAOwBcAG4AXABuAFMAbwB1AHIAYwBlAEQAYQB0AGEAXwBQAGEAcwB0AHUAcgBlAEIAZQBlAGYAXwBMAGkAdgBlAHcAZQBpAGcAaAB0AEcAYQBpAG4AXwBTAG8AdQByAGMAZQBcAG4AIAAgAD0ATABBAE0AQgBEAEEAKABcACIAVgBFAEUAUgBHACAAMgAwADIANgA6ACAAVABhAGIAbABlACAAQQAuADEALgAyAC4AMwBcACIAKQA7AFwAbgBcAG4AUwBvAHUAcgBjAGUARABhAHQAYQBfAFAAYQBzAHQAdQByAGUAQgBlAGUAZgBfAEwAaQB2AGUAdwBlAGkAZwBoAHQARwBhAGkAbgBfAFYAYQByAGkAYQB0AGkAbwBuAFwAbgAgACAAPQBMAEEATQBCAEQAQQAoAFwAIgBWAEEAUgBJAEEAVABJAE8ATgAgAE8ATgAgAFMATwBVAFIAQwBFADoAIABSAGUAcABsAGEAYwBlAGQAIABcAHUAMAAwADIANwBuAC8AYQBcAHUAMAAwADIANwAgAHcAaQB0AGgAIABcAHUAMAAwADIANwBTAG8AdQB0AGgAIABXAGUAcwB0AFwAdQAwADAAMgA3ACAAZgBvAHIAIABmAGkAcgBzAHQAIABmAG8AdQByACAAcgBvAHcAcwAgAG8AZgAgAFcAZQBzAHQAZQByAG4AIABBAHUAcwB0AHIAYQBsAGkAYQAgAHQAbwAgAGIAZQAgAGMAbwBuAHMAaQBzAHQAZQBuAHQAIAB3AGkAdABoACAAdABhAGIAbABlACAAQQAuADEALgAyAC4AMQBcACIAKQA7AFwAbgBcAG4AUwBvAHUAcgBjAGUARABhAHQAYQBfAFAAYQBzAHQAdQByAGUAQgBlAGUAZgBfAEwAaQB2AGUAdwBlAGkAZwBoAHQARwBhAGkAbgBfAEQAYQB0AGEAXABuACAAIAA9AEwAQQBNAEIARABBACgAXABuACAAIAAgACAATQBBAEsARQBBAFIAUgBBAFkAKAAyADkALAAgADEAMAAsAFwAbgAgACAAIAAgACAAIABMAEEATQBCAEQAQQAoAHIALABjACwAXABuACAAIAAgACAAIAAgACAAIABJAE4ARABFAFgAKAB7AFwAbgAgACAAIAAgACAAIAAgACAAIAAgAFwAIgBTAHQAYQB0AGUAXAAiACwAIABcACIAUgBlAGcAaQBvAG4AXAAiACwAIABcACIAUwBlAGEAcwBvAG4AXAAiACwAIABcACIAQgB1AGwAbAAgAFwAdQAwADAAMwBjADEAXAAiACwAIABcACIAQgB1AGwAbAAgAFwAdQAwADAAMwBlADEAXAAiACwAIABcACIAQwBvAHcAIABcAHUAMAAwADMAYwAxAFwAIgAsACAAXAAiAEMAbwB3ACAAMQAtADIAXAAiACwAIABcACIAQwBvAHcAIABcAHUAMAAwADMAZQAyAFwAIgAsACAAXAAiAFMAdABlAGUAcgAgAFwAdQAwADAAMwBjADEAXAAiACwAIABcACIAUwB0AGUAZQByACAAXAB1ADAAMAAzAGUAMQBcACIAOwBcAG4AIAAgACAAIAAgACAAIAAgACAAIABcACIAQQBDAFQALwBOAFMAVwBcACIALAAgAFwAIgBuAC8AYQBcACIALAAgAFwAIgBTAHAAcgBpAG4AZwBcACIALAAgADAALgA1ACwAIAAwAC4AMgAsACAAMAAuADUALAAgADAALgA0ACwAIAAwAC4AMwAsACAAMAAuADUALAAgADAALgA0ADsAXABuACAAIAAgACAAIAAgACAAIAAgACAAXAAiAEEAQwBUAC8ATgBTAFcAXAAiACwAIABcACIAbgAvAGEAXAAiACwAIABcACIAUwB1AG0AbQBlAHIAXAAiACwAIAAxAC4AMAAsACAAMAAuADQALAAgADAALgA5ACwAIAAwAC4ANwAsACAAMAAuADMALAAgADAALgA5ACwAIAAwAC4ANAA7AFwAbgAgACAAIAAgACAAIAAgACAAIAAgAFwAIgBBAEMAVAAvAE4AUwBXAFwAIgAsACAAXAAiAG4ALwBhAFwAIgAsACAAXAAiAEEAdQB0AHUAbQBuAFwAIgAsACAAMAAuADgALAAgADAALgAzACwAIAAwAC4ANwAsACAAMAAuADMALAAgADAALgAyACwAIAAwAC4ANwAsACAAMAAuADMAOwBcAG4AIAAgACAAIAAgACAAIAAgACAAIABcACIAQQBDAFQALwBOAFMAVwBcACIALAAgAFwAIgBuAC8AYQBcACIALAAgAFwAIgBXAGkAbgB0AGUAcgBcACIALAAgADAALgA0ACwAIAAwAC4AMQAsACAAMAAuADQALAAgADAALgAyACwAIAAwAC4AMQAsACAAMAAuADQALAAgADAALgAxADsAXABuACAAIAAgACAAIAAgACAAIAAgACAAXAAiAFMAbwB1AHQAaAAgAEEAdQBzAHQAcgBhAGwAaQBhAFwAIgAsACAAXAAiAG4ALwBhAFwAIgAsACAAXAAiAFMAcAByAGkAbgBnAFwAIgAsACAAMAAuADkAOQAsACAAMQAuADEALAAgADAALgA4ADgALAAgADAALgA1ADUALAAgADAALgA1ADUALAAgADAALgA4ADgALAAgADAALgAyADIAOwBcAG4AIAAgACAAIAAgACAAIAAgACAAIABcACIAUwBvAHUAdABoACAAQQB1AHMAdAByAGEAbABpAGEAXAAiACwAIABcACIAbgAvAGEAXAAiACwAIABcACIAUwB1AG0AbQBlAHIAXAAiACwAIAAwAC4ANwA3ACwAIAAwAC4AMAAsACAAMAAuADYANgAsACAAMAAuADIAMgAsACAAMAAuADAALAAgADAALgA2ADYALAAgADAALgAwADsAXABuACAAIAAgACAAIAAgACAAIAAgACAAXAAiAFMAbwB1AHQAaAAgAEEAdQBzAHQAcgBhAGwAaQBhAFwAIgAsACAAXAAiAG4ALwBhAFwAIgAsACAAXAAiAEEAdQB0AHUAbQBuAFwAIgAsACAAMAAuADkALAAgAC0AMQAuADEALAAgADAALgA3ACwAIAAwAC4AMgAyACwAIAAtADAALgA1ADUALAAgADAALgA4ACwAIAAtADAALgAyADIAOwBcAG4AIAAgACAAIAAgACAAIAAgACAAIABcACIAUwBvAHUAdABoACAAQQB1AHMAdAByAGEAbABpAGEAXAAiACwAIABcACIAbgAvAGEAXAAiACwAIABcACIAVwBpAG4AdABlAHIAXAAiACwAIAAwAC4AOAA4ACwAIAAwAC4AMAAsACAAMAAuADcANwAsACAAMAAuADUANQAsACAAMAAuADAALAAgADAALgA4ADIALAAgADAALgAwADsAXABuACAAIAAgACAAIAAgACAAIAAgACAAXAAiAFQAYQBzAG0AYQBuAGkAYQBcACIALAAgAFwAIgBuAC8AYQBcACIALAAgAFwAIgBTAHAAcgBpAG4AZwBcACIALAAgADEALgAwACwAIAAwAC4ANQAwACwAIAAxAC4AMAAsACAAMQAuADAALAAgAC0AMAAuADQANAAsACAAMQAuADAALAAgADAALgA1ADsAXABuACAAIAAgACAAIAAgACAAIAAgACAAXAAiAFQAYQBzAG0AYQBuAGkAYQBcACIALAAgAFwAIgBuAC8AYQBcACIALAAgAFwAIgBTAHUAbQBtAGUAcgBcACIALAAgADAALgA4ADIALAAgADAALgA1ADUALAAgADAALgA3ADEALAAgADAALgA1ADUALAAgADAALgA5ADkALAAgADAALgA3ADcALAAgADAALgA1ADsAXABuACAAIAAgACAAIAAgACAAIAAgACAAXAAiAFQAYQBzAG0AYQBuAGkAYQBcACIALAAgAFwAIgBuAC8AYQBcACIALAAgAFwAIgBBAHUAdAB1AG0AbgBcACIALAAgADAALgA3ADcALAAgADAALgA1ADAALAAgADAALgA1ADUALAAgADAALgAxADEALAAgAC0AMAAuADMAMwAsACAAMAAuADYALAAgADAALgAzADMAOwBcAG4AIAAgACAAIAAgACAAIAAgACAAIABcACIAVABhAHMAbQBhAG4AaQBhAFwAIgAsACAAXAAiAG4ALwBhAFwAIgAsACAAXAAiAFcAaQBuAHQAZQByAFwAIgAsACAAMAAuADEAMQAsACAALQAwAC4AMgA3ACwAIAAwAC4AMQAxACwAIAAwAC4AMgAyACwAIAAtADAALgA0ADQALAAgADAALgAxADYALAAgAC0AMAAuADIAMgA7AFwAbgAgACAAIAAgACAAIAAgACAAIAAgAFwAIgBWAGkAYwB0AG8AcgBpAGEAXAAiACwAIABcACIAbgAvAGEAXAAiACwAIABcACIAUwBwAHIAaQBuAGcAXAAiACwAIAAxAC4AMQAwACwAIAAxAC4AMQAwACwAIAAxAC4AMQAwACwAIAAwAC4AOQA5ACwAIAAwAC4AOQA5ACwAIAAxAC4AMQAwACwAIAAwAC4ANwA3ADsAXABuACAAIAAgACAAIAAgACAAIAAgACAAXAAiAFYAaQBjAHQAbwByAGkAYQBcACIALAAgAFwAIgBuAC8AYQBcACIALAAgAFwAIgBTAHUAbQBtAGUAcgBcACIALAAgADAALgAzADMALAAgADAALgAzADMALAAgADAALgAyADIALAAgADAALgAzADMALAAgAC0AMAAuADEAMAAsACAAMAAuADMAMwAsACAAMAAuADEAMQA7AFwAbgAgACAAIAAgACAAIAAgACAAIAAgAFwAIgBWAGkAYwB0AG8AcgBpAGEAXAAiACwAIABcACIAbgAvAGEAXAAiACwAIABcACIAQQB1AHQAdQBtAG4AXAAiACwAIAAwAC4ANQAwACwAIAAwAC4AMgAwACwAIAAwAC4ANQA1ACwAIAAwAC4ANAA0ACwAIAAwAC4AMgAwACwAIAAwAC4ANQA1ACwAIAAwAC4AMgAwADsAXABuACAAIAAgACAAIAAgACAAIAAgACAAXAAiAFYAaQBjAHQAbwByAGkAYQBcACIALAAgAFwAIgBuAC8AYQBcACIALAAgAFwAIgBXAGkAbgB0AGUAcgBcACIALAAgADAALgA1ADUALAAgADAALgAyADIALAAgADAALgA0ADkALAAgADAALgAyADIALAAgADAALgAyADIALAAgADAALgA0ADkALAAgADAALgAzADMAOwBcAG4AIAAgACAAIAAgACAAIAAgACAAIABcACIAVwBlAHMAdABlAHIAbgAgAEEAdQBzAHQAcgBhAGwAaQBhAFwAIgAsACAAXAAiAFMAbwB1AHQAaAAgAFcAZQBzAHQAXAAiACwAIABcACIAUwBwAHIAaQBuAGcAXAAiACwAIAAxAC4ANgA0ACwAIAAxAC4AMQAwACwAIAAxAC4AMgAxACwAIAAwAC4AOQA5ACwAIAAwAC4ANgA2ACwAIAAxAC4ANAAyACwAIAAxAC4AMQAwADsAXABuACAAIAAgACAAIAAgACAAIAAgACAAXAAiAFcAZQBzAHQAZQByAG4AIABBAHUAcwB0AHIAYQBsAGkAYQBcACIALAAgAFwAIgBTAG8AdQB0AGgAIABXAGUAcwB0AFwAIgAsACAAXAAiAFMAdQBtAG0AZQByAFwAIgAsACAAMAAuADQANAAsACAALQAwAC4AMgAyACwAIAAwAC4ANAA0ACwAIAAwAC4AMwAzACwAIAAtADAALgAyADIALAAgADAALgA0ADQALAAgAC0AMAAuADEAMQA7AFwAbgAgACAAIAAgACAAIAAgACAAIAAgAFwAIgBXAGUAcwB0AGUAcgBuACAAQQB1AHMAdAByAGEAbABpAGEAXAAiACwAIABcACIAUwBvAHUAdABoACAAVwBlAHMAdABcACIALAAgAFwAIgBBAHUAdAB1AG0AbgBcACIALAAgADAALgA2ADAALAAgADAALgAwADAALAAgADAALgA2ADAALAAgADAALgAyADIALAAgAC0AMAAuADUANQAsACAAMAAuADYAMAAsACAAMAAuADAAMAA7AFwAbgAgACAAIAAgACAAIAAgACAAIAAgAFwAIgBXAGUAcwB0AGUAcgBuACAAQQB1AHMAdAByAGEAbABpAGEAXAAiACwAIABcACIAUwBvAHUAdABoACAAVwBlAHMAdABcACIALAAgAFwAIgBXAGkAbgB0AGUAcgBcACIALAAgADAALgA5ADkALAAgADAALgAyADIALAAgADAALgA3ADcALAAgADAALgAxADEALAAgADAALgAxADEALAAgADAALgA3ADcALAAgADAALgA0ADQAOwBcAG4AIAAgACAAIAAgACAAIAAgACAAIABcACIAVwBlAHMAdABlAHIAbgAgAEEAdQBzAHQAcgBhAGwAaQBhAFwAIgAsACAAXAAiAFAAaQBsAGIAYQByAGEAXAAiACwAIABcACIAUwBwAHIAaQBuAGcAXAAiACwAIAAwAC4ANwAwACwAIAAtADAALgA1ADUALAAgADAALgA3ADAALAAgADAALgAyADIALAAgAC0AMAAuADIAMgAsACAAMAAuADcAMAAsACAALQAwAC4AMgAyADsAXABuACAAIAAgACAAIAAgACAAIAAgACAAXAAiAFcAZQBzAHQAZQByAG4AIABBAHUAcwB0AHIAYQBsAGkAYQBcACIALAAgAFwAIgBQAGkAbABiAGEAcgBhAFwAIgAsACAAXAAiAFMAdQBtAG0AZQByAFwAIgAsACAAMAAuADcANwAsACAAMAAuADUANQAsACAAMAAuADcANwAsACAAMAAuADYANgAsACAAMAAuADUANQAsACAAMAAuADcANwAsACAAMAAuADMAMwA7AFwAbgAgACAAIAAgACAAIAAgACAAIAAgAFwAIgBXAGUAcwB0AGUAcgBuACAAQQB1AHMAdAByAGEAbABpAGEAXAAiACwAIABcACIAUABpAGwAYgBhAHIAYQBcACIALAAgAFwAIgBBAHUAdAB1AG0AbgBcACIALAAgADAALgA4ADgALAAgADAALgA1ADUALAAgADAALgA4ADgALAAgADAALgAyADIALAAgADAALgAyADIALAAgADAALgA4ADgALAAgADAALgAyADIAOwBcAG4AIAAgACAAIAAgACAAIAAgACAAIABcACIAVwBlAHMAdABlAHIAbgAgAEEAdQBzAHQAcgBhAGwAaQBhAFwAIgAsACAAXAAiAFAAaQBsAGIAYQByAGEAXAAiACwAIABcACIAVwBpAG4AdABlAHIAXAAiACwAIAAwAC4AMgAyACwAIAAtADAALgA1ADUALAAgADAALgAyADIALAAgADAALgAxADEALAAgAC0AMAAuADIAMgAsACAAMAAuADIAMgAsACAALQAwAC4AMwAzADsAXABuACAAIAAgACAAIAAgACAAIAAgACAAXAAiAFcAZQBzAHQAZQByAG4AIABBAHUAcwB0AHIAYQBsAGkAYQBcACIALAAgAFwAIgBLAGkAbQBiAGUAcgBsAGUAeQBcACIALAAgAFwAIgBTAHAAcgBpAG4AZwBcACIALAAgADAALgAyADIALAAgAC0AMAAuADUANQAsACAAMAAuADMAMwAsACAAMAAuADIAMgAsACAALQAwAC4AMwAzACwAIAAwAC4AMgAyACwAIAAtADAALgA1ADUAOwBcAG4AIAAgACAAIAAgACAAIAAgACAAIABcACIAVwBlAHMAdABlAHIAbgAgAEEAdQBzAHQAcgBhAGwAaQBhAFwAIgAsACAAXAAiAEsAaQBtAGIAZQByAGwAZQB5AFwAIgAsACAAXAAiAFMAdQBtAG0AZQByAFwAIgAsACAAMAAuADgAMAAsACAAMAAuADUANQAsACAAMAAuADcAMAAsACAAMAAuADQANAAsACAAMAAuADYANgAsACAAMAAuADgAMAAsACAAMAAuADUANQA7AFwAbgAgACAAIAAgACAAIAAgACAAIAAgAFwAIgBXAGUAcwB0AGUAcgBuACAAQQB1AHMAdAByAGEAbABpAGEAXAAiACwAIABcACIASwBpAG0AYgBlAHIAbABlAHkAXAAiACwAIABcACIAQQB1AHQAdQBtAG4AXAAiACwAIAAwAC4ANgA2ACwAIAAwAC4ANQA1ACwAIAAwAC4ANQA1ACwAIAAwAC4ANQA1ACwAIAAwAC4AMQAxACwAIAAwAC4ANgA2ACwAIAAwAC4ANQA1ADsAXABuACAAIAAgACAAIAAgACAAIAAgACAAXAAiAFcAZQBzAHQAZQByAG4AIABBAHUAcwB0AHIAYQBsAGkAYQBcACIALAAgAFwAIgBLAGkAbQBiAGUAcgBsAGUAeQBcACIALAAgAFwAIgBXAGkAbgB0AGUAcgBcACIALAAgADAALgAzADMALAAgAC0AMAAuADUANQAsACAAMAAuADEAMQAsACAAMAAuADEAMQAsACAALQAwAC4ANAA0ACwAIAAwAC4AMwAzACwAIAAtADAALgA1ADUAXABuACAAIAAgACAAIAAgACAAIAB9ACwAIAByACwAIABjACkAXABuACAAIAAgACAAIAAgACkAXABuACAAIAAgACAAKQBcAG4AIAAgACkAOwBcAG4AXABuAC8AKgAgAFwAbgAtAC0ALQAtAC0ALQAtAC0ALQAtAC0ALQAtAC0ALQAtAC0ALQAtAC0ALQAtAC0ALQAtAC0ALQAtAC0ALQAtAC0ALQAtAC0ALQAtAC0AXABuAFMAbwB1AHIAYwBlAEQAYQB0AGEAXwBQAGEAcwB0AHUAcgBlAEIAZQBlAGYAXwBMAGkAdgBlAHcAZQBpAGcAaAB0AEcAYQBpAG4ATgBUAFEATABEAFwAbgBUAGEAYgBsAGUAIABBAC4AMQAuADIALgA0ADoAIABCAGUAZQBmACAAcABhAHMAdAB1AHIAZQAgAGMAYQB0AHQAbABlACAALQAgAEwAaQB2AGUAdwBlAGkAZwBoAHQAIABnAGEAaQBuACAAKABrAGcAKQAgACgATABXAEcAagBrAGwAKQAgAGYAbwByACAATgBUACAAYQBuAGQAIABRAEwARABcAG4ALQAtAC0ALQAtAC0ALQAtAC0ALQAtAC0ALQAtAC0ALQAtAC0ALQAtAC0ALQAtAC0ALQAtAC0ALQAtAC0ALQAtAC0ALQAtAC0ALQAtAFwAbgAqAC8AXABuAFwAbgBTAG8AdQByAGMAZQBEAGEAdABhAF8AUABhAHMAdAB1AHIAZQBCAGUAZQBmAF8ATABpAHYAZQB3AGUAaQBnAGgAdABHAGEAaQBuAE4AVABRAEwARABfAFQAaQB0AGwAZQBcAG4AIAAgAD0ATABBAE0AQgBEAEEAKABcACIAQgBlAGUAZgAgAHAAYQBzAHQAdQByAGUAIABjAGEAdAB0AGwAZQAgAC0AIABMAGkAdgBlAHcAZQBpAGcAaAB0ACAAZwBhAGkAbgAgACgAawBnACkAIAAoAEwAVwBHAGoAawBsACkAIABmAG8AcgAgAE4AVAAgAGEAbgBkACAAUQBMAEQAXAAiACkAOwBcAG4AXABuAFMAbwB1AHIAYwBlAEQAYQB0AGEAXwBQAGEAcwB0AHUAcgBlAEIAZQBlAGYAXwBMAGkAdgBlAHcAZQBpAGcAaAB0AEcAYQBpAG4ATgBUAFEATABEAF8AVgBhAHIAaQBhAGIAbABlAFwAbgAgACAAPQBMAEEATQBCAEQAQQAoAFwAIgBMAFcARwBqAGsAbABcACIAKQA7AFwAbgBcAG4AUwBvAHUAcgBjAGUARABhAHQAYQBfAFAAYQBzAHQAdQByAGUAQgBlAGUAZgBfAEwAaQB2AGUAdwBlAGkAZwBoAHQARwBhAGkAbgBOAFQAUQBMAEQAXwBVAG4AaQB0AFwAbgAgACAAPQBMAEEATQBCAEQAQQAoAFwAIgBrAGcAXAAiACkAOwBcAG4AXABuAFMAbwB1AHIAYwBlAEQAYQB0AGEAXwBQAGEAcwB0AHUAcgBlAEIAZQBlAGYAXwBMAGkAdgBlAHcAZQBpAGcAaAB0AEcAYQBpAG4ATgBUAFEATABEAF8AUwBvAHUAcgBjAGUAXABuACAAIAA9AEwAQQBNAEIARABBACgAXAAiAFYARQBFAFIARwAgADIAMAAyADYAOgAgAFQAYQBiAGwAZQAgAEEALgAxAC4AMgAuADQAXAAiACkAOwBcAG4AXABuAFMAbwB1AHIAYwBlAEQAYQB0AGEAXwBQAGEAcwB0AHUAcgBlAEIAZQBlAGYAXwBMAGkAdgBlAHcAZQBpAGcAaAB0AEcAYQBpAG4ATgBUAFEATABEAF8AVgBhAHIAaQBhAHQAaQBvAG4AXABuACAAIAA9AEwAQQBNAEIARABBACgAXAAiAFwAIgApADsAXABuAFwAbgBTAG8AdQByAGMAZQBEAGEAdABhAF8AUABhAHMAdAB1AHIAZQBCAGUAZQBmAF8ATABpAHYAZQB3AGUAaQBnAGgAdABHAGEAaQBuAE4AVABRAEwARABfAEQAYQB0AGEAXABuACAAIAA9AEwAQQBNAEIARABBACgAXABuACAAIAAgACAATQBBAEsARQBBAFIAUgBBAFkAKAAyADkALAAgADEAMwAsAFwAbgAgACAAIAAgACAAIABMAEEATQBCAEQAQQAoAHIALABjACwAXABuACAAIAAgACAAIAAgACAAIABJAE4ARABFAFgAKAB7AFwAbgAgACAAIAAgACAAIAAgACAAIAAgAFwAIgBTAHQAYQB0AGUAXAAiACwAIABcACIAUgBlAGcAaQBvAG4AXAAiACwAIABcACIAUwBlAGEAcwBvAG4AXAAiACwAIABcACIAQgB1AGwAbAAgAFwAdQAwADAAMwBjADEAXAAiACwAIABcACIAQgB1AGwAbAAgAFwAdQAwADAAMwBlADEAXAAiACwAIABcACIAQwBvAHcAIABcAHUAMAAwADMAYwAxAFwAIgAsACAAXAAiAEMAbwB3ACAAMQAtADIAXAAiACwAIABcACIAQwBvAHcAIAAyAC0AMwBcACIALAAgAFwAIgBDAG8AdwAgAFwAdQAwADAAMwBlADMAXAAiACwAIABcACIAUwB0AGUAZQByACAAXAB1ADAAMAAzAGMAMQBcACIALAAgAFwAIgBTAHQAZQBlAHIAIAAxAC0AMgBcACIALAAgAFwAIgBTAHQAZQBlAHIAIAAyAC0AMwBcACIALAAgAFwAIgBTAHQAZQBlAHIAIABcAHUAMAAwADMAZQAzAFwAIgA7AFwAbgAgACAAIAAgACAAIAAgACAAIAAgAFwAIgBOAG8AcgB0AGgAZQByAG4AIABUAGUAcgByAGkAdABvAHIAeQBcACIALAAgAFwAIgBBAGwAaQBjAGUAIABTAHAAcgBpAG4AZwBzAFwAIgAsACAAXAAiAFMAcAByAGkAbgBnAFwAIgAsACAAMAAuADIAMgAsACAALQAwAC4AMgAzACwAIAAwAC4AMgA1ACwAIAAwAC4AMQA3ACwAIAAwAC4AMQA4ACwAIAAtADAALgAyADgALAAgADAALgAzADIALAAgADAALgAyADQALAAgADAALgAyADUALAAgAC0AMAAuADAANQA7AFwAbgAgACAAIAAgACAAIAAgACAAIAAgAFwAIgBOAG8AcgB0AGgAZQByAG4AIABUAGUAcgByAGkAdABvAHIAeQBcACIALAAgAFwAIgBBAGwAaQBjAGUAIABTAHAAcgBpAG4AZwBzAFwAIgAsACAAXAAiAFMAdQBtAG0AZQByAFwAIgAsACAAMAAuADYANgAsACAAMAAuADIAMAAsACAAMAAuADYAMgAsACAAMAAuADUANAAsACAAMAAuADMAOAAsACAAMAAuADIANwAsACAAMAAuADcANQAsACAAMAAuADYANAAsACAAMAAuADUANQAsACAAMAAuADQAOAA7AFwAbgAgACAAIAAgACAAIAAgACAAIAAgAFwAIgBOAG8AcgB0AGgAZQByAG4AIABUAGUAcgByAGkAdABvAHIAeQBcACIALAAgAFwAIgBBAGwAaQBjAGUAIABTAHAAcgBpAG4AZwBzAFwAIgAsACAAXAAiAEEAdQB0AHUAbQBuAFwAIgAsACAAMAAuADQAOQAsACAAMAAuADEAMwAsACAAMAAuADUANAAsACAAMAAuADQANQAsACAAMAAuADMANQAsACAAMAAuADEANQAsACAAMAAuADYAMwAsACAAMAAuADUANAAsACAAMAAuADQAMgAsACAAMAAuADIANgA7AFwAbgAgACAAIAAgACAAIAAgACAAIAAgAFwAIgBOAG8AcgB0AGgAZQByAG4AIABUAGUAcgByAGkAdABvAHIAeQBcACIALAAgAFwAIgBBAGwAaQBjAGUAIABTAHAAcgBpAG4AZwBzAFwAIgAsACAAXAAiAFcAaQBuAHQAZQByAFwAIgAsACAAMAAuADIANwAsACAALQAwAC4AOAAwACwAIAAwAC4AMgAyACwAIAAwAC4AMAA5ACwAIAAwAC4AMQAyACwAIAAwAC4AMAAyACwAIAAwAC4AMgA1ACwAIAAwAC4AMQA4ACwAIAAwAC4AMQAyACwAIAAwAC4AMAAzADsAXABuACAAIAAgACAAIAAgACAAIAAgACAAXAAiAE4AbwByAHQAaABlAHIAbgAgAFQAZQByAHIAaQB0AG8AcgB5AFwAIgAsACAAXAAiAEIAYQByAGsAbAB5AFwAIgAsACAAXAAiAFMAcAByAGkAbgBnAFwAIgAsACAAMAAuADIAMgAsACAALQAwAC4ANAA0ACwAIAAwAC4AMgAwACwAIAAwAC4AMgAxACwAIAAwAC4AMQA4ACwAIAAwAC4AMAAxACwAIAAwAC4AMQAyACwAIAAwAC4AMAA5ACwAIABcACIATgBPAFwAIgAsACAAXAAiAE4ATwBcACIAOwBcAG4AIAAgACAAIAAgACAAIAAgACAAIABcACIATgBvAHIAdABoAGUAcgBuACAAVABlAHIAcgBpAHQAbwByAHkAXAAiACwAIABcACIAQgBhAHIAawBsAHkAXAAiACwAIABcACIAUwB1AG0AbQBlAHIAXAAiACwAIAAwAC4ANgA2ACwAIAAwAC4AMgAyACwAIAAwAC4ANgA4ACwAIAAwAC4AMgAyACwAIAAwAC4AMgA0ACwAIAAwAC4AMgA1ACwAIAAwAC4ANgA0ACwAIAAwAC4AMwA3ACwAIABcACIATgBPAFwAIgAsACAAXAAiAE4ATwBcACIAOwBcAG4AIAAgACAAIAAgACAAIAAgACAAIABcACIATgBvAHIAdABoAGUAcgBuACAAVABlAHIAcgBpAHQAbwByAHkAXAAiACwAIABcACIAQgBhAHIAawBsAHkAXAAiACwAIABcACIAQQB1AHQAdQBtAG4AXAAiACwAIAAwAC4ANAA5ACwAIAAwAC4AMAA1ACwAIAAwAC4ANgA0ACwAIAAwAC4AMgA1ACwAIAAwAC4AMgA5ACwAIAAwAC4AMQAyACwAIAAwAC4ANQA3ACwAIAAwAC4ANAA5ACwAIABcACIATgBPAFwAIgAsACAAXAAiAE4ATwBcACIAOwBcAG4AIAAgACAAIAAgACAAIAAgACAAIABcACIATgBvAHIAdABoAGUAcgBuACAAVABlAHIAcgBpAHQAbwByAHkAXAAiACwAIABcACIAQgBhAHIAawBsAHkAXAAiACwAIABcACIAVwBpAG4AdABlAHIAXAAiACwAIAAwAC4AMgA3ACwAIAAtADAALgAyADcALAAgADAALgAzADEALAAgADAALgAyADkALAAgADAALgAxADkALAAgADAALgAwADQALAAgADAALgAyADYALAAgADAALgAyADgALAAgAFwAIgBOAE8AXAAiACwAIABcACIATgBPAFwAIgA7AFwAbgAgACAAIAAgACAAIAAgACAAIAAgAFwAIgBOAG8AcgB0AGgAZQByAG4AIABUAGUAcgByAGkAdABvAHIAeQBcACIALAAgAFwAIgBOAG8AcgB0AGgAZQByAG4AXAAiACwAIABcACIAUwBwAHIAaQBuAGcAXAAiACwAIAAwAC4AMgAyACwAIAAtADAALgA0ADQALAAgADAALgAwADAALAAgADAALgAxADUALAAgADAALgAwADgALAAgADAALgAxADcALAAgADAALgAwADYALAAgADAALgAwADIALAAgAC0AMAAuADEANAAsACAAXAAiAE4ATwBcACIAOwBcAG4AIAAgACAAIAAgACAAIAAgACAAIABcACIATgBvAHIAdABoAGUAcgBuACAAVABlAHIAcgBpAHQAbwByAHkAXAAiACwAIABcACIATgBvAHIAdABoAGUAcgBuAFwAIgAsACAAXAAiAFMAdQBtAG0AZQByAFwAIgAsACAAMAAuADYANgAsACAAMAAuADIAMgAsACAAMAAuADcAOQAsACAAMAAuADQAMAAsACAAMAAuADMAOAAsACAAMAAuADIANwAsACAAMAAuADgAMAAsACAAMAAuADEANgAsACAAMAAuADMAMAAsACAAXAAiAE4ATwBcACIAOwBcAG4AIAAgACAAIAAgACAAIAAgACAAIABcACIATgBvAHIAdABoAGUAcgBuACAAVABlAHIAcgBpAHQAbwByAHkAXAAiACwAIABcACIATgBvAHIAdABoAGUAcgBuAFwAIgAsACAAXAAiAEEAdQB0AHUAbQBuAFwAIgAsACAAMAAuADQAOQAsACAAMAAuADAANQAsACAAMAAuADUANQAsACAAMAAuADMAOAAsACAAMAAuADMANgAsACAAMAAuADAANgAsACAAMAAuADUAOAAsACAAMAAuADIAMwAsACAAMAAuADQAMAAsACAAXAAiAE4ATwBcACIAOwBcAG4AIAAgACAAIAAgACAAIAAgACAAIABcACIATgBvAHIAdABoAGUAcgBuACAAVABlAHIAcgBpAHQAbwByAHkAXAAiACwAIABcACIATgBvAHIAdABoAGUAcgBuAFwAIgAsACAAXAAiAFcAaQBuAHQAZQByAFwAIgAsACAAMAAuADIANwAsACAALQAwAC4AMgA3ACwAIAAwAC4AMAAyACwAIAAwAC4AMAA5ACwAIAAwAC4AMQA2ACwAIAAtADAALgAwADQALAAgADAALgAyADEALAAgADAALgAwADMALAAgADAALgAxADEALAAgAFwAIgBOAE8AXAAiADsAXABuACAAIAAgACAAIAAgACAAIAAgACAAXAAiAFEAdQBlAGUAbgBzAGwAYQBuAGQAXAAiACwAIABcACIASABpAGcAaABcACIALAAgAFwAIgBTAHAAcgBpAG4AZwBcACIALAAgADAALgAyADcALAAgAC0AMAAuADEAOQAsACAAMAAuADMAOAAsACAAMAAuADIANQAsACAAMAAuADAANwAsACAAMAAuADAANQAsACAAMAAuADUAMgAsACAAMAAuADUANQAsACAAMAAuADEAOQAsACAAMAAuADYAMAA7AFwAbgAgACAAIAAgACAAIAAgACAAIAAgAFwAIgBRAHUAZQBlAG4AcwBsAGEAbgBkAFwAIgAsACAAXAAiAEgAaQBnAGgAXAAiACwAIABcACIAUwB1AG0AbQBlAHIAXAAiACwAIAAwAC4AMQA2ACwAIAAwAC4AMQA2ACwAIAAwAC4AOAAwACwAIAAwAC4ANQA3ACwAIAAwAC4ANwA2ACwAIAAwAC4ANAA5ACwAIAAwAC4AOAA0ACwAIAAwAC4ANQAxACwAIAAwAC4AMwA2ACwAIAAwAC4AMQA3ADsAXABuACAAIAAgACAAIAAgACAAIAAgACAAXAAiAFEAdQBlAGUAbgBzAGwAYQBuAGQAXAAiACwAIABcACIASABpAGcAaABcACIALAAgAFwAIgBBAHUAdAB1AG0AbgBcACIALAAgADAALgA0ADUALAAgADAALgAxADAALAAgADAALgA0ADkALAAgADAALgA0ADEALAAgADAALgA0ADAALAAgADAALgAxADcALAAgADAALgA1ADQALAAgADAALgA2ADQALAAgAC0AMAAuADAANQAsACAAMAAuADMAMgA7AFwAbgAgACAAIAAgACAAIAAgACAAIAAgAFwAIgBRAHUAZQBlAG4AcwBsAGEAbgBkAFwAIgAsACAAXAAiAEgAaQBnAGgAXAAiACwAIABcACIAVwBpAG4AdABlAHIAXAAiACwAIAAwAC4ANQAxACwAIAAtADAALgAwADcALAAgADAALgAxADMALAAgAC0AMAAuADAAOQAsACAALQAwAC4AMQAzACwAIAAwAC4AMAA3ACwAIAAwAC4AMgA1ACwAIAAwAC4ANwAxACwAIAAwAC4AMQA3ACwAIAAwAC4ANAAzADsAXABuACAAIAAgACAAIAAgACAAIAAgACAAXAAiAFEAdQBlAGUAbgBzAGwAYQBuAGQAXAAiACwAIABcACIATQBvAGQAZQByAGEAdABlAC8ASABpAGcAaABcACIALAAgAFwAIgBTAHAAcgBpAG4AZwBcACIALAAgAC0AMAAuADEAMgAsACAALQAwAC4AMQA5ACwAIAAwAC4ANAAxACwAIAAwAC4AMAA5ACwAIAAwAC4ANAAxACwAIAAtADAALgAxADkALAAgADAALgAwADcALAAgADEALgAwADcALAAgAC0AMAAuADAAOAAsACAAMAAuADAAMAA7AFwAbgAgACAAIAAgACAAIAAgACAAIAAgAFwAIgBRAHUAZQBlAG4AcwBsAGEAbgBkAFwAIgAsACAAXAAiAE0AbwBkAGUAcgBhAHQAZQAvAEgAaQBnAGgAXAAiACwAIABcACIAUwB1AG0AbQBlAHIAXAAiACwAIAAwAC4ANgA1ACwAIAAwAC4AMQA5ACwAIAAwAC4ANgA1ACwAIAAwAC4ANQAxACwAIAAwAC4AMQA4ACwAIAAwAC4ANgAzACwAIAAxAC4AMwAwACwAIAAwAC4ANAA4ACwAIAAxAC4AMQAyACwAIAAwAC4AMwA4ADsAXABuACAAIAAgACAAIAAgACAAIAAgACAAXAAiAFEAdQBlAGUAbgBzAGwAYQBuAGQAXAAiACwAIABcACIATQBvAGQAZQByAGEAdABlAC8ASABpAGcAaABcACIALAAgAFwAIgBBAHUAdAB1AG0AbgBcACIALAAgADAALgA3ADAALAAgADAALgAxADMALAAgADAALgA1ADIALAAgADAALgAzADQALAAgADAALgAwADIALAAgADAALgAwADQALAAgADAALgA3ADcALAAgADAALgA0ADIALAAgADAALgAxADIALAAgADAALgA3ADQAOwBcAG4AIAAgACAAIAAgACAAIAAgACAAIABcACIAUQB1AGUAZQBuAHMAbABhAG4AZABcACIALAAgAFwAIgBNAG8AZABlAHIAYQB0AGUALwBIAGkAZwBoAFwAIgAsACAAXAAiAFcAaQBuAHQAZQByAFwAIgAsACAAMAAuADMAMgAsACAALQAwAC4AMAA2ACwAIAAwAC4AMgA1ACwAIAAwAC4AMQA5ACwAIAAtADAALgAxADAALAAgAC0AMAAuADAAMgAsACAAMAAuADAAMgAsACAAMAAuADIAMwAsACAALQAwAC4AMQAzACwAIAAwAC4AMAAwADsAXABuACAAIAAgACAAIAAgACAAIAAgACAAXAAiAFEAdQBlAGUAbgBzAGwAYQBuAGQAXAAiACwAIABcACIATQBvAGQAZQByAGEAdABlAC8ATABvAHcAXAAiACwAIABcACIAUwBwAHIAaQBuAGcAXAAiACwAIAAwAC4ANgAyACwAIAAtADAALgAxADkALAAgADAALgAzADcALAAgADAALgA0ADEALAAgADAALgAwADYALAAgAC0AMAAuADAAMgAsACAAMAAuADQANwAsACAAMAAuADQANAAsACAAMAAuADMAMAAsACAAMAAuADEAMwA7AFwAbgAgACAAIAAgACAAIAAgACAAIAAgAFwAIgBRAHUAZQBlAG4AcwBsAGEAbgBkAFwAIgAsACAAXAAiAE0AbwBkAGUAcgBhAHQAZQAvAEwAbwB3AFwAIgAsACAAXAAiAFMAdQBtAG0AZQByAFwAIgAsACAAMAAuADAANQAsACAAMAAuADEAOQAsACAAMAAuADMAMQAsACAAMAAuADUANAAsACAAMAAuADUAMwAsACAAMAAuADEANQAsACAAMAAuADIAOAAsACAAMAAuADUANwAsACAAMAAuADQAMgAsACAAMAAuADQAMAA7AFwAbgAgACAAIAAgACAAIAAgACAAIAAgAFwAIgBRAHUAZQBlAG4AcwBsAGEAbgBkAFwAIgAsACAAXAAiAE0AbwBkAGUAcgBhAHQAZQAvAEwAbwB3AFwAIgAsACAAXAAiAEEAdQB0AHUAbQBuAFwAIgAsACAAMAAuADMAMwAsACAAMAAuADEAMwAsACAAMAAuADMAOQAsACAAMAAuADMANgAsACAAMAAuADIANgAsACAAMAAuADEAMQAsACAAMAAuADQAMAAsACAAMAAuADQANAAsACAAMAAuADMANwAsACAALQAwAC4AMAAxADsAXABuACAAIAAgACAAIAAgACAAIAAgACAAXAAiAFEAdQBlAGUAbgBzAGwAYQBuAGQAXAAiACwAIABcACIATQBvAGQAZQByAGEAdABlAC8ATABvAHcAXAAiACwAIABcACIAVwBpAG4AdABlAHIAXAAiACwAIAAwAC4ANgAxACwAIAAtADAALgAwADYALAAgADAALgAyADEALAAgADAALgAxADgALAAgADAALgAxADIALAAgADAALgAwADYALAAgADAALgAyADkALAAgADAALgA0ADEALAAgADAALgA0ADEALAAgAC0AMAAuADEANQA7AFwAbgAgACAAIAAgACAAIAAgACAAIAAgAFwAIgBRAHUAZQBlAG4AcwBsAGEAbgBkAFwAIgAsACAAXAAiAEwAbwB3AFwAIgAsACAAXAAiAFMAcAByAGkAbgBnAFwAIgAsACAALQAwAC4AMgAwACwAIAAwAC4AMAAyACwAIAAwAC4AMgA0ACwAIAAwAC4AMwAwACwAIAAwAC4AMgAzACwAIAAtADAALgAwADUALAAgADAALgAzADQALAAgADAALgAzADAALAAgADAALgA1ADcALAAgADAALgA1ADIAOwBcAG4AIAAgACAAIAAgACAAIAAgACAAIABcACIAUQB1AGUAZQBuAHMAbABhAG4AZABcACIALAAgAFwAIgBMAG8AdwBcACIALAAgAFwAIgBTAHUAbQBtAGUAcgBcACIALAAgADAALgA2ADIALAAgADAALgAyADEALAAgADAALgAyADUALAAgADAALgAzADIALAAgADAALgA0ADcALAAgADAALgAzADEALAAgADAALgAxADQALAAgADAALgA0ADAALAAgADAALgAyADYALAAgADAALgA0ADMAOwBcAG4AIAAgACAAIAAgACAAIAAgACAAIABcACIAUQB1AGUAZQBuAHMAbABhAG4AZABcACIALAAgAFwAIgBMAG8AdwBcACIALAAgAFwAIgBBAHUAdAB1AG0AbgBcACIALAAgADAALgA0ADAALAAgADAALgAxADMALAAgADAALgAxADIALAAgADAALgAyADcALAAgADAALgAzADAALAAgADAALgAwADgALAAgADAALgAxADMALAAgADAALgAyADQALAAgADAALgAxADUALAAgADAALgAyADEAOwBcAG4AIAAgACAAIAAgACAAIAAgACAAIABcACIAUQB1AGUAZQBuAHMAbABhAG4AZABcACIALAAgAFwAIgBMAG8AdwBcACIALAAgAFwAIgBXAGkAbgB0AGUAcgBcACIALAAgADAALgAwADgALAAgADAALgAwADQALAAgADAALgAwADYALAAgADAALgAxADgALAAgADAALgAxADEALAAgAC0AMAAuADAANwAsACAAMAAuADEAMwAsACAAMAAuADEANgAsACAAMAAuADQAMAAsACAAMAAuADMAMwBcAG4AIAAgACAAIAAgACAAIAAgAH0ALAAgAHIALAAgAGMAKQBcAG4AIAAgACAAIAAgACAAKQBcAG4AIAAgACAAIAApAFwAbgAgACAAKQA7AFwAbgBcAG4AXABuAC8AKgAgAFwAbgAtAC0ALQAtAC0ALQAtAC0ALQAtAC0ALQAtAC0ALQAtAC0ALQAtAC0ALQAtAC0ALQAtAC0ALQAtAC0ALQAtAC0ALQAtAC0ALQAtAC0AXABuAFMAbwB1AHIAYwBlAEQAYQB0AGEAXwBQAGEAcwB0AHUAcgBlAEIAZQBlAGYAXwBEAHIAeQBNAGEAdAB0AGUAcgBEAGkAZwBlAHMAdABpAGIAaQBsAGkAdAB5AFwAbgBUAGEAYgBsAGUAIABBAC4AMQAuADIALgA1ADoAIABCAGUAZQBmACAAcABhAHMAdAB1AHIAZQAgAGMAYQB0AHQAbABlACAALQAgAEQAcgB5ACAAbQBhAHQAdABlAHIAIABkAGkAZwBlAHMAdABpAGIAaQBsAGkAdAB5ACAAbwBmACAAZgBlAGUAZAAgAGkAbgB0AGEAawBlACAAKABmAHIAYQBjAHQAaQBvAG4AKQAgACgARABNAEQAagApAFwAbgAtAC0ALQAtAC0ALQAtAC0ALQAtAC0ALQAtAC0ALQAtAC0ALQAtAC0ALQAtAC0ALQAtAC0ALQAtAC0ALQAtAC0ALQAtAC0ALQAtAC0AXABuACoALwBcAG4AXABuAFMAbwB1AHIAYwBlAEQAYQB0AGEAXwBQAGEAcwB0AHUAcgBlAEIAZQBlAGYAXwBEAHIAeQBNAGEAdAB0AGUAcgBEAGkAZwBlAHMAdABpAGIAaQBsAGkAdAB5AF8AVABpAHQAbABlAFwAbgAgACAAPQBMAEEATQBCAEQAQQAoAFwAIgBCAGUAZQBmACAAcABhAHMAdAB1AHIAZQAgAGMAYQB0AHQAbABlACAALQAgAEQAcgB5ACAAbQBhAHQAdABlAHIAIABkAGkAZwBlAHMAdABpAGIAaQBsAGkAdAB5ACAAbwBmACAAZgBlAGUAZAAgAGkAbgB0AGEAawBlACAAKABmAHIAYQBjAHQAaQBvAG4AKQAgACgARABNAEQAagApAFwAIgApADsAXABuAFwAbgBTAG8AdQByAGMAZQBEAGEAdABhAF8AUABhAHMAdAB1AHIAZQBCAGUAZQBmAF8ARAByAHkATQBhAHQAdABlAHIARABpAGcAZQBzAHQAaQBiAGkAbABpAHQAeQBfAFYAYQByAGkAYQBiAGwAZQBcAG4AIAAgAD0ATABBAE0AQgBEAEEAKABcACIARABNAEQAagBcACIAKQA7AFwAbgBcAG4AUwBvAHUAcgBjAGUARABhAHQAYQBfAFAAYQBzAHQAdQByAGUAQgBlAGUAZgBfAEQAcgB5AE0AYQB0AHQAZQByAEQAaQBnAGUAcwB0AGkAYgBpAGwAaQB0AHkAXwBVAG4AaQB0AFwAbgAgACAAPQBMAEEATQBCAEQAQQAoAFwAIgBmAHIAYQBjAHQAaQBvAG4AXAAiACkAOwBcAG4AXABuAFMAbwB1AHIAYwBlAEQAYQB0AGEAXwBQAGEAcwB0AHUAcgBlAEIAZQBlAGYAXwBEAHIAeQBNAGEAdAB0AGUAcgBEAGkAZwBlAHMAdABpAGIAaQBsAGkAdAB5AF8AUwBvAHUAcgBjAGUAXABuACAAIAA9AEwAQQBNAEIARABBACgAXAAiAFYARQBFAFIARwAgADIAMAAyADYAOgAgAFQAYQBiAGwAZQAgAEEALgAxAC4AMgAuADUAXAAiACkAOwBcAG4AXABuAFMAbwB1AHIAYwBlAEQAYQB0AGEAXwBQAGEAcwB0AHUAcgBlAEIAZQBlAGYAXwBEAHIAeQBNAGEAdAB0AGUAcgBEAGkAZwBlAHMAdABpAGIAaQBsAGkAdAB5AF8AVgBhAHIAaQBhAHQAaQBvAG4AXABuACAAIAA9AEwAQQBNAEIARABBACgAXAAiAFYAQQBSAEkAQQBUAEkATwBOACAATwBOACAAUwBPAFUAUgBDAEUAOgAgAFMAcABsAGkAdAAgAEEAQwBUACAAYQBuAGQAIABOAFMAVwAgAGkAbgB0AG8AIABzAGUAcABhAHIAYQB0AGUAIAByAG8AdwBzAC4AIABEAHUAcABsAGkAYwBhAHQAZQBkACAAUQBMAEQAIABhAG4AZAAgAE4AVAAgAHIAbwB3AHMAIAB3AGkAdABoACAAcgBlAGcAaQBvAG4AcwAgAGYAcgBvAG0AIAB0AGEAYgBsAGUAIABBAC4AMQAuADIALgAyACAAdABvACAAYQBpAGQAIABsAG8AbwBrAHUAcABcACIAKQA7AFwAbgBcAG4AUwBvAHUAcgBjAGUARABhAHQAYQBfAFAAYQBzAHQAdQByAGUAQgBlAGUAZgBfAEQAcgB5AE0AYQB0AHQAZQByAEQAaQBnAGUAcwB0AGkAYgBpAGwAaQB0AHkAXwBEAGEAdABhAFwAbgAgACAAPQBMAEEATQBCAEQAQQAoAFwAbgAgACAAIAAgAE0AQQBLAEUAQQBSAFIAQQBZACgAMQA2ACwAIAA2ACwAXABuACAAIAAgACAAIAAgAEwAQQBNAEIARABBACgAcgAsAGMALABcAG4AIAAgACAAIAAgACAAIAAgAEkATgBEAEUAWAAoAHsAXABuACAAIAAgACAAIAAgACAAIAAgACAAXAAiAFMAdABhAHQAZQBcACIALAAgAFwAIgBSAGUAZwBpAG8AbgBcACIALAAgAFwAIgBTAHAAcgBpAG4AZwBcACIALAAgAFwAIgBTAHUAbQBtAGUAcgBcACIALAAgAFwAIgBBAHUAdAB1AG0AbgBcACIALAAgAFwAIgBXAGkAbgB0AGUAcgBcACIAOwBcAG4AIAAgACAAIAAgACAAIAAgACAAIABcACIAQQBDAFQAXAAiACwAIABcACIAbgAvAGEAXAAiACwAIAAwAC4ANQA1ACwAIAAwAC4ANgA1ACwAIAAwAC4ANgAwACwAIAAwAC4ANQAwADsAXABuACAAIAAgACAAIAAgACAAIAAgACAAXAAiAE4AUwBXAFwAIgAsACAAXAAiAG4ALwBhAFwAIgAsACAAMAAuADUANQAsACAAMAAuADYANQAsACAAMAAuADYAMAAsACAAMAAuADUAMAA7AFwAbgAgACAAIAAgACAAIAAgACAAIAAgAFwAIgBOAFQAXAAiACwAIABcACIAQQBsAGkAYwBlACAAUwBwAHIAaQBuAGcAcwBcACIALAAgADAALgA1ADUALAAgADAALgA2ADEALAAgADAALgA1ADcALAAgADAALgA1ADQAOwBcAG4AIAAgACAAIAAgACAAIAAgACAAIABcACIATgBUAFwAIgAsACAAXAAiAEIAYQByAGsAbAB5AFwAIgAsACAAMAAuADUANQAsACAAMAAuADYAMQAsACAAMAAuADUANwAsACAAMAAuADUANAA7AFwAbgAgACAAIAAgACAAIAAgACAAIAAgAFwAIgBOAFQAXAAiACwAIABcACIATgBvAHIAdABoAGUAcgBuAFwAIgAsACAAMAAuADUANQAsACAAMAAuADYAMQAsACAAMAAuADUANwAsACAAMAAuADUANAA7AFwAbgAgACAAIAAgACAAIAAgACAAIAAgAFwAIgBRAEwARABcACIALAAgAFwAIgBIAGkAZwBoAFwAIgAsACAAMAAuADUAMwAsACAAMAAuADUANwAsACAAMAAuADUANQAsACAAMAAuADUAMQA7AFwAbgAgACAAIAAgACAAIAAgACAAIAAgAFwAIgBRAEwARABcACIALAAgAFwAIgBNAG8AZABlAHIAYQB0AGUALwBIAGkAZwBoAFwAIgAsACAAMAAuADUAMwAsACAAMAAuADUANwAsACAAMAAuADUANQAsACAAMAAuADUAMQA7AFwAbgAgACAAIAAgACAAIAAgACAAIAAgAFwAIgBRAEwARABcACIALAAgAFwAIgBNAG8AZABlAHIAYQB0AGUALwBMAG8AdwBcACIALAAgADAALgA1ADMALAAgADAALgA1ADcALAAgADAALgA1ADUALAAgADAALgA1ADEAOwBcAG4AIAAgACAAIAAgACAAIAAgACAAIABcACIAUQBMAEQAXAAiACwAIABcACIATABvAHcAXAAiACwAIAAwAC4ANQAzACwAIAAwAC4ANQA3ACwAIAAwAC4ANQA1ACwAIAAwAC4ANQAxADsAXABuACAAIAAgACAAIAAgACAAIAAgACAAXAAiAFMAQQBcACIALAAgAFwAIgBuAC8AYQBcACIALAAgADAALgA3ADAALAAgADAALgA1ADUALAAgADAALgA1ADUALAAgADAALgA3ADUAOwBcAG4AIAAgACAAIAAgACAAIAAgACAAIABcACIAVABBAFMAXAAiACwAIABcACIAbgAvAGEAXAAiACwAIAAwAC4ANwA1ACwAIAAwAC4ANgAwACwAIAAwAC4ANwAwACwAIAAwAC4ANwA1ADsAXABuACAAIAAgACAAIAAgACAAIAAgACAAXAAiAFYASQBDAFwAIgAsACAAXAAiAG4ALwBhAFwAIgAsACAAMAAuADgAMAAsACAAMAAuADUANQAsACAAMAAuADYAMAAsACAAMAAuADcANgA7AFwAbgAgACAAIAAgACAAIAAgACAAIAAgAFwAIgBXAEEAXAAiACwAIABcACIAUwBvAHUAdABoACAAVwBlAHMAdABcACIALAAgADAALgA4ADAALAAgADAALgA1ADgALAAgADAALgA1ADAALAAgADAALgA3ADUAOwBcAG4AIAAgACAAIAAgACAAIAAgACAAIABcACIAVwBBAFwAIgAsACAAXAAiAFAAaQBsAGIAYQByAGEAXAAiACwAIAAwAC4ANAAwACwAIAAwAC4ANgA1ACwAIAAwAC4ANQA1ACwAIAAwAC4ANAA1ADsAXABuACAAIAAgACAAIAAgACAAIAAgACAAXAAiAFcAQQBcACIALAAgAFwAIgBLAGkAbQBiAGUAcgBsAGUAeQBcACIALAAgADAALgA0ADAALAAgADAALgA2ADUALAAgADAALgA1ADUALAAgADAALgA0ADUAXABuACAAIAAgACAAIAAgACAAIAB9ACwAIAByACwAIABjACkAXABuACAAIAAgACAAIAAgACkAXABuACAAIAAgACAAKQBcAG4AIAAgACkAOwBcAG4AXABuAC8AKgAgAFwAbgAtAC0ALQAtAC0ALQAtAC0ALQAtAC0ALQAtAC0ALQAtAC0ALQAtAC0ALQAtAC0ALQAtAC0ALQAtAC0ALQAtAC0ALQAtAC0ALQAtAC0AXABuAFMAbwB1AHIAYwBlAEQAYQB0AGEAXwBQAGEAcwB0AHUAcgBlAEIAZQBlAGYAXwBDAHIAdQBkAGUAUAByAG8AdABlAGkAbgBDAG8AbgB0AGUAbgB0AFwAbgBUAGEAYgBsAGUAIABBAC4AMQAuADIALgA2ADoAIABCAGUAZQBmACAAcABhAHMAdAB1AHIAZQAgAGMAYQB0AHQAbABlACAALQAgAEMAcgB1AGQAZQAgAHAAcgBvAHQAZQBpAG4AIABjAG8AbgB0AGUAbgB0ACAAbwBmACAAZgBlAGUAZAAgAGkAbgB0AGEAawBlACAAKABmAHIAYQBjAHQAaQBvAG4AKQAgACgAQwBQAGoAKQBcAG4ALQAtAC0ALQAtAC0ALQAtAC0ALQAtAC0ALQAtAC0ALQAtAC0ALQAtAC0ALQAtAC0ALQAtAC0ALQAtAC0ALQAtAC0ALQAtAC0ALQAtAFwAbgAqAC8AXABuAFwAbgBTAG8AdQByAGMAZQBEAGEAdABhAF8AUABhAHMAdAB1AHIAZQBCAGUAZQBmAF8AQwByAHUAZABlAFAAcgBvAHQAZQBpAG4AQwBvAG4AdABlAG4AdABfAFQAaQB0AGwAZQBcAG4AIAAgAD0ATABBAE0AQgBEAEEAKABcACIAQgBlAGUAZgAgAHAAYQBzAHQAdQByAGUAIABjAGEAdAB0AGwAZQAgAC0AIABDAHIAdQBkAGUAIABwAHIAbwB0AGUAaQBuACAAYwBvAG4AdABlAG4AdAAgAG8AZgAgAGYAZQBlAGQAIABpAG4AdABhAGsAZQAgACgAZgByAGEAYwB0AGkAbwBuACkAIAAoAEMAUABqACkAXAAiACkAOwBcAG4AXABuAFMAbwB1AHIAYwBlAEQAYQB0AGEAXwBQAGEAcwB0AHUAcgBlAEIAZQBlAGYAXwBDAHIAdQBkAGUAUAByAG8AdABlAGkAbgBDAG8AbgB0AGUAbgB0AF8AVgBhAHIAaQBhAGIAbABlAFwAbgAgACAAPQBMAEEATQBCAEQAQQAoAFwAIgBDAFAAagBcACIAKQA7AFwAbgBcAG4AUwBvAHUAcgBjAGUARABhAHQAYQBfAFAAYQBzAHQAdQByAGUAQgBlAGUAZgBfAEMAcgB1AGQAZQBQAHIAbwB0AGUAaQBuAEMAbwBuAHQAZQBuAHQAXwBVAG4AaQB0AFwAbgAgACAAPQBMAEEATQBCAEQAQQAoAFwAIgBmAHIAYQBjAHQAaQBvAG4AXAAiACkAOwBcAG4AXABuAFMAbwB1AHIAYwBlAEQAYQB0AGEAXwBQAGEAcwB0AHUAcgBlAEIAZQBlAGYAXwBDAHIAdQBkAGUAUAByAG8AdABlAGkAbgBDAG8AbgB0AGUAbgB0AF8AUwBvAHUAcgBjAGUAXABuACAAIAA9AEwAQQBNAEIARABBACgAXAAiAFYARQBFAFIARwAgADIAMAAyADYAOgAgAFQAYQBiAGwAZQAgAEEALgAxAC4AMgAuADYAXAAiACkAOwBcAG4AXABuAFMAbwB1AHIAYwBlAEQAYQB0AGEAXwBQAGEAcwB0AHUAcgBlAEIAZQBlAGYAXwBDAHIAdQBkAGUAUAByAG8AdABlAGkAbgBDAG8AbgB0AGUAbgB0AF8AVgBhAHIAaQBhAHQAaQBvAG4AXABuACAAIAA9AEwAQQBNAEIARABBACgAXAAiAFYAQQBSAEkAQQBUAEkATwBOACAATwBOACAAUwBPAFUAUgBDAEUAOgAgAFMAcABsAGkAdAAgAEEAQwBUACAAYQBuAGQAIABOAFMAVwAgAGkAbgB0AG8AIABzAGUAcABhAHIAYQB0AGUAIAByAG8AdwBzAC4AIABEAHUAcABsAGkAYwBhAHQAZQBkACAAUQBMAEQAIABhAG4AZAAgAE4AVAAgAHIAbwB3AHMAIAB3AGkAdABoACAAcgBlAGcAaQBvAG4AcwAgAGYAcgBvAG0AIAB0AGEAYgBsAGUAIABBAC4AMQAuADIALgAyACAAdABvACAAYQBpAGQAIABsAG8AbwBrAHUAcABcACIAKQA7AFwAbgBcAG4AUwBvAHUAcgBjAGUARABhAHQAYQBfAFAAYQBzAHQAdQByAGUAQgBlAGUAZgBfAEMAcgB1AGQAZQBQAHIAbwB0AGUAaQBuAEMAbwBuAHQAZQBuAHQAXwBEAGEAdABhAFwAbgAgACAAPQBMAEEATQBCAEQAQQAoAFwAbgAgACAAIAAgAE0AQQBLAEUAQQBSAFIAQQBZACgAMQA2ACwAIAA2ACwAXABuACAAIAAgACAAIAAgAEwAQQBNAEIARABBACgAcgAsAGMALABcAG4AIAAgACAAIAAgACAAIAAgAEkATgBEAEUAWAAoAHsAXABuACAAIAAgACAAIAAgACAAIAAgACAAXAAiAFMAdABhAHQAZQBcACIALAAgAFwAIgBSAGUAZwBpAG8AbgBcACIALAAgAFwAIgBTAHAAcgBpAG4AZwBcACIALAAgAFwAIgBTAHUAbQBtAGUAcgBcACIALAAgAFwAIgBBAHUAdAB1AG0AbgBcACIALAAgAFwAIgBXAGkAbgB0AGUAcgBcACIAOwBcAG4AIAAgACAAIAAgACAAIAAgACAAIABcACIAQQBDAFQAXAAiACwAIABcACIAbgAvAGEAXAAiACwAIAAwAC4AMAA3ACwAIAAwAC4AMQAzACwAIAAwAC4AMQAsACAAMAAuADAANgA7AFwAbgAgACAAIAAgACAAIAAgACAAIAAgAFwAIgBOAFMAVwBcACIALAAgAFwAIgBuAC8AYQBcACIALAAgADAALgAwADcALAAgADAALgAxADMALAAgADAALgAxACwAIAAwAC4AMAA2ADsAXABuACAAIAAgACAAIAAgACAAIAAgACAAXAAiAE4AVABcACIALAAgAFwAIgBBAGwAaQBjAGUAIABTAHAAcgBpAG4AZwBzAFwAIgAsACAAMAAuADAANQA4ACwAIAAwAC4AMAA5ADIALAAgADAALgAwADcANQAsACAAMAAuADAANQAzADsAXABuACAAIAAgACAAIAAgACAAIAAgACAAXAAiAE4AVABcACIALAAgAFwAIgBCAGEAcgBrAGwAeQBcACIALAAgADAALgAwADUAOAAsACAAMAAuADAAOQAyACwAIAAwAC4AMAA3ADUALAAgADAALgAwADUAMwA7AFwAbgAgACAAIAAgACAAIAAgACAAIAAgAFwAIgBOAFQAXAAiACwAIABcACIATgBvAHIAdABoAGUAcgBuAFwAIgAsACAAMAAuADAANQA4ACwAIAAwAC4AMAA5ADIALAAgADAALgAwADcANQAsACAAMAAuADAANQAzADsAXABuACAAIAAgACAAIAAgACAAIAAgACAAXAAiAFEATABEAFwAIgAsACAAXAAiAEgAaQBnAGgAXAAiACwAIAAwAC4AMAA3ADIALAAgADAALgAwADkAOQAsACAAMAAuADAANwA4ACwAIAAwAC4AMAA1ADkAOwBcAG4AIAAgACAAIAAgACAAIAAgACAAIABcACIAUQBMAEQAXAAiACwAIABcACIATQBvAGQAZQByAGEAdABlAC8ASABpAGcAaABcACIALAAgADAALgAwADcAMgAsACAAMAAuADAAOQA5ACwAIAAwAC4AMAA3ADgALAAgADAALgAwADUAOQA7AFwAbgAgACAAIAAgACAAIAAgACAAIAAgAFwAIgBRAEwARABcACIALAAgAFwAIgBNAG8AZABlAHIAYQB0AGUALwBMAG8AdwBcACIALAAgADAALgAwADcAMgAsACAAMAAuADAAOQA5ACwAIAAwAC4AMAA3ADgALAAgADAALgAwADUAOQA7AFwAbgAgACAAIAAgACAAIAAgACAAIAAgAFwAIgBRAEwARABcACIALAAgAFwAIgBMAG8AdwBcACIALAAgADAALgAwADcAMgAsACAAMAAuADAAOQA5ACwAIAAwAC4AMAA3ADgALAAgADAALgAwADUAOQA7AFwAbgAgACAAIAAgACAAIAAgACAAIAAgAFwAIgBTAEEAXAAiACwAIABcACIAbgAvAGEAXAAiACwAIAAwAC4AMQA2ACwAIAAwAC4AMAA3ACwAIAAwAC4AMAA5ACwAIAAwAC4AMgA7AFwAbgAgACAAIAAgACAAIAAgACAAIAAgAFwAIgBUAEEAUwBcACIALAAgAFwAIgBuAC8AYQBcACIALAAgADAALgAyACwAIAAwAC4AMQAsACAAMAAuADEANgAsACAAMAAuADIAOwBcAG4AIAAgACAAIAAgACAAIAAgACAAIABcACIAVgBJAEMAXAAiACwAIABcACIAbgAvAGEAXAAiACwAIAAwAC4AMgA1ACwAIAAwAC4AMAA3ACwAIAAwAC4AMQAsACAAMAAuADIAMQA7AFwAbgAgACAAIAAgACAAIAAgACAAIAAgAFwAIgBXAEEAXAAiACwAIABcACIAUwBvAHUAdABoACAAVwBlAHMAdABcACIALAAgADAALgAyACwAIAAwAC4AMAA5ACwAIAAwAC4AMAA2ACwAIAAwAC4AMgA7AFwAbgAgACAAIAAgACAAIAAgACAAIAAgAFwAIgBXAEEAXAAiACwAIABcACIAUABpAGwAYgBhAHIAYQBcACIALAAgADAALgAwADQALAAgADAALgAxADIALAAgADAALgAwADkALAAgADAALgAwADYAOwBcAG4AIAAgACAAIAAgACAAIAAgACAAIABcACIAVwBBAFwAIgAsACAAXAAiAEsAaQBtAGIAZQByAGwAZQB5AFwAIgAsACAAMAAuADAANAAsACAAMAAuADEAMgAsACAAMAAuADAAOQAsACAAMAAuADAANgBcAG4AIAAgACAAIAAgACAAIAAgAH0ALAAgAHIALAAgAGMAKQBcAG4AIAAgACAAIAAgACAAKQBcAG4AIAAgACAAIAApAFwAbgAgACAAKQA7AFwAbgBcAG4AXABuAC8AKgAgAFwAbgAtAC0ALQAtAC0ALQAtAC0ALQAtAC0ALQAtAC0ALQAtAC0ALQAtAC0ALQAtAC0ALQAtAC0ALQAtAC0ALQAtAC0ALQAtAC0ALQAtAC0AXABuAFMAbwB1AHIAYwBlAEQAYQB0AGEAXwBQAGEAcwB0AHUAcgBlAEIAZQBlAGYAXwBGAGUAZQBkAEEAZABqAHUAcwB0AG0AZQBuAHQAQQBuAGQATQBpAGwAawBQAHIAbwBkAHUAYwB0AGkAbwBuAFwAbgBUAGEAYgBsAGUAIABBAC4AMQAuADIALgA3ADoAIABCAGUAZQBmACAAcABhAHMAdAB1AHIAZQAgAGMAYQB0AHQAbABlACAALQAgAEYAZQBlAGQAIABpAG4AdABhAGsAZQAgAGEAZABqAHUAcwB0AG0AZQBuAHQAIABhAG4AZAAgAG0AaQBsAGsAIABwAHIAbwBkAHUAYwB0AGkAbwBuACAAKABrAGcALwBoAGUAYQBkAC8AZABhAHkAKQBcAG4ALQAtAC0ALQAtAC0ALQAtAC0ALQAtAC0ALQAtAC0ALQAtAC0ALQAtAC0ALQAtAC0ALQAtAC0ALQAtAC0ALQAtAC0ALQAtAC0ALQAtAFwAbgAqAC8AXABuAFwAbgBTAG8AdQByAGMAZQBEAGEAdABhAF8AUABhAHMAdAB1AHIAZQBCAGUAZQBmAF8ARgBlAGUAZABBAGQAagB1AHMAdABtAGUAbgB0AEEAbgBkAE0AaQBsAGsAUAByAG8AZAB1AGMAdABpAG8AbgBfAFQAaQB0AGwAZQBcAG4AIAAgAD0ATABBAE0AQgBEAEEAKABcACIAQgBlAGUAZgAgAHAAYQBzAHQAdQByAGUAIABjAGEAdAB0AGwAZQAgAC0AIABGAGUAZQBkACAAaQBuAHQAYQBrAGUAIABhAGQAagB1AHMAdABtAGUAbgB0ACAAYQBuAGQAIABtAGkAbABrACAAcAByAG8AZAB1AGMAdABpAG8AbgAgACgAawBnAC8AaABlAGEAZAAvAGQAYQB5ACkAXAAiACkAOwBcAG4AXABuAFMAbwB1AHIAYwBlAEQAYQB0AGEAXwBQAGEAcwB0AHUAcgBlAEIAZQBlAGYAXwBGAGUAZQBkAEEAZABqAHUAcwB0AG0AZQBuAHQAQQBuAGQATQBpAGwAawBQAHIAbwBkAHUAYwB0AGkAbwBuAF8AVgBhAHIAaQBhAGIAbABlAFwAbgAgACAAPQBMAEEATQBCAEQAQQAoAFwAIgBNAEMAagBrAD0AMQAsADMALAA2ADsAIABEAE0AUABqAGsAPQA1AFwAIgApADsAXABuAFwAbgBTAG8AdQByAGMAZQBEAGEAdABhAF8AUABhAHMAdAB1AHIAZQBCAGUAZQBmAF8ARgBlAGUAZABBAGQAagB1AHMAdABtAGUAbgB0AEEAbgBkAE0AaQBsAGsAUAByAG8AZAB1AGMAdABpAG8AbgBfAFUAbgBpAHQAXABuACAAIAA9AEwAQQBNAEIARABBACgAXAAiAFwAIgApADsAXABuAFwAbgBTAG8AdQByAGMAZQBEAGEAdABhAF8AUABhAHMAdAB1AHIAZQBCAGUAZQBmAF8ARgBlAGUAZABBAGQAagB1AHMAdABtAGUAbgB0AEEAbgBkAE0AaQBsAGsAUAByAG8AZAB1AGMAdABpAG8AbgBfAFMAbwB1AHIAYwBlAFwAbgAgACAAPQBMAEEATQBCAEQAQQAoAFwAIgBWAEUARQBSAEcAIAAyADAAMgA2ADoAIABUAGEAYgBsAGUAIABBAC4AMQAuADIALgA3AFwAIgApADsAXABuAFwAbgBTAG8AdQByAGMAZQBEAGEAdABhAF8AUABhAHMAdAB1AHIAZQBCAGUAZQBmAF8ARgBlAGUAZABBAGQAagB1AHMAdABtAGUAbgB0AEEAbgBkAE0AaQBsAGsAUAByAG8AZAB1AGMAdABpAG8AbgBfAFYAYQByAGkAYQB0AGkAbwBuAFwAbgAgACAAPQBMAEEATQBCAEQAQQAoAFwAIgBcACIAKQA7AFwAbgBcAG4AUwBvAHUAcgBjAGUARABhAHQAYQBfAFAAYQBzAHQAdQByAGUAQgBlAGUAZgBfAEYAZQBlAGQAQQBkAGoAdQBzAHQAbQBlAG4AdABBAG4AZABNAGkAbABrAFAAcgBvAGQAdQBjAHQAaQBvAG4AXwBEAGEAdABhAFwAbgAgACAAPQBMAEEATQBCAEQAQQAoAFwAbgAgACAAIAAgAE0AQQBLAEUAQQBSAFIAQQBZACgAOQAsACAANAAsAFwAbgAgACAAIAAgACAAIABMAEEATQBCAEQAQQAoAHIALABjACwAXABuACAAIAAgACAAIAAgACAAIABJAE4ARABFAFgAKAB7AFwAbgAgACAAIAAgACAAIAAgACAAIAAgAFwAIgBCAHIAZQBlAGQAXAAiACwAIABcACIAUwBlAGEAcwBvAG4AXAAiACwAIABcACIARgBlAGUAZAAgAGEAZABqAHUAcwB0AG0AZQBuAHQAIAAoAE0AQwBqAGsAPQAxACwAMwAsADYAKQBcACIALAAgAFwAIgBNAGkAbABrACAAaQBuAHQAYQBrAGUAIAAvACAAcAByAG8AZAB1AGMAdABpAG8AbgAgACgARABNAFAAagBrAD0ANQApAFwAIgA7AFwAbgAgACAAIAAgACAAIAAgACAAIAAgAFwAIgBIAGUAcgBlAGYAbwByAGQAIABvAHIAIABTAGgAbwByAHQAaABvAHIAbgAgAGIAcgBlAGUAZABzAFwAIgAsACAAXAAiAFMAcAByAGkAbgBnAFwAIgAsACAAMQAuADMALAAgADYAOwBcAG4AIAAgACAAIAAgACAAIAAgACAAIABcACIASABlAHIAZQBmAG8AcgBkACAAbwByACAAUwBoAG8AcgB0AGgAbwByAG4AIABiAHIAZQBlAGQAcwBcACIALAAgAFwAIgBTAHUAbQBtAGUAcgBcACIALAAgADEALgAxACwAIAA0ADsAXABuACAAIAAgACAAIAAgACAAIAAgACAAXAAiAEgAZQByAGUAZgBvAHIAZAAgAG8AcgAgAFMAaABvAHIAdABoAG8AcgBuACAAYgByAGUAZQBkAHMAXAAiACwAIABcACIAQQB1AHQAdQBtAG4AXAAiACwAIAAwACwAIAAwADsAXABuACAAIAAgACAAIAAgACAAIAAgACAAXAAiAEgAZQByAGUAZgBvAHIAZAAgAG8AcgAgAFMAaABvAHIAdABoAG8AcgBuACAAYgByAGUAZQBkAHMAXAAiACwAIABcACIAVwBpAG4AdABlAHIAXAAiACwAIAAwACwAIAAwADsAXABuACAAIAAgACAAIAAgACAAIAAgACAAXAAiAE4AbwByAHQAaABlAHIAbgAgAEIAcgBhAGgAbQBhAG4AIABjAHIAbwBzAHMAIABiAHIAZQBlAGQAXAAiACwAIABcACIAUwBwAHIAaQBuAGcAXAAiACwAIAAwACwAIAAwADsAXABuACAAIAAgACAAIAAgACAAIAAgACAAXAAiAE4AbwByAHQAaABlAHIAbgAgAEIAcgBhAGgAbQBhAG4AIABjAHIAbwBzAHMAIABiAHIAZQBlAGQAXAAiACwAIABcACIAUwB1AG0AbQBlAHIAXAAiACwAIAAxAC4AMwAsACAANAA7AFwAbgAgACAAIAAgACAAIAAgACAAIAAgAFwAIgBOAG8AcgB0AGgAZQByAG4AIABCAHIAYQBoAG0AYQBuACAAYwByAG8AcwBzACAAYgByAGUAZQBkAFwAIgAsACAAXAAiAEEAdQB0AHUAbQBuAFwAIgAsACAAMQAuADEALAAgADMAOwBcAG4AIAAgACAAIAAgACAAIAAgACAAIABcACIATgBvAHIAdABoAGUAcgBuACAAQgByAGEAaABtAGEAbgAgAGMAcgBvAHMAcwAgAGIAcgBlAGUAZABcACIALAAgAFwAIgBXAGkAbgB0AGUAcgBcACIALAAgADAALAAgADAAXABuACAAIAAgACAAIAAgACAAIAB9ACwAIAByACwAIABjACkAXABuACAAIAAgACAAIAAgACkAXABuACAAIAAgACAAKQBcAG4AIAAgACkAOwBcAG4AXABuAC8AKgAgAFwAbgAtAC0ALQAtAC0ALQAtAC0ALQAtAC0ALQAtAC0ALQAtAC0ALQAtAC0ALQAtAC0ALQAtAC0ALQAtAC0ALQAtAC0ALQAtAC0ALQAtAC0AXABuAFMAbwB1AHIAYwBlAEQAYQB0AGEAXwBQAGEAcwB0AHUAcgBlAEIAZQBlAGYAXwBTAHQAYQBuAGQAYQByAGQAUgBlAGYAZQByAGUAbgBjAGUAVwBlAGkAZwBoAHQAcwBcAG4AVABhAGIAbABlACAAQQAuADEALgAyAC4AOAA6ACAAQgBlAGUAZgAgAHAAYQBzAHQAdQByAGUAIABjAGEAdAB0AGwAZQAgAC0AIABTAHQAYQBuAGQAYQByAGQAIAByAGUAZgBlAHIAZQBuAGMAZQAgAHcAZQBpAGcAaAB0AHMAIAAoAGsAZwApACAAKABTAFIAVwBrACkAXABuAC0ALQAtAC0ALQAtAC0ALQAtAC0ALQAtAC0ALQAtAC0ALQAtAC0ALQAtAC0ALQAtAC0ALQAtAC0ALQAtAC0ALQAtAC0ALQAtAC0ALQBcAG4AKgAvAFwAbgBcAG4AUwBvAHUAcgBjAGUARABhAHQAYQBfAFAAYQBzAHQAdQByAGUAQgBlAGUAZgBfAFMAdABhAG4AZABhAHIAZABSAGUAZgBlAHIAZQBuAGMAZQBXAGUAaQBnAGgAdABzAF8AVABpAHQAbABlAFwAbgAgACAAPQBMAEEATQBCAEQAQQAoAFwAIgBCAGUAZQBmACAAcABhAHMAdAB1AHIAZQAgAGMAYQB0AHQAbABlACAALQAgAFMAdABhAG4AZABhAHIAZAAgAHIAZQBmAGUAcgBlAG4AYwBlACAAdwBlAGkAZwBoAHQAcwAgACgAawBnACkAIAAoAFMAUgBXAGsAKQBcACIAKQA7AFwAbgBcAG4AUwBvAHUAcgBjAGUARABhAHQAYQBfAFAAYQBzAHQAdQByAGUAQgBlAGUAZgBfAFMAdABhAG4AZABhAHIAZABSAGUAZgBlAHIAZQBuAGMAZQBXAGUAaQBnAGgAdABzAF8AVgBhAHIAaQBhAGIAbABlAFwAbgAgACAAPQBMAEEATQBCAEQAQQAoAFwAIgBTAFIAVwBrAFwAIgApADsAXABuAFwAbgBTAG8AdQByAGMAZQBEAGEAdABhAF8AUABhAHMAdAB1AHIAZQBCAGUAZQBmAF8AUwB0AGEAbgBkAGEAcgBkAFIAZQBmAGUAcgBlAG4AYwBlAFcAZQBpAGcAaAB0AHMAXwBVAG4AaQB0AFwAbgAgACAAPQBMAEEATQBCAEQAQQAoAFwAIgBrAGcAXAAiACkAOwBcAG4AXABuAFMAbwB1AHIAYwBlAEQAYQB0AGEAXwBQAGEAcwB0AHUAcgBlAEIAZQBlAGYAXwBTAHQAYQBuAGQAYQByAGQAUgBlAGYAZQByAGUAbgBjAGUAVwBlAGkAZwBoAHQAcwBfAFMAbwB1AHIAYwBlAFwAbgAgACAAPQBMAEEATQBCAEQAQQAoAFwAIgBWAEUARQBSAEcAIAAyADAAMgA2ADoAIABUAGEAYgBsAGUAIABBAC4AMQAuADIALgA4AFwAIgApADsAXABuAFwAbgBTAG8AdQByAGMAZQBEAGEAdABhAF8AUABhAHMAdAB1AHIAZQBCAGUAZQBmAF8AUwB0AGEAbgBkAGEAcgBkAFIAZQBmAGUAcgBlAG4AYwBlAFcAZQBpAGcAaAB0AHMAXwBWAGEAcgBpAGEAdABpAG8AbgBcAG4AIAAgAD0ATABBAE0AQgBEAEEAKABcACIAVgBBAFIASQBBAFQASQBPAE4AIABPAE4AIABTAE8AVQBSAEMARQA6ACAAUwBwAGwAaQB0ACAAQQBDAFQAIABhAG4AZAAgAE4AUwBXACAAaQBuAHQAbwAgAHMAZQBwAGEAcgBhAHQAZQAgAHIAbwB3AHMALgAgAEEAZABkAGUAZAAgAFwAdQAwADAAMgA3AFMAdABhAHQAZQAgAGEAYgBiAHIAZQB2AGkAYQB0AGkAbwBuAFwAdQAwADAAMgA3ACAAYwBvAGwAdQBtAG4AIAB0AG8AIABhAGkAZAAgAGwAbwBvAGsAdQBwAC4AXAAiACkAOwBcAG4AXABuAFMAbwB1AHIAYwBlAEQAYQB0AGEAXwBQAGEAcwB0AHUAcgBlAEIAZQBlAGYAXwBTAHQAYQBuAGQAYQByAGQAUgBlAGYAZQByAGUAbgBjAGUAVwBlAGkAZwBoAHQAcwBfAEQAYQB0AGEAXABuACAAIAA9AEwAQQBNAEIARABBACgAXABuACAAIAAgACAATQBBAEsARQBBAFIAUgBBAFkAKAA5ACwAIAA5ACwAXABuACAAIAAgACAAIAAgAEwAQQBNAEIARABBACgAcgAsAGMALABcAG4AIAAgACAAIAAgACAAIAAgAEkATgBEAEUAWAAoAHsAXABuACAAIAAgACAAIAAgACAAIAAgACAAXAAiAFMAdABhAHQAZQBcACIALAAgAFwAIgBCAHUAbABsAHMAIABcAHUAMAAwADMAYwAxAFwAIgAsACAAXAAiAEIAdQBsAGwAcwAgAFwAdQAwADAAMwBlADEAXAAiACwAIABcACIAQwBvAHcAcwAgAFwAdQAwADAAMwBjADEAXAAiACwAIABcACIAQwBvAHcAcwAgADEALQAyAFwAIgAsACAAXAAiAEMAbwB3AHMAIABcAHUAMAAwADMAZQAyAFwAIgAsACAAXAAiAFMAdABlAGUAcgAgAFwAdQAwADAAMwBjADEAXAAiACwAIABcACIAUwB0AGUAZQByACAAXAB1ADAAMAAzAGUAMQBcACIALAAgAFwAIgBTAHQAYQB0AGUAIABhAGIAYgByAGUAdgBpAGEAdABpAG8AbgBcACIAOwBcAG4AIAAgACAAIAAgACAAIAAgACAAIABcACIAQQBDAFQAXAAiACwAIAA3ADAAMAAsACAANwAwADAALAAgADUAMAAwACwAIAA1ADAAMAAsACAANQAwADAALAAgADYAMAAwACwAIAA2ADAAMAAsACAAXAAiAEEAQwBUAFwAIgA7AFwAbgAgACAAIAAgACAAIAAgACAAIAAgAFwAIgBOAFMAVwBcACIALAAgADcAMAAwACwAIAA3ADAAMAAsACAANQAwADAALAAgADUAMAAwACwAIAA1ADAAMAAsACAANgAwADAALAAgADYAMAAwACwAIABcACIATgBTAFcAXAAiADsAXABuACAAIAAgACAAIAAgACAAIAAgACAAXAAiAE4AbwByAHQAaABlAHIAbgAgAFQAZQByAHIAaQB0AG8AcgB5AFwAIgAsACAANwA3ADAALAAgADcANwAwACwAIAA1ADUAMAAsACAANQA1ADAALAAgADUANQAwACwAIAA2ADYAMAAsACAANgA2ADAALAAgAFwAIgBOAFQAXAAiADsAXABuACAAIAAgACAAIAAgACAAIAAgACAAXAAiAFEAdQBlAGUAbgBzAGwAYQBuAGQAXAAiACwAIAA3ADcAMAAsACAANwA3ADAALAAgADUANQAwACwAIAA1ADUAMAAsACAANQA1ADAALAAgADYANgAwACwAIAA2ADYAMAAsACAAXAAiAFEATABEAFwAIgA7AFwAbgAgACAAIAAgACAAIAAgACAAIAAgAFwAIgBTAG8AdQB0AGgAIABBAHUAcwB0AHIAYQBsAGkAYQBcACIALAAgADcANwAwACwAIAA3ADcAMAAsACAANQA1ADAALAAgADUANQAwACwAIAA1ADUAMAAsACAANgA2ADAALAAgADYANgAwACwAIABcACIAUwBBAFwAIgA7AFwAbgAgACAAIAAgACAAIAAgACAAIAAgAFwAIgBUAGEAcwBtAGEAbgBpAGEAXAAiACwAIAA3ADcAMAAsACAANwA3ADAALAAgADUANQAwACwAIAA1ADUAMAAsACAANQA1ADAALAAgADYANgAwACwAIAA2ADYAMAAsACAAXAAiAFQAQQBTAFwAIgA7AFwAbgAgACAAIAAgACAAIAAgACAAIAAgAFwAIgBWAGkAYwB0AG8AcgBpAGEAXAAiACwAIAA3ADcAMAAsACAANwA3ADAALAAgADUANQAwACwAIAA1ADUAMAAsACAANQA1ADAALAAgADYANgAwACwAIAA2ADYAMAAsACAAXAAiAFYASQBDAFwAIgA7AFwAbgAgACAAIAAgACAAIAAgACAAIAAgAFwAIgBXAGUAcwB0AGUAcgBuACAAQQB1AHMAdAByAGEAbABpAGEAXAAiACwAIAA3ADcAMAAsACAANwA3ADAALAAgADUANQAwACwAIAA1ADUAMAAsACAANQA1ADAALAAgADYANgAwACwAIAA2ADYAMAAsACAAXAAiAFcAQQBcACIAXABuACAAIAAgACAAIAAgACAAIAB9ACwAIAByACwAIABjACkAXABuACAAIAAgACAAIAAgACkAXABuACAAIAAgACAAKQBcAG4AIAAgACkAOwBcAG4AXABuAC8AKgAgAFwAbgAtAC0ALQAtAC0ALQAtAC0ALQAtAC0ALQAtAC0ALQAtAC0ALQAtAC0ALQAtAC0ALQAtAC0ALQAtAC0ALQAtAC0ALQAtAC0ALQAtAC0AXABuAFMAbwB1AHIAYwBlAEQAYQB0AGEAXwBQAGEAcwB0AHUAcgBlAEIAZQBlAGYAXwBGAHIAYQBjAHQAaQBvAG4ATwBmAE0AYQBuAHUAcgBlAFQAbwBNAE0AUwBcAG4AVABhAGIAbABlACAAQQAuADEALgAyAC4AOQA6ACAAQgBlAGUAZgAgAHAAYQBzAHQAdQByAGUAIABjAGEAdAB0AGwAZQAgAC0AIABGAHIAYQBjAHQAaQBvAG4AIABvAGYAIABtAGEAbgB1AHIAZQAgAHQAbwAgAGUAYQBjAGgAIABtAGEAbgB1AHIAZQAgAG0AYQBuAGEAZwBlAG0AZQBuAHQAIABzAHkAcwB0AGUAbQAgACgAZgByAGEAYwB0AGkAbwBuACkAIAAoAE0ATQBTAG0AKQBcAG4ALQAtAC0ALQAtAC0ALQAtAC0ALQAtAC0ALQAtAC0ALQAtAC0ALQAtAC0ALQAtAC0ALQAtAC0ALQAtAC0ALQAtAC0ALQAtAC0ALQAtAFwAbgAqAC8AXABuAFwAbgBTAG8AdQByAGMAZQBEAGEAdABhAF8AUABhAHMAdAB1AHIAZQBCAGUAZQBmAF8ARgByAGEAYwB0AGkAbwBuAE8AZgBNAGEAbgB1AHIAZQBUAG8ATQBNAFMAXwBUAGkAdABsAGUAXABuACAAIAA9AEwAQQBNAEIARABBACgAXAAiAEIAZQBlAGYAIABwAGEAcwB0AHUAcgBlACAAYwBhAHQAdABsAGUAIAAtACAARgByAGEAYwB0AGkAbwBuACAAbwBmACAAbQBhAG4AdQByAGUAIAB0AG8AIABlAGEAYwBoACAAbQBhAG4AdQByAGUAIABtAGEAbgBhAGcAZQBtAGUAbgB0ACAAcwB5AHMAdABlAG0AIAAoAGYAcgBhAGMAdABpAG8AbgApACAAKABNAE0AUwBtACkAXAAiACkAOwBcAG4AXABuAFMAbwB1AHIAYwBlAEQAYQB0AGEAXwBQAGEAcwB0AHUAcgBlAEIAZQBlAGYAXwBGAHIAYQBjAHQAaQBvAG4ATwBmAE0AYQBuAHUAcgBlAFQAbwBNAE0AUwBfAFYAYQByAGkAYQBiAGwAZQBcAG4AIAAgAD0ATABBAE0AQgBEAEEAKABcACIATQBNAFMAbQBcACIAKQA7AFwAbgBcAG4AUwBvAHUAcgBjAGUARABhAHQAYQBfAFAAYQBzAHQAdQByAGUAQgBlAGUAZgBfAEYAcgBhAGMAdABpAG8AbgBPAGYATQBhAG4AdQByAGUAVABvAE0ATQBTAF8AVQBuAGkAdABcAG4AIAAgAD0ATABBAE0AQgBEAEEAKABcACIAZgByAGEAYwB0AGkAbwBuAFwAIgApADsAXABuAFwAbgBTAG8AdQByAGMAZQBEAGEAdABhAF8AUABhAHMAdAB1AHIAZQBCAGUAZQBmAF8ARgByAGEAYwB0AGkAbwBuAE8AZgBNAGEAbgB1AHIAZQBUAG8ATQBNAFMAXwBTAG8AdQByAGMAZQBcAG4AIAAgAD0ATABBAE0AQgBEAEEAKABcACIAVgBFAEUAUgBHACAAMgAwADIANgA6ACAAVABhAGIAbABlACAAQQAuADEALgAyAC4AOQBcACIAKQA7AFwAbgBcAG4AUwBvAHUAcgBjAGUARABhAHQAYQBfAFAAYQBzAHQAdQByAGUAQgBlAGUAZgBfAEYAcgBhAGMAdABpAG8AbgBPAGYATQBhAG4AdQByAGUAVABvAE0ATQBTAF8AVgBhAHIAaQBhAHQAaQBvAG4AXABuACAAIAA9AEwAQQBNAEIARABBACgAXAAiAFYAQQBSAEkAQQBUAEkATwBOACAATwBOACAAUwBPAFUAUgBDAEUAOgAgAFIAZQBtAG8AdgBlAGQAIABjAG8AbQBtAGEAIABmAHIAbwBtACAAXAB1ADAAMAAyADcAUABhAHMAdAB1AHIAZQAgAHIAYQBuAGcAZQAgAGEAbgBkACAAcABhAGQAZABvAGMAawBcAHUAMAAwADIANwAgAHQAbwAgAGEAaQBkACAAbABvAG8AawB1AHAAXAAiACkAOwBcAG4AXABuAFMAbwB1AHIAYwBlAEQAYQB0AGEAXwBQAGEAcwB0AHUAcgBlAEIAZQBlAGYAXwBGAHIAYQBjAHQAaQBvAG4ATwBmAE0AYQBuAHUAcgBlAFQAbwBNAE0AUwBfAEQAYQB0AGEAXABuACAAIAA9AEwAQQBNAEIARABBACgAXABuACAAIAAgACAATQBBAEsARQBBAFIAUgBBAFkAKAAxADYALAAgADQALABcAG4AIAAgACAAIAAgACAATABBAE0AQgBEAEEAKAByACwAYwAsAFwAbgAgACAAIAAgACAAIAAgACAASQBOAEQARQBYACgAewBcAG4AIAAgACAAIAAgACAAIAAgACAAIABcACIAUwB0AGEAdABlAFwAIgAsACAAXAAiAFIAZQBnAGkAbwBuAFwAIgAsACAAXAAiAFAAYQBzAHQAdQByAGUAIAByAGEAbgBnAGUAIABhAG4AZAAgAHAAYQBkAGQAbwBjAGsAXAAiACwAIABcACIAVQBuAGMAbwB2AGUAcgBlAGQAIABBAG4AYQBlAHIAbwBiAGkAYwAgAGwAYQBnAG8AbwBuAFwAIgA7AFwAbgAgACAAIAAgACAAIAAgACAAIAAgAFwAIgBBAEMAVABcACIALAAgAFwAIgBuAC8AYQBcACIALAAgADkAOQAuADEAOQAyACwAIAAwAC4AOAAwADgAOwBcAG4AIAAgACAAIAAgACAAIAAgACAAIABcACIATgBTAFcAXAAiACwAIABcACIAbgAvAGEAXAAiACwAIAA5ADkALgA0ADUAMgAsACAAMAAuADUANAA4ADsAXABuACAAIAAgACAAIAAgACAAIAAgACAAXAAiAFMAQQBcACIALAAgAFwAIgBuAC8AYQBcACIALAAgADkAOQAuADcANQA5ACwAIAAwAC4AMgA0ADEAOwBcAG4AIAAgACAAIAAgACAAIAAgACAAIABcACIAVABBAFMAXAAiACwAIABcACIAbgAvAGEAXAAiACwAIAA5ADkALgAxADIAMgAsACAAMAAuADgANwA4ADsAXABuACAAIAAgACAAIAAgACAAIAAgACAAXAAiAFYASQBDAFwAIgAsACAAXAAiAG4ALwBhAFwAIgAsACAAOQA4AC4AOAA5ADQALAAgADEALgAxADAANgA7AFwAbgAgACAAIAAgACAAIAAgACAAIAAgAFwAIgBXAEEAXAAiACwAIABcACIAUwBvAHUAdABoACAAVwBlAHMAdABcACIALAAgADkAOQAuADYAMgAyACwAIAAwAC4AMwA3ADgAOwBcAG4AIAAgACAAIAAgACAAIAAgACAAIABcACIAVwBBAFwAIgAsACAAXAAiAFAAaQBsAGIAYQByAGEAXAAiACwAIAA5ADkALgA5ADkAOQAsACAAMAAuADAAMAAxADsAXABuACAAIAAgACAAIAAgACAAIAAgACAAXAAiAFcAQQBcACIALAAgAFwAIgBLAGkAbQBiAGUAcgBsAGUAeQBcACIALAAgADkAOQAuADkAOQA5ACwAIAAwAC4AMAAwADEAOwBcAG4AIAAgACAAIAAgACAAIAAgACAAIABcACIATgBUAFwAIgAsACAAXAAiAEEAbABpAGMAZQAgAFMAcAByAGkAbgBnAHMAXAAiACwAIAA5ADkALgA5ADkAOQAsACAAMAAuADAAMAAxADsAXABuACAAIAAgACAAIAAgACAAIAAgACAAXAAiAE4AVABcACIALAAgAFwAIgBCAGEAcgBrAGwAeQBcACIALAAgADkAOQAuADkAOQA0ACwAIAAwAC4AMAAwADYAOwBcAG4AIAAgACAAIAAgACAAIAAgACAAIABcACIATgBUAFwAIgAsACAAXAAiAE4AbwByAHQAaABlAHIAbgBcACIALAAgADkAOQAuADkAOQA5ACwAIAAwAC4AMAAwADEAOwBcAG4AIAAgACAAIAAgACAAIAAgACAAIABcACIAUQBMAEQAXAAiACwAIABcACIASABpAGcAaABcACIALAAgADkAOQAuADcANwAzACwAIAAwAC4AMgAyADcAOwBcAG4AIAAgACAAIAAgACAAIAAgACAAIABcACIAUQBMAEQAXAAiACwAIABcACIATQBvAGQAZQByAGEAdABlAC8ASABpAGcAaABcACIALAAgADkAOQAuADgAOQA4ACwAIAAwAC4AMQAwADIAOwBcAG4AIAAgACAAIAAgACAAIAAgACAAIABcACIAUQBMAEQAXAAiACwAIABcACIATQBvAGQAZQByAGEAdABlAC8ATABvAHcAXAAiACwAIAA5ADkALgA5ADcAOQAsACAAMAAuADAAMgAxADsAXABuACAAIAAgACAAIAAgACAAIAAgACAAXAAiAFEATABEAFwAIgAsACAAXAAiAEwAbwB3AFwAIgAsACAAOQA5AC4AOQA3ADcALAAgADAALgAwADIAMwBcAG4AIAAgACAAIAAgACAAIAAgAH0ALAAgAHIALAAgAGMAKQBcAG4AIAAgACAAIAAgACAAKQBcAG4AIAAgACAAIAApAFwAbgAgACAAKQA7AFwAbgBcAG4ALwAqACAAXABuAC0ALQAtAC0ALQAtAC0ALQAtAC0ALQAtAC0ALQAtAC0ALQAtAC0ALQAtAC0ALQAtAC0ALQAtAC0ALQAtAC0ALQAtAC0ALQAtAC0ALQBcAG4AUwBvAHUAcgBjAGUARABhAHQAYQBfAFAAYQBzAHQAdQByAGUAQgBlAGUAZgBfAE0AZQB0AGgAYQBuAGUAQwBvAG4AdgBlAHIAcwBpAG8AbgBGAGEAYwB0AG8AcgBQAGUAcgBSAGUAZwBpAG8AbgBcAG4AVABhAGIAbABlACAAQQAuADEALgAyAC4AMQAwADoAIABCAGUAZQBmACAAcABhAHMAdAB1AHIAZQAgAGMAYQB0AHQAbABlACAALQAgAE0AZQB0AGgAYQBuAGUAIABjAG8AbgB2AGUAcgBzAGkAbwBuACAAZgBhAGMAdABvAHIAIABwAGUAcgAgAHIAZQBnAGkAbwBuACAAKABmAHIAYQBjAHQAaQBvAG4AKQAgACgATQBDAEYAaQBtACkAXABuAC0ALQAtAC0ALQAtAC0ALQAtAC0ALQAtAC0ALQAtAC0ALQAtAC0ALQAtAC0ALQAtAC0ALQAtAC0ALQAtAC0ALQAtAC0ALQAtAC0ALQBcAG4AKgAvAFwAbgBcAG4AUwBvAHUAcgBjAGUARABhAHQAYQBfAFAAYQBzAHQAdQByAGUAQgBlAGUAZgBfAE0AZQB0AGgAYQBuAGUAQwBvAG4AdgBlAHIAcwBpAG8AbgBGAGEAYwB0AG8AcgBQAGUAcgBSAGUAZwBpAG8AbgBfAFQAaQB0AGwAZQBcAG4AIAAgAD0ATABBAE0AQgBEAEEAKABcACIAQgBlAGUAZgAgAHAAYQBzAHQAdQByAGUAIABjAGEAdAB0AGwAZQAgAC0AIABNAGUAdABoAGEAbgBlACAAYwBvAG4AdgBlAHIAcwBpAG8AbgAgAGYAYQBjAHQAbwByACAAcABlAHIAIAByAGUAZwBpAG8AbgAgACgAZgByAGEAYwB0AGkAbwBuACkAIAAoAE0AQwBGAGkAbQApAFwAIgApADsAXABuAFwAbgBTAG8AdQByAGMAZQBEAGEAdABhAF8AUABhAHMAdAB1AHIAZQBCAGUAZQBmAF8ATQBlAHQAaABhAG4AZQBDAG8AbgB2AGUAcgBzAGkAbwBuAEYAYQBjAHQAbwByAFAAZQByAFIAZQBnAGkAbwBuAF8AVgBhAHIAaQBhAGIAbABlAFwAbgAgACAAPQBMAEEATQBCAEQAQQAoAFwAIgBNAEMARgBpAG0AXAAiACkAOwBcAG4AXABuAFMAbwB1AHIAYwBlAEQAYQB0AGEAXwBQAGEAcwB0AHUAcgBlAEIAZQBlAGYAXwBNAGUAdABoAGEAbgBlAEMAbwBuAHYAZQByAHMAaQBvAG4ARgBhAGMAdABvAHIAUABlAHIAUgBlAGcAaQBvAG4AXwBVAG4AaQB0AFwAbgAgACAAPQBMAEEATQBCAEQAQQAoAFwAIgBmAHIAYQBjAHQAaQBvAG4AXAAiACkAOwBcAG4AXABuAFMAbwB1AHIAYwBlAEQAYQB0AGEAXwBQAGEAcwB0AHUAcgBlAEIAZQBlAGYAXwBNAGUAdABoAGEAbgBlAEMAbwBuAHYAZQByAHMAaQBvAG4ARgBhAGMAdABvAHIAUABlAHIAUgBlAGcAaQBvAG4AXwBTAG8AdQByAGMAZQBcAG4AIAAgAD0ATABBAE0AQgBEAEEAKABcACIAVgBFAEUAUgBHACAAMgAwADIANgA6ACAAVABhAGIAbABlACAAQQAuADEALgAyAC4AMQAwAFwAIgApADsAXABuAFwAbgBTAG8AdQByAGMAZQBEAGEAdABhAF8AUABhAHMAdAB1AHIAZQBCAGUAZQBmAF8ATQBlAHQAaABhAG4AZQBDAG8AbgB2AGUAcgBzAGkAbwBuAEYAYQBjAHQAbwByAFAAZQByAFIAZQBnAGkAbwBuAF8AVgBhAHIAaQBhAHQAaQBvAG4AXABuACAAIAA9AEwAQQBNAEIARABBACgAXAAiAFYAQQBSAEkAQQBUAEkATwBOACAATwBOACAAUwBPAFUAUgBDAEUAOgAgAFIAZQBtAG8AdgBlAGQAIABjAG8AbQBtAGEAIABmAHIAbwBtACAAXAB1ADAAMAAyADcAUABhAHMAdAB1AHIAZQAgAHIAYQBuAGcAZQAgAGEAbgBkACAAcABhAGQAZABvAGMAawBcAHUAMAAwADIANwAgAHQAbwAgAGEAaQBkACAAbABvAG8AawB1AHAAXAAiACkAOwBcAG4AXABuAFMAbwB1AHIAYwBlAEQAYQB0AGEAXwBQAGEAcwB0AHUAcgBlAEIAZQBlAGYAXwBNAGUAdABoAGEAbgBlAEMAbwBuAHYAZQByAHMAaQBvAG4ARgBhAGMAdABvAHIAUABlAHIAUgBlAGcAaQBvAG4AXwBEAGEAdABhAFwAbgAgACAAPQBMAEEATQBCAEQAQQAoAFwAbgAgACAAIAAgAE0AQQBLAEUAQQBSAFIAQQBZACgAMQA2ACwAIAA0ACwAXABuACAAIAAgACAAIAAgAEwAQQBNAEIARABBACgAcgAsAGMALABcAG4AIAAgACAAIAAgACAAIAAgAEkATgBEAEUAWAAoAHsAXABuACAAIAAgACAAIAAgACAAIAAgACAAXAAiAFMAdABhAHQAZQBcACIALAAgAFwAIgBSAGUAZwBpAG8AbgBcACIALAAgAFwAIgBQAGEAcwB0AHUAcgBlACAAcgBhAG4AZwBlACAAYQBuAGQAIABwAGEAZABkAG8AYwBrAFwAIgAsACAAXAAiAFUAbgBjAG8AdgBlAHIAZQBkACAAQQBuAGEAZQByAG8AYgBpAGMAIABsAGEAZwBvAG8AbgBcACIAOwBcAG4AIAAgACAAIAAgACAAIAAgACAAIABcACIAQQBDAFQAXAAiACwAIABcACIAbgAvAGEAXAAiACwAIAAwAC4AMAAwADQANwAsACAAMAAuADcAMQA7AFwAbgAgACAAIAAgACAAIAAgACAAIAAgAFwAIgBOAFMAVwBcACIALAAgAFwAIgBuAC8AYQBcACIALAAgADAALgAwADAANAA3ACwAIAAwAC4ANwA1ADsAXABuACAAIAAgACAAIAAgACAAIAAgACAAXAAiAFMAQQBcACIALAAgAFwAIgBuAC8AYQBcACIALAAgADAALgAwADAANAA3ACwAIAAwAC4ANwA0ADsAXABuACAAIAAgACAAIAAgACAAIAAgACAAXAAiAFQAQQBTAFwAIgAsACAAXAAiAG4ALwBhAFwAIgAsACAAMAAuADAAMAA0ADcALAAgADAALgA3ADsAXABuACAAIAAgACAAIAAgACAAIAAgACAAXAAiAFYASQBDAFwAIgAsACAAXAAiAG4ALwBhAFwAIgAsACAAMAAuADAAMAA0ADcALAAgADAALgA3ADQAOwBcAG4AIAAgACAAIAAgACAAIAAgACAAIABcACIAVwBBAFwAIgAsACAAXAAiAFMAbwB1AHQAaAAgAFcAZQBzAHQAXAAiACwAIAAwAC4AMAAwADQANwAsACAAMAAuADcANgA7AFwAbgAgACAAIAAgACAAIAAgACAAIAAgAFwAIgBXAEEAXAAiACwAIABcACIAUABpAGwAYgBhAHIAYQBcACIALAAgADAALgAwADAANAA3ACwAIAAwAC4ANwA2ADsAXABuACAAIAAgACAAIAAgACAAIAAgACAAXAAiAFcAQQBcACIALAAgAFwAIgBLAGkAbQBiAGUAcgBsAGUAeQBcACIALAAgADAALgAwADAANAA3ACwAIAAwAC4ANwA2ADsAXABuACAAIAAgACAAIAAgACAAIAAgACAAXAAiAE4AVABcACIALAAgAFwAIgBBAGwAaQBjAGUAIABTAHAAcgBpAG4AZwBzAFwAIgAsACAAMAAuADAAMAA0ADcALAAgADAALgA4ADsAXABuACAAIAAgACAAIAAgACAAIAAgACAAXAAiAE4AVABcACIALAAgAFwAIgBCAGEAcgBrAGwAeQBcACIALAAgADAALgAwADAANAA3ACwAIAAwAC4AOAA7AFwAbgAgACAAIAAgACAAIAAgACAAIAAgAFwAIgBOAFQAXAAiACwAIABcACIATgBvAHIAdABoAGUAcgBuAFwAIgAsACAAMAAuADAAMAA0ADcALAAgADAALgA4ADsAXABuACAAIAAgACAAIAAgACAAIAAgACAAXAAiAFEATABEAFwAIgAsACAAXAAiAEgAaQBnAGgAXAAiACwAIAAwAC4AMAAwADQANwAsACAAMAAuADcAOAA7AFwAbgAgACAAIAAgACAAIAAgACAAIAAgAFwAIgBRAEwARABcACIALAAgAFwAIgBNAG8AZABlAHIAYQB0AGUALwBIAGkAZwBoAFwAIgAsACAAMAAuADAAMAA0ADcALAAgADAALgA3ADgAOwBcAG4AIAAgACAAIAAgACAAIAAgACAAIABcACIAUQBMAEQAXAAiACwAIABcACIATQBvAGQAZQByAGEAdABlAC8ATABvAHcAXAAiACwAIAAwAC4AMAAwADQANwAsACAAMAAuADcAOAA7AFwAbgAgACAAIAAgACAAIAAgACAAIAAgAFwAIgBRAEwARABcACIALAAgAFwAIgBMAG8AdwBcACIALAAgADAALgAwADAANAA3ACwAIAAwAC4ANwA4AFwAbgAgACAAIAAgACAAIAAgACAAfQAsACAAcgAsACAAYwApAFwAbgAgACAAIAAgACAAIAApAFwAbgAgACAAIAAgACkAXABuACAAIAApADsAXABuAFwAbgBcAG4AXABuAC8AKgAgAFwAbgAtAC0ALQAtAC0ALQAtAC0ALQAtAC0ALQAtAC0ALQAtAC0ALQAtAC0ALQAtAC0ALQAtAC0ALQAtAC0ALQAtAC0ALQAtAC0ALQAtAC0AXABuAFMAbwB1AHIAYwBlAEQAYQB0AGEAXwBQAGEAcwB0AHUAcgBlAEIAZQBlAGYAXwBBAHMAaABDAG8AbgB0AGUAbgB0AE8AZgBGAGUAZQBkAEkAbgB0AGEAawBlAFwAbgBWAEUARQBSAEcAIAAyADAAMgA2ADoAIAA0AC4AMgAuADIALgAzACAAQwBPAE4AUwBUAEEATgBUAFMAXABuAC0ALQAtAC0ALQAtAC0ALQAtAC0ALQAtAC0ALQAtAC0ALQAtAC0ALQAtAC0ALQAtAC0ALQAtAC0ALQAtAC0ALQAtAC0ALQAtAC0ALQBcAG4AKgAvAFwAbgBcAG4AUwBvAHUAcgBjAGUARABhAHQAYQBfAFAAYQBzAHQAdQByAGUAQgBlAGUAZgBfAEEAcwBoAEMAbwBuAHQAZQBuAHQATwBmAEYAZQBlAGQASQBuAHQAYQBrAGUAXwBUAGkAdABsAGUAXABuACAAIAA9AEwAQQBNAEIARABBACgAXAAiAEEAcwBoACAAYwBvAG4AdABlAG4AdAAgAG8AZgAgAGYAZQBlAGQAIABpAG4AdABhAGsAZQBcACIAKQA7AFwAbgBcAG4AUwBvAHUAcgBjAGUARABhAHQAYQBfAFAAYQBzAHQAdQByAGUAQgBlAGUAZgBfAEEAcwBoAEMAbwBuAHQAZQBuAHQATwBmAEYAZQBlAGQASQBuAHQAYQBrAGUAXwBWAGEAcgBpAGEAYgBsAGUAXABuACAAIAA9AEwAQQBNAEIARABBACgAXAAiAEEAXAAiACkAOwBcAG4AXABuAFMAbwB1AHIAYwBlAEQAYQB0AGEAXwBQAGEAcwB0AHUAcgBlAEIAZQBlAGYAXwBBAHMAaABDAG8AbgB0AGUAbgB0AE8AZgBGAGUAZQBkAEkAbgB0AGEAawBlAF8AVQBuAGkAdABcAG4AIAAgAD0ATABBAE0AQgBEAEEAKABcACIAZgByAGEAYwB0AGkAbwBuAFwAIgApADsAXABuAFwAbgBTAG8AdQByAGMAZQBEAGEAdABhAF8AUABhAHMAdAB1AHIAZQBCAGUAZQBmAF8AQQBzAGgAQwBvAG4AdABlAG4AdABPAGYARgBlAGUAZABJAG4AdABhAGsAZQBfAFMAbwB1AHIAYwBlAFwAbgAgACAAPQBMAEEATQBCAEQAQQAoAFwAIgBWAEUARQBSAEcAIAAyADAAMgA2ADoAIAA0AC4AMgAuADIALgAzACAAQwBPAE4AUwBUAEEATgBUAFMAXAAiACkAOwBcAG4AXABuAFMAbwB1AHIAYwBlAEQAYQB0AGEAXwBQAGEAcwB0AHUAcgBlAEIAZQBlAGYAXwBBAHMAaABDAG8AbgB0AGUAbgB0AE8AZgBGAGUAZQBkAEkAbgB0AGEAawBlAF8AVgBhAHIAaQBhAHQAaQBvAG4AXABuACAAIAA9AEwAQQBNAEIARABBACgAXAAiAFwAIgApADsAXABuAFwAbgBTAG8AdQByAGMAZQBEAGEAdABhAF8AUABhAHMAdAB1AHIAZQBCAGUAZQBmAF8AQQBzAGgAQwBvAG4AdABlAG4AdABPAGYARgBlAGUAZABJAG4AdABhAGsAZQBfAEQAYQB0AGEAXABuACAAIAA9AEwAQQBNAEIARABBACgAMAAuADAAOAApADsAXABuAFwAbgAvACoAIABcAG4ALQAtAC0ALQAtAC0ALQAtAC0ALQAtAC0ALQAtAC0ALQAtAC0ALQAtAC0ALQAtAC0ALQAtAC0ALQAtAC0ALQAtAC0ALQAtAC0ALQAtAFwAbgBTAG8AdQByAGMAZQBEAGEAdABhAF8AUABhAHMAdAB1AHIAZQBCAGUAZQBmAF8ATQBlAHQAaABhAG4AZQBFAG0AaQBzAHMAaQBvAG4AcwBQAG8AdABlAG4AdABpAGEAbABcAG4ATQBlAHQAaABhAG4AZQAgAGUAbQBpAHMAcwBpAG8AbgBzACAAcABvAHQAZQBuAHQAaQBhAGwALgBcAG4ALQAtAC0ALQAtAC0ALQAtAC0ALQAtAC0ALQAtAC0ALQAtAC0ALQAtAC0ALQAtAC0ALQAtAC0ALQAtAC0ALQAtAC0ALQAtAC0ALQAtAFwAbgAqAC8AXABuAFwAbgBTAG8AdQByAGMAZQBEAGEAdABhAF8AUABhAHMAdAB1AHIAZQBCAGUAZQBmAF8ATQBlAHQAaABhAG4AZQBFAG0AaQBzAHMAaQBvAG4AcwBQAG8AdABlAG4AdABpAGEAbABfAFQAaQB0AGwAZQBcAG4AIAAgAD0ATABBAE0AQgBEAEEAKABcACIATQBlAHQAaABhAG4AZQAgAGUAbQBpAHMAcwBpAG8AbgBzACAAcABvAHQAZQBuAHQAaQBhAGwAXAAiACkAOwBcAG4AXABuAFMAbwB1AHIAYwBlAEQAYQB0AGEAXwBQAGEAcwB0AHUAcgBlAEIAZQBlAGYAXwBNAGUAdABoAGEAbgBlAEUAbQBpAHMAcwBpAG8AbgBzAFAAbwB0AGUAbgB0AGkAYQBsAF8AVgBhAHIAaQBhAGIAbABlAFwAbgAgACAAPQBMAEEATQBCAEQAQQAoAFwAIgBCADAAXAAiACkAOwBcAG4AXABuAFMAbwB1AHIAYwBlAEQAYQB0AGEAXwBQAGEAcwB0AHUAcgBlAEIAZQBlAGYAXwBNAGUAdABoAGEAbgBlAEUAbQBpAHMAcwBpAG8AbgBzAFAAbwB0AGUAbgB0AGkAYQBsAF8AVQBuAGkAdABcAG4AIAAgAD0ATABBAE0AQgBEAEEAKABcACIAbQAzACAAQwBIADQAIAAvACAAawBnACAAVgBTAFwAIgApADsAXABuAFwAbgBTAG8AdQByAGMAZQBEAGEAdABhAF8AUABhAHMAdAB1AHIAZQBCAGUAZQBmAF8ATQBlAHQAaABhAG4AZQBFAG0AaQBzAHMAaQBvAG4AcwBQAG8AdABlAG4AdABpAGEAbABfAFMAbwB1AHIAYwBlAFwAbgAgACAAPQBMAEEATQBCAEQAQQAoAFwAIgBWAEUARQBSAEcAIAAyADAAMgA2ADoAIAA0AC4AMgAuADIALgAzACAAQwBPAE4AUwBUAEEATgBUAFMAXAAiACkAOwBcAG4AXABuAFMAbwB1AHIAYwBlAEQAYQB0AGEAXwBQAGEAcwB0AHUAcgBlAEIAZQBlAGYAXwBNAGUAdABoAGEAbgBlAEUAbQBpAHMAcwBpAG8AbgBzAFAAbwB0AGUAbgB0AGkAYQBsAF8AVgBhAHIAaQBhAHQAaQBvAG4AXABuACAAIAA9AEwAQQBNAEIARABBACgAXAAiAFwAIgApADsAXABuAFwAbgBTAG8AdQByAGMAZQBEAGEAdABhAF8AUABhAHMAdAB1AHIAZQBCAGUAZQBmAF8ATQBlAHQAaABhAG4AZQBFAG0AaQBzAHMAaQBvAG4AcwBQAG8AdABlAG4AdABpAGEAbABfAEQAYQB0AGEAXABuACAAIAA9AEwAQQBNAEIARABBACgAMAAuADEAOQApADsAXABuAFwAbgAvACoAIABcAG4ALQAtAC0ALQAtAC0ALQAtAC0ALQAtAC0ALQAtAC0ALQAtAC0ALQAtAC0ALQAtAC0ALQAtAC0ALQAtAC0ALQAtAC0ALQAtAC0ALQAtAFwAbgBTAG8AdQByAGMAZQBEAGEAdABhAF8AUABhAHMAdAB1AHIAZQBCAGUAZQBmAF8ARgByAGEAYwBHAEEAUwBNAFMAbwBpAGwAXABuAEYAcgBhAGMAdABpAG8AbgAgAG8AZgAgAG4AaQB0AHIAbwBnAGUAbgAgAHYAbwBsAGEAdABpAGwAaQBzAGUAZAAgAGYAcgBvAG0AIAB1AHIAaQBuAGUAIABhAG4AZAAgAGYAYQBlAGMAZQBzACAAZABlAHAAbwBzAGkAdABlAGQAIABvAG4AIABwAGEAcwB0AHUAcgBlAFwAbgAtAC0ALQAtAC0ALQAtAC0ALQAtAC0ALQAtAC0ALQAtAC0ALQAtAC0ALQAtAC0ALQAtAC0ALQAtAC0ALQAtAC0ALQAtAC0ALQAtAC0AXABuACoALwBcAG4AXABuAFMAbwB1AHIAYwBlAEQAYQB0AGEAXwBQAGEAcwB0AHUAcgBlAEIAZQBlAGYAXwBGAHIAYQBjAEcAQQBTAE0AUwBvAGkAbABfAFQAaQB0AGwAZQBcAG4AIAAgAD0ATABBAE0AQgBEAEEAKABcACIARgByAGEAYwB0AGkAbwBuACAAbwBmACAAbgBpAHQAcgBvAGcAZQBuACAAdgBvAGwAYQB0AGkAbABpAHMAZQBkACAAZgByAG8AbQAgAHUAcgBpAG4AZQAgAGEAbgBkACAAZgBhAGUAYwBlAHMAIABkAGUAcABvAHMAaQB0AGUAZAAgAG8AbgAgAHAAYQBzAHQAdQByAGUAXAAiACkAOwBcAG4AXABuAFMAbwB1AHIAYwBlAEQAYQB0AGEAXwBQAGEAcwB0AHUAcgBlAEIAZQBlAGYAXwBGAHIAYQBjAEcAQQBTAE0AUwBvAGkAbABfAFYAYQByAGkAYQBiAGwAZQBcAG4AIAAgAD0ATABBAE0AQgBEAEEAKABcACIARgByAGEAYwBHAEEAUwBNAFMAbwBpAGwAXAAiACkAOwBcAG4AXABuAFMAbwB1AHIAYwBlAEQAYQB0AGEAXwBQAGEAcwB0AHUAcgBlAEIAZQBlAGYAXwBGAHIAYQBjAEcAQQBTAE0AUwBvAGkAbABfAFUAbgBpAHQAXABuACAAIAA9AEwAQQBNAEIARABBACgAXAAiAGYAcgBhAGMAdABpAG8AbgBcACIAKQA7AFwAbgBcAG4AUwBvAHUAcgBjAGUARABhAHQAYQBfAFAAYQBzAHQAdQByAGUAQgBlAGUAZgBfAEYAcgBhAGMARwBBAFMATQBTAG8AaQBsAF8AUwBvAHUAcgBjAGUAXABuACAAIAA9AEwAQQBNAEIARABBACgAXAAiAFYARQBFAFIARwAgADIAMAAyADYAOgAgADQALgAyAC4AMgAuADMAIABDAE8ATgBTAFQAQQBOAFQAUwBcACIAKQA7AFwAbgBcAG4AUwBvAHUAcgBjAGUARABhAHQAYQBfAFAAYQBzAHQAdQByAGUAQgBlAGUAZgBfAEYAcgBhAGMARwBBAFMATQBTAG8AaQBsAF8AVgBhAHIAaQBhAHQAaQBvAG4AXABuACAAIAA9AEwAQQBNAEIARABBACgAXAAiAFwAIgApADsAXABuAFwAbgBTAG8AdQByAGMAZQBEAGEAdABhAF8AUABhAHMAdAB1AHIAZQBCAGUAZQBmAF8ARgByAGEAYwBHAEEAUwBNAFMAbwBpAGwAXwBEAGEAdABhAFwAbgAgACAAPQBMAEEATQBCAEQAQQAoADAALgAyADEAKQA7AFwAbgBcAG4ALwAqACAAXABuAC0ALQAtAC0ALQAtAC0ALQAtAC0ALQAtAC0ALQAtAC0ALQAtAC0ALQAtAC0ALQAtAC0ALQAtAC0ALQAtAC0ALQAtAC0ALQAtAC0ALQBcAG4AUwBvAHUAcgBjAGUARABhAHQAYQBfAFAAYQBzAHQAdQByAGUAQgBlAGUAZgBfAEYAcgBhAGMATABFAEEAQwBIAFwAbgBEAGUAZgBhAHUAbAB0ACAAZgByAGEAYwB0AGkAbwBuACAAbwBmACAATgAgAHQAaABhAHQAIABpAHMAIABsAG8AcwB0ACAAdABoAHIAbwB1AGcAaAAgAGwAZQBhAGMAaABpAG4AZwAgAGEAbgBkACAAcgB1AG4AbwBmAGYAXABuAC0ALQAtAC0ALQAtAC0ALQAtAC0ALQAtAC0ALQAtAC0ALQAtAC0ALQAtAC0ALQAtAC0ALQAtAC0ALQAtAC0ALQAtAC0ALQAtAC0ALQBcAG4AKgAvAFwAbgBcAG4AUwBvAHUAcgBjAGUARABhAHQAYQBfAFAAYQBzAHQAdQByAGUAQgBlAGUAZgBfAEYAcgBhAGMATABFAEEAQwBIAF8AVABpAHQAbABlAFwAbgAgACAAPQBMAEEATQBCAEQAQQAoAFwAIgBEAGUAZgBhAHUAbAB0ACAAZgByAGEAYwB0AGkAbwBuACAAbwBmACAATgAgAHQAaABhAHQAIABpAHMAIABsAG8AcwB0ACAAdABoAHIAbwB1AGcAaAAgAGwAZQBhAGMAaABpAG4AZwAgAGEAbgBkACAAcgB1AG4AbwBmAGYAXAAiACkAOwBcAG4AXABuAFMAbwB1AHIAYwBlAEQAYQB0AGEAXwBQAGEAcwB0AHUAcgBlAEIAZQBlAGYAXwBGAHIAYQBjAEwARQBBAEMASABfAFYAYQByAGkAYQBiAGwAZQBcAG4AIAAgAD0ATABBAE0AQgBEAEEAKABcACIARgByAGEAYwBMAEUAQQBDAEgAXAAiACkAOwBcAG4AXABuAFMAbwB1AHIAYwBlAEQAYQB0AGEAXwBQAGEAcwB0AHUAcgBlAEIAZQBlAGYAXwBGAHIAYQBjAEwARQBBAEMASABfAFUAbgBpAHQAXABuACAAIAA9AEwAQQBNAEIARABBACgAXAAiAGYAcgBhAGMAdABpAG8AbgBcACIAKQA7AFwAbgBcAG4AUwBvAHUAcgBjAGUARABhAHQAYQBfAFAAYQBzAHQAdQByAGUAQgBlAGUAZgBfAEYAcgBhAGMATABFAEEAQwBIAF8AUwBvAHUAcgBjAGUAXABuACAAIAA9AEwAQQBNAEIARABBACgAXAAiAFYARQBFAFIARwAgADIAMAAyADYAOgAgADQALgAyAC4AMgAuADMAIABDAE8ATgBTAFQAQQBOAFQAUwBcACIAKQA7AFwAbgBcAG4AUwBvAHUAcgBjAGUARABhAHQAYQBfAFAAYQBzAHQAdQByAGUAQgBlAGUAZgBfAEYAcgBhAGMATABFAEEAQwBIAF8AVgBhAHIAaQBhAHQAaQBvAG4AXABuACAAIAA9AEwAQQBNAEIARABBACgAXAAiAFwAIgApADsAXABuAFwAbgBTAG8AdQByAGMAZQBEAGEAdABhAF8AUABhAHMAdAB1AHIAZQBCAGUAZQBmAF8ARgByAGEAYwBMAEUAQQBDAEgAXwBEAGEAdABhAFwAbgAgACAAPQBMAEEATQBCAEQAQQAoADAALgAyADQAKQA7ACIAfQAsAHsAIgBwAGEAdABoACIAOgAiAC8AcAByAG8AagBlAGMAdABzAC8ASQBuAHAAdQB0AEYAdQBuAGMAdABpAG8AbgBzAF8AUABhAHMAdAB1AHIAZQBCAGUAZQBmACIALAAiAHQAZQB4AHQAIgA6ACIATABvAG8AawB1AHAATABpAHYAZQB3AGUAaQBnAGgAdABGAHIAbwBtAFMAZQBhAHMAbwBuAFwAbgA9AEwAQQBNAEIARABBACgAXABuACAAIAAgACAAUwB0AGEAdABlACwAIABSAGUAZwBpAG8AbgAsACAAUwBlAGEAcwBvAG4ALAAgAEwAaQB2AGUAcwB0AG8AYwBrAEMAbABhAHMAcwAsAFwAbgAgACAAIAAgAFMAdABhAHQAZQBBAHIAcgBhAHkALAAgAFIAZQBnAGkAbwBuAEEAcgByAGEAeQAsACAAUwBlAGEAcwBvAG4AQQByAHIAYQB5ACwAIABMAGkAdgBlAHMAdABvAGMAawBDAGwAYQBzAHMAQQByAHIAYQB5ACwAXABuACAAIAAgACAAUgBlAHQAdQByAG4AQQByAHIAYQB5ACwAXABuACAAIAAgACAAUwB0AGEAdABlAEMAbwBtAG0AbwBuAE4AYQBtAGUAQQByAHIAYQB5ACwAIABTAHQAYQB0AGUAQQBiAGIAcgBlAHYAaQBhAHQAaQBvAG4AQQByAHIAYQB5ACwAXABuACAAIAAgACAATABlAHQAKABcAG4AIAAgACAAIAAgACAAIAAgAFMAdABhAHQAZQAsACAAWABMAE8ATwBLAFUAUAAoAFMAdABhAHQAZQAsACAAUwB0AGEAdABlAEMAbwBtAG0AbwBuAE4AYQBtAGUAQQByAHIAYQB5ACwAIABTAHQAYQB0AGUAQQBiAGIAcgBlAHYAaQBhAHQAaQBvAG4AQQByAHIAYQB5ACkALABcAG4AIAAgACAAIAAgACAAIAAgAFgATABPAE8ASwBVAFAAKABcAG4AIAAgACAAIAAgACAAIAAgADEALAAgAFwAbgAgACAAIAAgACAAIAAgACAAKABTAHQAYQB0AGUAQQByAHIAYQB5AD0AUwB0AGEAdABlACkAIAAqACAAXABuACAAIAAgACAAIAAgACAAIAAoAFIAZQBnAGkAbwBuAEEAcgByAGEAeQA9AFIAZQBnAGkAbwBuACkAIAAqACAAXABuACAAIAAgACAAIAAgACAAIAAoAFMAZQBhAHMAbwBuAEEAcgByAGEAeQA9AFMAZQBhAHMAbwBuACkALAAgAFwAbgAgACAAIAAgACAAIAAgACAAWABMAE8ATwBLAFUAUAAoAEwAaQB2AGUAcwB0AG8AYwBrAEMAbABhAHMAcwAsACAATABpAHYAZQBzAHQAbwBjAGsAQwBsAGEAcwBzAEEAcgByAGEAeQAsACAAXABuACAAIAAgACAAIAAgACAAIABSAGUAdAB1AHIAbgBBAHIAcgBhAHkAKQApAFwAbgAgACAAIAAgACkAXABuACkAOwBcAG4AXABuAEwAbwBvAGsAdQBwAEwAaQB2AGUAdwBlAGkAZwBoAHQARgByAG8AbQBNAG8AbgB0AGgAXABuAD0ATABBAE0AQgBEAEEAKABcAG4AIAAgACAAIABTAHQAYQB0AGUALAAgAFIAZQBnAGkAbwBuACwAIABNAG8AbgB0AGgALAAgAEwAaQB2AGUAcwB0AG8AYwBrAEMAbABhAHMAcwAsAFwAbgAgACAAIAAgAFMAdABhAHQAZQBBAHIAcgBhAHkALAAgAFIAZQBnAGkAbwBuAEEAcgByAGEAeQAsACAAUwBlAGEAcwBvAG4AQQByAHIAYQB5ACwAIABMAGkAdgBlAHMAdABvAGMAawBDAGwAYQBzAHMAQQByAHIAYQB5ACwAXABuACAAIAAgACAAUgBlAHQAdQByAG4AQQByAHIAYQB5ACwAXABuACAAIAAgACAAUwB0AGEAdABlAEMAbwBtAG0AbwBuAE4AYQBtAGUAQQByAHIAYQB5ACwAIABTAHQAYQB0AGUAQQBiAGIAcgBlAHYAaQBhAHQAaQBvAG4AQQByAHIAYQB5ACwAXABuACAAIAAgACAATQBvAG4AdABoAEEAcgByAGEAeQAsACAATQBvAG4AdABoAFQAbwBTAGUAYQBzAG8AbgBBAHIAcgBhAHkALABcAG4AIAAgACAAIABMAGUAdAAoAFwAbgAgACAAIAAgACAAIAAgACAATQBvAG4AdABoACwAIABUAEUAWABUACgATQBvAG4AdABoACwAIABcACIAbQBtAG0AbQBcACIAKQAsAFwAbgAgACAAIAAgACAAIAAgACAAUwB0AGEAdABlACwAIABYAEwATwBPAEsAVQBQACgAUwB0AGEAdABlACwAIABTAHQAYQB0AGUAQwBvAG0AbQBvAG4ATgBhAG0AZQBBAHIAcgBhAHkALAAgAFMAdABhAHQAZQBBAGIAYgByAGUAdgBpAGEAdABpAG8AbgBBAHIAcgBhAHkAKQAsAFwAbgAgACAAIAAgACAAIAAgACAAUwBlAGEAcwBvAG4ALAAgAFgATABPAE8ASwBVAFAAKABNAG8AbgB0AGgALAAgAE0AbwBuAHQAaABBAHIAcgBhAHkALAAgAE0AbwBuAHQAaABUAG8AUwBlAGEAcwBvAG4AQQByAHIAYQB5ACkALABcAG4AIAAgACAAIAAgACAAIAAgAFgATABPAE8ASwBVAFAAKABcAG4AIAAgACAAIAAgACAAIAAgADEALAAgAFwAbgAgACAAIAAgACAAIAAgACAAKABTAHQAYQB0AGUAQQByAHIAYQB5AD0AUwB0AGEAdABlACkAIAAqACAAXABuACAAIAAgACAAIAAgACAAIAAoAFIAZQBnAGkAbwBuAEEAcgByAGEAeQA9AFIAZQBnAGkAbwBuACkAIAAqACAAXABuACAAIAAgACAAIAAgACAAIAAoAFMAZQBhAHMAbwBuAEEAcgByAGEAeQA9AFMAZQBhAHMAbwBuACkALAAgAFwAbgAgACAAIAAgACAAIAAgACAAWABMAE8ATwBLAFUAUAAoAEwAaQB2AGUAcwB0AG8AYwBrAEMAbABhAHMAcwAsACAATABpAHYAZQBzAHQAbwBjAGsAQwBsAGEAcwBzAEEAcgByAGEAeQAsACAAXABuACAAIAAgACAAIAAgACAAIABSAGUAdAB1AHIAbgBBAHIAcgBhAHkAKQApAFwAbgAgACAAIAAgACkAXABuACkAOwBcAG4AXABuAEMAbwBuAHYAZQByAHQATQBvAG4AdABoAGwAeQBDAGEAbAB2AGkAbgBnAFQAbwBTAGUAYQBzAG8AbgBcAG4AXABuAD0AIABMAEEATQBCAEQAQQAoAFwAbgAgACAAIAAgAFMAZQBhAHMAbwBuACwAIABTAHUAbQBBAHIAcgBhAHkALAAgAEMAYQBsAHYAaQBuAGcATQBvAG4AdABoAEEAcgByAGEAeQAsACAATQBvAG4AdABoAEEAcgByAGEAeQAsACAATQBvAG4AdABoAFQAbwBTAGUAYQBzAG8AbgBBAHIAcgBhAHkALABcAG4AIAAgACAAIABMAEUAVAAoAFwAbgAgACAAIAAgACAAIAAgACAATQBvAG4AdABoAFQAZQB4AHQALAAgAFQARQBYAFQAKABDAGEAbAB2AGkAbgBnAE0AbwBuAHQAaABBAHIAcgBhAHkALAAgAFwAIgBtAG0AbQBtAFwAIgApACwAXABuACAAIAAgACAAIAAgACAAIABTAGUAYQBzAG8AbgBQAGUAcgBSAG8AdwAsACAAWABMAE8ATwBLAFUAUAAoAE0AbwBuAHQAaABUAGUAeAB0ACwAIABNAG8AbgB0AGgAQQByAHIAYQB5ACwAIABNAG8AbgB0AGgAVABvAFMAZQBhAHMAbwBuAEEAcgByAGEAeQAsACAAXAAiAFwAIgAsACAAMAApACwAXABuACAAIAAgACAAIAAgACAAIABTAFUATQAoAFMAdQBtAEEAcgByAGEAeQAgACoAIAAoAFMAZQBhAHMAbwBuAFAAZQByAFIAbwB3AD0AUwBlAGEAcwBvAG4AKQApAFwAbgAgACAAIAAgACkAXABuACkAOwBcAG4AXABuAEwAbwBvAGsAdQBwAFYAYQBsAHUAZQBGAHIAbwBtAFMAdABhAHQAZQBSAGUAZwBpAG8AbgBTAGUAYQBzAG8AbgBcAG4APQBMAEEATQBCAEQAQQAoAFwAbgAgACAAIAAgAFMAdABhAHQAZQAsACAAUgBlAGcAaQBvAG4ALAAgAFMAZQBhAHMAbwBuACwAXABuACAAIAAgACAAUwB0AGEAdABlAEEAcgByAGEAeQAsACAAUgBlAGcAaQBvAG4AQQByAHIAYQB5ACwAIABTAGUAYQBzAG8AbgBBAHIAcgBhAHkALABcAG4AIAAgACAAIABSAGUAdAB1AHIAbgBBAHIAcgBhAHkALABcAG4AIAAgACAAIABTAHQAYQB0AGUAQwBvAG0AbQBvAG4ATgBhAG0AZQBBAHIAcgBhAHkALAAgAFMAdABhAHQAZQBBAGIAYgByAGUAdgBpAGEAdABpAG8AbgBBAHIAcgBhAHkALABcAG4AIAAgACAAIABMAEUAVAAoAFwAbgAgACAAIAAgACAAIAAgACAAUwB0AGEAdABlACwAIABYAEwATwBPAEsAVQBQACgAUwB0AGEAdABlACwAIABTAHQAYQB0AGUAQwBvAG0AbQBvAG4ATgBhAG0AZQBBAHIAcgBhAHkALAAgAFMAdABhAHQAZQBBAGIAYgByAGUAdgBpAGEAdABpAG8AbgBBAHIAcgBhAHkAKQAsAFwAbgAgACAAIAAgACAAIAAgACAAWABMAE8ATwBLAFUAUAAoAFwAbgAgACAAIAAgACAAIAAgACAAIAAgACAAIAAxACwAIAAoAFMAdABhAHQAZQBBAHIAcgBhAHkAPQBTAHQAYQB0AGUAKQAqAFwAbgAgACAAIAAgACAAIAAgACAAIAAgACAAIAAoAFIAZQBnAGkAbwBuAEEAcgByAGEAeQA9AFIAZQBnAGkAbwBuACkALABcAG4AIAAgACAAIAAgACAAIAAgACAAIAAgACAAWABMAE8ATwBLAFUAUAAoAFwAbgAgACAAIAAgACAAIAAgACAAIAAgACAAIAAgACAAIAAgAFMAZQBhAHMAbwBuACwAIABTAGUAYQBzAG8AbgBBAHIAcgBhAHkALAAgAFIAZQB0AHUAcgBuAEEAcgByAGEAeQBcAG4AIAAgACAAIAAgACAAIAAgACAAIAAgACAAKQBcAG4AIAAgACAAIAAgACAAIAAgACkAXABuACAAIAAgACAAKQBcAG4AKQA7AFwAbgBcAG4ATABvAG8AawB1AHAAVgBhAGwAdQBlAEYAcgBvAG0AUwB0AGEAdABlAFIAZQBnAGkAbwBuAE0AbwBuAHQAaABcAG4APQBMAEEATQBCAEQAQQAoAFwAbgAgACAAIAAgAFMAdABhAHQAZQAsACAAUgBlAGcAaQBvAG4ALAAgAE0AbwBuAHQAaAAsAFwAbgAgACAAIAAgAFMAdABhAHQAZQBBAHIAcgBhAHkALAAgAFIAZQBnAGkAbwBuAEEAcgByAGEAeQAsACAAUwBlAGEAcwBvAG4AQQByAHIAYQB5ACwAXABuACAAIAAgACAAUgBlAHQAdQByAG4AQQByAHIAYQB5ACwAXABuACAAIAAgACAAUwB0AGEAdABlAEMAbwBtAG0AbwBuAE4AYQBtAGUAQQByAHIAYQB5ACwAIABTAHQAYQB0AGUAQQBiAGIAcgBlAHYAaQBhAHQAaQBvAG4AQQByAHIAYQB5ACwAIABNAG8AbgB0AGgAQQByAHIAYQB5ACwAIABNAG8AbgB0AGgAVABvAFMAZQBhAHMAbwBuAEEAcgByAGEAeQAsAFwAbgAgACAAIAAgAEwARQBUACgAXABuACAAIAAgACAAIAAgACAAIABTAHQAYQB0AGUALAAgAFgATABPAE8ASwBVAFAAKABTAHQAYQB0AGUALAAgAFMAdABhAHQAZQBDAG8AbQBtAG8AbgBOAGEAbQBlAEEAcgByAGEAeQAsACAAUwB0AGEAdABlAEEAYgBiAHIAZQB2AGkAYQB0AGkAbwBuAEEAcgByAGEAeQApACwAXABuACAAIAAgACAAIAAgACAAIABTAGUAYQBzAG8AbgAsACAAWABMAE8ATwBLAFUAUAAoAFQARQBYAFQAKABNAG8AbgB0AGgALAAgAFwAIgBtAG0AbQBtAFwAIgApACwAIABNAG8AbgB0AGgAQQByAHIAYQB5ACwAIABNAG8AbgB0AGgAVABvAFMAZQBhAHMAbwBuAEEAcgByAGEAeQApACwAXABuACAAIAAgACAAIAAgACAAIABYAEwATwBPAEsAVQBQACgAXABuACAAIAAgACAAIAAgACAAIAAgACAAIAAgADEALAAgACgAUwB0AGEAdABlAEEAcgByAGEAeQA9AFMAdABhAHQAZQApACoAXABuACAAIAAgACAAIAAgACAAIAAgACAAIAAgACgAUgBlAGcAaQBvAG4AQQByAHIAYQB5AD0AUgBlAGcAaQBvAG4AKQAsAFwAbgAgACAAIAAgACAAIAAgACAAIAAgACAAIABYAEwATwBPAEsAVQBQACgAXABuACAAIAAgACAAIAAgACAAIAAgACAAIAAgACAAIAAgACAAUwBlAGEAcwBvAG4ALAAgAFMAZQBhAHMAbwBuAEEAcgByAGEAeQAsACAAUgBlAHQAdQByAG4AQQByAHIAYQB5AFwAbgAgACAAIAAgACAAIAAgACAAIAAgACAAIAApAFwAbgAgACAAIAAgACAAIAAgACAAKQBcAG4AIAAgACAAIAApAFwAbgApADsAIgB9ACwAewAiAHAAYQB0AGgAIgA6ACIALwBwAHIAbwBqAGUAYwB0AHMALwBTAGMAbwBwAGUAMwBfAFMAbwB1AHIAYwBlAEQAYQB0AGEAIgAsACIAdABlAHgAdAAiADoAIgBcAG4ALwAqAFwAbgA9AD0APQA9AD0APQA9AD0APQA9AD0APQA9AD0APQA9AD0APQA9AD0APQA9AD0APQA9AD0APQA9AD0APQA9AD0APQA9AD0APQA9AD0APQA9AD0APQA9AD0APQA9AD0APQA9AD0APQA9AD0APQA9AD0APQA9AD0APQA9AD0APQA9AD0APQA9AD0APQA9AD0APQA9AD0APQA9AFwAbgBBAG4AaQBtAGEAbABzAFwAbgA9AD0APQA9AD0APQA9AD0APQA9AD0APQA9AD0APQA9AD0APQA9AD0APQA9AD0APQA9AD0APQA9AD0APQA9AD0APQA9AD0APQA9AD0APQA9AD0APQA9AD0APQA9AD0APQA9AD0APQA9AD0APQA9AD0APQA9AD0APQA9AD0APQA9AD0APQA9AD0APQA9AD0APQA9AD0APQA9AFwAbgAqAC8AXABuAFwAbgBTAGMAbwBwAGUAMwBfAEwAaQB2AGUAcwB0AG8AYwBrAF8AVABpAHQAbABlAFwAbgA9AEwAQQBNAEIARABBACgAKABcACIATABpAHYAZQBzAHQAbwBjAGsAIABzAGMAbwBwAGUAIAAzAFwAIgApACkAOwBcAG4AXABuAFMAYwBvAHAAZQAzAF8ATABpAHYAZQBzAHQAbwBjAGsAXwBTAG8AdQByAGMAZQBcAG4APQBMAEEATQBCAEQAQQAoACgAXAAiAEwAaQBmAGUAYwB5AGMAbABlAHMALgAgACgAMgAwADIANgApAC4AIABHAHIAZQBlAG4AaABvAHUAcwBlACAARwBhAHMAIABFAG0AaQBzAHMAaQBvAG4AIABJAG4AdABlAG4AcwBpAHQAaQBlAHMAIABmAG8AcgAgAE0AYQB0AGUAcgBpAGEAbAAgAEkAbgBwAHUAdABzACAAdABvACAAQQB1AHMAdAByAGEAbABpAGEAbgAgAEEAZwByAGkAYwB1AGwAdAB1AHIAZQAsACAARgBpAHMAaABlAHIAaQBlAHMAIABhAG4AZAAgAEYAbwByAGUAcwB0AHIAeQAuACAAVgBlAHIAcwBpAG8AbgAgADQAOAAuACAAZABvAGkAIAAxADAALgA1ADIAOAAxAC8AegBlAG4AbwBkAG8ALgAxADkANgA1ADYANQA4ADAAXAAiACkAKQA7AFwAbgBcAG4AUwBjAG8AcABlADMAXwBMAGkAdgBlAHMAdABvAGMAawBfAFYAYQByAGkAYQB0AGkAbwBuAFwAbgA9AEwAQQBNAEIARABBACgAKABcACIAXAAiACkAKQA7AFwAbgBcAG4AUwBjAG8AcABlADMAXwBMAGkAdgBlAHMAdABvAGMAawBfAEQAYQB0AGEAXABuAD0ATABBAE0AQgBEAEEAKABcAG4AIAAgAE0AQQBLAEUAQQBSAFIAQQBZACgANAAyACwAIAA3ACwAXABuACAAIAAgACAATABBAE0AQgBEAEEAKAByACwAYwAsAFwAbgAgACAAIAAgACAAIABJAE4ARABFAFgAKAB7AFwAbgAgACAAIAAgACAAIAAgACAAXAAiAEMAYQB0AGUAZwBvAHIAeQBcACIALAAgAFwAIgBTAHUAYgAtAGMAYQB0AGUAZwBvAHIAeQBcACIALAAgAFwAIgBQAHIAbwBkAHUAYwB0ACAAbgBhAG0AZQBcACIALAAgAFwAIgBSAGUAZwBpAG8AbgAgAG8AZgAgAG8AcgBpAGcAaQBuAFwAIgAsACAAXAAiAFAAcgBvAGQAdQBjAHQAIABVAG4AaQB0AFwAIgAsACAAXAAiAEcASABHACAAZQBtAGkAcwBzAGkAbwBuACAAaQBuAHQAZQBuAHMAaQB0AHkAXAAiACwAIABcACIAUwB5AHMAdABlAG0AIABiAG8AdQBuAGQAYQByAHkAXAAiADsAXABuACAAIAAgACAAIAAgACAAIABcACIAQQBuAGkAbQBhAGwAcwBcACIALAAgAFwAIgBCAGUAZQBmACAAYwBhAHQAdABsAGUAXAAiACwAIABcACIAQwBhAHQAdABsAGUALAAgAGYAbwByACAAbQBhAG4AdQBmAGEAYwB0AHUAcgBpAG4AZwAgAGIAZQBlAGYAXAAiACwAIABcACIAQQB1AHMAdAByAGEAbABpAGEAXAAiACwAIABcACIAawBnACAAbABpAHYAZQB3AGUAaQBnAGgAdABcACIALAAgADEAMQAsACAAXAAiAGEAdAAgAG0AYQByAGsAZQB0AFwAIgA7AFwAbgAgACAAIAAgACAAIAAgACAAXAAiAEEAbgBpAG0AYQBsAHMAXAAiACwAIABcACIAQgBlAGUAZgAgAGMAYQB0AHQAbABlAFwAIgAsACAAXAAiAEMAYQB0AHQAbABlACwAIABmAG8AcgAgAG0AYQBuAHUAZgBhAGMAdAB1AHIAaQBuAGcAIABiAGUAZQBmAFwAIgAsACAAXAAiAE4AUwBXAFwAIgAsACAAXAAiAGsAZwAgAGwAaQB2AGUAdwBlAGkAZwBoAHQAXAAiACwAIAA4AC4AMgAxACwAIABcACIAYQB0ACAAbQBhAHIAawBlAHQAXAAiADsAXABuACAAIAAgACAAIAAgACAAIABcACIAQQBuAGkAbQBhAGwAcwBcACIALAAgAFwAIgBCAGUAZQBmACAAYwBhAHQAdABsAGUAXAAiACwAIABcACIAQwBhAHQAdABsAGUALAAgAGYAbwByACAAbQBhAG4AdQBmAGEAYwB0AHUAcgBpAG4AZwAgAGIAZQBlAGYAXAAiACwAIABcACIATgBUAFwAIgAsACAAXAAiAGsAZwAgAGwAaQB2AGUAdwBlAGkAZwBoAHQAXAAiACwAIAAxADIALgAyACwAIABcACIAYQB0ACAAbQBhAHIAawBlAHQAXAAiADsAXABuACAAIAAgACAAIAAgACAAIABcACIAQQBuAGkAbQBhAGwAcwBcACIALAAgAFwAIgBCAGUAZQBmACAAYwBhAHQAdABsAGUAXAAiACwAIABcACIAQwBhAHQAdABsAGUALAAgAGYAbwByACAAbQBhAG4AdQBmAGEAYwB0AHUAcgBpAG4AZwAgAGIAZQBlAGYAXAAiACwAIABcACIAUQBMAEQAXAAiACwAIABcACIAawBnACAAbABpAHYAZQB3AGUAaQBnAGgAdABcACIALAAgADEAMAAuADkALAAgAFwAIgBhAHQAIABtAGEAcgBrAGUAdABcACIAOwBcAG4AIAAgACAAIAAgACAAIAAgAFwAIgBBAG4AaQBtAGEAbABzAFwAIgAsACAAXAAiAEIAZQBlAGYAIABjAGEAdAB0AGwAZQBcACIALAAgAFwAIgBDAGEAdAB0AGwAZQAsACAAZgBvAHIAIABtAGEAbgB1AGYAYQBjAHQAdQByAGkAbgBnACAAYgBlAGUAZgBcACIALAAgAFwAIgBTAEEAXAAiACwAIABcACIAawBnACAAbABpAHYAZQB3AGUAaQBnAGgAdABcACIALAAgADcALgA2ADMALAAgAFwAIgBhAHQAIABtAGEAcgBrAGUAdABcACIAOwBcAG4AIAAgACAAIAAgACAAIAAgAFwAIgBBAG4AaQBtAGEAbABzAFwAIgAsACAAXAAiAEIAZQBlAGYAIABjAGEAdAB0AGwAZQBcACIALAAgAFwAIgBDAGEAdAB0AGwAZQAsACAAZgBvAHIAIABtAGEAbgB1AGYAYQBjAHQAdQByAGkAbgBnACAAYgBlAGUAZgBcACIALAAgAFwAIgBUAEEAUwBcACIALAAgAFwAIgBrAGcAIABsAGkAdgBlAHcAZQBpAGcAaAB0AFwAIgAsACAAOAAuADcANQAsACAAXAAiAGEAdAAgAG0AYQByAGsAZQB0AFwAIgA7AFwAbgAgACAAIAAgACAAIAAgACAAXAAiAEEAbgBpAG0AYQBsAHMAXAAiACwAIABcACIAQgBlAGUAZgAgAGMAYQB0AHQAbABlAFwAIgAsACAAXAAiAEMAYQB0AHQAbABlACwAIABmAG8AcgAgAG0AYQBuAHUAZgBhAGMAdAB1AHIAaQBuAGcAIABiAGUAZQBmAFwAIgAsACAAXAAiAFYASQBDAFwAIgAsACAAXAAiAGsAZwAgAGwAaQB2AGUAdwBlAGkAZwBoAHQAXAAiACwAIAA4AC4AMQA3ACwAIABcACIAYQB0ACAAbQBhAHIAawBlAHQAXAAiADsAXABuACAAIAAgACAAIAAgACAAIABcACIAQQBuAGkAbQBhAGwAcwBcACIALAAgAFwAIgBCAGUAZQBmACAAYwBhAHQAdABsAGUAXAAiACwAIABcACIAQwBhAHQAdABsAGUALAAgAGYAbwByACAAbQBhAG4AdQBmAGEAYwB0AHUAcgBpAG4AZwAgAGIAZQBlAGYAXAAiACwAIABcACIAVwBBAFwAIgAsACAAXAAiAGsAZwAgAGwAaQB2AGUAdwBlAGkAZwBoAHQAXAAiACwAIAAxADMALgAxACwAIABcACIAYQB0ACAAbQBhAHIAawBlAHQAXAAiADsAXABuACAAIAAgACAAIAAgACAAIABcACIAQQBuAGkAbQBhAGwAcwBcACIALAAgAFwAIgBCAGUAZQBmACAAYwBhAHQAdABsAGUAXAAiACwAIABcACIAQwBhAHQAdABsAGUALAAgAGYAbwByACAAcAByAGkAbQBlACAAYgBlAGUAZgBcACIALAAgAFwAIgBBAHUAcwB0AHIAYQBsAGkAYQBcACIALAAgAFwAIgBrAGcAIABsAGkAdgBlAHcAZQBpAGcAaAB0AFwAIgAsACAAMQA0AC4ANQAsACAAXAAiAGEAdAAgAG0AYQByAGsAZQB0AFwAIgA7AFwAbgAgACAAIAAgACAAIAAgACAAXAAiAEEAbgBpAG0AYQBsAHMAXAAiACwAIABcACIAQgBlAGUAZgAgAGMAYQB0AHQAbABlAFwAIgAsACAAXAAiAEMAYQB0AHQAbABlACwAIABmAG8AcgAgAHAAcgBpAG0AZQAgAGIAZQBlAGYAXAAiACwAIABcACIATgBTAFcAXAAiACwAIABcACIAawBnACAAbABpAHYAZQB3AGUAaQBnAGgAdABcACIALAAgADEAMQAuADMALAAgAFwAIgBhAHQAIABtAGEAcgBrAGUAdABcACIAOwBcAG4AIAAgACAAIAAgACAAIAAgAFwAIgBBAG4AaQBtAGEAbABzAFwAIgAsACAAXAAiAEIAZQBlAGYAIABjAGEAdAB0AGwAZQBcACIALAAgAFwAIgBDAGEAdAB0AGwAZQAsACAAZgBvAHIAIABwAHIAaQBtAGUAIABiAGUAZQBmAFwAIgAsACAAXAAiAE4AVABcACIALAAgAFwAIgBrAGcAIABsAGkAdgBlAHcAZQBpAGcAaAB0AFwAIgAsACAAMQA4AC4AOQAsACAAXAAiAGEAdAAgAG0AYQByAGsAZQB0AFwAIgA7AFwAbgAgACAAIAAgACAAIAAgACAAXAAiAEEAbgBpAG0AYQBsAHMAXAAiACwAIABcACIAQgBlAGUAZgAgAGMAYQB0AHQAbABlAFwAIgAsACAAXAAiAEMAYQB0AHQAbABlACwAIABmAG8AcgAgAHAAcgBpAG0AZQAgAGIAZQBlAGYAXAAiACwAIABcACIAUQBMAEQAXAAiACwAIABcACIAawBnACAAbABpAHYAZQB3AGUAaQBnAGgAdABcACIALAAgADEAMwAuADkALAAgAFwAIgBhAHQAIABtAGEAcgBrAGUAdABcACIAOwBcAG4AIAAgACAAIAAgACAAIAAgAFwAIgBBAG4AaQBtAGEAbABzAFwAIgAsACAAXAAiAEIAZQBlAGYAIABjAGEAdAB0AGwAZQBcACIALAAgAFwAIgBDAGEAdAB0AGwAZQAsACAAZgBvAHIAIABwAHIAaQBtAGUAIABiAGUAZQBmAFwAIgAsACAAXAAiAFMAQQBcACIALAAgAFwAIgBrAGcAIABsAGkAdgBlAHcAZQBpAGcAaAB0AFwAIgAsACAAMQAyAC4AMwAsACAAXAAiAGEAdAAgAG0AYQByAGsAZQB0AFwAIgA7AFwAbgAgACAAIAAgACAAIAAgACAAXAAiAEEAbgBpAG0AYQBsAHMAXAAiACwAIABcACIAQgBlAGUAZgAgAGMAYQB0AHQAbABlAFwAIgAsACAAXAAiAEMAYQB0AHQAbABlACwAIABmAG8AcgAgAHAAcgBpAG0AZQAgAGIAZQBlAGYAXAAiACwAIABcACIAVABBAFMAXAAiACwAIABcACIAawBnACAAbABpAHYAZQB3AGUAaQBnAGgAdABcACIALAAgADEAMQAuADUALAAgAFwAIgBhAHQAIABtAGEAcgBrAGUAdABcACIAOwBcAG4AIAAgACAAIAAgACAAIAAgAFwAIgBBAG4AaQBtAGEAbABzAFwAIgAsACAAXAAiAEIAZQBlAGYAIABjAGEAdAB0AGwAZQBcACIALAAgAFwAIgBDAGEAdAB0AGwAZQAsACAAZgBvAHIAIABwAHIAaQBtAGUAIABiAGUAZQBmAFwAIgAsACAAXAAiAFYASQBDAFwAIgAsACAAXAAiAGsAZwAgAGwAaQB2AGUAdwBlAGkAZwBoAHQAXAAiACwAIAAxADEALgA1ACwAIABcACIAYQB0ACAAbQBhAHIAawBlAHQAXAAiADsAXABuACAAIAAgACAAIAAgACAAIABcACIAQQBuAGkAbQBhAGwAcwBcACIALAAgAFwAIgBCAGUAZQBmACAAYwBhAHQAdABsAGUAXAAiACwAIABcACIAQwBhAHQAdABsAGUALAAgAGYAbwByACAAcAByAGkAbQBlACAAYgBlAGUAZgBcACIALAAgAFwAIgBXAEEAXAAiACwAIABcACIAawBnACAAbABpAHYAZQB3AGUAaQBnAGgAdABcACIALAAgADIAMAAuADgALAAgAFwAIgBhAHQAIABtAGEAcgBrAGUAdABcACIAOwBcAG4AIAAgACAAIAAgACAAIAAgAFwAIgBBAG4AaQBtAGEAbABzAFwAIgAsACAAXAAiAEIAZQBlAGYAIABjAGEAdAB0AGwAZQBcACIALAAgAFwAIgBDAGEAdAB0AGwAZQAsACAAdwBlAGEAbgBlAHIAcwBcACIALAAgAFwAIgBBAHUAcwB0AHIAYQBsAGkAYQBcACIALAAgAFwAIgBrAGcAIABsAGkAdgBlAHcAZQBpAGcAaAB0AFwAIgAsACAAMQA1AC4ANQAsACAAXAAiAGEAdAAgAG0AYQByAGsAZQB0AFwAIgA7AFwAbgAgACAAIAAgACAAIAAgACAAXAAiAEEAbgBpAG0AYQBsAHMAXAAiACwAIABcACIAQgBlAGUAZgAgAGMAYQB0AHQAbABlAFwAIgAsACAAXAAiAEMAYQB0AHQAbABlACwAIAB3AGUAYQBuAGUAcgBzAFwAIgAsACAAXAAiAE4AUwBXAFwAIgAsACAAXAAiAGsAZwAgAGwAaQB2AGUAdwBlAGkAZwBoAHQAXAAiACwAIAAxADIALgA3ACwAIABcACIAYQB0ACAAbQBhAHIAawBlAHQAXAAiADsAXABuACAAIAAgACAAIAAgACAAIABcACIAQQBuAGkAbQBhAGwAcwBcACIALAAgAFwAIgBCAGUAZQBmACAAYwBhAHQAdABsAGUAXAAiACwAIABcACIAQwBhAHQAdABsAGUALAAgAHcAZQBhAG4AZQByAHMAXAAiACwAIABcACIATgBUAFwAIgAsACAAXAAiAGsAZwAgAGwAaQB2AGUAdwBlAGkAZwBoAHQAXAAiACwAIAAxADkALgAxACwAIABcACIAYQB0ACAAbQBhAHIAawBlAHQAXAAiADsAXABuACAAIAAgACAAIAAgACAAIABcACIAQQBuAGkAbQBhAGwAcwBcACIALAAgAFwAIgBCAGUAZQBmACAAYwBhAHQAdABsAGUAXAAiACwAIABcACIAQwBhAHQAdABsAGUALAAgAHcAZQBhAG4AZQByAHMAXAAiACwAIABcACIAUQBMAEQAXAAiACwAIABcACIAawBnACAAbABpAHYAZQB3AGUAaQBnAGgAdABcACIALAAgADIAMAAuADUALAAgAFwAIgBhAHQAIABtAGEAcgBrAGUAdABcACIAOwBcAG4AIAAgACAAIAAgACAAIAAgAFwAIgBBAG4AaQBtAGEAbABzAFwAIgAsACAAXAAiAEIAZQBlAGYAIABjAGEAdAB0AGwAZQBcACIALAAgAFwAIgBDAGEAdAB0AGwAZQAsACAAdwBlAGEAbgBlAHIAcwBcACIALAAgAFwAIgBTAEEAXAAiACwAIABcACIAawBnACAAbABpAHYAZQB3AGUAaQBnAGgAdABcACIALAAgADEAMAAuADgALAAgAFwAIgBhAHQAIABtAGEAcgBrAGUAdABcACIAOwBcAG4AIAAgACAAIAAgACAAIAAgAFwAIgBBAG4AaQBtAGEAbABzAFwAIgAsACAAXAAiAEIAZQBlAGYAIABjAGEAdAB0AGwAZQBcACIALAAgAFwAIgBDAGEAdAB0AGwAZQAsACAAdwBlAGEAbgBlAHIAcwBcACIALAAgAFwAIgBUAEEAUwBcACIALAAgAFwAIgBrAGcAIABsAGkAdgBlAHcAZQBpAGcAaAB0AFwAIgAsACAAMQAzAC4ANAAsACAAXAAiAGEAdAAgAG0AYQByAGsAZQB0AFwAIgA7AFwAbgAgACAAIAAgACAAIAAgACAAXAAiAEEAbgBpAG0AYQBsAHMAXAAiACwAIABcACIAQgBlAGUAZgAgAGMAYQB0AHQAbABlAFwAIgAsACAAXAAiAEMAYQB0AHQAbABlACwAIAB3AGUAYQBuAGUAcgBzAFwAIgAsACAAXAAiAFYASQBDAFwAIgAsACAAXAAiAGsAZwAgAGwAaQB2AGUAdwBlAGkAZwBoAHQAXAAiACwAIAAxADIALAAgAFwAIgBhAHQAIABtAGEAcgBrAGUAdABcACIAOwBcAG4AIAAgACAAIAAgACAAIAAgAFwAIgBBAG4AaQBtAGEAbABzAFwAIgAsACAAXAAiAEIAZQBlAGYAIABjAGEAdAB0AGwAZQBcACIALAAgAFwAIgBDAGEAdAB0AGwAZQAsACAAdwBlAGEAbgBlAHIAcwBcACIALAAgAFwAIgBXAEEAXAAiACwAIABcACIAawBnACAAbABpAHYAZQB3AGUAaQBnAGgAdABcACIALAAgADEAMgAuADQALAAgAFwAIgBhAHQAIABtAGEAcgBrAGUAdABcACIAOwBcAG4AIAAgACAAIAAgACAAIAAgAFwAIgBBAG4AaQBtAGEAbABzAFwAIgAsACAAXAAiAEMAaABpAGMAawBlAG4AcwBcACIALAAgAFwAIgBDAGgAaQBjAGsAZQBuAHMAXAAiACwAIABcACIAQQB1AHMAdAByAGEAbABpAGEAXAAiACwAIABcACIAawBnACAAbABpAHYAZQB3AGUAaQBnAGgAdABcACIALAAgADEALgAzADYALAAgAFwAIgBhAHQAIABtAGEAcgBrAGUAdABcACIAOwBcAG4AIAAgACAAIAAgACAAIAAgAFwAIgBBAG4AaQBtAGEAbABzAFwAIgAsACAAXAAiAEQAYQBpAHIAeQAgAGMAYQB0AHQAbABlAFwAIgAsACAAXAAiAEQAYQBpAHIAeQAgAGMAbwB3AHMAXAAiACwAIABcACIAVgBJAEMAXAAiACwAIABcACIAawBnACAAbABpAHYAZQB3AGUAaQBnAGgAdABcACIALAAgADQALgA0ADEALAAgAFwAIgBhAHQAIABtAGEAcgBrAGUAdABcACIAOwBcAG4AIAAgACAAIAAgACAAIAAgAFwAIgBBAG4AaQBtAGEAbABzAFwAIgAsACAAXAAiAFAAaQBnAHMAXAAiACwAIABcACIAUABpAGcAcwBcACIALAAgAFwAIgBBAHUAcwB0AHIAYQBsAGkAYQBcACIALAAgAFwAIgBrAGcAIABsAGkAdgBlAHcAZQBpAGcAaAB0AFwAIgAsACAAMwAuADMAOAAsACAAXAAiAGEAdAAgAG0AYQByAGsAZQB0AFwAIgA7AFwAbgAgACAAIAAgACAAIAAgACAAXAAiAEEAbgBpAG0AYQBsAHMAXAAiACwAIABcACIAUwBoAGUAZQBwAFwAIgAsACAAXAAiAFMAaABlAGUAcAAsACAAZgBvAHIAIABtAHUAdAB0AG8AbgBcACIALAAgAFwAIgBBAHUAcwB0AHIAYQBsAGkAYQBcACIALAAgAFwAIgBrAGcAIABsAGkAdgBlAHcAZQBpAGcAaAB0AFwAIgAsACAANgAuADgAMQAsACAAXAAiAGEAdAAgAG0AYQByAGsAZQB0AFwAIgA7AFwAbgAgACAAIAAgACAAIAAgACAAXAAiAEEAbgBpAG0AYQBsAHMAXAAiACwAIABcACIAUwBoAGUAZQBwAFwAIgAsACAAXAAiAFMAaABlAGUAcAAsACAAZgBvAHIAIABtAHUAdAB0AG8AbgBcACIALAAgAFwAIgBOAFMAVwBcACIALAAgAFwAIgBrAGcAIABsAGkAdgBlAHcAZQBpAGcAaAB0AFwAIgAsACAAMgAuADIANgAsACAAXAAiAGEAdAAgAG0AYQByAGsAZQB0AFwAIgA7AFwAbgAgACAAIAAgACAAIAAgACAAXAAiAEEAbgBpAG0AYQBsAHMAXAAiACwAIABcACIAUwBoAGUAZQBwAFwAIgAsACAAXAAiAFMAaABlAGUAcAAsACAAZgBvAHIAIABtAHUAdAB0AG8AbgBcACIALAAgAFwAIgBRAEwARABcACIALAAgAFwAIgBrAGcAIABsAGkAdgBlAHcAZQBpAGcAaAB0AFwAIgAsACAANgAuADMAMwAsACAAXAAiAGEAdAAgAG0AYQByAGsAZQB0AFwAIgA7AFwAbgAgACAAIAAgACAAIAAgACAAXAAiAEEAbgBpAG0AYQBsAHMAXAAiACwAIABcACIAUwBoAGUAZQBwAFwAIgAsACAAXAAiAFMAaABlAGUAcAAsACAAZgBvAHIAIABtAHUAdAB0AG8AbgBcACIALAAgAFwAIgBTAEEAXAAiACwAIABcACIAawBnACAAbABpAHYAZQB3AGUAaQBnAGgAdABcACIALAAgADYALgAxADgALAAgAFwAIgBhAHQAIABtAGEAcgBrAGUAdABcACIAOwBcAG4AIAAgACAAIAAgACAAIAAgAFwAIgBBAG4AaQBtAGEAbABzAFwAIgAsACAAXAAiAFMAaABlAGUAcABcACIALAAgAFwAIgBTAGgAZQBlAHAALAAgAGYAbwByACAAbQB1AHQAdABvAG4AXAAiACwAIABcACIAVABBAFMAXAAiACwAIABcACIAawBnACAAbABpAHYAZQB3AGUAaQBnAGgAdABcACIALAAgADcALgA1ACwAIABcACIAYQB0ACAAbQBhAHIAawBlAHQAXAAiADsAXABuACAAIAAgACAAIAAgACAAIABcACIAQQBuAGkAbQBhAGwAcwBcACIALAAgAFwAIgBTAGgAZQBlAHAAXAAiACwAIABcACIAUwBoAGUAZQBwACwAIABmAG8AcgAgAG0AdQB0AHQAbwBuAFwAIgAsACAAXAAiAFYASQBDAFwAIgAsACAAXAAiAGsAZwAgAGwAaQB2AGUAdwBlAGkAZwBoAHQAXAAiACwAIAA4AC4AMAA4ACwAIABcACIAYQB0ACAAbQBhAHIAawBlAHQAXAAiADsAXABuACAAIAAgACAAIAAgACAAIABcACIAQQBuAGkAbQBhAGwAcwBcACIALAAgAFwAIgBTAGgAZQBlAHAAXAAiACwAIABcACIAUwBoAGUAZQBwACwAIABmAG8AcgAgAG0AdQB0AHQAbwBuAFwAIgAsACAAXAAiAFcAQQBcACIALAAgAFwAIgBrAGcAIABsAGkAdgBlAHcAZQBpAGcAaAB0AFwAIgAsACAANQAuADQANQAsACAAXAAiAGEAdAAgAG0AYQByAGsAZQB0AFwAIgA7AFwAbgAgACAAIAAgACAAIAAgACAAXAAiAEEAbgBpAG0AYQBsAHMAXAAiACwAIABcACIAUwBoAGUAZQBwAFwAIgAsACAAXAAiAFMAaABlAGUAcAAsACAAZgBvAHIAIABwAHIAaQBtAGUAIABsAGEAbQBiAFwAIgAsACAAXAAiAEEAdQBzAHQAcgBhAGwAaQBhAFwAIgAsACAAXAAiAGsAZwAgAGwAaQB2AGUAdwBlAGkAZwBoAHQAXAAiACwAIAA3AC4AMQA1ACwAIABcACIAYQB0ACAAbQBhAHIAawBlAHQAXAAiADsAXABuACAAIAAgACAAIAAgACAAIABcACIAQQBuAGkAbQBhAGwAcwBcACIALAAgAFwAIgBTAGgAZQBlAHAAXAAiACwAIABcACIAUwBoAGUAZQBwACwAIABmAG8AcgAgAHAAcgBpAG0AZQAgAGwAYQBtAGIAXAAiACwAIABcACIATgBTAFcAXAAiACwAIABcACIAawBnACAAbABpAHYAZQB3AGUAaQBnAGgAdABcACIALAAgADgALgAyADkALAAgAFwAIgBhAHQAIABtAGEAcgBrAGUAdABcACIAOwBcAG4AIAAgACAAIAAgACAAIAAgAFwAIgBBAG4AaQBtAGEAbABzAFwAIgAsACAAXAAiAFMAaABlAGUAcABcACIALAAgAFwAIgBTAGgAZQBlAHAALAAgAGYAbwByACAAcAByAGkAbQBlACAAbABhAG0AYgBcACIALAAgAFwAIgBRAEwARABcACIALAAgAFwAIgBrAGcAIABsAGkAdgBlAHcAZQBpAGcAaAB0AFwAIgAsACAANgAuADMAOQAsACAAXAAiAGEAdAAgAG0AYQByAGsAZQB0AFwAIgA7AFwAbgAgACAAIAAgACAAIAAgACAAXAAiAEEAbgBpAG0AYQBsAHMAXAAiACwAIABcACIAUwBoAGUAZQBwAFwAIgAsACAAXAAiAFMAaABlAGUAcAAsACAAZgBvAHIAIABwAHIAaQBtAGUAIABsAGEAbQBiAFwAIgAsACAAXAAiAFMAQQBcACIALAAgAFwAIgBrAGcAIABsAGkAdgBlAHcAZQBpAGcAaAB0AFwAIgAsACAANgAuADgANwAsACAAXAAiAGEAdAAgAG0AYQByAGsAZQB0AFwAIgA7AFwAbgAgACAAIAAgACAAIAAgACAAXAAiAEEAbgBpAG0AYQBsAHMAXAAiACwAIABcACIAUwBoAGUAZQBwAFwAIgAsACAAXAAiAFMAaABlAGUAcAAsACAAZgBvAHIAIABwAHIAaQBtAGUAIABsAGEAbQBiAFwAIgAsACAAXAAiAFQAQQBTAFwAIgAsACAAXAAiAGsAZwAgAGwAaQB2AGUAdwBlAGkAZwBoAHQAXAAiACwAIAA4AC4ANgA2ACwAIABcACIAYQB0ACAAbQBhAHIAawBlAHQAXAAiADsAXABuACAAIAAgACAAIAAgACAAIABcACIAQQBuAGkAbQBhAGwAcwBcACIALAAgAFwAIgBTAGgAZQBlAHAAXAAiACwAIABcACIAUwBoAGUAZQBwACwAIABmAG8AcgAgAHAAcgBpAG0AZQAgAGwAYQBtAGIAXAAiACwAIABcACIAVgBJAEMAXAAiACwAIABcACIAawBnACAAbABpAHYAZQB3AGUAaQBnAGgAdABcACIALAAgADEAMAAsACAAXAAiAGEAdAAgAG0AYQByAGsAZQB0AFwAIgA7AFwAbgAgACAAIAAgACAAIAAgACAAXAAiAEEAbgBpAG0AYQBsAHMAXAAiACwAIABcACIAUwBoAGUAZQBwAFwAIgAsACAAXAAiAFMAaABlAGUAcAAsACAAZgBvAHIAIABwAHIAaQBtAGUAIABsAGEAbQBiAFwAIgAsACAAXAAiAFcAQQBcACIALAAgAFwAIgBrAGcAIABsAGkAdgBlAHcAZQBpAGcAaAB0AFwAIgAsACAANQAuADYANwAsACAAXAAiAGEAdAAgAG0AYQByAGsAZQB0AFwAIgBcAG4AIAAgACAAIAAgACAAfQAsACAAcgAsACAAYwApAFwAbgApACkAKQA7AFwAbgBcAG4AXABuAC8AKgBcAG4APQA9AD0APQA9AD0APQA9AD0APQA9AD0APQA9AD0APQA9AD0APQA9AD0APQA9AD0APQA9AD0APQA9AD0APQA9AD0APQA9AD0APQA9AD0APQA9AD0APQA9AD0APQA9AD0APQA9AD0APQA9AD0APQA9AD0APQA9AD0APQA9AD0APQA9AD0APQA9AD0APQA9AD0APQA9AD0APQBcAG4AQwBoAGUAbQBpAGMAYQBsAHMAXABuAD0APQA9AD0APQA9AD0APQA9AD0APQA9AD0APQA9AD0APQA9AD0APQA9AD0APQA9AD0APQA9AD0APQA9AD0APQA9AD0APQA9AD0APQA9AD0APQA9AD0APQA9AD0APQA9AD0APQA9AD0APQA9AD0APQA9AD0APQA9AD0APQA9AD0APQA9AD0APQA9AD0APQA9AD0APQA9AD0AXABuACoALwBcAG4AXABuAFMAYwBvAHAAZQAzAF8AQwBoAGUAbQBpAGMAYQBsAHMAXwBUAGkAdABsAGUAXABuAD0ATABBAE0AQgBEAEEAKAAoAFwAIgBDAGgAZQBtAGkAYwBhAGwAcwAgAHMAYwBvAHAAZQAgADMAXAAiACkAKQA7AFwAbgBcAG4AUwBjAG8AcABlADMAXwBDAGgAZQBtAGkAYwBhAGwAcwBfAFMAbwB1AHIAYwBlAFwAbgA9AEwAQQBNAEIARABBACgAKABcACIATABpAGYAZQBjAHkAYwBsAGUAcwAuACAAKAAyADAAMgA2ACkALgAgAEcAcgBlAGUAbgBoAG8AdQBzAGUAIABHAGEAcwAgAEUAbQBpAHMAcwBpAG8AbgAgAEkAbgB0AGUAbgBzAGkAdABpAGUAcwAgAGYAbwByACAATQBhAHQAZQByAGkAYQBsACAASQBuAHAAdQB0AHMAIAB0AG8AIABBAHUAcwB0AHIAYQBsAGkAYQBuACAAQQBnAHIAaQBjAHUAbAB0AHUAcgBlACwAIABGAGkAcwBoAGUAcgBpAGUAcwAgAGEAbgBkACAARgBvAHIAZQBzAHQAcgB5AC4AIABWAGUAcgBzAGkAbwBuACAANAA4AC4AIABkAG8AaQAgADEAMAAuADUAMgA4ADEALwB6AGUAbgBvAGQAbwAuADEAOQA2ADUANgA1ADgAMABcACIAKQApADsAXABuAFwAbgBTAGMAbwBwAGUAMwBfAEMAaABlAG0AaQBjAGEAbABzAF8AVgBhAHIAaQBhAHQAaQBvAG4AXABuAD0ATABBAE0AQgBEAEEAKAAoAFwAIgBcACIAKQApADsAXABuAFwAbgBTAGMAbwBwAGUAMwBfAEMAaABlAG0AaQBjAGEAbABzAF8ARABhAHQAYQBcAG4APQBMAEEATQBCAEQAQQAoAFwAbgAgACAATQBBAEsARQBBAFIAUgBBAFkAKAA4ACwAIAA3ACwAXABuACAAIAAgACAATABBAE0AQgBEAEEAKAByACwAYwAsAFwAbgAgACAAIAAgACAAIABJAE4ARABFAFgAKAB7AFwAbgAgACAAIAAgACAAIAAgACAAXAAiAEMAYQB0AGUAZwBvAHIAeQBcACIALAAgAFwAIgBTAHUAYgAtAGMAYQB0AGUAZwBvAHIAeQBcACIALAAgAFwAIgBQAHIAbwBkAHUAYwB0ACAAbgBhAG0AZQBcACIALAAgAFwAIgBSAGUAZwBpAG8AbgAgAG8AZgAgAG8AcgBpAGcAaQBuAFwAIgAsACAAXAAiAFAAcgBvAGQAdQBjAHQAIABVAG4AaQB0AFwAIgAsACAAXAAiAEcASABHACAAZQBtAGkAcwBzAGkAbwBuACAAaQBuAHQAZQBuAHMAaQB0AHkAXAAiACwAIABcACIAUwB5AHMAdABlAG0AIABiAG8AdQBuAGQAYQByAHkAXAAiADsAXABuACAAIAAgACAAIAAgACAAIABcACIAQwBoAGUAbQBpAGMAYQBsAHMAXAAiACwAIABcACIAQwBsAGUAYQBuAGkAbgBnACAAYwBoAGUAbQBpAGMAYQBsAHMAXAAiACwAIABcACIAQQBsAGsAYQBsAGkAbgBlACAAYwBsAGUAYQBuAGUAcgBcACIALAAgAFwAIgBHAGwAbwBiAGEAbABcACIALAAgAFwAIgBrAGcAXAAiACwAIAAwAC4ANwAyADIALAAgAFwAIgBhAHQAIABtAGEAbgB1AGYAYQBjAHQAdQByAGUAcgBcACIAOwBcAG4AIAAgACAAIAAgACAAIAAgAFwAIgBDAGgAZQBtAGkAYwBhAGwAcwBcACIALAAgAFwAIgBDAGwAZQBhAG4AaQBuAGcAIABjAGgAZQBtAGkAYwBhAGwAcwBcACIALAAgAFwAIgBCAGwAZQBhAGMAaABcACIALAAgAFwAIgBHAGwAbwBiAGEAbABcACIALAAgAFwAIgBrAGcAXAAiACwAIAAwAC4AOAAwADQALAAgAFwAIgBhAHQAIABtAGEAbgB1AGYAYQBjAHQAdQByAGUAcgBcACIAOwBcAG4AIAAgACAAIAAgACAAIAAgAFwAIgBDAGgAZQBtAGkAYwBhAGwAcwBcACIALAAgAFwAIgBDAGwAZQBhAG4AaQBuAGcAIABjAGgAZQBtAGkAYwBhAGwAcwBcACIALAAgAFwAIgBQAGgAbwBzAHAAaABvAHIAaQBjACAAYQBjAGkAZABcACIALAAgAFwAIgBHAGwAbwBiAGEAbABcACIALAAgAFwAIgBrAGcAXAAiACwAIAAwAC4AOQAwADcALAAgAFwAIgBhAHQAIABtAGEAbgB1AGYAYQBjAHQAdQByAGUAcgBcACIAOwBcAG4AIAAgACAAIAAgACAAIAAgAFwAIgBDAGgAZQBtAGkAYwBhAGwAcwBcACIALAAgAFwAIgBQAGgAYQByAG0AYQBjAHkAIABjAGgAZQBtAGkAYwBhAGwAcwBcACIALAAgAFwAIgBQAGEAcgBhAHMAaQB0AGUAIABjAG8AbgB0AHIAbwBsACAAZgBvAHIAIABjAGEAdAB0AGwAZQAgACgAZQB4AHQAZQByAG4AYQBsACkALAAgAGQAaQBwAHAAaQBuAGcAXAAiACwAIABcACIARwBsAG8AYgBhAGwAXAAiACwAIABcACIAcAAgACgAaABlAGEAZAApAFwAIgAsACAAMAAuADAANQA0ADcALAAgAFwAIgBhAHQAIABtAGEAbgB1AGYAYQBjAHQAdQByAGUAcgBcACIAOwBcAG4AIAAgACAAIAAgACAAIAAgAFwAIgBDAGgAZQBtAGkAYwBhAGwAcwBcACIALAAgAFwAIgBQAGgAYQByAG0AYQBjAHkAIABjAGgAZQBtAGkAYwBhAGwAcwBcACIALAAgAFwAIgBQAGEAcgBhAHMAaQB0AGUAIABjAG8AbgB0AHIAbwBsACAAZgBvAHIAIABjAGEAdAB0AGwAZQAgACgAaQBuAHQAZQByAG4AYQBsACkAXAAiACwAIABcACIARwBsAG8AYgBhAGwAXAAiACwAIABcACIAcAAgACgAaABlAGEAZAApAFwAIgAsACAAMAAuADAAMQA0ADIALAAgAFwAIgBhAHQAIABtAGEAbgB1AGYAYQBjAHQAdQByAGUAcgBcACIAOwBcAG4AIAAgACAAIAAgACAAIAAgAFwAIgBDAGgAZQBtAGkAYwBhAGwAcwBcACIALAAgAFwAIgBQAGgAYQByAG0AYQBjAHkAIABjAGgAZQBtAGkAYwBhAGwAcwBcACIALAAgAFwAIgBQAGEAcgBhAHMAaQB0AGUAIABjAG8AbgB0AHIAbwBsACAAZgBvAHIAIABzAGgAZQBlAHAAIAAoAGUAeAB0AGUAcgBuAGEAbAApAFwAIgAsACAAXAAiAEcAbABvAGIAYQBsAFwAIgAsACAAXAAiAHAAIAAoAGgAZQBhAGQAKQBcACIALAAgADAALgAwADEANAAzACwAIABcACIAYQB0ACAAbQBhAG4AdQBmAGEAYwB0AHUAcgBlAHIAXAAiADsAXABuACAAIAAgACAAIAAgACAAIABcACIAQwBoAGUAbQBpAGMAYQBsAHMAXAAiACwAIABcACIAUABoAGEAcgBtAGEAYwB5ACAAYwBoAGUAbQBpAGMAYQBsAHMAXAAiACwAIABcACIAUABhAHIAYQBzAGkAdABlACAAYwBvAG4AdAByAG8AbAAgAGYAbwByACAAcwBoAGUAZQBwACAAKABpAG4AdABlAHIAbgBhAGwAKQBcACIALAAgAFwAIgBHAGwAbwBiAGEAbABcACIALAAgAFwAIgBwACAAKABoAGUAYQBkACkAXAAiACwAIAAwAC4AMAAwADQAMgA2ACwAIABcACIAYQB0ACAAbQBhAG4AdQBmAGEAYwB0AHUAcgBlAHIAXAAiAFwAbgAgACAAIAAgACAAIAB9ACwAIAByACwAIABjACkAXABuACkAKQApADsAXABuAFwAbgBcAG4ALwAqAFwAbgA9AD0APQA9AD0APQA9AD0APQA9AD0APQA9AD0APQA9AD0APQA9AD0APQA9AD0APQA9AD0APQA9AD0APQA9AD0APQA9AD0APQA9AD0APQA9AD0APQA9AD0APQA9AD0APQA9AD0APQA9AD0APQA9AD0APQA9AD0APQA9AD0APQA9AD0APQA9AD0APQA9AD0APQA9AD0APQA9AFwAbgBGAGUAZQBkAFwAbgA9AD0APQA9AD0APQA9AD0APQA9AD0APQA9AD0APQA9AD0APQA9AD0APQA9AD0APQA9AD0APQA9AD0APQA9AD0APQA9AD0APQA9AD0APQA9AD0APQA9AD0APQA9AD0APQA9AD0APQA9AD0APQA9AD0APQA9AD0APQA9AD0APQA9AD0APQA9AD0APQA9AD0APQA9AD0APQA9AFwAbgAqAC8AXABuAFwAbgBTAGMAbwBwAGUAMwBfAEYAZQBlAGQAXwBUAGkAdABsAGUAXABuAD0ATABBAE0AQgBEAEEAKAAoAFwAIgBGAGUAZQBkACAAcwBjAG8AcABlACAAMwBcACIAKQApADsAXABuAFwAbgBTAGMAbwBwAGUAMwBfAEYAZQBlAGQAXwBTAG8AdQByAGMAZQBcAG4APQBMAEEATQBCAEQAQQAoACgAXAAiAEwAaQBmAGUAYwB5AGMAbABlAHMALgAgACgAMgAwADIANgApAC4AIABHAHIAZQBlAG4AaABvAHUAcwBlACAARwBhAHMAIABFAG0AaQBzAHMAaQBvAG4AIABJAG4AdABlAG4AcwBpAHQAaQBlAHMAIABmAG8AcgAgAE0AYQB0AGUAcgBpAGEAbAAgAEkAbgBwAHUAdABzACAAdABvACAAQQB1AHMAdAByAGEAbABpAGEAbgAgAEEAZwByAGkAYwB1AGwAdAB1AHIAZQAsACAARgBpAHMAaABlAHIAaQBlAHMAIABhAG4AZAAgAEYAbwByAGUAcwB0AHIAeQAuACAAVgBlAHIAcwBpAG8AbgAgADQAOAAuACAAZABvAGkAIAAxADAALgA1ADIAOAAxAC8AegBlAG4AbwBkAG8ALgAxADkANgA1ADYANQA4ADAAXAAiACkAKQA7AFwAbgBcAG4AUwBjAG8AcABlADMAXwBGAGUAZQBkAF8AVgBhAHIAaQBhAHQAaQBvAG4AXABuAD0ATABBAE0AQgBEAEEAKAAoAFwAIgBcACIAKQApADsAXABuAFwAbgBTAGMAbwBwAGUAMwBfAEYAZQBlAGQAXwBEAGEAdABhAFwAbgA9AEwAQQBNAEIARABBACgAXABuACAAIABNAEEASwBFAEEAUgBSAEEAWQAoADcAOAAsACAANwAsAFwAbgAgACAAIAAgAEwAQQBNAEIARABBACgAcgAsAGMALABcAG4AIAAgACAAIAAgACAASQBOAEQARQBYACgAewBcAG4AIAAgACAAIAAgACAAIAAgAFwAIgBDAGEAdABlAGcAbwByAHkAXAAiACwAIABcACIAUwB1AGIALQBjAGEAdABlAGcAbwByAHkAXAAiACwAIABcACIAUAByAG8AZAB1AGMAdAAgAG4AYQBtAGUAXAAiACwAIABcACIAUgBlAGcAaQBvAG4AIABvAGYAIABvAHIAaQBnAGkAbgBcACIALAAgAFwAIgBQAHIAbwBkAHUAYwB0ACAAVQBuAGkAdABcACIALAAgAFwAIgBHAEgARwAgAGUAbQBpAHMAcwBpAG8AbgAgAGkAbgB0AGUAbgBzAGkAdAB5AFwAIgAsACAAXAAiAFMAeQBzAHQAZQBtACAAYgBvAHUAbgBkAGEAcgB5AFwAIgA7AFwAbgAgACAAIAAgACAAIAAgACAAXAAiAEYAZQBlAGQAXAAiACwAIABcACIAQQBxAHUAYQBjAHUAbAB0AHUAcgBlACAAZgBlAGUAZABcACIALAAgAFwAIgBTAGEAcgBkAGkAbgBlAHMAIAAoAHcAaABvAGwAZQApAFwAIgAsACAAXAAiAFMAQQBcACIALAAgAFwAIgBrAGcAXAAiACwAIAAwAC4AMwA3ADYALAAgAFwAIgBhAHQAIABtAGEAcgBrAGUAdABcACIAOwBcAG4AIAAgACAAIAAgACAAIAAgAFwAIgBGAGUAZQBkAFwAIgAsACAAXAAiAEcAcgBhAGkAbgBcACIALAAgAFwAIgBCAGEAcgBsAGUAeQAgAGcAcgBhAGkAbgBcACIALAAgAFwAIgBBAHUAcwB0AHIAYQBsAGkAYQBcACIALAAgAFwAIgBrAGcAXAAiACwAIAAwAC4AMgAzADkALAAgAFwAIgBhAHQAIABtAGEAcgBrAGUAdABcACIAOwBcAG4AIAAgACAAIAAgACAAIAAgAFwAIgBGAGUAZQBkAFwAIgAsACAAXAAiAEcAcgBhAGkAbgBcACIALAAgAFwAIgBCAGEAcgBsAGUAeQAgAGcAcgBhAGkAbgBcACIALAAgAFwAIgBOAFMAVwBcACIALAAgAFwAIgBrAGcAXAAiACwAIAAwAC4AMgA1ADYALAAgAFwAIgBhAHQAIABtAGEAcgBrAGUAdABcACIAOwBcAG4AIAAgACAAIAAgACAAIAAgAFwAIgBGAGUAZQBkAFwAIgAsACAAXAAiAEcAcgBhAGkAbgBcACIALAAgAFwAIgBCAGEAcgBsAGUAeQAgAGcAcgBhAGkAbgBcACIALAAgAFwAIgBOAFQAXAAiACwAIABcACIAawBnAFwAIgAsACAAMAAuADMAMwAyACwAIABcACIAYQB0ACAAbQBhAHIAawBlAHQAXAAiADsAXABuACAAIAAgACAAIAAgACAAIABcACIARgBlAGUAZABcACIALAAgAFwAIgBHAHIAYQBpAG4AXAAiACwAIABcACIAQgBhAHIAbABlAHkAIABnAHIAYQBpAG4AXAAiACwAIABcACIAUQBMAEQAXAAiACwAIABcACIAawBnAFwAIgAsACAAMAAuADIANgA5ACwAIABcACIAYQB0ACAAbQBhAHIAawBlAHQAXAAiADsAXABuACAAIAAgACAAIAAgACAAIABcACIARgBlAGUAZABcACIALAAgAFwAIgBHAHIAYQBpAG4AXAAiACwAIABcACIAQgBhAHIAbABlAHkAIABnAHIAYQBpAG4AXAAiACwAIABcACIAUwBBAFwAIgAsACAAXAAiAGsAZwBcACIALAAgADAALgAyADIAMwAsACAAXAAiAGEAdAAgAG0AYQByAGsAZQB0AFwAIgA7AFwAbgAgACAAIAAgACAAIAAgACAAXAAiAEYAZQBlAGQAXAAiACwAIABcACIARwByAGEAaQBuAFwAIgAsACAAXAAiAEIAYQByAGwAZQB5ACAAZwByAGEAaQBuAFwAIgAsACAAXAAiAFQAQQBTAFwAIgAsACAAXAAiAGsAZwBcACIALAAgADAALgAzADAANwAsACAAXAAiAGEAdAAgAG0AYQByAGsAZQB0AFwAIgA7AFwAbgAgACAAIAAgACAAIAAgACAAXAAiAEYAZQBlAGQAXAAiACwAIABcACIARwByAGEAaQBuAFwAIgAsACAAXAAiAEIAYQByAGwAZQB5ACAAZwByAGEAaQBuAFwAIgAsACAAXAAiAFYASQBDAFwAIgAsACAAXAAiAGsAZwBcACIALAAgADAALgAyADQAMQAsACAAXAAiAGEAdAAgAG0AYQByAGsAZQB0AFwAIgA7AFwAbgAgACAAIAAgACAAIAAgACAAXAAiAEYAZQBlAGQAXAAiACwAIABcACIARwByAGEAaQBuAFwAIgAsACAAXAAiAEIAYQByAGwAZQB5ACAAZwByAGEAaQBuAFwAIgAsACAAXAAiAFcAQQBcACIALAAgAFwAIgBrAGcAXAAiACwAIAAwAC4AMgAzADYALAAgAFwAIgBhAHQAIABtAGEAcgBrAGUAdABcACIAOwBcAG4AIAAgACAAIAAgACAAIAAgAFwAIgBGAGUAZQBkAFwAIgAsACAAXAAiAEcAcgBhAGkAbgBcACIALAAgAFwAIgBNAGEAaQB6AGUAIABnAHIAYQBpAG4AXAAiACwAIABcACIAQQB1AHMAdAByAGEAbABpAGEAXAAiACwAIABcACIAawBnAFwAIgAsACAAMAAuADEAOAAxACwAIABcACIAYQB0ACAAbQBhAHIAawBlAHQAXAAiADsAXABuACAAIAAgACAAIAAgACAAIABcACIARgBlAGUAZABcACIALAAgAFwAIgBHAHIAYQBpAG4AXAAiACwAIABcACIATQBhAGkAegBlACAAZwByAGEAaQBuAFwAIgAsACAAXAAiAE4AUwBXAFwAIgAsACAAXAAiAGsAZwBcACIALAAgADAALgAxADYAOQAsACAAXAAiAGEAdAAgAG0AYQByAGsAZQB0AFwAIgA7AFwAbgAgACAAIAAgACAAIAAgACAAXAAiAEYAZQBlAGQAXAAiACwAIABcACIARwByAGEAaQBuAFwAIgAsACAAXAAiAE0AYQBpAHoAZQAgAGcAcgBhAGkAbgBcACIALAAgAFwAIgBOAFQAXAAiACwAIABcACIAawBnAFwAIgAsACAAMAAuADIANQA2ACwAIABcACIAYQB0ACAAbQBhAHIAawBlAHQAXAAiADsAXABuACAAIAAgACAAIAAgACAAIABcACIARgBlAGUAZABcACIALAAgAFwAIgBHAHIAYQBpAG4AXAAiACwAIABcACIATQBhAGkAegBlACAAZwByAGEAaQBuAFwAIgAsACAAXAAiAFEATABEAFwAIgAsACAAXAAiAGsAZwBcACIALAAgADAALgAxADgANgAsACAAXAAiAGEAdAAgAG0AYQByAGsAZQB0AFwAIgA7AFwAbgAgACAAIAAgACAAIAAgACAAXAAiAEYAZQBlAGQAXAAiACwAIABcACIARwByAGEAaQBuAFwAIgAsACAAXAAiAE0AYQBpAHoAZQAgAGcAcgBhAGkAbgBcACIALAAgAFwAIgBTAEEAXAAiACwAIABcACIAawBnAFwAIgAsACAAMAAuADEANwA2ACwAIABcACIAYQB0ACAAbQBhAHIAawBlAHQAXAAiADsAXABuACAAIAAgACAAIAAgACAAIABcACIARgBlAGUAZABcACIALAAgAFwAIgBHAHIAYQBpAG4AXAAiACwAIABcACIATQBhAGkAegBlACAAZwByAGEAaQBuAFwAIgAsACAAXAAiAFYASQBDAFwAIgAsACAAXAAiAGsAZwBcACIALAAgADAALgAxADUAOQAsACAAXAAiAGEAdAAgAG0AYQByAGsAZQB0AFwAIgA7AFwAbgAgACAAIAAgACAAIAAgACAAXAAiAEYAZQBlAGQAXAAiACwAIABcACIARwByAGEAaQBuAFwAIgAsACAAXAAiAE0AYQBpAHoAZQAgAGcAcgBhAGkAbgBcACIALAAgAFwAIgBXAEEAXAAiACwAIABcACIAawBnAFwAIgAsACAAMAAuADIAOAA1ACwAIABcACIAYQB0ACAAbQBhAHIAawBlAHQAXAAiADsAXABuACAAIAAgACAAIAAgACAAIABcACIARgBlAGUAZABcACIALAAgAFwAIgBHAHIAYQBpAG4AXAAiACwAIABcACIAUwBvAHIAZwBoAHUAbQAgAGcAcgBhAGkAbgBcACIALAAgAFwAIgBBAHUAcwB0AHIAYQBsAGkAYQBcACIALAAgAFwAIgBrAGcAXAAiACwAIAAwAC4AMgAzADIALAAgAFwAIgBhAHQAIABtAGEAcgBrAGUAdABcACIAOwBcAG4AIAAgACAAIAAgACAAIAAgAFwAIgBGAGUAZQBkAFwAIgAsACAAXAAiAEcAcgBhAGkAbgBcACIALAAgAFwAIgBTAG8AcgBnAGgAdQBtACAAZwByAGEAaQBuAFwAIgAsACAAXAAiAE4AUwBXAFwAIgAsACAAXAAiAGsAZwBcACIALAAgADAALgAyADMAMgAsACAAXAAiAGEAdAAgAG0AYQByAGsAZQB0AFwAIgA7AFwAbgAgACAAIAAgACAAIAAgACAAXAAiAEYAZQBlAGQAXAAiACwAIABcACIARwByAGEAaQBuAFwAIgAsACAAXAAiAFMAbwByAGcAaAB1AG0AIABnAHIAYQBpAG4AXAAiACwAIABcACIAUQBMAEQAXAAiACwAIABcACIAawBnAFwAIgAsACAAMAAuADIAMwAxACwAIABcACIAYQB0ACAAbQBhAHIAawBlAHQAXAAiADsAXABuACAAIAAgACAAIAAgACAAIABcACIARgBlAGUAZABcACIALAAgAFwAIgBHAHIAYQBpAG4AXAAiACwAIABcACIAUwBvAHIAZwBoAHUAbQAgAGcAcgBhAGkAbgBcACIALAAgAFwAIgBTAEEAXAAiACwAIABcACIAawBnAFwAIgAsACAAMAAuADIAMQA4ACwAIABcACIAYQB0ACAAbQBhAHIAawBlAHQAXAAiADsAXABuACAAIAAgACAAIAAgACAAIABcACIARgBlAGUAZABcACIALAAgAFwAIgBHAHIAYQBpAG4AXAAiACwAIABcACIAUwBvAHIAZwBoAHUAbQAgAGcAcgBhAGkAbgBcACIALAAgAFwAIgBWAEkAQwBcACIALAAgAFwAIgBrAGcAXAAiACwAIAAwAC4AMgA0ADYALAAgAFwAIgBhAHQAIABtAGEAcgBrAGUAdABcACIAOwBcAG4AIAAgACAAIAAgACAAIAAgAFwAIgBGAGUAZQBkAFwAIgAsACAAXAAiAEcAcgBhAGkAbgBcACIALAAgAFwAIgBXAGgAZQBhAHQAIABnAHIAYQBpAG4AXAAiACwAIABcACIAQQB1AHMAdAByAGEAbABpAGEAXAAiACwAIABcACIAawBnAFwAIgAsACAAMAAuADIANgA4ACwAIABcACIAYQB0ACAAbQBhAHIAawBlAHQAXAAiADsAXABuACAAIAAgACAAIAAgACAAIABcACIARgBlAGUAZABcACIALAAgAFwAIgBHAHIAYQBpAG4AXAAiACwAIABcACIAVwBoAGUAYQB0ACAAZwByAGEAaQBuAFwAIgAsACAAXAAiAE4AUwBXAFwAIgAsACAAXAAiAGsAZwBcACIALAAgADAALgAyADgAMgAsACAAXAAiAGEAdAAgAG0AYQByAGsAZQB0AFwAIgA7AFwAbgAgACAAIAAgACAAIAAgACAAXAAiAEYAZQBlAGQAXAAiACwAIABcACIARwByAGEAaQBuAFwAIgAsACAAXAAiAFcAaABlAGEAdAAgAGcAcgBhAGkAbgBcACIALAAgAFwAIgBOAFQAXAAiACwAIABcACIAawBnAFwAIgAsACAAMAAuADMAOAA1ACwAIABcACIAYQB0ACAAbQBhAHIAawBlAHQAXAAiADsAXABuACAAIAAgACAAIAAgACAAIABcACIARgBlAGUAZABcACIALAAgAFwAIgBHAHIAYQBpAG4AXAAiACwAIABcACIAVwBoAGUAYQB0ACAAZwByAGEAaQBuAFwAIgAsACAAXAAiAFEATABEAFwAIgAsACAAXAAiAGsAZwBcACIALAAgADAALgAyADkANgAsACAAXAAiAGEAdAAgAG0AYQByAGsAZQB0AFwAIgA7AFwAbgAgACAAIAAgACAAIAAgACAAXAAiAEYAZQBlAGQAXAAiACwAIABcACIARwByAGEAaQBuAFwAIgAsACAAXAAiAFcAaABlAGEAdAAgAGcAcgBhAGkAbgBcACIALAAgAFwAIgBTAEEAXAAiACwAIABcACIAawBnAFwAIgAsACAAMAAuADIANAAxACwAIABcACIAYQB0ACAAbQBhAHIAawBlAHQAXAAiADsAXABuACAAIAAgACAAIAAgACAAIABcACIARgBlAGUAZABcACIALAAgAFwAIgBHAHIAYQBpAG4AXAAiACwAIABcACIAVwBoAGUAYQB0ACAAZwByAGEAaQBuAFwAIgAsACAAXAAiAFQAQQBTAFwAIgAsACAAXAAiAGsAZwBcACIALAAgADAALgAzADMAOAAsACAAXAAiAGEAdAAgAG0AYQByAGsAZQB0AFwAIgA7AFwAbgAgACAAIAAgACAAIAAgACAAXAAiAEYAZQBlAGQAXAAiACwAIABcACIARwByAGEAaQBuAFwAIgAsACAAXAAiAFcAaABlAGEAdAAgAGcAcgBhAGkAbgBcACIALAAgAFwAIgBWAEkAQwBcACIALAAgAFwAIgBrAGcAXAAiACwAIAAwAC4AMgA2ADYALAAgAFwAIgBhAHQAIABtAGEAcgBrAGUAdABcACIAOwBcAG4AIAAgACAAIAAgACAAIAAgAFwAIgBGAGUAZQBkAFwAIgAsACAAXAAiAEcAcgBhAGkAbgBcACIALAAgAFwAIgBXAGgAZQBhAHQAIABnAHIAYQBpAG4AXAAiACwAIABcACIAVwBBAFwAIgAsACAAXAAiAGsAZwBcACIALAAgADAALgAyADYAMQAsACAAXAAiAGEAdAAgAG0AYQByAGsAZQB0AFwAIgA7AFwAbgAgACAAIAAgACAAIAAgACAAXAAiAEYAZQBlAGQAXAAiACwAIABcACIASABhAHkAXAAiACwAIABcACIAQwBlAHIAZQBhAGwAIABoAGEAeQBcACIALAAgAFwAIgBBAHUAcwB0AHIAYQBsAGkAYQBcACIALAAgAFwAIgBrAGcAXAAiACwAIAAwAC4AMQAxADcALAAgAFwAIgBhAHQAIABtAGEAcgBrAGUAdABcACIAOwBcAG4AIAAgACAAIAAgACAAIAAgAFwAIgBGAGUAZQBkAFwAIgAsACAAXAAiAEgAYQB5AFwAIgAsACAAXAAiAEMAZQByAGUAYQBsACAAaABhAHkAXAAiACwAIABcACIATgBTAFcAXAAiACwAIABcACIAawBnAFwAIgAsACAAMAAuADEAMQA2ACwAIABcACIAYQB0ACAAbQBhAHIAawBlAHQAXAAiADsAXABuACAAIAAgACAAIAAgACAAIABcACIARgBlAGUAZABcACIALAAgAFwAIgBIAGEAeQBcACIALAAgAFwAIgBDAGUAcgBlAGEAbAAgAGgAYQB5AFwAIgAsACAAXAAiAFEATABEAFwAIgAsACAAXAAiAGsAZwBcACIALAAgADAALgAxADEAOAAsACAAXAAiAGEAdAAgAG0AYQByAGsAZQB0AFwAIgA7AFwAbgAgACAAIAAgACAAIAAgACAAXAAiAEYAZQBlAGQAXAAiACwAIABcACIASABhAHkAXAAiACwAIABcACIAQwBlAHIAZQBhAGwAIABoAGEAeQBcACIALAAgAFwAIgBTAEEAXAAiACwAIABcACIAawBnAFwAIgAsACAAMAAuADEAMQAxACwAIABcACIAYQB0ACAAbQBhAHIAawBlAHQAXAAiADsAXABuACAAIAAgACAAIAAgACAAIABcACIARgBlAGUAZABcACIALAAgAFwAIgBIAGEAeQBcACIALAAgAFwAIgBDAGUAcgBlAGEAbAAgAGgAYQB5AFwAIgAsACAAXAAiAFQAQQBTAFwAIgAsACAAXAAiAGsAZwBcACIALAAgADAALgAxADMAOQAsACAAXAAiAGEAdAAgAG0AYQByAGsAZQB0AFwAIgA7AFwAbgAgACAAIAAgACAAIAAgACAAXAAiAEYAZQBlAGQAXAAiACwAIABcACIASABhAHkAXAAiACwAIABcACIAQwBlAHIAZQBhAGwAIABoAGEAeQBcACIALAAgAFwAIgBWAEkAQwBcACIALAAgAFwAIgBrAGcAXAAiACwAIAAwAC4AMQAxADYALAAgAFwAIgBhAHQAIABtAGEAcgBrAGUAdABcACIAOwBcAG4AIAAgACAAIAAgACAAIAAgAFwAIgBGAGUAZQBkAFwAIgAsACAAXAAiAEgAYQB5AFwAIgAsACAAXAAiAEMAZQByAGUAYQBsACAAaABhAHkAXAAiACwAIABcACIAVwBBAFwAIgAsACAAXAAiAGsAZwBcACIALAAgADAALgAxADIAMgAsACAAXAAiAGEAdAAgAG0AYQByAGsAZQB0AFwAIgA7AFwAbgAgACAAIAAgACAAIAAgACAAXAAiAEYAZQBlAGQAXAAiACwAIABcACIASABhAHkAXAAiACwAIABcACIAQwBlAHIAZQBhAGwAIABzAGkAbABhAGcAZQBcACIALAAgAFwAIgBBAHUAcwB0AHIAYQBsAGkAYQBcACIALAAgAFwAIgBrAGcAXAAiACwAIAAwAC4AMAA3ADQANAAsACAAXAAiAGEAdAAgAG0AYQByAGsAZQB0AFwAIgA7AFwAbgAgACAAIAAgACAAIAAgACAAXAAiAEYAZQBlAGQAXAAiACwAIABcACIASABhAHkAXAAiACwAIABcACIAQwBlAHIAZQBhAGwAIABzAGkAbABhAGcAZQBcACIALAAgAFwAIgBOAFMAVwBcACIALAAgAFwAIgBrAGcAXAAiACwAIAAwAC4AMAA3ADMAOQAsACAAXAAiAGEAdAAgAG0AYQByAGsAZQB0AFwAIgA7AFwAbgAgACAAIAAgACAAIAAgACAAXAAiAEYAZQBlAGQAXAAiACwAIABcACIASABhAHkAXAAiACwAIABcACIAQwBlAHIAZQBhAGwAIABzAGkAbABhAGcAZQBcACIALAAgAFwAIgBRAEwARABcACIALAAgAFwAIgBrAGcAXAAiACwAIAAwAC4AMAA3ADkALAAgAFwAIgBhAHQAIABtAGEAcgBrAGUAdABcACIAOwBcAG4AIAAgACAAIAAgACAAIAAgAFwAIgBGAGUAZQBkAFwAIgAsACAAXAAiAEgAYQB5AFwAIgAsACAAXAAiAEMAZQByAGUAYQBsACAAcwBpAGwAYQBnAGUAXAAiACwAIABcACIAUwBBAFwAIgAsACAAXAAiAGsAZwBcACIALAAgADAALgAwADcAMAA2ACwAIABcACIAYQB0ACAAbQBhAHIAawBlAHQAXAAiADsAXABuACAAIAAgACAAIAAgACAAIABcACIARgBlAGUAZABcACIALAAgAFwAIgBIAGEAeQBcACIALAAgAFwAIgBDAGUAcgBlAGEAbAAgAHMAaQBsAGEAZwBlAFwAIgAsACAAXAAiAFQAQQBTAFwAIgAsACAAXAAiAGsAZwBcACIALAAgADAALgAwADgAMAA4ACwAIABcACIAYQB0ACAAbQBhAHIAawBlAHQAXAAiADsAXABuACAAIAAgACAAIAAgACAAIABcACIARgBlAGUAZABcACIALAAgAFwAIgBIAGEAeQBcACIALAAgAFwAIgBDAGUAcgBlAGEAbAAgAHMAaQBsAGEAZwBlAFwAIgAsACAAXAAiAFYASQBDAFwAIgAsACAAXAAiAGsAZwBcACIALAAgADAALgAwADcAMwA2ACwAIABcACIAYQB0ACAAbQBhAHIAawBlAHQAXAAiADsAXABuACAAIAAgACAAIAAgACAAIABcACIARgBlAGUAZABcACIALAAgAFwAIgBIAGEAeQBcACIALAAgAFwAIgBMAHUAYwBlAHIAbgBlACAAaABhAHkAXAAiACwAIABcACIAQQB1AHMAdAByAGEAbABpAGEAXAAiACwAIABcACIAawBnAFwAIgAsACAAMAAuADEAMQA3ACwAIABcACIAYQB0ACAAbQBhAHIAawBlAHQAXAAiADsAXABuACAAIAAgACAAIAAgACAAIABcACIARgBlAGUAZABcACIALAAgAFwAIgBIAGEAeQBcACIALAAgAFwAIgBMAHUAYwBlAHIAbgBlACAAaABhAHkAXAAiACwAIABcACIATgBTAFcAXAAiACwAIABcACIAawBnAFwAIgAsACAAMAAuADEAMQAzACwAIABcACIAYQB0ACAAbQBhAHIAawBlAHQAXAAiADsAXABuACAAIAAgACAAIAAgACAAIABcACIARgBlAGUAZABcACIALAAgAFwAIgBIAGEAeQBcACIALAAgAFwAIgBMAHUAYwBlAHIAbgBlACAAaABhAHkAXAAiACwAIABcACIAUQBMAEQAXAAiACwAIABcACIAawBnAFwAIgAsACAAMAAuADEANAAzACwAIABcACIAYQB0ACAAbQBhAHIAawBlAHQAXAAiADsAXABuACAAIAAgACAAIAAgACAAIABcACIARgBlAGUAZABcACIALAAgAFwAIgBIAGEAeQBcACIALAAgAFwAIgBMAHUAYwBlAHIAbgBlACAAaABhAHkAXAAiACwAIABcACIAUwBBAFwAIgAsACAAXAAiAGsAZwBcACIALAAgADAALgAxADAANgAsACAAXAAiAGEAdAAgAG0AYQByAGsAZQB0AFwAIgA7AFwAbgAgACAAIAAgACAAIAAgACAAXAAiAEYAZQBlAGQAXAAiACwAIABcACIASABhAHkAXAAiACwAIABcACIATAB1AGMAZQByAG4AZQAgAGgAYQB5AFwAIgAsACAAXAAiAFQAQQBTAFwAIgAsACAAXAAiAGsAZwBcACIALAAgADAALgAxADEAMwAsACAAXAAiAGEAdAAgAG0AYQByAGsAZQB0AFwAIgA7AFwAbgAgACAAIAAgACAAIAAgACAAXAAiAEYAZQBlAGQAXAAiACwAIABcACIASABhAHkAXAAiACwAIABcACIATAB1AGMAZQByAG4AZQAgAGgAYQB5AFwAIgAsACAAXAAiAFYASQBDAFwAIgAsACAAXAAiAGsAZwBcACIALAAgADAALgAxADAANgAsACAAXAAiAGEAdAAgAG0AYQByAGsAZQB0AFwAIgA7AFwAbgAgACAAIAAgACAAIAAgACAAXAAiAEYAZQBlAGQAXAAiACwAIABcACIASABhAHkAXAAiACwAIABcACIATQBhAGkAegBlACAAcwBpAGwAYQBnAGUAXAAiACwAIABcACIAVgBJAEMAXAAiACwAIABcACIAawBnAFwAIgAsACAAMAAuADEANgAzACwAIABcACIAYQB0ACAAbQBhAHIAawBlAHQAXAAiADsAXABuACAAIAAgACAAIAAgACAAIABcACIARgBlAGUAZABcACIALAAgAFwAIgBIAGEAeQBcACIALAAgAFwAIgBPAGEAdABlAG4AIABoAGEAeQBcACIALAAgAFwAIgBBAHUAcwB0AHIAYQBsAGkAYQBcACIALAAgAFwAIgBrAGcAXAAiACwAIAAwAC4AMQAyACwAIABcACIAYQB0ACAAbQBhAHIAawBlAHQAXAAiADsAXABuACAAIAAgACAAIAAgACAAIABcACIARgBlAGUAZABcACIALAAgAFwAIgBIAGEAeQBcACIALAAgAFwAIgBPAGEAdABlAG4AIABoAGEAeQBcACIALAAgAFwAIgBOAFMAVwBcACIALAAgAFwAIgBrAGcAXAAiACwAIAAwAC4AMQAxADkALAAgAFwAIgBhAHQAIABtAGEAcgBrAGUAdABcACIAOwBcAG4AIAAgACAAIAAgACAAIAAgAFwAIgBGAGUAZQBkAFwAIgAsACAAXAAiAEgAYQB5AFwAIgAsACAAXAAiAE8AYQB0AGUAbgAgAGgAYQB5AFwAIgAsACAAXAAiAFEATABEAFwAIgAsACAAXAAiAGsAZwBcACIALAAgADAALgAxADEANwAsACAAXAAiAGEAdAAgAG0AYQByAGsAZQB0AFwAIgA7AFwAbgAgACAAIAAgACAAIAAgACAAXAAiAEYAZQBlAGQAXAAiACwAIABcACIASABhAHkAXAAiACwAIABcACIATwBhAHQAZQBuACAAaABhAHkAXAAiACwAIABcACIAUwBBAFwAIgAsACAAXAAiAGsAZwBcACIALAAgADAALgAxADEANAAsACAAXAAiAGEAdAAgAG0AYQByAGsAZQB0AFwAIgA7AFwAbgAgACAAIAAgACAAIAAgACAAXAAiAEYAZQBlAGQAXAAiACwAIABcACIASABhAHkAXAAiACwAIABcACIATwBhAHQAZQBuACAAaABhAHkAXAAiACwAIABcACIAVgBJAEMAXAAiACwAIABcACIAawBnAFwAIgAsACAAMAAuADEAMQA4ACwAIABcACIAYQB0ACAAbQBhAHIAawBlAHQAXAAiADsAXABuACAAIAAgACAAIAAgACAAIABcACIARgBlAGUAZABcACIALAAgAFwAIgBIAGEAeQBcACIALAAgAFwAIgBPAGEAdABlAG4AIABoAGEAeQBcACIALAAgAFwAIgBXAEEAXAAiACwAIABcACIAawBnAFwAIgAsACAAMAAuADEAMgA0ACwAIABcACIAYQB0ACAAbQBhAHIAawBlAHQAXAAiADsAXABuACAAIAAgACAAIAAgACAAIABcACIARgBlAGUAZABcACIALAAgAFwAIgBIAGEAeQBcACIALAAgAFwAIgBQAGEAcwB0AHUAcgBlACAAaABhAHkAXAAiACwAIABcACIAQQB1AHMAdAByAGEAbABpAGEAXAAiACwAIABcACIAawBnAFwAIgAsACAAMAAuADMAMwA5ACwAIABcACIAYQB0ACAAbQBhAHIAawBlAHQAXAAiADsAXABuACAAIAAgACAAIAAgACAAIABcACIARgBlAGUAZABcACIALAAgAFwAIgBIAGEAeQBcACIALAAgAFwAIgBQAGEAcwB0AHUAcgBlACAAaABhAHkAXAAiACwAIABcACIATgBTAFcAXAAiACwAIABcACIAawBnAFwAIgAsACAAMAAuADMAMQAxACwAIABcACIAYQB0ACAAbQBhAHIAawBlAHQAXAAiADsAXABuACAAIAAgACAAIAAgACAAIABcACIARgBlAGUAZABcACIALAAgAFwAIgBIAGEAeQBcACIALAAgAFwAIgBQAGEAcwB0AHUAcgBlACAAaABhAHkAXAAiACwAIABcACIAUQBMAEQAXAAiACwAIABcACIAawBnAFwAIgAsACAAMAAuADIANQA0ACwAIABcACIAYQB0ACAAbQBhAHIAawBlAHQAXAAiADsAXABuACAAIAAgACAAIAAgACAAIABcACIARgBlAGUAZABcACIALAAgAFwAIgBIAGEAeQBcACIALAAgAFwAIgBQAGEAcwB0AHUAcgBlACAAaABhAHkAXAAiACwAIABcACIAUwBBAFwAIgAsACAAXAAiAGsAZwBcACIALAAgADAALgAzADEAMwAsACAAXAAiAGEAdAAgAG0AYQByAGsAZQB0AFwAIgA7AFwAbgAgACAAIAAgACAAIAAgACAAXAAiAEYAZQBlAGQAXAAiACwAIABcACIASABhAHkAXAAiACwAIABcACIAUABhAHMAdAB1AHIAZQAgAGgAYQB5AFwAIgAsACAAXAAiAFQAQQBTAFwAIgAsACAAXAAiAGsAZwBcACIALAAgADAALgAzADkAOAAsACAAXAAiAGEAdAAgAG0AYQByAGsAZQB0AFwAIgA7AFwAbgAgACAAIAAgACAAIAAgACAAXAAiAEYAZQBlAGQAXAAiACwAIABcACIASABhAHkAXAAiACwAIABcACIAUABhAHMAdAB1AHIAZQAgAGgAYQB5AFwAIgAsACAAXAAiAFYASQBDAFwAIgAsACAAXAAiAGsAZwBcACIALAAgADAALgAzADQANQAsACAAXAAiAGEAdAAgAG0AYQByAGsAZQB0AFwAIgA7AFwAbgAgACAAIAAgACAAIAAgACAAXAAiAEYAZQBlAGQAXAAiACwAIABcACIASABhAHkAXAAiACwAIABcACIAUABhAHMAdAB1AHIAZQAgAGgAYQB5AFwAIgAsACAAXAAiAFcAQQBcACIALAAgAFwAIgBrAGcAXAAiACwAIAAwAC4AMwA2ADgALAAgAFwAIgBhAHQAIABtAGEAcgBrAGUAdABcACIAOwBcAG4AIAAgACAAIAAgACAAIAAgAFwAIgBGAGUAZQBkAFwAIgAsACAAXAAiAE0AZQBhAGwAXAAiACwAIABcACIAQwBhAG4AbwBsAGEAIABtAGUAYQBsAFwAIgAsACAAXAAiAEEAdQBzAHQAcgBhAGwAaQBhAFwAIgAsACAAXAAiAGsAZwBcACIALAAgADAALgAyADQANAAsACAAXAAiAGEAdAAgAG0AYQByAGsAZQB0AFwAIgA7AFwAbgAgACAAIAAgACAAIAAgACAAXAAiAEYAZQBlAGQAXAAiACwAIABcACIATQBlAGEAbABcACIALAAgAFwAIgBNAGUAYQB0ACAAbQBlAGEAbABcACIALAAgAFwAIgBBAHUAcwB0AHIAYQBsAGkAYQBcACIALAAgAFwAIgBrAGcAXAAiACwAIAAwAC4ANAAwADgALAAgAFwAIgBhAHQAIABtAGEAcgBrAGUAdABcACIAOwBcAG4AIAAgACAAIAAgACAAIAAgAFwAIgBGAGUAZQBkAFwAIgAsACAAXAAiAE0AZQBhAGwAXAAiACwAIABcACIAUwBvAHkAYgBlAGEAbgAgAG0AZQBhAGwAXAAiACwAIABcACIAQgByAGEAegBpAGwAXAAiACwAIABcACIAawBnAFwAIgAsACAAMAAuADQAMgA2ACwAIABcACIAYQB0ACAAbQBhAHIAawBlAHQAXAAiADsAXABuACAAIAAgACAAIAAgACAAIABcACIARgBlAGUAZABcACIALAAgAFwAIgBNAGUAYQBsAFwAIgAsACAAXAAiAFcAaABlAGEAdAAgAGIAcgBhAG4AXAAiACwAIABcACIAQQB1AHMAdAByAGEAbABpAGEAXAAiACwAIABcACIAawBnAFwAIgAsACAAMAAuADEAOQA2ACwAIABcACIAYQB0ACAAbQBhAHIAawBlAHQAXAAiADsAXABuACAAIAAgACAAIAAgACAAIABcACIARgBlAGUAZABcACIALAAgAFwAIgBNAGkAeABlAGQAIAByAGEAdABpAG8AbgBzAFwAIgAsACAAXAAiAEYAZQBlAGQAIABmAG8AcgAgAGMAaABpAGMAawBlAG4AcwBcACIALAAgAFwAIgBBAHUAcwB0AHIAYQBsAGkAYQBcACIALAAgAFwAIgBrAGcAXAAiACwAIAAwAC4ANQA5ADQALAAgAFwAIgBhAHQAIABtAGEAcgBrAGUAdABcACIAOwBcAG4AIAAgACAAIAAgACAAIAAgAFwAIgBGAGUAZQBkAFwAIgAsACAAXAAiAE0AaQB4AGUAZAAgAHIAYQB0AGkAbwBuAHMAXAAiACwAIABcACIARgBlAGUAZAAgAGYAbwByACAAZABhAGkAcgB5ACAAYwBhAGwAdgBlAHMAXAAiACwAIABcACIAQQB1AHMAdAByAGEAbABpAGEAXAAiACwAIABcACIAawBnAFwAIgAsACAAMAAuADQAMQA5ACwAIABcACIAYQB0ACAAbQBhAHIAawBlAHQAXAAiADsAXABuACAAIAAgACAAIAAgACAAIABcACIARgBlAGUAZABcACIALAAgAFwAIgBNAGkAeABlAGQAIAByAGEAdABpAG8AbgBzAFwAIgAsACAAXAAiAEYAZQBlAGQAIABmAG8AcgAgAGQAYQBpAHIAeQAgAGMAbwB3AHMAXAAiACwAIABcACIAQQB1AHMAdAByAGEAbABpAGEAXAAiACwAIABcACIAawBnAFwAIgAsACAAMAAuADMAMwAzACwAIABcACIAYQB0ACAAbQBhAHIAawBlAHQAXAAiADsAXABuACAAIAAgACAAIAAgACAAIABcACIARgBlAGUAZABcACIALAAgAFwAIgBNAGkAeABlAGQAIAByAGEAdABpAG8AbgBzAFwAIgAsACAAXAAiAEYAZQBlAGQAIABmAG8AcgAgAHAAaQBnAHMAXAAiACwAIABcACIAQQB1AHMAdAByAGEAbABpAGEAXAAiACwAIABcACIAawBnAFwAIgAsACAAMAAuADQAMAAzACwAIABcACIAYQB0ACAAbQBhAHIAawBlAHQAXAAiADsAXABuACAAIAAgACAAIAAgACAAIABcACIARgBlAGUAZABcACIALAAgAFwAIgBPAHQAaABlAHIAXAAiACwAIABcACIAQgBlAG4AdABvAG4AaQB0AGUAXAAiACwAIABcACIAQQB1AHMAdAByAGEAbABpAGEAXAAiACwAIABcACIAawBnAFwAIgAsACAAMAAuADAANgA1ADIALAAgAFwAIgBhAHQAIABtAGEAcgBrAGUAdABcACIAOwBcAG4AIAAgACAAIAAgACAAIAAgAFwAIgBGAGUAZQBkAFwAIgAsACAAXAAiAE8AdABoAGUAcgBcACIALAAgAFwAIgBDAGEAbgBvAGwAYQAgAG8AaQBsAFwAIgAsACAAXAAiAEEAdQBzAHQAcgBhAGwAaQBhAFwAIgAsACAAXAAiAGsAZwBcACIALAAgADAALgA4ADcALAAgAFwAIgBhAHQAIABtAGEAcgBrAGUAdABcACIAOwBcAG4AIAAgACAAIAAgACAAIAAgAFwAIgBGAGUAZQBkAFwAIgAsACAAXAAiAE8AdABoAGUAcgBcACIALAAgAFwAIgBDAG8AdAB0AG8AbgAgAHMAZQBlAGQAXAAiACwAIABcACIAQQB1AHMAdAByAGEAbABpAGEAXAAiACwAIABcACIAawBnAFwAIgAsACAAMAAuADEAOQA3ACwAIABcACIAYQB0ACAAbQBhAHIAawBlAHQAXAAiADsAXABuACAAIAAgACAAIAAgACAAIABcACIARgBlAGUAZABcACIALAAgAFwAIgBPAHQAaABlAHIAXAAiACwAIABcACIATABpAGMAawAgAGIAbABvAGMAawAsACAAZAByAHkAIABzAGUAYQBzAG8AbgAgAG0AaQB4AFwAIgAsACAAXAAiAEEAdQBzAHQAcgBhAGwAaQBhAFwAIgAsACAAXAAiAGsAZwBcACIALAAgADAALgA4ADgAMQAsACAAXAAiAGEAdAAgAG0AYQByAGsAZQB0AFwAIgA7AFwAbgAgACAAIAAgACAAIAAgACAAXAAiAEYAZQBlAGQAXAAiACwAIABcACIATwB0AGgAZQByAFwAIgAsACAAXAAiAEwAaQBjAGsAIABiAGwAbwBjAGsALAAgAG0AaQBuAGUAcgBhAGwAXAAiACwAIABcACIAQQB1AHMAdAByAGEAbABpAGEAXAAiACwAIABcACIAawBnAFwAIgAsACAAMAAuADYANwA3ACwAIABcACIAYQB0ACAAbQBhAHIAawBlAHQAXAAiADsAXABuACAAIAAgACAAIAAgACAAIABcACIARgBlAGUAZABcACIALAAgAFwAIgBPAHQAaABlAHIAXAAiACwAIABcACIATABpAGMAawAgAGIAbABvAGMAawAsACAAdwBlAGEAbgBlAHIAXAAiACwAIABcACIAQQB1AHMAdAByAGEAbABpAGEAXAAiACwAIABcACIAawBnAFwAIgAsACAAMAAuADIAMwAxACwAIABcACIAYQB0ACAAbQBhAHIAawBlAHQAXAAiADsAXABuACAAIAAgACAAIAAgACAAIABcACIARgBlAGUAZABcACIALAAgAFwAIgBPAHQAaABlAHIAXAAiACwAIABcACIATQBvAGwAYQBzAHMAZQBzAFwAIgAsACAAXAAiAFEATABEAFwAIgAsACAAXAAiAGsAZwBcACIALAAgADAALgAxADgANAAsACAAXAAiAGEAdAAgAG0AYQByAGsAZQB0AFwAIgBcAG4AIAAgACAAIAAgACAAfQAsACAAcgAsACAAYwApAFwAbgApACkAKQA7AFwAbgBcAG4AXABuAC8AKgBcAG4APQA9AD0APQA9AD0APQA9AD0APQA9AD0APQA9AD0APQA9AD0APQA9AD0APQA9AD0APQA9AD0APQA9AD0APQA9AD0APQA9AD0APQA9AD0APQA9AD0APQA9AD0APQA9AD0APQA9AD0APQA9AD0APQA9AD0APQA9AD0APQA9AD0APQA9AD0APQA9AD0APQA9AD0APQA9AD0APQBcAG4ASQBuAG8AcgBnAGEAbgBpAGMAIABmAGUAcgB0AGkAbABpAHMAZQByAHMAXABuAD0APQA9AD0APQA9AD0APQA9AD0APQA9AD0APQA9AD0APQA9AD0APQA9AD0APQA9AD0APQA9AD0APQA9AD0APQA9AD0APQA9AD0APQA9AD0APQA9AD0APQA9AD0APQA9AD0APQA9AD0APQA9AD0APQA9AD0APQA9AD0APQA9AD0APQA9AD0APQA9AD0APQA9AD0APQA9AD0AXABuACoALwBcAG4AXABuAFMAYwBvAHAAZQAzAF8ASQBuAG8AcgBnAGEAbgBpAGMARgBlAHIAdABpAGwAaQBzAGUAcgBzAF8AVABpAHQAbABlAFwAbgA9AEwAQQBNAEIARABBACgAKABcACIASQBuAG8AcgBnAGEAbgBpAGMAIABmAGUAcgB0AGkAbABpAHMAZQByACAAYwBoAGUAbQBpAGMAYQBsACAAYwBvAG0AcABvAHUAbgBkACAAcwBjAG8AcABlACAAMwBcACIAKQApADsAXABuAFwAbgBTAGMAbwBwAGUAMwBfAEkAbgBvAHIAZwBhAG4AaQBjAEYAZQByAHQAaQBsAGkAcwBlAHIAcwBfAFMAbwB1AHIAYwBlAFwAbgA9AEwAQQBNAEIARABBACgAKABcACIATABpAGYAZQBjAHkAYwBsAGUAcwAuACAAKAAyADAAMgA2ACkALgAgAEcAcgBlAGUAbgBoAG8AdQBzAGUAIABHAGEAcwAgAEUAbQBpAHMAcwBpAG8AbgAgAEkAbgB0AGUAbgBzAGkAdABpAGUAcwAgAGYAbwByACAATQBhAHQAZQByAGkAYQBsACAASQBuAHAAdQB0AHMAIAB0AG8AIABBAHUAcwB0AHIAYQBsAGkAYQBuACAAQQBnAHIAaQBjAHUAbAB0AHUAcgBlACwAIABGAGkAcwBoAGUAcgBpAGUAcwAgAGEAbgBkACAARgBvAHIAZQBzAHQAcgB5AC4AIABWAGUAcgBzAGkAbwBuACAANAA4AC4AIABkAG8AaQAgADEAMAAuADUAMgA4ADEALwB6AGUAbgBvAGQAbwAuADEAOQA2ADUANgA1ADgAMABcACIAKQApADsAXABuAFwAbgBTAGMAbwBwAGUAMwBfAEkAbgBvAHIAZwBhAG4AaQBjAEYAZQByAHQAaQBsAGkAcwBlAHIAcwBfAFYAYQByAGkAYQB0AGkAbwBuAFwAbgA9AEwAQQBNAEIARABBACgAKABcACIAXAAiACkAKQA7AFwAbgBcAG4AUwBjAG8AcABlADMAXwBJAG4AbwByAGcAYQBuAGkAYwBGAGUAcgB0AGkAbABpAHMAZQByAHMAXwBEAGEAdABhAFwAbgA9AEwAQQBNAEIARABBACgAXABuACAAIABNAEEASwBFAEEAUgBSAEEAWQAoADIANgAsACAANwAsAFwAbgAgACAAIAAgAEwAQQBNAEIARABBACgAcgAsAGMALABcAG4AIAAgACAAIAAgACAASQBOAEQARQBYACgAewBcAG4AIAAgACAAIAAgACAAIAAgAFwAIgBDAGEAdABlAGcAbwByAHkAXAAiACwAIABcACIAUwB1AGIALQBjAGEAdABlAGcAbwByAHkAXAAiACwAIABcACIAUAByAG8AZAB1AGMAdAAgAG4AYQBtAGUAXAAiACwAIABcACIAUgBlAGcAaQBvAG4AIABvAGYAIABvAHIAaQBnAGkAbgBcACIALAAgAFwAIgBQAHIAbwBkAHUAYwB0ACAAVQBuAGkAdABcACIALAAgAFwAIgBHAEgARwAgAGUAbQBpAHMAcwBpAG8AbgAgAGkAbgB0AGUAbgBzAGkAdAB5AFwAIgAsACAAXAAiAFMAeQBzAHQAZQBtACAAYgBvAHUAbgBkAGEAcgB5AFwAIgA7AFwAbgAgACAAIAAgACAAIAAgACAAXAAiAEYAZQByAHQAaQBsAGkAcwBlAHIAcwBcACIALAAgAFwAIgBJAG4AbwByAGcAYQBuAGkAYwAgAGYAZQByAHQAaQBsAGkAcwBlAHIAcwBcACIALAAgAFwAIgBBAG0AbQBvAG4AaQBhACwAIABBAFUAIABtAGEAcgBrAGUAdAAgAG0AaQB4AFwAIgAsACAAXAAiAEcAbABvAGIAYQBsAFwAIgAsACAAXAAiAGsAZwBcACIALAAgADIALgAzADIALAAgAFwAIgBhAHQAIABtAGEAcgBrAGUAdABcACIAOwBcAG4AIAAgACAAIAAgACAAIAAgAFwAIgBGAGUAcgB0AGkAbABpAHMAZQByAHMAXAAiACwAIABcACIASQBuAG8AcgBnAGEAbgBpAGMAIABmAGUAcgB0AGkAbABpAHMAZQByAHMAXAAiACwAIABcACIAQQBtAG0AbwBuAGkAYQAsACAAQwBhAG4AYQBkAGEAXAAiACwAIABcACIAQwBhAG4AYQBkAGEAXAAiACwAIABcACIAawBnAFwAIgAsACAAMgAuADEAMgAsACAAXAAiAGEAdAAgAG0AYQByAGsAZQB0AFwAIgA7AFwAbgAgACAAIAAgACAAIAAgACAAXAAiAEYAZQByAHQAaQBsAGkAcwBlAHIAcwBcACIALAAgAFwAIgBJAG4AbwByAGcAYQBuAGkAYwAgAGYAZQByAHQAaQBsAGkAcwBlAHIAcwBcACIALAAgAFwAIgBBAG0AbQBvAG4AaQBhACwAIABDAGgAaQBuAGEAXAAiACwAIABcACIAQwBoAGkAbgBhAFwAIgAsACAAXAAiAGsAZwBcACIALAAgADQALgAxADcALAAgAFwAIgBhAHQAIABtAGEAcgBrAGUAdABcACIAOwBcAG4AIAAgACAAIAAgACAAIAAgAFwAIgBGAGUAcgB0AGkAbABpAHMAZQByAHMAXAAiACwAIABcACIASQBuAG8AcgBnAGEAbgBpAGMAIABmAGUAcgB0AGkAbABpAHMAZQByAHMAXAAiACwAIABcACIAQQBtAG0AbwBuAGkAYQAsACAAWQBlAG0AZQBuAFwAIgAsACAAXAAiAFkAZQBtAGUAbgBcACIALAAgAFwAIgBrAGcAXAAiACwAIAAyAC4AMgA2ACwAIABcACIAYQB0ACAAbQBhAHIAawBlAHQAXAAiADsAXABuACAAIAAgACAAIAAgACAAIABcACIARgBlAHIAdABpAGwAaQBzAGUAcgBzAFwAIgAsACAAXAAiAEkAbgBvAHIAZwBhAG4AaQBjACAAZgBlAHIAdABpAGwAaQBzAGUAcgBzAFwAIgAsACAAXAAiAEEAbQBtAG8AbgBpAHUAbQAgAG4AaQB0AHIAYQB0AGUALAAgAEEAVQAgAG0AYQByAGsAZQB0ACAAbQBpAHgAXAAiACwAIABcACIARwBsAG8AYgBhAGwAXAAiACwAIABcACIAawBnAFwAIgAsACAAMgAuADIAMQAsACAAXAAiAGEAdAAgAG0AYQByAGsAZQB0AFwAIgA7AFwAbgAgACAAIAAgACAAIAAgACAAXAAiAEYAZQByAHQAaQBsAGkAcwBlAHIAcwBcACIALAAgAFwAIgBJAG4AbwByAGcAYQBuAGkAYwAgAGYAZQByAHQAaQBsAGkAcwBlAHIAcwBcACIALAAgAFwAIgBDAGEAbABjAGkAdQBtACAAYQBtAG0AbwBuAGkAdQBtACAAbgBpAHQAcgBhAHQAZQAsACAAQQBVACAAbQBhAHIAawBlAHQAIABtAGkAeABcACIALAAgAFwAIgBHAGwAbwBiAGEAbABcACIALAAgAFwAIgBrAGcAXAAiACwAIAAxAC4AMQA1ACwAIABcACIAYQB0ACAAbQBhAHIAawBlAHQAXAAiADsAXABuACAAIAAgACAAIAAgACAAIABcACIARgBlAHIAdABpAGwAaQBzAGUAcgBzAFwAIgAsACAAXAAiAEkAbgBvAHIAZwBhAG4AaQBjACAAZgBlAHIAdABpAGwAaQBzAGUAcgBzAFwAIgAsACAAXAAiAEMAYQBsAGMAaQB1AG0AIABuAGkAdAByAGEAdABlAFwAIgAsACAAXAAiAEcAbABvAGIAYQBsAFwAIgAsACAAXAAiAGsAZwBcACIALAAgADAALgA3ADUALAAgAFwAIgBhAHQAIABtAGEAcgBrAGUAdABcACIAOwBcAG4AIAAgACAAIAAgACAAIAAgAFwAIgBGAGUAcgB0AGkAbABpAHMAZQByAHMAXAAiACwAIABcACIASQBuAG8AcgBnAGEAbgBpAGMAIABmAGUAcgB0AGkAbABpAHMAZQByAHMAXAAiACwAIABcACIARABpAGEAbQBtAG8AbgBpAHUAbQAgAHAAaABvAHMAcABoAGEAdABlACwAIABBAFUAIABtAGEAcgBrAGUAdAAgAG0AaQB4AFwAIgAsACAAXAAiAEcAbABvAGIAYQBsAFwAIgAsACAAXAAiAGsAZwBcACIALAAgADEALgAzADQALAAgAFwAIgBhAHQAIABtAGEAcgBrAGUAdABcACIAOwBcAG4AIAAgACAAIAAgACAAIAAgAFwAIgBGAGUAcgB0AGkAbABpAHMAZQByAHMAXAAiACwAIABcACIASQBuAG8AcgBnAGEAbgBpAGMAIABmAGUAcgB0AGkAbABpAHMAZQByAHMAXAAiACwAIABcACIARABvAHUAYgBsAGUAIABzAHUAcABlAHIAcABoAG8AcwBwAGgAYQB0AGUALAAgAEEAVQAgAG0AYQByAGsAZQB0ACAAbQBpAHgAXAAiACwAIABcACIARwBsAG8AYgBhAGwAXAAiACwAIABcACIAawBnAFwAIgAsACAAMAAuADMAOQAyACwAIABcACIAYQB0ACAAbQBhAHIAawBlAHQAXAAiADsAXABuACAAIAAgACAAIAAgACAAIABcACIARgBlAHIAdABpAGwAaQBzAGUAcgBzAFwAIgAsACAAXAAiAEkAbgBvAHIAZwBhAG4AaQBjACAAZgBlAHIAdABpAGwAaQBzAGUAcgBzAFwAIgAsACAAXAAiAE0AbwBuAG8AYQBtAG0AbwBuAGkAdQBtACAAcABoAG8AcwBwAGgAYQB0AGUALAAgAEEAVQAgAG0AYQByAGsAZQB0ACAAbQBpAHgAXAAiACwAIABcACIARwBsAG8AYgBhAGwAXAAiACwAIABcACIAawBnAFwAIgAsACAAMAAuADgAMgA3ACwAIABcACIAYQB0ACAAbQBhAHIAawBlAHQAXAAiADsAXABuACAAIAAgACAAIAAgACAAIABcACIARgBlAHIAdABpAGwAaQBzAGUAcgBzAFwAIgAsACAAXAAiAEkAbgBvAHIAZwBhAG4AaQBjACAAZgBlAHIAdABpAGwAaQBzAGUAcgBzAFwAIgAsACAAXAAiAE0AdQByAGkAYQB0AGUAIABvAGYAIABwAG8AdABhAHMAaAAsACAAQQBVACAAbQBhAHIAawBlAHQAIABtAGkAeABcACIALAAgAFwAIgBHAGwAbwBiAGEAbABcACIALAAgAFwAIgBrAGcAXAAiACwAIAAwAC4ANQA0ADkALAAgAFwAIgBhAHQAIABtAGEAcgBrAGUAdABcACIAOwBcAG4AIAAgACAAIAAgACAAIAAgAFwAIgBGAGUAcgB0AGkAbABpAHMAZQByAHMAXAAiACwAIABcACIASQBuAG8AcgBnAGEAbgBpAGMAIABmAGUAcgB0AGkAbABpAHMAZQByAHMAXAAiACwAIABcACIATgBpAHQAcgBvAGcAZQBuACAAZgByAG8AbQAgAGEAbQBtAG8AbgBpAGEALAAgAEEAVQAgAG0AYQByAGsAZQB0ACAAbQBpAHgAXAAiACwAIABcACIARwBsAG8AYgBhAGwAXAAiACwAIABcACIAawBnACAATgBcACIALAAgADIALgA4ADMALAAgAFwAIgBhAHQAIABtAGEAcgBrAGUAdABcACIAOwBcAG4AIAAgACAAIAAgACAAIAAgAFwAIgBGAGUAcgB0AGkAbABpAHMAZQByAHMAXAAiACwAIABcACIASQBuAG8AcgBnAGEAbgBpAGMAIABmAGUAcgB0AGkAbABpAHMAZQByAHMAXAAiACwAIABcACIATgBpAHQAcgBvAGcAZQBuACAAZgByAG8AbQAgAGYAZQByAHQAaQBsAGkAegBlAHIALAAgAEEAVQAgAG0AYQByAGsAZQB0ACAAbQBpAHgAXAAiACwAIABcACIARwBsAG8AYgBhAGwAXAAiACwAIABcACIAawBnACAATgBcACIALAAgADQALgAyACwAIABcACIAYQB0ACAAbQBhAHIAawBlAHQAXAAiADsAXABuACAAIAAgACAAIAAgACAAIABcACIARgBlAHIAdABpAGwAaQBzAGUAcgBzAFwAIgAsACAAXAAiAEkAbgBvAHIAZwBhAG4AaQBjACAAZgBlAHIAdABpAGwAaQBzAGUAcgBzAFwAIgAsACAAXAAiAE4AaQB0AHIAbwBnAGUAbgAgAGYAcgBvAG0AIABuAGkAdAByAGEAdABlACAAZgBlAHIAdABpAGwAaQB6AGUAcgAsACAAQQBVACAAbQBhAHIAawBlAHQAIABtAGkAeABcACIALAAgAFwAIgBHAGwAbwBiAGEAbABcACIALAAgAFwAIgBrAGcAIABOAFwAIgAsACAANQAuADQANwAsACAAXAAiAGEAdAAgAG0AYQByAGsAZQB0AFwAIgA7AFwAbgAgACAAIAAgACAAIAAgACAAXAAiAEYAZQByAHQAaQBsAGkAcwBlAHIAcwBcACIALAAgAFwAIgBJAG4AbwByAGcAYQBuAGkAYwAgAGYAZQByAHQAaQBsAGkAcwBlAHIAcwBcACIALAAgAFwAIgBQAGgAbwBzAHAAaABvAHIAdQBzACAAZgByAG8AbQAgAGYAZQByAHQAaQBsAGkAegBlAHIALAAgAEEAVQAgAG0AYQByAGsAZQB0ACAAbQBpAHgAXAAiACwAIABcACIARwBsAG8AYgBhAGwAXAAiACwAIABcACIAawBnACAAUABcACIALAAgADMALgA5ADYALAAgAFwAIgBhAHQAIABtAGEAcgBrAGUAdABcACIAOwBcAG4AIAAgACAAIAAgACAAIAAgAFwAIgBGAGUAcgB0AGkAbABpAHMAZQByAHMAXAAiACwAIABcACIASQBuAG8AcgBnAGEAbgBpAGMAIABmAGUAcgB0AGkAbABpAHMAZQByAHMAXAAiACwAIABcACIAUABvAHQAYQBzAHMAaQB1AG0AIABmAHIAbwBtACAAZgBlAHIAdABpAGwAaQB6AGUAcgAsACAAQQBVACAAbQBhAHIAawBlAHQAIABtAGkAeABcACIALAAgAFwAIgBHAGwAbwBiAGEAbABcACIALAAgAFwAIgBrAGcAIABLAFwAIgAsACAAMAAuADkAMAA5ACwAIABcACIAYQB0ACAAbQBhAHIAawBlAHQAXAAiADsAXABuACAAIAAgACAAIAAgACAAIABcACIARgBlAHIAdABpAGwAaQBzAGUAcgBzAFwAIgAsACAAXAAiAEkAbgBvAHIAZwBhAG4AaQBjACAAZgBlAHIAdABpAGwAaQBzAGUAcgBzAFwAIgAsACAAXAAiAFMAaQBuAGcAbABlACAAcwB1AHAAZQByAHAAaABvAHMAcABoAGEAdABlACwAIABBAFUAIABtAGEAcgBrAGUAdAAgAG0AaQB4AFwAIgAsACAAXAAiAEcAbABvAGIAYQBsAFwAIgAsACAAXAAiAGsAZwBcACIALAAgADAALgAyADIANwAsACAAXAAiAGEAdAAgAG0AYQByAGsAZQB0AFwAIgA7AFwAbgAgACAAIAAgACAAIAAgACAAXAAiAEYAZQByAHQAaQBsAGkAcwBlAHIAcwBcACIALAAgAFwAIgBJAG4AbwByAGcAYQBuAGkAYwAgAGYAZQByAHQAaQBsAGkAcwBlAHIAcwBcACIALAAgAFwAIgBTAHUAbABmAHUAcgAgAGYAcgBvAG0AIABmAGUAcgB0AGkAbABpAHoAZQByACwAIABBAFUAIABtAGEAcgBrAGUAdAAgAG0AaQB4AFwAIgAsACAAXAAiAEcAbABvAGIAYQBsAFwAIgAsACAAXAAiAGsAZwAgAFMAXAAiACwAIAAyAC4ANQAsACAAXAAiAGEAdAAgAG0AYQByAGsAZQB0AFwAIgA7AFwAbgAgACAAIAAgACAAIAAgACAAXAAiAEYAZQByAHQAaQBsAGkAcwBlAHIAcwBcACIALAAgAFwAIgBJAG4AbwByAGcAYQBuAGkAYwAgAGYAZQByAHQAaQBsAGkAcwBlAHIAcwBcACIALAAgAFwAIgBBAG0AbQBvAG4AaQB1AG0AIABzAHUAbABwAGgAYQB0AGUALAAgAEEAVQAgAG0AYQByAGsAZQB0ACAAbQBpAHgAXAAiACwAIABcACIARwBsAG8AYgBhAGwAXAAiACwAIABcACIAawBnAFwAIgAsACAAMAAuADgANgA1ACwAIABcACIAYQB0ACAAbQBhAHIAawBlAHQAXAAiADsAXABuACAAIAAgACAAIAAgACAAIABcACIARgBlAHIAdABpAGwAaQBzAGUAcgBzAFwAIgAsACAAXAAiAEkAbgBvAHIAZwBhAG4AaQBjACAAZgBlAHIAdABpAGwAaQBzAGUAcgBzAFwAIgAsACAAXAAiAFUAcgBlAGEAIABhAG0AbQBvAG4AaQB1AG0AIABuAGkAdAByAGEAdABlACwAIABBAFUAIABtAGEAcgBrAGUAdAAgAG0AaQB4AFwAIgAsACAAXAAiAEcAbABvAGIAYQBsAFwAIgAsACAAXAAiAGsAZwBcACIALAAgADEALgA3ADUALAAgAFwAIgBhAHQAIABtAGEAcgBrAGUAdABcACIAOwBcAG4AIAAgACAAIAAgACAAIAAgAFwAIgBGAGUAcgB0AGkAbABpAHMAZQByAHMAXAAiACwAIABcACIASQBuAG8AcgBnAGEAbgBpAGMAIABmAGUAcgB0AGkAbABpAHMAZQByAHMAXAAiACwAIABcACIAVQByAGUAYQAsACAAQQBVACAAbQBhAHIAawBlAHQAIABtAGkAeABcACIALAAgAFwAIgBHAGwAbwBiAGEAbABcACIALAAgAFwAIgBrAGcAXAAiACwAIAAwAC4AOQA2ADgALAAgAFwAIgBhAHQAIABtAGEAcgBrAGUAdABcACIAOwBcAG4AIAAgACAAIAAgACAAIAAgAFwAIgBGAGUAcgB0AGkAbABpAHMAZQByAHMAXAAiACwAIABcACIASQBuAG8AcgBnAGEAbgBpAGMAIABmAGUAcgB0AGkAbABpAHMAZQByAHMAXAAiACwAIABcACIAVQByAGUAYQAsACAAQwBhAG4AYQBkAGEAXAAiACwAIABcACIAQwBhAG4AYQBkAGEAXAAiACwAIABcACIAawBnAFwAIgAsACAAMAAuADgAMgAzACwAIABcACIAYQB0ACAAbQBhAHIAawBlAHQAXAAiADsAXABuACAAIAAgACAAIAAgACAAIABcACIARgBlAHIAdABpAGwAaQBzAGUAcgBzAFwAIgAsACAAXAAiAEkAbgBvAHIAZwBhAG4AaQBjACAAZgBlAHIAdABpAGwAaQBzAGUAcgBzAFwAIgAsACAAXAAiAFUAcgBlAGEALAAgAEMAaABpAG4AYQBcACIALAAgAFwAIgBDAGgAaQBuAGEAXAAiACwAIABcACIAawBnAFwAIgAsACAAMgAuADAAOQAsACAAXAAiAGEAdAAgAG0AYQByAGsAZQB0AFwAIgA7AFwAbgAgACAAIAAgACAAIAAgACAAXAAiAEYAZQByAHQAaQBsAGkAcwBlAHIAcwBcACIALAAgAFwAIgBJAG4AbwByAGcAYQBuAGkAYwAgAGYAZQByAHQAaQBsAGkAcwBlAHIAcwBcACIALAAgAFwAIgBVAHIAZQBhACwAIABZAGUAbQBlAG4AXAAiACwAIABcACIAWQBlAG0AZQBuAFwAIgAsACAAXAAiAGsAZwBcACIALAAgADAALgA5ADYAMwAsACAAXAAiAGEAdAAgAG0AYQByAGsAZQB0AFwAIgA7AFwAbgAgACAAIAAgACAAIAAgACAAXAAiAEYAZQByAHQAaQBsAGkAcwBlAHIAcwBcACIALAAgAFwAIgBJAG4AbwByAGcAYQBuAGkAYwAgAGYAZQByAHQAaQBsAGkAcwBlAHIAcwBcACIALAAgAFwAIgBaAGkAbgBjACAAZgByAG8AbQAgAGYAZQByAHQAaQBsAGkAegBlAHIAXAAiACwAIABcACIARwBsAG8AYgBhAGwAXAAiACwAIABcACIAawBnACAAWgBuAFwAIgAsACAANAAuADgAMgAsACAAXAAiAGEAdAAgAG0AYQByAGsAZQB0AFwAIgBcAG4AIAAgACAAIAAgACAAfQAsACAAcgAsACAAYwApAFwAbgApACkAKQA7AFwAbgBcAG4AXABuAC8AKgBcAG4APQA9AD0APQA9AD0APQA9AD0APQA9AD0APQA9AD0APQA9AD0APQA9AD0APQA9AD0APQA9AD0APQA9AD0APQA9AD0APQA9AD0APQA9AD0APQA9AD0APQA9AD0APQA9AD0APQA9AD0APQA9AD0APQA9AD0APQA9AD0APQA9AD0APQA9AD0APQA9AD0APQA9AD0APQA9AD0APQBcAG4ATwB0AGgAZQByACAAYQBnAHIAaQBjAHUAbAB0AHUAcgBhAGwAIABpAG4AcAB1AHQAcwBcAG4APQA9AD0APQA9AD0APQA9AD0APQA9AD0APQA9AD0APQA9AD0APQA9AD0APQA9AD0APQA9AD0APQA9AD0APQA9AD0APQA9AD0APQA9AD0APQA9AD0APQA9AD0APQA9AD0APQA9AD0APQA9AD0APQA9AD0APQA9AD0APQA9AD0APQA9AD0APQA9AD0APQA9AD0APQA9AD0APQBcAG4AKgAvAFwAbgBcAG4AUwBjAG8AcABlADMAXwBPAHQAaABlAHIAXwBUAGkAdABsAGUAXABuAD0ATABBAE0AQgBEAEEAKAAoAFwAIgBPAHQAaABlAHIAIABhAGcAcgBpAGMAdQBsAHQAdQByAGEAbAAgAGkAbgBwAHUAdABzACAAcwBjAG8AcABlACAAMwBcACIAKQApADsAXABuAFwAbgBTAGMAbwBwAGUAMwBfAE8AdABoAGUAcgBfAFMAbwB1AHIAYwBlAFwAbgA9AEwAQQBNAEIARABBACgAKABcACIATABpAGYAZQBjAHkAYwBsAGUAcwAuACAAKAAyADAAMgA2ACkALgAgAEcAcgBlAGUAbgBoAG8AdQBzAGUAIABHAGEAcwAgAEUAbQBpAHMAcwBpAG8AbgAgAEkAbgB0AGUAbgBzAGkAdABpAGUAcwAgAGYAbwByACAATQBhAHQAZQByAGkAYQBsACAASQBuAHAAdQB0AHMAIAB0AG8AIABBAHUAcwB0AHIAYQBsAGkAYQBuACAAQQBnAHIAaQBjAHUAbAB0AHUAcgBlACwAIABGAGkAcwBoAGUAcgBpAGUAcwAgAGEAbgBkACAARgBvAHIAZQBzAHQAcgB5AC4AIABWAGUAcgBzAGkAbwBuACAANAA4AC4AIABkAG8AaQAgADEAMAAuADUAMgA4ADEALwB6AGUAbgBvAGQAbwAuADEAOQA2ADUANgA1ADgAMABcACIAKQApADsAXABuAFwAbgBTAGMAbwBwAGUAMwBfAE8AdABoAGUAcgBfAFYAYQByAGkAYQB0AGkAbwBuAFwAbgA9AEwAQQBNAEIARABBACgAKABcACIAXAAiACkAKQA7AFwAbgBcAG4AUwBjAG8AcABlADMAXwBPAHQAaABlAHIAXwBEAGEAdABhAFwAbgA9AEwAQQBNAEIARABBACgAXABuACAAIABNAEEASwBFAEEAUgBSAEEAWQAoADkALAAgADcALABcAG4AIAAgACAAIABMAEEATQBCAEQAQQAoAHIALABjACwAXABuACAAIAAgACAAIAAgAEkATgBEAEUAWAAoAHsAXABuACAAIAAgACAAIAAgACAAIABcACIAQwBhAHQAZQBnAG8AcgB5AFwAIgAsACAAXAAiAFMAdQBiAC0AYwBhAHQAZQBnAG8AcgB5AFwAIgAsACAAXAAiAFAAcgBvAGQAdQBjAHQAIABuAGEAbQBlAFwAIgAsACAAXAAiAFIAZQBnAGkAbwBuACAAbwBmACAAbwByAGkAZwBpAG4AXAAiACwAIABcACIAUAByAG8AZAB1AGMAdAAgAFUAbgBpAHQAXAAiACwAIABcACIARwBIAEcAIABlAG0AaQBzAHMAaQBvAG4AIABpAG4AdABlAG4AcwBpAHQAeQBcACIALAAgAFwAIgBTAHkAcwB0AGUAbQAgAGIAbwB1AG4AZABhAHIAeQBcACIAOwBcAG4AIAAgACAAIAAgACAAIAAgAFwAIgBPAHQAaABlAHIAXAAiACwAIABcACIATwB0AGgAZQByAFwAIgAsACAAXAAiAEEAbgBpAG0AYQBsACAAZQBhAHIAIAB0AGEAZwBzACAAKABsAGEAcgBnAGUAKQBcACIALAAgAFwAIgBBAHUAcwB0AHIAYQBsAGkAYQBcACIALAAgAFwAIgBwAFwAIgAsACAAMAAuADAANAAyADQALAAgAFwAIgBhAHQAIABtAGEAcgBrAGUAdABcACIAOwBcAG4AIAAgACAAIAAgACAAIAAgAFwAIgBPAHQAaABlAHIAXAAiACwAIABcACIATwB0AGgAZQByAFwAIgAsACAAXAAiAEEAbgBpAG0AYQBsACAAZQBhAHIAIAB0AGEAZwBzACAAKABzAG0AYQBsAGwAKQBcACIALAAgAFwAIgBBAHUAcwB0AHIAYQBsAGkAYQBcACIALAAgAFwAIgBwAFwAIgAsACAAMAAuADAAMgA5ADMALAAgAFwAIgBhAHQAIABtAGEAcgBrAGUAdABcACIAOwBcAG4AIAAgACAAIAAgACAAIAAgAFwAIgBPAHQAaABlAHIAXAAiACwAIABcACIATwB0AGgAZQByAFwAIgAsACAAXAAiAEIAYQByAGwAZQB5ACAAZwByAGEAaQBuACAAKABmAG8AcgAgAHMAZQBlAGQAKQBcACIALAAgAFwAIgBBAHUAcwB0AHIAYQBsAGkAYQBcACIALAAgAFwAIgBrAGcAXAAiACwAIAAwAC4AMgAzADkALAAgAFwAIgBhAHQAIABtAGEAcgBrAGUAdABcACIAOwBcAG4AIAAgACAAIAAgACAAIAAgAFwAIgBPAHQAaABlAHIAXAAiACwAIABcACIATwB0AGgAZQByAFwAIgAsACAAXAAiAE0AYQBpAHoAZQAgAGcAcgBhAGkAbgAgACgAZgBvAHIAIABzAGUAZQBkACkAXAAiACwAIABcACIAQQB1AHMAdAByAGEAbABpAGEAXAAiACwAIABcACIAawBnAFwAIgAsACAAMAAuADEAOAAxACwAIABcACIAYQB0ACAAbQBhAHIAawBlAHQAXAAiADsAXABuACAAIAAgACAAIAAgACAAIABcACIATwB0AGgAZQByAFwAIgAsACAAXAAiAE8AdABoAGUAcgBcACIALAAgAFwAIgBOAHkAbABvAG4AIABuAGUAdAB0AGkAbgBnAFwAIgAsACAAXAAiAEcAbABvAGIAYQBsAFwAIgAsACAAXAAiAGsAZwBcACIALAAgADkALgA4ADEALAAgAFwAIgBhAHQAIABtAGEAcgBrAGUAdABcACIAOwBcAG4AIAAgACAAIAAgACAAIAAgAFwAIgBPAHQAaABlAHIAXAAiACwAIABcACIATwB0AGgAZQByAFwAIgAsACAAXAAiAE8AYQB0ACAAZwByAGEAaQBuACAAKABmAG8AcgAgAHMAZQBlAGQAKQBcACIALAAgAFwAIgBBAHUAcwB0AHIAYQBsAGkAYQBcACIALAAgAFwAIgBrAGcAXAAiACwAIAAwAC4AMgA3ACwAIABcACIAYQB0ACAAbQBhAHIAawBlAHQAXAAiADsAXABuACAAIAAgACAAIAAgACAAIABcACIATwB0AGgAZQByAFwAIgAsACAAXAAiAE8AdABoAGUAcgBcACIALAAgAFwAIgBTAG8AcgBnAGgAdQBtACAAZwByAGEAaQBuACAAKABmAG8AcgAgAHMAZQBlAGQAKQBcACIALAAgAFwAIgBBAHUAcwB0AHIAYQBsAGkAYQBcACIALAAgAFwAIgBrAGcAXAAiACwAIAAwAC4AMgAzADIALAAgAFwAIgBhAHQAIABtAGEAcgBrAGUAdABcACIAOwBcAG4AIAAgACAAIAAgACAAIAAgAFwAIgBPAHQAaABlAHIAXAAiACwAIABcACIATwB0AGgAZQByAFwAIgAsACAAXAAiAFcAaABlAGEAdAAgAGcAcgBhAGkAbgAgACgAZgBvAHIAIABzAGUAZQBkACkAXAAiACwAIABcACIAQQB1AHMAdAByAGEAbABpAGEAXAAiACwAIABcACIAawBnAFwAIgAsACAAMAAuADIANgA4ACwAIABcACIAYQB0ACAAbQBhAHIAawBlAHQAXAAiAFwAbgAgACAAIAAgACAAIAB9ACwAIAByACwAIABjACkAXABuACkAKQApADsAXABuAFwAbgBcAG4ALwAqAFwAbgA9AD0APQA9AD0APQA9AD0APQA9AD0APQA9AD0APQA9AD0APQA9AD0APQA9AD0APQA9AD0APQA9AD0APQA9AD0APQA9AD0APQA9AD0APQA9AD0APQA9AD0APQA9AD0APQA9AD0APQA9AD0APQA9AD0APQA9AD0APQA9AD0APQA9AD0APQA9AD0APQA9AD0APQA9AD0APQA9AFwAbgBQAGEAYwBrAGEAZwBpAG4AZwBcAG4APQA9AD0APQA9AD0APQA9AD0APQA9AD0APQA9AD0APQA9AD0APQA9AD0APQA9AD0APQA9AD0APQA9AD0APQA9AD0APQA9AD0APQA9AD0APQA9AD0APQA9AD0APQA9AD0APQA9AD0APQA9AD0APQA9AD0APQA9AD0APQA9AD0APQA9AD0APQA9AD0APQA9AD0APQA9AD0APQBcAG4AKgAvAFwAbgBcAG4AUwBjAG8AcABlADMAXwBQAGEAYwBrAGEAZwBpAG4AZwBfAFQAaQB0AGwAZQBcAG4APQBMAEEATQBCAEQAQQAoACgAXAAiAFAAYQBjAGsAYQBnAGkAbgBnACAAcwBjAG8AcABlACAAMwBcACIAKQApADsAXABuAFwAbgBTAGMAbwBwAGUAMwBfAFAAYQBjAGsAYQBnAGkAbgBnAF8AUwBvAHUAcgBjAGUAXABuAD0ATABBAE0AQgBEAEEAKAAoAFwAIgBMAGkAZgBlAGMAeQBjAGwAZQBzAC4AIAAoADIAMAAyADYAKQAuACAARwByAGUAZQBuAGgAbwB1AHMAZQAgAEcAYQBzACAARQBtAGkAcwBzAGkAbwBuACAASQBuAHQAZQBuAHMAaQB0AGkAZQBzACAAZgBvAHIAIABNAGEAdABlAHIAaQBhAGwAIABJAG4AcAB1AHQAcwAgAHQAbwAgAEEAdQBzAHQAcgBhAGwAaQBhAG4AIABBAGcAcgBpAGMAdQBsAHQAdQByAGUALAAgAEYAaQBzAGgAZQByAGkAZQBzACAAYQBuAGQAIABGAG8AcgBlAHMAdAByAHkALgAgAFYAZQByAHMAaQBvAG4AIAA0ADgALgAgAGQAbwBpACAAMQAwAC4ANQAyADgAMQAvAHoAZQBuAG8AZABvAC4AMQA5ADYANQA2ADUAOAAwAFwAIgApACkAOwBcAG4AXABuAFMAYwBvAHAAZQAzAF8AUABhAGMAawBhAGcAaQBuAGcAXwBWAGEAcgBpAGEAdABpAG8AbgBcAG4APQBMAEEATQBCAEQAQQAoACgAXAAiAFwAIgApACkAOwBcAG4AXABuAFMAYwBvAHAAZQAzAF8AUABhAGMAawBhAGcAaQBuAGcAXwBEAGEAdABhAFwAbgA9AEwAQQBNAEIARABBACgAXABuACAAIABNAEEASwBFAEEAUgBSAEEAWQAoADUALAAgADcALABcAG4AIAAgACAAIABMAEEATQBCAEQAQQAoAHIALABjACwAXABuACAAIAAgACAAIAAgAEkATgBEAEUAWAAoAHsAXABuACAAIAAgACAAIAAgACAAIABcACIAQwBhAHQAZQBnAG8AcgB5AFwAIgAsACAAXAAiAFMAdQBiAC0AYwBhAHQAZQBnAG8AcgB5AFwAIgAsACAAXAAiAFAAcgBvAGQAdQBjAHQAIABuAGEAbQBlAFwAIgAsACAAXAAiAFIAZQBnAGkAbwBuACAAbwBmACAAbwByAGkAZwBpAG4AXAAiACwAIABcACIAUAByAG8AZAB1AGMAdAAgAFUAbgBpAHQAXAAiACwAIABcACIARwBIAEcAIABlAG0AaQBzAHMAaQBvAG4AIABpAG4AdABlAG4AcwBpAHQAeQBcACIALAAgAFwAIgBTAHkAcwB0AGUAbQAgAGIAbwB1AG4AZABhAHIAeQBcACIAOwBcAG4AIAAgACAAIAAgACAAIAAgAFwAIgBQAGEAYwBrAGEAZwBpAG4AZwBcACIALAAgAFwAIgBQAGEAYwBrAGEAZwBpAG4AZwBcACIALAAgAFwAIgBDAG8AcgByAHUAZwBhAHQAZQBkACAAYgBvAGEAcgBkAFwAIgAsACAAXAAiAEcAbABvAGIAYQBsAFwAIgAsACAAXAAiAGsAZwBcACIALAAgADEALgAwADUALAAgAFwAIgBhAHQAIABtAGEAbgB1AGYAYQBjAHQAdQByAGUAcgBcACIAOwBcAG4AIAAgACAAIAAgACAAIAAgAFwAIgBQAGEAYwBrAGEAZwBpAG4AZwBcACIALAAgAFwAIgBQAGEAYwBrAGEAZwBpAG4AZwBcACIALAAgAFwAIgBQAGwAYQBzAHQAaQBjACAAYwByAGEAdABlACAAcABvAGwAeQBwAHIAbwBwAHkAbABlAG4AZQBcACIALAAgAFwAIgBHAGwAbwBiAGEAbABcACIALAAgAFwAIgBwAFwAIgAsACAAMwAuADkAOQAsACAAXAAiAGEAdAAgAG0AYQBuAHUAZgBhAGMAdAB1AHIAZQByAFwAIgA7AFwAbgAgACAAIAAgACAAIAAgACAAXAAiAFAAYQBjAGsAYQBnAGkAbgBnAFwAIgAsACAAXAAiAFAAYQBjAGsAYQBnAGkAbgBnAFwAIgAsACAAXAAiAFAAbABhAHMAdABpAGMAIABmAGkAbABtACAATABEAFAARQBcACIALAAgAFwAIgBHAGwAbwBiAGEAbABcACIALAAgAFwAIgBrAGcAXAAiACwAIAAzAC4ANAA0ACwAIABcACIAYQB0ACAAbQBhAG4AdQBmAGEAYwB0AHUAcgBlAHIAXAAiADsAXABuACAAIAAgACAAIAAgACAAIABcACIAUABhAGMAawBhAGcAaQBuAGcAXAAiACwAIABcACIAUABhAGMAawBhAGcAaQBuAGcAXAAiACwAIABcACIAUABsAGEAcwB0AGkAYwAgAHMAaABlAGUAdAAgAEgARABQAEUAXAAiACwAIABcACIARwBsAG8AYgBhAGwAXAAiACwAIABcACIAawBnAFwAIgAsACAAMwAuADcAMgAsACAAXAAiAGEAdAAgAG0AYQBuAHUAZgBhAGMAdAB1AHIAZQByAFwAIgBcAG4AIAAgACAAIAAgACAAfQAsACAAcgAsACAAYwApAFwAbgApACkAKQA7AFwAbgBcAG4AXABuAC8AKgBcAG4APQA9AD0APQA9AD0APQA9AD0APQA9AD0APQA9AD0APQA9AD0APQA9AD0APQA9AD0APQA9AD0APQA9AD0APQA9AD0APQA9AD0APQA9AD0APQA9AD0APQA9AD0APQA9AD0APQA9AD0APQA9AD0APQA9AD0APQA9AD0APQA9AD0APQA9AD0APQA9AD0APQA9AD0APQA9AD0APQBcAG4AUABlAHMAdABpAGMAaQBkAGUAcwBcAG4APQA9AD0APQA9AD0APQA9AD0APQA9AD0APQA9AD0APQA9AD0APQA9AD0APQA9AD0APQA9AD0APQA9AD0APQA9AD0APQA9AD0APQA9AD0APQA9AD0APQA9AD0APQA9AD0APQA9AD0APQA9AD0APQA9AD0APQA9AD0APQA9AD0APQA9AD0APQA9AD0APQA9AD0APQA9AD0APQBcAG4AKgAvAFwAbgBcAG4AUwBjAG8AcABlADMAXwBQAGUAcwB0AGkAYwBpAGQAZQBzAF8AVABpAHQAbABlAFwAbgA9AEwAQQBNAEIARABBACgAKABcACIAUABlAHMAdABpAGMAaQBkAGUAcwAgAHMAYwBvAHAAZQAgADMAXAAiACkAKQA7AFwAbgBcAG4AUwBjAG8AcABlADMAXwBQAGUAcwB0AGkAYwBpAGQAZQBzAF8AUwBvAHUAcgBjAGUAXABuAD0ATABBAE0AQgBEAEEAKAAoAFwAIgBMAGkAZgBlAGMAeQBjAGwAZQBzAC4AIAAoADIAMAAyADYAKQAuACAARwByAGUAZQBuAGgAbwB1AHMAZQAgAEcAYQBzACAARQBtAGkAcwBzAGkAbwBuACAASQBuAHQAZQBuAHMAaQB0AGkAZQBzACAAZgBvAHIAIABNAGEAdABlAHIAaQBhAGwAIABJAG4AcAB1AHQAcwAgAHQAbwAgAEEAdQBzAHQAcgBhAGwAaQBhAG4AIABBAGcAcgBpAGMAdQBsAHQAdQByAGUALAAgAEYAaQBzAGgAZQByAGkAZQBzACAAYQBuAGQAIABGAG8AcgBlAHMAdAByAHkALgAgAFYAZQByAHMAaQBvAG4AIAA0ADgALgAgAGQAbwBpACAAMQAwAC4ANQAyADgAMQAvAHoAZQBuAG8AZABvAC4AMQA5ADYANQA2ADUAOAAwAFwAIgApACkAOwBcAG4AXABuAFMAYwBvAHAAZQAzAF8AUABlAHMAdABpAGMAaQBkAGUAcwBfAFYAYQByAGkAYQB0AGkAbwBuAFwAbgA9AEwAQQBNAEIARABBACgAKABcACIAXAAiACkAKQA7AFwAbgBcAG4AUwBjAG8AcABlADMAXwBQAGUAcwB0AGkAYwBpAGQAZQBzAF8ARABhAHQAYQBcAG4APQBMAEEATQBCAEQAQQAoAFwAbgAgACAATQBBAEsARQBBAFIAUgBBAFkAKAAxADMALAAgADcALABcAG4AIAAgACAAIABMAEEATQBCAEQAQQAoAHIALABjACwAXABuACAAIAAgACAAIAAgAEkATgBEAEUAWAAoAHsAXABuACAAIAAgACAAIAAgACAAIABcACIAQwBhAHQAZQBnAG8AcgB5AFwAIgAsACAAXAAiAFMAdQBiAC0AYwBhAHQAZQBnAG8AcgB5AFwAIgAsACAAXAAiAFAAcgBvAGQAdQBjAHQAIABuAGEAbQBlAFwAIgAsACAAXAAiAFIAZQBnAGkAbwBuACAAbwBmACAAbwByAGkAZwBpAG4AXAAiACwAIABcACIAUAByAG8AZAB1AGMAdAAgAFUAbgBpAHQAXAAiACwAIABcACIARwBIAEcAIABlAG0AaQBzAHMAaQBvAG4AIABpAG4AdABlAG4AcwBpAHQAeQBcACIALAAgAFwAIgBTAHkAcwB0AGUAbQAgAGIAbwB1AG4AZABhAHIAeQBcACIAOwBcAG4AIAAgACAAIAAgACAAIAAgAFwAIgBQAGUAcwB0AGkAYwBpAGQAZQBzAFwAIgAsACAAXAAiAFAAZQBzAHQAaQBjAGkAZABlAHMAXAAiACwAIABcACIAMgAsADQALQBEAFwAIgAsACAAXAAiAEcAbABvAGIAYQBsAFwAIgAsACAAXAAiAGsAZwAgAEEASQBcACIALAAgADUALgAyACwAIABcACIAYQB0ACAAbQBhAHIAawBlAHQAXAAiADsAXABuACAAIAAgACAAIAAgACAAIABcACIAUABlAHMAdABpAGMAaQBkAGUAcwBcACIALAAgAFwAIgBQAGUAcwB0AGkAYwBpAGQAZQBzAFwAIgAsACAAXAAiAEEAdAByAGEAegBpAG4AZQBcACIALAAgAFwAIgBHAGwAbwBiAGEAbABcACIALAAgAFwAIgBrAGcAIABBAEkAXAAiACwAIAA4AC4AMwA4ACwAIABcACIAYQB0ACAAbQBhAHIAawBlAHQAXAAiADsAXABuACAAIAAgACAAIAAgACAAIABcACIAUABlAHMAdABpAGMAaQBkAGUAcwBcACIALAAgAFwAIgBQAGUAcwB0AGkAYwBpAGQAZQBzAFwAIgAsACAAXAAiAEQAaQB1AHIAbwBuAFwAIgAsACAAXAAiAEcAbABvAGIAYQBsAFwAIgAsACAAXAAiAGsAZwAgAEEASQBcACIALAAgADgALgA4ACwAIABcACIAYQB0ACAAbQBhAHIAawBlAHQAXAAiADsAXABuACAAIAAgACAAIAAgACAAIABcACIAUABlAHMAdABpAGMAaQBkAGUAcwBcACIALAAgAFwAIgBQAGUAcwB0AGkAYwBpAGQAZQBzAFwAIgAsACAAXAAiAEcAbAB5AHAAaABvAHMAYQB0AGUAXAAiACwAIABcACIARwBsAG8AYgBhAGwAXAAiACwAIABcACIAawBnACAAQQBJAFwAIgAsACAAMQAwAC4AMwAsACAAXAAiAGEAdAAgAG0AYQByAGsAZQB0AFwAIgA7AFwAbgAgACAAIAAgACAAIAAgACAAXAAiAFAAZQBzAHQAaQBjAGkAZABlAHMAXAAiACwAIABcACIAUABlAHMAdABpAGMAaQBkAGUAcwBcACIALAAgAFwAIgBNAGEAbgBjAG8AegBlAGIAXAAiACwAIABcACIARwBsAG8AYgBhAGwAXAAiACwAIABcACIAawBnACAAQQBJAFwAIgAsACAANAAuADUANQAsACAAXAAiAGEAdAAgAG0AYQByAGsAZQB0AFwAIgA7AFwAbgAgACAAIAAgACAAIAAgACAAXAAiAFAAZQBzAHQAaQBjAGkAZABlAHMAXAAiACwAIABcACIAUABlAHMAdABpAGMAaQBkAGUAcwBcACIALAAgAFwAIgBNAEMAUABBAFwAIgAsACAAXAAiAEcAbABvAGIAYQBsAFwAIgAsACAAXAAiAGsAZwAgAEEASQBcACIALAAgADUALgA2ACwAIABcACIAYQB0ACAAbQBhAHIAawBlAHQAXAAiADsAXABuACAAIAAgACAAIAAgACAAIABcACIAUABlAHMAdABpAGMAaQBkAGUAcwBcACIALAAgAFwAIgBQAGUAcwB0AGkAYwBpAGQAZQBzAFwAIgAsACAAXAAiAE0AZQB0AG8AbABhAGMAaABsAG8AcgBcACIALAAgAFwAIgBHAGwAbwBiAGEAbABcACIALAAgAFwAIgBrAGcAIABBAEkAXAAiACwAIAA4AC4AMAA2ACwAIABcACIAYQB0ACAAbQBhAHIAawBlAHQAXAAiADsAXABuACAAIAAgACAAIAAgACAAIABcACIAUABlAHMAdABpAGMAaQBkAGUAcwBcACIALAAgAFwAIgBQAGUAcwB0AGkAYwBpAGQAZQBzAFwAIgAsACAAXAAiAE0AZQB0AHMAdQBsAGYAdQByAG8AbgAtAG0AZQB0AGgAeQBsAFwAIgAsACAAXAAiAEcAbABvAGIAYQBsAFwAIgAsACAAXAAiAGsAZwAgAEEASQBcACIALAAgADgALgA4ACwAIABcACIAYQB0ACAAbQBhAHIAawBlAHQAXAAiADsAXABuACAAIAAgACAAIAAgACAAIABcACIAUABlAHMAdABpAGMAaQBkAGUAcwBcACIALAAgAFwAIgBQAGUAcwB0AGkAYwBpAGQAZQBzAFwAIgAsACAAXAAiAFAAZQBzAHQAaQBjAGkAZABlAHMAIAAoAGcAZQBuAGUAcgBpAGMAKQBcACIALAAgAFwAIgBHAGwAbwBiAGEAbABcACIALAAgAFwAIgBrAGcAIABBAEkAXAAiACwAIAA5AC4AMQA2ACwAIABcACIAYQB0ACAAbQBhAHIAawBlAHQAXAAiADsAXABuACAAIAAgACAAIAAgACAAIABcACIAUABlAHMAdABpAGMAaQBkAGUAcwBcACIALAAgAFwAIgBQAGUAcwB0AGkAYwBpAGQAZQBzAFwAIgAsACAAXAAiAFQAcgBpAC0AYQBsAGwAYQB0AGUAXAAiACwAIABcACIARwBsAG8AYgBhAGwAXAAiACwAIABcACIAawBnACAAQQBJAFwAIgAsACAAOAAuADUANwAsACAAXAAiAGEAdAAgAG0AYQByAGsAZQB0AFwAIgA7AFwAbgAgACAAIAAgACAAIAAgACAAXAAiAFAAZQBzAHQAaQBjAGkAZABlAHMAXAAiACwAIABcACIAUABlAHMAdABpAGMAaQBkAGUAcwBcACIALAAgAFwAIgBUAHIAaQBiAGUAbgB1AHIAbwBuACAAbQBlAHQAaAB5AGwAXAAiACwAIABcACIARwBsAG8AYgBhAGwAXAAiACwAIABcACIAawBnACAAQQBJAFwAIgAsACAAOAAuADgALAAgAFwAIgBhAHQAIABtAGEAcgBrAGUAdABcACIAOwBcAG4AIAAgACAAIAAgACAAIAAgAFwAIgBQAGUAcwB0AGkAYwBpAGQAZQBzAFwAIgAsACAAXAAiAFAAZQBzAHQAaQBjAGkAZABlAHMAXAAiACwAIABcACIAVAByAGkAZgBsAHUAcgBhAGwAaQBuAFwAIgAsACAAXAAiAEcAbABvAGIAYQBsAFwAIgAsACAAXAAiAGsAZwAgAEEASQBcACIALAAgADYALgAxADYALAAgAFwAIgBhAHQAIABtAGEAcgBrAGUAdABcACIAXABuACAAIAAgACAAIAAgAH0ALAAgAHIALAAgAGMAKQBcAG4AKQApACkAOwBcAG4AXABuAFwAbgAvACoAXABuAD0APQA9AD0APQA9AD0APQA9AD0APQA9AD0APQA9AD0APQA9AD0APQA9AD0APQA9AD0APQA9AD0APQA9AD0APQA9AD0APQA9AD0APQA9AD0APQA9AD0APQA9AD0APQA9AD0APQA9AD0APQA9AD0APQA9AD0APQA9AD0APQA9AD0APQA9AD0APQA9AD0APQA9AD0APQA9AD0AXABuAFMAbwBpAGwAIABhAG0AZQBuAGQAbQBlAG4AdABzAFwAbgA9AD0APQA9AD0APQA9AD0APQA9AD0APQA9AD0APQA9AD0APQA9AD0APQA9AD0APQA9AD0APQA9AD0APQA9AD0APQA9AD0APQA9AD0APQA9AD0APQA9AD0APQA9AD0APQA9AD0APQA9AD0APQA9AD0APQA9AD0APQA9AD0APQA9AD0APQA9AD0APQA9AD0APQA9AD0APQA9AFwAbgAqAC8AXABuAFwAbgBTAGMAbwBwAGUAMwBfAFMAbwBpAGwAQQBtAGUAbgBkAG0AZQBuAHQAcwBfAFQAaQB0AGwAZQBcAG4APQBMAEEATQBCAEQAQQAoACgAXAAiAFMAbwBpAGwAIABhAG0AZQBuAGQAbQBlAG4AdABzACAAcwBjAG8AcABlACAAMwBcACIAKQApADsAXABuAFwAbgBTAGMAbwBwAGUAMwBfAFMAbwBpAGwAQQBtAGUAbgBkAG0AZQBuAHQAcwBfAFMAbwB1AHIAYwBlAFwAbgA9AEwAQQBNAEIARABBACgAKABcACIATABpAGYAZQBjAHkAYwBsAGUAcwAuACAAKAAyADAAMgA2ACkALgAgAEcAcgBlAGUAbgBoAG8AdQBzAGUAIABHAGEAcwAgAEUAbQBpAHMAcwBpAG8AbgAgAEkAbgB0AGUAbgBzAGkAdABpAGUAcwAgAGYAbwByACAATQBhAHQAZQByAGkAYQBsACAASQBuAHAAdQB0AHMAIAB0AG8AIABBAHUAcwB0AHIAYQBsAGkAYQBuACAAQQBnAHIAaQBjAHUAbAB0AHUAcgBlACwAIABGAGkAcwBoAGUAcgBpAGUAcwAgAGEAbgBkACAARgBvAHIAZQBzAHQAcgB5AC4AIABWAGUAcgBzAGkAbwBuACAANAA4AC4AIABkAG8AaQAgADEAMAAuADUAMgA4ADEALwB6AGUAbgBvAGQAbwAuADEAOQA2ADUANgA1ADgAMABcACIAKQApADsAXABuAFwAbgBTAGMAbwBwAGUAMwBfAFMAbwBpAGwAQQBtAGUAbgBkAG0AZQBuAHQAcwBfAFYAYQByAGkAYQB0AGkAbwBuAFwAbgA9AEwAQQBNAEIARABBACgAKABcACIAXAAiACkAKQA7AFwAbgBcAG4AUwBjAG8AcABlADMAXwBTAG8AaQBsAEEAbQBlAG4AZABtAGUAbgB0AHMAXwBEAGEAdABhAFwAbgA9AEwAQQBNAEIARABBACgAXABuACAAIABNAEEASwBFAEEAUgBSAEEAWQAoADQALAAgADcALABcAG4AIAAgACAAIABMAEEATQBCAEQAQQAoAHIALABjACwAXABuACAAIAAgACAAIAAgAEkATgBEAEUAWAAoAHsAXABuACAAIAAgACAAIAAgACAAIABcACIAQwBhAHQAZQBnAG8AcgB5AFwAIgAsACAAXAAiAFMAdQBiAC0AYwBhAHQAZQBnAG8AcgB5AFwAIgAsACAAXAAiAFAAcgBvAGQAdQBjAHQAIABuAGEAbQBlAFwAIgAsACAAXAAiAFIAZQBnAGkAbwBuACAAbwBmACAAbwByAGkAZwBpAG4AXAAiACwAIABcACIAUAByAG8AZAB1AGMAdAAgAFUAbgBpAHQAXAAiACwAIABcACIARwBIAEcAIABlAG0AaQBzAHMAaQBvAG4AIABpAG4AdABlAG4AcwBpAHQAeQBcACIALAAgAFwAIgBTAHkAcwB0AGUAbQAgAGIAbwB1AG4AZABhAHIAeQBcACIAOwBcAG4AIAAgACAAIAAgACAAIAAgAFwAIgBTAG8AaQBsACAAYQBtAGUAbABpAG8AcgBhAG4AdABzAFwAIgAsACAAXAAiAFMAbwBpAGwAIABhAG0AZQBsAGkAbwByAGEAbgB0AHMAXAAiACwAIABcACIARABvAGwAbwBtAGkAdABlAFwAIgAsACAAXAAiAEEAdQBzAHQAcgBhAGwAaQBhAFwAIgAsACAAXAAiAGsAZwBcACIALAAgADAALgAwADYANQAyACwAIABcACIAYQB0ACAAbQBhAHIAawBlAHQAXAAiADsAXABuACAAIAAgACAAIAAgACAAIABcACIAUwBvAGkAbAAgAGEAbQBlAGwAaQBvAHIAYQBuAHQAcwBcACIALAAgAFwAIgBTAG8AaQBsACAAYQBtAGUAbABpAG8AcgBhAG4AdABzAFwAIgAsACAAXAAiAEcAeQBwAHMAdQBtAFwAIgAsACAAXAAiAEEAdQBzAHQAcgBhAGwAaQBhAFwAIgAsACAAXAAiAGsAZwBcACIALAAgADAALgAwADYANQAyACwAIABcACIAYQB0ACAAbQBhAHIAawBlAHQAXAAiADsAXABuACAAIAAgACAAIAAgACAAIABcACIAUwBvAGkAbAAgAGEAbQBlAGwAaQBvAHIAYQBuAHQAcwBcACIALAAgAFwAIgBTAG8AaQBsACAAYQBtAGUAbABpAG8AcgBhAG4AdABzAFwAIgAsACAAXAAiAEwAaQBtAGUAcwB0AG8AbgBlACAAKABjAHIAdQBzAGgAZQBkACkAXAAiACwAIABcACIAQQB1AHMAdAByAGEAbABpAGEAXAAiACwAIABcACIAawBnAFwAIgAsACAAMAAuADAANAA4ADUALAAgAFwAIgBhAHQAIABtAGEAcgBrAGUAdABcACIAXABuACAAIAAgACAAIAAgAH0ALAAgAHIALAAgAGMAKQBcAG4AKQApACkAOwBcAG4AIgB9ACwAewAiAHAAYQB0AGgAIgA6ACIALwBwAHIAbwBqAGUAYwB0AHMALwBTAGMAbwBwAGUAMwBfAEkAbgBwAHUAdABGAHUAbgBjAHQAaQBvAG4AcwAiACwAIgB0AGUAeAB0ACIAOgAiAFwAbgBHAGUAdABMAGkAdgBlAHcAZQBpAGcAaAB0AF8AUABhAHMAdAB1AHIAZQBCAGUAZQBmAFwAbgA9AEwAQQBNAEIARABBACgAXABuACAAIABQAHUAcgBjAGgAYQBzAGUARABhAHQAZQAsACAATABpAHYAZQBzAHQAbwBjAGsAQwBsAGEAcwBzACwAIABTAG8AdQByAGMAZQBSAGUAZwBpAG8AbgAsAFwAbgAgACAAUwBvAHUAcgBjAGUAUgBlAGcAaQBvAG4ATABlAGYAdABBAHIAcgBhAHkALAAgAFMAbwB1AHIAYwBlAFIAZQBnAGkAbwBuAFIAaQBnAGgAdABBAHIAcgBhAHkALAAgAFMAZQBhAHMAbwBuAEEAcgByAGEAeQAsACAATABpAHYAZQBzAHQAbwBjAGsAQwBsAGEAcwBzAEEAcgByAGEAeQAsACAATABpAHYAZQB3AGUAaQBnAGgAdABBAHIAcgBhAHkALABcAG4AIAAgAEwARQBUACgAXABuACAAIAAgACAAUwBlAGEAcwBvAG4ALAAgAEkARgBTACgAXABuACAAIAAgACAAIAAgAE0ATwBOAFQASAAoAFAAdQByAGMAaABhAHMAZQBEAGEAdABlACkAIABcAHUAMAAwADMAYwA9ACAAMgAsACAAIABcACIAUwB1AG0AbQBlAHIAXAAiACwAXABuACAAIAAgACAAIAAgAE0ATwBOAFQASAAoAFAAdQByAGMAaABhAHMAZQBEAGEAdABlACkAIABcAHUAMAAwADMAYwA9ACAANQAsACAAIABcACIAQQB1AHQAdQBtAG4AXAAiACwAXABuACAAIAAgACAAIAAgAE0ATwBOAFQASAAoAFAAdQByAGMAaABhAHMAZQBEAGEAdABlACkAIABcAHUAMAAwADMAYwA9ACAAOAAsACAAIABcACIAVwBpAG4AdABlAHIAXAAiACwAXABuACAAIAAgACAAIAAgAE0ATwBOAFQASAAoAFAAdQByAGMAaABhAHMAZQBEAGEAdABlACkAIABcAHUAMAAwADMAYwA9ACAAMQAxACwAIABcACIAUwBwAHIAaQBuAGcAXAAiACwAXABuACAAIAAgACAAIAAgAE0ATwBOAFQASAAoAFAAdQByAGMAaABhAHMAZQBEAGEAdABlACkAIAA9ACAAMQAyACwAIAAgAFwAIgBTAHUAbQBtAGUAcgBcACIAXABuACAAIAAgACAAKQAsAFwAbgAgACAAIAAgAFMAbwB1AHIAYwBlAFIAZQBnAGkAbwBuAFIAaQBnAGgAdAAsACAASQBGACgASQBTAE4AVQBNAEIARQBSACgARgBJAE4ARAAoAFwAIgAgAC0AIABcACIALAAgAFMAbwB1AHIAYwBlAFIAZQBnAGkAbwBuACkAKQAsACAATQBJAEQAKABTAG8AdQByAGMAZQBSAGUAZwBpAG8AbgAsACAARgBJAE4ARAAoAFwAIgAgAC0AIABcACIALAAgAFMAbwB1AHIAYwBlAFIAZQBnAGkAbwBuACkAIAArACAAMwAsACAATABFAE4AKABTAG8AdQByAGMAZQBSAGUAZwBpAG8AbgApACkALAAgAFwAIgBuAC8AYQBcACIAKQAsAFwAbgAgACAAIAAgAFMAbwB1AHIAYwBlAFIAZQBnAGkAbwBuAEwAZQBmAHQALAAgACAASQBGACgASQBTAE4AVQBNAEIARQBSACgARgBJAE4ARAAoAFwAIgAgAC0AIABcACIALAAgAFMAbwB1AHIAYwBlAFIAZQBnAGkAbwBuACkAKQAsACAATABFAEYAVAAoAFMAbwB1AHIAYwBlAFIAZQBnAGkAbwBuACwAIABGAEkATgBEACgAXAAiACAALQAgAFwAIgAsACAAUwBvAHUAcgBjAGUAUgBlAGcAaQBvAG4AKQAgAC0AIAAxACkALAAgAFMAbwB1AHIAYwBlAFIAZQBnAGkAbwBuACkALABcAG4AIAAgACAAIABJAEYARQBSAFIATwBSACgAXABuACAAIAAgACAAIAAgAFgATABPAE8ASwBVAFAAKAAxACwAXABuACAAIAAgACAAIAAgACAAIAAoAFMAbwB1AHIAYwBlAFIAZQBnAGkAbwBuAEwAZQBmAHQAQQByAHIAYQB5ACAAPQAgAFMAbwB1AHIAYwBlAFIAZQBnAGkAbwBuAEwAZQBmAHQAKQAgACoAIAAoAFMAbwB1AHIAYwBlAFIAZQBnAGkAbwBuAFIAaQBnAGgAdABBAHIAcgBhAHkAIAA9ACAAUwBvAHUAcgBjAGUAUgBlAGcAaQBvAG4AUgBpAGcAaAB0ACkAIAAqACAAKABTAGUAYQBzAG8AbgBBAHIAcgBhAHkAIAA9ACAAUwBlAGEAcwBvAG4AKQAsAFwAbgAgACAAIAAgACAAIAAgACAAWABMAE8ATwBLAFUAUAAoAEwAaQB2AGUAcwB0AG8AYwBrAEMAbABhAHMAcwAsACAATABpAHYAZQBzAHQAbwBjAGsAQwBsAGEAcwBzAEEAcgByAGEAeQAsACAATABpAHYAZQB3AGUAaQBnAGgAdABBAHIAcgBhAHkALAAgADAAKQAsAFwAbgAgACAAIAAgACAAIAAwACkALABcAG4AIAAgACAAIAAwACkAXABuACAAIAApAFwAbgApADsAIgB9AF0ALAAiAHAAcgBvAGoAZQBjAHQATgBhAG0AZQBzACIAOgBbACIAQwBvAG0AbQBvAG4AXwBTAG8AdQByAGMAZQBEAGEAdABhAC4AQwBvAG0AbQBvAG4AXwBTAG8AdQByAGMAZQBEAGEAdABhAF8ARABlAG4AcwBpAHQAeQBPAGYATQBlAHQAaABhAG4AZQBfAFQAaQB0AGwAZQAiACwAIgBDAG8AbQBtAG8AbgBfAFMAbwB1AHIAYwBlAEQAYQB0AGEALgBDAG8AbQBtAG8AbgBfAFMAbwB1AHIAYwBlAEQAYQB0AGEAXwBEAGUAbgBzAGkAdAB5AE8AZgBNAGUAdABoAGEAbgBlAF8AVQBuAGkAdAAiACwAIgBDAG8AbQBtAG8AbgBfAFMAbwB1AHIAYwBlAEQAYQB0AGEALgBDAG8AbQBtAG8AbgBfAFMAbwB1AHIAYwBlAEQAYQB0AGEAXwBEAGUAbgBzAGkAdAB5AE8AZgBNAGUAdABoAGEAbgBlAF8AUwBvAHUAcgBjAGUAIgAsACIAQwBvAG0AbQBvAG4AXwBTAG8AdQByAGMAZQBEAGEAdABhAC4AQwBvAG0AbQBvAG4AXwBTAG8AdQByAGMAZQBEAGEAdABhAF8ARABlAG4AcwBpAHQAeQBPAGYATQBlAHQAaABhAG4AZQBfAEQAYQB0AGEAIgAsACIAQwBvAG0AbQBvAG4AXwBTAG8AdQByAGMAZQBEAGEAdABhAC4AQwBvAG0AbQBvAG4AXwBTAG8AdQByAGMAZQBEAGEAdABhAF8AQwBvAG4AdgBlAHIAdABOADIAbwBFAGwAZQBtAGUAbgB0AGEAbABUAG8ATQBvAGwAZQBjAHUAbABhAHIAQwBnAF8AVABpAHQAbABlACIALAAiAEMAbwBtAG0AbwBuAF8AUwBvAHUAcgBjAGUARABhAHQAYQAuAEMAbwBtAG0AbwBuAF8AUwBvAHUAcgBjAGUARABhAHQAYQBfAEMAbwBuAHYAZQByAHQATgAyAG8ARQBsAGUAbQBlAG4AdABhAGwAVABvAE0AbwBsAGUAYwB1AGwAYQByAEMAZwBfAFYAYQByAGkAYQBiAGwAZQAiACwAIgBDAG8AbQBtAG8AbgBfAFMAbwB1AHIAYwBlAEQAYQB0AGEALgBDAG8AbQBtAG8AbgBfAFMAbwB1AHIAYwBlAEQAYQB0AGEAXwBDAG8AbgB2AGUAcgB0AE4AMgBvAEUAbABlAG0AZQBuAHQAYQBsAFQAbwBNAG8AbABlAGMAdQBsAGEAcgBDAGcAXwBVAG4AaQB0ACIALAAiAEMAbwBtAG0AbwBuAF8AUwBvAHUAcgBjAGUARABhAHQAYQAuAEMAbwBtAG0AbwBuAF8AUwBvAHUAcgBjAGUARABhAHQAYQBfAEMAbwBuAHYAZQByAHQATgAyAG8ARQBsAGUAbQBlAG4AdABhAGwAVABvAE0AbwBsAGUAYwB1AGwAYQByAEMAZwBfAFMAbwB1AHIAYwBlACIALAAiAEMAbwBtAG0AbwBuAF8AUwBvAHUAcgBjAGUARABhAHQAYQAuAEMAbwBtAG0AbwBuAF8AUwBvAHUAcgBjAGUARABhAHQAYQBfAEMAbwBuAHYAZQByAHQATgAyAG8ARQBsAGUAbQBlAG4AdABhAGwAVABvAE0AbwBsAGUAYwB1AGwAYQByAEMAZwBfAEQAYQB0AGEAIgAsACIAQwBvAG0AbQBvAG4AXwBTAG8AdQByAGMAZQBEAGEAdABhAC4AQwBvAG0AbQBvAG4AXwBTAG8AdQByAGMAZQBEAGEAdABhAF8AQwBvAG4AdgBlAHIAdABHAGEAcwBFAGwAZQBtAGUAbgB0AGEAbABUAG8ATQBvAGwAZQBjAHUAbABhAHIAXwBUAGkAdABsAGUAIgAsACIAQwBvAG0AbQBvAG4AXwBTAG8AdQByAGMAZQBEAGEAdABhAC4AQwBvAG0AbQBvAG4AXwBTAG8AdQByAGMAZQBEAGEAdABhAF8AQwBvAG4AdgBlAHIAdABHAGEAcwBFAGwAZQBtAGUAbgB0AGEAbABUAG8ATQBvAGwAZQBjAHUAbABhAHIAXwBWAGEAcgBpAGEAYgBsAGUAIgAsACIAQwBvAG0AbQBvAG4AXwBTAG8AdQByAGMAZQBEAGEAdABhAC4AQwBvAG0AbQBvAG4AXwBTAG8AdQByAGMAZQBEAGEAdABhAF8AQwBvAG4AdgBlAHIAdABHAGEAcwBFAGwAZQBtAGUAbgB0AGEAbABUAG8ATQBvAGwAZQBjAHUAbABhAHIAXwBVAG4AaQB0ACIALAAiAEMAbwBtAG0AbwBuAF8AUwBvAHUAcgBjAGUARABhAHQAYQAuAEMAbwBtAG0AbwBuAF8AUwBvAHUAcgBjAGUARABhAHQAYQBfAEMAbwBuAHYAZQByAHQARwBhAHMARQBsAGUAbQBlAG4AdABhAGwAVABvAE0AbwBsAGUAYwB1AGwAYQByAF8AUwBvAHUAcgBjAGUAIgAsACIAQwBvAG0AbQBvAG4AXwBTAG8AdQByAGMAZQBEAGEAdABhAC4AQwBvAG0AbQBvAG4AXwBTAG8AdQByAGMAZQBEAGEAdABhAF8AQwBvAG4AdgBlAHIAdABHAGEAcwBFAGwAZQBtAGUAbgB0AGEAbABUAG8ATQBvAGwAZQBjAHUAbABhAHIAXwBEAGEAdABhACIALAAiAEMAbwBtAG0AbwBuAF8AUwBvAHUAcgBjAGUARABhAHQAYQAuAEMAbwBtAG0AbwBuAF8AUwBvAHUAcgBjAGUARABhAHQAYQBfAEcAVwBQAF8AVABpAHQAbABlACIALAAiAEMAbwBtAG0AbwBuAF8AUwBvAHUAcgBjAGUARABhAHQAYQAuAEMAbwBtAG0AbwBuAF8AUwBvAHUAcgBjAGUARABhAHQAYQBfAEcAVwBQAF8AVgBhAHIAaQBhAGIAbABlACIALAAiAEMAbwBtAG0AbwBuAF8AUwBvAHUAcgBjAGUARABhAHQAYQAuAEMAbwBtAG0AbwBuAF8AUwBvAHUAcgBjAGUARABhAHQAYQBfAEcAVwBQAF8AVQBuAGkAdAAiACwAIgBDAG8AbQBtAG8AbgBfAFMAbwB1AHIAYwBlAEQAYQB0AGEALgBDAG8AbQBtAG8AbgBfAFMAbwB1AHIAYwBlAEQAYQB0AGEAXwBHAFcAUABfAFMAbwB1AHIAYwBlACIALAAiAEMAbwBtAG0AbwBuAF8AUwBvAHUAcgBjAGUARABhAHQAYQAuAEMAbwBtAG0AbwBuAF8AUwBvAHUAcgBjAGUARABhAHQAYQBfAEcAVwBQAF8ARABhAHQAYQAiACwAIgBDAG8AbQBtAG8AbgBfAFMAbwB1AHIAYwBlAEQAYQB0AGEALgBDAG8AbQBtAG8AbgBfAFMAbwB1AHIAYwBlAEQAYQB0AGEAXwBBAHUAcwB0AHIAYQBsAGkAYQBuAFMAdABhAHQAZQBzAFQAZQByAHIAaQB0AG8AcgBpAGUAcwBfAFQAaQB0AGwAZQAiACwAIgBDAG8AbQBtAG8AbgBfAFMAbwB1AHIAYwBlAEQAYQB0AGEALgBDAG8AbQBtAG8AbgBfAFMAbwB1AHIAYwBlAEQAYQB0AGEAXwBBAHUAcwB0AHIAYQBsAGkAYQBuAFMAdABhAHQAZQBzAFQAZQByAHIAaQB0AG8AcgBpAGUAcwBfAFYAYQByAGkAYQBiAGwAZQAiACwAIgBDAG8AbQBtAG8AbgBfAFMAbwB1AHIAYwBlAEQAYQB0AGEALgBDAG8AbQBtAG8AbgBfAFMAbwB1AHIAYwBlAEQAYQB0AGEAXwBBAHUAcwB0AHIAYQBsAGkAYQBuAFMAdABhAHQAZQBzAFQAZQByAHIAaQB0AG8AcgBpAGUAcwBfAFUAbgBpAHQAIgAsACIAQwBvAG0AbQBvAG4AXwBTAG8AdQByAGMAZQBEAGEAdABhAC4AQwBvAG0AbQBvAG4AXwBTAG8AdQByAGMAZQBEAGEAdABhAF8AQQB1AHMAdAByAGEAbABpAGEAbgBTAHQAYQB0AGUAcwBUAGUAcgByAGkAdABvAHIAaQBlAHMAXwBTAG8AdQByAGMAZQAiACwAIgBDAG8AbQBtAG8AbgBfAFMAbwB1AHIAYwBlAEQAYQB0AGEALgBDAG8AbQBtAG8AbgBfAFMAbwB1AHIAYwBlAEQAYQB0AGEAXwBBAHUAcwB0AHIAYQBsAGkAYQBuAFMAdABhAHQAZQBzAFQAZQByAHIAaQB0AG8AcgBpAGUAcwBfAEQAYQB0AGEAIgAsACIAQwBvAG0AbQBvAG4AXwBTAG8AdQByAGMAZQBEAGEAdABhAC4AQwBvAG0AbQBvAG4AXwBTAG8AdQByAGMAZQBEAGEAdABhAF8AVwBBAFMAQQA0AEEAcgBlAGEAcwBfAFQAaQB0AGwAZQAiACwAIgBDAG8AbQBtAG8AbgBfAFMAbwB1AHIAYwBlAEQAYQB0AGEALgBDAG8AbQBtAG8AbgBfAFMAbwB1AHIAYwBlAEQAYQB0AGEAXwBXAEEAUwBBADQAQQByAGUAYQBzAF8AVgBhAHIAaQBhAGIAbABlACIALAAiAEMAbwBtAG0AbwBuAF8AUwBvAHUAcgBjAGUARABhAHQAYQAuAEMAbwBtAG0AbwBuAF8AUwBvAHUAcgBjAGUARABhAHQAYQBfAFcAQQBTAEEANABBAHIAZQBhAHMAXwBVAG4AaQB0ACIALAAiAEMAbwBtAG0AbwBuAF8AUwBvAHUAcgBjAGUARABhAHQAYQAuAEMAbwBtAG0AbwBuAF8AUwBvAHUAcgBjAGUARABhAHQAYQBfAFcAQQBTAEEANABBAHIAZQBhAHMAXwBTAG8AdQByAGMAZQAiACwAIgBDAG8AbQBtAG8AbgBfAFMAbwB1AHIAYwBlAEQAYQB0AGEALgBDAG8AbQBtAG8AbgBfAFMAbwB1AHIAYwBlAEQAYQB0AGEAXwBXAEEAUwBBADQAQQByAGUAYQBzAF8ARABhAHQAYQAiACwAIgBDAG8AbQBtAG8AbgBfAFMAbwB1AHIAYwBlAEQAYQB0AGEALgBDAG8AbQBtAG8AbgBfAFMAbwB1AHIAYwBlAEQAYQB0AGEAXwBXAGUAdABBAG4AZABEAHIAeQBaAG8AbgBlAHMAXwBUAGkAdABsAGUAIgAsACIAQwBvAG0AbQBvAG4AXwBTAG8AdQByAGMAZQBEAGEAdABhAC4AQwBvAG0AbQBvAG4AXwBTAG8AdQByAGMAZQBEAGEAdABhAF8AVwBlAHQAQQBuAGQARAByAHkAWgBvAG4AZQBzAF8AVgBhAHIAaQBhAGIAbABlACIALAAiAEMAbwBtAG0AbwBuAF8AUwBvAHUAcgBjAGUARABhAHQAYQAuAEMAbwBtAG0AbwBuAF8AUwBvAHUAcgBjAGUARABhAHQAYQBfAFcAZQB0AEEAbgBkAEQAcgB5AFoAbwBuAGUAcwBfAFUAbgBpAHQAIgAsACIAQwBvAG0AbQBvAG4AXwBTAG8AdQByAGMAZQBEAGEAdABhAC4AQwBvAG0AbQBvAG4AXwBTAG8AdQByAGMAZQBEAGEAdABhAF8AVwBlAHQAQQBuAGQARAByAHkAWgBvAG4AZQBzAF8AUwBvAHUAcgBjAGUAIgAsACIAQwBvAG0AbQBvAG4AXwBTAG8AdQByAGMAZQBEAGEAdABhAC4AQwBvAG0AbQBvAG4AXwBTAG8AdQByAGMAZQBEAGEAdABhAF8AVwBlAHQAQQBuAGQARAByAHkAWgBvAG4AZQBzAF8AVgBhAHIAaQBhAHQAaQBvAG4AIgAsACIAQwBvAG0AbQBvAG4AXwBTAG8AdQByAGMAZQBEAGEAdABhAC4AQwBvAG0AbQBvAG4AXwBTAG8AdQByAGMAZQBEAGEAdABhAF8AVwBlAHQAQQBuAGQARAByAHkAWgBvAG4AZQBzAF8ARABhAHQAYQAiACwAIgBDAG8AbQBtAG8AbgBfAFMAbwB1AHIAYwBlAEQAYQB0AGEALgBDAG8AbQBtAG8AbgBfAFMAbwB1AHIAYwBlAEQAYQB0AGEAXwBDAGwAaQBtAGEAdABlAFoAbwBuAGUAcwBfAFQAaQB0AGwAZQAiACwAIgBDAG8AbQBtAG8AbgBfAFMAbwB1AHIAYwBlAEQAYQB0AGEALgBDAG8AbQBtAG8AbgBfAFMAbwB1AHIAYwBlAEQAYQB0AGEAXwBDAGwAaQBtAGEAdABlAFoAbwBuAGUAcwBfAFYAYQByAGkAYQBiAGwAZQAiACwAIgBDAG8AbQBtAG8AbgBfAFMAbwB1AHIAYwBlAEQAYQB0AGEALgBDAG8AbQBtAG8AbgBfAFMAbwB1AHIAYwBlAEQAYQB0AGEAXwBDAGwAaQBtAGEAdABlAFoAbwBuAGUAcwBfAFUAbgBpAHQAIgAsACIAQwBvAG0AbQBvAG4AXwBTAG8AdQByAGMAZQBEAGEAdABhAC4AQwBvAG0AbQBvAG4AXwBTAG8AdQByAGMAZQBEAGEAdABhAF8AQwBsAGkAbQBhAHQAZQBaAG8AbgBlAHMAXwBTAG8AdQByAGMAZQAiACwAIgBDAG8AbQBtAG8AbgBfAFMAbwB1AHIAYwBlAEQAYQB0AGEALgBDAG8AbQBtAG8AbgBfAFMAbwB1AHIAYwBlAEQAYQB0AGEAXwBDAGwAaQBtAGEAdABlAFoAbwBuAGUAcwBfAFYAYQByAGkAYQB0AGkAbwBuACIALAAiAEMAbwBtAG0AbwBuAF8AUwBvAHUAcgBjAGUARABhAHQAYQAuAEMAbwBtAG0AbwBuAF8AUwBvAHUAcgBjAGUARABhAHQAYQBfAEMAbABpAG0AYQB0AGUAWgBvAG4AZQBzAF8ARABhAHQAYQAiACwAIgBDAG8AbQBtAG8AbgBfAFMAbwB1AHIAYwBlAEQAYQB0AGEALgBDAG8AbQBtAG8AbgBfAFMAbwB1AHIAYwBlAEQAYQB0AGEAXwBDAGwAaQBtAGEAdABlAFoAbwBuAGUAcwBfAEEAcABwAGUAbgBkAGkAYwBlAHMAIgAsACIAQwBvAG0AbQBvAG4AXwBTAG8AdQByAGMAZQBEAGEAdABhAC4AQwBvAG0AbQBvAG4AXwBTAG8AdQByAGMAZQBEAGEAdABhAF8AVABlAG0AcABlAHIAYQB0AHUAcgBlAFoAbwBuAGUAcwBfAFQAaQB0AGwAZQAiACwAIgBDAG8AbQBtAG8AbgBfAFMAbwB1AHIAYwBlAEQAYQB0AGEALgBDAG8AbQBtAG8AbgBfAFMAbwB1AHIAYwBlAEQAYQB0AGEAXwBUAGUAbQBwAGUAcgBhAHQAdQByAGUAWgBvAG4AZQBzAF8AVgBhAHIAaQBhAGIAbABlACIALAAiAEMAbwBtAG0AbwBuAF8AUwBvAHUAcgBjAGUARABhAHQAYQAuAEMAbwBtAG0AbwBuAF8AUwBvAHUAcgBjAGUARABhAHQAYQBfAFQAZQBtAHAAZQByAGEAdAB1AHIAZQBaAG8AbgBlAHMAXwBVAG4AaQB0ACIALAAiAEMAbwBtAG0AbwBuAF8AUwBvAHUAcgBjAGUARABhAHQAYQAuAEMAbwBtAG0AbwBuAF8AUwBvAHUAcgBjAGUARABhAHQAYQBfAFQAZQBtAHAAZQByAGEAdAB1AHIAZQBaAG8AbgBlAHMAXwBTAG8AdQByAGMAZQAiACwAIgBDAG8AbQBtAG8AbgBfAFMAbwB1AHIAYwBlAEQAYQB0AGEALgBDAG8AbQBtAG8AbgBfAFMAbwB1AHIAYwBlAEQAYQB0AGEAXwBUAGUAbQBwAGUAcgBhAHQAdQByAGUAWgBvAG4AZQBzAF8AVgBhAHIAaQBhAHQAaQBvAG4AIgAsACIAQwBvAG0AbQBvAG4AXwBTAG8AdQByAGMAZQBEAGEAdABhAC4AQwBvAG0AbQBvAG4AXwBTAG8AdQByAGMAZQBEAGEAdABhAF8AVABlAG0AcABlAHIAYQB0AHUAcgBlAFoAbwBuAGUAcwBfAEQAYQB0AGEAIgAsACIAQwBvAG0AbQBvAG4AXwBTAG8AdQByAGMAZQBEAGEAdABhAC4AQwBvAG0AbQBvAG4AXwBTAG8AdQByAGMAZQBEAGEAdABhAF8AUgBhAGkAbgBmAGEAbABsAFoAbwBuAGUAcwBfAFQAaQB0AGwAZQAiACwAIgBDAG8AbQBtAG8AbgBfAFMAbwB1AHIAYwBlAEQAYQB0AGEALgBDAG8AbQBtAG8AbgBfAFMAbwB1AHIAYwBlAEQAYQB0AGEAXwBSAGEAaQBuAGYAYQBsAGwAWgBvAG4AZQBzAF8AVgBhAHIAaQBhAGIAbABlACIALAAiAEMAbwBtAG0AbwBuAF8AUwBvAHUAcgBjAGUARABhAHQAYQAuAEMAbwBtAG0AbwBuAF8AUwBvAHUAcgBjAGUARABhAHQAYQBfAFIAYQBpAG4AZgBhAGwAbABaAG8AbgBlAHMAXwBVAG4AaQB0ACIALAAiAEMAbwBtAG0AbwBuAF8AUwBvAHUAcgBjAGUARABhAHQAYQAuAEMAbwBtAG0AbwBuAF8AUwBvAHUAcgBjAGUARABhAHQAYQBfAFIAYQBpAG4AZgBhAGwAbABaAG8AbgBlAHMAXwBTAG8AdQByAGMAZQAiACwAIgBDAG8AbQBtAG8AbgBfAFMAbwB1AHIAYwBlAEQAYQB0AGEALgBDAG8AbQBtAG8AbgBfAFMAbwB1AHIAYwBlAEQAYQB0AGEAXwBSAGEAaQBuAGYAYQBsAGwAWgBvAG4AZQBzAF8AVgBhAHIAaQBhAHQAaQBvAG4AIgAsACIAQwBvAG0AbQBvAG4AXwBTAG8AdQByAGMAZQBEAGEAdABhAC4AQwBvAG0AbQBvAG4AXwBTAG8AdQByAGMAZQBEAGEAdABhAF8AUgBhAGkAbgBmAGEAbABsAFoAbwBuAGUAcwBfAEQAYQB0AGEAIgAsACIAQwBvAG0AbQBvAG4AXwBTAG8AdQByAGMAZQBEAGEAdABhAC4AQwBvAG0AbQBvAG4AXwBTAG8AdQByAGMAZQBEAGEAdABhAF8ATABlAGEAYwBoAGkAbgBnAFoAbwBuAGUAcwBfAFQAaQB0AGwAZQAiACwAIgBDAG8AbQBtAG8AbgBfAFMAbwB1AHIAYwBlAEQAYQB0AGEALgBDAG8AbQBtAG8AbgBfAFMAbwB1AHIAYwBlAEQAYQB0AGEAXwBMAGUAYQBjAGgAaQBuAGcAWgBvAG4AZQBzAF8AVgBhAHIAaQBhAGIAbABlACIALAAiAEMAbwBtAG0AbwBuAF8AUwBvAHUAcgBjAGUARABhAHQAYQAuAEMAbwBtAG0AbwBuAF8AUwBvAHUAcgBjAGUARABhAHQAYQBfAEwAZQBhAGMAaABpAG4AZwBaAG8AbgBlAHMAXwBVAG4AaQB0ACIALAAiAEMAbwBtAG0AbwBuAF8AUwBvAHUAcgBjAGUARABhAHQAYQAuAEMAbwBtAG0AbwBuAF8AUwBvAHUAcgBjAGUARABhAHQAYQBfAEwAZQBhAGMAaABpAG4AZwBaAG8AbgBlAHMAXwBTAG8AdQByAGMAZQAiACwAIgBDAG8AbQBtAG8AbgBfAFMAbwB1AHIAYwBlAEQAYQB0AGEALgBDAG8AbQBtAG8AbgBfAFMAbwB1AHIAYwBlAEQAYQB0AGEAXwBMAGUAYQBjAGgAaQBuAGcAWgBvAG4AZQBzAF8AVgBhAHIAaQBhAHQAaQBvAG4AIgAsACIAQwBvAG0AbQBvAG4AXwBTAG8AdQByAGMAZQBEAGEAdABhAC4AQwBvAG0AbQBvAG4AXwBTAG8AdQByAGMAZQBEAGEAdABhAF8ATABlAGEAYwBoAGkAbgBnAFoAbwBuAGUAcwBfAEQAYQB0AGEAIgAsACIAQwBvAG0AbQBvAG4AXwBTAG8AdQByAGMAZQBEAGEAdABhAC4AQwBvAG0AbQBvAG4AXwBTAG8AdQByAGMAZQBEAGEAdABhAF8ARgByAGEAYwBXAEUAVABfAFQAaQB0AGwAZQAiACwAIgBDAG8AbQBtAG8AbgBfAFMAbwB1AHIAYwBlAEQAYQB0AGEALgBDAG8AbQBtAG8AbgBfAFMAbwB1AHIAYwBlAEQAYQB0AGEAXwBGAHIAYQBjAFcARQBUAF8AVQBuAGkAdAAiACwAIgBDAG8AbQBtAG8AbgBfAFMAbwB1AHIAYwBlAEQAYQB0AGEALgBDAG8AbQBtAG8AbgBfAFMAbwB1AHIAYwBlAEQAYQB0AGEAXwBGAHIAYQBjAFcARQBUAF8AUwBvAHUAcgBjAGUAIgAsACIAQwBvAG0AbQBvAG4AXwBTAG8AdQByAGMAZQBEAGEAdABhAC4AQwBvAG0AbQBvAG4AXwBTAG8AdQByAGMAZQBEAGEAdABhAF8ARgByAGEAYwBXAEUAVABfAE4ASQBSAFIAZQBmAGUAcgBlAG4AYwBlACIALAAiAEMAbwBtAG0AbwBuAF8AUwBvAHUAcgBjAGUARABhAHQAYQAuAEMAbwBtAG0AbwBuAF8AUwBvAHUAcgBjAGUARABhAHQAYQBfAEYAcgBhAGMAVwBFAFQAXwBEAGEAdABhACIALAAiAEMAbwBtAG0AbwBuAF8AUwBvAHUAcgBjAGUARABhAHQAYQAuAEMAbwBtAG0AbwBuAF8AUwBvAHUAcgBjAGUARABhAHQAYQBfAEYAcgBhAGMAVwBFAFQAXwBWAGEAcgBpAGEAdABpAG8AbgAiACwAIgBDAG8AbQBtAG8AbgBfAFMAbwB1AHIAYwBlAEQAYQB0AGEALgBDAG8AbQBtAG8AbgBfAFMAbwB1AHIAYwBlAEQAYQB0AGEAXwBEAGEAdABhAFMAYwBvAHIAZQBzAF8AUwBjAG8AcABlADMAXwBUAGkAdABsAGUAIgAsACIAQwBvAG0AbQBvAG4AXwBTAG8AdQByAGMAZQBEAGEAdABhAC4AQwBvAG0AbQBvAG4AXwBTAG8AdQByAGMAZQBEAGEAdABhAF8ARABhAHQAYQBTAGMAbwByAGUAcwBfAFMAYwBvAHAAZQAzAF8AVgBhAHIAaQBhAGIAbABlACIALAAiAEMAbwBtAG0AbwBuAF8AUwBvAHUAcgBjAGUARABhAHQAYQAuAEMAbwBtAG0AbwBuAF8AUwBvAHUAcgBjAGUARABhAHQAYQBfAEQAYQB0AGEAUwBjAG8AcgBlAHMAXwBTAGMAbwBwAGUAMwBfAFUAbgBpAHQAIgAsACIAQwBvAG0AbQBvAG4AXwBTAG8AdQByAGMAZQBEAGEAdABhAC4AQwBvAG0AbQBvAG4AXwBTAG8AdQByAGMAZQBEAGEAdABhAF8ARABhAHQAYQBTAGMAbwByAGUAcwBfAFMAYwBvAHAAZQAzAF8AUwBvAHUAcgBjAGUAIgAsACIAQwBvAG0AbQBvAG4AXwBTAG8AdQByAGMAZQBEAGEAdABhAC4AQwBvAG0AbQBvAG4AXwBTAG8AdQByAGMAZQBEAGEAdABhAF8ARABhAHQAYQBTAGMAbwByAGUAcwBfAFMAYwBvAHAAZQAzAF8AVgBhAHIAaQBhAHQAaQBvAG4AIgAsACIAQwBvAG0AbQBvAG4AXwBTAG8AdQByAGMAZQBEAGEAdABhAC4AQwBvAG0AbQBvAG4AXwBTAG8AdQByAGMAZQBEAGEAdABhAF8ARABhAHQAYQBTAGMAbwByAGUAcwBfAFMAYwBvAHAAZQAzAF8ARABhAHQAYQAiACwAIgBDAG8AbQBtAG8AbgBfAFMAbwB1AHIAYwBlAEQAYQB0AGEALgBDAG8AbQBtAG8AbgBfAFMAbwB1AHIAYwBlAEQAYQB0AGEAXwBGAHIAYQBjAEwARQBBAEMASABfAFQAaQB0AGwAZQAiACwAIgBDAG8AbQBtAG8AbgBfAFMAbwB1AHIAYwBlAEQAYQB0AGEALgBDAG8AbQBtAG8AbgBfAFMAbwB1AHIAYwBlAEQAYQB0AGEAXwBGAHIAYQBjAEwARQBBAEMASABfAFUAbgBpAHQAIgAsACIAQwBvAG0AbQBvAG4AXwBTAG8AdQByAGMAZQBEAGEAdABhAC4AQwBvAG0AbQBvAG4AXwBTAG8AdQByAGMAZQBEAGEAdABhAF8ARgByAGEAYwBMAEUAQQBDAEgAXwBTAG8AdQByAGMAZQAiACwAIgBDAG8AbQBtAG8AbgBfAFMAbwB1AHIAYwBlAEQAYQB0AGEALgBDAG8AbQBtAG8AbgBfAFMAbwB1AHIAYwBlAEQAYQB0AGEAXwBGAHIAYQBjAEwARQBBAEMASABfAE4ASQBSAFIAZQBmAGUAcgBlAG4AYwBlACIALAAiAEMAbwBtAG0AbwBuAF8AUwBvAHUAcgBjAGUARABhAHQAYQAuAEMAbwBtAG0AbwBuAF8AUwBvAHUAcgBjAGUARABhAHQAYQBfAEYAcgBhAGMATABFAEEAQwBIAF8ARABhAHQAYQAiACwAIgBDAG8AbQBtAG8AbgBfAFMAbwB1AHIAYwBlAEQAYQB0AGEALgBDAG8AbQBtAG8AbgBfAFMAbwB1AHIAYwBlAEQAYQB0AGEAXwBGAHIAYQBjAEwARQBBAEMASABfAFYAYQByAGkAYQB0AGkAbwBuACIALAAiAEMAbwBtAG0AbwBuAF8AUwBvAHUAcgBjAGUARABhAHQAYQAuAEMAbwBtAG0AbwBuAF8AUwBvAHUAcgBjAGUARABhAHQAYQBfAEUARgBsAGUAYQBjAGgAXwBUAGkAdABsAGUAIgAsACIAQwBvAG0AbQBvAG4AXwBTAG8AdQByAGMAZQBEAGEAdABhAC4AQwBvAG0AbQBvAG4AXwBTAG8AdQByAGMAZQBEAGEAdABhAF8ARQBGAGwAZQBhAGMAaABfAFUAbgBpAHQAIgAsACIAQwBvAG0AbQBvAG4AXwBTAG8AdQByAGMAZQBEAGEAdABhAC4AQwBvAG0AbQBvAG4AXwBTAG8AdQByAGMAZQBEAGEAdABhAF8ARQBGAGwAZQBhAGMAaABfAFMAbwB1AHIAYwBlACIALAAiAEMAbwBtAG0AbwBuAF8AUwBvAHUAcgBjAGUARABhAHQAYQAuAEMAbwBtAG0AbwBuAF8AUwBvAHUAcgBjAGUARABhAHQAYQBfAEUARgBsAGUAYQBjAGgAXwBOAEkAUgBSAGUAZgBlAHIAZQBuAGMAZQAiACwAIgBDAG8AbQBtAG8AbgBfAFMAbwB1AHIAYwBlAEQAYQB0AGEALgBDAG8AbQBtAG8AbgBfAFMAbwB1AHIAYwBlAEQAYQB0AGEAXwBFAEYAbABlAGEAYwBoAF8ARABhAHQAYQAiACwAIgBDAG8AbQBtAG8AbgBfAFMAbwB1AHIAYwBlAEQAYQB0AGEALgBDAG8AbQBtAG8AbgBfAFMAbwB1AHIAYwBlAEQAYQB0AGEAXwBFAEYAbABlAGEAYwBoAF8AVgBhAHIAaQBhAHQAaQBvAG4AIgAsACIAQwBvAG0AbQBvAG4AXwBTAG8AdQByAGMAZQBEAGEAdABhAC4AQwBvAG0AbQBvAG4AXwBTAG8AdQByAGMAZQBEAGEAdABhAF8ARQBGAE4AMgBPAF8AVABpAHQAbABlACIALAAiAEMAbwBtAG0AbwBuAF8AUwBvAHUAcgBjAGUARABhAHQAYQAuAEMAbwBtAG0AbwBuAF8AUwBvAHUAcgBjAGUARABhAHQAYQBfAEUARgBOADIATwBfAFUAbgBpAHQAIgAsACIAQwBvAG0AbQBvAG4AXwBTAG8AdQByAGMAZQBEAGEAdABhAC4AQwBvAG0AbQBvAG4AXwBTAG8AdQByAGMAZQBEAGEAdABhAF8ARQBGAE4AMgBPAF8AUwBvAHUAcgBjAGUAIgAsACIAQwBvAG0AbQBvAG4AXwBTAG8AdQByAGMAZQBEAGEAdABhAC4AQwBvAG0AbQBvAG4AXwBTAG8AdQByAGMAZQBEAGEAdABhAF8ARQBGAE4AMgBPAF8ATgBJAFIAUgBlAGYAZQByAGUAbgBjAGUAIgAsACIAQwBvAG0AbQBvAG4AXwBTAG8AdQByAGMAZQBEAGEAdABhAC4AQwBvAG0AbQBvAG4AXwBTAG8AdQByAGMAZQBEAGEAdABhAF8ARQBGAE4AMgBPAF8ARABhAHQAYQAiACwAIgBDAG8AbQBtAG8AbgBfAFMAbwB1AHIAYwBlAEQAYQB0AGEALgBDAG8AbQBtAG8AbgBfAFMAbwB1AHIAYwBlAEQAYQB0AGEAXwBFAEYATgAyAE8AXwBWAGEAcgBpAGEAdABpAG8AbgAiACwAIgBDAG8AbQBtAG8AbgBfAFMAbwB1AHIAYwBlAEQAYQB0AGEALgBDAG8AbQBtAG8AbgBfAFMAbwB1AHIAYwBlAEQAYQB0AGEAXwBGAHIAYQBjAFcARQBUAEkAcgByAGkAZwBhAHQAaQBvAG4AXwBUAGkAdABsAGUAIgAsACIAQwBvAG0AbQBvAG4AXwBTAG8AdQByAGMAZQBEAGEAdABhAC4AQwBvAG0AbQBvAG4AXwBTAG8AdQByAGMAZQBEAGEAdABhAF8ARgByAGEAYwBXAEUAVABJAHIAcgBpAGcAYQB0AGkAbwBuAF8AVQBuAGkAdAAiACwAIgBDAG8AbQBtAG8AbgBfAFMAbwB1AHIAYwBlAEQAYQB0AGEALgBDAG8AbQBtAG8AbgBfAFMAbwB1AHIAYwBlAEQAYQB0AGEAXwBGAHIAYQBjAFcARQBUAEkAcgByAGkAZwBhAHQAaQBvAG4AXwBTAG8AdQByAGMAZQAiACwAIgBDAG8AbQBtAG8AbgBfAFMAbwB1AHIAYwBlAEQAYQB0AGEALgBDAG8AbQBtAG8AbgBfAFMAbwB1AHIAYwBlAEQAYQB0AGEAXwBGAHIAYQBjAFcARQBUAEkAcgByAGkAZwBhAHQAaQBvAG4AXwBOAEkAUgBSAGUAZgBlAHIAZQBuAGMAZQAiACwAIgBDAG8AbQBtAG8AbgBfAFMAbwB1AHIAYwBlAEQAYQB0AGEALgBDAG8AbQBtAG8AbgBfAFMAbwB1AHIAYwBlAEQAYQB0AGEAXwBGAHIAYQBjAFcARQBUAEkAcgByAGkAZwBhAHQAaQBvAG4AXwBEAGEAdABhACIALAAiAEMAbwBtAG0AbwBuAF8AUwBvAHUAcgBjAGUARABhAHQAYQAuAEMAbwBtAG0AbwBuAF8AUwBvAHUAcgBjAGUARABhAHQAYQBfAEYAcgBhAGMAVwBFAFQASQByAHIAaQBnAGEAdABpAG8AbgBfAFYAYQByAGkAYQB0AGkAbwBuACIALAAiAEMAbwBtAG0AbwBuAF8AUwBvAHUAcgBjAGUARABhAHQAYQAuAEMAbwBtAG0AbwBuAF8AUwBvAHUAcgBjAGUARABhAHQAYQBfAEUARgBQAGEAcwB0AHUAcgBlAFIAYQBuAGcAZQBBAG4AZABQAGEAZABkAG8AYwBrAF8AVABpAHQAbABlACIALAAiAEMAbwBtAG0AbwBuAF8AUwBvAHUAcgBjAGUARABhAHQAYQAuAEMAbwBtAG0AbwBuAF8AUwBvAHUAcgBjAGUARABhAHQAYQBfAEUARgBQAGEAcwB0AHUAcgBlAFIAYQBuAGcAZQBBAG4AZABQAGEAZABkAG8AYwBrAF8AVQBuAGkAdAAiACwAIgBDAG8AbQBtAG8AbgBfAFMAbwB1AHIAYwBlAEQAYQB0AGEALgBDAG8AbQBtAG8AbgBfAFMAbwB1AHIAYwBlAEQAYQB0AGEAXwBFAEYAUABhAHMAdAB1AHIAZQBSAGEAbgBnAGUAQQBuAGQAUABhAGQAZABvAGMAawBfAFMAbwB1AHIAYwBlACIALAAiAEMAbwBtAG0AbwBuAF8AUwBvAHUAcgBjAGUARABhAHQAYQAuAEMAbwBtAG0AbwBuAF8AUwBvAHUAcgBjAGUARABhAHQAYQBfAEUARgBQAGEAcwB0AHUAcgBlAFIAYQBuAGcAZQBBAG4AZABQAGEAZABkAG8AYwBrAF8ATgBJAFIAUgBlAGYAZQByAGUAbgBjAGUAIgAsACIAQwBvAG0AbQBvAG4AXwBTAG8AdQByAGMAZQBEAGEAdABhAC4AQwBvAG0AbQBvAG4AXwBTAG8AdQByAGMAZQBEAGEAdABhAF8ARQBGAFAAYQBzAHQAdQByAGUAUgBhAG4AZwBlAEEAbgBkAFAAYQBkAGQAbwBjAGsAXwBEAGEAdABhACIALAAiAEMAbwBtAG0AbwBuAF8AUwBvAHUAcgBjAGUARABhAHQAYQAuAEMAbwBtAG0AbwBuAF8AUwBvAHUAcgBjAGUARABhAHQAYQBfAEUARgBQAGEAcwB0AHUAcgBlAFIAYQBuAGcAZQBBAG4AZABQAGEAZABkAG8AYwBrAF8AVgBhAHIAaQBhAHQAaQBvAG4AIgAsACIAQwBvAG0AbQBvAG4AXwBTAG8AdQByAGMAZQBEAGEAdABhAC4AQwBvAG0AbQBvAG4AXwBTAG8AdQByAGMAZQBEAGEAdABhAF8ATQBvAG4AdABoAHMAVABvAFMAZQBhAHMAbwBuAHMAXwBUAGkAdABsAGUAIgAsACIAQwBvAG0AbQBvAG4AXwBTAG8AdQByAGMAZQBEAGEAdABhAC4AQwBvAG0AbQBvAG4AXwBTAG8AdQByAGMAZQBEAGEAdABhAF8ATQBvAG4AdABoAHMAVABvAFMAZQBhAHMAbwBuAHMAXwBVAG4AaQB0ACIALAAiAEMAbwBtAG0AbwBuAF8AUwBvAHUAcgBjAGUARABhAHQAYQAuAEMAbwBtAG0AbwBuAF8AUwBvAHUAcgBjAGUARABhAHQAYQBfAE0AbwBuAHQAaABzAFQAbwBTAGUAYQBzAG8AbgBzAF8AUwBvAHUAcgBjAGUAIgAsACIAQwBvAG0AbQBvAG4AXwBTAG8AdQByAGMAZQBEAGEAdABhAC4AQwBvAG0AbQBvAG4AXwBTAG8AdQByAGMAZQBEAGEAdABhAF8ATQBvAG4AdABoAHMAVABvAFMAZQBhAHMAbwBuAHMAXwBOAEkAUgBSAGUAZgBlAHIAZQBuAGMAZQAiACwAIgBDAG8AbQBtAG8AbgBfAFMAbwB1AHIAYwBlAEQAYQB0AGEALgBDAG8AbQBtAG8AbgBfAFMAbwB1AHIAYwBlAEQAYQB0AGEAXwBNAG8AbgB0AGgAcwBUAG8AUwBlAGEAcwBvAG4AcwBfAEQAYQB0AGEAIgAsACIAQwBvAG0AbQBvAG4AXwBTAG8AdQByAGMAZQBEAGEAdABhAC4AQwBvAG0AbQBvAG4AXwBTAG8AdQByAGMAZQBEAGEAdABhAF8ATQBvAG4AdABoAHMAVABvAFMAZQBhAHMAbwBuAHMAXwBWAGEAcgBpAGEAdABpAG8AbgAiACwAIgBDAG8AbQBtAG8AbgBfAEUAcQB1AGEAdABpAG8AbgBzAC4AQwBvAG0AbQBvAG4AXwBDAG8AbgB2AGUAcgB0AE4AMgBPAFQAbwBDAE8AMgBlACIALAAiAEMAbwBtAG0AbwBuAF8ARQBxAHUAYQB0AGkAbwBuAHMALgBDAG8AbQBtAG8AbgBfAEMAbwBuAHYAZQByAHQATgAyAE8AVABvAEMATwAyAGUAXwBUAGkAdABsAGUAIgAsACIAQwBvAG0AbQBvAG4AXwBFAHEAdQBhAHQAaQBvAG4AcwAuAEMAbwBtAG0AbwBuAF8AQwBvAG4AdgBlAHIAdABOADIATwBUAG8AQwBPADIAZQBfAFYAYQByAGkAYQBiAGwAZQAiACwAIgBDAG8AbQBtAG8AbgBfAEUAcQB1AGEAdABpAG8AbgBzAC4AQwBvAG0AbQBvAG4AXwBDAG8AbgB2AGUAcgB0AE4AMgBPAFQAbwBDAE8AMgBlAF8AVQBuAGkAdAAiACwAIgBDAG8AbQBtAG8AbgBfAEUAcQB1AGEAdABpAG8AbgBzAC4AQwBvAG0AbQBvAG4AXwBDAG8AbgB2AGUAcgB0AE4AMgBPAFQAbwBDAE8AMgBlAF8ATgBJAFIAUgBlAGYAZQByAGUAbgBjAGUAIgAsACIAQwBvAG0AbQBvAG4AXwBFAHEAdQBhAHQAaQBvAG4AcwAuAEMAbwBtAG0AbwBuAF8AQwBvAG4AdgBlAHIAdABOADIATwBUAG8AQwBPADIAZQBfAEwAYQB0AGUAeABFAHEAdQBhAHQAaQBvAG4AIgAsACIAQwBvAG0AbQBvAG4AXwBFAHEAdQBhAHQAaQBvAG4AcwAuAEMAbwBtAG0AbwBuAF8AQwBvAG4AdgBlAHIAdABOADIATwBUAG8AQwBPADIAZQBfAEEAcgBnAHUAbQBlAG4AdABzACIALAAiAEMAbwBtAG0AbwBuAF8ARQBxAHUAYQB0AGkAbwBuAHMALgBDAG8AbQBtAG8AbgBfAEMAbwBuAHYAZQByAHQAQwBIADQAVABvAEMATwAyAGUAIgAsACIAQwBvAG0AbQBvAG4AXwBFAHEAdQBhAHQAaQBvAG4AcwAuAEMAbwBtAG0AbwBuAF8AQwBvAG4AdgBlAHIAdABDAEgANABUAG8AQwBPADIAZQBfAFQAaQB0AGwAZQAiACwAIgBDAG8AbQBtAG8AbgBfAEUAcQB1AGEAdABpAG8AbgBzAC4AQwBvAG0AbQBvAG4AXwBDAG8AbgB2AGUAcgB0AEMASAA0AFQAbwBDAE8AMgBlAF8AVgBhAHIAaQBhAGIAbABlACIALAAiAEMAbwBtAG0AbwBuAF8ARQBxAHUAYQB0AGkAbwBuAHMALgBDAG8AbQBtAG8AbgBfAEMAbwBuAHYAZQByAHQAQwBIADQAVABvAEMATwAyAGUAXwBVAG4AaQB0ACIALAAiAEMAbwBtAG0AbwBuAF8ARQBxAHUAYQB0AGkAbwBuAHMALgBDAG8AbQBtAG8AbgBfAEMAbwBuAHYAZQByAHQAQwBIADQAVABvAEMATwAyAGUAXwBOAEkAUgBSAGUAZgBlAHIAZQBuAGMAZQAiACwAIgBDAG8AbQBtAG8AbgBfAEUAcQB1AGEAdABpAG8AbgBzAC4AQwBvAG0AbQBvAG4AXwBDAG8AbgB2AGUAcgB0AEMASAA0AFQAbwBDAE8AMgBlAF8ATABhAHQAZQB4AEUAcQB1AGEAdABpAG8AbgAiACwAIgBDAG8AbQBtAG8AbgBfAEUAcQB1AGEAdABpAG8AbgBzAC4AQwBvAG0AbQBvAG4AXwBDAG8AbgB2AGUAcgB0AEMASAA0AFQAbwBDAE8AMgBlAF8AQQByAGcAdQBtAGUAbgB0AHMAIgAsACIAQwBvAG0AbQBvAG4ATABpAHYAZQBzAHQAbwBjAGsAXwBTAG8AdQByAGMAZQBEAGEAdABhAC4AUwBvAHUAcgBjAGUARABhAHQAYQBfAEwAaQB2AGUAcwB0AG8AYwBrAF8AQwBvAG0AbQBvAG4AXwBGAHIAYQBjAFcARQBUAE0ATQBTAF8AVABpAHQAbABlACIALAAiAEMAbwBtAG0AbwBuAEwAaQB2AGUAcwB0AG8AYwBrAF8AUwBvAHUAcgBjAGUARABhAHQAYQAuAFMAbwB1AHIAYwBlAEQAYQB0AGEAXwBMAGkAdgBlAHMAdABvAGMAawBfAEMAbwBtAG0AbwBuAF8ARgByAGEAYwBXAEUAVABNAE0AUwBfAFUAbgBpAHQAIgAsACIAQwBvAG0AbQBvAG4ATABpAHYAZQBzAHQAbwBjAGsAXwBTAG8AdQByAGMAZQBEAGEAdABhAC4AUwBvAHUAcgBjAGUARABhAHQAYQBfAEwAaQB2AGUAcwB0AG8AYwBrAF8AQwBvAG0AbQBvAG4AXwBGAHIAYQBjAFcARQBUAE0ATQBTAF8AUwBvAHUAcgBjAGUAIgAsACIAQwBvAG0AbQBvAG4ATABpAHYAZQBzAHQAbwBjAGsAXwBTAG8AdQByAGMAZQBEAGEAdABhAC4AUwBvAHUAcgBjAGUARABhAHQAYQBfAEwAaQB2AGUAcwB0AG8AYwBrAF8AQwBvAG0AbQBvAG4AXwBGAHIAYQBjAFcARQBUAE0ATQBTAF8ARABhAHQAYQAiACwAIgBDAG8AbQBtAG8AbgBMAGkAdgBlAHMAdABvAGMAawBfAFMAbwB1AHIAYwBlAEQAYQB0AGEALgBTAG8AdQByAGMAZQBEAGEAdABhAF8ATABpAHYAZQBzAHQAbwBjAGsAXwBDAG8AbQBtAG8AbgBfAEYAcgBhAGMATABFAEEAQwBIAF8ATQBTAF8AVABpAHQAbABlACIALAAiAEMAbwBtAG0AbwBuAEwAaQB2AGUAcwB0AG8AYwBrAF8AUwBvAHUAcgBjAGUARABhAHQAYQAuAFMAbwB1AHIAYwBlAEQAYQB0AGEAXwBMAGkAdgBlAHMAdABvAGMAawBfAEMAbwBtAG0AbwBuAF8ARgByAGEAYwBMAEUAQQBDAEgAXwBNAFMAXwBVAG4AaQB0ACIALAAiAEMAbwBtAG0AbwBuAEwAaQB2AGUAcwB0AG8AYwBrAF8AUwBvAHUAcgBjAGUARABhAHQAYQAuAFMAbwB1AHIAYwBlAEQAYQB0AGEAXwBMAGkAdgBlAHMAdABvAGMAawBfAEMAbwBtAG0AbwBuAF8ARgByAGEAYwBMAEUAQQBDAEgAXwBNAFMAXwBTAG8AdQByAGMAZQAiACwAIgBDAG8AbQBtAG8AbgBMAGkAdgBlAHMAdABvAGMAawBfAFMAbwB1AHIAYwBlAEQAYQB0AGEALgBTAG8AdQByAGMAZQBEAGEAdABhAF8ATABpAHYAZQBzAHQAbwBjAGsAXwBDAG8AbQBtAG8AbgBfAEYAcgBhAGMATABFAEEAQwBIAF8ATQBTAF8ARABhAHQAYQAiACwAIgBDAG8AbQBtAG8AbgBMAGkAdgBlAHMAdABvAGMAawBfAFMAbwB1AHIAYwBlAEQAYQB0AGEALgBTAG8AdQByAGMAZQBEAGEAdABhAF8ATABpAHYAZQBzAHQAbwBjAGsAXwBDAG8AbQBtAG8AbgBfAFMAeQBtAGIAbwBsAHMATQBNAFMAXwBUAGkAdABsAGUAIgAsACIAQwBvAG0AbQBvAG4ATABpAHYAZQBzAHQAbwBjAGsAXwBTAG8AdQByAGMAZQBEAGEAdABhAC4AUwBvAHUAcgBjAGUARABhAHQAYQBfAEwAaQB2AGUAcwB0AG8AYwBrAF8AQwBvAG0AbQBvAG4AXwBTAHkAbQBiAG8AbABzAE0ATQBTAF8AVgBhAGkAcgBhAGIAbABlACIALAAiAEMAbwBtAG0AbwBuAEwAaQB2AGUAcwB0AG8AYwBrAF8AUwBvAHUAcgBjAGUARABhAHQAYQAuAFMAbwB1AHIAYwBlAEQAYQB0AGEAXwBMAGkAdgBlAHMAdABvAGMAawBfAEMAbwBtAG0AbwBuAF8AUwB5AG0AYgBvAGwAcwBNAE0AUwBfAFUAbgBpAHQAIgAsACIAQwBvAG0AbQBvAG4ATABpAHYAZQBzAHQAbwBjAGsAXwBTAG8AdQByAGMAZQBEAGEAdABhAC4AUwBvAHUAcgBjAGUARABhAHQAYQBfAEwAaQB2AGUAcwB0AG8AYwBrAF8AQwBvAG0AbQBvAG4AXwBTAHkAbQBiAG8AbABzAE0ATQBTAF8AUwBvAHUAcgBjAGUAIgAsACIAQwBvAG0AbQBvAG4ATABpAHYAZQBzAHQAbwBjAGsAXwBTAG8AdQByAGMAZQBEAGEAdABhAC4AUwBvAHUAcgBjAGUARABhAHQAYQBfAEwAaQB2AGUAcwB0AG8AYwBrAF8AQwBvAG0AbQBvAG4AXwBTAHkAbQBiAG8AbABzAE0ATQBTAF8ARABhAHQAYQAiACwAIgBDAG8AbQBtAG8AbgBMAGkAdgBlAHMAdABvAGMAawBfAFMAbwB1AHIAYwBlAEQAYQB0AGEALgBTAG8AdQByAGMAZQBEAGEAdABhAF8ATABpAHYAZQBzAHQAbwBjAGsAXwBQAHIAbwBkAHUAYwB0AF8AQgBlAGUAZgBDAGEAdAB0AGwAZQBfAFQAaQB0AGwAZQAiACwAIgBDAG8AbQBtAG8AbgBMAGkAdgBlAHMAdABvAGMAawBfAFMAbwB1AHIAYwBlAEQAYQB0AGEALgBTAG8AdQByAGMAZQBEAGEAdABhAF8ATABpAHYAZQBzAHQAbwBjAGsAXwBQAHIAbwBkAHUAYwB0AF8AQgBlAGUAZgBDAGEAdAB0AGwAZQBfAFYAYQBpAHIAYQBiAGwAZQAiACwAIgBDAG8AbQBtAG8AbgBMAGkAdgBlAHMAdABvAGMAawBfAFMAbwB1AHIAYwBlAEQAYQB0AGEALgBTAG8AdQByAGMAZQBEAGEAdABhAF8ATABpAHYAZQBzAHQAbwBjAGsAXwBQAHIAbwBkAHUAYwB0AF8AQgBlAGUAZgBDAGEAdAB0AGwAZQBfAFUAbgBpAHQAIgAsACIAQwBvAG0AbQBvAG4ATABpAHYAZQBzAHQAbwBjAGsAXwBTAG8AdQByAGMAZQBEAGEAdABhAC4AUwBvAHUAcgBjAGUARABhAHQAYQBfAEwAaQB2AGUAcwB0AG8AYwBrAF8AUAByAG8AZAB1AGMAdABfAEIAZQBlAGYAQwBhAHQAdABsAGUAXwBTAG8AdQByAGMAZQAiACwAIgBDAG8AbQBtAG8AbgBMAGkAdgBlAHMAdABvAGMAawBfAFMAbwB1AHIAYwBlAEQAYQB0AGEALgBTAG8AdQByAGMAZQBEAGEAdABhAF8ATABpAHYAZQBzAHQAbwBjAGsAXwBQAHIAbwBkAHUAYwB0AF8AQgBlAGUAZgBDAGEAdAB0AGwAZQBfAEQAYQB0AGEAIgAsACIAQwBvAG0AbQBvAG4ATABpAHYAZQBzAHQAbwBjAGsAXwBTAG8AdQByAGMAZQBEAGEAdABhAC4AUwBvAHUAcgBjAGUARABhAHQAYQBfAEwAaQB2AGUAcwB0AG8AYwBrAF8AUAByAG8AZAB1AGMAdABfAEMAaABpAGMAawBlAG4AcwBfAFQAaQB0AGwAZQAiACwAIgBDAG8AbQBtAG8AbgBMAGkAdgBlAHMAdABvAGMAawBfAFMAbwB1AHIAYwBlAEQAYQB0AGEALgBTAG8AdQByAGMAZQBEAGEAdABhAF8ATABpAHYAZQBzAHQAbwBjAGsAXwBQAHIAbwBkAHUAYwB0AF8AQwBoAGkAYwBrAGUAbgBzAF8AVgBhAGkAcgBhAGIAbABlACIALAAiAEMAbwBtAG0AbwBuAEwAaQB2AGUAcwB0AG8AYwBrAF8AUwBvAHUAcgBjAGUARABhAHQAYQAuAFMAbwB1AHIAYwBlAEQAYQB0AGEAXwBMAGkAdgBlAHMAdABvAGMAawBfAFAAcgBvAGQAdQBjAHQAXwBDAGgAaQBjAGsAZQBuAHMAXwBVAG4AaQB0ACIALAAiAEMAbwBtAG0AbwBuAEwAaQB2AGUAcwB0AG8AYwBrAF8AUwBvAHUAcgBjAGUARABhAHQAYQAuAFMAbwB1AHIAYwBlAEQAYQB0AGEAXwBMAGkAdgBlAHMAdABvAGMAawBfAFAAcgBvAGQAdQBjAHQAXwBDAGgAaQBjAGsAZQBuAHMAXwBTAG8AdQByAGMAZQAiACwAIgBDAG8AbQBtAG8AbgBMAGkAdgBlAHMAdABvAGMAawBfAFMAbwB1AHIAYwBlAEQAYQB0AGEALgBTAG8AdQByAGMAZQBEAGEAdABhAF8ATABpAHYAZQBzAHQAbwBjAGsAXwBQAHIAbwBkAHUAYwB0AF8AQwBoAGkAYwBrAGUAbgBzAF8ARABhAHQAYQAiACwAIgBDAG8AbQBtAG8AbgBMAGkAdgBlAHMAdABvAGMAawBfAFMAbwB1AHIAYwBlAEQAYQB0AGEALgBTAG8AdQByAGMAZQBEAGEAdABhAF8ATABpAHYAZQBzAHQAbwBjAGsAXwBQAHIAbwBkAHUAYwB0AF8ARABhAGkAcgB5AGMAYQB0AHQAbABlAF8AVABpAHQAbABlACIALAAiAEMAbwBtAG0AbwBuAEwAaQB2AGUAcwB0AG8AYwBrAF8AUwBvAHUAcgBjAGUARABhAHQAYQAuAFMAbwB1AHIAYwBlAEQAYQB0AGEAXwBMAGkAdgBlAHMAdABvAGMAawBfAFAAcgBvAGQAdQBjAHQAXwBEAGEAaQByAHkAYwBhAHQAdABsAGUAXwBWAGEAaQByAGEAYgBsAGUAIgAsACIAQwBvAG0AbQBvAG4ATABpAHYAZQBzAHQAbwBjAGsAXwBTAG8AdQByAGMAZQBEAGEAdABhAC4AUwBvAHUAcgBjAGUARABhAHQAYQBfAEwAaQB2AGUAcwB0AG8AYwBrAF8AUAByAG8AZAB1AGMAdABfAEQAYQBpAHIAeQBjAGEAdAB0AGwAZQBfAFUAbgBpAHQAIgAsACIAQwBvAG0AbQBvAG4ATABpAHYAZQBzAHQAbwBjAGsAXwBTAG8AdQByAGMAZQBEAGEAdABhAC4AUwBvAHUAcgBjAGUARABhAHQAYQBfAEwAaQB2AGUAcwB0AG8AYwBrAF8AUAByAG8AZAB1AGMAdABfAEQAYQBpAHIAeQBjAGEAdAB0AGwAZQBfAFMAbwB1AHIAYwBlACIALAAiAEMAbwBtAG0AbwBuAEwAaQB2AGUAcwB0AG8AYwBrAF8AUwBvAHUAcgBjAGUARABhAHQAYQAuAFMAbwB1AHIAYwBlAEQAYQB0AGEAXwBMAGkAdgBlAHMAdABvAGMAawBfAFAAcgBvAGQAdQBjAHQAXwBEAGEAaQByAHkAYwBhAHQAdABsAGUAXwBEAGEAdABhACIALAAiAEMAbwBtAG0AbwBuAEwAaQB2AGUAcwB0AG8AYwBrAF8AUwBvAHUAcgBjAGUARABhAHQAYQAuAFMAbwB1AHIAYwBlAEQAYQB0AGEAXwBMAGkAdgBlAHMAdABvAGMAawBfAFAAcgBvAGQAdQBjAHQAXwBQAGkAZwBzAF8AVABpAHQAbABlACIALAAiAEMAbwBtAG0AbwBuAEwAaQB2AGUAcwB0AG8AYwBrAF8AUwBvAHUAcgBjAGUARABhAHQAYQAuAFMAbwB1AHIAYwBlAEQAYQB0AGEAXwBMAGkAdgBlAHMAdABvAGMAawBfAFAAcgBvAGQAdQBjAHQAXwBQAGkAZwBzAF8AVgBhAGkAcgBhAGIAbABlACIALAAiAEMAbwBtAG0AbwBuAEwAaQB2AGUAcwB0AG8AYwBrAF8AUwBvAHUAcgBjAGUARABhAHQAYQAuAFMAbwB1AHIAYwBlAEQAYQB0AGEAXwBMAGkAdgBlAHMAdABvAGMAawBfAFAAcgBvAGQAdQBjAHQAXwBQAGkAZwBzAF8AVQBuAGkAdAAiACwAIgBDAG8AbQBtAG8AbgBMAGkAdgBlAHMAdABvAGMAawBfAFMAbwB1AHIAYwBlAEQAYQB0AGEALgBTAG8AdQByAGMAZQBEAGEAdABhAF8ATABpAHYAZQBzAHQAbwBjAGsAXwBQAHIAbwBkAHUAYwB0AF8AUABpAGcAcwBfAFMAbwB1AHIAYwBlACIALAAiAEMAbwBtAG0AbwBuAEwAaQB2AGUAcwB0AG8AYwBrAF8AUwBvAHUAcgBjAGUARABhAHQAYQAuAFMAbwB1AHIAYwBlAEQAYQB0AGEAXwBMAGkAdgBlAHMAdABvAGMAawBfAFAAcgBvAGQAdQBjAHQAXwBQAGkAZwBzAF8ARABhAHQAYQAiACwAIgBDAG8AbQBtAG8AbgBMAGkAdgBlAHMAdABvAGMAawBfAFMAbwB1AHIAYwBlAEQAYQB0AGEALgBTAG8AdQByAGMAZQBEAGEAdABhAF8ATABpAHYAZQBzAHQAbwBjAGsAXwBQAHIAbwBkAHUAYwB0AF8AUwBoAGUAZQBwAF8AVABpAHQAbABlACIALAAiAEMAbwBtAG0AbwBuAEwAaQB2AGUAcwB0AG8AYwBrAF8AUwBvAHUAcgBjAGUARABhAHQAYQAuAFMAbwB1AHIAYwBlAEQAYQB0AGEAXwBMAGkAdgBlAHMAdABvAGMAawBfAFAAcgBvAGQAdQBjAHQAXwBTAGgAZQBlAHAAXwBWAGEAaQByAGEAYgBsAGUAIgAsACIAQwBvAG0AbQBvAG4ATABpAHYAZQBzAHQAbwBjAGsAXwBTAG8AdQByAGMAZQBEAGEAdABhAC4AUwBvAHUAcgBjAGUARABhAHQAYQBfAEwAaQB2AGUAcwB0AG8AYwBrAF8AUAByAG8AZAB1AGMAdABfAFMAaABlAGUAcABfAFUAbgBpAHQAIgAsACIAQwBvAG0AbQBvAG4ATABpAHYAZQBzAHQAbwBjAGsAXwBTAG8AdQByAGMAZQBEAGEAdABhAC4AUwBvAHUAcgBjAGUARABhAHQAYQBfAEwAaQB2AGUAcwB0AG8AYwBrAF8AUAByAG8AZAB1AGMAdABfAFMAaABlAGUAcABfAFMAbwB1AHIAYwBlACIALAAiAEMAbwBtAG0AbwBuAEwAaQB2AGUAcwB0AG8AYwBrAF8AUwBvAHUAcgBjAGUARABhAHQAYQAuAFMAbwB1AHIAYwBlAEQAYQB0AGEAXwBMAGkAdgBlAHMAdABvAGMAawBfAFAAcgBvAGQAdQBjAHQAXwBTAGgAZQBlAHAAXwBEAGEAdABhACIALAAiAEMAbwBtAG0AbwBuAF8ASQBuAHAAdQB0AEYAdQBuAGMAdABpAG8AbgBzAC4AVQB0AGkAbABpAHQAeQBfAEcAZQB0AEEAcgByAGEAeQBUAGEAYgBsAGUAUgBvAHcAUwB0AGEAcgB0AE4AdQBtAGIAZQByACIALAAiAEMAbwBtAG0AbwBuAF8ASQBuAHAAdQB0AEYAdQBuAGMAdABpAG8AbgBzAC4AVQB0AGkAbABpAHQAeQBfAEcAZQB0AEEAcgByAGEAeQBUAGEAYgBsAGUAQwBvAGwAdQBtAG4AUwB0AGEAcgB0AE4AdQBtAGIAZQByACIALAAiAEMAbwBtAG0AbwBuAF8ASQBuAHAAdQB0AEYAdQBuAGMAdABpAG8AbgBzAC4AVQB0AGkAbABpAHQAeQBfAEQAaQBzAHAAbABhAHkAQQByAHIAYQB5AEkAbgBUAGEAYgBsAGUAIgAsACIAQwBvAG0AbQBvAG4AXwBJAG4AcAB1AHQARgB1AG4AYwB0AGkAbwBuAHMALgBVAHQAaQBsAGkAdAB5AF8ATABvAG8AawB1AHAAVgBhAGwAdQBlAEkAbgBUAGEAYgBsAGUAIgAsACIAQwBvAG0AbQBvAG4AXwBJAG4AcAB1AHQARgB1AG4AYwB0AGkAbwBuAHMALgBVAHQAaQBsAGkAdAB5AF8ATABvAG8AawB1AHAAVgBhAGwAdQBlAEkAbgBUAGEAYgBsAGUATgB1AG0AYgBlAHIAIgAsACIAQwBvAG0AbQBvAG4AXwBJAG4AcAB1AHQARgB1AG4AYwB0AGkAbwBuAHMALgBVAHQAaQBsAGkAdAB5AF8ATABvAG8AawB1AHAAVgBhAGwAdQBlAEkAbgBUAGEAYgBsAGUAVAB3AG8AQwBvAGwAdQBtAG4AcwAiACwAIgBDAG8AbQBtAG8AbgBfAEkAbgBwAHUAdABGAHUAbgBjAHQAaQBvAG4AcwAuAFUAdABpAGwAaQB0AHkAXwBMAG8AbwBrAHUAcABWAGEAbAB1AGUASQBuAFQAYQBiAGwAZQBPAG4AZQBDAG8AbAB1AG0AbgBBAG4AZABIAGUAYQBkAGUAcgAiACwAIgBDAG8AbQBtAG8AbgBfAEkAbgBwAHUAdABGAHUAbgBjAHQAaQBvAG4AcwAuAFUAdABpAGwAaQB0AHkAXwBTAHAAbABpAHQAUwB0AHIAaQBuAGcASQBuAHQAbwBBAHIAcgBhAHkAIgAsACIAQwBvAG0AbQBvAG4AXwBJAG4AcAB1AHQARgB1AG4AYwB0AGkAbwBuAHMALgBVAHQAaQBsAGkAdAB5AF8ARwBlAHQAQwBsAGkAbQBhAHQAZQBaAG8AbgBlACIALAAiAEMAbwBtAG0AbwBuAF8ASQBuAHAAdQB0AEYAdQBuAGMAdABpAG8AbgBzAC4AVQB0AGkAbABpAHQAeQBfAEwAbwBvAGsAdQBwAEkAdABlAG0ARgByAG8AbQBNAGkAbgBNAGEAeAAiACwAIgBDAG8AbQBtAG8AbgBfAEkAbgBwAHUAdABGAHUAbgBjAHQAaQBvAG4AcwAuAFUAdABpAGwAaQB0AHkAXwBTAHUAbQBRAHUAYQBuAHQAaQB0AHkARgByAG8AbQBDAHIAaQB0AGUAcgBpAGEAIgAsACIAQwBvAG0AbQBvAG4AXwBJAG4AcAB1AHQARgB1AG4AYwB0AGkAbwBuAHMALgBnAGUAdABPAHYAZQByAGwAYQBwAHAAaQBuAGcAUgBlAHAAbwByAHQAaQBuAGcAQwB5AGMAbABlAHMAIgAsACIAQwBvAG0AbQBvAG4AXwBJAG4AcAB1AHQARgB1AG4AYwB0AGkAbwBuAHMALgBnAGUAdABPAHYAZQByAGwAYQBwAHAAaQBuAGcAUgBlAHAAbwByAHQAaQBuAGcAUABlAHIAaQBvAGQAcwAiACwAIgBDAG8AbQBtAG8AbgBfAEkAbgBwAHUAdABGAHUAbgBjAHQAaQBvAG4AcwAuAFUAdABpAGwAaQB0AHkAXwBEAGkAcwBwAGwAYQB5AEYAdQBuAGMAdABpAG8AbgBOAGEAbQBlACIALAAiAEMAbwBtAG0AbwBuAF8ASQBuAHAAdQB0AEYAdQBuAGMAdABpAG8AbgBzAC4AVQB0AGkAbABpAHQAeQBfAEwAbwBvAGsAdQBwAE4AMgBPAEUARgBGAHIAbwBtAFAAcgBvAGQASQByAHIAaQBnAGEAdABpAG8AbgBSAGEAaQBuAGYAYQBsAGwAIgAsACIAQwBvAG0AbQBvAG4AXwBJAG4AcAB1AHQARgB1AG4AYwB0AGkAbwBuAHMALgBDAG8AbQBtAG8AbgBDAHIAbwBwAHAAaQBuAGcAXwBHAGUAdABGAHIAYQBjAFcARQBUACIALAAiAEMAbwBtAG0AbwBuAF8ASQBuAHAAdQB0AEYAdQBuAGMAdABpAG8AbgBzAC4AVQB0AGkAbABpAHQAeQBfAEMAbwBuAHYAZQByAHQAUwB0AGEAdABlAEMAbwBtAG0AbwBuAE4AYQBtAGUAVABvAEEAYgBiAHIAZQB2AGkAYQB0AGkAbwBuACIALAAiAEMAbwBtAG0AbwBuAF8ASQBuAHAAdQB0AEYAdQBuAGMAdABpAG8AbgBzAC4AVQB0AGkAbABpAHQAeQBfAFMAbwB1AHIAYwBlAEgAeQBwAGUAcgBsAGkAbgBrAEQAaQBmAGYAZQByAGUAbgB0AFMAaABlAGUAdAAiACwAIgBDAG8AbQBtAG8AbgBfAEkAbgBwAHUAdABGAHUAbgBjAHQAaQBvAG4AcwAuAFUAdABpAGwAaQB0AHkAXwBSAGUAcwB1AGwAdABzAEkAdABlAG0ARgByAG8AbQBFAHEAdQBhAHQAaQBvAG4AVABpAHQAbABlAEEAbgBkAFMAbwB1AHIAYwBlACIALAAiAEMAbwBtAG0AbwBuAEMAcgBvAHAAcABpAG4AZwBfAEkAbgBwAHUAdABGAHUAbgBjAHQAaQBvAG4AcwAuAEMAbwBtAG0AbwBuAEMAcgBvAHAAcABpAG4AZwBfAEcAZQB0AEYAcgBhAGMAVwBFAFQAIgAsACIAQwBvAG0AbQBvAG4AQwByAG8AcABwAGkAbgBnAF8ASQBuAHAAdQB0AEYAdQBuAGMAdABpAG8AbgBzAC4AQwBvAG0AbQBvAG4AQwByAG8AcABwAGkAbgBnAF8AQwBhAGwAYwB1AGwAYQB0AGUASABhAHIAdgBlAHMAdABJAG4AZABlAHgAIgAsACIAQwBvAG0AbQBvAG4AQwByAG8AcABwAGkAbgBnAF8ASQBuAHAAdQB0AEYAdQBuAGMAdABpAG8AbgBzAC4AQwBvAG0AbQBvAG4AQwByAG8AcABwAGkAbgBnAF8AQwBhAGwAYwB1AGwAYQB0AGUAUgBlAHMAaQBkAHUAZQBDAHIAbwBwAFIAYQB0AGkAbwAiACwAIgBDAG8AbQBtAG8AbgBDAHIAbwBwAHAAaQBuAGcAXwBJAG4AcAB1AHQARgB1AG4AYwB0AGkAbwBuAHMALgBDAG8AbQBtAG8AbgBDAHIAbwBwAHAAaQBuAGcAXwBDAGEAbABjAHUAbABhAHQAZQBGAHIAYQBjAHQAaQBvAG4AUgBlAHMAaQBkAHUAZQBSAGUAbQBvAHYAZQBkACIALAAiAEUAbgB0AGUAcgBpAGMATQBlAHQAaABhAG4AZQBfAFAAYQBzAHQAdQByAGUAQgBlAGUAZgBfAEUAcQB1AGEAdABpAG8AbgBzAC4AVgBFAEUAUgBHAF8AMwBfADIAXwAxAF8AMQBfAF8AMQBfAFQAbwB0AGEAbABBAG4AbgB1AGEAbABNAGUAdABoAGEAbgBlAEYAcgBvAG0ARQBuAHQAZQByAGkAYwBGAGUAcgBtAGUAbgB0AGEAdABpAG8AbgAiACwAIgBFAG4AdABlAHIAaQBjAE0AZQB0AGgAYQBuAGUAXwBQAGEAcwB0AHUAcgBlAEIAZQBlAGYAXwBFAHEAdQBhAHQAaQBvAG4AcwAuAFYARQBFAFIARwBfADMAXwAyAF8AMQBfADEAXwBfADEAXwBUAG8AdABhAGwAQQBuAG4AdQBhAGwATQBlAHQAaABhAG4AZQBGAHIAbwBtAEUAbgB0AGUAcgBpAGMARgBlAHIAbQBlAG4AdABhAHQAaQBvAG4AXwBUAGkAdABsAGUAIgAsACIARQBuAHQAZQByAGkAYwBNAGUAdABoAGEAbgBlAF8AUABhAHMAdAB1AHIAZQBCAGUAZQBmAF8ARQBxAHUAYQB0AGkAbwBuAHMALgBWAEUARQBSAEcAXwAzAF8AMgBfADEAXwAxAF8AXwAxAF8AVABvAHQAYQBsAEEAbgBuAHUAYQBsAE0AZQB0AGgAYQBuAGUARgByAG8AbQBFAG4AdABlAHIAaQBjAEYAZQByAG0AZQBuAHQAYQB0AGkAbwBuAF8AVgBhAHIAaQBhAGIAbABlACIALAAiAEUAbgB0AGUAcgBpAGMATQBlAHQAaABhAG4AZQBfAFAAYQBzAHQAdQByAGUAQgBlAGUAZgBfAEUAcQB1AGEAdABpAG8AbgBzAC4AVgBFAEUAUgBHAF8AMwBfADIAXwAxAF8AMQBfAF8AMQBfAFQAbwB0AGEAbABBAG4AbgB1AGEAbABNAGUAdABoAGEAbgBlAEYAcgBvAG0ARQBuAHQAZQByAGkAYwBGAGUAcgBtAGUAbgB0AGEAdABpAG8AbgBfAFUAbgBpAHQAIgAsACIARQBuAHQAZQByAGkAYwBNAGUAdABoAGEAbgBlAF8AUABhAHMAdAB1AHIAZQBCAGUAZQBmAF8ARQBxAHUAYQB0AGkAbwBuAHMALgBWAEUARQBSAEcAXwAzAF8AMgBfADEAXwAxAF8AXwAxAF8AVABvAHQAYQBsAEEAbgBuAHUAYQBsAE0AZQB0AGgAYQBuAGUARgByAG8AbQBFAG4AdABlAHIAaQBjAEYAZQByAG0AZQBuAHQAYQB0AGkAbwBuAF8AUwBvAHUAcgBjAGUAIgAsACIARQBuAHQAZQByAGkAYwBNAGUAdABoAGEAbgBlAF8AUABhAHMAdAB1AHIAZQBCAGUAZQBmAF8ARQBxAHUAYQB0AGkAbwBuAHMALgBWAEUARQBSAEcAXwAzAF8AMgBfADEAXwAxAF8AXwAxAF8AVABvAHQAYQBsAEEAbgBuAHUAYQBsAE0AZQB0AGgAYQBuAGUARgByAG8AbQBFAG4AdABlAHIAaQBjAEYAZQByAG0AZQBuAHQAYQB0AGkAbwBuAF8ATgBJAFIAUgBlAGYAZQByAGUAbgBjAGUAIgAsACIARQBuAHQAZQByAGkAYwBNAGUAdABoAGEAbgBlAF8AUABhAHMAdAB1AHIAZQBCAGUAZQBmAF8ARQBxAHUAYQB0AGkAbwBuAHMALgBWAEUARQBSAEcAXwAzAF8AMgBfADEAXwAxAF8AXwAxAF8AVABvAHQAYQBsAEEAbgBuAHUAYQBsAE0AZQB0AGgAYQBuAGUARgByAG8AbQBFAG4AdABlAHIAaQBjAEYAZQByAG0AZQBuAHQAYQB0AGkAbwBuAF8ATABhAHQAZQB4AEUAcQB1AGEAdABpAG8AbgAiACwAIgBFAG4AdABlAHIAaQBjAE0AZQB0AGgAYQBuAGUAXwBQAGEAcwB0AHUAcgBlAEIAZQBlAGYAXwBFAHEAdQBhAHQAaQBvAG4AcwAuAFYARQBFAFIARwBfADMAXwAyAF8AMQBfADEAXwBfADEAXwBUAG8AdABhAGwAQQBuAG4AdQBhAGwATQBlAHQAaABhAG4AZQBGAHIAbwBtAEUAbgB0AGUAcgBpAGMARgBlAHIAbQBlAG4AdABhAHQAaQBvAG4AXwBBAHIAZwB1AG0AZQBuAHQAcwAiACwAIgBFAG4AdABlAHIAaQBjAE0AZQB0AGgAYQBuAGUAXwBQAGEAcwB0AHUAcgBlAEIAZQBlAGYAXwBFAHEAdQBhAHQAaQBvAG4AcwAuAFYARQBFAFIARwBfADMAXwAyAF8AMQBfADEAXwBfADIAXwBEAGEAaQBsAHkARQBuAHQAZQByAGkAYwBNAGUAdABoAGEAbgBlAFAAcgBvAGQAdQBjAHQAaQBvAG4AIgAsACIARQBuAHQAZQByAGkAYwBNAGUAdABoAGEAbgBlAF8AUABhAHMAdAB1AHIAZQBCAGUAZQBmAF8ARQBxAHUAYQB0AGkAbwBuAHMALgBWAEUARQBSAEcAXwAzAF8AMgBfADEAXwAxAF8AXwAyAF8ARABhAGkAbAB5AEUAbgB0AGUAcgBpAGMATQBlAHQAaABhAG4AZQBQAHIAbwBkAHUAYwB0AGkAbwBuAF8AVABpAHQAbABlACIALAAiAEUAbgB0AGUAcgBpAGMATQBlAHQAaABhAG4AZQBfAFAAYQBzAHQAdQByAGUAQgBlAGUAZgBfAEUAcQB1AGEAdABpAG8AbgBzAC4AVgBFAEUAUgBHAF8AMwBfADIAXwAxAF8AMQBfAF8AMgBfAEQAYQBpAGwAeQBFAG4AdABlAHIAaQBjAE0AZQB0AGgAYQBuAGUAUAByAG8AZAB1AGMAdABpAG8AbgBfAFYAYQByAGkAYQBiAGwAZQAiACwAIgBFAG4AdABlAHIAaQBjAE0AZQB0AGgAYQBuAGUAXwBQAGEAcwB0AHUAcgBlAEIAZQBlAGYAXwBFAHEAdQBhAHQAaQBvAG4AcwAuAFYARQBFAFIARwBfADMAXwAyAF8AMQBfADEAXwBfADIAXwBEAGEAaQBsAHkARQBuAHQAZQByAGkAYwBNAGUAdABoAGEAbgBlAFAAcgBvAGQAdQBjAHQAaQBvAG4AXwBVAG4AaQB0ACIALAAiAEUAbgB0AGUAcgBpAGMATQBlAHQAaABhAG4AZQBfAFAAYQBzAHQAdQByAGUAQgBlAGUAZgBfAEUAcQB1AGEAdABpAG8AbgBzAC4AVgBFAEUAUgBHAF8AMwBfADIAXwAxAF8AMQBfAF8AMgBfAEQAYQBpAGwAeQBFAG4AdABlAHIAaQBjAE0AZQB0AGgAYQBuAGUAUAByAG8AZAB1AGMAdABpAG8AbgBfAFMAbwB1AHIAYwBlACIALAAiAEUAbgB0AGUAcgBpAGMATQBlAHQAaABhAG4AZQBfAFAAYQBzAHQAdQByAGUAQgBlAGUAZgBfAEUAcQB1AGEAdABpAG8AbgBzAC4AVgBFAEUAUgBHAF8AMwBfADIAXwAxAF8AMQBfAF8AMgBfAEQAYQBpAGwAeQBFAG4AdABlAHIAaQBjAE0AZQB0AGgAYQBuAGUAUAByAG8AZAB1AGMAdABpAG8AbgBfAE4ASQBSAFIAZQBmAGUAcgBlAG4AYwBlACIALAAiAEUAbgB0AGUAcgBpAGMATQBlAHQAaABhAG4AZQBfAFAAYQBzAHQAdQByAGUAQgBlAGUAZgBfAEUAcQB1AGEAdABpAG8AbgBzAC4AVgBFAEUAUgBHAF8AMwBfADIAXwAxAF8AMQBfAF8AMgBfAEQAYQBpAGwAeQBFAG4AdABlAHIAaQBjAE0AZQB0AGgAYQBuAGUAUAByAG8AZAB1AGMAdABpAG8AbgBfAEwAYQB0AGUAeABFAHEAdQBhAHQAaQBvAG4AIgAsACIARQBuAHQAZQByAGkAYwBNAGUAdABoAGEAbgBlAF8AUABhAHMAdAB1AHIAZQBCAGUAZQBmAF8ARQBxAHUAYQB0AGkAbwBuAHMALgBWAEUARQBSAEcAXwAzAF8AMgBfADEAXwAxAF8AXwAyAF8ARABhAGkAbAB5AEUAbgB0AGUAcgBpAGMATQBlAHQAaABhAG4AZQBQAHIAbwBkAHUAYwB0AGkAbwBuAF8AQQByAGcAdQBtAGUAbgB0AHMAIgAsACIARQBuAHQAZQByAGkAYwBNAGUAdABoAGEAbgBlAF8AUABhAHMAdAB1AHIAZQBCAGUAZQBmAF8ARQBxAHUAYQB0AGkAbwBuAHMALgBWAEUARQBSAEcAXwAzAF8AMgBfADEAXwAxAF8AXwAzAF8ARgBlAGUAZABJAG4AdABhAGsAZQBGAG8AcgBHAHIAYQB6AGkAbgBnAEIAZQBlAGYAIgAsACIARQBuAHQAZQByAGkAYwBNAGUAdABoAGEAbgBlAF8AUABhAHMAdAB1AHIAZQBCAGUAZQBmAF8ARQBxAHUAYQB0AGkAbwBuAHMALgBWAEUARQBSAEcAXwAzAF8AMgBfADEAXwAxAF8AXwAzAF8ARgBlAGUAZABJAG4AdABhAGsAZQBGAG8AcgBHAHIAYQB6AGkAbgBnAEIAZQBlAGYAXwBUAGkAdABsAGUAIgAsACIARQBuAHQAZQByAGkAYwBNAGUAdABoAGEAbgBlAF8AUABhAHMAdAB1AHIAZQBCAGUAZQBmAF8ARQBxAHUAYQB0AGkAbwBuAHMALgBWAEUARQBSAEcAXwAzAF8AMgBfADEAXwAxAF8AXwAzAF8ARgBlAGUAZABJAG4AdABhAGsAZQBGAG8AcgBHAHIAYQB6AGkAbgBnAEIAZQBlAGYAXwBWAGEAcgBpAGEAYgBsAGUAIgAsACIARQBuAHQAZQByAGkAYwBNAGUAdABoAGEAbgBlAF8AUABhAHMAdAB1AHIAZQBCAGUAZQBmAF8ARQBxAHUAYQB0AGkAbwBuAHMALgBWAEUARQBSAEcAXwAzAF8AMgBfADEAXwAxAF8AXwAzAF8ARgBlAGUAZABJAG4AdABhAGsAZQBGAG8AcgBHAHIAYQB6AGkAbgBnAEIAZQBlAGYAXwBVAG4AaQB0ACIALAAiAEUAbgB0AGUAcgBpAGMATQBlAHQAaABhAG4AZQBfAFAAYQBzAHQAdQByAGUAQgBlAGUAZgBfAEUAcQB1AGEAdABpAG8AbgBzAC4AVgBFAEUAUgBHAF8AMwBfADIAXwAxAF8AMQBfAF8AMwBfAEYAZQBlAGQASQBuAHQAYQBrAGUARgBvAHIARwByAGEAegBpAG4AZwBCAGUAZQBmAF8AUwBvAHUAcgBjAGUAIgAsACIARQBuAHQAZQByAGkAYwBNAGUAdABoAGEAbgBlAF8AUABhAHMAdAB1AHIAZQBCAGUAZQBmAF8ARQBxAHUAYQB0AGkAbwBuAHMALgBWAEUARQBSAEcAXwAzAF8AMgBfADEAXwAxAF8AXwAzAF8ARgBlAGUAZABJAG4AdABhAGsAZQBGAG8AcgBHAHIAYQB6AGkAbgBnAEIAZQBlAGYAXwBOAEkAUgBSAGUAZgBlAHIAZQBuAGMAZQAiACwAIgBFAG4AdABlAHIAaQBjAE0AZQB0AGgAYQBuAGUAXwBQAGEAcwB0AHUAcgBlAEIAZQBlAGYAXwBFAHEAdQBhAHQAaQBvAG4AcwAuAFYARQBFAFIARwBfADMAXwAyAF8AMQBfADEAXwBfADMAXwBGAGUAZQBkAEkAbgB0AGEAawBlAEYAbwByAEcAcgBhAHoAaQBuAGcAQgBlAGUAZgBfAEwAYQB0AGUAeABFAHEAdQBhAHQAaQBvAG4AIgAsACIARQBuAHQAZQByAGkAYwBNAGUAdABoAGEAbgBlAF8AUABhAHMAdAB1AHIAZQBCAGUAZQBmAF8ARQBxAHUAYQB0AGkAbwBuAHMALgBWAEUARQBSAEcAXwAzAF8AMgBfADEAXwAxAF8AXwAzAF8ARgBlAGUAZABJAG4AdABhAGsAZQBGAG8AcgBHAHIAYQB6AGkAbgBnAEIAZQBlAGYAXwBBAHIAZwB1AG0AZQBuAHQAcwAiACwAIgBFAG4AdABlAHIAaQBjAE0AZQB0AGgAYQBuAGUAXwBQAGEAcwB0AHUAcgBlAEIAZQBlAGYAXwBFAHEAdQBhAHQAaQBvAG4AcwAuAFYARQBFAFIARwBfADMAXwAyAF8AMQBfADEAXwBfADQAXwBBAGQAZABpAHQAaQBvAG4AYQBsAEkAbgB0AGEAawBlAEYAbwByAE0AaQBsAGsAUAByAG8AZAB1AGMAdABpAG8AbgAiACwAIgBFAG4AdABlAHIAaQBjAE0AZQB0AGgAYQBuAGUAXwBQAGEAcwB0AHUAcgBlAEIAZQBlAGYAXwBFAHEAdQBhAHQAaQBvAG4AcwAuAFYARQBFAFIARwBfADMAXwAyAF8AMQBfADEAXwBfADQAXwBBAGQAZABpAHQAaQBvAG4AYQBsAEkAbgB0AGEAawBlAEYAbwByAE0AaQBsAGsAUAByAG8AZAB1AGMAdABpAG8AbgBWAGEAcgBpAGEAdABpAG8AbgAiACwAIgBFAG4AdABlAHIAaQBjAE0AZQB0AGgAYQBuAGUAXwBQAGEAcwB0AHUAcgBlAEIAZQBlAGYAXwBFAHEAdQBhAHQAaQBvAG4AcwAuAFYARQBFAFIARwBfADMAXwAyAF8AMQBfADEAXwBfADQAXwBBAGQAZABpAHQAaQBvAG4AYQBsAEkAbgB0AGEAawBlAEYAbwByAE0AaQBsAGsAUAByAG8AZAB1AGMAdABpAG8AbgBfAFQAaQB0AGwAZQAiACwAIgBFAG4AdABlAHIAaQBjAE0AZQB0AGgAYQBuAGUAXwBQAGEAcwB0AHUAcgBlAEIAZQBlAGYAXwBFAHEAdQBhAHQAaQBvAG4AcwAuAFYARQBFAFIARwBfADMAXwAyAF8AMQBfADEAXwBfADQAXwBBAGQAZABpAHQAaQBvAG4AYQBsAEkAbgB0AGEAawBlAEYAbwByAE0AaQBsAGsAUAByAG8AZAB1AGMAdABpAG8AbgBfAFYAYQByAGkAYQBiAGwAZQAiACwAIgBFAG4AdABlAHIAaQBjAE0AZQB0AGgAYQBuAGUAXwBQAGEAcwB0AHUAcgBlAEIAZQBlAGYAXwBFAHEAdQBhAHQAaQBvAG4AcwAuAFYARQBFAFIARwBfADMAXwAyAF8AMQBfADEAXwBfADQAXwBBAGQAZABpAHQAaQBvAG4AYQBsAEkAbgB0AGEAawBlAEYAbwByAE0AaQBsAGsAUAByAG8AZAB1AGMAdABpAG8AbgBfAFUAbgBpAHQAIgAsACIARQBuAHQAZQByAGkAYwBNAGUAdABoAGEAbgBlAF8AUABhAHMAdAB1AHIAZQBCAGUAZQBmAF8ARQBxAHUAYQB0AGkAbwBuAHMALgBWAEUARQBSAEcAXwAzAF8AMgBfADEAXwAxAF8AXwA0AF8AQQBkAGQAaQB0AGkAbwBuAGEAbABJAG4AdABhAGsAZQBGAG8AcgBNAGkAbABrAFAAcgBvAGQAdQBjAHQAaQBvAG4AXwBTAG8AdQByAGMAZQAiACwAIgBFAG4AdABlAHIAaQBjAE0AZQB0AGgAYQBuAGUAXwBQAGEAcwB0AHUAcgBlAEIAZQBlAGYAXwBFAHEAdQBhAHQAaQBvAG4AcwAuAFYARQBFAFIARwBfADMAXwAyAF8AMQBfADEAXwBfADQAXwBBAGQAZABpAHQAaQBvAG4AYQBsAEkAbgB0AGEAawBlAEYAbwByAE0AaQBsAGsAUAByAG8AZAB1AGMAdABpAG8AbgBfAE4ASQBSAFIAZQBmAGUAcgBlAG4AYwBlACIALAAiAEUAbgB0AGUAcgBpAGMATQBlAHQAaABhAG4AZQBfAFAAYQBzAHQAdQByAGUAQgBlAGUAZgBfAEUAcQB1AGEAdABpAG8AbgBzAC4AVgBFAEUAUgBHAF8AMwBfADIAXwAxAF8AMQBfAF8ANABfAEEAZABkAGkAdABpAG8AbgBhAGwASQBuAHQAYQBrAGUARgBvAHIATQBpAGwAawBQAHIAbwBkAHUAYwB0AGkAbwBuAF8ATABhAHQAZQB4AEUAcQB1AGEAdABpAG8AbgAiACwAIgBFAG4AdABlAHIAaQBjAE0AZQB0AGgAYQBuAGUAXwBQAGEAcwB0AHUAcgBlAEIAZQBlAGYAXwBFAHEAdQBhAHQAaQBvAG4AcwAuAFYARQBFAFIARwBfADMAXwAyAF8AMQBfADEAXwBfADQAXwBBAGQAZABpAHQAaQBvAG4AYQBsAEkAbgB0AGEAawBlAEYAbwByAE0AaQBsAGsAUAByAG8AZAB1AGMAdABpAG8AbgBfAEwAYQB0AGUAeABFAHEAdQBhAHQAaQBvAG4AVgBhAHIAaQBhAHQAaQBvAG4AIgAsACIARQBuAHQAZQByAGkAYwBNAGUAdABoAGEAbgBlAF8AUABhAHMAdAB1AHIAZQBCAGUAZQBmAF8ARQBxAHUAYQB0AGkAbwBuAHMALgBWAEUARQBSAEcAXwAzAF8AMgBfADEAXwAxAF8AXwA0AF8AQQBkAGQAaQB0AGkAbwBuAGEAbABJAG4AdABhAGsAZQBGAG8AcgBNAGkAbABrAFAAcgBvAGQAdQBjAHQAaQBvAG4AXwBBAHIAZwB1AG0AZQBuAHQAcwAiACwAIgBFAG4AdABlAHIAaQBjAE0AZQB0AGgAYQBuAGUAXwBQAGEAcwB0AHUAcgBlAEIAZQBlAGYAXwBFAHEAdQBhAHQAaQBvAG4AcwAuAFYARQBFAFIARwBfADMAXwAyAF8AMQBfADEAXwBfADQAXwBBAGQAZABpAHQAaQBvAG4AYQBsAEkAbgB0AGEAawBlAEYAbwByAE0AaQBsAGsAUAByAG8AZAB1AGMAdABpAG8AbgBfAEEAcgBnAHUAbQBlAG4AdABzAFYAYQByAGkAYQB0AGkAbwBuACIALAAiAEUAbgB0AGUAcgBpAGMATQBlAHQAaABhAG4AZQBfAFAAYQBzAHQAdQByAGUAQgBlAGUAZgBfAEUAcQB1AGEAdABpAG8AbgBzAC4AVgBFAEUAUgBHAF8AMwBfADIAXwAxAF8AMQBfAF8ANABfAEEAZABkAGkAdABpAG8AbgBhAGwASQBuAHQAYQBrAGUARgBvAHIATQBpAGwAawBQAHIAbwBkAHUAYwB0AGkAbwBuAF8AVgBhAHIAaQBhAHQAaQBvAG4AIgAsACIAUwBvAHUAcgBjAGUARABhAHQAYQBfAFAAYQBzAHQAdQByAGUAQgBlAGUAZgAuAFMAbwB1AHIAYwBlAEQAYQB0AGEAXwBQAGEAcwB0AHUAcgBlAEIAZQBlAGYAXwBMAGkAdgBlAHcAZQBpAGcAaAB0AF8AVABpAHQAbABlACIALAAiAFMAbwB1AHIAYwBlAEQAYQB0AGEAXwBQAGEAcwB0AHUAcgBlAEIAZQBlAGYALgBTAG8AdQByAGMAZQBEAGEAdABhAF8AUABhAHMAdAB1AHIAZQBCAGUAZQBmAF8ATABpAHYAZQB3AGUAaQBnAGgAdABfAFYAYQByAGkAYQBiAGwAZQAiACwAIgBTAG8AdQByAGMAZQBEAGEAdABhAF8AUABhAHMAdAB1AHIAZQBCAGUAZQBmAC4AUwBvAHUAcgBjAGUARABhAHQAYQBfAFAAYQBzAHQAdQByAGUAQgBlAGUAZgBfAEwAaQB2AGUAdwBlAGkAZwBoAHQAXwBVAG4AaQB0ACIALAAiAFMAbwB1AHIAYwBlAEQAYQB0AGEAXwBQAGEAcwB0AHUAcgBlAEIAZQBlAGYALgBTAG8AdQByAGMAZQBEAGEAdABhAF8AUABhAHMAdAB1AHIAZQBCAGUAZQBmAF8ATABpAHYAZQB3AGUAaQBnAGgAdABfAFMAbwB1AHIAYwBlACIALAAiAFMAbwB1AHIAYwBlAEQAYQB0AGEAXwBQAGEAcwB0AHUAcgBlAEIAZQBlAGYALgBTAG8AdQByAGMAZQBEAGEAdABhAF8AUABhAHMAdAB1AHIAZQBCAGUAZQBmAF8ATABpAHYAZQB3AGUAaQBnAGgAdABfAFYAYQByAGkAYQB0AGkAbwBuACIALAAiAFMAbwB1AHIAYwBlAEQAYQB0AGEAXwBQAGEAcwB0AHUAcgBlAEIAZQBlAGYALgBTAG8AdQByAGMAZQBEAGEAdABhAF8AUABhAHMAdAB1AHIAZQBCAGUAZQBmAF8ATABpAHYAZQB3AGUAaQBnAGgAdABfAEQAYQB0AGEAIgAsACIAUwBvAHUAcgBjAGUARABhAHQAYQBfAFAAYQBzAHQAdQByAGUAQgBlAGUAZgAuAFMAbwB1AHIAYwBlAEQAYQB0AGEAXwBQAGEAcwB0AHUAcgBlAEIAZQBlAGYAXwBMAGkAdgBlAHcAZQBpAGcAaAB0AE4AVABRAEwARABfAFQAaQB0AGwAZQAiACwAIgBTAG8AdQByAGMAZQBEAGEAdABhAF8AUABhAHMAdAB1AHIAZQBCAGUAZQBmAC4AUwBvAHUAcgBjAGUARABhAHQAYQBfAFAAYQBzAHQAdQByAGUAQgBlAGUAZgBfAEwAaQB2AGUAdwBlAGkAZwBoAHQATgBUAFEATABEAF8AVgBhAHIAaQBhAGIAbABlACIALAAiAFMAbwB1AHIAYwBlAEQAYQB0AGEAXwBQAGEAcwB0AHUAcgBlAEIAZQBlAGYALgBTAG8AdQByAGMAZQBEAGEAdABhAF8AUABhAHMAdAB1AHIAZQBCAGUAZQBmAF8ATABpAHYAZQB3AGUAaQBnAGgAdABOAFQAUQBMAEQAXwBVAG4AaQB0ACIALAAiAFMAbwB1AHIAYwBlAEQAYQB0AGEAXwBQAGEAcwB0AHUAcgBlAEIAZQBlAGYALgBTAG8AdQByAGMAZQBEAGEAdABhAF8AUABhAHMAdAB1AHIAZQBCAGUAZQBmAF8ATABpAHYAZQB3AGUAaQBnAGgAdABOAFQAUQBMAEQAXwBTAG8AdQByAGMAZQAiACwAIgBTAG8AdQByAGMAZQBEAGEAdABhAF8AUABhAHMAdAB1AHIAZQBCAGUAZQBmAC4AUwBvAHUAcgBjAGUARABhAHQAYQBfAFAAYQBzAHQAdQByAGUAQgBlAGUAZgBfAEwAaQB2AGUAdwBlAGkAZwBoAHQATgBUAFEATABEAF8AVgBhAHIAaQBhAHQAaQBvAG4AIgAsACIAUwBvAHUAcgBjAGUARABhAHQAYQBfAFAAYQBzAHQAdQByAGUAQgBlAGUAZgAuAFMAbwB1AHIAYwBlAEQAYQB0AGEAXwBQAGEAcwB0AHUAcgBlAEIAZQBlAGYAXwBMAGkAdgBlAHcAZQBpAGcAaAB0AE4AVABRAEwARABfAEQAYQB0AGEAIgAsACIAUwBvAHUAcgBjAGUARABhAHQAYQBfAFAAYQBzAHQAdQByAGUAQgBlAGUAZgAuAFMAbwB1AHIAYwBlAEQAYQB0AGEAXwBQAGEAcwB0AHUAcgBlAEIAZQBlAGYAXwBMAGkAdgBlAHcAZQBpAGcAaAB0AEcAYQBpAG4AXwBUAGkAdABsAGUAIgAsACIAUwBvAHUAcgBjAGUARABhAHQAYQBfAFAAYQBzAHQAdQByAGUAQgBlAGUAZgAuAFMAbwB1AHIAYwBlAEQAYQB0AGEAXwBQAGEAcwB0AHUAcgBlAEIAZQBlAGYAXwBMAGkAdgBlAHcAZQBpAGcAaAB0AEcAYQBpAG4AXwBWAGEAcgBpAGEAYgBsAGUAIgAsACIAUwBvAHUAcgBjAGUARABhAHQAYQBfAFAAYQBzAHQAdQByAGUAQgBlAGUAZgAuAFMAbwB1AHIAYwBlAEQAYQB0AGEAXwBQAGEAcwB0AHUAcgBlAEIAZQBlAGYAXwBMAGkAdgBlAHcAZQBpAGcAaAB0AEcAYQBpAG4AXwBVAG4AaQB0ACIALAAiAFMAbwB1AHIAYwBlAEQAYQB0AGEAXwBQAGEAcwB0AHUAcgBlAEIAZQBlAGYALgBTAG8AdQByAGMAZQBEAGEAdABhAF8AUABhAHMAdAB1AHIAZQBCAGUAZQBmAF8ATABpAHYAZQB3AGUAaQBnAGgAdABHAGEAaQBuAF8AUwBvAHUAcgBjAGUAIgAsACIAUwBvAHUAcgBjAGUARABhAHQAYQBfAFAAYQBzAHQAdQByAGUAQgBlAGUAZgAuAFMAbwB1AHIAYwBlAEQAYQB0AGEAXwBQAGEAcwB0AHUAcgBlAEIAZQBlAGYAXwBMAGkAdgBlAHcAZQBpAGcAaAB0AEcAYQBpAG4AXwBWAGEAcgBpAGEAdABpAG8AbgAiACwAIgBTAG8AdQByAGMAZQBEAGEAdABhAF8AUABhAHMAdAB1AHIAZQBCAGUAZQBmAC4AUwBvAHUAcgBjAGUARABhAHQAYQBfAFAAYQBzAHQAdQByAGUAQgBlAGUAZgBfAEwAaQB2AGUAdwBlAGkAZwBoAHQARwBhAGkAbgBfAEQAYQB0AGEAIgAsACIAUwBvAHUAcgBjAGUARABhAHQAYQBfAFAAYQBzAHQAdQByAGUAQgBlAGUAZgAuAFMAbwB1AHIAYwBlAEQAYQB0AGEAXwBQAGEAcwB0AHUAcgBlAEIAZQBlAGYAXwBMAGkAdgBlAHcAZQBpAGcAaAB0AEcAYQBpAG4ATgBUAFEATABEAF8AVABpAHQAbABlACIALAAiAFMAbwB1AHIAYwBlAEQAYQB0AGEAXwBQAGEAcwB0AHUAcgBlAEIAZQBlAGYALgBTAG8AdQByAGMAZQBEAGEAdABhAF8AUABhAHMAdAB1AHIAZQBCAGUAZQBmAF8ATABpAHYAZQB3AGUAaQBnAGgAdABHAGEAaQBuAE4AVABRAEwARABfAFYAYQByAGkAYQBiAGwAZQAiACwAIgBTAG8AdQByAGMAZQBEAGEAdABhAF8AUABhAHMAdAB1AHIAZQBCAGUAZQBmAC4AUwBvAHUAcgBjAGUARABhAHQAYQBfAFAAYQBzAHQAdQByAGUAQgBlAGUAZgBfAEwAaQB2AGUAdwBlAGkAZwBoAHQARwBhAGkAbgBOAFQAUQBMAEQAXwBVAG4AaQB0ACIALAAiAFMAbwB1AHIAYwBlAEQAYQB0AGEAXwBQAGEAcwB0AHUAcgBlAEIAZQBlAGYALgBTAG8AdQByAGMAZQBEAGEAdABhAF8AUABhAHMAdAB1AHIAZQBCAGUAZQBmAF8ATABpAHYAZQB3AGUAaQBnAGgAdABHAGEAaQBuAE4AVABRAEwARABfAFMAbwB1AHIAYwBlACIALAAiAFMAbwB1AHIAYwBlAEQAYQB0AGEAXwBQAGEAcwB0AHUAcgBlAEIAZQBlAGYALgBTAG8AdQByAGMAZQBEAGEAdABhAF8AUABhAHMAdAB1AHIAZQBCAGUAZQBmAF8ATABpAHYAZQB3AGUAaQBnAGgAdABHAGEAaQBuAE4AVABRAEwARABfAFYAYQByAGkAYQB0AGkAbwBuACIALAAiAFMAbwB1AHIAYwBlAEQAYQB0AGEAXwBQAGEAcwB0AHUAcgBlAEIAZQBlAGYALgBTAG8AdQByAGMAZQBEAGEAdABhAF8AUABhAHMAdAB1AHIAZQBCAGUAZQBmAF8ATABpAHYAZQB3AGUAaQBnAGgAdABHAGEAaQBuAE4AVABRAEwARABfAEQAYQB0AGEAIgAsACIAUwBvAHUAcgBjAGUARABhAHQAYQBfAFAAYQBzAHQAdQByAGUAQgBlAGUAZgAuAFMAbwB1AHIAYwBlAEQAYQB0AGEAXwBQAGEAcwB0AHUAcgBlAEIAZQBlAGYAXwBEAHIAeQBNAGEAdAB0AGUAcgBEAGkAZwBlAHMAdABpAGIAaQBsAGkAdAB5AF8AVABpAHQAbABlACIALAAiAFMAbwB1AHIAYwBlAEQAYQB0AGEAXwBQAGEAcwB0AHUAcgBlAEIAZQBlAGYALgBTAG8AdQByAGMAZQBEAGEAdABhAF8AUABhAHMAdAB1AHIAZQBCAGUAZQBmAF8ARAByAHkATQBhAHQAdABlAHIARABpAGcAZQBzAHQAaQBiAGkAbABpAHQAeQBfAFYAYQByAGkAYQBiAGwAZQAiACwAIgBTAG8AdQByAGMAZQBEAGEAdABhAF8AUABhAHMAdAB1AHIAZQBCAGUAZQBmAC4AUwBvAHUAcgBjAGUARABhAHQAYQBfAFAAYQBzAHQAdQByAGUAQgBlAGUAZgBfAEQAcgB5AE0AYQB0AHQAZQByAEQAaQBnAGUAcwB0AGkAYgBpAGwAaQB0AHkAXwBVAG4AaQB0ACIALAAiAFMAbwB1AHIAYwBlAEQAYQB0AGEAXwBQAGEAcwB0AHUAcgBlAEIAZQBlAGYALgBTAG8AdQByAGMAZQBEAGEAdABhAF8AUABhAHMAdAB1AHIAZQBCAGUAZQBmAF8ARAByAHkATQBhAHQAdABlAHIARABpAGcAZQBzAHQAaQBiAGkAbABpAHQAeQBfAFMAbwB1AHIAYwBlACIALAAiAFMAbwB1AHIAYwBlAEQAYQB0AGEAXwBQAGEAcwB0AHUAcgBlAEIAZQBlAGYALgBTAG8AdQByAGMAZQBEAGEAdABhAF8AUABhAHMAdAB1AHIAZQBCAGUAZQBmAF8ARAByAHkATQBhAHQAdABlAHIARABpAGcAZQBzAHQAaQBiAGkAbABpAHQAeQBfAFYAYQByAGkAYQB0AGkAbwBuACIALAAiAFMAbwB1AHIAYwBlAEQAYQB0AGEAXwBQAGEAcwB0AHUAcgBlAEIAZQBlAGYALgBTAG8AdQByAGMAZQBEAGEAdABhAF8AUABhAHMAdAB1AHIAZQBCAGUAZQBmAF8ARAByAHkATQBhAHQAdABlAHIARABpAGcAZQBzAHQAaQBiAGkAbABpAHQAeQBfAEQAYQB0AGEAIgAsACIAUwBvAHUAcgBjAGUARABhAHQAYQBfAFAAYQBzAHQAdQByAGUAQgBlAGUAZgAuAFMAbwB1AHIAYwBlAEQAYQB0AGEAXwBQAGEAcwB0AHUAcgBlAEIAZQBlAGYAXwBDAHIAdQBkAGUAUAByAG8AdABlAGkAbgBDAG8AbgB0AGUAbgB0AF8AVABpAHQAbABlACIALAAiAFMAbwB1AHIAYwBlAEQAYQB0AGEAXwBQAGEAcwB0AHUAcgBlAEIAZQBlAGYALgBTAG8AdQByAGMAZQBEAGEAdABhAF8AUABhAHMAdAB1AHIAZQBCAGUAZQBmAF8AQwByAHUAZABlAFAAcgBvAHQAZQBpAG4AQwBvAG4AdABlAG4AdABfAFYAYQByAGkAYQBiAGwAZQAiACwAIgBTAG8AdQByAGMAZQBEAGEAdABhAF8AUABhAHMAdAB1AHIAZQBCAGUAZQBmAC4AUwBvAHUAcgBjAGUARABhAHQAYQBfAFAAYQBzAHQAdQByAGUAQgBlAGUAZgBfAEMAcgB1AGQAZQBQAHIAbwB0AGUAaQBuAEMAbwBuAHQAZQBuAHQAXwBVAG4AaQB0ACIALAAiAFMAbwB1AHIAYwBlAEQAYQB0AGEAXwBQAGEAcwB0AHUAcgBlAEIAZQBlAGYALgBTAG8AdQByAGMAZQBEAGEAdABhAF8AUABhAHMAdAB1AHIAZQBCAGUAZQBmAF8AQwByAHUAZABlAFAAcgBvAHQAZQBpAG4AQwBvAG4AdABlAG4AdABfAFMAbwB1AHIAYwBlACIALAAiAFMAbwB1AHIAYwBlAEQAYQB0AGEAXwBQAGEAcwB0AHUAcgBlAEIAZQBlAGYALgBTAG8AdQByAGMAZQBEAGEAdABhAF8AUABhAHMAdAB1AHIAZQBCAGUAZQBmAF8AQwByAHUAZABlAFAAcgBvAHQAZQBpAG4AQwBvAG4AdABlAG4AdABfAFYAYQByAGkAYQB0AGkAbwBuACIALAAiAFMAbwB1AHIAYwBlAEQAYQB0AGEAXwBQAGEAcwB0AHUAcgBlAEIAZQBlAGYALgBTAG8AdQByAGMAZQBEAGEAdABhAF8AUABhAHMAdAB1AHIAZQBCAGUAZQBmAF8AQwByAHUAZABlAFAAcgBvAHQAZQBpAG4AQwBvAG4AdABlAG4AdABfAEQAYQB0AGEAIgAsACIAUwBvAHUAcgBjAGUARABhAHQAYQBfAFAAYQBzAHQAdQByAGUAQgBlAGUAZgAuAFMAbwB1AHIAYwBlAEQAYQB0AGEAXwBQAGEAcwB0AHUAcgBlAEIAZQBlAGYAXwBGAGUAZQBkAEEAZABqAHUAcwB0AG0AZQBuAHQAQQBuAGQATQBpAGwAawBQAHIAbwBkAHUAYwB0AGkAbwBuAF8AVABpAHQAbABlACIALAAiAFMAbwB1AHIAYwBlAEQAYQB0AGEAXwBQAGEAcwB0AHUAcgBlAEIAZQBlAGYALgBTAG8AdQByAGMAZQBEAGEAdABhAF8AUABhAHMAdAB1AHIAZQBCAGUAZQBmAF8ARgBlAGUAZABBAGQAagB1AHMAdABtAGUAbgB0AEEAbgBkAE0AaQBsAGsAUAByAG8AZAB1AGMAdABpAG8AbgBfAFYAYQByAGkAYQBiAGwAZQAiACwAIgBTAG8AdQByAGMAZQBEAGEAdABhAF8AUABhAHMAdAB1AHIAZQBCAGUAZQBmAC4AUwBvAHUAcgBjAGUARABhAHQAYQBfAFAAYQBzAHQAdQByAGUAQgBlAGUAZgBfAEYAZQBlAGQAQQBkAGoAdQBzAHQAbQBlAG4AdABBAG4AZABNAGkAbABrAFAAcgBvAGQAdQBjAHQAaQBvAG4AXwBVAG4AaQB0ACIALAAiAFMAbwB1AHIAYwBlAEQAYQB0AGEAXwBQAGEAcwB0AHUAcgBlAEIAZQBlAGYALgBTAG8AdQByAGMAZQBEAGEAdABhAF8AUABhAHMAdAB1AHIAZQBCAGUAZQBmAF8ARgBlAGUAZABBAGQAagB1AHMAdABtAGUAbgB0AEEAbgBkAE0AaQBsAGsAUAByAG8AZAB1AGMAdABpAG8AbgBfAFMAbwB1AHIAYwBlACIALAAiAFMAbwB1AHIAYwBlAEQAYQB0AGEAXwBQAGEAcwB0AHUAcgBlAEIAZQBlAGYALgBTAG8AdQByAGMAZQBEAGEAdABhAF8AUABhAHMAdAB1AHIAZQBCAGUAZQBmAF8ARgBlAGUAZABBAGQAagB1AHMAdABtAGUAbgB0AEEAbgBkAE0AaQBsAGsAUAByAG8AZAB1AGMAdABpAG8AbgBfAFYAYQByAGkAYQB0AGkAbwBuACIALAAiAFMAbwB1AHIAYwBlAEQAYQB0AGEAXwBQAGEAcwB0AHUAcgBlAEIAZQBlAGYALgBTAG8AdQByAGMAZQBEAGEAdABhAF8AUABhAHMAdAB1AHIAZQBCAGUAZQBmAF8ARgBlAGUAZABBAGQAagB1AHMAdABtAGUAbgB0AEEAbgBkAE0AaQBsAGsAUAByAG8AZAB1AGMAdABpAG8AbgBfAEQAYQB0AGEAIgAsACIAUwBvAHUAcgBjAGUARABhAHQAYQBfAFAAYQBzAHQAdQByAGUAQgBlAGUAZgAuAFMAbwB1AHIAYwBlAEQAYQB0AGEAXwBQAGEAcwB0AHUAcgBlAEIAZQBlAGYAXwBTAHQAYQBuAGQAYQByAGQAUgBlAGYAZQByAGUAbgBjAGUAVwBlAGkAZwBoAHQAcwBfAFQAaQB0AGwAZQAiACwAIgBTAG8AdQByAGMAZQBEAGEAdABhAF8AUABhAHMAdAB1AHIAZQBCAGUAZQBmAC4AUwBvAHUAcgBjAGUARABhAHQAYQBfAFAAYQBzAHQAdQByAGUAQgBlAGUAZgBfAFMAdABhAG4AZABhAHIAZABSAGUAZgBlAHIAZQBuAGMAZQBXAGUAaQBnAGgAdABzAF8AVgBhAHIAaQBhAGIAbABlACIALAAiAFMAbwB1AHIAYwBlAEQAYQB0AGEAXwBQAGEAcwB0AHUAcgBlAEIAZQBlAGYALgBTAG8AdQByAGMAZQBEAGEAdABhAF8AUABhAHMAdAB1AHIAZQBCAGUAZQBmAF8AUwB0AGEAbgBkAGEAcgBkAFIAZQBmAGUAcgBlAG4AYwBlAFcAZQBpAGcAaAB0AHMAXwBVAG4AaQB0ACIALAAiAFMAbwB1AHIAYwBlAEQAYQB0AGEAXwBQAGEAcwB0AHUAcgBlAEIAZQBlAGYALgBTAG8AdQByAGMAZQBEAGEAdABhAF8AUABhAHMAdAB1AHIAZQBCAGUAZQBmAF8AUwB0AGEAbgBkAGEAcgBkAFIAZQBmAGUAcgBlAG4AYwBlAFcAZQBpAGcAaAB0AHMAXwBTAG8AdQByAGMAZQAiACwAIgBTAG8AdQByAGMAZQBEAGEAdABhAF8AUABhAHMAdAB1AHIAZQBCAGUAZQBmAC4AUwBvAHUAcgBjAGUARABhAHQAYQBfAFAAYQBzAHQAdQByAGUAQgBlAGUAZgBfAFMAdABhAG4AZABhAHIAZABSAGUAZgBlAHIAZQBuAGMAZQBXAGUAaQBnAGgAdABzAF8AVgBhAHIAaQBhAHQAaQBvAG4AIgAsACIAUwBvAHUAcgBjAGUARABhAHQAYQBfAFAAYQBzAHQAdQByAGUAQgBlAGUAZgAuAFMAbwB1AHIAYwBlAEQAYQB0AGEAXwBQAGEAcwB0AHUAcgBlAEIAZQBlAGYAXwBTAHQAYQBuAGQAYQByAGQAUgBlAGYAZQByAGUAbgBjAGUAVwBlAGkAZwBoAHQAcwBfAEQAYQB0AGEAIgAsACIAUwBvAHUAcgBjAGUARABhAHQAYQBfAFAAYQBzAHQAdQByAGUAQgBlAGUAZgAuAFMAbwB1AHIAYwBlAEQAYQB0AGEAXwBQAGEAcwB0AHUAcgBlAEIAZQBlAGYAXwBGAHIAYQBjAHQAaQBvAG4ATwBmAE0AYQBuAHUAcgBlAFQAbwBNAE0AUwBfAFQAaQB0AGwAZQAiACwAIgBTAG8AdQByAGMAZQBEAGEAdABhAF8AUABhAHMAdAB1AHIAZQBCAGUAZQBmAC4AUwBvAHUAcgBjAGUARABhAHQAYQBfAFAAYQBzAHQAdQByAGUAQgBlAGUAZgBfAEYAcgBhAGMAdABpAG8AbgBPAGYATQBhAG4AdQByAGUAVABvAE0ATQBTAF8AVgBhAHIAaQBhAGIAbABlACIALAAiAFMAbwB1AHIAYwBlAEQAYQB0AGEAXwBQAGEAcwB0AHUAcgBlAEIAZQBlAGYALgBTAG8AdQByAGMAZQBEAGEAdABhAF8AUABhAHMAdAB1AHIAZQBCAGUAZQBmAF8ARgByAGEAYwB0AGkAbwBuAE8AZgBNAGEAbgB1AHIAZQBUAG8ATQBNAFMAXwBVAG4AaQB0ACIALAAiAFMAbwB1AHIAYwBlAEQAYQB0AGEAXwBQAGEAcwB0AHUAcgBlAEIAZQBlAGYALgBTAG8AdQByAGMAZQBEAGEAdABhAF8AUABhAHMAdAB1AHIAZQBCAGUAZQBmAF8ARgByAGEAYwB0AGkAbwBuAE8AZgBNAGEAbgB1AHIAZQBUAG8ATQBNAFMAXwBTAG8AdQByAGMAZQAiACwAIgBTAG8AdQByAGMAZQBEAGEAdABhAF8AUABhAHMAdAB1AHIAZQBCAGUAZQBmAC4AUwBvAHUAcgBjAGUARABhAHQAYQBfAFAAYQBzAHQAdQByAGUAQgBlAGUAZgBfAEYAcgBhAGMAdABpAG8AbgBPAGYATQBhAG4AdQByAGUAVABvAE0ATQBTAF8AVgBhAHIAaQBhAHQAaQBvAG4AIgAsACIAUwBvAHUAcgBjAGUARABhAHQAYQBfAFAAYQBzAHQAdQByAGUAQgBlAGUAZgAuAFMAbwB1AHIAYwBlAEQAYQB0AGEAXwBQAGEAcwB0AHUAcgBlAEIAZQBlAGYAXwBGAHIAYQBjAHQAaQBvAG4ATwBmAE0AYQBuAHUAcgBlAFQAbwBNAE0AUwBfAEQAYQB0AGEAIgAsACIAUwBvAHUAcgBjAGUARABhAHQAYQBfAFAAYQBzAHQAdQByAGUAQgBlAGUAZgAuAFMAbwB1AHIAYwBlAEQAYQB0AGEAXwBQAGEAcwB0AHUAcgBlAEIAZQBlAGYAXwBNAGUAdABoAGEAbgBlAEMAbwBuAHYAZQByAHMAaQBvAG4ARgBhAGMAdABvAHIAUABlAHIAUgBlAGcAaQBvAG4AXwBUAGkAdABsAGUAIgAsACIAUwBvAHUAcgBjAGUARABhAHQAYQBfAFAAYQBzAHQAdQByAGUAQgBlAGUAZgAuAFMAbwB1AHIAYwBlAEQAYQB0AGEAXwBQAGEAcwB0AHUAcgBlAEIAZQBlAGYAXwBNAGUAdABoAGEAbgBlAEMAbwBuAHYAZQByAHMAaQBvAG4ARgBhAGMAdABvAHIAUABlAHIAUgBlAGcAaQBvAG4AXwBWAGEAcgBpAGEAYgBsAGUAIgAsACIAUwBvAHUAcgBjAGUARABhAHQAYQBfAFAAYQBzAHQAdQByAGUAQgBlAGUAZgAuAFMAbwB1AHIAYwBlAEQAYQB0AGEAXwBQAGEAcwB0AHUAcgBlAEIAZQBlAGYAXwBNAGUAdABoAGEAbgBlAEMAbwBuAHYAZQByAHMAaQBvAG4ARgBhAGMAdABvAHIAUABlAHIAUgBlAGcAaQBvAG4AXwBVAG4AaQB0ACIALAAiAFMAbwB1AHIAYwBlAEQAYQB0AGEAXwBQAGEAcwB0AHUAcgBlAEIAZQBlAGYALgBTAG8AdQByAGMAZQBEAGEAdABhAF8AUABhAHMAdAB1AHIAZQBCAGUAZQBmAF8ATQBlAHQAaABhAG4AZQBDAG8AbgB2AGUAcgBzAGkAbwBuAEYAYQBjAHQAbwByAFAAZQByAFIAZQBnAGkAbwBuAF8AUwBvAHUAcgBjAGUAIgAsACIAUwBvAHUAcgBjAGUARABhAHQAYQBfAFAAYQBzAHQAdQByAGUAQgBlAGUAZgAuAFMAbwB1AHIAYwBlAEQAYQB0AGEAXwBQAGEAcwB0AHUAcgBlAEIAZQBlAGYAXwBNAGUAdABoAGEAbgBlAEMAbwBuAHYAZQByAHMAaQBvAG4ARgBhAGMAdABvAHIAUABlAHIAUgBlAGcAaQBvAG4AXwBWAGEAcgBpAGEAdABpAG8AbgAiACwAIgBTAG8AdQByAGMAZQBEAGEAdABhAF8AUABhAHMAdAB1AHIAZQBCAGUAZQBmAC4AUwBvAHUAcgBjAGUARABhAHQAYQBfAFAAYQBzAHQAdQByAGUAQgBlAGUAZgBfAE0AZQB0AGgAYQBuAGUAQwBvAG4AdgBlAHIAcwBpAG8AbgBGAGEAYwB0AG8AcgBQAGUAcgBSAGUAZwBpAG8AbgBfAEQAYQB0AGEAIgAsACIAUwBvAHUAcgBjAGUARABhAHQAYQBfAFAAYQBzAHQAdQByAGUAQgBlAGUAZgAuAFMAbwB1AHIAYwBlAEQAYQB0AGEAXwBQAGEAcwB0AHUAcgBlAEIAZQBlAGYAXwBBAHMAaABDAG8AbgB0AGUAbgB0AE8AZgBGAGUAZQBkAEkAbgB0AGEAawBlAF8AVABpAHQAbABlACIALAAiAFMAbwB1AHIAYwBlAEQAYQB0AGEAXwBQAGEAcwB0AHUAcgBlAEIAZQBlAGYALgBTAG8AdQByAGMAZQBEAGEAdABhAF8AUABhAHMAdAB1AHIAZQBCAGUAZQBmAF8AQQBzAGgAQwBvAG4AdABlAG4AdABPAGYARgBlAGUAZABJAG4AdABhAGsAZQBfAFYAYQByAGkAYQBiAGwAZQAiACwAIgBTAG8AdQByAGMAZQBEAGEAdABhAF8AUABhAHMAdAB1AHIAZQBCAGUAZQBmAC4AUwBvAHUAcgBjAGUARABhAHQAYQBfAFAAYQBzAHQAdQByAGUAQgBlAGUAZgBfAEEAcwBoAEMAbwBuAHQAZQBuAHQATwBmAEYAZQBlAGQASQBuAHQAYQBrAGUAXwBVAG4AaQB0ACIALAAiAFMAbwB1AHIAYwBlAEQAYQB0AGEAXwBQAGEAcwB0AHUAcgBlAEIAZQBlAGYALgBTAG8AdQByAGMAZQBEAGEAdABhAF8AUABhAHMAdAB1AHIAZQBCAGUAZQBmAF8AQQBzAGgAQwBvAG4AdABlAG4AdABPAGYARgBlAGUAZABJAG4AdABhAGsAZQBfAFMAbwB1AHIAYwBlACIALAAiAFMAbwB1AHIAYwBlAEQAYQB0AGEAXwBQAGEAcwB0AHUAcgBlAEIAZQBlAGYALgBTAG8AdQByAGMAZQBEAGEAdABhAF8AUABhAHMAdAB1AHIAZQBCAGUAZQBmAF8AQQBzAGgAQwBvAG4AdABlAG4AdABPAGYARgBlAGUAZABJAG4AdABhAGsAZQBfAFYAYQByAGkAYQB0AGkAbwBuACIALAAiAFMAbwB1AHIAYwBlAEQAYQB0AGEAXwBQAGEAcwB0AHUAcgBlAEIAZQBlAGYALgBTAG8AdQByAGMAZQBEAGEAdABhAF8AUABhAHMAdAB1AHIAZQBCAGUAZQBmAF8AQQBzAGgAQwBvAG4AdABlAG4AdABPAGYARgBlAGUAZABJAG4AdABhAGsAZQBfAEQAYQB0AGEAIgAsACIAUwBvAHUAcgBjAGUARABhAHQAYQBfAFAAYQBzAHQAdQByAGUAQgBlAGUAZgAuAFMAbwB1AHIAYwBlAEQAYQB0AGEAXwBQAGEAcwB0AHUAcgBlAEIAZQBlAGYAXwBNAGUAdABoAGEAbgBlAEUAbQBpAHMAcwBpAG8AbgBzAFAAbwB0AGUAbgB0AGkAYQBsAF8AVABpAHQAbABlACIALAAiAFMAbwB1AHIAYwBlAEQAYQB0AGEAXwBQAGEAcwB0AHUAcgBlAEIAZQBlAGYALgBTAG8AdQByAGMAZQBEAGEAdABhAF8AUABhAHMAdAB1AHIAZQBCAGUAZQBmAF8ATQBlAHQAaABhAG4AZQBFAG0AaQBzAHMAaQBvAG4AcwBQAG8AdABlAG4AdABpAGEAbABfAFYAYQByAGkAYQBiAGwAZQAiACwAIgBTAG8AdQByAGMAZQBEAGEAdABhAF8AUABhAHMAdAB1AHIAZQBCAGUAZQBmAC4AUwBvAHUAcgBjAGUARABhAHQAYQBfAFAAYQBzAHQAdQByAGUAQgBlAGUAZgBfAE0AZQB0AGgAYQBuAGUARQBtAGkAcwBzAGkAbwBuAHMAUABvAHQAZQBuAHQAaQBhAGwAXwBVAG4AaQB0ACIALAAiAFMAbwB1AHIAYwBlAEQAYQB0AGEAXwBQAGEAcwB0AHUAcgBlAEIAZQBlAGYALgBTAG8AdQByAGMAZQBEAGEAdABhAF8AUABhAHMAdAB1AHIAZQBCAGUAZQBmAF8ATQBlAHQAaABhAG4AZQBFAG0AaQBzAHMAaQBvAG4AcwBQAG8AdABlAG4AdABpAGEAbABfAFMAbwB1AHIAYwBlACIALAAiAFMAbwB1AHIAYwBlAEQAYQB0AGEAXwBQAGEAcwB0AHUAcgBlAEIAZQBlAGYALgBTAG8AdQByAGMAZQBEAGEAdABhAF8AUABhAHMAdAB1AHIAZQBCAGUAZQBmAF8ATQBlAHQAaABhAG4AZQBFAG0AaQBzAHMAaQBvAG4AcwBQAG8AdABlAG4AdABpAGEAbABfAFYAYQByAGkAYQB0AGkAbwBuACIALAAiAFMAbwB1AHIAYwBlAEQAYQB0AGEAXwBQAGEAcwB0AHUAcgBlAEIAZQBlAGYALgBTAG8AdQByAGMAZQBEAGEAdABhAF8AUABhAHMAdAB1AHIAZQBCAGUAZQBmAF8ATQBlAHQAaABhAG4AZQBFAG0AaQBzAHMAaQBvAG4AcwBQAG8AdABlAG4AdABpAGEAbABfAEQAYQB0AGEAIgAsACIAUwBvAHUAcgBjAGUARABhAHQAYQBfAFAAYQBzAHQAdQByAGUAQgBlAGUAZgAuAFMAbwB1AHIAYwBlAEQAYQB0AGEAXwBQAGEAcwB0AHUAcgBlAEIAZQBlAGYAXwBGAHIAYQBjAEcAQQBTAE0AUwBvAGkAbABfAFQAaQB0AGwAZQAiACwAIgBTAG8AdQByAGMAZQBEAGEAdABhAF8AUABhAHMAdAB1AHIAZQBCAGUAZQBmAC4AUwBvAHUAcgBjAGUARABhAHQAYQBfAFAAYQBzAHQAdQByAGUAQgBlAGUAZgBfAEYAcgBhAGMARwBBAFMATQBTAG8AaQBsAF8AVgBhAHIAaQBhAGIAbABlACIALAAiAFMAbwB1AHIAYwBlAEQAYQB0AGEAXwBQAGEAcwB0AHUAcgBlAEIAZQBlAGYALgBTAG8AdQByAGMAZQBEAGEAdABhAF8AUABhAHMAdAB1AHIAZQBCAGUAZQBmAF8ARgByAGEAYwBHAEEAUwBNAFMAbwBpAGwAXwBVAG4AaQB0ACIALAAiAFMAbwB1AHIAYwBlAEQAYQB0AGEAXwBQAGEAcwB0AHUAcgBlAEIAZQBlAGYALgBTAG8AdQByAGMAZQBEAGEAdABhAF8AUABhAHMAdAB1AHIAZQBCAGUAZQBmAF8ARgByAGEAYwBHAEEAUwBNAFMAbwBpAGwAXwBTAG8AdQByAGMAZQAiACwAIgBTAG8AdQByAGMAZQBEAGEAdABhAF8AUABhAHMAdAB1AHIAZQBCAGUAZQBmAC4AUwBvAHUAcgBjAGUARABhAHQAYQBfAFAAYQBzAHQAdQByAGUAQgBlAGUAZgBfAEYAcgBhAGMARwBBAFMATQBTAG8AaQBsAF8AVgBhAHIAaQBhAHQAaQBvAG4AIgAsACIAUwBvAHUAcgBjAGUARABhAHQAYQBfAFAAYQBzAHQAdQByAGUAQgBlAGUAZgAuAFMAbwB1AHIAYwBlAEQAYQB0AGEAXwBQAGEAcwB0AHUAcgBlAEIAZQBlAGYAXwBGAHIAYQBjAEcAQQBTAE0AUwBvAGkAbABfAEQAYQB0AGEAIgAsACIAUwBvAHUAcgBjAGUARABhAHQAYQBfAFAAYQBzAHQAdQByAGUAQgBlAGUAZgAuAFMAbwB1AHIAYwBlAEQAYQB0AGEAXwBQAGEAcwB0AHUAcgBlAEIAZQBlAGYAXwBGAHIAYQBjAEwARQBBAEMASABfAFQAaQB0AGwAZQAiACwAIgBTAG8AdQByAGMAZQBEAGEAdABhAF8AUABhAHMAdAB1AHIAZQBCAGUAZQBmAC4AUwBvAHUAcgBjAGUARABhAHQAYQBfAFAAYQBzAHQAdQByAGUAQgBlAGUAZgBfAEYAcgBhAGMATABFAEEAQwBIAF8AVgBhAHIAaQBhAGIAbABlACIALAAiAFMAbwB1AHIAYwBlAEQAYQB0AGEAXwBQAGEAcwB0AHUAcgBlAEIAZQBlAGYALgBTAG8AdQByAGMAZQBEAGEAdABhAF8AUABhAHMAdAB1AHIAZQBCAGUAZQBmAF8ARgByAGEAYwBMAEUAQQBDAEgAXwBVAG4AaQB0ACIALAAiAFMAbwB1AHIAYwBlAEQAYQB0AGEAXwBQAGEAcwB0AHUAcgBlAEIAZQBlAGYALgBTAG8AdQByAGMAZQBEAGEAdABhAF8AUABhAHMAdAB1AHIAZQBCAGUAZQBmAF8ARgByAGEAYwBMAEUAQQBDAEgAXwBTAG8AdQByAGMAZQAiACwAIgBTAG8AdQByAGMAZQBEAGEAdABhAF8AUABhAHMAdAB1AHIAZQBCAGUAZQBmAC4AUwBvAHUAcgBjAGUARABhAHQAYQBfAFAAYQBzAHQAdQByAGUAQgBlAGUAZgBfAEYAcgBhAGMATABFAEEAQwBIAF8AVgBhAHIAaQBhAHQAaQBvAG4AIgAsACIAUwBvAHUAcgBjAGUARABhAHQAYQBfAFAAYQBzAHQAdQByAGUAQgBlAGUAZgAuAFMAbwB1AHIAYwBlAEQAYQB0AGEAXwBQAGEAcwB0AHUAcgBlAEIAZQBlAGYAXwBGAHIAYQBjAEwARQBBAEMASABfAEQAYQB0AGEAIgAsACIASQBuAHAAdQB0AEYAdQBuAGMAdABpAG8AbgBzAF8AUABhAHMAdAB1AHIAZQBCAGUAZQBmAC4ATABvAG8AawB1AHAATABpAHYAZQB3AGUAaQBnAGgAdABGAHIAbwBtAFMAZQBhAHMAbwBuACIALAAiAEkAbgBwAHUAdABGAHUAbgBjAHQAaQBvAG4AcwBfAFAAYQBzAHQAdQByAGUAQgBlAGUAZgAuAEwAbwBvAGsAdQBwAEwAaQB2AGUAdwBlAGkAZwBoAHQARgByAG8AbQBNAG8AbgB0AGgAIgAsACIASQBuAHAAdQB0AEYAdQBuAGMAdABpAG8AbgBzAF8AUABhAHMAdAB1AHIAZQBCAGUAZQBmAC4AQwBvAG4AdgBlAHIAdABNAG8AbgB0AGgAbAB5AEMAYQBsAHYAaQBuAGcAVABvAFMAZQBhAHMAbwBuACIALAAiAEkAbgBwAHUAdABGAHUAbgBjAHQAaQBvAG4AcwBfAFAAYQBzAHQAdQByAGUAQgBlAGUAZgAuAEwAbwBvAGsAdQBwAFYAYQBsAHUAZQBGAHIAbwBtAFMAdABhAHQAZQBSAGUAZwBpAG8AbgBTAGUAYQBzAG8AbgAiACwAIgBJAG4AcAB1AHQARgB1AG4AYwB0AGkAbwBuAHMAXwBQAGEAcwB0AHUAcgBlAEIAZQBlAGYALgBMAG8AbwBrAHUAcABWAGEAbAB1AGUARgByAG8AbQBTAHQAYQB0AGUAUgBlAGcAaQBvAG4ATQBvAG4AdABoACIALAAiAFMAYwBvAHAAZQAzAF8AUwBvAHUAcgBjAGUARABhAHQAYQAuAFMAYwBvAHAAZQAzAF8ATABpAHYAZQBzAHQAbwBjAGsAXwBUAGkAdABsAGUAIgAsACIAUwBjAG8AcABlADMAXwBTAG8AdQByAGMAZQBEAGEAdABhAC4AUwBjAG8AcABlADMAXwBMAGkAdgBlAHMAdABvAGMAawBfAFMAbwB1AHIAYwBlACIALAAiAFMAYwBvAHAAZQAzAF8AUwBvAHUAcgBjAGUARABhAHQAYQAuAFMAYwBvAHAAZQAzAF8ATABpAHYAZQBzAHQAbwBjAGsAXwBWAGEAcgBpAGEAdABpAG8AbgAiACwAIgBTAGMAbwBwAGUAMwBfAFMAbwB1AHIAYwBlAEQAYQB0AGEALgBTAGMAbwBwAGUAMwBfAEwAaQB2AGUAcwB0AG8AYwBrAF8ARABhAHQAYQAiACwAIgBTAGMAbwBwAGUAMwBfAFMAbwB1AHIAYwBlAEQAYQB0AGEALgBTAGMAbwBwAGUAMwBfAEMAaABlAG0AaQBjAGEAbABzAF8AVABpAHQAbABlACIALAAiAFMAYwBvAHAAZQAzAF8AUwBvAHUAcgBjAGUARABhAHQAYQAuAFMAYwBvAHAAZQAzAF8AQwBoAGUAbQBpAGMAYQBsAHMAXwBTAG8AdQByAGMAZQAiACwAIgBTAGMAbwBwAGUAMwBfAFMAbwB1AHIAYwBlAEQAYQB0AGEALgBTAGMAbwBwAGUAMwBfAEMAaABlAG0AaQBjAGEAbABzAF8AVgBhAHIAaQBhAHQAaQBvAG4AIgAsACIAUwBjAG8AcABlADMAXwBTAG8AdQByAGMAZQBEAGEAdABhAC4AUwBjAG8AcABlADMAXwBDAGgAZQBtAGkAYwBhAGwAcwBfAEQAYQB0AGEAIgAsACIAUwBjAG8AcABlADMAXwBTAG8AdQByAGMAZQBEAGEAdABhAC4AUwBjAG8AcABlADMAXwBGAGUAZQBkAF8AVABpAHQAbABlACIALAAiAFMAYwBvAHAAZQAzAF8AUwBvAHUAcgBjAGUARABhAHQAYQAuAFMAYwBvAHAAZQAzAF8ARgBlAGUAZABfAFMAbwB1AHIAYwBlACIALAAiAFMAYwBvAHAAZQAzAF8AUwBvAHUAcgBjAGUARABhAHQAYQAuAFMAYwBvAHAAZQAzAF8ARgBlAGUAZABfAFYAYQByAGkAYQB0AGkAbwBuACIALAAiAFMAYwBvAHAAZQAzAF8AUwBvAHUAcgBjAGUARABhAHQAYQAuAFMAYwBvAHAAZQAzAF8ARgBlAGUAZABfAEQAYQB0AGEAIgAsACIAUwBjAG8AcABlADMAXwBTAG8AdQByAGMAZQBEAGEAdABhAC4AUwBjAG8AcABlADMAXwBJAG4AbwByAGcAYQBuAGkAYwBGAGUAcgB0AGkAbABpAHMAZQByAHMAXwBUAGkAdABsAGUAIgAsACIAUwBjAG8AcABlADMAXwBTAG8AdQByAGMAZQBEAGEAdABhAC4AUwBjAG8AcABlADMAXwBJAG4AbwByAGcAYQBuAGkAYwBGAGUAcgB0AGkAbABpAHMAZQByAHMAXwBTAG8AdQByAGMAZQAiACwAIgBTAGMAbwBwAGUAMwBfAFMAbwB1AHIAYwBlAEQAYQB0AGEALgBTAGMAbwBwAGUAMwBfAEkAbgBvAHIAZwBhAG4AaQBjAEYAZQByAHQAaQBsAGkAcwBlAHIAcwBfAFYAYQByAGkAYQB0AGkAbwBuACIALAAiAFMAYwBvAHAAZQAzAF8AUwBvAHUAcgBjAGUARABhAHQAYQAuAFMAYwBvAHAAZQAzAF8ASQBuAG8AcgBnAGEAbgBpAGMARgBlAHIAdABpAGwAaQBzAGUAcgBzAF8ARABhAHQAYQAiACwAIgBTAGMAbwBwAGUAMwBfAFMAbwB1AHIAYwBlAEQAYQB0AGEALgBTAGMAbwBwAGUAMwBfAE8AdABoAGUAcgBfAFQAaQB0AGwAZQAiACwAIgBTAGMAbwBwAGUAMwBfAFMAbwB1AHIAYwBlAEQAYQB0AGEALgBTAGMAbwBwAGUAMwBfAE8AdABoAGUAcgBfAFMAbwB1AHIAYwBlACIALAAiAFMAYwBvAHAAZQAzAF8AUwBvAHUAcgBjAGUARABhAHQAYQAuAFMAYwBvAHAAZQAzAF8ATwB0AGgAZQByAF8AVgBhAHIAaQBhAHQAaQBvAG4AIgAsACIAUwBjAG8AcABlADMAXwBTAG8AdQByAGMAZQBEAGEAdABhAC4AUwBjAG8AcABlADMAXwBPAHQAaABlAHIAXwBEAGEAdABhACIALAAiAFMAYwBvAHAAZQAzAF8AUwBvAHUAcgBjAGUARABhAHQAYQAuAFMAYwBvAHAAZQAzAF8AUABhAGMAawBhAGcAaQBuAGcAXwBUAGkAdABsAGUAIgAsACIAUwBjAG8AcABlADMAXwBTAG8AdQByAGMAZQBEAGEAdABhAC4AUwBjAG8AcABlADMAXwBQAGEAYwBrAGEAZwBpAG4AZwBfAFMAbwB1AHIAYwBlACIALAAiAFMAYwBvAHAAZQAzAF8AUwBvAHUAcgBjAGUARABhAHQAYQAuAFMAYwBvAHAAZQAzAF8AUABhAGMAawBhAGcAaQBuAGcAXwBWAGEAcgBpAGEAdABpAG8AbgAiACwAIgBTAGMAbwBwAGUAMwBfAFMAbwB1AHIAYwBlAEQAYQB0AGEALgBTAGMAbwBwAGUAMwBfAFAAYQBjAGsAYQBnAGkAbgBnAF8ARABhAHQAYQAiACwAIgBTAGMAbwBwAGUAMwBfAFMAbwB1AHIAYwBlAEQAYQB0AGEALgBTAGMAbwBwAGUAMwBfAFAAZQBzAHQAaQBjAGkAZABlAHMAXwBUAGkAdABsAGUAIgAsACIAUwBjAG8AcABlADMAXwBTAG8AdQByAGMAZQBEAGEAdABhAC4AUwBjAG8AcABlADMAXwBQAGUAcwB0AGkAYwBpAGQAZQBzAF8AUwBvAHUAcgBjAGUAIgAsACIAUwBjAG8AcABlADMAXwBTAG8AdQByAGMAZQBEAGEAdABhAC4AUwBjAG8AcABlADMAXwBQAGUAcwB0AGkAYwBpAGQAZQBzAF8AVgBhAHIAaQBhAHQAaQBvAG4AIgAsACIAUwBjAG8AcABlADMAXwBTAG8AdQByAGMAZQBEAGEAdABhAC4AUwBjAG8AcABlADMAXwBQAGUAcwB0AGkAYwBpAGQAZQBzAF8ARABhAHQAYQAiACwAIgBTAGMAbwBwAGUAMwBfAFMAbwB1AHIAYwBlAEQAYQB0AGEALgBTAGMAbwBwAGUAMwBfAFMAbwBpAGwAQQBtAGUAbgBkAG0AZQBuAHQAcwBfAFQAaQB0AGwAZQAiACwAIgBTAGMAbwBwAGUAMwBfAFMAbwB1AHIAYwBlAEQAYQB0AGEALgBTAGMAbwBwAGUAMwBfAFMAbwBpAGwAQQBtAGUAbgBkAG0AZQBuAHQAcwBfAFMAbwB1AHIAYwBlACIALAAiAFMAYwBvAHAAZQAzAF8AUwBvAHUAcgBjAGUARABhAHQAYQAuAFMAYwBvAHAAZQAzAF8AUwBvAGkAbABBAG0AZQBuAGQAbQBlAG4AdABzAF8AVgBhAHIAaQBhAHQAaQBvAG4AIgAsACIAUwBjAG8AcABlADMAXwBTAG8AdQByAGMAZQBEAGEAdABhAC4AUwBjAG8AcABlADMAXwBTAG8AaQBsAEEAbQBlAG4AZABtAGUAbgB0AHMAXwBEAGEAdABhACIALAAiAFMAYwBvAHAAZQAzAF8ASQBuAHAAdQB0AEYAdQBuAGMAdABpAG8AbgBzAC4ARwBlAHQATABpAHYAZQB3AGUAaQBnAGgAdABfAFAAYQBzAHQAdQByAGUAQgBlAGUAZgAiAF0ALAAiAGwAbwBjAGEAbABlACIAOgB7ACIAbABpAHMAdABTAGUAcABhAHIAYQB0AG8AcgAiADoAIgAsACIALAAiAHIAbwB3AFMAZQBwAGEAcgBhAHQAbwByACIAOgAiADsAIgAsACIAYwBvAGwAdQBtAG4AUwBlAHAAYQByAGEAdABvAHIAIgA6ACIALAAiACwAIgB0AGgAbwB1AHMAYQBuAGQAcwBTAGUAcABhAHIAYQB0AG8AcgAiADoAIgAsACIALAAiAHQAaABvAHUAcwBhAG4AZABzAFAAbwBzAGkAdABpAG8AbgBzACIAOgBbADMAXQAsACIAZABlAGMAaQBtAGEAbABTAGUAcABhAHIAYQB0AG8AcgAiADoAIgAuACIALAAiAGQAYQB0AGUATwByAGQAZQByACIAOgAiAEQATQBZACIALAAiAGMAdQByAHIAZQBuAGMAeQBTAHkAbQBiAG8AbAAiADoAIgAkACIALAAiAGkAcwBDAHUAcgByAGUAbgBjAHkAUwB5AG0AYgBvAGwATABlAGEAZAAiADoAdAByAHUAZQAsACIAaQBzAEMAdQByAHIAZQBuAGMAeQBTAGUAcABCAHkAUwBwAGEAYwBlACIAOgBmAGEAbABzAGUALAAiAHIAbwB3AEwAZQB0AHQAZQByACIAOgAiAFIAIgAsACIAYwBvAGwAdQBtAG4ATABlAHQAdABlAHIAIgA6ACIAQwAiACwAIgByAGMATABlAGYAdABCAHIAYQBjAGsAZQB0ACIAOgAiAFsAIgAsACIAcgBjAFIAaQBnAGgAdABCAHIAYQBjAGsAZQB0ACIAOgAiAF0AIgAsACIAcwB0AGEAdABlAG0AZQBuAHQAUwBlAHAAYQByAGEAdABvAHIAIgA6ACIAOwAiACwAIgBsAG8AYwBhAGwAZQBOAGEAbQBlACIAOgAiAGUAbgAtAHUAcwAiAH0AfQA=</AFEJSONBlob>
</file>

<file path=customXml/item2.xml><?xml version="1.0" encoding="utf-8"?>
<ct:contentTypeSchema xmlns:ct="http://schemas.microsoft.com/office/2006/metadata/contentType" xmlns:ma="http://schemas.microsoft.com/office/2006/metadata/properties/metaAttributes" ct:_="" ma:_="" ma:contentTypeName="Document" ma:contentTypeID="0x010100ACB660BB23738846A00119B5826AC974" ma:contentTypeVersion="11" ma:contentTypeDescription="Create a new document." ma:contentTypeScope="" ma:versionID="3e3613359d4ae7f6bda6c57be713f101">
  <xsd:schema xmlns:xsd="http://www.w3.org/2001/XMLSchema" xmlns:xs="http://www.w3.org/2001/XMLSchema" xmlns:p="http://schemas.microsoft.com/office/2006/metadata/properties" xmlns:ns2="7291119c-fce9-4911-96ae-b800be5dccd8" xmlns:ns3="09eef6d6-daa8-4301-8f9f-b1ec38079286" targetNamespace="http://schemas.microsoft.com/office/2006/metadata/properties" ma:root="true" ma:fieldsID="87491bfad7f11426ad96486e70428b3e" ns2:_="" ns3:_="">
    <xsd:import namespace="7291119c-fce9-4911-96ae-b800be5dccd8"/>
    <xsd:import namespace="09eef6d6-daa8-4301-8f9f-b1ec38079286"/>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ObjectDetectorVersion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7291119c-fce9-4911-96ae-b800be5dccd8"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element name="lcf76f155ced4ddcb4097134ff3c332f" ma:index="13" nillable="true" ma:taxonomy="true" ma:internalName="lcf76f155ced4ddcb4097134ff3c332f" ma:taxonomyFieldName="MediaServiceImageTags" ma:displayName="Image Tags" ma:readOnly="false" ma:fieldId="{5cf76f15-5ced-4ddc-b409-7134ff3c332f}" ma:taxonomyMulti="true" ma:sspId="db163b37-248a-4bdb-8038-6e8df1cc47ab" ma:termSetId="09814cd3-568e-fe90-9814-8d621ff8fb84" ma:anchorId="fba54fb3-c3e1-fe81-a776-ca4b69148c4d" ma:open="true" ma:isKeyword="false">
      <xsd:complexType>
        <xsd:sequence>
          <xsd:element ref="pc:Terms" minOccurs="0" maxOccurs="1"/>
        </xsd:sequence>
      </xsd:complexType>
    </xsd:element>
    <xsd:element name="MediaServiceDateTaken" ma:index="15" nillable="true" ma:displayName="MediaServiceDateTaken" ma:hidden="true" ma:indexed="true" ma:internalName="MediaServiceDateTaken" ma:readOnly="true">
      <xsd:simpleType>
        <xsd:restriction base="dms:Text"/>
      </xsd:simpleType>
    </xsd:element>
    <xsd:element name="MediaServiceOCR" ma:index="16" nillable="true" ma:displayName="Extracted Text" ma:internalName="MediaServiceOCR" ma:readOnly="true">
      <xsd:simpleType>
        <xsd:restriction base="dms:Note">
          <xsd:maxLength value="255"/>
        </xsd:restriction>
      </xsd:simpleType>
    </xsd:element>
    <xsd:element name="MediaServiceGenerationTime" ma:index="17" nillable="true" ma:displayName="MediaServiceGenerationTime" ma:hidden="true" ma:internalName="MediaServiceGenerationTime" ma:readOnly="true">
      <xsd:simpleType>
        <xsd:restriction base="dms:Text"/>
      </xsd:simpleType>
    </xsd:element>
    <xsd:element name="MediaServiceEventHashCode" ma:index="18" nillable="true" ma:displayName="MediaServiceEventHashCode" ma:hidden="true" ma:internalName="MediaServiceEventHashCode"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09eef6d6-daa8-4301-8f9f-b1ec38079286"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152b9829-e58f-4759-907b-e4bc75f6ae89}" ma:internalName="TaxCatchAll" ma:showField="CatchAllData" ma:web="09eef6d6-daa8-4301-8f9f-b1ec38079286">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4.xml><?xml version="1.0" encoding="utf-8"?>
<p:properties xmlns:p="http://schemas.microsoft.com/office/2006/metadata/properties" xmlns:xsi="http://www.w3.org/2001/XMLSchema-instance" xmlns:pc="http://schemas.microsoft.com/office/infopath/2007/PartnerControls">
  <documentManagement>
    <TaxCatchAll xmlns="09eef6d6-daa8-4301-8f9f-b1ec38079286" xsi:nil="true"/>
    <lcf76f155ced4ddcb4097134ff3c332f xmlns="7291119c-fce9-4911-96ae-b800be5dccd8">
      <Terms xmlns="http://schemas.microsoft.com/office/infopath/2007/PartnerControls"/>
    </lcf76f155ced4ddcb4097134ff3c332f>
  </documentManagement>
</p:properties>
</file>

<file path=customXml/itemProps1.xml><?xml version="1.0" encoding="utf-8"?>
<ds:datastoreItem xmlns:ds="http://schemas.openxmlformats.org/officeDocument/2006/customXml" ds:itemID="{B6BE249C-20B1-4A62-BBCD-F2A46D88BCAB}">
  <ds:schemaRefs>
    <ds:schemaRef ds:uri="http://schemas.advancedformulaenvironment.officeapps.live.com/afejsonblob/1.0"/>
  </ds:schemaRefs>
</ds:datastoreItem>
</file>

<file path=customXml/itemProps2.xml><?xml version="1.0" encoding="utf-8"?>
<ds:datastoreItem xmlns:ds="http://schemas.openxmlformats.org/officeDocument/2006/customXml" ds:itemID="{809E3D44-A88D-4EBF-A307-6B8CE77A3361}">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7291119c-fce9-4911-96ae-b800be5dccd8"/>
    <ds:schemaRef ds:uri="09eef6d6-daa8-4301-8f9f-b1ec38079286"/>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9A9CF321-0D35-4044-BC72-33748FE2B865}">
  <ds:schemaRefs>
    <ds:schemaRef ds:uri="http://schemas.microsoft.com/sharepoint/v3/contenttype/forms"/>
  </ds:schemaRefs>
</ds:datastoreItem>
</file>

<file path=customXml/itemProps4.xml><?xml version="1.0" encoding="utf-8"?>
<ds:datastoreItem xmlns:ds="http://schemas.openxmlformats.org/officeDocument/2006/customXml" ds:itemID="{CD460F9D-420A-4723-B323-396E4D19EC9B}">
  <ds:schemaRefs>
    <ds:schemaRef ds:uri="http://schemas.microsoft.com/office/2006/metadata/properties"/>
    <ds:schemaRef ds:uri="http://schemas.microsoft.com/office/infopath/2007/PartnerControls"/>
    <ds:schemaRef ds:uri="09eef6d6-daa8-4301-8f9f-b1ec38079286"/>
    <ds:schemaRef ds:uri="7291119c-fce9-4911-96ae-b800be5dccd8"/>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9</vt:i4>
      </vt:variant>
      <vt:variant>
        <vt:lpstr>Named Ranges</vt:lpstr>
      </vt:variant>
      <vt:variant>
        <vt:i4>46</vt:i4>
      </vt:variant>
    </vt:vector>
  </HeadingPairs>
  <TitlesOfParts>
    <vt:vector size="55" baseType="lpstr">
      <vt:lpstr>Home</vt:lpstr>
      <vt:lpstr>Results</vt:lpstr>
      <vt:lpstr>Input - Site</vt:lpstr>
      <vt:lpstr>Input - Pasture Beef</vt:lpstr>
      <vt:lpstr>3.2.1.1-2 Enteric Methane</vt:lpstr>
      <vt:lpstr>Constants - Pasture Beef</vt:lpstr>
      <vt:lpstr>Constants - Common</vt:lpstr>
      <vt:lpstr>Constants - Common Livestock</vt:lpstr>
      <vt:lpstr>Acknowledgements</vt:lpstr>
      <vt:lpstr>Common_SourceData_DensityOfMethane_Data</vt:lpstr>
      <vt:lpstr>M1_Table_D_j</vt:lpstr>
      <vt:lpstr>M1_Table_E_enteric</vt:lpstr>
      <vt:lpstr>M1_Table_I_j_k_l</vt:lpstr>
      <vt:lpstr>M1_Table_LC_j_k45</vt:lpstr>
      <vt:lpstr>M1_Table_LWG_j_k_l</vt:lpstr>
      <vt:lpstr>M1_Table_M_j_k_l</vt:lpstr>
      <vt:lpstr>M1_Table_MA_j_k45</vt:lpstr>
      <vt:lpstr>M1_Table_N_j_k_l</vt:lpstr>
      <vt:lpstr>M1_Table_W_j_k_l</vt:lpstr>
      <vt:lpstr>M2_Table_D_j</vt:lpstr>
      <vt:lpstr>M2_Table_E_enteric</vt:lpstr>
      <vt:lpstr>M2_Table_I_j_k_l</vt:lpstr>
      <vt:lpstr>M2_Table_LC_j_k45</vt:lpstr>
      <vt:lpstr>M2_Table_LWG_j_k_l</vt:lpstr>
      <vt:lpstr>M2_Table_M_j_k_l</vt:lpstr>
      <vt:lpstr>M2_Table_MA_j_k45</vt:lpstr>
      <vt:lpstr>M2_Table_N_j_k_l</vt:lpstr>
      <vt:lpstr>M2_Table_W_j_k_l</vt:lpstr>
      <vt:lpstr>SourceData_PastureBeef_AshContentOfFeedIntake_Data</vt:lpstr>
      <vt:lpstr>SourceData_PastureBeef_FracGASMSoil_Data</vt:lpstr>
      <vt:lpstr>SourceData_PastureBeef_FracLEACH_Data</vt:lpstr>
      <vt:lpstr>SourceData_PastureBeef_MethaneEmissionsPotential_Data</vt:lpstr>
      <vt:lpstr>VEERG_3_2_1_1__1_TotalAnnualMethaneFromEntericFermentation_Result_Method1</vt:lpstr>
      <vt:lpstr>VEERG_3_2_1_1__1_TotalAnnualMethaneFromEntericFermentation_Result_Method2</vt:lpstr>
      <vt:lpstr>X_Cell_PastureBeef_Breed</vt:lpstr>
      <vt:lpstr>X_Cell_PastureBeef_FencedWater</vt:lpstr>
      <vt:lpstr>X_Cell_PastureBeef_GrazingIrrigationMethod</vt:lpstr>
      <vt:lpstr>X_Cell_PastureBeef_GrazingProductionSystem</vt:lpstr>
      <vt:lpstr>X_Cell_PastureBeef_ProductionRegion</vt:lpstr>
      <vt:lpstr>X_Cell_Site_FarmName</vt:lpstr>
      <vt:lpstr>X_Cell_Site_ReportingEntityName</vt:lpstr>
      <vt:lpstr>X_Cell_Site_StartDate</vt:lpstr>
      <vt:lpstr>X_Cell_Site_State</vt:lpstr>
      <vt:lpstr>X_Table_PastureBeef_CrudeProtein_Method1</vt:lpstr>
      <vt:lpstr>X_Table_PastureBeef_CrudeProtein_Method2</vt:lpstr>
      <vt:lpstr>X_Table_PastureBeef_DryMatterDigestibility_Method1</vt:lpstr>
      <vt:lpstr>X_Table_PastureBeef_DryMatterDigestibility_Method2</vt:lpstr>
      <vt:lpstr>X_Table_PastureBeef_Duration_Method1</vt:lpstr>
      <vt:lpstr>X_Table_PastureBeef_Duration_Method2</vt:lpstr>
      <vt:lpstr>X_Table_PastureBeef_Head_Method1</vt:lpstr>
      <vt:lpstr>X_Table_PastureBeef_Head_Method2</vt:lpstr>
      <vt:lpstr>X_Table_PastureBeef_Liveweight_Method1</vt:lpstr>
      <vt:lpstr>X_Table_PastureBeef_Liveweight_Method2</vt:lpstr>
      <vt:lpstr>X_Table_PastureBeef_LiveweightGain_Method1</vt:lpstr>
      <vt:lpstr>X_Table_PastureBeef_LiveweightGain_Method2</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Paul Kotz</dc:creator>
  <cp:lastModifiedBy>Paul Kotz</cp:lastModifiedBy>
  <dcterms:created xsi:type="dcterms:W3CDTF">2025-11-17T03:37:23Z</dcterms:created>
  <dcterms:modified xsi:type="dcterms:W3CDTF">2026-08-10T06:16:35Z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0x010100ACB660BB23738846A00119B5826AC974</vt:lpwstr>
  </property>
  <property fmtid="{D5CDD505-2E9C-101B-9397-08002B2CF9AE}" pid="3" name="MediaServiceImageTags">
    <vt:lpwstr/>
  </property>
</Properties>
</file>