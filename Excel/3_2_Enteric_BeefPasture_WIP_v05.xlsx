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DD19BE8-1945-4D38-8D63-81A07DC16FC3}" xr6:coauthVersionLast="47" xr6:coauthVersionMax="47" xr10:uidLastSave="{00000000-0000-0000-0000-000000000000}"/>
  <bookViews>
    <workbookView xWindow="3120" yWindow="3120" windowWidth="28800" windowHeight="15345" firstSheet="6" activeTab="6"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11"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X165" i="69"/>
  <c r="G13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c r="D46" i="111" a="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c r="D35" i="111" a="1"/>
  <c r="D34" i="111"/>
  <c r="D34" i="111" a="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c r="D19" i="111" a="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A8" i="111"/>
  <c r="F7" i="111" a="1"/>
  <c r="F7" i="111" s="1"/>
  <c r="E7" i="111" a="1"/>
  <c r="E7" i="111" s="1"/>
  <c r="D7" i="111" a="1"/>
  <c r="D7" i="111" s="1"/>
  <c r="A7" i="111"/>
  <c r="D5" i="111" a="1"/>
  <c r="D5" i="111" s="1"/>
  <c r="A3" i="111"/>
  <c r="A8" i="71"/>
  <c r="A7" i="71"/>
  <c r="A3" i="71"/>
  <c r="U23" i="69"/>
  <c r="U22" i="69"/>
  <c r="H49" i="111" l="1"/>
  <c r="H52" i="111"/>
  <c r="H48" i="111"/>
  <c r="H54" i="111"/>
  <c r="H50" i="111"/>
  <c r="H51" i="111"/>
  <c r="H53" i="111"/>
  <c r="D21" i="69"/>
  <c r="E13" i="15"/>
  <c r="A20" i="43"/>
  <c r="A19" i="43"/>
  <c r="A18" i="43"/>
  <c r="A17" i="43"/>
  <c r="A13" i="43"/>
  <c r="A9" i="43"/>
  <c r="A8" i="43"/>
  <c r="A4" i="43"/>
  <c r="A3" i="43"/>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D31" i="70"/>
  <c r="F31" i="70" s="1"/>
  <c r="D30" i="70"/>
  <c r="H30" i="70" s="1"/>
  <c r="D29" i="70"/>
  <c r="F29" i="70" s="1"/>
  <c r="D28" i="70"/>
  <c r="N28" i="70" s="1"/>
  <c r="D27" i="70"/>
  <c r="I27" i="70" s="1"/>
  <c r="D26" i="70"/>
  <c r="I26" i="70" s="1"/>
  <c r="D25" i="70"/>
  <c r="I25" i="70" s="1"/>
  <c r="D24" i="70"/>
  <c r="K24" i="70" s="1"/>
  <c r="D23" i="70"/>
  <c r="H23" i="70" s="1"/>
  <c r="E7" i="70"/>
  <c r="L31" i="70" l="1"/>
  <c r="M31" i="70"/>
  <c r="D185" i="70"/>
  <c r="M179" i="70"/>
  <c r="L179" i="70"/>
  <c r="L180" i="70"/>
  <c r="M178" i="70"/>
  <c r="N25" i="70"/>
  <c r="M180" i="70"/>
  <c r="N180" i="70" s="1"/>
  <c r="O180" i="70" s="1"/>
  <c r="M181" i="70"/>
  <c r="M32" i="70"/>
  <c r="N27" i="70"/>
  <c r="F27" i="70"/>
  <c r="F25" i="70"/>
  <c r="M34" i="70"/>
  <c r="G25" i="70"/>
  <c r="H27" i="70"/>
  <c r="F34" i="70"/>
  <c r="G34" i="70"/>
  <c r="E25" i="70"/>
  <c r="H34" i="70"/>
  <c r="M28" i="70"/>
  <c r="E34" i="70"/>
  <c r="L28" i="70"/>
  <c r="H25" i="70"/>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23" i="69" l="1"/>
  <c r="W162" i="69"/>
  <c r="O115" i="69"/>
  <c r="O107" i="69"/>
  <c r="F128" i="69"/>
  <c r="AF117" i="69"/>
  <c r="AF149" i="69"/>
  <c r="O85" i="69"/>
  <c r="E94" i="69"/>
  <c r="E73" i="69"/>
  <c r="E29" i="69" l="1" a="1"/>
  <c r="E29" i="69" s="1"/>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7" i="69" l="1" a="1"/>
  <c r="W167" i="69" s="1"/>
  <c r="U164" i="69" a="1"/>
  <c r="U164"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2" i="69" l="1"/>
  <c r="E133" i="69" a="1"/>
  <c r="E133" i="69" s="1"/>
  <c r="H7" i="13" s="1"/>
  <c r="F7" i="13" l="1"/>
  <c r="X164" i="69"/>
  <c r="V167" i="69" s="1" a="1"/>
  <c r="V167"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<sst xmlns="http://schemas.openxmlformats.org/spreadsheetml/2006/main" count="1229" uniqueCount="354">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</sst>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aredStrings" Target="sharedStrings.xml" /><Relationship Id="rId18" Type="http://schemas.microsoft.com/office/2017/06/relationships/rdRichValueTypes" Target="richData/rdRichValueTypes.xml" /><Relationship Id="rId3" Type="http://schemas.openxmlformats.org/officeDocument/2006/relationships/worksheet" Target="worksheets/sheet3.xml" /><Relationship Id="rId21" Type="http://schemas.openxmlformats.org/officeDocument/2006/relationships/customXml" Target="../customXml/item2.xml" /><Relationship Id="rId7" Type="http://schemas.openxmlformats.org/officeDocument/2006/relationships/worksheet" Target="worksheets/sheet7.xml" /><Relationship Id="rId12" Type="http://schemas.openxmlformats.org/officeDocument/2006/relationships/styles" Target="styles.xml" /><Relationship Id="rId17" Type="http://schemas.microsoft.com/office/2017/06/relationships/rdRichValueStructure" Target="richData/rdrichvaluestructure.xml" /><Relationship Id="rId2" Type="http://schemas.openxmlformats.org/officeDocument/2006/relationships/worksheet" Target="worksheets/sheet2.xml" /><Relationship Id="rId16" Type="http://schemas.microsoft.com/office/2017/06/relationships/rdRichValue" Target="richData/rdrichvalue.xml" /><Relationship Id="rId20"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5" Type="http://schemas.microsoft.com/office/2022/10/relationships/richValueRel" Target="richData/richValueRel.xml" /><Relationship Id="rId23" Type="http://schemas.openxmlformats.org/officeDocument/2006/relationships/customXml" Target="../customXml/item4.xml" /><Relationship Id="rId19"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eetMetadata" Target="metadata.xml" /><Relationship Id="rId22" Type="http://schemas.openxmlformats.org/officeDocument/2006/relationships/customXml" Target="../customXml/item3.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17ABD4-D831-4B79-B138-473AEEC45C7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3491C3-79E8-4B7F-9D58-406E1B12772C}" name="State/Territory">
      <calculatedColumnFormula array="1">Common_InputFunctions.Utility_DisplayArrayInTable(Common_SourceData.Common_SourceData_AustralianStatesTerritories_Data(),Table_AustralianStates[[#Headers],[State/Territory]],0)</calculatedColumnFormula>
    </tableColumn>
    <tableColumn id="2" xr3:uid="{1F8D81F3-A374-4951-9755-6D6F4164B438}" name="Common Name">
      <calculatedColumnFormula array="1">Common_InputFunctions.Utility_DisplayArrayInTable(Common_SourceData.Common_SourceData_AustralianStatesTerritories_Data(),Table_AustralianStates[[#Headers],[State/Territory]],0)</calculatedColumnFormula>
    </tableColumn>
    <tableColumn id="3" xr3:uid="{3AC38B03-8E5F-4F61-9355-A12ECC80437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0575AA-9B1A-4C12-BE99-5F8B6012FC37}" name="Table_WASA4Areas" displayName="Table_WASA4Areas" ref="D20:D30" totalsRowShown="0">
  <autoFilter ref="D20:D30" xr:uid="{5FA81339-C6C8-4D36-BEEA-6C4AEDD9E676}">
    <filterColumn colId="0" hiddenButton="1"/>
  </autoFilter>
  <tableColumns count="1">
    <tableColumn id="1" xr3:uid="{F90B7DC6-B357-4F02-AC34-520D44EBEA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C51E496-8BEB-4E0D-8DA5-004480FCC9A8}" name="Table_GWPData" displayName="Table_GWPData" ref="D36:E43" totalsRowShown="0">
  <autoFilter ref="D36:E43" xr:uid="{B8E87A66-3E41-4AD3-925D-01EE21B43D7A}">
    <filterColumn colId="0" hiddenButton="1"/>
    <filterColumn colId="1" hiddenButton="1"/>
  </autoFilter>
  <tableColumns count="2">
    <tableColumn id="1" xr3:uid="{CF4CA6EC-B671-49CE-86A5-1E7BFBA32742}" name="Gas">
      <calculatedColumnFormula array="1">Common_InputFunctions.Utility_DisplayArrayInTable(Common_SourceData.Common_SourceData_GWP_Data(), Table_GWPData[[#Headers],[Gas]], 0)</calculatedColumnFormula>
    </tableColumn>
    <tableColumn id="2" xr3:uid="{50606238-CC22-4A95-9B81-38525A8CA78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F6D44B4-A606-4562-96C6-ACF387B2907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AACB331-F113-46C2-A1AF-9C380F6337B8}" name="Gas">
      <calculatedColumnFormula array="1">Common_InputFunctions.Utility_DisplayArrayInTable(Common_SourceData.Common_SourceData_ConvertGasElementalToMolecular_Data(),Table_GasToMolecularConversionFactor[[#Headers],[Gas]], 0)</calculatedColumnFormula>
    </tableColumn>
    <tableColumn id="5" xr3:uid="{06D19E5A-BD49-427C-8773-3C376D078460}"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F409-BA52-46CA-8326-E49FC21288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88B7C10-6098-4B22-B5B1-3B2BD1BE90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F06A33D-43D3-4F01-9C1E-D3E57FA41AD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1246E6-B28A-4C79-AC3D-7D37696EA98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4469FF-7C7C-4851-8447-C565D3DB15E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B4208B3-89B9-47E8-8DBD-DBD9EFA6FAC9}"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44250065-2BEF-47B5-A97F-51D0A7A08444}"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93EFA2EE-B5E2-43C3-A5DE-03C4C15C81F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A35A0D5-BF2C-411F-99D1-19787580FCA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ABF998E-D684-479E-A969-81663492956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48F7868-39FB-41AF-86CF-BFE9F6DE47D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0945D90-1B6C-4BDF-AB08-8E2C65574A8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198A3C6-F8EB-4449-AD20-47F71A95767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A2770DF-2AF3-4932-AE56-8B1E4130DCA9}"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B2C82223-9369-4930-870A-7B32B54F06F4}"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A119C74C-7F0B-49BA-B30C-4FD1ABBEBEEB}"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0597A351-AD84-469A-85F0-C95556DF603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30594C6-A6DD-4354-95DE-BA4724FD4A4D}"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A3BF287C-9276-46D0-AC10-AD6BF7731384}"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027174C-3633-47E1-A33E-06AA42631CB6}"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58A482E-44E2-46EF-9CE3-6CFFC90125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6D4CDF-711B-4793-B693-CFDF767B4A0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831DB9E-5D2D-48AF-BEAA-9920BC1A38D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46977A1-4DDA-42C9-8CF8-CA3FC5F797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2672A40-87E2-4E17-8BD1-374A9BC38AB7}" name="Temperature Zone">
      <calculatedColumnFormula array="1">Common_InputFunctions.Utility_DisplayArrayInTable(Common_SourceData.Common_SourceData_TemperatureZones_Data(),Table_SourceData_TemperatureZones[[#Headers],[Temperature Zone]],0)</calculatedColumnFormula>
    </tableColumn>
    <tableColumn id="2" xr3:uid="{60F78101-711A-4EBD-B67D-9E06E895AB7C}" name="MAT">
      <calculatedColumnFormula array="1">Common_InputFunctions.Utility_DisplayArrayInTable(Common_SourceData.Common_SourceData_TemperatureZones_Data(),Table_SourceData_TemperatureZones[[#Headers],[Temperature Zone]],0)</calculatedColumnFormula>
    </tableColumn>
    <tableColumn id="3" xr3:uid="{AA918579-3849-44BF-B2B7-1B61F09DA149}" name="Min MAT">
      <calculatedColumnFormula array="1">Common_InputFunctions.Utility_DisplayArrayInTable(Common_SourceData.Common_SourceData_TemperatureZones_Data(),Table_SourceData_TemperatureZones[[#Headers],[Temperature Zone]],0)</calculatedColumnFormula>
    </tableColumn>
    <tableColumn id="4" xr3:uid="{71CA2BDB-97BA-476B-9EB3-A07CD62CA86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ADA9A11-2900-42C8-89E4-635E18A61C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7A364E-408E-4791-960C-946BFD1EB269}" name="Rainfall Zone">
      <calculatedColumnFormula array="1">Common_InputFunctions.Utility_DisplayArrayInTable(Common_SourceData.Common_SourceData_RainfallZones_Data(),Table_SourceData_RainfallZones[[#Headers],[Rainfall Zone]],0)</calculatedColumnFormula>
    </tableColumn>
    <tableColumn id="2" xr3:uid="{7107CFF6-F0D8-4FA3-B389-9247C3D00841}" name="Annual rainfall">
      <calculatedColumnFormula array="1">Common_InputFunctions.Utility_DisplayArrayInTable(Common_SourceData.Common_SourceData_RainfallZones_Data(),Table_SourceData_RainfallZones[[#Headers],[Rainfall Zone]],0)</calculatedColumnFormula>
    </tableColumn>
    <tableColumn id="3" xr3:uid="{5A3881F0-6ED8-42B3-A895-BC35E306FA55}" name="Min rainfall">
      <calculatedColumnFormula array="1">Common_InputFunctions.Utility_DisplayArrayInTable(Common_SourceData.Common_SourceData_RainfallZones_Data(),Table_SourceData_RainfallZones[[#Headers],[Rainfall Zone]],0)</calculatedColumnFormula>
    </tableColumn>
    <tableColumn id="4" xr3:uid="{989F27F9-9AF3-4817-97A2-4BDA227C933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50B274D-BE59-4899-B042-15B576D910B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46FA639-10D0-46F1-8BF6-AEDF779E6C23}" name="Leaching Zone">
      <calculatedColumnFormula array="1">Common_InputFunctions.Utility_DisplayArrayInTable(Common_SourceData.Common_SourceData_LeachingZones_Data(), Table_SourceData_LeachingZones[[#Headers],[Leaching Zone]], 0)</calculatedColumnFormula>
    </tableColumn>
    <tableColumn id="2" xr3:uid="{69651A88-7CF7-49E3-89E4-96E97EC68F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99AC8E-6323-4BB2-8C04-28729D5BE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3864482-3D0E-43D8-9E42-B040D6060478}" name="Data source">
      <calculatedColumnFormula array="1">Common_InputFunctions.Utility_DisplayArrayInTable(Common_SourceData.Common_SourceData_DataScores_Scope3_Data(), Table_SourceData_DataScores_Scope3[[#Headers],[Data source]], 0)</calculatedColumnFormula>
    </tableColumn>
    <tableColumn id="2" xr3:uid="{E2463B10-E060-4372-B2F2-316280EB1A3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E15E618-2765-4F22-B86C-816A9639FF03}" name="Table_SourceData_FracWET" displayName="Table_SourceData_FracWET" ref="D134:E136" totalsRowShown="0">
  <autoFilter ref="D134:E136" xr:uid="{308E99BE-FE1F-47A4-B2CA-97217277C4E9}">
    <filterColumn colId="0" hiddenButton="1"/>
    <filterColumn colId="1" hiddenButton="1"/>
  </autoFilter>
  <tableColumns count="2">
    <tableColumn id="1" xr3:uid="{680385E5-C076-45CA-9591-BD5817809A2B}" name="Is in leaching zone">
      <calculatedColumnFormula array="1">Common_InputFunctions.Utility_DisplayArrayInTable(Common_SourceData.Common_SourceData_FracWET_Data(),Table_SourceData_FracWET[[#Headers],[Is in leaching zone]],0)</calculatedColumnFormula>
    </tableColumn>
    <tableColumn id="2" xr3:uid="{28728292-18B3-48DC-8718-6DA6B537967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C8C47E8-AF15-43C1-A81B-EAF39F06DE9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EC72644-3F77-4539-9DFA-D87E6E0DD5A2}" name="Production system j">
      <calculatedColumnFormula array="1">Common_InputFunctions.Utility_DisplayArrayInTable(Common_SourceData.Common_SourceData_EFN2O_Data(), Table_SourceData_Common_EFN2O[[#Headers],[Production system j]], 0)</calculatedColumnFormula>
    </tableColumn>
    <tableColumn id="2" xr3:uid="{8154C9E1-E8B3-434B-B470-104B5C9CE7BF}" name="EFN2O">
      <calculatedColumnFormula array="1">Common_InputFunctions.Utility_DisplayArrayInTable(Common_SourceData.Common_SourceData_EFN2O_Data(), Table_SourceData_Common_EFN2O[[#Headers],[Production system j]], 0)</calculatedColumnFormula>
    </tableColumn>
    <tableColumn id="3" xr3:uid="{831D7016-DC13-4F95-A4BB-27F50AE5D1C2}" name="Production system only">
      <calculatedColumnFormula array="1">Common_InputFunctions.Utility_DisplayArrayInTable(Common_SourceData.Common_SourceData_EFN2O_Data(), Table_SourceData_Common_EFN2O[[#Headers],[Production system j]], 0)</calculatedColumnFormula>
    </tableColumn>
    <tableColumn id="4" xr3:uid="{0877EC46-0EDD-40C8-A038-6C5452F4046A}" name="Irrigation method">
      <calculatedColumnFormula array="1">Common_InputFunctions.Utility_DisplayArrayInTable(Common_SourceData.Common_SourceData_EFN2O_Data(), Table_SourceData_Common_EFN2O[[#Headers],[Production system j]], 0)</calculatedColumnFormula>
    </tableColumn>
    <tableColumn id="5" xr3:uid="{37AA025D-1A5C-448F-9C76-3C1D2B88AD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46C7CF4-C1AA-48D9-B4B7-C6A0C6E7FF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6582017-C220-4071-B48F-9C0499E4D255}" name="Irrigation type i">
      <calculatedColumnFormula array="1">Common_InputFunctions.Utility_DisplayArrayInTable(Common_SourceData.Common_SourceData_FracWETIrrigation_Data(), Table_SourceData_FracWETIrrigation[[#Headers],[Irrigation type i]], 0)</calculatedColumnFormula>
    </tableColumn>
    <tableColumn id="2" xr3:uid="{9A0BE0E9-2D40-40B3-B5A9-6C29AFAE1778}"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3C4E07-76BB-4259-96C0-06E8A250560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3AAF7E4-1A6C-4A78-8B6B-48B524733EC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F964B4-2846-4C64-B17A-9DE51C1AC76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FF37868-F261-4988-84AA-D0D087DE053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DE2134E-9374-4D49-A6FB-10EDB649B6EB}" name="Month">
      <calculatedColumnFormula array="1">Common_InputFunctions.Utility_DisplayArrayInTable(Common_SourceData.Common_SourceData_MonthsToSeasons_Data(), Table_SourceData_Common_MonthToSeason[[#Headers],[Month]], 0)</calculatedColumnFormula>
    </tableColumn>
    <tableColumn id="2" xr3:uid="{C011E6CC-9C3C-42C0-84C2-8634988C1E3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FD3D8F2-E5D1-4ACC-830D-8FC2910333B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0F9830-C15A-42DF-8FD7-E67AEE0DE1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CEF207B-357D-40C0-9883-A3A779CCC0E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2DB6BF-D3C8-4E65-9A7E-61D87B42625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878DEDA-4D9B-48BF-8677-3377453BCCA7}"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6508A06-5505-401A-A044-280E8EEFE461}"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1BDE260-7004-4BA4-92AA-623140C26DD7}"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313A91C-CDE2-41A6-AB18-AA4216D548BB}"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0D6E470-DE3D-45A0-BB31-D5BFFFDAEA51}"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E66B4B-B68C-4B3D-9B95-ABE8C4FF8D19}"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458059A-672E-4C89-BEBD-4762E09D4B7E}"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F9FB67-2367-4217-8534-9C0D166F672E}"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C216314-35A0-4899-AA16-BF81B277D20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656823F-9F41-43FC-A541-0F5EE184E88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B7E6DA-960F-4613-93BD-59793AC825E6}"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E7FBA7F-FB5D-4258-92D4-947E63F3CD11}"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2D8FAC-7A7F-4DF1-B9C4-E2122FF9268C}"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2307942-205D-4F6F-8372-4AC23D5AEED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94996C8-D562-4634-837D-A8F67ED2774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F1992A0-C0A4-4972-B235-45CB59711822}"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AAFEC29-EB47-45E4-9F7B-4362F70C3FB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39B326B5-4D8D-4236-A95B-A2563F29A869}" name="Description" dataDxfId="0" dataCellStyle="Content normal"/>
    <tableColumn id="1" xr3:uid="{4D48BD3F-8CE3-4327-AF6B-1F1BDDFFAD53}" name="ID"/>
    <tableColumn id="3" xr3:uid="{42BF63BB-9FA3-4988-86FF-0D17E26EC475}"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5328F05-9EA5-4C76-81B0-E15251E16AF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431A23B-F3E3-4241-9E7A-E6B531BC3EFD}" name="Description"/>
    <tableColumn id="2" xr3:uid="{2609397C-7179-4B8B-BB90-B077342F3E0B}" name="ID"/>
    <tableColumn id="3" xr3:uid="{AA3AF466-6AEB-4AB7-82E0-5F1D42820EF4}"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612200D-B7A2-4DEA-B228-B8C35768DBC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9679D5FE-514C-4315-BCB5-C44A39A839B9}" name="Description"/>
    <tableColumn id="2" xr3:uid="{A782562E-0819-4A90-A101-7BA295995CE2}" name="ID"/>
    <tableColumn id="3" xr3:uid="{F608A607-9562-47D0-BDAA-6171B2F01328}"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272A8D10-A13A-4BC6-8FBC-897E950C950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75F93E9-2D55-49BB-BA7D-99ADEF65A6DE}" name="Description"/>
    <tableColumn id="2" xr3:uid="{4A32A47C-8CB4-45F8-81A0-CDA4ED92C375}" name="ID"/>
    <tableColumn id="3" xr3:uid="{F9E9CBC9-69F3-4E8E-93F5-4F4189B6A37A}"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60" dataCellStyle="Content normal">
  <autoFilter ref="D43:E50" xr:uid="{F711E95C-01C8-48A7-BB52-9F827483965C}"/>
  <tableColumns count="2">
    <tableColumn id="1" xr3:uid="{08B90907-6C3E-412D-8433-9F6039F4029A}"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57" dataCellStyle="Content normal">
  <autoFilter ref="D54:E55" xr:uid="{2A75A840-CA11-4C7B-8899-C3A821D14E27}"/>
  <tableColumns count="2">
    <tableColumn id="1" xr3:uid="{F170FD6C-DD1B-4B8F-AF9E-3B62B67338A0}"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54" dataCellStyle="Content normal">
  <autoFilter ref="D59:E60" xr:uid="{2D888E1E-7753-4DC0-B298-BEAC22F6BD88}"/>
  <tableColumns count="2">
    <tableColumn id="1" xr3:uid="{C9C3D59B-D677-4AA1-B0C2-2067DFB471D5}"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51" dataCellStyle="Content normal">
  <autoFilter ref="D64:E65" xr:uid="{4DB6C08B-3AF7-4AD1-AB80-46559AA7950B}"/>
  <tableColumns count="2">
    <tableColumn id="1" xr3:uid="{89BE89CD-FE25-4013-84CD-7E8828148DA3}"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5.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0" sqref="A20"/>
    </sheetView>
  </sheetViews>
  <sheetFormatPr defaultRowHeight="15" x14ac:dyDescent="0.25"/>
  <sheetData>
    <row r="1" spans="1:1" x14ac:dyDescent="0.25">
      <c r="A1" t="s">
        <v>304</v>
      </c>
    </row>
    <row r="3" spans="1:1" x14ac:dyDescent="0.25">
      <c r="A3" s="121" t="str">
        <f>HYPERLINK("#'Home'!A1", "Home")</f>
        <v>Home</v>
      </c>
    </row>
    <row r="6" spans="1:1" x14ac:dyDescent="0.25">
      <c r="A6" s="120"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54.595755432192263</v>
      </c>
      <c r="F7" s="101">
        <f ca="1">VEERG_3_2_1_1__1_TotalAnnualMethaneFromEntericFermentation_Result_Method2</f>
        <v>22664.29155712877</v>
      </c>
      <c r="G7" s="51" t="s">
        <v>116</v>
      </c>
      <c r="H7" s="101">
        <f ca="1">'3.2.1.1-2 Enteric Methane'!E133</f>
        <v>1528.6811521013833</v>
      </c>
      <c r="I7" s="101">
        <f ca="1">'3.2.1.1-2 Enteric Methane'!V167</f>
        <v>634600.16359960556</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634600.16359960556</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54"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48" priority="11" operator="lessThan">
      <formula>0</formula>
    </cfRule>
  </conditionalFormatting>
  <conditionalFormatting sqref="F222:F223">
    <cfRule type="cellIs" dxfId="47" priority="10" operator="lessThan">
      <formula>0</formula>
    </cfRule>
  </conditionalFormatting>
  <conditionalFormatting sqref="F227:F228">
    <cfRule type="cellIs" dxfId="46" priority="9" operator="lessThan">
      <formula>0</formula>
    </cfRule>
  </conditionalFormatting>
  <conditionalFormatting sqref="F251:F252">
    <cfRule type="cellIs" dxfId="45" priority="8" operator="lessThan">
      <formula>0</formula>
    </cfRule>
  </conditionalFormatting>
  <conditionalFormatting sqref="F256:F257">
    <cfRule type="cellIs" dxfId="44" priority="7" operator="lessThan">
      <formula>0</formula>
    </cfRule>
  </conditionalFormatting>
  <conditionalFormatting sqref="F261:F262">
    <cfRule type="cellIs" dxfId="43" priority="6" operator="lessThan">
      <formula>0</formula>
    </cfRule>
  </conditionalFormatting>
  <conditionalFormatting sqref="H181:K181">
    <cfRule type="cellIs" dxfId="42"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1" priority="12" operator="lessThan">
      <formula>0</formula>
    </cfRule>
  </conditionalFormatting>
  <conditionalFormatting sqref="I125:O125">
    <cfRule type="cellIs" dxfId="40" priority="3" operator="lessThan">
      <formula>0</formula>
    </cfRule>
  </conditionalFormatting>
  <conditionalFormatting sqref="K180:K181">
    <cfRule type="cellIs" dxfId="39" priority="2" operator="lessThan">
      <formula>0</formula>
    </cfRule>
  </conditionalFormatting>
  <conditionalFormatting sqref="N178:N180">
    <cfRule type="cellIs" dxfId="38" priority="1" operator="lessThan">
      <formula>0</formula>
    </cfRule>
  </conditionalFormatting>
  <conditionalFormatting sqref="P43:R43">
    <cfRule type="cellIs" dxfId="37"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P126" zoomScaleNormal="100" workbookViewId="0">
      <selection activeCell="X170" sqref="X17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49" t="str">
        <f>'Input - Pasture Beef'!$E$177</f>
        <v>September 2024</v>
      </c>
      <c r="W22" s="49">
        <f>'Input - Pasture Beef'!$F$177</f>
        <v>0</v>
      </c>
      <c r="X22" s="49">
        <f>'Input - Pasture Beef'!$G$177</f>
        <v>0</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13661.800000000003</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13661.800000000003</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13661.800000000003</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4554.6000000000058</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80984.592693817423</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118489.93762638624</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118489.93762638624</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39502.427931395519</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1676.3810687620207</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2452.741708866195</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2452.741708866195</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817.70025817988721</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5196.7813131622643</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7358.2251265985842</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7603.4992974852057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2453.1007745396619</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row r="162" spans="21:24" ht="20.100000000000001" customHeight="1" x14ac:dyDescent="0.25">
      <c r="U162" s="93" t="s">
        <v>231</v>
      </c>
      <c r="V162" s="94">
        <f ca="1">SUM(V149:AE160)</f>
        <v>22664.29155712877</v>
      </c>
      <c r="W162" s="95" t="str">
        <f>$E$98</f>
        <v>t CH4</v>
      </c>
    </row>
    <row r="163" spans="21:24" ht="20.100000000000001" customHeight="1" x14ac:dyDescent="0.25"/>
    <row r="164" spans="21:24" ht="20.100000000000001" customHeight="1" x14ac:dyDescent="0.25">
      <c r="U164" s="54" t="str" cm="1">
        <f t="array" ref="U164:V165">Common_Equations.Common_ConvertCH4ToCO2e_Arguments()</f>
        <v>ECH4</v>
      </c>
      <c r="V164" s="55" t="str">
        <v>Methane emissions (t CH4)</v>
      </c>
      <c r="W164" s="96"/>
      <c r="X164" s="49">
        <f ca="1">VEERG_3_2_1_1__1_TotalAnnualMethaneFromEntericFermentation_Result_Method2</f>
        <v>22664.29155712877</v>
      </c>
    </row>
    <row r="165" spans="21:24" ht="20.100000000000001" customHeight="1" x14ac:dyDescent="0.25">
      <c r="U165" s="54" t="str">
        <v>GWPCH4</v>
      </c>
      <c r="V165" s="55" t="str">
        <v>Global warming potential for methane (t CO2-e / t CH4)</v>
      </c>
      <c r="W165" s="96"/>
      <c r="X165" s="49">
        <f>Common_InputFunctions.Utility_LookupValueInTableNumber("CH4",Table_GWPData[Gas],Table_GWPData[CO2-e factor])</f>
        <v>28</v>
      </c>
    </row>
    <row r="166" spans="21:24" ht="20.100000000000001" customHeight="1" x14ac:dyDescent="0.25"/>
    <row r="167" spans="21:24" ht="20.100000000000001" customHeight="1" x14ac:dyDescent="0.25">
      <c r="U167" s="42" t="s">
        <v>82</v>
      </c>
      <c r="V167" s="42" cm="1">
        <f t="array" aca="1" ref="V167" ca="1">Common_Equations.Common_ConvertN2OToCO2e(X164,X165)</f>
        <v>634600.16359960556</v>
      </c>
      <c r="W167" s="9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3CB90-0099-42CB-9C1D-4968E3A3125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0" t="s">
        <v>1</v>
      </c>
      <c r="D6" s="35" t="s">
        <v>16</v>
      </c>
      <c r="E6" s="35" t="s">
        <v>17</v>
      </c>
      <c r="F6" s="35" t="s">
        <v>18</v>
      </c>
    </row>
    <row r="7" spans="1:65" ht="20.100000000000001" customHeight="1" x14ac:dyDescent="0.25">
      <c r="A7" s="118" t="str">
        <f>HYPERLINK("#'Constants - Common'!A1", "Constants - Common")</f>
        <v>Constants - Common</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5" t="s">
        <v>267</v>
      </c>
      <c r="E257" s="35" t="s">
        <v>268</v>
      </c>
    </row>
    <row r="258" spans="4:6"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305</v>
      </c>
    </row>
    <row r="264" spans="4:6" x14ac:dyDescent="0.25">
      <c r="D264" s="1" t="s">
        <v>306</v>
      </c>
    </row>
    <row r="265" spans="4:6" x14ac:dyDescent="0.25">
      <c r="D265" s="35" t="s">
        <v>307</v>
      </c>
      <c r="E265" s="35" t="s">
        <v>308</v>
      </c>
      <c r="F265" s="35" t="s">
        <v>309</v>
      </c>
    </row>
    <row r="266" spans="4:6" x14ac:dyDescent="0.25">
      <c r="D266" s="35" t="s">
        <v>310</v>
      </c>
      <c r="E266" s="35" t="s">
        <v>311</v>
      </c>
      <c r="F266" s="35">
        <v>5</v>
      </c>
    </row>
    <row r="267" spans="4:6" x14ac:dyDescent="0.25">
      <c r="D267" s="35" t="s">
        <v>312</v>
      </c>
      <c r="E267" s="35" t="s">
        <v>313</v>
      </c>
      <c r="F267" s="35">
        <v>4</v>
      </c>
    </row>
    <row r="268" spans="4:6" x14ac:dyDescent="0.25">
      <c r="D268" s="35" t="s">
        <v>314</v>
      </c>
      <c r="E268" s="35" t="s">
        <v>315</v>
      </c>
      <c r="F268" s="35">
        <v>3</v>
      </c>
    </row>
    <row r="269" spans="4:6" x14ac:dyDescent="0.25">
      <c r="D269" s="35" t="s">
        <v>316</v>
      </c>
      <c r="E269" s="35" t="s">
        <v>317</v>
      </c>
      <c r="F269" s="35">
        <v>2</v>
      </c>
    </row>
    <row r="270" spans="4:6" x14ac:dyDescent="0.25">
      <c r="D270" s="35" t="s">
        <v>318</v>
      </c>
      <c r="E270" s="35" t="s">
        <v>319</v>
      </c>
      <c r="F270" s="35">
        <v>1</v>
      </c>
    </row>
    <row r="273" spans="4:6" x14ac:dyDescent="0.25">
      <c r="D273" s="1" t="s">
        <v>320</v>
      </c>
    </row>
    <row r="274" spans="4:6" x14ac:dyDescent="0.25">
      <c r="D274" s="35" t="s">
        <v>307</v>
      </c>
      <c r="E274" s="35" t="s">
        <v>308</v>
      </c>
      <c r="F274" s="35" t="s">
        <v>309</v>
      </c>
    </row>
    <row r="275" spans="4:6" x14ac:dyDescent="0.25">
      <c r="D275" s="35" t="s">
        <v>321</v>
      </c>
      <c r="E275" s="35" t="s">
        <v>322</v>
      </c>
      <c r="F275" s="35">
        <v>5</v>
      </c>
    </row>
    <row r="276" spans="4:6" x14ac:dyDescent="0.25">
      <c r="D276" s="35" t="s">
        <v>323</v>
      </c>
      <c r="E276" s="35" t="s">
        <v>324</v>
      </c>
      <c r="F276" s="35">
        <v>4</v>
      </c>
    </row>
    <row r="277" spans="4:6" x14ac:dyDescent="0.25">
      <c r="D277" s="35" t="s">
        <v>325</v>
      </c>
      <c r="E277" s="35" t="s">
        <v>326</v>
      </c>
      <c r="F277" s="35">
        <v>3</v>
      </c>
    </row>
    <row r="278" spans="4:6" x14ac:dyDescent="0.25">
      <c r="D278" s="35" t="s">
        <v>327</v>
      </c>
      <c r="E278" s="35" t="s">
        <v>328</v>
      </c>
      <c r="F278" s="35">
        <v>2</v>
      </c>
    </row>
    <row r="279" spans="4:6" x14ac:dyDescent="0.25">
      <c r="D279" s="35" t="s">
        <v>329</v>
      </c>
      <c r="E279" s="35" t="s">
        <v>330</v>
      </c>
      <c r="F279" s="35">
        <v>1</v>
      </c>
    </row>
    <row r="282" spans="4:6" x14ac:dyDescent="0.25">
      <c r="D282" s="1" t="s">
        <v>331</v>
      </c>
    </row>
    <row r="283" spans="4:6" x14ac:dyDescent="0.25">
      <c r="D283" s="35" t="s">
        <v>307</v>
      </c>
      <c r="E283" s="35" t="s">
        <v>308</v>
      </c>
      <c r="F283" s="35" t="s">
        <v>309</v>
      </c>
    </row>
    <row r="284" spans="4:6" x14ac:dyDescent="0.25">
      <c r="D284" s="35" t="s">
        <v>332</v>
      </c>
      <c r="E284" s="35" t="s">
        <v>333</v>
      </c>
      <c r="F284" s="35">
        <v>5</v>
      </c>
    </row>
    <row r="285" spans="4:6" x14ac:dyDescent="0.25">
      <c r="D285" s="35" t="s">
        <v>334</v>
      </c>
      <c r="E285" s="35" t="s">
        <v>335</v>
      </c>
      <c r="F285" s="35">
        <v>4</v>
      </c>
    </row>
    <row r="286" spans="4:6" x14ac:dyDescent="0.25">
      <c r="D286" s="35" t="s">
        <v>336</v>
      </c>
      <c r="E286" s="35" t="s">
        <v>337</v>
      </c>
      <c r="F286" s="35">
        <v>3</v>
      </c>
    </row>
    <row r="287" spans="4:6" x14ac:dyDescent="0.25">
      <c r="D287" s="35" t="s">
        <v>338</v>
      </c>
      <c r="E287" s="35" t="s">
        <v>339</v>
      </c>
      <c r="F287" s="35">
        <v>2</v>
      </c>
    </row>
    <row r="288" spans="4:6" x14ac:dyDescent="0.25">
      <c r="D288" s="35" t="s">
        <v>340</v>
      </c>
      <c r="E288" s="35" t="s">
        <v>341</v>
      </c>
      <c r="F288" s="35">
        <v>1</v>
      </c>
    </row>
    <row r="291" spans="4:6" x14ac:dyDescent="0.25">
      <c r="D291" s="1" t="s">
        <v>342</v>
      </c>
    </row>
    <row r="292" spans="4:6" x14ac:dyDescent="0.25">
      <c r="D292" s="35" t="s">
        <v>307</v>
      </c>
      <c r="E292" s="35" t="s">
        <v>308</v>
      </c>
      <c r="F292" s="35" t="s">
        <v>309</v>
      </c>
    </row>
    <row r="293" spans="4:6" x14ac:dyDescent="0.25">
      <c r="D293" s="35" t="s">
        <v>343</v>
      </c>
      <c r="E293" s="35" t="s">
        <v>344</v>
      </c>
      <c r="F293" s="35">
        <v>5</v>
      </c>
    </row>
    <row r="294" spans="4:6" x14ac:dyDescent="0.25">
      <c r="D294" s="35" t="s">
        <v>345</v>
      </c>
      <c r="E294" s="35" t="s">
        <v>346</v>
      </c>
      <c r="F294" s="35">
        <v>4</v>
      </c>
    </row>
    <row r="295" spans="4:6" x14ac:dyDescent="0.25">
      <c r="D295" s="35" t="s">
        <v>347</v>
      </c>
      <c r="E295" s="35" t="s">
        <v>348</v>
      </c>
      <c r="F295" s="35">
        <v>3</v>
      </c>
    </row>
    <row r="296" spans="4:6" x14ac:dyDescent="0.25">
      <c r="D296" s="35" t="s">
        <v>349</v>
      </c>
      <c r="E296" s="35" t="s">
        <v>350</v>
      </c>
      <c r="F296" s="35">
        <v>2</v>
      </c>
    </row>
    <row r="297" spans="4:6" x14ac:dyDescent="0.25">
      <c r="D297" s="35" t="s">
        <v>351</v>
      </c>
      <c r="E297" s="35" t="s">
        <v>352</v>
      </c>
      <c r="F297" s="3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0" sqref="A20"/>
    </sheetView>
  </sheetViews>
  <sheetFormatPr defaultRowHeight="15" x14ac:dyDescent="0.25"/>
  <sheetData>
    <row r="1" spans="1:1" x14ac:dyDescent="0.25">
      <c r="A1" t="s">
        <v>353</v>
      </c>
    </row>
    <row r="3" spans="1:1" ht="15.75" x14ac:dyDescent="0.25">
      <c r="A3" s="17" t="str">
        <f>HYPERLINK("#'Home'!A1", "Home")</f>
        <v>Home</v>
      </c>
    </row>
    <row r="6" spans="1:1" x14ac:dyDescent="0.25">
      <c r="A6" s="120" t="s">
        <v>1</v>
      </c>
    </row>
    <row r="7" spans="1:1" ht="15.75" x14ac:dyDescent="0.25">
      <c r="A7" s="17" t="str">
        <f>HYPERLINK("#'Constants - Common'!A1", "Constants - Common")</f>
        <v>Constants - Common</v>
      </c>
    </row>
    <row r="8" spans="1:1" ht="15.75" x14ac:dyDescent="0.25">
      <c r="A8"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