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37AB20A-A9E0-4AD1-AB52-05A3F6D7BB87}" xr6:coauthVersionLast="47" xr6:coauthVersionMax="47" xr10:uidLastSave="{00000000-0000-0000-0000-000000000000}"/>
  <bookViews>
    <workbookView xWindow="1065" yWindow="930" windowWidth="37020" windowHeight="18525" activeTab="1"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09"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73" i="69" l="1" a="1"/>
  <c r="S173" i="69" s="1"/>
  <c r="R173" i="69" a="1"/>
  <c r="R173" i="69" s="1"/>
  <c r="Q173" i="69" a="1"/>
  <c r="Q173" i="69" s="1"/>
  <c r="P173" i="69" a="1"/>
  <c r="P173" i="69" s="1"/>
  <c r="S172" i="69" a="1"/>
  <c r="S172" i="69" s="1"/>
  <c r="R172" i="69" a="1"/>
  <c r="R172" i="69" s="1"/>
  <c r="Q172" i="69" a="1"/>
  <c r="Q172" i="69" s="1"/>
  <c r="P172" i="69" a="1"/>
  <c r="P172" i="69" s="1"/>
  <c r="S171" i="69" a="1"/>
  <c r="S171" i="69" s="1"/>
  <c r="R171" i="69" a="1"/>
  <c r="R171" i="69" s="1"/>
  <c r="Q171" i="69" a="1"/>
  <c r="Q171" i="69" s="1"/>
  <c r="P171" i="69" a="1"/>
  <c r="P171" i="69" s="1"/>
  <c r="S170" i="69" a="1"/>
  <c r="S170" i="69" s="1"/>
  <c r="R170" i="69" a="1"/>
  <c r="R170" i="69" s="1"/>
  <c r="Q170" i="69" a="1"/>
  <c r="Q170" i="69" s="1"/>
  <c r="P170" i="69" a="1"/>
  <c r="P170" i="69" s="1"/>
  <c r="S169" i="69" a="1"/>
  <c r="S169" i="69" s="1"/>
  <c r="R169" i="69" a="1"/>
  <c r="R169" i="69" s="1"/>
  <c r="Q169" i="69" a="1"/>
  <c r="Q169" i="69" s="1"/>
  <c r="P169" i="69" a="1"/>
  <c r="P169" i="69" s="1"/>
  <c r="S168" i="69" a="1"/>
  <c r="S168" i="69" s="1"/>
  <c r="R168" i="69" a="1"/>
  <c r="R168" i="69" s="1"/>
  <c r="Q168" i="69" a="1"/>
  <c r="Q168" i="69" s="1"/>
  <c r="P168" i="69"/>
  <c r="P168" i="69" a="1"/>
  <c r="S167" i="69" a="1"/>
  <c r="S167" i="69" s="1"/>
  <c r="R167" i="69" a="1"/>
  <c r="R167" i="69" s="1"/>
  <c r="Q167" i="69" a="1"/>
  <c r="Q167" i="69" s="1"/>
  <c r="P167" i="69" a="1"/>
  <c r="P167" i="69" s="1"/>
  <c r="S166" i="69" a="1"/>
  <c r="S166" i="69" s="1"/>
  <c r="R166" i="69" a="1"/>
  <c r="R166" i="69" s="1"/>
  <c r="Q166" i="69"/>
  <c r="Q166" i="69" a="1"/>
  <c r="P166" i="69" a="1"/>
  <c r="P166" i="69" s="1"/>
  <c r="S165" i="69" a="1"/>
  <c r="S165" i="69" s="1"/>
  <c r="R165" i="69" a="1"/>
  <c r="R165" i="69" s="1"/>
  <c r="Q165" i="69" a="1"/>
  <c r="Q165" i="69" s="1"/>
  <c r="P165" i="69" a="1"/>
  <c r="P165" i="69" s="1"/>
  <c r="S164" i="69" a="1"/>
  <c r="S164" i="69" s="1"/>
  <c r="R164" i="69"/>
  <c r="R164" i="69" a="1"/>
  <c r="Q164" i="69" a="1"/>
  <c r="Q164" i="69" s="1"/>
  <c r="P164" i="69" a="1"/>
  <c r="P164" i="69" s="1"/>
  <c r="S163" i="69" a="1"/>
  <c r="S163" i="69" s="1"/>
  <c r="R163" i="69" a="1"/>
  <c r="R163" i="69" s="1"/>
  <c r="Q163" i="69" a="1"/>
  <c r="Q163" i="69" s="1"/>
  <c r="P163" i="69" a="1"/>
  <c r="P163" i="69" s="1"/>
  <c r="S162" i="69" a="1"/>
  <c r="S162" i="69" s="1"/>
  <c r="R162" i="69" a="1"/>
  <c r="R162" i="69" s="1"/>
  <c r="Q162" i="69" a="1"/>
  <c r="Q162" i="69" s="1"/>
  <c r="P162" i="69" a="1"/>
  <c r="P162" i="69" s="1"/>
  <c r="S161" i="69" a="1"/>
  <c r="S161" i="69" s="1"/>
  <c r="R161" i="69" a="1"/>
  <c r="R161" i="69" s="1"/>
  <c r="Q161" i="69" a="1"/>
  <c r="Q161" i="69" s="1"/>
  <c r="P161" i="69" a="1"/>
  <c r="P161" i="69" s="1"/>
  <c r="S160" i="69" a="1"/>
  <c r="S160" i="69" s="1"/>
  <c r="R160" i="69" a="1"/>
  <c r="R160" i="69" s="1"/>
  <c r="Q160" i="69" a="1"/>
  <c r="Q160" i="69" s="1"/>
  <c r="P160" i="69" a="1"/>
  <c r="P160" i="69" s="1"/>
  <c r="S159" i="69" a="1"/>
  <c r="S159" i="69" s="1"/>
  <c r="R159" i="69" a="1"/>
  <c r="R159" i="69" s="1"/>
  <c r="Q159" i="69" a="1"/>
  <c r="Q159" i="69" s="1"/>
  <c r="P159" i="69" a="1"/>
  <c r="P159" i="69" s="1"/>
  <c r="D41" i="69" a="1"/>
  <c r="D41" i="69" s="1"/>
  <c r="S135" i="69"/>
  <c r="Q130" i="69" a="1"/>
  <c r="Q130" i="69" s="1"/>
  <c r="N130" i="69" a="1"/>
  <c r="N130" i="69" s="1"/>
  <c r="S134" i="69"/>
  <c r="S133" i="69" a="1"/>
  <c r="S133" i="69" s="1"/>
  <c r="S132" i="69" a="1"/>
  <c r="S132" i="69" s="1"/>
  <c r="S131" i="69" a="1"/>
  <c r="S131" i="69" s="1"/>
  <c r="S130" i="69" a="1"/>
  <c r="S130" i="69" s="1"/>
  <c r="D123" i="69" a="1"/>
  <c r="D123" i="69" s="1"/>
  <c r="N81" i="69" l="1"/>
  <c r="N80" i="69"/>
  <c r="N79" i="69"/>
  <c r="N78" i="69"/>
  <c r="N77" i="69"/>
  <c r="N76" i="69"/>
  <c r="N75" i="69"/>
  <c r="N74" i="69"/>
  <c r="N73" i="69"/>
  <c r="D81" i="69"/>
  <c r="D80" i="69"/>
  <c r="D79" i="69"/>
  <c r="D78" i="69"/>
  <c r="D77" i="69"/>
  <c r="D76" i="69"/>
  <c r="D75" i="69"/>
  <c r="D74" i="69"/>
  <c r="D73" i="69"/>
  <c r="S55" i="69"/>
  <c r="Q50" i="69" a="1"/>
  <c r="Q50" i="69" s="1"/>
  <c r="N50" i="69" a="1"/>
  <c r="N50" i="69" s="1"/>
  <c r="S54" i="69"/>
  <c r="O79" i="69" s="1" a="1"/>
  <c r="O79"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O80" i="69" l="1" a="1"/>
  <c r="O80" i="69" s="1"/>
  <c r="O81" i="69" a="1"/>
  <c r="O81" i="69" s="1"/>
  <c r="O73" i="69" a="1"/>
  <c r="O73" i="69" s="1"/>
  <c r="O76" i="69" a="1"/>
  <c r="O76" i="69" s="1"/>
  <c r="O77" i="69" a="1"/>
  <c r="O77" i="69" s="1"/>
  <c r="O78" i="69" a="1"/>
  <c r="O78" i="69" s="1"/>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I14" i="107"/>
  <c r="D114" i="79" a="1"/>
  <c r="D114" i="79" s="1"/>
  <c r="F115" i="79" a="1"/>
  <c r="F115" i="79" s="1"/>
  <c r="E115" i="79" a="1"/>
  <c r="E115" i="79" s="1"/>
  <c r="D115" i="79" a="1"/>
  <c r="D115" i="79" s="1"/>
  <c r="D113" i="79" a="1"/>
  <c r="D113" i="79" s="1"/>
  <c r="D112" i="79" a="1"/>
  <c r="D112" i="79" s="1"/>
  <c r="S20" i="106"/>
  <c r="I20" i="106"/>
  <c r="I13" i="106" a="1"/>
  <c r="I13" i="106" s="1"/>
  <c r="G13" i="106" a="1"/>
  <c r="G13" i="106" s="1"/>
  <c r="D13" i="106" a="1"/>
  <c r="D13" i="106" s="1"/>
  <c r="G170" i="105"/>
  <c r="T142" i="105"/>
  <c r="J142" i="105"/>
  <c r="I137" i="105" a="1"/>
  <c r="I137" i="105" s="1"/>
  <c r="I136" i="105" a="1"/>
  <c r="I136" i="105" s="1"/>
  <c r="I135" i="105" a="1"/>
  <c r="I135" i="105" s="1"/>
  <c r="I134" i="105" a="1"/>
  <c r="I134" i="105" s="1"/>
  <c r="I133" i="105" a="1"/>
  <c r="I133" i="105" s="1"/>
  <c r="G133" i="105" a="1"/>
  <c r="G133" i="105" s="1"/>
  <c r="D133" i="105" a="1"/>
  <c r="D133" i="105" s="1"/>
  <c r="G86" i="105"/>
  <c r="T67" i="105"/>
  <c r="J67" i="105"/>
  <c r="F54" i="105"/>
  <c r="F41" i="105"/>
  <c r="T22" i="105"/>
  <c r="J22" i="105"/>
  <c r="I17" i="105" a="1"/>
  <c r="I17" i="105" s="1"/>
  <c r="I16" i="105" a="1"/>
  <c r="I16" i="105" s="1"/>
  <c r="I15" i="105" a="1"/>
  <c r="I15" i="105" s="1"/>
  <c r="I14" i="105" a="1"/>
  <c r="I14" i="105" s="1"/>
  <c r="I13" i="105" a="1"/>
  <c r="I13" i="105" s="1"/>
  <c r="G13" i="105" a="1"/>
  <c r="G13" i="105" s="1"/>
  <c r="D13" i="105" a="1"/>
  <c r="D13" i="105" s="1"/>
  <c r="I48" i="98" a="1"/>
  <c r="I48" i="98" s="1"/>
  <c r="G48" i="98" a="1"/>
  <c r="G48" i="98" s="1"/>
  <c r="D48" i="98" a="1"/>
  <c r="D48" i="98" s="1"/>
  <c r="T34" i="98"/>
  <c r="T27" i="98"/>
  <c r="J27" i="98"/>
  <c r="I13" i="98" a="1"/>
  <c r="I13" i="98" s="1"/>
  <c r="G13" i="98" a="1"/>
  <c r="G13" i="98" s="1"/>
  <c r="D13" i="98" a="1"/>
  <c r="D13" i="98" s="1"/>
  <c r="F96" i="97"/>
  <c r="P96" i="97"/>
  <c r="Q89" i="97" a="1"/>
  <c r="Q89" i="97" s="1"/>
  <c r="N89" i="97"/>
  <c r="N89" i="97" a="1"/>
  <c r="G89" i="97" a="1"/>
  <c r="G89" i="97" s="1"/>
  <c r="D89" i="97" a="1"/>
  <c r="D89" i="97" s="1"/>
  <c r="F45" i="97"/>
  <c r="T22" i="97"/>
  <c r="J22" i="97"/>
  <c r="I14" i="97" a="1"/>
  <c r="I14" i="97" s="1"/>
  <c r="I13" i="97" a="1"/>
  <c r="I13" i="97" s="1"/>
  <c r="G13" i="97" a="1"/>
  <c r="G13"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R82" i="76"/>
  <c r="H77" i="76"/>
  <c r="H72" i="76"/>
  <c r="G65" i="76" a="1"/>
  <c r="G65" i="76" s="1"/>
  <c r="D65" i="76" a="1"/>
  <c r="D65" i="76" s="1"/>
  <c r="R53" i="76"/>
  <c r="H53" i="76"/>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F184" i="105"/>
  <c r="F179" i="105"/>
  <c r="F174" i="105"/>
  <c r="F173" i="105"/>
  <c r="D62" i="105"/>
  <c r="D49" i="105"/>
  <c r="F100" i="105"/>
  <c r="F95" i="105"/>
  <c r="F90" i="105"/>
  <c r="I184" i="76"/>
  <c r="H184" i="76"/>
  <c r="G184" i="76"/>
  <c r="F184" i="76"/>
  <c r="I179" i="76"/>
  <c r="H179" i="76"/>
  <c r="G179" i="76"/>
  <c r="F179" i="76"/>
  <c r="I174" i="76"/>
  <c r="H174" i="76"/>
  <c r="G174" i="76"/>
  <c r="F174" i="76"/>
  <c r="E173" i="69"/>
  <c r="I154" i="69"/>
  <c r="H154" i="69"/>
  <c r="G154" i="69"/>
  <c r="F154" i="69"/>
  <c r="I149" i="69"/>
  <c r="H149" i="69"/>
  <c r="G149" i="69"/>
  <c r="F149" i="69"/>
  <c r="I144" i="69"/>
  <c r="H144" i="69"/>
  <c r="G144" i="69"/>
  <c r="F144" i="69"/>
  <c r="D56" i="70"/>
  <c r="E156" i="105" s="1"/>
  <c r="D49" i="70"/>
  <c r="E149" i="69" s="1"/>
  <c r="D42" i="70"/>
  <c r="E210" i="69" s="1"/>
  <c r="L56" i="70"/>
  <c r="L49" i="70"/>
  <c r="L42" i="70"/>
  <c r="G50" i="69" l="1"/>
  <c r="P73" i="69"/>
  <c r="F108" i="69"/>
  <c r="R20" i="69"/>
  <c r="H25" i="69"/>
  <c r="H30" i="69"/>
  <c r="I60" i="69"/>
  <c r="H68" i="69"/>
  <c r="F73" i="69"/>
  <c r="R25" i="69"/>
  <c r="J140" i="69"/>
  <c r="H197" i="69"/>
  <c r="E119" i="105"/>
  <c r="E36" i="105"/>
  <c r="O210" i="69"/>
  <c r="E233" i="76"/>
  <c r="E35" i="97"/>
  <c r="E40" i="97"/>
  <c r="O40" i="97"/>
  <c r="O36" i="105"/>
  <c r="E144" i="69"/>
  <c r="O70" i="97"/>
  <c r="E193" i="105"/>
  <c r="E146" i="105"/>
  <c r="E76" i="105"/>
  <c r="O215" i="69"/>
  <c r="O76" i="105"/>
  <c r="E215" i="69"/>
  <c r="O65" i="97"/>
  <c r="E220" i="69"/>
  <c r="E114" i="105"/>
  <c r="E174" i="76"/>
  <c r="O151" i="105"/>
  <c r="E179" i="76"/>
  <c r="O243" i="76"/>
  <c r="E179" i="105"/>
  <c r="E184" i="76"/>
  <c r="O238" i="76"/>
  <c r="O156" i="105"/>
  <c r="O119" i="105"/>
  <c r="I23" i="108"/>
  <c r="I19" i="107"/>
  <c r="O233" i="76"/>
  <c r="O193" i="105"/>
  <c r="O114" i="105"/>
  <c r="E81" i="105"/>
  <c r="E154" i="69"/>
  <c r="O220" i="69"/>
  <c r="E30" i="97"/>
  <c r="O146" i="105"/>
  <c r="E151" i="105"/>
  <c r="O81" i="105"/>
  <c r="O109" i="105"/>
  <c r="E100" i="105"/>
  <c r="E198" i="105"/>
  <c r="E193" i="76"/>
  <c r="O71" i="105"/>
  <c r="O173" i="69"/>
  <c r="E203" i="76"/>
  <c r="E65" i="97"/>
  <c r="E26" i="105"/>
  <c r="E203" i="105"/>
  <c r="E163" i="69"/>
  <c r="O30" i="97"/>
  <c r="E71" i="105"/>
  <c r="E174" i="105"/>
  <c r="E90" i="105"/>
  <c r="O168" i="69"/>
  <c r="O193" i="76"/>
  <c r="E70" i="97"/>
  <c r="O26" i="105"/>
  <c r="O203" i="105"/>
  <c r="O198" i="105"/>
  <c r="E198" i="76"/>
  <c r="E184" i="105"/>
  <c r="E109" i="105"/>
  <c r="O35" i="97"/>
  <c r="E95" i="105"/>
  <c r="O163" i="69"/>
  <c r="O198" i="76"/>
  <c r="E238" i="76"/>
  <c r="E75" i="97"/>
  <c r="E31" i="105"/>
  <c r="O203" i="76"/>
  <c r="E243" i="76"/>
  <c r="O75" i="97"/>
  <c r="O31" i="105"/>
  <c r="J170" i="76"/>
  <c r="H48" i="76"/>
  <c r="I100" i="76"/>
  <c r="F130" i="76"/>
  <c r="H20" i="76"/>
  <c r="H25" i="76"/>
  <c r="R25" i="76"/>
  <c r="J44" i="108" l="1"/>
  <c r="I49" i="98"/>
  <c r="I134" i="69"/>
  <c r="I54" i="69"/>
  <c r="E30" i="15"/>
  <c r="E33" i="15"/>
  <c r="E32" i="15"/>
  <c r="E31" i="15"/>
  <c r="J45" i="108"/>
  <c r="I40" i="107"/>
  <c r="I15" i="106"/>
  <c r="I50" i="98"/>
  <c r="I91" i="97"/>
  <c r="I217" i="76"/>
  <c r="Q248" i="76"/>
  <c r="G248" i="76"/>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8" i="109" a="1"/>
  <c r="D98"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H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H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c r="D34" i="109" a="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A14" i="13"/>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8" i="108"/>
  <c r="I17" i="108"/>
  <c r="I16" i="108"/>
  <c r="I14" i="108" s="1"/>
  <c r="E11" i="108" a="1"/>
  <c r="E11" i="108" s="1"/>
  <c r="I28" i="108" s="1"/>
  <c r="E10" i="108" a="1"/>
  <c r="E10" i="108" s="1"/>
  <c r="D6" i="108" a="1"/>
  <c r="D6" i="108" s="1"/>
  <c r="O50" i="107" a="1"/>
  <c r="O50" i="107" s="1"/>
  <c r="M47" i="107" a="1"/>
  <c r="M47" i="107" s="1"/>
  <c r="F50" i="107" a="1"/>
  <c r="F50" i="107" s="1"/>
  <c r="D47" i="107" a="1"/>
  <c r="D47" i="107" s="1"/>
  <c r="I42" i="107"/>
  <c r="I41" i="107"/>
  <c r="I93" i="97"/>
  <c r="I92"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F183" i="105"/>
  <c r="F182" i="105"/>
  <c r="F181" i="105"/>
  <c r="F180" i="105"/>
  <c r="F178" i="105"/>
  <c r="F177" i="105"/>
  <c r="F176" i="105"/>
  <c r="F175" i="105"/>
  <c r="F172" i="105"/>
  <c r="F171" i="105"/>
  <c r="F170" i="105"/>
  <c r="E131" i="105" a="1"/>
  <c r="E131" i="105" s="1"/>
  <c r="P158" i="105" s="1"/>
  <c r="E130" i="105" a="1"/>
  <c r="E130" i="105" s="1"/>
  <c r="D126" i="105" a="1"/>
  <c r="D126" i="105" s="1"/>
  <c r="D125" i="105" a="1"/>
  <c r="D125" i="105" s="1"/>
  <c r="D5" i="105" a="1"/>
  <c r="D5" i="105" s="1"/>
  <c r="F99" i="105"/>
  <c r="F98" i="105"/>
  <c r="F97" i="105"/>
  <c r="F96" i="105"/>
  <c r="F94" i="105"/>
  <c r="F93" i="105"/>
  <c r="F92" i="105"/>
  <c r="F91" i="105"/>
  <c r="F89" i="105"/>
  <c r="F88" i="105"/>
  <c r="F87" i="105"/>
  <c r="F86" i="105"/>
  <c r="E32" i="107" a="1"/>
  <c r="E7" i="108" a="1"/>
  <c r="E127" i="105" a="1"/>
  <c r="E7" i="105" a="1"/>
  <c r="E7" i="106" a="1"/>
  <c r="E7" i="107" a="1"/>
  <c r="E37" i="108" a="1"/>
  <c r="P30" i="108" l="1"/>
  <c r="I39" i="107"/>
  <c r="O45" i="107"/>
  <c r="I90" i="97"/>
  <c r="H52" i="109"/>
  <c r="H51" i="109"/>
  <c r="H48" i="109"/>
  <c r="F47" i="108"/>
  <c r="P47" i="108"/>
  <c r="S28" i="108"/>
  <c r="H53" i="109"/>
  <c r="H49" i="109"/>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8" i="98"/>
  <c r="I17" i="98"/>
  <c r="I16" i="98"/>
  <c r="E11" i="98" a="1"/>
  <c r="E11"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I183" i="76"/>
  <c r="H183" i="76"/>
  <c r="G183" i="76"/>
  <c r="F183" i="76"/>
  <c r="I182" i="76"/>
  <c r="H182" i="76"/>
  <c r="G182" i="76"/>
  <c r="F182" i="76"/>
  <c r="I181" i="76"/>
  <c r="H181" i="76"/>
  <c r="G181" i="76"/>
  <c r="F181" i="76"/>
  <c r="I180" i="76"/>
  <c r="H180" i="76"/>
  <c r="G180" i="76"/>
  <c r="F180" i="76"/>
  <c r="I178" i="76"/>
  <c r="H178" i="76"/>
  <c r="G178" i="76"/>
  <c r="F178" i="76"/>
  <c r="I177" i="76"/>
  <c r="H177" i="76"/>
  <c r="G177" i="76"/>
  <c r="F177" i="76"/>
  <c r="I176" i="76"/>
  <c r="H176" i="76"/>
  <c r="G176" i="76"/>
  <c r="F176" i="76"/>
  <c r="I175" i="76"/>
  <c r="H175" i="76"/>
  <c r="G175" i="76"/>
  <c r="F175" i="76"/>
  <c r="I173" i="76"/>
  <c r="H173" i="76"/>
  <c r="G173" i="76"/>
  <c r="F173" i="76"/>
  <c r="I172" i="76"/>
  <c r="H172" i="76"/>
  <c r="G172" i="76"/>
  <c r="F172" i="76"/>
  <c r="I171" i="76"/>
  <c r="H171" i="76"/>
  <c r="G171" i="76"/>
  <c r="F171" i="76"/>
  <c r="I170" i="76"/>
  <c r="H170" i="76"/>
  <c r="G170" i="76"/>
  <c r="F170" i="76"/>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H103" i="76"/>
  <c r="G103" i="76"/>
  <c r="F103" i="76"/>
  <c r="E103" i="76"/>
  <c r="H102" i="76"/>
  <c r="G102" i="76"/>
  <c r="F102" i="76"/>
  <c r="E102" i="76"/>
  <c r="H101" i="76"/>
  <c r="G101" i="76"/>
  <c r="F101" i="76"/>
  <c r="E101" i="76"/>
  <c r="H100" i="76"/>
  <c r="G100" i="76"/>
  <c r="F100" i="76"/>
  <c r="E100" i="76"/>
  <c r="E92" i="76" a="1"/>
  <c r="E92" i="76" s="1"/>
  <c r="E91" i="76" a="1"/>
  <c r="E91" i="76" s="1"/>
  <c r="D87" i="76" a="1"/>
  <c r="D87" i="76" s="1"/>
  <c r="D86" i="76" a="1"/>
  <c r="D86" i="76" s="1"/>
  <c r="G77" i="76"/>
  <c r="F77" i="76"/>
  <c r="E77" i="76"/>
  <c r="D77" i="76"/>
  <c r="G72" i="76"/>
  <c r="F72" i="76"/>
  <c r="E72" i="76"/>
  <c r="D72" i="76"/>
  <c r="E63" i="76" a="1"/>
  <c r="E63"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G197" i="69"/>
  <c r="F197" i="69"/>
  <c r="E197" i="69"/>
  <c r="D197" i="69"/>
  <c r="G192" i="69"/>
  <c r="F192" i="69"/>
  <c r="E192" i="69"/>
  <c r="D192" i="69"/>
  <c r="E183" i="69" a="1"/>
  <c r="E183" i="69" s="1"/>
  <c r="E182" i="69" a="1"/>
  <c r="E182" i="69" s="1"/>
  <c r="D178" i="69" a="1"/>
  <c r="D178" i="69" s="1"/>
  <c r="D177" i="69" a="1"/>
  <c r="D177" i="69" s="1"/>
  <c r="D121" i="69" a="1"/>
  <c r="D121" i="69" s="1"/>
  <c r="I153" i="69"/>
  <c r="H153" i="69"/>
  <c r="G153" i="69"/>
  <c r="F153" i="69"/>
  <c r="I152" i="69"/>
  <c r="H152" i="69"/>
  <c r="G152" i="69"/>
  <c r="F152" i="69"/>
  <c r="I151" i="69"/>
  <c r="H151" i="69"/>
  <c r="G151" i="69"/>
  <c r="F151" i="69"/>
  <c r="I150" i="69"/>
  <c r="H150" i="69"/>
  <c r="G150" i="69"/>
  <c r="F150" i="69"/>
  <c r="I148" i="69"/>
  <c r="H148" i="69"/>
  <c r="G148" i="69"/>
  <c r="F148" i="69"/>
  <c r="I147" i="69"/>
  <c r="H147" i="69"/>
  <c r="G147" i="69"/>
  <c r="F147" i="69"/>
  <c r="I146" i="69"/>
  <c r="H146" i="69"/>
  <c r="G146" i="69"/>
  <c r="F146" i="69"/>
  <c r="I145" i="69"/>
  <c r="H145" i="69"/>
  <c r="G145" i="69"/>
  <c r="F145" i="69"/>
  <c r="I143" i="69"/>
  <c r="H143" i="69"/>
  <c r="G143" i="69"/>
  <c r="F143" i="69"/>
  <c r="I142" i="69"/>
  <c r="H142" i="69"/>
  <c r="G142" i="69"/>
  <c r="F142" i="69"/>
  <c r="I141" i="69"/>
  <c r="H141" i="69"/>
  <c r="G141" i="69"/>
  <c r="F141" i="69"/>
  <c r="I140" i="69"/>
  <c r="H140" i="69"/>
  <c r="G140" i="69"/>
  <c r="F140" i="69"/>
  <c r="I135" i="69"/>
  <c r="D93" i="69" a="1"/>
  <c r="D93" i="69" s="1"/>
  <c r="E99" i="69" a="1"/>
  <c r="E99" i="69" s="1"/>
  <c r="S115" i="69" s="1"/>
  <c r="E98" i="69" a="1"/>
  <c r="E98" i="69" s="1"/>
  <c r="D94" i="69" a="1"/>
  <c r="D94" i="69" s="1"/>
  <c r="D40" i="69" a="1"/>
  <c r="D40" i="69" s="1"/>
  <c r="H63" i="69"/>
  <c r="G63" i="69"/>
  <c r="F63" i="69"/>
  <c r="E63" i="69"/>
  <c r="H62" i="69"/>
  <c r="G62" i="69"/>
  <c r="F62" i="69"/>
  <c r="E62" i="69"/>
  <c r="H61" i="69"/>
  <c r="G61" i="69"/>
  <c r="F61" i="69"/>
  <c r="E61" i="69"/>
  <c r="H60" i="69"/>
  <c r="G60" i="69"/>
  <c r="F60" i="69"/>
  <c r="E60" i="69"/>
  <c r="I55" i="69"/>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L55" i="70"/>
  <c r="L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20" i="69" s="1"/>
  <c r="G9" i="79" a="1"/>
  <c r="G9" i="79" s="1"/>
  <c r="G21" i="70" s="1"/>
  <c r="P20" i="69" s="1"/>
  <c r="F9" i="79" a="1"/>
  <c r="F9" i="79" s="1"/>
  <c r="F21" i="70" s="1"/>
  <c r="O20" i="69" s="1"/>
  <c r="E9" i="79" a="1"/>
  <c r="E9" i="79" s="1"/>
  <c r="E21" i="70" s="1"/>
  <c r="N20" i="69" s="1"/>
  <c r="D9" i="79" a="1"/>
  <c r="D9" i="79" s="1"/>
  <c r="D6" i="79" a="1"/>
  <c r="D6" i="79" s="1"/>
  <c r="D5" i="79" a="1"/>
  <c r="D5" i="79" s="1"/>
  <c r="A8" i="13"/>
  <c r="A5" i="13"/>
  <c r="A3" i="13"/>
  <c r="E179" i="69" a="1"/>
  <c r="E158" i="76" a="1"/>
  <c r="E42" i="98" a="1"/>
  <c r="E59" i="76" a="1"/>
  <c r="E209" i="76" a="1"/>
  <c r="E7" i="69" a="1"/>
  <c r="E44" i="69" a="1"/>
  <c r="E7" i="98" a="1"/>
  <c r="E7" i="76" a="1"/>
  <c r="E124" i="69" a="1"/>
  <c r="E7" i="97" a="1"/>
  <c r="E117" i="76" a="1"/>
  <c r="E95" i="69" a="1"/>
  <c r="E88" i="76" a="1"/>
  <c r="E36" i="76" a="1"/>
  <c r="E83" i="97" a="1"/>
  <c r="E62" i="105" l="1" a="1"/>
  <c r="E62" i="105" s="1"/>
  <c r="I14" i="98"/>
  <c r="E81" i="69"/>
  <c r="E74" i="69"/>
  <c r="E73" i="69"/>
  <c r="E79" i="69"/>
  <c r="E78" i="69"/>
  <c r="E49" i="105" a="1"/>
  <c r="E49" i="105" s="1"/>
  <c r="I15" i="98"/>
  <c r="I15" i="108"/>
  <c r="D52" i="70"/>
  <c r="E96" i="105" s="1"/>
  <c r="D53" i="70"/>
  <c r="E181" i="105" s="1"/>
  <c r="D55" i="70"/>
  <c r="O172" i="69" s="1"/>
  <c r="D144" i="76"/>
  <c r="D145" i="76"/>
  <c r="E75" i="69"/>
  <c r="D42" i="105"/>
  <c r="E42" i="105" s="1" a="1"/>
  <c r="E42" i="105" s="1"/>
  <c r="E76" i="69"/>
  <c r="E77" i="69"/>
  <c r="D48" i="97"/>
  <c r="E48" i="97" s="1" a="1"/>
  <c r="E48" i="97" s="1"/>
  <c r="D46" i="70"/>
  <c r="E92" i="105" s="1"/>
  <c r="D49" i="97"/>
  <c r="D47" i="70"/>
  <c r="E149" i="105" s="1"/>
  <c r="D51" i="97"/>
  <c r="E51" i="97" s="1" a="1"/>
  <c r="E51" i="97" s="1"/>
  <c r="D48" i="70"/>
  <c r="E168" i="69" s="1"/>
  <c r="D131" i="76"/>
  <c r="D44" i="70"/>
  <c r="D147" i="105"/>
  <c r="N72" i="105"/>
  <c r="D72" i="105"/>
  <c r="N194" i="105"/>
  <c r="D175" i="105"/>
  <c r="N110" i="105"/>
  <c r="D194" i="105"/>
  <c r="D91" i="105"/>
  <c r="N147" i="105"/>
  <c r="D110" i="105"/>
  <c r="N116" i="69"/>
  <c r="N109" i="76"/>
  <c r="D145" i="69"/>
  <c r="N87" i="69"/>
  <c r="D116" i="69"/>
  <c r="O62" i="97"/>
  <c r="O190" i="105"/>
  <c r="E171" i="105"/>
  <c r="O106" i="105"/>
  <c r="E190" i="105"/>
  <c r="O143" i="105"/>
  <c r="E106" i="105"/>
  <c r="E87" i="105"/>
  <c r="E143" i="105"/>
  <c r="O68" i="105"/>
  <c r="E68" i="105"/>
  <c r="O160" i="69"/>
  <c r="N228" i="76"/>
  <c r="N28" i="108"/>
  <c r="N25" i="106"/>
  <c r="M19" i="107"/>
  <c r="D25" i="106"/>
  <c r="D19" i="107"/>
  <c r="N20" i="106"/>
  <c r="N23" i="108"/>
  <c r="D20" i="106"/>
  <c r="D28" i="108"/>
  <c r="D23" i="108"/>
  <c r="M24" i="107"/>
  <c r="D24" i="107"/>
  <c r="D89" i="69"/>
  <c r="N205" i="69"/>
  <c r="D71" i="97"/>
  <c r="N77" i="105"/>
  <c r="D77" i="105"/>
  <c r="D180" i="105"/>
  <c r="N115" i="105"/>
  <c r="D96" i="105"/>
  <c r="D152" i="105"/>
  <c r="D115" i="105"/>
  <c r="D51" i="70"/>
  <c r="N199" i="105"/>
  <c r="N152" i="105"/>
  <c r="D199" i="105"/>
  <c r="D60" i="69"/>
  <c r="D37" i="70"/>
  <c r="N189" i="105"/>
  <c r="D170" i="105"/>
  <c r="N105" i="105"/>
  <c r="D189" i="105"/>
  <c r="N142" i="105"/>
  <c r="D105" i="105"/>
  <c r="D86" i="105"/>
  <c r="D142" i="105"/>
  <c r="D67" i="105"/>
  <c r="N67" i="105"/>
  <c r="D140" i="69"/>
  <c r="N150" i="76"/>
  <c r="D115" i="69"/>
  <c r="O27" i="105"/>
  <c r="O72" i="105"/>
  <c r="E72" i="105"/>
  <c r="O194" i="105"/>
  <c r="E175" i="105"/>
  <c r="O110" i="105"/>
  <c r="E194" i="105"/>
  <c r="E147" i="105"/>
  <c r="E91" i="105"/>
  <c r="O147" i="105"/>
  <c r="E110" i="105"/>
  <c r="E145" i="69"/>
  <c r="E162" i="69"/>
  <c r="O145" i="105"/>
  <c r="E108" i="105"/>
  <c r="E89" i="105"/>
  <c r="E145" i="105"/>
  <c r="O70" i="105"/>
  <c r="E70" i="105"/>
  <c r="O192" i="105"/>
  <c r="E192" i="105"/>
  <c r="E173" i="105"/>
  <c r="O108" i="105"/>
  <c r="O209" i="69"/>
  <c r="E191" i="76"/>
  <c r="E191" i="105"/>
  <c r="O144" i="105"/>
  <c r="E107" i="105"/>
  <c r="E88" i="105"/>
  <c r="E144" i="105"/>
  <c r="O69" i="105"/>
  <c r="E69" i="105"/>
  <c r="E172" i="105"/>
  <c r="O107" i="105"/>
  <c r="O191" i="105"/>
  <c r="E29" i="105"/>
  <c r="D41" i="105"/>
  <c r="D50" i="97"/>
  <c r="O28" i="105"/>
  <c r="E73" i="105"/>
  <c r="D43" i="105"/>
  <c r="E43" i="105" s="1" a="1"/>
  <c r="E43" i="105" s="1"/>
  <c r="D52" i="97"/>
  <c r="E52" i="97" s="1" a="1"/>
  <c r="E52" i="97" s="1"/>
  <c r="D54" i="70"/>
  <c r="E80" i="69"/>
  <c r="D44" i="105"/>
  <c r="E44" i="105" s="1" a="1"/>
  <c r="E44" i="105" s="1"/>
  <c r="D54" i="105"/>
  <c r="E54" i="105" s="1" a="1"/>
  <c r="E54" i="105" s="1"/>
  <c r="D45" i="105"/>
  <c r="E45" i="105" s="1" a="1"/>
  <c r="E45" i="105" s="1"/>
  <c r="D55" i="105"/>
  <c r="E55" i="105" s="1" a="1"/>
  <c r="E55" i="105" s="1"/>
  <c r="O115" i="105"/>
  <c r="E77" i="105"/>
  <c r="D46" i="105"/>
  <c r="E46" i="105" s="1" a="1"/>
  <c r="E46" i="105" s="1"/>
  <c r="D56" i="105"/>
  <c r="E56" i="105" s="1" a="1"/>
  <c r="E56" i="105" s="1"/>
  <c r="D138" i="76"/>
  <c r="D47" i="105"/>
  <c r="E47" i="105" s="1" a="1"/>
  <c r="E47" i="105" s="1"/>
  <c r="D57" i="105"/>
  <c r="E57" i="105" s="1" a="1"/>
  <c r="E57" i="105" s="1"/>
  <c r="O200" i="105"/>
  <c r="O78" i="105"/>
  <c r="E242" i="76"/>
  <c r="O202" i="105"/>
  <c r="E183" i="105"/>
  <c r="O118" i="105"/>
  <c r="E155" i="105"/>
  <c r="E80" i="105"/>
  <c r="O80" i="105"/>
  <c r="D38" i="70"/>
  <c r="E34" i="98" s="1"/>
  <c r="E153" i="69"/>
  <c r="D139" i="76"/>
  <c r="D48" i="105"/>
  <c r="E48" i="105" s="1" a="1"/>
  <c r="E48" i="105" s="1"/>
  <c r="D58" i="105"/>
  <c r="E58" i="105" s="1" a="1"/>
  <c r="E58" i="105" s="1"/>
  <c r="E169" i="69"/>
  <c r="O219" i="69"/>
  <c r="D140" i="76"/>
  <c r="D59" i="105"/>
  <c r="E59" i="105" s="1" a="1"/>
  <c r="E59" i="105" s="1"/>
  <c r="D45" i="97"/>
  <c r="E45" i="97" s="1" a="1"/>
  <c r="E45" i="97" s="1"/>
  <c r="E113" i="105"/>
  <c r="E197" i="105"/>
  <c r="D46" i="97"/>
  <c r="P77" i="97"/>
  <c r="J55" i="98"/>
  <c r="E141" i="76" a="1"/>
  <c r="E141" i="76" s="1"/>
  <c r="I14" i="106"/>
  <c r="J202" i="69"/>
  <c r="J159" i="69"/>
  <c r="F245" i="76"/>
  <c r="T225" i="76"/>
  <c r="P245" i="76"/>
  <c r="P222" i="69"/>
  <c r="J189" i="105"/>
  <c r="T189" i="105"/>
  <c r="F205" i="105"/>
  <c r="P205" i="105"/>
  <c r="P121" i="105"/>
  <c r="F121" i="105"/>
  <c r="T105" i="105"/>
  <c r="J105" i="105"/>
  <c r="E60" i="105" a="1"/>
  <c r="E60" i="105" s="1"/>
  <c r="F59" i="98"/>
  <c r="J225" i="76"/>
  <c r="T55" i="98"/>
  <c r="E61" i="105" a="1"/>
  <c r="E61" i="105" s="1"/>
  <c r="E166" i="69"/>
  <c r="E216" i="69"/>
  <c r="O211" i="69"/>
  <c r="D133" i="76"/>
  <c r="E192" i="76"/>
  <c r="O191" i="76"/>
  <c r="E230" i="76"/>
  <c r="E28" i="97"/>
  <c r="D58" i="97"/>
  <c r="E71" i="97"/>
  <c r="N22" i="97"/>
  <c r="N36" i="97"/>
  <c r="O73" i="97"/>
  <c r="N27" i="98"/>
  <c r="N55" i="98"/>
  <c r="E30" i="105"/>
  <c r="O161" i="69"/>
  <c r="E182" i="76"/>
  <c r="D194" i="76"/>
  <c r="O192" i="76"/>
  <c r="E231" i="76"/>
  <c r="E29" i="97"/>
  <c r="D59" i="97"/>
  <c r="E72" i="97"/>
  <c r="N23" i="97"/>
  <c r="O63" i="97"/>
  <c r="D55" i="98"/>
  <c r="D32" i="105"/>
  <c r="D216" i="69"/>
  <c r="D169" i="69"/>
  <c r="O162" i="69"/>
  <c r="D202" i="69"/>
  <c r="E218" i="69"/>
  <c r="O213" i="69"/>
  <c r="D108" i="76"/>
  <c r="D170" i="76"/>
  <c r="E183" i="76"/>
  <c r="E194" i="76"/>
  <c r="N194" i="76"/>
  <c r="E232" i="76"/>
  <c r="O230" i="76"/>
  <c r="D31" i="97"/>
  <c r="D60" i="97"/>
  <c r="E73" i="97"/>
  <c r="N24" i="97"/>
  <c r="O64" i="97"/>
  <c r="D34" i="98"/>
  <c r="N28" i="98"/>
  <c r="E32" i="105"/>
  <c r="N32" i="105"/>
  <c r="N164" i="69"/>
  <c r="D203" i="69"/>
  <c r="E219" i="69"/>
  <c r="N203" i="69"/>
  <c r="D109" i="76"/>
  <c r="D150" i="76"/>
  <c r="E195" i="76"/>
  <c r="O194" i="76"/>
  <c r="D234" i="76"/>
  <c r="N239" i="76"/>
  <c r="E31" i="97"/>
  <c r="D61" i="97"/>
  <c r="E74" i="97"/>
  <c r="N25" i="97"/>
  <c r="O38" i="97"/>
  <c r="N66" i="97"/>
  <c r="O28" i="98"/>
  <c r="D56" i="98"/>
  <c r="N56" i="98"/>
  <c r="E33" i="105"/>
  <c r="O32" i="105"/>
  <c r="E151" i="69"/>
  <c r="O164" i="69"/>
  <c r="D204" i="69"/>
  <c r="O216" i="69"/>
  <c r="D110" i="76"/>
  <c r="D151" i="76"/>
  <c r="E171" i="76"/>
  <c r="E234" i="76"/>
  <c r="O231" i="76"/>
  <c r="O239" i="76"/>
  <c r="E32" i="97"/>
  <c r="E61" i="97"/>
  <c r="N26" i="97"/>
  <c r="O39" i="97"/>
  <c r="O66" i="97"/>
  <c r="D27" i="98"/>
  <c r="D35" i="98"/>
  <c r="N29" i="98"/>
  <c r="E56" i="98"/>
  <c r="O56" i="98"/>
  <c r="E34" i="105"/>
  <c r="E152" i="69"/>
  <c r="O165" i="69"/>
  <c r="O217" i="69"/>
  <c r="D100" i="76"/>
  <c r="D111" i="76"/>
  <c r="D152" i="76"/>
  <c r="E172" i="76"/>
  <c r="E197" i="76"/>
  <c r="O196" i="76"/>
  <c r="N225" i="76"/>
  <c r="E33" i="97"/>
  <c r="E62" i="97"/>
  <c r="O26" i="97"/>
  <c r="N57" i="97"/>
  <c r="E35" i="98"/>
  <c r="O29" i="98"/>
  <c r="D57" i="98"/>
  <c r="D22" i="105"/>
  <c r="E35" i="105"/>
  <c r="O34" i="105"/>
  <c r="D88" i="69"/>
  <c r="D150" i="69"/>
  <c r="E207" i="69"/>
  <c r="N206" i="69"/>
  <c r="O218" i="69"/>
  <c r="D101" i="76"/>
  <c r="N108" i="76"/>
  <c r="E173" i="76"/>
  <c r="D199" i="76"/>
  <c r="O197" i="76"/>
  <c r="E236" i="76"/>
  <c r="O232" i="76"/>
  <c r="O240" i="76"/>
  <c r="E34" i="97"/>
  <c r="E63" i="97"/>
  <c r="O27" i="97"/>
  <c r="N58" i="97"/>
  <c r="O67" i="97"/>
  <c r="D28" i="98"/>
  <c r="D36" i="98"/>
  <c r="E57" i="98"/>
  <c r="N57" i="98"/>
  <c r="N22" i="105"/>
  <c r="O35" i="105"/>
  <c r="E208" i="69"/>
  <c r="D102" i="76"/>
  <c r="D175" i="76"/>
  <c r="E199" i="76"/>
  <c r="N199" i="76"/>
  <c r="N226" i="76"/>
  <c r="D22" i="97"/>
  <c r="D36" i="97"/>
  <c r="E64" i="97"/>
  <c r="O28" i="97"/>
  <c r="N59" i="97"/>
  <c r="O68" i="97"/>
  <c r="E28" i="98"/>
  <c r="E36" i="98"/>
  <c r="O57" i="98"/>
  <c r="E23" i="105"/>
  <c r="E141" i="69"/>
  <c r="E159" i="69"/>
  <c r="O169" i="69"/>
  <c r="E209" i="69"/>
  <c r="D103" i="76"/>
  <c r="N110" i="76"/>
  <c r="N151" i="76"/>
  <c r="E175" i="76"/>
  <c r="E200" i="76"/>
  <c r="O199" i="76"/>
  <c r="D225" i="76"/>
  <c r="D239" i="76"/>
  <c r="N234" i="76"/>
  <c r="O241" i="76"/>
  <c r="D23" i="97"/>
  <c r="D66" i="97"/>
  <c r="O29" i="97"/>
  <c r="D29" i="98"/>
  <c r="N34" i="98"/>
  <c r="E24" i="105"/>
  <c r="O23" i="105"/>
  <c r="E142" i="69"/>
  <c r="E160" i="69"/>
  <c r="E171" i="69"/>
  <c r="O170" i="69"/>
  <c r="E211" i="69"/>
  <c r="O207" i="69"/>
  <c r="N111" i="76"/>
  <c r="N152" i="76"/>
  <c r="E176" i="76"/>
  <c r="E201" i="76"/>
  <c r="D226" i="76"/>
  <c r="E239" i="76"/>
  <c r="N227" i="76"/>
  <c r="O234" i="76"/>
  <c r="D24" i="97"/>
  <c r="E37" i="97"/>
  <c r="E66" i="97"/>
  <c r="N31" i="97"/>
  <c r="N60" i="97"/>
  <c r="O69" i="97"/>
  <c r="O34" i="98"/>
  <c r="E25" i="105"/>
  <c r="O24" i="105"/>
  <c r="E143" i="69"/>
  <c r="E161" i="69"/>
  <c r="E172" i="69"/>
  <c r="O171" i="69"/>
  <c r="E212" i="69"/>
  <c r="E177" i="76"/>
  <c r="D189" i="76"/>
  <c r="E202" i="76"/>
  <c r="O201" i="76"/>
  <c r="D227" i="76"/>
  <c r="O242" i="76"/>
  <c r="D25" i="97"/>
  <c r="E38" i="97"/>
  <c r="E67" i="97"/>
  <c r="O31" i="97"/>
  <c r="N61" i="97"/>
  <c r="N35" i="98"/>
  <c r="D27" i="105"/>
  <c r="O25" i="105"/>
  <c r="N117" i="69"/>
  <c r="D130" i="76"/>
  <c r="E178" i="76"/>
  <c r="E189" i="76"/>
  <c r="N189" i="76"/>
  <c r="O202" i="76"/>
  <c r="D228" i="76"/>
  <c r="O235" i="76"/>
  <c r="D26" i="97"/>
  <c r="E39" i="97"/>
  <c r="E68" i="97"/>
  <c r="O32" i="97"/>
  <c r="O61" i="97"/>
  <c r="N71" i="97"/>
  <c r="O35" i="98"/>
  <c r="E27" i="105"/>
  <c r="N27" i="105"/>
  <c r="E213" i="69"/>
  <c r="O208" i="69"/>
  <c r="E146" i="69"/>
  <c r="E164" i="69"/>
  <c r="D180" i="76"/>
  <c r="E190" i="76"/>
  <c r="O189" i="76"/>
  <c r="D229" i="76"/>
  <c r="E26" i="97"/>
  <c r="E69" i="97"/>
  <c r="O33" i="97"/>
  <c r="O71" i="97"/>
  <c r="N36" i="98"/>
  <c r="E28" i="105"/>
  <c r="D132" i="76"/>
  <c r="E132" i="76" s="1" a="1"/>
  <c r="E132" i="76" s="1"/>
  <c r="E180" i="76"/>
  <c r="O190" i="76"/>
  <c r="N229" i="76"/>
  <c r="O236" i="76"/>
  <c r="E27" i="97"/>
  <c r="D57" i="97"/>
  <c r="E42" i="98"/>
  <c r="J34" i="98"/>
  <c r="E7" i="98"/>
  <c r="E140" i="76" a="1"/>
  <c r="E140" i="76" s="1"/>
  <c r="E49" i="97" a="1"/>
  <c r="E49" i="97" s="1"/>
  <c r="E130" i="76" a="1"/>
  <c r="E130" i="76" s="1"/>
  <c r="E50" i="97" a="1"/>
  <c r="E50" i="97" s="1"/>
  <c r="E131" i="76" a="1"/>
  <c r="E131" i="76" s="1"/>
  <c r="E142" i="76" a="1"/>
  <c r="E142" i="76" s="1"/>
  <c r="E133" i="76" a="1"/>
  <c r="E133" i="76" s="1"/>
  <c r="E143" i="76" a="1"/>
  <c r="E143" i="76" s="1"/>
  <c r="E47" i="97" a="1"/>
  <c r="E47" i="97" s="1"/>
  <c r="E144" i="76" a="1"/>
  <c r="E144" i="76" s="1"/>
  <c r="E145" i="76" a="1"/>
  <c r="E145" i="76" s="1"/>
  <c r="G20" i="76"/>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N20" i="76"/>
  <c r="N30" i="76" s="1" a="1"/>
  <c r="N30" i="76" s="1"/>
  <c r="N53" i="76" s="1" a="1"/>
  <c r="N53" i="76" s="1"/>
  <c r="N82" i="76" s="1" a="1"/>
  <c r="N82" i="76" s="1"/>
  <c r="O20" i="76"/>
  <c r="O30" i="76" s="1" a="1"/>
  <c r="O30" i="76" s="1"/>
  <c r="O53" i="76" s="1" a="1"/>
  <c r="O53" i="76" s="1"/>
  <c r="O82" i="76" s="1" a="1"/>
  <c r="O82" i="76" s="1"/>
  <c r="P20" i="76"/>
  <c r="P30" i="76" s="1" a="1"/>
  <c r="P30" i="76" s="1"/>
  <c r="P53" i="76" s="1" a="1"/>
  <c r="P53" i="76" s="1"/>
  <c r="P82" i="76" s="1" a="1"/>
  <c r="P82" i="76" s="1"/>
  <c r="E88" i="76"/>
  <c r="E36" i="76"/>
  <c r="E59" i="76"/>
  <c r="E7" i="76"/>
  <c r="D86" i="69"/>
  <c r="N115" i="69"/>
  <c r="D205" i="69"/>
  <c r="D87" i="69"/>
  <c r="N169" i="69"/>
  <c r="D206" i="69"/>
  <c r="N216" i="69"/>
  <c r="N89" i="69"/>
  <c r="D159" i="69"/>
  <c r="N202" i="69"/>
  <c r="O35" i="69" a="1"/>
  <c r="O35" i="69" s="1"/>
  <c r="D211" i="69"/>
  <c r="N211" i="69"/>
  <c r="D109" i="69"/>
  <c r="E109" i="69" s="1" a="1"/>
  <c r="E109" i="69" s="1"/>
  <c r="D164" i="69"/>
  <c r="N204" i="69"/>
  <c r="N159" i="69"/>
  <c r="D108" i="69"/>
  <c r="N86" i="69"/>
  <c r="E179" i="69"/>
  <c r="E124" i="69"/>
  <c r="E95" i="69"/>
  <c r="N35" i="69" a="1"/>
  <c r="N35" i="69" s="1"/>
  <c r="H21" i="70"/>
  <c r="F17" i="70"/>
  <c r="E25" i="69" s="1"/>
  <c r="G17" i="70"/>
  <c r="F25" i="69" s="1"/>
  <c r="H17" i="70"/>
  <c r="G25" i="69" s="1"/>
  <c r="G35" i="69" s="1" a="1"/>
  <c r="G35" i="69" s="1"/>
  <c r="E17" i="70"/>
  <c r="D25" i="69" s="1"/>
  <c r="E68" i="69"/>
  <c r="F68" i="69"/>
  <c r="E16" i="70"/>
  <c r="F16" i="70"/>
  <c r="G16" i="70"/>
  <c r="D61" i="69"/>
  <c r="D110" i="69"/>
  <c r="E110" i="69" s="1" a="1"/>
  <c r="E110" i="69" s="1"/>
  <c r="D62" i="69"/>
  <c r="D63" i="69"/>
  <c r="N88" i="69"/>
  <c r="P35" i="69" a="1"/>
  <c r="P35" i="69" s="1"/>
  <c r="D117" i="69"/>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75" i="105"/>
  <c r="E99" i="105"/>
  <c r="E118" i="105"/>
  <c r="O74" i="97"/>
  <c r="O155" i="105"/>
  <c r="E202" i="105"/>
  <c r="O72" i="97"/>
  <c r="E180" i="105"/>
  <c r="O150" i="105"/>
  <c r="O199" i="105"/>
  <c r="O37" i="97"/>
  <c r="O237" i="76"/>
  <c r="O197" i="105"/>
  <c r="O36" i="98"/>
  <c r="E93" i="105"/>
  <c r="E94" i="105"/>
  <c r="E116" i="105"/>
  <c r="O214" i="69"/>
  <c r="O113" i="105"/>
  <c r="O153" i="105"/>
  <c r="O30" i="105"/>
  <c r="E178" i="105"/>
  <c r="E78" i="105"/>
  <c r="E199" i="105"/>
  <c r="O33" i="105"/>
  <c r="O212" i="69"/>
  <c r="O75" i="105"/>
  <c r="E97" i="105"/>
  <c r="O77" i="105"/>
  <c r="E214" i="69"/>
  <c r="O200" i="76"/>
  <c r="E196" i="76"/>
  <c r="E217" i="69"/>
  <c r="E150" i="105"/>
  <c r="E153" i="105"/>
  <c r="E115" i="105"/>
  <c r="O34" i="97"/>
  <c r="E200" i="105"/>
  <c r="O152" i="105"/>
  <c r="E150" i="69"/>
  <c r="E167" i="69"/>
  <c r="E181" i="76"/>
  <c r="O116" i="105"/>
  <c r="E152" i="105"/>
  <c r="E240" i="76"/>
  <c r="E29" i="98"/>
  <c r="E36" i="97"/>
  <c r="E170" i="69"/>
  <c r="E237" i="76"/>
  <c r="O166" i="69"/>
  <c r="E235" i="76"/>
  <c r="O36" i="97"/>
  <c r="O29" i="105"/>
  <c r="E111" i="105"/>
  <c r="E41" i="105" a="1"/>
  <c r="E41" i="105" s="1"/>
  <c r="O148" i="105"/>
  <c r="E112" i="105"/>
  <c r="E195" i="105"/>
  <c r="O149" i="105"/>
  <c r="E170" i="76"/>
  <c r="O195" i="76"/>
  <c r="E147" i="69"/>
  <c r="O74" i="105"/>
  <c r="O73" i="105"/>
  <c r="O112" i="105"/>
  <c r="E148" i="105"/>
  <c r="E177" i="105"/>
  <c r="E176" i="105"/>
  <c r="O196" i="105"/>
  <c r="O111" i="105"/>
  <c r="E74" i="105"/>
  <c r="O195" i="105"/>
  <c r="E196" i="105"/>
  <c r="E148" i="69"/>
  <c r="O167" i="69"/>
  <c r="E165" i="69"/>
  <c r="E229" i="76"/>
  <c r="O189" i="105"/>
  <c r="E170" i="105"/>
  <c r="O105" i="105"/>
  <c r="E189" i="105"/>
  <c r="O142" i="105"/>
  <c r="E105" i="105"/>
  <c r="E86" i="105"/>
  <c r="E142" i="105"/>
  <c r="E67" i="105"/>
  <c r="O67" i="105"/>
  <c r="O159" i="69"/>
  <c r="E140" i="69"/>
  <c r="O206" i="69"/>
  <c r="O22" i="105"/>
  <c r="O55" i="98"/>
  <c r="E241" i="76"/>
  <c r="O201" i="105"/>
  <c r="E182" i="105"/>
  <c r="O117" i="105"/>
  <c r="E201" i="105"/>
  <c r="O154" i="105"/>
  <c r="E117" i="105"/>
  <c r="E98" i="105"/>
  <c r="E79" i="105"/>
  <c r="O79" i="105"/>
  <c r="E154" i="105"/>
  <c r="O229" i="76"/>
  <c r="O27" i="98"/>
  <c r="E22" i="105"/>
  <c r="E55" i="98"/>
  <c r="E27" i="98"/>
  <c r="E206" i="69"/>
  <c r="F20" i="69"/>
  <c r="F35" i="69" s="1" a="1"/>
  <c r="F35" i="69" s="1"/>
  <c r="G116" i="69" s="1" a="1"/>
  <c r="G116" i="69" s="1"/>
  <c r="H168" i="69" s="1" a="1"/>
  <c r="H168" i="69" s="1"/>
  <c r="H215" i="69" s="1" a="1"/>
  <c r="H215" i="69" s="1"/>
  <c r="F20" i="76"/>
  <c r="E20" i="69"/>
  <c r="E35" i="69" s="1" a="1"/>
  <c r="E35" i="69" s="1"/>
  <c r="F116" i="69" s="1" a="1"/>
  <c r="F116" i="69" s="1"/>
  <c r="G168" i="69" s="1" a="1"/>
  <c r="G168" i="69" s="1"/>
  <c r="G215" i="69" s="1" a="1"/>
  <c r="G215" i="69" s="1"/>
  <c r="E20" i="76"/>
  <c r="E30" i="76" a="1"/>
  <c r="E30" i="76" s="1"/>
  <c r="E53" i="76" s="1" a="1"/>
  <c r="E53" i="76" s="1"/>
  <c r="E82" i="76" s="1" a="1"/>
  <c r="E82" i="76" s="1"/>
  <c r="F109" i="76" s="1" a="1"/>
  <c r="F109" i="76" s="1"/>
  <c r="G30" i="76" a="1"/>
  <c r="G30" i="76" s="1"/>
  <c r="G53" i="76" s="1" a="1"/>
  <c r="G53" i="76" s="1"/>
  <c r="G82" i="76" s="1" a="1"/>
  <c r="G82" i="76" s="1"/>
  <c r="H111" i="76" s="1" a="1"/>
  <c r="H111" i="76" s="1"/>
  <c r="H23" i="108" s="1"/>
  <c r="D20" i="69"/>
  <c r="D35" i="69" s="1" a="1"/>
  <c r="D35" i="69" s="1"/>
  <c r="D20" i="76"/>
  <c r="D30" i="76" s="1" a="1"/>
  <c r="D30" i="76" s="1"/>
  <c r="D53" i="76" s="1" a="1"/>
  <c r="D53" i="76" s="1"/>
  <c r="D82" i="76" s="1" a="1"/>
  <c r="D82" i="76" s="1"/>
  <c r="Q20" i="69"/>
  <c r="Q35" i="69" s="1" a="1"/>
  <c r="Q35" i="69" s="1"/>
  <c r="Q20" i="76"/>
  <c r="Q30" i="76" s="1" a="1"/>
  <c r="Q30" i="76" s="1"/>
  <c r="Q53" i="76" s="1" a="1"/>
  <c r="Q53" i="76" s="1"/>
  <c r="Q82" i="76" s="1" a="1"/>
  <c r="Q82" i="76" s="1"/>
  <c r="Q109" i="76" a="1"/>
  <c r="Q109" i="76" s="1"/>
  <c r="Q151" i="76" s="1" a="1"/>
  <c r="Q151" i="76" s="1"/>
  <c r="Q111" i="76" a="1"/>
  <c r="Q111" i="76" s="1"/>
  <c r="Q23" i="108" s="1"/>
  <c r="Q108" i="76" a="1"/>
  <c r="Q108" i="76" s="1"/>
  <c r="Q150" i="76" s="1" a="1"/>
  <c r="Q150" i="76" s="1"/>
  <c r="Q110" i="76" a="1"/>
  <c r="Q110" i="76" s="1"/>
  <c r="Q152" i="76" s="1" a="1"/>
  <c r="Q152" i="76" s="1"/>
  <c r="P109" i="76" a="1"/>
  <c r="P109" i="76" s="1"/>
  <c r="P151" i="76" s="1" a="1"/>
  <c r="P151" i="76" s="1"/>
  <c r="P111" i="76" a="1"/>
  <c r="P111" i="76" s="1"/>
  <c r="P23" i="108"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23" i="108" s="1"/>
  <c r="O108" i="76" a="1"/>
  <c r="O108" i="76" s="1"/>
  <c r="O150" i="76" s="1" a="1"/>
  <c r="O150" i="76" s="1"/>
  <c r="F30" i="76" a="1"/>
  <c r="F30" i="76" s="1"/>
  <c r="F53" i="76" s="1" a="1"/>
  <c r="F53" i="76" s="1"/>
  <c r="F82" i="76" s="1" a="1"/>
  <c r="F82"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I168" i="69" s="1" a="1"/>
  <c r="I168" i="69" s="1"/>
  <c r="I215" i="69" s="1" a="1"/>
  <c r="I215" i="69" s="1"/>
  <c r="O117" i="69" a="1"/>
  <c r="O117" i="69" s="1"/>
  <c r="R116" i="69" l="1" a="1"/>
  <c r="R116" i="69" s="1"/>
  <c r="R88" i="69" a="1"/>
  <c r="R88" i="69" s="1"/>
  <c r="R87" i="69" a="1"/>
  <c r="R87" i="69" s="1"/>
  <c r="R89" i="69" a="1"/>
  <c r="R89" i="69" s="1"/>
  <c r="R86" i="69" a="1"/>
  <c r="R86" i="69" s="1"/>
  <c r="G117" i="69" a="1"/>
  <c r="G117" i="69" s="1"/>
  <c r="H173" i="69" s="1" a="1"/>
  <c r="H173" i="69" s="1"/>
  <c r="H220" i="69" s="1" a="1"/>
  <c r="H220" i="69" s="1"/>
  <c r="R198" i="76" a="1"/>
  <c r="R198" i="76"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8" i="76" a="1"/>
  <c r="P198"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8" i="76" a="1"/>
  <c r="Q198"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P220" i="69" a="1"/>
  <c r="P220" i="69" s="1"/>
  <c r="Q215" i="69" a="1"/>
  <c r="Q215" i="69" s="1"/>
  <c r="Q220" i="69" a="1"/>
  <c r="Q220" i="69" s="1"/>
  <c r="R215" i="69" a="1"/>
  <c r="R215" i="69" s="1"/>
  <c r="P215" i="69" a="1"/>
  <c r="P215" i="69" s="1"/>
  <c r="S215" i="69" a="1"/>
  <c r="S215" i="69" s="1"/>
  <c r="R220" i="69" a="1"/>
  <c r="R220" i="69" s="1"/>
  <c r="R117" i="69" a="1"/>
  <c r="R117" i="69" s="1"/>
  <c r="O20" i="106"/>
  <c r="N19" i="107"/>
  <c r="N24" i="107" s="1" a="1"/>
  <c r="N24" i="107" s="1"/>
  <c r="H20" i="106"/>
  <c r="H19" i="107"/>
  <c r="H24" i="107" s="1" a="1"/>
  <c r="H24" i="107" s="1"/>
  <c r="P20" i="106"/>
  <c r="O19" i="107"/>
  <c r="O24" i="107" s="1" a="1"/>
  <c r="O24" i="107" s="1"/>
  <c r="F117" i="69" a="1"/>
  <c r="F117" i="69" s="1"/>
  <c r="G173" i="69" s="1" a="1"/>
  <c r="G173" i="69" s="1"/>
  <c r="G220" i="69" s="1" a="1"/>
  <c r="G220" i="69" s="1"/>
  <c r="Q20" i="106"/>
  <c r="P19" i="107"/>
  <c r="P24" i="107" s="1" a="1"/>
  <c r="P24" i="107" s="1"/>
  <c r="Q24" i="97"/>
  <c r="Q59" i="97" s="1" a="1"/>
  <c r="Q59" i="97" s="1"/>
  <c r="Q25" i="97"/>
  <c r="Q60" i="97" s="1" a="1"/>
  <c r="Q60" i="97" s="1"/>
  <c r="P24" i="97"/>
  <c r="P59" i="97" s="1" a="1"/>
  <c r="P59" i="97" s="1"/>
  <c r="Q23" i="97"/>
  <c r="Q58" i="97" s="1" a="1"/>
  <c r="Q58" i="97" s="1"/>
  <c r="R24" i="97"/>
  <c r="R59" i="97" s="1" a="1"/>
  <c r="R59" i="97" s="1"/>
  <c r="R25" i="97"/>
  <c r="R60" i="97" s="1" a="1"/>
  <c r="R60" i="97" s="1"/>
  <c r="R22" i="97"/>
  <c r="R57" i="97" s="1" a="1"/>
  <c r="R57" i="97" s="1"/>
  <c r="R23" i="97"/>
  <c r="R58" i="97" s="1" a="1"/>
  <c r="R58" i="97" s="1"/>
  <c r="Q22" i="97"/>
  <c r="Q57" i="97" s="1" a="1"/>
  <c r="Q57" i="97" s="1"/>
  <c r="P22" i="97"/>
  <c r="P57" i="97" s="1" a="1"/>
  <c r="P57" i="97" s="1"/>
  <c r="P25" i="97"/>
  <c r="P60" i="97" s="1" a="1"/>
  <c r="P60" i="97" s="1"/>
  <c r="P23" i="97"/>
  <c r="P58" i="97" s="1" a="1"/>
  <c r="P58" i="97" s="1"/>
  <c r="F151" i="76" a="1"/>
  <c r="F151" i="76" s="1"/>
  <c r="G23" i="97"/>
  <c r="G58" i="97" s="1" a="1"/>
  <c r="G58" i="97" s="1"/>
  <c r="I25" i="97"/>
  <c r="I60" i="97" s="1" a="1"/>
  <c r="I60" i="97" s="1"/>
  <c r="F108" i="76" a="1"/>
  <c r="F108" i="76" s="1"/>
  <c r="F110" i="76" a="1"/>
  <c r="F110" i="76" s="1"/>
  <c r="F111" i="76" a="1"/>
  <c r="F111" i="76" s="1"/>
  <c r="F23" i="108"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23" i="108" s="1"/>
  <c r="G108" i="76" a="1"/>
  <c r="G108" i="76" s="1"/>
  <c r="G110" i="76" a="1"/>
  <c r="G110" i="76" s="1"/>
  <c r="G115" i="69" a="1"/>
  <c r="G115" i="69" s="1"/>
  <c r="H163" i="69" s="1" a="1"/>
  <c r="H163" i="69" s="1"/>
  <c r="H210" i="69" s="1" a="1"/>
  <c r="H210" i="69" s="1"/>
  <c r="E116" i="69" a="1"/>
  <c r="E116" i="69" s="1"/>
  <c r="F168" i="69" s="1" a="1"/>
  <c r="F168" i="69" s="1"/>
  <c r="F215" i="69" s="1" a="1"/>
  <c r="F215" i="69" s="1"/>
  <c r="R109" i="76" a="1"/>
  <c r="R109" i="76" s="1"/>
  <c r="R151" i="76" s="1" a="1"/>
  <c r="R151" i="76" s="1"/>
  <c r="R108" i="76" a="1"/>
  <c r="R108" i="76" s="1"/>
  <c r="R150" i="76" s="1" a="1"/>
  <c r="R150" i="76" s="1"/>
  <c r="R111" i="76" a="1"/>
  <c r="R111" i="76" s="1"/>
  <c r="R23" i="108" s="1"/>
  <c r="R110" i="76" a="1"/>
  <c r="R110" i="76" s="1"/>
  <c r="R152" i="76" s="1" a="1"/>
  <c r="R152" i="76" s="1"/>
  <c r="E110" i="76" a="1"/>
  <c r="E110" i="76" s="1"/>
  <c r="E109" i="76" a="1"/>
  <c r="E109" i="76" s="1"/>
  <c r="E111" i="76" a="1"/>
  <c r="E111" i="76" s="1"/>
  <c r="E23" i="108"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S201" i="76" l="1"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S198" i="76" a="1"/>
  <c r="S198" i="76" s="1"/>
  <c r="Q40" i="97"/>
  <c r="Q36" i="105"/>
  <c r="R40" i="97"/>
  <c r="R36" i="105"/>
  <c r="P35" i="97"/>
  <c r="P31" i="105"/>
  <c r="Q28" i="105"/>
  <c r="G198" i="76" a="1"/>
  <c r="G198" i="76" s="1"/>
  <c r="Q30" i="97"/>
  <c r="Q26" i="105"/>
  <c r="Q31" i="105"/>
  <c r="Q35" i="97"/>
  <c r="P36" i="105"/>
  <c r="P40" i="97"/>
  <c r="R31" i="105"/>
  <c r="R35" i="97"/>
  <c r="S220" i="69" a="1"/>
  <c r="S220" i="69" s="1"/>
  <c r="P210" i="69" a="1"/>
  <c r="P210" i="69" s="1"/>
  <c r="S210" i="69" a="1"/>
  <c r="S210" i="69" s="1"/>
  <c r="Q210" i="69" a="1"/>
  <c r="Q210" i="69" s="1"/>
  <c r="R210" i="69" a="1"/>
  <c r="R210" i="69" s="1"/>
  <c r="E20" i="106"/>
  <c r="E19" i="107"/>
  <c r="E24" i="107" s="1" a="1"/>
  <c r="E24" i="107" s="1"/>
  <c r="R20" i="106"/>
  <c r="Q19" i="107"/>
  <c r="Q24" i="107" s="1" a="1"/>
  <c r="Q24" i="107" s="1"/>
  <c r="N26" i="107" s="1"/>
  <c r="R38" i="107" s="1"/>
  <c r="N45" i="107" s="1" a="1"/>
  <c r="N45" i="107" s="1"/>
  <c r="F20" i="106"/>
  <c r="F19" i="107"/>
  <c r="F24" i="107" s="1" a="1"/>
  <c r="F24" i="107" s="1"/>
  <c r="G20" i="106"/>
  <c r="G19" i="107"/>
  <c r="G24" i="107" s="1" a="1"/>
  <c r="G24" i="107" s="1"/>
  <c r="Q27" i="105"/>
  <c r="G194" i="76" a="1"/>
  <c r="G194" i="76" s="1"/>
  <c r="G28" i="98" s="1"/>
  <c r="G195" i="76" a="1"/>
  <c r="G195" i="76" s="1"/>
  <c r="G28" i="105" s="1"/>
  <c r="G196" i="76" a="1"/>
  <c r="G196" i="76" s="1"/>
  <c r="G29" i="105" s="1"/>
  <c r="Q29" i="105"/>
  <c r="Q30" i="105"/>
  <c r="G197" i="76" a="1"/>
  <c r="G197" i="76" s="1"/>
  <c r="G30" i="105" s="1"/>
  <c r="S24" i="97"/>
  <c r="S59" i="97" s="1" a="1"/>
  <c r="S59" i="97" s="1"/>
  <c r="S22" i="97"/>
  <c r="S57" i="97" s="1" a="1"/>
  <c r="S57" i="97" s="1"/>
  <c r="S25" i="97"/>
  <c r="S60" i="97" s="1" a="1"/>
  <c r="S60" i="97" s="1"/>
  <c r="S23" i="97"/>
  <c r="S58" i="97" s="1" a="1"/>
  <c r="S58" i="97" s="1"/>
  <c r="E150" i="76" a="1"/>
  <c r="E150" i="76" s="1"/>
  <c r="F22" i="97"/>
  <c r="F57" i="97" s="1" a="1"/>
  <c r="F57" i="97" s="1"/>
  <c r="F25" i="97"/>
  <c r="F60" i="97" s="1" a="1"/>
  <c r="F60" i="97" s="1"/>
  <c r="E151" i="76" a="1"/>
  <c r="E151" i="76" s="1"/>
  <c r="F23" i="97"/>
  <c r="F58" i="97" s="1" a="1"/>
  <c r="F58" i="97" s="1"/>
  <c r="E152" i="76" a="1"/>
  <c r="E152" i="76" s="1"/>
  <c r="F24" i="97"/>
  <c r="F59" i="97" s="1" a="1"/>
  <c r="F59" i="97" s="1"/>
  <c r="H152" i="76" a="1"/>
  <c r="H152" i="76" s="1"/>
  <c r="I24" i="97"/>
  <c r="I59" i="97" s="1" a="1"/>
  <c r="I59" i="97" s="1"/>
  <c r="H151" i="76" a="1"/>
  <c r="H151" i="76" s="1"/>
  <c r="I23" i="97"/>
  <c r="I58" i="97" s="1" a="1"/>
  <c r="I58" i="97" s="1"/>
  <c r="G25" i="97"/>
  <c r="G60" i="97" s="1" a="1"/>
  <c r="G60" i="97" s="1"/>
  <c r="F152" i="76" a="1"/>
  <c r="F152" i="76" s="1"/>
  <c r="G203" i="76" s="1" a="1"/>
  <c r="G203" i="76" s="1"/>
  <c r="G24" i="97"/>
  <c r="G59" i="97" s="1" a="1"/>
  <c r="G59" i="97" s="1"/>
  <c r="G150" i="76" a="1"/>
  <c r="G150" i="76" s="1"/>
  <c r="H193" i="76" s="1" a="1"/>
  <c r="H193" i="76" s="1"/>
  <c r="H22" i="97"/>
  <c r="H57" i="97" s="1" a="1"/>
  <c r="H57" i="97" s="1"/>
  <c r="G151" i="76" a="1"/>
  <c r="G151" i="76" s="1"/>
  <c r="H23" i="97"/>
  <c r="H58" i="97" s="1" a="1"/>
  <c r="H58" i="97" s="1"/>
  <c r="G152" i="76" a="1"/>
  <c r="G152" i="76" s="1"/>
  <c r="H24" i="97"/>
  <c r="H59" i="97" s="1" a="1"/>
  <c r="H59" i="97" s="1"/>
  <c r="H150" i="76" a="1"/>
  <c r="H150" i="76" s="1"/>
  <c r="I22" i="97"/>
  <c r="I57" i="97" s="1" a="1"/>
  <c r="I57" i="97" s="1"/>
  <c r="Q33" i="97"/>
  <c r="Q68" i="97" s="1" a="1"/>
  <c r="Q68" i="97" s="1"/>
  <c r="H25" i="97"/>
  <c r="H60" i="97" s="1" a="1"/>
  <c r="H60" i="97" s="1"/>
  <c r="F150" i="76" a="1"/>
  <c r="F150" i="76" s="1"/>
  <c r="G193" i="76" s="1" a="1"/>
  <c r="G193" i="76" s="1"/>
  <c r="G22" i="97"/>
  <c r="G57" i="97" s="1" a="1"/>
  <c r="G57" i="97" s="1"/>
  <c r="Q32" i="97"/>
  <c r="Q67" i="97" s="1" a="1"/>
  <c r="Q67" i="97" s="1"/>
  <c r="S30" i="97" l="1"/>
  <c r="S26" i="105"/>
  <c r="R33" i="105"/>
  <c r="H203" i="76" a="1"/>
  <c r="H203" i="76" s="1"/>
  <c r="F195" i="76" a="1"/>
  <c r="F195" i="76" s="1"/>
  <c r="F28" i="105" s="1"/>
  <c r="F198" i="76" a="1"/>
  <c r="F198" i="76" s="1"/>
  <c r="G35" i="97"/>
  <c r="G31" i="105"/>
  <c r="Q111" i="105" a="1"/>
  <c r="Q111" i="105" s="1"/>
  <c r="Q195" i="105" a="1"/>
  <c r="Q195" i="105" s="1"/>
  <c r="Q148" i="105" a="1"/>
  <c r="Q148" i="105" s="1"/>
  <c r="P198" i="105" a="1"/>
  <c r="P198" i="105" s="1"/>
  <c r="P114" i="105" a="1"/>
  <c r="P114" i="105" s="1"/>
  <c r="P151" i="105" a="1"/>
  <c r="P151" i="105" s="1"/>
  <c r="R29" i="105"/>
  <c r="H198" i="76" a="1"/>
  <c r="H198" i="76" s="1"/>
  <c r="F191" i="76" a="1"/>
  <c r="F191" i="76" s="1"/>
  <c r="F24"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R198" i="105" a="1"/>
  <c r="R198" i="105" s="1"/>
  <c r="R114" i="105" a="1"/>
  <c r="R114" i="105" s="1"/>
  <c r="R151" i="105" a="1"/>
  <c r="R151" i="105" s="1"/>
  <c r="S31" i="105"/>
  <c r="S35" i="97"/>
  <c r="I197" i="76" a="1"/>
  <c r="I197" i="76" s="1"/>
  <c r="I30" i="105" s="1"/>
  <c r="I113" i="105" s="1" a="1"/>
  <c r="I113" i="105" s="1"/>
  <c r="I198" i="76" a="1"/>
  <c r="I198" i="76" s="1"/>
  <c r="P156" i="105" a="1"/>
  <c r="P156" i="105" s="1"/>
  <c r="P203" i="105" a="1"/>
  <c r="P203" i="105" s="1"/>
  <c r="P119" i="105" a="1"/>
  <c r="P119" i="105" s="1"/>
  <c r="G30" i="97"/>
  <c r="G26" i="105"/>
  <c r="I202" i="76" a="1"/>
  <c r="I202" i="76" s="1"/>
  <c r="I35" i="105" s="1"/>
  <c r="I118" i="105" s="1" a="1"/>
  <c r="I118" i="105" s="1"/>
  <c r="I203" i="76" a="1"/>
  <c r="I203" i="76" s="1"/>
  <c r="S40" i="97"/>
  <c r="S36" i="105"/>
  <c r="Q114" i="105" a="1"/>
  <c r="Q114" i="105" s="1"/>
  <c r="Q151" i="105" a="1"/>
  <c r="Q151" i="105" s="1"/>
  <c r="Q198" i="105" a="1"/>
  <c r="Q198" i="105" s="1"/>
  <c r="S23" i="105"/>
  <c r="S190" i="105" s="1" a="1"/>
  <c r="S190" i="105" s="1"/>
  <c r="I193" i="76" a="1"/>
  <c r="I193" i="76" s="1"/>
  <c r="F200" i="76" a="1"/>
  <c r="F200" i="76" s="1"/>
  <c r="F33" i="105" s="1"/>
  <c r="F153" i="105" s="1" a="1"/>
  <c r="F153" i="105" s="1"/>
  <c r="F203" i="76" a="1"/>
  <c r="F203" i="76" s="1"/>
  <c r="Q109" i="105" a="1"/>
  <c r="Q109" i="105" s="1"/>
  <c r="Q146" i="105" a="1"/>
  <c r="Q146" i="105" s="1"/>
  <c r="Q193" i="105" a="1"/>
  <c r="Q193" i="105" s="1"/>
  <c r="Q197" i="105" a="1"/>
  <c r="Q197" i="105" s="1"/>
  <c r="Q150" i="105" a="1"/>
  <c r="Q150" i="105" s="1"/>
  <c r="Q113" i="105" a="1"/>
  <c r="Q113" i="105" s="1"/>
  <c r="R112" i="105" a="1"/>
  <c r="R112" i="105" s="1"/>
  <c r="R149" i="105" a="1"/>
  <c r="R149" i="105" s="1"/>
  <c r="R196" i="105" a="1"/>
  <c r="R196" i="105" s="1"/>
  <c r="Q112" i="105" a="1"/>
  <c r="Q112" i="105" s="1"/>
  <c r="Q196" i="105" a="1"/>
  <c r="Q196" i="105" s="1"/>
  <c r="Q149" i="105" a="1"/>
  <c r="Q149" i="105" s="1"/>
  <c r="G149" i="105" a="1"/>
  <c r="G149" i="105" s="1"/>
  <c r="G112" i="105" a="1"/>
  <c r="G112" i="105" s="1"/>
  <c r="G196" i="105" a="1"/>
  <c r="G196" i="105" s="1"/>
  <c r="F107" i="105" a="1"/>
  <c r="F107" i="105" s="1"/>
  <c r="F144" i="105" a="1"/>
  <c r="F144" i="105" s="1"/>
  <c r="F191" i="105" a="1"/>
  <c r="F191" i="105" s="1"/>
  <c r="G111" i="105" a="1"/>
  <c r="G111" i="105" s="1"/>
  <c r="G148" i="105" a="1"/>
  <c r="G148" i="105" s="1"/>
  <c r="G195" i="105" a="1"/>
  <c r="G195" i="105" s="1"/>
  <c r="R200" i="105" a="1"/>
  <c r="R200" i="105" s="1"/>
  <c r="R153" i="105" a="1"/>
  <c r="R153" i="105" s="1"/>
  <c r="R116" i="105" a="1"/>
  <c r="R116" i="105" s="1"/>
  <c r="F111" i="105" a="1"/>
  <c r="F111" i="105" s="1"/>
  <c r="F195" i="105" a="1"/>
  <c r="F195" i="105" s="1"/>
  <c r="F148" i="105" a="1"/>
  <c r="F148" i="105" s="1"/>
  <c r="G113" i="105" a="1"/>
  <c r="G113" i="105" s="1"/>
  <c r="G150" i="105" a="1"/>
  <c r="G15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P27" i="98"/>
  <c r="F189" i="76" a="1"/>
  <c r="F189" i="76" s="1"/>
  <c r="F22" i="105" s="1"/>
  <c r="R27" i="98"/>
  <c r="R22" i="105"/>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28" i="97"/>
  <c r="F63" i="97" s="1" a="1"/>
  <c r="F63" i="97" s="1"/>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26" i="97"/>
  <c r="R61" i="97" s="1"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I39" i="97"/>
  <c r="I74" i="97" s="1" a="1"/>
  <c r="I74" i="97" s="1"/>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F32" i="97" l="1"/>
  <c r="F67" i="97" s="1" a="1"/>
  <c r="F67" i="97" s="1"/>
  <c r="F37" i="97"/>
  <c r="F72" i="97" s="1" a="1"/>
  <c r="F72" i="97" s="1"/>
  <c r="I155" i="105" a="1"/>
  <c r="I155" i="105" s="1"/>
  <c r="F116" i="105" a="1"/>
  <c r="F116" i="105" s="1"/>
  <c r="F200" i="105" a="1"/>
  <c r="F200" i="105" s="1"/>
  <c r="I150" i="105" a="1"/>
  <c r="I150" i="105" s="1"/>
  <c r="H146" i="105" a="1"/>
  <c r="H146" i="105" s="1"/>
  <c r="H193" i="105" a="1"/>
  <c r="H193" i="105" s="1"/>
  <c r="H109" i="105" a="1"/>
  <c r="H109" i="105" s="1"/>
  <c r="I26" i="105"/>
  <c r="I30" i="97"/>
  <c r="I35" i="97"/>
  <c r="I31" i="105"/>
  <c r="S106" i="105" a="1"/>
  <c r="S106" i="105" s="1"/>
  <c r="G203" i="105" a="1"/>
  <c r="G203" i="105" s="1"/>
  <c r="G119" i="105" a="1"/>
  <c r="G119" i="105" s="1"/>
  <c r="G156" i="105" a="1"/>
  <c r="G156" i="105" s="1"/>
  <c r="S143" i="105" a="1"/>
  <c r="S143" i="105" s="1"/>
  <c r="I202" i="105" a="1"/>
  <c r="I202" i="105" s="1"/>
  <c r="S151" i="105" a="1"/>
  <c r="S151" i="105" s="1"/>
  <c r="S114" i="105" a="1"/>
  <c r="S114" i="105" s="1"/>
  <c r="S198" i="105" a="1"/>
  <c r="S198" i="105" s="1"/>
  <c r="S156" i="105" a="1"/>
  <c r="S156" i="105" s="1"/>
  <c r="S119" i="105" a="1"/>
  <c r="S119" i="105" s="1"/>
  <c r="S203" i="105" a="1"/>
  <c r="S203" i="105" s="1"/>
  <c r="G151" i="105" a="1"/>
  <c r="G151" i="105" s="1"/>
  <c r="G198" i="105" a="1"/>
  <c r="G198" i="105" s="1"/>
  <c r="G114" i="105" a="1"/>
  <c r="G114" i="105" s="1"/>
  <c r="I40" i="97"/>
  <c r="I36" i="105"/>
  <c r="F31" i="105"/>
  <c r="F35" i="97"/>
  <c r="G109" i="105" a="1"/>
  <c r="G109" i="105" s="1"/>
  <c r="G146" i="105" a="1"/>
  <c r="G146" i="105" s="1"/>
  <c r="G193" i="105" a="1"/>
  <c r="G193" i="105" s="1"/>
  <c r="F30" i="97"/>
  <c r="F26" i="105"/>
  <c r="H36" i="105"/>
  <c r="H40" i="97"/>
  <c r="I34" i="97"/>
  <c r="I69" i="97" s="1" a="1"/>
  <c r="I69" i="97" s="1"/>
  <c r="I197" i="105" a="1"/>
  <c r="I197" i="105" s="1"/>
  <c r="H31" i="105"/>
  <c r="H35" i="97"/>
  <c r="S146" i="105" a="1"/>
  <c r="S146" i="105" s="1"/>
  <c r="S109" i="105" a="1"/>
  <c r="S109" i="105" s="1"/>
  <c r="S193" i="105" a="1"/>
  <c r="S193" i="105" s="1"/>
  <c r="F40" i="97"/>
  <c r="F36" i="105"/>
  <c r="I144" i="105" a="1"/>
  <c r="I144" i="105" s="1"/>
  <c r="I107" i="105" a="1"/>
  <c r="I107" i="105" s="1"/>
  <c r="I191" i="105" a="1"/>
  <c r="I191" i="105" s="1"/>
  <c r="P202" i="105" a="1"/>
  <c r="P202" i="105" s="1"/>
  <c r="P155" i="105" a="1"/>
  <c r="P155" i="105" s="1"/>
  <c r="P118" i="105" a="1"/>
  <c r="P118" i="105" s="1"/>
  <c r="S202" i="105" a="1"/>
  <c r="S202" i="105" s="1"/>
  <c r="S155" i="105" a="1"/>
  <c r="S155" i="105" s="1"/>
  <c r="S118" i="105" a="1"/>
  <c r="S118" i="105" s="1"/>
  <c r="G200" i="105" a="1"/>
  <c r="G200" i="105" s="1"/>
  <c r="G116" i="105" a="1"/>
  <c r="G116" i="105" s="1"/>
  <c r="G153" i="105" a="1"/>
  <c r="G153" i="105" s="1"/>
  <c r="R118" i="105" a="1"/>
  <c r="R118" i="105" s="1"/>
  <c r="R155" i="105" a="1"/>
  <c r="R155" i="105" s="1"/>
  <c r="R202" i="105" a="1"/>
  <c r="R202" i="105" s="1"/>
  <c r="P106" i="105" a="1"/>
  <c r="P106" i="105" s="1"/>
  <c r="P143" i="105" a="1"/>
  <c r="P143" i="105" s="1"/>
  <c r="P190" i="105" a="1"/>
  <c r="P190" i="105" s="1"/>
  <c r="H154" i="105" a="1"/>
  <c r="H154" i="105" s="1"/>
  <c r="H201" i="105" a="1"/>
  <c r="H201" i="105" s="1"/>
  <c r="H117" i="105" a="1"/>
  <c r="H117" i="105" s="1"/>
  <c r="P197" i="105" a="1"/>
  <c r="P197" i="105" s="1"/>
  <c r="P150" i="105" a="1"/>
  <c r="P150" i="105" s="1"/>
  <c r="P113" i="105" a="1"/>
  <c r="P113" i="105" s="1"/>
  <c r="I111" i="105" a="1"/>
  <c r="I111" i="105" s="1"/>
  <c r="I148" i="105" a="1"/>
  <c r="I148" i="105" s="1"/>
  <c r="I195" i="105" a="1"/>
  <c r="I195" i="105" s="1"/>
  <c r="G118" i="105" a="1"/>
  <c r="G118" i="105" s="1"/>
  <c r="G155" i="105" a="1"/>
  <c r="G155" i="105" s="1"/>
  <c r="G202" i="105" a="1"/>
  <c r="G202" i="105" s="1"/>
  <c r="R197" i="105" a="1"/>
  <c r="R197" i="105" s="1"/>
  <c r="R150" i="105" a="1"/>
  <c r="R150" i="105" s="1"/>
  <c r="R113" i="105" a="1"/>
  <c r="R113" i="105" s="1"/>
  <c r="P112" i="105" a="1"/>
  <c r="P112" i="105" s="1"/>
  <c r="P196" i="105" a="1"/>
  <c r="P196" i="105" s="1"/>
  <c r="P149" i="105" a="1"/>
  <c r="P149" i="105" s="1"/>
  <c r="P107" i="105" a="1"/>
  <c r="P107" i="105" s="1"/>
  <c r="P144" i="105" a="1"/>
  <c r="P144" i="105" s="1"/>
  <c r="P191" i="105" a="1"/>
  <c r="P191" i="105" s="1"/>
  <c r="S112" i="105" a="1"/>
  <c r="S112" i="105" s="1"/>
  <c r="S149" i="105" a="1"/>
  <c r="S149" i="105" s="1"/>
  <c r="S196" i="105" a="1"/>
  <c r="S196" i="105" s="1"/>
  <c r="Q118" i="105" a="1"/>
  <c r="Q118" i="105" s="1"/>
  <c r="Q202" i="105" a="1"/>
  <c r="Q202" i="105" s="1"/>
  <c r="Q155" i="105" a="1"/>
  <c r="Q155" i="105" s="1"/>
  <c r="Q108" i="105" a="1"/>
  <c r="Q108" i="105" s="1"/>
  <c r="Q145" i="105" a="1"/>
  <c r="Q145" i="105" s="1"/>
  <c r="Q192" i="105" a="1"/>
  <c r="Q192" i="105" s="1"/>
  <c r="I190" i="105" a="1"/>
  <c r="I190" i="105" s="1"/>
  <c r="I106" i="105" a="1"/>
  <c r="I106" i="105" s="1"/>
  <c r="I143" i="105" a="1"/>
  <c r="I143" i="105" s="1"/>
  <c r="R108" i="105" a="1"/>
  <c r="R108" i="105" s="1"/>
  <c r="R192" i="105" a="1"/>
  <c r="R192" i="105" s="1"/>
  <c r="R145" i="105" a="1"/>
  <c r="R145" i="105" s="1"/>
  <c r="S200" i="105" a="1"/>
  <c r="S200" i="105" s="1"/>
  <c r="S116" i="105" a="1"/>
  <c r="S116" i="105" s="1"/>
  <c r="S153" i="105" a="1"/>
  <c r="S153" i="105" s="1"/>
  <c r="I149" i="105" a="1"/>
  <c r="I149" i="105" s="1"/>
  <c r="I112" i="105" a="1"/>
  <c r="I112" i="105" s="1"/>
  <c r="I196" i="105" a="1"/>
  <c r="I196" i="105" s="1"/>
  <c r="S107" i="105" a="1"/>
  <c r="S107" i="105" s="1"/>
  <c r="S144" i="105" a="1"/>
  <c r="S144" i="105" s="1"/>
  <c r="S191" i="105" a="1"/>
  <c r="S191" i="105" s="1"/>
  <c r="S197" i="105" a="1"/>
  <c r="S197" i="105" s="1"/>
  <c r="S150" i="105" a="1"/>
  <c r="S150" i="105" s="1"/>
  <c r="S113" i="105" a="1"/>
  <c r="S113" i="105" s="1"/>
  <c r="P195" i="105" a="1"/>
  <c r="P195" i="105" s="1"/>
  <c r="P148" i="105" a="1"/>
  <c r="P148" i="105" s="1"/>
  <c r="P111" i="105" a="1"/>
  <c r="P111" i="105" s="1"/>
  <c r="H155" i="105" a="1"/>
  <c r="H155" i="105" s="1"/>
  <c r="H118" i="105" a="1"/>
  <c r="H118" i="105" s="1"/>
  <c r="H202" i="105" a="1"/>
  <c r="H202" i="105" s="1"/>
  <c r="P153" i="105" a="1"/>
  <c r="P153" i="105" s="1"/>
  <c r="P200" i="105" a="1"/>
  <c r="P200" i="105" s="1"/>
  <c r="P116" i="105" a="1"/>
  <c r="P116" i="105" s="1"/>
  <c r="I154" i="105" a="1"/>
  <c r="I154" i="105" s="1"/>
  <c r="I201" i="105" a="1"/>
  <c r="I201" i="105" s="1"/>
  <c r="I117" i="105" a="1"/>
  <c r="I117" i="105" s="1"/>
  <c r="P154" i="105" a="1"/>
  <c r="P154" i="105" s="1"/>
  <c r="P201" i="105" a="1"/>
  <c r="P201" i="105" s="1"/>
  <c r="P117" i="105" a="1"/>
  <c r="P117" i="105" s="1"/>
  <c r="Q154" i="105" a="1"/>
  <c r="Q154" i="105" s="1"/>
  <c r="Q117" i="105" a="1"/>
  <c r="Q117" i="105" s="1"/>
  <c r="Q201" i="105" a="1"/>
  <c r="Q201" i="105" s="1"/>
  <c r="H144" i="105" a="1"/>
  <c r="H144" i="105" s="1"/>
  <c r="H107" i="105" a="1"/>
  <c r="H107" i="105" s="1"/>
  <c r="H191" i="105" a="1"/>
  <c r="H191" i="105" s="1"/>
  <c r="R190" i="105" a="1"/>
  <c r="R190" i="105" s="1"/>
  <c r="R143" i="105" a="1"/>
  <c r="R143" i="105" s="1"/>
  <c r="R106" i="105" a="1"/>
  <c r="R106" i="105" s="1"/>
  <c r="H111" i="105" a="1"/>
  <c r="H111" i="105" s="1"/>
  <c r="H148" i="105" a="1"/>
  <c r="H148" i="105" s="1"/>
  <c r="H195" i="105" a="1"/>
  <c r="H195" i="105" s="1"/>
  <c r="S192" i="105" a="1"/>
  <c r="S192" i="105" s="1"/>
  <c r="S108" i="105" a="1"/>
  <c r="S108" i="105" s="1"/>
  <c r="S145" i="105" a="1"/>
  <c r="S145" i="105" s="1"/>
  <c r="H145" i="105" a="1"/>
  <c r="H145" i="105" s="1"/>
  <c r="H108" i="105" a="1"/>
  <c r="H108" i="105" s="1"/>
  <c r="H192" i="105" a="1"/>
  <c r="H192" i="105" s="1"/>
  <c r="F149" i="105" a="1"/>
  <c r="F149" i="105" s="1"/>
  <c r="F112" i="105" a="1"/>
  <c r="F112" i="105" s="1"/>
  <c r="F196" i="105" a="1"/>
  <c r="F196" i="105" s="1"/>
  <c r="R154" i="105" a="1"/>
  <c r="R154" i="105" s="1"/>
  <c r="R117" i="105" a="1"/>
  <c r="R117" i="105" s="1"/>
  <c r="R201" i="105" a="1"/>
  <c r="R201" i="105" s="1"/>
  <c r="F113" i="105" a="1"/>
  <c r="F113" i="105" s="1"/>
  <c r="F150" i="105" a="1"/>
  <c r="F150" i="105" s="1"/>
  <c r="F197" i="105" a="1"/>
  <c r="F197" i="105" s="1"/>
  <c r="Q107" i="105" a="1"/>
  <c r="Q107" i="105" s="1"/>
  <c r="Q144" i="105" a="1"/>
  <c r="Q144" i="105" s="1"/>
  <c r="Q191" i="105" a="1"/>
  <c r="Q191" i="105" s="1"/>
  <c r="F155" i="105" a="1"/>
  <c r="F155" i="105" s="1"/>
  <c r="F118" i="105" a="1"/>
  <c r="F118" i="105" s="1"/>
  <c r="F202" i="105" a="1"/>
  <c r="F202" i="105" s="1"/>
  <c r="P108" i="105" a="1"/>
  <c r="P108" i="105" s="1"/>
  <c r="P145" i="105" a="1"/>
  <c r="P145" i="105" s="1"/>
  <c r="P192" i="105" a="1"/>
  <c r="P192" i="105" s="1"/>
  <c r="R107" i="105" a="1"/>
  <c r="R107" i="105" s="1"/>
  <c r="R144" i="105" a="1"/>
  <c r="R144" i="105" s="1"/>
  <c r="R191" i="105" a="1"/>
  <c r="R191" i="105" s="1"/>
  <c r="Q106" i="105" a="1"/>
  <c r="Q106" i="105" s="1"/>
  <c r="Q143" i="105" a="1"/>
  <c r="Q143" i="105" s="1"/>
  <c r="Q190" i="105" a="1"/>
  <c r="Q190" i="105" s="1"/>
  <c r="F190" i="105" a="1"/>
  <c r="F190" i="105" s="1"/>
  <c r="F143" i="105" a="1"/>
  <c r="F143" i="105" s="1"/>
  <c r="F106" i="105" a="1"/>
  <c r="F106" i="105" s="1"/>
  <c r="H190" i="105" a="1"/>
  <c r="H190" i="105" s="1"/>
  <c r="H106" i="105" a="1"/>
  <c r="H106" i="105" s="1"/>
  <c r="H143" i="105" a="1"/>
  <c r="H143" i="105" s="1"/>
  <c r="G108" i="105" a="1"/>
  <c r="G108" i="105" s="1"/>
  <c r="G145" i="105" a="1"/>
  <c r="G145" i="105" s="1"/>
  <c r="G192" i="105" a="1"/>
  <c r="G192" i="105" s="1"/>
  <c r="S154" i="105" a="1"/>
  <c r="S154" i="105" s="1"/>
  <c r="S117" i="105" a="1"/>
  <c r="S117" i="105" s="1"/>
  <c r="S201" i="105" a="1"/>
  <c r="S201" i="105" s="1"/>
  <c r="I200" i="105" a="1"/>
  <c r="I200" i="105" s="1"/>
  <c r="I153" i="105" a="1"/>
  <c r="I153" i="105" s="1"/>
  <c r="I116" i="105" a="1"/>
  <c r="I116" i="105" s="1"/>
  <c r="S111" i="105" a="1"/>
  <c r="S111" i="105" s="1"/>
  <c r="S195" i="105" a="1"/>
  <c r="S195" i="105" s="1"/>
  <c r="S148" i="105" a="1"/>
  <c r="S148" i="105" s="1"/>
  <c r="Q153" i="105" a="1"/>
  <c r="Q153" i="105" s="1"/>
  <c r="Q200" i="105" a="1"/>
  <c r="Q200" i="105" s="1"/>
  <c r="Q116" i="105" a="1"/>
  <c r="Q116" i="105" s="1"/>
  <c r="H113" i="105" a="1"/>
  <c r="H113" i="105" s="1"/>
  <c r="H150" i="105" a="1"/>
  <c r="H150" i="105" s="1"/>
  <c r="H197" i="105" a="1"/>
  <c r="H197" i="105" s="1"/>
  <c r="I145" i="105" a="1"/>
  <c r="I145" i="105" s="1"/>
  <c r="I108" i="105" a="1"/>
  <c r="I108" i="105" s="1"/>
  <c r="I192" i="105" a="1"/>
  <c r="I192" i="105" s="1"/>
  <c r="H149" i="105" a="1"/>
  <c r="H149" i="105" s="1"/>
  <c r="H112" i="105" a="1"/>
  <c r="H112" i="105" s="1"/>
  <c r="H196" i="105" a="1"/>
  <c r="H196" i="105" s="1"/>
  <c r="G144" i="105" a="1"/>
  <c r="G144" i="105" s="1"/>
  <c r="G107" i="105" a="1"/>
  <c r="G107" i="105" s="1"/>
  <c r="G191" i="105" a="1"/>
  <c r="G191" i="105" s="1"/>
  <c r="G154" i="105" a="1"/>
  <c r="G154" i="105" s="1"/>
  <c r="G201" i="105" a="1"/>
  <c r="G201" i="105" s="1"/>
  <c r="G117" i="105" a="1"/>
  <c r="G117" i="105" s="1"/>
  <c r="G190" i="105" a="1"/>
  <c r="G190" i="105" s="1"/>
  <c r="G143" i="105" a="1"/>
  <c r="G143" i="105" s="1"/>
  <c r="G106" i="105" a="1"/>
  <c r="G106" i="105" s="1"/>
  <c r="F108" i="105" a="1"/>
  <c r="F108" i="105" s="1"/>
  <c r="F145" i="105" a="1"/>
  <c r="F145" i="105" s="1"/>
  <c r="F192" i="105" a="1"/>
  <c r="F192" i="105" s="1"/>
  <c r="F154" i="105" a="1"/>
  <c r="F154" i="105" s="1"/>
  <c r="F201" i="105" a="1"/>
  <c r="F201" i="105" s="1"/>
  <c r="F117" i="105" a="1"/>
  <c r="F117"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P22" i="105"/>
  <c r="S34" i="97"/>
  <c r="S69" i="97" s="1" a="1"/>
  <c r="S69" i="97" s="1"/>
  <c r="F33" i="97"/>
  <c r="F68" i="97" s="1" a="1"/>
  <c r="F68" i="97" s="1"/>
  <c r="P34" i="97"/>
  <c r="P69" i="97" s="1" a="1"/>
  <c r="P69" i="97" s="1"/>
  <c r="P39" i="97"/>
  <c r="P74" i="97" s="1" a="1"/>
  <c r="P74" i="97" s="1"/>
  <c r="F27" i="98"/>
  <c r="H39" i="97"/>
  <c r="H74" i="97" s="1" a="1"/>
  <c r="H74" i="97" s="1"/>
  <c r="R39" i="97"/>
  <c r="R74" i="97" s="1" a="1"/>
  <c r="R74" i="97" s="1"/>
  <c r="F38" i="97"/>
  <c r="F73" i="97" s="1" a="1"/>
  <c r="F73" i="97" s="1"/>
  <c r="F26" i="97"/>
  <c r="F61" i="97" s="1" a="1"/>
  <c r="F61" i="97" s="1"/>
  <c r="R32" i="105"/>
  <c r="I26" i="97"/>
  <c r="I61" i="97" s="1" a="1"/>
  <c r="I61" i="97" s="1"/>
  <c r="R38" i="97"/>
  <c r="R73" i="97" s="1" a="1"/>
  <c r="R73" i="97" s="1"/>
  <c r="P27" i="105"/>
  <c r="P26" i="97"/>
  <c r="P61" i="97" s="1"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26" i="97"/>
  <c r="S61" i="97" s="1"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Q27" i="98"/>
  <c r="Q22" i="105"/>
  <c r="G27" i="98"/>
  <c r="G22" i="105"/>
  <c r="H29" i="98"/>
  <c r="H32" i="105"/>
  <c r="P27" i="97"/>
  <c r="P62" i="97" s="1" a="1"/>
  <c r="P62" i="97" s="1"/>
  <c r="S27" i="98"/>
  <c r="S22" i="105"/>
  <c r="S29" i="98"/>
  <c r="S32" i="105"/>
  <c r="I28" i="98"/>
  <c r="I27" i="105"/>
  <c r="G29" i="98"/>
  <c r="G32" i="105"/>
  <c r="H37" i="97"/>
  <c r="H72" i="97" s="1" a="1"/>
  <c r="H72" i="97" s="1"/>
  <c r="H33" i="105"/>
  <c r="Q29" i="98"/>
  <c r="Q32" i="105"/>
  <c r="H27" i="98"/>
  <c r="H22" i="105"/>
  <c r="R27" i="105"/>
  <c r="R28" i="98"/>
  <c r="I27" i="98"/>
  <c r="I22" i="105"/>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26" i="97"/>
  <c r="Q61" i="97" s="1"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26" i="97"/>
  <c r="H61" i="97" s="1" a="1"/>
  <c r="H61" i="97" s="1"/>
  <c r="I33" i="97"/>
  <c r="I68" i="97" s="1" a="1"/>
  <c r="I68" i="97" s="1"/>
  <c r="S29" i="97"/>
  <c r="S64" i="97" s="1" a="1"/>
  <c r="S64" i="97" s="1"/>
  <c r="Q29" i="97"/>
  <c r="Q64" i="97" s="1" a="1"/>
  <c r="Q64" i="97" s="1"/>
  <c r="G26" i="97"/>
  <c r="G61" i="97" s="1"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F114" i="105" l="1" a="1"/>
  <c r="F114" i="105" s="1"/>
  <c r="F151" i="105" a="1"/>
  <c r="F151" i="105" s="1"/>
  <c r="F198" i="105" a="1"/>
  <c r="F198" i="105" s="1"/>
  <c r="I119" i="105" a="1"/>
  <c r="I119" i="105" s="1"/>
  <c r="I203" i="105" a="1"/>
  <c r="I203" i="105" s="1"/>
  <c r="I156" i="105" a="1"/>
  <c r="I156" i="105" s="1"/>
  <c r="H114" i="105" a="1"/>
  <c r="H114" i="105" s="1"/>
  <c r="H151" i="105" a="1"/>
  <c r="H151" i="105" s="1"/>
  <c r="H198" i="105" a="1"/>
  <c r="H198" i="105" s="1"/>
  <c r="I198" i="105" a="1"/>
  <c r="I198" i="105" s="1"/>
  <c r="I151" i="105" a="1"/>
  <c r="I151" i="105" s="1"/>
  <c r="I114" i="105" a="1"/>
  <c r="I114"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48" i="105" a="1"/>
  <c r="R148" i="105" s="1"/>
  <c r="R195" i="105" a="1"/>
  <c r="R195" i="105" s="1"/>
  <c r="R111" i="105" a="1"/>
  <c r="R111" i="105" s="1"/>
  <c r="O77" i="97"/>
  <c r="S89" i="97" s="1"/>
  <c r="E77" i="97"/>
  <c r="I89" i="97" s="1"/>
  <c r="H200" i="105" a="1"/>
  <c r="H200" i="105" s="1"/>
  <c r="H116" i="105" a="1"/>
  <c r="H116" i="105" s="1"/>
  <c r="H153" i="105" a="1"/>
  <c r="H153" i="105" s="1"/>
  <c r="D10" i="70" l="1"/>
  <c r="H49" i="70"/>
  <c r="G49" i="70"/>
  <c r="F49" i="70"/>
  <c r="E49" i="70" l="1"/>
  <c r="L40" i="70"/>
  <c r="L39" i="70"/>
  <c r="L38" i="70"/>
  <c r="L48" i="70"/>
  <c r="L47" i="70"/>
  <c r="L46" i="70"/>
  <c r="L45" i="70"/>
  <c r="L54" i="70"/>
  <c r="L53" i="70"/>
  <c r="L52" i="70"/>
  <c r="F28" i="108" l="1" a="1"/>
  <c r="F28" i="108" s="1"/>
  <c r="Q28" i="108" a="1"/>
  <c r="Q28" i="108" s="1"/>
  <c r="H28" i="108" a="1"/>
  <c r="H28" i="108" s="1"/>
  <c r="O28" i="108" a="1"/>
  <c r="O28" i="108" s="1"/>
  <c r="P28" i="108" a="1"/>
  <c r="P28" i="108" s="1"/>
  <c r="R28" i="108" a="1"/>
  <c r="R28" i="108" s="1"/>
  <c r="E28" i="108" a="1"/>
  <c r="E28" i="108" s="1"/>
  <c r="G28" i="108" a="1"/>
  <c r="G28" i="108" s="1"/>
  <c r="E96" i="97" a="1"/>
  <c r="E96" i="97" s="1"/>
  <c r="I94" i="97"/>
  <c r="I43" i="107"/>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G35" i="98" a="1"/>
  <c r="G35" i="98" s="1"/>
  <c r="S35" i="98" a="1"/>
  <c r="S35" i="98" s="1"/>
  <c r="R34" i="98" a="1"/>
  <c r="R34" i="98" s="1"/>
  <c r="P34" i="98" a="1"/>
  <c r="P34" i="98" s="1"/>
  <c r="P35" i="98" a="1"/>
  <c r="P35" i="98" s="1"/>
  <c r="P36" i="98" a="1"/>
  <c r="P36" i="98" s="1"/>
  <c r="H34" i="98" a="1"/>
  <c r="H34" i="98" s="1"/>
  <c r="S34" i="98" a="1"/>
  <c r="S34" i="98" s="1"/>
  <c r="R35" i="98" a="1"/>
  <c r="R35" i="98" s="1"/>
  <c r="I35" i="98" a="1"/>
  <c r="I35" i="98" s="1"/>
  <c r="G34" i="98" a="1"/>
  <c r="G34" i="98" s="1"/>
  <c r="Q34" i="98" a="1"/>
  <c r="Q34" i="98" s="1"/>
  <c r="G36" i="98" a="1"/>
  <c r="G36" i="98" s="1"/>
  <c r="S36" i="98" a="1"/>
  <c r="S36" i="98" s="1"/>
  <c r="F35" i="98" a="1"/>
  <c r="F35" i="98" s="1"/>
  <c r="H35" i="98" a="1"/>
  <c r="H35" i="98" s="1"/>
  <c r="F34" i="98" a="1"/>
  <c r="F34" i="98" s="1"/>
  <c r="I34" i="98" a="1"/>
  <c r="I34" i="98" s="1"/>
  <c r="H36" i="98" a="1"/>
  <c r="H36" i="98" s="1"/>
  <c r="F36" i="98" a="1"/>
  <c r="F36" i="98" s="1"/>
  <c r="R36" i="98" a="1"/>
  <c r="R36" i="98" s="1"/>
  <c r="Q36" i="98" a="1"/>
  <c r="Q36" i="98" s="1"/>
  <c r="I36" i="98" a="1"/>
  <c r="I36" i="98"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O245" i="76" l="1"/>
  <c r="E245" i="76"/>
  <c r="E222" i="69"/>
  <c r="O222" i="69"/>
  <c r="E30" i="108"/>
  <c r="J43" i="108" s="1"/>
  <c r="E47" i="108" s="1" a="1"/>
  <c r="E47" i="108" s="1"/>
  <c r="O30" i="108"/>
  <c r="T43" i="108" s="1"/>
  <c r="O47" i="108" s="1" a="1"/>
  <c r="O47" i="108" s="1"/>
  <c r="O96" i="97" a="1"/>
  <c r="O96" i="97" s="1"/>
  <c r="Q98" i="97" s="1"/>
  <c r="O101" i="97" s="1" a="1"/>
  <c r="O101" i="97" s="1"/>
  <c r="I9" i="13" s="1"/>
  <c r="P47" i="107"/>
  <c r="N50" i="107" s="1" a="1"/>
  <c r="N50" i="107" s="1"/>
  <c r="I12" i="13" s="1"/>
  <c r="F12" i="13"/>
  <c r="G98" i="97"/>
  <c r="E101" i="97" s="1" a="1"/>
  <c r="E101" i="97" s="1"/>
  <c r="H9" i="13" s="1"/>
  <c r="E9" i="13"/>
  <c r="E45" i="107" a="1"/>
  <c r="E45" i="107" s="1"/>
  <c r="H25" i="106" a="1"/>
  <c r="H25" i="106" s="1"/>
  <c r="P25" i="106" a="1"/>
  <c r="P25" i="106" s="1"/>
  <c r="O25" i="106" a="1"/>
  <c r="O25" i="106" s="1"/>
  <c r="Q25" i="106" a="1"/>
  <c r="Q25" i="106" s="1"/>
  <c r="G25" i="106" a="1"/>
  <c r="G25" i="106" s="1"/>
  <c r="E25" i="106" a="1"/>
  <c r="E25" i="106" s="1"/>
  <c r="F25" i="106" a="1"/>
  <c r="F25" i="106" s="1"/>
  <c r="R25" i="106" a="1"/>
  <c r="R25" i="106" s="1"/>
  <c r="R55" i="98" a="1"/>
  <c r="R55" i="98" s="1"/>
  <c r="R67" i="105"/>
  <c r="F55" i="98" a="1"/>
  <c r="F55" i="98" s="1"/>
  <c r="F67" i="105"/>
  <c r="H56" i="98" a="1"/>
  <c r="H56" i="98" s="1"/>
  <c r="H72" i="105"/>
  <c r="S56" i="98" a="1"/>
  <c r="S56" i="98" s="1"/>
  <c r="S72" i="105"/>
  <c r="F56" i="98" a="1"/>
  <c r="F56" i="98" s="1"/>
  <c r="F72" i="105"/>
  <c r="G56" i="98" a="1"/>
  <c r="G56" i="98" s="1"/>
  <c r="G72" i="105"/>
  <c r="S57" i="98" a="1"/>
  <c r="S57" i="98" s="1"/>
  <c r="S77" i="105"/>
  <c r="Q56" i="98" a="1"/>
  <c r="Q56" i="98" s="1"/>
  <c r="Q72" i="105"/>
  <c r="G57" i="98" a="1"/>
  <c r="G57" i="98" s="1"/>
  <c r="G77" i="105"/>
  <c r="Q55" i="98" a="1"/>
  <c r="Q55" i="98" s="1"/>
  <c r="Q67" i="105"/>
  <c r="G55" i="98" a="1"/>
  <c r="G55" i="98" s="1"/>
  <c r="G67" i="105"/>
  <c r="I56" i="98" a="1"/>
  <c r="I56" i="98" s="1"/>
  <c r="I72" i="105"/>
  <c r="I57" i="98" a="1"/>
  <c r="I57" i="98" s="1"/>
  <c r="I77" i="105"/>
  <c r="R56" i="98" a="1"/>
  <c r="R56" i="98" s="1"/>
  <c r="R72" i="105"/>
  <c r="Q57" i="98" a="1"/>
  <c r="Q57" i="98" s="1"/>
  <c r="Q77" i="105"/>
  <c r="S55" i="98" a="1"/>
  <c r="S55" i="98" s="1"/>
  <c r="S67" i="105"/>
  <c r="R57" i="98" a="1"/>
  <c r="R57" i="98" s="1"/>
  <c r="R77" i="105"/>
  <c r="H55" i="98" a="1"/>
  <c r="H55" i="98" s="1"/>
  <c r="H67" i="105"/>
  <c r="F57" i="98" a="1"/>
  <c r="F57" i="98" s="1"/>
  <c r="F77" i="105"/>
  <c r="P57" i="98" a="1"/>
  <c r="P57" i="98" s="1"/>
  <c r="P77" i="105"/>
  <c r="P56" i="98" a="1"/>
  <c r="P56" i="98" s="1"/>
  <c r="P72" i="105"/>
  <c r="H57" i="98" a="1"/>
  <c r="H57" i="98" s="1"/>
  <c r="H77" i="105"/>
  <c r="I55" i="98" a="1"/>
  <c r="I55" i="98" s="1"/>
  <c r="I67" i="105"/>
  <c r="P55" i="98" a="1"/>
  <c r="P55" i="98" s="1"/>
  <c r="P67" i="105"/>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152" i="105" l="1"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F9" i="13"/>
  <c r="G47" i="107"/>
  <c r="E50" i="107" s="1" a="1"/>
  <c r="E50" i="107" s="1"/>
  <c r="H12" i="13" s="1"/>
  <c r="E12" i="13"/>
  <c r="Q49" i="108"/>
  <c r="O52" i="108" s="1" a="1"/>
  <c r="O52" i="108" s="1"/>
  <c r="I13" i="13" s="1"/>
  <c r="F13" i="13"/>
  <c r="G49" i="108"/>
  <c r="E52" i="108" s="1" a="1"/>
  <c r="E52" i="108" s="1"/>
  <c r="H13" i="13" s="1"/>
  <c r="E13" i="13"/>
  <c r="Q224" i="69"/>
  <c r="O227" i="69" s="1" a="1"/>
  <c r="O227" i="69" s="1"/>
  <c r="I7" i="13" s="1"/>
  <c r="F7" i="13"/>
  <c r="Q247" i="76"/>
  <c r="O250" i="76" s="1" a="1"/>
  <c r="O250" i="76" s="1"/>
  <c r="I8" i="13" s="1"/>
  <c r="F8" i="13"/>
  <c r="G247" i="76"/>
  <c r="E250" i="76" s="1" a="1"/>
  <c r="E250" i="76" s="1"/>
  <c r="H8" i="13" s="1"/>
  <c r="E8" i="13"/>
  <c r="G224" i="69"/>
  <c r="E227" i="69" s="1" a="1"/>
  <c r="E227" i="69" s="1"/>
  <c r="H7" i="13" s="1"/>
  <c r="E7" i="13"/>
  <c r="E27" i="106"/>
  <c r="O59" i="98"/>
  <c r="O27" i="106"/>
  <c r="E59" i="98"/>
  <c r="E29" i="15"/>
  <c r="E158" i="105" l="1"/>
  <c r="E22" i="13" s="1"/>
  <c r="E205" i="105"/>
  <c r="E21" i="13" s="1"/>
  <c r="E121" i="105"/>
  <c r="E20" i="13" s="1"/>
  <c r="O158" i="105"/>
  <c r="O205" i="105"/>
  <c r="O121" i="105"/>
  <c r="G61" i="98"/>
  <c r="E64" i="98" s="1" a="1"/>
  <c r="E64" i="98" s="1"/>
  <c r="H10" i="13" s="1"/>
  <c r="E10" i="13"/>
  <c r="Q29" i="106"/>
  <c r="O32" i="106" s="1" a="1"/>
  <c r="O32" i="106" s="1"/>
  <c r="I11" i="13" s="1"/>
  <c r="F11" i="13"/>
  <c r="Q61" i="98"/>
  <c r="O64" i="98" s="1" a="1"/>
  <c r="O64" i="98" s="1"/>
  <c r="I10" i="13" s="1"/>
  <c r="F10" i="13"/>
  <c r="G29" i="106"/>
  <c r="E32" i="106" s="1" a="1"/>
  <c r="E32" i="106" s="1"/>
  <c r="H11" i="13" s="1"/>
  <c r="E11" i="13"/>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<sst xmlns="http://schemas.openxmlformats.org/spreadsheetml/2006/main" count="1172" uniqueCount="360">
  <si>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</si>
  <si>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</si>
  <si>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</si>
  <si>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</si>
  <si>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</si>
  <si>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</si>
  <si>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</si>
  <si>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</si>
  <si>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</si>
  <si>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</si>
  <si>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</si>
  <si>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</si>
  <si>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</si>
  <si>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</si>
  <si>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</si>
  <si>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</si>
  <si>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</si>
  <si>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</si>
  <si>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</si>
  <si>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</si>
  <si>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</si>
  <si>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</si>
  <si>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</si>
  <si>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</si>
  <si>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</si>
  <si>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</si>
  <si>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</si>
  <si>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</si>
  <si>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</si>
  <si>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</si>
  <si>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</si>
  <si>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</si>
  <si>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</si>
  <si>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</si>
  <si>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</si>
  <si>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</si>
  <si>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</si>
  <si>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</si>
  <si>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</si>
  <si>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</si>
  <si>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</si>
  <si>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</si>
  <si>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</si>
  <si>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</si>
  <si>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</si>
  <si>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</si>
  <si>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</si>
  <si>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</si>
  <si>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</si>
  <si>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</si>
  <si>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</si>
  <si>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</si>
  <si>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</si>
  <si>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</si>
  <si>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</si>
  <si>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</si>
  <si>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</si>
  <si>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</si>
  <si>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</si>
  <si>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</si>
  <si>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</si>
  <si>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</si>
  <si>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</si>
  <si>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</si>
  <si>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</si>
  <si>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</si>
  <si>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</si>
  <si>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</si>
  <si>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</si>
  <si>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</si>
  <si>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</si>
  <si>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</si>
  <si>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</si>
  <si>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</si>
  <si>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</si>
  <si>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</si>
  <si>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</si>
  <si>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</si>
  <si>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</si>
  <si>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</si>
  <si>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</si>
  <si>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</si>
  <si>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</si>
  <si>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</si>
  <si>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</si>
  <si>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</si>
  <si>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</si>
  <si>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</si>
  <si>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</si>
  <si>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</si>
  <si>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</si>
  <si>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</si>
  <si>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</si>
  <si>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</si>
  <si>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</si>
  <si>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</si>
  <si>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</si>
  <si>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</si>
  <si>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</si>
  <si>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</si>
  <si>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</si>
  <si>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</si>
  <si>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</si>
  <si>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</si>
  <si>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</si>
  <si>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</si>
  <si>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</si>
  <si>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</si>
  <si>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</si>
  <si>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</si>
  <si>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</si>
  <si>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</si>
  <si>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</si>
  <si>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</si>
  <si>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</si>
  <si>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</si>
  <si>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</si>
  <si>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</si>
  <si>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</si>
  <si>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</si>
  <si>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</si>
  <si>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</si>
  <si>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</si>
  <si>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</si>
  <si>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</si>
  <si>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</si>
  <si>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</si>
  <si>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</si>
  <si>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</si>
  <si>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</si>
  <si>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</si>
  <si>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</si>
  <si>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</si>
  <si>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</si>
  <si>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</si>
  <si>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</si>
  <si>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</si>
  <si>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</si>
  <si>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</si>
  <si>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</si>
  <si>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</si>
  <si>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</si>
  <si>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</si>
  <si>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</si>
  <si>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</si>
  <si>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</si>
  <si>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</si>
  <si>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</si>
  <si>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</si>
  <si>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</si>
  <si>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</si>
  <si>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</si>
  <si>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</si>
  <si>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</si>
  <si>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</si>
  <si>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</si>
  <si>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</si>
  <si>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</si>
  <si>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</si>
  <si>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</si>
  <si>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</si>
  <si>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</si>
  <si>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</si>
  <si>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</si>
  <si>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</si>
  <si>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</si>
  <si>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</si>
  <si>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</si>
  <si>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</si>
  <si>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</si>
  <si>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</si>
  <si>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</si>
  <si>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</si>
  <si>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</si>
  <si>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</si>
  <si>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</si>
  <si>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</si>
  <si>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</si>
  <si>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</si>
  <si>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</si>
  <si>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</si>
  <si>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</si>
  <si>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</si>
  <si>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</si>
  <si>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</si>
  <si>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</si>
  <si>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</si>
  <si>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</si>
  <si>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</si>
  <si>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</si>
  <si>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</si>
  <si>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</si>
  <si>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</si>
  <si>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</si>
  <si>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</si>
  <si>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</si>
  <si>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</si>
  <si>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</si>
  <si>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</si>
  <si>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</si>
  <si>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</si>
  <si>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</si>
  <si>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</si>
  <si>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</si>
  <si>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</si>
  <si>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</si>
  <si>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</si>
  <si>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</si>
  <si>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</si>
  <si>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</si>
  <si>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Free range</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</si>
  <si>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</si>
  <si>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</si>
  <si>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</si>
  <si>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</si>
  <si>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</si>
  <si>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</si>
  <si>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</si>
  <si>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</si>
  <si>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</si>
  <si>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</si>
  <si>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</si>
  <si>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</si>
  <si>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</si>
  <si>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</si>
  <si>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</si>
  <si>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</si>
  <si>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</si>
  <si>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</si>
  <si>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</si>
  <si>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</si>
  <si>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</si>
  <si>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</si>
  <si>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</si>
  <si>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</si>
  <si>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</si>
  <si>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</si>
  <si>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</si>
  <si>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</si>
  <si>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</si>
  <si>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</si>
  <si>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</si>
  <si>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</si>
  <si>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</si>
  <si>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</si>
  <si>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</si>
  <si>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</si>
  <si>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</si>
  <si>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</si>
  <si>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</si>
  <si>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</si>
  <si>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</si>
  <si>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</si>
  <si>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</si>
  <si>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</si>
  <si>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</si>
  <si>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</si>
  <si>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</si>
  <si>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</si>
  <si>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</si>
  <si>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</si>
  <si>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</si>
  <si>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</si>
  <si>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</si>
  <si>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</si>
  <si>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</si>
  <si>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</si>
  <si>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</si>
  <si>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</si>
  <si>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</si>
  <si>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</si>
  <si>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</si>
  <si>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</si>
  <si>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</si>
  <si>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</si>
  <si>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</si>
  <si>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</si>
  <si>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</si>
  <si>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</si>
  <si>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</si>
  <si>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</si>
  <si>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</si>
  <si>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</si>
  <si>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</si>
  <si>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</si>
  <si>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</si>
  <si>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</si>
  <si>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</si>
  <si>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</si>
  <si>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</si>
  <si>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</si>
  <si>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</si>
  <si>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</si>
  <si>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</si>
  <si>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</si>
  <si>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</si>
  <si>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</si>
  <si>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</si>
  <si>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</si>
  <si>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</si>
  <si>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</si>
  <si>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</si>
  <si>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</si>
  <si>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</si>
  <si>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</si>
  <si>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</si>
  <si>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</si>
  <si>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</si>
  <si>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</si>
  <si>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</si>
  <si>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</si>
  <si>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</si>
  <si>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</si>
  <si>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</si>
  <si>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</si>
  <si>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</si>
  <si>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</si>
  <si>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</si>
  <si>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</si>
  <si>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</si>
  <si>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</si>
  <si>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</si>
  <si>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</si>
  <si>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</si>
  <si>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</si>
  <si>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</si>
  <si>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</si>
  <si>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</si>
  <si>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</si>
  <si>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</si>
  <si>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</si>
  <si>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</si>
  <si>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</si>
  <si>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</si>
  <si>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</si>
  <si>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</si>
  <si>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</si>
  <si>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</si>
  <si>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</si>
  <si>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</si>
  <si>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</si>
  <si>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</si>
  <si>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</si>
  <si>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</si>
  <si>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</si>
  <si>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</si>
  <si>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</si>
  <si>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</si>
  <si>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</si>
  <si>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</si>
  <si>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</si>
  <si>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</si>
  <si>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</si>
  <si>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</si>
  <si>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</si>
  <si>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</si>
  <si>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</si>
  <si>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</si>
  <si>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</si>
  <si>
    <t>No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</si>
</sst>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0"/>
      <tableStyleElement type="headerRow" dxfId="99"/>
      <tableStyleElement type="totalRow" dxfId="98"/>
      <tableStyleElement type="firstColumn" dxfId="97"/>
      <tableStyleElement type="firstRowStripe" dxfId="96"/>
      <tableStyleElement type="secondRowStripe" dxfId="95"/>
    </tableStyle>
    <tableStyle name="Equation table" pivot="0" count="6" xr9:uid="{B247698E-E41D-4CCD-AA0A-C14817E9DE65}">
      <tableStyleElement type="wholeTable" dxfId="94"/>
      <tableStyleElement type="headerRow" dxfId="93"/>
      <tableStyleElement type="totalRow" dxfId="92"/>
      <tableStyleElement type="firstColumn" dxfId="91"/>
      <tableStyleElement type="firstRowStripe" dxfId="90"/>
      <tableStyleElement type="secondRowStripe" dxfId="89"/>
    </tableStyle>
    <tableStyle name="Table Style 1" pivot="0" count="0" xr9:uid="{97B370DB-5463-4A31-9160-5A96BD6A559D}"/>
  </tableStyles>
  <colors>
    <mruColors>
      <color rgb="FFCC6600"/>
      <color rgb="FF0C769E"/>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3"/><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18"/><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0"/><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mc:Choice xmlns:a14="http://schemas.microsoft.com/office/drawing/2010/main"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mc:Choice xmlns:a14="http://schemas.microsoft.com/office/drawing/2010/main"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mc:Choice xmlns:a14="http://schemas.microsoft.com/office/drawing/2010/main"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mc:Choice xmlns:a14="http://schemas.microsoft.com/office/drawing/2010/main"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mc:Choice xmlns:a14="http://schemas.microsoft.com/office/drawing/2010/main"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0"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49"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8"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7"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6"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5"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4"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3"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2"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1"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0"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39"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8"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7"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6"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5"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4"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3"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2"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1"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0"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198B6E-C8B1-4FFB-9F83-5F263F01958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75A932B-F61F-4198-94A3-F3A5D9321ACE}" name="State/Territory">
      <calculatedColumnFormula array="1">Common_InputFunctions.Utility_DisplayArrayInTable(Common_SourceData.Common_SourceData_AustralianStatesTerritories_Data(),Table_AustralianStates[[#Headers],[State/Territory]],0)</calculatedColumnFormula>
    </tableColumn>
    <tableColumn id="2" xr3:uid="{4DFCCCB7-0687-4596-BBD7-5BE364DB90BA}" name="Common Name">
      <calculatedColumnFormula array="1">Common_InputFunctions.Utility_DisplayArrayInTable(Common_SourceData.Common_SourceData_AustralianStatesTerritories_Data(),Table_AustralianStates[[#Headers],[State/Territory]],0)</calculatedColumnFormula>
    </tableColumn>
    <tableColumn id="3" xr3:uid="{1063767C-95E5-41E3-9741-E4B0AD7E266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2F18E05-1345-4A7C-AF35-8BEFC2EA48DF}" name="Table_WASA4Areas" displayName="Table_WASA4Areas" ref="D20:D30" totalsRowShown="0">
  <autoFilter ref="D20:D30" xr:uid="{5FA81339-C6C8-4D36-BEEA-6C4AEDD9E676}">
    <filterColumn colId="0" hiddenButton="1"/>
  </autoFilter>
  <tableColumns count="1">
    <tableColumn id="1" xr3:uid="{179C3B69-4482-4154-B47B-F7FEAD53EAF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52C8169-9180-4A05-A1FC-F29D61B93F23}" name="Table_GWPData" displayName="Table_GWPData" ref="D36:E43" totalsRowShown="0">
  <autoFilter ref="D36:E43" xr:uid="{B8E87A66-3E41-4AD3-925D-01EE21B43D7A}">
    <filterColumn colId="0" hiddenButton="1"/>
    <filterColumn colId="1" hiddenButton="1"/>
  </autoFilter>
  <tableColumns count="2">
    <tableColumn id="1" xr3:uid="{EF7FA74C-0AD1-4617-A193-ABAC68052432}" name="Gas">
      <calculatedColumnFormula array="1">Common_InputFunctions.Utility_DisplayArrayInTable(Common_SourceData.Common_SourceData_GWP_Data(), Table_GWPData[[#Headers],[Gas]], 0)</calculatedColumnFormula>
    </tableColumn>
    <tableColumn id="2" xr3:uid="{BBF1FF65-66DA-4DA2-B137-F853A096C19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EB126A6-2CFA-4217-87C4-0A85CC0C948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6D04CAF-2691-474A-A6B7-A1611205382B}" name="Gas">
      <calculatedColumnFormula array="1">Common_InputFunctions.Utility_DisplayArrayInTable(Common_SourceData.Common_SourceData_ConvertGasElementalToMolecular_Data(),Table_GasToMolecularConversionFactor[[#Headers],[Gas]], 0)</calculatedColumnFormula>
    </tableColumn>
    <tableColumn id="5" xr3:uid="{E451CE89-B0CA-40F0-91F6-0AE2820B2CD9}" name="Conversion factor">
      <calculatedColumnFormula array="1">Common_InputFunctions.Utility_DisplayArrayInTable(Common_SourceData.Common_SourceData_ConvertGasElementalToMolecular_Data(),Table_GasToMolecularConversionFactor[[#Headers],[Gas]], 0)</calculatedColumnFormula>
    </tableColumn>
    <tableColumn id="2" xr3:uid="{08FBE58B-3B8C-4C04-94E0-08248A23E52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C4C7457-3144-40DC-8072-0B402DDE17A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B87FBDB-4758-4271-96B6-8293AF53EFB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33B12DE-A336-44DF-B19C-49F9D57A6C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606F415-0250-4D7E-85E3-C8FB95B6038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50B0BD2-D3DC-4CCE-B488-A29FA7CC2D23}" name="MAT"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3" xr3:uid="{504B406B-4652-4780-A788-9B432984860D}" name="MAP"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4" xr3:uid="{FA220B4D-E0E9-4AFE-B2D7-3AA6E1C749BF}" name="Frost days per year"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5" xr3:uid="{E1328873-AD00-436F-8406-EC0A2F592475}" name="Elevation"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6" xr3:uid="{C2862A8F-ED31-4C3F-9EC8-5EDC1CF6F94C}" name="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7" xr3:uid="{F2FB9B15-AA84-4695-92ED-8B2D0737A3AC}" name="Min temp"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8" xr3:uid="{8FC89AB8-76D5-43B5-A13C-ACCC21892B4E}" name="Max temp"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9" xr3:uid="{9A065CDD-52FE-4917-BA24-349FA05B5211}" name="Min rainfall"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0" xr3:uid="{27208A6A-29BC-4B86-883D-EC1F760DCFA3}" name="Max rainfall"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1" xr3:uid="{11B42007-9257-4D4D-AD27-4123DBB07AB9}" name="Min frost days"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5" xr3:uid="{FF910F85-11CF-4369-BAEB-95A46AA7D80B}" name="Max frost days"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2" xr3:uid="{1125E6E1-73CC-4038-8C7B-A76F171C4385}" name="Min 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6" xr3:uid="{09CAF032-4B41-4DDB-AD9F-4DC5E67A1FE2}" name="Max 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3" xr3:uid="{A6A4B906-363B-4775-933E-67E7D3758F25}" name="Min 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7" xr3:uid="{07DCDCD9-4930-4C2C-A77A-73523D428377}" name="Max MAP:PET" totalsRowDxfId="7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121BCE2-79A3-4B15-8245-29FDCAD8A50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552A7A9-351D-482F-B66F-71B5034E76A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CE08B3B-2B6A-4938-8F0C-DC40A8AB8BE0}" name="Wet or Dry Zone" totalsRowDxfId="7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5F7BF94-F6AF-4657-BD76-932B48ABC2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9FF92CD-170B-4127-9EB5-0AAF4F69377B}" name="Temperature Zone">
      <calculatedColumnFormula array="1">Common_InputFunctions.Utility_DisplayArrayInTable(Common_SourceData.Common_SourceData_TemperatureZones_Data(),Table_SourceData_TemperatureZones[[#Headers],[Temperature Zone]],0)</calculatedColumnFormula>
    </tableColumn>
    <tableColumn id="2" xr3:uid="{CBAF26FA-B02C-4105-9DD7-83656C223F76}" name="MAT">
      <calculatedColumnFormula array="1">Common_InputFunctions.Utility_DisplayArrayInTable(Common_SourceData.Common_SourceData_TemperatureZones_Data(),Table_SourceData_TemperatureZones[[#Headers],[Temperature Zone]],0)</calculatedColumnFormula>
    </tableColumn>
    <tableColumn id="3" xr3:uid="{F015950A-4756-4A10-913F-36DD69E086A4}" name="Min MAT">
      <calculatedColumnFormula array="1">Common_InputFunctions.Utility_DisplayArrayInTable(Common_SourceData.Common_SourceData_TemperatureZones_Data(),Table_SourceData_TemperatureZones[[#Headers],[Temperature Zone]],0)</calculatedColumnFormula>
    </tableColumn>
    <tableColumn id="4" xr3:uid="{88F41217-476A-40F9-A47C-85BF675AF79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B7399DD3-7518-49DB-A870-436402AAD0A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C48C3B8-007E-4437-83FF-5D837CAA514A}" name="Rainfall Zone">
      <calculatedColumnFormula array="1">Common_InputFunctions.Utility_DisplayArrayInTable(Common_SourceData.Common_SourceData_RainfallZones_Data(),Table_SourceData_RainfallZones[[#Headers],[Rainfall Zone]],0)</calculatedColumnFormula>
    </tableColumn>
    <tableColumn id="2" xr3:uid="{1D8EB964-734F-46FF-B3CF-159D6EA480A6}" name="Annual rainfall">
      <calculatedColumnFormula array="1">Common_InputFunctions.Utility_DisplayArrayInTable(Common_SourceData.Common_SourceData_RainfallZones_Data(),Table_SourceData_RainfallZones[[#Headers],[Rainfall Zone]],0)</calculatedColumnFormula>
    </tableColumn>
    <tableColumn id="3" xr3:uid="{C300986A-4ACC-4697-9C1C-4E2E5E73CA96}" name="Min rainfall">
      <calculatedColumnFormula array="1">Common_InputFunctions.Utility_DisplayArrayInTable(Common_SourceData.Common_SourceData_RainfallZones_Data(),Table_SourceData_RainfallZones[[#Headers],[Rainfall Zone]],0)</calculatedColumnFormula>
    </tableColumn>
    <tableColumn id="4" xr3:uid="{7B9600AB-4F2D-4DA3-ADF0-0307ECE4706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9680840-F8EC-4F33-AB5B-9E3F86F15E6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1CE74D-E37F-4672-9C63-65F423E1BD10}" name="Leaching Zone">
      <calculatedColumnFormula array="1">Common_InputFunctions.Utility_DisplayArrayInTable(Common_SourceData.Common_SourceData_LeachingZones_Data(), Table_SourceData_LeachingZones[[#Headers],[Leaching Zone]], 0)</calculatedColumnFormula>
    </tableColumn>
    <tableColumn id="2" xr3:uid="{E52BC68A-3AEA-4CFE-B12E-CF4B47CA6C1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27F0CC1-8380-49AB-959F-D4434E594C6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6CCA87F-0CA5-4AD5-8908-B668D4C1A9F5}" name="Data source">
      <calculatedColumnFormula array="1">Common_InputFunctions.Utility_DisplayArrayInTable(Common_SourceData.Common_SourceData_DataScores_Scope3_Data(), Table_SourceData_DataScores_Scope3[[#Headers],[Data source]], 0)</calculatedColumnFormula>
    </tableColumn>
    <tableColumn id="2" xr3:uid="{509FFBB4-2B66-4EB8-AF5B-FE3BAA794F7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30A4C50-0A5A-4843-A274-CC8B07CD1796}" name="Table_SourceData_FracWET" displayName="Table_SourceData_FracWET" ref="D134:E136" totalsRowShown="0">
  <autoFilter ref="D134:E136" xr:uid="{308E99BE-FE1F-47A4-B2CA-97217277C4E9}">
    <filterColumn colId="0" hiddenButton="1"/>
    <filterColumn colId="1" hiddenButton="1"/>
  </autoFilter>
  <tableColumns count="2">
    <tableColumn id="1" xr3:uid="{D236D383-013D-4AFF-83C3-3075D5331887}" name="Is in leaching zone">
      <calculatedColumnFormula array="1">Common_InputFunctions.Utility_DisplayArrayInTable(Common_SourceData.Common_SourceData_FracWET_Data(),Table_SourceData_FracWET[[#Headers],[Is in leaching zone]],0)</calculatedColumnFormula>
    </tableColumn>
    <tableColumn id="2" xr3:uid="{C44B9342-FAF3-473B-889E-3BEE33C961B5}" name="FracWET" dataDxfId="7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94CCDF3-D465-4F3C-962B-7A42DE2314C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162D900-1189-42AC-BC7B-8CAFD85BD6CF}" name="Production system j">
      <calculatedColumnFormula array="1">Common_InputFunctions.Utility_DisplayArrayInTable(Common_SourceData.Common_SourceData_EFN2O_Data(), Table_SourceData_Common_EFN2O[[#Headers],[Production system j]], 0)</calculatedColumnFormula>
    </tableColumn>
    <tableColumn id="2" xr3:uid="{0D3CEA4F-C31A-44E0-9311-F147A97478C7}" name="EFN2O">
      <calculatedColumnFormula array="1">Common_InputFunctions.Utility_DisplayArrayInTable(Common_SourceData.Common_SourceData_EFN2O_Data(), Table_SourceData_Common_EFN2O[[#Headers],[Production system j]], 0)</calculatedColumnFormula>
    </tableColumn>
    <tableColumn id="3" xr3:uid="{4ED1F932-024E-4CE6-905C-01DBA14C41CB}" name="Production system only">
      <calculatedColumnFormula array="1">Common_InputFunctions.Utility_DisplayArrayInTable(Common_SourceData.Common_SourceData_EFN2O_Data(), Table_SourceData_Common_EFN2O[[#Headers],[Production system j]], 0)</calculatedColumnFormula>
    </tableColumn>
    <tableColumn id="4" xr3:uid="{B0C35DFC-C877-4DEB-A29E-3C9AAC99AB77}" name="Irrigation method">
      <calculatedColumnFormula array="1">Common_InputFunctions.Utility_DisplayArrayInTable(Common_SourceData.Common_SourceData_EFN2O_Data(), Table_SourceData_Common_EFN2O[[#Headers],[Production system j]], 0)</calculatedColumnFormula>
    </tableColumn>
    <tableColumn id="5" xr3:uid="{5B7D549E-12AB-461A-B4BD-16BF86E7517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706789A-5CC1-481B-ADE1-C4EA2CE730A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258410F-EEF0-4AA5-91E1-B9BF38F7A261}" name="Irrigation type i">
      <calculatedColumnFormula array="1">Common_InputFunctions.Utility_DisplayArrayInTable(Common_SourceData.Common_SourceData_FracWETIrrigation_Data(), Table_SourceData_FracWETIrrigation[[#Headers],[Irrigation type i]], 0)</calculatedColumnFormula>
    </tableColumn>
    <tableColumn id="2" xr3:uid="{C40E8E2E-E2CD-4C6E-9C4D-E645977CE604}" name="FracWET" dataDxfId="7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6C88BCC-7894-4C20-9C2A-8CDE4C6B1EE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943E66A-E898-4739-85B9-B8993AEFEFE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DB60ECF-FE83-4747-8A89-E539A9E82AF2}" name="EFPRP" dataDxfId="7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0A5CA41-73A9-42F8-9FB4-EFBC225112D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52BBF48-51B9-4040-9BBD-D405B0279AAB}" name="Month">
      <calculatedColumnFormula array="1">Common_InputFunctions.Utility_DisplayArrayInTable(Common_SourceData.Common_SourceData_MonthsToSeasons_Data(), Table_SourceData_Common_MonthToSeason[[#Headers],[Month]], 0)</calculatedColumnFormula>
    </tableColumn>
    <tableColumn id="2" xr3:uid="{2E7AB16D-8444-4D94-ADB5-605A65F31BC5}" name="Season" dataDxfId="6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0B50A80-4AB9-4892-8A66-CFA7B922D78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45F806F-9BCB-47D0-A5F1-EC54B7E5D55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DBDA863-B30B-4EE1-90A0-13B0600CB9C2}" name="MAT (ºC)"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B1B915-033F-4677-A096-B4D770C9DD41}" name="Anaerobic lagoon"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30CE494-D4F6-415E-B729-438FB58F3715}" name="Digester / covered lagoons"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94ED20D-8760-48AE-8A1D-A51DD14CA20F}" name="Liquid systems"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11B43A-8006-4CC9-B7A4-47194F3B3859}" name="Daily spread"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12770A9-3C7F-4216-8981-17B7EA1D0C49}" name="Composting (passive windrow)"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1151EAD-9249-4E73-8B6F-FF47F47485C0}" name="Solid storage"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C83FDED-3D88-4D58-B0A6-8CDFA3B0AF67}" name="Pit storage"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801B60-80AD-4F8E-A813-086765F267FD}" name="Deep litter"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28EB6A3-2B37-4231-B3CF-9EA642DF4810}" name="Poultry manure with bedding"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73DC8B2-A47C-4647-973D-CA2F69CAE2B4}" name="Poultry manure without bedding"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299E759-A1D5-4040-9BFD-49EEEC12565C}" name="Direct processing"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292F518-48F3-425C-A241-5EC89E171B39}" name="Direct application"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3C71BD6-27B4-449B-8445-7C7AC4366E9F}" name="Pasture range and paddock"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F726EA6-D302-458D-9DA6-EFAD524D2165}" name="MAT ra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8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4.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5.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dimension ref="A1:BL82"/>
  <sheetViews>
    <sheetView showGridLines="0" tabSelected="1" zoomScaleNormal="100" workbookViewId="0"/>
  </sheetViews>
  <sheetFormatPr defaultRowHeight="15" x14ac:dyDescent="0.25"/>
  <cols>
    <col min="1" max="1" width="30.7109375" customWidth="1"/>
    <col min="2" max="3" width="4.7109375" customWidth="1"/>
  </cols>
  <sheetData>
    <row r="1" spans="1:64" ht="30" customHeight="1" x14ac:dyDescent="0.35">
      <c r="A1" s="67" t="e" vm="1">
        <v>#VALUE!</v>
      </c>
      <c r="C1" s="147" t="s">
        <v>356</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357</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358</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193</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318</v>
      </c>
      <c r="E7" s="135">
        <f>'4.6.1.1-2 Methane'!E222</f>
        <v>1.9999321060623357E-2</v>
      </c>
      <c r="F7" s="135">
        <f>'4.6.1.1-2 Methane'!O222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319</v>
      </c>
      <c r="E8" s="135">
        <f>'4.6.1.3-4 Direct N20'!E245</f>
        <v>5.7674954756571411E-4</v>
      </c>
      <c r="F8" s="135">
        <f>'4.6.1.3-4 Direct N20'!O245</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320</v>
      </c>
      <c r="E9" s="135">
        <f>'4.6.1.5-6 Atmos Dep'!E96</f>
        <v>2.2877540674560014E-4</v>
      </c>
      <c r="F9" s="135">
        <f>'4.6.1.5-6 Atmos Dep'!O96</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288</v>
      </c>
      <c r="E10" s="135">
        <f>'4.6.1.7-8 Leaching and runoff'!E59</f>
        <v>3.4753311014399998E-6</v>
      </c>
      <c r="F10" s="135">
        <f>'4.6.1.7-8 Leaching and runoff'!O59</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304</v>
      </c>
      <c r="E11" s="135">
        <f>'4.6.1.10-11 Soil direct N2O'!E27</f>
        <v>2.3434148571428574E-4</v>
      </c>
      <c r="F11" s="135">
        <f>'4.6.1.10-11 Soil direct N2O'!O27</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321</v>
      </c>
      <c r="E12" s="135">
        <f>'4.6.1.12-13 Soil atmos dep'!E45</f>
        <v>1.72240992E-5</v>
      </c>
      <c r="F12" s="135">
        <f>'4.6.1.12-13 Soil atmos dep'!N45</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315</v>
      </c>
      <c r="E13" s="135">
        <f>'4.6.1.14-15 Soil leach runoff'!E47</f>
        <v>2.5777563428571431E-6</v>
      </c>
      <c r="F13" s="135">
        <f>'4.6.1.14-15 Soil leach runoff'!O47</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292</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183</v>
      </c>
      <c r="F19" s="109" t="s">
        <v>184</v>
      </c>
      <c r="G19" s="109" t="s">
        <v>185</v>
      </c>
      <c r="H19" s="109" t="s">
        <v>186</v>
      </c>
      <c r="I19" s="1"/>
      <c r="J19" s="22"/>
      <c r="K19" s="22"/>
    </row>
    <row r="20" spans="1:11" ht="20.100000000000001" customHeight="1" x14ac:dyDescent="0.25">
      <c r="C20" s="22"/>
      <c r="D20" s="1" t="s">
        <v>187</v>
      </c>
      <c r="E20" s="122">
        <f>'4.6.1.9 Manure applied to soils'!E121</f>
        <v>36.930778279920006</v>
      </c>
      <c r="F20" s="54" t="s">
        <v>160</v>
      </c>
      <c r="G20" s="1" t="s">
        <v>322</v>
      </c>
      <c r="H20" s="1" t="s">
        <v>188</v>
      </c>
      <c r="I20" s="1"/>
      <c r="J20" s="22"/>
      <c r="K20" s="22"/>
    </row>
    <row r="21" spans="1:11" ht="20.100000000000001" customHeight="1" x14ac:dyDescent="0.25">
      <c r="A21" s="18" t="s">
        <v>2</v>
      </c>
      <c r="C21" s="22"/>
      <c r="D21" s="1" t="s">
        <v>189</v>
      </c>
      <c r="E21" s="122">
        <f>'4.6.1.9 Manure applied to soils'!E205</f>
        <v>8.9593892186400037</v>
      </c>
      <c r="F21" s="54" t="s">
        <v>160</v>
      </c>
      <c r="G21" s="1" t="s">
        <v>322</v>
      </c>
      <c r="H21" s="1" t="s">
        <v>188</v>
      </c>
      <c r="I21" s="22"/>
      <c r="J21" s="22"/>
      <c r="K21" s="22"/>
    </row>
    <row r="22" spans="1:11" ht="20.100000000000001" customHeight="1" x14ac:dyDescent="0.25">
      <c r="A22" s="17" t="str">
        <f>HYPERLINK("#'Constants - Poultry'!A1", "Constants - Poultry")</f>
        <v>Constants - Poultry</v>
      </c>
      <c r="C22" s="22"/>
      <c r="D22" s="1" t="s">
        <v>190</v>
      </c>
      <c r="E22" s="122">
        <f>'4.6.1.9 Manure applied to soils'!E158</f>
        <v>8.9593892186400037</v>
      </c>
      <c r="F22" s="54" t="s">
        <v>160</v>
      </c>
      <c r="G22" s="1" t="s">
        <v>191</v>
      </c>
      <c r="H22" s="1" t="s">
        <v>192</v>
      </c>
      <c r="I22" s="22"/>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9" sqref="A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15.285156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7" customFormat="1" ht="30" customHeight="1" x14ac:dyDescent="0.35">
      <c r="A1" s="67" t="e" vm="1">
        <v>#VALUE!</v>
      </c>
      <c r="C1" s="67" t="s">
        <v>194</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5" t="s">
        <v>139</v>
      </c>
      <c r="E5" s="90"/>
      <c r="F5" s="90"/>
      <c r="G5" s="90"/>
      <c r="H5" s="86"/>
      <c r="M5" s="3"/>
      <c r="Q5" s="7"/>
    </row>
    <row r="6" spans="1:22" ht="20.100000000000001" customHeight="1" x14ac:dyDescent="0.25">
      <c r="A6" s="16"/>
      <c r="D6" s="92"/>
      <c r="E6" s="89"/>
      <c r="F6" s="89"/>
      <c r="G6" s="89"/>
      <c r="H6" s="87"/>
      <c r="M6" s="3"/>
      <c r="Q6" s="7"/>
    </row>
    <row r="7" spans="1:22" ht="20.100000000000001" customHeight="1" x14ac:dyDescent="0.25">
      <c r="A7" s="20" t="s">
        <v>1</v>
      </c>
      <c r="M7" s="3"/>
      <c r="Q7" s="7"/>
    </row>
    <row r="8" spans="1:22" ht="20.100000000000001" customHeight="1" x14ac:dyDescent="0.25">
      <c r="A8" s="17" t="str">
        <f>HYPERLINK("#'Input - Site'!A1", "Site")</f>
        <v>Site</v>
      </c>
      <c r="M8" s="3"/>
      <c r="Q8" s="7"/>
    </row>
    <row r="9" spans="1:22" ht="20.100000000000001" customHeight="1" x14ac:dyDescent="0.25">
      <c r="A9" s="130" t="str">
        <f>HYPERLINK("#'Input - Poultry'!A1", "Poultry")</f>
        <v>Poultry</v>
      </c>
      <c r="E9" s="111" t="s">
        <v>197</v>
      </c>
      <c r="F9" s="111" t="s">
        <v>198</v>
      </c>
      <c r="G9" s="111" t="s">
        <v>211</v>
      </c>
      <c r="H9" s="111" t="s">
        <v>212</v>
      </c>
      <c r="Q9" s="7"/>
    </row>
    <row r="10" spans="1:22" ht="20.100000000000001" customHeight="1" x14ac:dyDescent="0.25">
      <c r="A10" s="17"/>
      <c r="D10" s="48" t="str">
        <f>"Average duration of stay between " &amp; TEXT('Input - Site'!$E$12, "dd mmm yy") &amp; " and " &amp; TEXT('Input - Site'!$E$13, "dd mmm yy")</f>
        <v>Average duration of stay between 01 Jan 24 and 31 Dec 24</v>
      </c>
      <c r="E10" s="65">
        <v>365</v>
      </c>
      <c r="F10" s="65">
        <v>365</v>
      </c>
      <c r="G10" s="65">
        <v>365</v>
      </c>
      <c r="H10" s="65">
        <v>365</v>
      </c>
      <c r="I10" s="2" t="s">
        <v>52</v>
      </c>
      <c r="Q10" s="7"/>
    </row>
    <row r="11" spans="1:22" ht="20.100000000000001" customHeight="1" x14ac:dyDescent="0.25">
      <c r="A11" s="19" t="s">
        <v>72</v>
      </c>
      <c r="D11" s="48" t="str">
        <f>"Average number of birds between " &amp; TEXT('Input - Site'!$E$12, "dd mmm yy") &amp; " and " &amp; TEXT('Input - Site'!$E$13, "dd mmm yy")</f>
        <v>Average number of birds between 01 Jan 24 and 31 Dec 24</v>
      </c>
      <c r="E11" s="65">
        <v>100</v>
      </c>
      <c r="F11" s="65">
        <v>100</v>
      </c>
      <c r="G11" s="65">
        <v>100</v>
      </c>
      <c r="H11" s="65">
        <v>100</v>
      </c>
      <c r="I11" s="2" t="s">
        <v>94</v>
      </c>
      <c r="Q11" s="7"/>
    </row>
    <row r="12" spans="1:22" ht="20.100000000000001" customHeight="1" x14ac:dyDescent="0.25">
      <c r="A12" s="17" t="str">
        <f>HYPERLINK("#'4.6.1.1-2 Methane'!A1", "4.6.1.1-2 Methane")</f>
        <v>4.6.1.1-2 Methane</v>
      </c>
      <c r="Q12" s="7"/>
    </row>
    <row r="13" spans="1:22" ht="20.100000000000001" customHeight="1" x14ac:dyDescent="0.25">
      <c r="A13" s="17" t="str">
        <f>HYPERLINK("#'4.6.1.3-4 Direct N20'!A1", "4.6.1.3-4 Direct N2O")</f>
        <v>4.6.1.3-4 Direct N2O</v>
      </c>
      <c r="D13" s="6" t="s">
        <v>127</v>
      </c>
      <c r="Q13" s="38"/>
    </row>
    <row r="14" spans="1:22" ht="20.100000000000001" customHeight="1" x14ac:dyDescent="0.25">
      <c r="A14" s="17" t="str">
        <f>HYPERLINK("#'4.6.1.5-6 Atmos Dep'!A1", "4.6.1.5-6 Atmospheric deposition")</f>
        <v>4.6.1.5-6 Atmospheric deposition</v>
      </c>
      <c r="Q14" s="38"/>
    </row>
    <row r="15" spans="1:22" ht="20.100000000000001" customHeight="1" x14ac:dyDescent="0.25">
      <c r="A15" s="17" t="str">
        <f>HYPERLINK("#'4.6.1.7-8 Leaching and runoff'!A1", "4.6.1.7-8 Leaching &amp; runoff")</f>
        <v>4.6.1.7-8 Leaching &amp; runoff</v>
      </c>
      <c r="D15" s="62" t="s">
        <v>147</v>
      </c>
      <c r="E15" s="111" t="s">
        <v>197</v>
      </c>
      <c r="F15" s="111" t="s">
        <v>198</v>
      </c>
      <c r="G15" s="111" t="s">
        <v>211</v>
      </c>
      <c r="H15" s="111" t="s">
        <v>212</v>
      </c>
      <c r="Q15" s="38"/>
    </row>
    <row r="16" spans="1:22" ht="20.100000000000001" customHeight="1" x14ac:dyDescent="0.25">
      <c r="A16" s="17" t="str">
        <f>HYPERLINK("#'4.6.1.9 Manure applied to soils'!A1", "4.6.1.9 Manure applied to soils")</f>
        <v>4.6.1.9 Manure applied to soils</v>
      </c>
      <c r="D16" s="1" t="s">
        <v>214</v>
      </c>
      <c r="E16" s="52">
        <f>'Constants - Poultry'!E9</f>
        <v>8.5999999999999993E-2</v>
      </c>
      <c r="F16" s="52">
        <f>'Constants - Poultry'!F9</f>
        <v>9.2999999999999999E-2</v>
      </c>
      <c r="G16" s="52">
        <f>'Constants - Poultry'!G9</f>
        <v>0.10299999999999999</v>
      </c>
      <c r="H16" s="52">
        <f>'Constants - Poultry'!H9</f>
        <v>9.2999999999999999E-2</v>
      </c>
      <c r="I16" s="2" t="s">
        <v>216</v>
      </c>
      <c r="Q16" s="38"/>
    </row>
    <row r="17" spans="1:17" ht="20.100000000000001" customHeight="1" x14ac:dyDescent="0.25">
      <c r="A17" s="17" t="str">
        <f>HYPERLINK("#'4.6.1.10-11 Soil direct N2O'!A1", "4.6.1.10-11 Soil direct N2O")</f>
        <v>4.6.1.10-11 Soil direct N2O</v>
      </c>
      <c r="D17" s="1" t="s">
        <v>215</v>
      </c>
      <c r="E17" s="52">
        <f>'Constants - Poultry'!E10</f>
        <v>0.8</v>
      </c>
      <c r="F17" s="52">
        <f>'Constants - Poultry'!F10</f>
        <v>0.8</v>
      </c>
      <c r="G17" s="52">
        <f>'Constants - Poultry'!G10</f>
        <v>0.8</v>
      </c>
      <c r="H17" s="52">
        <f>'Constants - Poultry'!H10</f>
        <v>0.8</v>
      </c>
      <c r="I17" s="2" t="s">
        <v>113</v>
      </c>
      <c r="Q17" s="7"/>
    </row>
    <row r="18" spans="1:17" ht="20.100000000000001" customHeight="1" x14ac:dyDescent="0.25">
      <c r="A18" s="17" t="str">
        <f>HYPERLINK("#'4.6.1.12-13 Soil atmos dep'!A1", "4.6.1.12-13 Soil Atm. deposition")</f>
        <v>4.6.1.12-13 Soil Atm. deposition</v>
      </c>
      <c r="D18" s="1" t="s">
        <v>244</v>
      </c>
      <c r="E18" s="52">
        <f>'Constants - Poultry'!E11</f>
        <v>0.19</v>
      </c>
      <c r="F18" s="52">
        <f>'Constants - Poultry'!F11</f>
        <v>0.23</v>
      </c>
      <c r="G18" s="52">
        <f>'Constants - Poultry'!G11</f>
        <v>0.19</v>
      </c>
      <c r="H18" s="52">
        <f>'Constants - Poultry'!H11</f>
        <v>0.23</v>
      </c>
      <c r="I18" s="2" t="s">
        <v>113</v>
      </c>
      <c r="J18" s="2"/>
      <c r="Q18" s="7"/>
    </row>
    <row r="19" spans="1:17" ht="20.100000000000001" customHeight="1" x14ac:dyDescent="0.25">
      <c r="A19" s="17" t="str">
        <f>HYPERLINK("#'4.6.1.14-15 Soil leach runoff'!A1", "4.6.1.14-15 Soil leach &amp; runoff")</f>
        <v>4.6.1.14-15 Soil leach &amp; runoff</v>
      </c>
      <c r="Q19" s="7"/>
    </row>
    <row r="20" spans="1:17" ht="20.100000000000001" customHeight="1" x14ac:dyDescent="0.25">
      <c r="D20" s="62" t="s">
        <v>148</v>
      </c>
      <c r="E20" s="111" t="s">
        <v>197</v>
      </c>
      <c r="F20" s="111" t="s">
        <v>198</v>
      </c>
      <c r="G20" s="111" t="s">
        <v>211</v>
      </c>
      <c r="H20" s="111" t="s">
        <v>212</v>
      </c>
      <c r="Q20" s="7"/>
    </row>
    <row r="21" spans="1:17" ht="20.100000000000001" customHeight="1" x14ac:dyDescent="0.25">
      <c r="A21" s="18" t="s">
        <v>2</v>
      </c>
      <c r="D21" s="1" t="s">
        <v>214</v>
      </c>
      <c r="E21" s="65">
        <f>'Constants - Poultry'!E9</f>
        <v>8.5999999999999993E-2</v>
      </c>
      <c r="F21" s="65">
        <f>'Constants - Poultry'!F9</f>
        <v>9.2999999999999999E-2</v>
      </c>
      <c r="G21" s="65">
        <f>'Constants - Poultry'!G9</f>
        <v>0.10299999999999999</v>
      </c>
      <c r="H21" s="65">
        <f>'Constants - Poultry'!H9</f>
        <v>9.2999999999999999E-2</v>
      </c>
      <c r="I21" s="2" t="s">
        <v>216</v>
      </c>
      <c r="Q21" s="7"/>
    </row>
    <row r="22" spans="1:17" ht="20.100000000000001" customHeight="1" x14ac:dyDescent="0.25">
      <c r="A22" s="17" t="str">
        <f>HYPERLINK("#'Constants - Poultry'!A1", "Constants - Poultry")</f>
        <v>Constants - Poultry</v>
      </c>
      <c r="D22" s="1" t="s">
        <v>215</v>
      </c>
      <c r="E22" s="65">
        <f>'Constants - Poultry'!E10</f>
        <v>0.8</v>
      </c>
      <c r="F22" s="65">
        <f>'Constants - Poultry'!F10</f>
        <v>0.8</v>
      </c>
      <c r="G22" s="65">
        <f>'Constants - Poultry'!G10</f>
        <v>0.8</v>
      </c>
      <c r="H22" s="65">
        <f>'Constants - Poultry'!H10</f>
        <v>0.8</v>
      </c>
      <c r="I22" s="2" t="s">
        <v>113</v>
      </c>
      <c r="Q22" s="7"/>
    </row>
    <row r="23" spans="1:17" ht="20.100000000000001" customHeight="1" x14ac:dyDescent="0.25">
      <c r="A23" s="17" t="str">
        <f>HYPERLINK("#'Constants - Livestock'!A1", "Constants - Livestock")</f>
        <v>Constants - Livestock</v>
      </c>
      <c r="D23" s="1" t="s">
        <v>244</v>
      </c>
      <c r="E23" s="65">
        <f>'Constants - Poultry'!E11</f>
        <v>0.19</v>
      </c>
      <c r="F23" s="65">
        <f>'Constants - Poultry'!F11</f>
        <v>0.23</v>
      </c>
      <c r="G23" s="65">
        <f>'Constants - Poultry'!G11</f>
        <v>0.19</v>
      </c>
      <c r="H23" s="65">
        <f>'Constants - Poultry'!H11</f>
        <v>0.23</v>
      </c>
      <c r="I23" s="2" t="s">
        <v>113</v>
      </c>
      <c r="Q23" s="7"/>
    </row>
    <row r="24" spans="1:17" ht="20.100000000000001" customHeight="1" x14ac:dyDescent="0.25">
      <c r="A24" s="17" t="str">
        <f>HYPERLINK("#'Constants - Common'!A1", "Constants - Common")</f>
        <v>Constants - Common</v>
      </c>
      <c r="Q24" s="7"/>
    </row>
    <row r="25" spans="1:17" ht="20.100000000000001" customHeight="1" x14ac:dyDescent="0.25">
      <c r="A25" s="17"/>
      <c r="D25" s="6" t="s">
        <v>135</v>
      </c>
      <c r="Q25" s="7"/>
    </row>
    <row r="26" spans="1:17" ht="20.100000000000001" customHeight="1" x14ac:dyDescent="0.25">
      <c r="Q26" s="7"/>
    </row>
    <row r="27" spans="1:17" ht="20.100000000000001" customHeight="1" x14ac:dyDescent="0.25">
      <c r="D27" s="1" t="s">
        <v>107</v>
      </c>
      <c r="E27" s="39" t="s">
        <v>210</v>
      </c>
      <c r="F27" s="2" t="s">
        <v>9</v>
      </c>
      <c r="Q27" s="7"/>
    </row>
    <row r="28" spans="1:17" ht="20.100000000000001" customHeight="1" x14ac:dyDescent="0.25">
      <c r="A28" s="17"/>
      <c r="Q28" s="7"/>
    </row>
    <row r="29" spans="1:17" ht="20.100000000000001" customHeight="1" x14ac:dyDescent="0.25">
      <c r="A29" s="17"/>
      <c r="D29" s="62" t="s">
        <v>136</v>
      </c>
      <c r="E29" s="111" t="s">
        <v>197</v>
      </c>
      <c r="F29" s="111" t="s">
        <v>198</v>
      </c>
      <c r="G29" s="111" t="s">
        <v>211</v>
      </c>
      <c r="H29" s="111" t="s">
        <v>212</v>
      </c>
      <c r="Q29" s="7"/>
    </row>
    <row r="30" spans="1:17" ht="20.100000000000001" customHeight="1" x14ac:dyDescent="0.25">
      <c r="A30" s="17"/>
      <c r="D30" s="117" t="str">
        <f>'Constants - Poultry'!G29</f>
        <v>Poultry manure with bedding</v>
      </c>
      <c r="E30" s="46">
        <v>0.3</v>
      </c>
      <c r="F30" s="46">
        <v>0.3</v>
      </c>
      <c r="G30" s="46">
        <v>0.3</v>
      </c>
      <c r="H30" s="46">
        <v>0.3</v>
      </c>
      <c r="I30" s="2" t="s">
        <v>16</v>
      </c>
      <c r="Q30" s="7"/>
    </row>
    <row r="31" spans="1:17" ht="20.100000000000001" customHeight="1" x14ac:dyDescent="0.25">
      <c r="A31" s="66"/>
      <c r="D31" s="117" t="str">
        <f>'Constants - Poultry'!G30</f>
        <v>Belt manure removal</v>
      </c>
      <c r="E31" s="46">
        <v>0.3</v>
      </c>
      <c r="F31" s="46">
        <v>0.3</v>
      </c>
      <c r="G31" s="46">
        <v>0.3</v>
      </c>
      <c r="H31" s="46">
        <v>0.3</v>
      </c>
      <c r="I31" s="2" t="s">
        <v>16</v>
      </c>
      <c r="Q31" s="7"/>
    </row>
    <row r="32" spans="1:17" ht="20.100000000000001" customHeight="1" x14ac:dyDescent="0.25">
      <c r="A32" s="66"/>
      <c r="D32" s="117" t="str">
        <f>'Constants - Poultry'!G31</f>
        <v>Manure stored in house</v>
      </c>
      <c r="E32" s="46">
        <v>0.3</v>
      </c>
      <c r="F32" s="46">
        <v>0.3</v>
      </c>
      <c r="G32" s="46">
        <v>0.3</v>
      </c>
      <c r="H32" s="46">
        <v>0.3</v>
      </c>
      <c r="I32" s="2" t="s">
        <v>16</v>
      </c>
      <c r="Q32" s="7"/>
    </row>
    <row r="33" spans="1:17" ht="20.100000000000001" customHeight="1" x14ac:dyDescent="0.25">
      <c r="A33" s="17"/>
      <c r="D33" s="117" t="str">
        <f>'Constants - Poultry'!G32</f>
        <v>Pasture range and paddock</v>
      </c>
      <c r="E33" s="46">
        <v>0.1</v>
      </c>
      <c r="F33" s="46">
        <v>0.1</v>
      </c>
      <c r="G33" s="46">
        <v>0.1</v>
      </c>
      <c r="H33" s="46">
        <v>0.1</v>
      </c>
      <c r="I33" s="2" t="s">
        <v>16</v>
      </c>
      <c r="Q33" s="7"/>
    </row>
    <row r="34" spans="1:17"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Q34" s="7"/>
    </row>
    <row r="35" spans="1:17" ht="20.100000000000001" customHeight="1" x14ac:dyDescent="0.25">
      <c r="D35" s="123" t="s">
        <v>144</v>
      </c>
      <c r="Q35" s="7"/>
    </row>
    <row r="36" spans="1:17" ht="20.100000000000001" customHeight="1" x14ac:dyDescent="0.25">
      <c r="D36" s="119" t="s">
        <v>138</v>
      </c>
      <c r="E36" s="111" t="s">
        <v>197</v>
      </c>
      <c r="F36" s="111" t="s">
        <v>198</v>
      </c>
      <c r="G36" s="111" t="s">
        <v>211</v>
      </c>
      <c r="H36" s="111" t="s">
        <v>212</v>
      </c>
      <c r="I36" s="124" t="s">
        <v>145</v>
      </c>
      <c r="J36" s="62" t="s">
        <v>140</v>
      </c>
      <c r="K36" s="62"/>
      <c r="L36" s="112"/>
      <c r="Q36" s="7"/>
    </row>
    <row r="37" spans="1:17"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J37" s="122" t="s">
        <v>141</v>
      </c>
      <c r="K37" s="122" t="s">
        <v>142</v>
      </c>
      <c r="L37" s="122" t="s">
        <v>143</v>
      </c>
      <c r="Q37" s="7"/>
    </row>
    <row r="38" spans="1:17" ht="20.100000000000001" customHeight="1" x14ac:dyDescent="0.25">
      <c r="D38" s="121" t="str">
        <f>'Constants - Poultry'!$J$29</f>
        <v>Solid storage</v>
      </c>
      <c r="E38" s="46">
        <v>0.2</v>
      </c>
      <c r="F38" s="46">
        <v>0.2</v>
      </c>
      <c r="G38" s="46">
        <v>0.2</v>
      </c>
      <c r="H38" s="46">
        <v>0.2</v>
      </c>
      <c r="I38" s="2" t="s">
        <v>16</v>
      </c>
      <c r="J38" s="46">
        <v>0.25</v>
      </c>
      <c r="K38" s="46">
        <v>0.25</v>
      </c>
      <c r="L38" s="96">
        <f t="shared" ref="L38:L40" si="0">1-SUM(J38:K38)</f>
        <v>0.5</v>
      </c>
      <c r="Q38" s="7"/>
    </row>
    <row r="39" spans="1:17" ht="20.100000000000001" customHeight="1" x14ac:dyDescent="0.25">
      <c r="A39" s="17"/>
      <c r="D39" s="121" t="str">
        <f>'Constants - Poultry'!$J$30</f>
        <v>Composting (passive windrow)</v>
      </c>
      <c r="E39" s="46">
        <v>0.2</v>
      </c>
      <c r="F39" s="46">
        <v>0.2</v>
      </c>
      <c r="G39" s="46">
        <v>0.2</v>
      </c>
      <c r="H39" s="46">
        <v>0.2</v>
      </c>
      <c r="I39" s="2" t="s">
        <v>16</v>
      </c>
      <c r="J39" s="46">
        <v>0.25</v>
      </c>
      <c r="K39" s="46">
        <v>0.25</v>
      </c>
      <c r="L39" s="96">
        <f t="shared" si="0"/>
        <v>0.5</v>
      </c>
      <c r="Q39" s="7"/>
    </row>
    <row r="40" spans="1:17" ht="20.100000000000001" customHeight="1" x14ac:dyDescent="0.25">
      <c r="D40" s="121" t="str">
        <f>'Constants - Poultry'!$J$31</f>
        <v>Digester / covered lagoons</v>
      </c>
      <c r="E40" s="46">
        <v>0.2</v>
      </c>
      <c r="F40" s="46">
        <v>0.2</v>
      </c>
      <c r="G40" s="46">
        <v>0.2</v>
      </c>
      <c r="H40" s="46">
        <v>0.2</v>
      </c>
      <c r="I40" s="2" t="s">
        <v>16</v>
      </c>
      <c r="J40" s="46">
        <v>0.25</v>
      </c>
      <c r="K40" s="46">
        <v>0.25</v>
      </c>
      <c r="L40" s="96">
        <f t="shared" si="0"/>
        <v>0.5</v>
      </c>
      <c r="Q40" s="7"/>
    </row>
    <row r="41" spans="1:17" ht="20.100000000000001" customHeight="1" x14ac:dyDescent="0.25">
      <c r="A41" s="44"/>
      <c r="D41" s="121" t="str">
        <f>'Constants - Poultry'!$J$32</f>
        <v>Direct processing</v>
      </c>
      <c r="E41" s="46">
        <v>0.2</v>
      </c>
      <c r="F41" s="46">
        <v>0.2</v>
      </c>
      <c r="G41" s="46">
        <v>0.2</v>
      </c>
      <c r="H41" s="46">
        <v>0.2</v>
      </c>
      <c r="I41" s="2" t="s">
        <v>16</v>
      </c>
      <c r="J41" s="46">
        <v>0.25</v>
      </c>
      <c r="K41" s="46">
        <v>0.25</v>
      </c>
      <c r="L41" s="96">
        <f t="shared" ref="L41:L42" si="1">1-SUM(J41:K41)</f>
        <v>0.5</v>
      </c>
      <c r="Q41" s="7"/>
    </row>
    <row r="42" spans="1:17"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96">
        <v>0</v>
      </c>
      <c r="K42" s="96">
        <v>0</v>
      </c>
      <c r="L42" s="96">
        <f t="shared" si="1"/>
        <v>1</v>
      </c>
      <c r="Q42" s="7"/>
    </row>
    <row r="43" spans="1:17" ht="20.100000000000001" customHeight="1" x14ac:dyDescent="0.25">
      <c r="D43" s="118"/>
      <c r="F43" s="2"/>
      <c r="Q43" s="7"/>
    </row>
    <row r="44" spans="1:17"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J44" s="122" t="s">
        <v>141</v>
      </c>
      <c r="K44" s="122" t="s">
        <v>142</v>
      </c>
      <c r="L44" s="122" t="s">
        <v>143</v>
      </c>
      <c r="Q44" s="7"/>
    </row>
    <row r="45" spans="1:17" ht="20.100000000000001" customHeight="1" x14ac:dyDescent="0.25">
      <c r="D45" s="121" t="str">
        <f>'Constants - Poultry'!$J$29</f>
        <v>Solid storage</v>
      </c>
      <c r="E45" s="46">
        <v>0.2</v>
      </c>
      <c r="F45" s="46">
        <v>0.2</v>
      </c>
      <c r="G45" s="46">
        <v>0.2</v>
      </c>
      <c r="H45" s="46">
        <v>0.2</v>
      </c>
      <c r="I45" s="2" t="s">
        <v>16</v>
      </c>
      <c r="J45" s="46">
        <v>0.25</v>
      </c>
      <c r="K45" s="46">
        <v>0.25</v>
      </c>
      <c r="L45" s="96">
        <f>1-SUM(J45:K45)</f>
        <v>0.5</v>
      </c>
      <c r="Q45" s="7"/>
    </row>
    <row r="46" spans="1:17" ht="20.100000000000001" customHeight="1" x14ac:dyDescent="0.25">
      <c r="D46" s="121" t="str">
        <f>'Constants - Poultry'!$J$30</f>
        <v>Composting (passive windrow)</v>
      </c>
      <c r="E46" s="46">
        <v>0.2</v>
      </c>
      <c r="F46" s="46">
        <v>0.2</v>
      </c>
      <c r="G46" s="46">
        <v>0.2</v>
      </c>
      <c r="H46" s="46">
        <v>0.2</v>
      </c>
      <c r="I46" s="2" t="s">
        <v>16</v>
      </c>
      <c r="J46" s="46">
        <v>0.25</v>
      </c>
      <c r="K46" s="46">
        <v>0.25</v>
      </c>
      <c r="L46" s="96">
        <f t="shared" ref="L46:L49" si="3">1-SUM(J46:K46)</f>
        <v>0.5</v>
      </c>
      <c r="Q46" s="7"/>
    </row>
    <row r="47" spans="1:17" ht="20.100000000000001" customHeight="1" x14ac:dyDescent="0.25">
      <c r="D47" s="121" t="str">
        <f>'Constants - Poultry'!$J$31</f>
        <v>Digester / covered lagoons</v>
      </c>
      <c r="E47" s="46">
        <v>0.2</v>
      </c>
      <c r="F47" s="46">
        <v>0.2</v>
      </c>
      <c r="G47" s="46">
        <v>0.2</v>
      </c>
      <c r="H47" s="46">
        <v>0.2</v>
      </c>
      <c r="I47" s="2" t="s">
        <v>16</v>
      </c>
      <c r="J47" s="46">
        <v>0.25</v>
      </c>
      <c r="K47" s="46">
        <v>0.25</v>
      </c>
      <c r="L47" s="96">
        <f t="shared" si="3"/>
        <v>0.5</v>
      </c>
      <c r="Q47" s="7"/>
    </row>
    <row r="48" spans="1:17" ht="20.100000000000001" customHeight="1" x14ac:dyDescent="0.25">
      <c r="D48" s="121" t="str">
        <f>'Constants - Poultry'!$J$32</f>
        <v>Direct processing</v>
      </c>
      <c r="E48" s="46">
        <v>0.2</v>
      </c>
      <c r="F48" s="46">
        <v>0.2</v>
      </c>
      <c r="G48" s="46">
        <v>0.2</v>
      </c>
      <c r="H48" s="46">
        <v>0.2</v>
      </c>
      <c r="I48" s="2" t="s">
        <v>16</v>
      </c>
      <c r="J48" s="46">
        <v>0.25</v>
      </c>
      <c r="K48" s="46">
        <v>0.25</v>
      </c>
      <c r="L48" s="96">
        <f t="shared" si="3"/>
        <v>0.5</v>
      </c>
      <c r="Q48" s="7"/>
    </row>
    <row r="49" spans="4:17"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J49" s="96">
        <v>0</v>
      </c>
      <c r="K49" s="96">
        <v>0</v>
      </c>
      <c r="L49" s="96">
        <f t="shared" si="3"/>
        <v>1</v>
      </c>
      <c r="Q49" s="7"/>
    </row>
    <row r="50" spans="4:17" ht="20.100000000000001" customHeight="1" x14ac:dyDescent="0.25">
      <c r="Q50" s="7"/>
    </row>
    <row r="51" spans="4:17"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J51" s="122" t="s">
        <v>141</v>
      </c>
      <c r="K51" s="122" t="s">
        <v>142</v>
      </c>
      <c r="L51" s="122" t="s">
        <v>143</v>
      </c>
      <c r="Q51" s="7"/>
    </row>
    <row r="52" spans="4:17" ht="20.100000000000001" customHeight="1" x14ac:dyDescent="0.25">
      <c r="D52" s="121" t="str">
        <f>'Constants - Poultry'!$J$29</f>
        <v>Solid storage</v>
      </c>
      <c r="E52" s="46">
        <v>0.2</v>
      </c>
      <c r="F52" s="46">
        <v>0.2</v>
      </c>
      <c r="G52" s="46">
        <v>0.2</v>
      </c>
      <c r="H52" s="46">
        <v>0.2</v>
      </c>
      <c r="I52" s="2" t="s">
        <v>16</v>
      </c>
      <c r="J52" s="46">
        <v>0.25</v>
      </c>
      <c r="K52" s="46">
        <v>0.25</v>
      </c>
      <c r="L52" s="96">
        <f>1-SUM(J52:K52)</f>
        <v>0.5</v>
      </c>
      <c r="Q52" s="7"/>
    </row>
    <row r="53" spans="4:17" ht="20.100000000000001" customHeight="1" x14ac:dyDescent="0.25">
      <c r="D53" s="121" t="str">
        <f>'Constants - Poultry'!$J$30</f>
        <v>Composting (passive windrow)</v>
      </c>
      <c r="E53" s="46">
        <v>0.2</v>
      </c>
      <c r="F53" s="46">
        <v>0.2</v>
      </c>
      <c r="G53" s="46">
        <v>0.2</v>
      </c>
      <c r="H53" s="46">
        <v>0.2</v>
      </c>
      <c r="I53" s="2" t="s">
        <v>16</v>
      </c>
      <c r="J53" s="46">
        <v>0.25</v>
      </c>
      <c r="K53" s="46">
        <v>0.25</v>
      </c>
      <c r="L53" s="96">
        <f>1-SUM(J53:K53)</f>
        <v>0.5</v>
      </c>
      <c r="Q53" s="7"/>
    </row>
    <row r="54" spans="4:17" ht="20.100000000000001" customHeight="1" x14ac:dyDescent="0.25">
      <c r="D54" s="121" t="str">
        <f>'Constants - Poultry'!$J$31</f>
        <v>Digester / covered lagoons</v>
      </c>
      <c r="E54" s="46">
        <v>0.2</v>
      </c>
      <c r="F54" s="46">
        <v>0.2</v>
      </c>
      <c r="G54" s="46">
        <v>0.2</v>
      </c>
      <c r="H54" s="46">
        <v>0.2</v>
      </c>
      <c r="I54" s="2" t="s">
        <v>16</v>
      </c>
      <c r="J54" s="46">
        <v>0.25</v>
      </c>
      <c r="K54" s="46">
        <v>0.25</v>
      </c>
      <c r="L54" s="96">
        <f>1-SUM(J54:K54)</f>
        <v>0.5</v>
      </c>
      <c r="Q54" s="7"/>
    </row>
    <row r="55" spans="4:17" ht="20.100000000000001" customHeight="1" x14ac:dyDescent="0.25">
      <c r="D55" s="121" t="str">
        <f>'Constants - Poultry'!$J$32</f>
        <v>Direct processing</v>
      </c>
      <c r="E55" s="46">
        <v>0.2</v>
      </c>
      <c r="F55" s="46">
        <v>0.2</v>
      </c>
      <c r="G55" s="46">
        <v>0.2</v>
      </c>
      <c r="H55" s="46">
        <v>0.2</v>
      </c>
      <c r="I55" s="2" t="s">
        <v>16</v>
      </c>
      <c r="J55" s="46">
        <v>0.25</v>
      </c>
      <c r="K55" s="46">
        <v>0.25</v>
      </c>
      <c r="L55" s="96">
        <f t="shared" ref="L55:L56" si="5">1-SUM(J55:K55)</f>
        <v>0.5</v>
      </c>
      <c r="Q55" s="7"/>
    </row>
    <row r="56" spans="4:17"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96">
        <v>0</v>
      </c>
      <c r="K56" s="96">
        <v>0</v>
      </c>
      <c r="L56" s="96">
        <f t="shared" si="5"/>
        <v>1</v>
      </c>
      <c r="Q56" s="7"/>
    </row>
    <row r="57" spans="4:17" ht="20.100000000000001" customHeight="1" x14ac:dyDescent="0.25">
      <c r="Q57" s="7"/>
    </row>
    <row r="58" spans="4:17" ht="20.100000000000001" customHeight="1" x14ac:dyDescent="0.25">
      <c r="D58" s="116"/>
      <c r="Q58" s="7"/>
    </row>
    <row r="59" spans="4:17" ht="20.100000000000001" customHeight="1" x14ac:dyDescent="0.25">
      <c r="D59" s="1" t="s">
        <v>158</v>
      </c>
      <c r="E59" s="39" t="s">
        <v>126</v>
      </c>
      <c r="F59" s="2" t="s">
        <v>9</v>
      </c>
      <c r="Q59" s="7"/>
    </row>
    <row r="60" spans="4:17" ht="20.100000000000001" customHeight="1" x14ac:dyDescent="0.25">
      <c r="E60" s="39" t="s">
        <v>108</v>
      </c>
      <c r="F60" s="2" t="s">
        <v>9</v>
      </c>
      <c r="Q60" s="7"/>
    </row>
    <row r="61" spans="4:17" ht="20.100000000000001" customHeight="1" x14ac:dyDescent="0.25">
      <c r="Q61" s="7"/>
    </row>
    <row r="62" spans="4:17" ht="20.100000000000001" customHeight="1" x14ac:dyDescent="0.25">
      <c r="Q62" s="7"/>
    </row>
    <row r="63" spans="4:17" ht="20.100000000000001" customHeight="1" x14ac:dyDescent="0.25">
      <c r="Q63" s="7"/>
    </row>
    <row r="64" spans="4:17" ht="20.100000000000001" customHeight="1" x14ac:dyDescent="0.25">
      <c r="Q64" s="7"/>
    </row>
    <row r="65" spans="17:17" ht="20.100000000000001" customHeight="1" x14ac:dyDescent="0.25">
      <c r="Q65" s="7"/>
    </row>
    <row r="66" spans="17:17" ht="20.100000000000001" customHeight="1" x14ac:dyDescent="0.25">
      <c r="Q66" s="7"/>
    </row>
    <row r="67" spans="17:17" ht="20.100000000000001" customHeight="1" x14ac:dyDescent="0.25">
      <c r="Q67" s="7"/>
    </row>
    <row r="68" spans="17:17" ht="20.100000000000001" customHeight="1" x14ac:dyDescent="0.25">
      <c r="Q68" s="7"/>
    </row>
    <row r="69" spans="17:17" ht="20.100000000000001" customHeight="1" x14ac:dyDescent="0.25">
      <c r="Q69" s="7"/>
    </row>
    <row r="70" spans="17:17" ht="20.100000000000001" customHeight="1" x14ac:dyDescent="0.25">
      <c r="Q70" s="7"/>
    </row>
    <row r="71" spans="17:17" ht="20.100000000000001" customHeight="1" x14ac:dyDescent="0.25">
      <c r="Q71" s="7"/>
    </row>
    <row r="72" spans="17:17" ht="20.100000000000001" customHeight="1" x14ac:dyDescent="0.25">
      <c r="Q72" s="7"/>
    </row>
    <row r="73" spans="17:17" ht="20.100000000000001" customHeight="1" x14ac:dyDescent="0.25">
      <c r="Q73" s="7"/>
    </row>
    <row r="74" spans="17:17" ht="20.100000000000001" customHeight="1" x14ac:dyDescent="0.25">
      <c r="Q74" s="7"/>
    </row>
    <row r="75" spans="17:17" ht="20.100000000000001" customHeight="1" x14ac:dyDescent="0.25">
      <c r="Q75" s="7"/>
    </row>
    <row r="76" spans="17:17" ht="20.100000000000001" customHeight="1" x14ac:dyDescent="0.25">
      <c r="Q76" s="7"/>
    </row>
    <row r="77" spans="17:17" ht="20.100000000000001" customHeight="1" x14ac:dyDescent="0.25">
      <c r="Q77" s="7"/>
    </row>
    <row r="78" spans="17:17" ht="20.100000000000001" customHeight="1" x14ac:dyDescent="0.25">
      <c r="Q78" s="7"/>
    </row>
    <row r="79" spans="17:17" ht="20.100000000000001" customHeight="1" x14ac:dyDescent="0.25">
      <c r="Q79" s="7"/>
    </row>
    <row r="80" spans="17:17" ht="20.100000000000001" customHeight="1" x14ac:dyDescent="0.25">
      <c r="Q80" s="7"/>
    </row>
    <row r="81" spans="17:17" ht="20.100000000000001" customHeight="1" x14ac:dyDescent="0.25">
      <c r="Q81" s="7"/>
    </row>
    <row r="82" spans="17:17" ht="20.100000000000001" customHeight="1" x14ac:dyDescent="0.25">
      <c r="Q82" s="7"/>
    </row>
    <row r="83" spans="17:17" ht="20.100000000000001" customHeight="1" x14ac:dyDescent="0.25">
      <c r="Q83" s="7"/>
    </row>
    <row r="84" spans="17:17" ht="20.100000000000001" customHeight="1" x14ac:dyDescent="0.25">
      <c r="Q84" s="7"/>
    </row>
    <row r="85" spans="17:17" ht="20.100000000000001" customHeight="1" x14ac:dyDescent="0.25">
      <c r="Q85" s="7"/>
    </row>
    <row r="86" spans="17:17" ht="20.100000000000001" customHeight="1" x14ac:dyDescent="0.25">
      <c r="Q86" s="7"/>
    </row>
    <row r="87" spans="17:17" ht="20.100000000000001" customHeight="1" x14ac:dyDescent="0.25">
      <c r="Q87" s="7"/>
    </row>
    <row r="88" spans="17:17" ht="20.100000000000001" customHeight="1" x14ac:dyDescent="0.25">
      <c r="Q88" s="7"/>
    </row>
    <row r="89" spans="17:17" ht="20.100000000000001" customHeight="1" x14ac:dyDescent="0.25">
      <c r="Q89" s="7"/>
    </row>
    <row r="90" spans="17:17" ht="20.100000000000001" customHeight="1" x14ac:dyDescent="0.25">
      <c r="Q90" s="7"/>
    </row>
    <row r="91" spans="17:17" ht="20.100000000000001" customHeight="1" x14ac:dyDescent="0.25">
      <c r="Q91" s="7"/>
    </row>
    <row r="92" spans="17:17" ht="20.100000000000001" customHeight="1" x14ac:dyDescent="0.25">
      <c r="Q92" s="7"/>
    </row>
    <row r="93" spans="17:17" ht="20.100000000000001" customHeight="1" x14ac:dyDescent="0.25">
      <c r="Q93" s="7"/>
    </row>
    <row r="94" spans="17:17" ht="20.100000000000001" customHeight="1" x14ac:dyDescent="0.25">
      <c r="Q94" s="7"/>
    </row>
    <row r="95" spans="17:17" ht="20.100000000000001" customHeight="1" x14ac:dyDescent="0.25">
      <c r="Q95" s="7"/>
    </row>
    <row r="96" spans="17: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I34">
    <cfRule type="cellIs" dxfId="17" priority="55" operator="lessThan">
      <formula>0</formula>
    </cfRule>
  </conditionalFormatting>
  <conditionalFormatting sqref="I38:I42 N43:O43 I60 M101 I119:J119 K180:L180 K184:L185 K188:L189 K194:L195 K198:L198 I199:L199 I205:L205">
    <cfRule type="cellIs" dxfId="16" priority="74" operator="lessThan">
      <formula>0</formula>
    </cfRule>
  </conditionalFormatting>
  <conditionalFormatting sqref="I45:I49">
    <cfRule type="cellIs" dxfId="15" priority="6" operator="lessThan">
      <formula>0</formula>
    </cfRule>
  </conditionalFormatting>
  <conditionalFormatting sqref="I52:I56">
    <cfRule type="cellIs" dxfId="14" priority="5" operator="lessThan">
      <formula>0</formula>
    </cfRule>
  </conditionalFormatting>
  <conditionalFormatting sqref="I71:I73">
    <cfRule type="cellIs" dxfId="13" priority="4" operator="lessThan">
      <formula>0</formula>
    </cfRule>
  </conditionalFormatting>
  <conditionalFormatting sqref="I77:I80">
    <cfRule type="cellIs" dxfId="12" priority="3" operator="lessThan">
      <formula>0</formula>
    </cfRule>
  </conditionalFormatting>
  <conditionalFormatting sqref="I84:I88">
    <cfRule type="cellIs" dxfId="11" priority="1" operator="lessThan">
      <formula>0</formula>
    </cfRule>
  </conditionalFormatting>
  <conditionalFormatting sqref="J147">
    <cfRule type="cellIs" dxfId="10" priority="24" operator="lessThan">
      <formula>0</formula>
    </cfRule>
  </conditionalFormatting>
  <conditionalFormatting sqref="L113:L116">
    <cfRule type="cellIs" dxfId="9" priority="11" operator="lessThan">
      <formula>0</formula>
    </cfRule>
  </conditionalFormatting>
  <conditionalFormatting sqref="L119">
    <cfRule type="cellIs" dxfId="8" priority="17" operator="lessThan">
      <formula>0</formula>
    </cfRule>
  </conditionalFormatting>
  <conditionalFormatting sqref="L125:L128">
    <cfRule type="cellIs" dxfId="7" priority="10" operator="lessThan">
      <formula>0</formula>
    </cfRule>
  </conditionalFormatting>
  <conditionalFormatting sqref="L131">
    <cfRule type="cellIs" dxfId="6" priority="16" operator="lessThan">
      <formula>0</formula>
    </cfRule>
  </conditionalFormatting>
  <conditionalFormatting sqref="L137:L140">
    <cfRule type="cellIs" dxfId="5" priority="9" operator="lessThan">
      <formula>0</formula>
    </cfRule>
  </conditionalFormatting>
  <conditionalFormatting sqref="L143">
    <cfRule type="cellIs" dxfId="4" priority="15" operator="lessThan">
      <formula>0</formula>
    </cfRule>
  </conditionalFormatting>
  <conditionalFormatting sqref="L149:L152">
    <cfRule type="cellIs" dxfId="3" priority="8" operator="lessThan">
      <formula>0</formula>
    </cfRule>
  </conditionalFormatting>
  <conditionalFormatting sqref="L155">
    <cfRule type="cellIs" dxfId="2" priority="14" operator="lessThan">
      <formula>0</formula>
    </cfRule>
  </conditionalFormatting>
  <conditionalFormatting sqref="L159:L160">
    <cfRule type="cellIs" dxfId="1"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0" priority="102"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zoomScaleNormal="100"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217</v>
      </c>
      <c r="N17" s="98" t="s">
        <v>218</v>
      </c>
    </row>
    <row r="18" spans="1:18" ht="20.100000000000001" customHeight="1" x14ac:dyDescent="0.25">
      <c r="A18" s="17" t="str">
        <f>HYPERLINK("#'4.6.1.12-13 Soil atmos dep'!A1", "4.6.1.12-13 Soil Atm. deposition")</f>
        <v>4.6.1.12-13 Soil Atm. deposition</v>
      </c>
      <c r="D18" s="97" t="s">
        <v>220</v>
      </c>
      <c r="N18" s="97" t="s">
        <v>219</v>
      </c>
    </row>
    <row r="19" spans="1:18" ht="20.100000000000001" customHeight="1" x14ac:dyDescent="0.25">
      <c r="A19" s="17" t="str">
        <f>HYPERLINK("#'4.6.1.14-15 Soil leach runoff'!A1", "4.6.1.14-15 Soil leach &amp; runoff")</f>
        <v>4.6.1.14-15 Soil leach &amp; runoff</v>
      </c>
      <c r="D19" s="112" t="s">
        <v>197</v>
      </c>
      <c r="E19" s="112" t="s">
        <v>198</v>
      </c>
      <c r="F19" s="112" t="s">
        <v>211</v>
      </c>
      <c r="G19" s="112" t="s">
        <v>212</v>
      </c>
      <c r="N19" s="112" t="s">
        <v>197</v>
      </c>
      <c r="O19" s="112" t="s">
        <v>198</v>
      </c>
      <c r="P19" s="112" t="s">
        <v>211</v>
      </c>
      <c r="Q19" s="112" t="s">
        <v>212</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221</v>
      </c>
      <c r="N22" s="98" t="s">
        <v>221</v>
      </c>
    </row>
    <row r="23" spans="1:18" ht="20.100000000000001" customHeight="1" x14ac:dyDescent="0.25">
      <c r="A23" s="17" t="str">
        <f>HYPERLINK("#'Constants - Livestock'!A1", "Constants - Livestock")</f>
        <v>Constants - Livestock</v>
      </c>
      <c r="D23" s="97" t="s">
        <v>100</v>
      </c>
      <c r="N23" s="97" t="s">
        <v>100</v>
      </c>
    </row>
    <row r="24" spans="1:18" ht="20.100000000000001" customHeight="1" x14ac:dyDescent="0.25">
      <c r="A24" s="17" t="str">
        <f>HYPERLINK("#'Constants - Common'!A1", "Constants - Common")</f>
        <v>Constants - Common</v>
      </c>
      <c r="D24" s="112" t="s">
        <v>197</v>
      </c>
      <c r="E24" s="112" t="s">
        <v>198</v>
      </c>
      <c r="F24" s="112" t="s">
        <v>211</v>
      </c>
      <c r="G24" s="112" t="s">
        <v>212</v>
      </c>
      <c r="N24" s="112" t="s">
        <v>197</v>
      </c>
      <c r="O24" s="112" t="s">
        <v>198</v>
      </c>
      <c r="P24" s="112" t="s">
        <v>211</v>
      </c>
      <c r="Q24" s="112" t="s">
        <v>212</v>
      </c>
    </row>
    <row r="25" spans="1:18" ht="20.100000000000001" customHeight="1" x14ac:dyDescent="0.25">
      <c r="A25" s="17"/>
      <c r="D25" s="52">
        <f>'Input - Poultry'!E17</f>
        <v>0.8</v>
      </c>
      <c r="E25" s="52">
        <f>'Input - Poultry'!F17</f>
        <v>0.8</v>
      </c>
      <c r="F25" s="52">
        <f>'Input - Poultry'!G17</f>
        <v>0.8</v>
      </c>
      <c r="G25" s="52">
        <f>'Input - Poultry'!H17</f>
        <v>0.8</v>
      </c>
      <c r="H25" s="2" t="str">
        <f>$G$14</f>
        <v>fraction</v>
      </c>
      <c r="N25" s="52">
        <f>'Input - Poultry'!E22</f>
        <v>0.8</v>
      </c>
      <c r="O25" s="52">
        <f>'Input - Poultry'!F22</f>
        <v>0.8</v>
      </c>
      <c r="P25" s="52">
        <f>'Input - Poultry'!G22</f>
        <v>0.8</v>
      </c>
      <c r="Q25" s="52">
        <f>'Input - Poultry'!H22</f>
        <v>0.8</v>
      </c>
      <c r="R25" s="2" t="str">
        <f>$G$14</f>
        <v>fraction</v>
      </c>
    </row>
    <row r="26" spans="1:18" ht="20.100000000000001" customHeight="1" x14ac:dyDescent="0.25"/>
    <row r="27" spans="1:18" ht="20.100000000000001" customHeight="1" x14ac:dyDescent="0.25">
      <c r="D27" s="98" t="s">
        <v>222</v>
      </c>
    </row>
    <row r="28" spans="1:18" ht="20.100000000000001" customHeight="1" x14ac:dyDescent="0.25">
      <c r="D28" s="97" t="s">
        <v>223</v>
      </c>
    </row>
    <row r="29" spans="1:18" ht="20.100000000000001" customHeight="1" x14ac:dyDescent="0.25">
      <c r="D29" s="51" t="s">
        <v>197</v>
      </c>
      <c r="E29" s="51" t="s">
        <v>198</v>
      </c>
      <c r="F29" s="51" t="s">
        <v>211</v>
      </c>
      <c r="G29" s="51" t="s">
        <v>212</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224</v>
      </c>
      <c r="N32" s="98" t="s">
        <v>225</v>
      </c>
    </row>
    <row r="33" spans="3:21" ht="20.100000000000001" customHeight="1" x14ac:dyDescent="0.25">
      <c r="D33" s="97" t="s">
        <v>99</v>
      </c>
      <c r="N33" s="97" t="s">
        <v>101</v>
      </c>
    </row>
    <row r="34" spans="3:21" ht="20.100000000000001" customHeight="1" x14ac:dyDescent="0.25">
      <c r="D34" s="51" t="s">
        <v>197</v>
      </c>
      <c r="E34" s="51" t="s">
        <v>198</v>
      </c>
      <c r="F34" s="51" t="s">
        <v>211</v>
      </c>
      <c r="G34" s="51" t="s">
        <v>212</v>
      </c>
      <c r="N34" s="51" t="s">
        <v>197</v>
      </c>
      <c r="O34" s="51" t="s">
        <v>198</v>
      </c>
      <c r="P34" s="51" t="s">
        <v>211</v>
      </c>
      <c r="Q34" s="51" t="s">
        <v>212</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'Input - Site'!$E$21</f>
        <v>Western Australia</v>
      </c>
      <c r="N55" s="141" t="str">
        <v>i</v>
      </c>
      <c r="O55" s="144" t="str">
        <v>mean annual temperature</v>
      </c>
      <c r="P55" s="143"/>
      <c r="Q55" s="141" t="str">
        <v>°C</v>
      </c>
      <c r="R55" s="139" t="str">
        <v>Input</v>
      </c>
      <c r="S55" s="141">
        <f>'Input - Site'!$E$25</f>
        <v>18</v>
      </c>
    </row>
    <row r="56" spans="4:19" ht="20.100000000000001" customHeight="1" x14ac:dyDescent="0.25"/>
    <row r="57" spans="4:19" ht="20.100000000000001" customHeight="1" x14ac:dyDescent="0.25">
      <c r="D57" s="98" t="s">
        <v>154</v>
      </c>
    </row>
    <row r="58" spans="4:19" ht="20.100000000000001" customHeight="1" x14ac:dyDescent="0.25">
      <c r="D58" s="97" t="s">
        <v>230</v>
      </c>
    </row>
    <row r="59" spans="4:19" ht="20.100000000000001" customHeight="1" x14ac:dyDescent="0.25">
      <c r="D59" s="112" t="s">
        <v>136</v>
      </c>
      <c r="E59" s="112" t="s">
        <v>197</v>
      </c>
      <c r="F59" s="112" t="s">
        <v>198</v>
      </c>
      <c r="G59" s="112" t="s">
        <v>211</v>
      </c>
      <c r="H59" s="112" t="s">
        <v>212</v>
      </c>
    </row>
    <row r="60" spans="4:19" ht="20.100000000000001" customHeight="1" x14ac:dyDescent="0.25">
      <c r="D60" s="52" t="str">
        <f>'Input - Poultry'!$D$30</f>
        <v>Poultry manure with bedding</v>
      </c>
      <c r="E60" s="52">
        <f>'Input - Poultry'!E30</f>
        <v>0.3</v>
      </c>
      <c r="F60" s="52">
        <f>'Input - Poultry'!F30</f>
        <v>0.3</v>
      </c>
      <c r="G60" s="52">
        <f>'Input - Poultry'!G30</f>
        <v>0.3</v>
      </c>
      <c r="H60" s="52">
        <f>'Input - Poultry'!H30</f>
        <v>0.3</v>
      </c>
      <c r="I60" s="2" t="str">
        <f>$G$52</f>
        <v>fraction</v>
      </c>
    </row>
    <row r="61" spans="4:19" ht="20.100000000000001" customHeight="1" x14ac:dyDescent="0.25">
      <c r="D61" s="52" t="str">
        <f>'Input - Poultry'!$D$31</f>
        <v>Belt manure removal</v>
      </c>
      <c r="E61" s="52">
        <f>'Input - Poultry'!E31</f>
        <v>0.3</v>
      </c>
      <c r="F61" s="52">
        <f>'Input - Poultry'!F31</f>
        <v>0.3</v>
      </c>
      <c r="G61" s="52">
        <f>'Input - Poultry'!G31</f>
        <v>0.3</v>
      </c>
      <c r="H61" s="52">
        <f>'Input - Poultry'!H31</f>
        <v>0.3</v>
      </c>
      <c r="I61" s="2"/>
    </row>
    <row r="62" spans="4:19" ht="20.100000000000001" customHeight="1" x14ac:dyDescent="0.25">
      <c r="D62" s="52" t="str">
        <f>'Input - Poultry'!$D$32</f>
        <v>Manure stored in house</v>
      </c>
      <c r="E62" s="52">
        <f>'Input - Poultry'!E32</f>
        <v>0.3</v>
      </c>
      <c r="F62" s="52">
        <f>'Input - Poultry'!F32</f>
        <v>0.3</v>
      </c>
      <c r="G62" s="52">
        <f>'Input - Poultry'!G32</f>
        <v>0.3</v>
      </c>
      <c r="H62" s="52">
        <f>'Input - Poultry'!H32</f>
        <v>0.3</v>
      </c>
      <c r="I62" s="2"/>
    </row>
    <row r="63" spans="4:19" ht="20.100000000000001" customHeight="1" x14ac:dyDescent="0.25">
      <c r="D63" s="52" t="str">
        <f>'Input - Poultry'!$D$33</f>
        <v>Pasture range and paddock</v>
      </c>
      <c r="E63" s="52">
        <f>'Input - Poultry'!E33</f>
        <v>0.1</v>
      </c>
      <c r="F63" s="52">
        <f>'Input - Poultry'!F33</f>
        <v>0.1</v>
      </c>
      <c r="G63" s="52">
        <f>'Input - Poultry'!G33</f>
        <v>0.1</v>
      </c>
      <c r="H63" s="52">
        <f>'Input - Poultry'!H33</f>
        <v>0.1</v>
      </c>
      <c r="I63" s="2"/>
    </row>
    <row r="64" spans="4:19" ht="20.100000000000001" customHeight="1" x14ac:dyDescent="0.25"/>
    <row r="65" spans="4:16" ht="20.100000000000001" customHeight="1" x14ac:dyDescent="0.25">
      <c r="D65" s="98" t="s">
        <v>226</v>
      </c>
      <c r="G65" s="13"/>
    </row>
    <row r="66" spans="4:16" ht="20.100000000000001" customHeight="1" x14ac:dyDescent="0.25">
      <c r="D66" s="97" t="s">
        <v>227</v>
      </c>
    </row>
    <row r="67" spans="4:16" ht="20.100000000000001" customHeight="1" x14ac:dyDescent="0.25">
      <c r="D67" s="51" t="s">
        <v>197</v>
      </c>
      <c r="E67" s="51" t="s">
        <v>198</v>
      </c>
      <c r="F67" s="51" t="s">
        <v>211</v>
      </c>
      <c r="G67" s="51" t="s">
        <v>212</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cm="1">
        <f t="array" ref="O73">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359</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359</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cm="1">
        <f t="array" ref="O76">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cm="1">
        <f t="array" ref="O77">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cm="1">
        <f t="array" ref="O78">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cm="1">
        <f t="array" ref="O79">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cm="1">
        <f t="array" ref="O80">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cm="1">
        <f t="array" ref="O81">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228</v>
      </c>
      <c r="N83" s="98" t="s">
        <v>228</v>
      </c>
    </row>
    <row r="84" spans="1:21" ht="20.100000000000001" customHeight="1" x14ac:dyDescent="0.25">
      <c r="D84" s="97" t="s">
        <v>229</v>
      </c>
      <c r="N84" s="97" t="s">
        <v>229</v>
      </c>
    </row>
    <row r="85" spans="1:21" ht="20.100000000000001" customHeight="1" x14ac:dyDescent="0.25">
      <c r="D85" s="51" t="s">
        <v>136</v>
      </c>
      <c r="E85" s="51" t="s">
        <v>197</v>
      </c>
      <c r="F85" s="51" t="s">
        <v>198</v>
      </c>
      <c r="G85" s="51" t="s">
        <v>211</v>
      </c>
      <c r="H85" s="51" t="s">
        <v>212</v>
      </c>
      <c r="N85" s="51" t="s">
        <v>136</v>
      </c>
      <c r="O85" s="51" t="s">
        <v>197</v>
      </c>
      <c r="P85" s="51" t="s">
        <v>198</v>
      </c>
      <c r="Q85" s="51" t="s">
        <v>211</v>
      </c>
      <c r="R85" s="51" t="s">
        <v>212</v>
      </c>
    </row>
    <row r="86" spans="1:21" ht="20.100000000000001" customHeight="1" x14ac:dyDescent="0.25">
      <c r="D86" s="52" t="str">
        <f>'Input - Poultry'!$D$30</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'Input - Poultry'!$D$30</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'Input - Poultry'!$D$31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'Input - Poultry'!$D$31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'Input - Poultry'!$D$32</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'Input - Poultry'!$D$32</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'Input - Poultry'!$D$33</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'Input - Poultry'!$D$33</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355</v>
      </c>
    </row>
    <row r="107" spans="4:14" ht="20.100000000000001" customHeight="1" x14ac:dyDescent="0.25">
      <c r="D107" s="51" t="s">
        <v>136</v>
      </c>
      <c r="E107" s="51" t="s">
        <v>231</v>
      </c>
    </row>
    <row r="108" spans="4:14" ht="20.100000000000001" customHeight="1" x14ac:dyDescent="0.25">
      <c r="D108" s="52" t="str">
        <f>'Input - Poultry'!$D$30</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'Input - Poultry'!$D$31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'Input - Poultry'!$D$32</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232</v>
      </c>
      <c r="N112" s="98" t="s">
        <v>233</v>
      </c>
    </row>
    <row r="113" spans="1:21" ht="20.100000000000001" customHeight="1" x14ac:dyDescent="0.25">
      <c r="D113" s="97" t="s">
        <v>234</v>
      </c>
      <c r="N113" s="97" t="s">
        <v>235</v>
      </c>
    </row>
    <row r="114" spans="1:21" ht="20.100000000000001" customHeight="1" x14ac:dyDescent="0.25">
      <c r="D114" s="51" t="s">
        <v>136</v>
      </c>
      <c r="E114" s="51" t="s">
        <v>197</v>
      </c>
      <c r="F114" s="51" t="s">
        <v>198</v>
      </c>
      <c r="G114" s="51" t="s">
        <v>211</v>
      </c>
      <c r="H114" s="51" t="s">
        <v>212</v>
      </c>
      <c r="N114" s="51" t="s">
        <v>136</v>
      </c>
      <c r="O114" s="51" t="s">
        <v>197</v>
      </c>
      <c r="P114" s="51" t="s">
        <v>198</v>
      </c>
      <c r="Q114" s="51" t="s">
        <v>211</v>
      </c>
      <c r="R114" s="51" t="s">
        <v>212</v>
      </c>
    </row>
    <row r="115" spans="1:21" ht="20.100000000000001" customHeight="1" x14ac:dyDescent="0.25">
      <c r="D115" s="52" t="str">
        <f>'Input - Poultry'!$D$30</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'Input - Poultry'!$D$30</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'Input - Poultry'!$D$31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'Input - Poultry'!$D$31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'Input - Poultry'!$D$32</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'Input - Poultry'!$D$32</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'Input - Site'!$E$21</f>
        <v>Western Australia</v>
      </c>
      <c r="N135" s="141" t="str">
        <v>i</v>
      </c>
      <c r="O135" s="144" t="str">
        <v>mean annual temperature</v>
      </c>
      <c r="P135" s="143"/>
      <c r="Q135" s="141" t="str">
        <v>°C</v>
      </c>
      <c r="R135" s="139" t="str">
        <v>Input</v>
      </c>
      <c r="S135" s="141">
        <f>'Input - Site'!$E$25</f>
        <v>18</v>
      </c>
    </row>
    <row r="136" spans="4:19" ht="20.100000000000001" customHeight="1" x14ac:dyDescent="0.25"/>
    <row r="137" spans="4:19" ht="20.100000000000001" customHeight="1" x14ac:dyDescent="0.25">
      <c r="D137" s="98" t="s">
        <v>131</v>
      </c>
    </row>
    <row r="138" spans="4:19" ht="20.100000000000001" customHeight="1" x14ac:dyDescent="0.25">
      <c r="D138" s="97" t="s">
        <v>236</v>
      </c>
    </row>
    <row r="139" spans="4:19" ht="20.100000000000001" customHeight="1" x14ac:dyDescent="0.25">
      <c r="D139" s="112" t="s">
        <v>136</v>
      </c>
      <c r="E139" s="112" t="s">
        <v>138</v>
      </c>
      <c r="F139" s="112" t="s">
        <v>197</v>
      </c>
      <c r="G139" s="112" t="s">
        <v>198</v>
      </c>
      <c r="H139" s="112" t="s">
        <v>211</v>
      </c>
      <c r="I139" s="112" t="s">
        <v>212</v>
      </c>
    </row>
    <row r="140" spans="4:19" ht="20.100000000000001" customHeight="1" x14ac:dyDescent="0.25">
      <c r="D140" s="52" t="str">
        <f>'Input - Poultry'!$D$30</f>
        <v>Poultry manure with bedding</v>
      </c>
      <c r="E140" s="52" t="str">
        <f>'Input - Poultry'!$D$38</f>
        <v>Solid storage</v>
      </c>
      <c r="F140" s="52">
        <f>'Input - Poultry'!E38</f>
        <v>0.2</v>
      </c>
      <c r="G140" s="52">
        <f>'Input - Poultry'!F38</f>
        <v>0.2</v>
      </c>
      <c r="H140" s="52">
        <f>'Input - Poultry'!G38</f>
        <v>0.2</v>
      </c>
      <c r="I140" s="52">
        <f>'Input - Poultry'!H38</f>
        <v>0.2</v>
      </c>
      <c r="J140" s="2" t="str">
        <f>$G$132</f>
        <v>fraction</v>
      </c>
    </row>
    <row r="141" spans="4:19" ht="20.100000000000001" customHeight="1" x14ac:dyDescent="0.25">
      <c r="D141" s="52"/>
      <c r="E141" s="52" t="str">
        <f>'Input - Poultry'!$D$39</f>
        <v>Composting (passive windrow)</v>
      </c>
      <c r="F141" s="52">
        <f>'Input - Poultry'!E39</f>
        <v>0.2</v>
      </c>
      <c r="G141" s="52">
        <f>'Input - Poultry'!F39</f>
        <v>0.2</v>
      </c>
      <c r="H141" s="52">
        <f>'Input - Poultry'!G39</f>
        <v>0.2</v>
      </c>
      <c r="I141" s="52">
        <f>'Input - Poultry'!H39</f>
        <v>0.2</v>
      </c>
      <c r="J141" s="2"/>
    </row>
    <row r="142" spans="4:19" ht="20.100000000000001" customHeight="1" x14ac:dyDescent="0.25">
      <c r="D142" s="52"/>
      <c r="E142" s="52" t="str">
        <f>'Input - Poultry'!$D$40</f>
        <v>Digester / covered lagoons</v>
      </c>
      <c r="F142" s="52">
        <f>'Input - Poultry'!E40</f>
        <v>0.2</v>
      </c>
      <c r="G142" s="52">
        <f>'Input - Poultry'!F40</f>
        <v>0.2</v>
      </c>
      <c r="H142" s="52">
        <f>'Input - Poultry'!G40</f>
        <v>0.2</v>
      </c>
      <c r="I142" s="52">
        <f>'Input - Poultry'!H40</f>
        <v>0.2</v>
      </c>
      <c r="J142" s="2"/>
    </row>
    <row r="143" spans="4:19" ht="20.100000000000001" customHeight="1" x14ac:dyDescent="0.25">
      <c r="D143" s="52"/>
      <c r="E143" s="52" t="str">
        <f>'Input - Poultry'!$D$41</f>
        <v>Direct processing</v>
      </c>
      <c r="F143" s="52">
        <f>'Input - Poultry'!E41</f>
        <v>0.2</v>
      </c>
      <c r="G143" s="52">
        <f>'Input - Poultry'!F41</f>
        <v>0.2</v>
      </c>
      <c r="H143" s="52">
        <f>'Input - Poultry'!G41</f>
        <v>0.2</v>
      </c>
      <c r="I143" s="52">
        <f>'Input - Poultry'!H41</f>
        <v>0.2</v>
      </c>
      <c r="J143" s="2"/>
    </row>
    <row r="144" spans="4:19" ht="20.100000000000001" customHeight="1" x14ac:dyDescent="0.25">
      <c r="D144" s="52"/>
      <c r="E144" s="52" t="str">
        <f>'Input - Poultry'!$D$42</f>
        <v>Direct application</v>
      </c>
      <c r="F144" s="52">
        <f>'Input - Poultry'!E42</f>
        <v>0.19999999999999996</v>
      </c>
      <c r="G144" s="52">
        <f>'Input - Poultry'!F42</f>
        <v>0.19999999999999996</v>
      </c>
      <c r="H144" s="52">
        <f>'Input - Poultry'!G42</f>
        <v>0.19999999999999996</v>
      </c>
      <c r="I144" s="52">
        <f>'Input - Poultry'!H42</f>
        <v>0.19999999999999996</v>
      </c>
    </row>
    <row r="145" spans="4:20" ht="20.100000000000001" customHeight="1" x14ac:dyDescent="0.25">
      <c r="D145" s="52" t="str">
        <f>'Input - Poultry'!$D$31</f>
        <v>Belt manure removal</v>
      </c>
      <c r="E145" s="52" t="str">
        <f>'Input - Poultry'!$D$45</f>
        <v>Solid storage</v>
      </c>
      <c r="F145" s="52">
        <f>'Input - Poultry'!E45</f>
        <v>0.2</v>
      </c>
      <c r="G145" s="52">
        <f>'Input - Poultry'!F45</f>
        <v>0.2</v>
      </c>
      <c r="H145" s="52">
        <f>'Input - Poultry'!G45</f>
        <v>0.2</v>
      </c>
      <c r="I145" s="52">
        <f>'Input - Poultry'!H45</f>
        <v>0.2</v>
      </c>
      <c r="J145" s="2"/>
    </row>
    <row r="146" spans="4:20" ht="20.100000000000001" customHeight="1" x14ac:dyDescent="0.25">
      <c r="D146" s="52"/>
      <c r="E146" s="52" t="str">
        <f>'Input - Poultry'!$D$46</f>
        <v>Composting (passive windrow)</v>
      </c>
      <c r="F146" s="52">
        <f>'Input - Poultry'!E46</f>
        <v>0.2</v>
      </c>
      <c r="G146" s="52">
        <f>'Input - Poultry'!F46</f>
        <v>0.2</v>
      </c>
      <c r="H146" s="52">
        <f>'Input - Poultry'!G46</f>
        <v>0.2</v>
      </c>
      <c r="I146" s="52">
        <f>'Input - Poultry'!H46</f>
        <v>0.2</v>
      </c>
      <c r="J146" s="2"/>
    </row>
    <row r="147" spans="4:20" ht="20.100000000000001" customHeight="1" x14ac:dyDescent="0.25">
      <c r="D147" s="52"/>
      <c r="E147" s="52" t="str">
        <f>'Input - Poultry'!$D$47</f>
        <v>Digester / covered lagoons</v>
      </c>
      <c r="F147" s="52">
        <f>'Input - Poultry'!E47</f>
        <v>0.2</v>
      </c>
      <c r="G147" s="52">
        <f>'Input - Poultry'!F47</f>
        <v>0.2</v>
      </c>
      <c r="H147" s="52">
        <f>'Input - Poultry'!G47</f>
        <v>0.2</v>
      </c>
      <c r="I147" s="52">
        <f>'Input - Poultry'!H47</f>
        <v>0.2</v>
      </c>
      <c r="J147" s="2"/>
    </row>
    <row r="148" spans="4:20" ht="20.100000000000001" customHeight="1" x14ac:dyDescent="0.25">
      <c r="D148" s="52"/>
      <c r="E148" s="52" t="str">
        <f>'Input - Poultry'!$D$48</f>
        <v>Direct processing</v>
      </c>
      <c r="F148" s="52">
        <f>'Input - Poultry'!E48</f>
        <v>0.2</v>
      </c>
      <c r="G148" s="52">
        <f>'Input - Poultry'!F48</f>
        <v>0.2</v>
      </c>
      <c r="H148" s="52">
        <f>'Input - Poultry'!G48</f>
        <v>0.2</v>
      </c>
      <c r="I148" s="52">
        <f>'Input - Poultry'!H48</f>
        <v>0.2</v>
      </c>
      <c r="J148" s="2"/>
    </row>
    <row r="149" spans="4:20" ht="20.100000000000001" customHeight="1" x14ac:dyDescent="0.25">
      <c r="D149" s="52"/>
      <c r="E149" s="52" t="str">
        <f>'Input - Poultry'!$D$49</f>
        <v>Direct application</v>
      </c>
      <c r="F149" s="52">
        <f>'Input - Poultry'!E49</f>
        <v>0.19999999999999996</v>
      </c>
      <c r="G149" s="52">
        <f>'Input - Poultry'!F49</f>
        <v>0.19999999999999996</v>
      </c>
      <c r="H149" s="52">
        <f>'Input - Poultry'!G49</f>
        <v>0.19999999999999996</v>
      </c>
      <c r="I149" s="52">
        <f>'Input - Poultry'!H49</f>
        <v>0.19999999999999996</v>
      </c>
    </row>
    <row r="150" spans="4:20" ht="20.100000000000001" customHeight="1" x14ac:dyDescent="0.25">
      <c r="D150" s="52" t="str">
        <f>'Input - Poultry'!$D$32</f>
        <v>Manure stored in house</v>
      </c>
      <c r="E150" s="52" t="str">
        <f>'Input - Poultry'!$D$52</f>
        <v>Solid storage</v>
      </c>
      <c r="F150" s="52">
        <f>'Input - Poultry'!E52</f>
        <v>0.2</v>
      </c>
      <c r="G150" s="52">
        <f>'Input - Poultry'!F52</f>
        <v>0.2</v>
      </c>
      <c r="H150" s="52">
        <f>'Input - Poultry'!G52</f>
        <v>0.2</v>
      </c>
      <c r="I150" s="52">
        <f>'Input - Poultry'!H52</f>
        <v>0.2</v>
      </c>
      <c r="J150" s="2"/>
    </row>
    <row r="151" spans="4:20" ht="20.100000000000001" customHeight="1" x14ac:dyDescent="0.25">
      <c r="D151" s="52"/>
      <c r="E151" s="52" t="str">
        <f>'Input - Poultry'!$D$53</f>
        <v>Composting (passive windrow)</v>
      </c>
      <c r="F151" s="52">
        <f>'Input - Poultry'!E53</f>
        <v>0.2</v>
      </c>
      <c r="G151" s="52">
        <f>'Input - Poultry'!F53</f>
        <v>0.2</v>
      </c>
      <c r="H151" s="52">
        <f>'Input - Poultry'!G53</f>
        <v>0.2</v>
      </c>
      <c r="I151" s="52">
        <f>'Input - Poultry'!H53</f>
        <v>0.2</v>
      </c>
      <c r="J151" s="2"/>
    </row>
    <row r="152" spans="4:20" ht="20.100000000000001" customHeight="1" x14ac:dyDescent="0.25">
      <c r="D152" s="52"/>
      <c r="E152" s="52" t="str">
        <f>'Input - Poultry'!$D$54</f>
        <v>Digester / covered lagoons</v>
      </c>
      <c r="F152" s="52">
        <f>'Input - Poultry'!E54</f>
        <v>0.2</v>
      </c>
      <c r="G152" s="52">
        <f>'Input - Poultry'!F54</f>
        <v>0.2</v>
      </c>
      <c r="H152" s="52">
        <f>'Input - Poultry'!G54</f>
        <v>0.2</v>
      </c>
      <c r="I152" s="52">
        <f>'Input - Poultry'!H54</f>
        <v>0.2</v>
      </c>
      <c r="J152" s="2"/>
    </row>
    <row r="153" spans="4:20" ht="20.100000000000001" customHeight="1" x14ac:dyDescent="0.25">
      <c r="D153" s="52"/>
      <c r="E153" s="52" t="str">
        <f>'Input - Poultry'!$D$55</f>
        <v>Direct processing</v>
      </c>
      <c r="F153" s="52">
        <f>'Input - Poultry'!E55</f>
        <v>0.2</v>
      </c>
      <c r="G153" s="52">
        <f>'Input - Poultry'!F55</f>
        <v>0.2</v>
      </c>
      <c r="H153" s="52">
        <f>'Input - Poultry'!G55</f>
        <v>0.2</v>
      </c>
      <c r="I153" s="52">
        <f>'Input - Poultry'!H55</f>
        <v>0.2</v>
      </c>
      <c r="J153" s="2"/>
    </row>
    <row r="154" spans="4:20" ht="20.100000000000001" customHeight="1" x14ac:dyDescent="0.25">
      <c r="D154" s="52"/>
      <c r="E154" s="52" t="str">
        <f>'Input - Poultry'!$D$56</f>
        <v>Direct application</v>
      </c>
      <c r="F154" s="52">
        <f>'Input - Poultry'!E56</f>
        <v>0.19999999999999996</v>
      </c>
      <c r="G154" s="52">
        <f>'Input - Poultry'!F56</f>
        <v>0.19999999999999996</v>
      </c>
      <c r="H154" s="52">
        <f>'Input - Poultry'!G56</f>
        <v>0.19999999999999996</v>
      </c>
      <c r="I154" s="52">
        <f>'Input - Poultry'!H56</f>
        <v>0.19999999999999996</v>
      </c>
    </row>
    <row r="155" spans="4:20" ht="20.100000000000001" customHeight="1" x14ac:dyDescent="0.25"/>
    <row r="156" spans="4:20" ht="20.100000000000001" customHeight="1" x14ac:dyDescent="0.25">
      <c r="D156" s="98" t="s">
        <v>237</v>
      </c>
      <c r="N156" s="98" t="s">
        <v>237</v>
      </c>
    </row>
    <row r="157" spans="4:20" ht="20.100000000000001" customHeight="1" x14ac:dyDescent="0.25">
      <c r="D157" s="97" t="s">
        <v>238</v>
      </c>
      <c r="N157" s="97" t="s">
        <v>238</v>
      </c>
    </row>
    <row r="158" spans="4:20" ht="20.100000000000001" customHeight="1" x14ac:dyDescent="0.25">
      <c r="D158" s="51" t="s">
        <v>136</v>
      </c>
      <c r="E158" s="51" t="s">
        <v>138</v>
      </c>
      <c r="F158" s="51" t="s">
        <v>197</v>
      </c>
      <c r="G158" s="51" t="s">
        <v>198</v>
      </c>
      <c r="H158" s="51" t="s">
        <v>211</v>
      </c>
      <c r="I158" s="51" t="s">
        <v>212</v>
      </c>
      <c r="N158" s="51" t="s">
        <v>136</v>
      </c>
      <c r="O158" s="51" t="s">
        <v>138</v>
      </c>
      <c r="P158" s="51" t="s">
        <v>197</v>
      </c>
      <c r="Q158" s="51" t="s">
        <v>198</v>
      </c>
      <c r="R158" s="51" t="s">
        <v>211</v>
      </c>
      <c r="S158" s="51" t="s">
        <v>212</v>
      </c>
    </row>
    <row r="159" spans="4:20" ht="20.100000000000001" customHeight="1" x14ac:dyDescent="0.25">
      <c r="D159" s="52" t="str">
        <f>'Input - Poultry'!$D$30</f>
        <v>Poultry manure with bedding</v>
      </c>
      <c r="E159" s="52" t="str">
        <f>'Input - Poultry'!$D$38</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'Input - Poultry'!$D$30</f>
        <v>Poultry manure with bedding</v>
      </c>
      <c r="O159" s="52" t="str">
        <f>'Input - Poultry'!$D$38</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'Input - Poultry'!$D$39</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'Input - Poultry'!$D$39</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'Input - Poultry'!$D$40</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'Input - Poultry'!$D$40</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'Input - Poultry'!$D$41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'Input - Poultry'!$D$41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'Input - Poultry'!$D$42</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'Input - Poultry'!$D$42</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'Input - Poultry'!$D$31</f>
        <v>Belt manure removal</v>
      </c>
      <c r="E164" s="52" t="str">
        <f>'Input - Poultry'!$D$45</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'Input - Poultry'!$D$31</f>
        <v>Belt manure removal</v>
      </c>
      <c r="O164" s="52" t="str">
        <f>'Input - Poultry'!$D$45</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'Input - Poultry'!$D$46</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'Input - Poultry'!$D$46</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'Input - Poultry'!$D$47</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'Input - Poultry'!$D$47</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'Input - Poultry'!$D$48</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'Input - Poultry'!$D$48</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'Input - Poultry'!$D$48</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'Input - Poultry'!$D$49</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'Input - Poultry'!$D$32</f>
        <v>Manure stored in house</v>
      </c>
      <c r="E169" s="52" t="str">
        <f>'Input - Poultry'!$D$52</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'Input - Poultry'!$D$32</f>
        <v>Manure stored in house</v>
      </c>
      <c r="O169" s="52" t="str">
        <f>'Input - Poultry'!$D$52</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'Input - Poultry'!$D$53</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'Input - Poultry'!$D$53</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'Input - Poultry'!$D$54</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'Input - Poultry'!$D$54</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'Input - Poultry'!$D$55</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'Input - Poultry'!$D$55</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'Input - Poultry'!$D$56</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'Input - Poultry'!$D$56</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239</v>
      </c>
      <c r="G189" s="13"/>
    </row>
    <row r="190" spans="4:10" ht="20.100000000000001" customHeight="1" x14ac:dyDescent="0.25">
      <c r="D190" s="97" t="s">
        <v>146</v>
      </c>
    </row>
    <row r="191" spans="4:10" ht="20.100000000000001" customHeight="1" x14ac:dyDescent="0.25">
      <c r="D191" s="112" t="s">
        <v>197</v>
      </c>
      <c r="E191" s="112" t="s">
        <v>198</v>
      </c>
      <c r="F191" s="112" t="s">
        <v>211</v>
      </c>
      <c r="G191" s="112" t="s">
        <v>212</v>
      </c>
    </row>
    <row r="192" spans="4:10" ht="20.100000000000001" customHeight="1" x14ac:dyDescent="0.25">
      <c r="D192" s="52">
        <f>'Input - Poultry'!E10</f>
        <v>365</v>
      </c>
      <c r="E192" s="52">
        <f>'Input - Poultry'!F10</f>
        <v>365</v>
      </c>
      <c r="F192" s="52">
        <f>'Input - Poultry'!G10</f>
        <v>365</v>
      </c>
      <c r="G192" s="52">
        <f>'Input - Poultry'!H10</f>
        <v>365</v>
      </c>
      <c r="H192" s="2" t="str">
        <f>G185</f>
        <v>days</v>
      </c>
    </row>
    <row r="193" spans="4:20" ht="20.100000000000001" customHeight="1" x14ac:dyDescent="0.25"/>
    <row r="194" spans="4:20" ht="20.100000000000001" customHeight="1" x14ac:dyDescent="0.25">
      <c r="D194" s="98" t="s">
        <v>240</v>
      </c>
      <c r="G194" s="13"/>
    </row>
    <row r="195" spans="4:20" ht="20.100000000000001" customHeight="1" x14ac:dyDescent="0.25">
      <c r="D195" s="97" t="s">
        <v>241</v>
      </c>
    </row>
    <row r="196" spans="4:20" ht="20.100000000000001" customHeight="1" x14ac:dyDescent="0.25">
      <c r="D196" s="112" t="s">
        <v>197</v>
      </c>
      <c r="E196" s="112" t="s">
        <v>198</v>
      </c>
      <c r="F196" s="112" t="s">
        <v>211</v>
      </c>
      <c r="G196" s="112" t="s">
        <v>212</v>
      </c>
    </row>
    <row r="197" spans="4:20" ht="20.100000000000001" customHeight="1" x14ac:dyDescent="0.25">
      <c r="D197" s="52">
        <f>'Input - Poultry'!E11</f>
        <v>100</v>
      </c>
      <c r="E197" s="52">
        <f>'Input - Poultry'!F11</f>
        <v>100</v>
      </c>
      <c r="F197" s="52">
        <f>'Input - Poultry'!G11</f>
        <v>100</v>
      </c>
      <c r="G197" s="52">
        <f>'Input - Poultry'!H11</f>
        <v>100</v>
      </c>
      <c r="H197" s="2" t="str">
        <f>G187</f>
        <v>birds</v>
      </c>
    </row>
    <row r="198" spans="4:20" ht="20.100000000000001" customHeight="1" x14ac:dyDescent="0.25"/>
    <row r="199" spans="4:20" ht="20.100000000000001" customHeight="1" x14ac:dyDescent="0.25">
      <c r="D199" s="98" t="s">
        <v>242</v>
      </c>
      <c r="N199" s="98" t="s">
        <v>243</v>
      </c>
    </row>
    <row r="200" spans="4:20" ht="20.100000000000001" customHeight="1" x14ac:dyDescent="0.25">
      <c r="D200" s="97" t="s">
        <v>149</v>
      </c>
      <c r="N200" s="97" t="s">
        <v>150</v>
      </c>
    </row>
    <row r="201" spans="4:20" ht="20.100000000000001" customHeight="1" x14ac:dyDescent="0.25">
      <c r="D201" s="51" t="s">
        <v>136</v>
      </c>
      <c r="E201" s="51" t="s">
        <v>138</v>
      </c>
      <c r="F201" s="51" t="s">
        <v>197</v>
      </c>
      <c r="G201" s="51" t="s">
        <v>198</v>
      </c>
      <c r="H201" s="51" t="s">
        <v>211</v>
      </c>
      <c r="I201" s="51" t="s">
        <v>212</v>
      </c>
      <c r="N201" s="51" t="s">
        <v>136</v>
      </c>
      <c r="O201" s="51" t="s">
        <v>138</v>
      </c>
      <c r="P201" s="51" t="s">
        <v>197</v>
      </c>
      <c r="Q201" s="51" t="s">
        <v>198</v>
      </c>
      <c r="R201" s="51" t="s">
        <v>211</v>
      </c>
      <c r="S201" s="51" t="s">
        <v>212</v>
      </c>
    </row>
    <row r="202" spans="4:20" ht="20.100000000000001" customHeight="1" x14ac:dyDescent="0.25">
      <c r="D202" s="52" t="str">
        <f>'Input - Poultry'!$D$30</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'Input - Poultry'!$D$30</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'Input - Poultry'!$D$31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'Input - Poultry'!$D$31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'Input - Poultry'!$D$32</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'Input - Poultry'!$D$32</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'Input - Poultry'!$D$33</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'Input - Poultry'!$D$33</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'Input - Poultry'!$D$30</f>
        <v>Poultry manure with bedding</v>
      </c>
      <c r="E206" s="52" t="str">
        <f>'Input - Poultry'!$D$38</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'Input - Poultry'!$D$30</f>
        <v>Poultry manure with bedding</v>
      </c>
      <c r="O206" s="52" t="str">
        <f>'Input - Poultry'!$D$38</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'Input - Poultry'!$D$39</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'Input - Poultry'!$D$39</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'Input - Poultry'!$D$40</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'Input - Poultry'!$D$40</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'Input - Poultry'!$D$41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'Input - Poultry'!$D$41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'Input - Poultry'!$D$42</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'Input - Poultry'!$D$42</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'Input - Poultry'!$D$31</f>
        <v>Belt manure removal</v>
      </c>
      <c r="E211" s="52" t="str">
        <f>'Input - Poultry'!$D$45</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'Input - Poultry'!$D$31</f>
        <v>Belt manure removal</v>
      </c>
      <c r="O211" s="52" t="str">
        <f>'Input - Poultry'!$D$45</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'Input - Poultry'!$D$46</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'Input - Poultry'!$D$46</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'Input - Poultry'!$D$47</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'Input - Poultry'!$D$47</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'Input - Poultry'!$D$48</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'Input - Poultry'!$D$48</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'Input - Poultry'!$D$49</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'Input - Poultry'!$D$49</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'Input - Poultry'!$D$32</f>
        <v>Manure stored in house</v>
      </c>
      <c r="E216" s="52" t="str">
        <f>'Input - Poultry'!$D$52</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'Input - Poultry'!$D$32</f>
        <v>Manure stored in house</v>
      </c>
      <c r="O216" s="52" t="str">
        <f>'Input - Poultry'!$D$52</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'Input - Poultry'!$D$53</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'Input - Poultry'!$D$53</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'Input - Poultry'!$D$54</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'Input - Poultry'!$D$54</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'Input - Poultry'!$D$55</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'Input - Poultry'!$D$55</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'Input - Poultry'!$D$56</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'Input - Poultry'!$D$56</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v>28</v>
      </c>
      <c r="N225" s="57" t="str">
        <v>GWPCH4</v>
      </c>
      <c r="O225" s="58" t="str">
        <v>Global warming potential for methane (t CO2-e / t CH4)</v>
      </c>
      <c r="P225" s="102"/>
      <c r="Q225" s="52">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217</v>
      </c>
      <c r="N17" s="98" t="s">
        <v>218</v>
      </c>
    </row>
    <row r="18" spans="1:18" ht="20.100000000000001" customHeight="1" x14ac:dyDescent="0.25">
      <c r="A18" s="17" t="str">
        <f>HYPERLINK("#'4.6.1.12-13 Soil atmos dep'!A1", "4.6.1.12-13 Soil Atm. deposition")</f>
        <v>4.6.1.12-13 Soil Atm. deposition</v>
      </c>
      <c r="D18" s="97" t="s">
        <v>220</v>
      </c>
      <c r="N18" s="97" t="s">
        <v>219</v>
      </c>
    </row>
    <row r="19" spans="1:18" ht="20.100000000000001" customHeight="1" x14ac:dyDescent="0.25">
      <c r="A19" s="17" t="str">
        <f>HYPERLINK("#'4.6.1.14-15 Soil leach runoff'!A1", "4.6.1.14-15 Soil leach &amp; runoff")</f>
        <v>4.6.1.14-15 Soil leach &amp; runoff</v>
      </c>
      <c r="D19" s="112" t="s">
        <v>197</v>
      </c>
      <c r="E19" s="112" t="s">
        <v>198</v>
      </c>
      <c r="F19" s="112" t="s">
        <v>211</v>
      </c>
      <c r="G19" s="112" t="s">
        <v>212</v>
      </c>
      <c r="N19" s="112" t="s">
        <v>197</v>
      </c>
      <c r="O19" s="112" t="s">
        <v>198</v>
      </c>
      <c r="P19" s="112" t="s">
        <v>211</v>
      </c>
      <c r="Q19" s="112" t="s">
        <v>212</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246</v>
      </c>
      <c r="N22" s="98" t="s">
        <v>248</v>
      </c>
    </row>
    <row r="23" spans="1:18" ht="20.100000000000001" customHeight="1" x14ac:dyDescent="0.25">
      <c r="A23" s="17" t="str">
        <f>HYPERLINK("#'Constants - Livestock'!A1", "Constants - Livestock")</f>
        <v>Constants - Livestock</v>
      </c>
      <c r="D23" s="97" t="s">
        <v>247</v>
      </c>
      <c r="E23" s="97"/>
      <c r="N23" s="97" t="s">
        <v>249</v>
      </c>
      <c r="O23" s="97"/>
    </row>
    <row r="24" spans="1:18" ht="20.100000000000001" customHeight="1" x14ac:dyDescent="0.25">
      <c r="A24" s="17" t="str">
        <f>HYPERLINK("#'Constants - Common'!A1", "Constants - Common")</f>
        <v>Constants - Common</v>
      </c>
      <c r="D24" s="112" t="s">
        <v>197</v>
      </c>
      <c r="E24" s="112" t="s">
        <v>198</v>
      </c>
      <c r="F24" s="112" t="s">
        <v>211</v>
      </c>
      <c r="G24" s="112" t="s">
        <v>212</v>
      </c>
      <c r="N24" s="112" t="s">
        <v>197</v>
      </c>
      <c r="O24" s="112" t="s">
        <v>198</v>
      </c>
      <c r="P24" s="112" t="s">
        <v>211</v>
      </c>
      <c r="Q24" s="112" t="s">
        <v>212</v>
      </c>
    </row>
    <row r="25" spans="1:18" ht="20.100000000000001" customHeight="1" x14ac:dyDescent="0.25">
      <c r="A25" s="17"/>
      <c r="D25" s="52">
        <f>'Input - Poultry'!E18</f>
        <v>0.19</v>
      </c>
      <c r="E25" s="52">
        <f>'Input - Poultry'!F18</f>
        <v>0.23</v>
      </c>
      <c r="F25" s="52">
        <f>'Input - Poultry'!G18</f>
        <v>0.19</v>
      </c>
      <c r="G25" s="52">
        <f>'Input - Poultry'!H18</f>
        <v>0.23</v>
      </c>
      <c r="H25" s="2" t="str">
        <f>$G$14</f>
        <v>fraction</v>
      </c>
      <c r="N25" s="52">
        <f>'Input - Poultry'!E23</f>
        <v>0.19</v>
      </c>
      <c r="O25" s="52">
        <f>'Input - Poultry'!F23</f>
        <v>0.23</v>
      </c>
      <c r="P25" s="52">
        <f>'Input - Poultry'!G23</f>
        <v>0.19</v>
      </c>
      <c r="Q25" s="52">
        <f>'Input - Poultry'!H23</f>
        <v>0.23</v>
      </c>
      <c r="R25" s="2" t="str">
        <f>$G$14</f>
        <v>fraction</v>
      </c>
    </row>
    <row r="26" spans="1:18" ht="20.100000000000001" customHeight="1" x14ac:dyDescent="0.25"/>
    <row r="27" spans="1:18" ht="20.100000000000001" customHeight="1" x14ac:dyDescent="0.25">
      <c r="D27" s="98" t="s">
        <v>250</v>
      </c>
      <c r="N27" s="98" t="s">
        <v>250</v>
      </c>
    </row>
    <row r="28" spans="1:18" ht="20.100000000000001" customHeight="1" x14ac:dyDescent="0.25">
      <c r="D28" s="97" t="s">
        <v>251</v>
      </c>
      <c r="E28" s="97"/>
      <c r="N28" s="97" t="s">
        <v>251</v>
      </c>
      <c r="O28" s="97"/>
    </row>
    <row r="29" spans="1:18" ht="20.100000000000001" customHeight="1" x14ac:dyDescent="0.25">
      <c r="D29" s="51" t="s">
        <v>197</v>
      </c>
      <c r="E29" s="51" t="s">
        <v>198</v>
      </c>
      <c r="F29" s="51" t="s">
        <v>211</v>
      </c>
      <c r="G29" s="51" t="s">
        <v>212</v>
      </c>
      <c r="N29" s="51" t="s">
        <v>197</v>
      </c>
      <c r="O29" s="51" t="s">
        <v>198</v>
      </c>
      <c r="P29" s="51" t="s">
        <v>211</v>
      </c>
      <c r="Q29" s="51" t="s">
        <v>212</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252</v>
      </c>
    </row>
    <row r="46" spans="3:21" ht="20.100000000000001" customHeight="1" x14ac:dyDescent="0.25">
      <c r="D46" s="97" t="s">
        <v>253</v>
      </c>
      <c r="E46" s="97"/>
    </row>
    <row r="47" spans="3:21" ht="20.100000000000001" customHeight="1" x14ac:dyDescent="0.25">
      <c r="D47" s="51" t="s">
        <v>197</v>
      </c>
      <c r="E47" s="51" t="s">
        <v>198</v>
      </c>
      <c r="F47" s="51" t="s">
        <v>211</v>
      </c>
      <c r="G47" s="51" t="s">
        <v>212</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254</v>
      </c>
      <c r="N50" s="98" t="s">
        <v>254</v>
      </c>
    </row>
    <row r="51" spans="1:21" ht="20.100000000000001" customHeight="1" x14ac:dyDescent="0.25">
      <c r="D51" s="97" t="s">
        <v>255</v>
      </c>
      <c r="E51" s="97"/>
      <c r="N51" s="97" t="s">
        <v>255</v>
      </c>
      <c r="O51" s="97"/>
    </row>
    <row r="52" spans="1:21" ht="20.100000000000001" customHeight="1" x14ac:dyDescent="0.25">
      <c r="D52" s="51" t="s">
        <v>197</v>
      </c>
      <c r="E52" s="51" t="s">
        <v>198</v>
      </c>
      <c r="F52" s="51" t="s">
        <v>211</v>
      </c>
      <c r="G52" s="51" t="s">
        <v>212</v>
      </c>
      <c r="N52" s="51" t="s">
        <v>197</v>
      </c>
      <c r="O52" s="51" t="s">
        <v>198</v>
      </c>
      <c r="P52" s="51" t="s">
        <v>211</v>
      </c>
      <c r="Q52" s="51" t="s">
        <v>212</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240</v>
      </c>
    </row>
    <row r="70" spans="4:15" ht="20.100000000000001" customHeight="1" x14ac:dyDescent="0.25">
      <c r="D70" s="97" t="s">
        <v>241</v>
      </c>
      <c r="E70" s="97"/>
    </row>
    <row r="71" spans="4:15" ht="20.100000000000001" customHeight="1" x14ac:dyDescent="0.25">
      <c r="D71" s="112" t="s">
        <v>197</v>
      </c>
      <c r="E71" s="112" t="s">
        <v>198</v>
      </c>
      <c r="F71" s="112" t="s">
        <v>211</v>
      </c>
      <c r="G71" s="112" t="s">
        <v>212</v>
      </c>
    </row>
    <row r="72" spans="4:15" ht="20.100000000000001" customHeight="1" x14ac:dyDescent="0.25">
      <c r="D72" s="52">
        <f>'Input - Poultry'!E11</f>
        <v>100</v>
      </c>
      <c r="E72" s="52">
        <f>'Input - Poultry'!F11</f>
        <v>100</v>
      </c>
      <c r="F72" s="52">
        <f>'Input - Poultry'!G11</f>
        <v>100</v>
      </c>
      <c r="G72" s="52">
        <f>'Input - Poultry'!H11</f>
        <v>100</v>
      </c>
      <c r="H72" s="2" t="str">
        <f>$G$65</f>
        <v>bird</v>
      </c>
    </row>
    <row r="73" spans="4:15" ht="20.100000000000001" customHeight="1" x14ac:dyDescent="0.25"/>
    <row r="74" spans="4:15" ht="20.100000000000001" customHeight="1" x14ac:dyDescent="0.25">
      <c r="D74" s="98" t="s">
        <v>239</v>
      </c>
    </row>
    <row r="75" spans="4:15" ht="20.100000000000001" customHeight="1" x14ac:dyDescent="0.25">
      <c r="D75" s="97" t="s">
        <v>146</v>
      </c>
      <c r="E75" s="97"/>
    </row>
    <row r="76" spans="4:15" ht="20.100000000000001" customHeight="1" x14ac:dyDescent="0.25">
      <c r="D76" s="112" t="s">
        <v>197</v>
      </c>
      <c r="E76" s="112" t="s">
        <v>198</v>
      </c>
      <c r="F76" s="112" t="s">
        <v>211</v>
      </c>
      <c r="G76" s="112" t="s">
        <v>212</v>
      </c>
    </row>
    <row r="77" spans="4:15" ht="20.100000000000001" customHeight="1" x14ac:dyDescent="0.25">
      <c r="D77" s="52">
        <f>'Input - Poultry'!E11</f>
        <v>100</v>
      </c>
      <c r="E77" s="52">
        <f>'Input - Poultry'!F11</f>
        <v>100</v>
      </c>
      <c r="F77" s="52">
        <f>'Input - Poultry'!G11</f>
        <v>100</v>
      </c>
      <c r="G77" s="52">
        <f>'Input - Poultry'!H11</f>
        <v>100</v>
      </c>
      <c r="H77" s="2" t="str">
        <f>$G$67</f>
        <v>days</v>
      </c>
    </row>
    <row r="78" spans="4:15" ht="20.100000000000001" customHeight="1" x14ac:dyDescent="0.25"/>
    <row r="79" spans="4:15" ht="20.100000000000001" customHeight="1" x14ac:dyDescent="0.25">
      <c r="D79" s="98" t="s">
        <v>256</v>
      </c>
      <c r="N79" s="98" t="s">
        <v>258</v>
      </c>
    </row>
    <row r="80" spans="4:15" ht="20.100000000000001" customHeight="1" x14ac:dyDescent="0.25">
      <c r="D80" s="97" t="s">
        <v>257</v>
      </c>
      <c r="E80" s="97"/>
      <c r="N80" s="97" t="s">
        <v>259</v>
      </c>
      <c r="O80" s="97"/>
    </row>
    <row r="81" spans="1:21" ht="20.100000000000001" customHeight="1" x14ac:dyDescent="0.25">
      <c r="D81" s="51" t="s">
        <v>197</v>
      </c>
      <c r="E81" s="51" t="s">
        <v>198</v>
      </c>
      <c r="F81" s="51" t="s">
        <v>211</v>
      </c>
      <c r="G81" s="51" t="s">
        <v>212</v>
      </c>
      <c r="N81" s="51" t="s">
        <v>197</v>
      </c>
      <c r="O81" s="51" t="s">
        <v>198</v>
      </c>
      <c r="P81" s="51" t="s">
        <v>211</v>
      </c>
      <c r="Q81" s="51" t="s">
        <v>212</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230</v>
      </c>
    </row>
    <row r="99" spans="4:19" ht="20.100000000000001" customHeight="1" x14ac:dyDescent="0.25">
      <c r="D99" s="112" t="s">
        <v>136</v>
      </c>
      <c r="E99" s="112" t="s">
        <v>197</v>
      </c>
      <c r="F99" s="112" t="s">
        <v>198</v>
      </c>
      <c r="G99" s="112" t="s">
        <v>211</v>
      </c>
      <c r="H99" s="112" t="s">
        <v>212</v>
      </c>
    </row>
    <row r="100" spans="4:19" ht="20.100000000000001" customHeight="1" x14ac:dyDescent="0.25">
      <c r="D100" s="52" t="str">
        <f>'Input - Poultry'!$D$30</f>
        <v>Poultry manure with bedding</v>
      </c>
      <c r="E100" s="52">
        <f>'Input - Poultry'!E30</f>
        <v>0.3</v>
      </c>
      <c r="F100" s="52">
        <f>'Input - Poultry'!F30</f>
        <v>0.3</v>
      </c>
      <c r="G100" s="52">
        <f>'Input - Poultry'!G30</f>
        <v>0.3</v>
      </c>
      <c r="H100" s="52">
        <f>'Input - Poultry'!H30</f>
        <v>0.3</v>
      </c>
      <c r="I100" s="2" t="str">
        <f>$G$95</f>
        <v>fraction</v>
      </c>
    </row>
    <row r="101" spans="4:19" ht="20.100000000000001" customHeight="1" x14ac:dyDescent="0.25">
      <c r="D101" s="52" t="str">
        <f>'Input - Poultry'!$D$31</f>
        <v>Belt manure removal</v>
      </c>
      <c r="E101" s="52">
        <f>'Input - Poultry'!E31</f>
        <v>0.3</v>
      </c>
      <c r="F101" s="52">
        <f>'Input - Poultry'!F31</f>
        <v>0.3</v>
      </c>
      <c r="G101" s="52">
        <f>'Input - Poultry'!G31</f>
        <v>0.3</v>
      </c>
      <c r="H101" s="52">
        <f>'Input - Poultry'!H31</f>
        <v>0.3</v>
      </c>
      <c r="I101" s="2"/>
    </row>
    <row r="102" spans="4:19" ht="20.100000000000001" customHeight="1" x14ac:dyDescent="0.25">
      <c r="D102" s="52" t="str">
        <f>'Input - Poultry'!$D$32</f>
        <v>Manure stored in house</v>
      </c>
      <c r="E102" s="52">
        <f>'Input - Poultry'!E32</f>
        <v>0.3</v>
      </c>
      <c r="F102" s="52">
        <f>'Input - Poultry'!F32</f>
        <v>0.3</v>
      </c>
      <c r="G102" s="52">
        <f>'Input - Poultry'!G32</f>
        <v>0.3</v>
      </c>
      <c r="H102" s="52">
        <f>'Input - Poultry'!H32</f>
        <v>0.3</v>
      </c>
      <c r="I102" s="2"/>
    </row>
    <row r="103" spans="4:19" ht="20.100000000000001" customHeight="1" x14ac:dyDescent="0.25">
      <c r="D103" s="52" t="str">
        <f>'Input - Poultry'!$D$33</f>
        <v>Pasture range and paddock</v>
      </c>
      <c r="E103" s="52">
        <f>'Input - Poultry'!E33</f>
        <v>0.1</v>
      </c>
      <c r="F103" s="52">
        <f>'Input - Poultry'!F33</f>
        <v>0.1</v>
      </c>
      <c r="G103" s="52">
        <f>'Input - Poultry'!G33</f>
        <v>0.1</v>
      </c>
      <c r="H103" s="52">
        <f>'Input - Poultry'!H33</f>
        <v>0.1</v>
      </c>
      <c r="I103" s="2"/>
    </row>
    <row r="104" spans="4:19" ht="20.100000000000001" customHeight="1" x14ac:dyDescent="0.25"/>
    <row r="105" spans="4:19" ht="20.100000000000001" customHeight="1" x14ac:dyDescent="0.25">
      <c r="D105" s="98" t="s">
        <v>260</v>
      </c>
      <c r="N105" s="98" t="s">
        <v>262</v>
      </c>
    </row>
    <row r="106" spans="4:19" ht="20.100000000000001" customHeight="1" x14ac:dyDescent="0.25">
      <c r="D106" s="97" t="s">
        <v>261</v>
      </c>
      <c r="N106" s="97" t="s">
        <v>263</v>
      </c>
    </row>
    <row r="107" spans="4:19" ht="20.100000000000001" customHeight="1" x14ac:dyDescent="0.25">
      <c r="D107" s="51" t="s">
        <v>136</v>
      </c>
      <c r="E107" s="51" t="s">
        <v>197</v>
      </c>
      <c r="F107" s="51" t="s">
        <v>198</v>
      </c>
      <c r="G107" s="51" t="s">
        <v>211</v>
      </c>
      <c r="H107" s="51" t="s">
        <v>212</v>
      </c>
      <c r="N107" s="51" t="s">
        <v>136</v>
      </c>
      <c r="O107" s="51" t="s">
        <v>197</v>
      </c>
      <c r="P107" s="51" t="s">
        <v>198</v>
      </c>
      <c r="Q107" s="51" t="s">
        <v>211</v>
      </c>
      <c r="R107" s="51" t="s">
        <v>212</v>
      </c>
    </row>
    <row r="108" spans="4:19" ht="20.100000000000001" customHeight="1" x14ac:dyDescent="0.25">
      <c r="D108" s="52" t="str">
        <f>'Input - Poultry'!$D$30</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'Input - Poultry'!$D$30</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'Input - Poultry'!$D$31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'Input - Poultry'!$D$31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'Input - Poultry'!$D$32</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'Input - Poultry'!$D$32</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'Input - Poultry'!$D$33</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'Input - Poultry'!$D$33</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264</v>
      </c>
    </row>
    <row r="128" spans="1:21" ht="20.100000000000001" customHeight="1" x14ac:dyDescent="0.25">
      <c r="D128" s="97" t="s">
        <v>265</v>
      </c>
    </row>
    <row r="129" spans="4:6" ht="20.100000000000001" customHeight="1" x14ac:dyDescent="0.25">
      <c r="D129" s="51" t="s">
        <v>136</v>
      </c>
      <c r="E129" s="51" t="s">
        <v>266</v>
      </c>
    </row>
    <row r="130" spans="4:6" ht="20.100000000000001" customHeight="1" x14ac:dyDescent="0.25">
      <c r="D130" s="52" t="str">
        <f>'Input - Poultry'!$D$30</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'Input - Poultry'!$D$31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'Input - Poultry'!$D$32</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'Input - Poultry'!$D$33</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274</v>
      </c>
    </row>
    <row r="136" spans="4:6" ht="20.100000000000001" customHeight="1" x14ac:dyDescent="0.25">
      <c r="D136" s="97" t="s">
        <v>267</v>
      </c>
    </row>
    <row r="137" spans="4:6" ht="20.100000000000001" customHeight="1" x14ac:dyDescent="0.25">
      <c r="D137" s="51" t="s">
        <v>65</v>
      </c>
      <c r="E137" s="51" t="s">
        <v>293</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268</v>
      </c>
      <c r="N147" s="98" t="s">
        <v>270</v>
      </c>
    </row>
    <row r="148" spans="1:21" ht="20.100000000000001" customHeight="1" x14ac:dyDescent="0.25">
      <c r="D148" s="97" t="s">
        <v>269</v>
      </c>
      <c r="N148" s="97" t="s">
        <v>271</v>
      </c>
    </row>
    <row r="149" spans="1:21" ht="20.100000000000001" customHeight="1" x14ac:dyDescent="0.25">
      <c r="D149" s="51" t="s">
        <v>136</v>
      </c>
      <c r="E149" s="51" t="s">
        <v>197</v>
      </c>
      <c r="F149" s="51" t="s">
        <v>198</v>
      </c>
      <c r="G149" s="51" t="s">
        <v>211</v>
      </c>
      <c r="H149" s="51" t="s">
        <v>212</v>
      </c>
      <c r="N149" s="51" t="s">
        <v>136</v>
      </c>
      <c r="O149" s="51" t="s">
        <v>197</v>
      </c>
      <c r="P149" s="51" t="s">
        <v>198</v>
      </c>
      <c r="Q149" s="51" t="s">
        <v>211</v>
      </c>
      <c r="R149" s="51" t="s">
        <v>212</v>
      </c>
    </row>
    <row r="150" spans="1:21" ht="20.100000000000001" customHeight="1" x14ac:dyDescent="0.25">
      <c r="D150" s="52" t="str">
        <f>'Input - Poultry'!$D$30</f>
        <v>Poultry manure with bedding</v>
      </c>
      <c r="E150" s="52" cm="1">
        <f t="array" ref="E150">MMS_Poultry_N2ODirect_Equations.VEERG_4_6_1_3__7_NitrogenTransferredToStage2MMS(E108, _xlfn.XLOOKUP($D150, $D$130:$D$133,$E$130:$E$133), _xlfn.XLOOKUP($D150, $D$138:$D$141,$E$138:$E$141))</f>
        <v>3.5635579200000005</v>
      </c>
      <c r="F150" s="52" cm="1">
        <f t="array" ref="F150">MMS_Poultry_N2ODirect_Equations.VEERG_4_6_1_3__7_NitrogenTransferredToStage2MMS(F108, _xlfn.XLOOKUP($D150, $D$130:$D$133,$E$130:$E$133), _xlfn.XLOOKUP($D150, $D$138:$D$141,$E$138:$E$141))</f>
        <v>3.8036895839999998</v>
      </c>
      <c r="G150" s="52" cm="1">
        <f t="array" ref="G150">MMS_Poultry_N2ODirect_Equations.VEERG_4_6_1_3__7_NitrogenTransferredToStage2MMS(G108, _xlfn.XLOOKUP($D150, $D$130:$D$133,$E$130:$E$133), _xlfn.XLOOKUP($D150, $D$138:$D$141,$E$138:$E$141))</f>
        <v>4.4649659519999991</v>
      </c>
      <c r="H150" s="52" cm="1">
        <f t="array" ref="H150">MMS_Poultry_N2ODirect_Equations.VEERG_4_6_1_3__7_NitrogenTransferredToStage2MMS(H108, _xlfn.XLOOKUP($D150, $D$130:$D$133,$E$130:$E$133), _xlfn.XLOOKUP($D150, $D$138:$D$141,$E$138:$E$141))</f>
        <v>3.8036895839999998</v>
      </c>
      <c r="I150" s="2" t="str">
        <f>$E$121</f>
        <v>kg N</v>
      </c>
      <c r="N150" s="52" t="str">
        <f>'Input - Poultry'!$D$30</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S152" si="0">$E$121</f>
        <v>kg N</v>
      </c>
    </row>
    <row r="151" spans="1:21" ht="20.100000000000001" customHeight="1" x14ac:dyDescent="0.25">
      <c r="D151" s="52" t="str">
        <f>'Input - Poultry'!$D$31</f>
        <v>Belt manure removal</v>
      </c>
      <c r="E151" s="52" cm="1">
        <f t="array" ref="E151">MMS_Poultry_N2ODirect_Equations.VEERG_4_6_1_3__7_NitrogenTransferredToStage2MMS(E109, _xlfn.XLOOKUP($D151, $D$130:$D$133,$E$130:$E$133), _xlfn.XLOOKUP($D151, $D$138:$D$141,$E$138:$E$141))</f>
        <v>4.8380779200000008</v>
      </c>
      <c r="F151" s="52" cm="1">
        <f t="array" ref="F151">MMS_Poultry_N2ODirect_Equations.VEERG_4_6_1_3__7_NitrogenTransferredToStage2MMS(F109, _xlfn.XLOOKUP($D151, $D$130:$D$133,$E$130:$E$133), _xlfn.XLOOKUP($D151, $D$138:$D$141,$E$138:$E$141))</f>
        <v>5.1640935839999997</v>
      </c>
      <c r="G151" s="52" cm="1">
        <f t="array" ref="G151">MMS_Poultry_N2ODirect_Equations.VEERG_4_6_1_3__7_NitrogenTransferredToStage2MMS(G109, _xlfn.XLOOKUP($D151, $D$130:$D$133,$E$130:$E$133), _xlfn.XLOOKUP($D151, $D$138:$D$141,$E$138:$E$141))</f>
        <v>6.0618779519999997</v>
      </c>
      <c r="H151" s="52" cm="1">
        <f t="array" ref="H151">MMS_Poultry_N2ODirect_Equations.VEERG_4_6_1_3__7_NitrogenTransferredToStage2MMS(H109, _xlfn.XLOOKUP($D151, $D$130:$D$133,$E$130:$E$133), _xlfn.XLOOKUP($D151, $D$138:$D$141,$E$138:$E$141))</f>
        <v>5.1640935839999997</v>
      </c>
      <c r="I151" s="2"/>
      <c r="N151" s="52" t="str">
        <f>'Input - Poultry'!$D$31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'Input - Poultry'!$D$32</f>
        <v>Manure stored in house</v>
      </c>
      <c r="E152" s="52" cm="1">
        <f t="array" ref="E152">MMS_Poultry_N2ODirect_Equations.VEERG_4_6_1_3__7_NitrogenTransferredToStage2MMS(E110, _xlfn.XLOOKUP($D152, $D$130:$D$133,$E$130:$E$133), _xlfn.XLOOKUP($D152, $D$138:$D$141,$E$138:$E$141))</f>
        <v>3.0537499200000005</v>
      </c>
      <c r="F152" s="52" cm="1">
        <f t="array" ref="F152">MMS_Poultry_N2ODirect_Equations.VEERG_4_6_1_3__7_NitrogenTransferredToStage2MMS(F110, _xlfn.XLOOKUP($D152, $D$130:$D$133,$E$130:$E$133), _xlfn.XLOOKUP($D152, $D$138:$D$141,$E$138:$E$141))</f>
        <v>3.2595279839999995</v>
      </c>
      <c r="G152" s="52" cm="1">
        <f t="array" ref="G152">MMS_Poultry_N2ODirect_Equations.VEERG_4_6_1_3__7_NitrogenTransferredToStage2MMS(G110, _xlfn.XLOOKUP($D152, $D$130:$D$133,$E$130:$E$133), _xlfn.XLOOKUP($D152, $D$138:$D$141,$E$138:$E$141))</f>
        <v>3.8262011519999994</v>
      </c>
      <c r="H152" s="52" cm="1">
        <f t="array" ref="H152">MMS_Poultry_N2ODirect_Equations.VEERG_4_6_1_3__7_NitrogenTransferredToStage2MMS(H110, _xlfn.XLOOKUP($D152, $D$130:$D$133,$E$130:$E$133), _xlfn.XLOOKUP($D152, $D$138:$D$141,$E$138:$E$141))</f>
        <v>3.2595279839999995</v>
      </c>
      <c r="I152" s="2"/>
      <c r="N152" s="52" t="str">
        <f>'Input - Poultry'!$D$32</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236</v>
      </c>
    </row>
    <row r="169" spans="4:10" ht="20.100000000000001" customHeight="1" x14ac:dyDescent="0.25">
      <c r="D169" s="112" t="s">
        <v>136</v>
      </c>
      <c r="E169" s="112" t="s">
        <v>138</v>
      </c>
      <c r="F169" s="112" t="s">
        <v>197</v>
      </c>
      <c r="G169" s="112" t="s">
        <v>198</v>
      </c>
      <c r="H169" s="112" t="s">
        <v>211</v>
      </c>
      <c r="I169" s="112" t="s">
        <v>212</v>
      </c>
    </row>
    <row r="170" spans="4:10" ht="20.100000000000001" customHeight="1" x14ac:dyDescent="0.25">
      <c r="D170" s="52" t="str">
        <f>'Input - Poultry'!$D$30</f>
        <v>Poultry manure with bedding</v>
      </c>
      <c r="E170" s="52" t="str">
        <f>'Input - Poultry'!$D$38</f>
        <v>Solid storage</v>
      </c>
      <c r="F170" s="52">
        <f>'Input - Poultry'!E38</f>
        <v>0.2</v>
      </c>
      <c r="G170" s="52">
        <f>'Input - Poultry'!F38</f>
        <v>0.2</v>
      </c>
      <c r="H170" s="52">
        <f>'Input - Poultry'!G38</f>
        <v>0.2</v>
      </c>
      <c r="I170" s="52">
        <f>'Input - Poultry'!H38</f>
        <v>0.2</v>
      </c>
      <c r="J170" s="2" t="str">
        <f>$G$165</f>
        <v>fraction</v>
      </c>
    </row>
    <row r="171" spans="4:10" ht="20.100000000000001" customHeight="1" x14ac:dyDescent="0.25">
      <c r="D171" s="52"/>
      <c r="E171" s="52" t="str">
        <f>'Input - Poultry'!$D$39</f>
        <v>Composting (passive windrow)</v>
      </c>
      <c r="F171" s="52">
        <f>'Input - Poultry'!E39</f>
        <v>0.2</v>
      </c>
      <c r="G171" s="52">
        <f>'Input - Poultry'!F39</f>
        <v>0.2</v>
      </c>
      <c r="H171" s="52">
        <f>'Input - Poultry'!G39</f>
        <v>0.2</v>
      </c>
      <c r="I171" s="52">
        <f>'Input - Poultry'!H39</f>
        <v>0.2</v>
      </c>
      <c r="J171" s="2"/>
    </row>
    <row r="172" spans="4:10" ht="20.100000000000001" customHeight="1" x14ac:dyDescent="0.25">
      <c r="D172" s="52"/>
      <c r="E172" s="52" t="str">
        <f>'Input - Poultry'!$D$40</f>
        <v>Digester / covered lagoons</v>
      </c>
      <c r="F172" s="52">
        <f>'Input - Poultry'!E40</f>
        <v>0.2</v>
      </c>
      <c r="G172" s="52">
        <f>'Input - Poultry'!F40</f>
        <v>0.2</v>
      </c>
      <c r="H172" s="52">
        <f>'Input - Poultry'!G40</f>
        <v>0.2</v>
      </c>
      <c r="I172" s="52">
        <f>'Input - Poultry'!H40</f>
        <v>0.2</v>
      </c>
      <c r="J172" s="2"/>
    </row>
    <row r="173" spans="4:10" ht="20.100000000000001" customHeight="1" x14ac:dyDescent="0.25">
      <c r="D173" s="52"/>
      <c r="E173" s="52" t="str">
        <f>'Input - Poultry'!$D$41</f>
        <v>Direct processing</v>
      </c>
      <c r="F173" s="52">
        <f>'Input - Poultry'!E41</f>
        <v>0.2</v>
      </c>
      <c r="G173" s="52">
        <f>'Input - Poultry'!F41</f>
        <v>0.2</v>
      </c>
      <c r="H173" s="52">
        <f>'Input - Poultry'!G41</f>
        <v>0.2</v>
      </c>
      <c r="I173" s="52">
        <f>'Input - Poultry'!H41</f>
        <v>0.2</v>
      </c>
      <c r="J173" s="2"/>
    </row>
    <row r="174" spans="4:10" ht="20.100000000000001" customHeight="1" x14ac:dyDescent="0.25">
      <c r="D174" s="52"/>
      <c r="E174" s="52" t="str">
        <f>'Input - Poultry'!$D$42</f>
        <v>Direct application</v>
      </c>
      <c r="F174" s="52">
        <f>'Input - Poultry'!E42</f>
        <v>0.19999999999999996</v>
      </c>
      <c r="G174" s="52">
        <f>'Input - Poultry'!F42</f>
        <v>0.19999999999999996</v>
      </c>
      <c r="H174" s="52">
        <f>'Input - Poultry'!G42</f>
        <v>0.19999999999999996</v>
      </c>
      <c r="I174" s="52">
        <f>'Input - Poultry'!H42</f>
        <v>0.19999999999999996</v>
      </c>
    </row>
    <row r="175" spans="4:10" ht="20.100000000000001" customHeight="1" x14ac:dyDescent="0.25">
      <c r="D175" s="52" t="str">
        <f>'Input - Poultry'!$D$31</f>
        <v>Belt manure removal</v>
      </c>
      <c r="E175" s="52" t="str">
        <f>'Input - Poultry'!$D$45</f>
        <v>Solid storage</v>
      </c>
      <c r="F175" s="52">
        <f>'Input - Poultry'!E45</f>
        <v>0.2</v>
      </c>
      <c r="G175" s="52">
        <f>'Input - Poultry'!F45</f>
        <v>0.2</v>
      </c>
      <c r="H175" s="52">
        <f>'Input - Poultry'!G45</f>
        <v>0.2</v>
      </c>
      <c r="I175" s="52">
        <f>'Input - Poultry'!H45</f>
        <v>0.2</v>
      </c>
      <c r="J175" s="2"/>
    </row>
    <row r="176" spans="4:10" ht="20.100000000000001" customHeight="1" x14ac:dyDescent="0.25">
      <c r="D176" s="52"/>
      <c r="E176" s="52" t="str">
        <f>'Input - Poultry'!$D$46</f>
        <v>Composting (passive windrow)</v>
      </c>
      <c r="F176" s="52">
        <f>'Input - Poultry'!E46</f>
        <v>0.2</v>
      </c>
      <c r="G176" s="52">
        <f>'Input - Poultry'!F46</f>
        <v>0.2</v>
      </c>
      <c r="H176" s="52">
        <f>'Input - Poultry'!G46</f>
        <v>0.2</v>
      </c>
      <c r="I176" s="52">
        <f>'Input - Poultry'!H46</f>
        <v>0.2</v>
      </c>
      <c r="J176" s="2"/>
    </row>
    <row r="177" spans="4:20" ht="20.100000000000001" customHeight="1" x14ac:dyDescent="0.25">
      <c r="D177" s="52"/>
      <c r="E177" s="52" t="str">
        <f>'Input - Poultry'!$D$47</f>
        <v>Digester / covered lagoons</v>
      </c>
      <c r="F177" s="52">
        <f>'Input - Poultry'!E47</f>
        <v>0.2</v>
      </c>
      <c r="G177" s="52">
        <f>'Input - Poultry'!F47</f>
        <v>0.2</v>
      </c>
      <c r="H177" s="52">
        <f>'Input - Poultry'!G47</f>
        <v>0.2</v>
      </c>
      <c r="I177" s="52">
        <f>'Input - Poultry'!H47</f>
        <v>0.2</v>
      </c>
      <c r="J177" s="2"/>
    </row>
    <row r="178" spans="4:20" ht="20.100000000000001" customHeight="1" x14ac:dyDescent="0.25">
      <c r="D178" s="52"/>
      <c r="E178" s="52" t="str">
        <f>'Input - Poultry'!$D$48</f>
        <v>Direct processing</v>
      </c>
      <c r="F178" s="52">
        <f>'Input - Poultry'!E48</f>
        <v>0.2</v>
      </c>
      <c r="G178" s="52">
        <f>'Input - Poultry'!F48</f>
        <v>0.2</v>
      </c>
      <c r="H178" s="52">
        <f>'Input - Poultry'!G48</f>
        <v>0.2</v>
      </c>
      <c r="I178" s="52">
        <f>'Input - Poultry'!H48</f>
        <v>0.2</v>
      </c>
      <c r="J178" s="2"/>
    </row>
    <row r="179" spans="4:20" ht="20.100000000000001" customHeight="1" x14ac:dyDescent="0.25">
      <c r="D179" s="52"/>
      <c r="E179" s="52" t="str">
        <f>'Input - Poultry'!$D$49</f>
        <v>Direct application</v>
      </c>
      <c r="F179" s="52">
        <f>'Input - Poultry'!E49</f>
        <v>0.19999999999999996</v>
      </c>
      <c r="G179" s="52">
        <f>'Input - Poultry'!F49</f>
        <v>0.19999999999999996</v>
      </c>
      <c r="H179" s="52">
        <f>'Input - Poultry'!G49</f>
        <v>0.19999999999999996</v>
      </c>
      <c r="I179" s="52">
        <f>'Input - Poultry'!H49</f>
        <v>0.19999999999999996</v>
      </c>
    </row>
    <row r="180" spans="4:20" ht="20.100000000000001" customHeight="1" x14ac:dyDescent="0.25">
      <c r="D180" s="52" t="str">
        <f>'Input - Poultry'!$D$32</f>
        <v>Manure stored in house</v>
      </c>
      <c r="E180" s="52" t="str">
        <f>'Input - Poultry'!$D$52</f>
        <v>Solid storage</v>
      </c>
      <c r="F180" s="52">
        <f>'Input - Poultry'!E52</f>
        <v>0.2</v>
      </c>
      <c r="G180" s="52">
        <f>'Input - Poultry'!F52</f>
        <v>0.2</v>
      </c>
      <c r="H180" s="52">
        <f>'Input - Poultry'!G52</f>
        <v>0.2</v>
      </c>
      <c r="I180" s="52">
        <f>'Input - Poultry'!H52</f>
        <v>0.2</v>
      </c>
      <c r="J180" s="2"/>
    </row>
    <row r="181" spans="4:20" ht="20.100000000000001" customHeight="1" x14ac:dyDescent="0.25">
      <c r="D181" s="52"/>
      <c r="E181" s="52" t="str">
        <f>'Input - Poultry'!$D$53</f>
        <v>Composting (passive windrow)</v>
      </c>
      <c r="F181" s="52">
        <f>'Input - Poultry'!E53</f>
        <v>0.2</v>
      </c>
      <c r="G181" s="52">
        <f>'Input - Poultry'!F53</f>
        <v>0.2</v>
      </c>
      <c r="H181" s="52">
        <f>'Input - Poultry'!G53</f>
        <v>0.2</v>
      </c>
      <c r="I181" s="52">
        <f>'Input - Poultry'!H53</f>
        <v>0.2</v>
      </c>
      <c r="J181" s="2"/>
    </row>
    <row r="182" spans="4:20" ht="20.100000000000001" customHeight="1" x14ac:dyDescent="0.25">
      <c r="D182" s="52"/>
      <c r="E182" s="52" t="str">
        <f>'Input - Poultry'!$D$54</f>
        <v>Digester / covered lagoons</v>
      </c>
      <c r="F182" s="52">
        <f>'Input - Poultry'!E54</f>
        <v>0.2</v>
      </c>
      <c r="G182" s="52">
        <f>'Input - Poultry'!F54</f>
        <v>0.2</v>
      </c>
      <c r="H182" s="52">
        <f>'Input - Poultry'!G54</f>
        <v>0.2</v>
      </c>
      <c r="I182" s="52">
        <f>'Input - Poultry'!H54</f>
        <v>0.2</v>
      </c>
      <c r="J182" s="2"/>
    </row>
    <row r="183" spans="4:20" ht="20.100000000000001" customHeight="1" x14ac:dyDescent="0.25">
      <c r="D183" s="52"/>
      <c r="E183" s="52" t="str">
        <f>'Input - Poultry'!$D$55</f>
        <v>Direct processing</v>
      </c>
      <c r="F183" s="52">
        <f>'Input - Poultry'!E55</f>
        <v>0.2</v>
      </c>
      <c r="G183" s="52">
        <f>'Input - Poultry'!F55</f>
        <v>0.2</v>
      </c>
      <c r="H183" s="52">
        <f>'Input - Poultry'!G55</f>
        <v>0.2</v>
      </c>
      <c r="I183" s="52">
        <f>'Input - Poultry'!H55</f>
        <v>0.2</v>
      </c>
      <c r="J183" s="2"/>
    </row>
    <row r="184" spans="4:20" ht="20.100000000000001" customHeight="1" x14ac:dyDescent="0.25">
      <c r="D184" s="52"/>
      <c r="E184" s="52" t="str">
        <f>'Input - Poultry'!$D$56</f>
        <v>Direct application</v>
      </c>
      <c r="F184" s="52">
        <f>'Input - Poultry'!E56</f>
        <v>0.19999999999999996</v>
      </c>
      <c r="G184" s="52">
        <f>'Input - Poultry'!F56</f>
        <v>0.19999999999999996</v>
      </c>
      <c r="H184" s="52">
        <f>'Input - Poultry'!G56</f>
        <v>0.19999999999999996</v>
      </c>
      <c r="I184" s="52">
        <f>'Input - Poultry'!H56</f>
        <v>0.19999999999999996</v>
      </c>
    </row>
    <row r="185" spans="4:20" ht="20.100000000000001" customHeight="1" x14ac:dyDescent="0.25"/>
    <row r="186" spans="4:20" ht="20.100000000000001" customHeight="1" x14ac:dyDescent="0.25">
      <c r="D186" s="98" t="s">
        <v>272</v>
      </c>
      <c r="N186" s="98" t="s">
        <v>273</v>
      </c>
    </row>
    <row r="187" spans="4:20" ht="20.100000000000001" customHeight="1" x14ac:dyDescent="0.25">
      <c r="D187" s="97" t="s">
        <v>156</v>
      </c>
      <c r="N187" s="97" t="s">
        <v>168</v>
      </c>
    </row>
    <row r="188" spans="4:20" ht="20.100000000000001" customHeight="1" x14ac:dyDescent="0.25">
      <c r="D188" s="51" t="s">
        <v>136</v>
      </c>
      <c r="E188" s="51" t="s">
        <v>138</v>
      </c>
      <c r="F188" s="51" t="s">
        <v>197</v>
      </c>
      <c r="G188" s="51" t="s">
        <v>198</v>
      </c>
      <c r="H188" s="51" t="s">
        <v>211</v>
      </c>
      <c r="I188" s="51" t="s">
        <v>212</v>
      </c>
      <c r="N188" s="51" t="s">
        <v>136</v>
      </c>
      <c r="O188" s="51" t="s">
        <v>138</v>
      </c>
      <c r="P188" s="51" t="s">
        <v>197</v>
      </c>
      <c r="Q188" s="51" t="s">
        <v>198</v>
      </c>
      <c r="R188" s="51" t="s">
        <v>211</v>
      </c>
      <c r="S188" s="51" t="s">
        <v>212</v>
      </c>
    </row>
    <row r="189" spans="4:20" ht="20.100000000000001" customHeight="1" x14ac:dyDescent="0.25">
      <c r="D189" s="52" t="str">
        <f>'Input - Poultry'!$D$30</f>
        <v>Poultry manure with bedding</v>
      </c>
      <c r="E189" s="52" t="str">
        <f>'Input - Poultry'!$D$38</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J202" si="1">$E$162</f>
        <v>kg N</v>
      </c>
      <c r="N189" s="52" t="str">
        <f>'Input - Poultry'!$D$30</f>
        <v>Poultry manure with bedding</v>
      </c>
      <c r="O189" s="52" t="str">
        <f>'Input - Poultry'!$D$38</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T202" si="2">$E$162</f>
        <v>kg N</v>
      </c>
    </row>
    <row r="190" spans="4:20" ht="20.100000000000001" customHeight="1" x14ac:dyDescent="0.25">
      <c r="D190" s="52"/>
      <c r="E190" s="52" t="str">
        <f>'Input - Poultry'!$D$39</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'Input - Poultry'!$D$39</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'Input - Poultry'!$D$40</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'Input - Poultry'!$D$40</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'Input - Poultry'!$D$41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'Input - Poultry'!$D$41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'Input - Poultry'!$D$42</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'Input - Poultry'!$D$42</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'Input - Poultry'!$D$31</f>
        <v>Belt manure removal</v>
      </c>
      <c r="E194" s="52" t="str">
        <f>'Input - Poultry'!$D$45</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'Input - Poultry'!$D$31</f>
        <v>Belt manure removal</v>
      </c>
      <c r="O194" s="52" t="str">
        <f>'Input - Poultry'!$D$45</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'Input - Poultry'!$D$46</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'Input - Poultry'!$D$46</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'Input - Poultry'!$D$47</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'Input - Poultry'!$D$47</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'Input - Poultry'!$D$48</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'Input - Poultry'!$D$48</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'Input - Poultry'!$D$49</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'Input - Poultry'!$D$49</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'Input - Poultry'!$D$32</f>
        <v>Manure stored in house</v>
      </c>
      <c r="E199" s="52" t="str">
        <f>'Input - Poultry'!$D$52</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'Input - Poultry'!$D$32</f>
        <v>Manure stored in house</v>
      </c>
      <c r="O199" s="52" t="str">
        <f>'Input - Poultry'!$D$52</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'Input - Poultry'!$D$53</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'Input - Poultry'!$D$53</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'Input - Poultry'!$D$54</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'Input - Poultry'!$D$54</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'Input - Poultry'!$D$55</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'Input - Poultry'!$D$55</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'Input - Poultry'!$D$56</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'Input - Poultry'!$D$56</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349</v>
      </c>
      <c r="E219" s="90"/>
      <c r="F219" s="90"/>
      <c r="G219" s="86"/>
    </row>
    <row r="220" spans="4:19" ht="20.100000000000001" customHeight="1" x14ac:dyDescent="0.25">
      <c r="D220" s="92" t="s">
        <v>350</v>
      </c>
      <c r="E220" s="89"/>
      <c r="F220" s="89"/>
      <c r="G220" s="87"/>
    </row>
    <row r="221" spans="4:19" ht="20.100000000000001" customHeight="1" x14ac:dyDescent="0.25"/>
    <row r="222" spans="4:19" ht="20.100000000000001" customHeight="1" x14ac:dyDescent="0.25">
      <c r="D222" s="98" t="s">
        <v>157</v>
      </c>
      <c r="N222" s="98" t="s">
        <v>157</v>
      </c>
    </row>
    <row r="223" spans="4:19" ht="20.100000000000001" customHeight="1" x14ac:dyDescent="0.25">
      <c r="D223" s="97" t="s">
        <v>275</v>
      </c>
      <c r="N223" s="97" t="s">
        <v>276</v>
      </c>
    </row>
    <row r="224" spans="4:19" ht="20.100000000000001" customHeight="1" x14ac:dyDescent="0.25">
      <c r="D224" s="51" t="s">
        <v>136</v>
      </c>
      <c r="E224" s="51" t="s">
        <v>138</v>
      </c>
      <c r="F224" s="51" t="s">
        <v>197</v>
      </c>
      <c r="G224" s="51" t="s">
        <v>198</v>
      </c>
      <c r="H224" s="51" t="s">
        <v>211</v>
      </c>
      <c r="I224" s="51" t="s">
        <v>212</v>
      </c>
      <c r="N224" s="51" t="s">
        <v>136</v>
      </c>
      <c r="O224" s="51" t="s">
        <v>138</v>
      </c>
      <c r="P224" s="51" t="s">
        <v>197</v>
      </c>
      <c r="Q224" s="51" t="s">
        <v>198</v>
      </c>
      <c r="R224" s="51" t="s">
        <v>211</v>
      </c>
      <c r="S224" s="51" t="s">
        <v>212</v>
      </c>
    </row>
    <row r="225" spans="4:20" ht="20.100000000000001" customHeight="1" x14ac:dyDescent="0.25">
      <c r="D225" s="52" t="str">
        <f>'Input - Poultry'!$D$30</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'Input - Poultry'!$D$30</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'Input - Poultry'!$D$31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'Input - Poultry'!$D$31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'Input - Poultry'!$D$32</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'Input - Poultry'!$D$32</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'Input - Poultry'!$D$33</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'Input - Poultry'!$D$33</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'Input - Poultry'!$D$30</f>
        <v>Poultry manure with bedding</v>
      </c>
      <c r="E229" s="52" t="str">
        <f>'Input - Poultry'!$D$38</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'Input - Poultry'!$D$30</f>
        <v>Poultry manure with bedding</v>
      </c>
      <c r="O229" s="52" t="str">
        <f>'Input - Poultry'!$D$38</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'Input - Poultry'!$D$39</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'Input - Poultry'!$D$39</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'Input - Poultry'!$D$40</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'Input - Poultry'!$D$40</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'Input - Poultry'!$D$41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'Input - Poultry'!$D$41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'Input - Poultry'!$D$42</f>
        <v>Direct application</v>
      </c>
      <c r="F233" s="52" t="s">
        <v>134</v>
      </c>
      <c r="G233" s="52" t="s">
        <v>134</v>
      </c>
      <c r="H233" s="52" t="s">
        <v>134</v>
      </c>
      <c r="I233" s="52" t="s">
        <v>134</v>
      </c>
      <c r="N233" s="52"/>
      <c r="O233" s="52" t="str">
        <f>'Input - Poultry'!$D$42</f>
        <v>Direct application</v>
      </c>
      <c r="P233" s="52" t="s">
        <v>134</v>
      </c>
      <c r="Q233" s="52" t="s">
        <v>134</v>
      </c>
      <c r="R233" s="52" t="s">
        <v>134</v>
      </c>
      <c r="S233" s="52" t="s">
        <v>134</v>
      </c>
    </row>
    <row r="234" spans="4:20" ht="20.100000000000001" customHeight="1" x14ac:dyDescent="0.25">
      <c r="D234" s="52" t="str">
        <f>'Input - Poultry'!$D$31</f>
        <v>Belt manure removal</v>
      </c>
      <c r="E234" s="52" t="str">
        <f>'Input - Poultry'!$D$45</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'Input - Poultry'!$D$31</f>
        <v>Belt manure removal</v>
      </c>
      <c r="O234" s="52" t="str">
        <f>'Input - Poultry'!$D$45</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'Input - Poultry'!$D$46</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'Input - Poultry'!$D$46</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'Input - Poultry'!$D$47</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'Input - Poultry'!$D$47</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'Input - Poultry'!$D$48</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'Input - Poultry'!$D$48</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'Input - Poultry'!$D$49</f>
        <v>Direct application</v>
      </c>
      <c r="F238" s="52" t="s">
        <v>134</v>
      </c>
      <c r="G238" s="52" t="s">
        <v>134</v>
      </c>
      <c r="H238" s="52" t="s">
        <v>134</v>
      </c>
      <c r="I238" s="52" t="s">
        <v>134</v>
      </c>
      <c r="N238" s="52"/>
      <c r="O238" s="52" t="str">
        <f>'Input - Poultry'!$D$49</f>
        <v>Direct application</v>
      </c>
      <c r="P238" s="52" t="s">
        <v>134</v>
      </c>
      <c r="Q238" s="52" t="s">
        <v>134</v>
      </c>
      <c r="R238" s="52" t="s">
        <v>134</v>
      </c>
      <c r="S238" s="52" t="s">
        <v>134</v>
      </c>
    </row>
    <row r="239" spans="4:20" ht="20.100000000000001" customHeight="1" x14ac:dyDescent="0.25">
      <c r="D239" s="52" t="str">
        <f>'Input - Poultry'!$D$32</f>
        <v>Manure stored in house</v>
      </c>
      <c r="E239" s="52" t="str">
        <f>'Input - Poultry'!$D$52</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'Input - Poultry'!$D$32</f>
        <v>Manure stored in house</v>
      </c>
      <c r="O239" s="52" t="str">
        <f>'Input - Poultry'!$D$52</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'Input - Poultry'!$D$53</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'Input - Poultry'!$D$53</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'Input - Poultry'!$D$54</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'Input - Poultry'!$D$54</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'Input - Poultry'!$D$55</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'Input - Poultry'!$D$55</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'Input - Poultry'!$D$56</f>
        <v>Direct application</v>
      </c>
      <c r="F243" s="52" t="s">
        <v>134</v>
      </c>
      <c r="G243" s="52" t="s">
        <v>134</v>
      </c>
      <c r="H243" s="52" t="s">
        <v>134</v>
      </c>
      <c r="I243" s="52" t="s">
        <v>134</v>
      </c>
      <c r="N243" s="52"/>
      <c r="O243" s="52" t="str">
        <f>'Input - Poultry'!$D$56</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277</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351</v>
      </c>
      <c r="E16" s="90"/>
      <c r="F16" s="90"/>
      <c r="G16" s="86"/>
    </row>
    <row r="17" spans="1:20" ht="20.100000000000001" customHeight="1" x14ac:dyDescent="0.25">
      <c r="A17" s="17" t="str">
        <f>HYPERLINK("#'4.6.1.10-11 Soil direct N2O'!A1", "4.6.1.10-11 Soil direct N2O")</f>
        <v>4.6.1.10-11 Soil direct N2O</v>
      </c>
      <c r="D17" s="92" t="s">
        <v>350</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278</v>
      </c>
      <c r="N19" s="98" t="s">
        <v>284</v>
      </c>
    </row>
    <row r="20" spans="1:20" ht="20.100000000000001" customHeight="1" x14ac:dyDescent="0.25">
      <c r="D20" s="97" t="s">
        <v>279</v>
      </c>
      <c r="N20" s="97" t="s">
        <v>285</v>
      </c>
    </row>
    <row r="21" spans="1:20" ht="20.100000000000001" customHeight="1" x14ac:dyDescent="0.25">
      <c r="A21" s="18" t="s">
        <v>2</v>
      </c>
      <c r="D21" s="51" t="s">
        <v>136</v>
      </c>
      <c r="E21" s="51" t="s">
        <v>138</v>
      </c>
      <c r="F21" s="51" t="s">
        <v>197</v>
      </c>
      <c r="G21" s="51" t="s">
        <v>198</v>
      </c>
      <c r="H21" s="51" t="s">
        <v>211</v>
      </c>
      <c r="I21" s="51" t="s">
        <v>212</v>
      </c>
      <c r="N21" s="51" t="s">
        <v>136</v>
      </c>
      <c r="O21" s="51" t="s">
        <v>138</v>
      </c>
      <c r="P21" s="51" t="s">
        <v>197</v>
      </c>
      <c r="Q21" s="51" t="s">
        <v>198</v>
      </c>
      <c r="R21" s="51" t="s">
        <v>211</v>
      </c>
      <c r="S21" s="51" t="s">
        <v>212</v>
      </c>
    </row>
    <row r="22" spans="1:20" ht="20.100000000000001" customHeight="1" x14ac:dyDescent="0.25">
      <c r="A22" s="17" t="str">
        <f>HYPERLINK("#'Constants - Poultry'!A1", "Constants - Poultry")</f>
        <v>Constants - Poultry</v>
      </c>
      <c r="D22" s="52" t="str">
        <f>'Input - Poultry'!$D$30</f>
        <v>Poultry manure with bedding</v>
      </c>
      <c r="E22" s="52" t="s">
        <v>134</v>
      </c>
      <c r="F22" s="52">
        <f>'4.6.1.3-4 Direct N20'!E108</f>
        <v>5.0980800000000013</v>
      </c>
      <c r="G22" s="52">
        <f>'4.6.1.3-4 Direct N20'!F108</f>
        <v>5.4416159999999998</v>
      </c>
      <c r="H22" s="52">
        <f>'4.6.1.3-4 Direct N20'!G108</f>
        <v>6.3876479999999995</v>
      </c>
      <c r="I22" s="52">
        <f>'4.6.1.3-4 Direct N20'!H108</f>
        <v>5.4416159999999998</v>
      </c>
      <c r="J22" s="2" t="str">
        <f>$G$13</f>
        <v>kg N</v>
      </c>
      <c r="N22" s="52" t="str">
        <f>'Input - Poultry'!$D$30</f>
        <v>Poultry manure with bedding</v>
      </c>
      <c r="O22" s="52" t="s">
        <v>134</v>
      </c>
      <c r="P22" s="52">
        <f>'4.6.1.3-4 Direct N20'!O108</f>
        <v>5.0980800000000013</v>
      </c>
      <c r="Q22" s="52">
        <f>'4.6.1.3-4 Direct N20'!P108</f>
        <v>5.4416159999999998</v>
      </c>
      <c r="R22" s="52">
        <f>'4.6.1.3-4 Direct N20'!Q108</f>
        <v>6.3876479999999995</v>
      </c>
      <c r="S22" s="52">
        <f>'4.6.1.3-4 Direct N20'!R108</f>
        <v>5.4416159999999998</v>
      </c>
      <c r="T22" s="2" t="str">
        <f>$G$13</f>
        <v>kg N</v>
      </c>
    </row>
    <row r="23" spans="1:20" ht="20.100000000000001" customHeight="1" x14ac:dyDescent="0.25">
      <c r="A23" s="17" t="str">
        <f>HYPERLINK("#'Constants - Livestock'!A1", "Constants - Livestock")</f>
        <v>Constants - Livestock</v>
      </c>
      <c r="D23" s="52" t="str">
        <f>'Input - Poultry'!$D$31</f>
        <v>Belt manure removal</v>
      </c>
      <c r="E23" s="52" t="s">
        <v>134</v>
      </c>
      <c r="F23" s="52">
        <f>'4.6.1.3-4 Direct N20'!E109</f>
        <v>5.0980800000000013</v>
      </c>
      <c r="G23" s="52">
        <f>'4.6.1.3-4 Direct N20'!F109</f>
        <v>5.4416159999999998</v>
      </c>
      <c r="H23" s="52">
        <f>'4.6.1.3-4 Direct N20'!G109</f>
        <v>6.3876479999999995</v>
      </c>
      <c r="I23" s="52">
        <f>'4.6.1.3-4 Direct N20'!H109</f>
        <v>5.4416159999999998</v>
      </c>
      <c r="J23" s="2"/>
      <c r="N23" s="52" t="str">
        <f>'Input - Poultry'!$D$31</f>
        <v>Belt manure removal</v>
      </c>
      <c r="O23" s="52" t="s">
        <v>134</v>
      </c>
      <c r="P23" s="52">
        <f>'4.6.1.3-4 Direct N20'!O109</f>
        <v>5.0980800000000013</v>
      </c>
      <c r="Q23" s="52">
        <f>'4.6.1.3-4 Direct N20'!P109</f>
        <v>5.4416159999999998</v>
      </c>
      <c r="R23" s="52">
        <f>'4.6.1.3-4 Direct N20'!Q109</f>
        <v>6.3876479999999995</v>
      </c>
      <c r="S23" s="52">
        <f>'4.6.1.3-4 Direct N20'!R109</f>
        <v>5.4416159999999998</v>
      </c>
      <c r="T23" s="2"/>
    </row>
    <row r="24" spans="1:20" ht="20.100000000000001" customHeight="1" x14ac:dyDescent="0.25">
      <c r="A24" s="17" t="str">
        <f>HYPERLINK("#'Constants - Common'!A1", "Constants - Common")</f>
        <v>Constants - Common</v>
      </c>
      <c r="D24" s="52" t="str">
        <f>'Input - Poultry'!$D$32</f>
        <v>Manure stored in house</v>
      </c>
      <c r="E24" s="52" t="s">
        <v>134</v>
      </c>
      <c r="F24" s="52">
        <f>'4.6.1.3-4 Direct N20'!E110</f>
        <v>5.0980800000000013</v>
      </c>
      <c r="G24" s="52">
        <f>'4.6.1.3-4 Direct N20'!F110</f>
        <v>5.4416159999999998</v>
      </c>
      <c r="H24" s="52">
        <f>'4.6.1.3-4 Direct N20'!G110</f>
        <v>6.3876479999999995</v>
      </c>
      <c r="I24" s="52">
        <f>'4.6.1.3-4 Direct N20'!H110</f>
        <v>5.4416159999999998</v>
      </c>
      <c r="J24" s="2"/>
      <c r="N24" s="52" t="str">
        <f>'Input - Poultry'!$D$32</f>
        <v>Manure stored in house</v>
      </c>
      <c r="O24" s="52" t="s">
        <v>134</v>
      </c>
      <c r="P24" s="52">
        <f>'4.6.1.3-4 Direct N20'!O110</f>
        <v>5.0980800000000013</v>
      </c>
      <c r="Q24" s="52">
        <f>'4.6.1.3-4 Direct N20'!P110</f>
        <v>5.4416159999999998</v>
      </c>
      <c r="R24" s="52">
        <f>'4.6.1.3-4 Direct N20'!Q110</f>
        <v>6.3876479999999995</v>
      </c>
      <c r="S24" s="52">
        <f>'4.6.1.3-4 Direct N20'!R110</f>
        <v>5.4416159999999998</v>
      </c>
      <c r="T24" s="2"/>
    </row>
    <row r="25" spans="1:20" ht="20.100000000000001" customHeight="1" x14ac:dyDescent="0.25">
      <c r="A25" s="17"/>
      <c r="D25" s="52" t="str">
        <f>'Input - Poultry'!$D$33</f>
        <v>Pasture range and paddock</v>
      </c>
      <c r="E25" s="52" t="s">
        <v>134</v>
      </c>
      <c r="F25" s="52">
        <f>'4.6.1.3-4 Direct N20'!E111</f>
        <v>1.6993600000000004</v>
      </c>
      <c r="G25" s="52">
        <f>'4.6.1.3-4 Direct N20'!F111</f>
        <v>1.8138719999999999</v>
      </c>
      <c r="H25" s="52">
        <f>'4.6.1.3-4 Direct N20'!G111</f>
        <v>2.129216</v>
      </c>
      <c r="I25" s="52">
        <f>'4.6.1.3-4 Direct N20'!H111</f>
        <v>1.8138719999999999</v>
      </c>
      <c r="J25" s="2"/>
      <c r="N25" s="52" t="str">
        <f>'Input - Poultry'!$D$33</f>
        <v>Pasture range and paddock</v>
      </c>
      <c r="O25" s="52" t="s">
        <v>134</v>
      </c>
      <c r="P25" s="52">
        <f>'4.6.1.3-4 Direct N20'!O111</f>
        <v>1.6993600000000004</v>
      </c>
      <c r="Q25" s="52">
        <f>'4.6.1.3-4 Direct N20'!P111</f>
        <v>1.8138719999999999</v>
      </c>
      <c r="R25" s="52">
        <f>'4.6.1.3-4 Direct N20'!Q111</f>
        <v>2.129216</v>
      </c>
      <c r="S25" s="52">
        <f>'4.6.1.3-4 Direct N20'!R111</f>
        <v>1.8138719999999999</v>
      </c>
      <c r="T25" s="2"/>
    </row>
    <row r="26" spans="1:20" ht="20.100000000000001" customHeight="1" x14ac:dyDescent="0.25">
      <c r="D26" s="52" t="str">
        <f>'Input - Poultry'!$D$30</f>
        <v>Poultry manure with bedding</v>
      </c>
      <c r="E26" s="52" t="str">
        <f>'Input - Poultry'!$D$38</f>
        <v>Solid storage</v>
      </c>
      <c r="F26" s="52">
        <f>'4.6.1.3-4 Direct N20'!F189</f>
        <v>0.71271158400000012</v>
      </c>
      <c r="G26" s="52">
        <f>'4.6.1.3-4 Direct N20'!G189</f>
        <v>0.76073791680000002</v>
      </c>
      <c r="H26" s="52">
        <f>'4.6.1.3-4 Direct N20'!H189</f>
        <v>0.89299319039999991</v>
      </c>
      <c r="I26" s="52">
        <f>'4.6.1.3-4 Direct N20'!I189</f>
        <v>0.76073791680000002</v>
      </c>
      <c r="J26" s="2"/>
      <c r="N26" s="52" t="str">
        <f>'Input - Poultry'!$D$30</f>
        <v>Poultry manure with bedding</v>
      </c>
      <c r="O26" s="52" t="str">
        <f>'Input - Poultry'!$D$38</f>
        <v>Solid storage</v>
      </c>
      <c r="P26" s="52">
        <f>'4.6.1.3-4 Direct N20'!P189</f>
        <v>0.71271158400000012</v>
      </c>
      <c r="Q26" s="52">
        <f>'4.6.1.3-4 Direct N20'!Q189</f>
        <v>0.76073791680000002</v>
      </c>
      <c r="R26" s="52">
        <f>'4.6.1.3-4 Direct N20'!R189</f>
        <v>0.89299319039999991</v>
      </c>
      <c r="S26" s="52">
        <f>'4.6.1.3-4 Direct N20'!S189</f>
        <v>0.76073791680000002</v>
      </c>
      <c r="T26" s="2"/>
    </row>
    <row r="27" spans="1:20" ht="20.100000000000001" customHeight="1" x14ac:dyDescent="0.25">
      <c r="D27" s="52"/>
      <c r="E27" s="52" t="str">
        <f>'Input - Poultry'!$D$39</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'Input - Poultry'!$D$39</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'Input - Poultry'!$D$40</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'Input - Poultry'!$D$40</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'Input - Poultry'!$D$41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'Input - Poultry'!$D$41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'Input - Poultry'!$D$42</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'Input - Poultry'!$D$42</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'Input - Poultry'!$D$31</f>
        <v>Belt manure removal</v>
      </c>
      <c r="E31" s="52" t="str">
        <f>'Input - Poultry'!$D$45</f>
        <v>Solid storage</v>
      </c>
      <c r="F31" s="52">
        <f>'4.6.1.3-4 Direct N20'!F194</f>
        <v>0.96761558400000025</v>
      </c>
      <c r="G31" s="52">
        <f>'4.6.1.3-4 Direct N20'!G194</f>
        <v>1.0328187168</v>
      </c>
      <c r="H31" s="52">
        <f>'4.6.1.3-4 Direct N20'!H194</f>
        <v>1.2123755904</v>
      </c>
      <c r="I31" s="52">
        <f>'4.6.1.3-4 Direct N20'!I194</f>
        <v>1.0328187168</v>
      </c>
      <c r="J31" s="2"/>
      <c r="N31" s="52" t="str">
        <f>'Input - Poultry'!$D$31</f>
        <v>Belt manure removal</v>
      </c>
      <c r="O31" s="52" t="str">
        <f>'Input - Poultry'!$D$45</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'Input - Poultry'!$D$46</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'Input - Poultry'!$D$46</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'Input - Poultry'!$D$47</f>
        <v>Digester / covered lagoons</v>
      </c>
      <c r="F33" s="52">
        <f>'4.6.1.3-4 Direct N20'!F196</f>
        <v>0.96761558400000025</v>
      </c>
      <c r="G33" s="52">
        <f>'4.6.1.3-4 Direct N20'!G196</f>
        <v>1.0328187168</v>
      </c>
      <c r="H33" s="52">
        <f>'4.6.1.3-4 Direct N20'!H196</f>
        <v>1.2123755904</v>
      </c>
      <c r="I33" s="52">
        <f>'4.6.1.3-4 Direct N20'!I196</f>
        <v>1.0328187168</v>
      </c>
      <c r="J33" s="2"/>
      <c r="N33" s="52"/>
      <c r="O33" s="52" t="str">
        <f>'Input - Poultry'!$D$47</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'Input - Poultry'!$D$48</f>
        <v>Direct processing</v>
      </c>
      <c r="F34" s="52">
        <f>'4.6.1.3-4 Direct N20'!F197</f>
        <v>0.96761558400000025</v>
      </c>
      <c r="G34" s="52">
        <f>'4.6.1.3-4 Direct N20'!G197</f>
        <v>1.0328187168</v>
      </c>
      <c r="H34" s="52">
        <f>'4.6.1.3-4 Direct N20'!H197</f>
        <v>1.2123755904</v>
      </c>
      <c r="I34" s="52">
        <f>'4.6.1.3-4 Direct N20'!I197</f>
        <v>1.0328187168</v>
      </c>
      <c r="J34" s="2"/>
      <c r="N34" s="52"/>
      <c r="O34" s="52" t="str">
        <f>'Input - Poultry'!$D$48</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'Input - Poultry'!$D$49</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'Input - Poultry'!$D$49</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'Input - Poultry'!$D$32</f>
        <v>Manure stored in house</v>
      </c>
      <c r="E36" s="52" t="str">
        <f>'Input - Poultry'!$D$52</f>
        <v>Solid storage</v>
      </c>
      <c r="F36" s="52">
        <f>'4.6.1.3-4 Direct N20'!F199</f>
        <v>0.61074998400000013</v>
      </c>
      <c r="G36" s="52">
        <f>'4.6.1.3-4 Direct N20'!G199</f>
        <v>0.65190559679999993</v>
      </c>
      <c r="H36" s="52">
        <f>'4.6.1.3-4 Direct N20'!H199</f>
        <v>0.76524023039999989</v>
      </c>
      <c r="I36" s="52">
        <f>'4.6.1.3-4 Direct N20'!I199</f>
        <v>0.65190559679999993</v>
      </c>
      <c r="J36" s="2"/>
      <c r="N36" s="52" t="str">
        <f>'Input - Poultry'!$D$32</f>
        <v>Manure stored in house</v>
      </c>
      <c r="O36" s="52" t="str">
        <f>'Input - Poultry'!$D$52</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'Input - Poultry'!$D$53</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'Input - Poultry'!$D$53</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'Input - Poultry'!$D$54</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'Input - Poultry'!$D$54</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'Input - Poultry'!$D$55</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'Input - Poultry'!$D$55</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'Input - Poultry'!$D$56</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'Input - Poultry'!$D$56</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280</v>
      </c>
    </row>
    <row r="43" spans="4:20" ht="20.100000000000001" customHeight="1" x14ac:dyDescent="0.25">
      <c r="D43" s="97" t="s">
        <v>294</v>
      </c>
    </row>
    <row r="44" spans="4:20" ht="20.100000000000001" customHeight="1" x14ac:dyDescent="0.25">
      <c r="D44" s="51" t="s">
        <v>136</v>
      </c>
      <c r="E44" s="51" t="s">
        <v>266</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281</v>
      </c>
      <c r="N54" s="98" t="s">
        <v>282</v>
      </c>
    </row>
    <row r="55" spans="4:20" ht="20.100000000000001" customHeight="1" x14ac:dyDescent="0.25">
      <c r="D55" s="97" t="s">
        <v>286</v>
      </c>
      <c r="N55" s="97" t="s">
        <v>283</v>
      </c>
    </row>
    <row r="56" spans="4:20" ht="20.100000000000001" customHeight="1" x14ac:dyDescent="0.25">
      <c r="D56" s="51" t="s">
        <v>136</v>
      </c>
      <c r="E56" s="51" t="s">
        <v>138</v>
      </c>
      <c r="F56" s="51" t="s">
        <v>197</v>
      </c>
      <c r="G56" s="51" t="s">
        <v>198</v>
      </c>
      <c r="H56" s="51" t="s">
        <v>211</v>
      </c>
      <c r="I56" s="51" t="s">
        <v>212</v>
      </c>
      <c r="N56" s="51" t="s">
        <v>136</v>
      </c>
      <c r="O56" s="51" t="s">
        <v>138</v>
      </c>
      <c r="P56" s="51" t="s">
        <v>197</v>
      </c>
      <c r="Q56" s="51" t="s">
        <v>198</v>
      </c>
      <c r="R56" s="51" t="s">
        <v>211</v>
      </c>
      <c r="S56" s="51" t="s">
        <v>212</v>
      </c>
    </row>
    <row r="57" spans="4:20" ht="20.100000000000001" customHeight="1" x14ac:dyDescent="0.25">
      <c r="D57" s="52" t="str">
        <f>'Input - Poultry'!$D$30</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'Input - Poultry'!$D$30</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'Input - Poultry'!$D$31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'Input - Poultry'!$D$31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'Input - Poultry'!$D$32</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'Input - Poultry'!$D$32</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'Input - Poultry'!$D$33</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'Input - Poultry'!$D$33</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'Input - Poultry'!$D$30</f>
        <v>Poultry manure with bedding</v>
      </c>
      <c r="E61" s="52" t="str">
        <f>'Input - Poultry'!$D$38</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'Input - Poultry'!$D$30</f>
        <v>Poultry manure with bedding</v>
      </c>
      <c r="O61" s="52" t="str">
        <f>'Input - Poultry'!$D$38</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'Input - Poultry'!$D$39</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'Input - Poultry'!$D$39</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'Input - Poultry'!$D$40</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'Input - Poultry'!$D$40</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'Input - Poultry'!$D$41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'Input - Poultry'!$D$41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'Input - Poultry'!$D$42</f>
        <v>Direct application</v>
      </c>
      <c r="F65" s="52" t="s">
        <v>134</v>
      </c>
      <c r="G65" s="52" t="s">
        <v>134</v>
      </c>
      <c r="H65" s="52" t="s">
        <v>134</v>
      </c>
      <c r="I65" s="52" t="s">
        <v>134</v>
      </c>
      <c r="N65" s="52"/>
      <c r="O65" s="52" t="str">
        <f>'Input - Poultry'!$D$42</f>
        <v>Direct application</v>
      </c>
      <c r="P65" s="52" t="s">
        <v>134</v>
      </c>
      <c r="Q65" s="52" t="s">
        <v>134</v>
      </c>
      <c r="R65" s="52" t="s">
        <v>134</v>
      </c>
      <c r="S65" s="52" t="s">
        <v>134</v>
      </c>
    </row>
    <row r="66" spans="1:21" ht="20.100000000000001" customHeight="1" x14ac:dyDescent="0.25">
      <c r="D66" s="52" t="str">
        <f>'Input - Poultry'!$D$31</f>
        <v>Belt manure removal</v>
      </c>
      <c r="E66" s="52" t="str">
        <f>'Input - Poultry'!$D$45</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'Input - Poultry'!$D$31</f>
        <v>Belt manure removal</v>
      </c>
      <c r="O66" s="52" t="str">
        <f>'Input - Poultry'!$D$45</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'Input - Poultry'!$D$46</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'Input - Poultry'!$D$46</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'Input - Poultry'!$D$47</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'Input - Poultry'!$D$47</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'Input - Poultry'!$D$48</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'Input - Poultry'!$D$48</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'Input - Poultry'!$D$49</f>
        <v>Direct application</v>
      </c>
      <c r="F70" s="52" t="s">
        <v>134</v>
      </c>
      <c r="G70" s="52" t="s">
        <v>134</v>
      </c>
      <c r="H70" s="52" t="s">
        <v>134</v>
      </c>
      <c r="I70" s="52" t="s">
        <v>134</v>
      </c>
      <c r="N70" s="52"/>
      <c r="O70" s="52" t="str">
        <f>'Input - Poultry'!$D$49</f>
        <v>Direct application</v>
      </c>
      <c r="P70" s="52" t="s">
        <v>134</v>
      </c>
      <c r="Q70" s="52" t="s">
        <v>134</v>
      </c>
      <c r="R70" s="52" t="s">
        <v>134</v>
      </c>
      <c r="S70" s="52" t="s">
        <v>134</v>
      </c>
    </row>
    <row r="71" spans="1:21" ht="20.100000000000001" customHeight="1" x14ac:dyDescent="0.25">
      <c r="D71" s="52" t="str">
        <f>'Input - Poultry'!$D$32</f>
        <v>Manure stored in house</v>
      </c>
      <c r="E71" s="52" t="str">
        <f>'Input - Poultry'!$D$52</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'Input - Poultry'!$D$32</f>
        <v>Manure stored in house</v>
      </c>
      <c r="O71" s="52" t="str">
        <f>'Input - Poultry'!$D$52</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'Input - Poultry'!$D$53</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'Input - Poultry'!$D$53</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'Input - Poultry'!$D$54</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'Input - Poultry'!$D$54</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'Input - Poultry'!$D$55</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'Input - Poultry'!$D$55</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'Input - Poultry'!$D$56</f>
        <v>Direct application</v>
      </c>
      <c r="F75" s="52" t="s">
        <v>134</v>
      </c>
      <c r="G75" s="52" t="s">
        <v>134</v>
      </c>
      <c r="H75" s="52" t="s">
        <v>134</v>
      </c>
      <c r="I75" s="52" t="s">
        <v>134</v>
      </c>
      <c r="N75" s="52"/>
      <c r="O75" s="52" t="str">
        <f>'Input - Poultry'!$D$56</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'Input - Poultry'!$E$59</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'Input - Poultry'!$E$60</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'Input - Site'!$E$30</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287</v>
      </c>
      <c r="E96" s="100" cm="1">
        <f t="array" ref="E96">MMS_Poultry_AtmosphericDeposition_Equations.VEERG_4_6_1_5__1_TotalAnnualAtmosphericDepositionEmissionsFromMMS(I89,$I$90,$I$91)</f>
        <v>2.2877540674560014E-4</v>
      </c>
      <c r="F96" s="101" t="str">
        <f>$E$87</f>
        <v>t N2O</v>
      </c>
      <c r="N96" s="99" t="s">
        <v>287</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v>265</v>
      </c>
      <c r="N99" s="57" t="str">
        <v>GWPN2O</v>
      </c>
      <c r="O99" s="58" t="str">
        <v>Global warming potential for nitrous oxide (t CO2-e / t N2O)</v>
      </c>
      <c r="P99" s="102"/>
      <c r="Q99" s="52">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U165"/>
  <sheetViews>
    <sheetView showGridLines="0" zoomScaleNormal="100" workbookViewId="0">
      <selection activeCell="A16" sqref="A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39" t="str">
        <v>Input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39" t="str">
        <v>Input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352</v>
      </c>
      <c r="E20" s="90"/>
      <c r="F20" s="90"/>
      <c r="G20" s="90"/>
      <c r="H20" s="86"/>
    </row>
    <row r="21" spans="1:20" ht="20.100000000000001" customHeight="1" x14ac:dyDescent="0.25">
      <c r="A21" s="18" t="s">
        <v>2</v>
      </c>
      <c r="D21" s="136" t="s">
        <v>353</v>
      </c>
      <c r="E21" s="137"/>
      <c r="F21" s="137"/>
      <c r="G21" s="137"/>
      <c r="H21" s="138"/>
    </row>
    <row r="22" spans="1:20" ht="20.100000000000001" customHeight="1" x14ac:dyDescent="0.25">
      <c r="A22" s="17" t="str">
        <f>HYPERLINK("#'Constants - Poultry'!A1", "Constants - Poultry")</f>
        <v>Constants - Poultry</v>
      </c>
      <c r="D22" s="92" t="s">
        <v>354</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289</v>
      </c>
      <c r="N24" s="98" t="s">
        <v>289</v>
      </c>
    </row>
    <row r="25" spans="1:20" ht="20.100000000000001" customHeight="1" x14ac:dyDescent="0.25">
      <c r="A25" s="17"/>
      <c r="D25" s="97" t="s">
        <v>290</v>
      </c>
      <c r="N25" s="97" t="s">
        <v>290</v>
      </c>
    </row>
    <row r="26" spans="1:20" ht="20.100000000000001" customHeight="1" x14ac:dyDescent="0.25">
      <c r="D26" s="51" t="s">
        <v>136</v>
      </c>
      <c r="E26" s="51" t="s">
        <v>138</v>
      </c>
      <c r="F26" s="51" t="s">
        <v>197</v>
      </c>
      <c r="G26" s="51" t="s">
        <v>198</v>
      </c>
      <c r="H26" s="51" t="s">
        <v>211</v>
      </c>
      <c r="I26" s="51" t="s">
        <v>212</v>
      </c>
      <c r="N26" s="51" t="s">
        <v>136</v>
      </c>
      <c r="O26" s="51" t="s">
        <v>138</v>
      </c>
      <c r="P26" s="51" t="s">
        <v>197</v>
      </c>
      <c r="Q26" s="51" t="s">
        <v>198</v>
      </c>
      <c r="R26" s="51" t="s">
        <v>211</v>
      </c>
      <c r="S26" s="51" t="s">
        <v>212</v>
      </c>
    </row>
    <row r="27" spans="1:20" ht="20.100000000000001" customHeight="1" x14ac:dyDescent="0.25">
      <c r="D27" s="52" t="str">
        <f>'Input - Poultry'!$D$30</f>
        <v>Poultry manure with bedding</v>
      </c>
      <c r="E27" s="52" t="str">
        <f>'Input - Poultry'!$D$38</f>
        <v>Solid storage</v>
      </c>
      <c r="F27" s="52">
        <f>'4.6.1.3-4 Direct N20'!F189</f>
        <v>0.71271158400000012</v>
      </c>
      <c r="G27" s="52">
        <f>'4.6.1.3-4 Direct N20'!G189</f>
        <v>0.76073791680000002</v>
      </c>
      <c r="H27" s="52">
        <f>'4.6.1.3-4 Direct N20'!H189</f>
        <v>0.89299319039999991</v>
      </c>
      <c r="I27" s="52">
        <f>'4.6.1.3-4 Direct N20'!I189</f>
        <v>0.76073791680000002</v>
      </c>
      <c r="J27" s="2" t="str">
        <f>$G$13</f>
        <v>kg N</v>
      </c>
      <c r="N27" s="52" t="str">
        <f>'Input - Poultry'!$D$30</f>
        <v>Poultry manure with bedding</v>
      </c>
      <c r="O27" s="52" t="str">
        <f>'Input - Poultry'!$D$38</f>
        <v>Solid storage</v>
      </c>
      <c r="P27" s="52">
        <f>'4.6.1.3-4 Direct N20'!P189</f>
        <v>0.71271158400000012</v>
      </c>
      <c r="Q27" s="52">
        <f>'4.6.1.3-4 Direct N20'!Q189</f>
        <v>0.76073791680000002</v>
      </c>
      <c r="R27" s="52">
        <f>'4.6.1.3-4 Direct N20'!R189</f>
        <v>0.89299319039999991</v>
      </c>
      <c r="S27" s="52">
        <f>'4.6.1.3-4 Direct N20'!S189</f>
        <v>0.76073791680000002</v>
      </c>
      <c r="T27" s="2" t="str">
        <f>$G$13</f>
        <v>kg N</v>
      </c>
    </row>
    <row r="28" spans="1:20" ht="20.100000000000001" customHeight="1" x14ac:dyDescent="0.25">
      <c r="D28" s="52" t="str">
        <f>'Input - Poultry'!$D$31</f>
        <v>Belt manure removal</v>
      </c>
      <c r="E28" s="52" t="str">
        <f>'Input - Poultry'!$D$45</f>
        <v>Solid storage</v>
      </c>
      <c r="F28" s="52">
        <f>'4.6.1.3-4 Direct N20'!F194</f>
        <v>0.96761558400000025</v>
      </c>
      <c r="G28" s="52">
        <f>'4.6.1.3-4 Direct N20'!G194</f>
        <v>1.0328187168</v>
      </c>
      <c r="H28" s="52">
        <f>'4.6.1.3-4 Direct N20'!H194</f>
        <v>1.2123755904</v>
      </c>
      <c r="I28" s="52">
        <f>'4.6.1.3-4 Direct N20'!I194</f>
        <v>1.0328187168</v>
      </c>
      <c r="J28" s="2"/>
      <c r="N28" s="52" t="str">
        <f>'Input - Poultry'!$D$31</f>
        <v>Belt manure removal</v>
      </c>
      <c r="O28" s="52" t="str">
        <f>'Input - Poultry'!$D$45</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'Input - Poultry'!$D$32</f>
        <v>Manure stored in house</v>
      </c>
      <c r="E29" s="52" t="str">
        <f>'Input - Poultry'!$D$52</f>
        <v>Solid storage</v>
      </c>
      <c r="F29" s="52">
        <f>'4.6.1.3-4 Direct N20'!F199</f>
        <v>0.61074998400000013</v>
      </c>
      <c r="G29" s="52">
        <f>'4.6.1.3-4 Direct N20'!G199</f>
        <v>0.65190559679999993</v>
      </c>
      <c r="H29" s="52">
        <f>'4.6.1.3-4 Direct N20'!H199</f>
        <v>0.76524023039999989</v>
      </c>
      <c r="I29" s="52">
        <f>'4.6.1.3-4 Direct N20'!I199</f>
        <v>0.65190559679999993</v>
      </c>
      <c r="J29" s="2"/>
      <c r="N29" s="52" t="str">
        <f>'Input - Poultry'!$D$32</f>
        <v>Manure stored in house</v>
      </c>
      <c r="O29" s="52" t="str">
        <f>'Input - Poultry'!$D$52</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295</v>
      </c>
      <c r="N31" s="98" t="s">
        <v>291</v>
      </c>
    </row>
    <row r="32" spans="1:20" ht="20.100000000000001" customHeight="1" x14ac:dyDescent="0.25">
      <c r="D32" s="97" t="s">
        <v>297</v>
      </c>
      <c r="N32" s="97" t="s">
        <v>298</v>
      </c>
    </row>
    <row r="33" spans="3:21" ht="20.100000000000001" customHeight="1" x14ac:dyDescent="0.25">
      <c r="D33" s="51" t="s">
        <v>136</v>
      </c>
      <c r="E33" s="51" t="s">
        <v>138</v>
      </c>
      <c r="F33" s="51" t="s">
        <v>197</v>
      </c>
      <c r="G33" s="51" t="s">
        <v>198</v>
      </c>
      <c r="H33" s="51" t="s">
        <v>211</v>
      </c>
      <c r="I33" s="51" t="s">
        <v>212</v>
      </c>
      <c r="N33" s="51" t="s">
        <v>136</v>
      </c>
      <c r="O33" s="51" t="s">
        <v>138</v>
      </c>
      <c r="P33" s="51" t="s">
        <v>197</v>
      </c>
      <c r="Q33" s="51" t="s">
        <v>198</v>
      </c>
      <c r="R33" s="51" t="s">
        <v>211</v>
      </c>
      <c r="S33" s="51" t="s">
        <v>212</v>
      </c>
    </row>
    <row r="34" spans="3:21" ht="20.100000000000001" customHeight="1" x14ac:dyDescent="0.25">
      <c r="D34" s="52" t="str">
        <f>'Input - Poultry'!$D$30</f>
        <v>Poultry manure with bedding</v>
      </c>
      <c r="E34" s="52" t="str">
        <f>'Input - Poultry'!$D$38</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'Input - Poultry'!$D$30</f>
        <v>Poultry manure with bedding</v>
      </c>
      <c r="O34" s="52" t="str">
        <f>'Input - Poultry'!$D$38</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'Input - Poultry'!$D$31</f>
        <v>Belt manure removal</v>
      </c>
      <c r="E35" s="52" t="str">
        <f>'Input - Poultry'!$D$45</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'Input - Poultry'!$D$31</f>
        <v>Belt manure removal</v>
      </c>
      <c r="O35" s="52" t="str">
        <f>'Input - Poultry'!$D$45</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'Input - Poultry'!$D$32</f>
        <v>Manure stored in house</v>
      </c>
      <c r="E36" s="52" t="str">
        <f>'Input - Poultry'!$D$52</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'Input - Poultry'!$D$32</f>
        <v>Manure stored in house</v>
      </c>
      <c r="O36" s="52" t="str">
        <f>'Input - Poultry'!$D$52</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1"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197</v>
      </c>
      <c r="G54" s="51" t="s">
        <v>198</v>
      </c>
      <c r="H54" s="51" t="s">
        <v>211</v>
      </c>
      <c r="I54" s="51" t="s">
        <v>212</v>
      </c>
      <c r="N54" s="51" t="s">
        <v>136</v>
      </c>
      <c r="O54" s="51" t="s">
        <v>138</v>
      </c>
      <c r="P54" s="51" t="s">
        <v>197</v>
      </c>
      <c r="Q54" s="51" t="s">
        <v>198</v>
      </c>
      <c r="R54" s="51" t="s">
        <v>211</v>
      </c>
      <c r="S54" s="51" t="s">
        <v>212</v>
      </c>
    </row>
    <row r="55" spans="4:20" ht="20.100000000000001" customHeight="1" x14ac:dyDescent="0.25">
      <c r="D55" s="52" t="str">
        <f>'Input - Poultry'!$D$30</f>
        <v>Poultry manure with bedding</v>
      </c>
      <c r="E55" s="52" t="str">
        <f>'Input - Poultry'!$D$38</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'Input - Poultry'!$D$30</f>
        <v>Poultry manure with bedding</v>
      </c>
      <c r="O55" s="52" t="str">
        <f>'Input - Poultry'!$D$38</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'Input - Poultry'!$D$31</f>
        <v>Belt manure removal</v>
      </c>
      <c r="E56" s="52" t="str">
        <f>'Input - Poultry'!$D$45</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'Input - Poultry'!$D$31</f>
        <v>Belt manure removal</v>
      </c>
      <c r="O56" s="52" t="str">
        <f>'Input - Poultry'!$D$45</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'Input - Poultry'!$D$32</f>
        <v>Manure stored in house</v>
      </c>
      <c r="E57" s="52" t="str">
        <f>'Input - Poultry'!$D$52</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'Input - Poultry'!$D$32</f>
        <v>Manure stored in house</v>
      </c>
      <c r="O57" s="52" t="str">
        <f>'Input - Poultry'!$D$52</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287</v>
      </c>
      <c r="E59" s="100">
        <f>SUM(F55:I57)</f>
        <v>3.4753311014399998E-6</v>
      </c>
      <c r="F59" s="101" t="str">
        <f>$E$46</f>
        <v>t N2O</v>
      </c>
      <c r="N59" s="99" t="s">
        <v>287</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v>265</v>
      </c>
      <c r="N62" s="57" t="str">
        <v>GWPN2O</v>
      </c>
      <c r="O62" s="58" t="str">
        <v>Global warming potential for nitrous oxide (t CO2-e / t N2O)</v>
      </c>
      <c r="P62" s="102"/>
      <c r="Q62" s="52">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10"/>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292</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272</v>
      </c>
      <c r="N19" s="98" t="s">
        <v>273</v>
      </c>
    </row>
    <row r="20" spans="1:20" ht="20.100000000000001" customHeight="1" x14ac:dyDescent="0.25">
      <c r="D20" s="97" t="s">
        <v>156</v>
      </c>
      <c r="N20" s="97" t="s">
        <v>168</v>
      </c>
    </row>
    <row r="21" spans="1:20" ht="20.100000000000001" customHeight="1" x14ac:dyDescent="0.25">
      <c r="A21" s="18" t="s">
        <v>2</v>
      </c>
      <c r="D21" s="51" t="s">
        <v>136</v>
      </c>
      <c r="E21" s="51" t="s">
        <v>138</v>
      </c>
      <c r="F21" s="51" t="s">
        <v>197</v>
      </c>
      <c r="G21" s="51" t="s">
        <v>198</v>
      </c>
      <c r="H21" s="51" t="s">
        <v>211</v>
      </c>
      <c r="I21" s="51" t="s">
        <v>212</v>
      </c>
      <c r="N21" s="51" t="s">
        <v>136</v>
      </c>
      <c r="O21" s="51" t="s">
        <v>138</v>
      </c>
      <c r="P21" s="51" t="s">
        <v>197</v>
      </c>
      <c r="Q21" s="51" t="s">
        <v>198</v>
      </c>
      <c r="R21" s="51" t="s">
        <v>211</v>
      </c>
      <c r="S21" s="51" t="s">
        <v>212</v>
      </c>
    </row>
    <row r="22" spans="1:20" ht="20.100000000000001" customHeight="1" x14ac:dyDescent="0.25">
      <c r="A22" s="17" t="str">
        <f>HYPERLINK("#'Constants - Poultry'!A1", "Constants - Poultry")</f>
        <v>Constants - Poultry</v>
      </c>
      <c r="D22" s="52" t="str">
        <f>'Input - Poultry'!$D$30</f>
        <v>Poultry manure with bedding</v>
      </c>
      <c r="E22" s="52" t="str">
        <f>'Input - Poultry'!$D$38</f>
        <v>Solid storage</v>
      </c>
      <c r="F22" s="52">
        <f>'4.6.1.3-4 Direct N20'!F189</f>
        <v>0.71271158400000012</v>
      </c>
      <c r="G22" s="52">
        <f>'4.6.1.3-4 Direct N20'!G189</f>
        <v>0.76073791680000002</v>
      </c>
      <c r="H22" s="52">
        <f>'4.6.1.3-4 Direct N20'!H189</f>
        <v>0.89299319039999991</v>
      </c>
      <c r="I22" s="52">
        <f>'4.6.1.3-4 Direct N20'!I189</f>
        <v>0.76073791680000002</v>
      </c>
      <c r="J22" s="2" t="str">
        <f>$G$13</f>
        <v>kg N</v>
      </c>
      <c r="N22" s="52" t="str">
        <f>'Input - Poultry'!$D$30</f>
        <v>Poultry manure with bedding</v>
      </c>
      <c r="O22" s="52" t="str">
        <f>'Input - Poultry'!$D$38</f>
        <v>Solid storage</v>
      </c>
      <c r="P22" s="52">
        <f>'4.6.1.3-4 Direct N20'!P189</f>
        <v>0.71271158400000012</v>
      </c>
      <c r="Q22" s="52">
        <f>'4.6.1.3-4 Direct N20'!Q189</f>
        <v>0.76073791680000002</v>
      </c>
      <c r="R22" s="52">
        <f>'4.6.1.3-4 Direct N20'!R189</f>
        <v>0.89299319039999991</v>
      </c>
      <c r="S22" s="52">
        <f>'4.6.1.3-4 Direct N20'!S189</f>
        <v>0.76073791680000002</v>
      </c>
      <c r="T22" s="2" t="str">
        <f>$G$13</f>
        <v>kg N</v>
      </c>
    </row>
    <row r="23" spans="1:20" ht="20.100000000000001" customHeight="1" x14ac:dyDescent="0.25">
      <c r="A23" s="17" t="str">
        <f>HYPERLINK("#'Constants - Livestock'!A1", "Constants - Livestock")</f>
        <v>Constants - Livestock</v>
      </c>
      <c r="D23" s="52"/>
      <c r="E23" s="52" t="str">
        <f>'Input - Poultry'!$D$39</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'Input - Poultry'!$D$39</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'Input - Poultry'!$D$40</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'Input - Poultry'!$D$40</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'Input - Poultry'!$D$41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'Input - Poultry'!$D$41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'Input - Poultry'!$D$42</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'Input - Poultry'!$D$42</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'Input - Poultry'!$D$31</f>
        <v>Belt manure removal</v>
      </c>
      <c r="E27" s="52" t="str">
        <f>'Input - Poultry'!$D$45</f>
        <v>Solid storage</v>
      </c>
      <c r="F27" s="52">
        <f>'4.6.1.3-4 Direct N20'!F194</f>
        <v>0.96761558400000025</v>
      </c>
      <c r="G27" s="52">
        <f>'4.6.1.3-4 Direct N20'!G194</f>
        <v>1.0328187168</v>
      </c>
      <c r="H27" s="52">
        <f>'4.6.1.3-4 Direct N20'!H194</f>
        <v>1.2123755904</v>
      </c>
      <c r="I27" s="52">
        <f>'4.6.1.3-4 Direct N20'!I194</f>
        <v>1.0328187168</v>
      </c>
      <c r="J27" s="2"/>
      <c r="N27" s="52" t="str">
        <f>'Input - Poultry'!$D$31</f>
        <v>Belt manure removal</v>
      </c>
      <c r="O27" s="52" t="str">
        <f>'Input - Poultry'!$D$45</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'Input - Poultry'!$D$46</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'Input - Poultry'!$D$46</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'Input - Poultry'!$D$47</f>
        <v>Digester / covered lagoons</v>
      </c>
      <c r="F29" s="52">
        <f>'4.6.1.3-4 Direct N20'!F196</f>
        <v>0.96761558400000025</v>
      </c>
      <c r="G29" s="52">
        <f>'4.6.1.3-4 Direct N20'!G196</f>
        <v>1.0328187168</v>
      </c>
      <c r="H29" s="52">
        <f>'4.6.1.3-4 Direct N20'!H196</f>
        <v>1.2123755904</v>
      </c>
      <c r="I29" s="52">
        <f>'4.6.1.3-4 Direct N20'!I196</f>
        <v>1.0328187168</v>
      </c>
      <c r="J29" s="2"/>
      <c r="N29" s="52"/>
      <c r="O29" s="52" t="str">
        <f>'Input - Poultry'!$D$47</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'Input - Poultry'!$D$48</f>
        <v>Direct processing</v>
      </c>
      <c r="F30" s="52">
        <f>'4.6.1.3-4 Direct N20'!F197</f>
        <v>0.96761558400000025</v>
      </c>
      <c r="G30" s="52">
        <f>'4.6.1.3-4 Direct N20'!G197</f>
        <v>1.0328187168</v>
      </c>
      <c r="H30" s="52">
        <f>'4.6.1.3-4 Direct N20'!H197</f>
        <v>1.2123755904</v>
      </c>
      <c r="I30" s="52">
        <f>'4.6.1.3-4 Direct N20'!I197</f>
        <v>1.0328187168</v>
      </c>
      <c r="J30" s="2"/>
      <c r="N30" s="52"/>
      <c r="O30" s="52" t="str">
        <f>'Input - Poultry'!$D$48</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'Input - Poultry'!$D$49</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'Input - Poultry'!$D$49</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'Input - Poultry'!$D$32</f>
        <v>Manure stored in house</v>
      </c>
      <c r="E32" s="52" t="str">
        <f>'Input - Poultry'!$D$52</f>
        <v>Solid storage</v>
      </c>
      <c r="F32" s="52">
        <f>'4.6.1.3-4 Direct N20'!F199</f>
        <v>0.61074998400000013</v>
      </c>
      <c r="G32" s="52">
        <f>'4.6.1.3-4 Direct N20'!G199</f>
        <v>0.65190559679999993</v>
      </c>
      <c r="H32" s="52">
        <f>'4.6.1.3-4 Direct N20'!H199</f>
        <v>0.76524023039999989</v>
      </c>
      <c r="I32" s="52">
        <f>'4.6.1.3-4 Direct N20'!I199</f>
        <v>0.65190559679999993</v>
      </c>
      <c r="J32" s="2"/>
      <c r="N32" s="52" t="str">
        <f>'Input - Poultry'!$D$32</f>
        <v>Manure stored in house</v>
      </c>
      <c r="O32" s="52" t="str">
        <f>'Input - Poultry'!$D$52</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'Input - Poultry'!$D$53</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'Input - Poultry'!$D$53</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'Input - Poultry'!$D$54</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'Input - Poultry'!$D$54</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'Input - Poultry'!$D$55</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'Input - Poultry'!$D$55</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'Input - Poultry'!$D$56</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'Input - Poultry'!$D$56</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274</v>
      </c>
    </row>
    <row r="39" spans="4:20" ht="20.100000000000001" customHeight="1" x14ac:dyDescent="0.25">
      <c r="D39" s="97" t="s">
        <v>267</v>
      </c>
    </row>
    <row r="40" spans="4:20" ht="20.100000000000001" customHeight="1" x14ac:dyDescent="0.25">
      <c r="D40" s="51" t="s">
        <v>136</v>
      </c>
      <c r="E40" s="51" t="s">
        <v>293</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280</v>
      </c>
    </row>
    <row r="52" spans="4:14" ht="20.100000000000001" customHeight="1" x14ac:dyDescent="0.25">
      <c r="D52" s="97" t="s">
        <v>294</v>
      </c>
    </row>
    <row r="53" spans="4:14" ht="20.100000000000001" customHeight="1" x14ac:dyDescent="0.25">
      <c r="D53" s="51" t="s">
        <v>65</v>
      </c>
      <c r="E53" s="51" t="s">
        <v>266</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296</v>
      </c>
      <c r="N64" s="98" t="s">
        <v>299</v>
      </c>
    </row>
    <row r="65" spans="4:20" ht="20.100000000000001" customHeight="1" x14ac:dyDescent="0.25">
      <c r="D65" s="97" t="s">
        <v>297</v>
      </c>
      <c r="N65" s="97" t="s">
        <v>298</v>
      </c>
    </row>
    <row r="66" spans="4:20" ht="20.100000000000001" customHeight="1" x14ac:dyDescent="0.25">
      <c r="D66" s="51" t="s">
        <v>136</v>
      </c>
      <c r="E66" s="51" t="s">
        <v>138</v>
      </c>
      <c r="F66" s="51" t="s">
        <v>197</v>
      </c>
      <c r="G66" s="51" t="s">
        <v>198</v>
      </c>
      <c r="H66" s="51" t="s">
        <v>211</v>
      </c>
      <c r="I66" s="51" t="s">
        <v>212</v>
      </c>
      <c r="N66" s="51" t="s">
        <v>136</v>
      </c>
      <c r="O66" s="51" t="s">
        <v>138</v>
      </c>
      <c r="P66" s="51" t="s">
        <v>197</v>
      </c>
      <c r="Q66" s="51" t="s">
        <v>198</v>
      </c>
      <c r="R66" s="51" t="s">
        <v>211</v>
      </c>
      <c r="S66" s="51" t="s">
        <v>212</v>
      </c>
    </row>
    <row r="67" spans="4:20" ht="20.100000000000001" customHeight="1" x14ac:dyDescent="0.25">
      <c r="D67" s="52" t="str">
        <f>'Input - Poultry'!$D$30</f>
        <v>Poultry manure with bedding</v>
      </c>
      <c r="E67" s="52" t="str">
        <f>'Input - Poultry'!$D$38</f>
        <v>Solid storage</v>
      </c>
      <c r="F67" s="52">
        <f>'4.6.1.7-8 Leaching and runoff'!F34</f>
        <v>1.4254231680000003E-2</v>
      </c>
      <c r="G67" s="52">
        <f>'4.6.1.7-8 Leaching and runoff'!G34</f>
        <v>1.5214758336E-2</v>
      </c>
      <c r="H67" s="52">
        <f>'4.6.1.7-8 Leaching and runoff'!H34</f>
        <v>1.7859863808E-2</v>
      </c>
      <c r="I67" s="52">
        <f>'4.6.1.7-8 Leaching and runoff'!I34</f>
        <v>1.5214758336E-2</v>
      </c>
      <c r="J67" s="2" t="str">
        <f>$G$16</f>
        <v>kg N</v>
      </c>
      <c r="N67" s="52" t="str">
        <f>'Input - Poultry'!$D$30</f>
        <v>Poultry manure with bedding</v>
      </c>
      <c r="O67" s="52" t="str">
        <f>'Input - Poultry'!$D$38</f>
        <v>Solid storage</v>
      </c>
      <c r="P67" s="52">
        <f>'4.6.1.7-8 Leaching and runoff'!P34</f>
        <v>1.4254231680000003E-2</v>
      </c>
      <c r="Q67" s="52">
        <f>'4.6.1.7-8 Leaching and runoff'!Q34</f>
        <v>1.5214758336E-2</v>
      </c>
      <c r="R67" s="52">
        <f>'4.6.1.7-8 Leaching and runoff'!R34</f>
        <v>1.7859863808E-2</v>
      </c>
      <c r="S67" s="52">
        <f>'4.6.1.7-8 Leaching and runoff'!S34</f>
        <v>1.5214758336E-2</v>
      </c>
      <c r="T67" s="2" t="str">
        <f>$G$16</f>
        <v>kg N</v>
      </c>
    </row>
    <row r="68" spans="4:20" ht="20.100000000000001" customHeight="1" x14ac:dyDescent="0.25">
      <c r="D68" s="52"/>
      <c r="E68" s="52" t="str">
        <f>'Input - Poultry'!$D$39</f>
        <v>Composting (passive windrow)</v>
      </c>
      <c r="F68" s="52">
        <v>0</v>
      </c>
      <c r="G68" s="52">
        <v>0</v>
      </c>
      <c r="H68" s="52">
        <v>0</v>
      </c>
      <c r="I68" s="52">
        <v>0</v>
      </c>
      <c r="J68" s="2"/>
      <c r="N68" s="52"/>
      <c r="O68" s="52" t="str">
        <f>'Input - Poultry'!$D$39</f>
        <v>Composting (passive windrow)</v>
      </c>
      <c r="P68" s="52">
        <v>0</v>
      </c>
      <c r="Q68" s="52">
        <v>0</v>
      </c>
      <c r="R68" s="52">
        <v>0</v>
      </c>
      <c r="S68" s="52">
        <v>0</v>
      </c>
      <c r="T68" s="2"/>
    </row>
    <row r="69" spans="4:20" ht="20.100000000000001" customHeight="1" x14ac:dyDescent="0.25">
      <c r="D69" s="52"/>
      <c r="E69" s="52" t="str">
        <f>'Input - Poultry'!$D$40</f>
        <v>Digester / covered lagoons</v>
      </c>
      <c r="F69" s="52">
        <v>0</v>
      </c>
      <c r="G69" s="52">
        <v>0</v>
      </c>
      <c r="H69" s="52">
        <v>0</v>
      </c>
      <c r="I69" s="52">
        <v>0</v>
      </c>
      <c r="J69" s="2"/>
      <c r="N69" s="52"/>
      <c r="O69" s="52" t="str">
        <f>'Input - Poultry'!$D$40</f>
        <v>Digester / covered lagoons</v>
      </c>
      <c r="P69" s="52">
        <v>0</v>
      </c>
      <c r="Q69" s="52">
        <v>0</v>
      </c>
      <c r="R69" s="52">
        <v>0</v>
      </c>
      <c r="S69" s="52">
        <v>0</v>
      </c>
      <c r="T69" s="2"/>
    </row>
    <row r="70" spans="4:20" ht="20.100000000000001" customHeight="1" x14ac:dyDescent="0.25">
      <c r="D70" s="52"/>
      <c r="E70" s="52" t="str">
        <f>'Input - Poultry'!$D$41</f>
        <v>Direct processing</v>
      </c>
      <c r="F70" s="52">
        <v>0</v>
      </c>
      <c r="G70" s="52">
        <v>0</v>
      </c>
      <c r="H70" s="52">
        <v>0</v>
      </c>
      <c r="I70" s="52">
        <v>0</v>
      </c>
      <c r="J70" s="2"/>
      <c r="N70" s="52"/>
      <c r="O70" s="52" t="str">
        <f>'Input - Poultry'!$D$41</f>
        <v>Direct processing</v>
      </c>
      <c r="P70" s="52">
        <v>0</v>
      </c>
      <c r="Q70" s="52">
        <v>0</v>
      </c>
      <c r="R70" s="52">
        <v>0</v>
      </c>
      <c r="S70" s="52">
        <v>0</v>
      </c>
      <c r="T70" s="2"/>
    </row>
    <row r="71" spans="4:20" ht="20.100000000000001" customHeight="1" x14ac:dyDescent="0.25">
      <c r="D71" s="52"/>
      <c r="E71" s="52" t="str">
        <f>'Input - Poultry'!$D$42</f>
        <v>Direct application</v>
      </c>
      <c r="F71" s="52">
        <v>0</v>
      </c>
      <c r="G71" s="52">
        <v>0</v>
      </c>
      <c r="H71" s="52">
        <v>0</v>
      </c>
      <c r="I71" s="52">
        <v>0</v>
      </c>
      <c r="N71" s="52"/>
      <c r="O71" s="52" t="str">
        <f>'Input - Poultry'!$D$42</f>
        <v>Direct application</v>
      </c>
      <c r="P71" s="52">
        <v>0</v>
      </c>
      <c r="Q71" s="52">
        <v>0</v>
      </c>
      <c r="R71" s="52">
        <v>0</v>
      </c>
      <c r="S71" s="52">
        <v>0</v>
      </c>
    </row>
    <row r="72" spans="4:20" ht="20.100000000000001" customHeight="1" x14ac:dyDescent="0.25">
      <c r="D72" s="52" t="str">
        <f>'Input - Poultry'!$D$31</f>
        <v>Belt manure removal</v>
      </c>
      <c r="E72" s="52" t="str">
        <f>'Input - Poultry'!$D$45</f>
        <v>Solid storage</v>
      </c>
      <c r="F72" s="52">
        <f>'4.6.1.7-8 Leaching and runoff'!F35</f>
        <v>1.9352311680000005E-2</v>
      </c>
      <c r="G72" s="52">
        <f>'4.6.1.7-8 Leaching and runoff'!G35</f>
        <v>2.0656374336E-2</v>
      </c>
      <c r="H72" s="52">
        <f>'4.6.1.7-8 Leaching and runoff'!H35</f>
        <v>2.4247511808E-2</v>
      </c>
      <c r="I72" s="52">
        <f>'4.6.1.7-8 Leaching and runoff'!I35</f>
        <v>2.0656374336E-2</v>
      </c>
      <c r="J72" s="2"/>
      <c r="N72" s="52" t="str">
        <f>'Input - Poultry'!$D$31</f>
        <v>Belt manure removal</v>
      </c>
      <c r="O72" s="52" t="str">
        <f>'Input - Poultry'!$D$45</f>
        <v>Solid storage</v>
      </c>
      <c r="P72" s="52">
        <f>'4.6.1.7-8 Leaching and runoff'!P35</f>
        <v>1.9352311680000005E-2</v>
      </c>
      <c r="Q72" s="52">
        <f>'4.6.1.7-8 Leaching and runoff'!Q35</f>
        <v>2.0656374336E-2</v>
      </c>
      <c r="R72" s="52">
        <f>'4.6.1.7-8 Leaching and runoff'!R35</f>
        <v>2.4247511808E-2</v>
      </c>
      <c r="S72" s="52">
        <f>'4.6.1.7-8 Leaching and runoff'!S35</f>
        <v>2.0656374336E-2</v>
      </c>
      <c r="T72" s="2"/>
    </row>
    <row r="73" spans="4:20" ht="20.100000000000001" customHeight="1" x14ac:dyDescent="0.25">
      <c r="D73" s="52"/>
      <c r="E73" s="52" t="str">
        <f>'Input - Poultry'!$D$46</f>
        <v>Composting (passive windrow)</v>
      </c>
      <c r="F73" s="52">
        <v>0</v>
      </c>
      <c r="G73" s="52">
        <v>0</v>
      </c>
      <c r="H73" s="52">
        <v>0</v>
      </c>
      <c r="I73" s="52">
        <v>0</v>
      </c>
      <c r="J73" s="2"/>
      <c r="N73" s="52"/>
      <c r="O73" s="52" t="str">
        <f>'Input - Poultry'!$D$46</f>
        <v>Composting (passive windrow)</v>
      </c>
      <c r="P73" s="52">
        <v>0</v>
      </c>
      <c r="Q73" s="52">
        <v>0</v>
      </c>
      <c r="R73" s="52">
        <v>0</v>
      </c>
      <c r="S73" s="52">
        <v>0</v>
      </c>
      <c r="T73" s="2"/>
    </row>
    <row r="74" spans="4:20" ht="20.100000000000001" customHeight="1" x14ac:dyDescent="0.25">
      <c r="D74" s="52"/>
      <c r="E74" s="52" t="str">
        <f>'Input - Poultry'!$D$47</f>
        <v>Digester / covered lagoons</v>
      </c>
      <c r="F74" s="52">
        <v>0</v>
      </c>
      <c r="G74" s="52">
        <v>0</v>
      </c>
      <c r="H74" s="52">
        <v>0</v>
      </c>
      <c r="I74" s="52">
        <v>0</v>
      </c>
      <c r="J74" s="2"/>
      <c r="N74" s="52"/>
      <c r="O74" s="52" t="str">
        <f>'Input - Poultry'!$D$47</f>
        <v>Digester / covered lagoons</v>
      </c>
      <c r="P74" s="52">
        <v>0</v>
      </c>
      <c r="Q74" s="52">
        <v>0</v>
      </c>
      <c r="R74" s="52">
        <v>0</v>
      </c>
      <c r="S74" s="52">
        <v>0</v>
      </c>
      <c r="T74" s="2"/>
    </row>
    <row r="75" spans="4:20" ht="20.100000000000001" customHeight="1" x14ac:dyDescent="0.25">
      <c r="D75" s="52"/>
      <c r="E75" s="52" t="str">
        <f>'Input - Poultry'!$D$48</f>
        <v>Direct processing</v>
      </c>
      <c r="F75" s="52">
        <v>0</v>
      </c>
      <c r="G75" s="52">
        <v>0</v>
      </c>
      <c r="H75" s="52">
        <v>0</v>
      </c>
      <c r="I75" s="52">
        <v>0</v>
      </c>
      <c r="J75" s="2"/>
      <c r="N75" s="52"/>
      <c r="O75" s="52" t="str">
        <f>'Input - Poultry'!$D$48</f>
        <v>Direct processing</v>
      </c>
      <c r="P75" s="52">
        <v>0</v>
      </c>
      <c r="Q75" s="52">
        <v>0</v>
      </c>
      <c r="R75" s="52">
        <v>0</v>
      </c>
      <c r="S75" s="52">
        <v>0</v>
      </c>
      <c r="T75" s="2"/>
    </row>
    <row r="76" spans="4:20" ht="20.100000000000001" customHeight="1" x14ac:dyDescent="0.25">
      <c r="D76" s="52"/>
      <c r="E76" s="52" t="str">
        <f>'Input - Poultry'!$D$49</f>
        <v>Direct application</v>
      </c>
      <c r="F76" s="52">
        <v>0</v>
      </c>
      <c r="G76" s="52">
        <v>0</v>
      </c>
      <c r="H76" s="52">
        <v>0</v>
      </c>
      <c r="I76" s="52">
        <v>0</v>
      </c>
      <c r="N76" s="52"/>
      <c r="O76" s="52" t="str">
        <f>'Input - Poultry'!$D$49</f>
        <v>Direct application</v>
      </c>
      <c r="P76" s="52">
        <v>0</v>
      </c>
      <c r="Q76" s="52">
        <v>0</v>
      </c>
      <c r="R76" s="52">
        <v>0</v>
      </c>
      <c r="S76" s="52">
        <v>0</v>
      </c>
    </row>
    <row r="77" spans="4:20" ht="20.100000000000001" customHeight="1" x14ac:dyDescent="0.25">
      <c r="D77" s="52" t="str">
        <f>'Input - Poultry'!$D$32</f>
        <v>Manure stored in house</v>
      </c>
      <c r="E77" s="52" t="str">
        <f>'Input - Poultry'!$D$52</f>
        <v>Solid storage</v>
      </c>
      <c r="F77" s="52">
        <f>'4.6.1.7-8 Leaching and runoff'!F36</f>
        <v>1.2214999680000003E-2</v>
      </c>
      <c r="G77" s="52">
        <f>'4.6.1.7-8 Leaching and runoff'!G36</f>
        <v>1.3038111936E-2</v>
      </c>
      <c r="H77" s="52">
        <f>'4.6.1.7-8 Leaching and runoff'!H36</f>
        <v>1.5304804607999998E-2</v>
      </c>
      <c r="I77" s="52">
        <f>'4.6.1.7-8 Leaching and runoff'!I36</f>
        <v>1.3038111936E-2</v>
      </c>
      <c r="J77" s="2"/>
      <c r="N77" s="52" t="str">
        <f>'Input - Poultry'!$D$32</f>
        <v>Manure stored in house</v>
      </c>
      <c r="O77" s="52" t="str">
        <f>'Input - Poultry'!$D$52</f>
        <v>Solid storage</v>
      </c>
      <c r="P77" s="52">
        <f>'4.6.1.7-8 Leaching and runoff'!P36</f>
        <v>1.2214999680000003E-2</v>
      </c>
      <c r="Q77" s="52">
        <f>'4.6.1.7-8 Leaching and runoff'!Q36</f>
        <v>1.3038111936E-2</v>
      </c>
      <c r="R77" s="52">
        <f>'4.6.1.7-8 Leaching and runoff'!R36</f>
        <v>1.5304804607999998E-2</v>
      </c>
      <c r="S77" s="52">
        <f>'4.6.1.7-8 Leaching and runoff'!S36</f>
        <v>1.3038111936E-2</v>
      </c>
      <c r="T77" s="2"/>
    </row>
    <row r="78" spans="4:20" ht="20.100000000000001" customHeight="1" x14ac:dyDescent="0.25">
      <c r="D78" s="52"/>
      <c r="E78" s="52" t="str">
        <f>'Input - Poultry'!$D$53</f>
        <v>Composting (passive windrow)</v>
      </c>
      <c r="F78" s="52">
        <v>0</v>
      </c>
      <c r="G78" s="52">
        <v>0</v>
      </c>
      <c r="H78" s="52">
        <v>0</v>
      </c>
      <c r="I78" s="52">
        <v>0</v>
      </c>
      <c r="J78" s="2"/>
      <c r="N78" s="52"/>
      <c r="O78" s="52" t="str">
        <f>'Input - Poultry'!$D$53</f>
        <v>Composting (passive windrow)</v>
      </c>
      <c r="P78" s="52">
        <v>0</v>
      </c>
      <c r="Q78" s="52">
        <v>0</v>
      </c>
      <c r="R78" s="52">
        <v>0</v>
      </c>
      <c r="S78" s="52">
        <v>0</v>
      </c>
      <c r="T78" s="2"/>
    </row>
    <row r="79" spans="4:20" ht="20.100000000000001" customHeight="1" x14ac:dyDescent="0.25">
      <c r="D79" s="52"/>
      <c r="E79" s="52" t="str">
        <f>'Input - Poultry'!$D$54</f>
        <v>Digester / covered lagoons</v>
      </c>
      <c r="F79" s="52">
        <v>0</v>
      </c>
      <c r="G79" s="52">
        <v>0</v>
      </c>
      <c r="H79" s="52">
        <v>0</v>
      </c>
      <c r="I79" s="52">
        <v>0</v>
      </c>
      <c r="J79" s="2"/>
      <c r="N79" s="52"/>
      <c r="O79" s="52" t="str">
        <f>'Input - Poultry'!$D$54</f>
        <v>Digester / covered lagoons</v>
      </c>
      <c r="P79" s="52">
        <v>0</v>
      </c>
      <c r="Q79" s="52">
        <v>0</v>
      </c>
      <c r="R79" s="52">
        <v>0</v>
      </c>
      <c r="S79" s="52">
        <v>0</v>
      </c>
      <c r="T79" s="2"/>
    </row>
    <row r="80" spans="4:20" ht="20.100000000000001" customHeight="1" x14ac:dyDescent="0.25">
      <c r="D80" s="52"/>
      <c r="E80" s="52" t="str">
        <f>'Input - Poultry'!$D$55</f>
        <v>Direct processing</v>
      </c>
      <c r="F80" s="52">
        <v>0</v>
      </c>
      <c r="G80" s="52">
        <v>0</v>
      </c>
      <c r="H80" s="52">
        <v>0</v>
      </c>
      <c r="I80" s="52">
        <v>0</v>
      </c>
      <c r="J80" s="2"/>
      <c r="N80" s="52"/>
      <c r="O80" s="52" t="str">
        <f>'Input - Poultry'!$D$55</f>
        <v>Direct processing</v>
      </c>
      <c r="P80" s="52">
        <v>0</v>
      </c>
      <c r="Q80" s="52">
        <v>0</v>
      </c>
      <c r="R80" s="52">
        <v>0</v>
      </c>
      <c r="S80" s="52">
        <v>0</v>
      </c>
      <c r="T80" s="2"/>
    </row>
    <row r="81" spans="4:19" ht="20.100000000000001" customHeight="1" x14ac:dyDescent="0.25">
      <c r="D81" s="52"/>
      <c r="E81" s="52" t="str">
        <f>'Input - Poultry'!$D$56</f>
        <v>Direct application</v>
      </c>
      <c r="F81" s="52">
        <v>0</v>
      </c>
      <c r="G81" s="52">
        <v>0</v>
      </c>
      <c r="H81" s="52">
        <v>0</v>
      </c>
      <c r="I81" s="52">
        <v>0</v>
      </c>
      <c r="N81" s="52"/>
      <c r="O81" s="52" t="str">
        <f>'Input - Poultry'!$D$56</f>
        <v>Direct application</v>
      </c>
      <c r="P81" s="52">
        <v>0</v>
      </c>
      <c r="Q81" s="52">
        <v>0</v>
      </c>
      <c r="R81" s="52">
        <v>0</v>
      </c>
      <c r="S81" s="52">
        <v>0</v>
      </c>
    </row>
    <row r="82" spans="4:19" ht="20.100000000000001" customHeight="1" x14ac:dyDescent="0.25"/>
    <row r="83" spans="4:19" ht="20.100000000000001" customHeight="1" x14ac:dyDescent="0.25">
      <c r="D83" s="98" t="s">
        <v>301</v>
      </c>
    </row>
    <row r="84" spans="4:19" ht="20.100000000000001" customHeight="1" x14ac:dyDescent="0.25">
      <c r="D84" s="97" t="s">
        <v>300</v>
      </c>
    </row>
    <row r="85" spans="4:19" ht="20.100000000000001" customHeight="1" x14ac:dyDescent="0.25">
      <c r="D85" s="112" t="s">
        <v>136</v>
      </c>
      <c r="E85" s="112" t="s">
        <v>138</v>
      </c>
      <c r="F85" s="112" t="s">
        <v>165</v>
      </c>
    </row>
    <row r="86" spans="4:19" ht="20.100000000000001" customHeight="1" x14ac:dyDescent="0.25">
      <c r="D86" s="52" t="str">
        <f>'Input - Poultry'!$D$30</f>
        <v>Poultry manure with bedding</v>
      </c>
      <c r="E86" s="52" t="str">
        <f>'Input - Poultry'!$D$38</f>
        <v>Solid storage</v>
      </c>
      <c r="F86" s="52">
        <f>'Input - Poultry'!K38+'Input - Poultry'!L38</f>
        <v>0.75</v>
      </c>
      <c r="G86" s="2" t="str">
        <f>$G$17</f>
        <v>fraction</v>
      </c>
    </row>
    <row r="87" spans="4:19" ht="20.100000000000001" customHeight="1" x14ac:dyDescent="0.25">
      <c r="D87" s="52"/>
      <c r="E87" s="52" t="str">
        <f>'Input - Poultry'!$D$39</f>
        <v>Composting (passive windrow)</v>
      </c>
      <c r="F87" s="52">
        <f>'Input - Poultry'!K39+'Input - Poultry'!L39</f>
        <v>0.75</v>
      </c>
      <c r="G87" s="2"/>
    </row>
    <row r="88" spans="4:19" ht="20.100000000000001" customHeight="1" x14ac:dyDescent="0.25">
      <c r="D88" s="52"/>
      <c r="E88" s="52" t="str">
        <f>'Input - Poultry'!$D$40</f>
        <v>Digester / covered lagoons</v>
      </c>
      <c r="F88" s="52">
        <f>'Input - Poultry'!K40+'Input - Poultry'!L40</f>
        <v>0.75</v>
      </c>
      <c r="G88" s="2"/>
    </row>
    <row r="89" spans="4:19" ht="20.100000000000001" customHeight="1" x14ac:dyDescent="0.25">
      <c r="D89" s="52"/>
      <c r="E89" s="52" t="str">
        <f>'Input - Poultry'!$D$41</f>
        <v>Direct processing</v>
      </c>
      <c r="F89" s="52">
        <f>'Input - Poultry'!K41+'Input - Poultry'!L41</f>
        <v>0.75</v>
      </c>
      <c r="G89" s="2"/>
    </row>
    <row r="90" spans="4:19" ht="20.100000000000001" customHeight="1" x14ac:dyDescent="0.25">
      <c r="D90" s="52"/>
      <c r="E90" s="52" t="str">
        <f>'Input - Poultry'!$D$42</f>
        <v>Direct application</v>
      </c>
      <c r="F90" s="52">
        <f>'Input - Poultry'!K42+'Input - Poultry'!L42</f>
        <v>1</v>
      </c>
    </row>
    <row r="91" spans="4:19" ht="20.100000000000001" customHeight="1" x14ac:dyDescent="0.25">
      <c r="D91" s="52" t="str">
        <f>'Input - Poultry'!$D$31</f>
        <v>Belt manure removal</v>
      </c>
      <c r="E91" s="52" t="str">
        <f>'Input - Poultry'!$D$45</f>
        <v>Solid storage</v>
      </c>
      <c r="F91" s="52">
        <f>'Input - Poultry'!K45+'Input - Poultry'!L45</f>
        <v>0.75</v>
      </c>
      <c r="G91" s="2"/>
    </row>
    <row r="92" spans="4:19" ht="20.100000000000001" customHeight="1" x14ac:dyDescent="0.25">
      <c r="D92" s="52"/>
      <c r="E92" s="52" t="str">
        <f>'Input - Poultry'!$D$46</f>
        <v>Composting (passive windrow)</v>
      </c>
      <c r="F92" s="52">
        <f>'Input - Poultry'!K46+'Input - Poultry'!L46</f>
        <v>0.75</v>
      </c>
      <c r="G92" s="2"/>
    </row>
    <row r="93" spans="4:19" ht="20.100000000000001" customHeight="1" x14ac:dyDescent="0.25">
      <c r="D93" s="52"/>
      <c r="E93" s="52" t="str">
        <f>'Input - Poultry'!$D$47</f>
        <v>Digester / covered lagoons</v>
      </c>
      <c r="F93" s="52">
        <f>'Input - Poultry'!K47+'Input - Poultry'!L47</f>
        <v>0.75</v>
      </c>
      <c r="G93" s="2"/>
    </row>
    <row r="94" spans="4:19" ht="20.100000000000001" customHeight="1" x14ac:dyDescent="0.25">
      <c r="D94" s="52"/>
      <c r="E94" s="52" t="str">
        <f>'Input - Poultry'!$D$48</f>
        <v>Direct processing</v>
      </c>
      <c r="F94" s="52">
        <f>'Input - Poultry'!K48+'Input - Poultry'!L48</f>
        <v>0.75</v>
      </c>
      <c r="G94" s="2"/>
    </row>
    <row r="95" spans="4:19" ht="20.100000000000001" customHeight="1" x14ac:dyDescent="0.25">
      <c r="D95" s="52"/>
      <c r="E95" s="52" t="str">
        <f>'Input - Poultry'!$D$49</f>
        <v>Direct application</v>
      </c>
      <c r="F95" s="52">
        <f>'Input - Poultry'!K49+'Input - Poultry'!L49</f>
        <v>1</v>
      </c>
    </row>
    <row r="96" spans="4:19" ht="20.100000000000001" customHeight="1" x14ac:dyDescent="0.25">
      <c r="D96" s="52" t="str">
        <f>'Input - Poultry'!$D$32</f>
        <v>Manure stored in house</v>
      </c>
      <c r="E96" s="52" t="str">
        <f>'Input - Poultry'!$D$52</f>
        <v>Solid storage</v>
      </c>
      <c r="F96" s="52">
        <f>'Input - Poultry'!K52+'Input - Poultry'!L52</f>
        <v>0.75</v>
      </c>
      <c r="G96" s="2"/>
    </row>
    <row r="97" spans="4:20" ht="20.100000000000001" customHeight="1" x14ac:dyDescent="0.25">
      <c r="D97" s="52"/>
      <c r="E97" s="52" t="str">
        <f>'Input - Poultry'!$D$53</f>
        <v>Composting (passive windrow)</v>
      </c>
      <c r="F97" s="52">
        <f>'Input - Poultry'!K53+'Input - Poultry'!L53</f>
        <v>0.75</v>
      </c>
      <c r="G97" s="2"/>
    </row>
    <row r="98" spans="4:20" ht="20.100000000000001" customHeight="1" x14ac:dyDescent="0.25">
      <c r="D98" s="52"/>
      <c r="E98" s="52" t="str">
        <f>'Input - Poultry'!$D$54</f>
        <v>Digester / covered lagoons</v>
      </c>
      <c r="F98" s="52">
        <f>'Input - Poultry'!K54+'Input - Poultry'!L54</f>
        <v>0.75</v>
      </c>
      <c r="G98" s="2"/>
    </row>
    <row r="99" spans="4:20" ht="20.100000000000001" customHeight="1" x14ac:dyDescent="0.25">
      <c r="D99" s="52"/>
      <c r="E99" s="52" t="str">
        <f>'Input - Poultry'!$D$55</f>
        <v>Direct processing</v>
      </c>
      <c r="F99" s="52">
        <f>'Input - Poultry'!K55+'Input - Poultry'!L55</f>
        <v>0.75</v>
      </c>
      <c r="G99" s="2"/>
    </row>
    <row r="100" spans="4:20" ht="20.100000000000001" customHeight="1" x14ac:dyDescent="0.25">
      <c r="D100" s="52"/>
      <c r="E100" s="52" t="str">
        <f>'Input - Poultry'!$D$56</f>
        <v>Direct application</v>
      </c>
      <c r="F100" s="52">
        <f>'Input - Poultry'!K56+'Input - Poultry'!L56</f>
        <v>1</v>
      </c>
    </row>
    <row r="101" spans="4:20" ht="20.100000000000001" customHeight="1" x14ac:dyDescent="0.25"/>
    <row r="102" spans="4:20" ht="20.100000000000001" customHeight="1" x14ac:dyDescent="0.25">
      <c r="D102" s="98" t="s">
        <v>166</v>
      </c>
      <c r="N102" s="98" t="s">
        <v>166</v>
      </c>
    </row>
    <row r="103" spans="4:20" ht="20.100000000000001" customHeight="1" x14ac:dyDescent="0.25">
      <c r="D103" s="97" t="s">
        <v>303</v>
      </c>
      <c r="N103" s="97" t="s">
        <v>303</v>
      </c>
    </row>
    <row r="104" spans="4:20" ht="20.100000000000001" customHeight="1" x14ac:dyDescent="0.25">
      <c r="D104" s="51" t="s">
        <v>136</v>
      </c>
      <c r="E104" s="51" t="s">
        <v>138</v>
      </c>
      <c r="F104" s="51" t="s">
        <v>197</v>
      </c>
      <c r="G104" s="51" t="s">
        <v>198</v>
      </c>
      <c r="H104" s="51" t="s">
        <v>211</v>
      </c>
      <c r="I104" s="51" t="s">
        <v>212</v>
      </c>
      <c r="N104" s="51" t="s">
        <v>136</v>
      </c>
      <c r="O104" s="51" t="s">
        <v>138</v>
      </c>
      <c r="P104" s="51" t="s">
        <v>197</v>
      </c>
      <c r="Q104" s="51" t="s">
        <v>198</v>
      </c>
      <c r="R104" s="51" t="s">
        <v>211</v>
      </c>
      <c r="S104" s="51" t="s">
        <v>212</v>
      </c>
    </row>
    <row r="105" spans="4:20" ht="20.100000000000001" customHeight="1" x14ac:dyDescent="0.25">
      <c r="D105" s="52" t="str">
        <f>'Input - Poultry'!$D$30</f>
        <v>Poultry manure with bedding</v>
      </c>
      <c r="E105" s="52" t="str">
        <f>'Input - Poultry'!$D$38</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'Input - Poultry'!$D$30</f>
        <v>Poultry manure with bedding</v>
      </c>
      <c r="O105" s="52" t="str">
        <f>'Input - Poultry'!$D$38</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'Input - Poultry'!$D$39</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'Input - Poultry'!$D$39</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'Input - Poultry'!$D$40</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'Input - Poultry'!$D$40</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'Input - Poultry'!$D$41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'Input - Poultry'!$D$41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'Input - Poultry'!$D$42</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'Input - Poultry'!$D$42</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'Input - Poultry'!$D$31</f>
        <v>Belt manure removal</v>
      </c>
      <c r="E110" s="52" t="str">
        <f>'Input - Poultry'!$D$45</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'Input - Poultry'!$D$31</f>
        <v>Belt manure removal</v>
      </c>
      <c r="O110" s="52" t="str">
        <f>'Input - Poultry'!$D$45</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'Input - Poultry'!$D$46</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'Input - Poultry'!$D$46</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'Input - Poultry'!$D$47</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'Input - Poultry'!$D$47</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'Input - Poultry'!$D$48</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'Input - Poultry'!$D$48</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'Input - Poultry'!$D$49</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'Input - Poultry'!$D$49</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'Input - Poultry'!$D$32</f>
        <v>Manure stored in house</v>
      </c>
      <c r="E115" s="52" t="str">
        <f>'Input - Poultry'!$D$52</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'Input - Poultry'!$D$32</f>
        <v>Manure stored in house</v>
      </c>
      <c r="O115" s="52" t="str">
        <f>'Input - Poultry'!$D$52</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'Input - Poultry'!$D$53</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'Input - Poultry'!$D$53</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'Input - Poultry'!$D$54</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'Input - Poultry'!$D$54</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'Input - Poultry'!$D$55</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'Input - Poultry'!$D$55</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'Input - Poultry'!$D$56</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'Input - Poultry'!$D$56</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169</v>
      </c>
    </row>
    <row r="140" spans="4:20" ht="20.100000000000001" customHeight="1" x14ac:dyDescent="0.25">
      <c r="D140" s="97" t="s">
        <v>302</v>
      </c>
      <c r="N140" s="97" t="s">
        <v>302</v>
      </c>
    </row>
    <row r="141" spans="4:20" ht="20.100000000000001" customHeight="1" x14ac:dyDescent="0.25">
      <c r="D141" s="51" t="s">
        <v>136</v>
      </c>
      <c r="E141" s="51" t="s">
        <v>138</v>
      </c>
      <c r="F141" s="51" t="s">
        <v>197</v>
      </c>
      <c r="G141" s="51" t="s">
        <v>198</v>
      </c>
      <c r="H141" s="51" t="s">
        <v>211</v>
      </c>
      <c r="I141" s="51" t="s">
        <v>212</v>
      </c>
      <c r="N141" s="51" t="s">
        <v>136</v>
      </c>
      <c r="O141" s="51" t="s">
        <v>138</v>
      </c>
      <c r="P141" s="51" t="s">
        <v>197</v>
      </c>
      <c r="Q141" s="51" t="s">
        <v>198</v>
      </c>
      <c r="R141" s="51" t="s">
        <v>211</v>
      </c>
      <c r="S141" s="51" t="s">
        <v>212</v>
      </c>
    </row>
    <row r="142" spans="4:20" ht="20.100000000000001" customHeight="1" x14ac:dyDescent="0.25">
      <c r="D142" s="52" t="str">
        <f>'Input - Poultry'!$D$30</f>
        <v>Poultry manure with bedding</v>
      </c>
      <c r="E142" s="52" t="str">
        <f>'Input - Poultry'!$D$38</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'Input - Poultry'!$D$30</f>
        <v>Poultry manure with bedding</v>
      </c>
      <c r="O142" s="52" t="str">
        <f>'Input - Poultry'!$D$38</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'Input - Poultry'!$D$39</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'Input - Poultry'!$D$39</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'Input - Poultry'!$D$40</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'Input - Poultry'!$D$40</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'Input - Poultry'!$D$41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'Input - Poultry'!$D$41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'Input - Poultry'!$D$42</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'Input - Poultry'!$D$42</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'Input - Poultry'!$D$31</f>
        <v>Belt manure removal</v>
      </c>
      <c r="E147" s="52" t="str">
        <f>'Input - Poultry'!$D$45</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'Input - Poultry'!$D$31</f>
        <v>Belt manure removal</v>
      </c>
      <c r="O147" s="52" t="str">
        <f>'Input - Poultry'!$D$45</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'Input - Poultry'!$D$46</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'Input - Poultry'!$D$46</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'Input - Poultry'!$D$47</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'Input - Poultry'!$D$47</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'Input - Poultry'!$D$48</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'Input - Poultry'!$D$48</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'Input - Poultry'!$D$49</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'Input - Poultry'!$D$49</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'Input - Poultry'!$D$32</f>
        <v>Manure stored in house</v>
      </c>
      <c r="E152" s="52" t="str">
        <f>'Input - Poultry'!$D$52</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'Input - Poultry'!$D$32</f>
        <v>Manure stored in house</v>
      </c>
      <c r="O152" s="52" t="str">
        <f>'Input - Poultry'!$D$52</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'Input - Poultry'!$D$53</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'Input - Poultry'!$D$53</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'Input - Poultry'!$D$54</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'Input - Poultry'!$D$54</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'Input - Poultry'!$D$55</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'Input - Poultry'!$D$55</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'Input - Poultry'!$D$56</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'Input - Poultry'!$D$56</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'Input - Poultry'!$D$30</f>
        <v>Poultry manure with bedding</v>
      </c>
      <c r="E170" s="52" t="str">
        <f>'Input - Poultry'!$D$38</f>
        <v>Solid storage</v>
      </c>
      <c r="F170" s="52">
        <f>'Input - Poultry'!K38</f>
        <v>0.25</v>
      </c>
      <c r="G170" s="2" t="str">
        <f>$G$137</f>
        <v>fraction</v>
      </c>
    </row>
    <row r="171" spans="3:21" ht="20.100000000000001" customHeight="1" x14ac:dyDescent="0.25">
      <c r="D171" s="52"/>
      <c r="E171" s="52" t="str">
        <f>'Input - Poultry'!$D$39</f>
        <v>Composting (passive windrow)</v>
      </c>
      <c r="F171" s="52">
        <f>'Input - Poultry'!K39</f>
        <v>0.25</v>
      </c>
      <c r="G171" s="2"/>
    </row>
    <row r="172" spans="3:21" ht="20.100000000000001" customHeight="1" x14ac:dyDescent="0.25">
      <c r="D172" s="52"/>
      <c r="E172" s="52" t="str">
        <f>'Input - Poultry'!$D$40</f>
        <v>Digester / covered lagoons</v>
      </c>
      <c r="F172" s="52">
        <f>'Input - Poultry'!K40</f>
        <v>0.25</v>
      </c>
      <c r="G172" s="2"/>
    </row>
    <row r="173" spans="3:21" ht="20.100000000000001" customHeight="1" x14ac:dyDescent="0.25">
      <c r="D173" s="52"/>
      <c r="E173" s="52" t="str">
        <f>'Input - Poultry'!$D$41</f>
        <v>Direct processing</v>
      </c>
      <c r="F173" s="52">
        <f>'Input - Poultry'!K41</f>
        <v>0.25</v>
      </c>
      <c r="G173" s="2"/>
    </row>
    <row r="174" spans="3:21" ht="20.100000000000001" customHeight="1" x14ac:dyDescent="0.25">
      <c r="D174" s="52"/>
      <c r="E174" s="52" t="str">
        <f>'Input - Poultry'!$D$42</f>
        <v>Direct application</v>
      </c>
      <c r="F174" s="52">
        <f>'Input - Poultry'!K42</f>
        <v>0</v>
      </c>
    </row>
    <row r="175" spans="3:21" ht="20.100000000000001" customHeight="1" x14ac:dyDescent="0.25">
      <c r="D175" s="52" t="str">
        <f>'Input - Poultry'!$D$31</f>
        <v>Belt manure removal</v>
      </c>
      <c r="E175" s="52" t="str">
        <f>'Input - Poultry'!$D$45</f>
        <v>Solid storage</v>
      </c>
      <c r="F175" s="52">
        <f>'Input - Poultry'!K45</f>
        <v>0.25</v>
      </c>
      <c r="G175" s="2"/>
    </row>
    <row r="176" spans="3:21" ht="20.100000000000001" customHeight="1" x14ac:dyDescent="0.25">
      <c r="D176" s="52"/>
      <c r="E176" s="52" t="str">
        <f>'Input - Poultry'!$D$46</f>
        <v>Composting (passive windrow)</v>
      </c>
      <c r="F176" s="52">
        <f>'Input - Poultry'!K46</f>
        <v>0.25</v>
      </c>
      <c r="G176" s="2"/>
    </row>
    <row r="177" spans="4:20" ht="20.100000000000001" customHeight="1" x14ac:dyDescent="0.25">
      <c r="D177" s="52"/>
      <c r="E177" s="52" t="str">
        <f>'Input - Poultry'!$D$47</f>
        <v>Digester / covered lagoons</v>
      </c>
      <c r="F177" s="52">
        <f>'Input - Poultry'!K47</f>
        <v>0.25</v>
      </c>
      <c r="G177" s="2"/>
    </row>
    <row r="178" spans="4:20" ht="20.100000000000001" customHeight="1" x14ac:dyDescent="0.25">
      <c r="D178" s="52"/>
      <c r="E178" s="52" t="str">
        <f>'Input - Poultry'!$D$48</f>
        <v>Direct processing</v>
      </c>
      <c r="F178" s="52">
        <f>'Input - Poultry'!K48</f>
        <v>0.25</v>
      </c>
      <c r="G178" s="2"/>
    </row>
    <row r="179" spans="4:20" ht="20.100000000000001" customHeight="1" x14ac:dyDescent="0.25">
      <c r="D179" s="52"/>
      <c r="E179" s="52" t="str">
        <f>'Input - Poultry'!$D$49</f>
        <v>Direct application</v>
      </c>
      <c r="F179" s="52">
        <f>'Input - Poultry'!K49</f>
        <v>0</v>
      </c>
    </row>
    <row r="180" spans="4:20" ht="20.100000000000001" customHeight="1" x14ac:dyDescent="0.25">
      <c r="D180" s="52" t="str">
        <f>'Input - Poultry'!$D$32</f>
        <v>Manure stored in house</v>
      </c>
      <c r="E180" s="52" t="str">
        <f>'Input - Poultry'!$D$52</f>
        <v>Solid storage</v>
      </c>
      <c r="F180" s="52">
        <f>'Input - Poultry'!K52</f>
        <v>0.25</v>
      </c>
      <c r="G180" s="2"/>
    </row>
    <row r="181" spans="4:20" ht="20.100000000000001" customHeight="1" x14ac:dyDescent="0.25">
      <c r="D181" s="52"/>
      <c r="E181" s="52" t="str">
        <f>'Input - Poultry'!$D$53</f>
        <v>Composting (passive windrow)</v>
      </c>
      <c r="F181" s="52">
        <f>'Input - Poultry'!K53</f>
        <v>0.25</v>
      </c>
      <c r="G181" s="2"/>
    </row>
    <row r="182" spans="4:20" ht="20.100000000000001" customHeight="1" x14ac:dyDescent="0.25">
      <c r="D182" s="52"/>
      <c r="E182" s="52" t="str">
        <f>'Input - Poultry'!$D$54</f>
        <v>Digester / covered lagoons</v>
      </c>
      <c r="F182" s="52">
        <f>'Input - Poultry'!K54</f>
        <v>0.25</v>
      </c>
      <c r="G182" s="2"/>
    </row>
    <row r="183" spans="4:20" ht="20.100000000000001" customHeight="1" x14ac:dyDescent="0.25">
      <c r="D183" s="52"/>
      <c r="E183" s="52" t="str">
        <f>'Input - Poultry'!$D$55</f>
        <v>Direct processing</v>
      </c>
      <c r="F183" s="52">
        <f>'Input - Poultry'!K55</f>
        <v>0.25</v>
      </c>
      <c r="G183" s="2"/>
    </row>
    <row r="184" spans="4:20" ht="20.100000000000001" customHeight="1" x14ac:dyDescent="0.25">
      <c r="D184" s="52"/>
      <c r="E184" s="52" t="str">
        <f>'Input - Poultry'!$D$56</f>
        <v>Direct application</v>
      </c>
      <c r="F184" s="52">
        <f>'Input - Poultry'!K56</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197</v>
      </c>
      <c r="G188" s="51" t="s">
        <v>198</v>
      </c>
      <c r="H188" s="51" t="s">
        <v>211</v>
      </c>
      <c r="I188" s="51" t="s">
        <v>212</v>
      </c>
      <c r="N188" s="51" t="s">
        <v>136</v>
      </c>
      <c r="O188" s="51" t="s">
        <v>138</v>
      </c>
      <c r="P188" s="51" t="s">
        <v>197</v>
      </c>
      <c r="Q188" s="51" t="s">
        <v>198</v>
      </c>
      <c r="R188" s="51" t="s">
        <v>211</v>
      </c>
      <c r="S188" s="51" t="s">
        <v>212</v>
      </c>
    </row>
    <row r="189" spans="4:20" ht="20.100000000000001" customHeight="1" x14ac:dyDescent="0.25">
      <c r="D189" s="52" t="str">
        <f>'Input - Poultry'!$D$30</f>
        <v>Poultry manure with bedding</v>
      </c>
      <c r="E189" s="52" t="str">
        <f>'Input - Poultry'!$D$38</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'Input - Poultry'!$D$30</f>
        <v>Poultry manure with bedding</v>
      </c>
      <c r="O189" s="52" t="str">
        <f>'Input - Poultry'!$D$38</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'Input - Poultry'!$D$39</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'Input - Poultry'!$D$39</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'Input - Poultry'!$D$40</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'Input - Poultry'!$D$40</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'Input - Poultry'!$D$41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'Input - Poultry'!$D$41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'Input - Poultry'!$D$42</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'Input - Poultry'!$D$42</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'Input - Poultry'!$D$31</f>
        <v>Belt manure removal</v>
      </c>
      <c r="E194" s="52" t="str">
        <f>'Input - Poultry'!$D$45</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'Input - Poultry'!$D$31</f>
        <v>Belt manure removal</v>
      </c>
      <c r="O194" s="52" t="str">
        <f>'Input - Poultry'!$D$45</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'Input - Poultry'!$D$46</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'Input - Poultry'!$D$46</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'Input - Poultry'!$D$47</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'Input - Poultry'!$D$47</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'Input - Poultry'!$D$48</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'Input - Poultry'!$D$48</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'Input - Poultry'!$D$49</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'Input - Poultry'!$D$49</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'Input - Poultry'!$D$32</f>
        <v>Manure stored in house</v>
      </c>
      <c r="E199" s="52" t="str">
        <f>'Input - Poultry'!$D$52</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'Input - Poultry'!$D$32</f>
        <v>Manure stored in house</v>
      </c>
      <c r="O199" s="52" t="str">
        <f>'Input - Poultry'!$D$52</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'Input - Poultry'!$D$53</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'Input - Poultry'!$D$53</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'Input - Poultry'!$D$54</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'Input - Poultry'!$D$54</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'Input - Poultry'!$D$55</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'Input - Poultry'!$D$55</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'Input - Poultry'!$D$56</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'Input - Poultry'!$D$56</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dimension ref="A1:T165"/>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304</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305</v>
      </c>
      <c r="N17" s="98" t="s">
        <v>305</v>
      </c>
    </row>
    <row r="18" spans="1:19" ht="20.100000000000001" customHeight="1" x14ac:dyDescent="0.25">
      <c r="A18" s="17" t="str">
        <f>HYPERLINK("#'4.6.1.12-13 Soil atmos dep'!A1", "4.6.1.12-13 Soil Atm. deposition")</f>
        <v>4.6.1.12-13 Soil Atm. deposition</v>
      </c>
      <c r="D18" s="97" t="s">
        <v>306</v>
      </c>
      <c r="N18" s="97" t="s">
        <v>307</v>
      </c>
    </row>
    <row r="19" spans="1:19" ht="20.100000000000001" customHeight="1" x14ac:dyDescent="0.25">
      <c r="A19" s="17" t="str">
        <f>HYPERLINK("#'4.6.1.14-15 Soil leach runoff'!A1", "4.6.1.14-15 Soil leach &amp; runoff")</f>
        <v>4.6.1.14-15 Soil leach &amp; runoff</v>
      </c>
      <c r="D19" s="51" t="s">
        <v>136</v>
      </c>
      <c r="E19" s="51" t="s">
        <v>197</v>
      </c>
      <c r="F19" s="51" t="s">
        <v>198</v>
      </c>
      <c r="G19" s="51" t="s">
        <v>211</v>
      </c>
      <c r="H19" s="51" t="s">
        <v>212</v>
      </c>
      <c r="N19" s="51" t="s">
        <v>136</v>
      </c>
      <c r="O19" s="51" t="s">
        <v>197</v>
      </c>
      <c r="P19" s="51" t="s">
        <v>198</v>
      </c>
      <c r="Q19" s="51" t="s">
        <v>211</v>
      </c>
      <c r="R19" s="51" t="s">
        <v>212</v>
      </c>
    </row>
    <row r="20" spans="1:19" ht="20.100000000000001" customHeight="1" x14ac:dyDescent="0.25">
      <c r="D20" s="52" t="str">
        <f>'Input - Poultry'!$D$33</f>
        <v>Pasture range and paddock</v>
      </c>
      <c r="E20" s="52">
        <f>'4.6.1.3-4 Direct N20'!E111</f>
        <v>1.6993600000000004</v>
      </c>
      <c r="F20" s="52">
        <f>'4.6.1.3-4 Direct N20'!F111</f>
        <v>1.8138719999999999</v>
      </c>
      <c r="G20" s="52">
        <f>'4.6.1.3-4 Direct N20'!G111</f>
        <v>2.129216</v>
      </c>
      <c r="H20" s="52">
        <f>'4.6.1.3-4 Direct N20'!H111</f>
        <v>1.8138719999999999</v>
      </c>
      <c r="I20" s="2" t="str">
        <f>$G$13</f>
        <v>kg N</v>
      </c>
      <c r="J20" s="2"/>
      <c r="N20" s="52" t="str">
        <f>'Input - Poultry'!$D$33</f>
        <v>Pasture range and paddock</v>
      </c>
      <c r="O20" s="52">
        <f>'4.6.1.3-4 Direct N20'!O111</f>
        <v>1.6993600000000004</v>
      </c>
      <c r="P20" s="52">
        <f>'4.6.1.3-4 Direct N20'!P111</f>
        <v>1.8138719999999999</v>
      </c>
      <c r="Q20" s="52">
        <f>'4.6.1.3-4 Direct N20'!Q111</f>
        <v>2.129216</v>
      </c>
      <c r="R20" s="52">
        <f>'4.6.1.3-4 Direct N20'!R111</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308</v>
      </c>
      <c r="N22" s="98" t="s">
        <v>308</v>
      </c>
    </row>
    <row r="23" spans="1:19" ht="20.100000000000001" customHeight="1" x14ac:dyDescent="0.25">
      <c r="A23" s="17" t="str">
        <f>HYPERLINK("#'Constants - Livestock'!A1", "Constants - Livestock")</f>
        <v>Constants - Livestock</v>
      </c>
      <c r="D23" s="97" t="s">
        <v>309</v>
      </c>
      <c r="N23" s="97" t="s">
        <v>309</v>
      </c>
    </row>
    <row r="24" spans="1:19" ht="20.100000000000001" customHeight="1" x14ac:dyDescent="0.25">
      <c r="A24" s="17" t="str">
        <f>HYPERLINK("#'Constants - Common'!A1", "Constants - Common")</f>
        <v>Constants - Common</v>
      </c>
      <c r="D24" s="51" t="s">
        <v>136</v>
      </c>
      <c r="E24" s="51" t="s">
        <v>197</v>
      </c>
      <c r="F24" s="51" t="s">
        <v>198</v>
      </c>
      <c r="G24" s="51" t="s">
        <v>211</v>
      </c>
      <c r="H24" s="51" t="s">
        <v>212</v>
      </c>
      <c r="N24" s="51" t="s">
        <v>136</v>
      </c>
      <c r="O24" s="51" t="s">
        <v>197</v>
      </c>
      <c r="P24" s="51" t="s">
        <v>198</v>
      </c>
      <c r="Q24" s="51" t="s">
        <v>211</v>
      </c>
      <c r="R24" s="51" t="s">
        <v>212</v>
      </c>
    </row>
    <row r="25" spans="1:19" ht="20.100000000000001" customHeight="1" x14ac:dyDescent="0.25">
      <c r="A25" s="17"/>
      <c r="D25" s="52" t="str">
        <f>'Input - Poultry'!$D$33</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'Input - Poultry'!$D$33</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310</v>
      </c>
      <c r="E27" s="100">
        <f>SUM(E25:H25)</f>
        <v>2.3434148571428574E-4</v>
      </c>
      <c r="F27" s="101" t="str">
        <f>$E$11</f>
        <v>t N2O</v>
      </c>
      <c r="N27" s="99" t="s">
        <v>310</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v>265</v>
      </c>
      <c r="N30" s="57" t="str">
        <v>GWPN2O</v>
      </c>
      <c r="O30" s="58" t="str">
        <v>Global warming potential for nitrous oxide (t CO2-e / t N2O)</v>
      </c>
      <c r="P30" s="102"/>
      <c r="Q30" s="52">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dimension ref="A1:S165"/>
  <sheetViews>
    <sheetView showGridLines="0" workbookViewId="0">
      <selection activeCell="A19" sqref="A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311</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305</v>
      </c>
      <c r="M16" s="98" t="s">
        <v>312</v>
      </c>
    </row>
    <row r="17" spans="1:19" ht="20.100000000000001" customHeight="1" x14ac:dyDescent="0.25">
      <c r="A17" s="17" t="str">
        <f>HYPERLINK("#'4.6.1.10-11 Soil direct N2O'!A1", "4.6.1.10-11 Soil direct N2O")</f>
        <v>4.6.1.10-11 Soil direct N2O</v>
      </c>
      <c r="D17" s="97" t="s">
        <v>306</v>
      </c>
      <c r="M17" s="97" t="s">
        <v>307</v>
      </c>
    </row>
    <row r="18" spans="1:19" ht="20.100000000000001" customHeight="1" x14ac:dyDescent="0.25">
      <c r="A18" s="129" t="str">
        <f>HYPERLINK("#'4.6.1.12-13 Soil atmos dep'!A1", "4.6.1.12-13 Soil Atm. deposition")</f>
        <v>4.6.1.12-13 Soil Atm. deposition</v>
      </c>
      <c r="D18" s="51" t="s">
        <v>136</v>
      </c>
      <c r="E18" s="51" t="s">
        <v>197</v>
      </c>
      <c r="F18" s="51" t="s">
        <v>198</v>
      </c>
      <c r="G18" s="51" t="s">
        <v>211</v>
      </c>
      <c r="H18" s="51" t="s">
        <v>212</v>
      </c>
      <c r="M18" s="51" t="s">
        <v>136</v>
      </c>
      <c r="N18" s="51" t="s">
        <v>197</v>
      </c>
      <c r="O18" s="51" t="s">
        <v>198</v>
      </c>
      <c r="P18" s="51" t="s">
        <v>211</v>
      </c>
      <c r="Q18" s="51" t="s">
        <v>212</v>
      </c>
    </row>
    <row r="19" spans="1:19" ht="20.100000000000001" customHeight="1" x14ac:dyDescent="0.25">
      <c r="A19" s="17" t="str">
        <f>HYPERLINK("#'4.6.1.14-15 Soil leach runoff'!A1", "4.6.1.14-15 Soil leach &amp; runoff")</f>
        <v>4.6.1.14-15 Soil leach &amp; runoff</v>
      </c>
      <c r="D19" s="52" t="str">
        <f>'Input - Poultry'!$D$33</f>
        <v>Pasture range and paddock</v>
      </c>
      <c r="E19" s="52">
        <f>'4.6.1.3-4 Direct N20'!E111</f>
        <v>1.6993600000000004</v>
      </c>
      <c r="F19" s="52">
        <f>'4.6.1.3-4 Direct N20'!F111</f>
        <v>1.8138719999999999</v>
      </c>
      <c r="G19" s="52">
        <f>'4.6.1.3-4 Direct N20'!G111</f>
        <v>2.129216</v>
      </c>
      <c r="H19" s="52">
        <f>'4.6.1.3-4 Direct N20'!H111</f>
        <v>1.8138719999999999</v>
      </c>
      <c r="I19" s="2" t="str">
        <f>$G$13</f>
        <v>kg N</v>
      </c>
      <c r="M19" s="52" t="str">
        <f>'Input - Poultry'!$D$33</f>
        <v>Pasture range and paddock</v>
      </c>
      <c r="N19" s="52">
        <f>'4.6.1.3-4 Direct N20'!O111</f>
        <v>1.6993600000000004</v>
      </c>
      <c r="O19" s="52">
        <f>'4.6.1.3-4 Direct N20'!P111</f>
        <v>1.8138719999999999</v>
      </c>
      <c r="P19" s="52">
        <f>'4.6.1.3-4 Direct N20'!Q111</f>
        <v>2.129216</v>
      </c>
      <c r="Q19" s="52">
        <f>'4.6.1.3-4 Direct N20'!R111</f>
        <v>1.8138719999999999</v>
      </c>
      <c r="R19" s="2" t="str">
        <f>$G$13</f>
        <v>kg N</v>
      </c>
    </row>
    <row r="20" spans="1:19" ht="20.100000000000001" customHeight="1" x14ac:dyDescent="0.25"/>
    <row r="21" spans="1:19" ht="20.100000000000001" customHeight="1" x14ac:dyDescent="0.25">
      <c r="A21" s="18" t="s">
        <v>2</v>
      </c>
      <c r="D21" s="98" t="s">
        <v>313</v>
      </c>
      <c r="M21" s="98" t="s">
        <v>313</v>
      </c>
    </row>
    <row r="22" spans="1:19" ht="20.100000000000001" customHeight="1" x14ac:dyDescent="0.25">
      <c r="A22" s="17" t="str">
        <f>HYPERLINK("#'Constants - Poultry'!A1", "Constants - Poultry")</f>
        <v>Constants - Poultry</v>
      </c>
      <c r="D22" s="97" t="s">
        <v>306</v>
      </c>
      <c r="M22" s="97" t="s">
        <v>306</v>
      </c>
    </row>
    <row r="23" spans="1:19" ht="20.100000000000001" customHeight="1" x14ac:dyDescent="0.25">
      <c r="A23" s="17" t="str">
        <f>HYPERLINK("#'Constants - Livestock'!A1", "Constants - Livestock")</f>
        <v>Constants - Livestock</v>
      </c>
      <c r="D23" s="51" t="s">
        <v>136</v>
      </c>
      <c r="E23" s="51" t="s">
        <v>197</v>
      </c>
      <c r="F23" s="51" t="s">
        <v>198</v>
      </c>
      <c r="G23" s="51" t="s">
        <v>211</v>
      </c>
      <c r="H23" s="51" t="s">
        <v>212</v>
      </c>
      <c r="M23" s="51" t="s">
        <v>136</v>
      </c>
      <c r="N23" s="51" t="s">
        <v>197</v>
      </c>
      <c r="O23" s="51" t="s">
        <v>198</v>
      </c>
      <c r="P23" s="51" t="s">
        <v>211</v>
      </c>
      <c r="Q23" s="51" t="s">
        <v>212</v>
      </c>
    </row>
    <row r="24" spans="1:19" ht="20.100000000000001" customHeight="1" x14ac:dyDescent="0.25">
      <c r="A24" s="17" t="str">
        <f>HYPERLINK("#'Constants - Common'!A1", "Constants - Common")</f>
        <v>Constants - Common</v>
      </c>
      <c r="D24" s="52" t="str">
        <f>'Input - Poultry'!$D$33</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'Input - Poultry'!$D$33</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314</v>
      </c>
      <c r="E26" s="45">
        <f>SUM(E24:H24)</f>
        <v>1.5658272</v>
      </c>
      <c r="F26" s="103" t="str">
        <f>$E$11</f>
        <v>kg N</v>
      </c>
      <c r="M26" s="107" t="s">
        <v>314</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dimensionless</v>
      </c>
      <c r="H41" s="139" t="str">
        <v>Input</v>
      </c>
      <c r="I41" s="141" t="str">
        <f>'Input - Poultry'!$E$59</f>
        <v>Crop</v>
      </c>
      <c r="M41" s="141" t="str">
        <v>j</v>
      </c>
      <c r="N41" s="144" t="str">
        <v>production system</v>
      </c>
      <c r="O41" s="143"/>
      <c r="P41" s="141" t="str">
        <v>dimensionless</v>
      </c>
      <c r="Q41" s="139" t="str">
        <v>Input</v>
      </c>
      <c r="R41" s="57"/>
    </row>
    <row r="42" spans="4:18" ht="20.100000000000001" customHeight="1" x14ac:dyDescent="0.25">
      <c r="D42" s="141" t="str">
        <v>ir</v>
      </c>
      <c r="E42" s="144" t="str">
        <v>irrigation method</v>
      </c>
      <c r="F42" s="143"/>
      <c r="G42" s="141" t="str">
        <v>dimensionless</v>
      </c>
      <c r="H42" s="139" t="str">
        <v>Input</v>
      </c>
      <c r="I42" s="141" t="str">
        <f>'Input - Poultry'!$E$60</f>
        <v>Sprinkler irrigation</v>
      </c>
      <c r="M42" s="141" t="str">
        <v>ir</v>
      </c>
      <c r="N42" s="144" t="str">
        <v>irrigation method</v>
      </c>
      <c r="O42" s="143"/>
      <c r="P42" s="141" t="str">
        <v>dimensionless</v>
      </c>
      <c r="Q42" s="139" t="str">
        <v>Input</v>
      </c>
      <c r="R42" s="57"/>
    </row>
    <row r="43" spans="4:18" ht="20.100000000000001" customHeight="1" x14ac:dyDescent="0.25">
      <c r="D43" s="141" t="str">
        <v>r</v>
      </c>
      <c r="E43" s="144" t="str">
        <v>rainfall region</v>
      </c>
      <c r="F43" s="143"/>
      <c r="G43" s="141" t="str">
        <v>dimensionless</v>
      </c>
      <c r="H43" s="139" t="str">
        <v>Input</v>
      </c>
      <c r="I43" s="141" t="str">
        <f>'Input - Site'!$E$30</f>
        <v>High rainfall</v>
      </c>
      <c r="M43" s="141" t="str">
        <v>r</v>
      </c>
      <c r="N43" s="144" t="str">
        <v>rainfall region</v>
      </c>
      <c r="O43" s="143"/>
      <c r="P43" s="141" t="str">
        <v>dimensionless</v>
      </c>
      <c r="Q43" s="139" t="str">
        <v>Input</v>
      </c>
      <c r="R43" s="57"/>
    </row>
    <row r="44" spans="4:18" ht="20.100000000000001" customHeight="1" x14ac:dyDescent="0.25"/>
    <row r="45" spans="4:18" ht="20.100000000000001" customHeight="1" x14ac:dyDescent="0.25">
      <c r="D45" s="99" t="s">
        <v>287</v>
      </c>
      <c r="E45" s="100" cm="1">
        <f t="array" ref="E45">MMS_Poultry_Soil_AtmosphericDeposition_Equations.VEERG_4_6_1_12__1_AtmosphericDepositionEmissionsFromPoultryManureOnPasture(I38,$I$39,$I$40)</f>
        <v>1.72240992E-5</v>
      </c>
      <c r="F45" s="101" t="str">
        <f>$E$36</f>
        <v>t N2O</v>
      </c>
      <c r="M45" s="99" t="s">
        <v>287</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v>265</v>
      </c>
      <c r="M48" s="57" t="str">
        <v>GWPN2O</v>
      </c>
      <c r="N48" s="58" t="str">
        <v>Global warming potential for nitrous oxide (t CO2-e / t N2O)</v>
      </c>
      <c r="O48" s="102"/>
      <c r="P48" s="52">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dimension ref="A1:U165"/>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315</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305</v>
      </c>
      <c r="N20" s="98" t="s">
        <v>312</v>
      </c>
    </row>
    <row r="21" spans="1:20" ht="20.100000000000001" customHeight="1" x14ac:dyDescent="0.25">
      <c r="A21" s="18" t="s">
        <v>2</v>
      </c>
      <c r="D21" s="97" t="s">
        <v>306</v>
      </c>
      <c r="N21" s="97" t="s">
        <v>307</v>
      </c>
    </row>
    <row r="22" spans="1:20" ht="20.100000000000001" customHeight="1" x14ac:dyDescent="0.25">
      <c r="A22" s="17" t="str">
        <f>HYPERLINK("#'Constants - Poultry'!A1", "Constants - Poultry")</f>
        <v>Constants - Poultry</v>
      </c>
      <c r="D22" s="51" t="s">
        <v>136</v>
      </c>
      <c r="E22" s="51" t="s">
        <v>197</v>
      </c>
      <c r="F22" s="51" t="s">
        <v>198</v>
      </c>
      <c r="G22" s="51" t="s">
        <v>211</v>
      </c>
      <c r="H22" s="51" t="s">
        <v>212</v>
      </c>
      <c r="N22" s="51" t="s">
        <v>136</v>
      </c>
      <c r="O22" s="51" t="s">
        <v>197</v>
      </c>
      <c r="P22" s="51" t="s">
        <v>198</v>
      </c>
      <c r="Q22" s="51" t="s">
        <v>211</v>
      </c>
      <c r="R22" s="51" t="s">
        <v>212</v>
      </c>
    </row>
    <row r="23" spans="1:20" ht="20.100000000000001" customHeight="1" x14ac:dyDescent="0.25">
      <c r="A23" s="17" t="str">
        <f>HYPERLINK("#'Constants - Livestock'!A1", "Constants - Livestock")</f>
        <v>Constants - Livestock</v>
      </c>
      <c r="D23" s="52" t="str">
        <f>'Input - Poultry'!$D$33</f>
        <v>Pasture range and paddock</v>
      </c>
      <c r="E23" s="52">
        <f>'4.6.1.3-4 Direct N20'!E111</f>
        <v>1.6993600000000004</v>
      </c>
      <c r="F23" s="52">
        <f>'4.6.1.3-4 Direct N20'!F111</f>
        <v>1.8138719999999999</v>
      </c>
      <c r="G23" s="52">
        <f>'4.6.1.3-4 Direct N20'!G111</f>
        <v>2.129216</v>
      </c>
      <c r="H23" s="52">
        <f>'4.6.1.3-4 Direct N20'!H111</f>
        <v>1.8138719999999999</v>
      </c>
      <c r="I23" s="2" t="str">
        <f>$G$13</f>
        <v>kg N</v>
      </c>
      <c r="J23" s="2"/>
      <c r="N23" s="52" t="str">
        <f>'Input - Poultry'!$D$33</f>
        <v>Pasture range and paddock</v>
      </c>
      <c r="O23" s="52">
        <f>'4.6.1.3-4 Direct N20'!O111</f>
        <v>1.6993600000000004</v>
      </c>
      <c r="P23" s="52">
        <f>'4.6.1.3-4 Direct N20'!P111</f>
        <v>1.8138719999999999</v>
      </c>
      <c r="Q23" s="52">
        <f>'4.6.1.3-4 Direct N20'!Q111</f>
        <v>2.129216</v>
      </c>
      <c r="R23" s="52">
        <f>'4.6.1.3-4 Direct N20'!R111</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313</v>
      </c>
      <c r="N25" s="98" t="s">
        <v>317</v>
      </c>
    </row>
    <row r="26" spans="1:20" ht="20.100000000000001" customHeight="1" x14ac:dyDescent="0.25">
      <c r="D26" s="97" t="s">
        <v>306</v>
      </c>
      <c r="N26" s="97" t="s">
        <v>307</v>
      </c>
    </row>
    <row r="27" spans="1:20" ht="20.100000000000001" customHeight="1" x14ac:dyDescent="0.25">
      <c r="D27" s="51" t="s">
        <v>136</v>
      </c>
      <c r="E27" s="51" t="s">
        <v>197</v>
      </c>
      <c r="F27" s="51" t="s">
        <v>198</v>
      </c>
      <c r="G27" s="51" t="s">
        <v>211</v>
      </c>
      <c r="H27" s="51" t="s">
        <v>212</v>
      </c>
      <c r="N27" s="51" t="s">
        <v>136</v>
      </c>
      <c r="O27" s="51" t="s">
        <v>197</v>
      </c>
      <c r="P27" s="51" t="s">
        <v>198</v>
      </c>
      <c r="Q27" s="51" t="s">
        <v>211</v>
      </c>
      <c r="R27" s="51" t="s">
        <v>212</v>
      </c>
    </row>
    <row r="28" spans="1:20" ht="20.100000000000001" customHeight="1" x14ac:dyDescent="0.25">
      <c r="D28" s="52" t="str">
        <f>'Input - Poultry'!$D$33</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'Input - Poultry'!$D$33</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316</v>
      </c>
      <c r="E30" s="45">
        <f>SUM(E28:H28)</f>
        <v>0.14912640000000002</v>
      </c>
      <c r="F30" s="103" t="str">
        <f>$E$11</f>
        <v>kg N</v>
      </c>
      <c r="N30" s="107" t="s">
        <v>316</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287</v>
      </c>
      <c r="E47" s="100" cm="1">
        <f t="array" ref="E47">MMS_Poultry_Soil_LeachingAndRunoff_Equations.VEERG_4_6_1_14__1_LeachingAndRunoffEmissionsFromPoultryManureOnPasture(J43,$J$44,$J$45)</f>
        <v>2.5777563428571431E-6</v>
      </c>
      <c r="F47" s="101" t="str">
        <f>$E$41</f>
        <v>t N2O</v>
      </c>
      <c r="N47" s="99" t="s">
        <v>287</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v>265</v>
      </c>
      <c r="N50" s="57" t="str">
        <v>GWPN2O</v>
      </c>
      <c r="O50" s="58" t="str">
        <v>Global warming potential for nitrous oxide (t CO2-e / t N2O)</v>
      </c>
      <c r="P50" s="102"/>
      <c r="Q50" s="52">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zoomScaleNormal="100" workbookViewId="0">
      <selection activeCell="A23" sqref="A23"/>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196</v>
      </c>
      <c r="E8" s="37" t="s">
        <v>197</v>
      </c>
      <c r="F8" s="37" t="s">
        <v>198</v>
      </c>
      <c r="G8" s="37" t="s">
        <v>199</v>
      </c>
      <c r="H8" s="37" t="s">
        <v>200</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201</v>
      </c>
      <c r="E19" s="37" t="s">
        <v>202</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203</v>
      </c>
      <c r="G26" s="6" t="s">
        <v>204</v>
      </c>
      <c r="J26" s="6" t="s">
        <v>205</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323</v>
      </c>
      <c r="E29" s="37" t="s">
        <v>324</v>
      </c>
      <c r="G29" s="37" t="s">
        <v>323</v>
      </c>
      <c r="H29" s="37" t="s">
        <v>324</v>
      </c>
      <c r="J29" s="37" t="s">
        <v>325</v>
      </c>
      <c r="K29" s="37" t="s">
        <v>326</v>
      </c>
      <c r="M29" s="1"/>
    </row>
    <row r="30" spans="1:13" ht="20.100000000000001" customHeight="1" x14ac:dyDescent="0.25">
      <c r="D30" s="37" t="s">
        <v>327</v>
      </c>
      <c r="E30" s="37" t="s">
        <v>328</v>
      </c>
      <c r="G30" s="37" t="s">
        <v>327</v>
      </c>
      <c r="H30" s="37" t="s">
        <v>328</v>
      </c>
      <c r="J30" s="37" t="s">
        <v>329</v>
      </c>
      <c r="K30" s="37" t="s">
        <v>330</v>
      </c>
      <c r="M30" s="1"/>
    </row>
    <row r="31" spans="1:13" ht="20.100000000000001" customHeight="1" x14ac:dyDescent="0.25">
      <c r="D31" s="37" t="s">
        <v>331</v>
      </c>
      <c r="E31" s="37" t="s">
        <v>332</v>
      </c>
      <c r="G31" s="37" t="s">
        <v>331</v>
      </c>
      <c r="H31" s="37" t="s">
        <v>332</v>
      </c>
      <c r="J31" s="1" t="s">
        <v>333</v>
      </c>
      <c r="K31" s="1" t="s">
        <v>334</v>
      </c>
      <c r="M31" s="1"/>
    </row>
    <row r="32" spans="1:13" ht="20.100000000000001" customHeight="1" x14ac:dyDescent="0.25">
      <c r="D32" s="37" t="s">
        <v>335</v>
      </c>
      <c r="E32" s="37" t="s">
        <v>336</v>
      </c>
      <c r="G32" s="37" t="s">
        <v>335</v>
      </c>
      <c r="H32" s="37" t="s">
        <v>336</v>
      </c>
      <c r="J32" s="37" t="s">
        <v>337</v>
      </c>
      <c r="K32" s="37" t="s">
        <v>338</v>
      </c>
      <c r="M32" s="1"/>
    </row>
    <row r="33" spans="4:13" ht="20.100000000000001" customHeight="1" x14ac:dyDescent="0.25">
      <c r="D33" s="37" t="s">
        <v>325</v>
      </c>
      <c r="E33" s="37" t="s">
        <v>326</v>
      </c>
      <c r="G33" s="1" t="s">
        <v>206</v>
      </c>
      <c r="H33" s="37" t="s">
        <v>206</v>
      </c>
      <c r="J33" s="37" t="s">
        <v>339</v>
      </c>
      <c r="K33" s="37" t="s">
        <v>340</v>
      </c>
      <c r="M33" s="1"/>
    </row>
    <row r="34" spans="4:13" ht="20.100000000000001" customHeight="1" x14ac:dyDescent="0.25">
      <c r="D34" s="37" t="s">
        <v>329</v>
      </c>
      <c r="E34" s="37" t="s">
        <v>330</v>
      </c>
      <c r="J34" s="1" t="s">
        <v>206</v>
      </c>
      <c r="K34" s="37" t="s">
        <v>206</v>
      </c>
      <c r="M34" s="1"/>
    </row>
    <row r="35" spans="4:13" ht="20.100000000000001" customHeight="1" x14ac:dyDescent="0.25">
      <c r="D35" s="1" t="s">
        <v>333</v>
      </c>
      <c r="E35" s="1" t="s">
        <v>334</v>
      </c>
      <c r="M35" s="1"/>
    </row>
    <row r="36" spans="4:13" ht="20.100000000000001" customHeight="1" x14ac:dyDescent="0.25">
      <c r="D36" s="37" t="s">
        <v>337</v>
      </c>
      <c r="E36" s="37" t="s">
        <v>338</v>
      </c>
      <c r="M36" s="1"/>
    </row>
    <row r="37" spans="4:13" ht="20.100000000000001" customHeight="1" x14ac:dyDescent="0.25">
      <c r="D37" s="37" t="s">
        <v>339</v>
      </c>
      <c r="E37" s="37" t="s">
        <v>340</v>
      </c>
      <c r="M37" s="1"/>
    </row>
    <row r="38" spans="4:13" ht="20.100000000000001" customHeight="1" x14ac:dyDescent="0.25">
      <c r="D38" s="1" t="s">
        <v>206</v>
      </c>
      <c r="E38" s="37" t="s">
        <v>206</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207</v>
      </c>
      <c r="M42" s="1"/>
    </row>
    <row r="43" spans="4:13" ht="20.100000000000001" customHeight="1" x14ac:dyDescent="0.25">
      <c r="M43" s="1"/>
    </row>
    <row r="44" spans="4:13" ht="20.100000000000001" customHeight="1" x14ac:dyDescent="0.25">
      <c r="D44" s="37" t="s">
        <v>107</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208</v>
      </c>
      <c r="E59" s="37" t="s">
        <v>209</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M117" s="1"/>
      <c r="V117" s="1"/>
    </row>
    <row r="118" spans="4:22" ht="20.100000000000001" customHeight="1" x14ac:dyDescent="0.25">
      <c r="M118" s="1"/>
    </row>
    <row r="119" spans="4:22" ht="20.100000000000001" customHeight="1" x14ac:dyDescent="0.25">
      <c r="M119" s="1"/>
    </row>
    <row r="120" spans="4:22" ht="20.100000000000001" customHeight="1" x14ac:dyDescent="0.25">
      <c r="M120" s="1"/>
    </row>
    <row r="121" spans="4:22" ht="20.100000000000001" customHeight="1" x14ac:dyDescent="0.25">
      <c r="M121" s="1"/>
    </row>
    <row r="122" spans="4:22" ht="20.100000000000001" customHeight="1" x14ac:dyDescent="0.25">
      <c r="M122" s="1"/>
    </row>
    <row r="123" spans="4:22" ht="20.100000000000001" customHeight="1" x14ac:dyDescent="0.25">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0">
    <tablePart r:id="rId2"/>
    <tablePart r:id="rId3"/>
    <tablePart r:id="rId4"/>
    <tablePart r:id="rId5"/>
    <tablePart r:id="rId6"/>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8DBA6-9052-4B71-9B2B-DCBAB2C6A81F}">
  <dimension ref="A1:BY250"/>
  <sheetViews>
    <sheetView showGridLines="0" zoomScale="85" zoomScaleNormal="85" workbookViewId="0"/>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4" t="str" cm="1">
        <f t="array" ref="D98:D101">Common_SourceData.Common_SourceData_ClimateZones_Appendices()</f>
        <v>Note:</v>
      </c>
    </row>
    <row r="99" spans="4:20" ht="20.100000000000001" customHeight="1" x14ac:dyDescent="0.25">
      <c r="D99" s="54" t="str">
        <v>MAT = mean annual temperature</v>
      </c>
    </row>
    <row r="100" spans="4:20" ht="20.100000000000001" customHeight="1" x14ac:dyDescent="0.25">
      <c r="D100" s="54" t="str">
        <v>MAP = mean annual precipitation</v>
      </c>
    </row>
    <row r="101" spans="4:20" ht="20.100000000000001" customHeight="1" x14ac:dyDescent="0.25">
      <c r="D101" s="54" t="str">
        <v>PET = potential evapotranspiration</v>
      </c>
    </row>
    <row r="102" spans="4:20" ht="20.100000000000001" customHeight="1" x14ac:dyDescent="0.25">
      <c r="D102" s="54"/>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341</v>
      </c>
      <c r="F231" s="36" t="s">
        <v>342</v>
      </c>
      <c r="G231" s="37" t="s">
        <v>333</v>
      </c>
      <c r="H231" s="37" t="s">
        <v>343</v>
      </c>
      <c r="I231" s="37" t="s">
        <v>344</v>
      </c>
      <c r="J231" s="37" t="s">
        <v>329</v>
      </c>
      <c r="K231" s="37" t="s">
        <v>325</v>
      </c>
      <c r="L231" s="37" t="s">
        <v>345</v>
      </c>
      <c r="M231" s="37" t="s">
        <v>346</v>
      </c>
      <c r="N231" s="37" t="s">
        <v>323</v>
      </c>
      <c r="O231" s="37" t="s">
        <v>347</v>
      </c>
      <c r="P231" s="37" t="s">
        <v>337</v>
      </c>
      <c r="Q231" s="37" t="s">
        <v>339</v>
      </c>
      <c r="R231" s="37" t="s">
        <v>335</v>
      </c>
      <c r="S231" s="37" t="s">
        <v>348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JAG4AcAB1AHQAXAAiADsAXABuACAAIAAgACAAIAAgACAAIAAgACAAXAAiAEYAcgBhAGMATABFAEEAQwBIAF8ATQBTAFwAIgAsAFwAIgBmAHIAYQBjAHQAaQBvAG4AIABvAGYAIABOACAAbABvAHMAdAAgAHQAaAByAG8AdQBnAGgAIABsAGUAYQBjAGgAaQBuAGcAIABhAG4AZAAgAHIAdQBuAG8AZgBmAFwAIgAsACAAXAAiAGYAcgBhAGMAdABpAG8AbgBcACIALAAgAFwAIgBJAG4AcAB1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ZABpAG0AZQBuAHMAaQBvAG4AbABlAHMAcwBcACIALAAgAFwAIgBJAG4AcAB1AHQAXAAiADsAXABuACAAIAAgACAAIAAgACAAIAAgACAAXAAiAGkAcgBcACIALAAgAFwAIgBpAHIAcgBpAGcAYQB0AGkAbwBuACAAbQBlAHQAaABvAGQAXAAiACwAIABcACIAZABpAG0AZQBuAHMAaQBvAG4AbABlAHMAcwBcACIALAAgAFwAIgBJAG4AcAB1AHQAXAAiADsAXABuACAAIAAgACAAIAAgACAAIAAgACAAXAAiAHIAXAAiACwAIABcACIAcgBhAGkAbgBmAGEAbABsACAAcgBlAGcAaQBvAG4AXAAiACwAIABcACIAZABpAG0AZQBuAHMAaQBvAG4AbABlAHM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2026-05-19T01:42:07Z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