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9E1666E-3A8A-4A45-A346-BF9CB18F1D4D}" xr6:coauthVersionLast="47" xr6:coauthVersionMax="47" xr10:uidLastSave="{00000000-0000-0000-0000-000000000000}"/>
  <bookViews>
    <workbookView xWindow="810" yWindow="735" windowWidth="36645" windowHeight="19350" firstSheet="1" activeTab="6"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5.2.1.1-2 Organic Fert N2O" sheetId="113" r:id="rId9"/>
    <sheet name="5.3.1.1-2 Lime CO2" sheetId="114" r:id="rId10"/>
    <sheet name="5.4.1.1-4 Atmos deposition" sheetId="115" r:id="rId11"/>
    <sheet name="5.5.1.1-2 Leaching and runoff" sheetId="116" r:id="rId12"/>
    <sheet name="Constants - Ag Residue" sheetId="110" r:id="rId13"/>
    <sheet name="Constants - Common" sheetId="111" r:id="rId14"/>
  </sheets>
  <externalReferences>
    <externalReference r:id="rId15"/>
  </externalReferences>
  <definedNames>
    <definedName name="_Toc225350898" localSheetId="7">'6.2.1.1-2 Pasture residue N2O'!$C$1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_xlfn.LAMBDA("E=\sum_{c}{M_{c}\times EF_{N}\times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c","dimensionless","Constant";"R_BGc","below ground-residue to above ground residue ratio for crop c","dimensionless","Constant";"F_c","fraction of crop residue that is burnt for crop c","dimensionless","Input";"FFOD_c","fraction of the crop residue that is removed for crop c","dimensionless","Constant";"DM_c","dry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c","dimensionless","Constant";"R_BGc","below ground-residue to above ground residue ratio for crop c","dimensionless","Constant";"F_c","fraction of crop residue that is burnt for crop c","dimensionless","Input";"FFOD_c","fraction of the crop residue that is removed for crop c","dimensionless","Calculated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generated","dimensionless","Input";"M_B","mass of each bale","kg","Input";"P_c","annual production of crop c","kg","Input";"R_AGc","residue to crop ratio for crop c","dimensionless","Input";"c","Crop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_Equations_Leaching.VEERG_6_3_1_1__1__LeachingAndRunoffEmissionsCropAndPastureResidue">_xlfn.LAMBDA(_xlpm.Mleachcp,_xlpm.EFleach,_xlpm.CgN2O, _xlpm.Mleachcp * _xlpm.EFleach * _xlpm.CgN2O * 10 ^ (-3))</definedName>
    <definedName name="AgResidue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_Equations_Leaching.VEERG_6_3_1_1__1__LeachingAndRunoffEmissionsCropAndPastureResidue_LatexEquation">_xlfn.LAMBDA("E_{N2O}=\sum_{c}\sum_{p}(M_{leach,cp}\times EF_{leach}\times Cg_{N2O}\times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_xlfn.LAMBDA(_xlpm.Mcp,_xlpm.FracWETzir,_xlpm.FracLEACH, _xlpm.Mcp * _xlpm.FracWETzir * _xlpm.FracLEACH)</definedName>
    <definedName name="AgResidue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_Equations_Leaching.VEERG_6_3_1_1__2__MassOfNitrogenLostThroughLeachingAndRunoff_LatexEquation">_xlfn.LAMBDA("M_{leach,cp}=M_{cp}\times FracWET_{z,ir}\times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_xlfn.LAMBDA("Mleachcp")</definedName>
    <definedName name="AgResidue_Equations_Leaching.VEERG_6_3_1_1__2__MassOfNitrogenLostThroughLeachingAndRunoff_Variation">_xlfn.LAMBDA("VARIATION FROM SOURCE: Added criteria for leaching zone z and irrigation type ir. Removed production system criteria j.")</definedName>
    <definedName name="AgResidue_Equations_PastureResidue.VEERG_6_2_1_1__1__NitrousOxideEmissionsFromPastureResidues">_xlfn.LAMBDA(_xlpm.Mp,_xlpm.EFNi,_xlpm.CN2O, _xlpm.Mp * _xlpm.EFNi * _xlpm.CN2O * 10 ^ (-3))</definedName>
    <definedName name="AgResidue_Equations_PastureResidue.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_Equations_PastureResidue.VEERG_6_2_1_1__1__NitrousOxideEmissionsFromPastureResidues_LatexEquation">_xlfn.LAMBDA("E_{N2O}=\sum_{p}\left(M_p\times EF_{Ni}\times C_{N2O}\times{10}^{-3}\right)")</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_xlfn.LAMBDA(_xlpm.Ap,_xlpm.Yp,_xlpm.FFODp,_xlpm.NCAGp,_xlpm.RBGp,_xlpm.NCBGp, (_xlpm.Ap * (_xlpm.Yp * 10 ^ (-3)) * (1 - _xlpm.FFODp) * _xlpm.NCAGp) + (_xlpm.Ap * (_xlpm.Yp * 10 ^ (-3)) * _xlpm.RBGp * _xlpm.NCBGp))</definedName>
    <definedName name="AgResidue_Equations_PastureResidue.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74" l="1"/>
  <c r="J38" i="74"/>
  <c r="J37" i="74" a="1"/>
  <c r="J37" i="74" s="1"/>
  <c r="J40" i="74"/>
  <c r="J21" i="74"/>
  <c r="J20" i="74" a="1"/>
  <c r="J20" i="74" s="1"/>
  <c r="J19" i="74" a="1"/>
  <c r="J19" i="74" s="1"/>
  <c r="J18" i="74" a="1"/>
  <c r="J18" i="74" s="1"/>
  <c r="J17" i="74" a="1"/>
  <c r="J17" i="74" s="1"/>
  <c r="J16" i="74"/>
  <c r="J15" i="74"/>
  <c r="E19" i="120" a="1"/>
  <c r="E19" i="120" s="1"/>
  <c r="E20" i="120" s="1"/>
  <c r="F48" i="74" a="1"/>
  <c r="F48" i="74" s="1"/>
  <c r="D45" i="74" a="1"/>
  <c r="D45" i="74" s="1"/>
  <c r="F43" i="74" a="1"/>
  <c r="F43" i="74" s="1"/>
  <c r="J39" i="74"/>
  <c r="D36" i="74" a="1"/>
  <c r="D36" i="74" s="1"/>
  <c r="E34" i="74"/>
  <c r="E34" i="74" a="1"/>
  <c r="E33" i="74" a="1"/>
  <c r="E33" i="74" s="1"/>
  <c r="D29" i="74"/>
  <c r="D29" i="74" a="1"/>
  <c r="D28" i="74" a="1"/>
  <c r="D28" i="74" s="1"/>
  <c r="D27" i="74" a="1"/>
  <c r="D27" i="74" s="1"/>
  <c r="F23" i="74" a="1"/>
  <c r="F23" i="74" s="1"/>
  <c r="D15" i="74" a="1"/>
  <c r="D15" i="74" s="1"/>
  <c r="E13" i="74" a="1"/>
  <c r="E13" i="74" s="1"/>
  <c r="E12" i="74" a="1"/>
  <c r="E12" i="74" s="1"/>
  <c r="D7" i="74" a="1"/>
  <c r="D7" i="74" s="1"/>
  <c r="D6" i="74"/>
  <c r="D6" i="74" a="1"/>
  <c r="D5" i="74" a="1"/>
  <c r="D5" i="74" s="1"/>
  <c r="I46" i="110" a="1"/>
  <c r="I46" i="110" s="1"/>
  <c r="H46" i="110" a="1"/>
  <c r="H46" i="110" s="1"/>
  <c r="G46" i="110" a="1"/>
  <c r="G46" i="110" s="1"/>
  <c r="F46" i="110" a="1"/>
  <c r="F46" i="110" s="1"/>
  <c r="E46" i="110" a="1"/>
  <c r="E46" i="110" s="1"/>
  <c r="D46" i="110" a="1"/>
  <c r="D46" i="110" s="1"/>
  <c r="I45" i="110" a="1"/>
  <c r="I45" i="110" s="1"/>
  <c r="H45" i="110" a="1"/>
  <c r="H45" i="110" s="1"/>
  <c r="G45" i="110" a="1"/>
  <c r="G45" i="110" s="1"/>
  <c r="F45" i="110" a="1"/>
  <c r="F45" i="110" s="1"/>
  <c r="E45" i="110" a="1"/>
  <c r="E45" i="110" s="1"/>
  <c r="D45" i="110" a="1"/>
  <c r="D45" i="110" s="1"/>
  <c r="I44" i="110" a="1"/>
  <c r="I44" i="110" s="1"/>
  <c r="H44" i="110" a="1"/>
  <c r="H44" i="110" s="1"/>
  <c r="G44" i="110" a="1"/>
  <c r="G44" i="110" s="1"/>
  <c r="F44" i="110" a="1"/>
  <c r="F44" i="110" s="1"/>
  <c r="E44" i="110" a="1"/>
  <c r="E44" i="110" s="1"/>
  <c r="D44" i="110" a="1"/>
  <c r="D44" i="110" s="1"/>
  <c r="I43" i="110" a="1"/>
  <c r="I43" i="110" s="1"/>
  <c r="H43" i="110" a="1"/>
  <c r="H43" i="110" s="1"/>
  <c r="G43" i="110" a="1"/>
  <c r="G43" i="110" s="1"/>
  <c r="F43" i="110" a="1"/>
  <c r="F43" i="110" s="1"/>
  <c r="E43" i="110" a="1"/>
  <c r="E43" i="110" s="1"/>
  <c r="D43" i="110" a="1"/>
  <c r="D43" i="110" s="1"/>
  <c r="I42" i="110" a="1"/>
  <c r="I42" i="110" s="1"/>
  <c r="H42" i="110" a="1"/>
  <c r="H42" i="110" s="1"/>
  <c r="G42" i="110" a="1"/>
  <c r="G42" i="110" s="1"/>
  <c r="F42" i="110" a="1"/>
  <c r="F42" i="110" s="1"/>
  <c r="E42" i="110" a="1"/>
  <c r="E42" i="110" s="1"/>
  <c r="D42" i="110" a="1"/>
  <c r="D42" i="110" s="1"/>
  <c r="D39" i="110" a="1"/>
  <c r="D39" i="110" s="1"/>
  <c r="D38" i="110" a="1"/>
  <c r="D38" i="110" s="1"/>
  <c r="P48" i="69" a="1"/>
  <c r="P48" i="69" s="1"/>
  <c r="M48" i="69" a="1"/>
  <c r="M48" i="69" s="1"/>
  <c r="I16" i="69"/>
  <c r="I13" i="69"/>
  <c r="O82" i="69" a="1"/>
  <c r="O82" i="69" s="1"/>
  <c r="M79" i="69" a="1"/>
  <c r="M79" i="69" s="1"/>
  <c r="R74" i="69"/>
  <c r="P71" i="69" a="1"/>
  <c r="P71" i="69" s="1"/>
  <c r="M71" i="69" a="1"/>
  <c r="M71" i="69" s="1"/>
  <c r="N69" i="69" a="1"/>
  <c r="N69" i="69" s="1"/>
  <c r="N68" i="69" a="1"/>
  <c r="N68" i="69" s="1"/>
  <c r="M64" i="69" a="1"/>
  <c r="M64" i="69" s="1"/>
  <c r="M63" i="69" a="1"/>
  <c r="M63" i="69" s="1"/>
  <c r="N46" i="69"/>
  <c r="N46" i="69" a="1"/>
  <c r="N45" i="69" a="1"/>
  <c r="N45" i="69" s="1"/>
  <c r="M41" i="69" a="1"/>
  <c r="M41" i="69" s="1"/>
  <c r="M40" i="69" a="1"/>
  <c r="M40" i="69" s="1"/>
  <c r="E35" i="110" a="1"/>
  <c r="E35" i="110" s="1"/>
  <c r="D35" i="110" a="1"/>
  <c r="D35" i="110" s="1"/>
  <c r="E34" i="110" a="1"/>
  <c r="E34" i="110" s="1"/>
  <c r="D34" i="110" a="1"/>
  <c r="D34" i="110" s="1"/>
  <c r="D31" i="110" a="1"/>
  <c r="D31" i="110" s="1"/>
  <c r="D30" i="110" a="1"/>
  <c r="D30" i="110" s="1"/>
  <c r="M25" i="69" a="1"/>
  <c r="M25" i="69" s="1"/>
  <c r="G36" i="69" a="1"/>
  <c r="G36" i="69" s="1"/>
  <c r="G13" i="69" a="1"/>
  <c r="G13" i="69" s="1"/>
  <c r="Q33" i="69" a="1"/>
  <c r="Q33" i="69" s="1"/>
  <c r="S34" i="69"/>
  <c r="Q17" i="69"/>
  <c r="Q16" i="69"/>
  <c r="O15" i="69" a="1"/>
  <c r="O15" i="69" s="1"/>
  <c r="M33" i="69" a="1"/>
  <c r="M33" i="69" s="1"/>
  <c r="M15" i="69" a="1"/>
  <c r="M15" i="69" s="1"/>
  <c r="D36" i="69" a="1"/>
  <c r="D36" i="69" s="1"/>
  <c r="D13" i="69" a="1"/>
  <c r="D13" i="69" s="1"/>
  <c r="E34" i="69" a="1"/>
  <c r="E34" i="69" s="1"/>
  <c r="F42" i="69" s="1"/>
  <c r="E33" i="69" a="1"/>
  <c r="E33" i="69" s="1"/>
  <c r="N31" i="69" a="1"/>
  <c r="N31" i="69" s="1"/>
  <c r="N30" i="69" a="1"/>
  <c r="N30" i="69" s="1"/>
  <c r="D29" i="69" a="1"/>
  <c r="D29" i="69" s="1"/>
  <c r="D28" i="69" a="1"/>
  <c r="D28" i="69" s="1"/>
  <c r="M26" i="69" a="1"/>
  <c r="M26" i="69" s="1"/>
  <c r="M24" i="69" a="1"/>
  <c r="M24" i="69" s="1"/>
  <c r="N13" i="69" a="1"/>
  <c r="N13" i="69" s="1"/>
  <c r="N12" i="69" a="1"/>
  <c r="N12" i="69" s="1"/>
  <c r="E11" i="69" a="1"/>
  <c r="E11" i="69" s="1"/>
  <c r="F24" i="69" s="1"/>
  <c r="E10" i="69" a="1"/>
  <c r="E10" i="69" s="1"/>
  <c r="M7" i="69" a="1"/>
  <c r="M7" i="69" s="1"/>
  <c r="M6" i="69" a="1"/>
  <c r="M6" i="69" s="1"/>
  <c r="D6" i="69" a="1"/>
  <c r="D6" i="69" s="1"/>
  <c r="M5" i="69" a="1"/>
  <c r="M5" i="69" s="1"/>
  <c r="D5" i="69" a="1"/>
  <c r="D5" i="69" s="1"/>
  <c r="I21" i="69"/>
  <c r="F47" i="69" a="1"/>
  <c r="F47" i="69" s="1"/>
  <c r="D44" i="69" a="1"/>
  <c r="D44" i="69" s="1"/>
  <c r="I39" i="69"/>
  <c r="Q19" i="69"/>
  <c r="D30" i="70"/>
  <c r="F25" i="70"/>
  <c r="E25" i="70"/>
  <c r="F20" i="70"/>
  <c r="D20" i="70"/>
  <c r="L27" i="110" a="1"/>
  <c r="L27" i="110" s="1"/>
  <c r="K27" i="110" a="1"/>
  <c r="K27" i="110" s="1"/>
  <c r="J27" i="110"/>
  <c r="J27" i="110" a="1"/>
  <c r="I27" i="110" a="1"/>
  <c r="I27" i="110" s="1"/>
  <c r="H27" i="110" a="1"/>
  <c r="H27" i="110" s="1"/>
  <c r="G27" i="110" a="1"/>
  <c r="G27" i="110" s="1"/>
  <c r="F27" i="110" a="1"/>
  <c r="F27" i="110" s="1"/>
  <c r="E27" i="110" a="1"/>
  <c r="E27" i="110" s="1"/>
  <c r="D27" i="110" a="1"/>
  <c r="D27" i="110" s="1"/>
  <c r="L26" i="110"/>
  <c r="L26" i="110" a="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c r="I24" i="110" a="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c r="H21" i="110" a="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c r="E19" i="110" a="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c r="D16" i="110" a="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E21" i="70" s="1" a="1"/>
  <c r="E21" i="70" s="1"/>
  <c r="E22" i="70" s="1"/>
  <c r="E23" i="7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c r="E201" i="110" a="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c r="D183" i="110" a="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c r="E152" i="110" a="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c r="F145" i="110" a="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c r="E139" i="110" a="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c r="D123" i="110" a="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F92" i="110" a="1"/>
  <c r="F92" i="110" s="1"/>
  <c r="E92" i="110" a="1"/>
  <c r="E92" i="110" s="1"/>
  <c r="D92" i="110" a="1"/>
  <c r="D92" i="110" s="1"/>
  <c r="F91" i="110" a="1"/>
  <c r="F91" i="110" s="1"/>
  <c r="E91" i="110" a="1"/>
  <c r="E91" i="110" s="1"/>
  <c r="D91" i="110" a="1"/>
  <c r="D91" i="110" s="1"/>
  <c r="F90" i="110" a="1"/>
  <c r="F90" i="110" s="1"/>
  <c r="E90" i="110" a="1"/>
  <c r="E90" i="110" s="1"/>
  <c r="D90" i="110" a="1"/>
  <c r="D90"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F73" i="110" a="1"/>
  <c r="F73" i="110" s="1"/>
  <c r="E73" i="110" a="1"/>
  <c r="E73" i="110" s="1"/>
  <c r="D73" i="110" a="1"/>
  <c r="D73" i="110" s="1"/>
  <c r="F72" i="110" a="1"/>
  <c r="F72" i="110" s="1"/>
  <c r="E72" i="110" a="1"/>
  <c r="E72" i="110" s="1"/>
  <c r="D72" i="110" a="1"/>
  <c r="D72" i="110" s="1"/>
  <c r="D70" i="110" a="1"/>
  <c r="D70" i="110" s="1"/>
  <c r="F68" i="110" a="1"/>
  <c r="F68" i="110" s="1"/>
  <c r="E68" i="110" a="1"/>
  <c r="E68" i="110" s="1"/>
  <c r="D68" i="110" a="1"/>
  <c r="D68" i="110"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F62" i="110" a="1"/>
  <c r="F62" i="110" s="1"/>
  <c r="E62" i="110" a="1"/>
  <c r="E62" i="110" s="1"/>
  <c r="D62" i="110" a="1"/>
  <c r="D62" i="110" s="1"/>
  <c r="F61" i="110" a="1"/>
  <c r="F61" i="110" s="1"/>
  <c r="E61" i="110" a="1"/>
  <c r="E61" i="110" s="1"/>
  <c r="D61" i="110" a="1"/>
  <c r="D61" i="110" s="1"/>
  <c r="F60" i="110" a="1"/>
  <c r="F60" i="110" s="1"/>
  <c r="E60" i="110" a="1"/>
  <c r="E60" i="110" s="1"/>
  <c r="D60" i="110" a="1"/>
  <c r="D60" i="110" s="1"/>
  <c r="F59" i="110" a="1"/>
  <c r="F59" i="110" s="1"/>
  <c r="E59" i="110" a="1"/>
  <c r="E59" i="110" s="1"/>
  <c r="D59" i="110" a="1"/>
  <c r="D59" i="110" s="1"/>
  <c r="F58" i="110" a="1"/>
  <c r="F58" i="110" s="1"/>
  <c r="E58" i="110" a="1"/>
  <c r="E58" i="110" s="1"/>
  <c r="D58" i="110" a="1"/>
  <c r="D58" i="110" s="1"/>
  <c r="F57" i="110" a="1"/>
  <c r="F57" i="110" s="1"/>
  <c r="E57" i="110" a="1"/>
  <c r="E57" i="110" s="1"/>
  <c r="D57" i="110" a="1"/>
  <c r="D57" i="110" s="1"/>
  <c r="F56" i="110" a="1"/>
  <c r="F56" i="110" s="1"/>
  <c r="E56" i="110" a="1"/>
  <c r="E56" i="110" s="1"/>
  <c r="D56" i="110" a="1"/>
  <c r="D56" i="110" s="1"/>
  <c r="F55" i="110" a="1"/>
  <c r="F55" i="110" s="1"/>
  <c r="E55" i="110" a="1"/>
  <c r="E55" i="110" s="1"/>
  <c r="D55" i="110" a="1"/>
  <c r="D55" i="110" s="1"/>
  <c r="F54" i="110" a="1"/>
  <c r="F54" i="110" s="1"/>
  <c r="E54" i="110" a="1"/>
  <c r="E54" i="110" s="1"/>
  <c r="D54" i="110" a="1"/>
  <c r="D54" i="110" s="1"/>
  <c r="F53" i="110" a="1"/>
  <c r="F53" i="110" s="1"/>
  <c r="E53" i="110" a="1"/>
  <c r="E53" i="110" s="1"/>
  <c r="D53" i="110" a="1"/>
  <c r="D53" i="110" s="1"/>
  <c r="D50" i="110" a="1"/>
  <c r="D50" i="110" s="1"/>
  <c r="D49" i="110" a="1"/>
  <c r="D49" i="110" s="1"/>
  <c r="D7" i="110" a="1"/>
  <c r="D7" i="110" s="1"/>
  <c r="D6" i="110" a="1"/>
  <c r="D6" i="110" s="1"/>
  <c r="D5" i="110" a="1"/>
  <c r="D5" i="110" s="1"/>
  <c r="E8" i="74" a="1"/>
  <c r="E30" i="74" a="1"/>
  <c r="N42" i="69" a="1"/>
  <c r="N65" i="69" a="1"/>
  <c r="E7" i="69" a="1"/>
  <c r="N8" i="69" a="1"/>
  <c r="E30" i="69" a="1"/>
  <c r="E30" i="74" l="1"/>
  <c r="E8" i="74"/>
  <c r="I15" i="69" a="1"/>
  <c r="I15" i="69" s="1"/>
  <c r="O77" i="69"/>
  <c r="E23" i="74" a="1"/>
  <c r="E23" i="74" s="1"/>
  <c r="J36" i="74" s="1"/>
  <c r="E43" i="74" s="1" a="1"/>
  <c r="E43" i="74" s="1"/>
  <c r="G45" i="74" s="1"/>
  <c r="E48" i="74" s="1" a="1"/>
  <c r="E48" i="74" s="1"/>
  <c r="O59" i="69"/>
  <c r="I14" i="69"/>
  <c r="Q18" i="69"/>
  <c r="N65" i="69"/>
  <c r="N42" i="69"/>
  <c r="I19" i="69" a="1"/>
  <c r="I19" i="69" s="1"/>
  <c r="I18" i="69" a="1"/>
  <c r="I18" i="69" s="1"/>
  <c r="I20" i="69" a="1"/>
  <c r="I20" i="69" s="1"/>
  <c r="E30" i="69"/>
  <c r="N8" i="69"/>
  <c r="E7" i="69"/>
  <c r="E30" i="70"/>
  <c r="E44" i="70" s="1"/>
  <c r="E36" i="70" l="1"/>
  <c r="E35" i="70" s="1"/>
  <c r="Q15" i="69" s="1"/>
  <c r="N21" i="69" s="1" a="1"/>
  <c r="N21" i="69" s="1"/>
  <c r="S33" i="69" s="1"/>
  <c r="N36" i="69" s="1" a="1"/>
  <c r="N36" i="69" s="1"/>
  <c r="R52" i="69" s="1"/>
  <c r="E40" i="70"/>
  <c r="N59" i="69" l="1" a="1"/>
  <c r="N59" i="69" s="1"/>
  <c r="R71" i="69" s="1"/>
  <c r="E46" i="70"/>
  <c r="A21" i="118" l="1"/>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8" i="116" a="1"/>
  <c r="F98" i="116" s="1"/>
  <c r="D95" i="116" a="1"/>
  <c r="D95" i="116" s="1"/>
  <c r="H88" i="116" a="1"/>
  <c r="H88" i="116" s="1"/>
  <c r="D88" i="116" a="1"/>
  <c r="D88" i="116" s="1"/>
  <c r="E86" i="116" a="1"/>
  <c r="E86" i="116" s="1"/>
  <c r="F93" i="116" s="1"/>
  <c r="E85" i="116" a="1"/>
  <c r="E85" i="116" s="1"/>
  <c r="D81" i="116" a="1"/>
  <c r="D81" i="116" s="1"/>
  <c r="D80" i="116" a="1"/>
  <c r="D80" i="116" s="1"/>
  <c r="D74" i="116"/>
  <c r="D73" i="116"/>
  <c r="D72" i="116"/>
  <c r="D71" i="116"/>
  <c r="D70" i="116"/>
  <c r="D69" i="116"/>
  <c r="D68" i="116"/>
  <c r="D67" i="116"/>
  <c r="D66" i="116"/>
  <c r="G54" i="116" a="1"/>
  <c r="G54" i="116" s="1"/>
  <c r="D54" i="116" a="1"/>
  <c r="D54" i="116" s="1"/>
  <c r="E52" i="116" a="1"/>
  <c r="E52" i="116" s="1"/>
  <c r="F76" i="116" s="1"/>
  <c r="E51" i="116" a="1"/>
  <c r="E51" i="116" s="1"/>
  <c r="D47" i="116" a="1"/>
  <c r="D47" i="116" s="1"/>
  <c r="D46" i="116" a="1"/>
  <c r="D46" i="116" s="1"/>
  <c r="I59" i="116"/>
  <c r="I58" i="116"/>
  <c r="I57" i="116"/>
  <c r="I54" i="116" a="1"/>
  <c r="I54" i="116" s="1"/>
  <c r="I13" i="116" a="1"/>
  <c r="I13" i="116" s="1"/>
  <c r="J90" i="116"/>
  <c r="I15" i="116"/>
  <c r="I125" i="115"/>
  <c r="J51" i="115"/>
  <c r="I17" i="116"/>
  <c r="I18" i="116"/>
  <c r="I16" i="116"/>
  <c r="E82" i="116" a="1"/>
  <c r="E48" i="116" a="1"/>
  <c r="E7" i="116" a="1"/>
  <c r="I56" i="116" l="1"/>
  <c r="E82" i="116"/>
  <c r="E48" i="116"/>
  <c r="E7" i="116"/>
  <c r="G13" i="116" l="1" a="1"/>
  <c r="G13" i="116" s="1"/>
  <c r="D13" i="116" a="1"/>
  <c r="D13" i="116" s="1"/>
  <c r="E11" i="116" a="1"/>
  <c r="E11" i="116" s="1"/>
  <c r="E10" i="116" a="1"/>
  <c r="E10" i="116" s="1"/>
  <c r="D6" i="116" a="1"/>
  <c r="D6" i="116" s="1"/>
  <c r="D5" i="116" a="1"/>
  <c r="D5" i="116" s="1"/>
  <c r="A78" i="116"/>
  <c r="A44" i="116"/>
  <c r="F149" i="115" a="1"/>
  <c r="F149" i="115" s="1"/>
  <c r="D146" i="115" a="1"/>
  <c r="D146" i="115" s="1"/>
  <c r="D132" i="115" a="1"/>
  <c r="D132" i="115" s="1"/>
  <c r="I122" i="115" a="1"/>
  <c r="I122" i="115" s="1"/>
  <c r="I126" i="115"/>
  <c r="G122" i="115" a="1"/>
  <c r="G122" i="115" s="1"/>
  <c r="D122" i="115" a="1"/>
  <c r="D122" i="115" s="1"/>
  <c r="E120" i="115" a="1"/>
  <c r="E120" i="115" s="1"/>
  <c r="F144" i="115" s="1"/>
  <c r="E119" i="115" a="1"/>
  <c r="E119" i="115" s="1"/>
  <c r="D115" i="115" a="1"/>
  <c r="D115" i="115" s="1"/>
  <c r="D114" i="115" a="1"/>
  <c r="D114" i="115" s="1"/>
  <c r="I95" i="115"/>
  <c r="I94" i="115" a="1"/>
  <c r="I94" i="115" s="1"/>
  <c r="E109" i="115"/>
  <c r="E105" i="115"/>
  <c r="D100" i="115" a="1"/>
  <c r="D100" i="115" s="1"/>
  <c r="G94" i="115" a="1"/>
  <c r="G94" i="115" s="1"/>
  <c r="D94" i="115" a="1"/>
  <c r="D94" i="115" s="1"/>
  <c r="E92" i="115" a="1"/>
  <c r="E92" i="115" s="1"/>
  <c r="G100" i="115" s="1"/>
  <c r="E91" i="115" a="1"/>
  <c r="E91" i="115" s="1"/>
  <c r="D87" i="115" a="1"/>
  <c r="D87" i="115" s="1"/>
  <c r="D86" i="115" a="1"/>
  <c r="D86" i="115" s="1"/>
  <c r="F82" i="115" a="1"/>
  <c r="F82" i="115" s="1"/>
  <c r="D79" i="115" a="1"/>
  <c r="D79" i="115" s="1"/>
  <c r="J52" i="115"/>
  <c r="J48" i="115" a="1"/>
  <c r="J48" i="115" s="1"/>
  <c r="H48" i="115" a="1"/>
  <c r="H48" i="115" s="1"/>
  <c r="D48" i="115" a="1"/>
  <c r="D48" i="115" s="1"/>
  <c r="E46" i="115" a="1"/>
  <c r="E46" i="115" s="1"/>
  <c r="G58" i="115" s="1"/>
  <c r="E45" i="115" a="1"/>
  <c r="E45" i="115" s="1"/>
  <c r="D41" i="115" a="1"/>
  <c r="D41" i="115" s="1"/>
  <c r="D40" i="115" a="1"/>
  <c r="D40"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I15" i="114"/>
  <c r="G25" i="114" a="1"/>
  <c r="G25" i="114" s="1"/>
  <c r="F25" i="114" a="1"/>
  <c r="F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E259" i="111" a="1"/>
  <c r="E259" i="111" s="1"/>
  <c r="D259" i="111" a="1"/>
  <c r="D259" i="111" s="1"/>
  <c r="E258" i="111" a="1"/>
  <c r="E258" i="111" s="1"/>
  <c r="D258" i="111" a="1"/>
  <c r="D258" i="111" s="1"/>
  <c r="D256" i="111" a="1"/>
  <c r="D256" i="111" s="1"/>
  <c r="D255" i="111" a="1"/>
  <c r="D255" i="111" s="1"/>
  <c r="D254" i="111" a="1"/>
  <c r="D254" i="111" s="1"/>
  <c r="D253" i="111" a="1"/>
  <c r="D253" i="111"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H20" i="113" a="1"/>
  <c r="H20" i="113" s="1"/>
  <c r="E20" i="113" a="1"/>
  <c r="E20" i="113" s="1"/>
  <c r="D20" i="113" a="1"/>
  <c r="I30" i="113" a="1"/>
  <c r="I30" i="113" s="1"/>
  <c r="I29" i="113" a="1"/>
  <c r="I29" i="113" s="1"/>
  <c r="E73" i="116" s="1"/>
  <c r="I28" i="113" a="1"/>
  <c r="I28" i="113" s="1"/>
  <c r="E72" i="116" s="1"/>
  <c r="I27" i="113" a="1"/>
  <c r="I27" i="113" s="1"/>
  <c r="E71" i="116" s="1"/>
  <c r="I26" i="113" a="1"/>
  <c r="I26" i="113" s="1"/>
  <c r="E70" i="116" s="1"/>
  <c r="I25" i="113" a="1"/>
  <c r="I25" i="113" s="1"/>
  <c r="E69" i="116" s="1"/>
  <c r="I24" i="113" a="1"/>
  <c r="I24" i="113" s="1"/>
  <c r="E68" i="116" s="1"/>
  <c r="I23" i="113" a="1"/>
  <c r="I23" i="113" s="1"/>
  <c r="I22" i="113" a="1"/>
  <c r="I22" i="113" s="1"/>
  <c r="E7" i="115" a="1"/>
  <c r="E42" i="115" a="1"/>
  <c r="E116" i="115" a="1"/>
  <c r="E38" i="113" a="1"/>
  <c r="E88" i="115" a="1"/>
  <c r="E7" i="113" a="1"/>
  <c r="E7" i="114" a="1"/>
  <c r="E106" i="115" l="1"/>
  <c r="E107" i="115"/>
  <c r="E103" i="115"/>
  <c r="E67" i="116"/>
  <c r="E108" i="115"/>
  <c r="F109" i="115" a="1"/>
  <c r="F109" i="115" s="1"/>
  <c r="E141" i="115" s="1"/>
  <c r="E102" i="115"/>
  <c r="E66" i="116"/>
  <c r="E110" i="115"/>
  <c r="E74" i="116"/>
  <c r="G20" i="113" a="1"/>
  <c r="G20" i="113" s="1"/>
  <c r="I20" i="113" s="1" a="1"/>
  <c r="I20" i="113" s="1"/>
  <c r="E64" i="116" s="1"/>
  <c r="D20" i="113"/>
  <c r="D64" i="116" s="1"/>
  <c r="D65" i="116"/>
  <c r="F42" i="116"/>
  <c r="F110" i="115" a="1"/>
  <c r="F110" i="115" s="1"/>
  <c r="E142" i="115" s="1"/>
  <c r="F102" i="115" a="1"/>
  <c r="F102" i="115" s="1"/>
  <c r="E134" i="115" s="1"/>
  <c r="F103" i="115" a="1"/>
  <c r="F103" i="115" s="1"/>
  <c r="E135" i="115" s="1"/>
  <c r="F105" i="115" a="1"/>
  <c r="F105" i="115" s="1"/>
  <c r="E137" i="115" s="1"/>
  <c r="F106" i="115" a="1"/>
  <c r="F106" i="115" s="1"/>
  <c r="E138" i="115" s="1"/>
  <c r="F107" i="115" a="1"/>
  <c r="F107" i="115" s="1"/>
  <c r="E139" i="115" s="1"/>
  <c r="F108" i="115" a="1"/>
  <c r="F108" i="115" s="1"/>
  <c r="E140" i="115" s="1"/>
  <c r="E104" i="115"/>
  <c r="F104" i="115" s="1" a="1"/>
  <c r="F104" i="115" s="1"/>
  <c r="E136" i="115" s="1"/>
  <c r="F77" i="115"/>
  <c r="E116" i="115"/>
  <c r="E88" i="115"/>
  <c r="E42" i="115"/>
  <c r="E7" i="115"/>
  <c r="E7" i="114"/>
  <c r="I16" i="114"/>
  <c r="I19" i="114"/>
  <c r="I18" i="114"/>
  <c r="F20" i="113" a="1"/>
  <c r="F20" i="113" s="1"/>
  <c r="E38" i="113"/>
  <c r="E7" i="113"/>
  <c r="I21" i="113" l="1" a="1"/>
  <c r="I21" i="113" s="1"/>
  <c r="E65" i="116" s="1"/>
  <c r="E100" i="115"/>
  <c r="F100" i="115" s="1" a="1"/>
  <c r="F100" i="115" s="1"/>
  <c r="E132" i="115" s="1"/>
  <c r="E32" i="113"/>
  <c r="K44" i="113" s="1"/>
  <c r="E101" i="115" l="1"/>
  <c r="F101" i="115" s="1" a="1"/>
  <c r="F101" i="115" s="1"/>
  <c r="E133" i="115" s="1"/>
  <c r="G13" i="113" a="1"/>
  <c r="G13" i="113" s="1"/>
  <c r="D13" i="113" a="1"/>
  <c r="E11" i="113" a="1"/>
  <c r="E11" i="113" s="1"/>
  <c r="F32" i="113" s="1"/>
  <c r="E10" i="113" a="1"/>
  <c r="E10" i="113" s="1"/>
  <c r="D6" i="113" a="1"/>
  <c r="D6" i="113" s="1"/>
  <c r="D5" i="113" a="1"/>
  <c r="D5" i="113" s="1"/>
  <c r="D13" i="113" l="1"/>
  <c r="S250" i="111" l="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I22" i="69" s="1" a="1"/>
  <c r="I22" i="69" s="1"/>
  <c r="I17" i="69" s="1" a="1"/>
  <c r="I17" i="69" s="1"/>
  <c r="E24" i="69" s="1" a="1"/>
  <c r="E24" i="69" s="1"/>
  <c r="I36" i="69" s="1"/>
  <c r="D7" i="111" a="1"/>
  <c r="D7" i="111" s="1"/>
  <c r="D5" i="111" a="1"/>
  <c r="D5" i="111" s="1"/>
  <c r="E25" i="114" a="1"/>
  <c r="I123" i="115" l="1"/>
  <c r="J49" i="115"/>
  <c r="P80" i="69"/>
  <c r="G45" i="69"/>
  <c r="G96" i="116"/>
  <c r="R73" i="69"/>
  <c r="J91" i="116"/>
  <c r="I55" i="116" a="1"/>
  <c r="I55" i="116" s="1"/>
  <c r="I14" i="116" a="1"/>
  <c r="I14" i="116" s="1"/>
  <c r="G147" i="115"/>
  <c r="G80" i="115"/>
  <c r="E25" i="114"/>
  <c r="G53" i="113"/>
  <c r="E33" i="15"/>
  <c r="E30" i="15"/>
  <c r="H50" i="111"/>
  <c r="I38" i="69" s="1"/>
  <c r="H51" i="111"/>
  <c r="H49" i="111"/>
  <c r="H53" i="111"/>
  <c r="H48" i="111"/>
  <c r="H54" i="111"/>
  <c r="H52" i="111"/>
  <c r="F73" i="116" l="1" a="1"/>
  <c r="F73" i="116" s="1"/>
  <c r="F68" i="116" a="1"/>
  <c r="F68" i="116" s="1"/>
  <c r="F69" i="116" a="1"/>
  <c r="F69" i="116" s="1"/>
  <c r="F72" i="116" a="1"/>
  <c r="F72" i="116" s="1"/>
  <c r="F71" i="116" a="1"/>
  <c r="F71" i="116" s="1"/>
  <c r="F70" i="116" a="1"/>
  <c r="F70" i="116" s="1"/>
  <c r="F66" i="116" a="1"/>
  <c r="F66" i="116" s="1"/>
  <c r="F67" i="116" a="1"/>
  <c r="F67" i="116" s="1"/>
  <c r="F74" i="116" a="1"/>
  <c r="F74" i="116" s="1"/>
  <c r="F64" i="116" a="1"/>
  <c r="F64" i="116" s="1"/>
  <c r="E76" i="116" s="1"/>
  <c r="J89" i="116" s="1"/>
  <c r="F65" i="116" a="1"/>
  <c r="F65" i="116" s="1"/>
  <c r="I124" i="115"/>
  <c r="J50" i="115"/>
  <c r="J53" i="115"/>
  <c r="I127" i="115"/>
  <c r="I20" i="114"/>
  <c r="K46" i="113"/>
  <c r="F142" i="115" l="1" a="1"/>
  <c r="F142" i="115" s="1"/>
  <c r="F134" i="115" a="1"/>
  <c r="F134" i="115" s="1"/>
  <c r="F135" i="115" a="1"/>
  <c r="F135" i="115" s="1"/>
  <c r="F137" i="115" a="1"/>
  <c r="F137" i="115" s="1"/>
  <c r="F140" i="115" a="1"/>
  <c r="F140" i="115" s="1"/>
  <c r="F138" i="115" a="1"/>
  <c r="F138" i="115" s="1"/>
  <c r="F139" i="115" a="1"/>
  <c r="F139" i="115" s="1"/>
  <c r="F141" i="115" a="1"/>
  <c r="F141" i="115" s="1"/>
  <c r="F136" i="115" a="1"/>
  <c r="F136" i="115" s="1"/>
  <c r="F132" i="115" a="1"/>
  <c r="F132" i="115" s="1"/>
  <c r="F133" i="115" a="1"/>
  <c r="F133" i="115" s="1"/>
  <c r="H29" i="114" a="1"/>
  <c r="H29" i="114" s="1"/>
  <c r="H27" i="114" a="1"/>
  <c r="H27" i="114" s="1"/>
  <c r="H28" i="114" a="1"/>
  <c r="H28" i="114" s="1"/>
  <c r="H26" i="114" a="1"/>
  <c r="H26" i="114" s="1"/>
  <c r="H25" i="114" a="1"/>
  <c r="H25" i="114" s="1"/>
  <c r="E144" i="115" l="1"/>
  <c r="G146" i="115" s="1"/>
  <c r="E149" i="115" s="1" a="1"/>
  <c r="E149" i="115" s="1"/>
  <c r="H13" i="13" s="1"/>
  <c r="I13" i="13" s="1"/>
  <c r="E31" i="114"/>
  <c r="E13" i="13" l="1"/>
  <c r="F13" i="13" s="1"/>
  <c r="H12" i="13"/>
  <c r="I12" i="13" s="1"/>
  <c r="E12" i="13"/>
  <c r="F12" i="13" s="1"/>
  <c r="D23" i="116" l="1" a="1"/>
  <c r="D23" i="116" s="1"/>
  <c r="D58" i="115" a="1"/>
  <c r="D58" i="115" s="1"/>
  <c r="D19" i="115" a="1"/>
  <c r="A21" i="13"/>
  <c r="D19" i="115" l="1"/>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A8" i="13"/>
  <c r="A5" i="13"/>
  <c r="A3" i="13"/>
  <c r="E24" i="116" l="1"/>
  <c r="F24" i="116" s="1" a="1"/>
  <c r="F24" i="116" s="1"/>
  <c r="E31" i="116"/>
  <c r="F31" i="116" s="1" a="1"/>
  <c r="F31" i="116" s="1"/>
  <c r="E28" i="116"/>
  <c r="F28" i="116" s="1" a="1"/>
  <c r="F28" i="116" s="1"/>
  <c r="E36" i="116"/>
  <c r="F36" i="116" s="1" a="1"/>
  <c r="F36" i="116" s="1"/>
  <c r="E30" i="116"/>
  <c r="F30" i="116" s="1" a="1"/>
  <c r="F30" i="116" s="1"/>
  <c r="E38" i="116"/>
  <c r="F38" i="116" s="1" a="1"/>
  <c r="F38" i="116" s="1"/>
  <c r="E26" i="116"/>
  <c r="F26" i="116" s="1" a="1"/>
  <c r="F26" i="116" s="1"/>
  <c r="E33" i="116"/>
  <c r="F33" i="116" s="1" a="1"/>
  <c r="F33" i="116" s="1"/>
  <c r="E32" i="116"/>
  <c r="F32" i="116" s="1" a="1"/>
  <c r="F32" i="116" s="1"/>
  <c r="E23" i="116"/>
  <c r="F23" i="116" s="1" a="1"/>
  <c r="F23" i="116" s="1"/>
  <c r="E25" i="116"/>
  <c r="F25" i="116" s="1" a="1"/>
  <c r="F25" i="116" s="1"/>
  <c r="E27" i="116"/>
  <c r="F27" i="116" s="1" a="1"/>
  <c r="F27" i="116" s="1"/>
  <c r="E39" i="116"/>
  <c r="F39" i="116" s="1" a="1"/>
  <c r="F39" i="116" s="1"/>
  <c r="E29" i="116"/>
  <c r="F29" i="116" s="1" a="1"/>
  <c r="F29" i="116" s="1"/>
  <c r="E40" i="116"/>
  <c r="F40" i="116" s="1" a="1"/>
  <c r="F40" i="116" s="1"/>
  <c r="E34" i="116"/>
  <c r="F34" i="116" s="1" a="1"/>
  <c r="F34" i="116" s="1"/>
  <c r="E35" i="116"/>
  <c r="F35" i="116" s="1" a="1"/>
  <c r="F35" i="116" s="1"/>
  <c r="E37" i="116"/>
  <c r="F37" i="116" s="1" a="1"/>
  <c r="F37" i="116" s="1"/>
  <c r="E42" i="116" l="1"/>
  <c r="J88" i="116" s="1"/>
  <c r="E93" i="116" s="1" a="1"/>
  <c r="E93" i="116" s="1"/>
  <c r="E29" i="115"/>
  <c r="H29" i="115" s="1" a="1"/>
  <c r="H29" i="115" s="1"/>
  <c r="E68" i="115" s="1"/>
  <c r="F68" i="115" s="1" a="1"/>
  <c r="F68" i="115" s="1"/>
  <c r="E22" i="115"/>
  <c r="H22" i="115" s="1" a="1"/>
  <c r="H22" i="115" s="1"/>
  <c r="E61" i="115" s="1"/>
  <c r="F61" i="115" s="1" a="1"/>
  <c r="F61" i="115" s="1"/>
  <c r="E25" i="115"/>
  <c r="H25" i="115" s="1" a="1"/>
  <c r="H25" i="115" s="1"/>
  <c r="E64" i="115" s="1"/>
  <c r="F64" i="115" s="1" a="1"/>
  <c r="F64" i="115" s="1"/>
  <c r="E34" i="115"/>
  <c r="H34" i="115" s="1" a="1"/>
  <c r="H34" i="115" s="1"/>
  <c r="E73" i="115" s="1"/>
  <c r="F73" i="115" s="1" a="1"/>
  <c r="F73" i="115" s="1"/>
  <c r="E26" i="115"/>
  <c r="H26" i="115" s="1" a="1"/>
  <c r="H26" i="115" s="1"/>
  <c r="E65" i="115" s="1"/>
  <c r="F65" i="115" s="1" a="1"/>
  <c r="F65" i="115" s="1"/>
  <c r="E24" i="115"/>
  <c r="H24" i="115" s="1" a="1"/>
  <c r="H24" i="115" s="1"/>
  <c r="E63" i="115" s="1"/>
  <c r="F63" i="115" s="1" a="1"/>
  <c r="F63" i="115" s="1"/>
  <c r="E35" i="115"/>
  <c r="H35" i="115" s="1" a="1"/>
  <c r="H35" i="115" s="1"/>
  <c r="E74" i="115" s="1"/>
  <c r="F74" i="115" s="1" a="1"/>
  <c r="F74" i="115" s="1"/>
  <c r="E23" i="115"/>
  <c r="H23" i="115" s="1" a="1"/>
  <c r="H23" i="115" s="1"/>
  <c r="E62" i="115" s="1"/>
  <c r="F62" i="115" s="1" a="1"/>
  <c r="F62" i="115" s="1"/>
  <c r="E21" i="115"/>
  <c r="H21" i="115" s="1" a="1"/>
  <c r="H21" i="115" s="1"/>
  <c r="E60" i="115" s="1"/>
  <c r="F60" i="115" s="1" a="1"/>
  <c r="F60" i="115" s="1"/>
  <c r="E19" i="115"/>
  <c r="H19" i="115" s="1" a="1"/>
  <c r="H19" i="115" s="1"/>
  <c r="E58" i="115" s="1"/>
  <c r="F58" i="115" s="1" a="1"/>
  <c r="F58" i="115" s="1"/>
  <c r="E27" i="115"/>
  <c r="H27" i="115" s="1" a="1"/>
  <c r="H27" i="115" s="1"/>
  <c r="E66" i="115" s="1"/>
  <c r="F66" i="115" s="1" a="1"/>
  <c r="F66" i="115" s="1"/>
  <c r="E30" i="115"/>
  <c r="H30" i="115" s="1" a="1"/>
  <c r="H30" i="115" s="1"/>
  <c r="E69" i="115" s="1"/>
  <c r="F69" i="115" s="1" a="1"/>
  <c r="F69" i="115" s="1"/>
  <c r="E28" i="115"/>
  <c r="H28" i="115" s="1" a="1"/>
  <c r="H28" i="115" s="1"/>
  <c r="E67" i="115" s="1"/>
  <c r="F67" i="115" s="1" a="1"/>
  <c r="F67" i="115" s="1"/>
  <c r="E33" i="115"/>
  <c r="H33" i="115" s="1" a="1"/>
  <c r="H33" i="115" s="1"/>
  <c r="E72" i="115" s="1"/>
  <c r="F72" i="115" s="1" a="1"/>
  <c r="F72" i="115" s="1"/>
  <c r="E32" i="115"/>
  <c r="H32" i="115" s="1" a="1"/>
  <c r="H32" i="115" s="1"/>
  <c r="E71" i="115" s="1"/>
  <c r="F71" i="115" s="1" a="1"/>
  <c r="F71" i="115" s="1"/>
  <c r="E31" i="115"/>
  <c r="H31" i="115" s="1" a="1"/>
  <c r="H31" i="115" s="1"/>
  <c r="E70" i="115" s="1"/>
  <c r="F70" i="115" s="1" a="1"/>
  <c r="F70" i="115" s="1"/>
  <c r="E36" i="115"/>
  <c r="H36" i="115" s="1" a="1"/>
  <c r="H36" i="115" s="1"/>
  <c r="E75" i="115" s="1"/>
  <c r="F75" i="115" s="1" a="1"/>
  <c r="F75" i="115" s="1"/>
  <c r="E20" i="115"/>
  <c r="H20" i="115" s="1" a="1"/>
  <c r="H20" i="115" s="1"/>
  <c r="E59" i="115" s="1"/>
  <c r="F59" i="115" s="1" a="1"/>
  <c r="F59" i="115" s="1"/>
  <c r="H10" i="13" l="1"/>
  <c r="I10" i="13" s="1"/>
  <c r="E10" i="13"/>
  <c r="F10" i="13" s="1"/>
  <c r="E14" i="13"/>
  <c r="F14" i="13" s="1"/>
  <c r="G95" i="116"/>
  <c r="E98" i="116" s="1" a="1"/>
  <c r="E98" i="116" s="1"/>
  <c r="H14" i="13" s="1"/>
  <c r="I14" i="13" s="1"/>
  <c r="E77" i="115"/>
  <c r="G79" i="115" s="1"/>
  <c r="E82" i="115" s="1" a="1"/>
  <c r="E82" i="115" s="1"/>
  <c r="E29" i="15" l="1"/>
  <c r="E31" i="15" s="1"/>
  <c r="E32" i="15" s="1"/>
  <c r="K48" i="113" l="1"/>
  <c r="K45" i="113" s="1" a="1"/>
  <c r="K45" i="113" s="1"/>
  <c r="E50" i="113" s="1" a="1"/>
  <c r="E50" i="113" s="1"/>
  <c r="E11" i="13" s="1"/>
  <c r="F11" i="13" s="1"/>
  <c r="I40" i="69"/>
  <c r="I37" i="69" s="1" a="1"/>
  <c r="I37" i="69" s="1"/>
  <c r="E42" i="69" s="1" a="1"/>
  <c r="E42" i="69" s="1"/>
  <c r="G44" i="69" s="1"/>
  <c r="E47" i="69" s="1" a="1"/>
  <c r="E47" i="69" s="1"/>
  <c r="R75" i="69"/>
  <c r="R72" i="69" s="1" a="1"/>
  <c r="R72" i="69" s="1"/>
  <c r="N77" i="69" s="1" a="1"/>
  <c r="N77" i="69" s="1"/>
  <c r="P79" i="69" s="1"/>
  <c r="N82" i="69" s="1" a="1"/>
  <c r="N82" i="69" s="1"/>
  <c r="E13" i="15"/>
  <c r="G52" i="113" l="1"/>
  <c r="E55" i="113" s="1" a="1"/>
  <c r="E55" i="113" s="1"/>
  <c r="H11" i="13" s="1"/>
  <c r="I11" i="13" s="1"/>
  <c r="H9" i="13"/>
  <c r="E9" i="13"/>
  <c r="H15" i="13" l="1"/>
  <c r="I9" i="13"/>
  <c r="I15" i="13" s="1"/>
  <c r="F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<sst xmlns="http://schemas.openxmlformats.org/spreadsheetml/2006/main" count="427" uniqueCount="268">
  <si>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</si>
  <si>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</si>
  <si>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</si>
  <si>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</si>
  <si>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</si>
  <si>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</si>
  <si>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</si>
  <si>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</si>
  <si>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</si>
  <si>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</si>
  <si>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</si>
  <si>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</si>
  <si>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</si>
  <si>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</si>
  <si>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</si>
  <si>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</si>
  <si>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</si>
  <si>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</si>
  <si>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</si>
  <si>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</si>
  <si>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</si>
  <si>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</si>
  <si>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</si>
  <si>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</si>
  <si>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</si>
  <si>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</si>
  <si>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</si>
  <si>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</si>
  <si>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</si>
  <si>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</si>
  <si>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</si>
  <si>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</si>
  <si>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</si>
  <si>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</si>
  <si>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</si>
  <si>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</si>
  <si>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</si>
  <si>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</si>
  <si>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</si>
  <si>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</si>
  <si>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</si>
  <si>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</si>
  <si>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</si>
  <si>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</si>
  <si>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</si>
  <si>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</si>
  <si>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</si>
  <si>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</si>
  <si>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</si>
  <si>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</si>
  <si>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</si>
  <si>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</si>
  <si>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</si>
  <si>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</si>
  <si>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</si>
  <si>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</si>
  <si>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</si>
  <si>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</si>
  <si>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</si>
  <si>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</si>
  <si>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</si>
  <si>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</si>
  <si>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</si>
  <si>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</si>
  <si>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</si>
  <si>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</si>
  <si>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</si>
  <si>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</si>
  <si>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</si>
  <si>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</si>
  <si>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</si>
  <si>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</si>
  <si>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</si>
  <si>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</si>
  <si>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</si>
  <si>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</si>
  <si>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</si>
  <si>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</si>
  <si>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</si>
  <si>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</si>
  <si>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</si>
  <si>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</si>
  <si>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</si>
  <si>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</si>
  <si>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</si>
  <si>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</si>
  <si>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</si>
  <si>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</si>
  <si>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</si>
  <si>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</si>
  <si>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</si>
  <si>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</si>
  <si>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</si>
  <si>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</si>
  <si>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</si>
  <si>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</si>
  <si>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</si>
  <si>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</si>
  <si>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</si>
  <si>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</si>
  <si>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</si>
  <si>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</si>
  <si>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</si>
  <si>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</si>
  <si>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</si>
  <si>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</si>
  <si>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</si>
  <si>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</si>
  <si>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Basis</t>
  </si>
  <si>
    <t>Fertiliser type f</t>
  </si>
  <si>
    <t>Sprinkler irrigation</t>
  </si>
  <si>
    <t>Application area (ha)</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</si>
  <si>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</si>
  <si>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</si>
  <si>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</si>
  <si>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</si>
  <si>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</si>
  <si>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</si>
  <si>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</si>
  <si>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</si>
  <si>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</si>
  <si>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</si>
  <si>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</si>
  <si>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5.2.1.1 1-2 Organic fertiliser application N2O emissions</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</si>
  <si>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</si>
  <si>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</si>
  <si>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</si>
  <si>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</si>
  <si>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</si>
  <si>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</si>
  <si>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</si>
  <si>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</si>
  <si>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</si>
  <si>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</si>
  <si>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</si>
  <si>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</si>
  <si>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</si>
  <si>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</si>
  <si>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</si>
  <si>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</si>
  <si>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</si>
  <si>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</si>
  <si>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</si>
  <si>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</si>
  <si>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</si>
  <si>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</si>
  <si>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</si>
  <si>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</si>
  <si>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</si>
  <si>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</si>
  <si>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</si>
  <si>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</si>
  <si>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</si>
  <si>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</si>
  <si>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</si>
  <si>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</si>
  <si>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</si>
  <si>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</si>
  <si>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</si>
  <si>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</si>
  <si>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</si>
  <si>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</si>
  <si>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</si>
  <si>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</si>
  <si>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</si>
  <si>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</si>
  <si>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</si>
  <si>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</si>
  <si>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</si>
  <si>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</si>
  <si>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</si>
  <si>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</si>
  <si>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</si>
  <si>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</si>
  <si>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</si>
  <si>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</si>
  <si>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</si>
  <si>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</si>
  <si>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</si>
  <si>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</si>
  <si>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</si>
  <si>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</si>
  <si>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</si>
  <si>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</si>
  <si>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</si>
  <si>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</si>
  <si>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</si>
  <si>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</si>
  <si>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</si>
  <si>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</si>
  <si>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</si>
  <si>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</si>
  <si>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Cash crop for hay/silage</t>
  </si>
  <si>
    <t>Hectares</t>
  </si>
  <si>
    <t>Yield</t>
  </si>
  <si>
    <t>💡 'Harvest index' is the ratio of harvested product weight to the total above-ground plant biomass.</t>
  </si>
  <si>
    <t xml:space="preserve">       A default value is provided based on crop type. You can edit this if known.</t>
  </si>
  <si>
    <t>Residue:crop ratio</t>
  </si>
  <si>
    <t>Whole plant above ground biomass</t>
  </si>
  <si>
    <t>Tonnes per hectare</t>
  </si>
  <si>
    <t>Crop residue biomass</t>
  </si>
  <si>
    <t>Total production of crop</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</si>
  <si>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</si>
  <si>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</si>
  <si>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</si>
  <si>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</si>
  <si>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</si>
  <si>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</si>
  <si>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</si>
  <si>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</si>
  <si>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</si>
  <si>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</si>
  <si>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</si>
  <si>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</si>
  <si>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</si>
  <si>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</si>
  <si>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</si>
  <si>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</si>
  <si>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</si>
  <si>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</si>
  <si>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</si>
  <si>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</si>
  <si>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</si>
  <si>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</si>
  <si>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</si>
  <si>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</si>
  <si>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</si>
  <si>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</si>
  <si>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</si>
  <si>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</si>
  <si>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</si>
  <si>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</si>
  <si>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</si>
  <si>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</si>
  <si>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</si>
  <si>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</si>
  <si>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t>grain</t>
  </si>
  <si>
    <t>yield</t>
  </si>
  <si>
    <t>harvest</t>
  </si>
  <si>
    <t>above ground biomass</t>
  </si>
  <si>
    <t>plant biomass</t>
  </si>
  <si>
    <t>Cover crop</t>
  </si>
  <si>
    <t>mass</t>
  </si>
  <si>
    <t>end of crop cycle</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</si>
  <si>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</si>
  <si>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</si>
  <si>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</si>
  <si>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</si>
  <si>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</si>
  <si>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</si>
  <si>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</si>
  <si>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</si>
  <si>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</si>
  <si>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</si>
  <si>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</si>
  <si>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</si>
  <si>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</si>
  <si>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</si>
  <si>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Annual grass</t>
  </si>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</sst>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0" tint="-0.499984740745262"/>
      </top>
      <bottom/>
      <diagonal/>
    </border>
    <border>
      <left/>
      <right/>
      <top/>
      <bottom style="thin">
        <color indexed="64"/>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1" fillId="4" borderId="2">
      <alignment horizontal="left" vertical="center"/>
    </xf>
    <xf numFmtId="0" fontId="35" fillId="4" borderId="2">
      <alignment horizontal="left" vertical="center"/>
    </xf>
    <xf numFmtId="0" fontId="63" fillId="0" borderId="0"/>
  </cellStyleXfs>
  <cellXfs count="15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1" fillId="4" borderId="2" xfId="67">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0" xfId="8" applyBorder="1">
      <alignment horizontal="left" vertical="center"/>
    </xf>
    <xf numFmtId="0" fontId="63"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5" fillId="2" borderId="0" xfId="9" applyAlignment="1">
      <alignment horizontal="center" vertical="center" wrapText="1"/>
    </xf>
    <xf numFmtId="0" fontId="40" fillId="4" borderId="21"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170" fontId="8" fillId="4" borderId="0" xfId="10" applyNumberFormat="1">
      <alignment horizontal="center" vertical="center"/>
    </xf>
    <xf numFmtId="0" fontId="64"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5" fillId="13" borderId="9" xfId="41" quotePrefix="1" applyBorder="1">
      <alignment horizontal="left" vertical="center"/>
    </xf>
    <xf numFmtId="3" fontId="35" fillId="4" borderId="2" xfId="43">
      <alignment horizontal="center" vertical="center"/>
    </xf>
    <xf numFmtId="0" fontId="0" fillId="0" borderId="0" xfId="0" quotePrefix="1"/>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6.1.1.1-2 Crop residue N2O'!#REF!">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 </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6.1.1.1-2 Crop residue N2O'!#REF!">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 </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6.1.1.1-2 Crop residue N2O'!#REF!">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 </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6.1.1.1-2 Crop residue N2O'!#REF!">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 </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6.1.1.1-2 Crop residue N2O'!#REF!">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 </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6.2.1.1-2 Pasture residue N2O'!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6.2.1.1-2 Pasture residue N2O'!D40">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i</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6">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0">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4">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6">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0">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111860" cy="410753"/>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mc:Choice xmlns:a14="http://schemas.microsoft.com/office/drawing/2010/main"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mc:Choice xmlns:a14="http://schemas.microsoft.com/office/drawing/2010/main"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mc:Choice xmlns:a14="http://schemas.microsoft.com/office/drawing/2010/main"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9525</xdr:colOff>
      <xdr:row>30</xdr:row>
      <xdr:rowOff>57150</xdr:rowOff>
    </xdr:from>
    <xdr:ext cx="2609850" cy="429348"/>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86050" y="7620000"/>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86050" y="7620000"/>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oneCellAnchor>
    <xdr:from>
      <xdr:col>3</xdr:col>
      <xdr:colOff>0</xdr:colOff>
      <xdr:row>9</xdr:row>
      <xdr:rowOff>0</xdr:rowOff>
    </xdr:from>
    <xdr:ext cx="5445786" cy="194412"/>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76525" y="2362200"/>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76525" y="2362200"/>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42</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𝐸_(𝑎𝑑,𝑖𝑛𝑜𝑟𝑔𝑎𝑛𝑖𝑐)=∑10_𝑗▒∑10_𝑓▒((𝑀_(𝑣𝑜𝑙,𝑖𝑛𝑜𝑟𝑔𝑎𝑛𝑖𝑐,𝑗𝑓)×𝐸𝐹_(𝑁2𝑂,𝑗)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88</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48</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𝑀_(𝑙𝑒𝑎𝑐ℎ,𝑜𝑟𝑔𝑎𝑛𝑖𝑐,𝑗)=∑10_𝑓▒(𝑀𝑁𝑆𝑜𝑖𝑙_𝑗𝑓×𝐹𝑟𝑎𝑐_(𝑊𝐸𝑇,𝑗)×𝐹𝑟𝑎𝑐_𝐿𝐸𝐴𝐶𝐻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82</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𝐸_(𝑓𝑒𝑟𝑡,𝑙𝑒𝑎𝑐ℎ)=∑8_𝑗▒((𝑀_(𝑙𝑒𝑎𝑐ℎ,𝑖𝑛𝑜𝑟𝑔𝑎𝑛𝑖𝑐,𝑗)+𝑀_(𝑙𝑒𝑎𝑐ℎ,𝑜𝑟𝑔𝑎𝑛𝑖𝑐,𝑗)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Old\GAF2-Template-WIP-v30.xlsx" TargetMode="External"/><Relationship Id="rId1" Type="http://schemas.openxmlformats.org/officeDocument/2006/relationships/externalLinkPath" Target="Old/GAF2-Template-WIP-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 MMS - Feedlot"/>
      <sheetName val="Calcs - CH4 MMS Feedlot"/>
      <sheetName val="Input - MMS - Poultry"/>
      <sheetName val="Calcs - CH4 MMS Poultry"/>
      <sheetName val="Input - Herd - Swine"/>
      <sheetName val="Input - MMS - Swine"/>
      <sheetName val="Calcs - CH4 MMS Swine"/>
      <sheetName val="Tab template"/>
      <sheetName val="Results"/>
      <sheetName val="Input - Site"/>
      <sheetName val="Input - Production"/>
      <sheetName val="Input - Herd - Dairy"/>
      <sheetName val="Input - Feed - Dairy"/>
      <sheetName val="Input - Herd - Feedlot"/>
      <sheetName val="Input - Grains"/>
      <sheetName val="Input - Pasture"/>
      <sheetName val="Input - Fert Lime Chem"/>
      <sheetName val="Input - Fuel &amp; Energy"/>
      <sheetName val="Input - Other Farm Inputs"/>
      <sheetName val="Input - Aquaculture"/>
      <sheetName val="Input - Data Quality"/>
      <sheetName val="Input - LULUCF"/>
      <sheetName val="Calcs - Fert Lime"/>
      <sheetName val="Calcs - Residue mgmt - Crop"/>
      <sheetName val="Calcs - Residue mgmt - Pasture"/>
      <sheetName val="Calcs - Field burning"/>
      <sheetName val="Calcs - Fuel"/>
      <sheetName val="Calcs - Electricity"/>
      <sheetName val="Calcs - Refrigerants"/>
      <sheetName val="Calcs - Scope 3"/>
      <sheetName val="Constants - Common"/>
      <sheetName val="Constants - Cropping"/>
      <sheetName val="Constants - Livestock"/>
      <sheetName val="Constants - Dairy"/>
      <sheetName val="Constants - Feedlot"/>
      <sheetName val="Sty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9">
          <cell r="E9" t="str">
            <v>Wheat</v>
          </cell>
        </row>
      </sheetData>
      <sheetData sheetId="15">
        <row r="9">
          <cell r="E9" t="str">
            <v>Annual grass</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9:L27" totalsRowShown="0">
  <autoFilter ref="D9:L2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Common_InputFunctions.Utility_DisplayArrayInTable(AgResidues_SourceData.CropAttributes_Data(),Table_SourceData_CropAttributes[[#Headers],[Crop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Common_InputFunctions.Utility_DisplayArrayInTable(AgResidues_SourceData.CropAttributes_Data(),Table_SourceData_CropAttributes[[#Headers],[Crop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Common_InputFunctions.Utility_DisplayArrayInTable(AgResidues_SourceData.CropAttributes_Data(),Table_SourceData_CropAttributes[[#Headers],[Crop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Common_InputFunctions.Utility_DisplayArrayInTable(AgResidues_SourceData.CropAttributes_Data(),Table_SourceData_CropAttributes[[#Headers],[Crop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Common_InputFunctions.Utility_DisplayArrayInTable(AgResidues_SourceData.CropAttributes_Data(),Table_SourceData_CropAttributes[[#Headers],[Crop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Common_InputFunctions.Utility_DisplayArrayInTable(AgResidues_SourceData.CropAttributes_Data(),Table_SourceData_CropAttributes[[#Headers],[Crop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Common_InputFunctions.Utility_DisplayArrayInTable(AgResidues_SourceData.CropAttributes_Data(),Table_SourceData_CropAttributes[[#Headers],[Crop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Common_InputFunctions.Utility_DisplayArrayInTable(AgResidues_SourceData.CropAttributes_Data(),Table_SourceData_CropAttributes[[#Headers],[Crop type]], -1)</calculatedColumnFormula>
    </tableColumn>
    <tableColumn id="9" xr3:uid="{40821647-085A-4F22-8E0F-4CAA40A363E6}" name="Fraction burnt">
      <calculatedColumnFormula array="1">Common_InputFunctions.Utility_DisplayArrayInTable(AgResidues_SourceData.CropAttributes_Data(),Table_SourceData_CropAttributes[[#Headers],[Crop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52:F68" totalsRowShown="0">
  <autoFilter ref="D52:F68"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Common_InputFunctions.Utility_DisplayArrayInTable(AgResidues_SourceData.CropFractionRemoved_Data(), Table76[[#Headers],[Crop type c]], 0)</calculatedColumnFormula>
    </tableColumn>
    <tableColumn id="2" xr3:uid="{3CAAA707-49F5-4EAC-B48E-E8DC1B8205E1}" name="State" dataDxfId="42">
      <calculatedColumnFormula array="1">Common_InputFunctions.Utility_DisplayArrayInTable(AgResidues_SourceData.CropFractionRemoved_Data(), Table76[[#Headers],[Crop type c]], 0)</calculatedColumnFormula>
    </tableColumn>
    <tableColumn id="3" xr3:uid="{BB1819D3-B175-4610-A8F6-4C85437820E5}" name="Fraction removed" dataDxfId="41">
      <calculatedColumnFormula array="1">Common_InputFunctions.Utility_DisplayArrayInTable(AgResidues_SourceData.CropFractionRemoved_Data(),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71:F214" totalsRowShown="0">
  <autoFilter ref="D71:F214"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Common_InputFunctions.Utility_DisplayArrayInTable(AgResidues_SourceData.CropFractionRemoved_CustomisedData(), Table77[[#Headers],[Crop type c]], 0)</calculatedColumnFormula>
    </tableColumn>
    <tableColumn id="2" xr3:uid="{8664DFEF-27FD-41CC-8EAA-DB47D755C823}" name="State" dataDxfId="40">
      <calculatedColumnFormula array="1">Common_InputFunctions.Utility_DisplayArrayInTable(AgResidues_SourceData.CropFractionRemoved_CustomisedData(), Table77[[#Headers],[Crop type c]], 0)</calculatedColumnFormula>
    </tableColumn>
    <tableColumn id="3" xr3:uid="{D6D9A758-CEA4-4B65-BD5F-735FB1C52F87}" name="Fraction removed" dataDxfId="39">
      <calculatedColumnFormula array="1">Common_InputFunctions.Utility_DisplayArrayInTable(AgResidues_SourceData.CropFractionRemoved_CustomisedData(),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33:E35" totalsRowShown="0" dataDxfId="36" dataCellStyle="Content bold">
  <autoFilter ref="D33:E35" xr:uid="{2270AB6D-D03A-4D71-95C0-00BA6BB02732}">
    <filterColumn colId="0" hiddenButton="1"/>
    <filterColumn colId="1" hiddenButton="1"/>
  </autoFilter>
  <tableColumns count="2">
    <tableColumn id="1" xr3:uid="{C1F5DE5C-442A-47C8-B53B-A669D141AC48}" name="Climate zone type i" dataDxfId="38"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37"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41:I46" totalsRowShown="0" dataDxfId="29" dataCellStyle="Content normal">
  <autoFilter ref="D41:I46" xr:uid="{F6AE5C0F-BD48-43B0-80A1-E554D23A8F67}"/>
  <tableColumns count="6">
    <tableColumn id="1" xr3:uid="{1838B418-F6EE-47A1-B9FC-0647B6C84134}" name="Pasture type" dataDxfId="35"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34"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33"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32"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31"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30"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6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6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6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6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6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5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4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18" Type="http://schemas.openxmlformats.org/officeDocument/2006/relationships/table" Target="../tables/table2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 Type="http://schemas.openxmlformats.org/officeDocument/2006/relationships/table" Target="../tables/table6.xml"/><Relationship Id="rId16" Type="http://schemas.openxmlformats.org/officeDocument/2006/relationships/table" Target="../tables/table20.xml"/><Relationship Id="rId1" Type="http://schemas.openxmlformats.org/officeDocument/2006/relationships/printerSettings" Target="../printerSettings/printerSettings3.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5" Type="http://schemas.openxmlformats.org/officeDocument/2006/relationships/table" Target="../tables/table1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C1" sqref="C1"/>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37" t="s">
        <v>183</v>
      </c>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row>
    <row r="2" spans="1:42" ht="20.100000000000001" customHeight="1" x14ac:dyDescent="0.25">
      <c r="A2" s="9"/>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9"/>
    </row>
    <row r="3" spans="1:42" ht="20.100000000000001" customHeight="1" x14ac:dyDescent="0.25">
      <c r="A3" s="17" t="str">
        <f>HYPERLINK("#'Home'!A1", "Home")</f>
        <v>Home</v>
      </c>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row>
    <row r="4" spans="1:42" ht="20.100000000000001" customHeight="1" x14ac:dyDescent="0.25">
      <c r="A4" s="107" t="str">
        <f>HYPERLINK("#'Overview'!A1", "Overview")</f>
        <v>Overview</v>
      </c>
    </row>
    <row r="5" spans="1:42" ht="20.100000000000001" customHeight="1" x14ac:dyDescent="0.25">
      <c r="A5" s="17" t="str">
        <f>HYPERLINK("#'Results'!A1", "Results")</f>
        <v>Results</v>
      </c>
      <c r="D5" s="104" t="s">
        <v>181</v>
      </c>
      <c r="E5" s="85"/>
      <c r="F5" s="85"/>
      <c r="G5" s="85"/>
      <c r="H5" s="85"/>
      <c r="I5" s="85"/>
      <c r="J5" s="85"/>
      <c r="K5" s="85"/>
      <c r="L5" s="85"/>
      <c r="M5" s="85"/>
      <c r="N5" s="85"/>
      <c r="O5" s="81"/>
    </row>
    <row r="6" spans="1:42" ht="20.100000000000001" customHeight="1" x14ac:dyDescent="0.25">
      <c r="A6" s="16"/>
      <c r="D6" s="141" t="s">
        <v>182</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179</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180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C2" sqref="C2"/>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37" t="s">
        <v>184</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7" t="str">
        <f>HYPERLINK("#'Results'!A1", "Results")</f>
        <v>Results</v>
      </c>
      <c r="C5" s="22"/>
      <c r="D5" s="26"/>
      <c r="E5" s="27"/>
      <c r="F5" s="27"/>
      <c r="G5" s="27"/>
      <c r="H5" s="24"/>
      <c r="I5" s="22"/>
      <c r="J5" s="22"/>
      <c r="K5" s="22"/>
    </row>
    <row r="6" spans="1:11" ht="20.100000000000001" customHeight="1" x14ac:dyDescent="0.25">
      <c r="A6" s="16"/>
      <c r="C6" s="22"/>
      <c r="D6" s="21" t="s">
        <v>178</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2" t="s">
        <v>82</v>
      </c>
      <c r="E8" s="102" t="s">
        <v>94</v>
      </c>
      <c r="F8" s="102" t="s">
        <v>95</v>
      </c>
      <c r="G8" s="102" t="s">
        <v>88</v>
      </c>
      <c r="H8" s="102" t="s">
        <v>96</v>
      </c>
      <c r="I8" s="102" t="s">
        <v>97</v>
      </c>
      <c r="J8" s="102" t="s">
        <v>89</v>
      </c>
      <c r="K8" s="22"/>
    </row>
    <row r="9" spans="1:11" ht="20.100000000000001" customHeight="1" x14ac:dyDescent="0.25">
      <c r="A9" s="17" t="str">
        <f>HYPERLINK("#'Input - Fertiliser'!A1", "Fertiliser")</f>
        <v>Fertiliser</v>
      </c>
      <c r="C9" s="22"/>
      <c r="D9" s="1" t="s">
        <v>172</v>
      </c>
      <c r="E9" s="136" t="str">
        <f>'6.1.1.1-2 Crop residue N2O'!$D$42</f>
        <v>EN2O</v>
      </c>
      <c r="F9" s="136">
        <f>'6.1.1.1-2 Crop residue N2O'!$N$88</f>
        <v>0</v>
      </c>
      <c r="G9" s="52" t="s">
        <v>100</v>
      </c>
      <c r="H9" s="100" t="str">
        <f>'6.1.1.1-2 Crop residue N2O'!D47</f>
        <v>ECO2e</v>
      </c>
      <c r="I9" s="100">
        <f>'6.1.1.1-2 Crop residue N2O'!N93</f>
        <v>0</v>
      </c>
      <c r="J9" s="52" t="s">
        <v>92</v>
      </c>
      <c r="K9" s="22"/>
    </row>
    <row r="10" spans="1:11" ht="20.100000000000001" customHeight="1" x14ac:dyDescent="0.25">
      <c r="A10" s="17"/>
      <c r="C10" s="22"/>
      <c r="D10" s="1" t="s">
        <v>173</v>
      </c>
      <c r="E10" s="136">
        <f>'6.2.1.1-2 Pasture residue N2O'!$E$77</f>
        <v>0</v>
      </c>
      <c r="F10" s="136">
        <f>E10</f>
        <v>0</v>
      </c>
      <c r="G10" s="52" t="s">
        <v>141</v>
      </c>
      <c r="H10" s="100">
        <f>'6.2.1.1-2 Pasture residue N2O'!$E$77</f>
        <v>0</v>
      </c>
      <c r="I10" s="100">
        <f>H10</f>
        <v>0</v>
      </c>
      <c r="J10" s="52" t="s">
        <v>92</v>
      </c>
      <c r="K10" s="22"/>
    </row>
    <row r="11" spans="1:11" ht="20.100000000000001" customHeight="1" x14ac:dyDescent="0.25">
      <c r="A11" s="19" t="s">
        <v>69</v>
      </c>
      <c r="C11" s="22"/>
      <c r="D11" s="1" t="s">
        <v>174</v>
      </c>
      <c r="E11" s="136" t="e">
        <f>'5.2.1.1-2 Organic Fert N2O'!$E$50</f>
        <v>#REF!</v>
      </c>
      <c r="F11" s="136" t="e">
        <f>E11</f>
        <v>#REF!</v>
      </c>
      <c r="G11" s="52" t="s">
        <v>100</v>
      </c>
      <c r="H11" s="100" t="e">
        <f>'5.2.1.1-2 Organic Fert N2O'!$E$55</f>
        <v>#REF!</v>
      </c>
      <c r="I11" s="100" t="e">
        <f>H11</f>
        <v>#REF!</v>
      </c>
      <c r="J11" s="52" t="s">
        <v>92</v>
      </c>
      <c r="K11" s="22"/>
    </row>
    <row r="12" spans="1:11" ht="20.100000000000001" customHeight="1" x14ac:dyDescent="0.25">
      <c r="A12" s="17" t="str">
        <f>HYPERLINK("#'5.1.1.1-2 Inorganic Fert N2O'!A1", "5.1.1.1-2 Inorganic Fert N2O")</f>
        <v>5.1.1.1-2 Inorganic Fert N2O</v>
      </c>
      <c r="C12" s="22"/>
      <c r="D12" s="1" t="s">
        <v>175</v>
      </c>
      <c r="E12" s="136" t="e">
        <f>'5.3.1.1-2 Lime CO2'!$E$31</f>
        <v>#REF!</v>
      </c>
      <c r="F12" s="136" t="e">
        <f>E12</f>
        <v>#REF!</v>
      </c>
      <c r="G12" s="52" t="s">
        <v>141</v>
      </c>
      <c r="H12" s="100" t="e">
        <f>'5.3.1.1-2 Lime CO2'!$E$31</f>
        <v>#REF!</v>
      </c>
      <c r="I12" s="100" t="e">
        <f>H12</f>
        <v>#REF!</v>
      </c>
      <c r="J12" s="52" t="s">
        <v>92</v>
      </c>
      <c r="K12" s="22"/>
    </row>
    <row r="13" spans="1:11" ht="20.100000000000001" customHeight="1" x14ac:dyDescent="0.25">
      <c r="A13" s="17" t="str">
        <f>HYPERLINK("#'5.1.1.3-4 Inorganic fert CO2'!A1", "5.1.1.3-4 Inorganic fert CO2")</f>
        <v>5.1.1.3-4 Inorganic fert CO2</v>
      </c>
      <c r="C13" s="22"/>
      <c r="D13" s="1" t="s">
        <v>176</v>
      </c>
      <c r="E13" s="136" t="e">
        <f>'5.4.1.1-4 Atmos deposition'!$E$144</f>
        <v>#REF!</v>
      </c>
      <c r="F13" s="136" t="e">
        <f>E13</f>
        <v>#REF!</v>
      </c>
      <c r="G13" s="52" t="s">
        <v>100</v>
      </c>
      <c r="H13" s="100" t="e">
        <f>'5.4.1.1-4 Atmos deposition'!$E$149</f>
        <v>#REF!</v>
      </c>
      <c r="I13" s="100" t="e">
        <f>H13</f>
        <v>#REF!</v>
      </c>
      <c r="J13" s="52" t="s">
        <v>92</v>
      </c>
      <c r="K13" s="22"/>
    </row>
    <row r="14" spans="1:11" ht="20.100000000000001" customHeight="1" x14ac:dyDescent="0.25">
      <c r="A14" s="17" t="str">
        <f>HYPERLINK("#'5.2.1.1-2 Organic Fert N2O'!A1", "5.2.1.1-2 Organic Fert N2O")</f>
        <v>5.2.1.1-2 Organic Fert N2O</v>
      </c>
      <c r="C14" s="22"/>
      <c r="D14" s="1" t="s">
        <v>177</v>
      </c>
      <c r="E14" s="136" t="e">
        <f>'5.5.1.1-2 Leaching and runoff'!$E$93</f>
        <v>#VALUE!</v>
      </c>
      <c r="F14" s="136" t="e">
        <f>E14</f>
        <v>#VALUE!</v>
      </c>
      <c r="G14" s="52" t="s">
        <v>100</v>
      </c>
      <c r="H14" s="100" t="e">
        <f>'5.5.1.1-2 Leaching and runoff'!$E$98</f>
        <v>#VALUE!</v>
      </c>
      <c r="I14" s="100" t="e">
        <f>H14</f>
        <v>#VALUE!</v>
      </c>
      <c r="J14" s="52" t="s">
        <v>92</v>
      </c>
      <c r="K14" s="22"/>
    </row>
    <row r="15" spans="1:11" ht="20.100000000000001" customHeight="1" x14ac:dyDescent="0.3">
      <c r="A15" s="17" t="str">
        <f>HYPERLINK("#'5.3.1.1-2 Lime CO2'!A1", "5.3.1.1-2 Lime CO2")</f>
        <v>5.3.1.1-2 Lime CO2</v>
      </c>
      <c r="C15" s="22"/>
      <c r="D15" s="29" t="s">
        <v>87</v>
      </c>
      <c r="E15" s="23"/>
      <c r="F15" s="23"/>
      <c r="G15" s="29"/>
      <c r="H15" s="101" t="e">
        <f>SUM(H9:H14)</f>
        <v>#REF!</v>
      </c>
      <c r="I15" s="101" t="e">
        <f>SUM(I9:I14)</f>
        <v>#REF!</v>
      </c>
      <c r="J15" s="97" t="s">
        <v>92</v>
      </c>
      <c r="K15" s="22"/>
    </row>
    <row r="16" spans="1:11" ht="20.100000000000001" customHeight="1" x14ac:dyDescent="0.25">
      <c r="A16" s="17" t="str">
        <f>HYPERLINK("#'5.4.1.1-4 Atmos deposition'!A1", "5.4.1.1-4 Atmos deposition")</f>
        <v>5.4.1.1-4 Atmos deposition</v>
      </c>
      <c r="C16" s="22"/>
      <c r="D16" s="98"/>
      <c r="E16" s="98"/>
      <c r="F16" s="98"/>
      <c r="G16" s="98"/>
      <c r="H16" s="98"/>
      <c r="I16" s="98"/>
      <c r="J16" s="98"/>
      <c r="K16" s="22"/>
    </row>
    <row r="17" spans="1:11" ht="20.100000000000001" customHeight="1" x14ac:dyDescent="0.25">
      <c r="A17" s="17" t="str">
        <f>HYPERLINK("#'5.5.1.1-2 Leaching and runoff'!A1", "5.5.1.1-2 Leaching and runoff")</f>
        <v>5.5.1.1-2 Leaching and runoff</v>
      </c>
      <c r="C17" s="22"/>
      <c r="D17" s="98"/>
      <c r="E17" s="1"/>
      <c r="F17" s="1"/>
      <c r="G17" s="1"/>
      <c r="H17" s="1"/>
      <c r="I17" s="1"/>
      <c r="J17" s="22"/>
      <c r="K17" s="22"/>
    </row>
    <row r="18" spans="1:11" ht="20.100000000000001" customHeight="1" x14ac:dyDescent="0.25">
      <c r="C18" s="22"/>
      <c r="D18" s="105"/>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3"/>
      <c r="F21" s="52"/>
      <c r="G21" s="1"/>
      <c r="H21" s="1"/>
      <c r="I21" s="22"/>
      <c r="J21" s="22"/>
      <c r="K21" s="22"/>
    </row>
    <row r="22" spans="1:11" ht="20.100000000000001" customHeight="1" x14ac:dyDescent="0.25">
      <c r="C22" s="22"/>
      <c r="D22" s="1"/>
      <c r="E22" s="103"/>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9"/>
      <c r="J38" s="99"/>
      <c r="K38" s="22"/>
    </row>
    <row r="39" spans="3:11" ht="20.100000000000001" customHeight="1" x14ac:dyDescent="0.25">
      <c r="C39" s="22"/>
      <c r="D39" s="1"/>
      <c r="E39" s="1"/>
      <c r="F39" s="1"/>
      <c r="G39" s="1"/>
      <c r="H39" s="1"/>
      <c r="I39" s="99"/>
      <c r="J39" s="99"/>
      <c r="K39" s="22"/>
    </row>
    <row r="40" spans="3:11" ht="20.100000000000001" customHeight="1" x14ac:dyDescent="0.25">
      <c r="C40" s="22"/>
      <c r="D40" s="1"/>
      <c r="E40" s="1"/>
      <c r="F40" s="1"/>
      <c r="G40" s="1"/>
      <c r="H40" s="1"/>
      <c r="I40" s="99"/>
      <c r="J40" s="99"/>
      <c r="K40" s="22"/>
    </row>
    <row r="41" spans="3:11" ht="20.100000000000001" customHeight="1" x14ac:dyDescent="0.25">
      <c r="C41" s="22"/>
      <c r="D41" s="1"/>
      <c r="E41" s="1"/>
      <c r="F41" s="1"/>
      <c r="G41" s="1"/>
      <c r="H41" s="1"/>
      <c r="I41" s="99"/>
      <c r="J41" s="99"/>
      <c r="K41" s="22"/>
    </row>
    <row r="42" spans="3:11" ht="20.100000000000001" customHeight="1" x14ac:dyDescent="0.25">
      <c r="C42" s="22"/>
      <c r="D42" s="1"/>
      <c r="E42" s="1"/>
      <c r="F42" s="1"/>
      <c r="G42" s="1"/>
      <c r="H42" s="1"/>
      <c r="I42" s="99"/>
      <c r="J42" s="99"/>
      <c r="K42" s="22"/>
    </row>
    <row r="43" spans="3:11" ht="20.100000000000001" customHeight="1" x14ac:dyDescent="0.25">
      <c r="C43" s="22"/>
      <c r="D43" s="1"/>
      <c r="E43" s="1"/>
      <c r="F43" s="1"/>
      <c r="G43" s="1"/>
      <c r="H43" s="1"/>
      <c r="I43" s="99"/>
      <c r="J43" s="99"/>
      <c r="K43" s="22"/>
    </row>
    <row r="44" spans="3:11" ht="20.100000000000001" customHeight="1" x14ac:dyDescent="0.25">
      <c r="C44" s="22"/>
      <c r="D44" s="1"/>
      <c r="E44" s="1"/>
      <c r="F44" s="1"/>
      <c r="G44" s="1"/>
      <c r="H44" s="1"/>
      <c r="I44" s="99"/>
      <c r="J44" s="99"/>
      <c r="K44" s="22"/>
    </row>
    <row r="45" spans="3:11" ht="20.100000000000001" customHeight="1" x14ac:dyDescent="0.25">
      <c r="C45" s="22"/>
      <c r="D45" s="1"/>
      <c r="E45" s="1"/>
      <c r="F45" s="1"/>
      <c r="G45" s="1"/>
      <c r="H45" s="1"/>
      <c r="I45" s="99"/>
      <c r="J45" s="99"/>
      <c r="K45" s="22"/>
    </row>
    <row r="46" spans="3:11" ht="20.100000000000001" customHeight="1" x14ac:dyDescent="0.25">
      <c r="C46" s="22"/>
      <c r="D46" s="1"/>
      <c r="E46" s="1"/>
      <c r="F46" s="1"/>
      <c r="G46" s="1"/>
      <c r="H46" s="1"/>
      <c r="I46" s="99"/>
      <c r="J46" s="99"/>
      <c r="K46" s="22"/>
    </row>
    <row r="47" spans="3:11" ht="20.100000000000001" customHeight="1" x14ac:dyDescent="0.25">
      <c r="C47" s="22"/>
      <c r="D47" s="1"/>
      <c r="E47" s="1"/>
      <c r="F47" s="1"/>
      <c r="G47" s="1"/>
      <c r="H47" s="1"/>
      <c r="I47" s="99"/>
      <c r="J47" s="99"/>
      <c r="K47" s="22"/>
    </row>
    <row r="48" spans="3:11" ht="20.100000000000001" customHeight="1" x14ac:dyDescent="0.25">
      <c r="C48" s="22"/>
      <c r="D48" s="1"/>
      <c r="E48" s="1"/>
      <c r="F48" s="1"/>
      <c r="G48" s="1"/>
      <c r="H48" s="1"/>
      <c r="I48" s="99"/>
      <c r="J48" s="99"/>
      <c r="K48" s="22"/>
    </row>
    <row r="49" spans="3:11" ht="20.100000000000001" customHeight="1" x14ac:dyDescent="0.25">
      <c r="C49" s="22"/>
      <c r="D49" s="1"/>
      <c r="E49" s="1"/>
      <c r="F49" s="1"/>
      <c r="G49" s="1"/>
      <c r="H49" s="99"/>
      <c r="I49" s="99"/>
      <c r="J49" s="99"/>
      <c r="K49" s="22"/>
    </row>
    <row r="50" spans="3:11" ht="20.100000000000001" customHeight="1" x14ac:dyDescent="0.25">
      <c r="C50" s="22"/>
      <c r="D50" s="1"/>
      <c r="E50" s="1"/>
      <c r="F50" s="1"/>
      <c r="G50" s="1"/>
      <c r="H50" s="99"/>
      <c r="I50" s="99"/>
      <c r="J50" s="99"/>
      <c r="K50" s="22"/>
    </row>
    <row r="51" spans="3:11" ht="20.100000000000001" customHeight="1" x14ac:dyDescent="0.25">
      <c r="C51" s="22"/>
      <c r="D51" s="1"/>
      <c r="E51" s="1"/>
      <c r="F51" s="1"/>
      <c r="G51" s="1"/>
      <c r="H51" s="99"/>
      <c r="I51" s="99"/>
      <c r="J51" s="99"/>
      <c r="K51" s="22"/>
    </row>
    <row r="52" spans="3:11" ht="20.100000000000001" customHeight="1" x14ac:dyDescent="0.25">
      <c r="C52" s="22"/>
      <c r="D52" s="1"/>
      <c r="E52" s="1"/>
      <c r="F52" s="1"/>
      <c r="G52" s="1"/>
      <c r="H52" s="99"/>
      <c r="I52" s="99"/>
      <c r="J52" s="99"/>
      <c r="K52" s="22"/>
    </row>
    <row r="53" spans="3:11" ht="20.100000000000001" customHeight="1" x14ac:dyDescent="0.25">
      <c r="C53" s="22"/>
      <c r="D53" s="1"/>
      <c r="E53" s="1"/>
      <c r="F53" s="1"/>
      <c r="G53" s="1"/>
      <c r="H53" s="99"/>
      <c r="I53" s="99"/>
      <c r="J53" s="9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2"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6"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99</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361"/>
  <sheetViews>
    <sheetView showGridLines="0" zoomScale="85" zoomScaleNormal="85" workbookViewId="0">
      <selection activeCell="C3" sqref="C1:G3"/>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0" width="15.7109375" style="1" customWidth="1"/>
    <col min="21" max="21" width="4.7109375" style="1" customWidth="1"/>
    <col min="22" max="22" width="4.7109375" customWidth="1"/>
  </cols>
  <sheetData>
    <row r="1" spans="1:21" s="62" customFormat="1" ht="30" customHeight="1" x14ac:dyDescent="0.35">
      <c r="A1" s="62" t="e" vm="1">
        <v>#VALUE!</v>
      </c>
      <c r="C1" s="62" t="s">
        <v>186</v>
      </c>
    </row>
    <row r="2" spans="1:21" s="9" customFormat="1" ht="20.100000000000001" customHeight="1" x14ac:dyDescent="0.25"/>
    <row r="3" spans="1:21"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row>
    <row r="4" spans="1:21" ht="20.100000000000001" customHeight="1" x14ac:dyDescent="0.25">
      <c r="A4" s="17" t="str">
        <f>HYPERLINK("#'Overview'!A1", "Overview")</f>
        <v>Overview</v>
      </c>
    </row>
    <row r="5" spans="1:21" ht="20.100000000000001" customHeight="1" x14ac:dyDescent="0.25">
      <c r="A5" s="17" t="str">
        <f>HYPERLINK("#'Results'!A1", "Results")</f>
        <v>Results</v>
      </c>
      <c r="D5" s="6" t="s">
        <v>187</v>
      </c>
      <c r="H5"/>
      <c r="I5"/>
      <c r="J5"/>
      <c r="K5"/>
      <c r="L5"/>
      <c r="M5"/>
      <c r="N5"/>
      <c r="O5"/>
      <c r="P5"/>
    </row>
    <row r="6" spans="1:21" ht="20.100000000000001" customHeight="1" x14ac:dyDescent="0.25">
      <c r="A6" s="16"/>
      <c r="H6"/>
      <c r="I6"/>
      <c r="J6"/>
      <c r="K6"/>
      <c r="L6"/>
      <c r="M6"/>
      <c r="N6"/>
      <c r="O6"/>
      <c r="P6"/>
    </row>
    <row r="7" spans="1:21" ht="20.100000000000001" customHeight="1" x14ac:dyDescent="0.25">
      <c r="A7" s="20" t="s">
        <v>1</v>
      </c>
      <c r="D7" s="21" t="s">
        <v>188</v>
      </c>
      <c r="E7" s="21"/>
      <c r="F7" s="21"/>
      <c r="H7" s="147"/>
      <c r="I7"/>
      <c r="J7"/>
      <c r="K7"/>
      <c r="L7"/>
      <c r="M7"/>
      <c r="N7"/>
      <c r="O7"/>
      <c r="P7"/>
    </row>
    <row r="8" spans="1:21" ht="20.100000000000001" customHeight="1" x14ac:dyDescent="0.25">
      <c r="A8" s="17" t="str">
        <f>HYPERLINK("#'Input - Site'!A1", "Site")</f>
        <v>Site</v>
      </c>
      <c r="H8"/>
      <c r="I8"/>
      <c r="J8"/>
      <c r="K8"/>
      <c r="L8"/>
      <c r="M8"/>
      <c r="N8"/>
      <c r="O8"/>
      <c r="P8"/>
    </row>
    <row r="9" spans="1:21" ht="20.100000000000001" customHeight="1" x14ac:dyDescent="0.25">
      <c r="A9" s="106" t="str">
        <f>HYPERLINK("#'Input - Fertiliser'!A1", "Fertiliser")</f>
        <v>Fertiliser</v>
      </c>
      <c r="D9" s="1" t="s">
        <v>113</v>
      </c>
      <c r="E9" s="39" t="s">
        <v>189</v>
      </c>
      <c r="F9" s="2" t="s">
        <v>190</v>
      </c>
      <c r="H9"/>
      <c r="I9"/>
      <c r="J9"/>
      <c r="K9"/>
      <c r="L9"/>
      <c r="M9"/>
      <c r="N9"/>
      <c r="O9"/>
      <c r="P9"/>
    </row>
    <row r="10" spans="1:21" ht="20.100000000000001" customHeight="1" x14ac:dyDescent="0.25">
      <c r="A10" s="17"/>
      <c r="D10" s="1" t="s">
        <v>191</v>
      </c>
      <c r="E10" s="39" t="s">
        <v>241</v>
      </c>
      <c r="F10" s="2" t="s">
        <v>190</v>
      </c>
      <c r="H10"/>
      <c r="I10"/>
      <c r="J10" s="148" t="s">
        <v>230</v>
      </c>
      <c r="K10" s="148" t="s">
        <v>231</v>
      </c>
      <c r="L10" s="148" t="s">
        <v>232</v>
      </c>
      <c r="M10" s="148" t="s">
        <v>233</v>
      </c>
      <c r="N10" s="148" t="s">
        <v>234</v>
      </c>
      <c r="O10"/>
      <c r="P10"/>
    </row>
    <row r="11" spans="1:21" ht="20.100000000000001" customHeight="1" x14ac:dyDescent="0.25">
      <c r="A11" s="19" t="s">
        <v>69</v>
      </c>
      <c r="D11" s="10" t="s">
        <v>86</v>
      </c>
      <c r="E11" s="39" t="s">
        <v>110</v>
      </c>
      <c r="F11" s="2" t="s">
        <v>190</v>
      </c>
      <c r="H11"/>
      <c r="I11"/>
      <c r="J11" t="s">
        <v>235</v>
      </c>
      <c r="K11" t="s">
        <v>236</v>
      </c>
      <c r="L11" t="s">
        <v>237</v>
      </c>
      <c r="M11" t="s">
        <v>238</v>
      </c>
      <c r="N11" t="s">
        <v>236</v>
      </c>
      <c r="O11"/>
      <c r="P11"/>
    </row>
    <row r="12" spans="1:21" ht="20.100000000000001" customHeight="1" x14ac:dyDescent="0.25">
      <c r="A12" s="17" t="str">
        <f>HYPERLINK("#'5.1.1.1-2 Inorganic Fert N2O'!A1", "5.1.1.1-2 Inorganic Fert N2O")</f>
        <v>5.1.1.1-2 Inorganic Fert N2O</v>
      </c>
      <c r="H12"/>
      <c r="I12"/>
      <c r="J12" t="s">
        <v>192</v>
      </c>
      <c r="K12" t="s">
        <v>239</v>
      </c>
      <c r="L12" t="s">
        <v>237</v>
      </c>
      <c r="M12" t="s">
        <v>238</v>
      </c>
      <c r="N12" t="s">
        <v>240</v>
      </c>
      <c r="O12"/>
      <c r="P12"/>
    </row>
    <row r="13" spans="1:21" ht="20.100000000000001" customHeight="1" x14ac:dyDescent="0.25">
      <c r="A13" s="17" t="str">
        <f>HYPERLINK("#'5.1.1.3-4 Inorganic fert CO2'!A1", "5.1.1.3-4 Inorganic fert CO2")</f>
        <v>5.1.1.3-4 Inorganic fert CO2</v>
      </c>
      <c r="D13" s="1" t="s">
        <v>114</v>
      </c>
      <c r="E13" s="144">
        <v>100</v>
      </c>
      <c r="F13" s="2" t="s">
        <v>193</v>
      </c>
      <c r="H13"/>
      <c r="I13"/>
      <c r="J13" t="s">
        <v>241</v>
      </c>
      <c r="K13" t="s">
        <v>239</v>
      </c>
      <c r="L13" t="s">
        <v>242</v>
      </c>
      <c r="M13" t="s">
        <v>243</v>
      </c>
      <c r="N13" t="s">
        <v>239</v>
      </c>
      <c r="O13"/>
      <c r="P13"/>
    </row>
    <row r="14" spans="1:21" ht="20.100000000000001" customHeight="1" x14ac:dyDescent="0.25">
      <c r="A14" s="17" t="str">
        <f>HYPERLINK("#'5.2.1.1-2 Organic Fert N2O'!A1", "5.2.1.1-2 Organic Fert N2O")</f>
        <v>5.2.1.1-2 Organic Fert N2O</v>
      </c>
      <c r="H14"/>
      <c r="I14"/>
      <c r="J14"/>
      <c r="K14"/>
      <c r="L14"/>
      <c r="M14"/>
      <c r="N14"/>
      <c r="O14"/>
      <c r="P14"/>
    </row>
    <row r="15" spans="1:21" ht="20.100000000000001" customHeight="1" x14ac:dyDescent="0.25">
      <c r="A15" s="17" t="str">
        <f>HYPERLINK("#'5.3.1.1-2 Lime CO2'!A1", "5.3.1.1-2 Lime CO2")</f>
        <v>5.3.1.1-2 Lime CO2</v>
      </c>
      <c r="D15" s="6" t="s">
        <v>194</v>
      </c>
      <c r="H15"/>
      <c r="I15"/>
      <c r="J15"/>
      <c r="K15"/>
      <c r="L15"/>
      <c r="M15"/>
      <c r="N15"/>
      <c r="O15"/>
      <c r="P15"/>
    </row>
    <row r="16" spans="1:21" ht="20.100000000000001" customHeight="1" x14ac:dyDescent="0.25">
      <c r="A16" s="17" t="str">
        <f>HYPERLINK("#'5.4.1.1-4 Atmos deposition'!A1", "5.4.1.1-4 Atmos deposition")</f>
        <v>5.4.1.1-4 Atmos deposition</v>
      </c>
      <c r="H16"/>
      <c r="I16"/>
      <c r="J16"/>
      <c r="K16"/>
      <c r="L16"/>
      <c r="M16"/>
      <c r="N16"/>
      <c r="O16"/>
      <c r="P16"/>
    </row>
    <row r="17" spans="1:16" ht="20.100000000000001" customHeight="1" x14ac:dyDescent="0.25">
      <c r="A17" s="17" t="str">
        <f>HYPERLINK("#'5.5.1.1-2 Leaching and runoff'!A1", "5.5.1.1-2 Leaching and runoff")</f>
        <v>5.5.1.1-2 Leaching and runoff</v>
      </c>
      <c r="D17" s="145" t="s">
        <v>195</v>
      </c>
      <c r="E17" s="85"/>
      <c r="F17" s="81"/>
      <c r="H17"/>
      <c r="I17"/>
      <c r="J17"/>
      <c r="K17"/>
      <c r="L17"/>
      <c r="M17"/>
      <c r="N17"/>
      <c r="O17"/>
      <c r="P17"/>
    </row>
    <row r="18" spans="1:16" ht="20.100000000000001" customHeight="1" x14ac:dyDescent="0.25">
      <c r="D18" s="87" t="s">
        <v>196</v>
      </c>
      <c r="E18" s="84"/>
      <c r="F18" s="82"/>
      <c r="H18"/>
      <c r="I18"/>
      <c r="J18"/>
      <c r="K18"/>
      <c r="L18"/>
      <c r="M18"/>
      <c r="N18"/>
      <c r="O18"/>
      <c r="P18"/>
    </row>
    <row r="19" spans="1:16" ht="20.100000000000001" customHeight="1" x14ac:dyDescent="0.25">
      <c r="A19" s="18" t="s">
        <v>2</v>
      </c>
      <c r="H19"/>
      <c r="I19"/>
      <c r="J19"/>
      <c r="K19"/>
      <c r="L19"/>
      <c r="M19"/>
      <c r="N19"/>
      <c r="O19"/>
      <c r="P19"/>
    </row>
    <row r="20" spans="1:16" ht="20.100000000000001" customHeight="1" x14ac:dyDescent="0.25">
      <c r="A20" s="17" t="str">
        <f>HYPERLINK("#'Constants - Fertiliser'!A1", "Constants - Fertiliser")</f>
        <v>Constants - Fertiliser</v>
      </c>
      <c r="D20" s="1" t="str">
        <f>E10 &amp; " " &amp; VLOOKUP(E10,J11:L13, 3) &amp; " per hectare"</f>
        <v>Cover crop mass per hectare</v>
      </c>
      <c r="E20" s="115">
        <v>10</v>
      </c>
      <c r="F20" s="2" t="str">
        <f>"Tonnes " &amp; VLOOKUP(E10, J11:K13, 2, FALSE) &amp; " per hectare"</f>
        <v>Tonnes above ground biomass per hectare</v>
      </c>
      <c r="H20"/>
      <c r="I20"/>
      <c r="J20"/>
      <c r="K20"/>
      <c r="L20"/>
      <c r="M20"/>
      <c r="N20"/>
      <c r="O20"/>
      <c r="P20"/>
    </row>
    <row r="21" spans="1:16" ht="20.100000000000001" customHeight="1" x14ac:dyDescent="0.25">
      <c r="A21" s="17" t="str">
        <f>HYPERLINK("#'Constants - Common'!A1", "Constants - Common")</f>
        <v>Constants - Common</v>
      </c>
      <c r="D21" s="1" t="s">
        <v>197</v>
      </c>
      <c r="E21" s="50" cm="1">
        <f t="array" ref="E21">_xlfn.IFS(E10="Cash grain crop", Common_InputFunctions.Utility_LookupValueInTableNumber(E9, Table_SourceData_CropAttributes[Crop type],Table_SourceData_CropAttributes[Residue: Crop ratio]), E10="Cash crop for hay/silage", 0, E10="Cover crop", 1)</f>
        <v>1</v>
      </c>
      <c r="H21"/>
      <c r="I21"/>
      <c r="J21"/>
      <c r="K21"/>
      <c r="L21"/>
      <c r="M21"/>
      <c r="N21"/>
      <c r="O21"/>
      <c r="P21"/>
    </row>
    <row r="22" spans="1:16" ht="20.100000000000001" customHeight="1" x14ac:dyDescent="0.25">
      <c r="D22" s="1" t="s">
        <v>200</v>
      </c>
      <c r="E22" s="50">
        <f>E20*E21</f>
        <v>10</v>
      </c>
      <c r="F22" s="2" t="s">
        <v>199</v>
      </c>
      <c r="H22"/>
      <c r="I22"/>
      <c r="J22"/>
      <c r="K22"/>
      <c r="L22"/>
      <c r="M22"/>
      <c r="N22"/>
      <c r="O22"/>
      <c r="P22"/>
    </row>
    <row r="23" spans="1:16" ht="20.100000000000001" customHeight="1" x14ac:dyDescent="0.25">
      <c r="A23" s="17"/>
      <c r="D23" s="1" t="s">
        <v>198</v>
      </c>
      <c r="E23" s="50">
        <f>E20+E22</f>
        <v>20</v>
      </c>
      <c r="F23" s="2" t="s">
        <v>199</v>
      </c>
      <c r="H23"/>
      <c r="I23"/>
      <c r="J23"/>
      <c r="K23"/>
      <c r="L23"/>
      <c r="M23"/>
      <c r="N23"/>
      <c r="O23"/>
      <c r="P23"/>
    </row>
    <row r="24" spans="1:16" ht="20.100000000000001" customHeight="1" x14ac:dyDescent="0.25">
      <c r="H24"/>
      <c r="I24"/>
      <c r="J24"/>
      <c r="K24"/>
      <c r="L24"/>
      <c r="M24"/>
      <c r="N24"/>
      <c r="O24"/>
      <c r="P24"/>
    </row>
    <row r="25" spans="1:16" ht="20.100000000000001" customHeight="1" x14ac:dyDescent="0.25">
      <c r="D25" s="51" t="s">
        <v>201</v>
      </c>
      <c r="E25" s="50">
        <f>E20*E13</f>
        <v>1000</v>
      </c>
      <c r="F25" s="2" t="str">
        <f>"Tonnes " &amp; VLOOKUP(E10, J11:N13, 5, FALSE)</f>
        <v>Tonnes above ground biomass</v>
      </c>
      <c r="H25"/>
      <c r="I25"/>
      <c r="J25"/>
      <c r="K25"/>
      <c r="L25"/>
      <c r="M25"/>
      <c r="N25"/>
      <c r="O25"/>
      <c r="P25"/>
    </row>
    <row r="26" spans="1:16" ht="20.100000000000001" customHeight="1" x14ac:dyDescent="0.25">
      <c r="H26"/>
      <c r="I26"/>
      <c r="J26"/>
      <c r="K26"/>
      <c r="L26"/>
      <c r="M26"/>
      <c r="N26"/>
      <c r="O26"/>
      <c r="P26"/>
    </row>
    <row r="27" spans="1:16" ht="20.100000000000001" customHeight="1" x14ac:dyDescent="0.25">
      <c r="H27"/>
      <c r="I27"/>
      <c r="J27"/>
      <c r="K27"/>
      <c r="L27"/>
      <c r="M27"/>
      <c r="N27"/>
      <c r="O27"/>
      <c r="P27"/>
    </row>
    <row r="28" spans="1:16" ht="20.100000000000001" customHeight="1" x14ac:dyDescent="0.25">
      <c r="D28" s="6" t="s">
        <v>202</v>
      </c>
      <c r="H28"/>
      <c r="I28"/>
      <c r="J28"/>
      <c r="K28"/>
      <c r="L28"/>
      <c r="M28"/>
      <c r="N28"/>
      <c r="O28"/>
      <c r="P28"/>
    </row>
    <row r="29" spans="1:16" ht="20.100000000000001" customHeight="1" x14ac:dyDescent="0.25">
      <c r="A29" s="17"/>
      <c r="H29"/>
      <c r="I29"/>
      <c r="J29"/>
      <c r="K29"/>
      <c r="L29" s="148"/>
      <c r="M29"/>
      <c r="N29"/>
      <c r="O29"/>
      <c r="P29"/>
    </row>
    <row r="30" spans="1:16" ht="20.100000000000001" customHeight="1" x14ac:dyDescent="0.25">
      <c r="A30" s="17"/>
      <c r="D30" s="1" t="str">
        <f>"Residue after " &amp; VLOOKUP(E10,J11:M13, 4, FALSE)</f>
        <v>Residue after end of crop cycle</v>
      </c>
      <c r="E30" s="50">
        <f>E22*E13</f>
        <v>1000</v>
      </c>
      <c r="F30" s="2" t="s">
        <v>203</v>
      </c>
      <c r="H30"/>
      <c r="I30"/>
      <c r="J30"/>
      <c r="K30"/>
      <c r="L30"/>
      <c r="M30"/>
      <c r="N30"/>
      <c r="O30"/>
      <c r="P30"/>
    </row>
    <row r="31" spans="1:16" ht="20.100000000000001" customHeight="1" x14ac:dyDescent="0.25">
      <c r="A31" s="61"/>
      <c r="H31"/>
      <c r="I31"/>
      <c r="J31"/>
      <c r="K31"/>
      <c r="L31"/>
      <c r="M31"/>
      <c r="N31"/>
      <c r="O31"/>
      <c r="P31"/>
    </row>
    <row r="32" spans="1:16" ht="20.100000000000001" customHeight="1" x14ac:dyDescent="0.25">
      <c r="A32" s="61"/>
      <c r="D32" s="46" t="s">
        <v>204</v>
      </c>
      <c r="H32"/>
      <c r="I32"/>
      <c r="J32"/>
      <c r="K32"/>
      <c r="L32"/>
      <c r="M32"/>
      <c r="N32"/>
      <c r="O32"/>
      <c r="P32"/>
    </row>
    <row r="33" spans="1:21" ht="20.100000000000001" customHeight="1" x14ac:dyDescent="0.25">
      <c r="A33" s="17"/>
      <c r="D33" s="1" t="s">
        <v>205</v>
      </c>
      <c r="E33" s="135">
        <v>0.1</v>
      </c>
      <c r="F33" s="2" t="s">
        <v>206</v>
      </c>
      <c r="H33"/>
      <c r="I33"/>
      <c r="J33"/>
      <c r="K33"/>
      <c r="L33"/>
      <c r="M33"/>
      <c r="N33"/>
      <c r="O33"/>
      <c r="P33"/>
    </row>
    <row r="34" spans="1:21" ht="20.100000000000001" customHeight="1" x14ac:dyDescent="0.25">
      <c r="D34" s="1" t="s">
        <v>207</v>
      </c>
      <c r="E34" s="115">
        <v>60</v>
      </c>
      <c r="F34" s="2" t="s">
        <v>208</v>
      </c>
      <c r="H34"/>
      <c r="I34"/>
      <c r="J34"/>
      <c r="K34"/>
      <c r="L34"/>
      <c r="M34"/>
      <c r="N34"/>
      <c r="O34"/>
      <c r="P34"/>
    </row>
    <row r="35" spans="1:21" ht="20.100000000000001" customHeight="1" x14ac:dyDescent="0.25">
      <c r="D35" s="51" t="s">
        <v>209</v>
      </c>
      <c r="E35" s="146">
        <f>IFERROR((E36*10^3)/E34, 0)</f>
        <v>1666.6666666666667</v>
      </c>
      <c r="F35" s="2" t="s">
        <v>210</v>
      </c>
      <c r="H35"/>
      <c r="I35"/>
      <c r="J35"/>
      <c r="K35"/>
      <c r="L35"/>
      <c r="M35"/>
      <c r="N35"/>
      <c r="O35"/>
      <c r="P35"/>
    </row>
    <row r="36" spans="1:21" ht="20.100000000000001" customHeight="1" x14ac:dyDescent="0.25">
      <c r="D36" s="51" t="s">
        <v>211</v>
      </c>
      <c r="E36" s="50">
        <f>E30*E33</f>
        <v>100</v>
      </c>
      <c r="F36" s="2" t="s">
        <v>203</v>
      </c>
      <c r="H36"/>
      <c r="I36"/>
      <c r="J36"/>
      <c r="K36"/>
      <c r="L36"/>
      <c r="M36"/>
      <c r="N36"/>
      <c r="O36"/>
      <c r="P36"/>
    </row>
    <row r="37" spans="1:21" ht="20.100000000000001" customHeight="1" x14ac:dyDescent="0.25">
      <c r="C37" s="113"/>
      <c r="H37"/>
      <c r="I37"/>
      <c r="J37"/>
      <c r="K37"/>
      <c r="L37"/>
      <c r="M37"/>
      <c r="N37"/>
      <c r="O37"/>
      <c r="P37"/>
    </row>
    <row r="38" spans="1:21" ht="20.100000000000001" customHeight="1" x14ac:dyDescent="0.25">
      <c r="C38" s="113"/>
      <c r="D38" s="46" t="s">
        <v>212</v>
      </c>
      <c r="H38"/>
      <c r="I38"/>
      <c r="J38"/>
      <c r="K38"/>
      <c r="L38"/>
      <c r="M38"/>
      <c r="N38"/>
      <c r="O38"/>
      <c r="P38"/>
    </row>
    <row r="39" spans="1:21" ht="20.100000000000001" customHeight="1" x14ac:dyDescent="0.25">
      <c r="A39" s="17"/>
      <c r="D39" s="1" t="s">
        <v>213</v>
      </c>
      <c r="E39" s="135">
        <v>0.01</v>
      </c>
      <c r="F39" s="2" t="s">
        <v>206</v>
      </c>
      <c r="H39"/>
      <c r="I39"/>
      <c r="J39"/>
      <c r="K39"/>
      <c r="L39" s="148"/>
      <c r="M39"/>
      <c r="N39"/>
      <c r="O39"/>
      <c r="P39"/>
    </row>
    <row r="40" spans="1:21" s="114" customFormat="1" ht="20.100000000000001" customHeight="1" x14ac:dyDescent="0.25">
      <c r="C40" s="1"/>
      <c r="D40" s="1" t="s">
        <v>214</v>
      </c>
      <c r="E40" s="50">
        <f>E30*E39</f>
        <v>10</v>
      </c>
      <c r="F40" s="2" t="s">
        <v>203</v>
      </c>
      <c r="G40" s="1"/>
      <c r="H40"/>
      <c r="I40"/>
      <c r="J40"/>
      <c r="K40"/>
      <c r="L40"/>
      <c r="M40"/>
      <c r="N40"/>
      <c r="O40"/>
      <c r="P40"/>
      <c r="Q40" s="1"/>
      <c r="R40" s="1"/>
      <c r="S40" s="1"/>
      <c r="T40" s="1"/>
      <c r="U40" s="1"/>
    </row>
    <row r="41" spans="1:21" s="114" customFormat="1" ht="20.100000000000001" customHeight="1" x14ac:dyDescent="0.25">
      <c r="A41" s="116"/>
      <c r="C41" s="1"/>
      <c r="D41" s="1"/>
      <c r="E41" s="1"/>
      <c r="F41" s="1"/>
      <c r="G41" s="1"/>
      <c r="H41"/>
      <c r="I41"/>
      <c r="J41"/>
      <c r="K41"/>
      <c r="L41"/>
      <c r="M41"/>
      <c r="N41"/>
      <c r="O41"/>
      <c r="P41"/>
      <c r="Q41" s="1"/>
      <c r="R41" s="1"/>
      <c r="S41" s="1"/>
      <c r="T41" s="1"/>
      <c r="U41" s="1"/>
    </row>
    <row r="42" spans="1:21" ht="20.100000000000001" customHeight="1" x14ac:dyDescent="0.25">
      <c r="D42" s="46" t="s">
        <v>215</v>
      </c>
      <c r="H42"/>
      <c r="I42"/>
      <c r="J42"/>
      <c r="K42"/>
      <c r="L42"/>
      <c r="M42"/>
      <c r="N42"/>
      <c r="O42"/>
      <c r="P42"/>
    </row>
    <row r="43" spans="1:21" ht="20.100000000000001" customHeight="1" x14ac:dyDescent="0.25">
      <c r="D43" s="1" t="s">
        <v>216</v>
      </c>
      <c r="E43" s="135">
        <v>0.3</v>
      </c>
      <c r="F43" s="2" t="s">
        <v>206</v>
      </c>
      <c r="H43"/>
      <c r="I43"/>
      <c r="J43"/>
      <c r="K43"/>
      <c r="L43"/>
      <c r="M43"/>
      <c r="N43"/>
      <c r="O43"/>
      <c r="P43"/>
    </row>
    <row r="44" spans="1:21" ht="20.100000000000001" customHeight="1" x14ac:dyDescent="0.25">
      <c r="A44" s="128" t="str">
        <f>HYPERLINK("#A1", "▲ Back to top")</f>
        <v>▲ Back to top</v>
      </c>
      <c r="D44" s="1" t="s">
        <v>217</v>
      </c>
      <c r="E44" s="50">
        <f>E30*E43</f>
        <v>300</v>
      </c>
      <c r="F44" s="2" t="s">
        <v>203</v>
      </c>
      <c r="H44"/>
      <c r="I44"/>
      <c r="J44"/>
      <c r="K44"/>
      <c r="L44"/>
      <c r="M44"/>
      <c r="N44"/>
      <c r="O44"/>
      <c r="P44"/>
    </row>
    <row r="45" spans="1:21" ht="20.100000000000001" customHeight="1" x14ac:dyDescent="0.25">
      <c r="H45"/>
      <c r="I45"/>
      <c r="J45"/>
      <c r="K45"/>
      <c r="L45"/>
      <c r="M45"/>
      <c r="N45"/>
      <c r="O45"/>
      <c r="P45"/>
    </row>
    <row r="46" spans="1:21" ht="20.100000000000001" customHeight="1" x14ac:dyDescent="0.25">
      <c r="D46" s="1" t="s">
        <v>218</v>
      </c>
      <c r="E46" s="50">
        <f>E30-E36-E40-E44</f>
        <v>590</v>
      </c>
      <c r="F46" s="2" t="s">
        <v>203</v>
      </c>
      <c r="H46"/>
      <c r="I46"/>
      <c r="J46"/>
      <c r="K46"/>
      <c r="L46"/>
      <c r="M46"/>
      <c r="N46"/>
      <c r="O46"/>
      <c r="P46"/>
    </row>
    <row r="47" spans="1:21" ht="20.100000000000001" customHeight="1" x14ac:dyDescent="0.25">
      <c r="H47"/>
      <c r="I47"/>
      <c r="J47"/>
      <c r="K47"/>
      <c r="L47"/>
      <c r="M47"/>
      <c r="N47"/>
      <c r="O47"/>
      <c r="P47"/>
    </row>
    <row r="48" spans="1:21" ht="20.100000000000001" customHeight="1" x14ac:dyDescent="0.25">
      <c r="H48"/>
      <c r="I48"/>
      <c r="J48"/>
      <c r="K48"/>
      <c r="L48"/>
      <c r="M48"/>
      <c r="N48"/>
      <c r="O48"/>
      <c r="P48"/>
    </row>
    <row r="49" spans="4:16" ht="20.100000000000001" customHeight="1" x14ac:dyDescent="0.25">
      <c r="D49" s="6"/>
      <c r="H49"/>
      <c r="I49"/>
      <c r="J49"/>
      <c r="K49"/>
      <c r="L49" s="148"/>
      <c r="M49"/>
      <c r="N49"/>
      <c r="O49"/>
      <c r="P49"/>
    </row>
    <row r="50" spans="4:16" ht="20.100000000000001" customHeight="1" x14ac:dyDescent="0.25">
      <c r="H50"/>
      <c r="I50"/>
      <c r="J50"/>
      <c r="K50"/>
      <c r="L50"/>
      <c r="M50"/>
      <c r="N50"/>
      <c r="O50"/>
      <c r="P50"/>
    </row>
    <row r="51" spans="4:16" ht="20.100000000000001" customHeight="1" x14ac:dyDescent="0.25">
      <c r="D51" s="10"/>
      <c r="F51" s="2"/>
      <c r="H51"/>
      <c r="I51"/>
      <c r="J51"/>
      <c r="K51"/>
      <c r="L51"/>
      <c r="M51"/>
      <c r="N51"/>
      <c r="O51"/>
      <c r="P51"/>
    </row>
    <row r="52" spans="4:16" ht="20.100000000000001" customHeight="1" x14ac:dyDescent="0.25">
      <c r="H52"/>
      <c r="I52"/>
      <c r="J52"/>
      <c r="K52"/>
      <c r="L52"/>
      <c r="M52"/>
      <c r="N52"/>
      <c r="O52"/>
      <c r="P52"/>
    </row>
    <row r="53" spans="4:16" ht="20.100000000000001" customHeight="1" x14ac:dyDescent="0.25">
      <c r="H53"/>
      <c r="I53"/>
      <c r="J53"/>
      <c r="K53"/>
      <c r="L53"/>
      <c r="M53"/>
      <c r="N53"/>
      <c r="O53"/>
      <c r="P53"/>
    </row>
    <row r="54" spans="4:16" ht="20.100000000000001" customHeight="1" x14ac:dyDescent="0.25">
      <c r="H54"/>
      <c r="I54"/>
      <c r="J54"/>
      <c r="K54"/>
      <c r="L54"/>
      <c r="M54"/>
      <c r="N54"/>
      <c r="O54"/>
      <c r="P54"/>
    </row>
    <row r="55" spans="4:16" ht="20.100000000000001" customHeight="1" x14ac:dyDescent="0.25">
      <c r="H55"/>
      <c r="I55"/>
      <c r="J55"/>
      <c r="K55"/>
      <c r="L55"/>
      <c r="M55"/>
      <c r="N55"/>
      <c r="O55"/>
      <c r="P55"/>
    </row>
    <row r="56" spans="4:16" ht="20.100000000000001" customHeight="1" x14ac:dyDescent="0.25">
      <c r="H56"/>
      <c r="I56"/>
      <c r="J56"/>
      <c r="K56"/>
      <c r="L56"/>
      <c r="M56"/>
      <c r="N56"/>
      <c r="O56"/>
      <c r="P56"/>
    </row>
    <row r="57" spans="4:16" ht="20.100000000000001" customHeight="1" x14ac:dyDescent="0.25">
      <c r="H57"/>
      <c r="I57"/>
      <c r="J57"/>
      <c r="K57"/>
      <c r="L57"/>
      <c r="M57"/>
      <c r="N57"/>
      <c r="O57"/>
      <c r="P57"/>
    </row>
    <row r="58" spans="4:16" ht="20.100000000000001" customHeight="1" x14ac:dyDescent="0.25">
      <c r="H58"/>
      <c r="I58"/>
      <c r="J58"/>
      <c r="K58"/>
      <c r="L58"/>
      <c r="M58"/>
      <c r="N58"/>
      <c r="O58"/>
      <c r="P58"/>
    </row>
    <row r="59" spans="4:16" ht="20.100000000000001" customHeight="1" x14ac:dyDescent="0.25"/>
    <row r="60" spans="4:16" ht="20.100000000000001" customHeight="1" x14ac:dyDescent="0.25"/>
    <row r="61" spans="4:16" ht="20.100000000000001" customHeight="1" x14ac:dyDescent="0.25"/>
    <row r="62" spans="4:16" ht="20.100000000000001" customHeight="1" x14ac:dyDescent="0.25"/>
    <row r="63" spans="4:16" ht="20.100000000000001" customHeight="1" x14ac:dyDescent="0.25"/>
    <row r="64" spans="4: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3"/>
    </row>
    <row r="112" spans="13:13"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2"/>
    </row>
    <row r="211" spans="12:12" x14ac:dyDescent="0.25">
      <c r="L211" s="2"/>
    </row>
    <row r="212" spans="12:12" x14ac:dyDescent="0.25">
      <c r="L212" s="2"/>
    </row>
    <row r="213" spans="12:12" x14ac:dyDescent="0.25">
      <c r="L213" s="2"/>
    </row>
    <row r="214" spans="12:12" x14ac:dyDescent="0.25">
      <c r="L214" s="2"/>
    </row>
    <row r="216" spans="12:12" x14ac:dyDescent="0.25">
      <c r="L216" s="2"/>
    </row>
    <row r="218" spans="12:12" x14ac:dyDescent="0.25">
      <c r="L218" s="2"/>
    </row>
    <row r="219" spans="12:12" x14ac:dyDescent="0.25">
      <c r="L219" s="2"/>
    </row>
    <row r="220" spans="12:12" x14ac:dyDescent="0.25">
      <c r="L220" s="2"/>
    </row>
    <row r="221" spans="12:12" x14ac:dyDescent="0.25">
      <c r="L221" s="2"/>
    </row>
    <row r="223" spans="12:12" x14ac:dyDescent="0.25">
      <c r="L223" s="2"/>
    </row>
    <row r="231" spans="12:12" x14ac:dyDescent="0.25">
      <c r="L231" s="2"/>
    </row>
    <row r="232" spans="12:12" x14ac:dyDescent="0.25">
      <c r="L232" s="2"/>
    </row>
    <row r="233" spans="12:12" x14ac:dyDescent="0.25">
      <c r="L233" s="2"/>
    </row>
    <row r="236" spans="12:12" x14ac:dyDescent="0.25">
      <c r="L236" s="2"/>
    </row>
    <row r="237" spans="12:12" x14ac:dyDescent="0.25">
      <c r="L237" s="2"/>
    </row>
    <row r="238" spans="12:12" x14ac:dyDescent="0.25">
      <c r="L238" s="2"/>
    </row>
    <row r="241" spans="11:12" x14ac:dyDescent="0.25">
      <c r="L241" s="2"/>
    </row>
    <row r="242" spans="11:12" x14ac:dyDescent="0.25">
      <c r="L242" s="2"/>
    </row>
    <row r="243" spans="11:12" x14ac:dyDescent="0.25">
      <c r="L243" s="2"/>
    </row>
    <row r="246" spans="11:12" x14ac:dyDescent="0.25">
      <c r="L246" s="2"/>
    </row>
    <row r="247" spans="11:12" x14ac:dyDescent="0.25">
      <c r="K247" s="2"/>
      <c r="L247" s="2"/>
    </row>
    <row r="248" spans="11:12" x14ac:dyDescent="0.25">
      <c r="L248" s="2"/>
    </row>
    <row r="252" spans="11:12" x14ac:dyDescent="0.25">
      <c r="K252" s="2"/>
    </row>
    <row r="255" spans="11:12" x14ac:dyDescent="0.25">
      <c r="L255" s="2"/>
    </row>
    <row r="256" spans="11:12" x14ac:dyDescent="0.25">
      <c r="L256" s="2"/>
    </row>
    <row r="257" spans="11:12" x14ac:dyDescent="0.25">
      <c r="K257" s="2"/>
      <c r="L257" s="2"/>
    </row>
    <row r="260" spans="11:12" x14ac:dyDescent="0.25">
      <c r="L260" s="2"/>
    </row>
    <row r="261" spans="11:12" x14ac:dyDescent="0.25">
      <c r="L261" s="2"/>
    </row>
    <row r="262" spans="11:12" x14ac:dyDescent="0.25">
      <c r="K262" s="2"/>
      <c r="L262" s="2"/>
    </row>
    <row r="263" spans="11:12" x14ac:dyDescent="0.25">
      <c r="K263" s="2"/>
    </row>
    <row r="264" spans="11:12" x14ac:dyDescent="0.25">
      <c r="K264" s="2"/>
    </row>
    <row r="265" spans="11:12" x14ac:dyDescent="0.25">
      <c r="K265" s="2"/>
      <c r="L265" s="2"/>
    </row>
    <row r="266" spans="11:12" x14ac:dyDescent="0.25">
      <c r="K266" s="2"/>
      <c r="L266" s="2"/>
    </row>
    <row r="267" spans="11:12" x14ac:dyDescent="0.25">
      <c r="L267" s="2"/>
    </row>
    <row r="268" spans="11:12" x14ac:dyDescent="0.25">
      <c r="K268" s="2"/>
    </row>
    <row r="270" spans="11:12" x14ac:dyDescent="0.25">
      <c r="K270" s="2"/>
      <c r="L270" s="2"/>
    </row>
    <row r="271" spans="11:12" x14ac:dyDescent="0.25">
      <c r="K271" s="2"/>
      <c r="L271" s="2"/>
    </row>
    <row r="272" spans="11:12" x14ac:dyDescent="0.25">
      <c r="K272" s="2"/>
      <c r="L272" s="2"/>
    </row>
    <row r="273" spans="11:11" x14ac:dyDescent="0.25">
      <c r="K273" s="2"/>
    </row>
    <row r="275" spans="11:11" x14ac:dyDescent="0.25">
      <c r="K275" s="2"/>
    </row>
    <row r="281" spans="11:11" x14ac:dyDescent="0.25">
      <c r="K281" s="2"/>
    </row>
    <row r="286" spans="11:11" x14ac:dyDescent="0.25">
      <c r="K286" s="2"/>
    </row>
    <row r="291" spans="11:11" x14ac:dyDescent="0.25">
      <c r="K291" s="2"/>
    </row>
    <row r="296" spans="11:11" x14ac:dyDescent="0.25">
      <c r="K296" s="2"/>
    </row>
    <row r="297" spans="11:11" x14ac:dyDescent="0.25">
      <c r="K297" s="2"/>
    </row>
    <row r="298" spans="11:11" x14ac:dyDescent="0.25">
      <c r="K298" s="2"/>
    </row>
    <row r="299" spans="11:11" x14ac:dyDescent="0.25">
      <c r="K299" s="2"/>
    </row>
    <row r="300" spans="11:11" x14ac:dyDescent="0.25">
      <c r="K300" s="2"/>
    </row>
    <row r="302" spans="11:11" x14ac:dyDescent="0.25">
      <c r="K302" s="2"/>
    </row>
    <row r="304" spans="11:11" x14ac:dyDescent="0.25">
      <c r="K304" s="2"/>
    </row>
    <row r="305" spans="11:11" x14ac:dyDescent="0.25">
      <c r="K305" s="2"/>
    </row>
    <row r="306" spans="11:11" x14ac:dyDescent="0.25">
      <c r="K306" s="2"/>
    </row>
    <row r="307" spans="11:11" x14ac:dyDescent="0.25">
      <c r="K307" s="2"/>
    </row>
    <row r="309" spans="11:11" x14ac:dyDescent="0.25">
      <c r="K309" s="2"/>
    </row>
    <row r="317" spans="11:11" x14ac:dyDescent="0.25">
      <c r="K317" s="2"/>
    </row>
    <row r="318" spans="11:11" x14ac:dyDescent="0.25">
      <c r="K318" s="2"/>
    </row>
    <row r="319" spans="11:11" x14ac:dyDescent="0.25">
      <c r="K319" s="2"/>
    </row>
    <row r="322" spans="11:11" x14ac:dyDescent="0.25">
      <c r="K322" s="2"/>
    </row>
    <row r="323" spans="11:11" x14ac:dyDescent="0.25">
      <c r="K323" s="2"/>
    </row>
    <row r="324" spans="11:11" x14ac:dyDescent="0.25">
      <c r="K324" s="2"/>
    </row>
    <row r="327" spans="11:11" x14ac:dyDescent="0.25">
      <c r="K327" s="2"/>
    </row>
    <row r="328" spans="11:11" x14ac:dyDescent="0.25">
      <c r="K328" s="2"/>
    </row>
    <row r="329" spans="11:11" x14ac:dyDescent="0.25">
      <c r="K329" s="2"/>
    </row>
    <row r="332" spans="11:11" x14ac:dyDescent="0.25">
      <c r="K332" s="2"/>
    </row>
    <row r="333" spans="11:11" x14ac:dyDescent="0.25">
      <c r="K333" s="2"/>
    </row>
    <row r="334" spans="11:11" x14ac:dyDescent="0.25">
      <c r="K334" s="2"/>
    </row>
    <row r="341" spans="11:11" x14ac:dyDescent="0.25">
      <c r="K341" s="2"/>
    </row>
    <row r="342" spans="11:11" x14ac:dyDescent="0.25">
      <c r="K342" s="2"/>
    </row>
    <row r="343" spans="11:11" x14ac:dyDescent="0.25">
      <c r="K343" s="2"/>
    </row>
    <row r="346" spans="11:11" x14ac:dyDescent="0.25">
      <c r="K346" s="2"/>
    </row>
    <row r="347" spans="11:11" x14ac:dyDescent="0.25">
      <c r="K347" s="2"/>
    </row>
    <row r="348" spans="11:11" x14ac:dyDescent="0.25">
      <c r="K348" s="2"/>
    </row>
    <row r="351" spans="11:11" x14ac:dyDescent="0.25">
      <c r="K351" s="2"/>
    </row>
    <row r="352" spans="11:11" x14ac:dyDescent="0.25">
      <c r="K352" s="2"/>
    </row>
    <row r="353" spans="4:11" x14ac:dyDescent="0.25">
      <c r="K353" s="2"/>
    </row>
    <row r="356" spans="4:11" x14ac:dyDescent="0.25">
      <c r="K356" s="2"/>
    </row>
    <row r="357" spans="4:11" x14ac:dyDescent="0.25">
      <c r="K357" s="2"/>
    </row>
    <row r="358" spans="4:11" x14ac:dyDescent="0.25">
      <c r="K358" s="2"/>
    </row>
    <row r="361" spans="4:11" x14ac:dyDescent="0.25">
      <c r="D361" s="98"/>
    </row>
  </sheetData>
  <conditionalFormatting sqref="F46">
    <cfRule type="cellIs" dxfId="28" priority="62" operator="lessThan">
      <formula>0</formula>
    </cfRule>
  </conditionalFormatting>
  <conditionalFormatting sqref="F126:F127">
    <cfRule type="cellIs" dxfId="27" priority="21" operator="lessThan">
      <formula>0</formula>
    </cfRule>
  </conditionalFormatting>
  <conditionalFormatting sqref="F138:F139">
    <cfRule type="cellIs" dxfId="26" priority="20" operator="lessThan">
      <formula>0</formula>
    </cfRule>
  </conditionalFormatting>
  <conditionalFormatting sqref="F150:F151">
    <cfRule type="cellIs" dxfId="25" priority="19" operator="lessThan">
      <formula>0</formula>
    </cfRule>
  </conditionalFormatting>
  <conditionalFormatting sqref="F162:F163">
    <cfRule type="cellIs" dxfId="24" priority="18" operator="lessThan">
      <formula>0</formula>
    </cfRule>
  </conditionalFormatting>
  <conditionalFormatting sqref="F250:F251">
    <cfRule type="cellIs" dxfId="23" priority="93" operator="lessThan">
      <formula>0</formula>
    </cfRule>
  </conditionalFormatting>
  <conditionalFormatting sqref="F255:F256">
    <cfRule type="cellIs" dxfId="22" priority="92" operator="lessThan">
      <formula>0</formula>
    </cfRule>
  </conditionalFormatting>
  <conditionalFormatting sqref="F260:F261">
    <cfRule type="cellIs" dxfId="21" priority="91" operator="lessThan">
      <formula>0</formula>
    </cfRule>
  </conditionalFormatting>
  <conditionalFormatting sqref="F284:F285">
    <cfRule type="cellIs" dxfId="20" priority="85" operator="lessThan">
      <formula>0</formula>
    </cfRule>
  </conditionalFormatting>
  <conditionalFormatting sqref="F289:F290">
    <cfRule type="cellIs" dxfId="19" priority="84" operator="lessThan">
      <formula>0</formula>
    </cfRule>
  </conditionalFormatting>
  <conditionalFormatting sqref="F294:F295">
    <cfRule type="cellIs" dxfId="18" priority="83" operator="lessThan">
      <formula>0</formula>
    </cfRule>
  </conditionalFormatting>
  <conditionalFormatting sqref="I31 I33:I37 I41:I42 H43:H45 O44 N45 I46 I48:I50 I52:I53 I204:J204 K209:L209 E210:G210 I210:J210 K247 J248 K252 J253 K257 J258 K262:K266 J263:J267 K268 J269 K270:K273 J271:J274 K275 J276 K281 J282 K286 J287 K291 J292 K296:K300 J297:J301 K302 J303 K304:K307 J305:J308 K309 J310">
    <cfRule type="cellIs" dxfId="17" priority="79" operator="lessThan">
      <formula>0</formula>
    </cfRule>
  </conditionalFormatting>
  <conditionalFormatting sqref="I57:I61">
    <cfRule type="cellIs" dxfId="16" priority="5" operator="lessThan">
      <formula>0</formula>
    </cfRule>
  </conditionalFormatting>
  <conditionalFormatting sqref="I65 M104 I124:J124 K184:L184 K188:L189 K192:L193 K198:L199 K202:L203">
    <cfRule type="cellIs" dxfId="15" priority="74" operator="lessThan">
      <formula>0</formula>
    </cfRule>
  </conditionalFormatting>
  <conditionalFormatting sqref="I76:I78">
    <cfRule type="cellIs" dxfId="14" priority="4" operator="lessThan">
      <formula>0</formula>
    </cfRule>
  </conditionalFormatting>
  <conditionalFormatting sqref="I82:I85">
    <cfRule type="cellIs" dxfId="13" priority="3" operator="lessThan">
      <formula>0</formula>
    </cfRule>
  </conditionalFormatting>
  <conditionalFormatting sqref="I89:I93">
    <cfRule type="cellIs" dxfId="12" priority="1" operator="lessThan">
      <formula>0</formula>
    </cfRule>
  </conditionalFormatting>
  <conditionalFormatting sqref="J152">
    <cfRule type="cellIs" dxfId="11" priority="24" operator="lessThan">
      <formula>0</formula>
    </cfRule>
  </conditionalFormatting>
  <conditionalFormatting sqref="L117:L120">
    <cfRule type="cellIs" dxfId="10" priority="11" operator="lessThan">
      <formula>0</formula>
    </cfRule>
  </conditionalFormatting>
  <conditionalFormatting sqref="L123">
    <cfRule type="cellIs" dxfId="9" priority="17" operator="lessThan">
      <formula>0</formula>
    </cfRule>
  </conditionalFormatting>
  <conditionalFormatting sqref="L129:L132">
    <cfRule type="cellIs" dxfId="8" priority="10" operator="lessThan">
      <formula>0</formula>
    </cfRule>
  </conditionalFormatting>
  <conditionalFormatting sqref="L135">
    <cfRule type="cellIs" dxfId="7" priority="16" operator="lessThan">
      <formula>0</formula>
    </cfRule>
  </conditionalFormatting>
  <conditionalFormatting sqref="L141:L144">
    <cfRule type="cellIs" dxfId="6" priority="9" operator="lessThan">
      <formula>0</formula>
    </cfRule>
  </conditionalFormatting>
  <conditionalFormatting sqref="L147">
    <cfRule type="cellIs" dxfId="5" priority="15" operator="lessThan">
      <formula>0</formula>
    </cfRule>
  </conditionalFormatting>
  <conditionalFormatting sqref="L153:L156">
    <cfRule type="cellIs" dxfId="4" priority="8" operator="lessThan">
      <formula>0</formula>
    </cfRule>
  </conditionalFormatting>
  <conditionalFormatting sqref="L159">
    <cfRule type="cellIs" dxfId="3" priority="14" operator="lessThan">
      <formula>0</formula>
    </cfRule>
  </conditionalFormatting>
  <conditionalFormatting sqref="L163:L164">
    <cfRule type="cellIs" dxfId="2" priority="12" operator="lessThan">
      <formula>0</formula>
    </cfRule>
  </conditionalFormatting>
  <conditionalFormatting sqref="L210:L214 L216 L218:L221 L223 J228:J230 J233:J235">
    <cfRule type="cellIs" dxfId="1" priority="102"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"Cash grain crop, Cash crop for hay/silage, Cover crop"</formula1>
    </dataValidation>
    <dataValidation type="list" allowBlank="1" showInputMessage="1" showErrorMessage="1" sqref="E11" xr:uid="{0016B415-AE70-4C85-B4B0-4916B2F1998C}">
      <formula1>INDIRECT("Table_SourceData_FracWETIrrigation[Irrigation type]")</formula1>
    </dataValidation>
    <dataValidation type="list" allowBlank="1" showInputMessage="1" showErrorMessage="1" sqref="E9" xr:uid="{2C3CA787-BB6D-4639-BF2A-0185599765E7}">
      <formula1>INDIRECT("Table_SourceData_CropAttributes[Crop type]")</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workbookViewId="0">
      <selection activeCell="E32" sqref="E32"/>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2" t="e" vm="1">
        <v>#VALUE!</v>
      </c>
      <c r="C1" s="62" t="s">
        <v>267</v>
      </c>
      <c r="D1" s="62"/>
      <c r="E1" s="62"/>
      <c r="F1" s="62"/>
      <c r="G1" s="62"/>
    </row>
    <row r="2" spans="1:7" ht="20.100000000000001" customHeight="1" x14ac:dyDescent="0.25">
      <c r="C2" s="9"/>
      <c r="D2" s="9"/>
      <c r="E2" s="9"/>
      <c r="F2" s="9"/>
      <c r="G2" s="9"/>
    </row>
    <row r="3" spans="1:7" ht="20.100000000000001" customHeight="1" x14ac:dyDescent="0.25">
      <c r="C3" s="15"/>
      <c r="D3" s="15"/>
      <c r="E3" s="15"/>
      <c r="F3" s="15"/>
      <c r="G3" s="15"/>
    </row>
    <row r="4" spans="1:7" ht="20.100000000000001" customHeight="1" x14ac:dyDescent="0.25"/>
    <row r="5" spans="1:7" ht="20.100000000000001" customHeight="1" x14ac:dyDescent="0.25">
      <c r="D5" s="6" t="s">
        <v>187</v>
      </c>
    </row>
    <row r="6" spans="1:7" ht="20.100000000000001" customHeight="1" x14ac:dyDescent="0.25"/>
    <row r="7" spans="1:7" ht="20.100000000000001" customHeight="1" x14ac:dyDescent="0.25">
      <c r="D7" s="21" t="s">
        <v>188</v>
      </c>
      <c r="E7" s="21"/>
      <c r="F7" s="21"/>
    </row>
    <row r="8" spans="1:7" ht="20.100000000000001" customHeight="1" x14ac:dyDescent="0.25"/>
    <row r="9" spans="1:7" ht="20.100000000000001" customHeight="1" x14ac:dyDescent="0.25">
      <c r="D9" s="1" t="s">
        <v>250</v>
      </c>
      <c r="E9" s="39" t="s">
        <v>258</v>
      </c>
      <c r="F9" s="2" t="s">
        <v>266</v>
      </c>
    </row>
    <row r="10" spans="1:7" ht="20.100000000000001" customHeight="1" x14ac:dyDescent="0.25">
      <c r="D10" s="1" t="s">
        <v>86</v>
      </c>
      <c r="E10" s="39" t="s">
        <v>110</v>
      </c>
      <c r="F10" s="2" t="s">
        <v>266</v>
      </c>
    </row>
    <row r="11" spans="1:7" ht="20.100000000000001" customHeight="1" x14ac:dyDescent="0.25"/>
    <row r="12" spans="1:7" ht="20.100000000000001" customHeight="1" x14ac:dyDescent="0.25">
      <c r="D12" s="1" t="s">
        <v>259</v>
      </c>
      <c r="E12" s="115">
        <v>100</v>
      </c>
      <c r="F12" s="2" t="s">
        <v>193</v>
      </c>
    </row>
    <row r="13" spans="1:7" ht="20.100000000000001" customHeight="1" x14ac:dyDescent="0.25"/>
    <row r="14" spans="1:7" ht="20.100000000000001" customHeight="1" x14ac:dyDescent="0.25">
      <c r="D14" s="6" t="s">
        <v>194</v>
      </c>
    </row>
    <row r="15" spans="1:7" ht="20.100000000000001" customHeight="1" x14ac:dyDescent="0.25"/>
    <row r="16" spans="1:7" ht="20.100000000000001" customHeight="1" x14ac:dyDescent="0.25">
      <c r="D16" s="145" t="s">
        <v>260</v>
      </c>
      <c r="E16" s="85"/>
      <c r="F16" s="81"/>
    </row>
    <row r="17" spans="4:6" ht="20.100000000000001" customHeight="1" x14ac:dyDescent="0.25">
      <c r="D17" s="87" t="s">
        <v>261</v>
      </c>
      <c r="E17" s="84"/>
      <c r="F17" s="82"/>
    </row>
    <row r="18" spans="4:6" ht="20.100000000000001" customHeight="1" x14ac:dyDescent="0.25"/>
    <row r="19" spans="4:6" ht="20.100000000000001" customHeight="1" x14ac:dyDescent="0.25">
      <c r="D19" s="1" t="s">
        <v>262</v>
      </c>
      <c r="E19" s="115" cm="1">
        <f t="array" ref="E19">Common_InputFunctions.Utility_LookupValueInTable(E9, [1]!Table_SourceData_PastureAttributes[Pasture type],[1]!Table_SourceData_PastureAttributes[Average Yield (t DM ha) Yp])</f>
        <v>4.41</v>
      </c>
      <c r="F19" s="2" t="s">
        <v>263</v>
      </c>
    </row>
    <row r="20" spans="4:6" ht="20.100000000000001" customHeight="1" x14ac:dyDescent="0.25">
      <c r="D20" s="1" t="s">
        <v>264</v>
      </c>
      <c r="E20" s="50">
        <f>E12*E19</f>
        <v>441</v>
      </c>
      <c r="F20" s="2" t="s">
        <v>203</v>
      </c>
    </row>
    <row r="21" spans="4:6" ht="20.100000000000001" customHeight="1" x14ac:dyDescent="0.25"/>
    <row r="22" spans="4:6" ht="20.100000000000001" customHeight="1" x14ac:dyDescent="0.25"/>
    <row r="23" spans="4:6" ht="20.100000000000001" customHeight="1" x14ac:dyDescent="0.25">
      <c r="D23" s="6" t="s">
        <v>202</v>
      </c>
    </row>
    <row r="24" spans="4:6" ht="20.100000000000001" customHeight="1" x14ac:dyDescent="0.25"/>
    <row r="25" spans="4:6" ht="20.100000000000001" customHeight="1" x14ac:dyDescent="0.25">
      <c r="D25" s="1" t="s">
        <v>265</v>
      </c>
      <c r="E25" s="115">
        <v>50</v>
      </c>
      <c r="F25" s="2" t="s">
        <v>193</v>
      </c>
    </row>
    <row r="26" spans="4:6" ht="20.100000000000001" customHeight="1" x14ac:dyDescent="0.25"/>
    <row r="27" spans="4:6" ht="20.100000000000001" customHeight="1" x14ac:dyDescent="0.25"/>
    <row r="28" spans="4:6" ht="20.100000000000001" customHeight="1" x14ac:dyDescent="0.25"/>
    <row r="29" spans="4:6" ht="20.100000000000001" customHeight="1" x14ac:dyDescent="0.25"/>
    <row r="30" spans="4:6" ht="20.100000000000001" customHeight="1" x14ac:dyDescent="0.25"/>
    <row r="31" spans="4:6" ht="20.100000000000001" customHeight="1" x14ac:dyDescent="0.25"/>
    <row r="32" spans="4: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disablePrompts="1" count="2">
    <dataValidation type="list" allowBlank="1" showInputMessage="1" showErrorMessage="1" sqref="E10" xr:uid="{C7B89B78-02A8-4E46-AE2E-61DC835C4419}">
      <formula1>INDIRECT("Table_SourceData_FracWETIrrigation[Irrigation type]")</formula1>
    </dataValidation>
    <dataValidation type="list" allowBlank="1" showInputMessage="1" showErrorMessage="1" sqref="E9" xr:uid="{6A28EF6D-8A45-4725-BF96-0B0C797CE4BE}">
      <formula1>INDIRECT("Table_SourceData_PastureAttributes[Pasture type]")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abSelected="1" zoomScaleNormal="100" workbookViewId="0">
      <selection activeCell="A23" sqref="A3:A2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2" t="e" vm="1">
        <v>#VALUE!</v>
      </c>
      <c r="C1" s="8" t="s">
        <v>185</v>
      </c>
      <c r="K1"/>
    </row>
    <row r="2" spans="1:20" s="9" customFormat="1" ht="20.100000000000001" customHeight="1" x14ac:dyDescent="0.25">
      <c r="K2"/>
    </row>
    <row r="3" spans="1:20" ht="20.100000000000001" customHeight="1" x14ac:dyDescent="0.25">
      <c r="C3" s="4"/>
      <c r="D3" s="4" t="s">
        <v>80</v>
      </c>
      <c r="E3" s="4"/>
      <c r="F3" s="4"/>
      <c r="G3" s="4"/>
      <c r="H3" s="4"/>
      <c r="I3" s="4"/>
      <c r="J3" s="4"/>
      <c r="L3" s="4"/>
      <c r="M3" s="4" t="s">
        <v>81</v>
      </c>
      <c r="N3" s="4"/>
      <c r="O3" s="4"/>
      <c r="P3" s="4"/>
      <c r="Q3" s="4"/>
      <c r="R3" s="4"/>
      <c r="S3" s="4"/>
      <c r="T3" s="4"/>
    </row>
    <row r="4" spans="1:20" ht="20.100000000000001" customHeight="1" x14ac:dyDescent="0.25"/>
    <row r="5" spans="1:20" ht="20.100000000000001" customHeight="1" x14ac:dyDescent="0.25">
      <c r="D5" s="6" t="str" cm="1">
        <f t="array" ref="D5">AgResidue_Equations_CropResidue.VEERG_6_1_1_1__2__MassOfNitrogenInCropResidues_Title()</f>
        <v>Mass of nitrogen in crop residues returned to the soil</v>
      </c>
      <c r="E5" s="22"/>
      <c r="F5" s="22"/>
      <c r="G5" s="22"/>
      <c r="H5" s="22"/>
      <c r="L5" s="22"/>
      <c r="M5" s="6" t="str" cm="1">
        <f t="array" ref="M5">AgResidue_Equations_CropResidue.VEERG_6_1_1_2__1__FractionOfCropResidueRemovedBaled_Title()</f>
        <v>Fraction of crop residue that is removed for crop c, calculated where residues are baled</v>
      </c>
      <c r="N5" s="22"/>
      <c r="O5" s="22"/>
      <c r="P5" s="22"/>
      <c r="Q5" s="22"/>
    </row>
    <row r="6" spans="1:20" ht="20.100000000000001" customHeight="1" x14ac:dyDescent="0.25">
      <c r="D6" s="5" t="str" cm="1">
        <f t="array" ref="D6">AgResidue_Equations_CropResidue.VEERG_6_1_1_1__2__MassOfNitrogenInCropResidues_Source()</f>
        <v>VEERG 2026: 6.1.1.1, Equation (2)</v>
      </c>
      <c r="E6" s="22"/>
      <c r="F6" s="22"/>
      <c r="G6" s="22"/>
      <c r="H6" s="22"/>
      <c r="J6" s="22"/>
      <c r="L6" s="22"/>
      <c r="M6" s="5" t="str" cm="1">
        <f t="array" ref="M6">AgResidue_Equations_CropResidue.VEERG_6_1_1_2__1__FractionOfCropResidueRemovedBaled_Source()</f>
        <v>VEERG 2026: 6.1.1.2, Equation (1)</v>
      </c>
      <c r="N6" s="22"/>
      <c r="O6" s="22"/>
      <c r="P6" s="22"/>
      <c r="Q6" s="22"/>
    </row>
    <row r="7" spans="1:20" ht="20.100000000000001" customHeight="1" x14ac:dyDescent="0.25">
      <c r="D7" s="13" t="s">
        <v>22</v>
      </c>
      <c r="E7" s="13" t="str" cm="1">
        <f t="array" aca="1" ref="E7" ca="1">Common_InputFunctions.Utility_DisplayFunctionName(E24)</f>
        <v>=AgResidue_Equations_CropResidue.VEERG_6_1_1_1__2__MassOfNitrogenInCropResidues</v>
      </c>
      <c r="F7" s="22"/>
      <c r="G7" s="22"/>
      <c r="H7" s="22"/>
      <c r="J7" s="22"/>
      <c r="L7" s="22"/>
      <c r="M7" s="53" t="str" cm="1">
        <f t="array" ref="M7">"⚠️" &amp; AgResidue_Equations_CropResidue.VEERG_6_1_1_2__1__FractionOfCropResidueRemovedBaled_Variation()</f>
        <v>⚠️VARIATION FROM SOURCE: Added 'baled' to variable subscript</v>
      </c>
      <c r="N7" s="22"/>
      <c r="O7" s="22"/>
      <c r="P7" s="22"/>
      <c r="Q7" s="22"/>
    </row>
    <row r="8" spans="1:20" ht="20.100000000000001" customHeight="1" x14ac:dyDescent="0.25">
      <c r="F8" s="22"/>
      <c r="G8" s="22"/>
      <c r="H8" s="22"/>
      <c r="J8" s="22"/>
      <c r="L8" s="22"/>
      <c r="M8" s="13" t="s">
        <v>22</v>
      </c>
      <c r="N8" s="13" t="str" cm="1">
        <f t="array" aca="1" ref="N8" ca="1">Common_InputFunctions.Utility_DisplayFunctionName(N21)</f>
        <v>=AgResidue_Equations_CropResidue.VEERG_6_1_1_2__1__FractionOfCropResidueRemovedBaled</v>
      </c>
      <c r="O8" s="22"/>
      <c r="P8" s="22"/>
      <c r="Q8" s="22"/>
    </row>
    <row r="9" spans="1:20" ht="20.100000000000001" customHeight="1" x14ac:dyDescent="0.25">
      <c r="D9" s="22"/>
      <c r="E9" s="22"/>
      <c r="F9" s="22"/>
      <c r="G9" s="22"/>
      <c r="H9" s="22"/>
      <c r="J9" s="22"/>
      <c r="L9" s="22"/>
      <c r="M9" s="22"/>
      <c r="N9" s="22"/>
      <c r="O9" s="22"/>
      <c r="P9" s="22"/>
      <c r="Q9" s="22"/>
    </row>
    <row r="10" spans="1:20" ht="20.100000000000001" customHeight="1" x14ac:dyDescent="0.25">
      <c r="D10" s="51" t="s">
        <v>25</v>
      </c>
      <c r="E10" s="1" t="str" cm="1">
        <f t="array" ref="E10">AgResidue_Equations_CropResidue.VEERG_6_1_1_1__2__MassOfNitrogenInCropResidues_Variable()</f>
        <v>M_c</v>
      </c>
      <c r="F10" s="22"/>
      <c r="G10" s="22"/>
      <c r="H10" s="22"/>
      <c r="J10" s="22"/>
      <c r="L10" s="22"/>
      <c r="M10" s="22"/>
      <c r="N10" s="22"/>
      <c r="O10" s="22"/>
      <c r="P10" s="22"/>
      <c r="Q10" s="22"/>
    </row>
    <row r="11" spans="1:20" ht="20.100000000000001" customHeight="1" x14ac:dyDescent="0.25">
      <c r="D11" s="51" t="s">
        <v>16</v>
      </c>
      <c r="E11" s="52" t="str" cm="1">
        <f t="array" ref="E11">AgResidue_Equations_CropResidue.VEERG_6_1_1_1__2__MassOfNitrogenInCropResidues_Unit()</f>
        <v>kg N</v>
      </c>
      <c r="F11" s="22"/>
      <c r="G11" s="22"/>
      <c r="H11" s="22"/>
      <c r="J11" s="22"/>
      <c r="L11" s="22"/>
      <c r="M11" s="22"/>
      <c r="N11" s="22"/>
      <c r="O11" s="22"/>
      <c r="P11" s="22"/>
      <c r="Q11" s="22"/>
    </row>
    <row r="12" spans="1:20" ht="20.100000000000001" customHeight="1" x14ac:dyDescent="0.25">
      <c r="D12" s="22"/>
      <c r="E12" s="22"/>
      <c r="F12" s="22"/>
      <c r="G12" s="22"/>
      <c r="J12" s="22"/>
      <c r="L12" s="22"/>
      <c r="M12" s="51" t="s">
        <v>25</v>
      </c>
      <c r="N12" s="1" t="str" cm="1">
        <f t="array" ref="N12">AgResidue_Equations_CropResidue.VEERG_6_1_1_2__1__FractionOfCropResidueRemovedBaled_Variable()</f>
        <v>FFOD_cbaled</v>
      </c>
      <c r="O12" s="22"/>
      <c r="P12" s="22"/>
      <c r="Q12" s="22"/>
    </row>
    <row r="13" spans="1:20" ht="20.100000000000001" customHeight="1" x14ac:dyDescent="0.25">
      <c r="D13" s="118" t="str" cm="1">
        <f t="array" ref="D13:E22">_xlfn.CHOOSECOLS(AgResidue_Equations_CropResidue.VEERG_6_1_1_1__2__MassOfNitrogenInCropResidues_Arguments(), 1, 2)</f>
        <v>P_c</v>
      </c>
      <c r="E13" s="125" t="str">
        <v>annual production of crop c</v>
      </c>
      <c r="F13" s="124"/>
      <c r="G13" s="118" t="str" cm="1">
        <f t="array" ref="G13:H22">_xlfn.CHOOSECOLS(AgResidue_Equations_CropResidue.VEERG_6_1_1_1__2__MassOfNitrogenInCropResidues_Arguments(), 3,4)</f>
        <v>kg</v>
      </c>
      <c r="H13" s="112" t="str">
        <v>Input</v>
      </c>
      <c r="I13" s="118">
        <f>'Input - Crop'!$E$20*10^3</f>
        <v>10000</v>
      </c>
      <c r="J13" s="22"/>
      <c r="L13" s="22"/>
      <c r="M13" s="51" t="s">
        <v>16</v>
      </c>
      <c r="N13" s="52" t="str" cm="1">
        <f t="array" ref="N13">AgResidue_Equations_CropResidue.VEERG_6_1_1_2__1__FractionOfCropResidueRemovedBaled_Unit()</f>
        <v>dimensionless</v>
      </c>
      <c r="O13" s="22"/>
      <c r="P13" s="22"/>
      <c r="Q13" s="22"/>
    </row>
    <row r="14" spans="1:20" ht="20.100000000000001" customHeight="1" x14ac:dyDescent="0.25">
      <c r="D14" s="118" t="str">
        <v>R_AGc</v>
      </c>
      <c r="E14" s="125" t="str">
        <v>residue to crop ratio for crop c</v>
      </c>
      <c r="F14" s="124"/>
      <c r="G14" s="118" t="str">
        <v>dimensionless</v>
      </c>
      <c r="H14" s="111" t="str">
        <v>Constant</v>
      </c>
      <c r="I14" s="118">
        <f>'Input - Crop'!$E$21</f>
        <v>1</v>
      </c>
      <c r="J14" s="22"/>
      <c r="L14" s="22"/>
      <c r="M14" s="22"/>
      <c r="N14" s="22"/>
      <c r="O14" s="22"/>
      <c r="P14" s="22"/>
    </row>
    <row r="15" spans="1:20" ht="20.100000000000001" customHeight="1" x14ac:dyDescent="0.25">
      <c r="D15" s="118" t="str">
        <v>R_BGc</v>
      </c>
      <c r="E15" s="125" t="str">
        <v>below ground-residue to above ground residue ratio for crop c</v>
      </c>
      <c r="F15" s="124"/>
      <c r="G15" s="118" t="str">
        <v>dimensionless</v>
      </c>
      <c r="H15" s="111" t="str">
        <v>Constant</v>
      </c>
      <c r="I15" s="118" cm="1">
        <f t="array" ref="I15">Common_InputFunctions.Utility_LookupValueInTableNumber($I$21,Table_SourceData_CropAttributes[Crop type],Table_SourceData_CropAttributes[Below-ground: above-ground residue ratio])</f>
        <v>0.28999999999999998</v>
      </c>
      <c r="L15" s="22"/>
      <c r="M15" s="118" t="str" cm="1">
        <f t="array" ref="M15:N19">_xlfn.CHOOSECOLS(AgResidue_Equations_CropResidue.VEERG_6_1_1_2__1__FractionOfCropResidueRemovedBaled_Arguments(), 1, 2)</f>
        <v>B</v>
      </c>
      <c r="N15" s="118" t="str">
        <v>number of bales generated</v>
      </c>
      <c r="O15" s="118" t="str" cm="1">
        <f t="array" ref="O15:P19">_xlfn.CHOOSECOLS(AgResidue_Equations_CropResidue.VEERG_6_1_1_2__1__FractionOfCropResidueRemovedBaled_Arguments(), 3,4)</f>
        <v>dimensionless</v>
      </c>
      <c r="P15" s="112" t="str">
        <v>Input</v>
      </c>
      <c r="Q15" s="151">
        <f>'Input - Crop'!$E$35</f>
        <v>1666.6666666666667</v>
      </c>
    </row>
    <row r="16" spans="1:20" ht="20.100000000000001" customHeight="1" x14ac:dyDescent="0.25">
      <c r="D16" s="118" t="str">
        <v>F_c</v>
      </c>
      <c r="E16" s="125" t="str">
        <v>fraction of crop residue that is burnt for crop c</v>
      </c>
      <c r="F16" s="124"/>
      <c r="G16" s="118" t="str">
        <v>dimensionless</v>
      </c>
      <c r="H16" s="112" t="str">
        <v>Input</v>
      </c>
      <c r="I16" s="118">
        <f>'Input - Crop'!$E$43</f>
        <v>0.3</v>
      </c>
      <c r="L16" s="22"/>
      <c r="M16" s="118" t="str">
        <v>M_B</v>
      </c>
      <c r="N16" s="118" t="str">
        <v>mass of each bale</v>
      </c>
      <c r="O16" s="118" t="str">
        <v>kg</v>
      </c>
      <c r="P16" s="112" t="str">
        <v>Input</v>
      </c>
      <c r="Q16" s="118">
        <f>'Input - Crop'!$E$34</f>
        <v>60</v>
      </c>
    </row>
    <row r="17" spans="4:17" ht="20.100000000000001" customHeight="1" x14ac:dyDescent="0.25">
      <c r="D17" s="118" t="str">
        <v>FFOD_c</v>
      </c>
      <c r="E17" s="125" t="str">
        <v>fraction of the crop residue that is removed for crop c</v>
      </c>
      <c r="F17" s="124"/>
      <c r="G17" s="118" t="str">
        <v>dimensionless</v>
      </c>
      <c r="H17" s="111" t="str">
        <v>Constant</v>
      </c>
      <c r="I17" s="118" cm="1">
        <f t="array" ref="I17">IF(ISNUMBER(_xlfn.XLOOKUP(1, (Table77[Crop type c]=$I$21)*(Table77[State]=$I$22),Table77[Fraction removed])), _xlfn.XLOOKUP(1, (Table77[Crop type c]=$I$21)*(Table77[State]=$I$22),Table77[Fraction removed]), 0)</f>
        <v>0.11</v>
      </c>
      <c r="L17" s="22"/>
      <c r="M17" s="118" t="str">
        <v>P_c</v>
      </c>
      <c r="N17" s="118" t="str">
        <v>annual production of crop c</v>
      </c>
      <c r="O17" s="118" t="str">
        <v>kg</v>
      </c>
      <c r="P17" s="112" t="str">
        <v>Input</v>
      </c>
      <c r="Q17" s="118">
        <f>'Input - Crop'!$E$25*10^3</f>
        <v>1000000</v>
      </c>
    </row>
    <row r="18" spans="4:17" ht="20.100000000000001" customHeight="1" x14ac:dyDescent="0.25">
      <c r="D18" s="118" t="str">
        <v>DM_c</v>
      </c>
      <c r="E18" s="125" t="str">
        <v>dry matter content of crop c</v>
      </c>
      <c r="F18" s="124"/>
      <c r="G18" s="118" t="str">
        <v>kg dry weight/kg crop residue</v>
      </c>
      <c r="H18" s="111" t="str">
        <v>Constant</v>
      </c>
      <c r="I18" s="118" cm="1">
        <f t="array" ref="I18">Common_InputFunctions.Utility_LookupValueInTableNumber($I$21,Table_SourceData_CropAttributes[Crop type],Table_SourceData_CropAttributes[Dry matter content])</f>
        <v>0.88</v>
      </c>
      <c r="L18" s="22"/>
      <c r="M18" s="118" t="str">
        <v>R_AGc</v>
      </c>
      <c r="N18" s="118" t="str">
        <v>residue to crop ratio for crop c</v>
      </c>
      <c r="O18" s="118" t="str">
        <v>dimensionless</v>
      </c>
      <c r="P18" s="112" t="str">
        <v>Input</v>
      </c>
      <c r="Q18" s="118">
        <f>'Input - Crop'!$E$21</f>
        <v>1</v>
      </c>
    </row>
    <row r="19" spans="4:17" ht="20.100000000000001" customHeight="1" x14ac:dyDescent="0.25">
      <c r="D19" s="118" t="str">
        <v>NC_AGc</v>
      </c>
      <c r="E19" s="125" t="str">
        <v>nitrogen content of above-ground crop residue of crop c</v>
      </c>
      <c r="F19" s="124"/>
      <c r="G19" s="118" t="str">
        <v>kg N/kg DM</v>
      </c>
      <c r="H19" s="111" t="str">
        <v>Constant</v>
      </c>
      <c r="I19" s="118" cm="1">
        <f t="array" ref="I19">Common_InputFunctions.Utility_LookupValueInTableNumber($I$21,Table_SourceData_CropAttributes[Crop type],Table_SourceData_CropAttributes[N content above-ground])</f>
        <v>6.0000000000000001E-3</v>
      </c>
      <c r="L19" s="22"/>
      <c r="M19" s="118" t="str">
        <v>c</v>
      </c>
      <c r="N19" s="118" t="str">
        <v>Crop type</v>
      </c>
      <c r="O19" s="118" t="str">
        <v/>
      </c>
      <c r="P19" s="112" t="str">
        <v>Input</v>
      </c>
      <c r="Q19" s="118" t="str">
        <f>'[1]Input - Grains'!$E$9</f>
        <v>Wheat</v>
      </c>
    </row>
    <row r="20" spans="4:17" ht="20.100000000000001" customHeight="1" x14ac:dyDescent="0.25">
      <c r="D20" s="118" t="str">
        <v>NC_BGc</v>
      </c>
      <c r="E20" s="125" t="str">
        <v>nitrogen content of below-ground crop residue of crop c</v>
      </c>
      <c r="F20" s="124"/>
      <c r="G20" s="118" t="str">
        <v>kg N/kg DM</v>
      </c>
      <c r="H20" s="111" t="str">
        <v>Constant</v>
      </c>
      <c r="I20" s="118" cm="1">
        <f t="array" ref="I20">Common_InputFunctions.Utility_LookupValueInTableNumber($I$21,Table_SourceData_CropAttributes[Crop type],Table_SourceData_CropAttributes[N content below-ground])</f>
        <v>0.01</v>
      </c>
      <c r="L20" s="22"/>
      <c r="M20" s="22"/>
      <c r="N20" s="22"/>
      <c r="O20" s="22"/>
      <c r="P20" s="22"/>
      <c r="Q20" s="22"/>
    </row>
    <row r="21" spans="4:17" ht="20.100000000000001" customHeight="1" x14ac:dyDescent="0.25">
      <c r="D21" s="118" t="str">
        <v>c</v>
      </c>
      <c r="E21" s="125" t="str">
        <v>Crop type</v>
      </c>
      <c r="F21" s="124"/>
      <c r="G21" s="118" t="str">
        <v/>
      </c>
      <c r="H21" s="112" t="str">
        <v>Input</v>
      </c>
      <c r="I21" s="118" t="str">
        <f>'Input - Crop'!$E$9</f>
        <v>Wheat</v>
      </c>
      <c r="L21" s="22"/>
      <c r="M21" s="120" t="s">
        <v>244</v>
      </c>
      <c r="N21" s="44" cm="1">
        <f t="array" ref="N21">AgResidue_Equations_CropResidue.VEERG_6_1_1_2__1__FractionOfCropResidueRemovedBaled(Q15,Q16,Q17,Q18)</f>
        <v>0.1</v>
      </c>
    </row>
    <row r="22" spans="4:17" ht="20.100000000000001" customHeight="1" x14ac:dyDescent="0.25">
      <c r="D22" s="118" t="str">
        <v>State</v>
      </c>
      <c r="E22" s="125" t="str">
        <v>State or territory</v>
      </c>
      <c r="F22" s="124"/>
      <c r="G22" s="118" t="str">
        <v/>
      </c>
      <c r="H22" s="112" t="str">
        <v>Input</v>
      </c>
      <c r="I22" s="118" t="str" cm="1">
        <f t="array" ref="I22">Common_InputFunctions.Utility_ConvertStateCommonNameToAbbreviation('Input - Site'!$E$21,Table_AustralianStates[Common Name],Table_AustralianStates[Abbreviation])</f>
        <v>WA</v>
      </c>
      <c r="L22" s="22"/>
      <c r="M22" s="22"/>
      <c r="N22" s="22"/>
      <c r="O22" s="22"/>
      <c r="P22" s="22"/>
      <c r="Q22" s="22"/>
    </row>
    <row r="23" spans="4:17" ht="20.100000000000001" customHeight="1" x14ac:dyDescent="0.25">
      <c r="D23" s="22"/>
      <c r="E23" s="22"/>
      <c r="F23" s="22"/>
      <c r="G23" s="22"/>
      <c r="H23" s="22"/>
      <c r="L23" s="22"/>
      <c r="M23" s="22"/>
      <c r="N23" s="22"/>
      <c r="O23" s="22"/>
      <c r="P23" s="22"/>
      <c r="Q23" s="22"/>
    </row>
    <row r="24" spans="4:17" ht="20.100000000000001" customHeight="1" x14ac:dyDescent="0.25">
      <c r="D24" s="120" t="s">
        <v>246</v>
      </c>
      <c r="E24" s="150" cm="1">
        <f t="array" ref="E24">AgResidue_Equations_CropResidue.VEERG_6_1_1_1__2__MassOfNitrogenInCropResidues(I13,I14,I16,I17,I18,I19,I15,I20)</f>
        <v>56.671999999999997</v>
      </c>
      <c r="F24" s="121" t="str">
        <f>$E$11</f>
        <v>kg N</v>
      </c>
      <c r="L24" s="22"/>
      <c r="M24" s="6" t="str" cm="1">
        <f t="array" ref="M24">AgResidue_Equations_CropResidue.VEERG_6_1_1_2__1a__FractionOfCropResidueRemoved_Title()</f>
        <v>Fraction of crop residue that is removed for crop c</v>
      </c>
      <c r="N24" s="22"/>
      <c r="O24" s="22"/>
      <c r="P24" s="22"/>
      <c r="Q24" s="22"/>
    </row>
    <row r="25" spans="4:17" ht="20.100000000000001" customHeight="1" x14ac:dyDescent="0.25">
      <c r="D25" s="51"/>
      <c r="E25" s="22"/>
      <c r="F25" s="22"/>
      <c r="G25" s="22"/>
      <c r="H25" s="22"/>
      <c r="L25" s="22"/>
      <c r="M25" s="6" t="str" cm="1">
        <f t="array" ref="M25">AgResidue_Equations_CropResidue.VEERG_6_1_1_2__1a__FractionOfCropResidueRemoved_Source()</f>
        <v/>
      </c>
      <c r="N25" s="22"/>
      <c r="O25" s="22"/>
      <c r="P25" s="22"/>
      <c r="Q25" s="22"/>
    </row>
    <row r="26" spans="4:17" ht="20.100000000000001" customHeight="1" x14ac:dyDescent="0.25">
      <c r="D26" s="22"/>
      <c r="E26" s="22"/>
      <c r="F26" s="22"/>
      <c r="G26" s="22"/>
      <c r="H26" s="22"/>
      <c r="L26" s="22"/>
      <c r="M26" s="53" t="str" cm="1">
        <f t="array" ref="M26">"⚠️" &amp; AgResidue_Equations_CropResidue.VEERG_6_1_1_2__1a__FractionOfCropResidueRemoved_Variation()</f>
        <v>⚠️VARIATION FROM SOURCE: Added this equation to accommodate user-defined residue removal other than baling.</v>
      </c>
      <c r="N26" s="22"/>
      <c r="O26" s="22"/>
      <c r="P26" s="22"/>
      <c r="Q26" s="22"/>
    </row>
    <row r="27" spans="4:17" ht="20.100000000000001" customHeight="1" x14ac:dyDescent="0.25">
      <c r="D27" s="149"/>
      <c r="E27" s="149"/>
      <c r="F27" s="149"/>
      <c r="G27" s="149"/>
      <c r="H27" s="149"/>
      <c r="I27" s="149"/>
      <c r="L27" s="22"/>
      <c r="M27" s="22"/>
      <c r="N27" s="22"/>
      <c r="O27" s="22"/>
      <c r="P27" s="22"/>
      <c r="Q27" s="22"/>
    </row>
    <row r="28" spans="4:17"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2"/>
      <c r="F28" s="22"/>
      <c r="G28" s="22"/>
      <c r="H28" s="22"/>
      <c r="J28" s="22"/>
      <c r="L28" s="22"/>
      <c r="M28" s="22"/>
      <c r="N28" s="22"/>
      <c r="O28" s="22"/>
      <c r="P28" s="22"/>
      <c r="Q28" s="22"/>
    </row>
    <row r="29" spans="4:17" ht="20.100000000000001" customHeight="1" x14ac:dyDescent="0.25">
      <c r="D29" s="5" t="str" cm="1">
        <f t="array" ref="D29">AgResidue_Equations_CropResidue.VEERG_6_1_1_1__1__NitrousOxideEmissionsFromCropResidues_Source()</f>
        <v>VEERG 2026: 6.1.1.1, Equation (1)</v>
      </c>
      <c r="E29" s="22"/>
      <c r="F29" s="22"/>
      <c r="G29" s="22"/>
      <c r="H29" s="22"/>
      <c r="J29" s="22"/>
      <c r="L29" s="22"/>
      <c r="M29" s="22"/>
      <c r="N29" s="22"/>
      <c r="O29" s="22"/>
      <c r="P29" s="53"/>
      <c r="Q29" s="22"/>
    </row>
    <row r="30" spans="4:17" ht="20.100000000000001" customHeight="1" x14ac:dyDescent="0.25">
      <c r="D30" s="13" t="s">
        <v>22</v>
      </c>
      <c r="E30" s="13" t="str" cm="1">
        <f t="array" aca="1" ref="E30" ca="1">Common_InputFunctions.Utility_DisplayFunctionName(E42)</f>
        <v>=AgResidue_Equations_CropResidue.VEERG_6_1_1_1__1__NitrousOxideEmissionsFromCropResidues</v>
      </c>
      <c r="F30" s="22"/>
      <c r="G30" s="22"/>
      <c r="H30" s="22"/>
      <c r="L30" s="22"/>
      <c r="M30" s="51" t="s">
        <v>25</v>
      </c>
      <c r="N30" s="1" t="str" cm="1">
        <f t="array" ref="N30">AgResidue_Equations_CropResidue.VEERG_6_1_1_2__1a__FractionOfCropResidueRemoved_Variable()</f>
        <v>FFOD_c</v>
      </c>
      <c r="O30" s="22"/>
      <c r="P30" s="22"/>
      <c r="Q30" s="22"/>
    </row>
    <row r="31" spans="4:17" ht="20.100000000000001" customHeight="1" x14ac:dyDescent="0.25">
      <c r="F31" s="22"/>
      <c r="G31" s="22"/>
      <c r="H31" s="22"/>
      <c r="J31" s="22"/>
      <c r="L31" s="22"/>
      <c r="M31" s="51" t="s">
        <v>16</v>
      </c>
      <c r="N31" s="52" t="str" cm="1">
        <f t="array" ref="N31">AgResidue_Equations_CropResidue.VEERG_6_1_1_2__1a__FractionOfCropResidueRemoved_Unit()</f>
        <v>dimensionless</v>
      </c>
      <c r="O31" s="22"/>
      <c r="P31" s="22"/>
      <c r="Q31" s="22"/>
    </row>
    <row r="32" spans="4:17" ht="20.100000000000001" customHeight="1" x14ac:dyDescent="0.25">
      <c r="D32" s="22"/>
      <c r="E32" s="22"/>
      <c r="F32" s="22"/>
      <c r="G32" s="22"/>
      <c r="H32" s="22"/>
      <c r="J32" s="22"/>
      <c r="M32" s="22"/>
      <c r="N32" s="22"/>
      <c r="O32" s="22"/>
      <c r="P32" s="22"/>
      <c r="Q32" s="22"/>
    </row>
    <row r="33" spans="1:20" ht="20.100000000000001" customHeight="1" x14ac:dyDescent="0.25">
      <c r="D33" s="51" t="s">
        <v>25</v>
      </c>
      <c r="E33" s="1" t="str" cm="1">
        <f t="array" ref="E33">AgResidue_Equations_CropResidue.VEERG_6_1_1_1__1__NitrousOxideEmissionsFromCropResidues_Variable()</f>
        <v>E</v>
      </c>
      <c r="F33" s="22"/>
      <c r="G33" s="22"/>
      <c r="H33" s="22"/>
      <c r="J33" s="22"/>
      <c r="M33" s="118" t="str" cm="1">
        <f t="array" ref="M33:N34">_xlfn.CHOOSECOLS(AgResidue_Equations_CropResidue.VEERG_6_1_1_2__1a__FractionOfCropResidueRemoved_Arguments(), 1, 2)</f>
        <v>FFOD_cbaled</v>
      </c>
      <c r="N33" s="118" t="str">
        <v>Fraction of crop residue that is removed for crop c, calculated where residues are baled</v>
      </c>
      <c r="O33" s="118"/>
      <c r="P33" s="118"/>
      <c r="Q33" s="118" t="str" cm="1">
        <f t="array" ref="Q33:R34">_xlfn.CHOOSECOLS(AgResidue_Equations_CropResidue.VEERG_6_1_1_2__1a__FractionOfCropResidueRemoved_Arguments(), 3,4)</f>
        <v>fraction</v>
      </c>
      <c r="R33" s="111" t="str">
        <v>Calculated from 6.1.1.2, (1)</v>
      </c>
      <c r="S33" s="118">
        <f>$N$21</f>
        <v>0.1</v>
      </c>
    </row>
    <row r="34" spans="1:20" ht="20.100000000000001" customHeight="1" x14ac:dyDescent="0.25">
      <c r="D34" s="51" t="s">
        <v>16</v>
      </c>
      <c r="E34" s="52" t="str" cm="1">
        <f t="array" ref="E34">AgResidue_Equations_CropResidue.VEERG_6_1_1_1__1__NitrousOxideEmissionsFromCropResidues_Unit()</f>
        <v>t N2O</v>
      </c>
      <c r="F34" s="22"/>
      <c r="G34" s="22"/>
      <c r="H34" s="22"/>
      <c r="J34" s="22"/>
      <c r="M34" s="118" t="str">
        <v>FFOD_cother</v>
      </c>
      <c r="N34" s="118" t="str">
        <v>Fraction of crop residue that is removed for crop c, calculated where residues are removed by other means</v>
      </c>
      <c r="O34" s="118"/>
      <c r="P34" s="118"/>
      <c r="Q34" s="118" t="str">
        <v>fraction</v>
      </c>
      <c r="R34" s="112" t="str">
        <v>Input</v>
      </c>
      <c r="S34" s="118">
        <f>'Input - Crop'!$E$39</f>
        <v>0.01</v>
      </c>
    </row>
    <row r="35" spans="1:20" ht="20.100000000000001" customHeight="1" x14ac:dyDescent="0.25">
      <c r="D35" s="22"/>
      <c r="E35" s="22"/>
      <c r="F35" s="22"/>
      <c r="G35" s="22"/>
      <c r="H35" s="22"/>
      <c r="J35" s="22"/>
      <c r="M35" s="22"/>
      <c r="N35" s="22"/>
      <c r="O35" s="22"/>
      <c r="P35" s="22"/>
      <c r="Q35" s="22"/>
    </row>
    <row r="36" spans="1:20" ht="20.100000000000001" customHeight="1" x14ac:dyDescent="0.25">
      <c r="D36" s="118" t="str" cm="1">
        <f t="array" ref="D36:E40">_xlfn.CHOOSECOLS(AgResidue_Equations_CropResidue.VEERG_6_1_1_1__1__NitrousOxideEmissionsFromCropResidues_Arguments(), 1, 2)</f>
        <v>M_c</v>
      </c>
      <c r="E36" s="125" t="str">
        <v>mass of nitrogen in crop c residues returned to the soil</v>
      </c>
      <c r="F36" s="124"/>
      <c r="G36" s="118" t="str" cm="1">
        <f t="array" ref="G36:H40">_xlfn.CHOOSECOLS(AgResidue_Equations_CropResidue.VEERG_6_1_1_1__1__NitrousOxideEmissionsFromCropResidues_Arguments(), 3,4)</f>
        <v>kg N</v>
      </c>
      <c r="H36" s="111" t="str">
        <v>Calculated from 6.1.1.1 (2)</v>
      </c>
      <c r="I36" s="118">
        <f>E24</f>
        <v>56.671999999999997</v>
      </c>
      <c r="J36" s="22"/>
      <c r="M36" s="120" t="s">
        <v>245</v>
      </c>
      <c r="N36" s="44" cm="1">
        <f t="array" ref="N36">AgResidue_Equations_CropResidue.VEERG_6_1_1_2__1a__FractionOfCropResidueRemoved($S$33,$S$34)</f>
        <v>0.11</v>
      </c>
    </row>
    <row r="37" spans="1:20" ht="20.100000000000001" customHeight="1" x14ac:dyDescent="0.25">
      <c r="A37" s="128" t="str">
        <f>HYPERLINK("#A1", "▲ Back to top")</f>
        <v>▲ Back to top</v>
      </c>
      <c r="D37" s="118" t="str">
        <v>EF_Ni</v>
      </c>
      <c r="E37" s="125" t="str">
        <v>emission factor for crop residues returned to the soil</v>
      </c>
      <c r="F37" s="124"/>
      <c r="G37" s="118" t="str">
        <v>kg N2O-N/kg N</v>
      </c>
      <c r="H37" s="111" t="str">
        <v>Constant</v>
      </c>
      <c r="I37" s="118" cm="1">
        <f t="array" ref="I37">Common_InputFunctions.Utility_LookupValueInTableNumber(I40,Table_SourceData_N2OEFOrganicFert[Climate zone type i],Table_SourceData_N2OEFOrganicFert[EF i N2O])</f>
        <v>5.0000000000000001E-3</v>
      </c>
      <c r="J37" s="22"/>
      <c r="L37" s="22"/>
      <c r="M37" s="22"/>
    </row>
    <row r="38" spans="1:20" ht="20.100000000000001" customHeight="1" x14ac:dyDescent="0.25">
      <c r="D38" s="118" t="str">
        <v>C_N2O</v>
      </c>
      <c r="E38" s="125" t="str">
        <v>factor to convert elemental mass of nitrous oxide to molecular mass</v>
      </c>
      <c r="F38" s="124"/>
      <c r="G38" s="118" t="str">
        <v>dimensionless</v>
      </c>
      <c r="H38" s="111" t="str">
        <v>Constant</v>
      </c>
      <c r="I38" s="118">
        <f>Common_InputFunctions.Utility_LookupValueInTableNumber("N2O",Table_GasToMolecularConversionFactor[Gas],Table_GasToMolecularConversionFactor[Conversion factor combined])</f>
        <v>1.5714285714285714</v>
      </c>
      <c r="J38" s="22"/>
      <c r="L38" s="22"/>
      <c r="M38" s="22"/>
    </row>
    <row r="39" spans="1:20" ht="20.100000000000001" customHeight="1" x14ac:dyDescent="0.25">
      <c r="D39" s="118" t="str">
        <v>c</v>
      </c>
      <c r="E39" s="125" t="str">
        <v>Crop type</v>
      </c>
      <c r="F39" s="124"/>
      <c r="G39" s="118" t="str">
        <v/>
      </c>
      <c r="H39" s="112" t="str">
        <v>Input</v>
      </c>
      <c r="I39" s="118" t="str">
        <f>'[1]Input - Grains'!$E$9</f>
        <v>Wheat</v>
      </c>
      <c r="J39" s="22"/>
      <c r="L39" s="44"/>
      <c r="M39" s="44"/>
      <c r="N39" s="44"/>
      <c r="O39" s="44"/>
      <c r="P39" s="44"/>
      <c r="Q39" s="44"/>
      <c r="R39" s="44"/>
      <c r="S39" s="44"/>
      <c r="T39" s="44"/>
    </row>
    <row r="40" spans="1:20" ht="20.100000000000001" customHeight="1" x14ac:dyDescent="0.25">
      <c r="D40" s="118" t="str">
        <v>i</v>
      </c>
      <c r="E40" s="125" t="str">
        <v>Wet or dry climate zone</v>
      </c>
      <c r="F40" s="124"/>
      <c r="G40" s="118" t="str">
        <v/>
      </c>
      <c r="H40" s="112" t="str">
        <v>Input</v>
      </c>
      <c r="I40" s="118" t="str">
        <f>'Input - Site'!$E$32</f>
        <v>Dry climate zone</v>
      </c>
      <c r="M40" s="6" t="str" cm="1">
        <f t="array" ref="M40">AgResidue_Equations_CropResidue.VEERG_6_1_1_1__2__MassOfNitrogenInCropResidues_Title()</f>
        <v>Mass of nitrogen in crop residues returned to the soil</v>
      </c>
      <c r="N40" s="22"/>
      <c r="O40" s="22"/>
      <c r="P40" s="22"/>
      <c r="Q40" s="22"/>
    </row>
    <row r="41" spans="1:20" ht="20.100000000000001" customHeight="1" x14ac:dyDescent="0.25">
      <c r="D41" s="22"/>
      <c r="E41" s="22"/>
      <c r="F41" s="22"/>
      <c r="G41" s="22"/>
      <c r="H41" s="22"/>
      <c r="L41" s="22"/>
      <c r="M41" s="5" t="str" cm="1">
        <f t="array" ref="M41">AgResidue_Equations_CropResidue.VEERG_6_1_1_1__2__MassOfNitrogenInCropResidues_Source()</f>
        <v>VEERG 2026: 6.1.1.1, Equation (2)</v>
      </c>
      <c r="N41" s="22"/>
      <c r="O41" s="22"/>
      <c r="P41" s="22"/>
      <c r="Q41" s="22"/>
    </row>
    <row r="42" spans="1:20" ht="20.100000000000001" customHeight="1" x14ac:dyDescent="0.25">
      <c r="D42" s="93" t="s">
        <v>112</v>
      </c>
      <c r="E42" s="94" cm="1">
        <f t="array" ref="E42">AgResidue_Equations_CropResidue.VEERG_6_1_1_1__1__NitrousOxideEmissionsFromCropResidues(I36,I37,I38)</f>
        <v>4.4527999999999999E-4</v>
      </c>
      <c r="F42" s="95" t="str">
        <f>$E$34</f>
        <v>t N2O</v>
      </c>
      <c r="H42" s="22"/>
      <c r="L42" s="22"/>
      <c r="M42" s="13" t="s">
        <v>22</v>
      </c>
      <c r="N42" s="13" t="str" cm="1">
        <f t="array" aca="1" ref="N42" ca="1">Common_InputFunctions.Utility_DisplayFunctionName(N59)</f>
        <v>=AgResidue_Equations_CropResidue.VEERG_6_1_1_1__2__MassOfNitrogenInCropResidues</v>
      </c>
      <c r="O42" s="22"/>
      <c r="P42" s="22"/>
      <c r="Q42" s="22"/>
    </row>
    <row r="43" spans="1:20" ht="20.100000000000001" customHeight="1" x14ac:dyDescent="0.25">
      <c r="H43" s="22"/>
      <c r="L43" s="22"/>
      <c r="O43" s="22"/>
      <c r="P43" s="22"/>
      <c r="Q43" s="22"/>
    </row>
    <row r="44" spans="1:20" ht="20.100000000000001" customHeight="1" x14ac:dyDescent="0.25">
      <c r="D44" s="54" t="str" cm="1">
        <f t="array" ref="D44:E45">Common_Equations.Common_ConvertN2OToCO2e_Arguments()</f>
        <v>EN2O</v>
      </c>
      <c r="E44" s="55" t="str">
        <v>Nitrous oxide emissions (t N2O)</v>
      </c>
      <c r="F44" s="96"/>
      <c r="G44" s="50">
        <f>E42</f>
        <v>4.4527999999999999E-4</v>
      </c>
      <c r="L44" s="22"/>
      <c r="M44" s="22"/>
      <c r="N44" s="22"/>
      <c r="O44" s="22"/>
      <c r="P44" s="22"/>
      <c r="Q44" s="22"/>
    </row>
    <row r="45" spans="1:20" ht="20.100000000000001" customHeight="1" x14ac:dyDescent="0.25">
      <c r="D45" s="54" t="str">
        <v>GWPN2O</v>
      </c>
      <c r="E45" s="55" t="str">
        <v>Global warming potential for nitrous oxide (t CO2-e / t N2O)</v>
      </c>
      <c r="F45" s="96"/>
      <c r="G45" s="50">
        <f>Common_InputFunctions.Utility_LookupValueInTableNumber("N2O",Table_GWPData[Gas],Table_GWPData[CO2-e factor])</f>
        <v>265</v>
      </c>
      <c r="J45" s="22"/>
      <c r="L45" s="22"/>
      <c r="M45" s="51" t="s">
        <v>25</v>
      </c>
      <c r="N45" s="1" t="str" cm="1">
        <f t="array" ref="N45">AgResidue_Equations_CropResidue.VEERG_6_1_1_1__2__MassOfNitrogenInCropResidues_Variable()</f>
        <v>M_c</v>
      </c>
      <c r="O45" s="22"/>
      <c r="P45" s="22"/>
      <c r="Q45" s="22"/>
    </row>
    <row r="46" spans="1:20" ht="20.100000000000001" customHeight="1" x14ac:dyDescent="0.25">
      <c r="H46" s="22"/>
      <c r="J46" s="22"/>
      <c r="L46" s="22"/>
      <c r="M46" s="51" t="s">
        <v>16</v>
      </c>
      <c r="N46" s="52" t="str" cm="1">
        <f t="array" ref="N46">AgResidue_Equations_CropResidue.VEERG_6_1_1_1__2__MassOfNitrogenInCropResidues_Unit()</f>
        <v>kg N</v>
      </c>
      <c r="O46" s="22"/>
      <c r="P46" s="22"/>
      <c r="Q46" s="22"/>
    </row>
    <row r="47" spans="1:20" ht="20.100000000000001" customHeight="1" x14ac:dyDescent="0.25">
      <c r="D47" s="44" t="s">
        <v>79</v>
      </c>
      <c r="E47" s="44" cm="1">
        <f t="array" ref="E47">Common_Equations.Common_ConvertN2OToCO2e(G44,G45)</f>
        <v>0.1179992</v>
      </c>
      <c r="F47" s="97" t="str" cm="1">
        <f t="array" ref="F47">Common_Equations.Common_ConvertN2OToCO2e_Unit()</f>
        <v>t CO2e</v>
      </c>
      <c r="H47" s="22"/>
      <c r="J47" s="22"/>
      <c r="L47" s="22"/>
      <c r="M47" s="22"/>
      <c r="N47" s="22"/>
      <c r="O47" s="22"/>
      <c r="P47" s="22"/>
    </row>
    <row r="48" spans="1:20" ht="20.100000000000001" customHeight="1" x14ac:dyDescent="0.25">
      <c r="D48" s="22"/>
      <c r="E48" s="22"/>
      <c r="F48" s="103"/>
      <c r="G48" s="22"/>
      <c r="H48" s="22"/>
      <c r="I48" s="22"/>
      <c r="J48" s="22"/>
      <c r="L48" s="22"/>
      <c r="M48" s="118" t="str" cm="1">
        <f t="array" ref="M48:N57">_xlfn.CHOOSECOLS(AgResidue_Equations_CropResidue.VEERG_6_1_1_1__2__MassOfNitrogenInCropResidues_Arguments_Method2(), 1, 2)</f>
        <v>P_c</v>
      </c>
      <c r="N48" s="125" t="str">
        <v>annual production of crop c</v>
      </c>
      <c r="O48" s="124"/>
      <c r="P48" s="118" t="str" cm="1">
        <f t="array" ref="P48:Q57">_xlfn.CHOOSECOLS(AgResidue_Equations_CropResidue.VEERG_6_1_1_1__2__MassOfNitrogenInCropResidues_Arguments_Method2(), 3,4)</f>
        <v>kg</v>
      </c>
      <c r="Q48" s="112" t="str">
        <v>Input</v>
      </c>
      <c r="R48" s="118"/>
    </row>
    <row r="49" spans="10:20" ht="20.100000000000001" customHeight="1" x14ac:dyDescent="0.25">
      <c r="J49" s="22"/>
      <c r="M49" s="118" t="str">
        <v>R_AGc</v>
      </c>
      <c r="N49" s="125" t="str">
        <v>residue to crop ratio for crop c</v>
      </c>
      <c r="O49" s="124"/>
      <c r="P49" s="118" t="str">
        <v>dimensionless</v>
      </c>
      <c r="Q49" s="111" t="str">
        <v>Constant</v>
      </c>
      <c r="R49" s="118"/>
    </row>
    <row r="50" spans="10:20" ht="20.100000000000001" customHeight="1" x14ac:dyDescent="0.25">
      <c r="J50" s="22"/>
      <c r="M50" s="118" t="str">
        <v>R_BGc</v>
      </c>
      <c r="N50" s="125" t="str">
        <v>below ground-residue to above ground residue ratio for crop c</v>
      </c>
      <c r="O50" s="124"/>
      <c r="P50" s="118" t="str">
        <v>dimensionless</v>
      </c>
      <c r="Q50" s="111" t="str">
        <v>Constant</v>
      </c>
      <c r="R50" s="118"/>
    </row>
    <row r="51" spans="10:20" ht="20.100000000000001" customHeight="1" x14ac:dyDescent="0.25">
      <c r="J51" s="22"/>
      <c r="M51" s="118" t="str">
        <v>F_c</v>
      </c>
      <c r="N51" s="125" t="str">
        <v>fraction of crop residue that is burnt for crop c</v>
      </c>
      <c r="O51" s="124"/>
      <c r="P51" s="118" t="str">
        <v>dimensionless</v>
      </c>
      <c r="Q51" s="112" t="str">
        <v>Input</v>
      </c>
      <c r="R51" s="118"/>
    </row>
    <row r="52" spans="10:20" ht="20.100000000000001" customHeight="1" x14ac:dyDescent="0.25">
      <c r="J52" s="22"/>
      <c r="M52" s="118" t="str">
        <v>FFOD_c</v>
      </c>
      <c r="N52" s="125" t="str">
        <v>fraction of the crop residue that is removed for crop c</v>
      </c>
      <c r="O52" s="124"/>
      <c r="P52" s="118" t="str">
        <v>dimensionless</v>
      </c>
      <c r="Q52" s="111" t="str">
        <v>Calculated from 6.1.1.2 (1)</v>
      </c>
      <c r="R52" s="118">
        <f>N36</f>
        <v>0.11</v>
      </c>
    </row>
    <row r="53" spans="10:20" ht="20.100000000000001" customHeight="1" x14ac:dyDescent="0.25">
      <c r="M53" s="118" t="str">
        <v>DM_c</v>
      </c>
      <c r="N53" s="125" t="str">
        <v>dry matter content of crop c</v>
      </c>
      <c r="O53" s="124"/>
      <c r="P53" s="118" t="str">
        <v>kg dry weight/kg crop residue</v>
      </c>
      <c r="Q53" s="111" t="str">
        <v>Constant</v>
      </c>
      <c r="R53" s="118"/>
    </row>
    <row r="54" spans="10:20" ht="20.100000000000001" customHeight="1" x14ac:dyDescent="0.25">
      <c r="M54" s="118" t="str">
        <v>NC_AGc</v>
      </c>
      <c r="N54" s="125" t="str">
        <v>nitrogen content of above-ground crop residue of crop c</v>
      </c>
      <c r="O54" s="124"/>
      <c r="P54" s="118" t="str">
        <v>kg N/kg DM</v>
      </c>
      <c r="Q54" s="111" t="str">
        <v>Constant</v>
      </c>
      <c r="R54" s="118"/>
    </row>
    <row r="55" spans="10:20" ht="20.100000000000001" customHeight="1" x14ac:dyDescent="0.25">
      <c r="M55" s="118" t="str">
        <v>NC_BGc</v>
      </c>
      <c r="N55" s="125" t="str">
        <v>nitrogen content of below-ground crop residue of crop c</v>
      </c>
      <c r="O55" s="124"/>
      <c r="P55" s="118" t="str">
        <v>kg N/kg DM</v>
      </c>
      <c r="Q55" s="111" t="str">
        <v>Constant</v>
      </c>
      <c r="R55" s="118"/>
    </row>
    <row r="56" spans="10:20" ht="20.100000000000001" customHeight="1" x14ac:dyDescent="0.25">
      <c r="M56" s="118" t="str">
        <v>c</v>
      </c>
      <c r="N56" s="125" t="str">
        <v>Crop type</v>
      </c>
      <c r="O56" s="124"/>
      <c r="P56" s="118" t="str">
        <v/>
      </c>
      <c r="Q56" s="112" t="str">
        <v>Input</v>
      </c>
      <c r="R56" s="118"/>
    </row>
    <row r="57" spans="10:20" ht="20.100000000000001" customHeight="1" x14ac:dyDescent="0.25">
      <c r="M57" s="118" t="str">
        <v>State</v>
      </c>
      <c r="N57" s="125" t="str">
        <v>State or territory</v>
      </c>
      <c r="O57" s="124"/>
      <c r="P57" s="118" t="str">
        <v/>
      </c>
      <c r="Q57" s="112" t="str">
        <v>Input</v>
      </c>
      <c r="R57" s="118"/>
    </row>
    <row r="58" spans="10:20" ht="20.100000000000001" customHeight="1" x14ac:dyDescent="0.25">
      <c r="M58" s="22"/>
      <c r="N58" s="22"/>
      <c r="O58" s="22"/>
      <c r="P58" s="22"/>
      <c r="Q58" s="22"/>
    </row>
    <row r="59" spans="10:20" ht="20.100000000000001" customHeight="1" x14ac:dyDescent="0.25">
      <c r="M59" s="120" t="s">
        <v>246</v>
      </c>
      <c r="N59" s="150" cm="1">
        <f t="array" ref="N59">AgResidue_Equations_CropResidue.VEERG_6_1_1_1__2__MassOfNitrogenInCropResidues(I13,I14,I16,R52,I18,I19,I15,I20)</f>
        <v>56.671999999999997</v>
      </c>
      <c r="O59" s="121" t="str">
        <f>$E$11</f>
        <v>kg N</v>
      </c>
    </row>
    <row r="60" spans="10:20" ht="20.100000000000001" customHeight="1" x14ac:dyDescent="0.25">
      <c r="M60" s="51"/>
      <c r="N60" s="22"/>
      <c r="O60" s="22"/>
      <c r="P60" s="22"/>
      <c r="Q60" s="22"/>
    </row>
    <row r="61" spans="10:20" ht="20.100000000000001" customHeight="1" x14ac:dyDescent="0.25">
      <c r="M61" s="22"/>
      <c r="N61" s="22"/>
      <c r="O61" s="22"/>
      <c r="P61" s="22"/>
      <c r="Q61" s="22"/>
    </row>
    <row r="62" spans="10:20" ht="20.100000000000001" customHeight="1" x14ac:dyDescent="0.25">
      <c r="L62" s="149"/>
      <c r="M62" s="149"/>
      <c r="N62" s="149"/>
      <c r="O62" s="149"/>
      <c r="P62" s="149"/>
      <c r="Q62" s="149"/>
      <c r="R62" s="149"/>
      <c r="S62" s="149"/>
      <c r="T62" s="149"/>
    </row>
    <row r="63" spans="10:20" ht="20.100000000000001" customHeight="1" x14ac:dyDescent="0.25">
      <c r="L63" s="22"/>
      <c r="M63" s="6" t="str" cm="1">
        <f t="array" ref="M63">AgResidue_Equations_CropResidue.VEERG_6_1_1_1__1__NitrousOxideEmissionsFromCropResidues_Title()</f>
        <v>Nitrous oxide emissions from the return of crop residues across all crops c to the soil</v>
      </c>
      <c r="N63" s="22"/>
      <c r="O63" s="22"/>
      <c r="P63" s="22"/>
      <c r="Q63" s="22"/>
    </row>
    <row r="64" spans="10:20" ht="20.100000000000001" customHeight="1" x14ac:dyDescent="0.25">
      <c r="M64" s="5" t="str" cm="1">
        <f t="array" ref="M64">AgResidue_Equations_CropResidue.VEERG_6_1_1_1__1__NitrousOxideEmissionsFromCropResidues_Source()</f>
        <v>VEERG 2026: 6.1.1.1, Equation (1)</v>
      </c>
      <c r="N64" s="22"/>
      <c r="O64" s="22"/>
      <c r="P64" s="22"/>
      <c r="Q64" s="22"/>
    </row>
    <row r="65" spans="12:18" ht="20.100000000000001" customHeight="1" x14ac:dyDescent="0.25">
      <c r="L65" s="22"/>
      <c r="M65" s="13" t="s">
        <v>22</v>
      </c>
      <c r="N65" s="13" t="str" cm="1">
        <f t="array" aca="1" ref="N65" ca="1">Common_InputFunctions.Utility_DisplayFunctionName(N77)</f>
        <v>=AgResidue_Equations_CropResidue.VEERG_6_1_1_1__1__NitrousOxideEmissionsFromCropResidues</v>
      </c>
      <c r="O65" s="22"/>
      <c r="P65" s="22"/>
      <c r="Q65" s="22"/>
    </row>
    <row r="66" spans="12:18" ht="20.100000000000001" customHeight="1" x14ac:dyDescent="0.25">
      <c r="L66" s="22"/>
      <c r="O66" s="22"/>
      <c r="P66" s="22"/>
      <c r="Q66" s="22"/>
    </row>
    <row r="67" spans="12:18" ht="20.100000000000001" customHeight="1" x14ac:dyDescent="0.25">
      <c r="L67" s="22"/>
      <c r="M67" s="22"/>
      <c r="N67" s="22"/>
      <c r="O67" s="22"/>
      <c r="P67" s="22"/>
      <c r="Q67" s="22"/>
    </row>
    <row r="68" spans="12:18" ht="20.100000000000001" customHeight="1" x14ac:dyDescent="0.25">
      <c r="L68" s="22"/>
      <c r="M68" s="51" t="s">
        <v>25</v>
      </c>
      <c r="N68" s="1" t="str" cm="1">
        <f t="array" ref="N68">AgResidue_Equations_CropResidue.VEERG_6_1_1_1__1__NitrousOxideEmissionsFromCropResidues_Variable()</f>
        <v>E</v>
      </c>
      <c r="O68" s="22"/>
      <c r="P68" s="22"/>
      <c r="Q68" s="22"/>
    </row>
    <row r="69" spans="12:18" ht="20.100000000000001" customHeight="1" x14ac:dyDescent="0.25">
      <c r="L69" s="22"/>
      <c r="M69" s="51" t="s">
        <v>16</v>
      </c>
      <c r="N69" s="52" t="str" cm="1">
        <f t="array" ref="N69">AgResidue_Equations_CropResidue.VEERG_6_1_1_1__1__NitrousOxideEmissionsFromCropResidues_Unit()</f>
        <v>t N2O</v>
      </c>
      <c r="O69" s="22"/>
      <c r="P69" s="22"/>
      <c r="Q69" s="22"/>
    </row>
    <row r="70" spans="12:18" ht="20.100000000000001" customHeight="1" x14ac:dyDescent="0.25">
      <c r="L70" s="22"/>
      <c r="M70" s="22"/>
      <c r="N70" s="22"/>
      <c r="O70" s="22"/>
      <c r="P70" s="22"/>
      <c r="Q70" s="22"/>
    </row>
    <row r="71" spans="12:18" ht="20.100000000000001" customHeight="1" x14ac:dyDescent="0.25">
      <c r="L71" s="22"/>
      <c r="M71" s="118" t="str" cm="1">
        <f t="array" ref="M71:N75">_xlfn.CHOOSECOLS(AgResidue_Equations_CropResidue.VEERG_6_1_1_1__1__NitrousOxideEmissionsFromCropResidues_Arguments(), 1, 2)</f>
        <v>M_c</v>
      </c>
      <c r="N71" s="125" t="str">
        <v>mass of nitrogen in crop c residues returned to the soil</v>
      </c>
      <c r="O71" s="124"/>
      <c r="P71" s="118" t="str" cm="1">
        <f t="array" ref="P71:Q75">_xlfn.CHOOSECOLS(AgResidue_Equations_CropResidue.VEERG_6_1_1_1__1__NitrousOxideEmissionsFromCropResidues_Arguments(), 3,4)</f>
        <v>kg N</v>
      </c>
      <c r="Q71" s="111" t="str">
        <v>Calculated from 6.1.1.1 (2)</v>
      </c>
      <c r="R71" s="118">
        <f>N59</f>
        <v>56.671999999999997</v>
      </c>
    </row>
    <row r="72" spans="12:18" ht="20.100000000000001" customHeight="1" x14ac:dyDescent="0.25">
      <c r="L72" s="22"/>
      <c r="M72" s="118" t="str">
        <v>EF_Ni</v>
      </c>
      <c r="N72" s="125" t="str">
        <v>emission factor for crop residues returned to the soil</v>
      </c>
      <c r="O72" s="124"/>
      <c r="P72" s="118" t="str">
        <v>kg N2O-N/kg N</v>
      </c>
      <c r="Q72" s="111" t="str">
        <v>Constant</v>
      </c>
      <c r="R72" s="118" cm="1">
        <f t="array" ref="R72">Common_InputFunctions.Utility_LookupValueInTableNumber(R75,Table_SourceData_N2OEFOrganicFert[Climate zone type i],Table_SourceData_N2OEFOrganicFert[EF i N2O])</f>
        <v>5.0000000000000001E-3</v>
      </c>
    </row>
    <row r="73" spans="12:18" ht="20.100000000000001" customHeight="1" x14ac:dyDescent="0.25">
      <c r="L73" s="22"/>
      <c r="M73" s="118" t="str">
        <v>C_N2O</v>
      </c>
      <c r="N73" s="125" t="str">
        <v>factor to convert elemental mass of nitrous oxide to molecular mass</v>
      </c>
      <c r="O73" s="124"/>
      <c r="P73" s="118" t="str">
        <v>dimensionless</v>
      </c>
      <c r="Q73" s="111" t="str">
        <v>Constant</v>
      </c>
      <c r="R73" s="118">
        <f>Common_InputFunctions.Utility_LookupValueInTableNumber("N2O",Table_GasToMolecularConversionFactor[Gas],Table_GasToMolecularConversionFactor[Conversion factor combined])</f>
        <v>1.5714285714285714</v>
      </c>
    </row>
    <row r="74" spans="12:18" ht="20.100000000000001" customHeight="1" x14ac:dyDescent="0.25">
      <c r="L74" s="22"/>
      <c r="M74" s="118" t="str">
        <v>c</v>
      </c>
      <c r="N74" s="125" t="str">
        <v>Crop type</v>
      </c>
      <c r="O74" s="124"/>
      <c r="P74" s="118" t="str">
        <v/>
      </c>
      <c r="Q74" s="112" t="str">
        <v>Input</v>
      </c>
      <c r="R74" s="118" t="str">
        <f>'[1]Input - Grains'!$E$9</f>
        <v>Wheat</v>
      </c>
    </row>
    <row r="75" spans="12:18" ht="20.100000000000001" customHeight="1" x14ac:dyDescent="0.25">
      <c r="L75" s="22"/>
      <c r="M75" s="118" t="str">
        <v>i</v>
      </c>
      <c r="N75" s="125" t="str">
        <v>Wet or dry climate zone</v>
      </c>
      <c r="O75" s="124"/>
      <c r="P75" s="118" t="str">
        <v/>
      </c>
      <c r="Q75" s="112" t="str">
        <v>Input</v>
      </c>
      <c r="R75" s="118" t="str">
        <f>'Input - Site'!$E$32</f>
        <v>Dry climate zone</v>
      </c>
    </row>
    <row r="76" spans="12:18" ht="20.100000000000001" customHeight="1" x14ac:dyDescent="0.25">
      <c r="L76" s="22"/>
      <c r="M76" s="22"/>
      <c r="N76" s="22"/>
      <c r="O76" s="22"/>
      <c r="P76" s="22"/>
      <c r="Q76" s="22"/>
    </row>
    <row r="77" spans="12:18" ht="20.100000000000001" customHeight="1" x14ac:dyDescent="0.25">
      <c r="L77" s="22"/>
      <c r="M77" s="93" t="s">
        <v>112</v>
      </c>
      <c r="N77" s="94" cm="1">
        <f t="array" ref="N77">AgResidue_Equations_CropResidue.VEERG_6_1_1_1__1__NitrousOxideEmissionsFromCropResidues(R71,R72,R73)</f>
        <v>4.4527999999999999E-4</v>
      </c>
      <c r="O77" s="95" t="str">
        <f>$E$34</f>
        <v>t N2O</v>
      </c>
      <c r="Q77" s="22"/>
    </row>
    <row r="78" spans="12:18" ht="20.100000000000001" customHeight="1" x14ac:dyDescent="0.25">
      <c r="L78" s="22"/>
      <c r="Q78" s="22"/>
    </row>
    <row r="79" spans="12:18" ht="20.100000000000001" customHeight="1" x14ac:dyDescent="0.25">
      <c r="L79" s="22"/>
      <c r="M79" s="54" t="str" cm="1">
        <f t="array" ref="M79:N80">Common_Equations.Common_ConvertN2OToCO2e_Arguments()</f>
        <v>EN2O</v>
      </c>
      <c r="N79" s="55" t="str">
        <v>Nitrous oxide emissions (t N2O)</v>
      </c>
      <c r="O79" s="96"/>
      <c r="P79" s="50">
        <f>N77</f>
        <v>4.4527999999999999E-4</v>
      </c>
    </row>
    <row r="80" spans="12:18" ht="20.100000000000001" customHeight="1" x14ac:dyDescent="0.25">
      <c r="L80" s="22"/>
      <c r="M80" s="54" t="str">
        <v>GWPN2O</v>
      </c>
      <c r="N80" s="55" t="str">
        <v>Global warming potential for nitrous oxide (t CO2-e / t N2O)</v>
      </c>
      <c r="O80" s="96"/>
      <c r="P80" s="50">
        <f>Common_InputFunctions.Utility_LookupValueInTableNumber("N2O",Table_GWPData[Gas],Table_GWPData[CO2-e factor])</f>
        <v>265</v>
      </c>
    </row>
    <row r="81" spans="1:18" ht="20.100000000000001" customHeight="1" x14ac:dyDescent="0.25">
      <c r="L81" s="22"/>
      <c r="Q81" s="22"/>
    </row>
    <row r="82" spans="1:18" ht="20.100000000000001" customHeight="1" x14ac:dyDescent="0.25">
      <c r="L82" s="22"/>
      <c r="M82" s="44" t="s">
        <v>79</v>
      </c>
      <c r="N82" s="44" cm="1">
        <f t="array" ref="N82">Common_Equations.Common_ConvertN2OToCO2e(P79,P80)</f>
        <v>0.1179992</v>
      </c>
      <c r="O82" s="97" t="str" cm="1">
        <f t="array" ref="O82">Common_Equations.Common_ConvertN2OToCO2e_Unit()</f>
        <v>t CO2e</v>
      </c>
      <c r="Q82" s="22"/>
    </row>
    <row r="83" spans="1:18" ht="20.100000000000001" customHeight="1" x14ac:dyDescent="0.25">
      <c r="A83" s="128" t="str">
        <f>HYPERLINK("#A1", "▲ Back to top")</f>
        <v>▲ Back to top</v>
      </c>
      <c r="L83" s="22"/>
      <c r="M83" s="22"/>
      <c r="N83" s="22"/>
      <c r="O83" s="103"/>
      <c r="P83" s="22"/>
      <c r="Q83" s="22"/>
      <c r="R83" s="22"/>
    </row>
    <row r="84" spans="1:18" ht="20.100000000000001" customHeight="1" x14ac:dyDescent="0.25">
      <c r="L84" s="22"/>
    </row>
    <row r="85" spans="1:18" ht="20.100000000000001" customHeight="1" x14ac:dyDescent="0.25">
      <c r="L85" s="22"/>
    </row>
    <row r="86" spans="1:18" ht="20.100000000000001" customHeight="1" x14ac:dyDescent="0.25">
      <c r="L86" s="22"/>
    </row>
    <row r="87" spans="1:18" ht="20.100000000000001" customHeight="1" x14ac:dyDescent="0.25"/>
    <row r="88" spans="1:18" ht="20.100000000000001" customHeight="1" x14ac:dyDescent="0.25"/>
    <row r="89" spans="1:18" ht="20.100000000000001" customHeight="1" x14ac:dyDescent="0.25"/>
    <row r="90" spans="1:18" ht="20.100000000000001" customHeight="1" x14ac:dyDescent="0.25"/>
    <row r="91" spans="1:18" ht="20.100000000000001" customHeight="1" x14ac:dyDescent="0.25"/>
    <row r="92" spans="1:18" ht="20.100000000000001" customHeight="1" x14ac:dyDescent="0.25"/>
    <row r="93" spans="1:18" ht="20.100000000000001" customHeight="1" x14ac:dyDescent="0.25"/>
    <row r="94" spans="1:18" ht="20.100000000000001" customHeight="1" x14ac:dyDescent="0.25"/>
    <row r="95" spans="1:18" ht="20.100000000000001" customHeight="1" x14ac:dyDescent="0.25"/>
    <row r="96" spans="1: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zoomScaleNormal="100" workbookViewId="0">
      <selection activeCell="A23" sqref="A3:A2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249</v>
      </c>
    </row>
    <row r="2" spans="1:21" s="9" customFormat="1" ht="20.100000000000001" customHeight="1" x14ac:dyDescent="0.25">
      <c r="A2"/>
    </row>
    <row r="3" spans="1:21" ht="20.100000000000001" customHeight="1" x14ac:dyDescent="0.25">
      <c r="C3" s="4"/>
      <c r="D3" s="4" t="s">
        <v>80</v>
      </c>
      <c r="E3" s="4"/>
      <c r="F3" s="4"/>
      <c r="G3" s="4"/>
      <c r="H3" s="4"/>
      <c r="I3" s="4"/>
      <c r="J3" s="4"/>
      <c r="K3" s="4"/>
      <c r="L3" s="4"/>
      <c r="N3" s="4"/>
      <c r="O3" s="4" t="s">
        <v>81</v>
      </c>
      <c r="P3" s="4"/>
      <c r="Q3" s="4"/>
      <c r="R3" s="4"/>
      <c r="S3" s="4"/>
      <c r="T3" s="4"/>
      <c r="U3" s="4"/>
    </row>
    <row r="4" spans="1:21" ht="20.100000000000001" customHeight="1" x14ac:dyDescent="0.25"/>
    <row r="5" spans="1:21" ht="20.100000000000001" customHeight="1" x14ac:dyDescent="0.25">
      <c r="D5" s="6" t="str" cm="1">
        <f t="array" ref="D5">AgResidues_Equations_PastureResidues.VEERG_6_2_1_1__2__MassOfNitrogenInPastureResidues_Title()</f>
        <v>Mass of nitrogen in pasture residues returned to the soil</v>
      </c>
    </row>
    <row r="6" spans="1:21" ht="20.100000000000001" customHeight="1" x14ac:dyDescent="0.25">
      <c r="D6" s="5" t="str" cm="1">
        <f t="array" ref="D6">AgResidues_Equations_PastureResidues.VEERG_6_2_1_1__2__MassOfNitrogenInPastureResidues_Source()</f>
        <v>VEERG 2026: 6.2.1.1, Equation (2)</v>
      </c>
    </row>
    <row r="7" spans="1:21" ht="20.100000000000001" customHeight="1" x14ac:dyDescent="0.25">
      <c r="D7" s="5" t="str" cm="1">
        <f t="array" ref="D7">AgResidues_Equations_PastureResidues.VEERG_6_2_1_1__2__MassOfNitrogenInPastureResidues_NIRReference()</f>
        <v/>
      </c>
    </row>
    <row r="8" spans="1:21" ht="20.100000000000001" customHeight="1" x14ac:dyDescent="0.25">
      <c r="D8" s="13" t="s">
        <v>22</v>
      </c>
      <c r="E8" s="13" t="str" cm="1">
        <f t="array" aca="1" ref="E8" ca="1">Common_InputFunctions.Utility_DisplayFunctionName(E23)</f>
        <v>=AgResidues_Equations_PastureResidues.VEERG_6_2_1_1__2__MassOfNitrogenInPastureResidues</v>
      </c>
    </row>
    <row r="9" spans="1:21" ht="20.100000000000001" customHeight="1" x14ac:dyDescent="0.25"/>
    <row r="10" spans="1:21" ht="20.100000000000001" customHeight="1" x14ac:dyDescent="0.25"/>
    <row r="11" spans="1:21" ht="20.100000000000001" customHeight="1" x14ac:dyDescent="0.25"/>
    <row r="12" spans="1:21" ht="20.100000000000001" customHeight="1" x14ac:dyDescent="0.25">
      <c r="D12" s="3" t="s">
        <v>25</v>
      </c>
      <c r="E12" s="1" t="str" cm="1">
        <f t="array" ref="E12">AgResidues_Equations_PastureResidues.VEERG_6_2_1_1__2__MassOfNitrogenInPastureResidues_Variable()</f>
        <v>Mp</v>
      </c>
    </row>
    <row r="13" spans="1:21" ht="20.100000000000001" customHeight="1" x14ac:dyDescent="0.25">
      <c r="D13" s="3" t="s">
        <v>16</v>
      </c>
      <c r="E13" s="52" t="str" cm="1">
        <f t="array" ref="E13">AgResidues_Equations_PastureResidues.VEERG_6_2_1_1__2__MassOfNitrogenInPastureResidues_Unit()</f>
        <v>kg N</v>
      </c>
    </row>
    <row r="14" spans="1:21" ht="20.100000000000001" customHeight="1" x14ac:dyDescent="0.25"/>
    <row r="15" spans="1:21" ht="20.100000000000001" customHeight="1" x14ac:dyDescent="0.25">
      <c r="D15" s="118" t="str" cm="1">
        <f t="array" ref="D15:E21">AgResidues_Equations_PastureResidues.VEERG_6_2_1_1__2__MassOfNitrogenInPastureResidues_Arguments()</f>
        <v>Ap</v>
      </c>
      <c r="E15" s="125" t="str">
        <v>area of pasture renewed or removed (ha)</v>
      </c>
      <c r="F15" s="126"/>
      <c r="G15" s="124"/>
      <c r="H15" s="118"/>
      <c r="I15" s="112"/>
      <c r="J15" s="118">
        <f>'Input - Pasture'!$E$25</f>
        <v>50</v>
      </c>
    </row>
    <row r="16" spans="1:21" ht="20.100000000000001" customHeight="1" x14ac:dyDescent="0.25">
      <c r="D16" s="118" t="str">
        <v>Yp</v>
      </c>
      <c r="E16" s="125" t="str">
        <v>average yield of pasture crop (t DM/ha)</v>
      </c>
      <c r="F16" s="126"/>
      <c r="G16" s="124"/>
      <c r="H16" s="118"/>
      <c r="I16" s="112"/>
      <c r="J16" s="118">
        <f>'Input - Pasture'!$E$19</f>
        <v>4.41</v>
      </c>
    </row>
    <row r="17" spans="4:10" ht="20.100000000000001" customHeight="1" x14ac:dyDescent="0.25">
      <c r="D17" s="118" t="str">
        <v>NCAGp</v>
      </c>
      <c r="E17" s="125" t="str">
        <v>N content of above-ground pasture residue (kg N/kg DM)</v>
      </c>
      <c r="F17" s="126"/>
      <c r="G17" s="124"/>
      <c r="H17" s="118"/>
      <c r="I17" s="111"/>
      <c r="J17" s="118" cm="1">
        <f t="array" ref="J17">Common_InputFunctions.Utility_LookupValueInTableNumber($J$21,Table_SourceData_PastureAttributes[Pasture type],Table_SourceData_PastureAttributes[N content Above-ground NCAGp])</f>
        <v>1.4999999999999999E-2</v>
      </c>
    </row>
    <row r="18" spans="4:10" ht="20.100000000000001" customHeight="1" x14ac:dyDescent="0.25">
      <c r="D18" s="118" t="str">
        <v>RBGp</v>
      </c>
      <c r="E18" s="125" t="str">
        <v>below-ground residue to above-ground residue ratio for pasture crop (dimensionless)</v>
      </c>
      <c r="F18" s="126"/>
      <c r="G18" s="124"/>
      <c r="H18" s="118"/>
      <c r="I18" s="111"/>
      <c r="J18" s="118" cm="1">
        <f t="array" ref="J18">Common_InputFunctions.Utility_LookupValueInTableNumber($J$21,Table_SourceData_PastureAttributes[Pasture type],Table_SourceData_PastureAttributes[Below-ground: above-ground residue ratio RBGp])</f>
        <v>0.4</v>
      </c>
    </row>
    <row r="19" spans="4:10" ht="20.100000000000001" customHeight="1" x14ac:dyDescent="0.25">
      <c r="D19" s="118" t="str">
        <v>NCBGp</v>
      </c>
      <c r="E19" s="125" t="str">
        <v>N content of below-ground pasture crop residue (kg N/kg DM)</v>
      </c>
      <c r="F19" s="126"/>
      <c r="G19" s="124"/>
      <c r="H19" s="118"/>
      <c r="I19" s="111"/>
      <c r="J19" s="118" cm="1">
        <f t="array" ref="J19">Common_InputFunctions.Utility_LookupValueInTableNumber($J$21,Table_SourceData_PastureAttributes[Pasture type],Table_SourceData_PastureAttributes[N content Below-ground NCBGp])</f>
        <v>1.2E-2</v>
      </c>
    </row>
    <row r="20" spans="4:10" ht="20.100000000000001" customHeight="1" x14ac:dyDescent="0.25">
      <c r="D20" s="118" t="str">
        <v>FFODp</v>
      </c>
      <c r="E20" s="125" t="str">
        <v>fraction of pasture yield that is removed (dimensionless)</v>
      </c>
      <c r="F20" s="126"/>
      <c r="G20" s="124"/>
      <c r="H20" s="118"/>
      <c r="I20" s="111"/>
      <c r="J20" s="118" cm="1">
        <f t="array" ref="J20">Common_InputFunctions.Utility_LookupValueInTableNumber($J$21,Table_SourceData_PastureAttributes[Pasture type],Table_SourceData_PastureAttributes[Fraction of pasture yield that is removed FFODp])</f>
        <v>0.8</v>
      </c>
    </row>
    <row r="21" spans="4:10" ht="20.100000000000001" customHeight="1" x14ac:dyDescent="0.25">
      <c r="D21" s="118" t="str">
        <v>p</v>
      </c>
      <c r="E21" s="125" t="str">
        <v>Pasture type</v>
      </c>
      <c r="F21" s="126"/>
      <c r="G21" s="124"/>
      <c r="H21" s="118"/>
      <c r="I21" s="112"/>
      <c r="J21" s="118" t="str">
        <f>'Input - Pasture'!E9</f>
        <v>Annual grass</v>
      </c>
    </row>
    <row r="22" spans="4:10" ht="20.100000000000001" customHeight="1" x14ac:dyDescent="0.25"/>
    <row r="23" spans="4:10" ht="20.100000000000001" customHeight="1" x14ac:dyDescent="0.25">
      <c r="D23" s="120" t="s">
        <v>256</v>
      </c>
      <c r="E23" s="44" cm="1">
        <f t="array" ref="E23">AgResidues_Equations_PastureResidues.VEERG_6_2_1_1__2__MassOfNitrogenInPastureResidues(J15,J16,J20,J17,J18,J19)</f>
        <v>1.7198999999999999E-3</v>
      </c>
      <c r="F23" s="97" t="str" cm="1">
        <f t="array" ref="F23">AgResidues_Equations_PastureResidues.VEERG_6_2_1_1__2__MassOfNitrogenInPastureResidues_Unit()</f>
        <v>kg N</v>
      </c>
    </row>
    <row r="24" spans="4:10" ht="20.100000000000001" customHeight="1" x14ac:dyDescent="0.25"/>
    <row r="25" spans="4:10" ht="20.100000000000001" customHeight="1" x14ac:dyDescent="0.25"/>
    <row r="26" spans="4:10" ht="20.100000000000001" customHeight="1" x14ac:dyDescent="0.25">
      <c r="D26" s="44"/>
      <c r="E26" s="44"/>
      <c r="F26" s="44"/>
      <c r="G26" s="44"/>
      <c r="H26" s="44"/>
    </row>
    <row r="27" spans="4:10" ht="20.100000000000001" customHeight="1" x14ac:dyDescent="0.25">
      <c r="D27" s="6" t="str" cm="1">
        <f t="array" ref="D27">AgResidues_Equations_PastureResidues.VEERG_6_2_1_1__1__NitrousOxideEmissionsFromPastureResidues_Title()</f>
        <v>Nitrous oxide emissions from the return of pasture residues from all pasture types to the soil</v>
      </c>
    </row>
    <row r="28" spans="4:10" ht="20.100000000000001" customHeight="1" x14ac:dyDescent="0.25">
      <c r="D28" s="5" t="str" cm="1">
        <f t="array" ref="D28">AgResidues_Equations_PastureResidues.VEERG_6_2_1_1__1__NitrousOxideEmissionsFromPastureResidues_Source()</f>
        <v>VEERG 2026: 6.2.1.1, Equation (1)</v>
      </c>
    </row>
    <row r="29" spans="4:10" ht="20.100000000000001" customHeight="1" x14ac:dyDescent="0.25">
      <c r="D29" s="5" t="str" cm="1">
        <f t="array" ref="D29">AgResidues_Equations_PastureResidues.VEERG_6_2_1_1__1__NitrousOxideEmissionsFromPastureResidues_NIRReference()</f>
        <v/>
      </c>
    </row>
    <row r="30" spans="4:10" ht="20.100000000000001" customHeight="1" x14ac:dyDescent="0.25">
      <c r="D30" s="13" t="s">
        <v>22</v>
      </c>
      <c r="E30" s="13" t="str" cm="1">
        <f t="array" aca="1" ref="E30" ca="1">Common_InputFunctions.Utility_DisplayFunctionName(E43)</f>
        <v>=AgResidues_Equations_PastureResidues.VEERG_6_2_1_1__1__NitrousOxideEmissionsFromPastureResidues</v>
      </c>
    </row>
    <row r="31" spans="4:10" ht="20.100000000000001" customHeight="1" x14ac:dyDescent="0.25"/>
    <row r="32" spans="4:10" ht="20.100000000000001" customHeight="1" x14ac:dyDescent="0.25"/>
    <row r="33" spans="1:10" ht="20.100000000000001" customHeight="1" x14ac:dyDescent="0.25">
      <c r="D33" s="3" t="s">
        <v>25</v>
      </c>
      <c r="E33" s="1" t="str" cm="1">
        <f t="array" ref="E33">AgResidues_Equations_PastureResidues.VEERG_6_2_1_1__1__NitrousOxideEmissionsFromPastureResidues_Variable()</f>
        <v>EN2O</v>
      </c>
    </row>
    <row r="34" spans="1:10" ht="20.100000000000001" customHeight="1" x14ac:dyDescent="0.25">
      <c r="D34" s="3" t="s">
        <v>16</v>
      </c>
      <c r="E34" s="52" t="str" cm="1">
        <f t="array" ref="E34">AgResidues_Equations_PastureResidues.VEERG_6_2_1_1__1__NitrousOxideEmissionsFromPastureResidues_Unit()</f>
        <v>t N2O</v>
      </c>
    </row>
    <row r="35" spans="1:10" ht="20.100000000000001" customHeight="1" x14ac:dyDescent="0.25"/>
    <row r="36" spans="1:10" ht="20.100000000000001" customHeight="1" x14ac:dyDescent="0.25">
      <c r="D36" s="118" t="str" cm="1">
        <f t="array" ref="D36:E40">AgResidues_Equations_PastureResidues.VEERG_6_2_1_1__1__NitrousOxideEmissionsFromPastureResidues_Arguments()</f>
        <v>Mp</v>
      </c>
      <c r="E36" s="125" t="str">
        <v>mass of nitrogen in pasture p residues returned to the soil (kg N)</v>
      </c>
      <c r="F36" s="126"/>
      <c r="G36" s="124"/>
      <c r="H36" s="118"/>
      <c r="I36" s="111"/>
      <c r="J36" s="118">
        <f>E23</f>
        <v>1.7198999999999999E-3</v>
      </c>
    </row>
    <row r="37" spans="1:10" ht="20.100000000000001" customHeight="1" x14ac:dyDescent="0.25">
      <c r="D37" s="118" t="str">
        <v>EFNi</v>
      </c>
      <c r="E37" s="125" t="str">
        <v>emission factor for crop residues returned to the soil in climate zone i (kg N2O-N/kg N)</v>
      </c>
      <c r="F37" s="126"/>
      <c r="G37" s="124"/>
      <c r="H37" s="118"/>
      <c r="I37" s="111"/>
      <c r="J37" s="118" cm="1">
        <f t="array" ref="J37">Common_InputFunctions.Utility_LookupValueInTableNumber(J40,Table_SourceData_N2OEFOrganicFert[Climate zone type i],Table_SourceData_N2OEFOrganicFert[EF i N2O])</f>
        <v>5.0000000000000001E-3</v>
      </c>
    </row>
    <row r="38" spans="1:10" ht="20.100000000000001" customHeight="1" x14ac:dyDescent="0.25">
      <c r="A38" s="128" t="str">
        <f>HYPERLINK("#A1", "▲ Back to top")</f>
        <v>▲ Back to top</v>
      </c>
      <c r="D38" s="118" t="str">
        <v>CgN2O</v>
      </c>
      <c r="E38" s="125" t="str">
        <v>factor to convert elemental mass of nitrous oxide to molecular mass (dimensionless)</v>
      </c>
      <c r="F38" s="126"/>
      <c r="G38" s="124"/>
      <c r="H38" s="118"/>
      <c r="I38" s="111"/>
      <c r="J38" s="118">
        <f>Common_InputFunctions.Utility_LookupValueInTableNumber("N2O",Table_GasToMolecularConversionFactor[Gas],Table_GasToMolecularConversionFactor[Conversion factor combined])</f>
        <v>1.5714285714285714</v>
      </c>
    </row>
    <row r="39" spans="1:10" ht="20.100000000000001" customHeight="1" x14ac:dyDescent="0.25">
      <c r="D39" s="118" t="str">
        <v>p</v>
      </c>
      <c r="E39" s="125" t="str">
        <v>Pasture type</v>
      </c>
      <c r="F39" s="126"/>
      <c r="G39" s="124"/>
      <c r="H39" s="118"/>
      <c r="I39" s="112"/>
      <c r="J39" s="118" t="str">
        <f>'[1]Input - Pasture'!$E$9</f>
        <v>Annual grass</v>
      </c>
    </row>
    <row r="40" spans="1:10" ht="20.100000000000001" customHeight="1" x14ac:dyDescent="0.25">
      <c r="D40" s="118" t="str">
        <v>i</v>
      </c>
      <c r="E40" s="125" t="str">
        <v>Climate zone</v>
      </c>
      <c r="F40" s="126"/>
      <c r="G40" s="124"/>
      <c r="H40" s="118"/>
      <c r="I40" s="112"/>
      <c r="J40" s="118" t="str">
        <f>'Input - Site'!$E$32</f>
        <v>Dry climate zone</v>
      </c>
    </row>
    <row r="41" spans="1:10" ht="20.100000000000001" customHeight="1" x14ac:dyDescent="0.25"/>
    <row r="42" spans="1:10" ht="20.100000000000001" customHeight="1" x14ac:dyDescent="0.25"/>
    <row r="43" spans="1:10" ht="20.100000000000001" customHeight="1" x14ac:dyDescent="0.25">
      <c r="D43" s="93" t="s">
        <v>112</v>
      </c>
      <c r="E43" s="94" cm="1">
        <f t="array" ref="E43">AgResidues_Equations_PastureResidues.VEERG_6_2_1_1__1__NitrousOxideEmissionsFromPastureResidues(J36,J37,J38)</f>
        <v>1.3513499999999999E-8</v>
      </c>
      <c r="F43" s="95" t="str" cm="1">
        <f t="array" ref="F43">AgResidues_Equations_PastureResidues.VEERG_6_2_1_1__1__NitrousOxideEmissionsFromPastureResidues_Unit()</f>
        <v>t N2O</v>
      </c>
    </row>
    <row r="44" spans="1:10" ht="20.100000000000001" customHeight="1" x14ac:dyDescent="0.25"/>
    <row r="45" spans="1:10" ht="20.100000000000001" customHeight="1" x14ac:dyDescent="0.25">
      <c r="D45" s="54" t="str" cm="1">
        <f t="array" ref="D45:E46">Common_Equations.Common_ConvertN2OToCO2e_Arguments()</f>
        <v>EN2O</v>
      </c>
      <c r="E45" s="55" t="str">
        <v>Nitrous oxide emissions (t N2O)</v>
      </c>
      <c r="F45" s="56"/>
      <c r="G45" s="54">
        <f>E43</f>
        <v>1.3513499999999999E-8</v>
      </c>
    </row>
    <row r="46" spans="1:10" ht="20.100000000000001" customHeight="1" x14ac:dyDescent="0.25">
      <c r="D46" s="54" t="str">
        <v>GWPN2O</v>
      </c>
      <c r="E46" s="55" t="str">
        <v>Global warming potential for nitrous oxide (t CO2-e / t N2O)</v>
      </c>
      <c r="F46" s="56"/>
      <c r="G46" s="50">
        <f>Common_InputFunctions.Utility_LookupValueInTableNumber("N2O",Table_GWPData[Gas],Table_GWPData[CO2-e factor])</f>
        <v>265</v>
      </c>
    </row>
    <row r="47" spans="1:10" ht="20.100000000000001" customHeight="1" x14ac:dyDescent="0.25"/>
    <row r="48" spans="1:10" ht="20.100000000000001" customHeight="1" x14ac:dyDescent="0.25">
      <c r="D48" s="1" t="s">
        <v>257</v>
      </c>
      <c r="E48" s="1" cm="1">
        <f t="array" ref="E48">Common_Equations.Common_ConvertN2OToCO2e(G45,G46)</f>
        <v>3.5810774999999996E-6</v>
      </c>
      <c r="F48" s="52" t="str" cm="1">
        <f t="array" ref="F48">Common_Equations.Common_ConvertN2OToCO2e_Unit()</f>
        <v>t CO2e</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c r="A76" s="128" t="str">
        <f>HYPERLINK("#A1", "▲ Back to top")</f>
        <v>▲ Back to top</v>
      </c>
    </row>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5" workbookViewId="0">
      <selection activeCell="G53" sqref="G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123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18" t="str" cm="1">
        <f t="array" ref="G13:H15">_xlfn.CHOOSECOLS(Fertiliser_Equations_OrganicN2O.VEERG_5_2_1_1__2_MassOfNitrogenInOrganicFertiliser_Arguments(), 3,4)</f>
        <v>kg</v>
      </c>
      <c r="H13" s="112" t="str">
        <v>Input</v>
      </c>
      <c r="I13" s="117" t="str" cm="1">
        <f t="array" aca="1" ref="I13" ca="1">HYPERLINK(Common_InputFunctions.Utility_SourceHyperlink($D$17), $D$17)</f>
        <v>Table_MNSoil_j_f</v>
      </c>
    </row>
    <row r="14" spans="1:21" ht="20.100000000000001" customHeight="1" x14ac:dyDescent="0.25">
      <c r="A14" s="142" t="str">
        <f>HYPERLINK("#'5.2.1.1-2 Organic Fert N2O'!A1", "5.2.1.1-2 Organic Fert N2O")</f>
        <v>5.2.1.1-2 Organic Fert N2O</v>
      </c>
      <c r="D14" s="54" t="str">
        <v>FN_organicf</v>
      </c>
      <c r="E14" s="55" t="str">
        <v>nitrogen fraction of organic fertiliser type f</v>
      </c>
      <c r="F14" s="56"/>
      <c r="G14" s="118" t="str">
        <v>kg N/kg</v>
      </c>
      <c r="H14" s="112" t="str">
        <v>Input</v>
      </c>
      <c r="I14" s="117"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18" t="str">
        <v/>
      </c>
      <c r="H15" s="112" t="str">
        <v>Input</v>
      </c>
      <c r="I15" s="117"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124</v>
      </c>
    </row>
    <row r="18" spans="1:10" ht="20.100000000000001" customHeight="1" x14ac:dyDescent="0.25">
      <c r="D18" s="91" t="s">
        <v>131</v>
      </c>
    </row>
    <row r="19" spans="1:10" ht="20.100000000000001" customHeight="1" x14ac:dyDescent="0.25">
      <c r="A19" s="18" t="s">
        <v>2</v>
      </c>
      <c r="D19" s="110" t="s">
        <v>125</v>
      </c>
      <c r="E19" s="110" t="s">
        <v>126</v>
      </c>
      <c r="F19" s="110" t="s">
        <v>111</v>
      </c>
      <c r="G19" s="119" t="s">
        <v>127</v>
      </c>
      <c r="H19" s="119" t="s">
        <v>128</v>
      </c>
      <c r="I19" s="119" t="s">
        <v>129</v>
      </c>
    </row>
    <row r="20" spans="1:10" ht="20.100000000000001" customHeight="1" x14ac:dyDescent="0.25">
      <c r="A20" s="17" t="str">
        <f>HYPERLINK("#'Constants - Fertiliser'!A1", "Constants - Fertiliser")</f>
        <v>Constants - Fertiliser</v>
      </c>
      <c r="D20" s="50" t="e" cm="1">
        <f t="array" ref="D20">#REF!</f>
        <v>#REF!</v>
      </c>
      <c r="E20" s="122" t="e" cm="1">
        <f t="array" ref="E20">#REF!</f>
        <v>#REF!</v>
      </c>
      <c r="F20" s="122" t="e" cm="1">
        <f t="array" ref="F20">#REF!</f>
        <v>#REF!</v>
      </c>
      <c r="G20" s="50" t="e" cm="1">
        <f t="array" ref="G20">#REF!*#REF!</f>
        <v>#REF!</v>
      </c>
      <c r="H20" s="123" t="e" cm="1">
        <f t="array" ref="H20">#REF!</f>
        <v>#REF!</v>
      </c>
      <c r="I20" s="50" t="e" cm="1">
        <f t="array" ref="I20">Fertiliser_Equations_OrganicN2O.VEERG_5_2_1_1__2_MassOfNitrogenInOrganicFertiliser(G20,H20)</f>
        <v>#REF!</v>
      </c>
    </row>
    <row r="21" spans="1:10" ht="20.100000000000001" customHeight="1" x14ac:dyDescent="0.25">
      <c r="A21" s="17" t="str">
        <f>HYPERLINK("#'Constants - Common'!A1", "Constants - Common")</f>
        <v>Constants - Common</v>
      </c>
      <c r="D21" s="50"/>
      <c r="E21" s="50"/>
      <c r="F21" s="50"/>
      <c r="G21" s="50"/>
      <c r="H21" s="50"/>
      <c r="I21" s="50" cm="1">
        <f t="array" ref="I21">Fertiliser_Equations_Organic.VEERG_5_2_1_1__2_MassOfNitrogenInOrganicFertiliser(G21,H21)</f>
        <v>0</v>
      </c>
    </row>
    <row r="22" spans="1:10" ht="20.100000000000001" customHeight="1" x14ac:dyDescent="0.25">
      <c r="D22" s="50"/>
      <c r="E22" s="50"/>
      <c r="F22" s="50"/>
      <c r="G22" s="50"/>
      <c r="H22" s="50"/>
      <c r="I22" s="50" cm="1">
        <f t="array" ref="I22">Fertiliser_Equations_Organic.VEERG_5_2_1_1__2_MassOfNitrogenInOrganicFertiliser(G22,H22)</f>
        <v>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08"/>
      <c r="E31" s="108"/>
      <c r="F31" s="108"/>
      <c r="G31" s="108"/>
      <c r="H31" s="108"/>
      <c r="I31" s="108"/>
      <c r="J31" s="108"/>
    </row>
    <row r="32" spans="1:10" ht="20.100000000000001" customHeight="1" x14ac:dyDescent="0.25">
      <c r="D32" s="120" t="s">
        <v>130</v>
      </c>
      <c r="E32" s="120" t="e">
        <f>SUM(I20:I30)</f>
        <v>#REF!</v>
      </c>
      <c r="F32" s="121" t="str">
        <f>$E$11</f>
        <v>kg N</v>
      </c>
      <c r="G32" s="108"/>
      <c r="H32" s="108"/>
      <c r="I32" s="108"/>
      <c r="J32" s="108"/>
    </row>
    <row r="33" spans="1:12" ht="20.100000000000001" customHeight="1" x14ac:dyDescent="0.25"/>
    <row r="34" spans="1:12" ht="20.100000000000001" customHeight="1" x14ac:dyDescent="0.25">
      <c r="A34" s="128" t="str">
        <f>HYPERLINK("#A1", "▲ Back to top")</f>
        <v>▲ Back to top</v>
      </c>
    </row>
    <row r="35" spans="1:12" ht="20.100000000000001" customHeight="1" x14ac:dyDescent="0.25">
      <c r="C35" s="127"/>
      <c r="D35" s="127"/>
      <c r="E35" s="127"/>
      <c r="F35" s="127"/>
      <c r="G35" s="127"/>
      <c r="H35" s="127"/>
      <c r="I35" s="127"/>
      <c r="J35" s="127"/>
      <c r="K35" s="127"/>
      <c r="L35" s="127"/>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18" t="str" cm="1">
        <f t="array" ref="D44:E48">_xlfn.CHOOSECOLS(Fertiliser_Equations_OrganicN2O.VEERG_5_2_1_1__1_OrganicFertiliserApplicationN2OEmissions_Arguments(), 1, 2)</f>
        <v>MNSoil_jf</v>
      </c>
      <c r="E44" s="125" t="str">
        <v>mass of nitrogen in organic fertiliser type f applied to production system j</v>
      </c>
      <c r="F44" s="126"/>
      <c r="G44" s="126"/>
      <c r="H44" s="124"/>
      <c r="I44" s="118" t="str" cm="1">
        <f t="array" ref="I44:J48">_xlfn.CHOOSECOLS(Fertiliser_Equations_OrganicN2O.VEERG_5_2_1_1__1_OrganicFertiliserApplicationN2OEmissions_Arguments(), 3,4)</f>
        <v>kg N</v>
      </c>
      <c r="J44" s="111" t="str">
        <v>Calculated from 5.2.1.1 (2)</v>
      </c>
      <c r="K44" s="118" t="e">
        <f>$E$32</f>
        <v>#REF!</v>
      </c>
    </row>
    <row r="45" spans="1:12" ht="20.100000000000001" customHeight="1" x14ac:dyDescent="0.25">
      <c r="D45" s="118" t="str">
        <v>EF_N2Oi</v>
      </c>
      <c r="E45" s="125" t="str">
        <v>emission factor for direct nitrous oxide emissions from organic fertiliser applied to soils and aquatic systems in climate zone i</v>
      </c>
      <c r="F45" s="126"/>
      <c r="G45" s="126"/>
      <c r="H45" s="124"/>
      <c r="I45" s="118" t="str">
        <v>kg N2O-N/kg N</v>
      </c>
      <c r="J45" s="111" t="str">
        <v>Lookup</v>
      </c>
      <c r="K45" s="118" cm="1">
        <f t="array" ref="K45">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18" t="str">
        <v>C_N2O</v>
      </c>
      <c r="E46" s="125" t="str">
        <v>factor to convert elemental mass of nitrous oxide to molecular mass</v>
      </c>
      <c r="F46" s="126"/>
      <c r="G46" s="126"/>
      <c r="H46" s="124"/>
      <c r="I46" s="118" t="str">
        <v/>
      </c>
      <c r="J46" s="111"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18" t="str">
        <v>j</v>
      </c>
      <c r="E47" s="125" t="str">
        <v>Production system</v>
      </c>
      <c r="F47" s="126"/>
      <c r="G47" s="126"/>
      <c r="H47" s="124"/>
      <c r="I47" s="118" t="str">
        <v/>
      </c>
      <c r="J47" s="112" t="str">
        <v>Input</v>
      </c>
      <c r="K47" s="118">
        <f>'Input - Crop'!$E$6</f>
        <v>0</v>
      </c>
    </row>
    <row r="48" spans="1:12" ht="20.100000000000001" customHeight="1" x14ac:dyDescent="0.25">
      <c r="D48" s="118" t="str">
        <v>i</v>
      </c>
      <c r="E48" s="125" t="str">
        <v>Wet or dry climate zone</v>
      </c>
      <c r="F48" s="126"/>
      <c r="G48" s="126"/>
      <c r="H48" s="124"/>
      <c r="I48" s="118" t="str">
        <v/>
      </c>
      <c r="J48" s="112" t="str">
        <v>Input</v>
      </c>
      <c r="K48" s="118" t="str">
        <f>'Input - Site'!$E$32</f>
        <v>Dry climate zone</v>
      </c>
    </row>
    <row r="49" spans="1:7" ht="20.100000000000001" customHeight="1" x14ac:dyDescent="0.25"/>
    <row r="50" spans="1:7" ht="20.100000000000001" customHeight="1" x14ac:dyDescent="0.25">
      <c r="D50" s="93" t="s">
        <v>112</v>
      </c>
      <c r="E50" s="94" t="e" cm="1">
        <f t="array" ref="E50">Fertiliser_Equations_OrganicN2O.VEERG_5_2_1_1__1_OrganicFertiliserApplicationN2OEmissions(K44,K45,K46)</f>
        <v>#REF!</v>
      </c>
      <c r="F50" s="95"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6"/>
      <c r="G52" s="50" t="e">
        <f>E50</f>
        <v>#REF!</v>
      </c>
    </row>
    <row r="53" spans="1:7" ht="20.100000000000001" customHeight="1" x14ac:dyDescent="0.25">
      <c r="D53" s="54" t="str">
        <v>GWPN2O</v>
      </c>
      <c r="E53" s="55" t="str">
        <v>Global warming potential for nitrous oxide (t CO2-e / t N2O)</v>
      </c>
      <c r="F53" s="96"/>
      <c r="G53" s="50">
        <f>Common_InputFunctions.Utility_LookupValueInTableNumber("N2O",Table_GWPData[Gas],Table_GWPData[CO2-e factor])</f>
        <v>265</v>
      </c>
    </row>
    <row r="54" spans="1:7" ht="20.100000000000001" customHeight="1" x14ac:dyDescent="0.25"/>
    <row r="55" spans="1:7" ht="20.100000000000001" customHeight="1" x14ac:dyDescent="0.25">
      <c r="A55" s="128" t="str">
        <f>HYPERLINK("#A1", "▲ Back to top")</f>
        <v>▲ Back to top</v>
      </c>
      <c r="D55" s="44" t="s">
        <v>79</v>
      </c>
      <c r="E55" s="44" t="e" cm="1">
        <f t="array" ref="E55">Common_Equations.Common_ConvertN2OToCO2e(G52,G53)</f>
        <v>#REF!</v>
      </c>
      <c r="F55" s="97"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workbookViewId="0">
      <selection activeCell="A16" sqref="A1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134</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18" t="str" cm="1">
        <f t="array" ref="D13:E20">_xlfn.CHOOSECOLS(Fertiliser_Equations_Lime.VEERG_5_3_1_1__1_LimeApplicationCO2Emissions_Arguments(), 1, 2)</f>
        <v>M_lime</v>
      </c>
      <c r="E13" s="125" t="str">
        <v>total mass of lime applied to production system</v>
      </c>
      <c r="F13" s="124"/>
      <c r="G13" s="118" t="str" cm="1">
        <f t="array" ref="G13:H20">_xlfn.CHOOSECOLS(Fertiliser_Equations_Lime.VEERG_5_3_1_1__1_LimeApplicationCO2Emissions_Arguments(), 3,4)</f>
        <v>kg</v>
      </c>
      <c r="H13" s="112" t="str">
        <v>Input</v>
      </c>
      <c r="I13" s="117"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18" t="str">
        <v>FracLime</v>
      </c>
      <c r="E14" s="125" t="str">
        <v>fraction of lime as limestone (CaCO3)</v>
      </c>
      <c r="F14" s="124"/>
      <c r="G14" s="118" t="str">
        <v>fraction</v>
      </c>
      <c r="H14" s="112" t="str">
        <v>Input</v>
      </c>
      <c r="I14" s="117" t="str" cm="1">
        <f t="array" aca="1" ref="I14" ca="1">HYPERLINK(Common_InputFunctions.Utility_SourceHyperlink($D$22), $D$22)</f>
        <v>Table_E_lime</v>
      </c>
    </row>
    <row r="15" spans="1:21" ht="20.100000000000001" customHeight="1" x14ac:dyDescent="0.25">
      <c r="A15" s="142" t="str">
        <f>HYPERLINK("#'5.3.1.1-2 Lime CO2'!A1", "5.3.1.1-2 Lime CO2")</f>
        <v>5.3.1.1-2 Lime CO2</v>
      </c>
      <c r="D15" s="118" t="str">
        <v>P_lime</v>
      </c>
      <c r="E15" s="125" t="str">
        <v>fractional purity of limestone</v>
      </c>
      <c r="F15" s="124"/>
      <c r="G15" s="118" t="str">
        <v>fraction</v>
      </c>
      <c r="H15" s="111" t="str">
        <v>Constant</v>
      </c>
      <c r="I15" s="118" t="str">
        <f>'Constants - Ag Residue'!$E$83</f>
        <v>SA</v>
      </c>
    </row>
    <row r="16" spans="1:21" ht="20.100000000000001" customHeight="1" x14ac:dyDescent="0.25">
      <c r="A16" s="17" t="str">
        <f>HYPERLINK("#'5.4.1.1-4 Atmos deposition'!A1", "5.4.1.1-4 Atmos deposition")</f>
        <v>5.4.1.1-4 Atmos deposition</v>
      </c>
      <c r="D16" s="118" t="str">
        <v>EF_lime</v>
      </c>
      <c r="E16" s="125" t="str">
        <v>emission factor for limestone fraction of lime</v>
      </c>
      <c r="F16" s="124"/>
      <c r="G16" s="118" t="str">
        <v>kg C/kg</v>
      </c>
      <c r="H16" s="111" t="str">
        <v>Constant</v>
      </c>
      <c r="I16" s="118">
        <f>'Constants - Ag Residue'!$F$83</f>
        <v>1</v>
      </c>
    </row>
    <row r="17" spans="1:9" ht="20.100000000000001" customHeight="1" x14ac:dyDescent="0.25">
      <c r="A17" s="17" t="str">
        <f>HYPERLINK("#'5.5.1.1-2 Leaching and runoff'!A1", "5.5.1.1-2 Leaching and runoff")</f>
        <v>5.5.1.1-2 Leaching and runoff</v>
      </c>
      <c r="D17" s="118" t="str">
        <v>FracDol</v>
      </c>
      <c r="E17" s="125" t="str">
        <v>fraction of lime as dolomite</v>
      </c>
      <c r="F17" s="124"/>
      <c r="G17" s="118" t="str">
        <v>fraction</v>
      </c>
      <c r="H17" s="112" t="str">
        <v>Input</v>
      </c>
      <c r="I17" s="117" t="str" cm="1">
        <f t="array" aca="1" ref="I17" ca="1">HYPERLINK(Common_InputFunctions.Utility_SourceHyperlink($D$22), $D$22)</f>
        <v>Table_E_lime</v>
      </c>
    </row>
    <row r="18" spans="1:9" ht="20.100000000000001" customHeight="1" x14ac:dyDescent="0.25">
      <c r="D18" s="118" t="str">
        <v>P_dol</v>
      </c>
      <c r="E18" s="125" t="str">
        <v>fractional purity of dolomite</v>
      </c>
      <c r="F18" s="124"/>
      <c r="G18" s="118" t="str">
        <v>fraction</v>
      </c>
      <c r="H18" s="111" t="str">
        <v>Constant</v>
      </c>
      <c r="I18" s="118" t="str">
        <f>'Constants - Ag Residue'!$E$84</f>
        <v>WA</v>
      </c>
    </row>
    <row r="19" spans="1:9" ht="20.100000000000001" customHeight="1" x14ac:dyDescent="0.25">
      <c r="A19" s="18" t="s">
        <v>2</v>
      </c>
      <c r="D19" s="118" t="str">
        <v>EF_dol</v>
      </c>
      <c r="E19" s="125" t="str">
        <v>emission factor for dolomite fraction of lime</v>
      </c>
      <c r="F19" s="124"/>
      <c r="G19" s="118" t="str">
        <v>kg C/kg</v>
      </c>
      <c r="H19" s="111" t="str">
        <v>Constant</v>
      </c>
      <c r="I19" s="118">
        <f>'Constants - Ag Residue'!$F$84</f>
        <v>1</v>
      </c>
    </row>
    <row r="20" spans="1:9" ht="20.100000000000001" customHeight="1" x14ac:dyDescent="0.25">
      <c r="A20" s="17" t="str">
        <f>HYPERLINK("#'Constants - Fertiliser'!A1", "Constants - Fertiliser")</f>
        <v>Constants - Fertiliser</v>
      </c>
      <c r="D20" s="118" t="str">
        <v>C_CO2</v>
      </c>
      <c r="E20" s="125" t="str">
        <v>factor to convert elemental mass of carbon dioxide to molecular mass</v>
      </c>
      <c r="F20" s="124"/>
      <c r="G20" s="118" t="str">
        <v/>
      </c>
      <c r="H20" s="111"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142</v>
      </c>
    </row>
    <row r="23" spans="1:9" ht="20.100000000000001" customHeight="1" x14ac:dyDescent="0.25">
      <c r="A23" s="17"/>
      <c r="D23" s="91" t="s">
        <v>143</v>
      </c>
    </row>
    <row r="24" spans="1:9" ht="20.100000000000001" customHeight="1" x14ac:dyDescent="0.25">
      <c r="D24" s="119" t="s">
        <v>135</v>
      </c>
      <c r="E24" s="49" t="s">
        <v>136</v>
      </c>
      <c r="F24" s="49" t="s">
        <v>137</v>
      </c>
      <c r="G24" s="49" t="s">
        <v>138</v>
      </c>
      <c r="H24" s="49" t="s">
        <v>139</v>
      </c>
    </row>
    <row r="25" spans="1:9" ht="20.100000000000001" customHeight="1" x14ac:dyDescent="0.25">
      <c r="D25" s="50" t="e" cm="1">
        <f t="array" ref="D25">#REF!</f>
        <v>#REF!</v>
      </c>
      <c r="E25" s="129" t="e" cm="1">
        <f t="array" ref="E25">#REF!</f>
        <v>#REF!</v>
      </c>
      <c r="F25" s="130" t="e" cm="1">
        <f t="array" ref="F25">#REF!+#REF!</f>
        <v>#REF!</v>
      </c>
      <c r="G25" s="130" t="e" cm="1">
        <f t="array" ref="G25">#REF!</f>
        <v>#REF!</v>
      </c>
      <c r="H25" s="50" t="e" cm="1">
        <f t="array" ref="H25">Fertiliser_Equations_Lime.VEERG_5_3_1_1__1_LimeApplicationCO2Emissions(E25,F25,$I$15,$I$16,G25,$I$18,$I$19,$I$20)</f>
        <v>#REF!</v>
      </c>
    </row>
    <row r="26" spans="1:9" ht="20.100000000000001" customHeight="1" x14ac:dyDescent="0.25">
      <c r="D26" s="50"/>
      <c r="E26" s="50"/>
      <c r="F26" s="50"/>
      <c r="G26" s="50"/>
      <c r="H26" s="50" t="e" cm="1">
        <f t="array" ref="H26">Fertiliser_Equations_Lime.VEERG_5_3_1_1__1_LimeApplicationCO2Emissions(E26,F26,$I$15,$I$16,G26,$I$18,$I$19,$I$20)</f>
        <v>#VALUE!</v>
      </c>
    </row>
    <row r="27" spans="1:9" ht="20.100000000000001" customHeight="1" x14ac:dyDescent="0.25">
      <c r="D27" s="50"/>
      <c r="E27" s="50"/>
      <c r="F27" s="50"/>
      <c r="G27" s="50"/>
      <c r="H27" s="50" t="e" cm="1">
        <f t="array" ref="H27">Fertiliser_Equations_Lime.VEERG_5_3_1_1__1_LimeApplicationCO2Emissions(E27,F27,$I$15,$I$16,G27,$I$18,$I$19,$I$20)</f>
        <v>#VALUE!</v>
      </c>
    </row>
    <row r="28" spans="1:9" ht="20.100000000000001" customHeight="1" x14ac:dyDescent="0.25">
      <c r="D28" s="50"/>
      <c r="E28" s="50"/>
      <c r="F28" s="50"/>
      <c r="G28" s="50"/>
      <c r="H28" s="50" t="e" cm="1">
        <f t="array" ref="H28">Fertiliser_Equations_Lime.VEERG_5_3_1_1__1_LimeApplicationCO2Emissions(E28,F28,$I$15,$I$16,G28,$I$18,$I$19,$I$20)</f>
        <v>#VALUE!</v>
      </c>
    </row>
    <row r="29" spans="1:9" ht="20.100000000000001" customHeight="1" x14ac:dyDescent="0.25">
      <c r="D29" s="50"/>
      <c r="E29" s="50"/>
      <c r="F29" s="50"/>
      <c r="G29" s="50"/>
      <c r="H29" s="50" t="e" cm="1">
        <f t="array" ref="H29">Fertiliser_Equations_Lime.VEERG_5_3_1_1__1_LimeApplicationCO2Emissions(E29,F29,$I$15,$I$16,G29,$I$18,$I$19,$I$20)</f>
        <v>#VALUE!</v>
      </c>
    </row>
    <row r="30" spans="1:9" ht="20.100000000000001" customHeight="1" x14ac:dyDescent="0.25"/>
    <row r="31" spans="1:9" ht="20.100000000000001" customHeight="1" x14ac:dyDescent="0.25">
      <c r="D31" s="93" t="s">
        <v>140</v>
      </c>
      <c r="E31" s="93" t="e">
        <f>SUM(H25:H29)</f>
        <v>#REF!</v>
      </c>
      <c r="F31" s="131" t="s">
        <v>141</v>
      </c>
    </row>
    <row r="32" spans="1:9" ht="20.100000000000001" customHeight="1" x14ac:dyDescent="0.25"/>
    <row r="33" spans="1:1" ht="20.100000000000001" customHeight="1" x14ac:dyDescent="0.25"/>
    <row r="34" spans="1:1" ht="20.100000000000001" customHeight="1" x14ac:dyDescent="0.25">
      <c r="A34" s="128"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28"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27"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161</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18" t="str" cm="1">
        <f t="array" ref="D13:E14">_xlfn.CHOOSECOLS(Fertiliser_Equations_AtmosphericDeposition.VEERG_5_4_1_1__2_MassOfNitrogenVolatilisedFromInorganicFertiliser_Arguments(), 1, 2)</f>
        <v>MN_jf</v>
      </c>
      <c r="E13" s="125" t="str">
        <v>mass of nitrogen in inorganic fertiliser applied</v>
      </c>
      <c r="F13" s="124"/>
      <c r="G13" s="118" t="str" cm="1">
        <f t="array" ref="G13:H14">_xlfn.CHOOSECOLS(Fertiliser_Equations_AtmosphericDeposition.VEERG_5_4_1_1__2_MassOfNitrogenVolatilisedFromInorganicFertiliser_Arguments(), 3,4)</f>
        <v>kg N</v>
      </c>
      <c r="H13" s="111" t="str">
        <v>Calculated from 5.1.1.1 (2)</v>
      </c>
      <c r="I13" s="117"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18" t="str">
        <v>FracGASF_f</v>
      </c>
      <c r="E14" s="125" t="str">
        <v>fraction of inorganic fertiliser that volatilises</v>
      </c>
      <c r="F14" s="124"/>
      <c r="G14" s="118" t="str">
        <v>(kg NH3-N + NOx-N)/kg N</v>
      </c>
      <c r="H14" s="111" t="str">
        <v>Constant</v>
      </c>
      <c r="I14" s="117"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42" t="str">
        <f>HYPERLINK("#'5.4.1.1-4 Atmos deposition'!A1", "5.4.1.1-4 Atmos deposition")</f>
        <v>5.4.1.1-4 Atmos deposition</v>
      </c>
      <c r="D16" s="92" t="s">
        <v>148</v>
      </c>
    </row>
    <row r="17" spans="1:8" ht="20.100000000000001" customHeight="1" x14ac:dyDescent="0.25">
      <c r="A17" s="17" t="str">
        <f>HYPERLINK("#'5.5.1.1-2 Leaching and runoff'!A1", "5.5.1.1-2 Leaching and runoff")</f>
        <v>5.5.1.1-2 Leaching and runoff</v>
      </c>
      <c r="D17" s="91" t="s">
        <v>149</v>
      </c>
    </row>
    <row r="18" spans="1:8" ht="20.100000000000001" customHeight="1" x14ac:dyDescent="0.25">
      <c r="D18" s="49" t="s">
        <v>144</v>
      </c>
      <c r="E18" s="49" t="s">
        <v>145</v>
      </c>
      <c r="F18" s="49" t="s">
        <v>108</v>
      </c>
      <c r="G18" s="132" t="s">
        <v>146</v>
      </c>
      <c r="H18" s="132" t="s">
        <v>147</v>
      </c>
    </row>
    <row r="19" spans="1:8" ht="20.100000000000001" customHeight="1" x14ac:dyDescent="0.25">
      <c r="A19" s="18" t="s">
        <v>2</v>
      </c>
      <c r="D19" s="50" t="e" cm="1">
        <f t="array" ref="D19">#REF!</f>
        <v>#REF!</v>
      </c>
      <c r="E19" s="50" t="str">
        <f>'6.1.1.1-2 Crop residue N2O'!O19</f>
        <v/>
      </c>
      <c r="F19" s="50" t="e" cm="1">
        <f t="array" ref="F19">Common_InputFunctions.Utility_LookupValueInTable(D19, #REF!,#REF!)</f>
        <v>#REF!</v>
      </c>
      <c r="G19" s="50" cm="1">
        <f t="array" ref="G19">Common_InputFunctions.Utility_LookupValueInTableNumber(F19, #REF!,#REF!)</f>
        <v>0</v>
      </c>
      <c r="H19" s="50" t="e" cm="1">
        <f t="array" ref="H19">Fertiliser_Equations_AtmosphericDeposition.VEERG_5_4_1_1__2_MassOfNitrogenVolatilisedFromInorganicFertiliser(E19,G19)</f>
        <v>#VALUE!</v>
      </c>
    </row>
    <row r="20" spans="1:8" ht="20.100000000000001" customHeight="1" x14ac:dyDescent="0.25">
      <c r="A20" s="17" t="str">
        <f>HYPERLINK("#'Constants - Fertiliser'!A1", "Constants - Fertiliser")</f>
        <v>Constants - Fertiliser</v>
      </c>
      <c r="D20" s="50"/>
      <c r="E20" s="50">
        <f>'6.1.1.1-2 Crop residue N2O'!O20</f>
        <v>0</v>
      </c>
      <c r="F20" s="50" t="e" cm="1">
        <f t="array" ref="F20">Common_InputFunctions.Utility_LookupValueInTable(D20, #REF!,#REF!)</f>
        <v>#REF!</v>
      </c>
      <c r="G20" s="50" cm="1">
        <f t="array" ref="G20">Common_InputFunctions.Utility_LookupValueInTableNumber(F20, #REF!,#REF!)</f>
        <v>0</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c r="E21" s="50">
        <f>'6.1.1.1-2 Crop residue N2O'!O21</f>
        <v>0</v>
      </c>
      <c r="F21" s="50" t="e" cm="1">
        <f t="array" ref="F21">Common_InputFunctions.Utility_LookupValueInTable(D21, #REF!,#REF!)</f>
        <v>#REF!</v>
      </c>
      <c r="G21" s="50" cm="1">
        <f t="array" ref="G21">Common_InputFunctions.Utility_LookupValueInTableNumber(F21, #REF!,#REF!)</f>
        <v>0</v>
      </c>
      <c r="H21" s="50" cm="1">
        <f t="array" ref="H21">Fertiliser_Equations_AtmosphericDeposition.VEERG_5_4_1_1__2_MassOfNitrogenVolatilisedFromInorganicFertiliser(E21,G21)</f>
        <v>0</v>
      </c>
    </row>
    <row r="22" spans="1:8" ht="20.100000000000001" customHeight="1" x14ac:dyDescent="0.25">
      <c r="D22" s="50"/>
      <c r="E22" s="50">
        <f>'6.1.1.1-2 Crop residue N2O'!O22</f>
        <v>0</v>
      </c>
      <c r="F22" s="50" t="e" cm="1">
        <f t="array" ref="F22">Common_InputFunctions.Utility_LookupValueInTable(D22, #REF!,#REF!)</f>
        <v>#REF!</v>
      </c>
      <c r="G22" s="50" cm="1">
        <f t="array" ref="G22">Common_InputFunctions.Utility_LookupValueInTableNumber(F22, #REF!,#REF!)</f>
        <v>0</v>
      </c>
      <c r="H22" s="50" cm="1">
        <f t="array" ref="H22">Fertiliser_Equations_AtmosphericDeposition.VEERG_5_4_1_1__2_MassOfNitrogenVolatilisedFromInorganicFertiliser(E22,G22)</f>
        <v>0</v>
      </c>
    </row>
    <row r="23" spans="1:8" ht="20.100000000000001" customHeight="1" x14ac:dyDescent="0.25">
      <c r="A23" s="17"/>
      <c r="D23" s="50"/>
      <c r="E23" s="50">
        <f>'6.1.1.1-2 Crop residue N2O'!O23</f>
        <v>0</v>
      </c>
      <c r="F23" s="50" t="e" cm="1">
        <f t="array" ref="F23">Common_InputFunctions.Utility_LookupValueInTable(D23, #REF!,#REF!)</f>
        <v>#REF!</v>
      </c>
      <c r="G23" s="50" cm="1">
        <f t="array" ref="G23">Common_InputFunctions.Utility_LookupValueInTableNumber(F23, #REF!,#REF!)</f>
        <v>0</v>
      </c>
      <c r="H23" s="50" cm="1">
        <f t="array" ref="H23">Fertiliser_Equations_AtmosphericDeposition.VEERG_5_4_1_1__2_MassOfNitrogenVolatilisedFromInorganicFertiliser(E23,G23)</f>
        <v>0</v>
      </c>
    </row>
    <row r="24" spans="1:8" ht="20.100000000000001" customHeight="1" x14ac:dyDescent="0.25">
      <c r="D24" s="50"/>
      <c r="E24" s="50">
        <f>'6.1.1.1-2 Crop residue N2O'!O24</f>
        <v>0</v>
      </c>
      <c r="F24" s="50" t="e" cm="1">
        <f t="array" ref="F24">Common_InputFunctions.Utility_LookupValueInTable(D24, #REF!,#REF!)</f>
        <v>#REF!</v>
      </c>
      <c r="G24" s="50" cm="1">
        <f t="array" ref="G24">Common_InputFunctions.Utility_LookupValueInTableNumber(F24, #REF!,#REF!)</f>
        <v>0</v>
      </c>
      <c r="H24" s="50" cm="1">
        <f t="array" ref="H24">Fertiliser_Equations_AtmosphericDeposition.VEERG_5_4_1_1__2_MassOfNitrogenVolatilisedFromInorganicFertiliser(E24,G24)</f>
        <v>0</v>
      </c>
    </row>
    <row r="25" spans="1:8" ht="20.100000000000001" customHeight="1" x14ac:dyDescent="0.25">
      <c r="D25" s="50"/>
      <c r="E25" s="50">
        <f>'6.1.1.1-2 Crop residue N2O'!O25</f>
        <v>0</v>
      </c>
      <c r="F25" s="50" t="e" cm="1">
        <f t="array" ref="F25">Common_InputFunctions.Utility_LookupValueInTable(D25, #REF!,#REF!)</f>
        <v>#REF!</v>
      </c>
      <c r="G25" s="50" cm="1">
        <f t="array" ref="G25">Common_InputFunctions.Utility_LookupValueInTableNumber(F25, #REF!,#REF!)</f>
        <v>0</v>
      </c>
      <c r="H25" s="50" cm="1">
        <f t="array" ref="H25">Fertiliser_Equations_AtmosphericDeposition.VEERG_5_4_1_1__2_MassOfNitrogenVolatilisedFromInorganicFertiliser(E25,G25)</f>
        <v>0</v>
      </c>
    </row>
    <row r="26" spans="1:8" ht="20.100000000000001" customHeight="1" x14ac:dyDescent="0.25">
      <c r="D26" s="50"/>
      <c r="E26" s="50">
        <f>'6.1.1.1-2 Crop residue N2O'!O26</f>
        <v>0</v>
      </c>
      <c r="F26" s="50" t="e" cm="1">
        <f t="array" ref="F26">Common_InputFunctions.Utility_LookupValueInTable(D26, #REF!,#REF!)</f>
        <v>#REF!</v>
      </c>
      <c r="G26" s="50" cm="1">
        <f t="array" ref="G26">Common_InputFunctions.Utility_LookupValueInTableNumber(F26, #REF!,#REF!)</f>
        <v>0</v>
      </c>
      <c r="H26" s="50" cm="1">
        <f t="array" ref="H26">Fertiliser_Equations_AtmosphericDeposition.VEERG_5_4_1_1__2_MassOfNitrogenVolatilisedFromInorganicFertiliser(E26,G26)</f>
        <v>0</v>
      </c>
    </row>
    <row r="27" spans="1:8" ht="20.100000000000001" customHeight="1" x14ac:dyDescent="0.25">
      <c r="D27" s="50"/>
      <c r="E27" s="50">
        <f>'6.1.1.1-2 Crop residue N2O'!O27</f>
        <v>0</v>
      </c>
      <c r="F27" s="50" t="e" cm="1">
        <f t="array" ref="F27">Common_InputFunctions.Utility_LookupValueInTable(D27, #REF!,#REF!)</f>
        <v>#REF!</v>
      </c>
      <c r="G27" s="50" cm="1">
        <f t="array" ref="G27">Common_InputFunctions.Utility_LookupValueInTableNumber(F27, #REF!,#REF!)</f>
        <v>0</v>
      </c>
      <c r="H27" s="50" cm="1">
        <f t="array" ref="H27">Fertiliser_Equations_AtmosphericDeposition.VEERG_5_4_1_1__2_MassOfNitrogenVolatilisedFromInorganicFertiliser(E27,G27)</f>
        <v>0</v>
      </c>
    </row>
    <row r="28" spans="1:8" ht="20.100000000000001" customHeight="1" x14ac:dyDescent="0.25">
      <c r="D28" s="50"/>
      <c r="E28" s="50">
        <f>'6.1.1.1-2 Crop residue N2O'!O28</f>
        <v>0</v>
      </c>
      <c r="F28" s="50" t="e" cm="1">
        <f t="array" ref="F28">Common_InputFunctions.Utility_LookupValueInTable(D28, #REF!,#REF!)</f>
        <v>#REF!</v>
      </c>
      <c r="G28" s="50" cm="1">
        <f t="array" ref="G28">Common_InputFunctions.Utility_LookupValueInTableNumber(F28, #REF!,#REF!)</f>
        <v>0</v>
      </c>
      <c r="H28" s="50" cm="1">
        <f t="array" ref="H28">Fertiliser_Equations_AtmosphericDeposition.VEERG_5_4_1_1__2_MassOfNitrogenVolatilisedFromInorganicFertiliser(E28,G28)</f>
        <v>0</v>
      </c>
    </row>
    <row r="29" spans="1:8" ht="20.100000000000001" customHeight="1" x14ac:dyDescent="0.25">
      <c r="D29" s="50"/>
      <c r="E29" s="50">
        <f>'6.1.1.1-2 Crop residue N2O'!O29</f>
        <v>0</v>
      </c>
      <c r="F29" s="50" t="e" cm="1">
        <f t="array" ref="F29">Common_InputFunctions.Utility_LookupValueInTable(D29, #REF!,#REF!)</f>
        <v>#REF!</v>
      </c>
      <c r="G29" s="50" cm="1">
        <f t="array" ref="G29">Common_InputFunctions.Utility_LookupValueInTableNumber(F29, #REF!,#REF!)</f>
        <v>0</v>
      </c>
      <c r="H29" s="50" cm="1">
        <f t="array" ref="H29">Fertiliser_Equations_AtmosphericDeposition.VEERG_5_4_1_1__2_MassOfNitrogenVolatilisedFromInorganicFertiliser(E29,G29)</f>
        <v>0</v>
      </c>
    </row>
    <row r="30" spans="1:8" ht="20.100000000000001" customHeight="1" x14ac:dyDescent="0.25">
      <c r="D30" s="50"/>
      <c r="E30" s="50">
        <f>'6.1.1.1-2 Crop residue N2O'!O30</f>
        <v>0</v>
      </c>
      <c r="F30" s="50" t="e" cm="1">
        <f t="array" ref="F30">Common_InputFunctions.Utility_LookupValueInTable(D30, #REF!,#REF!)</f>
        <v>#REF!</v>
      </c>
      <c r="G30" s="50" cm="1">
        <f t="array" ref="G30">Common_InputFunctions.Utility_LookupValueInTableNumber(F30, #REF!,#REF!)</f>
        <v>0</v>
      </c>
      <c r="H30" s="50" cm="1">
        <f t="array" ref="H30">Fertiliser_Equations_AtmosphericDeposition.VEERG_5_4_1_1__2_MassOfNitrogenVolatilisedFromInorganicFertiliser(E30,G30)</f>
        <v>0</v>
      </c>
    </row>
    <row r="31" spans="1:8" ht="20.100000000000001" customHeight="1" x14ac:dyDescent="0.25">
      <c r="D31" s="50"/>
      <c r="E31" s="50">
        <f>'6.1.1.1-2 Crop residue N2O'!O31</f>
        <v>0</v>
      </c>
      <c r="F31" s="50" t="e" cm="1">
        <f t="array" ref="F31">Common_InputFunctions.Utility_LookupValueInTable(D31, #REF!,#REF!)</f>
        <v>#REF!</v>
      </c>
      <c r="G31" s="50" cm="1">
        <f t="array" ref="G31">Common_InputFunctions.Utility_LookupValueInTableNumber(F31, #REF!,#REF!)</f>
        <v>0</v>
      </c>
      <c r="H31" s="50" cm="1">
        <f t="array" ref="H31">Fertiliser_Equations_AtmosphericDeposition.VEERG_5_4_1_1__2_MassOfNitrogenVolatilisedFromInorganicFertiliser(E31,G31)</f>
        <v>0</v>
      </c>
    </row>
    <row r="32" spans="1:8" ht="20.100000000000001" customHeight="1" x14ac:dyDescent="0.25">
      <c r="D32" s="50"/>
      <c r="E32" s="50">
        <f>'6.1.1.1-2 Crop residue N2O'!O32</f>
        <v>0</v>
      </c>
      <c r="F32" s="50" t="e" cm="1">
        <f t="array" ref="F32">Common_InputFunctions.Utility_LookupValueInTable(D32, #REF!,#REF!)</f>
        <v>#REF!</v>
      </c>
      <c r="G32" s="50" cm="1">
        <f t="array" ref="G32">Common_InputFunctions.Utility_LookupValueInTableNumber(F32, #REF!,#REF!)</f>
        <v>0</v>
      </c>
      <c r="H32" s="50" cm="1">
        <f t="array" ref="H32">Fertiliser_Equations_AtmosphericDeposition.VEERG_5_4_1_1__2_MassOfNitrogenVolatilisedFromInorganicFertiliser(E32,G32)</f>
        <v>0</v>
      </c>
    </row>
    <row r="33" spans="1:12" ht="20.100000000000001" customHeight="1" x14ac:dyDescent="0.25">
      <c r="D33" s="50"/>
      <c r="E33" s="50">
        <f>'6.1.1.1-2 Crop residue N2O'!O33</f>
        <v>0</v>
      </c>
      <c r="F33" s="50" t="e" cm="1">
        <f t="array" ref="F33">Common_InputFunctions.Utility_LookupValueInTable(D33, #REF!,#REF!)</f>
        <v>#REF!</v>
      </c>
      <c r="G33" s="50" cm="1">
        <f t="array" ref="G33">Common_InputFunctions.Utility_LookupValueInTableNumber(F33, #REF!,#REF!)</f>
        <v>0</v>
      </c>
      <c r="H33" s="50" cm="1">
        <f t="array" ref="H33">Fertiliser_Equations_AtmosphericDeposition.VEERG_5_4_1_1__2_MassOfNitrogenVolatilisedFromInorganicFertiliser(E33,G33)</f>
        <v>0</v>
      </c>
    </row>
    <row r="34" spans="1:12" ht="20.100000000000001" customHeight="1" x14ac:dyDescent="0.25">
      <c r="A34" s="128" t="str">
        <f>HYPERLINK("#A1", "▲ Back to top")</f>
        <v>▲ Back to top</v>
      </c>
      <c r="D34" s="50"/>
      <c r="E34" s="50">
        <f>'6.1.1.1-2 Crop residue N2O'!O34</f>
        <v>0</v>
      </c>
      <c r="F34" s="50" t="e" cm="1">
        <f t="array" ref="F34">Common_InputFunctions.Utility_LookupValueInTable(D34, #REF!,#REF!)</f>
        <v>#REF!</v>
      </c>
      <c r="G34" s="50" cm="1">
        <f t="array" ref="G34">Common_InputFunctions.Utility_LookupValueInTableNumber(F34, #REF!,#REF!)</f>
        <v>0</v>
      </c>
      <c r="H34" s="50" cm="1">
        <f t="array" ref="H34">Fertiliser_Equations_AtmosphericDeposition.VEERG_5_4_1_1__2_MassOfNitrogenVolatilisedFromInorganicFertiliser(E34,G34)</f>
        <v>0</v>
      </c>
    </row>
    <row r="35" spans="1:12" ht="20.100000000000001" customHeight="1" x14ac:dyDescent="0.25">
      <c r="D35" s="50"/>
      <c r="E35" s="50">
        <f>'6.1.1.1-2 Crop residue N2O'!O35</f>
        <v>0</v>
      </c>
      <c r="F35" s="50" t="e" cm="1">
        <f t="array" ref="F35">Common_InputFunctions.Utility_LookupValueInTable(D35, #REF!,#REF!)</f>
        <v>#REF!</v>
      </c>
      <c r="G35" s="50" cm="1">
        <f t="array" ref="G35">Common_InputFunctions.Utility_LookupValueInTableNumber(F35, #REF!,#REF!)</f>
        <v>0</v>
      </c>
      <c r="H35" s="50" cm="1">
        <f t="array" ref="H35">Fertiliser_Equations_AtmosphericDeposition.VEERG_5_4_1_1__2_MassOfNitrogenVolatilisedFromInorganicFertiliser(E35,G35)</f>
        <v>0</v>
      </c>
    </row>
    <row r="36" spans="1:12" ht="20.100000000000001" customHeight="1" x14ac:dyDescent="0.25">
      <c r="D36" s="50"/>
      <c r="E36" s="50">
        <f>'6.1.1.1-2 Crop residue N2O'!O36</f>
        <v>0</v>
      </c>
      <c r="F36" s="50" t="e" cm="1">
        <f t="array" ref="F36">Common_InputFunctions.Utility_LookupValueInTable(D36, #REF!,#REF!)</f>
        <v>#REF!</v>
      </c>
      <c r="G36" s="50" cm="1">
        <f t="array" ref="G36">Common_InputFunctions.Utility_LookupValueInTableNumber(F36, #REF!,#REF!)</f>
        <v>0</v>
      </c>
      <c r="H36" s="50" cm="1">
        <f t="array" ref="H36">Fertiliser_Equations_AtmosphericDeposition.VEERG_5_4_1_1__2_MassOfNitrogenVolatilisedFromInorganicFertiliser(E36,G36)</f>
        <v>0</v>
      </c>
    </row>
    <row r="37" spans="1:12" ht="20.100000000000001" customHeight="1" x14ac:dyDescent="0.25"/>
    <row r="38" spans="1:12" ht="20.100000000000001" customHeight="1" x14ac:dyDescent="0.25"/>
    <row r="39" spans="1:12" ht="20.100000000000001" customHeight="1" x14ac:dyDescent="0.25">
      <c r="C39" s="127"/>
      <c r="D39" s="127"/>
      <c r="E39" s="127"/>
      <c r="F39" s="127"/>
      <c r="G39" s="127"/>
      <c r="H39" s="127"/>
      <c r="I39" s="127"/>
      <c r="J39" s="127"/>
      <c r="K39" s="127"/>
      <c r="L39" s="127"/>
    </row>
    <row r="40" spans="1:12" ht="20.100000000000001" customHeight="1" x14ac:dyDescent="0.25">
      <c r="D40" s="6" t="str" cm="1">
        <f t="array" ref="D40">Fertiliser_Equations_AtmosphericDeposition.VEERG_5_4_1_1__1_InorganicFertiliserAtmosphericDepositionN2OEmissions_Title()</f>
        <v>Nitrous oxide emissions from atmospheric deposition from all inorganic fertiliser types f and all production systems j</v>
      </c>
    </row>
    <row r="41" spans="1:12" ht="20.100000000000001" customHeight="1" x14ac:dyDescent="0.25">
      <c r="D41" s="5" t="str" cm="1">
        <f t="array" ref="D41">Fertiliser_Equations_AtmosphericDeposition.VEERG_5_4_1_1__1_InorganicFertiliserAtmosphericDepositionN2OEmissions_Source()</f>
        <v>VEERG 2026: 5.4.1.1, Equation (1)</v>
      </c>
    </row>
    <row r="42" spans="1:12" ht="20.100000000000001" customHeight="1" x14ac:dyDescent="0.25">
      <c r="D42" s="13" t="s">
        <v>22</v>
      </c>
      <c r="E42" s="13" t="str" cm="1">
        <f t="array" aca="1" ref="E42" ca="1">Common_InputFunctions.Utility_DisplayFunctionName(F58)</f>
        <v>=Fertiliser_Equations_AtmosphericDeposition.VEERG_5_4_1_1__1_InorganicFertiliserAtmosphericDepositionN2OEmissions</v>
      </c>
    </row>
    <row r="43" spans="1:12" ht="20.100000000000001" customHeight="1" x14ac:dyDescent="0.25"/>
    <row r="44" spans="1:12" ht="20.100000000000001" customHeight="1" x14ac:dyDescent="0.25"/>
    <row r="45" spans="1:12" ht="20.100000000000001" customHeight="1" x14ac:dyDescent="0.25">
      <c r="D45" s="51" t="s">
        <v>25</v>
      </c>
      <c r="E45" s="1" t="str" cm="1">
        <f t="array" ref="E45">Fertiliser_Equations_AtmosphericDeposition.VEERG_5_4_1_1__1_InorganicFertiliserAtmosphericDepositionN2OEmissions_Variable()</f>
        <v>E_adinorganic</v>
      </c>
    </row>
    <row r="46" spans="1:12" ht="20.100000000000001" customHeight="1" x14ac:dyDescent="0.25">
      <c r="D46" s="51" t="s">
        <v>16</v>
      </c>
      <c r="E46" s="52" t="str" cm="1">
        <f t="array" ref="E46">Fertiliser_Equations_AtmosphericDeposition.VEERG_5_4_1_1__1_InorganicFertiliserAtmosphericDepositionN2OEmissions_Unit()</f>
        <v>t N2O</v>
      </c>
    </row>
    <row r="47" spans="1:12" ht="20.100000000000001" customHeight="1" x14ac:dyDescent="0.25"/>
    <row r="48" spans="1:12" ht="20.100000000000001" customHeight="1" x14ac:dyDescent="0.25">
      <c r="D48" s="118" t="str" cm="1">
        <f t="array" ref="D48:E53">_xlfn.CHOOSECOLS(Fertiliser_Equations_AtmosphericDeposition.VEERG_5_4_1_1__1_InorganicFertiliserAtmosphericDepositionN2OEmissions_Arguments(), 1, 2)</f>
        <v>M_volinorganicjf</v>
      </c>
      <c r="E48" s="125" t="str">
        <v>mass of nitrogen volatilised from inorganic fertiliser applied to production system</v>
      </c>
      <c r="F48" s="126"/>
      <c r="G48" s="124"/>
      <c r="H48" s="118" t="str" cm="1">
        <f t="array" ref="H48:I53">_xlfn.CHOOSECOLS(Fertiliser_Equations_AtmosphericDeposition.VEERG_5_4_1_1__1_InorganicFertiliserAtmosphericDepositionN2OEmissions_Arguments(), 3,4)</f>
        <v>kg N</v>
      </c>
      <c r="I48" s="111" t="str">
        <v>Calculated from 5.4.1.1 (2)</v>
      </c>
      <c r="J48" s="117" t="str" cm="1">
        <f t="array" aca="1" ref="J48" ca="1">HYPERLINK(Common_InputFunctions.Utility_SourceHyperlink($D$16),$D$16)</f>
        <v>Table_M_vol_inorganic_j_f</v>
      </c>
    </row>
    <row r="49" spans="1:10" ht="20.100000000000001" customHeight="1" x14ac:dyDescent="0.25">
      <c r="D49" s="118" t="str">
        <v>EF_N2Oj</v>
      </c>
      <c r="E49" s="125" t="str">
        <v>emission factor for atmospheric deposition</v>
      </c>
      <c r="F49" s="126"/>
      <c r="G49" s="124"/>
      <c r="H49" s="118" t="str">
        <v>kg N2O-N/kg N</v>
      </c>
      <c r="I49" s="111" t="str">
        <v>Constant</v>
      </c>
      <c r="J49" s="118" t="e">
        <f>Common_InputFunctions.Utility_LookupN2OEFFromProdIrrigationRainfall(J51,J52,J53,Table_SourceData_Common_EFN2O[Production system only],Table_SourceData_Common_EFN2O[Irrigation method],Table_SourceData_Common_EFN2O[Rainfall zone],Table_SourceData_Common_EFN2O[EFN2O])</f>
        <v>#N/A</v>
      </c>
    </row>
    <row r="50" spans="1:10" ht="20.100000000000001" customHeight="1" x14ac:dyDescent="0.25">
      <c r="D50" s="118" t="str">
        <v>C_N2O</v>
      </c>
      <c r="E50" s="125" t="str">
        <v>factor to convert elemental mass of nitrous oxide to molecular mass</v>
      </c>
      <c r="F50" s="126"/>
      <c r="G50" s="124"/>
      <c r="H50" s="118" t="str">
        <v/>
      </c>
      <c r="I50" s="111" t="str">
        <v>Constant</v>
      </c>
      <c r="J50" s="54">
        <f>Common_InputFunctions.Utility_LookupValueInTableNumber("N2O",Table_GasToMolecularConversionFactor[Gas],Table_GasToMolecularConversionFactor[Conversion factor combined])</f>
        <v>1.5714285714285714</v>
      </c>
    </row>
    <row r="51" spans="1:10" ht="20.100000000000001" customHeight="1" x14ac:dyDescent="0.25">
      <c r="D51" s="118" t="str">
        <v>j</v>
      </c>
      <c r="E51" s="125" t="str">
        <v>Production system</v>
      </c>
      <c r="F51" s="126"/>
      <c r="G51" s="124"/>
      <c r="H51" s="118" t="str">
        <v/>
      </c>
      <c r="I51" s="112" t="str">
        <v>Input</v>
      </c>
      <c r="J51" s="118">
        <f>'Input - Crop'!$E$6</f>
        <v>0</v>
      </c>
    </row>
    <row r="52" spans="1:10" ht="20.100000000000001" customHeight="1" x14ac:dyDescent="0.25">
      <c r="D52" s="118" t="str">
        <v>ir</v>
      </c>
      <c r="E52" s="125" t="str">
        <v>irrigation method</v>
      </c>
      <c r="F52" s="126"/>
      <c r="G52" s="124"/>
      <c r="H52" s="118" t="str">
        <v/>
      </c>
      <c r="I52" s="112" t="str">
        <v>Input</v>
      </c>
      <c r="J52" s="118">
        <f>'Input - Crop'!$E$8</f>
        <v>0</v>
      </c>
    </row>
    <row r="53" spans="1:10" ht="20.100000000000001" customHeight="1" x14ac:dyDescent="0.25">
      <c r="D53" s="118" t="str">
        <v>r</v>
      </c>
      <c r="E53" s="125" t="str">
        <v>rainfall region</v>
      </c>
      <c r="F53" s="126"/>
      <c r="G53" s="124"/>
      <c r="H53" s="118" t="str">
        <v/>
      </c>
      <c r="I53" s="112" t="str">
        <v>Input</v>
      </c>
      <c r="J53" s="118" t="str">
        <f>'Input - Site'!$E$30</f>
        <v>Low rainfall</v>
      </c>
    </row>
    <row r="54" spans="1:10" ht="20.100000000000001" customHeight="1" x14ac:dyDescent="0.25"/>
    <row r="55" spans="1:10" ht="20.100000000000001" customHeight="1" x14ac:dyDescent="0.25">
      <c r="A55" s="128" t="str">
        <f>HYPERLINK("#A1", "▲ Back to top")</f>
        <v>▲ Back to top</v>
      </c>
      <c r="D55" s="92" t="s">
        <v>157</v>
      </c>
    </row>
    <row r="56" spans="1:10" ht="20.100000000000001" customHeight="1" x14ac:dyDescent="0.25">
      <c r="D56" s="91" t="s">
        <v>158</v>
      </c>
    </row>
    <row r="57" spans="1:10" ht="20.100000000000001" customHeight="1" x14ac:dyDescent="0.25">
      <c r="D57" s="49" t="s">
        <v>144</v>
      </c>
      <c r="E57" s="132" t="s">
        <v>147</v>
      </c>
      <c r="F57" s="132" t="s">
        <v>150</v>
      </c>
    </row>
    <row r="58" spans="1:10" ht="20.100000000000001" customHeight="1" x14ac:dyDescent="0.25">
      <c r="D58" s="50" t="e" cm="1">
        <f t="array" ref="D58">#REF!</f>
        <v>#REF!</v>
      </c>
      <c r="E58" s="50" t="e">
        <f t="shared" ref="E58:E75" si="0">H19</f>
        <v>#VALUE!</v>
      </c>
      <c r="F58" s="50" t="e" cm="1">
        <f t="array" ref="F58">Fertiliser_Equations_AtmosphericDeposition.VEERG_5_4_1_1__1_InorganicFertiliserAtmosphericDepositionN2OEmissions(E58,$J$49,$J$50)</f>
        <v>#VALUE!</v>
      </c>
      <c r="G58" s="2" t="str">
        <f>E46</f>
        <v>t N2O</v>
      </c>
    </row>
    <row r="59" spans="1:10" ht="20.100000000000001" customHeight="1" x14ac:dyDescent="0.25">
      <c r="D59" s="50"/>
      <c r="E59" s="50">
        <f t="shared" si="0"/>
        <v>0</v>
      </c>
      <c r="F59" s="50" t="e" cm="1">
        <f t="array" ref="F59">Fertiliser_Equations_AtmosphericDeposition.VEERG_5_4_1_1__1_InorganicFertiliserAtmosphericDepositionN2OEmissions(E59,$J$49,$J$50)</f>
        <v>#N/A</v>
      </c>
    </row>
    <row r="60" spans="1:10" ht="20.100000000000001" customHeight="1" x14ac:dyDescent="0.25">
      <c r="D60" s="50"/>
      <c r="E60" s="50">
        <f t="shared" si="0"/>
        <v>0</v>
      </c>
      <c r="F60" s="50" t="e" cm="1">
        <f t="array" ref="F60">Fertiliser_Equations_AtmosphericDeposition.VEERG_5_4_1_1__1_InorganicFertiliserAtmosphericDepositionN2OEmissions(E60,$J$49,$J$50)</f>
        <v>#N/A</v>
      </c>
    </row>
    <row r="61" spans="1:10" ht="20.100000000000001" customHeight="1" x14ac:dyDescent="0.25">
      <c r="D61" s="50"/>
      <c r="E61" s="50">
        <f t="shared" si="0"/>
        <v>0</v>
      </c>
      <c r="F61" s="50" t="e" cm="1">
        <f t="array" ref="F61">Fertiliser_Equations_AtmosphericDeposition.VEERG_5_4_1_1__1_InorganicFertiliserAtmosphericDepositionN2OEmissions(E61,$J$49,$J$50)</f>
        <v>#N/A</v>
      </c>
    </row>
    <row r="62" spans="1:10" ht="20.100000000000001" customHeight="1" x14ac:dyDescent="0.25">
      <c r="D62" s="50"/>
      <c r="E62" s="50">
        <f t="shared" si="0"/>
        <v>0</v>
      </c>
      <c r="F62" s="50" t="e" cm="1">
        <f t="array" ref="F62">Fertiliser_Equations_AtmosphericDeposition.VEERG_5_4_1_1__1_InorganicFertiliserAtmosphericDepositionN2OEmissions(E62,$J$49,$J$50)</f>
        <v>#N/A</v>
      </c>
    </row>
    <row r="63" spans="1:10" ht="20.100000000000001" customHeight="1" x14ac:dyDescent="0.25">
      <c r="D63" s="50"/>
      <c r="E63" s="50">
        <f t="shared" si="0"/>
        <v>0</v>
      </c>
      <c r="F63" s="50" t="e" cm="1">
        <f t="array" ref="F63">Fertiliser_Equations_AtmosphericDeposition.VEERG_5_4_1_1__1_InorganicFertiliserAtmosphericDepositionN2OEmissions(E63,$J$49,$J$50)</f>
        <v>#N/A</v>
      </c>
    </row>
    <row r="64" spans="1:10" ht="20.100000000000001" customHeight="1" x14ac:dyDescent="0.25">
      <c r="D64" s="50"/>
      <c r="E64" s="50">
        <f t="shared" si="0"/>
        <v>0</v>
      </c>
      <c r="F64" s="50" t="e" cm="1">
        <f t="array" ref="F64">Fertiliser_Equations_AtmosphericDeposition.VEERG_5_4_1_1__1_InorganicFertiliserAtmosphericDepositionN2OEmissions(E64,$J$49,$J$50)</f>
        <v>#N/A</v>
      </c>
    </row>
    <row r="65" spans="4:7" ht="20.100000000000001" customHeight="1" x14ac:dyDescent="0.25">
      <c r="D65" s="50"/>
      <c r="E65" s="50">
        <f t="shared" si="0"/>
        <v>0</v>
      </c>
      <c r="F65" s="50" t="e" cm="1">
        <f t="array" ref="F65">Fertiliser_Equations_AtmosphericDeposition.VEERG_5_4_1_1__1_InorganicFertiliserAtmosphericDepositionN2OEmissions(E65,$J$49,$J$50)</f>
        <v>#N/A</v>
      </c>
    </row>
    <row r="66" spans="4:7" ht="20.100000000000001" customHeight="1" x14ac:dyDescent="0.25">
      <c r="D66" s="50"/>
      <c r="E66" s="50">
        <f t="shared" si="0"/>
        <v>0</v>
      </c>
      <c r="F66" s="50" t="e" cm="1">
        <f t="array" ref="F66">Fertiliser_Equations_AtmosphericDeposition.VEERG_5_4_1_1__1_InorganicFertiliserAtmosphericDepositionN2OEmissions(E66,$J$49,$J$50)</f>
        <v>#N/A</v>
      </c>
    </row>
    <row r="67" spans="4:7" ht="20.100000000000001" customHeight="1" x14ac:dyDescent="0.25">
      <c r="D67" s="50"/>
      <c r="E67" s="50">
        <f t="shared" si="0"/>
        <v>0</v>
      </c>
      <c r="F67" s="50" t="e" cm="1">
        <f t="array" ref="F67">Fertiliser_Equations_AtmosphericDeposition.VEERG_5_4_1_1__1_InorganicFertiliserAtmosphericDepositionN2OEmissions(E67,$J$49,$J$50)</f>
        <v>#N/A</v>
      </c>
    </row>
    <row r="68" spans="4:7" ht="20.100000000000001" customHeight="1" x14ac:dyDescent="0.25">
      <c r="D68" s="50"/>
      <c r="E68" s="50">
        <f t="shared" si="0"/>
        <v>0</v>
      </c>
      <c r="F68" s="50" t="e" cm="1">
        <f t="array" ref="F68">Fertiliser_Equations_AtmosphericDeposition.VEERG_5_4_1_1__1_InorganicFertiliserAtmosphericDepositionN2OEmissions(E68,$J$49,$J$50)</f>
        <v>#N/A</v>
      </c>
    </row>
    <row r="69" spans="4:7" ht="20.100000000000001" customHeight="1" x14ac:dyDescent="0.25">
      <c r="D69" s="50"/>
      <c r="E69" s="50">
        <f t="shared" si="0"/>
        <v>0</v>
      </c>
      <c r="F69" s="50" t="e" cm="1">
        <f t="array" ref="F69">Fertiliser_Equations_AtmosphericDeposition.VEERG_5_4_1_1__1_InorganicFertiliserAtmosphericDepositionN2OEmissions(E69,$J$49,$J$50)</f>
        <v>#N/A</v>
      </c>
    </row>
    <row r="70" spans="4:7" ht="20.100000000000001" customHeight="1" x14ac:dyDescent="0.25">
      <c r="D70" s="50"/>
      <c r="E70" s="50">
        <f t="shared" si="0"/>
        <v>0</v>
      </c>
      <c r="F70" s="50" t="e" cm="1">
        <f t="array" ref="F70">Fertiliser_Equations_AtmosphericDeposition.VEERG_5_4_1_1__1_InorganicFertiliserAtmosphericDepositionN2OEmissions(E70,$J$49,$J$50)</f>
        <v>#N/A</v>
      </c>
    </row>
    <row r="71" spans="4:7" ht="20.100000000000001" customHeight="1" x14ac:dyDescent="0.25">
      <c r="D71" s="50"/>
      <c r="E71" s="50">
        <f t="shared" si="0"/>
        <v>0</v>
      </c>
      <c r="F71" s="50" t="e" cm="1">
        <f t="array" ref="F71">Fertiliser_Equations_AtmosphericDeposition.VEERG_5_4_1_1__1_InorganicFertiliserAtmosphericDepositionN2OEmissions(E71,$J$49,$J$50)</f>
        <v>#N/A</v>
      </c>
    </row>
    <row r="72" spans="4:7" ht="20.100000000000001" customHeight="1" x14ac:dyDescent="0.25">
      <c r="D72" s="50"/>
      <c r="E72" s="50">
        <f t="shared" si="0"/>
        <v>0</v>
      </c>
      <c r="F72" s="50" t="e" cm="1">
        <f t="array" ref="F72">Fertiliser_Equations_AtmosphericDeposition.VEERG_5_4_1_1__1_InorganicFertiliserAtmosphericDepositionN2OEmissions(E72,$J$49,$J$50)</f>
        <v>#N/A</v>
      </c>
    </row>
    <row r="73" spans="4:7" ht="20.100000000000001" customHeight="1" x14ac:dyDescent="0.25">
      <c r="D73" s="50"/>
      <c r="E73" s="50">
        <f t="shared" si="0"/>
        <v>0</v>
      </c>
      <c r="F73" s="50" t="e" cm="1">
        <f t="array" ref="F73">Fertiliser_Equations_AtmosphericDeposition.VEERG_5_4_1_1__1_InorganicFertiliserAtmosphericDepositionN2OEmissions(E73,$J$49,$J$50)</f>
        <v>#N/A</v>
      </c>
    </row>
    <row r="74" spans="4:7" ht="20.100000000000001" customHeight="1" x14ac:dyDescent="0.25">
      <c r="D74" s="50"/>
      <c r="E74" s="50">
        <f t="shared" si="0"/>
        <v>0</v>
      </c>
      <c r="F74" s="50" t="e" cm="1">
        <f t="array" ref="F74">Fertiliser_Equations_AtmosphericDeposition.VEERG_5_4_1_1__1_InorganicFertiliserAtmosphericDepositionN2OEmissions(E74,$J$49,$J$50)</f>
        <v>#N/A</v>
      </c>
    </row>
    <row r="75" spans="4:7" ht="20.100000000000001" customHeight="1" x14ac:dyDescent="0.25">
      <c r="D75" s="50"/>
      <c r="E75" s="50">
        <f t="shared" si="0"/>
        <v>0</v>
      </c>
      <c r="F75" s="50" t="e" cm="1">
        <f t="array" ref="F75">Fertiliser_Equations_AtmosphericDeposition.VEERG_5_4_1_1__1_InorganicFertiliserAtmosphericDepositionN2OEmissions(E75,$J$49,$J$50)</f>
        <v>#N/A</v>
      </c>
    </row>
    <row r="76" spans="4:7" ht="20.100000000000001" customHeight="1" x14ac:dyDescent="0.25"/>
    <row r="77" spans="4:7" ht="20.100000000000001" customHeight="1" x14ac:dyDescent="0.25">
      <c r="D77" s="93" t="s">
        <v>155</v>
      </c>
      <c r="E77" s="94" t="e">
        <f>SUM(F58:F75)</f>
        <v>#VALUE!</v>
      </c>
      <c r="F77" s="95" t="str">
        <f>$E$46</f>
        <v>t N2O</v>
      </c>
    </row>
    <row r="78" spans="4:7" ht="20.100000000000001" customHeight="1" x14ac:dyDescent="0.25"/>
    <row r="79" spans="4:7" ht="20.100000000000001" customHeight="1" x14ac:dyDescent="0.25">
      <c r="D79" s="54" t="str" cm="1">
        <f t="array" ref="D79:E80">Common_Equations.Common_ConvertN2OToCO2e_Arguments()</f>
        <v>EN2O</v>
      </c>
      <c r="E79" s="55" t="str">
        <v>Nitrous oxide emissions (t N2O)</v>
      </c>
      <c r="F79" s="96"/>
      <c r="G79" s="50" t="e">
        <f>E77</f>
        <v>#VALUE!</v>
      </c>
    </row>
    <row r="80" spans="4:7" ht="20.100000000000001" customHeight="1" x14ac:dyDescent="0.25">
      <c r="D80" s="54" t="str">
        <v>GWPN2O</v>
      </c>
      <c r="E80" s="55" t="str">
        <v>Global warming potential for nitrous oxide (t CO2-e / t N2O)</v>
      </c>
      <c r="F80" s="96"/>
      <c r="G80" s="50">
        <f>Common_InputFunctions.Utility_LookupValueInTableNumber("N2O",Table_GWPData[Gas],Table_GWPData[CO2-e factor])</f>
        <v>265</v>
      </c>
    </row>
    <row r="81" spans="3:12" ht="20.100000000000001" customHeight="1" x14ac:dyDescent="0.25"/>
    <row r="82" spans="3:12" ht="20.100000000000001" customHeight="1" x14ac:dyDescent="0.25">
      <c r="D82" s="44" t="s">
        <v>79</v>
      </c>
      <c r="E82" s="44" t="e" cm="1">
        <f t="array" ref="E82">Common_Equations.Common_ConvertN2OToCO2e(G79,G80)</f>
        <v>#VALUE!</v>
      </c>
      <c r="F82" s="97" t="str" cm="1">
        <f t="array" ref="F82">Common_Equations.Common_ConvertN2OToCO2e_Unit()</f>
        <v>t CO2e</v>
      </c>
    </row>
    <row r="83" spans="3:12" ht="20.100000000000001" customHeight="1" x14ac:dyDescent="0.25"/>
    <row r="84" spans="3:12" ht="20.100000000000001" customHeight="1" x14ac:dyDescent="0.25"/>
    <row r="85" spans="3:12" ht="20.100000000000001" customHeight="1" x14ac:dyDescent="0.25">
      <c r="C85" s="127"/>
      <c r="D85" s="127"/>
      <c r="E85" s="127"/>
      <c r="F85" s="127"/>
      <c r="G85" s="127"/>
      <c r="H85" s="127"/>
      <c r="I85" s="127"/>
      <c r="J85" s="127"/>
      <c r="K85" s="127"/>
      <c r="L85" s="127"/>
    </row>
    <row r="86" spans="3:12" ht="20.100000000000001" customHeight="1" x14ac:dyDescent="0.25">
      <c r="D86" s="6" t="str" cm="1">
        <f t="array" ref="D86">Fertiliser_Equations_AtmosphericDeposition.VEERG_5_4_1_3__2_MassOfNitrogenVolatilisedFromOrganicFertiliser_Title()</f>
        <v>Mass of nitrogen volatilised from organic fertiliser applied to production system</v>
      </c>
    </row>
    <row r="87" spans="3:12" ht="20.100000000000001" customHeight="1" x14ac:dyDescent="0.25">
      <c r="D87" s="5" t="str" cm="1">
        <f t="array" ref="D87">Fertiliser_Equations_AtmosphericDeposition.VEERG_5_4_1_3__2_MassOfNitrogenVolatilisedFromOrganicFertiliser_Source()</f>
        <v>VEERG 2026: 5.4.1.3, Equation (2)</v>
      </c>
    </row>
    <row r="88" spans="3:12" ht="20.100000000000001" customHeight="1" x14ac:dyDescent="0.25">
      <c r="D88" s="13" t="s">
        <v>22</v>
      </c>
      <c r="E88" s="13" t="str" cm="1">
        <f t="array" aca="1" ref="E88" ca="1">Common_InputFunctions.Utility_DisplayFunctionName(F100)</f>
        <v>=Fertiliser_Equations_AtmosphericDeposition.VEERG_5_4_1_3__2_MassOfNitrogenVolatilisedFromOrganicFertiliser</v>
      </c>
    </row>
    <row r="89" spans="3:12" ht="20.100000000000001" customHeight="1" x14ac:dyDescent="0.25"/>
    <row r="90" spans="3:12" ht="20.100000000000001" customHeight="1" x14ac:dyDescent="0.25"/>
    <row r="91" spans="3:12" ht="20.100000000000001" customHeight="1" x14ac:dyDescent="0.25">
      <c r="D91" s="51" t="s">
        <v>25</v>
      </c>
      <c r="E91" s="1" t="str" cm="1">
        <f t="array" ref="E91">Fertiliser_Equations_AtmosphericDeposition.VEERG_5_4_1_3__2_MassOfNitrogenVolatilisedFromOrganicFertiliser_Variable()</f>
        <v>M_volorganicjf</v>
      </c>
    </row>
    <row r="92" spans="3:12" ht="20.100000000000001" customHeight="1" x14ac:dyDescent="0.25">
      <c r="D92" s="51" t="s">
        <v>16</v>
      </c>
      <c r="E92" s="52" t="str" cm="1">
        <f t="array" ref="E92">Fertiliser_Equations_AtmosphericDeposition.VEERG_5_4_1_3__2_MassOfNitrogenVolatilisedFromOrganicFertiliser_Unit()</f>
        <v>kg N</v>
      </c>
    </row>
    <row r="93" spans="3:12" ht="20.100000000000001" customHeight="1" x14ac:dyDescent="0.25"/>
    <row r="94" spans="3:12" ht="20.100000000000001" customHeight="1" x14ac:dyDescent="0.25">
      <c r="D94" s="118" t="str" cm="1">
        <f t="array" ref="D94:E95">_xlfn.CHOOSECOLS(Fertiliser_Equations_AtmosphericDeposition.VEERG_5_4_1_3__2_MassOfNitrogenVolatilisedFromOrganicFertiliser_Arguments(), 1, 2)</f>
        <v>MNSoil_jf</v>
      </c>
      <c r="E94" s="118" t="str">
        <v>mass of nitrogen in organic fertiliser type f applied to production system j</v>
      </c>
      <c r="F94" s="118"/>
      <c r="G94" s="118" t="str" cm="1">
        <f t="array" ref="G94:H95">_xlfn.CHOOSECOLS(Fertiliser_Equations_AtmosphericDeposition.VEERG_5_4_1_3__2_MassOfNitrogenVolatilisedFromOrganicFertiliser_Arguments(), 3,4)</f>
        <v>kg N</v>
      </c>
      <c r="H94" s="111" t="str">
        <v>Calculated from 5.2.1.1 (2)</v>
      </c>
      <c r="I94" s="117" t="str" cm="1">
        <f t="array" aca="1" ref="I94" ca="1">HYPERLINK(Common_InputFunctions.Utility_SourceHyperlink($D$97), $D$97)</f>
        <v>Table_M_vol_organic_j_f</v>
      </c>
    </row>
    <row r="95" spans="3:12" ht="20.100000000000001" customHeight="1" x14ac:dyDescent="0.25">
      <c r="D95" s="118" t="str">
        <v>FracGASM_soil</v>
      </c>
      <c r="E95" s="118" t="str">
        <v>fraction of organic fertiliser N that volatilises</v>
      </c>
      <c r="F95" s="118"/>
      <c r="G95" s="118" t="str">
        <v>(kg NH3-N + NOx-N)/kg N</v>
      </c>
      <c r="H95" s="111" t="str">
        <v>Constant</v>
      </c>
      <c r="I95" s="118" t="str">
        <f>'Constants - Ag Residue'!$E$90</f>
        <v>QLD</v>
      </c>
    </row>
    <row r="96" spans="3:12" ht="20.100000000000001" customHeight="1" x14ac:dyDescent="0.25"/>
    <row r="97" spans="4:7" ht="20.100000000000001" customHeight="1" x14ac:dyDescent="0.25">
      <c r="D97" s="92" t="s">
        <v>151</v>
      </c>
    </row>
    <row r="98" spans="4:7" ht="20.100000000000001" customHeight="1" x14ac:dyDescent="0.25">
      <c r="D98" s="91" t="s">
        <v>152</v>
      </c>
    </row>
    <row r="99" spans="4:7" ht="20.100000000000001" customHeight="1" x14ac:dyDescent="0.25">
      <c r="D99" s="110" t="s">
        <v>125</v>
      </c>
      <c r="E99" s="119" t="s">
        <v>129</v>
      </c>
      <c r="F99" s="119" t="s">
        <v>154</v>
      </c>
    </row>
    <row r="100" spans="4:7" ht="20.100000000000001" customHeight="1" x14ac:dyDescent="0.25">
      <c r="D100" s="50" t="e" cm="1">
        <f t="array" ref="D100">#REF!</f>
        <v>#REF!</v>
      </c>
      <c r="E100" s="50" t="e">
        <f>'5.2.1.1-2 Organic Fert N2O'!I20</f>
        <v>#REF!</v>
      </c>
      <c r="F100" s="50" t="e" cm="1">
        <f t="array" ref="F100">Fertiliser_Equations_AtmosphericDeposition.VEERG_5_4_1_3__2_MassOfNitrogenVolatilisedFromOrganicFertiliser(E100,$I$95)</f>
        <v>#REF!</v>
      </c>
      <c r="G100" s="2" t="str">
        <f>$E$92</f>
        <v>kg N</v>
      </c>
    </row>
    <row r="101" spans="4:7" ht="20.100000000000001" customHeight="1" x14ac:dyDescent="0.25">
      <c r="D101" s="50"/>
      <c r="E101" s="50">
        <f>'5.2.1.1-2 Organic Fert N2O'!I21</f>
        <v>0</v>
      </c>
      <c r="F101" s="50" t="e" cm="1">
        <f t="array" ref="F101">Fertiliser_Equations_AtmosphericDeposition.VEERG_5_4_1_3__2_MassOfNitrogenVolatilisedFromOrganicFertiliser(E101,$I$95)</f>
        <v>#VALUE!</v>
      </c>
    </row>
    <row r="102" spans="4:7" ht="20.100000000000001" customHeight="1" x14ac:dyDescent="0.25">
      <c r="D102" s="50"/>
      <c r="E102" s="50">
        <f>'5.2.1.1-2 Organic Fert N2O'!I22</f>
        <v>0</v>
      </c>
      <c r="F102" s="50" t="e" cm="1">
        <f t="array" ref="F102">Fertiliser_Equations_AtmosphericDeposition.VEERG_5_4_1_3__2_MassOfNitrogenVolatilisedFromOrganicFertiliser(E102,$I$95)</f>
        <v>#VALUE!</v>
      </c>
    </row>
    <row r="103" spans="4:7" ht="20.100000000000001" customHeight="1" x14ac:dyDescent="0.25">
      <c r="D103" s="50"/>
      <c r="E103" s="50">
        <f>'5.2.1.1-2 Organic Fert N2O'!I23</f>
        <v>0</v>
      </c>
      <c r="F103" s="50" t="e" cm="1">
        <f t="array" ref="F103">Fertiliser_Equations_AtmosphericDeposition.VEERG_5_4_1_3__2_MassOfNitrogenVolatilisedFromOrganicFertiliser(E103,$I$95)</f>
        <v>#VALUE!</v>
      </c>
    </row>
    <row r="104" spans="4:7" ht="20.100000000000001" customHeight="1" x14ac:dyDescent="0.25">
      <c r="D104" s="50"/>
      <c r="E104" s="50">
        <f>'5.2.1.1-2 Organic Fert N2O'!I24</f>
        <v>0</v>
      </c>
      <c r="F104" s="50" t="e" cm="1">
        <f t="array" ref="F104">Fertiliser_Equations_AtmosphericDeposition.VEERG_5_4_1_3__2_MassOfNitrogenVolatilisedFromOrganicFertiliser(E104,$I$95)</f>
        <v>#VALUE!</v>
      </c>
    </row>
    <row r="105" spans="4:7" ht="20.100000000000001" customHeight="1" x14ac:dyDescent="0.25">
      <c r="D105" s="50"/>
      <c r="E105" s="50">
        <f>'5.2.1.1-2 Organic Fert N2O'!I25</f>
        <v>0</v>
      </c>
      <c r="F105" s="50" t="e" cm="1">
        <f t="array" ref="F105">Fertiliser_Equations_AtmosphericDeposition.VEERG_5_4_1_3__2_MassOfNitrogenVolatilisedFromOrganicFertiliser(E105,$I$95)</f>
        <v>#VALUE!</v>
      </c>
    </row>
    <row r="106" spans="4:7" ht="20.100000000000001" customHeight="1" x14ac:dyDescent="0.25">
      <c r="D106" s="50"/>
      <c r="E106" s="50">
        <f>'5.2.1.1-2 Organic Fert N2O'!I26</f>
        <v>0</v>
      </c>
      <c r="F106" s="50" t="e" cm="1">
        <f t="array" ref="F106">Fertiliser_Equations_AtmosphericDeposition.VEERG_5_4_1_3__2_MassOfNitrogenVolatilisedFromOrganicFertiliser(E106,$I$95)</f>
        <v>#VALUE!</v>
      </c>
    </row>
    <row r="107" spans="4:7" ht="20.100000000000001" customHeight="1" x14ac:dyDescent="0.25">
      <c r="D107" s="50"/>
      <c r="E107" s="50">
        <f>'5.2.1.1-2 Organic Fert N2O'!I27</f>
        <v>0</v>
      </c>
      <c r="F107" s="50" t="e" cm="1">
        <f t="array" ref="F107">Fertiliser_Equations_AtmosphericDeposition.VEERG_5_4_1_3__2_MassOfNitrogenVolatilisedFromOrganicFertiliser(E107,$I$95)</f>
        <v>#VALUE!</v>
      </c>
    </row>
    <row r="108" spans="4:7" ht="20.100000000000001" customHeight="1" x14ac:dyDescent="0.25">
      <c r="D108" s="50"/>
      <c r="E108" s="50">
        <f>'5.2.1.1-2 Organic Fert N2O'!I28</f>
        <v>0</v>
      </c>
      <c r="F108" s="50" t="e" cm="1">
        <f t="array" ref="F108">Fertiliser_Equations_AtmosphericDeposition.VEERG_5_4_1_3__2_MassOfNitrogenVolatilisedFromOrganicFertiliser(E108,$I$95)</f>
        <v>#VALUE!</v>
      </c>
    </row>
    <row r="109" spans="4:7" ht="20.100000000000001" customHeight="1" x14ac:dyDescent="0.25">
      <c r="D109" s="50"/>
      <c r="E109" s="50">
        <f>'5.2.1.1-2 Organic Fert N2O'!I29</f>
        <v>0</v>
      </c>
      <c r="F109" s="50" t="e" cm="1">
        <f t="array" ref="F109">Fertiliser_Equations_AtmosphericDeposition.VEERG_5_4_1_3__2_MassOfNitrogenVolatilisedFromOrganicFertiliser(E109,$I$95)</f>
        <v>#VALUE!</v>
      </c>
    </row>
    <row r="110" spans="4:7" ht="20.100000000000001" customHeight="1" x14ac:dyDescent="0.25">
      <c r="D110" s="50"/>
      <c r="E110" s="50">
        <f>'5.2.1.1-2 Organic Fert N2O'!I30</f>
        <v>0</v>
      </c>
      <c r="F110" s="50" t="e" cm="1">
        <f t="array" ref="F110">Fertiliser_Equations_AtmosphericDeposition.VEERG_5_4_1_3__2_MassOfNitrogenVolatilisedFromOrganicFertiliser(E110,$I$95)</f>
        <v>#VALUE!</v>
      </c>
    </row>
    <row r="111" spans="4:7" ht="20.100000000000001" customHeight="1" x14ac:dyDescent="0.25"/>
    <row r="112" spans="4:7" ht="20.100000000000001" customHeight="1" x14ac:dyDescent="0.25"/>
    <row r="113" spans="3:12" ht="20.100000000000001" customHeight="1" x14ac:dyDescent="0.25">
      <c r="C113" s="127"/>
      <c r="D113" s="127"/>
      <c r="E113" s="127"/>
      <c r="F113" s="127"/>
      <c r="G113" s="127"/>
      <c r="H113" s="127"/>
      <c r="I113" s="127"/>
      <c r="J113" s="127"/>
      <c r="K113" s="127"/>
      <c r="L113" s="127"/>
    </row>
    <row r="114" spans="3:12" ht="20.100000000000001" customHeight="1" x14ac:dyDescent="0.25">
      <c r="D114" s="6" t="str" cm="1">
        <f t="array" ref="D114">Fertiliser_Equations_AtmosphericDeposition.VEERG_5_4_1_3__1_OrganicFertiliserAtmosphericDepositionN2OEmissions_Title()</f>
        <v>Nitrous oxide emissions from atmospheric deposition of all organic fertiliser types f and all production systems j</v>
      </c>
    </row>
    <row r="115" spans="3:12" ht="20.100000000000001" customHeight="1" x14ac:dyDescent="0.25">
      <c r="D115" s="5" t="str" cm="1">
        <f t="array" ref="D115">Fertiliser_Equations_AtmosphericDeposition.VEERG_5_4_1_3__1_OrganicFertiliserAtmosphericDepositionN2OEmissions_Source()</f>
        <v>VEERG 2026: 5.4.1.3, Equation (1)</v>
      </c>
    </row>
    <row r="116" spans="3:12" ht="20.100000000000001" customHeight="1" x14ac:dyDescent="0.25">
      <c r="D116" s="13" t="s">
        <v>22</v>
      </c>
      <c r="E116" s="13" t="str" cm="1">
        <f t="array" aca="1" ref="E116" ca="1">Common_InputFunctions.Utility_DisplayFunctionName(F132)</f>
        <v>=Fertiliser_Equations_AtmosphericDeposition.VEERG_5_4_1_3__1_OrganicFertiliserAtmosphericDepositionN2OEmissions</v>
      </c>
    </row>
    <row r="117" spans="3:12" ht="20.100000000000001" customHeight="1" x14ac:dyDescent="0.25"/>
    <row r="118" spans="3:12" ht="20.100000000000001" customHeight="1" x14ac:dyDescent="0.25"/>
    <row r="119" spans="3:12" ht="20.100000000000001" customHeight="1" x14ac:dyDescent="0.25">
      <c r="D119" s="51" t="s">
        <v>25</v>
      </c>
      <c r="E119" s="1" t="str" cm="1">
        <f t="array" ref="E119">Fertiliser_Equations_AtmosphericDeposition.VEERG_5_4_1_3__1_OrganicFertiliserAtmosphericDepositionN2OEmissions_Variable()</f>
        <v>E_adorganic</v>
      </c>
    </row>
    <row r="120" spans="3:12" ht="20.100000000000001" customHeight="1" x14ac:dyDescent="0.25">
      <c r="D120" s="51" t="s">
        <v>16</v>
      </c>
      <c r="E120" s="52" t="str" cm="1">
        <f t="array" ref="E120">Fertiliser_Equations_AtmosphericDeposition.VEERG_5_4_1_3__1_OrganicFertiliserAtmosphericDepositionN2OEmissions_Unit()</f>
        <v>t N2O</v>
      </c>
    </row>
    <row r="121" spans="3:12" ht="20.100000000000001" customHeight="1" x14ac:dyDescent="0.25"/>
    <row r="122" spans="3:12" ht="20.100000000000001" customHeight="1" x14ac:dyDescent="0.25">
      <c r="D122" s="118" t="str" cm="1">
        <f t="array" ref="D122:E127">_xlfn.CHOOSECOLS(Fertiliser_Equations_AtmosphericDeposition.VEERG_5_4_1_3__1_OrganicFertiliserAtmosphericDepositionN2OEmissions_Arguments(), 1, 2)</f>
        <v>M_volorganicjf</v>
      </c>
      <c r="E122" s="125" t="str">
        <v>mass of nitrogen volatilised from organic fertiliser applied to production system</v>
      </c>
      <c r="F122" s="124"/>
      <c r="G122" s="118" t="str" cm="1">
        <f t="array" ref="G122:H127">_xlfn.CHOOSECOLS(Fertiliser_Equations_AtmosphericDeposition.VEERG_5_4_1_3__1_OrganicFertiliserAtmosphericDepositionN2OEmissions_Arguments(), 3,4)</f>
        <v>kg N</v>
      </c>
      <c r="H122" s="111" t="str">
        <v>Calculated from 5.4.1.3 (2)</v>
      </c>
      <c r="I122" s="117" t="str" cm="1">
        <f t="array" aca="1" ref="I122" ca="1">HYPERLINK(Common_InputFunctions.Utility_SourceHyperlink($D$97), $D$97)</f>
        <v>Table_M_vol_organic_j_f</v>
      </c>
    </row>
    <row r="123" spans="3:12" ht="20.100000000000001" customHeight="1" x14ac:dyDescent="0.25">
      <c r="D123" s="118" t="str">
        <v>EF_N2Oj</v>
      </c>
      <c r="E123" s="125" t="str">
        <v>emission factor for atmospheric deposition in production system j</v>
      </c>
      <c r="F123" s="124"/>
      <c r="G123" s="118" t="str">
        <v>kg N2O-N/kg N</v>
      </c>
      <c r="H123" s="111" t="str">
        <v>Constant</v>
      </c>
      <c r="I123" s="118" t="e">
        <f>Common_InputFunctions.Utility_LookupN2OEFFromProdIrrigationRainfall(I125,I126,I127,Table_SourceData_Common_EFN2O[Production system only],Table_SourceData_Common_EFN2O[Irrigation method],Table_SourceData_Common_EFN2O[Rainfall zone],Table_SourceData_Common_EFN2O[EFN2O])</f>
        <v>#N/A</v>
      </c>
    </row>
    <row r="124" spans="3:12" ht="20.100000000000001" customHeight="1" x14ac:dyDescent="0.25">
      <c r="D124" s="118" t="str">
        <v>C_N2O</v>
      </c>
      <c r="E124" s="125" t="str">
        <v>factor to convert elemental mass of nitrous oxide to molecular mass</v>
      </c>
      <c r="F124" s="124"/>
      <c r="G124" s="118" t="str">
        <v/>
      </c>
      <c r="H124" s="111" t="str">
        <v>Constant</v>
      </c>
      <c r="I124" s="54">
        <f>Common_InputFunctions.Utility_LookupValueInTableNumber("N2O",Table_GasToMolecularConversionFactor[Gas],Table_GasToMolecularConversionFactor[Conversion factor combined])</f>
        <v>1.5714285714285714</v>
      </c>
    </row>
    <row r="125" spans="3:12" ht="20.100000000000001" customHeight="1" x14ac:dyDescent="0.25">
      <c r="D125" s="118" t="str">
        <v>j</v>
      </c>
      <c r="E125" s="125" t="str">
        <v>Production system</v>
      </c>
      <c r="F125" s="124"/>
      <c r="G125" s="118" t="str">
        <v/>
      </c>
      <c r="H125" s="112" t="str">
        <v>Input</v>
      </c>
      <c r="I125" s="118">
        <f>'Input - Crop'!$E$6</f>
        <v>0</v>
      </c>
    </row>
    <row r="126" spans="3:12" ht="20.100000000000001" customHeight="1" x14ac:dyDescent="0.25">
      <c r="D126" s="118" t="str">
        <v>ir</v>
      </c>
      <c r="E126" s="125" t="str">
        <v>irrigation method</v>
      </c>
      <c r="F126" s="124"/>
      <c r="G126" s="118" t="str">
        <v/>
      </c>
      <c r="H126" s="112" t="str">
        <v>Input</v>
      </c>
      <c r="I126" s="118">
        <f>'Input - Crop'!$E$8</f>
        <v>0</v>
      </c>
    </row>
    <row r="127" spans="3:12" ht="20.100000000000001" customHeight="1" x14ac:dyDescent="0.25">
      <c r="D127" s="118" t="str">
        <v>r</v>
      </c>
      <c r="E127" s="125" t="str">
        <v>rainfall region</v>
      </c>
      <c r="F127" s="124"/>
      <c r="G127" s="118" t="str">
        <v/>
      </c>
      <c r="H127" s="112" t="str">
        <v>Input</v>
      </c>
      <c r="I127" s="118" t="str">
        <f>'Input - Site'!$E$30</f>
        <v>Low rainfall</v>
      </c>
    </row>
    <row r="128" spans="3:12" ht="20.100000000000001" customHeight="1" x14ac:dyDescent="0.25"/>
    <row r="129" spans="4:6" ht="20.100000000000001" customHeight="1" x14ac:dyDescent="0.25">
      <c r="D129" s="92" t="s">
        <v>159</v>
      </c>
    </row>
    <row r="130" spans="4:6" ht="20.100000000000001" customHeight="1" x14ac:dyDescent="0.25">
      <c r="D130" s="91" t="s">
        <v>160</v>
      </c>
    </row>
    <row r="131" spans="4:6" ht="20.100000000000001" customHeight="1" x14ac:dyDescent="0.25">
      <c r="D131" s="110" t="s">
        <v>125</v>
      </c>
      <c r="E131" s="119" t="s">
        <v>154</v>
      </c>
      <c r="F131" s="119" t="s">
        <v>153</v>
      </c>
    </row>
    <row r="132" spans="4:6" ht="20.100000000000001" customHeight="1" x14ac:dyDescent="0.25">
      <c r="D132" s="50" t="e" cm="1">
        <f t="array" ref="D132">#REF!</f>
        <v>#REF!</v>
      </c>
      <c r="E132" s="50" t="e">
        <f>F100</f>
        <v>#REF!</v>
      </c>
      <c r="F132" s="50" t="e" cm="1">
        <f t="array" ref="F132">Fertiliser_Equations_AtmosphericDeposition.VEERG_5_4_1_3__1_OrganicFertiliserAtmosphericDepositionN2OEmissions(E132,$I$123,$I$124)</f>
        <v>#REF!</v>
      </c>
    </row>
    <row r="133" spans="4:6" ht="20.100000000000001" customHeight="1" x14ac:dyDescent="0.25">
      <c r="D133" s="50"/>
      <c r="E133" s="50" t="e">
        <f t="shared" ref="E133:E142" si="1">F101</f>
        <v>#VALUE!</v>
      </c>
      <c r="F133" s="50" t="e" cm="1">
        <f t="array" ref="F133">Fertiliser_Equations_AtmosphericDeposition.VEERG_5_4_1_3__1_OrganicFertiliserAtmosphericDepositionN2OEmissions(E133,$I$123,$I$124)</f>
        <v>#VALUE!</v>
      </c>
    </row>
    <row r="134" spans="4:6" ht="20.100000000000001" customHeight="1" x14ac:dyDescent="0.25">
      <c r="D134" s="50"/>
      <c r="E134" s="50" t="e">
        <f t="shared" si="1"/>
        <v>#VALUE!</v>
      </c>
      <c r="F134" s="50" t="e" cm="1">
        <f t="array" ref="F134">Fertiliser_Equations_AtmosphericDeposition.VEERG_5_4_1_3__1_OrganicFertiliserAtmosphericDepositionN2OEmissions(E134,$I$123,$I$124)</f>
        <v>#VALUE!</v>
      </c>
    </row>
    <row r="135" spans="4:6" ht="20.100000000000001" customHeight="1" x14ac:dyDescent="0.25">
      <c r="D135" s="50"/>
      <c r="E135" s="50" t="e">
        <f t="shared" si="1"/>
        <v>#VALUE!</v>
      </c>
      <c r="F135" s="50" t="e" cm="1">
        <f t="array" ref="F135">Fertiliser_Equations_AtmosphericDeposition.VEERG_5_4_1_3__1_OrganicFertiliserAtmosphericDepositionN2OEmissions(E135,$I$123,$I$124)</f>
        <v>#VALUE!</v>
      </c>
    </row>
    <row r="136" spans="4:6" ht="20.100000000000001" customHeight="1" x14ac:dyDescent="0.25">
      <c r="D136" s="50"/>
      <c r="E136" s="50" t="e">
        <f t="shared" si="1"/>
        <v>#VALUE!</v>
      </c>
      <c r="F136" s="50" t="e" cm="1">
        <f t="array" ref="F136">Fertiliser_Equations_AtmosphericDeposition.VEERG_5_4_1_3__1_OrganicFertiliserAtmosphericDepositionN2OEmissions(E136,$I$123,$I$124)</f>
        <v>#VALUE!</v>
      </c>
    </row>
    <row r="137" spans="4:6" ht="20.100000000000001" customHeight="1" x14ac:dyDescent="0.25">
      <c r="D137" s="50"/>
      <c r="E137" s="50" t="e">
        <f t="shared" si="1"/>
        <v>#VALUE!</v>
      </c>
      <c r="F137" s="50" t="e" cm="1">
        <f t="array" ref="F137">Fertiliser_Equations_AtmosphericDeposition.VEERG_5_4_1_3__1_OrganicFertiliserAtmosphericDepositionN2OEmissions(E137,$I$123,$I$124)</f>
        <v>#VALUE!</v>
      </c>
    </row>
    <row r="138" spans="4:6" ht="20.100000000000001" customHeight="1" x14ac:dyDescent="0.25">
      <c r="D138" s="50"/>
      <c r="E138" s="50" t="e">
        <f t="shared" si="1"/>
        <v>#VALUE!</v>
      </c>
      <c r="F138" s="50" t="e" cm="1">
        <f t="array" ref="F138">Fertiliser_Equations_AtmosphericDeposition.VEERG_5_4_1_3__1_OrganicFertiliserAtmosphericDepositionN2OEmissions(E138,$I$123,$I$124)</f>
        <v>#VALUE!</v>
      </c>
    </row>
    <row r="139" spans="4:6" ht="20.100000000000001" customHeight="1" x14ac:dyDescent="0.25">
      <c r="D139" s="50"/>
      <c r="E139" s="50" t="e">
        <f t="shared" si="1"/>
        <v>#VALUE!</v>
      </c>
      <c r="F139" s="50" t="e" cm="1">
        <f t="array" ref="F139">Fertiliser_Equations_AtmosphericDeposition.VEERG_5_4_1_3__1_OrganicFertiliserAtmosphericDepositionN2OEmissions(E139,$I$123,$I$124)</f>
        <v>#VALUE!</v>
      </c>
    </row>
    <row r="140" spans="4:6" ht="20.100000000000001" customHeight="1" x14ac:dyDescent="0.25">
      <c r="D140" s="50"/>
      <c r="E140" s="50" t="e">
        <f t="shared" si="1"/>
        <v>#VALUE!</v>
      </c>
      <c r="F140" s="50" t="e" cm="1">
        <f t="array" ref="F140">Fertiliser_Equations_AtmosphericDeposition.VEERG_5_4_1_3__1_OrganicFertiliserAtmosphericDepositionN2OEmissions(E140,$I$123,$I$124)</f>
        <v>#VALUE!</v>
      </c>
    </row>
    <row r="141" spans="4:6" ht="20.100000000000001" customHeight="1" x14ac:dyDescent="0.25">
      <c r="D141" s="50"/>
      <c r="E141" s="50" t="e">
        <f t="shared" si="1"/>
        <v>#VALUE!</v>
      </c>
      <c r="F141" s="50" t="e" cm="1">
        <f t="array" ref="F141">Fertiliser_Equations_AtmosphericDeposition.VEERG_5_4_1_3__1_OrganicFertiliserAtmosphericDepositionN2OEmissions(E141,$I$123,$I$124)</f>
        <v>#VALUE!</v>
      </c>
    </row>
    <row r="142" spans="4:6" ht="20.100000000000001" customHeight="1" x14ac:dyDescent="0.25">
      <c r="D142" s="50"/>
      <c r="E142" s="50" t="e">
        <f t="shared" si="1"/>
        <v>#VALUE!</v>
      </c>
      <c r="F142" s="50" t="e" cm="1">
        <f t="array" ref="F142">Fertiliser_Equations_AtmosphericDeposition.VEERG_5_4_1_3__1_OrganicFertiliserAtmosphericDepositionN2OEmissions(E142,$I$123,$I$124)</f>
        <v>#VALUE!</v>
      </c>
    </row>
    <row r="143" spans="4:6" ht="20.100000000000001" customHeight="1" x14ac:dyDescent="0.25"/>
    <row r="144" spans="4:6" ht="20.100000000000001" customHeight="1" x14ac:dyDescent="0.25">
      <c r="D144" s="93" t="s">
        <v>156</v>
      </c>
      <c r="E144" s="94" t="e">
        <f>SUM(F132:F142)</f>
        <v>#REF!</v>
      </c>
      <c r="F144" s="95" t="str">
        <f>$E$120</f>
        <v>t N2O</v>
      </c>
    </row>
    <row r="145" spans="4:7" ht="20.100000000000001" customHeight="1" x14ac:dyDescent="0.25"/>
    <row r="146" spans="4:7" ht="20.100000000000001" customHeight="1" x14ac:dyDescent="0.25">
      <c r="D146" s="54" t="str" cm="1">
        <f t="array" ref="D146:E147">Common_Equations.Common_ConvertN2OToCO2e_Arguments()</f>
        <v>EN2O</v>
      </c>
      <c r="E146" s="55" t="str">
        <v>Nitrous oxide emissions (t N2O)</v>
      </c>
      <c r="F146" s="96"/>
      <c r="G146" s="50" t="e">
        <f>E144</f>
        <v>#REF!</v>
      </c>
    </row>
    <row r="147" spans="4:7" ht="20.100000000000001" customHeight="1" x14ac:dyDescent="0.25">
      <c r="D147" s="54" t="str">
        <v>GWPN2O</v>
      </c>
      <c r="E147" s="55" t="str">
        <v>Global warming potential for nitrous oxide (t CO2-e / t N2O)</v>
      </c>
      <c r="F147" s="96"/>
      <c r="G147" s="50">
        <f>Common_InputFunctions.Utility_LookupValueInTableNumber("N2O",Table_GWPData[Gas],Table_GWPData[CO2-e factor])</f>
        <v>265</v>
      </c>
    </row>
    <row r="148" spans="4:7" ht="20.100000000000001" customHeight="1" x14ac:dyDescent="0.25"/>
    <row r="149" spans="4:7" ht="20.100000000000001" customHeight="1" x14ac:dyDescent="0.25">
      <c r="D149" s="44" t="s">
        <v>79</v>
      </c>
      <c r="E149" s="44" t="e" cm="1">
        <f t="array" ref="E149">Common_Equations.Common_ConvertN2OToCO2e(G146,G147)</f>
        <v>#REF!</v>
      </c>
      <c r="F149" s="97" t="str" cm="1">
        <f t="array" ref="F149">Common_Equations.Common_ConvertN2OToCO2e_Unit()</f>
        <v>t CO2e</v>
      </c>
    </row>
    <row r="150" spans="4:7" ht="20.100000000000001" customHeight="1" x14ac:dyDescent="0.25"/>
    <row r="151" spans="4:7" ht="20.100000000000001" customHeight="1" x14ac:dyDescent="0.25"/>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162</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18" t="str" cm="1">
        <f t="array" ref="D13:E18">_xlfn.CHOOSECOLS(Fertiliser_Equations_LeachingAndRunoff.VEERG_5_5_1_1__2_MassOfNitrogenLeachedFromInorganicFertiliser_Arguments(), 1, 2)</f>
        <v>MN_jf</v>
      </c>
      <c r="E13" s="125" t="str">
        <v>mass of nitrogen in inorganic fertiliser</v>
      </c>
      <c r="F13" s="124"/>
      <c r="G13" s="118" t="str" cm="1">
        <f t="array" ref="G13:H18">_xlfn.CHOOSECOLS(Fertiliser_Equations_LeachingAndRunoff.VEERG_5_5_1_1__2_MassOfNitrogenLeachedFromInorganicFertiliser_Arguments(), 3,4)</f>
        <v>kg N</v>
      </c>
      <c r="H13" s="111" t="str">
        <v>Calculated from 5.1.1.1 (2)</v>
      </c>
      <c r="I13" s="117"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18" t="str">
        <v>FracWETj</v>
      </c>
      <c r="E14" s="125" t="str">
        <v>fraction of N available for leaching and runoff</v>
      </c>
      <c r="F14" s="124"/>
      <c r="G14" s="118" t="str">
        <v>fraction</v>
      </c>
      <c r="H14" s="111" t="str">
        <v>Constant</v>
      </c>
      <c r="I14" s="118" cm="1">
        <f t="array" ref="I14">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17" t="str">
        <f>HYPERLINK("#'5.3.1.1-2 Lime CO2'!A1", "5.3.1.1-2 Lime CO2")</f>
        <v>5.3.1.1-2 Lime CO2</v>
      </c>
      <c r="D15" s="118" t="str">
        <v>FracLEACH</v>
      </c>
      <c r="E15" s="125" t="str">
        <v>fraction of N that is lost through leaching and runoff</v>
      </c>
      <c r="F15" s="124"/>
      <c r="G15" s="118" t="str">
        <v>fraction</v>
      </c>
      <c r="H15" s="111" t="str">
        <v>Constant</v>
      </c>
      <c r="I15" s="118" t="str">
        <f>'Constants - Ag Residue'!$E$95</f>
        <v>ACT</v>
      </c>
    </row>
    <row r="16" spans="1:20" ht="20.100000000000001" customHeight="1" x14ac:dyDescent="0.25">
      <c r="A16" s="17" t="str">
        <f>HYPERLINK("#'5.4.1.1-4 Atmos deposition'!A1", "5.4.1.1-4 Atmos deposition")</f>
        <v>5.4.1.1-4 Atmos deposition</v>
      </c>
      <c r="D16" s="118" t="str">
        <v>z</v>
      </c>
      <c r="E16" s="125" t="str">
        <v>location in leaching zone</v>
      </c>
      <c r="F16" s="124"/>
      <c r="G16" s="118" t="str">
        <v/>
      </c>
      <c r="H16" s="112" t="str">
        <v>Input</v>
      </c>
      <c r="I16" s="118" t="str">
        <f>'Input - Site'!$E$23</f>
        <v>NO - Not in leaching zone</v>
      </c>
    </row>
    <row r="17" spans="1:9" ht="20.100000000000001" customHeight="1" x14ac:dyDescent="0.25">
      <c r="A17" s="142" t="str">
        <f>HYPERLINK("#'5.5.1.1-2 Leaching and runoff'!A1", "5.5.1.1-2 Leaching and runoff")</f>
        <v>5.5.1.1-2 Leaching and runoff</v>
      </c>
      <c r="D17" s="118" t="str">
        <v>j</v>
      </c>
      <c r="E17" s="125" t="str">
        <v>production system</v>
      </c>
      <c r="F17" s="124"/>
      <c r="G17" s="118" t="str">
        <v/>
      </c>
      <c r="H17" s="112" t="str">
        <v>Input</v>
      </c>
      <c r="I17" s="118">
        <f>'Input - Crop'!$E$6</f>
        <v>0</v>
      </c>
    </row>
    <row r="18" spans="1:9" ht="20.100000000000001" customHeight="1" x14ac:dyDescent="0.25">
      <c r="D18" s="118" t="str">
        <v>ir</v>
      </c>
      <c r="E18" s="125" t="str">
        <v>irrigation method</v>
      </c>
      <c r="F18" s="124"/>
      <c r="G18" s="118" t="str">
        <v/>
      </c>
      <c r="H18" s="112" t="str">
        <v>Input</v>
      </c>
      <c r="I18" s="118">
        <f>'Input - Crop'!$E$8</f>
        <v>0</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164</v>
      </c>
    </row>
    <row r="21" spans="1:9" ht="20.100000000000001" customHeight="1" x14ac:dyDescent="0.25">
      <c r="A21" s="17" t="str">
        <f>HYPERLINK("#'Constants - Common'!A1", "Constants - Common")</f>
        <v>Constants - Common</v>
      </c>
      <c r="D21" s="91" t="s">
        <v>167</v>
      </c>
    </row>
    <row r="22" spans="1:9" ht="20.100000000000001" customHeight="1" x14ac:dyDescent="0.25">
      <c r="D22" s="49" t="s">
        <v>109</v>
      </c>
      <c r="E22" s="49" t="s">
        <v>145</v>
      </c>
      <c r="F22" s="49" t="s">
        <v>163</v>
      </c>
    </row>
    <row r="23" spans="1:9" ht="20.100000000000001" customHeight="1" x14ac:dyDescent="0.25">
      <c r="A23" s="17"/>
      <c r="D23" s="50" t="e" cm="1">
        <f t="array" ref="D23">#REF!</f>
        <v>#REF!</v>
      </c>
      <c r="E23" s="50" t="str">
        <f>'6.1.1.1-2 Crop residue N2O'!O19</f>
        <v/>
      </c>
      <c r="F23" s="50" t="e" cm="1">
        <f t="array" ref="F23">Fertiliser_Equations_LeachingAndRunoff.VEERG_5_5_1_1__2_MassOfNitrogenLeachedFromInorganicFertiliser(E23, $I$14, $I$15)</f>
        <v>#VALUE!</v>
      </c>
    </row>
    <row r="24" spans="1:9" ht="20.100000000000001" customHeight="1" x14ac:dyDescent="0.25">
      <c r="D24" s="50"/>
      <c r="E24" s="50">
        <f>'6.1.1.1-2 Crop residue N2O'!O20</f>
        <v>0</v>
      </c>
      <c r="F24" s="50" t="e" cm="1">
        <f t="array" ref="F24">Fertiliser_Equations_LeachingAndRunoff.VEERG_5_5_1_1__2_MassOfNitrogenLeachedFromInorganicFertiliser(E24, $I$14, $I$15)</f>
        <v>#VALUE!</v>
      </c>
    </row>
    <row r="25" spans="1:9" ht="20.100000000000001" customHeight="1" x14ac:dyDescent="0.25">
      <c r="D25" s="50"/>
      <c r="E25" s="50">
        <f>'6.1.1.1-2 Crop residue N2O'!O21</f>
        <v>0</v>
      </c>
      <c r="F25" s="50" t="e" cm="1">
        <f t="array" ref="F25">Fertiliser_Equations_LeachingAndRunoff.VEERG_5_5_1_1__2_MassOfNitrogenLeachedFromInorganicFertiliser(E25, $I$14, $I$15)</f>
        <v>#VALUE!</v>
      </c>
    </row>
    <row r="26" spans="1:9" ht="20.100000000000001" customHeight="1" x14ac:dyDescent="0.25">
      <c r="D26" s="50"/>
      <c r="E26" s="50">
        <f>'6.1.1.1-2 Crop residue N2O'!O22</f>
        <v>0</v>
      </c>
      <c r="F26" s="50" t="e" cm="1">
        <f t="array" ref="F26">Fertiliser_Equations_LeachingAndRunoff.VEERG_5_5_1_1__2_MassOfNitrogenLeachedFromInorganicFertiliser(E26, $I$14, $I$15)</f>
        <v>#VALUE!</v>
      </c>
    </row>
    <row r="27" spans="1:9" ht="20.100000000000001" customHeight="1" x14ac:dyDescent="0.25">
      <c r="D27" s="50"/>
      <c r="E27" s="50">
        <f>'6.1.1.1-2 Crop residue N2O'!O23</f>
        <v>0</v>
      </c>
      <c r="F27" s="50" t="e" cm="1">
        <f t="array" ref="F27">Fertiliser_Equations_LeachingAndRunoff.VEERG_5_5_1_1__2_MassOfNitrogenLeachedFromInorganicFertiliser(E27, $I$14, $I$15)</f>
        <v>#VALUE!</v>
      </c>
    </row>
    <row r="28" spans="1:9" ht="20.100000000000001" customHeight="1" x14ac:dyDescent="0.25">
      <c r="D28" s="50"/>
      <c r="E28" s="50">
        <f>'6.1.1.1-2 Crop residue N2O'!O24</f>
        <v>0</v>
      </c>
      <c r="F28" s="50" t="e" cm="1">
        <f t="array" ref="F28">Fertiliser_Equations_LeachingAndRunoff.VEERG_5_5_1_1__2_MassOfNitrogenLeachedFromInorganicFertiliser(E28, $I$14, $I$15)</f>
        <v>#VALUE!</v>
      </c>
    </row>
    <row r="29" spans="1:9" ht="20.100000000000001" customHeight="1" x14ac:dyDescent="0.25">
      <c r="D29" s="50"/>
      <c r="E29" s="50">
        <f>'6.1.1.1-2 Crop residue N2O'!O25</f>
        <v>0</v>
      </c>
      <c r="F29" s="50" t="e" cm="1">
        <f t="array" ref="F29">Fertiliser_Equations_LeachingAndRunoff.VEERG_5_5_1_1__2_MassOfNitrogenLeachedFromInorganicFertiliser(E29, $I$14, $I$15)</f>
        <v>#VALUE!</v>
      </c>
    </row>
    <row r="30" spans="1:9" ht="20.100000000000001" customHeight="1" x14ac:dyDescent="0.25">
      <c r="D30" s="50"/>
      <c r="E30" s="50">
        <f>'6.1.1.1-2 Crop residue N2O'!O26</f>
        <v>0</v>
      </c>
      <c r="F30" s="50" t="e" cm="1">
        <f t="array" ref="F30">Fertiliser_Equations_LeachingAndRunoff.VEERG_5_5_1_1__2_MassOfNitrogenLeachedFromInorganicFertiliser(E30, $I$14, $I$15)</f>
        <v>#VALUE!</v>
      </c>
    </row>
    <row r="31" spans="1:9" ht="20.100000000000001" customHeight="1" x14ac:dyDescent="0.25">
      <c r="D31" s="50"/>
      <c r="E31" s="50">
        <f>'6.1.1.1-2 Crop residue N2O'!O27</f>
        <v>0</v>
      </c>
      <c r="F31" s="50" t="e" cm="1">
        <f t="array" ref="F31">Fertiliser_Equations_LeachingAndRunoff.VEERG_5_5_1_1__2_MassOfNitrogenLeachedFromInorganicFertiliser(E31, $I$14, $I$15)</f>
        <v>#VALUE!</v>
      </c>
    </row>
    <row r="32" spans="1:9" ht="20.100000000000001" customHeight="1" x14ac:dyDescent="0.25">
      <c r="D32" s="50"/>
      <c r="E32" s="50">
        <f>'6.1.1.1-2 Crop residue N2O'!O28</f>
        <v>0</v>
      </c>
      <c r="F32" s="50" t="e" cm="1">
        <f t="array" ref="F32">Fertiliser_Equations_LeachingAndRunoff.VEERG_5_5_1_1__2_MassOfNitrogenLeachedFromInorganicFertiliser(E32, $I$14, $I$15)</f>
        <v>#VALUE!</v>
      </c>
    </row>
    <row r="33" spans="1:11" ht="20.100000000000001" customHeight="1" x14ac:dyDescent="0.25">
      <c r="D33" s="50"/>
      <c r="E33" s="50">
        <f>'6.1.1.1-2 Crop residue N2O'!O29</f>
        <v>0</v>
      </c>
      <c r="F33" s="50" t="e" cm="1">
        <f t="array" ref="F33">Fertiliser_Equations_LeachingAndRunoff.VEERG_5_5_1_1__2_MassOfNitrogenLeachedFromInorganicFertiliser(E33, $I$14, $I$15)</f>
        <v>#VALUE!</v>
      </c>
    </row>
    <row r="34" spans="1:11" ht="20.100000000000001" customHeight="1" x14ac:dyDescent="0.25">
      <c r="D34" s="50"/>
      <c r="E34" s="50">
        <f>'6.1.1.1-2 Crop residue N2O'!O30</f>
        <v>0</v>
      </c>
      <c r="F34" s="50" t="e" cm="1">
        <f t="array" ref="F34">Fertiliser_Equations_LeachingAndRunoff.VEERG_5_5_1_1__2_MassOfNitrogenLeachedFromInorganicFertiliser(E34, $I$14, $I$15)</f>
        <v>#VALUE!</v>
      </c>
    </row>
    <row r="35" spans="1:11" ht="20.100000000000001" customHeight="1" x14ac:dyDescent="0.25">
      <c r="D35" s="50"/>
      <c r="E35" s="50">
        <f>'6.1.1.1-2 Crop residue N2O'!O31</f>
        <v>0</v>
      </c>
      <c r="F35" s="50" t="e" cm="1">
        <f t="array" ref="F35">Fertiliser_Equations_LeachingAndRunoff.VEERG_5_5_1_1__2_MassOfNitrogenLeachedFromInorganicFertiliser(E35, $I$14, $I$15)</f>
        <v>#VALUE!</v>
      </c>
    </row>
    <row r="36" spans="1:11" ht="20.100000000000001" customHeight="1" x14ac:dyDescent="0.25">
      <c r="D36" s="50"/>
      <c r="E36" s="50">
        <f>'6.1.1.1-2 Crop residue N2O'!O32</f>
        <v>0</v>
      </c>
      <c r="F36" s="50" t="e" cm="1">
        <f t="array" ref="F36">Fertiliser_Equations_LeachingAndRunoff.VEERG_5_5_1_1__2_MassOfNitrogenLeachedFromInorganicFertiliser(E36, $I$14, $I$15)</f>
        <v>#VALUE!</v>
      </c>
    </row>
    <row r="37" spans="1:11" ht="20.100000000000001" customHeight="1" x14ac:dyDescent="0.25">
      <c r="D37" s="50"/>
      <c r="E37" s="50">
        <f>'6.1.1.1-2 Crop residue N2O'!O33</f>
        <v>0</v>
      </c>
      <c r="F37" s="50" t="e" cm="1">
        <f t="array" ref="F37">Fertiliser_Equations_LeachingAndRunoff.VEERG_5_5_1_1__2_MassOfNitrogenLeachedFromInorganicFertiliser(E37, $I$14, $I$15)</f>
        <v>#VALUE!</v>
      </c>
    </row>
    <row r="38" spans="1:11" ht="20.100000000000001" customHeight="1" x14ac:dyDescent="0.25">
      <c r="D38" s="50"/>
      <c r="E38" s="50">
        <f>'6.1.1.1-2 Crop residue N2O'!O34</f>
        <v>0</v>
      </c>
      <c r="F38" s="50" t="e" cm="1">
        <f t="array" ref="F38">Fertiliser_Equations_LeachingAndRunoff.VEERG_5_5_1_1__2_MassOfNitrogenLeachedFromInorganicFertiliser(E38, $I$14, $I$15)</f>
        <v>#VALUE!</v>
      </c>
    </row>
    <row r="39" spans="1:11" ht="20.100000000000001" customHeight="1" x14ac:dyDescent="0.25">
      <c r="D39" s="50"/>
      <c r="E39" s="50">
        <f>'6.1.1.1-2 Crop residue N2O'!O35</f>
        <v>0</v>
      </c>
      <c r="F39" s="50" t="e" cm="1">
        <f t="array" ref="F39">Fertiliser_Equations_LeachingAndRunoff.VEERG_5_5_1_1__2_MassOfNitrogenLeachedFromInorganicFertiliser(E39, $I$14, $I$15)</f>
        <v>#VALUE!</v>
      </c>
    </row>
    <row r="40" spans="1:11" ht="20.100000000000001" customHeight="1" x14ac:dyDescent="0.25">
      <c r="D40" s="50"/>
      <c r="E40" s="50">
        <f>'6.1.1.1-2 Crop residue N2O'!O36</f>
        <v>0</v>
      </c>
      <c r="F40" s="50" t="e" cm="1">
        <f t="array" ref="F40">Fertiliser_Equations_LeachingAndRunoff.VEERG_5_5_1_1__2_MassOfNitrogenLeachedFromInorganicFertiliser(E40, $I$14, $I$15)</f>
        <v>#VALUE!</v>
      </c>
    </row>
    <row r="41" spans="1:11" ht="20.100000000000001" customHeight="1" x14ac:dyDescent="0.25"/>
    <row r="42" spans="1:11" ht="20.100000000000001" customHeight="1" x14ac:dyDescent="0.25">
      <c r="D42" s="120" t="s">
        <v>165</v>
      </c>
      <c r="E42" s="44" t="e">
        <f>SUM(F23:F40)</f>
        <v>#VALUE!</v>
      </c>
      <c r="F42" s="97" t="str">
        <f>$E$11</f>
        <v>kg N</v>
      </c>
    </row>
    <row r="43" spans="1:11" ht="20.100000000000001" customHeight="1" x14ac:dyDescent="0.25"/>
    <row r="44" spans="1:11" ht="20.100000000000001" customHeight="1" x14ac:dyDescent="0.25">
      <c r="A44" s="128" t="str">
        <f>HYPERLINK("#A1", "▲ Back to top")</f>
        <v>▲ Back to top</v>
      </c>
      <c r="C44" s="133"/>
      <c r="D44" s="133"/>
      <c r="E44" s="133"/>
      <c r="F44" s="133"/>
      <c r="G44" s="133"/>
      <c r="H44" s="133"/>
      <c r="I44" s="133"/>
      <c r="J44" s="133"/>
      <c r="K44" s="133"/>
    </row>
    <row r="45" spans="1:11" ht="20.100000000000001" customHeight="1" x14ac:dyDescent="0.25"/>
    <row r="46" spans="1:11" ht="20.100000000000001" customHeight="1" x14ac:dyDescent="0.25">
      <c r="D46" s="6" t="str" cm="1">
        <f t="array" ref="D46">Fertiliser_Equations_LeachingAndRunoff.VEERG_5_5_1_1__3_MassOfNitrogenLeachedFromOrganicFertiliser_Title()</f>
        <v>Mass of nitrogen lost through leaching and runoff from organic fertiliser application in production system j</v>
      </c>
    </row>
    <row r="47" spans="1:11" ht="20.100000000000001" customHeight="1" x14ac:dyDescent="0.25">
      <c r="D47" s="5" t="str" cm="1">
        <f t="array" ref="D47">Fertiliser_Equations_LeachingAndRunoff.VEERG_5_5_1_1__3_MassOfNitrogenLeachedFromOrganicFertiliser_Source()</f>
        <v>VEERG 2026: 5.5, Equation (3)</v>
      </c>
    </row>
    <row r="48" spans="1:11" ht="20.100000000000001" customHeight="1" x14ac:dyDescent="0.25">
      <c r="D48" s="13" t="s">
        <v>22</v>
      </c>
      <c r="E48" s="13" t="str" cm="1">
        <f t="array" aca="1" ref="E48" ca="1">Common_InputFunctions.Utility_DisplayFunctionName(F64)</f>
        <v>=Fertiliser_Equations_LeachingAndRunoff.VEERG_5_5_1_1__3_MassOfNitrogenLeachedFromOrganicFertiliser</v>
      </c>
    </row>
    <row r="49" spans="4:9" ht="20.100000000000001" customHeight="1" x14ac:dyDescent="0.25"/>
    <row r="50" spans="4:9" ht="20.100000000000001" customHeight="1" x14ac:dyDescent="0.25"/>
    <row r="51" spans="4:9" ht="20.100000000000001" customHeight="1" x14ac:dyDescent="0.25">
      <c r="D51" s="51" t="s">
        <v>25</v>
      </c>
      <c r="E51" s="1" t="str" cm="1">
        <f t="array" ref="E51">Fertiliser_Equations_LeachingAndRunoff.VEERG_5_5_1_1__3_MassOfNitrogenLeachedFromOrganicFertiliser_Variable()</f>
        <v>M_leachorganicj</v>
      </c>
    </row>
    <row r="52" spans="4:9" ht="20.100000000000001" customHeight="1" x14ac:dyDescent="0.25">
      <c r="D52" s="51" t="s">
        <v>16</v>
      </c>
      <c r="E52" s="52" t="str" cm="1">
        <f t="array" ref="E52">Fertiliser_Equations_LeachingAndRunoff.VEERG_5_5_1_1__3_MassOfNitrogenLeachedFromOrganicFertiliser_Unit()</f>
        <v>kg N</v>
      </c>
    </row>
    <row r="53" spans="4:9" ht="20.100000000000001" customHeight="1" x14ac:dyDescent="0.25"/>
    <row r="54" spans="4:9" ht="20.100000000000001" customHeight="1" x14ac:dyDescent="0.25">
      <c r="D54" s="118" t="str" cm="1">
        <f t="array" ref="D54:E59">_xlfn.CHOOSECOLS(Fertiliser_Equations_LeachingAndRunoff.VEERG_5_5_1_1__3_MassOfNitrogenLeachedFromOrganicFertiliser_Arguments(), 1, 2)</f>
        <v>MNSoil_jf</v>
      </c>
      <c r="E54" s="125" t="str">
        <v>mass of nitrogen in organic fertiliser</v>
      </c>
      <c r="F54" s="124"/>
      <c r="G54" s="118" t="str" cm="1">
        <f t="array" ref="G54:H59">_xlfn.CHOOSECOLS(Fertiliser_Equations_LeachingAndRunoff.VEERG_5_5_1_1__3_MassOfNitrogenLeachedFromOrganicFertiliser_Arguments(), 3,4)</f>
        <v>kg N</v>
      </c>
      <c r="H54" s="111" t="str">
        <v>Calculated from 5.2.1.1 (2)</v>
      </c>
      <c r="I54" s="117" t="str" cm="1">
        <f t="array" aca="1" ref="I54" ca="1">HYPERLINK(Common_InputFunctions.Utility_SourceHyperlink(D61), D61)</f>
        <v>Table_M_leach_organic_j</v>
      </c>
    </row>
    <row r="55" spans="4:9" ht="20.100000000000001" customHeight="1" x14ac:dyDescent="0.25">
      <c r="D55" s="118" t="str">
        <v>FracWETj</v>
      </c>
      <c r="E55" s="125" t="str">
        <v>fraction of N available for leaching and runoff</v>
      </c>
      <c r="F55" s="124"/>
      <c r="G55" s="118" t="str">
        <v>fraction</v>
      </c>
      <c r="H55" s="111" t="str">
        <v>Constant</v>
      </c>
      <c r="I55" s="118" cm="1">
        <f t="array" ref="I55">Common_InputFunctions.CommonCropping_GetFracWET(I57,I59,Table_SourceData_FracWET[Is in leaching zone],Table_SourceData_FracWET[FracWET],Table_SourceData_FracWETIrrigation[Irrigation type i],Table_SourceData_FracWETIrrigation[FracWET])</f>
        <v>0</v>
      </c>
    </row>
    <row r="56" spans="4:9" ht="20.100000000000001" customHeight="1" x14ac:dyDescent="0.25">
      <c r="D56" s="118" t="str">
        <v>FracLEACH</v>
      </c>
      <c r="E56" s="125" t="str">
        <v>fraction of N that is lost through leaching and runoff</v>
      </c>
      <c r="F56" s="124"/>
      <c r="G56" s="118" t="str">
        <v>fraction</v>
      </c>
      <c r="H56" s="111" t="str">
        <v>Constant</v>
      </c>
      <c r="I56" s="118" t="str">
        <f>'Constants - Ag Residue'!$E$95</f>
        <v>ACT</v>
      </c>
    </row>
    <row r="57" spans="4:9" ht="20.100000000000001" customHeight="1" x14ac:dyDescent="0.25">
      <c r="D57" s="118" t="str">
        <v>z</v>
      </c>
      <c r="E57" s="125" t="str">
        <v>location in leaching zone</v>
      </c>
      <c r="F57" s="124"/>
      <c r="G57" s="118" t="str">
        <v/>
      </c>
      <c r="H57" s="112" t="str">
        <v>Input</v>
      </c>
      <c r="I57" s="118" t="str">
        <f>'Input - Site'!$E$23</f>
        <v>NO - Not in leaching zone</v>
      </c>
    </row>
    <row r="58" spans="4:9" ht="20.100000000000001" customHeight="1" x14ac:dyDescent="0.25">
      <c r="D58" s="118" t="str">
        <v>j</v>
      </c>
      <c r="E58" s="125" t="str">
        <v>production system</v>
      </c>
      <c r="F58" s="124"/>
      <c r="G58" s="118" t="str">
        <v/>
      </c>
      <c r="H58" s="112" t="str">
        <v>Input</v>
      </c>
      <c r="I58" s="118">
        <f>'Input - Crop'!$E$6</f>
        <v>0</v>
      </c>
    </row>
    <row r="59" spans="4:9" ht="20.100000000000001" customHeight="1" x14ac:dyDescent="0.25">
      <c r="D59" s="118" t="str">
        <v>ir</v>
      </c>
      <c r="E59" s="125" t="str">
        <v>irrigation method</v>
      </c>
      <c r="F59" s="124"/>
      <c r="G59" s="118" t="str">
        <v/>
      </c>
      <c r="H59" s="112" t="str">
        <v>Input</v>
      </c>
      <c r="I59" s="118">
        <f>'Input - Crop'!$E$8</f>
        <v>0</v>
      </c>
    </row>
    <row r="60" spans="4:9" ht="20.100000000000001" customHeight="1" x14ac:dyDescent="0.25"/>
    <row r="61" spans="4:9" ht="20.100000000000001" customHeight="1" x14ac:dyDescent="0.25">
      <c r="D61" s="92" t="s">
        <v>166</v>
      </c>
    </row>
    <row r="62" spans="4:9" ht="20.100000000000001" customHeight="1" x14ac:dyDescent="0.25">
      <c r="D62" s="91" t="s">
        <v>168</v>
      </c>
    </row>
    <row r="63" spans="4:9" ht="20.100000000000001" customHeight="1" x14ac:dyDescent="0.25">
      <c r="D63" s="110" t="s">
        <v>125</v>
      </c>
      <c r="E63" s="134" t="s">
        <v>129</v>
      </c>
      <c r="F63" s="49" t="s">
        <v>169</v>
      </c>
    </row>
    <row r="64" spans="4:9" ht="20.100000000000001" customHeight="1" x14ac:dyDescent="0.25">
      <c r="D64" s="50" t="e">
        <f>'5.2.1.1-2 Organic Fert N2O'!D20</f>
        <v>#REF!</v>
      </c>
      <c r="E64" s="50" t="e">
        <f>'5.2.1.1-2 Organic Fert N2O'!I20</f>
        <v>#REF!</v>
      </c>
      <c r="F64" s="50" t="e" cm="1">
        <f t="array" ref="F64">Fertiliser_Equations_LeachingAndRunoff.VEERG_5_5_1_1__3_MassOfNitrogenLeachedFromOrganicFertiliser(E64,$I$55, $I$56)</f>
        <v>#REF!</v>
      </c>
    </row>
    <row r="65" spans="1:11" ht="20.100000000000001" customHeight="1" x14ac:dyDescent="0.25">
      <c r="D65" s="50">
        <f>'5.2.1.1-2 Organic Fert N2O'!D21</f>
        <v>0</v>
      </c>
      <c r="E65" s="50">
        <f>'5.2.1.1-2 Organic Fert N2O'!I21</f>
        <v>0</v>
      </c>
      <c r="F65" s="50" t="e" cm="1">
        <f t="array" ref="F65">Fertiliser_Equations_LeachingAndRunoff.VEERG_5_5_1_1__3_MassOfNitrogenLeachedFromOrganicFertiliser(E65,$I$55, $I$56)</f>
        <v>#VALUE!</v>
      </c>
    </row>
    <row r="66" spans="1:11" ht="20.100000000000001" customHeight="1" x14ac:dyDescent="0.25">
      <c r="D66" s="50">
        <f>'5.2.1.1-2 Organic Fert N2O'!D22</f>
        <v>0</v>
      </c>
      <c r="E66" s="50">
        <f>'5.2.1.1-2 Organic Fert N2O'!I22</f>
        <v>0</v>
      </c>
      <c r="F66" s="50" t="e" cm="1">
        <f t="array" ref="F66">Fertiliser_Equations_LeachingAndRunoff.VEERG_5_5_1_1__3_MassOfNitrogenLeachedFromOrganicFertiliser(E66,$I$55, $I$56)</f>
        <v>#VALUE!</v>
      </c>
    </row>
    <row r="67" spans="1:11" ht="20.100000000000001" customHeight="1" x14ac:dyDescent="0.25">
      <c r="D67" s="50">
        <f>'5.2.1.1-2 Organic Fert N2O'!D23</f>
        <v>0</v>
      </c>
      <c r="E67" s="50">
        <f>'5.2.1.1-2 Organic Fert N2O'!I23</f>
        <v>0</v>
      </c>
      <c r="F67" s="50" t="e" cm="1">
        <f t="array" ref="F67">Fertiliser_Equations_LeachingAndRunoff.VEERG_5_5_1_1__3_MassOfNitrogenLeachedFromOrganicFertiliser(E67,$I$55, $I$56)</f>
        <v>#VALUE!</v>
      </c>
    </row>
    <row r="68" spans="1:11" ht="20.100000000000001" customHeight="1" x14ac:dyDescent="0.25">
      <c r="D68" s="50">
        <f>'5.2.1.1-2 Organic Fert N2O'!D24</f>
        <v>0</v>
      </c>
      <c r="E68" s="50">
        <f>'5.2.1.1-2 Organic Fert N2O'!I24</f>
        <v>0</v>
      </c>
      <c r="F68" s="50" t="e" cm="1">
        <f t="array" ref="F68">Fertiliser_Equations_LeachingAndRunoff.VEERG_5_5_1_1__3_MassOfNitrogenLeachedFromOrganicFertiliser(E68,$I$55, $I$56)</f>
        <v>#VALUE!</v>
      </c>
    </row>
    <row r="69" spans="1:11" ht="20.100000000000001" customHeight="1" x14ac:dyDescent="0.25">
      <c r="D69" s="50">
        <f>'5.2.1.1-2 Organic Fert N2O'!D25</f>
        <v>0</v>
      </c>
      <c r="E69" s="50">
        <f>'5.2.1.1-2 Organic Fert N2O'!I25</f>
        <v>0</v>
      </c>
      <c r="F69" s="50" t="e" cm="1">
        <f t="array" ref="F69">Fertiliser_Equations_LeachingAndRunoff.VEERG_5_5_1_1__3_MassOfNitrogenLeachedFromOrganicFertiliser(E69,$I$55, $I$56)</f>
        <v>#VALUE!</v>
      </c>
    </row>
    <row r="70" spans="1:11" ht="20.100000000000001" customHeight="1" x14ac:dyDescent="0.25">
      <c r="D70" s="50">
        <f>'5.2.1.1-2 Organic Fert N2O'!D26</f>
        <v>0</v>
      </c>
      <c r="E70" s="50">
        <f>'5.2.1.1-2 Organic Fert N2O'!I26</f>
        <v>0</v>
      </c>
      <c r="F70" s="50" t="e" cm="1">
        <f t="array" ref="F70">Fertiliser_Equations_LeachingAndRunoff.VEERG_5_5_1_1__3_MassOfNitrogenLeachedFromOrganicFertiliser(E70,$I$55, $I$56)</f>
        <v>#VALUE!</v>
      </c>
    </row>
    <row r="71" spans="1:11" ht="20.100000000000001" customHeight="1" x14ac:dyDescent="0.25">
      <c r="D71" s="50">
        <f>'5.2.1.1-2 Organic Fert N2O'!D27</f>
        <v>0</v>
      </c>
      <c r="E71" s="50">
        <f>'5.2.1.1-2 Organic Fert N2O'!I27</f>
        <v>0</v>
      </c>
      <c r="F71" s="50" t="e" cm="1">
        <f t="array" ref="F71">Fertiliser_Equations_LeachingAndRunoff.VEERG_5_5_1_1__3_MassOfNitrogenLeachedFromOrganicFertiliser(E71,$I$55, $I$56)</f>
        <v>#VALUE!</v>
      </c>
    </row>
    <row r="72" spans="1:11" ht="20.100000000000001" customHeight="1" x14ac:dyDescent="0.25">
      <c r="D72" s="50">
        <f>'5.2.1.1-2 Organic Fert N2O'!D28</f>
        <v>0</v>
      </c>
      <c r="E72" s="50">
        <f>'5.2.1.1-2 Organic Fert N2O'!I28</f>
        <v>0</v>
      </c>
      <c r="F72" s="50" t="e" cm="1">
        <f t="array" ref="F72">Fertiliser_Equations_LeachingAndRunoff.VEERG_5_5_1_1__3_MassOfNitrogenLeachedFromOrganicFertiliser(E72,$I$55, $I$56)</f>
        <v>#VALUE!</v>
      </c>
    </row>
    <row r="73" spans="1:11" ht="20.100000000000001" customHeight="1" x14ac:dyDescent="0.25">
      <c r="D73" s="50">
        <f>'5.2.1.1-2 Organic Fert N2O'!D29</f>
        <v>0</v>
      </c>
      <c r="E73" s="50">
        <f>'5.2.1.1-2 Organic Fert N2O'!I29</f>
        <v>0</v>
      </c>
      <c r="F73" s="50" t="e" cm="1">
        <f t="array" ref="F73">Fertiliser_Equations_LeachingAndRunoff.VEERG_5_5_1_1__3_MassOfNitrogenLeachedFromOrganicFertiliser(E73,$I$55, $I$56)</f>
        <v>#VALUE!</v>
      </c>
    </row>
    <row r="74" spans="1:11" ht="20.100000000000001" customHeight="1" x14ac:dyDescent="0.25">
      <c r="D74" s="50">
        <f>'5.2.1.1-2 Organic Fert N2O'!D30</f>
        <v>0</v>
      </c>
      <c r="E74" s="50">
        <f>'5.2.1.1-2 Organic Fert N2O'!I30</f>
        <v>0</v>
      </c>
      <c r="F74" s="50" t="e" cm="1">
        <f t="array" ref="F74">Fertiliser_Equations_LeachingAndRunoff.VEERG_5_5_1_1__3_MassOfNitrogenLeachedFromOrganicFertiliser(E74,$I$55, $I$56)</f>
        <v>#VALUE!</v>
      </c>
    </row>
    <row r="75" spans="1:11" ht="20.100000000000001" customHeight="1" x14ac:dyDescent="0.25"/>
    <row r="76" spans="1:11" ht="20.100000000000001" customHeight="1" x14ac:dyDescent="0.25">
      <c r="D76" s="120" t="s">
        <v>170</v>
      </c>
      <c r="E76" s="44" t="e">
        <f>SUM(F64:F74)</f>
        <v>#REF!</v>
      </c>
      <c r="F76" s="97" t="str">
        <f>$E$52</f>
        <v>kg N</v>
      </c>
    </row>
    <row r="77" spans="1:11" ht="20.100000000000001" customHeight="1" x14ac:dyDescent="0.25"/>
    <row r="78" spans="1:11" ht="20.100000000000001" customHeight="1" x14ac:dyDescent="0.25">
      <c r="A78" s="128" t="str">
        <f>HYPERLINK("#A1", "▲ Back to top")</f>
        <v>▲ Back to top</v>
      </c>
      <c r="C78" s="133"/>
      <c r="D78" s="133"/>
      <c r="E78" s="133"/>
      <c r="F78" s="133"/>
      <c r="G78" s="133"/>
      <c r="H78" s="133"/>
      <c r="I78" s="133"/>
      <c r="J78" s="133"/>
      <c r="K78" s="133"/>
    </row>
    <row r="79" spans="1:11" ht="20.100000000000001" customHeight="1" x14ac:dyDescent="0.25"/>
    <row r="80" spans="1:11" ht="20.100000000000001" customHeight="1" x14ac:dyDescent="0.25">
      <c r="D80" s="6" t="str" cm="1">
        <f t="array" ref="D80">Fertiliser_Equations_LeachingAndRunoff.VEERG_5_5_1_1__1_FertiliserLeachingAndRunoffN2OEmissions_Title()</f>
        <v>Nitrous oxide emissions from nitrogen leaching and runoff from the application of all fertilisers across all production systems j</v>
      </c>
    </row>
    <row r="81" spans="4:10" ht="20.100000000000001" customHeight="1" x14ac:dyDescent="0.25">
      <c r="D81" s="5" t="str" cm="1">
        <f t="array" ref="D81">Fertiliser_Equations_LeachingAndRunoff.VEERG_5_5_1_1__1_FertiliserLeachingAndRunoffN2OEmissions_Source()</f>
        <v>VEERG 2026: 5.5, Equation (1)</v>
      </c>
    </row>
    <row r="82" spans="4:10" ht="20.100000000000001" customHeight="1" x14ac:dyDescent="0.25">
      <c r="D82" s="13" t="s">
        <v>22</v>
      </c>
      <c r="E82" s="13" t="str" cm="1">
        <f t="array" aca="1" ref="E82" ca="1">Common_InputFunctions.Utility_DisplayFunctionName(E93)</f>
        <v>=Fertiliser_Equations_LeachingAndRunoff.VEERG_5_5_1_1__1_FertiliserLeachingAndRunoffN2OEmissions</v>
      </c>
    </row>
    <row r="83" spans="4:10" ht="20.100000000000001" customHeight="1" x14ac:dyDescent="0.25"/>
    <row r="84" spans="4:10" ht="20.100000000000001" customHeight="1" x14ac:dyDescent="0.25"/>
    <row r="85" spans="4:10" ht="20.100000000000001" customHeight="1" x14ac:dyDescent="0.25">
      <c r="D85" s="51" t="s">
        <v>25</v>
      </c>
      <c r="E85" s="1" t="str" cm="1">
        <f t="array" ref="E85">Fertiliser_Equations_LeachingAndRunoff.VEERG_5_5_1_1__1_FertiliserLeachingAndRunoffN2OEmissions_Variable()</f>
        <v>E_fertleach</v>
      </c>
    </row>
    <row r="86" spans="4:10" ht="20.100000000000001" customHeight="1" x14ac:dyDescent="0.25">
      <c r="D86" s="51" t="s">
        <v>16</v>
      </c>
      <c r="E86" s="52" t="str" cm="1">
        <f t="array" ref="E86">Fertiliser_Equations_LeachingAndRunoff.VEERG_5_5_1_1__1_FertiliserLeachingAndRunoffN2OEmissions_Unit()</f>
        <v>t N2O</v>
      </c>
    </row>
    <row r="87" spans="4:10" ht="20.100000000000001" customHeight="1" x14ac:dyDescent="0.25"/>
    <row r="88" spans="4:10" ht="20.100000000000001" customHeight="1" x14ac:dyDescent="0.25">
      <c r="D88" s="118" t="str" cm="1">
        <f t="array" ref="D88:E91">_xlfn.CHOOSECOLS(Fertiliser_Equations_LeachingAndRunoff.VEERG_5_5_1_1__1_FertiliserLeachingAndRunoffN2OEmissions_Arguments(), 1, 2)</f>
        <v>M_leachinorganicj</v>
      </c>
      <c r="E88" s="125" t="str">
        <v>mass of nitrogen lost through leaching and runoff from inorganic fertiliser application in production system j</v>
      </c>
      <c r="F88" s="126"/>
      <c r="G88" s="124"/>
      <c r="H88" s="118" t="str" cm="1">
        <f t="array" ref="H88:I91">_xlfn.CHOOSECOLS(Fertiliser_Equations_LeachingAndRunoff.VEERG_5_5_1_1__1_FertiliserLeachingAndRunoffN2OEmissions_Arguments(), 3,4)</f>
        <v>kg N</v>
      </c>
      <c r="I88" s="111" t="str">
        <v>Calculated from 5.5.1.1 (2)</v>
      </c>
      <c r="J88" s="118" t="e">
        <f>$E$42</f>
        <v>#VALUE!</v>
      </c>
    </row>
    <row r="89" spans="4:10" ht="20.100000000000001" customHeight="1" x14ac:dyDescent="0.25">
      <c r="D89" s="118" t="str">
        <v>M_leachorganicj</v>
      </c>
      <c r="E89" s="125" t="str">
        <v>mass of nitrogen lost through leaching and runoff from organic fertiliser application</v>
      </c>
      <c r="F89" s="126"/>
      <c r="G89" s="124"/>
      <c r="H89" s="118" t="str">
        <v>kg N</v>
      </c>
      <c r="I89" s="111" t="str">
        <v>Calculated from 5.5.1.1 (3)</v>
      </c>
      <c r="J89" s="118" t="e">
        <f>$E$76</f>
        <v>#REF!</v>
      </c>
    </row>
    <row r="90" spans="4:10" ht="20.100000000000001" customHeight="1" x14ac:dyDescent="0.25">
      <c r="D90" s="118" t="str">
        <v>EF_leach</v>
      </c>
      <c r="E90" s="125" t="str">
        <v>emission factor for nitrogen leaching and runoff</v>
      </c>
      <c r="F90" s="126"/>
      <c r="G90" s="124"/>
      <c r="H90" s="118" t="str">
        <v>kg N2O-N/kg N</v>
      </c>
      <c r="I90" s="111" t="str">
        <v>Constant</v>
      </c>
      <c r="J90" s="118" t="str">
        <f>'Constants - Ag Residue'!$E$100</f>
        <v>WA</v>
      </c>
    </row>
    <row r="91" spans="4:10" ht="20.100000000000001" customHeight="1" x14ac:dyDescent="0.25">
      <c r="D91" s="118" t="str">
        <v>C_N2O</v>
      </c>
      <c r="E91" s="125" t="str">
        <v>factor to convert elemental mass of nitrous oxide to molecular mass</v>
      </c>
      <c r="F91" s="126"/>
      <c r="G91" s="124"/>
      <c r="H91" s="118" t="str">
        <v/>
      </c>
      <c r="I91" s="111" t="str">
        <v>Constant</v>
      </c>
      <c r="J91" s="54">
        <f>Common_InputFunctions.Utility_LookupValueInTableNumber("N2O",Table_GasToMolecularConversionFactor[Gas],Table_GasToMolecularConversionFactor[Conversion factor combined])</f>
        <v>1.5714285714285714</v>
      </c>
    </row>
    <row r="92" spans="4:10" ht="20.100000000000001" customHeight="1" x14ac:dyDescent="0.25"/>
    <row r="93" spans="4:10" ht="20.100000000000001" customHeight="1" x14ac:dyDescent="0.25">
      <c r="D93" s="93" t="s">
        <v>171</v>
      </c>
      <c r="E93" s="94" t="e" cm="1">
        <f t="array" ref="E93">Fertiliser_Equations_LeachingAndRunoff.VEERG_5_5_1_1__1_FertiliserLeachingAndRunoffN2OEmissions(J88,J89,J90,J91)</f>
        <v>#VALUE!</v>
      </c>
      <c r="F93" s="95" t="str">
        <f>$E$86</f>
        <v>t N2O</v>
      </c>
    </row>
    <row r="94" spans="4:10" ht="20.100000000000001" customHeight="1" x14ac:dyDescent="0.25"/>
    <row r="95" spans="4:10" ht="20.100000000000001" customHeight="1" x14ac:dyDescent="0.25">
      <c r="D95" s="54" t="str" cm="1">
        <f t="array" ref="D95:E96">Common_Equations.Common_ConvertN2OToCO2e_Arguments()</f>
        <v>EN2O</v>
      </c>
      <c r="E95" s="55" t="str">
        <v>Nitrous oxide emissions (t N2O)</v>
      </c>
      <c r="F95" s="96"/>
      <c r="G95" s="50" t="e">
        <f>E93</f>
        <v>#VALUE!</v>
      </c>
    </row>
    <row r="96" spans="4:10" ht="20.100000000000001" customHeight="1" x14ac:dyDescent="0.25">
      <c r="D96" s="54" t="str">
        <v>GWPN2O</v>
      </c>
      <c r="E96" s="55" t="str">
        <v>Global warming potential for nitrous oxide (t CO2-e / t N2O)</v>
      </c>
      <c r="F96" s="96"/>
      <c r="G96" s="50">
        <f>Common_InputFunctions.Utility_LookupValueInTableNumber("N2O",Table_GWPData[Gas],Table_GWPData[CO2-e factor])</f>
        <v>265</v>
      </c>
    </row>
    <row r="97" spans="4:6" ht="20.100000000000001" customHeight="1" x14ac:dyDescent="0.25"/>
    <row r="98" spans="4:6" ht="20.100000000000001" customHeight="1" x14ac:dyDescent="0.25">
      <c r="D98" s="44" t="s">
        <v>79</v>
      </c>
      <c r="E98" s="44" t="e" cm="1">
        <f t="array" ref="E98">Common_Equations.Common_ConvertN2OToCO2e(G95,G96)</f>
        <v>#VALUE!</v>
      </c>
      <c r="F98" s="97" t="str" cm="1">
        <f t="array" ref="F98">Common_Equations.Common_ConvertN2OToCO2e_Unit()</f>
        <v>t CO2e</v>
      </c>
    </row>
    <row r="99" spans="4:6" ht="20.100000000000001" customHeight="1" x14ac:dyDescent="0.25"/>
    <row r="100" spans="4:6" ht="20.100000000000001" customHeight="1" x14ac:dyDescent="0.25"/>
    <row r="101" spans="4:6" ht="20.100000000000001" customHeight="1" x14ac:dyDescent="0.25"/>
    <row r="102" spans="4:6" ht="20.100000000000001" customHeight="1" x14ac:dyDescent="0.25"/>
    <row r="103" spans="4:6" ht="20.100000000000001" customHeight="1" x14ac:dyDescent="0.25"/>
    <row r="104" spans="4:6" ht="20.100000000000001" customHeight="1" x14ac:dyDescent="0.25"/>
    <row r="105" spans="4:6" ht="20.100000000000001" customHeight="1" x14ac:dyDescent="0.25"/>
    <row r="106" spans="4:6" ht="20.100000000000001" customHeight="1" x14ac:dyDescent="0.25"/>
    <row r="107" spans="4:6" ht="20.100000000000001" customHeight="1" x14ac:dyDescent="0.25"/>
    <row r="108" spans="4:6" ht="20.100000000000001" customHeight="1" x14ac:dyDescent="0.25"/>
    <row r="109" spans="4:6" ht="20.100000000000001" customHeight="1" x14ac:dyDescent="0.25"/>
    <row r="110" spans="4:6" ht="20.100000000000001" customHeight="1" x14ac:dyDescent="0.25"/>
    <row r="111" spans="4:6" ht="20.100000000000001" customHeight="1" x14ac:dyDescent="0.25"/>
    <row r="112" spans="4:6"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14"/>
  <sheetViews>
    <sheetView showGridLines="0" topLeftCell="A16" zoomScaleNormal="100" workbookViewId="0">
      <selection activeCell="D49" sqref="D49:G223"/>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219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AgResidues_SourceData.CropAttributes_Title()</f>
        <v>Table A.2.1.1: Crop attributes</v>
      </c>
      <c r="E5" s="22"/>
      <c r="F5" s="22"/>
      <c r="G5" s="22"/>
      <c r="H5" s="22"/>
      <c r="I5" s="22"/>
      <c r="J5" s="22"/>
      <c r="K5" s="22"/>
      <c r="L5" s="22"/>
    </row>
    <row r="6" spans="1:35" ht="20.100000000000001" customHeight="1" x14ac:dyDescent="0.25">
      <c r="A6" s="16"/>
      <c r="D6" s="5" t="str" cm="1">
        <f t="array" ref="D6">AgResidues_SourceData.CropAttributes_Source()</f>
        <v>VEERG 2026: Table A.2.1.1: Crop attributes</v>
      </c>
      <c r="E6" s="22"/>
      <c r="F6" s="22"/>
      <c r="G6" s="22"/>
      <c r="H6" s="22"/>
      <c r="I6" s="22"/>
      <c r="J6" s="22"/>
      <c r="K6" s="22"/>
      <c r="L6" s="22"/>
    </row>
    <row r="7" spans="1:35" ht="20.100000000000001" customHeight="1" x14ac:dyDescent="0.25">
      <c r="A7" s="20" t="s">
        <v>1</v>
      </c>
      <c r="D7" s="53" t="str" cm="1">
        <f t="array" ref="D7">"⚠️" &amp; AgResidues_SourceData.CropAttributes_Variation()</f>
        <v>⚠️VARIATION FROM SOURCE: 'N/A' values passed as zero for calculations.</v>
      </c>
      <c r="E7" s="22"/>
      <c r="F7" s="22"/>
      <c r="G7" s="22"/>
      <c r="H7" s="22"/>
      <c r="I7" s="22"/>
      <c r="J7" s="22"/>
      <c r="K7" s="22"/>
      <c r="L7" s="22"/>
    </row>
    <row r="8" spans="1:35" ht="20.100000000000001" customHeight="1" x14ac:dyDescent="0.25">
      <c r="A8" s="17" t="str">
        <f>HYPERLINK("#'Input - Site'!A1", "Site")</f>
        <v>Site</v>
      </c>
      <c r="D8" s="22"/>
      <c r="E8" s="22"/>
      <c r="F8" s="22"/>
      <c r="G8" s="22"/>
      <c r="H8" s="22"/>
      <c r="I8" s="22"/>
      <c r="J8" s="22"/>
      <c r="K8" s="22"/>
      <c r="L8" s="22"/>
    </row>
    <row r="9" spans="1:35" ht="20.100000000000001" customHeight="1" x14ac:dyDescent="0.25">
      <c r="A9" s="17" t="str">
        <f>HYPERLINK("#'Input - Fertiliser'!A1", "Fertiliser")</f>
        <v>Fertiliser</v>
      </c>
      <c r="D9" t="s">
        <v>113</v>
      </c>
      <c r="E9" t="s">
        <v>220</v>
      </c>
      <c r="F9" t="s">
        <v>221</v>
      </c>
      <c r="G9" t="s">
        <v>222</v>
      </c>
      <c r="H9" t="s">
        <v>223</v>
      </c>
      <c r="I9" t="s">
        <v>224</v>
      </c>
      <c r="J9" t="s">
        <v>225</v>
      </c>
      <c r="K9" t="s">
        <v>226</v>
      </c>
      <c r="L9" t="s">
        <v>227</v>
      </c>
    </row>
    <row r="10" spans="1:35" ht="20.100000000000001" customHeight="1" x14ac:dyDescent="0.25">
      <c r="A10" s="17"/>
      <c r="D10" t="str" cm="1">
        <f t="array" ref="D10">Common_InputFunctions.Utility_DisplayArrayInTable(AgResidues_SourceData.CropAttributes_Data(),Table_SourceData_CropAttributes[[#Headers],[Crop type]], -1)</f>
        <v>Wheat</v>
      </c>
      <c r="E10" cm="1">
        <f t="array" ref="E10">Common_InputFunctions.Utility_DisplayArrayInTable(AgResidues_SourceData.CropAttributes_Data(),Table_SourceData_CropAttributes[[#Headers],[Crop type]], -1)</f>
        <v>1.5</v>
      </c>
      <c r="F10" cm="1">
        <f t="array" ref="F10">Common_InputFunctions.Utility_DisplayArrayInTable(AgResidues_SourceData.CropAttributes_Data(),Table_SourceData_CropAttributes[[#Headers],[Crop type]], -1)</f>
        <v>0.28999999999999998</v>
      </c>
      <c r="G10" cm="1">
        <f t="array" ref="G10">Common_InputFunctions.Utility_DisplayArrayInTable(AgResidues_SourceData.CropAttributes_Data(),Table_SourceData_CropAttributes[[#Headers],[Crop type]], -1)</f>
        <v>0.88</v>
      </c>
      <c r="H10" cm="1">
        <f t="array" ref="H10">Common_InputFunctions.Utility_DisplayArrayInTable(AgResidues_SourceData.CropAttributes_Data(),Table_SourceData_CropAttributes[[#Headers],[Crop type]], -1)</f>
        <v>0.4</v>
      </c>
      <c r="I10" cm="1">
        <f t="array" ref="I10">Common_InputFunctions.Utility_DisplayArrayInTable(AgResidues_SourceData.CropAttributes_Data(),Table_SourceData_CropAttributes[[#Headers],[Crop type]], -1)</f>
        <v>6.0000000000000001E-3</v>
      </c>
      <c r="J10" cm="1">
        <f t="array" ref="J10">Common_InputFunctions.Utility_DisplayArrayInTable(AgResidues_SourceData.CropAttributes_Data(),Table_SourceData_CropAttributes[[#Headers],[Crop type]], -1)</f>
        <v>0.01</v>
      </c>
      <c r="K10" cm="1">
        <f t="array" ref="K10">Common_InputFunctions.Utility_DisplayArrayInTable(AgResidues_SourceData.CropAttributes_Data(),Table_SourceData_CropAttributes[[#Headers],[Crop type]], -1)</f>
        <v>0.5</v>
      </c>
      <c r="L10" cm="1">
        <f t="array" ref="L10">Common_InputFunctions.Utility_DisplayArrayInTable(AgResidues_SourceData.CropAttributes_Data(),Table_SourceData_CropAttributes[[#Headers],[Crop type]], -1)</f>
        <v>0.9</v>
      </c>
    </row>
    <row r="11" spans="1:35" ht="20.100000000000001" customHeight="1" x14ac:dyDescent="0.25">
      <c r="A11" s="19" t="s">
        <v>69</v>
      </c>
      <c r="D11" t="str" cm="1">
        <f t="array" ref="D11">Common_InputFunctions.Utility_DisplayArrayInTable(AgResidues_SourceData.CropAttributes_Data(),Table_SourceData_CropAttributes[[#Headers],[Crop type]], -1)</f>
        <v>Barley</v>
      </c>
      <c r="E11" cm="1">
        <f t="array" ref="E11">Common_InputFunctions.Utility_DisplayArrayInTable(AgResidues_SourceData.CropAttributes_Data(),Table_SourceData_CropAttributes[[#Headers],[Crop type]], -1)</f>
        <v>1.24</v>
      </c>
      <c r="F11" cm="1">
        <f t="array" ref="F11">Common_InputFunctions.Utility_DisplayArrayInTable(AgResidues_SourceData.CropAttributes_Data(),Table_SourceData_CropAttributes[[#Headers],[Crop type]], -1)</f>
        <v>0.32</v>
      </c>
      <c r="G11" cm="1">
        <f t="array" ref="G11">Common_InputFunctions.Utility_DisplayArrayInTable(AgResidues_SourceData.CropAttributes_Data(),Table_SourceData_CropAttributes[[#Headers],[Crop type]], -1)</f>
        <v>0.88</v>
      </c>
      <c r="H11" cm="1">
        <f t="array" ref="H11">Common_InputFunctions.Utility_DisplayArrayInTable(AgResidues_SourceData.CropAttributes_Data(),Table_SourceData_CropAttributes[[#Headers],[Crop type]], -1)</f>
        <v>0.4</v>
      </c>
      <c r="I11" cm="1">
        <f t="array" ref="I11">Common_InputFunctions.Utility_DisplayArrayInTable(AgResidues_SourceData.CropAttributes_Data(),Table_SourceData_CropAttributes[[#Headers],[Crop type]], -1)</f>
        <v>7.0000000000000001E-3</v>
      </c>
      <c r="J11" cm="1">
        <f t="array" ref="J11">Common_InputFunctions.Utility_DisplayArrayInTable(AgResidues_SourceData.CropAttributes_Data(),Table_SourceData_CropAttributes[[#Headers],[Crop type]], -1)</f>
        <v>0.01</v>
      </c>
      <c r="K11" cm="1">
        <f t="array" ref="K11">Common_InputFunctions.Utility_DisplayArrayInTable(AgResidues_SourceData.CropAttributes_Data(),Table_SourceData_CropAttributes[[#Headers],[Crop type]], -1)</f>
        <v>0.5</v>
      </c>
      <c r="L11" cm="1">
        <f t="array" ref="L11">Common_InputFunctions.Utility_DisplayArrayInTable(AgResidues_SourceData.CropAttributes_Data(),Table_SourceData_CropAttributes[[#Headers],[Crop type]], -1)</f>
        <v>0.85</v>
      </c>
    </row>
    <row r="12" spans="1:35" ht="20.100000000000001" customHeight="1" x14ac:dyDescent="0.25">
      <c r="A12" s="17" t="str">
        <f>HYPERLINK("#'5.1.1.1-2 Inorganic Fert N2O'!A1", "5.1.1.1-2 Inorganic Fert N2O")</f>
        <v>5.1.1.1-2 Inorganic Fert N2O</v>
      </c>
      <c r="D12" t="str" cm="1">
        <f t="array" ref="D12">Common_InputFunctions.Utility_DisplayArrayInTable(AgResidues_SourceData.CropAttributes_Data(),Table_SourceData_CropAttributes[[#Headers],[Crop type]], -1)</f>
        <v>Maize</v>
      </c>
      <c r="E12" cm="1">
        <f t="array" ref="E12">Common_InputFunctions.Utility_DisplayArrayInTable(AgResidues_SourceData.CropAttributes_Data(),Table_SourceData_CropAttributes[[#Headers],[Crop type]], -1)</f>
        <v>0.81</v>
      </c>
      <c r="F12" cm="1">
        <f t="array" ref="F12">Common_InputFunctions.Utility_DisplayArrayInTable(AgResidues_SourceData.CropAttributes_Data(),Table_SourceData_CropAttributes[[#Headers],[Crop type]], -1)</f>
        <v>0.39</v>
      </c>
      <c r="G12" cm="1">
        <f t="array" ref="G12">Common_InputFunctions.Utility_DisplayArrayInTable(AgResidues_SourceData.CropAttributes_Data(),Table_SourceData_CropAttributes[[#Headers],[Crop type]], -1)</f>
        <v>0.85</v>
      </c>
      <c r="H12" cm="1">
        <f t="array" ref="H12">Common_InputFunctions.Utility_DisplayArrayInTable(AgResidues_SourceData.CropAttributes_Data(),Table_SourceData_CropAttributes[[#Headers],[Crop type]], -1)</f>
        <v>0.42</v>
      </c>
      <c r="I12" cm="1">
        <f t="array" ref="I12">Common_InputFunctions.Utility_DisplayArrayInTable(AgResidues_SourceData.CropAttributes_Data(),Table_SourceData_CropAttributes[[#Headers],[Crop type]], -1)</f>
        <v>5.0000000000000001E-3</v>
      </c>
      <c r="J12" cm="1">
        <f t="array" ref="J12">Common_InputFunctions.Utility_DisplayArrayInTable(AgResidues_SourceData.CropAttributes_Data(),Table_SourceData_CropAttributes[[#Headers],[Crop type]], -1)</f>
        <v>7.0000000000000001E-3</v>
      </c>
      <c r="K12" cm="1">
        <f t="array" ref="K12">Common_InputFunctions.Utility_DisplayArrayInTable(AgResidues_SourceData.CropAttributes_Data(),Table_SourceData_CropAttributes[[#Headers],[Crop type]], -1)</f>
        <v>1</v>
      </c>
      <c r="L12" cm="1">
        <f t="array" ref="L12">Common_InputFunctions.Utility_DisplayArrayInTable(AgResidues_SourceData.CropAttributes_Data(),Table_SourceData_CropAttributes[[#Headers],[Crop type]], -1)</f>
        <v>0.8</v>
      </c>
    </row>
    <row r="13" spans="1:35" ht="20.100000000000001" customHeight="1" x14ac:dyDescent="0.25">
      <c r="A13" s="17" t="str">
        <f>HYPERLINK("#'5.1.1.3-4 Inorganic fert CO2'!A1", "5.1.1.3-4 Inorganic fert CO2")</f>
        <v>5.1.1.3-4 Inorganic fert CO2</v>
      </c>
      <c r="D13" t="str" cm="1">
        <f t="array" ref="D13">Common_InputFunctions.Utility_DisplayArrayInTable(AgResidues_SourceData.CropAttributes_Data(),Table_SourceData_CropAttributes[[#Headers],[Crop type]], -1)</f>
        <v>Oats</v>
      </c>
      <c r="E13" cm="1">
        <f t="array" ref="E13">Common_InputFunctions.Utility_DisplayArrayInTable(AgResidues_SourceData.CropAttributes_Data(),Table_SourceData_CropAttributes[[#Headers],[Crop type]], -1)</f>
        <v>1.42</v>
      </c>
      <c r="F13" cm="1">
        <f t="array" ref="F13">Common_InputFunctions.Utility_DisplayArrayInTable(AgResidues_SourceData.CropAttributes_Data(),Table_SourceData_CropAttributes[[#Headers],[Crop type]], -1)</f>
        <v>0.43</v>
      </c>
      <c r="G13" cm="1">
        <f t="array" ref="G13">Common_InputFunctions.Utility_DisplayArrayInTable(AgResidues_SourceData.CropAttributes_Data(),Table_SourceData_CropAttributes[[#Headers],[Crop type]], -1)</f>
        <v>0.88</v>
      </c>
      <c r="H13" cm="1">
        <f t="array" ref="H13">Common_InputFunctions.Utility_DisplayArrayInTable(AgResidues_SourceData.CropAttributes_Data(),Table_SourceData_CropAttributes[[#Headers],[Crop type]], -1)</f>
        <v>0.4</v>
      </c>
      <c r="I13" cm="1">
        <f t="array" ref="I13">Common_InputFunctions.Utility_DisplayArrayInTable(AgResidues_SourceData.CropAttributes_Data(),Table_SourceData_CropAttributes[[#Headers],[Crop type]], -1)</f>
        <v>6.0000000000000001E-3</v>
      </c>
      <c r="J13" cm="1">
        <f t="array" ref="J13">Common_InputFunctions.Utility_DisplayArrayInTable(AgResidues_SourceData.CropAttributes_Data(),Table_SourceData_CropAttributes[[#Headers],[Crop type]], -1)</f>
        <v>0.01</v>
      </c>
      <c r="K13" cm="1">
        <f t="array" ref="K13">Common_InputFunctions.Utility_DisplayArrayInTable(AgResidues_SourceData.CropAttributes_Data(),Table_SourceData_CropAttributes[[#Headers],[Crop type]], -1)</f>
        <v>0.5</v>
      </c>
      <c r="L13" cm="1">
        <f t="array" ref="L13">Common_InputFunctions.Utility_DisplayArrayInTable(AgResidues_SourceData.CropAttributes_Data(),Table_SourceData_CropAttributes[[#Headers],[Crop type]], -1)</f>
        <v>0.85</v>
      </c>
    </row>
    <row r="14" spans="1:35" ht="20.100000000000001" customHeight="1" x14ac:dyDescent="0.25">
      <c r="A14" s="17" t="str">
        <f>HYPERLINK("#'5.2.1.1-2 Organic Fert N2O'!A1", "5.2.1.1-2 Organic Fert N2O")</f>
        <v>5.2.1.1-2 Organic Fert N2O</v>
      </c>
      <c r="D14" t="str" cm="1">
        <f t="array" ref="D14">Common_InputFunctions.Utility_DisplayArrayInTable(AgResidues_SourceData.CropAttributes_Data(),Table_SourceData_CropAttributes[[#Headers],[Crop type]], -1)</f>
        <v>Rice</v>
      </c>
      <c r="E14" cm="1">
        <f t="array" ref="E14">Common_InputFunctions.Utility_DisplayArrayInTable(AgResidues_SourceData.CropAttributes_Data(),Table_SourceData_CropAttributes[[#Headers],[Crop type]], -1)</f>
        <v>1.31</v>
      </c>
      <c r="F14" cm="1">
        <f t="array" ref="F14">Common_InputFunctions.Utility_DisplayArrayInTable(AgResidues_SourceData.CropAttributes_Data(),Table_SourceData_CropAttributes[[#Headers],[Crop type]], -1)</f>
        <v>0.16</v>
      </c>
      <c r="G14" cm="1">
        <f t="array" ref="G14">Common_InputFunctions.Utility_DisplayArrayInTable(AgResidues_SourceData.CropAttributes_Data(),Table_SourceData_CropAttributes[[#Headers],[Crop type]], -1)</f>
        <v>0.8</v>
      </c>
      <c r="H14" cm="1">
        <f t="array" ref="H14">Common_InputFunctions.Utility_DisplayArrayInTable(AgResidues_SourceData.CropAttributes_Data(),Table_SourceData_CropAttributes[[#Headers],[Crop type]], -1)</f>
        <v>0.42</v>
      </c>
      <c r="I14" cm="1">
        <f t="array" ref="I14">Common_InputFunctions.Utility_DisplayArrayInTable(AgResidues_SourceData.CropAttributes_Data(),Table_SourceData_CropAttributes[[#Headers],[Crop type]], -1)</f>
        <v>7.0000000000000001E-3</v>
      </c>
      <c r="J14" cm="1">
        <f t="array" ref="J14">Common_InputFunctions.Utility_DisplayArrayInTable(AgResidues_SourceData.CropAttributes_Data(),Table_SourceData_CropAttributes[[#Headers],[Crop type]], -1)</f>
        <v>0.01</v>
      </c>
      <c r="K14" cm="1">
        <f t="array" ref="K14">Common_InputFunctions.Utility_DisplayArrayInTable(AgResidues_SourceData.CropAttributes_Data(),Table_SourceData_CropAttributes[[#Headers],[Crop type]], -1)</f>
        <v>1</v>
      </c>
      <c r="L14" cm="1">
        <f t="array" ref="L14">Common_InputFunctions.Utility_DisplayArrayInTable(AgResidues_SourceData.CropAttributes_Data(),Table_SourceData_CropAttributes[[#Headers],[Crop type]], -1)</f>
        <v>0.8</v>
      </c>
    </row>
    <row r="15" spans="1:35" ht="20.100000000000001" customHeight="1" x14ac:dyDescent="0.25">
      <c r="A15" s="17" t="str">
        <f>HYPERLINK("#'5.3.1.1-2 Lime CO2'!A1", "5.3.1.1-2 Lime CO2")</f>
        <v>5.3.1.1-2 Lime CO2</v>
      </c>
      <c r="D15" t="str" cm="1">
        <f t="array" ref="D15">Common_InputFunctions.Utility_DisplayArrayInTable(AgResidues_SourceData.CropAttributes_Data(),Table_SourceData_CropAttributes[[#Headers],[Crop type]], -1)</f>
        <v>Sorghum</v>
      </c>
      <c r="E15" cm="1">
        <f t="array" ref="E15">Common_InputFunctions.Utility_DisplayArrayInTable(AgResidues_SourceData.CropAttributes_Data(),Table_SourceData_CropAttributes[[#Headers],[Crop type]], -1)</f>
        <v>1.5</v>
      </c>
      <c r="F15" cm="1">
        <f t="array" ref="F15">Common_InputFunctions.Utility_DisplayArrayInTable(AgResidues_SourceData.CropAttributes_Data(),Table_SourceData_CropAttributes[[#Headers],[Crop type]], -1)</f>
        <v>0.22</v>
      </c>
      <c r="G15" cm="1">
        <f t="array" ref="G15">Common_InputFunctions.Utility_DisplayArrayInTable(AgResidues_SourceData.CropAttributes_Data(),Table_SourceData_CropAttributes[[#Headers],[Crop type]], -1)</f>
        <v>0.8</v>
      </c>
      <c r="H15" cm="1">
        <f t="array" ref="H15">Common_InputFunctions.Utility_DisplayArrayInTable(AgResidues_SourceData.CropAttributes_Data(),Table_SourceData_CropAttributes[[#Headers],[Crop type]], -1)</f>
        <v>0.4</v>
      </c>
      <c r="I15" cm="1">
        <f t="array" ref="I15">Common_InputFunctions.Utility_DisplayArrayInTable(AgResidues_SourceData.CropAttributes_Data(),Table_SourceData_CropAttributes[[#Headers],[Crop type]], -1)</f>
        <v>8.0000000000000002E-3</v>
      </c>
      <c r="J15" cm="1">
        <f t="array" ref="J15">Common_InputFunctions.Utility_DisplayArrayInTable(AgResidues_SourceData.CropAttributes_Data(),Table_SourceData_CropAttributes[[#Headers],[Crop type]], -1)</f>
        <v>7.0000000000000001E-3</v>
      </c>
      <c r="K15" cm="1">
        <f t="array" ref="K15">Common_InputFunctions.Utility_DisplayArrayInTable(AgResidues_SourceData.CropAttributes_Data(),Table_SourceData_CropAttributes[[#Headers],[Crop type]], -1)</f>
        <v>0.5</v>
      </c>
      <c r="L15" cm="1">
        <f t="array" ref="L15">Common_InputFunctions.Utility_DisplayArrayInTable(AgResidues_SourceData.CropAttributes_Data(),Table_SourceData_CropAttributes[[#Headers],[Crop type]], -1)</f>
        <v>0.85</v>
      </c>
    </row>
    <row r="16" spans="1:35" ht="20.100000000000001" customHeight="1" x14ac:dyDescent="0.25">
      <c r="A16" s="17" t="str">
        <f>HYPERLINK("#'5.4.1.1-4 Atmos deposition'!A1", "5.4.1.1-4 Atmos deposition")</f>
        <v>5.4.1.1-4 Atmos deposition</v>
      </c>
      <c r="D16" t="str" cm="1">
        <f t="array" ref="D16">Common_InputFunctions.Utility_DisplayArrayInTable(AgResidues_SourceData.CropAttributes_Data(),Table_SourceData_CropAttributes[[#Headers],[Crop type]], -1)</f>
        <v>Triticale</v>
      </c>
      <c r="E16" cm="1">
        <f t="array" ref="E16">Common_InputFunctions.Utility_DisplayArrayInTable(AgResidues_SourceData.CropAttributes_Data(),Table_SourceData_CropAttributes[[#Headers],[Crop type]], -1)</f>
        <v>1.5</v>
      </c>
      <c r="F16" cm="1">
        <f t="array" ref="F16">Common_InputFunctions.Utility_DisplayArrayInTable(AgResidues_SourceData.CropAttributes_Data(),Table_SourceData_CropAttributes[[#Headers],[Crop type]], -1)</f>
        <v>0.42</v>
      </c>
      <c r="G16" cm="1">
        <f t="array" ref="G16">Common_InputFunctions.Utility_DisplayArrayInTable(AgResidues_SourceData.CropAttributes_Data(),Table_SourceData_CropAttributes[[#Headers],[Crop type]], -1)</f>
        <v>0.88</v>
      </c>
      <c r="H16" cm="1">
        <f t="array" ref="H16">Common_InputFunctions.Utility_DisplayArrayInTable(AgResidues_SourceData.CropAttributes_Data(),Table_SourceData_CropAttributes[[#Headers],[Crop type]], -1)</f>
        <v>0.4</v>
      </c>
      <c r="I16" cm="1">
        <f t="array" ref="I16">Common_InputFunctions.Utility_DisplayArrayInTable(AgResidues_SourceData.CropAttributes_Data(),Table_SourceData_CropAttributes[[#Headers],[Crop type]], -1)</f>
        <v>6.0000000000000001E-3</v>
      </c>
      <c r="J16" cm="1">
        <f t="array" ref="J16">Common_InputFunctions.Utility_DisplayArrayInTable(AgResidues_SourceData.CropAttributes_Data(),Table_SourceData_CropAttributes[[#Headers],[Crop type]], -1)</f>
        <v>0.01</v>
      </c>
      <c r="K16" cm="1">
        <f t="array" ref="K16">Common_InputFunctions.Utility_DisplayArrayInTable(AgResidues_SourceData.CropAttributes_Data(),Table_SourceData_CropAttributes[[#Headers],[Crop type]], -1)</f>
        <v>0.5</v>
      </c>
      <c r="L16" cm="1">
        <f t="array" ref="L16">Common_InputFunctions.Utility_DisplayArrayInTable(AgResidues_SourceData.CropAttributes_Data(),Table_SourceData_CropAttributes[[#Headers],[Crop type]], -1)</f>
        <v>0.85</v>
      </c>
    </row>
    <row r="17" spans="1:13" ht="20.100000000000001" customHeight="1" x14ac:dyDescent="0.25">
      <c r="A17" s="17" t="str">
        <f>HYPERLINK("#'5.5.1.1-2 Leaching and runoff'!A1", "5.5.1.1-2 Leaching and runoff")</f>
        <v>5.5.1.1-2 Leaching and runoff</v>
      </c>
      <c r="D17" t="str" cm="1">
        <f t="array" ref="D17">Common_InputFunctions.Utility_DisplayArrayInTable(AgResidues_SourceData.CropAttributes_Data(),Table_SourceData_CropAttributes[[#Headers],[Crop type]], -1)</f>
        <v>Other cereals</v>
      </c>
      <c r="E17" cm="1">
        <f t="array" ref="E17">Common_InputFunctions.Utility_DisplayArrayInTable(AgResidues_SourceData.CropAttributes_Data(),Table_SourceData_CropAttributes[[#Headers],[Crop type]], -1)</f>
        <v>1.46</v>
      </c>
      <c r="F17" cm="1">
        <f t="array" ref="F17">Common_InputFunctions.Utility_DisplayArrayInTable(AgResidues_SourceData.CropAttributes_Data(),Table_SourceData_CropAttributes[[#Headers],[Crop type]], -1)</f>
        <v>0.36</v>
      </c>
      <c r="G17" cm="1">
        <f t="array" ref="G17">Common_InputFunctions.Utility_DisplayArrayInTable(AgResidues_SourceData.CropAttributes_Data(),Table_SourceData_CropAttributes[[#Headers],[Crop type]], -1)</f>
        <v>0.88</v>
      </c>
      <c r="H17" cm="1">
        <f t="array" ref="H17">Common_InputFunctions.Utility_DisplayArrayInTable(AgResidues_SourceData.CropAttributes_Data(),Table_SourceData_CropAttributes[[#Headers],[Crop type]], -1)</f>
        <v>0.4</v>
      </c>
      <c r="I17" cm="1">
        <f t="array" ref="I17">Common_InputFunctions.Utility_DisplayArrayInTable(AgResidues_SourceData.CropAttributes_Data(),Table_SourceData_CropAttributes[[#Headers],[Crop type]], -1)</f>
        <v>6.0000000000000001E-3</v>
      </c>
      <c r="J17" cm="1">
        <f t="array" ref="J17">Common_InputFunctions.Utility_DisplayArrayInTable(AgResidues_SourceData.CropAttributes_Data(),Table_SourceData_CropAttributes[[#Headers],[Crop type]], -1)</f>
        <v>0.01</v>
      </c>
      <c r="K17" cm="1">
        <f t="array" ref="K17">Common_InputFunctions.Utility_DisplayArrayInTable(AgResidues_SourceData.CropAttributes_Data(),Table_SourceData_CropAttributes[[#Headers],[Crop type]], -1)</f>
        <v>0.5</v>
      </c>
      <c r="L17" cm="1">
        <f t="array" ref="L17">Common_InputFunctions.Utility_DisplayArrayInTable(AgResidues_SourceData.CropAttributes_Data(),Table_SourceData_CropAttributes[[#Headers],[Crop type]], -1)</f>
        <v>0.85</v>
      </c>
    </row>
    <row r="18" spans="1:13" ht="20.100000000000001" customHeight="1" x14ac:dyDescent="0.25">
      <c r="D18" t="str" cm="1">
        <f t="array" ref="D18">Common_InputFunctions.Utility_DisplayArrayInTable(AgResidues_SourceData.CropAttributes_Data(),Table_SourceData_CropAttributes[[#Headers],[Crop type]], -1)</f>
        <v>Pulses</v>
      </c>
      <c r="E18" cm="1">
        <f t="array" ref="E18">Common_InputFunctions.Utility_DisplayArrayInTable(AgResidues_SourceData.CropAttributes_Data(),Table_SourceData_CropAttributes[[#Headers],[Crop type]], -1)</f>
        <v>1.37</v>
      </c>
      <c r="F18" cm="1">
        <f t="array" ref="F18">Common_InputFunctions.Utility_DisplayArrayInTable(AgResidues_SourceData.CropAttributes_Data(),Table_SourceData_CropAttributes[[#Headers],[Crop type]], -1)</f>
        <v>0.51</v>
      </c>
      <c r="G18" cm="1">
        <f t="array" ref="G18">Common_InputFunctions.Utility_DisplayArrayInTable(AgResidues_SourceData.CropAttributes_Data(),Table_SourceData_CropAttributes[[#Headers],[Crop type]], -1)</f>
        <v>0.87</v>
      </c>
      <c r="H18" cm="1">
        <f t="array" ref="H18">Common_InputFunctions.Utility_DisplayArrayInTable(AgResidues_SourceData.CropAttributes_Data(),Table_SourceData_CropAttributes[[#Headers],[Crop type]], -1)</f>
        <v>0.4</v>
      </c>
      <c r="I18" cm="1">
        <f t="array" ref="I18">Common_InputFunctions.Utility_DisplayArrayInTable(AgResidues_SourceData.CropAttributes_Data(),Table_SourceData_CropAttributes[[#Headers],[Crop type]], -1)</f>
        <v>8.9999999999999993E-3</v>
      </c>
      <c r="J18" cm="1">
        <f t="array" ref="J18">Common_InputFunctions.Utility_DisplayArrayInTable(AgResidues_SourceData.CropAttributes_Data(),Table_SourceData_CropAttributes[[#Headers],[Crop type]], -1)</f>
        <v>0.01</v>
      </c>
      <c r="K18" cm="1">
        <f t="array" ref="K18">Common_InputFunctions.Utility_DisplayArrayInTable(AgResidues_SourceData.CropAttributes_Data(),Table_SourceData_CropAttributes[[#Headers],[Crop type]], -1)</f>
        <v>0.5</v>
      </c>
      <c r="L18" cm="1">
        <f t="array" ref="L18">Common_InputFunctions.Utility_DisplayArrayInTable(AgResidues_SourceData.CropAttributes_Data(),Table_SourceData_CropAttributes[[#Headers],[Crop type]], -1)</f>
        <v>0.85</v>
      </c>
    </row>
    <row r="19" spans="1:13" ht="20.100000000000001" customHeight="1" x14ac:dyDescent="0.25">
      <c r="A19" s="18" t="s">
        <v>2</v>
      </c>
      <c r="D19" t="str" cm="1">
        <f t="array" ref="D19">Common_InputFunctions.Utility_DisplayArrayInTable(AgResidues_SourceData.CropAttributes_Data(),Table_SourceData_CropAttributes[[#Headers],[Crop type]], -1)</f>
        <v>Tubers and roots</v>
      </c>
      <c r="E19" cm="1">
        <f t="array" ref="E19">Common_InputFunctions.Utility_DisplayArrayInTable(AgResidues_SourceData.CropAttributes_Data(),Table_SourceData_CropAttributes[[#Headers],[Crop type]], -1)</f>
        <v>0.34</v>
      </c>
      <c r="F19" cm="1">
        <f t="array" ref="F19">Common_InputFunctions.Utility_DisplayArrayInTable(AgResidues_SourceData.CropAttributes_Data(),Table_SourceData_CropAttributes[[#Headers],[Crop type]], -1)</f>
        <v>0.43</v>
      </c>
      <c r="G19" cm="1">
        <f t="array" ref="G19">Common_InputFunctions.Utility_DisplayArrayInTable(AgResidues_SourceData.CropAttributes_Data(),Table_SourceData_CropAttributes[[#Headers],[Crop type]], -1)</f>
        <v>0.25</v>
      </c>
      <c r="H19" cm="1">
        <f t="array" ref="H19">Common_InputFunctions.Utility_DisplayArrayInTable(AgResidues_SourceData.CropAttributes_Data(),Table_SourceData_CropAttributes[[#Headers],[Crop type]], -1)</f>
        <v>0.4</v>
      </c>
      <c r="I19" cm="1">
        <f t="array" ref="I19">Common_InputFunctions.Utility_DisplayArrayInTable(AgResidues_SourceData.CropAttributes_Data(),Table_SourceData_CropAttributes[[#Headers],[Crop type]], -1)</f>
        <v>0.02</v>
      </c>
      <c r="J19" cm="1">
        <f t="array" ref="J19">Common_InputFunctions.Utility_DisplayArrayInTable(AgResidues_SourceData.CropAttributes_Data(),Table_SourceData_CropAttributes[[#Headers],[Crop type]], -1)</f>
        <v>0.01</v>
      </c>
      <c r="K19" t="str" cm="1">
        <f t="array" ref="K19">Common_InputFunctions.Utility_DisplayArrayInTable(AgResidues_SourceData.CropAttributes_Data(),Table_SourceData_CropAttributes[[#Headers],[Crop type]], -1)</f>
        <v>n/a</v>
      </c>
      <c r="L19" cm="1">
        <f t="array" ref="L19">Common_InputFunctions.Utility_DisplayArrayInTable(AgResidues_SourceData.CropAttributes_Data(),Table_SourceData_CropAttributes[[#Headers],[Crop type]], -1)</f>
        <v>0.85</v>
      </c>
    </row>
    <row r="20" spans="1:13" ht="20.100000000000001" customHeight="1" x14ac:dyDescent="0.25">
      <c r="A20" s="143" t="str">
        <f>HYPERLINK("#'Constants - Fertiliser'!A1", "Constants - Fertiliser")</f>
        <v>Constants - Fertiliser</v>
      </c>
      <c r="D20" t="str" cm="1">
        <f t="array" ref="D20">Common_InputFunctions.Utility_DisplayArrayInTable(AgResidues_SourceData.CropAttributes_Data(),Table_SourceData_CropAttributes[[#Headers],[Crop type]], -1)</f>
        <v>Peanuts</v>
      </c>
      <c r="E20" cm="1">
        <f t="array" ref="E20">Common_InputFunctions.Utility_DisplayArrayInTable(AgResidues_SourceData.CropAttributes_Data(),Table_SourceData_CropAttributes[[#Headers],[Crop type]], -1)</f>
        <v>1.07</v>
      </c>
      <c r="F20" cm="1">
        <f t="array" ref="F20">Common_InputFunctions.Utility_DisplayArrayInTable(AgResidues_SourceData.CropAttributes_Data(),Table_SourceData_CropAttributes[[#Headers],[Crop type]], -1)</f>
        <v>0.2</v>
      </c>
      <c r="G20" cm="1">
        <f t="array" ref="G20">Common_InputFunctions.Utility_DisplayArrayInTable(AgResidues_SourceData.CropAttributes_Data(),Table_SourceData_CropAttributes[[#Headers],[Crop type]], -1)</f>
        <v>0.8</v>
      </c>
      <c r="H20" cm="1">
        <f t="array" ref="H20">Common_InputFunctions.Utility_DisplayArrayInTable(AgResidues_SourceData.CropAttributes_Data(),Table_SourceData_CropAttributes[[#Headers],[Crop type]], -1)</f>
        <v>0.42</v>
      </c>
      <c r="I20" cm="1">
        <f t="array" ref="I20">Common_InputFunctions.Utility_DisplayArrayInTable(AgResidues_SourceData.CropAttributes_Data(),Table_SourceData_CropAttributes[[#Headers],[Crop type]], -1)</f>
        <v>1.6E-2</v>
      </c>
      <c r="J20" cm="1">
        <f t="array" ref="J20">Common_InputFunctions.Utility_DisplayArrayInTable(AgResidues_SourceData.CropAttributes_Data(),Table_SourceData_CropAttributes[[#Headers],[Crop type]], -1)</f>
        <v>1.4E-2</v>
      </c>
      <c r="K20" cm="1">
        <f t="array" ref="K20">Common_InputFunctions.Utility_DisplayArrayInTable(AgResidues_SourceData.CropAttributes_Data(),Table_SourceData_CropAttributes[[#Headers],[Crop type]], -1)</f>
        <v>0.5</v>
      </c>
      <c r="L20" cm="1">
        <f t="array" ref="L20">Common_InputFunctions.Utility_DisplayArrayInTable(AgResidues_SourceData.CropAttributes_Data(),Table_SourceData_CropAttributes[[#Headers],[Crop type]], -1)</f>
        <v>0.85</v>
      </c>
    </row>
    <row r="21" spans="1:13" ht="20.100000000000001" customHeight="1" x14ac:dyDescent="0.25">
      <c r="A21" s="17" t="str">
        <f>HYPERLINK("#'Constants - Common'!A1", "Constants - Common")</f>
        <v>Constants - Common</v>
      </c>
      <c r="D21" t="str" cm="1">
        <f t="array" ref="D21">Common_InputFunctions.Utility_DisplayArrayInTable(AgResidues_SourceData.CropAttributes_Data(),Table_SourceData_CropAttributes[[#Headers],[Crop type]], -1)</f>
        <v>Sugar cane</v>
      </c>
      <c r="E21" cm="1">
        <f t="array" ref="E21">Common_InputFunctions.Utility_DisplayArrayInTable(AgResidues_SourceData.CropAttributes_Data(),Table_SourceData_CropAttributes[[#Headers],[Crop type]], -1)</f>
        <v>0.25</v>
      </c>
      <c r="F21" cm="1">
        <f t="array" ref="F21">Common_InputFunctions.Utility_DisplayArrayInTable(AgResidues_SourceData.CropAttributes_Data(),Table_SourceData_CropAttributes[[#Headers],[Crop type]], -1)</f>
        <v>0.45</v>
      </c>
      <c r="G21" cm="1">
        <f t="array" ref="G21">Common_InputFunctions.Utility_DisplayArrayInTable(AgResidues_SourceData.CropAttributes_Data(),Table_SourceData_CropAttributes[[#Headers],[Crop type]], -1)</f>
        <v>0.2</v>
      </c>
      <c r="H21" cm="1">
        <f t="array" ref="H21">Common_InputFunctions.Utility_DisplayArrayInTable(AgResidues_SourceData.CropAttributes_Data(),Table_SourceData_CropAttributes[[#Headers],[Crop type]], -1)</f>
        <v>0.4</v>
      </c>
      <c r="I21" cm="1">
        <f t="array" ref="I21">Common_InputFunctions.Utility_DisplayArrayInTable(AgResidues_SourceData.CropAttributes_Data(),Table_SourceData_CropAttributes[[#Headers],[Crop type]], -1)</f>
        <v>5.0000000000000001E-3</v>
      </c>
      <c r="J21" cm="1">
        <f t="array" ref="J21">Common_InputFunctions.Utility_DisplayArrayInTable(AgResidues_SourceData.CropAttributes_Data(),Table_SourceData_CropAttributes[[#Headers],[Crop type]], -1)</f>
        <v>7.0000000000000001E-3</v>
      </c>
      <c r="K21" cm="1">
        <f t="array" ref="K21">Common_InputFunctions.Utility_DisplayArrayInTable(AgResidues_SourceData.CropAttributes_Data(),Table_SourceData_CropAttributes[[#Headers],[Crop type]], -1)</f>
        <v>1</v>
      </c>
      <c r="L21" cm="1">
        <f t="array" ref="L21">Common_InputFunctions.Utility_DisplayArrayInTable(AgResidues_SourceData.CropAttributes_Data(),Table_SourceData_CropAttributes[[#Headers],[Crop type]], -1)</f>
        <v>0.8</v>
      </c>
    </row>
    <row r="22" spans="1:13" ht="20.100000000000001" customHeight="1" x14ac:dyDescent="0.25">
      <c r="D22" t="str" cm="1">
        <f t="array" ref="D22">Common_InputFunctions.Utility_DisplayArrayInTable(AgResidues_SourceData.CropAttributes_Data(),Table_SourceData_CropAttributes[[#Headers],[Crop type]], -1)</f>
        <v>Cotton</v>
      </c>
      <c r="E22" cm="1">
        <f t="array" ref="E22">Common_InputFunctions.Utility_DisplayArrayInTable(AgResidues_SourceData.CropAttributes_Data(),Table_SourceData_CropAttributes[[#Headers],[Crop type]], -1)</f>
        <v>1.9</v>
      </c>
      <c r="F22" cm="1">
        <f t="array" ref="F22">Common_InputFunctions.Utility_DisplayArrayInTable(AgResidues_SourceData.CropAttributes_Data(),Table_SourceData_CropAttributes[[#Headers],[Crop type]], -1)</f>
        <v>0.3</v>
      </c>
      <c r="G22" cm="1">
        <f t="array" ref="G22">Common_InputFunctions.Utility_DisplayArrayInTable(AgResidues_SourceData.CropAttributes_Data(),Table_SourceData_CropAttributes[[#Headers],[Crop type]], -1)</f>
        <v>0.9</v>
      </c>
      <c r="H22" cm="1">
        <f t="array" ref="H22">Common_InputFunctions.Utility_DisplayArrayInTable(AgResidues_SourceData.CropAttributes_Data(),Table_SourceData_CropAttributes[[#Headers],[Crop type]], -1)</f>
        <v>0.4</v>
      </c>
      <c r="I22" cm="1">
        <f t="array" ref="I22">Common_InputFunctions.Utility_DisplayArrayInTable(AgResidues_SourceData.CropAttributes_Data(),Table_SourceData_CropAttributes[[#Headers],[Crop type]], -1)</f>
        <v>0.01</v>
      </c>
      <c r="J22" cm="1">
        <f t="array" ref="J22">Common_InputFunctions.Utility_DisplayArrayInTable(AgResidues_SourceData.CropAttributes_Data(),Table_SourceData_CropAttributes[[#Headers],[Crop type]], -1)</f>
        <v>0.01</v>
      </c>
      <c r="K22" t="str" cm="1">
        <f t="array" ref="K22">Common_InputFunctions.Utility_DisplayArrayInTable(AgResidues_SourceData.CropAttributes_Data(),Table_SourceData_CropAttributes[[#Headers],[Crop type]], -1)</f>
        <v>n/a</v>
      </c>
      <c r="L22" cm="1">
        <f t="array" ref="L22">Common_InputFunctions.Utility_DisplayArrayInTable(AgResidues_SourceData.CropAttributes_Data(),Table_SourceData_CropAttributes[[#Headers],[Crop type]], -1)</f>
        <v>0.85</v>
      </c>
    </row>
    <row r="23" spans="1:13" ht="20.100000000000001" customHeight="1" x14ac:dyDescent="0.25">
      <c r="A23" s="17"/>
      <c r="D23" t="str" cm="1">
        <f t="array" ref="D23">Common_InputFunctions.Utility_DisplayArrayInTable(AgResidues_SourceData.CropAttributes_Data(),Table_SourceData_CropAttributes[[#Headers],[Crop type]], -1)</f>
        <v>Hops</v>
      </c>
      <c r="E23" cm="1">
        <f t="array" ref="E23">Common_InputFunctions.Utility_DisplayArrayInTable(AgResidues_SourceData.CropAttributes_Data(),Table_SourceData_CropAttributes[[#Headers],[Crop type]], -1)</f>
        <v>1.5</v>
      </c>
      <c r="F23" cm="1">
        <f t="array" ref="F23">Common_InputFunctions.Utility_DisplayArrayInTable(AgResidues_SourceData.CropAttributes_Data(),Table_SourceData_CropAttributes[[#Headers],[Crop type]], -1)</f>
        <v>0.28999999999999998</v>
      </c>
      <c r="G23" cm="1">
        <f t="array" ref="G23">Common_InputFunctions.Utility_DisplayArrayInTable(AgResidues_SourceData.CropAttributes_Data(),Table_SourceData_CropAttributes[[#Headers],[Crop type]], -1)</f>
        <v>0.88</v>
      </c>
      <c r="H23" cm="1">
        <f t="array" ref="H23">Common_InputFunctions.Utility_DisplayArrayInTable(AgResidues_SourceData.CropAttributes_Data(),Table_SourceData_CropAttributes[[#Headers],[Crop type]], -1)</f>
        <v>0.4</v>
      </c>
      <c r="I23" cm="1">
        <f t="array" ref="I23">Common_InputFunctions.Utility_DisplayArrayInTable(AgResidues_SourceData.CropAttributes_Data(),Table_SourceData_CropAttributes[[#Headers],[Crop type]], -1)</f>
        <v>6.0000000000000001E-3</v>
      </c>
      <c r="J23" t="str" cm="1">
        <f t="array" ref="J23">Common_InputFunctions.Utility_DisplayArrayInTable(AgResidues_SourceData.CropAttributes_Data(),Table_SourceData_CropAttributes[[#Headers],[Crop type]], -1)</f>
        <v>n/a</v>
      </c>
      <c r="K23" t="str" cm="1">
        <f t="array" ref="K23">Common_InputFunctions.Utility_DisplayArrayInTable(AgResidues_SourceData.CropAttributes_Data(),Table_SourceData_CropAttributes[[#Headers],[Crop type]], -1)</f>
        <v>n/a</v>
      </c>
      <c r="L23" cm="1">
        <f t="array" ref="L23">Common_InputFunctions.Utility_DisplayArrayInTable(AgResidues_SourceData.CropAttributes_Data(),Table_SourceData_CropAttributes[[#Headers],[Crop type]], -1)</f>
        <v>0.85</v>
      </c>
    </row>
    <row r="24" spans="1:13" ht="20.100000000000001" customHeight="1" x14ac:dyDescent="0.25">
      <c r="D24" t="str" cm="1">
        <f t="array" ref="D24">Common_InputFunctions.Utility_DisplayArrayInTable(AgResidues_SourceData.CropAttributes_Data(),Table_SourceData_CropAttributes[[#Headers],[Crop type]], -1)</f>
        <v>Oilseeds</v>
      </c>
      <c r="E24" cm="1">
        <f t="array" ref="E24">Common_InputFunctions.Utility_DisplayArrayInTable(AgResidues_SourceData.CropAttributes_Data(),Table_SourceData_CropAttributes[[#Headers],[Crop type]], -1)</f>
        <v>2.08</v>
      </c>
      <c r="F24" cm="1">
        <f t="array" ref="F24">Common_InputFunctions.Utility_DisplayArrayInTable(AgResidues_SourceData.CropAttributes_Data(),Table_SourceData_CropAttributes[[#Headers],[Crop type]], -1)</f>
        <v>0.33</v>
      </c>
      <c r="G24" cm="1">
        <f t="array" ref="G24">Common_InputFunctions.Utility_DisplayArrayInTable(AgResidues_SourceData.CropAttributes_Data(),Table_SourceData_CropAttributes[[#Headers],[Crop type]], -1)</f>
        <v>0.96</v>
      </c>
      <c r="H24" cm="1">
        <f t="array" ref="H24">Common_InputFunctions.Utility_DisplayArrayInTable(AgResidues_SourceData.CropAttributes_Data(),Table_SourceData_CropAttributes[[#Headers],[Crop type]], -1)</f>
        <v>0.4</v>
      </c>
      <c r="I24" cm="1">
        <f t="array" ref="I24">Common_InputFunctions.Utility_DisplayArrayInTable(AgResidues_SourceData.CropAttributes_Data(),Table_SourceData_CropAttributes[[#Headers],[Crop type]], -1)</f>
        <v>8.9999999999999993E-3</v>
      </c>
      <c r="J24" cm="1">
        <f t="array" ref="J24">Common_InputFunctions.Utility_DisplayArrayInTable(AgResidues_SourceData.CropAttributes_Data(),Table_SourceData_CropAttributes[[#Headers],[Crop type]], -1)</f>
        <v>0.01</v>
      </c>
      <c r="K24" cm="1">
        <f t="array" ref="K24">Common_InputFunctions.Utility_DisplayArrayInTable(AgResidues_SourceData.CropAttributes_Data(),Table_SourceData_CropAttributes[[#Headers],[Crop type]], -1)</f>
        <v>0.5</v>
      </c>
      <c r="L24" cm="1">
        <f t="array" ref="L24">Common_InputFunctions.Utility_DisplayArrayInTable(AgResidues_SourceData.CropAttributes_Data(),Table_SourceData_CropAttributes[[#Headers],[Crop type]], -1)</f>
        <v>0.85</v>
      </c>
    </row>
    <row r="25" spans="1:13" ht="20.100000000000001" customHeight="1" x14ac:dyDescent="0.25">
      <c r="D25" t="str" cm="1">
        <f t="array" ref="D25">Common_InputFunctions.Utility_DisplayArrayInTable(AgResidues_SourceData.CropAttributes_Data(),Table_SourceData_CropAttributes[[#Headers],[Crop type]], -1)</f>
        <v>Forage crops</v>
      </c>
      <c r="E25" cm="1">
        <f t="array" ref="E25">Common_InputFunctions.Utility_DisplayArrayInTable(AgResidues_SourceData.CropAttributes_Data(),Table_SourceData_CropAttributes[[#Headers],[Crop type]], -1)</f>
        <v>1.34</v>
      </c>
      <c r="F25" cm="1">
        <f t="array" ref="F25">Common_InputFunctions.Utility_DisplayArrayInTable(AgResidues_SourceData.CropAttributes_Data(),Table_SourceData_CropAttributes[[#Headers],[Crop type]], -1)</f>
        <v>0.37</v>
      </c>
      <c r="G25" cm="1">
        <f t="array" ref="G25">Common_InputFunctions.Utility_DisplayArrayInTable(AgResidues_SourceData.CropAttributes_Data(),Table_SourceData_CropAttributes[[#Headers],[Crop type]], -1)</f>
        <v>0.88</v>
      </c>
      <c r="H25" cm="1">
        <f t="array" ref="H25">Common_InputFunctions.Utility_DisplayArrayInTable(AgResidues_SourceData.CropAttributes_Data(),Table_SourceData_CropAttributes[[#Headers],[Crop type]], -1)</f>
        <v>0.4</v>
      </c>
      <c r="I25" cm="1">
        <f t="array" ref="I25">Common_InputFunctions.Utility_DisplayArrayInTable(AgResidues_SourceData.CropAttributes_Data(),Table_SourceData_CropAttributes[[#Headers],[Crop type]], -1)</f>
        <v>6.0000000000000001E-3</v>
      </c>
      <c r="J25" cm="1">
        <f t="array" ref="J25">Common_InputFunctions.Utility_DisplayArrayInTable(AgResidues_SourceData.CropAttributes_Data(),Table_SourceData_CropAttributes[[#Headers],[Crop type]], -1)</f>
        <v>0.01</v>
      </c>
      <c r="K25" t="str" cm="1">
        <f t="array" ref="K25">Common_InputFunctions.Utility_DisplayArrayInTable(AgResidues_SourceData.CropAttributes_Data(),Table_SourceData_CropAttributes[[#Headers],[Crop type]], -1)</f>
        <v>n/a</v>
      </c>
      <c r="L25" cm="1">
        <f t="array" ref="L25">Common_InputFunctions.Utility_DisplayArrayInTable(AgResidues_SourceData.CropAttributes_Data(),Table_SourceData_CropAttributes[[#Headers],[Crop type]], -1)</f>
        <v>0.85</v>
      </c>
    </row>
    <row r="26" spans="1:13" ht="20.100000000000001" customHeight="1" x14ac:dyDescent="0.25">
      <c r="D26" t="str" cm="1">
        <f t="array" ref="D26">Common_InputFunctions.Utility_DisplayArrayInTable(AgResidues_SourceData.CropAttributes_Data(),Table_SourceData_CropAttributes[[#Headers],[Crop type]], -1)</f>
        <v>Other annual crops</v>
      </c>
      <c r="E26" cm="1">
        <f t="array" ref="E26">Common_InputFunctions.Utility_DisplayArrayInTable(AgResidues_SourceData.CropAttributes_Data(),Table_SourceData_CropAttributes[[#Headers],[Crop type]], -1)</f>
        <v>1</v>
      </c>
      <c r="F26" cm="1">
        <f t="array" ref="F26">Common_InputFunctions.Utility_DisplayArrayInTable(AgResidues_SourceData.CropAttributes_Data(),Table_SourceData_CropAttributes[[#Headers],[Crop type]], -1)</f>
        <v>0.22</v>
      </c>
      <c r="G26" cm="1">
        <f t="array" ref="G26">Common_InputFunctions.Utility_DisplayArrayInTable(AgResidues_SourceData.CropAttributes_Data(),Table_SourceData_CropAttributes[[#Headers],[Crop type]], -1)</f>
        <v>0.85</v>
      </c>
      <c r="H26" cm="1">
        <f t="array" ref="H26">Common_InputFunctions.Utility_DisplayArrayInTable(AgResidues_SourceData.CropAttributes_Data(),Table_SourceData_CropAttributes[[#Headers],[Crop type]], -1)</f>
        <v>0.4</v>
      </c>
      <c r="I26" cm="1">
        <f t="array" ref="I26">Common_InputFunctions.Utility_DisplayArrayInTable(AgResidues_SourceData.CropAttributes_Data(),Table_SourceData_CropAttributes[[#Headers],[Crop type]], -1)</f>
        <v>8.0000000000000002E-3</v>
      </c>
      <c r="J26" cm="1">
        <f t="array" ref="J26">Common_InputFunctions.Utility_DisplayArrayInTable(AgResidues_SourceData.CropAttributes_Data(),Table_SourceData_CropAttributes[[#Headers],[Crop type]], -1)</f>
        <v>8.9999999999999993E-3</v>
      </c>
      <c r="K26" t="str" cm="1">
        <f t="array" ref="K26">Common_InputFunctions.Utility_DisplayArrayInTable(AgResidues_SourceData.CropAttributes_Data(),Table_SourceData_CropAttributes[[#Headers],[Crop type]], -1)</f>
        <v>n/a</v>
      </c>
      <c r="L26" t="str" cm="1">
        <f t="array" ref="L26">Common_InputFunctions.Utility_DisplayArrayInTable(AgResidues_SourceData.CropAttributes_Data(),Table_SourceData_CropAttributes[[#Headers],[Crop type]], -1)</f>
        <v>n/a</v>
      </c>
    </row>
    <row r="27" spans="1:13" ht="20.100000000000001" customHeight="1" x14ac:dyDescent="0.25">
      <c r="D27" t="str" cm="1">
        <f t="array" ref="D27">Common_InputFunctions.Utility_DisplayArrayInTable(AgResidues_SourceData.CropAttributes_Data(),Table_SourceData_CropAttributes[[#Headers],[Crop type]], -1)</f>
        <v>Other perennial crops</v>
      </c>
      <c r="E27" cm="1">
        <f t="array" ref="E27">Common_InputFunctions.Utility_DisplayArrayInTable(AgResidues_SourceData.CropAttributes_Data(),Table_SourceData_CropAttributes[[#Headers],[Crop type]], -1)</f>
        <v>1.5</v>
      </c>
      <c r="F27" cm="1">
        <f t="array" ref="F27">Common_InputFunctions.Utility_DisplayArrayInTable(AgResidues_SourceData.CropAttributes_Data(),Table_SourceData_CropAttributes[[#Headers],[Crop type]], -1)</f>
        <v>0.28999999999999998</v>
      </c>
      <c r="G27" cm="1">
        <f t="array" ref="G27">Common_InputFunctions.Utility_DisplayArrayInTable(AgResidues_SourceData.CropAttributes_Data(),Table_SourceData_CropAttributes[[#Headers],[Crop type]], -1)</f>
        <v>0.88</v>
      </c>
      <c r="H27" cm="1">
        <f t="array" ref="H27">Common_InputFunctions.Utility_DisplayArrayInTable(AgResidues_SourceData.CropAttributes_Data(),Table_SourceData_CropAttributes[[#Headers],[Crop type]], -1)</f>
        <v>0.4</v>
      </c>
      <c r="I27" cm="1">
        <f t="array" ref="I27">Common_InputFunctions.Utility_DisplayArrayInTable(AgResidues_SourceData.CropAttributes_Data(),Table_SourceData_CropAttributes[[#Headers],[Crop type]], -1)</f>
        <v>6.0000000000000001E-3</v>
      </c>
      <c r="J27" t="str" cm="1">
        <f t="array" ref="J27">Common_InputFunctions.Utility_DisplayArrayInTable(AgResidues_SourceData.CropAttributes_Data(),Table_SourceData_CropAttributes[[#Headers],[Crop type]], -1)</f>
        <v>n/a</v>
      </c>
      <c r="K27" t="str" cm="1">
        <f t="array" ref="K27">Common_InputFunctions.Utility_DisplayArrayInTable(AgResidues_SourceData.CropAttributes_Data(),Table_SourceData_CropAttributes[[#Headers],[Crop type]], -1)</f>
        <v>n/a</v>
      </c>
      <c r="L27" t="str" cm="1">
        <f t="array" ref="L27">Common_InputFunctions.Utility_DisplayArrayInTable(AgResidues_SourceData.CropAttributes_Data(),Table_SourceData_CropAttributes[[#Headers],[Crop type]], -1)</f>
        <v>n/a</v>
      </c>
    </row>
    <row r="28" spans="1:13" ht="20.100000000000001" customHeight="1" x14ac:dyDescent="0.25">
      <c r="D28" s="22"/>
      <c r="E28" s="22"/>
      <c r="F28" s="22"/>
      <c r="G28" s="22"/>
      <c r="H28" s="22"/>
      <c r="I28" s="22"/>
      <c r="J28" s="22"/>
      <c r="K28" s="22"/>
      <c r="L28" s="22"/>
    </row>
    <row r="29" spans="1:13" ht="20.100000000000001" customHeight="1" x14ac:dyDescent="0.25">
      <c r="D29" s="22"/>
      <c r="E29" s="22"/>
      <c r="F29" s="22"/>
      <c r="G29" s="22"/>
      <c r="H29" s="22"/>
      <c r="I29" s="22"/>
      <c r="J29" s="22"/>
      <c r="K29" s="22"/>
      <c r="L29" s="22"/>
    </row>
    <row r="30" spans="1:13" ht="20.100000000000001" customHeight="1" x14ac:dyDescent="0.25">
      <c r="D30" s="6" t="str" cm="1">
        <f t="array" ref="D30">Agresidue_SourceData.N2OEFOrganicFertiliser_Title()</f>
        <v>Emission factor for organic fertiliser and crop residues returned to the soil</v>
      </c>
      <c r="E30" s="3"/>
      <c r="F30" s="3"/>
      <c r="G30" s="22"/>
      <c r="H30" s="22"/>
      <c r="I30" s="22"/>
      <c r="J30" s="22"/>
      <c r="K30" s="22"/>
      <c r="L30" s="22"/>
    </row>
    <row r="31" spans="1:13" ht="20.100000000000001" customHeight="1" x14ac:dyDescent="0.25">
      <c r="D31" s="5" t="str" cm="1">
        <f t="array" ref="D31">Agresidue_SourceData.N2OEFOrganicFertiliser_Source()</f>
        <v>VEERG 2026: Table A.2.1.4</v>
      </c>
      <c r="E31" s="3"/>
      <c r="F31" s="3"/>
      <c r="G31" s="22"/>
      <c r="H31" s="22"/>
      <c r="I31" s="22"/>
      <c r="J31" s="22"/>
      <c r="K31" s="22"/>
      <c r="L31" s="22"/>
    </row>
    <row r="32" spans="1:13" ht="20.100000000000001" customHeight="1" x14ac:dyDescent="0.25">
      <c r="D32" s="5"/>
      <c r="E32" s="3"/>
      <c r="F32" s="3"/>
      <c r="H32" s="22"/>
      <c r="I32" s="22"/>
      <c r="M32" s="3"/>
    </row>
    <row r="33" spans="4:13" ht="20.100000000000001" customHeight="1" x14ac:dyDescent="0.25">
      <c r="D33" s="109" t="s">
        <v>247</v>
      </c>
      <c r="E33" s="109" t="s">
        <v>248</v>
      </c>
      <c r="F33" s="3"/>
      <c r="H33" s="22"/>
      <c r="I33" s="22"/>
      <c r="M33" s="3"/>
    </row>
    <row r="34" spans="4:13" ht="20.100000000000001" customHeight="1" x14ac:dyDescent="0.25">
      <c r="D34" s="36" t="str" cm="1">
        <f t="array" ref="D34">Common_InputFunctions.Utility_DisplayArrayInTable(Agresidue_SourceData.N2OEFOrganicFertiliser_Data(), Table_SourceData_N2OEFOrganicFert[[#Headers],[Climate zone type i]], 0)</f>
        <v>Wet climate zone</v>
      </c>
      <c r="E34" s="36" cm="1">
        <f t="array" ref="E34">Common_InputFunctions.Utility_DisplayArrayInTable(Agresidue_SourceData.N2OEFOrganicFertiliser_Data(), Table_SourceData_N2OEFOrganicFert[[#Headers],[Climate zone type i]], 0)</f>
        <v>6.0000000000000001E-3</v>
      </c>
      <c r="F34" s="3"/>
      <c r="H34" s="22"/>
      <c r="I34" s="22"/>
      <c r="M34" s="3"/>
    </row>
    <row r="35" spans="4:13" ht="20.100000000000001" customHeight="1" x14ac:dyDescent="0.25">
      <c r="D35" s="36" t="str" cm="1">
        <f t="array" ref="D35">Common_InputFunctions.Utility_DisplayArrayInTable(Agresidue_SourceData.N2OEFOrganicFertiliser_Data(), Table_SourceData_N2OEFOrganicFert[[#Headers],[Climate zone type i]], 0)</f>
        <v>Dry climate zone</v>
      </c>
      <c r="E35" s="36" cm="1">
        <f t="array" ref="E35">Common_InputFunctions.Utility_DisplayArrayInTable(Agresidue_SourceData.N2OEFOrganicFertiliser_Data(), Table_SourceData_N2OEFOrganicFert[[#Headers],[Climate zone type i]], 0)</f>
        <v>5.0000000000000001E-3</v>
      </c>
      <c r="F35" s="3"/>
      <c r="H35" s="22"/>
      <c r="I35" s="22"/>
      <c r="M35" s="3"/>
    </row>
    <row r="36" spans="4:13" ht="20.100000000000001" customHeight="1" x14ac:dyDescent="0.25">
      <c r="H36" s="22"/>
      <c r="I36" s="22"/>
      <c r="M36" s="3"/>
    </row>
    <row r="37" spans="4:13" ht="20.100000000000001" customHeight="1" x14ac:dyDescent="0.25">
      <c r="M37" s="3"/>
    </row>
    <row r="38" spans="4:13" ht="20.100000000000001" customHeight="1" x14ac:dyDescent="0.25">
      <c r="D38" s="6" t="str" cm="1">
        <f t="array" ref="D38">Agresidue_SourceData.PastureAttributes_Title()</f>
        <v>Table A.2.1.3 Pasture attributes</v>
      </c>
      <c r="K38" s="22"/>
      <c r="L38" s="22"/>
    </row>
    <row r="39" spans="4:13" ht="20.100000000000001" customHeight="1" x14ac:dyDescent="0.25">
      <c r="D39" s="5" t="str" cm="1">
        <f t="array" ref="D39">Agresidue_SourceData.PastureAttributes_Source()</f>
        <v>VEERG 2026: Table A.2.1.3: Pasture attributes</v>
      </c>
      <c r="K39" s="22"/>
      <c r="L39" s="22"/>
    </row>
    <row r="40" spans="4:13" ht="20.100000000000001" customHeight="1" x14ac:dyDescent="0.25">
      <c r="K40" s="22"/>
      <c r="L40" s="22"/>
    </row>
    <row r="41" spans="4:13" ht="20.100000000000001" customHeight="1" x14ac:dyDescent="0.25">
      <c r="D41" s="37" t="s">
        <v>250</v>
      </c>
      <c r="E41" s="37" t="s">
        <v>251</v>
      </c>
      <c r="F41" s="37" t="s">
        <v>252</v>
      </c>
      <c r="G41" s="37" t="s">
        <v>253</v>
      </c>
      <c r="H41" s="37" t="s">
        <v>254</v>
      </c>
      <c r="I41" s="37" t="s">
        <v>255</v>
      </c>
      <c r="K41" s="22"/>
      <c r="L41" s="22"/>
    </row>
    <row r="42" spans="4:13" ht="20.100000000000001" customHeight="1" x14ac:dyDescent="0.25">
      <c r="D42" s="37" t="str" cm="1">
        <f t="array" ref="D42">Common_InputFunctions.Utility_DisplayArrayInTable(Agresidue_SourceData.PastureAttributes_Data(), Table_SourceData_PastureAttributes[[#Headers],[Pasture type]], 0)</f>
        <v>Annual grass</v>
      </c>
      <c r="E42" s="37" cm="1">
        <f t="array" ref="E42">Common_InputFunctions.Utility_DisplayArrayInTable(Agresidue_SourceData.PastureAttributes_Data(), Table_SourceData_PastureAttributes[[#Headers],[Pasture type]], 0)</f>
        <v>4.41</v>
      </c>
      <c r="F42" s="37" cm="1">
        <f t="array" ref="F42">Common_InputFunctions.Utility_DisplayArrayInTable(Agresidue_SourceData.PastureAttributes_Data(), Table_SourceData_PastureAttributes[[#Headers],[Pasture type]], 0)</f>
        <v>0.4</v>
      </c>
      <c r="G42" s="37" cm="1">
        <f t="array" ref="G42">Common_InputFunctions.Utility_DisplayArrayInTable(Agresidue_SourceData.PastureAttributes_Data(), Table_SourceData_PastureAttributes[[#Headers],[Pasture type]], 0)</f>
        <v>1.4999999999999999E-2</v>
      </c>
      <c r="H42" s="37" cm="1">
        <f t="array" ref="H42">Common_InputFunctions.Utility_DisplayArrayInTable(Agresidue_SourceData.PastureAttributes_Data(), Table_SourceData_PastureAttributes[[#Headers],[Pasture type]], 0)</f>
        <v>1.2E-2</v>
      </c>
      <c r="I42" s="37" cm="1">
        <f t="array" ref="I42">Common_InputFunctions.Utility_DisplayArrayInTable(Agresidue_SourceData.PastureAttributes_Data(), Table_SourceData_PastureAttributes[[#Headers],[Pasture type]], 0)</f>
        <v>0.8</v>
      </c>
      <c r="L42" s="22"/>
    </row>
    <row r="43" spans="4:13" ht="20.100000000000001" customHeight="1" x14ac:dyDescent="0.25">
      <c r="D43" s="37" t="str" cm="1">
        <f t="array" ref="D43">Common_InputFunctions.Utility_DisplayArrayInTable(Agresidue_SourceData.PastureAttributes_Data(), Table_SourceData_PastureAttributes[[#Headers],[Pasture type]], 0)</f>
        <v>Grass clover mixture</v>
      </c>
      <c r="E43" s="37" cm="1">
        <f t="array" ref="E43">Common_InputFunctions.Utility_DisplayArrayInTable(Agresidue_SourceData.PastureAttributes_Data(), Table_SourceData_PastureAttributes[[#Headers],[Pasture type]], 0)</f>
        <v>8.34</v>
      </c>
      <c r="F43" s="37" cm="1">
        <f t="array" ref="F43">Common_InputFunctions.Utility_DisplayArrayInTable(Agresidue_SourceData.PastureAttributes_Data(), Table_SourceData_PastureAttributes[[#Headers],[Pasture type]], 0)</f>
        <v>0.8</v>
      </c>
      <c r="G43" s="37" cm="1">
        <f t="array" ref="G43">Common_InputFunctions.Utility_DisplayArrayInTable(Agresidue_SourceData.PastureAttributes_Data(), Table_SourceData_PastureAttributes[[#Headers],[Pasture type]], 0)</f>
        <v>2.5000000000000001E-2</v>
      </c>
      <c r="H43" s="37" cm="1">
        <f t="array" ref="H43">Common_InputFunctions.Utility_DisplayArrayInTable(Agresidue_SourceData.PastureAttributes_Data(), Table_SourceData_PastureAttributes[[#Headers],[Pasture type]], 0)</f>
        <v>1.6E-2</v>
      </c>
      <c r="I43" s="37" cm="1">
        <f t="array" ref="I43">Common_InputFunctions.Utility_DisplayArrayInTable(Agresidue_SourceData.PastureAttributes_Data(), Table_SourceData_PastureAttributes[[#Headers],[Pasture type]], 0)</f>
        <v>0.8</v>
      </c>
      <c r="L43" s="22"/>
    </row>
    <row r="44" spans="4:13" ht="20.100000000000001" customHeight="1" x14ac:dyDescent="0.25">
      <c r="D44" s="37" t="str" cm="1">
        <f t="array" ref="D44">Common_InputFunctions.Utility_DisplayArrayInTable(Agresidue_SourceData.PastureAttributes_Data(), Table_SourceData_PastureAttributes[[#Headers],[Pasture type]], 0)</f>
        <v>Lucerne</v>
      </c>
      <c r="E44" s="37" cm="1">
        <f t="array" ref="E44">Common_InputFunctions.Utility_DisplayArrayInTable(Agresidue_SourceData.PastureAttributes_Data(), Table_SourceData_PastureAttributes[[#Headers],[Pasture type]], 0)</f>
        <v>8.6199999999999992</v>
      </c>
      <c r="F44" s="37" cm="1">
        <f t="array" ref="F44">Common_InputFunctions.Utility_DisplayArrayInTable(Agresidue_SourceData.PastureAttributes_Data(), Table_SourceData_PastureAttributes[[#Headers],[Pasture type]], 0)</f>
        <v>0.4</v>
      </c>
      <c r="G44" s="37" cm="1">
        <f t="array" ref="G44">Common_InputFunctions.Utility_DisplayArrayInTable(Agresidue_SourceData.PastureAttributes_Data(), Table_SourceData_PastureAttributes[[#Headers],[Pasture type]], 0)</f>
        <v>2.7E-2</v>
      </c>
      <c r="H44" s="37" cm="1">
        <f t="array" ref="H44">Common_InputFunctions.Utility_DisplayArrayInTable(Agresidue_SourceData.PastureAttributes_Data(), Table_SourceData_PastureAttributes[[#Headers],[Pasture type]], 0)</f>
        <v>1.9E-2</v>
      </c>
      <c r="I44" s="37" cm="1">
        <f t="array" ref="I44">Common_InputFunctions.Utility_DisplayArrayInTable(Agresidue_SourceData.PastureAttributes_Data(), Table_SourceData_PastureAttributes[[#Headers],[Pasture type]], 0)</f>
        <v>0.8</v>
      </c>
    </row>
    <row r="45" spans="4:13" ht="20.100000000000001" customHeight="1" x14ac:dyDescent="0.25">
      <c r="D45" s="37" t="str" cm="1">
        <f t="array" ref="D45">Common_InputFunctions.Utility_DisplayArrayInTable(Agresidue_SourceData.PastureAttributes_Data(), Table_SourceData_PastureAttributes[[#Headers],[Pasture type]], 0)</f>
        <v>Other legume</v>
      </c>
      <c r="E45" s="37" cm="1">
        <f t="array" ref="E45">Common_InputFunctions.Utility_DisplayArrayInTable(Agresidue_SourceData.PastureAttributes_Data(), Table_SourceData_PastureAttributes[[#Headers],[Pasture type]], 0)</f>
        <v>5.62</v>
      </c>
      <c r="F45" s="37" cm="1">
        <f t="array" ref="F45">Common_InputFunctions.Utility_DisplayArrayInTable(Agresidue_SourceData.PastureAttributes_Data(), Table_SourceData_PastureAttributes[[#Headers],[Pasture type]], 0)</f>
        <v>0.4</v>
      </c>
      <c r="G45" s="37" cm="1">
        <f t="array" ref="G45">Common_InputFunctions.Utility_DisplayArrayInTable(Agresidue_SourceData.PastureAttributes_Data(), Table_SourceData_PastureAttributes[[#Headers],[Pasture type]], 0)</f>
        <v>2.7E-2</v>
      </c>
      <c r="H45" s="37" cm="1">
        <f t="array" ref="H45">Common_InputFunctions.Utility_DisplayArrayInTable(Agresidue_SourceData.PastureAttributes_Data(), Table_SourceData_PastureAttributes[[#Headers],[Pasture type]], 0)</f>
        <v>2.1999999999999999E-2</v>
      </c>
      <c r="I45" s="37" cm="1">
        <f t="array" ref="I45">Common_InputFunctions.Utility_DisplayArrayInTable(Agresidue_SourceData.PastureAttributes_Data(), Table_SourceData_PastureAttributes[[#Headers],[Pasture type]], 0)</f>
        <v>0.8</v>
      </c>
    </row>
    <row r="46" spans="4:13" ht="20.100000000000001" customHeight="1" x14ac:dyDescent="0.25">
      <c r="D46" s="37" t="str" cm="1">
        <f t="array" ref="D46">Common_InputFunctions.Utility_DisplayArrayInTable(Agresidue_SourceData.PastureAttributes_Data(), Table_SourceData_PastureAttributes[[#Headers],[Pasture type]], 0)</f>
        <v>Perennial pasture</v>
      </c>
      <c r="E46" s="37" cm="1">
        <f t="array" ref="E46">Common_InputFunctions.Utility_DisplayArrayInTable(Agresidue_SourceData.PastureAttributes_Data(), Table_SourceData_PastureAttributes[[#Headers],[Pasture type]], 0)</f>
        <v>8.35</v>
      </c>
      <c r="F46" s="37" cm="1">
        <f t="array" ref="F46">Common_InputFunctions.Utility_DisplayArrayInTable(Agresidue_SourceData.PastureAttributes_Data(), Table_SourceData_PastureAttributes[[#Headers],[Pasture type]], 0)</f>
        <v>0.8</v>
      </c>
      <c r="G46" s="37" cm="1">
        <f t="array" ref="G46">Common_InputFunctions.Utility_DisplayArrayInTable(Agresidue_SourceData.PastureAttributes_Data(), Table_SourceData_PastureAttributes[[#Headers],[Pasture type]], 0)</f>
        <v>1.4999999999999999E-2</v>
      </c>
      <c r="H46" s="37" cm="1">
        <f t="array" ref="H46">Common_InputFunctions.Utility_DisplayArrayInTable(Agresidue_SourceData.PastureAttributes_Data(), Table_SourceData_PastureAttributes[[#Headers],[Pasture type]], 0)</f>
        <v>1.2E-2</v>
      </c>
      <c r="I46" s="37" cm="1">
        <f t="array" ref="I46">Common_InputFunctions.Utility_DisplayArrayInTable(Agresidue_SourceData.PastureAttributes_Data(), Table_SourceData_PastureAttributes[[#Headers],[Pasture type]], 0)</f>
        <v>0.8</v>
      </c>
    </row>
    <row r="47" spans="4:13" ht="20.100000000000001" customHeight="1" x14ac:dyDescent="0.25">
      <c r="H47" s="22"/>
    </row>
    <row r="48" spans="4:13" ht="20.100000000000001" customHeight="1" x14ac:dyDescent="0.25"/>
    <row r="49" spans="4:12" ht="20.100000000000001" customHeight="1" x14ac:dyDescent="0.25">
      <c r="D49" s="6" t="str" cm="1">
        <f t="array" ref="D49">AgResidues_SourceData.CropFractionRemoved_Title()</f>
        <v>Table A.2.1.2: Crop attributes - Fraction removed (FFODc)</v>
      </c>
      <c r="E49" s="22"/>
      <c r="F49" s="22"/>
      <c r="G49" s="22"/>
    </row>
    <row r="50" spans="4:12" ht="20.100000000000001" customHeight="1" x14ac:dyDescent="0.25">
      <c r="D50" s="5" t="str" cm="1">
        <f t="array" ref="D50">AgResidues_SourceData.CropFractionRemoved_Source()</f>
        <v>VEERG 2026: Table A.2.1.2: Crop attributes - Fraction removed (FFODc)</v>
      </c>
      <c r="E50" s="22"/>
      <c r="F50" s="22"/>
      <c r="G50" s="22"/>
      <c r="H50" s="22"/>
    </row>
    <row r="51" spans="4:12" ht="20.100000000000001" customHeight="1" x14ac:dyDescent="0.25">
      <c r="D51" s="22"/>
      <c r="E51" s="22"/>
      <c r="F51" s="22"/>
      <c r="G51" s="22"/>
      <c r="H51" s="22"/>
    </row>
    <row r="52" spans="4:12" ht="20.100000000000001" customHeight="1" x14ac:dyDescent="0.25">
      <c r="D52" t="s">
        <v>228</v>
      </c>
      <c r="E52" t="s">
        <v>6</v>
      </c>
      <c r="F52" t="s">
        <v>229</v>
      </c>
      <c r="G52" s="22"/>
      <c r="H52" s="22"/>
    </row>
    <row r="53" spans="4:12" ht="20.100000000000001" customHeight="1" x14ac:dyDescent="0.25">
      <c r="D53" t="str" cm="1">
        <f t="array" ref="D53">Common_InputFunctions.Utility_DisplayArrayInTable(AgResidues_SourceData.CropFractionRemoved_Data(), Table76[[#Headers],[Crop type c]], 0)</f>
        <v>Rice</v>
      </c>
      <c r="E53" t="str" cm="1">
        <f t="array" ref="E53">Common_InputFunctions.Utility_DisplayArrayInTable(AgResidues_SourceData.CropFractionRemoved_Data(), Table76[[#Headers],[Crop type c]], 0)</f>
        <v>All states</v>
      </c>
      <c r="F53" cm="1">
        <f t="array" ref="F53">Common_InputFunctions.Utility_DisplayArrayInTable(AgResidues_SourceData.CropFractionRemoved_Data(), Table76[[#Headers],[Crop type c]], 0)</f>
        <v>0.06</v>
      </c>
      <c r="G53" s="22"/>
      <c r="H53" s="22"/>
      <c r="I53" s="22"/>
      <c r="J53" s="22"/>
      <c r="K53" s="22"/>
      <c r="L53" s="22"/>
    </row>
    <row r="54" spans="4:12" ht="20.100000000000001" customHeight="1" x14ac:dyDescent="0.25">
      <c r="D54" s="22" t="str" cm="1">
        <f t="array" ref="D54">Common_InputFunctions.Utility_DisplayArrayInTable(AgResidues_SourceData.CropFractionRemoved_Data(), Table76[[#Headers],[Crop type c]], 0)</f>
        <v>Tubers and roots</v>
      </c>
      <c r="E54" t="str" cm="1">
        <f t="array" ref="E54">Common_InputFunctions.Utility_DisplayArrayInTable(AgResidues_SourceData.CropFractionRemoved_Data(), Table76[[#Headers],[Crop type c]], 0)</f>
        <v>All states</v>
      </c>
      <c r="F54" cm="1">
        <f t="array" ref="F54">Common_InputFunctions.Utility_DisplayArrayInTable(AgResidues_SourceData.CropFractionRemoved_Data(), Table76[[#Headers],[Crop type c]], 0)</f>
        <v>1</v>
      </c>
      <c r="G54" s="22"/>
      <c r="H54" s="22"/>
      <c r="I54" s="22"/>
      <c r="J54" s="22"/>
      <c r="K54" s="22"/>
      <c r="L54" s="22"/>
    </row>
    <row r="55" spans="4:12" ht="20.100000000000001" customHeight="1" x14ac:dyDescent="0.25">
      <c r="D55" s="22" t="str" cm="1">
        <f t="array" ref="D55">Common_InputFunctions.Utility_DisplayArrayInTable(AgResidues_SourceData.CropFractionRemoved_Data(), Table76[[#Headers],[Crop type c]], 0)</f>
        <v>Cotton</v>
      </c>
      <c r="E55" t="str" cm="1">
        <f t="array" ref="E55">Common_InputFunctions.Utility_DisplayArrayInTable(AgResidues_SourceData.CropFractionRemoved_Data(), Table76[[#Headers],[Crop type c]], 0)</f>
        <v>All states</v>
      </c>
      <c r="F55" cm="1">
        <f t="array" ref="F55">Common_InputFunctions.Utility_DisplayArrayInTable(AgResidues_SourceData.CropFractionRemoved_Data(), Table76[[#Headers],[Crop type c]], 0)</f>
        <v>0</v>
      </c>
      <c r="G55" s="22"/>
      <c r="H55" s="22"/>
      <c r="I55" s="22"/>
      <c r="J55" s="22"/>
      <c r="K55" s="22"/>
      <c r="L55" s="22"/>
    </row>
    <row r="56" spans="4:12" ht="20.100000000000001" customHeight="1" x14ac:dyDescent="0.25">
      <c r="D56" s="22" t="str" cm="1">
        <f t="array" ref="D56">Common_InputFunctions.Utility_DisplayArrayInTable(AgResidues_SourceData.CropFractionRemoved_Data(), Table76[[#Headers],[Crop type c]], 0)</f>
        <v>Hops</v>
      </c>
      <c r="E56" t="str" cm="1">
        <f t="array" ref="E56">Common_InputFunctions.Utility_DisplayArrayInTable(AgResidues_SourceData.CropFractionRemoved_Data(), Table76[[#Headers],[Crop type c]], 0)</f>
        <v>All states</v>
      </c>
      <c r="F56" cm="1">
        <f t="array" ref="F56">Common_InputFunctions.Utility_DisplayArrayInTable(AgResidues_SourceData.CropFractionRemoved_Data(), Table76[[#Headers],[Crop type c]], 0)</f>
        <v>0</v>
      </c>
      <c r="G56" s="22"/>
      <c r="H56" s="22"/>
      <c r="I56" s="22"/>
      <c r="J56" s="22"/>
      <c r="K56" s="22"/>
      <c r="L56" s="22"/>
    </row>
    <row r="57" spans="4:12" ht="20.100000000000001" customHeight="1" x14ac:dyDescent="0.25">
      <c r="D57" s="22" t="str" cm="1">
        <f t="array" ref="D57">Common_InputFunctions.Utility_DisplayArrayInTable(AgResidues_SourceData.CropFractionRemoved_Data(), Table76[[#Headers],[Crop type c]], 0)</f>
        <v>Forage crops</v>
      </c>
      <c r="E57" t="str" cm="1">
        <f t="array" ref="E57">Common_InputFunctions.Utility_DisplayArrayInTable(AgResidues_SourceData.CropFractionRemoved_Data(), Table76[[#Headers],[Crop type c]], 0)</f>
        <v>All states</v>
      </c>
      <c r="F57" cm="1">
        <f t="array" ref="F57">Common_InputFunctions.Utility_DisplayArrayInTable(AgResidues_SourceData.CropFractionRemoved_Data(), Table76[[#Headers],[Crop type c]], 0)</f>
        <v>0.8</v>
      </c>
      <c r="G57" s="22"/>
      <c r="H57" s="22"/>
      <c r="I57" s="22"/>
      <c r="J57" s="22"/>
      <c r="K57" s="22"/>
      <c r="L57" s="22"/>
    </row>
    <row r="58" spans="4:12" ht="20.100000000000001" customHeight="1" x14ac:dyDescent="0.25">
      <c r="D58" s="22" t="str" cm="1">
        <f t="array" ref="D58">Common_InputFunctions.Utility_DisplayArrayInTable(AgResidues_SourceData.CropFractionRemoved_Data(), Table76[[#Headers],[Crop type c]], 0)</f>
        <v>Sugar Cane</v>
      </c>
      <c r="E58" t="str" cm="1">
        <f t="array" ref="E58">Common_InputFunctions.Utility_DisplayArrayInTable(AgResidues_SourceData.CropFractionRemoved_Data(), Table76[[#Headers],[Crop type c]], 0)</f>
        <v>NSW</v>
      </c>
      <c r="F58" cm="1">
        <f t="array" ref="F58">Common_InputFunctions.Utility_DisplayArrayInTable(AgResidues_SourceData.CropFractionRemoved_Data(), Table76[[#Headers],[Crop type c]], 0)</f>
        <v>0</v>
      </c>
      <c r="G58" s="22"/>
      <c r="H58" s="22"/>
      <c r="I58" s="22"/>
      <c r="J58" s="22"/>
      <c r="K58" s="22"/>
      <c r="L58" s="22"/>
    </row>
    <row r="59" spans="4:12" ht="20.100000000000001" customHeight="1" x14ac:dyDescent="0.25">
      <c r="D59" s="22" t="str" cm="1">
        <f t="array" ref="D59">Common_InputFunctions.Utility_DisplayArrayInTable(AgResidues_SourceData.CropFractionRemoved_Data(), Table76[[#Headers],[Crop type c]], 0)</f>
        <v>Sugar Cane</v>
      </c>
      <c r="E59" t="str" cm="1">
        <f t="array" ref="E59">Common_InputFunctions.Utility_DisplayArrayInTable(AgResidues_SourceData.CropFractionRemoved_Data(), Table76[[#Headers],[Crop type c]], 0)</f>
        <v>QLD</v>
      </c>
      <c r="F59" cm="1">
        <f t="array" ref="F59">Common_InputFunctions.Utility_DisplayArrayInTable(AgResidues_SourceData.CropFractionRemoved_Data(), Table76[[#Headers],[Crop type c]], 0)</f>
        <v>0.03</v>
      </c>
      <c r="G59" s="22"/>
      <c r="H59" s="22"/>
      <c r="I59" s="22"/>
      <c r="J59" s="22"/>
      <c r="K59" s="22"/>
      <c r="L59" s="22"/>
    </row>
    <row r="60" spans="4:12" ht="20.100000000000001" customHeight="1" x14ac:dyDescent="0.25">
      <c r="D60" s="22" t="str" cm="1">
        <f t="array" ref="D60">Common_InputFunctions.Utility_DisplayArrayInTable(AgResidues_SourceData.CropFractionRemoved_Data(), Table76[[#Headers],[Crop type c]], 0)</f>
        <v>Sugar Cane</v>
      </c>
      <c r="E60" t="str" cm="1">
        <f t="array" ref="E60">Common_InputFunctions.Utility_DisplayArrayInTable(AgResidues_SourceData.CropFractionRemoved_Data(), Table76[[#Headers],[Crop type c]], 0)</f>
        <v>WA</v>
      </c>
      <c r="F60" cm="1">
        <f t="array" ref="F60">Common_InputFunctions.Utility_DisplayArrayInTable(AgResidues_SourceData.CropFractionRemoved_Data(), Table76[[#Headers],[Crop type c]], 0)</f>
        <v>0</v>
      </c>
      <c r="G60" s="22"/>
      <c r="H60" s="22"/>
      <c r="I60" s="22"/>
      <c r="J60" s="22"/>
      <c r="K60" s="22"/>
      <c r="L60" s="22"/>
    </row>
    <row r="61" spans="4:12" ht="20.100000000000001" customHeight="1" x14ac:dyDescent="0.25">
      <c r="D61" s="22" t="str" cm="1">
        <f t="array" ref="D61">Common_InputFunctions.Utility_DisplayArrayInTable(AgResidues_SourceData.CropFractionRemoved_Data(), Table76[[#Headers],[Crop type c]], 0)</f>
        <v>All other crop types</v>
      </c>
      <c r="E61" t="str" cm="1">
        <f t="array" ref="E61">Common_InputFunctions.Utility_DisplayArrayInTable(AgResidues_SourceData.CropFractionRemoved_Data(), Table76[[#Headers],[Crop type c]], 0)</f>
        <v>NSW</v>
      </c>
      <c r="F61" cm="1">
        <f t="array" ref="F61">Common_InputFunctions.Utility_DisplayArrayInTable(AgResidues_SourceData.CropFractionRemoved_Data(), Table76[[#Headers],[Crop type c]], 0)</f>
        <v>0.05</v>
      </c>
      <c r="G61" s="22"/>
      <c r="H61" s="22"/>
      <c r="I61" s="22"/>
      <c r="J61" s="22"/>
      <c r="K61" s="22"/>
      <c r="L61" s="22"/>
    </row>
    <row r="62" spans="4:12" ht="20.100000000000001" customHeight="1" x14ac:dyDescent="0.25">
      <c r="D62" s="22" t="str" cm="1">
        <f t="array" ref="D62">Common_InputFunctions.Utility_DisplayArrayInTable(AgResidues_SourceData.CropFractionRemoved_Data(), Table76[[#Headers],[Crop type c]], 0)</f>
        <v>All other crop types</v>
      </c>
      <c r="E62" t="str" cm="1">
        <f t="array" ref="E62">Common_InputFunctions.Utility_DisplayArrayInTable(AgResidues_SourceData.CropFractionRemoved_Data(), Table76[[#Headers],[Crop type c]], 0)</f>
        <v>VIC</v>
      </c>
      <c r="F62" cm="1">
        <f t="array" ref="F62">Common_InputFunctions.Utility_DisplayArrayInTable(AgResidues_SourceData.CropFractionRemoved_Data(), Table76[[#Headers],[Crop type c]], 0)</f>
        <v>7.0000000000000007E-2</v>
      </c>
      <c r="G62" s="22"/>
      <c r="H62" s="22"/>
      <c r="I62" s="22"/>
      <c r="J62" s="22"/>
      <c r="K62" s="22"/>
      <c r="L62" s="22"/>
    </row>
    <row r="63" spans="4:12" ht="20.100000000000001" customHeight="1" x14ac:dyDescent="0.25">
      <c r="D63" s="22" t="str" cm="1">
        <f t="array" ref="D63">Common_InputFunctions.Utility_DisplayArrayInTable(AgResidues_SourceData.CropFractionRemoved_Data(), Table76[[#Headers],[Crop type c]], 0)</f>
        <v>All other crop types</v>
      </c>
      <c r="E63" t="str" cm="1">
        <f t="array" ref="E63">Common_InputFunctions.Utility_DisplayArrayInTable(AgResidues_SourceData.CropFractionRemoved_Data(), Table76[[#Headers],[Crop type c]], 0)</f>
        <v>QLD</v>
      </c>
      <c r="F63" cm="1">
        <f t="array" ref="F63">Common_InputFunctions.Utility_DisplayArrayInTable(AgResidues_SourceData.CropFractionRemoved_Data(), Table76[[#Headers],[Crop type c]], 0)</f>
        <v>0.04</v>
      </c>
      <c r="G63" s="22"/>
      <c r="H63" s="22"/>
      <c r="I63" s="22"/>
      <c r="J63" s="22"/>
      <c r="K63" s="22"/>
      <c r="L63" s="22"/>
    </row>
    <row r="64" spans="4:12" ht="20.100000000000001" customHeight="1" x14ac:dyDescent="0.25">
      <c r="D64" s="22" t="str" cm="1">
        <f t="array" ref="D64">Common_InputFunctions.Utility_DisplayArrayInTable(AgResidues_SourceData.CropFractionRemoved_Data(), Table76[[#Headers],[Crop type c]], 0)</f>
        <v>All other crop types</v>
      </c>
      <c r="E64" t="str" cm="1">
        <f t="array" ref="E64">Common_InputFunctions.Utility_DisplayArrayInTable(AgResidues_SourceData.CropFractionRemoved_Data(), Table76[[#Headers],[Crop type c]], 0)</f>
        <v>SA</v>
      </c>
      <c r="F64" cm="1">
        <f t="array" ref="F64">Common_InputFunctions.Utility_DisplayArrayInTable(AgResidues_SourceData.CropFractionRemoved_Data(), Table76[[#Headers],[Crop type c]], 0)</f>
        <v>0.09</v>
      </c>
      <c r="G64" s="22"/>
      <c r="H64" s="22"/>
      <c r="I64" s="22"/>
      <c r="J64" s="22"/>
      <c r="K64" s="22"/>
      <c r="L64" s="22"/>
    </row>
    <row r="65" spans="4:12" ht="20.100000000000001" customHeight="1" x14ac:dyDescent="0.25">
      <c r="D65" s="22" t="str" cm="1">
        <f t="array" ref="D65">Common_InputFunctions.Utility_DisplayArrayInTable(AgResidues_SourceData.CropFractionRemoved_Data(), Table76[[#Headers],[Crop type c]], 0)</f>
        <v>All other crop types</v>
      </c>
      <c r="E65" t="str" cm="1">
        <f t="array" ref="E65">Common_InputFunctions.Utility_DisplayArrayInTable(AgResidues_SourceData.CropFractionRemoved_Data(), Table76[[#Headers],[Crop type c]], 0)</f>
        <v>WA</v>
      </c>
      <c r="F65" cm="1">
        <f t="array" ref="F65">Common_InputFunctions.Utility_DisplayArrayInTable(AgResidues_SourceData.CropFractionRemoved_Data(), Table76[[#Headers],[Crop type c]], 0)</f>
        <v>0.11</v>
      </c>
      <c r="G65" s="22"/>
      <c r="H65" s="22"/>
      <c r="I65" s="22"/>
      <c r="J65" s="22"/>
      <c r="K65" s="22"/>
      <c r="L65" s="22"/>
    </row>
    <row r="66" spans="4:12" ht="20.100000000000001" customHeight="1" x14ac:dyDescent="0.25">
      <c r="D66" s="22" t="str" cm="1">
        <f t="array" ref="D66">Common_InputFunctions.Utility_DisplayArrayInTable(AgResidues_SourceData.CropFractionRemoved_Data(), Table76[[#Headers],[Crop type c]], 0)</f>
        <v>All other crop types</v>
      </c>
      <c r="E66" t="str" cm="1">
        <f t="array" ref="E66">Common_InputFunctions.Utility_DisplayArrayInTable(AgResidues_SourceData.CropFractionRemoved_Data(), Table76[[#Headers],[Crop type c]], 0)</f>
        <v>TAS</v>
      </c>
      <c r="F66" cm="1">
        <f t="array" ref="F66">Common_InputFunctions.Utility_DisplayArrayInTable(AgResidues_SourceData.CropFractionRemoved_Data(), Table76[[#Headers],[Crop type c]], 0)</f>
        <v>0.16</v>
      </c>
      <c r="G66" s="22"/>
      <c r="H66" s="22"/>
      <c r="I66" s="22"/>
      <c r="J66" s="22"/>
      <c r="K66" s="22"/>
      <c r="L66" s="22"/>
    </row>
    <row r="67" spans="4:12" ht="20.100000000000001" customHeight="1" x14ac:dyDescent="0.25">
      <c r="D67" s="22" t="str" cm="1">
        <f t="array" ref="D67">Common_InputFunctions.Utility_DisplayArrayInTable(AgResidues_SourceData.CropFractionRemoved_Data(), Table76[[#Headers],[Crop type c]], 0)</f>
        <v>All other crop types</v>
      </c>
      <c r="E67" t="str" cm="1">
        <f t="array" ref="E67">Common_InputFunctions.Utility_DisplayArrayInTable(AgResidues_SourceData.CropFractionRemoved_Data(), Table76[[#Headers],[Crop type c]], 0)</f>
        <v>NT</v>
      </c>
      <c r="F67" cm="1">
        <f t="array" ref="F67">Common_InputFunctions.Utility_DisplayArrayInTable(AgResidues_SourceData.CropFractionRemoved_Data(), Table76[[#Headers],[Crop type c]], 0)</f>
        <v>0.01</v>
      </c>
      <c r="G67" s="22"/>
      <c r="H67" s="22"/>
      <c r="I67" s="22"/>
      <c r="J67" s="22"/>
      <c r="K67" s="22"/>
      <c r="L67" s="22"/>
    </row>
    <row r="68" spans="4:12" ht="20.100000000000001" customHeight="1" x14ac:dyDescent="0.25">
      <c r="D68" s="22" t="str" cm="1">
        <f t="array" ref="D68">Common_InputFunctions.Utility_DisplayArrayInTable(AgResidues_SourceData.CropFractionRemoved_Data(), Table76[[#Headers],[Crop type c]], 0)</f>
        <v>All other crop types</v>
      </c>
      <c r="E68" t="str" cm="1">
        <f t="array" ref="E68">Common_InputFunctions.Utility_DisplayArrayInTable(AgResidues_SourceData.CropFractionRemoved_Data(), Table76[[#Headers],[Crop type c]], 0)</f>
        <v>ACT</v>
      </c>
      <c r="F68" cm="1">
        <f t="array" ref="F68">Common_InputFunctions.Utility_DisplayArrayInTable(AgResidues_SourceData.CropFractionRemoved_Data(), Table76[[#Headers],[Crop type c]], 0)</f>
        <v>0</v>
      </c>
      <c r="G68" s="22"/>
      <c r="H68" s="22"/>
      <c r="I68" s="22"/>
      <c r="J68" s="22"/>
      <c r="K68" s="22"/>
      <c r="L68" s="22"/>
    </row>
    <row r="69" spans="4:12" ht="20.100000000000001" customHeight="1" x14ac:dyDescent="0.25">
      <c r="D69" s="22"/>
      <c r="E69" s="22"/>
      <c r="F69" s="22"/>
      <c r="G69" s="22"/>
      <c r="H69" s="22"/>
      <c r="I69" s="22"/>
      <c r="J69" s="22"/>
      <c r="K69" s="22"/>
      <c r="L69" s="22"/>
    </row>
    <row r="70" spans="4:12" ht="20.100000000000001" customHeight="1" x14ac:dyDescent="0.25">
      <c r="D70" s="53" t="str" cm="1">
        <f t="array" ref="D70">"⚠️" &amp; AgResidues_SourceData.CropFractionRemoved_Variation()</f>
        <v>⚠️VARIATION OF SOURCE DATA: Split 'All other crop types' into individual crop types for each state. Listed all states for Sugar Cane, with 'N/A' for states where it is not grown.</v>
      </c>
      <c r="E70" s="22"/>
      <c r="F70" s="22"/>
      <c r="G70" s="22"/>
      <c r="H70" s="22"/>
      <c r="I70" s="22"/>
      <c r="J70" s="22"/>
      <c r="K70" s="22"/>
      <c r="L70" s="22"/>
    </row>
    <row r="71" spans="4:12" ht="20.100000000000001" customHeight="1" x14ac:dyDescent="0.25">
      <c r="D71" t="s">
        <v>228</v>
      </c>
      <c r="E71" t="s">
        <v>6</v>
      </c>
      <c r="F71" t="s">
        <v>229</v>
      </c>
      <c r="G71" s="22"/>
      <c r="H71" s="22"/>
      <c r="I71" s="22"/>
      <c r="J71" s="22"/>
      <c r="K71" s="22"/>
      <c r="L71" s="22"/>
    </row>
    <row r="72" spans="4:12" ht="20.100000000000001" customHeight="1" x14ac:dyDescent="0.25">
      <c r="D72" t="str" cm="1">
        <f t="array" ref="D72">Common_InputFunctions.Utility_DisplayArrayInTable(AgResidues_SourceData.CropFractionRemoved_CustomisedData(), Table77[[#Headers],[Crop type c]], 0)</f>
        <v>Rice</v>
      </c>
      <c r="E72" t="str" cm="1">
        <f t="array" ref="E72">Common_InputFunctions.Utility_DisplayArrayInTable(AgResidues_SourceData.CropFractionRemoved_CustomisedData(), Table77[[#Headers],[Crop type c]], 0)</f>
        <v>NSW</v>
      </c>
      <c r="F72" cm="1">
        <f t="array" ref="F72">Common_InputFunctions.Utility_DisplayArrayInTable(AgResidues_SourceData.CropFractionRemoved_CustomisedData(), Table77[[#Headers],[Crop type c]], 0)</f>
        <v>0.06</v>
      </c>
      <c r="G72" s="22"/>
      <c r="H72" s="22"/>
      <c r="I72" s="22"/>
      <c r="J72" s="22"/>
      <c r="K72" s="22"/>
      <c r="L72" s="22"/>
    </row>
    <row r="73" spans="4:12" ht="20.100000000000001" customHeight="1" x14ac:dyDescent="0.25">
      <c r="D73" s="22" t="str" cm="1">
        <f t="array" ref="D73">Common_InputFunctions.Utility_DisplayArrayInTable(AgResidues_SourceData.CropFractionRemoved_CustomisedData(), Table77[[#Headers],[Crop type c]], 0)</f>
        <v>Rice</v>
      </c>
      <c r="E73" t="str" cm="1">
        <f t="array" ref="E73">Common_InputFunctions.Utility_DisplayArrayInTable(AgResidues_SourceData.CropFractionRemoved_CustomisedData(), Table77[[#Headers],[Crop type c]], 0)</f>
        <v>VIC</v>
      </c>
      <c r="F73" cm="1">
        <f t="array" ref="F73">Common_InputFunctions.Utility_DisplayArrayInTable(AgResidues_SourceData.CropFractionRemoved_CustomisedData(), Table77[[#Headers],[Crop type c]], 0)</f>
        <v>0.06</v>
      </c>
      <c r="G73" s="22"/>
      <c r="H73" s="22"/>
      <c r="I73" s="22"/>
      <c r="J73" s="22"/>
      <c r="K73" s="22"/>
      <c r="L73" s="22"/>
    </row>
    <row r="74" spans="4:12" ht="20.100000000000001" customHeight="1" x14ac:dyDescent="0.25">
      <c r="D74" s="22" t="str" cm="1">
        <f t="array" ref="D74">Common_InputFunctions.Utility_DisplayArrayInTable(AgResidues_SourceData.CropFractionRemoved_CustomisedData(), Table77[[#Headers],[Crop type c]], 0)</f>
        <v>Rice</v>
      </c>
      <c r="E74" t="str" cm="1">
        <f t="array" ref="E74">Common_InputFunctions.Utility_DisplayArrayInTable(AgResidues_SourceData.CropFractionRemoved_CustomisedData(), Table77[[#Headers],[Crop type c]], 0)</f>
        <v>QLD</v>
      </c>
      <c r="F74" cm="1">
        <f t="array" ref="F74">Common_InputFunctions.Utility_DisplayArrayInTable(AgResidues_SourceData.CropFractionRemoved_CustomisedData(), Table77[[#Headers],[Crop type c]], 0)</f>
        <v>0.06</v>
      </c>
      <c r="G74" s="22"/>
      <c r="H74" s="22"/>
      <c r="I74" s="22"/>
      <c r="J74" s="22"/>
      <c r="K74" s="22"/>
      <c r="L74" s="22"/>
    </row>
    <row r="75" spans="4:12" ht="20.100000000000001" customHeight="1" x14ac:dyDescent="0.25">
      <c r="D75" s="22" t="str" cm="1">
        <f t="array" ref="D75">Common_InputFunctions.Utility_DisplayArrayInTable(AgResidues_SourceData.CropFractionRemoved_CustomisedData(), Table77[[#Headers],[Crop type c]], 0)</f>
        <v>Rice</v>
      </c>
      <c r="E75" t="str" cm="1">
        <f t="array" ref="E75">Common_InputFunctions.Utility_DisplayArrayInTable(AgResidues_SourceData.CropFractionRemoved_CustomisedData(), Table77[[#Headers],[Crop type c]], 0)</f>
        <v>SA</v>
      </c>
      <c r="F75" cm="1">
        <f t="array" ref="F75">Common_InputFunctions.Utility_DisplayArrayInTable(AgResidues_SourceData.CropFractionRemoved_CustomisedData(), Table77[[#Headers],[Crop type c]], 0)</f>
        <v>0.06</v>
      </c>
      <c r="G75" s="22"/>
      <c r="H75" s="22"/>
      <c r="I75" s="22"/>
      <c r="J75" s="22"/>
      <c r="K75" s="22"/>
      <c r="L75" s="22"/>
    </row>
    <row r="76" spans="4:12" ht="20.100000000000001" customHeight="1" x14ac:dyDescent="0.25">
      <c r="D76" s="22" t="str" cm="1">
        <f t="array" ref="D76">Common_InputFunctions.Utility_DisplayArrayInTable(AgResidues_SourceData.CropFractionRemoved_CustomisedData(), Table77[[#Headers],[Crop type c]], 0)</f>
        <v>Rice</v>
      </c>
      <c r="E76" t="str" cm="1">
        <f t="array" ref="E76">Common_InputFunctions.Utility_DisplayArrayInTable(AgResidues_SourceData.CropFractionRemoved_CustomisedData(), Table77[[#Headers],[Crop type c]], 0)</f>
        <v>WA</v>
      </c>
      <c r="F76" cm="1">
        <f t="array" ref="F76">Common_InputFunctions.Utility_DisplayArrayInTable(AgResidues_SourceData.CropFractionRemoved_CustomisedData(), Table77[[#Headers],[Crop type c]], 0)</f>
        <v>0.06</v>
      </c>
      <c r="G76" s="22"/>
      <c r="H76" s="22"/>
      <c r="I76" s="22"/>
      <c r="J76" s="22"/>
      <c r="K76" s="22"/>
      <c r="L76" s="22"/>
    </row>
    <row r="77" spans="4:12" ht="20.100000000000001" customHeight="1" x14ac:dyDescent="0.25">
      <c r="D77" s="22" t="str" cm="1">
        <f t="array" ref="D77">Common_InputFunctions.Utility_DisplayArrayInTable(AgResidues_SourceData.CropFractionRemoved_CustomisedData(), Table77[[#Headers],[Crop type c]], 0)</f>
        <v>Rice</v>
      </c>
      <c r="E77" t="str" cm="1">
        <f t="array" ref="E77">Common_InputFunctions.Utility_DisplayArrayInTable(AgResidues_SourceData.CropFractionRemoved_CustomisedData(), Table77[[#Headers],[Crop type c]], 0)</f>
        <v>TAS</v>
      </c>
      <c r="F77" cm="1">
        <f t="array" ref="F77">Common_InputFunctions.Utility_DisplayArrayInTable(AgResidues_SourceData.CropFractionRemoved_CustomisedData(), Table77[[#Headers],[Crop type c]], 0)</f>
        <v>0.06</v>
      </c>
      <c r="G77" s="22"/>
      <c r="H77" s="22"/>
      <c r="I77" s="22"/>
      <c r="J77" s="22"/>
      <c r="K77" s="22"/>
      <c r="L77" s="22"/>
    </row>
    <row r="78" spans="4:12" ht="20.100000000000001" customHeight="1" x14ac:dyDescent="0.25">
      <c r="D78" s="22" t="str" cm="1">
        <f t="array" ref="D78">Common_InputFunctions.Utility_DisplayArrayInTable(AgResidues_SourceData.CropFractionRemoved_CustomisedData(), Table77[[#Headers],[Crop type c]], 0)</f>
        <v>Rice</v>
      </c>
      <c r="E78" t="str" cm="1">
        <f t="array" ref="E78">Common_InputFunctions.Utility_DisplayArrayInTable(AgResidues_SourceData.CropFractionRemoved_CustomisedData(), Table77[[#Headers],[Crop type c]], 0)</f>
        <v>NT</v>
      </c>
      <c r="F78" cm="1">
        <f t="array" ref="F78">Common_InputFunctions.Utility_DisplayArrayInTable(AgResidues_SourceData.CropFractionRemoved_CustomisedData(), Table77[[#Headers],[Crop type c]], 0)</f>
        <v>0.06</v>
      </c>
      <c r="G78" s="22"/>
      <c r="H78" s="22"/>
      <c r="I78" s="22"/>
      <c r="J78" s="22"/>
      <c r="K78" s="22"/>
      <c r="L78" s="22"/>
    </row>
    <row r="79" spans="4:12" ht="20.100000000000001" customHeight="1" x14ac:dyDescent="0.25">
      <c r="D79" s="22" t="str" cm="1">
        <f t="array" ref="D79">Common_InputFunctions.Utility_DisplayArrayInTable(AgResidues_SourceData.CropFractionRemoved_CustomisedData(), Table77[[#Headers],[Crop type c]], 0)</f>
        <v>Rice</v>
      </c>
      <c r="E79" t="str" cm="1">
        <f t="array" ref="E79">Common_InputFunctions.Utility_DisplayArrayInTable(AgResidues_SourceData.CropFractionRemoved_CustomisedData(), Table77[[#Headers],[Crop type c]], 0)</f>
        <v>ACT</v>
      </c>
      <c r="F79" cm="1">
        <f t="array" ref="F79">Common_InputFunctions.Utility_DisplayArrayInTable(AgResidues_SourceData.CropFractionRemoved_CustomisedData(), Table77[[#Headers],[Crop type c]], 0)</f>
        <v>0.06</v>
      </c>
      <c r="G79" s="22"/>
      <c r="H79" s="22"/>
      <c r="I79" s="22"/>
      <c r="J79" s="22"/>
      <c r="K79" s="22"/>
      <c r="L79" s="22"/>
    </row>
    <row r="80" spans="4:12" ht="20.100000000000001" customHeight="1" x14ac:dyDescent="0.25">
      <c r="D80" s="22" t="str" cm="1">
        <f t="array" ref="D80">Common_InputFunctions.Utility_DisplayArrayInTable(AgResidues_SourceData.CropFractionRemoved_CustomisedData(), Table77[[#Headers],[Crop type c]], 0)</f>
        <v>Tubers and roots</v>
      </c>
      <c r="E80" t="str" cm="1">
        <f t="array" ref="E80">Common_InputFunctions.Utility_DisplayArrayInTable(AgResidues_SourceData.CropFractionRemoved_CustomisedData(), Table77[[#Headers],[Crop type c]], 0)</f>
        <v>NSW</v>
      </c>
      <c r="F80" cm="1">
        <f t="array" ref="F80">Common_InputFunctions.Utility_DisplayArrayInTable(AgResidues_SourceData.CropFractionRemoved_CustomisedData(), Table77[[#Headers],[Crop type c]], 0)</f>
        <v>1</v>
      </c>
      <c r="G80" s="22"/>
      <c r="H80" s="22"/>
      <c r="I80" s="22"/>
      <c r="J80" s="22"/>
      <c r="K80" s="22"/>
      <c r="L80" s="22"/>
    </row>
    <row r="81" spans="4:12" ht="20.100000000000001" customHeight="1" x14ac:dyDescent="0.25">
      <c r="D81" s="22" t="str" cm="1">
        <f t="array" ref="D81">Common_InputFunctions.Utility_DisplayArrayInTable(AgResidues_SourceData.CropFractionRemoved_CustomisedData(), Table77[[#Headers],[Crop type c]], 0)</f>
        <v>Tubers and roots</v>
      </c>
      <c r="E81" t="str" cm="1">
        <f t="array" ref="E81">Common_InputFunctions.Utility_DisplayArrayInTable(AgResidues_SourceData.CropFractionRemoved_CustomisedData(), Table77[[#Headers],[Crop type c]], 0)</f>
        <v>VIC</v>
      </c>
      <c r="F81" cm="1">
        <f t="array" ref="F81">Common_InputFunctions.Utility_DisplayArrayInTable(AgResidues_SourceData.CropFractionRemoved_CustomisedData(), Table77[[#Headers],[Crop type c]], 0)</f>
        <v>1</v>
      </c>
      <c r="G81" s="22"/>
      <c r="H81" s="22"/>
      <c r="I81" s="22"/>
      <c r="J81" s="22"/>
      <c r="K81" s="22"/>
      <c r="L81" s="22"/>
    </row>
    <row r="82" spans="4:12" ht="20.100000000000001" customHeight="1" x14ac:dyDescent="0.25">
      <c r="D82" s="22" t="str" cm="1">
        <f t="array" ref="D82">Common_InputFunctions.Utility_DisplayArrayInTable(AgResidues_SourceData.CropFractionRemoved_CustomisedData(), Table77[[#Headers],[Crop type c]], 0)</f>
        <v>Tubers and roots</v>
      </c>
      <c r="E82" t="str" cm="1">
        <f t="array" ref="E82">Common_InputFunctions.Utility_DisplayArrayInTable(AgResidues_SourceData.CropFractionRemoved_CustomisedData(), Table77[[#Headers],[Crop type c]], 0)</f>
        <v>QLD</v>
      </c>
      <c r="F82" cm="1">
        <f t="array" ref="F82">Common_InputFunctions.Utility_DisplayArrayInTable(AgResidues_SourceData.CropFractionRemoved_CustomisedData(), Table77[[#Headers],[Crop type c]], 0)</f>
        <v>1</v>
      </c>
      <c r="G82" s="22"/>
      <c r="H82" s="22"/>
      <c r="I82" s="22"/>
      <c r="J82" s="22"/>
      <c r="K82" s="22"/>
      <c r="L82" s="22"/>
    </row>
    <row r="83" spans="4:12" ht="20.100000000000001" customHeight="1" x14ac:dyDescent="0.25">
      <c r="D83" s="22" t="str" cm="1">
        <f t="array" ref="D83">Common_InputFunctions.Utility_DisplayArrayInTable(AgResidues_SourceData.CropFractionRemoved_CustomisedData(), Table77[[#Headers],[Crop type c]], 0)</f>
        <v>Tubers and roots</v>
      </c>
      <c r="E83" t="str" cm="1">
        <f t="array" ref="E83">Common_InputFunctions.Utility_DisplayArrayInTable(AgResidues_SourceData.CropFractionRemoved_CustomisedData(), Table77[[#Headers],[Crop type c]], 0)</f>
        <v>SA</v>
      </c>
      <c r="F83" cm="1">
        <f t="array" ref="F83">Common_InputFunctions.Utility_DisplayArrayInTable(AgResidues_SourceData.CropFractionRemoved_CustomisedData(), Table77[[#Headers],[Crop type c]], 0)</f>
        <v>1</v>
      </c>
      <c r="G83" s="22"/>
      <c r="H83" s="22"/>
      <c r="I83" s="22"/>
      <c r="J83" s="22"/>
      <c r="K83" s="22"/>
      <c r="L83" s="22"/>
    </row>
    <row r="84" spans="4:12" ht="20.100000000000001" customHeight="1" x14ac:dyDescent="0.25">
      <c r="D84" s="22" t="str" cm="1">
        <f t="array" ref="D84">Common_InputFunctions.Utility_DisplayArrayInTable(AgResidues_SourceData.CropFractionRemoved_CustomisedData(), Table77[[#Headers],[Crop type c]], 0)</f>
        <v>Tubers and roots</v>
      </c>
      <c r="E84" t="str" cm="1">
        <f t="array" ref="E84">Common_InputFunctions.Utility_DisplayArrayInTable(AgResidues_SourceData.CropFractionRemoved_CustomisedData(), Table77[[#Headers],[Crop type c]], 0)</f>
        <v>WA</v>
      </c>
      <c r="F84" cm="1">
        <f t="array" ref="F84">Common_InputFunctions.Utility_DisplayArrayInTable(AgResidues_SourceData.CropFractionRemoved_CustomisedData(), Table77[[#Headers],[Crop type c]], 0)</f>
        <v>1</v>
      </c>
      <c r="G84" s="22"/>
      <c r="H84" s="22"/>
      <c r="I84" s="22"/>
      <c r="J84" s="22"/>
      <c r="K84" s="22"/>
      <c r="L84" s="22"/>
    </row>
    <row r="85" spans="4:12" ht="20.100000000000001" customHeight="1" x14ac:dyDescent="0.25">
      <c r="D85" s="22" t="str" cm="1">
        <f t="array" ref="D85">Common_InputFunctions.Utility_DisplayArrayInTable(AgResidues_SourceData.CropFractionRemoved_CustomisedData(), Table77[[#Headers],[Crop type c]], 0)</f>
        <v>Tubers and roots</v>
      </c>
      <c r="E85" t="str" cm="1">
        <f t="array" ref="E85">Common_InputFunctions.Utility_DisplayArrayInTable(AgResidues_SourceData.CropFractionRemoved_CustomisedData(), Table77[[#Headers],[Crop type c]], 0)</f>
        <v>TAS</v>
      </c>
      <c r="F85" cm="1">
        <f t="array" ref="F85">Common_InputFunctions.Utility_DisplayArrayInTable(AgResidues_SourceData.CropFractionRemoved_CustomisedData(), Table77[[#Headers],[Crop type c]], 0)</f>
        <v>1</v>
      </c>
      <c r="G85" s="22"/>
      <c r="H85" s="22"/>
      <c r="I85" s="22"/>
      <c r="J85" s="22"/>
      <c r="K85" s="22"/>
      <c r="L85" s="22"/>
    </row>
    <row r="86" spans="4:12" ht="20.100000000000001" customHeight="1" x14ac:dyDescent="0.25">
      <c r="D86" s="22" t="str" cm="1">
        <f t="array" ref="D86">Common_InputFunctions.Utility_DisplayArrayInTable(AgResidues_SourceData.CropFractionRemoved_CustomisedData(), Table77[[#Headers],[Crop type c]], 0)</f>
        <v>Tubers and roots</v>
      </c>
      <c r="E86" t="str" cm="1">
        <f t="array" ref="E86">Common_InputFunctions.Utility_DisplayArrayInTable(AgResidues_SourceData.CropFractionRemoved_CustomisedData(), Table77[[#Headers],[Crop type c]], 0)</f>
        <v>NT</v>
      </c>
      <c r="F86" cm="1">
        <f t="array" ref="F86">Common_InputFunctions.Utility_DisplayArrayInTable(AgResidues_SourceData.CropFractionRemoved_CustomisedData(), Table77[[#Headers],[Crop type c]], 0)</f>
        <v>1</v>
      </c>
      <c r="G86" s="22"/>
      <c r="H86" s="22"/>
      <c r="I86" s="22"/>
      <c r="J86" s="22"/>
      <c r="K86" s="22"/>
      <c r="L86" s="22"/>
    </row>
    <row r="87" spans="4:12" ht="20.100000000000001" customHeight="1" x14ac:dyDescent="0.25">
      <c r="D87" s="22" t="str" cm="1">
        <f t="array" ref="D87">Common_InputFunctions.Utility_DisplayArrayInTable(AgResidues_SourceData.CropFractionRemoved_CustomisedData(), Table77[[#Headers],[Crop type c]], 0)</f>
        <v>Tubers and roots</v>
      </c>
      <c r="E87" t="str" cm="1">
        <f t="array" ref="E87">Common_InputFunctions.Utility_DisplayArrayInTable(AgResidues_SourceData.CropFractionRemoved_CustomisedData(), Table77[[#Headers],[Crop type c]], 0)</f>
        <v>ACT</v>
      </c>
      <c r="F87" cm="1">
        <f t="array" ref="F87">Common_InputFunctions.Utility_DisplayArrayInTable(AgResidues_SourceData.CropFractionRemoved_CustomisedData(), Table77[[#Headers],[Crop type c]], 0)</f>
        <v>1</v>
      </c>
      <c r="G87" s="22"/>
      <c r="H87" s="22"/>
      <c r="I87" s="22"/>
      <c r="J87" s="22"/>
      <c r="K87" s="22"/>
      <c r="L87" s="22"/>
    </row>
    <row r="88" spans="4:12" ht="20.100000000000001" customHeight="1" x14ac:dyDescent="0.25">
      <c r="D88" s="22" t="str" cm="1">
        <f t="array" ref="D88">Common_InputFunctions.Utility_DisplayArrayInTable(AgResidues_SourceData.CropFractionRemoved_CustomisedData(), Table77[[#Headers],[Crop type c]], 0)</f>
        <v>Cotton</v>
      </c>
      <c r="E88" t="str" cm="1">
        <f t="array" ref="E88">Common_InputFunctions.Utility_DisplayArrayInTable(AgResidues_SourceData.CropFractionRemoved_CustomisedData(), Table77[[#Headers],[Crop type c]], 0)</f>
        <v>NSW</v>
      </c>
      <c r="F88" cm="1">
        <f t="array" ref="F88">Common_InputFunctions.Utility_DisplayArrayInTable(AgResidues_SourceData.CropFractionRemoved_CustomisedData(), Table77[[#Headers],[Crop type c]], 0)</f>
        <v>0</v>
      </c>
      <c r="G88" s="22"/>
      <c r="H88" s="22"/>
      <c r="I88" s="22"/>
      <c r="J88" s="22"/>
      <c r="K88" s="22"/>
      <c r="L88" s="22"/>
    </row>
    <row r="89" spans="4:12" ht="20.100000000000001" customHeight="1" x14ac:dyDescent="0.25">
      <c r="D89" s="22" t="str" cm="1">
        <f t="array" ref="D89">Common_InputFunctions.Utility_DisplayArrayInTable(AgResidues_SourceData.CropFractionRemoved_CustomisedData(), Table77[[#Headers],[Crop type c]], 0)</f>
        <v>Cotton</v>
      </c>
      <c r="E89" t="str" cm="1">
        <f t="array" ref="E89">Common_InputFunctions.Utility_DisplayArrayInTable(AgResidues_SourceData.CropFractionRemoved_CustomisedData(), Table77[[#Headers],[Crop type c]], 0)</f>
        <v>VIC</v>
      </c>
      <c r="F89" cm="1">
        <f t="array" ref="F89">Common_InputFunctions.Utility_DisplayArrayInTable(AgResidues_SourceData.CropFractionRemoved_CustomisedData(), Table77[[#Headers],[Crop type c]], 0)</f>
        <v>0</v>
      </c>
      <c r="G89" s="22"/>
      <c r="H89" s="22"/>
      <c r="I89" s="22"/>
      <c r="J89" s="22"/>
      <c r="K89" s="22"/>
      <c r="L89" s="22"/>
    </row>
    <row r="90" spans="4:12" ht="20.100000000000001" customHeight="1" x14ac:dyDescent="0.25">
      <c r="D90" s="22" t="str" cm="1">
        <f t="array" ref="D90">Common_InputFunctions.Utility_DisplayArrayInTable(AgResidues_SourceData.CropFractionRemoved_CustomisedData(), Table77[[#Headers],[Crop type c]], 0)</f>
        <v>Cotton</v>
      </c>
      <c r="E90" t="str" cm="1">
        <f t="array" ref="E90">Common_InputFunctions.Utility_DisplayArrayInTable(AgResidues_SourceData.CropFractionRemoved_CustomisedData(), Table77[[#Headers],[Crop type c]], 0)</f>
        <v>QLD</v>
      </c>
      <c r="F90" cm="1">
        <f t="array" ref="F90">Common_InputFunctions.Utility_DisplayArrayInTable(AgResidues_SourceData.CropFractionRemoved_CustomisedData(), Table77[[#Headers],[Crop type c]], 0)</f>
        <v>0</v>
      </c>
      <c r="G90" s="22"/>
      <c r="H90" s="22"/>
      <c r="I90" s="22"/>
      <c r="J90" s="22"/>
      <c r="K90" s="22"/>
      <c r="L90" s="22"/>
    </row>
    <row r="91" spans="4:12" ht="20.100000000000001" customHeight="1" x14ac:dyDescent="0.25">
      <c r="D91" s="22" t="str" cm="1">
        <f t="array" ref="D91">Common_InputFunctions.Utility_DisplayArrayInTable(AgResidues_SourceData.CropFractionRemoved_CustomisedData(), Table77[[#Headers],[Crop type c]], 0)</f>
        <v>Cotton</v>
      </c>
      <c r="E91" t="str" cm="1">
        <f t="array" ref="E91">Common_InputFunctions.Utility_DisplayArrayInTable(AgResidues_SourceData.CropFractionRemoved_CustomisedData(), Table77[[#Headers],[Crop type c]], 0)</f>
        <v>SA</v>
      </c>
      <c r="F91" cm="1">
        <f t="array" ref="F91">Common_InputFunctions.Utility_DisplayArrayInTable(AgResidues_SourceData.CropFractionRemoved_CustomisedData(), Table77[[#Headers],[Crop type c]], 0)</f>
        <v>0</v>
      </c>
      <c r="G91" s="22"/>
      <c r="H91" s="22"/>
      <c r="I91" s="22"/>
      <c r="J91" s="22"/>
      <c r="K91" s="22"/>
      <c r="L91" s="22"/>
    </row>
    <row r="92" spans="4:12" ht="20.100000000000001" customHeight="1" x14ac:dyDescent="0.25">
      <c r="D92" s="22" t="str" cm="1">
        <f t="array" ref="D92">Common_InputFunctions.Utility_DisplayArrayInTable(AgResidues_SourceData.CropFractionRemoved_CustomisedData(), Table77[[#Headers],[Crop type c]], 0)</f>
        <v>Cotton</v>
      </c>
      <c r="E92" t="str" cm="1">
        <f t="array" ref="E92">Common_InputFunctions.Utility_DisplayArrayInTable(AgResidues_SourceData.CropFractionRemoved_CustomisedData(), Table77[[#Headers],[Crop type c]], 0)</f>
        <v>WA</v>
      </c>
      <c r="F92" cm="1">
        <f t="array" ref="F92">Common_InputFunctions.Utility_DisplayArrayInTable(AgResidues_SourceData.CropFractionRemoved_CustomisedData(), Table77[[#Headers],[Crop type c]], 0)</f>
        <v>0</v>
      </c>
      <c r="G92" s="22"/>
      <c r="H92" s="22"/>
      <c r="I92" s="22"/>
      <c r="J92" s="22"/>
      <c r="K92" s="22"/>
      <c r="L92" s="22"/>
    </row>
    <row r="93" spans="4:12" ht="20.100000000000001" customHeight="1" x14ac:dyDescent="0.25">
      <c r="D93" s="22" t="str" cm="1">
        <f t="array" ref="D93">Common_InputFunctions.Utility_DisplayArrayInTable(AgResidues_SourceData.CropFractionRemoved_CustomisedData(), Table77[[#Headers],[Crop type c]], 0)</f>
        <v>Cotton</v>
      </c>
      <c r="E93" t="str" cm="1">
        <f t="array" ref="E93">Common_InputFunctions.Utility_DisplayArrayInTable(AgResidues_SourceData.CropFractionRemoved_CustomisedData(), Table77[[#Headers],[Crop type c]], 0)</f>
        <v>TAS</v>
      </c>
      <c r="F93" cm="1">
        <f t="array" ref="F93">Common_InputFunctions.Utility_DisplayArrayInTable(AgResidues_SourceData.CropFractionRemoved_CustomisedData(), Table77[[#Headers],[Crop type c]], 0)</f>
        <v>0</v>
      </c>
      <c r="G93" s="22"/>
      <c r="H93" s="22"/>
      <c r="I93" s="22"/>
      <c r="J93" s="22"/>
      <c r="K93" s="22"/>
      <c r="L93" s="22"/>
    </row>
    <row r="94" spans="4:12" ht="20.100000000000001" customHeight="1" x14ac:dyDescent="0.25">
      <c r="D94" s="22" t="str" cm="1">
        <f t="array" ref="D94">Common_InputFunctions.Utility_DisplayArrayInTable(AgResidues_SourceData.CropFractionRemoved_CustomisedData(), Table77[[#Headers],[Crop type c]], 0)</f>
        <v>Cotton</v>
      </c>
      <c r="E94" t="str" cm="1">
        <f t="array" ref="E94">Common_InputFunctions.Utility_DisplayArrayInTable(AgResidues_SourceData.CropFractionRemoved_CustomisedData(), Table77[[#Headers],[Crop type c]], 0)</f>
        <v>NT</v>
      </c>
      <c r="F94" cm="1">
        <f t="array" ref="F94">Common_InputFunctions.Utility_DisplayArrayInTable(AgResidues_SourceData.CropFractionRemoved_CustomisedData(), Table77[[#Headers],[Crop type c]], 0)</f>
        <v>0</v>
      </c>
      <c r="G94" s="22"/>
      <c r="H94" s="22"/>
      <c r="I94" s="22"/>
      <c r="J94" s="22"/>
      <c r="K94" s="22"/>
      <c r="L94" s="22"/>
    </row>
    <row r="95" spans="4:12" ht="20.100000000000001" customHeight="1" x14ac:dyDescent="0.25">
      <c r="D95" s="22" t="str" cm="1">
        <f t="array" ref="D95">Common_InputFunctions.Utility_DisplayArrayInTable(AgResidues_SourceData.CropFractionRemoved_CustomisedData(), Table77[[#Headers],[Crop type c]], 0)</f>
        <v>Cotton</v>
      </c>
      <c r="E95" t="str" cm="1">
        <f t="array" ref="E95">Common_InputFunctions.Utility_DisplayArrayInTable(AgResidues_SourceData.CropFractionRemoved_CustomisedData(), Table77[[#Headers],[Crop type c]], 0)</f>
        <v>ACT</v>
      </c>
      <c r="F95" cm="1">
        <f t="array" ref="F95">Common_InputFunctions.Utility_DisplayArrayInTable(AgResidues_SourceData.CropFractionRemoved_CustomisedData(), Table77[[#Headers],[Crop type c]], 0)</f>
        <v>0</v>
      </c>
      <c r="G95" s="22"/>
      <c r="H95" s="22"/>
      <c r="I95" s="22"/>
      <c r="J95" s="22"/>
      <c r="K95" s="22"/>
      <c r="L95" s="22"/>
    </row>
    <row r="96" spans="4:12" ht="20.100000000000001" customHeight="1" x14ac:dyDescent="0.25">
      <c r="D96" s="22" t="str" cm="1">
        <f t="array" ref="D96">Common_InputFunctions.Utility_DisplayArrayInTable(AgResidues_SourceData.CropFractionRemoved_CustomisedData(), Table77[[#Headers],[Crop type c]], 0)</f>
        <v>Hops</v>
      </c>
      <c r="E96" t="str" cm="1">
        <f t="array" ref="E96">Common_InputFunctions.Utility_DisplayArrayInTable(AgResidues_SourceData.CropFractionRemoved_CustomisedData(), Table77[[#Headers],[Crop type c]], 0)</f>
        <v>NSW</v>
      </c>
      <c r="F96" cm="1">
        <f t="array" ref="F96">Common_InputFunctions.Utility_DisplayArrayInTable(AgResidues_SourceData.CropFractionRemoved_CustomisedData(), Table77[[#Headers],[Crop type c]], 0)</f>
        <v>0</v>
      </c>
      <c r="G96" s="22"/>
      <c r="H96" s="22"/>
      <c r="I96" s="22"/>
      <c r="J96" s="22"/>
      <c r="K96" s="22"/>
      <c r="L96" s="22"/>
    </row>
    <row r="97" spans="4:12" ht="20.100000000000001" customHeight="1" x14ac:dyDescent="0.25">
      <c r="D97" s="22" t="str" cm="1">
        <f t="array" ref="D97">Common_InputFunctions.Utility_DisplayArrayInTable(AgResidues_SourceData.CropFractionRemoved_CustomisedData(), Table77[[#Headers],[Crop type c]], 0)</f>
        <v>Hops</v>
      </c>
      <c r="E97" t="str" cm="1">
        <f t="array" ref="E97">Common_InputFunctions.Utility_DisplayArrayInTable(AgResidues_SourceData.CropFractionRemoved_CustomisedData(), Table77[[#Headers],[Crop type c]], 0)</f>
        <v>VIC</v>
      </c>
      <c r="F97" cm="1">
        <f t="array" ref="F97">Common_InputFunctions.Utility_DisplayArrayInTable(AgResidues_SourceData.CropFractionRemoved_CustomisedData(), Table77[[#Headers],[Crop type c]], 0)</f>
        <v>0</v>
      </c>
      <c r="G97" s="22"/>
      <c r="H97" s="22"/>
      <c r="I97" s="22"/>
      <c r="J97" s="22"/>
      <c r="K97" s="22"/>
      <c r="L97" s="22"/>
    </row>
    <row r="98" spans="4:12" ht="20.100000000000001" customHeight="1" x14ac:dyDescent="0.25">
      <c r="D98" s="22" t="str" cm="1">
        <f t="array" ref="D98">Common_InputFunctions.Utility_DisplayArrayInTable(AgResidues_SourceData.CropFractionRemoved_CustomisedData(), Table77[[#Headers],[Crop type c]], 0)</f>
        <v>Hops</v>
      </c>
      <c r="E98" t="str" cm="1">
        <f t="array" ref="E98">Common_InputFunctions.Utility_DisplayArrayInTable(AgResidues_SourceData.CropFractionRemoved_CustomisedData(), Table77[[#Headers],[Crop type c]], 0)</f>
        <v>QLD</v>
      </c>
      <c r="F98" cm="1">
        <f t="array" ref="F98">Common_InputFunctions.Utility_DisplayArrayInTable(AgResidues_SourceData.CropFractionRemoved_CustomisedData(), Table77[[#Headers],[Crop type c]], 0)</f>
        <v>0</v>
      </c>
      <c r="G98" s="22"/>
      <c r="H98" s="22"/>
      <c r="I98" s="22"/>
      <c r="J98" s="22"/>
      <c r="K98" s="22"/>
      <c r="L98" s="22"/>
    </row>
    <row r="99" spans="4:12" ht="20.100000000000001" customHeight="1" x14ac:dyDescent="0.25">
      <c r="D99" s="22" t="str" cm="1">
        <f t="array" ref="D99">Common_InputFunctions.Utility_DisplayArrayInTable(AgResidues_SourceData.CropFractionRemoved_CustomisedData(), Table77[[#Headers],[Crop type c]], 0)</f>
        <v>Hops</v>
      </c>
      <c r="E99" t="str" cm="1">
        <f t="array" ref="E99">Common_InputFunctions.Utility_DisplayArrayInTable(AgResidues_SourceData.CropFractionRemoved_CustomisedData(), Table77[[#Headers],[Crop type c]], 0)</f>
        <v>SA</v>
      </c>
      <c r="F99" cm="1">
        <f t="array" ref="F99">Common_InputFunctions.Utility_DisplayArrayInTable(AgResidues_SourceData.CropFractionRemoved_CustomisedData(), Table77[[#Headers],[Crop type c]], 0)</f>
        <v>0</v>
      </c>
      <c r="G99" s="22"/>
      <c r="H99" s="22"/>
      <c r="I99" s="22"/>
      <c r="J99" s="22"/>
      <c r="K99" s="22"/>
      <c r="L99" s="22"/>
    </row>
    <row r="100" spans="4:12" ht="20.100000000000001" customHeight="1" x14ac:dyDescent="0.25">
      <c r="D100" s="22" t="str" cm="1">
        <f t="array" ref="D100">Common_InputFunctions.Utility_DisplayArrayInTable(AgResidues_SourceData.CropFractionRemoved_CustomisedData(), Table77[[#Headers],[Crop type c]], 0)</f>
        <v>Hops</v>
      </c>
      <c r="E100" t="str" cm="1">
        <f t="array" ref="E100">Common_InputFunctions.Utility_DisplayArrayInTable(AgResidues_SourceData.CropFractionRemoved_CustomisedData(), Table77[[#Headers],[Crop type c]], 0)</f>
        <v>WA</v>
      </c>
      <c r="F100" cm="1">
        <f t="array" ref="F100">Common_InputFunctions.Utility_DisplayArrayInTable(AgResidues_SourceData.CropFractionRemoved_CustomisedData(), Table77[[#Headers],[Crop type c]], 0)</f>
        <v>0</v>
      </c>
      <c r="G100" s="22"/>
      <c r="H100" s="22"/>
      <c r="I100" s="22"/>
      <c r="J100" s="22"/>
      <c r="K100" s="22"/>
      <c r="L100" s="22"/>
    </row>
    <row r="101" spans="4:12" ht="20.100000000000001" customHeight="1" x14ac:dyDescent="0.25">
      <c r="D101" s="22" t="str" cm="1">
        <f t="array" ref="D101">Common_InputFunctions.Utility_DisplayArrayInTable(AgResidues_SourceData.CropFractionRemoved_CustomisedData(), Table77[[#Headers],[Crop type c]], 0)</f>
        <v>Hops</v>
      </c>
      <c r="E101" t="str" cm="1">
        <f t="array" ref="E101">Common_InputFunctions.Utility_DisplayArrayInTable(AgResidues_SourceData.CropFractionRemoved_CustomisedData(), Table77[[#Headers],[Crop type c]], 0)</f>
        <v>TAS</v>
      </c>
      <c r="F101" cm="1">
        <f t="array" ref="F101">Common_InputFunctions.Utility_DisplayArrayInTable(AgResidues_SourceData.CropFractionRemoved_CustomisedData(), Table77[[#Headers],[Crop type c]], 0)</f>
        <v>0</v>
      </c>
      <c r="G101" s="22"/>
      <c r="H101" s="22"/>
      <c r="I101" s="22"/>
      <c r="J101" s="22"/>
      <c r="K101" s="22"/>
      <c r="L101" s="22"/>
    </row>
    <row r="102" spans="4:12" ht="20.100000000000001" customHeight="1" x14ac:dyDescent="0.25">
      <c r="D102" s="22" t="str" cm="1">
        <f t="array" ref="D102">Common_InputFunctions.Utility_DisplayArrayInTable(AgResidues_SourceData.CropFractionRemoved_CustomisedData(), Table77[[#Headers],[Crop type c]], 0)</f>
        <v>Hops</v>
      </c>
      <c r="E102" t="str" cm="1">
        <f t="array" ref="E102">Common_InputFunctions.Utility_DisplayArrayInTable(AgResidues_SourceData.CropFractionRemoved_CustomisedData(), Table77[[#Headers],[Crop type c]], 0)</f>
        <v>NT</v>
      </c>
      <c r="F102" cm="1">
        <f t="array" ref="F102">Common_InputFunctions.Utility_DisplayArrayInTable(AgResidues_SourceData.CropFractionRemoved_CustomisedData(), Table77[[#Headers],[Crop type c]], 0)</f>
        <v>0</v>
      </c>
      <c r="G102" s="22"/>
      <c r="H102" s="22"/>
      <c r="I102" s="22"/>
      <c r="J102" s="22"/>
      <c r="K102" s="22"/>
      <c r="L102" s="22"/>
    </row>
    <row r="103" spans="4:12" ht="20.100000000000001" customHeight="1" x14ac:dyDescent="0.25">
      <c r="D103" s="22" t="str" cm="1">
        <f t="array" ref="D103">Common_InputFunctions.Utility_DisplayArrayInTable(AgResidues_SourceData.CropFractionRemoved_CustomisedData(), Table77[[#Headers],[Crop type c]], 0)</f>
        <v>Hops</v>
      </c>
      <c r="E103" t="str" cm="1">
        <f t="array" ref="E103">Common_InputFunctions.Utility_DisplayArrayInTable(AgResidues_SourceData.CropFractionRemoved_CustomisedData(), Table77[[#Headers],[Crop type c]], 0)</f>
        <v>ACT</v>
      </c>
      <c r="F103" cm="1">
        <f t="array" ref="F103">Common_InputFunctions.Utility_DisplayArrayInTable(AgResidues_SourceData.CropFractionRemoved_CustomisedData(), Table77[[#Headers],[Crop type c]], 0)</f>
        <v>0</v>
      </c>
      <c r="G103" s="22"/>
      <c r="H103" s="22"/>
      <c r="I103" s="22"/>
      <c r="J103" s="22"/>
      <c r="K103" s="22"/>
      <c r="L103" s="22"/>
    </row>
    <row r="104" spans="4:12" ht="20.100000000000001" customHeight="1" x14ac:dyDescent="0.25">
      <c r="D104" s="22" t="str" cm="1">
        <f t="array" ref="D104">Common_InputFunctions.Utility_DisplayArrayInTable(AgResidues_SourceData.CropFractionRemoved_CustomisedData(), Table77[[#Headers],[Crop type c]], 0)</f>
        <v>Forage crops</v>
      </c>
      <c r="E104" t="str" cm="1">
        <f t="array" ref="E104">Common_InputFunctions.Utility_DisplayArrayInTable(AgResidues_SourceData.CropFractionRemoved_CustomisedData(), Table77[[#Headers],[Crop type c]], 0)</f>
        <v>NSW</v>
      </c>
      <c r="F104" cm="1">
        <f t="array" ref="F104">Common_InputFunctions.Utility_DisplayArrayInTable(AgResidues_SourceData.CropFractionRemoved_CustomisedData(), Table77[[#Headers],[Crop type c]], 0)</f>
        <v>0.8</v>
      </c>
      <c r="G104" s="22"/>
      <c r="H104" s="22"/>
      <c r="I104" s="22"/>
      <c r="J104" s="22"/>
      <c r="K104" s="22"/>
      <c r="L104" s="22"/>
    </row>
    <row r="105" spans="4:12" ht="20.100000000000001" customHeight="1" x14ac:dyDescent="0.25">
      <c r="D105" s="22" t="str" cm="1">
        <f t="array" ref="D105">Common_InputFunctions.Utility_DisplayArrayInTable(AgResidues_SourceData.CropFractionRemoved_CustomisedData(), Table77[[#Headers],[Crop type c]], 0)</f>
        <v>Forage crops</v>
      </c>
      <c r="E105" t="str" cm="1">
        <f t="array" ref="E105">Common_InputFunctions.Utility_DisplayArrayInTable(AgResidues_SourceData.CropFractionRemoved_CustomisedData(), Table77[[#Headers],[Crop type c]], 0)</f>
        <v>VIC</v>
      </c>
      <c r="F105" cm="1">
        <f t="array" ref="F105">Common_InputFunctions.Utility_DisplayArrayInTable(AgResidues_SourceData.CropFractionRemoved_CustomisedData(), Table77[[#Headers],[Crop type c]], 0)</f>
        <v>0.8</v>
      </c>
      <c r="G105" s="22"/>
      <c r="H105" s="22"/>
      <c r="I105" s="22"/>
      <c r="J105" s="22"/>
      <c r="K105" s="22"/>
      <c r="L105" s="22"/>
    </row>
    <row r="106" spans="4:12" ht="20.100000000000001" customHeight="1" x14ac:dyDescent="0.25">
      <c r="D106" s="22" t="str" cm="1">
        <f t="array" ref="D106">Common_InputFunctions.Utility_DisplayArrayInTable(AgResidues_SourceData.CropFractionRemoved_CustomisedData(), Table77[[#Headers],[Crop type c]], 0)</f>
        <v>Forage crops</v>
      </c>
      <c r="E106" t="str" cm="1">
        <f t="array" ref="E106">Common_InputFunctions.Utility_DisplayArrayInTable(AgResidues_SourceData.CropFractionRemoved_CustomisedData(), Table77[[#Headers],[Crop type c]], 0)</f>
        <v>QLD</v>
      </c>
      <c r="F106" cm="1">
        <f t="array" ref="F106">Common_InputFunctions.Utility_DisplayArrayInTable(AgResidues_SourceData.CropFractionRemoved_CustomisedData(), Table77[[#Headers],[Crop type c]], 0)</f>
        <v>0.8</v>
      </c>
      <c r="G106" s="22"/>
      <c r="H106" s="22"/>
      <c r="I106" s="22"/>
      <c r="J106" s="22"/>
      <c r="K106" s="22"/>
      <c r="L106" s="22"/>
    </row>
    <row r="107" spans="4:12" ht="20.100000000000001" customHeight="1" x14ac:dyDescent="0.25">
      <c r="D107" s="22" t="str" cm="1">
        <f t="array" ref="D107">Common_InputFunctions.Utility_DisplayArrayInTable(AgResidues_SourceData.CropFractionRemoved_CustomisedData(), Table77[[#Headers],[Crop type c]], 0)</f>
        <v>Forage crops</v>
      </c>
      <c r="E107" t="str" cm="1">
        <f t="array" ref="E107">Common_InputFunctions.Utility_DisplayArrayInTable(AgResidues_SourceData.CropFractionRemoved_CustomisedData(), Table77[[#Headers],[Crop type c]], 0)</f>
        <v>SA</v>
      </c>
      <c r="F107" cm="1">
        <f t="array" ref="F107">Common_InputFunctions.Utility_DisplayArrayInTable(AgResidues_SourceData.CropFractionRemoved_CustomisedData(), Table77[[#Headers],[Crop type c]], 0)</f>
        <v>0.8</v>
      </c>
      <c r="G107" s="22"/>
      <c r="H107" s="22"/>
      <c r="I107" s="22"/>
      <c r="J107" s="22"/>
      <c r="K107" s="22"/>
      <c r="L107" s="22"/>
    </row>
    <row r="108" spans="4:12" ht="20.100000000000001" customHeight="1" x14ac:dyDescent="0.25">
      <c r="D108" s="22" t="str" cm="1">
        <f t="array" ref="D108">Common_InputFunctions.Utility_DisplayArrayInTable(AgResidues_SourceData.CropFractionRemoved_CustomisedData(), Table77[[#Headers],[Crop type c]], 0)</f>
        <v>Forage crops</v>
      </c>
      <c r="E108" t="str" cm="1">
        <f t="array" ref="E108">Common_InputFunctions.Utility_DisplayArrayInTable(AgResidues_SourceData.CropFractionRemoved_CustomisedData(), Table77[[#Headers],[Crop type c]], 0)</f>
        <v>WA</v>
      </c>
      <c r="F108" cm="1">
        <f t="array" ref="F108">Common_InputFunctions.Utility_DisplayArrayInTable(AgResidues_SourceData.CropFractionRemoved_CustomisedData(), Table77[[#Headers],[Crop type c]], 0)</f>
        <v>0.8</v>
      </c>
      <c r="G108" s="22"/>
      <c r="H108" s="22"/>
      <c r="I108" s="22"/>
      <c r="J108" s="22"/>
      <c r="K108" s="22"/>
      <c r="L108" s="22"/>
    </row>
    <row r="109" spans="4:12" ht="20.100000000000001" customHeight="1" x14ac:dyDescent="0.25">
      <c r="D109" s="22" t="str" cm="1">
        <f t="array" ref="D109">Common_InputFunctions.Utility_DisplayArrayInTable(AgResidues_SourceData.CropFractionRemoved_CustomisedData(), Table77[[#Headers],[Crop type c]], 0)</f>
        <v>Forage crops</v>
      </c>
      <c r="E109" t="str" cm="1">
        <f t="array" ref="E109">Common_InputFunctions.Utility_DisplayArrayInTable(AgResidues_SourceData.CropFractionRemoved_CustomisedData(), Table77[[#Headers],[Crop type c]], 0)</f>
        <v>TAS</v>
      </c>
      <c r="F109" cm="1">
        <f t="array" ref="F109">Common_InputFunctions.Utility_DisplayArrayInTable(AgResidues_SourceData.CropFractionRemoved_CustomisedData(), Table77[[#Headers],[Crop type c]], 0)</f>
        <v>0.8</v>
      </c>
      <c r="G109" s="22"/>
      <c r="H109" s="22"/>
      <c r="I109" s="22"/>
      <c r="J109" s="22"/>
      <c r="K109" s="22"/>
      <c r="L109" s="22"/>
    </row>
    <row r="110" spans="4:12" ht="20.100000000000001" customHeight="1" x14ac:dyDescent="0.25">
      <c r="D110" s="22" t="str" cm="1">
        <f t="array" ref="D110">Common_InputFunctions.Utility_DisplayArrayInTable(AgResidues_SourceData.CropFractionRemoved_CustomisedData(), Table77[[#Headers],[Crop type c]], 0)</f>
        <v>Forage crops</v>
      </c>
      <c r="E110" t="str" cm="1">
        <f t="array" ref="E110">Common_InputFunctions.Utility_DisplayArrayInTable(AgResidues_SourceData.CropFractionRemoved_CustomisedData(), Table77[[#Headers],[Crop type c]], 0)</f>
        <v>NT</v>
      </c>
      <c r="F110" cm="1">
        <f t="array" ref="F110">Common_InputFunctions.Utility_DisplayArrayInTable(AgResidues_SourceData.CropFractionRemoved_CustomisedData(), Table77[[#Headers],[Crop type c]], 0)</f>
        <v>0.8</v>
      </c>
      <c r="G110" s="22"/>
      <c r="H110" s="22"/>
      <c r="I110" s="22"/>
      <c r="J110" s="22"/>
      <c r="K110" s="22"/>
      <c r="L110" s="22"/>
    </row>
    <row r="111" spans="4:12" ht="20.100000000000001" customHeight="1" x14ac:dyDescent="0.25">
      <c r="D111" s="22" t="str" cm="1">
        <f t="array" ref="D111">Common_InputFunctions.Utility_DisplayArrayInTable(AgResidues_SourceData.CropFractionRemoved_CustomisedData(), Table77[[#Headers],[Crop type c]], 0)</f>
        <v>Forage crops</v>
      </c>
      <c r="E111" t="str" cm="1">
        <f t="array" ref="E111">Common_InputFunctions.Utility_DisplayArrayInTable(AgResidues_SourceData.CropFractionRemoved_CustomisedData(), Table77[[#Headers],[Crop type c]], 0)</f>
        <v>ACT</v>
      </c>
      <c r="F111" cm="1">
        <f t="array" ref="F111">Common_InputFunctions.Utility_DisplayArrayInTable(AgResidues_SourceData.CropFractionRemoved_CustomisedData(), Table77[[#Headers],[Crop type c]], 0)</f>
        <v>0.8</v>
      </c>
      <c r="G111" s="22"/>
      <c r="H111" s="22"/>
      <c r="I111" s="22"/>
      <c r="J111" s="22"/>
      <c r="K111" s="22"/>
      <c r="L111" s="22"/>
    </row>
    <row r="112" spans="4:12" ht="20.100000000000001" customHeight="1" x14ac:dyDescent="0.25">
      <c r="D112" s="22" t="str" cm="1">
        <f t="array" ref="D112">Common_InputFunctions.Utility_DisplayArrayInTable(AgResidues_SourceData.CropFractionRemoved_CustomisedData(), Table77[[#Headers],[Crop type c]], 0)</f>
        <v>Sugar Cane</v>
      </c>
      <c r="E112" t="str" cm="1">
        <f t="array" ref="E112">Common_InputFunctions.Utility_DisplayArrayInTable(AgResidues_SourceData.CropFractionRemoved_CustomisedData(), Table77[[#Headers],[Crop type c]], 0)</f>
        <v>NSW</v>
      </c>
      <c r="F112" cm="1">
        <f t="array" ref="F112">Common_InputFunctions.Utility_DisplayArrayInTable(AgResidues_SourceData.CropFractionRemoved_CustomisedData(), Table77[[#Headers],[Crop type c]], 0)</f>
        <v>0</v>
      </c>
      <c r="G112" s="22"/>
      <c r="H112" s="22"/>
      <c r="I112" s="22"/>
      <c r="J112" s="22"/>
      <c r="K112" s="22"/>
      <c r="L112" s="22"/>
    </row>
    <row r="113" spans="4:12" ht="20.100000000000001" customHeight="1" x14ac:dyDescent="0.25">
      <c r="D113" s="22" t="str" cm="1">
        <f t="array" ref="D113">Common_InputFunctions.Utility_DisplayArrayInTable(AgResidues_SourceData.CropFractionRemoved_CustomisedData(), Table77[[#Headers],[Crop type c]], 0)</f>
        <v>Sugar Cane</v>
      </c>
      <c r="E113" t="str" cm="1">
        <f t="array" ref="E113">Common_InputFunctions.Utility_DisplayArrayInTable(AgResidues_SourceData.CropFractionRemoved_CustomisedData(), Table77[[#Headers],[Crop type c]], 0)</f>
        <v>VIC</v>
      </c>
      <c r="F113" t="str" cm="1">
        <f t="array" ref="F113">Common_InputFunctions.Utility_DisplayArrayInTable(AgResidues_SourceData.CropFractionRemoved_CustomisedData(), Table77[[#Headers],[Crop type c]], 0)</f>
        <v>N/A</v>
      </c>
      <c r="G113" s="22"/>
      <c r="H113" s="22"/>
      <c r="I113" s="22"/>
      <c r="J113" s="22"/>
      <c r="K113" s="22"/>
      <c r="L113" s="22"/>
    </row>
    <row r="114" spans="4:12" ht="20.100000000000001" customHeight="1" x14ac:dyDescent="0.25">
      <c r="D114" s="22" t="str" cm="1">
        <f t="array" ref="D114">Common_InputFunctions.Utility_DisplayArrayInTable(AgResidues_SourceData.CropFractionRemoved_CustomisedData(), Table77[[#Headers],[Crop type c]], 0)</f>
        <v>Sugar Cane</v>
      </c>
      <c r="E114" t="str" cm="1">
        <f t="array" ref="E114">Common_InputFunctions.Utility_DisplayArrayInTable(AgResidues_SourceData.CropFractionRemoved_CustomisedData(), Table77[[#Headers],[Crop type c]], 0)</f>
        <v>QLD</v>
      </c>
      <c r="F114" cm="1">
        <f t="array" ref="F114">Common_InputFunctions.Utility_DisplayArrayInTable(AgResidues_SourceData.CropFractionRemoved_CustomisedData(), Table77[[#Headers],[Crop type c]], 0)</f>
        <v>0.03</v>
      </c>
      <c r="G114" s="22"/>
      <c r="H114" s="22"/>
      <c r="I114" s="22"/>
      <c r="J114" s="22"/>
      <c r="K114" s="22"/>
      <c r="L114" s="22"/>
    </row>
    <row r="115" spans="4:12" ht="20.100000000000001" customHeight="1" x14ac:dyDescent="0.25">
      <c r="D115" s="22" t="str" cm="1">
        <f t="array" ref="D115">Common_InputFunctions.Utility_DisplayArrayInTable(AgResidues_SourceData.CropFractionRemoved_CustomisedData(), Table77[[#Headers],[Crop type c]], 0)</f>
        <v>Sugar Cane</v>
      </c>
      <c r="E115" t="str" cm="1">
        <f t="array" ref="E115">Common_InputFunctions.Utility_DisplayArrayInTable(AgResidues_SourceData.CropFractionRemoved_CustomisedData(), Table77[[#Headers],[Crop type c]], 0)</f>
        <v>SA</v>
      </c>
      <c r="F115" t="str" cm="1">
        <f t="array" ref="F115">Common_InputFunctions.Utility_DisplayArrayInTable(AgResidues_SourceData.CropFractionRemoved_CustomisedData(), Table77[[#Headers],[Crop type c]], 0)</f>
        <v>N/A</v>
      </c>
      <c r="G115" s="22"/>
      <c r="H115" s="22"/>
      <c r="I115" s="22"/>
      <c r="J115" s="22"/>
      <c r="K115" s="22"/>
      <c r="L115" s="22"/>
    </row>
    <row r="116" spans="4:12" ht="20.100000000000001" customHeight="1" x14ac:dyDescent="0.25">
      <c r="D116" s="22" t="str" cm="1">
        <f t="array" ref="D116">Common_InputFunctions.Utility_DisplayArrayInTable(AgResidues_SourceData.CropFractionRemoved_CustomisedData(), Table77[[#Headers],[Crop type c]], 0)</f>
        <v>Sugar Cane</v>
      </c>
      <c r="E116" t="str" cm="1">
        <f t="array" ref="E116">Common_InputFunctions.Utility_DisplayArrayInTable(AgResidues_SourceData.CropFractionRemoved_CustomisedData(), Table77[[#Headers],[Crop type c]], 0)</f>
        <v>WA</v>
      </c>
      <c r="F116" cm="1">
        <f t="array" ref="F116">Common_InputFunctions.Utility_DisplayArrayInTable(AgResidues_SourceData.CropFractionRemoved_CustomisedData(), Table77[[#Headers],[Crop type c]], 0)</f>
        <v>0</v>
      </c>
      <c r="G116" s="22"/>
      <c r="H116" s="22"/>
      <c r="I116" s="22"/>
      <c r="J116" s="22"/>
      <c r="K116" s="22"/>
      <c r="L116" s="22"/>
    </row>
    <row r="117" spans="4:12" ht="20.100000000000001" customHeight="1" x14ac:dyDescent="0.25">
      <c r="D117" s="22" t="str" cm="1">
        <f t="array" ref="D117">Common_InputFunctions.Utility_DisplayArrayInTable(AgResidues_SourceData.CropFractionRemoved_CustomisedData(), Table77[[#Headers],[Crop type c]], 0)</f>
        <v>Sugar Cane</v>
      </c>
      <c r="E117" t="str" cm="1">
        <f t="array" ref="E117">Common_InputFunctions.Utility_DisplayArrayInTable(AgResidues_SourceData.CropFractionRemoved_CustomisedData(), Table77[[#Headers],[Crop type c]], 0)</f>
        <v>TAS</v>
      </c>
      <c r="F117" t="str" cm="1">
        <f t="array" ref="F117">Common_InputFunctions.Utility_DisplayArrayInTable(AgResidues_SourceData.CropFractionRemoved_CustomisedData(), Table77[[#Headers],[Crop type c]], 0)</f>
        <v>N/A</v>
      </c>
      <c r="G117" s="22"/>
      <c r="H117" s="22"/>
      <c r="I117" s="22"/>
      <c r="J117" s="22"/>
      <c r="K117" s="22"/>
      <c r="L117" s="22"/>
    </row>
    <row r="118" spans="4:12" ht="20.100000000000001" customHeight="1" x14ac:dyDescent="0.25">
      <c r="D118" s="22" t="str" cm="1">
        <f t="array" ref="D118">Common_InputFunctions.Utility_DisplayArrayInTable(AgResidues_SourceData.CropFractionRemoved_CustomisedData(), Table77[[#Headers],[Crop type c]], 0)</f>
        <v>Sugar Cane</v>
      </c>
      <c r="E118" t="str" cm="1">
        <f t="array" ref="E118">Common_InputFunctions.Utility_DisplayArrayInTable(AgResidues_SourceData.CropFractionRemoved_CustomisedData(), Table77[[#Headers],[Crop type c]], 0)</f>
        <v>NT</v>
      </c>
      <c r="F118" t="str" cm="1">
        <f t="array" ref="F118">Common_InputFunctions.Utility_DisplayArrayInTable(AgResidues_SourceData.CropFractionRemoved_CustomisedData(), Table77[[#Headers],[Crop type c]], 0)</f>
        <v>N/A</v>
      </c>
      <c r="G118" s="22"/>
      <c r="H118" s="22"/>
      <c r="I118" s="22"/>
      <c r="J118" s="22"/>
      <c r="K118" s="22"/>
      <c r="L118" s="22"/>
    </row>
    <row r="119" spans="4:12" ht="20.100000000000001" customHeight="1" x14ac:dyDescent="0.25">
      <c r="D119" s="22" t="str" cm="1">
        <f t="array" ref="D119">Common_InputFunctions.Utility_DisplayArrayInTable(AgResidues_SourceData.CropFractionRemoved_CustomisedData(), Table77[[#Headers],[Crop type c]], 0)</f>
        <v>Sugar Cane</v>
      </c>
      <c r="E119" t="str" cm="1">
        <f t="array" ref="E119">Common_InputFunctions.Utility_DisplayArrayInTable(AgResidues_SourceData.CropFractionRemoved_CustomisedData(), Table77[[#Headers],[Crop type c]], 0)</f>
        <v>ACT</v>
      </c>
      <c r="F119" t="str" cm="1">
        <f t="array" ref="F119">Common_InputFunctions.Utility_DisplayArrayInTable(AgResidues_SourceData.CropFractionRemoved_CustomisedData(), Table77[[#Headers],[Crop type c]], 0)</f>
        <v>N/A</v>
      </c>
      <c r="G119" s="22"/>
      <c r="H119" s="22"/>
      <c r="I119" s="22"/>
      <c r="J119" s="22"/>
      <c r="K119" s="22"/>
      <c r="L119" s="22"/>
    </row>
    <row r="120" spans="4:12" ht="20.100000000000001" customHeight="1" x14ac:dyDescent="0.25">
      <c r="D120" s="22" t="str" cm="1">
        <f t="array" ref="D120">Common_InputFunctions.Utility_DisplayArrayInTable(AgResidues_SourceData.CropFractionRemoved_CustomisedData(), Table77[[#Headers],[Crop type c]], 0)</f>
        <v>Wheat</v>
      </c>
      <c r="E120" t="str" cm="1">
        <f t="array" ref="E120">Common_InputFunctions.Utility_DisplayArrayInTable(AgResidues_SourceData.CropFractionRemoved_CustomisedData(), Table77[[#Headers],[Crop type c]], 0)</f>
        <v>NSW</v>
      </c>
      <c r="F120" cm="1">
        <f t="array" ref="F120">Common_InputFunctions.Utility_DisplayArrayInTable(AgResidues_SourceData.CropFractionRemoved_CustomisedData(), Table77[[#Headers],[Crop type c]], 0)</f>
        <v>0.05</v>
      </c>
      <c r="G120" s="22"/>
      <c r="H120" s="22"/>
      <c r="I120" s="22"/>
      <c r="J120" s="22"/>
      <c r="K120" s="22"/>
      <c r="L120" s="22"/>
    </row>
    <row r="121" spans="4:12" ht="20.100000000000001" customHeight="1" x14ac:dyDescent="0.25">
      <c r="D121" s="22" t="str" cm="1">
        <f t="array" ref="D121">Common_InputFunctions.Utility_DisplayArrayInTable(AgResidues_SourceData.CropFractionRemoved_CustomisedData(), Table77[[#Headers],[Crop type c]], 0)</f>
        <v>Wheat</v>
      </c>
      <c r="E121" t="str" cm="1">
        <f t="array" ref="E121">Common_InputFunctions.Utility_DisplayArrayInTable(AgResidues_SourceData.CropFractionRemoved_CustomisedData(), Table77[[#Headers],[Crop type c]], 0)</f>
        <v>VIC</v>
      </c>
      <c r="F121" cm="1">
        <f t="array" ref="F121">Common_InputFunctions.Utility_DisplayArrayInTable(AgResidues_SourceData.CropFractionRemoved_CustomisedData(), Table77[[#Headers],[Crop type c]], 0)</f>
        <v>7.0000000000000007E-2</v>
      </c>
      <c r="G121" s="22"/>
      <c r="H121" s="22"/>
      <c r="I121" s="22"/>
      <c r="J121" s="22"/>
      <c r="K121" s="22"/>
      <c r="L121" s="22"/>
    </row>
    <row r="122" spans="4:12" ht="20.100000000000001" customHeight="1" x14ac:dyDescent="0.25">
      <c r="D122" s="22" t="str" cm="1">
        <f t="array" ref="D122">Common_InputFunctions.Utility_DisplayArrayInTable(AgResidues_SourceData.CropFractionRemoved_CustomisedData(), Table77[[#Headers],[Crop type c]], 0)</f>
        <v>Wheat</v>
      </c>
      <c r="E122" t="str" cm="1">
        <f t="array" ref="E122">Common_InputFunctions.Utility_DisplayArrayInTable(AgResidues_SourceData.CropFractionRemoved_CustomisedData(), Table77[[#Headers],[Crop type c]], 0)</f>
        <v>QLD</v>
      </c>
      <c r="F122" cm="1">
        <f t="array" ref="F122">Common_InputFunctions.Utility_DisplayArrayInTable(AgResidues_SourceData.CropFractionRemoved_CustomisedData(), Table77[[#Headers],[Crop type c]], 0)</f>
        <v>0.04</v>
      </c>
      <c r="G122" s="22"/>
      <c r="H122" s="22"/>
      <c r="I122" s="22"/>
      <c r="J122" s="22"/>
      <c r="K122" s="22"/>
      <c r="L122" s="22"/>
    </row>
    <row r="123" spans="4:12" ht="20.100000000000001" customHeight="1" x14ac:dyDescent="0.25">
      <c r="D123" s="22" t="str" cm="1">
        <f t="array" ref="D123">Common_InputFunctions.Utility_DisplayArrayInTable(AgResidues_SourceData.CropFractionRemoved_CustomisedData(), Table77[[#Headers],[Crop type c]], 0)</f>
        <v>Wheat</v>
      </c>
      <c r="E123" t="str" cm="1">
        <f t="array" ref="E123">Common_InputFunctions.Utility_DisplayArrayInTable(AgResidues_SourceData.CropFractionRemoved_CustomisedData(), Table77[[#Headers],[Crop type c]], 0)</f>
        <v>SA</v>
      </c>
      <c r="F123" cm="1">
        <f t="array" ref="F123">Common_InputFunctions.Utility_DisplayArrayInTable(AgResidues_SourceData.CropFractionRemoved_CustomisedData(), Table77[[#Headers],[Crop type c]], 0)</f>
        <v>0.09</v>
      </c>
      <c r="G123" s="22"/>
      <c r="H123" s="22"/>
      <c r="I123" s="22"/>
      <c r="J123" s="22"/>
      <c r="K123" s="22"/>
      <c r="L123" s="22"/>
    </row>
    <row r="124" spans="4:12" ht="20.100000000000001" customHeight="1" x14ac:dyDescent="0.25">
      <c r="D124" s="22" t="str" cm="1">
        <f t="array" ref="D124">Common_InputFunctions.Utility_DisplayArrayInTable(AgResidues_SourceData.CropFractionRemoved_CustomisedData(), Table77[[#Headers],[Crop type c]], 0)</f>
        <v>Wheat</v>
      </c>
      <c r="E124" t="str" cm="1">
        <f t="array" ref="E124">Common_InputFunctions.Utility_DisplayArrayInTable(AgResidues_SourceData.CropFractionRemoved_CustomisedData(), Table77[[#Headers],[Crop type c]], 0)</f>
        <v>WA</v>
      </c>
      <c r="F124" cm="1">
        <f t="array" ref="F124">Common_InputFunctions.Utility_DisplayArrayInTable(AgResidues_SourceData.CropFractionRemoved_CustomisedData(), Table77[[#Headers],[Crop type c]], 0)</f>
        <v>0.11</v>
      </c>
      <c r="G124" s="22"/>
      <c r="H124" s="22"/>
      <c r="I124" s="22"/>
      <c r="J124" s="22"/>
      <c r="K124" s="22"/>
      <c r="L124" s="22"/>
    </row>
    <row r="125" spans="4:12" ht="20.100000000000001" customHeight="1" x14ac:dyDescent="0.25">
      <c r="D125" s="22" t="str" cm="1">
        <f t="array" ref="D125">Common_InputFunctions.Utility_DisplayArrayInTable(AgResidues_SourceData.CropFractionRemoved_CustomisedData(), Table77[[#Headers],[Crop type c]], 0)</f>
        <v>Wheat</v>
      </c>
      <c r="E125" t="str" cm="1">
        <f t="array" ref="E125">Common_InputFunctions.Utility_DisplayArrayInTable(AgResidues_SourceData.CropFractionRemoved_CustomisedData(), Table77[[#Headers],[Crop type c]], 0)</f>
        <v>TAS</v>
      </c>
      <c r="F125" cm="1">
        <f t="array" ref="F125">Common_InputFunctions.Utility_DisplayArrayInTable(AgResidues_SourceData.CropFractionRemoved_CustomisedData(), Table77[[#Headers],[Crop type c]], 0)</f>
        <v>0.16</v>
      </c>
      <c r="G125" s="22"/>
      <c r="H125" s="22"/>
      <c r="I125" s="22"/>
      <c r="J125" s="22"/>
      <c r="K125" s="22"/>
      <c r="L125" s="22"/>
    </row>
    <row r="126" spans="4:12" ht="20.100000000000001" customHeight="1" x14ac:dyDescent="0.25">
      <c r="D126" s="22" t="str" cm="1">
        <f t="array" ref="D126">Common_InputFunctions.Utility_DisplayArrayInTable(AgResidues_SourceData.CropFractionRemoved_CustomisedData(), Table77[[#Headers],[Crop type c]], 0)</f>
        <v>Wheat</v>
      </c>
      <c r="E126" t="str" cm="1">
        <f t="array" ref="E126">Common_InputFunctions.Utility_DisplayArrayInTable(AgResidues_SourceData.CropFractionRemoved_CustomisedData(), Table77[[#Headers],[Crop type c]], 0)</f>
        <v>NT</v>
      </c>
      <c r="F126" cm="1">
        <f t="array" ref="F126">Common_InputFunctions.Utility_DisplayArrayInTable(AgResidues_SourceData.CropFractionRemoved_CustomisedData(), Table77[[#Headers],[Crop type c]], 0)</f>
        <v>0.01</v>
      </c>
      <c r="G126" s="22"/>
      <c r="H126" s="22"/>
      <c r="I126" s="22"/>
      <c r="J126" s="22"/>
      <c r="K126" s="22"/>
      <c r="L126" s="22"/>
    </row>
    <row r="127" spans="4:12" ht="20.100000000000001" customHeight="1" x14ac:dyDescent="0.25">
      <c r="D127" s="22" t="str" cm="1">
        <f t="array" ref="D127">Common_InputFunctions.Utility_DisplayArrayInTable(AgResidues_SourceData.CropFractionRemoved_CustomisedData(), Table77[[#Headers],[Crop type c]], 0)</f>
        <v>Wheat</v>
      </c>
      <c r="E127" t="str" cm="1">
        <f t="array" ref="E127">Common_InputFunctions.Utility_DisplayArrayInTable(AgResidues_SourceData.CropFractionRemoved_CustomisedData(), Table77[[#Headers],[Crop type c]], 0)</f>
        <v>ACT</v>
      </c>
      <c r="F127" cm="1">
        <f t="array" ref="F127">Common_InputFunctions.Utility_DisplayArrayInTable(AgResidues_SourceData.CropFractionRemoved_CustomisedData(), Table77[[#Headers],[Crop type c]], 0)</f>
        <v>0</v>
      </c>
      <c r="G127" s="22"/>
      <c r="H127" s="22"/>
      <c r="I127" s="22"/>
      <c r="J127" s="22"/>
      <c r="K127" s="22"/>
      <c r="L127" s="22"/>
    </row>
    <row r="128" spans="4:12" ht="20.100000000000001" customHeight="1" x14ac:dyDescent="0.25">
      <c r="D128" s="22" t="str" cm="1">
        <f t="array" ref="D128">Common_InputFunctions.Utility_DisplayArrayInTable(AgResidues_SourceData.CropFractionRemoved_CustomisedData(), Table77[[#Headers],[Crop type c]], 0)</f>
        <v>Barley</v>
      </c>
      <c r="E128" t="str" cm="1">
        <f t="array" ref="E128">Common_InputFunctions.Utility_DisplayArrayInTable(AgResidues_SourceData.CropFractionRemoved_CustomisedData(), Table77[[#Headers],[Crop type c]], 0)</f>
        <v>NSW</v>
      </c>
      <c r="F128" cm="1">
        <f t="array" ref="F128">Common_InputFunctions.Utility_DisplayArrayInTable(AgResidues_SourceData.CropFractionRemoved_CustomisedData(), Table77[[#Headers],[Crop type c]], 0)</f>
        <v>0.05</v>
      </c>
      <c r="G128" s="22"/>
      <c r="H128" s="22"/>
      <c r="I128" s="22"/>
      <c r="J128" s="22"/>
      <c r="K128" s="22"/>
      <c r="L128" s="22"/>
    </row>
    <row r="129" spans="4:12" ht="20.100000000000001" customHeight="1" x14ac:dyDescent="0.25">
      <c r="D129" s="22" t="str" cm="1">
        <f t="array" ref="D129">Common_InputFunctions.Utility_DisplayArrayInTable(AgResidues_SourceData.CropFractionRemoved_CustomisedData(), Table77[[#Headers],[Crop type c]], 0)</f>
        <v>Barley</v>
      </c>
      <c r="E129" t="str" cm="1">
        <f t="array" ref="E129">Common_InputFunctions.Utility_DisplayArrayInTable(AgResidues_SourceData.CropFractionRemoved_CustomisedData(), Table77[[#Headers],[Crop type c]], 0)</f>
        <v>VIC</v>
      </c>
      <c r="F129" cm="1">
        <f t="array" ref="F129">Common_InputFunctions.Utility_DisplayArrayInTable(AgResidues_SourceData.CropFractionRemoved_CustomisedData(), Table77[[#Headers],[Crop type c]], 0)</f>
        <v>7.0000000000000007E-2</v>
      </c>
      <c r="G129" s="22"/>
      <c r="H129" s="22"/>
      <c r="I129" s="22"/>
      <c r="J129" s="22"/>
      <c r="K129" s="22"/>
      <c r="L129" s="22"/>
    </row>
    <row r="130" spans="4:12" ht="20.100000000000001" customHeight="1" x14ac:dyDescent="0.25">
      <c r="D130" s="22" t="str" cm="1">
        <f t="array" ref="D130">Common_InputFunctions.Utility_DisplayArrayInTable(AgResidues_SourceData.CropFractionRemoved_CustomisedData(), Table77[[#Headers],[Crop type c]], 0)</f>
        <v>Barley</v>
      </c>
      <c r="E130" t="str" cm="1">
        <f t="array" ref="E130">Common_InputFunctions.Utility_DisplayArrayInTable(AgResidues_SourceData.CropFractionRemoved_CustomisedData(), Table77[[#Headers],[Crop type c]], 0)</f>
        <v>QLD</v>
      </c>
      <c r="F130" cm="1">
        <f t="array" ref="F130">Common_InputFunctions.Utility_DisplayArrayInTable(AgResidues_SourceData.CropFractionRemoved_CustomisedData(), Table77[[#Headers],[Crop type c]], 0)</f>
        <v>0.04</v>
      </c>
      <c r="G130" s="22"/>
      <c r="H130" s="22"/>
      <c r="I130" s="22"/>
      <c r="J130" s="22"/>
      <c r="K130" s="22"/>
      <c r="L130" s="22"/>
    </row>
    <row r="131" spans="4:12" ht="20.100000000000001" customHeight="1" x14ac:dyDescent="0.25">
      <c r="D131" s="22" t="str" cm="1">
        <f t="array" ref="D131">Common_InputFunctions.Utility_DisplayArrayInTable(AgResidues_SourceData.CropFractionRemoved_CustomisedData(), Table77[[#Headers],[Crop type c]], 0)</f>
        <v>Barley</v>
      </c>
      <c r="E131" t="str" cm="1">
        <f t="array" ref="E131">Common_InputFunctions.Utility_DisplayArrayInTable(AgResidues_SourceData.CropFractionRemoved_CustomisedData(), Table77[[#Headers],[Crop type c]], 0)</f>
        <v>SA</v>
      </c>
      <c r="F131" cm="1">
        <f t="array" ref="F131">Common_InputFunctions.Utility_DisplayArrayInTable(AgResidues_SourceData.CropFractionRemoved_CustomisedData(), Table77[[#Headers],[Crop type c]], 0)</f>
        <v>0.09</v>
      </c>
      <c r="G131" s="22"/>
      <c r="H131" s="22"/>
      <c r="I131" s="22"/>
      <c r="J131" s="22"/>
      <c r="K131" s="22"/>
      <c r="L131" s="22"/>
    </row>
    <row r="132" spans="4:12" ht="20.100000000000001" customHeight="1" x14ac:dyDescent="0.25">
      <c r="D132" s="22" t="str" cm="1">
        <f t="array" ref="D132">Common_InputFunctions.Utility_DisplayArrayInTable(AgResidues_SourceData.CropFractionRemoved_CustomisedData(), Table77[[#Headers],[Crop type c]], 0)</f>
        <v>Barley</v>
      </c>
      <c r="E132" t="str" cm="1">
        <f t="array" ref="E132">Common_InputFunctions.Utility_DisplayArrayInTable(AgResidues_SourceData.CropFractionRemoved_CustomisedData(), Table77[[#Headers],[Crop type c]], 0)</f>
        <v>WA</v>
      </c>
      <c r="F132" cm="1">
        <f t="array" ref="F132">Common_InputFunctions.Utility_DisplayArrayInTable(AgResidues_SourceData.CropFractionRemoved_CustomisedData(), Table77[[#Headers],[Crop type c]], 0)</f>
        <v>0.11</v>
      </c>
      <c r="G132" s="22"/>
      <c r="H132" s="22"/>
      <c r="I132" s="22"/>
      <c r="J132" s="22"/>
      <c r="K132" s="22"/>
      <c r="L132" s="22"/>
    </row>
    <row r="133" spans="4:12" ht="20.100000000000001" customHeight="1" x14ac:dyDescent="0.25">
      <c r="D133" s="22" t="str" cm="1">
        <f t="array" ref="D133">Common_InputFunctions.Utility_DisplayArrayInTable(AgResidues_SourceData.CropFractionRemoved_CustomisedData(), Table77[[#Headers],[Crop type c]], 0)</f>
        <v>Barley</v>
      </c>
      <c r="E133" t="str" cm="1">
        <f t="array" ref="E133">Common_InputFunctions.Utility_DisplayArrayInTable(AgResidues_SourceData.CropFractionRemoved_CustomisedData(), Table77[[#Headers],[Crop type c]], 0)</f>
        <v>TAS</v>
      </c>
      <c r="F133" cm="1">
        <f t="array" ref="F133">Common_InputFunctions.Utility_DisplayArrayInTable(AgResidues_SourceData.CropFractionRemoved_CustomisedData(), Table77[[#Headers],[Crop type c]], 0)</f>
        <v>0.16</v>
      </c>
      <c r="G133" s="22"/>
      <c r="H133" s="22"/>
      <c r="I133" s="22"/>
      <c r="J133" s="22"/>
      <c r="K133" s="22"/>
      <c r="L133" s="22"/>
    </row>
    <row r="134" spans="4:12" ht="20.100000000000001" customHeight="1" x14ac:dyDescent="0.25">
      <c r="D134" s="22" t="str" cm="1">
        <f t="array" ref="D134">Common_InputFunctions.Utility_DisplayArrayInTable(AgResidues_SourceData.CropFractionRemoved_CustomisedData(), Table77[[#Headers],[Crop type c]], 0)</f>
        <v>Barley</v>
      </c>
      <c r="E134" t="str" cm="1">
        <f t="array" ref="E134">Common_InputFunctions.Utility_DisplayArrayInTable(AgResidues_SourceData.CropFractionRemoved_CustomisedData(), Table77[[#Headers],[Crop type c]], 0)</f>
        <v>NT</v>
      </c>
      <c r="F134" cm="1">
        <f t="array" ref="F134">Common_InputFunctions.Utility_DisplayArrayInTable(AgResidues_SourceData.CropFractionRemoved_CustomisedData(), Table77[[#Headers],[Crop type c]], 0)</f>
        <v>0.01</v>
      </c>
      <c r="G134" s="22"/>
      <c r="H134" s="22"/>
      <c r="I134" s="22"/>
      <c r="J134" s="22"/>
      <c r="K134" s="22"/>
      <c r="L134" s="22"/>
    </row>
    <row r="135" spans="4:12" ht="20.100000000000001" customHeight="1" x14ac:dyDescent="0.25">
      <c r="D135" s="22" t="str" cm="1">
        <f t="array" ref="D135">Common_InputFunctions.Utility_DisplayArrayInTable(AgResidues_SourceData.CropFractionRemoved_CustomisedData(), Table77[[#Headers],[Crop type c]], 0)</f>
        <v>Barley</v>
      </c>
      <c r="E135" t="str" cm="1">
        <f t="array" ref="E135">Common_InputFunctions.Utility_DisplayArrayInTable(AgResidues_SourceData.CropFractionRemoved_CustomisedData(), Table77[[#Headers],[Crop type c]], 0)</f>
        <v>ACT</v>
      </c>
      <c r="F135" cm="1">
        <f t="array" ref="F135">Common_InputFunctions.Utility_DisplayArrayInTable(AgResidues_SourceData.CropFractionRemoved_CustomisedData(), Table77[[#Headers],[Crop type c]], 0)</f>
        <v>0</v>
      </c>
      <c r="G135" s="22"/>
      <c r="H135" s="22"/>
      <c r="I135" s="22"/>
      <c r="J135" s="22"/>
      <c r="K135" s="22"/>
      <c r="L135" s="22"/>
    </row>
    <row r="136" spans="4:12" ht="20.100000000000001" customHeight="1" x14ac:dyDescent="0.25">
      <c r="D136" s="22" t="str" cm="1">
        <f t="array" ref="D136">Common_InputFunctions.Utility_DisplayArrayInTable(AgResidues_SourceData.CropFractionRemoved_CustomisedData(), Table77[[#Headers],[Crop type c]], 0)</f>
        <v>Maize</v>
      </c>
      <c r="E136" t="str" cm="1">
        <f t="array" ref="E136">Common_InputFunctions.Utility_DisplayArrayInTable(AgResidues_SourceData.CropFractionRemoved_CustomisedData(), Table77[[#Headers],[Crop type c]], 0)</f>
        <v>NSW</v>
      </c>
      <c r="F136" cm="1">
        <f t="array" ref="F136">Common_InputFunctions.Utility_DisplayArrayInTable(AgResidues_SourceData.CropFractionRemoved_CustomisedData(), Table77[[#Headers],[Crop type c]], 0)</f>
        <v>0.05</v>
      </c>
      <c r="G136" s="22"/>
      <c r="H136" s="22"/>
      <c r="I136" s="22"/>
      <c r="J136" s="22"/>
      <c r="K136" s="22"/>
      <c r="L136" s="22"/>
    </row>
    <row r="137" spans="4:12" ht="20.100000000000001" customHeight="1" x14ac:dyDescent="0.25">
      <c r="D137" s="22" t="str" cm="1">
        <f t="array" ref="D137">Common_InputFunctions.Utility_DisplayArrayInTable(AgResidues_SourceData.CropFractionRemoved_CustomisedData(), Table77[[#Headers],[Crop type c]], 0)</f>
        <v>Maize</v>
      </c>
      <c r="E137" t="str" cm="1">
        <f t="array" ref="E137">Common_InputFunctions.Utility_DisplayArrayInTable(AgResidues_SourceData.CropFractionRemoved_CustomisedData(), Table77[[#Headers],[Crop type c]], 0)</f>
        <v>VIC</v>
      </c>
      <c r="F137" cm="1">
        <f t="array" ref="F137">Common_InputFunctions.Utility_DisplayArrayInTable(AgResidues_SourceData.CropFractionRemoved_CustomisedData(), Table77[[#Headers],[Crop type c]], 0)</f>
        <v>7.0000000000000007E-2</v>
      </c>
      <c r="G137" s="22"/>
      <c r="H137" s="22"/>
      <c r="I137" s="22"/>
      <c r="J137" s="22"/>
      <c r="K137" s="22"/>
      <c r="L137" s="22"/>
    </row>
    <row r="138" spans="4:12" ht="20.100000000000001" customHeight="1" x14ac:dyDescent="0.25">
      <c r="D138" s="22" t="str" cm="1">
        <f t="array" ref="D138">Common_InputFunctions.Utility_DisplayArrayInTable(AgResidues_SourceData.CropFractionRemoved_CustomisedData(), Table77[[#Headers],[Crop type c]], 0)</f>
        <v>Maize</v>
      </c>
      <c r="E138" t="str" cm="1">
        <f t="array" ref="E138">Common_InputFunctions.Utility_DisplayArrayInTable(AgResidues_SourceData.CropFractionRemoved_CustomisedData(), Table77[[#Headers],[Crop type c]], 0)</f>
        <v>QLD</v>
      </c>
      <c r="F138" cm="1">
        <f t="array" ref="F138">Common_InputFunctions.Utility_DisplayArrayInTable(AgResidues_SourceData.CropFractionRemoved_CustomisedData(), Table77[[#Headers],[Crop type c]], 0)</f>
        <v>0.04</v>
      </c>
      <c r="G138" s="22"/>
      <c r="H138" s="22"/>
      <c r="I138" s="22"/>
      <c r="J138" s="22"/>
      <c r="K138" s="22"/>
      <c r="L138" s="22"/>
    </row>
    <row r="139" spans="4:12" ht="20.100000000000001" customHeight="1" x14ac:dyDescent="0.25">
      <c r="D139" s="22" t="str" cm="1">
        <f t="array" ref="D139">Common_InputFunctions.Utility_DisplayArrayInTable(AgResidues_SourceData.CropFractionRemoved_CustomisedData(), Table77[[#Headers],[Crop type c]], 0)</f>
        <v>Maize</v>
      </c>
      <c r="E139" t="str" cm="1">
        <f t="array" ref="E139">Common_InputFunctions.Utility_DisplayArrayInTable(AgResidues_SourceData.CropFractionRemoved_CustomisedData(), Table77[[#Headers],[Crop type c]], 0)</f>
        <v>SA</v>
      </c>
      <c r="F139" cm="1">
        <f t="array" ref="F139">Common_InputFunctions.Utility_DisplayArrayInTable(AgResidues_SourceData.CropFractionRemoved_CustomisedData(), Table77[[#Headers],[Crop type c]], 0)</f>
        <v>0.09</v>
      </c>
      <c r="G139" s="22"/>
      <c r="H139" s="22"/>
      <c r="I139" s="22"/>
      <c r="J139" s="22"/>
      <c r="K139" s="22"/>
      <c r="L139" s="22"/>
    </row>
    <row r="140" spans="4:12" ht="20.100000000000001" customHeight="1" x14ac:dyDescent="0.25">
      <c r="D140" s="22" t="str" cm="1">
        <f t="array" ref="D140">Common_InputFunctions.Utility_DisplayArrayInTable(AgResidues_SourceData.CropFractionRemoved_CustomisedData(), Table77[[#Headers],[Crop type c]], 0)</f>
        <v>Maize</v>
      </c>
      <c r="E140" t="str" cm="1">
        <f t="array" ref="E140">Common_InputFunctions.Utility_DisplayArrayInTable(AgResidues_SourceData.CropFractionRemoved_CustomisedData(), Table77[[#Headers],[Crop type c]], 0)</f>
        <v>WA</v>
      </c>
      <c r="F140" cm="1">
        <f t="array" ref="F140">Common_InputFunctions.Utility_DisplayArrayInTable(AgResidues_SourceData.CropFractionRemoved_CustomisedData(), Table77[[#Headers],[Crop type c]], 0)</f>
        <v>0.11</v>
      </c>
      <c r="G140" s="22"/>
      <c r="H140" s="22"/>
      <c r="I140" s="22"/>
      <c r="J140" s="22"/>
      <c r="K140" s="22"/>
      <c r="L140" s="22"/>
    </row>
    <row r="141" spans="4:12" ht="20.100000000000001" customHeight="1" x14ac:dyDescent="0.25">
      <c r="D141" s="22" t="str" cm="1">
        <f t="array" ref="D141">Common_InputFunctions.Utility_DisplayArrayInTable(AgResidues_SourceData.CropFractionRemoved_CustomisedData(), Table77[[#Headers],[Crop type c]], 0)</f>
        <v>Maize</v>
      </c>
      <c r="E141" t="str" cm="1">
        <f t="array" ref="E141">Common_InputFunctions.Utility_DisplayArrayInTable(AgResidues_SourceData.CropFractionRemoved_CustomisedData(), Table77[[#Headers],[Crop type c]], 0)</f>
        <v>TAS</v>
      </c>
      <c r="F141" cm="1">
        <f t="array" ref="F141">Common_InputFunctions.Utility_DisplayArrayInTable(AgResidues_SourceData.CropFractionRemoved_CustomisedData(), Table77[[#Headers],[Crop type c]], 0)</f>
        <v>0.16</v>
      </c>
      <c r="G141" s="22"/>
      <c r="H141" s="22"/>
      <c r="I141" s="22"/>
      <c r="J141" s="22"/>
      <c r="K141" s="22"/>
      <c r="L141" s="22"/>
    </row>
    <row r="142" spans="4:12" ht="20.100000000000001" customHeight="1" x14ac:dyDescent="0.25">
      <c r="D142" s="22" t="str" cm="1">
        <f t="array" ref="D142">Common_InputFunctions.Utility_DisplayArrayInTable(AgResidues_SourceData.CropFractionRemoved_CustomisedData(), Table77[[#Headers],[Crop type c]], 0)</f>
        <v>Maize</v>
      </c>
      <c r="E142" t="str" cm="1">
        <f t="array" ref="E142">Common_InputFunctions.Utility_DisplayArrayInTable(AgResidues_SourceData.CropFractionRemoved_CustomisedData(), Table77[[#Headers],[Crop type c]], 0)</f>
        <v>NT</v>
      </c>
      <c r="F142" cm="1">
        <f t="array" ref="F142">Common_InputFunctions.Utility_DisplayArrayInTable(AgResidues_SourceData.CropFractionRemoved_CustomisedData(), Table77[[#Headers],[Crop type c]], 0)</f>
        <v>0.01</v>
      </c>
      <c r="G142" s="22"/>
      <c r="H142" s="22"/>
      <c r="I142" s="22"/>
      <c r="J142" s="22"/>
      <c r="K142" s="22"/>
      <c r="L142" s="22"/>
    </row>
    <row r="143" spans="4:12" ht="20.100000000000001" customHeight="1" x14ac:dyDescent="0.25">
      <c r="D143" s="22" t="str" cm="1">
        <f t="array" ref="D143">Common_InputFunctions.Utility_DisplayArrayInTable(AgResidues_SourceData.CropFractionRemoved_CustomisedData(), Table77[[#Headers],[Crop type c]], 0)</f>
        <v>Maize</v>
      </c>
      <c r="E143" t="str" cm="1">
        <f t="array" ref="E143">Common_InputFunctions.Utility_DisplayArrayInTable(AgResidues_SourceData.CropFractionRemoved_CustomisedData(), Table77[[#Headers],[Crop type c]], 0)</f>
        <v>ACT</v>
      </c>
      <c r="F143" cm="1">
        <f t="array" ref="F143">Common_InputFunctions.Utility_DisplayArrayInTable(AgResidues_SourceData.CropFractionRemoved_CustomisedData(), Table77[[#Headers],[Crop type c]], 0)</f>
        <v>0</v>
      </c>
      <c r="G143" s="22"/>
      <c r="H143" s="22"/>
      <c r="I143" s="22"/>
      <c r="J143" s="22"/>
      <c r="K143" s="22"/>
      <c r="L143" s="22"/>
    </row>
    <row r="144" spans="4:12" ht="20.100000000000001" customHeight="1" x14ac:dyDescent="0.25">
      <c r="D144" s="22" t="str" cm="1">
        <f t="array" ref="D144">Common_InputFunctions.Utility_DisplayArrayInTable(AgResidues_SourceData.CropFractionRemoved_CustomisedData(), Table77[[#Headers],[Crop type c]], 0)</f>
        <v>Oats</v>
      </c>
      <c r="E144" t="str" cm="1">
        <f t="array" ref="E144">Common_InputFunctions.Utility_DisplayArrayInTable(AgResidues_SourceData.CropFractionRemoved_CustomisedData(), Table77[[#Headers],[Crop type c]], 0)</f>
        <v>NSW</v>
      </c>
      <c r="F144" cm="1">
        <f t="array" ref="F144">Common_InputFunctions.Utility_DisplayArrayInTable(AgResidues_SourceData.CropFractionRemoved_CustomisedData(), Table77[[#Headers],[Crop type c]], 0)</f>
        <v>0.05</v>
      </c>
      <c r="G144" s="22"/>
      <c r="H144" s="22"/>
      <c r="I144" s="22"/>
      <c r="J144" s="22"/>
      <c r="K144" s="22"/>
      <c r="L144" s="22"/>
    </row>
    <row r="145" spans="4:12" ht="20.100000000000001" customHeight="1" x14ac:dyDescent="0.25">
      <c r="D145" s="22" t="str" cm="1">
        <f t="array" ref="D145">Common_InputFunctions.Utility_DisplayArrayInTable(AgResidues_SourceData.CropFractionRemoved_CustomisedData(), Table77[[#Headers],[Crop type c]], 0)</f>
        <v>Oats</v>
      </c>
      <c r="E145" t="str" cm="1">
        <f t="array" ref="E145">Common_InputFunctions.Utility_DisplayArrayInTable(AgResidues_SourceData.CropFractionRemoved_CustomisedData(), Table77[[#Headers],[Crop type c]], 0)</f>
        <v>VIC</v>
      </c>
      <c r="F145" cm="1">
        <f t="array" ref="F145">Common_InputFunctions.Utility_DisplayArrayInTable(AgResidues_SourceData.CropFractionRemoved_CustomisedData(), Table77[[#Headers],[Crop type c]], 0)</f>
        <v>7.0000000000000007E-2</v>
      </c>
      <c r="G145" s="22"/>
      <c r="H145" s="22"/>
      <c r="I145" s="22"/>
      <c r="J145" s="22"/>
      <c r="K145" s="22"/>
      <c r="L145" s="22"/>
    </row>
    <row r="146" spans="4:12" ht="20.100000000000001" customHeight="1" x14ac:dyDescent="0.25">
      <c r="D146" s="22" t="str" cm="1">
        <f t="array" ref="D146">Common_InputFunctions.Utility_DisplayArrayInTable(AgResidues_SourceData.CropFractionRemoved_CustomisedData(), Table77[[#Headers],[Crop type c]], 0)</f>
        <v>Oats</v>
      </c>
      <c r="E146" t="str" cm="1">
        <f t="array" ref="E146">Common_InputFunctions.Utility_DisplayArrayInTable(AgResidues_SourceData.CropFractionRemoved_CustomisedData(), Table77[[#Headers],[Crop type c]], 0)</f>
        <v>QLD</v>
      </c>
      <c r="F146" cm="1">
        <f t="array" ref="F146">Common_InputFunctions.Utility_DisplayArrayInTable(AgResidues_SourceData.CropFractionRemoved_CustomisedData(), Table77[[#Headers],[Crop type c]], 0)</f>
        <v>0.04</v>
      </c>
      <c r="G146" s="22"/>
      <c r="H146" s="22"/>
      <c r="I146" s="22"/>
      <c r="J146" s="22"/>
      <c r="K146" s="22"/>
      <c r="L146" s="22"/>
    </row>
    <row r="147" spans="4:12" ht="20.100000000000001" customHeight="1" x14ac:dyDescent="0.25">
      <c r="D147" s="22" t="str" cm="1">
        <f t="array" ref="D147">Common_InputFunctions.Utility_DisplayArrayInTable(AgResidues_SourceData.CropFractionRemoved_CustomisedData(), Table77[[#Headers],[Crop type c]], 0)</f>
        <v>Oats</v>
      </c>
      <c r="E147" t="str" cm="1">
        <f t="array" ref="E147">Common_InputFunctions.Utility_DisplayArrayInTable(AgResidues_SourceData.CropFractionRemoved_CustomisedData(), Table77[[#Headers],[Crop type c]], 0)</f>
        <v>SA</v>
      </c>
      <c r="F147" cm="1">
        <f t="array" ref="F147">Common_InputFunctions.Utility_DisplayArrayInTable(AgResidues_SourceData.CropFractionRemoved_CustomisedData(), Table77[[#Headers],[Crop type c]], 0)</f>
        <v>0.09</v>
      </c>
      <c r="G147" s="22"/>
      <c r="H147" s="22"/>
      <c r="I147" s="22"/>
      <c r="J147" s="22"/>
      <c r="K147" s="22"/>
      <c r="L147" s="22"/>
    </row>
    <row r="148" spans="4:12" ht="20.100000000000001" customHeight="1" x14ac:dyDescent="0.25">
      <c r="D148" s="22" t="str" cm="1">
        <f t="array" ref="D148">Common_InputFunctions.Utility_DisplayArrayInTable(AgResidues_SourceData.CropFractionRemoved_CustomisedData(), Table77[[#Headers],[Crop type c]], 0)</f>
        <v>Oats</v>
      </c>
      <c r="E148" t="str" cm="1">
        <f t="array" ref="E148">Common_InputFunctions.Utility_DisplayArrayInTable(AgResidues_SourceData.CropFractionRemoved_CustomisedData(), Table77[[#Headers],[Crop type c]], 0)</f>
        <v>WA</v>
      </c>
      <c r="F148" cm="1">
        <f t="array" ref="F148">Common_InputFunctions.Utility_DisplayArrayInTable(AgResidues_SourceData.CropFractionRemoved_CustomisedData(), Table77[[#Headers],[Crop type c]], 0)</f>
        <v>0.11</v>
      </c>
      <c r="G148" s="22"/>
      <c r="H148" s="22"/>
      <c r="I148" s="22"/>
      <c r="J148" s="22"/>
      <c r="K148" s="22"/>
      <c r="L148" s="22"/>
    </row>
    <row r="149" spans="4:12" ht="20.100000000000001" customHeight="1" x14ac:dyDescent="0.25">
      <c r="D149" s="22" t="str" cm="1">
        <f t="array" ref="D149">Common_InputFunctions.Utility_DisplayArrayInTable(AgResidues_SourceData.CropFractionRemoved_CustomisedData(), Table77[[#Headers],[Crop type c]], 0)</f>
        <v>Oats</v>
      </c>
      <c r="E149" t="str" cm="1">
        <f t="array" ref="E149">Common_InputFunctions.Utility_DisplayArrayInTable(AgResidues_SourceData.CropFractionRemoved_CustomisedData(), Table77[[#Headers],[Crop type c]], 0)</f>
        <v>TAS</v>
      </c>
      <c r="F149" cm="1">
        <f t="array" ref="F149">Common_InputFunctions.Utility_DisplayArrayInTable(AgResidues_SourceData.CropFractionRemoved_CustomisedData(), Table77[[#Headers],[Crop type c]], 0)</f>
        <v>0.16</v>
      </c>
      <c r="G149" s="22"/>
      <c r="H149" s="22"/>
      <c r="I149" s="22"/>
      <c r="J149" s="22"/>
      <c r="K149" s="22"/>
      <c r="L149" s="22"/>
    </row>
    <row r="150" spans="4:12" ht="20.100000000000001" customHeight="1" x14ac:dyDescent="0.25">
      <c r="D150" s="22" t="str" cm="1">
        <f t="array" ref="D150">Common_InputFunctions.Utility_DisplayArrayInTable(AgResidues_SourceData.CropFractionRemoved_CustomisedData(), Table77[[#Headers],[Crop type c]], 0)</f>
        <v>Oats</v>
      </c>
      <c r="E150" t="str" cm="1">
        <f t="array" ref="E150">Common_InputFunctions.Utility_DisplayArrayInTable(AgResidues_SourceData.CropFractionRemoved_CustomisedData(), Table77[[#Headers],[Crop type c]], 0)</f>
        <v>NT</v>
      </c>
      <c r="F150" cm="1">
        <f t="array" ref="F150">Common_InputFunctions.Utility_DisplayArrayInTable(AgResidues_SourceData.CropFractionRemoved_CustomisedData(), Table77[[#Headers],[Crop type c]], 0)</f>
        <v>0.01</v>
      </c>
      <c r="G150" s="22"/>
      <c r="H150" s="22"/>
      <c r="I150" s="22"/>
      <c r="J150" s="22"/>
      <c r="K150" s="22"/>
      <c r="L150" s="22"/>
    </row>
    <row r="151" spans="4:12" ht="20.100000000000001" customHeight="1" x14ac:dyDescent="0.25">
      <c r="D151" s="22" t="str" cm="1">
        <f t="array" ref="D151">Common_InputFunctions.Utility_DisplayArrayInTable(AgResidues_SourceData.CropFractionRemoved_CustomisedData(), Table77[[#Headers],[Crop type c]], 0)</f>
        <v>Oats</v>
      </c>
      <c r="E151" t="str" cm="1">
        <f t="array" ref="E151">Common_InputFunctions.Utility_DisplayArrayInTable(AgResidues_SourceData.CropFractionRemoved_CustomisedData(), Table77[[#Headers],[Crop type c]], 0)</f>
        <v>ACT</v>
      </c>
      <c r="F151" cm="1">
        <f t="array" ref="F151">Common_InputFunctions.Utility_DisplayArrayInTable(AgResidues_SourceData.CropFractionRemoved_CustomisedData(), Table77[[#Headers],[Crop type c]], 0)</f>
        <v>0</v>
      </c>
      <c r="G151" s="22"/>
      <c r="H151" s="22"/>
      <c r="I151" s="22"/>
      <c r="J151" s="22"/>
      <c r="K151" s="22"/>
      <c r="L151" s="22"/>
    </row>
    <row r="152" spans="4:12" ht="20.100000000000001" customHeight="1" x14ac:dyDescent="0.25">
      <c r="D152" s="22" t="str" cm="1">
        <f t="array" ref="D152">Common_InputFunctions.Utility_DisplayArrayInTable(AgResidues_SourceData.CropFractionRemoved_CustomisedData(), Table77[[#Headers],[Crop type c]], 0)</f>
        <v>Sorghum</v>
      </c>
      <c r="E152" t="str" cm="1">
        <f t="array" ref="E152">Common_InputFunctions.Utility_DisplayArrayInTable(AgResidues_SourceData.CropFractionRemoved_CustomisedData(), Table77[[#Headers],[Crop type c]], 0)</f>
        <v>NSW</v>
      </c>
      <c r="F152" cm="1">
        <f t="array" ref="F152">Common_InputFunctions.Utility_DisplayArrayInTable(AgResidues_SourceData.CropFractionRemoved_CustomisedData(), Table77[[#Headers],[Crop type c]], 0)</f>
        <v>0.05</v>
      </c>
      <c r="G152" s="22"/>
      <c r="H152" s="22"/>
      <c r="I152" s="22"/>
      <c r="J152" s="22"/>
      <c r="K152" s="22"/>
      <c r="L152" s="22"/>
    </row>
    <row r="153" spans="4:12" ht="20.100000000000001" customHeight="1" x14ac:dyDescent="0.25">
      <c r="D153" s="22" t="str" cm="1">
        <f t="array" ref="D153">Common_InputFunctions.Utility_DisplayArrayInTable(AgResidues_SourceData.CropFractionRemoved_CustomisedData(), Table77[[#Headers],[Crop type c]], 0)</f>
        <v>Sorghum</v>
      </c>
      <c r="E153" t="str" cm="1">
        <f t="array" ref="E153">Common_InputFunctions.Utility_DisplayArrayInTable(AgResidues_SourceData.CropFractionRemoved_CustomisedData(), Table77[[#Headers],[Crop type c]], 0)</f>
        <v>VIC</v>
      </c>
      <c r="F153" cm="1">
        <f t="array" ref="F153">Common_InputFunctions.Utility_DisplayArrayInTable(AgResidues_SourceData.CropFractionRemoved_CustomisedData(), Table77[[#Headers],[Crop type c]], 0)</f>
        <v>7.0000000000000007E-2</v>
      </c>
      <c r="G153" s="22"/>
      <c r="H153" s="22"/>
      <c r="I153" s="22"/>
      <c r="J153" s="22"/>
      <c r="K153" s="22"/>
      <c r="L153" s="22"/>
    </row>
    <row r="154" spans="4:12" ht="20.100000000000001" customHeight="1" x14ac:dyDescent="0.25">
      <c r="D154" s="22" t="str" cm="1">
        <f t="array" ref="D154">Common_InputFunctions.Utility_DisplayArrayInTable(AgResidues_SourceData.CropFractionRemoved_CustomisedData(), Table77[[#Headers],[Crop type c]], 0)</f>
        <v>Sorghum</v>
      </c>
      <c r="E154" t="str" cm="1">
        <f t="array" ref="E154">Common_InputFunctions.Utility_DisplayArrayInTable(AgResidues_SourceData.CropFractionRemoved_CustomisedData(), Table77[[#Headers],[Crop type c]], 0)</f>
        <v>QLD</v>
      </c>
      <c r="F154" cm="1">
        <f t="array" ref="F154">Common_InputFunctions.Utility_DisplayArrayInTable(AgResidues_SourceData.CropFractionRemoved_CustomisedData(), Table77[[#Headers],[Crop type c]], 0)</f>
        <v>0.04</v>
      </c>
      <c r="G154" s="22"/>
      <c r="H154" s="22"/>
      <c r="I154" s="22"/>
      <c r="J154" s="22"/>
      <c r="K154" s="22"/>
      <c r="L154" s="22"/>
    </row>
    <row r="155" spans="4:12" ht="20.100000000000001" customHeight="1" x14ac:dyDescent="0.25">
      <c r="D155" s="22" t="str" cm="1">
        <f t="array" ref="D155">Common_InputFunctions.Utility_DisplayArrayInTable(AgResidues_SourceData.CropFractionRemoved_CustomisedData(), Table77[[#Headers],[Crop type c]], 0)</f>
        <v>Sorghum</v>
      </c>
      <c r="E155" t="str" cm="1">
        <f t="array" ref="E155">Common_InputFunctions.Utility_DisplayArrayInTable(AgResidues_SourceData.CropFractionRemoved_CustomisedData(), Table77[[#Headers],[Crop type c]], 0)</f>
        <v>SA</v>
      </c>
      <c r="F155" cm="1">
        <f t="array" ref="F155">Common_InputFunctions.Utility_DisplayArrayInTable(AgResidues_SourceData.CropFractionRemoved_CustomisedData(), Table77[[#Headers],[Crop type c]], 0)</f>
        <v>0.09</v>
      </c>
      <c r="G155" s="22"/>
      <c r="H155" s="22"/>
      <c r="I155" s="22"/>
      <c r="J155" s="22"/>
      <c r="K155" s="22"/>
      <c r="L155" s="22"/>
    </row>
    <row r="156" spans="4:12" ht="20.100000000000001" customHeight="1" x14ac:dyDescent="0.25">
      <c r="D156" s="22" t="str" cm="1">
        <f t="array" ref="D156">Common_InputFunctions.Utility_DisplayArrayInTable(AgResidues_SourceData.CropFractionRemoved_CustomisedData(), Table77[[#Headers],[Crop type c]], 0)</f>
        <v>Sorghum</v>
      </c>
      <c r="E156" t="str" cm="1">
        <f t="array" ref="E156">Common_InputFunctions.Utility_DisplayArrayInTable(AgResidues_SourceData.CropFractionRemoved_CustomisedData(), Table77[[#Headers],[Crop type c]], 0)</f>
        <v>WA</v>
      </c>
      <c r="F156" cm="1">
        <f t="array" ref="F156">Common_InputFunctions.Utility_DisplayArrayInTable(AgResidues_SourceData.CropFractionRemoved_CustomisedData(), Table77[[#Headers],[Crop type c]], 0)</f>
        <v>0.11</v>
      </c>
      <c r="G156" s="22"/>
      <c r="H156" s="22"/>
      <c r="I156" s="22"/>
      <c r="J156" s="22"/>
      <c r="K156" s="22"/>
      <c r="L156" s="22"/>
    </row>
    <row r="157" spans="4:12" ht="20.100000000000001" customHeight="1" x14ac:dyDescent="0.25">
      <c r="D157" s="22" t="str" cm="1">
        <f t="array" ref="D157">Common_InputFunctions.Utility_DisplayArrayInTable(AgResidues_SourceData.CropFractionRemoved_CustomisedData(), Table77[[#Headers],[Crop type c]], 0)</f>
        <v>Sorghum</v>
      </c>
      <c r="E157" t="str" cm="1">
        <f t="array" ref="E157">Common_InputFunctions.Utility_DisplayArrayInTable(AgResidues_SourceData.CropFractionRemoved_CustomisedData(), Table77[[#Headers],[Crop type c]], 0)</f>
        <v>TAS</v>
      </c>
      <c r="F157" cm="1">
        <f t="array" ref="F157">Common_InputFunctions.Utility_DisplayArrayInTable(AgResidues_SourceData.CropFractionRemoved_CustomisedData(), Table77[[#Headers],[Crop type c]], 0)</f>
        <v>0.16</v>
      </c>
      <c r="G157" s="22"/>
      <c r="H157" s="22"/>
      <c r="I157" s="22"/>
      <c r="J157" s="22"/>
      <c r="K157" s="22"/>
      <c r="L157" s="22"/>
    </row>
    <row r="158" spans="4:12" ht="20.100000000000001" customHeight="1" x14ac:dyDescent="0.25">
      <c r="D158" s="22" t="str" cm="1">
        <f t="array" ref="D158">Common_InputFunctions.Utility_DisplayArrayInTable(AgResidues_SourceData.CropFractionRemoved_CustomisedData(), Table77[[#Headers],[Crop type c]], 0)</f>
        <v>Sorghum</v>
      </c>
      <c r="E158" t="str" cm="1">
        <f t="array" ref="E158">Common_InputFunctions.Utility_DisplayArrayInTable(AgResidues_SourceData.CropFractionRemoved_CustomisedData(), Table77[[#Headers],[Crop type c]], 0)</f>
        <v>NT</v>
      </c>
      <c r="F158" cm="1">
        <f t="array" ref="F158">Common_InputFunctions.Utility_DisplayArrayInTable(AgResidues_SourceData.CropFractionRemoved_CustomisedData(), Table77[[#Headers],[Crop type c]], 0)</f>
        <v>0.01</v>
      </c>
      <c r="G158" s="22"/>
      <c r="H158" s="22"/>
      <c r="I158" s="22"/>
      <c r="J158" s="22"/>
      <c r="K158" s="22"/>
      <c r="L158" s="22"/>
    </row>
    <row r="159" spans="4:12" ht="20.100000000000001" customHeight="1" x14ac:dyDescent="0.25">
      <c r="D159" s="22" t="str" cm="1">
        <f t="array" ref="D159">Common_InputFunctions.Utility_DisplayArrayInTable(AgResidues_SourceData.CropFractionRemoved_CustomisedData(), Table77[[#Headers],[Crop type c]], 0)</f>
        <v>Sorghum</v>
      </c>
      <c r="E159" t="str" cm="1">
        <f t="array" ref="E159">Common_InputFunctions.Utility_DisplayArrayInTable(AgResidues_SourceData.CropFractionRemoved_CustomisedData(), Table77[[#Headers],[Crop type c]], 0)</f>
        <v>ACT</v>
      </c>
      <c r="F159" cm="1">
        <f t="array" ref="F159">Common_InputFunctions.Utility_DisplayArrayInTable(AgResidues_SourceData.CropFractionRemoved_CustomisedData(), Table77[[#Headers],[Crop type c]], 0)</f>
        <v>0</v>
      </c>
      <c r="G159" s="22"/>
      <c r="H159" s="22"/>
      <c r="I159" s="22"/>
      <c r="J159" s="22"/>
      <c r="K159" s="22"/>
      <c r="L159" s="22"/>
    </row>
    <row r="160" spans="4:12" ht="20.100000000000001" customHeight="1" x14ac:dyDescent="0.25">
      <c r="D160" s="22" t="str" cm="1">
        <f t="array" ref="D160">Common_InputFunctions.Utility_DisplayArrayInTable(AgResidues_SourceData.CropFractionRemoved_CustomisedData(), Table77[[#Headers],[Crop type c]], 0)</f>
        <v>Triticale</v>
      </c>
      <c r="E160" t="str" cm="1">
        <f t="array" ref="E160">Common_InputFunctions.Utility_DisplayArrayInTable(AgResidues_SourceData.CropFractionRemoved_CustomisedData(), Table77[[#Headers],[Crop type c]], 0)</f>
        <v>NSW</v>
      </c>
      <c r="F160" cm="1">
        <f t="array" ref="F160">Common_InputFunctions.Utility_DisplayArrayInTable(AgResidues_SourceData.CropFractionRemoved_CustomisedData(), Table77[[#Headers],[Crop type c]], 0)</f>
        <v>0.05</v>
      </c>
      <c r="G160" s="22"/>
      <c r="H160" s="22"/>
      <c r="I160" s="22"/>
      <c r="J160" s="22"/>
      <c r="K160" s="22"/>
      <c r="L160" s="22"/>
    </row>
    <row r="161" spans="4:12" ht="20.100000000000001" customHeight="1" x14ac:dyDescent="0.25">
      <c r="D161" s="22" t="str" cm="1">
        <f t="array" ref="D161">Common_InputFunctions.Utility_DisplayArrayInTable(AgResidues_SourceData.CropFractionRemoved_CustomisedData(), Table77[[#Headers],[Crop type c]], 0)</f>
        <v>Triticale</v>
      </c>
      <c r="E161" t="str" cm="1">
        <f t="array" ref="E161">Common_InputFunctions.Utility_DisplayArrayInTable(AgResidues_SourceData.CropFractionRemoved_CustomisedData(), Table77[[#Headers],[Crop type c]], 0)</f>
        <v>VIC</v>
      </c>
      <c r="F161" cm="1">
        <f t="array" ref="F161">Common_InputFunctions.Utility_DisplayArrayInTable(AgResidues_SourceData.CropFractionRemoved_CustomisedData(), Table77[[#Headers],[Crop type c]], 0)</f>
        <v>7.0000000000000007E-2</v>
      </c>
      <c r="G161" s="22"/>
      <c r="H161" s="22"/>
      <c r="I161" s="22"/>
      <c r="J161" s="22"/>
      <c r="K161" s="22"/>
      <c r="L161" s="22"/>
    </row>
    <row r="162" spans="4:12" ht="20.100000000000001" customHeight="1" x14ac:dyDescent="0.25">
      <c r="D162" s="22" t="str" cm="1">
        <f t="array" ref="D162">Common_InputFunctions.Utility_DisplayArrayInTable(AgResidues_SourceData.CropFractionRemoved_CustomisedData(), Table77[[#Headers],[Crop type c]], 0)</f>
        <v>Triticale</v>
      </c>
      <c r="E162" t="str" cm="1">
        <f t="array" ref="E162">Common_InputFunctions.Utility_DisplayArrayInTable(AgResidues_SourceData.CropFractionRemoved_CustomisedData(), Table77[[#Headers],[Crop type c]], 0)</f>
        <v>QLD</v>
      </c>
      <c r="F162" cm="1">
        <f t="array" ref="F162">Common_InputFunctions.Utility_DisplayArrayInTable(AgResidues_SourceData.CropFractionRemoved_CustomisedData(), Table77[[#Headers],[Crop type c]], 0)</f>
        <v>0.04</v>
      </c>
      <c r="G162" s="22"/>
      <c r="H162" s="22"/>
      <c r="I162" s="22"/>
      <c r="J162" s="22"/>
      <c r="K162" s="22"/>
      <c r="L162" s="22"/>
    </row>
    <row r="163" spans="4:12" ht="20.100000000000001" customHeight="1" x14ac:dyDescent="0.25">
      <c r="D163" s="22" t="str" cm="1">
        <f t="array" ref="D163">Common_InputFunctions.Utility_DisplayArrayInTable(AgResidues_SourceData.CropFractionRemoved_CustomisedData(), Table77[[#Headers],[Crop type c]], 0)</f>
        <v>Triticale</v>
      </c>
      <c r="E163" t="str" cm="1">
        <f t="array" ref="E163">Common_InputFunctions.Utility_DisplayArrayInTable(AgResidues_SourceData.CropFractionRemoved_CustomisedData(), Table77[[#Headers],[Crop type c]], 0)</f>
        <v>SA</v>
      </c>
      <c r="F163" cm="1">
        <f t="array" ref="F163">Common_InputFunctions.Utility_DisplayArrayInTable(AgResidues_SourceData.CropFractionRemoved_CustomisedData(), Table77[[#Headers],[Crop type c]], 0)</f>
        <v>0.09</v>
      </c>
      <c r="G163" s="22"/>
      <c r="H163" s="22"/>
      <c r="I163" s="22"/>
      <c r="J163" s="22"/>
      <c r="K163" s="22"/>
      <c r="L163" s="22"/>
    </row>
    <row r="164" spans="4:12" ht="20.100000000000001" customHeight="1" x14ac:dyDescent="0.25">
      <c r="D164" s="22" t="str" cm="1">
        <f t="array" ref="D164">Common_InputFunctions.Utility_DisplayArrayInTable(AgResidues_SourceData.CropFractionRemoved_CustomisedData(), Table77[[#Headers],[Crop type c]], 0)</f>
        <v>Triticale</v>
      </c>
      <c r="E164" t="str" cm="1">
        <f t="array" ref="E164">Common_InputFunctions.Utility_DisplayArrayInTable(AgResidues_SourceData.CropFractionRemoved_CustomisedData(), Table77[[#Headers],[Crop type c]], 0)</f>
        <v>WA</v>
      </c>
      <c r="F164" cm="1">
        <f t="array" ref="F164">Common_InputFunctions.Utility_DisplayArrayInTable(AgResidues_SourceData.CropFractionRemoved_CustomisedData(), Table77[[#Headers],[Crop type c]], 0)</f>
        <v>0.11</v>
      </c>
      <c r="G164" s="22"/>
      <c r="H164" s="22"/>
      <c r="I164" s="22"/>
      <c r="J164" s="22"/>
      <c r="K164" s="22"/>
      <c r="L164" s="22"/>
    </row>
    <row r="165" spans="4:12" ht="20.100000000000001" customHeight="1" x14ac:dyDescent="0.25">
      <c r="D165" s="22" t="str" cm="1">
        <f t="array" ref="D165">Common_InputFunctions.Utility_DisplayArrayInTable(AgResidues_SourceData.CropFractionRemoved_CustomisedData(), Table77[[#Headers],[Crop type c]], 0)</f>
        <v>Triticale</v>
      </c>
      <c r="E165" t="str" cm="1">
        <f t="array" ref="E165">Common_InputFunctions.Utility_DisplayArrayInTable(AgResidues_SourceData.CropFractionRemoved_CustomisedData(), Table77[[#Headers],[Crop type c]], 0)</f>
        <v>TAS</v>
      </c>
      <c r="F165" cm="1">
        <f t="array" ref="F165">Common_InputFunctions.Utility_DisplayArrayInTable(AgResidues_SourceData.CropFractionRemoved_CustomisedData(), Table77[[#Headers],[Crop type c]], 0)</f>
        <v>0.16</v>
      </c>
      <c r="G165" s="22"/>
      <c r="H165" s="22"/>
      <c r="I165" s="22"/>
      <c r="J165" s="22"/>
      <c r="K165" s="22"/>
      <c r="L165" s="22"/>
    </row>
    <row r="166" spans="4:12" x14ac:dyDescent="0.25">
      <c r="D166" s="22" t="str" cm="1">
        <f t="array" ref="D166">Common_InputFunctions.Utility_DisplayArrayInTable(AgResidues_SourceData.CropFractionRemoved_CustomisedData(), Table77[[#Headers],[Crop type c]], 0)</f>
        <v>Triticale</v>
      </c>
      <c r="E166" t="str" cm="1">
        <f t="array" ref="E166">Common_InputFunctions.Utility_DisplayArrayInTable(AgResidues_SourceData.CropFractionRemoved_CustomisedData(), Table77[[#Headers],[Crop type c]], 0)</f>
        <v>NT</v>
      </c>
      <c r="F166" cm="1">
        <f t="array" ref="F166">Common_InputFunctions.Utility_DisplayArrayInTable(AgResidues_SourceData.CropFractionRemoved_CustomisedData(), Table77[[#Headers],[Crop type c]], 0)</f>
        <v>0.01</v>
      </c>
      <c r="G166" s="22"/>
      <c r="H166" s="22"/>
      <c r="I166" s="22"/>
      <c r="J166" s="22"/>
      <c r="K166" s="22"/>
      <c r="L166" s="22"/>
    </row>
    <row r="167" spans="4:12" x14ac:dyDescent="0.25">
      <c r="D167" s="22" t="str" cm="1">
        <f t="array" ref="D167">Common_InputFunctions.Utility_DisplayArrayInTable(AgResidues_SourceData.CropFractionRemoved_CustomisedData(), Table77[[#Headers],[Crop type c]], 0)</f>
        <v>Triticale</v>
      </c>
      <c r="E167" t="str" cm="1">
        <f t="array" ref="E167">Common_InputFunctions.Utility_DisplayArrayInTable(AgResidues_SourceData.CropFractionRemoved_CustomisedData(), Table77[[#Headers],[Crop type c]], 0)</f>
        <v>ACT</v>
      </c>
      <c r="F167" cm="1">
        <f t="array" ref="F167">Common_InputFunctions.Utility_DisplayArrayInTable(AgResidues_SourceData.CropFractionRemoved_CustomisedData(), Table77[[#Headers],[Crop type c]], 0)</f>
        <v>0</v>
      </c>
      <c r="G167" s="22"/>
      <c r="H167" s="22"/>
      <c r="I167" s="22"/>
      <c r="J167" s="22"/>
      <c r="K167" s="22"/>
      <c r="L167" s="22"/>
    </row>
    <row r="168" spans="4:12" x14ac:dyDescent="0.25">
      <c r="D168" s="22" t="str" cm="1">
        <f t="array" ref="D168">Common_InputFunctions.Utility_DisplayArrayInTable(AgResidues_SourceData.CropFractionRemoved_CustomisedData(), Table77[[#Headers],[Crop type c]], 0)</f>
        <v>Other cereals</v>
      </c>
      <c r="E168" t="str" cm="1">
        <f t="array" ref="E168">Common_InputFunctions.Utility_DisplayArrayInTable(AgResidues_SourceData.CropFractionRemoved_CustomisedData(), Table77[[#Headers],[Crop type c]], 0)</f>
        <v>NSW</v>
      </c>
      <c r="F168" cm="1">
        <f t="array" ref="F168">Common_InputFunctions.Utility_DisplayArrayInTable(AgResidues_SourceData.CropFractionRemoved_CustomisedData(), Table77[[#Headers],[Crop type c]], 0)</f>
        <v>0.05</v>
      </c>
      <c r="G168" s="22"/>
      <c r="H168" s="22"/>
      <c r="I168" s="22"/>
      <c r="J168" s="22"/>
      <c r="K168" s="22"/>
      <c r="L168" s="22"/>
    </row>
    <row r="169" spans="4:12" x14ac:dyDescent="0.25">
      <c r="D169" s="22" t="str" cm="1">
        <f t="array" ref="D169">Common_InputFunctions.Utility_DisplayArrayInTable(AgResidues_SourceData.CropFractionRemoved_CustomisedData(), Table77[[#Headers],[Crop type c]], 0)</f>
        <v>Other cereals</v>
      </c>
      <c r="E169" t="str" cm="1">
        <f t="array" ref="E169">Common_InputFunctions.Utility_DisplayArrayInTable(AgResidues_SourceData.CropFractionRemoved_CustomisedData(), Table77[[#Headers],[Crop type c]], 0)</f>
        <v>VIC</v>
      </c>
      <c r="F169" cm="1">
        <f t="array" ref="F169">Common_InputFunctions.Utility_DisplayArrayInTable(AgResidues_SourceData.CropFractionRemoved_CustomisedData(), Table77[[#Headers],[Crop type c]], 0)</f>
        <v>7.0000000000000007E-2</v>
      </c>
      <c r="G169" s="22"/>
      <c r="H169" s="22"/>
      <c r="I169" s="22"/>
      <c r="J169" s="22"/>
      <c r="K169" s="22"/>
      <c r="L169" s="22"/>
    </row>
    <row r="170" spans="4:12" x14ac:dyDescent="0.25">
      <c r="D170" s="22" t="str" cm="1">
        <f t="array" ref="D170">Common_InputFunctions.Utility_DisplayArrayInTable(AgResidues_SourceData.CropFractionRemoved_CustomisedData(), Table77[[#Headers],[Crop type c]], 0)</f>
        <v>Other cereals</v>
      </c>
      <c r="E170" t="str" cm="1">
        <f t="array" ref="E170">Common_InputFunctions.Utility_DisplayArrayInTable(AgResidues_SourceData.CropFractionRemoved_CustomisedData(), Table77[[#Headers],[Crop type c]], 0)</f>
        <v>QLD</v>
      </c>
      <c r="F170" cm="1">
        <f t="array" ref="F170">Common_InputFunctions.Utility_DisplayArrayInTable(AgResidues_SourceData.CropFractionRemoved_CustomisedData(), Table77[[#Headers],[Crop type c]], 0)</f>
        <v>0.04</v>
      </c>
      <c r="G170" s="22"/>
      <c r="H170" s="22"/>
      <c r="I170" s="22"/>
      <c r="J170" s="22"/>
      <c r="K170" s="22"/>
      <c r="L170" s="22"/>
    </row>
    <row r="171" spans="4:12" x14ac:dyDescent="0.25">
      <c r="D171" s="22" t="str" cm="1">
        <f t="array" ref="D171">Common_InputFunctions.Utility_DisplayArrayInTable(AgResidues_SourceData.CropFractionRemoved_CustomisedData(), Table77[[#Headers],[Crop type c]], 0)</f>
        <v>Other cereals</v>
      </c>
      <c r="E171" t="str" cm="1">
        <f t="array" ref="E171">Common_InputFunctions.Utility_DisplayArrayInTable(AgResidues_SourceData.CropFractionRemoved_CustomisedData(), Table77[[#Headers],[Crop type c]], 0)</f>
        <v>SA</v>
      </c>
      <c r="F171" cm="1">
        <f t="array" ref="F171">Common_InputFunctions.Utility_DisplayArrayInTable(AgResidues_SourceData.CropFractionRemoved_CustomisedData(), Table77[[#Headers],[Crop type c]], 0)</f>
        <v>0.09</v>
      </c>
      <c r="G171" s="22"/>
      <c r="H171" s="22"/>
      <c r="I171" s="22"/>
      <c r="J171" s="22"/>
      <c r="K171" s="22"/>
      <c r="L171" s="22"/>
    </row>
    <row r="172" spans="4:12" x14ac:dyDescent="0.25">
      <c r="D172" s="22" t="str" cm="1">
        <f t="array" ref="D172">Common_InputFunctions.Utility_DisplayArrayInTable(AgResidues_SourceData.CropFractionRemoved_CustomisedData(), Table77[[#Headers],[Crop type c]], 0)</f>
        <v>Other cereals</v>
      </c>
      <c r="E172" t="str" cm="1">
        <f t="array" ref="E172">Common_InputFunctions.Utility_DisplayArrayInTable(AgResidues_SourceData.CropFractionRemoved_CustomisedData(), Table77[[#Headers],[Crop type c]], 0)</f>
        <v>WA</v>
      </c>
      <c r="F172" cm="1">
        <f t="array" ref="F172">Common_InputFunctions.Utility_DisplayArrayInTable(AgResidues_SourceData.CropFractionRemoved_CustomisedData(), Table77[[#Headers],[Crop type c]], 0)</f>
        <v>0.11</v>
      </c>
      <c r="G172" s="22"/>
      <c r="H172" s="22"/>
      <c r="I172" s="22"/>
      <c r="J172" s="22"/>
      <c r="K172" s="22"/>
      <c r="L172" s="22"/>
    </row>
    <row r="173" spans="4:12" x14ac:dyDescent="0.25">
      <c r="D173" s="22" t="str" cm="1">
        <f t="array" ref="D173">Common_InputFunctions.Utility_DisplayArrayInTable(AgResidues_SourceData.CropFractionRemoved_CustomisedData(), Table77[[#Headers],[Crop type c]], 0)</f>
        <v>Other cereals</v>
      </c>
      <c r="E173" t="str" cm="1">
        <f t="array" ref="E173">Common_InputFunctions.Utility_DisplayArrayInTable(AgResidues_SourceData.CropFractionRemoved_CustomisedData(), Table77[[#Headers],[Crop type c]], 0)</f>
        <v>TAS</v>
      </c>
      <c r="F173" cm="1">
        <f t="array" ref="F173">Common_InputFunctions.Utility_DisplayArrayInTable(AgResidues_SourceData.CropFractionRemoved_CustomisedData(), Table77[[#Headers],[Crop type c]], 0)</f>
        <v>0.16</v>
      </c>
      <c r="G173" s="22"/>
      <c r="H173" s="22"/>
      <c r="I173" s="22"/>
      <c r="J173" s="22"/>
      <c r="K173" s="22"/>
      <c r="L173" s="22"/>
    </row>
    <row r="174" spans="4:12" x14ac:dyDescent="0.25">
      <c r="D174" s="22" t="str" cm="1">
        <f t="array" ref="D174">Common_InputFunctions.Utility_DisplayArrayInTable(AgResidues_SourceData.CropFractionRemoved_CustomisedData(), Table77[[#Headers],[Crop type c]], 0)</f>
        <v>Other cereals</v>
      </c>
      <c r="E174" t="str" cm="1">
        <f t="array" ref="E174">Common_InputFunctions.Utility_DisplayArrayInTable(AgResidues_SourceData.CropFractionRemoved_CustomisedData(), Table77[[#Headers],[Crop type c]], 0)</f>
        <v>NT</v>
      </c>
      <c r="F174" cm="1">
        <f t="array" ref="F174">Common_InputFunctions.Utility_DisplayArrayInTable(AgResidues_SourceData.CropFractionRemoved_CustomisedData(), Table77[[#Headers],[Crop type c]], 0)</f>
        <v>0.01</v>
      </c>
      <c r="G174" s="22"/>
      <c r="H174" s="22"/>
      <c r="I174" s="22"/>
      <c r="J174" s="22"/>
      <c r="K174" s="22"/>
      <c r="L174" s="22"/>
    </row>
    <row r="175" spans="4:12" x14ac:dyDescent="0.25">
      <c r="D175" s="22" t="str" cm="1">
        <f t="array" ref="D175">Common_InputFunctions.Utility_DisplayArrayInTable(AgResidues_SourceData.CropFractionRemoved_CustomisedData(), Table77[[#Headers],[Crop type c]], 0)</f>
        <v>Other cereals</v>
      </c>
      <c r="E175" t="str" cm="1">
        <f t="array" ref="E175">Common_InputFunctions.Utility_DisplayArrayInTable(AgResidues_SourceData.CropFractionRemoved_CustomisedData(), Table77[[#Headers],[Crop type c]], 0)</f>
        <v>ACT</v>
      </c>
      <c r="F175" cm="1">
        <f t="array" ref="F175">Common_InputFunctions.Utility_DisplayArrayInTable(AgResidues_SourceData.CropFractionRemoved_CustomisedData(), Table77[[#Headers],[Crop type c]], 0)</f>
        <v>0</v>
      </c>
      <c r="G175" s="22"/>
      <c r="H175" s="22"/>
      <c r="I175" s="22"/>
      <c r="J175" s="22"/>
      <c r="K175" s="22"/>
      <c r="L175" s="22"/>
    </row>
    <row r="176" spans="4:12" x14ac:dyDescent="0.25">
      <c r="D176" s="22" t="str" cm="1">
        <f t="array" ref="D176">Common_InputFunctions.Utility_DisplayArrayInTable(AgResidues_SourceData.CropFractionRemoved_CustomisedData(), Table77[[#Headers],[Crop type c]], 0)</f>
        <v>Pulses</v>
      </c>
      <c r="E176" t="str" cm="1">
        <f t="array" ref="E176">Common_InputFunctions.Utility_DisplayArrayInTable(AgResidues_SourceData.CropFractionRemoved_CustomisedData(), Table77[[#Headers],[Crop type c]], 0)</f>
        <v>NSW</v>
      </c>
      <c r="F176" cm="1">
        <f t="array" ref="F176">Common_InputFunctions.Utility_DisplayArrayInTable(AgResidues_SourceData.CropFractionRemoved_CustomisedData(), Table77[[#Headers],[Crop type c]], 0)</f>
        <v>0.05</v>
      </c>
      <c r="G176" s="22"/>
      <c r="H176" s="22"/>
      <c r="I176" s="22"/>
      <c r="J176" s="22"/>
      <c r="K176" s="22"/>
      <c r="L176" s="22"/>
    </row>
    <row r="177" spans="4:12" x14ac:dyDescent="0.25">
      <c r="D177" s="22" t="str" cm="1">
        <f t="array" ref="D177">Common_InputFunctions.Utility_DisplayArrayInTable(AgResidues_SourceData.CropFractionRemoved_CustomisedData(), Table77[[#Headers],[Crop type c]], 0)</f>
        <v>Pulses</v>
      </c>
      <c r="E177" t="str" cm="1">
        <f t="array" ref="E177">Common_InputFunctions.Utility_DisplayArrayInTable(AgResidues_SourceData.CropFractionRemoved_CustomisedData(), Table77[[#Headers],[Crop type c]], 0)</f>
        <v>VIC</v>
      </c>
      <c r="F177" cm="1">
        <f t="array" ref="F177">Common_InputFunctions.Utility_DisplayArrayInTable(AgResidues_SourceData.CropFractionRemoved_CustomisedData(), Table77[[#Headers],[Crop type c]], 0)</f>
        <v>7.0000000000000007E-2</v>
      </c>
      <c r="G177" s="22"/>
      <c r="H177" s="22"/>
      <c r="I177" s="22"/>
      <c r="J177" s="22"/>
      <c r="K177" s="22"/>
      <c r="L177" s="22"/>
    </row>
    <row r="178" spans="4:12" x14ac:dyDescent="0.25">
      <c r="D178" s="22" t="str" cm="1">
        <f t="array" ref="D178">Common_InputFunctions.Utility_DisplayArrayInTable(AgResidues_SourceData.CropFractionRemoved_CustomisedData(), Table77[[#Headers],[Crop type c]], 0)</f>
        <v>Pulses</v>
      </c>
      <c r="E178" t="str" cm="1">
        <f t="array" ref="E178">Common_InputFunctions.Utility_DisplayArrayInTable(AgResidues_SourceData.CropFractionRemoved_CustomisedData(), Table77[[#Headers],[Crop type c]], 0)</f>
        <v>QLD</v>
      </c>
      <c r="F178" cm="1">
        <f t="array" ref="F178">Common_InputFunctions.Utility_DisplayArrayInTable(AgResidues_SourceData.CropFractionRemoved_CustomisedData(), Table77[[#Headers],[Crop type c]], 0)</f>
        <v>0.04</v>
      </c>
      <c r="G178" s="22"/>
      <c r="H178" s="22"/>
      <c r="I178" s="22"/>
      <c r="J178" s="22"/>
      <c r="K178" s="22"/>
      <c r="L178" s="22"/>
    </row>
    <row r="179" spans="4:12" x14ac:dyDescent="0.25">
      <c r="D179" s="22" t="str" cm="1">
        <f t="array" ref="D179">Common_InputFunctions.Utility_DisplayArrayInTable(AgResidues_SourceData.CropFractionRemoved_CustomisedData(), Table77[[#Headers],[Crop type c]], 0)</f>
        <v>Pulses</v>
      </c>
      <c r="E179" t="str" cm="1">
        <f t="array" ref="E179">Common_InputFunctions.Utility_DisplayArrayInTable(AgResidues_SourceData.CropFractionRemoved_CustomisedData(), Table77[[#Headers],[Crop type c]], 0)</f>
        <v>SA</v>
      </c>
      <c r="F179" cm="1">
        <f t="array" ref="F179">Common_InputFunctions.Utility_DisplayArrayInTable(AgResidues_SourceData.CropFractionRemoved_CustomisedData(), Table77[[#Headers],[Crop type c]], 0)</f>
        <v>0.09</v>
      </c>
      <c r="G179" s="22"/>
      <c r="H179" s="22"/>
      <c r="I179" s="22"/>
      <c r="J179" s="22"/>
      <c r="K179" s="22"/>
      <c r="L179" s="22"/>
    </row>
    <row r="180" spans="4:12" x14ac:dyDescent="0.25">
      <c r="D180" s="22" t="str" cm="1">
        <f t="array" ref="D180">Common_InputFunctions.Utility_DisplayArrayInTable(AgResidues_SourceData.CropFractionRemoved_CustomisedData(), Table77[[#Headers],[Crop type c]], 0)</f>
        <v>Pulses</v>
      </c>
      <c r="E180" t="str" cm="1">
        <f t="array" ref="E180">Common_InputFunctions.Utility_DisplayArrayInTable(AgResidues_SourceData.CropFractionRemoved_CustomisedData(), Table77[[#Headers],[Crop type c]], 0)</f>
        <v>WA</v>
      </c>
      <c r="F180" cm="1">
        <f t="array" ref="F180">Common_InputFunctions.Utility_DisplayArrayInTable(AgResidues_SourceData.CropFractionRemoved_CustomisedData(), Table77[[#Headers],[Crop type c]], 0)</f>
        <v>0.11</v>
      </c>
      <c r="G180" s="22"/>
      <c r="H180" s="22"/>
      <c r="I180" s="22"/>
      <c r="J180" s="22"/>
      <c r="K180" s="22"/>
      <c r="L180" s="22"/>
    </row>
    <row r="181" spans="4:12" x14ac:dyDescent="0.25">
      <c r="D181" s="22" t="str" cm="1">
        <f t="array" ref="D181">Common_InputFunctions.Utility_DisplayArrayInTable(AgResidues_SourceData.CropFractionRemoved_CustomisedData(), Table77[[#Headers],[Crop type c]], 0)</f>
        <v>Pulses</v>
      </c>
      <c r="E181" t="str" cm="1">
        <f t="array" ref="E181">Common_InputFunctions.Utility_DisplayArrayInTable(AgResidues_SourceData.CropFractionRemoved_CustomisedData(), Table77[[#Headers],[Crop type c]], 0)</f>
        <v>TAS</v>
      </c>
      <c r="F181" cm="1">
        <f t="array" ref="F181">Common_InputFunctions.Utility_DisplayArrayInTable(AgResidues_SourceData.CropFractionRemoved_CustomisedData(), Table77[[#Headers],[Crop type c]], 0)</f>
        <v>0.16</v>
      </c>
      <c r="G181" s="22"/>
      <c r="H181" s="22"/>
      <c r="I181" s="22"/>
      <c r="J181" s="22"/>
      <c r="K181" s="22"/>
      <c r="L181" s="22"/>
    </row>
    <row r="182" spans="4:12" x14ac:dyDescent="0.25">
      <c r="D182" s="22" t="str" cm="1">
        <f t="array" ref="D182">Common_InputFunctions.Utility_DisplayArrayInTable(AgResidues_SourceData.CropFractionRemoved_CustomisedData(), Table77[[#Headers],[Crop type c]], 0)</f>
        <v>Pulses</v>
      </c>
      <c r="E182" t="str" cm="1">
        <f t="array" ref="E182">Common_InputFunctions.Utility_DisplayArrayInTable(AgResidues_SourceData.CropFractionRemoved_CustomisedData(), Table77[[#Headers],[Crop type c]], 0)</f>
        <v>NT</v>
      </c>
      <c r="F182" cm="1">
        <f t="array" ref="F182">Common_InputFunctions.Utility_DisplayArrayInTable(AgResidues_SourceData.CropFractionRemoved_CustomisedData(), Table77[[#Headers],[Crop type c]], 0)</f>
        <v>0.01</v>
      </c>
      <c r="G182" s="22"/>
      <c r="H182" s="22"/>
      <c r="I182" s="22"/>
      <c r="J182" s="22"/>
      <c r="K182" s="22"/>
      <c r="L182" s="22"/>
    </row>
    <row r="183" spans="4:12" x14ac:dyDescent="0.25">
      <c r="D183" s="22" t="str" cm="1">
        <f t="array" ref="D183">Common_InputFunctions.Utility_DisplayArrayInTable(AgResidues_SourceData.CropFractionRemoved_CustomisedData(), Table77[[#Headers],[Crop type c]], 0)</f>
        <v>Pulses</v>
      </c>
      <c r="E183" t="str" cm="1">
        <f t="array" ref="E183">Common_InputFunctions.Utility_DisplayArrayInTable(AgResidues_SourceData.CropFractionRemoved_CustomisedData(), Table77[[#Headers],[Crop type c]], 0)</f>
        <v>ACT</v>
      </c>
      <c r="F183" cm="1">
        <f t="array" ref="F183">Common_InputFunctions.Utility_DisplayArrayInTable(AgResidues_SourceData.CropFractionRemoved_CustomisedData(), Table77[[#Headers],[Crop type c]], 0)</f>
        <v>0</v>
      </c>
      <c r="G183" s="22"/>
      <c r="H183" s="22"/>
      <c r="I183" s="22"/>
      <c r="J183" s="22"/>
      <c r="K183" s="22"/>
      <c r="L183" s="22"/>
    </row>
    <row r="184" spans="4:12" x14ac:dyDescent="0.25">
      <c r="D184" s="22" t="str" cm="1">
        <f t="array" ref="D184">Common_InputFunctions.Utility_DisplayArrayInTable(AgResidues_SourceData.CropFractionRemoved_CustomisedData(), Table77[[#Headers],[Crop type c]], 0)</f>
        <v>Peanuts</v>
      </c>
      <c r="E184" t="str" cm="1">
        <f t="array" ref="E184">Common_InputFunctions.Utility_DisplayArrayInTable(AgResidues_SourceData.CropFractionRemoved_CustomisedData(), Table77[[#Headers],[Crop type c]], 0)</f>
        <v>NSW</v>
      </c>
      <c r="F184" cm="1">
        <f t="array" ref="F184">Common_InputFunctions.Utility_DisplayArrayInTable(AgResidues_SourceData.CropFractionRemoved_CustomisedData(), Table77[[#Headers],[Crop type c]], 0)</f>
        <v>0.05</v>
      </c>
      <c r="G184" s="22"/>
      <c r="H184" s="22"/>
      <c r="I184" s="22"/>
      <c r="J184" s="22"/>
      <c r="K184" s="22"/>
      <c r="L184" s="22"/>
    </row>
    <row r="185" spans="4:12" x14ac:dyDescent="0.25">
      <c r="D185" s="22" t="str" cm="1">
        <f t="array" ref="D185">Common_InputFunctions.Utility_DisplayArrayInTable(AgResidues_SourceData.CropFractionRemoved_CustomisedData(), Table77[[#Headers],[Crop type c]], 0)</f>
        <v>Peanuts</v>
      </c>
      <c r="E185" t="str" cm="1">
        <f t="array" ref="E185">Common_InputFunctions.Utility_DisplayArrayInTable(AgResidues_SourceData.CropFractionRemoved_CustomisedData(), Table77[[#Headers],[Crop type c]], 0)</f>
        <v>VIC</v>
      </c>
      <c r="F185" cm="1">
        <f t="array" ref="F185">Common_InputFunctions.Utility_DisplayArrayInTable(AgResidues_SourceData.CropFractionRemoved_CustomisedData(), Table77[[#Headers],[Crop type c]], 0)</f>
        <v>7.0000000000000007E-2</v>
      </c>
      <c r="G185" s="22"/>
      <c r="H185" s="22"/>
      <c r="I185" s="22"/>
      <c r="J185" s="22"/>
      <c r="K185" s="22"/>
      <c r="L185" s="22"/>
    </row>
    <row r="186" spans="4:12" x14ac:dyDescent="0.25">
      <c r="D186" s="22" t="str" cm="1">
        <f t="array" ref="D186">Common_InputFunctions.Utility_DisplayArrayInTable(AgResidues_SourceData.CropFractionRemoved_CustomisedData(), Table77[[#Headers],[Crop type c]], 0)</f>
        <v>Peanuts</v>
      </c>
      <c r="E186" t="str" cm="1">
        <f t="array" ref="E186">Common_InputFunctions.Utility_DisplayArrayInTable(AgResidues_SourceData.CropFractionRemoved_CustomisedData(), Table77[[#Headers],[Crop type c]], 0)</f>
        <v>QLD</v>
      </c>
      <c r="F186" cm="1">
        <f t="array" ref="F186">Common_InputFunctions.Utility_DisplayArrayInTable(AgResidues_SourceData.CropFractionRemoved_CustomisedData(), Table77[[#Headers],[Crop type c]], 0)</f>
        <v>0.04</v>
      </c>
      <c r="G186" s="22"/>
      <c r="H186" s="22"/>
      <c r="I186" s="22"/>
      <c r="J186" s="22"/>
      <c r="K186" s="22"/>
      <c r="L186" s="22"/>
    </row>
    <row r="187" spans="4:12" x14ac:dyDescent="0.25">
      <c r="D187" s="22" t="str" cm="1">
        <f t="array" ref="D187">Common_InputFunctions.Utility_DisplayArrayInTable(AgResidues_SourceData.CropFractionRemoved_CustomisedData(), Table77[[#Headers],[Crop type c]], 0)</f>
        <v>Peanuts</v>
      </c>
      <c r="E187" t="str" cm="1">
        <f t="array" ref="E187">Common_InputFunctions.Utility_DisplayArrayInTable(AgResidues_SourceData.CropFractionRemoved_CustomisedData(), Table77[[#Headers],[Crop type c]], 0)</f>
        <v>SA</v>
      </c>
      <c r="F187" cm="1">
        <f t="array" ref="F187">Common_InputFunctions.Utility_DisplayArrayInTable(AgResidues_SourceData.CropFractionRemoved_CustomisedData(), Table77[[#Headers],[Crop type c]], 0)</f>
        <v>0.09</v>
      </c>
      <c r="G187" s="22"/>
      <c r="H187" s="22"/>
      <c r="I187" s="22"/>
      <c r="J187" s="22"/>
      <c r="K187" s="22"/>
      <c r="L187" s="22"/>
    </row>
    <row r="188" spans="4:12" x14ac:dyDescent="0.25">
      <c r="D188" s="22" t="str" cm="1">
        <f t="array" ref="D188">Common_InputFunctions.Utility_DisplayArrayInTable(AgResidues_SourceData.CropFractionRemoved_CustomisedData(), Table77[[#Headers],[Crop type c]], 0)</f>
        <v>Peanuts</v>
      </c>
      <c r="E188" t="str" cm="1">
        <f t="array" ref="E188">Common_InputFunctions.Utility_DisplayArrayInTable(AgResidues_SourceData.CropFractionRemoved_CustomisedData(), Table77[[#Headers],[Crop type c]], 0)</f>
        <v>WA</v>
      </c>
      <c r="F188" cm="1">
        <f t="array" ref="F188">Common_InputFunctions.Utility_DisplayArrayInTable(AgResidues_SourceData.CropFractionRemoved_CustomisedData(), Table77[[#Headers],[Crop type c]], 0)</f>
        <v>0.11</v>
      </c>
      <c r="G188" s="22"/>
      <c r="H188" s="22"/>
      <c r="I188" s="22"/>
      <c r="J188" s="22"/>
      <c r="K188" s="22"/>
      <c r="L188" s="22"/>
    </row>
    <row r="189" spans="4:12" x14ac:dyDescent="0.25">
      <c r="D189" s="22" t="str" cm="1">
        <f t="array" ref="D189">Common_InputFunctions.Utility_DisplayArrayInTable(AgResidues_SourceData.CropFractionRemoved_CustomisedData(), Table77[[#Headers],[Crop type c]], 0)</f>
        <v>Peanuts</v>
      </c>
      <c r="E189" t="str" cm="1">
        <f t="array" ref="E189">Common_InputFunctions.Utility_DisplayArrayInTable(AgResidues_SourceData.CropFractionRemoved_CustomisedData(), Table77[[#Headers],[Crop type c]], 0)</f>
        <v>TAS</v>
      </c>
      <c r="F189" cm="1">
        <f t="array" ref="F189">Common_InputFunctions.Utility_DisplayArrayInTable(AgResidues_SourceData.CropFractionRemoved_CustomisedData(), Table77[[#Headers],[Crop type c]], 0)</f>
        <v>0.16</v>
      </c>
      <c r="G189" s="22"/>
      <c r="H189" s="22"/>
      <c r="I189" s="22"/>
      <c r="J189" s="22"/>
      <c r="K189" s="22"/>
      <c r="L189" s="22"/>
    </row>
    <row r="190" spans="4:12" x14ac:dyDescent="0.25">
      <c r="D190" s="22" t="str" cm="1">
        <f t="array" ref="D190">Common_InputFunctions.Utility_DisplayArrayInTable(AgResidues_SourceData.CropFractionRemoved_CustomisedData(), Table77[[#Headers],[Crop type c]], 0)</f>
        <v>Peanuts</v>
      </c>
      <c r="E190" t="str" cm="1">
        <f t="array" ref="E190">Common_InputFunctions.Utility_DisplayArrayInTable(AgResidues_SourceData.CropFractionRemoved_CustomisedData(), Table77[[#Headers],[Crop type c]], 0)</f>
        <v>NT</v>
      </c>
      <c r="F190" cm="1">
        <f t="array" ref="F190">Common_InputFunctions.Utility_DisplayArrayInTable(AgResidues_SourceData.CropFractionRemoved_CustomisedData(), Table77[[#Headers],[Crop type c]], 0)</f>
        <v>0.01</v>
      </c>
      <c r="G190" s="22"/>
      <c r="H190" s="22"/>
      <c r="I190" s="22"/>
      <c r="J190" s="22"/>
      <c r="K190" s="22"/>
      <c r="L190" s="22"/>
    </row>
    <row r="191" spans="4:12" x14ac:dyDescent="0.25">
      <c r="D191" s="22" t="str" cm="1">
        <f t="array" ref="D191">Common_InputFunctions.Utility_DisplayArrayInTable(AgResidues_SourceData.CropFractionRemoved_CustomisedData(), Table77[[#Headers],[Crop type c]], 0)</f>
        <v>Peanuts</v>
      </c>
      <c r="E191" t="str" cm="1">
        <f t="array" ref="E191">Common_InputFunctions.Utility_DisplayArrayInTable(AgResidues_SourceData.CropFractionRemoved_CustomisedData(), Table77[[#Headers],[Crop type c]], 0)</f>
        <v>ACT</v>
      </c>
      <c r="F191" cm="1">
        <f t="array" ref="F191">Common_InputFunctions.Utility_DisplayArrayInTable(AgResidues_SourceData.CropFractionRemoved_CustomisedData(), Table77[[#Headers],[Crop type c]], 0)</f>
        <v>0</v>
      </c>
      <c r="G191" s="22"/>
      <c r="H191" s="22"/>
      <c r="I191" s="22"/>
      <c r="J191" s="22"/>
      <c r="K191" s="22"/>
      <c r="L191" s="22"/>
    </row>
    <row r="192" spans="4:12" x14ac:dyDescent="0.25">
      <c r="D192" s="22" t="str" cm="1">
        <f t="array" ref="D192">Common_InputFunctions.Utility_DisplayArrayInTable(AgResidues_SourceData.CropFractionRemoved_CustomisedData(), Table77[[#Headers],[Crop type c]], 0)</f>
        <v>Oilseeds</v>
      </c>
      <c r="E192" t="str" cm="1">
        <f t="array" ref="E192">Common_InputFunctions.Utility_DisplayArrayInTable(AgResidues_SourceData.CropFractionRemoved_CustomisedData(), Table77[[#Headers],[Crop type c]], 0)</f>
        <v>NSW</v>
      </c>
      <c r="F192" cm="1">
        <f t="array" ref="F192">Common_InputFunctions.Utility_DisplayArrayInTable(AgResidues_SourceData.CropFractionRemoved_CustomisedData(), Table77[[#Headers],[Crop type c]], 0)</f>
        <v>0.05</v>
      </c>
      <c r="G192" s="22"/>
      <c r="H192" s="22"/>
      <c r="I192" s="22"/>
      <c r="J192" s="22"/>
      <c r="K192" s="22"/>
      <c r="L192" s="22"/>
    </row>
    <row r="193" spans="4:12" x14ac:dyDescent="0.25">
      <c r="D193" s="22" t="str" cm="1">
        <f t="array" ref="D193">Common_InputFunctions.Utility_DisplayArrayInTable(AgResidues_SourceData.CropFractionRemoved_CustomisedData(), Table77[[#Headers],[Crop type c]], 0)</f>
        <v>Oilseeds</v>
      </c>
      <c r="E193" t="str" cm="1">
        <f t="array" ref="E193">Common_InputFunctions.Utility_DisplayArrayInTable(AgResidues_SourceData.CropFractionRemoved_CustomisedData(), Table77[[#Headers],[Crop type c]], 0)</f>
        <v>VIC</v>
      </c>
      <c r="F193" cm="1">
        <f t="array" ref="F193">Common_InputFunctions.Utility_DisplayArrayInTable(AgResidues_SourceData.CropFractionRemoved_CustomisedData(), Table77[[#Headers],[Crop type c]], 0)</f>
        <v>7.0000000000000007E-2</v>
      </c>
      <c r="G193" s="22"/>
      <c r="H193" s="22"/>
      <c r="I193" s="22"/>
      <c r="J193" s="22"/>
      <c r="K193" s="22"/>
      <c r="L193" s="22"/>
    </row>
    <row r="194" spans="4:12" x14ac:dyDescent="0.25">
      <c r="D194" s="22" t="str" cm="1">
        <f t="array" ref="D194">Common_InputFunctions.Utility_DisplayArrayInTable(AgResidues_SourceData.CropFractionRemoved_CustomisedData(), Table77[[#Headers],[Crop type c]], 0)</f>
        <v>Oilseeds</v>
      </c>
      <c r="E194" t="str" cm="1">
        <f t="array" ref="E194">Common_InputFunctions.Utility_DisplayArrayInTable(AgResidues_SourceData.CropFractionRemoved_CustomisedData(), Table77[[#Headers],[Crop type c]], 0)</f>
        <v>QLD</v>
      </c>
      <c r="F194" cm="1">
        <f t="array" ref="F194">Common_InputFunctions.Utility_DisplayArrayInTable(AgResidues_SourceData.CropFractionRemoved_CustomisedData(), Table77[[#Headers],[Crop type c]], 0)</f>
        <v>0.04</v>
      </c>
      <c r="G194" s="22"/>
      <c r="H194" s="22"/>
      <c r="I194" s="22"/>
      <c r="J194" s="22"/>
      <c r="K194" s="22"/>
      <c r="L194" s="22"/>
    </row>
    <row r="195" spans="4:12" x14ac:dyDescent="0.25">
      <c r="D195" s="22" t="str" cm="1">
        <f t="array" ref="D195">Common_InputFunctions.Utility_DisplayArrayInTable(AgResidues_SourceData.CropFractionRemoved_CustomisedData(), Table77[[#Headers],[Crop type c]], 0)</f>
        <v>Oilseeds</v>
      </c>
      <c r="E195" t="str" cm="1">
        <f t="array" ref="E195">Common_InputFunctions.Utility_DisplayArrayInTable(AgResidues_SourceData.CropFractionRemoved_CustomisedData(), Table77[[#Headers],[Crop type c]], 0)</f>
        <v>SA</v>
      </c>
      <c r="F195" cm="1">
        <f t="array" ref="F195">Common_InputFunctions.Utility_DisplayArrayInTable(AgResidues_SourceData.CropFractionRemoved_CustomisedData(), Table77[[#Headers],[Crop type c]], 0)</f>
        <v>0.09</v>
      </c>
      <c r="G195" s="22"/>
      <c r="H195" s="22"/>
      <c r="I195" s="22"/>
      <c r="J195" s="22"/>
      <c r="K195" s="22"/>
      <c r="L195" s="22"/>
    </row>
    <row r="196" spans="4:12" x14ac:dyDescent="0.25">
      <c r="D196" s="22" t="str" cm="1">
        <f t="array" ref="D196">Common_InputFunctions.Utility_DisplayArrayInTable(AgResidues_SourceData.CropFractionRemoved_CustomisedData(), Table77[[#Headers],[Crop type c]], 0)</f>
        <v>Oilseeds</v>
      </c>
      <c r="E196" t="str" cm="1">
        <f t="array" ref="E196">Common_InputFunctions.Utility_DisplayArrayInTable(AgResidues_SourceData.CropFractionRemoved_CustomisedData(), Table77[[#Headers],[Crop type c]], 0)</f>
        <v>WA</v>
      </c>
      <c r="F196" cm="1">
        <f t="array" ref="F196">Common_InputFunctions.Utility_DisplayArrayInTable(AgResidues_SourceData.CropFractionRemoved_CustomisedData(), Table77[[#Headers],[Crop type c]], 0)</f>
        <v>0.11</v>
      </c>
      <c r="G196" s="22"/>
      <c r="H196" s="22"/>
      <c r="I196" s="22"/>
      <c r="J196" s="22"/>
      <c r="K196" s="22"/>
      <c r="L196" s="22"/>
    </row>
    <row r="197" spans="4:12" x14ac:dyDescent="0.25">
      <c r="D197" s="22" t="str" cm="1">
        <f t="array" ref="D197">Common_InputFunctions.Utility_DisplayArrayInTable(AgResidues_SourceData.CropFractionRemoved_CustomisedData(), Table77[[#Headers],[Crop type c]], 0)</f>
        <v>Oilseeds</v>
      </c>
      <c r="E197" t="str" cm="1">
        <f t="array" ref="E197">Common_InputFunctions.Utility_DisplayArrayInTable(AgResidues_SourceData.CropFractionRemoved_CustomisedData(), Table77[[#Headers],[Crop type c]], 0)</f>
        <v>TAS</v>
      </c>
      <c r="F197" cm="1">
        <f t="array" ref="F197">Common_InputFunctions.Utility_DisplayArrayInTable(AgResidues_SourceData.CropFractionRemoved_CustomisedData(), Table77[[#Headers],[Crop type c]], 0)</f>
        <v>0.16</v>
      </c>
      <c r="G197" s="22"/>
      <c r="H197" s="22"/>
      <c r="I197" s="22"/>
      <c r="J197" s="22"/>
      <c r="K197" s="22"/>
      <c r="L197" s="22"/>
    </row>
    <row r="198" spans="4:12" x14ac:dyDescent="0.25">
      <c r="D198" s="22" t="str" cm="1">
        <f t="array" ref="D198">Common_InputFunctions.Utility_DisplayArrayInTable(AgResidues_SourceData.CropFractionRemoved_CustomisedData(), Table77[[#Headers],[Crop type c]], 0)</f>
        <v>Oilseeds</v>
      </c>
      <c r="E198" t="str" cm="1">
        <f t="array" ref="E198">Common_InputFunctions.Utility_DisplayArrayInTable(AgResidues_SourceData.CropFractionRemoved_CustomisedData(), Table77[[#Headers],[Crop type c]], 0)</f>
        <v>NT</v>
      </c>
      <c r="F198" cm="1">
        <f t="array" ref="F198">Common_InputFunctions.Utility_DisplayArrayInTable(AgResidues_SourceData.CropFractionRemoved_CustomisedData(), Table77[[#Headers],[Crop type c]], 0)</f>
        <v>0.01</v>
      </c>
      <c r="G198" s="22"/>
      <c r="H198" s="22"/>
      <c r="I198" s="22"/>
      <c r="J198" s="22"/>
      <c r="K198" s="22"/>
      <c r="L198" s="22"/>
    </row>
    <row r="199" spans="4:12" x14ac:dyDescent="0.25">
      <c r="D199" s="22" t="str" cm="1">
        <f t="array" ref="D199">Common_InputFunctions.Utility_DisplayArrayInTable(AgResidues_SourceData.CropFractionRemoved_CustomisedData(), Table77[[#Headers],[Crop type c]], 0)</f>
        <v>Oilseeds</v>
      </c>
      <c r="E199" t="str" cm="1">
        <f t="array" ref="E199">Common_InputFunctions.Utility_DisplayArrayInTable(AgResidues_SourceData.CropFractionRemoved_CustomisedData(), Table77[[#Headers],[Crop type c]], 0)</f>
        <v>ACT</v>
      </c>
      <c r="F199" cm="1">
        <f t="array" ref="F199">Common_InputFunctions.Utility_DisplayArrayInTable(AgResidues_SourceData.CropFractionRemoved_CustomisedData(), Table77[[#Headers],[Crop type c]], 0)</f>
        <v>0</v>
      </c>
      <c r="G199" s="22"/>
      <c r="H199" s="22"/>
      <c r="I199" s="22"/>
      <c r="J199" s="22"/>
      <c r="K199" s="22"/>
      <c r="L199" s="22"/>
    </row>
    <row r="200" spans="4:12" x14ac:dyDescent="0.25">
      <c r="D200" s="22" t="str" cm="1">
        <f t="array" ref="D200">Common_InputFunctions.Utility_DisplayArrayInTable(AgResidues_SourceData.CropFractionRemoved_CustomisedData(), Table77[[#Headers],[Crop type c]], 0)</f>
        <v>Other annual crops</v>
      </c>
      <c r="E200" t="str" cm="1">
        <f t="array" ref="E200">Common_InputFunctions.Utility_DisplayArrayInTable(AgResidues_SourceData.CropFractionRemoved_CustomisedData(), Table77[[#Headers],[Crop type c]], 0)</f>
        <v>NSW</v>
      </c>
      <c r="F200" cm="1">
        <f t="array" ref="F200">Common_InputFunctions.Utility_DisplayArrayInTable(AgResidues_SourceData.CropFractionRemoved_CustomisedData(), Table77[[#Headers],[Crop type c]], 0)</f>
        <v>0.05</v>
      </c>
      <c r="G200" s="22"/>
      <c r="H200" s="22"/>
      <c r="I200" s="22"/>
      <c r="J200" s="22"/>
      <c r="K200" s="22"/>
      <c r="L200" s="22"/>
    </row>
    <row r="201" spans="4:12" x14ac:dyDescent="0.25">
      <c r="D201" s="22" t="str" cm="1">
        <f t="array" ref="D201">Common_InputFunctions.Utility_DisplayArrayInTable(AgResidues_SourceData.CropFractionRemoved_CustomisedData(), Table77[[#Headers],[Crop type c]], 0)</f>
        <v>Other annual crops</v>
      </c>
      <c r="E201" t="str" cm="1">
        <f t="array" ref="E201">Common_InputFunctions.Utility_DisplayArrayInTable(AgResidues_SourceData.CropFractionRemoved_CustomisedData(), Table77[[#Headers],[Crop type c]], 0)</f>
        <v>VIC</v>
      </c>
      <c r="F201" cm="1">
        <f t="array" ref="F201">Common_InputFunctions.Utility_DisplayArrayInTable(AgResidues_SourceData.CropFractionRemoved_CustomisedData(), Table77[[#Headers],[Crop type c]], 0)</f>
        <v>7.0000000000000007E-2</v>
      </c>
      <c r="G201" s="22"/>
      <c r="H201" s="22"/>
      <c r="I201" s="22"/>
      <c r="J201" s="22"/>
      <c r="K201" s="22"/>
      <c r="L201" s="22"/>
    </row>
    <row r="202" spans="4:12" x14ac:dyDescent="0.25">
      <c r="D202" s="22" t="str" cm="1">
        <f t="array" ref="D202">Common_InputFunctions.Utility_DisplayArrayInTable(AgResidues_SourceData.CropFractionRemoved_CustomisedData(), Table77[[#Headers],[Crop type c]], 0)</f>
        <v>Other annual crops</v>
      </c>
      <c r="E202" t="str" cm="1">
        <f t="array" ref="E202">Common_InputFunctions.Utility_DisplayArrayInTable(AgResidues_SourceData.CropFractionRemoved_CustomisedData(), Table77[[#Headers],[Crop type c]], 0)</f>
        <v>QLD</v>
      </c>
      <c r="F202" cm="1">
        <f t="array" ref="F202">Common_InputFunctions.Utility_DisplayArrayInTable(AgResidues_SourceData.CropFractionRemoved_CustomisedData(), Table77[[#Headers],[Crop type c]], 0)</f>
        <v>0.04</v>
      </c>
      <c r="G202" s="22"/>
      <c r="H202" s="22"/>
      <c r="I202" s="22"/>
      <c r="J202" s="22"/>
      <c r="K202" s="22"/>
      <c r="L202" s="22"/>
    </row>
    <row r="203" spans="4:12" x14ac:dyDescent="0.25">
      <c r="D203" s="22" t="str" cm="1">
        <f t="array" ref="D203">Common_InputFunctions.Utility_DisplayArrayInTable(AgResidues_SourceData.CropFractionRemoved_CustomisedData(), Table77[[#Headers],[Crop type c]], 0)</f>
        <v>Other annual crops</v>
      </c>
      <c r="E203" t="str" cm="1">
        <f t="array" ref="E203">Common_InputFunctions.Utility_DisplayArrayInTable(AgResidues_SourceData.CropFractionRemoved_CustomisedData(), Table77[[#Headers],[Crop type c]], 0)</f>
        <v>SA</v>
      </c>
      <c r="F203" cm="1">
        <f t="array" ref="F203">Common_InputFunctions.Utility_DisplayArrayInTable(AgResidues_SourceData.CropFractionRemoved_CustomisedData(), Table77[[#Headers],[Crop type c]], 0)</f>
        <v>0.09</v>
      </c>
      <c r="G203" s="22"/>
      <c r="H203" s="22"/>
      <c r="I203" s="22"/>
      <c r="J203" s="22"/>
      <c r="K203" s="22"/>
      <c r="L203" s="22"/>
    </row>
    <row r="204" spans="4:12" x14ac:dyDescent="0.25">
      <c r="D204" s="22" t="str" cm="1">
        <f t="array" ref="D204">Common_InputFunctions.Utility_DisplayArrayInTable(AgResidues_SourceData.CropFractionRemoved_CustomisedData(), Table77[[#Headers],[Crop type c]], 0)</f>
        <v>Other annual crops</v>
      </c>
      <c r="E204" t="str" cm="1">
        <f t="array" ref="E204">Common_InputFunctions.Utility_DisplayArrayInTable(AgResidues_SourceData.CropFractionRemoved_CustomisedData(), Table77[[#Headers],[Crop type c]], 0)</f>
        <v>WA</v>
      </c>
      <c r="F204" cm="1">
        <f t="array" ref="F204">Common_InputFunctions.Utility_DisplayArrayInTable(AgResidues_SourceData.CropFractionRemoved_CustomisedData(), Table77[[#Headers],[Crop type c]], 0)</f>
        <v>0.11</v>
      </c>
      <c r="G204" s="22"/>
    </row>
    <row r="205" spans="4:12" x14ac:dyDescent="0.25">
      <c r="D205" s="22" t="str" cm="1">
        <f t="array" ref="D205">Common_InputFunctions.Utility_DisplayArrayInTable(AgResidues_SourceData.CropFractionRemoved_CustomisedData(), Table77[[#Headers],[Crop type c]], 0)</f>
        <v>Other annual crops</v>
      </c>
      <c r="E205" t="str" cm="1">
        <f t="array" ref="E205">Common_InputFunctions.Utility_DisplayArrayInTable(AgResidues_SourceData.CropFractionRemoved_CustomisedData(), Table77[[#Headers],[Crop type c]], 0)</f>
        <v>TAS</v>
      </c>
      <c r="F205" cm="1">
        <f t="array" ref="F205">Common_InputFunctions.Utility_DisplayArrayInTable(AgResidues_SourceData.CropFractionRemoved_CustomisedData(), Table77[[#Headers],[Crop type c]], 0)</f>
        <v>0.16</v>
      </c>
      <c r="G205" s="22"/>
    </row>
    <row r="206" spans="4:12" x14ac:dyDescent="0.25">
      <c r="D206" s="22" t="str" cm="1">
        <f t="array" ref="D206">Common_InputFunctions.Utility_DisplayArrayInTable(AgResidues_SourceData.CropFractionRemoved_CustomisedData(), Table77[[#Headers],[Crop type c]], 0)</f>
        <v>Other annual crops</v>
      </c>
      <c r="E206" t="str" cm="1">
        <f t="array" ref="E206">Common_InputFunctions.Utility_DisplayArrayInTable(AgResidues_SourceData.CropFractionRemoved_CustomisedData(), Table77[[#Headers],[Crop type c]], 0)</f>
        <v>NT</v>
      </c>
      <c r="F206" cm="1">
        <f t="array" ref="F206">Common_InputFunctions.Utility_DisplayArrayInTable(AgResidues_SourceData.CropFractionRemoved_CustomisedData(), Table77[[#Headers],[Crop type c]], 0)</f>
        <v>0.01</v>
      </c>
      <c r="G206" s="22"/>
    </row>
    <row r="207" spans="4:12" x14ac:dyDescent="0.25">
      <c r="D207" s="22" t="str" cm="1">
        <f t="array" ref="D207">Common_InputFunctions.Utility_DisplayArrayInTable(AgResidues_SourceData.CropFractionRemoved_CustomisedData(), Table77[[#Headers],[Crop type c]], 0)</f>
        <v>Other annual crops</v>
      </c>
      <c r="E207" t="str" cm="1">
        <f t="array" ref="E207">Common_InputFunctions.Utility_DisplayArrayInTable(AgResidues_SourceData.CropFractionRemoved_CustomisedData(), Table77[[#Headers],[Crop type c]], 0)</f>
        <v>ACT</v>
      </c>
      <c r="F207" cm="1">
        <f t="array" ref="F207">Common_InputFunctions.Utility_DisplayArrayInTable(AgResidues_SourceData.CropFractionRemoved_CustomisedData(), Table77[[#Headers],[Crop type c]], 0)</f>
        <v>0</v>
      </c>
      <c r="G207" s="22"/>
    </row>
    <row r="208" spans="4:12" x14ac:dyDescent="0.25">
      <c r="D208" s="22" t="str" cm="1">
        <f t="array" ref="D208">Common_InputFunctions.Utility_DisplayArrayInTable(AgResidues_SourceData.CropFractionRemoved_CustomisedData(), Table77[[#Headers],[Crop type c]], 0)</f>
        <v>Other perennial crops</v>
      </c>
      <c r="E208" t="str" cm="1">
        <f t="array" ref="E208">Common_InputFunctions.Utility_DisplayArrayInTable(AgResidues_SourceData.CropFractionRemoved_CustomisedData(), Table77[[#Headers],[Crop type c]], 0)</f>
        <v>NSW</v>
      </c>
      <c r="F208" cm="1">
        <f t="array" ref="F208">Common_InputFunctions.Utility_DisplayArrayInTable(AgResidues_SourceData.CropFractionRemoved_CustomisedData(), Table77[[#Headers],[Crop type c]], 0)</f>
        <v>0.05</v>
      </c>
      <c r="G208" s="22"/>
    </row>
    <row r="209" spans="4:7" x14ac:dyDescent="0.25">
      <c r="D209" s="22" t="str" cm="1">
        <f t="array" ref="D209">Common_InputFunctions.Utility_DisplayArrayInTable(AgResidues_SourceData.CropFractionRemoved_CustomisedData(), Table77[[#Headers],[Crop type c]], 0)</f>
        <v>Other perennial crops</v>
      </c>
      <c r="E209" t="str" cm="1">
        <f t="array" ref="E209">Common_InputFunctions.Utility_DisplayArrayInTable(AgResidues_SourceData.CropFractionRemoved_CustomisedData(), Table77[[#Headers],[Crop type c]], 0)</f>
        <v>VIC</v>
      </c>
      <c r="F209" cm="1">
        <f t="array" ref="F209">Common_InputFunctions.Utility_DisplayArrayInTable(AgResidues_SourceData.CropFractionRemoved_CustomisedData(), Table77[[#Headers],[Crop type c]], 0)</f>
        <v>7.0000000000000007E-2</v>
      </c>
      <c r="G209" s="22"/>
    </row>
    <row r="210" spans="4:7" x14ac:dyDescent="0.25">
      <c r="D210" s="22" t="str" cm="1">
        <f t="array" ref="D210">Common_InputFunctions.Utility_DisplayArrayInTable(AgResidues_SourceData.CropFractionRemoved_CustomisedData(), Table77[[#Headers],[Crop type c]], 0)</f>
        <v>Other perennial crops</v>
      </c>
      <c r="E210" t="str" cm="1">
        <f t="array" ref="E210">Common_InputFunctions.Utility_DisplayArrayInTable(AgResidues_SourceData.CropFractionRemoved_CustomisedData(), Table77[[#Headers],[Crop type c]], 0)</f>
        <v>QLD</v>
      </c>
      <c r="F210" cm="1">
        <f t="array" ref="F210">Common_InputFunctions.Utility_DisplayArrayInTable(AgResidues_SourceData.CropFractionRemoved_CustomisedData(), Table77[[#Headers],[Crop type c]], 0)</f>
        <v>0.04</v>
      </c>
      <c r="G210" s="22"/>
    </row>
    <row r="211" spans="4:7" x14ac:dyDescent="0.25">
      <c r="D211" s="22" t="str" cm="1">
        <f t="array" ref="D211">Common_InputFunctions.Utility_DisplayArrayInTable(AgResidues_SourceData.CropFractionRemoved_CustomisedData(), Table77[[#Headers],[Crop type c]], 0)</f>
        <v>Other perennial crops</v>
      </c>
      <c r="E211" t="str" cm="1">
        <f t="array" ref="E211">Common_InputFunctions.Utility_DisplayArrayInTable(AgResidues_SourceData.CropFractionRemoved_CustomisedData(), Table77[[#Headers],[Crop type c]], 0)</f>
        <v>SA</v>
      </c>
      <c r="F211" cm="1">
        <f t="array" ref="F211">Common_InputFunctions.Utility_DisplayArrayInTable(AgResidues_SourceData.CropFractionRemoved_CustomisedData(), Table77[[#Headers],[Crop type c]], 0)</f>
        <v>0.09</v>
      </c>
      <c r="G211" s="22"/>
    </row>
    <row r="212" spans="4:7" x14ac:dyDescent="0.25">
      <c r="D212" s="22" t="str" cm="1">
        <f t="array" ref="D212">Common_InputFunctions.Utility_DisplayArrayInTable(AgResidues_SourceData.CropFractionRemoved_CustomisedData(), Table77[[#Headers],[Crop type c]], 0)</f>
        <v>Other perennial crops</v>
      </c>
      <c r="E212" t="str" cm="1">
        <f t="array" ref="E212">Common_InputFunctions.Utility_DisplayArrayInTable(AgResidues_SourceData.CropFractionRemoved_CustomisedData(), Table77[[#Headers],[Crop type c]], 0)</f>
        <v>WA</v>
      </c>
      <c r="F212" cm="1">
        <f t="array" ref="F212">Common_InputFunctions.Utility_DisplayArrayInTable(AgResidues_SourceData.CropFractionRemoved_CustomisedData(), Table77[[#Headers],[Crop type c]], 0)</f>
        <v>0.11</v>
      </c>
      <c r="G212" s="22"/>
    </row>
    <row r="213" spans="4:7" x14ac:dyDescent="0.25">
      <c r="D213" s="22" t="str" cm="1">
        <f t="array" ref="D213">Common_InputFunctions.Utility_DisplayArrayInTable(AgResidues_SourceData.CropFractionRemoved_CustomisedData(), Table77[[#Headers],[Crop type c]], 0)</f>
        <v>Other perennial crops</v>
      </c>
      <c r="E213" t="str" cm="1">
        <f t="array" ref="E213">Common_InputFunctions.Utility_DisplayArrayInTable(AgResidues_SourceData.CropFractionRemoved_CustomisedData(), Table77[[#Headers],[Crop type c]], 0)</f>
        <v>TAS</v>
      </c>
      <c r="F213" cm="1">
        <f t="array" ref="F213">Common_InputFunctions.Utility_DisplayArrayInTable(AgResidues_SourceData.CropFractionRemoved_CustomisedData(), Table77[[#Headers],[Crop type c]], 0)</f>
        <v>0.16</v>
      </c>
      <c r="G213" s="22"/>
    </row>
    <row r="214" spans="4:7" x14ac:dyDescent="0.25">
      <c r="D214" s="22" t="str" cm="1">
        <f t="array" ref="D214">Common_InputFunctions.Utility_DisplayArrayInTable(AgResidues_SourceData.CropFractionRemoved_CustomisedData(), Table77[[#Headers],[Crop type c]], 0)</f>
        <v>Other perennial crops</v>
      </c>
      <c r="E214" t="str" cm="1">
        <f t="array" ref="E214">Common_InputFunctions.Utility_DisplayArrayInTable(AgResidues_SourceData.CropFractionRemoved_CustomisedData(), Table77[[#Headers],[Crop type c]], 0)</f>
        <v>NT</v>
      </c>
      <c r="F214" cm="1">
        <f t="array" ref="F214">Common_InputFunctions.Utility_DisplayArrayInTable(AgResidues_SourceData.CropFractionRemoved_CustomisedData(), Table77[[#Headers],[Crop type c]], 0)</f>
        <v>0.01</v>
      </c>
      <c r="G214" s="22"/>
    </row>
  </sheetData>
  <phoneticPr fontId="23" type="noConversion"/>
  <pageMargins left="0.7" right="0.7" top="0.75" bottom="0.75" header="0.3" footer="0.3"/>
  <tableParts count="5">
    <tablePart r:id="rId1"/>
    <tablePart r:id="rId2"/>
    <tablePart r:id="rId3"/>
    <tablePart r:id="rId4"/>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2" t="str" cm="1">
        <f t="array" ref="D98:D101">Common_SourceData.Common_SourceData_ClimateZones_Appendices()</f>
        <v>Note:</v>
      </c>
    </row>
    <row r="99" spans="4:20" ht="20.100000000000001" customHeight="1" x14ac:dyDescent="0.25">
      <c r="D99" s="52" t="str">
        <v>MAT = mean annual temperature</v>
      </c>
    </row>
    <row r="100" spans="4:20" ht="20.100000000000001" customHeight="1" x14ac:dyDescent="0.25">
      <c r="D100" s="52" t="str">
        <v>MAP = mean annual precipitation</v>
      </c>
    </row>
    <row r="101" spans="4:20" ht="20.100000000000001" customHeight="1" x14ac:dyDescent="0.25">
      <c r="D101" s="52" t="str">
        <v>PET = potential evapotranspiration</v>
      </c>
    </row>
    <row r="102" spans="4:20" ht="20.100000000000001" customHeight="1" x14ac:dyDescent="0.25">
      <c r="D102" s="52"/>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91</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90</v>
      </c>
      <c r="E212" s="37" t="s">
        <v>98</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115</v>
      </c>
      <c r="F231" s="36" t="s">
        <v>116</v>
      </c>
      <c r="G231" s="37" t="s">
        <v>104</v>
      </c>
      <c r="H231" s="37" t="s">
        <v>117</v>
      </c>
      <c r="I231" s="37" t="s">
        <v>118</v>
      </c>
      <c r="J231" s="37" t="s">
        <v>103</v>
      </c>
      <c r="K231" s="37" t="s">
        <v>102</v>
      </c>
      <c r="L231" s="37" t="s">
        <v>119</v>
      </c>
      <c r="M231" s="37" t="s">
        <v>120</v>
      </c>
      <c r="N231" s="37" t="s">
        <v>101</v>
      </c>
      <c r="O231" s="37" t="s">
        <v>121</v>
      </c>
      <c r="P231" s="37" t="s">
        <v>106</v>
      </c>
      <c r="Q231" s="37" t="s">
        <v>107</v>
      </c>
      <c r="R231" s="37" t="s">
        <v>105</v>
      </c>
      <c r="S231" s="37" t="s">
        <v>122</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132</v>
      </c>
      <c r="E257" s="37" t="s">
        <v>133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kARgBFAFIAUgBPAFIAKABMAG8AbwBrAHUAcABBAHIAcgBhAHkAMQAsAFwAIgBcACIAKQA9AEwAbwBvAGsAdQBwAFQAYQByAGcAZQB0ADEAKQAsAFwAbgAgACAAIAAgAGMAcgBpAHQAZQByAGkAYQAyACwASQBGACgASQBTAE8ATQBJAFQAVABFAEQAKABMAG8AbwBrAHUAcABUAGEAcgBnAGUAdAAyACkALAAxACwASQBGAEUAUgBSAE8AUgAoAC0ALQAoAEwAbwBvAGsAdQBwAEEAcgByAGEAeQAyAD0ATABvAG8AawB1AHAAVABhAHIAZwBlAHQAMgApACwAMAApACkALABcAG4AIAAgACAAIABhAG0AbwB1AG4AdABzACwASQBGAEUAUgBSAE8AUgAoAEEAbQBvAHUAbgB0AEEAcABwAGwAaQBlAGQAKgAxACwAMAApACwAXABuACAAIAAgACAAUwBVAE0AUABSAE8ARABVAEMAVAAoAGMAcgBpAHQAZQByAGkAYQAxACoAYwByAGkAdABlAHIAaQBhADIAKgBhAG0AbwB1AG4AdABz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AgAFAAcgBvAGQAdQBjAHQASQBuAGcAcgBlAGQAaQBlAG4AdABQAGUAcgBjAGUAbgB0ADEALABcAG4AIAAgAFsAUAByAG8AZAB1AGMAdABJAG4AZwByAGUAZABpAGUAbgB0ADIAXQAsACAAWwBQAHIAbwBkAHUAYwB0AEkAbgBnAHIAZQBkAGkAZQBuAHQAUABlAHIAYwBlAG4AdAAyAF0ALABcAG4AIAAgAFsAUAByAG8AZAB1AGMAdABJAG4AZwByAGUAZABpAGUAbgB0ADMAXQAsACAAWwBQAHIAbwBkAHUAYwB0AEkAbgBnAHIAZQBkAGkAZQBuAHQAUABlAHIAYwBlAG4AdAAzAF0ALABcAG4AIAAgAFsAUAByAG8AZAB1AGMAdABJAG4AZwByAGUAZABpAGUAbgB0ADQAXQAsACAAWwBQAHIAbwBkAHUAYwB0AEkAbgBnAHIAZQBkAGkAZQBuAHQAUABlAHIAYwBlAG4AdAA0AF0ALABcAG4AIAAgAFsAUAByAG8AZAB1AGMAdABJAG4AZwByAGUAZABpAGUAbgB0ADUAXQAsACAAWwBQAHIAbwBkAHUAYwB0AEkAbgBnAHIAZQBkAGkAZQBuAHQAUABlAHIAYwBlAG4AdAA1AF0ALABcAG4AIAAgAFsAUAByAG8AZAB1AGMAdABJAG4AZwByAGUAZABpAGUAbgB0ADYAXQAs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EkARgAoAEkAUwBPAE0ASQBUAFQARQBEACgAUAByAG8AZAB1AGMAdABJAG4AZwByAGUAZABpAGUAbgB0ADIAKQAsACAAMAAsACAAQQBtAG8AdQBuAHQAQQBwAHAAbABpAGUAZAAqAFAAcgBvAGQAdQBjAHQASQBuAGcAcgBlAGQAaQBlAG4AdABQAGUAcgBjAGUAbgB0ADIAKQAsAFwAbgAgACAAIAAgAGMAYQBsAGMAdQBsAGEAdABlAGQAQQBtAG8AdQBuAHQAMwAsACAASQBGACgASQBTAE8ATQBJAFQAVABFAEQAKABQAHIAbwBkAHUAYwB0AEkAbgBnAHIAZQBkAGkAZQBuAHQAMwApACwAIAAwACwAIABBAG0AbwB1AG4AdABBAHAAcABsAGkAZQBkACoAUAByAG8AZAB1AGMAdABJAG4AZwByAGUAZABpAGUAbgB0AFAAZQByAGMAZQBuAHQAMwApACwAIABcAG4AIAAgACAAIABjAGEAbABjAHUAbABhAHQAZQBkAEEAbQBvAHUAbgB0ADQALAAgAEkARgAoAEkAUwBPAE0ASQBUAFQARQBEACgAUAByAG8AZAB1AGMAdABJAG4AZwByAGUAZABpAGUAbgB0ADQAKQAsACAAMAAsACAAQQBtAG8AdQBuAHQAQQBwAHAAbABpAGUAZAAqAFAAcgBvAGQAdQBjAHQASQBuAGcAcgBlAGQAaQBlAG4AdABQAGUAcgBjAGUAbgB0ADQAKQAsACAAXABuACAAIAAgACAAYwBhAGwAYwB1AGwAYQB0AGUAZABBAG0AbwB1AG4AdAA1ACwAIABJAEYAKABJAFMATwBNAEkAVABUAEUARAAoAFAAcgBvAGQAdQBjAHQASQBuAGcAcgBlAGQAaQBlAG4AdAA1ACkALAAgADAALAAgAEEAbQBvAHUAbgB0AEEAcABwAGwAaQBlAGQAKgBQAHIAbwBkAHUAYwB0AEkAbgBnAHIAZQBkAGkAZQBuAHQAUABlAHIAYwBlAG4AdAA1ACkALAAgAFwAbgAgACAAIAAgAGMAYQBsAGMAdQBsAGEAdABlAGQAQQBtAG8AdQBuAHQANgAsACAASQBGACgASQBTAE8ATQBJAFQAVABFAEQAKABQAHIAbwBkAHUAYwB0AEkAbgBnAHIAZQBkAGkAZQBuAHQANgApACwAIAAwACwAI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FwAbgAgACAAIAAgACAAIABJAEYAKABJAFMATwBNAEkAVABUAEUARAAoAFAAcgBvAGQAdQBjAHQASQBuAGcAcgBlAGQAaQBlAG4AdAAyACkALAAgADAALAAgAFwAbgAgACAAIAAgACAAIABGAGUAcgB0AGkAbABpAHMAZQByAF8AUwB1AG0AUAByAG8AZAB1AGMAdABBAHAAcABsAGkAZQBkACgAQwBoAGUAbQBpAGMAYQBsAEMAbwBtAHAAbwB1AG4AZAAsACAAUAByAG8AZAB1AGMAdABJAG4AZwByAGUAZABpAGUAbgB0ADIALAAgAGMAYQBsAGMAdQBsAGEAdABlAGQAQQBtAG8AdQBuAHQAMgApACkALAAgADAAKQArAFwAbgAgACAAIAAgAEkARgBFAFIAUgBPAFIAKABcAG4AIAAgACAAIAAgACAASQBGACgASQBTAE8ATQBJAFQAVABFAEQAKABQAHIAbwBkAHUAYwB0AEkAbgBnAHIAZQBkAGkAZQBuAHQAMwApACwAIAAwACwAIABcAG4AIAAgACAAIAAgACAARgBlAHIAdABpAGwAaQBzAGUAcgBfAFMAdQBtAFAAcgBvAGQAdQBjAHQAQQBwAHAAbABpAGUAZAAoAEMAaABlAG0AaQBjAGEAbABDAG8AbQBwAG8AdQBuAGQALAAgAFAAcgBvAGQAdQBjAHQASQBuAGcAcgBlAGQAaQBlAG4AdAAzACwAIABjAGEAbABjAHUAbABhAHQAZQBkAEEAbQBvAHUAbgB0ADMAKQApACwAIAAwACkAKwBcAG4AIAAgACAAIABJAEYARQBSAFIATwBSACgAXABuACAAIAAgACAAIAAgAEkARgAoAEkAUwBPAE0ASQBUAFQARQBEACgAUAByAG8AZAB1AGMAdABJAG4AZwByAGUAZABpAGUAbgB0ADQAKQAsACAAMAAsACAAXABuACAAIAAgACAAIAAgAEYAZQByAHQAaQBsAGkAcwBlAHIAXwBTAHUAbQBQAHIAbwBkAHUAYwB0AEEAcABwAGwAaQBlAGQAKABDAGgAZQBtAGkAYwBhAGwAQwBvAG0AcABvAHUAbgBkACwAIABQAHIAbwBkAHUAYwB0AEkAbgBnAHIAZQBkAGkAZQBuAHQANAAsACAAYwBhAGwAYwB1AGwAYQB0AGUAZABBAG0AbwB1AG4AdAA0ACkAKQAsACAAMAApACsAXABuACAAIAAgACAASQBGAEUAUgBSAE8AUgAoAFwAbgAgACAAIAAgACAAIABJAEYAKABJAFMATwBNAEkAVABUAEUARAAoAFAAcgBvAGQAdQBjAHQASQBuAGcAcgBlAGQAaQBlAG4AdAA1ACkALAAgADAALAAgAFwAbgAgACAAIAAgACAAIABGAGUAcgB0AGkAbABpAHMAZQByAF8AUwB1AG0AUAByAG8AZAB1AGMAdABBAHAAcABsAGkAZQBkACgAQwBoAGUAbQBpAGMAYQBsAEMAbwBtAHAAbwB1AG4AZAAsACAAUAByAG8AZAB1AGMAdABJAG4AZwByAGUAZABpAGUAbgB0ADUALAAgAGMAYQBsAGMAdQBsAGEAdABlAGQAQQBtAG8AdQBuAHQANQApACkALAAgADAAKQArAFwAbgAgACAAIAAgAEkARgBFAFIAUgBPAFIAKABcAG4AIAAgACAAIAAgACAASQBGACgASQBTAE8ATQBJAFQAVABFAEQAKABQAHIAbwBkAHUAYwB0AEkAbgBnAHIAZQBkAGkAZQBuAHQANgApACwAIAAwACwAIABcAG4AIAAgACAAIAAgACAARgBlAHIAdABpAGwAaQBzAGUAcgBfAFMAdQBtAFAAcgBvAGQAdQBjAHQAQQBwAHAAbABpAGUAZAAoAEMAaABlAG0AaQBjAGEAbABDAG8AbQBwAG8AdQBuAGQALAAgAFAAcgBvAGQAdQBjAHQASQBuAGcAcgBlAGQAaQBlAG4AdAA2ACwAIABjAGEAbABjAHUAbABhAHQAZQBkAEEAbQBvAHUAbgB0ADYAKQApACwAIAAw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UAByAG8AZAB1AGMAdABJAG4AZwByAGUAZABpAGUAbgB0ADEAUwBvAHUAcgBjAGUALABcAG4AIAAgAFsAUAByAG8AZAB1AGMAdABJAG4AZwByAGUAZABpAGUAbgB0ADIAXQAsAFwAbgAgACAAWwBQAHIAbwBkAHUAYwB0AEkAbgBnAHIAZQBkAGkAZQBuAHQAUABlAHIAYwBlAG4AdAAyAF0ALABcAG4AIAAgAFsAUAByAG8AZAB1AGMAdABJAG4AZwByAGUAZABpAGUAbgB0ADIAUwBvAHUAcgBjAGUAXQAsAFwAbgAgACAAWwBQAHIAbwBkAHUAYwB0AEkAbgBnAHIAZQBkAGkAZQBuAHQAMwBdACwAXABuACAAIABbAFAAcgBvAGQAdQBjAHQASQBuAGcAcgBlAGQAaQBlAG4AdABQAGUAcgBjAGUAbgB0ADMAXQAsAFwAbgAgACAAWwBQAHIAbwBkAHUAYwB0AEkAbgBnAHIAZQBkAGkAZQBuAHQAMwBTAG8AdQByAGMAZQBdACwAXABuACAAIABbAFAAcgBvAGQAdQBjAHQASQBuAGcAcgBlAGQAaQBlAG4AdAA0AF0ALABcAG4AIAAgAFsAUAByAG8AZAB1AGMAdABJAG4AZwByAGUAZABpAGUAbgB0AFAAZQByAGMAZQBuAHQANABdACwAXABuACAAIABbAFAAcgBvAGQAdQBjAHQASQBuAGcAcgBlAGQAaQBlAG4AdAA0AFMAbwB1AHIAYwBlAF0ALABcAG4AIAAgAFsAUAByAG8AZAB1AGMAdABJAG4AZwByAGUAZABpAGUAbgB0ADUAXQAsAFwAbgAgACAAWwBQAHIAbwBkAHUAYwB0AEkAbgBnAHIAZQBkAGkAZQBuAHQAUABlAHIAYwBlAG4AdAA1AF0ALABcAG4AIAAgAFsAUAByAG8AZAB1AGMAdABJAG4AZwByAGUAZABpAGUAbgB0ADUAUwBvAHUAcgBjAGUAXQAsAFwAbgAgACAAWwBQAHIAbwBkAHUAYwB0AEkAbgBnAHIAZQBkAGkAZQBuAHQANgBdACwAXABuACAAIABbAFAAcgBvAGQAdQBjAHQASQBuAGcAcgBlAGQAaQBlAG4AdABQAGUAcgBjAGUAbgB0ADYAXQAsAFwAbgAgACAAWwBQAHIAbwBkAHUAYwB0AEkAbgBnAHIAZQBkAGkAZQBuAHQANgBTAG8AdQByAGMAZQ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CAAI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MQBTAG8AdQByAGMAZ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AsACAAUwBvAHUAcgBjAGUALAAgAFAAcgBvAGQAdQBjAHQASQBuAGcAcgBlAGQAaQBlAG4AdAAyAFMAbwB1AHIAYwBl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LAAgAFMAbwB1AHIAYwBlACwAIABQAHIAbwBkAHUAYwB0AEkAbgBnAHIAZQBkAGkAZQBuAHQAMw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D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AsACAAUwBvAHUAcgBjAGUALAAgAFAAcgBvAGQAdQBjAHQASQBuAGcAcgBlAGQAaQBlAG4AdAA1AFMAbwB1AHIAYwBl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LAAgAFMAbwB1AHIAYwBlACwAIABQAHIAbwBkAHUAYwB0AEkAbgBnAHIAZQBkAGkAZQBuAHQANgBTAG8AdQByAGMAZQ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IgB9ACwAewAiAHAAYQB0AGgAIgA6ACIALwBwAHIAbwBqAGUAYwB0AHMALwBGAGUAcgB0AGkAbABpAHMAZQByAF8ARQBxAHUAYQB0AGkAbwBuAHMAXwBJAG4Ab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QBfAF8AMQBfAEkAbgBvAHIAZwBhAG4AaQBjAEYAZQByAHQAaQBsAGkAcwBlAHIAQQBwAHAAbABpAGMAYQB0AGkAbwBuAE4AMgBPAEUAbQBpAHMAcwBpAG8AbgBzAFwAb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G4ARQBfAE4AMgBPAFwAbgB0ACAATgAyAE8AXABuAFwAXABzAHUAbQBfAHsAagB9AFwAXABzAHUAbQBfAHsAZgB9ACgAKABNAE4AXwB7AGoAZgB9AFwAXAB0AGkAbQBlAHMAIABFAEYAXwB7AGoALABOADIATwB9AFwAXAB0AGkAbQBlAHMAIABDAF8AewBOADIATwB9ACkAXABcAHQAaQBtAGUAcwAgADEAMABeAHsALQAzAH0AKQBcAG4ATQBOAF8AagBmAFwAbgBFAEYAXwBqAE4AMgBPAFwAbgBDAF8ATgAyAE8AXABuAGoAXABuAGYAXABuAC0ALQAtAC0ALQAtAC0ALQAtAC0ALQAtAC0ALQAtAC0ALQAtAC0ALQAtAC0ALQAtAC0ALQAtAC0ALQAtAC0ALQAtAC0ALQAtAC0ALQBcAG4AKgAvAFwAbgBcAG4AVgBFAEUAUgBHAF8ANQBfADEAXwAxAF8AMQBfAF8AMQBfAEkAbgBvAHIAZwBhAG4AaQBjAEYAZQByAHQAaQBsAGkAcwBlAHIAQQBwAHAAbABpAGMAYQB0AGkAbwBuAE4AMgBPAEUAbQBpAHMAcwBpAG8AbgBzAFwAbgAgACAAPQBMAEEATQBCAEQAQQAoAFwAbgAgACAAIAAgAE0ATgBfAGoAZgAsACAARQBGAF8AagBOADIATwAsACAAQwBfAE4AMgBPACwAXABuACAAIAAgACAAKABNAE4AXwBqAGYAIAAqACAARQBGAF8AagBOADIATwAgACoAIABDAF8ATgAyAE8AKQAgACoAIAAxADAAIABeACAALQAzAFwAbgAgACAAKQA7AFwAbgBcAG4AVgBFAEUAUgBHAF8ANQBfADEAXwAxAF8AMQBfAF8AMQBfAEkAbgBv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CIAKQA7AFwAbgBcAG4AVgBFAEUAUgBHAF8ANQBfADEAXwAxAF8AMQBfAF8AMQBfAEkAbgBvAHIAZwBhAG4AaQBjAEYAZQByAHQAaQBsAGkAcwBlAHIAQQBwAHAAbABpAGMAYQB0AGkAbwBuAE4AMgBPAEUAbQBpAHMAcwBpAG8AbgBzAF8AVgBhAHIAaQBhAGIAbABlAFwAbgAgACAAPQBMAEEATQBCAEQAQQAoAFwAIgBFAF8ATgAyAE8AXAAiACkAOwBcAG4AXABuAFYARQBFAFIARwBfADUAXwAxAF8AMQBfADEAXwBfADEAXwBJAG4AbwByAGcAYQBuAGkAYwBGAGUAcgB0AGkAbABpAHMAZQByAEEAcABwAGwAaQBjAGEAdABpAG8AbgBOADIATwBFAG0AaQBzAHMAaQBvAG4AcwBfAFUAbgBpAHQAXABuACAAIAA9AEwAQQBNAEIARABBACgAXAAiAHQAIABOADIATwBcACIAKQA7AFwAbgBcAG4AVgBFAEUAUgBHAF8ANQBfADEAXwAxAF8AMQBfAF8AMQBfAEkAbgBvAHIAZwBhAG4AaQBjAEYAZQByAHQAaQBsAGkAcwBlAHIAQQBwAHAAbABpAGMAYQB0AGkAbwBuAE4AMgBPAEUAbQBpAHMAcwBpAG8AbgBzAF8AUwBvAHUAcgBjAGUAXABuACAAIAA9AEwAQQBNAEIARABBACgAXAAiAFYARQBFAFIARwAgADIAMAAyADYAOgAgADUALgAxAC4AMQAuADEALAAgAEUAcQB1AGEAdABpAG8AbgAgACgAMQApAFwAIgApADsAXABuAFwAbgBWAEUARQBSAEcAXwA1AF8AMQBfADEAXwAxAF8AXwAxAF8ASQBuAG8AcgBnAGEAbgBpAGMARgBlAHIAdABpAGwAaQBzAGUAcgBBAHAAcABsAGkAYwBhAHQAaQBvAG4ATgAyAE8ARQBtAGkAcwBzAGkAbwBuAHMAXwBOAEkAUgBSAGUAZgBlAHIAZQBuAGMAZQBcAG4AIAAgAD0ATABBAE0AQgBEAEEAKABcACIAXAAiACkAOwBcAG4AXABuAFYARQBFAFIARwBfADUAXwAxAF8AMQBfADEAXwBfADEAXwBJAG4AbwByAGcAYQBuAGkAYwBGAGUAcgB0AGkAbABpAHMAZQByAEEAcABwAGwAaQBjAGEAdABpAG8AbgBOADIATwBFAG0AaQBzAHMAaQBvAG4AcwBfAEwAYQB0AGUAeABFAHEAdQBhAHQAaQBvAG4AXABuACAAIAA9AEwAQQBNAEIARABBACgAXAAiAEUAXwB7AE4AMgBPAH0APQBcAFwAcwB1AG0AXwB7AGoAfQBcAFwAcwB1AG0AXwB7AGYAfQAoACgATQBOAF8AewBqAGYAfQBcAFwAdABpAG0AZQBzACAARQBGAF8AewBqACwATgAyAE8AfQBcAFwAdABpAG0AZQBzACAAQwBfAHsATgAyAE8AfQApAFwAXAB0AGkAbQBlAHMAIAAxADAAXgB7AC0AMwB9ACkAXAAiACkAOwBcAG4AXABuAFYARQBFAFIARwBfADUAXwAxAF8AMQBfADEAXwBfADEAXwBJAG4AbwByAGcAYQBuAGkAYwBGAGUAcgB0AGkAbABpAHMAZQByAEEAcABwAGwAaQBjAGEAdABpAG8AbgBOADIATwBFAG0AaQBzAHMAaQBvAG4AcwBfAEEAcgBnAHUAbQBlAG4AdABzAFwAbgAgACAAPQBMAEEATQBCAEQAQQAoAFwAbgAgACAAIAAgAE0AQQBLAEUAQQBSAFIAQQBZACgANw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BWAEUARQBSAEcAXwA1AF8AMQBfADEAXwAxAF8AXwAxAF8ASQBuAG8AcgBnAGEAbgBpAGMARgBlAHIAdABpAGwAaQBzAGUAcgBBAHAAcABsAGkAYwBhAHQAaQBvAG4ATgAyAE8ARQBtAGkAcwBzAGkAbwBuAHMAXwBBAHIAZwB1AG0AZQBuAHQAcwBfAE0AZQB0AGgAbwBkADIAXABuACAAIAA9AEwAQQBNAEIARABBACgAXABuACAAIAAgACAATQBBAEsARQBBAFIAUgBBAFkAKAA4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EAbABjAHUAbABhAHQAZQBkACAAZgByAG8AbQAgADUALgAxAC4AMQAuADIAIAAoADEAKQAoADIAKQAoADMAKQ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YwBcACIALABcACIAQwByAG8AcAAgAHQAeQBwAGU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QBfADEAXwAxAF8AXwAyAF8ATQBhAHMAcwBPAGYATgBpAHQAcgBvAGcAZQBuAEkAbgBJAG4AbwByAGcAYQBuAGkAYwBGAGUAcgB0AGkAbABpAHMAZQByAFwAbgBNAGEAcwBzACAAbwBmACAAbgBpAHQAcgBvAGcAZQBuACAAaQBuACAAaQBuAG8AcgBnAGEAbgBpAGMAIABmAGUAcgB0AGkAbABpAHMAZQByACAAYQBwAHAAbABpAGUAZAAgAHQAbwAgAHAAcgBvAGQAdQBjAHQAaQBvAG4AIABzAHkAcwB0AGUAbQBcAG4ATQBOAF8AagBmAFwAbgBrAGcAIABOAFwAbgB7AE0ATgB9AF8AewBqAGYAfQA9AFQATQBfAHsAagBmAH0AXABcAHQAaQBtAGUAcwAgAEYATgBfAHsAaQBuAG8AcgBnAGEAbgBpAGMALABmAH0AXABuAFQATQBfAGoAZgBcAG4ARgBOAF8AaQBuAG8AcgBnAGEAbgBpAGMAZgBcAG4AagBcAG4AaQBuAG8AcgBnAGEAbgBpAGMAXABuAGYAXABuAC0ALQAtAC0ALQAtAC0ALQAtAC0ALQAtAC0ALQAtAC0ALQAtAC0ALQAtAC0ALQAtAC0ALQAtAC0ALQAtAC0ALQAtAC0ALQAtAC0ALQBcAG4AKgAvAFwAbgBcAG4AVgBFAEUAUgBHAF8ANQBfADEAXwAxAF8AMQBfAF8AMgBfAE0AYQBzAHMATwBmAE4AaQB0AHIAbwBnAGUAbgBJAG4ASQBuAG8AcgBnAGEAbgBpAGMARgBlAHIAdABpAGwAaQBzAGUAcgBcAG4AIAAgAD0ATABBAE0AQgBEAEEAKABcAG4AIAAgACAAIABUAE0AXwBqAGYALAAgAEYATgBfAGkAbgBvAHIAZwBhAG4AaQBjAGYALABcAG4AIAAgACAAIABUAE0AXwBqAGYAIAAqACAARgBOAF8AaQBuAG8AcgBnAGEAbgBpAGMAZgBcAG4AIAAgACk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AByAG8AZAB1AGMAdABpAG8AbgAgAHMAeQBzAHQAZQBtAFwAIgApADsAXABuAFwAbgBWAEUARQBSAEcAXwA1AF8AMQBfADEAXwAxAF8AXwAyAF8ATQBhAHMAcwBPAGYATgBpAHQAcgBvAGcAZQBuAEkAbgBJAG4AbwByAGcAYQBuAGkAYwBGAGUAcgB0AGkAbABpAHMAZQByAF8AVgBhAHIAaQBhAGIAbABlAFwAbgAgACAAPQBMAEEATQBCAEQAQQAoAFwAIgBNAE4AXwBqAGYAXAAiACkAOwBcAG4AXABuAFYARQBFAFIARwBfADUAXwAxAF8AMQBfADEAXwBfADIAXwBNAGEAcwBzAE8AZgBOAGkAdAByAG8AZwBlAG4ASQBuAEkAbgBvAHIAZwBhAG4AaQBjAEYAZQByAHQAaQBsAGkAcwBlAHIAXwBVAG4AaQB0AFwAbgAgACAAPQBMAEEATQBCAEQAQQAoAFwAIgBrAGcAIABOAFwAIgApADsAXABuAFwAbgBWAEUARQBSAEcAXwA1AF8AMQBfADEAXwAxAF8AXwAyAF8ATQBhAHMAcwBPAGYATgBpAHQAcgBvAGcAZQBuAEkAbgBJAG4AbwByAGcAYQBuAGkAYwBGAGUAcgB0AGkAbABpAHMAZQByAF8AUwBvAHUAcgBjAGUAXABuACAAIAA9AEwAQQBNAEIARABBACgAXAAiAFYARQBFAFIARwAgADIAMAAyADYAOgAgADUALgAxAC4AMQAuADEALAAgAEUAcQB1AGEAdABpAG8AbgAgACgAMgApAFwAIgApADsAXABuAFwAbgBWAEUARQBSAEcAXwA1AF8AMQBfADEAXwAxAF8AXwAyAF8ATQBhAHMAcwBPAGYATgBpAHQAcgBvAGcAZQBuAEkAbgBJAG4AbwByAGcAYQBuAGkAYwBGAGUAcgB0AGkAbABpAHMAZQByAF8ATgBJAFIAUgBlAGYAZQByAGUAbgBjAGUAXABuACAAIAA9AEwAQQBNAEIARABBACgAXAAiAFwAIgApADsAXABuAFwAbgBWAEUARQBSAEcAXwA1AF8AMQBfADEAXwAxAF8AXwAyAF8ATQBhAHMAcwBPAGYATgBpAHQAcgBvAGcAZQBuAEkAbgBJAG4AbwByAGcAYQBuAGkAYwBGAGUAcgB0AGkAbABpAHMAZQByAF8ATABhAHQAZQB4AEUAcQB1AGEAdABpAG8AbgBcAG4AIAAgAD0ATABBAE0AQgBEAEEAKABcACIAewBNAE4AfQBfAHsAagBmAH0APQBUAE0AXwB7AGoAZgB9AFwAXAB0AGkAbQBlAHMAIABGAE4AXwB7AGkAbgBvAHIAZwBhAG4AaQBjACwAZgB9AFwAIgApADsAXABuAFwAbgBWAEUARQBSAEcAXwA1AF8AMQBfADEAXwAxAF8AXwAyAF8ATQBhAHMAcwBPAGYATgBpAHQAcgBvAGcAZQBu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CAAXAAiAGsAZwBcACIALAAgAFwAIgBJAG4AcAB1AHQAXAAiADsAXABuACAAIAAgACAAIAAgACAAIAAgACAAXAAiAEYATgBfAGkAbgBvAHIAZwBhAG4AaQBjAGYAXAAiACwAXAAiAGYAcgBhAGMAdABpAG8AbgAgAG8AZgAgAG4AaQB0AHIAbwBnAGUAbgAgAGkAbgAgAGkAbgBvAHIAZwBhAG4AaQBjACAAZgBlAHIAdABpAGwAaQBzAGUAcgAgAHQAeQBwAGUAIABmACAAXAAiACwAIABcACIAawBnACAATgAvAGsAZw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EAXwAxAF8AMgBfAF8AMQBfAEUAbQBpAHMAcwBpAG8AbgBGAGEAYwB0AG8AcgBJAHIAcgBpAGcAYQB0AGUAZABNAGEAaQB6AGUAXABuAEUAbQBpAHMAcwBpAG8AbgAgAGYAYQBjAHQAbwByACAAZgBvAHIAIABuAGkAdAByAG8AdQBzACAAbwB4AGkAZABlACAAZgBvAHIAIABpAHIAcgBpAGcAYQB0AGUAZAAgAG0AYQBpAHoAZQBcAG4ARQBGAF8AZgBqAEkAcgByAGkAZwBhAHQAZQBkAE0AYQBpAHoAZQBOADIATwBcAG4AawBnACAATgAyAE8ALQBOAC8AawBnACAATgAgAGEAcABwAGwAaQBlAGQAXABuAEUARgBfAHsAZgBqAD0AaQByAHIAaQBnAGEAdABlAGQAbQBhAGkAegBlACwATgAyAE8AfQA9ACgALQAwAC4AMQA0ADcANAArACgAMAAuADAAMAA2ADEAXABcAHQAaQBtAGUAcwAgAE4AXwB7AGYAagA9AGkAcgByAGkAZwBhAHQAZQBkAG0AYQBpAHoAZQB9ACkAKQBcAFwAdABpAG0AZQBzACAAMQAwAF4AewAtADIAfQBcAG4ATgBfAGYAagBJAHIAcgBpAGcAYQB0AGUAZABNAGEAaQB6AGUAXABuAGYAXABuAC0ALQAtAC0ALQAtAC0ALQAtAC0ALQAtAC0ALQAtAC0ALQAtAC0ALQAtAC0ALQAtAC0ALQAtAC0ALQAtAC0ALQAtAC0ALQAtAC0ALQBcAG4AKgAvAFwAbgBcAG4AVgBFAEUAUgBHAF8ANQBfADEAXwAxAF8AMgBfAF8AMQBfAEUAbQBpAHMAcwBpAG8AbgBGAGEAYwB0AG8AcgBJAHIAcgBpAGcAYQB0AGUAZABNAGEAaQB6AGUAXABuACAAIAA9AEwAQQBNAEIARABBACgAXABuACAAIAAgACAATgBfAGYAagBJAHIAcgBpAGcAYQB0AGUAZABNAGEAaQB6AGUALABcAG4AIAAgACAAIAAoAC0AMAAuADEANAA3ADQAIAArACAAKAAwAC4AMAAwADYAMQAgACoAIABOAF8AZgBqAEkAcgByAGkAZwBhAHQAZQBkAE0AYQBpAHoAZQApACkAIAAqACAAMQAwACAAXgAgAC0AMgBcAG4AIAAgACkAOwBcAG4AXABuAFYARQBFAFIARwBfADUAXwAxAF8AMQBfADIAXwBfADEAXwBFAG0AaQBzAHMAaQBvAG4ARgBhAGMAdABvAHIASQByAHIAaQBnAGEAdABlAGQATQBhAGkAegBlAF8AVABpAHQAbABlAFwAbgAgACAAPQBMAEEATQBCAEQAQQAoAFwAIgBFAG0AaQBzAHMAaQBvAG4AIABmAGEAYwB0AG8AcgAgAGYAbwByACAAbgBpAHQAcgBvAHUAcwAgAG8AeABpAGQAZQAgAGYAbwByACAAaQByAHIAaQBnAGEAdABlAGQAIABtAGEAaQB6AGUAXAAiACkAOwBcAG4AXABuAFYARQBFAFIARwBfADUAXwAxAF8AMQBfADIAXwBfADEAXwBFAG0AaQBzAHMAaQBvAG4ARgBhAGMAdABvAHIASQByAHIAaQBnAGEAdABlAGQATQBhAGkAegBlAF8AVgBhAHIAaQBhAGIAbABlAFwAbgAgACAAPQBMAEEATQBCAEQAQQAoAFwAIgBFAEYAXwBmAGoASQByAHIAaQBnAGEAdABlAGQATQBhAGkAegBlAE4AMgBPAFwAIgApADsAXABuAFwAbgBWAEUARQBSAEcAXwA1AF8AMQBfADEAXwAyAF8AXwAxAF8ARQBtAGkAcwBzAGkAbwBuAEYAYQBjAHQAbwByAEkAcgByAGkAZwBhAHQAZQBkAE0AYQBpAHoAZQBfAFUAbgBpAHQAXABuACAAIAA9AEwAQQBNAEIARABBACgAXAAiAGsAZwAgAE4AMgBPAC0ATgAvAGsAZwAgAE4AIABhAHAAcABsAGkAZQBkAFwAIgApADsAXABuAFwAbgBWAEUARQBSAEcAXwA1AF8AMQBfADEAXwAyAF8AXwAxAF8ARQBtAGkAcwBzAGkAbwBuAEYAYQBjAHQAbwByAEkAcgByAGkAZwBhAHQAZQBkAE0AYQBpAHoAZQBfAFMAbwB1AHIAYwBlAFwAbgAgACAAPQBMAEEATQBCAEQAQQAoAFwAIgBWAEUARQBSAEcAIAAyADAAMgA2ADoAIAA1AC4AMQAuADEALgAyACwAIABFAHEAdQBhAHQAaQBvAG4AIAAoADEAKQBcACIAKQA7AFwAbgBcAG4AVgBFAEUAUgBHAF8ANQBfADEAXwAxAF8AMgBfAF8AMQBfAEUAbQBpAHMAcwBpAG8AbgBGAGEAYwB0AG8AcgBJAHIAcgBpAGcAYQB0AGUAZABNAGEAaQB6AGUAXwBOAEkAUgBSAGUAZgBlAHIAZQBuAGMAZQBcAG4AIAAgAD0ATABBAE0AQgBEAEEAKABcACIAXAAiACkAOwBcAG4AXABuAFYARQBFAFIARwBfADUAXwAxAF8AMQBfADIAXwBfADEAXwBFAG0AaQBzAHMAaQBvAG4ARgBhAGMAdABvAHIASQByAHIAaQBnAGEAdABlAGQATQBhAGkAegBlAF8ATABhAHQAZQB4AEUAcQB1AGEAdABpAG8AbgBcAG4AIAAgAD0ATABBAE0AQgBEAEEAKABcACIARQBGAF8AewBmAGoAPQBpAHIAcgBpAGcAYQB0AGUAZABtAGEAaQB6AGUALABOADIATwB9AD0AKAAtADAALgAxADQANwA0ACsAKAAwAC4AMAAwADYAMQBcAFwAdABpAG0AZQBzACAATgBfAHsAZgBqAD0AaQByAHIAaQBnAGEAdABlAGQAbQBhAGkAegBlAH0AKQApAFwAXAB0AGkAbQBlAHMAIAAxADAAXgB7AC0AMgB9AFwAIgApADsAXABuAFwAbgBWAEUARQBSAEcAXwA1AF8AMQBfADEAXwAyAF8AXwAxAF8ARQBtAGkAcwBzAGkAbwBuAEYAYQBjAHQAbwByAEkAcgByAGkAZwBhAHQAZQBkAE0AYQBpAHoAZQBfAEEAcgBnAHUAbQBlAG4AdABzAFwAbgAgACAAPQBMAEEATQBCAEQAQQAoAFwAbgAgACAAIAAgAE0AQQBLAEUAQQBSAFIAQQBZACgAMgAsACAANAAsACAAXABuACAAIAAgACAAIAAgAEwAQQBNAEIARABBACgAcgAsAGMALAAgAFwAbgAgACAAIAAgACAAIAAgACAASQBOAEQARQBYACgAewBcAG4AIAAgACAAIAAgACAAIAAgACAAIABcACIATgBfAGYAagBJAHIAcgBpAGcAYQB0AGUAZABNAGEAaQB6AGUAXAAiACwAXAAiAGEAcABwAGwAaQBjAGEAdABpAG8AbgAgAHIAYQB0AGUAIABvAGYAIABpAG4AbwByAGcAYQBuAGkAYwAgAGYAZQByAHQAaQBsAGkAcwBlAHIAIAB0AHkAcABlACAAZgAgAGkAbgAgAHQAaABlACAAaQByAHIAaQBnAGEAdABlAGQAIABtAGEAaQB6AGU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IAXwBFAG0AaQBzAHMAaQBvAG4ARgBhAGMAdABvAHIATgBvAG4ASQByAHIAaQBnAGEAdABlAGQARwByAGEAaQBuAHMASABpAGcAaABSAGEAaQBuAGYAYQBsAGwAXABuAEUAbQBpAHMAcwBpAG8AbgAgAGYAYQBjAHQAbwByACAAZgBvAHIAIABuAGkAdAByAG8AdQBzACAAbwB4AGkAZABlACAAZgBvAHIAIABuAG8AbgAtAGkAcgByAGkAZwBhAHQAZQBkACAAZwByAGEAaQBuAHMAIABpAG4AIABoAGkAZwBoACAAcgBhAGkAbgBmAGEAbABsACAAegBvAG4AZQBcAG4ARQBGAF8AZgBqAE4AbwBuAEkAcgByAGkAZwBhAHQAZQBkAEcAcgBhAGkAbgBzAE4AMgBPAFwAbgBrAGcAIABOADIATwAtAE4ALwBrAGcAIABOACAAYQBwAHAAbABpAGUAZABcAG4ARQBGAF8AewBmAGoAPQBuAG8AbgBpAHIAcgBpAGcAYQB0AGUAZABnAHIAYQBpAG4AcwAsAE4AMgBPAH0APQAoADAALgAwADcAOAAxACsAKAAwAC4AMAAwADcANQBcAFwAdABpAG0AZQBzACAATgBfAHsAZgBqAD0AbgBvAG4AaQByAHIAaQBnAGEAdABlAGQAZwByAGEAaQBuAHMAfQApACkAXABcAHQAaQBtAGUAcwAgADEAMABeAHsALQAyAH0AXABuAE4AXwBmAGoATgBvAG4ASQByAHIAaQBnAGEAdABlAGQARwByAGEAaQBuAHMAXABuAGYAXABuAC0ALQAtAC0ALQAtAC0ALQAtAC0ALQAtAC0ALQAtAC0ALQAtAC0ALQAtAC0ALQAtAC0ALQAtAC0ALQAtAC0ALQAtAC0ALQAtAC0ALQBcAG4AKgAvAFwAbgBcAG4AVgBFAEUAUgBHAF8ANQBfADEAXwAxAF8AMgBfAF8AMgBfAEUAbQBpAHMAcwBpAG8AbgBGAGEAYwB0AG8AcgBOAG8AbgBJAHIAcgBpAGcAYQB0AGUAZABHAHIAYQBpAG4AcwBIAGkAZwBoAFIAYQBpAG4AZgBhAGwAbABcAG4AIAAgAD0ATABBAE0AQgBEAEEAKABcAG4AIAAgACAAIABOAF8AZgBqAE4AbwBuAEkAcgByAGkAZwBhAHQAZQBkAEcAcgBhAGkAbgBzACwAXABuACAAIAAgACAAKAAwAC4AMAA3ADgAMQAgACsAIAAoADAALgAwADAANwA1ACAAKgAgAE4AXwBmAGoATgBvAG4ASQByAHIAaQBnAGEAdABlAGQARwByAGEAaQBuAHMAKQApACAAKgAgADEAMAAgAF4AIAAtADIAXABuACAAIAApADsAXABuAFwAbgBWAEUARQBSAEcAXwA1AF8AMQBfADEAXwAyAF8AXwAyAF8ARQBtAGkAcwBzAGkAbwBuAEYAYQBjAHQAbwByAE4AbwBuAEkAcgByAGkAZwBhAHQAZQBkAEcAcgBhAGkAbgBzAEgAaQBnAGgAUgBhAGkAbgBmAGEAbABsAF8AVABpAHQAbABlAFwAbgAgACAAPQBMAEEATQBCAEQAQQAoAFwAIgBFAG0AaQBzAHMAaQBvAG4AIABmAGEAYwB0AG8AcgAgAGYAbwByACAAbgBpAHQAcgBvAHUAcwAgAG8AeABpAGQAZQAgAGYAbwByACAAbgBvAG4ALQBpAHIAcgBpAGcAYQB0AGUAZAAgAGcAcgBhAGkAbgBzACAAaQBuACAAaABpAGcAaAAgAHIAYQBpAG4AZgBhAGwAbAAgAHoAbwBuAGUAXAAiACkAOwBcAG4AXABuAFYARQBFAFIARwBfADUAXwAxAF8AMQBfADIAXwBfADIAXwBFAG0AaQBzAHMAaQBvAG4ARgBhAGMAdABvAHIATgBvAG4ASQByAHIAaQBnAGEAdABlAGQARwByAGEAaQBuAHMASABpAGcAaABSAGEAaQBuAGYAYQBsAGwAXwBWAGEAcgBpAGEAYgBsAGUAXABuACAAIAA9AEwAQQBNAEIARABBACgAXAAiAEUARgBfAGYAagBOAG8AbgBJAHIAcgBpAGcAYQB0AGUAZABHAHIAYQBpAG4AcwBOADIATwBcACIAKQA7AFwAbgBcAG4AVgBFAEUAUgBHAF8ANQBfADEAXwAxAF8AMgBfAF8AMgBfAEUAbQBpAHMAcwBpAG8AbgBGAGEAYwB0AG8AcgBOAG8AbgBJAHIAcgBpAGcAYQB0AGUAZABHAHIAYQBpAG4AcwBIAGkAZwBoAFIAYQBpAG4AZgBhAGwAbABfAFUAbgBpAHQAXABuACAAIAA9AEwAQQBNAEIARABBACgAXAAiAGsAZwAgAE4AMgBPAC0ATgAvAGsAZwAgAE4AIABhAHAAcABsAGkAZQBkAFwAIgApADsAXABuAFwAbgBWAEUARQBSAEcAXwA1AF8AMQBfADEAXwAyAF8AXwAyAF8ARQBtAGkAcwBzAGkAbwBuAEYAYQBjAHQAbwByAE4AbwBuAEkAcgByAGkAZwBhAHQAZQBkAEcAcgBhAGkAbgBzAEgAaQBnAGgAUgBhAGkAbgBmAGEAbABsAF8AUwBvAHUAcgBjAGUAXABuACAAIAA9AEwAQQBNAEIARABBACgAXAAiAFYARQBFAFIARwAgADIAMAAyADYAOgAgADUALgAxAC4AMQAuADIALAAgAEUAcQB1AGEAdABpAG8AbgAgACgAMgApAFwAIgApADsAXABuAFwAbgBWAEUARQBSAEcAXwA1AF8AMQBfADEAXwAyAF8AXwAyAF8ARQBtAGkAcwBzAGkAbwBuAEYAYQBjAHQAbwByAE4AbwBuAEkAcgByAGkAZwBhAHQAZQBkAEcAcgBhAGkAbgBzAEgAaQBnAGgAUgBhAGkAbgBmAGEAbABsAF8ATgBJAFIAUgBlAGYAZQByAGUAbgBjAGUAXABuACAAIAA9AEwAQQBNAEIARABBACgAXAAiAFwAIgApADsAXABuAFwAbgBWAEUARQBSAEcAXwA1AF8AMQBfADEAXwAyAF8AXwAyAF8ARQBtAGkAcwBzAGkAbwBuAEYAYQBjAHQAbwByAE4AbwBuAEkAcgByAGkAZwBhAHQAZQBkAEcAcgBhAGkAbgBzAEgAaQBnAGgAUgBhAGkAbgBmAGEAbABsAF8ATABhAHQAZQB4AEUAcQB1AGEAdABpAG8AbgBcAG4AIAAgAD0ATABBAE0AQgBEAEEAKABcACIARQBGAF8AewBmAGoAPQBuAG8AbgBpAHIAcgBpAGcAYQB0AGUAZABnAHIAYQBpAG4AcwAsAE4AMgBPAH0APQAoADAALgAwADcAOAAxACsAKAAwAC4AMAAwADcANQBcAFwAdABpAG0AZQBzACAATgBfAHsAZgBqAD0AbgBvAG4AaQByAHIAaQBnAGEAdABlAGQAZwByAGEAaQBuAHMAfQApACkAXABcAHQAaQBtAGUAcwAgADEAMABeAHsALQAyAH0AXAAiACkAOwBcAG4AXABuAFYARQBFAFIARwBfADUAXwAxAF8AMQBfADIAXwBfADIAXwBFAG0AaQBzAHMAaQBvAG4ARgBhAGMAdABvAHIATgBvAG4ASQByAHIAaQBnAGEAdABlAGQARwByAGEAaQBuAHMASABpAGcAaABSAGEAaQBuAGYAYQBsAGwAXwBBAHIAZwB1AG0AZQBuAHQAcwBcAG4AIAAgAD0ATABBAE0AQgBEAEEAKABcAG4AIAAgACAAIABNAEEASwBFAEEAUgBSAEEAWQAoADIALAAgADQALAAgAFwAbgAgACAAIAAgACAAIABMAEEATQBCAEQAQQAoAHIALABjACwAIABcAG4AIAAgACAAIAAgACAAIAAgAEkATgBEAEUAWAAoAHsAXABuACAAIAAgACAAIAAgACAAIAAgACAAXAAiAE4AXwBmAGoATgBvAG4ASQByAHIAaQBnAGEAdABlAGQARwByAGEAaQBuAHMAXAAiACwAXAAiAGEAcABwAGwAaQBjAGEAdABpAG8AbgAgAHIAYQB0AGUAIABvAGYAIABpAG4AbwByAGcAYQBuAGkAYwAgAGYAZQByAHQAaQBsAGkAcwBlAHIAIAB0AHkAcABlACAAZgAgAGkAbgAgAHQAaABlACAAZwByAGEAaQBuAHM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MAXwBFAG0AaQBzAHMAaQBvAG4ARgBhAGMAdABvAHIAQwBvAHQAdABvAG4AXABuAEUAbQBpAHMAcwBpAG8AbgAgAGYAYQBjAHQAbwByACAAZgBvAHIAIABuAGkAdAByAG8AdQBzACAAbwB4AGkAZABlACAAZgBvAHIAIABjAG8AdAB0AG8AbgBcAG4ARQBGAF8AZgBqAEMAbwB0AHQAbwBuAE4AMgBPAFwAbgBrAGcAIABOADIATwAtAE4ALwBrAGcAIABOACAAYQBwAHAAbABpAGUAZABcAG4ARQBGAF8AewBmAGoAPQBjAG8AdAB0AG8AbgAsAE4AMgBPAH0APQBcAFwAbQBpAG4AXABcAGwAZQBmAHQAKAAoADAALgAwADEAXABcAHQAaQBtAGUAcwAoADAALgAyADkAKwAwAC4AMAAwADcAXABcAHQAaQBtAGUAcwAoACgAZQBeAHsAKAAwAC4AMAAzADcAXABcAHQAaQBtAGUAcwAgAE4AXwB7AGYAagA9AGMAbwB0AHQAbwBuAH0AKQB9AC0AMQApAC8ATgBfAHsAZgBqAD0AYwBvAHQAdABvAG4AfQApACkAKQBcAFwAdABpAG0AZQBzACAAMQAwAF4AewAtADIAfQAsADAALgAwADEAOAAzAFwAXAByAGkAZwBoAHQAKQBcAG4ATgBfAGYAagBDAG8AdAB0AG8AbgBcAG4AZgBcAG4ALQAtAC0ALQAtAC0ALQAtAC0ALQAtAC0ALQAtAC0ALQAtAC0ALQAtAC0ALQAtAC0ALQAtAC0ALQAtAC0ALQAtAC0ALQAtAC0ALQAtAFwAbgAqAC8AXABuAFwAbgBWAEUARQBSAEcAXwA1AF8AMQBfADEAXwAyAF8AXwAzAF8ARQBtAGkAcwBzAGkAbwBuAEYAYQBjAHQAbwByAEMAbwB0AHQAbwBuAFwAbgAgACAAPQBMAEEATQBCAEQAQQAoAFwAbgAgACAAIAAgAE4AXwBmAGoAQwBvAHQAdABvAG4ALABcAG4AIAAgACAAIAAoADAALgAwADEAIAAqACAAKAAwAC4AMgA5ACAAKwAgACgAIAAgACgAMAAuADAAMAA3ACAAKgAgACgARQBYAFAAKAAwAC4AMAAzADcAIAAqACAATgBfAGYAagBDAG8AdAB0AG8AbgApACAALQAgADEAKQApACAALwAgAE4AXwBmAGoAQwBvAHQAdABvAG4AIAAgACkAIAApACkAIAAqACAAMQAwACAAXgAgAC0AMgBcAG4AIAAgACkAOwBcAG4AXABuAFYARQBFAFIARwBfADUAXwAxAF8AMQBfADIAXwBfADMAXwBFAG0AaQBzAHMAaQBvAG4ARgBhAGMAdABvAHIAQwBvAHQAdABvAG4AXwBUAGkAdABsAGUAXABuACAAIAA9AEwAQQBNAEIARABBACgAXAAiAEUAbQBpAHMAcwBpAG8AbgAgAGYAYQBjAHQAbwByACAAZgBvAHIAIABuAGkAdAByAG8AdQBzACAAbwB4AGkAZABlACAAZgBvAHIAIABjAG8AdAB0AG8AbgBcACIAKQA7AFwAbgBcAG4AVgBFAEUAUgBHAF8ANQBfADEAXwAxAF8AMgBfAF8AMwBfAEUAbQBpAHMAcwBpAG8AbgBGAGEAYwB0AG8AcgBDAG8AdAB0AG8AbgBfAFYAYQByAGkAYQBiAGwAZQBcAG4AIAAgAD0ATABBAE0AQgBEAEEAKABcACIARQBGAF8AZgBqAEMAbwB0AHQAbwBuAE4AMgBPAFwAIgApADsAXABuAFwAbgBWAEUARQBSAEcAXwA1AF8AMQBfADEAXwAyAF8AXwAzAF8ARQBtAGkAcwBzAGkAbwBuAEYAYQBjAHQAbwByAEMAbwB0AHQAbwBuAF8AVQBuAGkAdABcAG4AIAAgAD0ATABBAE0AQgBEAEEAKABcACIAawBnACAATgAyAE8ALQBOAC8AawBnACAATgAgAGEAcABwAGwAaQBlAGQAXAAiACkAOwBcAG4AXABuAFYARQBFAFIARwBfADUAXwAxAF8AMQBfADIAXwBfADMAXwBFAG0AaQBzAHMAaQBvAG4ARgBhAGMAdABvAHIAQwBvAHQAdABvAG4AXwBTAG8AdQByAGMAZQBcAG4AIAAgAD0ATABBAE0AQgBEAEEAKABcACIAVgBFAEUAUgBHACAAMgAwADIANgA6ACAANQAuADEALgAxAC4AMgAsACAARQBxAHUAYQB0AGkAbwBuACAAKAAzACkAXAAiACkAOwBcAG4AXABuAFYARQBFAFIARwBfADUAXwAxAF8AMQBfADIAXwBfADMAXwBFAG0AaQBzAHMAaQBvAG4ARgBhAGMAdABvAHIAQwBvAHQAdABvAG4AXwBOAEkAUgBSAGUAZgBlAHIAZQBuAGMAZQBcAG4AIAAgAD0ATABBAE0AQgBEAEEAKABcACIAXAAiACkAOwBcAG4AXABuAFYARQBFAFIARwBfADUAXwAxAF8AMQBfADIAXwBfADMAXwBFAG0AaQBzAHMAaQBvAG4ARgBhAGMAdABvAHIAQwBvAHQAdABvAG4AXwBMAGEAdABlAHgARQBxAHUAYQB0AGkAbwBuAFwAbgAgACAAPQBMAEEATQBCAEQAQQAoAFwAIgBFAEYAXwB7AGYAagA9AGMAbwB0AHQAbwBuACwATgAyAE8AfQA9ACgAMAAuADAAMQAgAFwAXAB0AGkAbQBlAHMAIAAoADAALgAyADkAIAArACAAXABcAGYAcgBhAGMAewAwAC4AMAAwADcAKABlAF4AewAwAC4AMAAzADcAIABcAFwAdABpAG0AZQBzACAATgBfAHsAZgBqAD0AYwBvAHQAdABvAG4AfQB9AC0AMQApAH0AewBOAF8AewBmAGoAPQBjAG8AdAB0AG8AbgB9AH0AKQApACAAXABcAHQAaQBtAGUAcwAgADEAMABeAHsALQAyAH0AXABuAFwAIgApADsAXABuAFwAbgBWAEUARQBSAEcAXwA1AF8AMQBfADEAXwAyAF8AXwAzAF8ARQBtAGkAcwBzAGkAbwBuAEYAYQBjAHQAbwByAEMAbwB0AHQAbwBuAF8AQQByAGcAdQBtAGUAbgB0AHMAXABuACAAIAA9AEwAQQBNAEIARABBACgAXABuACAAIAAgACAATQBBAEsARQBBAFIAUgBBAFkAKAAyACwAIAA0ACwAIABcAG4AIAAgACAAIAAgACAATABBAE0AQgBEAEEAKAByACwAYwAsACAAXABuACAAIAAgACAAIAAgACAAIABJAE4ARABFAFgAKAB7AFwAbgAgACAAIAAgACAAIAAgACAAIAAgAFwAIgBOAF8AZgBqAEMAbwB0AHQAbwBuAFwAIgAsAFwAIgBhAHAAcABsAGkAYwBhAHQAaQBvAG4AIAByAGEAdABlACAAbwBmACAAaQBuAG8AcgBnAGEAbgBpAGMAIABmAGUAcgB0AGkAbABpAHMAZQByACAAdAB5AHAAZQAgAGYAIABpAG4AIAB0AGgAZQAgAGMAbwB0AHQAbwBu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kAbgBvAHIAZwBhAG4AaQBjAEMATwAy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zAF8AXwAxAF8ASQBuAG8AcgBnAGEAbgBpAGMARgBlAHIAdABpAGwAaQBzAGUAcgBBAHAAcABsAGkAYwBhAHQAaQBvAG4AQwBPADIARQBtAGkAcwBzAGkAbwBuAHMAXABuAEMAYQByAGIAbwBuACAAZABpAG8AeABpAGQAZQAgAGUAbQBpAHMAcwBpAG8AbgBzACAAcgBlAHMAdQBsAHQAaQBuAGcAIABmAHIAbwBtACAAdABoAGUAIAB1AHMAZQAgAG8AZgAgAGEAbABsACAAaQBuAG8AcgBnAGEAbgBpAGMALAAgAHUAcgBlAGEALQBiAGEAcwBlAGQAIABmAGUAcgB0AGkAbABpAHMAZQByAHMAXABuAEUAXwBDAE8AMgBcAG4AdAAgAEMATwAyAFwAbgBFAF8AewBDAE8AMgB9AD0AXABcAHMAdQBtAF8AewBqAH0AXABcAHMAdQBtAF8AewBmAH0AKAAoAE0AVQBfAHsAagBmAH0AXABcAHQAaQBtAGUAcwAgAEUARgBfAHsAdQByAGUAYQAsAEMATwAyAH0AXABcAHQAaQBtAGUAcwAgAEMAXwB7AEMATwAyAH0AKQBcAFwAdABpAG0AZQBzACAAMQAwAF4AewAtADMAfQApAFwAbgBNAFUAXwBqAGYAXABuAEUARgBfAHUAcgBlAGEAQwBPADIAXABuAEMAXwBDAE8AMgBcAG4AagBcAG4AZgBcAG4ALQAtAC0ALQAtAC0ALQAtAC0ALQAtAC0ALQAtAC0ALQAtAC0ALQAtAC0ALQAtAC0ALQAtAC0ALQAtAC0ALQAtAC0ALQAtAC0ALQAtAFwAbgAqAC8AXABuAFwAbgBWAEUARQBSAEcAXwA1AF8AMQBfADEAXwAzAF8AXwAxAF8ASQBuAG8AcgBnAGEAbgBpAGMARgBlAHIAdABpAGwAaQBzAGUAcgBBAHAAcABsAGkAYwBhAHQAaQBvAG4AQwBPADIARQBtAGkAcwBzAGkAbwBuAHMAXABuACAAIAA9AEwAQQBNAEIARABBACgAXABuACAAIAAgACAATQBVAF8AagBmACwAIABFAEYAXwB1AHIAZQBhAEMATwAyACwAIABDAF8AQwBPADIALABcAG4AIAAgACAAIAAoAE0AVQBfAGoAZgAgACoAIABFAEYAXwB1AHIAZQBhAEMATwAyACAAKgAgAEMAXwBDAE8AMgApACAAKgAgADEAMAAgAF4AIAAtADMAXABuACAAIAApADsAXABuAFwAbgBWAEUARQBSAEcAXwA1AF8AMQBfADEAXwAzAF8AXwAxAF8ASQBuAG8AcgBnAGEAbgBpAGMARgBlAHIAdABpAGwAaQBzAGUAcgBBAHAAcABsAGkAYwBhAHQAaQBvAG4AQwBPADIARQBtAGkAcwBzAGkAbwBuAHMAXwBUAGkAdABsAGUAXABuACAAIAA9AEwAQQBNAEIARABBACgAXAAiAEMAYQByAGIAbwBuACAAZABpAG8AeABpAGQAZQAgAGUAbQBpAHMAcwBpAG8AbgBzACAAcgBlAHMAdQBsAHQAaQBuAGcAIABmAHIAbwBtACAAdABoAGUAIAB1AHMAZQAgAG8AZgAgAGEAbABsACAAaQBuAG8AcgBnAGEAbgBpAGMALAAgAHUAcgBlAGEALQBiAGEAcwBlAGQAIABmAGUAcgB0AGkAbABpAHMAZQByAHMAXAAiACkAOwBcAG4AXABuAFYARQBFAFIARwBfADUAXwAxAF8AMQBfADMAXwBfADEAXwBJAG4AbwByAGcAYQBuAGkAYwBGAGUAcgB0AGkAbABpAHMAZQByAEEAcABwAGwAaQBjAGEAdABpAG8AbgBDAE8AMgBFAG0AaQBzAHMAaQBvAG4AcwBfAFYAYQByAGkAYQBiAGwAZQBcAG4AIAAgAD0ATABBAE0AQgBEAEEAKABcACIARQBfAEMATwAyAFwAIgApADsAXABuAFwAbgBWAEUARQBSAEcAXwA1AF8AMQBfADEAXwAzAF8AXwAxAF8ASQBuAG8AcgBnAGEAbgBpAGMARgBlAHIAdABpAGwAaQBzAGUAcgBBAHAAcABsAGkAYwBhAHQAaQBvAG4AQwBPADIARQBtAGkAcwBzAGkAbwBuAHMAXwBVAG4AaQB0AFwAbgAgACAAPQBMAEEATQBCAEQAQQAoAFwAIgB0ACAAQwBPADIAXAAiACkAOwBcAG4AXABuAFYARQBFAFIARwBfADUAXwAxAF8AMQBfADMAXwBfADEAXwBJAG4AbwByAGcAYQBuAGkAYwBGAGUAcgB0AGkAbABpAHMAZQByAEEAcABwAGwAaQBjAGEAdABpAG8AbgBDAE8AMgBFAG0AaQBzAHMAaQBvAG4AcwBfAFMAbwB1AHIAYwBlAFwAbgAgACAAPQBMAEEATQBCAEQAQQAoAFwAIgBWAEUARQBSAEcAIAAyADAAMgA2ADoAIAA1AC4AMQAuADEALgAzACwAIABFAHEAdQBhAHQAaQBvAG4AIAAoADEAKQBcACIAKQA7AFwAbgBcAG4AVgBFAEUAUgBHAF8ANQBfADEAXwAxAF8AMwBfAF8AMQBfAEkAbgBvAHIAZwBhAG4AaQBjAEYAZQByAHQAaQBsAGkAcwBlAHIAQQBwAHAAbABpAGMAYQB0AGkAbwBuAEMATwAyAEUAbQBpAHMAcwBpAG8AbgBzAF8ATgBJAFIAUgBlAGYAZQByAGUAbgBjAGUAXABuACAAIAA9AEwAQQBNAEIARABBACgAXAAiAFwAIgApADsAXABuAFwAbgBWAEUARQBSAEcAXwA1AF8AMQBfADEAXwAzAF8AXwAxAF8ASQBuAG8AcgBnAGEAbgBpAGMARgBlAHIAdABpAGwAaQBzAGUAcgBBAHAAcABsAGkAYwBhAHQAaQBvAG4AQwBPADIARQBtAGkAcwBzAGkAbwBuAHMAXwBMAGEAdABlAHgARQBxAHUAYQB0AGkAbwBuAFwAbgAgACAAPQBMAEEATQBCAEQAQQAoAFwAIgBFAF8AewBDAE8AMgB9AD0AXABcAHMAdQBtAF8AewBqAH0AXABcAHMAdQBtAF8AewBmAH0AKAAoAE0AVQBfAHsAagBmAH0AXABcAHQAaQBtAGUAcwAgAEUARgBfAHsAdQByAGUAYQAsAEMATwAyAH0AXABcAHQAaQBtAGUAcwAgAEMAXwB7AEMATwAyAH0AKQBcAFwAdABpAG0AZQBzACAAMQAwAF4AewAtADMAfQApAFwAIgApADsAXABuAFwAbgBWAEUARQBSAEcAXwA1AF8AMQBfADEAXwAzAF8AXwAxAF8ASQBuAG8AcgBnAGEAbgBpAGMARgBlAHIAdABpAGwAaQBzAGUAcgBBAHAAcABsAGkAYwBhAHQAaQBvAG4AQwBPADI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VQBfAGoAZgBcACIALABcACIAbQBhAHMAcwAgAG8AZgAgAHUAcgBlAGEAIABvAGYAIABpAG4AbwByAGcAYQBuAGkAYwAgAGYAZQByAHQAaQBsAGkAcwBlAHIAIAB0AHkAcABlACAAZgAgAGEAcABwAGwAaQBlAGQAIAB0AG8AIABwAHIAbwBkAHUAYwB0AGkAbwBuACAAcwB5AHMAdABlAG0AIABqAFwAIgAsACAAXAAiAGsAZwAgAHUAcgBlAGEAXAAiACwAIABcACIAQwBhAGwAYwB1AGwAYQB0AGUAZABcACIAOwBcAG4AIAAgACAAIAAgACAAIAAgACAAIABcACIARQBGAF8AdQByAGUAYQBDAE8AMgBcACIALABcACIAZQBtAGkAcwBzAGkAbwBuACAAZgBhAGMAdABvAHIAIABmAG8AcgAgAGMAYQByAGIAbwBuACAAZQBtAGkAcwBzAGkAbwBuAHMAIABmAHIAbwBtACAAdQByAGUAYQAtAGIAYQBzAGUAZAAgAGYAZQByAHQAaQBsAGkAcwBlAHIAcwBcACIALAAgAFwAIgBrAGcAIABDAC8AawBnACAAdQByAGUAYQBcACIALAAgAFwAIgBDAG8AbgBzAHQAYQBuAHQAXAAiADsAXABuACAAIAAgACAAIAAgACAAIAAgACAAXAAiAEMAXwBDAE8AMgBcACIALABcACIAZgBhAGMAdABvAHIAIAB0AG8AIABjAG8AbgB2AGUAcgB0ACAAZQBsAGUAbQBlAG4AdABhAGwAIABtAGEAcwBzACAAbwBmACAAYwBhAHIAYgBvAG4AIAB0AG8AIABtAG8AbABlAGMAdQBsAGEAcgAgAG0AYQBzAHMAIABvAGYAIABjAGEAcgBiAG8AbgAgAGQAaQBvAHgAaQBkAGU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wAbwBvAGsAdQBwAFwAIgBcAG4AIAAgACAAIAAgACAAIAAgAH0ALAAgAHIALAAgAGMAKQBcAG4AIAAgACAAIAAgACAAKQBcAG4AIAAgACAAIAApAFwAbgAgACAAKQA7AFwAbgBcAG4ALwAqACAAXABuAC0ALQAtAC0ALQAtAC0ALQAtAC0ALQAtAC0ALQAtAC0ALQAtAC0ALQAtAC0ALQAtAC0ALQAtAC0ALQAtAC0ALQAtAC0ALQAtAC0ALQBcAG4AVgBFAEUAUgBHAF8ANQBfADEAXwAxAF8AMwBfAF8AMgBfAE0AYQBzAHMATwBmAFUAcgBlAGEASQBuAEkAbgBvAHIAZwBhAG4AaQBjAEYAZQByAHQAaQBsAGkAcwBlAHIAXABuAE0AYQBzAHMAIABvAGYAIAB1AHIAZQBhACAAYQBwAHAAbABpAGUAZAAgAHQAbwAgAHAAcgBvAGQAdQBjAHQAaQBvAG4AIABzAHkAcwB0AGUAbQBcAG4ATQBVAF8AagBmAFwAbgBrAGcAIAB1AHIAZQBhAFwAbgB7AE0AVQB9AF8AewBqAGYAfQA9AFQATQBfAHsAagBmAH0AXABcAHQAaQBtAGUAcwAgAEYAVQBfAGYAXABuAFQATQBfAGoAZgBcAG4ARgBVAF8AZgBcAG4AagBcAG4AZgBcAG4ALQAtAC0ALQAtAC0ALQAtAC0ALQAtAC0ALQAtAC0ALQAtAC0ALQAtAC0ALQAtAC0ALQAtAC0ALQAtAC0ALQAtAC0ALQAtAC0ALQAtAFwAbgAqAC8AXABuAFwAbgBWAEUARQBSAEcAXwA1AF8AMQBfADEAXwAzAF8AXwAyAF8ATQBhAHMAcwBPAGYAVQByAGUAYQBJAG4ASQBuAG8AcgBnAGEAbgBpAGMARgBlAHIAdABpAGwAaQBzAGUAcgBcAG4AIAAgAD0ATABBAE0AQgBEAEEAKABcAG4AIAAgACAAIABUAE0AXwBqAGYALAAgAEYAVQBfAGYALABcAG4AIAAgACAAIABUAE0AXwBqAGYAIAAqACAARgBVAF8AZgBcAG4AIAAgACkAOwBcAG4AXABuAFYARQBFAFIARwBfADUAXwAxAF8AMQBfADMAXwBfADIAXwBNAGEAcwBzAE8AZgBVAHIAZQBhAEkAbgBJAG4AbwByAGcAYQBuAGkAYwBGAGUAcgB0AGkAbABpAHMAZQByAF8AVABpAHQAbABlAFwAbgAgACAAPQBMAEEATQBCAEQAQQAoAFwAIgBNAGEAcwBzACAAbwBmACAAdQByAGUAYQAgAGEAcABwAGwAaQBlAGQAIAB0AG8AIABwAHIAbwBkAHUAYwB0AGkAbwBuACAAcwB5AHMAdABlAG0AXAAiACkAOwBcAG4AXABuAFYARQBFAFIARwBfADUAXwAxAF8AMQBfADMAXwBfADIAXwBNAGEAcwBzAE8AZgBVAHIAZQBhAEkAbgBJAG4AbwByAGcAYQBuAGkAYwBGAGUAcgB0AGkAbABpAHMAZQByAF8AVgBhAHIAaQBhAGIAbABlAFwAbgAgACAAPQBMAEEATQBCAEQAQQAoAFwAIgBNAFUAXwBqAGYAXAAiACkAOwBcAG4AXABuAFYARQBFAFIARwBfADUAXwAxAF8AMQBfADMAXwBfADIAXwBNAGEAcwBzAE8AZgBVAHIAZQBhAEkAbgBJAG4AbwByAGcAYQBuAGkAYwBGAGUAcgB0AGkAbABpAHMAZQByAF8AVQBuAGkAdABcAG4AIAAgAD0ATABBAE0AQgBEAEEAKABcACIAawBnACAAdQByAGUAYQBcACIAKQA7AFwAbgBcAG4AVgBFAEUAUgBHAF8ANQBfADEAXwAxAF8AMwBfAF8AMgBfAE0AYQBzAHMATwBmAFUAcgBlAGEASQBuAEkAbgBvAHIAZwBhAG4AaQBjAEYAZQByAHQAaQBsAGkAcwBlAHIAXwBTAG8AdQByAGMAZQBcAG4AIAAgAD0ATABBAE0AQgBEAEEAKABcACIAVgBFAEUAUgBHACAAMgAwADIANgA6ACAANQAuADEALgAxAC4AMwAsACAARQBxAHUAYQB0AGkAbwBuACAAKAAyACkAXAAiACkAOwBcAG4AXABuAFYARQBFAFIARwBfADUAXwAxAF8AMQBfADMAXwBfADIAXwBNAGEAcwBzAE8AZgBVAHIAZQBhAEkAbgBJAG4AbwByAGcAYQBuAGkAYwBGAGUAcgB0AGkAbABpAHMAZQByAF8ATgBJAFIAUgBlAGYAZQByAGUAbgBjAGUAXABuACAAIAA9AEwAQQBNAEIARABBACgAXAAiAFwAIgApADsAXABuAFwAbgBWAEUARQBSAEcAXwA1AF8AMQBfADEAXwAzAF8AXwAyAF8ATQBhAHMAcwBPAGYAVQByAGUAYQBJAG4ASQBuAG8AcgBnAGEAbgBpAGMARgBlAHIAdABpAGwAaQBzAGUAcgBfAEwAYQB0AGUAeABFAHEAdQBhAHQAaQBvAG4AXABuACAAIAA9AEwAQQBNAEIARABBACgAXAAiAHsATQBVAH0AXwB7AGoAZgB9AD0AVABNAF8AewBqAGYAfQBcAFwAdABpAG0AZQBzACAARgBVAF8AZgBcACIAKQA7AFwAbgBcAG4AVgBFAEUAUgBHAF8ANQBfADEAXwAxAF8AMwBfAF8AMgBfAE0AYQBzAHMATwBmAFUAcgBlAGE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XAAiAGsAZwBcACIALAAgAFwAIgBJAG4AcAB1AHQAXAAiADsAXABuACAAIAAgACAAIAAgACAAIAAgACAAXAAiAEYAVQBfAGYAXAAiACwAXAAiAGYAcgBhAGMAdABpAG8AbgAgAG8AZgAgAHUAcgBlAGEAIABpAG4AIABmAGUAcgB0AGkAbABpAHMAZQByACAAdAB5AHAAZQAgAGYAXAAiACwAXAAiAGsAZwAgAHUAcgBlAGEALwBrAGcAXAAiACwAIABcACIATABvAG8AawB1AHAAXAAiAFwAbgAgACAAIAAgACAAIAAgACAAfQAsACAAcgAsACAAYwApAFwAbgAgACAAIAAgACAAIAApAFwAbgAgACAAIAAgACkAXABuACAAIAApADsAXABuACIAfQAsAHsAIgBwAGEAdABoACIAOgAiAC8AcAByAG8AagBlAGMAdABzAC8ARgBlAHIAdABpAGwAaQBzAGUAcgBfAEUAcQB1AGEAdABpAG8AbgBzAF8AT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IAIABP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gBfADEAXwAxAF8AXwAxAF8ATwByAGcAYQBuAGkAYwBGAGUAcgB0AGkAbABpAHMAZQByAEEAcABwAGwAaQBjAGEAdABpAG8AbgBOADIATwBFAG0AaQBzAHMAaQBvAG4AcwBcAG4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G4ARQBfAE4AMgBPAFwAbgB0ACAATgAyAE8AXABuAEUAXwB7AE4AMgBPAH0APQBcAFwAcwB1AG0AXwB7AGoAfQBcAFwAcwB1AG0AXwB7AGYAfQAoACgATQBOAFMAbwBpAGwAXwB7AGoAZgB9AFwAXAB0AGkAbQBlAHMAIABFAEYAXwB7AE4AMgBPACwAaQB9AFwAXAB0AGkAbQBlAHMAIABDAF8AewBOADIATwB9ACkAXABcAHQAaQBtAGUAcwAgADEAMABeAHsALQAzAH0AKQBcAG4ATQBOAFMAbwBpAGwAXwBqAGYAXABuAEUARgBfAE4AMgBPAGkAXABuAEMAXwBOADIATwBcAG4AagBcAG4AaQBcAG4AZgBcAG4ALQAtAC0ALQAtAC0ALQAtAC0ALQAtAC0ALQAtAC0ALQAtAC0ALQAtAC0ALQAtAC0ALQAtAC0ALQAtAC0ALQAtAC0ALQAtAC0ALQAtAFwAbgAqAC8AXABuAFwAbgBWAEUARQBSAEcAXwA1AF8AMgBfADEAXwAxAF8AXwAxAF8ATwByAGcAYQBuAGkAYwBGAGUAcgB0AGkAbABpAHMAZQByAEEAcABwAGwAaQBjAGEAdABpAG8AbgBOADIATwBFAG0AaQBzAHMAaQBvAG4AcwBcAG4AIAAgAD0ATABBAE0AQgBEAEEAKABcAG4AIAAgACAAIABNAE4AUwBvAGkAbABfAGoAZgAsACAARQBGAF8ATgAyAE8AaQAsACAAQwBfAE4AMgBPACwAXABuACAAIAAgACAAKABNAE4AUwBvAGkAbABfAGoAZgAgACoAIABFAEYAXwBOADIATwBpACAAKgAgAEMAXwBOADIATwApACAAKgAgADEAMAAgAF4AIAAtADMAXABuACAAIAApADsAXABuAFwAbgBWAEUARQBSAEcAXwA1AF8AMgBfADEAXwAxAF8AXwAxAF8AT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CIAKQA7AFwAbgBcAG4AVgBFAEUAUgBHAF8ANQBfADIAXwAxAF8AMQBfAF8AMQBfAE8AcgBnAGEAbgBpAGMARgBlAHIAdABpAGwAaQBzAGUAcgBBAHAAcABsAGkAYwBhAHQAaQBvAG4ATgAyAE8ARQBtAGkAcwBzAGkAbwBuAHMAXwBWAGEAcgBpAGEAYgBsAGUAXABuACAAIAA9AEwAQQBNAEIARABBACgAXAAiAEUAXwBOADIATwBcACIAKQA7AFwAbgBcAG4AVgBFAEUAUgBHAF8ANQBfADIAXwAxAF8AMQBfAF8AMQBfAE8AcgBnAGEAbgBpAGMARgBlAHIAdABpAGwAaQBzAGUAcgBBAHAAcABsAGkAYwBhAHQAaQBvAG4ATgAyAE8ARQBtAGkAcwBzAGkAbwBuAHMAXwBVAG4AaQB0AFwAbgAgACAAPQBMAEEATQBCAEQAQQAoAFwAIgB0ACAATgAyAE8AXAAiACkAOwBcAG4AXABuAFYARQBFAFIARwBfADUAXwAyAF8AMQBfADEAXwBfADEAXwBPAHIAZwBhAG4AaQBjAEYAZQByAHQAaQBsAGkAcwBlAHIAQQBwAHAAbABpAGMAYQB0AGkAbwBuAE4AMgBPAEUAbQBpAHMAcwBpAG8AbgBz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OADIATwBFAG0AaQBzAHMAaQBvAG4AcwBfAE4ASQBSAFIAZQBmAGUAcgBlAG4AYwBlAFwAbgAgACAAPQBMAEEATQBCAEQAQQAoAFwAIgBcACIAKQA7AFwAbgBcAG4AVgBFAEUAUgBHAF8ANQBfADIAXwAxAF8AMQBfAF8AMQBfAE8AcgBnAGEAbgBpAGMARgBlAHIAdABpAGwAaQBzAGUAcgBBAHAAcABsAGkAYwBhAHQAaQBvAG4ATgAyAE8ARQBtAGkAcwBzAGkAbwBuAHMAXwBMAGEAdABlAHgARQBxAHUAYQB0AGkAbwBuAFwAbgAgACAAPQBMAEEATQBCAEQAQQAoAFwAIgBFAF8AewBOADIATwB9AD0AXABcAHMAdQBtAF8AewBqAH0AXABcAHMAdQBtAF8AewBmAH0AKAAoAE0ATgBTAG8AaQBsAF8AewBqAGYAfQBcAFwAdABpAG0AZQBzACAARQBGAF8AewBOADIATwAsAGkAfQBcAFwAdABpAG0AZQBzACAAQwBfAHsATgAyAE8AfQApAFwAXAB0AGkAbQBlAHMAIAAxADAAXgB7AC0AMwB9ACkAXAAiACkAOwBcAG4AXABuAFYARQBFAFIARwBfADUAXwAyAF8AMQBfADEAXwBfADEAXwBPAHIAZwBhAG4AaQBjAEYAZQByAHQAaQBsAGkAcwBlAHIAQQBwAHAAbABpAGMAYQB0AGkAbwBuAE4AMgBP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FAEYAXwBOADIATwBpAFwAIgAsAFwAIgBlAG0AaQBzAHMAaQBvAG4AIABmAGEAYwB0AG8AcgAgAGYAbwByACAAZABpAHIAZQBjAHQAIABuAGkAdAByAG8AdQBzACAAbwB4AGkAZABlACAAZQBtAGkAcwBzAGkAbwBuAHMAIABmAHIAbwBtACAAbwByAGcAYQBuAGkAYwAgAGYAZQByAHQAaQBsAGkAcwBlAHIAIABhAHAAcABsAGkAZQBkACAAdABvACAAcwBvAGkAbABzACAAYQBuAGQAIABhAHEAdQBhAHQAaQBjACAAcwB5AHMAdABlAG0AcwAgAGkAbgAgAGMAbABpAG0AYQB0AGUAIAB6AG8AbgBlACAAaQBcACIALAAgAFwAIgBrAGcAIABOADIATwAtAE4ALwBrAGcAIABOAFwAIgAsACAAXAAiAEwAbwBvAGsAdQBw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AAcgBvAGQAdQBjAHQAaQBvAG4AIABzAHkAcwB0AGUAbQBcAG4ATQBOAFMAbwBpAGwAXwBqAGYAXABuAGsAZwAgAE4AXABuAE0ATgBTAG8AaQBsAF8AewBqAGYAfQA9AE0AXwB7AG8AcgBnAGEAbgBpAGMALABqAGYAfQBcAFwAdABpAG0AZQBzACAARgBOAF8AewBvAHIAZwBhAG4AaQBjACwAZgB9AFwAbgBNAF8AbwByAGcAYQBuAGkAYwBqAGYAXABuAEYATgBfAG8AcgBnAGEAbgBpAGMAZgBcAG4AagBcAG4AZ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fAG8AcgBnAGEAbgBpAGMAagBmACwAIABGAE4AXwBvAHIAZwBhAG4AaQBjAGYALABcAG4AIAAgACAAIABNAF8AbwByAGcAYQBuAGkAYwBqAGYAIAAqACAARgBOAF8AbwByAGcAYQBuAGkAYwBmAFwAbgAgACAAKQA7AFwAbgBcAG4AVgBFAEUAUgBHAF8ANQBfADIAXwAxAF8AMQBfAF8AMgBfAE0AYQBzAHMATwBmAE4AaQB0AHIAbwBnAGUAbgBJAG4ATwByAGcAYQBuAGkAYwBGAGUAcgB0AGkAbABpAHMAZQByAF8AVABpAHQAbABlAFwAbgAgACAAPQBMAEEATQBCAEQAQQAoAFwAIgBNAGEAcwBzACAAbwBmACAAbgBpAHQAcgBvAGcAZQBuACAAaQBuACAAcAB1AHIAYwBoAGEAcwBlAGQAIABvAHIAZwBhAG4AaQBjACAAZgBlAHIAdABpAGwAaQBzAGUAcgBzACAAYQBwAHAAbABpAGUAZAAgAHQAbwAgAHAAcgBvAGQAdQBjAHQAaQBvAG4AIABzAHkAcwB0AGUAbQBcACIAKQA7AFwAbgBcAG4AVgBFAEUAUgBHAF8ANQBfADIAXwAxAF8AMQBfAF8AMgBfAE0AYQBzAHMATwBmAE4AaQB0AHIAbwBnAGUAbgBJAG4ATwByAGcAYQBuAGkAYwBGAGUAcgB0AGkAbABpAHMAZQByAF8AVgBhAHIAaQBhAGIAbABlAFwAbgAgACAAPQBMAEEATQBCAEQAQQAoAFwAIgBNAE4AUwBvAGkAbABfAGoAZgBcACIAKQA7AFwAbgBcAG4AVgBFAEUAUgBHAF8ANQBfADIAXwAxAF8AMQBfAF8AMgBfAE0AYQBzAHMATwBmAE4AaQB0AHIAbwBnAGUAbgBJAG4ATwByAGcAYQBuAGkAYwBGAGUAcgB0AGkAbABpAHMAZQByAF8AVQBuAGkAdABcAG4AIAAgAD0ATABBAE0AQgBEAEEAKABcACIAawBnACAATgBcACIAKQA7AFwAbgBcAG4AVgBFAEUAUgBHAF8ANQBfADIAXwAxAF8AMQBfAF8AMgBfAE0AYQBzAHMATwBmAE4AaQB0AHIAbwBnAGUAbgBJAG4ATwByAGcAYQBuAGkAYwBGAGUAcgB0AGkAbABpAHMAZQByAF8AUwBvAHUAcgBjAGUAXABuACAAIAA9AEwAQQBNAEIARABBACgAXAAiAFYARQBFAFIARwAgADIAMAAyADYAOgAgADUALgAyAC4AMQAuADEALAAgAEUAcQB1AGEAdABpAG8AbgAgACgAMgApAFwAIgApADsAXABuAFwAbgBWAEUARQBSAEcAXwA1AF8AMgBfADEAXwAxAF8AXwAyAF8ATQBhAHMAcwBPAGYATgBpAHQAcgBvAGcAZQBuAEkAbgBPAHIAZwBhAG4AaQBjAEYAZQByAHQAaQBsAGkAcwBlAHIAXwBOAEkAUgBSAGUAZgBlAHIAZQBuAGMAZQBcAG4AIAAgAD0ATABBAE0AQgBEAEEAKABcACIAXAAiACkAOwBcAG4AXABuAFYARQBFAFIARwBfADUAXwAyAF8AMQBfADEAXwBfADIAXwBNAGEAcwBzAE8AZgBOAGkAdAByAG8AZwBlAG4ASQBuAE8AcgBnAGEAbgBpAGMARgBlAHIAdABpAGwAaQBzAGUAcgBfAEwAYQB0AGUAeABFAHEAdQBhAHQAaQBvAG4AXABuACAAIAA9AEwAQQBNAEIARABBACgAXAAiAE0ATgBTAG8AaQBsAF8AewBqAGYAfQA9AE0AXwB7AG8AcgBnAGEAbgBpAGMALABqAGYAfQBcAFwAdABpAG0AZQBzACAARgBOAF8AewBvAHIAZwBhAG4AaQBjACwAZgB9AFwAIgApADsAXABuAFwAbgBWAEUARQBSAEcAXwA1AF8AMgBfADEAXwAxAF8AXwAyAF8ATQBhAHMAcwBPAGYATgBpAHQAcgBvAGcAZQBuAEkAbgBPAHIAZwBhAG4AaQBjAEYAZQByAHQAaQBsAGkAcwBlAHIAXwBBAHIAZwB1AG0AZQBuAHQAcwBcAG4AIAAgAD0ATABBAE0AQgBEAEEAKABcAG4AIAAgACAAIABNAEEASwBFAEEAUgBSAEEAWQAoADMALAAgADQALAAgAFwAbgAgACAAIAAgACAAIABMAEEATQBCAEQAQQAoAHIALABjACwAIABcAG4AIAAgACAAIAAgACAAIAAgAEkATgBEAEUAWAAoAHsAXABuACAAIAAgACAAIAAgACAAIAAgACAAXAAiAE0AXwBvAHIAZwBhAG4AaQBjAGoAZgBcACIALABcACIAbQBhAHMAcwAgAG8AZgAgAG8AcgBnAGEAbgBpAGMAIABmAGUAcgB0AGkAbABpAHMAZQByACAAdAB5AHAAZQAgAGYAIABhAHAAcABsAGkAZQBkACAAdABvACAAcAByAG8AZAB1AGMAdABpAG8AbgAgAHMAeQBzAHQAZQBtACAAagBcACIALAAgAFwAIgBrAGcAXAAiACwAIABcACIASQBuAHAAdQB0AFwAIgA7AFwAbgAgACAAIAAgACAAIAAgACAAIAAgAFwAIgBGAE4AXwBvAHIAZwBhAG4AaQBjAGYAXAAiACwAXAAiAG4AaQB0AHIAbwBnAGUAbgAgAGYAcgBhAGMAdABpAG8AbgAgAG8AZgAgAG8AcgBnAGEAbgBpAGMAIABmAGUAcgB0AGkAbABpAHMAZQByACAAdAB5AHAAZQAgAGYAXAAiACwAIABcACIAawBnACAATgAvAGsAZwBcACIALAAgAFwAIgBJAG4AcAB1AHQAXAAiADsAXABuACAAIAAgACAAIAAgACAAIAAgACAAXAAiAGYAXAAiACwAXAAiAE8AcgBnAGEAbgBpAGMAIABmAGUAcgB0AGkAbABpAHMAZQByACAAdAB5AHAAZQBcACIALAAgAFwAIgBcACIALAAgAFwAIgBJAG4AcAB1AHQAXAAiAFwAbgAgACAAIAAgACAAIAAgACAAfQAsACAAcgAsACAAYwApAFwAbgAgACAAIAAgACAAIAApAFwAbgAgACAAIAAgACkAXABuACAAIAApADsAXABuACIAfQAsAHsAIgBwAGEAdABoACIAOgAiAC8AcAByAG8AagBlAGMAdABzAC8ARgBlAHIAdABpAGwAaQBzAGUAcgBfAEUAcQB1AGEAdABpAG8AbgBzAF8ATABpAG0AZQ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MAIABMAGkAbQBl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zAF8AMQBfADEAXwBfADEAXwBMAGkAbQBlAEEAcABwAGwAaQBjAGEAdABpAG8AbgBDAE8AMgBFAG0AaQBzAHMAaQBvAG4AcwBcAG4ARQBtAGkAcwBzAGkAbwBuAHMAIABmAHIAbwBtACAAdABoAGUAIABhAHAAcABsAGkAYwBhAHQAaQBvAG4AIABvAGYAIABsAGkAbQBlACAAYQBuAGQAIABkAG8AbABvAG0AaQB0AGUAIAB0AG8AIABwAHIAbwBkAHUAYwB0AGkAbwBuACAAcwB5AHMAdABlAG0AcwBcAG4ARQBfAGwAaQBtAGUAXABuAHQAIABDAE8AMgBcAG4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G4ATQBfAGwAaQBtAGUAXABuAEYAcgBhAGMATABpAG0AZQBcAG4AUABfAGwAaQBtAGUAXABuAEUARgBfAGwAaQBtAGUAXABuAEYAcgBhAGMARABvAGwAXABuAFAAXwBkAG8AbABcAG4ARQBGAF8AZABvAGwAXABuAEMAXwBDAE8AMgBcAG4ALQAtAC0ALQAtAC0ALQAtAC0ALQAtAC0ALQAtAC0ALQAtAC0ALQAtAC0ALQAtAC0ALQAtAC0ALQAtAC0ALQAtAC0ALQAtAC0ALQAtAFwAbgAqAC8AXABuAFwAbgBWAEUARQBSAEcAXwA1AF8AMwBfADEAXwAxAF8AXwAxAF8ATABpAG0AZQBBAHAAcABsAGkAYwBhAHQAaQBvAG4AQwBPADIARQBtAGkAcwBzAGkAbwBuAHMAXABuACAAIAA9AEwAQQBNAEIARABBACgAXABuACAAIAAgACAATQBfAGwAaQBtAGUALAAgAEYAcgBhAGMATABpAG0AZQAsACAAUABfAGwAaQBtAGUALAAgAEUARgBfAGwAaQBtAGUALAAgAEYAcgBhAGMARABvAGwALAAgAFAAXwBkAG8AbAAsACAARQBGAF8AZABvAGwALAAgAEMAXwBDAE8AMgAsAFwAbgAgACAAIAAgACgAKABNAF8AbABpAG0AZQAgACoAIABGAHIAYQBjAEwAaQBtAGUAIAAqACAAUABfAGwAaQBtAGUAIAAqACAARQBGAF8AbABpAG0AZQApACAAKwAgACgATQBfAGwAaQBtAGUAIAAqACAARgByAGEAYwBEAG8AbAAgACoAIABQAF8AZABvAGwAIAAqACAARQBGAF8AZABvAGwAKQApACAAKgAgAEMAXwBDAE8AMgAgACoAIAAxADAAIABeACAALQAzAFwAbgAgACAAKQA7AFwAbgBcAG4AVgBFAEUAUgBHAF8ANQBfADMAXwAxAF8AMQBfAF8AMQBfAEwAaQBtAGUAQQBwAHAAbABpAGMAYQB0AGkAbwBuAEMATwAyAEUAbQBpAHMAcwBpAG8AbgBzAF8AVABpAHQAbABlAFwAbgAgACAAPQBMAEEATQBCAEQAQQAoAFwAIgBFAG0AaQBzAHMAaQBvAG4AcwAgAGYAcgBvAG0AIAB0AGgAZQAgAGEAcABwAGwAaQBjAGEAdABpAG8AbgAgAG8AZgAgAGwAaQBtAGUAIABhAG4AZAAgAGQAbwBsAG8AbQBpAHQAZQAgAHQAbwAgAHAAcgBvAGQAdQBjAHQAaQBvAG4AIABzAHkAcwB0AGUAbQBzAFwAIgApADsAXABuAFwAbgBWAEUARQBSAEcAXwA1AF8AMwBfADEAXwAxAF8AXwAxAF8ATABpAG0AZQBBAHAAcABsAGkAYwBhAHQAaQBvAG4AQwBPADIARQBtAGkAcwBzAGkAbwBuAHMAXwBWAGEAcgBpAGEAYgBsAGUAXABuACAAIAA9AEwAQQBNAEIARABBACgAXAAiAEUAXwBsAGkAbQBlAFwAIgApADsAXABuAFwAbgBWAEUARQBSAEcAXwA1AF8AMwBfADEAXwAxAF8AXwAxAF8ATABpAG0AZQBBAHAAcABsAGkAYwBhAHQAaQBvAG4AQwBPADIARQBtAGkAcwBzAGkAbwBuAHMAXwBVAG4AaQB0AFwAbgAgACAAPQBMAEEATQBCAEQAQQAoAFwAIgB0ACAAQwBPADIAXAAiACkAOwBcAG4AXABuAFYARQBFAFIARwBfADUAXwAzAF8AMQBfADEAXwBfADEAXwBMAGkAbQBlAEEAcABwAGwAaQBjAGEAdABpAG8AbgBDAE8AMgBFAG0AaQBzAHMAaQBvAG4AcwBfAFMAbwB1AHIAYwBlAFwAbgAgACAAPQBMAEEATQBCAEQAQQAoAFwAIgBWAEUARQBSAEcAIAAyADAAMgA2ADoAIAA1AC4AMwAuADEALgAxACwAIABFAHEAdQBhAHQAaQBvAG4AIAAoADEAKQBcACIAKQA7AFwAbgBcAG4AVgBFAEUAUgBHAF8ANQBfADMAXwAxAF8AMQBfAF8AMQBfAEwAaQBtAGUAQQBwAHAAbABpAGMAYQB0AGkAbwBuAEMATwAyAEUAbQBpAHMAcwBpAG8AbgBzAF8ATgBJAFIAUgBlAGYAZQByAGUAbgBjAGUAXABuACAAIAA9AEwAQQBNAEIARABBACgAXAAiAFwAIgApADsAXABuAFwAbgBWAEUARQBSAEcAXwA1AF8AMwBfADEAXwAxAF8AXwAxAF8ATABpAG0AZQBBAHAAcABsAGkAYwBhAHQAaQBvAG4AQwBPADIARQBtAGkAcwBzAGkAbwBuAHMAXwBMAGEAdABlAHgARQBxAHUAYQB0AGkAbwBuAFwAbgAgACAAPQBMAEEATQBCAEQAQQAoAFwAI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IgApADsAXABuAFwAbgBWAEUARQBSAEcAXwA1AF8AMwBfADEAXwAxAF8AXwAxAF8ATABpAG0AZQBBAHAAcABsAGkAYwBhAHQAaQBvAG4AQwBPADIARQBtAGkAcwBzAGkAbwBuAHMAXwBBAHIAZwB1AG0AZQBuAHQAcwBcAG4AIAAgAD0ATABBAE0AQgBEAEEAKABcAG4AIAAgACAAIABNAEEASwBFAEEAUgBSAEEAWQAoADgALAAgADQALAAgAFwAbgAgACAAIAAgACAAIABMAEEATQBCAEQAQQAoAHIALABjACwAIABcAG4AIAAgACAAIAAgACAAIAAgAEkATgBEAEUAWAAoAHsAXABuACAAIAAgACAAIAAgACAAIAAgACAAXAAiAE0AXwBsAGkAbQBlAFwAIgAsAFwAIgB0AG8AdABhAGwAIABtAGEAcwBzACAAbwBmACAAbABpAG0AZQAgAGEAcABwAGwAaQBlAGQAIAB0AG8AIABwAHIAbwBkAHUAYwB0AGkAbwBuACAAcwB5AHMAdABlAG0AXAAiACwAIABcACIAawBnAFwAIgAsACAAXAAiAEkAbgBwAHUAdABcACIAOwBcAG4AIAAgACAAIAAgACAAIAAgACAAIABcACIARgByAGEAYwBMAGkAbQBlAFwAIgAsAFwAIgBmAHIAYQBjAHQAaQBvAG4AIABvAGYAIABsAGkAbQBlACAAYQBzACAAbABpAG0AZQBzAHQAbwBuAGUAIAAoAEMAYQBDAE8AMwApAFwAIgAsACAAXAAiAGYAcgBhAGMAdABpAG8AbgBcACIALAAgAFwAIgBJAG4AcAB1AHQAXAAiADsAXABuACAAIAAgACAAIAAgACAAIAAgACAAXAAiAFAAXwBsAGkAbQBlAFwAIgAsAFwAIgBmAHIAYQBjAHQAaQBvAG4AYQBsACAAcAB1AHIAaQB0AHkAIABvAGYAIABsAGkAbQBlAHMAdABvAG4AZQBcACIALAAgAFwAIgBmAHIAYQBjAHQAaQBvAG4AXAAiACwAIABcACIAQwBvAG4AcwB0AGEAbgB0AFwAIgA7AFwAbgAgACAAIAAgACAAIAAgACAAIAAgAFwAIgBFAEYAXwBsAGkAbQBlAFwAIgAsAFwAIgBlAG0AaQBzAHMAaQBvAG4AIABmAGEAYwB0AG8AcgAgAGYAbwByACAAbABpAG0AZQBzAHQAbwBuAGUAIABmAHIAYQBjAHQAaQBvAG4AIABvAGYAIABsAGkAbQBlAFwAIgAsACAAXAAiAGsAZwAgAEMALwBrAGcAXAAiACwAIABcACIAQwBvAG4AcwB0AGEAbgB0AFwAIgA7AFwAbgAgACAAIAAgACAAIAAgACAAIAAgAFwAIgBGAHIAYQBjAEQAbwBsAFwAIgAsAFwAIgBmAHIAYQBjAHQAaQBvAG4AIABvAGYAIABsAGkAbQBlACAAYQBzACAAZABvAGwAbwBtAGkAdABlAFwAIgAsACAAXAAiAGYAcgBhAGMAdABpAG8AbgBcACIALAAgAFwAIgBJAG4AcAB1AHQAXAAiADsAXABuACAAIAAgACAAIAAgACAAIAAgACAAXAAiAFAAXwBkAG8AbABcACIALABcACIAZgByAGEAYwB0AGkAbwBuAGEAbAAgAHAAdQByAGkAdAB5ACAAbwBmACAAZABvAGwAbwBtAGkAdABlAFwAIgAsACAAXAAiAGYAcgBhAGMAdABpAG8AbgBcACIALAAgAFwAIgBDAG8AbgBzAHQAYQBuAHQAXAAiADsAXABuACAAIAAgACAAIAAgACAAIAAgACAAXAAiAEUARgBfAGQAbwBsAFwAIgAsAFwAIgBlAG0AaQBzAHMAaQBvAG4AIABmAGEAYwB0AG8AcgAgAGYAbwByACAAZABvAGwAbwBtAGkAdABlACAAZgByAGEAYwB0AGkAbwBuACAAbwBmACAAbABpAG0AZQBcACIALAAgAFwAIgBrAGcAIABDAC8AawBnAFwAIgAsACAAXAAiAEMAbwBuAHMAdABhAG4AdABcACIAOwBcAG4AIAAgACAAIAAgACAAIAAgACAAIABcACIAQwBfAEMATwAyAFwAIgAsAFwAIgBmAGEAYwB0AG8AcgAgAHQAbwAgAGMAbwBuAHYAZQByAHQAIABlAGwAZQBtAGUAbgB0AGEAbAAgAG0AYQBzAHMAIABvAGYAIABjAGEAcgBiAG8AbgAgAGQAaQBvAHgAaQBkAGUAIAB0AG8AIABtAG8AbABlAGMAdQBsAGEAcgAgAG0AYQBzAHMAXAAiACwAIABcACIAXAAiACwAIABcACIAQwBvAG4AcwB0AGEAbgB0AFwAIgBcAG4AIAAgACAAIAAgACAAIAAgAH0ALAAgAHIALAAgAGMAKQBcAG4AIAAgACAAIAAgACAAKQBcAG4AIAAgACAAIAApAFwAbgAgACAAKQA7AFwAbgBcAG4AXABuACIAfQAsAHsAIgBwAGEAdABoACIAOgAiAC8AcAByAG8AagBlAGMAdABzAC8ARgBlAHIAdABpAGwAaQBzAGUAcgBfAEUAcQB1AGEAdABpAG8AbgBzAF8AQQB0AG0AbwBzAHAAaABlAHIAaQBjAEQAZQBwAG8AcwBpAHQAaQBvAG4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0ACAASQBuAG8AcgBnAGEAbgBpAGMAIABmAGUAcgB0AGkAbABpAHMAZQByACAAYQB0AG0AbwBzAHAAaABlAHIAaQBjACAAZABlAHAAbwBzAGk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ABfADEAXwAxAF8AXwAxAF8ASQBuAG8AcgBnAGEAbgBpAGMARgBlAHIAdABpAGwAaQBzAGUAcgBBAHQAbQBvAHMAcABoAGUAcgBpAGMARABlAHAAbwBzAGkAdABpAG8AbgBOADIATwBFAG0AaQBzAHMAaQBvAG4AcwBcAG4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RQBfAGEAZABpAG4AbwByAGcAYQBuAGkAYwBcAG4AdAAgAE4AMgBPAFwAbgBFAF8AewBhAGQALABpAG4AbwByAGcAYQBuAGkAYwB9AD0AXABcAHMAdQBtAF8AewBqAH0AXABcAHMAdQBtAF8AewBmAH0AKAAoAE0AXwB7AHYAbwBsACwAaQBuAG8AcgBnAGEAbgBpAGMALABqAGYAfQBcAFwAdABpAG0AZQBzACAARQBGAF8AewBOADIATwAsAGoAfQApAFwAXAB0AGkAbQBlAHMAIABDAF8AewBOADIATwB9AFwAXAB0AGkAbQBlAHMAIAAxADAAXgB7AC0AMwB9ACkAXABuAE0AXwB2AG8AbABpAG4AbwByAGcAYQBuAGkAYwBqAGYAXABuAEUARgBfAE4AMgBPAGoAXABuAEMAXwBOADIATwBcAG4AagBcAG4AZgBcAG4ALQAtAC0ALQAtAC0ALQAtAC0ALQAtAC0ALQAtAC0ALQAtAC0ALQAtAC0ALQAtAC0ALQAtAC0ALQAtAC0ALQAtAC0ALQAtAC0ALQAtAFwAbgAqAC8AXABuAFwAbgBWAEUARQBSAEcAXwA1AF8ANABfADEAXwAxAF8AXwAxAF8ASQBuAG8AcgBnAGEAbgBpAGMARgBlAHIAdABpAGwAaQBzAGUAcgBBAHQAbQBvAHMAcABoAGUAcgBpAGMARABlAHAAbwBzAGkAdABpAG8AbgBOADIATwBFAG0AaQBzAHMAaQBvAG4AcwBcAG4AIAAgAD0ATABBAE0AQgBEAEEAKABcAG4AIAAgACAAIABNAF8AdgBvAGwAaQBuAG8AcgBnAGEAbgBpAGMAagBmACwAIABFAEYAXwBOADIATwBqACwAIABDAF8ATgAyAE8ALABcAG4AIAAgACAAIAAoAE0AXwB2AG8AbABpAG4AbwByAGcAYQBuAGkAYwBqAGYAIAAqACAARQBGAF8ATgAyAE8AagApACAAKgAgAEMAXwBOADIATwAgACoAIAAxADAAIABeACAALQAzAFwAbgAgACAAKQA7AFwAbgBcAG4AVgBFAEUAUgBHAF8ANQBfADQAXwAxAF8AMQBfAF8AMQBfAEkAbgBv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AiACkAOwBcAG4AXABuAFYARQBFAFIARwBfADUAXwA0AF8AMQBfADEAXwBfADEAXwBJAG4AbwByAGcAYQBuAGkAYwBGAGUAcgB0AGkAbABpAHMAZQByAEEAdABtAG8AcwBwAGgAZQByAGkAYwBEAGUAcABvAHMAaQB0AGkAbwBuAE4AMgBPAEUAbQBpAHMAcwBpAG8AbgBzAF8AVgBhAHIAaQBhAGIAbABlAFwAbgAgACAAPQBMAEEATQBCAEQAQQAoAFwAIgBFAF8AYQBkAGkAbgBvAHIAZwBhAG4AaQBjAFwAIgApADsAXABuAFwAbgBWAEUARQBSAEcAXwA1AF8ANABfADEAXwAxAF8AXwAxAF8ASQBuAG8AcgBnAGEAbgBpAGMARgBlAHIAdABpAGwAaQBzAGUAcgBBAHQAbQBvAHMAcABoAGUAcgBpAGMARABlAHAAbwBzAGkAdABpAG8AbgBOADIATwBFAG0AaQBzAHMAaQBvAG4AcwBfAFUAbgBpAHQAXABuACAAIAA9AEwAQQBNAEIARABBACgAXAAiAHQAIABOADIATwBcACIAKQA7AFwAbgBcAG4AVgBFAEUAUgBHAF8ANQBfADQAXwAxAF8AMQBfAF8AMQBfAEkAbgBvAHIAZwBhAG4AaQBjAEYAZQByAHQAaQBsAGkAcwBlAHIAQQB0AG0AbwBzAHAAaABlAHIAaQBjAEQAZQBwAG8AcwBpAHQAaQBvAG4ATgAyAE8ARQBtAGkAcwBzAGkAbwBuAHMAXwBTAG8AdQByAGMAZQBcAG4AIAAgAD0ATABBAE0AQgBEAEEAKABcACIAVgBFAEUAUgBHACAAMgAwADIANgA6ACAANQAuADQALgAxAC4AMQAsACAARQBxAHUAYQB0AGkAbwBuACAAKAAxACkAXAAiACkAOwBcAG4AXABuAFYARQBFAFIARwBfADUAXwA0AF8AMQBfADEAXwBfADEAXwBJAG4AbwByAGcAYQBuAGkAYwBGAGUAcgB0AGkAbABpAHMAZQByAEEAdABtAG8AcwBwAGgAZQByAGkAYwBEAGUAcABvAHMAaQB0AGkAbwBuAE4AMgBPAEUAbQBpAHMAcwBpAG8AbgBzAF8ATgBJAFIAUgBlAGYAZQByAGUAbgBjAGUAXABuACAAIAA9AEwAQQBNAEIARABBACgAXAAiAFwAIgApADsAXABuAFwAbgBWAEUARQBSAEcAXwA1AF8ANABfADEAXwAxAF8AXwAxAF8ASQBuAG8AcgBnAGEAbgBpAGMARgBlAHIAdABpAGwAaQBzAGUAcgBBAHQAbQBvAHMAcABoAGUAcgBpAGMARABlAHAAbwBzAGkAdABpAG8AbgBOADIATwBFAG0AaQBzAHMAaQBvAG4AcwBfAEwAYQB0AGUAeABFAHEAdQBhAHQAaQBvAG4AXABuACAAIAA9AEwAQQBNAEIARABBACgAXAAiAEUAXwB7AGEAZAAsAGkAbgBvAHIAZwBhAG4AaQBjAH0APQBcAFwAcwB1AG0AXABcAG4AbwBsAGkAbQBpAHQAcwBfAHsAagB9AFwAXABzAHUAbQBcAFwAbgBvAGwAaQBtAGkAdABzAF8AewBmAH0AKAAoAE0AXwB7AHYAbwBsACwAaQBuAG8AcgBnAGEAbgBpAGMALABqAGYAfQBcAFwAdABpAG0AZQBzACAARQBGAF8AewBOADIATwAsAGoAfQApAFwAXAB0AGkAbQBlAHMAIABDAF8AewBOADIATwB9AFwAXAB0AGkAbQBlAHMAIAAxADAAXgB7AC0AMwB9ACkAXAAiACkAOwBcAG4AXABuAFYARQBFAFIARwBfADUAXwA0AF8AMQBfADEAXwBfADEAXwBJAG4Ab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aQBuAG8AcgBnAGEAbgBpAGMAagBmAFwAIgAsAFwAIgBtAGEAcwBzACAAbwBmACAAbgBpAHQAcgBvAGcAZQBuACAAdgBvAGwAYQB0AGkAbABpAHMAZQBkACAAZgByAG8AbQAgAGkAbgBvAHIAZwBhAG4AaQBjACAAZgBlAHIAdABpAGwAaQBzAGUAcgAgAGEAcABwAGwAaQBlAGQAIAB0AG8AIABwAHIAbwBkAHUAYwB0AGkAbwBuACAAcwB5AHMAdABlAG0AXAAiACwAIABcACIAawBnACAATgBcACIALAAgAFwAIgBDAGEAbABjAHUAbABhAHQAZQBkACAAZgByAG8AbQAgADUALgA0AC4AMQAuADEAIAAoADIAKQBcACIAOwBcAG4AIAAgACAAIAAgACAAIAAgACAAIABcACIARQBGAF8ATgAyAE8AagBcACIALABcACI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QBfAF8AMgBfAE0AYQBzAHMATwBmAE4AaQB0AHIAbwBnAGUAbgBWAG8AbABhAHQAaQBsAGkAcwBlAGQARgByAG8AbQBJAG4AbwByAGcAYQBuAGkAYwBGAGUAcgB0AGkAbABpAHMAZQByAFwAbgBNAGEAcwBzACAAbwBmACAAbgBpAHQAcgBvAGcAZQBuACAAdgBvAGwAYQB0AGkAbABpAHMAZQBkACAAZgByAG8AbQAgAGkAbgBvAHIAZwBhAG4AaQBjACAAZgBlAHIAdABpAGwAaQBzAGUAcgAgAGEAcABwAGwAaQBlAGQAIAB0AG8AIABwAHIAbwBkAHUAYwB0AGkAbwBuACAAcwB5AHMAdABlAG0AXABuAE0AXwB2AG8AbABpAG4AbwByAGcAYQBuAGkAYwBqAGYAXABuAGsAZwAgAE4AXABuAE0AXwB7AHYAbwBsACwAaQBuAG8AcgBnAGEAbgBpAGMALABqAGYAfQA9AHsATQBOAH0AXwB7AGoAZgB9AFwAXAB0AGkAbQBlAHMAIABGAHIAYQBjAEcAQQBTAEYAXwB7AGYAfQBcAG4ATQBOAF8AagBmAFwAbgBGAHIAYQBjAEcAQQBTAEYAXwBmAFwAbgBqAFwAbgBmAFwAbgAtAC0ALQAtAC0ALQAtAC0ALQAtAC0ALQAtAC0ALQAtAC0ALQAtAC0ALQAtAC0ALQAtAC0ALQAtAC0ALQAtAC0ALQAtAC0ALQAtAC0AXABuACoALwBcAG4AXABuAFYARQBFAFIARwBfADUAXwA0AF8AMQBfADEAXwBfADIAXwBNAGEAcwBzAE8AZgBOAGkAdAByAG8AZwBlAG4AVgBvAGwAYQB0AGkAbABpAHMAZQBkAEYAcgBvAG0ASQBuAG8AcgBnAGEAbgBpAGMARgBlAHIAdABpAGwAaQBzAGUAcgBcAG4AIAAgAD0ATABBAE0AQgBEAEEAKABcAG4AIAAgACAAIABNAE4AXwBqAGYALAAgAEYAcgBhAGMARwBBAFMARgBfAGYALABcAG4AIAAgACAAIABNAE4AXwBqAGYAIAAqACAARgByAGEAYwBHAEEAUwBGAF8AZgBcAG4AIAAgACkAOwBcAG4AXABuAFYARQBFAFIARwBfADUAXwA0AF8AMQBfADEAXwBfADIAXwBNAGEAcwBzAE8AZgBOAGkAdAByAG8AZwBlAG4AVgBvAGwAYQB0AGkAbABpAHMAZQBkAEYAcgBvAG0ASQBuAG8AcgBnAGEAbgBpAGMARgBlAHIAdABpAGwAaQBzAGUAcgBfAFQAaQB0AGwAZQBcAG4AIAAgAD0ATABBAE0AQgBEAEEAKABcACIATQBhAHMAcwAgAG8AZgAgAG4AaQB0AHIAbwBnAGUAbgAgAHYAbwBsAGEAdABpAGwAaQBzAGUAZAAgAGYAcgBvAG0AIABpAG4AbwByAGcAYQBuAGkAYwAgAGYAZQByAHQAaQBsAGkAcwBlAHIAIABhAHAAcABsAGkAZQBkACAAdABvACAAcAByAG8AZAB1AGMAdABpAG8AbgAgAHMAeQBzAHQAZQBtAFwAIgApADsAXABuAFwAbgBWAEUARQBSAEcAXwA1AF8ANABfADEAXwAxAF8AXwAyAF8ATQBhAHMAcwBPAGYATgBpAHQAcgBvAGcAZQBuAFYAbwBsAGEAdABpAGwAaQBzAGUAZABGAHIAbwBtAEkAbgBvAHIAZwBhAG4AaQBjAEYAZQByAHQAaQBsAGkAcwBlAHIAXwBWAGEAcgBpAGEAYgBsAGUAXABuACAAIAA9AEwAQQBNAEIARABBACgAXAAiAE0AXwB2AG8AbABpAG4AbwByAGcAYQBuAGkAYwBqAGYAXAAiACkAOwBcAG4AXABuAFYARQBFAFIARwBfADUAXwA0AF8AMQBfADEAXwBfADIAXwBNAGEAcwBzAE8AZgBOAGkAdAByAG8AZwBlAG4AVgBvAGwAYQB0AGkAbABpAHMAZQBkAEYAcgBvAG0ASQBuAG8AcgBnAGEAbgBpAGMARgBlAHIAdABpAGwAaQBzAGUAcgBfAFUAbgBpAHQAXABuACAAIAA9AEwAQQBNAEIARABBACgAXAAiAGsAZwAgAE4AXAAiACkAOwBcAG4AXABuAFYARQBFAFIARwBfADUAXwA0AF8AMQBfADEAXwBfADIAXwBNAGEAcwBzAE8AZgBOAGkAdAByAG8AZwBlAG4AVgBvAGwAYQB0AGkAbABpAHMAZQBkAEYAcgBvAG0ASQBuAG8AcgBnAGEAbgBpAGMARgBlAHIAdABpAGwAaQBzAGUAcgBfAFMAbwB1AHIAYwBlAFwAbgAgACAAPQBMAEEATQBCAEQAQQAoAFwAIgBWAEUARQBSAEcAIAAyADAAMgA2ADoAIAA1AC4ANAAuADEALgAxACwAIABFAHEAdQBhAHQAaQBvAG4AIAAoADIAKQBcACIAKQA7AFwAbgBcAG4AVgBFAEUAUgBHAF8ANQBfADQAXwAxAF8AMQBfAF8AMgBfAE0AYQBzAHMATwBmAE4AaQB0AHIAbwBnAGUAbgBWAG8AbABhAHQAaQBsAGkAcwBlAGQARgByAG8AbQBJAG4AbwByAGcAYQBuAGkAYwBGAGUAcgB0AGkAbABpAHMAZQByAF8ATgBJAFIAUgBlAGYAZQByAGUAbgBjAGUAXABuACAAIAA9AEwAQQBNAEIARABBACgAXAAiAFwAIgApADsAXABuAFwAbgBWAEUARQBSAEcAXwA1AF8ANABfADEAXwAxAF8AXwAyAF8ATQBhAHMAcwBPAGYATgBpAHQAcgBvAGcAZQBuAFYAbwBsAGEAdABpAGwAaQBzAGUAZABGAHIAbwBtAEkAbgBvAHIAZwBhAG4AaQBjAEYAZQByAHQAaQBsAGkAcwBlAHIAXwBMAGEAdABlAHgARQBxAHUAYQB0AGkAbwBuAFwAbgAgACAAPQBMAEEATQBCAEQAQQAoAFwAIgBNAF8AewB2AG8AbAAsAGkAbgBvAHIAZwBhAG4AaQBjACwAagBmAH0APQB7AE0ATgB9AF8AewBqAGYAfQBcAFwAdABpAG0AZQBzACAARgByAGEAYwBHAEEAUwBGAF8AewBmAH0AXAAiACkAOwBcAG4AXABuAFYARQBFAFIARwBfADUAXwA0AF8AMQBfADEAXwBfADIAXwBNAGEAcwBzAE8AZgBOAGkAdAByAG8AZwBlAG4AVgBvAGwAYQB0AGkAbABpAHMAZQBkAEYAcgBvAG0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YQBwAHAAbABpAGUAZABcACIALAAgAFwAIgBrAGcAIABOAFwAIgAsACAAXAAiAEMAYQBsAGMAdQBsAGEAdABlAGQAIABmAHIAbwBtACAANQAuADEALgAxAC4AMQAgACgAMgApAFwAIgA7AFwAbgAgACAAIAAgACAAIAAgACAAIAAgAFwAIgBGAHIAYQBjAEcAQQBTAEYAXwBmAFwAIgAsAFwAIgBmAHIAYQBjAHQAaQBvAG4AIABvAGYAIABpAG4AbwByAGcAYQBuAGkAYwAgAGYAZQByAHQAaQBsAGkAcwBlAHIAIAB0AGgAYQB0ACAAdgBvAGwAYQB0AGkAbABpAHMAZQBzAFwAIgAsACAAXAAiACgAawBnACAATgBIADMALQBOACAAKwAgAE4ATwB4AC0ATgApAC8AawBnACAATg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QAXwAxAF8AMwBfAF8AMQBfAE8AcgBnAGEAbgBpAGMARgBlAHIAdABpAGwAaQBzAGUAcgBBAHQAbQBvAHMAcABoAGUAcgBpAGMARABlAHAAbwBzAGkAdABpAG8AbgBOADIATwBFAG0AaQBzAHMAaQBvAG4AcwBcAG4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BuAEUAXwBhAGQAbwByAGcAYQBuAGkAYwBcAG4AdAAgAE4AMgBPAFwAbgBFAF8AewBhAGQALABvAHIAZwBhAG4AaQBjAH0APQBcAFwAcwB1AG0AXwB7AGoAfQBcAFwAcwB1AG0AXwB7AGYAfQAoACgATQBfAHsAdgBvAGwALABvAHIAZwBhAG4AaQBjACwAagBmAH0AXABcAHQAaQBtAGUAcwAgAEUARgBfAHsATgAyAE8ALABqAH0AKQBcAFwAdABpAG0AZQBzACAAQwBfAHsATgAyAE8AfQBcAFwAdABpAG0AZQBzACAAMQAwAF4AewAtADMAfQApAFwAbgBNAF8AdgBvAGwAbwByAGcAYQBuAGkAYwBqAGYAXABuAEUARgBfAE4AMgBPAGoAXABuAEMAXwBOADIATwBcAG4AagBcAG4AZgBcAG4ALQAtAC0ALQAtAC0ALQAtAC0ALQAtAC0ALQAtAC0ALQAtAC0ALQAtAC0ALQAtAC0ALQAtAC0ALQAtAC0ALQAtAC0ALQAtAC0ALQAtAFwAbgAqAC8AXABuAFwAbgBWAEUARQBSAEcAXwA1AF8ANABfADEAXwAzAF8AXwAxAF8ATwByAGcAYQBuAGkAYwBGAGUAcgB0AGkAbABpAHMAZQByAEEAdABtAG8AcwBwAGgAZQByAGkAYwBEAGUAcABvAHMAaQB0AGkAbwBuAE4AMgBPAEUAbQBpAHMAcwBpAG8AbgBzAFwAbgAgACAAPQBMAEEATQBCAEQAQQAoAFwAbgAgACAAIAAgAE0AXwB2AG8AbABvAHIAZwBhAG4AaQBjAGoAZgAsACAARQBGAF8ATgAyAE8AagAsACAAQwBfAE4AMgBPACwAXABuACAAIAAgACAAKABNAF8AdgBvAGwAbwByAGcAYQBuAGkAYwBqAGYAIAAqACAARQBGAF8ATgAyAE8AagApACAAKgAgAEMAXwBOADIATwAgACoAIAAxADAAIABeACAALQAzAFwAbgAgACAAKQA7AFwAbgBcAG4AVgBFAEUAUgBHAF8ANQBfADQAXwAxAF8AMwBfAF8AMQBfAE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AiACkAOwBcAG4AXABuAFYARQBFAFIARwBfADUAXwA0AF8AMQBfADMAXwBfADEAXwBPAHIAZwBhAG4AaQBjAEYAZQByAHQAaQBsAGkAcwBlAHIAQQB0AG0AbwBzAHAAaABlAHIAaQBjAEQAZQBwAG8AcwBpAHQAaQBvAG4ATgAyAE8ARQBtAGkAcwBzAGkAbwBuAHMAXwBWAGEAcgBpAGEAYgBsAGUAXABuACAAIAA9AEwAQQBNAEIARABBACgAXAAiAEUAXwBhAGQAbwByAGcAYQBuAGkAYwBcACIAKQA7AFwAbgBcAG4AVgBFAEUAUgBHAF8ANQBfADQAXwAxAF8AMwBfAF8AMQBfAE8AcgBnAGEAbgBpAGMARgBlAHIAdABpAGwAaQBzAGUAcgBBAHQAbQBvAHMAcABoAGUAcgBpAGMARABlAHAAbwBzAGkAdABpAG8AbgBOADIATwBFAG0AaQBzAHMAaQBvAG4AcwBfAFUAbgBpAHQAXABuACAAIAA9AEwAQQBNAEIARABBACgAXAAiAHQAIABOADIATwBcACIAKQA7AFwAbgBcAG4AVgBFAEUAUgBHAF8ANQBfADQAXwAxAF8AMwBfAF8AMQBfAE8AcgBnAGEAbgBpAGMARgBlAHIAdABpAGwAaQBzAGUAcgBBAHQAbQBvAHMAcABoAGUAcgBpAGMARABlAHAAbwBzAGkAdABpAG8AbgBOADIATwBFAG0AaQBzAHMAaQBvAG4AcwBfAFMAbwB1AHIAYwBlAFwAbgAgACAAPQBMAEEATQBCAEQAQQAoAFwAIgBWAEUARQBSAEcAIAAyADAAMgA2ADoAIAA1AC4ANAAuADEALgAzACwAIABFAHEAdQBhAHQAaQBvAG4AIAAoADEAKQBcACIAKQA7AFwAbgBcAG4AVgBFAEUAUgBHAF8ANQBfADQAXwAxAF8AMwBfAF8AMQBfAE8AcgBnAGEAbgBpAGMARgBlAHIAdABpAGwAaQBzAGUAcgBBAHQAbQBvAHMAcABoAGUAcgBpAGMARABlAHAAbwBzAGkAdABpAG8AbgBOADIATwBFAG0AaQBzAHMAaQBvAG4AcwBfAE4ASQBSAFIAZQBmAGUAcgBlAG4AYwBlAFwAbgAgACAAPQBMAEEATQBCAEQAQQAoAFwAIgBcACIAKQA7AFwAbgBcAG4AVgBFAEUAUgBHAF8ANQBfADQAXwAxAF8AMwBfAF8AMQBfAE8AcgBnAGEAbgBpAGMARgBlAHIAdABpAGwAaQBzAGUAcgBBAHQAbQBvAHMAcABoAGUAcgBpAGMARABlAHAAbwBzAGkAdABpAG8AbgBOADIATwBFAG0AaQBzAHMAaQBvAG4AcwBfAEwAYQB0AGUAeABFAHEAdQBhAHQAaQBvAG4AXABuACAAIAA9AEwAQQBNAEIARABBACgAXAAiAEUAXwB7AGEAZAAsAG8AcgBnAGEAbgBpAGMAfQA9AFwAXABzAHUAbQBcAFwAbgBvAGwAaQBtAGkAdABzAF8AewBqAH0AXABcAHMAdQBtAFwAXABuAG8AbABpAG0AaQB0AHMAXwB7AGYAfQAoACgATQBfAHsAdgBvAGwALABvAHIAZwBhAG4AaQBjACwAagBmAH0AXABcAHQAaQBtAGUAcwAgAEUARgBfAHsATgAyAE8ALABqAH0AKQBcAFwAdABpAG0AZQBzACAAQwBfAHsATgAyAE8AfQBcAFwAdABpAG0AZQBzACAAMQAwAF4AewAtADMAfQApAFwAIgApADsAXABuAFwAbgBWAEUARQBSAEcAXwA1AF8ANABfADEAXwAzAF8AXwAxAF8AT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bwByAGcAYQBuAGkAYwBqAGYAXAAiACwAXAAiAG0AYQBzAHMAIABvAGYAIABuAGkAdAByAG8AZwBlAG4AIAB2AG8AbABhAHQAaQBsAGkAcwBlAGQAIABmAHIAbwBtACAAbwByAGcAYQBuAGkAYwAgAGYAZQByAHQAaQBsAGkAcwBlAHIAIABhAHAAcABsAGkAZQBkACAAdABvACAAcAByAG8AZAB1AGMAdABpAG8AbgAgAHMAeQBzAHQAZQBtAFwAIgAsACAAXAAiAGsAZwAgAE4AXAAiACwAIABcACIAQwBhAGwAYwB1AGwAYQB0AGUAZAAgAGYAcgBvAG0AIAA1AC4ANAAuADEALgAzACAAKAAyACkAXAAiADsAXABuACAAIAAgACAAIAAgACAAIAAgACAAXAAiAEUARgBfAE4AMgBPAGoAXAAiACwAXAAiAGUAbQBpAHMAcwBpAG8AbgAgAGYAYQBjAHQAbwByACAAZgBvAHIAIABhAHQAbQBvAHMAcABoAGUAcgBpAGMAIABkAGUAcABvAHMAaQB0AGkAbwBuACAAaQBuACAAcAByAG8AZAB1AGMAdABpAG8AbgAgAHMAeQBzAHQAZQBtACAAa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zAF8AXwAyAF8ATQBhAHMAcwBPAGYATgBpAHQAcgBvAGcAZQBuAFYAbwBsAGEAdABpAGwAaQBzAGUAZABGAHIAbwBtAE8AcgBnAGEAbgBpAGMARgBlAHIAdABpAGwAaQBzAGUAcgBcAG4ATQBhAHMAcwAgAG8AZgAgAG4AaQB0AHIAbwBnAGUAbgAgAHYAbwBsAGEAdABpAGwAaQBzAGUAZAAgAGYAcgBvAG0AIABvAHIAZwBhAG4AaQBjACAAZgBlAHIAdABpAGwAaQBzAGUAcgAgAGEAcABwAGwAaQBlAGQAIAB0AG8AIABwAHIAbwBkAHUAYwB0AGkAbwBuACAAcwB5AHMAdABlAG0AXABuAE0AXwB2AG8AbABvAHIAZwBhAG4AaQBjAGoAZgBcAG4AawBnACAATgBcAG4ATQBfAHsAdgBvAGwALABvAHIAZwBhAG4AaQBjACwAagBmAH0APQBNAE4AUwBvAGkAbABfAHsAagBmAH0AXABcAHQAaQBtAGUAcwAgAEYAcgBhAGMARwBBAFMATQBfAHsAcwBvAGkAbAB9AFwAbgBNAE4AUwBvAGkAbABfAGoAZgBcAG4ARgByAGEAYwBHAEEAUwBNAF8AcwBvAGkAbABcAG4AagBcAG4AZgBcAG4ALQAtAC0ALQAtAC0ALQAtAC0ALQAtAC0ALQAtAC0ALQAtAC0ALQAtAC0ALQAtAC0ALQAtAC0ALQAtAC0ALQAtAC0ALQAtAC0ALQAtAFwAbgAqAC8AXABuAFwAbgBWAEUARQBSAEcAXwA1AF8ANABfADEAXwAzAF8AXwAyAF8ATQBhAHMAcwBPAGYATgBpAHQAcgBvAGcAZQBuAFYAbwBsAGEAdABpAGwAaQBzAGUAZABGAHIAbwBtAE8AcgBnAGEAbgBpAGMARgBlAHIAdABpAGwAaQBzAGUAcgBcAG4AIAAgAD0ATABBAE0AQgBEAEEAKABcAG4AIAAgACAAIABNAE4AUwBvAGkAbABfAGoAZgAsACAARgByAGEAYwBHAEEAUwBNAF8AcwBvAGkAbAAsAFwAbgAgACAAIAAgAE0ATgBTAG8AaQBsAF8AagBmACAAKgAgAEYAcgBhAGMARwBBAFMATQBfAHMAbwBpAGwAXABuACAAIAApADsAXABuAFwAbgBWAEUARQBSAEcAXwA1AF8ANABfADEAXwAzAF8AXwAyAF8ATQBhAHMAcwBPAGYATgBpAHQAcgBvAGcAZQBuAFYAbwBsAGEAdABpAGwAaQBzAGUAZABGAHIAbwBtAE8AcgBnAGEAbgBpAGMARgBlAHIAdABpAGwAaQBzAGUAcgBfAFQAaQB0AGwAZQBcAG4AIAAgAD0ATABBAE0AQgBEAEEAKABcACIATQBhAHMAcwAgAG8AZgAgAG4AaQB0AHIAbwBnAGUAbgAgAHYAbwBsAGEAdABpAGwAaQBzAGUAZAAgAGYAcgBvAG0AIABvAHIAZwBhAG4AaQBjACAAZgBlAHIAdABpAGwAaQBzAGUAcgAgAGEAcABwAGwAaQBlAGQAIAB0AG8AIABwAHIAbwBkAHUAYwB0AGkAbwBuACAAcwB5AHMAdABlAG0AXAAiACkAOwBcAG4AXABuAFYARQBFAFIARwBfADUAXwA0AF8AMQBfADMAXwBfADIAXwBNAGEAcwBzAE8AZgBOAGkAdAByAG8AZwBlAG4AVgBvAGwAYQB0AGkAbABpAHMAZQBkAEYAcgBvAG0ATwByAGcAYQBuAGkAYwBGAGUAcgB0AGkAbABpAHMAZQByAF8AVgBhAHIAaQBhAGIAbABlAFwAbgAgACAAPQBMAEEATQBCAEQAQQAoAFwAIgBNAF8AdgBvAGwAbwByAGcAYQBuAGkAYwBqAGYAXAAiACkAOwBcAG4AXABuAFYARQBFAFIARwBfADUAXwA0AF8AMQBfADMAXwBfADIAXwBNAGEAcwBzAE8AZgBOAGkAdAByAG8AZwBlAG4AVgBvAGwAYQB0AGkAbABpAHMAZQBkAEYAcgBvAG0ATwByAGcAYQBuAGkAYwBGAGUAcgB0AGkAbABpAHMAZQByAF8AVQBuAGkAdABcAG4AIAAgAD0ATABBAE0AQgBEAEEAKABcACIAawBnACAATgBcACIAKQA7AFwAbgBcAG4AVgBFAEUAUgBHAF8ANQBfADQAXwAxAF8AMwBfAF8AMgBfAE0AYQBzAHMATwBmAE4AaQB0AHIAbwBnAGUAbgBWAG8AbABhAHQAaQBsAGkAcwBlAGQARgByAG8AbQBPAHIAZwBhAG4AaQBjAEYAZQByAHQAaQBsAGkAcwBlAHIAXwBTAG8AdQByAGMAZQBcAG4AIAAgAD0ATABBAE0AQgBEAEEAKABcACIAVgBFAEUAUgBHACAAMgAwADIANgA6ACAANQAuADQALgAxAC4AMwAsACAARQBxAHUAYQB0AGkAbwBuACAAKAAyACkAXAAiACkAOwBcAG4AXABuAFYARQBFAFIARwBfADUAXwA0AF8AMQBfADMAXwBfADIAXwBNAGEAcwBzAE8AZgBOAGkAdAByAG8AZwBlAG4AVgBvAGwAYQB0AGkAbABpAHMAZQBkAEYAcgBvAG0ATwByAGcAYQBuAGkAYwBGAGUAcgB0AGkAbABpAHMAZQByAF8ATgBJAFIAUgBlAGYAZQByAGUAbgBjAGUAXABuACAAIAA9AEwAQQBNAEIARABBACgAXAAiAFwAIgApADsAXABuAFwAbgBWAEUARQBSAEcAXwA1AF8ANABfADEAXwAzAF8AXwAyAF8ATQBhAHMAcwBPAGYATgBpAHQAcgBvAGcAZQBuAFYAbwBsAGEAdABpAGwAaQBzAGUAZABGAHIAbwBtAE8AcgBnAGEAbgBpAGMARgBlAHIAdABpAGwAaQBzAGUAcgBfAEwAYQB0AGUAeABFAHEAdQBhAHQAaQBvAG4AXABuACAAIAA9AEwAQQBNAEIARABBACgAXAAiAE0AXwB7AHYAbwBsACwAbwByAGcAYQBuAGkAYwAsAGoAZgB9AD0ATQBOAFMAbwBpAGwAXwB7AGoAZgB9AFwAXAB0AGkAbQBlAHMAIABGAHIAYQBjAEcAQQBTAE0AXwB7AHMAbwBpAGwAfQBcACIAKQA7AFwAbgBcAG4AVgBFAEUAUgBHAF8ANQBfADQAXwAxAF8AMwBfAF8AMgBfAE0AYQBzAHMATwBmAE4AaQB0AHIAbwBnAGUAbgBWAG8AbABhAHQAaQBsAGkAcwBlAGQARgByAG8AbQBP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YAcgBhAGMARwBBAFMATQBfAHMAbwBpAGwAXAAiACwAXAAiAGYAcgBhAGMAdABpAG8AbgAgAG8AZgAgAG8AcgBnAGEAbgBpAGMAIABmAGUAcgB0AGkAbABpAHMAZQByACAATgAgAHQAaABhAHQAIAB2AG8AbABhAHQAaQBsAGkAcwBlAH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GAGUAcgB0AGkAbABpAHMAZQByAF8ARQBxAHUAYQB0AGkAbwBuAHMAXwBMAGUAYQBjAGgAaQBuAGcAQQBuAGQAUgB1AG4AbwBmAGY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1ACAATABlAGEAYwBoAGkAbgBnACAAYQBuAGQAIAByAHUAbgAtAG8AZgBmACAAcgBlAHMAdQBsAHQAaQBuAGcAIABmAHIAbwBt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QBfADEAXwAxAF8AXwAxAF8ARgBlAHIAdABpAGwAaQBzAGUAcgBMAGUAYQBjAGgAaQBuAGcAQQBuAGQAUgB1AG4AbwBmAGYATgAyAE8ARQBtAGkAcwBzAGkAbwBuAHMAXABu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bgBFAF8AZgBlAHIAdABsAGUAYQBjAGgAXABuAHQAIABOADIATwBcAG4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BuAE0AXwBsAGUAYQBjAGgAaQBuAG8AcgBnAGEAbgBpAGMAagBcAG4ATQBfAGwAZQBhAGMAaABvAHIAZwBhAG4AaQBjAGoAXABuAEUARgBfAGwAZQBhAGMAaABcAG4AQwBfAE4AMgBPAFwAbgBqAFwAbgAtAC0ALQAtAC0ALQAtAC0ALQAtAC0ALQAtAC0ALQAtAC0ALQAtAC0ALQAtAC0ALQAtAC0ALQAtAC0ALQAtAC0ALQAtAC0ALQAtAC0AXABuACoALwBcAG4AXABuAFYARQBFAFIARwBfADUAXwA1AF8AMQBfADEAXwBfADEAXwBGAGUAcgB0AGkAbABpAHMAZQByAEwAZQBhAGMAaABpAG4AZwBBAG4AZABSAHUAbgBvAGYAZgBOADIATwBFAG0AaQBzAHMAaQBvAG4AcwBcAG4AIAAgAD0ATABBAE0AQgBEAEEAKABcAG4AIAAgACAAIABNAF8AbABlAGEAYwBoAGkAbgBvAHIAZwBhAG4AaQBjAGoALAAgAE0AXwBsAGUAYQBjAGgAbwByAGcAYQBuAGkAYwBqACwAIABFAEYAXwBsAGUAYQBjAGgALAAgAEMAXwBOADIATwAsAFwAbgAgACAAIAAgACgATQBfAGwAZQBhAGMAaABpAG4AbwByAGcAYQBuAGkAYwBqACAAKwAgAE0AXwBsAGUAYQBjAGgAbwByAGcAYQBuAGkAYwBqACkAIAAqACAARQBGAF8AbABlAGEAYwBoACAAKgAgAEMAXwBOADIATwAgACoAIAAxADAAIABeACAALQAzAFwAbgAgACAAKQA7AFwAbgBcAG4AVgBFAEUAUgBHAF8ANQBfADUAXwAxAF8AMQBfAF8AMQBfAEYAZQByAHQAaQBsAGkAcwBlAHIATABlAGEAYwBoAGkAbgBnAEEAbgBkAFIAdQBuAG8AZgBmAE4AMgBPAEUAbQBpAHMAcwBpAG8AbgBzAF8AVABpAHQAbABlAFwAbgAgACAAPQBMAEEATQBCAEQAQQAoAFwAI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CIAKQA7AFwAbgBcAG4AVgBFAEUAUgBHAF8ANQBfADUAXwAxAF8AMQBfAF8AMQBfAEYAZQByAHQAaQBsAGkAcwBlAHIATABlAGEAYwBoAGkAbgBnAEEAbgBkAFIAdQBuAG8AZgBmAE4AMgBPAEUAbQBpAHMAcwBpAG8AbgBzAF8AVgBhAHIAaQBhAGIAbABlAFwAbgAgACAAPQBMAEEATQBCAEQAQQAoAFwAIgBFAF8AZgBlAHIAdABsAGUAYQBjAGgAXAAiACkAOwBcAG4AXABuAFYARQBFAFIARwBfADUAXwA1AF8AMQBfADEAXwBfADEAXwBGAGUAcgB0AGkAbABpAHMAZQByAEwAZQBhAGMAaABpAG4AZwBBAG4AZABSAHUAbgBvAGYAZgBOADIATwBFAG0AaQBzAHMAaQBvAG4AcwBfAFUAbgBpAHQAXABuACAAIAA9AEwAQQBNAEIARABBACgAXAAiAHQAIABOADIATwBcACIAKQA7AFwAbgBcAG4AVgBFAEUAUgBHAF8ANQBfADUAXwAxAF8AMQBfAF8AMQBfAEYAZQByAHQAaQBsAGkAcwBlAHIATABlAGEAYwBoAGkAbgBnAEEAbgBkAFIAdQBuAG8AZgBmAE4AMgBPAEUAbQBpAHMAcwBpAG8AbgBzAF8AUwBvAHUAcgBjAGUAXABuACAAIAA9AEwAQQBNAEIARABBACgAXAAiAFYARQBFAFIARwAgADIAMAAyADYAOgAgADUALgA1ACwAIABFAHEAdQBhAHQAaQBvAG4AIAAoADEAKQBcACIAKQA7AFwAbgBcAG4AVgBFAEUAUgBHAF8ANQBfADUAXwAxAF8AMQBfAF8AMQBfAEYAZQByAHQAaQBsAGkAcwBlAHIATABlAGEAYwBoAGkAbgBnAEEAbgBkAFIAdQBuAG8AZgBmAE4AMgBPAEUAbQBpAHMAcwBpAG8AbgBzAF8ATgBJAFIAUgBlAGYAZQByAGUAbgBjAGUAXABuACAAIAA9AEwAQQBNAEIARABBACgAXAAiAFwAIgApADsAXABuAFwAbgBWAEUARQBSAEcAXwA1AF8ANQBfADEAXwAxAF8AXwAxAF8ARgBlAHIAdABpAGwAaQBzAGUAcgBMAGUAYQBjAGgAaQBuAGcAQQBuAGQAUgB1AG4AbwBmAGYATgAyAE8ARQBtAGkAcwBzAGkAbwBuAHMAXwBMAGEAdABlAHgARQBxAHUAYQB0AGkAbwBuAFwAbgAgACAAPQBMAEEATQBCAEQAQQAoAFwAI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CIAKQA7AFwAbgBcAG4AVgBFAEUAUgBHAF8ANQBfADUAXwAxAF8AMQBfAF8AMQBfAEYAZQByAHQAaQBsAGkAcwBlAHIATABlAGEAYwBoAGkAbgBnAEEAbgBkAFIAdQBuAG8AZgBmAE4AMgBPAEUAbQBpAHMAcwBpAG8AbgBzAF8AQQByAGcAdQBtAGUAbgB0AHMAXABuACAAIAA9AEwAQQBNAEIARABBACgAXABuACAAIAAgACAATQBBAEsARQBBAFIAUgBBAFkAKAA0ACwAIAA0ACwAIABcAG4AIAAgACAAIAAgACAATABBAE0AQgBEAEEAKAByACwAYwAsACAAXABuACAAIAAgACAAIAAgACAAIABJAE4ARABFAFgAKAB7AFwAbgAgACAAIAAgACAAIAAgACAAIAAgAFwAIgBNAF8AbABlAGEAYwBoAGkAbgBvAHIAZwBhAG4AaQBjAGoAXAAiACwAXAAiAG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LAAgAFwAIgBrAGcAIABOAFwAIgAsACAAXAAiAEMAYQBsAGMAdQBsAGEAdABlAGQAIABmAHIAbwBtACAANQAuADUALgAxAC4AMQAgACgAMgApAFwAIgA7AFwAbgAgACAAIAAgACAAIAAgACAAIAAgAFwAIgBNAF8AbABlAGEAYwBoAG8AcgBnAGEAbgBpAGMAagBcACIALABcACIAbQBhAHMAcwAgAG8AZgAgAG4AaQB0AHIAbwBnAGUAbgAgAGwAbwBzAHQAIAB0AGgAcgBvAHUAZwBoACAAbABlAGEAYwBoAGkAbgBnACAAYQBuAGQAIAByAHUAbgBvAGYAZgAgAGYAcgBvAG0AIABvAHIAZwBhAG4AaQBjACAAZgBlAHIAdABpAGwAaQBzAGUAcgAgAGEAcABwAGwAaQBjAGEAdABpAG8AbgBcACIALAAgAFwAIgBrAGcAIABOAFwAIgAsACAAXAAiAEMAYQBsAGMAdQBsAGEAdABlAGQAIABmAHIAbwBtACAANQAuADUALgAxAC4AMQAgACgAMwApAFwAIgA7AFwAbgAgACAAIAAgACAAIAAgACAAIAAgAFwAIgBFAEYAXwBsAGUAYQBjAGgAXAAiACwAXAAiAGUAbQBpAHMAcwBpAG8AbgAgAGYAYQBjAHQAbwByACAAZgBvAHIAIABuAGkAdAByAG8AZwBlAG4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gBfAE0AYQBzAHMATwBmAE4AaQB0AHIAbwBnAGUAbgBMAGUAYQBjAGgAZQBkAEYAcgBvAG0ASQBuAG8AcgBnAGEAbgBpAGMARgBlAHIAdABpAGwAaQBzAGUAcgBcAG4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bgBNAF8AbABlAGEAYwBoAGkAbgBvAHIAZwBhAG4AaQBjAGoAXABuAGsAZwAgAE4AXABuAE0AXwB7AGwAZQBhAGMAaAAsAGkAbgBvAHIAZwBhAG4AaQBjACwAagB9AD0AXABcAHMAdQBtAF8AewBmAH0AKAB7AE0ATgB9AF8AewBqAGYAfQBcAFwAdABpAG0AZQBzACAARgByAGEAYwBfAHsAVwBFAFQALABqAH0AXABcAHQAaQBtAGUAcwAgAEYAcgBhAGMAXwB7AEwARQBBAEMASAB9ACkAXABuAE0ATgBfAGoAZgBcAG4ARgByAGEAYwBXAEUAVABqAFwAbgBGAHIAYQBjAEwARQBBAEMASABcAG4AagBcAG4AZgBcAG4ALQAtAC0ALQAtAC0ALQAtAC0ALQAtAC0ALQAtAC0ALQAtAC0ALQAtAC0ALQAtAC0ALQAtAC0ALQAtAC0ALQAtAC0ALQAtAC0ALQAtAFwAbgAqAC8AXABuAFwAbgBWAEUARQBSAEcAXwA1AF8ANQBfADEAXwAxAF8AXwAyAF8ATQBhAHMAcwBPAGYATgBpAHQAcgBvAGcAZQBuAEwAZQBhAGMAaABlAGQARgByAG8AbQBJAG4AbwByAGcAYQBuAGkAYwBGAGUAcgB0AGkAbABpAHMAZQByAFwAbgAgACAAPQBMAEEATQBCAEQAQQAoAFwAbgAgACAAIAAgAE0ATgBfAGoAZgAsACAARgByAGEAYwBXAEUAVABqACwAIABGAHIAYQBjAEwARQBBAEMASAAsAFwAbgAgACAAIAAgAE0ATgBfAGoAZgAgACoAIABGAHIAYQBjAFcARQBUAGoAIAAqACAARgByAGEAYwBMAEUAQQBDAEgAXABuACAAIAApADsAXABuAFwAbgBWAEUARQBSAEcAXwA1AF8ANQBfADEAXwAxAF8AXwAyAF8ATQBhAHMAcwBPAGYATgBpAHQAcgBvAGcAZQBuAEwAZQBhAGMAaABlAGQARgByAG8AbQBJAG4AbwByAGcAYQBuAGkAYwBGAGUAcgB0AGkAbABpAHMAZQByAF8AVABpAHQAbABlAFwAbgAgACAAPQBMAEEATQBCAEQAQQAoAFwAI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kAOwBcAG4AXABuAFYARQBFAFIARwBfADUAXwA1AF8AMQBfADEAXwBfADIAXwBNAGEAcwBzAE8AZgBOAGkAdAByAG8AZwBlAG4ATABlAGEAYwBoAGUAZABGAHIAbwBtAEkAbgBvAHIAZwBhAG4AaQBjAEYAZQByAHQAaQBsAGkAcwBlAHIAXwBWAGEAcgBpAGEAYgBsAGUAXABuACAAIAA9AEwAQQBNAEIARABBACgAXAAiAE0AXwBsAGUAYQBjAGgAaQBuAG8AcgBnAGEAbgBpAGMAagBcACIAKQA7AFwAbgBcAG4AVgBFAEUAUgBHAF8ANQBfADUAXwAxAF8AMQBfAF8AMgBfAE0AYQBzAHMATwBmAE4AaQB0AHIAbwBnAGUAbgBMAGUAYQBjAGgAZQBkAEYAcgBvAG0ASQBuAG8AcgBnAGEAbgBpAGMARgBlAHIAdABpAGwAaQBzAGUAcgBfAFUAbgBpAHQAXABuACAAIAA9AEwAQQBNAEIARABBACgAXAAiAGsAZwAgAE4AXAAiACkAOwBcAG4AXABuAFYARQBFAFIARwBfADUAXwA1AF8AMQBfADEAXwBfADIAXwBNAGEAcwBzAE8AZgBOAGkAdAByAG8AZwBlAG4ATABlAGEAYwBoAGUAZABGAHIAbwBtAEkAbgBvAHIAZwBhAG4AaQBjAEYAZQByAHQAaQBsAGkAcwBlAHIAXwBTAG8AdQByAGMAZQBcAG4AIAAgAD0ATABBAE0AQgBEAEEAKABcACIAVgBFAEUAUgBHACAAMgAwADIANgA6ACAANQAuADUALAAgAEUAcQB1AGEAdABpAG8AbgAgACgAMgApAFwAIgApADsAXABuAFwAbgBWAEUARQBSAEcAXwA1AF8ANQBfADEAXwAxAF8AXwAyAF8ATQBhAHMAcwBPAGYATgBpAHQAcgBvAGcAZQBuAEwAZQBhAGMAaABlAGQARgByAG8AbQBJAG4AbwByAGcAYQBuAGkAYwBGAGUAcgB0AGkAbABpAHMAZQByAF8ATgBJAFIAUgBlAGYAZQByAGUAbgBjAGUAXABuACAAIAA9AEwAQQBNAEIARABBACgAXAAiAFwAIgApADsAXABuAFwAbgBWAEUARQBSAEcAXwA1AF8ANQBfADEAXwAxAF8AXwAyAF8ATQBhAHMAcwBPAGYATgBpAHQAcgBvAGcAZQBuAEwAZQBhAGMAaABlAGQARgByAG8AbQBJAG4AbwByAGcAYQBuAGkAYwBGAGUAcgB0AGkAbABpAHMAZQByAF8ATABhAHQAZQB4AEUAcQB1AGEAdABpAG8AbgBcAG4AIAAgAD0ATABBAE0AQgBEAEEAKABcACIATQBfAHsAbABlAGEAYwBoACwAaQBuAG8AcgBnAGEAbgBpAGMALABqAH0APQBcAFwAcwB1AG0AXABcAG4AbwBsAGkAbQBpAHQAcwBfAHsAZgB9AFwAXABsAGUAZgB0ACgAewBNAE4AfQBfAHsAagBmAH0AXABcAHQAaQBtAGUAcwAgAEYAcgBhAGMAXwB7AFcARQBUACwAagB9AFwAXAB0AGkAbQBlAHMAIABGAHIAYQBjAF8AewBMAEUAQQBDAEgAfQBcAFwAcgBpAGcAaAB0ACkAXAAiACkAOwBcAG4AXABuAFYARQBFAFIARwBfADUAXwA1AF8AMQBfADEAXwBfADIAXwBNAGEAcwBzAE8AZgBOAGkAdAByAG8AZwBlAG4ATABlAGEAYwBoAGUAZABGAHIAbwBtAEkAbgBv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BcACIALAAgAFwAIgBrAGcAIABOAFwAIgAsACAAXAAiAEMAYQBsAGMAdQBsAGEAdABlAGQAIABmAHIAbwBtACAANQAuADE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AgACAAXAAiAHoAXAAiACwAXAAiAGwAbwBjAGEAdABpAG8AbgAgAGkAbgAgAGwAZQBhAGMAaABpAG4AZwAgAHoAbwBuAGUAXAAiACwAIABcACIAXAAiACwAIABcACIASQBuAHAAdQB0AFwAIgA7AFwAbgAgACAAIAAgACAAIAAgACAAIAAgACAAIABcACIAagBcACIALABcACIAcAByAG8AZAB1AGMAdABpAG8AbgAgAHMAeQBzAHQAZQBtAFwAIgAsACAAXAAiAFwAIgAsACAAXAAiAEkAbgBwAHUAdABcACIAOwBcAG4AIAAgACAAIAAgACAAIAAgACAAIAAgACAAXAAiAGkAcgBcACIALABcACIAaQByAHIAaQBnAGEAdABpAG8AbgAgAG0AZQB0AGgAbwBk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MAXwBNAGEAcwBzAE8AZgBOAGkAdAByAG8AZwBlAG4ATABlAGEAYwBoAGUAZABGAHIAbwBtAE8AcgBnAGEAbgBpAGMARgBlAHIAdABpAGwAaQBzAGUAcgBcAG4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BuAE0AXwBsAGUAYQBjAGgAbwByAGcAYQBuAGkAYwBqAFwAbgBrAGcAIABOAFwAbgBNAF8AewBsAGUAYQBjAGgALABvAHIAZwBhAG4AaQBjACwAagB9AD0AXABcAHMAdQBtAF8AewBmAH0AKAB7AE0ATgBTAG8AaQBsAH0AXwB7AGoAZgB9AFwAXAB0AGkAbQBlAHMAIABGAHIAYQBjAF8AewBXAEUAVAAsAGoAfQBcAFwAdABpAG0AZQBzACAARgByAGEAYwBfAHsATABFAEEAQwBIAH0AKQBcAG4ATQBOAFMAbwBpAGwAXwBqAGYAXABuAEYAcgBhAGMAVwBFAFQAagBcAG4ARgByAGEAYwBMAEUAQQBDAEgAXABuAGoAXABuAGYAXABuAC0ALQAtAC0ALQAtAC0ALQAtAC0ALQAtAC0ALQAtAC0ALQAtAC0ALQAtAC0ALQAtAC0ALQAtAC0ALQAtAC0ALQAtAC0ALQAtAC0ALQBcAG4AKgAvAFwAbgBcAG4AVgBFAEUAUgBHAF8ANQBfADUAXwAxAF8AMQBfAF8AMwBfAE0AYQBzAHMATwBmAE4AaQB0AHIAbwBnAGUAbgBMAGUAYQBjAGgAZQBkAEYAcgBvAG0ATwByAGcAYQBuAGkAYwBGAGUAcgB0AGkAbABpAHMAZQByAFwAbgAgACAAPQBMAEEATQBCAEQAQQAoAFwAbgAgACAAIAAgAE0ATgBTAG8AaQBsAF8AagBmACwAIABGAHIAYQBjAFcARQBUAGoALAAgAEYAcgBhAGMATABFAEEAQwBIACwAXABuACAAIAAgACAATQBOAFMAbwBpAGwAXwBqAGYAIAAqACAARgByAGEAYwBXAEUAVABqACAAKgAgAEYAcgBhAGMATABFAEEAQwBIAFwAbgAgACAAKQA7AFwAbgBcAG4AVgBFAEUAUgBHAF8ANQBfADUAXwAxAF8AMQBfAF8AMwBfAE0AYQBzAHMATwBmAE4AaQB0AHIAbwBnAGUAbgBMAGUAYQBjAGgAZQBkAEYAcgBvAG0ATwByAGcAYQBuAGkAYwBGAGUAcgB0AGkAbABpAHMAZQByAF8AVABpAHQAbABlAFwAbgAgACAAPQBMAEEATQBCAEQAQQAoAFwAI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CIAKQA7AFwAbgBcAG4AVgBFAEUAUgBHAF8ANQBfADUAXwAxAF8AMQBfAF8AMwBfAE0AYQBzAHMATwBmAE4AaQB0AHIAbwBnAGUAbgBMAGUAYQBjAGgAZQBkAEYAcgBvAG0ATwByAGcAYQBuAGkAYwBGAGUAcgB0AGkAbABpAHMAZQByAF8AVgBhAHIAaQBhAGIAbABlAFwAbgAgACAAPQBMAEEATQBCAEQAQQAoAFwAIgBNAF8AbABlAGEAYwBoAG8AcgBnAGEAbgBpAGMAagBcACIAKQA7AFwAbgBcAG4AVgBFAEUAUgBHAF8ANQBfADUAXwAxAF8AMQBfAF8AMwBfAE0AYQBzAHMATwBmAE4AaQB0AHIAbwBnAGUAbgBMAGUAYQBjAGgAZQBkAEYAcgBvAG0ATwByAGcAYQBuAGkAYwBGAGUAcgB0AGkAbABpAHMAZQByAF8AVQBuAGkAdABcAG4AIAAgAD0ATABBAE0AQgBEAEEAKABcACIAawBnACAATgBcACIAKQA7AFwAbgBcAG4AVgBFAEUAUgBHAF8ANQBfADUAXwAxAF8AMQBfAF8AMwBfAE0AYQBzAHMATwBmAE4AaQB0AHIAbwBnAGUAbgBMAGUAYQBjAGgAZQBkAEYAcgBvAG0ATwByAGcAYQBuAGkAYwBGAGUAcgB0AGkAbABpAHMAZQByAF8AUwBvAHUAcgBjAGUAXABuACAAIAA9AEwAQQBNAEIARABBACgAXAAiAFYARQBFAFIARwAgADIAMAAyADYAOgAgADUALgA1ACwAIABFAHEAdQBhAHQAaQBvAG4AIAAoADMAKQBcACIAKQA7AFwAbgBcAG4AVgBFAEUAUgBHAF8ANQBfADUAXwAxAF8AMQBfAF8AMwBfAE0AYQBzAHMATwBmAE4AaQB0AHIAbwBnAGUAbgBMAGUAYQBjAGgAZQBkAEYAcgBvAG0ATwByAGcAYQBuAGkAYwBGAGUAcgB0AGkAbABpAHMAZQByAF8ATgBJAFIAUgBlAGYAZQByAGUAbgBjAGUAXABuACAAIAA9AEwAQQBNAEIARABBACgAXAAiAFwAIgApADsAXABuAFwAbgBWAEUARQBSAEcAXwA1AF8ANQBfADEAXwAxAF8AXwAzAF8ATQBhAHMAcwBPAGYATgBpAHQAcgBvAGcAZQBuAEwAZQBhAGMAaABlAGQARgByAG8AbQBPAHIAZwBhAG4AaQBjAEYAZQByAHQAaQBsAGkAcwBlAHIAXwBMAGEAdABlAHgARQBxAHUAYQB0AGkAbwBuAFwAbgAgACAAPQBMAEEATQBCAEQAQQAoAFwAIgBNAF8AewBsAGUAYQBjAGgALABvAHIAZwBhAG4AaQBjACwAagB9AD0AXABcAHMAdQBtAFwAXABuAG8AbABpAG0AaQB0AHMAXwB7AGYAfQBcAFwAbABlAGYAdAAoAHsATQBOAFMAbwBpAGwAfQBfAHsAagBmAH0AXABcAHQAaQBtAGUAcwAgAEYAcgBhAGMAXwB7AFcARQBUACwAagB9AFwAXAB0AGkAbQBlAHMAIABGAHIAYQBjAF8AewBMAEUAQQBDAEgAfQBcAFwAcgBpAGcAaAB0ACkAXAAiACkAOwBcAG4AXABuAFYARQBFAFIARwBfADUAXwA1AF8AMQBfADEAXwBfADMAXwBNAGEAcwBzAE8AZgBOAGkAdAByAG8AZwBlAG4ATABlAGEAYwBoAGUAZABGAHIAbwBtAE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BcACIALAAgAFwAIgBrAGcAIABOAFwAIgAsACAAXAAiAEMAYQBsAGMAdQBsAGEAdABlAGQAIABmAHIAbwBtACAANQAuADI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BcACIAbABvAGMAYQB0AGkAbwBuACAAaQBuACAAbABlAGEAYwBoAGkAbgBnACAAegBvAG4AZQBcACIALAAgAFwAIgBcACIALAAgAFwAIgBJAG4AcAB1AHQAXAAiADsAXABuACAAIAAgACAAIAAgACAAIAAgACAAXAAiAGoAXAAiACwAXAAiAHAAcgBvAGQAdQBjAHQAaQBvAG4AIABzAHkAcwB0AGUAbQBcACIALAAgAFwAIgBcACIALAAgAFwAIgBJAG4AcAB1AHQAXAAiADsAXABuACAAIAAgACAAIAAgACAAIAAgACAAXAAiAGkAcgBcACIALABcACIAaQByAHIAaQBnAGEAdABpAG8AbgAgAG0AZQB0AGgAbwBkAFwAIgAsACAAXAAiAFwAIgAsACAAXAAiAEkAbgBwAHUAdABcACIAXABuACAAIAAgACAAIAAgACAAIAB9ACwAIAByACwAIABjACkAXABuACAAIAAgACAAIAAgACkAXABuACAAIAAgACAAKQBcAG4AIAAgACkAOwBcAG4AIgB9ACwAewAiAHAAYQB0AGgAIgA6ACIALwBwAHIAbwBqAGUAYwB0AHMALwBBAGcAcgBlAHMAaQBkAHUAZQBfAFMAbwB1AHIAYwBlAEQAYQB0AGEAIgAsACIAdABlAHgAdAAiADoAIg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JwBOAC8AQQAn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JwBBAGwAbAAgAG8AdABoAGUAcgAgAGMAcgBvAHAAIAB0AHkAcABlAHMAJwAgAGkAbgB0AG8AIABpAG4AZABpAHYAaQBkAHUAYQBsACAAYwByAG8AcAAgAHQAeQBwAGUAcwAgAGYAbwByACAAZQBhAGMAaAAgAHMAdABhAHQAZQAuACAATABpAHMAdABlAGQAIABhAGwAbAAgAHMAdABhAHQAZQBzACAAZgBvAHIAIABTAHUAZwBhAHIAIABDAGEAbgBlACwAIAB3AGkAdABoACAAJwBOAC8AQQAn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fAHsAYwB9AHsATQBfAHsAYwB9AFwAXAB0AGkAbQBlAHMAIABFAEYAXwB7AE4AfQBcAFwAdABpAG0AZQBzACAAQwBfAHsAZwAsAE4AMgBPAH0AXABcAHQAaQBtAGUAcwAgADEAMABeAHsALQAzAH0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ZABpAG0AZQBuAHMAaQBvAG4AbABlAHMAcw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kAGkAbQBlAG4AcwBpAG8AbgBsAGUAcwBzAFwAIgAsACAAXAAiAEMAbwBuAHMAdABhAG4AdABcACIAOwBcAG4AIAAgACAAIAAgACAAIAAgACAAIABcACIARgBfAGMAXAAiACwAXAAiAGYAcgBhAGMAdABpAG8AbgAgAG8AZgAgAGMAcgBvAHAAIAByAGUAcwBpAGQAdQBlACAAdABoAGEAdAAgAGkAcwAgAGIAdQByAG4AdAAgAGYAbwByACAAYwByAG8AcAAgAGMAXAAiACwAIABcACIAZABpAG0AZQBuAHMAaQBvAG4AbABlAHMAcwBcACIALAAgAFwAIgBJAG4AcAB1AHQAXAAiADsAXABuACAAIAAgACAAIAAgACAAIAAgACAAXAAiAEYARgBPAEQAXwBjAFwAIgAsAFwAIgBmAHIAYQBjAHQAaQBvAG4AIABvAGYAIAB0AGgAZQAgAGMAcgBvAHAAIAByAGUAcwBpAGQAdQBlACAAdABoAGEAdAAgAGkAcwAgAHIAZQBtAG8AdgBlAGQAIABmAG8AcgAgAGMAcgBvAHAAIABjAFwAIgAsACAAXAAiAGQAaQBtAGUAbgBzAGkAbwBuAGwAZQBzAHM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kAGkAbQBlAG4AcwBpAG8AbgBsAGUAcwBz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GQAaQBtAGUAbgBzAGkAbwBuAGwAZQBzAHMAXAAiACwAIABcACIAQwBvAG4AcwB0AGEAbgB0AFwAIgA7AFwAbgAgACAAIAAgACAAIAAgACAAIAAgAFwAIgBGAF8AYwBcACIALABcACIAZgByAGEAYwB0AGkAbwBuACAAbwBmACAAYwByAG8AcAAgAHIAZQBzAGkAZAB1AGUAIAB0AGgAYQB0ACAAaQBzACAAYgB1AHIAbgB0ACAAZgBvAHIAIABjAHIAbwBwACAAYwBcACIALAAgAFwAIgBkAGkAbQBlAG4AcwBpAG8AbgBsAGUAcwBzAFwAIgAsACAAXAAiAEkAbgBwAHUAdABcACIAOwBcAG4AIAAgACAAIAAgACAAIAAgACAAIABcACIARgBGAE8ARABfAGMAXAAiACwAXAAiAGYAcgBhAGMAdABpAG8AbgAgAG8AZgAgAHQAaABlACAAYwByAG8AcAAgAHIAZQBzAGkAZAB1AGUAIAB0AGgAYQB0ACAAaQBzACAAcgBlAG0AbwB2AGUAZAAgAGYAbwByACAAYwByAG8AcAAgAGMAXAAiACwAIABcACIAZABpAG0AZQBuAHMAaQBvAG4AbABlAHMAcw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kAGkAbQBlAG4AcwBpAG8AbgBsAGUAcwBz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ZABpAG0AZQBuAHMAaQBvAG4AbABlAHMAcwBcACIALAAgAFwAIgBJAG4AcAB1AHQAXAAiADsAXABuACAAIAAgACAAIAAgACAAIAAgACAAXAAiAGMAXAAiACwAXAAiAEMAcgBvAHAAIAB0AHkAcABlAFwAIgAsACAAXAAiAFwAIgAsACAAXAAiAEkAbgBwAHUAdABcACIAXABuACAAIAAgACAAIAAgACAAIAB9ACwAIAByACwAIABjACkAXABuACAAIAAgACAAIAAgACkAXABuACAAIAAgACAAKQBcAG4AIAAgACkAOwBcAG4AXABuAFYARQBFAFIARwBfADYAXwAxAF8AMQBfADIAXwBfADEAXwBfAEYAcgBhAGMAdABpAG8AbgBPAGYAQwByAG8AcABSAGUAcwBpAGQAdQBlAFIAZQBtAG8AdgBlAGQAQgBhAGwAZQBkAF8AVgBhAHIAaQBhAHQAaQBvAG4AXABuACAAIAA9AEwAQQBNAEIARABBACgAXAAiAFYAQQBSAEkAQQBUAEkATwBOACAARgBSAE8ATQAgAFMATwBVAFIAQwBFADoAIABBAGQAZABlAGQAIAAnAGIAYQBsAGUAZAAnACAAdABvACAAdgBhAHIAaQBhAGIAbABlACAAcwB1AGIAcwBjAHIAaQBwAHQ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BWAEUARQBSAEcAXwA2AF8AMQBfADEAXwAyAF8AXwAxAGEAXwBfAEYAcgBhAGMAdABpAG8AbgBPAGYAQwByAG8AcABSAGUAcwBpAGQAdQBlAFIAZQBtAG8AdgBlAGQAXABuACAAIAA9AEwAQQBNAEIARABBACgAXABuACAAIAAgACAARgBGAE8ARABfAGMAYgBhAGwAZQBkACwAIABGAEYATwBEAF8AYwBvAHQAaABlAHIALABcAG4AIAAgACAAIABGAEYATwBEAF8AYwBiAGEAbABlAGQAIAArACAARgBGAE8ARABfAGMAbwB0AGgAZQByAFwAbgAgACAAKQBcAG4AOwBcAG4AXABuAFYARQBFAFIARwBfADYAXwAxAF8AMQBfADIAXwBfADEAYQBfAF8ARgByAGEAYwB0AGkAbwBuAE8AZgBDAHIAbwBwAFIAZQBzAGkAZAB1AGUAUgBlAG0AbwB2AGUAZABfAFQAaQB0AGwAZQBcAG4AIAAgAD0ATABBAE0AQgBEAEEAKABcACIARgByAGEAYwB0AGkAbwBuACAAbwBmACAAYwByAG8AcAAgAHIAZQBzAGkAZAB1AGUAIAB0AGgAYQB0ACAAaQBzACAAcgBlAG0AbwB2AGUAZAAgAGYAbwByACAAYwByAG8AcAAgAGMAXAAiACkAOwBcAG4AXABuAFYARQBFAFIARwBfADYAXwAxAF8AMQBfADIAXwBfADEAYQBfAF8ARgByAGEAYwB0AGkAbwBuAE8AZgBDAHIAbwBwAFIAZQBzAGkAZAB1AGUAUgBlAG0AbwB2AGUAZABfAFYAYQByAGkAYQBiAGwAZQBcAG4AIAAgAD0ATABBAE0AQgBEAEEAKABcACIARgBGAE8ARABf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0ACwAIABcAG4AIAAgACAAIAAgACAATABBAE0AQgBEAEEAKAByACwAYwAsACAAXABuACAAIAAgACAAIAAgACAAIABJAE4ARABFAFgAKAB7AFwAbgAgACAAIAAgACAAIAAgACAAIAAgAFwAIgBGAEYATwBEAF8AYwBiAGEAbABlAGQAXAAiACwAXAAiAEYAcgBhAGMAdABpAG8AbgAgAG8AZgAgAGMAcgBvAHAAIAByAGUAcwBpAGQAdQBlACAAdABoAGEAdAAgAGkAcwAgAHIAZQBtAG8AdgBlAGQAIABmAG8AcgAgAGMAcgBvAHAAIABjACwAIABjAGEAbABjAHUAbABhAHQAZQBkACAAdwBoAGUAcgBlACAAcgBlAHMAaQBkAHUAZQBzACAAYQByAGUAIABiAGEAbABlAGQAXAAiACwAIABcACIAZgByAGEAYwB0AGkAbwBuAFwAIgAsACAAXAAiAEMAYQBsAGMAdQBsAGEAdABlAGQAIABmAHIAbwBtACAANgAuADEALgAxAC4AMgAsACAAKAAxACkAXAAiADsAXABuACAAIAAgACAAIAAgACAAIAAgACAAXAAiAEYARgBPAEQAXwBjAG8AdABoAGUAcgBcACIALABcACIARgByAGEAYwB0AGkAbwBuACAAbwBmACAAYwByAG8AcAAgAHIAZQBzAGkAZAB1AGUAIAB0AGgAYQB0ACAAaQBzACAAcgBlAG0AbwB2AGUAZAAgAGYAbwByACAAYwByAG8AcAAgAGMALAAgAGMAYQBsAGMAdQBsAGEAdABlAGQAIAB3AGgAZQByAGUAIAByAGUAcwBpAGQAdQBlAHMAIABhAHIAZQAgAHIAZQBtAG8AdgBlAGQAIABiAHkAIABvAHQAaABlAHIAIABtAGUAYQBuAHMAXAAiACwAIABcACIAZgByAGEAYwB0AGkAbwBuAFwAIgAsACAAXAAiAEkAbgBwAHUAdA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GIAdQByAG4AYwAgAD0AIABtAGEAcwBzACAAbwBmACAAcgBlAHMAaQBkAHUAZQAgAGIAdQByAG4AdAAgAGYAbwByACAAYwByAG8AcAAgAHQAeQBwAGUAIABjACAAKABrAGcAKQBcAG4AQwBDAGMAIAA9ACAAYwBhAHIAYgBvAG4AIABtAGEAcwBzACAAZgByAGEAYwB0AGkAbwBuACAAaQBuACAAdABoAGUAIAByAGUAcwBpAGQAdQBlAHMAIABvAGYAIABjAHIAbwBwACAAdAB5AHAAZQAgAGMAIAAoAGQAaQBtAGUAbgBzAGkAbwBuAGwAZQBzAHMAKQBcAG4ARQBG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GIAdQByAG4AYwAsACAAQwBDAGMALAAgAEUARgBDAEgANAAsACAAQwBfAEMASAA0ACwAXABuACAAIAAgACAATQBiAHUAcgBuAGMAIAAqACAAQwBDAGMAIAAqACAARQBG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8AewBjAH0AKABNAF8AewBiAHUAcgBuACwAYwB9AFwAXAB0AGkAbQBlAHMAIABDAEMAXwB7AGMAfQBcAFwAdABpAG0AZQBzACAARQBGAF8AewBDAEgANAB9AFwAXAB0AGkAbQBlAHMAIABDAF8AewBDAEgANAB9AFwAXAB0AGkAbQBlAHMAIAAxADAAXgB7AC0AMwB9ACk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MgAsAFwAbgAgACAAIAAgACAAIABMAEEATQBCAEQAQQAoAHIALABjACwAXABuACAAIAAgACAAIAAgACAAIABJAE4ARABFAFgAKAB7AFwAbgAgACAAIAAgACAAIAAgACAAIAAgAFwAIgBNAGIAdQByAG4AYwBcACIALABcACIAbQBhAHMAcwAgAG8AZgAgAHIAZQBzAGkAZAB1AGUAIABiAHUAcgBuAHQAIABmAG8AcgAgAGMAcgBvAHAAIAB0AHkAcABlACAAYwAgACgAawBnACkAXAAiADsAXABuACAAIAAgACAAIAAgACAAIAAgACAAXAAiAEMAQwBjAFwAIgAsAFwAIgBjAGEAcgBiAG8AbgAgAG0AYQBzAHMAIABmAHIAYQBjAHQAaQBvAG4AIABpAG4AIAB0AGgAZQAgAHIAZQBzAGkAZAB1AGUAcwAgAG8AZgAgAGMAcgBvAHAAIAB0AHkAcABlACAAYwAgACgAZABpAG0AZQBuAHMAaQBvAG4AbABlAHMAcwApAFwAIgA7AFwAbgAgACAAIAAgACAAIAAgACAAIAAgAFwAIgBFAEYAQwBIADQAXAAiACwAXAAiAGUAbQBpAHMAcwBpAG8AbgAgAGYAYQBjAHQAbwByACAAZgBvAHIAIABtAGUAdABoAGEAbgBlACAAZgByAG8AbQAgAGIAdQByAG4AaQBuAGcAIABvAGYAIABjAHIAbwBwACAAcgBlAHMAaQBkAHUAZQBzACAAKABrAGcAIABDAEgANAAvAGsAZwAgAEMASAA0ACAAYgB1AHIAbgB0ACkAXAAiADsAXABuACAAIAAgACAAIAAgACAAIAAgACAAXAAiAEMAQwBIADQAXAAiACwAXAAiAGYAYQBjAHQAbwByACAAdABvACAAYwBvAG4AdgBlAHIAdAAgAGUAbABlAG0AZQBuAHQAYQBsACAAbQBhAHMAcwAgAG8AZgAgAG0AZQB0AGgAYQBuAGUAIAB0AG8AIABtAG8AbABlAGMAdQBsAGEAcgAgAG0AYQBzAHMAIAAoAGQAaQBtAGUAbgBzAGkAbwBuAGwAZQBzAHMAKQBcACIAOwBcAG4AIAAgACAAIAAgACAAIAAgACAAIABcACIAYwBcACIALABcACIAQwByAG8AcAAgAHQAeQBwAGU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GIAdQByAG4AYwAgAD0AIABtAGEAcwBzACAAbwBmACAAcgBlAHMAaQBkAHUAZQAgAGIAdQByAG4AdAAgAGYAbwByACAAYwByAG8AcAAgAHQAeQBwAGUAIABjACAAKABrAGcAKQBcAG4ATgBDAEEARwBjACAAPQAgAG4AaQB0AHIAbwBnAGUAbgAgAGMAbwBuAHQAZQBuAHQAIABpAG4AIAB0AGgAZQAgAGEAYgBvAHYAZQAtAGcAcgBvAHUAbgBkACAAcgBlAHMAaQBkAHUAZQAgAG8AZgAgAGMAcgBvAHAAIAB0AHkAcABlACAAYwAgACgAawBnACAATgAvAGsAZwAgAEQATQApAFwAbgBFAEYATgAyAE8AIAA9ACAAZQBtAGkAcwBzAGkAbwBuACAAZgBhAGMAdABvAHIAIABmAG8AcgAgAG4AaQB0AHIAbwB1AHMAIABvAHgAaQBkAGUAIABmAHIAbwBtACAAYgB1AHIAbgBpAG4AZwAgAG8AZgAgAGMAcgBvAHAAIAByAGUAcwBpAGQAdQBlAHMAIAAoAGsAZwAgAE4AMgBPAC8AawBnACAATgAyAE8AIABiAHUAcgBuAHQAKQBcAG4AQ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GIAdQByAG4AYwAsACAATgBDAEEARwBjACwAIABFAEYATgAyAE8ALAAgAEMATgAyAE8ALABcAG4AIAAgACAAIABNAGIAdQByAG4AYwAgACoAIABOAEMAQQBHAGMAIAAqACAARQBGAE4AMgBPACAAKgAgAEM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8AewBjAH0AKABNAF8AewBiAHUAcgBuACwAYwB9AFwAXAB0AGkAbQBlAHMAIABOAEMAXwB7AEEARwBjAH0AXABcAHQAaQBtAGUAcwAgAEUARgBfAHsATgAyAE8AfQBcAFwAdABpAG0AZQBzACAAQwBfAHsATgAyAE8AfQBcAFwAdABpAG0AZQBzACAAMQAwAF4AewAtADMAfQAp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yACwAXABuACAAIAAgACAAIAAgAEwAQQBNAEIARABBACgAcgAsAGMALABcAG4AIAAgACAAIAAgACAAIAAgAEkATgBEAEUAWAAoAHsAXABuACAAIAAgACAAIAAgACAAIAAgACAAXAAiAE0AYgB1AHIAbgBjAFwAIgAsAFwAIgBtAGEAcwBzACAAbwBmACAAcgBlAHMAaQBkAHUAZQAgAGIAdQByAG4AdAAgAGYAbwByACAAYwByAG8AcAAgAHQAeQBwAGUAIABjACAAKABrAGcAKQBcACIAOwBcAG4AIAAgACAAIAAgACAAIAAgACAAIABcACIATgBDAEEARwBjAFwAIgAsAFwAIgBuAGkAdAByAG8AZwBlAG4AIABjAG8AbgB0AGUAbgB0ACAAaQBuACAAdABoAGUAIABhAGIAbwB2AGUALQBnAHIAbwB1AG4AZAAgAHIAZQBzAGkAZAB1AGUAIABvAGYAIABjAHIAbwBwACAAdAB5AHAAZQAgAGMAIAAoAGsAZwAgAE4ALwBrAGcAIABEAE0AKQBcACIAOwBcAG4AIAAgACAAIAAgACAAIAAgACAAIABcACIARQBGAE4AMgBPAFwAIgAsAFwAIgBlAG0AaQBzAHMAaQBvAG4AIABmAGEAYwB0AG8AcgAgAGYAbwByACAAbgBpAHQAcgBvAHUAcwAgAG8AeABpAGQAZQAgAGYAcgBvAG0AIABiAHUAcgBuAGkAbgBnACAAbwBmACAAYwByAG8AcAAgAHIAZQBzAGkAZAB1AGUAcwAgACgAawBnACAATgAyAE8ALwBrAGcAIABOADIATwAgAGIAdQByAG4AdAApAFwAIgA7AFwAbgAgACAAIAAgACAAIAAgACAAIAAgAFwAIgBDAE4AMgBPAFwAIgAsAFwAIgBmAGEAYwB0AG8AcgAgAHQAbwAgAGMAbwBuAHYAZQByAHQAIABlAGwAZQBtAGUAbgB0AGEAbAAgAG0AYQBzAHMAIABvAGYAIABuAGkAdAByAG8AdQBzACAAbwB4AGkAZABlACAAdABvACAAbQBvAGwAZQBjAHUAbABhAHIAIABtAGEAcwBzACAAKABkAGkAbQBlAG4AcwBpAG8AbgBsAGUAcwBzACkAXAAiADsAXABuACAAIAAgACAAIAAgACAAIAAgACAAXAAiAGMAXAAiACwAXAAiAEMAcgBvAHAAIAB0AHkAcABl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iAHUAcgBuAGMAXABuAGsAZwBcAG4ATQBfAHsAYgB1AHIAbgAsAGMAfQA9AFAAXwB7AGMAfQBcAFwAdABpAG0AZQBzACAAUgBfAHsAQQBHAGMAfQBcAFwAdABpAG0AZQBzACAAUwBfAHsAYwB9AFwAXAB0AGkAbQBlAHMAIABEAE0AXwB7AGMAfQBcAFwAdABpAG0AZQBzACAAWgBfAHsAYwB9AFwAXAB0AGkAbQBlAHMAIABGAF8AewBjAH0AXABuAFAAYwAgAD0AIABhAG4AbgB1AGEAbAAgAHAAcgBvAGQAdQBjAHQAaQBvAG4AIABvAGYAIABjAHIAbwBwACAAdAB5AHAAZQAgAGMAIAAoAGsAZwApAFwAbgBSAEEARwBjACAAPQAgAHIAZQBzAGkAZAB1AGUAIAB0AG8AIABjAHIAbwBwACAAcgBhAHQAaQBvACAAbwBmACAAYwByAG8AcAAgAHQAeQBwAGUAIABjACAAKABrAGcAIABjAHIAbwBwACAAcgBlAHMAaQBkAHUAZQAvAGsAZwAgAGMAcgBvAHAAKQBcAG4AUwBjACAAPQAgAGYAcgBhAGMAdABpAG8AbgAgAG8AZgAgAHIAZQBzAGkAZAB1AGUAcwAgAG8AZgAgAGMAcgBvAHAAIAB0AHkAcABlACAAYwAgAHIAZQBtAGEAaQBuAGkAbgBnACAAYQB0ACAAYgB1AHIAbgBpAG4AZwAgACgAZABpAG0AZQBuAHMAaQBvAG4AbABlAHMAcwApAFwAbgBEAE0AYwAgAD0AIABkAHIAeQAgAG0AYQB0AHQAZQByACAAYwBvAG4AdABlAG4AdAAgAG8AZgAgAGMAcgBvAHAAIAB0AHkAcABlACAAYwAgACgAawBnACAAZAByAHkAIAB3AGUAaQBnAGgAdAAvAGsAZwAgAGMAcgBvAHAAIAByAGUAcwBpAGQAdQBlACkAXABuAFoAYwAgAD0AIABiAHUAcgBuAGkAbgBnACAAZQBmAGYAaQBjAGkAZQBuAGMAeQAgACgAcgBhAHQAaQBvACAAbwBmACAAZgB1AGUAbAAgAGIAdQByAG4AdAAgAHQAbwAgAGYAdQBlAGwAIABsAG8AYQBkACkAIABvAGYAIABjAHIAbwBwACAAdAB5AHAAZQAgAGMAIAAoAGQAaQBtAGUAbgBzAGkAbwBuAGwAZQBzAHMAKQBcAG4ARg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jACwAIABSAEEARwBjACwAIABTAGMALAAgAEQATQBjACwAIABaAGMALAAgAEYAYwAsAFwAbgAgACAAIAAgAFAAYwAgACoAIABSAEEARwBjACAAKgAgAFMAYwAgACoAIABEAE0AYwAgACoAIABaAGMAIAAqACAARg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yACwAXABuACAAIAAgACAAIAAgAEwAQQBNAEIARABBACgAcgAsAGMALABcAG4AIAAgACAAIAAgACAAIAAgAEkATgBEAEUAWAAoAHsAXABuACAAIAAgACAAIAAgACAAIAAgACAAXAAiAFAAYwBcACIALABcACIAYQBuAG4AdQBhAGwAIABwAHIAbwBkAHUAYwB0AGkAbwBuACAAbwBmACAAYwByAG8AcAAgAHQAeQBwAGUAIABjACAAKABrAGcAKQBcACIAOwBcAG4AIAAgACAAIAAgACAAIAAgACAAIABcACIAUgBBAEcAYwBcACIALABcACIAcgBlAHMAaQBkAHUAZQAgAHQAbwAgAGMAcgBvAHAAIAByAGEAdABpAG8AIABvAGYAIABjAHIAbwBwACAAdAB5AHAAZQAgAGMAIAAoAGsAZwAgAGMAcgBvAHAAIAByAGUAcwBpAGQAdQBlAC8AawBnACAAYwByAG8AcAApAFwAIgA7AFwAbgAgACAAIAAgACAAIAAgACAAIAAgAFwAIgBTAGMAXAAiACwAXAAiAGYAcgBhAGMAdABpAG8AbgAgAG8AZgAgAHIAZQBzAGkAZAB1AGUAcwAgAG8AZgAgAGMAcgBvAHAAIAB0AHkAcABlACAAYwAgAHIAZQBtAGEAaQBuAGkAbgBnACAAYQB0ACAAYgB1AHIAbgBpAG4AZwAgACgAZABpAG0AZQBuAHMAaQBvAG4AbABlAHMAcwApAFwAIgA7AFwAbgAgACAAIAAgACAAIAAgACAAIAAgAFwAIgBEAE0AYwBcACIALABcACIAZAByAHkAIABtAGEAdAB0AGUAcgAgAGMAbwBuAHQAZQBuAHQAIABvAGYAIABjAHIAbwBwACAAdAB5AHAAZQAgAGMAIAAoAGsAZwAgAGQAcgB5ACAAdwBlAGkAZwBoAHQALwBrAGcAIABjAHIAbwBwACAAcgBlAHMAaQBkAHUAZQApAFwAIgA7AFwAbgAgACAAIAAgACAAIAAgACAAIAAgAFwAIgBaAGMAXAAiACwAXAAiAGIAdQByAG4AaQBuAGcAIABlAGYAZgBpAGMAaQBlAG4AYwB5ACAAKAByAGEAdABpAG8AIABvAGYAIABmAHUAZQBsACAAYgB1AHIAbgB0ACAAdABvACAAZgB1AGUAbAAgAGwAbwBhAGQAKQAgAG8AZgAgAGMAcgBvAHAAIAB0AHkAcABlACAAYwAgACgAZABpAG0AZQBuAHMAaQBvAG4AbABlAHMAcwApAFwAIgA7AFwAbgAgACAAIAAgACAAIAAgACAAIAAgAFwAIgBGAGMAXAAiACwAXAAiAGYAcgBhAGMAdABpAG8AbgAgAG8AZgAgAHQAaABlACAAYQBuAG4AdQBhAGwAIABwAHIAbwBkAHUAYwB0AGkAbwBuACAAbwBmACAAYwByAG8AcAAgAHQAeQBwAGUAIABjACAAdABoAGEAdAAgAGkAcwAgAGIAdQByAG4AdAAgACgAZABpAG0AZQBuAHMAaQBvAG4AbABlAHMAcwApAFwAIgA7AFwAbgAgACAAIAAgACAAIAAgACAAIAAgAFwAIgBjAFwAIgAsAFwAIgBDAHIAbwBwACAAdAB5AHAAZQBcACIAXABuACAAIAAgACAAIAAgACAAIAB9ACwAIAByACwAIABjACkAXABuACAAIAAgACAAIAAgACkAXABuACAAIAAgACAAKQBcAG4AIAAgACkAOw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bABlAGEAYwBoACAAPQAgAGUAbQBpAHMAcwBpAG8AbgAgAGYAYQBjAHQAbwByACAAZgBvAHIAIABsAGUAYQBjAGgAaQBuAGcAIABhAG4AZAAgAHIAdQBuAG8AZgBm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jACAAPQAgAEMAcgBvAHAAIAByAGUAcwBpAGQAdQBlACAAdAB5AHAAZQBcAG4AcAAgAD0AIABQAGEAcwB0AHUAcgBlACAAcgBlAHMAaQBkAHUAZQAgAHQAeQBwAGUAXABuAC0ALQAtAC0ALQAtAC0ALQAtAC0ALQAtAC0ALQAtAC0ALQAtAC0ALQAtAC0ALQAtAC0ALQAtAC0ALQAtAC0ALQAtAC0ALQAtAC0ALQBcAG4AKgAvAFwAbgBcAG4AVgBFAEUAUgBHAF8ANgBfADMAXwAxAF8AMQBfAF8AMQBfAF8ATABlAGEAYwBoAGkAbgBnAEEAbgBkAFIAdQBuAG8AZgBmAEUAbQBpAHMAcwBpAG8AbgBzAEMAcgBvAHAAQQBuAGQAUABhAHMAdAB1AHIAZQBSAGUAcwBpAGQAdQBlAFwAbgAgACAAPQBMAEEATQBCAEQAQQAoAFwAbgAgACAAIAAgAE0AbABlAGEAYwBoAGMAcAAsACAARQBGAGwAZQBhAGMAaAAsACAAQwBnAE4AMgBPACwAXABuACAAIAAgACAATQBsAGUAYQBjAGgAYwBwACAAKgAgAEUARgBsAGUAYQBjAGgAIAAqACAAQwBnAE4AMgBPACAAKgAgADEAMABeACgALQAzACkAXABuACAAIAApAFwAbgA7AFwAbgBcAG4AVgBFAEUAUgBHAF8ANgBfADMAXwAxAF8AMQBfAF8AMQBfAF8ATABlAGEAYwBoAGkAbgBnAEEAbgBkAFIAdQBuAG8AZgBmAEUAbQBpAHMAcwBpAG8AbgBzAEMAcgBvAHAAQQBuAGQAUABhAHMAdAB1AHIAZQBSAGUAcwBpAGQAdQBlAF8AVABpAHQAbABlAFwAbgAgACAAPQBMAEEATQBCAEQAQQAoAFwAIgBOAGkAdAByAG8AdQBzACAAbwB4AGkAZABlACAAbABlAGEAYwBoAGkAbgBnACAAYQBuAGQAIAByAHUAbgBvAGYAZgAgAGUAbQBpAHMAcwBpAG8AbgBzACAAZgByAG8AbQAgAGMAcgBvAHAAIABhAG4AZAAgAHAAYQBzAHQAdQByAGUAIAByAGUAcwBpAGQAdQBlAHMAIAByAGUAdAB1AHIAbgBlAGQAIAB0AG8AIAB0AGgAZQAgAHMAbwBpAGwAXAAiACkAOwBcAG4AXABuAFYARQBFAFIARwBfADYAXwAzAF8AMQBfADEAXwBfADEAXwBfAEwAZQBhAGMAaABpAG4AZwBBAG4AZABSAHUAbgBvAGYAZgBFAG0AaQBzAHMAaQBvAG4AcwBDAHIAbwBwAEEAbgBkAFAAYQBzAHQAdQByAGUAUgBlAHMAaQBkAHUAZQBfAFYAYQByAGkAYQBiAGwAZQBcAG4AIAAgAD0ATABBAE0AQgBEAEEAKABcACIARQBOADIATwBcACIAKQA7AFwAbgBcAG4AVgBFAEUAUgBHAF8ANgBfADMAXwAxAF8AMQBfAF8AMQBfAF8ATABlAGEAYwBoAGkAbgBnAEEAbgBkAFIAdQBuAG8AZgBmAEUAbQBpAHMAcwBpAG8AbgBzAEMAcgBvAHAAQQBuAGQAUABhAHMAdAB1AHIAZQBSAGUAcwBpAGQAdQBlAF8AVQBuAGkAdABcAG4AIAAgAD0ATABBAE0AQgBEAEEAKABcACIAdAAgAE4AMgBPAFwAIgApADsAXABuAFwAbgBWAEUARQBSAEcAXwA2AF8AMwBfADEAXwAxAF8AXwAxAF8AXwBMAGUAYQBjAGgAaQBuAGcAQQBuAGQAUgB1AG4AbwBmAGYARQBtAGkAcwBzAGkAbwBuAHMAQwByAG8AcABBAG4AZABQAGEAcwB0AHUAcgBlAFIAZQBzAGkAZAB1AGUAXwBTAG8AdQByAGMAZQBcAG4AIAAgAD0ATABBAE0AQgBEAEEAKABcACIAVgBFAEUAUgBHACAAMgAwADIANgA6ACAANgAuADMALgAxAC4AMQAsACAARQBxAHUAYQB0AGkAbwBuACAAKAAxACkAXAAiACkAOwBcAG4AXABuAFYARQBFAFIARwBfADYAXwAzAF8AMQBfADEAXwBfADEAXwBfAEwAZQBhAGMAaABpAG4AZwBBAG4AZABSAHUAbgBvAGYAZgBFAG0AaQBzAHMAaQBvAG4AcwBDAHIAbwBwAEEAbgBkAFAAYQBzAHQAdQByAGUAUgBlAHMAaQBkAHUAZQBfAE4ASQBSAFIAZQBmAGUAcgBlAG4AYwBlAFwAbgAgACAAPQBMAEEATQBCAEQAQQAoAFwAIgBcACIAKQA7AFwAbgBcAG4AVgBFAEUAUgBHAF8ANgBfADMAXwAxAF8AMQBfAF8AMQBfAF8ATABlAGEAYwBoAGkAbgBnAEEAbgBkAFIAdQBuAG8AZgBmAEUAbQBpAHMAcwBpAG8AbgBzAEMAcgBvAHAAQQBuAGQAUABhAHMAdAB1AHIAZQBSAGUAcwBpAGQAdQBlAF8ATABhAHQAZQB4AEUAcQB1AGEAdABpAG8AbgBcAG4AIAAgAD0ATABBAE0AQgBEAEEAKABcACIARQBfAHsATgAyAE8AfQA9AFwAXABzAHUAbQBfAHsAYwB9AFwAXABzAHUAbQBfAHsAcAB9ACgATQBfAHsAbABlAGEAYwBoACwAYwBwAH0AXABcAHQAaQBtAGUAcwAgAEUARgBfAHsAbABlAGEAYwBoAH0AXABcAHQAaQBtAGUAcwAgAEMAZwBfAHsATgAyAE8AfQBcAFwAdABpAG0AZQBzACAAMQAwAF4AewAtADMAfQApAFwAIgApADsAXABuAFwAbgBWAEUARQBSAEcAXwA2AF8AMwBfADEAXwAxAF8AXwAxAF8AXwBMAGUAYQBjAGgAaQBuAGcAQQBuAGQAUgB1AG4AbwBmAGYARQBtAGkAcwBzAGkAbwBuAHMAQwByAG8AcABBAG4AZABQAGEAcwB0AHUAcgBlAFIAZQBzAGkAZAB1AGUAXwBBAHIAZwB1AG0AZQBuAHQAcwBcAG4AIAAgAD0ATABBAE0AQgBEAEEAKABcAG4AIAAgACAAIABNAEEASwBFAEEAUgBSAEEAWQAoADUALAAgADIALAAgAFwAbgAgACAAIAAgACAAIABMAEEATQBCAEQAQQAoAHIALABjACwAIABcAG4AIAAgACAAIAAgACAAIAAgAEkATgBEAEUAWAAoAHsAXABuACAAIAAgACAAIAAgACAAIAAgACAAXAAiAE0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AgACgAawBnACAATgApAFwAIgA7AFwAbgAgACAAIAAgACAAIAAgACAAIAAgAFwAIgBFAEYAbABlAGEAYwBoAFwAIgAsAFwAIgBlAG0AaQBzAHMAaQBvAG4AIABmAGEAYwB0AG8AcgAgAGYAbwByACAAbABlAGEAYwBoAGkAbgBnACAAYQBuAGQAIAByAHUAbgBvAGYAZgAgACgAawBnACAATgAyAE8ALQBOAC8AawBnACAATgApAFwAIgA7AFwAbgAgACAAIAAgACAAIAAgACAAIAAgAFwAIgBDAGcATgAyAE8AXAAiACwAXAAiAGYAYQBjAHQAbwByACAAdABvACAAYwBvAG4AdgBlAHIAdAAgAGUAbABlAG0AZQBuAHQAYQBsACAAbQBhAHMAcwAgAG8AZgAgAG4AaQB0AHIAbwB1AHMAIABvAHgAaQBkAGUAIAB0AG8AIABtAG8AbABlAGMAdQBsAGEAcgAgAG0AYQBzAHMAIAAoAGQAaQBtAGUAbgBzAGkAbwBuAGwAZQBzAHMAKQBcACIAOwBcAG4AIAAgACAAIAAgACAAIAAgACAAIABcACIAYwBcACIALABcACIAQwByAG8AcAAgAHIAZQBzAGkAZAB1AGUAIAB0AHkAcABlAFwAIgA7AFwAbgAgACAAIAAgACAAIAAgACAAIAAgAFwAIgBwAFwAIgAsAFwAIgBQAGEAcwB0AHUAcgBlACAAcgBlAHMAaQBkAHUAZQAgAHQAeQBwAGU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sAGUAYQBjAGgAYwBwAFwAbgBrAGcAIABOAFwAbgBNAF8AewBsAGUAYQBjAGgALABjAHAAfQA9AE0AXwB7AGMAcAB9AFwAXAB0AGkAbQBlAHMAIABGAHIAYQBjAFcARQBUAF8AewBqAH0AXABcAHQAaQBtAGUAcwAgAEYAcgBhAGMATABFAEEAQwBIAFwAbgBNAGMAcAAgAD0AIABtAGEAcwBzACAAbwBmACAAbgBpAHQAcgBvAGcAZQBuACAAaQBuACAAYwByAG8AcAAgAHIAZQBzAGkAZAB1AGUAcwAgAGMAIABvAHIAIABwAGEAcwB0AHUAcgBlACAAcgBlAHMAaQBkAHUAZQBzACAAcAAgAGEAcABwAGwAaQBlAGQAIAB0AG8AIABzAG8AaQBsAHMAIAAoAGsAZwAgAE4AKQBcAG4ARgByAGEAYwBXAEUAVABqACAAPQAgAGYAcgBhAGMAdABpAG8AbgAgAG8AZgAgAE4AIAB0AGgAYQB0ACAAaQBzACAAYQB2AGEAaQBsAGEAYgBsAGUAIABmAG8AcgAgAGwAZQBhAGMAaABpAG4AZwAgAGEAbgBkACAAcgB1AG4AbwBmAGYAIABmAHIAbwBtACAAcAByAG8AZAB1AGMAdABpAG8AbgAgAHMAeQBzAHQAZQBtACAAagAgACgAZABpAG0AZQBuAHMAaQBvAG4AbABlAHMAcwApAFwAbgBGAHIAYQBjAEwARQBBAEMASAAgAD0AIABmAHIAYQBjAHQAaQBvAG4AIABvAGYAIABOACAAdABoAGEAdAAgAGkAcwAgAGwAbwBzAHQAIAB0AGgAcgBvAHUAZwBoACAAbABlAGEAYwBoAGkAbgBnACAAYQBuAGQAIAByAHUAbgBvAGYAZgAgACgAZABpAG0AZQBuAHMAaQBvAG4AbABlAHMAcwApAFwAbgBjACAAPQAgAEMAcgBvAHAAIAByAGUAcwBpAGQAdQBlACAAdAB5AHAAZQBcAG4AcAAgAD0AIABQAGEAcwB0AHUAcgBlACAAcgBlAHMAaQBkAHUAZQAgAHQAeQBwAGUAXABuAGkAcgAgAD0AIABpAHIAcgBpAGcAYQB0AGkAbwBuACAAdAB5AHAAZQBcAG4ALQAtAC0ALQAtAC0ALQAtAC0ALQAtAC0ALQAtAC0ALQAtAC0ALQAtAC0ALQAtAC0ALQAtAC0ALQAtAC0ALQAtAC0ALQAtAC0ALQAtAFwAbgAqAC8AXABuAFwAbgBWAEUARQBSAEcAXwA2AF8AMwBfADEAXwAxAF8AXwAyAF8AXwBNAGEAcwBzAE8AZgBOAGkAdAByAG8AZwBlAG4ATABvAHMAdABUAGgAcgBvAHUAZwBoAEwAZQBhAGMAaABpAG4AZwBBAG4AZABSAHUAbgBvAGYAZgBcAG4AIAAgAD0ATABBAE0AQgBEAEEAKABcAG4AIAAgACAAIABNAGMAcAAsACAARgByAGEAYwBXAEUAVAB6AGkAcgAsACAARgByAGEAYwBMAEUAQQBDAEgALABcAG4AIAAgACAAIABNAGMAcAAgACoAIABGAHIAYQBjAFcARQBUAHoAaQByACAAKgAgAEYAcgBhAGMATABFAEEAQwBIAFwAbgAgACAAKQBcAG4AOwBcAG4AXABuAFYARQBFAFIARwBfADYAXwAzAF8AMQBfADEAXwBfADIAXwBfAE0AYQBzAHMATwBmAE4AaQB0AHIAbwBnAGUAbgBMAG8AcwB0AFQAaAByAG8AdQBnAGgATABlAGEAYwBoAGkAbgBnAEEAbgBkAFIAdQBuAG8AZgBmAF8AVABpAHQAbABlAFwAbgAgACAAPQBMAEEATQBCAEQAQQAoAFwAIgBNAGEAcwBzACAAbwBmACAAbgBpAHQAcgBvAGcAZQBuACAAbABvAHMAdAAgAHQAaAByAG8AdQBnAGgAIABsAGUAYQBjAGgAaQBuAGcAIABhAG4AZAAgAHIAdQBuAG8AZgBmAFwAIgApADsAXABuAFwAbgBWAEUARQBSAEcAXwA2AF8AMwBfADEAXwAxAF8AXwAyAF8AXwBNAGEAcwBzAE8AZgBOAGkAdAByAG8AZwBlAG4ATABvAHMAdABUAGgAcgBvAHUAZwBoAEwAZQBhAGMAaABpAG4AZwBBAG4AZABSAHUAbgBvAGYAZgBfAFYAYQByAGkAYQBiAGwAZQBcAG4AIAAgAD0ATABBAE0AQgBEAEEAKABcACIATQ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6ACwAaQBy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MgAsACAAXABuACAAIAAgACAAIAAgAEwAQQBNAEIARABBACgAcgAsAGMALAAgAFwAbgAgACAAIAAgACAAIAAgACAASQBOAEQARQBYACgAewBcAG4AIAAgACAAIAAgACAAIAAgACAAIABcACIATQBjAHAAXAAiACwAXAAiAG0AYQBzAHMAIABvAGYAIABuAGkAdAByAG8AZwBlAG4AIABpAG4AIABjAHIAbwBwACAAcgBlAHMAaQBkAHUAZQBzACAAYwAgAG8AcgAgAHAAYQBzAHQAdQByAGUAIAByAGUAcwBpAGQAdQBlAHMAIABwACAAYQBwAHAAbABpAGUAZAAgAHQAbwAgAHMAbwBpAGwAcwAgACgAawBnACAATgApAFwAIgA7AFwAbgAgACAAIAAgACAAIAAgACAAIAAgAFwAIgBGAHIAYQBjAFcARQBUAHoAaQBy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CAAKABkAGkAbQBlAG4AcwBpAG8AbgBsAGUAcwBzACkAXAAiADsAXABuACAAIAAgACAAIAAgACAAIAAgACAAXAAiAEYAcgBhAGMATABFAEEAQwBIAFwAIgAsAFwAIgBmAHIAYQBjAHQAaQBvAG4AIABvAGYAIABOACAAdABoAGEAdAAgAGkAcwAgAGwAbwBzAHQAIAB0AGgAcgBvAHUAZwBoACAAbABlAGEAYwBoAGkAbgBnACAAYQBuAGQAIAByAHUAbgBvAGYAZgAgACgAZABpAG0AZQBuAHMAaQBvAG4AbABlAHMAcwApAFwAIgA7AFwAbgAgACAAIAAgACAAIAAgACAAIAAgAFwAIgB6AFwAIgAsACAAXAAiAEwAbwBjAGEAdABpAG8AbgAgAGkAbgAgAGwAZQBhAGMAaABpAG4AZwAgAHoAbwBuAGUAIAAoAGQAaQBtAGUAbgBzAGkAbwBuAGwAZQBzAHMAKQBcACIAOwBcAG4AIAAgACAAIAAgACAAIAAgACAAIABcACIAYwBcACIALABcACIAQwByAG8AcAAgAHIAZQBzAGkAZAB1AGUAIAB0AHkAcABlAFwAIgA7AFwAbgAgACAAIAAgACAAIAAgACAAIAAgAFwAIgBwAFwAIgAsAFwAIgBQAGEAcwB0AHUAcgBlACAAcgBlAHMAaQBkAHUAZQAgAHQAeQBwAGUAXAAiADsAXABuACAAIAAgACAAIAAgACAAIAAgACAAXAAiAGkAcgBcACIALAAgAFwAIgBJAHIAcgBpAGcAYQB0AGkAbwBuACAAdAB5AHAAZQ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WAEEAUgBJAEEAVABJAE8ATgAgAEYAUgBPAE0AIABTAE8AVQBSAEMARQA6ACAAQQBkAGQAZQBkACAAYwByAGkAdABlAHIAaQBhACAAZgBvAHIAIABsAGUAYQBjAGgAaQBuAGcAIAB6AG8AbgBlACAAegAgAGEAbgBkACAAaQByAHIAaQBnAGEAdABpAG8AbgAgAHQAeQBwAGUAIABpAHIALgAgAFIAZQBtAG8AdgBlAGQAIABwAHIAbwBkAHUAYwB0AGkAbwBuACAAcwB5AHMAdABlAG0AIABjAHIAaQB0AGUAcgBpAGEAIABqAC4AXAAiACkAOwBcAG4AXABuAFwAbgBcAG4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wACwAIABFAEYATgBpACwAIABDAE4AMgBPACwAXABuACAAIAAgACAATQBwACAAKgAgAEUARgBOAGkAIAAqACAAQ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wB7AHAAfQBcAFwAbABlAGYAdAAoAE0AXwBwAFwAXAB0AGkAbQBlAHMAIABFAEYAXwB7AE4AaQB9AFwAXAB0AGkAbQBlAHMAIABDAF8AewBOADIATwB9AFwAXAB0AGkAbQBlAHMAewAxADAAfQBeAHsALQAzAH0AXABcAHIAaQBnAGgAdAApAFwAIgApADsAXABuAFwAbgBWAEUARQBSAEcAXwA2AF8AMgBfADEAXwAxAF8AXwAxAF8AXwBOAGkAdAByAG8AdQBzAE8AeABpAGQAZQBFAG0AaQBzAHMAaQBvAG4AcwBGAHIAbwBtAFAAYQBzAHQAdQByAGUAUgBlAHMAaQBkAHUAZQBzAF8AQQByAGcAdQBtAGUAbgB0AHMAXABuACAAIAA9AEwAQQBNAEIARABBACgAXABuACAAIAAgACAATQBBAEsARQBBAFIAUgBBAFkAKAA1ACwAIAAyACwAIABcAG4AIAAgACAAIAAgACAATABBAE0AQgBEAEEAKAByACwAYwAsACAAXABuACAAIAAgACAAIAAgACAAIABJAE4ARABFAFgAKAB7AFwAbgAgACAAIAAgACAAIAAgACAAIAAgAFwAIgBNAHAAXAAiACwAXAAiAG0AYQBzAHMAIABvAGYAIABuAGkAdAByAG8AZwBlAG4AIABpAG4AIABwAGEAcwB0AHUAcgBlACAAcAAgAHIAZQBzAGkAZAB1AGUAcwAgAHIAZQB0AHUAcgBuAGUAZAAgAHQAbwAgAHQAaABlACAAcwBvAGkAbAAgACgAawBnACAATgApAFwAIgA7AFwAbgAgACAAIAAgACAAIAAgACAAIAAgAFwAIgBFAEYATgBpAFwAIgAsAFwAIgBlAG0AaQBzAHMAaQBvAG4AIABmAGEAYwB0AG8AcgAgAGYAbwByACAAYwByAG8AcAAgAHIAZQBzAGkAZAB1AGUAcwAgAHIAZQB0AHUAcgBuAGUAZAAgAHQAbwAgAHQAaABlACAAcwBvAGkAbAAgAGkAbgAgAGMAbABpAG0AYQB0AGUAIAB6AG8AbgBlACAAaQAgACgAawBnACAATgAyAE8ALQBOAC8AawBnACAATgApAFwAIgA7AFwAbgAgACAAIAAgACAAIAAgACAAIAAgAFwAIgBDAGcATgAyAE8AXAAiACwAXAAiAGYAYQBjAHQAbwByACAAdABvACAAYwBvAG4AdgBlAHIAdAAgAGUAbABlAG0AZQBuAHQAYQBsACAAbQBhAHMAcwAgAG8AZgAgAG4AaQB0AHIAbwB1AHMAIABvAHgAaQBkAGUAIAB0AG8AIABtAG8AbABlAGMAdQBsAGEAcgAgAG0AYQBzAHMAIAAoAGQAaQBtAGUAbgBzAGkAbwBuAGwAZQBzAHMAKQBcACIAOwBcAG4AIAAgACAAIAAgACAAIAAgACAAIABcACIAcABcACIALABcACIAUABhAHMAdAB1AHIAZQAgAHQAeQBwAGUAXAAiADsAXABuACAAIAAgACAAIAAgACAAIAAgACAAXAAiAGkAXAAiACwAXAAiAEMAbABpAG0AYQB0AGUAIAB6AG8AbgBlAFwAIgBcAG4AIAAgACAAIAAgACAAIAAgAH0ALAAgAHIALAAgAGMAKQBcAG4AIAAgACAAIAAgACAAKQBcAG4AIAAgACAAIAApAFwAbgAgACAAKQA7AFwAbgBcAG4ALwAqACAAXABuAC0ALQAtAC0ALQAtAC0ALQAtAC0ALQAtAC0ALQAtAC0ALQAtAC0ALQAtAC0ALQAtAC0ALQAtAC0ALQAtAC0ALQAtAC0ALQAtAC0ALQBcAG4AVgBFAEUAUgBHAF8ANgBfADIAXwAxAF8AMQBfAF8AMgBfAF8ATQBhAHMAcwBPAGYATgBpAHQAcgBvAGcAZQBuAEkAbgBQAGEAcwB0AHUAcgBlAFIAZQBzAGkAZAB1AGUAcwBcAG4ATQBhAHMAcwAgAG8AZgAgAG4AaQB0AHIAbwBnAGUAbgAgAGkAbgAgAHAAYQBzAHQAdQByAGUAIAByAGUAcwBpAGQAdQBlAHMAIAByAGUAdAB1AHIAbgBlAGQAIAB0AG8AIAB0AGgAZQAgAHMAbwBpAGwAXABuAE0AcABcAG4AawBnACAATgBcAG4ATQBfAHAAIAA9ACAAKABBAF8AcAAgANc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BuAEE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QgBHAHAAIAA9ACAAYgBlAGwAbwB3AC0AZwByAG8AdQBuAGQAIAByAGUAcwBpAGQAdQBlACAAdABvACAAYQBiAG8AdgBlAC0AZwByAG8AdQBuAGQAIAByAGUAcwBpAGQAdQBlACAAcgBhAHQAaQBvACAAZgBvAHIAIABwAGEAcwB0AHUAcgBlACAAYwByAG8AcAAgACgAZABpAG0AZQBuAHMAaQBvAG4AbABlAHMAcwApAFwAbgBOAEMAQgBHAHAAIAA9ACAATgAgAGMAbwBuAHQAZQBuAHQAIABvAGYAIABiAGUAbABvAHcALQBnAHIAbwB1AG4AZAAgAHAAYQBzAHQAdQByAGUAIABjAHIAbwBwACAAcgBlAHMAaQBkAHUAZQAgACgAawBnACAATgAvAGsAZwAgAEQATQApAFwAbgBGAEYATwBEAHAAIAA9ACAAZgByAGEAYwB0AGkAbwBuACAAbwBmACAAcABhAHMAdAB1AHIAZQAgAHkAaQBlAGwAZAAgAHQAaABhAHQAIABpAHMAIAByAGUAbQBvAHYAZQBkACAAKABkAGkAbQBlAG4AcwBpAG8AbgBsAGUAcwBzACkAXABuAHAAIAA9ACAAUABhAHMAdAB1AHIAZQAgAHQAeQBwAGUAXABuAC0ALQAtAC0ALQAtAC0ALQAtAC0ALQAtAC0ALQAtAC0ALQAtAC0ALQAtAC0ALQAtAC0ALQAtAC0ALQAtAC0ALQAtAC0ALQAtAC0ALQBcAG4AKgAvAFwAbgBcAG4AVgBFAEUAUgBHAF8ANgBfADIAXwAxAF8AMQBfAF8AMgBfAF8ATQBhAHMAcwBPAGYATgBpAHQAcgBvAGcAZQBuAEkAbgBQAGEAcwB0AHUAcgBlAFIAZQBzAGkAZAB1AGUAcwBcAG4AIAAgAD0ATABBAE0AQgBEAEEAKABcAG4AIAAgACAAIABBAHAALAAgAFkAcAAsACAARgBGAE8ARABwACwAIABOAEMAQQBHAHAALAAgAFIAQgBHAHAALAAgAE4AQwBCAEcAcAAsAFwAbgAgACAAIAAgACgAQQBwACAAKgAgACgAWQBwACAAKgAgADEAMABeACgALQAzACkAKQAgACoAIAAoADEAIAAtACAARgBGAE8ARABwACkAIAAqACAATgBDAEEARwBwACkAIAArACAAKABBAHAAIAAqACAAKABZAHAAIAAqACAAMQAwAF4AKAAtADMAKQApACAAKgAgAFIAQgBHAHAAIAAqACAATgBD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IALAAgAFwAbgAgACAAIAAgACAAIABMAEEATQBCAEQAQQAoAHIALABjACwAIABcAG4AIAAgACAAIAAgACAAIAAgAEkATgBEAEUAWAAoAHsAXABuACAAIAAgACAAIAAgACAAIAAgACAAXAAiAEEAcABcACIALABcACIAYQByAGUAYQAgAG8AZgAgAHAAYQBzAHQAdQByAGUAIAByAGUAbgBlAHcAZQBkACAAbwByACAAcgBlAG0AbwB2AGUAZAAgACgAaABhACkAXAAiADsAXABuACAAIAAgACAAIAAgACAAIAAgACAAXAAiAFkAcABcACIALABcACIAYQB2AGUAcgBhAGcAZQAgAHkAaQBlAGwAZAAgAG8AZgAgAHAAYQBzAHQAdQByAGUAIABjAHIAbwBwACAAKAB0ACAARABNAC8AaABhACkAXAAiADsAXABuACAAIAAgACAAIAAgACAAIAAgACAAXAAiAE4AQwBBAEcAcABcACIALABcACIATgAgAGMAbwBuAHQAZQBuAHQAIABvAGYAIABhAGIAbwB2AGUALQBnAHIAbwB1AG4AZAAgAHAAYQBzAHQAdQByAGUAIAByAGUAcwBpAGQAdQBlACAAKABrAGcAIABOAC8AawBnACAARABNACkAXAAiADsAXABuACAAIAAgACAAIAAgACAAIAAgACAAXAAiAFIAQgBHAHAAXAAiACwAXAAiAGIAZQBsAG8AdwAtAGcAcgBvAHUAbgBkACAAcgBlAHMAaQBkAHUAZQAgAHQAbwAgAGEAYgBvAHYAZQAtAGcAcgBvAHUAbgBkACAAcgBlAHMAaQBkAHUAZQAgAHIAYQB0AGkAbwAgAGYAbwByACAAcABhAHMAdAB1AHIAZQAgAGMAcgBvAHAAIAAoAGQAaQBtAGUAbgBzAGkAbwBuAGwAZQBzAHMAKQBcACIAOwBcAG4AIAAgACAAIAAgACAAIAAgACAAIABcACIATgBDAEIARwBwAFwAIgAsAFwAIgBOACAAYwBvAG4AdABlAG4AdAAgAG8AZgAgAGIAZQBsAG8AdwAtAGcAcgBvAHUAbgBkACAAcABhAHMAdAB1AHIAZQAgAGMAcgBvAHAAIAByAGUAcwBpAGQAdQBlACAAKABrAGcAIABOAC8AawBnACAARABNACkAXAAiADsAXABuACAAIAAgACAAIAAgACAAIAAgACAAXAAiAEYARgBPAEQAcABcACIALABcACIAZgByAGEAYwB0AGkAbwBuACAAbwBmACAAcABhAHMAdAB1AHIAZQAgAHkAaQBlAGwAZAAgAHQAaABhAHQAIABpAHMAIAByAGUAbQBvAHYAZQBkACAAKABkAGkAbQBlAG4AcwBpAG8AbgBsAGUAcwBzACkAXAAiADsAXABuACAAIAAgACAAIAAgACAAIAAgACAAXAAiAHAAXAAiACwAXAAiAFAAYQBzAHQAdQByAGUAIAB0AHkAcABlAFwAIgBcAG4AIAAgACAAIAAgACAAIAAgAH0ALAAgAHIALAAgAGMAKQBcAG4AIAAgACAAIAAgACAAKQBcAG4AIAAgACAAIAApAFwAbgAgACAAKQA7AFwAbgBcAG4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EEAZwByAGUAcwBpAGQAdQBlAF8AUwBvAHUAcgBjAGUARABhAHQAYQAuAEMAcgBvAHAAQQB0AHQAcgBpAGIAdQB0AGUAcwBfAFQAaQB0AGwAZQAiACwAIgBBAGcAcgBlAHMAaQBkAHUAZQBfAFMAbwB1AHIAYwBlAEQAYQB0AGEALgBDAHIAbwBwAEEAdAB0AHIAaQBiAHUAdABlAHMAXwBEAGUAcwBjAHIAaQBwAHQAaQBvAG4AIgAsACIAQQBnAHIAZQBzAGkAZAB1AGUAXwBTAG8AdQByAGMAZQBEAGEAdABhAC4AQwByAG8AcABBAHQAdAByAGkAYgB1AHQAZQBzAF8AUwBvAHUAcgBjAGUAIgAsACIAQQBnAHIAZQBzAGkAZAB1AGUAXwBTAG8AdQByAGMAZQBEAGEAdABhAC4AQwByAG8AcABBAHQAdAByAGkAYgB1AHQAZQBzAF8ARABhAHQAYQAiACwAIgBBAGcAcgBlAHMAaQBkAHUAZQBfAFMAbwB1AHIAYwBlAEQAYQB0AGEALgBDAHIAbwBwAEEAdAB0AHIAaQBiAHUAdABlAHMAXwBWAGEAcgBpAGEAdABpAG8AbgAiACwAIgBBAGcAcgBlAHMAaQBkAHUAZQBfAFMAbwB1AHIAYwBlAEQAYQB0AGEALgBDAHIAbwBwAEYAcgBhAGMAdABpAG8AbgBSAGUAbQBvAHYAZQBkAF8AVABpAHQAbABlACIALAAiAEEAZwByAGUAcwBpAGQAdQBlAF8AUwBvAHUAcgBjAGUARABhAHQAYQAuAEMAcgBvAHAARgByAGEAYwB0AGkAbwBuAFIAZQBtAG8AdgBlAGQAXwBEAGUAcwBjAHIAaQBwAHQAaQBvAG4AIgAsACIAQQBnAHIAZQBzAGkAZAB1AGUAXwBTAG8AdQByAGMAZQBEAGEAdABhAC4AQwByAG8AcABGAHIAYQBjAHQAaQBvAG4AUgBlAG0AbwB2AGUAZABfAFMAbwB1AHIAYwBlACIALAAiAEEAZwByAGUAcwBpAGQAdQBlAF8AUwBvAHUAcgBjAGUARABhAHQAYQAuAEMAcgBvAHAARgByAGEAYwB0AGkAbwBuAFIAZQBtAG8AdgBlAGQAXwBEAGEAdABhACIALAAiAEEAZwByAGUAcwBpAGQAdQBlAF8AUwBvAHUAcgBjAGUARABhAHQAYQAuAEMAcgBvAHAARgByAGEAYwB0AGkAbwBuAFIAZQBtAG8AdgBlAGQAXwBDAHUAcwB0AG8AbQBpAHMAZQBkAEQAYQB0AGEAIgAsACIAQQBnAHIAZQBzAGkAZAB1AGUAXwBTAG8AdQByAGMAZQBEAGEAdABhAC4AQwByAG8AcABGAHIAYQBjAHQAaQBvAG4AUgBlAG0AbwB2AGUAZABfAFYAYQByAGkAYQB0AGkAbwBuACIALAAiAEEAZwByAGUAcwBpAGQAdQBlAF8AUwBvAHUAcgBjAGUARABhAHQAYQAuAFAAYQBzAHQAdQByAGUAQQB0AHQAcgBpAGIAdQB0AGUAcwBfAFQAaQB0AGwAZQAiACwAIgBBAGcAcgBlAHMAaQBkAHUAZQBfAFMAbwB1AHIAYwBlAEQAYQB0AGEALgBQAGEAcwB0AHUAcgBlAEEAdAB0AHIAaQBiAHUAdABlAHMAXwBEAGUAcwBjAHIAaQBwAHQAaQBvAG4AIgAsACIAQQBnAHIAZQBzAGkAZAB1AGUAXwBTAG8AdQByAGMAZQBEAGEAdABhAC4AUABhAHMAdAB1AHIAZQBBAHQAdAByAGkAYgB1AHQAZQBzAF8AUwBvAHUAcgBjAGUAIgAsACIAQQBnAHIAZQBzAGkAZAB1AGUAXwBTAG8AdQByAGMAZQBEAGEAdABhAC4AUABhAHMAdAB1AHIAZQBBAHQAdAByAGkAYgB1AHQAZQBzAF8ARABhAHQAYQAiACwAIgBBAGcAcgBlAHMAaQBkAHUAZQBfAFMAbwB1AHIAYwBlAEQAYQB0AGEALgBCAHUAcgBuAGkAbgBnAE8AZgBBAGcAcgBpAGMAdQBsAHQAdQByAGEAbABSAGUAcwBpAGQAdQBlAHMARQBGAHMAXwBUAGkAdABsAGUAIgAsACIAQQBnAHIAZQBzAGkAZAB1AGUAXwBTAG8AdQByAGMAZQBEAGEAdABhAC4AQgB1AHIAbgBpAG4AZwBPAGYAQQBnAHIAaQBjAHUAbAB0AHUAcgBhAGwAUgBlAHMAaQBkAHUAZQBzAEUARgBzAF8ARABlAHMAYwByAGkAcAB0AGkAbwBuACIALAAiAEEAZwByAGUAcwBpAGQAdQBlAF8AUwBvAHUAcgBjAGUARABhAHQAYQAuAEIAdQByAG4AaQBuAGcATwBmAEEAZwByAGkAYwB1AGwAdAB1AHIAYQBsAFIAZQBzAGkAZAB1AGUAcwBFAEYAcwBfAFMAbwB1AHIAYwBlACIALAAiAEEAZwByAGUAcwBpAGQAdQBlAF8AUwBvAHUAcgBjAGUARABhAHQAYQAuAEIAdQByAG4AaQBuAGcATwBmAEEAZwByAGkAYwB1AGwAdAB1AHIAYQBsAFIAZQBzAGkAZAB1AGUAcwBFAEYAcwBfAEQAYQB0AGEAIgAsACIAQQBnAHIAZQBzAGkAZAB1AGUAXwBTAG8AdQByAGMAZQBEAGEAdABhAC4ATgAyAE8ARQBGAE8AcgBnAGEAbgBpAGMARgBlAHIAdABpAGwAaQBzAGUAcgBfAFQAaQB0AGwAZQAiACwAIgBBAGcAcgBlAHMAaQBkAHUAZQBfAFMAbwB1AHIAYwBlAEQAYQB0AGEALgBOADIATwBFAEYATwByAGcAYQBuAGkAYwBGAGUAcgB0AGkAbABpAHMAZQByAF8AVQBuAGkAdAAiACwAIgBBAGcAcgBlAHMAaQBkAHUAZQBfAFMAbwB1AHIAYwBlAEQAYQB0AGEALgBOADIATwBFAEYATwByAGcAYQBuAGkAYwBGAGUAcgB0AGkAbABpAHMAZQByAF8AUwBvAHUAcgBjAGUAIgAsACIAQQBnAHIAZQBzAGkAZAB1AGUAXwBTAG8AdQByAGMAZQBEAGEAdABhAC4ATgAyAE8ARQBGAE8AcgBnAGEAbgBpAGMARgBlAHIAdABpAGwAaQBzAGUAcgBfAE4ASQBSAFIAZQBmAGUAcgBlAG4AYwBlACIALAAiAEEAZwByAGUAcwBpAGQAdQBlAF8AUwBvAHUAcgBjAGUARABhAHQAYQAuAE4AMgBPAEUARgBPAHIAZwBhAG4AaQBjAEYAZQByAHQAaQBsAGkAcwBlAHIAXwBEAGEAdABhACIALAAiAEEAZwBSAGUAcwBpAGQAdQBlAF8ARQBxAHUAYQB0AGkAbwBuAHMAXwBDAHIAbwBwAFIAZQBzAGkAZAB1AGUALgBWAEUARQBSAEcAXwA2AF8AMQBfADEAXwAxAF8AXwAxAF8AXwBOAGkAdAByAG8AdQBzAE8AeABpAGQAZQBFAG0AaQBzAHMAaQBvAG4AcwBGAHIAbwBtAEMAcgBvAHAAUgBlAHMAaQBkAHUAZQBzACIALAAiAEEAZwBSAGUAcwBpAGQAdQBlAF8ARQBxAHUAYQB0AGkAbwBuAHMAXwBDAHIAbwBwAFIAZQBzAGkAZAB1AGUALgBWAEUARQBSAEcAXwA2AF8AMQBfADEAXwAxAF8AXwAxAF8AXwBOAGkAdAByAG8AdQBzAE8AeABpAGQAZQBFAG0AaQBzAHMAaQBvAG4AcwBGAHIAbwBtAEMAcgBvAHAAUgBlAHMAaQBkAHUAZQBzAF8ARgB1AG4AYwB0AGkAbwBuAE4AYQBtAGUAIgAsACIAQQBnAFIAZQBzAGkAZAB1AGUAXwBFAHEAdQBhAHQAaQBvAG4AcwBfAEMAcgBvAHAAUgBlAHMAaQBkAHUAZQAuAFYARQBFAFIARwBfADYAXwAxAF8AMQBfADEAXwBfADEAXwBfAE4AaQB0AHIAbwB1AHMATwB4AGkAZABlAEUAbQBpAHMAcwBpAG8AbgBzAEYAcgBvAG0AQwByAG8AcABSAGUAcwBpAGQAdQBlAHMAXwBUAGkAdABsAGUAIgAsACIAQQBnAFIAZQBzAGkAZAB1AGUAXwBFAHEAdQBhAHQAaQBvAG4AcwBfAEMAcgBvAHAAUgBlAHMAaQBkAHUAZQAuAFYARQBFAFIARwBfADYAXwAxAF8AMQBfADEAXwBfADEAXwBfAE4AaQB0AHIAbwB1AHMATwB4AGkAZABlAEUAbQBpAHMAcwBpAG8AbgBzAEYAcgBvAG0AQwByAG8AcABSAGUAcwBpAGQAdQBlAHMAXwBWAGEAcgBpAGEAYgBsAGUAIgAsACIAQQBnAFIAZQBzAGkAZAB1AGUAXwBFAHEAdQBhAHQAaQBvAG4AcwBfAEMAcgBvAHAAUgBlAHMAaQBkAHUAZQAuAFYARQBFAFIARwBfADYAXwAxAF8AMQBfADEAXwBfADEAXwBfAE4AaQB0AHIAbwB1AHMATwB4AGkAZABlAEUAbQBpAHMAcwBpAG8AbgBzAEYAcgBvAG0AQwByAG8AcABSAGUAcwBpAGQAdQBlAHMAXwBVAG4AaQB0ACIALAAiAEEAZwBSAGUAcwBpAGQAdQBlAF8ARQBxAHUAYQB0AGkAbwBuAHMAXwBDAHIAbwBwAFIAZQBzAGkAZAB1AGUALgBWAEUARQBSAEcAXwA2AF8AMQBfADEAXwAxAF8AXwAxAF8AXwBOAGkAdAByAG8AdQBzAE8AeABpAGQAZQBFAG0AaQBzAHMAaQBvAG4AcwBGAHIAbwBtAEMAcgBvAHAAUgBlAHMAaQBkAHUAZQBzAF8AUwBvAHUAcgBjAGUAIgAsACIAQQBnAFIAZQBzAGkAZAB1AGUAXwBFAHEAdQBhAHQAaQBvAG4AcwBfAEMAcgBvAHAAUgBlAHMAaQBkAHUAZQAuAFYARQBFAFIARwBfADYAXwAxAF8AMQBfADEAXwBfADEAXwBfAE4AaQB0AHIAbwB1AHMATwB4AGkAZABlAEUAbQBpAHMAcwBpAG8AbgBzAEYAcgBvAG0AQwByAG8AcABSAGUAcwBpAGQAdQBlAHMAXwBOAEkAUgBSAGUAZgBlAHIAZQBuAGMAZQAiACwAIgBBAGcAUgBlAHMAaQBkAHUAZQBfAEUAcQB1AGEAdABpAG8AbgBzAF8AQwByAG8AcABSAGUAcwBpAGQAdQBlAC4AVgBFAEUAUgBHAF8ANgBfADEAXwAxAF8AMQBfAF8AMQBfAF8ATgBpAHQAcgBvAHUAcwBPAHgAaQBkAGUARQBtAGkAcwBzAGkAbwBuAHMARgByAG8AbQBDAHIAbwBwAFIAZQBzAGkAZAB1AGUAcwBfAEwAYQB0AGUAeABFAHEAdQBhAHQAaQBvAG4AIgAsACIAQQBnAFIAZQBzAGkAZAB1AGUAXwBFAHEAdQBhAHQAaQBvAG4AcwBfAEMAcgBvAHAAUgBlAHMAaQBkAHUAZQAuAFYARQBFAFIARwBfADYAXwAxAF8AMQBfADEAXwBfADEAXwBfAE4AaQB0AHIAbwB1AHMATwB4AGkAZABlAEUAbQBpAHMAcwBpAG8AbgBzAEYAcgBvAG0AQwByAG8AcABSAGUAcwBpAGQAdQBlAHMAXwBBAHIAZwB1AG0AZQBuAHQAcwAiACwAIgBBAGcAUgBlAHMAaQBkAHUAZQBfAEUAcQB1AGEAdABpAG8AbgBzAF8AQwByAG8AcABSAGUAcwBpAGQAdQBlAC4AVgBFAEUAUgBHAF8ANgBfADEAXwAxAF8AMQBfAF8AMgBfAF8ATQBhAHMAcwBPAGYATgBpAHQAcgBvAGcAZQBuAEkAbgBDAHIAbwBwAFIAZQBzAGkAZAB1AGUAcwAiACwAIgBBAGcAUgBlAHMAaQBkAHUAZQBfAEUAcQB1AGEAdABpAG8AbgBzAF8AQwByAG8AcABSAGUAcwBpAGQAdQBlAC4AVgBFAEUAUgBHAF8ANgBfADEAXwAxAF8AMQBfAF8AMgBfAF8ATQBhAHMAcwBPAGYATgBpAHQAcgBvAGcAZQBuAEkAbgBDAHIAbwBwAFIAZQBzAGkAZAB1AGUAcwBfAFQAaQB0AGwAZQAiACwAIgBBAGcAUgBlAHMAaQBkAHUAZQBfAEUAcQB1AGEAdABpAG8AbgBzAF8AQwByAG8AcABSAGUAcwBpAGQAdQBlAC4AVgBFAEUAUgBHAF8ANgBfADEAXwAxAF8AMQBfAF8AMgBfAF8ATQBhAHMAcwBPAGYATgBpAHQAcgBvAGcAZQBuAEkAbgBDAHIAbwBwAFIAZQBzAGkAZAB1AGUAcwBfAFYAYQByAGkAYQBiAGwAZQAiACwAIgBBAGcAUgBlAHMAaQBkAHUAZQBfAEUAcQB1AGEAdABpAG8AbgBzAF8AQwByAG8AcABSAGUAcwBpAGQAdQBlAC4AVgBFAEUAUgBHAF8ANgBfADEAXwAxAF8AMQBfAF8AMgBfAF8ATQBhAHMAcwBPAGYATgBpAHQAcgBvAGcAZQBuAEkAbgBDAHIAbwBwAFIAZQBzAGkAZAB1AGUAcwBfAFUAbgBpAHQAIgAsACIAQQBnAFIAZQBzAGkAZAB1AGUAXwBFAHEAdQBhAHQAaQBvAG4AcwBfAEMAcgBvAHAAUgBlAHMAaQBkAHUAZQAuAFYARQBFAFIARwBfADYAXwAxAF8AMQBfADEAXwBfADIAXwBfAE0AYQBzAHMATwBmAE4AaQB0AHIAbwBnAGUAbgBJAG4AQwByAG8AcABSAGUAcwBpAGQAdQBlAHMAXwBTAG8AdQByAGMAZQAiACwAIgBBAGcAUgBlAHMAaQBkAHUAZQBfAEUAcQB1AGEAdABpAG8AbgBzAF8AQwByAG8AcABSAGUAcwBpAGQAdQBlAC4AVgBFAEUAUgBHAF8ANgBfADEAXwAxAF8AMQBfAF8AMgBfAF8ATQBhAHMAcwBPAGYATgBpAHQAcgBvAGcAZQBuAEkAbgBDAHIAbwBwAFIAZQBzAGkAZAB1AGUAcwBfAE4ASQBSAFIAZQBmAGUAcgBlAG4AYwBlACIALAAiAEEAZwBSAGUAcwBpAGQAdQBlAF8ARQBxAHUAYQB0AGkAbwBuAHMAXwBDAHIAbwBwAFIAZQBzAGkAZAB1AGUALgBWAEUARQBSAEcAXwA2AF8AMQBfADEAXwAxAF8AXwAyAF8AXwBNAGEAcwBzAE8AZgBOAGkAdAByAG8AZwBlAG4ASQBuAEMAcgBvAHAAUgBlAHMAaQBkAHUAZQBzAF8ATABhAHQAZQB4AEUAcQB1AGEAdABpAG8AbgAiACwAIgBBAGcAUgBlAHMAaQBkAHUAZQBfAEUAcQB1AGEAdABpAG8AbgBzAF8AQwByAG8AcABSAGUAcwBpAGQAdQBlAC4AVgBFAEUAUgBHAF8ANgBfADEAXwAxAF8AMQBfAF8AMgBfAF8ATQBhAHMAcwBPAGYATgBpAHQAcgBvAGcAZQBuAEkAbgBDAHIAbwBwAFIAZQBzAGkAZAB1AGUAcwBfAEEAcgBnAHUAbQBlAG4AdABzACIALAAiAEEAZwBSAGUAcwBpAGQAdQBlAF8ARQBxAHUAYQB0AGkAbwBuAHMAXwBDAHIAbwBwAFIAZQBzAGkAZAB1AGUALgBWAEUARQBSAEcAXwA2AF8AMQBfADEAXwAxAF8AXwAyAF8AXwBNAGEAcwBzAE8AZgBOAGkAdAByAG8AZwBlAG4ASQBuAEMAcgBvAHAAUgBlAHMAaQBkAHUAZQBzAF8AQQByAGcAdQBtAGUAbgB0AHMAXwBNAGUAdABoAG8AZAAyACIALAAiAEEAZwBSAGUAcwBpAGQAdQBlAF8ARQBxAHUAYQB0AGkAbwBuAHMAXwBDAHIAbwBwAFIAZQBzAGkAZAB1AGUALgBWAEUARQBSAEcAXwA2AF8AMQBfADEAXwAyAF8AXwAxAF8AXwBGAHIAYQBjAHQAaQBvAG4ATwBmAEMAcgBvAHAAUgBlAHMAaQBkAHUAZQBSAGUAbQBvAHYAZQBkAEIAYQBsAGUAZAAiACwAIgBBAGcAUgBlAHMAaQBkAHUAZQBfAEUAcQB1AGEAdABpAG8AbgBzAF8AQwByAG8AcABSAGUAcwBpAGQAdQBlAC4AVgBFAEUAUgBHAF8ANgBfADEAXwAxAF8AMgBfAF8AMQBfAF8ARgByAGEAYwB0AGkAbwBuAE8AZgBDAHIAbwBwAFIAZQBzAGkAZAB1AGUAUgBlAG0AbwB2AGUAZABCAGEAbABlAGQAXwBUAGkAdABsAGUAIgAsACIAQQBnAFIAZQBzAGkAZAB1AGUAXwBFAHEAdQBhAHQAaQBvAG4AcwBfAEMAcgBvAHAAUgBlAHMAaQBkAHUAZQAuAFYARQBFAFIARwBfADYAXwAxAF8AMQBfADIAXwBfADEAXwBfAEYAcgBhAGMAdABpAG8AbgBPAGYAQwByAG8AcABSAGUAcwBpAGQAdQBlAFIAZQBtAG8AdgBlAGQAQgBhAGwAZQBkAF8AVgBhAHIAaQBhAGIAbABlACIALAAiAEEAZwBSAGUAcwBpAGQAdQBlAF8ARQBxAHUAYQB0AGkAbwBuAHMAXwBDAHIAbwBwAFIAZQBzAGkAZAB1AGUALgBWAEUARQBSAEcAXwA2AF8AMQBfADEAXwAyAF8AXwAxAF8AXwBGAHIAYQBjAHQAaQBvAG4ATwBmAEMAcgBvAHAAUgBlAHMAaQBkAHUAZQBSAGUAbQBvAHYAZQBkAEIAYQBsAGUAZABfAFUAbgBpAHQAIgAsACIAQQBnAFIAZQBzAGkAZAB1AGUAXwBFAHEAdQBhAHQAaQBvAG4AcwBfAEMAcgBvAHAAUgBlAHMAaQBkAHUAZQAuAFYARQBFAFIARwBfADYAXwAxAF8AMQBfADIAXwBfADEAXwBfAEYAcgBhAGMAdABpAG8AbgBPAGYAQwByAG8AcABSAGUAcwBpAGQAdQBlAFIAZQBtAG8AdgBlAGQAQgBhAGwAZQBkAF8AUwBvAHUAcgBjAGUAIgAsACIAQQBnAFIAZQBzAGkAZAB1AGUAXwBFAHEAdQBhAHQAaQBvAG4AcwBfAEMAcgBvAHAAUgBlAHMAaQBkAHUAZQAuAFYARQBFAFIARwBfADYAXwAxAF8AMQBfADIAXwBfADEAXwBfAEYAcgBhAGMAdABpAG8AbgBPAGYAQwByAG8AcABSAGUAcwBpAGQAdQBlAFIAZQBtAG8AdgBlAGQAQgBhAGwAZQBkAF8ATgBJAFIAUgBlAGYAZQByAGUAbgBjAGUAIgAsACIAQQBnAFIAZQBzAGkAZAB1AGUAXwBFAHEAdQBhAHQAaQBvAG4AcwBfAEMAcgBvAHAAUgBlAHMAaQBkAHUAZQAuAFYARQBFAFIARwBfADYAXwAxAF8AMQBfADIAXwBfADEAXwBfAEYAcgBhAGMAdABpAG8AbgBPAGYAQwByAG8AcABSAGUAcwBpAGQAdQBlAFIAZQBtAG8AdgBlAGQAQgBhAGwAZQBkAF8ATABhAHQAZQB4AEUAcQB1AGEAdABpAG8AbgAiACwAIgBBAGcAUgBlAHMAaQBkAHUAZQBfAEUAcQB1AGEAdABpAG8AbgBzAF8AQwByAG8AcABSAGUAcwBpAGQAdQBlAC4AVgBFAEUAUgBHAF8ANgBfADEAXwAxAF8AMgBfAF8AMQBfAF8ARgByAGEAYwB0AGkAbwBuAE8AZgBDAHIAbwBwAFIAZQBzAGkAZAB1AGUAUgBlAG0AbwB2AGUAZABCAGEAbABlAGQAXwBBAHIAZwB1AG0AZQBuAHQAcwAiACwAIgBBAGcAUgBlAHMAaQBkAHUAZQBfAEUAcQB1AGEAdABpAG8AbgBzAF8AQwByAG8AcABSAGUAcwBpAGQAdQBlAC4AVgBFAEUAUgBHAF8ANgBfADEAXwAxAF8AMgBfAF8AMQBfAF8ARgByAGEAYwB0AGkAbwBuAE8AZgBDAHIAbwBwAFIAZQBzAGkAZAB1AGUAUgBlAG0AbwB2AGUAZABCAGEAbABlAGQAXwBWAGEAcgBpAGEAdABpAG8AbgAiACwAIgBBAGcAUgBlAHMAaQBkAHUAZQBfAEUAcQB1AGEAdABpAG8AbgBzAF8AQwByAG8AcABSAGUAcwBpAGQAdQBlAC4AVgBFAEUAUgBHAF8ANgBfADEAXwAxAF8AMgBfAF8AMQBhAF8AXwBGAHIAYQBjAHQAaQBvAG4ATwBmAEMAcgBvAHAAUgBlAHMAaQBkAHUAZQBSAGUAbQBvAHYAZQBkACIALAAiAEEAZwBSAGUAcwBpAGQAdQBlAF8ARQBxAHUAYQB0AGkAbwBuAHMAXwBDAHIAbwBwAFIAZQBzAGkAZAB1AGUALgBWAEUARQBSAEcAXwA2AF8AMQBfADEAXwAyAF8AXwAxAGEAXwBfAEYAcgBhAGMAdABpAG8AbgBPAGYAQwByAG8AcABSAGUAcwBpAGQAdQBlAFIAZQBtAG8AdgBlAGQAXwBUAGkAdABsAGUAIgAsACIAQQBnAFIAZQBzAGkAZAB1AGUAXwBFAHEAdQBhAHQAaQBvAG4AcwBfAEMAcgBvAHAAUgBlAHMAaQBkAHUAZQAuAFYARQBFAFIARwBfADYAXwAxAF8AMQBfADIAXwBfADEAYQBfAF8ARgByAGEAYwB0AGkAbwBuAE8AZgBDAHIAbwBwAFIAZQBzAGkAZAB1AGUAUgBlAG0AbwB2AGUAZABfAFYAYQByAGkAYQBiAGwAZQAiACwAIgBBAGcAUgBlAHMAaQBkAHUAZQBfAEUAcQB1AGEAdABpAG8AbgBzAF8AQwByAG8AcABSAGUAcwBpAGQAdQBlAC4AVgBFAEUAUgBHAF8ANgBfADEAXwAxAF8AMgBfAF8AMQBhAF8AXwBGAHIAYQBjAHQAaQBvAG4ATwBmAEMAcgBvAHAAUgBlAHMAaQBkAHUAZQBSAGUAbQBvAHYAZQBkAF8AVQBuAGkAdAAiACwAIgBBAGcAUgBlAHMAaQBkAHUAZQBfAEUAcQB1AGEAdABpAG8AbgBzAF8AQwByAG8AcABSAGUAcwBpAGQAdQBlAC4AVgBFAEUAUgBHAF8ANgBfADEAXwAxAF8AMgBfAF8AMQBhAF8AXwBGAHIAYQBjAHQAaQBvAG4ATwBmAEMAcgBvAHAAUgBlAHMAaQBkAHUAZQBSAGUAbQBvAHYAZQBkAF8AUwBvAHUAcgBjAGUAIgAsACIAQQBnAFIAZQBzAGkAZAB1AGUAXwBFAHEAdQBhAHQAaQBvAG4AcwBfAEMAcgBvAHAAUgBlAHMAaQBkAHUAZQAuAFYARQBFAFIARwBfADYAXwAxAF8AMQBfADIAXwBfADEAYQBfAF8ARgByAGEAYwB0AGkAbwBuAE8AZgBDAHIAbwBwAFIAZQBzAGkAZAB1AGUAUgBlAG0AbwB2AGUAZABfAE4ASQBSAFIAZQBmAGUAcgBlAG4AYwBlACIALAAiAEEAZwBSAGUAcwBpAGQAdQBlAF8ARQBxAHUAYQB0AGkAbwBuAHMAXwBDAHIAbwBwAFIAZQBzAGkAZAB1AGUALgBWAEUARQBSAEcAXwA2AF8AMQBfADEAXwAyAF8AXwAxAGEAXwBfAEYAcgBhAGMAdABpAG8AbgBPAGYAQwByAG8AcABSAGUAcwBpAGQAdQBlAFIAZQBtAG8AdgBlAGQAXwBMAGEAdABlAHgARQBxAHUAYQB0AGkAbwBuACIALAAiAEEAZwBSAGUAcwBpAGQAdQBlAF8ARQBxAHUAYQB0AGkAbwBuAHMAXwBDAHIAbwBwAFIAZQBzAGkAZAB1AGUALgBWAEUARQBSAEcAXwA2AF8AMQBfADEAXwAyAF8AXwAxAGEAXwBfAEYAcgBhAGMAdABpAG8AbgBPAGYAQwByAG8AcABSAGUAcwBpAGQAdQBlAFIAZQBtAG8AdgBlAGQAXwBBAHIAZwB1AG0AZQBuAHQAcwAiACwAIgBBAGcAUgBlAHMAaQBkAHUAZQBfAEUAcQB1AGEAdABpAG8AbgBzAF8AQwByAG8AcABSAGUAcwBpAGQAdQBlAC4AVgBFAEUAUgBHAF8ANgBfADEAXwAxAF8AMgBfAF8AMQBhAF8AXwBGAHIAYQBjAHQAaQBvAG4ATwBmAEMAcgBvAHAAUgBlAHMAaQBkAHUAZQBSAGUAbQBvAHYAZQBkAF8AVgBhAHIAaQBhAHQAaQBvAG4AIgAsACIAQQBnAFIAZQBzAGkAZAB1AGUAXwBFAHEAdQBhAHQAaQBvAG4AcwBfAEYAaQBlAGwAZABCAHUAcgBuAGkAbgBnAC4AVgBFAEUAUgBHAF8ANgBfADQAXwAxAF8AMQBfAF8AMQBfAF8ATQBlAHQAaABhAG4AZQBFAG0AaQBzAHMAaQBvAG4AcwBGAHIAbwBtAEIAdQByAG4AaQBuAGcATwBmAEMAcgBvAHAAUgBlAHMAaQBkAHUAZQBzACIALAAiAEEAZwBSAGUAcwBpAGQAdQBlAF8ARQBxAHUAYQB0AGkAbwBuAHMAXwBGAGkAZQBsAGQAQgB1AHIAbgBpAG4AZwAuAFYARQBFAFIARwBfADYAXwA0AF8AMQBfADEAXwBfADEAXwBfAE0AZQB0AGgAYQBuAGUARQBtAGkAcwBzAGkAbwBuAHMARgByAG8AbQBCAHUAcgBuAGkAbgBnAE8AZgBDAHIAbwBwAFIAZQBzAGkAZAB1AGUAcwBfAEYAdQBuAGMAdABpAG8AbgBOAGEAbQBlACIALAAiAEEAZwBSAGUAcwBpAGQAdQBlAF8ARQBxAHUAYQB0AGkAbwBuAHMAXwBGAGkAZQBsAGQAQgB1AHIAbgBpAG4AZwAuAFYARQBFAFIARwBfADYAXwA0AF8AMQBfADEAXwBfADEAXwBfAE0AZQB0AGgAYQBuAGUARQBtAGkAcwBzAGkAbwBuAHMARgByAG8AbQBCAHUAcgBuAGkAbgBnAE8AZgBDAHIAbwBwAFIAZQBzAGkAZAB1AGUAcwBfAFQAaQB0AGwAZQAiACwAIgBBAGcAUgBlAHMAaQBkAHUAZQBfAEUAcQB1AGEAdABpAG8AbgBzAF8ARgBpAGUAbABkAEIAdQByAG4AaQBuAGcALgBWAEUARQBSAEcAXwA2AF8ANABfADEAXwAxAF8AXwAxAF8AXwBNAGUAdABoAGEAbgBlAEUAbQBpAHMAcwBpAG8AbgBzAEYAcgBvAG0AQgB1AHIAbgBpAG4AZwBPAGYAQwByAG8AcABSAGUAcwBpAGQAdQBlAHMAXwBWAGEAcgBpAGEAYgBsAGUAIgAsACIAQQBnAFIAZQBzAGkAZAB1AGUAXwBFAHEAdQBhAHQAaQBvAG4AcwBfAEYAaQBlAGwAZABCAHUAcgBuAGkAbgBnAC4AVgBFAEUAUgBHAF8ANgBfADQAXwAxAF8AMQBfAF8AMQBfAF8ATQBlAHQAaABhAG4AZQBFAG0AaQBzAHMAaQBvAG4AcwBGAHIAbwBtAEIAdQByAG4AaQBuAGcATwBmAEMAcgBvAHAAUgBlAHMAaQBkAHUAZQBzAF8AVQBuAGkAdAAiACwAIgBBAGcAUgBlAHMAaQBkAHUAZQBfAEUAcQB1AGEAdABpAG8AbgBzAF8ARgBpAGUAbABkAEIAdQByAG4AaQBuAGcALgBWAEUARQBSAEcAXwA2AF8ANABfADEAXwAxAF8AXwAxAF8AXwBNAGUAdABoAGEAbgBlAEUAbQBpAHMAcwBpAG8AbgBzAEYAcgBvAG0AQgB1AHIAbgBpAG4AZwBPAGYAQwByAG8AcABSAGUAcwBpAGQAdQBlAHMAXwBTAG8AdQByAGMAZQAiACwAIgBBAGcAUgBlAHMAaQBkAHUAZQBfAEUAcQB1AGEAdABpAG8AbgBzAF8ARgBpAGUAbABkAEIAdQByAG4AaQBuAGcALgBWAEUARQBSAEcAXwA2AF8ANABfADEAXwAxAF8AXwAxAF8AXwBNAGUAdABoAGEAbgBlAEUAbQBpAHMAcwBpAG8AbgBzAEYAcgBvAG0AQgB1AHIAbgBpAG4AZwBPAGYAQwByAG8AcABSAGUAcwBpAGQAdQBlAHMAXwBOAEkAUgBSAGUAZgBlAHIAZQBuAGMAZQAiACwAIgBBAGcAUgBlAHMAaQBkAHUAZQBfAEUAcQB1AGEAdABpAG8AbgBzAF8ARgBpAGUAbABkAEIAdQByAG4AaQBuAGcALgBWAEUARQBSAEcAXwA2AF8ANABfADEAXwAxAF8AXwAxAF8AXwBNAGUAdABoAGEAbgBlAEUAbQBpAHMAcwBpAG8AbgBzAEYAcgBvAG0AQgB1AHIAbgBpAG4AZwBPAGYAQwByAG8AcABSAGUAcwBpAGQAdQBlAHMAXwBMAGEAdABlAHgARQBxAHUAYQB0AGkAbwBuACIALAAiAEEAZwBSAGUAcwBpAGQAdQBlAF8ARQBxAHUAYQB0AGkAbwBuAHMAXwBGAGkAZQBsAGQAQgB1AHIAbgBpAG4AZwAuAFYARQBFAFIARwBfADYAXwA0AF8AMQBfADEAXwBfADEAXwBfAE0AZQB0AGgAYQBuAGUARQBtAGkAcwBzAGkAbwBuAHMARgByAG8AbQBCAHUAcgBuAGkAbgBnAE8AZgBDAHIAbwBwAFIAZQBzAGkAZAB1AGUAcwBfAEEAcgBnAHUAbQBlAG4AdABzACIALAAiAEEAZwBSAGUAcwBpAGQAdQBlAF8ARQBxAHUAYQB0AGkAbwBuAHMAXwBGAGkAZQBsAGQAQgB1AHIAbgBpAG4AZwAuAFYARQBFAFIARwBfADYAXwA0AF8AMQBfADEAXwBfADIAXwBfAE4AaQB0AHIAbwB1AHMATwB4AGkAZABlAEUAbQBpAHMAcwBpAG8AbgBzAEYAcgBvAG0AQgB1AHIAbgBpAG4AZwBPAGYAQwByAG8AcABSAGUAcwBpAGQAdQBlAHMAIgAsACIAQQBnAFIAZQBzAGkAZAB1AGUAXwBFAHEAdQBhAHQAaQBvAG4AcwBfAEYAaQBlAGwAZABCAHUAcgBuAGkAbgBnAC4AVgBFAEUAUgBHAF8ANgBfADQAXwAxAF8AMQBfAF8AMgBfAF8ATgBpAHQAcgBvAHUAcwBPAHgAaQBkAGUARQBtAGkAcwBzAGkAbwBuAHMARgByAG8AbQBCAHUAcgBuAGkAbgBnAE8AZgBDAHIAbwBwAFIAZQBzAGkAZAB1AGUAcwBfAEYAdQBuAGMAdABpAG8AbgBOAGEAbQBlACIALAAiAEEAZwBSAGUAcwBpAGQAdQBlAF8ARQBxAHUAYQB0AGkAbwBuAHMAXwBGAGkAZQBsAGQAQgB1AHIAbgBpAG4AZwAuAFYARQBFAFIARwBfADYAXwA0AF8AMQBfADEAXwBfADIAXwBfAE4AaQB0AHIAbwB1AHMATwB4AGkAZABlAEUAbQBpAHMAcwBpAG8AbgBzAEYAcgBvAG0AQgB1AHIAbgBpAG4AZwBPAGYAQwByAG8AcABSAGUAcwBpAGQAdQBlAHMAXwBUAGkAdABsAGUAIgAsACIAQQBnAFIAZQBzAGkAZAB1AGUAXwBFAHEAdQBhAHQAaQBvAG4AcwBfAEYAaQBlAGwAZABCAHUAcgBuAGkAbgBnAC4AVgBFAEUAUgBHAF8ANgBfADQAXwAxAF8AMQBfAF8AMgBfAF8ATgBpAHQAcgBvAHUAcwBPAHgAaQBkAGUARQBtAGkAcwBzAGkAbwBuAHMARgByAG8AbQBCAHUAcgBuAGkAbgBnAE8AZgBDAHIAbwBwAFIAZQBzAGkAZAB1AGUAcwBfAFYAYQByAGkAYQBiAGwAZQAiACwAIgBBAGcAUgBlAHMAaQBkAHUAZQBfAEUAcQB1AGEAdABpAG8AbgBzAF8ARgBpAGUAbABkAEIAdQByAG4AaQBuAGcALgBWAEUARQBSAEcAXwA2AF8ANABfADEAXwAxAF8AXwAyAF8AXwBOAGkAdAByAG8AdQBzAE8AeABpAGQAZQBFAG0AaQBzAHMAaQBvAG4AcwBGAHIAbwBtAEIAdQByAG4AaQBuAGcATwBmAEMAcgBvAHAAUgBlAHMAaQBkAHUAZQBzAF8AVQBuAGkAdAAiACwAIgBBAGcAUgBlAHMAaQBkAHUAZQBfAEUAcQB1AGEAdABpAG8AbgBzAF8ARgBpAGUAbABkAEIAdQByAG4AaQBuAGcALgBWAEUARQBSAEcAXwA2AF8ANABfADEAXwAxAF8AXwAyAF8AXwBOAGkAdAByAG8AdQBzAE8AeABpAGQAZQBFAG0AaQBzAHMAaQBvAG4AcwBGAHIAbwBtAEIAdQByAG4AaQBuAGcATwBmAEMAcgBvAHAAUgBlAHMAaQBkAHUAZQBzAF8AUwBvAHUAcgBjAGUAIgAsACIAQQBnAFIAZQBzAGkAZAB1AGUAXwBFAHEAdQBhAHQAaQBvAG4AcwBfAEYAaQBlAGwAZABCAHUAcgBuAGkAbgBnAC4AVgBFAEUAUgBHAF8ANgBfADQAXwAxAF8AMQBfAF8AMgBfAF8ATgBpAHQAcgBvAHUAcwBPAHgAaQBkAGUARQBtAGkAcwBzAGkAbwBuAHMARgByAG8AbQBCAHUAcgBuAGkAbgBnAE8AZgBDAHIAbwBwAFIAZQBzAGkAZAB1AGUAcwBfAE4ASQBSAFIAZQBmAGUAcgBlAG4AYwBlACIALAAiAEEAZwBSAGUAcwBpAGQAdQBlAF8ARQBxAHUAYQB0AGkAbwBuAHMAXwBGAGkAZQBsAGQAQgB1AHIAbgBpAG4AZwAuAFYARQBFAFIARwBfADYAXwA0AF8AMQBfADEAXwBfADIAXwBfAE4AaQB0AHIAbwB1AHMATwB4AGkAZABlAEUAbQBpAHMAcwBpAG8AbgBzAEYAcgBvAG0AQgB1AHIAbgBpAG4AZwBPAGYAQwByAG8AcABSAGUAcwBpAGQAdQBlAHMAXwBMAGEAdABlAHgARQBxAHUAYQB0AGkAbwBuACIALAAiAEEAZwBSAGUAcwBpAGQAdQBlAF8ARQBxAHUAYQB0AGkAbwBuAHMAXwBGAGkAZQBsAGQAQgB1AHIAbgBpAG4AZwAuAFYARQBFAFIARwBfADYAXwA0AF8AMQBfADEAXwBfADIAXwBfAE4AaQB0AHIAbwB1AHMATwB4AGkAZABlAEUAbQBpAHMAcwBpAG8AbgBzAEYAcgBvAG0AQgB1AHIAbgBpAG4AZwBPAGYAQwByAG8AcABSAGUAcwBpAGQAdQBlAHMAXwBBAHIAZwB1AG0AZQBuAHQAcwAiACwAIgBBAGcAUgBlAHMAaQBkAHUAZQBfAEUAcQB1AGEAdABpAG8AbgBzAF8ARgBpAGUAbABkAEIAdQByAG4AaQBuAGcALgBWAEUARQBSAEcAXwA2AF8ANABfADEAXwAxAF8AXwAzAF8AXwBNAGEAcwBzAE8AZgBDAHIAbwBwAFIAZQBzAGkAZAB1AGUAQgB1AHIAbgB0ACIALAAiAEEAZwBSAGUAcwBpAGQAdQBlAF8ARQBxAHUAYQB0AGkAbwBuAHMAXwBGAGkAZQBsAGQAQgB1AHIAbgBpAG4AZwAuAFYARQBFAFIARwBfADYAXwA0AF8AMQBfADEAXwBfADMAXwBfAE0AYQBzAHMATwBmAEMAcgBvAHAAUgBlAHMAaQBkAHUAZQBCAHUAcgBuAHQAXwBGAHUAbgBjAHQAaQBvAG4ATgBhAG0AZQAiACwAIgBBAGcAUgBlAHMAaQBkAHUAZQBfAEUAcQB1AGEAdABpAG8AbgBzAF8ARgBpAGUAbABkAEIAdQByAG4AaQBuAGcALgBWAEUARQBSAEcAXwA2AF8ANABfADEAXwAxAF8AXwAzAF8AXwBNAGEAcwBzAE8AZgBDAHIAbwBwAFIAZQBzAGkAZAB1AGUAQgB1AHIAbgB0AF8AVABpAHQAbABlACIALAAiAEEAZwBSAGUAcwBpAGQAdQBlAF8ARQBxAHUAYQB0AGkAbwBuAHMAXwBGAGkAZQBsAGQAQgB1AHIAbgBpAG4AZwAuAFYARQBFAFIARwBfADYAXwA0AF8AMQBfADEAXwBfADMAXwBfAE0AYQBzAHMATwBmAEMAcgBvAHAAUgBlAHMAaQBkAHUAZQBCAHUAcgBuAHQAXwBWAGEAcgBpAGEAYgBsAGUAIgAsACIAQQBnAFIAZQBzAGkAZAB1AGUAXwBFAHEAdQBhAHQAaQBvAG4AcwBfAEYAaQBlAGwAZABCAHUAcgBuAGkAbgBnAC4AVgBFAEUAUgBHAF8ANgBfADQAXwAxAF8AMQBfAF8AMwBfAF8ATQBhAHMAcwBPAGYAQwByAG8AcABSAGUAcwBpAGQAdQBlAEIAdQByAG4AdABfAFUAbgBpAHQAIgAsACIAQQBnAFIAZQBzAGkAZAB1AGUAXwBFAHEAdQBhAHQAaQBvAG4AcwBfAEYAaQBlAGwAZABCAHUAcgBuAGkAbgBnAC4AVgBFAEUAUgBHAF8ANgBfADQAXwAxAF8AMQBfAF8AMwBfAF8ATQBhAHMAcwBPAGYAQwByAG8AcABSAGUAcwBpAGQAdQBlAEIAdQByAG4AdABfAFMAbwB1AHIAYwBlACIALAAiAEEAZwBSAGUAcwBpAGQAdQBlAF8ARQBxAHUAYQB0AGkAbwBuAHMAXwBGAGkAZQBsAGQAQgB1AHIAbgBpAG4AZwAuAFYARQBFAFIARwBfADYAXwA0AF8AMQBfADEAXwBfADMAXwBfAE0AYQBzAHMATwBmAEMAcgBvAHAAUgBlAHMAaQBkAHUAZQBCAHUAcgBuAHQAXwBOAEkAUgBSAGUAZgBlAHIAZQBuAGMAZQAiACwAIgBBAGcAUgBlAHMAaQBkAHUAZQBfAEUAcQB1AGEAdABpAG8AbgBzAF8ARgBpAGUAbABkAEIAdQByAG4AaQBuAGcALgBWAEUARQBSAEcAXwA2AF8ANABfADEAXwAxAF8AXwAzAF8AXwBNAGEAcwBzAE8AZgBDAHIAbwBwAFIAZQBzAGkAZAB1AGUAQgB1AHIAbgB0AF8ATABhAHQAZQB4AEUAcQB1AGEAdABpAG8AbgAiACwAIgBBAGcAUgBlAHMAaQBkAHUAZQBfAEUAcQB1AGEAdABpAG8AbgBzAF8ARgBpAGUAbABkAEIAdQByAG4AaQBuAGcALgBWAEUARQBSAEcAXwA2AF8ANABfADEAXwAxAF8AXwAzAF8AXwBNAGEAcwBzAE8AZgBDAHIAbwBwAFIAZQBzAGkAZAB1AGUAQgB1AHIAbgB0AF8AQQByAGcAdQBtAGUAbgB0AHMAIgAsACIAQQBnAFIAZQBzAGkAZAB1AGUAXwBFAHEAdQBhAHQAaQBvAG4AcwBfAEwAZQBhAGMAaABpAG4AZwAuAFYARQBFAFIARwBfADYAXwAzAF8AMQBfADEAXwBfADEAXwBfAEwAZQBhAGMAaABpAG4AZwBBAG4AZABSAHUAbgBvAGYAZgBFAG0AaQBzAHMAaQBvAG4AcwBDAHIAbwBwAEEAbgBkAFAAYQBzAHQAdQByAGUAUgBlAHMAaQBkAHUAZQAiACwAIgBBAGcAUgBlAHMAaQBkAHUAZQBfAEUAcQB1AGEAdABpAG8AbgBzAF8ATABlAGEAYwBoAGkAbgBnAC4AVgBFAEUAUgBHAF8ANgBfADMAXwAxAF8AMQBfAF8AMQBfAF8ATABlAGEAYwBoAGkAbgBnAEEAbgBkAFIAdQBuAG8AZgBmAEUAbQBpAHMAcwBpAG8AbgBzAEMAcgBvAHAAQQBuAGQAUABhAHMAdAB1AHIAZQBSAGUAcwBpAGQAdQBlAF8AVABpAHQAbABlACIALAAiAEEAZwBSAGUAcwBpAGQAdQBlAF8ARQBxAHUAYQB0AGkAbwBuAHMAXwBMAGUAYQBjAGgAaQBuAGcALgBWAEUARQBSAEcAXwA2AF8AMwBfADEAXwAxAF8AXwAxAF8AXwBMAGUAYQBjAGgAaQBuAGcAQQBuAGQAUgB1AG4AbwBmAGYARQBtAGkAcwBzAGkAbwBuAHMAQwByAG8AcABBAG4AZABQAGEAcwB0AHUAcgBlAFIAZQBzAGkAZAB1AGUAXwBWAGEAcgBpAGEAYgBsAGUAIgAsACIAQQBnAFIAZQBzAGkAZAB1AGUAXwBFAHEAdQBhAHQAaQBvAG4AcwBfAEwAZQBhAGMAaABpAG4AZwAuAFYARQBFAFIARwBfADYAXwAzAF8AMQBfADEAXwBfADEAXwBfAEwAZQBhAGMAaABpAG4AZwBBAG4AZABSAHUAbgBvAGYAZgBFAG0AaQBzAHMAaQBvAG4AcwBDAHIAbwBwAEEAbgBkAFAAYQBzAHQAdQByAGUAUgBlAHMAaQBkAHUAZQBfAFUAbgBpAHQAIgAsACIAQQBnAFIAZQBzAGkAZAB1AGUAXwBFAHEAdQBhAHQAaQBvAG4AcwBfAEwAZQBhAGMAaABpAG4AZwAuAFYARQBFAFIARwBfADYAXwAzAF8AMQBfADEAXwBfADEAXwBfAEwAZQBhAGMAaABpAG4AZwBBAG4AZABSAHUAbgBvAGYAZgBFAG0AaQBzAHMAaQBvAG4AcwBDAHIAbwBwAEEAbgBkAFAAYQBzAHQAdQByAGUAUgBlAHMAaQBkAHUAZQBfAFMAbwB1AHIAYwBlACIALAAiAEEAZwBSAGUAcwBpAGQAdQBlAF8ARQBxAHUAYQB0AGkAbwBuAHMAXwBMAGUAYQBjAGgAaQBuAGcALgBWAEUARQBSAEcAXwA2AF8AMwBfADEAXwAxAF8AXwAxAF8AXwBMAGUAYQBjAGgAaQBuAGcAQQBuAGQAUgB1AG4AbwBmAGYARQBtAGkAcwBzAGkAbwBuAHMAQwByAG8AcABBAG4AZABQAGEAcwB0AHUAcgBlAFIAZQBzAGkAZAB1AGUAXwBOAEkAUgBSAGUAZgBlAHIAZQBuAGMAZQAiACwAIgBBAGcAUgBlAHMAaQBkAHUAZQBfAEUAcQB1AGEAdABpAG8AbgBzAF8ATABlAGEAYwBoAGkAbgBnAC4AVgBFAEUAUgBHAF8ANgBfADMAXwAxAF8AMQBfAF8AMQBfAF8ATABlAGEAYwBoAGkAbgBnAEEAbgBkAFIAdQBuAG8AZgBmAEUAbQBpAHMAcwBpAG8AbgBzAEMAcgBvAHAAQQBuAGQAUABhAHMAdAB1AHIAZQBSAGUAcwBpAGQAdQBlAF8ATABhAHQAZQB4AEUAcQB1AGEAdABpAG8AbgAiACwAIgBBAGcAUgBlAHMAaQBkAHUAZQBfAEUAcQB1AGEAdABpAG8AbgBzAF8ATABlAGEAYwBoAGkAbgBnAC4AVgBFAEUAUgBHAF8ANgBfADMAXwAxAF8AMQBfAF8AMQBfAF8ATABlAGEAYwBoAGkAbgBnAEEAbgBkAFIAdQBuAG8AZgBmAEUAbQBpAHMAcwBpAG8AbgBzAEMAcgBvAHAAQQBuAGQAUABhAHMAdAB1AHIAZQBSAGUAcwBpAGQAdQBlAF8AQQByAGcAdQBtAGUAbgB0AHMAIgAsACIAQQBnAFIAZQBzAGkAZAB1AGUAXwBFAHEAdQBhAHQAaQBvAG4AcwBfAEwAZQBhAGMAaABpAG4AZwAuAFYARQBFAFIARwBfADYAXwAzAF8AMQBfADEAXwBfADIAXwBfAE0AYQBzAHMATwBmAE4AaQB0AHIAbwBnAGUAbgBMAG8AcwB0AFQAaAByAG8AdQBnAGgATABlAGEAYwBoAGkAbgBnAEEAbgBkAFIAdQBuAG8AZgBmACIALAAiAEEAZwBSAGUAcwBpAGQAdQBlAF8ARQBxAHUAYQB0AGkAbwBuAHMAXwBMAGUAYQBjAGgAaQBuAGcALgBWAEUARQBSAEcAXwA2AF8AMwBfADEAXwAxAF8AXwAyAF8AXwBNAGEAcwBzAE8AZgBOAGkAdAByAG8AZwBlAG4ATABvAHMAdABUAGgAcgBvAHUAZwBoAEwAZQBhAGMAaABpAG4AZwBBAG4AZABSAHUAbgBvAGYAZgBfAFQAaQB0AGwAZQAiACwAIgBBAGcAUgBlAHMAaQBkAHUAZQBfAEUAcQB1AGEAdABpAG8AbgBzAF8ATABlAGEAYwBoAGkAbgBnAC4AVgBFAEUAUgBHAF8ANgBfADMAXwAxAF8AMQBfAF8AMgBfAF8ATQBhAHMAcwBPAGYATgBpAHQAcgBvAGcAZQBuAEwAbwBzAHQAVABoAHIAbwB1AGcAaABMAGUAYQBjAGgAaQBuAGcAQQBuAGQAUgB1AG4AbwBmAGYAXwBWAGEAcgBpAGEAYgBsAGUAIgAsACIAQQBnAFIAZQBzAGkAZAB1AGUAXwBFAHEAdQBhAHQAaQBvAG4AcwBfAEwAZQBhAGMAaABpAG4AZwAuAFYARQBFAFIARwBfADYAXwAzAF8AMQBfADEAXwBfADIAXwBfAE0AYQBzAHMATwBmAE4AaQB0AHIAbwBnAGUAbgBMAG8AcwB0AFQAaAByAG8AdQBnAGgATABlAGEAYwBoAGkAbgBnAEEAbgBkAFIAdQBuAG8AZgBmAF8AVQBuAGkAdAAiACwAIgBBAGcAUgBlAHMAaQBkAHUAZQBfAEUAcQB1AGEAdABpAG8AbgBzAF8ATABlAGEAYwBoAGkAbgBnAC4AVgBFAEUAUgBHAF8ANgBfADMAXwAxAF8AMQBfAF8AMgBfAF8ATQBhAHMAcwBPAGYATgBpAHQAcgBvAGcAZQBuAEwAbwBzAHQAVABoAHIAbwB1AGcAaABMAGUAYQBjAGgAaQBuAGcAQQBuAGQAUgB1AG4AbwBmAGYAXwBTAG8AdQByAGMAZQAiACwAIgBBAGcAUgBlAHMAaQBkAHUAZQBfAEUAcQB1AGEAdABpAG8AbgBzAF8ATABlAGEAYwBoAGkAbgBnAC4AVgBFAEUAUgBHAF8ANgBfADMAXwAxAF8AMQBfAF8AMgBfAF8ATQBhAHMAcwBPAGYATgBpAHQAcgBvAGcAZQBuAEwAbwBzAHQAVABoAHIAbwB1AGcAaABMAGUAYQBjAGgAaQBuAGcAQQBuAGQAUgB1AG4AbwBmAGYAXwBOAEkAUgBSAGUAZgBlAHIAZQBuAGMAZQAiACwAIgBBAGcAUgBlAHMAaQBkAHUAZQBfAEUAcQB1AGEAdABpAG8AbgBzAF8ATABlAGEAYwBoAGkAbgBnAC4AVgBFAEUAUgBHAF8ANgBfADMAXwAxAF8AMQBfAF8AMgBfAF8ATQBhAHMAcwBPAGYATgBpAHQAcgBvAGcAZQBuAEwAbwBzAHQAVABoAHIAbwB1AGcAaABMAGUAYQBjAGgAaQBuAGcAQQBuAGQAUgB1AG4AbwBmAGYAXwBMAGEAdABlAHgARQBxAHUAYQB0AGkAbwBuACIALAAiAEEAZwBSAGUAcwBpAGQAdQBlAF8ARQBxAHUAYQB0AGkAbwBuAHMAXwBMAGUAYQBjAGgAaQBuAGcALgBWAEUARQBSAEcAXwA2AF8AMwBfADEAXwAxAF8AXwAyAF8AXwBNAGEAcwBzAE8AZgBOAGkAdAByAG8AZwBlAG4ATABvAHMAdABUAGgAcgBvAHUAZwBoAEwAZQBhAGMAaABpAG4AZwBBAG4AZABSAHUAbgBvAGYAZgBfAEEAcgBnAHUAbQBlAG4AdABzACIALAAiAEEAZwBSAGUAcwBpAGQAdQBlAF8ARQBxAHUAYQB0AGkAbwBuAHMAXwBMAGUAYQBjAGgAaQBuAGcALgBWAEUARQBSAEcAXwA2AF8AMwBfADEAXwAxAF8AXwAyAF8AXwBNAGEAcwBzAE8AZgBOAGkAdAByAG8AZwBlAG4ATABvAHMAdABUAGgAcgBvAHUAZwBoAEwAZQBhAGMAaABpAG4AZwBBAG4AZABSAHUAbgBvAGYAZgBfAFYAYQByAGkAYQB0AGkAbwBuACIALAAiAEEAZwBSAGUAcwBpAGQAdQBlAF8ARQBxAHUAYQB0AGkAbwBuAHMAXwBQAGEAcwB0AHUAcgBlAFIAZQBzAGkAZAB1AGUALgBWAEUARQBSAEcAXwA2AF8AMgBfADEAXwAxAF8AXwAxAF8AXwBOAGkAdAByAG8AdQBzAE8AeABpAGQAZQBFAG0AaQBzAHMAaQBvAG4AcwBGAHIAbwBtAFAAYQBzAHQAdQByAGUAUgBlAHMAaQBkAHUAZQBzACIALAAiAEEAZwBSAGUAcwBpAGQAdQBlAF8ARQBxAHUAYQB0AGkAbwBuAHMAXwBQAGEAcwB0AHUAcgBlAFIAZQBzAGkAZAB1AGUALgBWAEUARQBSAEcAXwA2AF8AMgBfADEAXwAxAF8AXwAxAF8AXwBOAGkAdAByAG8AdQBzAE8AeABpAGQAZQBFAG0AaQBzAHMAaQBvAG4AcwBGAHIAbwBtAFAAYQBzAHQAdQByAGUAUgBlAHMAaQBkAHUAZQBzAF8AVABpAHQAbABlACIALAAiAEEAZwBSAGUAcwBpAGQAdQBlAF8ARQBxAHUAYQB0AGkAbwBuAHMAXwBQAGEAcwB0AHUAcgBlAFIAZQBzAGkAZAB1AGUALgBWAEUARQBSAEcAXwA2AF8AMgBfADEAXwAxAF8AXwAxAF8AXwBOAGkAdAByAG8AdQBzAE8AeABpAGQAZQBFAG0AaQBzAHMAaQBvAG4AcwBGAHIAbwBtAFAAYQBzAHQAdQByAGUAUgBlAHMAaQBkAHUAZQBzAF8AVgBhAHIAaQBhAGIAbABlACIALAAiAEEAZwBSAGUAcwBpAGQAdQBlAF8ARQBxAHUAYQB0AGkAbwBuAHMAXwBQAGEAcwB0AHUAcgBlAFIAZQBzAGkAZAB1AGUALgBWAEUARQBSAEcAXwA2AF8AMgBfADEAXwAxAF8AXwAxAF8AXwBOAGkAdAByAG8AdQBzAE8AeABpAGQAZQBFAG0AaQBzAHMAaQBvAG4AcwBGAHIAbwBtAFAAYQBzAHQAdQByAGUAUgBlAHMAaQBkAHUAZQBzAF8AVQBuAGkAdAAiACwAIgBBAGcAUgBlAHMAaQBkAHUAZQBfAEUAcQB1AGEAdABpAG8AbgBzAF8AUABhAHMAdAB1AHIAZQBSAGUAcwBpAGQAdQBlAC4AVgBFAEUAUgBHAF8ANgBfADIAXwAxAF8AMQBfAF8AMQBfAF8ATgBpAHQAcgBvAHUAcwBPAHgAaQBkAGUARQBtAGkAcwBzAGkAbwBuAHMARgByAG8AbQBQAGEAcwB0AHUAcgBlAFIAZQBzAGkAZAB1AGUAcwBfAFMAbwB1AHIAYwBlACIALAAiAEEAZwBSAGUAcwBpAGQAdQBlAF8ARQBxAHUAYQB0AGkAbwBuAHMAXwBQAGEAcwB0AHUAcgBlAFIAZQBzAGkAZAB1AGUALgBWAEUARQBSAEcAXwA2AF8AMgBfADEAXwAxAF8AXwAxAF8AXwBOAGkAdAByAG8AdQBzAE8AeABpAGQAZQBFAG0AaQBzAHMAaQBvAG4AcwBGAHIAbwBtAFAAYQBzAHQAdQByAGUAUgBlAHMAaQBkAHUAZQBzAF8ATgBJAFIAUgBlAGYAZQByAGUAbgBjAGUAIgAsACIAQQBnAFIAZQBzAGkAZAB1AGUAXwBFAHEAdQBhAHQAaQBvAG4AcwBfAFAAYQBzAHQAdQByAGUAUgBlAHMAaQBkAHUAZQAuAFYARQBFAFIARwBfADYAXwAyAF8AMQBfADEAXwBfADEAXwBfAE4AaQB0AHIAbwB1AHMATwB4AGkAZABlAEUAbQBpAHMAcwBpAG8AbgBzAEYAcgBvAG0AUABhAHMAdAB1AHIAZQBSAGUAcwBpAGQAdQBlAHMAXwBMAGEAdABlAHgARQBxAHUAYQB0AGkAbwBuACIALAAiAEEAZwBSAGUAcwBpAGQAdQBlAF8ARQBxAHUAYQB0AGkAbwBuAHMAXwBQAGEAcwB0AHUAcgBlAFIAZQBzAGkAZAB1AGUALgBWAEUARQBSAEcAXwA2AF8AMgBfADEAXwAxAF8AXwAxAF8AXwBOAGkAdAByAG8AdQBzAE8AeABpAGQAZQBFAG0AaQBzAHMAaQBvAG4AcwBGAHIAbwBtAFAAYQBzAHQAdQByAGUAUgBlAHMAaQBkAHUAZQBzAF8AQQByAGcAdQBtAGUAbgB0AHMAIgAsACIAQQBnAFIAZQBzAGkAZAB1AGUAXwBFAHEAdQBhAHQAaQBvAG4AcwBfAFAAYQBzAHQAdQByAGUAUgBlAHMAaQBkAHUAZQAuAFYARQBFAFIARwBfADYAXwAyAF8AMQBfADEAXwBfADIAXwBfAE0AYQBzAHMATwBmAE4AaQB0AHIAbwBnAGUAbgBJAG4AUABhAHMAdAB1AHIAZQBSAGUAcwBpAGQAdQBlAHMAIgAsACIAQQBnAFIAZQBzAGkAZAB1AGUAXwBFAHEAdQBhAHQAaQBvAG4AcwBfAFAAYQBzAHQAdQByAGUAUgBlAHMAaQBkAHUAZQAuAFYARQBFAFIARwBfADYAXwAyAF8AMQBfADEAXwBfADIAXwBfAE0AYQBzAHMATwBmAE4AaQB0AHIAbwBnAGUAbgBJAG4AUABhAHMAdAB1AHIAZQBSAGUAcwBpAGQAdQBlAHMAXwBUAGkAdABsAGUAIgAsACIAQQBnAFIAZQBzAGkAZAB1AGUAXwBFAHEAdQBhAHQAaQBvAG4AcwBfAFAAYQBzAHQAdQByAGUAUgBlAHMAaQBkAHUAZQAuAFYARQBFAFIARwBfADYAXwAyAF8AMQBfADEAXwBfADIAXwBfAE0AYQBzAHMATwBmAE4AaQB0AHIAbwBnAGUAbgBJAG4AUABhAHMAdAB1AHIAZQBSAGUAcwBpAGQAdQBlAHMAXwBWAGEAcgBpAGEAYgBsAGUAIgAsACIAQQBnAFIAZQBzAGkAZAB1AGUAXwBFAHEAdQBhAHQAaQBvAG4AcwBfAFAAYQBzAHQAdQByAGUAUgBlAHMAaQBkAHUAZQAuAFYARQBFAFIARwBfADYAXwAyAF8AMQBfADEAXwBfADIAXwBfAE0AYQBzAHMATwBmAE4AaQB0AHIAbwBnAGUAbgBJAG4AUABhAHMAdAB1AHIAZQBSAGUAcwBpAGQAdQBlAHMAXwBVAG4AaQB0ACIALAAiAEEAZwBSAGUAcwBpAGQAdQBlAF8ARQBxAHUAYQB0AGkAbwBuAHMAXwBQAGEAcwB0AHUAcgBlAFIAZQBzAGkAZAB1AGUALgBWAEUARQBSAEcAXwA2AF8AMgBfADEAXwAxAF8AXwAyAF8AXwBNAGEAcwBzAE8AZgBOAGkAdAByAG8AZwBlAG4ASQBuAFAAYQBzAHQAdQByAGUAUgBlAHMAaQBkAHUAZQBzAF8AUwBvAHUAcgBjAGUAIgAsACIAQQBnAFIAZQBzAGkAZAB1AGUAXwBFAHEAdQBhAHQAaQBvAG4AcwBfAFAAYQBzAHQAdQByAGUAUgBlAHMAaQBkAHUAZQAuAFYARQBFAFIARwBfADYAXwAyAF8AMQBfADEAXwBfADIAXwBfAE0AYQBzAHMATwBmAE4AaQB0AHIAbwBnAGUAbgBJAG4AUABhAHMAdAB1AHIAZQBSAGUAcwBpAGQAdQBlAHMAXwBOAEkAUgBSAGUAZgBlAHIAZQBuAGMAZQAiACwAIgBBAGcAUgBlAHMAaQBkAHUAZQBfAEUAcQB1AGEAdABpAG8AbgBzAF8AUABhAHMAdAB1AHIAZQBSAGUAcwBpAGQAdQBlAC4AVgBFAEUAUgBHAF8ANgBfADIAXwAxAF8AMQBfAF8AMgBfAF8ATQBhAHMAcwBPAGYATgBpAHQAcgBvAGcAZQBuAEkAbgBQAGEAcwB0AHUAcgBlAFIAZQBzAGkAZAB1AGUAcwBfAEwAYQB0AGUAeABFAHEAdQBhAHQAaQBvAG4AIgAsACIAQQBnAFIAZQBzAGkAZAB1AGUAXwBFAHEAdQBhAHQAaQBvAG4AcwBfAFAAYQBzAHQAdQByAGUAUgBlAHMAaQBkAHUAZQAuAFYARQBFAFIARwBfADYAXwAyAF8AMQBfADEAXwBfADIAXwBfAE0AYQBzAHMATwBmAE4AaQB0AHIAbwBnAGUAbgBJAG4AUABhAHMAdAB1AHIAZQBSAGUAcwBpAGQAdQBlAH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Home</vt:lpstr>
      <vt:lpstr>Overview</vt:lpstr>
      <vt:lpstr>Results</vt:lpstr>
      <vt:lpstr>Input - Site</vt:lpstr>
      <vt:lpstr>Input - Crop</vt:lpstr>
      <vt:lpstr>Input - Pasture</vt:lpstr>
      <vt:lpstr>6.1.1.1-2 Crop residue N2O</vt:lpstr>
      <vt:lpstr>6.2.1.1-2 Pasture residue N2O</vt:lpstr>
      <vt:lpstr>5.2.1.1-2 Organic Fert N2O</vt:lpstr>
      <vt:lpstr>5.3.1.1-2 Lime CO2</vt:lpstr>
      <vt:lpstr>5.4.1.1-4 Atmos deposition</vt:lpstr>
      <vt:lpstr>5.5.1.1-2 Leaching and runoff</vt:lpstr>
      <vt:lpstr>Constants - Ag Residue</vt:lpstr>
      <vt:lpstr>Constants - Common</vt:lpstr>
      <vt:lpstr>'6.2.1.1-2 Pasture residue N2O'!_Toc225350898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2026-04-29T07:19:08Z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