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DB08862-816D-460A-9BBB-5C04ABFAE671}" xr6:coauthVersionLast="47" xr6:coauthVersionMax="47" xr10:uidLastSave="{00000000-0000-0000-0000-000000000000}"/>
  <bookViews>
    <workbookView xWindow="1830" yWindow="510" windowWidth="36645" windowHeight="19350" activeTab="1"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4.1.1-2 Residue burning" sheetId="114" r:id="rId10"/>
    <sheet name="Constants - Ag Residue" sheetId="110" r:id="rId11"/>
    <sheet name="Constants - Common" sheetId="111" r:id="rId12"/>
  </sheets>
  <externalReferences>
    <externalReference r:id="rId13"/>
  </externalReference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c","dimensionless","Constant";"R_BGc","below ground-residue to above ground residue ratio for crop c","dimensionless","Constant";"F_c","fraction of crop residue that is burnt for crop c","dimensionless","Input";"FFOD_c","fraction of the crop residue that is removed for crop c","dimensionless","Constant";"DM_c","dry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c","dimensionless","Constant";"R_BGc","below ground-residue to above ground residue ratio for crop c","dimensionless","Constant";"F_c","fraction of crop residue that is burnt for crop c","dimensionless","Input";"FFOD_c","fraction of the crop residue that is removed for crop c","dimensionless","Calculated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generated","dimensionless","Input";"M_B","mass of each bale","kg","Input";"P_c","annual production of crop c","kg","Input";"R_AGc","residue to crop ratio for crop c","dimensionless","Input";"c","Crop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c","dimensionless","Constant";"EF_CH4","emission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burning","dimensionless","Constant";"DM_c","dry matter content of crop type c","kg dry weight/kg crop residue","Constant";"Z_c","burning efficiency (ratio of fuel burnt to fuel load) of crop type c","dimensionless","Constant";"F_c","fraction of the annual production of crop type c that is burnt","dimensionless","Constant";"c","Crop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ir","dimensionless","Constant";"FracLEACH","fraction of N that is lost through leaching and runoff","dimensionless","Constant";"z","Location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crop","dimensionless","Constant";"NC_BGp","N content of below-ground pasture crop residue","kg N/kg DM","Constant";"FFOD_p","fraction of pasture yield that is removed","dimensionless","Constant";"p","Pasture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crop","dimensionless","Constant";"NC_BGp","N content of below-ground pasture crop residue","kg N/kg DM","Constant";"FFOD_p","fraction of pasture yield that is removed","dimensionless","Constant";"p","Pasture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10" l="1" a="1"/>
  <c r="D5" i="110" s="1"/>
  <c r="K10" i="110" a="1"/>
  <c r="K10" i="110" s="1"/>
  <c r="J10" i="110"/>
  <c r="J10" i="110" a="1"/>
  <c r="I10" i="110"/>
  <c r="I10" i="110" a="1"/>
  <c r="H10" i="110" a="1"/>
  <c r="H10" i="110" s="1"/>
  <c r="G10" i="110" a="1"/>
  <c r="G10" i="110" s="1"/>
  <c r="F10" i="110"/>
  <c r="F10" i="110" a="1"/>
  <c r="E10" i="110" a="1"/>
  <c r="E10" i="110" s="1"/>
  <c r="D10" i="110" a="1"/>
  <c r="D10" i="110" s="1"/>
  <c r="K9" i="110"/>
  <c r="K9" i="110" a="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F17" i="70" l="1"/>
  <c r="D26" i="70"/>
  <c r="D25" i="70"/>
  <c r="D24" i="70"/>
  <c r="D17" i="70"/>
  <c r="F22" i="70"/>
  <c r="D26" i="114" l="1" a="1"/>
  <c r="D26" i="114" s="1"/>
  <c r="D49" i="114" a="1"/>
  <c r="D49" i="114" s="1"/>
  <c r="H65" i="114"/>
  <c r="H42" i="114"/>
  <c r="I60" i="114"/>
  <c r="I37" i="114"/>
  <c r="I59" i="114"/>
  <c r="I36" i="114"/>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I18" i="114"/>
  <c r="I19" i="114"/>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c r="P53" i="113" a="1"/>
  <c r="Q51" i="113"/>
  <c r="N50" i="113" a="1"/>
  <c r="N50" i="113" s="1"/>
  <c r="P48" i="113"/>
  <c r="G25" i="113"/>
  <c r="G24" i="113"/>
  <c r="F25" i="113"/>
  <c r="F24" i="113"/>
  <c r="H24" i="113" s="1" a="1"/>
  <c r="H24" i="113" s="1"/>
  <c r="J37" i="113"/>
  <c r="G51" i="113"/>
  <c r="F48" i="113"/>
  <c r="J40" i="113"/>
  <c r="J36" i="113" a="1"/>
  <c r="J36" i="113" s="1"/>
  <c r="J19" i="113" a="1"/>
  <c r="J19" i="113" s="1"/>
  <c r="J16" i="113" a="1"/>
  <c r="J16" i="113" s="1"/>
  <c r="J14" i="113" a="1"/>
  <c r="J14" i="113" s="1"/>
  <c r="J13" i="113" a="1"/>
  <c r="J13" i="113" s="1"/>
  <c r="J18" i="113"/>
  <c r="H25" i="113" a="1"/>
  <c r="H25" i="113" s="1"/>
  <c r="J17" i="113"/>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I39" i="69"/>
  <c r="J36" i="74"/>
  <c r="J19" i="74"/>
  <c r="J38" i="113"/>
  <c r="J15" i="113"/>
  <c r="A47" i="69"/>
  <c r="D26" i="74" a="1"/>
  <c r="D26" i="74" s="1"/>
  <c r="H13" i="113" a="1"/>
  <c r="H13" i="113" s="1"/>
  <c r="H36" i="113" a="1"/>
  <c r="H36" i="113" s="1"/>
  <c r="D36" i="113" a="1"/>
  <c r="D36" i="113" s="1"/>
  <c r="D13" i="113" a="1"/>
  <c r="D13" i="113" s="1"/>
  <c r="E34" i="113" a="1"/>
  <c r="E34" i="113" s="1"/>
  <c r="E33" i="113" a="1"/>
  <c r="E33" i="113" s="1"/>
  <c r="D29" i="113" a="1"/>
  <c r="D29" i="113" s="1"/>
  <c r="D28" i="113" a="1"/>
  <c r="D28" i="113" s="1"/>
  <c r="E11" i="113" a="1"/>
  <c r="E11" i="113" s="1"/>
  <c r="E10" i="113" a="1"/>
  <c r="E10" i="113" s="1"/>
  <c r="D6" i="113" a="1"/>
  <c r="D6" i="113" s="1"/>
  <c r="D5" i="113" a="1"/>
  <c r="D5" i="113" s="1"/>
  <c r="F53" i="113" a="1"/>
  <c r="F53" i="113" s="1"/>
  <c r="D50" i="113" a="1"/>
  <c r="D50" i="113" s="1"/>
  <c r="J39" i="113"/>
  <c r="E50" i="114" a="1"/>
  <c r="E7" i="114" a="1"/>
  <c r="E27" i="114" a="1"/>
  <c r="E30" i="113" a="1"/>
  <c r="E7" i="113" a="1"/>
  <c r="I57" i="114" l="1" a="1"/>
  <c r="I57" i="114" s="1"/>
  <c r="I35" i="114" a="1"/>
  <c r="I35" i="114" s="1"/>
  <c r="I15" i="114" a="1"/>
  <c r="I15" i="114" s="1"/>
  <c r="I34" i="114" a="1"/>
  <c r="I34" i="114" s="1"/>
  <c r="I17" i="114" a="1"/>
  <c r="I17" i="114" s="1"/>
  <c r="I16" i="114" a="1"/>
  <c r="I16" i="114" s="1"/>
  <c r="E27" i="114"/>
  <c r="E7" i="114"/>
  <c r="E50" i="114"/>
  <c r="E30" i="113"/>
  <c r="E7" i="113"/>
  <c r="P45" i="74" l="1" a="1"/>
  <c r="P45" i="74" s="1"/>
  <c r="Q43" i="74"/>
  <c r="N42" i="74" a="1"/>
  <c r="N42" i="74" s="1"/>
  <c r="P40" i="74"/>
  <c r="P40" i="74" a="1"/>
  <c r="R33" i="74" a="1"/>
  <c r="R33" i="74" s="1"/>
  <c r="N33" i="74" a="1"/>
  <c r="N33" i="74" s="1"/>
  <c r="O31" i="74" a="1"/>
  <c r="O31" i="74" s="1"/>
  <c r="O30" i="74" a="1"/>
  <c r="O30" i="74" s="1"/>
  <c r="N26" i="74"/>
  <c r="N26" i="74" a="1"/>
  <c r="N25" i="74" a="1"/>
  <c r="N25" i="74" s="1"/>
  <c r="R13" i="74" a="1"/>
  <c r="R13" i="74" s="1"/>
  <c r="N13" i="74" a="1"/>
  <c r="N13" i="74" s="1"/>
  <c r="P21" i="74" a="1"/>
  <c r="P21" i="74" s="1"/>
  <c r="H33" i="74" a="1"/>
  <c r="H33" i="74" s="1"/>
  <c r="D33" i="74" a="1"/>
  <c r="D33" i="74" s="1"/>
  <c r="H13" i="74" a="1"/>
  <c r="H13" i="74" s="1"/>
  <c r="D13" i="74" a="1"/>
  <c r="D13" i="74" s="1"/>
  <c r="F40" i="74"/>
  <c r="F40" i="74" a="1"/>
  <c r="E31" i="74" a="1"/>
  <c r="E31" i="74" s="1"/>
  <c r="E30" i="74" a="1"/>
  <c r="E30" i="74" s="1"/>
  <c r="D25" i="74" a="1"/>
  <c r="D25" i="74" s="1"/>
  <c r="F21" i="74" a="1"/>
  <c r="F21" i="74" s="1"/>
  <c r="E11" i="74" a="1"/>
  <c r="E11" i="74" s="1"/>
  <c r="E10" i="74" a="1"/>
  <c r="E10" i="74" s="1"/>
  <c r="D6" i="74" a="1"/>
  <c r="D6" i="74" s="1"/>
  <c r="D5" i="74" a="1"/>
  <c r="D5" i="74" s="1"/>
  <c r="G43" i="74"/>
  <c r="J35" i="74"/>
  <c r="J37" i="74"/>
  <c r="J13" i="74"/>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I16" i="69"/>
  <c r="I13" i="69"/>
  <c r="O82" i="69" a="1"/>
  <c r="O82" i="69" s="1"/>
  <c r="M79" i="69" a="1"/>
  <c r="M79" i="69" s="1"/>
  <c r="P71" i="69" a="1"/>
  <c r="P71" i="69" s="1"/>
  <c r="M71" i="69" a="1"/>
  <c r="M71" i="69" s="1"/>
  <c r="N69" i="69" a="1"/>
  <c r="N69" i="69" s="1"/>
  <c r="N68" i="69" a="1"/>
  <c r="N68" i="69" s="1"/>
  <c r="M64" i="69" a="1"/>
  <c r="M64" i="69" s="1"/>
  <c r="M63" i="69" a="1"/>
  <c r="M63" i="69" s="1"/>
  <c r="N46" i="69"/>
  <c r="N46" i="69" a="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S34" i="69"/>
  <c r="Q16" i="69"/>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21" i="69"/>
  <c r="I15" i="69" s="1" a="1"/>
  <c r="I15" i="69" s="1"/>
  <c r="F47" i="69" a="1"/>
  <c r="F47" i="69" s="1"/>
  <c r="D44" i="69" a="1"/>
  <c r="D44" i="69" s="1"/>
  <c r="D30" i="70"/>
  <c r="E22" i="70"/>
  <c r="I13" i="114" s="1"/>
  <c r="O27" i="74" a="1"/>
  <c r="E7" i="74" a="1"/>
  <c r="E27" i="74" a="1"/>
  <c r="N42" i="69" a="1"/>
  <c r="N65" i="69" a="1"/>
  <c r="E30" i="69" a="1"/>
  <c r="E7" i="69" a="1"/>
  <c r="N8" i="69" a="1"/>
  <c r="J16" i="74" l="1" a="1"/>
  <c r="J16" i="74" s="1"/>
  <c r="E19" i="120"/>
  <c r="J17" i="74" a="1"/>
  <c r="J17" i="74" s="1"/>
  <c r="J18" i="74" a="1"/>
  <c r="J18" i="74" s="1"/>
  <c r="J34" i="74" a="1"/>
  <c r="J34" i="74" s="1"/>
  <c r="Q17" i="69"/>
  <c r="O27" i="74"/>
  <c r="J14" i="74" a="1"/>
  <c r="J14" i="74" s="1"/>
  <c r="J15" i="74" a="1"/>
  <c r="J15" i="74" s="1"/>
  <c r="E18" i="70" a="1"/>
  <c r="E18" i="70" s="1"/>
  <c r="E27" i="74"/>
  <c r="E7" i="74"/>
  <c r="O77" i="69"/>
  <c r="O59" i="69"/>
  <c r="N65" i="69"/>
  <c r="N42" i="69"/>
  <c r="I19" i="69" a="1"/>
  <c r="I19" i="69" s="1"/>
  <c r="I18" i="69" a="1"/>
  <c r="I18" i="69" s="1"/>
  <c r="I20" i="69" a="1"/>
  <c r="I20" i="69" s="1"/>
  <c r="E30" i="69"/>
  <c r="N8" i="69"/>
  <c r="E7" i="69"/>
  <c r="T14" i="74" l="1"/>
  <c r="O21" i="74" s="1" a="1"/>
  <c r="O21" i="74" s="1"/>
  <c r="E20" i="120"/>
  <c r="E19" i="70"/>
  <c r="E20" i="70" s="1"/>
  <c r="I14" i="114"/>
  <c r="E21" i="114" s="1" a="1"/>
  <c r="E21" i="114" s="1"/>
  <c r="E21" i="74" a="1"/>
  <c r="E21" i="74" s="1"/>
  <c r="E25" i="113" s="1"/>
  <c r="I25" i="113" s="1" a="1"/>
  <c r="I25" i="113" s="1"/>
  <c r="D46" i="113" s="1"/>
  <c r="E46" i="113" s="1" a="1"/>
  <c r="E46" i="113" s="1"/>
  <c r="Q18" i="69"/>
  <c r="I14" i="69"/>
  <c r="E30" i="70"/>
  <c r="E44" i="70" s="1"/>
  <c r="T33" i="74" l="1"/>
  <c r="O40" i="74" s="1" a="1"/>
  <c r="O40" i="74" s="1"/>
  <c r="Q42" i="74" s="1"/>
  <c r="O45" i="74" s="1" a="1"/>
  <c r="O45" i="74" s="1"/>
  <c r="I10" i="13" s="1"/>
  <c r="O25" i="113"/>
  <c r="S25" i="113" s="1" a="1"/>
  <c r="S25" i="113" s="1"/>
  <c r="N46" i="113" s="1"/>
  <c r="O46" i="113" s="1" a="1"/>
  <c r="O46" i="113" s="1"/>
  <c r="I33" i="114"/>
  <c r="E39" i="114" s="1" a="1"/>
  <c r="E39" i="114" s="1"/>
  <c r="I56" i="114"/>
  <c r="E62" i="114" s="1" a="1"/>
  <c r="E62" i="114" s="1"/>
  <c r="J33" i="74"/>
  <c r="E40" i="74" s="1" a="1"/>
  <c r="E40" i="74" s="1"/>
  <c r="E36" i="70"/>
  <c r="E35" i="70" s="1"/>
  <c r="Q15" i="69" s="1"/>
  <c r="N21" i="69" s="1" a="1"/>
  <c r="N21" i="69" s="1"/>
  <c r="S33" i="69" s="1"/>
  <c r="N36" i="69" s="1" a="1"/>
  <c r="N36" i="69" s="1"/>
  <c r="R52" i="69" s="1"/>
  <c r="N59" i="69" s="1" a="1"/>
  <c r="N59" i="69" s="1"/>
  <c r="E40" i="70"/>
  <c r="F10" i="13" l="1"/>
  <c r="H64" i="114"/>
  <c r="E67" i="114" s="1" a="1"/>
  <c r="E67" i="114" s="1"/>
  <c r="H13" i="13" s="1"/>
  <c r="I13" i="13" s="1"/>
  <c r="E13" i="13"/>
  <c r="F13" i="13" s="1"/>
  <c r="H41" i="114"/>
  <c r="E44" i="114" s="1" a="1"/>
  <c r="E44" i="114" s="1"/>
  <c r="H12" i="13" s="1"/>
  <c r="E12" i="13"/>
  <c r="G42" i="74"/>
  <c r="E45" i="74" s="1" a="1"/>
  <c r="E45" i="74" s="1"/>
  <c r="H10" i="13" s="1"/>
  <c r="E10" i="13"/>
  <c r="R71" i="69"/>
  <c r="O24" i="113"/>
  <c r="S24" i="113" s="1" a="1"/>
  <c r="S24" i="113" s="1"/>
  <c r="N45" i="113" s="1"/>
  <c r="O45" i="113" s="1" a="1"/>
  <c r="O45" i="113" s="1"/>
  <c r="O48" i="113" s="1"/>
  <c r="E46" i="70"/>
  <c r="A20" i="118"/>
  <c r="A8" i="118"/>
  <c r="A5" i="118"/>
  <c r="A4" i="118"/>
  <c r="A3" i="118"/>
  <c r="Q50" i="113" l="1"/>
  <c r="O53" i="113" s="1" a="1"/>
  <c r="O53" i="113" s="1"/>
  <c r="I11" i="13" s="1"/>
  <c r="F11" i="13"/>
  <c r="A67" i="114"/>
  <c r="A46" i="114"/>
  <c r="A44" i="70"/>
  <c r="A83" i="69"/>
  <c r="A76" i="74"/>
  <c r="A45" i="74"/>
  <c r="A34" i="113"/>
  <c r="A55" i="113"/>
  <c r="E259" i="111" a="1"/>
  <c r="E259" i="111" s="1"/>
  <c r="D259" i="111" a="1"/>
  <c r="D259" i="111" s="1"/>
  <c r="E258" i="111" a="1"/>
  <c r="E258" i="111" s="1"/>
  <c r="D258" i="111" a="1"/>
  <c r="D258" i="111" s="1"/>
  <c r="D256" i="111" a="1"/>
  <c r="D256" i="111" s="1"/>
  <c r="D255" i="111" a="1"/>
  <c r="D255" i="111" s="1"/>
  <c r="D254" i="111" a="1"/>
  <c r="D254" i="111" s="1"/>
  <c r="D253" i="111" a="1"/>
  <c r="D253" i="111" s="1"/>
  <c r="S250" i="111" l="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I22" i="69" s="1" a="1"/>
  <c r="I22" i="69" s="1"/>
  <c r="I17" i="69" s="1" a="1"/>
  <c r="I17" i="69" s="1"/>
  <c r="E24" i="69" s="1" a="1"/>
  <c r="E24" i="69" s="1"/>
  <c r="E24" i="113" s="1"/>
  <c r="I24" i="113" s="1" a="1"/>
  <c r="I24" i="113" s="1"/>
  <c r="D45" i="113" s="1"/>
  <c r="E45" i="113" s="1" a="1"/>
  <c r="E45" i="113" s="1"/>
  <c r="E48" i="113" s="1"/>
  <c r="E11" i="13" s="1"/>
  <c r="D7" i="111" a="1"/>
  <c r="D7" i="111" s="1"/>
  <c r="D5" i="111" a="1"/>
  <c r="D5" i="111" s="1"/>
  <c r="I36" i="69" l="1"/>
  <c r="G50" i="113"/>
  <c r="E53" i="113" s="1" a="1"/>
  <c r="E53" i="113" s="1"/>
  <c r="H11" i="13" s="1"/>
  <c r="P80" i="69"/>
  <c r="G45" i="69"/>
  <c r="R73" i="69"/>
  <c r="E33" i="15"/>
  <c r="E30" i="15"/>
  <c r="H50" i="111"/>
  <c r="I38" i="69" s="1"/>
  <c r="H51" i="111"/>
  <c r="H49" i="111"/>
  <c r="H53" i="111"/>
  <c r="H48" i="111"/>
  <c r="H54" i="111"/>
  <c r="H52" i="111"/>
  <c r="I12" i="13" l="1"/>
  <c r="F12" i="13"/>
  <c r="E29" i="15" l="1"/>
  <c r="E31" i="15" s="1"/>
  <c r="E32" i="15" s="1"/>
  <c r="I40" i="69" l="1"/>
  <c r="I37" i="69" s="1" a="1"/>
  <c r="I37" i="69" s="1"/>
  <c r="E42" i="69" s="1" a="1"/>
  <c r="E42" i="69" s="1"/>
  <c r="R75" i="69"/>
  <c r="R72" i="69" s="1" a="1"/>
  <c r="R72" i="69" s="1"/>
  <c r="N77" i="69" s="1" a="1"/>
  <c r="N77" i="69" s="1"/>
  <c r="E13" i="15"/>
  <c r="G44" i="69" l="1"/>
  <c r="E47" i="69" s="1" a="1"/>
  <c r="E47" i="69" s="1"/>
  <c r="H9" i="13" s="1"/>
  <c r="H14" i="13" s="1"/>
  <c r="E9" i="13"/>
  <c r="P79" i="69"/>
  <c r="N82" i="69" s="1" a="1"/>
  <c r="N82" i="69" s="1"/>
  <c r="I9" i="13" s="1"/>
  <c r="I14"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<sst xmlns="http://schemas.openxmlformats.org/spreadsheetml/2006/main" count="385" uniqueCount="233">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</sst>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7"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7"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9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Equation table" pivot="0" count="6" xr9:uid="{B247698E-E41D-4CCD-AA0A-C14817E9DE65}">
      <tableStyleElement type="wholeTable" dxfId="87"/>
      <tableStyleElement type="headerRow" dxfId="86"/>
      <tableStyleElement type="totalRow" dxfId="85"/>
      <tableStyleElement type="firstColumn" dxfId="84"/>
      <tableStyleElement type="firstRowStripe" dxfId="83"/>
      <tableStyleElement type="secondRowStripe" dxfId="82"/>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mc:Choice xmlns:a14="http://schemas.microsoft.com/office/drawing/2010/main"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Old\GAF2-Template-WIP-v30.xlsx" TargetMode="External"/><Relationship Id="rId1" Type="http://schemas.openxmlformats.org/officeDocument/2006/relationships/externalLinkPath" Target="Old/GAF2-Template-WIP-v3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 - MMS - Feedlot"/>
      <sheetName val="Calcs - CH4 MMS Feedlot"/>
      <sheetName val="Input - MMS - Poultry"/>
      <sheetName val="Calcs - CH4 MMS Poultry"/>
      <sheetName val="Input - Herd - Swine"/>
      <sheetName val="Input - MMS - Swine"/>
      <sheetName val="Calcs - CH4 MMS Swine"/>
      <sheetName val="Tab template"/>
      <sheetName val="Results"/>
      <sheetName val="Input - Site"/>
      <sheetName val="Input - Production"/>
      <sheetName val="Input - Herd - Dairy"/>
      <sheetName val="Input - Feed - Dairy"/>
      <sheetName val="Input - Herd - Feedlot"/>
      <sheetName val="Input - Grains"/>
      <sheetName val="Input - Pasture"/>
      <sheetName val="Input - Fert Lime Chem"/>
      <sheetName val="Input - Fuel &amp; Energy"/>
      <sheetName val="Input - Other Farm Inputs"/>
      <sheetName val="Input - Aquaculture"/>
      <sheetName val="Input - Data Quality"/>
      <sheetName val="Input - LULUCF"/>
      <sheetName val="Calcs - Fert Lime"/>
      <sheetName val="Calcs - Residue mgmt - Crop"/>
      <sheetName val="Calcs - Residue mgmt - Pasture"/>
      <sheetName val="Calcs - Field burning"/>
      <sheetName val="Calcs - Fuel"/>
      <sheetName val="Calcs - Electricity"/>
      <sheetName val="Calcs - Refrigerants"/>
      <sheetName val="Calcs - Scope 3"/>
      <sheetName val="Constants - Common"/>
      <sheetName val="Constants - Cropping"/>
      <sheetName val="Constants - Livestock"/>
      <sheetName val="Constants - Dairy"/>
      <sheetName val="Constants - Feedlot"/>
      <sheetName val="Sty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9">
          <cell r="E9" t="str">
            <v>Wheat</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81">
      <calculatedColumnFormula array="1">Common_InputFunctions.Utility_DisplayArrayInTable(Agresidue_SourceData.CropFractionRemoved_Data(), Table76[[#Headers],[Crop type c]], 0)</calculatedColumnFormula>
    </tableColumn>
    <tableColumn id="3" xr3:uid="{BB1819D3-B175-4610-A8F6-4C85437820E5}" name="Fraction removed" dataDxfId="80">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79">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78">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77" dataCellStyle="Content bold">
  <autoFilter ref="D43:E45" xr:uid="{2270AB6D-D03A-4D71-95C0-00BA6BB02732}">
    <filterColumn colId="0" hiddenButton="1"/>
    <filterColumn colId="1" hiddenButton="1"/>
  </autoFilter>
  <tableColumns count="2">
    <tableColumn id="1" xr3:uid="{C1F5DE5C-442A-47C8-B53B-A669D141AC48}" name="Climate zone type i" dataDxfId="76"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75"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74"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73"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72"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71"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70"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69"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68"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3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3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2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5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5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5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4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4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3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3.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tabSelected="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17" sqref="E17"/>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'6.1.1.1-2 Crop residue N2O'!E42</f>
        <v>6.6792000000000012E-4</v>
      </c>
      <c r="F9" s="125">
        <f>'6.1.1.1-2 Crop residue N2O'!N77</f>
        <v>6.6792000000000012E-4</v>
      </c>
      <c r="G9" s="52" t="s">
        <v>100</v>
      </c>
      <c r="H9" s="100">
        <f>'6.1.1.1-2 Crop residue N2O'!E47</f>
        <v>0.17699880000000004</v>
      </c>
      <c r="I9" s="100">
        <f>'6.1.1.1-2 Crop residue N2O'!N82</f>
        <v>0.17699880000000004</v>
      </c>
      <c r="J9" s="52" t="s">
        <v>92</v>
      </c>
      <c r="K9" s="22"/>
    </row>
    <row r="10" spans="1:11" ht="20.100000000000001" customHeight="1" x14ac:dyDescent="0.25">
      <c r="A10" s="17" t="str">
        <f>HYPERLINK("#'Input - Pasture'!A1", "Pasture")</f>
        <v>Pasture</v>
      </c>
      <c r="C10" s="22"/>
      <c r="D10" s="1" t="s">
        <v>218</v>
      </c>
      <c r="E10" s="144">
        <f>'6.2.1.1-2 Pasture residue N2O'!E40</f>
        <v>5.8320428571428569E-7</v>
      </c>
      <c r="F10" s="144">
        <f>'6.2.1.1-2 Pasture residue N2O'!O40</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'6.3.1.1-2 Leaching and runoff'!E48</f>
        <v>3.5296969186285711E-4</v>
      </c>
      <c r="F11" s="125">
        <f>'6.3.1.1-2 Leaching and runoff'!O48</f>
        <v>3.5296969186285711E-4</v>
      </c>
      <c r="G11" s="52" t="s">
        <v>100</v>
      </c>
      <c r="H11" s="100">
        <f>'6.3.1.1-2 Leaching and runoff'!E53</f>
        <v>9.3536968343657129E-2</v>
      </c>
      <c r="I11" s="100">
        <f>'6.3.1.1-2 Leaching and runoff'!O53</f>
        <v>9.3536968343657129E-2</v>
      </c>
      <c r="J11" s="52" t="s">
        <v>92</v>
      </c>
      <c r="K11" s="22"/>
    </row>
    <row r="12" spans="1:11" ht="20.100000000000001" customHeight="1" x14ac:dyDescent="0.25">
      <c r="A12" s="19" t="s">
        <v>69</v>
      </c>
      <c r="C12" s="22"/>
      <c r="D12" s="1" t="s">
        <v>220</v>
      </c>
      <c r="E12" s="125">
        <f>'6.4.1.1-2 Residue burning'!E39</f>
        <v>1.276930285714286E-4</v>
      </c>
      <c r="F12" s="125">
        <f>E12</f>
        <v>1.276930285714286E-4</v>
      </c>
      <c r="G12" s="52" t="s">
        <v>100</v>
      </c>
      <c r="H12" s="100">
        <f>'6.4.1.1-2 Residue burning'!E44</f>
        <v>3.3838652571428582E-2</v>
      </c>
      <c r="I12" s="100">
        <f>H12</f>
        <v>3.3838652571428582E-2</v>
      </c>
      <c r="J12" s="52" t="s">
        <v>92</v>
      </c>
      <c r="K12" s="22"/>
    </row>
    <row r="13" spans="1:11" ht="20.100000000000001" customHeight="1" x14ac:dyDescent="0.25">
      <c r="A13" s="17" t="str">
        <f>HYPERLINK("#'6.1.1.1-2 Crop residue N2O'!A1", "6.1.1.1-2 Crop residue N2O")</f>
        <v>6.1.1.1-2 Crop residue N2O</v>
      </c>
      <c r="C13" s="22"/>
      <c r="D13" s="1" t="s">
        <v>220</v>
      </c>
      <c r="E13" s="125">
        <f>'6.4.1.1-2 Residue burning'!E62</f>
        <v>3.3264000000000002E-3</v>
      </c>
      <c r="F13" s="125">
        <f>E13</f>
        <v>3.3264000000000002E-3</v>
      </c>
      <c r="G13" s="52" t="s">
        <v>221</v>
      </c>
      <c r="H13" s="100">
        <f>'6.4.1.1-2 Residue burning'!E67</f>
        <v>9.3139200000000005E-2</v>
      </c>
      <c r="I13" s="100">
        <f>H13</f>
        <v>9.3139200000000005E-2</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0.39766817005080002</v>
      </c>
      <c r="I14" s="101">
        <f>SUM(I9:I13)</f>
        <v>0.39766817005080002</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zoomScale="85" zoomScaleNormal="85"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10</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15</v>
      </c>
      <c r="F19" s="2" t="s">
        <v>139</v>
      </c>
    </row>
    <row r="20" spans="1:6" ht="20.100000000000001" customHeight="1" x14ac:dyDescent="0.25">
      <c r="A20" s="17" t="str">
        <f>HYPERLINK("#'Constants - Common'!A1", "Constants - Common")</f>
        <v>Constants - Common</v>
      </c>
      <c r="D20" s="1" t="s">
        <v>138</v>
      </c>
      <c r="E20" s="50">
        <f>E17+E19</f>
        <v>25</v>
      </c>
      <c r="F20" s="2" t="s">
        <v>139</v>
      </c>
    </row>
    <row r="21" spans="1:6" ht="20.100000000000001" customHeight="1" x14ac:dyDescent="0.25"/>
    <row r="22" spans="1:6" ht="20.100000000000001" customHeight="1" x14ac:dyDescent="0.25">
      <c r="D22" s="51" t="s">
        <v>232</v>
      </c>
      <c r="E22" s="50">
        <f>E17*E13</f>
        <v>10000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15000</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25000</v>
      </c>
      <c r="F35" s="2" t="s">
        <v>149</v>
      </c>
    </row>
    <row r="36" spans="1:8" ht="20.100000000000001" customHeight="1" x14ac:dyDescent="0.25">
      <c r="D36" s="51" t="s">
        <v>150</v>
      </c>
      <c r="E36" s="50">
        <f>E30*E33</f>
        <v>1500</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150</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4500</v>
      </c>
      <c r="F44" s="2" t="s">
        <v>142</v>
      </c>
    </row>
    <row r="45" spans="1:8" ht="20.100000000000001" customHeight="1" x14ac:dyDescent="0.25"/>
    <row r="46" spans="1:8" ht="20.100000000000001" customHeight="1" x14ac:dyDescent="0.25">
      <c r="D46" s="1" t="s">
        <v>157</v>
      </c>
      <c r="E46" s="50">
        <f>E30-E36-E40-E44</f>
        <v>8850</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F46">
    <cfRule type="cellIs" dxfId="28" priority="62" operator="lessThan">
      <formula>0</formula>
    </cfRule>
  </conditionalFormatting>
  <conditionalFormatting sqref="F126:F127">
    <cfRule type="cellIs" dxfId="27" priority="21" operator="lessThan">
      <formula>0</formula>
    </cfRule>
  </conditionalFormatting>
  <conditionalFormatting sqref="F138:F139">
    <cfRule type="cellIs" dxfId="26" priority="20" operator="lessThan">
      <formula>0</formula>
    </cfRule>
  </conditionalFormatting>
  <conditionalFormatting sqref="F150:F151">
    <cfRule type="cellIs" dxfId="25" priority="19" operator="lessThan">
      <formula>0</formula>
    </cfRule>
  </conditionalFormatting>
  <conditionalFormatting sqref="F162:F163">
    <cfRule type="cellIs" dxfId="24" priority="18" operator="lessThan">
      <formula>0</formula>
    </cfRule>
  </conditionalFormatting>
  <conditionalFormatting sqref="F250:F251">
    <cfRule type="cellIs" dxfId="23" priority="93" operator="lessThan">
      <formula>0</formula>
    </cfRule>
  </conditionalFormatting>
  <conditionalFormatting sqref="F255:F256">
    <cfRule type="cellIs" dxfId="22" priority="92" operator="lessThan">
      <formula>0</formula>
    </cfRule>
  </conditionalFormatting>
  <conditionalFormatting sqref="F260:F261">
    <cfRule type="cellIs" dxfId="21" priority="91" operator="lessThan">
      <formula>0</formula>
    </cfRule>
  </conditionalFormatting>
  <conditionalFormatting sqref="F284:F285">
    <cfRule type="cellIs" dxfId="20" priority="85" operator="lessThan">
      <formula>0</formula>
    </cfRule>
  </conditionalFormatting>
  <conditionalFormatting sqref="F289:F290">
    <cfRule type="cellIs" dxfId="19" priority="84" operator="lessThan">
      <formula>0</formula>
    </cfRule>
  </conditionalFormatting>
  <conditionalFormatting sqref="F294:F295">
    <cfRule type="cellIs" dxfId="18" priority="83" operator="lessThan">
      <formula>0</formula>
    </cfRule>
  </conditionalFormatting>
  <conditionalFormatting sqref="E210:G210">
    <cfRule type="cellIs" dxfId="17" priority="79"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0" sqref="E10"/>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'Input - Crop'!$E$17*10^3</f>
        <v>10000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dimensionless</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dimensionless</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dimensionless</v>
      </c>
      <c r="P15" s="111" t="str">
        <v>Input</v>
      </c>
      <c r="Q15" s="139">
        <f>'Input - Crop'!$E$35</f>
        <v>25000</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dimensionless</v>
      </c>
      <c r="H16" s="111" t="str">
        <v>Input</v>
      </c>
      <c r="I16" s="117">
        <f>'Input - Crop'!$E$43</f>
        <v>0.3</v>
      </c>
      <c r="L16" s="22"/>
      <c r="M16" s="117" t="str">
        <v>M_B</v>
      </c>
      <c r="N16" s="117" t="str">
        <v>mass of each bale</v>
      </c>
      <c r="O16" s="117" t="str">
        <v>kg</v>
      </c>
      <c r="P16" s="111" t="str">
        <v>Input</v>
      </c>
      <c r="Q16" s="117">
        <f>'Input - Crop'!$E$34</f>
        <v>60</v>
      </c>
    </row>
    <row r="17" spans="1:17" ht="20.100000000000001" customHeight="1" x14ac:dyDescent="0.25">
      <c r="A17" s="17"/>
      <c r="D17" s="117" t="str">
        <v>FFOD_c</v>
      </c>
      <c r="E17" s="121" t="str">
        <v>fraction of the crop residue that is removed for crop c</v>
      </c>
      <c r="F17" s="120"/>
      <c r="G17" s="117" t="str">
        <v>dimensionless</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'Input - Crop'!$E$22*10^3</f>
        <v>10000000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dimensionless</v>
      </c>
      <c r="P18" s="111" t="str">
        <v>Input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
        <v>133</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'Input - Crop'!$E$9</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cm="1">
        <f t="array" ref="I22">Common_InputFunctions.Utility_ConvertStateCommonNameToAbbreviation('Input - Site'!$E$21,Table_AustralianStates[Common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85.00800000000001</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'Input - Crop'!$E$39</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85.00800000000001</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'Input - Crop'!$E$9</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'Input - Site'!$E$32</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6.6792000000000012E-4</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6.6792000000000012E-4</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0.17699880000000004</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dimensionless</v>
      </c>
      <c r="Q49" s="110" t="str">
        <v>Constant</v>
      </c>
      <c r="R49" s="117"/>
    </row>
    <row r="50" spans="10:20" ht="20.100000000000001" customHeight="1" x14ac:dyDescent="0.25">
      <c r="J50" s="22"/>
      <c r="M50" s="117" t="str">
        <v>R_BGc</v>
      </c>
      <c r="N50" s="121" t="str">
        <v>below ground-residue to above ground residue ratio for crop c</v>
      </c>
      <c r="O50" s="120"/>
      <c r="P50" s="117" t="str">
        <v>dimensionless</v>
      </c>
      <c r="Q50" s="110" t="str">
        <v>Constant</v>
      </c>
      <c r="R50" s="117"/>
    </row>
    <row r="51" spans="10:20" ht="20.100000000000001" customHeight="1" x14ac:dyDescent="0.25">
      <c r="J51" s="22"/>
      <c r="M51" s="117" t="str">
        <v>F_c</v>
      </c>
      <c r="N51" s="121" t="str">
        <v>fraction of crop residue that is burnt for crop c</v>
      </c>
      <c r="O51" s="120"/>
      <c r="P51" s="117" t="str">
        <v>dimensionless</v>
      </c>
      <c r="Q51" s="111" t="str">
        <v>Input</v>
      </c>
      <c r="R51" s="117"/>
    </row>
    <row r="52" spans="10:20" ht="20.100000000000001" customHeight="1" x14ac:dyDescent="0.25">
      <c r="J52" s="22"/>
      <c r="M52" s="117" t="str">
        <v>FFOD_c</v>
      </c>
      <c r="N52" s="121" t="str">
        <v>fraction of the crop residue that is removed for crop c</v>
      </c>
      <c r="O52" s="120"/>
      <c r="P52" s="117" t="str">
        <v>dimensionless</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85.00800000000001</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85.00800000000001</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
        <v>133</v>
      </c>
    </row>
    <row r="75" spans="12:18" ht="20.100000000000001" customHeight="1" x14ac:dyDescent="0.25">
      <c r="L75" s="22"/>
      <c r="M75" s="117" t="str">
        <v>i</v>
      </c>
      <c r="N75" s="121" t="str">
        <v>Wet or dry climate zone</v>
      </c>
      <c r="O75" s="120"/>
      <c r="P75" s="117" t="str">
        <v/>
      </c>
      <c r="Q75" s="111" t="str">
        <v>Input</v>
      </c>
      <c r="R75" s="117" t="str">
        <f>'Input - Site'!$E$32</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6.6792000000000012E-4</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6.6792000000000012E-4</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0.17699880000000004</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zoomScaleNormal="100"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'Input - Pasture'!$E$25</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'Input - Pasture'!$E$19</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dimensionless</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dimensionless</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dimensionless</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dimensionless</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'Input - Pasture'!$E$9</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'Input - Pasture'!$E$9</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'Input - Site'!$E$32</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dimensionless</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dimensionless</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'Input - Crop'!$E$9</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'Input - Pasture'!$E$9</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208</v>
      </c>
      <c r="O21" s="22"/>
      <c r="P21" s="22"/>
      <c r="Q21" s="22"/>
      <c r="R21" s="22"/>
      <c r="S21" s="22"/>
    </row>
    <row r="22" spans="1:20" ht="20.100000000000001" customHeight="1" x14ac:dyDescent="0.25">
      <c r="C22" s="22"/>
      <c r="D22" s="91" t="s">
        <v>209</v>
      </c>
      <c r="E22" s="22"/>
      <c r="F22" s="22"/>
      <c r="G22" s="22"/>
      <c r="H22" s="22"/>
      <c r="I22" s="22"/>
      <c r="J22" s="22"/>
      <c r="K22" s="22"/>
      <c r="N22" s="91" t="s">
        <v>209</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85.00800000000001</v>
      </c>
      <c r="F24" s="50" t="str">
        <f>'Input - Crop'!$E$11</f>
        <v>Sprinkler irrigation</v>
      </c>
      <c r="G24" s="50" t="str">
        <f>'Input - Site'!E$23</f>
        <v>NO - Not in leaching zone</v>
      </c>
      <c r="H24" s="50" cm="1">
        <f t="array" ref="H24">CommonCropping_InputFunctions.CommonCropping_GetFracWET(G24,F24,Table_SourceData_FracWET[Is in leaching zone],Table_SourceData_FracWET[FracWET], Table_SourceData_FracWETIrrigation[Irrigation type i],Table_SourceData_FracWETIrrigation[FracWET])</f>
        <v>1</v>
      </c>
      <c r="I24" s="50" cm="1">
        <f t="array" ref="I24">AgResidue_Equations_Leaching.VEERG_6_3_1_1__2__MassOfNitrogenLostThroughLeachingAndRunoff(E24,H24,$J$15)</f>
        <v>20.40192</v>
      </c>
      <c r="N24" s="50"/>
      <c r="O24" s="50">
        <f>'6.1.1.1-2 Crop residue N2O'!$N$59</f>
        <v>85.00800000000001</v>
      </c>
      <c r="P24" s="50"/>
      <c r="Q24" s="50"/>
      <c r="R24" s="50"/>
      <c r="S24" s="50" cm="1">
        <f t="array" ref="S24">AgResidue_Equations_Leaching.VEERG_6_3_1_1__2__MassOfNitrogenLostThroughLeachingAndRunoff(O24,H24,$J$15)</f>
        <v>20.40192</v>
      </c>
    </row>
    <row r="25" spans="1:20" ht="20.100000000000001" customHeight="1" x14ac:dyDescent="0.25">
      <c r="D25" s="50" t="s">
        <v>201</v>
      </c>
      <c r="E25" s="50">
        <f>'6.2.1.1-2 Pasture residue N2O'!$E$21</f>
        <v>7.4226E-2</v>
      </c>
      <c r="F25" s="50" t="str">
        <f>'Input - Pasture'!$E$10</f>
        <v>Surface irrigation</v>
      </c>
      <c r="G25" s="50" t="str">
        <f>'Input - Site'!E$23</f>
        <v>NO - Not in leaching zone</v>
      </c>
      <c r="H25" s="50" cm="1">
        <f t="array" ref="H25">CommonCropping_InputFunctions.CommonCropping_GetFracWET(G25,F25,Table_SourceData_FracWET[Is in leaching zone],Table_SourceData_FracWET[FracWET],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'[1]Input - Grains'!$E$9</f>
        <v>Wheat</v>
      </c>
      <c r="K39" s="22"/>
    </row>
    <row r="40" spans="1:17" ht="20.100000000000001" customHeight="1" x14ac:dyDescent="0.25">
      <c r="C40" s="22"/>
      <c r="D40" s="117" t="str">
        <v>p</v>
      </c>
      <c r="E40" s="121" t="str">
        <v>Pasture residue type</v>
      </c>
      <c r="F40" s="122"/>
      <c r="G40" s="120"/>
      <c r="H40" s="117" t="str">
        <v/>
      </c>
      <c r="I40" s="111" t="str">
        <v>Input</v>
      </c>
      <c r="J40" s="117" t="str">
        <f>'Input - Pasture'!$E$9</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20.40192</v>
      </c>
      <c r="E45" s="50" cm="1">
        <f t="array" ref="E45">AgResidue_Equations_Leaching.VEERG_6_3_1_1__1__LeachingAndRunoffEmissionsCropAndPastureResidue(D45,$J$37,$J$38)</f>
        <v>3.5266175999999999E-4</v>
      </c>
      <c r="F45" s="22"/>
      <c r="G45" s="22"/>
      <c r="H45" s="22"/>
      <c r="I45" s="22"/>
      <c r="J45" s="22"/>
      <c r="K45" s="22"/>
      <c r="N45" s="50">
        <f>S24</f>
        <v>20.40192</v>
      </c>
      <c r="O45" s="50" cm="1">
        <f t="array" ref="O45">AgResidue_Equations_Leaching.VEERG_6_3_1_1__1__LeachingAndRunoffEmissionsCropAndPastureResidue(N45,$J$37,$J$38)</f>
        <v>3.5266175999999999E-4</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3.5296969186285711E-4</v>
      </c>
      <c r="F48" s="95" t="str">
        <f>$E$34</f>
        <v>t N2O</v>
      </c>
      <c r="G48" s="22"/>
      <c r="H48" s="22"/>
      <c r="I48" s="22"/>
      <c r="J48" s="22"/>
      <c r="K48" s="22"/>
      <c r="N48" s="142" t="s">
        <v>199</v>
      </c>
      <c r="O48" s="143">
        <f>SUM(O45:O46)</f>
        <v>3.5296969186285711E-4</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3.5296969186285711E-4</v>
      </c>
      <c r="N50" s="54" t="str" cm="1">
        <f t="array" ref="N50:O51">Common_Equations.Common_ConvertN2OToCO2e_Arguments()</f>
        <v>EN2O</v>
      </c>
      <c r="O50" s="55" t="str">
        <v>Nitrous oxide emissions (t N2O)</v>
      </c>
      <c r="P50" s="96"/>
      <c r="Q50" s="50">
        <f>O48</f>
        <v>3.5296969186285711E-4</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9.3536968343657129E-2</v>
      </c>
      <c r="F53" s="97" t="str" cm="1">
        <f t="array" ref="F53">Common_Equations.Common_ConvertN2OToCO2e_Unit()</f>
        <v>t CO2e</v>
      </c>
      <c r="I53" s="22"/>
      <c r="N53" s="44" t="s">
        <v>79</v>
      </c>
      <c r="O53" s="44" cm="1">
        <f t="array" ref="O53">Common_Equations.Common_ConvertN2OToCO2e(Q50,Q51)</f>
        <v>9.3536968343657129E-2</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'Input - Crop'!$E$22</f>
        <v>10000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dimensionless</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dimensionless</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dimensionless</v>
      </c>
      <c r="H18" s="110" t="str">
        <v>Constant</v>
      </c>
      <c r="I18" s="117">
        <f>'Input - Crop'!$E$43</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'Input - Crop'!$E$9</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1782</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1782</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'Input - Crop'!$E$9</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1.276930285714286E-4</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1.276930285714286E-4</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3.3838652571428582E-2</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1782</v>
      </c>
    </row>
    <row r="57" spans="4:9" ht="20.100000000000001" customHeight="1" x14ac:dyDescent="0.25">
      <c r="D57" s="117" t="str">
        <v>CC_c</v>
      </c>
      <c r="E57" s="121" t="str">
        <v>carbon mass fraction in the residues of crop type c</v>
      </c>
      <c r="F57" s="120"/>
      <c r="G57" s="117" t="str">
        <v>dimensionless</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'Input - Crop'!$E$9</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3.3264000000000002E-3</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3.3264000000000002E-3</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9.3139200000000005E-2</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 zoomScaleNormal="100" workbookViewId="0">
      <selection activeCell="D6" sqref="D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topLeftCell="A115" zoomScale="85" zoomScaleNormal="85" workbookViewId="0">
      <selection activeCell="D144" sqref="D14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QAHIAbwBkAHUAYwB0ACwAIABQAHIAbwBkAHUAYwB0AEEAdAB0AHIAaQBiAHUAdABlACwAIABQAHIAbwBkAHUAYwB0AEEAcgByAGEAeQAsACAAUAByAG8AZAB1AGMAdABBAHIAcgBhAHkAQwBvAGwAdQBtAG4ALAAgAFAAcgBvAGQAdQBjAHQAQQByAHIAYQB5AEgAZQBhAGQAZQByAHMALABcAG4AIAAgAEkARgBFAFIAUgBPAFIAKABcAG4AIAAgACAAIABJAE4ARABFAFgAKABcAG4AIAAgACAAIAAgACAAUAByAG8AZAB1AGMAdABBAHIAcgBhAHkALABcAG4AIAAgACAAIAAgACAAWABNAEEAVABDAEgAKABUAFIASQBNACgAUAByAG8AZAB1AGMAdAApACwAIABQAHIAbwBkAHUAYwB0AEEAcgByAGEAeQBDAG8AbAB1AG0AbgAsACAAMAApACwAXABuACAAIAAgACAAIAAgAFgATQBBAFQAQwBIACgAVABSAEkATQAoAFAAcgBvAGQAdQBjAHQAQQB0AHQAcgBpAGIAdQB0AGUAKQAsACAAUAByAG8AZAB1AGMAdABBAHIAcgBhAHkASABlAGEAZABlAHIAcwAsACAAMAApAFwAbgAgACAAIAAgACkALABcAG4AIAAgACAAIABcACIAXAAiAFwAbgAgACAAKQBcAG4AKQA7AFwAbgBcAG4AXABuAEYAZQByAHQAaQBsAGkAcwBlAHIAXwBTAHUAbQBQAHIAbwBkAHUAYwB0AEEAcABwAGwAaQBlAGQAXABuAD0ATABBAE0AQgBEAEEAKABcAG4AIAAgAEwAbwBvAGsAdQBwAFQAYQByAGcAZQB0ADEALABMAG8AbwBrAHUAcABBAHIAcgBhAHkAMQAsAEEAbQBvAHUAbgB0AEEAcABwAGwAaQBlAGQALABbAEwAbwBvAGsAdQBwAFQAYQByAGcAZQB0ADIAXQAsAFsATABvAG8AawB1AHAAQQByAHIAYQB5ADIAXQAsAFwAbgAgACAATABFAFQAKABcAG4AIAAgACAAIABjAHIAaQB0AGUAcgBpAGEAMQAsAC0ALQAoAEkARgBFAFIAUgBPAFIAKABMAG8AbwBrAHUAcABBAHIAcgBhAHkAMQAsAFwAIgBcACIAKQA9AEwAbwBvAGsAdQBwAFQAYQByAGcAZQB0ADEAKQAsAFwAbgAgACAAIAAgAGMAcgBpAHQAZQByAGkAYQAyACwASQBGACgASQBTAE8ATQBJAFQAVABFAEQAKABMAG8AbwBrAHUAcABUAGEAcgBnAGUAdAAyACkALAAxACwASQBGAEUAUgBSAE8AUgAoAC0ALQAoAEwAbwBvAGsAdQBwAEEAcgByAGEAeQAyAD0ATABvAG8AawB1AHAAVABhAHIAZwBlAHQAMgApACwAMAApACkALABcAG4AIAAgACAAIABhAG0AbwB1AG4AdABzACwASQBGAEUAUgBSAE8AUgAoAEEAbQBvAHUAbgB0AEEAcABwAGwAaQBlAGQAKgAxACwAMAApACwAXABuACAAIAAgACAAUwBVAE0AUABSAE8ARABVAEMAVAAoAGMAcgBpAHQAZQByAGkAYQAxACoAYwByAGkAdABlAHIAaQBhADIAKgBhAG0AbwB1AG4AdABzACkAXABuACAAIAApAFwAbgApADsAXABuAFwAbgBGAGUAcgB0AGkAbABpAHMAZQByAF8AVABvAHQAYQBsAFMAbwBpAGwAQQBtAGUAbgBkAG0AZQBuAHQAQQBwAHAAbABpAGUAZABcAG4APQBMAEEATQBCAEQAQQAoAFwAbgAgACAAQQBtAG8AdQBuAHQAQQBwAHAAbABpAGUAZAAsACAAQQBtAGUAbgBkAG0AZQBuAHQAUABlAHIAYwBlAG4AdAAsAFwAbgAgACAAUwBVAE0AUABSAE8ARABVAEMAVAAoAEEAbQBvAHUAbgB0AEEAcABwAGwAaQBlAGQAIAAqACAAQQBtAGUAbgBkAG0AZQBuAHQAUABlAHIAYwBlAG4AdAApAFwAbgApADsAXABuAFwAbg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AgAFAAcgBvAGQAdQBjAHQASQBuAGcAcgBlAGQAaQBlAG4AdABQAGUAcgBjAGUAbgB0ADEALABcAG4AIAAgAFsAUAByAG8AZAB1AGMAdABJAG4AZwByAGUAZABpAGUAbgB0ADIAXQAsACAAWwBQAHIAbwBkAHUAYwB0AEkAbgBnAHIAZQBkAGkAZQBuAHQAUABlAHIAYwBlAG4AdAAyAF0ALABcAG4AIAAgAFsAUAByAG8AZAB1AGMAdABJAG4AZwByAGUAZABpAGUAbgB0ADMAXQAsACAAWwBQAHIAbwBkAHUAYwB0AEkAbgBnAHIAZQBkAGkAZQBuAHQAUABlAHIAYwBlAG4AdAAzAF0ALABcAG4AIAAgAFsAUAByAG8AZAB1AGMAdABJAG4AZwByAGUAZABpAGUAbgB0ADQAXQAsACAAWwBQAHIAbwBkAHUAYwB0AEkAbgBnAHIAZQBkAGkAZQBuAHQAUABlAHIAYwBlAG4AdAA0AF0ALABcAG4AIAAgAFsAUAByAG8AZAB1AGMAdABJAG4AZwByAGUAZABpAGUAbgB0ADUAXQAsACAAWwBQAHIAbwBkAHUAYwB0AEkAbgBnAHIAZQBkAGkAZQBuAHQAUABlAHIAYwBlAG4AdAA1AF0ALABcAG4AIAAgAFsAUAByAG8AZAB1AGMAdABJAG4AZwByAGUAZABpAGUAbgB0ADYAXQAsACAAWwBQAHIAbwBkAHUAYwB0AEkAbgBnAHIAZQBkAGkAZQBuAHQAUABlAHIAYwBlAG4AdAA2AF0ALABcAG4AIAAgAEwARQBUACgAXABuACAAIAAgACAAYwBhAGwAYwB1AGwAYQB0AGUAZABBAG0AbwB1AG4AdAAxACwAIAAoAEEAbQBvAHUAbgB0AEEAcABwAGwAaQBlAGQAKgBQAHIAbwBkAHUAYwB0AEkAbgBnAHIAZQBkAGkAZQBuAHQAUABlAHIAYwBlAG4AdAAxACkALABcAG4AIAAgACAAIABjAGEAbABjAHUAbABhAHQAZQBkAEEAbQBvAHUAbgB0ADIALAAgAEkARgAoAEkAUwBPAE0ASQBUAFQARQBEACgAUAByAG8AZAB1AGMAdABJAG4AZwByAGUAZABpAGUAbgB0ADIAKQAsACAAMAAsACAAQQBtAG8AdQBuAHQAQQBwAHAAbABpAGUAZAAqAFAAcgBvAGQAdQBjAHQASQBuAGcAcgBlAGQAaQBlAG4AdABQAGUAcgBjAGUAbgB0ADIAKQAsAFwAbgAgACAAIAAgAGMAYQBsAGMAdQBsAGEAdABlAGQAQQBtAG8AdQBuAHQAMwAsACAASQBGACgASQBTAE8ATQBJAFQAVABFAEQAKABQAHIAbwBkAHUAYwB0AEkAbgBnAHIAZQBkAGkAZQBuAHQAMwApACwAIAAwACwAIABBAG0AbwB1AG4AdABBAHAAcABsAGkAZQBkACoAUAByAG8AZAB1AGMAdABJAG4AZwByAGUAZABpAGUAbgB0AFAAZQByAGMAZQBuAHQAMwApACwAIABcAG4AIAAgACAAIABjAGEAbABjAHUAbABhAHQAZQBkAEEAbQBvAHUAbgB0ADQALAAgAEkARgAoAEkAUwBPAE0ASQBUAFQARQBEACgAUAByAG8AZAB1AGMAdABJAG4AZwByAGUAZABpAGUAbgB0ADQAKQAsACAAMAAsACAAQQBtAG8AdQBuAHQAQQBwAHAAbABpAGUAZAAqAFAAcgBvAGQAdQBjAHQASQBuAGcAcgBlAGQAaQBlAG4AdABQAGUAcgBjAGUAbgB0ADQAKQAsACAAXABuACAAIAAgACAAYwBhAGwAYwB1AGwAYQB0AGUAZABBAG0AbwB1AG4AdAA1ACwAIABJAEYAKABJAFMATwBNAEkAVABUAEUARAAoAFAAcgBvAGQAdQBjAHQASQBuAGcAcgBlAGQAaQBlAG4AdAA1ACkALAAgADAALAAgAEEAbQBvAHUAbgB0AEEAcABwAGwAaQBlAGQAKgBQAHIAbwBkAHUAYwB0AEkAbgBnAHIAZQBkAGkAZQBuAHQAUABlAHIAYwBlAG4AdAA1ACkALAAgAFwAbgAgACAAIAAgAGMAYQBsAGMAdQBsAGEAdABlAGQAQQBtAG8AdQBuAHQANgAsACAASQBGACgASQBTAE8ATQBJAFQAVABFAEQAKABQAHIAbwBkAHUAYwB0AEkAbgBnAHIAZQBkAGkAZQBuAHQANgApACwAIAAwACwAI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BcAG4AIAAgACAAIAApACsAXABuACAAIAAgACAASQBGAEUAUgBSAE8AUgAoAFwAbgAgACAAIAAgACAAIABJAEYAKABJAFMATwBNAEkAVABUAEUARAAoAFAAcgBvAGQAdQBjAHQASQBuAGcAcgBlAGQAaQBlAG4AdAAyACkALAAgADAALAAgAFwAbgAgACAAIAAgACAAIABGAGUAcgB0AGkAbABpAHMAZQByAF8AUwB1AG0AUAByAG8AZAB1AGMAdABBAHAAcABsAGkAZQBkACgAQwBoAGUAbQBpAGMAYQBsAEMAbwBtAHAAbwB1AG4AZAAsACAAUAByAG8AZAB1AGMAdABJAG4AZwByAGUAZABpAGUAbgB0ADIALAAgAGMAYQBsAGMAdQBsAGEAdABlAGQAQQBtAG8AdQBuAHQAMgApACkALAAgADAAKQArAFwAbgAgACAAIAAgAEkARgBFAFIAUgBPAFIAKABcAG4AIAAgACAAIAAgACAASQBGACgASQBTAE8ATQBJAFQAVABFAEQAKABQAHIAbwBkAHUAYwB0AEkAbgBnAHIAZQBkAGkAZQBuAHQAMwApACwAIAAwACwAIABcAG4AIAAgACAAIAAgACAARgBlAHIAdABpAGwAaQBzAGUAcgBfAFMAdQBtAFAAcgBvAGQAdQBjAHQAQQBwAHAAbABpAGUAZAAoAEMAaABlAG0AaQBjAGEAbABDAG8AbQBwAG8AdQBuAGQALAAgAFAAcgBvAGQAdQBjAHQASQBuAGcAcgBlAGQAaQBlAG4AdAAzACwAIABjAGEAbABjAHUAbABhAHQAZQBkAEEAbQBvAHUAbgB0ADMAKQApACwAIAAwACkAKwBcAG4AIAAgACAAIABJAEYARQBSAFIATwBSACgAXABuACAAIAAgACAAIAAgAEkARgAoAEkAUwBPAE0ASQBUAFQARQBEACgAUAByAG8AZAB1AGMAdABJAG4AZwByAGUAZABpAGUAbgB0ADQAKQAsACAAMAAsACAAXABuACAAIAAgACAAIAAgAEYAZQByAHQAaQBsAGkAcwBlAHIAXwBTAHUAbQBQAHIAbwBkAHUAYwB0AEEAcABwAGwAaQBlAGQAKABDAGgAZQBtAGkAYwBhAGwAQwBvAG0AcABvAHUAbgBkACwAIABQAHIAbwBkAHUAYwB0AEkAbgBnAHIAZQBkAGkAZQBuAHQANAAsACAAYwBhAGwAYwB1AGwAYQB0AGUAZABBAG0AbwB1AG4AdAA0ACkAKQAsACAAMAApACsAXABuACAAIAAgACAASQBGAEUAUgBSAE8AUgAoAFwAbgAgACAAIAAgACAAIABJAEYAKABJAFMATwBNAEkAVABUAEUARAAoAFAAcgBvAGQAdQBjAHQASQBuAGcAcgBlAGQAaQBlAG4AdAA1ACkALAAgADAALAAgAFwAbgAgACAAIAAgACAAIABGAGUAcgB0AGkAbABpAHMAZQByAF8AUwB1AG0AUAByAG8AZAB1AGMAdABBAHAAcABsAGkAZQBkACgAQwBoAGUAbQBpAGMAYQBsAEMAbwBtAHAAbwB1AG4AZAAsACAAUAByAG8AZAB1AGMAdABJAG4AZwByAGUAZABpAGUAbgB0ADUALAAgAGMAYQBsAGMAdQBsAGEAdABlAGQAQQBtAG8AdQBuAHQANQApACkALAAgADAAKQArAFwAbgAgACAAIAAgAEkARgBFAFIAUgBPAFIAKABcAG4AIAAgACAAIAAgACAASQBGACgASQBTAE8ATQBJAFQAVABFAEQAKABQAHIAbwBkAHUAYwB0AEkAbgBnAHIAZQBkAGkAZQBuAHQANgApACwAIAAwACwAIABcAG4AIAAgACAAIAAgACAARgBlAHIAdABpAGwAaQBzAGUAcgBfAFMAdQBtAFAAcgBvAGQAdQBjAHQAQQBwAHAAbABpAGUAZAAoAEMAaABlAG0AaQBjAGEAbABDAG8AbQBwAG8AdQBuAGQALAAgAFAAcgBvAGQAdQBjAHQASQBuAGcAcgBlAGQAaQBlAG4AdAA2ACwAIABjAGEAbABjAHUAbABhAHQAZQBkAEEAbQBvAHUAbgB0ADYAKQApACwAIAAw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UAByAG8AZAB1AGMAdABJAG4AZwByAGUAZABpAGUAbgB0ADEAUwBvAHUAcgBjAGUALABcAG4AIAAgAFsAUAByAG8AZAB1AGMAdABJAG4AZwByAGUAZABpAGUAbgB0ADIAXQAsAFwAbgAgACAAWwBQAHIAbwBkAHUAYwB0AEkAbgBnAHIAZQBkAGkAZQBuAHQAUABlAHIAYwBlAG4AdAAyAF0ALABcAG4AIAAgAFsAUAByAG8AZAB1AGMAdABJAG4AZwByAGUAZABpAGUAbgB0ADIAUwBvAHUAcgBjAGUAXQAsAFwAbgAgACAAWwBQAHIAbwBkAHUAYwB0AEkAbgBnAHIAZQBkAGkAZQBuAHQAMwBdACwAXABuACAAIABbAFAAcgBvAGQAdQBjAHQASQBuAGcAcgBlAGQAaQBlAG4AdABQAGUAcgBjAGUAbgB0ADMAXQAsAFwAbgAgACAAWwBQAHIAbwBkAHUAYwB0AEkAbgBnAHIAZQBkAGkAZQBuAHQAMwBTAG8AdQByAGMAZQBdACwAXABuACAAIABbAFAAcgBvAGQAdQBjAHQASQBuAGcAcgBlAGQAaQBlAG4AdAA0AF0ALABcAG4AIAAgAFsAUAByAG8AZAB1AGMAdABJAG4AZwByAGUAZABpAGUAbgB0AFAAZQByAGMAZQBuAHQANABdACwAXABuACAAIABbAFAAcgBvAGQAdQBjAHQASQBuAGcAcgBlAGQAaQBlAG4AdAA0AFMAbwB1AHIAYwBlAF0ALABcAG4AIAAgAFsAUAByAG8AZAB1AGMAdABJAG4AZwByAGUAZABpAGUAbgB0ADUAXQAsAFwAbgAgACAAWwBQAHIAbwBkAHUAYwB0AEkAbgBnAHIAZQBkAGkAZQBuAHQAUABlAHIAYwBlAG4AdAA1AF0ALABcAG4AIAAgAFsAUAByAG8AZAB1AGMAdABJAG4AZwByAGUAZABpAGUAbgB0ADUAUwBvAHUAcgBjAGUAXQAsAFwAbgAgACAAWwBQAHIAbwBkAHUAYwB0AEkAbgBnAHIAZQBkAGkAZQBuAHQANgBdACwAXABuACAAIABbAFAAcgBvAGQAdQBjAHQASQBuAGcAcgBlAGQAaQBlAG4AdABQAGUAcgBjAGUAbgB0ADYAXQAsAFwAbgAgACAAWwBQAHIAbwBkAHUAYwB0AEkAbgBnAHIAZQBkAGkAZQBuAHQANgBTAG8AdQByAGMAZQBdACwAXABuACAAIABMAEUAVAAoAFwAbgAgACAAIAAgAGMAYQBsAGMAdQBsAGEAdABlAGQAQQBtAG8AdQBuAHQAMQAsACAAKABBAG0AbwB1AG4AdABBAHAAcABsAGkAZQBkACoAUAByAG8AZAB1AGMAdABJAG4AZwByAGUAZABpAGUAbgB0AFAAZQByAGMAZQBuAHQAMQApACwAXABuACAAIAAgACAAYwBhAGwAYwB1AGwAYQB0AGUAZABBAG0AbwB1AG4AdAAyACwAIAAoAEEAbQBvAHUAbgB0AEEAcABwAGwAaQBlAGQAKgBQAHIAbwBkAHUAYwB0AEkAbgBnAHIAZQBkAGkAZQBuAHQAUABlAHIAYwBlAG4AdAAyACkALABcAG4AIAAgACAAIABjAGEAbABjAHUAbABhAHQAZQBkAEEAbQBvAHUAbgB0ADMALAAgACgAQQBtAG8AdQBuAHQAQQBwAHAAbABpAGUAZAAqAFAAcgBvAGQAdQBjAHQASQBuAGcAcgBlAGQAaQBlAG4AdABQAGUAcgBjAGUAbgB0ADMAKQAsACAAXABuACAAIAAgACAAYwBhAGwAYwB1AGwAYQB0AGUAZABBAG0AbwB1AG4AdAA0ACwAIAAoAEEAbQBvAHUAbgB0AEEAcABwAGwAaQBlAGQAKgBQAHIAbwBkAHUAYwB0AEkAbgBnAHIAZQBkAGkAZQBuAHQAUABlAHIAYwBlAG4AdAA0ACkALAAgAFwAbgAgACAAIAAgAGMAYQBsAGMAdQBsAGEAdABlAGQAQQBtAG8AdQBuAHQANQAsACAAKABBAG0AbwB1AG4AdABBAHAAcABsAGkAZQBkACoAUAByAG8AZAB1AGMAdABJAG4AZwByAGUAZABpAGUAbgB0AFAAZQByAGMAZQBuAHQANQApACwAIABcAG4AIAAgACAAIABjAGEAbABjAHUAbABhAHQAZQBkAEEAbQBvAHUAbgB0ADYALAAgACgAQQBtAG8AdQBuAHQAQQBwAHAAbABpAGUAZAAqAFAAcgBvAGQAdQBjAHQASQBuAGcAcgBlAGQAaQBlAG4AdABQAGUAcgBjAGUAbgB0ADYAKQAsACAAIABcAG4AIAAgACAAIABGAGUAcgB0AGkAbABpAHMAZQByAF8AUwB1AG0AUAByAG8AZAB1AGMAdABBAHAAcABsAGkAZQBkACgAXABuACAAIAAgACAAIAAgAEMAaABlAG0AaQBjAGEAbABDAG8AbQBwAG8AdQBuAGQALAAgAFAAcgBvAGQAdQBjAHQASQBuAGcAcgBlAGQAaQBlAG4AdAAxACwAIABjAGEAbABjAHUAbABhAHQAZQBkAEEAbQBvAHUAbgB0ADEALAAgAFMAbwB1AHIAYwBlACwAIABQAHIAbwBkAHUAYwB0AEkAbgBnAHIAZQBkAGkAZQBuAHQAMQBTAG8AdQByAGMAZQBcAG4AIAAgACAAIAApACsAXABuACAAIAAgACAASQBGAEUAUgBSAE8AUgAoAEYAZQByAHQAaQBsAGkAcwBlAHIAXwBTAHUAbQBQAHIAbwBkAHUAYwB0AEEAcABwAGwAaQBlAGQAKABcAG4AIAAgACAAIAAgACAAQwBoAGUAbQBpAGMAYQBsAEMAbwBtAHAAbwB1AG4AZAAsACAAUAByAG8AZAB1AGMAdABJAG4AZwByAGUAZABpAGUAbgB0ADIALAAgAGMAYQBsAGMAdQBsAGEAdABlAGQAQQBtAG8AdQBuAHQAMgAsACAAUwBvAHUAcgBjAGUALAAgAFAAcgBvAGQAdQBjAHQASQBuAGcAcgBlAGQAaQBlAG4AdAAyAFMAbwB1AHIAYwBlAFwAbgAgACAAIAAgACkALAAgADAAKQArAFwAbgAgACAAIAAgAEkARgBFAFIAUgBPAFIAKABGAGUAcgB0AGkAbABpAHMAZQByAF8AUwB1AG0AUAByAG8AZAB1AGMAdABBAHAAcABsAGkAZQBkACgAXABuACAAIAAgACAAIAAgAEMAaABlAG0AaQBjAGEAbABDAG8AbQBwAG8AdQBuAGQALAAgAFAAcgBvAGQAdQBjAHQASQBuAGcAcgBlAGQAaQBlAG4AdAAzACwAIABjAGEAbABjAHUAbABhAHQAZQBkAEEAbQBvAHUAbgB0ADMALAAgAFMAbwB1AHIAYwBlACwAIABQAHIAbwBkAHUAYwB0AEkAbgBnAHIAZQBkAGkAZQBuAHQAMwBTAG8AdQByAGMAZQBcAG4AIAAgACAAIAApACwAIAAwACkAKwBcAG4AIAAgACAAIABJAEYARQBSAFIATwBSACgARgBlAHIAdABpAGwAaQBzAGUAcgBfAFMAdQBtAFAAcgBvAGQAdQBjAHQAQQBwAHAAbABpAGUAZAAoAFwAbgAgACAAIAAgACAAIABDAGgAZQBtAGkAYwBhAGwAQwBvAG0AcABvAHUAbgBkACwAIABQAHIAbwBkAHUAYwB0AEkAbgBnAHIAZQBkAGkAZQBuAHQANAAsACAAYwBhAGwAYwB1AGwAYQB0AGUAZABBAG0AbwB1AG4AdAA0ACwAIABTAG8AdQByAGMAZQAsACAAUAByAG8AZAB1AGMAdABJAG4AZwByAGUAZABpAGUAbgB0ADQAUwBvAHUAcgBjAGUAXABuACAAIAAgACAAKQAsACAAMAApACsAXABuACAAIAAgACAASQBGAEUAUgBSAE8AUgAoAEYAZQByAHQAaQBsAGkAcwBlAHIAXwBTAHUAbQBQAHIAbwBkAHUAYwB0AEEAcABwAGwAaQBlAGQAKABcAG4AIAAgACAAIAAgACAAQwBoAGUAbQBpAGMAYQBsAEMAbwBtAHAAbwB1AG4AZAAsACAAUAByAG8AZAB1AGMAdABJAG4AZwByAGUAZABpAGUAbgB0ADUALAAgAGMAYQBsAGMAdQBsAGEAdABlAGQAQQBtAG8AdQBuAHQANQAsACAAUwBvAHUAcgBjAGUALAAgAFAAcgBvAGQAdQBjAHQASQBuAGcAcgBlAGQAaQBlAG4AdAA1AFMAbwB1AHIAYwBlAFwAbgAgACAAIAAgACkALAAgADAAKQArAFwAbgAgACAAIAAgAEkARgBFAFIAUgBPAFIAKABGAGUAcgB0AGkAbABpAHMAZQByAF8AUwB1AG0AUAByAG8AZAB1AGMAdABBAHAAcABsAGkAZQBkACgAXABuACAAIAAgACAAIAAgAEMAaABlAG0AaQBjAGEAbABDAG8AbQBwAG8AdQBuAGQALAAgAFAAcgBvAGQAdQBjAHQASQBuAGcAcgBlAGQAaQBlAG4AdAA2ACwAIABjAGEAbABjAHUAbABhAHQAZQBkAEEAbQBvAHUAbgB0ADYALAAgAFMAbwB1AHIAYwBlACwAIABQAHIAbwBkAHUAYwB0AEkAbgBnAHIAZQBkAGkAZQBuAHQANgBTAG8AdQByAGMAZQBcAG4AIAAgACAAIAApACwAIAAwACkAXABuACAAIAApAFwAbgApADsAXABuAFwAbgBGAGUAcgB0AGkAbABpAHMAZQByAF8ARwBlAHQAUwBjAG8AcABlADMARQBGAFwAbgA9AEwAQQBNAEIARABBACgAXABuACAAIAAgACAAQwBoAGUAbQBpAGMAYQBsAEMAbwBtAHAAbwB1AG4AZAAsACAAUwBjAG8AcABlADMAQQByAHIAYQB5ACwAIABDAGgAZQBtAGkAYwBhAGwAQwBvAG0AcABvAHUAbgBkAEMAbwBsAHUAbQBuACwAIABTAG8AdQByAGMAZQAsACAAUwBvAHUAcgBjAGUAUgBvAHcALABcAG4AIAAgACAAIABJAE4ARABFAFgAKABTAGMAbwBwAGUAMwBBAHIAcgBhAHkALABcAG4AIAAgACAAIAAgACAAIABNAEEAVABDAEgAKABDAGgAZQBtAGkAYwBhAGwAQwBvAG0AcABvAHUAbgBkACwAIABDAGgAZQBtAGkAYwBhAGwAQwBvAG0AcABvAHUAbgBkAEMAbwBsAHUAbQBuACwAIAAwACkALABcAG4AIAAgACAAIAAgACAAIABNAEEAVABDAEgAKABTAG8AdQByAGMAZQAsACAAUwBvAHUAcgBjAGUAUgBvAHcALAAgADAAKQBcAG4AIAAgACAAIAApAFwAbgApADsAXABuAFwAbgBGAGUAcgB0AGkAbABpAHMAZQByAF8ARwBlAHQAQwBoAGUAbQBpAGMAYQBsAEMAbwBtAHAAbwB1AG4AZABFAGwAZQBtAGUAbgB0AEYAcgBhAGMAdABpAG8AbgBcAG4APQBMAEEATQBCAEQAQQAoAFwAbgAgACAAIAAgAEMAaABlAG0AaQBjAGEAbABDAG8AbQBwAG8AdQBuAGQALAAgAEUAbABlAG0AZQBuAHQALAAgAEMAaABlAG0AaQBjAGEAbABDAG8AbQBwAG8AdQBuAGQAQQByAHIAYQB5ACwAIABDAGgAZQBtAGkAYwBhAGwAQwBvAG0AcABvAHUAbgBkAEMAbwBsAHUAbQBuACwAIABFAGwAZQBtAGUAbgB0AFIAbwB3ACwAXABuACAAIAAgACAASQBOAEQARQBYACgAQwBoAGUAbQBpAGMAYQBsAEMAbwBtAHAAbwB1AG4AZABBAHIAcgBhAHkALABcAG4AIAAgACAAIAAgACAATQBBAFQAQwBIACgAQwBoAGUAbQBpAGMAYQBsAEMAbwBtAHAAbwB1AG4AZAAsACAAQwBoAGUAbQBpAGMAYQBsAEMAbwBtAHAAbwB1AG4AZABDAG8AbAB1AG0AbgAsACAAMAApACwAXABuACAAIAAgACAAIAAgAE0AQQBUAEMASAAoAEUAbABlAG0AZQBuAHQALAAgAEUAbABlAG0AZQBuAHQAUgBvAHcALAAgADAAKQBcAG4AIAAgACAAIAApAFwAbgApADs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CcATgAvAEEAJ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CcAQQBsAGwAIABvAHQAaABlAHIAIABjAHIAbwBwACAAdAB5AHAAZQBzACcAIABpAG4AdABvACAAaQBuAGQAaQB2AGkAZAB1AGEAbAAgAGMAcgBvAHAAIAB0AHkAcABlAHMAIABmAG8AcgAgAGUAYQBjAGgAIABzAHQAYQB0AGUALgAgAEwAaQBzAHQAZQBkACAAYQBsAGwAIABzAHQAYQB0AGUAcwAgAGYAbwByACAAUwB1AGcAYQByACAAQwBhAG4AZQAsACAAdwBpAHQAaAAgACcATgAvAEEAJ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BAGcAUgBlAHMAaQBkAHUAZQBfAEUAcQB1AGEAdABpAG8AbgBzAF8AQwByAG8AcABSAGUAcwBpAGQAdQBlACIALAAiAHQAZQB4AHQAIgA6ACIALwAqACAAXABuAC0ALQAtAC0ALQAtAC0ALQAtAC0ALQAtAC0ALQAtAC0ALQAtAC0ALQAtAC0ALQAtAC0ALQAtAC0ALQAtAC0ALQAtAC0ALQAtAC0ALQBcAG4AVgBFAEUAUgBHAF8ANgBfADEAXwAxAF8AMQBfAF8AMQBfAF8ATgBpAHQAcgBvAHUAcwBPAHgAaQBkAGUARQBtAGkAcwBzAGkAbwBuAHMARgByAG8AbQBDAHIAbwBwAFIAZQBzAGkAZAB1AGUAcwBcAG4ATgBpAHQAcgBvAHUAcwAgAG8AeABpAGQAZQAgAGUAbQBpAHMAcwBpAG8AbgBzACAAZgByAG8AbQAgAHQAaABlACAAcgBlAHQAdQByAG4AIABvAGYAIABjAHIAbwBwACAAcgBlAHMAaQBkAHUAZQBzACAAYQBjAHIAbwBzAHMAIABhAGwAbAAgAGMAcgBvAHAAcwAgAGMAIAB0AG8AIAB0AGgAZQAgAHMAbwBpAGwAXABuAEUAXABuAHQAIABOADIATwBcAG4ARQA9AFwAXABzAHUAbQBfAHsAYwB9AHsATQBfAHsAYwB9AFwAXAB0AGkAbQBlAHMAIABFAEYAXwB7AE4AfQBcAFwAdABpAG0AZQBzACAAQwBfAHsAZwAsAE4AMgBPAH0AXABcAHQAaQBtAGUAcwAgADEAMABeAHsALQAzAH0AfQBcAG4ATQBjACAAPQAgAG0AYQBzAHMAIABvAGYAIABuAGkAdAByAG8AZwBlAG4AIABpAG4AIABjAHIAbwBwACAAYwAgAHIAZQBzAGkAZAB1AGUAcwAgAHIAZQB0AHUAcgBuAGUAZAAgAHQAbwAgAHQAaABlACAAcwBvAGkAbAAgACgAawBnACAATgApAFwAbgBFAEYATgBpACAAPQAgAGUAbQBpAHMAcwBpAG8AbgAgAGYAYQBjAHQAbwByACAAZgBvAHIAIABjAHIAbwBwACAAcgBlAHMAaQBkAHUAZQBzACAAcgBlAHQAdQByAG4AZQBkACAAdABvACAAdABoAGUAIABzAG8AaQBsACAAKABrAGcAIABOADIATwAtAE4ALwBrAGcAIABOACkAXABuAEMAZ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EAXwAxAF8AMQBfAF8AMQBfAF8ATgBpAHQAcgBvAHUAcwBPAHgAaQBkAGUARQBtAGkAcwBzAGkAbwBuAHMARgByAG8AbQBDAHIAbwBwAFIAZQBzAGkAZAB1AGUAcwBcAG4AIAAgAD0ATABBAE0AQgBEAEEAKABcAG4AIAAgACAAIABNAF8AYwAsACAARQBGAF8ATgBpACwAIABDAF8ATgAyAE8ALABcAG4AIAAgACAAIABNAF8AYwAgACoAIABFAEYAXwBOAGkAIAAqACAAQwBf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ABcAG4AbwBsAGkAbQBpAHQAcwBfAGMAXABcAGwAZQBmAHQAKABNAF8AewBjAH0AXABcAHQAaQBtAGUAcwAgAEUARgBfAHsATgB9AFwAXAByAGkAZwBoAHQAKQBcAFwAdABpAG0AZQBzACAAQwBfAHsAZwAsAE4AMgBPAH0AXABcAHQAaQBtAGUAcwAgADEAMABeAHsALQAz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jAFwAIgAsAFwAIgBtAGEAcwBzACAAbwBmACAAbgBpAHQAcgBvAGcAZQBuACAAaQBuACAAYwByAG8AcAAgAGMAIAByAGUAcwBpAGQAdQBlAHMAIAByAGUAdAB1AHIAbgBlAGQAIAB0AG8AIAB0AGgAZQAgAHMAbwBpAGwAXAAiACwAIABcACIAawBnACAATgBcACIALAAgAFwAIgBDAGEAbABjAHUAbABhAHQAZQBkACAAZgByAG8AbQAgADYALgAxAC4AMQAuADEAIAAoADIAKQBcACIAOwBcAG4AIAAgACAAIAAgACAAIAAgACAAIABcACIARQBGAF8ATgBpAFwAIgAsAFwAIgBlAG0AaQBzAHMAaQBvAG4AIABmAGEAYwB0AG8AcgAgAGYAbwByACAAYwByAG8AcAAgAHIAZQBzAGkAZAB1AGUAcwAgAHIAZQB0AHUAcgBuAGUAZAAgAHQAbwAgAHQAaABlACAAcwBvAGkAbA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F8AYwAsACAAUgBfAEEARwBjACwAIABGAF8AYwAsACAARgBGAE8ARABfAGMALAAgAEQATQBfAGMALAAgAE4AQwBfAEEARwBjACwAIABSAF8AQgBHAGMALAAgAE4AQwBfAEIARwBjACwAXABuACAAIAAgACAAKABQAF8AYwAgACoAIABSAF8AQQBHAGMAIAAqACAAKAAxACAALQAgAEYAXwBjACAALQAgAEYARgBPAEQAXwBjACkAIAAqACAARABNAF8AYwAgACoAIABOAEMAXwBBAEcAYwApACAAKwAgACgAUABfAGMAIAAqACAAUgBfAEEARwBjACAAKgAgAFIAXwBCAEcAYwAgACoAIABEAE0AXwBjACAAKgAgAE4AQwBfAEIARwBjACkAXABuACAAIAApAFwAbgA7AFwAbgBcAG4AVgBFAEUAUgBHAF8ANgBfADEAXwAxAF8AMQBfAF8AMgBfAF8ATQBhAHMAcwBPAGYATgBpAHQAcgBvAGcAZQBuAEkAbgBDAHIAbwBwAFIAZQBzAGkAZAB1AGUAcwBfAFQAaQB0AGwAZQBcAG4AIAAgAD0ATABBAE0AQgBEAEEAKABcACIATQBhAHMAcwAgAG8AZgAgAG4AaQB0AHIAbwBnAGUAbgAgAGkAbgAgAGMAcgBvAHAAIAByAGUAcwBpAGQAdQBlAHMAIAByAGUAdAB1AHIAbgBlAGQAIAB0AG8AIAB0AGgAZQAgAHMAbwBpAGwAXAAiACkAOwBcAG4AXABuAFYARQBFAFIARwBfADYAXwAxAF8AMQBfADEAXwBfADIAXwBfAE0AYQBzAHMATwBmAE4AaQB0AHIAbwBnAGUAbgBJAG4AQwByAG8AcABSAGUAcwBpAGQAdQBlAHMAXwBWAGEAcgBpAGEAYgBsAGUAXABuACAAIAA9AEwAQQBNAEIARABBACgAXAAiAE0AXwBjAFwAIgApADsAXABuAFwAbgBWAEUARQBSAEcAXwA2AF8AMQBfADEAXwAxAF8AXwAyAF8AXwBNAGEAcwBzAE8AZgBOAGkAdAByAG8AZwBlAG4ASQBuAEMAcgBvAHAAUgBlAHMAaQBkAHUAZQBzAF8AVQBuAGkAdABcAG4AIAAgAD0ATABBAE0AQgBEAEEAKABcACIAawBnACAATgBcACIAKQA7AFwAbgBcAG4AVgBFAEUAUgBHAF8ANgBfADEAXwAxAF8AMQBfAF8AMgBfAF8ATQBhAHMAcwBPAGYATgBpAHQAcgBvAGcAZQBuAEkAbgBDAHIAbwBwAFIAZQBzAGkAZAB1AGUAcwBfAFMAbwB1AHIAYwBlAFwAbgAgACAAPQBMAEEATQBCAEQAQQAoAFwAIgBWAEUARQBSAEcAIAAyADAAMgA2ADoAIAA2AC4AMQAuADEALgAxACwAIABFAHEAdQBhAHQAaQBvAG4AIAAoADIAKQBcACIAKQA7AFwAbgBcAG4AVgBFAEUAUgBHAF8ANgBfADEAXwAxAF8AMQBfAF8AMgBfAF8ATQBhAHMAcwBPAGYATgBpAHQAcgBvAGcAZQBuAEkAbgBDAHIAbwBwAFIAZQBzAGkAZAB1AGUAcwBfAE4ASQBSAFIAZQBmAGUAcgBlAG4AYwBlAFwAbgAgACAAPQBMAEEATQBCAEQAQQAoAFwAIgBcACIAKQA7AFwAbgBcAG4AVgBFAEUAUgBHAF8ANgBfADEAXwAxAF8AMQBfAF8AMgBfAF8ATQBhAHMAcwBPAGYATgBpAHQAcgBvAGcAZQBuAEkAbgBDAHIAbwBwAFIAZQBzAGkAZAB1AGUAcwBfAEwAYQB0AGUAeABFAHEAdQBhAHQAaQBvAG4AXABuACAAIAA9AEwAQQBNAEIARABBACgAXAAi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AiACkAOwBcAG4AXABuAFYARQBFAFIARwBfADYAXwAxAF8AMQBfADEAXwBfADIAXwBfAE0AYQBzAHMATwBmAE4AaQB0AHIAbwBnAGUAbgBJAG4AQwByAG8AcABSAGUAcwBpAGQAdQBlAHMAXwBBAHIAZwB1AG0AZQBuAHQAcw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GQAaQBtAGUAbgBzAGkAbwBuAGwAZQBzAHM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ZABpAG0AZQBuAHMAaQBvAG4AbABlAHMAcwBcACIALAAgAFwAIgBDAG8AbgBzAHQAYQBuAHQAXAAiADsAXABuACAAIAAgACAAIAAgACAAIAAgACAAXAAiAEYAXwBjAFwAIgAsAFwAIgBmAHIAYQBjAHQAaQBvAG4AIABvAGYAIABjAHIAbwBwACAAcgBlAHMAaQBkAHUAZQAgAHQAaABhAHQAIABpAHMAIABiAHUAcgBuAHQAIABmAG8AcgAgAGMAcgBvAHAAIABjAFwAIgAsACAAXAAiAGQAaQBtAGUAbgBzAGkAbwBuAGwAZQBzAHMAXAAiACwAIABcACIASQBuAHAAdQB0AFwAIgA7AFwAbgAgACAAIAAgACAAIAAgACAAIAAgAFwAIgBGAEYATwBEAF8AYwBcACIALABcACIAZgByAGEAYwB0AGkAbwBuACAAbwBmACAAdABoAGUAIABjAHIAbwBwACAAcgBlAHMAaQBkAHUAZQAgAHQAaABhAHQAIABpAHMAIAByAGUAbQBvAHYAZQBkACAAZgBvAHIAIABjAHIAbwBwACAAYwBcACIALAAgAFwAIgBkAGkAbQBlAG4AcwBpAG8AbgBsAGUAcwBzAFwAIgAsACAAXAAiAEMAbwBuAHMAdABhAG4AdA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BWAEUARQBSAEcAXwA2AF8AMQBfADEAXwAxAF8AXwAyAF8AXwBNAGEAcwBzAE8AZgBOAGkAdAByAG8AZwBlAG4ASQBuAEMAcgBvAHAAUgBlAHMAaQBkAHUAZQBzAF8AQQByAGcAdQBtAGUAbgB0AHMAXwBNAGUAdABoAG8AZAAy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ZABpAG0AZQBuAHMAaQBvAG4AbABlAHMAcw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kAGkAbQBlAG4AcwBpAG8AbgBsAGUAcwBzAFwAIgAsACAAXAAiAEMAbwBuAHMAdABhAG4AdABcACIAOwBcAG4AIAAgACAAIAAgACAAIAAgACAAIABcACIARgBfAGMAXAAiACwAXAAiAGYAcgBhAGMAdABpAG8AbgAgAG8AZgAgAGMAcgBvAHAAIAByAGUAcwBpAGQAdQBlACAAdABoAGEAdAAgAGkAcwAgAGIAdQByAG4AdAAgAGYAbwByACAAYwByAG8AcAAgAGMAXAAiACwAIABcACIAZABpAG0AZQBuAHMAaQBvAG4AbABlAHMAcwBcACIALAAgAFwAIgBJAG4AcAB1AHQAXAAiADsAXABuACAAIAAgACAAIAAgACAAIAAgACAAXAAiAEYARgBPAEQAXwBjAFwAIgAsAFwAIgBmAHIAYQBjAHQAaQBvAG4AIABvAGYAIAB0AGgAZQAgAGMAcgBvAHAAIAByAGUAcwBpAGQAdQBlACAAdABoAGEAdAAgAGkAcwAgAHIAZQBtAG8AdgBlAGQAIABmAG8AcgAgAGMAcgBvAHAAIABjAFwAIgAsACAAXAAiAGQAaQBtAGUAbgBzAGkAbwBuAGwAZQBzAHMAXAAiACwAIABcACIAQwBhAGwAYwB1AGwAYQB0AGUAZAAgAGYAcgBvAG0AIAA2AC4AMQAuADEALgAyACAAKAAxACk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gBfAF8AMQBfAF8ARgByAGEAYwB0AGkAbwBuAE8AZgBDAHIAbwBwAFIAZQBzAGkAZAB1AGUAUgBlAG0AbwB2AGUAZABCAGEAbABlAGQAXABuAEYAcgBhAGMAdABpAG8AbgAgAG8AZgAgAGMAcgBvAHAAIAByAGUAcwBpAGQAdQBlACAAdABoAGEAdAAgAGkAcwAgAHIAZQBtAG8AdgBlAGQAIABmAG8AcgAgAGMAcgBvAHAAIABjACwAIABjAGEAbABjAHUAbABhAHQAZQBkACAAdwBoAGUAcgBlACAAcgBlAHMAaQBkAHUAZQBzACAAYQByAGUAIABiAGEAbABlAGQAXABuAEYARgBPAEQAYwBiAGEAbABlAGQAXABuAGQAaQBtAGUAbgBzAGkAbwBuAGwAZQBzAHMAXABuAEYARgBPAEQAXwB7AGMAfQA9AFwAXABmAHIAYQBjAHsAQgBcAFwAdABpAG0AZQBzACAATQBfAHsAQgB9AH0AewBQAF8AewBjAH0AXABcAHQAaQBtAGUAcwAgAFIAXwB7AEEARwAsAGMAfQB9AFwAbgBCACAAPQAgAG4AdQBtAGIAZQByACAAbwBmACAAYgBhAGwAZQBzACAAZwBlAG4AZQByAGEAdABlAGQAIAAoAGQAaQBtAGUAbgBzAGkAbwBuAGwAZQBzAHMAKQBcAG4ATQBCACAAPQAgAG0AYQBzAHMAIABvAGYAIABlAGEAYwBoACAAYgBhAGwAZQAgACgAawBnACkAXABuAFAAYwAgAD0AIABhAG4AbgB1AGEAbAAgAHAAcgBvAGQAdQBjAHQAaQBvAG4AIABvAGYAIABjAHIAbwBwACAAYwAgACgAawBnACkAXABuAFIAQQBHAGMAIAA9ACAAcgBlAHMAaQBkAHUAZQAgAHQAbwAgAGMAcgBvAHAAIAByAGEAdABpAG8AIABmAG8AcgAgAGMAcgBvAHAAIABjACAAKABkAGkAbQBlAG4AcwBpAG8AbgBsAGUAcwBz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YgBhAGwAZQBkAFwAIgApADsAXABuAFwAbgBWAEUARQBSAEcAXwA2AF8AMQBfADEAXwAyAF8AXwAxAF8AXwBGAHIAYQBjAHQAaQBvAG4ATwBmAEMAcgBvAHAAUgBlAHMAaQBkAHUAZQBSAGUAbQBvAHYAZQBkAEIAYQBsAGUAZABfAFUAbgBpAHQAXABuACAAIAA9AEwAQQBNAEIARABBACgAXAAiAGQAaQBtAGUAbgBzAGkAbwBuAGwAZQBzAHM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CwAYgBhAGwAZQBk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QALAAgAFwAbgAgACAAIAAgACAAIABMAEEATQBCAEQAQQAoAHIALABjACwAIABcAG4AIAAgACAAIAAgACAAIAAgAEkATgBEAEUAWAAoAHsAXABuACAAIAAgACAAIAAgACAAIAAgACAAXAAiAEIAXAAiACwAXAAiAG4AdQBtAGIAZQByACAAbwBmACAAYgBhAGwAZQBzACAAZwBlAG4AZQByAGEAdABlAGQAXAAiACwAIABcACIAZABpAG0AZQBuAHMAaQBvAG4AbABlAHMAcw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GQAaQBtAGUAbgBzAGkAbwBuAGwAZQBzAHMAXAAiACwAIABcACIASQBuAHAAdQ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JwBiAGEAbABlAGQAJ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ABpAG0AZQBuAHMAaQBvAG4AbABlAHMAcw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kAGkAbQBlAG4AcwBpAG8AbgBsAGUAcwBz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kAGkAbQBlAG4AcwBpAG8AbgBsAGUAcwBz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E0AXwBsAGUAYQBjAGgAYwBwACAAKgAgAEUARgBfAGwAZQBhAGMAaA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QAaQBtAGUAbgBzAGkAbwBuAGwAZQBzAHM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ABpAG0AZQBuAHMAaQBvAG4AbABlAHMAcw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kAGkAbQBlAG4AcwBpAG8AbgBsAGUAcwBz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ABpAG0AZQBuAHMAaQBvAG4AbABlAHMAcw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GQAaQBtAGUAbgBzAGkAbwBuAGwAZQBzAHM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kAGkAbQBlAG4AcwBpAG8AbgBsAGUAcwBz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6.4.1.1-2 Residue burning</vt:lpstr>
      <vt:lpstr>Constants - Ag Residue</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2026-04-30T05:44:43Z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